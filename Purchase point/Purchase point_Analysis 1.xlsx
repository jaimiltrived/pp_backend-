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richData/rdrichvalue.xml" ContentType="application/vnd.ms-excel.rdrichvalu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05" yWindow="-105" windowWidth="23250" windowHeight="12450" tabRatio="756" activeTab="1"/>
  </bookViews>
  <sheets>
    <sheet name="RFQ-Tracking" sheetId="3" r:id="rId1"/>
    <sheet name="Detailanalysis" sheetId="1" r:id="rId2"/>
    <sheet name="Supplier selection" sheetId="2" r:id="rId3"/>
    <sheet name="RFQ-Input" sheetId="4" r:id="rId4"/>
    <sheet name="Adapter RFQ-Generator" sheetId="8" r:id="rId5"/>
    <sheet name="RFQ-Supplier" sheetId="5" r:id="rId6"/>
    <sheet name="DropDown" sheetId="7" r:id="rId7"/>
  </sheets>
  <definedNames>
    <definedName name="_xlnm._FilterDatabase" localSheetId="4" hidden="1">'Adapter RFQ-Generator'!$A$2:$H$2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8"/>
  <c r="C3" s="1"/>
  <c r="C6" i="2"/>
  <c r="C6" i="1" s="1"/>
  <c r="C7" i="2"/>
  <c r="C7" i="1" s="1"/>
  <c r="C8" i="2"/>
  <c r="C9"/>
  <c r="C10"/>
  <c r="C10" i="1" s="1"/>
  <c r="C11" i="2"/>
  <c r="C12"/>
  <c r="C13"/>
  <c r="C13" i="1" s="1"/>
  <c r="C14" i="2"/>
  <c r="C15"/>
  <c r="C16"/>
  <c r="C16" i="1" s="1"/>
  <c r="S1000" i="3"/>
  <c r="R1000"/>
  <c r="Q1000"/>
  <c r="P1000"/>
  <c r="O1000"/>
  <c r="S999"/>
  <c r="R999"/>
  <c r="Q999"/>
  <c r="P999"/>
  <c r="O999"/>
  <c r="S998"/>
  <c r="R998"/>
  <c r="Q998"/>
  <c r="P998"/>
  <c r="O998"/>
  <c r="S997"/>
  <c r="R997"/>
  <c r="Q997"/>
  <c r="P997"/>
  <c r="O997"/>
  <c r="S996"/>
  <c r="R996"/>
  <c r="Q996"/>
  <c r="P996"/>
  <c r="O996"/>
  <c r="S995"/>
  <c r="R995"/>
  <c r="Q995"/>
  <c r="P995"/>
  <c r="O995"/>
  <c r="S994"/>
  <c r="R994"/>
  <c r="Q994"/>
  <c r="P994"/>
  <c r="O994"/>
  <c r="S993"/>
  <c r="R993"/>
  <c r="Q993"/>
  <c r="P993"/>
  <c r="O993"/>
  <c r="S992"/>
  <c r="R992"/>
  <c r="Q992"/>
  <c r="P992"/>
  <c r="O992"/>
  <c r="S991"/>
  <c r="R991"/>
  <c r="Q991"/>
  <c r="P991"/>
  <c r="O991"/>
  <c r="S990"/>
  <c r="R990"/>
  <c r="Q990"/>
  <c r="P990"/>
  <c r="O990"/>
  <c r="S989"/>
  <c r="R989"/>
  <c r="Q989"/>
  <c r="P989"/>
  <c r="O989"/>
  <c r="S988"/>
  <c r="R988"/>
  <c r="Q988"/>
  <c r="P988"/>
  <c r="O988"/>
  <c r="S987"/>
  <c r="R987"/>
  <c r="Q987"/>
  <c r="P987"/>
  <c r="O987"/>
  <c r="S986"/>
  <c r="R986"/>
  <c r="Q986"/>
  <c r="P986"/>
  <c r="O986"/>
  <c r="S985"/>
  <c r="R985"/>
  <c r="Q985"/>
  <c r="P985"/>
  <c r="O985"/>
  <c r="S984"/>
  <c r="R984"/>
  <c r="Q984"/>
  <c r="P984"/>
  <c r="O984"/>
  <c r="S983"/>
  <c r="R983"/>
  <c r="Q983"/>
  <c r="P983"/>
  <c r="O983"/>
  <c r="S982"/>
  <c r="R982"/>
  <c r="Q982"/>
  <c r="P982"/>
  <c r="O982"/>
  <c r="S981"/>
  <c r="R981"/>
  <c r="Q981"/>
  <c r="P981"/>
  <c r="O981"/>
  <c r="S980"/>
  <c r="R980"/>
  <c r="Q980"/>
  <c r="P980"/>
  <c r="O980"/>
  <c r="S979"/>
  <c r="R979"/>
  <c r="Q979"/>
  <c r="P979"/>
  <c r="O979"/>
  <c r="S978"/>
  <c r="R978"/>
  <c r="Q978"/>
  <c r="P978"/>
  <c r="O978"/>
  <c r="S977"/>
  <c r="R977"/>
  <c r="Q977"/>
  <c r="P977"/>
  <c r="O977"/>
  <c r="S976"/>
  <c r="R976"/>
  <c r="Q976"/>
  <c r="P976"/>
  <c r="O976"/>
  <c r="S975"/>
  <c r="R975"/>
  <c r="Q975"/>
  <c r="P975"/>
  <c r="O975"/>
  <c r="S974"/>
  <c r="R974"/>
  <c r="Q974"/>
  <c r="P974"/>
  <c r="O974"/>
  <c r="S973"/>
  <c r="R973"/>
  <c r="Q973"/>
  <c r="P973"/>
  <c r="O973"/>
  <c r="S972"/>
  <c r="R972"/>
  <c r="Q972"/>
  <c r="P972"/>
  <c r="O972"/>
  <c r="S971"/>
  <c r="R971"/>
  <c r="Q971"/>
  <c r="P971"/>
  <c r="O971"/>
  <c r="S970"/>
  <c r="R970"/>
  <c r="Q970"/>
  <c r="P970"/>
  <c r="O970"/>
  <c r="S969"/>
  <c r="R969"/>
  <c r="Q969"/>
  <c r="P969"/>
  <c r="O969"/>
  <c r="S968"/>
  <c r="R968"/>
  <c r="Q968"/>
  <c r="P968"/>
  <c r="O968"/>
  <c r="S967"/>
  <c r="R967"/>
  <c r="Q967"/>
  <c r="P967"/>
  <c r="O967"/>
  <c r="S966"/>
  <c r="R966"/>
  <c r="Q966"/>
  <c r="P966"/>
  <c r="O966"/>
  <c r="S965"/>
  <c r="R965"/>
  <c r="Q965"/>
  <c r="P965"/>
  <c r="O965"/>
  <c r="S964"/>
  <c r="R964"/>
  <c r="Q964"/>
  <c r="P964"/>
  <c r="O964"/>
  <c r="S963"/>
  <c r="R963"/>
  <c r="Q963"/>
  <c r="P963"/>
  <c r="O963"/>
  <c r="S962"/>
  <c r="R962"/>
  <c r="Q962"/>
  <c r="P962"/>
  <c r="O962"/>
  <c r="S961"/>
  <c r="R961"/>
  <c r="Q961"/>
  <c r="P961"/>
  <c r="O961"/>
  <c r="S960"/>
  <c r="R960"/>
  <c r="Q960"/>
  <c r="P960"/>
  <c r="O960"/>
  <c r="S959"/>
  <c r="R959"/>
  <c r="Q959"/>
  <c r="P959"/>
  <c r="O959"/>
  <c r="S958"/>
  <c r="R958"/>
  <c r="Q958"/>
  <c r="P958"/>
  <c r="O958"/>
  <c r="S957"/>
  <c r="R957"/>
  <c r="Q957"/>
  <c r="P957"/>
  <c r="O957"/>
  <c r="S956"/>
  <c r="R956"/>
  <c r="Q956"/>
  <c r="P956"/>
  <c r="O956"/>
  <c r="S955"/>
  <c r="R955"/>
  <c r="Q955"/>
  <c r="P955"/>
  <c r="O955"/>
  <c r="S954"/>
  <c r="R954"/>
  <c r="Q954"/>
  <c r="P954"/>
  <c r="O954"/>
  <c r="S953"/>
  <c r="R953"/>
  <c r="Q953"/>
  <c r="P953"/>
  <c r="O953"/>
  <c r="S952"/>
  <c r="R952"/>
  <c r="Q952"/>
  <c r="P952"/>
  <c r="O952"/>
  <c r="S951"/>
  <c r="R951"/>
  <c r="Q951"/>
  <c r="P951"/>
  <c r="O951"/>
  <c r="S950"/>
  <c r="R950"/>
  <c r="Q950"/>
  <c r="P950"/>
  <c r="O950"/>
  <c r="S949"/>
  <c r="R949"/>
  <c r="Q949"/>
  <c r="P949"/>
  <c r="O949"/>
  <c r="S948"/>
  <c r="R948"/>
  <c r="Q948"/>
  <c r="P948"/>
  <c r="O948"/>
  <c r="S947"/>
  <c r="R947"/>
  <c r="Q947"/>
  <c r="P947"/>
  <c r="O947"/>
  <c r="S946"/>
  <c r="R946"/>
  <c r="Q946"/>
  <c r="P946"/>
  <c r="O946"/>
  <c r="S945"/>
  <c r="R945"/>
  <c r="Q945"/>
  <c r="P945"/>
  <c r="O945"/>
  <c r="S944"/>
  <c r="R944"/>
  <c r="Q944"/>
  <c r="P944"/>
  <c r="O944"/>
  <c r="S943"/>
  <c r="R943"/>
  <c r="Q943"/>
  <c r="P943"/>
  <c r="O943"/>
  <c r="S942"/>
  <c r="R942"/>
  <c r="Q942"/>
  <c r="P942"/>
  <c r="O942"/>
  <c r="S941"/>
  <c r="R941"/>
  <c r="Q941"/>
  <c r="P941"/>
  <c r="O941"/>
  <c r="S940"/>
  <c r="R940"/>
  <c r="Q940"/>
  <c r="P940"/>
  <c r="O940"/>
  <c r="S939"/>
  <c r="R939"/>
  <c r="Q939"/>
  <c r="P939"/>
  <c r="O939"/>
  <c r="S938"/>
  <c r="R938"/>
  <c r="Q938"/>
  <c r="P938"/>
  <c r="O938"/>
  <c r="S937"/>
  <c r="R937"/>
  <c r="Q937"/>
  <c r="P937"/>
  <c r="O937"/>
  <c r="S936"/>
  <c r="R936"/>
  <c r="Q936"/>
  <c r="P936"/>
  <c r="O936"/>
  <c r="S935"/>
  <c r="R935"/>
  <c r="Q935"/>
  <c r="P935"/>
  <c r="O935"/>
  <c r="S934"/>
  <c r="R934"/>
  <c r="Q934"/>
  <c r="P934"/>
  <c r="O934"/>
  <c r="S933"/>
  <c r="R933"/>
  <c r="Q933"/>
  <c r="P933"/>
  <c r="O933"/>
  <c r="S932"/>
  <c r="R932"/>
  <c r="Q932"/>
  <c r="P932"/>
  <c r="O932"/>
  <c r="S931"/>
  <c r="R931"/>
  <c r="Q931"/>
  <c r="P931"/>
  <c r="O931"/>
  <c r="S930"/>
  <c r="R930"/>
  <c r="Q930"/>
  <c r="P930"/>
  <c r="O930"/>
  <c r="S929"/>
  <c r="R929"/>
  <c r="Q929"/>
  <c r="P929"/>
  <c r="O929"/>
  <c r="S928"/>
  <c r="R928"/>
  <c r="Q928"/>
  <c r="P928"/>
  <c r="O928"/>
  <c r="S927"/>
  <c r="R927"/>
  <c r="Q927"/>
  <c r="P927"/>
  <c r="O927"/>
  <c r="S926"/>
  <c r="R926"/>
  <c r="Q926"/>
  <c r="P926"/>
  <c r="O926"/>
  <c r="S925"/>
  <c r="R925"/>
  <c r="Q925"/>
  <c r="P925"/>
  <c r="O925"/>
  <c r="S924"/>
  <c r="R924"/>
  <c r="Q924"/>
  <c r="P924"/>
  <c r="O924"/>
  <c r="S923"/>
  <c r="R923"/>
  <c r="Q923"/>
  <c r="P923"/>
  <c r="O923"/>
  <c r="S922"/>
  <c r="R922"/>
  <c r="Q922"/>
  <c r="P922"/>
  <c r="O922"/>
  <c r="S921"/>
  <c r="R921"/>
  <c r="Q921"/>
  <c r="P921"/>
  <c r="O921"/>
  <c r="S920"/>
  <c r="R920"/>
  <c r="Q920"/>
  <c r="P920"/>
  <c r="O920"/>
  <c r="S919"/>
  <c r="R919"/>
  <c r="Q919"/>
  <c r="P919"/>
  <c r="O919"/>
  <c r="S918"/>
  <c r="R918"/>
  <c r="Q918"/>
  <c r="P918"/>
  <c r="O918"/>
  <c r="S917"/>
  <c r="R917"/>
  <c r="Q917"/>
  <c r="P917"/>
  <c r="O917"/>
  <c r="S916"/>
  <c r="R916"/>
  <c r="Q916"/>
  <c r="P916"/>
  <c r="O916"/>
  <c r="S915"/>
  <c r="R915"/>
  <c r="Q915"/>
  <c r="P915"/>
  <c r="O915"/>
  <c r="S914"/>
  <c r="R914"/>
  <c r="Q914"/>
  <c r="P914"/>
  <c r="O914"/>
  <c r="S913"/>
  <c r="R913"/>
  <c r="Q913"/>
  <c r="P913"/>
  <c r="O913"/>
  <c r="S912"/>
  <c r="R912"/>
  <c r="Q912"/>
  <c r="P912"/>
  <c r="O912"/>
  <c r="S911"/>
  <c r="R911"/>
  <c r="Q911"/>
  <c r="P911"/>
  <c r="O911"/>
  <c r="S910"/>
  <c r="R910"/>
  <c r="Q910"/>
  <c r="P910"/>
  <c r="O910"/>
  <c r="S909"/>
  <c r="R909"/>
  <c r="Q909"/>
  <c r="P909"/>
  <c r="O909"/>
  <c r="S908"/>
  <c r="R908"/>
  <c r="Q908"/>
  <c r="P908"/>
  <c r="O908"/>
  <c r="S907"/>
  <c r="R907"/>
  <c r="Q907"/>
  <c r="P907"/>
  <c r="O907"/>
  <c r="S906"/>
  <c r="R906"/>
  <c r="Q906"/>
  <c r="P906"/>
  <c r="O906"/>
  <c r="S905"/>
  <c r="R905"/>
  <c r="Q905"/>
  <c r="P905"/>
  <c r="O905"/>
  <c r="S904"/>
  <c r="R904"/>
  <c r="Q904"/>
  <c r="P904"/>
  <c r="O904"/>
  <c r="S903"/>
  <c r="R903"/>
  <c r="Q903"/>
  <c r="P903"/>
  <c r="O903"/>
  <c r="S902"/>
  <c r="R902"/>
  <c r="Q902"/>
  <c r="P902"/>
  <c r="O902"/>
  <c r="S901"/>
  <c r="R901"/>
  <c r="Q901"/>
  <c r="P901"/>
  <c r="O901"/>
  <c r="S900"/>
  <c r="R900"/>
  <c r="Q900"/>
  <c r="P900"/>
  <c r="O900"/>
  <c r="S899"/>
  <c r="R899"/>
  <c r="Q899"/>
  <c r="P899"/>
  <c r="O899"/>
  <c r="S898"/>
  <c r="R898"/>
  <c r="Q898"/>
  <c r="P898"/>
  <c r="O898"/>
  <c r="S897"/>
  <c r="R897"/>
  <c r="Q897"/>
  <c r="P897"/>
  <c r="O897"/>
  <c r="S896"/>
  <c r="R896"/>
  <c r="Q896"/>
  <c r="P896"/>
  <c r="O896"/>
  <c r="S895"/>
  <c r="R895"/>
  <c r="Q895"/>
  <c r="P895"/>
  <c r="O895"/>
  <c r="S894"/>
  <c r="R894"/>
  <c r="Q894"/>
  <c r="P894"/>
  <c r="O894"/>
  <c r="S893"/>
  <c r="R893"/>
  <c r="Q893"/>
  <c r="P893"/>
  <c r="O893"/>
  <c r="S892"/>
  <c r="R892"/>
  <c r="Q892"/>
  <c r="P892"/>
  <c r="O892"/>
  <c r="S891"/>
  <c r="R891"/>
  <c r="Q891"/>
  <c r="P891"/>
  <c r="O891"/>
  <c r="S890"/>
  <c r="R890"/>
  <c r="Q890"/>
  <c r="P890"/>
  <c r="O890"/>
  <c r="S889"/>
  <c r="R889"/>
  <c r="Q889"/>
  <c r="P889"/>
  <c r="O889"/>
  <c r="S888"/>
  <c r="R888"/>
  <c r="Q888"/>
  <c r="P888"/>
  <c r="O888"/>
  <c r="S887"/>
  <c r="R887"/>
  <c r="Q887"/>
  <c r="P887"/>
  <c r="O887"/>
  <c r="S886"/>
  <c r="R886"/>
  <c r="Q886"/>
  <c r="P886"/>
  <c r="O886"/>
  <c r="S885"/>
  <c r="R885"/>
  <c r="Q885"/>
  <c r="P885"/>
  <c r="O885"/>
  <c r="S884"/>
  <c r="R884"/>
  <c r="Q884"/>
  <c r="P884"/>
  <c r="O884"/>
  <c r="S883"/>
  <c r="R883"/>
  <c r="Q883"/>
  <c r="P883"/>
  <c r="O883"/>
  <c r="S882"/>
  <c r="R882"/>
  <c r="Q882"/>
  <c r="P882"/>
  <c r="O882"/>
  <c r="S881"/>
  <c r="R881"/>
  <c r="Q881"/>
  <c r="P881"/>
  <c r="O881"/>
  <c r="S880"/>
  <c r="R880"/>
  <c r="Q880"/>
  <c r="P880"/>
  <c r="O880"/>
  <c r="S879"/>
  <c r="R879"/>
  <c r="Q879"/>
  <c r="P879"/>
  <c r="O879"/>
  <c r="S878"/>
  <c r="R878"/>
  <c r="Q878"/>
  <c r="P878"/>
  <c r="O878"/>
  <c r="S877"/>
  <c r="R877"/>
  <c r="Q877"/>
  <c r="P877"/>
  <c r="O877"/>
  <c r="S876"/>
  <c r="R876"/>
  <c r="Q876"/>
  <c r="P876"/>
  <c r="O876"/>
  <c r="S875"/>
  <c r="R875"/>
  <c r="Q875"/>
  <c r="P875"/>
  <c r="O875"/>
  <c r="S874"/>
  <c r="R874"/>
  <c r="Q874"/>
  <c r="P874"/>
  <c r="O874"/>
  <c r="S873"/>
  <c r="R873"/>
  <c r="Q873"/>
  <c r="P873"/>
  <c r="O873"/>
  <c r="S872"/>
  <c r="R872"/>
  <c r="Q872"/>
  <c r="P872"/>
  <c r="O872"/>
  <c r="S871"/>
  <c r="R871"/>
  <c r="Q871"/>
  <c r="P871"/>
  <c r="O871"/>
  <c r="S870"/>
  <c r="R870"/>
  <c r="Q870"/>
  <c r="P870"/>
  <c r="O870"/>
  <c r="S869"/>
  <c r="R869"/>
  <c r="Q869"/>
  <c r="P869"/>
  <c r="O869"/>
  <c r="S868"/>
  <c r="R868"/>
  <c r="Q868"/>
  <c r="P868"/>
  <c r="O868"/>
  <c r="S867"/>
  <c r="R867"/>
  <c r="Q867"/>
  <c r="P867"/>
  <c r="O867"/>
  <c r="S866"/>
  <c r="R866"/>
  <c r="Q866"/>
  <c r="P866"/>
  <c r="O866"/>
  <c r="S865"/>
  <c r="R865"/>
  <c r="Q865"/>
  <c r="P865"/>
  <c r="O865"/>
  <c r="S864"/>
  <c r="R864"/>
  <c r="Q864"/>
  <c r="P864"/>
  <c r="O864"/>
  <c r="S863"/>
  <c r="R863"/>
  <c r="Q863"/>
  <c r="P863"/>
  <c r="O863"/>
  <c r="S862"/>
  <c r="R862"/>
  <c r="Q862"/>
  <c r="P862"/>
  <c r="O862"/>
  <c r="S861"/>
  <c r="R861"/>
  <c r="Q861"/>
  <c r="P861"/>
  <c r="O861"/>
  <c r="S860"/>
  <c r="R860"/>
  <c r="Q860"/>
  <c r="P860"/>
  <c r="O860"/>
  <c r="S859"/>
  <c r="R859"/>
  <c r="Q859"/>
  <c r="P859"/>
  <c r="O859"/>
  <c r="S858"/>
  <c r="R858"/>
  <c r="Q858"/>
  <c r="P858"/>
  <c r="O858"/>
  <c r="S857"/>
  <c r="R857"/>
  <c r="Q857"/>
  <c r="P857"/>
  <c r="O857"/>
  <c r="S856"/>
  <c r="R856"/>
  <c r="Q856"/>
  <c r="P856"/>
  <c r="O856"/>
  <c r="S855"/>
  <c r="R855"/>
  <c r="Q855"/>
  <c r="P855"/>
  <c r="O855"/>
  <c r="S854"/>
  <c r="R854"/>
  <c r="Q854"/>
  <c r="P854"/>
  <c r="O854"/>
  <c r="S853"/>
  <c r="R853"/>
  <c r="Q853"/>
  <c r="P853"/>
  <c r="O853"/>
  <c r="S852"/>
  <c r="R852"/>
  <c r="Q852"/>
  <c r="P852"/>
  <c r="O852"/>
  <c r="S851"/>
  <c r="R851"/>
  <c r="Q851"/>
  <c r="P851"/>
  <c r="O851"/>
  <c r="S850"/>
  <c r="R850"/>
  <c r="Q850"/>
  <c r="P850"/>
  <c r="O850"/>
  <c r="S849"/>
  <c r="R849"/>
  <c r="Q849"/>
  <c r="P849"/>
  <c r="O849"/>
  <c r="S848"/>
  <c r="R848"/>
  <c r="Q848"/>
  <c r="P848"/>
  <c r="O848"/>
  <c r="S847"/>
  <c r="R847"/>
  <c r="Q847"/>
  <c r="P847"/>
  <c r="O847"/>
  <c r="S846"/>
  <c r="R846"/>
  <c r="Q846"/>
  <c r="P846"/>
  <c r="O846"/>
  <c r="S845"/>
  <c r="R845"/>
  <c r="Q845"/>
  <c r="P845"/>
  <c r="O845"/>
  <c r="S844"/>
  <c r="R844"/>
  <c r="Q844"/>
  <c r="P844"/>
  <c r="O844"/>
  <c r="S843"/>
  <c r="R843"/>
  <c r="Q843"/>
  <c r="P843"/>
  <c r="O843"/>
  <c r="S842"/>
  <c r="R842"/>
  <c r="Q842"/>
  <c r="P842"/>
  <c r="O842"/>
  <c r="S841"/>
  <c r="R841"/>
  <c r="Q841"/>
  <c r="P841"/>
  <c r="O841"/>
  <c r="S840"/>
  <c r="R840"/>
  <c r="Q840"/>
  <c r="P840"/>
  <c r="O840"/>
  <c r="S839"/>
  <c r="R839"/>
  <c r="Q839"/>
  <c r="P839"/>
  <c r="O839"/>
  <c r="S838"/>
  <c r="R838"/>
  <c r="Q838"/>
  <c r="P838"/>
  <c r="O838"/>
  <c r="S837"/>
  <c r="R837"/>
  <c r="Q837"/>
  <c r="P837"/>
  <c r="O837"/>
  <c r="S836"/>
  <c r="R836"/>
  <c r="Q836"/>
  <c r="P836"/>
  <c r="O836"/>
  <c r="S835"/>
  <c r="R835"/>
  <c r="Q835"/>
  <c r="P835"/>
  <c r="O835"/>
  <c r="S834"/>
  <c r="R834"/>
  <c r="Q834"/>
  <c r="P834"/>
  <c r="O834"/>
  <c r="S833"/>
  <c r="R833"/>
  <c r="Q833"/>
  <c r="P833"/>
  <c r="O833"/>
  <c r="S832"/>
  <c r="R832"/>
  <c r="Q832"/>
  <c r="P832"/>
  <c r="O832"/>
  <c r="S831"/>
  <c r="R831"/>
  <c r="Q831"/>
  <c r="P831"/>
  <c r="O831"/>
  <c r="S830"/>
  <c r="R830"/>
  <c r="Q830"/>
  <c r="P830"/>
  <c r="O830"/>
  <c r="S829"/>
  <c r="R829"/>
  <c r="Q829"/>
  <c r="P829"/>
  <c r="O829"/>
  <c r="S828"/>
  <c r="R828"/>
  <c r="Q828"/>
  <c r="P828"/>
  <c r="O828"/>
  <c r="S827"/>
  <c r="R827"/>
  <c r="Q827"/>
  <c r="P827"/>
  <c r="O827"/>
  <c r="S826"/>
  <c r="R826"/>
  <c r="Q826"/>
  <c r="P826"/>
  <c r="O826"/>
  <c r="S825"/>
  <c r="R825"/>
  <c r="Q825"/>
  <c r="P825"/>
  <c r="O825"/>
  <c r="S824"/>
  <c r="R824"/>
  <c r="Q824"/>
  <c r="P824"/>
  <c r="O824"/>
  <c r="S823"/>
  <c r="R823"/>
  <c r="Q823"/>
  <c r="P823"/>
  <c r="O823"/>
  <c r="S822"/>
  <c r="R822"/>
  <c r="Q822"/>
  <c r="P822"/>
  <c r="O822"/>
  <c r="S821"/>
  <c r="R821"/>
  <c r="Q821"/>
  <c r="P821"/>
  <c r="O821"/>
  <c r="S820"/>
  <c r="R820"/>
  <c r="Q820"/>
  <c r="P820"/>
  <c r="O820"/>
  <c r="S819"/>
  <c r="R819"/>
  <c r="Q819"/>
  <c r="P819"/>
  <c r="O819"/>
  <c r="S818"/>
  <c r="R818"/>
  <c r="Q818"/>
  <c r="P818"/>
  <c r="O818"/>
  <c r="S817"/>
  <c r="R817"/>
  <c r="Q817"/>
  <c r="P817"/>
  <c r="O817"/>
  <c r="S816"/>
  <c r="R816"/>
  <c r="Q816"/>
  <c r="P816"/>
  <c r="O816"/>
  <c r="S815"/>
  <c r="R815"/>
  <c r="Q815"/>
  <c r="P815"/>
  <c r="O815"/>
  <c r="S814"/>
  <c r="R814"/>
  <c r="Q814"/>
  <c r="P814"/>
  <c r="O814"/>
  <c r="S813"/>
  <c r="R813"/>
  <c r="Q813"/>
  <c r="P813"/>
  <c r="O813"/>
  <c r="S812"/>
  <c r="R812"/>
  <c r="Q812"/>
  <c r="P812"/>
  <c r="O812"/>
  <c r="S811"/>
  <c r="R811"/>
  <c r="Q811"/>
  <c r="P811"/>
  <c r="O811"/>
  <c r="S810"/>
  <c r="R810"/>
  <c r="Q810"/>
  <c r="P810"/>
  <c r="O810"/>
  <c r="S809"/>
  <c r="R809"/>
  <c r="Q809"/>
  <c r="P809"/>
  <c r="O809"/>
  <c r="S808"/>
  <c r="R808"/>
  <c r="Q808"/>
  <c r="P808"/>
  <c r="O808"/>
  <c r="S807"/>
  <c r="R807"/>
  <c r="Q807"/>
  <c r="P807"/>
  <c r="O807"/>
  <c r="S806"/>
  <c r="R806"/>
  <c r="Q806"/>
  <c r="P806"/>
  <c r="O806"/>
  <c r="S805"/>
  <c r="R805"/>
  <c r="Q805"/>
  <c r="P805"/>
  <c r="O805"/>
  <c r="S804"/>
  <c r="R804"/>
  <c r="Q804"/>
  <c r="P804"/>
  <c r="O804"/>
  <c r="S803"/>
  <c r="R803"/>
  <c r="Q803"/>
  <c r="P803"/>
  <c r="O803"/>
  <c r="S802"/>
  <c r="R802"/>
  <c r="Q802"/>
  <c r="P802"/>
  <c r="O802"/>
  <c r="S801"/>
  <c r="R801"/>
  <c r="Q801"/>
  <c r="P801"/>
  <c r="O801"/>
  <c r="S800"/>
  <c r="R800"/>
  <c r="Q800"/>
  <c r="P800"/>
  <c r="O800"/>
  <c r="S799"/>
  <c r="R799"/>
  <c r="Q799"/>
  <c r="P799"/>
  <c r="O799"/>
  <c r="S798"/>
  <c r="R798"/>
  <c r="Q798"/>
  <c r="P798"/>
  <c r="O798"/>
  <c r="S797"/>
  <c r="R797"/>
  <c r="Q797"/>
  <c r="P797"/>
  <c r="O797"/>
  <c r="S796"/>
  <c r="R796"/>
  <c r="Q796"/>
  <c r="P796"/>
  <c r="O796"/>
  <c r="S795"/>
  <c r="R795"/>
  <c r="Q795"/>
  <c r="P795"/>
  <c r="O795"/>
  <c r="S794"/>
  <c r="R794"/>
  <c r="Q794"/>
  <c r="P794"/>
  <c r="O794"/>
  <c r="S793"/>
  <c r="R793"/>
  <c r="Q793"/>
  <c r="P793"/>
  <c r="O793"/>
  <c r="S792"/>
  <c r="R792"/>
  <c r="Q792"/>
  <c r="P792"/>
  <c r="O792"/>
  <c r="S791"/>
  <c r="R791"/>
  <c r="Q791"/>
  <c r="P791"/>
  <c r="O791"/>
  <c r="S790"/>
  <c r="R790"/>
  <c r="Q790"/>
  <c r="P790"/>
  <c r="O790"/>
  <c r="S789"/>
  <c r="R789"/>
  <c r="Q789"/>
  <c r="P789"/>
  <c r="O789"/>
  <c r="S788"/>
  <c r="R788"/>
  <c r="Q788"/>
  <c r="P788"/>
  <c r="O788"/>
  <c r="S787"/>
  <c r="R787"/>
  <c r="Q787"/>
  <c r="P787"/>
  <c r="O787"/>
  <c r="S786"/>
  <c r="R786"/>
  <c r="Q786"/>
  <c r="P786"/>
  <c r="O786"/>
  <c r="S785"/>
  <c r="R785"/>
  <c r="Q785"/>
  <c r="P785"/>
  <c r="O785"/>
  <c r="S784"/>
  <c r="R784"/>
  <c r="Q784"/>
  <c r="P784"/>
  <c r="O784"/>
  <c r="S783"/>
  <c r="R783"/>
  <c r="Q783"/>
  <c r="P783"/>
  <c r="O783"/>
  <c r="S782"/>
  <c r="R782"/>
  <c r="Q782"/>
  <c r="P782"/>
  <c r="O782"/>
  <c r="S781"/>
  <c r="R781"/>
  <c r="Q781"/>
  <c r="P781"/>
  <c r="O781"/>
  <c r="S780"/>
  <c r="R780"/>
  <c r="Q780"/>
  <c r="P780"/>
  <c r="O780"/>
  <c r="S779"/>
  <c r="R779"/>
  <c r="Q779"/>
  <c r="P779"/>
  <c r="O779"/>
  <c r="S778"/>
  <c r="R778"/>
  <c r="Q778"/>
  <c r="P778"/>
  <c r="O778"/>
  <c r="S777"/>
  <c r="R777"/>
  <c r="Q777"/>
  <c r="P777"/>
  <c r="O777"/>
  <c r="S776"/>
  <c r="R776"/>
  <c r="Q776"/>
  <c r="P776"/>
  <c r="O776"/>
  <c r="S775"/>
  <c r="R775"/>
  <c r="Q775"/>
  <c r="P775"/>
  <c r="O775"/>
  <c r="S774"/>
  <c r="R774"/>
  <c r="Q774"/>
  <c r="P774"/>
  <c r="O774"/>
  <c r="S773"/>
  <c r="R773"/>
  <c r="Q773"/>
  <c r="P773"/>
  <c r="O773"/>
  <c r="S772"/>
  <c r="R772"/>
  <c r="Q772"/>
  <c r="P772"/>
  <c r="O772"/>
  <c r="S771"/>
  <c r="R771"/>
  <c r="Q771"/>
  <c r="P771"/>
  <c r="O771"/>
  <c r="S770"/>
  <c r="R770"/>
  <c r="Q770"/>
  <c r="P770"/>
  <c r="O770"/>
  <c r="S769"/>
  <c r="R769"/>
  <c r="Q769"/>
  <c r="P769"/>
  <c r="O769"/>
  <c r="S768"/>
  <c r="R768"/>
  <c r="Q768"/>
  <c r="P768"/>
  <c r="O768"/>
  <c r="S767"/>
  <c r="R767"/>
  <c r="Q767"/>
  <c r="P767"/>
  <c r="O767"/>
  <c r="S766"/>
  <c r="R766"/>
  <c r="Q766"/>
  <c r="P766"/>
  <c r="O766"/>
  <c r="S765"/>
  <c r="R765"/>
  <c r="Q765"/>
  <c r="P765"/>
  <c r="O765"/>
  <c r="S764"/>
  <c r="R764"/>
  <c r="Q764"/>
  <c r="P764"/>
  <c r="O764"/>
  <c r="S763"/>
  <c r="R763"/>
  <c r="Q763"/>
  <c r="P763"/>
  <c r="O763"/>
  <c r="S762"/>
  <c r="R762"/>
  <c r="Q762"/>
  <c r="P762"/>
  <c r="O762"/>
  <c r="S761"/>
  <c r="R761"/>
  <c r="Q761"/>
  <c r="P761"/>
  <c r="O761"/>
  <c r="S760"/>
  <c r="R760"/>
  <c r="Q760"/>
  <c r="P760"/>
  <c r="O760"/>
  <c r="S759"/>
  <c r="R759"/>
  <c r="Q759"/>
  <c r="P759"/>
  <c r="O759"/>
  <c r="S758"/>
  <c r="R758"/>
  <c r="Q758"/>
  <c r="P758"/>
  <c r="O758"/>
  <c r="S757"/>
  <c r="R757"/>
  <c r="Q757"/>
  <c r="P757"/>
  <c r="O757"/>
  <c r="S756"/>
  <c r="R756"/>
  <c r="Q756"/>
  <c r="P756"/>
  <c r="O756"/>
  <c r="S755"/>
  <c r="R755"/>
  <c r="Q755"/>
  <c r="P755"/>
  <c r="O755"/>
  <c r="S754"/>
  <c r="R754"/>
  <c r="Q754"/>
  <c r="P754"/>
  <c r="O754"/>
  <c r="S753"/>
  <c r="R753"/>
  <c r="Q753"/>
  <c r="P753"/>
  <c r="O753"/>
  <c r="S752"/>
  <c r="R752"/>
  <c r="Q752"/>
  <c r="P752"/>
  <c r="O752"/>
  <c r="S751"/>
  <c r="R751"/>
  <c r="Q751"/>
  <c r="P751"/>
  <c r="O751"/>
  <c r="S750"/>
  <c r="R750"/>
  <c r="Q750"/>
  <c r="P750"/>
  <c r="O750"/>
  <c r="S749"/>
  <c r="R749"/>
  <c r="Q749"/>
  <c r="P749"/>
  <c r="O749"/>
  <c r="S748"/>
  <c r="R748"/>
  <c r="Q748"/>
  <c r="P748"/>
  <c r="O748"/>
  <c r="S747"/>
  <c r="R747"/>
  <c r="Q747"/>
  <c r="P747"/>
  <c r="O747"/>
  <c r="S746"/>
  <c r="R746"/>
  <c r="Q746"/>
  <c r="P746"/>
  <c r="O746"/>
  <c r="S745"/>
  <c r="R745"/>
  <c r="Q745"/>
  <c r="P745"/>
  <c r="O745"/>
  <c r="S744"/>
  <c r="R744"/>
  <c r="Q744"/>
  <c r="P744"/>
  <c r="O744"/>
  <c r="S743"/>
  <c r="R743"/>
  <c r="Q743"/>
  <c r="P743"/>
  <c r="O743"/>
  <c r="S742"/>
  <c r="R742"/>
  <c r="Q742"/>
  <c r="P742"/>
  <c r="O742"/>
  <c r="S741"/>
  <c r="R741"/>
  <c r="Q741"/>
  <c r="P741"/>
  <c r="O741"/>
  <c r="S740"/>
  <c r="R740"/>
  <c r="Q740"/>
  <c r="P740"/>
  <c r="O740"/>
  <c r="S739"/>
  <c r="R739"/>
  <c r="Q739"/>
  <c r="P739"/>
  <c r="O739"/>
  <c r="S738"/>
  <c r="R738"/>
  <c r="Q738"/>
  <c r="P738"/>
  <c r="O738"/>
  <c r="S737"/>
  <c r="R737"/>
  <c r="Q737"/>
  <c r="P737"/>
  <c r="O737"/>
  <c r="S736"/>
  <c r="R736"/>
  <c r="Q736"/>
  <c r="P736"/>
  <c r="O736"/>
  <c r="S735"/>
  <c r="R735"/>
  <c r="Q735"/>
  <c r="P735"/>
  <c r="O735"/>
  <c r="S734"/>
  <c r="R734"/>
  <c r="Q734"/>
  <c r="P734"/>
  <c r="O734"/>
  <c r="S733"/>
  <c r="R733"/>
  <c r="Q733"/>
  <c r="P733"/>
  <c r="O733"/>
  <c r="S732"/>
  <c r="R732"/>
  <c r="Q732"/>
  <c r="P732"/>
  <c r="O732"/>
  <c r="S731"/>
  <c r="R731"/>
  <c r="Q731"/>
  <c r="P731"/>
  <c r="O731"/>
  <c r="S730"/>
  <c r="R730"/>
  <c r="Q730"/>
  <c r="P730"/>
  <c r="O730"/>
  <c r="S729"/>
  <c r="R729"/>
  <c r="Q729"/>
  <c r="P729"/>
  <c r="O729"/>
  <c r="S728"/>
  <c r="R728"/>
  <c r="Q728"/>
  <c r="P728"/>
  <c r="O728"/>
  <c r="S727"/>
  <c r="R727"/>
  <c r="Q727"/>
  <c r="P727"/>
  <c r="O727"/>
  <c r="S726"/>
  <c r="R726"/>
  <c r="Q726"/>
  <c r="P726"/>
  <c r="O726"/>
  <c r="S725"/>
  <c r="R725"/>
  <c r="Q725"/>
  <c r="P725"/>
  <c r="O725"/>
  <c r="S724"/>
  <c r="R724"/>
  <c r="Q724"/>
  <c r="P724"/>
  <c r="O724"/>
  <c r="S723"/>
  <c r="R723"/>
  <c r="Q723"/>
  <c r="P723"/>
  <c r="O723"/>
  <c r="S722"/>
  <c r="R722"/>
  <c r="Q722"/>
  <c r="P722"/>
  <c r="O722"/>
  <c r="S721"/>
  <c r="R721"/>
  <c r="Q721"/>
  <c r="P721"/>
  <c r="O721"/>
  <c r="S720"/>
  <c r="R720"/>
  <c r="Q720"/>
  <c r="P720"/>
  <c r="O720"/>
  <c r="S719"/>
  <c r="R719"/>
  <c r="Q719"/>
  <c r="P719"/>
  <c r="O719"/>
  <c r="S718"/>
  <c r="R718"/>
  <c r="Q718"/>
  <c r="P718"/>
  <c r="O718"/>
  <c r="S717"/>
  <c r="R717"/>
  <c r="Q717"/>
  <c r="P717"/>
  <c r="O717"/>
  <c r="S716"/>
  <c r="R716"/>
  <c r="Q716"/>
  <c r="P716"/>
  <c r="O716"/>
  <c r="S715"/>
  <c r="R715"/>
  <c r="Q715"/>
  <c r="P715"/>
  <c r="O715"/>
  <c r="S714"/>
  <c r="R714"/>
  <c r="Q714"/>
  <c r="P714"/>
  <c r="O714"/>
  <c r="S713"/>
  <c r="R713"/>
  <c r="Q713"/>
  <c r="P713"/>
  <c r="O713"/>
  <c r="S712"/>
  <c r="R712"/>
  <c r="Q712"/>
  <c r="P712"/>
  <c r="O712"/>
  <c r="S711"/>
  <c r="R711"/>
  <c r="Q711"/>
  <c r="P711"/>
  <c r="O711"/>
  <c r="S710"/>
  <c r="R710"/>
  <c r="Q710"/>
  <c r="P710"/>
  <c r="O710"/>
  <c r="S709"/>
  <c r="R709"/>
  <c r="Q709"/>
  <c r="P709"/>
  <c r="O709"/>
  <c r="S708"/>
  <c r="R708"/>
  <c r="Q708"/>
  <c r="P708"/>
  <c r="O708"/>
  <c r="S707"/>
  <c r="R707"/>
  <c r="Q707"/>
  <c r="P707"/>
  <c r="O707"/>
  <c r="S706"/>
  <c r="R706"/>
  <c r="Q706"/>
  <c r="P706"/>
  <c r="O706"/>
  <c r="S705"/>
  <c r="R705"/>
  <c r="Q705"/>
  <c r="P705"/>
  <c r="O705"/>
  <c r="S704"/>
  <c r="R704"/>
  <c r="Q704"/>
  <c r="P704"/>
  <c r="O704"/>
  <c r="S703"/>
  <c r="R703"/>
  <c r="Q703"/>
  <c r="P703"/>
  <c r="O703"/>
  <c r="S702"/>
  <c r="R702"/>
  <c r="Q702"/>
  <c r="P702"/>
  <c r="O702"/>
  <c r="S701"/>
  <c r="R701"/>
  <c r="Q701"/>
  <c r="P701"/>
  <c r="O701"/>
  <c r="S700"/>
  <c r="R700"/>
  <c r="Q700"/>
  <c r="P700"/>
  <c r="O700"/>
  <c r="S699"/>
  <c r="R699"/>
  <c r="Q699"/>
  <c r="P699"/>
  <c r="O699"/>
  <c r="S698"/>
  <c r="R698"/>
  <c r="Q698"/>
  <c r="P698"/>
  <c r="O698"/>
  <c r="S697"/>
  <c r="R697"/>
  <c r="Q697"/>
  <c r="P697"/>
  <c r="O697"/>
  <c r="S696"/>
  <c r="R696"/>
  <c r="Q696"/>
  <c r="P696"/>
  <c r="O696"/>
  <c r="S695"/>
  <c r="R695"/>
  <c r="Q695"/>
  <c r="P695"/>
  <c r="O695"/>
  <c r="S694"/>
  <c r="R694"/>
  <c r="Q694"/>
  <c r="P694"/>
  <c r="O694"/>
  <c r="S693"/>
  <c r="R693"/>
  <c r="Q693"/>
  <c r="P693"/>
  <c r="O693"/>
  <c r="S692"/>
  <c r="R692"/>
  <c r="Q692"/>
  <c r="P692"/>
  <c r="O692"/>
  <c r="S691"/>
  <c r="R691"/>
  <c r="Q691"/>
  <c r="P691"/>
  <c r="O691"/>
  <c r="S690"/>
  <c r="R690"/>
  <c r="Q690"/>
  <c r="P690"/>
  <c r="O690"/>
  <c r="S689"/>
  <c r="R689"/>
  <c r="Q689"/>
  <c r="P689"/>
  <c r="O689"/>
  <c r="S688"/>
  <c r="R688"/>
  <c r="Q688"/>
  <c r="P688"/>
  <c r="O688"/>
  <c r="S687"/>
  <c r="R687"/>
  <c r="Q687"/>
  <c r="P687"/>
  <c r="O687"/>
  <c r="S686"/>
  <c r="R686"/>
  <c r="Q686"/>
  <c r="P686"/>
  <c r="O686"/>
  <c r="S685"/>
  <c r="R685"/>
  <c r="Q685"/>
  <c r="P685"/>
  <c r="O685"/>
  <c r="S684"/>
  <c r="R684"/>
  <c r="Q684"/>
  <c r="P684"/>
  <c r="O684"/>
  <c r="S683"/>
  <c r="R683"/>
  <c r="Q683"/>
  <c r="P683"/>
  <c r="O683"/>
  <c r="S682"/>
  <c r="R682"/>
  <c r="Q682"/>
  <c r="P682"/>
  <c r="O682"/>
  <c r="S681"/>
  <c r="R681"/>
  <c r="Q681"/>
  <c r="P681"/>
  <c r="O681"/>
  <c r="S680"/>
  <c r="R680"/>
  <c r="Q680"/>
  <c r="P680"/>
  <c r="O680"/>
  <c r="S679"/>
  <c r="R679"/>
  <c r="Q679"/>
  <c r="P679"/>
  <c r="O679"/>
  <c r="S678"/>
  <c r="R678"/>
  <c r="Q678"/>
  <c r="P678"/>
  <c r="O678"/>
  <c r="S677"/>
  <c r="R677"/>
  <c r="Q677"/>
  <c r="P677"/>
  <c r="O677"/>
  <c r="S676"/>
  <c r="R676"/>
  <c r="Q676"/>
  <c r="P676"/>
  <c r="O676"/>
  <c r="S675"/>
  <c r="R675"/>
  <c r="Q675"/>
  <c r="P675"/>
  <c r="O675"/>
  <c r="S674"/>
  <c r="R674"/>
  <c r="Q674"/>
  <c r="P674"/>
  <c r="O674"/>
  <c r="S673"/>
  <c r="R673"/>
  <c r="Q673"/>
  <c r="P673"/>
  <c r="O673"/>
  <c r="S672"/>
  <c r="R672"/>
  <c r="Q672"/>
  <c r="P672"/>
  <c r="O672"/>
  <c r="S671"/>
  <c r="R671"/>
  <c r="Q671"/>
  <c r="P671"/>
  <c r="O671"/>
  <c r="S670"/>
  <c r="R670"/>
  <c r="Q670"/>
  <c r="P670"/>
  <c r="O670"/>
  <c r="S669"/>
  <c r="R669"/>
  <c r="Q669"/>
  <c r="P669"/>
  <c r="O669"/>
  <c r="S668"/>
  <c r="R668"/>
  <c r="Q668"/>
  <c r="P668"/>
  <c r="O668"/>
  <c r="S667"/>
  <c r="R667"/>
  <c r="Q667"/>
  <c r="P667"/>
  <c r="O667"/>
  <c r="S666"/>
  <c r="R666"/>
  <c r="Q666"/>
  <c r="P666"/>
  <c r="O666"/>
  <c r="S665"/>
  <c r="R665"/>
  <c r="Q665"/>
  <c r="P665"/>
  <c r="O665"/>
  <c r="S664"/>
  <c r="R664"/>
  <c r="Q664"/>
  <c r="P664"/>
  <c r="O664"/>
  <c r="S663"/>
  <c r="R663"/>
  <c r="Q663"/>
  <c r="P663"/>
  <c r="O663"/>
  <c r="S662"/>
  <c r="R662"/>
  <c r="Q662"/>
  <c r="P662"/>
  <c r="O662"/>
  <c r="S661"/>
  <c r="R661"/>
  <c r="Q661"/>
  <c r="P661"/>
  <c r="O661"/>
  <c r="S660"/>
  <c r="R660"/>
  <c r="Q660"/>
  <c r="P660"/>
  <c r="O660"/>
  <c r="S659"/>
  <c r="R659"/>
  <c r="Q659"/>
  <c r="P659"/>
  <c r="O659"/>
  <c r="S658"/>
  <c r="R658"/>
  <c r="Q658"/>
  <c r="P658"/>
  <c r="O658"/>
  <c r="S657"/>
  <c r="R657"/>
  <c r="Q657"/>
  <c r="P657"/>
  <c r="O657"/>
  <c r="S656"/>
  <c r="R656"/>
  <c r="Q656"/>
  <c r="P656"/>
  <c r="O656"/>
  <c r="S655"/>
  <c r="R655"/>
  <c r="Q655"/>
  <c r="P655"/>
  <c r="O655"/>
  <c r="S654"/>
  <c r="R654"/>
  <c r="Q654"/>
  <c r="P654"/>
  <c r="O654"/>
  <c r="S653"/>
  <c r="R653"/>
  <c r="Q653"/>
  <c r="P653"/>
  <c r="O653"/>
  <c r="S652"/>
  <c r="R652"/>
  <c r="Q652"/>
  <c r="P652"/>
  <c r="O652"/>
  <c r="S651"/>
  <c r="R651"/>
  <c r="Q651"/>
  <c r="P651"/>
  <c r="O651"/>
  <c r="S650"/>
  <c r="R650"/>
  <c r="Q650"/>
  <c r="P650"/>
  <c r="O650"/>
  <c r="S649"/>
  <c r="R649"/>
  <c r="Q649"/>
  <c r="P649"/>
  <c r="O649"/>
  <c r="S648"/>
  <c r="R648"/>
  <c r="Q648"/>
  <c r="P648"/>
  <c r="O648"/>
  <c r="S647"/>
  <c r="R647"/>
  <c r="Q647"/>
  <c r="P647"/>
  <c r="O647"/>
  <c r="S646"/>
  <c r="R646"/>
  <c r="Q646"/>
  <c r="P646"/>
  <c r="O646"/>
  <c r="S645"/>
  <c r="R645"/>
  <c r="Q645"/>
  <c r="P645"/>
  <c r="O645"/>
  <c r="S644"/>
  <c r="R644"/>
  <c r="Q644"/>
  <c r="P644"/>
  <c r="O644"/>
  <c r="S643"/>
  <c r="R643"/>
  <c r="Q643"/>
  <c r="P643"/>
  <c r="O643"/>
  <c r="S642"/>
  <c r="R642"/>
  <c r="Q642"/>
  <c r="P642"/>
  <c r="O642"/>
  <c r="S641"/>
  <c r="R641"/>
  <c r="Q641"/>
  <c r="P641"/>
  <c r="O641"/>
  <c r="S640"/>
  <c r="R640"/>
  <c r="Q640"/>
  <c r="P640"/>
  <c r="O640"/>
  <c r="S639"/>
  <c r="R639"/>
  <c r="Q639"/>
  <c r="P639"/>
  <c r="O639"/>
  <c r="S638"/>
  <c r="R638"/>
  <c r="Q638"/>
  <c r="P638"/>
  <c r="O638"/>
  <c r="S637"/>
  <c r="R637"/>
  <c r="Q637"/>
  <c r="P637"/>
  <c r="O637"/>
  <c r="S636"/>
  <c r="R636"/>
  <c r="Q636"/>
  <c r="P636"/>
  <c r="O636"/>
  <c r="S635"/>
  <c r="R635"/>
  <c r="Q635"/>
  <c r="P635"/>
  <c r="O635"/>
  <c r="S634"/>
  <c r="R634"/>
  <c r="Q634"/>
  <c r="P634"/>
  <c r="O634"/>
  <c r="S633"/>
  <c r="R633"/>
  <c r="Q633"/>
  <c r="P633"/>
  <c r="O633"/>
  <c r="S632"/>
  <c r="R632"/>
  <c r="Q632"/>
  <c r="P632"/>
  <c r="O632"/>
  <c r="S631"/>
  <c r="R631"/>
  <c r="Q631"/>
  <c r="P631"/>
  <c r="O631"/>
  <c r="S630"/>
  <c r="R630"/>
  <c r="Q630"/>
  <c r="P630"/>
  <c r="O630"/>
  <c r="S629"/>
  <c r="R629"/>
  <c r="Q629"/>
  <c r="P629"/>
  <c r="O629"/>
  <c r="S628"/>
  <c r="R628"/>
  <c r="Q628"/>
  <c r="P628"/>
  <c r="O628"/>
  <c r="S627"/>
  <c r="R627"/>
  <c r="Q627"/>
  <c r="P627"/>
  <c r="O627"/>
  <c r="S626"/>
  <c r="R626"/>
  <c r="Q626"/>
  <c r="P626"/>
  <c r="O626"/>
  <c r="S625"/>
  <c r="R625"/>
  <c r="Q625"/>
  <c r="P625"/>
  <c r="O625"/>
  <c r="S624"/>
  <c r="R624"/>
  <c r="Q624"/>
  <c r="P624"/>
  <c r="O624"/>
  <c r="S623"/>
  <c r="R623"/>
  <c r="Q623"/>
  <c r="P623"/>
  <c r="O623"/>
  <c r="S622"/>
  <c r="R622"/>
  <c r="Q622"/>
  <c r="P622"/>
  <c r="O622"/>
  <c r="S621"/>
  <c r="R621"/>
  <c r="Q621"/>
  <c r="P621"/>
  <c r="O621"/>
  <c r="S620"/>
  <c r="R620"/>
  <c r="Q620"/>
  <c r="P620"/>
  <c r="O620"/>
  <c r="S619"/>
  <c r="R619"/>
  <c r="Q619"/>
  <c r="P619"/>
  <c r="O619"/>
  <c r="S618"/>
  <c r="R618"/>
  <c r="Q618"/>
  <c r="P618"/>
  <c r="O618"/>
  <c r="S617"/>
  <c r="R617"/>
  <c r="Q617"/>
  <c r="P617"/>
  <c r="O617"/>
  <c r="S616"/>
  <c r="R616"/>
  <c r="Q616"/>
  <c r="P616"/>
  <c r="O616"/>
  <c r="S615"/>
  <c r="R615"/>
  <c r="Q615"/>
  <c r="P615"/>
  <c r="O615"/>
  <c r="S614"/>
  <c r="R614"/>
  <c r="Q614"/>
  <c r="P614"/>
  <c r="O614"/>
  <c r="S613"/>
  <c r="R613"/>
  <c r="Q613"/>
  <c r="P613"/>
  <c r="O613"/>
  <c r="S612"/>
  <c r="R612"/>
  <c r="Q612"/>
  <c r="P612"/>
  <c r="O612"/>
  <c r="S611"/>
  <c r="R611"/>
  <c r="Q611"/>
  <c r="P611"/>
  <c r="O611"/>
  <c r="S610"/>
  <c r="R610"/>
  <c r="Q610"/>
  <c r="P610"/>
  <c r="O610"/>
  <c r="S609"/>
  <c r="R609"/>
  <c r="Q609"/>
  <c r="P609"/>
  <c r="O609"/>
  <c r="S608"/>
  <c r="R608"/>
  <c r="Q608"/>
  <c r="P608"/>
  <c r="O608"/>
  <c r="S607"/>
  <c r="R607"/>
  <c r="Q607"/>
  <c r="P607"/>
  <c r="O607"/>
  <c r="S606"/>
  <c r="R606"/>
  <c r="Q606"/>
  <c r="P606"/>
  <c r="O606"/>
  <c r="S605"/>
  <c r="R605"/>
  <c r="Q605"/>
  <c r="P605"/>
  <c r="O605"/>
  <c r="S604"/>
  <c r="R604"/>
  <c r="Q604"/>
  <c r="P604"/>
  <c r="O604"/>
  <c r="S603"/>
  <c r="R603"/>
  <c r="Q603"/>
  <c r="P603"/>
  <c r="O603"/>
  <c r="S602"/>
  <c r="R602"/>
  <c r="Q602"/>
  <c r="P602"/>
  <c r="O602"/>
  <c r="S601"/>
  <c r="R601"/>
  <c r="Q601"/>
  <c r="P601"/>
  <c r="O601"/>
  <c r="S600"/>
  <c r="R600"/>
  <c r="Q600"/>
  <c r="P600"/>
  <c r="O600"/>
  <c r="S599"/>
  <c r="R599"/>
  <c r="Q599"/>
  <c r="P599"/>
  <c r="O599"/>
  <c r="S598"/>
  <c r="R598"/>
  <c r="Q598"/>
  <c r="P598"/>
  <c r="O598"/>
  <c r="S597"/>
  <c r="R597"/>
  <c r="Q597"/>
  <c r="P597"/>
  <c r="O597"/>
  <c r="S596"/>
  <c r="R596"/>
  <c r="Q596"/>
  <c r="P596"/>
  <c r="O596"/>
  <c r="S595"/>
  <c r="R595"/>
  <c r="Q595"/>
  <c r="P595"/>
  <c r="O595"/>
  <c r="S594"/>
  <c r="R594"/>
  <c r="Q594"/>
  <c r="P594"/>
  <c r="O594"/>
  <c r="S593"/>
  <c r="R593"/>
  <c r="Q593"/>
  <c r="P593"/>
  <c r="O593"/>
  <c r="S592"/>
  <c r="R592"/>
  <c r="Q592"/>
  <c r="P592"/>
  <c r="O592"/>
  <c r="S591"/>
  <c r="R591"/>
  <c r="Q591"/>
  <c r="P591"/>
  <c r="O591"/>
  <c r="S590"/>
  <c r="R590"/>
  <c r="Q590"/>
  <c r="P590"/>
  <c r="O590"/>
  <c r="S589"/>
  <c r="R589"/>
  <c r="Q589"/>
  <c r="P589"/>
  <c r="O589"/>
  <c r="S588"/>
  <c r="R588"/>
  <c r="Q588"/>
  <c r="P588"/>
  <c r="O588"/>
  <c r="S587"/>
  <c r="R587"/>
  <c r="Q587"/>
  <c r="P587"/>
  <c r="O587"/>
  <c r="S586"/>
  <c r="R586"/>
  <c r="Q586"/>
  <c r="P586"/>
  <c r="O586"/>
  <c r="S585"/>
  <c r="R585"/>
  <c r="Q585"/>
  <c r="P585"/>
  <c r="O585"/>
  <c r="S584"/>
  <c r="R584"/>
  <c r="Q584"/>
  <c r="P584"/>
  <c r="O584"/>
  <c r="S583"/>
  <c r="R583"/>
  <c r="Q583"/>
  <c r="P583"/>
  <c r="O583"/>
  <c r="S582"/>
  <c r="R582"/>
  <c r="Q582"/>
  <c r="P582"/>
  <c r="O582"/>
  <c r="S581"/>
  <c r="R581"/>
  <c r="Q581"/>
  <c r="P581"/>
  <c r="O581"/>
  <c r="S580"/>
  <c r="R580"/>
  <c r="Q580"/>
  <c r="P580"/>
  <c r="O580"/>
  <c r="S579"/>
  <c r="R579"/>
  <c r="Q579"/>
  <c r="P579"/>
  <c r="O579"/>
  <c r="S578"/>
  <c r="R578"/>
  <c r="Q578"/>
  <c r="P578"/>
  <c r="O578"/>
  <c r="S577"/>
  <c r="R577"/>
  <c r="Q577"/>
  <c r="P577"/>
  <c r="O577"/>
  <c r="S576"/>
  <c r="R576"/>
  <c r="Q576"/>
  <c r="P576"/>
  <c r="O576"/>
  <c r="S575"/>
  <c r="R575"/>
  <c r="Q575"/>
  <c r="P575"/>
  <c r="O575"/>
  <c r="S574"/>
  <c r="R574"/>
  <c r="Q574"/>
  <c r="P574"/>
  <c r="O574"/>
  <c r="S573"/>
  <c r="R573"/>
  <c r="Q573"/>
  <c r="P573"/>
  <c r="O573"/>
  <c r="S572"/>
  <c r="R572"/>
  <c r="Q572"/>
  <c r="P572"/>
  <c r="O572"/>
  <c r="S571"/>
  <c r="R571"/>
  <c r="Q571"/>
  <c r="P571"/>
  <c r="O571"/>
  <c r="S570"/>
  <c r="R570"/>
  <c r="Q570"/>
  <c r="P570"/>
  <c r="O570"/>
  <c r="S569"/>
  <c r="R569"/>
  <c r="Q569"/>
  <c r="P569"/>
  <c r="O569"/>
  <c r="S568"/>
  <c r="R568"/>
  <c r="Q568"/>
  <c r="P568"/>
  <c r="O568"/>
  <c r="S567"/>
  <c r="R567"/>
  <c r="Q567"/>
  <c r="P567"/>
  <c r="O567"/>
  <c r="S566"/>
  <c r="R566"/>
  <c r="Q566"/>
  <c r="P566"/>
  <c r="O566"/>
  <c r="S565"/>
  <c r="R565"/>
  <c r="Q565"/>
  <c r="P565"/>
  <c r="O565"/>
  <c r="S564"/>
  <c r="R564"/>
  <c r="Q564"/>
  <c r="P564"/>
  <c r="O564"/>
  <c r="S563"/>
  <c r="R563"/>
  <c r="Q563"/>
  <c r="P563"/>
  <c r="O563"/>
  <c r="S562"/>
  <c r="R562"/>
  <c r="Q562"/>
  <c r="P562"/>
  <c r="O562"/>
  <c r="S561"/>
  <c r="R561"/>
  <c r="Q561"/>
  <c r="P561"/>
  <c r="O561"/>
  <c r="S560"/>
  <c r="R560"/>
  <c r="Q560"/>
  <c r="P560"/>
  <c r="O560"/>
  <c r="S559"/>
  <c r="R559"/>
  <c r="Q559"/>
  <c r="P559"/>
  <c r="O559"/>
  <c r="S558"/>
  <c r="R558"/>
  <c r="Q558"/>
  <c r="P558"/>
  <c r="O558"/>
  <c r="S557"/>
  <c r="R557"/>
  <c r="Q557"/>
  <c r="P557"/>
  <c r="O557"/>
  <c r="S556"/>
  <c r="R556"/>
  <c r="Q556"/>
  <c r="P556"/>
  <c r="O556"/>
  <c r="S555"/>
  <c r="R555"/>
  <c r="Q555"/>
  <c r="P555"/>
  <c r="O555"/>
  <c r="S554"/>
  <c r="R554"/>
  <c r="Q554"/>
  <c r="P554"/>
  <c r="O554"/>
  <c r="S553"/>
  <c r="R553"/>
  <c r="Q553"/>
  <c r="P553"/>
  <c r="O553"/>
  <c r="S552"/>
  <c r="R552"/>
  <c r="Q552"/>
  <c r="P552"/>
  <c r="O552"/>
  <c r="S551"/>
  <c r="R551"/>
  <c r="Q551"/>
  <c r="P551"/>
  <c r="O551"/>
  <c r="S550"/>
  <c r="R550"/>
  <c r="Q550"/>
  <c r="P550"/>
  <c r="O550"/>
  <c r="S549"/>
  <c r="R549"/>
  <c r="Q549"/>
  <c r="P549"/>
  <c r="O549"/>
  <c r="S548"/>
  <c r="R548"/>
  <c r="Q548"/>
  <c r="P548"/>
  <c r="O548"/>
  <c r="S547"/>
  <c r="R547"/>
  <c r="Q547"/>
  <c r="P547"/>
  <c r="O547"/>
  <c r="S546"/>
  <c r="R546"/>
  <c r="Q546"/>
  <c r="P546"/>
  <c r="O546"/>
  <c r="S545"/>
  <c r="R545"/>
  <c r="Q545"/>
  <c r="P545"/>
  <c r="O545"/>
  <c r="S544"/>
  <c r="R544"/>
  <c r="Q544"/>
  <c r="P544"/>
  <c r="O544"/>
  <c r="S543"/>
  <c r="R543"/>
  <c r="Q543"/>
  <c r="P543"/>
  <c r="O543"/>
  <c r="S542"/>
  <c r="R542"/>
  <c r="Q542"/>
  <c r="P542"/>
  <c r="O542"/>
  <c r="S541"/>
  <c r="R541"/>
  <c r="Q541"/>
  <c r="P541"/>
  <c r="O541"/>
  <c r="S540"/>
  <c r="R540"/>
  <c r="Q540"/>
  <c r="P540"/>
  <c r="O540"/>
  <c r="S539"/>
  <c r="R539"/>
  <c r="Q539"/>
  <c r="P539"/>
  <c r="O539"/>
  <c r="S538"/>
  <c r="R538"/>
  <c r="Q538"/>
  <c r="P538"/>
  <c r="O538"/>
  <c r="S537"/>
  <c r="R537"/>
  <c r="Q537"/>
  <c r="P537"/>
  <c r="O537"/>
  <c r="S536"/>
  <c r="R536"/>
  <c r="Q536"/>
  <c r="P536"/>
  <c r="O536"/>
  <c r="S535"/>
  <c r="R535"/>
  <c r="Q535"/>
  <c r="P535"/>
  <c r="O535"/>
  <c r="S534"/>
  <c r="R534"/>
  <c r="Q534"/>
  <c r="P534"/>
  <c r="O534"/>
  <c r="S533"/>
  <c r="R533"/>
  <c r="Q533"/>
  <c r="P533"/>
  <c r="O533"/>
  <c r="S532"/>
  <c r="R532"/>
  <c r="Q532"/>
  <c r="P532"/>
  <c r="O532"/>
  <c r="S531"/>
  <c r="R531"/>
  <c r="Q531"/>
  <c r="P531"/>
  <c r="O531"/>
  <c r="S530"/>
  <c r="R530"/>
  <c r="Q530"/>
  <c r="P530"/>
  <c r="O530"/>
  <c r="S529"/>
  <c r="R529"/>
  <c r="Q529"/>
  <c r="P529"/>
  <c r="O529"/>
  <c r="S528"/>
  <c r="R528"/>
  <c r="Q528"/>
  <c r="P528"/>
  <c r="O528"/>
  <c r="S527"/>
  <c r="R527"/>
  <c r="Q527"/>
  <c r="P527"/>
  <c r="O527"/>
  <c r="S526"/>
  <c r="R526"/>
  <c r="Q526"/>
  <c r="P526"/>
  <c r="O526"/>
  <c r="S525"/>
  <c r="R525"/>
  <c r="Q525"/>
  <c r="P525"/>
  <c r="O525"/>
  <c r="S524"/>
  <c r="R524"/>
  <c r="Q524"/>
  <c r="P524"/>
  <c r="O524"/>
  <c r="S523"/>
  <c r="R523"/>
  <c r="Q523"/>
  <c r="P523"/>
  <c r="O523"/>
  <c r="S522"/>
  <c r="R522"/>
  <c r="Q522"/>
  <c r="P522"/>
  <c r="O522"/>
  <c r="S521"/>
  <c r="R521"/>
  <c r="Q521"/>
  <c r="P521"/>
  <c r="O521"/>
  <c r="S520"/>
  <c r="R520"/>
  <c r="Q520"/>
  <c r="P520"/>
  <c r="O520"/>
  <c r="S519"/>
  <c r="R519"/>
  <c r="Q519"/>
  <c r="P519"/>
  <c r="O519"/>
  <c r="S518"/>
  <c r="R518"/>
  <c r="Q518"/>
  <c r="P518"/>
  <c r="O518"/>
  <c r="S517"/>
  <c r="R517"/>
  <c r="Q517"/>
  <c r="P517"/>
  <c r="O517"/>
  <c r="S516"/>
  <c r="R516"/>
  <c r="Q516"/>
  <c r="P516"/>
  <c r="O516"/>
  <c r="S515"/>
  <c r="R515"/>
  <c r="Q515"/>
  <c r="P515"/>
  <c r="O515"/>
  <c r="S514"/>
  <c r="R514"/>
  <c r="Q514"/>
  <c r="P514"/>
  <c r="O514"/>
  <c r="S513"/>
  <c r="R513"/>
  <c r="Q513"/>
  <c r="P513"/>
  <c r="O513"/>
  <c r="S512"/>
  <c r="R512"/>
  <c r="Q512"/>
  <c r="P512"/>
  <c r="O512"/>
  <c r="S511"/>
  <c r="R511"/>
  <c r="Q511"/>
  <c r="P511"/>
  <c r="O511"/>
  <c r="S510"/>
  <c r="R510"/>
  <c r="Q510"/>
  <c r="P510"/>
  <c r="O510"/>
  <c r="S509"/>
  <c r="R509"/>
  <c r="Q509"/>
  <c r="P509"/>
  <c r="O509"/>
  <c r="S508"/>
  <c r="R508"/>
  <c r="Q508"/>
  <c r="P508"/>
  <c r="O508"/>
  <c r="S507"/>
  <c r="R507"/>
  <c r="Q507"/>
  <c r="P507"/>
  <c r="O507"/>
  <c r="S506"/>
  <c r="R506"/>
  <c r="Q506"/>
  <c r="P506"/>
  <c r="O506"/>
  <c r="S505"/>
  <c r="R505"/>
  <c r="Q505"/>
  <c r="P505"/>
  <c r="O505"/>
  <c r="S504"/>
  <c r="R504"/>
  <c r="Q504"/>
  <c r="P504"/>
  <c r="O504"/>
  <c r="S503"/>
  <c r="R503"/>
  <c r="Q503"/>
  <c r="P503"/>
  <c r="O503"/>
  <c r="S502"/>
  <c r="R502"/>
  <c r="Q502"/>
  <c r="P502"/>
  <c r="O502"/>
  <c r="S501"/>
  <c r="R501"/>
  <c r="Q501"/>
  <c r="P501"/>
  <c r="O501"/>
  <c r="S500"/>
  <c r="R500"/>
  <c r="Q500"/>
  <c r="P500"/>
  <c r="O500"/>
  <c r="S499"/>
  <c r="R499"/>
  <c r="Q499"/>
  <c r="P499"/>
  <c r="O499"/>
  <c r="S498"/>
  <c r="R498"/>
  <c r="Q498"/>
  <c r="P498"/>
  <c r="O498"/>
  <c r="S497"/>
  <c r="R497"/>
  <c r="Q497"/>
  <c r="P497"/>
  <c r="O497"/>
  <c r="S496"/>
  <c r="R496"/>
  <c r="Q496"/>
  <c r="P496"/>
  <c r="O496"/>
  <c r="S495"/>
  <c r="R495"/>
  <c r="Q495"/>
  <c r="P495"/>
  <c r="O495"/>
  <c r="S494"/>
  <c r="R494"/>
  <c r="Q494"/>
  <c r="P494"/>
  <c r="O494"/>
  <c r="S493"/>
  <c r="R493"/>
  <c r="Q493"/>
  <c r="P493"/>
  <c r="O493"/>
  <c r="S492"/>
  <c r="R492"/>
  <c r="Q492"/>
  <c r="P492"/>
  <c r="O492"/>
  <c r="S491"/>
  <c r="R491"/>
  <c r="Q491"/>
  <c r="P491"/>
  <c r="O491"/>
  <c r="S490"/>
  <c r="R490"/>
  <c r="Q490"/>
  <c r="P490"/>
  <c r="O490"/>
  <c r="S489"/>
  <c r="R489"/>
  <c r="Q489"/>
  <c r="P489"/>
  <c r="O489"/>
  <c r="S488"/>
  <c r="R488"/>
  <c r="Q488"/>
  <c r="P488"/>
  <c r="O488"/>
  <c r="S487"/>
  <c r="R487"/>
  <c r="Q487"/>
  <c r="P487"/>
  <c r="O487"/>
  <c r="S486"/>
  <c r="R486"/>
  <c r="Q486"/>
  <c r="P486"/>
  <c r="O486"/>
  <c r="S485"/>
  <c r="R485"/>
  <c r="Q485"/>
  <c r="P485"/>
  <c r="O485"/>
  <c r="S484"/>
  <c r="R484"/>
  <c r="Q484"/>
  <c r="P484"/>
  <c r="O484"/>
  <c r="S483"/>
  <c r="R483"/>
  <c r="Q483"/>
  <c r="P483"/>
  <c r="O483"/>
  <c r="S482"/>
  <c r="R482"/>
  <c r="Q482"/>
  <c r="P482"/>
  <c r="O482"/>
  <c r="S481"/>
  <c r="R481"/>
  <c r="Q481"/>
  <c r="P481"/>
  <c r="O481"/>
  <c r="S480"/>
  <c r="R480"/>
  <c r="Q480"/>
  <c r="P480"/>
  <c r="O480"/>
  <c r="S479"/>
  <c r="R479"/>
  <c r="Q479"/>
  <c r="P479"/>
  <c r="O479"/>
  <c r="S478"/>
  <c r="R478"/>
  <c r="Q478"/>
  <c r="P478"/>
  <c r="O478"/>
  <c r="S477"/>
  <c r="R477"/>
  <c r="Q477"/>
  <c r="P477"/>
  <c r="O477"/>
  <c r="S476"/>
  <c r="R476"/>
  <c r="Q476"/>
  <c r="P476"/>
  <c r="O476"/>
  <c r="S475"/>
  <c r="R475"/>
  <c r="Q475"/>
  <c r="P475"/>
  <c r="O475"/>
  <c r="S474"/>
  <c r="R474"/>
  <c r="Q474"/>
  <c r="P474"/>
  <c r="O474"/>
  <c r="S473"/>
  <c r="R473"/>
  <c r="Q473"/>
  <c r="P473"/>
  <c r="O473"/>
  <c r="S472"/>
  <c r="R472"/>
  <c r="Q472"/>
  <c r="P472"/>
  <c r="O472"/>
  <c r="S471"/>
  <c r="R471"/>
  <c r="Q471"/>
  <c r="P471"/>
  <c r="O471"/>
  <c r="S470"/>
  <c r="R470"/>
  <c r="Q470"/>
  <c r="P470"/>
  <c r="O470"/>
  <c r="S469"/>
  <c r="R469"/>
  <c r="Q469"/>
  <c r="P469"/>
  <c r="O469"/>
  <c r="S468"/>
  <c r="R468"/>
  <c r="Q468"/>
  <c r="P468"/>
  <c r="O468"/>
  <c r="S467"/>
  <c r="R467"/>
  <c r="Q467"/>
  <c r="P467"/>
  <c r="O467"/>
  <c r="S466"/>
  <c r="R466"/>
  <c r="Q466"/>
  <c r="P466"/>
  <c r="O466"/>
  <c r="S465"/>
  <c r="R465"/>
  <c r="Q465"/>
  <c r="P465"/>
  <c r="O465"/>
  <c r="S464"/>
  <c r="R464"/>
  <c r="Q464"/>
  <c r="P464"/>
  <c r="O464"/>
  <c r="S463"/>
  <c r="R463"/>
  <c r="Q463"/>
  <c r="P463"/>
  <c r="O463"/>
  <c r="S462"/>
  <c r="R462"/>
  <c r="Q462"/>
  <c r="P462"/>
  <c r="O462"/>
  <c r="S461"/>
  <c r="R461"/>
  <c r="Q461"/>
  <c r="P461"/>
  <c r="O461"/>
  <c r="S460"/>
  <c r="R460"/>
  <c r="Q460"/>
  <c r="P460"/>
  <c r="O460"/>
  <c r="S459"/>
  <c r="R459"/>
  <c r="Q459"/>
  <c r="P459"/>
  <c r="O459"/>
  <c r="S458"/>
  <c r="R458"/>
  <c r="Q458"/>
  <c r="P458"/>
  <c r="O458"/>
  <c r="S457"/>
  <c r="R457"/>
  <c r="Q457"/>
  <c r="P457"/>
  <c r="O457"/>
  <c r="S456"/>
  <c r="R456"/>
  <c r="Q456"/>
  <c r="P456"/>
  <c r="O456"/>
  <c r="S455"/>
  <c r="R455"/>
  <c r="Q455"/>
  <c r="P455"/>
  <c r="O455"/>
  <c r="S454"/>
  <c r="R454"/>
  <c r="Q454"/>
  <c r="P454"/>
  <c r="O454"/>
  <c r="S453"/>
  <c r="R453"/>
  <c r="Q453"/>
  <c r="P453"/>
  <c r="O453"/>
  <c r="S452"/>
  <c r="R452"/>
  <c r="Q452"/>
  <c r="P452"/>
  <c r="O452"/>
  <c r="S451"/>
  <c r="R451"/>
  <c r="Q451"/>
  <c r="P451"/>
  <c r="O451"/>
  <c r="S450"/>
  <c r="R450"/>
  <c r="Q450"/>
  <c r="P450"/>
  <c r="O450"/>
  <c r="S449"/>
  <c r="R449"/>
  <c r="Q449"/>
  <c r="P449"/>
  <c r="O449"/>
  <c r="S448"/>
  <c r="R448"/>
  <c r="Q448"/>
  <c r="P448"/>
  <c r="O448"/>
  <c r="S447"/>
  <c r="R447"/>
  <c r="Q447"/>
  <c r="P447"/>
  <c r="O447"/>
  <c r="S446"/>
  <c r="R446"/>
  <c r="Q446"/>
  <c r="P446"/>
  <c r="O446"/>
  <c r="S445"/>
  <c r="R445"/>
  <c r="Q445"/>
  <c r="P445"/>
  <c r="O445"/>
  <c r="S444"/>
  <c r="R444"/>
  <c r="Q444"/>
  <c r="P444"/>
  <c r="O444"/>
  <c r="S443"/>
  <c r="R443"/>
  <c r="Q443"/>
  <c r="P443"/>
  <c r="O443"/>
  <c r="S442"/>
  <c r="R442"/>
  <c r="Q442"/>
  <c r="P442"/>
  <c r="O442"/>
  <c r="S441"/>
  <c r="R441"/>
  <c r="Q441"/>
  <c r="P441"/>
  <c r="O441"/>
  <c r="S440"/>
  <c r="R440"/>
  <c r="Q440"/>
  <c r="P440"/>
  <c r="O440"/>
  <c r="S439"/>
  <c r="R439"/>
  <c r="Q439"/>
  <c r="P439"/>
  <c r="O439"/>
  <c r="S438"/>
  <c r="R438"/>
  <c r="Q438"/>
  <c r="P438"/>
  <c r="O438"/>
  <c r="S437"/>
  <c r="R437"/>
  <c r="Q437"/>
  <c r="P437"/>
  <c r="O437"/>
  <c r="S436"/>
  <c r="R436"/>
  <c r="Q436"/>
  <c r="P436"/>
  <c r="O436"/>
  <c r="S435"/>
  <c r="R435"/>
  <c r="Q435"/>
  <c r="P435"/>
  <c r="O435"/>
  <c r="S434"/>
  <c r="R434"/>
  <c r="Q434"/>
  <c r="P434"/>
  <c r="O434"/>
  <c r="S433"/>
  <c r="R433"/>
  <c r="Q433"/>
  <c r="P433"/>
  <c r="O433"/>
  <c r="S432"/>
  <c r="R432"/>
  <c r="Q432"/>
  <c r="P432"/>
  <c r="O432"/>
  <c r="S431"/>
  <c r="R431"/>
  <c r="Q431"/>
  <c r="P431"/>
  <c r="O431"/>
  <c r="S430"/>
  <c r="R430"/>
  <c r="Q430"/>
  <c r="P430"/>
  <c r="O430"/>
  <c r="S429"/>
  <c r="R429"/>
  <c r="Q429"/>
  <c r="P429"/>
  <c r="O429"/>
  <c r="S428"/>
  <c r="R428"/>
  <c r="Q428"/>
  <c r="P428"/>
  <c r="O428"/>
  <c r="S427"/>
  <c r="R427"/>
  <c r="Q427"/>
  <c r="P427"/>
  <c r="O427"/>
  <c r="S426"/>
  <c r="R426"/>
  <c r="Q426"/>
  <c r="P426"/>
  <c r="O426"/>
  <c r="S425"/>
  <c r="R425"/>
  <c r="Q425"/>
  <c r="P425"/>
  <c r="O425"/>
  <c r="S424"/>
  <c r="R424"/>
  <c r="Q424"/>
  <c r="P424"/>
  <c r="O424"/>
  <c r="S423"/>
  <c r="R423"/>
  <c r="Q423"/>
  <c r="P423"/>
  <c r="O423"/>
  <c r="S422"/>
  <c r="R422"/>
  <c r="Q422"/>
  <c r="P422"/>
  <c r="O422"/>
  <c r="S421"/>
  <c r="R421"/>
  <c r="Q421"/>
  <c r="P421"/>
  <c r="O421"/>
  <c r="S420"/>
  <c r="R420"/>
  <c r="Q420"/>
  <c r="P420"/>
  <c r="O420"/>
  <c r="S419"/>
  <c r="R419"/>
  <c r="Q419"/>
  <c r="P419"/>
  <c r="O419"/>
  <c r="S418"/>
  <c r="R418"/>
  <c r="Q418"/>
  <c r="P418"/>
  <c r="O418"/>
  <c r="S417"/>
  <c r="R417"/>
  <c r="Q417"/>
  <c r="P417"/>
  <c r="O417"/>
  <c r="S416"/>
  <c r="R416"/>
  <c r="Q416"/>
  <c r="P416"/>
  <c r="O416"/>
  <c r="S415"/>
  <c r="R415"/>
  <c r="Q415"/>
  <c r="P415"/>
  <c r="O415"/>
  <c r="S414"/>
  <c r="R414"/>
  <c r="Q414"/>
  <c r="P414"/>
  <c r="O414"/>
  <c r="S413"/>
  <c r="R413"/>
  <c r="Q413"/>
  <c r="P413"/>
  <c r="O413"/>
  <c r="S412"/>
  <c r="R412"/>
  <c r="Q412"/>
  <c r="P412"/>
  <c r="O412"/>
  <c r="S411"/>
  <c r="R411"/>
  <c r="Q411"/>
  <c r="P411"/>
  <c r="O411"/>
  <c r="S410"/>
  <c r="R410"/>
  <c r="Q410"/>
  <c r="P410"/>
  <c r="O410"/>
  <c r="S409"/>
  <c r="R409"/>
  <c r="Q409"/>
  <c r="P409"/>
  <c r="O409"/>
  <c r="S408"/>
  <c r="R408"/>
  <c r="Q408"/>
  <c r="P408"/>
  <c r="O408"/>
  <c r="S407"/>
  <c r="R407"/>
  <c r="Q407"/>
  <c r="P407"/>
  <c r="O407"/>
  <c r="S406"/>
  <c r="R406"/>
  <c r="Q406"/>
  <c r="P406"/>
  <c r="O406"/>
  <c r="S405"/>
  <c r="R405"/>
  <c r="Q405"/>
  <c r="P405"/>
  <c r="O405"/>
  <c r="S404"/>
  <c r="R404"/>
  <c r="Q404"/>
  <c r="P404"/>
  <c r="O404"/>
  <c r="S403"/>
  <c r="R403"/>
  <c r="Q403"/>
  <c r="P403"/>
  <c r="O403"/>
  <c r="S402"/>
  <c r="R402"/>
  <c r="Q402"/>
  <c r="P402"/>
  <c r="O402"/>
  <c r="S401"/>
  <c r="R401"/>
  <c r="Q401"/>
  <c r="P401"/>
  <c r="O401"/>
  <c r="S400"/>
  <c r="R400"/>
  <c r="Q400"/>
  <c r="P400"/>
  <c r="O400"/>
  <c r="S399"/>
  <c r="R399"/>
  <c r="Q399"/>
  <c r="P399"/>
  <c r="O399"/>
  <c r="S398"/>
  <c r="R398"/>
  <c r="Q398"/>
  <c r="P398"/>
  <c r="O398"/>
  <c r="S397"/>
  <c r="R397"/>
  <c r="Q397"/>
  <c r="P397"/>
  <c r="O397"/>
  <c r="S396"/>
  <c r="R396"/>
  <c r="Q396"/>
  <c r="P396"/>
  <c r="O396"/>
  <c r="S395"/>
  <c r="R395"/>
  <c r="Q395"/>
  <c r="P395"/>
  <c r="O395"/>
  <c r="S394"/>
  <c r="R394"/>
  <c r="Q394"/>
  <c r="P394"/>
  <c r="O394"/>
  <c r="S393"/>
  <c r="R393"/>
  <c r="Q393"/>
  <c r="P393"/>
  <c r="O393"/>
  <c r="S392"/>
  <c r="R392"/>
  <c r="Q392"/>
  <c r="P392"/>
  <c r="O392"/>
  <c r="S391"/>
  <c r="R391"/>
  <c r="Q391"/>
  <c r="P391"/>
  <c r="O391"/>
  <c r="S390"/>
  <c r="R390"/>
  <c r="Q390"/>
  <c r="P390"/>
  <c r="O390"/>
  <c r="S389"/>
  <c r="R389"/>
  <c r="Q389"/>
  <c r="P389"/>
  <c r="O389"/>
  <c r="S388"/>
  <c r="R388"/>
  <c r="Q388"/>
  <c r="P388"/>
  <c r="O388"/>
  <c r="S387"/>
  <c r="R387"/>
  <c r="Q387"/>
  <c r="P387"/>
  <c r="O387"/>
  <c r="S386"/>
  <c r="R386"/>
  <c r="Q386"/>
  <c r="P386"/>
  <c r="O386"/>
  <c r="S385"/>
  <c r="R385"/>
  <c r="Q385"/>
  <c r="P385"/>
  <c r="O385"/>
  <c r="S384"/>
  <c r="R384"/>
  <c r="Q384"/>
  <c r="P384"/>
  <c r="O384"/>
  <c r="S383"/>
  <c r="R383"/>
  <c r="Q383"/>
  <c r="P383"/>
  <c r="O383"/>
  <c r="S382"/>
  <c r="R382"/>
  <c r="Q382"/>
  <c r="P382"/>
  <c r="O382"/>
  <c r="S381"/>
  <c r="R381"/>
  <c r="Q381"/>
  <c r="P381"/>
  <c r="O381"/>
  <c r="S380"/>
  <c r="R380"/>
  <c r="Q380"/>
  <c r="P380"/>
  <c r="O380"/>
  <c r="S379"/>
  <c r="R379"/>
  <c r="Q379"/>
  <c r="P379"/>
  <c r="O379"/>
  <c r="S378"/>
  <c r="R378"/>
  <c r="Q378"/>
  <c r="P378"/>
  <c r="O378"/>
  <c r="S377"/>
  <c r="R377"/>
  <c r="Q377"/>
  <c r="P377"/>
  <c r="O377"/>
  <c r="S376"/>
  <c r="R376"/>
  <c r="Q376"/>
  <c r="P376"/>
  <c r="O376"/>
  <c r="S375"/>
  <c r="R375"/>
  <c r="Q375"/>
  <c r="P375"/>
  <c r="O375"/>
  <c r="S374"/>
  <c r="R374"/>
  <c r="Q374"/>
  <c r="P374"/>
  <c r="O374"/>
  <c r="S373"/>
  <c r="R373"/>
  <c r="Q373"/>
  <c r="P373"/>
  <c r="O373"/>
  <c r="S372"/>
  <c r="R372"/>
  <c r="Q372"/>
  <c r="P372"/>
  <c r="O372"/>
  <c r="S371"/>
  <c r="R371"/>
  <c r="Q371"/>
  <c r="P371"/>
  <c r="O371"/>
  <c r="S370"/>
  <c r="R370"/>
  <c r="Q370"/>
  <c r="P370"/>
  <c r="O370"/>
  <c r="S369"/>
  <c r="R369"/>
  <c r="Q369"/>
  <c r="P369"/>
  <c r="O369"/>
  <c r="S368"/>
  <c r="R368"/>
  <c r="Q368"/>
  <c r="P368"/>
  <c r="O368"/>
  <c r="S367"/>
  <c r="R367"/>
  <c r="Q367"/>
  <c r="P367"/>
  <c r="O367"/>
  <c r="S366"/>
  <c r="R366"/>
  <c r="Q366"/>
  <c r="P366"/>
  <c r="O366"/>
  <c r="S365"/>
  <c r="R365"/>
  <c r="Q365"/>
  <c r="P365"/>
  <c r="O365"/>
  <c r="S364"/>
  <c r="R364"/>
  <c r="Q364"/>
  <c r="P364"/>
  <c r="O364"/>
  <c r="S363"/>
  <c r="R363"/>
  <c r="Q363"/>
  <c r="P363"/>
  <c r="O363"/>
  <c r="S362"/>
  <c r="R362"/>
  <c r="Q362"/>
  <c r="P362"/>
  <c r="O362"/>
  <c r="S361"/>
  <c r="R361"/>
  <c r="Q361"/>
  <c r="P361"/>
  <c r="O361"/>
  <c r="S360"/>
  <c r="R360"/>
  <c r="Q360"/>
  <c r="P360"/>
  <c r="O360"/>
  <c r="S359"/>
  <c r="R359"/>
  <c r="Q359"/>
  <c r="P359"/>
  <c r="O359"/>
  <c r="S358"/>
  <c r="R358"/>
  <c r="Q358"/>
  <c r="P358"/>
  <c r="O358"/>
  <c r="S357"/>
  <c r="R357"/>
  <c r="Q357"/>
  <c r="P357"/>
  <c r="O357"/>
  <c r="S356"/>
  <c r="R356"/>
  <c r="Q356"/>
  <c r="P356"/>
  <c r="O356"/>
  <c r="S355"/>
  <c r="R355"/>
  <c r="Q355"/>
  <c r="P355"/>
  <c r="O355"/>
  <c r="S354"/>
  <c r="R354"/>
  <c r="Q354"/>
  <c r="P354"/>
  <c r="O354"/>
  <c r="S353"/>
  <c r="R353"/>
  <c r="Q353"/>
  <c r="P353"/>
  <c r="O353"/>
  <c r="S352"/>
  <c r="R352"/>
  <c r="Q352"/>
  <c r="P352"/>
  <c r="O352"/>
  <c r="S351"/>
  <c r="R351"/>
  <c r="Q351"/>
  <c r="P351"/>
  <c r="O351"/>
  <c r="S350"/>
  <c r="R350"/>
  <c r="Q350"/>
  <c r="P350"/>
  <c r="O350"/>
  <c r="S349"/>
  <c r="R349"/>
  <c r="Q349"/>
  <c r="P349"/>
  <c r="O349"/>
  <c r="S348"/>
  <c r="R348"/>
  <c r="Q348"/>
  <c r="P348"/>
  <c r="O348"/>
  <c r="S347"/>
  <c r="R347"/>
  <c r="Q347"/>
  <c r="P347"/>
  <c r="O347"/>
  <c r="S346"/>
  <c r="R346"/>
  <c r="Q346"/>
  <c r="P346"/>
  <c r="O346"/>
  <c r="S345"/>
  <c r="R345"/>
  <c r="Q345"/>
  <c r="P345"/>
  <c r="O345"/>
  <c r="S344"/>
  <c r="R344"/>
  <c r="Q344"/>
  <c r="P344"/>
  <c r="O344"/>
  <c r="S343"/>
  <c r="R343"/>
  <c r="Q343"/>
  <c r="P343"/>
  <c r="O343"/>
  <c r="S342"/>
  <c r="R342"/>
  <c r="Q342"/>
  <c r="P342"/>
  <c r="O342"/>
  <c r="S341"/>
  <c r="R341"/>
  <c r="Q341"/>
  <c r="P341"/>
  <c r="O341"/>
  <c r="S340"/>
  <c r="R340"/>
  <c r="Q340"/>
  <c r="P340"/>
  <c r="O340"/>
  <c r="S339"/>
  <c r="R339"/>
  <c r="Q339"/>
  <c r="P339"/>
  <c r="O339"/>
  <c r="S338"/>
  <c r="R338"/>
  <c r="Q338"/>
  <c r="P338"/>
  <c r="O338"/>
  <c r="S337"/>
  <c r="R337"/>
  <c r="Q337"/>
  <c r="P337"/>
  <c r="O337"/>
  <c r="S336"/>
  <c r="R336"/>
  <c r="Q336"/>
  <c r="P336"/>
  <c r="O336"/>
  <c r="S335"/>
  <c r="R335"/>
  <c r="Q335"/>
  <c r="P335"/>
  <c r="O335"/>
  <c r="S334"/>
  <c r="R334"/>
  <c r="Q334"/>
  <c r="P334"/>
  <c r="O334"/>
  <c r="S333"/>
  <c r="R333"/>
  <c r="Q333"/>
  <c r="P333"/>
  <c r="O333"/>
  <c r="S332"/>
  <c r="R332"/>
  <c r="Q332"/>
  <c r="P332"/>
  <c r="O332"/>
  <c r="S331"/>
  <c r="R331"/>
  <c r="Q331"/>
  <c r="P331"/>
  <c r="O331"/>
  <c r="S330"/>
  <c r="R330"/>
  <c r="Q330"/>
  <c r="P330"/>
  <c r="O330"/>
  <c r="S329"/>
  <c r="R329"/>
  <c r="Q329"/>
  <c r="P329"/>
  <c r="O329"/>
  <c r="S328"/>
  <c r="R328"/>
  <c r="Q328"/>
  <c r="P328"/>
  <c r="O328"/>
  <c r="S327"/>
  <c r="R327"/>
  <c r="Q327"/>
  <c r="P327"/>
  <c r="O327"/>
  <c r="S326"/>
  <c r="R326"/>
  <c r="Q326"/>
  <c r="P326"/>
  <c r="O326"/>
  <c r="S325"/>
  <c r="R325"/>
  <c r="Q325"/>
  <c r="P325"/>
  <c r="O325"/>
  <c r="S324"/>
  <c r="R324"/>
  <c r="Q324"/>
  <c r="P324"/>
  <c r="O324"/>
  <c r="S323"/>
  <c r="R323"/>
  <c r="Q323"/>
  <c r="P323"/>
  <c r="O323"/>
  <c r="S322"/>
  <c r="R322"/>
  <c r="Q322"/>
  <c r="P322"/>
  <c r="O322"/>
  <c r="S321"/>
  <c r="R321"/>
  <c r="Q321"/>
  <c r="P321"/>
  <c r="O321"/>
  <c r="S320"/>
  <c r="R320"/>
  <c r="Q320"/>
  <c r="P320"/>
  <c r="O320"/>
  <c r="S319"/>
  <c r="R319"/>
  <c r="Q319"/>
  <c r="P319"/>
  <c r="O319"/>
  <c r="S318"/>
  <c r="R318"/>
  <c r="Q318"/>
  <c r="P318"/>
  <c r="O318"/>
  <c r="S317"/>
  <c r="R317"/>
  <c r="Q317"/>
  <c r="P317"/>
  <c r="O317"/>
  <c r="S316"/>
  <c r="R316"/>
  <c r="Q316"/>
  <c r="P316"/>
  <c r="O316"/>
  <c r="S315"/>
  <c r="R315"/>
  <c r="Q315"/>
  <c r="P315"/>
  <c r="O315"/>
  <c r="S314"/>
  <c r="R314"/>
  <c r="Q314"/>
  <c r="P314"/>
  <c r="O314"/>
  <c r="S313"/>
  <c r="R313"/>
  <c r="Q313"/>
  <c r="P313"/>
  <c r="O313"/>
  <c r="S312"/>
  <c r="R312"/>
  <c r="Q312"/>
  <c r="P312"/>
  <c r="O312"/>
  <c r="S311"/>
  <c r="R311"/>
  <c r="Q311"/>
  <c r="P311"/>
  <c r="O311"/>
  <c r="S310"/>
  <c r="R310"/>
  <c r="Q310"/>
  <c r="P310"/>
  <c r="O310"/>
  <c r="S309"/>
  <c r="R309"/>
  <c r="Q309"/>
  <c r="P309"/>
  <c r="O309"/>
  <c r="S308"/>
  <c r="R308"/>
  <c r="Q308"/>
  <c r="P308"/>
  <c r="O308"/>
  <c r="S307"/>
  <c r="R307"/>
  <c r="Q307"/>
  <c r="P307"/>
  <c r="O307"/>
  <c r="S306"/>
  <c r="R306"/>
  <c r="Q306"/>
  <c r="P306"/>
  <c r="O306"/>
  <c r="S305"/>
  <c r="R305"/>
  <c r="Q305"/>
  <c r="P305"/>
  <c r="O305"/>
  <c r="S304"/>
  <c r="R304"/>
  <c r="Q304"/>
  <c r="P304"/>
  <c r="O304"/>
  <c r="S303"/>
  <c r="R303"/>
  <c r="Q303"/>
  <c r="P303"/>
  <c r="O303"/>
  <c r="S302"/>
  <c r="R302"/>
  <c r="Q302"/>
  <c r="P302"/>
  <c r="O302"/>
  <c r="S301"/>
  <c r="R301"/>
  <c r="Q301"/>
  <c r="P301"/>
  <c r="O301"/>
  <c r="S300"/>
  <c r="R300"/>
  <c r="Q300"/>
  <c r="P300"/>
  <c r="O300"/>
  <c r="S299"/>
  <c r="R299"/>
  <c r="Q299"/>
  <c r="P299"/>
  <c r="O299"/>
  <c r="S298"/>
  <c r="R298"/>
  <c r="Q298"/>
  <c r="P298"/>
  <c r="O298"/>
  <c r="S297"/>
  <c r="R297"/>
  <c r="Q297"/>
  <c r="P297"/>
  <c r="O297"/>
  <c r="S296"/>
  <c r="R296"/>
  <c r="Q296"/>
  <c r="P296"/>
  <c r="O296"/>
  <c r="S295"/>
  <c r="R295"/>
  <c r="Q295"/>
  <c r="P295"/>
  <c r="O295"/>
  <c r="S294"/>
  <c r="R294"/>
  <c r="Q294"/>
  <c r="P294"/>
  <c r="O294"/>
  <c r="S293"/>
  <c r="R293"/>
  <c r="Q293"/>
  <c r="P293"/>
  <c r="O293"/>
  <c r="S292"/>
  <c r="R292"/>
  <c r="Q292"/>
  <c r="P292"/>
  <c r="O292"/>
  <c r="S291"/>
  <c r="R291"/>
  <c r="Q291"/>
  <c r="P291"/>
  <c r="O291"/>
  <c r="S290"/>
  <c r="R290"/>
  <c r="Q290"/>
  <c r="P290"/>
  <c r="O290"/>
  <c r="S289"/>
  <c r="R289"/>
  <c r="Q289"/>
  <c r="P289"/>
  <c r="O289"/>
  <c r="S288"/>
  <c r="R288"/>
  <c r="Q288"/>
  <c r="P288"/>
  <c r="O288"/>
  <c r="S287"/>
  <c r="R287"/>
  <c r="Q287"/>
  <c r="P287"/>
  <c r="O287"/>
  <c r="S286"/>
  <c r="R286"/>
  <c r="Q286"/>
  <c r="P286"/>
  <c r="O286"/>
  <c r="S285"/>
  <c r="R285"/>
  <c r="Q285"/>
  <c r="P285"/>
  <c r="O285"/>
  <c r="S284"/>
  <c r="R284"/>
  <c r="Q284"/>
  <c r="P284"/>
  <c r="O284"/>
  <c r="S283"/>
  <c r="R283"/>
  <c r="Q283"/>
  <c r="P283"/>
  <c r="O283"/>
  <c r="S282"/>
  <c r="R282"/>
  <c r="Q282"/>
  <c r="P282"/>
  <c r="O282"/>
  <c r="S281"/>
  <c r="R281"/>
  <c r="Q281"/>
  <c r="P281"/>
  <c r="O281"/>
  <c r="S280"/>
  <c r="R280"/>
  <c r="Q280"/>
  <c r="P280"/>
  <c r="O280"/>
  <c r="S279"/>
  <c r="R279"/>
  <c r="Q279"/>
  <c r="P279"/>
  <c r="O279"/>
  <c r="S278"/>
  <c r="R278"/>
  <c r="Q278"/>
  <c r="P278"/>
  <c r="O278"/>
  <c r="S277"/>
  <c r="R277"/>
  <c r="Q277"/>
  <c r="P277"/>
  <c r="O277"/>
  <c r="S276"/>
  <c r="R276"/>
  <c r="Q276"/>
  <c r="P276"/>
  <c r="O276"/>
  <c r="S275"/>
  <c r="R275"/>
  <c r="Q275"/>
  <c r="P275"/>
  <c r="O275"/>
  <c r="S274"/>
  <c r="R274"/>
  <c r="Q274"/>
  <c r="P274"/>
  <c r="O274"/>
  <c r="S273"/>
  <c r="R273"/>
  <c r="Q273"/>
  <c r="P273"/>
  <c r="O273"/>
  <c r="S272"/>
  <c r="R272"/>
  <c r="Q272"/>
  <c r="P272"/>
  <c r="O272"/>
  <c r="S271"/>
  <c r="R271"/>
  <c r="Q271"/>
  <c r="P271"/>
  <c r="O271"/>
  <c r="S270"/>
  <c r="R270"/>
  <c r="Q270"/>
  <c r="P270"/>
  <c r="O270"/>
  <c r="S269"/>
  <c r="R269"/>
  <c r="Q269"/>
  <c r="P269"/>
  <c r="O269"/>
  <c r="S268"/>
  <c r="R268"/>
  <c r="Q268"/>
  <c r="P268"/>
  <c r="O268"/>
  <c r="S267"/>
  <c r="R267"/>
  <c r="Q267"/>
  <c r="P267"/>
  <c r="O267"/>
  <c r="S266"/>
  <c r="R266"/>
  <c r="Q266"/>
  <c r="P266"/>
  <c r="O266"/>
  <c r="S265"/>
  <c r="R265"/>
  <c r="Q265"/>
  <c r="P265"/>
  <c r="O265"/>
  <c r="S264"/>
  <c r="R264"/>
  <c r="Q264"/>
  <c r="P264"/>
  <c r="O264"/>
  <c r="S263"/>
  <c r="R263"/>
  <c r="Q263"/>
  <c r="P263"/>
  <c r="O263"/>
  <c r="S262"/>
  <c r="R262"/>
  <c r="Q262"/>
  <c r="P262"/>
  <c r="O262"/>
  <c r="S261"/>
  <c r="R261"/>
  <c r="Q261"/>
  <c r="P261"/>
  <c r="O261"/>
  <c r="S260"/>
  <c r="R260"/>
  <c r="Q260"/>
  <c r="P260"/>
  <c r="O260"/>
  <c r="S259"/>
  <c r="R259"/>
  <c r="Q259"/>
  <c r="P259"/>
  <c r="O259"/>
  <c r="S258"/>
  <c r="R258"/>
  <c r="Q258"/>
  <c r="P258"/>
  <c r="O258"/>
  <c r="S257"/>
  <c r="R257"/>
  <c r="Q257"/>
  <c r="P257"/>
  <c r="O257"/>
  <c r="S256"/>
  <c r="R256"/>
  <c r="Q256"/>
  <c r="P256"/>
  <c r="O256"/>
  <c r="S255"/>
  <c r="R255"/>
  <c r="Q255"/>
  <c r="P255"/>
  <c r="O255"/>
  <c r="S254"/>
  <c r="R254"/>
  <c r="Q254"/>
  <c r="P254"/>
  <c r="O254"/>
  <c r="S253"/>
  <c r="R253"/>
  <c r="Q253"/>
  <c r="P253"/>
  <c r="O253"/>
  <c r="S252"/>
  <c r="R252"/>
  <c r="Q252"/>
  <c r="P252"/>
  <c r="O252"/>
  <c r="S251"/>
  <c r="R251"/>
  <c r="Q251"/>
  <c r="P251"/>
  <c r="O251"/>
  <c r="S250"/>
  <c r="R250"/>
  <c r="Q250"/>
  <c r="P250"/>
  <c r="O250"/>
  <c r="S249"/>
  <c r="R249"/>
  <c r="Q249"/>
  <c r="P249"/>
  <c r="O249"/>
  <c r="S248"/>
  <c r="R248"/>
  <c r="Q248"/>
  <c r="P248"/>
  <c r="O248"/>
  <c r="S247"/>
  <c r="R247"/>
  <c r="Q247"/>
  <c r="P247"/>
  <c r="O247"/>
  <c r="S246"/>
  <c r="R246"/>
  <c r="Q246"/>
  <c r="P246"/>
  <c r="O246"/>
  <c r="S245"/>
  <c r="R245"/>
  <c r="Q245"/>
  <c r="P245"/>
  <c r="O245"/>
  <c r="S244"/>
  <c r="R244"/>
  <c r="Q244"/>
  <c r="P244"/>
  <c r="O244"/>
  <c r="S243"/>
  <c r="R243"/>
  <c r="Q243"/>
  <c r="P243"/>
  <c r="O243"/>
  <c r="S242"/>
  <c r="R242"/>
  <c r="Q242"/>
  <c r="P242"/>
  <c r="O242"/>
  <c r="S241"/>
  <c r="R241"/>
  <c r="Q241"/>
  <c r="P241"/>
  <c r="O241"/>
  <c r="S240"/>
  <c r="R240"/>
  <c r="Q240"/>
  <c r="P240"/>
  <c r="O240"/>
  <c r="S239"/>
  <c r="R239"/>
  <c r="Q239"/>
  <c r="P239"/>
  <c r="O239"/>
  <c r="S238"/>
  <c r="R238"/>
  <c r="Q238"/>
  <c r="P238"/>
  <c r="O238"/>
  <c r="S237"/>
  <c r="R237"/>
  <c r="Q237"/>
  <c r="P237"/>
  <c r="O237"/>
  <c r="S236"/>
  <c r="R236"/>
  <c r="Q236"/>
  <c r="P236"/>
  <c r="O236"/>
  <c r="S235"/>
  <c r="R235"/>
  <c r="Q235"/>
  <c r="P235"/>
  <c r="O235"/>
  <c r="S234"/>
  <c r="R234"/>
  <c r="Q234"/>
  <c r="P234"/>
  <c r="O234"/>
  <c r="S233"/>
  <c r="R233"/>
  <c r="Q233"/>
  <c r="P233"/>
  <c r="O233"/>
  <c r="S232"/>
  <c r="R232"/>
  <c r="Q232"/>
  <c r="P232"/>
  <c r="O232"/>
  <c r="S231"/>
  <c r="R231"/>
  <c r="Q231"/>
  <c r="P231"/>
  <c r="O231"/>
  <c r="S230"/>
  <c r="R230"/>
  <c r="Q230"/>
  <c r="P230"/>
  <c r="O230"/>
  <c r="S229"/>
  <c r="R229"/>
  <c r="Q229"/>
  <c r="P229"/>
  <c r="O229"/>
  <c r="S228"/>
  <c r="R228"/>
  <c r="Q228"/>
  <c r="P228"/>
  <c r="O228"/>
  <c r="S227"/>
  <c r="R227"/>
  <c r="Q227"/>
  <c r="P227"/>
  <c r="O227"/>
  <c r="S226"/>
  <c r="R226"/>
  <c r="Q226"/>
  <c r="P226"/>
  <c r="O226"/>
  <c r="S225"/>
  <c r="R225"/>
  <c r="Q225"/>
  <c r="P225"/>
  <c r="O225"/>
  <c r="S224"/>
  <c r="R224"/>
  <c r="Q224"/>
  <c r="P224"/>
  <c r="O224"/>
  <c r="S223"/>
  <c r="R223"/>
  <c r="Q223"/>
  <c r="P223"/>
  <c r="O223"/>
  <c r="S222"/>
  <c r="R222"/>
  <c r="Q222"/>
  <c r="P222"/>
  <c r="O222"/>
  <c r="S221"/>
  <c r="R221"/>
  <c r="Q221"/>
  <c r="P221"/>
  <c r="O221"/>
  <c r="S220"/>
  <c r="R220"/>
  <c r="Q220"/>
  <c r="P220"/>
  <c r="O220"/>
  <c r="S219"/>
  <c r="R219"/>
  <c r="Q219"/>
  <c r="P219"/>
  <c r="O219"/>
  <c r="S218"/>
  <c r="R218"/>
  <c r="Q218"/>
  <c r="P218"/>
  <c r="O218"/>
  <c r="S217"/>
  <c r="R217"/>
  <c r="Q217"/>
  <c r="P217"/>
  <c r="O217"/>
  <c r="S216"/>
  <c r="R216"/>
  <c r="Q216"/>
  <c r="P216"/>
  <c r="O216"/>
  <c r="S215"/>
  <c r="R215"/>
  <c r="Q215"/>
  <c r="P215"/>
  <c r="O215"/>
  <c r="S214"/>
  <c r="R214"/>
  <c r="Q214"/>
  <c r="P214"/>
  <c r="O214"/>
  <c r="S213"/>
  <c r="R213"/>
  <c r="Q213"/>
  <c r="P213"/>
  <c r="O213"/>
  <c r="S212"/>
  <c r="R212"/>
  <c r="Q212"/>
  <c r="P212"/>
  <c r="O212"/>
  <c r="S211"/>
  <c r="R211"/>
  <c r="Q211"/>
  <c r="P211"/>
  <c r="O211"/>
  <c r="S210"/>
  <c r="R210"/>
  <c r="Q210"/>
  <c r="P210"/>
  <c r="O210"/>
  <c r="S209"/>
  <c r="R209"/>
  <c r="Q209"/>
  <c r="P209"/>
  <c r="O209"/>
  <c r="S208"/>
  <c r="R208"/>
  <c r="Q208"/>
  <c r="P208"/>
  <c r="O208"/>
  <c r="S207"/>
  <c r="R207"/>
  <c r="Q207"/>
  <c r="P207"/>
  <c r="O207"/>
  <c r="S206"/>
  <c r="R206"/>
  <c r="Q206"/>
  <c r="P206"/>
  <c r="O206"/>
  <c r="S205"/>
  <c r="R205"/>
  <c r="Q205"/>
  <c r="P205"/>
  <c r="O205"/>
  <c r="S204"/>
  <c r="R204"/>
  <c r="Q204"/>
  <c r="P204"/>
  <c r="O204"/>
  <c r="S203"/>
  <c r="R203"/>
  <c r="Q203"/>
  <c r="P203"/>
  <c r="O203"/>
  <c r="S202"/>
  <c r="R202"/>
  <c r="Q202"/>
  <c r="P202"/>
  <c r="O202"/>
  <c r="S201"/>
  <c r="R201"/>
  <c r="Q201"/>
  <c r="P201"/>
  <c r="O201"/>
  <c r="S200"/>
  <c r="R200"/>
  <c r="Q200"/>
  <c r="P200"/>
  <c r="O200"/>
  <c r="S199"/>
  <c r="R199"/>
  <c r="Q199"/>
  <c r="P199"/>
  <c r="O199"/>
  <c r="S198"/>
  <c r="R198"/>
  <c r="Q198"/>
  <c r="P198"/>
  <c r="O198"/>
  <c r="S197"/>
  <c r="R197"/>
  <c r="Q197"/>
  <c r="P197"/>
  <c r="O197"/>
  <c r="S196"/>
  <c r="R196"/>
  <c r="Q196"/>
  <c r="P196"/>
  <c r="O196"/>
  <c r="S195"/>
  <c r="R195"/>
  <c r="Q195"/>
  <c r="P195"/>
  <c r="O195"/>
  <c r="S194"/>
  <c r="R194"/>
  <c r="Q194"/>
  <c r="P194"/>
  <c r="O194"/>
  <c r="S193"/>
  <c r="R193"/>
  <c r="Q193"/>
  <c r="P193"/>
  <c r="O193"/>
  <c r="S192"/>
  <c r="R192"/>
  <c r="Q192"/>
  <c r="P192"/>
  <c r="O192"/>
  <c r="S191"/>
  <c r="R191"/>
  <c r="Q191"/>
  <c r="P191"/>
  <c r="O191"/>
  <c r="S190"/>
  <c r="R190"/>
  <c r="Q190"/>
  <c r="P190"/>
  <c r="O190"/>
  <c r="S189"/>
  <c r="R189"/>
  <c r="Q189"/>
  <c r="P189"/>
  <c r="O189"/>
  <c r="S188"/>
  <c r="R188"/>
  <c r="Q188"/>
  <c r="P188"/>
  <c r="O188"/>
  <c r="S187"/>
  <c r="R187"/>
  <c r="Q187"/>
  <c r="P187"/>
  <c r="O187"/>
  <c r="S186"/>
  <c r="R186"/>
  <c r="Q186"/>
  <c r="P186"/>
  <c r="O186"/>
  <c r="S185"/>
  <c r="R185"/>
  <c r="Q185"/>
  <c r="P185"/>
  <c r="O185"/>
  <c r="S184"/>
  <c r="R184"/>
  <c r="Q184"/>
  <c r="P184"/>
  <c r="O184"/>
  <c r="S183"/>
  <c r="R183"/>
  <c r="Q183"/>
  <c r="P183"/>
  <c r="O183"/>
  <c r="S182"/>
  <c r="R182"/>
  <c r="Q182"/>
  <c r="P182"/>
  <c r="O182"/>
  <c r="S181"/>
  <c r="R181"/>
  <c r="Q181"/>
  <c r="P181"/>
  <c r="O181"/>
  <c r="S180"/>
  <c r="R180"/>
  <c r="Q180"/>
  <c r="P180"/>
  <c r="O180"/>
  <c r="S179"/>
  <c r="R179"/>
  <c r="Q179"/>
  <c r="P179"/>
  <c r="O179"/>
  <c r="S178"/>
  <c r="R178"/>
  <c r="Q178"/>
  <c r="P178"/>
  <c r="O178"/>
  <c r="S177"/>
  <c r="R177"/>
  <c r="Q177"/>
  <c r="P177"/>
  <c r="O177"/>
  <c r="S176"/>
  <c r="R176"/>
  <c r="Q176"/>
  <c r="P176"/>
  <c r="O176"/>
  <c r="S175"/>
  <c r="R175"/>
  <c r="Q175"/>
  <c r="P175"/>
  <c r="O175"/>
  <c r="S174"/>
  <c r="R174"/>
  <c r="Q174"/>
  <c r="P174"/>
  <c r="O174"/>
  <c r="S173"/>
  <c r="R173"/>
  <c r="Q173"/>
  <c r="P173"/>
  <c r="O173"/>
  <c r="S172"/>
  <c r="R172"/>
  <c r="Q172"/>
  <c r="P172"/>
  <c r="O172"/>
  <c r="S171"/>
  <c r="R171"/>
  <c r="Q171"/>
  <c r="P171"/>
  <c r="O171"/>
  <c r="S170"/>
  <c r="R170"/>
  <c r="Q170"/>
  <c r="P170"/>
  <c r="O170"/>
  <c r="S169"/>
  <c r="R169"/>
  <c r="Q169"/>
  <c r="P169"/>
  <c r="O169"/>
  <c r="S168"/>
  <c r="R168"/>
  <c r="Q168"/>
  <c r="P168"/>
  <c r="O168"/>
  <c r="S167"/>
  <c r="R167"/>
  <c r="Q167"/>
  <c r="P167"/>
  <c r="O167"/>
  <c r="S166"/>
  <c r="R166"/>
  <c r="Q166"/>
  <c r="P166"/>
  <c r="O166"/>
  <c r="S165"/>
  <c r="R165"/>
  <c r="Q165"/>
  <c r="P165"/>
  <c r="O165"/>
  <c r="S164"/>
  <c r="R164"/>
  <c r="Q164"/>
  <c r="P164"/>
  <c r="O164"/>
  <c r="S163"/>
  <c r="R163"/>
  <c r="Q163"/>
  <c r="P163"/>
  <c r="O163"/>
  <c r="S162"/>
  <c r="R162"/>
  <c r="Q162"/>
  <c r="P162"/>
  <c r="O162"/>
  <c r="S161"/>
  <c r="R161"/>
  <c r="Q161"/>
  <c r="P161"/>
  <c r="O161"/>
  <c r="S160"/>
  <c r="R160"/>
  <c r="Q160"/>
  <c r="P160"/>
  <c r="O160"/>
  <c r="S159"/>
  <c r="R159"/>
  <c r="Q159"/>
  <c r="P159"/>
  <c r="O159"/>
  <c r="S158"/>
  <c r="R158"/>
  <c r="Q158"/>
  <c r="P158"/>
  <c r="O158"/>
  <c r="S157"/>
  <c r="R157"/>
  <c r="Q157"/>
  <c r="P157"/>
  <c r="O157"/>
  <c r="S156"/>
  <c r="R156"/>
  <c r="Q156"/>
  <c r="P156"/>
  <c r="O156"/>
  <c r="S155"/>
  <c r="R155"/>
  <c r="Q155"/>
  <c r="P155"/>
  <c r="O155"/>
  <c r="S154"/>
  <c r="R154"/>
  <c r="Q154"/>
  <c r="P154"/>
  <c r="O154"/>
  <c r="S153"/>
  <c r="R153"/>
  <c r="Q153"/>
  <c r="P153"/>
  <c r="O153"/>
  <c r="S152"/>
  <c r="R152"/>
  <c r="Q152"/>
  <c r="P152"/>
  <c r="O152"/>
  <c r="S151"/>
  <c r="R151"/>
  <c r="Q151"/>
  <c r="P151"/>
  <c r="O151"/>
  <c r="S150"/>
  <c r="R150"/>
  <c r="Q150"/>
  <c r="P150"/>
  <c r="O150"/>
  <c r="S149"/>
  <c r="R149"/>
  <c r="Q149"/>
  <c r="P149"/>
  <c r="O149"/>
  <c r="S148"/>
  <c r="R148"/>
  <c r="Q148"/>
  <c r="P148"/>
  <c r="O148"/>
  <c r="S147"/>
  <c r="R147"/>
  <c r="Q147"/>
  <c r="P147"/>
  <c r="O147"/>
  <c r="S146"/>
  <c r="R146"/>
  <c r="Q146"/>
  <c r="P146"/>
  <c r="O146"/>
  <c r="S145"/>
  <c r="R145"/>
  <c r="Q145"/>
  <c r="P145"/>
  <c r="O145"/>
  <c r="S144"/>
  <c r="R144"/>
  <c r="Q144"/>
  <c r="P144"/>
  <c r="O144"/>
  <c r="S143"/>
  <c r="R143"/>
  <c r="Q143"/>
  <c r="P143"/>
  <c r="O143"/>
  <c r="S142"/>
  <c r="R142"/>
  <c r="Q142"/>
  <c r="P142"/>
  <c r="O142"/>
  <c r="S141"/>
  <c r="R141"/>
  <c r="Q141"/>
  <c r="P141"/>
  <c r="O141"/>
  <c r="S140"/>
  <c r="R140"/>
  <c r="Q140"/>
  <c r="P140"/>
  <c r="O140"/>
  <c r="S139"/>
  <c r="R139"/>
  <c r="Q139"/>
  <c r="P139"/>
  <c r="O139"/>
  <c r="S138"/>
  <c r="R138"/>
  <c r="Q138"/>
  <c r="P138"/>
  <c r="O138"/>
  <c r="S137"/>
  <c r="R137"/>
  <c r="Q137"/>
  <c r="P137"/>
  <c r="O137"/>
  <c r="S136"/>
  <c r="R136"/>
  <c r="Q136"/>
  <c r="P136"/>
  <c r="O136"/>
  <c r="S135"/>
  <c r="R135"/>
  <c r="Q135"/>
  <c r="P135"/>
  <c r="O135"/>
  <c r="S134"/>
  <c r="R134"/>
  <c r="Q134"/>
  <c r="P134"/>
  <c r="O134"/>
  <c r="S133"/>
  <c r="R133"/>
  <c r="Q133"/>
  <c r="P133"/>
  <c r="O133"/>
  <c r="S132"/>
  <c r="R132"/>
  <c r="Q132"/>
  <c r="P132"/>
  <c r="O132"/>
  <c r="S131"/>
  <c r="R131"/>
  <c r="Q131"/>
  <c r="P131"/>
  <c r="O131"/>
  <c r="S130"/>
  <c r="R130"/>
  <c r="Q130"/>
  <c r="P130"/>
  <c r="O130"/>
  <c r="S129"/>
  <c r="R129"/>
  <c r="Q129"/>
  <c r="P129"/>
  <c r="O129"/>
  <c r="S128"/>
  <c r="R128"/>
  <c r="Q128"/>
  <c r="P128"/>
  <c r="O128"/>
  <c r="S127"/>
  <c r="R127"/>
  <c r="Q127"/>
  <c r="P127"/>
  <c r="O127"/>
  <c r="S126"/>
  <c r="R126"/>
  <c r="Q126"/>
  <c r="P126"/>
  <c r="O126"/>
  <c r="S125"/>
  <c r="R125"/>
  <c r="Q125"/>
  <c r="P125"/>
  <c r="O125"/>
  <c r="S124"/>
  <c r="R124"/>
  <c r="Q124"/>
  <c r="P124"/>
  <c r="O124"/>
  <c r="S123"/>
  <c r="R123"/>
  <c r="Q123"/>
  <c r="P123"/>
  <c r="O123"/>
  <c r="S122"/>
  <c r="R122"/>
  <c r="Q122"/>
  <c r="P122"/>
  <c r="O122"/>
  <c r="S121"/>
  <c r="R121"/>
  <c r="Q121"/>
  <c r="P121"/>
  <c r="O121"/>
  <c r="S120"/>
  <c r="R120"/>
  <c r="Q120"/>
  <c r="P120"/>
  <c r="O120"/>
  <c r="S119"/>
  <c r="R119"/>
  <c r="Q119"/>
  <c r="P119"/>
  <c r="O119"/>
  <c r="S118"/>
  <c r="R118"/>
  <c r="Q118"/>
  <c r="P118"/>
  <c r="O118"/>
  <c r="S117"/>
  <c r="R117"/>
  <c r="Q117"/>
  <c r="P117"/>
  <c r="O117"/>
  <c r="S116"/>
  <c r="R116"/>
  <c r="Q116"/>
  <c r="P116"/>
  <c r="O116"/>
  <c r="S115"/>
  <c r="R115"/>
  <c r="Q115"/>
  <c r="P115"/>
  <c r="O115"/>
  <c r="S114"/>
  <c r="R114"/>
  <c r="Q114"/>
  <c r="P114"/>
  <c r="O114"/>
  <c r="S113"/>
  <c r="R113"/>
  <c r="Q113"/>
  <c r="P113"/>
  <c r="O113"/>
  <c r="S112"/>
  <c r="R112"/>
  <c r="Q112"/>
  <c r="P112"/>
  <c r="O112"/>
  <c r="S111"/>
  <c r="R111"/>
  <c r="Q111"/>
  <c r="P111"/>
  <c r="O111"/>
  <c r="S110"/>
  <c r="R110"/>
  <c r="Q110"/>
  <c r="P110"/>
  <c r="O110"/>
  <c r="S109"/>
  <c r="R109"/>
  <c r="Q109"/>
  <c r="P109"/>
  <c r="O109"/>
  <c r="S108"/>
  <c r="R108"/>
  <c r="Q108"/>
  <c r="P108"/>
  <c r="O108"/>
  <c r="S107"/>
  <c r="R107"/>
  <c r="Q107"/>
  <c r="P107"/>
  <c r="O107"/>
  <c r="S106"/>
  <c r="R106"/>
  <c r="Q106"/>
  <c r="P106"/>
  <c r="O106"/>
  <c r="S105"/>
  <c r="R105"/>
  <c r="Q105"/>
  <c r="P105"/>
  <c r="O105"/>
  <c r="S104"/>
  <c r="R104"/>
  <c r="Q104"/>
  <c r="P104"/>
  <c r="O104"/>
  <c r="S103"/>
  <c r="R103"/>
  <c r="Q103"/>
  <c r="P103"/>
  <c r="O103"/>
  <c r="S102"/>
  <c r="R102"/>
  <c r="Q102"/>
  <c r="P102"/>
  <c r="O102"/>
  <c r="S101"/>
  <c r="R101"/>
  <c r="Q101"/>
  <c r="P101"/>
  <c r="O101"/>
  <c r="S100"/>
  <c r="R100"/>
  <c r="Q100"/>
  <c r="P100"/>
  <c r="O100"/>
  <c r="S99"/>
  <c r="R99"/>
  <c r="Q99"/>
  <c r="P99"/>
  <c r="O99"/>
  <c r="S98"/>
  <c r="R98"/>
  <c r="Q98"/>
  <c r="P98"/>
  <c r="O98"/>
  <c r="S97"/>
  <c r="R97"/>
  <c r="Q97"/>
  <c r="P97"/>
  <c r="O97"/>
  <c r="S96"/>
  <c r="R96"/>
  <c r="Q96"/>
  <c r="P96"/>
  <c r="O96"/>
  <c r="S95"/>
  <c r="R95"/>
  <c r="Q95"/>
  <c r="P95"/>
  <c r="O95"/>
  <c r="S94"/>
  <c r="R94"/>
  <c r="Q94"/>
  <c r="P94"/>
  <c r="O94"/>
  <c r="S93"/>
  <c r="R93"/>
  <c r="Q93"/>
  <c r="P93"/>
  <c r="O93"/>
  <c r="S92"/>
  <c r="R92"/>
  <c r="Q92"/>
  <c r="P92"/>
  <c r="O92"/>
  <c r="S91"/>
  <c r="R91"/>
  <c r="Q91"/>
  <c r="P91"/>
  <c r="O91"/>
  <c r="S90"/>
  <c r="R90"/>
  <c r="Q90"/>
  <c r="P90"/>
  <c r="O90"/>
  <c r="S89"/>
  <c r="R89"/>
  <c r="Q89"/>
  <c r="P89"/>
  <c r="O89"/>
  <c r="S88"/>
  <c r="R88"/>
  <c r="Q88"/>
  <c r="P88"/>
  <c r="O88"/>
  <c r="S87"/>
  <c r="R87"/>
  <c r="Q87"/>
  <c r="P87"/>
  <c r="O87"/>
  <c r="S86"/>
  <c r="R86"/>
  <c r="Q86"/>
  <c r="P86"/>
  <c r="O86"/>
  <c r="S85"/>
  <c r="R85"/>
  <c r="Q85"/>
  <c r="P85"/>
  <c r="O85"/>
  <c r="S84"/>
  <c r="R84"/>
  <c r="Q84"/>
  <c r="P84"/>
  <c r="O84"/>
  <c r="S83"/>
  <c r="R83"/>
  <c r="Q83"/>
  <c r="P83"/>
  <c r="O83"/>
  <c r="S82"/>
  <c r="R82"/>
  <c r="Q82"/>
  <c r="P82"/>
  <c r="O82"/>
  <c r="S81"/>
  <c r="R81"/>
  <c r="Q81"/>
  <c r="P81"/>
  <c r="O81"/>
  <c r="S80"/>
  <c r="R80"/>
  <c r="Q80"/>
  <c r="P80"/>
  <c r="O80"/>
  <c r="S79"/>
  <c r="R79"/>
  <c r="Q79"/>
  <c r="P79"/>
  <c r="O79"/>
  <c r="S78"/>
  <c r="R78"/>
  <c r="Q78"/>
  <c r="P78"/>
  <c r="O78"/>
  <c r="S77"/>
  <c r="R77"/>
  <c r="Q77"/>
  <c r="P77"/>
  <c r="O77"/>
  <c r="S76"/>
  <c r="R76"/>
  <c r="Q76"/>
  <c r="P76"/>
  <c r="O76"/>
  <c r="S75"/>
  <c r="R75"/>
  <c r="Q75"/>
  <c r="P75"/>
  <c r="O75"/>
  <c r="S74"/>
  <c r="R74"/>
  <c r="Q74"/>
  <c r="P74"/>
  <c r="O74"/>
  <c r="S73"/>
  <c r="R73"/>
  <c r="Q73"/>
  <c r="P73"/>
  <c r="O73"/>
  <c r="S72"/>
  <c r="R72"/>
  <c r="Q72"/>
  <c r="P72"/>
  <c r="O72"/>
  <c r="S71"/>
  <c r="R71"/>
  <c r="Q71"/>
  <c r="P71"/>
  <c r="O71"/>
  <c r="S70"/>
  <c r="R70"/>
  <c r="Q70"/>
  <c r="P70"/>
  <c r="O70"/>
  <c r="S69"/>
  <c r="R69"/>
  <c r="Q69"/>
  <c r="P69"/>
  <c r="O69"/>
  <c r="S68"/>
  <c r="R68"/>
  <c r="Q68"/>
  <c r="P68"/>
  <c r="O68"/>
  <c r="S67"/>
  <c r="R67"/>
  <c r="Q67"/>
  <c r="P67"/>
  <c r="O67"/>
  <c r="S66"/>
  <c r="R66"/>
  <c r="Q66"/>
  <c r="P66"/>
  <c r="O66"/>
  <c r="S65"/>
  <c r="R65"/>
  <c r="Q65"/>
  <c r="P65"/>
  <c r="O65"/>
  <c r="S64"/>
  <c r="R64"/>
  <c r="Q64"/>
  <c r="P64"/>
  <c r="O64"/>
  <c r="S63"/>
  <c r="R63"/>
  <c r="Q63"/>
  <c r="P63"/>
  <c r="O63"/>
  <c r="S62"/>
  <c r="R62"/>
  <c r="Q62"/>
  <c r="P62"/>
  <c r="O62"/>
  <c r="S61"/>
  <c r="R61"/>
  <c r="Q61"/>
  <c r="P61"/>
  <c r="O61"/>
  <c r="S60"/>
  <c r="R60"/>
  <c r="Q60"/>
  <c r="P60"/>
  <c r="O60"/>
  <c r="S59"/>
  <c r="R59"/>
  <c r="Q59"/>
  <c r="P59"/>
  <c r="O59"/>
  <c r="S58"/>
  <c r="R58"/>
  <c r="Q58"/>
  <c r="P58"/>
  <c r="O58"/>
  <c r="S57"/>
  <c r="R57"/>
  <c r="Q57"/>
  <c r="P57"/>
  <c r="O57"/>
  <c r="S56"/>
  <c r="R56"/>
  <c r="Q56"/>
  <c r="P56"/>
  <c r="O56"/>
  <c r="S55"/>
  <c r="R55"/>
  <c r="Q55"/>
  <c r="P55"/>
  <c r="O55"/>
  <c r="S54"/>
  <c r="R54"/>
  <c r="Q54"/>
  <c r="P54"/>
  <c r="O54"/>
  <c r="S53"/>
  <c r="R53"/>
  <c r="Q53"/>
  <c r="P53"/>
  <c r="O53"/>
  <c r="S52"/>
  <c r="R52"/>
  <c r="Q52"/>
  <c r="P52"/>
  <c r="O52"/>
  <c r="S51"/>
  <c r="R51"/>
  <c r="Q51"/>
  <c r="P51"/>
  <c r="O51"/>
  <c r="S50"/>
  <c r="R50"/>
  <c r="Q50"/>
  <c r="P50"/>
  <c r="O50"/>
  <c r="S49"/>
  <c r="R49"/>
  <c r="Q49"/>
  <c r="P49"/>
  <c r="O49"/>
  <c r="S48"/>
  <c r="R48"/>
  <c r="Q48"/>
  <c r="P48"/>
  <c r="O48"/>
  <c r="S47"/>
  <c r="R47"/>
  <c r="Q47"/>
  <c r="P47"/>
  <c r="O47"/>
  <c r="S46"/>
  <c r="R46"/>
  <c r="Q46"/>
  <c r="P46"/>
  <c r="O46"/>
  <c r="S45"/>
  <c r="R45"/>
  <c r="Q45"/>
  <c r="P45"/>
  <c r="O45"/>
  <c r="S44"/>
  <c r="R44"/>
  <c r="Q44"/>
  <c r="P44"/>
  <c r="O44"/>
  <c r="S43"/>
  <c r="R43"/>
  <c r="Q43"/>
  <c r="P43"/>
  <c r="O43"/>
  <c r="S42"/>
  <c r="R42"/>
  <c r="Q42"/>
  <c r="P42"/>
  <c r="O42"/>
  <c r="S41"/>
  <c r="R41"/>
  <c r="Q41"/>
  <c r="P41"/>
  <c r="O41"/>
  <c r="S40"/>
  <c r="R40"/>
  <c r="Q40"/>
  <c r="P40"/>
  <c r="O40"/>
  <c r="S39"/>
  <c r="R39"/>
  <c r="Q39"/>
  <c r="P39"/>
  <c r="O39"/>
  <c r="S38"/>
  <c r="R38"/>
  <c r="Q38"/>
  <c r="P38"/>
  <c r="O38"/>
  <c r="S37"/>
  <c r="R37"/>
  <c r="Q37"/>
  <c r="P37"/>
  <c r="O37"/>
  <c r="S36"/>
  <c r="R36"/>
  <c r="Q36"/>
  <c r="P36"/>
  <c r="O36"/>
  <c r="S35"/>
  <c r="R35"/>
  <c r="Q35"/>
  <c r="P35"/>
  <c r="O35"/>
  <c r="S34"/>
  <c r="R34"/>
  <c r="Q34"/>
  <c r="P34"/>
  <c r="O34"/>
  <c r="S33"/>
  <c r="R33"/>
  <c r="Q33"/>
  <c r="P33"/>
  <c r="O33"/>
  <c r="S32"/>
  <c r="R32"/>
  <c r="Q32"/>
  <c r="P32"/>
  <c r="O32"/>
  <c r="S31"/>
  <c r="R31"/>
  <c r="Q31"/>
  <c r="P31"/>
  <c r="O31"/>
  <c r="S30"/>
  <c r="R30"/>
  <c r="Q30"/>
  <c r="P30"/>
  <c r="O30"/>
  <c r="S29"/>
  <c r="R29"/>
  <c r="Q29"/>
  <c r="P29"/>
  <c r="O29"/>
  <c r="S28"/>
  <c r="R28"/>
  <c r="Q28"/>
  <c r="P28"/>
  <c r="O28"/>
  <c r="S27"/>
  <c r="R27"/>
  <c r="Q27"/>
  <c r="P27"/>
  <c r="O27"/>
  <c r="S26"/>
  <c r="R26"/>
  <c r="Q26"/>
  <c r="P26"/>
  <c r="O26"/>
  <c r="S25"/>
  <c r="R25"/>
  <c r="Q25"/>
  <c r="P25"/>
  <c r="O25"/>
  <c r="S24"/>
  <c r="R24"/>
  <c r="Q24"/>
  <c r="P24"/>
  <c r="O24"/>
  <c r="S23"/>
  <c r="R23"/>
  <c r="Q23"/>
  <c r="P23"/>
  <c r="O23"/>
  <c r="S22"/>
  <c r="R22"/>
  <c r="Q22"/>
  <c r="P22"/>
  <c r="O22"/>
  <c r="S21"/>
  <c r="R21"/>
  <c r="Q21"/>
  <c r="P21"/>
  <c r="O21"/>
  <c r="S20"/>
  <c r="R20"/>
  <c r="Q20"/>
  <c r="P20"/>
  <c r="O20"/>
  <c r="S19"/>
  <c r="R19"/>
  <c r="Q19"/>
  <c r="P19"/>
  <c r="O19"/>
  <c r="S18"/>
  <c r="R18"/>
  <c r="Q18"/>
  <c r="P18"/>
  <c r="O18"/>
  <c r="S17"/>
  <c r="R17"/>
  <c r="Q17"/>
  <c r="P17"/>
  <c r="O17"/>
  <c r="S16"/>
  <c r="R16"/>
  <c r="Q16"/>
  <c r="P16"/>
  <c r="O16"/>
  <c r="S15"/>
  <c r="R15"/>
  <c r="Q15"/>
  <c r="P15"/>
  <c r="O15"/>
  <c r="S14"/>
  <c r="R14"/>
  <c r="Q14"/>
  <c r="P14"/>
  <c r="O14"/>
  <c r="S13"/>
  <c r="R13"/>
  <c r="Q13"/>
  <c r="P13"/>
  <c r="O13"/>
  <c r="S12"/>
  <c r="R12"/>
  <c r="Q12"/>
  <c r="P12"/>
  <c r="O12"/>
  <c r="S11"/>
  <c r="R11"/>
  <c r="Q11"/>
  <c r="P11"/>
  <c r="O11"/>
  <c r="S10"/>
  <c r="R10"/>
  <c r="Q10"/>
  <c r="P10"/>
  <c r="O10"/>
  <c r="S9"/>
  <c r="R9"/>
  <c r="Q9"/>
  <c r="P9"/>
  <c r="O9"/>
  <c r="Q8"/>
  <c r="R8"/>
  <c r="S8"/>
  <c r="S7"/>
  <c r="L7"/>
  <c r="R7"/>
  <c r="K7"/>
  <c r="Q7"/>
  <c r="J7"/>
  <c r="P7"/>
  <c r="I7"/>
  <c r="O7"/>
  <c r="H7"/>
  <c r="AG1000" i="1"/>
  <c r="AD1000"/>
  <c r="AF1000" s="1"/>
  <c r="AG999"/>
  <c r="AD999"/>
  <c r="AG998"/>
  <c r="AD998"/>
  <c r="AF998" s="1"/>
  <c r="AG997"/>
  <c r="AD997"/>
  <c r="AG996"/>
  <c r="AD996"/>
  <c r="AF996" s="1"/>
  <c r="AG995"/>
  <c r="AD995"/>
  <c r="AG994"/>
  <c r="AD994"/>
  <c r="AG993"/>
  <c r="AD993"/>
  <c r="AG992"/>
  <c r="AD992"/>
  <c r="AG991"/>
  <c r="AD991"/>
  <c r="AG990"/>
  <c r="AD990"/>
  <c r="AG989"/>
  <c r="AD989"/>
  <c r="AG988"/>
  <c r="AD988"/>
  <c r="AG987"/>
  <c r="AD987"/>
  <c r="AG986"/>
  <c r="AD986"/>
  <c r="AG985"/>
  <c r="AD985"/>
  <c r="AG984"/>
  <c r="AD984"/>
  <c r="AG983"/>
  <c r="AD983"/>
  <c r="AG982"/>
  <c r="AD982"/>
  <c r="AG981"/>
  <c r="AD981"/>
  <c r="AG980"/>
  <c r="AD980"/>
  <c r="AG979"/>
  <c r="AD979"/>
  <c r="AG978"/>
  <c r="AD978"/>
  <c r="AG977"/>
  <c r="AD977"/>
  <c r="AG976"/>
  <c r="AD976"/>
  <c r="AG975"/>
  <c r="AD975"/>
  <c r="AG974"/>
  <c r="AD974"/>
  <c r="AG973"/>
  <c r="AD973"/>
  <c r="AG972"/>
  <c r="AD972"/>
  <c r="AG971"/>
  <c r="AD971"/>
  <c r="AG970"/>
  <c r="AD970"/>
  <c r="AG969"/>
  <c r="AD969"/>
  <c r="AG968"/>
  <c r="AD968"/>
  <c r="AG967"/>
  <c r="AD967"/>
  <c r="AG966"/>
  <c r="AD966"/>
  <c r="AG965"/>
  <c r="AD965"/>
  <c r="AG964"/>
  <c r="AD964"/>
  <c r="AG963"/>
  <c r="AD963"/>
  <c r="AG962"/>
  <c r="AD962"/>
  <c r="AG961"/>
  <c r="AD961"/>
  <c r="AG960"/>
  <c r="AD960"/>
  <c r="AG959"/>
  <c r="AD959"/>
  <c r="AG958"/>
  <c r="AD958"/>
  <c r="AG957"/>
  <c r="AD957"/>
  <c r="AG956"/>
  <c r="AD956"/>
  <c r="AG955"/>
  <c r="AD955"/>
  <c r="AG954"/>
  <c r="AD954"/>
  <c r="AG953"/>
  <c r="AD953"/>
  <c r="AG952"/>
  <c r="AD952"/>
  <c r="AG951"/>
  <c r="AD951"/>
  <c r="AG950"/>
  <c r="AD950"/>
  <c r="AG949"/>
  <c r="AD949"/>
  <c r="AG948"/>
  <c r="AD948"/>
  <c r="AG947"/>
  <c r="AD947"/>
  <c r="AG946"/>
  <c r="AD946"/>
  <c r="AG945"/>
  <c r="AD945"/>
  <c r="AG944"/>
  <c r="AD944"/>
  <c r="AG943"/>
  <c r="AD943"/>
  <c r="AG942"/>
  <c r="AD942"/>
  <c r="AG941"/>
  <c r="AD941"/>
  <c r="AG940"/>
  <c r="AD940"/>
  <c r="AG939"/>
  <c r="AD939"/>
  <c r="AG938"/>
  <c r="AD938"/>
  <c r="AG937"/>
  <c r="AD937"/>
  <c r="AG936"/>
  <c r="AD936"/>
  <c r="AG935"/>
  <c r="AD935"/>
  <c r="AG934"/>
  <c r="AD934"/>
  <c r="AG933"/>
  <c r="AD933"/>
  <c r="AG932"/>
  <c r="AD932"/>
  <c r="AG931"/>
  <c r="AD931"/>
  <c r="AG930"/>
  <c r="AD930"/>
  <c r="AG929"/>
  <c r="AD929"/>
  <c r="AG928"/>
  <c r="AD928"/>
  <c r="AG927"/>
  <c r="AD927"/>
  <c r="AG926"/>
  <c r="AD926"/>
  <c r="AG925"/>
  <c r="AD925"/>
  <c r="AG924"/>
  <c r="AD924"/>
  <c r="AE924" s="1"/>
  <c r="AG923"/>
  <c r="AD923"/>
  <c r="AG922"/>
  <c r="AD922"/>
  <c r="AG921"/>
  <c r="AD921"/>
  <c r="AG920"/>
  <c r="AD920"/>
  <c r="AE920" s="1"/>
  <c r="AG919"/>
  <c r="AD919"/>
  <c r="AG918"/>
  <c r="AD918"/>
  <c r="AE918" s="1"/>
  <c r="AG917"/>
  <c r="AD917"/>
  <c r="AG916"/>
  <c r="AD916"/>
  <c r="AG915"/>
  <c r="AD915"/>
  <c r="AG914"/>
  <c r="AD914"/>
  <c r="AE914" s="1"/>
  <c r="AG913"/>
  <c r="AD913"/>
  <c r="AG912"/>
  <c r="AD912"/>
  <c r="AE912" s="1"/>
  <c r="AG911"/>
  <c r="AD911"/>
  <c r="AG910"/>
  <c r="AD910"/>
  <c r="AE910" s="1"/>
  <c r="AG909"/>
  <c r="AD909"/>
  <c r="AG908"/>
  <c r="AD908"/>
  <c r="AE908" s="1"/>
  <c r="AG907"/>
  <c r="AD907"/>
  <c r="AG906"/>
  <c r="AD906"/>
  <c r="AG905"/>
  <c r="AD905"/>
  <c r="AG904"/>
  <c r="AD904"/>
  <c r="AE904" s="1"/>
  <c r="AG903"/>
  <c r="AD903"/>
  <c r="AG902"/>
  <c r="AD902"/>
  <c r="AE902" s="1"/>
  <c r="AG901"/>
  <c r="AD901"/>
  <c r="AG900"/>
  <c r="AD900"/>
  <c r="AE900" s="1"/>
  <c r="AG899"/>
  <c r="AD899"/>
  <c r="AG898"/>
  <c r="AD898"/>
  <c r="AE898" s="1"/>
  <c r="AG897"/>
  <c r="AD897"/>
  <c r="AG896"/>
  <c r="AD896"/>
  <c r="AE896" s="1"/>
  <c r="AG895"/>
  <c r="AD895"/>
  <c r="AG894"/>
  <c r="AD894"/>
  <c r="AE894" s="1"/>
  <c r="AG893"/>
  <c r="AD893"/>
  <c r="AG892"/>
  <c r="AD892"/>
  <c r="AE892" s="1"/>
  <c r="AG891"/>
  <c r="AD891"/>
  <c r="AG890"/>
  <c r="AD890"/>
  <c r="AG889"/>
  <c r="AD889"/>
  <c r="AG888"/>
  <c r="AD888"/>
  <c r="AE888" s="1"/>
  <c r="AG887"/>
  <c r="AD887"/>
  <c r="AG886"/>
  <c r="AD886"/>
  <c r="AE886" s="1"/>
  <c r="AG885"/>
  <c r="AD885"/>
  <c r="AG884"/>
  <c r="AD884"/>
  <c r="AG883"/>
  <c r="AD883"/>
  <c r="AG882"/>
  <c r="AD882"/>
  <c r="AE882" s="1"/>
  <c r="AG881"/>
  <c r="AD881"/>
  <c r="AG880"/>
  <c r="AD880"/>
  <c r="AE880" s="1"/>
  <c r="AG879"/>
  <c r="AD879"/>
  <c r="AG878"/>
  <c r="AD878"/>
  <c r="AE878" s="1"/>
  <c r="AG877"/>
  <c r="AD877"/>
  <c r="AG876"/>
  <c r="AD876"/>
  <c r="AE876" s="1"/>
  <c r="AG875"/>
  <c r="AD875"/>
  <c r="AG874"/>
  <c r="AD874"/>
  <c r="AG873"/>
  <c r="AD873"/>
  <c r="AG872"/>
  <c r="AD872"/>
  <c r="AE872" s="1"/>
  <c r="AG871"/>
  <c r="AD871"/>
  <c r="AG870"/>
  <c r="AD870"/>
  <c r="AE870" s="1"/>
  <c r="AG869"/>
  <c r="AD869"/>
  <c r="AG868"/>
  <c r="AD868"/>
  <c r="AE868" s="1"/>
  <c r="AG867"/>
  <c r="AD867"/>
  <c r="AG866"/>
  <c r="AD866"/>
  <c r="AE866" s="1"/>
  <c r="AG865"/>
  <c r="AD865"/>
  <c r="AG864"/>
  <c r="AD864"/>
  <c r="AE864" s="1"/>
  <c r="AG863"/>
  <c r="AD863"/>
  <c r="AG862"/>
  <c r="AD862"/>
  <c r="AE862" s="1"/>
  <c r="AG861"/>
  <c r="AD861"/>
  <c r="AG860"/>
  <c r="AD860"/>
  <c r="AE860" s="1"/>
  <c r="AG859"/>
  <c r="AD859"/>
  <c r="AG858"/>
  <c r="AD858"/>
  <c r="AG857"/>
  <c r="AD857"/>
  <c r="AG856"/>
  <c r="AD856"/>
  <c r="AE856" s="1"/>
  <c r="AG855"/>
  <c r="AD855"/>
  <c r="AG854"/>
  <c r="AD854"/>
  <c r="AE854" s="1"/>
  <c r="AG853"/>
  <c r="AD853"/>
  <c r="AG852"/>
  <c r="AD852"/>
  <c r="AG851"/>
  <c r="AD851"/>
  <c r="AG850"/>
  <c r="AD850"/>
  <c r="AE850" s="1"/>
  <c r="AG849"/>
  <c r="AD849"/>
  <c r="AG848"/>
  <c r="AD848"/>
  <c r="AE848" s="1"/>
  <c r="AG847"/>
  <c r="AD847"/>
  <c r="AG846"/>
  <c r="AD846"/>
  <c r="AE846" s="1"/>
  <c r="AG845"/>
  <c r="AD845"/>
  <c r="AG844"/>
  <c r="AD844"/>
  <c r="AE844" s="1"/>
  <c r="AG843"/>
  <c r="AD843"/>
  <c r="AG842"/>
  <c r="AD842"/>
  <c r="AG841"/>
  <c r="AD841"/>
  <c r="AG840"/>
  <c r="AD840"/>
  <c r="AE840" s="1"/>
  <c r="AG839"/>
  <c r="AD839"/>
  <c r="AG838"/>
  <c r="AD838"/>
  <c r="AE838" s="1"/>
  <c r="AG837"/>
  <c r="AD837"/>
  <c r="AG836"/>
  <c r="AD836"/>
  <c r="AE836" s="1"/>
  <c r="AG835"/>
  <c r="AD835"/>
  <c r="AG834"/>
  <c r="AD834"/>
  <c r="AE834" s="1"/>
  <c r="AG833"/>
  <c r="AD833"/>
  <c r="AG832"/>
  <c r="AD832"/>
  <c r="AE832" s="1"/>
  <c r="AG831"/>
  <c r="AD831"/>
  <c r="AG830"/>
  <c r="AD830"/>
  <c r="AG829"/>
  <c r="AD829"/>
  <c r="AF829" s="1"/>
  <c r="AG828"/>
  <c r="AD828"/>
  <c r="AG827"/>
  <c r="AD827"/>
  <c r="AF827" s="1"/>
  <c r="AG826"/>
  <c r="AD826"/>
  <c r="AG825"/>
  <c r="AD825"/>
  <c r="AF825" s="1"/>
  <c r="AG824"/>
  <c r="AD824"/>
  <c r="AG823"/>
  <c r="AD823"/>
  <c r="AF823" s="1"/>
  <c r="AG822"/>
  <c r="AD822"/>
  <c r="AG821"/>
  <c r="AD821"/>
  <c r="AF821" s="1"/>
  <c r="AG820"/>
  <c r="AD820"/>
  <c r="AG819"/>
  <c r="AD819"/>
  <c r="AF819" s="1"/>
  <c r="AG818"/>
  <c r="AD818"/>
  <c r="AG817"/>
  <c r="AD817"/>
  <c r="AG816"/>
  <c r="AD816"/>
  <c r="AG815"/>
  <c r="AD815"/>
  <c r="AG814"/>
  <c r="AD814"/>
  <c r="AG813"/>
  <c r="AD813"/>
  <c r="AG812"/>
  <c r="AD812"/>
  <c r="AG811"/>
  <c r="AD811"/>
  <c r="AG810"/>
  <c r="AD810"/>
  <c r="AG809"/>
  <c r="AD809"/>
  <c r="AG808"/>
  <c r="AD808"/>
  <c r="AG807"/>
  <c r="AD807"/>
  <c r="AG806"/>
  <c r="AD806"/>
  <c r="AG805"/>
  <c r="AD805"/>
  <c r="AG804"/>
  <c r="AD804"/>
  <c r="AG803"/>
  <c r="AD803"/>
  <c r="AG802"/>
  <c r="AD802"/>
  <c r="AG801"/>
  <c r="AD801"/>
  <c r="AG800"/>
  <c r="AD800"/>
  <c r="AG799"/>
  <c r="AD799"/>
  <c r="AG798"/>
  <c r="AD798"/>
  <c r="AG797"/>
  <c r="AD797"/>
  <c r="AG796"/>
  <c r="AD796"/>
  <c r="AG795"/>
  <c r="AD795"/>
  <c r="AG794"/>
  <c r="AD794"/>
  <c r="AG793"/>
  <c r="AD793"/>
  <c r="AE793" s="1"/>
  <c r="AG792"/>
  <c r="AD792"/>
  <c r="AG791"/>
  <c r="AD791"/>
  <c r="AE791" s="1"/>
  <c r="AG790"/>
  <c r="AD790"/>
  <c r="AG789"/>
  <c r="AD789"/>
  <c r="AE789" s="1"/>
  <c r="AG788"/>
  <c r="AD788"/>
  <c r="AG787"/>
  <c r="AD787"/>
  <c r="AG786"/>
  <c r="AD786"/>
  <c r="AG785"/>
  <c r="AD785"/>
  <c r="AE785" s="1"/>
  <c r="AG784"/>
  <c r="AD784"/>
  <c r="AG783"/>
  <c r="AD783"/>
  <c r="AE783" s="1"/>
  <c r="AG782"/>
  <c r="AD782"/>
  <c r="AG781"/>
  <c r="AD781"/>
  <c r="AE781" s="1"/>
  <c r="AG780"/>
  <c r="AD780"/>
  <c r="AG779"/>
  <c r="AD779"/>
  <c r="AE779" s="1"/>
  <c r="AG778"/>
  <c r="AD778"/>
  <c r="AG777"/>
  <c r="AD777"/>
  <c r="AE777" s="1"/>
  <c r="AG776"/>
  <c r="AD776"/>
  <c r="AG775"/>
  <c r="AD775"/>
  <c r="AE775" s="1"/>
  <c r="AG774"/>
  <c r="AD774"/>
  <c r="AG773"/>
  <c r="AD773"/>
  <c r="AG772"/>
  <c r="AD772"/>
  <c r="AG771"/>
  <c r="AD771"/>
  <c r="AG770"/>
  <c r="AD770"/>
  <c r="AG769"/>
  <c r="AD769"/>
  <c r="AE769" s="1"/>
  <c r="AG768"/>
  <c r="AD768"/>
  <c r="AG767"/>
  <c r="AD767"/>
  <c r="AE767" s="1"/>
  <c r="AG766"/>
  <c r="AD766"/>
  <c r="AG765"/>
  <c r="AD765"/>
  <c r="AE765" s="1"/>
  <c r="AG764"/>
  <c r="AD764"/>
  <c r="AG763"/>
  <c r="AD763"/>
  <c r="AE763" s="1"/>
  <c r="AG762"/>
  <c r="AD762"/>
  <c r="AG761"/>
  <c r="AD761"/>
  <c r="AE761" s="1"/>
  <c r="AG760"/>
  <c r="AD760"/>
  <c r="AG759"/>
  <c r="AD759"/>
  <c r="AE759" s="1"/>
  <c r="AG758"/>
  <c r="AD758"/>
  <c r="AG757"/>
  <c r="AD757"/>
  <c r="AE757" s="1"/>
  <c r="AG756"/>
  <c r="AD756"/>
  <c r="AG755"/>
  <c r="AD755"/>
  <c r="AG754"/>
  <c r="AD754"/>
  <c r="AG753"/>
  <c r="AD753"/>
  <c r="AE753" s="1"/>
  <c r="AG752"/>
  <c r="AD752"/>
  <c r="AG751"/>
  <c r="AD751"/>
  <c r="AE751" s="1"/>
  <c r="AG750"/>
  <c r="AD750"/>
  <c r="AG749"/>
  <c r="AD749"/>
  <c r="AE749" s="1"/>
  <c r="AG748"/>
  <c r="AD748"/>
  <c r="AG747"/>
  <c r="AD747"/>
  <c r="AE747" s="1"/>
  <c r="AG746"/>
  <c r="AD746"/>
  <c r="AG745"/>
  <c r="AD745"/>
  <c r="AE745" s="1"/>
  <c r="AG744"/>
  <c r="AD744"/>
  <c r="AG743"/>
  <c r="AD743"/>
  <c r="AG742"/>
  <c r="AD742"/>
  <c r="AG741"/>
  <c r="AD741"/>
  <c r="AE741" s="1"/>
  <c r="AG740"/>
  <c r="AD740"/>
  <c r="AG739"/>
  <c r="AD739"/>
  <c r="AG738"/>
  <c r="AD738"/>
  <c r="AG737"/>
  <c r="AD737"/>
  <c r="AE737" s="1"/>
  <c r="AG736"/>
  <c r="AD736"/>
  <c r="AG735"/>
  <c r="AD735"/>
  <c r="AG734"/>
  <c r="AD734"/>
  <c r="AG733"/>
  <c r="AD733"/>
  <c r="AE733" s="1"/>
  <c r="AG732"/>
  <c r="AD732"/>
  <c r="AG731"/>
  <c r="AD731"/>
  <c r="AE731" s="1"/>
  <c r="AG730"/>
  <c r="AD730"/>
  <c r="AG729"/>
  <c r="AD729"/>
  <c r="AG728"/>
  <c r="AD728"/>
  <c r="AG727"/>
  <c r="AD727"/>
  <c r="AG726"/>
  <c r="AD726"/>
  <c r="AG725"/>
  <c r="AD725"/>
  <c r="AE725" s="1"/>
  <c r="AG724"/>
  <c r="AD724"/>
  <c r="AG723"/>
  <c r="AD723"/>
  <c r="AG722"/>
  <c r="AD722"/>
  <c r="AG721"/>
  <c r="AD721"/>
  <c r="AE721" s="1"/>
  <c r="AG720"/>
  <c r="AD720"/>
  <c r="AG719"/>
  <c r="AD719"/>
  <c r="AG718"/>
  <c r="AD718"/>
  <c r="AG717"/>
  <c r="AD717"/>
  <c r="AE717" s="1"/>
  <c r="AG716"/>
  <c r="AD716"/>
  <c r="AG715"/>
  <c r="AD715"/>
  <c r="AE715" s="1"/>
  <c r="AG714"/>
  <c r="AD714"/>
  <c r="AG713"/>
  <c r="AD713"/>
  <c r="AE713" s="1"/>
  <c r="AG712"/>
  <c r="AD712"/>
  <c r="AG711"/>
  <c r="AD711"/>
  <c r="AG710"/>
  <c r="AD710"/>
  <c r="AG709"/>
  <c r="AD709"/>
  <c r="AG708"/>
  <c r="AD708"/>
  <c r="AG707"/>
  <c r="AD707"/>
  <c r="AG706"/>
  <c r="AD706"/>
  <c r="AG705"/>
  <c r="AD705"/>
  <c r="AE705" s="1"/>
  <c r="AG704"/>
  <c r="AD704"/>
  <c r="AG703"/>
  <c r="AD703"/>
  <c r="AG702"/>
  <c r="AD702"/>
  <c r="AG701"/>
  <c r="AD701"/>
  <c r="AE701" s="1"/>
  <c r="AG700"/>
  <c r="AD700"/>
  <c r="AG699"/>
  <c r="AD699"/>
  <c r="AE699" s="1"/>
  <c r="AG698"/>
  <c r="AD698"/>
  <c r="AG697"/>
  <c r="AD697"/>
  <c r="AE697" s="1"/>
  <c r="AG696"/>
  <c r="AD696"/>
  <c r="AG695"/>
  <c r="AD695"/>
  <c r="AG694"/>
  <c r="AD694"/>
  <c r="AG693"/>
  <c r="AD693"/>
  <c r="AE693" s="1"/>
  <c r="AG692"/>
  <c r="AD692"/>
  <c r="AG691"/>
  <c r="AD691"/>
  <c r="AG690"/>
  <c r="AD690"/>
  <c r="AG689"/>
  <c r="AD689"/>
  <c r="AE689" s="1"/>
  <c r="AG688"/>
  <c r="AD688"/>
  <c r="AG687"/>
  <c r="AD687"/>
  <c r="AG686"/>
  <c r="AD686"/>
  <c r="AG685"/>
  <c r="AD685"/>
  <c r="AG684"/>
  <c r="AD684"/>
  <c r="AG683"/>
  <c r="AD683"/>
  <c r="AE683" s="1"/>
  <c r="AG682"/>
  <c r="AD682"/>
  <c r="AG681"/>
  <c r="AD681"/>
  <c r="AE681" s="1"/>
  <c r="AG680"/>
  <c r="AD680"/>
  <c r="AG679"/>
  <c r="AD679"/>
  <c r="AG678"/>
  <c r="AD678"/>
  <c r="AG677"/>
  <c r="AD677"/>
  <c r="AE677" s="1"/>
  <c r="AG676"/>
  <c r="AD676"/>
  <c r="AG675"/>
  <c r="AD675"/>
  <c r="AF675" s="1"/>
  <c r="AG674"/>
  <c r="AD674"/>
  <c r="AG673"/>
  <c r="AD673"/>
  <c r="AF673" s="1"/>
  <c r="AG672"/>
  <c r="AD672"/>
  <c r="AG671"/>
  <c r="AD671"/>
  <c r="AF671" s="1"/>
  <c r="AG670"/>
  <c r="AD670"/>
  <c r="AG669"/>
  <c r="AD669"/>
  <c r="AE669" s="1"/>
  <c r="AG668"/>
  <c r="AD668"/>
  <c r="AG667"/>
  <c r="AD667"/>
  <c r="AG666"/>
  <c r="AD666"/>
  <c r="AG665"/>
  <c r="AD665"/>
  <c r="AE665" s="1"/>
  <c r="AG664"/>
  <c r="AD664"/>
  <c r="AG663"/>
  <c r="AD663"/>
  <c r="AF663" s="1"/>
  <c r="AG662"/>
  <c r="AD662"/>
  <c r="AG661"/>
  <c r="AD661"/>
  <c r="AG660"/>
  <c r="AD660"/>
  <c r="AG659"/>
  <c r="AD659"/>
  <c r="AF659" s="1"/>
  <c r="AG658"/>
  <c r="AD658"/>
  <c r="AG657"/>
  <c r="AD657"/>
  <c r="AE657" s="1"/>
  <c r="AG656"/>
  <c r="AD656"/>
  <c r="AG655"/>
  <c r="AD655"/>
  <c r="AF655" s="1"/>
  <c r="AG654"/>
  <c r="AD654"/>
  <c r="AF654" s="1"/>
  <c r="AG653"/>
  <c r="AD653"/>
  <c r="AF653" s="1"/>
  <c r="AG652"/>
  <c r="AD652"/>
  <c r="AG651"/>
  <c r="AD651"/>
  <c r="AF651" s="1"/>
  <c r="AG650"/>
  <c r="AD650"/>
  <c r="AF650" s="1"/>
  <c r="AG649"/>
  <c r="AD649"/>
  <c r="AG648"/>
  <c r="AD648"/>
  <c r="AF648" s="1"/>
  <c r="AG647"/>
  <c r="AD647"/>
  <c r="AG646"/>
  <c r="AD646"/>
  <c r="AF646" s="1"/>
  <c r="AG645"/>
  <c r="AD645"/>
  <c r="AG644"/>
  <c r="AD644"/>
  <c r="AF644" s="1"/>
  <c r="AG643"/>
  <c r="AD643"/>
  <c r="AG642"/>
  <c r="AD642"/>
  <c r="AG641"/>
  <c r="AD641"/>
  <c r="AG640"/>
  <c r="AD640"/>
  <c r="AF640" s="1"/>
  <c r="AG639"/>
  <c r="AD639"/>
  <c r="AG638"/>
  <c r="AD638"/>
  <c r="AF638" s="1"/>
  <c r="AG637"/>
  <c r="AD637"/>
  <c r="AG636"/>
  <c r="AD636"/>
  <c r="AG635"/>
  <c r="AD635"/>
  <c r="AG634"/>
  <c r="AD634"/>
  <c r="AF634" s="1"/>
  <c r="AG633"/>
  <c r="AD633"/>
  <c r="AG632"/>
  <c r="AD632"/>
  <c r="AF632" s="1"/>
  <c r="AG631"/>
  <c r="AD631"/>
  <c r="AG630"/>
  <c r="AD630"/>
  <c r="AF630" s="1"/>
  <c r="AG629"/>
  <c r="AD629"/>
  <c r="AG628"/>
  <c r="AD628"/>
  <c r="AF628" s="1"/>
  <c r="AG627"/>
  <c r="AD627"/>
  <c r="AG626"/>
  <c r="AD626"/>
  <c r="AG625"/>
  <c r="AD625"/>
  <c r="AG624"/>
  <c r="AD624"/>
  <c r="AF624" s="1"/>
  <c r="AG623"/>
  <c r="AD623"/>
  <c r="AG622"/>
  <c r="AD622"/>
  <c r="AF622" s="1"/>
  <c r="AG621"/>
  <c r="AD621"/>
  <c r="AG620"/>
  <c r="AD620"/>
  <c r="AG619"/>
  <c r="AD619"/>
  <c r="AG618"/>
  <c r="AD618"/>
  <c r="AF618" s="1"/>
  <c r="AG617"/>
  <c r="AD617"/>
  <c r="AG616"/>
  <c r="AD616"/>
  <c r="AF616" s="1"/>
  <c r="AG615"/>
  <c r="AD615"/>
  <c r="AG614"/>
  <c r="AD614"/>
  <c r="AF614" s="1"/>
  <c r="AG613"/>
  <c r="AD613"/>
  <c r="AG612"/>
  <c r="AD612"/>
  <c r="AF612" s="1"/>
  <c r="AG611"/>
  <c r="AD611"/>
  <c r="AG610"/>
  <c r="AD610"/>
  <c r="AG609"/>
  <c r="AD609"/>
  <c r="AG608"/>
  <c r="AD608"/>
  <c r="AF608" s="1"/>
  <c r="AG607"/>
  <c r="AD607"/>
  <c r="AG606"/>
  <c r="AD606"/>
  <c r="AF606" s="1"/>
  <c r="AG605"/>
  <c r="AD605"/>
  <c r="AG604"/>
  <c r="AD604"/>
  <c r="AG603"/>
  <c r="AD603"/>
  <c r="AG602"/>
  <c r="AD602"/>
  <c r="AF602" s="1"/>
  <c r="AG601"/>
  <c r="AD601"/>
  <c r="AG600"/>
  <c r="AD600"/>
  <c r="AF600" s="1"/>
  <c r="AG599"/>
  <c r="AD599"/>
  <c r="AG598"/>
  <c r="AD598"/>
  <c r="AF598" s="1"/>
  <c r="AG597"/>
  <c r="AD597"/>
  <c r="AG596"/>
  <c r="AD596"/>
  <c r="AF596" s="1"/>
  <c r="AG595"/>
  <c r="AD595"/>
  <c r="AG594"/>
  <c r="AD594"/>
  <c r="AG593"/>
  <c r="AD593"/>
  <c r="AG592"/>
  <c r="AE592"/>
  <c r="AD592"/>
  <c r="AF592" s="1"/>
  <c r="AG591"/>
  <c r="AD591"/>
  <c r="AG590"/>
  <c r="AD590"/>
  <c r="AF590" s="1"/>
  <c r="AG589"/>
  <c r="AD589"/>
  <c r="AG588"/>
  <c r="AD588"/>
  <c r="AG587"/>
  <c r="AD587"/>
  <c r="AG586"/>
  <c r="AD586"/>
  <c r="AF586" s="1"/>
  <c r="AG585"/>
  <c r="AD585"/>
  <c r="AG584"/>
  <c r="AD584"/>
  <c r="AF584" s="1"/>
  <c r="AG583"/>
  <c r="AD583"/>
  <c r="AG582"/>
  <c r="AD582"/>
  <c r="AF582" s="1"/>
  <c r="AG581"/>
  <c r="AD581"/>
  <c r="AG580"/>
  <c r="AD580"/>
  <c r="AF580" s="1"/>
  <c r="AG579"/>
  <c r="AD579"/>
  <c r="AG578"/>
  <c r="AD578"/>
  <c r="AG577"/>
  <c r="AD577"/>
  <c r="AG576"/>
  <c r="AD576"/>
  <c r="AF576" s="1"/>
  <c r="AG575"/>
  <c r="AD575"/>
  <c r="AG574"/>
  <c r="AD574"/>
  <c r="AF574" s="1"/>
  <c r="AG573"/>
  <c r="AD573"/>
  <c r="AG572"/>
  <c r="AD572"/>
  <c r="AG571"/>
  <c r="AD571"/>
  <c r="AG570"/>
  <c r="AD570"/>
  <c r="AF570" s="1"/>
  <c r="AG569"/>
  <c r="AD569"/>
  <c r="AG568"/>
  <c r="AD568"/>
  <c r="AF568" s="1"/>
  <c r="AG567"/>
  <c r="AD567"/>
  <c r="AG566"/>
  <c r="AD566"/>
  <c r="AF566" s="1"/>
  <c r="AG565"/>
  <c r="AD565"/>
  <c r="AG564"/>
  <c r="AD564"/>
  <c r="AF564" s="1"/>
  <c r="AG563"/>
  <c r="AD563"/>
  <c r="AG562"/>
  <c r="AD562"/>
  <c r="AG561"/>
  <c r="AD561"/>
  <c r="AG560"/>
  <c r="AD560"/>
  <c r="AF560" s="1"/>
  <c r="AG559"/>
  <c r="AD559"/>
  <c r="AG558"/>
  <c r="AD558"/>
  <c r="AF558" s="1"/>
  <c r="AG557"/>
  <c r="AD557"/>
  <c r="AG556"/>
  <c r="AD556"/>
  <c r="AG555"/>
  <c r="AD555"/>
  <c r="AG554"/>
  <c r="AD554"/>
  <c r="AF554" s="1"/>
  <c r="AG553"/>
  <c r="AD553"/>
  <c r="AG552"/>
  <c r="AD552"/>
  <c r="AF552" s="1"/>
  <c r="AG551"/>
  <c r="AD551"/>
  <c r="AG550"/>
  <c r="AD550"/>
  <c r="AF550" s="1"/>
  <c r="AG549"/>
  <c r="AD549"/>
  <c r="AG548"/>
  <c r="AD548"/>
  <c r="AF548" s="1"/>
  <c r="AG547"/>
  <c r="AD547"/>
  <c r="AG546"/>
  <c r="AD546"/>
  <c r="AG545"/>
  <c r="AD545"/>
  <c r="AG544"/>
  <c r="AD544"/>
  <c r="AF544" s="1"/>
  <c r="AG543"/>
  <c r="AD543"/>
  <c r="AG542"/>
  <c r="AD542"/>
  <c r="AF542" s="1"/>
  <c r="AG541"/>
  <c r="AD541"/>
  <c r="AG540"/>
  <c r="AD540"/>
  <c r="AG539"/>
  <c r="AD539"/>
  <c r="AG538"/>
  <c r="AD538"/>
  <c r="AF538" s="1"/>
  <c r="AG537"/>
  <c r="AD537"/>
  <c r="AG536"/>
  <c r="AD536"/>
  <c r="AF536" s="1"/>
  <c r="AG535"/>
  <c r="AD535"/>
  <c r="AG534"/>
  <c r="AD534"/>
  <c r="AF534" s="1"/>
  <c r="AG533"/>
  <c r="AD533"/>
  <c r="AG532"/>
  <c r="AD532"/>
  <c r="AF532" s="1"/>
  <c r="AG531"/>
  <c r="AD531"/>
  <c r="AG530"/>
  <c r="AD530"/>
  <c r="AG529"/>
  <c r="AD529"/>
  <c r="AG528"/>
  <c r="AD528"/>
  <c r="AF528" s="1"/>
  <c r="AG527"/>
  <c r="AD527"/>
  <c r="AG526"/>
  <c r="AD526"/>
  <c r="AF526" s="1"/>
  <c r="AG525"/>
  <c r="AD525"/>
  <c r="AG524"/>
  <c r="AD524"/>
  <c r="AG523"/>
  <c r="AD523"/>
  <c r="AG522"/>
  <c r="AD522"/>
  <c r="AF522" s="1"/>
  <c r="AG521"/>
  <c r="AD521"/>
  <c r="AG520"/>
  <c r="AD520"/>
  <c r="AF520" s="1"/>
  <c r="AG519"/>
  <c r="AD519"/>
  <c r="AG518"/>
  <c r="AD518"/>
  <c r="AF518" s="1"/>
  <c r="AG517"/>
  <c r="AD517"/>
  <c r="AG516"/>
  <c r="AD516"/>
  <c r="AF516" s="1"/>
  <c r="AG515"/>
  <c r="AD515"/>
  <c r="AG514"/>
  <c r="AD514"/>
  <c r="AG513"/>
  <c r="AD513"/>
  <c r="AF513" s="1"/>
  <c r="AG512"/>
  <c r="AD512"/>
  <c r="AF512" s="1"/>
  <c r="AG511"/>
  <c r="AD511"/>
  <c r="AF511" s="1"/>
  <c r="AG510"/>
  <c r="AD510"/>
  <c r="AG509"/>
  <c r="AD509"/>
  <c r="AF509" s="1"/>
  <c r="AG508"/>
  <c r="AD508"/>
  <c r="AF508" s="1"/>
  <c r="AG507"/>
  <c r="AD507"/>
  <c r="AF507" s="1"/>
  <c r="AG506"/>
  <c r="AD506"/>
  <c r="AG505"/>
  <c r="AD505"/>
  <c r="AF505" s="1"/>
  <c r="AG504"/>
  <c r="AD504"/>
  <c r="AF504" s="1"/>
  <c r="AG503"/>
  <c r="AD503"/>
  <c r="AF503" s="1"/>
  <c r="AG502"/>
  <c r="AD502"/>
  <c r="AG501"/>
  <c r="AD501"/>
  <c r="AF501" s="1"/>
  <c r="AG500"/>
  <c r="AD500"/>
  <c r="AF500" s="1"/>
  <c r="AG499"/>
  <c r="AD499"/>
  <c r="AG498"/>
  <c r="AD498"/>
  <c r="AG497"/>
  <c r="AD497"/>
  <c r="AF497" s="1"/>
  <c r="AG496"/>
  <c r="AD496"/>
  <c r="AF496" s="1"/>
  <c r="AG495"/>
  <c r="AD495"/>
  <c r="AF495" s="1"/>
  <c r="AG494"/>
  <c r="AD494"/>
  <c r="AF494" s="1"/>
  <c r="AG493"/>
  <c r="AD493"/>
  <c r="AF493" s="1"/>
  <c r="AG492"/>
  <c r="AD492"/>
  <c r="AF492" s="1"/>
  <c r="AG491"/>
  <c r="AD491"/>
  <c r="AF491" s="1"/>
  <c r="AG490"/>
  <c r="AD490"/>
  <c r="AG489"/>
  <c r="AD489"/>
  <c r="AG488"/>
  <c r="AD488"/>
  <c r="AF488" s="1"/>
  <c r="AG487"/>
  <c r="AD487"/>
  <c r="AF487" s="1"/>
  <c r="AG486"/>
  <c r="AD486"/>
  <c r="AF486" s="1"/>
  <c r="AG485"/>
  <c r="AD485"/>
  <c r="AF485" s="1"/>
  <c r="AG484"/>
  <c r="AD484"/>
  <c r="AF484" s="1"/>
  <c r="AG483"/>
  <c r="AD483"/>
  <c r="AF483" s="1"/>
  <c r="AG482"/>
  <c r="AD482"/>
  <c r="AG481"/>
  <c r="AD481"/>
  <c r="AG480"/>
  <c r="AD480"/>
  <c r="AF480" s="1"/>
  <c r="AG479"/>
  <c r="AD479"/>
  <c r="AF479" s="1"/>
  <c r="AG478"/>
  <c r="AD478"/>
  <c r="AF478" s="1"/>
  <c r="AG477"/>
  <c r="AD477"/>
  <c r="AF477" s="1"/>
  <c r="AG476"/>
  <c r="AD476"/>
  <c r="AF476" s="1"/>
  <c r="AG475"/>
  <c r="AD475"/>
  <c r="AF475" s="1"/>
  <c r="AG474"/>
  <c r="AD474"/>
  <c r="AG473"/>
  <c r="AD473"/>
  <c r="AG472"/>
  <c r="AD472"/>
  <c r="AF472" s="1"/>
  <c r="AG471"/>
  <c r="AD471"/>
  <c r="AF471" s="1"/>
  <c r="AG470"/>
  <c r="AD470"/>
  <c r="AF470" s="1"/>
  <c r="AG469"/>
  <c r="AD469"/>
  <c r="AF469" s="1"/>
  <c r="AG468"/>
  <c r="AE468"/>
  <c r="AD468"/>
  <c r="AF468" s="1"/>
  <c r="AG467"/>
  <c r="AD467"/>
  <c r="AG466"/>
  <c r="AD466"/>
  <c r="AG465"/>
  <c r="AD465"/>
  <c r="AG464"/>
  <c r="AD464"/>
  <c r="AF464" s="1"/>
  <c r="AG463"/>
  <c r="AD463"/>
  <c r="AF463" s="1"/>
  <c r="AG462"/>
  <c r="AD462"/>
  <c r="AF462" s="1"/>
  <c r="AG461"/>
  <c r="AD461"/>
  <c r="AF461" s="1"/>
  <c r="AG460"/>
  <c r="AD460"/>
  <c r="AF460" s="1"/>
  <c r="AG459"/>
  <c r="AD459"/>
  <c r="AF459" s="1"/>
  <c r="AG458"/>
  <c r="AD458"/>
  <c r="AF458" s="1"/>
  <c r="AG457"/>
  <c r="AE457"/>
  <c r="AD457"/>
  <c r="AF457" s="1"/>
  <c r="AG456"/>
  <c r="AD456"/>
  <c r="AF456" s="1"/>
  <c r="AG455"/>
  <c r="AD455"/>
  <c r="AF455" s="1"/>
  <c r="AG454"/>
  <c r="AD454"/>
  <c r="AF454" s="1"/>
  <c r="AG453"/>
  <c r="AD453"/>
  <c r="AG452"/>
  <c r="AD452"/>
  <c r="AF452" s="1"/>
  <c r="AG451"/>
  <c r="AD451"/>
  <c r="AF451" s="1"/>
  <c r="AG450"/>
  <c r="AD450"/>
  <c r="AF450" s="1"/>
  <c r="AG449"/>
  <c r="AD449"/>
  <c r="AF449" s="1"/>
  <c r="AG448"/>
  <c r="AD448"/>
  <c r="AF448" s="1"/>
  <c r="AG447"/>
  <c r="AD447"/>
  <c r="AF447" s="1"/>
  <c r="AG446"/>
  <c r="AD446"/>
  <c r="AF446" s="1"/>
  <c r="AG445"/>
  <c r="AD445"/>
  <c r="AF445" s="1"/>
  <c r="AG444"/>
  <c r="AD444"/>
  <c r="AF444" s="1"/>
  <c r="AG443"/>
  <c r="AD443"/>
  <c r="AF443" s="1"/>
  <c r="AG442"/>
  <c r="AD442"/>
  <c r="AF442" s="1"/>
  <c r="AG441"/>
  <c r="AD441"/>
  <c r="AG440"/>
  <c r="AD440"/>
  <c r="AF440" s="1"/>
  <c r="AG439"/>
  <c r="AD439"/>
  <c r="AF439" s="1"/>
  <c r="AG438"/>
  <c r="AD438"/>
  <c r="AG437"/>
  <c r="AD437"/>
  <c r="AF437" s="1"/>
  <c r="AG436"/>
  <c r="AD436"/>
  <c r="AF436" s="1"/>
  <c r="AG435"/>
  <c r="AD435"/>
  <c r="AF435" s="1"/>
  <c r="AG434"/>
  <c r="AD434"/>
  <c r="AF434" s="1"/>
  <c r="AG433"/>
  <c r="AD433"/>
  <c r="AG432"/>
  <c r="AD432"/>
  <c r="AF432" s="1"/>
  <c r="AG431"/>
  <c r="AD431"/>
  <c r="AF431" s="1"/>
  <c r="AG430"/>
  <c r="AD430"/>
  <c r="AF430" s="1"/>
  <c r="AG429"/>
  <c r="AD429"/>
  <c r="AF429" s="1"/>
  <c r="AG428"/>
  <c r="AD428"/>
  <c r="AF428" s="1"/>
  <c r="AG427"/>
  <c r="AD427"/>
  <c r="AF427" s="1"/>
  <c r="AG426"/>
  <c r="AD426"/>
  <c r="AF426" s="1"/>
  <c r="AG425"/>
  <c r="AD425"/>
  <c r="AG424"/>
  <c r="AD424"/>
  <c r="AF424" s="1"/>
  <c r="AG423"/>
  <c r="AD423"/>
  <c r="AF423" s="1"/>
  <c r="AG422"/>
  <c r="AD422"/>
  <c r="AG421"/>
  <c r="AD421"/>
  <c r="AF421" s="1"/>
  <c r="AG420"/>
  <c r="AD420"/>
  <c r="AF420" s="1"/>
  <c r="AG419"/>
  <c r="AD419"/>
  <c r="AF419" s="1"/>
  <c r="AG418"/>
  <c r="AD418"/>
  <c r="AF418" s="1"/>
  <c r="AG417"/>
  <c r="AD417"/>
  <c r="AG416"/>
  <c r="AD416"/>
  <c r="AF416" s="1"/>
  <c r="AG415"/>
  <c r="AD415"/>
  <c r="AF415" s="1"/>
  <c r="AG414"/>
  <c r="AD414"/>
  <c r="AF414" s="1"/>
  <c r="AG413"/>
  <c r="AD413"/>
  <c r="AF413" s="1"/>
  <c r="AG412"/>
  <c r="AD412"/>
  <c r="AF412" s="1"/>
  <c r="AG411"/>
  <c r="AD411"/>
  <c r="AF411" s="1"/>
  <c r="AG410"/>
  <c r="AD410"/>
  <c r="AF410" s="1"/>
  <c r="AG409"/>
  <c r="AD409"/>
  <c r="AG408"/>
  <c r="AD408"/>
  <c r="AF408" s="1"/>
  <c r="AG407"/>
  <c r="AD407"/>
  <c r="AF407" s="1"/>
  <c r="AG406"/>
  <c r="AD406"/>
  <c r="AG405"/>
  <c r="AD405"/>
  <c r="AF405" s="1"/>
  <c r="AG404"/>
  <c r="AD404"/>
  <c r="AF404" s="1"/>
  <c r="AG403"/>
  <c r="AD403"/>
  <c r="AF403" s="1"/>
  <c r="AG402"/>
  <c r="AD402"/>
  <c r="AF402" s="1"/>
  <c r="AG401"/>
  <c r="AD401"/>
  <c r="AG400"/>
  <c r="AD400"/>
  <c r="AF400" s="1"/>
  <c r="AG399"/>
  <c r="AD399"/>
  <c r="AF399" s="1"/>
  <c r="AG398"/>
  <c r="AD398"/>
  <c r="AF398" s="1"/>
  <c r="AG397"/>
  <c r="AD397"/>
  <c r="AF397" s="1"/>
  <c r="AG396"/>
  <c r="AD396"/>
  <c r="AF396" s="1"/>
  <c r="AG395"/>
  <c r="AD395"/>
  <c r="AF395" s="1"/>
  <c r="AG394"/>
  <c r="AD394"/>
  <c r="AF394" s="1"/>
  <c r="AG393"/>
  <c r="AD393"/>
  <c r="AG392"/>
  <c r="AD392"/>
  <c r="AF392" s="1"/>
  <c r="AG391"/>
  <c r="AD391"/>
  <c r="AF391" s="1"/>
  <c r="AG390"/>
  <c r="AD390"/>
  <c r="AG389"/>
  <c r="AD389"/>
  <c r="AF389" s="1"/>
  <c r="AG388"/>
  <c r="AD388"/>
  <c r="AF388" s="1"/>
  <c r="AG387"/>
  <c r="AD387"/>
  <c r="AF387" s="1"/>
  <c r="AG386"/>
  <c r="AD386"/>
  <c r="AF386" s="1"/>
  <c r="AG385"/>
  <c r="AD385"/>
  <c r="AG384"/>
  <c r="AE384"/>
  <c r="AD384"/>
  <c r="AF384" s="1"/>
  <c r="AG383"/>
  <c r="AD383"/>
  <c r="AF383" s="1"/>
  <c r="AG382"/>
  <c r="AD382"/>
  <c r="AF382" s="1"/>
  <c r="AG381"/>
  <c r="AD381"/>
  <c r="AF381" s="1"/>
  <c r="AG380"/>
  <c r="AD380"/>
  <c r="AF380" s="1"/>
  <c r="AG379"/>
  <c r="AD379"/>
  <c r="AF379" s="1"/>
  <c r="AG378"/>
  <c r="AD378"/>
  <c r="AF378" s="1"/>
  <c r="AG377"/>
  <c r="AD377"/>
  <c r="AG376"/>
  <c r="AD376"/>
  <c r="AF376" s="1"/>
  <c r="AG375"/>
  <c r="AD375"/>
  <c r="AF375" s="1"/>
  <c r="AG374"/>
  <c r="AD374"/>
  <c r="AG373"/>
  <c r="AD373"/>
  <c r="AF373" s="1"/>
  <c r="AG372"/>
  <c r="AD372"/>
  <c r="AF372" s="1"/>
  <c r="AG371"/>
  <c r="AD371"/>
  <c r="AF371" s="1"/>
  <c r="AG370"/>
  <c r="AD370"/>
  <c r="AF370" s="1"/>
  <c r="AG369"/>
  <c r="AD369"/>
  <c r="AG368"/>
  <c r="AD368"/>
  <c r="AF368" s="1"/>
  <c r="AG367"/>
  <c r="AD367"/>
  <c r="AF367" s="1"/>
  <c r="AG366"/>
  <c r="AD366"/>
  <c r="AF366" s="1"/>
  <c r="AG365"/>
  <c r="AD365"/>
  <c r="AF365" s="1"/>
  <c r="AG364"/>
  <c r="AD364"/>
  <c r="AF364" s="1"/>
  <c r="AG363"/>
  <c r="AD363"/>
  <c r="AF363" s="1"/>
  <c r="AG362"/>
  <c r="AD362"/>
  <c r="AF362" s="1"/>
  <c r="AG361"/>
  <c r="AD361"/>
  <c r="AG360"/>
  <c r="AD360"/>
  <c r="AF360" s="1"/>
  <c r="AG359"/>
  <c r="AD359"/>
  <c r="AF359" s="1"/>
  <c r="AG358"/>
  <c r="AD358"/>
  <c r="AG357"/>
  <c r="AD357"/>
  <c r="AF357" s="1"/>
  <c r="AG356"/>
  <c r="AD356"/>
  <c r="AF356" s="1"/>
  <c r="AG355"/>
  <c r="AD355"/>
  <c r="AF355" s="1"/>
  <c r="AG354"/>
  <c r="AD354"/>
  <c r="AF354" s="1"/>
  <c r="AG353"/>
  <c r="AD353"/>
  <c r="AG352"/>
  <c r="AD352"/>
  <c r="AF352" s="1"/>
  <c r="AG351"/>
  <c r="AD351"/>
  <c r="AF351" s="1"/>
  <c r="AG350"/>
  <c r="AD350"/>
  <c r="AF350" s="1"/>
  <c r="AG349"/>
  <c r="AD349"/>
  <c r="AF349" s="1"/>
  <c r="AG348"/>
  <c r="AD348"/>
  <c r="AF348" s="1"/>
  <c r="AG347"/>
  <c r="AD347"/>
  <c r="AF347" s="1"/>
  <c r="AG346"/>
  <c r="AD346"/>
  <c r="AF346" s="1"/>
  <c r="AG345"/>
  <c r="AD345"/>
  <c r="AG344"/>
  <c r="AD344"/>
  <c r="AF344" s="1"/>
  <c r="AG343"/>
  <c r="AD343"/>
  <c r="AF343" s="1"/>
  <c r="AG342"/>
  <c r="AD342"/>
  <c r="AG341"/>
  <c r="AD341"/>
  <c r="AF341" s="1"/>
  <c r="AG340"/>
  <c r="AD340"/>
  <c r="AF340" s="1"/>
  <c r="AG339"/>
  <c r="AD339"/>
  <c r="AF339" s="1"/>
  <c r="AG338"/>
  <c r="AD338"/>
  <c r="AF338" s="1"/>
  <c r="AG337"/>
  <c r="AD337"/>
  <c r="AG336"/>
  <c r="AD336"/>
  <c r="AF336" s="1"/>
  <c r="AG335"/>
  <c r="AD335"/>
  <c r="AF335" s="1"/>
  <c r="AG334"/>
  <c r="AD334"/>
  <c r="AF334" s="1"/>
  <c r="AG333"/>
  <c r="AD333"/>
  <c r="AF333" s="1"/>
  <c r="AG332"/>
  <c r="AD332"/>
  <c r="AF332" s="1"/>
  <c r="AG331"/>
  <c r="AD331"/>
  <c r="AF331" s="1"/>
  <c r="AG330"/>
  <c r="AD330"/>
  <c r="AF330" s="1"/>
  <c r="AG329"/>
  <c r="AD329"/>
  <c r="AG328"/>
  <c r="AD328"/>
  <c r="AF328" s="1"/>
  <c r="AG327"/>
  <c r="AD327"/>
  <c r="AF327" s="1"/>
  <c r="AG326"/>
  <c r="AD326"/>
  <c r="AG325"/>
  <c r="AD325"/>
  <c r="AF325" s="1"/>
  <c r="AG324"/>
  <c r="AD324"/>
  <c r="AF324" s="1"/>
  <c r="AG323"/>
  <c r="AD323"/>
  <c r="AF323" s="1"/>
  <c r="AG322"/>
  <c r="AD322"/>
  <c r="AF322" s="1"/>
  <c r="AG321"/>
  <c r="AD321"/>
  <c r="AG320"/>
  <c r="AE320"/>
  <c r="AD320"/>
  <c r="AF320" s="1"/>
  <c r="AG319"/>
  <c r="AD319"/>
  <c r="AF319" s="1"/>
  <c r="AG318"/>
  <c r="AD318"/>
  <c r="AF318" s="1"/>
  <c r="AG317"/>
  <c r="AD317"/>
  <c r="AF317" s="1"/>
  <c r="AG316"/>
  <c r="AD316"/>
  <c r="AF316" s="1"/>
  <c r="AG315"/>
  <c r="AD315"/>
  <c r="AF315" s="1"/>
  <c r="AG314"/>
  <c r="AD314"/>
  <c r="AF314" s="1"/>
  <c r="AG313"/>
  <c r="AD313"/>
  <c r="AG312"/>
  <c r="AD312"/>
  <c r="AF312" s="1"/>
  <c r="AG311"/>
  <c r="AD311"/>
  <c r="AF311" s="1"/>
  <c r="AG310"/>
  <c r="AD310"/>
  <c r="AG309"/>
  <c r="AD309"/>
  <c r="AF309" s="1"/>
  <c r="AG308"/>
  <c r="AD308"/>
  <c r="AF308" s="1"/>
  <c r="AG307"/>
  <c r="AD307"/>
  <c r="AF307" s="1"/>
  <c r="AG306"/>
  <c r="AD306"/>
  <c r="AF306" s="1"/>
  <c r="AG305"/>
  <c r="AD305"/>
  <c r="AG304"/>
  <c r="AD304"/>
  <c r="AF304" s="1"/>
  <c r="AG303"/>
  <c r="AD303"/>
  <c r="AF303" s="1"/>
  <c r="AG302"/>
  <c r="AD302"/>
  <c r="AF302" s="1"/>
  <c r="AG301"/>
  <c r="AD301"/>
  <c r="AF301" s="1"/>
  <c r="AG300"/>
  <c r="AD300"/>
  <c r="AF300" s="1"/>
  <c r="AG299"/>
  <c r="AD299"/>
  <c r="AF299" s="1"/>
  <c r="AG298"/>
  <c r="AD298"/>
  <c r="AF298" s="1"/>
  <c r="AG297"/>
  <c r="AD297"/>
  <c r="AG296"/>
  <c r="AD296"/>
  <c r="AF296" s="1"/>
  <c r="AG295"/>
  <c r="AD295"/>
  <c r="AF295" s="1"/>
  <c r="AG294"/>
  <c r="AD294"/>
  <c r="AG293"/>
  <c r="AD293"/>
  <c r="AF293" s="1"/>
  <c r="AG292"/>
  <c r="AD292"/>
  <c r="AF292" s="1"/>
  <c r="AG291"/>
  <c r="AD291"/>
  <c r="AF291" s="1"/>
  <c r="AG290"/>
  <c r="AD290"/>
  <c r="AF290" s="1"/>
  <c r="AG289"/>
  <c r="AD289"/>
  <c r="AG288"/>
  <c r="AD288"/>
  <c r="AF288" s="1"/>
  <c r="AG287"/>
  <c r="AD287"/>
  <c r="AF287" s="1"/>
  <c r="AG286"/>
  <c r="AD286"/>
  <c r="AF286" s="1"/>
  <c r="AG285"/>
  <c r="AD285"/>
  <c r="AF285" s="1"/>
  <c r="AG284"/>
  <c r="AD284"/>
  <c r="AF284" s="1"/>
  <c r="AG283"/>
  <c r="AD283"/>
  <c r="AF283" s="1"/>
  <c r="AG282"/>
  <c r="AD282"/>
  <c r="AF282" s="1"/>
  <c r="AG281"/>
  <c r="AD281"/>
  <c r="AG280"/>
  <c r="AD280"/>
  <c r="AF280" s="1"/>
  <c r="AG279"/>
  <c r="AD279"/>
  <c r="AF279" s="1"/>
  <c r="AG278"/>
  <c r="AD278"/>
  <c r="AG277"/>
  <c r="AD277"/>
  <c r="AF277" s="1"/>
  <c r="AG276"/>
  <c r="AD276"/>
  <c r="AF276" s="1"/>
  <c r="AG275"/>
  <c r="AD275"/>
  <c r="AF275" s="1"/>
  <c r="AG274"/>
  <c r="AE274"/>
  <c r="AD274"/>
  <c r="AF274" s="1"/>
  <c r="AG273"/>
  <c r="AD273"/>
  <c r="AG272"/>
  <c r="AD272"/>
  <c r="AF272" s="1"/>
  <c r="AG271"/>
  <c r="AD271"/>
  <c r="AF271" s="1"/>
  <c r="AG270"/>
  <c r="AD270"/>
  <c r="AF270" s="1"/>
  <c r="AG269"/>
  <c r="AD269"/>
  <c r="AG268"/>
  <c r="AD268"/>
  <c r="AG267"/>
  <c r="AD267"/>
  <c r="AE267" s="1"/>
  <c r="AG266"/>
  <c r="AD266"/>
  <c r="AG265"/>
  <c r="AD265"/>
  <c r="AF265" s="1"/>
  <c r="AG264"/>
  <c r="AD264"/>
  <c r="AF264" s="1"/>
  <c r="AG263"/>
  <c r="AD263"/>
  <c r="AG262"/>
  <c r="AD262"/>
  <c r="AF262" s="1"/>
  <c r="AG261"/>
  <c r="AD261"/>
  <c r="AF261" s="1"/>
  <c r="AG260"/>
  <c r="AD260"/>
  <c r="AF260" s="1"/>
  <c r="AG259"/>
  <c r="AD259"/>
  <c r="AG258"/>
  <c r="AD258"/>
  <c r="AF258" s="1"/>
  <c r="AG257"/>
  <c r="AD257"/>
  <c r="AF257" s="1"/>
  <c r="AG256"/>
  <c r="AD256"/>
  <c r="AF256" s="1"/>
  <c r="AG255"/>
  <c r="AD255"/>
  <c r="AF255" s="1"/>
  <c r="AG254"/>
  <c r="AD254"/>
  <c r="AG253"/>
  <c r="AD253"/>
  <c r="AF253" s="1"/>
  <c r="AG252"/>
  <c r="AD252"/>
  <c r="AG251"/>
  <c r="AD251"/>
  <c r="AE251" s="1"/>
  <c r="AG250"/>
  <c r="AD250"/>
  <c r="AF250" s="1"/>
  <c r="AG249"/>
  <c r="AD249"/>
  <c r="AF249" s="1"/>
  <c r="AG248"/>
  <c r="AD248"/>
  <c r="AF248" s="1"/>
  <c r="AG247"/>
  <c r="AD247"/>
  <c r="AE247" s="1"/>
  <c r="AG246"/>
  <c r="AD246"/>
  <c r="AF246" s="1"/>
  <c r="AG245"/>
  <c r="AD245"/>
  <c r="AF245" s="1"/>
  <c r="AG244"/>
  <c r="AD244"/>
  <c r="AF244" s="1"/>
  <c r="AG243"/>
  <c r="AD243"/>
  <c r="AE243" s="1"/>
  <c r="AG242"/>
  <c r="AD242"/>
  <c r="AF242" s="1"/>
  <c r="AG241"/>
  <c r="AD241"/>
  <c r="AF241" s="1"/>
  <c r="AG240"/>
  <c r="AD240"/>
  <c r="AG239"/>
  <c r="AD239"/>
  <c r="AG238"/>
  <c r="AD238"/>
  <c r="AF238" s="1"/>
  <c r="AG237"/>
  <c r="AD237"/>
  <c r="AF237" s="1"/>
  <c r="AG236"/>
  <c r="AD236"/>
  <c r="AG235"/>
  <c r="AD235"/>
  <c r="AE235" s="1"/>
  <c r="AG234"/>
  <c r="AD234"/>
  <c r="AF234" s="1"/>
  <c r="AG233"/>
  <c r="AD233"/>
  <c r="AF233" s="1"/>
  <c r="AG232"/>
  <c r="AD232"/>
  <c r="AG231"/>
  <c r="AD231"/>
  <c r="AE231" s="1"/>
  <c r="AG230"/>
  <c r="AD230"/>
  <c r="AF230" s="1"/>
  <c r="AG229"/>
  <c r="AD229"/>
  <c r="AE229" s="1"/>
  <c r="AG228"/>
  <c r="AD228"/>
  <c r="AF228" s="1"/>
  <c r="AG227"/>
  <c r="AD227"/>
  <c r="AE227" s="1"/>
  <c r="AG226"/>
  <c r="AD226"/>
  <c r="AF226" s="1"/>
  <c r="AG225"/>
  <c r="AD225"/>
  <c r="AG224"/>
  <c r="AD224"/>
  <c r="AG223"/>
  <c r="AD223"/>
  <c r="AE223" s="1"/>
  <c r="AG222"/>
  <c r="AE222"/>
  <c r="AD222"/>
  <c r="AF222" s="1"/>
  <c r="AG221"/>
  <c r="AD221"/>
  <c r="AF221" s="1"/>
  <c r="AG220"/>
  <c r="AD220"/>
  <c r="AG219"/>
  <c r="AD219"/>
  <c r="AE219" s="1"/>
  <c r="AG218"/>
  <c r="AD218"/>
  <c r="AF218" s="1"/>
  <c r="AG217"/>
  <c r="AD217"/>
  <c r="AF217" s="1"/>
  <c r="AG216"/>
  <c r="AD216"/>
  <c r="AG215"/>
  <c r="AD215"/>
  <c r="AE215" s="1"/>
  <c r="AG214"/>
  <c r="AD214"/>
  <c r="AF214" s="1"/>
  <c r="AG213"/>
  <c r="AD213"/>
  <c r="AF213" s="1"/>
  <c r="AG212"/>
  <c r="AD212"/>
  <c r="AG211"/>
  <c r="AD211"/>
  <c r="AE211" s="1"/>
  <c r="AG210"/>
  <c r="AD210"/>
  <c r="AG209"/>
  <c r="AD209"/>
  <c r="AF209" s="1"/>
  <c r="AG208"/>
  <c r="AD208"/>
  <c r="AG207"/>
  <c r="AD207"/>
  <c r="AG206"/>
  <c r="AD206"/>
  <c r="AF206" s="1"/>
  <c r="AG205"/>
  <c r="AD205"/>
  <c r="AF205" s="1"/>
  <c r="AG204"/>
  <c r="AD204"/>
  <c r="AG203"/>
  <c r="AD203"/>
  <c r="AE203" s="1"/>
  <c r="AG202"/>
  <c r="AD202"/>
  <c r="AF202" s="1"/>
  <c r="AG201"/>
  <c r="AD201"/>
  <c r="AF201" s="1"/>
  <c r="AG200"/>
  <c r="AD200"/>
  <c r="AG199"/>
  <c r="AD199"/>
  <c r="AE199" s="1"/>
  <c r="AG198"/>
  <c r="AD198"/>
  <c r="AE198" s="1"/>
  <c r="AG197"/>
  <c r="AF197"/>
  <c r="AD197"/>
  <c r="AE197" s="1"/>
  <c r="AG196"/>
  <c r="AD196"/>
  <c r="AE196" s="1"/>
  <c r="AG195"/>
  <c r="AD195"/>
  <c r="AE195" s="1"/>
  <c r="AG194"/>
  <c r="AD194"/>
  <c r="AE194" s="1"/>
  <c r="AG193"/>
  <c r="AD193"/>
  <c r="AG192"/>
  <c r="AD192"/>
  <c r="AE192" s="1"/>
  <c r="AG191"/>
  <c r="AD191"/>
  <c r="AE191" s="1"/>
  <c r="AG190"/>
  <c r="AD190"/>
  <c r="AE190" s="1"/>
  <c r="AG189"/>
  <c r="AD189"/>
  <c r="AE189" s="1"/>
  <c r="AG188"/>
  <c r="AD188"/>
  <c r="AE188" s="1"/>
  <c r="AG187"/>
  <c r="AD187"/>
  <c r="AE187" s="1"/>
  <c r="AG186"/>
  <c r="AD186"/>
  <c r="AE186" s="1"/>
  <c r="AG185"/>
  <c r="AD185"/>
  <c r="AE185" s="1"/>
  <c r="AG184"/>
  <c r="AD184"/>
  <c r="AG183"/>
  <c r="AD183"/>
  <c r="AE183" s="1"/>
  <c r="AG182"/>
  <c r="AD182"/>
  <c r="AE182" s="1"/>
  <c r="AG181"/>
  <c r="AD181"/>
  <c r="AG180"/>
  <c r="AD180"/>
  <c r="AE180" s="1"/>
  <c r="AG179"/>
  <c r="AD179"/>
  <c r="AE179" s="1"/>
  <c r="AG178"/>
  <c r="AD178"/>
  <c r="AE178" s="1"/>
  <c r="AG177"/>
  <c r="AD177"/>
  <c r="AG176"/>
  <c r="AD176"/>
  <c r="AE176" s="1"/>
  <c r="AG175"/>
  <c r="AD175"/>
  <c r="AG174"/>
  <c r="AD174"/>
  <c r="AE174" s="1"/>
  <c r="AG173"/>
  <c r="AD173"/>
  <c r="AE173" s="1"/>
  <c r="AG172"/>
  <c r="AD172"/>
  <c r="AG171"/>
  <c r="AD171"/>
  <c r="AE171" s="1"/>
  <c r="AG170"/>
  <c r="AD170"/>
  <c r="AE170" s="1"/>
  <c r="AG169"/>
  <c r="AD169"/>
  <c r="AE169" s="1"/>
  <c r="AG168"/>
  <c r="AD168"/>
  <c r="AG167"/>
  <c r="AD167"/>
  <c r="AE167" s="1"/>
  <c r="AG166"/>
  <c r="AD166"/>
  <c r="AE166" s="1"/>
  <c r="AG165"/>
  <c r="AD165"/>
  <c r="AG164"/>
  <c r="AD164"/>
  <c r="AE164" s="1"/>
  <c r="AG163"/>
  <c r="AD163"/>
  <c r="AE163" s="1"/>
  <c r="AG162"/>
  <c r="AD162"/>
  <c r="AE162" s="1"/>
  <c r="AG161"/>
  <c r="AD161"/>
  <c r="AE161" s="1"/>
  <c r="AG160"/>
  <c r="AD160"/>
  <c r="AE160" s="1"/>
  <c r="AG159"/>
  <c r="AD159"/>
  <c r="AG158"/>
  <c r="AD158"/>
  <c r="AE158" s="1"/>
  <c r="AG157"/>
  <c r="AD157"/>
  <c r="AE157" s="1"/>
  <c r="AG156"/>
  <c r="AD156"/>
  <c r="AG155"/>
  <c r="AD155"/>
  <c r="AE155" s="1"/>
  <c r="AG154"/>
  <c r="AD154"/>
  <c r="AE154" s="1"/>
  <c r="AG153"/>
  <c r="AD153"/>
  <c r="AE153" s="1"/>
  <c r="AG152"/>
  <c r="AD152"/>
  <c r="AE152" s="1"/>
  <c r="AG151"/>
  <c r="AD151"/>
  <c r="AE151" s="1"/>
  <c r="AG150"/>
  <c r="AD150"/>
  <c r="AE150" s="1"/>
  <c r="AG149"/>
  <c r="AD149"/>
  <c r="AE149" s="1"/>
  <c r="AG148"/>
  <c r="AD148"/>
  <c r="AE148" s="1"/>
  <c r="AG147"/>
  <c r="AD147"/>
  <c r="AE147" s="1"/>
  <c r="AG146"/>
  <c r="AD146"/>
  <c r="AE146" s="1"/>
  <c r="AG145"/>
  <c r="AD145"/>
  <c r="AE145" s="1"/>
  <c r="AG144"/>
  <c r="AD144"/>
  <c r="AE144" s="1"/>
  <c r="AG143"/>
  <c r="AD143"/>
  <c r="AE143" s="1"/>
  <c r="AG142"/>
  <c r="AD142"/>
  <c r="AE142" s="1"/>
  <c r="AG141"/>
  <c r="AD141"/>
  <c r="AE141" s="1"/>
  <c r="AG140"/>
  <c r="AD140"/>
  <c r="AE140" s="1"/>
  <c r="AG139"/>
  <c r="AD139"/>
  <c r="AE139" s="1"/>
  <c r="AG138"/>
  <c r="AD138"/>
  <c r="AE138" s="1"/>
  <c r="AG137"/>
  <c r="AD137"/>
  <c r="AE137" s="1"/>
  <c r="AG136"/>
  <c r="AD136"/>
  <c r="AE136" s="1"/>
  <c r="AG135"/>
  <c r="AD135"/>
  <c r="AE135" s="1"/>
  <c r="AG134"/>
  <c r="AD134"/>
  <c r="AE134" s="1"/>
  <c r="AG133"/>
  <c r="AD133"/>
  <c r="AE133" s="1"/>
  <c r="AG132"/>
  <c r="AD132"/>
  <c r="AE132" s="1"/>
  <c r="AG131"/>
  <c r="AD131"/>
  <c r="AE131" s="1"/>
  <c r="AG130"/>
  <c r="AD130"/>
  <c r="AE130" s="1"/>
  <c r="AG129"/>
  <c r="AD129"/>
  <c r="AG128"/>
  <c r="AD128"/>
  <c r="AE128" s="1"/>
  <c r="AG127"/>
  <c r="AD127"/>
  <c r="AE127" s="1"/>
  <c r="AG126"/>
  <c r="AD126"/>
  <c r="AE126" s="1"/>
  <c r="AG125"/>
  <c r="AD125"/>
  <c r="AE125" s="1"/>
  <c r="AG124"/>
  <c r="AD124"/>
  <c r="AE124" s="1"/>
  <c r="AG123"/>
  <c r="AD123"/>
  <c r="AE123" s="1"/>
  <c r="AG122"/>
  <c r="AD122"/>
  <c r="AE122" s="1"/>
  <c r="AG121"/>
  <c r="AD121"/>
  <c r="AE121" s="1"/>
  <c r="AG120"/>
  <c r="AD120"/>
  <c r="AG119"/>
  <c r="AD119"/>
  <c r="AE119" s="1"/>
  <c r="AG118"/>
  <c r="AD118"/>
  <c r="AE118" s="1"/>
  <c r="AG117"/>
  <c r="AD117"/>
  <c r="AG116"/>
  <c r="AD116"/>
  <c r="AE116" s="1"/>
  <c r="AG115"/>
  <c r="AD115"/>
  <c r="AE115" s="1"/>
  <c r="AG114"/>
  <c r="AD114"/>
  <c r="AE114" s="1"/>
  <c r="AG113"/>
  <c r="AD113"/>
  <c r="AG112"/>
  <c r="AD112"/>
  <c r="AE112" s="1"/>
  <c r="AG111"/>
  <c r="AD111"/>
  <c r="AG110"/>
  <c r="AD110"/>
  <c r="AE110" s="1"/>
  <c r="AG109"/>
  <c r="AD109"/>
  <c r="AE109" s="1"/>
  <c r="AG108"/>
  <c r="AD108"/>
  <c r="AG107"/>
  <c r="AD107"/>
  <c r="AE107" s="1"/>
  <c r="AG106"/>
  <c r="AD106"/>
  <c r="AE106" s="1"/>
  <c r="AG105"/>
  <c r="AD105"/>
  <c r="AE105" s="1"/>
  <c r="AG104"/>
  <c r="AD104"/>
  <c r="AG103"/>
  <c r="AD103"/>
  <c r="AE103" s="1"/>
  <c r="AG102"/>
  <c r="AD102"/>
  <c r="AE102" s="1"/>
  <c r="AG101"/>
  <c r="AD101"/>
  <c r="AF101" s="1"/>
  <c r="AG100"/>
  <c r="AD100"/>
  <c r="AE100" s="1"/>
  <c r="AG99"/>
  <c r="AD99"/>
  <c r="AF99" s="1"/>
  <c r="AG98"/>
  <c r="AD98"/>
  <c r="AE98" s="1"/>
  <c r="AG97"/>
  <c r="AD97"/>
  <c r="AF97" s="1"/>
  <c r="AG96"/>
  <c r="AD96"/>
  <c r="AE96" s="1"/>
  <c r="AG95"/>
  <c r="AD95"/>
  <c r="AF95" s="1"/>
  <c r="AG94"/>
  <c r="AD94"/>
  <c r="AE94" s="1"/>
  <c r="AG93"/>
  <c r="AD93"/>
  <c r="AF93" s="1"/>
  <c r="AG92"/>
  <c r="AD92"/>
  <c r="AG91"/>
  <c r="AD91"/>
  <c r="AF91" s="1"/>
  <c r="AG90"/>
  <c r="AD90"/>
  <c r="AE90" s="1"/>
  <c r="AG89"/>
  <c r="AD89"/>
  <c r="AF89" s="1"/>
  <c r="AG88"/>
  <c r="AD88"/>
  <c r="AG87"/>
  <c r="AD87"/>
  <c r="AF87" s="1"/>
  <c r="AG86"/>
  <c r="AD86"/>
  <c r="AE86" s="1"/>
  <c r="AG85"/>
  <c r="AD85"/>
  <c r="AF85" s="1"/>
  <c r="AG84"/>
  <c r="AD84"/>
  <c r="AE84" s="1"/>
  <c r="AG83"/>
  <c r="AD83"/>
  <c r="AF83" s="1"/>
  <c r="AG82"/>
  <c r="AD82"/>
  <c r="AE82" s="1"/>
  <c r="AG81"/>
  <c r="AD81"/>
  <c r="AF81" s="1"/>
  <c r="AG80"/>
  <c r="AD80"/>
  <c r="AE80" s="1"/>
  <c r="AG79"/>
  <c r="AD79"/>
  <c r="AF79" s="1"/>
  <c r="AG78"/>
  <c r="AD78"/>
  <c r="AF78" s="1"/>
  <c r="AG77"/>
  <c r="AD77"/>
  <c r="AF77" s="1"/>
  <c r="AG76"/>
  <c r="AD76"/>
  <c r="AF76" s="1"/>
  <c r="AG75"/>
  <c r="AD75"/>
  <c r="AF75" s="1"/>
  <c r="AG74"/>
  <c r="AD74"/>
  <c r="AF74" s="1"/>
  <c r="AG73"/>
  <c r="AD73"/>
  <c r="AF73" s="1"/>
  <c r="AG72"/>
  <c r="AD72"/>
  <c r="AF72" s="1"/>
  <c r="AG71"/>
  <c r="AD71"/>
  <c r="AF71" s="1"/>
  <c r="AG70"/>
  <c r="AD70"/>
  <c r="AF70" s="1"/>
  <c r="AG69"/>
  <c r="AD69"/>
  <c r="AF69" s="1"/>
  <c r="AG68"/>
  <c r="AD68"/>
  <c r="AF68" s="1"/>
  <c r="AG67"/>
  <c r="AD67"/>
  <c r="AF67" s="1"/>
  <c r="AG66"/>
  <c r="AD66"/>
  <c r="AF66" s="1"/>
  <c r="AG65"/>
  <c r="AD65"/>
  <c r="AF65" s="1"/>
  <c r="AG64"/>
  <c r="AD64"/>
  <c r="AF64" s="1"/>
  <c r="AG63"/>
  <c r="AD63"/>
  <c r="AF63" s="1"/>
  <c r="AG62"/>
  <c r="AD62"/>
  <c r="AF62" s="1"/>
  <c r="AG61"/>
  <c r="AD61"/>
  <c r="AF61" s="1"/>
  <c r="AG60"/>
  <c r="AD60"/>
  <c r="AF60" s="1"/>
  <c r="AG59"/>
  <c r="AD59"/>
  <c r="AF59" s="1"/>
  <c r="AG58"/>
  <c r="AD58"/>
  <c r="AF58" s="1"/>
  <c r="AG57"/>
  <c r="AD57"/>
  <c r="AF57" s="1"/>
  <c r="AG56"/>
  <c r="AD56"/>
  <c r="AF56" s="1"/>
  <c r="AG55"/>
  <c r="AD55"/>
  <c r="AF55" s="1"/>
  <c r="AG54"/>
  <c r="AD54"/>
  <c r="AF54" s="1"/>
  <c r="AG53"/>
  <c r="AD53"/>
  <c r="AF53" s="1"/>
  <c r="AG52"/>
  <c r="AD52"/>
  <c r="AF52" s="1"/>
  <c r="AG51"/>
  <c r="AD51"/>
  <c r="AF51" s="1"/>
  <c r="AG50"/>
  <c r="AD50"/>
  <c r="AF50" s="1"/>
  <c r="AG49"/>
  <c r="AD49"/>
  <c r="AF49" s="1"/>
  <c r="AG48"/>
  <c r="AD48"/>
  <c r="AF48" s="1"/>
  <c r="AG47"/>
  <c r="AD47"/>
  <c r="AF47" s="1"/>
  <c r="AG46"/>
  <c r="AD46"/>
  <c r="AF46" s="1"/>
  <c r="AG45"/>
  <c r="AD45"/>
  <c r="AF45" s="1"/>
  <c r="AG44"/>
  <c r="AD44"/>
  <c r="AF44" s="1"/>
  <c r="AG43"/>
  <c r="AD43"/>
  <c r="AF43" s="1"/>
  <c r="AG42"/>
  <c r="AD42"/>
  <c r="AF42" s="1"/>
  <c r="AG41"/>
  <c r="AD41"/>
  <c r="AF41" s="1"/>
  <c r="AG40"/>
  <c r="AD40"/>
  <c r="AF40" s="1"/>
  <c r="AG39"/>
  <c r="AD39"/>
  <c r="AF39" s="1"/>
  <c r="AG38"/>
  <c r="AD38"/>
  <c r="AF38" s="1"/>
  <c r="AG37"/>
  <c r="AD37"/>
  <c r="AF37" s="1"/>
  <c r="AG36"/>
  <c r="AD36"/>
  <c r="AF36" s="1"/>
  <c r="AG35"/>
  <c r="AD35"/>
  <c r="AF35" s="1"/>
  <c r="AG34"/>
  <c r="AD34"/>
  <c r="AF34" s="1"/>
  <c r="AG33"/>
  <c r="AD33"/>
  <c r="AF33" s="1"/>
  <c r="AG32"/>
  <c r="AD32"/>
  <c r="AF32" s="1"/>
  <c r="AG31"/>
  <c r="AD31"/>
  <c r="AF31" s="1"/>
  <c r="AG30"/>
  <c r="AD30"/>
  <c r="AF30" s="1"/>
  <c r="AG29"/>
  <c r="AD29"/>
  <c r="AF29" s="1"/>
  <c r="AG28"/>
  <c r="AD28"/>
  <c r="AF28" s="1"/>
  <c r="AG27"/>
  <c r="AD27"/>
  <c r="AF27" s="1"/>
  <c r="AG26"/>
  <c r="AD26"/>
  <c r="AF26" s="1"/>
  <c r="AG25"/>
  <c r="AD25"/>
  <c r="AF25" s="1"/>
  <c r="AG24"/>
  <c r="AD24"/>
  <c r="AF24" s="1"/>
  <c r="AG23"/>
  <c r="AD23"/>
  <c r="AF23" s="1"/>
  <c r="AG22"/>
  <c r="AD22"/>
  <c r="AF22" s="1"/>
  <c r="AG21"/>
  <c r="AD21"/>
  <c r="AF21" s="1"/>
  <c r="AG20"/>
  <c r="AD20"/>
  <c r="AF20" s="1"/>
  <c r="AG19"/>
  <c r="AD19"/>
  <c r="AF19" s="1"/>
  <c r="AG18"/>
  <c r="AD18"/>
  <c r="AF18" s="1"/>
  <c r="AG17"/>
  <c r="AD17"/>
  <c r="AF17" s="1"/>
  <c r="AG16"/>
  <c r="AD16"/>
  <c r="AF16" s="1"/>
  <c r="AG15"/>
  <c r="AD15"/>
  <c r="AF15" s="1"/>
  <c r="AG14"/>
  <c r="AD14"/>
  <c r="AF14" s="1"/>
  <c r="AG13"/>
  <c r="AD13"/>
  <c r="AF13" s="1"/>
  <c r="AG12"/>
  <c r="AD12"/>
  <c r="AF12" s="1"/>
  <c r="AG11"/>
  <c r="AD11"/>
  <c r="AF11" s="1"/>
  <c r="AG10"/>
  <c r="AD10"/>
  <c r="AF10" s="1"/>
  <c r="AG9"/>
  <c r="AD9"/>
  <c r="AF9" s="1"/>
  <c r="AG8"/>
  <c r="AD8"/>
  <c r="AF8" s="1"/>
  <c r="AG7"/>
  <c r="AD7"/>
  <c r="AF7" s="1"/>
  <c r="AG6"/>
  <c r="AD6"/>
  <c r="AF6" s="1"/>
  <c r="AD5"/>
  <c r="Q1000"/>
  <c r="B1000"/>
  <c r="A1000"/>
  <c r="B999"/>
  <c r="A999"/>
  <c r="B998"/>
  <c r="A998"/>
  <c r="B997"/>
  <c r="A997"/>
  <c r="B996"/>
  <c r="A996"/>
  <c r="B995"/>
  <c r="A995"/>
  <c r="B994"/>
  <c r="A994"/>
  <c r="B993"/>
  <c r="A993"/>
  <c r="B992"/>
  <c r="A992"/>
  <c r="B991"/>
  <c r="A991"/>
  <c r="B990"/>
  <c r="A990"/>
  <c r="B989"/>
  <c r="A989"/>
  <c r="B988"/>
  <c r="A988"/>
  <c r="B987"/>
  <c r="A987"/>
  <c r="B986"/>
  <c r="A986"/>
  <c r="B985"/>
  <c r="A985"/>
  <c r="B984"/>
  <c r="A984"/>
  <c r="B983"/>
  <c r="A983"/>
  <c r="B982"/>
  <c r="A982"/>
  <c r="B981"/>
  <c r="A981"/>
  <c r="B980"/>
  <c r="A980"/>
  <c r="B979"/>
  <c r="A979"/>
  <c r="B978"/>
  <c r="A978"/>
  <c r="B977"/>
  <c r="A977"/>
  <c r="B976"/>
  <c r="A976"/>
  <c r="B975"/>
  <c r="A975"/>
  <c r="B974"/>
  <c r="A974"/>
  <c r="B973"/>
  <c r="A973"/>
  <c r="B972"/>
  <c r="A972"/>
  <c r="B971"/>
  <c r="A971"/>
  <c r="B970"/>
  <c r="A970"/>
  <c r="B969"/>
  <c r="A969"/>
  <c r="B968"/>
  <c r="A968"/>
  <c r="B967"/>
  <c r="A967"/>
  <c r="B966"/>
  <c r="A966"/>
  <c r="B965"/>
  <c r="A965"/>
  <c r="B964"/>
  <c r="A964"/>
  <c r="B963"/>
  <c r="A963"/>
  <c r="B962"/>
  <c r="A962"/>
  <c r="B961"/>
  <c r="A961"/>
  <c r="B960"/>
  <c r="A960"/>
  <c r="B959"/>
  <c r="A959"/>
  <c r="B958"/>
  <c r="A958"/>
  <c r="B957"/>
  <c r="A957"/>
  <c r="B956"/>
  <c r="A956"/>
  <c r="B955"/>
  <c r="A955"/>
  <c r="B954"/>
  <c r="A954"/>
  <c r="B953"/>
  <c r="A953"/>
  <c r="B952"/>
  <c r="A952"/>
  <c r="B951"/>
  <c r="A951"/>
  <c r="B950"/>
  <c r="A950"/>
  <c r="B949"/>
  <c r="A949"/>
  <c r="B948"/>
  <c r="A948"/>
  <c r="B947"/>
  <c r="A947"/>
  <c r="B946"/>
  <c r="A946"/>
  <c r="B945"/>
  <c r="A945"/>
  <c r="B944"/>
  <c r="A944"/>
  <c r="B943"/>
  <c r="A943"/>
  <c r="B942"/>
  <c r="A942"/>
  <c r="B941"/>
  <c r="A941"/>
  <c r="B940"/>
  <c r="A940"/>
  <c r="B939"/>
  <c r="A939"/>
  <c r="B938"/>
  <c r="A938"/>
  <c r="B937"/>
  <c r="A937"/>
  <c r="B936"/>
  <c r="A936"/>
  <c r="B935"/>
  <c r="A935"/>
  <c r="B934"/>
  <c r="A934"/>
  <c r="B933"/>
  <c r="A933"/>
  <c r="B932"/>
  <c r="A932"/>
  <c r="B931"/>
  <c r="A931"/>
  <c r="B930"/>
  <c r="A930"/>
  <c r="B929"/>
  <c r="A929"/>
  <c r="B928"/>
  <c r="A928"/>
  <c r="B927"/>
  <c r="A927"/>
  <c r="B926"/>
  <c r="A926"/>
  <c r="B925"/>
  <c r="A925"/>
  <c r="B924"/>
  <c r="A924"/>
  <c r="B923"/>
  <c r="A923"/>
  <c r="B922"/>
  <c r="A922"/>
  <c r="B921"/>
  <c r="A921"/>
  <c r="B920"/>
  <c r="A920"/>
  <c r="B919"/>
  <c r="A919"/>
  <c r="B918"/>
  <c r="A918"/>
  <c r="B917"/>
  <c r="A917"/>
  <c r="B916"/>
  <c r="A916"/>
  <c r="B915"/>
  <c r="A915"/>
  <c r="B914"/>
  <c r="A914"/>
  <c r="B913"/>
  <c r="A913"/>
  <c r="B912"/>
  <c r="A912"/>
  <c r="B911"/>
  <c r="A911"/>
  <c r="B910"/>
  <c r="A910"/>
  <c r="B909"/>
  <c r="A909"/>
  <c r="B908"/>
  <c r="A908"/>
  <c r="B907"/>
  <c r="A907"/>
  <c r="B906"/>
  <c r="A906"/>
  <c r="B905"/>
  <c r="A905"/>
  <c r="B904"/>
  <c r="A904"/>
  <c r="B903"/>
  <c r="A903"/>
  <c r="B902"/>
  <c r="A902"/>
  <c r="B901"/>
  <c r="A901"/>
  <c r="B900"/>
  <c r="A900"/>
  <c r="B899"/>
  <c r="A899"/>
  <c r="B898"/>
  <c r="A898"/>
  <c r="B897"/>
  <c r="A897"/>
  <c r="B896"/>
  <c r="A896"/>
  <c r="B895"/>
  <c r="A895"/>
  <c r="B894"/>
  <c r="A894"/>
  <c r="B893"/>
  <c r="A893"/>
  <c r="B892"/>
  <c r="A892"/>
  <c r="B891"/>
  <c r="A891"/>
  <c r="B890"/>
  <c r="A890"/>
  <c r="B889"/>
  <c r="A889"/>
  <c r="B888"/>
  <c r="A888"/>
  <c r="B887"/>
  <c r="A887"/>
  <c r="B886"/>
  <c r="A886"/>
  <c r="B885"/>
  <c r="A885"/>
  <c r="B884"/>
  <c r="A884"/>
  <c r="B883"/>
  <c r="A883"/>
  <c r="B882"/>
  <c r="A882"/>
  <c r="B881"/>
  <c r="A881"/>
  <c r="B880"/>
  <c r="A880"/>
  <c r="B879"/>
  <c r="A879"/>
  <c r="B878"/>
  <c r="A878"/>
  <c r="B877"/>
  <c r="A877"/>
  <c r="B876"/>
  <c r="A876"/>
  <c r="B875"/>
  <c r="A875"/>
  <c r="B874"/>
  <c r="A874"/>
  <c r="B873"/>
  <c r="A873"/>
  <c r="B872"/>
  <c r="A872"/>
  <c r="B871"/>
  <c r="A871"/>
  <c r="B870"/>
  <c r="A870"/>
  <c r="B869"/>
  <c r="A869"/>
  <c r="B868"/>
  <c r="A868"/>
  <c r="B867"/>
  <c r="A867"/>
  <c r="B866"/>
  <c r="A866"/>
  <c r="B865"/>
  <c r="A865"/>
  <c r="B864"/>
  <c r="A864"/>
  <c r="B863"/>
  <c r="A863"/>
  <c r="B862"/>
  <c r="A862"/>
  <c r="B861"/>
  <c r="A861"/>
  <c r="B860"/>
  <c r="A860"/>
  <c r="B859"/>
  <c r="A859"/>
  <c r="B858"/>
  <c r="A858"/>
  <c r="B857"/>
  <c r="A857"/>
  <c r="B856"/>
  <c r="A856"/>
  <c r="B855"/>
  <c r="A855"/>
  <c r="B854"/>
  <c r="A854"/>
  <c r="B853"/>
  <c r="A853"/>
  <c r="B852"/>
  <c r="A852"/>
  <c r="B851"/>
  <c r="A851"/>
  <c r="B850"/>
  <c r="A850"/>
  <c r="B849"/>
  <c r="A849"/>
  <c r="B848"/>
  <c r="A848"/>
  <c r="B847"/>
  <c r="A847"/>
  <c r="B846"/>
  <c r="A846"/>
  <c r="B845"/>
  <c r="A845"/>
  <c r="B844"/>
  <c r="A844"/>
  <c r="B843"/>
  <c r="A843"/>
  <c r="B842"/>
  <c r="A842"/>
  <c r="B841"/>
  <c r="A841"/>
  <c r="B840"/>
  <c r="A840"/>
  <c r="B839"/>
  <c r="A839"/>
  <c r="B838"/>
  <c r="A838"/>
  <c r="B837"/>
  <c r="A837"/>
  <c r="B836"/>
  <c r="A836"/>
  <c r="B835"/>
  <c r="A835"/>
  <c r="B834"/>
  <c r="A834"/>
  <c r="B833"/>
  <c r="A833"/>
  <c r="B832"/>
  <c r="A832"/>
  <c r="B831"/>
  <c r="A831"/>
  <c r="B830"/>
  <c r="A830"/>
  <c r="B829"/>
  <c r="A829"/>
  <c r="B828"/>
  <c r="A828"/>
  <c r="B827"/>
  <c r="A827"/>
  <c r="B826"/>
  <c r="A826"/>
  <c r="B825"/>
  <c r="A825"/>
  <c r="B824"/>
  <c r="A824"/>
  <c r="B823"/>
  <c r="A823"/>
  <c r="B822"/>
  <c r="A822"/>
  <c r="B821"/>
  <c r="A821"/>
  <c r="B820"/>
  <c r="A820"/>
  <c r="B819"/>
  <c r="A819"/>
  <c r="B818"/>
  <c r="A818"/>
  <c r="B817"/>
  <c r="A817"/>
  <c r="B816"/>
  <c r="A816"/>
  <c r="B815"/>
  <c r="A815"/>
  <c r="B814"/>
  <c r="A814"/>
  <c r="B813"/>
  <c r="A813"/>
  <c r="B812"/>
  <c r="A812"/>
  <c r="B811"/>
  <c r="A811"/>
  <c r="B810"/>
  <c r="A810"/>
  <c r="B809"/>
  <c r="A809"/>
  <c r="B808"/>
  <c r="A808"/>
  <c r="B807"/>
  <c r="A807"/>
  <c r="B806"/>
  <c r="A806"/>
  <c r="B805"/>
  <c r="A805"/>
  <c r="B804"/>
  <c r="A804"/>
  <c r="B803"/>
  <c r="A803"/>
  <c r="B802"/>
  <c r="A802"/>
  <c r="B801"/>
  <c r="A801"/>
  <c r="B800"/>
  <c r="A800"/>
  <c r="B799"/>
  <c r="A799"/>
  <c r="B798"/>
  <c r="A798"/>
  <c r="B797"/>
  <c r="A797"/>
  <c r="B796"/>
  <c r="A796"/>
  <c r="B795"/>
  <c r="A795"/>
  <c r="B794"/>
  <c r="A794"/>
  <c r="B793"/>
  <c r="A793"/>
  <c r="B792"/>
  <c r="A792"/>
  <c r="B791"/>
  <c r="A791"/>
  <c r="B790"/>
  <c r="A790"/>
  <c r="B789"/>
  <c r="A789"/>
  <c r="B788"/>
  <c r="A788"/>
  <c r="B787"/>
  <c r="A787"/>
  <c r="B786"/>
  <c r="A786"/>
  <c r="B785"/>
  <c r="A785"/>
  <c r="B784"/>
  <c r="A784"/>
  <c r="B783"/>
  <c r="A783"/>
  <c r="B782"/>
  <c r="A782"/>
  <c r="B781"/>
  <c r="A781"/>
  <c r="B780"/>
  <c r="A780"/>
  <c r="B779"/>
  <c r="A779"/>
  <c r="B778"/>
  <c r="A778"/>
  <c r="B777"/>
  <c r="A777"/>
  <c r="B776"/>
  <c r="A776"/>
  <c r="B775"/>
  <c r="A775"/>
  <c r="B774"/>
  <c r="A774"/>
  <c r="B773"/>
  <c r="A773"/>
  <c r="B772"/>
  <c r="A772"/>
  <c r="B771"/>
  <c r="A771"/>
  <c r="B770"/>
  <c r="A770"/>
  <c r="B769"/>
  <c r="A769"/>
  <c r="B768"/>
  <c r="A768"/>
  <c r="B767"/>
  <c r="A767"/>
  <c r="B766"/>
  <c r="A766"/>
  <c r="B765"/>
  <c r="A765"/>
  <c r="B764"/>
  <c r="A764"/>
  <c r="B763"/>
  <c r="A763"/>
  <c r="B762"/>
  <c r="A762"/>
  <c r="B761"/>
  <c r="A761"/>
  <c r="B760"/>
  <c r="A760"/>
  <c r="B759"/>
  <c r="A759"/>
  <c r="B758"/>
  <c r="A758"/>
  <c r="B757"/>
  <c r="A757"/>
  <c r="B756"/>
  <c r="A756"/>
  <c r="B755"/>
  <c r="A755"/>
  <c r="B754"/>
  <c r="A754"/>
  <c r="B753"/>
  <c r="A753"/>
  <c r="B752"/>
  <c r="A752"/>
  <c r="B751"/>
  <c r="A751"/>
  <c r="B750"/>
  <c r="A750"/>
  <c r="B749"/>
  <c r="A749"/>
  <c r="B748"/>
  <c r="A748"/>
  <c r="B747"/>
  <c r="A747"/>
  <c r="B746"/>
  <c r="A746"/>
  <c r="B745"/>
  <c r="A745"/>
  <c r="B744"/>
  <c r="A744"/>
  <c r="B743"/>
  <c r="A743"/>
  <c r="B742"/>
  <c r="A742"/>
  <c r="B741"/>
  <c r="A741"/>
  <c r="B740"/>
  <c r="A740"/>
  <c r="B739"/>
  <c r="A739"/>
  <c r="B738"/>
  <c r="A738"/>
  <c r="B737"/>
  <c r="A737"/>
  <c r="B736"/>
  <c r="A736"/>
  <c r="B735"/>
  <c r="A735"/>
  <c r="B734"/>
  <c r="A734"/>
  <c r="B733"/>
  <c r="A733"/>
  <c r="B732"/>
  <c r="A732"/>
  <c r="B731"/>
  <c r="A731"/>
  <c r="B730"/>
  <c r="A730"/>
  <c r="B729"/>
  <c r="A729"/>
  <c r="B728"/>
  <c r="A728"/>
  <c r="B727"/>
  <c r="A727"/>
  <c r="B726"/>
  <c r="A726"/>
  <c r="B725"/>
  <c r="A725"/>
  <c r="B724"/>
  <c r="A724"/>
  <c r="B723"/>
  <c r="A723"/>
  <c r="B722"/>
  <c r="A722"/>
  <c r="B721"/>
  <c r="A721"/>
  <c r="B720"/>
  <c r="A720"/>
  <c r="B719"/>
  <c r="A719"/>
  <c r="B718"/>
  <c r="A718"/>
  <c r="B717"/>
  <c r="A717"/>
  <c r="B716"/>
  <c r="A716"/>
  <c r="B715"/>
  <c r="A715"/>
  <c r="B714"/>
  <c r="A714"/>
  <c r="B713"/>
  <c r="A713"/>
  <c r="B712"/>
  <c r="A712"/>
  <c r="B711"/>
  <c r="A711"/>
  <c r="B710"/>
  <c r="A710"/>
  <c r="B709"/>
  <c r="A709"/>
  <c r="B708"/>
  <c r="A708"/>
  <c r="B707"/>
  <c r="A707"/>
  <c r="B706"/>
  <c r="A706"/>
  <c r="B705"/>
  <c r="A705"/>
  <c r="B704"/>
  <c r="A704"/>
  <c r="B703"/>
  <c r="A703"/>
  <c r="B702"/>
  <c r="A702"/>
  <c r="B701"/>
  <c r="A701"/>
  <c r="B700"/>
  <c r="A700"/>
  <c r="B699"/>
  <c r="A699"/>
  <c r="B698"/>
  <c r="A698"/>
  <c r="B697"/>
  <c r="A697"/>
  <c r="B696"/>
  <c r="A696"/>
  <c r="B695"/>
  <c r="A695"/>
  <c r="B694"/>
  <c r="A694"/>
  <c r="B693"/>
  <c r="A693"/>
  <c r="B692"/>
  <c r="A692"/>
  <c r="B691"/>
  <c r="A691"/>
  <c r="B690"/>
  <c r="A690"/>
  <c r="B689"/>
  <c r="A689"/>
  <c r="B688"/>
  <c r="A688"/>
  <c r="B687"/>
  <c r="A687"/>
  <c r="B686"/>
  <c r="A686"/>
  <c r="B685"/>
  <c r="A685"/>
  <c r="B684"/>
  <c r="A684"/>
  <c r="B683"/>
  <c r="A683"/>
  <c r="B682"/>
  <c r="A682"/>
  <c r="B681"/>
  <c r="A681"/>
  <c r="B680"/>
  <c r="A680"/>
  <c r="B679"/>
  <c r="A679"/>
  <c r="B678"/>
  <c r="A678"/>
  <c r="B677"/>
  <c r="A677"/>
  <c r="B676"/>
  <c r="A676"/>
  <c r="B675"/>
  <c r="A675"/>
  <c r="B674"/>
  <c r="A674"/>
  <c r="B673"/>
  <c r="A673"/>
  <c r="B672"/>
  <c r="A672"/>
  <c r="B671"/>
  <c r="A671"/>
  <c r="B670"/>
  <c r="A670"/>
  <c r="B669"/>
  <c r="A669"/>
  <c r="B668"/>
  <c r="A668"/>
  <c r="B667"/>
  <c r="A667"/>
  <c r="B666"/>
  <c r="A666"/>
  <c r="B665"/>
  <c r="A665"/>
  <c r="B664"/>
  <c r="A664"/>
  <c r="B663"/>
  <c r="A663"/>
  <c r="B662"/>
  <c r="A662"/>
  <c r="B661"/>
  <c r="A661"/>
  <c r="B660"/>
  <c r="A660"/>
  <c r="B659"/>
  <c r="A659"/>
  <c r="B658"/>
  <c r="A658"/>
  <c r="B657"/>
  <c r="A657"/>
  <c r="B656"/>
  <c r="A656"/>
  <c r="B655"/>
  <c r="A655"/>
  <c r="B654"/>
  <c r="A654"/>
  <c r="B653"/>
  <c r="A653"/>
  <c r="B652"/>
  <c r="A652"/>
  <c r="B651"/>
  <c r="A651"/>
  <c r="B650"/>
  <c r="A650"/>
  <c r="B649"/>
  <c r="A649"/>
  <c r="B648"/>
  <c r="A648"/>
  <c r="B647"/>
  <c r="A647"/>
  <c r="B646"/>
  <c r="A646"/>
  <c r="B645"/>
  <c r="A645"/>
  <c r="B644"/>
  <c r="A644"/>
  <c r="B643"/>
  <c r="A643"/>
  <c r="B642"/>
  <c r="A642"/>
  <c r="B641"/>
  <c r="A641"/>
  <c r="B640"/>
  <c r="A640"/>
  <c r="B639"/>
  <c r="A639"/>
  <c r="B638"/>
  <c r="A638"/>
  <c r="B637"/>
  <c r="A637"/>
  <c r="B636"/>
  <c r="A636"/>
  <c r="B635"/>
  <c r="A635"/>
  <c r="B634"/>
  <c r="A634"/>
  <c r="B633"/>
  <c r="A633"/>
  <c r="B632"/>
  <c r="A632"/>
  <c r="B631"/>
  <c r="A631"/>
  <c r="B630"/>
  <c r="A630"/>
  <c r="B629"/>
  <c r="A629"/>
  <c r="B628"/>
  <c r="A628"/>
  <c r="B627"/>
  <c r="A627"/>
  <c r="B626"/>
  <c r="A626"/>
  <c r="B625"/>
  <c r="A625"/>
  <c r="B624"/>
  <c r="A624"/>
  <c r="B623"/>
  <c r="A623"/>
  <c r="B622"/>
  <c r="A622"/>
  <c r="B621"/>
  <c r="A621"/>
  <c r="B620"/>
  <c r="A620"/>
  <c r="B619"/>
  <c r="A619"/>
  <c r="B618"/>
  <c r="A618"/>
  <c r="B617"/>
  <c r="A617"/>
  <c r="B616"/>
  <c r="A616"/>
  <c r="B615"/>
  <c r="A615"/>
  <c r="B614"/>
  <c r="A614"/>
  <c r="B613"/>
  <c r="A613"/>
  <c r="B612"/>
  <c r="A612"/>
  <c r="B611"/>
  <c r="A611"/>
  <c r="B610"/>
  <c r="A610"/>
  <c r="B609"/>
  <c r="A609"/>
  <c r="B608"/>
  <c r="A608"/>
  <c r="B607"/>
  <c r="A607"/>
  <c r="B606"/>
  <c r="A606"/>
  <c r="B605"/>
  <c r="A605"/>
  <c r="B604"/>
  <c r="A604"/>
  <c r="B603"/>
  <c r="A603"/>
  <c r="B602"/>
  <c r="A602"/>
  <c r="B601"/>
  <c r="A601"/>
  <c r="B600"/>
  <c r="A600"/>
  <c r="B599"/>
  <c r="A599"/>
  <c r="B598"/>
  <c r="A598"/>
  <c r="B597"/>
  <c r="A597"/>
  <c r="B596"/>
  <c r="A596"/>
  <c r="B595"/>
  <c r="A595"/>
  <c r="B594"/>
  <c r="A594"/>
  <c r="B593"/>
  <c r="A593"/>
  <c r="B592"/>
  <c r="A592"/>
  <c r="B591"/>
  <c r="A591"/>
  <c r="B590"/>
  <c r="A590"/>
  <c r="B589"/>
  <c r="A589"/>
  <c r="B588"/>
  <c r="A588"/>
  <c r="B587"/>
  <c r="A587"/>
  <c r="B586"/>
  <c r="A586"/>
  <c r="B585"/>
  <c r="A585"/>
  <c r="B584"/>
  <c r="A584"/>
  <c r="B583"/>
  <c r="A583"/>
  <c r="B582"/>
  <c r="A582"/>
  <c r="B581"/>
  <c r="A581"/>
  <c r="B580"/>
  <c r="A580"/>
  <c r="B579"/>
  <c r="A579"/>
  <c r="B578"/>
  <c r="A578"/>
  <c r="B577"/>
  <c r="A577"/>
  <c r="B576"/>
  <c r="A576"/>
  <c r="B575"/>
  <c r="A575"/>
  <c r="B574"/>
  <c r="A574"/>
  <c r="B573"/>
  <c r="A573"/>
  <c r="B572"/>
  <c r="A572"/>
  <c r="B571"/>
  <c r="A571"/>
  <c r="B570"/>
  <c r="A570"/>
  <c r="B569"/>
  <c r="A569"/>
  <c r="B568"/>
  <c r="A568"/>
  <c r="B567"/>
  <c r="A567"/>
  <c r="B566"/>
  <c r="A566"/>
  <c r="B565"/>
  <c r="A565"/>
  <c r="B564"/>
  <c r="A564"/>
  <c r="B563"/>
  <c r="A563"/>
  <c r="B562"/>
  <c r="A562"/>
  <c r="B561"/>
  <c r="A561"/>
  <c r="B560"/>
  <c r="A560"/>
  <c r="B559"/>
  <c r="A559"/>
  <c r="B558"/>
  <c r="A558"/>
  <c r="B557"/>
  <c r="A557"/>
  <c r="B556"/>
  <c r="A556"/>
  <c r="B555"/>
  <c r="A555"/>
  <c r="B554"/>
  <c r="A554"/>
  <c r="B553"/>
  <c r="A553"/>
  <c r="B552"/>
  <c r="A552"/>
  <c r="B551"/>
  <c r="A551"/>
  <c r="B550"/>
  <c r="A550"/>
  <c r="B549"/>
  <c r="A549"/>
  <c r="B548"/>
  <c r="A548"/>
  <c r="B547"/>
  <c r="A547"/>
  <c r="B546"/>
  <c r="A546"/>
  <c r="B545"/>
  <c r="A545"/>
  <c r="B544"/>
  <c r="A544"/>
  <c r="B543"/>
  <c r="A543"/>
  <c r="B542"/>
  <c r="A542"/>
  <c r="B541"/>
  <c r="A541"/>
  <c r="B540"/>
  <c r="A540"/>
  <c r="B539"/>
  <c r="A539"/>
  <c r="B538"/>
  <c r="A538"/>
  <c r="B537"/>
  <c r="A537"/>
  <c r="B536"/>
  <c r="A536"/>
  <c r="B535"/>
  <c r="A535"/>
  <c r="B534"/>
  <c r="A534"/>
  <c r="B533"/>
  <c r="A533"/>
  <c r="B532"/>
  <c r="A532"/>
  <c r="B531"/>
  <c r="A531"/>
  <c r="B530"/>
  <c r="A530"/>
  <c r="B529"/>
  <c r="A529"/>
  <c r="B528"/>
  <c r="A528"/>
  <c r="B527"/>
  <c r="A527"/>
  <c r="B526"/>
  <c r="A526"/>
  <c r="B525"/>
  <c r="A525"/>
  <c r="B524"/>
  <c r="A524"/>
  <c r="B523"/>
  <c r="A523"/>
  <c r="B522"/>
  <c r="A522"/>
  <c r="B521"/>
  <c r="A521"/>
  <c r="B520"/>
  <c r="A520"/>
  <c r="B519"/>
  <c r="A519"/>
  <c r="B518"/>
  <c r="A518"/>
  <c r="B517"/>
  <c r="A517"/>
  <c r="B516"/>
  <c r="A516"/>
  <c r="B515"/>
  <c r="A515"/>
  <c r="B514"/>
  <c r="A514"/>
  <c r="B513"/>
  <c r="A513"/>
  <c r="B512"/>
  <c r="A512"/>
  <c r="B511"/>
  <c r="A511"/>
  <c r="B510"/>
  <c r="A510"/>
  <c r="B509"/>
  <c r="A509"/>
  <c r="B508"/>
  <c r="A508"/>
  <c r="B507"/>
  <c r="A507"/>
  <c r="B506"/>
  <c r="A506"/>
  <c r="B505"/>
  <c r="A505"/>
  <c r="B504"/>
  <c r="A504"/>
  <c r="B503"/>
  <c r="A503"/>
  <c r="B502"/>
  <c r="A502"/>
  <c r="B501"/>
  <c r="A501"/>
  <c r="B500"/>
  <c r="A500"/>
  <c r="B499"/>
  <c r="A499"/>
  <c r="B498"/>
  <c r="A498"/>
  <c r="B497"/>
  <c r="A497"/>
  <c r="B496"/>
  <c r="A496"/>
  <c r="B495"/>
  <c r="A495"/>
  <c r="B494"/>
  <c r="A494"/>
  <c r="B493"/>
  <c r="A493"/>
  <c r="B492"/>
  <c r="A492"/>
  <c r="B491"/>
  <c r="A491"/>
  <c r="B490"/>
  <c r="A490"/>
  <c r="B489"/>
  <c r="A489"/>
  <c r="B488"/>
  <c r="A488"/>
  <c r="B487"/>
  <c r="A487"/>
  <c r="B486"/>
  <c r="A486"/>
  <c r="B485"/>
  <c r="A485"/>
  <c r="B484"/>
  <c r="A484"/>
  <c r="B483"/>
  <c r="A483"/>
  <c r="B482"/>
  <c r="A482"/>
  <c r="B481"/>
  <c r="A481"/>
  <c r="B480"/>
  <c r="A480"/>
  <c r="B479"/>
  <c r="A479"/>
  <c r="B478"/>
  <c r="A478"/>
  <c r="B477"/>
  <c r="A477"/>
  <c r="B476"/>
  <c r="A476"/>
  <c r="B475"/>
  <c r="A475"/>
  <c r="B474"/>
  <c r="A474"/>
  <c r="B473"/>
  <c r="A473"/>
  <c r="B472"/>
  <c r="A472"/>
  <c r="B471"/>
  <c r="A471"/>
  <c r="B470"/>
  <c r="A470"/>
  <c r="B469"/>
  <c r="A469"/>
  <c r="B468"/>
  <c r="A468"/>
  <c r="B467"/>
  <c r="A467"/>
  <c r="B466"/>
  <c r="A466"/>
  <c r="B465"/>
  <c r="A465"/>
  <c r="B464"/>
  <c r="A464"/>
  <c r="B463"/>
  <c r="A463"/>
  <c r="B462"/>
  <c r="A462"/>
  <c r="B461"/>
  <c r="A461"/>
  <c r="B460"/>
  <c r="A460"/>
  <c r="B459"/>
  <c r="A459"/>
  <c r="B458"/>
  <c r="A458"/>
  <c r="B457"/>
  <c r="A457"/>
  <c r="B456"/>
  <c r="A456"/>
  <c r="B455"/>
  <c r="A455"/>
  <c r="B454"/>
  <c r="A454"/>
  <c r="B453"/>
  <c r="A453"/>
  <c r="B452"/>
  <c r="A452"/>
  <c r="B451"/>
  <c r="A451"/>
  <c r="B450"/>
  <c r="A450"/>
  <c r="B449"/>
  <c r="A449"/>
  <c r="B448"/>
  <c r="A448"/>
  <c r="B447"/>
  <c r="A447"/>
  <c r="B446"/>
  <c r="A446"/>
  <c r="B445"/>
  <c r="A445"/>
  <c r="B444"/>
  <c r="A444"/>
  <c r="B443"/>
  <c r="A443"/>
  <c r="B442"/>
  <c r="A442"/>
  <c r="B441"/>
  <c r="A441"/>
  <c r="B440"/>
  <c r="A440"/>
  <c r="B439"/>
  <c r="A439"/>
  <c r="B438"/>
  <c r="A438"/>
  <c r="B437"/>
  <c r="A437"/>
  <c r="B436"/>
  <c r="A436"/>
  <c r="B435"/>
  <c r="A435"/>
  <c r="B434"/>
  <c r="A434"/>
  <c r="B433"/>
  <c r="A433"/>
  <c r="B432"/>
  <c r="A432"/>
  <c r="B431"/>
  <c r="A431"/>
  <c r="B430"/>
  <c r="A430"/>
  <c r="B429"/>
  <c r="A429"/>
  <c r="B428"/>
  <c r="A428"/>
  <c r="B427"/>
  <c r="A427"/>
  <c r="B426"/>
  <c r="A426"/>
  <c r="B425"/>
  <c r="A425"/>
  <c r="B424"/>
  <c r="A424"/>
  <c r="B423"/>
  <c r="A423"/>
  <c r="B422"/>
  <c r="A422"/>
  <c r="B421"/>
  <c r="A421"/>
  <c r="B420"/>
  <c r="A420"/>
  <c r="B419"/>
  <c r="A419"/>
  <c r="B418"/>
  <c r="A418"/>
  <c r="B417"/>
  <c r="A417"/>
  <c r="B416"/>
  <c r="A416"/>
  <c r="B415"/>
  <c r="A415"/>
  <c r="B414"/>
  <c r="A414"/>
  <c r="B413"/>
  <c r="A413"/>
  <c r="B412"/>
  <c r="A412"/>
  <c r="B411"/>
  <c r="A411"/>
  <c r="B410"/>
  <c r="A410"/>
  <c r="B409"/>
  <c r="A409"/>
  <c r="B408"/>
  <c r="A408"/>
  <c r="B407"/>
  <c r="A407"/>
  <c r="B406"/>
  <c r="A406"/>
  <c r="B405"/>
  <c r="A405"/>
  <c r="B404"/>
  <c r="A404"/>
  <c r="B403"/>
  <c r="A403"/>
  <c r="B402"/>
  <c r="A402"/>
  <c r="B401"/>
  <c r="A401"/>
  <c r="B400"/>
  <c r="A400"/>
  <c r="B399"/>
  <c r="A399"/>
  <c r="B398"/>
  <c r="A398"/>
  <c r="B397"/>
  <c r="A397"/>
  <c r="B396"/>
  <c r="A396"/>
  <c r="B395"/>
  <c r="A395"/>
  <c r="B394"/>
  <c r="A394"/>
  <c r="B393"/>
  <c r="A393"/>
  <c r="B392"/>
  <c r="A392"/>
  <c r="B391"/>
  <c r="A391"/>
  <c r="B390"/>
  <c r="A390"/>
  <c r="B389"/>
  <c r="A389"/>
  <c r="B388"/>
  <c r="A388"/>
  <c r="B387"/>
  <c r="A387"/>
  <c r="B386"/>
  <c r="A386"/>
  <c r="B385"/>
  <c r="A385"/>
  <c r="B384"/>
  <c r="A384"/>
  <c r="B383"/>
  <c r="A383"/>
  <c r="B382"/>
  <c r="A382"/>
  <c r="B381"/>
  <c r="A381"/>
  <c r="B380"/>
  <c r="A380"/>
  <c r="B379"/>
  <c r="A379"/>
  <c r="B378"/>
  <c r="A378"/>
  <c r="B377"/>
  <c r="A377"/>
  <c r="B376"/>
  <c r="A376"/>
  <c r="B375"/>
  <c r="A375"/>
  <c r="B374"/>
  <c r="A374"/>
  <c r="B373"/>
  <c r="A373"/>
  <c r="B372"/>
  <c r="A372"/>
  <c r="B371"/>
  <c r="A371"/>
  <c r="B370"/>
  <c r="A370"/>
  <c r="B369"/>
  <c r="A369"/>
  <c r="B368"/>
  <c r="A368"/>
  <c r="B367"/>
  <c r="A367"/>
  <c r="B366"/>
  <c r="A366"/>
  <c r="B365"/>
  <c r="A365"/>
  <c r="B364"/>
  <c r="A364"/>
  <c r="B363"/>
  <c r="A363"/>
  <c r="B362"/>
  <c r="A362"/>
  <c r="B361"/>
  <c r="A361"/>
  <c r="B360"/>
  <c r="A360"/>
  <c r="B359"/>
  <c r="A359"/>
  <c r="B358"/>
  <c r="A358"/>
  <c r="B357"/>
  <c r="A357"/>
  <c r="B356"/>
  <c r="A356"/>
  <c r="B355"/>
  <c r="A355"/>
  <c r="B354"/>
  <c r="A354"/>
  <c r="B353"/>
  <c r="A353"/>
  <c r="B352"/>
  <c r="A352"/>
  <c r="B351"/>
  <c r="A351"/>
  <c r="B350"/>
  <c r="A350"/>
  <c r="B349"/>
  <c r="A349"/>
  <c r="B348"/>
  <c r="A348"/>
  <c r="B347"/>
  <c r="A347"/>
  <c r="B346"/>
  <c r="A346"/>
  <c r="B345"/>
  <c r="A345"/>
  <c r="B344"/>
  <c r="A344"/>
  <c r="B343"/>
  <c r="A343"/>
  <c r="B342"/>
  <c r="A342"/>
  <c r="B341"/>
  <c r="A341"/>
  <c r="B340"/>
  <c r="A340"/>
  <c r="B339"/>
  <c r="A339"/>
  <c r="B338"/>
  <c r="A338"/>
  <c r="B337"/>
  <c r="A337"/>
  <c r="B336"/>
  <c r="A336"/>
  <c r="B335"/>
  <c r="A335"/>
  <c r="B334"/>
  <c r="A334"/>
  <c r="B333"/>
  <c r="A333"/>
  <c r="B332"/>
  <c r="A332"/>
  <c r="B331"/>
  <c r="A331"/>
  <c r="B330"/>
  <c r="A330"/>
  <c r="B329"/>
  <c r="A329"/>
  <c r="B328"/>
  <c r="A328"/>
  <c r="B327"/>
  <c r="A327"/>
  <c r="B326"/>
  <c r="A326"/>
  <c r="B325"/>
  <c r="A325"/>
  <c r="B324"/>
  <c r="A324"/>
  <c r="B323"/>
  <c r="A323"/>
  <c r="B322"/>
  <c r="A322"/>
  <c r="B321"/>
  <c r="A321"/>
  <c r="B320"/>
  <c r="A320"/>
  <c r="B319"/>
  <c r="A319"/>
  <c r="B318"/>
  <c r="A318"/>
  <c r="B317"/>
  <c r="A317"/>
  <c r="B316"/>
  <c r="A316"/>
  <c r="B315"/>
  <c r="A315"/>
  <c r="B314"/>
  <c r="A314"/>
  <c r="B313"/>
  <c r="A313"/>
  <c r="B312"/>
  <c r="A312"/>
  <c r="B311"/>
  <c r="A311"/>
  <c r="B310"/>
  <c r="A310"/>
  <c r="B309"/>
  <c r="A309"/>
  <c r="B308"/>
  <c r="A308"/>
  <c r="B307"/>
  <c r="A307"/>
  <c r="B306"/>
  <c r="A306"/>
  <c r="B305"/>
  <c r="A305"/>
  <c r="B304"/>
  <c r="A304"/>
  <c r="B303"/>
  <c r="A303"/>
  <c r="B302"/>
  <c r="A302"/>
  <c r="B301"/>
  <c r="A301"/>
  <c r="B300"/>
  <c r="A300"/>
  <c r="B299"/>
  <c r="A299"/>
  <c r="B298"/>
  <c r="A298"/>
  <c r="B297"/>
  <c r="A297"/>
  <c r="B296"/>
  <c r="A296"/>
  <c r="B295"/>
  <c r="A295"/>
  <c r="B294"/>
  <c r="A294"/>
  <c r="B293"/>
  <c r="A293"/>
  <c r="B292"/>
  <c r="A292"/>
  <c r="B291"/>
  <c r="A291"/>
  <c r="B290"/>
  <c r="A290"/>
  <c r="B289"/>
  <c r="A289"/>
  <c r="B288"/>
  <c r="A288"/>
  <c r="B287"/>
  <c r="A287"/>
  <c r="B286"/>
  <c r="A286"/>
  <c r="B285"/>
  <c r="A285"/>
  <c r="B284"/>
  <c r="A284"/>
  <c r="B283"/>
  <c r="A283"/>
  <c r="B282"/>
  <c r="A282"/>
  <c r="B281"/>
  <c r="A281"/>
  <c r="B280"/>
  <c r="A280"/>
  <c r="B279"/>
  <c r="A279"/>
  <c r="B278"/>
  <c r="A278"/>
  <c r="B277"/>
  <c r="A277"/>
  <c r="B276"/>
  <c r="A276"/>
  <c r="B275"/>
  <c r="A275"/>
  <c r="B274"/>
  <c r="A274"/>
  <c r="B273"/>
  <c r="A273"/>
  <c r="B272"/>
  <c r="A272"/>
  <c r="B271"/>
  <c r="A271"/>
  <c r="B270"/>
  <c r="A270"/>
  <c r="B269"/>
  <c r="A269"/>
  <c r="B268"/>
  <c r="A268"/>
  <c r="B267"/>
  <c r="A267"/>
  <c r="B266"/>
  <c r="A266"/>
  <c r="B265"/>
  <c r="A265"/>
  <c r="B264"/>
  <c r="A264"/>
  <c r="B263"/>
  <c r="A263"/>
  <c r="B262"/>
  <c r="A262"/>
  <c r="B261"/>
  <c r="A261"/>
  <c r="B260"/>
  <c r="A260"/>
  <c r="B259"/>
  <c r="A259"/>
  <c r="B258"/>
  <c r="A258"/>
  <c r="B257"/>
  <c r="A257"/>
  <c r="B256"/>
  <c r="A256"/>
  <c r="B255"/>
  <c r="A255"/>
  <c r="B254"/>
  <c r="A254"/>
  <c r="B253"/>
  <c r="A253"/>
  <c r="B252"/>
  <c r="A252"/>
  <c r="B251"/>
  <c r="A251"/>
  <c r="B250"/>
  <c r="A250"/>
  <c r="B249"/>
  <c r="A249"/>
  <c r="B248"/>
  <c r="A248"/>
  <c r="B247"/>
  <c r="A247"/>
  <c r="B246"/>
  <c r="A246"/>
  <c r="B245"/>
  <c r="A245"/>
  <c r="B244"/>
  <c r="A244"/>
  <c r="B243"/>
  <c r="A243"/>
  <c r="B242"/>
  <c r="A242"/>
  <c r="B241"/>
  <c r="A241"/>
  <c r="B240"/>
  <c r="A240"/>
  <c r="B239"/>
  <c r="A239"/>
  <c r="B238"/>
  <c r="A238"/>
  <c r="B237"/>
  <c r="A237"/>
  <c r="B236"/>
  <c r="A236"/>
  <c r="B235"/>
  <c r="A235"/>
  <c r="B234"/>
  <c r="A234"/>
  <c r="B233"/>
  <c r="A233"/>
  <c r="B232"/>
  <c r="A232"/>
  <c r="B231"/>
  <c r="A231"/>
  <c r="B230"/>
  <c r="A230"/>
  <c r="B229"/>
  <c r="A229"/>
  <c r="B228"/>
  <c r="A228"/>
  <c r="B227"/>
  <c r="A227"/>
  <c r="B226"/>
  <c r="A226"/>
  <c r="B225"/>
  <c r="A225"/>
  <c r="B224"/>
  <c r="A224"/>
  <c r="B223"/>
  <c r="A223"/>
  <c r="B222"/>
  <c r="A222"/>
  <c r="B221"/>
  <c r="A221"/>
  <c r="B220"/>
  <c r="A220"/>
  <c r="B219"/>
  <c r="A219"/>
  <c r="B218"/>
  <c r="A218"/>
  <c r="B217"/>
  <c r="A217"/>
  <c r="B216"/>
  <c r="A216"/>
  <c r="B215"/>
  <c r="A215"/>
  <c r="B214"/>
  <c r="A214"/>
  <c r="B213"/>
  <c r="A213"/>
  <c r="B212"/>
  <c r="A212"/>
  <c r="B211"/>
  <c r="A211"/>
  <c r="B210"/>
  <c r="A210"/>
  <c r="B209"/>
  <c r="A209"/>
  <c r="B208"/>
  <c r="A208"/>
  <c r="B207"/>
  <c r="A207"/>
  <c r="B206"/>
  <c r="A206"/>
  <c r="B205"/>
  <c r="A205"/>
  <c r="B204"/>
  <c r="A204"/>
  <c r="B203"/>
  <c r="A203"/>
  <c r="B202"/>
  <c r="A202"/>
  <c r="B201"/>
  <c r="A201"/>
  <c r="B200"/>
  <c r="A200"/>
  <c r="B199"/>
  <c r="A199"/>
  <c r="B198"/>
  <c r="A198"/>
  <c r="B197"/>
  <c r="A197"/>
  <c r="B196"/>
  <c r="A196"/>
  <c r="B195"/>
  <c r="A195"/>
  <c r="B194"/>
  <c r="A194"/>
  <c r="B193"/>
  <c r="A193"/>
  <c r="B192"/>
  <c r="A192"/>
  <c r="B191"/>
  <c r="A191"/>
  <c r="B190"/>
  <c r="A190"/>
  <c r="B189"/>
  <c r="A189"/>
  <c r="B188"/>
  <c r="A188"/>
  <c r="B187"/>
  <c r="A187"/>
  <c r="B186"/>
  <c r="A186"/>
  <c r="B185"/>
  <c r="A185"/>
  <c r="B184"/>
  <c r="A184"/>
  <c r="B183"/>
  <c r="A183"/>
  <c r="B182"/>
  <c r="A182"/>
  <c r="B181"/>
  <c r="A181"/>
  <c r="B180"/>
  <c r="A180"/>
  <c r="B179"/>
  <c r="A179"/>
  <c r="B178"/>
  <c r="A178"/>
  <c r="B177"/>
  <c r="A177"/>
  <c r="B176"/>
  <c r="A176"/>
  <c r="B175"/>
  <c r="A175"/>
  <c r="B174"/>
  <c r="A174"/>
  <c r="B173"/>
  <c r="A173"/>
  <c r="B172"/>
  <c r="A172"/>
  <c r="B171"/>
  <c r="A171"/>
  <c r="B170"/>
  <c r="A170"/>
  <c r="B169"/>
  <c r="A169"/>
  <c r="B168"/>
  <c r="A168"/>
  <c r="B167"/>
  <c r="A167"/>
  <c r="B166"/>
  <c r="A166"/>
  <c r="B165"/>
  <c r="A165"/>
  <c r="B164"/>
  <c r="A164"/>
  <c r="B163"/>
  <c r="A163"/>
  <c r="B162"/>
  <c r="A162"/>
  <c r="B161"/>
  <c r="A161"/>
  <c r="B160"/>
  <c r="A160"/>
  <c r="B159"/>
  <c r="A159"/>
  <c r="B158"/>
  <c r="A158"/>
  <c r="B157"/>
  <c r="A157"/>
  <c r="B156"/>
  <c r="A156"/>
  <c r="B155"/>
  <c r="A155"/>
  <c r="B154"/>
  <c r="A154"/>
  <c r="B153"/>
  <c r="A153"/>
  <c r="B152"/>
  <c r="A152"/>
  <c r="B151"/>
  <c r="A151"/>
  <c r="B150"/>
  <c r="A150"/>
  <c r="B149"/>
  <c r="A149"/>
  <c r="B148"/>
  <c r="A148"/>
  <c r="B147"/>
  <c r="A147"/>
  <c r="B146"/>
  <c r="A146"/>
  <c r="B145"/>
  <c r="A145"/>
  <c r="B144"/>
  <c r="A144"/>
  <c r="B143"/>
  <c r="A143"/>
  <c r="B142"/>
  <c r="A142"/>
  <c r="B141"/>
  <c r="A141"/>
  <c r="B140"/>
  <c r="A140"/>
  <c r="B139"/>
  <c r="A139"/>
  <c r="B138"/>
  <c r="A138"/>
  <c r="B137"/>
  <c r="A137"/>
  <c r="B136"/>
  <c r="A136"/>
  <c r="B135"/>
  <c r="A135"/>
  <c r="B134"/>
  <c r="A134"/>
  <c r="B133"/>
  <c r="A133"/>
  <c r="B132"/>
  <c r="A132"/>
  <c r="B131"/>
  <c r="A131"/>
  <c r="B130"/>
  <c r="A130"/>
  <c r="B129"/>
  <c r="A129"/>
  <c r="B128"/>
  <c r="A128"/>
  <c r="B127"/>
  <c r="A127"/>
  <c r="B126"/>
  <c r="A126"/>
  <c r="B125"/>
  <c r="A125"/>
  <c r="B124"/>
  <c r="A124"/>
  <c r="B123"/>
  <c r="A123"/>
  <c r="B122"/>
  <c r="A122"/>
  <c r="B121"/>
  <c r="A121"/>
  <c r="B120"/>
  <c r="A120"/>
  <c r="B119"/>
  <c r="A119"/>
  <c r="B118"/>
  <c r="A118"/>
  <c r="B117"/>
  <c r="A117"/>
  <c r="B116"/>
  <c r="A116"/>
  <c r="B115"/>
  <c r="A115"/>
  <c r="B114"/>
  <c r="A114"/>
  <c r="B113"/>
  <c r="A113"/>
  <c r="B112"/>
  <c r="A112"/>
  <c r="B111"/>
  <c r="A111"/>
  <c r="B110"/>
  <c r="A110"/>
  <c r="B109"/>
  <c r="A109"/>
  <c r="B108"/>
  <c r="A108"/>
  <c r="B107"/>
  <c r="A107"/>
  <c r="B106"/>
  <c r="A106"/>
  <c r="B105"/>
  <c r="A105"/>
  <c r="B104"/>
  <c r="A104"/>
  <c r="B103"/>
  <c r="A103"/>
  <c r="B102"/>
  <c r="A102"/>
  <c r="B101"/>
  <c r="A101"/>
  <c r="B100"/>
  <c r="A100"/>
  <c r="B99"/>
  <c r="A99"/>
  <c r="B98"/>
  <c r="A98"/>
  <c r="B97"/>
  <c r="A97"/>
  <c r="B96"/>
  <c r="A96"/>
  <c r="B95"/>
  <c r="A95"/>
  <c r="B94"/>
  <c r="A94"/>
  <c r="B93"/>
  <c r="A93"/>
  <c r="B92"/>
  <c r="A92"/>
  <c r="B91"/>
  <c r="A91"/>
  <c r="B90"/>
  <c r="A90"/>
  <c r="B89"/>
  <c r="A89"/>
  <c r="B88"/>
  <c r="A88"/>
  <c r="B87"/>
  <c r="A87"/>
  <c r="B86"/>
  <c r="A86"/>
  <c r="B85"/>
  <c r="A85"/>
  <c r="B84"/>
  <c r="A84"/>
  <c r="B83"/>
  <c r="A83"/>
  <c r="B82"/>
  <c r="A82"/>
  <c r="B81"/>
  <c r="A81"/>
  <c r="B80"/>
  <c r="A80"/>
  <c r="B79"/>
  <c r="A79"/>
  <c r="B78"/>
  <c r="A78"/>
  <c r="B77"/>
  <c r="A77"/>
  <c r="B76"/>
  <c r="A76"/>
  <c r="B75"/>
  <c r="A75"/>
  <c r="B74"/>
  <c r="A74"/>
  <c r="B73"/>
  <c r="A73"/>
  <c r="B72"/>
  <c r="A72"/>
  <c r="B71"/>
  <c r="A71"/>
  <c r="B70"/>
  <c r="A70"/>
  <c r="B69"/>
  <c r="A69"/>
  <c r="B68"/>
  <c r="A68"/>
  <c r="B67"/>
  <c r="A67"/>
  <c r="B66"/>
  <c r="A66"/>
  <c r="B65"/>
  <c r="A65"/>
  <c r="B64"/>
  <c r="A64"/>
  <c r="B63"/>
  <c r="A63"/>
  <c r="B62"/>
  <c r="A62"/>
  <c r="B61"/>
  <c r="A61"/>
  <c r="B60"/>
  <c r="A60"/>
  <c r="B59"/>
  <c r="A59"/>
  <c r="B58"/>
  <c r="A58"/>
  <c r="B57"/>
  <c r="A57"/>
  <c r="B56"/>
  <c r="A56"/>
  <c r="B55"/>
  <c r="A55"/>
  <c r="B54"/>
  <c r="A54"/>
  <c r="B53"/>
  <c r="A53"/>
  <c r="B52"/>
  <c r="A52"/>
  <c r="B51"/>
  <c r="A51"/>
  <c r="B50"/>
  <c r="A50"/>
  <c r="B49"/>
  <c r="A49"/>
  <c r="B48"/>
  <c r="A48"/>
  <c r="B47"/>
  <c r="A47"/>
  <c r="B46"/>
  <c r="A46"/>
  <c r="B45"/>
  <c r="A45"/>
  <c r="B44"/>
  <c r="A44"/>
  <c r="B43"/>
  <c r="A43"/>
  <c r="B42"/>
  <c r="A42"/>
  <c r="B41"/>
  <c r="A41"/>
  <c r="B40"/>
  <c r="A40"/>
  <c r="B39"/>
  <c r="A39"/>
  <c r="B38"/>
  <c r="A38"/>
  <c r="B37"/>
  <c r="A37"/>
  <c r="B36"/>
  <c r="A36"/>
  <c r="B35"/>
  <c r="A35"/>
  <c r="B34"/>
  <c r="A34"/>
  <c r="B33"/>
  <c r="A33"/>
  <c r="B32"/>
  <c r="A32"/>
  <c r="B31"/>
  <c r="A31"/>
  <c r="B30"/>
  <c r="A30"/>
  <c r="B29"/>
  <c r="A29"/>
  <c r="B28"/>
  <c r="A28"/>
  <c r="B27"/>
  <c r="A27"/>
  <c r="B26"/>
  <c r="A26"/>
  <c r="B25"/>
  <c r="A25"/>
  <c r="B24"/>
  <c r="A24"/>
  <c r="B23"/>
  <c r="A23"/>
  <c r="B22"/>
  <c r="A22"/>
  <c r="B21"/>
  <c r="A21"/>
  <c r="B20"/>
  <c r="A20"/>
  <c r="B19"/>
  <c r="A19"/>
  <c r="B18"/>
  <c r="A18"/>
  <c r="B17"/>
  <c r="A17"/>
  <c r="B16"/>
  <c r="A16"/>
  <c r="C15"/>
  <c r="B15"/>
  <c r="A15"/>
  <c r="B14"/>
  <c r="A14"/>
  <c r="B13"/>
  <c r="A13"/>
  <c r="C12"/>
  <c r="B12"/>
  <c r="A12"/>
  <c r="C11"/>
  <c r="B11"/>
  <c r="A11"/>
  <c r="B10"/>
  <c r="A10"/>
  <c r="C9"/>
  <c r="B9"/>
  <c r="A9"/>
  <c r="C8"/>
  <c r="B8"/>
  <c r="A8"/>
  <c r="B7"/>
  <c r="A7"/>
  <c r="B6"/>
  <c r="A6"/>
  <c r="B5"/>
  <c r="A5"/>
  <c r="AW1000" i="2"/>
  <c r="AW999"/>
  <c r="AW998"/>
  <c r="AW997"/>
  <c r="AW996"/>
  <c r="AW995"/>
  <c r="AW994"/>
  <c r="AW993"/>
  <c r="AW992"/>
  <c r="AW991"/>
  <c r="AW990"/>
  <c r="AW989"/>
  <c r="AW988"/>
  <c r="AW987"/>
  <c r="AW986"/>
  <c r="AW985"/>
  <c r="AW984"/>
  <c r="AW983"/>
  <c r="AW982"/>
  <c r="AW981"/>
  <c r="AW980"/>
  <c r="AW979"/>
  <c r="AW978"/>
  <c r="AW977"/>
  <c r="AW976"/>
  <c r="AW975"/>
  <c r="AW974"/>
  <c r="AW973"/>
  <c r="AW972"/>
  <c r="AW971"/>
  <c r="AW970"/>
  <c r="AW969"/>
  <c r="AW968"/>
  <c r="AW967"/>
  <c r="AW966"/>
  <c r="AW965"/>
  <c r="AW964"/>
  <c r="AW963"/>
  <c r="AW962"/>
  <c r="AW961"/>
  <c r="AW960"/>
  <c r="AW959"/>
  <c r="AW958"/>
  <c r="AW957"/>
  <c r="AW956"/>
  <c r="AW955"/>
  <c r="AW954"/>
  <c r="AW953"/>
  <c r="AW952"/>
  <c r="AW951"/>
  <c r="AW950"/>
  <c r="AW949"/>
  <c r="AW948"/>
  <c r="AW947"/>
  <c r="AW946"/>
  <c r="AW945"/>
  <c r="AW944"/>
  <c r="AW943"/>
  <c r="AW942"/>
  <c r="AW941"/>
  <c r="AW940"/>
  <c r="AW939"/>
  <c r="AW938"/>
  <c r="AW937"/>
  <c r="AW936"/>
  <c r="AW935"/>
  <c r="AW934"/>
  <c r="AW933"/>
  <c r="AW932"/>
  <c r="AW931"/>
  <c r="AW930"/>
  <c r="AW929"/>
  <c r="AW928"/>
  <c r="AW927"/>
  <c r="AW926"/>
  <c r="AW925"/>
  <c r="AW924"/>
  <c r="AW923"/>
  <c r="AW922"/>
  <c r="AW921"/>
  <c r="AW920"/>
  <c r="AW919"/>
  <c r="AW918"/>
  <c r="AW917"/>
  <c r="AW916"/>
  <c r="AW915"/>
  <c r="AW914"/>
  <c r="AW913"/>
  <c r="AW912"/>
  <c r="AW911"/>
  <c r="AW910"/>
  <c r="AW909"/>
  <c r="AW908"/>
  <c r="AW907"/>
  <c r="AW906"/>
  <c r="AW905"/>
  <c r="AW904"/>
  <c r="AW903"/>
  <c r="AW902"/>
  <c r="AW901"/>
  <c r="AW900"/>
  <c r="AW899"/>
  <c r="AW898"/>
  <c r="AW897"/>
  <c r="AW896"/>
  <c r="AW895"/>
  <c r="AW894"/>
  <c r="AW893"/>
  <c r="AW892"/>
  <c r="AW891"/>
  <c r="AW890"/>
  <c r="AW889"/>
  <c r="AW888"/>
  <c r="AW887"/>
  <c r="AW886"/>
  <c r="AW885"/>
  <c r="AW884"/>
  <c r="AW883"/>
  <c r="AW882"/>
  <c r="AW881"/>
  <c r="AW880"/>
  <c r="AW879"/>
  <c r="AW878"/>
  <c r="AW877"/>
  <c r="AW876"/>
  <c r="AW875"/>
  <c r="AW874"/>
  <c r="AW873"/>
  <c r="AW872"/>
  <c r="AW871"/>
  <c r="AW870"/>
  <c r="AW869"/>
  <c r="AW868"/>
  <c r="AW867"/>
  <c r="AW866"/>
  <c r="AW865"/>
  <c r="AW864"/>
  <c r="AW863"/>
  <c r="AW862"/>
  <c r="AW861"/>
  <c r="AW860"/>
  <c r="AW859"/>
  <c r="AW858"/>
  <c r="AW857"/>
  <c r="AW856"/>
  <c r="AW855"/>
  <c r="AW854"/>
  <c r="AW853"/>
  <c r="AW852"/>
  <c r="AW851"/>
  <c r="AW850"/>
  <c r="AW849"/>
  <c r="AW848"/>
  <c r="AW847"/>
  <c r="AW846"/>
  <c r="AW845"/>
  <c r="AW844"/>
  <c r="AW843"/>
  <c r="AW842"/>
  <c r="AW841"/>
  <c r="AW840"/>
  <c r="AW839"/>
  <c r="AW838"/>
  <c r="AW837"/>
  <c r="AW836"/>
  <c r="AW835"/>
  <c r="AW834"/>
  <c r="AW833"/>
  <c r="AW832"/>
  <c r="AW831"/>
  <c r="AW830"/>
  <c r="AW829"/>
  <c r="AW828"/>
  <c r="AW827"/>
  <c r="AW826"/>
  <c r="AW825"/>
  <c r="AW824"/>
  <c r="AW823"/>
  <c r="AW822"/>
  <c r="AW821"/>
  <c r="AW820"/>
  <c r="AW819"/>
  <c r="AW818"/>
  <c r="AW817"/>
  <c r="AW816"/>
  <c r="AW815"/>
  <c r="AW814"/>
  <c r="AW813"/>
  <c r="AW812"/>
  <c r="AW811"/>
  <c r="AW810"/>
  <c r="AW809"/>
  <c r="AW808"/>
  <c r="AW807"/>
  <c r="AW806"/>
  <c r="AW805"/>
  <c r="AW804"/>
  <c r="AW803"/>
  <c r="AW802"/>
  <c r="AW801"/>
  <c r="AW800"/>
  <c r="AW799"/>
  <c r="AW798"/>
  <c r="AW797"/>
  <c r="AW796"/>
  <c r="AW795"/>
  <c r="AW794"/>
  <c r="AW793"/>
  <c r="AW792"/>
  <c r="AW791"/>
  <c r="AW790"/>
  <c r="AW789"/>
  <c r="AW788"/>
  <c r="AW787"/>
  <c r="AW786"/>
  <c r="AW785"/>
  <c r="AW784"/>
  <c r="AW783"/>
  <c r="AW782"/>
  <c r="AW781"/>
  <c r="AW780"/>
  <c r="AW779"/>
  <c r="AW778"/>
  <c r="AW777"/>
  <c r="AW776"/>
  <c r="AW775"/>
  <c r="AW774"/>
  <c r="AW773"/>
  <c r="AW772"/>
  <c r="AW771"/>
  <c r="AW770"/>
  <c r="AW769"/>
  <c r="AW768"/>
  <c r="AW767"/>
  <c r="AW766"/>
  <c r="AW765"/>
  <c r="AW764"/>
  <c r="AW763"/>
  <c r="AW762"/>
  <c r="AW761"/>
  <c r="AW760"/>
  <c r="AW759"/>
  <c r="AW758"/>
  <c r="AW757"/>
  <c r="AW756"/>
  <c r="AW755"/>
  <c r="AW754"/>
  <c r="AW753"/>
  <c r="AW752"/>
  <c r="AW751"/>
  <c r="AW750"/>
  <c r="AW749"/>
  <c r="AW748"/>
  <c r="AW747"/>
  <c r="AW746"/>
  <c r="AW745"/>
  <c r="AW744"/>
  <c r="AW743"/>
  <c r="AW742"/>
  <c r="AW741"/>
  <c r="AW740"/>
  <c r="AW739"/>
  <c r="AW738"/>
  <c r="AW737"/>
  <c r="AW736"/>
  <c r="AW735"/>
  <c r="AW734"/>
  <c r="AW733"/>
  <c r="AW732"/>
  <c r="AW731"/>
  <c r="AW730"/>
  <c r="AW729"/>
  <c r="AW728"/>
  <c r="AW727"/>
  <c r="AW726"/>
  <c r="AW725"/>
  <c r="AW724"/>
  <c r="AW723"/>
  <c r="AW722"/>
  <c r="AW721"/>
  <c r="AW720"/>
  <c r="AW719"/>
  <c r="AW718"/>
  <c r="AW717"/>
  <c r="AW716"/>
  <c r="AW715"/>
  <c r="AW714"/>
  <c r="AW713"/>
  <c r="AW712"/>
  <c r="AW711"/>
  <c r="AW710"/>
  <c r="AW709"/>
  <c r="AW708"/>
  <c r="AW707"/>
  <c r="AW706"/>
  <c r="AW705"/>
  <c r="AW704"/>
  <c r="AW703"/>
  <c r="AW702"/>
  <c r="AW701"/>
  <c r="AW700"/>
  <c r="AW699"/>
  <c r="AW698"/>
  <c r="AW697"/>
  <c r="AW696"/>
  <c r="AW695"/>
  <c r="AW694"/>
  <c r="AW693"/>
  <c r="AW692"/>
  <c r="AW691"/>
  <c r="AW690"/>
  <c r="AW689"/>
  <c r="AW688"/>
  <c r="AW687"/>
  <c r="AW686"/>
  <c r="AW685"/>
  <c r="AW684"/>
  <c r="AW683"/>
  <c r="AW682"/>
  <c r="AW681"/>
  <c r="AW680"/>
  <c r="AW679"/>
  <c r="AW678"/>
  <c r="AW677"/>
  <c r="AW676"/>
  <c r="AW675"/>
  <c r="AW674"/>
  <c r="AW673"/>
  <c r="AW672"/>
  <c r="AW671"/>
  <c r="AW670"/>
  <c r="AW669"/>
  <c r="AW668"/>
  <c r="AW667"/>
  <c r="AW666"/>
  <c r="AW665"/>
  <c r="AW664"/>
  <c r="AW663"/>
  <c r="AW662"/>
  <c r="AW661"/>
  <c r="AW660"/>
  <c r="AW659"/>
  <c r="AW658"/>
  <c r="AW657"/>
  <c r="AW656"/>
  <c r="AW655"/>
  <c r="AW654"/>
  <c r="AW653"/>
  <c r="AW652"/>
  <c r="AW651"/>
  <c r="AW650"/>
  <c r="AW649"/>
  <c r="AW648"/>
  <c r="AW647"/>
  <c r="AW646"/>
  <c r="AW645"/>
  <c r="AW644"/>
  <c r="AW643"/>
  <c r="AW642"/>
  <c r="AW641"/>
  <c r="AW640"/>
  <c r="AW639"/>
  <c r="AW638"/>
  <c r="AW637"/>
  <c r="AW636"/>
  <c r="AW635"/>
  <c r="AW634"/>
  <c r="AW633"/>
  <c r="AW632"/>
  <c r="AW631"/>
  <c r="AW630"/>
  <c r="AW629"/>
  <c r="AW628"/>
  <c r="AW627"/>
  <c r="AW626"/>
  <c r="AW625"/>
  <c r="AW624"/>
  <c r="AW623"/>
  <c r="AW622"/>
  <c r="AW621"/>
  <c r="AW620"/>
  <c r="AW619"/>
  <c r="AW618"/>
  <c r="AW617"/>
  <c r="AW616"/>
  <c r="AW615"/>
  <c r="AW614"/>
  <c r="AW613"/>
  <c r="AW612"/>
  <c r="AW611"/>
  <c r="AW610"/>
  <c r="AW609"/>
  <c r="AW608"/>
  <c r="AW607"/>
  <c r="AW606"/>
  <c r="AW605"/>
  <c r="AW604"/>
  <c r="AW603"/>
  <c r="AW602"/>
  <c r="AW601"/>
  <c r="AW600"/>
  <c r="AW599"/>
  <c r="AW598"/>
  <c r="AW597"/>
  <c r="AW596"/>
  <c r="AW595"/>
  <c r="AW594"/>
  <c r="AW593"/>
  <c r="AW592"/>
  <c r="AW591"/>
  <c r="AW590"/>
  <c r="AW589"/>
  <c r="AW588"/>
  <c r="AW587"/>
  <c r="AW586"/>
  <c r="AW585"/>
  <c r="AW584"/>
  <c r="AW583"/>
  <c r="AW582"/>
  <c r="AW581"/>
  <c r="AW580"/>
  <c r="AW579"/>
  <c r="AW578"/>
  <c r="AW577"/>
  <c r="AW576"/>
  <c r="AW575"/>
  <c r="AW574"/>
  <c r="AW573"/>
  <c r="AW572"/>
  <c r="AW571"/>
  <c r="AW570"/>
  <c r="AW569"/>
  <c r="AW568"/>
  <c r="AW567"/>
  <c r="AW566"/>
  <c r="AW565"/>
  <c r="AW564"/>
  <c r="AW563"/>
  <c r="AW562"/>
  <c r="AW561"/>
  <c r="AW560"/>
  <c r="AW559"/>
  <c r="AW558"/>
  <c r="AW557"/>
  <c r="AW556"/>
  <c r="AW555"/>
  <c r="AW554"/>
  <c r="AW553"/>
  <c r="AW552"/>
  <c r="AW551"/>
  <c r="AW550"/>
  <c r="AW549"/>
  <c r="AW548"/>
  <c r="AW547"/>
  <c r="AW546"/>
  <c r="AW545"/>
  <c r="AW544"/>
  <c r="AW543"/>
  <c r="AW542"/>
  <c r="AW541"/>
  <c r="AW540"/>
  <c r="AW539"/>
  <c r="AW538"/>
  <c r="AW537"/>
  <c r="AW536"/>
  <c r="AW535"/>
  <c r="AW534"/>
  <c r="AW533"/>
  <c r="AW532"/>
  <c r="AW531"/>
  <c r="AW530"/>
  <c r="AW529"/>
  <c r="AW528"/>
  <c r="AW527"/>
  <c r="AW526"/>
  <c r="AW525"/>
  <c r="AW524"/>
  <c r="AW523"/>
  <c r="AW522"/>
  <c r="AW521"/>
  <c r="AW520"/>
  <c r="AW519"/>
  <c r="AW518"/>
  <c r="AW517"/>
  <c r="AW516"/>
  <c r="AW515"/>
  <c r="AW514"/>
  <c r="AW513"/>
  <c r="AW512"/>
  <c r="AW511"/>
  <c r="AW510"/>
  <c r="AW509"/>
  <c r="AW508"/>
  <c r="AW507"/>
  <c r="AW506"/>
  <c r="AW505"/>
  <c r="AW504"/>
  <c r="AW503"/>
  <c r="AW502"/>
  <c r="AW501"/>
  <c r="AW500"/>
  <c r="AW499"/>
  <c r="AW498"/>
  <c r="AW497"/>
  <c r="AW496"/>
  <c r="AW495"/>
  <c r="AW494"/>
  <c r="AW493"/>
  <c r="AW492"/>
  <c r="AW491"/>
  <c r="AW490"/>
  <c r="AW489"/>
  <c r="AW488"/>
  <c r="AW487"/>
  <c r="AW486"/>
  <c r="AW485"/>
  <c r="AW484"/>
  <c r="AW483"/>
  <c r="AW482"/>
  <c r="AW481"/>
  <c r="AW480"/>
  <c r="AW479"/>
  <c r="AW478"/>
  <c r="AW477"/>
  <c r="AW476"/>
  <c r="AW475"/>
  <c r="AW474"/>
  <c r="AW473"/>
  <c r="AW472"/>
  <c r="AW471"/>
  <c r="AW470"/>
  <c r="AW469"/>
  <c r="AW468"/>
  <c r="AW467"/>
  <c r="AW466"/>
  <c r="AW465"/>
  <c r="AW464"/>
  <c r="AW463"/>
  <c r="AW462"/>
  <c r="AW461"/>
  <c r="AW460"/>
  <c r="AW459"/>
  <c r="AW458"/>
  <c r="AW457"/>
  <c r="AW456"/>
  <c r="AW455"/>
  <c r="AW454"/>
  <c r="AW453"/>
  <c r="AW452"/>
  <c r="AW451"/>
  <c r="AW450"/>
  <c r="AW449"/>
  <c r="AW448"/>
  <c r="AW447"/>
  <c r="AW446"/>
  <c r="AW445"/>
  <c r="AW444"/>
  <c r="AW443"/>
  <c r="AW442"/>
  <c r="AW441"/>
  <c r="AW440"/>
  <c r="AW439"/>
  <c r="AW438"/>
  <c r="AW437"/>
  <c r="AW436"/>
  <c r="AW435"/>
  <c r="AW434"/>
  <c r="AW433"/>
  <c r="AW432"/>
  <c r="AW431"/>
  <c r="AW430"/>
  <c r="AW429"/>
  <c r="AW428"/>
  <c r="AW427"/>
  <c r="AW426"/>
  <c r="AW425"/>
  <c r="AW424"/>
  <c r="AW423"/>
  <c r="AW422"/>
  <c r="AW421"/>
  <c r="AW420"/>
  <c r="AW419"/>
  <c r="AW418"/>
  <c r="AW417"/>
  <c r="AW416"/>
  <c r="AW415"/>
  <c r="AW414"/>
  <c r="AW413"/>
  <c r="AW412"/>
  <c r="AW411"/>
  <c r="AW410"/>
  <c r="AW409"/>
  <c r="AW408"/>
  <c r="AW407"/>
  <c r="AW406"/>
  <c r="AW405"/>
  <c r="AW404"/>
  <c r="AW403"/>
  <c r="AW402"/>
  <c r="AW401"/>
  <c r="AW400"/>
  <c r="AW399"/>
  <c r="AW398"/>
  <c r="AW397"/>
  <c r="AW396"/>
  <c r="AW395"/>
  <c r="AW394"/>
  <c r="AW393"/>
  <c r="AW392"/>
  <c r="AW391"/>
  <c r="AW390"/>
  <c r="AW389"/>
  <c r="AW388"/>
  <c r="AW387"/>
  <c r="AW386"/>
  <c r="AW385"/>
  <c r="AW384"/>
  <c r="AW383"/>
  <c r="AW382"/>
  <c r="AW381"/>
  <c r="AW380"/>
  <c r="AW379"/>
  <c r="AW378"/>
  <c r="AW377"/>
  <c r="AW376"/>
  <c r="AW375"/>
  <c r="AW374"/>
  <c r="AW373"/>
  <c r="AW372"/>
  <c r="AW371"/>
  <c r="AW370"/>
  <c r="AW369"/>
  <c r="AW368"/>
  <c r="AW367"/>
  <c r="AW366"/>
  <c r="AW365"/>
  <c r="AW364"/>
  <c r="AW363"/>
  <c r="AW362"/>
  <c r="AW361"/>
  <c r="AW360"/>
  <c r="AW359"/>
  <c r="AW358"/>
  <c r="AW357"/>
  <c r="AW356"/>
  <c r="AW355"/>
  <c r="AW354"/>
  <c r="AW353"/>
  <c r="AW352"/>
  <c r="AW351"/>
  <c r="AW350"/>
  <c r="AW349"/>
  <c r="AW348"/>
  <c r="AW347"/>
  <c r="AW346"/>
  <c r="AW345"/>
  <c r="AW344"/>
  <c r="AW343"/>
  <c r="AW342"/>
  <c r="AW341"/>
  <c r="AW340"/>
  <c r="AW339"/>
  <c r="AW338"/>
  <c r="AW337"/>
  <c r="AW336"/>
  <c r="AW335"/>
  <c r="AW334"/>
  <c r="AW333"/>
  <c r="AW332"/>
  <c r="AW331"/>
  <c r="AW330"/>
  <c r="AW329"/>
  <c r="AW328"/>
  <c r="AW327"/>
  <c r="AW326"/>
  <c r="AW325"/>
  <c r="AW324"/>
  <c r="AW323"/>
  <c r="AW322"/>
  <c r="AW321"/>
  <c r="AW320"/>
  <c r="AW319"/>
  <c r="AW318"/>
  <c r="AW317"/>
  <c r="AW316"/>
  <c r="AW315"/>
  <c r="AW314"/>
  <c r="AW313"/>
  <c r="AW312"/>
  <c r="AW311"/>
  <c r="AW310"/>
  <c r="AW309"/>
  <c r="AW308"/>
  <c r="AW307"/>
  <c r="AW306"/>
  <c r="AW305"/>
  <c r="AW304"/>
  <c r="AW303"/>
  <c r="AW302"/>
  <c r="AW301"/>
  <c r="AW300"/>
  <c r="AW299"/>
  <c r="AW298"/>
  <c r="AW297"/>
  <c r="AW296"/>
  <c r="AW295"/>
  <c r="AW294"/>
  <c r="AW293"/>
  <c r="AW292"/>
  <c r="AW291"/>
  <c r="AW290"/>
  <c r="AW289"/>
  <c r="AW288"/>
  <c r="AW287"/>
  <c r="AW286"/>
  <c r="AW285"/>
  <c r="AW284"/>
  <c r="AW283"/>
  <c r="AW282"/>
  <c r="AW281"/>
  <c r="AW280"/>
  <c r="AW279"/>
  <c r="AW278"/>
  <c r="AW277"/>
  <c r="AW276"/>
  <c r="AW275"/>
  <c r="AW274"/>
  <c r="AW273"/>
  <c r="AW272"/>
  <c r="AW271"/>
  <c r="AW270"/>
  <c r="AW269"/>
  <c r="AW268"/>
  <c r="AW267"/>
  <c r="AW266"/>
  <c r="AW265"/>
  <c r="AW264"/>
  <c r="AW263"/>
  <c r="AW262"/>
  <c r="AW261"/>
  <c r="AW260"/>
  <c r="AW259"/>
  <c r="AW258"/>
  <c r="AW257"/>
  <c r="AW256"/>
  <c r="AW255"/>
  <c r="AW254"/>
  <c r="AW253"/>
  <c r="AW252"/>
  <c r="AW251"/>
  <c r="AW250"/>
  <c r="AW249"/>
  <c r="AW248"/>
  <c r="AW247"/>
  <c r="AW246"/>
  <c r="AW245"/>
  <c r="AW244"/>
  <c r="AW243"/>
  <c r="AW242"/>
  <c r="AW241"/>
  <c r="AW240"/>
  <c r="AW239"/>
  <c r="AW238"/>
  <c r="AW237"/>
  <c r="AW236"/>
  <c r="AW235"/>
  <c r="AW234"/>
  <c r="AW233"/>
  <c r="AW232"/>
  <c r="AW231"/>
  <c r="AW230"/>
  <c r="AW229"/>
  <c r="AW228"/>
  <c r="AW227"/>
  <c r="AW226"/>
  <c r="AW225"/>
  <c r="AW224"/>
  <c r="AW223"/>
  <c r="AW222"/>
  <c r="AW221"/>
  <c r="AW220"/>
  <c r="AW219"/>
  <c r="AW218"/>
  <c r="AW217"/>
  <c r="AW216"/>
  <c r="AW215"/>
  <c r="AW214"/>
  <c r="AW213"/>
  <c r="AW212"/>
  <c r="AW211"/>
  <c r="AW210"/>
  <c r="AW209"/>
  <c r="AW208"/>
  <c r="AW207"/>
  <c r="AW206"/>
  <c r="AW205"/>
  <c r="AW204"/>
  <c r="AW203"/>
  <c r="AW202"/>
  <c r="AW201"/>
  <c r="AW200"/>
  <c r="AW199"/>
  <c r="AW198"/>
  <c r="AW197"/>
  <c r="AW196"/>
  <c r="AW195"/>
  <c r="AW194"/>
  <c r="AW193"/>
  <c r="AW192"/>
  <c r="AW191"/>
  <c r="AW190"/>
  <c r="AW189"/>
  <c r="AW188"/>
  <c r="AW187"/>
  <c r="AW186"/>
  <c r="AW185"/>
  <c r="AW184"/>
  <c r="AW183"/>
  <c r="AW182"/>
  <c r="AW181"/>
  <c r="AW180"/>
  <c r="AW179"/>
  <c r="AW178"/>
  <c r="AW177"/>
  <c r="AW176"/>
  <c r="AW175"/>
  <c r="AW174"/>
  <c r="AW173"/>
  <c r="AW172"/>
  <c r="AW171"/>
  <c r="AW170"/>
  <c r="AW169"/>
  <c r="AW168"/>
  <c r="AW167"/>
  <c r="AW166"/>
  <c r="AW165"/>
  <c r="AW164"/>
  <c r="AW163"/>
  <c r="AW162"/>
  <c r="AW161"/>
  <c r="AW160"/>
  <c r="AW159"/>
  <c r="AW158"/>
  <c r="AW157"/>
  <c r="AW156"/>
  <c r="AW155"/>
  <c r="AW154"/>
  <c r="AW153"/>
  <c r="AW152"/>
  <c r="AW151"/>
  <c r="AW150"/>
  <c r="AW149"/>
  <c r="AW148"/>
  <c r="AW147"/>
  <c r="AW146"/>
  <c r="AW145"/>
  <c r="AW144"/>
  <c r="AW143"/>
  <c r="AW142"/>
  <c r="AW141"/>
  <c r="AW140"/>
  <c r="AW139"/>
  <c r="AW138"/>
  <c r="AW137"/>
  <c r="AW136"/>
  <c r="AW135"/>
  <c r="AW134"/>
  <c r="AW133"/>
  <c r="AW132"/>
  <c r="AW131"/>
  <c r="AW130"/>
  <c r="AW129"/>
  <c r="AW128"/>
  <c r="AW127"/>
  <c r="AW126"/>
  <c r="AW125"/>
  <c r="AW124"/>
  <c r="AW123"/>
  <c r="AW122"/>
  <c r="AW121"/>
  <c r="AW120"/>
  <c r="AW119"/>
  <c r="AW118"/>
  <c r="AW117"/>
  <c r="AW116"/>
  <c r="AW115"/>
  <c r="AW114"/>
  <c r="AW113"/>
  <c r="AW112"/>
  <c r="AW111"/>
  <c r="AW110"/>
  <c r="AW109"/>
  <c r="AW108"/>
  <c r="AW107"/>
  <c r="AW106"/>
  <c r="AW105"/>
  <c r="AW104"/>
  <c r="AW103"/>
  <c r="AW102"/>
  <c r="AW101"/>
  <c r="AW100"/>
  <c r="AW99"/>
  <c r="AW98"/>
  <c r="AW97"/>
  <c r="AW96"/>
  <c r="AW95"/>
  <c r="AW94"/>
  <c r="AW93"/>
  <c r="AW92"/>
  <c r="AW91"/>
  <c r="AW90"/>
  <c r="AW89"/>
  <c r="AW88"/>
  <c r="AW87"/>
  <c r="AW86"/>
  <c r="AW85"/>
  <c r="AW84"/>
  <c r="AW83"/>
  <c r="AW82"/>
  <c r="AW81"/>
  <c r="AW80"/>
  <c r="AW79"/>
  <c r="AW78"/>
  <c r="AW77"/>
  <c r="AW76"/>
  <c r="AW75"/>
  <c r="AW74"/>
  <c r="AW73"/>
  <c r="AW72"/>
  <c r="AW71"/>
  <c r="AW70"/>
  <c r="AW69"/>
  <c r="AW68"/>
  <c r="AW67"/>
  <c r="AW66"/>
  <c r="AW65"/>
  <c r="AW64"/>
  <c r="AW63"/>
  <c r="AW62"/>
  <c r="AW61"/>
  <c r="AW60"/>
  <c r="AW59"/>
  <c r="AW58"/>
  <c r="AW57"/>
  <c r="AW56"/>
  <c r="AW55"/>
  <c r="AW54"/>
  <c r="AW53"/>
  <c r="AW52"/>
  <c r="AW51"/>
  <c r="AW50"/>
  <c r="AW49"/>
  <c r="AW48"/>
  <c r="AW47"/>
  <c r="AW46"/>
  <c r="AW45"/>
  <c r="AW44"/>
  <c r="AW43"/>
  <c r="AW42"/>
  <c r="AW41"/>
  <c r="AW40"/>
  <c r="AW39"/>
  <c r="AW38"/>
  <c r="AW37"/>
  <c r="AW36"/>
  <c r="AW35"/>
  <c r="AW34"/>
  <c r="AW33"/>
  <c r="AW32"/>
  <c r="AW31"/>
  <c r="AW30"/>
  <c r="AW29"/>
  <c r="AW28"/>
  <c r="AW27"/>
  <c r="AW26"/>
  <c r="AW25"/>
  <c r="AW24"/>
  <c r="AW23"/>
  <c r="AW22"/>
  <c r="AW21"/>
  <c r="AW20"/>
  <c r="AW19"/>
  <c r="AW18"/>
  <c r="AW17"/>
  <c r="AW16"/>
  <c r="AW15"/>
  <c r="AW14"/>
  <c r="AW13"/>
  <c r="AW12"/>
  <c r="AW11"/>
  <c r="AW10"/>
  <c r="AW9"/>
  <c r="AW8"/>
  <c r="AW7"/>
  <c r="AW6"/>
  <c r="AW5"/>
  <c r="O1000"/>
  <c r="O1000" i="1" s="1"/>
  <c r="N1000" i="2"/>
  <c r="N1000" i="1" s="1"/>
  <c r="M1000" i="2"/>
  <c r="M1000" i="1" s="1"/>
  <c r="L1000" i="2"/>
  <c r="K1000"/>
  <c r="K1000" i="1" s="1"/>
  <c r="J1000" i="2"/>
  <c r="J1000" i="1" s="1"/>
  <c r="I1000" i="2"/>
  <c r="I1000" i="1" s="1"/>
  <c r="H1000" i="2"/>
  <c r="H1000" i="1" s="1"/>
  <c r="G1000" i="2"/>
  <c r="G1000" i="1" s="1"/>
  <c r="F1000" i="2"/>
  <c r="F1000" i="1" s="1"/>
  <c r="E1000" i="2"/>
  <c r="E1000" i="1" s="1"/>
  <c r="D1000" i="2"/>
  <c r="D1000" i="1" s="1"/>
  <c r="C1000" i="2"/>
  <c r="C1000" i="1" s="1"/>
  <c r="O999" i="2"/>
  <c r="O999" i="1" s="1"/>
  <c r="N999" i="2"/>
  <c r="N999" i="1" s="1"/>
  <c r="M999" i="2"/>
  <c r="M999" i="1" s="1"/>
  <c r="L999" i="2"/>
  <c r="K999"/>
  <c r="K999" i="1" s="1"/>
  <c r="J999" i="2"/>
  <c r="J999" i="1" s="1"/>
  <c r="I999" i="2"/>
  <c r="I999" i="1" s="1"/>
  <c r="H999" i="2"/>
  <c r="H999" i="1" s="1"/>
  <c r="G999" i="2"/>
  <c r="G999" i="1" s="1"/>
  <c r="F999" i="2"/>
  <c r="F999" i="1" s="1"/>
  <c r="E999" i="2"/>
  <c r="E999" i="1" s="1"/>
  <c r="D999" i="2"/>
  <c r="D999" i="1" s="1"/>
  <c r="C999" i="2"/>
  <c r="C999" i="1" s="1"/>
  <c r="O998" i="2"/>
  <c r="O998" i="1" s="1"/>
  <c r="N998" i="2"/>
  <c r="N998" i="1" s="1"/>
  <c r="M998" i="2"/>
  <c r="M998" i="1" s="1"/>
  <c r="L998" i="2"/>
  <c r="K998"/>
  <c r="K998" i="1" s="1"/>
  <c r="J998" i="2"/>
  <c r="J998" i="1" s="1"/>
  <c r="I998" i="2"/>
  <c r="I998" i="1" s="1"/>
  <c r="H998" i="2"/>
  <c r="H998" i="1" s="1"/>
  <c r="G998" i="2"/>
  <c r="G998" i="1" s="1"/>
  <c r="F998" i="2"/>
  <c r="F998" i="1" s="1"/>
  <c r="E998" i="2"/>
  <c r="E998" i="1" s="1"/>
  <c r="D998" i="2"/>
  <c r="D998" i="1" s="1"/>
  <c r="C998" i="2"/>
  <c r="C998" i="1" s="1"/>
  <c r="O997" i="2"/>
  <c r="O997" i="1" s="1"/>
  <c r="N997" i="2"/>
  <c r="N997" i="1" s="1"/>
  <c r="M997" i="2"/>
  <c r="M997" i="1" s="1"/>
  <c r="L997" i="2"/>
  <c r="K997"/>
  <c r="K997" i="1" s="1"/>
  <c r="J997" i="2"/>
  <c r="J997" i="1" s="1"/>
  <c r="I997" i="2"/>
  <c r="I997" i="1" s="1"/>
  <c r="H997" i="2"/>
  <c r="H997" i="1" s="1"/>
  <c r="G997" i="2"/>
  <c r="G997" i="1" s="1"/>
  <c r="F997" i="2"/>
  <c r="F997" i="1" s="1"/>
  <c r="E997" i="2"/>
  <c r="E997" i="1" s="1"/>
  <c r="D997" i="2"/>
  <c r="D997" i="1" s="1"/>
  <c r="C997" i="2"/>
  <c r="C997" i="1" s="1"/>
  <c r="O996" i="2"/>
  <c r="O996" i="1" s="1"/>
  <c r="N996" i="2"/>
  <c r="N996" i="1" s="1"/>
  <c r="M996" i="2"/>
  <c r="M996" i="1" s="1"/>
  <c r="L996" i="2"/>
  <c r="K996"/>
  <c r="K996" i="1" s="1"/>
  <c r="J996" i="2"/>
  <c r="J996" i="1" s="1"/>
  <c r="I996" i="2"/>
  <c r="I996" i="1" s="1"/>
  <c r="H996" i="2"/>
  <c r="H996" i="1" s="1"/>
  <c r="G996" i="2"/>
  <c r="G996" i="1" s="1"/>
  <c r="F996" i="2"/>
  <c r="F996" i="1" s="1"/>
  <c r="E996" i="2"/>
  <c r="E996" i="1" s="1"/>
  <c r="D996" i="2"/>
  <c r="D996" i="1" s="1"/>
  <c r="C996" i="2"/>
  <c r="C996" i="1" s="1"/>
  <c r="O995" i="2"/>
  <c r="O995" i="1" s="1"/>
  <c r="N995" i="2"/>
  <c r="N995" i="1" s="1"/>
  <c r="M995" i="2"/>
  <c r="M995" i="1" s="1"/>
  <c r="L995" i="2"/>
  <c r="K995"/>
  <c r="K995" i="1" s="1"/>
  <c r="J995" i="2"/>
  <c r="J995" i="1" s="1"/>
  <c r="I995" i="2"/>
  <c r="I995" i="1" s="1"/>
  <c r="H995" i="2"/>
  <c r="H995" i="1" s="1"/>
  <c r="G995" i="2"/>
  <c r="G995" i="1" s="1"/>
  <c r="F995" i="2"/>
  <c r="F995" i="1" s="1"/>
  <c r="E995" i="2"/>
  <c r="E995" i="1" s="1"/>
  <c r="D995" i="2"/>
  <c r="D995" i="1" s="1"/>
  <c r="C995" i="2"/>
  <c r="C995" i="1" s="1"/>
  <c r="O994" i="2"/>
  <c r="O994" i="1" s="1"/>
  <c r="N994" i="2"/>
  <c r="N994" i="1" s="1"/>
  <c r="M994" i="2"/>
  <c r="M994" i="1" s="1"/>
  <c r="L994" i="2"/>
  <c r="K994"/>
  <c r="K994" i="1" s="1"/>
  <c r="J994" i="2"/>
  <c r="J994" i="1" s="1"/>
  <c r="I994" i="2"/>
  <c r="I994" i="1" s="1"/>
  <c r="H994" i="2"/>
  <c r="H994" i="1" s="1"/>
  <c r="G994" i="2"/>
  <c r="G994" i="1" s="1"/>
  <c r="F994" i="2"/>
  <c r="F994" i="1" s="1"/>
  <c r="E994" i="2"/>
  <c r="E994" i="1" s="1"/>
  <c r="D994" i="2"/>
  <c r="D994" i="1" s="1"/>
  <c r="C994" i="2"/>
  <c r="C994" i="1" s="1"/>
  <c r="O993" i="2"/>
  <c r="O993" i="1" s="1"/>
  <c r="N993" i="2"/>
  <c r="N993" i="1" s="1"/>
  <c r="M993" i="2"/>
  <c r="M993" i="1" s="1"/>
  <c r="L993" i="2"/>
  <c r="K993"/>
  <c r="K993" i="1" s="1"/>
  <c r="J993" i="2"/>
  <c r="J993" i="1" s="1"/>
  <c r="I993" i="2"/>
  <c r="I993" i="1" s="1"/>
  <c r="H993" i="2"/>
  <c r="H993" i="1" s="1"/>
  <c r="G993" i="2"/>
  <c r="G993" i="1" s="1"/>
  <c r="F993" i="2"/>
  <c r="F993" i="1" s="1"/>
  <c r="E993" i="2"/>
  <c r="E993" i="1" s="1"/>
  <c r="D993" i="2"/>
  <c r="D993" i="1" s="1"/>
  <c r="C993" i="2"/>
  <c r="C993" i="1" s="1"/>
  <c r="O992" i="2"/>
  <c r="O992" i="1" s="1"/>
  <c r="N992" i="2"/>
  <c r="N992" i="1" s="1"/>
  <c r="M992" i="2"/>
  <c r="M992" i="1" s="1"/>
  <c r="L992" i="2"/>
  <c r="K992"/>
  <c r="K992" i="1" s="1"/>
  <c r="J992" i="2"/>
  <c r="J992" i="1" s="1"/>
  <c r="I992" i="2"/>
  <c r="I992" i="1" s="1"/>
  <c r="H992" i="2"/>
  <c r="H992" i="1" s="1"/>
  <c r="G992" i="2"/>
  <c r="G992" i="1" s="1"/>
  <c r="F992" i="2"/>
  <c r="F992" i="1" s="1"/>
  <c r="E992" i="2"/>
  <c r="E992" i="1" s="1"/>
  <c r="D992" i="2"/>
  <c r="D992" i="1" s="1"/>
  <c r="C992" i="2"/>
  <c r="C992" i="1" s="1"/>
  <c r="O991" i="2"/>
  <c r="O991" i="1" s="1"/>
  <c r="N991" i="2"/>
  <c r="N991" i="1" s="1"/>
  <c r="M991" i="2"/>
  <c r="M991" i="1" s="1"/>
  <c r="L991" i="2"/>
  <c r="K991"/>
  <c r="K991" i="1" s="1"/>
  <c r="J991" i="2"/>
  <c r="J991" i="1" s="1"/>
  <c r="I991" i="2"/>
  <c r="I991" i="1" s="1"/>
  <c r="H991" i="2"/>
  <c r="H991" i="1" s="1"/>
  <c r="G991" i="2"/>
  <c r="G991" i="1" s="1"/>
  <c r="F991" i="2"/>
  <c r="F991" i="1" s="1"/>
  <c r="E991" i="2"/>
  <c r="E991" i="1" s="1"/>
  <c r="D991" i="2"/>
  <c r="D991" i="1" s="1"/>
  <c r="C991" i="2"/>
  <c r="C991" i="1" s="1"/>
  <c r="O990" i="2"/>
  <c r="O990" i="1" s="1"/>
  <c r="N990" i="2"/>
  <c r="N990" i="1" s="1"/>
  <c r="M990" i="2"/>
  <c r="M990" i="1" s="1"/>
  <c r="L990" i="2"/>
  <c r="K990"/>
  <c r="K990" i="1" s="1"/>
  <c r="J990" i="2"/>
  <c r="J990" i="1" s="1"/>
  <c r="I990" i="2"/>
  <c r="I990" i="1" s="1"/>
  <c r="H990" i="2"/>
  <c r="H990" i="1" s="1"/>
  <c r="G990" i="2"/>
  <c r="G990" i="1" s="1"/>
  <c r="F990" i="2"/>
  <c r="F990" i="1" s="1"/>
  <c r="E990" i="2"/>
  <c r="E990" i="1" s="1"/>
  <c r="D990" i="2"/>
  <c r="D990" i="1" s="1"/>
  <c r="C990" i="2"/>
  <c r="C990" i="1" s="1"/>
  <c r="O989" i="2"/>
  <c r="O989" i="1" s="1"/>
  <c r="N989" i="2"/>
  <c r="N989" i="1" s="1"/>
  <c r="M989" i="2"/>
  <c r="M989" i="1" s="1"/>
  <c r="L989" i="2"/>
  <c r="K989"/>
  <c r="K989" i="1" s="1"/>
  <c r="J989" i="2"/>
  <c r="J989" i="1" s="1"/>
  <c r="I989" i="2"/>
  <c r="I989" i="1" s="1"/>
  <c r="H989" i="2"/>
  <c r="H989" i="1" s="1"/>
  <c r="G989" i="2"/>
  <c r="G989" i="1" s="1"/>
  <c r="F989" i="2"/>
  <c r="F989" i="1" s="1"/>
  <c r="E989" i="2"/>
  <c r="E989" i="1" s="1"/>
  <c r="D989" i="2"/>
  <c r="D989" i="1" s="1"/>
  <c r="C989" i="2"/>
  <c r="C989" i="1" s="1"/>
  <c r="O988" i="2"/>
  <c r="O988" i="1" s="1"/>
  <c r="N988" i="2"/>
  <c r="N988" i="1" s="1"/>
  <c r="M988" i="2"/>
  <c r="M988" i="1" s="1"/>
  <c r="L988" i="2"/>
  <c r="K988"/>
  <c r="K988" i="1" s="1"/>
  <c r="J988" i="2"/>
  <c r="J988" i="1" s="1"/>
  <c r="I988" i="2"/>
  <c r="I988" i="1" s="1"/>
  <c r="H988" i="2"/>
  <c r="H988" i="1" s="1"/>
  <c r="G988" i="2"/>
  <c r="G988" i="1" s="1"/>
  <c r="F988" i="2"/>
  <c r="F988" i="1" s="1"/>
  <c r="E988" i="2"/>
  <c r="E988" i="1" s="1"/>
  <c r="D988" i="2"/>
  <c r="D988" i="1" s="1"/>
  <c r="C988" i="2"/>
  <c r="C988" i="1" s="1"/>
  <c r="O987" i="2"/>
  <c r="O987" i="1" s="1"/>
  <c r="N987" i="2"/>
  <c r="N987" i="1" s="1"/>
  <c r="M987" i="2"/>
  <c r="M987" i="1" s="1"/>
  <c r="L987" i="2"/>
  <c r="K987"/>
  <c r="K987" i="1" s="1"/>
  <c r="J987" i="2"/>
  <c r="J987" i="1" s="1"/>
  <c r="I987" i="2"/>
  <c r="I987" i="1" s="1"/>
  <c r="H987" i="2"/>
  <c r="H987" i="1" s="1"/>
  <c r="G987" i="2"/>
  <c r="G987" i="1" s="1"/>
  <c r="F987" i="2"/>
  <c r="F987" i="1" s="1"/>
  <c r="E987" i="2"/>
  <c r="E987" i="1" s="1"/>
  <c r="D987" i="2"/>
  <c r="D987" i="1" s="1"/>
  <c r="C987" i="2"/>
  <c r="C987" i="1" s="1"/>
  <c r="O986" i="2"/>
  <c r="O986" i="1" s="1"/>
  <c r="N986" i="2"/>
  <c r="N986" i="1" s="1"/>
  <c r="M986" i="2"/>
  <c r="M986" i="1" s="1"/>
  <c r="L986" i="2"/>
  <c r="K986"/>
  <c r="K986" i="1" s="1"/>
  <c r="J986" i="2"/>
  <c r="J986" i="1" s="1"/>
  <c r="I986" i="2"/>
  <c r="I986" i="1" s="1"/>
  <c r="H986" i="2"/>
  <c r="H986" i="1" s="1"/>
  <c r="G986" i="2"/>
  <c r="G986" i="1" s="1"/>
  <c r="F986" i="2"/>
  <c r="F986" i="1" s="1"/>
  <c r="E986" i="2"/>
  <c r="E986" i="1" s="1"/>
  <c r="D986" i="2"/>
  <c r="D986" i="1" s="1"/>
  <c r="C986" i="2"/>
  <c r="C986" i="1" s="1"/>
  <c r="O985" i="2"/>
  <c r="O985" i="1" s="1"/>
  <c r="N985" i="2"/>
  <c r="N985" i="1" s="1"/>
  <c r="M985" i="2"/>
  <c r="M985" i="1" s="1"/>
  <c r="L985" i="2"/>
  <c r="K985"/>
  <c r="K985" i="1" s="1"/>
  <c r="J985" i="2"/>
  <c r="J985" i="1" s="1"/>
  <c r="I985" i="2"/>
  <c r="I985" i="1" s="1"/>
  <c r="H985" i="2"/>
  <c r="H985" i="1" s="1"/>
  <c r="G985" i="2"/>
  <c r="G985" i="1" s="1"/>
  <c r="F985" i="2"/>
  <c r="F985" i="1" s="1"/>
  <c r="E985" i="2"/>
  <c r="E985" i="1" s="1"/>
  <c r="D985" i="2"/>
  <c r="D985" i="1" s="1"/>
  <c r="C985" i="2"/>
  <c r="C985" i="1" s="1"/>
  <c r="O984" i="2"/>
  <c r="O984" i="1" s="1"/>
  <c r="N984" i="2"/>
  <c r="N984" i="1" s="1"/>
  <c r="M984" i="2"/>
  <c r="M984" i="1" s="1"/>
  <c r="L984" i="2"/>
  <c r="K984"/>
  <c r="K984" i="1" s="1"/>
  <c r="J984" i="2"/>
  <c r="J984" i="1" s="1"/>
  <c r="I984" i="2"/>
  <c r="I984" i="1" s="1"/>
  <c r="H984" i="2"/>
  <c r="H984" i="1" s="1"/>
  <c r="G984" i="2"/>
  <c r="G984" i="1" s="1"/>
  <c r="F984" i="2"/>
  <c r="F984" i="1" s="1"/>
  <c r="E984" i="2"/>
  <c r="E984" i="1" s="1"/>
  <c r="D984" i="2"/>
  <c r="D984" i="1" s="1"/>
  <c r="C984" i="2"/>
  <c r="C984" i="1" s="1"/>
  <c r="O983" i="2"/>
  <c r="O983" i="1" s="1"/>
  <c r="N983" i="2"/>
  <c r="N983" i="1" s="1"/>
  <c r="M983" i="2"/>
  <c r="M983" i="1" s="1"/>
  <c r="L983" i="2"/>
  <c r="K983"/>
  <c r="K983" i="1" s="1"/>
  <c r="J983" i="2"/>
  <c r="J983" i="1" s="1"/>
  <c r="I983" i="2"/>
  <c r="I983" i="1" s="1"/>
  <c r="H983" i="2"/>
  <c r="H983" i="1" s="1"/>
  <c r="G983" i="2"/>
  <c r="G983" i="1" s="1"/>
  <c r="F983" i="2"/>
  <c r="F983" i="1" s="1"/>
  <c r="E983" i="2"/>
  <c r="E983" i="1" s="1"/>
  <c r="D983" i="2"/>
  <c r="D983" i="1" s="1"/>
  <c r="C983" i="2"/>
  <c r="C983" i="1" s="1"/>
  <c r="O982" i="2"/>
  <c r="O982" i="1" s="1"/>
  <c r="N982" i="2"/>
  <c r="N982" i="1" s="1"/>
  <c r="M982" i="2"/>
  <c r="M982" i="1" s="1"/>
  <c r="L982" i="2"/>
  <c r="K982"/>
  <c r="K982" i="1" s="1"/>
  <c r="J982" i="2"/>
  <c r="J982" i="1" s="1"/>
  <c r="I982" i="2"/>
  <c r="I982" i="1" s="1"/>
  <c r="H982" i="2"/>
  <c r="H982" i="1" s="1"/>
  <c r="G982" i="2"/>
  <c r="G982" i="1" s="1"/>
  <c r="F982" i="2"/>
  <c r="F982" i="1" s="1"/>
  <c r="E982" i="2"/>
  <c r="E982" i="1" s="1"/>
  <c r="D982" i="2"/>
  <c r="D982" i="1" s="1"/>
  <c r="C982" i="2"/>
  <c r="C982" i="1" s="1"/>
  <c r="O981" i="2"/>
  <c r="O981" i="1" s="1"/>
  <c r="N981" i="2"/>
  <c r="N981" i="1" s="1"/>
  <c r="M981" i="2"/>
  <c r="M981" i="1" s="1"/>
  <c r="L981" i="2"/>
  <c r="K981"/>
  <c r="K981" i="1" s="1"/>
  <c r="J981" i="2"/>
  <c r="J981" i="1" s="1"/>
  <c r="I981" i="2"/>
  <c r="I981" i="1" s="1"/>
  <c r="H981" i="2"/>
  <c r="H981" i="1" s="1"/>
  <c r="G981" i="2"/>
  <c r="G981" i="1" s="1"/>
  <c r="F981" i="2"/>
  <c r="F981" i="1" s="1"/>
  <c r="E981" i="2"/>
  <c r="E981" i="1" s="1"/>
  <c r="D981" i="2"/>
  <c r="D981" i="1" s="1"/>
  <c r="C981" i="2"/>
  <c r="C981" i="1" s="1"/>
  <c r="O980" i="2"/>
  <c r="O980" i="1" s="1"/>
  <c r="N980" i="2"/>
  <c r="N980" i="1" s="1"/>
  <c r="M980" i="2"/>
  <c r="M980" i="1" s="1"/>
  <c r="L980" i="2"/>
  <c r="K980"/>
  <c r="K980" i="1" s="1"/>
  <c r="J980" i="2"/>
  <c r="J980" i="1" s="1"/>
  <c r="I980" i="2"/>
  <c r="I980" i="1" s="1"/>
  <c r="H980" i="2"/>
  <c r="H980" i="1" s="1"/>
  <c r="G980" i="2"/>
  <c r="G980" i="1" s="1"/>
  <c r="F980" i="2"/>
  <c r="F980" i="1" s="1"/>
  <c r="E980" i="2"/>
  <c r="E980" i="1" s="1"/>
  <c r="D980" i="2"/>
  <c r="D980" i="1" s="1"/>
  <c r="C980" i="2"/>
  <c r="C980" i="1" s="1"/>
  <c r="O979" i="2"/>
  <c r="O979" i="1" s="1"/>
  <c r="N979" i="2"/>
  <c r="N979" i="1" s="1"/>
  <c r="M979" i="2"/>
  <c r="M979" i="1" s="1"/>
  <c r="L979" i="2"/>
  <c r="K979"/>
  <c r="K979" i="1" s="1"/>
  <c r="J979" i="2"/>
  <c r="J979" i="1" s="1"/>
  <c r="I979" i="2"/>
  <c r="I979" i="1" s="1"/>
  <c r="H979" i="2"/>
  <c r="H979" i="1" s="1"/>
  <c r="G979" i="2"/>
  <c r="G979" i="1" s="1"/>
  <c r="F979" i="2"/>
  <c r="F979" i="1" s="1"/>
  <c r="E979" i="2"/>
  <c r="E979" i="1" s="1"/>
  <c r="D979" i="2"/>
  <c r="D979" i="1" s="1"/>
  <c r="C979" i="2"/>
  <c r="C979" i="1" s="1"/>
  <c r="O978" i="2"/>
  <c r="O978" i="1" s="1"/>
  <c r="N978" i="2"/>
  <c r="N978" i="1" s="1"/>
  <c r="M978" i="2"/>
  <c r="M978" i="1" s="1"/>
  <c r="L978" i="2"/>
  <c r="K978"/>
  <c r="K978" i="1" s="1"/>
  <c r="J978" i="2"/>
  <c r="J978" i="1" s="1"/>
  <c r="I978" i="2"/>
  <c r="I978" i="1" s="1"/>
  <c r="H978" i="2"/>
  <c r="H978" i="1" s="1"/>
  <c r="G978" i="2"/>
  <c r="G978" i="1" s="1"/>
  <c r="F978" i="2"/>
  <c r="F978" i="1" s="1"/>
  <c r="E978" i="2"/>
  <c r="E978" i="1" s="1"/>
  <c r="D978" i="2"/>
  <c r="D978" i="1" s="1"/>
  <c r="C978" i="2"/>
  <c r="C978" i="1" s="1"/>
  <c r="O977" i="2"/>
  <c r="O977" i="1" s="1"/>
  <c r="N977" i="2"/>
  <c r="N977" i="1" s="1"/>
  <c r="M977" i="2"/>
  <c r="M977" i="1" s="1"/>
  <c r="L977" i="2"/>
  <c r="K977"/>
  <c r="K977" i="1" s="1"/>
  <c r="J977" i="2"/>
  <c r="J977" i="1" s="1"/>
  <c r="I977" i="2"/>
  <c r="I977" i="1" s="1"/>
  <c r="H977" i="2"/>
  <c r="H977" i="1" s="1"/>
  <c r="G977" i="2"/>
  <c r="G977" i="1" s="1"/>
  <c r="F977" i="2"/>
  <c r="F977" i="1" s="1"/>
  <c r="E977" i="2"/>
  <c r="E977" i="1" s="1"/>
  <c r="D977" i="2"/>
  <c r="D977" i="1" s="1"/>
  <c r="C977" i="2"/>
  <c r="C977" i="1" s="1"/>
  <c r="O976" i="2"/>
  <c r="O976" i="1" s="1"/>
  <c r="N976" i="2"/>
  <c r="N976" i="1" s="1"/>
  <c r="M976" i="2"/>
  <c r="M976" i="1" s="1"/>
  <c r="L976" i="2"/>
  <c r="K976"/>
  <c r="K976" i="1" s="1"/>
  <c r="J976" i="2"/>
  <c r="J976" i="1" s="1"/>
  <c r="I976" i="2"/>
  <c r="I976" i="1" s="1"/>
  <c r="H976" i="2"/>
  <c r="H976" i="1" s="1"/>
  <c r="G976" i="2"/>
  <c r="G976" i="1" s="1"/>
  <c r="F976" i="2"/>
  <c r="F976" i="1" s="1"/>
  <c r="E976" i="2"/>
  <c r="E976" i="1" s="1"/>
  <c r="D976" i="2"/>
  <c r="D976" i="1" s="1"/>
  <c r="C976" i="2"/>
  <c r="C976" i="1" s="1"/>
  <c r="O975" i="2"/>
  <c r="O975" i="1" s="1"/>
  <c r="N975" i="2"/>
  <c r="N975" i="1" s="1"/>
  <c r="M975" i="2"/>
  <c r="M975" i="1" s="1"/>
  <c r="L975" i="2"/>
  <c r="K975"/>
  <c r="K975" i="1" s="1"/>
  <c r="J975" i="2"/>
  <c r="J975" i="1" s="1"/>
  <c r="I975" i="2"/>
  <c r="I975" i="1" s="1"/>
  <c r="H975" i="2"/>
  <c r="H975" i="1" s="1"/>
  <c r="G975" i="2"/>
  <c r="G975" i="1" s="1"/>
  <c r="F975" i="2"/>
  <c r="F975" i="1" s="1"/>
  <c r="E975" i="2"/>
  <c r="E975" i="1" s="1"/>
  <c r="D975" i="2"/>
  <c r="D975" i="1" s="1"/>
  <c r="C975" i="2"/>
  <c r="C975" i="1" s="1"/>
  <c r="O974" i="2"/>
  <c r="O974" i="1" s="1"/>
  <c r="N974" i="2"/>
  <c r="N974" i="1" s="1"/>
  <c r="M974" i="2"/>
  <c r="M974" i="1" s="1"/>
  <c r="L974" i="2"/>
  <c r="K974"/>
  <c r="K974" i="1" s="1"/>
  <c r="J974" i="2"/>
  <c r="J974" i="1" s="1"/>
  <c r="I974" i="2"/>
  <c r="I974" i="1" s="1"/>
  <c r="H974" i="2"/>
  <c r="H974" i="1" s="1"/>
  <c r="G974" i="2"/>
  <c r="G974" i="1" s="1"/>
  <c r="F974" i="2"/>
  <c r="F974" i="1" s="1"/>
  <c r="E974" i="2"/>
  <c r="E974" i="1" s="1"/>
  <c r="D974" i="2"/>
  <c r="D974" i="1" s="1"/>
  <c r="C974" i="2"/>
  <c r="C974" i="1" s="1"/>
  <c r="O973" i="2"/>
  <c r="O973" i="1" s="1"/>
  <c r="N973" i="2"/>
  <c r="N973" i="1" s="1"/>
  <c r="M973" i="2"/>
  <c r="M973" i="1" s="1"/>
  <c r="L973" i="2"/>
  <c r="K973"/>
  <c r="K973" i="1" s="1"/>
  <c r="J973" i="2"/>
  <c r="J973" i="1" s="1"/>
  <c r="I973" i="2"/>
  <c r="I973" i="1" s="1"/>
  <c r="H973" i="2"/>
  <c r="H973" i="1" s="1"/>
  <c r="G973" i="2"/>
  <c r="G973" i="1" s="1"/>
  <c r="F973" i="2"/>
  <c r="F973" i="1" s="1"/>
  <c r="E973" i="2"/>
  <c r="E973" i="1" s="1"/>
  <c r="D973" i="2"/>
  <c r="D973" i="1" s="1"/>
  <c r="C973" i="2"/>
  <c r="C973" i="1" s="1"/>
  <c r="O972" i="2"/>
  <c r="O972" i="1" s="1"/>
  <c r="N972" i="2"/>
  <c r="N972" i="1" s="1"/>
  <c r="M972" i="2"/>
  <c r="M972" i="1" s="1"/>
  <c r="L972" i="2"/>
  <c r="K972"/>
  <c r="K972" i="1" s="1"/>
  <c r="J972" i="2"/>
  <c r="J972" i="1" s="1"/>
  <c r="I972" i="2"/>
  <c r="I972" i="1" s="1"/>
  <c r="H972" i="2"/>
  <c r="H972" i="1" s="1"/>
  <c r="G972" i="2"/>
  <c r="G972" i="1" s="1"/>
  <c r="F972" i="2"/>
  <c r="F972" i="1" s="1"/>
  <c r="E972" i="2"/>
  <c r="E972" i="1" s="1"/>
  <c r="D972" i="2"/>
  <c r="D972" i="1" s="1"/>
  <c r="C972" i="2"/>
  <c r="C972" i="1" s="1"/>
  <c r="O971" i="2"/>
  <c r="O971" i="1" s="1"/>
  <c r="N971" i="2"/>
  <c r="N971" i="1" s="1"/>
  <c r="M971" i="2"/>
  <c r="M971" i="1" s="1"/>
  <c r="L971" i="2"/>
  <c r="K971"/>
  <c r="K971" i="1" s="1"/>
  <c r="J971" i="2"/>
  <c r="J971" i="1" s="1"/>
  <c r="I971" i="2"/>
  <c r="I971" i="1" s="1"/>
  <c r="H971" i="2"/>
  <c r="H971" i="1" s="1"/>
  <c r="G971" i="2"/>
  <c r="G971" i="1" s="1"/>
  <c r="F971" i="2"/>
  <c r="F971" i="1" s="1"/>
  <c r="E971" i="2"/>
  <c r="E971" i="1" s="1"/>
  <c r="D971" i="2"/>
  <c r="D971" i="1" s="1"/>
  <c r="C971" i="2"/>
  <c r="C971" i="1" s="1"/>
  <c r="O970" i="2"/>
  <c r="O970" i="1" s="1"/>
  <c r="N970" i="2"/>
  <c r="N970" i="1" s="1"/>
  <c r="M970" i="2"/>
  <c r="M970" i="1" s="1"/>
  <c r="L970" i="2"/>
  <c r="K970"/>
  <c r="K970" i="1" s="1"/>
  <c r="J970" i="2"/>
  <c r="J970" i="1" s="1"/>
  <c r="I970" i="2"/>
  <c r="I970" i="1" s="1"/>
  <c r="H970" i="2"/>
  <c r="H970" i="1" s="1"/>
  <c r="G970" i="2"/>
  <c r="G970" i="1" s="1"/>
  <c r="F970" i="2"/>
  <c r="F970" i="1" s="1"/>
  <c r="E970" i="2"/>
  <c r="E970" i="1" s="1"/>
  <c r="D970" i="2"/>
  <c r="D970" i="1" s="1"/>
  <c r="C970" i="2"/>
  <c r="C970" i="1" s="1"/>
  <c r="O969" i="2"/>
  <c r="O969" i="1" s="1"/>
  <c r="N969" i="2"/>
  <c r="N969" i="1" s="1"/>
  <c r="M969" i="2"/>
  <c r="M969" i="1" s="1"/>
  <c r="L969" i="2"/>
  <c r="K969"/>
  <c r="K969" i="1" s="1"/>
  <c r="J969" i="2"/>
  <c r="J969" i="1" s="1"/>
  <c r="I969" i="2"/>
  <c r="I969" i="1" s="1"/>
  <c r="H969" i="2"/>
  <c r="H969" i="1" s="1"/>
  <c r="G969" i="2"/>
  <c r="G969" i="1" s="1"/>
  <c r="F969" i="2"/>
  <c r="F969" i="1" s="1"/>
  <c r="E969" i="2"/>
  <c r="E969" i="1" s="1"/>
  <c r="D969" i="2"/>
  <c r="D969" i="1" s="1"/>
  <c r="C969" i="2"/>
  <c r="C969" i="1" s="1"/>
  <c r="O968" i="2"/>
  <c r="O968" i="1" s="1"/>
  <c r="N968" i="2"/>
  <c r="N968" i="1" s="1"/>
  <c r="M968" i="2"/>
  <c r="M968" i="1" s="1"/>
  <c r="L968" i="2"/>
  <c r="K968"/>
  <c r="K968" i="1" s="1"/>
  <c r="J968" i="2"/>
  <c r="J968" i="1" s="1"/>
  <c r="I968" i="2"/>
  <c r="I968" i="1" s="1"/>
  <c r="H968" i="2"/>
  <c r="H968" i="1" s="1"/>
  <c r="G968" i="2"/>
  <c r="G968" i="1" s="1"/>
  <c r="F968" i="2"/>
  <c r="F968" i="1" s="1"/>
  <c r="E968" i="2"/>
  <c r="E968" i="1" s="1"/>
  <c r="D968" i="2"/>
  <c r="D968" i="1" s="1"/>
  <c r="C968" i="2"/>
  <c r="C968" i="1" s="1"/>
  <c r="O967" i="2"/>
  <c r="O967" i="1" s="1"/>
  <c r="N967" i="2"/>
  <c r="N967" i="1" s="1"/>
  <c r="M967" i="2"/>
  <c r="M967" i="1" s="1"/>
  <c r="L967" i="2"/>
  <c r="K967"/>
  <c r="K967" i="1" s="1"/>
  <c r="J967" i="2"/>
  <c r="J967" i="1" s="1"/>
  <c r="I967" i="2"/>
  <c r="I967" i="1" s="1"/>
  <c r="H967" i="2"/>
  <c r="H967" i="1" s="1"/>
  <c r="G967" i="2"/>
  <c r="G967" i="1" s="1"/>
  <c r="F967" i="2"/>
  <c r="F967" i="1" s="1"/>
  <c r="E967" i="2"/>
  <c r="E967" i="1" s="1"/>
  <c r="D967" i="2"/>
  <c r="D967" i="1" s="1"/>
  <c r="C967" i="2"/>
  <c r="C967" i="1" s="1"/>
  <c r="O966" i="2"/>
  <c r="O966" i="1" s="1"/>
  <c r="N966" i="2"/>
  <c r="N966" i="1" s="1"/>
  <c r="M966" i="2"/>
  <c r="M966" i="1" s="1"/>
  <c r="L966" i="2"/>
  <c r="K966"/>
  <c r="K966" i="1" s="1"/>
  <c r="J966" i="2"/>
  <c r="J966" i="1" s="1"/>
  <c r="I966" i="2"/>
  <c r="I966" i="1" s="1"/>
  <c r="H966" i="2"/>
  <c r="H966" i="1" s="1"/>
  <c r="G966" i="2"/>
  <c r="G966" i="1" s="1"/>
  <c r="F966" i="2"/>
  <c r="F966" i="1" s="1"/>
  <c r="E966" i="2"/>
  <c r="E966" i="1" s="1"/>
  <c r="D966" i="2"/>
  <c r="D966" i="1" s="1"/>
  <c r="C966" i="2"/>
  <c r="C966" i="1" s="1"/>
  <c r="O965" i="2"/>
  <c r="O965" i="1" s="1"/>
  <c r="N965" i="2"/>
  <c r="N965" i="1" s="1"/>
  <c r="M965" i="2"/>
  <c r="M965" i="1" s="1"/>
  <c r="L965" i="2"/>
  <c r="K965"/>
  <c r="K965" i="1" s="1"/>
  <c r="J965" i="2"/>
  <c r="J965" i="1" s="1"/>
  <c r="I965" i="2"/>
  <c r="I965" i="1" s="1"/>
  <c r="H965" i="2"/>
  <c r="H965" i="1" s="1"/>
  <c r="G965" i="2"/>
  <c r="G965" i="1" s="1"/>
  <c r="F965" i="2"/>
  <c r="F965" i="1" s="1"/>
  <c r="E965" i="2"/>
  <c r="E965" i="1" s="1"/>
  <c r="D965" i="2"/>
  <c r="D965" i="1" s="1"/>
  <c r="C965" i="2"/>
  <c r="C965" i="1" s="1"/>
  <c r="O964" i="2"/>
  <c r="O964" i="1" s="1"/>
  <c r="N964" i="2"/>
  <c r="N964" i="1" s="1"/>
  <c r="M964" i="2"/>
  <c r="M964" i="1" s="1"/>
  <c r="L964" i="2"/>
  <c r="K964"/>
  <c r="K964" i="1" s="1"/>
  <c r="J964" i="2"/>
  <c r="J964" i="1" s="1"/>
  <c r="I964" i="2"/>
  <c r="I964" i="1" s="1"/>
  <c r="H964" i="2"/>
  <c r="H964" i="1" s="1"/>
  <c r="G964" i="2"/>
  <c r="G964" i="1" s="1"/>
  <c r="F964" i="2"/>
  <c r="F964" i="1" s="1"/>
  <c r="E964" i="2"/>
  <c r="E964" i="1" s="1"/>
  <c r="D964" i="2"/>
  <c r="D964" i="1" s="1"/>
  <c r="C964" i="2"/>
  <c r="C964" i="1" s="1"/>
  <c r="O963" i="2"/>
  <c r="O963" i="1" s="1"/>
  <c r="N963" i="2"/>
  <c r="N963" i="1" s="1"/>
  <c r="M963" i="2"/>
  <c r="M963" i="1" s="1"/>
  <c r="L963" i="2"/>
  <c r="K963"/>
  <c r="K963" i="1" s="1"/>
  <c r="J963" i="2"/>
  <c r="J963" i="1" s="1"/>
  <c r="I963" i="2"/>
  <c r="I963" i="1" s="1"/>
  <c r="H963" i="2"/>
  <c r="H963" i="1" s="1"/>
  <c r="G963" i="2"/>
  <c r="G963" i="1" s="1"/>
  <c r="F963" i="2"/>
  <c r="F963" i="1" s="1"/>
  <c r="E963" i="2"/>
  <c r="E963" i="1" s="1"/>
  <c r="D963" i="2"/>
  <c r="D963" i="1" s="1"/>
  <c r="C963" i="2"/>
  <c r="C963" i="1" s="1"/>
  <c r="O962" i="2"/>
  <c r="O962" i="1" s="1"/>
  <c r="N962" i="2"/>
  <c r="N962" i="1" s="1"/>
  <c r="M962" i="2"/>
  <c r="M962" i="1" s="1"/>
  <c r="L962" i="2"/>
  <c r="K962"/>
  <c r="K962" i="1" s="1"/>
  <c r="J962" i="2"/>
  <c r="J962" i="1" s="1"/>
  <c r="I962" i="2"/>
  <c r="I962" i="1" s="1"/>
  <c r="H962" i="2"/>
  <c r="H962" i="1" s="1"/>
  <c r="G962" i="2"/>
  <c r="G962" i="1" s="1"/>
  <c r="F962" i="2"/>
  <c r="F962" i="1" s="1"/>
  <c r="E962" i="2"/>
  <c r="E962" i="1" s="1"/>
  <c r="D962" i="2"/>
  <c r="D962" i="1" s="1"/>
  <c r="C962" i="2"/>
  <c r="C962" i="1" s="1"/>
  <c r="O961" i="2"/>
  <c r="O961" i="1" s="1"/>
  <c r="N961" i="2"/>
  <c r="N961" i="1" s="1"/>
  <c r="M961" i="2"/>
  <c r="M961" i="1" s="1"/>
  <c r="L961" i="2"/>
  <c r="K961"/>
  <c r="K961" i="1" s="1"/>
  <c r="J961" i="2"/>
  <c r="J961" i="1" s="1"/>
  <c r="I961" i="2"/>
  <c r="I961" i="1" s="1"/>
  <c r="H961" i="2"/>
  <c r="H961" i="1" s="1"/>
  <c r="G961" i="2"/>
  <c r="G961" i="1" s="1"/>
  <c r="F961" i="2"/>
  <c r="F961" i="1" s="1"/>
  <c r="E961" i="2"/>
  <c r="E961" i="1" s="1"/>
  <c r="D961" i="2"/>
  <c r="D961" i="1" s="1"/>
  <c r="C961" i="2"/>
  <c r="C961" i="1" s="1"/>
  <c r="O960" i="2"/>
  <c r="O960" i="1" s="1"/>
  <c r="N960" i="2"/>
  <c r="N960" i="1" s="1"/>
  <c r="M960" i="2"/>
  <c r="M960" i="1" s="1"/>
  <c r="L960" i="2"/>
  <c r="K960"/>
  <c r="K960" i="1" s="1"/>
  <c r="J960" i="2"/>
  <c r="J960" i="1" s="1"/>
  <c r="I960" i="2"/>
  <c r="I960" i="1" s="1"/>
  <c r="H960" i="2"/>
  <c r="H960" i="1" s="1"/>
  <c r="G960" i="2"/>
  <c r="G960" i="1" s="1"/>
  <c r="F960" i="2"/>
  <c r="F960" i="1" s="1"/>
  <c r="E960" i="2"/>
  <c r="E960" i="1" s="1"/>
  <c r="D960" i="2"/>
  <c r="D960" i="1" s="1"/>
  <c r="C960" i="2"/>
  <c r="C960" i="1" s="1"/>
  <c r="O959" i="2"/>
  <c r="O959" i="1" s="1"/>
  <c r="N959" i="2"/>
  <c r="N959" i="1" s="1"/>
  <c r="M959" i="2"/>
  <c r="M959" i="1" s="1"/>
  <c r="L959" i="2"/>
  <c r="K959"/>
  <c r="K959" i="1" s="1"/>
  <c r="J959" i="2"/>
  <c r="J959" i="1" s="1"/>
  <c r="I959" i="2"/>
  <c r="I959" i="1" s="1"/>
  <c r="H959" i="2"/>
  <c r="H959" i="1" s="1"/>
  <c r="G959" i="2"/>
  <c r="G959" i="1" s="1"/>
  <c r="F959" i="2"/>
  <c r="F959" i="1" s="1"/>
  <c r="E959" i="2"/>
  <c r="E959" i="1" s="1"/>
  <c r="D959" i="2"/>
  <c r="D959" i="1" s="1"/>
  <c r="C959" i="2"/>
  <c r="C959" i="1" s="1"/>
  <c r="O958" i="2"/>
  <c r="O958" i="1" s="1"/>
  <c r="N958" i="2"/>
  <c r="N958" i="1" s="1"/>
  <c r="M958" i="2"/>
  <c r="M958" i="1" s="1"/>
  <c r="L958" i="2"/>
  <c r="K958"/>
  <c r="K958" i="1" s="1"/>
  <c r="J958" i="2"/>
  <c r="J958" i="1" s="1"/>
  <c r="I958" i="2"/>
  <c r="I958" i="1" s="1"/>
  <c r="H958" i="2"/>
  <c r="H958" i="1" s="1"/>
  <c r="G958" i="2"/>
  <c r="G958" i="1" s="1"/>
  <c r="F958" i="2"/>
  <c r="F958" i="1" s="1"/>
  <c r="E958" i="2"/>
  <c r="E958" i="1" s="1"/>
  <c r="D958" i="2"/>
  <c r="D958" i="1" s="1"/>
  <c r="C958" i="2"/>
  <c r="C958" i="1" s="1"/>
  <c r="O957" i="2"/>
  <c r="O957" i="1" s="1"/>
  <c r="N957" i="2"/>
  <c r="N957" i="1" s="1"/>
  <c r="M957" i="2"/>
  <c r="M957" i="1" s="1"/>
  <c r="L957" i="2"/>
  <c r="K957"/>
  <c r="K957" i="1" s="1"/>
  <c r="J957" i="2"/>
  <c r="J957" i="1" s="1"/>
  <c r="I957" i="2"/>
  <c r="I957" i="1" s="1"/>
  <c r="H957" i="2"/>
  <c r="H957" i="1" s="1"/>
  <c r="G957" i="2"/>
  <c r="G957" i="1" s="1"/>
  <c r="F957" i="2"/>
  <c r="F957" i="1" s="1"/>
  <c r="E957" i="2"/>
  <c r="E957" i="1" s="1"/>
  <c r="D957" i="2"/>
  <c r="D957" i="1" s="1"/>
  <c r="C957" i="2"/>
  <c r="C957" i="1" s="1"/>
  <c r="O956" i="2"/>
  <c r="O956" i="1" s="1"/>
  <c r="N956" i="2"/>
  <c r="N956" i="1" s="1"/>
  <c r="M956" i="2"/>
  <c r="M956" i="1" s="1"/>
  <c r="L956" i="2"/>
  <c r="K956"/>
  <c r="K956" i="1" s="1"/>
  <c r="J956" i="2"/>
  <c r="J956" i="1" s="1"/>
  <c r="I956" i="2"/>
  <c r="I956" i="1" s="1"/>
  <c r="H956" i="2"/>
  <c r="H956" i="1" s="1"/>
  <c r="G956" i="2"/>
  <c r="G956" i="1" s="1"/>
  <c r="F956" i="2"/>
  <c r="F956" i="1" s="1"/>
  <c r="E956" i="2"/>
  <c r="E956" i="1" s="1"/>
  <c r="D956" i="2"/>
  <c r="D956" i="1" s="1"/>
  <c r="C956" i="2"/>
  <c r="C956" i="1" s="1"/>
  <c r="O955" i="2"/>
  <c r="O955" i="1" s="1"/>
  <c r="N955" i="2"/>
  <c r="N955" i="1" s="1"/>
  <c r="M955" i="2"/>
  <c r="M955" i="1" s="1"/>
  <c r="L955" i="2"/>
  <c r="K955"/>
  <c r="K955" i="1" s="1"/>
  <c r="J955" i="2"/>
  <c r="J955" i="1" s="1"/>
  <c r="I955" i="2"/>
  <c r="I955" i="1" s="1"/>
  <c r="H955" i="2"/>
  <c r="H955" i="1" s="1"/>
  <c r="G955" i="2"/>
  <c r="G955" i="1" s="1"/>
  <c r="F955" i="2"/>
  <c r="F955" i="1" s="1"/>
  <c r="E955" i="2"/>
  <c r="E955" i="1" s="1"/>
  <c r="D955" i="2"/>
  <c r="D955" i="1" s="1"/>
  <c r="C955" i="2"/>
  <c r="C955" i="1" s="1"/>
  <c r="O954" i="2"/>
  <c r="O954" i="1" s="1"/>
  <c r="N954" i="2"/>
  <c r="N954" i="1" s="1"/>
  <c r="M954" i="2"/>
  <c r="M954" i="1" s="1"/>
  <c r="L954" i="2"/>
  <c r="K954"/>
  <c r="K954" i="1" s="1"/>
  <c r="J954" i="2"/>
  <c r="J954" i="1" s="1"/>
  <c r="I954" i="2"/>
  <c r="I954" i="1" s="1"/>
  <c r="H954" i="2"/>
  <c r="H954" i="1" s="1"/>
  <c r="G954" i="2"/>
  <c r="G954" i="1" s="1"/>
  <c r="F954" i="2"/>
  <c r="F954" i="1" s="1"/>
  <c r="E954" i="2"/>
  <c r="E954" i="1" s="1"/>
  <c r="D954" i="2"/>
  <c r="D954" i="1" s="1"/>
  <c r="C954" i="2"/>
  <c r="C954" i="1" s="1"/>
  <c r="O953" i="2"/>
  <c r="O953" i="1" s="1"/>
  <c r="N953" i="2"/>
  <c r="N953" i="1" s="1"/>
  <c r="M953" i="2"/>
  <c r="M953" i="1" s="1"/>
  <c r="L953" i="2"/>
  <c r="K953"/>
  <c r="K953" i="1" s="1"/>
  <c r="J953" i="2"/>
  <c r="J953" i="1" s="1"/>
  <c r="I953" i="2"/>
  <c r="I953" i="1" s="1"/>
  <c r="H953" i="2"/>
  <c r="H953" i="1" s="1"/>
  <c r="G953" i="2"/>
  <c r="G953" i="1" s="1"/>
  <c r="F953" i="2"/>
  <c r="F953" i="1" s="1"/>
  <c r="E953" i="2"/>
  <c r="E953" i="1" s="1"/>
  <c r="D953" i="2"/>
  <c r="D953" i="1" s="1"/>
  <c r="C953" i="2"/>
  <c r="C953" i="1" s="1"/>
  <c r="O952" i="2"/>
  <c r="O952" i="1" s="1"/>
  <c r="N952" i="2"/>
  <c r="N952" i="1" s="1"/>
  <c r="M952" i="2"/>
  <c r="M952" i="1" s="1"/>
  <c r="L952" i="2"/>
  <c r="K952"/>
  <c r="K952" i="1" s="1"/>
  <c r="J952" i="2"/>
  <c r="J952" i="1" s="1"/>
  <c r="I952" i="2"/>
  <c r="I952" i="1" s="1"/>
  <c r="H952" i="2"/>
  <c r="H952" i="1" s="1"/>
  <c r="G952" i="2"/>
  <c r="G952" i="1" s="1"/>
  <c r="F952" i="2"/>
  <c r="F952" i="1" s="1"/>
  <c r="E952" i="2"/>
  <c r="E952" i="1" s="1"/>
  <c r="D952" i="2"/>
  <c r="D952" i="1" s="1"/>
  <c r="C952" i="2"/>
  <c r="C952" i="1" s="1"/>
  <c r="O951" i="2"/>
  <c r="O951" i="1" s="1"/>
  <c r="N951" i="2"/>
  <c r="N951" i="1" s="1"/>
  <c r="M951" i="2"/>
  <c r="M951" i="1" s="1"/>
  <c r="L951" i="2"/>
  <c r="K951"/>
  <c r="K951" i="1" s="1"/>
  <c r="J951" i="2"/>
  <c r="J951" i="1" s="1"/>
  <c r="I951" i="2"/>
  <c r="I951" i="1" s="1"/>
  <c r="H951" i="2"/>
  <c r="H951" i="1" s="1"/>
  <c r="G951" i="2"/>
  <c r="G951" i="1" s="1"/>
  <c r="F951" i="2"/>
  <c r="F951" i="1" s="1"/>
  <c r="E951" i="2"/>
  <c r="E951" i="1" s="1"/>
  <c r="D951" i="2"/>
  <c r="D951" i="1" s="1"/>
  <c r="C951" i="2"/>
  <c r="C951" i="1" s="1"/>
  <c r="O950" i="2"/>
  <c r="O950" i="1" s="1"/>
  <c r="N950" i="2"/>
  <c r="N950" i="1" s="1"/>
  <c r="M950" i="2"/>
  <c r="M950" i="1" s="1"/>
  <c r="L950" i="2"/>
  <c r="K950"/>
  <c r="K950" i="1" s="1"/>
  <c r="J950" i="2"/>
  <c r="J950" i="1" s="1"/>
  <c r="I950" i="2"/>
  <c r="I950" i="1" s="1"/>
  <c r="H950" i="2"/>
  <c r="H950" i="1" s="1"/>
  <c r="G950" i="2"/>
  <c r="G950" i="1" s="1"/>
  <c r="F950" i="2"/>
  <c r="F950" i="1" s="1"/>
  <c r="E950" i="2"/>
  <c r="E950" i="1" s="1"/>
  <c r="D950" i="2"/>
  <c r="D950" i="1" s="1"/>
  <c r="C950" i="2"/>
  <c r="C950" i="1" s="1"/>
  <c r="O949" i="2"/>
  <c r="O949" i="1" s="1"/>
  <c r="N949" i="2"/>
  <c r="N949" i="1" s="1"/>
  <c r="M949" i="2"/>
  <c r="M949" i="1" s="1"/>
  <c r="L949" i="2"/>
  <c r="K949"/>
  <c r="K949" i="1" s="1"/>
  <c r="J949" i="2"/>
  <c r="J949" i="1" s="1"/>
  <c r="I949" i="2"/>
  <c r="I949" i="1" s="1"/>
  <c r="H949" i="2"/>
  <c r="H949" i="1" s="1"/>
  <c r="G949" i="2"/>
  <c r="G949" i="1" s="1"/>
  <c r="F949" i="2"/>
  <c r="F949" i="1" s="1"/>
  <c r="E949" i="2"/>
  <c r="E949" i="1" s="1"/>
  <c r="D949" i="2"/>
  <c r="D949" i="1" s="1"/>
  <c r="C949" i="2"/>
  <c r="C949" i="1" s="1"/>
  <c r="O948" i="2"/>
  <c r="O948" i="1" s="1"/>
  <c r="N948" i="2"/>
  <c r="N948" i="1" s="1"/>
  <c r="M948" i="2"/>
  <c r="M948" i="1" s="1"/>
  <c r="L948" i="2"/>
  <c r="K948"/>
  <c r="K948" i="1" s="1"/>
  <c r="J948" i="2"/>
  <c r="J948" i="1" s="1"/>
  <c r="I948" i="2"/>
  <c r="I948" i="1" s="1"/>
  <c r="H948" i="2"/>
  <c r="H948" i="1" s="1"/>
  <c r="G948" i="2"/>
  <c r="G948" i="1" s="1"/>
  <c r="F948" i="2"/>
  <c r="F948" i="1" s="1"/>
  <c r="E948" i="2"/>
  <c r="E948" i="1" s="1"/>
  <c r="D948" i="2"/>
  <c r="D948" i="1" s="1"/>
  <c r="C948" i="2"/>
  <c r="C948" i="1" s="1"/>
  <c r="O947" i="2"/>
  <c r="O947" i="1" s="1"/>
  <c r="N947" i="2"/>
  <c r="N947" i="1" s="1"/>
  <c r="M947" i="2"/>
  <c r="M947" i="1" s="1"/>
  <c r="L947" i="2"/>
  <c r="K947"/>
  <c r="K947" i="1" s="1"/>
  <c r="J947" i="2"/>
  <c r="J947" i="1" s="1"/>
  <c r="I947" i="2"/>
  <c r="I947" i="1" s="1"/>
  <c r="H947" i="2"/>
  <c r="H947" i="1" s="1"/>
  <c r="G947" i="2"/>
  <c r="G947" i="1" s="1"/>
  <c r="F947" i="2"/>
  <c r="F947" i="1" s="1"/>
  <c r="E947" i="2"/>
  <c r="E947" i="1" s="1"/>
  <c r="D947" i="2"/>
  <c r="D947" i="1" s="1"/>
  <c r="C947" i="2"/>
  <c r="C947" i="1" s="1"/>
  <c r="O946" i="2"/>
  <c r="O946" i="1" s="1"/>
  <c r="N946" i="2"/>
  <c r="N946" i="1" s="1"/>
  <c r="M946" i="2"/>
  <c r="M946" i="1" s="1"/>
  <c r="L946" i="2"/>
  <c r="K946"/>
  <c r="K946" i="1" s="1"/>
  <c r="J946" i="2"/>
  <c r="J946" i="1" s="1"/>
  <c r="I946" i="2"/>
  <c r="I946" i="1" s="1"/>
  <c r="H946" i="2"/>
  <c r="H946" i="1" s="1"/>
  <c r="G946" i="2"/>
  <c r="G946" i="1" s="1"/>
  <c r="F946" i="2"/>
  <c r="F946" i="1" s="1"/>
  <c r="E946" i="2"/>
  <c r="E946" i="1" s="1"/>
  <c r="D946" i="2"/>
  <c r="D946" i="1" s="1"/>
  <c r="C946" i="2"/>
  <c r="C946" i="1" s="1"/>
  <c r="O945" i="2"/>
  <c r="O945" i="1" s="1"/>
  <c r="N945" i="2"/>
  <c r="N945" i="1" s="1"/>
  <c r="M945" i="2"/>
  <c r="M945" i="1" s="1"/>
  <c r="L945" i="2"/>
  <c r="K945"/>
  <c r="K945" i="1" s="1"/>
  <c r="J945" i="2"/>
  <c r="J945" i="1" s="1"/>
  <c r="I945" i="2"/>
  <c r="I945" i="1" s="1"/>
  <c r="H945" i="2"/>
  <c r="H945" i="1" s="1"/>
  <c r="G945" i="2"/>
  <c r="G945" i="1" s="1"/>
  <c r="F945" i="2"/>
  <c r="F945" i="1" s="1"/>
  <c r="E945" i="2"/>
  <c r="E945" i="1" s="1"/>
  <c r="D945" i="2"/>
  <c r="D945" i="1" s="1"/>
  <c r="C945" i="2"/>
  <c r="C945" i="1" s="1"/>
  <c r="O944" i="2"/>
  <c r="O944" i="1" s="1"/>
  <c r="N944" i="2"/>
  <c r="N944" i="1" s="1"/>
  <c r="M944" i="2"/>
  <c r="M944" i="1" s="1"/>
  <c r="L944" i="2"/>
  <c r="K944"/>
  <c r="K944" i="1" s="1"/>
  <c r="J944" i="2"/>
  <c r="J944" i="1" s="1"/>
  <c r="I944" i="2"/>
  <c r="I944" i="1" s="1"/>
  <c r="H944" i="2"/>
  <c r="H944" i="1" s="1"/>
  <c r="G944" i="2"/>
  <c r="G944" i="1" s="1"/>
  <c r="F944" i="2"/>
  <c r="F944" i="1" s="1"/>
  <c r="E944" i="2"/>
  <c r="E944" i="1" s="1"/>
  <c r="D944" i="2"/>
  <c r="D944" i="1" s="1"/>
  <c r="C944" i="2"/>
  <c r="C944" i="1" s="1"/>
  <c r="O943" i="2"/>
  <c r="O943" i="1" s="1"/>
  <c r="N943" i="2"/>
  <c r="N943" i="1" s="1"/>
  <c r="M943" i="2"/>
  <c r="M943" i="1" s="1"/>
  <c r="L943" i="2"/>
  <c r="K943"/>
  <c r="K943" i="1" s="1"/>
  <c r="J943" i="2"/>
  <c r="J943" i="1" s="1"/>
  <c r="I943" i="2"/>
  <c r="I943" i="1" s="1"/>
  <c r="H943" i="2"/>
  <c r="H943" i="1" s="1"/>
  <c r="G943" i="2"/>
  <c r="G943" i="1" s="1"/>
  <c r="F943" i="2"/>
  <c r="F943" i="1" s="1"/>
  <c r="E943" i="2"/>
  <c r="E943" i="1" s="1"/>
  <c r="D943" i="2"/>
  <c r="D943" i="1" s="1"/>
  <c r="C943" i="2"/>
  <c r="C943" i="1" s="1"/>
  <c r="O942" i="2"/>
  <c r="O942" i="1" s="1"/>
  <c r="N942" i="2"/>
  <c r="N942" i="1" s="1"/>
  <c r="M942" i="2"/>
  <c r="M942" i="1" s="1"/>
  <c r="L942" i="2"/>
  <c r="K942"/>
  <c r="K942" i="1" s="1"/>
  <c r="J942" i="2"/>
  <c r="J942" i="1" s="1"/>
  <c r="I942" i="2"/>
  <c r="I942" i="1" s="1"/>
  <c r="H942" i="2"/>
  <c r="H942" i="1" s="1"/>
  <c r="G942" i="2"/>
  <c r="G942" i="1" s="1"/>
  <c r="F942" i="2"/>
  <c r="F942" i="1" s="1"/>
  <c r="E942" i="2"/>
  <c r="E942" i="1" s="1"/>
  <c r="D942" i="2"/>
  <c r="D942" i="1" s="1"/>
  <c r="C942" i="2"/>
  <c r="C942" i="1" s="1"/>
  <c r="O941" i="2"/>
  <c r="O941" i="1" s="1"/>
  <c r="N941" i="2"/>
  <c r="N941" i="1" s="1"/>
  <c r="M941" i="2"/>
  <c r="M941" i="1" s="1"/>
  <c r="L941" i="2"/>
  <c r="K941"/>
  <c r="K941" i="1" s="1"/>
  <c r="J941" i="2"/>
  <c r="J941" i="1" s="1"/>
  <c r="I941" i="2"/>
  <c r="I941" i="1" s="1"/>
  <c r="H941" i="2"/>
  <c r="H941" i="1" s="1"/>
  <c r="G941" i="2"/>
  <c r="G941" i="1" s="1"/>
  <c r="F941" i="2"/>
  <c r="F941" i="1" s="1"/>
  <c r="E941" i="2"/>
  <c r="E941" i="1" s="1"/>
  <c r="D941" i="2"/>
  <c r="D941" i="1" s="1"/>
  <c r="C941" i="2"/>
  <c r="C941" i="1" s="1"/>
  <c r="O940" i="2"/>
  <c r="O940" i="1" s="1"/>
  <c r="N940" i="2"/>
  <c r="N940" i="1" s="1"/>
  <c r="M940" i="2"/>
  <c r="M940" i="1" s="1"/>
  <c r="L940" i="2"/>
  <c r="K940"/>
  <c r="K940" i="1" s="1"/>
  <c r="J940" i="2"/>
  <c r="J940" i="1" s="1"/>
  <c r="I940" i="2"/>
  <c r="I940" i="1" s="1"/>
  <c r="H940" i="2"/>
  <c r="H940" i="1" s="1"/>
  <c r="G940" i="2"/>
  <c r="G940" i="1" s="1"/>
  <c r="F940" i="2"/>
  <c r="F940" i="1" s="1"/>
  <c r="E940" i="2"/>
  <c r="E940" i="1" s="1"/>
  <c r="D940" i="2"/>
  <c r="D940" i="1" s="1"/>
  <c r="C940" i="2"/>
  <c r="C940" i="1" s="1"/>
  <c r="O939" i="2"/>
  <c r="O939" i="1" s="1"/>
  <c r="N939" i="2"/>
  <c r="N939" i="1" s="1"/>
  <c r="M939" i="2"/>
  <c r="M939" i="1" s="1"/>
  <c r="L939" i="2"/>
  <c r="K939"/>
  <c r="K939" i="1" s="1"/>
  <c r="J939" i="2"/>
  <c r="J939" i="1" s="1"/>
  <c r="I939" i="2"/>
  <c r="I939" i="1" s="1"/>
  <c r="H939" i="2"/>
  <c r="H939" i="1" s="1"/>
  <c r="G939" i="2"/>
  <c r="G939" i="1" s="1"/>
  <c r="F939" i="2"/>
  <c r="F939" i="1" s="1"/>
  <c r="E939" i="2"/>
  <c r="E939" i="1" s="1"/>
  <c r="D939" i="2"/>
  <c r="D939" i="1" s="1"/>
  <c r="C939" i="2"/>
  <c r="C939" i="1" s="1"/>
  <c r="O938" i="2"/>
  <c r="O938" i="1" s="1"/>
  <c r="N938" i="2"/>
  <c r="N938" i="1" s="1"/>
  <c r="M938" i="2"/>
  <c r="M938" i="1" s="1"/>
  <c r="L938" i="2"/>
  <c r="K938"/>
  <c r="K938" i="1" s="1"/>
  <c r="J938" i="2"/>
  <c r="J938" i="1" s="1"/>
  <c r="I938" i="2"/>
  <c r="I938" i="1" s="1"/>
  <c r="H938" i="2"/>
  <c r="H938" i="1" s="1"/>
  <c r="G938" i="2"/>
  <c r="G938" i="1" s="1"/>
  <c r="F938" i="2"/>
  <c r="F938" i="1" s="1"/>
  <c r="E938" i="2"/>
  <c r="E938" i="1" s="1"/>
  <c r="D938" i="2"/>
  <c r="D938" i="1" s="1"/>
  <c r="C938" i="2"/>
  <c r="C938" i="1" s="1"/>
  <c r="O937" i="2"/>
  <c r="O937" i="1" s="1"/>
  <c r="N937" i="2"/>
  <c r="N937" i="1" s="1"/>
  <c r="M937" i="2"/>
  <c r="M937" i="1" s="1"/>
  <c r="L937" i="2"/>
  <c r="K937"/>
  <c r="K937" i="1" s="1"/>
  <c r="J937" i="2"/>
  <c r="J937" i="1" s="1"/>
  <c r="I937" i="2"/>
  <c r="I937" i="1" s="1"/>
  <c r="H937" i="2"/>
  <c r="H937" i="1" s="1"/>
  <c r="G937" i="2"/>
  <c r="G937" i="1" s="1"/>
  <c r="F937" i="2"/>
  <c r="F937" i="1" s="1"/>
  <c r="E937" i="2"/>
  <c r="E937" i="1" s="1"/>
  <c r="D937" i="2"/>
  <c r="D937" i="1" s="1"/>
  <c r="C937" i="2"/>
  <c r="C937" i="1" s="1"/>
  <c r="O936" i="2"/>
  <c r="O936" i="1" s="1"/>
  <c r="N936" i="2"/>
  <c r="N936" i="1" s="1"/>
  <c r="M936" i="2"/>
  <c r="M936" i="1" s="1"/>
  <c r="L936" i="2"/>
  <c r="K936"/>
  <c r="K936" i="1" s="1"/>
  <c r="J936" i="2"/>
  <c r="J936" i="1" s="1"/>
  <c r="I936" i="2"/>
  <c r="I936" i="1" s="1"/>
  <c r="H936" i="2"/>
  <c r="H936" i="1" s="1"/>
  <c r="G936" i="2"/>
  <c r="G936" i="1" s="1"/>
  <c r="F936" i="2"/>
  <c r="F936" i="1" s="1"/>
  <c r="E936" i="2"/>
  <c r="E936" i="1" s="1"/>
  <c r="D936" i="2"/>
  <c r="D936" i="1" s="1"/>
  <c r="C936" i="2"/>
  <c r="C936" i="1" s="1"/>
  <c r="O935" i="2"/>
  <c r="O935" i="1" s="1"/>
  <c r="N935" i="2"/>
  <c r="N935" i="1" s="1"/>
  <c r="M935" i="2"/>
  <c r="M935" i="1" s="1"/>
  <c r="L935" i="2"/>
  <c r="K935"/>
  <c r="K935" i="1" s="1"/>
  <c r="J935" i="2"/>
  <c r="J935" i="1" s="1"/>
  <c r="I935" i="2"/>
  <c r="I935" i="1" s="1"/>
  <c r="H935" i="2"/>
  <c r="H935" i="1" s="1"/>
  <c r="G935" i="2"/>
  <c r="G935" i="1" s="1"/>
  <c r="F935" i="2"/>
  <c r="F935" i="1" s="1"/>
  <c r="E935" i="2"/>
  <c r="E935" i="1" s="1"/>
  <c r="D935" i="2"/>
  <c r="D935" i="1" s="1"/>
  <c r="C935" i="2"/>
  <c r="C935" i="1" s="1"/>
  <c r="O934" i="2"/>
  <c r="O934" i="1" s="1"/>
  <c r="N934" i="2"/>
  <c r="N934" i="1" s="1"/>
  <c r="M934" i="2"/>
  <c r="M934" i="1" s="1"/>
  <c r="L934" i="2"/>
  <c r="K934"/>
  <c r="K934" i="1" s="1"/>
  <c r="J934" i="2"/>
  <c r="J934" i="1" s="1"/>
  <c r="I934" i="2"/>
  <c r="I934" i="1" s="1"/>
  <c r="H934" i="2"/>
  <c r="H934" i="1" s="1"/>
  <c r="G934" i="2"/>
  <c r="G934" i="1" s="1"/>
  <c r="F934" i="2"/>
  <c r="F934" i="1" s="1"/>
  <c r="E934" i="2"/>
  <c r="E934" i="1" s="1"/>
  <c r="D934" i="2"/>
  <c r="D934" i="1" s="1"/>
  <c r="C934" i="2"/>
  <c r="C934" i="1" s="1"/>
  <c r="O933" i="2"/>
  <c r="O933" i="1" s="1"/>
  <c r="N933" i="2"/>
  <c r="N933" i="1" s="1"/>
  <c r="M933" i="2"/>
  <c r="M933" i="1" s="1"/>
  <c r="L933" i="2"/>
  <c r="K933"/>
  <c r="K933" i="1" s="1"/>
  <c r="J933" i="2"/>
  <c r="J933" i="1" s="1"/>
  <c r="I933" i="2"/>
  <c r="I933" i="1" s="1"/>
  <c r="H933" i="2"/>
  <c r="H933" i="1" s="1"/>
  <c r="G933" i="2"/>
  <c r="G933" i="1" s="1"/>
  <c r="F933" i="2"/>
  <c r="F933" i="1" s="1"/>
  <c r="E933" i="2"/>
  <c r="E933" i="1" s="1"/>
  <c r="D933" i="2"/>
  <c r="D933" i="1" s="1"/>
  <c r="C933" i="2"/>
  <c r="C933" i="1" s="1"/>
  <c r="O932" i="2"/>
  <c r="O932" i="1" s="1"/>
  <c r="N932" i="2"/>
  <c r="N932" i="1" s="1"/>
  <c r="M932" i="2"/>
  <c r="M932" i="1" s="1"/>
  <c r="L932" i="2"/>
  <c r="K932"/>
  <c r="K932" i="1" s="1"/>
  <c r="J932" i="2"/>
  <c r="J932" i="1" s="1"/>
  <c r="I932" i="2"/>
  <c r="I932" i="1" s="1"/>
  <c r="H932" i="2"/>
  <c r="H932" i="1" s="1"/>
  <c r="G932" i="2"/>
  <c r="G932" i="1" s="1"/>
  <c r="F932" i="2"/>
  <c r="F932" i="1" s="1"/>
  <c r="E932" i="2"/>
  <c r="E932" i="1" s="1"/>
  <c r="D932" i="2"/>
  <c r="D932" i="1" s="1"/>
  <c r="C932" i="2"/>
  <c r="C932" i="1" s="1"/>
  <c r="O931" i="2"/>
  <c r="O931" i="1" s="1"/>
  <c r="N931" i="2"/>
  <c r="N931" i="1" s="1"/>
  <c r="M931" i="2"/>
  <c r="M931" i="1" s="1"/>
  <c r="L931" i="2"/>
  <c r="K931"/>
  <c r="K931" i="1" s="1"/>
  <c r="J931" i="2"/>
  <c r="J931" i="1" s="1"/>
  <c r="I931" i="2"/>
  <c r="I931" i="1" s="1"/>
  <c r="H931" i="2"/>
  <c r="H931" i="1" s="1"/>
  <c r="G931" i="2"/>
  <c r="G931" i="1" s="1"/>
  <c r="F931" i="2"/>
  <c r="F931" i="1" s="1"/>
  <c r="E931" i="2"/>
  <c r="E931" i="1" s="1"/>
  <c r="D931" i="2"/>
  <c r="D931" i="1" s="1"/>
  <c r="C931" i="2"/>
  <c r="C931" i="1" s="1"/>
  <c r="O930" i="2"/>
  <c r="O930" i="1" s="1"/>
  <c r="N930" i="2"/>
  <c r="N930" i="1" s="1"/>
  <c r="M930" i="2"/>
  <c r="M930" i="1" s="1"/>
  <c r="L930" i="2"/>
  <c r="K930"/>
  <c r="K930" i="1" s="1"/>
  <c r="J930" i="2"/>
  <c r="J930" i="1" s="1"/>
  <c r="I930" i="2"/>
  <c r="I930" i="1" s="1"/>
  <c r="H930" i="2"/>
  <c r="H930" i="1" s="1"/>
  <c r="G930" i="2"/>
  <c r="G930" i="1" s="1"/>
  <c r="F930" i="2"/>
  <c r="F930" i="1" s="1"/>
  <c r="E930" i="2"/>
  <c r="E930" i="1" s="1"/>
  <c r="D930" i="2"/>
  <c r="D930" i="1" s="1"/>
  <c r="C930" i="2"/>
  <c r="C930" i="1" s="1"/>
  <c r="O929" i="2"/>
  <c r="O929" i="1" s="1"/>
  <c r="N929" i="2"/>
  <c r="N929" i="1" s="1"/>
  <c r="M929" i="2"/>
  <c r="M929" i="1" s="1"/>
  <c r="L929" i="2"/>
  <c r="K929"/>
  <c r="K929" i="1" s="1"/>
  <c r="J929" i="2"/>
  <c r="J929" i="1" s="1"/>
  <c r="I929" i="2"/>
  <c r="I929" i="1" s="1"/>
  <c r="H929" i="2"/>
  <c r="H929" i="1" s="1"/>
  <c r="G929" i="2"/>
  <c r="G929" i="1" s="1"/>
  <c r="F929" i="2"/>
  <c r="F929" i="1" s="1"/>
  <c r="E929" i="2"/>
  <c r="E929" i="1" s="1"/>
  <c r="D929" i="2"/>
  <c r="D929" i="1" s="1"/>
  <c r="C929" i="2"/>
  <c r="C929" i="1" s="1"/>
  <c r="O928" i="2"/>
  <c r="O928" i="1" s="1"/>
  <c r="N928" i="2"/>
  <c r="N928" i="1" s="1"/>
  <c r="M928" i="2"/>
  <c r="M928" i="1" s="1"/>
  <c r="L928" i="2"/>
  <c r="K928"/>
  <c r="K928" i="1" s="1"/>
  <c r="J928" i="2"/>
  <c r="J928" i="1" s="1"/>
  <c r="I928" i="2"/>
  <c r="I928" i="1" s="1"/>
  <c r="H928" i="2"/>
  <c r="H928" i="1" s="1"/>
  <c r="G928" i="2"/>
  <c r="G928" i="1" s="1"/>
  <c r="F928" i="2"/>
  <c r="F928" i="1" s="1"/>
  <c r="E928" i="2"/>
  <c r="E928" i="1" s="1"/>
  <c r="D928" i="2"/>
  <c r="D928" i="1" s="1"/>
  <c r="C928" i="2"/>
  <c r="C928" i="1" s="1"/>
  <c r="O927" i="2"/>
  <c r="O927" i="1" s="1"/>
  <c r="N927" i="2"/>
  <c r="N927" i="1" s="1"/>
  <c r="M927" i="2"/>
  <c r="M927" i="1" s="1"/>
  <c r="L927" i="2"/>
  <c r="K927"/>
  <c r="K927" i="1" s="1"/>
  <c r="J927" i="2"/>
  <c r="J927" i="1" s="1"/>
  <c r="I927" i="2"/>
  <c r="I927" i="1" s="1"/>
  <c r="H927" i="2"/>
  <c r="H927" i="1" s="1"/>
  <c r="G927" i="2"/>
  <c r="G927" i="1" s="1"/>
  <c r="F927" i="2"/>
  <c r="F927" i="1" s="1"/>
  <c r="E927" i="2"/>
  <c r="E927" i="1" s="1"/>
  <c r="D927" i="2"/>
  <c r="D927" i="1" s="1"/>
  <c r="C927" i="2"/>
  <c r="C927" i="1" s="1"/>
  <c r="O926" i="2"/>
  <c r="O926" i="1" s="1"/>
  <c r="N926" i="2"/>
  <c r="N926" i="1" s="1"/>
  <c r="M926" i="2"/>
  <c r="M926" i="1" s="1"/>
  <c r="L926" i="2"/>
  <c r="K926"/>
  <c r="K926" i="1" s="1"/>
  <c r="J926" i="2"/>
  <c r="J926" i="1" s="1"/>
  <c r="I926" i="2"/>
  <c r="I926" i="1" s="1"/>
  <c r="H926" i="2"/>
  <c r="H926" i="1" s="1"/>
  <c r="G926" i="2"/>
  <c r="G926" i="1" s="1"/>
  <c r="F926" i="2"/>
  <c r="F926" i="1" s="1"/>
  <c r="E926" i="2"/>
  <c r="E926" i="1" s="1"/>
  <c r="D926" i="2"/>
  <c r="D926" i="1" s="1"/>
  <c r="C926" i="2"/>
  <c r="C926" i="1" s="1"/>
  <c r="O925" i="2"/>
  <c r="O925" i="1" s="1"/>
  <c r="N925" i="2"/>
  <c r="N925" i="1" s="1"/>
  <c r="M925" i="2"/>
  <c r="M925" i="1" s="1"/>
  <c r="L925" i="2"/>
  <c r="K925"/>
  <c r="K925" i="1" s="1"/>
  <c r="J925" i="2"/>
  <c r="J925" i="1" s="1"/>
  <c r="I925" i="2"/>
  <c r="I925" i="1" s="1"/>
  <c r="H925" i="2"/>
  <c r="H925" i="1" s="1"/>
  <c r="G925" i="2"/>
  <c r="G925" i="1" s="1"/>
  <c r="F925" i="2"/>
  <c r="F925" i="1" s="1"/>
  <c r="E925" i="2"/>
  <c r="E925" i="1" s="1"/>
  <c r="D925" i="2"/>
  <c r="D925" i="1" s="1"/>
  <c r="C925" i="2"/>
  <c r="C925" i="1" s="1"/>
  <c r="O924" i="2"/>
  <c r="O924" i="1" s="1"/>
  <c r="N924" i="2"/>
  <c r="N924" i="1" s="1"/>
  <c r="M924" i="2"/>
  <c r="M924" i="1" s="1"/>
  <c r="L924" i="2"/>
  <c r="K924"/>
  <c r="K924" i="1" s="1"/>
  <c r="J924" i="2"/>
  <c r="J924" i="1" s="1"/>
  <c r="I924" i="2"/>
  <c r="I924" i="1" s="1"/>
  <c r="H924" i="2"/>
  <c r="H924" i="1" s="1"/>
  <c r="G924" i="2"/>
  <c r="G924" i="1" s="1"/>
  <c r="F924" i="2"/>
  <c r="F924" i="1" s="1"/>
  <c r="E924" i="2"/>
  <c r="E924" i="1" s="1"/>
  <c r="D924" i="2"/>
  <c r="D924" i="1" s="1"/>
  <c r="C924" i="2"/>
  <c r="C924" i="1" s="1"/>
  <c r="O923" i="2"/>
  <c r="O923" i="1" s="1"/>
  <c r="N923" i="2"/>
  <c r="N923" i="1" s="1"/>
  <c r="M923" i="2"/>
  <c r="M923" i="1" s="1"/>
  <c r="L923" i="2"/>
  <c r="K923"/>
  <c r="K923" i="1" s="1"/>
  <c r="J923" i="2"/>
  <c r="J923" i="1" s="1"/>
  <c r="I923" i="2"/>
  <c r="I923" i="1" s="1"/>
  <c r="H923" i="2"/>
  <c r="H923" i="1" s="1"/>
  <c r="G923" i="2"/>
  <c r="G923" i="1" s="1"/>
  <c r="F923" i="2"/>
  <c r="F923" i="1" s="1"/>
  <c r="E923" i="2"/>
  <c r="E923" i="1" s="1"/>
  <c r="D923" i="2"/>
  <c r="D923" i="1" s="1"/>
  <c r="C923" i="2"/>
  <c r="C923" i="1" s="1"/>
  <c r="O922" i="2"/>
  <c r="O922" i="1" s="1"/>
  <c r="N922" i="2"/>
  <c r="N922" i="1" s="1"/>
  <c r="M922" i="2"/>
  <c r="M922" i="1" s="1"/>
  <c r="L922" i="2"/>
  <c r="K922"/>
  <c r="K922" i="1" s="1"/>
  <c r="J922" i="2"/>
  <c r="J922" i="1" s="1"/>
  <c r="I922" i="2"/>
  <c r="I922" i="1" s="1"/>
  <c r="H922" i="2"/>
  <c r="H922" i="1" s="1"/>
  <c r="G922" i="2"/>
  <c r="G922" i="1" s="1"/>
  <c r="F922" i="2"/>
  <c r="F922" i="1" s="1"/>
  <c r="E922" i="2"/>
  <c r="E922" i="1" s="1"/>
  <c r="D922" i="2"/>
  <c r="D922" i="1" s="1"/>
  <c r="C922" i="2"/>
  <c r="C922" i="1" s="1"/>
  <c r="O921" i="2"/>
  <c r="O921" i="1" s="1"/>
  <c r="N921" i="2"/>
  <c r="N921" i="1" s="1"/>
  <c r="M921" i="2"/>
  <c r="M921" i="1" s="1"/>
  <c r="L921" i="2"/>
  <c r="K921"/>
  <c r="K921" i="1" s="1"/>
  <c r="J921" i="2"/>
  <c r="J921" i="1" s="1"/>
  <c r="I921" i="2"/>
  <c r="I921" i="1" s="1"/>
  <c r="H921" i="2"/>
  <c r="H921" i="1" s="1"/>
  <c r="G921" i="2"/>
  <c r="G921" i="1" s="1"/>
  <c r="F921" i="2"/>
  <c r="F921" i="1" s="1"/>
  <c r="E921" i="2"/>
  <c r="E921" i="1" s="1"/>
  <c r="D921" i="2"/>
  <c r="D921" i="1" s="1"/>
  <c r="C921" i="2"/>
  <c r="C921" i="1" s="1"/>
  <c r="O920" i="2"/>
  <c r="O920" i="1" s="1"/>
  <c r="N920" i="2"/>
  <c r="N920" i="1" s="1"/>
  <c r="M920" i="2"/>
  <c r="M920" i="1" s="1"/>
  <c r="L920" i="2"/>
  <c r="K920"/>
  <c r="K920" i="1" s="1"/>
  <c r="J920" i="2"/>
  <c r="J920" i="1" s="1"/>
  <c r="I920" i="2"/>
  <c r="I920" i="1" s="1"/>
  <c r="H920" i="2"/>
  <c r="H920" i="1" s="1"/>
  <c r="G920" i="2"/>
  <c r="G920" i="1" s="1"/>
  <c r="F920" i="2"/>
  <c r="F920" i="1" s="1"/>
  <c r="E920" i="2"/>
  <c r="E920" i="1" s="1"/>
  <c r="D920" i="2"/>
  <c r="D920" i="1" s="1"/>
  <c r="C920" i="2"/>
  <c r="C920" i="1" s="1"/>
  <c r="O919" i="2"/>
  <c r="O919" i="1" s="1"/>
  <c r="N919" i="2"/>
  <c r="N919" i="1" s="1"/>
  <c r="M919" i="2"/>
  <c r="M919" i="1" s="1"/>
  <c r="L919" i="2"/>
  <c r="K919"/>
  <c r="K919" i="1" s="1"/>
  <c r="J919" i="2"/>
  <c r="J919" i="1" s="1"/>
  <c r="I919" i="2"/>
  <c r="I919" i="1" s="1"/>
  <c r="H919" i="2"/>
  <c r="H919" i="1" s="1"/>
  <c r="G919" i="2"/>
  <c r="G919" i="1" s="1"/>
  <c r="F919" i="2"/>
  <c r="F919" i="1" s="1"/>
  <c r="E919" i="2"/>
  <c r="E919" i="1" s="1"/>
  <c r="D919" i="2"/>
  <c r="D919" i="1" s="1"/>
  <c r="C919" i="2"/>
  <c r="C919" i="1" s="1"/>
  <c r="O918" i="2"/>
  <c r="O918" i="1" s="1"/>
  <c r="N918" i="2"/>
  <c r="N918" i="1" s="1"/>
  <c r="M918" i="2"/>
  <c r="M918" i="1" s="1"/>
  <c r="L918" i="2"/>
  <c r="K918"/>
  <c r="K918" i="1" s="1"/>
  <c r="J918" i="2"/>
  <c r="J918" i="1" s="1"/>
  <c r="I918" i="2"/>
  <c r="I918" i="1" s="1"/>
  <c r="H918" i="2"/>
  <c r="H918" i="1" s="1"/>
  <c r="G918" i="2"/>
  <c r="G918" i="1" s="1"/>
  <c r="F918" i="2"/>
  <c r="F918" i="1" s="1"/>
  <c r="E918" i="2"/>
  <c r="E918" i="1" s="1"/>
  <c r="D918" i="2"/>
  <c r="D918" i="1" s="1"/>
  <c r="C918" i="2"/>
  <c r="C918" i="1" s="1"/>
  <c r="O917" i="2"/>
  <c r="O917" i="1" s="1"/>
  <c r="N917" i="2"/>
  <c r="N917" i="1" s="1"/>
  <c r="M917" i="2"/>
  <c r="M917" i="1" s="1"/>
  <c r="L917" i="2"/>
  <c r="K917"/>
  <c r="K917" i="1" s="1"/>
  <c r="J917" i="2"/>
  <c r="J917" i="1" s="1"/>
  <c r="I917" i="2"/>
  <c r="I917" i="1" s="1"/>
  <c r="H917" i="2"/>
  <c r="H917" i="1" s="1"/>
  <c r="G917" i="2"/>
  <c r="G917" i="1" s="1"/>
  <c r="F917" i="2"/>
  <c r="F917" i="1" s="1"/>
  <c r="E917" i="2"/>
  <c r="E917" i="1" s="1"/>
  <c r="D917" i="2"/>
  <c r="D917" i="1" s="1"/>
  <c r="C917" i="2"/>
  <c r="C917" i="1" s="1"/>
  <c r="O916" i="2"/>
  <c r="O916" i="1" s="1"/>
  <c r="N916" i="2"/>
  <c r="N916" i="1" s="1"/>
  <c r="M916" i="2"/>
  <c r="M916" i="1" s="1"/>
  <c r="L916" i="2"/>
  <c r="K916"/>
  <c r="K916" i="1" s="1"/>
  <c r="J916" i="2"/>
  <c r="J916" i="1" s="1"/>
  <c r="I916" i="2"/>
  <c r="I916" i="1" s="1"/>
  <c r="H916" i="2"/>
  <c r="H916" i="1" s="1"/>
  <c r="G916" i="2"/>
  <c r="G916" i="1" s="1"/>
  <c r="F916" i="2"/>
  <c r="F916" i="1" s="1"/>
  <c r="E916" i="2"/>
  <c r="E916" i="1" s="1"/>
  <c r="D916" i="2"/>
  <c r="D916" i="1" s="1"/>
  <c r="C916" i="2"/>
  <c r="C916" i="1" s="1"/>
  <c r="O915" i="2"/>
  <c r="O915" i="1" s="1"/>
  <c r="N915" i="2"/>
  <c r="N915" i="1" s="1"/>
  <c r="M915" i="2"/>
  <c r="M915" i="1" s="1"/>
  <c r="L915" i="2"/>
  <c r="K915"/>
  <c r="K915" i="1" s="1"/>
  <c r="J915" i="2"/>
  <c r="J915" i="1" s="1"/>
  <c r="I915" i="2"/>
  <c r="I915" i="1" s="1"/>
  <c r="H915" i="2"/>
  <c r="H915" i="1" s="1"/>
  <c r="G915" i="2"/>
  <c r="G915" i="1" s="1"/>
  <c r="F915" i="2"/>
  <c r="F915" i="1" s="1"/>
  <c r="E915" i="2"/>
  <c r="E915" i="1" s="1"/>
  <c r="D915" i="2"/>
  <c r="D915" i="1" s="1"/>
  <c r="C915" i="2"/>
  <c r="C915" i="1" s="1"/>
  <c r="O914" i="2"/>
  <c r="O914" i="1" s="1"/>
  <c r="N914" i="2"/>
  <c r="N914" i="1" s="1"/>
  <c r="M914" i="2"/>
  <c r="M914" i="1" s="1"/>
  <c r="L914" i="2"/>
  <c r="K914"/>
  <c r="K914" i="1" s="1"/>
  <c r="J914" i="2"/>
  <c r="J914" i="1" s="1"/>
  <c r="I914" i="2"/>
  <c r="I914" i="1" s="1"/>
  <c r="H914" i="2"/>
  <c r="H914" i="1" s="1"/>
  <c r="G914" i="2"/>
  <c r="G914" i="1" s="1"/>
  <c r="F914" i="2"/>
  <c r="F914" i="1" s="1"/>
  <c r="E914" i="2"/>
  <c r="E914" i="1" s="1"/>
  <c r="D914" i="2"/>
  <c r="D914" i="1" s="1"/>
  <c r="C914" i="2"/>
  <c r="C914" i="1" s="1"/>
  <c r="O913" i="2"/>
  <c r="O913" i="1" s="1"/>
  <c r="N913" i="2"/>
  <c r="N913" i="1" s="1"/>
  <c r="M913" i="2"/>
  <c r="M913" i="1" s="1"/>
  <c r="L913" i="2"/>
  <c r="K913"/>
  <c r="K913" i="1" s="1"/>
  <c r="J913" i="2"/>
  <c r="J913" i="1" s="1"/>
  <c r="I913" i="2"/>
  <c r="I913" i="1" s="1"/>
  <c r="H913" i="2"/>
  <c r="H913" i="1" s="1"/>
  <c r="G913" i="2"/>
  <c r="G913" i="1" s="1"/>
  <c r="F913" i="2"/>
  <c r="F913" i="1" s="1"/>
  <c r="E913" i="2"/>
  <c r="E913" i="1" s="1"/>
  <c r="D913" i="2"/>
  <c r="D913" i="1" s="1"/>
  <c r="C913" i="2"/>
  <c r="C913" i="1" s="1"/>
  <c r="O912" i="2"/>
  <c r="O912" i="1" s="1"/>
  <c r="N912" i="2"/>
  <c r="N912" i="1" s="1"/>
  <c r="M912" i="2"/>
  <c r="M912" i="1" s="1"/>
  <c r="L912" i="2"/>
  <c r="K912"/>
  <c r="K912" i="1" s="1"/>
  <c r="J912" i="2"/>
  <c r="J912" i="1" s="1"/>
  <c r="I912" i="2"/>
  <c r="I912" i="1" s="1"/>
  <c r="H912" i="2"/>
  <c r="H912" i="1" s="1"/>
  <c r="G912" i="2"/>
  <c r="G912" i="1" s="1"/>
  <c r="F912" i="2"/>
  <c r="F912" i="1" s="1"/>
  <c r="E912" i="2"/>
  <c r="E912" i="1" s="1"/>
  <c r="D912" i="2"/>
  <c r="D912" i="1" s="1"/>
  <c r="C912" i="2"/>
  <c r="C912" i="1" s="1"/>
  <c r="O911" i="2"/>
  <c r="O911" i="1" s="1"/>
  <c r="N911" i="2"/>
  <c r="N911" i="1" s="1"/>
  <c r="M911" i="2"/>
  <c r="M911" i="1" s="1"/>
  <c r="L911" i="2"/>
  <c r="K911"/>
  <c r="K911" i="1" s="1"/>
  <c r="J911" i="2"/>
  <c r="J911" i="1" s="1"/>
  <c r="I911" i="2"/>
  <c r="I911" i="1" s="1"/>
  <c r="H911" i="2"/>
  <c r="H911" i="1" s="1"/>
  <c r="G911" i="2"/>
  <c r="G911" i="1" s="1"/>
  <c r="F911" i="2"/>
  <c r="F911" i="1" s="1"/>
  <c r="E911" i="2"/>
  <c r="E911" i="1" s="1"/>
  <c r="D911" i="2"/>
  <c r="D911" i="1" s="1"/>
  <c r="C911" i="2"/>
  <c r="C911" i="1" s="1"/>
  <c r="O910" i="2"/>
  <c r="O910" i="1" s="1"/>
  <c r="N910" i="2"/>
  <c r="N910" i="1" s="1"/>
  <c r="M910" i="2"/>
  <c r="M910" i="1" s="1"/>
  <c r="L910" i="2"/>
  <c r="K910"/>
  <c r="K910" i="1" s="1"/>
  <c r="J910" i="2"/>
  <c r="J910" i="1" s="1"/>
  <c r="I910" i="2"/>
  <c r="I910" i="1" s="1"/>
  <c r="H910" i="2"/>
  <c r="H910" i="1" s="1"/>
  <c r="G910" i="2"/>
  <c r="G910" i="1" s="1"/>
  <c r="F910" i="2"/>
  <c r="F910" i="1" s="1"/>
  <c r="E910" i="2"/>
  <c r="E910" i="1" s="1"/>
  <c r="D910" i="2"/>
  <c r="D910" i="1" s="1"/>
  <c r="C910" i="2"/>
  <c r="C910" i="1" s="1"/>
  <c r="O909" i="2"/>
  <c r="O909" i="1" s="1"/>
  <c r="N909" i="2"/>
  <c r="N909" i="1" s="1"/>
  <c r="M909" i="2"/>
  <c r="M909" i="1" s="1"/>
  <c r="L909" i="2"/>
  <c r="K909"/>
  <c r="K909" i="1" s="1"/>
  <c r="J909" i="2"/>
  <c r="J909" i="1" s="1"/>
  <c r="I909" i="2"/>
  <c r="I909" i="1" s="1"/>
  <c r="H909" i="2"/>
  <c r="H909" i="1" s="1"/>
  <c r="G909" i="2"/>
  <c r="G909" i="1" s="1"/>
  <c r="F909" i="2"/>
  <c r="F909" i="1" s="1"/>
  <c r="E909" i="2"/>
  <c r="E909" i="1" s="1"/>
  <c r="D909" i="2"/>
  <c r="D909" i="1" s="1"/>
  <c r="C909" i="2"/>
  <c r="C909" i="1" s="1"/>
  <c r="O908" i="2"/>
  <c r="O908" i="1" s="1"/>
  <c r="N908" i="2"/>
  <c r="N908" i="1" s="1"/>
  <c r="M908" i="2"/>
  <c r="M908" i="1" s="1"/>
  <c r="L908" i="2"/>
  <c r="K908"/>
  <c r="K908" i="1" s="1"/>
  <c r="J908" i="2"/>
  <c r="J908" i="1" s="1"/>
  <c r="I908" i="2"/>
  <c r="I908" i="1" s="1"/>
  <c r="H908" i="2"/>
  <c r="H908" i="1" s="1"/>
  <c r="G908" i="2"/>
  <c r="G908" i="1" s="1"/>
  <c r="F908" i="2"/>
  <c r="F908" i="1" s="1"/>
  <c r="E908" i="2"/>
  <c r="E908" i="1" s="1"/>
  <c r="D908" i="2"/>
  <c r="D908" i="1" s="1"/>
  <c r="C908" i="2"/>
  <c r="C908" i="1" s="1"/>
  <c r="O907" i="2"/>
  <c r="O907" i="1" s="1"/>
  <c r="N907" i="2"/>
  <c r="N907" i="1" s="1"/>
  <c r="M907" i="2"/>
  <c r="M907" i="1" s="1"/>
  <c r="L907" i="2"/>
  <c r="K907"/>
  <c r="K907" i="1" s="1"/>
  <c r="J907" i="2"/>
  <c r="J907" i="1" s="1"/>
  <c r="I907" i="2"/>
  <c r="I907" i="1" s="1"/>
  <c r="H907" i="2"/>
  <c r="H907" i="1" s="1"/>
  <c r="G907" i="2"/>
  <c r="G907" i="1" s="1"/>
  <c r="F907" i="2"/>
  <c r="F907" i="1" s="1"/>
  <c r="E907" i="2"/>
  <c r="E907" i="1" s="1"/>
  <c r="D907" i="2"/>
  <c r="D907" i="1" s="1"/>
  <c r="C907" i="2"/>
  <c r="C907" i="1" s="1"/>
  <c r="O906" i="2"/>
  <c r="O906" i="1" s="1"/>
  <c r="N906" i="2"/>
  <c r="N906" i="1" s="1"/>
  <c r="M906" i="2"/>
  <c r="M906" i="1" s="1"/>
  <c r="L906" i="2"/>
  <c r="K906"/>
  <c r="K906" i="1" s="1"/>
  <c r="J906" i="2"/>
  <c r="J906" i="1" s="1"/>
  <c r="I906" i="2"/>
  <c r="I906" i="1" s="1"/>
  <c r="H906" i="2"/>
  <c r="H906" i="1" s="1"/>
  <c r="G906" i="2"/>
  <c r="G906" i="1" s="1"/>
  <c r="F906" i="2"/>
  <c r="F906" i="1" s="1"/>
  <c r="E906" i="2"/>
  <c r="E906" i="1" s="1"/>
  <c r="D906" i="2"/>
  <c r="D906" i="1" s="1"/>
  <c r="C906" i="2"/>
  <c r="C906" i="1" s="1"/>
  <c r="O905" i="2"/>
  <c r="O905" i="1" s="1"/>
  <c r="N905" i="2"/>
  <c r="N905" i="1" s="1"/>
  <c r="M905" i="2"/>
  <c r="M905" i="1" s="1"/>
  <c r="L905" i="2"/>
  <c r="K905"/>
  <c r="K905" i="1" s="1"/>
  <c r="J905" i="2"/>
  <c r="J905" i="1" s="1"/>
  <c r="I905" i="2"/>
  <c r="I905" i="1" s="1"/>
  <c r="H905" i="2"/>
  <c r="H905" i="1" s="1"/>
  <c r="G905" i="2"/>
  <c r="G905" i="1" s="1"/>
  <c r="F905" i="2"/>
  <c r="F905" i="1" s="1"/>
  <c r="E905" i="2"/>
  <c r="E905" i="1" s="1"/>
  <c r="D905" i="2"/>
  <c r="D905" i="1" s="1"/>
  <c r="C905" i="2"/>
  <c r="C905" i="1" s="1"/>
  <c r="O904" i="2"/>
  <c r="O904" i="1" s="1"/>
  <c r="N904" i="2"/>
  <c r="N904" i="1" s="1"/>
  <c r="M904" i="2"/>
  <c r="M904" i="1" s="1"/>
  <c r="L904" i="2"/>
  <c r="K904"/>
  <c r="K904" i="1" s="1"/>
  <c r="J904" i="2"/>
  <c r="J904" i="1" s="1"/>
  <c r="I904" i="2"/>
  <c r="I904" i="1" s="1"/>
  <c r="H904" i="2"/>
  <c r="H904" i="1" s="1"/>
  <c r="G904" i="2"/>
  <c r="G904" i="1" s="1"/>
  <c r="F904" i="2"/>
  <c r="F904" i="1" s="1"/>
  <c r="E904" i="2"/>
  <c r="E904" i="1" s="1"/>
  <c r="D904" i="2"/>
  <c r="D904" i="1" s="1"/>
  <c r="C904" i="2"/>
  <c r="C904" i="1" s="1"/>
  <c r="O903" i="2"/>
  <c r="O903" i="1" s="1"/>
  <c r="N903" i="2"/>
  <c r="N903" i="1" s="1"/>
  <c r="M903" i="2"/>
  <c r="M903" i="1" s="1"/>
  <c r="L903" i="2"/>
  <c r="K903"/>
  <c r="K903" i="1" s="1"/>
  <c r="J903" i="2"/>
  <c r="J903" i="1" s="1"/>
  <c r="I903" i="2"/>
  <c r="I903" i="1" s="1"/>
  <c r="H903" i="2"/>
  <c r="H903" i="1" s="1"/>
  <c r="G903" i="2"/>
  <c r="G903" i="1" s="1"/>
  <c r="F903" i="2"/>
  <c r="F903" i="1" s="1"/>
  <c r="E903" i="2"/>
  <c r="E903" i="1" s="1"/>
  <c r="D903" i="2"/>
  <c r="D903" i="1" s="1"/>
  <c r="C903" i="2"/>
  <c r="C903" i="1" s="1"/>
  <c r="O902" i="2"/>
  <c r="O902" i="1" s="1"/>
  <c r="N902" i="2"/>
  <c r="N902" i="1" s="1"/>
  <c r="M902" i="2"/>
  <c r="M902" i="1" s="1"/>
  <c r="L902" i="2"/>
  <c r="K902"/>
  <c r="K902" i="1" s="1"/>
  <c r="J902" i="2"/>
  <c r="J902" i="1" s="1"/>
  <c r="I902" i="2"/>
  <c r="I902" i="1" s="1"/>
  <c r="H902" i="2"/>
  <c r="H902" i="1" s="1"/>
  <c r="G902" i="2"/>
  <c r="G902" i="1" s="1"/>
  <c r="F902" i="2"/>
  <c r="F902" i="1" s="1"/>
  <c r="E902" i="2"/>
  <c r="E902" i="1" s="1"/>
  <c r="D902" i="2"/>
  <c r="D902" i="1" s="1"/>
  <c r="C902" i="2"/>
  <c r="C902" i="1" s="1"/>
  <c r="O901" i="2"/>
  <c r="O901" i="1" s="1"/>
  <c r="N901" i="2"/>
  <c r="N901" i="1" s="1"/>
  <c r="M901" i="2"/>
  <c r="M901" i="1" s="1"/>
  <c r="L901" i="2"/>
  <c r="K901"/>
  <c r="K901" i="1" s="1"/>
  <c r="J901" i="2"/>
  <c r="J901" i="1" s="1"/>
  <c r="I901" i="2"/>
  <c r="I901" i="1" s="1"/>
  <c r="H901" i="2"/>
  <c r="H901" i="1" s="1"/>
  <c r="G901" i="2"/>
  <c r="G901" i="1" s="1"/>
  <c r="F901" i="2"/>
  <c r="F901" i="1" s="1"/>
  <c r="E901" i="2"/>
  <c r="E901" i="1" s="1"/>
  <c r="D901" i="2"/>
  <c r="D901" i="1" s="1"/>
  <c r="C901" i="2"/>
  <c r="C901" i="1" s="1"/>
  <c r="O900" i="2"/>
  <c r="O900" i="1" s="1"/>
  <c r="N900" i="2"/>
  <c r="N900" i="1" s="1"/>
  <c r="M900" i="2"/>
  <c r="M900" i="1" s="1"/>
  <c r="L900" i="2"/>
  <c r="K900"/>
  <c r="K900" i="1" s="1"/>
  <c r="J900" i="2"/>
  <c r="J900" i="1" s="1"/>
  <c r="I900" i="2"/>
  <c r="I900" i="1" s="1"/>
  <c r="H900" i="2"/>
  <c r="H900" i="1" s="1"/>
  <c r="G900" i="2"/>
  <c r="G900" i="1" s="1"/>
  <c r="F900" i="2"/>
  <c r="F900" i="1" s="1"/>
  <c r="E900" i="2"/>
  <c r="E900" i="1" s="1"/>
  <c r="D900" i="2"/>
  <c r="D900" i="1" s="1"/>
  <c r="C900" i="2"/>
  <c r="C900" i="1" s="1"/>
  <c r="O899" i="2"/>
  <c r="O899" i="1" s="1"/>
  <c r="N899" i="2"/>
  <c r="N899" i="1" s="1"/>
  <c r="M899" i="2"/>
  <c r="M899" i="1" s="1"/>
  <c r="L899" i="2"/>
  <c r="K899"/>
  <c r="K899" i="1" s="1"/>
  <c r="J899" i="2"/>
  <c r="J899" i="1" s="1"/>
  <c r="I899" i="2"/>
  <c r="I899" i="1" s="1"/>
  <c r="H899" i="2"/>
  <c r="H899" i="1" s="1"/>
  <c r="G899" i="2"/>
  <c r="G899" i="1" s="1"/>
  <c r="F899" i="2"/>
  <c r="F899" i="1" s="1"/>
  <c r="E899" i="2"/>
  <c r="E899" i="1" s="1"/>
  <c r="D899" i="2"/>
  <c r="D899" i="1" s="1"/>
  <c r="C899" i="2"/>
  <c r="C899" i="1" s="1"/>
  <c r="O898" i="2"/>
  <c r="O898" i="1" s="1"/>
  <c r="N898" i="2"/>
  <c r="N898" i="1" s="1"/>
  <c r="M898" i="2"/>
  <c r="M898" i="1" s="1"/>
  <c r="L898" i="2"/>
  <c r="K898"/>
  <c r="K898" i="1" s="1"/>
  <c r="J898" i="2"/>
  <c r="J898" i="1" s="1"/>
  <c r="I898" i="2"/>
  <c r="I898" i="1" s="1"/>
  <c r="H898" i="2"/>
  <c r="H898" i="1" s="1"/>
  <c r="G898" i="2"/>
  <c r="G898" i="1" s="1"/>
  <c r="F898" i="2"/>
  <c r="F898" i="1" s="1"/>
  <c r="E898" i="2"/>
  <c r="E898" i="1" s="1"/>
  <c r="D898" i="2"/>
  <c r="D898" i="1" s="1"/>
  <c r="C898" i="2"/>
  <c r="C898" i="1" s="1"/>
  <c r="O897" i="2"/>
  <c r="O897" i="1" s="1"/>
  <c r="N897" i="2"/>
  <c r="N897" i="1" s="1"/>
  <c r="M897" i="2"/>
  <c r="M897" i="1" s="1"/>
  <c r="L897" i="2"/>
  <c r="K897"/>
  <c r="K897" i="1" s="1"/>
  <c r="J897" i="2"/>
  <c r="J897" i="1" s="1"/>
  <c r="I897" i="2"/>
  <c r="I897" i="1" s="1"/>
  <c r="H897" i="2"/>
  <c r="H897" i="1" s="1"/>
  <c r="G897" i="2"/>
  <c r="G897" i="1" s="1"/>
  <c r="F897" i="2"/>
  <c r="F897" i="1" s="1"/>
  <c r="E897" i="2"/>
  <c r="E897" i="1" s="1"/>
  <c r="D897" i="2"/>
  <c r="D897" i="1" s="1"/>
  <c r="C897" i="2"/>
  <c r="C897" i="1" s="1"/>
  <c r="O896" i="2"/>
  <c r="O896" i="1" s="1"/>
  <c r="N896" i="2"/>
  <c r="N896" i="1" s="1"/>
  <c r="M896" i="2"/>
  <c r="M896" i="1" s="1"/>
  <c r="L896" i="2"/>
  <c r="K896"/>
  <c r="K896" i="1" s="1"/>
  <c r="J896" i="2"/>
  <c r="J896" i="1" s="1"/>
  <c r="I896" i="2"/>
  <c r="I896" i="1" s="1"/>
  <c r="H896" i="2"/>
  <c r="H896" i="1" s="1"/>
  <c r="G896" i="2"/>
  <c r="G896" i="1" s="1"/>
  <c r="F896" i="2"/>
  <c r="F896" i="1" s="1"/>
  <c r="E896" i="2"/>
  <c r="E896" i="1" s="1"/>
  <c r="D896" i="2"/>
  <c r="D896" i="1" s="1"/>
  <c r="C896" i="2"/>
  <c r="C896" i="1" s="1"/>
  <c r="O895" i="2"/>
  <c r="O895" i="1" s="1"/>
  <c r="N895" i="2"/>
  <c r="N895" i="1" s="1"/>
  <c r="M895" i="2"/>
  <c r="M895" i="1" s="1"/>
  <c r="L895" i="2"/>
  <c r="K895"/>
  <c r="K895" i="1" s="1"/>
  <c r="J895" i="2"/>
  <c r="J895" i="1" s="1"/>
  <c r="I895" i="2"/>
  <c r="I895" i="1" s="1"/>
  <c r="H895" i="2"/>
  <c r="H895" i="1" s="1"/>
  <c r="G895" i="2"/>
  <c r="G895" i="1" s="1"/>
  <c r="F895" i="2"/>
  <c r="F895" i="1" s="1"/>
  <c r="E895" i="2"/>
  <c r="E895" i="1" s="1"/>
  <c r="D895" i="2"/>
  <c r="D895" i="1" s="1"/>
  <c r="C895" i="2"/>
  <c r="C895" i="1" s="1"/>
  <c r="O894" i="2"/>
  <c r="O894" i="1" s="1"/>
  <c r="N894" i="2"/>
  <c r="N894" i="1" s="1"/>
  <c r="M894" i="2"/>
  <c r="M894" i="1" s="1"/>
  <c r="L894" i="2"/>
  <c r="K894"/>
  <c r="K894" i="1" s="1"/>
  <c r="J894" i="2"/>
  <c r="J894" i="1" s="1"/>
  <c r="I894" i="2"/>
  <c r="I894" i="1" s="1"/>
  <c r="H894" i="2"/>
  <c r="H894" i="1" s="1"/>
  <c r="G894" i="2"/>
  <c r="G894" i="1" s="1"/>
  <c r="F894" i="2"/>
  <c r="F894" i="1" s="1"/>
  <c r="E894" i="2"/>
  <c r="E894" i="1" s="1"/>
  <c r="D894" i="2"/>
  <c r="D894" i="1" s="1"/>
  <c r="C894" i="2"/>
  <c r="C894" i="1" s="1"/>
  <c r="O893" i="2"/>
  <c r="O893" i="1" s="1"/>
  <c r="N893" i="2"/>
  <c r="N893" i="1" s="1"/>
  <c r="M893" i="2"/>
  <c r="M893" i="1" s="1"/>
  <c r="L893" i="2"/>
  <c r="K893"/>
  <c r="K893" i="1" s="1"/>
  <c r="J893" i="2"/>
  <c r="J893" i="1" s="1"/>
  <c r="I893" i="2"/>
  <c r="I893" i="1" s="1"/>
  <c r="H893" i="2"/>
  <c r="H893" i="1" s="1"/>
  <c r="G893" i="2"/>
  <c r="G893" i="1" s="1"/>
  <c r="F893" i="2"/>
  <c r="F893" i="1" s="1"/>
  <c r="E893" i="2"/>
  <c r="E893" i="1" s="1"/>
  <c r="D893" i="2"/>
  <c r="D893" i="1" s="1"/>
  <c r="C893" i="2"/>
  <c r="C893" i="1" s="1"/>
  <c r="O892" i="2"/>
  <c r="O892" i="1" s="1"/>
  <c r="N892" i="2"/>
  <c r="N892" i="1" s="1"/>
  <c r="M892" i="2"/>
  <c r="M892" i="1" s="1"/>
  <c r="L892" i="2"/>
  <c r="K892"/>
  <c r="K892" i="1" s="1"/>
  <c r="J892" i="2"/>
  <c r="J892" i="1" s="1"/>
  <c r="I892" i="2"/>
  <c r="I892" i="1" s="1"/>
  <c r="H892" i="2"/>
  <c r="H892" i="1" s="1"/>
  <c r="G892" i="2"/>
  <c r="G892" i="1" s="1"/>
  <c r="F892" i="2"/>
  <c r="F892" i="1" s="1"/>
  <c r="E892" i="2"/>
  <c r="E892" i="1" s="1"/>
  <c r="D892" i="2"/>
  <c r="D892" i="1" s="1"/>
  <c r="C892" i="2"/>
  <c r="C892" i="1" s="1"/>
  <c r="O891" i="2"/>
  <c r="O891" i="1" s="1"/>
  <c r="N891" i="2"/>
  <c r="N891" i="1" s="1"/>
  <c r="M891" i="2"/>
  <c r="M891" i="1" s="1"/>
  <c r="L891" i="2"/>
  <c r="K891"/>
  <c r="K891" i="1" s="1"/>
  <c r="J891" i="2"/>
  <c r="J891" i="1" s="1"/>
  <c r="I891" i="2"/>
  <c r="I891" i="1" s="1"/>
  <c r="H891" i="2"/>
  <c r="H891" i="1" s="1"/>
  <c r="G891" i="2"/>
  <c r="G891" i="1" s="1"/>
  <c r="F891" i="2"/>
  <c r="F891" i="1" s="1"/>
  <c r="E891" i="2"/>
  <c r="E891" i="1" s="1"/>
  <c r="D891" i="2"/>
  <c r="D891" i="1" s="1"/>
  <c r="C891" i="2"/>
  <c r="C891" i="1" s="1"/>
  <c r="O890" i="2"/>
  <c r="O890" i="1" s="1"/>
  <c r="N890" i="2"/>
  <c r="N890" i="1" s="1"/>
  <c r="M890" i="2"/>
  <c r="M890" i="1" s="1"/>
  <c r="L890" i="2"/>
  <c r="K890"/>
  <c r="K890" i="1" s="1"/>
  <c r="J890" i="2"/>
  <c r="J890" i="1" s="1"/>
  <c r="I890" i="2"/>
  <c r="I890" i="1" s="1"/>
  <c r="H890" i="2"/>
  <c r="H890" i="1" s="1"/>
  <c r="G890" i="2"/>
  <c r="G890" i="1" s="1"/>
  <c r="F890" i="2"/>
  <c r="F890" i="1" s="1"/>
  <c r="E890" i="2"/>
  <c r="E890" i="1" s="1"/>
  <c r="D890" i="2"/>
  <c r="D890" i="1" s="1"/>
  <c r="C890" i="2"/>
  <c r="C890" i="1" s="1"/>
  <c r="O889" i="2"/>
  <c r="O889" i="1" s="1"/>
  <c r="N889" i="2"/>
  <c r="N889" i="1" s="1"/>
  <c r="M889" i="2"/>
  <c r="M889" i="1" s="1"/>
  <c r="L889" i="2"/>
  <c r="K889"/>
  <c r="K889" i="1" s="1"/>
  <c r="J889" i="2"/>
  <c r="J889" i="1" s="1"/>
  <c r="I889" i="2"/>
  <c r="I889" i="1" s="1"/>
  <c r="H889" i="2"/>
  <c r="H889" i="1" s="1"/>
  <c r="G889" i="2"/>
  <c r="G889" i="1" s="1"/>
  <c r="F889" i="2"/>
  <c r="F889" i="1" s="1"/>
  <c r="E889" i="2"/>
  <c r="E889" i="1" s="1"/>
  <c r="D889" i="2"/>
  <c r="D889" i="1" s="1"/>
  <c r="C889" i="2"/>
  <c r="C889" i="1" s="1"/>
  <c r="O888" i="2"/>
  <c r="O888" i="1" s="1"/>
  <c r="N888" i="2"/>
  <c r="N888" i="1" s="1"/>
  <c r="M888" i="2"/>
  <c r="M888" i="1" s="1"/>
  <c r="L888" i="2"/>
  <c r="K888"/>
  <c r="K888" i="1" s="1"/>
  <c r="J888" i="2"/>
  <c r="J888" i="1" s="1"/>
  <c r="I888" i="2"/>
  <c r="I888" i="1" s="1"/>
  <c r="H888" i="2"/>
  <c r="H888" i="1" s="1"/>
  <c r="G888" i="2"/>
  <c r="G888" i="1" s="1"/>
  <c r="F888" i="2"/>
  <c r="F888" i="1" s="1"/>
  <c r="E888" i="2"/>
  <c r="E888" i="1" s="1"/>
  <c r="D888" i="2"/>
  <c r="D888" i="1" s="1"/>
  <c r="C888" i="2"/>
  <c r="C888" i="1" s="1"/>
  <c r="O887" i="2"/>
  <c r="O887" i="1" s="1"/>
  <c r="N887" i="2"/>
  <c r="N887" i="1" s="1"/>
  <c r="M887" i="2"/>
  <c r="M887" i="1" s="1"/>
  <c r="L887" i="2"/>
  <c r="K887"/>
  <c r="K887" i="1" s="1"/>
  <c r="J887" i="2"/>
  <c r="J887" i="1" s="1"/>
  <c r="I887" i="2"/>
  <c r="I887" i="1" s="1"/>
  <c r="H887" i="2"/>
  <c r="H887" i="1" s="1"/>
  <c r="G887" i="2"/>
  <c r="G887" i="1" s="1"/>
  <c r="F887" i="2"/>
  <c r="F887" i="1" s="1"/>
  <c r="E887" i="2"/>
  <c r="E887" i="1" s="1"/>
  <c r="D887" i="2"/>
  <c r="D887" i="1" s="1"/>
  <c r="C887" i="2"/>
  <c r="C887" i="1" s="1"/>
  <c r="O886" i="2"/>
  <c r="O886" i="1" s="1"/>
  <c r="N886" i="2"/>
  <c r="N886" i="1" s="1"/>
  <c r="M886" i="2"/>
  <c r="M886" i="1" s="1"/>
  <c r="L886" i="2"/>
  <c r="K886"/>
  <c r="K886" i="1" s="1"/>
  <c r="J886" i="2"/>
  <c r="J886" i="1" s="1"/>
  <c r="I886" i="2"/>
  <c r="I886" i="1" s="1"/>
  <c r="H886" i="2"/>
  <c r="H886" i="1" s="1"/>
  <c r="G886" i="2"/>
  <c r="G886" i="1" s="1"/>
  <c r="F886" i="2"/>
  <c r="F886" i="1" s="1"/>
  <c r="E886" i="2"/>
  <c r="E886" i="1" s="1"/>
  <c r="D886" i="2"/>
  <c r="D886" i="1" s="1"/>
  <c r="C886" i="2"/>
  <c r="C886" i="1" s="1"/>
  <c r="O885" i="2"/>
  <c r="O885" i="1" s="1"/>
  <c r="N885" i="2"/>
  <c r="N885" i="1" s="1"/>
  <c r="M885" i="2"/>
  <c r="M885" i="1" s="1"/>
  <c r="L885" i="2"/>
  <c r="K885"/>
  <c r="K885" i="1" s="1"/>
  <c r="J885" i="2"/>
  <c r="J885" i="1" s="1"/>
  <c r="I885" i="2"/>
  <c r="I885" i="1" s="1"/>
  <c r="H885" i="2"/>
  <c r="H885" i="1" s="1"/>
  <c r="G885" i="2"/>
  <c r="G885" i="1" s="1"/>
  <c r="F885" i="2"/>
  <c r="F885" i="1" s="1"/>
  <c r="E885" i="2"/>
  <c r="E885" i="1" s="1"/>
  <c r="D885" i="2"/>
  <c r="D885" i="1" s="1"/>
  <c r="C885" i="2"/>
  <c r="C885" i="1" s="1"/>
  <c r="O884" i="2"/>
  <c r="O884" i="1" s="1"/>
  <c r="N884" i="2"/>
  <c r="N884" i="1" s="1"/>
  <c r="M884" i="2"/>
  <c r="M884" i="1" s="1"/>
  <c r="L884" i="2"/>
  <c r="K884"/>
  <c r="K884" i="1" s="1"/>
  <c r="J884" i="2"/>
  <c r="J884" i="1" s="1"/>
  <c r="I884" i="2"/>
  <c r="I884" i="1" s="1"/>
  <c r="H884" i="2"/>
  <c r="H884" i="1" s="1"/>
  <c r="G884" i="2"/>
  <c r="G884" i="1" s="1"/>
  <c r="F884" i="2"/>
  <c r="F884" i="1" s="1"/>
  <c r="E884" i="2"/>
  <c r="E884" i="1" s="1"/>
  <c r="D884" i="2"/>
  <c r="D884" i="1" s="1"/>
  <c r="C884" i="2"/>
  <c r="C884" i="1" s="1"/>
  <c r="O883" i="2"/>
  <c r="O883" i="1" s="1"/>
  <c r="N883" i="2"/>
  <c r="N883" i="1" s="1"/>
  <c r="M883" i="2"/>
  <c r="M883" i="1" s="1"/>
  <c r="L883" i="2"/>
  <c r="K883"/>
  <c r="K883" i="1" s="1"/>
  <c r="J883" i="2"/>
  <c r="J883" i="1" s="1"/>
  <c r="I883" i="2"/>
  <c r="I883" i="1" s="1"/>
  <c r="H883" i="2"/>
  <c r="H883" i="1" s="1"/>
  <c r="G883" i="2"/>
  <c r="G883" i="1" s="1"/>
  <c r="F883" i="2"/>
  <c r="F883" i="1" s="1"/>
  <c r="E883" i="2"/>
  <c r="E883" i="1" s="1"/>
  <c r="D883" i="2"/>
  <c r="D883" i="1" s="1"/>
  <c r="C883" i="2"/>
  <c r="C883" i="1" s="1"/>
  <c r="O882" i="2"/>
  <c r="O882" i="1" s="1"/>
  <c r="N882" i="2"/>
  <c r="N882" i="1" s="1"/>
  <c r="M882" i="2"/>
  <c r="M882" i="1" s="1"/>
  <c r="L882" i="2"/>
  <c r="K882"/>
  <c r="K882" i="1" s="1"/>
  <c r="J882" i="2"/>
  <c r="J882" i="1" s="1"/>
  <c r="I882" i="2"/>
  <c r="I882" i="1" s="1"/>
  <c r="H882" i="2"/>
  <c r="H882" i="1" s="1"/>
  <c r="G882" i="2"/>
  <c r="G882" i="1" s="1"/>
  <c r="F882" i="2"/>
  <c r="F882" i="1" s="1"/>
  <c r="E882" i="2"/>
  <c r="E882" i="1" s="1"/>
  <c r="D882" i="2"/>
  <c r="D882" i="1" s="1"/>
  <c r="C882" i="2"/>
  <c r="C882" i="1" s="1"/>
  <c r="O881" i="2"/>
  <c r="O881" i="1" s="1"/>
  <c r="N881" i="2"/>
  <c r="N881" i="1" s="1"/>
  <c r="M881" i="2"/>
  <c r="M881" i="1" s="1"/>
  <c r="L881" i="2"/>
  <c r="K881"/>
  <c r="K881" i="1" s="1"/>
  <c r="J881" i="2"/>
  <c r="J881" i="1" s="1"/>
  <c r="I881" i="2"/>
  <c r="I881" i="1" s="1"/>
  <c r="H881" i="2"/>
  <c r="H881" i="1" s="1"/>
  <c r="G881" i="2"/>
  <c r="G881" i="1" s="1"/>
  <c r="F881" i="2"/>
  <c r="F881" i="1" s="1"/>
  <c r="E881" i="2"/>
  <c r="E881" i="1" s="1"/>
  <c r="D881" i="2"/>
  <c r="D881" i="1" s="1"/>
  <c r="C881" i="2"/>
  <c r="C881" i="1" s="1"/>
  <c r="O880" i="2"/>
  <c r="O880" i="1" s="1"/>
  <c r="N880" i="2"/>
  <c r="N880" i="1" s="1"/>
  <c r="M880" i="2"/>
  <c r="M880" i="1" s="1"/>
  <c r="L880" i="2"/>
  <c r="K880"/>
  <c r="K880" i="1" s="1"/>
  <c r="J880" i="2"/>
  <c r="J880" i="1" s="1"/>
  <c r="I880" i="2"/>
  <c r="I880" i="1" s="1"/>
  <c r="H880" i="2"/>
  <c r="H880" i="1" s="1"/>
  <c r="G880" i="2"/>
  <c r="G880" i="1" s="1"/>
  <c r="F880" i="2"/>
  <c r="F880" i="1" s="1"/>
  <c r="E880" i="2"/>
  <c r="E880" i="1" s="1"/>
  <c r="D880" i="2"/>
  <c r="D880" i="1" s="1"/>
  <c r="C880" i="2"/>
  <c r="C880" i="1" s="1"/>
  <c r="O879" i="2"/>
  <c r="O879" i="1" s="1"/>
  <c r="N879" i="2"/>
  <c r="N879" i="1" s="1"/>
  <c r="M879" i="2"/>
  <c r="M879" i="1" s="1"/>
  <c r="L879" i="2"/>
  <c r="K879"/>
  <c r="K879" i="1" s="1"/>
  <c r="J879" i="2"/>
  <c r="J879" i="1" s="1"/>
  <c r="I879" i="2"/>
  <c r="I879" i="1" s="1"/>
  <c r="H879" i="2"/>
  <c r="H879" i="1" s="1"/>
  <c r="G879" i="2"/>
  <c r="G879" i="1" s="1"/>
  <c r="F879" i="2"/>
  <c r="F879" i="1" s="1"/>
  <c r="E879" i="2"/>
  <c r="E879" i="1" s="1"/>
  <c r="D879" i="2"/>
  <c r="D879" i="1" s="1"/>
  <c r="C879" i="2"/>
  <c r="C879" i="1" s="1"/>
  <c r="O878" i="2"/>
  <c r="O878" i="1" s="1"/>
  <c r="N878" i="2"/>
  <c r="N878" i="1" s="1"/>
  <c r="M878" i="2"/>
  <c r="M878" i="1" s="1"/>
  <c r="L878" i="2"/>
  <c r="K878"/>
  <c r="K878" i="1" s="1"/>
  <c r="J878" i="2"/>
  <c r="J878" i="1" s="1"/>
  <c r="I878" i="2"/>
  <c r="I878" i="1" s="1"/>
  <c r="H878" i="2"/>
  <c r="H878" i="1" s="1"/>
  <c r="G878" i="2"/>
  <c r="G878" i="1" s="1"/>
  <c r="F878" i="2"/>
  <c r="F878" i="1" s="1"/>
  <c r="E878" i="2"/>
  <c r="E878" i="1" s="1"/>
  <c r="D878" i="2"/>
  <c r="D878" i="1" s="1"/>
  <c r="C878" i="2"/>
  <c r="C878" i="1" s="1"/>
  <c r="O877" i="2"/>
  <c r="O877" i="1" s="1"/>
  <c r="N877" i="2"/>
  <c r="N877" i="1" s="1"/>
  <c r="M877" i="2"/>
  <c r="M877" i="1" s="1"/>
  <c r="L877" i="2"/>
  <c r="K877"/>
  <c r="K877" i="1" s="1"/>
  <c r="J877" i="2"/>
  <c r="J877" i="1" s="1"/>
  <c r="I877" i="2"/>
  <c r="I877" i="1" s="1"/>
  <c r="H877" i="2"/>
  <c r="H877" i="1" s="1"/>
  <c r="G877" i="2"/>
  <c r="G877" i="1" s="1"/>
  <c r="F877" i="2"/>
  <c r="F877" i="1" s="1"/>
  <c r="E877" i="2"/>
  <c r="E877" i="1" s="1"/>
  <c r="D877" i="2"/>
  <c r="D877" i="1" s="1"/>
  <c r="C877" i="2"/>
  <c r="C877" i="1" s="1"/>
  <c r="O876" i="2"/>
  <c r="O876" i="1" s="1"/>
  <c r="N876" i="2"/>
  <c r="N876" i="1" s="1"/>
  <c r="M876" i="2"/>
  <c r="M876" i="1" s="1"/>
  <c r="L876" i="2"/>
  <c r="K876"/>
  <c r="K876" i="1" s="1"/>
  <c r="J876" i="2"/>
  <c r="J876" i="1" s="1"/>
  <c r="I876" i="2"/>
  <c r="I876" i="1" s="1"/>
  <c r="H876" i="2"/>
  <c r="H876" i="1" s="1"/>
  <c r="G876" i="2"/>
  <c r="G876" i="1" s="1"/>
  <c r="F876" i="2"/>
  <c r="F876" i="1" s="1"/>
  <c r="E876" i="2"/>
  <c r="E876" i="1" s="1"/>
  <c r="D876" i="2"/>
  <c r="D876" i="1" s="1"/>
  <c r="C876" i="2"/>
  <c r="C876" i="1" s="1"/>
  <c r="O875" i="2"/>
  <c r="O875" i="1" s="1"/>
  <c r="N875" i="2"/>
  <c r="N875" i="1" s="1"/>
  <c r="M875" i="2"/>
  <c r="M875" i="1" s="1"/>
  <c r="L875" i="2"/>
  <c r="K875"/>
  <c r="K875" i="1" s="1"/>
  <c r="J875" i="2"/>
  <c r="J875" i="1" s="1"/>
  <c r="I875" i="2"/>
  <c r="I875" i="1" s="1"/>
  <c r="H875" i="2"/>
  <c r="H875" i="1" s="1"/>
  <c r="G875" i="2"/>
  <c r="G875" i="1" s="1"/>
  <c r="F875" i="2"/>
  <c r="F875" i="1" s="1"/>
  <c r="E875" i="2"/>
  <c r="E875" i="1" s="1"/>
  <c r="D875" i="2"/>
  <c r="D875" i="1" s="1"/>
  <c r="C875" i="2"/>
  <c r="C875" i="1" s="1"/>
  <c r="O874" i="2"/>
  <c r="O874" i="1" s="1"/>
  <c r="N874" i="2"/>
  <c r="N874" i="1" s="1"/>
  <c r="M874" i="2"/>
  <c r="M874" i="1" s="1"/>
  <c r="L874" i="2"/>
  <c r="K874"/>
  <c r="K874" i="1" s="1"/>
  <c r="J874" i="2"/>
  <c r="J874" i="1" s="1"/>
  <c r="I874" i="2"/>
  <c r="I874" i="1" s="1"/>
  <c r="H874" i="2"/>
  <c r="H874" i="1" s="1"/>
  <c r="G874" i="2"/>
  <c r="G874" i="1" s="1"/>
  <c r="F874" i="2"/>
  <c r="F874" i="1" s="1"/>
  <c r="E874" i="2"/>
  <c r="E874" i="1" s="1"/>
  <c r="D874" i="2"/>
  <c r="D874" i="1" s="1"/>
  <c r="C874" i="2"/>
  <c r="C874" i="1" s="1"/>
  <c r="O873" i="2"/>
  <c r="O873" i="1" s="1"/>
  <c r="N873" i="2"/>
  <c r="N873" i="1" s="1"/>
  <c r="M873" i="2"/>
  <c r="M873" i="1" s="1"/>
  <c r="L873" i="2"/>
  <c r="K873"/>
  <c r="K873" i="1" s="1"/>
  <c r="J873" i="2"/>
  <c r="J873" i="1" s="1"/>
  <c r="I873" i="2"/>
  <c r="I873" i="1" s="1"/>
  <c r="H873" i="2"/>
  <c r="H873" i="1" s="1"/>
  <c r="G873" i="2"/>
  <c r="G873" i="1" s="1"/>
  <c r="F873" i="2"/>
  <c r="F873" i="1" s="1"/>
  <c r="E873" i="2"/>
  <c r="E873" i="1" s="1"/>
  <c r="D873" i="2"/>
  <c r="D873" i="1" s="1"/>
  <c r="C873" i="2"/>
  <c r="C873" i="1" s="1"/>
  <c r="O872" i="2"/>
  <c r="O872" i="1" s="1"/>
  <c r="N872" i="2"/>
  <c r="N872" i="1" s="1"/>
  <c r="M872" i="2"/>
  <c r="M872" i="1" s="1"/>
  <c r="L872" i="2"/>
  <c r="K872"/>
  <c r="K872" i="1" s="1"/>
  <c r="J872" i="2"/>
  <c r="J872" i="1" s="1"/>
  <c r="I872" i="2"/>
  <c r="I872" i="1" s="1"/>
  <c r="H872" i="2"/>
  <c r="H872" i="1" s="1"/>
  <c r="G872" i="2"/>
  <c r="G872" i="1" s="1"/>
  <c r="F872" i="2"/>
  <c r="F872" i="1" s="1"/>
  <c r="E872" i="2"/>
  <c r="E872" i="1" s="1"/>
  <c r="D872" i="2"/>
  <c r="D872" i="1" s="1"/>
  <c r="C872" i="2"/>
  <c r="C872" i="1" s="1"/>
  <c r="O871" i="2"/>
  <c r="O871" i="1" s="1"/>
  <c r="N871" i="2"/>
  <c r="N871" i="1" s="1"/>
  <c r="M871" i="2"/>
  <c r="M871" i="1" s="1"/>
  <c r="L871" i="2"/>
  <c r="K871"/>
  <c r="K871" i="1" s="1"/>
  <c r="J871" i="2"/>
  <c r="J871" i="1" s="1"/>
  <c r="I871" i="2"/>
  <c r="I871" i="1" s="1"/>
  <c r="H871" i="2"/>
  <c r="H871" i="1" s="1"/>
  <c r="G871" i="2"/>
  <c r="G871" i="1" s="1"/>
  <c r="F871" i="2"/>
  <c r="F871" i="1" s="1"/>
  <c r="E871" i="2"/>
  <c r="E871" i="1" s="1"/>
  <c r="D871" i="2"/>
  <c r="D871" i="1" s="1"/>
  <c r="C871" i="2"/>
  <c r="C871" i="1" s="1"/>
  <c r="O870" i="2"/>
  <c r="O870" i="1" s="1"/>
  <c r="N870" i="2"/>
  <c r="N870" i="1" s="1"/>
  <c r="M870" i="2"/>
  <c r="M870" i="1" s="1"/>
  <c r="L870" i="2"/>
  <c r="K870"/>
  <c r="K870" i="1" s="1"/>
  <c r="J870" i="2"/>
  <c r="J870" i="1" s="1"/>
  <c r="I870" i="2"/>
  <c r="I870" i="1" s="1"/>
  <c r="H870" i="2"/>
  <c r="H870" i="1" s="1"/>
  <c r="G870" i="2"/>
  <c r="G870" i="1" s="1"/>
  <c r="F870" i="2"/>
  <c r="F870" i="1" s="1"/>
  <c r="E870" i="2"/>
  <c r="E870" i="1" s="1"/>
  <c r="D870" i="2"/>
  <c r="D870" i="1" s="1"/>
  <c r="C870" i="2"/>
  <c r="C870" i="1" s="1"/>
  <c r="O869" i="2"/>
  <c r="O869" i="1" s="1"/>
  <c r="N869" i="2"/>
  <c r="N869" i="1" s="1"/>
  <c r="M869" i="2"/>
  <c r="M869" i="1" s="1"/>
  <c r="L869" i="2"/>
  <c r="K869"/>
  <c r="K869" i="1" s="1"/>
  <c r="J869" i="2"/>
  <c r="J869" i="1" s="1"/>
  <c r="I869" i="2"/>
  <c r="I869" i="1" s="1"/>
  <c r="H869" i="2"/>
  <c r="H869" i="1" s="1"/>
  <c r="G869" i="2"/>
  <c r="G869" i="1" s="1"/>
  <c r="F869" i="2"/>
  <c r="F869" i="1" s="1"/>
  <c r="E869" i="2"/>
  <c r="E869" i="1" s="1"/>
  <c r="D869" i="2"/>
  <c r="D869" i="1" s="1"/>
  <c r="C869" i="2"/>
  <c r="C869" i="1" s="1"/>
  <c r="O868" i="2"/>
  <c r="O868" i="1" s="1"/>
  <c r="N868" i="2"/>
  <c r="N868" i="1" s="1"/>
  <c r="M868" i="2"/>
  <c r="M868" i="1" s="1"/>
  <c r="L868" i="2"/>
  <c r="K868"/>
  <c r="K868" i="1" s="1"/>
  <c r="J868" i="2"/>
  <c r="J868" i="1" s="1"/>
  <c r="I868" i="2"/>
  <c r="I868" i="1" s="1"/>
  <c r="H868" i="2"/>
  <c r="H868" i="1" s="1"/>
  <c r="G868" i="2"/>
  <c r="G868" i="1" s="1"/>
  <c r="F868" i="2"/>
  <c r="F868" i="1" s="1"/>
  <c r="E868" i="2"/>
  <c r="E868" i="1" s="1"/>
  <c r="D868" i="2"/>
  <c r="D868" i="1" s="1"/>
  <c r="C868" i="2"/>
  <c r="C868" i="1" s="1"/>
  <c r="O867" i="2"/>
  <c r="O867" i="1" s="1"/>
  <c r="N867" i="2"/>
  <c r="N867" i="1" s="1"/>
  <c r="M867" i="2"/>
  <c r="M867" i="1" s="1"/>
  <c r="L867" i="2"/>
  <c r="K867"/>
  <c r="K867" i="1" s="1"/>
  <c r="J867" i="2"/>
  <c r="J867" i="1" s="1"/>
  <c r="I867" i="2"/>
  <c r="I867" i="1" s="1"/>
  <c r="H867" i="2"/>
  <c r="H867" i="1" s="1"/>
  <c r="G867" i="2"/>
  <c r="G867" i="1" s="1"/>
  <c r="F867" i="2"/>
  <c r="F867" i="1" s="1"/>
  <c r="E867" i="2"/>
  <c r="E867" i="1" s="1"/>
  <c r="D867" i="2"/>
  <c r="D867" i="1" s="1"/>
  <c r="C867" i="2"/>
  <c r="C867" i="1" s="1"/>
  <c r="O866" i="2"/>
  <c r="O866" i="1" s="1"/>
  <c r="N866" i="2"/>
  <c r="N866" i="1" s="1"/>
  <c r="M866" i="2"/>
  <c r="M866" i="1" s="1"/>
  <c r="L866" i="2"/>
  <c r="K866"/>
  <c r="K866" i="1" s="1"/>
  <c r="J866" i="2"/>
  <c r="J866" i="1" s="1"/>
  <c r="I866" i="2"/>
  <c r="I866" i="1" s="1"/>
  <c r="H866" i="2"/>
  <c r="H866" i="1" s="1"/>
  <c r="G866" i="2"/>
  <c r="G866" i="1" s="1"/>
  <c r="F866" i="2"/>
  <c r="F866" i="1" s="1"/>
  <c r="E866" i="2"/>
  <c r="E866" i="1" s="1"/>
  <c r="D866" i="2"/>
  <c r="D866" i="1" s="1"/>
  <c r="C866" i="2"/>
  <c r="C866" i="1" s="1"/>
  <c r="O865" i="2"/>
  <c r="O865" i="1" s="1"/>
  <c r="N865" i="2"/>
  <c r="N865" i="1" s="1"/>
  <c r="M865" i="2"/>
  <c r="M865" i="1" s="1"/>
  <c r="L865" i="2"/>
  <c r="K865"/>
  <c r="K865" i="1" s="1"/>
  <c r="J865" i="2"/>
  <c r="J865" i="1" s="1"/>
  <c r="I865" i="2"/>
  <c r="I865" i="1" s="1"/>
  <c r="H865" i="2"/>
  <c r="H865" i="1" s="1"/>
  <c r="G865" i="2"/>
  <c r="G865" i="1" s="1"/>
  <c r="F865" i="2"/>
  <c r="F865" i="1" s="1"/>
  <c r="E865" i="2"/>
  <c r="E865" i="1" s="1"/>
  <c r="D865" i="2"/>
  <c r="D865" i="1" s="1"/>
  <c r="C865" i="2"/>
  <c r="C865" i="1" s="1"/>
  <c r="O864" i="2"/>
  <c r="O864" i="1" s="1"/>
  <c r="N864" i="2"/>
  <c r="N864" i="1" s="1"/>
  <c r="M864" i="2"/>
  <c r="M864" i="1" s="1"/>
  <c r="L864" i="2"/>
  <c r="K864"/>
  <c r="K864" i="1" s="1"/>
  <c r="J864" i="2"/>
  <c r="J864" i="1" s="1"/>
  <c r="I864" i="2"/>
  <c r="I864" i="1" s="1"/>
  <c r="H864" i="2"/>
  <c r="H864" i="1" s="1"/>
  <c r="G864" i="2"/>
  <c r="G864" i="1" s="1"/>
  <c r="F864" i="2"/>
  <c r="F864" i="1" s="1"/>
  <c r="E864" i="2"/>
  <c r="E864" i="1" s="1"/>
  <c r="D864" i="2"/>
  <c r="D864" i="1" s="1"/>
  <c r="C864" i="2"/>
  <c r="C864" i="1" s="1"/>
  <c r="O863" i="2"/>
  <c r="O863" i="1" s="1"/>
  <c r="N863" i="2"/>
  <c r="N863" i="1" s="1"/>
  <c r="M863" i="2"/>
  <c r="M863" i="1" s="1"/>
  <c r="L863" i="2"/>
  <c r="K863"/>
  <c r="K863" i="1" s="1"/>
  <c r="J863" i="2"/>
  <c r="J863" i="1" s="1"/>
  <c r="I863" i="2"/>
  <c r="I863" i="1" s="1"/>
  <c r="H863" i="2"/>
  <c r="H863" i="1" s="1"/>
  <c r="G863" i="2"/>
  <c r="G863" i="1" s="1"/>
  <c r="F863" i="2"/>
  <c r="F863" i="1" s="1"/>
  <c r="E863" i="2"/>
  <c r="E863" i="1" s="1"/>
  <c r="D863" i="2"/>
  <c r="D863" i="1" s="1"/>
  <c r="C863" i="2"/>
  <c r="C863" i="1" s="1"/>
  <c r="O862" i="2"/>
  <c r="O862" i="1" s="1"/>
  <c r="N862" i="2"/>
  <c r="N862" i="1" s="1"/>
  <c r="M862" i="2"/>
  <c r="M862" i="1" s="1"/>
  <c r="L862" i="2"/>
  <c r="K862"/>
  <c r="K862" i="1" s="1"/>
  <c r="J862" i="2"/>
  <c r="J862" i="1" s="1"/>
  <c r="I862" i="2"/>
  <c r="I862" i="1" s="1"/>
  <c r="H862" i="2"/>
  <c r="H862" i="1" s="1"/>
  <c r="G862" i="2"/>
  <c r="G862" i="1" s="1"/>
  <c r="F862" i="2"/>
  <c r="F862" i="1" s="1"/>
  <c r="E862" i="2"/>
  <c r="E862" i="1" s="1"/>
  <c r="D862" i="2"/>
  <c r="D862" i="1" s="1"/>
  <c r="C862" i="2"/>
  <c r="C862" i="1" s="1"/>
  <c r="O861" i="2"/>
  <c r="O861" i="1" s="1"/>
  <c r="N861" i="2"/>
  <c r="N861" i="1" s="1"/>
  <c r="M861" i="2"/>
  <c r="M861" i="1" s="1"/>
  <c r="L861" i="2"/>
  <c r="K861"/>
  <c r="K861" i="1" s="1"/>
  <c r="J861" i="2"/>
  <c r="J861" i="1" s="1"/>
  <c r="I861" i="2"/>
  <c r="I861" i="1" s="1"/>
  <c r="H861" i="2"/>
  <c r="H861" i="1" s="1"/>
  <c r="G861" i="2"/>
  <c r="G861" i="1" s="1"/>
  <c r="F861" i="2"/>
  <c r="F861" i="1" s="1"/>
  <c r="E861" i="2"/>
  <c r="E861" i="1" s="1"/>
  <c r="D861" i="2"/>
  <c r="D861" i="1" s="1"/>
  <c r="C861" i="2"/>
  <c r="C861" i="1" s="1"/>
  <c r="O860" i="2"/>
  <c r="O860" i="1" s="1"/>
  <c r="N860" i="2"/>
  <c r="N860" i="1" s="1"/>
  <c r="M860" i="2"/>
  <c r="M860" i="1" s="1"/>
  <c r="L860" i="2"/>
  <c r="K860"/>
  <c r="K860" i="1" s="1"/>
  <c r="J860" i="2"/>
  <c r="J860" i="1" s="1"/>
  <c r="I860" i="2"/>
  <c r="I860" i="1" s="1"/>
  <c r="H860" i="2"/>
  <c r="H860" i="1" s="1"/>
  <c r="G860" i="2"/>
  <c r="G860" i="1" s="1"/>
  <c r="F860" i="2"/>
  <c r="F860" i="1" s="1"/>
  <c r="E860" i="2"/>
  <c r="E860" i="1" s="1"/>
  <c r="D860" i="2"/>
  <c r="D860" i="1" s="1"/>
  <c r="C860" i="2"/>
  <c r="C860" i="1" s="1"/>
  <c r="O859" i="2"/>
  <c r="O859" i="1" s="1"/>
  <c r="N859" i="2"/>
  <c r="N859" i="1" s="1"/>
  <c r="M859" i="2"/>
  <c r="M859" i="1" s="1"/>
  <c r="L859" i="2"/>
  <c r="K859"/>
  <c r="K859" i="1" s="1"/>
  <c r="J859" i="2"/>
  <c r="J859" i="1" s="1"/>
  <c r="I859" i="2"/>
  <c r="I859" i="1" s="1"/>
  <c r="H859" i="2"/>
  <c r="H859" i="1" s="1"/>
  <c r="G859" i="2"/>
  <c r="G859" i="1" s="1"/>
  <c r="F859" i="2"/>
  <c r="F859" i="1" s="1"/>
  <c r="E859" i="2"/>
  <c r="E859" i="1" s="1"/>
  <c r="D859" i="2"/>
  <c r="D859" i="1" s="1"/>
  <c r="C859" i="2"/>
  <c r="C859" i="1" s="1"/>
  <c r="O858" i="2"/>
  <c r="O858" i="1" s="1"/>
  <c r="N858" i="2"/>
  <c r="N858" i="1" s="1"/>
  <c r="M858" i="2"/>
  <c r="M858" i="1" s="1"/>
  <c r="L858" i="2"/>
  <c r="K858"/>
  <c r="K858" i="1" s="1"/>
  <c r="J858" i="2"/>
  <c r="J858" i="1" s="1"/>
  <c r="I858" i="2"/>
  <c r="I858" i="1" s="1"/>
  <c r="H858" i="2"/>
  <c r="H858" i="1" s="1"/>
  <c r="G858" i="2"/>
  <c r="G858" i="1" s="1"/>
  <c r="F858" i="2"/>
  <c r="F858" i="1" s="1"/>
  <c r="E858" i="2"/>
  <c r="E858" i="1" s="1"/>
  <c r="D858" i="2"/>
  <c r="D858" i="1" s="1"/>
  <c r="C858" i="2"/>
  <c r="C858" i="1" s="1"/>
  <c r="O857" i="2"/>
  <c r="O857" i="1" s="1"/>
  <c r="N857" i="2"/>
  <c r="N857" i="1" s="1"/>
  <c r="M857" i="2"/>
  <c r="M857" i="1" s="1"/>
  <c r="L857" i="2"/>
  <c r="K857"/>
  <c r="K857" i="1" s="1"/>
  <c r="J857" i="2"/>
  <c r="J857" i="1" s="1"/>
  <c r="I857" i="2"/>
  <c r="I857" i="1" s="1"/>
  <c r="H857" i="2"/>
  <c r="H857" i="1" s="1"/>
  <c r="G857" i="2"/>
  <c r="G857" i="1" s="1"/>
  <c r="F857" i="2"/>
  <c r="F857" i="1" s="1"/>
  <c r="E857" i="2"/>
  <c r="E857" i="1" s="1"/>
  <c r="D857" i="2"/>
  <c r="D857" i="1" s="1"/>
  <c r="C857" i="2"/>
  <c r="C857" i="1" s="1"/>
  <c r="O856" i="2"/>
  <c r="O856" i="1" s="1"/>
  <c r="N856" i="2"/>
  <c r="N856" i="1" s="1"/>
  <c r="M856" i="2"/>
  <c r="M856" i="1" s="1"/>
  <c r="L856" i="2"/>
  <c r="K856"/>
  <c r="K856" i="1" s="1"/>
  <c r="J856" i="2"/>
  <c r="J856" i="1" s="1"/>
  <c r="I856" i="2"/>
  <c r="I856" i="1" s="1"/>
  <c r="H856" i="2"/>
  <c r="H856" i="1" s="1"/>
  <c r="G856" i="2"/>
  <c r="G856" i="1" s="1"/>
  <c r="F856" i="2"/>
  <c r="F856" i="1" s="1"/>
  <c r="E856" i="2"/>
  <c r="E856" i="1" s="1"/>
  <c r="D856" i="2"/>
  <c r="D856" i="1" s="1"/>
  <c r="C856" i="2"/>
  <c r="C856" i="1" s="1"/>
  <c r="O855" i="2"/>
  <c r="O855" i="1" s="1"/>
  <c r="N855" i="2"/>
  <c r="N855" i="1" s="1"/>
  <c r="M855" i="2"/>
  <c r="M855" i="1" s="1"/>
  <c r="L855" i="2"/>
  <c r="K855"/>
  <c r="K855" i="1" s="1"/>
  <c r="J855" i="2"/>
  <c r="J855" i="1" s="1"/>
  <c r="I855" i="2"/>
  <c r="I855" i="1" s="1"/>
  <c r="H855" i="2"/>
  <c r="H855" i="1" s="1"/>
  <c r="G855" i="2"/>
  <c r="G855" i="1" s="1"/>
  <c r="F855" i="2"/>
  <c r="F855" i="1" s="1"/>
  <c r="E855" i="2"/>
  <c r="E855" i="1" s="1"/>
  <c r="D855" i="2"/>
  <c r="D855" i="1" s="1"/>
  <c r="C855" i="2"/>
  <c r="C855" i="1" s="1"/>
  <c r="O854" i="2"/>
  <c r="O854" i="1" s="1"/>
  <c r="N854" i="2"/>
  <c r="N854" i="1" s="1"/>
  <c r="M854" i="2"/>
  <c r="M854" i="1" s="1"/>
  <c r="L854" i="2"/>
  <c r="K854"/>
  <c r="K854" i="1" s="1"/>
  <c r="J854" i="2"/>
  <c r="J854" i="1" s="1"/>
  <c r="I854" i="2"/>
  <c r="I854" i="1" s="1"/>
  <c r="H854" i="2"/>
  <c r="H854" i="1" s="1"/>
  <c r="G854" i="2"/>
  <c r="G854" i="1" s="1"/>
  <c r="F854" i="2"/>
  <c r="F854" i="1" s="1"/>
  <c r="E854" i="2"/>
  <c r="E854" i="1" s="1"/>
  <c r="D854" i="2"/>
  <c r="D854" i="1" s="1"/>
  <c r="C854" i="2"/>
  <c r="C854" i="1" s="1"/>
  <c r="O853" i="2"/>
  <c r="O853" i="1" s="1"/>
  <c r="N853" i="2"/>
  <c r="N853" i="1" s="1"/>
  <c r="M853" i="2"/>
  <c r="M853" i="1" s="1"/>
  <c r="L853" i="2"/>
  <c r="K853"/>
  <c r="K853" i="1" s="1"/>
  <c r="J853" i="2"/>
  <c r="J853" i="1" s="1"/>
  <c r="I853" i="2"/>
  <c r="I853" i="1" s="1"/>
  <c r="H853" i="2"/>
  <c r="H853" i="1" s="1"/>
  <c r="G853" i="2"/>
  <c r="G853" i="1" s="1"/>
  <c r="F853" i="2"/>
  <c r="F853" i="1" s="1"/>
  <c r="E853" i="2"/>
  <c r="E853" i="1" s="1"/>
  <c r="D853" i="2"/>
  <c r="D853" i="1" s="1"/>
  <c r="C853" i="2"/>
  <c r="C853" i="1" s="1"/>
  <c r="O852" i="2"/>
  <c r="O852" i="1" s="1"/>
  <c r="N852" i="2"/>
  <c r="N852" i="1" s="1"/>
  <c r="M852" i="2"/>
  <c r="M852" i="1" s="1"/>
  <c r="L852" i="2"/>
  <c r="K852"/>
  <c r="K852" i="1" s="1"/>
  <c r="J852" i="2"/>
  <c r="J852" i="1" s="1"/>
  <c r="I852" i="2"/>
  <c r="I852" i="1" s="1"/>
  <c r="H852" i="2"/>
  <c r="H852" i="1" s="1"/>
  <c r="G852" i="2"/>
  <c r="G852" i="1" s="1"/>
  <c r="F852" i="2"/>
  <c r="F852" i="1" s="1"/>
  <c r="E852" i="2"/>
  <c r="E852" i="1" s="1"/>
  <c r="D852" i="2"/>
  <c r="D852" i="1" s="1"/>
  <c r="C852" i="2"/>
  <c r="C852" i="1" s="1"/>
  <c r="O851" i="2"/>
  <c r="O851" i="1" s="1"/>
  <c r="N851" i="2"/>
  <c r="N851" i="1" s="1"/>
  <c r="M851" i="2"/>
  <c r="M851" i="1" s="1"/>
  <c r="L851" i="2"/>
  <c r="K851"/>
  <c r="K851" i="1" s="1"/>
  <c r="J851" i="2"/>
  <c r="J851" i="1" s="1"/>
  <c r="I851" i="2"/>
  <c r="I851" i="1" s="1"/>
  <c r="H851" i="2"/>
  <c r="H851" i="1" s="1"/>
  <c r="G851" i="2"/>
  <c r="G851" i="1" s="1"/>
  <c r="F851" i="2"/>
  <c r="F851" i="1" s="1"/>
  <c r="E851" i="2"/>
  <c r="E851" i="1" s="1"/>
  <c r="D851" i="2"/>
  <c r="D851" i="1" s="1"/>
  <c r="C851" i="2"/>
  <c r="C851" i="1" s="1"/>
  <c r="O850" i="2"/>
  <c r="O850" i="1" s="1"/>
  <c r="N850" i="2"/>
  <c r="N850" i="1" s="1"/>
  <c r="M850" i="2"/>
  <c r="M850" i="1" s="1"/>
  <c r="L850" i="2"/>
  <c r="K850"/>
  <c r="K850" i="1" s="1"/>
  <c r="J850" i="2"/>
  <c r="J850" i="1" s="1"/>
  <c r="I850" i="2"/>
  <c r="I850" i="1" s="1"/>
  <c r="H850" i="2"/>
  <c r="H850" i="1" s="1"/>
  <c r="G850" i="2"/>
  <c r="G850" i="1" s="1"/>
  <c r="F850" i="2"/>
  <c r="F850" i="1" s="1"/>
  <c r="E850" i="2"/>
  <c r="E850" i="1" s="1"/>
  <c r="D850" i="2"/>
  <c r="D850" i="1" s="1"/>
  <c r="C850" i="2"/>
  <c r="C850" i="1" s="1"/>
  <c r="O849" i="2"/>
  <c r="O849" i="1" s="1"/>
  <c r="N849" i="2"/>
  <c r="N849" i="1" s="1"/>
  <c r="M849" i="2"/>
  <c r="M849" i="1" s="1"/>
  <c r="L849" i="2"/>
  <c r="K849"/>
  <c r="K849" i="1" s="1"/>
  <c r="J849" i="2"/>
  <c r="J849" i="1" s="1"/>
  <c r="I849" i="2"/>
  <c r="I849" i="1" s="1"/>
  <c r="H849" i="2"/>
  <c r="H849" i="1" s="1"/>
  <c r="G849" i="2"/>
  <c r="G849" i="1" s="1"/>
  <c r="F849" i="2"/>
  <c r="F849" i="1" s="1"/>
  <c r="E849" i="2"/>
  <c r="E849" i="1" s="1"/>
  <c r="D849" i="2"/>
  <c r="D849" i="1" s="1"/>
  <c r="C849" i="2"/>
  <c r="C849" i="1" s="1"/>
  <c r="O848" i="2"/>
  <c r="O848" i="1" s="1"/>
  <c r="N848" i="2"/>
  <c r="N848" i="1" s="1"/>
  <c r="M848" i="2"/>
  <c r="M848" i="1" s="1"/>
  <c r="L848" i="2"/>
  <c r="K848"/>
  <c r="K848" i="1" s="1"/>
  <c r="J848" i="2"/>
  <c r="J848" i="1" s="1"/>
  <c r="I848" i="2"/>
  <c r="I848" i="1" s="1"/>
  <c r="H848" i="2"/>
  <c r="H848" i="1" s="1"/>
  <c r="G848" i="2"/>
  <c r="G848" i="1" s="1"/>
  <c r="F848" i="2"/>
  <c r="F848" i="1" s="1"/>
  <c r="E848" i="2"/>
  <c r="E848" i="1" s="1"/>
  <c r="D848" i="2"/>
  <c r="D848" i="1" s="1"/>
  <c r="C848" i="2"/>
  <c r="C848" i="1" s="1"/>
  <c r="O847" i="2"/>
  <c r="O847" i="1" s="1"/>
  <c r="N847" i="2"/>
  <c r="N847" i="1" s="1"/>
  <c r="M847" i="2"/>
  <c r="M847" i="1" s="1"/>
  <c r="L847" i="2"/>
  <c r="K847"/>
  <c r="K847" i="1" s="1"/>
  <c r="J847" i="2"/>
  <c r="J847" i="1" s="1"/>
  <c r="I847" i="2"/>
  <c r="I847" i="1" s="1"/>
  <c r="H847" i="2"/>
  <c r="H847" i="1" s="1"/>
  <c r="G847" i="2"/>
  <c r="G847" i="1" s="1"/>
  <c r="F847" i="2"/>
  <c r="F847" i="1" s="1"/>
  <c r="E847" i="2"/>
  <c r="E847" i="1" s="1"/>
  <c r="D847" i="2"/>
  <c r="D847" i="1" s="1"/>
  <c r="C847" i="2"/>
  <c r="C847" i="1" s="1"/>
  <c r="O846" i="2"/>
  <c r="O846" i="1" s="1"/>
  <c r="N846" i="2"/>
  <c r="N846" i="1" s="1"/>
  <c r="M846" i="2"/>
  <c r="M846" i="1" s="1"/>
  <c r="L846" i="2"/>
  <c r="K846"/>
  <c r="K846" i="1" s="1"/>
  <c r="J846" i="2"/>
  <c r="J846" i="1" s="1"/>
  <c r="I846" i="2"/>
  <c r="I846" i="1" s="1"/>
  <c r="H846" i="2"/>
  <c r="H846" i="1" s="1"/>
  <c r="G846" i="2"/>
  <c r="G846" i="1" s="1"/>
  <c r="F846" i="2"/>
  <c r="F846" i="1" s="1"/>
  <c r="E846" i="2"/>
  <c r="E846" i="1" s="1"/>
  <c r="D846" i="2"/>
  <c r="D846" i="1" s="1"/>
  <c r="C846" i="2"/>
  <c r="C846" i="1" s="1"/>
  <c r="O845" i="2"/>
  <c r="O845" i="1" s="1"/>
  <c r="N845" i="2"/>
  <c r="N845" i="1" s="1"/>
  <c r="M845" i="2"/>
  <c r="M845" i="1" s="1"/>
  <c r="L845" i="2"/>
  <c r="K845"/>
  <c r="K845" i="1" s="1"/>
  <c r="J845" i="2"/>
  <c r="J845" i="1" s="1"/>
  <c r="I845" i="2"/>
  <c r="I845" i="1" s="1"/>
  <c r="H845" i="2"/>
  <c r="H845" i="1" s="1"/>
  <c r="G845" i="2"/>
  <c r="G845" i="1" s="1"/>
  <c r="F845" i="2"/>
  <c r="F845" i="1" s="1"/>
  <c r="E845" i="2"/>
  <c r="E845" i="1" s="1"/>
  <c r="D845" i="2"/>
  <c r="D845" i="1" s="1"/>
  <c r="C845" i="2"/>
  <c r="C845" i="1" s="1"/>
  <c r="O844" i="2"/>
  <c r="O844" i="1" s="1"/>
  <c r="N844" i="2"/>
  <c r="N844" i="1" s="1"/>
  <c r="M844" i="2"/>
  <c r="M844" i="1" s="1"/>
  <c r="L844" i="2"/>
  <c r="K844"/>
  <c r="K844" i="1" s="1"/>
  <c r="J844" i="2"/>
  <c r="J844" i="1" s="1"/>
  <c r="I844" i="2"/>
  <c r="I844" i="1" s="1"/>
  <c r="H844" i="2"/>
  <c r="H844" i="1" s="1"/>
  <c r="G844" i="2"/>
  <c r="G844" i="1" s="1"/>
  <c r="F844" i="2"/>
  <c r="F844" i="1" s="1"/>
  <c r="E844" i="2"/>
  <c r="E844" i="1" s="1"/>
  <c r="D844" i="2"/>
  <c r="D844" i="1" s="1"/>
  <c r="C844" i="2"/>
  <c r="C844" i="1" s="1"/>
  <c r="O843" i="2"/>
  <c r="O843" i="1" s="1"/>
  <c r="N843" i="2"/>
  <c r="N843" i="1" s="1"/>
  <c r="M843" i="2"/>
  <c r="M843" i="1" s="1"/>
  <c r="L843" i="2"/>
  <c r="K843"/>
  <c r="K843" i="1" s="1"/>
  <c r="J843" i="2"/>
  <c r="J843" i="1" s="1"/>
  <c r="I843" i="2"/>
  <c r="I843" i="1" s="1"/>
  <c r="H843" i="2"/>
  <c r="H843" i="1" s="1"/>
  <c r="G843" i="2"/>
  <c r="G843" i="1" s="1"/>
  <c r="F843" i="2"/>
  <c r="F843" i="1" s="1"/>
  <c r="E843" i="2"/>
  <c r="E843" i="1" s="1"/>
  <c r="D843" i="2"/>
  <c r="D843" i="1" s="1"/>
  <c r="C843" i="2"/>
  <c r="C843" i="1" s="1"/>
  <c r="O842" i="2"/>
  <c r="O842" i="1" s="1"/>
  <c r="N842" i="2"/>
  <c r="N842" i="1" s="1"/>
  <c r="M842" i="2"/>
  <c r="M842" i="1" s="1"/>
  <c r="L842" i="2"/>
  <c r="K842"/>
  <c r="K842" i="1" s="1"/>
  <c r="J842" i="2"/>
  <c r="J842" i="1" s="1"/>
  <c r="I842" i="2"/>
  <c r="I842" i="1" s="1"/>
  <c r="H842" i="2"/>
  <c r="H842" i="1" s="1"/>
  <c r="G842" i="2"/>
  <c r="G842" i="1" s="1"/>
  <c r="F842" i="2"/>
  <c r="F842" i="1" s="1"/>
  <c r="E842" i="2"/>
  <c r="E842" i="1" s="1"/>
  <c r="D842" i="2"/>
  <c r="D842" i="1" s="1"/>
  <c r="C842" i="2"/>
  <c r="C842" i="1" s="1"/>
  <c r="O841" i="2"/>
  <c r="O841" i="1" s="1"/>
  <c r="N841" i="2"/>
  <c r="N841" i="1" s="1"/>
  <c r="M841" i="2"/>
  <c r="M841" i="1" s="1"/>
  <c r="L841" i="2"/>
  <c r="K841"/>
  <c r="K841" i="1" s="1"/>
  <c r="J841" i="2"/>
  <c r="J841" i="1" s="1"/>
  <c r="I841" i="2"/>
  <c r="I841" i="1" s="1"/>
  <c r="H841" i="2"/>
  <c r="H841" i="1" s="1"/>
  <c r="G841" i="2"/>
  <c r="G841" i="1" s="1"/>
  <c r="F841" i="2"/>
  <c r="F841" i="1" s="1"/>
  <c r="E841" i="2"/>
  <c r="E841" i="1" s="1"/>
  <c r="D841" i="2"/>
  <c r="D841" i="1" s="1"/>
  <c r="C841" i="2"/>
  <c r="C841" i="1" s="1"/>
  <c r="O840" i="2"/>
  <c r="O840" i="1" s="1"/>
  <c r="N840" i="2"/>
  <c r="N840" i="1" s="1"/>
  <c r="M840" i="2"/>
  <c r="M840" i="1" s="1"/>
  <c r="L840" i="2"/>
  <c r="K840"/>
  <c r="K840" i="1" s="1"/>
  <c r="J840" i="2"/>
  <c r="J840" i="1" s="1"/>
  <c r="I840" i="2"/>
  <c r="I840" i="1" s="1"/>
  <c r="H840" i="2"/>
  <c r="H840" i="1" s="1"/>
  <c r="G840" i="2"/>
  <c r="G840" i="1" s="1"/>
  <c r="F840" i="2"/>
  <c r="F840" i="1" s="1"/>
  <c r="E840" i="2"/>
  <c r="E840" i="1" s="1"/>
  <c r="D840" i="2"/>
  <c r="D840" i="1" s="1"/>
  <c r="C840" i="2"/>
  <c r="C840" i="1" s="1"/>
  <c r="O839" i="2"/>
  <c r="O839" i="1" s="1"/>
  <c r="N839" i="2"/>
  <c r="N839" i="1" s="1"/>
  <c r="M839" i="2"/>
  <c r="M839" i="1" s="1"/>
  <c r="L839" i="2"/>
  <c r="K839"/>
  <c r="K839" i="1" s="1"/>
  <c r="J839" i="2"/>
  <c r="J839" i="1" s="1"/>
  <c r="I839" i="2"/>
  <c r="I839" i="1" s="1"/>
  <c r="H839" i="2"/>
  <c r="H839" i="1" s="1"/>
  <c r="G839" i="2"/>
  <c r="G839" i="1" s="1"/>
  <c r="F839" i="2"/>
  <c r="F839" i="1" s="1"/>
  <c r="E839" i="2"/>
  <c r="E839" i="1" s="1"/>
  <c r="D839" i="2"/>
  <c r="D839" i="1" s="1"/>
  <c r="C839" i="2"/>
  <c r="C839" i="1" s="1"/>
  <c r="O838" i="2"/>
  <c r="O838" i="1" s="1"/>
  <c r="N838" i="2"/>
  <c r="N838" i="1" s="1"/>
  <c r="M838" i="2"/>
  <c r="M838" i="1" s="1"/>
  <c r="L838" i="2"/>
  <c r="K838"/>
  <c r="K838" i="1" s="1"/>
  <c r="J838" i="2"/>
  <c r="J838" i="1" s="1"/>
  <c r="I838" i="2"/>
  <c r="I838" i="1" s="1"/>
  <c r="H838" i="2"/>
  <c r="H838" i="1" s="1"/>
  <c r="G838" i="2"/>
  <c r="G838" i="1" s="1"/>
  <c r="F838" i="2"/>
  <c r="F838" i="1" s="1"/>
  <c r="E838" i="2"/>
  <c r="E838" i="1" s="1"/>
  <c r="D838" i="2"/>
  <c r="D838" i="1" s="1"/>
  <c r="C838" i="2"/>
  <c r="C838" i="1" s="1"/>
  <c r="O837" i="2"/>
  <c r="O837" i="1" s="1"/>
  <c r="N837" i="2"/>
  <c r="N837" i="1" s="1"/>
  <c r="M837" i="2"/>
  <c r="M837" i="1" s="1"/>
  <c r="L837" i="2"/>
  <c r="K837"/>
  <c r="K837" i="1" s="1"/>
  <c r="J837" i="2"/>
  <c r="J837" i="1" s="1"/>
  <c r="I837" i="2"/>
  <c r="I837" i="1" s="1"/>
  <c r="H837" i="2"/>
  <c r="H837" i="1" s="1"/>
  <c r="G837" i="2"/>
  <c r="G837" i="1" s="1"/>
  <c r="F837" i="2"/>
  <c r="F837" i="1" s="1"/>
  <c r="E837" i="2"/>
  <c r="E837" i="1" s="1"/>
  <c r="D837" i="2"/>
  <c r="D837" i="1" s="1"/>
  <c r="C837" i="2"/>
  <c r="C837" i="1" s="1"/>
  <c r="O836" i="2"/>
  <c r="O836" i="1" s="1"/>
  <c r="N836" i="2"/>
  <c r="N836" i="1" s="1"/>
  <c r="M836" i="2"/>
  <c r="M836" i="1" s="1"/>
  <c r="L836" i="2"/>
  <c r="K836"/>
  <c r="K836" i="1" s="1"/>
  <c r="J836" i="2"/>
  <c r="J836" i="1" s="1"/>
  <c r="I836" i="2"/>
  <c r="I836" i="1" s="1"/>
  <c r="H836" i="2"/>
  <c r="H836" i="1" s="1"/>
  <c r="G836" i="2"/>
  <c r="G836" i="1" s="1"/>
  <c r="F836" i="2"/>
  <c r="F836" i="1" s="1"/>
  <c r="E836" i="2"/>
  <c r="E836" i="1" s="1"/>
  <c r="D836" i="2"/>
  <c r="D836" i="1" s="1"/>
  <c r="C836" i="2"/>
  <c r="C836" i="1" s="1"/>
  <c r="O835" i="2"/>
  <c r="O835" i="1" s="1"/>
  <c r="N835" i="2"/>
  <c r="N835" i="1" s="1"/>
  <c r="M835" i="2"/>
  <c r="M835" i="1" s="1"/>
  <c r="L835" i="2"/>
  <c r="K835"/>
  <c r="K835" i="1" s="1"/>
  <c r="J835" i="2"/>
  <c r="J835" i="1" s="1"/>
  <c r="I835" i="2"/>
  <c r="I835" i="1" s="1"/>
  <c r="H835" i="2"/>
  <c r="H835" i="1" s="1"/>
  <c r="G835" i="2"/>
  <c r="G835" i="1" s="1"/>
  <c r="F835" i="2"/>
  <c r="F835" i="1" s="1"/>
  <c r="E835" i="2"/>
  <c r="E835" i="1" s="1"/>
  <c r="D835" i="2"/>
  <c r="D835" i="1" s="1"/>
  <c r="C835" i="2"/>
  <c r="C835" i="1" s="1"/>
  <c r="O834" i="2"/>
  <c r="O834" i="1" s="1"/>
  <c r="N834" i="2"/>
  <c r="N834" i="1" s="1"/>
  <c r="M834" i="2"/>
  <c r="M834" i="1" s="1"/>
  <c r="L834" i="2"/>
  <c r="K834"/>
  <c r="K834" i="1" s="1"/>
  <c r="J834" i="2"/>
  <c r="J834" i="1" s="1"/>
  <c r="I834" i="2"/>
  <c r="I834" i="1" s="1"/>
  <c r="H834" i="2"/>
  <c r="H834" i="1" s="1"/>
  <c r="G834" i="2"/>
  <c r="G834" i="1" s="1"/>
  <c r="F834" i="2"/>
  <c r="F834" i="1" s="1"/>
  <c r="E834" i="2"/>
  <c r="E834" i="1" s="1"/>
  <c r="D834" i="2"/>
  <c r="D834" i="1" s="1"/>
  <c r="C834" i="2"/>
  <c r="C834" i="1" s="1"/>
  <c r="O833" i="2"/>
  <c r="O833" i="1" s="1"/>
  <c r="N833" i="2"/>
  <c r="N833" i="1" s="1"/>
  <c r="M833" i="2"/>
  <c r="M833" i="1" s="1"/>
  <c r="L833" i="2"/>
  <c r="K833"/>
  <c r="K833" i="1" s="1"/>
  <c r="J833" i="2"/>
  <c r="J833" i="1" s="1"/>
  <c r="I833" i="2"/>
  <c r="I833" i="1" s="1"/>
  <c r="H833" i="2"/>
  <c r="H833" i="1" s="1"/>
  <c r="G833" i="2"/>
  <c r="G833" i="1" s="1"/>
  <c r="F833" i="2"/>
  <c r="F833" i="1" s="1"/>
  <c r="E833" i="2"/>
  <c r="E833" i="1" s="1"/>
  <c r="D833" i="2"/>
  <c r="D833" i="1" s="1"/>
  <c r="C833" i="2"/>
  <c r="C833" i="1" s="1"/>
  <c r="O832" i="2"/>
  <c r="O832" i="1" s="1"/>
  <c r="N832" i="2"/>
  <c r="N832" i="1" s="1"/>
  <c r="M832" i="2"/>
  <c r="M832" i="1" s="1"/>
  <c r="L832" i="2"/>
  <c r="K832"/>
  <c r="K832" i="1" s="1"/>
  <c r="J832" i="2"/>
  <c r="J832" i="1" s="1"/>
  <c r="I832" i="2"/>
  <c r="I832" i="1" s="1"/>
  <c r="H832" i="2"/>
  <c r="H832" i="1" s="1"/>
  <c r="G832" i="2"/>
  <c r="G832" i="1" s="1"/>
  <c r="F832" i="2"/>
  <c r="F832" i="1" s="1"/>
  <c r="E832" i="2"/>
  <c r="E832" i="1" s="1"/>
  <c r="D832" i="2"/>
  <c r="D832" i="1" s="1"/>
  <c r="C832" i="2"/>
  <c r="C832" i="1" s="1"/>
  <c r="O831" i="2"/>
  <c r="O831" i="1" s="1"/>
  <c r="N831" i="2"/>
  <c r="N831" i="1" s="1"/>
  <c r="M831" i="2"/>
  <c r="M831" i="1" s="1"/>
  <c r="L831" i="2"/>
  <c r="K831"/>
  <c r="K831" i="1" s="1"/>
  <c r="J831" i="2"/>
  <c r="J831" i="1" s="1"/>
  <c r="I831" i="2"/>
  <c r="I831" i="1" s="1"/>
  <c r="H831" i="2"/>
  <c r="H831" i="1" s="1"/>
  <c r="G831" i="2"/>
  <c r="G831" i="1" s="1"/>
  <c r="F831" i="2"/>
  <c r="F831" i="1" s="1"/>
  <c r="E831" i="2"/>
  <c r="E831" i="1" s="1"/>
  <c r="D831" i="2"/>
  <c r="D831" i="1" s="1"/>
  <c r="C831" i="2"/>
  <c r="C831" i="1" s="1"/>
  <c r="O830" i="2"/>
  <c r="O830" i="1" s="1"/>
  <c r="N830" i="2"/>
  <c r="N830" i="1" s="1"/>
  <c r="M830" i="2"/>
  <c r="M830" i="1" s="1"/>
  <c r="L830" i="2"/>
  <c r="K830"/>
  <c r="K830" i="1" s="1"/>
  <c r="J830" i="2"/>
  <c r="J830" i="1" s="1"/>
  <c r="I830" i="2"/>
  <c r="I830" i="1" s="1"/>
  <c r="H830" i="2"/>
  <c r="H830" i="1" s="1"/>
  <c r="G830" i="2"/>
  <c r="G830" i="1" s="1"/>
  <c r="F830" i="2"/>
  <c r="F830" i="1" s="1"/>
  <c r="E830" i="2"/>
  <c r="E830" i="1" s="1"/>
  <c r="D830" i="2"/>
  <c r="D830" i="1" s="1"/>
  <c r="C830" i="2"/>
  <c r="C830" i="1" s="1"/>
  <c r="O829" i="2"/>
  <c r="O829" i="1" s="1"/>
  <c r="N829" i="2"/>
  <c r="N829" i="1" s="1"/>
  <c r="M829" i="2"/>
  <c r="M829" i="1" s="1"/>
  <c r="L829" i="2"/>
  <c r="K829"/>
  <c r="K829" i="1" s="1"/>
  <c r="J829" i="2"/>
  <c r="J829" i="1" s="1"/>
  <c r="I829" i="2"/>
  <c r="I829" i="1" s="1"/>
  <c r="H829" i="2"/>
  <c r="H829" i="1" s="1"/>
  <c r="G829" i="2"/>
  <c r="G829" i="1" s="1"/>
  <c r="F829" i="2"/>
  <c r="F829" i="1" s="1"/>
  <c r="E829" i="2"/>
  <c r="E829" i="1" s="1"/>
  <c r="D829" i="2"/>
  <c r="D829" i="1" s="1"/>
  <c r="C829" i="2"/>
  <c r="C829" i="1" s="1"/>
  <c r="O828" i="2"/>
  <c r="O828" i="1" s="1"/>
  <c r="N828" i="2"/>
  <c r="N828" i="1" s="1"/>
  <c r="M828" i="2"/>
  <c r="M828" i="1" s="1"/>
  <c r="L828" i="2"/>
  <c r="K828"/>
  <c r="K828" i="1" s="1"/>
  <c r="J828" i="2"/>
  <c r="J828" i="1" s="1"/>
  <c r="I828" i="2"/>
  <c r="I828" i="1" s="1"/>
  <c r="H828" i="2"/>
  <c r="H828" i="1" s="1"/>
  <c r="G828" i="2"/>
  <c r="G828" i="1" s="1"/>
  <c r="F828" i="2"/>
  <c r="F828" i="1" s="1"/>
  <c r="E828" i="2"/>
  <c r="E828" i="1" s="1"/>
  <c r="D828" i="2"/>
  <c r="D828" i="1" s="1"/>
  <c r="C828" i="2"/>
  <c r="C828" i="1" s="1"/>
  <c r="O827" i="2"/>
  <c r="O827" i="1" s="1"/>
  <c r="N827" i="2"/>
  <c r="N827" i="1" s="1"/>
  <c r="M827" i="2"/>
  <c r="M827" i="1" s="1"/>
  <c r="L827" i="2"/>
  <c r="K827"/>
  <c r="K827" i="1" s="1"/>
  <c r="J827" i="2"/>
  <c r="J827" i="1" s="1"/>
  <c r="I827" i="2"/>
  <c r="I827" i="1" s="1"/>
  <c r="H827" i="2"/>
  <c r="H827" i="1" s="1"/>
  <c r="G827" i="2"/>
  <c r="G827" i="1" s="1"/>
  <c r="F827" i="2"/>
  <c r="F827" i="1" s="1"/>
  <c r="E827" i="2"/>
  <c r="E827" i="1" s="1"/>
  <c r="D827" i="2"/>
  <c r="D827" i="1" s="1"/>
  <c r="C827" i="2"/>
  <c r="C827" i="1" s="1"/>
  <c r="O826" i="2"/>
  <c r="O826" i="1" s="1"/>
  <c r="N826" i="2"/>
  <c r="N826" i="1" s="1"/>
  <c r="M826" i="2"/>
  <c r="M826" i="1" s="1"/>
  <c r="L826" i="2"/>
  <c r="K826"/>
  <c r="K826" i="1" s="1"/>
  <c r="J826" i="2"/>
  <c r="J826" i="1" s="1"/>
  <c r="I826" i="2"/>
  <c r="I826" i="1" s="1"/>
  <c r="H826" i="2"/>
  <c r="H826" i="1" s="1"/>
  <c r="G826" i="2"/>
  <c r="G826" i="1" s="1"/>
  <c r="F826" i="2"/>
  <c r="F826" i="1" s="1"/>
  <c r="E826" i="2"/>
  <c r="E826" i="1" s="1"/>
  <c r="D826" i="2"/>
  <c r="D826" i="1" s="1"/>
  <c r="C826" i="2"/>
  <c r="C826" i="1" s="1"/>
  <c r="O825" i="2"/>
  <c r="O825" i="1" s="1"/>
  <c r="N825" i="2"/>
  <c r="N825" i="1" s="1"/>
  <c r="M825" i="2"/>
  <c r="M825" i="1" s="1"/>
  <c r="L825" i="2"/>
  <c r="K825"/>
  <c r="K825" i="1" s="1"/>
  <c r="J825" i="2"/>
  <c r="J825" i="1" s="1"/>
  <c r="I825" i="2"/>
  <c r="I825" i="1" s="1"/>
  <c r="H825" i="2"/>
  <c r="H825" i="1" s="1"/>
  <c r="G825" i="2"/>
  <c r="G825" i="1" s="1"/>
  <c r="F825" i="2"/>
  <c r="F825" i="1" s="1"/>
  <c r="E825" i="2"/>
  <c r="E825" i="1" s="1"/>
  <c r="D825" i="2"/>
  <c r="D825" i="1" s="1"/>
  <c r="C825" i="2"/>
  <c r="C825" i="1" s="1"/>
  <c r="O824" i="2"/>
  <c r="O824" i="1" s="1"/>
  <c r="N824" i="2"/>
  <c r="N824" i="1" s="1"/>
  <c r="M824" i="2"/>
  <c r="M824" i="1" s="1"/>
  <c r="L824" i="2"/>
  <c r="K824"/>
  <c r="K824" i="1" s="1"/>
  <c r="J824" i="2"/>
  <c r="J824" i="1" s="1"/>
  <c r="I824" i="2"/>
  <c r="I824" i="1" s="1"/>
  <c r="H824" i="2"/>
  <c r="H824" i="1" s="1"/>
  <c r="G824" i="2"/>
  <c r="G824" i="1" s="1"/>
  <c r="F824" i="2"/>
  <c r="F824" i="1" s="1"/>
  <c r="E824" i="2"/>
  <c r="E824" i="1" s="1"/>
  <c r="D824" i="2"/>
  <c r="D824" i="1" s="1"/>
  <c r="C824" i="2"/>
  <c r="C824" i="1" s="1"/>
  <c r="O823" i="2"/>
  <c r="O823" i="1" s="1"/>
  <c r="N823" i="2"/>
  <c r="N823" i="1" s="1"/>
  <c r="M823" i="2"/>
  <c r="M823" i="1" s="1"/>
  <c r="L823" i="2"/>
  <c r="K823"/>
  <c r="K823" i="1" s="1"/>
  <c r="J823" i="2"/>
  <c r="J823" i="1" s="1"/>
  <c r="I823" i="2"/>
  <c r="I823" i="1" s="1"/>
  <c r="H823" i="2"/>
  <c r="H823" i="1" s="1"/>
  <c r="G823" i="2"/>
  <c r="G823" i="1" s="1"/>
  <c r="F823" i="2"/>
  <c r="F823" i="1" s="1"/>
  <c r="E823" i="2"/>
  <c r="E823" i="1" s="1"/>
  <c r="D823" i="2"/>
  <c r="D823" i="1" s="1"/>
  <c r="C823" i="2"/>
  <c r="C823" i="1" s="1"/>
  <c r="O822" i="2"/>
  <c r="O822" i="1" s="1"/>
  <c r="N822" i="2"/>
  <c r="N822" i="1" s="1"/>
  <c r="M822" i="2"/>
  <c r="M822" i="1" s="1"/>
  <c r="L822" i="2"/>
  <c r="K822"/>
  <c r="K822" i="1" s="1"/>
  <c r="J822" i="2"/>
  <c r="J822" i="1" s="1"/>
  <c r="I822" i="2"/>
  <c r="I822" i="1" s="1"/>
  <c r="H822" i="2"/>
  <c r="H822" i="1" s="1"/>
  <c r="G822" i="2"/>
  <c r="G822" i="1" s="1"/>
  <c r="F822" i="2"/>
  <c r="F822" i="1" s="1"/>
  <c r="E822" i="2"/>
  <c r="E822" i="1" s="1"/>
  <c r="D822" i="2"/>
  <c r="D822" i="1" s="1"/>
  <c r="C822" i="2"/>
  <c r="C822" i="1" s="1"/>
  <c r="O821" i="2"/>
  <c r="O821" i="1" s="1"/>
  <c r="N821" i="2"/>
  <c r="N821" i="1" s="1"/>
  <c r="M821" i="2"/>
  <c r="M821" i="1" s="1"/>
  <c r="L821" i="2"/>
  <c r="K821"/>
  <c r="K821" i="1" s="1"/>
  <c r="J821" i="2"/>
  <c r="J821" i="1" s="1"/>
  <c r="I821" i="2"/>
  <c r="I821" i="1" s="1"/>
  <c r="H821" i="2"/>
  <c r="H821" i="1" s="1"/>
  <c r="G821" i="2"/>
  <c r="G821" i="1" s="1"/>
  <c r="F821" i="2"/>
  <c r="F821" i="1" s="1"/>
  <c r="E821" i="2"/>
  <c r="E821" i="1" s="1"/>
  <c r="D821" i="2"/>
  <c r="D821" i="1" s="1"/>
  <c r="C821" i="2"/>
  <c r="C821" i="1" s="1"/>
  <c r="O820" i="2"/>
  <c r="O820" i="1" s="1"/>
  <c r="N820" i="2"/>
  <c r="N820" i="1" s="1"/>
  <c r="M820" i="2"/>
  <c r="M820" i="1" s="1"/>
  <c r="L820" i="2"/>
  <c r="K820"/>
  <c r="K820" i="1" s="1"/>
  <c r="J820" i="2"/>
  <c r="J820" i="1" s="1"/>
  <c r="I820" i="2"/>
  <c r="I820" i="1" s="1"/>
  <c r="H820" i="2"/>
  <c r="H820" i="1" s="1"/>
  <c r="G820" i="2"/>
  <c r="G820" i="1" s="1"/>
  <c r="F820" i="2"/>
  <c r="F820" i="1" s="1"/>
  <c r="E820" i="2"/>
  <c r="E820" i="1" s="1"/>
  <c r="D820" i="2"/>
  <c r="D820" i="1" s="1"/>
  <c r="C820" i="2"/>
  <c r="C820" i="1" s="1"/>
  <c r="O819" i="2"/>
  <c r="O819" i="1" s="1"/>
  <c r="N819" i="2"/>
  <c r="N819" i="1" s="1"/>
  <c r="M819" i="2"/>
  <c r="M819" i="1" s="1"/>
  <c r="L819" i="2"/>
  <c r="K819"/>
  <c r="K819" i="1" s="1"/>
  <c r="J819" i="2"/>
  <c r="J819" i="1" s="1"/>
  <c r="I819" i="2"/>
  <c r="I819" i="1" s="1"/>
  <c r="H819" i="2"/>
  <c r="H819" i="1" s="1"/>
  <c r="G819" i="2"/>
  <c r="G819" i="1" s="1"/>
  <c r="F819" i="2"/>
  <c r="F819" i="1" s="1"/>
  <c r="E819" i="2"/>
  <c r="E819" i="1" s="1"/>
  <c r="D819" i="2"/>
  <c r="D819" i="1" s="1"/>
  <c r="C819" i="2"/>
  <c r="C819" i="1" s="1"/>
  <c r="O818" i="2"/>
  <c r="O818" i="1" s="1"/>
  <c r="N818" i="2"/>
  <c r="N818" i="1" s="1"/>
  <c r="M818" i="2"/>
  <c r="M818" i="1" s="1"/>
  <c r="L818" i="2"/>
  <c r="K818"/>
  <c r="K818" i="1" s="1"/>
  <c r="J818" i="2"/>
  <c r="J818" i="1" s="1"/>
  <c r="I818" i="2"/>
  <c r="I818" i="1" s="1"/>
  <c r="H818" i="2"/>
  <c r="H818" i="1" s="1"/>
  <c r="G818" i="2"/>
  <c r="G818" i="1" s="1"/>
  <c r="F818" i="2"/>
  <c r="F818" i="1" s="1"/>
  <c r="E818" i="2"/>
  <c r="E818" i="1" s="1"/>
  <c r="D818" i="2"/>
  <c r="D818" i="1" s="1"/>
  <c r="C818" i="2"/>
  <c r="C818" i="1" s="1"/>
  <c r="O817" i="2"/>
  <c r="O817" i="1" s="1"/>
  <c r="N817" i="2"/>
  <c r="N817" i="1" s="1"/>
  <c r="M817" i="2"/>
  <c r="M817" i="1" s="1"/>
  <c r="L817" i="2"/>
  <c r="K817"/>
  <c r="K817" i="1" s="1"/>
  <c r="J817" i="2"/>
  <c r="J817" i="1" s="1"/>
  <c r="I817" i="2"/>
  <c r="I817" i="1" s="1"/>
  <c r="H817" i="2"/>
  <c r="H817" i="1" s="1"/>
  <c r="G817" i="2"/>
  <c r="G817" i="1" s="1"/>
  <c r="F817" i="2"/>
  <c r="F817" i="1" s="1"/>
  <c r="E817" i="2"/>
  <c r="E817" i="1" s="1"/>
  <c r="D817" i="2"/>
  <c r="D817" i="1" s="1"/>
  <c r="C817" i="2"/>
  <c r="C817" i="1" s="1"/>
  <c r="O816" i="2"/>
  <c r="O816" i="1" s="1"/>
  <c r="N816" i="2"/>
  <c r="N816" i="1" s="1"/>
  <c r="M816" i="2"/>
  <c r="M816" i="1" s="1"/>
  <c r="L816" i="2"/>
  <c r="K816"/>
  <c r="K816" i="1" s="1"/>
  <c r="J816" i="2"/>
  <c r="J816" i="1" s="1"/>
  <c r="I816" i="2"/>
  <c r="I816" i="1" s="1"/>
  <c r="H816" i="2"/>
  <c r="H816" i="1" s="1"/>
  <c r="G816" i="2"/>
  <c r="G816" i="1" s="1"/>
  <c r="F816" i="2"/>
  <c r="F816" i="1" s="1"/>
  <c r="E816" i="2"/>
  <c r="E816" i="1" s="1"/>
  <c r="D816" i="2"/>
  <c r="D816" i="1" s="1"/>
  <c r="C816" i="2"/>
  <c r="C816" i="1" s="1"/>
  <c r="O815" i="2"/>
  <c r="O815" i="1" s="1"/>
  <c r="N815" i="2"/>
  <c r="N815" i="1" s="1"/>
  <c r="M815" i="2"/>
  <c r="M815" i="1" s="1"/>
  <c r="L815" i="2"/>
  <c r="K815"/>
  <c r="K815" i="1" s="1"/>
  <c r="J815" i="2"/>
  <c r="J815" i="1" s="1"/>
  <c r="I815" i="2"/>
  <c r="I815" i="1" s="1"/>
  <c r="H815" i="2"/>
  <c r="H815" i="1" s="1"/>
  <c r="G815" i="2"/>
  <c r="G815" i="1" s="1"/>
  <c r="F815" i="2"/>
  <c r="F815" i="1" s="1"/>
  <c r="E815" i="2"/>
  <c r="E815" i="1" s="1"/>
  <c r="D815" i="2"/>
  <c r="D815" i="1" s="1"/>
  <c r="C815" i="2"/>
  <c r="C815" i="1" s="1"/>
  <c r="O814" i="2"/>
  <c r="O814" i="1" s="1"/>
  <c r="N814" i="2"/>
  <c r="N814" i="1" s="1"/>
  <c r="M814" i="2"/>
  <c r="M814" i="1" s="1"/>
  <c r="L814" i="2"/>
  <c r="K814"/>
  <c r="K814" i="1" s="1"/>
  <c r="J814" i="2"/>
  <c r="J814" i="1" s="1"/>
  <c r="I814" i="2"/>
  <c r="I814" i="1" s="1"/>
  <c r="H814" i="2"/>
  <c r="H814" i="1" s="1"/>
  <c r="G814" i="2"/>
  <c r="G814" i="1" s="1"/>
  <c r="F814" i="2"/>
  <c r="F814" i="1" s="1"/>
  <c r="E814" i="2"/>
  <c r="E814" i="1" s="1"/>
  <c r="D814" i="2"/>
  <c r="D814" i="1" s="1"/>
  <c r="C814" i="2"/>
  <c r="C814" i="1" s="1"/>
  <c r="O813" i="2"/>
  <c r="O813" i="1" s="1"/>
  <c r="N813" i="2"/>
  <c r="N813" i="1" s="1"/>
  <c r="M813" i="2"/>
  <c r="M813" i="1" s="1"/>
  <c r="L813" i="2"/>
  <c r="K813"/>
  <c r="K813" i="1" s="1"/>
  <c r="J813" i="2"/>
  <c r="J813" i="1" s="1"/>
  <c r="I813" i="2"/>
  <c r="I813" i="1" s="1"/>
  <c r="H813" i="2"/>
  <c r="H813" i="1" s="1"/>
  <c r="G813" i="2"/>
  <c r="G813" i="1" s="1"/>
  <c r="F813" i="2"/>
  <c r="F813" i="1" s="1"/>
  <c r="E813" i="2"/>
  <c r="E813" i="1" s="1"/>
  <c r="D813" i="2"/>
  <c r="D813" i="1" s="1"/>
  <c r="C813" i="2"/>
  <c r="C813" i="1" s="1"/>
  <c r="O812" i="2"/>
  <c r="O812" i="1" s="1"/>
  <c r="N812" i="2"/>
  <c r="N812" i="1" s="1"/>
  <c r="M812" i="2"/>
  <c r="M812" i="1" s="1"/>
  <c r="L812" i="2"/>
  <c r="K812"/>
  <c r="K812" i="1" s="1"/>
  <c r="J812" i="2"/>
  <c r="J812" i="1" s="1"/>
  <c r="I812" i="2"/>
  <c r="I812" i="1" s="1"/>
  <c r="H812" i="2"/>
  <c r="H812" i="1" s="1"/>
  <c r="G812" i="2"/>
  <c r="G812" i="1" s="1"/>
  <c r="F812" i="2"/>
  <c r="F812" i="1" s="1"/>
  <c r="E812" i="2"/>
  <c r="E812" i="1" s="1"/>
  <c r="D812" i="2"/>
  <c r="D812" i="1" s="1"/>
  <c r="C812" i="2"/>
  <c r="C812" i="1" s="1"/>
  <c r="O811" i="2"/>
  <c r="O811" i="1" s="1"/>
  <c r="N811" i="2"/>
  <c r="N811" i="1" s="1"/>
  <c r="M811" i="2"/>
  <c r="M811" i="1" s="1"/>
  <c r="L811" i="2"/>
  <c r="K811"/>
  <c r="K811" i="1" s="1"/>
  <c r="J811" i="2"/>
  <c r="J811" i="1" s="1"/>
  <c r="I811" i="2"/>
  <c r="I811" i="1" s="1"/>
  <c r="H811" i="2"/>
  <c r="H811" i="1" s="1"/>
  <c r="G811" i="2"/>
  <c r="G811" i="1" s="1"/>
  <c r="F811" i="2"/>
  <c r="F811" i="1" s="1"/>
  <c r="E811" i="2"/>
  <c r="E811" i="1" s="1"/>
  <c r="D811" i="2"/>
  <c r="D811" i="1" s="1"/>
  <c r="C811" i="2"/>
  <c r="C811" i="1" s="1"/>
  <c r="O810" i="2"/>
  <c r="O810" i="1" s="1"/>
  <c r="N810" i="2"/>
  <c r="N810" i="1" s="1"/>
  <c r="M810" i="2"/>
  <c r="M810" i="1" s="1"/>
  <c r="L810" i="2"/>
  <c r="K810"/>
  <c r="K810" i="1" s="1"/>
  <c r="J810" i="2"/>
  <c r="J810" i="1" s="1"/>
  <c r="I810" i="2"/>
  <c r="I810" i="1" s="1"/>
  <c r="H810" i="2"/>
  <c r="H810" i="1" s="1"/>
  <c r="G810" i="2"/>
  <c r="G810" i="1" s="1"/>
  <c r="F810" i="2"/>
  <c r="F810" i="1" s="1"/>
  <c r="E810" i="2"/>
  <c r="E810" i="1" s="1"/>
  <c r="D810" i="2"/>
  <c r="D810" i="1" s="1"/>
  <c r="C810" i="2"/>
  <c r="C810" i="1" s="1"/>
  <c r="O809" i="2"/>
  <c r="O809" i="1" s="1"/>
  <c r="N809" i="2"/>
  <c r="N809" i="1" s="1"/>
  <c r="M809" i="2"/>
  <c r="M809" i="1" s="1"/>
  <c r="L809" i="2"/>
  <c r="K809"/>
  <c r="K809" i="1" s="1"/>
  <c r="J809" i="2"/>
  <c r="J809" i="1" s="1"/>
  <c r="I809" i="2"/>
  <c r="I809" i="1" s="1"/>
  <c r="H809" i="2"/>
  <c r="H809" i="1" s="1"/>
  <c r="G809" i="2"/>
  <c r="G809" i="1" s="1"/>
  <c r="F809" i="2"/>
  <c r="F809" i="1" s="1"/>
  <c r="E809" i="2"/>
  <c r="E809" i="1" s="1"/>
  <c r="D809" i="2"/>
  <c r="D809" i="1" s="1"/>
  <c r="C809" i="2"/>
  <c r="C809" i="1" s="1"/>
  <c r="O808" i="2"/>
  <c r="O808" i="1" s="1"/>
  <c r="N808" i="2"/>
  <c r="N808" i="1" s="1"/>
  <c r="M808" i="2"/>
  <c r="M808" i="1" s="1"/>
  <c r="L808" i="2"/>
  <c r="K808"/>
  <c r="K808" i="1" s="1"/>
  <c r="J808" i="2"/>
  <c r="J808" i="1" s="1"/>
  <c r="I808" i="2"/>
  <c r="I808" i="1" s="1"/>
  <c r="H808" i="2"/>
  <c r="H808" i="1" s="1"/>
  <c r="G808" i="2"/>
  <c r="G808" i="1" s="1"/>
  <c r="F808" i="2"/>
  <c r="F808" i="1" s="1"/>
  <c r="E808" i="2"/>
  <c r="E808" i="1" s="1"/>
  <c r="D808" i="2"/>
  <c r="D808" i="1" s="1"/>
  <c r="C808" i="2"/>
  <c r="C808" i="1" s="1"/>
  <c r="O807" i="2"/>
  <c r="O807" i="1" s="1"/>
  <c r="N807" i="2"/>
  <c r="N807" i="1" s="1"/>
  <c r="M807" i="2"/>
  <c r="M807" i="1" s="1"/>
  <c r="L807" i="2"/>
  <c r="K807"/>
  <c r="K807" i="1" s="1"/>
  <c r="J807" i="2"/>
  <c r="J807" i="1" s="1"/>
  <c r="I807" i="2"/>
  <c r="I807" i="1" s="1"/>
  <c r="H807" i="2"/>
  <c r="H807" i="1" s="1"/>
  <c r="G807" i="2"/>
  <c r="G807" i="1" s="1"/>
  <c r="F807" i="2"/>
  <c r="F807" i="1" s="1"/>
  <c r="E807" i="2"/>
  <c r="E807" i="1" s="1"/>
  <c r="D807" i="2"/>
  <c r="D807" i="1" s="1"/>
  <c r="C807" i="2"/>
  <c r="C807" i="1" s="1"/>
  <c r="O806" i="2"/>
  <c r="O806" i="1" s="1"/>
  <c r="N806" i="2"/>
  <c r="N806" i="1" s="1"/>
  <c r="M806" i="2"/>
  <c r="M806" i="1" s="1"/>
  <c r="L806" i="2"/>
  <c r="K806"/>
  <c r="K806" i="1" s="1"/>
  <c r="J806" i="2"/>
  <c r="J806" i="1" s="1"/>
  <c r="I806" i="2"/>
  <c r="I806" i="1" s="1"/>
  <c r="H806" i="2"/>
  <c r="H806" i="1" s="1"/>
  <c r="G806" i="2"/>
  <c r="G806" i="1" s="1"/>
  <c r="F806" i="2"/>
  <c r="F806" i="1" s="1"/>
  <c r="E806" i="2"/>
  <c r="E806" i="1" s="1"/>
  <c r="D806" i="2"/>
  <c r="D806" i="1" s="1"/>
  <c r="C806" i="2"/>
  <c r="C806" i="1" s="1"/>
  <c r="O805" i="2"/>
  <c r="O805" i="1" s="1"/>
  <c r="N805" i="2"/>
  <c r="N805" i="1" s="1"/>
  <c r="M805" i="2"/>
  <c r="M805" i="1" s="1"/>
  <c r="L805" i="2"/>
  <c r="K805"/>
  <c r="K805" i="1" s="1"/>
  <c r="J805" i="2"/>
  <c r="J805" i="1" s="1"/>
  <c r="I805" i="2"/>
  <c r="I805" i="1" s="1"/>
  <c r="H805" i="2"/>
  <c r="H805" i="1" s="1"/>
  <c r="G805" i="2"/>
  <c r="G805" i="1" s="1"/>
  <c r="F805" i="2"/>
  <c r="F805" i="1" s="1"/>
  <c r="E805" i="2"/>
  <c r="E805" i="1" s="1"/>
  <c r="D805" i="2"/>
  <c r="D805" i="1" s="1"/>
  <c r="C805" i="2"/>
  <c r="C805" i="1" s="1"/>
  <c r="O804" i="2"/>
  <c r="O804" i="1" s="1"/>
  <c r="N804" i="2"/>
  <c r="N804" i="1" s="1"/>
  <c r="M804" i="2"/>
  <c r="M804" i="1" s="1"/>
  <c r="L804" i="2"/>
  <c r="K804"/>
  <c r="K804" i="1" s="1"/>
  <c r="J804" i="2"/>
  <c r="J804" i="1" s="1"/>
  <c r="I804" i="2"/>
  <c r="I804" i="1" s="1"/>
  <c r="H804" i="2"/>
  <c r="H804" i="1" s="1"/>
  <c r="G804" i="2"/>
  <c r="G804" i="1" s="1"/>
  <c r="F804" i="2"/>
  <c r="F804" i="1" s="1"/>
  <c r="E804" i="2"/>
  <c r="E804" i="1" s="1"/>
  <c r="D804" i="2"/>
  <c r="D804" i="1" s="1"/>
  <c r="C804" i="2"/>
  <c r="C804" i="1" s="1"/>
  <c r="O803" i="2"/>
  <c r="O803" i="1" s="1"/>
  <c r="N803" i="2"/>
  <c r="N803" i="1" s="1"/>
  <c r="M803" i="2"/>
  <c r="M803" i="1" s="1"/>
  <c r="L803" i="2"/>
  <c r="K803"/>
  <c r="K803" i="1" s="1"/>
  <c r="J803" i="2"/>
  <c r="J803" i="1" s="1"/>
  <c r="I803" i="2"/>
  <c r="I803" i="1" s="1"/>
  <c r="H803" i="2"/>
  <c r="H803" i="1" s="1"/>
  <c r="G803" i="2"/>
  <c r="G803" i="1" s="1"/>
  <c r="F803" i="2"/>
  <c r="F803" i="1" s="1"/>
  <c r="E803" i="2"/>
  <c r="E803" i="1" s="1"/>
  <c r="D803" i="2"/>
  <c r="D803" i="1" s="1"/>
  <c r="C803" i="2"/>
  <c r="C803" i="1" s="1"/>
  <c r="O802" i="2"/>
  <c r="O802" i="1" s="1"/>
  <c r="N802" i="2"/>
  <c r="N802" i="1" s="1"/>
  <c r="M802" i="2"/>
  <c r="M802" i="1" s="1"/>
  <c r="L802" i="2"/>
  <c r="K802"/>
  <c r="K802" i="1" s="1"/>
  <c r="J802" i="2"/>
  <c r="J802" i="1" s="1"/>
  <c r="I802" i="2"/>
  <c r="I802" i="1" s="1"/>
  <c r="H802" i="2"/>
  <c r="H802" i="1" s="1"/>
  <c r="G802" i="2"/>
  <c r="G802" i="1" s="1"/>
  <c r="F802" i="2"/>
  <c r="F802" i="1" s="1"/>
  <c r="E802" i="2"/>
  <c r="E802" i="1" s="1"/>
  <c r="D802" i="2"/>
  <c r="D802" i="1" s="1"/>
  <c r="C802" i="2"/>
  <c r="C802" i="1" s="1"/>
  <c r="O801" i="2"/>
  <c r="O801" i="1" s="1"/>
  <c r="N801" i="2"/>
  <c r="N801" i="1" s="1"/>
  <c r="M801" i="2"/>
  <c r="M801" i="1" s="1"/>
  <c r="L801" i="2"/>
  <c r="K801"/>
  <c r="K801" i="1" s="1"/>
  <c r="J801" i="2"/>
  <c r="J801" i="1" s="1"/>
  <c r="I801" i="2"/>
  <c r="I801" i="1" s="1"/>
  <c r="H801" i="2"/>
  <c r="H801" i="1" s="1"/>
  <c r="G801" i="2"/>
  <c r="G801" i="1" s="1"/>
  <c r="F801" i="2"/>
  <c r="F801" i="1" s="1"/>
  <c r="E801" i="2"/>
  <c r="E801" i="1" s="1"/>
  <c r="D801" i="2"/>
  <c r="D801" i="1" s="1"/>
  <c r="C801" i="2"/>
  <c r="C801" i="1" s="1"/>
  <c r="O800" i="2"/>
  <c r="O800" i="1" s="1"/>
  <c r="N800" i="2"/>
  <c r="N800" i="1" s="1"/>
  <c r="M800" i="2"/>
  <c r="M800" i="1" s="1"/>
  <c r="L800" i="2"/>
  <c r="K800"/>
  <c r="K800" i="1" s="1"/>
  <c r="J800" i="2"/>
  <c r="J800" i="1" s="1"/>
  <c r="I800" i="2"/>
  <c r="I800" i="1" s="1"/>
  <c r="H800" i="2"/>
  <c r="H800" i="1" s="1"/>
  <c r="G800" i="2"/>
  <c r="G800" i="1" s="1"/>
  <c r="F800" i="2"/>
  <c r="F800" i="1" s="1"/>
  <c r="E800" i="2"/>
  <c r="E800" i="1" s="1"/>
  <c r="D800" i="2"/>
  <c r="D800" i="1" s="1"/>
  <c r="C800" i="2"/>
  <c r="C800" i="1" s="1"/>
  <c r="O799" i="2"/>
  <c r="O799" i="1" s="1"/>
  <c r="N799" i="2"/>
  <c r="N799" i="1" s="1"/>
  <c r="M799" i="2"/>
  <c r="M799" i="1" s="1"/>
  <c r="L799" i="2"/>
  <c r="K799"/>
  <c r="K799" i="1" s="1"/>
  <c r="J799" i="2"/>
  <c r="J799" i="1" s="1"/>
  <c r="I799" i="2"/>
  <c r="I799" i="1" s="1"/>
  <c r="H799" i="2"/>
  <c r="H799" i="1" s="1"/>
  <c r="G799" i="2"/>
  <c r="G799" i="1" s="1"/>
  <c r="F799" i="2"/>
  <c r="F799" i="1" s="1"/>
  <c r="E799" i="2"/>
  <c r="E799" i="1" s="1"/>
  <c r="D799" i="2"/>
  <c r="D799" i="1" s="1"/>
  <c r="C799" i="2"/>
  <c r="C799" i="1" s="1"/>
  <c r="O798" i="2"/>
  <c r="O798" i="1" s="1"/>
  <c r="N798" i="2"/>
  <c r="N798" i="1" s="1"/>
  <c r="M798" i="2"/>
  <c r="M798" i="1" s="1"/>
  <c r="L798" i="2"/>
  <c r="K798"/>
  <c r="K798" i="1" s="1"/>
  <c r="J798" i="2"/>
  <c r="J798" i="1" s="1"/>
  <c r="I798" i="2"/>
  <c r="I798" i="1" s="1"/>
  <c r="H798" i="2"/>
  <c r="H798" i="1" s="1"/>
  <c r="G798" i="2"/>
  <c r="G798" i="1" s="1"/>
  <c r="F798" i="2"/>
  <c r="F798" i="1" s="1"/>
  <c r="E798" i="2"/>
  <c r="E798" i="1" s="1"/>
  <c r="D798" i="2"/>
  <c r="D798" i="1" s="1"/>
  <c r="C798" i="2"/>
  <c r="C798" i="1" s="1"/>
  <c r="O797" i="2"/>
  <c r="O797" i="1" s="1"/>
  <c r="N797" i="2"/>
  <c r="N797" i="1" s="1"/>
  <c r="M797" i="2"/>
  <c r="M797" i="1" s="1"/>
  <c r="L797" i="2"/>
  <c r="K797"/>
  <c r="K797" i="1" s="1"/>
  <c r="J797" i="2"/>
  <c r="J797" i="1" s="1"/>
  <c r="I797" i="2"/>
  <c r="I797" i="1" s="1"/>
  <c r="H797" i="2"/>
  <c r="H797" i="1" s="1"/>
  <c r="G797" i="2"/>
  <c r="G797" i="1" s="1"/>
  <c r="F797" i="2"/>
  <c r="F797" i="1" s="1"/>
  <c r="E797" i="2"/>
  <c r="E797" i="1" s="1"/>
  <c r="D797" i="2"/>
  <c r="D797" i="1" s="1"/>
  <c r="C797" i="2"/>
  <c r="C797" i="1" s="1"/>
  <c r="O796" i="2"/>
  <c r="O796" i="1" s="1"/>
  <c r="N796" i="2"/>
  <c r="N796" i="1" s="1"/>
  <c r="M796" i="2"/>
  <c r="M796" i="1" s="1"/>
  <c r="L796" i="2"/>
  <c r="K796"/>
  <c r="K796" i="1" s="1"/>
  <c r="J796" i="2"/>
  <c r="J796" i="1" s="1"/>
  <c r="I796" i="2"/>
  <c r="I796" i="1" s="1"/>
  <c r="H796" i="2"/>
  <c r="H796" i="1" s="1"/>
  <c r="G796" i="2"/>
  <c r="G796" i="1" s="1"/>
  <c r="F796" i="2"/>
  <c r="F796" i="1" s="1"/>
  <c r="E796" i="2"/>
  <c r="E796" i="1" s="1"/>
  <c r="D796" i="2"/>
  <c r="D796" i="1" s="1"/>
  <c r="C796" i="2"/>
  <c r="C796" i="1" s="1"/>
  <c r="O795" i="2"/>
  <c r="O795" i="1" s="1"/>
  <c r="N795" i="2"/>
  <c r="N795" i="1" s="1"/>
  <c r="M795" i="2"/>
  <c r="M795" i="1" s="1"/>
  <c r="L795" i="2"/>
  <c r="K795"/>
  <c r="K795" i="1" s="1"/>
  <c r="J795" i="2"/>
  <c r="J795" i="1" s="1"/>
  <c r="I795" i="2"/>
  <c r="I795" i="1" s="1"/>
  <c r="H795" i="2"/>
  <c r="H795" i="1" s="1"/>
  <c r="G795" i="2"/>
  <c r="G795" i="1" s="1"/>
  <c r="F795" i="2"/>
  <c r="F795" i="1" s="1"/>
  <c r="E795" i="2"/>
  <c r="E795" i="1" s="1"/>
  <c r="D795" i="2"/>
  <c r="D795" i="1" s="1"/>
  <c r="C795" i="2"/>
  <c r="C795" i="1" s="1"/>
  <c r="O794" i="2"/>
  <c r="O794" i="1" s="1"/>
  <c r="N794" i="2"/>
  <c r="N794" i="1" s="1"/>
  <c r="M794" i="2"/>
  <c r="M794" i="1" s="1"/>
  <c r="L794" i="2"/>
  <c r="K794"/>
  <c r="K794" i="1" s="1"/>
  <c r="J794" i="2"/>
  <c r="J794" i="1" s="1"/>
  <c r="I794" i="2"/>
  <c r="I794" i="1" s="1"/>
  <c r="H794" i="2"/>
  <c r="H794" i="1" s="1"/>
  <c r="G794" i="2"/>
  <c r="G794" i="1" s="1"/>
  <c r="F794" i="2"/>
  <c r="F794" i="1" s="1"/>
  <c r="E794" i="2"/>
  <c r="E794" i="1" s="1"/>
  <c r="D794" i="2"/>
  <c r="D794" i="1" s="1"/>
  <c r="C794" i="2"/>
  <c r="C794" i="1" s="1"/>
  <c r="O793" i="2"/>
  <c r="O793" i="1" s="1"/>
  <c r="N793" i="2"/>
  <c r="N793" i="1" s="1"/>
  <c r="M793" i="2"/>
  <c r="M793" i="1" s="1"/>
  <c r="L793" i="2"/>
  <c r="K793"/>
  <c r="K793" i="1" s="1"/>
  <c r="J793" i="2"/>
  <c r="J793" i="1" s="1"/>
  <c r="I793" i="2"/>
  <c r="I793" i="1" s="1"/>
  <c r="H793" i="2"/>
  <c r="H793" i="1" s="1"/>
  <c r="G793" i="2"/>
  <c r="G793" i="1" s="1"/>
  <c r="F793" i="2"/>
  <c r="F793" i="1" s="1"/>
  <c r="E793" i="2"/>
  <c r="E793" i="1" s="1"/>
  <c r="D793" i="2"/>
  <c r="D793" i="1" s="1"/>
  <c r="C793" i="2"/>
  <c r="C793" i="1" s="1"/>
  <c r="O792" i="2"/>
  <c r="O792" i="1" s="1"/>
  <c r="N792" i="2"/>
  <c r="N792" i="1" s="1"/>
  <c r="M792" i="2"/>
  <c r="M792" i="1" s="1"/>
  <c r="L792" i="2"/>
  <c r="K792"/>
  <c r="K792" i="1" s="1"/>
  <c r="J792" i="2"/>
  <c r="J792" i="1" s="1"/>
  <c r="I792" i="2"/>
  <c r="I792" i="1" s="1"/>
  <c r="H792" i="2"/>
  <c r="H792" i="1" s="1"/>
  <c r="G792" i="2"/>
  <c r="G792" i="1" s="1"/>
  <c r="F792" i="2"/>
  <c r="F792" i="1" s="1"/>
  <c r="E792" i="2"/>
  <c r="E792" i="1" s="1"/>
  <c r="D792" i="2"/>
  <c r="D792" i="1" s="1"/>
  <c r="C792" i="2"/>
  <c r="C792" i="1" s="1"/>
  <c r="O791" i="2"/>
  <c r="O791" i="1" s="1"/>
  <c r="N791" i="2"/>
  <c r="N791" i="1" s="1"/>
  <c r="M791" i="2"/>
  <c r="M791" i="1" s="1"/>
  <c r="L791" i="2"/>
  <c r="K791"/>
  <c r="K791" i="1" s="1"/>
  <c r="J791" i="2"/>
  <c r="J791" i="1" s="1"/>
  <c r="I791" i="2"/>
  <c r="I791" i="1" s="1"/>
  <c r="H791" i="2"/>
  <c r="H791" i="1" s="1"/>
  <c r="G791" i="2"/>
  <c r="G791" i="1" s="1"/>
  <c r="F791" i="2"/>
  <c r="F791" i="1" s="1"/>
  <c r="E791" i="2"/>
  <c r="E791" i="1" s="1"/>
  <c r="D791" i="2"/>
  <c r="D791" i="1" s="1"/>
  <c r="C791" i="2"/>
  <c r="C791" i="1" s="1"/>
  <c r="O790" i="2"/>
  <c r="O790" i="1" s="1"/>
  <c r="N790" i="2"/>
  <c r="N790" i="1" s="1"/>
  <c r="M790" i="2"/>
  <c r="M790" i="1" s="1"/>
  <c r="L790" i="2"/>
  <c r="K790"/>
  <c r="K790" i="1" s="1"/>
  <c r="J790" i="2"/>
  <c r="J790" i="1" s="1"/>
  <c r="I790" i="2"/>
  <c r="I790" i="1" s="1"/>
  <c r="H790" i="2"/>
  <c r="H790" i="1" s="1"/>
  <c r="G790" i="2"/>
  <c r="G790" i="1" s="1"/>
  <c r="F790" i="2"/>
  <c r="F790" i="1" s="1"/>
  <c r="E790" i="2"/>
  <c r="E790" i="1" s="1"/>
  <c r="D790" i="2"/>
  <c r="D790" i="1" s="1"/>
  <c r="C790" i="2"/>
  <c r="C790" i="1" s="1"/>
  <c r="O789" i="2"/>
  <c r="O789" i="1" s="1"/>
  <c r="N789" i="2"/>
  <c r="N789" i="1" s="1"/>
  <c r="M789" i="2"/>
  <c r="M789" i="1" s="1"/>
  <c r="L789" i="2"/>
  <c r="K789"/>
  <c r="K789" i="1" s="1"/>
  <c r="J789" i="2"/>
  <c r="J789" i="1" s="1"/>
  <c r="I789" i="2"/>
  <c r="I789" i="1" s="1"/>
  <c r="H789" i="2"/>
  <c r="H789" i="1" s="1"/>
  <c r="G789" i="2"/>
  <c r="G789" i="1" s="1"/>
  <c r="F789" i="2"/>
  <c r="F789" i="1" s="1"/>
  <c r="E789" i="2"/>
  <c r="E789" i="1" s="1"/>
  <c r="D789" i="2"/>
  <c r="D789" i="1" s="1"/>
  <c r="C789" i="2"/>
  <c r="C789" i="1" s="1"/>
  <c r="O788" i="2"/>
  <c r="O788" i="1" s="1"/>
  <c r="N788" i="2"/>
  <c r="N788" i="1" s="1"/>
  <c r="M788" i="2"/>
  <c r="M788" i="1" s="1"/>
  <c r="L788" i="2"/>
  <c r="K788"/>
  <c r="K788" i="1" s="1"/>
  <c r="J788" i="2"/>
  <c r="J788" i="1" s="1"/>
  <c r="I788" i="2"/>
  <c r="I788" i="1" s="1"/>
  <c r="H788" i="2"/>
  <c r="H788" i="1" s="1"/>
  <c r="G788" i="2"/>
  <c r="G788" i="1" s="1"/>
  <c r="F788" i="2"/>
  <c r="F788" i="1" s="1"/>
  <c r="E788" i="2"/>
  <c r="E788" i="1" s="1"/>
  <c r="D788" i="2"/>
  <c r="D788" i="1" s="1"/>
  <c r="C788" i="2"/>
  <c r="C788" i="1" s="1"/>
  <c r="O787" i="2"/>
  <c r="O787" i="1" s="1"/>
  <c r="N787" i="2"/>
  <c r="N787" i="1" s="1"/>
  <c r="M787" i="2"/>
  <c r="M787" i="1" s="1"/>
  <c r="L787" i="2"/>
  <c r="K787"/>
  <c r="K787" i="1" s="1"/>
  <c r="J787" i="2"/>
  <c r="J787" i="1" s="1"/>
  <c r="I787" i="2"/>
  <c r="I787" i="1" s="1"/>
  <c r="H787" i="2"/>
  <c r="H787" i="1" s="1"/>
  <c r="G787" i="2"/>
  <c r="G787" i="1" s="1"/>
  <c r="F787" i="2"/>
  <c r="F787" i="1" s="1"/>
  <c r="E787" i="2"/>
  <c r="E787" i="1" s="1"/>
  <c r="D787" i="2"/>
  <c r="D787" i="1" s="1"/>
  <c r="C787" i="2"/>
  <c r="C787" i="1" s="1"/>
  <c r="O786" i="2"/>
  <c r="O786" i="1" s="1"/>
  <c r="N786" i="2"/>
  <c r="N786" i="1" s="1"/>
  <c r="M786" i="2"/>
  <c r="M786" i="1" s="1"/>
  <c r="L786" i="2"/>
  <c r="K786"/>
  <c r="K786" i="1" s="1"/>
  <c r="J786" i="2"/>
  <c r="J786" i="1" s="1"/>
  <c r="I786" i="2"/>
  <c r="I786" i="1" s="1"/>
  <c r="H786" i="2"/>
  <c r="H786" i="1" s="1"/>
  <c r="G786" i="2"/>
  <c r="G786" i="1" s="1"/>
  <c r="F786" i="2"/>
  <c r="F786" i="1" s="1"/>
  <c r="E786" i="2"/>
  <c r="E786" i="1" s="1"/>
  <c r="D786" i="2"/>
  <c r="D786" i="1" s="1"/>
  <c r="C786" i="2"/>
  <c r="C786" i="1" s="1"/>
  <c r="O785" i="2"/>
  <c r="O785" i="1" s="1"/>
  <c r="N785" i="2"/>
  <c r="N785" i="1" s="1"/>
  <c r="M785" i="2"/>
  <c r="M785" i="1" s="1"/>
  <c r="L785" i="2"/>
  <c r="K785"/>
  <c r="K785" i="1" s="1"/>
  <c r="J785" i="2"/>
  <c r="J785" i="1" s="1"/>
  <c r="I785" i="2"/>
  <c r="I785" i="1" s="1"/>
  <c r="H785" i="2"/>
  <c r="H785" i="1" s="1"/>
  <c r="G785" i="2"/>
  <c r="G785" i="1" s="1"/>
  <c r="F785" i="2"/>
  <c r="F785" i="1" s="1"/>
  <c r="E785" i="2"/>
  <c r="E785" i="1" s="1"/>
  <c r="D785" i="2"/>
  <c r="D785" i="1" s="1"/>
  <c r="C785" i="2"/>
  <c r="C785" i="1" s="1"/>
  <c r="O784" i="2"/>
  <c r="O784" i="1" s="1"/>
  <c r="N784" i="2"/>
  <c r="N784" i="1" s="1"/>
  <c r="M784" i="2"/>
  <c r="M784" i="1" s="1"/>
  <c r="L784" i="2"/>
  <c r="K784"/>
  <c r="K784" i="1" s="1"/>
  <c r="J784" i="2"/>
  <c r="J784" i="1" s="1"/>
  <c r="I784" i="2"/>
  <c r="I784" i="1" s="1"/>
  <c r="H784" i="2"/>
  <c r="H784" i="1" s="1"/>
  <c r="G784" i="2"/>
  <c r="G784" i="1" s="1"/>
  <c r="F784" i="2"/>
  <c r="F784" i="1" s="1"/>
  <c r="E784" i="2"/>
  <c r="E784" i="1" s="1"/>
  <c r="D784" i="2"/>
  <c r="D784" i="1" s="1"/>
  <c r="C784" i="2"/>
  <c r="C784" i="1" s="1"/>
  <c r="O783" i="2"/>
  <c r="O783" i="1" s="1"/>
  <c r="N783" i="2"/>
  <c r="N783" i="1" s="1"/>
  <c r="M783" i="2"/>
  <c r="M783" i="1" s="1"/>
  <c r="L783" i="2"/>
  <c r="K783"/>
  <c r="K783" i="1" s="1"/>
  <c r="J783" i="2"/>
  <c r="J783" i="1" s="1"/>
  <c r="I783" i="2"/>
  <c r="I783" i="1" s="1"/>
  <c r="H783" i="2"/>
  <c r="H783" i="1" s="1"/>
  <c r="G783" i="2"/>
  <c r="G783" i="1" s="1"/>
  <c r="F783" i="2"/>
  <c r="F783" i="1" s="1"/>
  <c r="E783" i="2"/>
  <c r="E783" i="1" s="1"/>
  <c r="D783" i="2"/>
  <c r="D783" i="1" s="1"/>
  <c r="C783" i="2"/>
  <c r="C783" i="1" s="1"/>
  <c r="O782" i="2"/>
  <c r="O782" i="1" s="1"/>
  <c r="N782" i="2"/>
  <c r="N782" i="1" s="1"/>
  <c r="M782" i="2"/>
  <c r="M782" i="1" s="1"/>
  <c r="L782" i="2"/>
  <c r="K782"/>
  <c r="K782" i="1" s="1"/>
  <c r="J782" i="2"/>
  <c r="J782" i="1" s="1"/>
  <c r="I782" i="2"/>
  <c r="I782" i="1" s="1"/>
  <c r="H782" i="2"/>
  <c r="H782" i="1" s="1"/>
  <c r="G782" i="2"/>
  <c r="G782" i="1" s="1"/>
  <c r="F782" i="2"/>
  <c r="F782" i="1" s="1"/>
  <c r="E782" i="2"/>
  <c r="E782" i="1" s="1"/>
  <c r="D782" i="2"/>
  <c r="D782" i="1" s="1"/>
  <c r="C782" i="2"/>
  <c r="C782" i="1" s="1"/>
  <c r="O781" i="2"/>
  <c r="O781" i="1" s="1"/>
  <c r="N781" i="2"/>
  <c r="N781" i="1" s="1"/>
  <c r="M781" i="2"/>
  <c r="M781" i="1" s="1"/>
  <c r="L781" i="2"/>
  <c r="K781"/>
  <c r="K781" i="1" s="1"/>
  <c r="J781" i="2"/>
  <c r="J781" i="1" s="1"/>
  <c r="I781" i="2"/>
  <c r="I781" i="1" s="1"/>
  <c r="H781" i="2"/>
  <c r="H781" i="1" s="1"/>
  <c r="G781" i="2"/>
  <c r="G781" i="1" s="1"/>
  <c r="F781" i="2"/>
  <c r="F781" i="1" s="1"/>
  <c r="E781" i="2"/>
  <c r="E781" i="1" s="1"/>
  <c r="D781" i="2"/>
  <c r="D781" i="1" s="1"/>
  <c r="C781" i="2"/>
  <c r="C781" i="1" s="1"/>
  <c r="O780" i="2"/>
  <c r="O780" i="1" s="1"/>
  <c r="N780" i="2"/>
  <c r="N780" i="1" s="1"/>
  <c r="M780" i="2"/>
  <c r="M780" i="1" s="1"/>
  <c r="L780" i="2"/>
  <c r="K780"/>
  <c r="K780" i="1" s="1"/>
  <c r="J780" i="2"/>
  <c r="J780" i="1" s="1"/>
  <c r="I780" i="2"/>
  <c r="I780" i="1" s="1"/>
  <c r="H780" i="2"/>
  <c r="H780" i="1" s="1"/>
  <c r="G780" i="2"/>
  <c r="G780" i="1" s="1"/>
  <c r="F780" i="2"/>
  <c r="F780" i="1" s="1"/>
  <c r="E780" i="2"/>
  <c r="E780" i="1" s="1"/>
  <c r="D780" i="2"/>
  <c r="D780" i="1" s="1"/>
  <c r="C780" i="2"/>
  <c r="C780" i="1" s="1"/>
  <c r="O779" i="2"/>
  <c r="O779" i="1" s="1"/>
  <c r="N779" i="2"/>
  <c r="N779" i="1" s="1"/>
  <c r="M779" i="2"/>
  <c r="M779" i="1" s="1"/>
  <c r="L779" i="2"/>
  <c r="K779"/>
  <c r="K779" i="1" s="1"/>
  <c r="J779" i="2"/>
  <c r="J779" i="1" s="1"/>
  <c r="I779" i="2"/>
  <c r="I779" i="1" s="1"/>
  <c r="H779" i="2"/>
  <c r="H779" i="1" s="1"/>
  <c r="G779" i="2"/>
  <c r="G779" i="1" s="1"/>
  <c r="F779" i="2"/>
  <c r="F779" i="1" s="1"/>
  <c r="E779" i="2"/>
  <c r="E779" i="1" s="1"/>
  <c r="D779" i="2"/>
  <c r="D779" i="1" s="1"/>
  <c r="C779" i="2"/>
  <c r="C779" i="1" s="1"/>
  <c r="O778" i="2"/>
  <c r="O778" i="1" s="1"/>
  <c r="N778" i="2"/>
  <c r="N778" i="1" s="1"/>
  <c r="M778" i="2"/>
  <c r="M778" i="1" s="1"/>
  <c r="L778" i="2"/>
  <c r="K778"/>
  <c r="K778" i="1" s="1"/>
  <c r="J778" i="2"/>
  <c r="J778" i="1" s="1"/>
  <c r="I778" i="2"/>
  <c r="I778" i="1" s="1"/>
  <c r="H778" i="2"/>
  <c r="H778" i="1" s="1"/>
  <c r="G778" i="2"/>
  <c r="G778" i="1" s="1"/>
  <c r="F778" i="2"/>
  <c r="F778" i="1" s="1"/>
  <c r="E778" i="2"/>
  <c r="E778" i="1" s="1"/>
  <c r="D778" i="2"/>
  <c r="D778" i="1" s="1"/>
  <c r="C778" i="2"/>
  <c r="C778" i="1" s="1"/>
  <c r="O777" i="2"/>
  <c r="O777" i="1" s="1"/>
  <c r="N777" i="2"/>
  <c r="N777" i="1" s="1"/>
  <c r="M777" i="2"/>
  <c r="M777" i="1" s="1"/>
  <c r="L777" i="2"/>
  <c r="K777"/>
  <c r="K777" i="1" s="1"/>
  <c r="J777" i="2"/>
  <c r="J777" i="1" s="1"/>
  <c r="I777" i="2"/>
  <c r="I777" i="1" s="1"/>
  <c r="H777" i="2"/>
  <c r="H777" i="1" s="1"/>
  <c r="G777" i="2"/>
  <c r="G777" i="1" s="1"/>
  <c r="F777" i="2"/>
  <c r="F777" i="1" s="1"/>
  <c r="E777" i="2"/>
  <c r="E777" i="1" s="1"/>
  <c r="D777" i="2"/>
  <c r="D777" i="1" s="1"/>
  <c r="C777" i="2"/>
  <c r="C777" i="1" s="1"/>
  <c r="O776" i="2"/>
  <c r="O776" i="1" s="1"/>
  <c r="N776" i="2"/>
  <c r="N776" i="1" s="1"/>
  <c r="M776" i="2"/>
  <c r="M776" i="1" s="1"/>
  <c r="L776" i="2"/>
  <c r="K776"/>
  <c r="K776" i="1" s="1"/>
  <c r="J776" i="2"/>
  <c r="J776" i="1" s="1"/>
  <c r="I776" i="2"/>
  <c r="I776" i="1" s="1"/>
  <c r="H776" i="2"/>
  <c r="H776" i="1" s="1"/>
  <c r="G776" i="2"/>
  <c r="G776" i="1" s="1"/>
  <c r="F776" i="2"/>
  <c r="F776" i="1" s="1"/>
  <c r="E776" i="2"/>
  <c r="E776" i="1" s="1"/>
  <c r="D776" i="2"/>
  <c r="D776" i="1" s="1"/>
  <c r="C776" i="2"/>
  <c r="C776" i="1" s="1"/>
  <c r="O775" i="2"/>
  <c r="O775" i="1" s="1"/>
  <c r="N775" i="2"/>
  <c r="N775" i="1" s="1"/>
  <c r="M775" i="2"/>
  <c r="M775" i="1" s="1"/>
  <c r="L775" i="2"/>
  <c r="K775"/>
  <c r="K775" i="1" s="1"/>
  <c r="J775" i="2"/>
  <c r="J775" i="1" s="1"/>
  <c r="I775" i="2"/>
  <c r="I775" i="1" s="1"/>
  <c r="H775" i="2"/>
  <c r="H775" i="1" s="1"/>
  <c r="G775" i="2"/>
  <c r="G775" i="1" s="1"/>
  <c r="F775" i="2"/>
  <c r="F775" i="1" s="1"/>
  <c r="E775" i="2"/>
  <c r="E775" i="1" s="1"/>
  <c r="D775" i="2"/>
  <c r="D775" i="1" s="1"/>
  <c r="C775" i="2"/>
  <c r="C775" i="1" s="1"/>
  <c r="O774" i="2"/>
  <c r="O774" i="1" s="1"/>
  <c r="N774" i="2"/>
  <c r="N774" i="1" s="1"/>
  <c r="M774" i="2"/>
  <c r="M774" i="1" s="1"/>
  <c r="L774" i="2"/>
  <c r="K774"/>
  <c r="K774" i="1" s="1"/>
  <c r="J774" i="2"/>
  <c r="J774" i="1" s="1"/>
  <c r="I774" i="2"/>
  <c r="I774" i="1" s="1"/>
  <c r="H774" i="2"/>
  <c r="H774" i="1" s="1"/>
  <c r="G774" i="2"/>
  <c r="G774" i="1" s="1"/>
  <c r="F774" i="2"/>
  <c r="F774" i="1" s="1"/>
  <c r="E774" i="2"/>
  <c r="E774" i="1" s="1"/>
  <c r="D774" i="2"/>
  <c r="D774" i="1" s="1"/>
  <c r="C774" i="2"/>
  <c r="C774" i="1" s="1"/>
  <c r="O773" i="2"/>
  <c r="O773" i="1" s="1"/>
  <c r="N773" i="2"/>
  <c r="N773" i="1" s="1"/>
  <c r="M773" i="2"/>
  <c r="M773" i="1" s="1"/>
  <c r="L773" i="2"/>
  <c r="K773"/>
  <c r="K773" i="1" s="1"/>
  <c r="J773" i="2"/>
  <c r="J773" i="1" s="1"/>
  <c r="I773" i="2"/>
  <c r="I773" i="1" s="1"/>
  <c r="H773" i="2"/>
  <c r="H773" i="1" s="1"/>
  <c r="G773" i="2"/>
  <c r="G773" i="1" s="1"/>
  <c r="F773" i="2"/>
  <c r="F773" i="1" s="1"/>
  <c r="E773" i="2"/>
  <c r="E773" i="1" s="1"/>
  <c r="D773" i="2"/>
  <c r="D773" i="1" s="1"/>
  <c r="C773" i="2"/>
  <c r="C773" i="1" s="1"/>
  <c r="O772" i="2"/>
  <c r="O772" i="1" s="1"/>
  <c r="N772" i="2"/>
  <c r="N772" i="1" s="1"/>
  <c r="M772" i="2"/>
  <c r="M772" i="1" s="1"/>
  <c r="L772" i="2"/>
  <c r="K772"/>
  <c r="K772" i="1" s="1"/>
  <c r="J772" i="2"/>
  <c r="J772" i="1" s="1"/>
  <c r="I772" i="2"/>
  <c r="I772" i="1" s="1"/>
  <c r="H772" i="2"/>
  <c r="H772" i="1" s="1"/>
  <c r="G772" i="2"/>
  <c r="G772" i="1" s="1"/>
  <c r="F772" i="2"/>
  <c r="F772" i="1" s="1"/>
  <c r="E772" i="2"/>
  <c r="E772" i="1" s="1"/>
  <c r="D772" i="2"/>
  <c r="D772" i="1" s="1"/>
  <c r="C772" i="2"/>
  <c r="C772" i="1" s="1"/>
  <c r="O771" i="2"/>
  <c r="O771" i="1" s="1"/>
  <c r="N771" i="2"/>
  <c r="N771" i="1" s="1"/>
  <c r="M771" i="2"/>
  <c r="M771" i="1" s="1"/>
  <c r="L771" i="2"/>
  <c r="K771"/>
  <c r="K771" i="1" s="1"/>
  <c r="J771" i="2"/>
  <c r="J771" i="1" s="1"/>
  <c r="I771" i="2"/>
  <c r="I771" i="1" s="1"/>
  <c r="H771" i="2"/>
  <c r="H771" i="1" s="1"/>
  <c r="G771" i="2"/>
  <c r="G771" i="1" s="1"/>
  <c r="F771" i="2"/>
  <c r="F771" i="1" s="1"/>
  <c r="E771" i="2"/>
  <c r="E771" i="1" s="1"/>
  <c r="D771" i="2"/>
  <c r="D771" i="1" s="1"/>
  <c r="C771" i="2"/>
  <c r="C771" i="1" s="1"/>
  <c r="O770" i="2"/>
  <c r="O770" i="1" s="1"/>
  <c r="N770" i="2"/>
  <c r="N770" i="1" s="1"/>
  <c r="M770" i="2"/>
  <c r="M770" i="1" s="1"/>
  <c r="L770" i="2"/>
  <c r="K770"/>
  <c r="K770" i="1" s="1"/>
  <c r="J770" i="2"/>
  <c r="J770" i="1" s="1"/>
  <c r="I770" i="2"/>
  <c r="I770" i="1" s="1"/>
  <c r="H770" i="2"/>
  <c r="H770" i="1" s="1"/>
  <c r="G770" i="2"/>
  <c r="G770" i="1" s="1"/>
  <c r="F770" i="2"/>
  <c r="F770" i="1" s="1"/>
  <c r="E770" i="2"/>
  <c r="E770" i="1" s="1"/>
  <c r="D770" i="2"/>
  <c r="D770" i="1" s="1"/>
  <c r="C770" i="2"/>
  <c r="C770" i="1" s="1"/>
  <c r="O769" i="2"/>
  <c r="O769" i="1" s="1"/>
  <c r="N769" i="2"/>
  <c r="N769" i="1" s="1"/>
  <c r="M769" i="2"/>
  <c r="M769" i="1" s="1"/>
  <c r="L769" i="2"/>
  <c r="K769"/>
  <c r="K769" i="1" s="1"/>
  <c r="J769" i="2"/>
  <c r="J769" i="1" s="1"/>
  <c r="I769" i="2"/>
  <c r="I769" i="1" s="1"/>
  <c r="H769" i="2"/>
  <c r="H769" i="1" s="1"/>
  <c r="G769" i="2"/>
  <c r="G769" i="1" s="1"/>
  <c r="F769" i="2"/>
  <c r="F769" i="1" s="1"/>
  <c r="E769" i="2"/>
  <c r="E769" i="1" s="1"/>
  <c r="D769" i="2"/>
  <c r="D769" i="1" s="1"/>
  <c r="C769" i="2"/>
  <c r="C769" i="1" s="1"/>
  <c r="O768" i="2"/>
  <c r="O768" i="1" s="1"/>
  <c r="N768" i="2"/>
  <c r="N768" i="1" s="1"/>
  <c r="M768" i="2"/>
  <c r="M768" i="1" s="1"/>
  <c r="L768" i="2"/>
  <c r="K768"/>
  <c r="K768" i="1" s="1"/>
  <c r="J768" i="2"/>
  <c r="J768" i="1" s="1"/>
  <c r="I768" i="2"/>
  <c r="I768" i="1" s="1"/>
  <c r="H768" i="2"/>
  <c r="H768" i="1" s="1"/>
  <c r="G768" i="2"/>
  <c r="G768" i="1" s="1"/>
  <c r="F768" i="2"/>
  <c r="F768" i="1" s="1"/>
  <c r="E768" i="2"/>
  <c r="E768" i="1" s="1"/>
  <c r="D768" i="2"/>
  <c r="D768" i="1" s="1"/>
  <c r="C768" i="2"/>
  <c r="C768" i="1" s="1"/>
  <c r="O767" i="2"/>
  <c r="O767" i="1" s="1"/>
  <c r="N767" i="2"/>
  <c r="N767" i="1" s="1"/>
  <c r="M767" i="2"/>
  <c r="M767" i="1" s="1"/>
  <c r="L767" i="2"/>
  <c r="K767"/>
  <c r="K767" i="1" s="1"/>
  <c r="J767" i="2"/>
  <c r="J767" i="1" s="1"/>
  <c r="I767" i="2"/>
  <c r="I767" i="1" s="1"/>
  <c r="H767" i="2"/>
  <c r="H767" i="1" s="1"/>
  <c r="G767" i="2"/>
  <c r="G767" i="1" s="1"/>
  <c r="F767" i="2"/>
  <c r="F767" i="1" s="1"/>
  <c r="E767" i="2"/>
  <c r="E767" i="1" s="1"/>
  <c r="D767" i="2"/>
  <c r="D767" i="1" s="1"/>
  <c r="C767" i="2"/>
  <c r="C767" i="1" s="1"/>
  <c r="O766" i="2"/>
  <c r="O766" i="1" s="1"/>
  <c r="N766" i="2"/>
  <c r="N766" i="1" s="1"/>
  <c r="M766" i="2"/>
  <c r="M766" i="1" s="1"/>
  <c r="L766" i="2"/>
  <c r="K766"/>
  <c r="K766" i="1" s="1"/>
  <c r="J766" i="2"/>
  <c r="J766" i="1" s="1"/>
  <c r="I766" i="2"/>
  <c r="I766" i="1" s="1"/>
  <c r="H766" i="2"/>
  <c r="H766" i="1" s="1"/>
  <c r="G766" i="2"/>
  <c r="G766" i="1" s="1"/>
  <c r="F766" i="2"/>
  <c r="F766" i="1" s="1"/>
  <c r="E766" i="2"/>
  <c r="E766" i="1" s="1"/>
  <c r="D766" i="2"/>
  <c r="D766" i="1" s="1"/>
  <c r="C766" i="2"/>
  <c r="C766" i="1" s="1"/>
  <c r="O765" i="2"/>
  <c r="O765" i="1" s="1"/>
  <c r="N765" i="2"/>
  <c r="N765" i="1" s="1"/>
  <c r="M765" i="2"/>
  <c r="M765" i="1" s="1"/>
  <c r="L765" i="2"/>
  <c r="K765"/>
  <c r="K765" i="1" s="1"/>
  <c r="J765" i="2"/>
  <c r="J765" i="1" s="1"/>
  <c r="I765" i="2"/>
  <c r="I765" i="1" s="1"/>
  <c r="H765" i="2"/>
  <c r="H765" i="1" s="1"/>
  <c r="G765" i="2"/>
  <c r="G765" i="1" s="1"/>
  <c r="F765" i="2"/>
  <c r="F765" i="1" s="1"/>
  <c r="E765" i="2"/>
  <c r="E765" i="1" s="1"/>
  <c r="D765" i="2"/>
  <c r="D765" i="1" s="1"/>
  <c r="C765" i="2"/>
  <c r="C765" i="1" s="1"/>
  <c r="O764" i="2"/>
  <c r="O764" i="1" s="1"/>
  <c r="N764" i="2"/>
  <c r="N764" i="1" s="1"/>
  <c r="M764" i="2"/>
  <c r="M764" i="1" s="1"/>
  <c r="L764" i="2"/>
  <c r="K764"/>
  <c r="K764" i="1" s="1"/>
  <c r="J764" i="2"/>
  <c r="J764" i="1" s="1"/>
  <c r="I764" i="2"/>
  <c r="I764" i="1" s="1"/>
  <c r="H764" i="2"/>
  <c r="H764" i="1" s="1"/>
  <c r="G764" i="2"/>
  <c r="G764" i="1" s="1"/>
  <c r="F764" i="2"/>
  <c r="F764" i="1" s="1"/>
  <c r="E764" i="2"/>
  <c r="E764" i="1" s="1"/>
  <c r="D764" i="2"/>
  <c r="D764" i="1" s="1"/>
  <c r="C764" i="2"/>
  <c r="C764" i="1" s="1"/>
  <c r="O763" i="2"/>
  <c r="O763" i="1" s="1"/>
  <c r="N763" i="2"/>
  <c r="N763" i="1" s="1"/>
  <c r="M763" i="2"/>
  <c r="M763" i="1" s="1"/>
  <c r="L763" i="2"/>
  <c r="K763"/>
  <c r="K763" i="1" s="1"/>
  <c r="J763" i="2"/>
  <c r="J763" i="1" s="1"/>
  <c r="I763" i="2"/>
  <c r="I763" i="1" s="1"/>
  <c r="H763" i="2"/>
  <c r="H763" i="1" s="1"/>
  <c r="G763" i="2"/>
  <c r="G763" i="1" s="1"/>
  <c r="F763" i="2"/>
  <c r="F763" i="1" s="1"/>
  <c r="E763" i="2"/>
  <c r="E763" i="1" s="1"/>
  <c r="D763" i="2"/>
  <c r="D763" i="1" s="1"/>
  <c r="C763" i="2"/>
  <c r="C763" i="1" s="1"/>
  <c r="O762" i="2"/>
  <c r="O762" i="1" s="1"/>
  <c r="N762" i="2"/>
  <c r="N762" i="1" s="1"/>
  <c r="M762" i="2"/>
  <c r="M762" i="1" s="1"/>
  <c r="L762" i="2"/>
  <c r="K762"/>
  <c r="K762" i="1" s="1"/>
  <c r="J762" i="2"/>
  <c r="J762" i="1" s="1"/>
  <c r="I762" i="2"/>
  <c r="I762" i="1" s="1"/>
  <c r="H762" i="2"/>
  <c r="H762" i="1" s="1"/>
  <c r="G762" i="2"/>
  <c r="G762" i="1" s="1"/>
  <c r="F762" i="2"/>
  <c r="F762" i="1" s="1"/>
  <c r="E762" i="2"/>
  <c r="E762" i="1" s="1"/>
  <c r="D762" i="2"/>
  <c r="D762" i="1" s="1"/>
  <c r="C762" i="2"/>
  <c r="C762" i="1" s="1"/>
  <c r="O761" i="2"/>
  <c r="O761" i="1" s="1"/>
  <c r="N761" i="2"/>
  <c r="N761" i="1" s="1"/>
  <c r="M761" i="2"/>
  <c r="M761" i="1" s="1"/>
  <c r="L761" i="2"/>
  <c r="K761"/>
  <c r="K761" i="1" s="1"/>
  <c r="J761" i="2"/>
  <c r="J761" i="1" s="1"/>
  <c r="I761" i="2"/>
  <c r="I761" i="1" s="1"/>
  <c r="H761" i="2"/>
  <c r="H761" i="1" s="1"/>
  <c r="G761" i="2"/>
  <c r="G761" i="1" s="1"/>
  <c r="F761" i="2"/>
  <c r="F761" i="1" s="1"/>
  <c r="E761" i="2"/>
  <c r="E761" i="1" s="1"/>
  <c r="D761" i="2"/>
  <c r="D761" i="1" s="1"/>
  <c r="C761" i="2"/>
  <c r="C761" i="1" s="1"/>
  <c r="O760" i="2"/>
  <c r="O760" i="1" s="1"/>
  <c r="N760" i="2"/>
  <c r="N760" i="1" s="1"/>
  <c r="M760" i="2"/>
  <c r="M760" i="1" s="1"/>
  <c r="L760" i="2"/>
  <c r="K760"/>
  <c r="K760" i="1" s="1"/>
  <c r="J760" i="2"/>
  <c r="J760" i="1" s="1"/>
  <c r="I760" i="2"/>
  <c r="I760" i="1" s="1"/>
  <c r="H760" i="2"/>
  <c r="H760" i="1" s="1"/>
  <c r="G760" i="2"/>
  <c r="G760" i="1" s="1"/>
  <c r="F760" i="2"/>
  <c r="F760" i="1" s="1"/>
  <c r="E760" i="2"/>
  <c r="E760" i="1" s="1"/>
  <c r="D760" i="2"/>
  <c r="D760" i="1" s="1"/>
  <c r="C760" i="2"/>
  <c r="C760" i="1" s="1"/>
  <c r="O759" i="2"/>
  <c r="O759" i="1" s="1"/>
  <c r="N759" i="2"/>
  <c r="N759" i="1" s="1"/>
  <c r="M759" i="2"/>
  <c r="M759" i="1" s="1"/>
  <c r="L759" i="2"/>
  <c r="K759"/>
  <c r="K759" i="1" s="1"/>
  <c r="J759" i="2"/>
  <c r="J759" i="1" s="1"/>
  <c r="I759" i="2"/>
  <c r="I759" i="1" s="1"/>
  <c r="H759" i="2"/>
  <c r="H759" i="1" s="1"/>
  <c r="G759" i="2"/>
  <c r="G759" i="1" s="1"/>
  <c r="F759" i="2"/>
  <c r="F759" i="1" s="1"/>
  <c r="E759" i="2"/>
  <c r="E759" i="1" s="1"/>
  <c r="D759" i="2"/>
  <c r="D759" i="1" s="1"/>
  <c r="C759" i="2"/>
  <c r="C759" i="1" s="1"/>
  <c r="O758" i="2"/>
  <c r="O758" i="1" s="1"/>
  <c r="N758" i="2"/>
  <c r="N758" i="1" s="1"/>
  <c r="M758" i="2"/>
  <c r="M758" i="1" s="1"/>
  <c r="L758" i="2"/>
  <c r="K758"/>
  <c r="K758" i="1" s="1"/>
  <c r="J758" i="2"/>
  <c r="J758" i="1" s="1"/>
  <c r="I758" i="2"/>
  <c r="I758" i="1" s="1"/>
  <c r="H758" i="2"/>
  <c r="H758" i="1" s="1"/>
  <c r="G758" i="2"/>
  <c r="G758" i="1" s="1"/>
  <c r="F758" i="2"/>
  <c r="F758" i="1" s="1"/>
  <c r="E758" i="2"/>
  <c r="E758" i="1" s="1"/>
  <c r="D758" i="2"/>
  <c r="D758" i="1" s="1"/>
  <c r="C758" i="2"/>
  <c r="C758" i="1" s="1"/>
  <c r="O757" i="2"/>
  <c r="O757" i="1" s="1"/>
  <c r="N757" i="2"/>
  <c r="N757" i="1" s="1"/>
  <c r="M757" i="2"/>
  <c r="M757" i="1" s="1"/>
  <c r="L757" i="2"/>
  <c r="K757"/>
  <c r="K757" i="1" s="1"/>
  <c r="J757" i="2"/>
  <c r="J757" i="1" s="1"/>
  <c r="I757" i="2"/>
  <c r="I757" i="1" s="1"/>
  <c r="H757" i="2"/>
  <c r="H757" i="1" s="1"/>
  <c r="G757" i="2"/>
  <c r="G757" i="1" s="1"/>
  <c r="F757" i="2"/>
  <c r="F757" i="1" s="1"/>
  <c r="E757" i="2"/>
  <c r="E757" i="1" s="1"/>
  <c r="D757" i="2"/>
  <c r="D757" i="1" s="1"/>
  <c r="C757" i="2"/>
  <c r="C757" i="1" s="1"/>
  <c r="O756" i="2"/>
  <c r="O756" i="1" s="1"/>
  <c r="N756" i="2"/>
  <c r="N756" i="1" s="1"/>
  <c r="M756" i="2"/>
  <c r="M756" i="1" s="1"/>
  <c r="L756" i="2"/>
  <c r="K756"/>
  <c r="K756" i="1" s="1"/>
  <c r="J756" i="2"/>
  <c r="J756" i="1" s="1"/>
  <c r="I756" i="2"/>
  <c r="I756" i="1" s="1"/>
  <c r="H756" i="2"/>
  <c r="H756" i="1" s="1"/>
  <c r="G756" i="2"/>
  <c r="G756" i="1" s="1"/>
  <c r="F756" i="2"/>
  <c r="F756" i="1" s="1"/>
  <c r="E756" i="2"/>
  <c r="E756" i="1" s="1"/>
  <c r="D756" i="2"/>
  <c r="D756" i="1" s="1"/>
  <c r="C756" i="2"/>
  <c r="C756" i="1" s="1"/>
  <c r="O755" i="2"/>
  <c r="O755" i="1" s="1"/>
  <c r="N755" i="2"/>
  <c r="N755" i="1" s="1"/>
  <c r="M755" i="2"/>
  <c r="M755" i="1" s="1"/>
  <c r="L755" i="2"/>
  <c r="K755"/>
  <c r="K755" i="1" s="1"/>
  <c r="J755" i="2"/>
  <c r="J755" i="1" s="1"/>
  <c r="I755" i="2"/>
  <c r="I755" i="1" s="1"/>
  <c r="H755" i="2"/>
  <c r="H755" i="1" s="1"/>
  <c r="G755" i="2"/>
  <c r="G755" i="1" s="1"/>
  <c r="F755" i="2"/>
  <c r="F755" i="1" s="1"/>
  <c r="E755" i="2"/>
  <c r="E755" i="1" s="1"/>
  <c r="D755" i="2"/>
  <c r="D755" i="1" s="1"/>
  <c r="C755" i="2"/>
  <c r="C755" i="1" s="1"/>
  <c r="O754" i="2"/>
  <c r="O754" i="1" s="1"/>
  <c r="N754" i="2"/>
  <c r="N754" i="1" s="1"/>
  <c r="M754" i="2"/>
  <c r="M754" i="1" s="1"/>
  <c r="L754" i="2"/>
  <c r="K754"/>
  <c r="K754" i="1" s="1"/>
  <c r="J754" i="2"/>
  <c r="J754" i="1" s="1"/>
  <c r="I754" i="2"/>
  <c r="I754" i="1" s="1"/>
  <c r="H754" i="2"/>
  <c r="H754" i="1" s="1"/>
  <c r="G754" i="2"/>
  <c r="G754" i="1" s="1"/>
  <c r="F754" i="2"/>
  <c r="F754" i="1" s="1"/>
  <c r="E754" i="2"/>
  <c r="E754" i="1" s="1"/>
  <c r="D754" i="2"/>
  <c r="D754" i="1" s="1"/>
  <c r="C754" i="2"/>
  <c r="C754" i="1" s="1"/>
  <c r="O753" i="2"/>
  <c r="O753" i="1" s="1"/>
  <c r="N753" i="2"/>
  <c r="N753" i="1" s="1"/>
  <c r="M753" i="2"/>
  <c r="M753" i="1" s="1"/>
  <c r="L753" i="2"/>
  <c r="K753"/>
  <c r="K753" i="1" s="1"/>
  <c r="J753" i="2"/>
  <c r="J753" i="1" s="1"/>
  <c r="I753" i="2"/>
  <c r="I753" i="1" s="1"/>
  <c r="H753" i="2"/>
  <c r="H753" i="1" s="1"/>
  <c r="G753" i="2"/>
  <c r="G753" i="1" s="1"/>
  <c r="F753" i="2"/>
  <c r="F753" i="1" s="1"/>
  <c r="E753" i="2"/>
  <c r="E753" i="1" s="1"/>
  <c r="D753" i="2"/>
  <c r="D753" i="1" s="1"/>
  <c r="C753" i="2"/>
  <c r="C753" i="1" s="1"/>
  <c r="O752" i="2"/>
  <c r="O752" i="1" s="1"/>
  <c r="N752" i="2"/>
  <c r="N752" i="1" s="1"/>
  <c r="M752" i="2"/>
  <c r="M752" i="1" s="1"/>
  <c r="L752" i="2"/>
  <c r="K752"/>
  <c r="K752" i="1" s="1"/>
  <c r="J752" i="2"/>
  <c r="J752" i="1" s="1"/>
  <c r="I752" i="2"/>
  <c r="I752" i="1" s="1"/>
  <c r="H752" i="2"/>
  <c r="H752" i="1" s="1"/>
  <c r="G752" i="2"/>
  <c r="G752" i="1" s="1"/>
  <c r="F752" i="2"/>
  <c r="F752" i="1" s="1"/>
  <c r="E752" i="2"/>
  <c r="E752" i="1" s="1"/>
  <c r="D752" i="2"/>
  <c r="D752" i="1" s="1"/>
  <c r="C752" i="2"/>
  <c r="C752" i="1" s="1"/>
  <c r="O751" i="2"/>
  <c r="O751" i="1" s="1"/>
  <c r="N751" i="2"/>
  <c r="N751" i="1" s="1"/>
  <c r="M751" i="2"/>
  <c r="M751" i="1" s="1"/>
  <c r="L751" i="2"/>
  <c r="K751"/>
  <c r="K751" i="1" s="1"/>
  <c r="J751" i="2"/>
  <c r="J751" i="1" s="1"/>
  <c r="I751" i="2"/>
  <c r="I751" i="1" s="1"/>
  <c r="H751" i="2"/>
  <c r="H751" i="1" s="1"/>
  <c r="G751" i="2"/>
  <c r="G751" i="1" s="1"/>
  <c r="F751" i="2"/>
  <c r="F751" i="1" s="1"/>
  <c r="E751" i="2"/>
  <c r="E751" i="1" s="1"/>
  <c r="D751" i="2"/>
  <c r="D751" i="1" s="1"/>
  <c r="C751" i="2"/>
  <c r="C751" i="1" s="1"/>
  <c r="O750" i="2"/>
  <c r="O750" i="1" s="1"/>
  <c r="N750" i="2"/>
  <c r="N750" i="1" s="1"/>
  <c r="M750" i="2"/>
  <c r="M750" i="1" s="1"/>
  <c r="L750" i="2"/>
  <c r="K750"/>
  <c r="K750" i="1" s="1"/>
  <c r="J750" i="2"/>
  <c r="J750" i="1" s="1"/>
  <c r="I750" i="2"/>
  <c r="I750" i="1" s="1"/>
  <c r="H750" i="2"/>
  <c r="H750" i="1" s="1"/>
  <c r="G750" i="2"/>
  <c r="G750" i="1" s="1"/>
  <c r="F750" i="2"/>
  <c r="F750" i="1" s="1"/>
  <c r="E750" i="2"/>
  <c r="E750" i="1" s="1"/>
  <c r="D750" i="2"/>
  <c r="D750" i="1" s="1"/>
  <c r="C750" i="2"/>
  <c r="C750" i="1" s="1"/>
  <c r="O749" i="2"/>
  <c r="O749" i="1" s="1"/>
  <c r="N749" i="2"/>
  <c r="N749" i="1" s="1"/>
  <c r="M749" i="2"/>
  <c r="M749" i="1" s="1"/>
  <c r="L749" i="2"/>
  <c r="K749"/>
  <c r="K749" i="1" s="1"/>
  <c r="J749" i="2"/>
  <c r="J749" i="1" s="1"/>
  <c r="I749" i="2"/>
  <c r="I749" i="1" s="1"/>
  <c r="H749" i="2"/>
  <c r="H749" i="1" s="1"/>
  <c r="G749" i="2"/>
  <c r="G749" i="1" s="1"/>
  <c r="F749" i="2"/>
  <c r="F749" i="1" s="1"/>
  <c r="E749" i="2"/>
  <c r="E749" i="1" s="1"/>
  <c r="D749" i="2"/>
  <c r="D749" i="1" s="1"/>
  <c r="C749" i="2"/>
  <c r="C749" i="1" s="1"/>
  <c r="O748" i="2"/>
  <c r="O748" i="1" s="1"/>
  <c r="N748" i="2"/>
  <c r="N748" i="1" s="1"/>
  <c r="M748" i="2"/>
  <c r="M748" i="1" s="1"/>
  <c r="L748" i="2"/>
  <c r="K748"/>
  <c r="K748" i="1" s="1"/>
  <c r="J748" i="2"/>
  <c r="J748" i="1" s="1"/>
  <c r="I748" i="2"/>
  <c r="I748" i="1" s="1"/>
  <c r="H748" i="2"/>
  <c r="H748" i="1" s="1"/>
  <c r="G748" i="2"/>
  <c r="G748" i="1" s="1"/>
  <c r="F748" i="2"/>
  <c r="F748" i="1" s="1"/>
  <c r="E748" i="2"/>
  <c r="E748" i="1" s="1"/>
  <c r="D748" i="2"/>
  <c r="D748" i="1" s="1"/>
  <c r="C748" i="2"/>
  <c r="C748" i="1" s="1"/>
  <c r="O747" i="2"/>
  <c r="O747" i="1" s="1"/>
  <c r="N747" i="2"/>
  <c r="N747" i="1" s="1"/>
  <c r="M747" i="2"/>
  <c r="M747" i="1" s="1"/>
  <c r="L747" i="2"/>
  <c r="K747"/>
  <c r="K747" i="1" s="1"/>
  <c r="J747" i="2"/>
  <c r="J747" i="1" s="1"/>
  <c r="I747" i="2"/>
  <c r="I747" i="1" s="1"/>
  <c r="H747" i="2"/>
  <c r="H747" i="1" s="1"/>
  <c r="G747" i="2"/>
  <c r="G747" i="1" s="1"/>
  <c r="F747" i="2"/>
  <c r="F747" i="1" s="1"/>
  <c r="E747" i="2"/>
  <c r="E747" i="1" s="1"/>
  <c r="D747" i="2"/>
  <c r="D747" i="1" s="1"/>
  <c r="C747" i="2"/>
  <c r="C747" i="1" s="1"/>
  <c r="O746" i="2"/>
  <c r="O746" i="1" s="1"/>
  <c r="N746" i="2"/>
  <c r="N746" i="1" s="1"/>
  <c r="M746" i="2"/>
  <c r="M746" i="1" s="1"/>
  <c r="L746" i="2"/>
  <c r="K746"/>
  <c r="K746" i="1" s="1"/>
  <c r="J746" i="2"/>
  <c r="J746" i="1" s="1"/>
  <c r="I746" i="2"/>
  <c r="I746" i="1" s="1"/>
  <c r="H746" i="2"/>
  <c r="H746" i="1" s="1"/>
  <c r="G746" i="2"/>
  <c r="G746" i="1" s="1"/>
  <c r="F746" i="2"/>
  <c r="F746" i="1" s="1"/>
  <c r="E746" i="2"/>
  <c r="E746" i="1" s="1"/>
  <c r="D746" i="2"/>
  <c r="D746" i="1" s="1"/>
  <c r="C746" i="2"/>
  <c r="C746" i="1" s="1"/>
  <c r="O745" i="2"/>
  <c r="O745" i="1" s="1"/>
  <c r="N745" i="2"/>
  <c r="N745" i="1" s="1"/>
  <c r="M745" i="2"/>
  <c r="M745" i="1" s="1"/>
  <c r="L745" i="2"/>
  <c r="K745"/>
  <c r="K745" i="1" s="1"/>
  <c r="J745" i="2"/>
  <c r="J745" i="1" s="1"/>
  <c r="I745" i="2"/>
  <c r="I745" i="1" s="1"/>
  <c r="H745" i="2"/>
  <c r="H745" i="1" s="1"/>
  <c r="G745" i="2"/>
  <c r="G745" i="1" s="1"/>
  <c r="F745" i="2"/>
  <c r="F745" i="1" s="1"/>
  <c r="E745" i="2"/>
  <c r="E745" i="1" s="1"/>
  <c r="D745" i="2"/>
  <c r="D745" i="1" s="1"/>
  <c r="C745" i="2"/>
  <c r="C745" i="1" s="1"/>
  <c r="O744" i="2"/>
  <c r="O744" i="1" s="1"/>
  <c r="N744" i="2"/>
  <c r="N744" i="1" s="1"/>
  <c r="M744" i="2"/>
  <c r="M744" i="1" s="1"/>
  <c r="L744" i="2"/>
  <c r="K744"/>
  <c r="K744" i="1" s="1"/>
  <c r="J744" i="2"/>
  <c r="J744" i="1" s="1"/>
  <c r="I744" i="2"/>
  <c r="I744" i="1" s="1"/>
  <c r="H744" i="2"/>
  <c r="H744" i="1" s="1"/>
  <c r="G744" i="2"/>
  <c r="G744" i="1" s="1"/>
  <c r="F744" i="2"/>
  <c r="F744" i="1" s="1"/>
  <c r="E744" i="2"/>
  <c r="E744" i="1" s="1"/>
  <c r="D744" i="2"/>
  <c r="D744" i="1" s="1"/>
  <c r="C744" i="2"/>
  <c r="C744" i="1" s="1"/>
  <c r="O743" i="2"/>
  <c r="O743" i="1" s="1"/>
  <c r="N743" i="2"/>
  <c r="N743" i="1" s="1"/>
  <c r="M743" i="2"/>
  <c r="M743" i="1" s="1"/>
  <c r="L743" i="2"/>
  <c r="K743"/>
  <c r="K743" i="1" s="1"/>
  <c r="J743" i="2"/>
  <c r="J743" i="1" s="1"/>
  <c r="I743" i="2"/>
  <c r="I743" i="1" s="1"/>
  <c r="H743" i="2"/>
  <c r="H743" i="1" s="1"/>
  <c r="G743" i="2"/>
  <c r="G743" i="1" s="1"/>
  <c r="F743" i="2"/>
  <c r="F743" i="1" s="1"/>
  <c r="E743" i="2"/>
  <c r="E743" i="1" s="1"/>
  <c r="D743" i="2"/>
  <c r="D743" i="1" s="1"/>
  <c r="C743" i="2"/>
  <c r="C743" i="1" s="1"/>
  <c r="O742" i="2"/>
  <c r="O742" i="1" s="1"/>
  <c r="N742" i="2"/>
  <c r="N742" i="1" s="1"/>
  <c r="M742" i="2"/>
  <c r="M742" i="1" s="1"/>
  <c r="L742" i="2"/>
  <c r="K742"/>
  <c r="K742" i="1" s="1"/>
  <c r="J742" i="2"/>
  <c r="J742" i="1" s="1"/>
  <c r="I742" i="2"/>
  <c r="I742" i="1" s="1"/>
  <c r="H742" i="2"/>
  <c r="H742" i="1" s="1"/>
  <c r="G742" i="2"/>
  <c r="G742" i="1" s="1"/>
  <c r="F742" i="2"/>
  <c r="F742" i="1" s="1"/>
  <c r="E742" i="2"/>
  <c r="E742" i="1" s="1"/>
  <c r="D742" i="2"/>
  <c r="D742" i="1" s="1"/>
  <c r="C742" i="2"/>
  <c r="C742" i="1" s="1"/>
  <c r="O741" i="2"/>
  <c r="O741" i="1" s="1"/>
  <c r="N741" i="2"/>
  <c r="N741" i="1" s="1"/>
  <c r="M741" i="2"/>
  <c r="M741" i="1" s="1"/>
  <c r="L741" i="2"/>
  <c r="K741"/>
  <c r="K741" i="1" s="1"/>
  <c r="J741" i="2"/>
  <c r="J741" i="1" s="1"/>
  <c r="I741" i="2"/>
  <c r="I741" i="1" s="1"/>
  <c r="H741" i="2"/>
  <c r="H741" i="1" s="1"/>
  <c r="G741" i="2"/>
  <c r="G741" i="1" s="1"/>
  <c r="F741" i="2"/>
  <c r="F741" i="1" s="1"/>
  <c r="E741" i="2"/>
  <c r="E741" i="1" s="1"/>
  <c r="D741" i="2"/>
  <c r="D741" i="1" s="1"/>
  <c r="C741" i="2"/>
  <c r="C741" i="1" s="1"/>
  <c r="O740" i="2"/>
  <c r="O740" i="1" s="1"/>
  <c r="N740" i="2"/>
  <c r="N740" i="1" s="1"/>
  <c r="M740" i="2"/>
  <c r="M740" i="1" s="1"/>
  <c r="L740" i="2"/>
  <c r="K740"/>
  <c r="K740" i="1" s="1"/>
  <c r="J740" i="2"/>
  <c r="J740" i="1" s="1"/>
  <c r="I740" i="2"/>
  <c r="I740" i="1" s="1"/>
  <c r="H740" i="2"/>
  <c r="H740" i="1" s="1"/>
  <c r="G740" i="2"/>
  <c r="G740" i="1" s="1"/>
  <c r="F740" i="2"/>
  <c r="F740" i="1" s="1"/>
  <c r="E740" i="2"/>
  <c r="E740" i="1" s="1"/>
  <c r="D740" i="2"/>
  <c r="D740" i="1" s="1"/>
  <c r="C740" i="2"/>
  <c r="C740" i="1" s="1"/>
  <c r="O739" i="2"/>
  <c r="O739" i="1" s="1"/>
  <c r="N739" i="2"/>
  <c r="N739" i="1" s="1"/>
  <c r="M739" i="2"/>
  <c r="M739" i="1" s="1"/>
  <c r="L739" i="2"/>
  <c r="K739"/>
  <c r="K739" i="1" s="1"/>
  <c r="J739" i="2"/>
  <c r="J739" i="1" s="1"/>
  <c r="I739" i="2"/>
  <c r="I739" i="1" s="1"/>
  <c r="H739" i="2"/>
  <c r="H739" i="1" s="1"/>
  <c r="G739" i="2"/>
  <c r="G739" i="1" s="1"/>
  <c r="F739" i="2"/>
  <c r="F739" i="1" s="1"/>
  <c r="E739" i="2"/>
  <c r="E739" i="1" s="1"/>
  <c r="D739" i="2"/>
  <c r="D739" i="1" s="1"/>
  <c r="C739" i="2"/>
  <c r="C739" i="1" s="1"/>
  <c r="O738" i="2"/>
  <c r="O738" i="1" s="1"/>
  <c r="N738" i="2"/>
  <c r="N738" i="1" s="1"/>
  <c r="M738" i="2"/>
  <c r="M738" i="1" s="1"/>
  <c r="L738" i="2"/>
  <c r="K738"/>
  <c r="K738" i="1" s="1"/>
  <c r="J738" i="2"/>
  <c r="J738" i="1" s="1"/>
  <c r="I738" i="2"/>
  <c r="I738" i="1" s="1"/>
  <c r="H738" i="2"/>
  <c r="H738" i="1" s="1"/>
  <c r="G738" i="2"/>
  <c r="G738" i="1" s="1"/>
  <c r="F738" i="2"/>
  <c r="F738" i="1" s="1"/>
  <c r="E738" i="2"/>
  <c r="E738" i="1" s="1"/>
  <c r="D738" i="2"/>
  <c r="D738" i="1" s="1"/>
  <c r="C738" i="2"/>
  <c r="C738" i="1" s="1"/>
  <c r="O737" i="2"/>
  <c r="O737" i="1" s="1"/>
  <c r="N737" i="2"/>
  <c r="N737" i="1" s="1"/>
  <c r="M737" i="2"/>
  <c r="M737" i="1" s="1"/>
  <c r="L737" i="2"/>
  <c r="K737"/>
  <c r="K737" i="1" s="1"/>
  <c r="J737" i="2"/>
  <c r="J737" i="1" s="1"/>
  <c r="I737" i="2"/>
  <c r="I737" i="1" s="1"/>
  <c r="H737" i="2"/>
  <c r="H737" i="1" s="1"/>
  <c r="G737" i="2"/>
  <c r="G737" i="1" s="1"/>
  <c r="F737" i="2"/>
  <c r="F737" i="1" s="1"/>
  <c r="E737" i="2"/>
  <c r="E737" i="1" s="1"/>
  <c r="D737" i="2"/>
  <c r="D737" i="1" s="1"/>
  <c r="C737" i="2"/>
  <c r="C737" i="1" s="1"/>
  <c r="O736" i="2"/>
  <c r="O736" i="1" s="1"/>
  <c r="N736" i="2"/>
  <c r="N736" i="1" s="1"/>
  <c r="M736" i="2"/>
  <c r="M736" i="1" s="1"/>
  <c r="L736" i="2"/>
  <c r="K736"/>
  <c r="K736" i="1" s="1"/>
  <c r="J736" i="2"/>
  <c r="J736" i="1" s="1"/>
  <c r="I736" i="2"/>
  <c r="I736" i="1" s="1"/>
  <c r="H736" i="2"/>
  <c r="H736" i="1" s="1"/>
  <c r="G736" i="2"/>
  <c r="G736" i="1" s="1"/>
  <c r="F736" i="2"/>
  <c r="F736" i="1" s="1"/>
  <c r="E736" i="2"/>
  <c r="E736" i="1" s="1"/>
  <c r="D736" i="2"/>
  <c r="D736" i="1" s="1"/>
  <c r="C736" i="2"/>
  <c r="C736" i="1" s="1"/>
  <c r="O735" i="2"/>
  <c r="O735" i="1" s="1"/>
  <c r="N735" i="2"/>
  <c r="N735" i="1" s="1"/>
  <c r="M735" i="2"/>
  <c r="M735" i="1" s="1"/>
  <c r="L735" i="2"/>
  <c r="K735"/>
  <c r="K735" i="1" s="1"/>
  <c r="J735" i="2"/>
  <c r="J735" i="1" s="1"/>
  <c r="I735" i="2"/>
  <c r="I735" i="1" s="1"/>
  <c r="H735" i="2"/>
  <c r="H735" i="1" s="1"/>
  <c r="G735" i="2"/>
  <c r="G735" i="1" s="1"/>
  <c r="F735" i="2"/>
  <c r="F735" i="1" s="1"/>
  <c r="E735" i="2"/>
  <c r="E735" i="1" s="1"/>
  <c r="D735" i="2"/>
  <c r="D735" i="1" s="1"/>
  <c r="C735" i="2"/>
  <c r="C735" i="1" s="1"/>
  <c r="O734" i="2"/>
  <c r="O734" i="1" s="1"/>
  <c r="N734" i="2"/>
  <c r="N734" i="1" s="1"/>
  <c r="M734" i="2"/>
  <c r="M734" i="1" s="1"/>
  <c r="L734" i="2"/>
  <c r="K734"/>
  <c r="K734" i="1" s="1"/>
  <c r="J734" i="2"/>
  <c r="J734" i="1" s="1"/>
  <c r="I734" i="2"/>
  <c r="I734" i="1" s="1"/>
  <c r="H734" i="2"/>
  <c r="H734" i="1" s="1"/>
  <c r="G734" i="2"/>
  <c r="G734" i="1" s="1"/>
  <c r="F734" i="2"/>
  <c r="F734" i="1" s="1"/>
  <c r="E734" i="2"/>
  <c r="E734" i="1" s="1"/>
  <c r="D734" i="2"/>
  <c r="D734" i="1" s="1"/>
  <c r="C734" i="2"/>
  <c r="C734" i="1" s="1"/>
  <c r="O733" i="2"/>
  <c r="O733" i="1" s="1"/>
  <c r="N733" i="2"/>
  <c r="N733" i="1" s="1"/>
  <c r="M733" i="2"/>
  <c r="M733" i="1" s="1"/>
  <c r="L733" i="2"/>
  <c r="K733"/>
  <c r="K733" i="1" s="1"/>
  <c r="J733" i="2"/>
  <c r="J733" i="1" s="1"/>
  <c r="I733" i="2"/>
  <c r="I733" i="1" s="1"/>
  <c r="H733" i="2"/>
  <c r="H733" i="1" s="1"/>
  <c r="G733" i="2"/>
  <c r="G733" i="1" s="1"/>
  <c r="F733" i="2"/>
  <c r="F733" i="1" s="1"/>
  <c r="E733" i="2"/>
  <c r="E733" i="1" s="1"/>
  <c r="D733" i="2"/>
  <c r="D733" i="1" s="1"/>
  <c r="C733" i="2"/>
  <c r="C733" i="1" s="1"/>
  <c r="O732" i="2"/>
  <c r="O732" i="1" s="1"/>
  <c r="N732" i="2"/>
  <c r="N732" i="1" s="1"/>
  <c r="M732" i="2"/>
  <c r="M732" i="1" s="1"/>
  <c r="L732" i="2"/>
  <c r="K732"/>
  <c r="K732" i="1" s="1"/>
  <c r="J732" i="2"/>
  <c r="J732" i="1" s="1"/>
  <c r="I732" i="2"/>
  <c r="I732" i="1" s="1"/>
  <c r="H732" i="2"/>
  <c r="H732" i="1" s="1"/>
  <c r="G732" i="2"/>
  <c r="G732" i="1" s="1"/>
  <c r="F732" i="2"/>
  <c r="F732" i="1" s="1"/>
  <c r="E732" i="2"/>
  <c r="E732" i="1" s="1"/>
  <c r="D732" i="2"/>
  <c r="D732" i="1" s="1"/>
  <c r="C732" i="2"/>
  <c r="C732" i="1" s="1"/>
  <c r="O731" i="2"/>
  <c r="O731" i="1" s="1"/>
  <c r="N731" i="2"/>
  <c r="N731" i="1" s="1"/>
  <c r="M731" i="2"/>
  <c r="M731" i="1" s="1"/>
  <c r="L731" i="2"/>
  <c r="K731"/>
  <c r="K731" i="1" s="1"/>
  <c r="J731" i="2"/>
  <c r="J731" i="1" s="1"/>
  <c r="I731" i="2"/>
  <c r="I731" i="1" s="1"/>
  <c r="H731" i="2"/>
  <c r="H731" i="1" s="1"/>
  <c r="G731" i="2"/>
  <c r="G731" i="1" s="1"/>
  <c r="F731" i="2"/>
  <c r="F731" i="1" s="1"/>
  <c r="E731" i="2"/>
  <c r="E731" i="1" s="1"/>
  <c r="D731" i="2"/>
  <c r="D731" i="1" s="1"/>
  <c r="C731" i="2"/>
  <c r="C731" i="1" s="1"/>
  <c r="O730" i="2"/>
  <c r="O730" i="1" s="1"/>
  <c r="N730" i="2"/>
  <c r="N730" i="1" s="1"/>
  <c r="M730" i="2"/>
  <c r="M730" i="1" s="1"/>
  <c r="L730" i="2"/>
  <c r="K730"/>
  <c r="K730" i="1" s="1"/>
  <c r="J730" i="2"/>
  <c r="J730" i="1" s="1"/>
  <c r="I730" i="2"/>
  <c r="I730" i="1" s="1"/>
  <c r="H730" i="2"/>
  <c r="H730" i="1" s="1"/>
  <c r="G730" i="2"/>
  <c r="G730" i="1" s="1"/>
  <c r="F730" i="2"/>
  <c r="F730" i="1" s="1"/>
  <c r="E730" i="2"/>
  <c r="E730" i="1" s="1"/>
  <c r="D730" i="2"/>
  <c r="D730" i="1" s="1"/>
  <c r="C730" i="2"/>
  <c r="C730" i="1" s="1"/>
  <c r="O729" i="2"/>
  <c r="O729" i="1" s="1"/>
  <c r="N729" i="2"/>
  <c r="N729" i="1" s="1"/>
  <c r="M729" i="2"/>
  <c r="M729" i="1" s="1"/>
  <c r="L729" i="2"/>
  <c r="K729"/>
  <c r="K729" i="1" s="1"/>
  <c r="J729" i="2"/>
  <c r="J729" i="1" s="1"/>
  <c r="I729" i="2"/>
  <c r="I729" i="1" s="1"/>
  <c r="H729" i="2"/>
  <c r="H729" i="1" s="1"/>
  <c r="G729" i="2"/>
  <c r="G729" i="1" s="1"/>
  <c r="F729" i="2"/>
  <c r="F729" i="1" s="1"/>
  <c r="E729" i="2"/>
  <c r="E729" i="1" s="1"/>
  <c r="D729" i="2"/>
  <c r="D729" i="1" s="1"/>
  <c r="C729" i="2"/>
  <c r="C729" i="1" s="1"/>
  <c r="O728" i="2"/>
  <c r="O728" i="1" s="1"/>
  <c r="N728" i="2"/>
  <c r="N728" i="1" s="1"/>
  <c r="M728" i="2"/>
  <c r="M728" i="1" s="1"/>
  <c r="L728" i="2"/>
  <c r="K728"/>
  <c r="K728" i="1" s="1"/>
  <c r="J728" i="2"/>
  <c r="J728" i="1" s="1"/>
  <c r="I728" i="2"/>
  <c r="I728" i="1" s="1"/>
  <c r="H728" i="2"/>
  <c r="H728" i="1" s="1"/>
  <c r="G728" i="2"/>
  <c r="G728" i="1" s="1"/>
  <c r="F728" i="2"/>
  <c r="F728" i="1" s="1"/>
  <c r="E728" i="2"/>
  <c r="E728" i="1" s="1"/>
  <c r="D728" i="2"/>
  <c r="D728" i="1" s="1"/>
  <c r="C728" i="2"/>
  <c r="C728" i="1" s="1"/>
  <c r="O727" i="2"/>
  <c r="O727" i="1" s="1"/>
  <c r="N727" i="2"/>
  <c r="N727" i="1" s="1"/>
  <c r="M727" i="2"/>
  <c r="M727" i="1" s="1"/>
  <c r="L727" i="2"/>
  <c r="K727"/>
  <c r="K727" i="1" s="1"/>
  <c r="J727" i="2"/>
  <c r="J727" i="1" s="1"/>
  <c r="I727" i="2"/>
  <c r="I727" i="1" s="1"/>
  <c r="H727" i="2"/>
  <c r="H727" i="1" s="1"/>
  <c r="G727" i="2"/>
  <c r="G727" i="1" s="1"/>
  <c r="F727" i="2"/>
  <c r="F727" i="1" s="1"/>
  <c r="E727" i="2"/>
  <c r="E727" i="1" s="1"/>
  <c r="D727" i="2"/>
  <c r="D727" i="1" s="1"/>
  <c r="C727" i="2"/>
  <c r="C727" i="1" s="1"/>
  <c r="O726" i="2"/>
  <c r="O726" i="1" s="1"/>
  <c r="N726" i="2"/>
  <c r="N726" i="1" s="1"/>
  <c r="M726" i="2"/>
  <c r="M726" i="1" s="1"/>
  <c r="L726" i="2"/>
  <c r="K726"/>
  <c r="K726" i="1" s="1"/>
  <c r="J726" i="2"/>
  <c r="J726" i="1" s="1"/>
  <c r="I726" i="2"/>
  <c r="I726" i="1" s="1"/>
  <c r="H726" i="2"/>
  <c r="H726" i="1" s="1"/>
  <c r="G726" i="2"/>
  <c r="G726" i="1" s="1"/>
  <c r="F726" i="2"/>
  <c r="F726" i="1" s="1"/>
  <c r="E726" i="2"/>
  <c r="E726" i="1" s="1"/>
  <c r="D726" i="2"/>
  <c r="D726" i="1" s="1"/>
  <c r="C726" i="2"/>
  <c r="C726" i="1" s="1"/>
  <c r="O725" i="2"/>
  <c r="O725" i="1" s="1"/>
  <c r="N725" i="2"/>
  <c r="N725" i="1" s="1"/>
  <c r="M725" i="2"/>
  <c r="M725" i="1" s="1"/>
  <c r="L725" i="2"/>
  <c r="K725"/>
  <c r="K725" i="1" s="1"/>
  <c r="J725" i="2"/>
  <c r="J725" i="1" s="1"/>
  <c r="I725" i="2"/>
  <c r="I725" i="1" s="1"/>
  <c r="H725" i="2"/>
  <c r="H725" i="1" s="1"/>
  <c r="G725" i="2"/>
  <c r="G725" i="1" s="1"/>
  <c r="F725" i="2"/>
  <c r="F725" i="1" s="1"/>
  <c r="E725" i="2"/>
  <c r="E725" i="1" s="1"/>
  <c r="D725" i="2"/>
  <c r="D725" i="1" s="1"/>
  <c r="C725" i="2"/>
  <c r="C725" i="1" s="1"/>
  <c r="O724" i="2"/>
  <c r="O724" i="1" s="1"/>
  <c r="N724" i="2"/>
  <c r="N724" i="1" s="1"/>
  <c r="M724" i="2"/>
  <c r="M724" i="1" s="1"/>
  <c r="L724" i="2"/>
  <c r="K724"/>
  <c r="K724" i="1" s="1"/>
  <c r="J724" i="2"/>
  <c r="J724" i="1" s="1"/>
  <c r="I724" i="2"/>
  <c r="I724" i="1" s="1"/>
  <c r="H724" i="2"/>
  <c r="H724" i="1" s="1"/>
  <c r="G724" i="2"/>
  <c r="G724" i="1" s="1"/>
  <c r="F724" i="2"/>
  <c r="F724" i="1" s="1"/>
  <c r="E724" i="2"/>
  <c r="E724" i="1" s="1"/>
  <c r="D724" i="2"/>
  <c r="D724" i="1" s="1"/>
  <c r="C724" i="2"/>
  <c r="C724" i="1" s="1"/>
  <c r="O723" i="2"/>
  <c r="O723" i="1" s="1"/>
  <c r="N723" i="2"/>
  <c r="N723" i="1" s="1"/>
  <c r="M723" i="2"/>
  <c r="M723" i="1" s="1"/>
  <c r="L723" i="2"/>
  <c r="K723"/>
  <c r="K723" i="1" s="1"/>
  <c r="J723" i="2"/>
  <c r="J723" i="1" s="1"/>
  <c r="I723" i="2"/>
  <c r="I723" i="1" s="1"/>
  <c r="H723" i="2"/>
  <c r="H723" i="1" s="1"/>
  <c r="G723" i="2"/>
  <c r="G723" i="1" s="1"/>
  <c r="F723" i="2"/>
  <c r="F723" i="1" s="1"/>
  <c r="E723" i="2"/>
  <c r="E723" i="1" s="1"/>
  <c r="D723" i="2"/>
  <c r="D723" i="1" s="1"/>
  <c r="C723" i="2"/>
  <c r="C723" i="1" s="1"/>
  <c r="O722" i="2"/>
  <c r="O722" i="1" s="1"/>
  <c r="N722" i="2"/>
  <c r="N722" i="1" s="1"/>
  <c r="M722" i="2"/>
  <c r="M722" i="1" s="1"/>
  <c r="L722" i="2"/>
  <c r="K722"/>
  <c r="K722" i="1" s="1"/>
  <c r="J722" i="2"/>
  <c r="J722" i="1" s="1"/>
  <c r="I722" i="2"/>
  <c r="I722" i="1" s="1"/>
  <c r="H722" i="2"/>
  <c r="H722" i="1" s="1"/>
  <c r="G722" i="2"/>
  <c r="G722" i="1" s="1"/>
  <c r="F722" i="2"/>
  <c r="F722" i="1" s="1"/>
  <c r="E722" i="2"/>
  <c r="E722" i="1" s="1"/>
  <c r="D722" i="2"/>
  <c r="D722" i="1" s="1"/>
  <c r="C722" i="2"/>
  <c r="C722" i="1" s="1"/>
  <c r="O721" i="2"/>
  <c r="O721" i="1" s="1"/>
  <c r="N721" i="2"/>
  <c r="N721" i="1" s="1"/>
  <c r="M721" i="2"/>
  <c r="M721" i="1" s="1"/>
  <c r="L721" i="2"/>
  <c r="K721"/>
  <c r="K721" i="1" s="1"/>
  <c r="J721" i="2"/>
  <c r="J721" i="1" s="1"/>
  <c r="I721" i="2"/>
  <c r="I721" i="1" s="1"/>
  <c r="H721" i="2"/>
  <c r="H721" i="1" s="1"/>
  <c r="G721" i="2"/>
  <c r="G721" i="1" s="1"/>
  <c r="F721" i="2"/>
  <c r="F721" i="1" s="1"/>
  <c r="E721" i="2"/>
  <c r="E721" i="1" s="1"/>
  <c r="D721" i="2"/>
  <c r="D721" i="1" s="1"/>
  <c r="C721" i="2"/>
  <c r="C721" i="1" s="1"/>
  <c r="O720" i="2"/>
  <c r="O720" i="1" s="1"/>
  <c r="N720" i="2"/>
  <c r="N720" i="1" s="1"/>
  <c r="M720" i="2"/>
  <c r="M720" i="1" s="1"/>
  <c r="L720" i="2"/>
  <c r="K720"/>
  <c r="K720" i="1" s="1"/>
  <c r="J720" i="2"/>
  <c r="J720" i="1" s="1"/>
  <c r="I720" i="2"/>
  <c r="I720" i="1" s="1"/>
  <c r="H720" i="2"/>
  <c r="H720" i="1" s="1"/>
  <c r="G720" i="2"/>
  <c r="G720" i="1" s="1"/>
  <c r="F720" i="2"/>
  <c r="F720" i="1" s="1"/>
  <c r="E720" i="2"/>
  <c r="E720" i="1" s="1"/>
  <c r="D720" i="2"/>
  <c r="D720" i="1" s="1"/>
  <c r="C720" i="2"/>
  <c r="C720" i="1" s="1"/>
  <c r="O719" i="2"/>
  <c r="O719" i="1" s="1"/>
  <c r="N719" i="2"/>
  <c r="N719" i="1" s="1"/>
  <c r="M719" i="2"/>
  <c r="M719" i="1" s="1"/>
  <c r="L719" i="2"/>
  <c r="K719"/>
  <c r="K719" i="1" s="1"/>
  <c r="J719" i="2"/>
  <c r="J719" i="1" s="1"/>
  <c r="I719" i="2"/>
  <c r="I719" i="1" s="1"/>
  <c r="H719" i="2"/>
  <c r="H719" i="1" s="1"/>
  <c r="G719" i="2"/>
  <c r="G719" i="1" s="1"/>
  <c r="F719" i="2"/>
  <c r="F719" i="1" s="1"/>
  <c r="E719" i="2"/>
  <c r="E719" i="1" s="1"/>
  <c r="D719" i="2"/>
  <c r="D719" i="1" s="1"/>
  <c r="C719" i="2"/>
  <c r="C719" i="1" s="1"/>
  <c r="O718" i="2"/>
  <c r="O718" i="1" s="1"/>
  <c r="N718" i="2"/>
  <c r="N718" i="1" s="1"/>
  <c r="M718" i="2"/>
  <c r="M718" i="1" s="1"/>
  <c r="L718" i="2"/>
  <c r="K718"/>
  <c r="K718" i="1" s="1"/>
  <c r="J718" i="2"/>
  <c r="J718" i="1" s="1"/>
  <c r="I718" i="2"/>
  <c r="I718" i="1" s="1"/>
  <c r="H718" i="2"/>
  <c r="H718" i="1" s="1"/>
  <c r="G718" i="2"/>
  <c r="G718" i="1" s="1"/>
  <c r="F718" i="2"/>
  <c r="F718" i="1" s="1"/>
  <c r="E718" i="2"/>
  <c r="E718" i="1" s="1"/>
  <c r="D718" i="2"/>
  <c r="D718" i="1" s="1"/>
  <c r="C718" i="2"/>
  <c r="C718" i="1" s="1"/>
  <c r="O717" i="2"/>
  <c r="O717" i="1" s="1"/>
  <c r="N717" i="2"/>
  <c r="N717" i="1" s="1"/>
  <c r="M717" i="2"/>
  <c r="M717" i="1" s="1"/>
  <c r="L717" i="2"/>
  <c r="K717"/>
  <c r="K717" i="1" s="1"/>
  <c r="J717" i="2"/>
  <c r="J717" i="1" s="1"/>
  <c r="I717" i="2"/>
  <c r="I717" i="1" s="1"/>
  <c r="H717" i="2"/>
  <c r="H717" i="1" s="1"/>
  <c r="G717" i="2"/>
  <c r="G717" i="1" s="1"/>
  <c r="F717" i="2"/>
  <c r="F717" i="1" s="1"/>
  <c r="E717" i="2"/>
  <c r="E717" i="1" s="1"/>
  <c r="D717" i="2"/>
  <c r="D717" i="1" s="1"/>
  <c r="C717" i="2"/>
  <c r="C717" i="1" s="1"/>
  <c r="O716" i="2"/>
  <c r="O716" i="1" s="1"/>
  <c r="N716" i="2"/>
  <c r="N716" i="1" s="1"/>
  <c r="M716" i="2"/>
  <c r="M716" i="1" s="1"/>
  <c r="L716" i="2"/>
  <c r="K716"/>
  <c r="K716" i="1" s="1"/>
  <c r="J716" i="2"/>
  <c r="J716" i="1" s="1"/>
  <c r="I716" i="2"/>
  <c r="I716" i="1" s="1"/>
  <c r="H716" i="2"/>
  <c r="H716" i="1" s="1"/>
  <c r="G716" i="2"/>
  <c r="G716" i="1" s="1"/>
  <c r="F716" i="2"/>
  <c r="F716" i="1" s="1"/>
  <c r="E716" i="2"/>
  <c r="E716" i="1" s="1"/>
  <c r="D716" i="2"/>
  <c r="D716" i="1" s="1"/>
  <c r="C716" i="2"/>
  <c r="C716" i="1" s="1"/>
  <c r="O715" i="2"/>
  <c r="O715" i="1" s="1"/>
  <c r="N715" i="2"/>
  <c r="N715" i="1" s="1"/>
  <c r="M715" i="2"/>
  <c r="M715" i="1" s="1"/>
  <c r="L715" i="2"/>
  <c r="K715"/>
  <c r="K715" i="1" s="1"/>
  <c r="J715" i="2"/>
  <c r="J715" i="1" s="1"/>
  <c r="I715" i="2"/>
  <c r="I715" i="1" s="1"/>
  <c r="H715" i="2"/>
  <c r="H715" i="1" s="1"/>
  <c r="G715" i="2"/>
  <c r="G715" i="1" s="1"/>
  <c r="F715" i="2"/>
  <c r="F715" i="1" s="1"/>
  <c r="E715" i="2"/>
  <c r="E715" i="1" s="1"/>
  <c r="D715" i="2"/>
  <c r="D715" i="1" s="1"/>
  <c r="C715" i="2"/>
  <c r="C715" i="1" s="1"/>
  <c r="O714" i="2"/>
  <c r="O714" i="1" s="1"/>
  <c r="N714" i="2"/>
  <c r="N714" i="1" s="1"/>
  <c r="M714" i="2"/>
  <c r="M714" i="1" s="1"/>
  <c r="L714" i="2"/>
  <c r="K714"/>
  <c r="K714" i="1" s="1"/>
  <c r="J714" i="2"/>
  <c r="J714" i="1" s="1"/>
  <c r="I714" i="2"/>
  <c r="I714" i="1" s="1"/>
  <c r="H714" i="2"/>
  <c r="H714" i="1" s="1"/>
  <c r="G714" i="2"/>
  <c r="G714" i="1" s="1"/>
  <c r="F714" i="2"/>
  <c r="F714" i="1" s="1"/>
  <c r="E714" i="2"/>
  <c r="E714" i="1" s="1"/>
  <c r="D714" i="2"/>
  <c r="D714" i="1" s="1"/>
  <c r="C714" i="2"/>
  <c r="C714" i="1" s="1"/>
  <c r="O713" i="2"/>
  <c r="O713" i="1" s="1"/>
  <c r="N713" i="2"/>
  <c r="N713" i="1" s="1"/>
  <c r="M713" i="2"/>
  <c r="M713" i="1" s="1"/>
  <c r="L713" i="2"/>
  <c r="K713"/>
  <c r="K713" i="1" s="1"/>
  <c r="J713" i="2"/>
  <c r="J713" i="1" s="1"/>
  <c r="I713" i="2"/>
  <c r="I713" i="1" s="1"/>
  <c r="H713" i="2"/>
  <c r="H713" i="1" s="1"/>
  <c r="G713" i="2"/>
  <c r="G713" i="1" s="1"/>
  <c r="F713" i="2"/>
  <c r="F713" i="1" s="1"/>
  <c r="E713" i="2"/>
  <c r="E713" i="1" s="1"/>
  <c r="D713" i="2"/>
  <c r="D713" i="1" s="1"/>
  <c r="C713" i="2"/>
  <c r="C713" i="1" s="1"/>
  <c r="O712" i="2"/>
  <c r="O712" i="1" s="1"/>
  <c r="N712" i="2"/>
  <c r="N712" i="1" s="1"/>
  <c r="M712" i="2"/>
  <c r="M712" i="1" s="1"/>
  <c r="L712" i="2"/>
  <c r="K712"/>
  <c r="K712" i="1" s="1"/>
  <c r="J712" i="2"/>
  <c r="J712" i="1" s="1"/>
  <c r="I712" i="2"/>
  <c r="I712" i="1" s="1"/>
  <c r="H712" i="2"/>
  <c r="H712" i="1" s="1"/>
  <c r="G712" i="2"/>
  <c r="G712" i="1" s="1"/>
  <c r="F712" i="2"/>
  <c r="F712" i="1" s="1"/>
  <c r="E712" i="2"/>
  <c r="E712" i="1" s="1"/>
  <c r="D712" i="2"/>
  <c r="D712" i="1" s="1"/>
  <c r="C712" i="2"/>
  <c r="C712" i="1" s="1"/>
  <c r="O711" i="2"/>
  <c r="O711" i="1" s="1"/>
  <c r="N711" i="2"/>
  <c r="N711" i="1" s="1"/>
  <c r="M711" i="2"/>
  <c r="M711" i="1" s="1"/>
  <c r="L711" i="2"/>
  <c r="K711"/>
  <c r="K711" i="1" s="1"/>
  <c r="J711" i="2"/>
  <c r="J711" i="1" s="1"/>
  <c r="I711" i="2"/>
  <c r="I711" i="1" s="1"/>
  <c r="H711" i="2"/>
  <c r="H711" i="1" s="1"/>
  <c r="G711" i="2"/>
  <c r="G711" i="1" s="1"/>
  <c r="F711" i="2"/>
  <c r="F711" i="1" s="1"/>
  <c r="E711" i="2"/>
  <c r="E711" i="1" s="1"/>
  <c r="D711" i="2"/>
  <c r="D711" i="1" s="1"/>
  <c r="C711" i="2"/>
  <c r="C711" i="1" s="1"/>
  <c r="O710" i="2"/>
  <c r="O710" i="1" s="1"/>
  <c r="N710" i="2"/>
  <c r="N710" i="1" s="1"/>
  <c r="M710" i="2"/>
  <c r="M710" i="1" s="1"/>
  <c r="L710" i="2"/>
  <c r="K710"/>
  <c r="K710" i="1" s="1"/>
  <c r="J710" i="2"/>
  <c r="J710" i="1" s="1"/>
  <c r="I710" i="2"/>
  <c r="I710" i="1" s="1"/>
  <c r="H710" i="2"/>
  <c r="H710" i="1" s="1"/>
  <c r="G710" i="2"/>
  <c r="G710" i="1" s="1"/>
  <c r="F710" i="2"/>
  <c r="F710" i="1" s="1"/>
  <c r="E710" i="2"/>
  <c r="E710" i="1" s="1"/>
  <c r="D710" i="2"/>
  <c r="D710" i="1" s="1"/>
  <c r="C710" i="2"/>
  <c r="C710" i="1" s="1"/>
  <c r="O709" i="2"/>
  <c r="O709" i="1" s="1"/>
  <c r="N709" i="2"/>
  <c r="N709" i="1" s="1"/>
  <c r="M709" i="2"/>
  <c r="M709" i="1" s="1"/>
  <c r="L709" i="2"/>
  <c r="K709"/>
  <c r="K709" i="1" s="1"/>
  <c r="J709" i="2"/>
  <c r="J709" i="1" s="1"/>
  <c r="I709" i="2"/>
  <c r="I709" i="1" s="1"/>
  <c r="H709" i="2"/>
  <c r="H709" i="1" s="1"/>
  <c r="G709" i="2"/>
  <c r="G709" i="1" s="1"/>
  <c r="F709" i="2"/>
  <c r="F709" i="1" s="1"/>
  <c r="E709" i="2"/>
  <c r="E709" i="1" s="1"/>
  <c r="D709" i="2"/>
  <c r="D709" i="1" s="1"/>
  <c r="C709" i="2"/>
  <c r="C709" i="1" s="1"/>
  <c r="O708" i="2"/>
  <c r="O708" i="1" s="1"/>
  <c r="N708" i="2"/>
  <c r="N708" i="1" s="1"/>
  <c r="M708" i="2"/>
  <c r="M708" i="1" s="1"/>
  <c r="L708" i="2"/>
  <c r="K708"/>
  <c r="K708" i="1" s="1"/>
  <c r="J708" i="2"/>
  <c r="J708" i="1" s="1"/>
  <c r="I708" i="2"/>
  <c r="I708" i="1" s="1"/>
  <c r="H708" i="2"/>
  <c r="H708" i="1" s="1"/>
  <c r="G708" i="2"/>
  <c r="G708" i="1" s="1"/>
  <c r="F708" i="2"/>
  <c r="F708" i="1" s="1"/>
  <c r="E708" i="2"/>
  <c r="E708" i="1" s="1"/>
  <c r="D708" i="2"/>
  <c r="D708" i="1" s="1"/>
  <c r="C708" i="2"/>
  <c r="C708" i="1" s="1"/>
  <c r="O707" i="2"/>
  <c r="O707" i="1" s="1"/>
  <c r="N707" i="2"/>
  <c r="N707" i="1" s="1"/>
  <c r="M707" i="2"/>
  <c r="M707" i="1" s="1"/>
  <c r="L707" i="2"/>
  <c r="K707"/>
  <c r="K707" i="1" s="1"/>
  <c r="J707" i="2"/>
  <c r="J707" i="1" s="1"/>
  <c r="I707" i="2"/>
  <c r="I707" i="1" s="1"/>
  <c r="H707" i="2"/>
  <c r="H707" i="1" s="1"/>
  <c r="G707" i="2"/>
  <c r="G707" i="1" s="1"/>
  <c r="F707" i="2"/>
  <c r="F707" i="1" s="1"/>
  <c r="E707" i="2"/>
  <c r="E707" i="1" s="1"/>
  <c r="D707" i="2"/>
  <c r="D707" i="1" s="1"/>
  <c r="C707" i="2"/>
  <c r="C707" i="1" s="1"/>
  <c r="O706" i="2"/>
  <c r="O706" i="1" s="1"/>
  <c r="N706" i="2"/>
  <c r="N706" i="1" s="1"/>
  <c r="M706" i="2"/>
  <c r="M706" i="1" s="1"/>
  <c r="L706" i="2"/>
  <c r="K706"/>
  <c r="K706" i="1" s="1"/>
  <c r="J706" i="2"/>
  <c r="J706" i="1" s="1"/>
  <c r="I706" i="2"/>
  <c r="I706" i="1" s="1"/>
  <c r="H706" i="2"/>
  <c r="H706" i="1" s="1"/>
  <c r="G706" i="2"/>
  <c r="G706" i="1" s="1"/>
  <c r="F706" i="2"/>
  <c r="F706" i="1" s="1"/>
  <c r="E706" i="2"/>
  <c r="E706" i="1" s="1"/>
  <c r="D706" i="2"/>
  <c r="D706" i="1" s="1"/>
  <c r="C706" i="2"/>
  <c r="C706" i="1" s="1"/>
  <c r="O705" i="2"/>
  <c r="O705" i="1" s="1"/>
  <c r="N705" i="2"/>
  <c r="N705" i="1" s="1"/>
  <c r="M705" i="2"/>
  <c r="M705" i="1" s="1"/>
  <c r="L705" i="2"/>
  <c r="K705"/>
  <c r="K705" i="1" s="1"/>
  <c r="J705" i="2"/>
  <c r="J705" i="1" s="1"/>
  <c r="I705" i="2"/>
  <c r="I705" i="1" s="1"/>
  <c r="H705" i="2"/>
  <c r="H705" i="1" s="1"/>
  <c r="G705" i="2"/>
  <c r="G705" i="1" s="1"/>
  <c r="F705" i="2"/>
  <c r="F705" i="1" s="1"/>
  <c r="E705" i="2"/>
  <c r="E705" i="1" s="1"/>
  <c r="D705" i="2"/>
  <c r="D705" i="1" s="1"/>
  <c r="C705" i="2"/>
  <c r="C705" i="1" s="1"/>
  <c r="O704" i="2"/>
  <c r="O704" i="1" s="1"/>
  <c r="N704" i="2"/>
  <c r="N704" i="1" s="1"/>
  <c r="M704" i="2"/>
  <c r="M704" i="1" s="1"/>
  <c r="L704" i="2"/>
  <c r="K704"/>
  <c r="K704" i="1" s="1"/>
  <c r="J704" i="2"/>
  <c r="J704" i="1" s="1"/>
  <c r="I704" i="2"/>
  <c r="I704" i="1" s="1"/>
  <c r="H704" i="2"/>
  <c r="H704" i="1" s="1"/>
  <c r="G704" i="2"/>
  <c r="G704" i="1" s="1"/>
  <c r="F704" i="2"/>
  <c r="F704" i="1" s="1"/>
  <c r="E704" i="2"/>
  <c r="E704" i="1" s="1"/>
  <c r="D704" i="2"/>
  <c r="D704" i="1" s="1"/>
  <c r="C704" i="2"/>
  <c r="C704" i="1" s="1"/>
  <c r="O703" i="2"/>
  <c r="O703" i="1" s="1"/>
  <c r="N703" i="2"/>
  <c r="N703" i="1" s="1"/>
  <c r="M703" i="2"/>
  <c r="M703" i="1" s="1"/>
  <c r="L703" i="2"/>
  <c r="K703"/>
  <c r="K703" i="1" s="1"/>
  <c r="J703" i="2"/>
  <c r="J703" i="1" s="1"/>
  <c r="I703" i="2"/>
  <c r="I703" i="1" s="1"/>
  <c r="H703" i="2"/>
  <c r="H703" i="1" s="1"/>
  <c r="G703" i="2"/>
  <c r="G703" i="1" s="1"/>
  <c r="F703" i="2"/>
  <c r="F703" i="1" s="1"/>
  <c r="E703" i="2"/>
  <c r="E703" i="1" s="1"/>
  <c r="D703" i="2"/>
  <c r="D703" i="1" s="1"/>
  <c r="C703" i="2"/>
  <c r="C703" i="1" s="1"/>
  <c r="O702" i="2"/>
  <c r="O702" i="1" s="1"/>
  <c r="N702" i="2"/>
  <c r="N702" i="1" s="1"/>
  <c r="M702" i="2"/>
  <c r="M702" i="1" s="1"/>
  <c r="L702" i="2"/>
  <c r="K702"/>
  <c r="K702" i="1" s="1"/>
  <c r="J702" i="2"/>
  <c r="J702" i="1" s="1"/>
  <c r="I702" i="2"/>
  <c r="I702" i="1" s="1"/>
  <c r="H702" i="2"/>
  <c r="H702" i="1" s="1"/>
  <c r="G702" i="2"/>
  <c r="G702" i="1" s="1"/>
  <c r="F702" i="2"/>
  <c r="F702" i="1" s="1"/>
  <c r="E702" i="2"/>
  <c r="E702" i="1" s="1"/>
  <c r="D702" i="2"/>
  <c r="D702" i="1" s="1"/>
  <c r="C702" i="2"/>
  <c r="C702" i="1" s="1"/>
  <c r="O701" i="2"/>
  <c r="O701" i="1" s="1"/>
  <c r="N701" i="2"/>
  <c r="N701" i="1" s="1"/>
  <c r="M701" i="2"/>
  <c r="M701" i="1" s="1"/>
  <c r="L701" i="2"/>
  <c r="K701"/>
  <c r="K701" i="1" s="1"/>
  <c r="J701" i="2"/>
  <c r="J701" i="1" s="1"/>
  <c r="I701" i="2"/>
  <c r="I701" i="1" s="1"/>
  <c r="H701" i="2"/>
  <c r="H701" i="1" s="1"/>
  <c r="G701" i="2"/>
  <c r="G701" i="1" s="1"/>
  <c r="F701" i="2"/>
  <c r="F701" i="1" s="1"/>
  <c r="E701" i="2"/>
  <c r="E701" i="1" s="1"/>
  <c r="D701" i="2"/>
  <c r="D701" i="1" s="1"/>
  <c r="C701" i="2"/>
  <c r="C701" i="1" s="1"/>
  <c r="O700" i="2"/>
  <c r="O700" i="1" s="1"/>
  <c r="N700" i="2"/>
  <c r="N700" i="1" s="1"/>
  <c r="M700" i="2"/>
  <c r="M700" i="1" s="1"/>
  <c r="L700" i="2"/>
  <c r="K700"/>
  <c r="K700" i="1" s="1"/>
  <c r="J700" i="2"/>
  <c r="J700" i="1" s="1"/>
  <c r="I700" i="2"/>
  <c r="I700" i="1" s="1"/>
  <c r="H700" i="2"/>
  <c r="H700" i="1" s="1"/>
  <c r="G700" i="2"/>
  <c r="G700" i="1" s="1"/>
  <c r="F700" i="2"/>
  <c r="F700" i="1" s="1"/>
  <c r="E700" i="2"/>
  <c r="E700" i="1" s="1"/>
  <c r="D700" i="2"/>
  <c r="D700" i="1" s="1"/>
  <c r="C700" i="2"/>
  <c r="C700" i="1" s="1"/>
  <c r="O699" i="2"/>
  <c r="O699" i="1" s="1"/>
  <c r="N699" i="2"/>
  <c r="N699" i="1" s="1"/>
  <c r="M699" i="2"/>
  <c r="M699" i="1" s="1"/>
  <c r="L699" i="2"/>
  <c r="K699"/>
  <c r="K699" i="1" s="1"/>
  <c r="J699" i="2"/>
  <c r="J699" i="1" s="1"/>
  <c r="I699" i="2"/>
  <c r="I699" i="1" s="1"/>
  <c r="H699" i="2"/>
  <c r="H699" i="1" s="1"/>
  <c r="G699" i="2"/>
  <c r="G699" i="1" s="1"/>
  <c r="F699" i="2"/>
  <c r="F699" i="1" s="1"/>
  <c r="E699" i="2"/>
  <c r="E699" i="1" s="1"/>
  <c r="D699" i="2"/>
  <c r="D699" i="1" s="1"/>
  <c r="C699" i="2"/>
  <c r="C699" i="1" s="1"/>
  <c r="O698" i="2"/>
  <c r="O698" i="1" s="1"/>
  <c r="N698" i="2"/>
  <c r="N698" i="1" s="1"/>
  <c r="M698" i="2"/>
  <c r="M698" i="1" s="1"/>
  <c r="L698" i="2"/>
  <c r="K698"/>
  <c r="K698" i="1" s="1"/>
  <c r="J698" i="2"/>
  <c r="J698" i="1" s="1"/>
  <c r="I698" i="2"/>
  <c r="I698" i="1" s="1"/>
  <c r="H698" i="2"/>
  <c r="H698" i="1" s="1"/>
  <c r="G698" i="2"/>
  <c r="G698" i="1" s="1"/>
  <c r="F698" i="2"/>
  <c r="F698" i="1" s="1"/>
  <c r="E698" i="2"/>
  <c r="E698" i="1" s="1"/>
  <c r="D698" i="2"/>
  <c r="D698" i="1" s="1"/>
  <c r="C698" i="2"/>
  <c r="C698" i="1" s="1"/>
  <c r="O697" i="2"/>
  <c r="O697" i="1" s="1"/>
  <c r="N697" i="2"/>
  <c r="N697" i="1" s="1"/>
  <c r="M697" i="2"/>
  <c r="M697" i="1" s="1"/>
  <c r="L697" i="2"/>
  <c r="K697"/>
  <c r="K697" i="1" s="1"/>
  <c r="J697" i="2"/>
  <c r="J697" i="1" s="1"/>
  <c r="I697" i="2"/>
  <c r="I697" i="1" s="1"/>
  <c r="H697" i="2"/>
  <c r="H697" i="1" s="1"/>
  <c r="G697" i="2"/>
  <c r="G697" i="1" s="1"/>
  <c r="F697" i="2"/>
  <c r="F697" i="1" s="1"/>
  <c r="E697" i="2"/>
  <c r="E697" i="1" s="1"/>
  <c r="D697" i="2"/>
  <c r="D697" i="1" s="1"/>
  <c r="C697" i="2"/>
  <c r="C697" i="1" s="1"/>
  <c r="O696" i="2"/>
  <c r="O696" i="1" s="1"/>
  <c r="N696" i="2"/>
  <c r="N696" i="1" s="1"/>
  <c r="M696" i="2"/>
  <c r="M696" i="1" s="1"/>
  <c r="L696" i="2"/>
  <c r="K696"/>
  <c r="K696" i="1" s="1"/>
  <c r="J696" i="2"/>
  <c r="J696" i="1" s="1"/>
  <c r="I696" i="2"/>
  <c r="I696" i="1" s="1"/>
  <c r="H696" i="2"/>
  <c r="H696" i="1" s="1"/>
  <c r="G696" i="2"/>
  <c r="G696" i="1" s="1"/>
  <c r="F696" i="2"/>
  <c r="F696" i="1" s="1"/>
  <c r="E696" i="2"/>
  <c r="E696" i="1" s="1"/>
  <c r="D696" i="2"/>
  <c r="D696" i="1" s="1"/>
  <c r="C696" i="2"/>
  <c r="C696" i="1" s="1"/>
  <c r="O695" i="2"/>
  <c r="O695" i="1" s="1"/>
  <c r="N695" i="2"/>
  <c r="N695" i="1" s="1"/>
  <c r="M695" i="2"/>
  <c r="M695" i="1" s="1"/>
  <c r="L695" i="2"/>
  <c r="K695"/>
  <c r="K695" i="1" s="1"/>
  <c r="J695" i="2"/>
  <c r="J695" i="1" s="1"/>
  <c r="I695" i="2"/>
  <c r="I695" i="1" s="1"/>
  <c r="H695" i="2"/>
  <c r="H695" i="1" s="1"/>
  <c r="G695" i="2"/>
  <c r="G695" i="1" s="1"/>
  <c r="F695" i="2"/>
  <c r="F695" i="1" s="1"/>
  <c r="E695" i="2"/>
  <c r="E695" i="1" s="1"/>
  <c r="D695" i="2"/>
  <c r="D695" i="1" s="1"/>
  <c r="C695" i="2"/>
  <c r="C695" i="1" s="1"/>
  <c r="O694" i="2"/>
  <c r="O694" i="1" s="1"/>
  <c r="N694" i="2"/>
  <c r="N694" i="1" s="1"/>
  <c r="M694" i="2"/>
  <c r="M694" i="1" s="1"/>
  <c r="L694" i="2"/>
  <c r="K694"/>
  <c r="K694" i="1" s="1"/>
  <c r="J694" i="2"/>
  <c r="J694" i="1" s="1"/>
  <c r="I694" i="2"/>
  <c r="I694" i="1" s="1"/>
  <c r="H694" i="2"/>
  <c r="H694" i="1" s="1"/>
  <c r="G694" i="2"/>
  <c r="G694" i="1" s="1"/>
  <c r="F694" i="2"/>
  <c r="F694" i="1" s="1"/>
  <c r="E694" i="2"/>
  <c r="E694" i="1" s="1"/>
  <c r="D694" i="2"/>
  <c r="D694" i="1" s="1"/>
  <c r="C694" i="2"/>
  <c r="C694" i="1" s="1"/>
  <c r="O693" i="2"/>
  <c r="O693" i="1" s="1"/>
  <c r="N693" i="2"/>
  <c r="N693" i="1" s="1"/>
  <c r="M693" i="2"/>
  <c r="M693" i="1" s="1"/>
  <c r="L693" i="2"/>
  <c r="K693"/>
  <c r="K693" i="1" s="1"/>
  <c r="J693" i="2"/>
  <c r="J693" i="1" s="1"/>
  <c r="I693" i="2"/>
  <c r="I693" i="1" s="1"/>
  <c r="H693" i="2"/>
  <c r="H693" i="1" s="1"/>
  <c r="G693" i="2"/>
  <c r="G693" i="1" s="1"/>
  <c r="F693" i="2"/>
  <c r="F693" i="1" s="1"/>
  <c r="E693" i="2"/>
  <c r="E693" i="1" s="1"/>
  <c r="D693" i="2"/>
  <c r="D693" i="1" s="1"/>
  <c r="C693" i="2"/>
  <c r="C693" i="1" s="1"/>
  <c r="O692" i="2"/>
  <c r="O692" i="1" s="1"/>
  <c r="N692" i="2"/>
  <c r="N692" i="1" s="1"/>
  <c r="M692" i="2"/>
  <c r="M692" i="1" s="1"/>
  <c r="L692" i="2"/>
  <c r="K692"/>
  <c r="K692" i="1" s="1"/>
  <c r="J692" i="2"/>
  <c r="J692" i="1" s="1"/>
  <c r="I692" i="2"/>
  <c r="I692" i="1" s="1"/>
  <c r="H692" i="2"/>
  <c r="H692" i="1" s="1"/>
  <c r="G692" i="2"/>
  <c r="G692" i="1" s="1"/>
  <c r="F692" i="2"/>
  <c r="F692" i="1" s="1"/>
  <c r="E692" i="2"/>
  <c r="E692" i="1" s="1"/>
  <c r="D692" i="2"/>
  <c r="D692" i="1" s="1"/>
  <c r="C692" i="2"/>
  <c r="C692" i="1" s="1"/>
  <c r="O691" i="2"/>
  <c r="O691" i="1" s="1"/>
  <c r="N691" i="2"/>
  <c r="N691" i="1" s="1"/>
  <c r="M691" i="2"/>
  <c r="M691" i="1" s="1"/>
  <c r="L691" i="2"/>
  <c r="K691"/>
  <c r="K691" i="1" s="1"/>
  <c r="J691" i="2"/>
  <c r="J691" i="1" s="1"/>
  <c r="I691" i="2"/>
  <c r="I691" i="1" s="1"/>
  <c r="H691" i="2"/>
  <c r="H691" i="1" s="1"/>
  <c r="G691" i="2"/>
  <c r="G691" i="1" s="1"/>
  <c r="F691" i="2"/>
  <c r="F691" i="1" s="1"/>
  <c r="E691" i="2"/>
  <c r="E691" i="1" s="1"/>
  <c r="D691" i="2"/>
  <c r="D691" i="1" s="1"/>
  <c r="C691" i="2"/>
  <c r="C691" i="1" s="1"/>
  <c r="O690" i="2"/>
  <c r="O690" i="1" s="1"/>
  <c r="N690" i="2"/>
  <c r="N690" i="1" s="1"/>
  <c r="M690" i="2"/>
  <c r="M690" i="1" s="1"/>
  <c r="L690" i="2"/>
  <c r="K690"/>
  <c r="K690" i="1" s="1"/>
  <c r="J690" i="2"/>
  <c r="J690" i="1" s="1"/>
  <c r="I690" i="2"/>
  <c r="I690" i="1" s="1"/>
  <c r="H690" i="2"/>
  <c r="H690" i="1" s="1"/>
  <c r="G690" i="2"/>
  <c r="G690" i="1" s="1"/>
  <c r="F690" i="2"/>
  <c r="F690" i="1" s="1"/>
  <c r="E690" i="2"/>
  <c r="E690" i="1" s="1"/>
  <c r="D690" i="2"/>
  <c r="D690" i="1" s="1"/>
  <c r="C690" i="2"/>
  <c r="C690" i="1" s="1"/>
  <c r="O689" i="2"/>
  <c r="O689" i="1" s="1"/>
  <c r="N689" i="2"/>
  <c r="N689" i="1" s="1"/>
  <c r="M689" i="2"/>
  <c r="M689" i="1" s="1"/>
  <c r="L689" i="2"/>
  <c r="K689"/>
  <c r="K689" i="1" s="1"/>
  <c r="J689" i="2"/>
  <c r="J689" i="1" s="1"/>
  <c r="I689" i="2"/>
  <c r="I689" i="1" s="1"/>
  <c r="H689" i="2"/>
  <c r="H689" i="1" s="1"/>
  <c r="G689" i="2"/>
  <c r="G689" i="1" s="1"/>
  <c r="F689" i="2"/>
  <c r="F689" i="1" s="1"/>
  <c r="E689" i="2"/>
  <c r="E689" i="1" s="1"/>
  <c r="D689" i="2"/>
  <c r="D689" i="1" s="1"/>
  <c r="C689" i="2"/>
  <c r="C689" i="1" s="1"/>
  <c r="O688" i="2"/>
  <c r="O688" i="1" s="1"/>
  <c r="N688" i="2"/>
  <c r="N688" i="1" s="1"/>
  <c r="M688" i="2"/>
  <c r="M688" i="1" s="1"/>
  <c r="L688" i="2"/>
  <c r="K688"/>
  <c r="K688" i="1" s="1"/>
  <c r="J688" i="2"/>
  <c r="J688" i="1" s="1"/>
  <c r="I688" i="2"/>
  <c r="I688" i="1" s="1"/>
  <c r="H688" i="2"/>
  <c r="H688" i="1" s="1"/>
  <c r="G688" i="2"/>
  <c r="G688" i="1" s="1"/>
  <c r="F688" i="2"/>
  <c r="F688" i="1" s="1"/>
  <c r="E688" i="2"/>
  <c r="E688" i="1" s="1"/>
  <c r="D688" i="2"/>
  <c r="D688" i="1" s="1"/>
  <c r="C688" i="2"/>
  <c r="C688" i="1" s="1"/>
  <c r="O687" i="2"/>
  <c r="O687" i="1" s="1"/>
  <c r="N687" i="2"/>
  <c r="N687" i="1" s="1"/>
  <c r="M687" i="2"/>
  <c r="M687" i="1" s="1"/>
  <c r="L687" i="2"/>
  <c r="K687"/>
  <c r="K687" i="1" s="1"/>
  <c r="J687" i="2"/>
  <c r="J687" i="1" s="1"/>
  <c r="I687" i="2"/>
  <c r="I687" i="1" s="1"/>
  <c r="H687" i="2"/>
  <c r="H687" i="1" s="1"/>
  <c r="G687" i="2"/>
  <c r="G687" i="1" s="1"/>
  <c r="F687" i="2"/>
  <c r="F687" i="1" s="1"/>
  <c r="E687" i="2"/>
  <c r="E687" i="1" s="1"/>
  <c r="D687" i="2"/>
  <c r="D687" i="1" s="1"/>
  <c r="C687" i="2"/>
  <c r="C687" i="1" s="1"/>
  <c r="O686" i="2"/>
  <c r="O686" i="1" s="1"/>
  <c r="N686" i="2"/>
  <c r="N686" i="1" s="1"/>
  <c r="M686" i="2"/>
  <c r="M686" i="1" s="1"/>
  <c r="L686" i="2"/>
  <c r="K686"/>
  <c r="K686" i="1" s="1"/>
  <c r="J686" i="2"/>
  <c r="J686" i="1" s="1"/>
  <c r="I686" i="2"/>
  <c r="I686" i="1" s="1"/>
  <c r="H686" i="2"/>
  <c r="H686" i="1" s="1"/>
  <c r="G686" i="2"/>
  <c r="G686" i="1" s="1"/>
  <c r="F686" i="2"/>
  <c r="F686" i="1" s="1"/>
  <c r="E686" i="2"/>
  <c r="E686" i="1" s="1"/>
  <c r="D686" i="2"/>
  <c r="D686" i="1" s="1"/>
  <c r="C686" i="2"/>
  <c r="C686" i="1" s="1"/>
  <c r="O685" i="2"/>
  <c r="O685" i="1" s="1"/>
  <c r="N685" i="2"/>
  <c r="N685" i="1" s="1"/>
  <c r="M685" i="2"/>
  <c r="M685" i="1" s="1"/>
  <c r="L685" i="2"/>
  <c r="K685"/>
  <c r="K685" i="1" s="1"/>
  <c r="J685" i="2"/>
  <c r="J685" i="1" s="1"/>
  <c r="I685" i="2"/>
  <c r="I685" i="1" s="1"/>
  <c r="H685" i="2"/>
  <c r="H685" i="1" s="1"/>
  <c r="G685" i="2"/>
  <c r="G685" i="1" s="1"/>
  <c r="F685" i="2"/>
  <c r="F685" i="1" s="1"/>
  <c r="E685" i="2"/>
  <c r="E685" i="1" s="1"/>
  <c r="D685" i="2"/>
  <c r="D685" i="1" s="1"/>
  <c r="C685" i="2"/>
  <c r="C685" i="1" s="1"/>
  <c r="O684" i="2"/>
  <c r="O684" i="1" s="1"/>
  <c r="N684" i="2"/>
  <c r="N684" i="1" s="1"/>
  <c r="M684" i="2"/>
  <c r="M684" i="1" s="1"/>
  <c r="L684" i="2"/>
  <c r="K684"/>
  <c r="K684" i="1" s="1"/>
  <c r="J684" i="2"/>
  <c r="J684" i="1" s="1"/>
  <c r="I684" i="2"/>
  <c r="I684" i="1" s="1"/>
  <c r="H684" i="2"/>
  <c r="H684" i="1" s="1"/>
  <c r="G684" i="2"/>
  <c r="G684" i="1" s="1"/>
  <c r="F684" i="2"/>
  <c r="F684" i="1" s="1"/>
  <c r="E684" i="2"/>
  <c r="E684" i="1" s="1"/>
  <c r="D684" i="2"/>
  <c r="D684" i="1" s="1"/>
  <c r="C684" i="2"/>
  <c r="C684" i="1" s="1"/>
  <c r="O683" i="2"/>
  <c r="O683" i="1" s="1"/>
  <c r="N683" i="2"/>
  <c r="N683" i="1" s="1"/>
  <c r="M683" i="2"/>
  <c r="M683" i="1" s="1"/>
  <c r="L683" i="2"/>
  <c r="K683"/>
  <c r="K683" i="1" s="1"/>
  <c r="J683" i="2"/>
  <c r="J683" i="1" s="1"/>
  <c r="I683" i="2"/>
  <c r="I683" i="1" s="1"/>
  <c r="H683" i="2"/>
  <c r="H683" i="1" s="1"/>
  <c r="G683" i="2"/>
  <c r="G683" i="1" s="1"/>
  <c r="F683" i="2"/>
  <c r="F683" i="1" s="1"/>
  <c r="E683" i="2"/>
  <c r="E683" i="1" s="1"/>
  <c r="D683" i="2"/>
  <c r="D683" i="1" s="1"/>
  <c r="C683" i="2"/>
  <c r="C683" i="1" s="1"/>
  <c r="O682" i="2"/>
  <c r="O682" i="1" s="1"/>
  <c r="N682" i="2"/>
  <c r="N682" i="1" s="1"/>
  <c r="M682" i="2"/>
  <c r="M682" i="1" s="1"/>
  <c r="L682" i="2"/>
  <c r="K682"/>
  <c r="K682" i="1" s="1"/>
  <c r="J682" i="2"/>
  <c r="J682" i="1" s="1"/>
  <c r="I682" i="2"/>
  <c r="I682" i="1" s="1"/>
  <c r="H682" i="2"/>
  <c r="H682" i="1" s="1"/>
  <c r="G682" i="2"/>
  <c r="G682" i="1" s="1"/>
  <c r="F682" i="2"/>
  <c r="F682" i="1" s="1"/>
  <c r="E682" i="2"/>
  <c r="E682" i="1" s="1"/>
  <c r="D682" i="2"/>
  <c r="D682" i="1" s="1"/>
  <c r="C682" i="2"/>
  <c r="C682" i="1" s="1"/>
  <c r="O681" i="2"/>
  <c r="O681" i="1" s="1"/>
  <c r="N681" i="2"/>
  <c r="N681" i="1" s="1"/>
  <c r="M681" i="2"/>
  <c r="M681" i="1" s="1"/>
  <c r="L681" i="2"/>
  <c r="K681"/>
  <c r="K681" i="1" s="1"/>
  <c r="J681" i="2"/>
  <c r="J681" i="1" s="1"/>
  <c r="I681" i="2"/>
  <c r="I681" i="1" s="1"/>
  <c r="H681" i="2"/>
  <c r="H681" i="1" s="1"/>
  <c r="G681" i="2"/>
  <c r="G681" i="1" s="1"/>
  <c r="F681" i="2"/>
  <c r="F681" i="1" s="1"/>
  <c r="E681" i="2"/>
  <c r="E681" i="1" s="1"/>
  <c r="D681" i="2"/>
  <c r="D681" i="1" s="1"/>
  <c r="C681" i="2"/>
  <c r="C681" i="1" s="1"/>
  <c r="O680" i="2"/>
  <c r="O680" i="1" s="1"/>
  <c r="N680" i="2"/>
  <c r="N680" i="1" s="1"/>
  <c r="M680" i="2"/>
  <c r="M680" i="1" s="1"/>
  <c r="L680" i="2"/>
  <c r="K680"/>
  <c r="K680" i="1" s="1"/>
  <c r="J680" i="2"/>
  <c r="J680" i="1" s="1"/>
  <c r="I680" i="2"/>
  <c r="I680" i="1" s="1"/>
  <c r="H680" i="2"/>
  <c r="H680" i="1" s="1"/>
  <c r="G680" i="2"/>
  <c r="G680" i="1" s="1"/>
  <c r="F680" i="2"/>
  <c r="F680" i="1" s="1"/>
  <c r="E680" i="2"/>
  <c r="E680" i="1" s="1"/>
  <c r="D680" i="2"/>
  <c r="D680" i="1" s="1"/>
  <c r="C680" i="2"/>
  <c r="C680" i="1" s="1"/>
  <c r="O679" i="2"/>
  <c r="O679" i="1" s="1"/>
  <c r="N679" i="2"/>
  <c r="N679" i="1" s="1"/>
  <c r="M679" i="2"/>
  <c r="M679" i="1" s="1"/>
  <c r="L679" i="2"/>
  <c r="K679"/>
  <c r="K679" i="1" s="1"/>
  <c r="J679" i="2"/>
  <c r="J679" i="1" s="1"/>
  <c r="I679" i="2"/>
  <c r="I679" i="1" s="1"/>
  <c r="H679" i="2"/>
  <c r="H679" i="1" s="1"/>
  <c r="G679" i="2"/>
  <c r="G679" i="1" s="1"/>
  <c r="F679" i="2"/>
  <c r="F679" i="1" s="1"/>
  <c r="E679" i="2"/>
  <c r="E679" i="1" s="1"/>
  <c r="D679" i="2"/>
  <c r="D679" i="1" s="1"/>
  <c r="C679" i="2"/>
  <c r="C679" i="1" s="1"/>
  <c r="O678" i="2"/>
  <c r="O678" i="1" s="1"/>
  <c r="N678" i="2"/>
  <c r="N678" i="1" s="1"/>
  <c r="M678" i="2"/>
  <c r="M678" i="1" s="1"/>
  <c r="L678" i="2"/>
  <c r="K678"/>
  <c r="K678" i="1" s="1"/>
  <c r="J678" i="2"/>
  <c r="J678" i="1" s="1"/>
  <c r="I678" i="2"/>
  <c r="I678" i="1" s="1"/>
  <c r="H678" i="2"/>
  <c r="H678" i="1" s="1"/>
  <c r="G678" i="2"/>
  <c r="G678" i="1" s="1"/>
  <c r="F678" i="2"/>
  <c r="F678" i="1" s="1"/>
  <c r="E678" i="2"/>
  <c r="E678" i="1" s="1"/>
  <c r="D678" i="2"/>
  <c r="D678" i="1" s="1"/>
  <c r="C678" i="2"/>
  <c r="C678" i="1" s="1"/>
  <c r="O677" i="2"/>
  <c r="O677" i="1" s="1"/>
  <c r="N677" i="2"/>
  <c r="N677" i="1" s="1"/>
  <c r="M677" i="2"/>
  <c r="M677" i="1" s="1"/>
  <c r="L677" i="2"/>
  <c r="K677"/>
  <c r="K677" i="1" s="1"/>
  <c r="J677" i="2"/>
  <c r="J677" i="1" s="1"/>
  <c r="I677" i="2"/>
  <c r="I677" i="1" s="1"/>
  <c r="H677" i="2"/>
  <c r="H677" i="1" s="1"/>
  <c r="G677" i="2"/>
  <c r="G677" i="1" s="1"/>
  <c r="F677" i="2"/>
  <c r="F677" i="1" s="1"/>
  <c r="E677" i="2"/>
  <c r="E677" i="1" s="1"/>
  <c r="D677" i="2"/>
  <c r="D677" i="1" s="1"/>
  <c r="C677" i="2"/>
  <c r="C677" i="1" s="1"/>
  <c r="O676" i="2"/>
  <c r="O676" i="1" s="1"/>
  <c r="N676" i="2"/>
  <c r="N676" i="1" s="1"/>
  <c r="M676" i="2"/>
  <c r="M676" i="1" s="1"/>
  <c r="L676" i="2"/>
  <c r="K676"/>
  <c r="K676" i="1" s="1"/>
  <c r="J676" i="2"/>
  <c r="J676" i="1" s="1"/>
  <c r="I676" i="2"/>
  <c r="I676" i="1" s="1"/>
  <c r="H676" i="2"/>
  <c r="H676" i="1" s="1"/>
  <c r="G676" i="2"/>
  <c r="G676" i="1" s="1"/>
  <c r="F676" i="2"/>
  <c r="F676" i="1" s="1"/>
  <c r="E676" i="2"/>
  <c r="E676" i="1" s="1"/>
  <c r="D676" i="2"/>
  <c r="D676" i="1" s="1"/>
  <c r="C676" i="2"/>
  <c r="C676" i="1" s="1"/>
  <c r="O675" i="2"/>
  <c r="O675" i="1" s="1"/>
  <c r="N675" i="2"/>
  <c r="N675" i="1" s="1"/>
  <c r="M675" i="2"/>
  <c r="M675" i="1" s="1"/>
  <c r="L675" i="2"/>
  <c r="K675"/>
  <c r="K675" i="1" s="1"/>
  <c r="J675" i="2"/>
  <c r="J675" i="1" s="1"/>
  <c r="I675" i="2"/>
  <c r="I675" i="1" s="1"/>
  <c r="H675" i="2"/>
  <c r="H675" i="1" s="1"/>
  <c r="G675" i="2"/>
  <c r="G675" i="1" s="1"/>
  <c r="F675" i="2"/>
  <c r="F675" i="1" s="1"/>
  <c r="E675" i="2"/>
  <c r="E675" i="1" s="1"/>
  <c r="D675" i="2"/>
  <c r="D675" i="1" s="1"/>
  <c r="C675" i="2"/>
  <c r="C675" i="1" s="1"/>
  <c r="O674" i="2"/>
  <c r="O674" i="1" s="1"/>
  <c r="N674" i="2"/>
  <c r="N674" i="1" s="1"/>
  <c r="M674" i="2"/>
  <c r="M674" i="1" s="1"/>
  <c r="L674" i="2"/>
  <c r="K674"/>
  <c r="K674" i="1" s="1"/>
  <c r="J674" i="2"/>
  <c r="J674" i="1" s="1"/>
  <c r="I674" i="2"/>
  <c r="I674" i="1" s="1"/>
  <c r="H674" i="2"/>
  <c r="H674" i="1" s="1"/>
  <c r="G674" i="2"/>
  <c r="G674" i="1" s="1"/>
  <c r="F674" i="2"/>
  <c r="F674" i="1" s="1"/>
  <c r="E674" i="2"/>
  <c r="E674" i="1" s="1"/>
  <c r="D674" i="2"/>
  <c r="D674" i="1" s="1"/>
  <c r="C674" i="2"/>
  <c r="C674" i="1" s="1"/>
  <c r="O673" i="2"/>
  <c r="O673" i="1" s="1"/>
  <c r="N673" i="2"/>
  <c r="N673" i="1" s="1"/>
  <c r="M673" i="2"/>
  <c r="M673" i="1" s="1"/>
  <c r="L673" i="2"/>
  <c r="K673"/>
  <c r="K673" i="1" s="1"/>
  <c r="J673" i="2"/>
  <c r="J673" i="1" s="1"/>
  <c r="I673" i="2"/>
  <c r="I673" i="1" s="1"/>
  <c r="H673" i="2"/>
  <c r="H673" i="1" s="1"/>
  <c r="G673" i="2"/>
  <c r="G673" i="1" s="1"/>
  <c r="F673" i="2"/>
  <c r="F673" i="1" s="1"/>
  <c r="E673" i="2"/>
  <c r="E673" i="1" s="1"/>
  <c r="D673" i="2"/>
  <c r="D673" i="1" s="1"/>
  <c r="C673" i="2"/>
  <c r="C673" i="1" s="1"/>
  <c r="O672" i="2"/>
  <c r="O672" i="1" s="1"/>
  <c r="N672" i="2"/>
  <c r="N672" i="1" s="1"/>
  <c r="M672" i="2"/>
  <c r="M672" i="1" s="1"/>
  <c r="L672" i="2"/>
  <c r="K672"/>
  <c r="K672" i="1" s="1"/>
  <c r="J672" i="2"/>
  <c r="J672" i="1" s="1"/>
  <c r="I672" i="2"/>
  <c r="I672" i="1" s="1"/>
  <c r="H672" i="2"/>
  <c r="H672" i="1" s="1"/>
  <c r="G672" i="2"/>
  <c r="G672" i="1" s="1"/>
  <c r="F672" i="2"/>
  <c r="F672" i="1" s="1"/>
  <c r="E672" i="2"/>
  <c r="E672" i="1" s="1"/>
  <c r="D672" i="2"/>
  <c r="D672" i="1" s="1"/>
  <c r="C672" i="2"/>
  <c r="C672" i="1" s="1"/>
  <c r="O671" i="2"/>
  <c r="O671" i="1" s="1"/>
  <c r="N671" i="2"/>
  <c r="N671" i="1" s="1"/>
  <c r="M671" i="2"/>
  <c r="M671" i="1" s="1"/>
  <c r="L671" i="2"/>
  <c r="K671"/>
  <c r="K671" i="1" s="1"/>
  <c r="J671" i="2"/>
  <c r="J671" i="1" s="1"/>
  <c r="I671" i="2"/>
  <c r="I671" i="1" s="1"/>
  <c r="H671" i="2"/>
  <c r="H671" i="1" s="1"/>
  <c r="G671" i="2"/>
  <c r="G671" i="1" s="1"/>
  <c r="F671" i="2"/>
  <c r="F671" i="1" s="1"/>
  <c r="E671" i="2"/>
  <c r="E671" i="1" s="1"/>
  <c r="D671" i="2"/>
  <c r="D671" i="1" s="1"/>
  <c r="C671" i="2"/>
  <c r="C671" i="1" s="1"/>
  <c r="O670" i="2"/>
  <c r="O670" i="1" s="1"/>
  <c r="N670" i="2"/>
  <c r="N670" i="1" s="1"/>
  <c r="M670" i="2"/>
  <c r="M670" i="1" s="1"/>
  <c r="L670" i="2"/>
  <c r="K670"/>
  <c r="K670" i="1" s="1"/>
  <c r="J670" i="2"/>
  <c r="J670" i="1" s="1"/>
  <c r="I670" i="2"/>
  <c r="I670" i="1" s="1"/>
  <c r="H670" i="2"/>
  <c r="H670" i="1" s="1"/>
  <c r="G670" i="2"/>
  <c r="G670" i="1" s="1"/>
  <c r="F670" i="2"/>
  <c r="F670" i="1" s="1"/>
  <c r="E670" i="2"/>
  <c r="E670" i="1" s="1"/>
  <c r="D670" i="2"/>
  <c r="D670" i="1" s="1"/>
  <c r="C670" i="2"/>
  <c r="C670" i="1" s="1"/>
  <c r="O669" i="2"/>
  <c r="O669" i="1" s="1"/>
  <c r="N669" i="2"/>
  <c r="N669" i="1" s="1"/>
  <c r="M669" i="2"/>
  <c r="M669" i="1" s="1"/>
  <c r="L669" i="2"/>
  <c r="K669"/>
  <c r="K669" i="1" s="1"/>
  <c r="J669" i="2"/>
  <c r="J669" i="1" s="1"/>
  <c r="I669" i="2"/>
  <c r="I669" i="1" s="1"/>
  <c r="H669" i="2"/>
  <c r="H669" i="1" s="1"/>
  <c r="G669" i="2"/>
  <c r="G669" i="1" s="1"/>
  <c r="F669" i="2"/>
  <c r="F669" i="1" s="1"/>
  <c r="E669" i="2"/>
  <c r="E669" i="1" s="1"/>
  <c r="D669" i="2"/>
  <c r="D669" i="1" s="1"/>
  <c r="C669" i="2"/>
  <c r="C669" i="1" s="1"/>
  <c r="O668" i="2"/>
  <c r="O668" i="1" s="1"/>
  <c r="N668" i="2"/>
  <c r="N668" i="1" s="1"/>
  <c r="M668" i="2"/>
  <c r="M668" i="1" s="1"/>
  <c r="L668" i="2"/>
  <c r="K668"/>
  <c r="K668" i="1" s="1"/>
  <c r="J668" i="2"/>
  <c r="J668" i="1" s="1"/>
  <c r="I668" i="2"/>
  <c r="I668" i="1" s="1"/>
  <c r="H668" i="2"/>
  <c r="H668" i="1" s="1"/>
  <c r="G668" i="2"/>
  <c r="G668" i="1" s="1"/>
  <c r="F668" i="2"/>
  <c r="F668" i="1" s="1"/>
  <c r="E668" i="2"/>
  <c r="E668" i="1" s="1"/>
  <c r="D668" i="2"/>
  <c r="D668" i="1" s="1"/>
  <c r="C668" i="2"/>
  <c r="C668" i="1" s="1"/>
  <c r="O667" i="2"/>
  <c r="O667" i="1" s="1"/>
  <c r="N667" i="2"/>
  <c r="N667" i="1" s="1"/>
  <c r="M667" i="2"/>
  <c r="M667" i="1" s="1"/>
  <c r="L667" i="2"/>
  <c r="K667"/>
  <c r="K667" i="1" s="1"/>
  <c r="J667" i="2"/>
  <c r="J667" i="1" s="1"/>
  <c r="I667" i="2"/>
  <c r="I667" i="1" s="1"/>
  <c r="H667" i="2"/>
  <c r="H667" i="1" s="1"/>
  <c r="G667" i="2"/>
  <c r="G667" i="1" s="1"/>
  <c r="F667" i="2"/>
  <c r="F667" i="1" s="1"/>
  <c r="E667" i="2"/>
  <c r="E667" i="1" s="1"/>
  <c r="D667" i="2"/>
  <c r="D667" i="1" s="1"/>
  <c r="C667" i="2"/>
  <c r="C667" i="1" s="1"/>
  <c r="O666" i="2"/>
  <c r="O666" i="1" s="1"/>
  <c r="N666" i="2"/>
  <c r="N666" i="1" s="1"/>
  <c r="M666" i="2"/>
  <c r="M666" i="1" s="1"/>
  <c r="L666" i="2"/>
  <c r="K666"/>
  <c r="K666" i="1" s="1"/>
  <c r="J666" i="2"/>
  <c r="J666" i="1" s="1"/>
  <c r="I666" i="2"/>
  <c r="I666" i="1" s="1"/>
  <c r="H666" i="2"/>
  <c r="H666" i="1" s="1"/>
  <c r="G666" i="2"/>
  <c r="G666" i="1" s="1"/>
  <c r="F666" i="2"/>
  <c r="F666" i="1" s="1"/>
  <c r="E666" i="2"/>
  <c r="E666" i="1" s="1"/>
  <c r="D666" i="2"/>
  <c r="D666" i="1" s="1"/>
  <c r="C666" i="2"/>
  <c r="C666" i="1" s="1"/>
  <c r="O665" i="2"/>
  <c r="O665" i="1" s="1"/>
  <c r="N665" i="2"/>
  <c r="N665" i="1" s="1"/>
  <c r="M665" i="2"/>
  <c r="M665" i="1" s="1"/>
  <c r="L665" i="2"/>
  <c r="K665"/>
  <c r="K665" i="1" s="1"/>
  <c r="J665" i="2"/>
  <c r="J665" i="1" s="1"/>
  <c r="I665" i="2"/>
  <c r="I665" i="1" s="1"/>
  <c r="H665" i="2"/>
  <c r="H665" i="1" s="1"/>
  <c r="G665" i="2"/>
  <c r="G665" i="1" s="1"/>
  <c r="F665" i="2"/>
  <c r="F665" i="1" s="1"/>
  <c r="E665" i="2"/>
  <c r="E665" i="1" s="1"/>
  <c r="D665" i="2"/>
  <c r="D665" i="1" s="1"/>
  <c r="C665" i="2"/>
  <c r="C665" i="1" s="1"/>
  <c r="O664" i="2"/>
  <c r="O664" i="1" s="1"/>
  <c r="N664" i="2"/>
  <c r="N664" i="1" s="1"/>
  <c r="M664" i="2"/>
  <c r="M664" i="1" s="1"/>
  <c r="L664" i="2"/>
  <c r="K664"/>
  <c r="K664" i="1" s="1"/>
  <c r="J664" i="2"/>
  <c r="J664" i="1" s="1"/>
  <c r="I664" i="2"/>
  <c r="I664" i="1" s="1"/>
  <c r="H664" i="2"/>
  <c r="H664" i="1" s="1"/>
  <c r="G664" i="2"/>
  <c r="G664" i="1" s="1"/>
  <c r="F664" i="2"/>
  <c r="F664" i="1" s="1"/>
  <c r="E664" i="2"/>
  <c r="E664" i="1" s="1"/>
  <c r="D664" i="2"/>
  <c r="D664" i="1" s="1"/>
  <c r="C664" i="2"/>
  <c r="C664" i="1" s="1"/>
  <c r="O663" i="2"/>
  <c r="O663" i="1" s="1"/>
  <c r="N663" i="2"/>
  <c r="N663" i="1" s="1"/>
  <c r="M663" i="2"/>
  <c r="M663" i="1" s="1"/>
  <c r="L663" i="2"/>
  <c r="K663"/>
  <c r="K663" i="1" s="1"/>
  <c r="J663" i="2"/>
  <c r="J663" i="1" s="1"/>
  <c r="I663" i="2"/>
  <c r="I663" i="1" s="1"/>
  <c r="H663" i="2"/>
  <c r="H663" i="1" s="1"/>
  <c r="G663" i="2"/>
  <c r="G663" i="1" s="1"/>
  <c r="F663" i="2"/>
  <c r="F663" i="1" s="1"/>
  <c r="E663" i="2"/>
  <c r="E663" i="1" s="1"/>
  <c r="D663" i="2"/>
  <c r="D663" i="1" s="1"/>
  <c r="C663" i="2"/>
  <c r="C663" i="1" s="1"/>
  <c r="O662" i="2"/>
  <c r="O662" i="1" s="1"/>
  <c r="N662" i="2"/>
  <c r="N662" i="1" s="1"/>
  <c r="M662" i="2"/>
  <c r="M662" i="1" s="1"/>
  <c r="L662" i="2"/>
  <c r="K662"/>
  <c r="K662" i="1" s="1"/>
  <c r="J662" i="2"/>
  <c r="J662" i="1" s="1"/>
  <c r="I662" i="2"/>
  <c r="I662" i="1" s="1"/>
  <c r="H662" i="2"/>
  <c r="H662" i="1" s="1"/>
  <c r="G662" i="2"/>
  <c r="G662" i="1" s="1"/>
  <c r="F662" i="2"/>
  <c r="F662" i="1" s="1"/>
  <c r="E662" i="2"/>
  <c r="E662" i="1" s="1"/>
  <c r="D662" i="2"/>
  <c r="D662" i="1" s="1"/>
  <c r="C662" i="2"/>
  <c r="C662" i="1" s="1"/>
  <c r="O661" i="2"/>
  <c r="O661" i="1" s="1"/>
  <c r="N661" i="2"/>
  <c r="N661" i="1" s="1"/>
  <c r="M661" i="2"/>
  <c r="M661" i="1" s="1"/>
  <c r="L661" i="2"/>
  <c r="K661"/>
  <c r="K661" i="1" s="1"/>
  <c r="J661" i="2"/>
  <c r="J661" i="1" s="1"/>
  <c r="I661" i="2"/>
  <c r="I661" i="1" s="1"/>
  <c r="H661" i="2"/>
  <c r="H661" i="1" s="1"/>
  <c r="G661" i="2"/>
  <c r="G661" i="1" s="1"/>
  <c r="F661" i="2"/>
  <c r="F661" i="1" s="1"/>
  <c r="E661" i="2"/>
  <c r="E661" i="1" s="1"/>
  <c r="D661" i="2"/>
  <c r="D661" i="1" s="1"/>
  <c r="C661" i="2"/>
  <c r="C661" i="1" s="1"/>
  <c r="O660" i="2"/>
  <c r="O660" i="1" s="1"/>
  <c r="N660" i="2"/>
  <c r="N660" i="1" s="1"/>
  <c r="M660" i="2"/>
  <c r="M660" i="1" s="1"/>
  <c r="L660" i="2"/>
  <c r="K660"/>
  <c r="K660" i="1" s="1"/>
  <c r="J660" i="2"/>
  <c r="J660" i="1" s="1"/>
  <c r="I660" i="2"/>
  <c r="I660" i="1" s="1"/>
  <c r="H660" i="2"/>
  <c r="H660" i="1" s="1"/>
  <c r="G660" i="2"/>
  <c r="G660" i="1" s="1"/>
  <c r="F660" i="2"/>
  <c r="F660" i="1" s="1"/>
  <c r="E660" i="2"/>
  <c r="E660" i="1" s="1"/>
  <c r="D660" i="2"/>
  <c r="D660" i="1" s="1"/>
  <c r="C660" i="2"/>
  <c r="C660" i="1" s="1"/>
  <c r="O659" i="2"/>
  <c r="O659" i="1" s="1"/>
  <c r="N659" i="2"/>
  <c r="N659" i="1" s="1"/>
  <c r="M659" i="2"/>
  <c r="M659" i="1" s="1"/>
  <c r="L659" i="2"/>
  <c r="K659"/>
  <c r="K659" i="1" s="1"/>
  <c r="J659" i="2"/>
  <c r="J659" i="1" s="1"/>
  <c r="I659" i="2"/>
  <c r="I659" i="1" s="1"/>
  <c r="H659" i="2"/>
  <c r="H659" i="1" s="1"/>
  <c r="G659" i="2"/>
  <c r="G659" i="1" s="1"/>
  <c r="F659" i="2"/>
  <c r="F659" i="1" s="1"/>
  <c r="E659" i="2"/>
  <c r="E659" i="1" s="1"/>
  <c r="D659" i="2"/>
  <c r="D659" i="1" s="1"/>
  <c r="C659" i="2"/>
  <c r="C659" i="1" s="1"/>
  <c r="O658" i="2"/>
  <c r="O658" i="1" s="1"/>
  <c r="N658" i="2"/>
  <c r="N658" i="1" s="1"/>
  <c r="M658" i="2"/>
  <c r="M658" i="1" s="1"/>
  <c r="L658" i="2"/>
  <c r="K658"/>
  <c r="K658" i="1" s="1"/>
  <c r="J658" i="2"/>
  <c r="J658" i="1" s="1"/>
  <c r="I658" i="2"/>
  <c r="I658" i="1" s="1"/>
  <c r="H658" i="2"/>
  <c r="H658" i="1" s="1"/>
  <c r="G658" i="2"/>
  <c r="G658" i="1" s="1"/>
  <c r="F658" i="2"/>
  <c r="F658" i="1" s="1"/>
  <c r="E658" i="2"/>
  <c r="E658" i="1" s="1"/>
  <c r="D658" i="2"/>
  <c r="D658" i="1" s="1"/>
  <c r="C658" i="2"/>
  <c r="C658" i="1" s="1"/>
  <c r="O657" i="2"/>
  <c r="O657" i="1" s="1"/>
  <c r="N657" i="2"/>
  <c r="N657" i="1" s="1"/>
  <c r="M657" i="2"/>
  <c r="M657" i="1" s="1"/>
  <c r="L657" i="2"/>
  <c r="K657"/>
  <c r="K657" i="1" s="1"/>
  <c r="J657" i="2"/>
  <c r="J657" i="1" s="1"/>
  <c r="I657" i="2"/>
  <c r="I657" i="1" s="1"/>
  <c r="H657" i="2"/>
  <c r="H657" i="1" s="1"/>
  <c r="G657" i="2"/>
  <c r="G657" i="1" s="1"/>
  <c r="F657" i="2"/>
  <c r="F657" i="1" s="1"/>
  <c r="E657" i="2"/>
  <c r="E657" i="1" s="1"/>
  <c r="D657" i="2"/>
  <c r="D657" i="1" s="1"/>
  <c r="C657" i="2"/>
  <c r="C657" i="1" s="1"/>
  <c r="O656" i="2"/>
  <c r="O656" i="1" s="1"/>
  <c r="N656" i="2"/>
  <c r="N656" i="1" s="1"/>
  <c r="M656" i="2"/>
  <c r="M656" i="1" s="1"/>
  <c r="L656" i="2"/>
  <c r="K656"/>
  <c r="K656" i="1" s="1"/>
  <c r="J656" i="2"/>
  <c r="J656" i="1" s="1"/>
  <c r="I656" i="2"/>
  <c r="I656" i="1" s="1"/>
  <c r="H656" i="2"/>
  <c r="H656" i="1" s="1"/>
  <c r="G656" i="2"/>
  <c r="G656" i="1" s="1"/>
  <c r="F656" i="2"/>
  <c r="F656" i="1" s="1"/>
  <c r="E656" i="2"/>
  <c r="E656" i="1" s="1"/>
  <c r="D656" i="2"/>
  <c r="D656" i="1" s="1"/>
  <c r="C656" i="2"/>
  <c r="C656" i="1" s="1"/>
  <c r="O655" i="2"/>
  <c r="O655" i="1" s="1"/>
  <c r="N655" i="2"/>
  <c r="N655" i="1" s="1"/>
  <c r="M655" i="2"/>
  <c r="M655" i="1" s="1"/>
  <c r="L655" i="2"/>
  <c r="K655"/>
  <c r="K655" i="1" s="1"/>
  <c r="J655" i="2"/>
  <c r="J655" i="1" s="1"/>
  <c r="I655" i="2"/>
  <c r="I655" i="1" s="1"/>
  <c r="H655" i="2"/>
  <c r="H655" i="1" s="1"/>
  <c r="G655" i="2"/>
  <c r="G655" i="1" s="1"/>
  <c r="F655" i="2"/>
  <c r="F655" i="1" s="1"/>
  <c r="E655" i="2"/>
  <c r="E655" i="1" s="1"/>
  <c r="D655" i="2"/>
  <c r="D655" i="1" s="1"/>
  <c r="C655" i="2"/>
  <c r="C655" i="1" s="1"/>
  <c r="O654" i="2"/>
  <c r="O654" i="1" s="1"/>
  <c r="N654" i="2"/>
  <c r="N654" i="1" s="1"/>
  <c r="M654" i="2"/>
  <c r="M654" i="1" s="1"/>
  <c r="L654" i="2"/>
  <c r="K654"/>
  <c r="K654" i="1" s="1"/>
  <c r="J654" i="2"/>
  <c r="J654" i="1" s="1"/>
  <c r="I654" i="2"/>
  <c r="I654" i="1" s="1"/>
  <c r="H654" i="2"/>
  <c r="H654" i="1" s="1"/>
  <c r="G654" i="2"/>
  <c r="G654" i="1" s="1"/>
  <c r="F654" i="2"/>
  <c r="F654" i="1" s="1"/>
  <c r="E654" i="2"/>
  <c r="E654" i="1" s="1"/>
  <c r="D654" i="2"/>
  <c r="D654" i="1" s="1"/>
  <c r="C654" i="2"/>
  <c r="C654" i="1" s="1"/>
  <c r="O653" i="2"/>
  <c r="O653" i="1" s="1"/>
  <c r="N653" i="2"/>
  <c r="N653" i="1" s="1"/>
  <c r="M653" i="2"/>
  <c r="M653" i="1" s="1"/>
  <c r="L653" i="2"/>
  <c r="K653"/>
  <c r="K653" i="1" s="1"/>
  <c r="J653" i="2"/>
  <c r="J653" i="1" s="1"/>
  <c r="I653" i="2"/>
  <c r="I653" i="1" s="1"/>
  <c r="H653" i="2"/>
  <c r="H653" i="1" s="1"/>
  <c r="G653" i="2"/>
  <c r="G653" i="1" s="1"/>
  <c r="F653" i="2"/>
  <c r="F653" i="1" s="1"/>
  <c r="E653" i="2"/>
  <c r="E653" i="1" s="1"/>
  <c r="D653" i="2"/>
  <c r="D653" i="1" s="1"/>
  <c r="C653" i="2"/>
  <c r="C653" i="1" s="1"/>
  <c r="O652" i="2"/>
  <c r="O652" i="1" s="1"/>
  <c r="N652" i="2"/>
  <c r="N652" i="1" s="1"/>
  <c r="M652" i="2"/>
  <c r="M652" i="1" s="1"/>
  <c r="L652" i="2"/>
  <c r="K652"/>
  <c r="K652" i="1" s="1"/>
  <c r="J652" i="2"/>
  <c r="J652" i="1" s="1"/>
  <c r="I652" i="2"/>
  <c r="I652" i="1" s="1"/>
  <c r="H652" i="2"/>
  <c r="H652" i="1" s="1"/>
  <c r="G652" i="2"/>
  <c r="G652" i="1" s="1"/>
  <c r="F652" i="2"/>
  <c r="F652" i="1" s="1"/>
  <c r="E652" i="2"/>
  <c r="E652" i="1" s="1"/>
  <c r="D652" i="2"/>
  <c r="D652" i="1" s="1"/>
  <c r="C652" i="2"/>
  <c r="C652" i="1" s="1"/>
  <c r="O651" i="2"/>
  <c r="O651" i="1" s="1"/>
  <c r="N651" i="2"/>
  <c r="N651" i="1" s="1"/>
  <c r="M651" i="2"/>
  <c r="M651" i="1" s="1"/>
  <c r="L651" i="2"/>
  <c r="K651"/>
  <c r="K651" i="1" s="1"/>
  <c r="J651" i="2"/>
  <c r="J651" i="1" s="1"/>
  <c r="I651" i="2"/>
  <c r="I651" i="1" s="1"/>
  <c r="H651" i="2"/>
  <c r="H651" i="1" s="1"/>
  <c r="G651" i="2"/>
  <c r="G651" i="1" s="1"/>
  <c r="F651" i="2"/>
  <c r="F651" i="1" s="1"/>
  <c r="E651" i="2"/>
  <c r="E651" i="1" s="1"/>
  <c r="D651" i="2"/>
  <c r="D651" i="1" s="1"/>
  <c r="C651" i="2"/>
  <c r="C651" i="1" s="1"/>
  <c r="O650" i="2"/>
  <c r="O650" i="1" s="1"/>
  <c r="N650" i="2"/>
  <c r="N650" i="1" s="1"/>
  <c r="M650" i="2"/>
  <c r="M650" i="1" s="1"/>
  <c r="L650" i="2"/>
  <c r="K650"/>
  <c r="K650" i="1" s="1"/>
  <c r="J650" i="2"/>
  <c r="J650" i="1" s="1"/>
  <c r="I650" i="2"/>
  <c r="I650" i="1" s="1"/>
  <c r="H650" i="2"/>
  <c r="H650" i="1" s="1"/>
  <c r="G650" i="2"/>
  <c r="G650" i="1" s="1"/>
  <c r="F650" i="2"/>
  <c r="F650" i="1" s="1"/>
  <c r="E650" i="2"/>
  <c r="E650" i="1" s="1"/>
  <c r="D650" i="2"/>
  <c r="D650" i="1" s="1"/>
  <c r="C650" i="2"/>
  <c r="C650" i="1" s="1"/>
  <c r="O649" i="2"/>
  <c r="O649" i="1" s="1"/>
  <c r="N649" i="2"/>
  <c r="N649" i="1" s="1"/>
  <c r="M649" i="2"/>
  <c r="M649" i="1" s="1"/>
  <c r="L649" i="2"/>
  <c r="K649"/>
  <c r="K649" i="1" s="1"/>
  <c r="J649" i="2"/>
  <c r="J649" i="1" s="1"/>
  <c r="I649" i="2"/>
  <c r="I649" i="1" s="1"/>
  <c r="H649" i="2"/>
  <c r="H649" i="1" s="1"/>
  <c r="G649" i="2"/>
  <c r="G649" i="1" s="1"/>
  <c r="F649" i="2"/>
  <c r="F649" i="1" s="1"/>
  <c r="E649" i="2"/>
  <c r="E649" i="1" s="1"/>
  <c r="D649" i="2"/>
  <c r="D649" i="1" s="1"/>
  <c r="C649" i="2"/>
  <c r="C649" i="1" s="1"/>
  <c r="O648" i="2"/>
  <c r="O648" i="1" s="1"/>
  <c r="N648" i="2"/>
  <c r="N648" i="1" s="1"/>
  <c r="M648" i="2"/>
  <c r="M648" i="1" s="1"/>
  <c r="L648" i="2"/>
  <c r="K648"/>
  <c r="K648" i="1" s="1"/>
  <c r="J648" i="2"/>
  <c r="J648" i="1" s="1"/>
  <c r="I648" i="2"/>
  <c r="I648" i="1" s="1"/>
  <c r="H648" i="2"/>
  <c r="H648" i="1" s="1"/>
  <c r="G648" i="2"/>
  <c r="G648" i="1" s="1"/>
  <c r="F648" i="2"/>
  <c r="F648" i="1" s="1"/>
  <c r="E648" i="2"/>
  <c r="E648" i="1" s="1"/>
  <c r="D648" i="2"/>
  <c r="D648" i="1" s="1"/>
  <c r="C648" i="2"/>
  <c r="C648" i="1" s="1"/>
  <c r="O647" i="2"/>
  <c r="O647" i="1" s="1"/>
  <c r="N647" i="2"/>
  <c r="N647" i="1" s="1"/>
  <c r="M647" i="2"/>
  <c r="M647" i="1" s="1"/>
  <c r="L647" i="2"/>
  <c r="K647"/>
  <c r="K647" i="1" s="1"/>
  <c r="J647" i="2"/>
  <c r="J647" i="1" s="1"/>
  <c r="I647" i="2"/>
  <c r="I647" i="1" s="1"/>
  <c r="H647" i="2"/>
  <c r="H647" i="1" s="1"/>
  <c r="G647" i="2"/>
  <c r="G647" i="1" s="1"/>
  <c r="F647" i="2"/>
  <c r="F647" i="1" s="1"/>
  <c r="E647" i="2"/>
  <c r="E647" i="1" s="1"/>
  <c r="D647" i="2"/>
  <c r="D647" i="1" s="1"/>
  <c r="C647" i="2"/>
  <c r="C647" i="1" s="1"/>
  <c r="O646" i="2"/>
  <c r="O646" i="1" s="1"/>
  <c r="N646" i="2"/>
  <c r="N646" i="1" s="1"/>
  <c r="M646" i="2"/>
  <c r="M646" i="1" s="1"/>
  <c r="L646" i="2"/>
  <c r="K646"/>
  <c r="K646" i="1" s="1"/>
  <c r="J646" i="2"/>
  <c r="J646" i="1" s="1"/>
  <c r="I646" i="2"/>
  <c r="I646" i="1" s="1"/>
  <c r="H646" i="2"/>
  <c r="H646" i="1" s="1"/>
  <c r="G646" i="2"/>
  <c r="G646" i="1" s="1"/>
  <c r="F646" i="2"/>
  <c r="F646" i="1" s="1"/>
  <c r="E646" i="2"/>
  <c r="E646" i="1" s="1"/>
  <c r="D646" i="2"/>
  <c r="D646" i="1" s="1"/>
  <c r="C646" i="2"/>
  <c r="C646" i="1" s="1"/>
  <c r="O645" i="2"/>
  <c r="O645" i="1" s="1"/>
  <c r="N645" i="2"/>
  <c r="N645" i="1" s="1"/>
  <c r="M645" i="2"/>
  <c r="M645" i="1" s="1"/>
  <c r="L645" i="2"/>
  <c r="K645"/>
  <c r="K645" i="1" s="1"/>
  <c r="J645" i="2"/>
  <c r="J645" i="1" s="1"/>
  <c r="I645" i="2"/>
  <c r="I645" i="1" s="1"/>
  <c r="H645" i="2"/>
  <c r="H645" i="1" s="1"/>
  <c r="G645" i="2"/>
  <c r="G645" i="1" s="1"/>
  <c r="F645" i="2"/>
  <c r="F645" i="1" s="1"/>
  <c r="E645" i="2"/>
  <c r="E645" i="1" s="1"/>
  <c r="D645" i="2"/>
  <c r="D645" i="1" s="1"/>
  <c r="C645" i="2"/>
  <c r="C645" i="1" s="1"/>
  <c r="O644" i="2"/>
  <c r="O644" i="1" s="1"/>
  <c r="N644" i="2"/>
  <c r="N644" i="1" s="1"/>
  <c r="M644" i="2"/>
  <c r="M644" i="1" s="1"/>
  <c r="L644" i="2"/>
  <c r="K644"/>
  <c r="K644" i="1" s="1"/>
  <c r="J644" i="2"/>
  <c r="J644" i="1" s="1"/>
  <c r="I644" i="2"/>
  <c r="I644" i="1" s="1"/>
  <c r="H644" i="2"/>
  <c r="H644" i="1" s="1"/>
  <c r="G644" i="2"/>
  <c r="G644" i="1" s="1"/>
  <c r="F644" i="2"/>
  <c r="F644" i="1" s="1"/>
  <c r="E644" i="2"/>
  <c r="E644" i="1" s="1"/>
  <c r="D644" i="2"/>
  <c r="D644" i="1" s="1"/>
  <c r="C644" i="2"/>
  <c r="C644" i="1" s="1"/>
  <c r="O643" i="2"/>
  <c r="O643" i="1" s="1"/>
  <c r="N643" i="2"/>
  <c r="N643" i="1" s="1"/>
  <c r="M643" i="2"/>
  <c r="M643" i="1" s="1"/>
  <c r="L643" i="2"/>
  <c r="K643"/>
  <c r="K643" i="1" s="1"/>
  <c r="J643" i="2"/>
  <c r="J643" i="1" s="1"/>
  <c r="I643" i="2"/>
  <c r="I643" i="1" s="1"/>
  <c r="H643" i="2"/>
  <c r="H643" i="1" s="1"/>
  <c r="G643" i="2"/>
  <c r="G643" i="1" s="1"/>
  <c r="F643" i="2"/>
  <c r="F643" i="1" s="1"/>
  <c r="E643" i="2"/>
  <c r="E643" i="1" s="1"/>
  <c r="D643" i="2"/>
  <c r="D643" i="1" s="1"/>
  <c r="C643" i="2"/>
  <c r="C643" i="1" s="1"/>
  <c r="O642" i="2"/>
  <c r="O642" i="1" s="1"/>
  <c r="N642" i="2"/>
  <c r="N642" i="1" s="1"/>
  <c r="M642" i="2"/>
  <c r="M642" i="1" s="1"/>
  <c r="L642" i="2"/>
  <c r="K642"/>
  <c r="K642" i="1" s="1"/>
  <c r="J642" i="2"/>
  <c r="J642" i="1" s="1"/>
  <c r="I642" i="2"/>
  <c r="I642" i="1" s="1"/>
  <c r="H642" i="2"/>
  <c r="H642" i="1" s="1"/>
  <c r="G642" i="2"/>
  <c r="G642" i="1" s="1"/>
  <c r="F642" i="2"/>
  <c r="F642" i="1" s="1"/>
  <c r="E642" i="2"/>
  <c r="E642" i="1" s="1"/>
  <c r="D642" i="2"/>
  <c r="D642" i="1" s="1"/>
  <c r="C642" i="2"/>
  <c r="C642" i="1" s="1"/>
  <c r="O641" i="2"/>
  <c r="O641" i="1" s="1"/>
  <c r="N641" i="2"/>
  <c r="N641" i="1" s="1"/>
  <c r="M641" i="2"/>
  <c r="M641" i="1" s="1"/>
  <c r="L641" i="2"/>
  <c r="K641"/>
  <c r="K641" i="1" s="1"/>
  <c r="J641" i="2"/>
  <c r="J641" i="1" s="1"/>
  <c r="I641" i="2"/>
  <c r="I641" i="1" s="1"/>
  <c r="H641" i="2"/>
  <c r="H641" i="1" s="1"/>
  <c r="G641" i="2"/>
  <c r="G641" i="1" s="1"/>
  <c r="F641" i="2"/>
  <c r="F641" i="1" s="1"/>
  <c r="E641" i="2"/>
  <c r="E641" i="1" s="1"/>
  <c r="D641" i="2"/>
  <c r="D641" i="1" s="1"/>
  <c r="C641" i="2"/>
  <c r="C641" i="1" s="1"/>
  <c r="O640" i="2"/>
  <c r="O640" i="1" s="1"/>
  <c r="N640" i="2"/>
  <c r="N640" i="1" s="1"/>
  <c r="M640" i="2"/>
  <c r="M640" i="1" s="1"/>
  <c r="L640" i="2"/>
  <c r="K640"/>
  <c r="K640" i="1" s="1"/>
  <c r="J640" i="2"/>
  <c r="J640" i="1" s="1"/>
  <c r="I640" i="2"/>
  <c r="I640" i="1" s="1"/>
  <c r="H640" i="2"/>
  <c r="H640" i="1" s="1"/>
  <c r="G640" i="2"/>
  <c r="G640" i="1" s="1"/>
  <c r="F640" i="2"/>
  <c r="F640" i="1" s="1"/>
  <c r="E640" i="2"/>
  <c r="E640" i="1" s="1"/>
  <c r="D640" i="2"/>
  <c r="D640" i="1" s="1"/>
  <c r="C640" i="2"/>
  <c r="C640" i="1" s="1"/>
  <c r="O639" i="2"/>
  <c r="O639" i="1" s="1"/>
  <c r="N639" i="2"/>
  <c r="N639" i="1" s="1"/>
  <c r="M639" i="2"/>
  <c r="M639" i="1" s="1"/>
  <c r="L639" i="2"/>
  <c r="K639"/>
  <c r="K639" i="1" s="1"/>
  <c r="J639" i="2"/>
  <c r="J639" i="1" s="1"/>
  <c r="I639" i="2"/>
  <c r="I639" i="1" s="1"/>
  <c r="H639" i="2"/>
  <c r="H639" i="1" s="1"/>
  <c r="G639" i="2"/>
  <c r="G639" i="1" s="1"/>
  <c r="F639" i="2"/>
  <c r="F639" i="1" s="1"/>
  <c r="E639" i="2"/>
  <c r="E639" i="1" s="1"/>
  <c r="D639" i="2"/>
  <c r="D639" i="1" s="1"/>
  <c r="C639" i="2"/>
  <c r="C639" i="1" s="1"/>
  <c r="O638" i="2"/>
  <c r="O638" i="1" s="1"/>
  <c r="N638" i="2"/>
  <c r="N638" i="1" s="1"/>
  <c r="M638" i="2"/>
  <c r="M638" i="1" s="1"/>
  <c r="L638" i="2"/>
  <c r="K638"/>
  <c r="K638" i="1" s="1"/>
  <c r="J638" i="2"/>
  <c r="J638" i="1" s="1"/>
  <c r="I638" i="2"/>
  <c r="I638" i="1" s="1"/>
  <c r="H638" i="2"/>
  <c r="H638" i="1" s="1"/>
  <c r="G638" i="2"/>
  <c r="G638" i="1" s="1"/>
  <c r="F638" i="2"/>
  <c r="F638" i="1" s="1"/>
  <c r="E638" i="2"/>
  <c r="E638" i="1" s="1"/>
  <c r="D638" i="2"/>
  <c r="D638" i="1" s="1"/>
  <c r="C638" i="2"/>
  <c r="C638" i="1" s="1"/>
  <c r="O637" i="2"/>
  <c r="O637" i="1" s="1"/>
  <c r="N637" i="2"/>
  <c r="N637" i="1" s="1"/>
  <c r="M637" i="2"/>
  <c r="M637" i="1" s="1"/>
  <c r="L637" i="2"/>
  <c r="K637"/>
  <c r="K637" i="1" s="1"/>
  <c r="J637" i="2"/>
  <c r="J637" i="1" s="1"/>
  <c r="I637" i="2"/>
  <c r="I637" i="1" s="1"/>
  <c r="H637" i="2"/>
  <c r="H637" i="1" s="1"/>
  <c r="G637" i="2"/>
  <c r="G637" i="1" s="1"/>
  <c r="F637" i="2"/>
  <c r="F637" i="1" s="1"/>
  <c r="E637" i="2"/>
  <c r="E637" i="1" s="1"/>
  <c r="D637" i="2"/>
  <c r="D637" i="1" s="1"/>
  <c r="C637" i="2"/>
  <c r="C637" i="1" s="1"/>
  <c r="O636" i="2"/>
  <c r="O636" i="1" s="1"/>
  <c r="N636" i="2"/>
  <c r="N636" i="1" s="1"/>
  <c r="M636" i="2"/>
  <c r="M636" i="1" s="1"/>
  <c r="L636" i="2"/>
  <c r="K636"/>
  <c r="K636" i="1" s="1"/>
  <c r="J636" i="2"/>
  <c r="J636" i="1" s="1"/>
  <c r="I636" i="2"/>
  <c r="I636" i="1" s="1"/>
  <c r="H636" i="2"/>
  <c r="H636" i="1" s="1"/>
  <c r="G636" i="2"/>
  <c r="G636" i="1" s="1"/>
  <c r="F636" i="2"/>
  <c r="F636" i="1" s="1"/>
  <c r="E636" i="2"/>
  <c r="E636" i="1" s="1"/>
  <c r="D636" i="2"/>
  <c r="D636" i="1" s="1"/>
  <c r="C636" i="2"/>
  <c r="C636" i="1" s="1"/>
  <c r="O635" i="2"/>
  <c r="O635" i="1" s="1"/>
  <c r="N635" i="2"/>
  <c r="N635" i="1" s="1"/>
  <c r="M635" i="2"/>
  <c r="M635" i="1" s="1"/>
  <c r="L635" i="2"/>
  <c r="K635"/>
  <c r="K635" i="1" s="1"/>
  <c r="J635" i="2"/>
  <c r="J635" i="1" s="1"/>
  <c r="I635" i="2"/>
  <c r="I635" i="1" s="1"/>
  <c r="H635" i="2"/>
  <c r="H635" i="1" s="1"/>
  <c r="G635" i="2"/>
  <c r="G635" i="1" s="1"/>
  <c r="F635" i="2"/>
  <c r="F635" i="1" s="1"/>
  <c r="E635" i="2"/>
  <c r="E635" i="1" s="1"/>
  <c r="D635" i="2"/>
  <c r="D635" i="1" s="1"/>
  <c r="C635" i="2"/>
  <c r="C635" i="1" s="1"/>
  <c r="O634" i="2"/>
  <c r="O634" i="1" s="1"/>
  <c r="N634" i="2"/>
  <c r="N634" i="1" s="1"/>
  <c r="M634" i="2"/>
  <c r="M634" i="1" s="1"/>
  <c r="L634" i="2"/>
  <c r="K634"/>
  <c r="K634" i="1" s="1"/>
  <c r="J634" i="2"/>
  <c r="J634" i="1" s="1"/>
  <c r="I634" i="2"/>
  <c r="I634" i="1" s="1"/>
  <c r="H634" i="2"/>
  <c r="H634" i="1" s="1"/>
  <c r="G634" i="2"/>
  <c r="G634" i="1" s="1"/>
  <c r="F634" i="2"/>
  <c r="F634" i="1" s="1"/>
  <c r="E634" i="2"/>
  <c r="E634" i="1" s="1"/>
  <c r="D634" i="2"/>
  <c r="D634" i="1" s="1"/>
  <c r="C634" i="2"/>
  <c r="C634" i="1" s="1"/>
  <c r="O633" i="2"/>
  <c r="O633" i="1" s="1"/>
  <c r="N633" i="2"/>
  <c r="N633" i="1" s="1"/>
  <c r="M633" i="2"/>
  <c r="M633" i="1" s="1"/>
  <c r="L633" i="2"/>
  <c r="K633"/>
  <c r="K633" i="1" s="1"/>
  <c r="J633" i="2"/>
  <c r="J633" i="1" s="1"/>
  <c r="I633" i="2"/>
  <c r="I633" i="1" s="1"/>
  <c r="H633" i="2"/>
  <c r="H633" i="1" s="1"/>
  <c r="G633" i="2"/>
  <c r="G633" i="1" s="1"/>
  <c r="F633" i="2"/>
  <c r="F633" i="1" s="1"/>
  <c r="E633" i="2"/>
  <c r="E633" i="1" s="1"/>
  <c r="D633" i="2"/>
  <c r="D633" i="1" s="1"/>
  <c r="C633" i="2"/>
  <c r="C633" i="1" s="1"/>
  <c r="O632" i="2"/>
  <c r="O632" i="1" s="1"/>
  <c r="N632" i="2"/>
  <c r="N632" i="1" s="1"/>
  <c r="M632" i="2"/>
  <c r="M632" i="1" s="1"/>
  <c r="L632" i="2"/>
  <c r="K632"/>
  <c r="K632" i="1" s="1"/>
  <c r="J632" i="2"/>
  <c r="J632" i="1" s="1"/>
  <c r="I632" i="2"/>
  <c r="I632" i="1" s="1"/>
  <c r="H632" i="2"/>
  <c r="H632" i="1" s="1"/>
  <c r="G632" i="2"/>
  <c r="G632" i="1" s="1"/>
  <c r="F632" i="2"/>
  <c r="F632" i="1" s="1"/>
  <c r="E632" i="2"/>
  <c r="E632" i="1" s="1"/>
  <c r="D632" i="2"/>
  <c r="D632" i="1" s="1"/>
  <c r="C632" i="2"/>
  <c r="C632" i="1" s="1"/>
  <c r="O631" i="2"/>
  <c r="O631" i="1" s="1"/>
  <c r="N631" i="2"/>
  <c r="N631" i="1" s="1"/>
  <c r="M631" i="2"/>
  <c r="M631" i="1" s="1"/>
  <c r="L631" i="2"/>
  <c r="K631"/>
  <c r="K631" i="1" s="1"/>
  <c r="J631" i="2"/>
  <c r="J631" i="1" s="1"/>
  <c r="I631" i="2"/>
  <c r="I631" i="1" s="1"/>
  <c r="H631" i="2"/>
  <c r="H631" i="1" s="1"/>
  <c r="G631" i="2"/>
  <c r="G631" i="1" s="1"/>
  <c r="F631" i="2"/>
  <c r="F631" i="1" s="1"/>
  <c r="E631" i="2"/>
  <c r="E631" i="1" s="1"/>
  <c r="D631" i="2"/>
  <c r="D631" i="1" s="1"/>
  <c r="C631" i="2"/>
  <c r="C631" i="1" s="1"/>
  <c r="O630" i="2"/>
  <c r="O630" i="1" s="1"/>
  <c r="N630" i="2"/>
  <c r="N630" i="1" s="1"/>
  <c r="M630" i="2"/>
  <c r="M630" i="1" s="1"/>
  <c r="L630" i="2"/>
  <c r="K630"/>
  <c r="K630" i="1" s="1"/>
  <c r="J630" i="2"/>
  <c r="J630" i="1" s="1"/>
  <c r="I630" i="2"/>
  <c r="I630" i="1" s="1"/>
  <c r="H630" i="2"/>
  <c r="H630" i="1" s="1"/>
  <c r="G630" i="2"/>
  <c r="G630" i="1" s="1"/>
  <c r="F630" i="2"/>
  <c r="F630" i="1" s="1"/>
  <c r="E630" i="2"/>
  <c r="E630" i="1" s="1"/>
  <c r="D630" i="2"/>
  <c r="D630" i="1" s="1"/>
  <c r="C630" i="2"/>
  <c r="C630" i="1" s="1"/>
  <c r="O629" i="2"/>
  <c r="O629" i="1" s="1"/>
  <c r="N629" i="2"/>
  <c r="N629" i="1" s="1"/>
  <c r="M629" i="2"/>
  <c r="M629" i="1" s="1"/>
  <c r="L629" i="2"/>
  <c r="K629"/>
  <c r="K629" i="1" s="1"/>
  <c r="J629" i="2"/>
  <c r="J629" i="1" s="1"/>
  <c r="I629" i="2"/>
  <c r="I629" i="1" s="1"/>
  <c r="H629" i="2"/>
  <c r="H629" i="1" s="1"/>
  <c r="G629" i="2"/>
  <c r="G629" i="1" s="1"/>
  <c r="F629" i="2"/>
  <c r="F629" i="1" s="1"/>
  <c r="E629" i="2"/>
  <c r="E629" i="1" s="1"/>
  <c r="D629" i="2"/>
  <c r="D629" i="1" s="1"/>
  <c r="C629" i="2"/>
  <c r="C629" i="1" s="1"/>
  <c r="O628" i="2"/>
  <c r="O628" i="1" s="1"/>
  <c r="N628" i="2"/>
  <c r="N628" i="1" s="1"/>
  <c r="M628" i="2"/>
  <c r="M628" i="1" s="1"/>
  <c r="L628" i="2"/>
  <c r="K628"/>
  <c r="K628" i="1" s="1"/>
  <c r="J628" i="2"/>
  <c r="J628" i="1" s="1"/>
  <c r="I628" i="2"/>
  <c r="I628" i="1" s="1"/>
  <c r="H628" i="2"/>
  <c r="H628" i="1" s="1"/>
  <c r="G628" i="2"/>
  <c r="G628" i="1" s="1"/>
  <c r="F628" i="2"/>
  <c r="F628" i="1" s="1"/>
  <c r="E628" i="2"/>
  <c r="E628" i="1" s="1"/>
  <c r="D628" i="2"/>
  <c r="D628" i="1" s="1"/>
  <c r="C628" i="2"/>
  <c r="C628" i="1" s="1"/>
  <c r="O627" i="2"/>
  <c r="O627" i="1" s="1"/>
  <c r="N627" i="2"/>
  <c r="N627" i="1" s="1"/>
  <c r="M627" i="2"/>
  <c r="M627" i="1" s="1"/>
  <c r="L627" i="2"/>
  <c r="K627"/>
  <c r="K627" i="1" s="1"/>
  <c r="J627" i="2"/>
  <c r="J627" i="1" s="1"/>
  <c r="I627" i="2"/>
  <c r="I627" i="1" s="1"/>
  <c r="H627" i="2"/>
  <c r="H627" i="1" s="1"/>
  <c r="G627" i="2"/>
  <c r="G627" i="1" s="1"/>
  <c r="F627" i="2"/>
  <c r="F627" i="1" s="1"/>
  <c r="E627" i="2"/>
  <c r="E627" i="1" s="1"/>
  <c r="D627" i="2"/>
  <c r="D627" i="1" s="1"/>
  <c r="C627" i="2"/>
  <c r="C627" i="1" s="1"/>
  <c r="O626" i="2"/>
  <c r="O626" i="1" s="1"/>
  <c r="N626" i="2"/>
  <c r="N626" i="1" s="1"/>
  <c r="M626" i="2"/>
  <c r="M626" i="1" s="1"/>
  <c r="L626" i="2"/>
  <c r="K626"/>
  <c r="K626" i="1" s="1"/>
  <c r="J626" i="2"/>
  <c r="J626" i="1" s="1"/>
  <c r="I626" i="2"/>
  <c r="I626" i="1" s="1"/>
  <c r="H626" i="2"/>
  <c r="H626" i="1" s="1"/>
  <c r="G626" i="2"/>
  <c r="G626" i="1" s="1"/>
  <c r="F626" i="2"/>
  <c r="F626" i="1" s="1"/>
  <c r="E626" i="2"/>
  <c r="E626" i="1" s="1"/>
  <c r="D626" i="2"/>
  <c r="D626" i="1" s="1"/>
  <c r="C626" i="2"/>
  <c r="C626" i="1" s="1"/>
  <c r="O625" i="2"/>
  <c r="O625" i="1" s="1"/>
  <c r="N625" i="2"/>
  <c r="N625" i="1" s="1"/>
  <c r="M625" i="2"/>
  <c r="M625" i="1" s="1"/>
  <c r="L625" i="2"/>
  <c r="K625"/>
  <c r="K625" i="1" s="1"/>
  <c r="J625" i="2"/>
  <c r="J625" i="1" s="1"/>
  <c r="I625" i="2"/>
  <c r="I625" i="1" s="1"/>
  <c r="H625" i="2"/>
  <c r="H625" i="1" s="1"/>
  <c r="G625" i="2"/>
  <c r="G625" i="1" s="1"/>
  <c r="F625" i="2"/>
  <c r="F625" i="1" s="1"/>
  <c r="E625" i="2"/>
  <c r="E625" i="1" s="1"/>
  <c r="D625" i="2"/>
  <c r="D625" i="1" s="1"/>
  <c r="C625" i="2"/>
  <c r="C625" i="1" s="1"/>
  <c r="O624" i="2"/>
  <c r="O624" i="1" s="1"/>
  <c r="N624" i="2"/>
  <c r="N624" i="1" s="1"/>
  <c r="M624" i="2"/>
  <c r="M624" i="1" s="1"/>
  <c r="L624" i="2"/>
  <c r="K624"/>
  <c r="K624" i="1" s="1"/>
  <c r="J624" i="2"/>
  <c r="J624" i="1" s="1"/>
  <c r="I624" i="2"/>
  <c r="I624" i="1" s="1"/>
  <c r="H624" i="2"/>
  <c r="H624" i="1" s="1"/>
  <c r="G624" i="2"/>
  <c r="G624" i="1" s="1"/>
  <c r="F624" i="2"/>
  <c r="F624" i="1" s="1"/>
  <c r="E624" i="2"/>
  <c r="E624" i="1" s="1"/>
  <c r="D624" i="2"/>
  <c r="D624" i="1" s="1"/>
  <c r="C624" i="2"/>
  <c r="C624" i="1" s="1"/>
  <c r="O623" i="2"/>
  <c r="O623" i="1" s="1"/>
  <c r="N623" i="2"/>
  <c r="N623" i="1" s="1"/>
  <c r="M623" i="2"/>
  <c r="M623" i="1" s="1"/>
  <c r="L623" i="2"/>
  <c r="K623"/>
  <c r="K623" i="1" s="1"/>
  <c r="J623" i="2"/>
  <c r="J623" i="1" s="1"/>
  <c r="I623" i="2"/>
  <c r="I623" i="1" s="1"/>
  <c r="H623" i="2"/>
  <c r="H623" i="1" s="1"/>
  <c r="G623" i="2"/>
  <c r="G623" i="1" s="1"/>
  <c r="F623" i="2"/>
  <c r="F623" i="1" s="1"/>
  <c r="E623" i="2"/>
  <c r="E623" i="1" s="1"/>
  <c r="D623" i="2"/>
  <c r="D623" i="1" s="1"/>
  <c r="C623" i="2"/>
  <c r="C623" i="1" s="1"/>
  <c r="O622" i="2"/>
  <c r="O622" i="1" s="1"/>
  <c r="N622" i="2"/>
  <c r="N622" i="1" s="1"/>
  <c r="M622" i="2"/>
  <c r="M622" i="1" s="1"/>
  <c r="L622" i="2"/>
  <c r="K622"/>
  <c r="K622" i="1" s="1"/>
  <c r="J622" i="2"/>
  <c r="J622" i="1" s="1"/>
  <c r="I622" i="2"/>
  <c r="I622" i="1" s="1"/>
  <c r="H622" i="2"/>
  <c r="H622" i="1" s="1"/>
  <c r="G622" i="2"/>
  <c r="G622" i="1" s="1"/>
  <c r="F622" i="2"/>
  <c r="F622" i="1" s="1"/>
  <c r="E622" i="2"/>
  <c r="E622" i="1" s="1"/>
  <c r="D622" i="2"/>
  <c r="D622" i="1" s="1"/>
  <c r="C622" i="2"/>
  <c r="C622" i="1" s="1"/>
  <c r="O621" i="2"/>
  <c r="O621" i="1" s="1"/>
  <c r="N621" i="2"/>
  <c r="N621" i="1" s="1"/>
  <c r="M621" i="2"/>
  <c r="M621" i="1" s="1"/>
  <c r="L621" i="2"/>
  <c r="K621"/>
  <c r="K621" i="1" s="1"/>
  <c r="J621" i="2"/>
  <c r="J621" i="1" s="1"/>
  <c r="I621" i="2"/>
  <c r="I621" i="1" s="1"/>
  <c r="H621" i="2"/>
  <c r="H621" i="1" s="1"/>
  <c r="G621" i="2"/>
  <c r="G621" i="1" s="1"/>
  <c r="F621" i="2"/>
  <c r="F621" i="1" s="1"/>
  <c r="E621" i="2"/>
  <c r="E621" i="1" s="1"/>
  <c r="D621" i="2"/>
  <c r="D621" i="1" s="1"/>
  <c r="C621" i="2"/>
  <c r="C621" i="1" s="1"/>
  <c r="O620" i="2"/>
  <c r="O620" i="1" s="1"/>
  <c r="N620" i="2"/>
  <c r="N620" i="1" s="1"/>
  <c r="M620" i="2"/>
  <c r="M620" i="1" s="1"/>
  <c r="L620" i="2"/>
  <c r="K620"/>
  <c r="K620" i="1" s="1"/>
  <c r="J620" i="2"/>
  <c r="J620" i="1" s="1"/>
  <c r="I620" i="2"/>
  <c r="I620" i="1" s="1"/>
  <c r="H620" i="2"/>
  <c r="H620" i="1" s="1"/>
  <c r="G620" i="2"/>
  <c r="G620" i="1" s="1"/>
  <c r="F620" i="2"/>
  <c r="F620" i="1" s="1"/>
  <c r="E620" i="2"/>
  <c r="E620" i="1" s="1"/>
  <c r="D620" i="2"/>
  <c r="D620" i="1" s="1"/>
  <c r="C620" i="2"/>
  <c r="C620" i="1" s="1"/>
  <c r="O619" i="2"/>
  <c r="O619" i="1" s="1"/>
  <c r="N619" i="2"/>
  <c r="N619" i="1" s="1"/>
  <c r="M619" i="2"/>
  <c r="M619" i="1" s="1"/>
  <c r="L619" i="2"/>
  <c r="K619"/>
  <c r="K619" i="1" s="1"/>
  <c r="J619" i="2"/>
  <c r="J619" i="1" s="1"/>
  <c r="I619" i="2"/>
  <c r="I619" i="1" s="1"/>
  <c r="H619" i="2"/>
  <c r="H619" i="1" s="1"/>
  <c r="G619" i="2"/>
  <c r="G619" i="1" s="1"/>
  <c r="F619" i="2"/>
  <c r="F619" i="1" s="1"/>
  <c r="E619" i="2"/>
  <c r="E619" i="1" s="1"/>
  <c r="D619" i="2"/>
  <c r="D619" i="1" s="1"/>
  <c r="C619" i="2"/>
  <c r="C619" i="1" s="1"/>
  <c r="O618" i="2"/>
  <c r="O618" i="1" s="1"/>
  <c r="N618" i="2"/>
  <c r="N618" i="1" s="1"/>
  <c r="M618" i="2"/>
  <c r="M618" i="1" s="1"/>
  <c r="L618" i="2"/>
  <c r="K618"/>
  <c r="K618" i="1" s="1"/>
  <c r="J618" i="2"/>
  <c r="J618" i="1" s="1"/>
  <c r="I618" i="2"/>
  <c r="I618" i="1" s="1"/>
  <c r="H618" i="2"/>
  <c r="H618" i="1" s="1"/>
  <c r="G618" i="2"/>
  <c r="G618" i="1" s="1"/>
  <c r="F618" i="2"/>
  <c r="F618" i="1" s="1"/>
  <c r="E618" i="2"/>
  <c r="E618" i="1" s="1"/>
  <c r="D618" i="2"/>
  <c r="D618" i="1" s="1"/>
  <c r="C618" i="2"/>
  <c r="C618" i="1" s="1"/>
  <c r="O617" i="2"/>
  <c r="O617" i="1" s="1"/>
  <c r="N617" i="2"/>
  <c r="N617" i="1" s="1"/>
  <c r="M617" i="2"/>
  <c r="M617" i="1" s="1"/>
  <c r="L617" i="2"/>
  <c r="K617"/>
  <c r="K617" i="1" s="1"/>
  <c r="J617" i="2"/>
  <c r="J617" i="1" s="1"/>
  <c r="I617" i="2"/>
  <c r="I617" i="1" s="1"/>
  <c r="H617" i="2"/>
  <c r="H617" i="1" s="1"/>
  <c r="G617" i="2"/>
  <c r="G617" i="1" s="1"/>
  <c r="F617" i="2"/>
  <c r="F617" i="1" s="1"/>
  <c r="E617" i="2"/>
  <c r="E617" i="1" s="1"/>
  <c r="D617" i="2"/>
  <c r="D617" i="1" s="1"/>
  <c r="C617" i="2"/>
  <c r="C617" i="1" s="1"/>
  <c r="O616" i="2"/>
  <c r="O616" i="1" s="1"/>
  <c r="N616" i="2"/>
  <c r="N616" i="1" s="1"/>
  <c r="M616" i="2"/>
  <c r="M616" i="1" s="1"/>
  <c r="L616" i="2"/>
  <c r="K616"/>
  <c r="K616" i="1" s="1"/>
  <c r="J616" i="2"/>
  <c r="J616" i="1" s="1"/>
  <c r="I616" i="2"/>
  <c r="I616" i="1" s="1"/>
  <c r="H616" i="2"/>
  <c r="H616" i="1" s="1"/>
  <c r="G616" i="2"/>
  <c r="G616" i="1" s="1"/>
  <c r="F616" i="2"/>
  <c r="F616" i="1" s="1"/>
  <c r="E616" i="2"/>
  <c r="E616" i="1" s="1"/>
  <c r="D616" i="2"/>
  <c r="D616" i="1" s="1"/>
  <c r="C616" i="2"/>
  <c r="C616" i="1" s="1"/>
  <c r="O615" i="2"/>
  <c r="O615" i="1" s="1"/>
  <c r="N615" i="2"/>
  <c r="N615" i="1" s="1"/>
  <c r="M615" i="2"/>
  <c r="M615" i="1" s="1"/>
  <c r="L615" i="2"/>
  <c r="K615"/>
  <c r="K615" i="1" s="1"/>
  <c r="J615" i="2"/>
  <c r="J615" i="1" s="1"/>
  <c r="I615" i="2"/>
  <c r="I615" i="1" s="1"/>
  <c r="H615" i="2"/>
  <c r="H615" i="1" s="1"/>
  <c r="G615" i="2"/>
  <c r="G615" i="1" s="1"/>
  <c r="F615" i="2"/>
  <c r="F615" i="1" s="1"/>
  <c r="E615" i="2"/>
  <c r="E615" i="1" s="1"/>
  <c r="D615" i="2"/>
  <c r="D615" i="1" s="1"/>
  <c r="C615" i="2"/>
  <c r="C615" i="1" s="1"/>
  <c r="O614" i="2"/>
  <c r="O614" i="1" s="1"/>
  <c r="N614" i="2"/>
  <c r="N614" i="1" s="1"/>
  <c r="M614" i="2"/>
  <c r="M614" i="1" s="1"/>
  <c r="L614" i="2"/>
  <c r="K614"/>
  <c r="K614" i="1" s="1"/>
  <c r="J614" i="2"/>
  <c r="J614" i="1" s="1"/>
  <c r="I614" i="2"/>
  <c r="I614" i="1" s="1"/>
  <c r="H614" i="2"/>
  <c r="H614" i="1" s="1"/>
  <c r="G614" i="2"/>
  <c r="G614" i="1" s="1"/>
  <c r="F614" i="2"/>
  <c r="F614" i="1" s="1"/>
  <c r="E614" i="2"/>
  <c r="E614" i="1" s="1"/>
  <c r="D614" i="2"/>
  <c r="D614" i="1" s="1"/>
  <c r="C614" i="2"/>
  <c r="C614" i="1" s="1"/>
  <c r="O613" i="2"/>
  <c r="O613" i="1" s="1"/>
  <c r="N613" i="2"/>
  <c r="N613" i="1" s="1"/>
  <c r="M613" i="2"/>
  <c r="M613" i="1" s="1"/>
  <c r="L613" i="2"/>
  <c r="K613"/>
  <c r="K613" i="1" s="1"/>
  <c r="J613" i="2"/>
  <c r="J613" i="1" s="1"/>
  <c r="I613" i="2"/>
  <c r="I613" i="1" s="1"/>
  <c r="H613" i="2"/>
  <c r="H613" i="1" s="1"/>
  <c r="G613" i="2"/>
  <c r="G613" i="1" s="1"/>
  <c r="F613" i="2"/>
  <c r="F613" i="1" s="1"/>
  <c r="E613" i="2"/>
  <c r="E613" i="1" s="1"/>
  <c r="D613" i="2"/>
  <c r="D613" i="1" s="1"/>
  <c r="C613" i="2"/>
  <c r="C613" i="1" s="1"/>
  <c r="O612" i="2"/>
  <c r="O612" i="1" s="1"/>
  <c r="N612" i="2"/>
  <c r="N612" i="1" s="1"/>
  <c r="M612" i="2"/>
  <c r="M612" i="1" s="1"/>
  <c r="L612" i="2"/>
  <c r="K612"/>
  <c r="K612" i="1" s="1"/>
  <c r="J612" i="2"/>
  <c r="J612" i="1" s="1"/>
  <c r="I612" i="2"/>
  <c r="I612" i="1" s="1"/>
  <c r="H612" i="2"/>
  <c r="H612" i="1" s="1"/>
  <c r="G612" i="2"/>
  <c r="G612" i="1" s="1"/>
  <c r="F612" i="2"/>
  <c r="F612" i="1" s="1"/>
  <c r="E612" i="2"/>
  <c r="E612" i="1" s="1"/>
  <c r="D612" i="2"/>
  <c r="D612" i="1" s="1"/>
  <c r="C612" i="2"/>
  <c r="C612" i="1" s="1"/>
  <c r="O611" i="2"/>
  <c r="O611" i="1" s="1"/>
  <c r="N611" i="2"/>
  <c r="N611" i="1" s="1"/>
  <c r="M611" i="2"/>
  <c r="M611" i="1" s="1"/>
  <c r="L611" i="2"/>
  <c r="K611"/>
  <c r="K611" i="1" s="1"/>
  <c r="J611" i="2"/>
  <c r="J611" i="1" s="1"/>
  <c r="I611" i="2"/>
  <c r="I611" i="1" s="1"/>
  <c r="H611" i="2"/>
  <c r="H611" i="1" s="1"/>
  <c r="G611" i="2"/>
  <c r="G611" i="1" s="1"/>
  <c r="F611" i="2"/>
  <c r="F611" i="1" s="1"/>
  <c r="E611" i="2"/>
  <c r="E611" i="1" s="1"/>
  <c r="D611" i="2"/>
  <c r="D611" i="1" s="1"/>
  <c r="C611" i="2"/>
  <c r="C611" i="1" s="1"/>
  <c r="O610" i="2"/>
  <c r="O610" i="1" s="1"/>
  <c r="N610" i="2"/>
  <c r="N610" i="1" s="1"/>
  <c r="M610" i="2"/>
  <c r="M610" i="1" s="1"/>
  <c r="L610" i="2"/>
  <c r="K610"/>
  <c r="K610" i="1" s="1"/>
  <c r="J610" i="2"/>
  <c r="J610" i="1" s="1"/>
  <c r="I610" i="2"/>
  <c r="I610" i="1" s="1"/>
  <c r="H610" i="2"/>
  <c r="H610" i="1" s="1"/>
  <c r="G610" i="2"/>
  <c r="G610" i="1" s="1"/>
  <c r="F610" i="2"/>
  <c r="F610" i="1" s="1"/>
  <c r="E610" i="2"/>
  <c r="E610" i="1" s="1"/>
  <c r="D610" i="2"/>
  <c r="D610" i="1" s="1"/>
  <c r="C610" i="2"/>
  <c r="C610" i="1" s="1"/>
  <c r="O609" i="2"/>
  <c r="O609" i="1" s="1"/>
  <c r="N609" i="2"/>
  <c r="N609" i="1" s="1"/>
  <c r="M609" i="2"/>
  <c r="M609" i="1" s="1"/>
  <c r="L609" i="2"/>
  <c r="K609"/>
  <c r="K609" i="1" s="1"/>
  <c r="J609" i="2"/>
  <c r="J609" i="1" s="1"/>
  <c r="I609" i="2"/>
  <c r="I609" i="1" s="1"/>
  <c r="H609" i="2"/>
  <c r="H609" i="1" s="1"/>
  <c r="G609" i="2"/>
  <c r="G609" i="1" s="1"/>
  <c r="F609" i="2"/>
  <c r="F609" i="1" s="1"/>
  <c r="E609" i="2"/>
  <c r="E609" i="1" s="1"/>
  <c r="D609" i="2"/>
  <c r="D609" i="1" s="1"/>
  <c r="C609" i="2"/>
  <c r="C609" i="1" s="1"/>
  <c r="O608" i="2"/>
  <c r="O608" i="1" s="1"/>
  <c r="N608" i="2"/>
  <c r="N608" i="1" s="1"/>
  <c r="M608" i="2"/>
  <c r="M608" i="1" s="1"/>
  <c r="L608" i="2"/>
  <c r="K608"/>
  <c r="K608" i="1" s="1"/>
  <c r="J608" i="2"/>
  <c r="J608" i="1" s="1"/>
  <c r="I608" i="2"/>
  <c r="I608" i="1" s="1"/>
  <c r="H608" i="2"/>
  <c r="H608" i="1" s="1"/>
  <c r="G608" i="2"/>
  <c r="G608" i="1" s="1"/>
  <c r="F608" i="2"/>
  <c r="F608" i="1" s="1"/>
  <c r="E608" i="2"/>
  <c r="E608" i="1" s="1"/>
  <c r="D608" i="2"/>
  <c r="D608" i="1" s="1"/>
  <c r="C608" i="2"/>
  <c r="C608" i="1" s="1"/>
  <c r="O607" i="2"/>
  <c r="O607" i="1" s="1"/>
  <c r="N607" i="2"/>
  <c r="N607" i="1" s="1"/>
  <c r="M607" i="2"/>
  <c r="M607" i="1" s="1"/>
  <c r="L607" i="2"/>
  <c r="K607"/>
  <c r="K607" i="1" s="1"/>
  <c r="J607" i="2"/>
  <c r="J607" i="1" s="1"/>
  <c r="I607" i="2"/>
  <c r="I607" i="1" s="1"/>
  <c r="H607" i="2"/>
  <c r="H607" i="1" s="1"/>
  <c r="G607" i="2"/>
  <c r="G607" i="1" s="1"/>
  <c r="F607" i="2"/>
  <c r="F607" i="1" s="1"/>
  <c r="E607" i="2"/>
  <c r="E607" i="1" s="1"/>
  <c r="D607" i="2"/>
  <c r="D607" i="1" s="1"/>
  <c r="C607" i="2"/>
  <c r="C607" i="1" s="1"/>
  <c r="O606" i="2"/>
  <c r="O606" i="1" s="1"/>
  <c r="N606" i="2"/>
  <c r="N606" i="1" s="1"/>
  <c r="M606" i="2"/>
  <c r="M606" i="1" s="1"/>
  <c r="L606" i="2"/>
  <c r="K606"/>
  <c r="K606" i="1" s="1"/>
  <c r="J606" i="2"/>
  <c r="J606" i="1" s="1"/>
  <c r="I606" i="2"/>
  <c r="I606" i="1" s="1"/>
  <c r="H606" i="2"/>
  <c r="H606" i="1" s="1"/>
  <c r="G606" i="2"/>
  <c r="G606" i="1" s="1"/>
  <c r="F606" i="2"/>
  <c r="F606" i="1" s="1"/>
  <c r="E606" i="2"/>
  <c r="E606" i="1" s="1"/>
  <c r="D606" i="2"/>
  <c r="D606" i="1" s="1"/>
  <c r="C606" i="2"/>
  <c r="C606" i="1" s="1"/>
  <c r="O605" i="2"/>
  <c r="O605" i="1" s="1"/>
  <c r="N605" i="2"/>
  <c r="N605" i="1" s="1"/>
  <c r="M605" i="2"/>
  <c r="M605" i="1" s="1"/>
  <c r="L605" i="2"/>
  <c r="K605"/>
  <c r="K605" i="1" s="1"/>
  <c r="J605" i="2"/>
  <c r="J605" i="1" s="1"/>
  <c r="I605" i="2"/>
  <c r="I605" i="1" s="1"/>
  <c r="H605" i="2"/>
  <c r="H605" i="1" s="1"/>
  <c r="G605" i="2"/>
  <c r="G605" i="1" s="1"/>
  <c r="F605" i="2"/>
  <c r="F605" i="1" s="1"/>
  <c r="E605" i="2"/>
  <c r="E605" i="1" s="1"/>
  <c r="D605" i="2"/>
  <c r="D605" i="1" s="1"/>
  <c r="C605" i="2"/>
  <c r="C605" i="1" s="1"/>
  <c r="O604" i="2"/>
  <c r="O604" i="1" s="1"/>
  <c r="N604" i="2"/>
  <c r="N604" i="1" s="1"/>
  <c r="M604" i="2"/>
  <c r="M604" i="1" s="1"/>
  <c r="L604" i="2"/>
  <c r="K604"/>
  <c r="K604" i="1" s="1"/>
  <c r="J604" i="2"/>
  <c r="J604" i="1" s="1"/>
  <c r="I604" i="2"/>
  <c r="I604" i="1" s="1"/>
  <c r="H604" i="2"/>
  <c r="H604" i="1" s="1"/>
  <c r="G604" i="2"/>
  <c r="G604" i="1" s="1"/>
  <c r="F604" i="2"/>
  <c r="F604" i="1" s="1"/>
  <c r="E604" i="2"/>
  <c r="E604" i="1" s="1"/>
  <c r="D604" i="2"/>
  <c r="D604" i="1" s="1"/>
  <c r="C604" i="2"/>
  <c r="C604" i="1" s="1"/>
  <c r="O603" i="2"/>
  <c r="O603" i="1" s="1"/>
  <c r="N603" i="2"/>
  <c r="N603" i="1" s="1"/>
  <c r="M603" i="2"/>
  <c r="M603" i="1" s="1"/>
  <c r="L603" i="2"/>
  <c r="K603"/>
  <c r="K603" i="1" s="1"/>
  <c r="J603" i="2"/>
  <c r="J603" i="1" s="1"/>
  <c r="I603" i="2"/>
  <c r="I603" i="1" s="1"/>
  <c r="H603" i="2"/>
  <c r="H603" i="1" s="1"/>
  <c r="G603" i="2"/>
  <c r="G603" i="1" s="1"/>
  <c r="F603" i="2"/>
  <c r="F603" i="1" s="1"/>
  <c r="E603" i="2"/>
  <c r="E603" i="1" s="1"/>
  <c r="D603" i="2"/>
  <c r="D603" i="1" s="1"/>
  <c r="C603" i="2"/>
  <c r="C603" i="1" s="1"/>
  <c r="O602" i="2"/>
  <c r="O602" i="1" s="1"/>
  <c r="N602" i="2"/>
  <c r="N602" i="1" s="1"/>
  <c r="M602" i="2"/>
  <c r="M602" i="1" s="1"/>
  <c r="L602" i="2"/>
  <c r="K602"/>
  <c r="K602" i="1" s="1"/>
  <c r="J602" i="2"/>
  <c r="J602" i="1" s="1"/>
  <c r="I602" i="2"/>
  <c r="I602" i="1" s="1"/>
  <c r="H602" i="2"/>
  <c r="H602" i="1" s="1"/>
  <c r="G602" i="2"/>
  <c r="G602" i="1" s="1"/>
  <c r="F602" i="2"/>
  <c r="F602" i="1" s="1"/>
  <c r="E602" i="2"/>
  <c r="E602" i="1" s="1"/>
  <c r="D602" i="2"/>
  <c r="D602" i="1" s="1"/>
  <c r="C602" i="2"/>
  <c r="C602" i="1" s="1"/>
  <c r="O601" i="2"/>
  <c r="O601" i="1" s="1"/>
  <c r="N601" i="2"/>
  <c r="N601" i="1" s="1"/>
  <c r="M601" i="2"/>
  <c r="M601" i="1" s="1"/>
  <c r="L601" i="2"/>
  <c r="K601"/>
  <c r="K601" i="1" s="1"/>
  <c r="J601" i="2"/>
  <c r="J601" i="1" s="1"/>
  <c r="I601" i="2"/>
  <c r="I601" i="1" s="1"/>
  <c r="H601" i="2"/>
  <c r="H601" i="1" s="1"/>
  <c r="G601" i="2"/>
  <c r="G601" i="1" s="1"/>
  <c r="F601" i="2"/>
  <c r="F601" i="1" s="1"/>
  <c r="E601" i="2"/>
  <c r="E601" i="1" s="1"/>
  <c r="D601" i="2"/>
  <c r="D601" i="1" s="1"/>
  <c r="C601" i="2"/>
  <c r="C601" i="1" s="1"/>
  <c r="O600" i="2"/>
  <c r="O600" i="1" s="1"/>
  <c r="N600" i="2"/>
  <c r="N600" i="1" s="1"/>
  <c r="M600" i="2"/>
  <c r="M600" i="1" s="1"/>
  <c r="L600" i="2"/>
  <c r="K600"/>
  <c r="K600" i="1" s="1"/>
  <c r="J600" i="2"/>
  <c r="J600" i="1" s="1"/>
  <c r="I600" i="2"/>
  <c r="I600" i="1" s="1"/>
  <c r="H600" i="2"/>
  <c r="H600" i="1" s="1"/>
  <c r="G600" i="2"/>
  <c r="G600" i="1" s="1"/>
  <c r="F600" i="2"/>
  <c r="F600" i="1" s="1"/>
  <c r="E600" i="2"/>
  <c r="E600" i="1" s="1"/>
  <c r="D600" i="2"/>
  <c r="D600" i="1" s="1"/>
  <c r="C600" i="2"/>
  <c r="C600" i="1" s="1"/>
  <c r="O599" i="2"/>
  <c r="O599" i="1" s="1"/>
  <c r="N599" i="2"/>
  <c r="N599" i="1" s="1"/>
  <c r="M599" i="2"/>
  <c r="M599" i="1" s="1"/>
  <c r="L599" i="2"/>
  <c r="K599"/>
  <c r="K599" i="1" s="1"/>
  <c r="J599" i="2"/>
  <c r="J599" i="1" s="1"/>
  <c r="I599" i="2"/>
  <c r="I599" i="1" s="1"/>
  <c r="H599" i="2"/>
  <c r="H599" i="1" s="1"/>
  <c r="G599" i="2"/>
  <c r="G599" i="1" s="1"/>
  <c r="F599" i="2"/>
  <c r="F599" i="1" s="1"/>
  <c r="E599" i="2"/>
  <c r="E599" i="1" s="1"/>
  <c r="D599" i="2"/>
  <c r="D599" i="1" s="1"/>
  <c r="C599" i="2"/>
  <c r="C599" i="1" s="1"/>
  <c r="O598" i="2"/>
  <c r="O598" i="1" s="1"/>
  <c r="N598" i="2"/>
  <c r="N598" i="1" s="1"/>
  <c r="M598" i="2"/>
  <c r="M598" i="1" s="1"/>
  <c r="L598" i="2"/>
  <c r="K598"/>
  <c r="K598" i="1" s="1"/>
  <c r="J598" i="2"/>
  <c r="J598" i="1" s="1"/>
  <c r="I598" i="2"/>
  <c r="I598" i="1" s="1"/>
  <c r="H598" i="2"/>
  <c r="H598" i="1" s="1"/>
  <c r="G598" i="2"/>
  <c r="G598" i="1" s="1"/>
  <c r="F598" i="2"/>
  <c r="F598" i="1" s="1"/>
  <c r="E598" i="2"/>
  <c r="E598" i="1" s="1"/>
  <c r="D598" i="2"/>
  <c r="D598" i="1" s="1"/>
  <c r="C598" i="2"/>
  <c r="C598" i="1" s="1"/>
  <c r="O597" i="2"/>
  <c r="O597" i="1" s="1"/>
  <c r="N597" i="2"/>
  <c r="N597" i="1" s="1"/>
  <c r="M597" i="2"/>
  <c r="M597" i="1" s="1"/>
  <c r="L597" i="2"/>
  <c r="K597"/>
  <c r="K597" i="1" s="1"/>
  <c r="J597" i="2"/>
  <c r="J597" i="1" s="1"/>
  <c r="I597" i="2"/>
  <c r="I597" i="1" s="1"/>
  <c r="H597" i="2"/>
  <c r="H597" i="1" s="1"/>
  <c r="G597" i="2"/>
  <c r="G597" i="1" s="1"/>
  <c r="F597" i="2"/>
  <c r="F597" i="1" s="1"/>
  <c r="E597" i="2"/>
  <c r="E597" i="1" s="1"/>
  <c r="D597" i="2"/>
  <c r="D597" i="1" s="1"/>
  <c r="C597" i="2"/>
  <c r="C597" i="1" s="1"/>
  <c r="O596" i="2"/>
  <c r="O596" i="1" s="1"/>
  <c r="N596" i="2"/>
  <c r="N596" i="1" s="1"/>
  <c r="M596" i="2"/>
  <c r="M596" i="1" s="1"/>
  <c r="L596" i="2"/>
  <c r="K596"/>
  <c r="K596" i="1" s="1"/>
  <c r="J596" i="2"/>
  <c r="J596" i="1" s="1"/>
  <c r="I596" i="2"/>
  <c r="I596" i="1" s="1"/>
  <c r="H596" i="2"/>
  <c r="H596" i="1" s="1"/>
  <c r="G596" i="2"/>
  <c r="G596" i="1" s="1"/>
  <c r="F596" i="2"/>
  <c r="F596" i="1" s="1"/>
  <c r="E596" i="2"/>
  <c r="E596" i="1" s="1"/>
  <c r="D596" i="2"/>
  <c r="D596" i="1" s="1"/>
  <c r="C596" i="2"/>
  <c r="C596" i="1" s="1"/>
  <c r="O595" i="2"/>
  <c r="O595" i="1" s="1"/>
  <c r="N595" i="2"/>
  <c r="N595" i="1" s="1"/>
  <c r="M595" i="2"/>
  <c r="M595" i="1" s="1"/>
  <c r="L595" i="2"/>
  <c r="K595"/>
  <c r="K595" i="1" s="1"/>
  <c r="J595" i="2"/>
  <c r="J595" i="1" s="1"/>
  <c r="I595" i="2"/>
  <c r="I595" i="1" s="1"/>
  <c r="H595" i="2"/>
  <c r="H595" i="1" s="1"/>
  <c r="G595" i="2"/>
  <c r="G595" i="1" s="1"/>
  <c r="F595" i="2"/>
  <c r="F595" i="1" s="1"/>
  <c r="E595" i="2"/>
  <c r="E595" i="1" s="1"/>
  <c r="D595" i="2"/>
  <c r="D595" i="1" s="1"/>
  <c r="C595" i="2"/>
  <c r="C595" i="1" s="1"/>
  <c r="O594" i="2"/>
  <c r="O594" i="1" s="1"/>
  <c r="N594" i="2"/>
  <c r="N594" i="1" s="1"/>
  <c r="M594" i="2"/>
  <c r="M594" i="1" s="1"/>
  <c r="L594" i="2"/>
  <c r="K594"/>
  <c r="K594" i="1" s="1"/>
  <c r="J594" i="2"/>
  <c r="J594" i="1" s="1"/>
  <c r="I594" i="2"/>
  <c r="I594" i="1" s="1"/>
  <c r="H594" i="2"/>
  <c r="H594" i="1" s="1"/>
  <c r="G594" i="2"/>
  <c r="G594" i="1" s="1"/>
  <c r="F594" i="2"/>
  <c r="F594" i="1" s="1"/>
  <c r="E594" i="2"/>
  <c r="E594" i="1" s="1"/>
  <c r="D594" i="2"/>
  <c r="D594" i="1" s="1"/>
  <c r="C594" i="2"/>
  <c r="C594" i="1" s="1"/>
  <c r="O593" i="2"/>
  <c r="O593" i="1" s="1"/>
  <c r="N593" i="2"/>
  <c r="N593" i="1" s="1"/>
  <c r="M593" i="2"/>
  <c r="M593" i="1" s="1"/>
  <c r="L593" i="2"/>
  <c r="K593"/>
  <c r="K593" i="1" s="1"/>
  <c r="J593" i="2"/>
  <c r="J593" i="1" s="1"/>
  <c r="I593" i="2"/>
  <c r="I593" i="1" s="1"/>
  <c r="H593" i="2"/>
  <c r="H593" i="1" s="1"/>
  <c r="G593" i="2"/>
  <c r="G593" i="1" s="1"/>
  <c r="F593" i="2"/>
  <c r="F593" i="1" s="1"/>
  <c r="E593" i="2"/>
  <c r="E593" i="1" s="1"/>
  <c r="D593" i="2"/>
  <c r="D593" i="1" s="1"/>
  <c r="C593" i="2"/>
  <c r="C593" i="1" s="1"/>
  <c r="O592" i="2"/>
  <c r="O592" i="1" s="1"/>
  <c r="N592" i="2"/>
  <c r="N592" i="1" s="1"/>
  <c r="M592" i="2"/>
  <c r="M592" i="1" s="1"/>
  <c r="L592" i="2"/>
  <c r="K592"/>
  <c r="K592" i="1" s="1"/>
  <c r="J592" i="2"/>
  <c r="J592" i="1" s="1"/>
  <c r="I592" i="2"/>
  <c r="I592" i="1" s="1"/>
  <c r="H592" i="2"/>
  <c r="H592" i="1" s="1"/>
  <c r="G592" i="2"/>
  <c r="G592" i="1" s="1"/>
  <c r="F592" i="2"/>
  <c r="F592" i="1" s="1"/>
  <c r="E592" i="2"/>
  <c r="E592" i="1" s="1"/>
  <c r="D592" i="2"/>
  <c r="D592" i="1" s="1"/>
  <c r="C592" i="2"/>
  <c r="C592" i="1" s="1"/>
  <c r="O591" i="2"/>
  <c r="O591" i="1" s="1"/>
  <c r="N591" i="2"/>
  <c r="N591" i="1" s="1"/>
  <c r="M591" i="2"/>
  <c r="M591" i="1" s="1"/>
  <c r="L591" i="2"/>
  <c r="K591"/>
  <c r="K591" i="1" s="1"/>
  <c r="J591" i="2"/>
  <c r="J591" i="1" s="1"/>
  <c r="I591" i="2"/>
  <c r="I591" i="1" s="1"/>
  <c r="H591" i="2"/>
  <c r="H591" i="1" s="1"/>
  <c r="G591" i="2"/>
  <c r="G591" i="1" s="1"/>
  <c r="F591" i="2"/>
  <c r="F591" i="1" s="1"/>
  <c r="E591" i="2"/>
  <c r="E591" i="1" s="1"/>
  <c r="D591" i="2"/>
  <c r="D591" i="1" s="1"/>
  <c r="C591" i="2"/>
  <c r="C591" i="1" s="1"/>
  <c r="O590" i="2"/>
  <c r="O590" i="1" s="1"/>
  <c r="N590" i="2"/>
  <c r="N590" i="1" s="1"/>
  <c r="M590" i="2"/>
  <c r="M590" i="1" s="1"/>
  <c r="L590" i="2"/>
  <c r="K590"/>
  <c r="K590" i="1" s="1"/>
  <c r="J590" i="2"/>
  <c r="J590" i="1" s="1"/>
  <c r="I590" i="2"/>
  <c r="I590" i="1" s="1"/>
  <c r="H590" i="2"/>
  <c r="H590" i="1" s="1"/>
  <c r="G590" i="2"/>
  <c r="G590" i="1" s="1"/>
  <c r="F590" i="2"/>
  <c r="F590" i="1" s="1"/>
  <c r="E590" i="2"/>
  <c r="E590" i="1" s="1"/>
  <c r="D590" i="2"/>
  <c r="D590" i="1" s="1"/>
  <c r="C590" i="2"/>
  <c r="C590" i="1" s="1"/>
  <c r="O589" i="2"/>
  <c r="O589" i="1" s="1"/>
  <c r="N589" i="2"/>
  <c r="N589" i="1" s="1"/>
  <c r="M589" i="2"/>
  <c r="M589" i="1" s="1"/>
  <c r="L589" i="2"/>
  <c r="K589"/>
  <c r="K589" i="1" s="1"/>
  <c r="J589" i="2"/>
  <c r="J589" i="1" s="1"/>
  <c r="I589" i="2"/>
  <c r="I589" i="1" s="1"/>
  <c r="H589" i="2"/>
  <c r="H589" i="1" s="1"/>
  <c r="G589" i="2"/>
  <c r="G589" i="1" s="1"/>
  <c r="F589" i="2"/>
  <c r="F589" i="1" s="1"/>
  <c r="E589" i="2"/>
  <c r="E589" i="1" s="1"/>
  <c r="D589" i="2"/>
  <c r="D589" i="1" s="1"/>
  <c r="C589" i="2"/>
  <c r="C589" i="1" s="1"/>
  <c r="O588" i="2"/>
  <c r="O588" i="1" s="1"/>
  <c r="N588" i="2"/>
  <c r="N588" i="1" s="1"/>
  <c r="M588" i="2"/>
  <c r="M588" i="1" s="1"/>
  <c r="L588" i="2"/>
  <c r="K588"/>
  <c r="K588" i="1" s="1"/>
  <c r="J588" i="2"/>
  <c r="J588" i="1" s="1"/>
  <c r="I588" i="2"/>
  <c r="I588" i="1" s="1"/>
  <c r="H588" i="2"/>
  <c r="H588" i="1" s="1"/>
  <c r="G588" i="2"/>
  <c r="G588" i="1" s="1"/>
  <c r="F588" i="2"/>
  <c r="F588" i="1" s="1"/>
  <c r="E588" i="2"/>
  <c r="E588" i="1" s="1"/>
  <c r="D588" i="2"/>
  <c r="D588" i="1" s="1"/>
  <c r="C588" i="2"/>
  <c r="C588" i="1" s="1"/>
  <c r="O587" i="2"/>
  <c r="O587" i="1" s="1"/>
  <c r="N587" i="2"/>
  <c r="N587" i="1" s="1"/>
  <c r="M587" i="2"/>
  <c r="M587" i="1" s="1"/>
  <c r="L587" i="2"/>
  <c r="K587"/>
  <c r="K587" i="1" s="1"/>
  <c r="J587" i="2"/>
  <c r="J587" i="1" s="1"/>
  <c r="I587" i="2"/>
  <c r="I587" i="1" s="1"/>
  <c r="H587" i="2"/>
  <c r="H587" i="1" s="1"/>
  <c r="G587" i="2"/>
  <c r="G587" i="1" s="1"/>
  <c r="F587" i="2"/>
  <c r="F587" i="1" s="1"/>
  <c r="E587" i="2"/>
  <c r="E587" i="1" s="1"/>
  <c r="D587" i="2"/>
  <c r="D587" i="1" s="1"/>
  <c r="C587" i="2"/>
  <c r="C587" i="1" s="1"/>
  <c r="O586" i="2"/>
  <c r="O586" i="1" s="1"/>
  <c r="N586" i="2"/>
  <c r="N586" i="1" s="1"/>
  <c r="M586" i="2"/>
  <c r="M586" i="1" s="1"/>
  <c r="L586" i="2"/>
  <c r="K586"/>
  <c r="K586" i="1" s="1"/>
  <c r="J586" i="2"/>
  <c r="J586" i="1" s="1"/>
  <c r="I586" i="2"/>
  <c r="I586" i="1" s="1"/>
  <c r="H586" i="2"/>
  <c r="H586" i="1" s="1"/>
  <c r="G586" i="2"/>
  <c r="G586" i="1" s="1"/>
  <c r="F586" i="2"/>
  <c r="F586" i="1" s="1"/>
  <c r="E586" i="2"/>
  <c r="E586" i="1" s="1"/>
  <c r="D586" i="2"/>
  <c r="D586" i="1" s="1"/>
  <c r="C586" i="2"/>
  <c r="C586" i="1" s="1"/>
  <c r="O585" i="2"/>
  <c r="O585" i="1" s="1"/>
  <c r="N585" i="2"/>
  <c r="N585" i="1" s="1"/>
  <c r="M585" i="2"/>
  <c r="M585" i="1" s="1"/>
  <c r="L585" i="2"/>
  <c r="K585"/>
  <c r="K585" i="1" s="1"/>
  <c r="J585" i="2"/>
  <c r="J585" i="1" s="1"/>
  <c r="I585" i="2"/>
  <c r="I585" i="1" s="1"/>
  <c r="H585" i="2"/>
  <c r="H585" i="1" s="1"/>
  <c r="G585" i="2"/>
  <c r="G585" i="1" s="1"/>
  <c r="F585" i="2"/>
  <c r="F585" i="1" s="1"/>
  <c r="E585" i="2"/>
  <c r="E585" i="1" s="1"/>
  <c r="D585" i="2"/>
  <c r="D585" i="1" s="1"/>
  <c r="C585" i="2"/>
  <c r="C585" i="1" s="1"/>
  <c r="O584" i="2"/>
  <c r="O584" i="1" s="1"/>
  <c r="N584" i="2"/>
  <c r="N584" i="1" s="1"/>
  <c r="M584" i="2"/>
  <c r="M584" i="1" s="1"/>
  <c r="L584" i="2"/>
  <c r="K584"/>
  <c r="K584" i="1" s="1"/>
  <c r="J584" i="2"/>
  <c r="J584" i="1" s="1"/>
  <c r="I584" i="2"/>
  <c r="I584" i="1" s="1"/>
  <c r="H584" i="2"/>
  <c r="H584" i="1" s="1"/>
  <c r="G584" i="2"/>
  <c r="G584" i="1" s="1"/>
  <c r="F584" i="2"/>
  <c r="F584" i="1" s="1"/>
  <c r="E584" i="2"/>
  <c r="E584" i="1" s="1"/>
  <c r="D584" i="2"/>
  <c r="D584" i="1" s="1"/>
  <c r="C584" i="2"/>
  <c r="C584" i="1" s="1"/>
  <c r="O583" i="2"/>
  <c r="O583" i="1" s="1"/>
  <c r="N583" i="2"/>
  <c r="N583" i="1" s="1"/>
  <c r="M583" i="2"/>
  <c r="M583" i="1" s="1"/>
  <c r="L583" i="2"/>
  <c r="K583"/>
  <c r="K583" i="1" s="1"/>
  <c r="J583" i="2"/>
  <c r="J583" i="1" s="1"/>
  <c r="I583" i="2"/>
  <c r="I583" i="1" s="1"/>
  <c r="H583" i="2"/>
  <c r="H583" i="1" s="1"/>
  <c r="G583" i="2"/>
  <c r="G583" i="1" s="1"/>
  <c r="F583" i="2"/>
  <c r="F583" i="1" s="1"/>
  <c r="E583" i="2"/>
  <c r="E583" i="1" s="1"/>
  <c r="D583" i="2"/>
  <c r="D583" i="1" s="1"/>
  <c r="C583" i="2"/>
  <c r="C583" i="1" s="1"/>
  <c r="O582" i="2"/>
  <c r="O582" i="1" s="1"/>
  <c r="N582" i="2"/>
  <c r="N582" i="1" s="1"/>
  <c r="M582" i="2"/>
  <c r="M582" i="1" s="1"/>
  <c r="L582" i="2"/>
  <c r="K582"/>
  <c r="K582" i="1" s="1"/>
  <c r="J582" i="2"/>
  <c r="J582" i="1" s="1"/>
  <c r="I582" i="2"/>
  <c r="I582" i="1" s="1"/>
  <c r="H582" i="2"/>
  <c r="H582" i="1" s="1"/>
  <c r="G582" i="2"/>
  <c r="G582" i="1" s="1"/>
  <c r="F582" i="2"/>
  <c r="F582" i="1" s="1"/>
  <c r="E582" i="2"/>
  <c r="E582" i="1" s="1"/>
  <c r="D582" i="2"/>
  <c r="D582" i="1" s="1"/>
  <c r="C582" i="2"/>
  <c r="C582" i="1" s="1"/>
  <c r="O581" i="2"/>
  <c r="O581" i="1" s="1"/>
  <c r="N581" i="2"/>
  <c r="N581" i="1" s="1"/>
  <c r="M581" i="2"/>
  <c r="M581" i="1" s="1"/>
  <c r="L581" i="2"/>
  <c r="K581"/>
  <c r="K581" i="1" s="1"/>
  <c r="J581" i="2"/>
  <c r="J581" i="1" s="1"/>
  <c r="I581" i="2"/>
  <c r="I581" i="1" s="1"/>
  <c r="H581" i="2"/>
  <c r="H581" i="1" s="1"/>
  <c r="G581" i="2"/>
  <c r="G581" i="1" s="1"/>
  <c r="F581" i="2"/>
  <c r="F581" i="1" s="1"/>
  <c r="E581" i="2"/>
  <c r="E581" i="1" s="1"/>
  <c r="D581" i="2"/>
  <c r="D581" i="1" s="1"/>
  <c r="C581" i="2"/>
  <c r="C581" i="1" s="1"/>
  <c r="O580" i="2"/>
  <c r="O580" i="1" s="1"/>
  <c r="N580" i="2"/>
  <c r="N580" i="1" s="1"/>
  <c r="M580" i="2"/>
  <c r="M580" i="1" s="1"/>
  <c r="L580" i="2"/>
  <c r="K580"/>
  <c r="K580" i="1" s="1"/>
  <c r="J580" i="2"/>
  <c r="J580" i="1" s="1"/>
  <c r="I580" i="2"/>
  <c r="I580" i="1" s="1"/>
  <c r="H580" i="2"/>
  <c r="H580" i="1" s="1"/>
  <c r="G580" i="2"/>
  <c r="G580" i="1" s="1"/>
  <c r="F580" i="2"/>
  <c r="F580" i="1" s="1"/>
  <c r="E580" i="2"/>
  <c r="E580" i="1" s="1"/>
  <c r="D580" i="2"/>
  <c r="D580" i="1" s="1"/>
  <c r="C580" i="2"/>
  <c r="C580" i="1" s="1"/>
  <c r="O579" i="2"/>
  <c r="O579" i="1" s="1"/>
  <c r="N579" i="2"/>
  <c r="N579" i="1" s="1"/>
  <c r="M579" i="2"/>
  <c r="M579" i="1" s="1"/>
  <c r="L579" i="2"/>
  <c r="K579"/>
  <c r="K579" i="1" s="1"/>
  <c r="J579" i="2"/>
  <c r="J579" i="1" s="1"/>
  <c r="I579" i="2"/>
  <c r="I579" i="1" s="1"/>
  <c r="H579" i="2"/>
  <c r="H579" i="1" s="1"/>
  <c r="G579" i="2"/>
  <c r="G579" i="1" s="1"/>
  <c r="F579" i="2"/>
  <c r="F579" i="1" s="1"/>
  <c r="E579" i="2"/>
  <c r="E579" i="1" s="1"/>
  <c r="D579" i="2"/>
  <c r="D579" i="1" s="1"/>
  <c r="C579" i="2"/>
  <c r="C579" i="1" s="1"/>
  <c r="O578" i="2"/>
  <c r="O578" i="1" s="1"/>
  <c r="N578" i="2"/>
  <c r="N578" i="1" s="1"/>
  <c r="M578" i="2"/>
  <c r="M578" i="1" s="1"/>
  <c r="L578" i="2"/>
  <c r="K578"/>
  <c r="K578" i="1" s="1"/>
  <c r="J578" i="2"/>
  <c r="J578" i="1" s="1"/>
  <c r="I578" i="2"/>
  <c r="I578" i="1" s="1"/>
  <c r="H578" i="2"/>
  <c r="H578" i="1" s="1"/>
  <c r="G578" i="2"/>
  <c r="G578" i="1" s="1"/>
  <c r="F578" i="2"/>
  <c r="F578" i="1" s="1"/>
  <c r="E578" i="2"/>
  <c r="E578" i="1" s="1"/>
  <c r="D578" i="2"/>
  <c r="D578" i="1" s="1"/>
  <c r="C578" i="2"/>
  <c r="C578" i="1" s="1"/>
  <c r="O577" i="2"/>
  <c r="O577" i="1" s="1"/>
  <c r="N577" i="2"/>
  <c r="N577" i="1" s="1"/>
  <c r="M577" i="2"/>
  <c r="M577" i="1" s="1"/>
  <c r="L577" i="2"/>
  <c r="K577"/>
  <c r="K577" i="1" s="1"/>
  <c r="J577" i="2"/>
  <c r="J577" i="1" s="1"/>
  <c r="I577" i="2"/>
  <c r="I577" i="1" s="1"/>
  <c r="H577" i="2"/>
  <c r="H577" i="1" s="1"/>
  <c r="G577" i="2"/>
  <c r="G577" i="1" s="1"/>
  <c r="F577" i="2"/>
  <c r="F577" i="1" s="1"/>
  <c r="E577" i="2"/>
  <c r="E577" i="1" s="1"/>
  <c r="D577" i="2"/>
  <c r="D577" i="1" s="1"/>
  <c r="C577" i="2"/>
  <c r="C577" i="1" s="1"/>
  <c r="O576" i="2"/>
  <c r="O576" i="1" s="1"/>
  <c r="N576" i="2"/>
  <c r="N576" i="1" s="1"/>
  <c r="M576" i="2"/>
  <c r="M576" i="1" s="1"/>
  <c r="L576" i="2"/>
  <c r="K576"/>
  <c r="K576" i="1" s="1"/>
  <c r="J576" i="2"/>
  <c r="J576" i="1" s="1"/>
  <c r="I576" i="2"/>
  <c r="I576" i="1" s="1"/>
  <c r="H576" i="2"/>
  <c r="H576" i="1" s="1"/>
  <c r="G576" i="2"/>
  <c r="G576" i="1" s="1"/>
  <c r="F576" i="2"/>
  <c r="F576" i="1" s="1"/>
  <c r="E576" i="2"/>
  <c r="E576" i="1" s="1"/>
  <c r="D576" i="2"/>
  <c r="D576" i="1" s="1"/>
  <c r="C576" i="2"/>
  <c r="C576" i="1" s="1"/>
  <c r="O575" i="2"/>
  <c r="O575" i="1" s="1"/>
  <c r="N575" i="2"/>
  <c r="N575" i="1" s="1"/>
  <c r="M575" i="2"/>
  <c r="M575" i="1" s="1"/>
  <c r="L575" i="2"/>
  <c r="K575"/>
  <c r="K575" i="1" s="1"/>
  <c r="J575" i="2"/>
  <c r="J575" i="1" s="1"/>
  <c r="I575" i="2"/>
  <c r="I575" i="1" s="1"/>
  <c r="H575" i="2"/>
  <c r="H575" i="1" s="1"/>
  <c r="G575" i="2"/>
  <c r="G575" i="1" s="1"/>
  <c r="F575" i="2"/>
  <c r="F575" i="1" s="1"/>
  <c r="E575" i="2"/>
  <c r="E575" i="1" s="1"/>
  <c r="D575" i="2"/>
  <c r="D575" i="1" s="1"/>
  <c r="C575" i="2"/>
  <c r="C575" i="1" s="1"/>
  <c r="O574" i="2"/>
  <c r="O574" i="1" s="1"/>
  <c r="N574" i="2"/>
  <c r="N574" i="1" s="1"/>
  <c r="M574" i="2"/>
  <c r="M574" i="1" s="1"/>
  <c r="L574" i="2"/>
  <c r="K574"/>
  <c r="K574" i="1" s="1"/>
  <c r="J574" i="2"/>
  <c r="J574" i="1" s="1"/>
  <c r="I574" i="2"/>
  <c r="I574" i="1" s="1"/>
  <c r="H574" i="2"/>
  <c r="H574" i="1" s="1"/>
  <c r="G574" i="2"/>
  <c r="G574" i="1" s="1"/>
  <c r="F574" i="2"/>
  <c r="F574" i="1" s="1"/>
  <c r="E574" i="2"/>
  <c r="E574" i="1" s="1"/>
  <c r="D574" i="2"/>
  <c r="D574" i="1" s="1"/>
  <c r="C574" i="2"/>
  <c r="C574" i="1" s="1"/>
  <c r="O573" i="2"/>
  <c r="O573" i="1" s="1"/>
  <c r="N573" i="2"/>
  <c r="N573" i="1" s="1"/>
  <c r="M573" i="2"/>
  <c r="M573" i="1" s="1"/>
  <c r="L573" i="2"/>
  <c r="K573"/>
  <c r="K573" i="1" s="1"/>
  <c r="J573" i="2"/>
  <c r="J573" i="1" s="1"/>
  <c r="I573" i="2"/>
  <c r="I573" i="1" s="1"/>
  <c r="H573" i="2"/>
  <c r="H573" i="1" s="1"/>
  <c r="G573" i="2"/>
  <c r="G573" i="1" s="1"/>
  <c r="F573" i="2"/>
  <c r="F573" i="1" s="1"/>
  <c r="E573" i="2"/>
  <c r="E573" i="1" s="1"/>
  <c r="D573" i="2"/>
  <c r="D573" i="1" s="1"/>
  <c r="C573" i="2"/>
  <c r="C573" i="1" s="1"/>
  <c r="O572" i="2"/>
  <c r="O572" i="1" s="1"/>
  <c r="N572" i="2"/>
  <c r="N572" i="1" s="1"/>
  <c r="M572" i="2"/>
  <c r="M572" i="1" s="1"/>
  <c r="L572" i="2"/>
  <c r="K572"/>
  <c r="K572" i="1" s="1"/>
  <c r="J572" i="2"/>
  <c r="J572" i="1" s="1"/>
  <c r="I572" i="2"/>
  <c r="I572" i="1" s="1"/>
  <c r="H572" i="2"/>
  <c r="H572" i="1" s="1"/>
  <c r="G572" i="2"/>
  <c r="G572" i="1" s="1"/>
  <c r="F572" i="2"/>
  <c r="F572" i="1" s="1"/>
  <c r="E572" i="2"/>
  <c r="E572" i="1" s="1"/>
  <c r="D572" i="2"/>
  <c r="D572" i="1" s="1"/>
  <c r="C572" i="2"/>
  <c r="C572" i="1" s="1"/>
  <c r="O571" i="2"/>
  <c r="O571" i="1" s="1"/>
  <c r="N571" i="2"/>
  <c r="N571" i="1" s="1"/>
  <c r="M571" i="2"/>
  <c r="M571" i="1" s="1"/>
  <c r="L571" i="2"/>
  <c r="K571"/>
  <c r="K571" i="1" s="1"/>
  <c r="J571" i="2"/>
  <c r="J571" i="1" s="1"/>
  <c r="I571" i="2"/>
  <c r="I571" i="1" s="1"/>
  <c r="H571" i="2"/>
  <c r="H571" i="1" s="1"/>
  <c r="G571" i="2"/>
  <c r="G571" i="1" s="1"/>
  <c r="F571" i="2"/>
  <c r="F571" i="1" s="1"/>
  <c r="E571" i="2"/>
  <c r="E571" i="1" s="1"/>
  <c r="D571" i="2"/>
  <c r="D571" i="1" s="1"/>
  <c r="C571" i="2"/>
  <c r="C571" i="1" s="1"/>
  <c r="O570" i="2"/>
  <c r="O570" i="1" s="1"/>
  <c r="N570" i="2"/>
  <c r="N570" i="1" s="1"/>
  <c r="M570" i="2"/>
  <c r="M570" i="1" s="1"/>
  <c r="L570" i="2"/>
  <c r="K570"/>
  <c r="K570" i="1" s="1"/>
  <c r="J570" i="2"/>
  <c r="J570" i="1" s="1"/>
  <c r="I570" i="2"/>
  <c r="I570" i="1" s="1"/>
  <c r="H570" i="2"/>
  <c r="H570" i="1" s="1"/>
  <c r="G570" i="2"/>
  <c r="G570" i="1" s="1"/>
  <c r="F570" i="2"/>
  <c r="F570" i="1" s="1"/>
  <c r="E570" i="2"/>
  <c r="E570" i="1" s="1"/>
  <c r="D570" i="2"/>
  <c r="D570" i="1" s="1"/>
  <c r="C570" i="2"/>
  <c r="C570" i="1" s="1"/>
  <c r="O569" i="2"/>
  <c r="O569" i="1" s="1"/>
  <c r="N569" i="2"/>
  <c r="N569" i="1" s="1"/>
  <c r="M569" i="2"/>
  <c r="M569" i="1" s="1"/>
  <c r="L569" i="2"/>
  <c r="K569"/>
  <c r="K569" i="1" s="1"/>
  <c r="J569" i="2"/>
  <c r="J569" i="1" s="1"/>
  <c r="I569" i="2"/>
  <c r="I569" i="1" s="1"/>
  <c r="H569" i="2"/>
  <c r="H569" i="1" s="1"/>
  <c r="G569" i="2"/>
  <c r="G569" i="1" s="1"/>
  <c r="F569" i="2"/>
  <c r="F569" i="1" s="1"/>
  <c r="E569" i="2"/>
  <c r="E569" i="1" s="1"/>
  <c r="D569" i="2"/>
  <c r="D569" i="1" s="1"/>
  <c r="C569" i="2"/>
  <c r="C569" i="1" s="1"/>
  <c r="O568" i="2"/>
  <c r="O568" i="1" s="1"/>
  <c r="N568" i="2"/>
  <c r="N568" i="1" s="1"/>
  <c r="M568" i="2"/>
  <c r="M568" i="1" s="1"/>
  <c r="L568" i="2"/>
  <c r="K568"/>
  <c r="K568" i="1" s="1"/>
  <c r="J568" i="2"/>
  <c r="J568" i="1" s="1"/>
  <c r="I568" i="2"/>
  <c r="I568" i="1" s="1"/>
  <c r="H568" i="2"/>
  <c r="H568" i="1" s="1"/>
  <c r="G568" i="2"/>
  <c r="G568" i="1" s="1"/>
  <c r="F568" i="2"/>
  <c r="F568" i="1" s="1"/>
  <c r="E568" i="2"/>
  <c r="E568" i="1" s="1"/>
  <c r="D568" i="2"/>
  <c r="D568" i="1" s="1"/>
  <c r="C568" i="2"/>
  <c r="C568" i="1" s="1"/>
  <c r="O567" i="2"/>
  <c r="O567" i="1" s="1"/>
  <c r="N567" i="2"/>
  <c r="N567" i="1" s="1"/>
  <c r="M567" i="2"/>
  <c r="M567" i="1" s="1"/>
  <c r="L567" i="2"/>
  <c r="K567"/>
  <c r="K567" i="1" s="1"/>
  <c r="J567" i="2"/>
  <c r="J567" i="1" s="1"/>
  <c r="I567" i="2"/>
  <c r="I567" i="1" s="1"/>
  <c r="H567" i="2"/>
  <c r="H567" i="1" s="1"/>
  <c r="G567" i="2"/>
  <c r="G567" i="1" s="1"/>
  <c r="F567" i="2"/>
  <c r="F567" i="1" s="1"/>
  <c r="E567" i="2"/>
  <c r="E567" i="1" s="1"/>
  <c r="D567" i="2"/>
  <c r="D567" i="1" s="1"/>
  <c r="C567" i="2"/>
  <c r="C567" i="1" s="1"/>
  <c r="O566" i="2"/>
  <c r="O566" i="1" s="1"/>
  <c r="N566" i="2"/>
  <c r="N566" i="1" s="1"/>
  <c r="M566" i="2"/>
  <c r="M566" i="1" s="1"/>
  <c r="L566" i="2"/>
  <c r="K566"/>
  <c r="K566" i="1" s="1"/>
  <c r="J566" i="2"/>
  <c r="J566" i="1" s="1"/>
  <c r="I566" i="2"/>
  <c r="I566" i="1" s="1"/>
  <c r="H566" i="2"/>
  <c r="H566" i="1" s="1"/>
  <c r="G566" i="2"/>
  <c r="G566" i="1" s="1"/>
  <c r="F566" i="2"/>
  <c r="F566" i="1" s="1"/>
  <c r="E566" i="2"/>
  <c r="E566" i="1" s="1"/>
  <c r="D566" i="2"/>
  <c r="D566" i="1" s="1"/>
  <c r="C566" i="2"/>
  <c r="C566" i="1" s="1"/>
  <c r="O565" i="2"/>
  <c r="O565" i="1" s="1"/>
  <c r="N565" i="2"/>
  <c r="N565" i="1" s="1"/>
  <c r="M565" i="2"/>
  <c r="M565" i="1" s="1"/>
  <c r="L565" i="2"/>
  <c r="K565"/>
  <c r="K565" i="1" s="1"/>
  <c r="J565" i="2"/>
  <c r="J565" i="1" s="1"/>
  <c r="I565" i="2"/>
  <c r="I565" i="1" s="1"/>
  <c r="H565" i="2"/>
  <c r="H565" i="1" s="1"/>
  <c r="G565" i="2"/>
  <c r="G565" i="1" s="1"/>
  <c r="F565" i="2"/>
  <c r="F565" i="1" s="1"/>
  <c r="E565" i="2"/>
  <c r="E565" i="1" s="1"/>
  <c r="D565" i="2"/>
  <c r="D565" i="1" s="1"/>
  <c r="C565" i="2"/>
  <c r="C565" i="1" s="1"/>
  <c r="O564" i="2"/>
  <c r="O564" i="1" s="1"/>
  <c r="N564" i="2"/>
  <c r="N564" i="1" s="1"/>
  <c r="M564" i="2"/>
  <c r="M564" i="1" s="1"/>
  <c r="L564" i="2"/>
  <c r="K564"/>
  <c r="K564" i="1" s="1"/>
  <c r="J564" i="2"/>
  <c r="J564" i="1" s="1"/>
  <c r="I564" i="2"/>
  <c r="I564" i="1" s="1"/>
  <c r="H564" i="2"/>
  <c r="H564" i="1" s="1"/>
  <c r="G564" i="2"/>
  <c r="G564" i="1" s="1"/>
  <c r="F564" i="2"/>
  <c r="F564" i="1" s="1"/>
  <c r="E564" i="2"/>
  <c r="E564" i="1" s="1"/>
  <c r="D564" i="2"/>
  <c r="D564" i="1" s="1"/>
  <c r="C564" i="2"/>
  <c r="C564" i="1" s="1"/>
  <c r="O563" i="2"/>
  <c r="O563" i="1" s="1"/>
  <c r="N563" i="2"/>
  <c r="N563" i="1" s="1"/>
  <c r="M563" i="2"/>
  <c r="M563" i="1" s="1"/>
  <c r="L563" i="2"/>
  <c r="K563"/>
  <c r="K563" i="1" s="1"/>
  <c r="J563" i="2"/>
  <c r="J563" i="1" s="1"/>
  <c r="I563" i="2"/>
  <c r="I563" i="1" s="1"/>
  <c r="H563" i="2"/>
  <c r="H563" i="1" s="1"/>
  <c r="G563" i="2"/>
  <c r="G563" i="1" s="1"/>
  <c r="F563" i="2"/>
  <c r="F563" i="1" s="1"/>
  <c r="E563" i="2"/>
  <c r="E563" i="1" s="1"/>
  <c r="D563" i="2"/>
  <c r="D563" i="1" s="1"/>
  <c r="C563" i="2"/>
  <c r="C563" i="1" s="1"/>
  <c r="O562" i="2"/>
  <c r="O562" i="1" s="1"/>
  <c r="N562" i="2"/>
  <c r="N562" i="1" s="1"/>
  <c r="M562" i="2"/>
  <c r="M562" i="1" s="1"/>
  <c r="L562" i="2"/>
  <c r="K562"/>
  <c r="K562" i="1" s="1"/>
  <c r="J562" i="2"/>
  <c r="J562" i="1" s="1"/>
  <c r="I562" i="2"/>
  <c r="I562" i="1" s="1"/>
  <c r="H562" i="2"/>
  <c r="H562" i="1" s="1"/>
  <c r="G562" i="2"/>
  <c r="G562" i="1" s="1"/>
  <c r="F562" i="2"/>
  <c r="F562" i="1" s="1"/>
  <c r="E562" i="2"/>
  <c r="E562" i="1" s="1"/>
  <c r="D562" i="2"/>
  <c r="D562" i="1" s="1"/>
  <c r="C562" i="2"/>
  <c r="C562" i="1" s="1"/>
  <c r="O561" i="2"/>
  <c r="O561" i="1" s="1"/>
  <c r="N561" i="2"/>
  <c r="N561" i="1" s="1"/>
  <c r="M561" i="2"/>
  <c r="M561" i="1" s="1"/>
  <c r="L561" i="2"/>
  <c r="K561"/>
  <c r="K561" i="1" s="1"/>
  <c r="J561" i="2"/>
  <c r="J561" i="1" s="1"/>
  <c r="I561" i="2"/>
  <c r="I561" i="1" s="1"/>
  <c r="H561" i="2"/>
  <c r="H561" i="1" s="1"/>
  <c r="G561" i="2"/>
  <c r="G561" i="1" s="1"/>
  <c r="F561" i="2"/>
  <c r="F561" i="1" s="1"/>
  <c r="E561" i="2"/>
  <c r="E561" i="1" s="1"/>
  <c r="D561" i="2"/>
  <c r="D561" i="1" s="1"/>
  <c r="C561" i="2"/>
  <c r="C561" i="1" s="1"/>
  <c r="O560" i="2"/>
  <c r="O560" i="1" s="1"/>
  <c r="N560" i="2"/>
  <c r="N560" i="1" s="1"/>
  <c r="M560" i="2"/>
  <c r="M560" i="1" s="1"/>
  <c r="L560" i="2"/>
  <c r="K560"/>
  <c r="K560" i="1" s="1"/>
  <c r="J560" i="2"/>
  <c r="J560" i="1" s="1"/>
  <c r="I560" i="2"/>
  <c r="I560" i="1" s="1"/>
  <c r="H560" i="2"/>
  <c r="H560" i="1" s="1"/>
  <c r="G560" i="2"/>
  <c r="G560" i="1" s="1"/>
  <c r="F560" i="2"/>
  <c r="F560" i="1" s="1"/>
  <c r="E560" i="2"/>
  <c r="E560" i="1" s="1"/>
  <c r="D560" i="2"/>
  <c r="D560" i="1" s="1"/>
  <c r="C560" i="2"/>
  <c r="C560" i="1" s="1"/>
  <c r="O559" i="2"/>
  <c r="O559" i="1" s="1"/>
  <c r="N559" i="2"/>
  <c r="N559" i="1" s="1"/>
  <c r="M559" i="2"/>
  <c r="M559" i="1" s="1"/>
  <c r="L559" i="2"/>
  <c r="K559"/>
  <c r="K559" i="1" s="1"/>
  <c r="J559" i="2"/>
  <c r="J559" i="1" s="1"/>
  <c r="I559" i="2"/>
  <c r="I559" i="1" s="1"/>
  <c r="H559" i="2"/>
  <c r="H559" i="1" s="1"/>
  <c r="G559" i="2"/>
  <c r="G559" i="1" s="1"/>
  <c r="F559" i="2"/>
  <c r="F559" i="1" s="1"/>
  <c r="E559" i="2"/>
  <c r="E559" i="1" s="1"/>
  <c r="D559" i="2"/>
  <c r="D559" i="1" s="1"/>
  <c r="C559" i="2"/>
  <c r="C559" i="1" s="1"/>
  <c r="O558" i="2"/>
  <c r="O558" i="1" s="1"/>
  <c r="N558" i="2"/>
  <c r="N558" i="1" s="1"/>
  <c r="M558" i="2"/>
  <c r="M558" i="1" s="1"/>
  <c r="L558" i="2"/>
  <c r="K558"/>
  <c r="K558" i="1" s="1"/>
  <c r="J558" i="2"/>
  <c r="J558" i="1" s="1"/>
  <c r="I558" i="2"/>
  <c r="I558" i="1" s="1"/>
  <c r="H558" i="2"/>
  <c r="H558" i="1" s="1"/>
  <c r="G558" i="2"/>
  <c r="G558" i="1" s="1"/>
  <c r="F558" i="2"/>
  <c r="F558" i="1" s="1"/>
  <c r="E558" i="2"/>
  <c r="E558" i="1" s="1"/>
  <c r="D558" i="2"/>
  <c r="D558" i="1" s="1"/>
  <c r="C558" i="2"/>
  <c r="C558" i="1" s="1"/>
  <c r="O557" i="2"/>
  <c r="O557" i="1" s="1"/>
  <c r="N557" i="2"/>
  <c r="N557" i="1" s="1"/>
  <c r="M557" i="2"/>
  <c r="M557" i="1" s="1"/>
  <c r="L557" i="2"/>
  <c r="K557"/>
  <c r="K557" i="1" s="1"/>
  <c r="J557" i="2"/>
  <c r="J557" i="1" s="1"/>
  <c r="I557" i="2"/>
  <c r="I557" i="1" s="1"/>
  <c r="H557" i="2"/>
  <c r="H557" i="1" s="1"/>
  <c r="G557" i="2"/>
  <c r="G557" i="1" s="1"/>
  <c r="F557" i="2"/>
  <c r="F557" i="1" s="1"/>
  <c r="E557" i="2"/>
  <c r="E557" i="1" s="1"/>
  <c r="D557" i="2"/>
  <c r="D557" i="1" s="1"/>
  <c r="C557" i="2"/>
  <c r="C557" i="1" s="1"/>
  <c r="O556" i="2"/>
  <c r="O556" i="1" s="1"/>
  <c r="N556" i="2"/>
  <c r="N556" i="1" s="1"/>
  <c r="M556" i="2"/>
  <c r="M556" i="1" s="1"/>
  <c r="L556" i="2"/>
  <c r="K556"/>
  <c r="K556" i="1" s="1"/>
  <c r="J556" i="2"/>
  <c r="J556" i="1" s="1"/>
  <c r="I556" i="2"/>
  <c r="I556" i="1" s="1"/>
  <c r="H556" i="2"/>
  <c r="H556" i="1" s="1"/>
  <c r="G556" i="2"/>
  <c r="G556" i="1" s="1"/>
  <c r="F556" i="2"/>
  <c r="F556" i="1" s="1"/>
  <c r="E556" i="2"/>
  <c r="E556" i="1" s="1"/>
  <c r="D556" i="2"/>
  <c r="D556" i="1" s="1"/>
  <c r="C556" i="2"/>
  <c r="C556" i="1" s="1"/>
  <c r="O555" i="2"/>
  <c r="O555" i="1" s="1"/>
  <c r="N555" i="2"/>
  <c r="N555" i="1" s="1"/>
  <c r="M555" i="2"/>
  <c r="M555" i="1" s="1"/>
  <c r="L555" i="2"/>
  <c r="K555"/>
  <c r="K555" i="1" s="1"/>
  <c r="J555" i="2"/>
  <c r="J555" i="1" s="1"/>
  <c r="I555" i="2"/>
  <c r="I555" i="1" s="1"/>
  <c r="H555" i="2"/>
  <c r="H555" i="1" s="1"/>
  <c r="G555" i="2"/>
  <c r="G555" i="1" s="1"/>
  <c r="F555" i="2"/>
  <c r="F555" i="1" s="1"/>
  <c r="E555" i="2"/>
  <c r="E555" i="1" s="1"/>
  <c r="D555" i="2"/>
  <c r="D555" i="1" s="1"/>
  <c r="C555" i="2"/>
  <c r="C555" i="1" s="1"/>
  <c r="O554" i="2"/>
  <c r="O554" i="1" s="1"/>
  <c r="N554" i="2"/>
  <c r="N554" i="1" s="1"/>
  <c r="M554" i="2"/>
  <c r="M554" i="1" s="1"/>
  <c r="L554" i="2"/>
  <c r="K554"/>
  <c r="K554" i="1" s="1"/>
  <c r="J554" i="2"/>
  <c r="J554" i="1" s="1"/>
  <c r="I554" i="2"/>
  <c r="I554" i="1" s="1"/>
  <c r="H554" i="2"/>
  <c r="H554" i="1" s="1"/>
  <c r="G554" i="2"/>
  <c r="G554" i="1" s="1"/>
  <c r="F554" i="2"/>
  <c r="F554" i="1" s="1"/>
  <c r="E554" i="2"/>
  <c r="E554" i="1" s="1"/>
  <c r="D554" i="2"/>
  <c r="D554" i="1" s="1"/>
  <c r="C554" i="2"/>
  <c r="C554" i="1" s="1"/>
  <c r="O553" i="2"/>
  <c r="O553" i="1" s="1"/>
  <c r="N553" i="2"/>
  <c r="N553" i="1" s="1"/>
  <c r="M553" i="2"/>
  <c r="M553" i="1" s="1"/>
  <c r="L553" i="2"/>
  <c r="K553"/>
  <c r="K553" i="1" s="1"/>
  <c r="J553" i="2"/>
  <c r="J553" i="1" s="1"/>
  <c r="I553" i="2"/>
  <c r="I553" i="1" s="1"/>
  <c r="H553" i="2"/>
  <c r="H553" i="1" s="1"/>
  <c r="G553" i="2"/>
  <c r="G553" i="1" s="1"/>
  <c r="F553" i="2"/>
  <c r="F553" i="1" s="1"/>
  <c r="E553" i="2"/>
  <c r="E553" i="1" s="1"/>
  <c r="D553" i="2"/>
  <c r="D553" i="1" s="1"/>
  <c r="C553" i="2"/>
  <c r="C553" i="1" s="1"/>
  <c r="O552" i="2"/>
  <c r="O552" i="1" s="1"/>
  <c r="N552" i="2"/>
  <c r="N552" i="1" s="1"/>
  <c r="M552" i="2"/>
  <c r="M552" i="1" s="1"/>
  <c r="L552" i="2"/>
  <c r="K552"/>
  <c r="K552" i="1" s="1"/>
  <c r="J552" i="2"/>
  <c r="J552" i="1" s="1"/>
  <c r="I552" i="2"/>
  <c r="I552" i="1" s="1"/>
  <c r="H552" i="2"/>
  <c r="H552" i="1" s="1"/>
  <c r="G552" i="2"/>
  <c r="G552" i="1" s="1"/>
  <c r="F552" i="2"/>
  <c r="F552" i="1" s="1"/>
  <c r="E552" i="2"/>
  <c r="E552" i="1" s="1"/>
  <c r="D552" i="2"/>
  <c r="D552" i="1" s="1"/>
  <c r="C552" i="2"/>
  <c r="C552" i="1" s="1"/>
  <c r="O551" i="2"/>
  <c r="O551" i="1" s="1"/>
  <c r="N551" i="2"/>
  <c r="N551" i="1" s="1"/>
  <c r="M551" i="2"/>
  <c r="M551" i="1" s="1"/>
  <c r="L551" i="2"/>
  <c r="K551"/>
  <c r="K551" i="1" s="1"/>
  <c r="J551" i="2"/>
  <c r="J551" i="1" s="1"/>
  <c r="I551" i="2"/>
  <c r="I551" i="1" s="1"/>
  <c r="H551" i="2"/>
  <c r="H551" i="1" s="1"/>
  <c r="G551" i="2"/>
  <c r="G551" i="1" s="1"/>
  <c r="F551" i="2"/>
  <c r="F551" i="1" s="1"/>
  <c r="E551" i="2"/>
  <c r="E551" i="1" s="1"/>
  <c r="D551" i="2"/>
  <c r="D551" i="1" s="1"/>
  <c r="C551" i="2"/>
  <c r="C551" i="1" s="1"/>
  <c r="O550" i="2"/>
  <c r="O550" i="1" s="1"/>
  <c r="N550" i="2"/>
  <c r="N550" i="1" s="1"/>
  <c r="M550" i="2"/>
  <c r="M550" i="1" s="1"/>
  <c r="L550" i="2"/>
  <c r="K550"/>
  <c r="K550" i="1" s="1"/>
  <c r="J550" i="2"/>
  <c r="J550" i="1" s="1"/>
  <c r="I550" i="2"/>
  <c r="I550" i="1" s="1"/>
  <c r="H550" i="2"/>
  <c r="H550" i="1" s="1"/>
  <c r="G550" i="2"/>
  <c r="G550" i="1" s="1"/>
  <c r="F550" i="2"/>
  <c r="F550" i="1" s="1"/>
  <c r="E550" i="2"/>
  <c r="E550" i="1" s="1"/>
  <c r="D550" i="2"/>
  <c r="D550" i="1" s="1"/>
  <c r="C550" i="2"/>
  <c r="C550" i="1" s="1"/>
  <c r="O549" i="2"/>
  <c r="O549" i="1" s="1"/>
  <c r="N549" i="2"/>
  <c r="N549" i="1" s="1"/>
  <c r="M549" i="2"/>
  <c r="M549" i="1" s="1"/>
  <c r="L549" i="2"/>
  <c r="K549"/>
  <c r="K549" i="1" s="1"/>
  <c r="J549" i="2"/>
  <c r="J549" i="1" s="1"/>
  <c r="I549" i="2"/>
  <c r="I549" i="1" s="1"/>
  <c r="H549" i="2"/>
  <c r="H549" i="1" s="1"/>
  <c r="G549" i="2"/>
  <c r="G549" i="1" s="1"/>
  <c r="F549" i="2"/>
  <c r="F549" i="1" s="1"/>
  <c r="E549" i="2"/>
  <c r="E549" i="1" s="1"/>
  <c r="D549" i="2"/>
  <c r="D549" i="1" s="1"/>
  <c r="C549" i="2"/>
  <c r="C549" i="1" s="1"/>
  <c r="O548" i="2"/>
  <c r="O548" i="1" s="1"/>
  <c r="N548" i="2"/>
  <c r="N548" i="1" s="1"/>
  <c r="M548" i="2"/>
  <c r="M548" i="1" s="1"/>
  <c r="L548" i="2"/>
  <c r="K548"/>
  <c r="K548" i="1" s="1"/>
  <c r="J548" i="2"/>
  <c r="J548" i="1" s="1"/>
  <c r="I548" i="2"/>
  <c r="I548" i="1" s="1"/>
  <c r="H548" i="2"/>
  <c r="H548" i="1" s="1"/>
  <c r="G548" i="2"/>
  <c r="G548" i="1" s="1"/>
  <c r="F548" i="2"/>
  <c r="F548" i="1" s="1"/>
  <c r="E548" i="2"/>
  <c r="E548" i="1" s="1"/>
  <c r="D548" i="2"/>
  <c r="D548" i="1" s="1"/>
  <c r="C548" i="2"/>
  <c r="C548" i="1" s="1"/>
  <c r="O547" i="2"/>
  <c r="O547" i="1" s="1"/>
  <c r="N547" i="2"/>
  <c r="N547" i="1" s="1"/>
  <c r="M547" i="2"/>
  <c r="M547" i="1" s="1"/>
  <c r="L547" i="2"/>
  <c r="K547"/>
  <c r="K547" i="1" s="1"/>
  <c r="J547" i="2"/>
  <c r="J547" i="1" s="1"/>
  <c r="I547" i="2"/>
  <c r="I547" i="1" s="1"/>
  <c r="H547" i="2"/>
  <c r="H547" i="1" s="1"/>
  <c r="G547" i="2"/>
  <c r="G547" i="1" s="1"/>
  <c r="F547" i="2"/>
  <c r="F547" i="1" s="1"/>
  <c r="E547" i="2"/>
  <c r="E547" i="1" s="1"/>
  <c r="D547" i="2"/>
  <c r="D547" i="1" s="1"/>
  <c r="C547" i="2"/>
  <c r="C547" i="1" s="1"/>
  <c r="O546" i="2"/>
  <c r="O546" i="1" s="1"/>
  <c r="N546" i="2"/>
  <c r="N546" i="1" s="1"/>
  <c r="M546" i="2"/>
  <c r="M546" i="1" s="1"/>
  <c r="L546" i="2"/>
  <c r="K546"/>
  <c r="K546" i="1" s="1"/>
  <c r="J546" i="2"/>
  <c r="J546" i="1" s="1"/>
  <c r="I546" i="2"/>
  <c r="I546" i="1" s="1"/>
  <c r="H546" i="2"/>
  <c r="H546" i="1" s="1"/>
  <c r="G546" i="2"/>
  <c r="G546" i="1" s="1"/>
  <c r="F546" i="2"/>
  <c r="F546" i="1" s="1"/>
  <c r="E546" i="2"/>
  <c r="E546" i="1" s="1"/>
  <c r="D546" i="2"/>
  <c r="D546" i="1" s="1"/>
  <c r="C546" i="2"/>
  <c r="C546" i="1" s="1"/>
  <c r="O545" i="2"/>
  <c r="O545" i="1" s="1"/>
  <c r="N545" i="2"/>
  <c r="N545" i="1" s="1"/>
  <c r="M545" i="2"/>
  <c r="M545" i="1" s="1"/>
  <c r="L545" i="2"/>
  <c r="K545"/>
  <c r="K545" i="1" s="1"/>
  <c r="J545" i="2"/>
  <c r="J545" i="1" s="1"/>
  <c r="I545" i="2"/>
  <c r="I545" i="1" s="1"/>
  <c r="H545" i="2"/>
  <c r="H545" i="1" s="1"/>
  <c r="G545" i="2"/>
  <c r="G545" i="1" s="1"/>
  <c r="F545" i="2"/>
  <c r="F545" i="1" s="1"/>
  <c r="E545" i="2"/>
  <c r="E545" i="1" s="1"/>
  <c r="D545" i="2"/>
  <c r="D545" i="1" s="1"/>
  <c r="C545" i="2"/>
  <c r="C545" i="1" s="1"/>
  <c r="O544" i="2"/>
  <c r="O544" i="1" s="1"/>
  <c r="N544" i="2"/>
  <c r="N544" i="1" s="1"/>
  <c r="M544" i="2"/>
  <c r="M544" i="1" s="1"/>
  <c r="L544" i="2"/>
  <c r="K544"/>
  <c r="K544" i="1" s="1"/>
  <c r="J544" i="2"/>
  <c r="J544" i="1" s="1"/>
  <c r="I544" i="2"/>
  <c r="I544" i="1" s="1"/>
  <c r="H544" i="2"/>
  <c r="H544" i="1" s="1"/>
  <c r="G544" i="2"/>
  <c r="G544" i="1" s="1"/>
  <c r="F544" i="2"/>
  <c r="F544" i="1" s="1"/>
  <c r="E544" i="2"/>
  <c r="E544" i="1" s="1"/>
  <c r="D544" i="2"/>
  <c r="D544" i="1" s="1"/>
  <c r="C544" i="2"/>
  <c r="C544" i="1" s="1"/>
  <c r="O543" i="2"/>
  <c r="O543" i="1" s="1"/>
  <c r="N543" i="2"/>
  <c r="N543" i="1" s="1"/>
  <c r="M543" i="2"/>
  <c r="M543" i="1" s="1"/>
  <c r="L543" i="2"/>
  <c r="K543"/>
  <c r="K543" i="1" s="1"/>
  <c r="J543" i="2"/>
  <c r="J543" i="1" s="1"/>
  <c r="I543" i="2"/>
  <c r="I543" i="1" s="1"/>
  <c r="H543" i="2"/>
  <c r="H543" i="1" s="1"/>
  <c r="G543" i="2"/>
  <c r="G543" i="1" s="1"/>
  <c r="F543" i="2"/>
  <c r="F543" i="1" s="1"/>
  <c r="E543" i="2"/>
  <c r="E543" i="1" s="1"/>
  <c r="D543" i="2"/>
  <c r="D543" i="1" s="1"/>
  <c r="C543" i="2"/>
  <c r="C543" i="1" s="1"/>
  <c r="O542" i="2"/>
  <c r="O542" i="1" s="1"/>
  <c r="N542" i="2"/>
  <c r="N542" i="1" s="1"/>
  <c r="M542" i="2"/>
  <c r="M542" i="1" s="1"/>
  <c r="L542" i="2"/>
  <c r="K542"/>
  <c r="K542" i="1" s="1"/>
  <c r="J542" i="2"/>
  <c r="J542" i="1" s="1"/>
  <c r="I542" i="2"/>
  <c r="I542" i="1" s="1"/>
  <c r="H542" i="2"/>
  <c r="H542" i="1" s="1"/>
  <c r="G542" i="2"/>
  <c r="G542" i="1" s="1"/>
  <c r="F542" i="2"/>
  <c r="F542" i="1" s="1"/>
  <c r="E542" i="2"/>
  <c r="E542" i="1" s="1"/>
  <c r="D542" i="2"/>
  <c r="D542" i="1" s="1"/>
  <c r="C542" i="2"/>
  <c r="C542" i="1" s="1"/>
  <c r="O541" i="2"/>
  <c r="O541" i="1" s="1"/>
  <c r="N541" i="2"/>
  <c r="N541" i="1" s="1"/>
  <c r="M541" i="2"/>
  <c r="M541" i="1" s="1"/>
  <c r="L541" i="2"/>
  <c r="K541"/>
  <c r="K541" i="1" s="1"/>
  <c r="J541" i="2"/>
  <c r="J541" i="1" s="1"/>
  <c r="I541" i="2"/>
  <c r="I541" i="1" s="1"/>
  <c r="H541" i="2"/>
  <c r="H541" i="1" s="1"/>
  <c r="G541" i="2"/>
  <c r="G541" i="1" s="1"/>
  <c r="F541" i="2"/>
  <c r="F541" i="1" s="1"/>
  <c r="E541" i="2"/>
  <c r="E541" i="1" s="1"/>
  <c r="D541" i="2"/>
  <c r="D541" i="1" s="1"/>
  <c r="C541" i="2"/>
  <c r="C541" i="1" s="1"/>
  <c r="O540" i="2"/>
  <c r="O540" i="1" s="1"/>
  <c r="N540" i="2"/>
  <c r="N540" i="1" s="1"/>
  <c r="M540" i="2"/>
  <c r="M540" i="1" s="1"/>
  <c r="L540" i="2"/>
  <c r="K540"/>
  <c r="K540" i="1" s="1"/>
  <c r="J540" i="2"/>
  <c r="J540" i="1" s="1"/>
  <c r="I540" i="2"/>
  <c r="I540" i="1" s="1"/>
  <c r="H540" i="2"/>
  <c r="H540" i="1" s="1"/>
  <c r="G540" i="2"/>
  <c r="G540" i="1" s="1"/>
  <c r="F540" i="2"/>
  <c r="F540" i="1" s="1"/>
  <c r="E540" i="2"/>
  <c r="E540" i="1" s="1"/>
  <c r="D540" i="2"/>
  <c r="D540" i="1" s="1"/>
  <c r="C540" i="2"/>
  <c r="C540" i="1" s="1"/>
  <c r="O539" i="2"/>
  <c r="O539" i="1" s="1"/>
  <c r="N539" i="2"/>
  <c r="N539" i="1" s="1"/>
  <c r="M539" i="2"/>
  <c r="M539" i="1" s="1"/>
  <c r="L539" i="2"/>
  <c r="K539"/>
  <c r="K539" i="1" s="1"/>
  <c r="J539" i="2"/>
  <c r="J539" i="1" s="1"/>
  <c r="I539" i="2"/>
  <c r="I539" i="1" s="1"/>
  <c r="H539" i="2"/>
  <c r="H539" i="1" s="1"/>
  <c r="G539" i="2"/>
  <c r="G539" i="1" s="1"/>
  <c r="F539" i="2"/>
  <c r="F539" i="1" s="1"/>
  <c r="E539" i="2"/>
  <c r="E539" i="1" s="1"/>
  <c r="D539" i="2"/>
  <c r="D539" i="1" s="1"/>
  <c r="C539" i="2"/>
  <c r="C539" i="1" s="1"/>
  <c r="O538" i="2"/>
  <c r="O538" i="1" s="1"/>
  <c r="N538" i="2"/>
  <c r="N538" i="1" s="1"/>
  <c r="M538" i="2"/>
  <c r="M538" i="1" s="1"/>
  <c r="L538" i="2"/>
  <c r="K538"/>
  <c r="K538" i="1" s="1"/>
  <c r="J538" i="2"/>
  <c r="J538" i="1" s="1"/>
  <c r="I538" i="2"/>
  <c r="I538" i="1" s="1"/>
  <c r="H538" i="2"/>
  <c r="H538" i="1" s="1"/>
  <c r="G538" i="2"/>
  <c r="G538" i="1" s="1"/>
  <c r="F538" i="2"/>
  <c r="F538" i="1" s="1"/>
  <c r="E538" i="2"/>
  <c r="E538" i="1" s="1"/>
  <c r="D538" i="2"/>
  <c r="D538" i="1" s="1"/>
  <c r="C538" i="2"/>
  <c r="C538" i="1" s="1"/>
  <c r="O537" i="2"/>
  <c r="O537" i="1" s="1"/>
  <c r="N537" i="2"/>
  <c r="N537" i="1" s="1"/>
  <c r="M537" i="2"/>
  <c r="M537" i="1" s="1"/>
  <c r="L537" i="2"/>
  <c r="K537"/>
  <c r="K537" i="1" s="1"/>
  <c r="J537" i="2"/>
  <c r="J537" i="1" s="1"/>
  <c r="I537" i="2"/>
  <c r="I537" i="1" s="1"/>
  <c r="H537" i="2"/>
  <c r="H537" i="1" s="1"/>
  <c r="G537" i="2"/>
  <c r="G537" i="1" s="1"/>
  <c r="F537" i="2"/>
  <c r="F537" i="1" s="1"/>
  <c r="E537" i="2"/>
  <c r="E537" i="1" s="1"/>
  <c r="D537" i="2"/>
  <c r="D537" i="1" s="1"/>
  <c r="C537" i="2"/>
  <c r="C537" i="1" s="1"/>
  <c r="O536" i="2"/>
  <c r="O536" i="1" s="1"/>
  <c r="N536" i="2"/>
  <c r="N536" i="1" s="1"/>
  <c r="M536" i="2"/>
  <c r="M536" i="1" s="1"/>
  <c r="L536" i="2"/>
  <c r="K536"/>
  <c r="K536" i="1" s="1"/>
  <c r="J536" i="2"/>
  <c r="J536" i="1" s="1"/>
  <c r="I536" i="2"/>
  <c r="I536" i="1" s="1"/>
  <c r="H536" i="2"/>
  <c r="H536" i="1" s="1"/>
  <c r="G536" i="2"/>
  <c r="G536" i="1" s="1"/>
  <c r="F536" i="2"/>
  <c r="F536" i="1" s="1"/>
  <c r="E536" i="2"/>
  <c r="E536" i="1" s="1"/>
  <c r="D536" i="2"/>
  <c r="D536" i="1" s="1"/>
  <c r="C536" i="2"/>
  <c r="C536" i="1" s="1"/>
  <c r="O535" i="2"/>
  <c r="O535" i="1" s="1"/>
  <c r="N535" i="2"/>
  <c r="N535" i="1" s="1"/>
  <c r="M535" i="2"/>
  <c r="M535" i="1" s="1"/>
  <c r="L535" i="2"/>
  <c r="K535"/>
  <c r="K535" i="1" s="1"/>
  <c r="J535" i="2"/>
  <c r="J535" i="1" s="1"/>
  <c r="I535" i="2"/>
  <c r="I535" i="1" s="1"/>
  <c r="H535" i="2"/>
  <c r="H535" i="1" s="1"/>
  <c r="G535" i="2"/>
  <c r="G535" i="1" s="1"/>
  <c r="F535" i="2"/>
  <c r="F535" i="1" s="1"/>
  <c r="E535" i="2"/>
  <c r="E535" i="1" s="1"/>
  <c r="D535" i="2"/>
  <c r="D535" i="1" s="1"/>
  <c r="C535" i="2"/>
  <c r="C535" i="1" s="1"/>
  <c r="O534" i="2"/>
  <c r="O534" i="1" s="1"/>
  <c r="N534" i="2"/>
  <c r="N534" i="1" s="1"/>
  <c r="M534" i="2"/>
  <c r="M534" i="1" s="1"/>
  <c r="L534" i="2"/>
  <c r="K534"/>
  <c r="K534" i="1" s="1"/>
  <c r="J534" i="2"/>
  <c r="J534" i="1" s="1"/>
  <c r="I534" i="2"/>
  <c r="I534" i="1" s="1"/>
  <c r="H534" i="2"/>
  <c r="H534" i="1" s="1"/>
  <c r="G534" i="2"/>
  <c r="G534" i="1" s="1"/>
  <c r="F534" i="2"/>
  <c r="F534" i="1" s="1"/>
  <c r="E534" i="2"/>
  <c r="E534" i="1" s="1"/>
  <c r="D534" i="2"/>
  <c r="D534" i="1" s="1"/>
  <c r="C534" i="2"/>
  <c r="C534" i="1" s="1"/>
  <c r="O533" i="2"/>
  <c r="O533" i="1" s="1"/>
  <c r="N533" i="2"/>
  <c r="N533" i="1" s="1"/>
  <c r="M533" i="2"/>
  <c r="M533" i="1" s="1"/>
  <c r="L533" i="2"/>
  <c r="K533"/>
  <c r="K533" i="1" s="1"/>
  <c r="J533" i="2"/>
  <c r="J533" i="1" s="1"/>
  <c r="I533" i="2"/>
  <c r="I533" i="1" s="1"/>
  <c r="H533" i="2"/>
  <c r="H533" i="1" s="1"/>
  <c r="G533" i="2"/>
  <c r="G533" i="1" s="1"/>
  <c r="F533" i="2"/>
  <c r="F533" i="1" s="1"/>
  <c r="E533" i="2"/>
  <c r="E533" i="1" s="1"/>
  <c r="D533" i="2"/>
  <c r="D533" i="1" s="1"/>
  <c r="C533" i="2"/>
  <c r="C533" i="1" s="1"/>
  <c r="O532" i="2"/>
  <c r="O532" i="1" s="1"/>
  <c r="N532" i="2"/>
  <c r="N532" i="1" s="1"/>
  <c r="M532" i="2"/>
  <c r="M532" i="1" s="1"/>
  <c r="L532" i="2"/>
  <c r="K532"/>
  <c r="K532" i="1" s="1"/>
  <c r="J532" i="2"/>
  <c r="J532" i="1" s="1"/>
  <c r="I532" i="2"/>
  <c r="I532" i="1" s="1"/>
  <c r="H532" i="2"/>
  <c r="H532" i="1" s="1"/>
  <c r="G532" i="2"/>
  <c r="G532" i="1" s="1"/>
  <c r="F532" i="2"/>
  <c r="F532" i="1" s="1"/>
  <c r="E532" i="2"/>
  <c r="E532" i="1" s="1"/>
  <c r="D532" i="2"/>
  <c r="D532" i="1" s="1"/>
  <c r="C532" i="2"/>
  <c r="C532" i="1" s="1"/>
  <c r="O531" i="2"/>
  <c r="O531" i="1" s="1"/>
  <c r="N531" i="2"/>
  <c r="N531" i="1" s="1"/>
  <c r="M531" i="2"/>
  <c r="M531" i="1" s="1"/>
  <c r="L531" i="2"/>
  <c r="K531"/>
  <c r="K531" i="1" s="1"/>
  <c r="J531" i="2"/>
  <c r="J531" i="1" s="1"/>
  <c r="I531" i="2"/>
  <c r="I531" i="1" s="1"/>
  <c r="H531" i="2"/>
  <c r="H531" i="1" s="1"/>
  <c r="G531" i="2"/>
  <c r="G531" i="1" s="1"/>
  <c r="F531" i="2"/>
  <c r="F531" i="1" s="1"/>
  <c r="E531" i="2"/>
  <c r="E531" i="1" s="1"/>
  <c r="D531" i="2"/>
  <c r="D531" i="1" s="1"/>
  <c r="C531" i="2"/>
  <c r="C531" i="1" s="1"/>
  <c r="O530" i="2"/>
  <c r="O530" i="1" s="1"/>
  <c r="N530" i="2"/>
  <c r="N530" i="1" s="1"/>
  <c r="M530" i="2"/>
  <c r="M530" i="1" s="1"/>
  <c r="L530" i="2"/>
  <c r="K530"/>
  <c r="K530" i="1" s="1"/>
  <c r="J530" i="2"/>
  <c r="J530" i="1" s="1"/>
  <c r="I530" i="2"/>
  <c r="I530" i="1" s="1"/>
  <c r="H530" i="2"/>
  <c r="H530" i="1" s="1"/>
  <c r="G530" i="2"/>
  <c r="G530" i="1" s="1"/>
  <c r="F530" i="2"/>
  <c r="F530" i="1" s="1"/>
  <c r="E530" i="2"/>
  <c r="E530" i="1" s="1"/>
  <c r="D530" i="2"/>
  <c r="D530" i="1" s="1"/>
  <c r="C530" i="2"/>
  <c r="C530" i="1" s="1"/>
  <c r="O529" i="2"/>
  <c r="O529" i="1" s="1"/>
  <c r="N529" i="2"/>
  <c r="N529" i="1" s="1"/>
  <c r="M529" i="2"/>
  <c r="M529" i="1" s="1"/>
  <c r="L529" i="2"/>
  <c r="K529"/>
  <c r="K529" i="1" s="1"/>
  <c r="J529" i="2"/>
  <c r="J529" i="1" s="1"/>
  <c r="I529" i="2"/>
  <c r="I529" i="1" s="1"/>
  <c r="H529" i="2"/>
  <c r="H529" i="1" s="1"/>
  <c r="G529" i="2"/>
  <c r="G529" i="1" s="1"/>
  <c r="F529" i="2"/>
  <c r="F529" i="1" s="1"/>
  <c r="E529" i="2"/>
  <c r="E529" i="1" s="1"/>
  <c r="D529" i="2"/>
  <c r="D529" i="1" s="1"/>
  <c r="C529" i="2"/>
  <c r="C529" i="1" s="1"/>
  <c r="O528" i="2"/>
  <c r="O528" i="1" s="1"/>
  <c r="N528" i="2"/>
  <c r="N528" i="1" s="1"/>
  <c r="M528" i="2"/>
  <c r="M528" i="1" s="1"/>
  <c r="L528" i="2"/>
  <c r="K528"/>
  <c r="K528" i="1" s="1"/>
  <c r="J528" i="2"/>
  <c r="J528" i="1" s="1"/>
  <c r="I528" i="2"/>
  <c r="I528" i="1" s="1"/>
  <c r="H528" i="2"/>
  <c r="H528" i="1" s="1"/>
  <c r="G528" i="2"/>
  <c r="G528" i="1" s="1"/>
  <c r="F528" i="2"/>
  <c r="F528" i="1" s="1"/>
  <c r="E528" i="2"/>
  <c r="E528" i="1" s="1"/>
  <c r="D528" i="2"/>
  <c r="D528" i="1" s="1"/>
  <c r="C528" i="2"/>
  <c r="C528" i="1" s="1"/>
  <c r="O527" i="2"/>
  <c r="O527" i="1" s="1"/>
  <c r="N527" i="2"/>
  <c r="N527" i="1" s="1"/>
  <c r="M527" i="2"/>
  <c r="M527" i="1" s="1"/>
  <c r="L527" i="2"/>
  <c r="K527"/>
  <c r="K527" i="1" s="1"/>
  <c r="J527" i="2"/>
  <c r="J527" i="1" s="1"/>
  <c r="I527" i="2"/>
  <c r="I527" i="1" s="1"/>
  <c r="H527" i="2"/>
  <c r="H527" i="1" s="1"/>
  <c r="G527" i="2"/>
  <c r="G527" i="1" s="1"/>
  <c r="F527" i="2"/>
  <c r="F527" i="1" s="1"/>
  <c r="E527" i="2"/>
  <c r="E527" i="1" s="1"/>
  <c r="D527" i="2"/>
  <c r="D527" i="1" s="1"/>
  <c r="C527" i="2"/>
  <c r="C527" i="1" s="1"/>
  <c r="O526" i="2"/>
  <c r="O526" i="1" s="1"/>
  <c r="N526" i="2"/>
  <c r="N526" i="1" s="1"/>
  <c r="M526" i="2"/>
  <c r="M526" i="1" s="1"/>
  <c r="L526" i="2"/>
  <c r="K526"/>
  <c r="K526" i="1" s="1"/>
  <c r="J526" i="2"/>
  <c r="J526" i="1" s="1"/>
  <c r="I526" i="2"/>
  <c r="I526" i="1" s="1"/>
  <c r="H526" i="2"/>
  <c r="H526" i="1" s="1"/>
  <c r="G526" i="2"/>
  <c r="G526" i="1" s="1"/>
  <c r="F526" i="2"/>
  <c r="F526" i="1" s="1"/>
  <c r="E526" i="2"/>
  <c r="E526" i="1" s="1"/>
  <c r="D526" i="2"/>
  <c r="D526" i="1" s="1"/>
  <c r="C526" i="2"/>
  <c r="C526" i="1" s="1"/>
  <c r="O525" i="2"/>
  <c r="O525" i="1" s="1"/>
  <c r="N525" i="2"/>
  <c r="N525" i="1" s="1"/>
  <c r="M525" i="2"/>
  <c r="M525" i="1" s="1"/>
  <c r="L525" i="2"/>
  <c r="K525"/>
  <c r="K525" i="1" s="1"/>
  <c r="J525" i="2"/>
  <c r="J525" i="1" s="1"/>
  <c r="I525" i="2"/>
  <c r="I525" i="1" s="1"/>
  <c r="H525" i="2"/>
  <c r="H525" i="1" s="1"/>
  <c r="G525" i="2"/>
  <c r="G525" i="1" s="1"/>
  <c r="F525" i="2"/>
  <c r="F525" i="1" s="1"/>
  <c r="E525" i="2"/>
  <c r="E525" i="1" s="1"/>
  <c r="D525" i="2"/>
  <c r="D525" i="1" s="1"/>
  <c r="C525" i="2"/>
  <c r="C525" i="1" s="1"/>
  <c r="O524" i="2"/>
  <c r="O524" i="1" s="1"/>
  <c r="N524" i="2"/>
  <c r="N524" i="1" s="1"/>
  <c r="M524" i="2"/>
  <c r="M524" i="1" s="1"/>
  <c r="L524" i="2"/>
  <c r="K524"/>
  <c r="K524" i="1" s="1"/>
  <c r="J524" i="2"/>
  <c r="J524" i="1" s="1"/>
  <c r="I524" i="2"/>
  <c r="I524" i="1" s="1"/>
  <c r="H524" i="2"/>
  <c r="H524" i="1" s="1"/>
  <c r="G524" i="2"/>
  <c r="G524" i="1" s="1"/>
  <c r="F524" i="2"/>
  <c r="F524" i="1" s="1"/>
  <c r="E524" i="2"/>
  <c r="E524" i="1" s="1"/>
  <c r="D524" i="2"/>
  <c r="D524" i="1" s="1"/>
  <c r="C524" i="2"/>
  <c r="C524" i="1" s="1"/>
  <c r="O523" i="2"/>
  <c r="O523" i="1" s="1"/>
  <c r="N523" i="2"/>
  <c r="N523" i="1" s="1"/>
  <c r="M523" i="2"/>
  <c r="M523" i="1" s="1"/>
  <c r="L523" i="2"/>
  <c r="K523"/>
  <c r="K523" i="1" s="1"/>
  <c r="J523" i="2"/>
  <c r="J523" i="1" s="1"/>
  <c r="I523" i="2"/>
  <c r="I523" i="1" s="1"/>
  <c r="H523" i="2"/>
  <c r="H523" i="1" s="1"/>
  <c r="G523" i="2"/>
  <c r="G523" i="1" s="1"/>
  <c r="F523" i="2"/>
  <c r="F523" i="1" s="1"/>
  <c r="E523" i="2"/>
  <c r="E523" i="1" s="1"/>
  <c r="D523" i="2"/>
  <c r="D523" i="1" s="1"/>
  <c r="C523" i="2"/>
  <c r="C523" i="1" s="1"/>
  <c r="O522" i="2"/>
  <c r="O522" i="1" s="1"/>
  <c r="N522" i="2"/>
  <c r="N522" i="1" s="1"/>
  <c r="M522" i="2"/>
  <c r="M522" i="1" s="1"/>
  <c r="L522" i="2"/>
  <c r="K522"/>
  <c r="K522" i="1" s="1"/>
  <c r="J522" i="2"/>
  <c r="J522" i="1" s="1"/>
  <c r="I522" i="2"/>
  <c r="I522" i="1" s="1"/>
  <c r="H522" i="2"/>
  <c r="H522" i="1" s="1"/>
  <c r="G522" i="2"/>
  <c r="G522" i="1" s="1"/>
  <c r="F522" i="2"/>
  <c r="F522" i="1" s="1"/>
  <c r="E522" i="2"/>
  <c r="E522" i="1" s="1"/>
  <c r="D522" i="2"/>
  <c r="D522" i="1" s="1"/>
  <c r="C522" i="2"/>
  <c r="C522" i="1" s="1"/>
  <c r="O521" i="2"/>
  <c r="O521" i="1" s="1"/>
  <c r="N521" i="2"/>
  <c r="N521" i="1" s="1"/>
  <c r="M521" i="2"/>
  <c r="M521" i="1" s="1"/>
  <c r="L521" i="2"/>
  <c r="K521"/>
  <c r="K521" i="1" s="1"/>
  <c r="J521" i="2"/>
  <c r="J521" i="1" s="1"/>
  <c r="I521" i="2"/>
  <c r="I521" i="1" s="1"/>
  <c r="H521" i="2"/>
  <c r="H521" i="1" s="1"/>
  <c r="G521" i="2"/>
  <c r="G521" i="1" s="1"/>
  <c r="F521" i="2"/>
  <c r="F521" i="1" s="1"/>
  <c r="E521" i="2"/>
  <c r="E521" i="1" s="1"/>
  <c r="D521" i="2"/>
  <c r="D521" i="1" s="1"/>
  <c r="C521" i="2"/>
  <c r="C521" i="1" s="1"/>
  <c r="O520" i="2"/>
  <c r="O520" i="1" s="1"/>
  <c r="N520" i="2"/>
  <c r="N520" i="1" s="1"/>
  <c r="M520" i="2"/>
  <c r="M520" i="1" s="1"/>
  <c r="L520" i="2"/>
  <c r="K520"/>
  <c r="K520" i="1" s="1"/>
  <c r="J520" i="2"/>
  <c r="J520" i="1" s="1"/>
  <c r="I520" i="2"/>
  <c r="I520" i="1" s="1"/>
  <c r="H520" i="2"/>
  <c r="H520" i="1" s="1"/>
  <c r="G520" i="2"/>
  <c r="G520" i="1" s="1"/>
  <c r="F520" i="2"/>
  <c r="F520" i="1" s="1"/>
  <c r="E520" i="2"/>
  <c r="E520" i="1" s="1"/>
  <c r="D520" i="2"/>
  <c r="D520" i="1" s="1"/>
  <c r="C520" i="2"/>
  <c r="C520" i="1" s="1"/>
  <c r="O519" i="2"/>
  <c r="O519" i="1" s="1"/>
  <c r="N519" i="2"/>
  <c r="N519" i="1" s="1"/>
  <c r="M519" i="2"/>
  <c r="M519" i="1" s="1"/>
  <c r="L519" i="2"/>
  <c r="K519"/>
  <c r="K519" i="1" s="1"/>
  <c r="J519" i="2"/>
  <c r="J519" i="1" s="1"/>
  <c r="I519" i="2"/>
  <c r="I519" i="1" s="1"/>
  <c r="H519" i="2"/>
  <c r="H519" i="1" s="1"/>
  <c r="G519" i="2"/>
  <c r="G519" i="1" s="1"/>
  <c r="F519" i="2"/>
  <c r="F519" i="1" s="1"/>
  <c r="E519" i="2"/>
  <c r="E519" i="1" s="1"/>
  <c r="D519" i="2"/>
  <c r="D519" i="1" s="1"/>
  <c r="C519" i="2"/>
  <c r="C519" i="1" s="1"/>
  <c r="O518" i="2"/>
  <c r="O518" i="1" s="1"/>
  <c r="N518" i="2"/>
  <c r="N518" i="1" s="1"/>
  <c r="M518" i="2"/>
  <c r="M518" i="1" s="1"/>
  <c r="L518" i="2"/>
  <c r="K518"/>
  <c r="K518" i="1" s="1"/>
  <c r="J518" i="2"/>
  <c r="J518" i="1" s="1"/>
  <c r="I518" i="2"/>
  <c r="I518" i="1" s="1"/>
  <c r="H518" i="2"/>
  <c r="H518" i="1" s="1"/>
  <c r="G518" i="2"/>
  <c r="G518" i="1" s="1"/>
  <c r="F518" i="2"/>
  <c r="F518" i="1" s="1"/>
  <c r="E518" i="2"/>
  <c r="E518" i="1" s="1"/>
  <c r="D518" i="2"/>
  <c r="D518" i="1" s="1"/>
  <c r="C518" i="2"/>
  <c r="C518" i="1" s="1"/>
  <c r="O517" i="2"/>
  <c r="O517" i="1" s="1"/>
  <c r="N517" i="2"/>
  <c r="N517" i="1" s="1"/>
  <c r="M517" i="2"/>
  <c r="M517" i="1" s="1"/>
  <c r="L517" i="2"/>
  <c r="K517"/>
  <c r="K517" i="1" s="1"/>
  <c r="J517" i="2"/>
  <c r="J517" i="1" s="1"/>
  <c r="I517" i="2"/>
  <c r="I517" i="1" s="1"/>
  <c r="H517" i="2"/>
  <c r="H517" i="1" s="1"/>
  <c r="G517" i="2"/>
  <c r="G517" i="1" s="1"/>
  <c r="F517" i="2"/>
  <c r="F517" i="1" s="1"/>
  <c r="E517" i="2"/>
  <c r="E517" i="1" s="1"/>
  <c r="D517" i="2"/>
  <c r="D517" i="1" s="1"/>
  <c r="C517" i="2"/>
  <c r="C517" i="1" s="1"/>
  <c r="O516" i="2"/>
  <c r="O516" i="1" s="1"/>
  <c r="N516" i="2"/>
  <c r="N516" i="1" s="1"/>
  <c r="M516" i="2"/>
  <c r="M516" i="1" s="1"/>
  <c r="L516" i="2"/>
  <c r="K516"/>
  <c r="K516" i="1" s="1"/>
  <c r="J516" i="2"/>
  <c r="J516" i="1" s="1"/>
  <c r="I516" i="2"/>
  <c r="I516" i="1" s="1"/>
  <c r="H516" i="2"/>
  <c r="H516" i="1" s="1"/>
  <c r="G516" i="2"/>
  <c r="G516" i="1" s="1"/>
  <c r="F516" i="2"/>
  <c r="F516" i="1" s="1"/>
  <c r="E516" i="2"/>
  <c r="E516" i="1" s="1"/>
  <c r="D516" i="2"/>
  <c r="D516" i="1" s="1"/>
  <c r="C516" i="2"/>
  <c r="C516" i="1" s="1"/>
  <c r="O515" i="2"/>
  <c r="O515" i="1" s="1"/>
  <c r="N515" i="2"/>
  <c r="N515" i="1" s="1"/>
  <c r="M515" i="2"/>
  <c r="M515" i="1" s="1"/>
  <c r="L515" i="2"/>
  <c r="K515"/>
  <c r="K515" i="1" s="1"/>
  <c r="J515" i="2"/>
  <c r="J515" i="1" s="1"/>
  <c r="I515" i="2"/>
  <c r="I515" i="1" s="1"/>
  <c r="H515" i="2"/>
  <c r="H515" i="1" s="1"/>
  <c r="G515" i="2"/>
  <c r="G515" i="1" s="1"/>
  <c r="F515" i="2"/>
  <c r="F515" i="1" s="1"/>
  <c r="E515" i="2"/>
  <c r="E515" i="1" s="1"/>
  <c r="D515" i="2"/>
  <c r="D515" i="1" s="1"/>
  <c r="C515" i="2"/>
  <c r="C515" i="1" s="1"/>
  <c r="O514" i="2"/>
  <c r="O514" i="1" s="1"/>
  <c r="N514" i="2"/>
  <c r="N514" i="1" s="1"/>
  <c r="M514" i="2"/>
  <c r="M514" i="1" s="1"/>
  <c r="L514" i="2"/>
  <c r="K514"/>
  <c r="K514" i="1" s="1"/>
  <c r="J514" i="2"/>
  <c r="J514" i="1" s="1"/>
  <c r="I514" i="2"/>
  <c r="I514" i="1" s="1"/>
  <c r="H514" i="2"/>
  <c r="H514" i="1" s="1"/>
  <c r="G514" i="2"/>
  <c r="G514" i="1" s="1"/>
  <c r="F514" i="2"/>
  <c r="F514" i="1" s="1"/>
  <c r="E514" i="2"/>
  <c r="E514" i="1" s="1"/>
  <c r="D514" i="2"/>
  <c r="D514" i="1" s="1"/>
  <c r="C514" i="2"/>
  <c r="C514" i="1" s="1"/>
  <c r="O513" i="2"/>
  <c r="O513" i="1" s="1"/>
  <c r="N513" i="2"/>
  <c r="N513" i="1" s="1"/>
  <c r="M513" i="2"/>
  <c r="M513" i="1" s="1"/>
  <c r="L513" i="2"/>
  <c r="K513"/>
  <c r="K513" i="1" s="1"/>
  <c r="J513" i="2"/>
  <c r="J513" i="1" s="1"/>
  <c r="I513" i="2"/>
  <c r="I513" i="1" s="1"/>
  <c r="H513" i="2"/>
  <c r="H513" i="1" s="1"/>
  <c r="G513" i="2"/>
  <c r="G513" i="1" s="1"/>
  <c r="F513" i="2"/>
  <c r="F513" i="1" s="1"/>
  <c r="E513" i="2"/>
  <c r="E513" i="1" s="1"/>
  <c r="D513" i="2"/>
  <c r="D513" i="1" s="1"/>
  <c r="C513" i="2"/>
  <c r="C513" i="1" s="1"/>
  <c r="O512" i="2"/>
  <c r="O512" i="1" s="1"/>
  <c r="N512" i="2"/>
  <c r="N512" i="1" s="1"/>
  <c r="M512" i="2"/>
  <c r="M512" i="1" s="1"/>
  <c r="L512" i="2"/>
  <c r="K512"/>
  <c r="K512" i="1" s="1"/>
  <c r="J512" i="2"/>
  <c r="J512" i="1" s="1"/>
  <c r="I512" i="2"/>
  <c r="I512" i="1" s="1"/>
  <c r="H512" i="2"/>
  <c r="H512" i="1" s="1"/>
  <c r="G512" i="2"/>
  <c r="G512" i="1" s="1"/>
  <c r="F512" i="2"/>
  <c r="F512" i="1" s="1"/>
  <c r="E512" i="2"/>
  <c r="E512" i="1" s="1"/>
  <c r="D512" i="2"/>
  <c r="D512" i="1" s="1"/>
  <c r="C512" i="2"/>
  <c r="C512" i="1" s="1"/>
  <c r="O511" i="2"/>
  <c r="O511" i="1" s="1"/>
  <c r="N511" i="2"/>
  <c r="N511" i="1" s="1"/>
  <c r="M511" i="2"/>
  <c r="M511" i="1" s="1"/>
  <c r="L511" i="2"/>
  <c r="K511"/>
  <c r="K511" i="1" s="1"/>
  <c r="J511" i="2"/>
  <c r="J511" i="1" s="1"/>
  <c r="I511" i="2"/>
  <c r="I511" i="1" s="1"/>
  <c r="H511" i="2"/>
  <c r="H511" i="1" s="1"/>
  <c r="G511" i="2"/>
  <c r="G511" i="1" s="1"/>
  <c r="F511" i="2"/>
  <c r="F511" i="1" s="1"/>
  <c r="E511" i="2"/>
  <c r="E511" i="1" s="1"/>
  <c r="D511" i="2"/>
  <c r="D511" i="1" s="1"/>
  <c r="C511" i="2"/>
  <c r="C511" i="1" s="1"/>
  <c r="O510" i="2"/>
  <c r="O510" i="1" s="1"/>
  <c r="N510" i="2"/>
  <c r="N510" i="1" s="1"/>
  <c r="M510" i="2"/>
  <c r="M510" i="1" s="1"/>
  <c r="L510" i="2"/>
  <c r="K510"/>
  <c r="K510" i="1" s="1"/>
  <c r="J510" i="2"/>
  <c r="J510" i="1" s="1"/>
  <c r="I510" i="2"/>
  <c r="I510" i="1" s="1"/>
  <c r="H510" i="2"/>
  <c r="H510" i="1" s="1"/>
  <c r="G510" i="2"/>
  <c r="G510" i="1" s="1"/>
  <c r="F510" i="2"/>
  <c r="F510" i="1" s="1"/>
  <c r="E510" i="2"/>
  <c r="E510" i="1" s="1"/>
  <c r="D510" i="2"/>
  <c r="D510" i="1" s="1"/>
  <c r="C510" i="2"/>
  <c r="C510" i="1" s="1"/>
  <c r="O509" i="2"/>
  <c r="O509" i="1" s="1"/>
  <c r="N509" i="2"/>
  <c r="N509" i="1" s="1"/>
  <c r="M509" i="2"/>
  <c r="M509" i="1" s="1"/>
  <c r="L509" i="2"/>
  <c r="K509"/>
  <c r="K509" i="1" s="1"/>
  <c r="J509" i="2"/>
  <c r="J509" i="1" s="1"/>
  <c r="I509" i="2"/>
  <c r="I509" i="1" s="1"/>
  <c r="H509" i="2"/>
  <c r="H509" i="1" s="1"/>
  <c r="G509" i="2"/>
  <c r="G509" i="1" s="1"/>
  <c r="F509" i="2"/>
  <c r="F509" i="1" s="1"/>
  <c r="E509" i="2"/>
  <c r="E509" i="1" s="1"/>
  <c r="D509" i="2"/>
  <c r="D509" i="1" s="1"/>
  <c r="C509" i="2"/>
  <c r="C509" i="1" s="1"/>
  <c r="O508" i="2"/>
  <c r="O508" i="1" s="1"/>
  <c r="N508" i="2"/>
  <c r="N508" i="1" s="1"/>
  <c r="M508" i="2"/>
  <c r="M508" i="1" s="1"/>
  <c r="L508" i="2"/>
  <c r="K508"/>
  <c r="K508" i="1" s="1"/>
  <c r="J508" i="2"/>
  <c r="J508" i="1" s="1"/>
  <c r="I508" i="2"/>
  <c r="I508" i="1" s="1"/>
  <c r="H508" i="2"/>
  <c r="H508" i="1" s="1"/>
  <c r="G508" i="2"/>
  <c r="G508" i="1" s="1"/>
  <c r="F508" i="2"/>
  <c r="F508" i="1" s="1"/>
  <c r="E508" i="2"/>
  <c r="E508" i="1" s="1"/>
  <c r="D508" i="2"/>
  <c r="D508" i="1" s="1"/>
  <c r="C508" i="2"/>
  <c r="C508" i="1" s="1"/>
  <c r="O507" i="2"/>
  <c r="O507" i="1" s="1"/>
  <c r="N507" i="2"/>
  <c r="N507" i="1" s="1"/>
  <c r="M507" i="2"/>
  <c r="M507" i="1" s="1"/>
  <c r="L507" i="2"/>
  <c r="K507"/>
  <c r="K507" i="1" s="1"/>
  <c r="J507" i="2"/>
  <c r="J507" i="1" s="1"/>
  <c r="I507" i="2"/>
  <c r="I507" i="1" s="1"/>
  <c r="H507" i="2"/>
  <c r="H507" i="1" s="1"/>
  <c r="G507" i="2"/>
  <c r="G507" i="1" s="1"/>
  <c r="F507" i="2"/>
  <c r="F507" i="1" s="1"/>
  <c r="E507" i="2"/>
  <c r="E507" i="1" s="1"/>
  <c r="D507" i="2"/>
  <c r="D507" i="1" s="1"/>
  <c r="C507" i="2"/>
  <c r="C507" i="1" s="1"/>
  <c r="O506" i="2"/>
  <c r="O506" i="1" s="1"/>
  <c r="N506" i="2"/>
  <c r="N506" i="1" s="1"/>
  <c r="M506" i="2"/>
  <c r="M506" i="1" s="1"/>
  <c r="L506" i="2"/>
  <c r="K506"/>
  <c r="K506" i="1" s="1"/>
  <c r="J506" i="2"/>
  <c r="J506" i="1" s="1"/>
  <c r="I506" i="2"/>
  <c r="I506" i="1" s="1"/>
  <c r="H506" i="2"/>
  <c r="H506" i="1" s="1"/>
  <c r="G506" i="2"/>
  <c r="G506" i="1" s="1"/>
  <c r="F506" i="2"/>
  <c r="F506" i="1" s="1"/>
  <c r="E506" i="2"/>
  <c r="E506" i="1" s="1"/>
  <c r="D506" i="2"/>
  <c r="D506" i="1" s="1"/>
  <c r="C506" i="2"/>
  <c r="C506" i="1" s="1"/>
  <c r="O505" i="2"/>
  <c r="O505" i="1" s="1"/>
  <c r="N505" i="2"/>
  <c r="N505" i="1" s="1"/>
  <c r="M505" i="2"/>
  <c r="M505" i="1" s="1"/>
  <c r="L505" i="2"/>
  <c r="K505"/>
  <c r="K505" i="1" s="1"/>
  <c r="J505" i="2"/>
  <c r="J505" i="1" s="1"/>
  <c r="I505" i="2"/>
  <c r="I505" i="1" s="1"/>
  <c r="H505" i="2"/>
  <c r="H505" i="1" s="1"/>
  <c r="G505" i="2"/>
  <c r="G505" i="1" s="1"/>
  <c r="F505" i="2"/>
  <c r="F505" i="1" s="1"/>
  <c r="E505" i="2"/>
  <c r="E505" i="1" s="1"/>
  <c r="D505" i="2"/>
  <c r="D505" i="1" s="1"/>
  <c r="C505" i="2"/>
  <c r="C505" i="1" s="1"/>
  <c r="O504" i="2"/>
  <c r="O504" i="1" s="1"/>
  <c r="N504" i="2"/>
  <c r="N504" i="1" s="1"/>
  <c r="M504" i="2"/>
  <c r="M504" i="1" s="1"/>
  <c r="L504" i="2"/>
  <c r="K504"/>
  <c r="K504" i="1" s="1"/>
  <c r="J504" i="2"/>
  <c r="J504" i="1" s="1"/>
  <c r="I504" i="2"/>
  <c r="I504" i="1" s="1"/>
  <c r="H504" i="2"/>
  <c r="H504" i="1" s="1"/>
  <c r="G504" i="2"/>
  <c r="G504" i="1" s="1"/>
  <c r="F504" i="2"/>
  <c r="F504" i="1" s="1"/>
  <c r="E504" i="2"/>
  <c r="E504" i="1" s="1"/>
  <c r="D504" i="2"/>
  <c r="D504" i="1" s="1"/>
  <c r="C504" i="2"/>
  <c r="C504" i="1" s="1"/>
  <c r="O503" i="2"/>
  <c r="O503" i="1" s="1"/>
  <c r="N503" i="2"/>
  <c r="N503" i="1" s="1"/>
  <c r="M503" i="2"/>
  <c r="M503" i="1" s="1"/>
  <c r="L503" i="2"/>
  <c r="K503"/>
  <c r="K503" i="1" s="1"/>
  <c r="J503" i="2"/>
  <c r="J503" i="1" s="1"/>
  <c r="I503" i="2"/>
  <c r="I503" i="1" s="1"/>
  <c r="H503" i="2"/>
  <c r="H503" i="1" s="1"/>
  <c r="G503" i="2"/>
  <c r="G503" i="1" s="1"/>
  <c r="F503" i="2"/>
  <c r="F503" i="1" s="1"/>
  <c r="E503" i="2"/>
  <c r="E503" i="1" s="1"/>
  <c r="D503" i="2"/>
  <c r="D503" i="1" s="1"/>
  <c r="C503" i="2"/>
  <c r="C503" i="1" s="1"/>
  <c r="O502" i="2"/>
  <c r="O502" i="1" s="1"/>
  <c r="N502" i="2"/>
  <c r="N502" i="1" s="1"/>
  <c r="M502" i="2"/>
  <c r="M502" i="1" s="1"/>
  <c r="L502" i="2"/>
  <c r="K502"/>
  <c r="K502" i="1" s="1"/>
  <c r="J502" i="2"/>
  <c r="J502" i="1" s="1"/>
  <c r="I502" i="2"/>
  <c r="I502" i="1" s="1"/>
  <c r="H502" i="2"/>
  <c r="H502" i="1" s="1"/>
  <c r="G502" i="2"/>
  <c r="G502" i="1" s="1"/>
  <c r="F502" i="2"/>
  <c r="F502" i="1" s="1"/>
  <c r="E502" i="2"/>
  <c r="E502" i="1" s="1"/>
  <c r="D502" i="2"/>
  <c r="D502" i="1" s="1"/>
  <c r="C502" i="2"/>
  <c r="C502" i="1" s="1"/>
  <c r="O501" i="2"/>
  <c r="O501" i="1" s="1"/>
  <c r="N501" i="2"/>
  <c r="N501" i="1" s="1"/>
  <c r="M501" i="2"/>
  <c r="M501" i="1" s="1"/>
  <c r="L501" i="2"/>
  <c r="K501"/>
  <c r="K501" i="1" s="1"/>
  <c r="J501" i="2"/>
  <c r="J501" i="1" s="1"/>
  <c r="I501" i="2"/>
  <c r="I501" i="1" s="1"/>
  <c r="H501" i="2"/>
  <c r="H501" i="1" s="1"/>
  <c r="G501" i="2"/>
  <c r="G501" i="1" s="1"/>
  <c r="F501" i="2"/>
  <c r="F501" i="1" s="1"/>
  <c r="E501" i="2"/>
  <c r="E501" i="1" s="1"/>
  <c r="D501" i="2"/>
  <c r="D501" i="1" s="1"/>
  <c r="C501" i="2"/>
  <c r="C501" i="1" s="1"/>
  <c r="O500" i="2"/>
  <c r="O500" i="1" s="1"/>
  <c r="N500" i="2"/>
  <c r="N500" i="1" s="1"/>
  <c r="M500" i="2"/>
  <c r="M500" i="1" s="1"/>
  <c r="L500" i="2"/>
  <c r="K500"/>
  <c r="K500" i="1" s="1"/>
  <c r="J500" i="2"/>
  <c r="J500" i="1" s="1"/>
  <c r="I500" i="2"/>
  <c r="I500" i="1" s="1"/>
  <c r="H500" i="2"/>
  <c r="H500" i="1" s="1"/>
  <c r="G500" i="2"/>
  <c r="G500" i="1" s="1"/>
  <c r="F500" i="2"/>
  <c r="F500" i="1" s="1"/>
  <c r="E500" i="2"/>
  <c r="E500" i="1" s="1"/>
  <c r="D500" i="2"/>
  <c r="D500" i="1" s="1"/>
  <c r="C500" i="2"/>
  <c r="C500" i="1" s="1"/>
  <c r="O499" i="2"/>
  <c r="O499" i="1" s="1"/>
  <c r="N499" i="2"/>
  <c r="N499" i="1" s="1"/>
  <c r="M499" i="2"/>
  <c r="M499" i="1" s="1"/>
  <c r="L499" i="2"/>
  <c r="K499"/>
  <c r="K499" i="1" s="1"/>
  <c r="J499" i="2"/>
  <c r="J499" i="1" s="1"/>
  <c r="I499" i="2"/>
  <c r="I499" i="1" s="1"/>
  <c r="H499" i="2"/>
  <c r="H499" i="1" s="1"/>
  <c r="G499" i="2"/>
  <c r="G499" i="1" s="1"/>
  <c r="F499" i="2"/>
  <c r="F499" i="1" s="1"/>
  <c r="E499" i="2"/>
  <c r="E499" i="1" s="1"/>
  <c r="D499" i="2"/>
  <c r="D499" i="1" s="1"/>
  <c r="C499" i="2"/>
  <c r="C499" i="1" s="1"/>
  <c r="O498" i="2"/>
  <c r="O498" i="1" s="1"/>
  <c r="N498" i="2"/>
  <c r="N498" i="1" s="1"/>
  <c r="M498" i="2"/>
  <c r="M498" i="1" s="1"/>
  <c r="L498" i="2"/>
  <c r="K498"/>
  <c r="K498" i="1" s="1"/>
  <c r="J498" i="2"/>
  <c r="J498" i="1" s="1"/>
  <c r="I498" i="2"/>
  <c r="I498" i="1" s="1"/>
  <c r="H498" i="2"/>
  <c r="H498" i="1" s="1"/>
  <c r="G498" i="2"/>
  <c r="G498" i="1" s="1"/>
  <c r="F498" i="2"/>
  <c r="F498" i="1" s="1"/>
  <c r="E498" i="2"/>
  <c r="E498" i="1" s="1"/>
  <c r="D498" i="2"/>
  <c r="D498" i="1" s="1"/>
  <c r="C498" i="2"/>
  <c r="C498" i="1" s="1"/>
  <c r="O497" i="2"/>
  <c r="O497" i="1" s="1"/>
  <c r="N497" i="2"/>
  <c r="N497" i="1" s="1"/>
  <c r="M497" i="2"/>
  <c r="M497" i="1" s="1"/>
  <c r="L497" i="2"/>
  <c r="K497"/>
  <c r="K497" i="1" s="1"/>
  <c r="J497" i="2"/>
  <c r="J497" i="1" s="1"/>
  <c r="I497" i="2"/>
  <c r="I497" i="1" s="1"/>
  <c r="H497" i="2"/>
  <c r="H497" i="1" s="1"/>
  <c r="G497" i="2"/>
  <c r="G497" i="1" s="1"/>
  <c r="F497" i="2"/>
  <c r="F497" i="1" s="1"/>
  <c r="E497" i="2"/>
  <c r="E497" i="1" s="1"/>
  <c r="D497" i="2"/>
  <c r="D497" i="1" s="1"/>
  <c r="C497" i="2"/>
  <c r="C497" i="1" s="1"/>
  <c r="O496" i="2"/>
  <c r="O496" i="1" s="1"/>
  <c r="N496" i="2"/>
  <c r="N496" i="1" s="1"/>
  <c r="M496" i="2"/>
  <c r="M496" i="1" s="1"/>
  <c r="L496" i="2"/>
  <c r="K496"/>
  <c r="K496" i="1" s="1"/>
  <c r="J496" i="2"/>
  <c r="J496" i="1" s="1"/>
  <c r="I496" i="2"/>
  <c r="I496" i="1" s="1"/>
  <c r="H496" i="2"/>
  <c r="H496" i="1" s="1"/>
  <c r="G496" i="2"/>
  <c r="G496" i="1" s="1"/>
  <c r="F496" i="2"/>
  <c r="F496" i="1" s="1"/>
  <c r="E496" i="2"/>
  <c r="E496" i="1" s="1"/>
  <c r="D496" i="2"/>
  <c r="D496" i="1" s="1"/>
  <c r="C496" i="2"/>
  <c r="C496" i="1" s="1"/>
  <c r="O495" i="2"/>
  <c r="O495" i="1" s="1"/>
  <c r="N495" i="2"/>
  <c r="N495" i="1" s="1"/>
  <c r="M495" i="2"/>
  <c r="M495" i="1" s="1"/>
  <c r="L495" i="2"/>
  <c r="K495"/>
  <c r="K495" i="1" s="1"/>
  <c r="J495" i="2"/>
  <c r="J495" i="1" s="1"/>
  <c r="I495" i="2"/>
  <c r="I495" i="1" s="1"/>
  <c r="H495" i="2"/>
  <c r="H495" i="1" s="1"/>
  <c r="G495" i="2"/>
  <c r="G495" i="1" s="1"/>
  <c r="F495" i="2"/>
  <c r="F495" i="1" s="1"/>
  <c r="E495" i="2"/>
  <c r="E495" i="1" s="1"/>
  <c r="D495" i="2"/>
  <c r="D495" i="1" s="1"/>
  <c r="C495" i="2"/>
  <c r="C495" i="1" s="1"/>
  <c r="O494" i="2"/>
  <c r="O494" i="1" s="1"/>
  <c r="N494" i="2"/>
  <c r="N494" i="1" s="1"/>
  <c r="M494" i="2"/>
  <c r="M494" i="1" s="1"/>
  <c r="L494" i="2"/>
  <c r="K494"/>
  <c r="K494" i="1" s="1"/>
  <c r="J494" i="2"/>
  <c r="J494" i="1" s="1"/>
  <c r="I494" i="2"/>
  <c r="I494" i="1" s="1"/>
  <c r="H494" i="2"/>
  <c r="H494" i="1" s="1"/>
  <c r="G494" i="2"/>
  <c r="G494" i="1" s="1"/>
  <c r="F494" i="2"/>
  <c r="F494" i="1" s="1"/>
  <c r="E494" i="2"/>
  <c r="E494" i="1" s="1"/>
  <c r="D494" i="2"/>
  <c r="D494" i="1" s="1"/>
  <c r="C494" i="2"/>
  <c r="C494" i="1" s="1"/>
  <c r="O493" i="2"/>
  <c r="O493" i="1" s="1"/>
  <c r="N493" i="2"/>
  <c r="N493" i="1" s="1"/>
  <c r="M493" i="2"/>
  <c r="M493" i="1" s="1"/>
  <c r="L493" i="2"/>
  <c r="K493"/>
  <c r="K493" i="1" s="1"/>
  <c r="J493" i="2"/>
  <c r="J493" i="1" s="1"/>
  <c r="I493" i="2"/>
  <c r="I493" i="1" s="1"/>
  <c r="H493" i="2"/>
  <c r="H493" i="1" s="1"/>
  <c r="G493" i="2"/>
  <c r="G493" i="1" s="1"/>
  <c r="F493" i="2"/>
  <c r="F493" i="1" s="1"/>
  <c r="E493" i="2"/>
  <c r="E493" i="1" s="1"/>
  <c r="D493" i="2"/>
  <c r="D493" i="1" s="1"/>
  <c r="C493" i="2"/>
  <c r="C493" i="1" s="1"/>
  <c r="O492" i="2"/>
  <c r="O492" i="1" s="1"/>
  <c r="N492" i="2"/>
  <c r="N492" i="1" s="1"/>
  <c r="M492" i="2"/>
  <c r="M492" i="1" s="1"/>
  <c r="L492" i="2"/>
  <c r="K492"/>
  <c r="K492" i="1" s="1"/>
  <c r="J492" i="2"/>
  <c r="J492" i="1" s="1"/>
  <c r="I492" i="2"/>
  <c r="I492" i="1" s="1"/>
  <c r="H492" i="2"/>
  <c r="H492" i="1" s="1"/>
  <c r="G492" i="2"/>
  <c r="G492" i="1" s="1"/>
  <c r="F492" i="2"/>
  <c r="F492" i="1" s="1"/>
  <c r="E492" i="2"/>
  <c r="E492" i="1" s="1"/>
  <c r="D492" i="2"/>
  <c r="D492" i="1" s="1"/>
  <c r="C492" i="2"/>
  <c r="C492" i="1" s="1"/>
  <c r="O491" i="2"/>
  <c r="O491" i="1" s="1"/>
  <c r="N491" i="2"/>
  <c r="N491" i="1" s="1"/>
  <c r="M491" i="2"/>
  <c r="M491" i="1" s="1"/>
  <c r="L491" i="2"/>
  <c r="K491"/>
  <c r="K491" i="1" s="1"/>
  <c r="J491" i="2"/>
  <c r="J491" i="1" s="1"/>
  <c r="I491" i="2"/>
  <c r="I491" i="1" s="1"/>
  <c r="H491" i="2"/>
  <c r="H491" i="1" s="1"/>
  <c r="G491" i="2"/>
  <c r="G491" i="1" s="1"/>
  <c r="F491" i="2"/>
  <c r="F491" i="1" s="1"/>
  <c r="E491" i="2"/>
  <c r="E491" i="1" s="1"/>
  <c r="D491" i="2"/>
  <c r="D491" i="1" s="1"/>
  <c r="C491" i="2"/>
  <c r="C491" i="1" s="1"/>
  <c r="O490" i="2"/>
  <c r="O490" i="1" s="1"/>
  <c r="N490" i="2"/>
  <c r="N490" i="1" s="1"/>
  <c r="M490" i="2"/>
  <c r="M490" i="1" s="1"/>
  <c r="L490" i="2"/>
  <c r="K490"/>
  <c r="K490" i="1" s="1"/>
  <c r="J490" i="2"/>
  <c r="J490" i="1" s="1"/>
  <c r="I490" i="2"/>
  <c r="I490" i="1" s="1"/>
  <c r="H490" i="2"/>
  <c r="H490" i="1" s="1"/>
  <c r="G490" i="2"/>
  <c r="G490" i="1" s="1"/>
  <c r="F490" i="2"/>
  <c r="F490" i="1" s="1"/>
  <c r="E490" i="2"/>
  <c r="E490" i="1" s="1"/>
  <c r="D490" i="2"/>
  <c r="D490" i="1" s="1"/>
  <c r="C490" i="2"/>
  <c r="C490" i="1" s="1"/>
  <c r="O489" i="2"/>
  <c r="O489" i="1" s="1"/>
  <c r="N489" i="2"/>
  <c r="N489" i="1" s="1"/>
  <c r="M489" i="2"/>
  <c r="M489" i="1" s="1"/>
  <c r="L489" i="2"/>
  <c r="K489"/>
  <c r="K489" i="1" s="1"/>
  <c r="J489" i="2"/>
  <c r="J489" i="1" s="1"/>
  <c r="I489" i="2"/>
  <c r="I489" i="1" s="1"/>
  <c r="H489" i="2"/>
  <c r="H489" i="1" s="1"/>
  <c r="G489" i="2"/>
  <c r="G489" i="1" s="1"/>
  <c r="F489" i="2"/>
  <c r="F489" i="1" s="1"/>
  <c r="E489" i="2"/>
  <c r="E489" i="1" s="1"/>
  <c r="D489" i="2"/>
  <c r="D489" i="1" s="1"/>
  <c r="C489" i="2"/>
  <c r="C489" i="1" s="1"/>
  <c r="O488" i="2"/>
  <c r="O488" i="1" s="1"/>
  <c r="N488" i="2"/>
  <c r="N488" i="1" s="1"/>
  <c r="M488" i="2"/>
  <c r="M488" i="1" s="1"/>
  <c r="L488" i="2"/>
  <c r="K488"/>
  <c r="K488" i="1" s="1"/>
  <c r="J488" i="2"/>
  <c r="J488" i="1" s="1"/>
  <c r="I488" i="2"/>
  <c r="I488" i="1" s="1"/>
  <c r="H488" i="2"/>
  <c r="H488" i="1" s="1"/>
  <c r="G488" i="2"/>
  <c r="G488" i="1" s="1"/>
  <c r="F488" i="2"/>
  <c r="F488" i="1" s="1"/>
  <c r="E488" i="2"/>
  <c r="E488" i="1" s="1"/>
  <c r="D488" i="2"/>
  <c r="D488" i="1" s="1"/>
  <c r="C488" i="2"/>
  <c r="C488" i="1" s="1"/>
  <c r="O487" i="2"/>
  <c r="O487" i="1" s="1"/>
  <c r="N487" i="2"/>
  <c r="N487" i="1" s="1"/>
  <c r="M487" i="2"/>
  <c r="M487" i="1" s="1"/>
  <c r="L487" i="2"/>
  <c r="K487"/>
  <c r="K487" i="1" s="1"/>
  <c r="J487" i="2"/>
  <c r="J487" i="1" s="1"/>
  <c r="I487" i="2"/>
  <c r="I487" i="1" s="1"/>
  <c r="H487" i="2"/>
  <c r="H487" i="1" s="1"/>
  <c r="G487" i="2"/>
  <c r="G487" i="1" s="1"/>
  <c r="F487" i="2"/>
  <c r="F487" i="1" s="1"/>
  <c r="E487" i="2"/>
  <c r="E487" i="1" s="1"/>
  <c r="D487" i="2"/>
  <c r="D487" i="1" s="1"/>
  <c r="C487" i="2"/>
  <c r="C487" i="1" s="1"/>
  <c r="O486" i="2"/>
  <c r="O486" i="1" s="1"/>
  <c r="N486" i="2"/>
  <c r="N486" i="1" s="1"/>
  <c r="M486" i="2"/>
  <c r="M486" i="1" s="1"/>
  <c r="L486" i="2"/>
  <c r="K486"/>
  <c r="K486" i="1" s="1"/>
  <c r="J486" i="2"/>
  <c r="J486" i="1" s="1"/>
  <c r="I486" i="2"/>
  <c r="I486" i="1" s="1"/>
  <c r="H486" i="2"/>
  <c r="H486" i="1" s="1"/>
  <c r="G486" i="2"/>
  <c r="G486" i="1" s="1"/>
  <c r="F486" i="2"/>
  <c r="F486" i="1" s="1"/>
  <c r="E486" i="2"/>
  <c r="E486" i="1" s="1"/>
  <c r="D486" i="2"/>
  <c r="D486" i="1" s="1"/>
  <c r="C486" i="2"/>
  <c r="C486" i="1" s="1"/>
  <c r="O485" i="2"/>
  <c r="O485" i="1" s="1"/>
  <c r="N485" i="2"/>
  <c r="N485" i="1" s="1"/>
  <c r="M485" i="2"/>
  <c r="M485" i="1" s="1"/>
  <c r="L485" i="2"/>
  <c r="K485"/>
  <c r="K485" i="1" s="1"/>
  <c r="J485" i="2"/>
  <c r="J485" i="1" s="1"/>
  <c r="I485" i="2"/>
  <c r="I485" i="1" s="1"/>
  <c r="H485" i="2"/>
  <c r="H485" i="1" s="1"/>
  <c r="G485" i="2"/>
  <c r="G485" i="1" s="1"/>
  <c r="F485" i="2"/>
  <c r="F485" i="1" s="1"/>
  <c r="E485" i="2"/>
  <c r="E485" i="1" s="1"/>
  <c r="D485" i="2"/>
  <c r="D485" i="1" s="1"/>
  <c r="C485" i="2"/>
  <c r="C485" i="1" s="1"/>
  <c r="O484" i="2"/>
  <c r="O484" i="1" s="1"/>
  <c r="N484" i="2"/>
  <c r="N484" i="1" s="1"/>
  <c r="M484" i="2"/>
  <c r="M484" i="1" s="1"/>
  <c r="L484" i="2"/>
  <c r="K484"/>
  <c r="K484" i="1" s="1"/>
  <c r="J484" i="2"/>
  <c r="J484" i="1" s="1"/>
  <c r="I484" i="2"/>
  <c r="I484" i="1" s="1"/>
  <c r="H484" i="2"/>
  <c r="H484" i="1" s="1"/>
  <c r="G484" i="2"/>
  <c r="G484" i="1" s="1"/>
  <c r="F484" i="2"/>
  <c r="F484" i="1" s="1"/>
  <c r="E484" i="2"/>
  <c r="E484" i="1" s="1"/>
  <c r="D484" i="2"/>
  <c r="D484" i="1" s="1"/>
  <c r="C484" i="2"/>
  <c r="C484" i="1" s="1"/>
  <c r="O483" i="2"/>
  <c r="O483" i="1" s="1"/>
  <c r="N483" i="2"/>
  <c r="N483" i="1" s="1"/>
  <c r="M483" i="2"/>
  <c r="M483" i="1" s="1"/>
  <c r="L483" i="2"/>
  <c r="K483"/>
  <c r="K483" i="1" s="1"/>
  <c r="J483" i="2"/>
  <c r="J483" i="1" s="1"/>
  <c r="I483" i="2"/>
  <c r="I483" i="1" s="1"/>
  <c r="H483" i="2"/>
  <c r="H483" i="1" s="1"/>
  <c r="G483" i="2"/>
  <c r="G483" i="1" s="1"/>
  <c r="F483" i="2"/>
  <c r="F483" i="1" s="1"/>
  <c r="E483" i="2"/>
  <c r="E483" i="1" s="1"/>
  <c r="D483" i="2"/>
  <c r="D483" i="1" s="1"/>
  <c r="C483" i="2"/>
  <c r="C483" i="1" s="1"/>
  <c r="O482" i="2"/>
  <c r="O482" i="1" s="1"/>
  <c r="N482" i="2"/>
  <c r="N482" i="1" s="1"/>
  <c r="M482" i="2"/>
  <c r="M482" i="1" s="1"/>
  <c r="L482" i="2"/>
  <c r="K482"/>
  <c r="K482" i="1" s="1"/>
  <c r="J482" i="2"/>
  <c r="J482" i="1" s="1"/>
  <c r="I482" i="2"/>
  <c r="I482" i="1" s="1"/>
  <c r="H482" i="2"/>
  <c r="H482" i="1" s="1"/>
  <c r="G482" i="2"/>
  <c r="G482" i="1" s="1"/>
  <c r="F482" i="2"/>
  <c r="F482" i="1" s="1"/>
  <c r="E482" i="2"/>
  <c r="E482" i="1" s="1"/>
  <c r="D482" i="2"/>
  <c r="D482" i="1" s="1"/>
  <c r="C482" i="2"/>
  <c r="C482" i="1" s="1"/>
  <c r="O481" i="2"/>
  <c r="O481" i="1" s="1"/>
  <c r="N481" i="2"/>
  <c r="N481" i="1" s="1"/>
  <c r="M481" i="2"/>
  <c r="M481" i="1" s="1"/>
  <c r="L481" i="2"/>
  <c r="K481"/>
  <c r="K481" i="1" s="1"/>
  <c r="J481" i="2"/>
  <c r="J481" i="1" s="1"/>
  <c r="I481" i="2"/>
  <c r="I481" i="1" s="1"/>
  <c r="H481" i="2"/>
  <c r="H481" i="1" s="1"/>
  <c r="G481" i="2"/>
  <c r="G481" i="1" s="1"/>
  <c r="F481" i="2"/>
  <c r="F481" i="1" s="1"/>
  <c r="E481" i="2"/>
  <c r="E481" i="1" s="1"/>
  <c r="D481" i="2"/>
  <c r="D481" i="1" s="1"/>
  <c r="C481" i="2"/>
  <c r="C481" i="1" s="1"/>
  <c r="O480" i="2"/>
  <c r="O480" i="1" s="1"/>
  <c r="N480" i="2"/>
  <c r="N480" i="1" s="1"/>
  <c r="M480" i="2"/>
  <c r="M480" i="1" s="1"/>
  <c r="L480" i="2"/>
  <c r="K480"/>
  <c r="K480" i="1" s="1"/>
  <c r="J480" i="2"/>
  <c r="J480" i="1" s="1"/>
  <c r="I480" i="2"/>
  <c r="I480" i="1" s="1"/>
  <c r="H480" i="2"/>
  <c r="H480" i="1" s="1"/>
  <c r="G480" i="2"/>
  <c r="G480" i="1" s="1"/>
  <c r="F480" i="2"/>
  <c r="F480" i="1" s="1"/>
  <c r="E480" i="2"/>
  <c r="E480" i="1" s="1"/>
  <c r="D480" i="2"/>
  <c r="D480" i="1" s="1"/>
  <c r="C480" i="2"/>
  <c r="C480" i="1" s="1"/>
  <c r="O479" i="2"/>
  <c r="O479" i="1" s="1"/>
  <c r="N479" i="2"/>
  <c r="N479" i="1" s="1"/>
  <c r="M479" i="2"/>
  <c r="M479" i="1" s="1"/>
  <c r="L479" i="2"/>
  <c r="K479"/>
  <c r="K479" i="1" s="1"/>
  <c r="J479" i="2"/>
  <c r="J479" i="1" s="1"/>
  <c r="I479" i="2"/>
  <c r="I479" i="1" s="1"/>
  <c r="H479" i="2"/>
  <c r="H479" i="1" s="1"/>
  <c r="G479" i="2"/>
  <c r="G479" i="1" s="1"/>
  <c r="F479" i="2"/>
  <c r="F479" i="1" s="1"/>
  <c r="E479" i="2"/>
  <c r="E479" i="1" s="1"/>
  <c r="D479" i="2"/>
  <c r="D479" i="1" s="1"/>
  <c r="C479" i="2"/>
  <c r="C479" i="1" s="1"/>
  <c r="O478" i="2"/>
  <c r="O478" i="1" s="1"/>
  <c r="N478" i="2"/>
  <c r="N478" i="1" s="1"/>
  <c r="M478" i="2"/>
  <c r="M478" i="1" s="1"/>
  <c r="L478" i="2"/>
  <c r="K478"/>
  <c r="K478" i="1" s="1"/>
  <c r="J478" i="2"/>
  <c r="J478" i="1" s="1"/>
  <c r="I478" i="2"/>
  <c r="I478" i="1" s="1"/>
  <c r="H478" i="2"/>
  <c r="H478" i="1" s="1"/>
  <c r="G478" i="2"/>
  <c r="G478" i="1" s="1"/>
  <c r="F478" i="2"/>
  <c r="F478" i="1" s="1"/>
  <c r="E478" i="2"/>
  <c r="E478" i="1" s="1"/>
  <c r="D478" i="2"/>
  <c r="D478" i="1" s="1"/>
  <c r="C478" i="2"/>
  <c r="C478" i="1" s="1"/>
  <c r="O477" i="2"/>
  <c r="O477" i="1" s="1"/>
  <c r="N477" i="2"/>
  <c r="N477" i="1" s="1"/>
  <c r="M477" i="2"/>
  <c r="M477" i="1" s="1"/>
  <c r="L477" i="2"/>
  <c r="K477"/>
  <c r="K477" i="1" s="1"/>
  <c r="J477" i="2"/>
  <c r="J477" i="1" s="1"/>
  <c r="I477" i="2"/>
  <c r="I477" i="1" s="1"/>
  <c r="H477" i="2"/>
  <c r="H477" i="1" s="1"/>
  <c r="G477" i="2"/>
  <c r="G477" i="1" s="1"/>
  <c r="F477" i="2"/>
  <c r="F477" i="1" s="1"/>
  <c r="E477" i="2"/>
  <c r="E477" i="1" s="1"/>
  <c r="D477" i="2"/>
  <c r="D477" i="1" s="1"/>
  <c r="C477" i="2"/>
  <c r="C477" i="1" s="1"/>
  <c r="O476" i="2"/>
  <c r="O476" i="1" s="1"/>
  <c r="N476" i="2"/>
  <c r="N476" i="1" s="1"/>
  <c r="M476" i="2"/>
  <c r="M476" i="1" s="1"/>
  <c r="L476" i="2"/>
  <c r="K476"/>
  <c r="K476" i="1" s="1"/>
  <c r="J476" i="2"/>
  <c r="J476" i="1" s="1"/>
  <c r="I476" i="2"/>
  <c r="I476" i="1" s="1"/>
  <c r="H476" i="2"/>
  <c r="H476" i="1" s="1"/>
  <c r="G476" i="2"/>
  <c r="G476" i="1" s="1"/>
  <c r="F476" i="2"/>
  <c r="F476" i="1" s="1"/>
  <c r="E476" i="2"/>
  <c r="E476" i="1" s="1"/>
  <c r="D476" i="2"/>
  <c r="D476" i="1" s="1"/>
  <c r="C476" i="2"/>
  <c r="C476" i="1" s="1"/>
  <c r="O475" i="2"/>
  <c r="O475" i="1" s="1"/>
  <c r="N475" i="2"/>
  <c r="N475" i="1" s="1"/>
  <c r="M475" i="2"/>
  <c r="M475" i="1" s="1"/>
  <c r="L475" i="2"/>
  <c r="K475"/>
  <c r="K475" i="1" s="1"/>
  <c r="J475" i="2"/>
  <c r="J475" i="1" s="1"/>
  <c r="I475" i="2"/>
  <c r="I475" i="1" s="1"/>
  <c r="H475" i="2"/>
  <c r="H475" i="1" s="1"/>
  <c r="G475" i="2"/>
  <c r="G475" i="1" s="1"/>
  <c r="F475" i="2"/>
  <c r="F475" i="1" s="1"/>
  <c r="E475" i="2"/>
  <c r="E475" i="1" s="1"/>
  <c r="D475" i="2"/>
  <c r="D475" i="1" s="1"/>
  <c r="C475" i="2"/>
  <c r="C475" i="1" s="1"/>
  <c r="O474" i="2"/>
  <c r="O474" i="1" s="1"/>
  <c r="N474" i="2"/>
  <c r="N474" i="1" s="1"/>
  <c r="M474" i="2"/>
  <c r="M474" i="1" s="1"/>
  <c r="L474" i="2"/>
  <c r="K474"/>
  <c r="K474" i="1" s="1"/>
  <c r="J474" i="2"/>
  <c r="J474" i="1" s="1"/>
  <c r="I474" i="2"/>
  <c r="I474" i="1" s="1"/>
  <c r="H474" i="2"/>
  <c r="H474" i="1" s="1"/>
  <c r="G474" i="2"/>
  <c r="G474" i="1" s="1"/>
  <c r="F474" i="2"/>
  <c r="F474" i="1" s="1"/>
  <c r="E474" i="2"/>
  <c r="E474" i="1" s="1"/>
  <c r="D474" i="2"/>
  <c r="D474" i="1" s="1"/>
  <c r="C474" i="2"/>
  <c r="C474" i="1" s="1"/>
  <c r="O473" i="2"/>
  <c r="O473" i="1" s="1"/>
  <c r="N473" i="2"/>
  <c r="N473" i="1" s="1"/>
  <c r="M473" i="2"/>
  <c r="M473" i="1" s="1"/>
  <c r="L473" i="2"/>
  <c r="K473"/>
  <c r="K473" i="1" s="1"/>
  <c r="J473" i="2"/>
  <c r="J473" i="1" s="1"/>
  <c r="I473" i="2"/>
  <c r="I473" i="1" s="1"/>
  <c r="H473" i="2"/>
  <c r="H473" i="1" s="1"/>
  <c r="G473" i="2"/>
  <c r="G473" i="1" s="1"/>
  <c r="F473" i="2"/>
  <c r="F473" i="1" s="1"/>
  <c r="E473" i="2"/>
  <c r="E473" i="1" s="1"/>
  <c r="D473" i="2"/>
  <c r="D473" i="1" s="1"/>
  <c r="C473" i="2"/>
  <c r="C473" i="1" s="1"/>
  <c r="O472" i="2"/>
  <c r="O472" i="1" s="1"/>
  <c r="N472" i="2"/>
  <c r="N472" i="1" s="1"/>
  <c r="M472" i="2"/>
  <c r="M472" i="1" s="1"/>
  <c r="L472" i="2"/>
  <c r="K472"/>
  <c r="K472" i="1" s="1"/>
  <c r="J472" i="2"/>
  <c r="J472" i="1" s="1"/>
  <c r="I472" i="2"/>
  <c r="I472" i="1" s="1"/>
  <c r="H472" i="2"/>
  <c r="H472" i="1" s="1"/>
  <c r="G472" i="2"/>
  <c r="G472" i="1" s="1"/>
  <c r="F472" i="2"/>
  <c r="F472" i="1" s="1"/>
  <c r="E472" i="2"/>
  <c r="E472" i="1" s="1"/>
  <c r="D472" i="2"/>
  <c r="D472" i="1" s="1"/>
  <c r="C472" i="2"/>
  <c r="C472" i="1" s="1"/>
  <c r="O471" i="2"/>
  <c r="O471" i="1" s="1"/>
  <c r="N471" i="2"/>
  <c r="N471" i="1" s="1"/>
  <c r="M471" i="2"/>
  <c r="M471" i="1" s="1"/>
  <c r="L471" i="2"/>
  <c r="K471"/>
  <c r="K471" i="1" s="1"/>
  <c r="J471" i="2"/>
  <c r="J471" i="1" s="1"/>
  <c r="I471" i="2"/>
  <c r="I471" i="1" s="1"/>
  <c r="H471" i="2"/>
  <c r="H471" i="1" s="1"/>
  <c r="G471" i="2"/>
  <c r="G471" i="1" s="1"/>
  <c r="F471" i="2"/>
  <c r="F471" i="1" s="1"/>
  <c r="E471" i="2"/>
  <c r="E471" i="1" s="1"/>
  <c r="D471" i="2"/>
  <c r="D471" i="1" s="1"/>
  <c r="C471" i="2"/>
  <c r="C471" i="1" s="1"/>
  <c r="O470" i="2"/>
  <c r="O470" i="1" s="1"/>
  <c r="N470" i="2"/>
  <c r="N470" i="1" s="1"/>
  <c r="M470" i="2"/>
  <c r="M470" i="1" s="1"/>
  <c r="L470" i="2"/>
  <c r="K470"/>
  <c r="K470" i="1" s="1"/>
  <c r="J470" i="2"/>
  <c r="J470" i="1" s="1"/>
  <c r="I470" i="2"/>
  <c r="I470" i="1" s="1"/>
  <c r="H470" i="2"/>
  <c r="H470" i="1" s="1"/>
  <c r="G470" i="2"/>
  <c r="G470" i="1" s="1"/>
  <c r="F470" i="2"/>
  <c r="F470" i="1" s="1"/>
  <c r="E470" i="2"/>
  <c r="E470" i="1" s="1"/>
  <c r="D470" i="2"/>
  <c r="D470" i="1" s="1"/>
  <c r="C470" i="2"/>
  <c r="C470" i="1" s="1"/>
  <c r="O469" i="2"/>
  <c r="O469" i="1" s="1"/>
  <c r="N469" i="2"/>
  <c r="N469" i="1" s="1"/>
  <c r="M469" i="2"/>
  <c r="M469" i="1" s="1"/>
  <c r="L469" i="2"/>
  <c r="K469"/>
  <c r="K469" i="1" s="1"/>
  <c r="J469" i="2"/>
  <c r="J469" i="1" s="1"/>
  <c r="I469" i="2"/>
  <c r="I469" i="1" s="1"/>
  <c r="H469" i="2"/>
  <c r="H469" i="1" s="1"/>
  <c r="G469" i="2"/>
  <c r="G469" i="1" s="1"/>
  <c r="F469" i="2"/>
  <c r="F469" i="1" s="1"/>
  <c r="E469" i="2"/>
  <c r="E469" i="1" s="1"/>
  <c r="D469" i="2"/>
  <c r="D469" i="1" s="1"/>
  <c r="C469" i="2"/>
  <c r="C469" i="1" s="1"/>
  <c r="O468" i="2"/>
  <c r="O468" i="1" s="1"/>
  <c r="N468" i="2"/>
  <c r="N468" i="1" s="1"/>
  <c r="M468" i="2"/>
  <c r="M468" i="1" s="1"/>
  <c r="L468" i="2"/>
  <c r="K468"/>
  <c r="K468" i="1" s="1"/>
  <c r="J468" i="2"/>
  <c r="J468" i="1" s="1"/>
  <c r="I468" i="2"/>
  <c r="I468" i="1" s="1"/>
  <c r="H468" i="2"/>
  <c r="H468" i="1" s="1"/>
  <c r="G468" i="2"/>
  <c r="G468" i="1" s="1"/>
  <c r="F468" i="2"/>
  <c r="F468" i="1" s="1"/>
  <c r="E468" i="2"/>
  <c r="E468" i="1" s="1"/>
  <c r="D468" i="2"/>
  <c r="D468" i="1" s="1"/>
  <c r="C468" i="2"/>
  <c r="C468" i="1" s="1"/>
  <c r="O467" i="2"/>
  <c r="O467" i="1" s="1"/>
  <c r="N467" i="2"/>
  <c r="N467" i="1" s="1"/>
  <c r="M467" i="2"/>
  <c r="M467" i="1" s="1"/>
  <c r="L467" i="2"/>
  <c r="K467"/>
  <c r="K467" i="1" s="1"/>
  <c r="J467" i="2"/>
  <c r="J467" i="1" s="1"/>
  <c r="I467" i="2"/>
  <c r="I467" i="1" s="1"/>
  <c r="H467" i="2"/>
  <c r="H467" i="1" s="1"/>
  <c r="G467" i="2"/>
  <c r="G467" i="1" s="1"/>
  <c r="F467" i="2"/>
  <c r="F467" i="1" s="1"/>
  <c r="E467" i="2"/>
  <c r="E467" i="1" s="1"/>
  <c r="D467" i="2"/>
  <c r="D467" i="1" s="1"/>
  <c r="C467" i="2"/>
  <c r="C467" i="1" s="1"/>
  <c r="O466" i="2"/>
  <c r="O466" i="1" s="1"/>
  <c r="N466" i="2"/>
  <c r="N466" i="1" s="1"/>
  <c r="M466" i="2"/>
  <c r="M466" i="1" s="1"/>
  <c r="L466" i="2"/>
  <c r="K466"/>
  <c r="K466" i="1" s="1"/>
  <c r="J466" i="2"/>
  <c r="J466" i="1" s="1"/>
  <c r="I466" i="2"/>
  <c r="I466" i="1" s="1"/>
  <c r="H466" i="2"/>
  <c r="H466" i="1" s="1"/>
  <c r="G466" i="2"/>
  <c r="G466" i="1" s="1"/>
  <c r="F466" i="2"/>
  <c r="F466" i="1" s="1"/>
  <c r="E466" i="2"/>
  <c r="E466" i="1" s="1"/>
  <c r="D466" i="2"/>
  <c r="D466" i="1" s="1"/>
  <c r="C466" i="2"/>
  <c r="C466" i="1" s="1"/>
  <c r="O465" i="2"/>
  <c r="O465" i="1" s="1"/>
  <c r="N465" i="2"/>
  <c r="N465" i="1" s="1"/>
  <c r="M465" i="2"/>
  <c r="M465" i="1" s="1"/>
  <c r="L465" i="2"/>
  <c r="K465"/>
  <c r="K465" i="1" s="1"/>
  <c r="J465" i="2"/>
  <c r="J465" i="1" s="1"/>
  <c r="I465" i="2"/>
  <c r="I465" i="1" s="1"/>
  <c r="H465" i="2"/>
  <c r="H465" i="1" s="1"/>
  <c r="G465" i="2"/>
  <c r="G465" i="1" s="1"/>
  <c r="F465" i="2"/>
  <c r="F465" i="1" s="1"/>
  <c r="E465" i="2"/>
  <c r="E465" i="1" s="1"/>
  <c r="D465" i="2"/>
  <c r="D465" i="1" s="1"/>
  <c r="C465" i="2"/>
  <c r="C465" i="1" s="1"/>
  <c r="O464" i="2"/>
  <c r="O464" i="1" s="1"/>
  <c r="N464" i="2"/>
  <c r="N464" i="1" s="1"/>
  <c r="M464" i="2"/>
  <c r="M464" i="1" s="1"/>
  <c r="L464" i="2"/>
  <c r="K464"/>
  <c r="K464" i="1" s="1"/>
  <c r="J464" i="2"/>
  <c r="J464" i="1" s="1"/>
  <c r="I464" i="2"/>
  <c r="I464" i="1" s="1"/>
  <c r="H464" i="2"/>
  <c r="H464" i="1" s="1"/>
  <c r="G464" i="2"/>
  <c r="G464" i="1" s="1"/>
  <c r="F464" i="2"/>
  <c r="F464" i="1" s="1"/>
  <c r="E464" i="2"/>
  <c r="E464" i="1" s="1"/>
  <c r="D464" i="2"/>
  <c r="D464" i="1" s="1"/>
  <c r="C464" i="2"/>
  <c r="C464" i="1" s="1"/>
  <c r="O463" i="2"/>
  <c r="O463" i="1" s="1"/>
  <c r="N463" i="2"/>
  <c r="N463" i="1" s="1"/>
  <c r="M463" i="2"/>
  <c r="M463" i="1" s="1"/>
  <c r="L463" i="2"/>
  <c r="K463"/>
  <c r="K463" i="1" s="1"/>
  <c r="J463" i="2"/>
  <c r="J463" i="1" s="1"/>
  <c r="I463" i="2"/>
  <c r="I463" i="1" s="1"/>
  <c r="H463" i="2"/>
  <c r="H463" i="1" s="1"/>
  <c r="G463" i="2"/>
  <c r="G463" i="1" s="1"/>
  <c r="F463" i="2"/>
  <c r="F463" i="1" s="1"/>
  <c r="E463" i="2"/>
  <c r="E463" i="1" s="1"/>
  <c r="D463" i="2"/>
  <c r="D463" i="1" s="1"/>
  <c r="C463" i="2"/>
  <c r="C463" i="1" s="1"/>
  <c r="O462" i="2"/>
  <c r="O462" i="1" s="1"/>
  <c r="N462" i="2"/>
  <c r="N462" i="1" s="1"/>
  <c r="M462" i="2"/>
  <c r="M462" i="1" s="1"/>
  <c r="L462" i="2"/>
  <c r="K462"/>
  <c r="K462" i="1" s="1"/>
  <c r="J462" i="2"/>
  <c r="J462" i="1" s="1"/>
  <c r="I462" i="2"/>
  <c r="I462" i="1" s="1"/>
  <c r="H462" i="2"/>
  <c r="H462" i="1" s="1"/>
  <c r="G462" i="2"/>
  <c r="G462" i="1" s="1"/>
  <c r="F462" i="2"/>
  <c r="F462" i="1" s="1"/>
  <c r="E462" i="2"/>
  <c r="E462" i="1" s="1"/>
  <c r="D462" i="2"/>
  <c r="D462" i="1" s="1"/>
  <c r="C462" i="2"/>
  <c r="C462" i="1" s="1"/>
  <c r="O461" i="2"/>
  <c r="O461" i="1" s="1"/>
  <c r="N461" i="2"/>
  <c r="N461" i="1" s="1"/>
  <c r="M461" i="2"/>
  <c r="M461" i="1" s="1"/>
  <c r="L461" i="2"/>
  <c r="K461"/>
  <c r="K461" i="1" s="1"/>
  <c r="J461" i="2"/>
  <c r="J461" i="1" s="1"/>
  <c r="I461" i="2"/>
  <c r="I461" i="1" s="1"/>
  <c r="H461" i="2"/>
  <c r="H461" i="1" s="1"/>
  <c r="G461" i="2"/>
  <c r="G461" i="1" s="1"/>
  <c r="F461" i="2"/>
  <c r="F461" i="1" s="1"/>
  <c r="E461" i="2"/>
  <c r="E461" i="1" s="1"/>
  <c r="D461" i="2"/>
  <c r="D461" i="1" s="1"/>
  <c r="C461" i="2"/>
  <c r="C461" i="1" s="1"/>
  <c r="O460" i="2"/>
  <c r="O460" i="1" s="1"/>
  <c r="N460" i="2"/>
  <c r="N460" i="1" s="1"/>
  <c r="M460" i="2"/>
  <c r="M460" i="1" s="1"/>
  <c r="L460" i="2"/>
  <c r="K460"/>
  <c r="K460" i="1" s="1"/>
  <c r="J460" i="2"/>
  <c r="J460" i="1" s="1"/>
  <c r="I460" i="2"/>
  <c r="I460" i="1" s="1"/>
  <c r="H460" i="2"/>
  <c r="H460" i="1" s="1"/>
  <c r="G460" i="2"/>
  <c r="G460" i="1" s="1"/>
  <c r="F460" i="2"/>
  <c r="F460" i="1" s="1"/>
  <c r="E460" i="2"/>
  <c r="E460" i="1" s="1"/>
  <c r="D460" i="2"/>
  <c r="D460" i="1" s="1"/>
  <c r="C460" i="2"/>
  <c r="C460" i="1" s="1"/>
  <c r="O459" i="2"/>
  <c r="O459" i="1" s="1"/>
  <c r="N459" i="2"/>
  <c r="N459" i="1" s="1"/>
  <c r="M459" i="2"/>
  <c r="M459" i="1" s="1"/>
  <c r="L459" i="2"/>
  <c r="K459"/>
  <c r="K459" i="1" s="1"/>
  <c r="J459" i="2"/>
  <c r="J459" i="1" s="1"/>
  <c r="I459" i="2"/>
  <c r="I459" i="1" s="1"/>
  <c r="H459" i="2"/>
  <c r="H459" i="1" s="1"/>
  <c r="G459" i="2"/>
  <c r="G459" i="1" s="1"/>
  <c r="F459" i="2"/>
  <c r="F459" i="1" s="1"/>
  <c r="E459" i="2"/>
  <c r="E459" i="1" s="1"/>
  <c r="D459" i="2"/>
  <c r="D459" i="1" s="1"/>
  <c r="C459" i="2"/>
  <c r="C459" i="1" s="1"/>
  <c r="O458" i="2"/>
  <c r="O458" i="1" s="1"/>
  <c r="N458" i="2"/>
  <c r="N458" i="1" s="1"/>
  <c r="M458" i="2"/>
  <c r="M458" i="1" s="1"/>
  <c r="L458" i="2"/>
  <c r="K458"/>
  <c r="K458" i="1" s="1"/>
  <c r="J458" i="2"/>
  <c r="J458" i="1" s="1"/>
  <c r="I458" i="2"/>
  <c r="I458" i="1" s="1"/>
  <c r="H458" i="2"/>
  <c r="H458" i="1" s="1"/>
  <c r="G458" i="2"/>
  <c r="G458" i="1" s="1"/>
  <c r="F458" i="2"/>
  <c r="F458" i="1" s="1"/>
  <c r="E458" i="2"/>
  <c r="E458" i="1" s="1"/>
  <c r="D458" i="2"/>
  <c r="D458" i="1" s="1"/>
  <c r="C458" i="2"/>
  <c r="C458" i="1" s="1"/>
  <c r="O457" i="2"/>
  <c r="O457" i="1" s="1"/>
  <c r="N457" i="2"/>
  <c r="N457" i="1" s="1"/>
  <c r="M457" i="2"/>
  <c r="M457" i="1" s="1"/>
  <c r="L457" i="2"/>
  <c r="K457"/>
  <c r="K457" i="1" s="1"/>
  <c r="J457" i="2"/>
  <c r="J457" i="1" s="1"/>
  <c r="I457" i="2"/>
  <c r="I457" i="1" s="1"/>
  <c r="H457" i="2"/>
  <c r="H457" i="1" s="1"/>
  <c r="G457" i="2"/>
  <c r="G457" i="1" s="1"/>
  <c r="F457" i="2"/>
  <c r="F457" i="1" s="1"/>
  <c r="E457" i="2"/>
  <c r="E457" i="1" s="1"/>
  <c r="D457" i="2"/>
  <c r="D457" i="1" s="1"/>
  <c r="C457" i="2"/>
  <c r="C457" i="1" s="1"/>
  <c r="O456" i="2"/>
  <c r="O456" i="1" s="1"/>
  <c r="N456" i="2"/>
  <c r="N456" i="1" s="1"/>
  <c r="M456" i="2"/>
  <c r="M456" i="1" s="1"/>
  <c r="L456" i="2"/>
  <c r="K456"/>
  <c r="K456" i="1" s="1"/>
  <c r="J456" i="2"/>
  <c r="J456" i="1" s="1"/>
  <c r="I456" i="2"/>
  <c r="I456" i="1" s="1"/>
  <c r="H456" i="2"/>
  <c r="H456" i="1" s="1"/>
  <c r="G456" i="2"/>
  <c r="G456" i="1" s="1"/>
  <c r="F456" i="2"/>
  <c r="F456" i="1" s="1"/>
  <c r="E456" i="2"/>
  <c r="E456" i="1" s="1"/>
  <c r="D456" i="2"/>
  <c r="D456" i="1" s="1"/>
  <c r="C456" i="2"/>
  <c r="C456" i="1" s="1"/>
  <c r="O455" i="2"/>
  <c r="O455" i="1" s="1"/>
  <c r="N455" i="2"/>
  <c r="N455" i="1" s="1"/>
  <c r="M455" i="2"/>
  <c r="M455" i="1" s="1"/>
  <c r="L455" i="2"/>
  <c r="K455"/>
  <c r="K455" i="1" s="1"/>
  <c r="J455" i="2"/>
  <c r="J455" i="1" s="1"/>
  <c r="I455" i="2"/>
  <c r="I455" i="1" s="1"/>
  <c r="H455" i="2"/>
  <c r="H455" i="1" s="1"/>
  <c r="G455" i="2"/>
  <c r="G455" i="1" s="1"/>
  <c r="F455" i="2"/>
  <c r="F455" i="1" s="1"/>
  <c r="E455" i="2"/>
  <c r="E455" i="1" s="1"/>
  <c r="D455" i="2"/>
  <c r="D455" i="1" s="1"/>
  <c r="C455" i="2"/>
  <c r="C455" i="1" s="1"/>
  <c r="O454" i="2"/>
  <c r="O454" i="1" s="1"/>
  <c r="N454" i="2"/>
  <c r="N454" i="1" s="1"/>
  <c r="M454" i="2"/>
  <c r="M454" i="1" s="1"/>
  <c r="L454" i="2"/>
  <c r="K454"/>
  <c r="K454" i="1" s="1"/>
  <c r="J454" i="2"/>
  <c r="J454" i="1" s="1"/>
  <c r="I454" i="2"/>
  <c r="I454" i="1" s="1"/>
  <c r="H454" i="2"/>
  <c r="H454" i="1" s="1"/>
  <c r="G454" i="2"/>
  <c r="G454" i="1" s="1"/>
  <c r="F454" i="2"/>
  <c r="F454" i="1" s="1"/>
  <c r="E454" i="2"/>
  <c r="E454" i="1" s="1"/>
  <c r="D454" i="2"/>
  <c r="D454" i="1" s="1"/>
  <c r="C454" i="2"/>
  <c r="C454" i="1" s="1"/>
  <c r="O453" i="2"/>
  <c r="O453" i="1" s="1"/>
  <c r="N453" i="2"/>
  <c r="N453" i="1" s="1"/>
  <c r="M453" i="2"/>
  <c r="M453" i="1" s="1"/>
  <c r="L453" i="2"/>
  <c r="K453"/>
  <c r="K453" i="1" s="1"/>
  <c r="J453" i="2"/>
  <c r="J453" i="1" s="1"/>
  <c r="I453" i="2"/>
  <c r="I453" i="1" s="1"/>
  <c r="H453" i="2"/>
  <c r="H453" i="1" s="1"/>
  <c r="G453" i="2"/>
  <c r="G453" i="1" s="1"/>
  <c r="F453" i="2"/>
  <c r="F453" i="1" s="1"/>
  <c r="E453" i="2"/>
  <c r="E453" i="1" s="1"/>
  <c r="D453" i="2"/>
  <c r="D453" i="1" s="1"/>
  <c r="C453" i="2"/>
  <c r="C453" i="1" s="1"/>
  <c r="O452" i="2"/>
  <c r="O452" i="1" s="1"/>
  <c r="N452" i="2"/>
  <c r="N452" i="1" s="1"/>
  <c r="M452" i="2"/>
  <c r="M452" i="1" s="1"/>
  <c r="L452" i="2"/>
  <c r="K452"/>
  <c r="K452" i="1" s="1"/>
  <c r="J452" i="2"/>
  <c r="J452" i="1" s="1"/>
  <c r="I452" i="2"/>
  <c r="I452" i="1" s="1"/>
  <c r="H452" i="2"/>
  <c r="H452" i="1" s="1"/>
  <c r="G452" i="2"/>
  <c r="G452" i="1" s="1"/>
  <c r="F452" i="2"/>
  <c r="F452" i="1" s="1"/>
  <c r="E452" i="2"/>
  <c r="E452" i="1" s="1"/>
  <c r="D452" i="2"/>
  <c r="D452" i="1" s="1"/>
  <c r="C452" i="2"/>
  <c r="C452" i="1" s="1"/>
  <c r="O451" i="2"/>
  <c r="O451" i="1" s="1"/>
  <c r="N451" i="2"/>
  <c r="N451" i="1" s="1"/>
  <c r="M451" i="2"/>
  <c r="M451" i="1" s="1"/>
  <c r="L451" i="2"/>
  <c r="K451"/>
  <c r="K451" i="1" s="1"/>
  <c r="J451" i="2"/>
  <c r="J451" i="1" s="1"/>
  <c r="I451" i="2"/>
  <c r="I451" i="1" s="1"/>
  <c r="H451" i="2"/>
  <c r="H451" i="1" s="1"/>
  <c r="G451" i="2"/>
  <c r="G451" i="1" s="1"/>
  <c r="F451" i="2"/>
  <c r="F451" i="1" s="1"/>
  <c r="E451" i="2"/>
  <c r="E451" i="1" s="1"/>
  <c r="D451" i="2"/>
  <c r="D451" i="1" s="1"/>
  <c r="C451" i="2"/>
  <c r="C451" i="1" s="1"/>
  <c r="O450" i="2"/>
  <c r="O450" i="1" s="1"/>
  <c r="N450" i="2"/>
  <c r="N450" i="1" s="1"/>
  <c r="M450" i="2"/>
  <c r="M450" i="1" s="1"/>
  <c r="L450" i="2"/>
  <c r="K450"/>
  <c r="K450" i="1" s="1"/>
  <c r="J450" i="2"/>
  <c r="J450" i="1" s="1"/>
  <c r="I450" i="2"/>
  <c r="I450" i="1" s="1"/>
  <c r="H450" i="2"/>
  <c r="H450" i="1" s="1"/>
  <c r="G450" i="2"/>
  <c r="G450" i="1" s="1"/>
  <c r="F450" i="2"/>
  <c r="F450" i="1" s="1"/>
  <c r="E450" i="2"/>
  <c r="E450" i="1" s="1"/>
  <c r="D450" i="2"/>
  <c r="D450" i="1" s="1"/>
  <c r="C450" i="2"/>
  <c r="C450" i="1" s="1"/>
  <c r="O449" i="2"/>
  <c r="O449" i="1" s="1"/>
  <c r="N449" i="2"/>
  <c r="N449" i="1" s="1"/>
  <c r="M449" i="2"/>
  <c r="M449" i="1" s="1"/>
  <c r="L449" i="2"/>
  <c r="K449"/>
  <c r="K449" i="1" s="1"/>
  <c r="J449" i="2"/>
  <c r="J449" i="1" s="1"/>
  <c r="I449" i="2"/>
  <c r="I449" i="1" s="1"/>
  <c r="H449" i="2"/>
  <c r="H449" i="1" s="1"/>
  <c r="G449" i="2"/>
  <c r="G449" i="1" s="1"/>
  <c r="F449" i="2"/>
  <c r="F449" i="1" s="1"/>
  <c r="E449" i="2"/>
  <c r="E449" i="1" s="1"/>
  <c r="D449" i="2"/>
  <c r="D449" i="1" s="1"/>
  <c r="C449" i="2"/>
  <c r="C449" i="1" s="1"/>
  <c r="O448" i="2"/>
  <c r="O448" i="1" s="1"/>
  <c r="N448" i="2"/>
  <c r="N448" i="1" s="1"/>
  <c r="M448" i="2"/>
  <c r="M448" i="1" s="1"/>
  <c r="L448" i="2"/>
  <c r="K448"/>
  <c r="K448" i="1" s="1"/>
  <c r="J448" i="2"/>
  <c r="J448" i="1" s="1"/>
  <c r="I448" i="2"/>
  <c r="I448" i="1" s="1"/>
  <c r="H448" i="2"/>
  <c r="H448" i="1" s="1"/>
  <c r="G448" i="2"/>
  <c r="G448" i="1" s="1"/>
  <c r="F448" i="2"/>
  <c r="F448" i="1" s="1"/>
  <c r="E448" i="2"/>
  <c r="E448" i="1" s="1"/>
  <c r="D448" i="2"/>
  <c r="D448" i="1" s="1"/>
  <c r="C448" i="2"/>
  <c r="C448" i="1" s="1"/>
  <c r="O447" i="2"/>
  <c r="O447" i="1" s="1"/>
  <c r="N447" i="2"/>
  <c r="N447" i="1" s="1"/>
  <c r="M447" i="2"/>
  <c r="M447" i="1" s="1"/>
  <c r="L447" i="2"/>
  <c r="K447"/>
  <c r="K447" i="1" s="1"/>
  <c r="J447" i="2"/>
  <c r="J447" i="1" s="1"/>
  <c r="I447" i="2"/>
  <c r="I447" i="1" s="1"/>
  <c r="H447" i="2"/>
  <c r="H447" i="1" s="1"/>
  <c r="G447" i="2"/>
  <c r="G447" i="1" s="1"/>
  <c r="F447" i="2"/>
  <c r="F447" i="1" s="1"/>
  <c r="E447" i="2"/>
  <c r="E447" i="1" s="1"/>
  <c r="D447" i="2"/>
  <c r="D447" i="1" s="1"/>
  <c r="C447" i="2"/>
  <c r="C447" i="1" s="1"/>
  <c r="O446" i="2"/>
  <c r="O446" i="1" s="1"/>
  <c r="N446" i="2"/>
  <c r="N446" i="1" s="1"/>
  <c r="M446" i="2"/>
  <c r="M446" i="1" s="1"/>
  <c r="L446" i="2"/>
  <c r="K446"/>
  <c r="K446" i="1" s="1"/>
  <c r="J446" i="2"/>
  <c r="J446" i="1" s="1"/>
  <c r="I446" i="2"/>
  <c r="I446" i="1" s="1"/>
  <c r="H446" i="2"/>
  <c r="H446" i="1" s="1"/>
  <c r="G446" i="2"/>
  <c r="G446" i="1" s="1"/>
  <c r="F446" i="2"/>
  <c r="F446" i="1" s="1"/>
  <c r="E446" i="2"/>
  <c r="E446" i="1" s="1"/>
  <c r="D446" i="2"/>
  <c r="D446" i="1" s="1"/>
  <c r="C446" i="2"/>
  <c r="C446" i="1" s="1"/>
  <c r="O445" i="2"/>
  <c r="O445" i="1" s="1"/>
  <c r="N445" i="2"/>
  <c r="N445" i="1" s="1"/>
  <c r="M445" i="2"/>
  <c r="M445" i="1" s="1"/>
  <c r="L445" i="2"/>
  <c r="K445"/>
  <c r="K445" i="1" s="1"/>
  <c r="J445" i="2"/>
  <c r="J445" i="1" s="1"/>
  <c r="I445" i="2"/>
  <c r="I445" i="1" s="1"/>
  <c r="H445" i="2"/>
  <c r="H445" i="1" s="1"/>
  <c r="G445" i="2"/>
  <c r="G445" i="1" s="1"/>
  <c r="F445" i="2"/>
  <c r="F445" i="1" s="1"/>
  <c r="E445" i="2"/>
  <c r="E445" i="1" s="1"/>
  <c r="D445" i="2"/>
  <c r="D445" i="1" s="1"/>
  <c r="C445" i="2"/>
  <c r="C445" i="1" s="1"/>
  <c r="O444" i="2"/>
  <c r="O444" i="1" s="1"/>
  <c r="N444" i="2"/>
  <c r="N444" i="1" s="1"/>
  <c r="M444" i="2"/>
  <c r="M444" i="1" s="1"/>
  <c r="L444" i="2"/>
  <c r="K444"/>
  <c r="K444" i="1" s="1"/>
  <c r="J444" i="2"/>
  <c r="J444" i="1" s="1"/>
  <c r="I444" i="2"/>
  <c r="I444" i="1" s="1"/>
  <c r="H444" i="2"/>
  <c r="H444" i="1" s="1"/>
  <c r="G444" i="2"/>
  <c r="G444" i="1" s="1"/>
  <c r="F444" i="2"/>
  <c r="F444" i="1" s="1"/>
  <c r="E444" i="2"/>
  <c r="E444" i="1" s="1"/>
  <c r="D444" i="2"/>
  <c r="D444" i="1" s="1"/>
  <c r="C444" i="2"/>
  <c r="C444" i="1" s="1"/>
  <c r="O443" i="2"/>
  <c r="O443" i="1" s="1"/>
  <c r="N443" i="2"/>
  <c r="N443" i="1" s="1"/>
  <c r="M443" i="2"/>
  <c r="M443" i="1" s="1"/>
  <c r="L443" i="2"/>
  <c r="K443"/>
  <c r="K443" i="1" s="1"/>
  <c r="J443" i="2"/>
  <c r="J443" i="1" s="1"/>
  <c r="I443" i="2"/>
  <c r="I443" i="1" s="1"/>
  <c r="H443" i="2"/>
  <c r="H443" i="1" s="1"/>
  <c r="G443" i="2"/>
  <c r="G443" i="1" s="1"/>
  <c r="F443" i="2"/>
  <c r="F443" i="1" s="1"/>
  <c r="E443" i="2"/>
  <c r="E443" i="1" s="1"/>
  <c r="D443" i="2"/>
  <c r="D443" i="1" s="1"/>
  <c r="C443" i="2"/>
  <c r="C443" i="1" s="1"/>
  <c r="O442" i="2"/>
  <c r="O442" i="1" s="1"/>
  <c r="N442" i="2"/>
  <c r="N442" i="1" s="1"/>
  <c r="M442" i="2"/>
  <c r="M442" i="1" s="1"/>
  <c r="L442" i="2"/>
  <c r="K442"/>
  <c r="K442" i="1" s="1"/>
  <c r="J442" i="2"/>
  <c r="J442" i="1" s="1"/>
  <c r="I442" i="2"/>
  <c r="I442" i="1" s="1"/>
  <c r="H442" i="2"/>
  <c r="H442" i="1" s="1"/>
  <c r="G442" i="2"/>
  <c r="G442" i="1" s="1"/>
  <c r="F442" i="2"/>
  <c r="F442" i="1" s="1"/>
  <c r="E442" i="2"/>
  <c r="E442" i="1" s="1"/>
  <c r="D442" i="2"/>
  <c r="D442" i="1" s="1"/>
  <c r="C442" i="2"/>
  <c r="C442" i="1" s="1"/>
  <c r="O441" i="2"/>
  <c r="O441" i="1" s="1"/>
  <c r="N441" i="2"/>
  <c r="N441" i="1" s="1"/>
  <c r="M441" i="2"/>
  <c r="M441" i="1" s="1"/>
  <c r="L441" i="2"/>
  <c r="K441"/>
  <c r="K441" i="1" s="1"/>
  <c r="J441" i="2"/>
  <c r="J441" i="1" s="1"/>
  <c r="I441" i="2"/>
  <c r="I441" i="1" s="1"/>
  <c r="H441" i="2"/>
  <c r="H441" i="1" s="1"/>
  <c r="G441" i="2"/>
  <c r="G441" i="1" s="1"/>
  <c r="F441" i="2"/>
  <c r="F441" i="1" s="1"/>
  <c r="E441" i="2"/>
  <c r="E441" i="1" s="1"/>
  <c r="D441" i="2"/>
  <c r="D441" i="1" s="1"/>
  <c r="C441" i="2"/>
  <c r="C441" i="1" s="1"/>
  <c r="O440" i="2"/>
  <c r="O440" i="1" s="1"/>
  <c r="N440" i="2"/>
  <c r="N440" i="1" s="1"/>
  <c r="M440" i="2"/>
  <c r="M440" i="1" s="1"/>
  <c r="L440" i="2"/>
  <c r="K440"/>
  <c r="K440" i="1" s="1"/>
  <c r="J440" i="2"/>
  <c r="J440" i="1" s="1"/>
  <c r="I440" i="2"/>
  <c r="I440" i="1" s="1"/>
  <c r="H440" i="2"/>
  <c r="H440" i="1" s="1"/>
  <c r="G440" i="2"/>
  <c r="G440" i="1" s="1"/>
  <c r="F440" i="2"/>
  <c r="F440" i="1" s="1"/>
  <c r="E440" i="2"/>
  <c r="E440" i="1" s="1"/>
  <c r="D440" i="2"/>
  <c r="D440" i="1" s="1"/>
  <c r="C440" i="2"/>
  <c r="C440" i="1" s="1"/>
  <c r="O439" i="2"/>
  <c r="O439" i="1" s="1"/>
  <c r="N439" i="2"/>
  <c r="N439" i="1" s="1"/>
  <c r="M439" i="2"/>
  <c r="M439" i="1" s="1"/>
  <c r="L439" i="2"/>
  <c r="K439"/>
  <c r="K439" i="1" s="1"/>
  <c r="J439" i="2"/>
  <c r="J439" i="1" s="1"/>
  <c r="I439" i="2"/>
  <c r="I439" i="1" s="1"/>
  <c r="H439" i="2"/>
  <c r="H439" i="1" s="1"/>
  <c r="G439" i="2"/>
  <c r="G439" i="1" s="1"/>
  <c r="F439" i="2"/>
  <c r="F439" i="1" s="1"/>
  <c r="E439" i="2"/>
  <c r="E439" i="1" s="1"/>
  <c r="D439" i="2"/>
  <c r="D439" i="1" s="1"/>
  <c r="C439" i="2"/>
  <c r="C439" i="1" s="1"/>
  <c r="O438" i="2"/>
  <c r="O438" i="1" s="1"/>
  <c r="N438" i="2"/>
  <c r="N438" i="1" s="1"/>
  <c r="M438" i="2"/>
  <c r="M438" i="1" s="1"/>
  <c r="L438" i="2"/>
  <c r="K438"/>
  <c r="K438" i="1" s="1"/>
  <c r="J438" i="2"/>
  <c r="J438" i="1" s="1"/>
  <c r="I438" i="2"/>
  <c r="I438" i="1" s="1"/>
  <c r="H438" i="2"/>
  <c r="H438" i="1" s="1"/>
  <c r="G438" i="2"/>
  <c r="G438" i="1" s="1"/>
  <c r="F438" i="2"/>
  <c r="F438" i="1" s="1"/>
  <c r="E438" i="2"/>
  <c r="E438" i="1" s="1"/>
  <c r="D438" i="2"/>
  <c r="D438" i="1" s="1"/>
  <c r="C438" i="2"/>
  <c r="C438" i="1" s="1"/>
  <c r="O437" i="2"/>
  <c r="O437" i="1" s="1"/>
  <c r="N437" i="2"/>
  <c r="N437" i="1" s="1"/>
  <c r="M437" i="2"/>
  <c r="M437" i="1" s="1"/>
  <c r="L437" i="2"/>
  <c r="K437"/>
  <c r="K437" i="1" s="1"/>
  <c r="J437" i="2"/>
  <c r="J437" i="1" s="1"/>
  <c r="I437" i="2"/>
  <c r="I437" i="1" s="1"/>
  <c r="H437" i="2"/>
  <c r="H437" i="1" s="1"/>
  <c r="G437" i="2"/>
  <c r="G437" i="1" s="1"/>
  <c r="F437" i="2"/>
  <c r="F437" i="1" s="1"/>
  <c r="E437" i="2"/>
  <c r="E437" i="1" s="1"/>
  <c r="D437" i="2"/>
  <c r="D437" i="1" s="1"/>
  <c r="C437" i="2"/>
  <c r="C437" i="1" s="1"/>
  <c r="O436" i="2"/>
  <c r="O436" i="1" s="1"/>
  <c r="N436" i="2"/>
  <c r="N436" i="1" s="1"/>
  <c r="M436" i="2"/>
  <c r="M436" i="1" s="1"/>
  <c r="L436" i="2"/>
  <c r="K436"/>
  <c r="K436" i="1" s="1"/>
  <c r="J436" i="2"/>
  <c r="J436" i="1" s="1"/>
  <c r="I436" i="2"/>
  <c r="I436" i="1" s="1"/>
  <c r="H436" i="2"/>
  <c r="H436" i="1" s="1"/>
  <c r="G436" i="2"/>
  <c r="G436" i="1" s="1"/>
  <c r="F436" i="2"/>
  <c r="F436" i="1" s="1"/>
  <c r="E436" i="2"/>
  <c r="E436" i="1" s="1"/>
  <c r="D436" i="2"/>
  <c r="D436" i="1" s="1"/>
  <c r="C436" i="2"/>
  <c r="C436" i="1" s="1"/>
  <c r="O435" i="2"/>
  <c r="O435" i="1" s="1"/>
  <c r="N435" i="2"/>
  <c r="N435" i="1" s="1"/>
  <c r="M435" i="2"/>
  <c r="M435" i="1" s="1"/>
  <c r="L435" i="2"/>
  <c r="K435"/>
  <c r="K435" i="1" s="1"/>
  <c r="J435" i="2"/>
  <c r="J435" i="1" s="1"/>
  <c r="I435" i="2"/>
  <c r="I435" i="1" s="1"/>
  <c r="H435" i="2"/>
  <c r="H435" i="1" s="1"/>
  <c r="G435" i="2"/>
  <c r="G435" i="1" s="1"/>
  <c r="F435" i="2"/>
  <c r="F435" i="1" s="1"/>
  <c r="E435" i="2"/>
  <c r="E435" i="1" s="1"/>
  <c r="D435" i="2"/>
  <c r="D435" i="1" s="1"/>
  <c r="C435" i="2"/>
  <c r="C435" i="1" s="1"/>
  <c r="O434" i="2"/>
  <c r="O434" i="1" s="1"/>
  <c r="N434" i="2"/>
  <c r="N434" i="1" s="1"/>
  <c r="M434" i="2"/>
  <c r="M434" i="1" s="1"/>
  <c r="L434" i="2"/>
  <c r="K434"/>
  <c r="K434" i="1" s="1"/>
  <c r="J434" i="2"/>
  <c r="J434" i="1" s="1"/>
  <c r="I434" i="2"/>
  <c r="I434" i="1" s="1"/>
  <c r="H434" i="2"/>
  <c r="H434" i="1" s="1"/>
  <c r="G434" i="2"/>
  <c r="G434" i="1" s="1"/>
  <c r="F434" i="2"/>
  <c r="F434" i="1" s="1"/>
  <c r="E434" i="2"/>
  <c r="E434" i="1" s="1"/>
  <c r="D434" i="2"/>
  <c r="D434" i="1" s="1"/>
  <c r="C434" i="2"/>
  <c r="C434" i="1" s="1"/>
  <c r="O433" i="2"/>
  <c r="O433" i="1" s="1"/>
  <c r="N433" i="2"/>
  <c r="N433" i="1" s="1"/>
  <c r="M433" i="2"/>
  <c r="M433" i="1" s="1"/>
  <c r="L433" i="2"/>
  <c r="K433"/>
  <c r="K433" i="1" s="1"/>
  <c r="J433" i="2"/>
  <c r="J433" i="1" s="1"/>
  <c r="I433" i="2"/>
  <c r="I433" i="1" s="1"/>
  <c r="H433" i="2"/>
  <c r="H433" i="1" s="1"/>
  <c r="G433" i="2"/>
  <c r="G433" i="1" s="1"/>
  <c r="F433" i="2"/>
  <c r="F433" i="1" s="1"/>
  <c r="E433" i="2"/>
  <c r="E433" i="1" s="1"/>
  <c r="D433" i="2"/>
  <c r="D433" i="1" s="1"/>
  <c r="C433" i="2"/>
  <c r="C433" i="1" s="1"/>
  <c r="O432" i="2"/>
  <c r="O432" i="1" s="1"/>
  <c r="N432" i="2"/>
  <c r="N432" i="1" s="1"/>
  <c r="M432" i="2"/>
  <c r="M432" i="1" s="1"/>
  <c r="L432" i="2"/>
  <c r="K432"/>
  <c r="K432" i="1" s="1"/>
  <c r="J432" i="2"/>
  <c r="J432" i="1" s="1"/>
  <c r="I432" i="2"/>
  <c r="I432" i="1" s="1"/>
  <c r="H432" i="2"/>
  <c r="H432" i="1" s="1"/>
  <c r="G432" i="2"/>
  <c r="G432" i="1" s="1"/>
  <c r="F432" i="2"/>
  <c r="F432" i="1" s="1"/>
  <c r="E432" i="2"/>
  <c r="E432" i="1" s="1"/>
  <c r="D432" i="2"/>
  <c r="D432" i="1" s="1"/>
  <c r="C432" i="2"/>
  <c r="C432" i="1" s="1"/>
  <c r="O431" i="2"/>
  <c r="O431" i="1" s="1"/>
  <c r="N431" i="2"/>
  <c r="N431" i="1" s="1"/>
  <c r="M431" i="2"/>
  <c r="M431" i="1" s="1"/>
  <c r="L431" i="2"/>
  <c r="K431"/>
  <c r="K431" i="1" s="1"/>
  <c r="J431" i="2"/>
  <c r="J431" i="1" s="1"/>
  <c r="I431" i="2"/>
  <c r="I431" i="1" s="1"/>
  <c r="H431" i="2"/>
  <c r="H431" i="1" s="1"/>
  <c r="G431" i="2"/>
  <c r="G431" i="1" s="1"/>
  <c r="F431" i="2"/>
  <c r="F431" i="1" s="1"/>
  <c r="E431" i="2"/>
  <c r="E431" i="1" s="1"/>
  <c r="D431" i="2"/>
  <c r="D431" i="1" s="1"/>
  <c r="C431" i="2"/>
  <c r="C431" i="1" s="1"/>
  <c r="O430" i="2"/>
  <c r="O430" i="1" s="1"/>
  <c r="N430" i="2"/>
  <c r="N430" i="1" s="1"/>
  <c r="M430" i="2"/>
  <c r="M430" i="1" s="1"/>
  <c r="L430" i="2"/>
  <c r="K430"/>
  <c r="K430" i="1" s="1"/>
  <c r="J430" i="2"/>
  <c r="J430" i="1" s="1"/>
  <c r="I430" i="2"/>
  <c r="I430" i="1" s="1"/>
  <c r="H430" i="2"/>
  <c r="H430" i="1" s="1"/>
  <c r="G430" i="2"/>
  <c r="G430" i="1" s="1"/>
  <c r="F430" i="2"/>
  <c r="F430" i="1" s="1"/>
  <c r="E430" i="2"/>
  <c r="E430" i="1" s="1"/>
  <c r="D430" i="2"/>
  <c r="D430" i="1" s="1"/>
  <c r="C430" i="2"/>
  <c r="C430" i="1" s="1"/>
  <c r="O429" i="2"/>
  <c r="O429" i="1" s="1"/>
  <c r="N429" i="2"/>
  <c r="N429" i="1" s="1"/>
  <c r="M429" i="2"/>
  <c r="M429" i="1" s="1"/>
  <c r="L429" i="2"/>
  <c r="K429"/>
  <c r="K429" i="1" s="1"/>
  <c r="J429" i="2"/>
  <c r="J429" i="1" s="1"/>
  <c r="I429" i="2"/>
  <c r="I429" i="1" s="1"/>
  <c r="H429" i="2"/>
  <c r="H429" i="1" s="1"/>
  <c r="G429" i="2"/>
  <c r="G429" i="1" s="1"/>
  <c r="F429" i="2"/>
  <c r="F429" i="1" s="1"/>
  <c r="E429" i="2"/>
  <c r="E429" i="1" s="1"/>
  <c r="D429" i="2"/>
  <c r="D429" i="1" s="1"/>
  <c r="C429" i="2"/>
  <c r="C429" i="1" s="1"/>
  <c r="O428" i="2"/>
  <c r="O428" i="1" s="1"/>
  <c r="N428" i="2"/>
  <c r="N428" i="1" s="1"/>
  <c r="M428" i="2"/>
  <c r="M428" i="1" s="1"/>
  <c r="L428" i="2"/>
  <c r="K428"/>
  <c r="K428" i="1" s="1"/>
  <c r="J428" i="2"/>
  <c r="J428" i="1" s="1"/>
  <c r="I428" i="2"/>
  <c r="I428" i="1" s="1"/>
  <c r="H428" i="2"/>
  <c r="H428" i="1" s="1"/>
  <c r="G428" i="2"/>
  <c r="G428" i="1" s="1"/>
  <c r="F428" i="2"/>
  <c r="F428" i="1" s="1"/>
  <c r="E428" i="2"/>
  <c r="E428" i="1" s="1"/>
  <c r="D428" i="2"/>
  <c r="D428" i="1" s="1"/>
  <c r="C428" i="2"/>
  <c r="C428" i="1" s="1"/>
  <c r="O427" i="2"/>
  <c r="O427" i="1" s="1"/>
  <c r="N427" i="2"/>
  <c r="N427" i="1" s="1"/>
  <c r="M427" i="2"/>
  <c r="M427" i="1" s="1"/>
  <c r="L427" i="2"/>
  <c r="K427"/>
  <c r="K427" i="1" s="1"/>
  <c r="J427" i="2"/>
  <c r="J427" i="1" s="1"/>
  <c r="I427" i="2"/>
  <c r="I427" i="1" s="1"/>
  <c r="H427" i="2"/>
  <c r="H427" i="1" s="1"/>
  <c r="G427" i="2"/>
  <c r="G427" i="1" s="1"/>
  <c r="F427" i="2"/>
  <c r="F427" i="1" s="1"/>
  <c r="E427" i="2"/>
  <c r="E427" i="1" s="1"/>
  <c r="D427" i="2"/>
  <c r="D427" i="1" s="1"/>
  <c r="C427" i="2"/>
  <c r="C427" i="1" s="1"/>
  <c r="O426" i="2"/>
  <c r="O426" i="1" s="1"/>
  <c r="N426" i="2"/>
  <c r="N426" i="1" s="1"/>
  <c r="M426" i="2"/>
  <c r="M426" i="1" s="1"/>
  <c r="L426" i="2"/>
  <c r="K426"/>
  <c r="K426" i="1" s="1"/>
  <c r="J426" i="2"/>
  <c r="J426" i="1" s="1"/>
  <c r="I426" i="2"/>
  <c r="I426" i="1" s="1"/>
  <c r="H426" i="2"/>
  <c r="H426" i="1" s="1"/>
  <c r="G426" i="2"/>
  <c r="G426" i="1" s="1"/>
  <c r="F426" i="2"/>
  <c r="F426" i="1" s="1"/>
  <c r="E426" i="2"/>
  <c r="E426" i="1" s="1"/>
  <c r="D426" i="2"/>
  <c r="D426" i="1" s="1"/>
  <c r="C426" i="2"/>
  <c r="C426" i="1" s="1"/>
  <c r="O425" i="2"/>
  <c r="O425" i="1" s="1"/>
  <c r="N425" i="2"/>
  <c r="N425" i="1" s="1"/>
  <c r="M425" i="2"/>
  <c r="M425" i="1" s="1"/>
  <c r="L425" i="2"/>
  <c r="K425"/>
  <c r="K425" i="1" s="1"/>
  <c r="J425" i="2"/>
  <c r="J425" i="1" s="1"/>
  <c r="I425" i="2"/>
  <c r="I425" i="1" s="1"/>
  <c r="H425" i="2"/>
  <c r="H425" i="1" s="1"/>
  <c r="G425" i="2"/>
  <c r="G425" i="1" s="1"/>
  <c r="F425" i="2"/>
  <c r="F425" i="1" s="1"/>
  <c r="E425" i="2"/>
  <c r="E425" i="1" s="1"/>
  <c r="D425" i="2"/>
  <c r="D425" i="1" s="1"/>
  <c r="C425" i="2"/>
  <c r="C425" i="1" s="1"/>
  <c r="O424" i="2"/>
  <c r="O424" i="1" s="1"/>
  <c r="N424" i="2"/>
  <c r="N424" i="1" s="1"/>
  <c r="M424" i="2"/>
  <c r="M424" i="1" s="1"/>
  <c r="L424" i="2"/>
  <c r="K424"/>
  <c r="K424" i="1" s="1"/>
  <c r="J424" i="2"/>
  <c r="J424" i="1" s="1"/>
  <c r="I424" i="2"/>
  <c r="I424" i="1" s="1"/>
  <c r="H424" i="2"/>
  <c r="H424" i="1" s="1"/>
  <c r="G424" i="2"/>
  <c r="G424" i="1" s="1"/>
  <c r="F424" i="2"/>
  <c r="F424" i="1" s="1"/>
  <c r="E424" i="2"/>
  <c r="E424" i="1" s="1"/>
  <c r="D424" i="2"/>
  <c r="D424" i="1" s="1"/>
  <c r="C424" i="2"/>
  <c r="C424" i="1" s="1"/>
  <c r="O423" i="2"/>
  <c r="O423" i="1" s="1"/>
  <c r="N423" i="2"/>
  <c r="N423" i="1" s="1"/>
  <c r="M423" i="2"/>
  <c r="M423" i="1" s="1"/>
  <c r="L423" i="2"/>
  <c r="K423"/>
  <c r="K423" i="1" s="1"/>
  <c r="J423" i="2"/>
  <c r="J423" i="1" s="1"/>
  <c r="I423" i="2"/>
  <c r="I423" i="1" s="1"/>
  <c r="H423" i="2"/>
  <c r="H423" i="1" s="1"/>
  <c r="G423" i="2"/>
  <c r="G423" i="1" s="1"/>
  <c r="F423" i="2"/>
  <c r="F423" i="1" s="1"/>
  <c r="E423" i="2"/>
  <c r="E423" i="1" s="1"/>
  <c r="D423" i="2"/>
  <c r="D423" i="1" s="1"/>
  <c r="C423" i="2"/>
  <c r="C423" i="1" s="1"/>
  <c r="O422" i="2"/>
  <c r="O422" i="1" s="1"/>
  <c r="N422" i="2"/>
  <c r="N422" i="1" s="1"/>
  <c r="M422" i="2"/>
  <c r="M422" i="1" s="1"/>
  <c r="L422" i="2"/>
  <c r="K422"/>
  <c r="K422" i="1" s="1"/>
  <c r="J422" i="2"/>
  <c r="J422" i="1" s="1"/>
  <c r="I422" i="2"/>
  <c r="I422" i="1" s="1"/>
  <c r="H422" i="2"/>
  <c r="H422" i="1" s="1"/>
  <c r="G422" i="2"/>
  <c r="G422" i="1" s="1"/>
  <c r="F422" i="2"/>
  <c r="F422" i="1" s="1"/>
  <c r="E422" i="2"/>
  <c r="E422" i="1" s="1"/>
  <c r="D422" i="2"/>
  <c r="D422" i="1" s="1"/>
  <c r="C422" i="2"/>
  <c r="C422" i="1" s="1"/>
  <c r="O421" i="2"/>
  <c r="O421" i="1" s="1"/>
  <c r="N421" i="2"/>
  <c r="N421" i="1" s="1"/>
  <c r="M421" i="2"/>
  <c r="M421" i="1" s="1"/>
  <c r="L421" i="2"/>
  <c r="K421"/>
  <c r="K421" i="1" s="1"/>
  <c r="J421" i="2"/>
  <c r="J421" i="1" s="1"/>
  <c r="I421" i="2"/>
  <c r="I421" i="1" s="1"/>
  <c r="H421" i="2"/>
  <c r="H421" i="1" s="1"/>
  <c r="G421" i="2"/>
  <c r="G421" i="1" s="1"/>
  <c r="F421" i="2"/>
  <c r="F421" i="1" s="1"/>
  <c r="E421" i="2"/>
  <c r="E421" i="1" s="1"/>
  <c r="D421" i="2"/>
  <c r="D421" i="1" s="1"/>
  <c r="C421" i="2"/>
  <c r="C421" i="1" s="1"/>
  <c r="O420" i="2"/>
  <c r="O420" i="1" s="1"/>
  <c r="N420" i="2"/>
  <c r="N420" i="1" s="1"/>
  <c r="M420" i="2"/>
  <c r="M420" i="1" s="1"/>
  <c r="L420" i="2"/>
  <c r="K420"/>
  <c r="K420" i="1" s="1"/>
  <c r="J420" i="2"/>
  <c r="J420" i="1" s="1"/>
  <c r="I420" i="2"/>
  <c r="I420" i="1" s="1"/>
  <c r="H420" i="2"/>
  <c r="H420" i="1" s="1"/>
  <c r="G420" i="2"/>
  <c r="G420" i="1" s="1"/>
  <c r="F420" i="2"/>
  <c r="F420" i="1" s="1"/>
  <c r="E420" i="2"/>
  <c r="E420" i="1" s="1"/>
  <c r="D420" i="2"/>
  <c r="D420" i="1" s="1"/>
  <c r="C420" i="2"/>
  <c r="C420" i="1" s="1"/>
  <c r="O419" i="2"/>
  <c r="O419" i="1" s="1"/>
  <c r="N419" i="2"/>
  <c r="N419" i="1" s="1"/>
  <c r="M419" i="2"/>
  <c r="M419" i="1" s="1"/>
  <c r="L419" i="2"/>
  <c r="K419"/>
  <c r="K419" i="1" s="1"/>
  <c r="J419" i="2"/>
  <c r="J419" i="1" s="1"/>
  <c r="I419" i="2"/>
  <c r="I419" i="1" s="1"/>
  <c r="H419" i="2"/>
  <c r="H419" i="1" s="1"/>
  <c r="G419" i="2"/>
  <c r="G419" i="1" s="1"/>
  <c r="F419" i="2"/>
  <c r="F419" i="1" s="1"/>
  <c r="E419" i="2"/>
  <c r="E419" i="1" s="1"/>
  <c r="D419" i="2"/>
  <c r="D419" i="1" s="1"/>
  <c r="C419" i="2"/>
  <c r="C419" i="1" s="1"/>
  <c r="O418" i="2"/>
  <c r="O418" i="1" s="1"/>
  <c r="N418" i="2"/>
  <c r="N418" i="1" s="1"/>
  <c r="M418" i="2"/>
  <c r="M418" i="1" s="1"/>
  <c r="L418" i="2"/>
  <c r="K418"/>
  <c r="K418" i="1" s="1"/>
  <c r="J418" i="2"/>
  <c r="J418" i="1" s="1"/>
  <c r="I418" i="2"/>
  <c r="I418" i="1" s="1"/>
  <c r="H418" i="2"/>
  <c r="H418" i="1" s="1"/>
  <c r="G418" i="2"/>
  <c r="G418" i="1" s="1"/>
  <c r="F418" i="2"/>
  <c r="F418" i="1" s="1"/>
  <c r="E418" i="2"/>
  <c r="E418" i="1" s="1"/>
  <c r="D418" i="2"/>
  <c r="D418" i="1" s="1"/>
  <c r="C418" i="2"/>
  <c r="C418" i="1" s="1"/>
  <c r="O417" i="2"/>
  <c r="O417" i="1" s="1"/>
  <c r="N417" i="2"/>
  <c r="N417" i="1" s="1"/>
  <c r="M417" i="2"/>
  <c r="M417" i="1" s="1"/>
  <c r="L417" i="2"/>
  <c r="K417"/>
  <c r="K417" i="1" s="1"/>
  <c r="J417" i="2"/>
  <c r="J417" i="1" s="1"/>
  <c r="I417" i="2"/>
  <c r="I417" i="1" s="1"/>
  <c r="H417" i="2"/>
  <c r="H417" i="1" s="1"/>
  <c r="G417" i="2"/>
  <c r="G417" i="1" s="1"/>
  <c r="F417" i="2"/>
  <c r="F417" i="1" s="1"/>
  <c r="E417" i="2"/>
  <c r="E417" i="1" s="1"/>
  <c r="D417" i="2"/>
  <c r="D417" i="1" s="1"/>
  <c r="C417" i="2"/>
  <c r="C417" i="1" s="1"/>
  <c r="O416" i="2"/>
  <c r="O416" i="1" s="1"/>
  <c r="N416" i="2"/>
  <c r="N416" i="1" s="1"/>
  <c r="M416" i="2"/>
  <c r="M416" i="1" s="1"/>
  <c r="L416" i="2"/>
  <c r="K416"/>
  <c r="K416" i="1" s="1"/>
  <c r="J416" i="2"/>
  <c r="J416" i="1" s="1"/>
  <c r="I416" i="2"/>
  <c r="I416" i="1" s="1"/>
  <c r="H416" i="2"/>
  <c r="H416" i="1" s="1"/>
  <c r="G416" i="2"/>
  <c r="G416" i="1" s="1"/>
  <c r="F416" i="2"/>
  <c r="F416" i="1" s="1"/>
  <c r="E416" i="2"/>
  <c r="E416" i="1" s="1"/>
  <c r="D416" i="2"/>
  <c r="D416" i="1" s="1"/>
  <c r="C416" i="2"/>
  <c r="C416" i="1" s="1"/>
  <c r="O415" i="2"/>
  <c r="O415" i="1" s="1"/>
  <c r="N415" i="2"/>
  <c r="N415" i="1" s="1"/>
  <c r="M415" i="2"/>
  <c r="M415" i="1" s="1"/>
  <c r="L415" i="2"/>
  <c r="K415"/>
  <c r="K415" i="1" s="1"/>
  <c r="J415" i="2"/>
  <c r="J415" i="1" s="1"/>
  <c r="I415" i="2"/>
  <c r="I415" i="1" s="1"/>
  <c r="H415" i="2"/>
  <c r="H415" i="1" s="1"/>
  <c r="G415" i="2"/>
  <c r="G415" i="1" s="1"/>
  <c r="F415" i="2"/>
  <c r="F415" i="1" s="1"/>
  <c r="E415" i="2"/>
  <c r="E415" i="1" s="1"/>
  <c r="D415" i="2"/>
  <c r="D415" i="1" s="1"/>
  <c r="C415" i="2"/>
  <c r="C415" i="1" s="1"/>
  <c r="O414" i="2"/>
  <c r="O414" i="1" s="1"/>
  <c r="N414" i="2"/>
  <c r="N414" i="1" s="1"/>
  <c r="M414" i="2"/>
  <c r="M414" i="1" s="1"/>
  <c r="L414" i="2"/>
  <c r="K414"/>
  <c r="K414" i="1" s="1"/>
  <c r="J414" i="2"/>
  <c r="J414" i="1" s="1"/>
  <c r="I414" i="2"/>
  <c r="I414" i="1" s="1"/>
  <c r="H414" i="2"/>
  <c r="H414" i="1" s="1"/>
  <c r="G414" i="2"/>
  <c r="G414" i="1" s="1"/>
  <c r="F414" i="2"/>
  <c r="F414" i="1" s="1"/>
  <c r="E414" i="2"/>
  <c r="E414" i="1" s="1"/>
  <c r="D414" i="2"/>
  <c r="D414" i="1" s="1"/>
  <c r="C414" i="2"/>
  <c r="C414" i="1" s="1"/>
  <c r="O413" i="2"/>
  <c r="O413" i="1" s="1"/>
  <c r="N413" i="2"/>
  <c r="N413" i="1" s="1"/>
  <c r="M413" i="2"/>
  <c r="M413" i="1" s="1"/>
  <c r="L413" i="2"/>
  <c r="K413"/>
  <c r="K413" i="1" s="1"/>
  <c r="J413" i="2"/>
  <c r="J413" i="1" s="1"/>
  <c r="I413" i="2"/>
  <c r="I413" i="1" s="1"/>
  <c r="H413" i="2"/>
  <c r="H413" i="1" s="1"/>
  <c r="G413" i="2"/>
  <c r="G413" i="1" s="1"/>
  <c r="F413" i="2"/>
  <c r="F413" i="1" s="1"/>
  <c r="E413" i="2"/>
  <c r="E413" i="1" s="1"/>
  <c r="D413" i="2"/>
  <c r="D413" i="1" s="1"/>
  <c r="C413" i="2"/>
  <c r="C413" i="1" s="1"/>
  <c r="O412" i="2"/>
  <c r="O412" i="1" s="1"/>
  <c r="N412" i="2"/>
  <c r="N412" i="1" s="1"/>
  <c r="M412" i="2"/>
  <c r="M412" i="1" s="1"/>
  <c r="L412" i="2"/>
  <c r="K412"/>
  <c r="K412" i="1" s="1"/>
  <c r="J412" i="2"/>
  <c r="J412" i="1" s="1"/>
  <c r="I412" i="2"/>
  <c r="I412" i="1" s="1"/>
  <c r="H412" i="2"/>
  <c r="H412" i="1" s="1"/>
  <c r="G412" i="2"/>
  <c r="G412" i="1" s="1"/>
  <c r="F412" i="2"/>
  <c r="F412" i="1" s="1"/>
  <c r="E412" i="2"/>
  <c r="E412" i="1" s="1"/>
  <c r="D412" i="2"/>
  <c r="D412" i="1" s="1"/>
  <c r="C412" i="2"/>
  <c r="C412" i="1" s="1"/>
  <c r="O411" i="2"/>
  <c r="O411" i="1" s="1"/>
  <c r="N411" i="2"/>
  <c r="N411" i="1" s="1"/>
  <c r="M411" i="2"/>
  <c r="M411" i="1" s="1"/>
  <c r="L411" i="2"/>
  <c r="K411"/>
  <c r="K411" i="1" s="1"/>
  <c r="J411" i="2"/>
  <c r="J411" i="1" s="1"/>
  <c r="I411" i="2"/>
  <c r="I411" i="1" s="1"/>
  <c r="H411" i="2"/>
  <c r="H411" i="1" s="1"/>
  <c r="G411" i="2"/>
  <c r="G411" i="1" s="1"/>
  <c r="F411" i="2"/>
  <c r="F411" i="1" s="1"/>
  <c r="E411" i="2"/>
  <c r="E411" i="1" s="1"/>
  <c r="D411" i="2"/>
  <c r="D411" i="1" s="1"/>
  <c r="C411" i="2"/>
  <c r="C411" i="1" s="1"/>
  <c r="O410" i="2"/>
  <c r="O410" i="1" s="1"/>
  <c r="N410" i="2"/>
  <c r="N410" i="1" s="1"/>
  <c r="M410" i="2"/>
  <c r="M410" i="1" s="1"/>
  <c r="L410" i="2"/>
  <c r="K410"/>
  <c r="K410" i="1" s="1"/>
  <c r="J410" i="2"/>
  <c r="J410" i="1" s="1"/>
  <c r="I410" i="2"/>
  <c r="I410" i="1" s="1"/>
  <c r="H410" i="2"/>
  <c r="H410" i="1" s="1"/>
  <c r="G410" i="2"/>
  <c r="G410" i="1" s="1"/>
  <c r="F410" i="2"/>
  <c r="F410" i="1" s="1"/>
  <c r="E410" i="2"/>
  <c r="E410" i="1" s="1"/>
  <c r="D410" i="2"/>
  <c r="D410" i="1" s="1"/>
  <c r="C410" i="2"/>
  <c r="C410" i="1" s="1"/>
  <c r="O409" i="2"/>
  <c r="O409" i="1" s="1"/>
  <c r="N409" i="2"/>
  <c r="N409" i="1" s="1"/>
  <c r="M409" i="2"/>
  <c r="M409" i="1" s="1"/>
  <c r="L409" i="2"/>
  <c r="K409"/>
  <c r="K409" i="1" s="1"/>
  <c r="J409" i="2"/>
  <c r="J409" i="1" s="1"/>
  <c r="I409" i="2"/>
  <c r="I409" i="1" s="1"/>
  <c r="H409" i="2"/>
  <c r="H409" i="1" s="1"/>
  <c r="G409" i="2"/>
  <c r="G409" i="1" s="1"/>
  <c r="F409" i="2"/>
  <c r="F409" i="1" s="1"/>
  <c r="E409" i="2"/>
  <c r="E409" i="1" s="1"/>
  <c r="D409" i="2"/>
  <c r="D409" i="1" s="1"/>
  <c r="C409" i="2"/>
  <c r="C409" i="1" s="1"/>
  <c r="O408" i="2"/>
  <c r="O408" i="1" s="1"/>
  <c r="N408" i="2"/>
  <c r="N408" i="1" s="1"/>
  <c r="M408" i="2"/>
  <c r="M408" i="1" s="1"/>
  <c r="L408" i="2"/>
  <c r="K408"/>
  <c r="K408" i="1" s="1"/>
  <c r="J408" i="2"/>
  <c r="J408" i="1" s="1"/>
  <c r="I408" i="2"/>
  <c r="I408" i="1" s="1"/>
  <c r="H408" i="2"/>
  <c r="H408" i="1" s="1"/>
  <c r="G408" i="2"/>
  <c r="G408" i="1" s="1"/>
  <c r="F408" i="2"/>
  <c r="F408" i="1" s="1"/>
  <c r="E408" i="2"/>
  <c r="E408" i="1" s="1"/>
  <c r="D408" i="2"/>
  <c r="D408" i="1" s="1"/>
  <c r="C408" i="2"/>
  <c r="C408" i="1" s="1"/>
  <c r="O407" i="2"/>
  <c r="O407" i="1" s="1"/>
  <c r="N407" i="2"/>
  <c r="N407" i="1" s="1"/>
  <c r="M407" i="2"/>
  <c r="M407" i="1" s="1"/>
  <c r="L407" i="2"/>
  <c r="K407"/>
  <c r="K407" i="1" s="1"/>
  <c r="J407" i="2"/>
  <c r="J407" i="1" s="1"/>
  <c r="I407" i="2"/>
  <c r="I407" i="1" s="1"/>
  <c r="H407" i="2"/>
  <c r="H407" i="1" s="1"/>
  <c r="G407" i="2"/>
  <c r="G407" i="1" s="1"/>
  <c r="F407" i="2"/>
  <c r="F407" i="1" s="1"/>
  <c r="E407" i="2"/>
  <c r="E407" i="1" s="1"/>
  <c r="D407" i="2"/>
  <c r="D407" i="1" s="1"/>
  <c r="C407" i="2"/>
  <c r="C407" i="1" s="1"/>
  <c r="O406" i="2"/>
  <c r="O406" i="1" s="1"/>
  <c r="N406" i="2"/>
  <c r="N406" i="1" s="1"/>
  <c r="M406" i="2"/>
  <c r="M406" i="1" s="1"/>
  <c r="L406" i="2"/>
  <c r="K406"/>
  <c r="K406" i="1" s="1"/>
  <c r="J406" i="2"/>
  <c r="J406" i="1" s="1"/>
  <c r="I406" i="2"/>
  <c r="I406" i="1" s="1"/>
  <c r="H406" i="2"/>
  <c r="H406" i="1" s="1"/>
  <c r="G406" i="2"/>
  <c r="G406" i="1" s="1"/>
  <c r="F406" i="2"/>
  <c r="F406" i="1" s="1"/>
  <c r="E406" i="2"/>
  <c r="E406" i="1" s="1"/>
  <c r="D406" i="2"/>
  <c r="D406" i="1" s="1"/>
  <c r="C406" i="2"/>
  <c r="C406" i="1" s="1"/>
  <c r="O405" i="2"/>
  <c r="O405" i="1" s="1"/>
  <c r="N405" i="2"/>
  <c r="N405" i="1" s="1"/>
  <c r="M405" i="2"/>
  <c r="M405" i="1" s="1"/>
  <c r="L405" i="2"/>
  <c r="K405"/>
  <c r="K405" i="1" s="1"/>
  <c r="J405" i="2"/>
  <c r="J405" i="1" s="1"/>
  <c r="I405" i="2"/>
  <c r="I405" i="1" s="1"/>
  <c r="H405" i="2"/>
  <c r="H405" i="1" s="1"/>
  <c r="G405" i="2"/>
  <c r="G405" i="1" s="1"/>
  <c r="F405" i="2"/>
  <c r="F405" i="1" s="1"/>
  <c r="E405" i="2"/>
  <c r="E405" i="1" s="1"/>
  <c r="D405" i="2"/>
  <c r="D405" i="1" s="1"/>
  <c r="C405" i="2"/>
  <c r="C405" i="1" s="1"/>
  <c r="O404" i="2"/>
  <c r="O404" i="1" s="1"/>
  <c r="N404" i="2"/>
  <c r="N404" i="1" s="1"/>
  <c r="M404" i="2"/>
  <c r="M404" i="1" s="1"/>
  <c r="L404" i="2"/>
  <c r="K404"/>
  <c r="K404" i="1" s="1"/>
  <c r="J404" i="2"/>
  <c r="J404" i="1" s="1"/>
  <c r="I404" i="2"/>
  <c r="I404" i="1" s="1"/>
  <c r="H404" i="2"/>
  <c r="H404" i="1" s="1"/>
  <c r="G404" i="2"/>
  <c r="G404" i="1" s="1"/>
  <c r="F404" i="2"/>
  <c r="F404" i="1" s="1"/>
  <c r="E404" i="2"/>
  <c r="E404" i="1" s="1"/>
  <c r="D404" i="2"/>
  <c r="D404" i="1" s="1"/>
  <c r="C404" i="2"/>
  <c r="C404" i="1" s="1"/>
  <c r="O403" i="2"/>
  <c r="O403" i="1" s="1"/>
  <c r="N403" i="2"/>
  <c r="N403" i="1" s="1"/>
  <c r="M403" i="2"/>
  <c r="M403" i="1" s="1"/>
  <c r="L403" i="2"/>
  <c r="K403"/>
  <c r="K403" i="1" s="1"/>
  <c r="J403" i="2"/>
  <c r="J403" i="1" s="1"/>
  <c r="I403" i="2"/>
  <c r="I403" i="1" s="1"/>
  <c r="H403" i="2"/>
  <c r="H403" i="1" s="1"/>
  <c r="G403" i="2"/>
  <c r="G403" i="1" s="1"/>
  <c r="F403" i="2"/>
  <c r="F403" i="1" s="1"/>
  <c r="E403" i="2"/>
  <c r="E403" i="1" s="1"/>
  <c r="D403" i="2"/>
  <c r="D403" i="1" s="1"/>
  <c r="C403" i="2"/>
  <c r="C403" i="1" s="1"/>
  <c r="O402" i="2"/>
  <c r="O402" i="1" s="1"/>
  <c r="N402" i="2"/>
  <c r="N402" i="1" s="1"/>
  <c r="M402" i="2"/>
  <c r="M402" i="1" s="1"/>
  <c r="L402" i="2"/>
  <c r="K402"/>
  <c r="K402" i="1" s="1"/>
  <c r="J402" i="2"/>
  <c r="J402" i="1" s="1"/>
  <c r="I402" i="2"/>
  <c r="I402" i="1" s="1"/>
  <c r="H402" i="2"/>
  <c r="H402" i="1" s="1"/>
  <c r="G402" i="2"/>
  <c r="G402" i="1" s="1"/>
  <c r="F402" i="2"/>
  <c r="F402" i="1" s="1"/>
  <c r="E402" i="2"/>
  <c r="E402" i="1" s="1"/>
  <c r="D402" i="2"/>
  <c r="D402" i="1" s="1"/>
  <c r="C402" i="2"/>
  <c r="C402" i="1" s="1"/>
  <c r="O401" i="2"/>
  <c r="O401" i="1" s="1"/>
  <c r="N401" i="2"/>
  <c r="N401" i="1" s="1"/>
  <c r="M401" i="2"/>
  <c r="M401" i="1" s="1"/>
  <c r="L401" i="2"/>
  <c r="K401"/>
  <c r="K401" i="1" s="1"/>
  <c r="J401" i="2"/>
  <c r="J401" i="1" s="1"/>
  <c r="I401" i="2"/>
  <c r="I401" i="1" s="1"/>
  <c r="H401" i="2"/>
  <c r="H401" i="1" s="1"/>
  <c r="G401" i="2"/>
  <c r="G401" i="1" s="1"/>
  <c r="F401" i="2"/>
  <c r="F401" i="1" s="1"/>
  <c r="E401" i="2"/>
  <c r="E401" i="1" s="1"/>
  <c r="D401" i="2"/>
  <c r="D401" i="1" s="1"/>
  <c r="C401" i="2"/>
  <c r="C401" i="1" s="1"/>
  <c r="O400" i="2"/>
  <c r="O400" i="1" s="1"/>
  <c r="N400" i="2"/>
  <c r="N400" i="1" s="1"/>
  <c r="M400" i="2"/>
  <c r="M400" i="1" s="1"/>
  <c r="L400" i="2"/>
  <c r="K400"/>
  <c r="K400" i="1" s="1"/>
  <c r="J400" i="2"/>
  <c r="J400" i="1" s="1"/>
  <c r="I400" i="2"/>
  <c r="I400" i="1" s="1"/>
  <c r="H400" i="2"/>
  <c r="H400" i="1" s="1"/>
  <c r="G400" i="2"/>
  <c r="G400" i="1" s="1"/>
  <c r="F400" i="2"/>
  <c r="F400" i="1" s="1"/>
  <c r="E400" i="2"/>
  <c r="E400" i="1" s="1"/>
  <c r="D400" i="2"/>
  <c r="D400" i="1" s="1"/>
  <c r="C400" i="2"/>
  <c r="C400" i="1" s="1"/>
  <c r="O399" i="2"/>
  <c r="O399" i="1" s="1"/>
  <c r="N399" i="2"/>
  <c r="N399" i="1" s="1"/>
  <c r="M399" i="2"/>
  <c r="M399" i="1" s="1"/>
  <c r="L399" i="2"/>
  <c r="K399"/>
  <c r="K399" i="1" s="1"/>
  <c r="J399" i="2"/>
  <c r="J399" i="1" s="1"/>
  <c r="I399" i="2"/>
  <c r="I399" i="1" s="1"/>
  <c r="H399" i="2"/>
  <c r="H399" i="1" s="1"/>
  <c r="G399" i="2"/>
  <c r="G399" i="1" s="1"/>
  <c r="F399" i="2"/>
  <c r="F399" i="1" s="1"/>
  <c r="E399" i="2"/>
  <c r="E399" i="1" s="1"/>
  <c r="D399" i="2"/>
  <c r="D399" i="1" s="1"/>
  <c r="C399" i="2"/>
  <c r="C399" i="1" s="1"/>
  <c r="O398" i="2"/>
  <c r="O398" i="1" s="1"/>
  <c r="N398" i="2"/>
  <c r="N398" i="1" s="1"/>
  <c r="M398" i="2"/>
  <c r="M398" i="1" s="1"/>
  <c r="L398" i="2"/>
  <c r="K398"/>
  <c r="K398" i="1" s="1"/>
  <c r="J398" i="2"/>
  <c r="J398" i="1" s="1"/>
  <c r="I398" i="2"/>
  <c r="I398" i="1" s="1"/>
  <c r="H398" i="2"/>
  <c r="H398" i="1" s="1"/>
  <c r="G398" i="2"/>
  <c r="G398" i="1" s="1"/>
  <c r="F398" i="2"/>
  <c r="F398" i="1" s="1"/>
  <c r="E398" i="2"/>
  <c r="E398" i="1" s="1"/>
  <c r="D398" i="2"/>
  <c r="D398" i="1" s="1"/>
  <c r="C398" i="2"/>
  <c r="C398" i="1" s="1"/>
  <c r="O397" i="2"/>
  <c r="O397" i="1" s="1"/>
  <c r="N397" i="2"/>
  <c r="N397" i="1" s="1"/>
  <c r="M397" i="2"/>
  <c r="M397" i="1" s="1"/>
  <c r="L397" i="2"/>
  <c r="K397"/>
  <c r="K397" i="1" s="1"/>
  <c r="J397" i="2"/>
  <c r="J397" i="1" s="1"/>
  <c r="I397" i="2"/>
  <c r="I397" i="1" s="1"/>
  <c r="H397" i="2"/>
  <c r="H397" i="1" s="1"/>
  <c r="G397" i="2"/>
  <c r="G397" i="1" s="1"/>
  <c r="F397" i="2"/>
  <c r="F397" i="1" s="1"/>
  <c r="E397" i="2"/>
  <c r="E397" i="1" s="1"/>
  <c r="D397" i="2"/>
  <c r="D397" i="1" s="1"/>
  <c r="C397" i="2"/>
  <c r="C397" i="1" s="1"/>
  <c r="O396" i="2"/>
  <c r="O396" i="1" s="1"/>
  <c r="N396" i="2"/>
  <c r="N396" i="1" s="1"/>
  <c r="M396" i="2"/>
  <c r="M396" i="1" s="1"/>
  <c r="L396" i="2"/>
  <c r="K396"/>
  <c r="K396" i="1" s="1"/>
  <c r="J396" i="2"/>
  <c r="J396" i="1" s="1"/>
  <c r="I396" i="2"/>
  <c r="I396" i="1" s="1"/>
  <c r="H396" i="2"/>
  <c r="H396" i="1" s="1"/>
  <c r="G396" i="2"/>
  <c r="G396" i="1" s="1"/>
  <c r="F396" i="2"/>
  <c r="F396" i="1" s="1"/>
  <c r="E396" i="2"/>
  <c r="E396" i="1" s="1"/>
  <c r="D396" i="2"/>
  <c r="D396" i="1" s="1"/>
  <c r="C396" i="2"/>
  <c r="C396" i="1" s="1"/>
  <c r="O395" i="2"/>
  <c r="O395" i="1" s="1"/>
  <c r="N395" i="2"/>
  <c r="N395" i="1" s="1"/>
  <c r="M395" i="2"/>
  <c r="M395" i="1" s="1"/>
  <c r="L395" i="2"/>
  <c r="K395"/>
  <c r="K395" i="1" s="1"/>
  <c r="J395" i="2"/>
  <c r="J395" i="1" s="1"/>
  <c r="I395" i="2"/>
  <c r="I395" i="1" s="1"/>
  <c r="H395" i="2"/>
  <c r="H395" i="1" s="1"/>
  <c r="G395" i="2"/>
  <c r="G395" i="1" s="1"/>
  <c r="F395" i="2"/>
  <c r="F395" i="1" s="1"/>
  <c r="E395" i="2"/>
  <c r="E395" i="1" s="1"/>
  <c r="D395" i="2"/>
  <c r="D395" i="1" s="1"/>
  <c r="C395" i="2"/>
  <c r="C395" i="1" s="1"/>
  <c r="O394" i="2"/>
  <c r="O394" i="1" s="1"/>
  <c r="N394" i="2"/>
  <c r="N394" i="1" s="1"/>
  <c r="M394" i="2"/>
  <c r="M394" i="1" s="1"/>
  <c r="L394" i="2"/>
  <c r="K394"/>
  <c r="K394" i="1" s="1"/>
  <c r="J394" i="2"/>
  <c r="J394" i="1" s="1"/>
  <c r="I394" i="2"/>
  <c r="I394" i="1" s="1"/>
  <c r="H394" i="2"/>
  <c r="H394" i="1" s="1"/>
  <c r="G394" i="2"/>
  <c r="G394" i="1" s="1"/>
  <c r="F394" i="2"/>
  <c r="F394" i="1" s="1"/>
  <c r="E394" i="2"/>
  <c r="E394" i="1" s="1"/>
  <c r="D394" i="2"/>
  <c r="D394" i="1" s="1"/>
  <c r="C394" i="2"/>
  <c r="C394" i="1" s="1"/>
  <c r="O393" i="2"/>
  <c r="O393" i="1" s="1"/>
  <c r="N393" i="2"/>
  <c r="N393" i="1" s="1"/>
  <c r="M393" i="2"/>
  <c r="M393" i="1" s="1"/>
  <c r="L393" i="2"/>
  <c r="K393"/>
  <c r="K393" i="1" s="1"/>
  <c r="J393" i="2"/>
  <c r="J393" i="1" s="1"/>
  <c r="I393" i="2"/>
  <c r="I393" i="1" s="1"/>
  <c r="H393" i="2"/>
  <c r="H393" i="1" s="1"/>
  <c r="G393" i="2"/>
  <c r="G393" i="1" s="1"/>
  <c r="F393" i="2"/>
  <c r="F393" i="1" s="1"/>
  <c r="E393" i="2"/>
  <c r="E393" i="1" s="1"/>
  <c r="D393" i="2"/>
  <c r="D393" i="1" s="1"/>
  <c r="C393" i="2"/>
  <c r="C393" i="1" s="1"/>
  <c r="O392" i="2"/>
  <c r="O392" i="1" s="1"/>
  <c r="N392" i="2"/>
  <c r="N392" i="1" s="1"/>
  <c r="M392" i="2"/>
  <c r="M392" i="1" s="1"/>
  <c r="L392" i="2"/>
  <c r="K392"/>
  <c r="K392" i="1" s="1"/>
  <c r="J392" i="2"/>
  <c r="J392" i="1" s="1"/>
  <c r="I392" i="2"/>
  <c r="I392" i="1" s="1"/>
  <c r="H392" i="2"/>
  <c r="H392" i="1" s="1"/>
  <c r="G392" i="2"/>
  <c r="G392" i="1" s="1"/>
  <c r="F392" i="2"/>
  <c r="F392" i="1" s="1"/>
  <c r="E392" i="2"/>
  <c r="E392" i="1" s="1"/>
  <c r="D392" i="2"/>
  <c r="D392" i="1" s="1"/>
  <c r="C392" i="2"/>
  <c r="C392" i="1" s="1"/>
  <c r="O391" i="2"/>
  <c r="O391" i="1" s="1"/>
  <c r="N391" i="2"/>
  <c r="N391" i="1" s="1"/>
  <c r="M391" i="2"/>
  <c r="M391" i="1" s="1"/>
  <c r="L391" i="2"/>
  <c r="K391"/>
  <c r="K391" i="1" s="1"/>
  <c r="J391" i="2"/>
  <c r="J391" i="1" s="1"/>
  <c r="I391" i="2"/>
  <c r="I391" i="1" s="1"/>
  <c r="H391" i="2"/>
  <c r="H391" i="1" s="1"/>
  <c r="G391" i="2"/>
  <c r="G391" i="1" s="1"/>
  <c r="F391" i="2"/>
  <c r="F391" i="1" s="1"/>
  <c r="E391" i="2"/>
  <c r="E391" i="1" s="1"/>
  <c r="D391" i="2"/>
  <c r="D391" i="1" s="1"/>
  <c r="C391" i="2"/>
  <c r="C391" i="1" s="1"/>
  <c r="O390" i="2"/>
  <c r="O390" i="1" s="1"/>
  <c r="N390" i="2"/>
  <c r="N390" i="1" s="1"/>
  <c r="M390" i="2"/>
  <c r="M390" i="1" s="1"/>
  <c r="L390" i="2"/>
  <c r="K390"/>
  <c r="K390" i="1" s="1"/>
  <c r="J390" i="2"/>
  <c r="J390" i="1" s="1"/>
  <c r="I390" i="2"/>
  <c r="I390" i="1" s="1"/>
  <c r="H390" i="2"/>
  <c r="H390" i="1" s="1"/>
  <c r="G390" i="2"/>
  <c r="G390" i="1" s="1"/>
  <c r="F390" i="2"/>
  <c r="F390" i="1" s="1"/>
  <c r="E390" i="2"/>
  <c r="E390" i="1" s="1"/>
  <c r="D390" i="2"/>
  <c r="D390" i="1" s="1"/>
  <c r="C390" i="2"/>
  <c r="C390" i="1" s="1"/>
  <c r="O389" i="2"/>
  <c r="O389" i="1" s="1"/>
  <c r="N389" i="2"/>
  <c r="N389" i="1" s="1"/>
  <c r="M389" i="2"/>
  <c r="M389" i="1" s="1"/>
  <c r="L389" i="2"/>
  <c r="K389"/>
  <c r="K389" i="1" s="1"/>
  <c r="J389" i="2"/>
  <c r="J389" i="1" s="1"/>
  <c r="I389" i="2"/>
  <c r="I389" i="1" s="1"/>
  <c r="H389" i="2"/>
  <c r="H389" i="1" s="1"/>
  <c r="G389" i="2"/>
  <c r="G389" i="1" s="1"/>
  <c r="F389" i="2"/>
  <c r="F389" i="1" s="1"/>
  <c r="E389" i="2"/>
  <c r="E389" i="1" s="1"/>
  <c r="D389" i="2"/>
  <c r="D389" i="1" s="1"/>
  <c r="C389" i="2"/>
  <c r="C389" i="1" s="1"/>
  <c r="O388" i="2"/>
  <c r="O388" i="1" s="1"/>
  <c r="N388" i="2"/>
  <c r="N388" i="1" s="1"/>
  <c r="M388" i="2"/>
  <c r="M388" i="1" s="1"/>
  <c r="L388" i="2"/>
  <c r="K388"/>
  <c r="K388" i="1" s="1"/>
  <c r="J388" i="2"/>
  <c r="J388" i="1" s="1"/>
  <c r="I388" i="2"/>
  <c r="I388" i="1" s="1"/>
  <c r="H388" i="2"/>
  <c r="H388" i="1" s="1"/>
  <c r="G388" i="2"/>
  <c r="G388" i="1" s="1"/>
  <c r="F388" i="2"/>
  <c r="F388" i="1" s="1"/>
  <c r="E388" i="2"/>
  <c r="E388" i="1" s="1"/>
  <c r="D388" i="2"/>
  <c r="D388" i="1" s="1"/>
  <c r="C388" i="2"/>
  <c r="C388" i="1" s="1"/>
  <c r="O387" i="2"/>
  <c r="O387" i="1" s="1"/>
  <c r="N387" i="2"/>
  <c r="N387" i="1" s="1"/>
  <c r="M387" i="2"/>
  <c r="M387" i="1" s="1"/>
  <c r="L387" i="2"/>
  <c r="K387"/>
  <c r="K387" i="1" s="1"/>
  <c r="J387" i="2"/>
  <c r="J387" i="1" s="1"/>
  <c r="I387" i="2"/>
  <c r="I387" i="1" s="1"/>
  <c r="H387" i="2"/>
  <c r="H387" i="1" s="1"/>
  <c r="G387" i="2"/>
  <c r="G387" i="1" s="1"/>
  <c r="F387" i="2"/>
  <c r="F387" i="1" s="1"/>
  <c r="E387" i="2"/>
  <c r="E387" i="1" s="1"/>
  <c r="D387" i="2"/>
  <c r="D387" i="1" s="1"/>
  <c r="C387" i="2"/>
  <c r="C387" i="1" s="1"/>
  <c r="O386" i="2"/>
  <c r="O386" i="1" s="1"/>
  <c r="N386" i="2"/>
  <c r="N386" i="1" s="1"/>
  <c r="M386" i="2"/>
  <c r="M386" i="1" s="1"/>
  <c r="L386" i="2"/>
  <c r="K386"/>
  <c r="K386" i="1" s="1"/>
  <c r="J386" i="2"/>
  <c r="J386" i="1" s="1"/>
  <c r="I386" i="2"/>
  <c r="I386" i="1" s="1"/>
  <c r="H386" i="2"/>
  <c r="H386" i="1" s="1"/>
  <c r="G386" i="2"/>
  <c r="G386" i="1" s="1"/>
  <c r="F386" i="2"/>
  <c r="F386" i="1" s="1"/>
  <c r="E386" i="2"/>
  <c r="E386" i="1" s="1"/>
  <c r="D386" i="2"/>
  <c r="D386" i="1" s="1"/>
  <c r="C386" i="2"/>
  <c r="C386" i="1" s="1"/>
  <c r="O385" i="2"/>
  <c r="O385" i="1" s="1"/>
  <c r="N385" i="2"/>
  <c r="N385" i="1" s="1"/>
  <c r="M385" i="2"/>
  <c r="M385" i="1" s="1"/>
  <c r="L385" i="2"/>
  <c r="K385"/>
  <c r="K385" i="1" s="1"/>
  <c r="J385" i="2"/>
  <c r="J385" i="1" s="1"/>
  <c r="I385" i="2"/>
  <c r="I385" i="1" s="1"/>
  <c r="H385" i="2"/>
  <c r="H385" i="1" s="1"/>
  <c r="G385" i="2"/>
  <c r="G385" i="1" s="1"/>
  <c r="F385" i="2"/>
  <c r="F385" i="1" s="1"/>
  <c r="E385" i="2"/>
  <c r="E385" i="1" s="1"/>
  <c r="D385" i="2"/>
  <c r="D385" i="1" s="1"/>
  <c r="C385" i="2"/>
  <c r="C385" i="1" s="1"/>
  <c r="O384" i="2"/>
  <c r="O384" i="1" s="1"/>
  <c r="N384" i="2"/>
  <c r="N384" i="1" s="1"/>
  <c r="M384" i="2"/>
  <c r="M384" i="1" s="1"/>
  <c r="L384" i="2"/>
  <c r="K384"/>
  <c r="K384" i="1" s="1"/>
  <c r="J384" i="2"/>
  <c r="J384" i="1" s="1"/>
  <c r="I384" i="2"/>
  <c r="I384" i="1" s="1"/>
  <c r="H384" i="2"/>
  <c r="H384" i="1" s="1"/>
  <c r="G384" i="2"/>
  <c r="G384" i="1" s="1"/>
  <c r="F384" i="2"/>
  <c r="F384" i="1" s="1"/>
  <c r="E384" i="2"/>
  <c r="E384" i="1" s="1"/>
  <c r="D384" i="2"/>
  <c r="D384" i="1" s="1"/>
  <c r="C384" i="2"/>
  <c r="C384" i="1" s="1"/>
  <c r="O383" i="2"/>
  <c r="O383" i="1" s="1"/>
  <c r="N383" i="2"/>
  <c r="N383" i="1" s="1"/>
  <c r="M383" i="2"/>
  <c r="M383" i="1" s="1"/>
  <c r="L383" i="2"/>
  <c r="K383"/>
  <c r="K383" i="1" s="1"/>
  <c r="J383" i="2"/>
  <c r="J383" i="1" s="1"/>
  <c r="I383" i="2"/>
  <c r="I383" i="1" s="1"/>
  <c r="H383" i="2"/>
  <c r="H383" i="1" s="1"/>
  <c r="G383" i="2"/>
  <c r="G383" i="1" s="1"/>
  <c r="F383" i="2"/>
  <c r="F383" i="1" s="1"/>
  <c r="E383" i="2"/>
  <c r="E383" i="1" s="1"/>
  <c r="D383" i="2"/>
  <c r="D383" i="1" s="1"/>
  <c r="C383" i="2"/>
  <c r="C383" i="1" s="1"/>
  <c r="O382" i="2"/>
  <c r="O382" i="1" s="1"/>
  <c r="N382" i="2"/>
  <c r="N382" i="1" s="1"/>
  <c r="M382" i="2"/>
  <c r="M382" i="1" s="1"/>
  <c r="L382" i="2"/>
  <c r="K382"/>
  <c r="K382" i="1" s="1"/>
  <c r="J382" i="2"/>
  <c r="J382" i="1" s="1"/>
  <c r="I382" i="2"/>
  <c r="I382" i="1" s="1"/>
  <c r="H382" i="2"/>
  <c r="H382" i="1" s="1"/>
  <c r="G382" i="2"/>
  <c r="G382" i="1" s="1"/>
  <c r="F382" i="2"/>
  <c r="F382" i="1" s="1"/>
  <c r="E382" i="2"/>
  <c r="E382" i="1" s="1"/>
  <c r="D382" i="2"/>
  <c r="D382" i="1" s="1"/>
  <c r="C382" i="2"/>
  <c r="C382" i="1" s="1"/>
  <c r="O381" i="2"/>
  <c r="O381" i="1" s="1"/>
  <c r="N381" i="2"/>
  <c r="N381" i="1" s="1"/>
  <c r="M381" i="2"/>
  <c r="M381" i="1" s="1"/>
  <c r="L381" i="2"/>
  <c r="K381"/>
  <c r="K381" i="1" s="1"/>
  <c r="J381" i="2"/>
  <c r="J381" i="1" s="1"/>
  <c r="I381" i="2"/>
  <c r="I381" i="1" s="1"/>
  <c r="H381" i="2"/>
  <c r="H381" i="1" s="1"/>
  <c r="G381" i="2"/>
  <c r="G381" i="1" s="1"/>
  <c r="F381" i="2"/>
  <c r="F381" i="1" s="1"/>
  <c r="E381" i="2"/>
  <c r="E381" i="1" s="1"/>
  <c r="D381" i="2"/>
  <c r="D381" i="1" s="1"/>
  <c r="C381" i="2"/>
  <c r="C381" i="1" s="1"/>
  <c r="O380" i="2"/>
  <c r="O380" i="1" s="1"/>
  <c r="N380" i="2"/>
  <c r="N380" i="1" s="1"/>
  <c r="M380" i="2"/>
  <c r="M380" i="1" s="1"/>
  <c r="L380" i="2"/>
  <c r="K380"/>
  <c r="K380" i="1" s="1"/>
  <c r="J380" i="2"/>
  <c r="J380" i="1" s="1"/>
  <c r="I380" i="2"/>
  <c r="I380" i="1" s="1"/>
  <c r="H380" i="2"/>
  <c r="H380" i="1" s="1"/>
  <c r="G380" i="2"/>
  <c r="G380" i="1" s="1"/>
  <c r="F380" i="2"/>
  <c r="F380" i="1" s="1"/>
  <c r="E380" i="2"/>
  <c r="E380" i="1" s="1"/>
  <c r="D380" i="2"/>
  <c r="D380" i="1" s="1"/>
  <c r="C380" i="2"/>
  <c r="C380" i="1" s="1"/>
  <c r="O379" i="2"/>
  <c r="O379" i="1" s="1"/>
  <c r="N379" i="2"/>
  <c r="N379" i="1" s="1"/>
  <c r="M379" i="2"/>
  <c r="M379" i="1" s="1"/>
  <c r="L379" i="2"/>
  <c r="K379"/>
  <c r="K379" i="1" s="1"/>
  <c r="J379" i="2"/>
  <c r="J379" i="1" s="1"/>
  <c r="I379" i="2"/>
  <c r="I379" i="1" s="1"/>
  <c r="H379" i="2"/>
  <c r="H379" i="1" s="1"/>
  <c r="G379" i="2"/>
  <c r="G379" i="1" s="1"/>
  <c r="F379" i="2"/>
  <c r="F379" i="1" s="1"/>
  <c r="E379" i="2"/>
  <c r="E379" i="1" s="1"/>
  <c r="D379" i="2"/>
  <c r="D379" i="1" s="1"/>
  <c r="C379" i="2"/>
  <c r="C379" i="1" s="1"/>
  <c r="O378" i="2"/>
  <c r="O378" i="1" s="1"/>
  <c r="N378" i="2"/>
  <c r="N378" i="1" s="1"/>
  <c r="M378" i="2"/>
  <c r="M378" i="1" s="1"/>
  <c r="L378" i="2"/>
  <c r="K378"/>
  <c r="K378" i="1" s="1"/>
  <c r="J378" i="2"/>
  <c r="J378" i="1" s="1"/>
  <c r="I378" i="2"/>
  <c r="I378" i="1" s="1"/>
  <c r="H378" i="2"/>
  <c r="H378" i="1" s="1"/>
  <c r="G378" i="2"/>
  <c r="G378" i="1" s="1"/>
  <c r="F378" i="2"/>
  <c r="F378" i="1" s="1"/>
  <c r="E378" i="2"/>
  <c r="E378" i="1" s="1"/>
  <c r="D378" i="2"/>
  <c r="D378" i="1" s="1"/>
  <c r="C378" i="2"/>
  <c r="C378" i="1" s="1"/>
  <c r="O377" i="2"/>
  <c r="O377" i="1" s="1"/>
  <c r="N377" i="2"/>
  <c r="N377" i="1" s="1"/>
  <c r="M377" i="2"/>
  <c r="M377" i="1" s="1"/>
  <c r="L377" i="2"/>
  <c r="K377"/>
  <c r="K377" i="1" s="1"/>
  <c r="J377" i="2"/>
  <c r="J377" i="1" s="1"/>
  <c r="I377" i="2"/>
  <c r="I377" i="1" s="1"/>
  <c r="H377" i="2"/>
  <c r="H377" i="1" s="1"/>
  <c r="G377" i="2"/>
  <c r="G377" i="1" s="1"/>
  <c r="F377" i="2"/>
  <c r="F377" i="1" s="1"/>
  <c r="E377" i="2"/>
  <c r="E377" i="1" s="1"/>
  <c r="D377" i="2"/>
  <c r="D377" i="1" s="1"/>
  <c r="C377" i="2"/>
  <c r="C377" i="1" s="1"/>
  <c r="O376" i="2"/>
  <c r="O376" i="1" s="1"/>
  <c r="N376" i="2"/>
  <c r="N376" i="1" s="1"/>
  <c r="M376" i="2"/>
  <c r="M376" i="1" s="1"/>
  <c r="L376" i="2"/>
  <c r="K376"/>
  <c r="K376" i="1" s="1"/>
  <c r="J376" i="2"/>
  <c r="J376" i="1" s="1"/>
  <c r="I376" i="2"/>
  <c r="I376" i="1" s="1"/>
  <c r="H376" i="2"/>
  <c r="H376" i="1" s="1"/>
  <c r="G376" i="2"/>
  <c r="G376" i="1" s="1"/>
  <c r="F376" i="2"/>
  <c r="F376" i="1" s="1"/>
  <c r="E376" i="2"/>
  <c r="E376" i="1" s="1"/>
  <c r="D376" i="2"/>
  <c r="D376" i="1" s="1"/>
  <c r="C376" i="2"/>
  <c r="C376" i="1" s="1"/>
  <c r="O375" i="2"/>
  <c r="O375" i="1" s="1"/>
  <c r="N375" i="2"/>
  <c r="N375" i="1" s="1"/>
  <c r="M375" i="2"/>
  <c r="M375" i="1" s="1"/>
  <c r="L375" i="2"/>
  <c r="K375"/>
  <c r="K375" i="1" s="1"/>
  <c r="J375" i="2"/>
  <c r="J375" i="1" s="1"/>
  <c r="I375" i="2"/>
  <c r="I375" i="1" s="1"/>
  <c r="H375" i="2"/>
  <c r="H375" i="1" s="1"/>
  <c r="G375" i="2"/>
  <c r="G375" i="1" s="1"/>
  <c r="F375" i="2"/>
  <c r="F375" i="1" s="1"/>
  <c r="E375" i="2"/>
  <c r="E375" i="1" s="1"/>
  <c r="D375" i="2"/>
  <c r="D375" i="1" s="1"/>
  <c r="C375" i="2"/>
  <c r="C375" i="1" s="1"/>
  <c r="O374" i="2"/>
  <c r="O374" i="1" s="1"/>
  <c r="N374" i="2"/>
  <c r="N374" i="1" s="1"/>
  <c r="M374" i="2"/>
  <c r="M374" i="1" s="1"/>
  <c r="L374" i="2"/>
  <c r="K374"/>
  <c r="K374" i="1" s="1"/>
  <c r="J374" i="2"/>
  <c r="J374" i="1" s="1"/>
  <c r="I374" i="2"/>
  <c r="I374" i="1" s="1"/>
  <c r="H374" i="2"/>
  <c r="H374" i="1" s="1"/>
  <c r="G374" i="2"/>
  <c r="G374" i="1" s="1"/>
  <c r="F374" i="2"/>
  <c r="F374" i="1" s="1"/>
  <c r="E374" i="2"/>
  <c r="E374" i="1" s="1"/>
  <c r="D374" i="2"/>
  <c r="D374" i="1" s="1"/>
  <c r="C374" i="2"/>
  <c r="C374" i="1" s="1"/>
  <c r="O373" i="2"/>
  <c r="O373" i="1" s="1"/>
  <c r="N373" i="2"/>
  <c r="N373" i="1" s="1"/>
  <c r="M373" i="2"/>
  <c r="M373" i="1" s="1"/>
  <c r="L373" i="2"/>
  <c r="K373"/>
  <c r="K373" i="1" s="1"/>
  <c r="J373" i="2"/>
  <c r="J373" i="1" s="1"/>
  <c r="I373" i="2"/>
  <c r="I373" i="1" s="1"/>
  <c r="H373" i="2"/>
  <c r="H373" i="1" s="1"/>
  <c r="G373" i="2"/>
  <c r="G373" i="1" s="1"/>
  <c r="F373" i="2"/>
  <c r="F373" i="1" s="1"/>
  <c r="E373" i="2"/>
  <c r="E373" i="1" s="1"/>
  <c r="D373" i="2"/>
  <c r="D373" i="1" s="1"/>
  <c r="C373" i="2"/>
  <c r="C373" i="1" s="1"/>
  <c r="O372" i="2"/>
  <c r="O372" i="1" s="1"/>
  <c r="N372" i="2"/>
  <c r="N372" i="1" s="1"/>
  <c r="M372" i="2"/>
  <c r="M372" i="1" s="1"/>
  <c r="L372" i="2"/>
  <c r="K372"/>
  <c r="K372" i="1" s="1"/>
  <c r="J372" i="2"/>
  <c r="J372" i="1" s="1"/>
  <c r="I372" i="2"/>
  <c r="I372" i="1" s="1"/>
  <c r="H372" i="2"/>
  <c r="H372" i="1" s="1"/>
  <c r="G372" i="2"/>
  <c r="G372" i="1" s="1"/>
  <c r="F372" i="2"/>
  <c r="F372" i="1" s="1"/>
  <c r="E372" i="2"/>
  <c r="E372" i="1" s="1"/>
  <c r="D372" i="2"/>
  <c r="D372" i="1" s="1"/>
  <c r="C372" i="2"/>
  <c r="C372" i="1" s="1"/>
  <c r="O371" i="2"/>
  <c r="O371" i="1" s="1"/>
  <c r="N371" i="2"/>
  <c r="N371" i="1" s="1"/>
  <c r="M371" i="2"/>
  <c r="M371" i="1" s="1"/>
  <c r="L371" i="2"/>
  <c r="K371"/>
  <c r="K371" i="1" s="1"/>
  <c r="J371" i="2"/>
  <c r="J371" i="1" s="1"/>
  <c r="I371" i="2"/>
  <c r="I371" i="1" s="1"/>
  <c r="H371" i="2"/>
  <c r="H371" i="1" s="1"/>
  <c r="G371" i="2"/>
  <c r="G371" i="1" s="1"/>
  <c r="F371" i="2"/>
  <c r="F371" i="1" s="1"/>
  <c r="E371" i="2"/>
  <c r="E371" i="1" s="1"/>
  <c r="D371" i="2"/>
  <c r="D371" i="1" s="1"/>
  <c r="C371" i="2"/>
  <c r="C371" i="1" s="1"/>
  <c r="O370" i="2"/>
  <c r="O370" i="1" s="1"/>
  <c r="N370" i="2"/>
  <c r="N370" i="1" s="1"/>
  <c r="M370" i="2"/>
  <c r="M370" i="1" s="1"/>
  <c r="L370" i="2"/>
  <c r="K370"/>
  <c r="K370" i="1" s="1"/>
  <c r="J370" i="2"/>
  <c r="J370" i="1" s="1"/>
  <c r="I370" i="2"/>
  <c r="I370" i="1" s="1"/>
  <c r="H370" i="2"/>
  <c r="H370" i="1" s="1"/>
  <c r="G370" i="2"/>
  <c r="G370" i="1" s="1"/>
  <c r="F370" i="2"/>
  <c r="F370" i="1" s="1"/>
  <c r="E370" i="2"/>
  <c r="E370" i="1" s="1"/>
  <c r="D370" i="2"/>
  <c r="D370" i="1" s="1"/>
  <c r="C370" i="2"/>
  <c r="C370" i="1" s="1"/>
  <c r="O369" i="2"/>
  <c r="O369" i="1" s="1"/>
  <c r="N369" i="2"/>
  <c r="N369" i="1" s="1"/>
  <c r="M369" i="2"/>
  <c r="M369" i="1" s="1"/>
  <c r="L369" i="2"/>
  <c r="K369"/>
  <c r="K369" i="1" s="1"/>
  <c r="J369" i="2"/>
  <c r="J369" i="1" s="1"/>
  <c r="I369" i="2"/>
  <c r="I369" i="1" s="1"/>
  <c r="H369" i="2"/>
  <c r="H369" i="1" s="1"/>
  <c r="G369" i="2"/>
  <c r="G369" i="1" s="1"/>
  <c r="F369" i="2"/>
  <c r="F369" i="1" s="1"/>
  <c r="E369" i="2"/>
  <c r="E369" i="1" s="1"/>
  <c r="D369" i="2"/>
  <c r="D369" i="1" s="1"/>
  <c r="C369" i="2"/>
  <c r="C369" i="1" s="1"/>
  <c r="O368" i="2"/>
  <c r="O368" i="1" s="1"/>
  <c r="N368" i="2"/>
  <c r="N368" i="1" s="1"/>
  <c r="M368" i="2"/>
  <c r="M368" i="1" s="1"/>
  <c r="L368" i="2"/>
  <c r="K368"/>
  <c r="K368" i="1" s="1"/>
  <c r="J368" i="2"/>
  <c r="J368" i="1" s="1"/>
  <c r="I368" i="2"/>
  <c r="I368" i="1" s="1"/>
  <c r="H368" i="2"/>
  <c r="H368" i="1" s="1"/>
  <c r="G368" i="2"/>
  <c r="G368" i="1" s="1"/>
  <c r="F368" i="2"/>
  <c r="F368" i="1" s="1"/>
  <c r="E368" i="2"/>
  <c r="E368" i="1" s="1"/>
  <c r="D368" i="2"/>
  <c r="D368" i="1" s="1"/>
  <c r="C368" i="2"/>
  <c r="C368" i="1" s="1"/>
  <c r="O367" i="2"/>
  <c r="O367" i="1" s="1"/>
  <c r="N367" i="2"/>
  <c r="N367" i="1" s="1"/>
  <c r="M367" i="2"/>
  <c r="M367" i="1" s="1"/>
  <c r="L367" i="2"/>
  <c r="K367"/>
  <c r="K367" i="1" s="1"/>
  <c r="J367" i="2"/>
  <c r="J367" i="1" s="1"/>
  <c r="I367" i="2"/>
  <c r="I367" i="1" s="1"/>
  <c r="H367" i="2"/>
  <c r="H367" i="1" s="1"/>
  <c r="G367" i="2"/>
  <c r="G367" i="1" s="1"/>
  <c r="F367" i="2"/>
  <c r="F367" i="1" s="1"/>
  <c r="E367" i="2"/>
  <c r="E367" i="1" s="1"/>
  <c r="D367" i="2"/>
  <c r="D367" i="1" s="1"/>
  <c r="C367" i="2"/>
  <c r="C367" i="1" s="1"/>
  <c r="O366" i="2"/>
  <c r="O366" i="1" s="1"/>
  <c r="N366" i="2"/>
  <c r="N366" i="1" s="1"/>
  <c r="M366" i="2"/>
  <c r="M366" i="1" s="1"/>
  <c r="L366" i="2"/>
  <c r="K366"/>
  <c r="K366" i="1" s="1"/>
  <c r="J366" i="2"/>
  <c r="J366" i="1" s="1"/>
  <c r="I366" i="2"/>
  <c r="I366" i="1" s="1"/>
  <c r="H366" i="2"/>
  <c r="H366" i="1" s="1"/>
  <c r="G366" i="2"/>
  <c r="G366" i="1" s="1"/>
  <c r="F366" i="2"/>
  <c r="F366" i="1" s="1"/>
  <c r="E366" i="2"/>
  <c r="E366" i="1" s="1"/>
  <c r="D366" i="2"/>
  <c r="D366" i="1" s="1"/>
  <c r="C366" i="2"/>
  <c r="C366" i="1" s="1"/>
  <c r="O365" i="2"/>
  <c r="O365" i="1" s="1"/>
  <c r="N365" i="2"/>
  <c r="N365" i="1" s="1"/>
  <c r="M365" i="2"/>
  <c r="M365" i="1" s="1"/>
  <c r="L365" i="2"/>
  <c r="K365"/>
  <c r="K365" i="1" s="1"/>
  <c r="J365" i="2"/>
  <c r="J365" i="1" s="1"/>
  <c r="I365" i="2"/>
  <c r="I365" i="1" s="1"/>
  <c r="H365" i="2"/>
  <c r="H365" i="1" s="1"/>
  <c r="G365" i="2"/>
  <c r="G365" i="1" s="1"/>
  <c r="F365" i="2"/>
  <c r="F365" i="1" s="1"/>
  <c r="E365" i="2"/>
  <c r="E365" i="1" s="1"/>
  <c r="D365" i="2"/>
  <c r="D365" i="1" s="1"/>
  <c r="C365" i="2"/>
  <c r="C365" i="1" s="1"/>
  <c r="O364" i="2"/>
  <c r="O364" i="1" s="1"/>
  <c r="N364" i="2"/>
  <c r="N364" i="1" s="1"/>
  <c r="M364" i="2"/>
  <c r="M364" i="1" s="1"/>
  <c r="L364" i="2"/>
  <c r="K364"/>
  <c r="K364" i="1" s="1"/>
  <c r="J364" i="2"/>
  <c r="J364" i="1" s="1"/>
  <c r="I364" i="2"/>
  <c r="I364" i="1" s="1"/>
  <c r="H364" i="2"/>
  <c r="H364" i="1" s="1"/>
  <c r="G364" i="2"/>
  <c r="G364" i="1" s="1"/>
  <c r="F364" i="2"/>
  <c r="F364" i="1" s="1"/>
  <c r="E364" i="2"/>
  <c r="E364" i="1" s="1"/>
  <c r="D364" i="2"/>
  <c r="D364" i="1" s="1"/>
  <c r="C364" i="2"/>
  <c r="C364" i="1" s="1"/>
  <c r="O363" i="2"/>
  <c r="O363" i="1" s="1"/>
  <c r="N363" i="2"/>
  <c r="N363" i="1" s="1"/>
  <c r="M363" i="2"/>
  <c r="M363" i="1" s="1"/>
  <c r="L363" i="2"/>
  <c r="K363"/>
  <c r="K363" i="1" s="1"/>
  <c r="J363" i="2"/>
  <c r="J363" i="1" s="1"/>
  <c r="I363" i="2"/>
  <c r="I363" i="1" s="1"/>
  <c r="H363" i="2"/>
  <c r="H363" i="1" s="1"/>
  <c r="G363" i="2"/>
  <c r="G363" i="1" s="1"/>
  <c r="F363" i="2"/>
  <c r="F363" i="1" s="1"/>
  <c r="E363" i="2"/>
  <c r="E363" i="1" s="1"/>
  <c r="D363" i="2"/>
  <c r="D363" i="1" s="1"/>
  <c r="C363" i="2"/>
  <c r="C363" i="1" s="1"/>
  <c r="O362" i="2"/>
  <c r="O362" i="1" s="1"/>
  <c r="N362" i="2"/>
  <c r="N362" i="1" s="1"/>
  <c r="M362" i="2"/>
  <c r="M362" i="1" s="1"/>
  <c r="L362" i="2"/>
  <c r="K362"/>
  <c r="K362" i="1" s="1"/>
  <c r="J362" i="2"/>
  <c r="J362" i="1" s="1"/>
  <c r="I362" i="2"/>
  <c r="I362" i="1" s="1"/>
  <c r="H362" i="2"/>
  <c r="H362" i="1" s="1"/>
  <c r="G362" i="2"/>
  <c r="G362" i="1" s="1"/>
  <c r="F362" i="2"/>
  <c r="F362" i="1" s="1"/>
  <c r="E362" i="2"/>
  <c r="E362" i="1" s="1"/>
  <c r="D362" i="2"/>
  <c r="D362" i="1" s="1"/>
  <c r="C362" i="2"/>
  <c r="C362" i="1" s="1"/>
  <c r="O361" i="2"/>
  <c r="O361" i="1" s="1"/>
  <c r="N361" i="2"/>
  <c r="N361" i="1" s="1"/>
  <c r="M361" i="2"/>
  <c r="M361" i="1" s="1"/>
  <c r="L361" i="2"/>
  <c r="K361"/>
  <c r="K361" i="1" s="1"/>
  <c r="J361" i="2"/>
  <c r="J361" i="1" s="1"/>
  <c r="I361" i="2"/>
  <c r="I361" i="1" s="1"/>
  <c r="H361" i="2"/>
  <c r="H361" i="1" s="1"/>
  <c r="G361" i="2"/>
  <c r="G361" i="1" s="1"/>
  <c r="F361" i="2"/>
  <c r="F361" i="1" s="1"/>
  <c r="E361" i="2"/>
  <c r="E361" i="1" s="1"/>
  <c r="D361" i="2"/>
  <c r="D361" i="1" s="1"/>
  <c r="C361" i="2"/>
  <c r="C361" i="1" s="1"/>
  <c r="O360" i="2"/>
  <c r="O360" i="1" s="1"/>
  <c r="N360" i="2"/>
  <c r="N360" i="1" s="1"/>
  <c r="M360" i="2"/>
  <c r="M360" i="1" s="1"/>
  <c r="L360" i="2"/>
  <c r="K360"/>
  <c r="K360" i="1" s="1"/>
  <c r="J360" i="2"/>
  <c r="J360" i="1" s="1"/>
  <c r="I360" i="2"/>
  <c r="I360" i="1" s="1"/>
  <c r="H360" i="2"/>
  <c r="H360" i="1" s="1"/>
  <c r="G360" i="2"/>
  <c r="G360" i="1" s="1"/>
  <c r="F360" i="2"/>
  <c r="F360" i="1" s="1"/>
  <c r="E360" i="2"/>
  <c r="E360" i="1" s="1"/>
  <c r="D360" i="2"/>
  <c r="D360" i="1" s="1"/>
  <c r="C360" i="2"/>
  <c r="C360" i="1" s="1"/>
  <c r="O359" i="2"/>
  <c r="O359" i="1" s="1"/>
  <c r="N359" i="2"/>
  <c r="N359" i="1" s="1"/>
  <c r="M359" i="2"/>
  <c r="M359" i="1" s="1"/>
  <c r="L359" i="2"/>
  <c r="K359"/>
  <c r="K359" i="1" s="1"/>
  <c r="J359" i="2"/>
  <c r="J359" i="1" s="1"/>
  <c r="I359" i="2"/>
  <c r="I359" i="1" s="1"/>
  <c r="H359" i="2"/>
  <c r="H359" i="1" s="1"/>
  <c r="G359" i="2"/>
  <c r="G359" i="1" s="1"/>
  <c r="F359" i="2"/>
  <c r="F359" i="1" s="1"/>
  <c r="E359" i="2"/>
  <c r="E359" i="1" s="1"/>
  <c r="D359" i="2"/>
  <c r="D359" i="1" s="1"/>
  <c r="C359" i="2"/>
  <c r="C359" i="1" s="1"/>
  <c r="O358" i="2"/>
  <c r="O358" i="1" s="1"/>
  <c r="N358" i="2"/>
  <c r="N358" i="1" s="1"/>
  <c r="M358" i="2"/>
  <c r="M358" i="1" s="1"/>
  <c r="L358" i="2"/>
  <c r="K358"/>
  <c r="K358" i="1" s="1"/>
  <c r="J358" i="2"/>
  <c r="J358" i="1" s="1"/>
  <c r="I358" i="2"/>
  <c r="I358" i="1" s="1"/>
  <c r="H358" i="2"/>
  <c r="H358" i="1" s="1"/>
  <c r="G358" i="2"/>
  <c r="G358" i="1" s="1"/>
  <c r="F358" i="2"/>
  <c r="F358" i="1" s="1"/>
  <c r="E358" i="2"/>
  <c r="E358" i="1" s="1"/>
  <c r="D358" i="2"/>
  <c r="D358" i="1" s="1"/>
  <c r="C358" i="2"/>
  <c r="C358" i="1" s="1"/>
  <c r="O357" i="2"/>
  <c r="O357" i="1" s="1"/>
  <c r="N357" i="2"/>
  <c r="N357" i="1" s="1"/>
  <c r="M357" i="2"/>
  <c r="M357" i="1" s="1"/>
  <c r="L357" i="2"/>
  <c r="K357"/>
  <c r="K357" i="1" s="1"/>
  <c r="J357" i="2"/>
  <c r="J357" i="1" s="1"/>
  <c r="I357" i="2"/>
  <c r="I357" i="1" s="1"/>
  <c r="H357" i="2"/>
  <c r="H357" i="1" s="1"/>
  <c r="G357" i="2"/>
  <c r="G357" i="1" s="1"/>
  <c r="F357" i="2"/>
  <c r="F357" i="1" s="1"/>
  <c r="E357" i="2"/>
  <c r="E357" i="1" s="1"/>
  <c r="D357" i="2"/>
  <c r="D357" i="1" s="1"/>
  <c r="C357" i="2"/>
  <c r="C357" i="1" s="1"/>
  <c r="O356" i="2"/>
  <c r="O356" i="1" s="1"/>
  <c r="N356" i="2"/>
  <c r="N356" i="1" s="1"/>
  <c r="M356" i="2"/>
  <c r="M356" i="1" s="1"/>
  <c r="L356" i="2"/>
  <c r="K356"/>
  <c r="K356" i="1" s="1"/>
  <c r="J356" i="2"/>
  <c r="J356" i="1" s="1"/>
  <c r="I356" i="2"/>
  <c r="I356" i="1" s="1"/>
  <c r="H356" i="2"/>
  <c r="H356" i="1" s="1"/>
  <c r="G356" i="2"/>
  <c r="G356" i="1" s="1"/>
  <c r="F356" i="2"/>
  <c r="F356" i="1" s="1"/>
  <c r="E356" i="2"/>
  <c r="E356" i="1" s="1"/>
  <c r="D356" i="2"/>
  <c r="D356" i="1" s="1"/>
  <c r="C356" i="2"/>
  <c r="C356" i="1" s="1"/>
  <c r="O355" i="2"/>
  <c r="O355" i="1" s="1"/>
  <c r="N355" i="2"/>
  <c r="N355" i="1" s="1"/>
  <c r="M355" i="2"/>
  <c r="M355" i="1" s="1"/>
  <c r="L355" i="2"/>
  <c r="K355"/>
  <c r="K355" i="1" s="1"/>
  <c r="J355" i="2"/>
  <c r="J355" i="1" s="1"/>
  <c r="I355" i="2"/>
  <c r="I355" i="1" s="1"/>
  <c r="H355" i="2"/>
  <c r="H355" i="1" s="1"/>
  <c r="G355" i="2"/>
  <c r="G355" i="1" s="1"/>
  <c r="F355" i="2"/>
  <c r="F355" i="1" s="1"/>
  <c r="E355" i="2"/>
  <c r="E355" i="1" s="1"/>
  <c r="D355" i="2"/>
  <c r="D355" i="1" s="1"/>
  <c r="C355" i="2"/>
  <c r="C355" i="1" s="1"/>
  <c r="O354" i="2"/>
  <c r="O354" i="1" s="1"/>
  <c r="N354" i="2"/>
  <c r="N354" i="1" s="1"/>
  <c r="M354" i="2"/>
  <c r="M354" i="1" s="1"/>
  <c r="L354" i="2"/>
  <c r="K354"/>
  <c r="K354" i="1" s="1"/>
  <c r="J354" i="2"/>
  <c r="J354" i="1" s="1"/>
  <c r="I354" i="2"/>
  <c r="I354" i="1" s="1"/>
  <c r="H354" i="2"/>
  <c r="H354" i="1" s="1"/>
  <c r="G354" i="2"/>
  <c r="G354" i="1" s="1"/>
  <c r="F354" i="2"/>
  <c r="F354" i="1" s="1"/>
  <c r="E354" i="2"/>
  <c r="E354" i="1" s="1"/>
  <c r="D354" i="2"/>
  <c r="D354" i="1" s="1"/>
  <c r="C354" i="2"/>
  <c r="C354" i="1" s="1"/>
  <c r="O353" i="2"/>
  <c r="O353" i="1" s="1"/>
  <c r="N353" i="2"/>
  <c r="N353" i="1" s="1"/>
  <c r="M353" i="2"/>
  <c r="M353" i="1" s="1"/>
  <c r="L353" i="2"/>
  <c r="K353"/>
  <c r="K353" i="1" s="1"/>
  <c r="J353" i="2"/>
  <c r="J353" i="1" s="1"/>
  <c r="I353" i="2"/>
  <c r="I353" i="1" s="1"/>
  <c r="H353" i="2"/>
  <c r="H353" i="1" s="1"/>
  <c r="G353" i="2"/>
  <c r="G353" i="1" s="1"/>
  <c r="F353" i="2"/>
  <c r="F353" i="1" s="1"/>
  <c r="E353" i="2"/>
  <c r="E353" i="1" s="1"/>
  <c r="D353" i="2"/>
  <c r="D353" i="1" s="1"/>
  <c r="C353" i="2"/>
  <c r="C353" i="1" s="1"/>
  <c r="O352" i="2"/>
  <c r="O352" i="1" s="1"/>
  <c r="N352" i="2"/>
  <c r="N352" i="1" s="1"/>
  <c r="M352" i="2"/>
  <c r="M352" i="1" s="1"/>
  <c r="L352" i="2"/>
  <c r="K352"/>
  <c r="K352" i="1" s="1"/>
  <c r="J352" i="2"/>
  <c r="J352" i="1" s="1"/>
  <c r="I352" i="2"/>
  <c r="I352" i="1" s="1"/>
  <c r="H352" i="2"/>
  <c r="H352" i="1" s="1"/>
  <c r="G352" i="2"/>
  <c r="G352" i="1" s="1"/>
  <c r="F352" i="2"/>
  <c r="F352" i="1" s="1"/>
  <c r="E352" i="2"/>
  <c r="E352" i="1" s="1"/>
  <c r="D352" i="2"/>
  <c r="D352" i="1" s="1"/>
  <c r="C352" i="2"/>
  <c r="C352" i="1" s="1"/>
  <c r="O351" i="2"/>
  <c r="O351" i="1" s="1"/>
  <c r="N351" i="2"/>
  <c r="N351" i="1" s="1"/>
  <c r="M351" i="2"/>
  <c r="M351" i="1" s="1"/>
  <c r="L351" i="2"/>
  <c r="K351"/>
  <c r="K351" i="1" s="1"/>
  <c r="J351" i="2"/>
  <c r="J351" i="1" s="1"/>
  <c r="I351" i="2"/>
  <c r="I351" i="1" s="1"/>
  <c r="H351" i="2"/>
  <c r="H351" i="1" s="1"/>
  <c r="G351" i="2"/>
  <c r="G351" i="1" s="1"/>
  <c r="F351" i="2"/>
  <c r="F351" i="1" s="1"/>
  <c r="E351" i="2"/>
  <c r="E351" i="1" s="1"/>
  <c r="D351" i="2"/>
  <c r="D351" i="1" s="1"/>
  <c r="C351" i="2"/>
  <c r="C351" i="1" s="1"/>
  <c r="O350" i="2"/>
  <c r="O350" i="1" s="1"/>
  <c r="N350" i="2"/>
  <c r="N350" i="1" s="1"/>
  <c r="M350" i="2"/>
  <c r="M350" i="1" s="1"/>
  <c r="L350" i="2"/>
  <c r="K350"/>
  <c r="K350" i="1" s="1"/>
  <c r="J350" i="2"/>
  <c r="J350" i="1" s="1"/>
  <c r="I350" i="2"/>
  <c r="I350" i="1" s="1"/>
  <c r="H350" i="2"/>
  <c r="H350" i="1" s="1"/>
  <c r="G350" i="2"/>
  <c r="G350" i="1" s="1"/>
  <c r="F350" i="2"/>
  <c r="F350" i="1" s="1"/>
  <c r="E350" i="2"/>
  <c r="E350" i="1" s="1"/>
  <c r="D350" i="2"/>
  <c r="D350" i="1" s="1"/>
  <c r="C350" i="2"/>
  <c r="C350" i="1" s="1"/>
  <c r="O349" i="2"/>
  <c r="O349" i="1" s="1"/>
  <c r="N349" i="2"/>
  <c r="N349" i="1" s="1"/>
  <c r="M349" i="2"/>
  <c r="M349" i="1" s="1"/>
  <c r="L349" i="2"/>
  <c r="K349"/>
  <c r="K349" i="1" s="1"/>
  <c r="J349" i="2"/>
  <c r="J349" i="1" s="1"/>
  <c r="I349" i="2"/>
  <c r="I349" i="1" s="1"/>
  <c r="H349" i="2"/>
  <c r="H349" i="1" s="1"/>
  <c r="G349" i="2"/>
  <c r="G349" i="1" s="1"/>
  <c r="F349" i="2"/>
  <c r="F349" i="1" s="1"/>
  <c r="E349" i="2"/>
  <c r="E349" i="1" s="1"/>
  <c r="D349" i="2"/>
  <c r="D349" i="1" s="1"/>
  <c r="C349" i="2"/>
  <c r="C349" i="1" s="1"/>
  <c r="O348" i="2"/>
  <c r="O348" i="1" s="1"/>
  <c r="N348" i="2"/>
  <c r="N348" i="1" s="1"/>
  <c r="M348" i="2"/>
  <c r="M348" i="1" s="1"/>
  <c r="L348" i="2"/>
  <c r="K348"/>
  <c r="K348" i="1" s="1"/>
  <c r="J348" i="2"/>
  <c r="J348" i="1" s="1"/>
  <c r="I348" i="2"/>
  <c r="I348" i="1" s="1"/>
  <c r="H348" i="2"/>
  <c r="H348" i="1" s="1"/>
  <c r="G348" i="2"/>
  <c r="G348" i="1" s="1"/>
  <c r="F348" i="2"/>
  <c r="F348" i="1" s="1"/>
  <c r="E348" i="2"/>
  <c r="E348" i="1" s="1"/>
  <c r="D348" i="2"/>
  <c r="D348" i="1" s="1"/>
  <c r="C348" i="2"/>
  <c r="C348" i="1" s="1"/>
  <c r="O347" i="2"/>
  <c r="O347" i="1" s="1"/>
  <c r="N347" i="2"/>
  <c r="N347" i="1" s="1"/>
  <c r="M347" i="2"/>
  <c r="M347" i="1" s="1"/>
  <c r="L347" i="2"/>
  <c r="K347"/>
  <c r="K347" i="1" s="1"/>
  <c r="J347" i="2"/>
  <c r="J347" i="1" s="1"/>
  <c r="I347" i="2"/>
  <c r="I347" i="1" s="1"/>
  <c r="H347" i="2"/>
  <c r="H347" i="1" s="1"/>
  <c r="G347" i="2"/>
  <c r="G347" i="1" s="1"/>
  <c r="F347" i="2"/>
  <c r="F347" i="1" s="1"/>
  <c r="E347" i="2"/>
  <c r="E347" i="1" s="1"/>
  <c r="D347" i="2"/>
  <c r="D347" i="1" s="1"/>
  <c r="C347" i="2"/>
  <c r="C347" i="1" s="1"/>
  <c r="O346" i="2"/>
  <c r="O346" i="1" s="1"/>
  <c r="N346" i="2"/>
  <c r="N346" i="1" s="1"/>
  <c r="M346" i="2"/>
  <c r="M346" i="1" s="1"/>
  <c r="L346" i="2"/>
  <c r="K346"/>
  <c r="K346" i="1" s="1"/>
  <c r="J346" i="2"/>
  <c r="J346" i="1" s="1"/>
  <c r="I346" i="2"/>
  <c r="I346" i="1" s="1"/>
  <c r="H346" i="2"/>
  <c r="H346" i="1" s="1"/>
  <c r="G346" i="2"/>
  <c r="G346" i="1" s="1"/>
  <c r="F346" i="2"/>
  <c r="F346" i="1" s="1"/>
  <c r="E346" i="2"/>
  <c r="E346" i="1" s="1"/>
  <c r="D346" i="2"/>
  <c r="D346" i="1" s="1"/>
  <c r="C346" i="2"/>
  <c r="C346" i="1" s="1"/>
  <c r="O345" i="2"/>
  <c r="O345" i="1" s="1"/>
  <c r="N345" i="2"/>
  <c r="N345" i="1" s="1"/>
  <c r="M345" i="2"/>
  <c r="M345" i="1" s="1"/>
  <c r="L345" i="2"/>
  <c r="K345"/>
  <c r="K345" i="1" s="1"/>
  <c r="J345" i="2"/>
  <c r="J345" i="1" s="1"/>
  <c r="I345" i="2"/>
  <c r="I345" i="1" s="1"/>
  <c r="H345" i="2"/>
  <c r="H345" i="1" s="1"/>
  <c r="G345" i="2"/>
  <c r="G345" i="1" s="1"/>
  <c r="F345" i="2"/>
  <c r="F345" i="1" s="1"/>
  <c r="E345" i="2"/>
  <c r="E345" i="1" s="1"/>
  <c r="D345" i="2"/>
  <c r="D345" i="1" s="1"/>
  <c r="C345" i="2"/>
  <c r="C345" i="1" s="1"/>
  <c r="O344" i="2"/>
  <c r="O344" i="1" s="1"/>
  <c r="N344" i="2"/>
  <c r="N344" i="1" s="1"/>
  <c r="M344" i="2"/>
  <c r="M344" i="1" s="1"/>
  <c r="L344" i="2"/>
  <c r="K344"/>
  <c r="K344" i="1" s="1"/>
  <c r="J344" i="2"/>
  <c r="J344" i="1" s="1"/>
  <c r="I344" i="2"/>
  <c r="I344" i="1" s="1"/>
  <c r="H344" i="2"/>
  <c r="H344" i="1" s="1"/>
  <c r="G344" i="2"/>
  <c r="G344" i="1" s="1"/>
  <c r="F344" i="2"/>
  <c r="F344" i="1" s="1"/>
  <c r="E344" i="2"/>
  <c r="E344" i="1" s="1"/>
  <c r="D344" i="2"/>
  <c r="D344" i="1" s="1"/>
  <c r="C344" i="2"/>
  <c r="C344" i="1" s="1"/>
  <c r="O343" i="2"/>
  <c r="O343" i="1" s="1"/>
  <c r="N343" i="2"/>
  <c r="N343" i="1" s="1"/>
  <c r="M343" i="2"/>
  <c r="M343" i="1" s="1"/>
  <c r="L343" i="2"/>
  <c r="K343"/>
  <c r="K343" i="1" s="1"/>
  <c r="J343" i="2"/>
  <c r="J343" i="1" s="1"/>
  <c r="I343" i="2"/>
  <c r="I343" i="1" s="1"/>
  <c r="H343" i="2"/>
  <c r="H343" i="1" s="1"/>
  <c r="G343" i="2"/>
  <c r="G343" i="1" s="1"/>
  <c r="F343" i="2"/>
  <c r="F343" i="1" s="1"/>
  <c r="E343" i="2"/>
  <c r="E343" i="1" s="1"/>
  <c r="D343" i="2"/>
  <c r="D343" i="1" s="1"/>
  <c r="C343" i="2"/>
  <c r="C343" i="1" s="1"/>
  <c r="O342" i="2"/>
  <c r="O342" i="1" s="1"/>
  <c r="N342" i="2"/>
  <c r="N342" i="1" s="1"/>
  <c r="M342" i="2"/>
  <c r="M342" i="1" s="1"/>
  <c r="L342" i="2"/>
  <c r="K342"/>
  <c r="K342" i="1" s="1"/>
  <c r="J342" i="2"/>
  <c r="J342" i="1" s="1"/>
  <c r="I342" i="2"/>
  <c r="I342" i="1" s="1"/>
  <c r="H342" i="2"/>
  <c r="H342" i="1" s="1"/>
  <c r="G342" i="2"/>
  <c r="G342" i="1" s="1"/>
  <c r="F342" i="2"/>
  <c r="F342" i="1" s="1"/>
  <c r="E342" i="2"/>
  <c r="E342" i="1" s="1"/>
  <c r="D342" i="2"/>
  <c r="D342" i="1" s="1"/>
  <c r="C342" i="2"/>
  <c r="C342" i="1" s="1"/>
  <c r="O341" i="2"/>
  <c r="O341" i="1" s="1"/>
  <c r="N341" i="2"/>
  <c r="N341" i="1" s="1"/>
  <c r="M341" i="2"/>
  <c r="M341" i="1" s="1"/>
  <c r="L341" i="2"/>
  <c r="K341"/>
  <c r="K341" i="1" s="1"/>
  <c r="J341" i="2"/>
  <c r="J341" i="1" s="1"/>
  <c r="I341" i="2"/>
  <c r="I341" i="1" s="1"/>
  <c r="H341" i="2"/>
  <c r="H341" i="1" s="1"/>
  <c r="G341" i="2"/>
  <c r="G341" i="1" s="1"/>
  <c r="F341" i="2"/>
  <c r="F341" i="1" s="1"/>
  <c r="E341" i="2"/>
  <c r="E341" i="1" s="1"/>
  <c r="D341" i="2"/>
  <c r="D341" i="1" s="1"/>
  <c r="C341" i="2"/>
  <c r="C341" i="1" s="1"/>
  <c r="O340" i="2"/>
  <c r="O340" i="1" s="1"/>
  <c r="N340" i="2"/>
  <c r="N340" i="1" s="1"/>
  <c r="M340" i="2"/>
  <c r="M340" i="1" s="1"/>
  <c r="L340" i="2"/>
  <c r="K340"/>
  <c r="K340" i="1" s="1"/>
  <c r="J340" i="2"/>
  <c r="J340" i="1" s="1"/>
  <c r="I340" i="2"/>
  <c r="I340" i="1" s="1"/>
  <c r="H340" i="2"/>
  <c r="H340" i="1" s="1"/>
  <c r="G340" i="2"/>
  <c r="G340" i="1" s="1"/>
  <c r="F340" i="2"/>
  <c r="F340" i="1" s="1"/>
  <c r="E340" i="2"/>
  <c r="E340" i="1" s="1"/>
  <c r="D340" i="2"/>
  <c r="D340" i="1" s="1"/>
  <c r="C340" i="2"/>
  <c r="C340" i="1" s="1"/>
  <c r="O339" i="2"/>
  <c r="O339" i="1" s="1"/>
  <c r="N339" i="2"/>
  <c r="N339" i="1" s="1"/>
  <c r="M339" i="2"/>
  <c r="M339" i="1" s="1"/>
  <c r="L339" i="2"/>
  <c r="K339"/>
  <c r="K339" i="1" s="1"/>
  <c r="J339" i="2"/>
  <c r="J339" i="1" s="1"/>
  <c r="I339" i="2"/>
  <c r="I339" i="1" s="1"/>
  <c r="H339" i="2"/>
  <c r="H339" i="1" s="1"/>
  <c r="G339" i="2"/>
  <c r="G339" i="1" s="1"/>
  <c r="F339" i="2"/>
  <c r="F339" i="1" s="1"/>
  <c r="E339" i="2"/>
  <c r="E339" i="1" s="1"/>
  <c r="D339" i="2"/>
  <c r="D339" i="1" s="1"/>
  <c r="C339" i="2"/>
  <c r="C339" i="1" s="1"/>
  <c r="O338" i="2"/>
  <c r="O338" i="1" s="1"/>
  <c r="N338" i="2"/>
  <c r="N338" i="1" s="1"/>
  <c r="M338" i="2"/>
  <c r="M338" i="1" s="1"/>
  <c r="L338" i="2"/>
  <c r="K338"/>
  <c r="K338" i="1" s="1"/>
  <c r="J338" i="2"/>
  <c r="J338" i="1" s="1"/>
  <c r="I338" i="2"/>
  <c r="I338" i="1" s="1"/>
  <c r="H338" i="2"/>
  <c r="H338" i="1" s="1"/>
  <c r="G338" i="2"/>
  <c r="G338" i="1" s="1"/>
  <c r="F338" i="2"/>
  <c r="F338" i="1" s="1"/>
  <c r="E338" i="2"/>
  <c r="E338" i="1" s="1"/>
  <c r="D338" i="2"/>
  <c r="D338" i="1" s="1"/>
  <c r="C338" i="2"/>
  <c r="C338" i="1" s="1"/>
  <c r="O337" i="2"/>
  <c r="O337" i="1" s="1"/>
  <c r="N337" i="2"/>
  <c r="N337" i="1" s="1"/>
  <c r="M337" i="2"/>
  <c r="M337" i="1" s="1"/>
  <c r="L337" i="2"/>
  <c r="K337"/>
  <c r="K337" i="1" s="1"/>
  <c r="J337" i="2"/>
  <c r="J337" i="1" s="1"/>
  <c r="I337" i="2"/>
  <c r="I337" i="1" s="1"/>
  <c r="H337" i="2"/>
  <c r="H337" i="1" s="1"/>
  <c r="G337" i="2"/>
  <c r="G337" i="1" s="1"/>
  <c r="F337" i="2"/>
  <c r="F337" i="1" s="1"/>
  <c r="E337" i="2"/>
  <c r="E337" i="1" s="1"/>
  <c r="D337" i="2"/>
  <c r="D337" i="1" s="1"/>
  <c r="C337" i="2"/>
  <c r="C337" i="1" s="1"/>
  <c r="O336" i="2"/>
  <c r="O336" i="1" s="1"/>
  <c r="N336" i="2"/>
  <c r="N336" i="1" s="1"/>
  <c r="M336" i="2"/>
  <c r="M336" i="1" s="1"/>
  <c r="L336" i="2"/>
  <c r="K336"/>
  <c r="K336" i="1" s="1"/>
  <c r="J336" i="2"/>
  <c r="J336" i="1" s="1"/>
  <c r="I336" i="2"/>
  <c r="I336" i="1" s="1"/>
  <c r="H336" i="2"/>
  <c r="H336" i="1" s="1"/>
  <c r="G336" i="2"/>
  <c r="G336" i="1" s="1"/>
  <c r="F336" i="2"/>
  <c r="F336" i="1" s="1"/>
  <c r="E336" i="2"/>
  <c r="E336" i="1" s="1"/>
  <c r="D336" i="2"/>
  <c r="D336" i="1" s="1"/>
  <c r="C336" i="2"/>
  <c r="C336" i="1" s="1"/>
  <c r="O335" i="2"/>
  <c r="O335" i="1" s="1"/>
  <c r="N335" i="2"/>
  <c r="N335" i="1" s="1"/>
  <c r="M335" i="2"/>
  <c r="M335" i="1" s="1"/>
  <c r="L335" i="2"/>
  <c r="K335"/>
  <c r="K335" i="1" s="1"/>
  <c r="J335" i="2"/>
  <c r="J335" i="1" s="1"/>
  <c r="I335" i="2"/>
  <c r="I335" i="1" s="1"/>
  <c r="H335" i="2"/>
  <c r="H335" i="1" s="1"/>
  <c r="G335" i="2"/>
  <c r="G335" i="1" s="1"/>
  <c r="F335" i="2"/>
  <c r="F335" i="1" s="1"/>
  <c r="E335" i="2"/>
  <c r="E335" i="1" s="1"/>
  <c r="D335" i="2"/>
  <c r="D335" i="1" s="1"/>
  <c r="C335" i="2"/>
  <c r="C335" i="1" s="1"/>
  <c r="O334" i="2"/>
  <c r="O334" i="1" s="1"/>
  <c r="N334" i="2"/>
  <c r="N334" i="1" s="1"/>
  <c r="M334" i="2"/>
  <c r="M334" i="1" s="1"/>
  <c r="L334" i="2"/>
  <c r="K334"/>
  <c r="K334" i="1" s="1"/>
  <c r="J334" i="2"/>
  <c r="J334" i="1" s="1"/>
  <c r="I334" i="2"/>
  <c r="I334" i="1" s="1"/>
  <c r="H334" i="2"/>
  <c r="H334" i="1" s="1"/>
  <c r="G334" i="2"/>
  <c r="G334" i="1" s="1"/>
  <c r="F334" i="2"/>
  <c r="F334" i="1" s="1"/>
  <c r="E334" i="2"/>
  <c r="E334" i="1" s="1"/>
  <c r="D334" i="2"/>
  <c r="D334" i="1" s="1"/>
  <c r="C334" i="2"/>
  <c r="C334" i="1" s="1"/>
  <c r="O333" i="2"/>
  <c r="O333" i="1" s="1"/>
  <c r="N333" i="2"/>
  <c r="N333" i="1" s="1"/>
  <c r="M333" i="2"/>
  <c r="M333" i="1" s="1"/>
  <c r="L333" i="2"/>
  <c r="K333"/>
  <c r="K333" i="1" s="1"/>
  <c r="J333" i="2"/>
  <c r="J333" i="1" s="1"/>
  <c r="I333" i="2"/>
  <c r="I333" i="1" s="1"/>
  <c r="H333" i="2"/>
  <c r="H333" i="1" s="1"/>
  <c r="G333" i="2"/>
  <c r="G333" i="1" s="1"/>
  <c r="F333" i="2"/>
  <c r="F333" i="1" s="1"/>
  <c r="E333" i="2"/>
  <c r="E333" i="1" s="1"/>
  <c r="D333" i="2"/>
  <c r="D333" i="1" s="1"/>
  <c r="C333" i="2"/>
  <c r="C333" i="1" s="1"/>
  <c r="O332" i="2"/>
  <c r="O332" i="1" s="1"/>
  <c r="N332" i="2"/>
  <c r="N332" i="1" s="1"/>
  <c r="M332" i="2"/>
  <c r="M332" i="1" s="1"/>
  <c r="L332" i="2"/>
  <c r="K332"/>
  <c r="K332" i="1" s="1"/>
  <c r="J332" i="2"/>
  <c r="J332" i="1" s="1"/>
  <c r="I332" i="2"/>
  <c r="I332" i="1" s="1"/>
  <c r="H332" i="2"/>
  <c r="H332" i="1" s="1"/>
  <c r="G332" i="2"/>
  <c r="G332" i="1" s="1"/>
  <c r="F332" i="2"/>
  <c r="F332" i="1" s="1"/>
  <c r="E332" i="2"/>
  <c r="E332" i="1" s="1"/>
  <c r="D332" i="2"/>
  <c r="D332" i="1" s="1"/>
  <c r="C332" i="2"/>
  <c r="C332" i="1" s="1"/>
  <c r="O331" i="2"/>
  <c r="O331" i="1" s="1"/>
  <c r="N331" i="2"/>
  <c r="N331" i="1" s="1"/>
  <c r="M331" i="2"/>
  <c r="M331" i="1" s="1"/>
  <c r="L331" i="2"/>
  <c r="K331"/>
  <c r="K331" i="1" s="1"/>
  <c r="J331" i="2"/>
  <c r="J331" i="1" s="1"/>
  <c r="I331" i="2"/>
  <c r="I331" i="1" s="1"/>
  <c r="H331" i="2"/>
  <c r="H331" i="1" s="1"/>
  <c r="G331" i="2"/>
  <c r="G331" i="1" s="1"/>
  <c r="F331" i="2"/>
  <c r="F331" i="1" s="1"/>
  <c r="E331" i="2"/>
  <c r="E331" i="1" s="1"/>
  <c r="D331" i="2"/>
  <c r="D331" i="1" s="1"/>
  <c r="C331" i="2"/>
  <c r="C331" i="1" s="1"/>
  <c r="O330" i="2"/>
  <c r="O330" i="1" s="1"/>
  <c r="N330" i="2"/>
  <c r="N330" i="1" s="1"/>
  <c r="M330" i="2"/>
  <c r="M330" i="1" s="1"/>
  <c r="L330" i="2"/>
  <c r="K330"/>
  <c r="K330" i="1" s="1"/>
  <c r="J330" i="2"/>
  <c r="J330" i="1" s="1"/>
  <c r="I330" i="2"/>
  <c r="I330" i="1" s="1"/>
  <c r="H330" i="2"/>
  <c r="H330" i="1" s="1"/>
  <c r="G330" i="2"/>
  <c r="G330" i="1" s="1"/>
  <c r="F330" i="2"/>
  <c r="F330" i="1" s="1"/>
  <c r="E330" i="2"/>
  <c r="E330" i="1" s="1"/>
  <c r="D330" i="2"/>
  <c r="D330" i="1" s="1"/>
  <c r="C330" i="2"/>
  <c r="C330" i="1" s="1"/>
  <c r="O329" i="2"/>
  <c r="O329" i="1" s="1"/>
  <c r="N329" i="2"/>
  <c r="N329" i="1" s="1"/>
  <c r="M329" i="2"/>
  <c r="M329" i="1" s="1"/>
  <c r="L329" i="2"/>
  <c r="K329"/>
  <c r="K329" i="1" s="1"/>
  <c r="J329" i="2"/>
  <c r="J329" i="1" s="1"/>
  <c r="I329" i="2"/>
  <c r="I329" i="1" s="1"/>
  <c r="H329" i="2"/>
  <c r="H329" i="1" s="1"/>
  <c r="G329" i="2"/>
  <c r="G329" i="1" s="1"/>
  <c r="F329" i="2"/>
  <c r="F329" i="1" s="1"/>
  <c r="E329" i="2"/>
  <c r="E329" i="1" s="1"/>
  <c r="D329" i="2"/>
  <c r="D329" i="1" s="1"/>
  <c r="C329" i="2"/>
  <c r="C329" i="1" s="1"/>
  <c r="O328" i="2"/>
  <c r="O328" i="1" s="1"/>
  <c r="N328" i="2"/>
  <c r="N328" i="1" s="1"/>
  <c r="M328" i="2"/>
  <c r="M328" i="1" s="1"/>
  <c r="L328" i="2"/>
  <c r="K328"/>
  <c r="K328" i="1" s="1"/>
  <c r="J328" i="2"/>
  <c r="J328" i="1" s="1"/>
  <c r="I328" i="2"/>
  <c r="I328" i="1" s="1"/>
  <c r="H328" i="2"/>
  <c r="H328" i="1" s="1"/>
  <c r="G328" i="2"/>
  <c r="G328" i="1" s="1"/>
  <c r="F328" i="2"/>
  <c r="F328" i="1" s="1"/>
  <c r="E328" i="2"/>
  <c r="E328" i="1" s="1"/>
  <c r="D328" i="2"/>
  <c r="D328" i="1" s="1"/>
  <c r="C328" i="2"/>
  <c r="C328" i="1" s="1"/>
  <c r="O327" i="2"/>
  <c r="O327" i="1" s="1"/>
  <c r="N327" i="2"/>
  <c r="N327" i="1" s="1"/>
  <c r="M327" i="2"/>
  <c r="M327" i="1" s="1"/>
  <c r="L327" i="2"/>
  <c r="K327"/>
  <c r="K327" i="1" s="1"/>
  <c r="J327" i="2"/>
  <c r="J327" i="1" s="1"/>
  <c r="I327" i="2"/>
  <c r="I327" i="1" s="1"/>
  <c r="H327" i="2"/>
  <c r="H327" i="1" s="1"/>
  <c r="G327" i="2"/>
  <c r="G327" i="1" s="1"/>
  <c r="F327" i="2"/>
  <c r="F327" i="1" s="1"/>
  <c r="E327" i="2"/>
  <c r="E327" i="1" s="1"/>
  <c r="D327" i="2"/>
  <c r="D327" i="1" s="1"/>
  <c r="C327" i="2"/>
  <c r="C327" i="1" s="1"/>
  <c r="O326" i="2"/>
  <c r="O326" i="1" s="1"/>
  <c r="N326" i="2"/>
  <c r="N326" i="1" s="1"/>
  <c r="M326" i="2"/>
  <c r="M326" i="1" s="1"/>
  <c r="L326" i="2"/>
  <c r="K326"/>
  <c r="K326" i="1" s="1"/>
  <c r="J326" i="2"/>
  <c r="J326" i="1" s="1"/>
  <c r="I326" i="2"/>
  <c r="I326" i="1" s="1"/>
  <c r="H326" i="2"/>
  <c r="H326" i="1" s="1"/>
  <c r="G326" i="2"/>
  <c r="G326" i="1" s="1"/>
  <c r="F326" i="2"/>
  <c r="F326" i="1" s="1"/>
  <c r="E326" i="2"/>
  <c r="E326" i="1" s="1"/>
  <c r="D326" i="2"/>
  <c r="D326" i="1" s="1"/>
  <c r="C326" i="2"/>
  <c r="C326" i="1" s="1"/>
  <c r="O325" i="2"/>
  <c r="O325" i="1" s="1"/>
  <c r="N325" i="2"/>
  <c r="N325" i="1" s="1"/>
  <c r="M325" i="2"/>
  <c r="M325" i="1" s="1"/>
  <c r="L325" i="2"/>
  <c r="K325"/>
  <c r="K325" i="1" s="1"/>
  <c r="J325" i="2"/>
  <c r="J325" i="1" s="1"/>
  <c r="I325" i="2"/>
  <c r="I325" i="1" s="1"/>
  <c r="H325" i="2"/>
  <c r="H325" i="1" s="1"/>
  <c r="G325" i="2"/>
  <c r="G325" i="1" s="1"/>
  <c r="F325" i="2"/>
  <c r="F325" i="1" s="1"/>
  <c r="E325" i="2"/>
  <c r="E325" i="1" s="1"/>
  <c r="D325" i="2"/>
  <c r="D325" i="1" s="1"/>
  <c r="C325" i="2"/>
  <c r="C325" i="1" s="1"/>
  <c r="O324" i="2"/>
  <c r="O324" i="1" s="1"/>
  <c r="N324" i="2"/>
  <c r="N324" i="1" s="1"/>
  <c r="M324" i="2"/>
  <c r="M324" i="1" s="1"/>
  <c r="L324" i="2"/>
  <c r="K324"/>
  <c r="K324" i="1" s="1"/>
  <c r="J324" i="2"/>
  <c r="J324" i="1" s="1"/>
  <c r="I324" i="2"/>
  <c r="I324" i="1" s="1"/>
  <c r="H324" i="2"/>
  <c r="H324" i="1" s="1"/>
  <c r="G324" i="2"/>
  <c r="G324" i="1" s="1"/>
  <c r="F324" i="2"/>
  <c r="F324" i="1" s="1"/>
  <c r="E324" i="2"/>
  <c r="E324" i="1" s="1"/>
  <c r="D324" i="2"/>
  <c r="D324" i="1" s="1"/>
  <c r="C324" i="2"/>
  <c r="C324" i="1" s="1"/>
  <c r="O323" i="2"/>
  <c r="O323" i="1" s="1"/>
  <c r="N323" i="2"/>
  <c r="N323" i="1" s="1"/>
  <c r="M323" i="2"/>
  <c r="M323" i="1" s="1"/>
  <c r="L323" i="2"/>
  <c r="K323"/>
  <c r="K323" i="1" s="1"/>
  <c r="J323" i="2"/>
  <c r="J323" i="1" s="1"/>
  <c r="I323" i="2"/>
  <c r="I323" i="1" s="1"/>
  <c r="H323" i="2"/>
  <c r="H323" i="1" s="1"/>
  <c r="G323" i="2"/>
  <c r="G323" i="1" s="1"/>
  <c r="F323" i="2"/>
  <c r="F323" i="1" s="1"/>
  <c r="E323" i="2"/>
  <c r="E323" i="1" s="1"/>
  <c r="D323" i="2"/>
  <c r="D323" i="1" s="1"/>
  <c r="C323" i="2"/>
  <c r="C323" i="1" s="1"/>
  <c r="O322" i="2"/>
  <c r="O322" i="1" s="1"/>
  <c r="N322" i="2"/>
  <c r="N322" i="1" s="1"/>
  <c r="M322" i="2"/>
  <c r="M322" i="1" s="1"/>
  <c r="L322" i="2"/>
  <c r="K322"/>
  <c r="K322" i="1" s="1"/>
  <c r="J322" i="2"/>
  <c r="J322" i="1" s="1"/>
  <c r="I322" i="2"/>
  <c r="I322" i="1" s="1"/>
  <c r="H322" i="2"/>
  <c r="H322" i="1" s="1"/>
  <c r="G322" i="2"/>
  <c r="G322" i="1" s="1"/>
  <c r="F322" i="2"/>
  <c r="F322" i="1" s="1"/>
  <c r="E322" i="2"/>
  <c r="E322" i="1" s="1"/>
  <c r="D322" i="2"/>
  <c r="D322" i="1" s="1"/>
  <c r="C322" i="2"/>
  <c r="C322" i="1" s="1"/>
  <c r="O321" i="2"/>
  <c r="O321" i="1" s="1"/>
  <c r="N321" i="2"/>
  <c r="N321" i="1" s="1"/>
  <c r="M321" i="2"/>
  <c r="M321" i="1" s="1"/>
  <c r="L321" i="2"/>
  <c r="K321"/>
  <c r="K321" i="1" s="1"/>
  <c r="J321" i="2"/>
  <c r="J321" i="1" s="1"/>
  <c r="I321" i="2"/>
  <c r="I321" i="1" s="1"/>
  <c r="H321" i="2"/>
  <c r="H321" i="1" s="1"/>
  <c r="G321" i="2"/>
  <c r="G321" i="1" s="1"/>
  <c r="F321" i="2"/>
  <c r="F321" i="1" s="1"/>
  <c r="E321" i="2"/>
  <c r="E321" i="1" s="1"/>
  <c r="D321" i="2"/>
  <c r="D321" i="1" s="1"/>
  <c r="C321" i="2"/>
  <c r="C321" i="1" s="1"/>
  <c r="O320" i="2"/>
  <c r="O320" i="1" s="1"/>
  <c r="N320" i="2"/>
  <c r="N320" i="1" s="1"/>
  <c r="M320" i="2"/>
  <c r="M320" i="1" s="1"/>
  <c r="L320" i="2"/>
  <c r="K320"/>
  <c r="K320" i="1" s="1"/>
  <c r="J320" i="2"/>
  <c r="J320" i="1" s="1"/>
  <c r="I320" i="2"/>
  <c r="I320" i="1" s="1"/>
  <c r="H320" i="2"/>
  <c r="H320" i="1" s="1"/>
  <c r="G320" i="2"/>
  <c r="G320" i="1" s="1"/>
  <c r="F320" i="2"/>
  <c r="F320" i="1" s="1"/>
  <c r="E320" i="2"/>
  <c r="E320" i="1" s="1"/>
  <c r="D320" i="2"/>
  <c r="D320" i="1" s="1"/>
  <c r="C320" i="2"/>
  <c r="C320" i="1" s="1"/>
  <c r="O319" i="2"/>
  <c r="O319" i="1" s="1"/>
  <c r="N319" i="2"/>
  <c r="N319" i="1" s="1"/>
  <c r="M319" i="2"/>
  <c r="M319" i="1" s="1"/>
  <c r="L319" i="2"/>
  <c r="K319"/>
  <c r="K319" i="1" s="1"/>
  <c r="J319" i="2"/>
  <c r="J319" i="1" s="1"/>
  <c r="I319" i="2"/>
  <c r="I319" i="1" s="1"/>
  <c r="H319" i="2"/>
  <c r="H319" i="1" s="1"/>
  <c r="G319" i="2"/>
  <c r="G319" i="1" s="1"/>
  <c r="F319" i="2"/>
  <c r="F319" i="1" s="1"/>
  <c r="E319" i="2"/>
  <c r="E319" i="1" s="1"/>
  <c r="D319" i="2"/>
  <c r="D319" i="1" s="1"/>
  <c r="C319" i="2"/>
  <c r="C319" i="1" s="1"/>
  <c r="O318" i="2"/>
  <c r="O318" i="1" s="1"/>
  <c r="N318" i="2"/>
  <c r="N318" i="1" s="1"/>
  <c r="M318" i="2"/>
  <c r="M318" i="1" s="1"/>
  <c r="L318" i="2"/>
  <c r="K318"/>
  <c r="K318" i="1" s="1"/>
  <c r="J318" i="2"/>
  <c r="J318" i="1" s="1"/>
  <c r="I318" i="2"/>
  <c r="I318" i="1" s="1"/>
  <c r="H318" i="2"/>
  <c r="H318" i="1" s="1"/>
  <c r="G318" i="2"/>
  <c r="G318" i="1" s="1"/>
  <c r="F318" i="2"/>
  <c r="F318" i="1" s="1"/>
  <c r="E318" i="2"/>
  <c r="E318" i="1" s="1"/>
  <c r="D318" i="2"/>
  <c r="D318" i="1" s="1"/>
  <c r="C318" i="2"/>
  <c r="C318" i="1" s="1"/>
  <c r="O317" i="2"/>
  <c r="O317" i="1" s="1"/>
  <c r="N317" i="2"/>
  <c r="N317" i="1" s="1"/>
  <c r="M317" i="2"/>
  <c r="M317" i="1" s="1"/>
  <c r="L317" i="2"/>
  <c r="K317"/>
  <c r="K317" i="1" s="1"/>
  <c r="J317" i="2"/>
  <c r="J317" i="1" s="1"/>
  <c r="I317" i="2"/>
  <c r="I317" i="1" s="1"/>
  <c r="H317" i="2"/>
  <c r="H317" i="1" s="1"/>
  <c r="G317" i="2"/>
  <c r="G317" i="1" s="1"/>
  <c r="F317" i="2"/>
  <c r="F317" i="1" s="1"/>
  <c r="E317" i="2"/>
  <c r="E317" i="1" s="1"/>
  <c r="D317" i="2"/>
  <c r="D317" i="1" s="1"/>
  <c r="C317" i="2"/>
  <c r="C317" i="1" s="1"/>
  <c r="O316" i="2"/>
  <c r="O316" i="1" s="1"/>
  <c r="N316" i="2"/>
  <c r="N316" i="1" s="1"/>
  <c r="M316" i="2"/>
  <c r="M316" i="1" s="1"/>
  <c r="L316" i="2"/>
  <c r="K316"/>
  <c r="K316" i="1" s="1"/>
  <c r="J316" i="2"/>
  <c r="J316" i="1" s="1"/>
  <c r="I316" i="2"/>
  <c r="I316" i="1" s="1"/>
  <c r="H316" i="2"/>
  <c r="H316" i="1" s="1"/>
  <c r="G316" i="2"/>
  <c r="G316" i="1" s="1"/>
  <c r="F316" i="2"/>
  <c r="F316" i="1" s="1"/>
  <c r="E316" i="2"/>
  <c r="E316" i="1" s="1"/>
  <c r="D316" i="2"/>
  <c r="D316" i="1" s="1"/>
  <c r="C316" i="2"/>
  <c r="C316" i="1" s="1"/>
  <c r="O315" i="2"/>
  <c r="O315" i="1" s="1"/>
  <c r="N315" i="2"/>
  <c r="N315" i="1" s="1"/>
  <c r="M315" i="2"/>
  <c r="M315" i="1" s="1"/>
  <c r="L315" i="2"/>
  <c r="K315"/>
  <c r="K315" i="1" s="1"/>
  <c r="J315" i="2"/>
  <c r="J315" i="1" s="1"/>
  <c r="I315" i="2"/>
  <c r="I315" i="1" s="1"/>
  <c r="H315" i="2"/>
  <c r="H315" i="1" s="1"/>
  <c r="G315" i="2"/>
  <c r="G315" i="1" s="1"/>
  <c r="F315" i="2"/>
  <c r="F315" i="1" s="1"/>
  <c r="E315" i="2"/>
  <c r="E315" i="1" s="1"/>
  <c r="D315" i="2"/>
  <c r="D315" i="1" s="1"/>
  <c r="C315" i="2"/>
  <c r="C315" i="1" s="1"/>
  <c r="O314" i="2"/>
  <c r="O314" i="1" s="1"/>
  <c r="N314" i="2"/>
  <c r="N314" i="1" s="1"/>
  <c r="M314" i="2"/>
  <c r="M314" i="1" s="1"/>
  <c r="L314" i="2"/>
  <c r="K314"/>
  <c r="K314" i="1" s="1"/>
  <c r="J314" i="2"/>
  <c r="J314" i="1" s="1"/>
  <c r="I314" i="2"/>
  <c r="I314" i="1" s="1"/>
  <c r="H314" i="2"/>
  <c r="H314" i="1" s="1"/>
  <c r="G314" i="2"/>
  <c r="G314" i="1" s="1"/>
  <c r="F314" i="2"/>
  <c r="F314" i="1" s="1"/>
  <c r="E314" i="2"/>
  <c r="E314" i="1" s="1"/>
  <c r="D314" i="2"/>
  <c r="D314" i="1" s="1"/>
  <c r="C314" i="2"/>
  <c r="C314" i="1" s="1"/>
  <c r="O313" i="2"/>
  <c r="O313" i="1" s="1"/>
  <c r="N313" i="2"/>
  <c r="N313" i="1" s="1"/>
  <c r="M313" i="2"/>
  <c r="M313" i="1" s="1"/>
  <c r="L313" i="2"/>
  <c r="K313"/>
  <c r="K313" i="1" s="1"/>
  <c r="J313" i="2"/>
  <c r="J313" i="1" s="1"/>
  <c r="I313" i="2"/>
  <c r="I313" i="1" s="1"/>
  <c r="H313" i="2"/>
  <c r="H313" i="1" s="1"/>
  <c r="G313" i="2"/>
  <c r="G313" i="1" s="1"/>
  <c r="F313" i="2"/>
  <c r="F313" i="1" s="1"/>
  <c r="E313" i="2"/>
  <c r="E313" i="1" s="1"/>
  <c r="D313" i="2"/>
  <c r="D313" i="1" s="1"/>
  <c r="C313" i="2"/>
  <c r="C313" i="1" s="1"/>
  <c r="O312" i="2"/>
  <c r="O312" i="1" s="1"/>
  <c r="N312" i="2"/>
  <c r="N312" i="1" s="1"/>
  <c r="M312" i="2"/>
  <c r="M312" i="1" s="1"/>
  <c r="L312" i="2"/>
  <c r="K312"/>
  <c r="K312" i="1" s="1"/>
  <c r="J312" i="2"/>
  <c r="J312" i="1" s="1"/>
  <c r="I312" i="2"/>
  <c r="I312" i="1" s="1"/>
  <c r="H312" i="2"/>
  <c r="H312" i="1" s="1"/>
  <c r="G312" i="2"/>
  <c r="G312" i="1" s="1"/>
  <c r="F312" i="2"/>
  <c r="F312" i="1" s="1"/>
  <c r="E312" i="2"/>
  <c r="E312" i="1" s="1"/>
  <c r="D312" i="2"/>
  <c r="D312" i="1" s="1"/>
  <c r="C312" i="2"/>
  <c r="C312" i="1" s="1"/>
  <c r="O311" i="2"/>
  <c r="O311" i="1" s="1"/>
  <c r="N311" i="2"/>
  <c r="N311" i="1" s="1"/>
  <c r="M311" i="2"/>
  <c r="M311" i="1" s="1"/>
  <c r="L311" i="2"/>
  <c r="K311"/>
  <c r="K311" i="1" s="1"/>
  <c r="J311" i="2"/>
  <c r="J311" i="1" s="1"/>
  <c r="I311" i="2"/>
  <c r="I311" i="1" s="1"/>
  <c r="H311" i="2"/>
  <c r="H311" i="1" s="1"/>
  <c r="G311" i="2"/>
  <c r="G311" i="1" s="1"/>
  <c r="F311" i="2"/>
  <c r="F311" i="1" s="1"/>
  <c r="E311" i="2"/>
  <c r="E311" i="1" s="1"/>
  <c r="D311" i="2"/>
  <c r="D311" i="1" s="1"/>
  <c r="C311" i="2"/>
  <c r="C311" i="1" s="1"/>
  <c r="O310" i="2"/>
  <c r="O310" i="1" s="1"/>
  <c r="N310" i="2"/>
  <c r="N310" i="1" s="1"/>
  <c r="M310" i="2"/>
  <c r="M310" i="1" s="1"/>
  <c r="L310" i="2"/>
  <c r="K310"/>
  <c r="K310" i="1" s="1"/>
  <c r="J310" i="2"/>
  <c r="J310" i="1" s="1"/>
  <c r="I310" i="2"/>
  <c r="I310" i="1" s="1"/>
  <c r="H310" i="2"/>
  <c r="H310" i="1" s="1"/>
  <c r="G310" i="2"/>
  <c r="G310" i="1" s="1"/>
  <c r="F310" i="2"/>
  <c r="F310" i="1" s="1"/>
  <c r="E310" i="2"/>
  <c r="E310" i="1" s="1"/>
  <c r="D310" i="2"/>
  <c r="D310" i="1" s="1"/>
  <c r="C310" i="2"/>
  <c r="C310" i="1" s="1"/>
  <c r="O309" i="2"/>
  <c r="O309" i="1" s="1"/>
  <c r="N309" i="2"/>
  <c r="N309" i="1" s="1"/>
  <c r="M309" i="2"/>
  <c r="M309" i="1" s="1"/>
  <c r="L309" i="2"/>
  <c r="K309"/>
  <c r="K309" i="1" s="1"/>
  <c r="J309" i="2"/>
  <c r="J309" i="1" s="1"/>
  <c r="I309" i="2"/>
  <c r="I309" i="1" s="1"/>
  <c r="H309" i="2"/>
  <c r="H309" i="1" s="1"/>
  <c r="G309" i="2"/>
  <c r="G309" i="1" s="1"/>
  <c r="F309" i="2"/>
  <c r="F309" i="1" s="1"/>
  <c r="E309" i="2"/>
  <c r="E309" i="1" s="1"/>
  <c r="D309" i="2"/>
  <c r="D309" i="1" s="1"/>
  <c r="C309" i="2"/>
  <c r="C309" i="1" s="1"/>
  <c r="O308" i="2"/>
  <c r="O308" i="1" s="1"/>
  <c r="N308" i="2"/>
  <c r="N308" i="1" s="1"/>
  <c r="M308" i="2"/>
  <c r="M308" i="1" s="1"/>
  <c r="L308" i="2"/>
  <c r="K308"/>
  <c r="K308" i="1" s="1"/>
  <c r="J308" i="2"/>
  <c r="J308" i="1" s="1"/>
  <c r="I308" i="2"/>
  <c r="I308" i="1" s="1"/>
  <c r="H308" i="2"/>
  <c r="H308" i="1" s="1"/>
  <c r="G308" i="2"/>
  <c r="G308" i="1" s="1"/>
  <c r="F308" i="2"/>
  <c r="F308" i="1" s="1"/>
  <c r="E308" i="2"/>
  <c r="E308" i="1" s="1"/>
  <c r="D308" i="2"/>
  <c r="D308" i="1" s="1"/>
  <c r="C308" i="2"/>
  <c r="C308" i="1" s="1"/>
  <c r="O307" i="2"/>
  <c r="O307" i="1" s="1"/>
  <c r="N307" i="2"/>
  <c r="N307" i="1" s="1"/>
  <c r="M307" i="2"/>
  <c r="M307" i="1" s="1"/>
  <c r="L307" i="2"/>
  <c r="K307"/>
  <c r="K307" i="1" s="1"/>
  <c r="J307" i="2"/>
  <c r="J307" i="1" s="1"/>
  <c r="I307" i="2"/>
  <c r="I307" i="1" s="1"/>
  <c r="H307" i="2"/>
  <c r="H307" i="1" s="1"/>
  <c r="G307" i="2"/>
  <c r="G307" i="1" s="1"/>
  <c r="F307" i="2"/>
  <c r="F307" i="1" s="1"/>
  <c r="E307" i="2"/>
  <c r="E307" i="1" s="1"/>
  <c r="D307" i="2"/>
  <c r="D307" i="1" s="1"/>
  <c r="C307" i="2"/>
  <c r="C307" i="1" s="1"/>
  <c r="O306" i="2"/>
  <c r="O306" i="1" s="1"/>
  <c r="N306" i="2"/>
  <c r="N306" i="1" s="1"/>
  <c r="M306" i="2"/>
  <c r="M306" i="1" s="1"/>
  <c r="L306" i="2"/>
  <c r="K306"/>
  <c r="K306" i="1" s="1"/>
  <c r="J306" i="2"/>
  <c r="J306" i="1" s="1"/>
  <c r="I306" i="2"/>
  <c r="I306" i="1" s="1"/>
  <c r="H306" i="2"/>
  <c r="H306" i="1" s="1"/>
  <c r="G306" i="2"/>
  <c r="G306" i="1" s="1"/>
  <c r="F306" i="2"/>
  <c r="F306" i="1" s="1"/>
  <c r="E306" i="2"/>
  <c r="E306" i="1" s="1"/>
  <c r="D306" i="2"/>
  <c r="D306" i="1" s="1"/>
  <c r="C306" i="2"/>
  <c r="C306" i="1" s="1"/>
  <c r="O305" i="2"/>
  <c r="O305" i="1" s="1"/>
  <c r="N305" i="2"/>
  <c r="N305" i="1" s="1"/>
  <c r="M305" i="2"/>
  <c r="M305" i="1" s="1"/>
  <c r="L305" i="2"/>
  <c r="K305"/>
  <c r="K305" i="1" s="1"/>
  <c r="J305" i="2"/>
  <c r="J305" i="1" s="1"/>
  <c r="I305" i="2"/>
  <c r="I305" i="1" s="1"/>
  <c r="H305" i="2"/>
  <c r="H305" i="1" s="1"/>
  <c r="G305" i="2"/>
  <c r="G305" i="1" s="1"/>
  <c r="F305" i="2"/>
  <c r="F305" i="1" s="1"/>
  <c r="E305" i="2"/>
  <c r="E305" i="1" s="1"/>
  <c r="D305" i="2"/>
  <c r="D305" i="1" s="1"/>
  <c r="C305" i="2"/>
  <c r="C305" i="1" s="1"/>
  <c r="O304" i="2"/>
  <c r="O304" i="1" s="1"/>
  <c r="N304" i="2"/>
  <c r="N304" i="1" s="1"/>
  <c r="M304" i="2"/>
  <c r="M304" i="1" s="1"/>
  <c r="L304" i="2"/>
  <c r="K304"/>
  <c r="K304" i="1" s="1"/>
  <c r="J304" i="2"/>
  <c r="J304" i="1" s="1"/>
  <c r="I304" i="2"/>
  <c r="I304" i="1" s="1"/>
  <c r="H304" i="2"/>
  <c r="H304" i="1" s="1"/>
  <c r="G304" i="2"/>
  <c r="G304" i="1" s="1"/>
  <c r="F304" i="2"/>
  <c r="F304" i="1" s="1"/>
  <c r="E304" i="2"/>
  <c r="E304" i="1" s="1"/>
  <c r="D304" i="2"/>
  <c r="D304" i="1" s="1"/>
  <c r="C304" i="2"/>
  <c r="C304" i="1" s="1"/>
  <c r="O303" i="2"/>
  <c r="O303" i="1" s="1"/>
  <c r="N303" i="2"/>
  <c r="N303" i="1" s="1"/>
  <c r="M303" i="2"/>
  <c r="M303" i="1" s="1"/>
  <c r="L303" i="2"/>
  <c r="K303"/>
  <c r="K303" i="1" s="1"/>
  <c r="J303" i="2"/>
  <c r="J303" i="1" s="1"/>
  <c r="I303" i="2"/>
  <c r="I303" i="1" s="1"/>
  <c r="H303" i="2"/>
  <c r="H303" i="1" s="1"/>
  <c r="G303" i="2"/>
  <c r="G303" i="1" s="1"/>
  <c r="F303" i="2"/>
  <c r="F303" i="1" s="1"/>
  <c r="E303" i="2"/>
  <c r="E303" i="1" s="1"/>
  <c r="D303" i="2"/>
  <c r="D303" i="1" s="1"/>
  <c r="C303" i="2"/>
  <c r="C303" i="1" s="1"/>
  <c r="O302" i="2"/>
  <c r="O302" i="1" s="1"/>
  <c r="N302" i="2"/>
  <c r="N302" i="1" s="1"/>
  <c r="M302" i="2"/>
  <c r="M302" i="1" s="1"/>
  <c r="L302" i="2"/>
  <c r="K302"/>
  <c r="K302" i="1" s="1"/>
  <c r="J302" i="2"/>
  <c r="J302" i="1" s="1"/>
  <c r="I302" i="2"/>
  <c r="I302" i="1" s="1"/>
  <c r="H302" i="2"/>
  <c r="H302" i="1" s="1"/>
  <c r="G302" i="2"/>
  <c r="G302" i="1" s="1"/>
  <c r="F302" i="2"/>
  <c r="F302" i="1" s="1"/>
  <c r="E302" i="2"/>
  <c r="E302" i="1" s="1"/>
  <c r="D302" i="2"/>
  <c r="D302" i="1" s="1"/>
  <c r="C302" i="2"/>
  <c r="C302" i="1" s="1"/>
  <c r="O301" i="2"/>
  <c r="O301" i="1" s="1"/>
  <c r="N301" i="2"/>
  <c r="N301" i="1" s="1"/>
  <c r="M301" i="2"/>
  <c r="M301" i="1" s="1"/>
  <c r="L301" i="2"/>
  <c r="K301"/>
  <c r="K301" i="1" s="1"/>
  <c r="J301" i="2"/>
  <c r="J301" i="1" s="1"/>
  <c r="I301" i="2"/>
  <c r="I301" i="1" s="1"/>
  <c r="H301" i="2"/>
  <c r="H301" i="1" s="1"/>
  <c r="G301" i="2"/>
  <c r="G301" i="1" s="1"/>
  <c r="F301" i="2"/>
  <c r="F301" i="1" s="1"/>
  <c r="E301" i="2"/>
  <c r="E301" i="1" s="1"/>
  <c r="D301" i="2"/>
  <c r="D301" i="1" s="1"/>
  <c r="C301" i="2"/>
  <c r="C301" i="1" s="1"/>
  <c r="O300" i="2"/>
  <c r="O300" i="1" s="1"/>
  <c r="N300" i="2"/>
  <c r="N300" i="1" s="1"/>
  <c r="M300" i="2"/>
  <c r="M300" i="1" s="1"/>
  <c r="L300" i="2"/>
  <c r="K300"/>
  <c r="K300" i="1" s="1"/>
  <c r="J300" i="2"/>
  <c r="J300" i="1" s="1"/>
  <c r="I300" i="2"/>
  <c r="I300" i="1" s="1"/>
  <c r="H300" i="2"/>
  <c r="H300" i="1" s="1"/>
  <c r="G300" i="2"/>
  <c r="G300" i="1" s="1"/>
  <c r="F300" i="2"/>
  <c r="F300" i="1" s="1"/>
  <c r="E300" i="2"/>
  <c r="E300" i="1" s="1"/>
  <c r="D300" i="2"/>
  <c r="D300" i="1" s="1"/>
  <c r="C300" i="2"/>
  <c r="C300" i="1" s="1"/>
  <c r="O299" i="2"/>
  <c r="O299" i="1" s="1"/>
  <c r="N299" i="2"/>
  <c r="N299" i="1" s="1"/>
  <c r="M299" i="2"/>
  <c r="M299" i="1" s="1"/>
  <c r="L299" i="2"/>
  <c r="K299"/>
  <c r="K299" i="1" s="1"/>
  <c r="J299" i="2"/>
  <c r="J299" i="1" s="1"/>
  <c r="I299" i="2"/>
  <c r="I299" i="1" s="1"/>
  <c r="H299" i="2"/>
  <c r="H299" i="1" s="1"/>
  <c r="G299" i="2"/>
  <c r="G299" i="1" s="1"/>
  <c r="F299" i="2"/>
  <c r="F299" i="1" s="1"/>
  <c r="E299" i="2"/>
  <c r="E299" i="1" s="1"/>
  <c r="D299" i="2"/>
  <c r="D299" i="1" s="1"/>
  <c r="C299" i="2"/>
  <c r="C299" i="1" s="1"/>
  <c r="O298" i="2"/>
  <c r="O298" i="1" s="1"/>
  <c r="N298" i="2"/>
  <c r="N298" i="1" s="1"/>
  <c r="M298" i="2"/>
  <c r="M298" i="1" s="1"/>
  <c r="L298" i="2"/>
  <c r="K298"/>
  <c r="K298" i="1" s="1"/>
  <c r="J298" i="2"/>
  <c r="J298" i="1" s="1"/>
  <c r="I298" i="2"/>
  <c r="I298" i="1" s="1"/>
  <c r="H298" i="2"/>
  <c r="H298" i="1" s="1"/>
  <c r="G298" i="2"/>
  <c r="G298" i="1" s="1"/>
  <c r="F298" i="2"/>
  <c r="F298" i="1" s="1"/>
  <c r="E298" i="2"/>
  <c r="E298" i="1" s="1"/>
  <c r="D298" i="2"/>
  <c r="D298" i="1" s="1"/>
  <c r="C298" i="2"/>
  <c r="C298" i="1" s="1"/>
  <c r="O297" i="2"/>
  <c r="O297" i="1" s="1"/>
  <c r="N297" i="2"/>
  <c r="N297" i="1" s="1"/>
  <c r="M297" i="2"/>
  <c r="M297" i="1" s="1"/>
  <c r="L297" i="2"/>
  <c r="K297"/>
  <c r="K297" i="1" s="1"/>
  <c r="J297" i="2"/>
  <c r="J297" i="1" s="1"/>
  <c r="I297" i="2"/>
  <c r="I297" i="1" s="1"/>
  <c r="H297" i="2"/>
  <c r="H297" i="1" s="1"/>
  <c r="G297" i="2"/>
  <c r="G297" i="1" s="1"/>
  <c r="F297" i="2"/>
  <c r="F297" i="1" s="1"/>
  <c r="E297" i="2"/>
  <c r="E297" i="1" s="1"/>
  <c r="D297" i="2"/>
  <c r="D297" i="1" s="1"/>
  <c r="C297" i="2"/>
  <c r="C297" i="1" s="1"/>
  <c r="O296" i="2"/>
  <c r="O296" i="1" s="1"/>
  <c r="N296" i="2"/>
  <c r="N296" i="1" s="1"/>
  <c r="M296" i="2"/>
  <c r="M296" i="1" s="1"/>
  <c r="L296" i="2"/>
  <c r="K296"/>
  <c r="K296" i="1" s="1"/>
  <c r="J296" i="2"/>
  <c r="J296" i="1" s="1"/>
  <c r="I296" i="2"/>
  <c r="I296" i="1" s="1"/>
  <c r="H296" i="2"/>
  <c r="H296" i="1" s="1"/>
  <c r="G296" i="2"/>
  <c r="G296" i="1" s="1"/>
  <c r="F296" i="2"/>
  <c r="F296" i="1" s="1"/>
  <c r="E296" i="2"/>
  <c r="E296" i="1" s="1"/>
  <c r="D296" i="2"/>
  <c r="D296" i="1" s="1"/>
  <c r="C296" i="2"/>
  <c r="C296" i="1" s="1"/>
  <c r="O295" i="2"/>
  <c r="O295" i="1" s="1"/>
  <c r="N295" i="2"/>
  <c r="N295" i="1" s="1"/>
  <c r="M295" i="2"/>
  <c r="M295" i="1" s="1"/>
  <c r="L295" i="2"/>
  <c r="K295"/>
  <c r="K295" i="1" s="1"/>
  <c r="J295" i="2"/>
  <c r="J295" i="1" s="1"/>
  <c r="I295" i="2"/>
  <c r="I295" i="1" s="1"/>
  <c r="H295" i="2"/>
  <c r="H295" i="1" s="1"/>
  <c r="G295" i="2"/>
  <c r="G295" i="1" s="1"/>
  <c r="F295" i="2"/>
  <c r="F295" i="1" s="1"/>
  <c r="E295" i="2"/>
  <c r="E295" i="1" s="1"/>
  <c r="D295" i="2"/>
  <c r="D295" i="1" s="1"/>
  <c r="C295" i="2"/>
  <c r="C295" i="1" s="1"/>
  <c r="O294" i="2"/>
  <c r="O294" i="1" s="1"/>
  <c r="N294" i="2"/>
  <c r="N294" i="1" s="1"/>
  <c r="M294" i="2"/>
  <c r="M294" i="1" s="1"/>
  <c r="L294" i="2"/>
  <c r="K294"/>
  <c r="K294" i="1" s="1"/>
  <c r="J294" i="2"/>
  <c r="J294" i="1" s="1"/>
  <c r="I294" i="2"/>
  <c r="I294" i="1" s="1"/>
  <c r="H294" i="2"/>
  <c r="H294" i="1" s="1"/>
  <c r="G294" i="2"/>
  <c r="G294" i="1" s="1"/>
  <c r="F294" i="2"/>
  <c r="F294" i="1" s="1"/>
  <c r="E294" i="2"/>
  <c r="E294" i="1" s="1"/>
  <c r="D294" i="2"/>
  <c r="D294" i="1" s="1"/>
  <c r="C294" i="2"/>
  <c r="C294" i="1" s="1"/>
  <c r="O293" i="2"/>
  <c r="O293" i="1" s="1"/>
  <c r="N293" i="2"/>
  <c r="N293" i="1" s="1"/>
  <c r="M293" i="2"/>
  <c r="M293" i="1" s="1"/>
  <c r="L293" i="2"/>
  <c r="K293"/>
  <c r="K293" i="1" s="1"/>
  <c r="J293" i="2"/>
  <c r="J293" i="1" s="1"/>
  <c r="I293" i="2"/>
  <c r="I293" i="1" s="1"/>
  <c r="H293" i="2"/>
  <c r="H293" i="1" s="1"/>
  <c r="G293" i="2"/>
  <c r="G293" i="1" s="1"/>
  <c r="F293" i="2"/>
  <c r="F293" i="1" s="1"/>
  <c r="E293" i="2"/>
  <c r="E293" i="1" s="1"/>
  <c r="D293" i="2"/>
  <c r="D293" i="1" s="1"/>
  <c r="C293" i="2"/>
  <c r="C293" i="1" s="1"/>
  <c r="O292" i="2"/>
  <c r="O292" i="1" s="1"/>
  <c r="N292" i="2"/>
  <c r="N292" i="1" s="1"/>
  <c r="M292" i="2"/>
  <c r="M292" i="1" s="1"/>
  <c r="L292" i="2"/>
  <c r="K292"/>
  <c r="K292" i="1" s="1"/>
  <c r="J292" i="2"/>
  <c r="J292" i="1" s="1"/>
  <c r="I292" i="2"/>
  <c r="I292" i="1" s="1"/>
  <c r="H292" i="2"/>
  <c r="H292" i="1" s="1"/>
  <c r="G292" i="2"/>
  <c r="G292" i="1" s="1"/>
  <c r="F292" i="2"/>
  <c r="F292" i="1" s="1"/>
  <c r="E292" i="2"/>
  <c r="E292" i="1" s="1"/>
  <c r="D292" i="2"/>
  <c r="D292" i="1" s="1"/>
  <c r="C292" i="2"/>
  <c r="C292" i="1" s="1"/>
  <c r="O291" i="2"/>
  <c r="O291" i="1" s="1"/>
  <c r="N291" i="2"/>
  <c r="N291" i="1" s="1"/>
  <c r="M291" i="2"/>
  <c r="M291" i="1" s="1"/>
  <c r="L291" i="2"/>
  <c r="K291"/>
  <c r="K291" i="1" s="1"/>
  <c r="J291" i="2"/>
  <c r="J291" i="1" s="1"/>
  <c r="I291" i="2"/>
  <c r="I291" i="1" s="1"/>
  <c r="H291" i="2"/>
  <c r="H291" i="1" s="1"/>
  <c r="G291" i="2"/>
  <c r="G291" i="1" s="1"/>
  <c r="F291" i="2"/>
  <c r="F291" i="1" s="1"/>
  <c r="E291" i="2"/>
  <c r="E291" i="1" s="1"/>
  <c r="D291" i="2"/>
  <c r="D291" i="1" s="1"/>
  <c r="C291" i="2"/>
  <c r="C291" i="1" s="1"/>
  <c r="O290" i="2"/>
  <c r="O290" i="1" s="1"/>
  <c r="N290" i="2"/>
  <c r="N290" i="1" s="1"/>
  <c r="M290" i="2"/>
  <c r="M290" i="1" s="1"/>
  <c r="L290" i="2"/>
  <c r="K290"/>
  <c r="K290" i="1" s="1"/>
  <c r="J290" i="2"/>
  <c r="J290" i="1" s="1"/>
  <c r="I290" i="2"/>
  <c r="I290" i="1" s="1"/>
  <c r="H290" i="2"/>
  <c r="H290" i="1" s="1"/>
  <c r="G290" i="2"/>
  <c r="G290" i="1" s="1"/>
  <c r="F290" i="2"/>
  <c r="F290" i="1" s="1"/>
  <c r="E290" i="2"/>
  <c r="E290" i="1" s="1"/>
  <c r="D290" i="2"/>
  <c r="D290" i="1" s="1"/>
  <c r="C290" i="2"/>
  <c r="C290" i="1" s="1"/>
  <c r="O289" i="2"/>
  <c r="O289" i="1" s="1"/>
  <c r="N289" i="2"/>
  <c r="N289" i="1" s="1"/>
  <c r="M289" i="2"/>
  <c r="M289" i="1" s="1"/>
  <c r="L289" i="2"/>
  <c r="K289"/>
  <c r="K289" i="1" s="1"/>
  <c r="J289" i="2"/>
  <c r="J289" i="1" s="1"/>
  <c r="I289" i="2"/>
  <c r="I289" i="1" s="1"/>
  <c r="H289" i="2"/>
  <c r="H289" i="1" s="1"/>
  <c r="G289" i="2"/>
  <c r="G289" i="1" s="1"/>
  <c r="F289" i="2"/>
  <c r="F289" i="1" s="1"/>
  <c r="E289" i="2"/>
  <c r="E289" i="1" s="1"/>
  <c r="D289" i="2"/>
  <c r="D289" i="1" s="1"/>
  <c r="C289" i="2"/>
  <c r="C289" i="1" s="1"/>
  <c r="O288" i="2"/>
  <c r="O288" i="1" s="1"/>
  <c r="N288" i="2"/>
  <c r="N288" i="1" s="1"/>
  <c r="M288" i="2"/>
  <c r="M288" i="1" s="1"/>
  <c r="L288" i="2"/>
  <c r="K288"/>
  <c r="K288" i="1" s="1"/>
  <c r="J288" i="2"/>
  <c r="J288" i="1" s="1"/>
  <c r="I288" i="2"/>
  <c r="I288" i="1" s="1"/>
  <c r="H288" i="2"/>
  <c r="H288" i="1" s="1"/>
  <c r="G288" i="2"/>
  <c r="G288" i="1" s="1"/>
  <c r="F288" i="2"/>
  <c r="F288" i="1" s="1"/>
  <c r="E288" i="2"/>
  <c r="E288" i="1" s="1"/>
  <c r="D288" i="2"/>
  <c r="D288" i="1" s="1"/>
  <c r="C288" i="2"/>
  <c r="C288" i="1" s="1"/>
  <c r="O287" i="2"/>
  <c r="O287" i="1" s="1"/>
  <c r="N287" i="2"/>
  <c r="N287" i="1" s="1"/>
  <c r="M287" i="2"/>
  <c r="M287" i="1" s="1"/>
  <c r="L287" i="2"/>
  <c r="K287"/>
  <c r="K287" i="1" s="1"/>
  <c r="J287" i="2"/>
  <c r="J287" i="1" s="1"/>
  <c r="I287" i="2"/>
  <c r="I287" i="1" s="1"/>
  <c r="H287" i="2"/>
  <c r="H287" i="1" s="1"/>
  <c r="G287" i="2"/>
  <c r="G287" i="1" s="1"/>
  <c r="F287" i="2"/>
  <c r="F287" i="1" s="1"/>
  <c r="E287" i="2"/>
  <c r="E287" i="1" s="1"/>
  <c r="D287" i="2"/>
  <c r="D287" i="1" s="1"/>
  <c r="C287" i="2"/>
  <c r="C287" i="1" s="1"/>
  <c r="O286" i="2"/>
  <c r="O286" i="1" s="1"/>
  <c r="N286" i="2"/>
  <c r="N286" i="1" s="1"/>
  <c r="M286" i="2"/>
  <c r="M286" i="1" s="1"/>
  <c r="L286" i="2"/>
  <c r="K286"/>
  <c r="K286" i="1" s="1"/>
  <c r="J286" i="2"/>
  <c r="J286" i="1" s="1"/>
  <c r="I286" i="2"/>
  <c r="I286" i="1" s="1"/>
  <c r="H286" i="2"/>
  <c r="H286" i="1" s="1"/>
  <c r="G286" i="2"/>
  <c r="G286" i="1" s="1"/>
  <c r="F286" i="2"/>
  <c r="F286" i="1" s="1"/>
  <c r="E286" i="2"/>
  <c r="E286" i="1" s="1"/>
  <c r="D286" i="2"/>
  <c r="D286" i="1" s="1"/>
  <c r="C286" i="2"/>
  <c r="C286" i="1" s="1"/>
  <c r="O285" i="2"/>
  <c r="O285" i="1" s="1"/>
  <c r="N285" i="2"/>
  <c r="N285" i="1" s="1"/>
  <c r="M285" i="2"/>
  <c r="M285" i="1" s="1"/>
  <c r="L285" i="2"/>
  <c r="K285"/>
  <c r="K285" i="1" s="1"/>
  <c r="J285" i="2"/>
  <c r="J285" i="1" s="1"/>
  <c r="I285" i="2"/>
  <c r="I285" i="1" s="1"/>
  <c r="H285" i="2"/>
  <c r="H285" i="1" s="1"/>
  <c r="G285" i="2"/>
  <c r="G285" i="1" s="1"/>
  <c r="F285" i="2"/>
  <c r="F285" i="1" s="1"/>
  <c r="E285" i="2"/>
  <c r="E285" i="1" s="1"/>
  <c r="D285" i="2"/>
  <c r="D285" i="1" s="1"/>
  <c r="C285" i="2"/>
  <c r="C285" i="1" s="1"/>
  <c r="O284" i="2"/>
  <c r="O284" i="1" s="1"/>
  <c r="N284" i="2"/>
  <c r="N284" i="1" s="1"/>
  <c r="M284" i="2"/>
  <c r="M284" i="1" s="1"/>
  <c r="L284" i="2"/>
  <c r="K284"/>
  <c r="K284" i="1" s="1"/>
  <c r="J284" i="2"/>
  <c r="J284" i="1" s="1"/>
  <c r="I284" i="2"/>
  <c r="I284" i="1" s="1"/>
  <c r="H284" i="2"/>
  <c r="H284" i="1" s="1"/>
  <c r="G284" i="2"/>
  <c r="G284" i="1" s="1"/>
  <c r="F284" i="2"/>
  <c r="F284" i="1" s="1"/>
  <c r="E284" i="2"/>
  <c r="E284" i="1" s="1"/>
  <c r="D284" i="2"/>
  <c r="D284" i="1" s="1"/>
  <c r="C284" i="2"/>
  <c r="C284" i="1" s="1"/>
  <c r="O283" i="2"/>
  <c r="O283" i="1" s="1"/>
  <c r="N283" i="2"/>
  <c r="N283" i="1" s="1"/>
  <c r="M283" i="2"/>
  <c r="M283" i="1" s="1"/>
  <c r="L283" i="2"/>
  <c r="K283"/>
  <c r="K283" i="1" s="1"/>
  <c r="J283" i="2"/>
  <c r="J283" i="1" s="1"/>
  <c r="I283" i="2"/>
  <c r="I283" i="1" s="1"/>
  <c r="H283" i="2"/>
  <c r="H283" i="1" s="1"/>
  <c r="G283" i="2"/>
  <c r="G283" i="1" s="1"/>
  <c r="F283" i="2"/>
  <c r="F283" i="1" s="1"/>
  <c r="E283" i="2"/>
  <c r="E283" i="1" s="1"/>
  <c r="D283" i="2"/>
  <c r="D283" i="1" s="1"/>
  <c r="C283" i="2"/>
  <c r="C283" i="1" s="1"/>
  <c r="O282" i="2"/>
  <c r="O282" i="1" s="1"/>
  <c r="N282" i="2"/>
  <c r="N282" i="1" s="1"/>
  <c r="M282" i="2"/>
  <c r="M282" i="1" s="1"/>
  <c r="L282" i="2"/>
  <c r="K282"/>
  <c r="K282" i="1" s="1"/>
  <c r="J282" i="2"/>
  <c r="J282" i="1" s="1"/>
  <c r="I282" i="2"/>
  <c r="I282" i="1" s="1"/>
  <c r="H282" i="2"/>
  <c r="H282" i="1" s="1"/>
  <c r="G282" i="2"/>
  <c r="G282" i="1" s="1"/>
  <c r="F282" i="2"/>
  <c r="F282" i="1" s="1"/>
  <c r="E282" i="2"/>
  <c r="E282" i="1" s="1"/>
  <c r="D282" i="2"/>
  <c r="D282" i="1" s="1"/>
  <c r="C282" i="2"/>
  <c r="C282" i="1" s="1"/>
  <c r="O281" i="2"/>
  <c r="O281" i="1" s="1"/>
  <c r="N281" i="2"/>
  <c r="N281" i="1" s="1"/>
  <c r="M281" i="2"/>
  <c r="M281" i="1" s="1"/>
  <c r="L281" i="2"/>
  <c r="K281"/>
  <c r="K281" i="1" s="1"/>
  <c r="J281" i="2"/>
  <c r="J281" i="1" s="1"/>
  <c r="I281" i="2"/>
  <c r="I281" i="1" s="1"/>
  <c r="H281" i="2"/>
  <c r="H281" i="1" s="1"/>
  <c r="G281" i="2"/>
  <c r="G281" i="1" s="1"/>
  <c r="F281" i="2"/>
  <c r="F281" i="1" s="1"/>
  <c r="E281" i="2"/>
  <c r="E281" i="1" s="1"/>
  <c r="D281" i="2"/>
  <c r="D281" i="1" s="1"/>
  <c r="C281" i="2"/>
  <c r="C281" i="1" s="1"/>
  <c r="O280" i="2"/>
  <c r="O280" i="1" s="1"/>
  <c r="N280" i="2"/>
  <c r="N280" i="1" s="1"/>
  <c r="M280" i="2"/>
  <c r="M280" i="1" s="1"/>
  <c r="L280" i="2"/>
  <c r="K280"/>
  <c r="K280" i="1" s="1"/>
  <c r="J280" i="2"/>
  <c r="J280" i="1" s="1"/>
  <c r="I280" i="2"/>
  <c r="I280" i="1" s="1"/>
  <c r="H280" i="2"/>
  <c r="H280" i="1" s="1"/>
  <c r="G280" i="2"/>
  <c r="G280" i="1" s="1"/>
  <c r="F280" i="2"/>
  <c r="F280" i="1" s="1"/>
  <c r="E280" i="2"/>
  <c r="E280" i="1" s="1"/>
  <c r="D280" i="2"/>
  <c r="D280" i="1" s="1"/>
  <c r="C280" i="2"/>
  <c r="C280" i="1" s="1"/>
  <c r="O279" i="2"/>
  <c r="O279" i="1" s="1"/>
  <c r="N279" i="2"/>
  <c r="N279" i="1" s="1"/>
  <c r="M279" i="2"/>
  <c r="M279" i="1" s="1"/>
  <c r="L279" i="2"/>
  <c r="K279"/>
  <c r="K279" i="1" s="1"/>
  <c r="J279" i="2"/>
  <c r="J279" i="1" s="1"/>
  <c r="I279" i="2"/>
  <c r="I279" i="1" s="1"/>
  <c r="H279" i="2"/>
  <c r="H279" i="1" s="1"/>
  <c r="G279" i="2"/>
  <c r="G279" i="1" s="1"/>
  <c r="F279" i="2"/>
  <c r="F279" i="1" s="1"/>
  <c r="E279" i="2"/>
  <c r="E279" i="1" s="1"/>
  <c r="D279" i="2"/>
  <c r="D279" i="1" s="1"/>
  <c r="C279" i="2"/>
  <c r="C279" i="1" s="1"/>
  <c r="O278" i="2"/>
  <c r="O278" i="1" s="1"/>
  <c r="N278" i="2"/>
  <c r="N278" i="1" s="1"/>
  <c r="M278" i="2"/>
  <c r="M278" i="1" s="1"/>
  <c r="L278" i="2"/>
  <c r="K278"/>
  <c r="K278" i="1" s="1"/>
  <c r="J278" i="2"/>
  <c r="J278" i="1" s="1"/>
  <c r="I278" i="2"/>
  <c r="I278" i="1" s="1"/>
  <c r="H278" i="2"/>
  <c r="H278" i="1" s="1"/>
  <c r="G278" i="2"/>
  <c r="G278" i="1" s="1"/>
  <c r="F278" i="2"/>
  <c r="F278" i="1" s="1"/>
  <c r="E278" i="2"/>
  <c r="E278" i="1" s="1"/>
  <c r="D278" i="2"/>
  <c r="D278" i="1" s="1"/>
  <c r="C278" i="2"/>
  <c r="C278" i="1" s="1"/>
  <c r="O277" i="2"/>
  <c r="O277" i="1" s="1"/>
  <c r="N277" i="2"/>
  <c r="N277" i="1" s="1"/>
  <c r="M277" i="2"/>
  <c r="M277" i="1" s="1"/>
  <c r="L277" i="2"/>
  <c r="K277"/>
  <c r="K277" i="1" s="1"/>
  <c r="J277" i="2"/>
  <c r="J277" i="1" s="1"/>
  <c r="I277" i="2"/>
  <c r="I277" i="1" s="1"/>
  <c r="H277" i="2"/>
  <c r="H277" i="1" s="1"/>
  <c r="G277" i="2"/>
  <c r="G277" i="1" s="1"/>
  <c r="F277" i="2"/>
  <c r="F277" i="1" s="1"/>
  <c r="E277" i="2"/>
  <c r="E277" i="1" s="1"/>
  <c r="D277" i="2"/>
  <c r="D277" i="1" s="1"/>
  <c r="C277" i="2"/>
  <c r="C277" i="1" s="1"/>
  <c r="O276" i="2"/>
  <c r="O276" i="1" s="1"/>
  <c r="N276" i="2"/>
  <c r="N276" i="1" s="1"/>
  <c r="M276" i="2"/>
  <c r="M276" i="1" s="1"/>
  <c r="L276" i="2"/>
  <c r="K276"/>
  <c r="K276" i="1" s="1"/>
  <c r="J276" i="2"/>
  <c r="J276" i="1" s="1"/>
  <c r="I276" i="2"/>
  <c r="I276" i="1" s="1"/>
  <c r="H276" i="2"/>
  <c r="H276" i="1" s="1"/>
  <c r="G276" i="2"/>
  <c r="G276" i="1" s="1"/>
  <c r="F276" i="2"/>
  <c r="F276" i="1" s="1"/>
  <c r="E276" i="2"/>
  <c r="E276" i="1" s="1"/>
  <c r="D276" i="2"/>
  <c r="D276" i="1" s="1"/>
  <c r="C276" i="2"/>
  <c r="C276" i="1" s="1"/>
  <c r="O275" i="2"/>
  <c r="O275" i="1" s="1"/>
  <c r="N275" i="2"/>
  <c r="N275" i="1" s="1"/>
  <c r="M275" i="2"/>
  <c r="M275" i="1" s="1"/>
  <c r="L275" i="2"/>
  <c r="K275"/>
  <c r="K275" i="1" s="1"/>
  <c r="J275" i="2"/>
  <c r="J275" i="1" s="1"/>
  <c r="I275" i="2"/>
  <c r="I275" i="1" s="1"/>
  <c r="H275" i="2"/>
  <c r="H275" i="1" s="1"/>
  <c r="G275" i="2"/>
  <c r="G275" i="1" s="1"/>
  <c r="F275" i="2"/>
  <c r="F275" i="1" s="1"/>
  <c r="E275" i="2"/>
  <c r="E275" i="1" s="1"/>
  <c r="D275" i="2"/>
  <c r="D275" i="1" s="1"/>
  <c r="C275" i="2"/>
  <c r="C275" i="1" s="1"/>
  <c r="O274" i="2"/>
  <c r="O274" i="1" s="1"/>
  <c r="N274" i="2"/>
  <c r="N274" i="1" s="1"/>
  <c r="M274" i="2"/>
  <c r="M274" i="1" s="1"/>
  <c r="L274" i="2"/>
  <c r="K274"/>
  <c r="K274" i="1" s="1"/>
  <c r="J274" i="2"/>
  <c r="J274" i="1" s="1"/>
  <c r="I274" i="2"/>
  <c r="I274" i="1" s="1"/>
  <c r="H274" i="2"/>
  <c r="H274" i="1" s="1"/>
  <c r="G274" i="2"/>
  <c r="G274" i="1" s="1"/>
  <c r="F274" i="2"/>
  <c r="F274" i="1" s="1"/>
  <c r="E274" i="2"/>
  <c r="E274" i="1" s="1"/>
  <c r="D274" i="2"/>
  <c r="D274" i="1" s="1"/>
  <c r="C274" i="2"/>
  <c r="C274" i="1" s="1"/>
  <c r="O273" i="2"/>
  <c r="O273" i="1" s="1"/>
  <c r="N273" i="2"/>
  <c r="N273" i="1" s="1"/>
  <c r="M273" i="2"/>
  <c r="M273" i="1" s="1"/>
  <c r="L273" i="2"/>
  <c r="K273"/>
  <c r="K273" i="1" s="1"/>
  <c r="J273" i="2"/>
  <c r="J273" i="1" s="1"/>
  <c r="I273" i="2"/>
  <c r="I273" i="1" s="1"/>
  <c r="H273" i="2"/>
  <c r="H273" i="1" s="1"/>
  <c r="G273" i="2"/>
  <c r="G273" i="1" s="1"/>
  <c r="F273" i="2"/>
  <c r="F273" i="1" s="1"/>
  <c r="E273" i="2"/>
  <c r="E273" i="1" s="1"/>
  <c r="D273" i="2"/>
  <c r="D273" i="1" s="1"/>
  <c r="C273" i="2"/>
  <c r="C273" i="1" s="1"/>
  <c r="O272" i="2"/>
  <c r="O272" i="1" s="1"/>
  <c r="N272" i="2"/>
  <c r="N272" i="1" s="1"/>
  <c r="M272" i="2"/>
  <c r="M272" i="1" s="1"/>
  <c r="L272" i="2"/>
  <c r="K272"/>
  <c r="K272" i="1" s="1"/>
  <c r="J272" i="2"/>
  <c r="J272" i="1" s="1"/>
  <c r="I272" i="2"/>
  <c r="I272" i="1" s="1"/>
  <c r="H272" i="2"/>
  <c r="H272" i="1" s="1"/>
  <c r="G272" i="2"/>
  <c r="G272" i="1" s="1"/>
  <c r="F272" i="2"/>
  <c r="F272" i="1" s="1"/>
  <c r="E272" i="2"/>
  <c r="E272" i="1" s="1"/>
  <c r="D272" i="2"/>
  <c r="D272" i="1" s="1"/>
  <c r="C272" i="2"/>
  <c r="C272" i="1" s="1"/>
  <c r="O271" i="2"/>
  <c r="O271" i="1" s="1"/>
  <c r="N271" i="2"/>
  <c r="N271" i="1" s="1"/>
  <c r="M271" i="2"/>
  <c r="M271" i="1" s="1"/>
  <c r="L271" i="2"/>
  <c r="K271"/>
  <c r="K271" i="1" s="1"/>
  <c r="J271" i="2"/>
  <c r="J271" i="1" s="1"/>
  <c r="I271" i="2"/>
  <c r="I271" i="1" s="1"/>
  <c r="H271" i="2"/>
  <c r="H271" i="1" s="1"/>
  <c r="G271" i="2"/>
  <c r="G271" i="1" s="1"/>
  <c r="F271" i="2"/>
  <c r="F271" i="1" s="1"/>
  <c r="E271" i="2"/>
  <c r="E271" i="1" s="1"/>
  <c r="D271" i="2"/>
  <c r="D271" i="1" s="1"/>
  <c r="C271" i="2"/>
  <c r="C271" i="1" s="1"/>
  <c r="O270" i="2"/>
  <c r="O270" i="1" s="1"/>
  <c r="N270" i="2"/>
  <c r="N270" i="1" s="1"/>
  <c r="M270" i="2"/>
  <c r="M270" i="1" s="1"/>
  <c r="L270" i="2"/>
  <c r="K270"/>
  <c r="K270" i="1" s="1"/>
  <c r="J270" i="2"/>
  <c r="J270" i="1" s="1"/>
  <c r="I270" i="2"/>
  <c r="I270" i="1" s="1"/>
  <c r="H270" i="2"/>
  <c r="H270" i="1" s="1"/>
  <c r="G270" i="2"/>
  <c r="G270" i="1" s="1"/>
  <c r="F270" i="2"/>
  <c r="F270" i="1" s="1"/>
  <c r="E270" i="2"/>
  <c r="E270" i="1" s="1"/>
  <c r="D270" i="2"/>
  <c r="D270" i="1" s="1"/>
  <c r="C270" i="2"/>
  <c r="C270" i="1" s="1"/>
  <c r="O269" i="2"/>
  <c r="O269" i="1" s="1"/>
  <c r="N269" i="2"/>
  <c r="N269" i="1" s="1"/>
  <c r="M269" i="2"/>
  <c r="M269" i="1" s="1"/>
  <c r="L269" i="2"/>
  <c r="K269"/>
  <c r="K269" i="1" s="1"/>
  <c r="J269" i="2"/>
  <c r="J269" i="1" s="1"/>
  <c r="I269" i="2"/>
  <c r="I269" i="1" s="1"/>
  <c r="H269" i="2"/>
  <c r="H269" i="1" s="1"/>
  <c r="G269" i="2"/>
  <c r="G269" i="1" s="1"/>
  <c r="F269" i="2"/>
  <c r="F269" i="1" s="1"/>
  <c r="E269" i="2"/>
  <c r="E269" i="1" s="1"/>
  <c r="D269" i="2"/>
  <c r="D269" i="1" s="1"/>
  <c r="C269" i="2"/>
  <c r="C269" i="1" s="1"/>
  <c r="O268" i="2"/>
  <c r="O268" i="1" s="1"/>
  <c r="N268" i="2"/>
  <c r="N268" i="1" s="1"/>
  <c r="M268" i="2"/>
  <c r="M268" i="1" s="1"/>
  <c r="L268" i="2"/>
  <c r="K268"/>
  <c r="K268" i="1" s="1"/>
  <c r="J268" i="2"/>
  <c r="J268" i="1" s="1"/>
  <c r="I268" i="2"/>
  <c r="I268" i="1" s="1"/>
  <c r="H268" i="2"/>
  <c r="H268" i="1" s="1"/>
  <c r="G268" i="2"/>
  <c r="G268" i="1" s="1"/>
  <c r="F268" i="2"/>
  <c r="F268" i="1" s="1"/>
  <c r="E268" i="2"/>
  <c r="E268" i="1" s="1"/>
  <c r="D268" i="2"/>
  <c r="D268" i="1" s="1"/>
  <c r="C268" i="2"/>
  <c r="C268" i="1" s="1"/>
  <c r="O267" i="2"/>
  <c r="O267" i="1" s="1"/>
  <c r="N267" i="2"/>
  <c r="N267" i="1" s="1"/>
  <c r="M267" i="2"/>
  <c r="M267" i="1" s="1"/>
  <c r="L267" i="2"/>
  <c r="K267"/>
  <c r="K267" i="1" s="1"/>
  <c r="J267" i="2"/>
  <c r="J267" i="1" s="1"/>
  <c r="I267" i="2"/>
  <c r="I267" i="1" s="1"/>
  <c r="H267" i="2"/>
  <c r="H267" i="1" s="1"/>
  <c r="G267" i="2"/>
  <c r="G267" i="1" s="1"/>
  <c r="F267" i="2"/>
  <c r="F267" i="1" s="1"/>
  <c r="E267" i="2"/>
  <c r="E267" i="1" s="1"/>
  <c r="D267" i="2"/>
  <c r="D267" i="1" s="1"/>
  <c r="C267" i="2"/>
  <c r="C267" i="1" s="1"/>
  <c r="O266" i="2"/>
  <c r="O266" i="1" s="1"/>
  <c r="N266" i="2"/>
  <c r="N266" i="1" s="1"/>
  <c r="M266" i="2"/>
  <c r="M266" i="1" s="1"/>
  <c r="L266" i="2"/>
  <c r="K266"/>
  <c r="K266" i="1" s="1"/>
  <c r="J266" i="2"/>
  <c r="J266" i="1" s="1"/>
  <c r="I266" i="2"/>
  <c r="I266" i="1" s="1"/>
  <c r="H266" i="2"/>
  <c r="H266" i="1" s="1"/>
  <c r="G266" i="2"/>
  <c r="G266" i="1" s="1"/>
  <c r="F266" i="2"/>
  <c r="F266" i="1" s="1"/>
  <c r="E266" i="2"/>
  <c r="E266" i="1" s="1"/>
  <c r="D266" i="2"/>
  <c r="D266" i="1" s="1"/>
  <c r="C266" i="2"/>
  <c r="C266" i="1" s="1"/>
  <c r="O265" i="2"/>
  <c r="O265" i="1" s="1"/>
  <c r="N265" i="2"/>
  <c r="N265" i="1" s="1"/>
  <c r="M265" i="2"/>
  <c r="M265" i="1" s="1"/>
  <c r="L265" i="2"/>
  <c r="K265"/>
  <c r="K265" i="1" s="1"/>
  <c r="J265" i="2"/>
  <c r="J265" i="1" s="1"/>
  <c r="I265" i="2"/>
  <c r="I265" i="1" s="1"/>
  <c r="H265" i="2"/>
  <c r="H265" i="1" s="1"/>
  <c r="G265" i="2"/>
  <c r="G265" i="1" s="1"/>
  <c r="F265" i="2"/>
  <c r="F265" i="1" s="1"/>
  <c r="E265" i="2"/>
  <c r="E265" i="1" s="1"/>
  <c r="D265" i="2"/>
  <c r="D265" i="1" s="1"/>
  <c r="C265" i="2"/>
  <c r="C265" i="1" s="1"/>
  <c r="O264" i="2"/>
  <c r="O264" i="1" s="1"/>
  <c r="N264" i="2"/>
  <c r="N264" i="1" s="1"/>
  <c r="M264" i="2"/>
  <c r="M264" i="1" s="1"/>
  <c r="L264" i="2"/>
  <c r="K264"/>
  <c r="K264" i="1" s="1"/>
  <c r="J264" i="2"/>
  <c r="J264" i="1" s="1"/>
  <c r="I264" i="2"/>
  <c r="I264" i="1" s="1"/>
  <c r="H264" i="2"/>
  <c r="H264" i="1" s="1"/>
  <c r="G264" i="2"/>
  <c r="G264" i="1" s="1"/>
  <c r="F264" i="2"/>
  <c r="F264" i="1" s="1"/>
  <c r="E264" i="2"/>
  <c r="E264" i="1" s="1"/>
  <c r="D264" i="2"/>
  <c r="D264" i="1" s="1"/>
  <c r="C264" i="2"/>
  <c r="C264" i="1" s="1"/>
  <c r="O263" i="2"/>
  <c r="O263" i="1" s="1"/>
  <c r="N263" i="2"/>
  <c r="N263" i="1" s="1"/>
  <c r="M263" i="2"/>
  <c r="M263" i="1" s="1"/>
  <c r="L263" i="2"/>
  <c r="K263"/>
  <c r="K263" i="1" s="1"/>
  <c r="J263" i="2"/>
  <c r="J263" i="1" s="1"/>
  <c r="I263" i="2"/>
  <c r="I263" i="1" s="1"/>
  <c r="H263" i="2"/>
  <c r="H263" i="1" s="1"/>
  <c r="G263" i="2"/>
  <c r="G263" i="1" s="1"/>
  <c r="F263" i="2"/>
  <c r="F263" i="1" s="1"/>
  <c r="E263" i="2"/>
  <c r="E263" i="1" s="1"/>
  <c r="D263" i="2"/>
  <c r="D263" i="1" s="1"/>
  <c r="C263" i="2"/>
  <c r="C263" i="1" s="1"/>
  <c r="O262" i="2"/>
  <c r="O262" i="1" s="1"/>
  <c r="N262" i="2"/>
  <c r="N262" i="1" s="1"/>
  <c r="M262" i="2"/>
  <c r="M262" i="1" s="1"/>
  <c r="L262" i="2"/>
  <c r="K262"/>
  <c r="K262" i="1" s="1"/>
  <c r="J262" i="2"/>
  <c r="J262" i="1" s="1"/>
  <c r="I262" i="2"/>
  <c r="I262" i="1" s="1"/>
  <c r="H262" i="2"/>
  <c r="H262" i="1" s="1"/>
  <c r="G262" i="2"/>
  <c r="G262" i="1" s="1"/>
  <c r="F262" i="2"/>
  <c r="F262" i="1" s="1"/>
  <c r="E262" i="2"/>
  <c r="E262" i="1" s="1"/>
  <c r="D262" i="2"/>
  <c r="D262" i="1" s="1"/>
  <c r="C262" i="2"/>
  <c r="C262" i="1" s="1"/>
  <c r="O261" i="2"/>
  <c r="O261" i="1" s="1"/>
  <c r="N261" i="2"/>
  <c r="N261" i="1" s="1"/>
  <c r="M261" i="2"/>
  <c r="M261" i="1" s="1"/>
  <c r="L261" i="2"/>
  <c r="K261"/>
  <c r="K261" i="1" s="1"/>
  <c r="J261" i="2"/>
  <c r="J261" i="1" s="1"/>
  <c r="I261" i="2"/>
  <c r="I261" i="1" s="1"/>
  <c r="H261" i="2"/>
  <c r="H261" i="1" s="1"/>
  <c r="G261" i="2"/>
  <c r="G261" i="1" s="1"/>
  <c r="F261" i="2"/>
  <c r="F261" i="1" s="1"/>
  <c r="E261" i="2"/>
  <c r="E261" i="1" s="1"/>
  <c r="D261" i="2"/>
  <c r="D261" i="1" s="1"/>
  <c r="C261" i="2"/>
  <c r="C261" i="1" s="1"/>
  <c r="O260" i="2"/>
  <c r="O260" i="1" s="1"/>
  <c r="N260" i="2"/>
  <c r="N260" i="1" s="1"/>
  <c r="M260" i="2"/>
  <c r="M260" i="1" s="1"/>
  <c r="L260" i="2"/>
  <c r="K260"/>
  <c r="K260" i="1" s="1"/>
  <c r="J260" i="2"/>
  <c r="J260" i="1" s="1"/>
  <c r="I260" i="2"/>
  <c r="I260" i="1" s="1"/>
  <c r="H260" i="2"/>
  <c r="H260" i="1" s="1"/>
  <c r="G260" i="2"/>
  <c r="G260" i="1" s="1"/>
  <c r="F260" i="2"/>
  <c r="F260" i="1" s="1"/>
  <c r="E260" i="2"/>
  <c r="E260" i="1" s="1"/>
  <c r="D260" i="2"/>
  <c r="D260" i="1" s="1"/>
  <c r="C260" i="2"/>
  <c r="C260" i="1" s="1"/>
  <c r="O259" i="2"/>
  <c r="O259" i="1" s="1"/>
  <c r="N259" i="2"/>
  <c r="N259" i="1" s="1"/>
  <c r="M259" i="2"/>
  <c r="M259" i="1" s="1"/>
  <c r="L259" i="2"/>
  <c r="K259"/>
  <c r="K259" i="1" s="1"/>
  <c r="J259" i="2"/>
  <c r="J259" i="1" s="1"/>
  <c r="I259" i="2"/>
  <c r="I259" i="1" s="1"/>
  <c r="H259" i="2"/>
  <c r="H259" i="1" s="1"/>
  <c r="G259" i="2"/>
  <c r="G259" i="1" s="1"/>
  <c r="F259" i="2"/>
  <c r="F259" i="1" s="1"/>
  <c r="E259" i="2"/>
  <c r="E259" i="1" s="1"/>
  <c r="D259" i="2"/>
  <c r="D259" i="1" s="1"/>
  <c r="C259" i="2"/>
  <c r="C259" i="1" s="1"/>
  <c r="O258" i="2"/>
  <c r="O258" i="1" s="1"/>
  <c r="N258" i="2"/>
  <c r="N258" i="1" s="1"/>
  <c r="M258" i="2"/>
  <c r="M258" i="1" s="1"/>
  <c r="L258" i="2"/>
  <c r="K258"/>
  <c r="K258" i="1" s="1"/>
  <c r="J258" i="2"/>
  <c r="J258" i="1" s="1"/>
  <c r="I258" i="2"/>
  <c r="I258" i="1" s="1"/>
  <c r="H258" i="2"/>
  <c r="H258" i="1" s="1"/>
  <c r="G258" i="2"/>
  <c r="G258" i="1" s="1"/>
  <c r="F258" i="2"/>
  <c r="F258" i="1" s="1"/>
  <c r="E258" i="2"/>
  <c r="E258" i="1" s="1"/>
  <c r="D258" i="2"/>
  <c r="D258" i="1" s="1"/>
  <c r="C258" i="2"/>
  <c r="C258" i="1" s="1"/>
  <c r="O257" i="2"/>
  <c r="O257" i="1" s="1"/>
  <c r="N257" i="2"/>
  <c r="N257" i="1" s="1"/>
  <c r="M257" i="2"/>
  <c r="M257" i="1" s="1"/>
  <c r="L257" i="2"/>
  <c r="K257"/>
  <c r="K257" i="1" s="1"/>
  <c r="J257" i="2"/>
  <c r="J257" i="1" s="1"/>
  <c r="I257" i="2"/>
  <c r="I257" i="1" s="1"/>
  <c r="H257" i="2"/>
  <c r="H257" i="1" s="1"/>
  <c r="G257" i="2"/>
  <c r="G257" i="1" s="1"/>
  <c r="F257" i="2"/>
  <c r="F257" i="1" s="1"/>
  <c r="E257" i="2"/>
  <c r="E257" i="1" s="1"/>
  <c r="D257" i="2"/>
  <c r="D257" i="1" s="1"/>
  <c r="C257" i="2"/>
  <c r="C257" i="1" s="1"/>
  <c r="O256" i="2"/>
  <c r="O256" i="1" s="1"/>
  <c r="N256" i="2"/>
  <c r="N256" i="1" s="1"/>
  <c r="M256" i="2"/>
  <c r="M256" i="1" s="1"/>
  <c r="L256" i="2"/>
  <c r="K256"/>
  <c r="K256" i="1" s="1"/>
  <c r="J256" i="2"/>
  <c r="J256" i="1" s="1"/>
  <c r="I256" i="2"/>
  <c r="I256" i="1" s="1"/>
  <c r="H256" i="2"/>
  <c r="H256" i="1" s="1"/>
  <c r="G256" i="2"/>
  <c r="G256" i="1" s="1"/>
  <c r="F256" i="2"/>
  <c r="F256" i="1" s="1"/>
  <c r="E256" i="2"/>
  <c r="E256" i="1" s="1"/>
  <c r="D256" i="2"/>
  <c r="D256" i="1" s="1"/>
  <c r="C256" i="2"/>
  <c r="C256" i="1" s="1"/>
  <c r="O255" i="2"/>
  <c r="O255" i="1" s="1"/>
  <c r="N255" i="2"/>
  <c r="N255" i="1" s="1"/>
  <c r="M255" i="2"/>
  <c r="M255" i="1" s="1"/>
  <c r="L255" i="2"/>
  <c r="K255"/>
  <c r="K255" i="1" s="1"/>
  <c r="J255" i="2"/>
  <c r="J255" i="1" s="1"/>
  <c r="I255" i="2"/>
  <c r="I255" i="1" s="1"/>
  <c r="H255" i="2"/>
  <c r="H255" i="1" s="1"/>
  <c r="G255" i="2"/>
  <c r="G255" i="1" s="1"/>
  <c r="F255" i="2"/>
  <c r="F255" i="1" s="1"/>
  <c r="E255" i="2"/>
  <c r="E255" i="1" s="1"/>
  <c r="D255" i="2"/>
  <c r="D255" i="1" s="1"/>
  <c r="C255" i="2"/>
  <c r="C255" i="1" s="1"/>
  <c r="O254" i="2"/>
  <c r="O254" i="1" s="1"/>
  <c r="N254" i="2"/>
  <c r="N254" i="1" s="1"/>
  <c r="M254" i="2"/>
  <c r="M254" i="1" s="1"/>
  <c r="L254" i="2"/>
  <c r="K254"/>
  <c r="K254" i="1" s="1"/>
  <c r="J254" i="2"/>
  <c r="J254" i="1" s="1"/>
  <c r="I254" i="2"/>
  <c r="I254" i="1" s="1"/>
  <c r="H254" i="2"/>
  <c r="H254" i="1" s="1"/>
  <c r="G254" i="2"/>
  <c r="G254" i="1" s="1"/>
  <c r="F254" i="2"/>
  <c r="F254" i="1" s="1"/>
  <c r="E254" i="2"/>
  <c r="E254" i="1" s="1"/>
  <c r="D254" i="2"/>
  <c r="D254" i="1" s="1"/>
  <c r="C254" i="2"/>
  <c r="C254" i="1" s="1"/>
  <c r="O253" i="2"/>
  <c r="O253" i="1" s="1"/>
  <c r="N253" i="2"/>
  <c r="N253" i="1" s="1"/>
  <c r="M253" i="2"/>
  <c r="M253" i="1" s="1"/>
  <c r="L253" i="2"/>
  <c r="K253"/>
  <c r="K253" i="1" s="1"/>
  <c r="J253" i="2"/>
  <c r="J253" i="1" s="1"/>
  <c r="I253" i="2"/>
  <c r="I253" i="1" s="1"/>
  <c r="H253" i="2"/>
  <c r="H253" i="1" s="1"/>
  <c r="G253" i="2"/>
  <c r="G253" i="1" s="1"/>
  <c r="F253" i="2"/>
  <c r="F253" i="1" s="1"/>
  <c r="E253" i="2"/>
  <c r="E253" i="1" s="1"/>
  <c r="D253" i="2"/>
  <c r="D253" i="1" s="1"/>
  <c r="C253" i="2"/>
  <c r="C253" i="1" s="1"/>
  <c r="O252" i="2"/>
  <c r="O252" i="1" s="1"/>
  <c r="N252" i="2"/>
  <c r="N252" i="1" s="1"/>
  <c r="M252" i="2"/>
  <c r="M252" i="1" s="1"/>
  <c r="L252" i="2"/>
  <c r="K252"/>
  <c r="K252" i="1" s="1"/>
  <c r="J252" i="2"/>
  <c r="J252" i="1" s="1"/>
  <c r="I252" i="2"/>
  <c r="I252" i="1" s="1"/>
  <c r="H252" i="2"/>
  <c r="H252" i="1" s="1"/>
  <c r="G252" i="2"/>
  <c r="G252" i="1" s="1"/>
  <c r="F252" i="2"/>
  <c r="F252" i="1" s="1"/>
  <c r="E252" i="2"/>
  <c r="E252" i="1" s="1"/>
  <c r="D252" i="2"/>
  <c r="D252" i="1" s="1"/>
  <c r="C252" i="2"/>
  <c r="C252" i="1" s="1"/>
  <c r="O251" i="2"/>
  <c r="O251" i="1" s="1"/>
  <c r="N251" i="2"/>
  <c r="N251" i="1" s="1"/>
  <c r="M251" i="2"/>
  <c r="M251" i="1" s="1"/>
  <c r="L251" i="2"/>
  <c r="K251"/>
  <c r="K251" i="1" s="1"/>
  <c r="J251" i="2"/>
  <c r="J251" i="1" s="1"/>
  <c r="I251" i="2"/>
  <c r="I251" i="1" s="1"/>
  <c r="H251" i="2"/>
  <c r="H251" i="1" s="1"/>
  <c r="G251" i="2"/>
  <c r="G251" i="1" s="1"/>
  <c r="F251" i="2"/>
  <c r="F251" i="1" s="1"/>
  <c r="E251" i="2"/>
  <c r="E251" i="1" s="1"/>
  <c r="D251" i="2"/>
  <c r="D251" i="1" s="1"/>
  <c r="C251" i="2"/>
  <c r="C251" i="1" s="1"/>
  <c r="O250" i="2"/>
  <c r="O250" i="1" s="1"/>
  <c r="N250" i="2"/>
  <c r="N250" i="1" s="1"/>
  <c r="M250" i="2"/>
  <c r="M250" i="1" s="1"/>
  <c r="L250" i="2"/>
  <c r="K250"/>
  <c r="K250" i="1" s="1"/>
  <c r="J250" i="2"/>
  <c r="J250" i="1" s="1"/>
  <c r="I250" i="2"/>
  <c r="I250" i="1" s="1"/>
  <c r="H250" i="2"/>
  <c r="H250" i="1" s="1"/>
  <c r="G250" i="2"/>
  <c r="G250" i="1" s="1"/>
  <c r="F250" i="2"/>
  <c r="F250" i="1" s="1"/>
  <c r="E250" i="2"/>
  <c r="E250" i="1" s="1"/>
  <c r="D250" i="2"/>
  <c r="D250" i="1" s="1"/>
  <c r="C250" i="2"/>
  <c r="C250" i="1" s="1"/>
  <c r="O249" i="2"/>
  <c r="O249" i="1" s="1"/>
  <c r="N249" i="2"/>
  <c r="N249" i="1" s="1"/>
  <c r="M249" i="2"/>
  <c r="M249" i="1" s="1"/>
  <c r="L249" i="2"/>
  <c r="K249"/>
  <c r="K249" i="1" s="1"/>
  <c r="J249" i="2"/>
  <c r="J249" i="1" s="1"/>
  <c r="I249" i="2"/>
  <c r="I249" i="1" s="1"/>
  <c r="H249" i="2"/>
  <c r="H249" i="1" s="1"/>
  <c r="G249" i="2"/>
  <c r="G249" i="1" s="1"/>
  <c r="F249" i="2"/>
  <c r="F249" i="1" s="1"/>
  <c r="E249" i="2"/>
  <c r="E249" i="1" s="1"/>
  <c r="D249" i="2"/>
  <c r="D249" i="1" s="1"/>
  <c r="C249" i="2"/>
  <c r="C249" i="1" s="1"/>
  <c r="O248" i="2"/>
  <c r="O248" i="1" s="1"/>
  <c r="N248" i="2"/>
  <c r="N248" i="1" s="1"/>
  <c r="M248" i="2"/>
  <c r="M248" i="1" s="1"/>
  <c r="L248" i="2"/>
  <c r="K248"/>
  <c r="K248" i="1" s="1"/>
  <c r="J248" i="2"/>
  <c r="J248" i="1" s="1"/>
  <c r="I248" i="2"/>
  <c r="I248" i="1" s="1"/>
  <c r="H248" i="2"/>
  <c r="H248" i="1" s="1"/>
  <c r="G248" i="2"/>
  <c r="G248" i="1" s="1"/>
  <c r="F248" i="2"/>
  <c r="F248" i="1" s="1"/>
  <c r="E248" i="2"/>
  <c r="E248" i="1" s="1"/>
  <c r="D248" i="2"/>
  <c r="D248" i="1" s="1"/>
  <c r="C248" i="2"/>
  <c r="C248" i="1" s="1"/>
  <c r="O247" i="2"/>
  <c r="O247" i="1" s="1"/>
  <c r="N247" i="2"/>
  <c r="N247" i="1" s="1"/>
  <c r="M247" i="2"/>
  <c r="M247" i="1" s="1"/>
  <c r="L247" i="2"/>
  <c r="K247"/>
  <c r="K247" i="1" s="1"/>
  <c r="J247" i="2"/>
  <c r="J247" i="1" s="1"/>
  <c r="I247" i="2"/>
  <c r="I247" i="1" s="1"/>
  <c r="H247" i="2"/>
  <c r="H247" i="1" s="1"/>
  <c r="G247" i="2"/>
  <c r="G247" i="1" s="1"/>
  <c r="F247" i="2"/>
  <c r="F247" i="1" s="1"/>
  <c r="E247" i="2"/>
  <c r="E247" i="1" s="1"/>
  <c r="D247" i="2"/>
  <c r="D247" i="1" s="1"/>
  <c r="C247" i="2"/>
  <c r="C247" i="1" s="1"/>
  <c r="O246" i="2"/>
  <c r="O246" i="1" s="1"/>
  <c r="N246" i="2"/>
  <c r="N246" i="1" s="1"/>
  <c r="M246" i="2"/>
  <c r="M246" i="1" s="1"/>
  <c r="L246" i="2"/>
  <c r="K246"/>
  <c r="K246" i="1" s="1"/>
  <c r="J246" i="2"/>
  <c r="J246" i="1" s="1"/>
  <c r="I246" i="2"/>
  <c r="I246" i="1" s="1"/>
  <c r="H246" i="2"/>
  <c r="H246" i="1" s="1"/>
  <c r="G246" i="2"/>
  <c r="G246" i="1" s="1"/>
  <c r="F246" i="2"/>
  <c r="F246" i="1" s="1"/>
  <c r="E246" i="2"/>
  <c r="E246" i="1" s="1"/>
  <c r="D246" i="2"/>
  <c r="D246" i="1" s="1"/>
  <c r="C246" i="2"/>
  <c r="C246" i="1" s="1"/>
  <c r="O245" i="2"/>
  <c r="O245" i="1" s="1"/>
  <c r="N245" i="2"/>
  <c r="N245" i="1" s="1"/>
  <c r="M245" i="2"/>
  <c r="M245" i="1" s="1"/>
  <c r="L245" i="2"/>
  <c r="K245"/>
  <c r="K245" i="1" s="1"/>
  <c r="J245" i="2"/>
  <c r="J245" i="1" s="1"/>
  <c r="I245" i="2"/>
  <c r="I245" i="1" s="1"/>
  <c r="H245" i="2"/>
  <c r="H245" i="1" s="1"/>
  <c r="G245" i="2"/>
  <c r="G245" i="1" s="1"/>
  <c r="F245" i="2"/>
  <c r="F245" i="1" s="1"/>
  <c r="E245" i="2"/>
  <c r="E245" i="1" s="1"/>
  <c r="D245" i="2"/>
  <c r="D245" i="1" s="1"/>
  <c r="C245" i="2"/>
  <c r="C245" i="1" s="1"/>
  <c r="O244" i="2"/>
  <c r="O244" i="1" s="1"/>
  <c r="N244" i="2"/>
  <c r="N244" i="1" s="1"/>
  <c r="M244" i="2"/>
  <c r="M244" i="1" s="1"/>
  <c r="L244" i="2"/>
  <c r="K244"/>
  <c r="K244" i="1" s="1"/>
  <c r="J244" i="2"/>
  <c r="J244" i="1" s="1"/>
  <c r="I244" i="2"/>
  <c r="I244" i="1" s="1"/>
  <c r="H244" i="2"/>
  <c r="H244" i="1" s="1"/>
  <c r="G244" i="2"/>
  <c r="G244" i="1" s="1"/>
  <c r="F244" i="2"/>
  <c r="F244" i="1" s="1"/>
  <c r="E244" i="2"/>
  <c r="E244" i="1" s="1"/>
  <c r="D244" i="2"/>
  <c r="D244" i="1" s="1"/>
  <c r="C244" i="2"/>
  <c r="C244" i="1" s="1"/>
  <c r="O243" i="2"/>
  <c r="O243" i="1" s="1"/>
  <c r="N243" i="2"/>
  <c r="N243" i="1" s="1"/>
  <c r="M243" i="2"/>
  <c r="M243" i="1" s="1"/>
  <c r="L243" i="2"/>
  <c r="K243"/>
  <c r="K243" i="1" s="1"/>
  <c r="J243" i="2"/>
  <c r="J243" i="1" s="1"/>
  <c r="I243" i="2"/>
  <c r="I243" i="1" s="1"/>
  <c r="H243" i="2"/>
  <c r="H243" i="1" s="1"/>
  <c r="G243" i="2"/>
  <c r="G243" i="1" s="1"/>
  <c r="F243" i="2"/>
  <c r="F243" i="1" s="1"/>
  <c r="E243" i="2"/>
  <c r="E243" i="1" s="1"/>
  <c r="D243" i="2"/>
  <c r="D243" i="1" s="1"/>
  <c r="C243" i="2"/>
  <c r="C243" i="1" s="1"/>
  <c r="O242" i="2"/>
  <c r="O242" i="1" s="1"/>
  <c r="N242" i="2"/>
  <c r="N242" i="1" s="1"/>
  <c r="M242" i="2"/>
  <c r="M242" i="1" s="1"/>
  <c r="L242" i="2"/>
  <c r="K242"/>
  <c r="K242" i="1" s="1"/>
  <c r="J242" i="2"/>
  <c r="J242" i="1" s="1"/>
  <c r="I242" i="2"/>
  <c r="I242" i="1" s="1"/>
  <c r="H242" i="2"/>
  <c r="H242" i="1" s="1"/>
  <c r="G242" i="2"/>
  <c r="G242" i="1" s="1"/>
  <c r="F242" i="2"/>
  <c r="F242" i="1" s="1"/>
  <c r="E242" i="2"/>
  <c r="E242" i="1" s="1"/>
  <c r="D242" i="2"/>
  <c r="D242" i="1" s="1"/>
  <c r="C242" i="2"/>
  <c r="C242" i="1" s="1"/>
  <c r="O241" i="2"/>
  <c r="O241" i="1" s="1"/>
  <c r="N241" i="2"/>
  <c r="N241" i="1" s="1"/>
  <c r="M241" i="2"/>
  <c r="M241" i="1" s="1"/>
  <c r="L241" i="2"/>
  <c r="K241"/>
  <c r="K241" i="1" s="1"/>
  <c r="J241" i="2"/>
  <c r="J241" i="1" s="1"/>
  <c r="I241" i="2"/>
  <c r="I241" i="1" s="1"/>
  <c r="H241" i="2"/>
  <c r="H241" i="1" s="1"/>
  <c r="G241" i="2"/>
  <c r="G241" i="1" s="1"/>
  <c r="F241" i="2"/>
  <c r="F241" i="1" s="1"/>
  <c r="E241" i="2"/>
  <c r="E241" i="1" s="1"/>
  <c r="D241" i="2"/>
  <c r="D241" i="1" s="1"/>
  <c r="C241" i="2"/>
  <c r="C241" i="1" s="1"/>
  <c r="O240" i="2"/>
  <c r="O240" i="1" s="1"/>
  <c r="N240" i="2"/>
  <c r="N240" i="1" s="1"/>
  <c r="M240" i="2"/>
  <c r="M240" i="1" s="1"/>
  <c r="L240" i="2"/>
  <c r="K240"/>
  <c r="K240" i="1" s="1"/>
  <c r="J240" i="2"/>
  <c r="J240" i="1" s="1"/>
  <c r="I240" i="2"/>
  <c r="I240" i="1" s="1"/>
  <c r="H240" i="2"/>
  <c r="H240" i="1" s="1"/>
  <c r="G240" i="2"/>
  <c r="G240" i="1" s="1"/>
  <c r="F240" i="2"/>
  <c r="F240" i="1" s="1"/>
  <c r="E240" i="2"/>
  <c r="E240" i="1" s="1"/>
  <c r="D240" i="2"/>
  <c r="D240" i="1" s="1"/>
  <c r="C240" i="2"/>
  <c r="C240" i="1" s="1"/>
  <c r="O239" i="2"/>
  <c r="O239" i="1" s="1"/>
  <c r="N239" i="2"/>
  <c r="N239" i="1" s="1"/>
  <c r="M239" i="2"/>
  <c r="M239" i="1" s="1"/>
  <c r="L239" i="2"/>
  <c r="K239"/>
  <c r="K239" i="1" s="1"/>
  <c r="J239" i="2"/>
  <c r="J239" i="1" s="1"/>
  <c r="I239" i="2"/>
  <c r="I239" i="1" s="1"/>
  <c r="H239" i="2"/>
  <c r="H239" i="1" s="1"/>
  <c r="G239" i="2"/>
  <c r="G239" i="1" s="1"/>
  <c r="F239" i="2"/>
  <c r="F239" i="1" s="1"/>
  <c r="E239" i="2"/>
  <c r="E239" i="1" s="1"/>
  <c r="D239" i="2"/>
  <c r="D239" i="1" s="1"/>
  <c r="C239" i="2"/>
  <c r="C239" i="1" s="1"/>
  <c r="O238" i="2"/>
  <c r="O238" i="1" s="1"/>
  <c r="N238" i="2"/>
  <c r="N238" i="1" s="1"/>
  <c r="M238" i="2"/>
  <c r="M238" i="1" s="1"/>
  <c r="L238" i="2"/>
  <c r="K238"/>
  <c r="K238" i="1" s="1"/>
  <c r="J238" i="2"/>
  <c r="J238" i="1" s="1"/>
  <c r="I238" i="2"/>
  <c r="I238" i="1" s="1"/>
  <c r="H238" i="2"/>
  <c r="H238" i="1" s="1"/>
  <c r="G238" i="2"/>
  <c r="G238" i="1" s="1"/>
  <c r="F238" i="2"/>
  <c r="F238" i="1" s="1"/>
  <c r="E238" i="2"/>
  <c r="E238" i="1" s="1"/>
  <c r="D238" i="2"/>
  <c r="D238" i="1" s="1"/>
  <c r="C238" i="2"/>
  <c r="C238" i="1" s="1"/>
  <c r="O237" i="2"/>
  <c r="O237" i="1" s="1"/>
  <c r="N237" i="2"/>
  <c r="N237" i="1" s="1"/>
  <c r="M237" i="2"/>
  <c r="M237" i="1" s="1"/>
  <c r="L237" i="2"/>
  <c r="K237"/>
  <c r="K237" i="1" s="1"/>
  <c r="J237" i="2"/>
  <c r="J237" i="1" s="1"/>
  <c r="I237" i="2"/>
  <c r="I237" i="1" s="1"/>
  <c r="H237" i="2"/>
  <c r="H237" i="1" s="1"/>
  <c r="G237" i="2"/>
  <c r="G237" i="1" s="1"/>
  <c r="F237" i="2"/>
  <c r="F237" i="1" s="1"/>
  <c r="E237" i="2"/>
  <c r="E237" i="1" s="1"/>
  <c r="D237" i="2"/>
  <c r="D237" i="1" s="1"/>
  <c r="C237" i="2"/>
  <c r="C237" i="1" s="1"/>
  <c r="O236" i="2"/>
  <c r="O236" i="1" s="1"/>
  <c r="N236" i="2"/>
  <c r="N236" i="1" s="1"/>
  <c r="M236" i="2"/>
  <c r="M236" i="1" s="1"/>
  <c r="L236" i="2"/>
  <c r="K236"/>
  <c r="K236" i="1" s="1"/>
  <c r="J236" i="2"/>
  <c r="J236" i="1" s="1"/>
  <c r="I236" i="2"/>
  <c r="I236" i="1" s="1"/>
  <c r="H236" i="2"/>
  <c r="H236" i="1" s="1"/>
  <c r="G236" i="2"/>
  <c r="G236" i="1" s="1"/>
  <c r="F236" i="2"/>
  <c r="F236" i="1" s="1"/>
  <c r="E236" i="2"/>
  <c r="E236" i="1" s="1"/>
  <c r="D236" i="2"/>
  <c r="D236" i="1" s="1"/>
  <c r="C236" i="2"/>
  <c r="C236" i="1" s="1"/>
  <c r="O235" i="2"/>
  <c r="O235" i="1" s="1"/>
  <c r="N235" i="2"/>
  <c r="N235" i="1" s="1"/>
  <c r="M235" i="2"/>
  <c r="M235" i="1" s="1"/>
  <c r="L235" i="2"/>
  <c r="K235"/>
  <c r="K235" i="1" s="1"/>
  <c r="J235" i="2"/>
  <c r="J235" i="1" s="1"/>
  <c r="I235" i="2"/>
  <c r="I235" i="1" s="1"/>
  <c r="H235" i="2"/>
  <c r="H235" i="1" s="1"/>
  <c r="G235" i="2"/>
  <c r="G235" i="1" s="1"/>
  <c r="F235" i="2"/>
  <c r="F235" i="1" s="1"/>
  <c r="E235" i="2"/>
  <c r="E235" i="1" s="1"/>
  <c r="D235" i="2"/>
  <c r="D235" i="1" s="1"/>
  <c r="C235" i="2"/>
  <c r="C235" i="1" s="1"/>
  <c r="O234" i="2"/>
  <c r="O234" i="1" s="1"/>
  <c r="N234" i="2"/>
  <c r="N234" i="1" s="1"/>
  <c r="M234" i="2"/>
  <c r="M234" i="1" s="1"/>
  <c r="L234" i="2"/>
  <c r="K234"/>
  <c r="K234" i="1" s="1"/>
  <c r="J234" i="2"/>
  <c r="J234" i="1" s="1"/>
  <c r="I234" i="2"/>
  <c r="I234" i="1" s="1"/>
  <c r="H234" i="2"/>
  <c r="H234" i="1" s="1"/>
  <c r="G234" i="2"/>
  <c r="G234" i="1" s="1"/>
  <c r="F234" i="2"/>
  <c r="F234" i="1" s="1"/>
  <c r="E234" i="2"/>
  <c r="E234" i="1" s="1"/>
  <c r="D234" i="2"/>
  <c r="D234" i="1" s="1"/>
  <c r="C234" i="2"/>
  <c r="C234" i="1" s="1"/>
  <c r="O233" i="2"/>
  <c r="O233" i="1" s="1"/>
  <c r="N233" i="2"/>
  <c r="N233" i="1" s="1"/>
  <c r="M233" i="2"/>
  <c r="M233" i="1" s="1"/>
  <c r="L233" i="2"/>
  <c r="K233"/>
  <c r="K233" i="1" s="1"/>
  <c r="J233" i="2"/>
  <c r="J233" i="1" s="1"/>
  <c r="I233" i="2"/>
  <c r="I233" i="1" s="1"/>
  <c r="H233" i="2"/>
  <c r="H233" i="1" s="1"/>
  <c r="G233" i="2"/>
  <c r="G233" i="1" s="1"/>
  <c r="F233" i="2"/>
  <c r="F233" i="1" s="1"/>
  <c r="E233" i="2"/>
  <c r="E233" i="1" s="1"/>
  <c r="D233" i="2"/>
  <c r="D233" i="1" s="1"/>
  <c r="C233" i="2"/>
  <c r="C233" i="1" s="1"/>
  <c r="O232" i="2"/>
  <c r="O232" i="1" s="1"/>
  <c r="N232" i="2"/>
  <c r="N232" i="1" s="1"/>
  <c r="M232" i="2"/>
  <c r="M232" i="1" s="1"/>
  <c r="L232" i="2"/>
  <c r="K232"/>
  <c r="K232" i="1" s="1"/>
  <c r="J232" i="2"/>
  <c r="J232" i="1" s="1"/>
  <c r="I232" i="2"/>
  <c r="I232" i="1" s="1"/>
  <c r="H232" i="2"/>
  <c r="H232" i="1" s="1"/>
  <c r="G232" i="2"/>
  <c r="G232" i="1" s="1"/>
  <c r="F232" i="2"/>
  <c r="F232" i="1" s="1"/>
  <c r="E232" i="2"/>
  <c r="E232" i="1" s="1"/>
  <c r="D232" i="2"/>
  <c r="D232" i="1" s="1"/>
  <c r="C232" i="2"/>
  <c r="C232" i="1" s="1"/>
  <c r="O231" i="2"/>
  <c r="O231" i="1" s="1"/>
  <c r="N231" i="2"/>
  <c r="N231" i="1" s="1"/>
  <c r="M231" i="2"/>
  <c r="M231" i="1" s="1"/>
  <c r="L231" i="2"/>
  <c r="K231"/>
  <c r="K231" i="1" s="1"/>
  <c r="J231" i="2"/>
  <c r="J231" i="1" s="1"/>
  <c r="I231" i="2"/>
  <c r="I231" i="1" s="1"/>
  <c r="H231" i="2"/>
  <c r="H231" i="1" s="1"/>
  <c r="G231" i="2"/>
  <c r="G231" i="1" s="1"/>
  <c r="F231" i="2"/>
  <c r="F231" i="1" s="1"/>
  <c r="E231" i="2"/>
  <c r="E231" i="1" s="1"/>
  <c r="D231" i="2"/>
  <c r="D231" i="1" s="1"/>
  <c r="C231" i="2"/>
  <c r="C231" i="1" s="1"/>
  <c r="O230" i="2"/>
  <c r="O230" i="1" s="1"/>
  <c r="N230" i="2"/>
  <c r="N230" i="1" s="1"/>
  <c r="M230" i="2"/>
  <c r="M230" i="1" s="1"/>
  <c r="L230" i="2"/>
  <c r="K230"/>
  <c r="K230" i="1" s="1"/>
  <c r="J230" i="2"/>
  <c r="J230" i="1" s="1"/>
  <c r="I230" i="2"/>
  <c r="I230" i="1" s="1"/>
  <c r="H230" i="2"/>
  <c r="H230" i="1" s="1"/>
  <c r="G230" i="2"/>
  <c r="G230" i="1" s="1"/>
  <c r="F230" i="2"/>
  <c r="F230" i="1" s="1"/>
  <c r="E230" i="2"/>
  <c r="E230" i="1" s="1"/>
  <c r="D230" i="2"/>
  <c r="D230" i="1" s="1"/>
  <c r="C230" i="2"/>
  <c r="C230" i="1" s="1"/>
  <c r="O229" i="2"/>
  <c r="O229" i="1" s="1"/>
  <c r="N229" i="2"/>
  <c r="N229" i="1" s="1"/>
  <c r="M229" i="2"/>
  <c r="M229" i="1" s="1"/>
  <c r="L229" i="2"/>
  <c r="K229"/>
  <c r="K229" i="1" s="1"/>
  <c r="J229" i="2"/>
  <c r="J229" i="1" s="1"/>
  <c r="I229" i="2"/>
  <c r="I229" i="1" s="1"/>
  <c r="H229" i="2"/>
  <c r="H229" i="1" s="1"/>
  <c r="G229" i="2"/>
  <c r="G229" i="1" s="1"/>
  <c r="F229" i="2"/>
  <c r="F229" i="1" s="1"/>
  <c r="E229" i="2"/>
  <c r="E229" i="1" s="1"/>
  <c r="D229" i="2"/>
  <c r="D229" i="1" s="1"/>
  <c r="C229" i="2"/>
  <c r="C229" i="1" s="1"/>
  <c r="O228" i="2"/>
  <c r="O228" i="1" s="1"/>
  <c r="N228" i="2"/>
  <c r="N228" i="1" s="1"/>
  <c r="M228" i="2"/>
  <c r="M228" i="1" s="1"/>
  <c r="L228" i="2"/>
  <c r="K228"/>
  <c r="K228" i="1" s="1"/>
  <c r="J228" i="2"/>
  <c r="J228" i="1" s="1"/>
  <c r="I228" i="2"/>
  <c r="I228" i="1" s="1"/>
  <c r="H228" i="2"/>
  <c r="H228" i="1" s="1"/>
  <c r="G228" i="2"/>
  <c r="G228" i="1" s="1"/>
  <c r="F228" i="2"/>
  <c r="F228" i="1" s="1"/>
  <c r="E228" i="2"/>
  <c r="E228" i="1" s="1"/>
  <c r="D228" i="2"/>
  <c r="D228" i="1" s="1"/>
  <c r="C228" i="2"/>
  <c r="C228" i="1" s="1"/>
  <c r="O227" i="2"/>
  <c r="O227" i="1" s="1"/>
  <c r="N227" i="2"/>
  <c r="N227" i="1" s="1"/>
  <c r="M227" i="2"/>
  <c r="M227" i="1" s="1"/>
  <c r="L227" i="2"/>
  <c r="K227"/>
  <c r="K227" i="1" s="1"/>
  <c r="J227" i="2"/>
  <c r="J227" i="1" s="1"/>
  <c r="I227" i="2"/>
  <c r="I227" i="1" s="1"/>
  <c r="H227" i="2"/>
  <c r="H227" i="1" s="1"/>
  <c r="G227" i="2"/>
  <c r="G227" i="1" s="1"/>
  <c r="F227" i="2"/>
  <c r="F227" i="1" s="1"/>
  <c r="E227" i="2"/>
  <c r="E227" i="1" s="1"/>
  <c r="D227" i="2"/>
  <c r="D227" i="1" s="1"/>
  <c r="C227" i="2"/>
  <c r="C227" i="1" s="1"/>
  <c r="O226" i="2"/>
  <c r="O226" i="1" s="1"/>
  <c r="N226" i="2"/>
  <c r="N226" i="1" s="1"/>
  <c r="M226" i="2"/>
  <c r="M226" i="1" s="1"/>
  <c r="L226" i="2"/>
  <c r="K226"/>
  <c r="K226" i="1" s="1"/>
  <c r="J226" i="2"/>
  <c r="J226" i="1" s="1"/>
  <c r="I226" i="2"/>
  <c r="I226" i="1" s="1"/>
  <c r="H226" i="2"/>
  <c r="H226" i="1" s="1"/>
  <c r="G226" i="2"/>
  <c r="G226" i="1" s="1"/>
  <c r="F226" i="2"/>
  <c r="F226" i="1" s="1"/>
  <c r="E226" i="2"/>
  <c r="E226" i="1" s="1"/>
  <c r="D226" i="2"/>
  <c r="D226" i="1" s="1"/>
  <c r="C226" i="2"/>
  <c r="C226" i="1" s="1"/>
  <c r="O225" i="2"/>
  <c r="O225" i="1" s="1"/>
  <c r="N225" i="2"/>
  <c r="N225" i="1" s="1"/>
  <c r="M225" i="2"/>
  <c r="M225" i="1" s="1"/>
  <c r="L225" i="2"/>
  <c r="K225"/>
  <c r="K225" i="1" s="1"/>
  <c r="J225" i="2"/>
  <c r="J225" i="1" s="1"/>
  <c r="I225" i="2"/>
  <c r="I225" i="1" s="1"/>
  <c r="H225" i="2"/>
  <c r="H225" i="1" s="1"/>
  <c r="G225" i="2"/>
  <c r="G225" i="1" s="1"/>
  <c r="F225" i="2"/>
  <c r="F225" i="1" s="1"/>
  <c r="E225" i="2"/>
  <c r="E225" i="1" s="1"/>
  <c r="D225" i="2"/>
  <c r="D225" i="1" s="1"/>
  <c r="C225" i="2"/>
  <c r="C225" i="1" s="1"/>
  <c r="O224" i="2"/>
  <c r="O224" i="1" s="1"/>
  <c r="N224" i="2"/>
  <c r="N224" i="1" s="1"/>
  <c r="M224" i="2"/>
  <c r="M224" i="1" s="1"/>
  <c r="L224" i="2"/>
  <c r="K224"/>
  <c r="K224" i="1" s="1"/>
  <c r="J224" i="2"/>
  <c r="J224" i="1" s="1"/>
  <c r="I224" i="2"/>
  <c r="I224" i="1" s="1"/>
  <c r="H224" i="2"/>
  <c r="H224" i="1" s="1"/>
  <c r="G224" i="2"/>
  <c r="G224" i="1" s="1"/>
  <c r="F224" i="2"/>
  <c r="F224" i="1" s="1"/>
  <c r="E224" i="2"/>
  <c r="E224" i="1" s="1"/>
  <c r="D224" i="2"/>
  <c r="D224" i="1" s="1"/>
  <c r="C224" i="2"/>
  <c r="C224" i="1" s="1"/>
  <c r="O223" i="2"/>
  <c r="O223" i="1" s="1"/>
  <c r="N223" i="2"/>
  <c r="N223" i="1" s="1"/>
  <c r="M223" i="2"/>
  <c r="M223" i="1" s="1"/>
  <c r="L223" i="2"/>
  <c r="K223"/>
  <c r="K223" i="1" s="1"/>
  <c r="J223" i="2"/>
  <c r="J223" i="1" s="1"/>
  <c r="I223" i="2"/>
  <c r="I223" i="1" s="1"/>
  <c r="H223" i="2"/>
  <c r="H223" i="1" s="1"/>
  <c r="G223" i="2"/>
  <c r="G223" i="1" s="1"/>
  <c r="F223" i="2"/>
  <c r="F223" i="1" s="1"/>
  <c r="E223" i="2"/>
  <c r="E223" i="1" s="1"/>
  <c r="D223" i="2"/>
  <c r="D223" i="1" s="1"/>
  <c r="C223" i="2"/>
  <c r="C223" i="1" s="1"/>
  <c r="O222" i="2"/>
  <c r="O222" i="1" s="1"/>
  <c r="N222" i="2"/>
  <c r="N222" i="1" s="1"/>
  <c r="M222" i="2"/>
  <c r="M222" i="1" s="1"/>
  <c r="L222" i="2"/>
  <c r="K222"/>
  <c r="K222" i="1" s="1"/>
  <c r="J222" i="2"/>
  <c r="J222" i="1" s="1"/>
  <c r="I222" i="2"/>
  <c r="I222" i="1" s="1"/>
  <c r="H222" i="2"/>
  <c r="H222" i="1" s="1"/>
  <c r="G222" i="2"/>
  <c r="G222" i="1" s="1"/>
  <c r="F222" i="2"/>
  <c r="F222" i="1" s="1"/>
  <c r="E222" i="2"/>
  <c r="E222" i="1" s="1"/>
  <c r="D222" i="2"/>
  <c r="D222" i="1" s="1"/>
  <c r="C222" i="2"/>
  <c r="C222" i="1" s="1"/>
  <c r="O221" i="2"/>
  <c r="O221" i="1" s="1"/>
  <c r="N221" i="2"/>
  <c r="N221" i="1" s="1"/>
  <c r="M221" i="2"/>
  <c r="M221" i="1" s="1"/>
  <c r="L221" i="2"/>
  <c r="K221"/>
  <c r="K221" i="1" s="1"/>
  <c r="J221" i="2"/>
  <c r="J221" i="1" s="1"/>
  <c r="I221" i="2"/>
  <c r="I221" i="1" s="1"/>
  <c r="H221" i="2"/>
  <c r="H221" i="1" s="1"/>
  <c r="G221" i="2"/>
  <c r="G221" i="1" s="1"/>
  <c r="F221" i="2"/>
  <c r="F221" i="1" s="1"/>
  <c r="E221" i="2"/>
  <c r="E221" i="1" s="1"/>
  <c r="D221" i="2"/>
  <c r="D221" i="1" s="1"/>
  <c r="C221" i="2"/>
  <c r="C221" i="1" s="1"/>
  <c r="O220" i="2"/>
  <c r="O220" i="1" s="1"/>
  <c r="N220" i="2"/>
  <c r="N220" i="1" s="1"/>
  <c r="M220" i="2"/>
  <c r="M220" i="1" s="1"/>
  <c r="L220" i="2"/>
  <c r="K220"/>
  <c r="K220" i="1" s="1"/>
  <c r="J220" i="2"/>
  <c r="J220" i="1" s="1"/>
  <c r="I220" i="2"/>
  <c r="I220" i="1" s="1"/>
  <c r="H220" i="2"/>
  <c r="H220" i="1" s="1"/>
  <c r="G220" i="2"/>
  <c r="G220" i="1" s="1"/>
  <c r="F220" i="2"/>
  <c r="F220" i="1" s="1"/>
  <c r="E220" i="2"/>
  <c r="E220" i="1" s="1"/>
  <c r="D220" i="2"/>
  <c r="D220" i="1" s="1"/>
  <c r="C220" i="2"/>
  <c r="C220" i="1" s="1"/>
  <c r="O219" i="2"/>
  <c r="O219" i="1" s="1"/>
  <c r="N219" i="2"/>
  <c r="N219" i="1" s="1"/>
  <c r="M219" i="2"/>
  <c r="M219" i="1" s="1"/>
  <c r="L219" i="2"/>
  <c r="K219"/>
  <c r="K219" i="1" s="1"/>
  <c r="J219" i="2"/>
  <c r="J219" i="1" s="1"/>
  <c r="I219" i="2"/>
  <c r="I219" i="1" s="1"/>
  <c r="H219" i="2"/>
  <c r="H219" i="1" s="1"/>
  <c r="G219" i="2"/>
  <c r="G219" i="1" s="1"/>
  <c r="F219" i="2"/>
  <c r="F219" i="1" s="1"/>
  <c r="E219" i="2"/>
  <c r="E219" i="1" s="1"/>
  <c r="D219" i="2"/>
  <c r="D219" i="1" s="1"/>
  <c r="C219" i="2"/>
  <c r="C219" i="1" s="1"/>
  <c r="O218" i="2"/>
  <c r="O218" i="1" s="1"/>
  <c r="N218" i="2"/>
  <c r="N218" i="1" s="1"/>
  <c r="M218" i="2"/>
  <c r="M218" i="1" s="1"/>
  <c r="L218" i="2"/>
  <c r="K218"/>
  <c r="K218" i="1" s="1"/>
  <c r="J218" i="2"/>
  <c r="J218" i="1" s="1"/>
  <c r="I218" i="2"/>
  <c r="I218" i="1" s="1"/>
  <c r="H218" i="2"/>
  <c r="H218" i="1" s="1"/>
  <c r="G218" i="2"/>
  <c r="G218" i="1" s="1"/>
  <c r="F218" i="2"/>
  <c r="F218" i="1" s="1"/>
  <c r="E218" i="2"/>
  <c r="E218" i="1" s="1"/>
  <c r="D218" i="2"/>
  <c r="D218" i="1" s="1"/>
  <c r="C218" i="2"/>
  <c r="C218" i="1" s="1"/>
  <c r="O217" i="2"/>
  <c r="O217" i="1" s="1"/>
  <c r="N217" i="2"/>
  <c r="N217" i="1" s="1"/>
  <c r="M217" i="2"/>
  <c r="M217" i="1" s="1"/>
  <c r="L217" i="2"/>
  <c r="K217"/>
  <c r="K217" i="1" s="1"/>
  <c r="J217" i="2"/>
  <c r="J217" i="1" s="1"/>
  <c r="I217" i="2"/>
  <c r="I217" i="1" s="1"/>
  <c r="H217" i="2"/>
  <c r="H217" i="1" s="1"/>
  <c r="G217" i="2"/>
  <c r="G217" i="1" s="1"/>
  <c r="F217" i="2"/>
  <c r="F217" i="1" s="1"/>
  <c r="E217" i="2"/>
  <c r="E217" i="1" s="1"/>
  <c r="D217" i="2"/>
  <c r="D217" i="1" s="1"/>
  <c r="C217" i="2"/>
  <c r="C217" i="1" s="1"/>
  <c r="O216" i="2"/>
  <c r="O216" i="1" s="1"/>
  <c r="N216" i="2"/>
  <c r="N216" i="1" s="1"/>
  <c r="M216" i="2"/>
  <c r="M216" i="1" s="1"/>
  <c r="L216" i="2"/>
  <c r="K216"/>
  <c r="K216" i="1" s="1"/>
  <c r="J216" i="2"/>
  <c r="J216" i="1" s="1"/>
  <c r="I216" i="2"/>
  <c r="I216" i="1" s="1"/>
  <c r="H216" i="2"/>
  <c r="H216" i="1" s="1"/>
  <c r="G216" i="2"/>
  <c r="G216" i="1" s="1"/>
  <c r="F216" i="2"/>
  <c r="F216" i="1" s="1"/>
  <c r="E216" i="2"/>
  <c r="E216" i="1" s="1"/>
  <c r="D216" i="2"/>
  <c r="D216" i="1" s="1"/>
  <c r="C216" i="2"/>
  <c r="C216" i="1" s="1"/>
  <c r="O215" i="2"/>
  <c r="O215" i="1" s="1"/>
  <c r="N215" i="2"/>
  <c r="N215" i="1" s="1"/>
  <c r="M215" i="2"/>
  <c r="M215" i="1" s="1"/>
  <c r="L215" i="2"/>
  <c r="K215"/>
  <c r="K215" i="1" s="1"/>
  <c r="J215" i="2"/>
  <c r="J215" i="1" s="1"/>
  <c r="I215" i="2"/>
  <c r="I215" i="1" s="1"/>
  <c r="H215" i="2"/>
  <c r="H215" i="1" s="1"/>
  <c r="G215" i="2"/>
  <c r="G215" i="1" s="1"/>
  <c r="F215" i="2"/>
  <c r="F215" i="1" s="1"/>
  <c r="E215" i="2"/>
  <c r="E215" i="1" s="1"/>
  <c r="D215" i="2"/>
  <c r="D215" i="1" s="1"/>
  <c r="C215" i="2"/>
  <c r="C215" i="1" s="1"/>
  <c r="O214" i="2"/>
  <c r="O214" i="1" s="1"/>
  <c r="N214" i="2"/>
  <c r="N214" i="1" s="1"/>
  <c r="M214" i="2"/>
  <c r="M214" i="1" s="1"/>
  <c r="L214" i="2"/>
  <c r="K214"/>
  <c r="K214" i="1" s="1"/>
  <c r="J214" i="2"/>
  <c r="J214" i="1" s="1"/>
  <c r="I214" i="2"/>
  <c r="I214" i="1" s="1"/>
  <c r="H214" i="2"/>
  <c r="H214" i="1" s="1"/>
  <c r="G214" i="2"/>
  <c r="G214" i="1" s="1"/>
  <c r="F214" i="2"/>
  <c r="F214" i="1" s="1"/>
  <c r="E214" i="2"/>
  <c r="E214" i="1" s="1"/>
  <c r="D214" i="2"/>
  <c r="D214" i="1" s="1"/>
  <c r="C214" i="2"/>
  <c r="C214" i="1" s="1"/>
  <c r="O213" i="2"/>
  <c r="O213" i="1" s="1"/>
  <c r="N213" i="2"/>
  <c r="N213" i="1" s="1"/>
  <c r="M213" i="2"/>
  <c r="M213" i="1" s="1"/>
  <c r="L213" i="2"/>
  <c r="K213"/>
  <c r="K213" i="1" s="1"/>
  <c r="J213" i="2"/>
  <c r="J213" i="1" s="1"/>
  <c r="I213" i="2"/>
  <c r="I213" i="1" s="1"/>
  <c r="H213" i="2"/>
  <c r="H213" i="1" s="1"/>
  <c r="G213" i="2"/>
  <c r="G213" i="1" s="1"/>
  <c r="F213" i="2"/>
  <c r="F213" i="1" s="1"/>
  <c r="E213" i="2"/>
  <c r="E213" i="1" s="1"/>
  <c r="D213" i="2"/>
  <c r="D213" i="1" s="1"/>
  <c r="C213" i="2"/>
  <c r="C213" i="1" s="1"/>
  <c r="O212" i="2"/>
  <c r="O212" i="1" s="1"/>
  <c r="N212" i="2"/>
  <c r="N212" i="1" s="1"/>
  <c r="M212" i="2"/>
  <c r="M212" i="1" s="1"/>
  <c r="L212" i="2"/>
  <c r="K212"/>
  <c r="K212" i="1" s="1"/>
  <c r="J212" i="2"/>
  <c r="J212" i="1" s="1"/>
  <c r="I212" i="2"/>
  <c r="I212" i="1" s="1"/>
  <c r="H212" i="2"/>
  <c r="H212" i="1" s="1"/>
  <c r="G212" i="2"/>
  <c r="G212" i="1" s="1"/>
  <c r="F212" i="2"/>
  <c r="F212" i="1" s="1"/>
  <c r="E212" i="2"/>
  <c r="E212" i="1" s="1"/>
  <c r="D212" i="2"/>
  <c r="D212" i="1" s="1"/>
  <c r="C212" i="2"/>
  <c r="C212" i="1" s="1"/>
  <c r="O211" i="2"/>
  <c r="O211" i="1" s="1"/>
  <c r="N211" i="2"/>
  <c r="N211" i="1" s="1"/>
  <c r="M211" i="2"/>
  <c r="M211" i="1" s="1"/>
  <c r="L211" i="2"/>
  <c r="K211"/>
  <c r="K211" i="1" s="1"/>
  <c r="J211" i="2"/>
  <c r="J211" i="1" s="1"/>
  <c r="I211" i="2"/>
  <c r="I211" i="1" s="1"/>
  <c r="H211" i="2"/>
  <c r="H211" i="1" s="1"/>
  <c r="G211" i="2"/>
  <c r="G211" i="1" s="1"/>
  <c r="F211" i="2"/>
  <c r="F211" i="1" s="1"/>
  <c r="E211" i="2"/>
  <c r="E211" i="1" s="1"/>
  <c r="D211" i="2"/>
  <c r="D211" i="1" s="1"/>
  <c r="C211" i="2"/>
  <c r="C211" i="1" s="1"/>
  <c r="O210" i="2"/>
  <c r="O210" i="1" s="1"/>
  <c r="N210" i="2"/>
  <c r="N210" i="1" s="1"/>
  <c r="M210" i="2"/>
  <c r="M210" i="1" s="1"/>
  <c r="L210" i="2"/>
  <c r="K210"/>
  <c r="K210" i="1" s="1"/>
  <c r="J210" i="2"/>
  <c r="J210" i="1" s="1"/>
  <c r="I210" i="2"/>
  <c r="I210" i="1" s="1"/>
  <c r="H210" i="2"/>
  <c r="H210" i="1" s="1"/>
  <c r="G210" i="2"/>
  <c r="G210" i="1" s="1"/>
  <c r="F210" i="2"/>
  <c r="F210" i="1" s="1"/>
  <c r="E210" i="2"/>
  <c r="E210" i="1" s="1"/>
  <c r="D210" i="2"/>
  <c r="D210" i="1" s="1"/>
  <c r="C210" i="2"/>
  <c r="C210" i="1" s="1"/>
  <c r="O209" i="2"/>
  <c r="O209" i="1" s="1"/>
  <c r="N209" i="2"/>
  <c r="N209" i="1" s="1"/>
  <c r="M209" i="2"/>
  <c r="M209" i="1" s="1"/>
  <c r="L209" i="2"/>
  <c r="K209"/>
  <c r="K209" i="1" s="1"/>
  <c r="J209" i="2"/>
  <c r="J209" i="1" s="1"/>
  <c r="I209" i="2"/>
  <c r="I209" i="1" s="1"/>
  <c r="H209" i="2"/>
  <c r="H209" i="1" s="1"/>
  <c r="G209" i="2"/>
  <c r="G209" i="1" s="1"/>
  <c r="F209" i="2"/>
  <c r="F209" i="1" s="1"/>
  <c r="E209" i="2"/>
  <c r="E209" i="1" s="1"/>
  <c r="D209" i="2"/>
  <c r="D209" i="1" s="1"/>
  <c r="C209" i="2"/>
  <c r="C209" i="1" s="1"/>
  <c r="O208" i="2"/>
  <c r="O208" i="1" s="1"/>
  <c r="N208" i="2"/>
  <c r="N208" i="1" s="1"/>
  <c r="M208" i="2"/>
  <c r="M208" i="1" s="1"/>
  <c r="L208" i="2"/>
  <c r="K208"/>
  <c r="K208" i="1" s="1"/>
  <c r="J208" i="2"/>
  <c r="J208" i="1" s="1"/>
  <c r="I208" i="2"/>
  <c r="I208" i="1" s="1"/>
  <c r="H208" i="2"/>
  <c r="H208" i="1" s="1"/>
  <c r="G208" i="2"/>
  <c r="G208" i="1" s="1"/>
  <c r="F208" i="2"/>
  <c r="F208" i="1" s="1"/>
  <c r="E208" i="2"/>
  <c r="E208" i="1" s="1"/>
  <c r="D208" i="2"/>
  <c r="D208" i="1" s="1"/>
  <c r="C208" i="2"/>
  <c r="C208" i="1" s="1"/>
  <c r="O207" i="2"/>
  <c r="O207" i="1" s="1"/>
  <c r="N207" i="2"/>
  <c r="N207" i="1" s="1"/>
  <c r="M207" i="2"/>
  <c r="M207" i="1" s="1"/>
  <c r="L207" i="2"/>
  <c r="K207"/>
  <c r="K207" i="1" s="1"/>
  <c r="J207" i="2"/>
  <c r="J207" i="1" s="1"/>
  <c r="I207" i="2"/>
  <c r="I207" i="1" s="1"/>
  <c r="H207" i="2"/>
  <c r="H207" i="1" s="1"/>
  <c r="G207" i="2"/>
  <c r="G207" i="1" s="1"/>
  <c r="F207" i="2"/>
  <c r="F207" i="1" s="1"/>
  <c r="E207" i="2"/>
  <c r="E207" i="1" s="1"/>
  <c r="D207" i="2"/>
  <c r="D207" i="1" s="1"/>
  <c r="C207" i="2"/>
  <c r="C207" i="1" s="1"/>
  <c r="O206" i="2"/>
  <c r="O206" i="1" s="1"/>
  <c r="N206" i="2"/>
  <c r="N206" i="1" s="1"/>
  <c r="M206" i="2"/>
  <c r="M206" i="1" s="1"/>
  <c r="L206" i="2"/>
  <c r="K206"/>
  <c r="K206" i="1" s="1"/>
  <c r="J206" i="2"/>
  <c r="J206" i="1" s="1"/>
  <c r="I206" i="2"/>
  <c r="I206" i="1" s="1"/>
  <c r="H206" i="2"/>
  <c r="H206" i="1" s="1"/>
  <c r="G206" i="2"/>
  <c r="G206" i="1" s="1"/>
  <c r="F206" i="2"/>
  <c r="F206" i="1" s="1"/>
  <c r="E206" i="2"/>
  <c r="E206" i="1" s="1"/>
  <c r="D206" i="2"/>
  <c r="D206" i="1" s="1"/>
  <c r="C206" i="2"/>
  <c r="C206" i="1" s="1"/>
  <c r="O205" i="2"/>
  <c r="O205" i="1" s="1"/>
  <c r="N205" i="2"/>
  <c r="N205" i="1" s="1"/>
  <c r="M205" i="2"/>
  <c r="M205" i="1" s="1"/>
  <c r="L205" i="2"/>
  <c r="K205"/>
  <c r="K205" i="1" s="1"/>
  <c r="J205" i="2"/>
  <c r="J205" i="1" s="1"/>
  <c r="I205" i="2"/>
  <c r="I205" i="1" s="1"/>
  <c r="H205" i="2"/>
  <c r="H205" i="1" s="1"/>
  <c r="G205" i="2"/>
  <c r="G205" i="1" s="1"/>
  <c r="F205" i="2"/>
  <c r="F205" i="1" s="1"/>
  <c r="E205" i="2"/>
  <c r="E205" i="1" s="1"/>
  <c r="D205" i="2"/>
  <c r="D205" i="1" s="1"/>
  <c r="C205" i="2"/>
  <c r="C205" i="1" s="1"/>
  <c r="O204" i="2"/>
  <c r="O204" i="1" s="1"/>
  <c r="N204" i="2"/>
  <c r="N204" i="1" s="1"/>
  <c r="M204" i="2"/>
  <c r="M204" i="1" s="1"/>
  <c r="L204" i="2"/>
  <c r="K204"/>
  <c r="K204" i="1" s="1"/>
  <c r="J204" i="2"/>
  <c r="J204" i="1" s="1"/>
  <c r="I204" i="2"/>
  <c r="I204" i="1" s="1"/>
  <c r="H204" i="2"/>
  <c r="H204" i="1" s="1"/>
  <c r="G204" i="2"/>
  <c r="G204" i="1" s="1"/>
  <c r="F204" i="2"/>
  <c r="F204" i="1" s="1"/>
  <c r="E204" i="2"/>
  <c r="E204" i="1" s="1"/>
  <c r="D204" i="2"/>
  <c r="D204" i="1" s="1"/>
  <c r="C204" i="2"/>
  <c r="C204" i="1" s="1"/>
  <c r="O203" i="2"/>
  <c r="O203" i="1" s="1"/>
  <c r="N203" i="2"/>
  <c r="N203" i="1" s="1"/>
  <c r="M203" i="2"/>
  <c r="M203" i="1" s="1"/>
  <c r="L203" i="2"/>
  <c r="K203"/>
  <c r="K203" i="1" s="1"/>
  <c r="J203" i="2"/>
  <c r="J203" i="1" s="1"/>
  <c r="I203" i="2"/>
  <c r="I203" i="1" s="1"/>
  <c r="H203" i="2"/>
  <c r="H203" i="1" s="1"/>
  <c r="G203" i="2"/>
  <c r="G203" i="1" s="1"/>
  <c r="F203" i="2"/>
  <c r="F203" i="1" s="1"/>
  <c r="E203" i="2"/>
  <c r="E203" i="1" s="1"/>
  <c r="D203" i="2"/>
  <c r="D203" i="1" s="1"/>
  <c r="C203" i="2"/>
  <c r="C203" i="1" s="1"/>
  <c r="O202" i="2"/>
  <c r="O202" i="1" s="1"/>
  <c r="N202" i="2"/>
  <c r="N202" i="1" s="1"/>
  <c r="M202" i="2"/>
  <c r="M202" i="1" s="1"/>
  <c r="L202" i="2"/>
  <c r="K202"/>
  <c r="K202" i="1" s="1"/>
  <c r="J202" i="2"/>
  <c r="J202" i="1" s="1"/>
  <c r="I202" i="2"/>
  <c r="I202" i="1" s="1"/>
  <c r="H202" i="2"/>
  <c r="H202" i="1" s="1"/>
  <c r="G202" i="2"/>
  <c r="G202" i="1" s="1"/>
  <c r="F202" i="2"/>
  <c r="F202" i="1" s="1"/>
  <c r="E202" i="2"/>
  <c r="E202" i="1" s="1"/>
  <c r="D202" i="2"/>
  <c r="D202" i="1" s="1"/>
  <c r="C202" i="2"/>
  <c r="C202" i="1" s="1"/>
  <c r="O201" i="2"/>
  <c r="O201" i="1" s="1"/>
  <c r="N201" i="2"/>
  <c r="N201" i="1" s="1"/>
  <c r="M201" i="2"/>
  <c r="M201" i="1" s="1"/>
  <c r="L201" i="2"/>
  <c r="K201"/>
  <c r="K201" i="1" s="1"/>
  <c r="J201" i="2"/>
  <c r="J201" i="1" s="1"/>
  <c r="I201" i="2"/>
  <c r="I201" i="1" s="1"/>
  <c r="H201" i="2"/>
  <c r="H201" i="1" s="1"/>
  <c r="G201" i="2"/>
  <c r="G201" i="1" s="1"/>
  <c r="F201" i="2"/>
  <c r="F201" i="1" s="1"/>
  <c r="E201" i="2"/>
  <c r="E201" i="1" s="1"/>
  <c r="D201" i="2"/>
  <c r="D201" i="1" s="1"/>
  <c r="C201" i="2"/>
  <c r="C201" i="1" s="1"/>
  <c r="O200" i="2"/>
  <c r="O200" i="1" s="1"/>
  <c r="N200" i="2"/>
  <c r="N200" i="1" s="1"/>
  <c r="M200" i="2"/>
  <c r="M200" i="1" s="1"/>
  <c r="L200" i="2"/>
  <c r="K200"/>
  <c r="K200" i="1" s="1"/>
  <c r="J200" i="2"/>
  <c r="J200" i="1" s="1"/>
  <c r="I200" i="2"/>
  <c r="I200" i="1" s="1"/>
  <c r="H200" i="2"/>
  <c r="H200" i="1" s="1"/>
  <c r="G200" i="2"/>
  <c r="G200" i="1" s="1"/>
  <c r="F200" i="2"/>
  <c r="F200" i="1" s="1"/>
  <c r="E200" i="2"/>
  <c r="E200" i="1" s="1"/>
  <c r="D200" i="2"/>
  <c r="D200" i="1" s="1"/>
  <c r="C200" i="2"/>
  <c r="C200" i="1" s="1"/>
  <c r="O199" i="2"/>
  <c r="O199" i="1" s="1"/>
  <c r="N199" i="2"/>
  <c r="N199" i="1" s="1"/>
  <c r="M199" i="2"/>
  <c r="M199" i="1" s="1"/>
  <c r="L199" i="2"/>
  <c r="K199"/>
  <c r="K199" i="1" s="1"/>
  <c r="J199" i="2"/>
  <c r="J199" i="1" s="1"/>
  <c r="I199" i="2"/>
  <c r="I199" i="1" s="1"/>
  <c r="H199" i="2"/>
  <c r="H199" i="1" s="1"/>
  <c r="G199" i="2"/>
  <c r="G199" i="1" s="1"/>
  <c r="F199" i="2"/>
  <c r="F199" i="1" s="1"/>
  <c r="E199" i="2"/>
  <c r="E199" i="1" s="1"/>
  <c r="D199" i="2"/>
  <c r="D199" i="1" s="1"/>
  <c r="C199" i="2"/>
  <c r="C199" i="1" s="1"/>
  <c r="O198" i="2"/>
  <c r="O198" i="1" s="1"/>
  <c r="N198" i="2"/>
  <c r="N198" i="1" s="1"/>
  <c r="M198" i="2"/>
  <c r="M198" i="1" s="1"/>
  <c r="L198" i="2"/>
  <c r="K198"/>
  <c r="K198" i="1" s="1"/>
  <c r="J198" i="2"/>
  <c r="J198" i="1" s="1"/>
  <c r="I198" i="2"/>
  <c r="I198" i="1" s="1"/>
  <c r="H198" i="2"/>
  <c r="H198" i="1" s="1"/>
  <c r="G198" i="2"/>
  <c r="G198" i="1" s="1"/>
  <c r="F198" i="2"/>
  <c r="F198" i="1" s="1"/>
  <c r="E198" i="2"/>
  <c r="E198" i="1" s="1"/>
  <c r="D198" i="2"/>
  <c r="D198" i="1" s="1"/>
  <c r="C198" i="2"/>
  <c r="C198" i="1" s="1"/>
  <c r="O197" i="2"/>
  <c r="O197" i="1" s="1"/>
  <c r="N197" i="2"/>
  <c r="N197" i="1" s="1"/>
  <c r="M197" i="2"/>
  <c r="M197" i="1" s="1"/>
  <c r="L197" i="2"/>
  <c r="K197"/>
  <c r="K197" i="1" s="1"/>
  <c r="J197" i="2"/>
  <c r="J197" i="1" s="1"/>
  <c r="I197" i="2"/>
  <c r="I197" i="1" s="1"/>
  <c r="H197" i="2"/>
  <c r="H197" i="1" s="1"/>
  <c r="G197" i="2"/>
  <c r="G197" i="1" s="1"/>
  <c r="F197" i="2"/>
  <c r="F197" i="1" s="1"/>
  <c r="E197" i="2"/>
  <c r="E197" i="1" s="1"/>
  <c r="D197" i="2"/>
  <c r="D197" i="1" s="1"/>
  <c r="C197" i="2"/>
  <c r="C197" i="1" s="1"/>
  <c r="O196" i="2"/>
  <c r="O196" i="1" s="1"/>
  <c r="N196" i="2"/>
  <c r="N196" i="1" s="1"/>
  <c r="M196" i="2"/>
  <c r="M196" i="1" s="1"/>
  <c r="L196" i="2"/>
  <c r="K196"/>
  <c r="K196" i="1" s="1"/>
  <c r="J196" i="2"/>
  <c r="J196" i="1" s="1"/>
  <c r="I196" i="2"/>
  <c r="I196" i="1" s="1"/>
  <c r="H196" i="2"/>
  <c r="H196" i="1" s="1"/>
  <c r="G196" i="2"/>
  <c r="G196" i="1" s="1"/>
  <c r="F196" i="2"/>
  <c r="F196" i="1" s="1"/>
  <c r="E196" i="2"/>
  <c r="E196" i="1" s="1"/>
  <c r="D196" i="2"/>
  <c r="D196" i="1" s="1"/>
  <c r="C196" i="2"/>
  <c r="C196" i="1" s="1"/>
  <c r="O195" i="2"/>
  <c r="O195" i="1" s="1"/>
  <c r="N195" i="2"/>
  <c r="N195" i="1" s="1"/>
  <c r="M195" i="2"/>
  <c r="M195" i="1" s="1"/>
  <c r="L195" i="2"/>
  <c r="K195"/>
  <c r="K195" i="1" s="1"/>
  <c r="J195" i="2"/>
  <c r="J195" i="1" s="1"/>
  <c r="I195" i="2"/>
  <c r="I195" i="1" s="1"/>
  <c r="H195" i="2"/>
  <c r="H195" i="1" s="1"/>
  <c r="G195" i="2"/>
  <c r="G195" i="1" s="1"/>
  <c r="F195" i="2"/>
  <c r="F195" i="1" s="1"/>
  <c r="E195" i="2"/>
  <c r="E195" i="1" s="1"/>
  <c r="D195" i="2"/>
  <c r="D195" i="1" s="1"/>
  <c r="C195" i="2"/>
  <c r="C195" i="1" s="1"/>
  <c r="O194" i="2"/>
  <c r="O194" i="1" s="1"/>
  <c r="N194" i="2"/>
  <c r="N194" i="1" s="1"/>
  <c r="M194" i="2"/>
  <c r="M194" i="1" s="1"/>
  <c r="L194" i="2"/>
  <c r="K194"/>
  <c r="K194" i="1" s="1"/>
  <c r="J194" i="2"/>
  <c r="J194" i="1" s="1"/>
  <c r="I194" i="2"/>
  <c r="I194" i="1" s="1"/>
  <c r="H194" i="2"/>
  <c r="H194" i="1" s="1"/>
  <c r="G194" i="2"/>
  <c r="G194" i="1" s="1"/>
  <c r="F194" i="2"/>
  <c r="F194" i="1" s="1"/>
  <c r="E194" i="2"/>
  <c r="E194" i="1" s="1"/>
  <c r="D194" i="2"/>
  <c r="D194" i="1" s="1"/>
  <c r="C194" i="2"/>
  <c r="C194" i="1" s="1"/>
  <c r="O193" i="2"/>
  <c r="O193" i="1" s="1"/>
  <c r="N193" i="2"/>
  <c r="N193" i="1" s="1"/>
  <c r="M193" i="2"/>
  <c r="M193" i="1" s="1"/>
  <c r="L193" i="2"/>
  <c r="K193"/>
  <c r="K193" i="1" s="1"/>
  <c r="J193" i="2"/>
  <c r="J193" i="1" s="1"/>
  <c r="I193" i="2"/>
  <c r="I193" i="1" s="1"/>
  <c r="H193" i="2"/>
  <c r="H193" i="1" s="1"/>
  <c r="G193" i="2"/>
  <c r="G193" i="1" s="1"/>
  <c r="F193" i="2"/>
  <c r="F193" i="1" s="1"/>
  <c r="E193" i="2"/>
  <c r="E193" i="1" s="1"/>
  <c r="D193" i="2"/>
  <c r="D193" i="1" s="1"/>
  <c r="C193" i="2"/>
  <c r="C193" i="1" s="1"/>
  <c r="O192" i="2"/>
  <c r="O192" i="1" s="1"/>
  <c r="N192" i="2"/>
  <c r="N192" i="1" s="1"/>
  <c r="M192" i="2"/>
  <c r="M192" i="1" s="1"/>
  <c r="L192" i="2"/>
  <c r="K192"/>
  <c r="K192" i="1" s="1"/>
  <c r="J192" i="2"/>
  <c r="J192" i="1" s="1"/>
  <c r="I192" i="2"/>
  <c r="I192" i="1" s="1"/>
  <c r="H192" i="2"/>
  <c r="H192" i="1" s="1"/>
  <c r="G192" i="2"/>
  <c r="G192" i="1" s="1"/>
  <c r="F192" i="2"/>
  <c r="F192" i="1" s="1"/>
  <c r="E192" i="2"/>
  <c r="E192" i="1" s="1"/>
  <c r="D192" i="2"/>
  <c r="D192" i="1" s="1"/>
  <c r="C192" i="2"/>
  <c r="C192" i="1" s="1"/>
  <c r="O191" i="2"/>
  <c r="O191" i="1" s="1"/>
  <c r="N191" i="2"/>
  <c r="N191" i="1" s="1"/>
  <c r="M191" i="2"/>
  <c r="M191" i="1" s="1"/>
  <c r="L191" i="2"/>
  <c r="K191"/>
  <c r="K191" i="1" s="1"/>
  <c r="J191" i="2"/>
  <c r="J191" i="1" s="1"/>
  <c r="I191" i="2"/>
  <c r="I191" i="1" s="1"/>
  <c r="H191" i="2"/>
  <c r="H191" i="1" s="1"/>
  <c r="G191" i="2"/>
  <c r="G191" i="1" s="1"/>
  <c r="F191" i="2"/>
  <c r="F191" i="1" s="1"/>
  <c r="E191" i="2"/>
  <c r="E191" i="1" s="1"/>
  <c r="D191" i="2"/>
  <c r="D191" i="1" s="1"/>
  <c r="C191" i="2"/>
  <c r="C191" i="1" s="1"/>
  <c r="O190" i="2"/>
  <c r="O190" i="1" s="1"/>
  <c r="N190" i="2"/>
  <c r="N190" i="1" s="1"/>
  <c r="M190" i="2"/>
  <c r="M190" i="1" s="1"/>
  <c r="L190" i="2"/>
  <c r="K190"/>
  <c r="K190" i="1" s="1"/>
  <c r="J190" i="2"/>
  <c r="J190" i="1" s="1"/>
  <c r="I190" i="2"/>
  <c r="I190" i="1" s="1"/>
  <c r="H190" i="2"/>
  <c r="H190" i="1" s="1"/>
  <c r="G190" i="2"/>
  <c r="G190" i="1" s="1"/>
  <c r="F190" i="2"/>
  <c r="F190" i="1" s="1"/>
  <c r="E190" i="2"/>
  <c r="E190" i="1" s="1"/>
  <c r="D190" i="2"/>
  <c r="D190" i="1" s="1"/>
  <c r="C190" i="2"/>
  <c r="C190" i="1" s="1"/>
  <c r="O189" i="2"/>
  <c r="O189" i="1" s="1"/>
  <c r="N189" i="2"/>
  <c r="N189" i="1" s="1"/>
  <c r="M189" i="2"/>
  <c r="M189" i="1" s="1"/>
  <c r="L189" i="2"/>
  <c r="K189"/>
  <c r="K189" i="1" s="1"/>
  <c r="J189" i="2"/>
  <c r="J189" i="1" s="1"/>
  <c r="I189" i="2"/>
  <c r="I189" i="1" s="1"/>
  <c r="H189" i="2"/>
  <c r="H189" i="1" s="1"/>
  <c r="G189" i="2"/>
  <c r="G189" i="1" s="1"/>
  <c r="F189" i="2"/>
  <c r="F189" i="1" s="1"/>
  <c r="E189" i="2"/>
  <c r="E189" i="1" s="1"/>
  <c r="D189" i="2"/>
  <c r="D189" i="1" s="1"/>
  <c r="C189" i="2"/>
  <c r="C189" i="1" s="1"/>
  <c r="O188" i="2"/>
  <c r="O188" i="1" s="1"/>
  <c r="N188" i="2"/>
  <c r="N188" i="1" s="1"/>
  <c r="M188" i="2"/>
  <c r="M188" i="1" s="1"/>
  <c r="L188" i="2"/>
  <c r="K188"/>
  <c r="K188" i="1" s="1"/>
  <c r="J188" i="2"/>
  <c r="J188" i="1" s="1"/>
  <c r="I188" i="2"/>
  <c r="I188" i="1" s="1"/>
  <c r="H188" i="2"/>
  <c r="H188" i="1" s="1"/>
  <c r="G188" i="2"/>
  <c r="G188" i="1" s="1"/>
  <c r="F188" i="2"/>
  <c r="F188" i="1" s="1"/>
  <c r="E188" i="2"/>
  <c r="E188" i="1" s="1"/>
  <c r="D188" i="2"/>
  <c r="D188" i="1" s="1"/>
  <c r="C188" i="2"/>
  <c r="C188" i="1" s="1"/>
  <c r="O187" i="2"/>
  <c r="O187" i="1" s="1"/>
  <c r="N187" i="2"/>
  <c r="N187" i="1" s="1"/>
  <c r="M187" i="2"/>
  <c r="M187" i="1" s="1"/>
  <c r="L187" i="2"/>
  <c r="K187"/>
  <c r="K187" i="1" s="1"/>
  <c r="J187" i="2"/>
  <c r="J187" i="1" s="1"/>
  <c r="I187" i="2"/>
  <c r="I187" i="1" s="1"/>
  <c r="H187" i="2"/>
  <c r="H187" i="1" s="1"/>
  <c r="G187" i="2"/>
  <c r="G187" i="1" s="1"/>
  <c r="F187" i="2"/>
  <c r="F187" i="1" s="1"/>
  <c r="E187" i="2"/>
  <c r="E187" i="1" s="1"/>
  <c r="D187" i="2"/>
  <c r="D187" i="1" s="1"/>
  <c r="C187" i="2"/>
  <c r="C187" i="1" s="1"/>
  <c r="O186" i="2"/>
  <c r="O186" i="1" s="1"/>
  <c r="N186" i="2"/>
  <c r="N186" i="1" s="1"/>
  <c r="M186" i="2"/>
  <c r="M186" i="1" s="1"/>
  <c r="L186" i="2"/>
  <c r="K186"/>
  <c r="K186" i="1" s="1"/>
  <c r="J186" i="2"/>
  <c r="J186" i="1" s="1"/>
  <c r="I186" i="2"/>
  <c r="I186" i="1" s="1"/>
  <c r="H186" i="2"/>
  <c r="H186" i="1" s="1"/>
  <c r="G186" i="2"/>
  <c r="G186" i="1" s="1"/>
  <c r="F186" i="2"/>
  <c r="F186" i="1" s="1"/>
  <c r="E186" i="2"/>
  <c r="E186" i="1" s="1"/>
  <c r="D186" i="2"/>
  <c r="D186" i="1" s="1"/>
  <c r="C186" i="2"/>
  <c r="C186" i="1" s="1"/>
  <c r="O185" i="2"/>
  <c r="O185" i="1" s="1"/>
  <c r="N185" i="2"/>
  <c r="N185" i="1" s="1"/>
  <c r="M185" i="2"/>
  <c r="M185" i="1" s="1"/>
  <c r="L185" i="2"/>
  <c r="K185"/>
  <c r="K185" i="1" s="1"/>
  <c r="J185" i="2"/>
  <c r="J185" i="1" s="1"/>
  <c r="I185" i="2"/>
  <c r="I185" i="1" s="1"/>
  <c r="H185" i="2"/>
  <c r="H185" i="1" s="1"/>
  <c r="G185" i="2"/>
  <c r="G185" i="1" s="1"/>
  <c r="F185" i="2"/>
  <c r="F185" i="1" s="1"/>
  <c r="E185" i="2"/>
  <c r="E185" i="1" s="1"/>
  <c r="D185" i="2"/>
  <c r="D185" i="1" s="1"/>
  <c r="C185" i="2"/>
  <c r="C185" i="1" s="1"/>
  <c r="O184" i="2"/>
  <c r="O184" i="1" s="1"/>
  <c r="N184" i="2"/>
  <c r="N184" i="1" s="1"/>
  <c r="M184" i="2"/>
  <c r="M184" i="1" s="1"/>
  <c r="L184" i="2"/>
  <c r="K184"/>
  <c r="K184" i="1" s="1"/>
  <c r="J184" i="2"/>
  <c r="J184" i="1" s="1"/>
  <c r="I184" i="2"/>
  <c r="I184" i="1" s="1"/>
  <c r="H184" i="2"/>
  <c r="H184" i="1" s="1"/>
  <c r="G184" i="2"/>
  <c r="G184" i="1" s="1"/>
  <c r="F184" i="2"/>
  <c r="F184" i="1" s="1"/>
  <c r="E184" i="2"/>
  <c r="E184" i="1" s="1"/>
  <c r="D184" i="2"/>
  <c r="D184" i="1" s="1"/>
  <c r="C184" i="2"/>
  <c r="C184" i="1" s="1"/>
  <c r="O183" i="2"/>
  <c r="O183" i="1" s="1"/>
  <c r="N183" i="2"/>
  <c r="N183" i="1" s="1"/>
  <c r="M183" i="2"/>
  <c r="M183" i="1" s="1"/>
  <c r="L183" i="2"/>
  <c r="K183"/>
  <c r="K183" i="1" s="1"/>
  <c r="J183" i="2"/>
  <c r="J183" i="1" s="1"/>
  <c r="I183" i="2"/>
  <c r="I183" i="1" s="1"/>
  <c r="H183" i="2"/>
  <c r="H183" i="1" s="1"/>
  <c r="G183" i="2"/>
  <c r="G183" i="1" s="1"/>
  <c r="F183" i="2"/>
  <c r="F183" i="1" s="1"/>
  <c r="E183" i="2"/>
  <c r="E183" i="1" s="1"/>
  <c r="D183" i="2"/>
  <c r="D183" i="1" s="1"/>
  <c r="C183" i="2"/>
  <c r="C183" i="1" s="1"/>
  <c r="O182" i="2"/>
  <c r="O182" i="1" s="1"/>
  <c r="N182" i="2"/>
  <c r="N182" i="1" s="1"/>
  <c r="M182" i="2"/>
  <c r="M182" i="1" s="1"/>
  <c r="L182" i="2"/>
  <c r="K182"/>
  <c r="K182" i="1" s="1"/>
  <c r="J182" i="2"/>
  <c r="J182" i="1" s="1"/>
  <c r="I182" i="2"/>
  <c r="I182" i="1" s="1"/>
  <c r="H182" i="2"/>
  <c r="H182" i="1" s="1"/>
  <c r="G182" i="2"/>
  <c r="G182" i="1" s="1"/>
  <c r="F182" i="2"/>
  <c r="F182" i="1" s="1"/>
  <c r="E182" i="2"/>
  <c r="E182" i="1" s="1"/>
  <c r="D182" i="2"/>
  <c r="D182" i="1" s="1"/>
  <c r="C182" i="2"/>
  <c r="C182" i="1" s="1"/>
  <c r="O181" i="2"/>
  <c r="O181" i="1" s="1"/>
  <c r="N181" i="2"/>
  <c r="N181" i="1" s="1"/>
  <c r="M181" i="2"/>
  <c r="M181" i="1" s="1"/>
  <c r="L181" i="2"/>
  <c r="K181"/>
  <c r="K181" i="1" s="1"/>
  <c r="J181" i="2"/>
  <c r="J181" i="1" s="1"/>
  <c r="I181" i="2"/>
  <c r="I181" i="1" s="1"/>
  <c r="H181" i="2"/>
  <c r="H181" i="1" s="1"/>
  <c r="G181" i="2"/>
  <c r="G181" i="1" s="1"/>
  <c r="F181" i="2"/>
  <c r="F181" i="1" s="1"/>
  <c r="E181" i="2"/>
  <c r="E181" i="1" s="1"/>
  <c r="D181" i="2"/>
  <c r="D181" i="1" s="1"/>
  <c r="C181" i="2"/>
  <c r="C181" i="1" s="1"/>
  <c r="O180" i="2"/>
  <c r="O180" i="1" s="1"/>
  <c r="N180" i="2"/>
  <c r="N180" i="1" s="1"/>
  <c r="M180" i="2"/>
  <c r="M180" i="1" s="1"/>
  <c r="L180" i="2"/>
  <c r="K180"/>
  <c r="K180" i="1" s="1"/>
  <c r="J180" i="2"/>
  <c r="J180" i="1" s="1"/>
  <c r="I180" i="2"/>
  <c r="I180" i="1" s="1"/>
  <c r="H180" i="2"/>
  <c r="H180" i="1" s="1"/>
  <c r="G180" i="2"/>
  <c r="G180" i="1" s="1"/>
  <c r="F180" i="2"/>
  <c r="F180" i="1" s="1"/>
  <c r="E180" i="2"/>
  <c r="E180" i="1" s="1"/>
  <c r="D180" i="2"/>
  <c r="D180" i="1" s="1"/>
  <c r="C180" i="2"/>
  <c r="C180" i="1" s="1"/>
  <c r="O179" i="2"/>
  <c r="O179" i="1" s="1"/>
  <c r="N179" i="2"/>
  <c r="N179" i="1" s="1"/>
  <c r="M179" i="2"/>
  <c r="M179" i="1" s="1"/>
  <c r="L179" i="2"/>
  <c r="K179"/>
  <c r="K179" i="1" s="1"/>
  <c r="J179" i="2"/>
  <c r="J179" i="1" s="1"/>
  <c r="I179" i="2"/>
  <c r="I179" i="1" s="1"/>
  <c r="H179" i="2"/>
  <c r="H179" i="1" s="1"/>
  <c r="G179" i="2"/>
  <c r="G179" i="1" s="1"/>
  <c r="F179" i="2"/>
  <c r="F179" i="1" s="1"/>
  <c r="E179" i="2"/>
  <c r="E179" i="1" s="1"/>
  <c r="D179" i="2"/>
  <c r="D179" i="1" s="1"/>
  <c r="C179" i="2"/>
  <c r="C179" i="1" s="1"/>
  <c r="O178" i="2"/>
  <c r="O178" i="1" s="1"/>
  <c r="N178" i="2"/>
  <c r="N178" i="1" s="1"/>
  <c r="M178" i="2"/>
  <c r="M178" i="1" s="1"/>
  <c r="L178" i="2"/>
  <c r="K178"/>
  <c r="K178" i="1" s="1"/>
  <c r="J178" i="2"/>
  <c r="J178" i="1" s="1"/>
  <c r="I178" i="2"/>
  <c r="I178" i="1" s="1"/>
  <c r="H178" i="2"/>
  <c r="H178" i="1" s="1"/>
  <c r="G178" i="2"/>
  <c r="G178" i="1" s="1"/>
  <c r="F178" i="2"/>
  <c r="F178" i="1" s="1"/>
  <c r="E178" i="2"/>
  <c r="E178" i="1" s="1"/>
  <c r="D178" i="2"/>
  <c r="D178" i="1" s="1"/>
  <c r="C178" i="2"/>
  <c r="C178" i="1" s="1"/>
  <c r="O177" i="2"/>
  <c r="O177" i="1" s="1"/>
  <c r="N177" i="2"/>
  <c r="N177" i="1" s="1"/>
  <c r="M177" i="2"/>
  <c r="M177" i="1" s="1"/>
  <c r="L177" i="2"/>
  <c r="K177"/>
  <c r="K177" i="1" s="1"/>
  <c r="J177" i="2"/>
  <c r="J177" i="1" s="1"/>
  <c r="I177" i="2"/>
  <c r="I177" i="1" s="1"/>
  <c r="H177" i="2"/>
  <c r="H177" i="1" s="1"/>
  <c r="G177" i="2"/>
  <c r="G177" i="1" s="1"/>
  <c r="F177" i="2"/>
  <c r="F177" i="1" s="1"/>
  <c r="E177" i="2"/>
  <c r="E177" i="1" s="1"/>
  <c r="D177" i="2"/>
  <c r="D177" i="1" s="1"/>
  <c r="C177" i="2"/>
  <c r="C177" i="1" s="1"/>
  <c r="O176" i="2"/>
  <c r="O176" i="1" s="1"/>
  <c r="N176" i="2"/>
  <c r="N176" i="1" s="1"/>
  <c r="M176" i="2"/>
  <c r="M176" i="1" s="1"/>
  <c r="L176" i="2"/>
  <c r="K176"/>
  <c r="K176" i="1" s="1"/>
  <c r="J176" i="2"/>
  <c r="J176" i="1" s="1"/>
  <c r="I176" i="2"/>
  <c r="I176" i="1" s="1"/>
  <c r="H176" i="2"/>
  <c r="H176" i="1" s="1"/>
  <c r="G176" i="2"/>
  <c r="G176" i="1" s="1"/>
  <c r="F176" i="2"/>
  <c r="F176" i="1" s="1"/>
  <c r="E176" i="2"/>
  <c r="E176" i="1" s="1"/>
  <c r="D176" i="2"/>
  <c r="D176" i="1" s="1"/>
  <c r="C176" i="2"/>
  <c r="C176" i="1" s="1"/>
  <c r="O175" i="2"/>
  <c r="O175" i="1" s="1"/>
  <c r="N175" i="2"/>
  <c r="N175" i="1" s="1"/>
  <c r="M175" i="2"/>
  <c r="M175" i="1" s="1"/>
  <c r="L175" i="2"/>
  <c r="K175"/>
  <c r="K175" i="1" s="1"/>
  <c r="J175" i="2"/>
  <c r="J175" i="1" s="1"/>
  <c r="I175" i="2"/>
  <c r="I175" i="1" s="1"/>
  <c r="H175" i="2"/>
  <c r="H175" i="1" s="1"/>
  <c r="G175" i="2"/>
  <c r="G175" i="1" s="1"/>
  <c r="F175" i="2"/>
  <c r="F175" i="1" s="1"/>
  <c r="E175" i="2"/>
  <c r="E175" i="1" s="1"/>
  <c r="D175" i="2"/>
  <c r="D175" i="1" s="1"/>
  <c r="C175" i="2"/>
  <c r="C175" i="1" s="1"/>
  <c r="O174" i="2"/>
  <c r="O174" i="1" s="1"/>
  <c r="N174" i="2"/>
  <c r="N174" i="1" s="1"/>
  <c r="M174" i="2"/>
  <c r="M174" i="1" s="1"/>
  <c r="L174" i="2"/>
  <c r="K174"/>
  <c r="K174" i="1" s="1"/>
  <c r="J174" i="2"/>
  <c r="J174" i="1" s="1"/>
  <c r="I174" i="2"/>
  <c r="I174" i="1" s="1"/>
  <c r="H174" i="2"/>
  <c r="H174" i="1" s="1"/>
  <c r="G174" i="2"/>
  <c r="G174" i="1" s="1"/>
  <c r="F174" i="2"/>
  <c r="F174" i="1" s="1"/>
  <c r="E174" i="2"/>
  <c r="E174" i="1" s="1"/>
  <c r="D174" i="2"/>
  <c r="D174" i="1" s="1"/>
  <c r="C174" i="2"/>
  <c r="C174" i="1" s="1"/>
  <c r="O173" i="2"/>
  <c r="O173" i="1" s="1"/>
  <c r="N173" i="2"/>
  <c r="N173" i="1" s="1"/>
  <c r="M173" i="2"/>
  <c r="M173" i="1" s="1"/>
  <c r="L173" i="2"/>
  <c r="K173"/>
  <c r="K173" i="1" s="1"/>
  <c r="J173" i="2"/>
  <c r="J173" i="1" s="1"/>
  <c r="I173" i="2"/>
  <c r="I173" i="1" s="1"/>
  <c r="H173" i="2"/>
  <c r="H173" i="1" s="1"/>
  <c r="G173" i="2"/>
  <c r="G173" i="1" s="1"/>
  <c r="F173" i="2"/>
  <c r="F173" i="1" s="1"/>
  <c r="E173" i="2"/>
  <c r="E173" i="1" s="1"/>
  <c r="D173" i="2"/>
  <c r="D173" i="1" s="1"/>
  <c r="C173" i="2"/>
  <c r="C173" i="1" s="1"/>
  <c r="O172" i="2"/>
  <c r="O172" i="1" s="1"/>
  <c r="N172" i="2"/>
  <c r="N172" i="1" s="1"/>
  <c r="M172" i="2"/>
  <c r="M172" i="1" s="1"/>
  <c r="L172" i="2"/>
  <c r="K172"/>
  <c r="K172" i="1" s="1"/>
  <c r="J172" i="2"/>
  <c r="J172" i="1" s="1"/>
  <c r="I172" i="2"/>
  <c r="I172" i="1" s="1"/>
  <c r="H172" i="2"/>
  <c r="H172" i="1" s="1"/>
  <c r="G172" i="2"/>
  <c r="G172" i="1" s="1"/>
  <c r="F172" i="2"/>
  <c r="F172" i="1" s="1"/>
  <c r="E172" i="2"/>
  <c r="E172" i="1" s="1"/>
  <c r="D172" i="2"/>
  <c r="D172" i="1" s="1"/>
  <c r="C172" i="2"/>
  <c r="C172" i="1" s="1"/>
  <c r="O171" i="2"/>
  <c r="O171" i="1" s="1"/>
  <c r="N171" i="2"/>
  <c r="N171" i="1" s="1"/>
  <c r="M171" i="2"/>
  <c r="M171" i="1" s="1"/>
  <c r="L171" i="2"/>
  <c r="K171"/>
  <c r="K171" i="1" s="1"/>
  <c r="J171" i="2"/>
  <c r="J171" i="1" s="1"/>
  <c r="I171" i="2"/>
  <c r="I171" i="1" s="1"/>
  <c r="H171" i="2"/>
  <c r="H171" i="1" s="1"/>
  <c r="G171" i="2"/>
  <c r="G171" i="1" s="1"/>
  <c r="F171" i="2"/>
  <c r="F171" i="1" s="1"/>
  <c r="E171" i="2"/>
  <c r="E171" i="1" s="1"/>
  <c r="D171" i="2"/>
  <c r="D171" i="1" s="1"/>
  <c r="C171" i="2"/>
  <c r="C171" i="1" s="1"/>
  <c r="O170" i="2"/>
  <c r="O170" i="1" s="1"/>
  <c r="N170" i="2"/>
  <c r="N170" i="1" s="1"/>
  <c r="M170" i="2"/>
  <c r="M170" i="1" s="1"/>
  <c r="L170" i="2"/>
  <c r="K170"/>
  <c r="K170" i="1" s="1"/>
  <c r="J170" i="2"/>
  <c r="J170" i="1" s="1"/>
  <c r="I170" i="2"/>
  <c r="I170" i="1" s="1"/>
  <c r="H170" i="2"/>
  <c r="H170" i="1" s="1"/>
  <c r="G170" i="2"/>
  <c r="G170" i="1" s="1"/>
  <c r="F170" i="2"/>
  <c r="F170" i="1" s="1"/>
  <c r="E170" i="2"/>
  <c r="E170" i="1" s="1"/>
  <c r="D170" i="2"/>
  <c r="D170" i="1" s="1"/>
  <c r="C170" i="2"/>
  <c r="C170" i="1" s="1"/>
  <c r="O169" i="2"/>
  <c r="O169" i="1" s="1"/>
  <c r="N169" i="2"/>
  <c r="N169" i="1" s="1"/>
  <c r="M169" i="2"/>
  <c r="M169" i="1" s="1"/>
  <c r="L169" i="2"/>
  <c r="K169"/>
  <c r="K169" i="1" s="1"/>
  <c r="J169" i="2"/>
  <c r="J169" i="1" s="1"/>
  <c r="I169" i="2"/>
  <c r="I169" i="1" s="1"/>
  <c r="H169" i="2"/>
  <c r="H169" i="1" s="1"/>
  <c r="G169" i="2"/>
  <c r="G169" i="1" s="1"/>
  <c r="F169" i="2"/>
  <c r="F169" i="1" s="1"/>
  <c r="E169" i="2"/>
  <c r="E169" i="1" s="1"/>
  <c r="D169" i="2"/>
  <c r="D169" i="1" s="1"/>
  <c r="C169" i="2"/>
  <c r="C169" i="1" s="1"/>
  <c r="O168" i="2"/>
  <c r="O168" i="1" s="1"/>
  <c r="N168" i="2"/>
  <c r="N168" i="1" s="1"/>
  <c r="M168" i="2"/>
  <c r="M168" i="1" s="1"/>
  <c r="L168" i="2"/>
  <c r="K168"/>
  <c r="K168" i="1" s="1"/>
  <c r="J168" i="2"/>
  <c r="J168" i="1" s="1"/>
  <c r="I168" i="2"/>
  <c r="I168" i="1" s="1"/>
  <c r="H168" i="2"/>
  <c r="H168" i="1" s="1"/>
  <c r="G168" i="2"/>
  <c r="G168" i="1" s="1"/>
  <c r="F168" i="2"/>
  <c r="F168" i="1" s="1"/>
  <c r="E168" i="2"/>
  <c r="E168" i="1" s="1"/>
  <c r="D168" i="2"/>
  <c r="D168" i="1" s="1"/>
  <c r="C168" i="2"/>
  <c r="C168" i="1" s="1"/>
  <c r="O167" i="2"/>
  <c r="O167" i="1" s="1"/>
  <c r="N167" i="2"/>
  <c r="N167" i="1" s="1"/>
  <c r="M167" i="2"/>
  <c r="M167" i="1" s="1"/>
  <c r="L167" i="2"/>
  <c r="K167"/>
  <c r="K167" i="1" s="1"/>
  <c r="J167" i="2"/>
  <c r="J167" i="1" s="1"/>
  <c r="I167" i="2"/>
  <c r="I167" i="1" s="1"/>
  <c r="H167" i="2"/>
  <c r="H167" i="1" s="1"/>
  <c r="G167" i="2"/>
  <c r="G167" i="1" s="1"/>
  <c r="F167" i="2"/>
  <c r="F167" i="1" s="1"/>
  <c r="E167" i="2"/>
  <c r="E167" i="1" s="1"/>
  <c r="D167" i="2"/>
  <c r="D167" i="1" s="1"/>
  <c r="C167" i="2"/>
  <c r="C167" i="1" s="1"/>
  <c r="O166" i="2"/>
  <c r="O166" i="1" s="1"/>
  <c r="N166" i="2"/>
  <c r="N166" i="1" s="1"/>
  <c r="M166" i="2"/>
  <c r="M166" i="1" s="1"/>
  <c r="L166" i="2"/>
  <c r="K166"/>
  <c r="K166" i="1" s="1"/>
  <c r="J166" i="2"/>
  <c r="J166" i="1" s="1"/>
  <c r="I166" i="2"/>
  <c r="I166" i="1" s="1"/>
  <c r="H166" i="2"/>
  <c r="H166" i="1" s="1"/>
  <c r="G166" i="2"/>
  <c r="G166" i="1" s="1"/>
  <c r="F166" i="2"/>
  <c r="F166" i="1" s="1"/>
  <c r="E166" i="2"/>
  <c r="E166" i="1" s="1"/>
  <c r="D166" i="2"/>
  <c r="D166" i="1" s="1"/>
  <c r="C166" i="2"/>
  <c r="C166" i="1" s="1"/>
  <c r="O165" i="2"/>
  <c r="O165" i="1" s="1"/>
  <c r="N165" i="2"/>
  <c r="N165" i="1" s="1"/>
  <c r="M165" i="2"/>
  <c r="M165" i="1" s="1"/>
  <c r="L165" i="2"/>
  <c r="K165"/>
  <c r="K165" i="1" s="1"/>
  <c r="J165" i="2"/>
  <c r="J165" i="1" s="1"/>
  <c r="I165" i="2"/>
  <c r="I165" i="1" s="1"/>
  <c r="H165" i="2"/>
  <c r="H165" i="1" s="1"/>
  <c r="G165" i="2"/>
  <c r="G165" i="1" s="1"/>
  <c r="F165" i="2"/>
  <c r="F165" i="1" s="1"/>
  <c r="E165" i="2"/>
  <c r="E165" i="1" s="1"/>
  <c r="D165" i="2"/>
  <c r="D165" i="1" s="1"/>
  <c r="C165" i="2"/>
  <c r="C165" i="1" s="1"/>
  <c r="O164" i="2"/>
  <c r="O164" i="1" s="1"/>
  <c r="N164" i="2"/>
  <c r="N164" i="1" s="1"/>
  <c r="M164" i="2"/>
  <c r="M164" i="1" s="1"/>
  <c r="L164" i="2"/>
  <c r="K164"/>
  <c r="K164" i="1" s="1"/>
  <c r="J164" i="2"/>
  <c r="J164" i="1" s="1"/>
  <c r="I164" i="2"/>
  <c r="I164" i="1" s="1"/>
  <c r="H164" i="2"/>
  <c r="H164" i="1" s="1"/>
  <c r="G164" i="2"/>
  <c r="G164" i="1" s="1"/>
  <c r="F164" i="2"/>
  <c r="F164" i="1" s="1"/>
  <c r="E164" i="2"/>
  <c r="E164" i="1" s="1"/>
  <c r="D164" i="2"/>
  <c r="D164" i="1" s="1"/>
  <c r="C164" i="2"/>
  <c r="C164" i="1" s="1"/>
  <c r="O163" i="2"/>
  <c r="O163" i="1" s="1"/>
  <c r="N163" i="2"/>
  <c r="N163" i="1" s="1"/>
  <c r="M163" i="2"/>
  <c r="M163" i="1" s="1"/>
  <c r="L163" i="2"/>
  <c r="K163"/>
  <c r="K163" i="1" s="1"/>
  <c r="J163" i="2"/>
  <c r="J163" i="1" s="1"/>
  <c r="I163" i="2"/>
  <c r="I163" i="1" s="1"/>
  <c r="H163" i="2"/>
  <c r="H163" i="1" s="1"/>
  <c r="G163" i="2"/>
  <c r="G163" i="1" s="1"/>
  <c r="F163" i="2"/>
  <c r="F163" i="1" s="1"/>
  <c r="E163" i="2"/>
  <c r="E163" i="1" s="1"/>
  <c r="D163" i="2"/>
  <c r="D163" i="1" s="1"/>
  <c r="C163" i="2"/>
  <c r="C163" i="1" s="1"/>
  <c r="O162" i="2"/>
  <c r="O162" i="1" s="1"/>
  <c r="N162" i="2"/>
  <c r="N162" i="1" s="1"/>
  <c r="M162" i="2"/>
  <c r="M162" i="1" s="1"/>
  <c r="L162" i="2"/>
  <c r="K162"/>
  <c r="K162" i="1" s="1"/>
  <c r="J162" i="2"/>
  <c r="J162" i="1" s="1"/>
  <c r="I162" i="2"/>
  <c r="I162" i="1" s="1"/>
  <c r="H162" i="2"/>
  <c r="H162" i="1" s="1"/>
  <c r="G162" i="2"/>
  <c r="G162" i="1" s="1"/>
  <c r="F162" i="2"/>
  <c r="F162" i="1" s="1"/>
  <c r="E162" i="2"/>
  <c r="E162" i="1" s="1"/>
  <c r="D162" i="2"/>
  <c r="D162" i="1" s="1"/>
  <c r="C162" i="2"/>
  <c r="C162" i="1" s="1"/>
  <c r="O161" i="2"/>
  <c r="O161" i="1" s="1"/>
  <c r="N161" i="2"/>
  <c r="N161" i="1" s="1"/>
  <c r="M161" i="2"/>
  <c r="M161" i="1" s="1"/>
  <c r="L161" i="2"/>
  <c r="K161"/>
  <c r="K161" i="1" s="1"/>
  <c r="J161" i="2"/>
  <c r="J161" i="1" s="1"/>
  <c r="I161" i="2"/>
  <c r="I161" i="1" s="1"/>
  <c r="H161" i="2"/>
  <c r="H161" i="1" s="1"/>
  <c r="G161" i="2"/>
  <c r="G161" i="1" s="1"/>
  <c r="F161" i="2"/>
  <c r="F161" i="1" s="1"/>
  <c r="E161" i="2"/>
  <c r="E161" i="1" s="1"/>
  <c r="D161" i="2"/>
  <c r="D161" i="1" s="1"/>
  <c r="C161" i="2"/>
  <c r="C161" i="1" s="1"/>
  <c r="O160" i="2"/>
  <c r="O160" i="1" s="1"/>
  <c r="N160" i="2"/>
  <c r="N160" i="1" s="1"/>
  <c r="M160" i="2"/>
  <c r="M160" i="1" s="1"/>
  <c r="L160" i="2"/>
  <c r="K160"/>
  <c r="K160" i="1" s="1"/>
  <c r="J160" i="2"/>
  <c r="J160" i="1" s="1"/>
  <c r="I160" i="2"/>
  <c r="I160" i="1" s="1"/>
  <c r="H160" i="2"/>
  <c r="H160" i="1" s="1"/>
  <c r="G160" i="2"/>
  <c r="G160" i="1" s="1"/>
  <c r="F160" i="2"/>
  <c r="F160" i="1" s="1"/>
  <c r="E160" i="2"/>
  <c r="E160" i="1" s="1"/>
  <c r="D160" i="2"/>
  <c r="D160" i="1" s="1"/>
  <c r="C160" i="2"/>
  <c r="C160" i="1" s="1"/>
  <c r="O159" i="2"/>
  <c r="O159" i="1" s="1"/>
  <c r="N159" i="2"/>
  <c r="N159" i="1" s="1"/>
  <c r="M159" i="2"/>
  <c r="M159" i="1" s="1"/>
  <c r="L159" i="2"/>
  <c r="K159"/>
  <c r="K159" i="1" s="1"/>
  <c r="J159" i="2"/>
  <c r="J159" i="1" s="1"/>
  <c r="I159" i="2"/>
  <c r="I159" i="1" s="1"/>
  <c r="H159" i="2"/>
  <c r="H159" i="1" s="1"/>
  <c r="G159" i="2"/>
  <c r="G159" i="1" s="1"/>
  <c r="F159" i="2"/>
  <c r="F159" i="1" s="1"/>
  <c r="E159" i="2"/>
  <c r="E159" i="1" s="1"/>
  <c r="D159" i="2"/>
  <c r="D159" i="1" s="1"/>
  <c r="C159" i="2"/>
  <c r="C159" i="1" s="1"/>
  <c r="O158" i="2"/>
  <c r="O158" i="1" s="1"/>
  <c r="N158" i="2"/>
  <c r="N158" i="1" s="1"/>
  <c r="M158" i="2"/>
  <c r="M158" i="1" s="1"/>
  <c r="L158" i="2"/>
  <c r="K158"/>
  <c r="K158" i="1" s="1"/>
  <c r="J158" i="2"/>
  <c r="J158" i="1" s="1"/>
  <c r="I158" i="2"/>
  <c r="I158" i="1" s="1"/>
  <c r="H158" i="2"/>
  <c r="H158" i="1" s="1"/>
  <c r="G158" i="2"/>
  <c r="G158" i="1" s="1"/>
  <c r="F158" i="2"/>
  <c r="F158" i="1" s="1"/>
  <c r="E158" i="2"/>
  <c r="E158" i="1" s="1"/>
  <c r="D158" i="2"/>
  <c r="D158" i="1" s="1"/>
  <c r="C158" i="2"/>
  <c r="C158" i="1" s="1"/>
  <c r="O157" i="2"/>
  <c r="O157" i="1" s="1"/>
  <c r="N157" i="2"/>
  <c r="N157" i="1" s="1"/>
  <c r="M157" i="2"/>
  <c r="M157" i="1" s="1"/>
  <c r="L157" i="2"/>
  <c r="K157"/>
  <c r="K157" i="1" s="1"/>
  <c r="J157" i="2"/>
  <c r="J157" i="1" s="1"/>
  <c r="I157" i="2"/>
  <c r="I157" i="1" s="1"/>
  <c r="H157" i="2"/>
  <c r="H157" i="1" s="1"/>
  <c r="G157" i="2"/>
  <c r="G157" i="1" s="1"/>
  <c r="F157" i="2"/>
  <c r="F157" i="1" s="1"/>
  <c r="E157" i="2"/>
  <c r="E157" i="1" s="1"/>
  <c r="D157" i="2"/>
  <c r="D157" i="1" s="1"/>
  <c r="C157" i="2"/>
  <c r="C157" i="1" s="1"/>
  <c r="O156" i="2"/>
  <c r="O156" i="1" s="1"/>
  <c r="N156" i="2"/>
  <c r="N156" i="1" s="1"/>
  <c r="M156" i="2"/>
  <c r="M156" i="1" s="1"/>
  <c r="L156" i="2"/>
  <c r="K156"/>
  <c r="K156" i="1" s="1"/>
  <c r="J156" i="2"/>
  <c r="J156" i="1" s="1"/>
  <c r="I156" i="2"/>
  <c r="I156" i="1" s="1"/>
  <c r="H156" i="2"/>
  <c r="H156" i="1" s="1"/>
  <c r="G156" i="2"/>
  <c r="G156" i="1" s="1"/>
  <c r="F156" i="2"/>
  <c r="F156" i="1" s="1"/>
  <c r="E156" i="2"/>
  <c r="E156" i="1" s="1"/>
  <c r="D156" i="2"/>
  <c r="D156" i="1" s="1"/>
  <c r="C156" i="2"/>
  <c r="C156" i="1" s="1"/>
  <c r="O155" i="2"/>
  <c r="O155" i="1" s="1"/>
  <c r="N155" i="2"/>
  <c r="N155" i="1" s="1"/>
  <c r="M155" i="2"/>
  <c r="M155" i="1" s="1"/>
  <c r="L155" i="2"/>
  <c r="K155"/>
  <c r="K155" i="1" s="1"/>
  <c r="J155" i="2"/>
  <c r="J155" i="1" s="1"/>
  <c r="I155" i="2"/>
  <c r="I155" i="1" s="1"/>
  <c r="H155" i="2"/>
  <c r="H155" i="1" s="1"/>
  <c r="G155" i="2"/>
  <c r="G155" i="1" s="1"/>
  <c r="F155" i="2"/>
  <c r="F155" i="1" s="1"/>
  <c r="E155" i="2"/>
  <c r="E155" i="1" s="1"/>
  <c r="D155" i="2"/>
  <c r="D155" i="1" s="1"/>
  <c r="C155" i="2"/>
  <c r="C155" i="1" s="1"/>
  <c r="O154" i="2"/>
  <c r="O154" i="1" s="1"/>
  <c r="N154" i="2"/>
  <c r="N154" i="1" s="1"/>
  <c r="M154" i="2"/>
  <c r="M154" i="1" s="1"/>
  <c r="L154" i="2"/>
  <c r="K154"/>
  <c r="K154" i="1" s="1"/>
  <c r="J154" i="2"/>
  <c r="J154" i="1" s="1"/>
  <c r="I154" i="2"/>
  <c r="I154" i="1" s="1"/>
  <c r="H154" i="2"/>
  <c r="H154" i="1" s="1"/>
  <c r="G154" i="2"/>
  <c r="G154" i="1" s="1"/>
  <c r="F154" i="2"/>
  <c r="F154" i="1" s="1"/>
  <c r="E154" i="2"/>
  <c r="E154" i="1" s="1"/>
  <c r="D154" i="2"/>
  <c r="D154" i="1" s="1"/>
  <c r="C154" i="2"/>
  <c r="C154" i="1" s="1"/>
  <c r="O153" i="2"/>
  <c r="O153" i="1" s="1"/>
  <c r="N153" i="2"/>
  <c r="N153" i="1" s="1"/>
  <c r="M153" i="2"/>
  <c r="M153" i="1" s="1"/>
  <c r="L153" i="2"/>
  <c r="K153"/>
  <c r="K153" i="1" s="1"/>
  <c r="J153" i="2"/>
  <c r="J153" i="1" s="1"/>
  <c r="I153" i="2"/>
  <c r="I153" i="1" s="1"/>
  <c r="H153" i="2"/>
  <c r="H153" i="1" s="1"/>
  <c r="G153" i="2"/>
  <c r="G153" i="1" s="1"/>
  <c r="F153" i="2"/>
  <c r="F153" i="1" s="1"/>
  <c r="E153" i="2"/>
  <c r="E153" i="1" s="1"/>
  <c r="D153" i="2"/>
  <c r="D153" i="1" s="1"/>
  <c r="C153" i="2"/>
  <c r="C153" i="1" s="1"/>
  <c r="O152" i="2"/>
  <c r="O152" i="1" s="1"/>
  <c r="N152" i="2"/>
  <c r="N152" i="1" s="1"/>
  <c r="M152" i="2"/>
  <c r="M152" i="1" s="1"/>
  <c r="L152" i="2"/>
  <c r="K152"/>
  <c r="K152" i="1" s="1"/>
  <c r="J152" i="2"/>
  <c r="J152" i="1" s="1"/>
  <c r="I152" i="2"/>
  <c r="I152" i="1" s="1"/>
  <c r="H152" i="2"/>
  <c r="H152" i="1" s="1"/>
  <c r="G152" i="2"/>
  <c r="G152" i="1" s="1"/>
  <c r="F152" i="2"/>
  <c r="F152" i="1" s="1"/>
  <c r="E152" i="2"/>
  <c r="E152" i="1" s="1"/>
  <c r="D152" i="2"/>
  <c r="D152" i="1" s="1"/>
  <c r="C152" i="2"/>
  <c r="C152" i="1" s="1"/>
  <c r="O151" i="2"/>
  <c r="O151" i="1" s="1"/>
  <c r="N151" i="2"/>
  <c r="N151" i="1" s="1"/>
  <c r="M151" i="2"/>
  <c r="M151" i="1" s="1"/>
  <c r="L151" i="2"/>
  <c r="K151"/>
  <c r="K151" i="1" s="1"/>
  <c r="J151" i="2"/>
  <c r="J151" i="1" s="1"/>
  <c r="I151" i="2"/>
  <c r="I151" i="1" s="1"/>
  <c r="H151" i="2"/>
  <c r="H151" i="1" s="1"/>
  <c r="G151" i="2"/>
  <c r="G151" i="1" s="1"/>
  <c r="F151" i="2"/>
  <c r="F151" i="1" s="1"/>
  <c r="E151" i="2"/>
  <c r="E151" i="1" s="1"/>
  <c r="D151" i="2"/>
  <c r="D151" i="1" s="1"/>
  <c r="C151" i="2"/>
  <c r="C151" i="1" s="1"/>
  <c r="O150" i="2"/>
  <c r="O150" i="1" s="1"/>
  <c r="N150" i="2"/>
  <c r="N150" i="1" s="1"/>
  <c r="M150" i="2"/>
  <c r="M150" i="1" s="1"/>
  <c r="L150" i="2"/>
  <c r="K150"/>
  <c r="K150" i="1" s="1"/>
  <c r="J150" i="2"/>
  <c r="J150" i="1" s="1"/>
  <c r="I150" i="2"/>
  <c r="I150" i="1" s="1"/>
  <c r="H150" i="2"/>
  <c r="H150" i="1" s="1"/>
  <c r="G150" i="2"/>
  <c r="G150" i="1" s="1"/>
  <c r="F150" i="2"/>
  <c r="F150" i="1" s="1"/>
  <c r="E150" i="2"/>
  <c r="E150" i="1" s="1"/>
  <c r="D150" i="2"/>
  <c r="D150" i="1" s="1"/>
  <c r="C150" i="2"/>
  <c r="C150" i="1" s="1"/>
  <c r="O149" i="2"/>
  <c r="O149" i="1" s="1"/>
  <c r="N149" i="2"/>
  <c r="N149" i="1" s="1"/>
  <c r="M149" i="2"/>
  <c r="M149" i="1" s="1"/>
  <c r="L149" i="2"/>
  <c r="K149"/>
  <c r="K149" i="1" s="1"/>
  <c r="J149" i="2"/>
  <c r="J149" i="1" s="1"/>
  <c r="I149" i="2"/>
  <c r="I149" i="1" s="1"/>
  <c r="H149" i="2"/>
  <c r="H149" i="1" s="1"/>
  <c r="G149" i="2"/>
  <c r="G149" i="1" s="1"/>
  <c r="F149" i="2"/>
  <c r="F149" i="1" s="1"/>
  <c r="E149" i="2"/>
  <c r="E149" i="1" s="1"/>
  <c r="D149" i="2"/>
  <c r="D149" i="1" s="1"/>
  <c r="C149" i="2"/>
  <c r="C149" i="1" s="1"/>
  <c r="O148" i="2"/>
  <c r="O148" i="1" s="1"/>
  <c r="N148" i="2"/>
  <c r="N148" i="1" s="1"/>
  <c r="M148" i="2"/>
  <c r="M148" i="1" s="1"/>
  <c r="L148" i="2"/>
  <c r="K148"/>
  <c r="K148" i="1" s="1"/>
  <c r="J148" i="2"/>
  <c r="J148" i="1" s="1"/>
  <c r="I148" i="2"/>
  <c r="I148" i="1" s="1"/>
  <c r="H148" i="2"/>
  <c r="H148" i="1" s="1"/>
  <c r="G148" i="2"/>
  <c r="G148" i="1" s="1"/>
  <c r="F148" i="2"/>
  <c r="F148" i="1" s="1"/>
  <c r="E148" i="2"/>
  <c r="E148" i="1" s="1"/>
  <c r="D148" i="2"/>
  <c r="D148" i="1" s="1"/>
  <c r="C148" i="2"/>
  <c r="C148" i="1" s="1"/>
  <c r="O147" i="2"/>
  <c r="O147" i="1" s="1"/>
  <c r="N147" i="2"/>
  <c r="N147" i="1" s="1"/>
  <c r="M147" i="2"/>
  <c r="M147" i="1" s="1"/>
  <c r="L147" i="2"/>
  <c r="K147"/>
  <c r="K147" i="1" s="1"/>
  <c r="J147" i="2"/>
  <c r="J147" i="1" s="1"/>
  <c r="I147" i="2"/>
  <c r="I147" i="1" s="1"/>
  <c r="H147" i="2"/>
  <c r="H147" i="1" s="1"/>
  <c r="G147" i="2"/>
  <c r="G147" i="1" s="1"/>
  <c r="F147" i="2"/>
  <c r="F147" i="1" s="1"/>
  <c r="E147" i="2"/>
  <c r="E147" i="1" s="1"/>
  <c r="D147" i="2"/>
  <c r="D147" i="1" s="1"/>
  <c r="C147" i="2"/>
  <c r="C147" i="1" s="1"/>
  <c r="O146" i="2"/>
  <c r="O146" i="1" s="1"/>
  <c r="N146" i="2"/>
  <c r="N146" i="1" s="1"/>
  <c r="M146" i="2"/>
  <c r="M146" i="1" s="1"/>
  <c r="L146" i="2"/>
  <c r="K146"/>
  <c r="K146" i="1" s="1"/>
  <c r="J146" i="2"/>
  <c r="J146" i="1" s="1"/>
  <c r="I146" i="2"/>
  <c r="I146" i="1" s="1"/>
  <c r="H146" i="2"/>
  <c r="H146" i="1" s="1"/>
  <c r="G146" i="2"/>
  <c r="G146" i="1" s="1"/>
  <c r="F146" i="2"/>
  <c r="F146" i="1" s="1"/>
  <c r="E146" i="2"/>
  <c r="E146" i="1" s="1"/>
  <c r="D146" i="2"/>
  <c r="D146" i="1" s="1"/>
  <c r="C146" i="2"/>
  <c r="C146" i="1" s="1"/>
  <c r="O145" i="2"/>
  <c r="O145" i="1" s="1"/>
  <c r="N145" i="2"/>
  <c r="N145" i="1" s="1"/>
  <c r="M145" i="2"/>
  <c r="M145" i="1" s="1"/>
  <c r="L145" i="2"/>
  <c r="K145"/>
  <c r="K145" i="1" s="1"/>
  <c r="J145" i="2"/>
  <c r="J145" i="1" s="1"/>
  <c r="I145" i="2"/>
  <c r="I145" i="1" s="1"/>
  <c r="H145" i="2"/>
  <c r="H145" i="1" s="1"/>
  <c r="G145" i="2"/>
  <c r="G145" i="1" s="1"/>
  <c r="F145" i="2"/>
  <c r="F145" i="1" s="1"/>
  <c r="E145" i="2"/>
  <c r="E145" i="1" s="1"/>
  <c r="D145" i="2"/>
  <c r="D145" i="1" s="1"/>
  <c r="C145" i="2"/>
  <c r="C145" i="1" s="1"/>
  <c r="O144" i="2"/>
  <c r="O144" i="1" s="1"/>
  <c r="N144" i="2"/>
  <c r="N144" i="1" s="1"/>
  <c r="M144" i="2"/>
  <c r="M144" i="1" s="1"/>
  <c r="L144" i="2"/>
  <c r="K144"/>
  <c r="K144" i="1" s="1"/>
  <c r="J144" i="2"/>
  <c r="J144" i="1" s="1"/>
  <c r="I144" i="2"/>
  <c r="I144" i="1" s="1"/>
  <c r="H144" i="2"/>
  <c r="H144" i="1" s="1"/>
  <c r="G144" i="2"/>
  <c r="G144" i="1" s="1"/>
  <c r="F144" i="2"/>
  <c r="F144" i="1" s="1"/>
  <c r="E144" i="2"/>
  <c r="E144" i="1" s="1"/>
  <c r="D144" i="2"/>
  <c r="D144" i="1" s="1"/>
  <c r="C144" i="2"/>
  <c r="C144" i="1" s="1"/>
  <c r="O143" i="2"/>
  <c r="O143" i="1" s="1"/>
  <c r="N143" i="2"/>
  <c r="N143" i="1" s="1"/>
  <c r="M143" i="2"/>
  <c r="M143" i="1" s="1"/>
  <c r="L143" i="2"/>
  <c r="K143"/>
  <c r="K143" i="1" s="1"/>
  <c r="J143" i="2"/>
  <c r="J143" i="1" s="1"/>
  <c r="I143" i="2"/>
  <c r="I143" i="1" s="1"/>
  <c r="H143" i="2"/>
  <c r="H143" i="1" s="1"/>
  <c r="G143" i="2"/>
  <c r="G143" i="1" s="1"/>
  <c r="F143" i="2"/>
  <c r="F143" i="1" s="1"/>
  <c r="E143" i="2"/>
  <c r="E143" i="1" s="1"/>
  <c r="D143" i="2"/>
  <c r="D143" i="1" s="1"/>
  <c r="C143" i="2"/>
  <c r="C143" i="1" s="1"/>
  <c r="O142" i="2"/>
  <c r="O142" i="1" s="1"/>
  <c r="N142" i="2"/>
  <c r="N142" i="1" s="1"/>
  <c r="M142" i="2"/>
  <c r="M142" i="1" s="1"/>
  <c r="L142" i="2"/>
  <c r="K142"/>
  <c r="K142" i="1" s="1"/>
  <c r="J142" i="2"/>
  <c r="J142" i="1" s="1"/>
  <c r="I142" i="2"/>
  <c r="I142" i="1" s="1"/>
  <c r="H142" i="2"/>
  <c r="H142" i="1" s="1"/>
  <c r="G142" i="2"/>
  <c r="G142" i="1" s="1"/>
  <c r="F142" i="2"/>
  <c r="F142" i="1" s="1"/>
  <c r="E142" i="2"/>
  <c r="E142" i="1" s="1"/>
  <c r="D142" i="2"/>
  <c r="D142" i="1" s="1"/>
  <c r="C142" i="2"/>
  <c r="C142" i="1" s="1"/>
  <c r="O141" i="2"/>
  <c r="O141" i="1" s="1"/>
  <c r="N141" i="2"/>
  <c r="N141" i="1" s="1"/>
  <c r="M141" i="2"/>
  <c r="M141" i="1" s="1"/>
  <c r="L141" i="2"/>
  <c r="K141"/>
  <c r="K141" i="1" s="1"/>
  <c r="J141" i="2"/>
  <c r="J141" i="1" s="1"/>
  <c r="I141" i="2"/>
  <c r="I141" i="1" s="1"/>
  <c r="H141" i="2"/>
  <c r="H141" i="1" s="1"/>
  <c r="G141" i="2"/>
  <c r="G141" i="1" s="1"/>
  <c r="F141" i="2"/>
  <c r="F141" i="1" s="1"/>
  <c r="E141" i="2"/>
  <c r="E141" i="1" s="1"/>
  <c r="D141" i="2"/>
  <c r="D141" i="1" s="1"/>
  <c r="C141" i="2"/>
  <c r="C141" i="1" s="1"/>
  <c r="O140" i="2"/>
  <c r="O140" i="1" s="1"/>
  <c r="N140" i="2"/>
  <c r="N140" i="1" s="1"/>
  <c r="M140" i="2"/>
  <c r="M140" i="1" s="1"/>
  <c r="L140" i="2"/>
  <c r="K140"/>
  <c r="K140" i="1" s="1"/>
  <c r="J140" i="2"/>
  <c r="J140" i="1" s="1"/>
  <c r="I140" i="2"/>
  <c r="I140" i="1" s="1"/>
  <c r="H140" i="2"/>
  <c r="H140" i="1" s="1"/>
  <c r="G140" i="2"/>
  <c r="G140" i="1" s="1"/>
  <c r="F140" i="2"/>
  <c r="F140" i="1" s="1"/>
  <c r="E140" i="2"/>
  <c r="E140" i="1" s="1"/>
  <c r="D140" i="2"/>
  <c r="D140" i="1" s="1"/>
  <c r="C140" i="2"/>
  <c r="C140" i="1" s="1"/>
  <c r="O139" i="2"/>
  <c r="O139" i="1" s="1"/>
  <c r="N139" i="2"/>
  <c r="N139" i="1" s="1"/>
  <c r="M139" i="2"/>
  <c r="M139" i="1" s="1"/>
  <c r="L139" i="2"/>
  <c r="K139"/>
  <c r="K139" i="1" s="1"/>
  <c r="J139" i="2"/>
  <c r="J139" i="1" s="1"/>
  <c r="I139" i="2"/>
  <c r="I139" i="1" s="1"/>
  <c r="H139" i="2"/>
  <c r="H139" i="1" s="1"/>
  <c r="G139" i="2"/>
  <c r="G139" i="1" s="1"/>
  <c r="F139" i="2"/>
  <c r="F139" i="1" s="1"/>
  <c r="E139" i="2"/>
  <c r="E139" i="1" s="1"/>
  <c r="D139" i="2"/>
  <c r="D139" i="1" s="1"/>
  <c r="C139" i="2"/>
  <c r="C139" i="1" s="1"/>
  <c r="O138" i="2"/>
  <c r="O138" i="1" s="1"/>
  <c r="N138" i="2"/>
  <c r="N138" i="1" s="1"/>
  <c r="M138" i="2"/>
  <c r="M138" i="1" s="1"/>
  <c r="L138" i="2"/>
  <c r="K138"/>
  <c r="K138" i="1" s="1"/>
  <c r="J138" i="2"/>
  <c r="J138" i="1" s="1"/>
  <c r="I138" i="2"/>
  <c r="I138" i="1" s="1"/>
  <c r="H138" i="2"/>
  <c r="H138" i="1" s="1"/>
  <c r="G138" i="2"/>
  <c r="G138" i="1" s="1"/>
  <c r="F138" i="2"/>
  <c r="F138" i="1" s="1"/>
  <c r="E138" i="2"/>
  <c r="E138" i="1" s="1"/>
  <c r="D138" i="2"/>
  <c r="D138" i="1" s="1"/>
  <c r="C138" i="2"/>
  <c r="C138" i="1" s="1"/>
  <c r="O137" i="2"/>
  <c r="O137" i="1" s="1"/>
  <c r="N137" i="2"/>
  <c r="N137" i="1" s="1"/>
  <c r="M137" i="2"/>
  <c r="M137" i="1" s="1"/>
  <c r="L137" i="2"/>
  <c r="K137"/>
  <c r="K137" i="1" s="1"/>
  <c r="J137" i="2"/>
  <c r="J137" i="1" s="1"/>
  <c r="I137" i="2"/>
  <c r="I137" i="1" s="1"/>
  <c r="H137" i="2"/>
  <c r="H137" i="1" s="1"/>
  <c r="G137" i="2"/>
  <c r="G137" i="1" s="1"/>
  <c r="F137" i="2"/>
  <c r="F137" i="1" s="1"/>
  <c r="E137" i="2"/>
  <c r="E137" i="1" s="1"/>
  <c r="D137" i="2"/>
  <c r="D137" i="1" s="1"/>
  <c r="C137" i="2"/>
  <c r="C137" i="1" s="1"/>
  <c r="O136" i="2"/>
  <c r="O136" i="1" s="1"/>
  <c r="N136" i="2"/>
  <c r="N136" i="1" s="1"/>
  <c r="M136" i="2"/>
  <c r="M136" i="1" s="1"/>
  <c r="L136" i="2"/>
  <c r="K136"/>
  <c r="K136" i="1" s="1"/>
  <c r="J136" i="2"/>
  <c r="J136" i="1" s="1"/>
  <c r="I136" i="2"/>
  <c r="I136" i="1" s="1"/>
  <c r="H136" i="2"/>
  <c r="H136" i="1" s="1"/>
  <c r="G136" i="2"/>
  <c r="G136" i="1" s="1"/>
  <c r="F136" i="2"/>
  <c r="F136" i="1" s="1"/>
  <c r="E136" i="2"/>
  <c r="E136" i="1" s="1"/>
  <c r="D136" i="2"/>
  <c r="D136" i="1" s="1"/>
  <c r="C136" i="2"/>
  <c r="C136" i="1" s="1"/>
  <c r="O135" i="2"/>
  <c r="O135" i="1" s="1"/>
  <c r="N135" i="2"/>
  <c r="N135" i="1" s="1"/>
  <c r="M135" i="2"/>
  <c r="M135" i="1" s="1"/>
  <c r="L135" i="2"/>
  <c r="K135"/>
  <c r="K135" i="1" s="1"/>
  <c r="J135" i="2"/>
  <c r="J135" i="1" s="1"/>
  <c r="I135" i="2"/>
  <c r="I135" i="1" s="1"/>
  <c r="H135" i="2"/>
  <c r="H135" i="1" s="1"/>
  <c r="G135" i="2"/>
  <c r="G135" i="1" s="1"/>
  <c r="F135" i="2"/>
  <c r="F135" i="1" s="1"/>
  <c r="E135" i="2"/>
  <c r="E135" i="1" s="1"/>
  <c r="D135" i="2"/>
  <c r="D135" i="1" s="1"/>
  <c r="C135" i="2"/>
  <c r="C135" i="1" s="1"/>
  <c r="O134" i="2"/>
  <c r="O134" i="1" s="1"/>
  <c r="N134" i="2"/>
  <c r="N134" i="1" s="1"/>
  <c r="M134" i="2"/>
  <c r="M134" i="1" s="1"/>
  <c r="L134" i="2"/>
  <c r="K134"/>
  <c r="K134" i="1" s="1"/>
  <c r="J134" i="2"/>
  <c r="J134" i="1" s="1"/>
  <c r="I134" i="2"/>
  <c r="I134" i="1" s="1"/>
  <c r="H134" i="2"/>
  <c r="H134" i="1" s="1"/>
  <c r="G134" i="2"/>
  <c r="G134" i="1" s="1"/>
  <c r="F134" i="2"/>
  <c r="F134" i="1" s="1"/>
  <c r="E134" i="2"/>
  <c r="E134" i="1" s="1"/>
  <c r="D134" i="2"/>
  <c r="D134" i="1" s="1"/>
  <c r="C134" i="2"/>
  <c r="C134" i="1" s="1"/>
  <c r="O133" i="2"/>
  <c r="O133" i="1" s="1"/>
  <c r="N133" i="2"/>
  <c r="N133" i="1" s="1"/>
  <c r="M133" i="2"/>
  <c r="M133" i="1" s="1"/>
  <c r="L133" i="2"/>
  <c r="K133"/>
  <c r="K133" i="1" s="1"/>
  <c r="J133" i="2"/>
  <c r="J133" i="1" s="1"/>
  <c r="I133" i="2"/>
  <c r="I133" i="1" s="1"/>
  <c r="H133" i="2"/>
  <c r="H133" i="1" s="1"/>
  <c r="G133" i="2"/>
  <c r="G133" i="1" s="1"/>
  <c r="F133" i="2"/>
  <c r="F133" i="1" s="1"/>
  <c r="E133" i="2"/>
  <c r="E133" i="1" s="1"/>
  <c r="D133" i="2"/>
  <c r="D133" i="1" s="1"/>
  <c r="C133" i="2"/>
  <c r="C133" i="1" s="1"/>
  <c r="O132" i="2"/>
  <c r="O132" i="1" s="1"/>
  <c r="N132" i="2"/>
  <c r="N132" i="1" s="1"/>
  <c r="M132" i="2"/>
  <c r="M132" i="1" s="1"/>
  <c r="L132" i="2"/>
  <c r="K132"/>
  <c r="K132" i="1" s="1"/>
  <c r="J132" i="2"/>
  <c r="J132" i="1" s="1"/>
  <c r="I132" i="2"/>
  <c r="I132" i="1" s="1"/>
  <c r="H132" i="2"/>
  <c r="H132" i="1" s="1"/>
  <c r="G132" i="2"/>
  <c r="G132" i="1" s="1"/>
  <c r="F132" i="2"/>
  <c r="F132" i="1" s="1"/>
  <c r="E132" i="2"/>
  <c r="E132" i="1" s="1"/>
  <c r="D132" i="2"/>
  <c r="D132" i="1" s="1"/>
  <c r="C132" i="2"/>
  <c r="C132" i="1" s="1"/>
  <c r="O131" i="2"/>
  <c r="O131" i="1" s="1"/>
  <c r="N131" i="2"/>
  <c r="N131" i="1" s="1"/>
  <c r="M131" i="2"/>
  <c r="M131" i="1" s="1"/>
  <c r="L131" i="2"/>
  <c r="K131"/>
  <c r="K131" i="1" s="1"/>
  <c r="J131" i="2"/>
  <c r="J131" i="1" s="1"/>
  <c r="I131" i="2"/>
  <c r="I131" i="1" s="1"/>
  <c r="H131" i="2"/>
  <c r="H131" i="1" s="1"/>
  <c r="G131" i="2"/>
  <c r="G131" i="1" s="1"/>
  <c r="F131" i="2"/>
  <c r="F131" i="1" s="1"/>
  <c r="E131" i="2"/>
  <c r="E131" i="1" s="1"/>
  <c r="D131" i="2"/>
  <c r="D131" i="1" s="1"/>
  <c r="C131" i="2"/>
  <c r="C131" i="1" s="1"/>
  <c r="O130" i="2"/>
  <c r="O130" i="1" s="1"/>
  <c r="N130" i="2"/>
  <c r="N130" i="1" s="1"/>
  <c r="M130" i="2"/>
  <c r="M130" i="1" s="1"/>
  <c r="L130" i="2"/>
  <c r="K130"/>
  <c r="K130" i="1" s="1"/>
  <c r="J130" i="2"/>
  <c r="J130" i="1" s="1"/>
  <c r="I130" i="2"/>
  <c r="I130" i="1" s="1"/>
  <c r="H130" i="2"/>
  <c r="H130" i="1" s="1"/>
  <c r="G130" i="2"/>
  <c r="G130" i="1" s="1"/>
  <c r="F130" i="2"/>
  <c r="F130" i="1" s="1"/>
  <c r="E130" i="2"/>
  <c r="E130" i="1" s="1"/>
  <c r="D130" i="2"/>
  <c r="D130" i="1" s="1"/>
  <c r="C130" i="2"/>
  <c r="C130" i="1" s="1"/>
  <c r="O129" i="2"/>
  <c r="O129" i="1" s="1"/>
  <c r="N129" i="2"/>
  <c r="N129" i="1" s="1"/>
  <c r="M129" i="2"/>
  <c r="M129" i="1" s="1"/>
  <c r="L129" i="2"/>
  <c r="K129"/>
  <c r="K129" i="1" s="1"/>
  <c r="J129" i="2"/>
  <c r="J129" i="1" s="1"/>
  <c r="I129" i="2"/>
  <c r="I129" i="1" s="1"/>
  <c r="H129" i="2"/>
  <c r="H129" i="1" s="1"/>
  <c r="G129" i="2"/>
  <c r="G129" i="1" s="1"/>
  <c r="F129" i="2"/>
  <c r="F129" i="1" s="1"/>
  <c r="E129" i="2"/>
  <c r="E129" i="1" s="1"/>
  <c r="D129" i="2"/>
  <c r="D129" i="1" s="1"/>
  <c r="C129" i="2"/>
  <c r="C129" i="1" s="1"/>
  <c r="O128" i="2"/>
  <c r="O128" i="1" s="1"/>
  <c r="N128" i="2"/>
  <c r="N128" i="1" s="1"/>
  <c r="M128" i="2"/>
  <c r="M128" i="1" s="1"/>
  <c r="L128" i="2"/>
  <c r="K128"/>
  <c r="K128" i="1" s="1"/>
  <c r="J128" i="2"/>
  <c r="J128" i="1" s="1"/>
  <c r="I128" i="2"/>
  <c r="I128" i="1" s="1"/>
  <c r="H128" i="2"/>
  <c r="H128" i="1" s="1"/>
  <c r="G128" i="2"/>
  <c r="G128" i="1" s="1"/>
  <c r="F128" i="2"/>
  <c r="F128" i="1" s="1"/>
  <c r="E128" i="2"/>
  <c r="E128" i="1" s="1"/>
  <c r="D128" i="2"/>
  <c r="D128" i="1" s="1"/>
  <c r="C128" i="2"/>
  <c r="C128" i="1" s="1"/>
  <c r="O127" i="2"/>
  <c r="O127" i="1" s="1"/>
  <c r="N127" i="2"/>
  <c r="N127" i="1" s="1"/>
  <c r="M127" i="2"/>
  <c r="M127" i="1" s="1"/>
  <c r="L127" i="2"/>
  <c r="K127"/>
  <c r="K127" i="1" s="1"/>
  <c r="J127" i="2"/>
  <c r="J127" i="1" s="1"/>
  <c r="I127" i="2"/>
  <c r="I127" i="1" s="1"/>
  <c r="H127" i="2"/>
  <c r="H127" i="1" s="1"/>
  <c r="G127" i="2"/>
  <c r="G127" i="1" s="1"/>
  <c r="F127" i="2"/>
  <c r="F127" i="1" s="1"/>
  <c r="E127" i="2"/>
  <c r="E127" i="1" s="1"/>
  <c r="D127" i="2"/>
  <c r="D127" i="1" s="1"/>
  <c r="C127" i="2"/>
  <c r="C127" i="1" s="1"/>
  <c r="O126" i="2"/>
  <c r="O126" i="1" s="1"/>
  <c r="N126" i="2"/>
  <c r="N126" i="1" s="1"/>
  <c r="M126" i="2"/>
  <c r="M126" i="1" s="1"/>
  <c r="L126" i="2"/>
  <c r="K126"/>
  <c r="K126" i="1" s="1"/>
  <c r="J126" i="2"/>
  <c r="J126" i="1" s="1"/>
  <c r="I126" i="2"/>
  <c r="I126" i="1" s="1"/>
  <c r="H126" i="2"/>
  <c r="H126" i="1" s="1"/>
  <c r="G126" i="2"/>
  <c r="G126" i="1" s="1"/>
  <c r="F126" i="2"/>
  <c r="F126" i="1" s="1"/>
  <c r="E126" i="2"/>
  <c r="E126" i="1" s="1"/>
  <c r="D126" i="2"/>
  <c r="D126" i="1" s="1"/>
  <c r="C126" i="2"/>
  <c r="C126" i="1" s="1"/>
  <c r="O125" i="2"/>
  <c r="O125" i="1" s="1"/>
  <c r="N125" i="2"/>
  <c r="N125" i="1" s="1"/>
  <c r="M125" i="2"/>
  <c r="M125" i="1" s="1"/>
  <c r="L125" i="2"/>
  <c r="K125"/>
  <c r="K125" i="1" s="1"/>
  <c r="J125" i="2"/>
  <c r="J125" i="1" s="1"/>
  <c r="I125" i="2"/>
  <c r="I125" i="1" s="1"/>
  <c r="H125" i="2"/>
  <c r="H125" i="1" s="1"/>
  <c r="G125" i="2"/>
  <c r="G125" i="1" s="1"/>
  <c r="F125" i="2"/>
  <c r="F125" i="1" s="1"/>
  <c r="E125" i="2"/>
  <c r="E125" i="1" s="1"/>
  <c r="D125" i="2"/>
  <c r="D125" i="1" s="1"/>
  <c r="C125" i="2"/>
  <c r="C125" i="1" s="1"/>
  <c r="O124" i="2"/>
  <c r="O124" i="1" s="1"/>
  <c r="N124" i="2"/>
  <c r="N124" i="1" s="1"/>
  <c r="M124" i="2"/>
  <c r="M124" i="1" s="1"/>
  <c r="L124" i="2"/>
  <c r="K124"/>
  <c r="K124" i="1" s="1"/>
  <c r="J124" i="2"/>
  <c r="J124" i="1" s="1"/>
  <c r="I124" i="2"/>
  <c r="I124" i="1" s="1"/>
  <c r="H124" i="2"/>
  <c r="H124" i="1" s="1"/>
  <c r="G124" i="2"/>
  <c r="G124" i="1" s="1"/>
  <c r="F124" i="2"/>
  <c r="F124" i="1" s="1"/>
  <c r="E124" i="2"/>
  <c r="E124" i="1" s="1"/>
  <c r="D124" i="2"/>
  <c r="D124" i="1" s="1"/>
  <c r="C124" i="2"/>
  <c r="C124" i="1" s="1"/>
  <c r="O123" i="2"/>
  <c r="O123" i="1" s="1"/>
  <c r="N123" i="2"/>
  <c r="N123" i="1" s="1"/>
  <c r="M123" i="2"/>
  <c r="M123" i="1" s="1"/>
  <c r="L123" i="2"/>
  <c r="K123"/>
  <c r="K123" i="1" s="1"/>
  <c r="J123" i="2"/>
  <c r="J123" i="1" s="1"/>
  <c r="I123" i="2"/>
  <c r="I123" i="1" s="1"/>
  <c r="H123" i="2"/>
  <c r="H123" i="1" s="1"/>
  <c r="G123" i="2"/>
  <c r="G123" i="1" s="1"/>
  <c r="F123" i="2"/>
  <c r="F123" i="1" s="1"/>
  <c r="E123" i="2"/>
  <c r="E123" i="1" s="1"/>
  <c r="D123" i="2"/>
  <c r="D123" i="1" s="1"/>
  <c r="C123" i="2"/>
  <c r="C123" i="1" s="1"/>
  <c r="O122" i="2"/>
  <c r="O122" i="1" s="1"/>
  <c r="N122" i="2"/>
  <c r="N122" i="1" s="1"/>
  <c r="M122" i="2"/>
  <c r="M122" i="1" s="1"/>
  <c r="L122" i="2"/>
  <c r="K122"/>
  <c r="K122" i="1" s="1"/>
  <c r="J122" i="2"/>
  <c r="J122" i="1" s="1"/>
  <c r="I122" i="2"/>
  <c r="I122" i="1" s="1"/>
  <c r="H122" i="2"/>
  <c r="H122" i="1" s="1"/>
  <c r="G122" i="2"/>
  <c r="G122" i="1" s="1"/>
  <c r="F122" i="2"/>
  <c r="F122" i="1" s="1"/>
  <c r="E122" i="2"/>
  <c r="E122" i="1" s="1"/>
  <c r="D122" i="2"/>
  <c r="D122" i="1" s="1"/>
  <c r="C122" i="2"/>
  <c r="C122" i="1" s="1"/>
  <c r="O121" i="2"/>
  <c r="O121" i="1" s="1"/>
  <c r="N121" i="2"/>
  <c r="N121" i="1" s="1"/>
  <c r="M121" i="2"/>
  <c r="M121" i="1" s="1"/>
  <c r="L121" i="2"/>
  <c r="K121"/>
  <c r="K121" i="1" s="1"/>
  <c r="J121" i="2"/>
  <c r="J121" i="1" s="1"/>
  <c r="I121" i="2"/>
  <c r="I121" i="1" s="1"/>
  <c r="H121" i="2"/>
  <c r="H121" i="1" s="1"/>
  <c r="G121" i="2"/>
  <c r="G121" i="1" s="1"/>
  <c r="F121" i="2"/>
  <c r="F121" i="1" s="1"/>
  <c r="E121" i="2"/>
  <c r="E121" i="1" s="1"/>
  <c r="D121" i="2"/>
  <c r="D121" i="1" s="1"/>
  <c r="C121" i="2"/>
  <c r="C121" i="1" s="1"/>
  <c r="O120" i="2"/>
  <c r="O120" i="1" s="1"/>
  <c r="N120" i="2"/>
  <c r="N120" i="1" s="1"/>
  <c r="M120" i="2"/>
  <c r="M120" i="1" s="1"/>
  <c r="L120" i="2"/>
  <c r="K120"/>
  <c r="K120" i="1" s="1"/>
  <c r="J120" i="2"/>
  <c r="J120" i="1" s="1"/>
  <c r="I120" i="2"/>
  <c r="I120" i="1" s="1"/>
  <c r="H120" i="2"/>
  <c r="H120" i="1" s="1"/>
  <c r="G120" i="2"/>
  <c r="G120" i="1" s="1"/>
  <c r="F120" i="2"/>
  <c r="F120" i="1" s="1"/>
  <c r="E120" i="2"/>
  <c r="E120" i="1" s="1"/>
  <c r="D120" i="2"/>
  <c r="D120" i="1" s="1"/>
  <c r="C120" i="2"/>
  <c r="C120" i="1" s="1"/>
  <c r="O119" i="2"/>
  <c r="O119" i="1" s="1"/>
  <c r="N119" i="2"/>
  <c r="N119" i="1" s="1"/>
  <c r="M119" i="2"/>
  <c r="M119" i="1" s="1"/>
  <c r="L119" i="2"/>
  <c r="K119"/>
  <c r="K119" i="1" s="1"/>
  <c r="J119" i="2"/>
  <c r="J119" i="1" s="1"/>
  <c r="I119" i="2"/>
  <c r="I119" i="1" s="1"/>
  <c r="H119" i="2"/>
  <c r="H119" i="1" s="1"/>
  <c r="G119" i="2"/>
  <c r="G119" i="1" s="1"/>
  <c r="F119" i="2"/>
  <c r="F119" i="1" s="1"/>
  <c r="E119" i="2"/>
  <c r="E119" i="1" s="1"/>
  <c r="D119" i="2"/>
  <c r="D119" i="1" s="1"/>
  <c r="C119" i="2"/>
  <c r="C119" i="1" s="1"/>
  <c r="O118" i="2"/>
  <c r="O118" i="1" s="1"/>
  <c r="N118" i="2"/>
  <c r="N118" i="1" s="1"/>
  <c r="M118" i="2"/>
  <c r="M118" i="1" s="1"/>
  <c r="L118" i="2"/>
  <c r="K118"/>
  <c r="K118" i="1" s="1"/>
  <c r="J118" i="2"/>
  <c r="J118" i="1" s="1"/>
  <c r="I118" i="2"/>
  <c r="I118" i="1" s="1"/>
  <c r="H118" i="2"/>
  <c r="H118" i="1" s="1"/>
  <c r="G118" i="2"/>
  <c r="G118" i="1" s="1"/>
  <c r="F118" i="2"/>
  <c r="F118" i="1" s="1"/>
  <c r="E118" i="2"/>
  <c r="E118" i="1" s="1"/>
  <c r="D118" i="2"/>
  <c r="D118" i="1" s="1"/>
  <c r="C118" i="2"/>
  <c r="C118" i="1" s="1"/>
  <c r="O117" i="2"/>
  <c r="O117" i="1" s="1"/>
  <c r="N117" i="2"/>
  <c r="N117" i="1" s="1"/>
  <c r="M117" i="2"/>
  <c r="M117" i="1" s="1"/>
  <c r="L117" i="2"/>
  <c r="K117"/>
  <c r="K117" i="1" s="1"/>
  <c r="J117" i="2"/>
  <c r="J117" i="1" s="1"/>
  <c r="I117" i="2"/>
  <c r="I117" i="1" s="1"/>
  <c r="H117" i="2"/>
  <c r="H117" i="1" s="1"/>
  <c r="G117" i="2"/>
  <c r="G117" i="1" s="1"/>
  <c r="F117" i="2"/>
  <c r="F117" i="1" s="1"/>
  <c r="E117" i="2"/>
  <c r="E117" i="1" s="1"/>
  <c r="D117" i="2"/>
  <c r="D117" i="1" s="1"/>
  <c r="C117" i="2"/>
  <c r="C117" i="1" s="1"/>
  <c r="O116" i="2"/>
  <c r="O116" i="1" s="1"/>
  <c r="N116" i="2"/>
  <c r="N116" i="1" s="1"/>
  <c r="M116" i="2"/>
  <c r="M116" i="1" s="1"/>
  <c r="L116" i="2"/>
  <c r="K116"/>
  <c r="K116" i="1" s="1"/>
  <c r="J116" i="2"/>
  <c r="J116" i="1" s="1"/>
  <c r="I116" i="2"/>
  <c r="I116" i="1" s="1"/>
  <c r="H116" i="2"/>
  <c r="H116" i="1" s="1"/>
  <c r="G116" i="2"/>
  <c r="G116" i="1" s="1"/>
  <c r="F116" i="2"/>
  <c r="F116" i="1" s="1"/>
  <c r="E116" i="2"/>
  <c r="E116" i="1" s="1"/>
  <c r="D116" i="2"/>
  <c r="D116" i="1" s="1"/>
  <c r="C116" i="2"/>
  <c r="C116" i="1" s="1"/>
  <c r="O115" i="2"/>
  <c r="O115" i="1" s="1"/>
  <c r="N115" i="2"/>
  <c r="N115" i="1" s="1"/>
  <c r="M115" i="2"/>
  <c r="M115" i="1" s="1"/>
  <c r="L115" i="2"/>
  <c r="K115"/>
  <c r="K115" i="1" s="1"/>
  <c r="J115" i="2"/>
  <c r="J115" i="1" s="1"/>
  <c r="I115" i="2"/>
  <c r="I115" i="1" s="1"/>
  <c r="H115" i="2"/>
  <c r="H115" i="1" s="1"/>
  <c r="G115" i="2"/>
  <c r="G115" i="1" s="1"/>
  <c r="F115" i="2"/>
  <c r="F115" i="1" s="1"/>
  <c r="E115" i="2"/>
  <c r="E115" i="1" s="1"/>
  <c r="D115" i="2"/>
  <c r="D115" i="1" s="1"/>
  <c r="C115" i="2"/>
  <c r="C115" i="1" s="1"/>
  <c r="O114" i="2"/>
  <c r="O114" i="1" s="1"/>
  <c r="N114" i="2"/>
  <c r="N114" i="1" s="1"/>
  <c r="M114" i="2"/>
  <c r="M114" i="1" s="1"/>
  <c r="L114" i="2"/>
  <c r="K114"/>
  <c r="K114" i="1" s="1"/>
  <c r="J114" i="2"/>
  <c r="J114" i="1" s="1"/>
  <c r="I114" i="2"/>
  <c r="I114" i="1" s="1"/>
  <c r="H114" i="2"/>
  <c r="H114" i="1" s="1"/>
  <c r="G114" i="2"/>
  <c r="G114" i="1" s="1"/>
  <c r="F114" i="2"/>
  <c r="F114" i="1" s="1"/>
  <c r="E114" i="2"/>
  <c r="E114" i="1" s="1"/>
  <c r="D114" i="2"/>
  <c r="D114" i="1" s="1"/>
  <c r="C114" i="2"/>
  <c r="C114" i="1" s="1"/>
  <c r="O113" i="2"/>
  <c r="O113" i="1" s="1"/>
  <c r="N113" i="2"/>
  <c r="N113" i="1" s="1"/>
  <c r="M113" i="2"/>
  <c r="M113" i="1" s="1"/>
  <c r="L113" i="2"/>
  <c r="K113"/>
  <c r="K113" i="1" s="1"/>
  <c r="J113" i="2"/>
  <c r="J113" i="1" s="1"/>
  <c r="I113" i="2"/>
  <c r="I113" i="1" s="1"/>
  <c r="H113" i="2"/>
  <c r="H113" i="1" s="1"/>
  <c r="G113" i="2"/>
  <c r="G113" i="1" s="1"/>
  <c r="F113" i="2"/>
  <c r="F113" i="1" s="1"/>
  <c r="E113" i="2"/>
  <c r="E113" i="1" s="1"/>
  <c r="D113" i="2"/>
  <c r="D113" i="1" s="1"/>
  <c r="C113" i="2"/>
  <c r="C113" i="1" s="1"/>
  <c r="O112" i="2"/>
  <c r="O112" i="1" s="1"/>
  <c r="N112" i="2"/>
  <c r="N112" i="1" s="1"/>
  <c r="M112" i="2"/>
  <c r="M112" i="1" s="1"/>
  <c r="L112" i="2"/>
  <c r="K112"/>
  <c r="K112" i="1" s="1"/>
  <c r="J112" i="2"/>
  <c r="J112" i="1" s="1"/>
  <c r="I112" i="2"/>
  <c r="I112" i="1" s="1"/>
  <c r="H112" i="2"/>
  <c r="H112" i="1" s="1"/>
  <c r="G112" i="2"/>
  <c r="G112" i="1" s="1"/>
  <c r="F112" i="2"/>
  <c r="F112" i="1" s="1"/>
  <c r="E112" i="2"/>
  <c r="E112" i="1" s="1"/>
  <c r="D112" i="2"/>
  <c r="D112" i="1" s="1"/>
  <c r="C112" i="2"/>
  <c r="C112" i="1" s="1"/>
  <c r="O111" i="2"/>
  <c r="O111" i="1" s="1"/>
  <c r="N111" i="2"/>
  <c r="N111" i="1" s="1"/>
  <c r="M111" i="2"/>
  <c r="M111" i="1" s="1"/>
  <c r="L111" i="2"/>
  <c r="K111"/>
  <c r="K111" i="1" s="1"/>
  <c r="J111" i="2"/>
  <c r="J111" i="1" s="1"/>
  <c r="I111" i="2"/>
  <c r="I111" i="1" s="1"/>
  <c r="H111" i="2"/>
  <c r="H111" i="1" s="1"/>
  <c r="G111" i="2"/>
  <c r="G111" i="1" s="1"/>
  <c r="F111" i="2"/>
  <c r="F111" i="1" s="1"/>
  <c r="E111" i="2"/>
  <c r="E111" i="1" s="1"/>
  <c r="D111" i="2"/>
  <c r="D111" i="1" s="1"/>
  <c r="C111" i="2"/>
  <c r="C111" i="1" s="1"/>
  <c r="O110" i="2"/>
  <c r="O110" i="1" s="1"/>
  <c r="N110" i="2"/>
  <c r="N110" i="1" s="1"/>
  <c r="M110" i="2"/>
  <c r="M110" i="1" s="1"/>
  <c r="L110" i="2"/>
  <c r="K110"/>
  <c r="K110" i="1" s="1"/>
  <c r="J110" i="2"/>
  <c r="J110" i="1" s="1"/>
  <c r="I110" i="2"/>
  <c r="I110" i="1" s="1"/>
  <c r="H110" i="2"/>
  <c r="H110" i="1" s="1"/>
  <c r="G110" i="2"/>
  <c r="G110" i="1" s="1"/>
  <c r="F110" i="2"/>
  <c r="F110" i="1" s="1"/>
  <c r="E110" i="2"/>
  <c r="E110" i="1" s="1"/>
  <c r="D110" i="2"/>
  <c r="D110" i="1" s="1"/>
  <c r="C110" i="2"/>
  <c r="C110" i="1" s="1"/>
  <c r="O109" i="2"/>
  <c r="O109" i="1" s="1"/>
  <c r="N109" i="2"/>
  <c r="N109" i="1" s="1"/>
  <c r="M109" i="2"/>
  <c r="M109" i="1" s="1"/>
  <c r="L109" i="2"/>
  <c r="K109"/>
  <c r="K109" i="1" s="1"/>
  <c r="J109" i="2"/>
  <c r="J109" i="1" s="1"/>
  <c r="I109" i="2"/>
  <c r="I109" i="1" s="1"/>
  <c r="H109" i="2"/>
  <c r="H109" i="1" s="1"/>
  <c r="G109" i="2"/>
  <c r="G109" i="1" s="1"/>
  <c r="F109" i="2"/>
  <c r="F109" i="1" s="1"/>
  <c r="E109" i="2"/>
  <c r="E109" i="1" s="1"/>
  <c r="D109" i="2"/>
  <c r="D109" i="1" s="1"/>
  <c r="C109" i="2"/>
  <c r="C109" i="1" s="1"/>
  <c r="O108" i="2"/>
  <c r="O108" i="1" s="1"/>
  <c r="N108" i="2"/>
  <c r="N108" i="1" s="1"/>
  <c r="M108" i="2"/>
  <c r="M108" i="1" s="1"/>
  <c r="L108" i="2"/>
  <c r="K108"/>
  <c r="K108" i="1" s="1"/>
  <c r="J108" i="2"/>
  <c r="J108" i="1" s="1"/>
  <c r="I108" i="2"/>
  <c r="I108" i="1" s="1"/>
  <c r="H108" i="2"/>
  <c r="H108" i="1" s="1"/>
  <c r="G108" i="2"/>
  <c r="G108" i="1" s="1"/>
  <c r="F108" i="2"/>
  <c r="F108" i="1" s="1"/>
  <c r="E108" i="2"/>
  <c r="E108" i="1" s="1"/>
  <c r="D108" i="2"/>
  <c r="D108" i="1" s="1"/>
  <c r="C108" i="2"/>
  <c r="C108" i="1" s="1"/>
  <c r="O107" i="2"/>
  <c r="O107" i="1" s="1"/>
  <c r="N107" i="2"/>
  <c r="N107" i="1" s="1"/>
  <c r="M107" i="2"/>
  <c r="M107" i="1" s="1"/>
  <c r="L107" i="2"/>
  <c r="K107"/>
  <c r="K107" i="1" s="1"/>
  <c r="J107" i="2"/>
  <c r="J107" i="1" s="1"/>
  <c r="I107" i="2"/>
  <c r="I107" i="1" s="1"/>
  <c r="H107" i="2"/>
  <c r="H107" i="1" s="1"/>
  <c r="G107" i="2"/>
  <c r="G107" i="1" s="1"/>
  <c r="F107" i="2"/>
  <c r="F107" i="1" s="1"/>
  <c r="E107" i="2"/>
  <c r="E107" i="1" s="1"/>
  <c r="D107" i="2"/>
  <c r="D107" i="1" s="1"/>
  <c r="C107" i="2"/>
  <c r="C107" i="1" s="1"/>
  <c r="O106" i="2"/>
  <c r="O106" i="1" s="1"/>
  <c r="N106" i="2"/>
  <c r="N106" i="1" s="1"/>
  <c r="M106" i="2"/>
  <c r="M106" i="1" s="1"/>
  <c r="L106" i="2"/>
  <c r="K106"/>
  <c r="K106" i="1" s="1"/>
  <c r="J106" i="2"/>
  <c r="J106" i="1" s="1"/>
  <c r="I106" i="2"/>
  <c r="I106" i="1" s="1"/>
  <c r="H106" i="2"/>
  <c r="H106" i="1" s="1"/>
  <c r="G106" i="2"/>
  <c r="G106" i="1" s="1"/>
  <c r="F106" i="2"/>
  <c r="F106" i="1" s="1"/>
  <c r="E106" i="2"/>
  <c r="E106" i="1" s="1"/>
  <c r="D106" i="2"/>
  <c r="D106" i="1" s="1"/>
  <c r="C106" i="2"/>
  <c r="C106" i="1" s="1"/>
  <c r="O105" i="2"/>
  <c r="O105" i="1" s="1"/>
  <c r="N105" i="2"/>
  <c r="N105" i="1" s="1"/>
  <c r="M105" i="2"/>
  <c r="M105" i="1" s="1"/>
  <c r="L105" i="2"/>
  <c r="K105"/>
  <c r="K105" i="1" s="1"/>
  <c r="J105" i="2"/>
  <c r="J105" i="1" s="1"/>
  <c r="I105" i="2"/>
  <c r="I105" i="1" s="1"/>
  <c r="H105" i="2"/>
  <c r="H105" i="1" s="1"/>
  <c r="G105" i="2"/>
  <c r="G105" i="1" s="1"/>
  <c r="F105" i="2"/>
  <c r="F105" i="1" s="1"/>
  <c r="E105" i="2"/>
  <c r="E105" i="1" s="1"/>
  <c r="D105" i="2"/>
  <c r="D105" i="1" s="1"/>
  <c r="C105" i="2"/>
  <c r="C105" i="1" s="1"/>
  <c r="O104" i="2"/>
  <c r="O104" i="1" s="1"/>
  <c r="N104" i="2"/>
  <c r="N104" i="1" s="1"/>
  <c r="M104" i="2"/>
  <c r="M104" i="1" s="1"/>
  <c r="L104" i="2"/>
  <c r="K104"/>
  <c r="K104" i="1" s="1"/>
  <c r="J104" i="2"/>
  <c r="J104" i="1" s="1"/>
  <c r="I104" i="2"/>
  <c r="I104" i="1" s="1"/>
  <c r="H104" i="2"/>
  <c r="H104" i="1" s="1"/>
  <c r="G104" i="2"/>
  <c r="G104" i="1" s="1"/>
  <c r="F104" i="2"/>
  <c r="F104" i="1" s="1"/>
  <c r="E104" i="2"/>
  <c r="E104" i="1" s="1"/>
  <c r="D104" i="2"/>
  <c r="D104" i="1" s="1"/>
  <c r="C104" i="2"/>
  <c r="C104" i="1" s="1"/>
  <c r="O103" i="2"/>
  <c r="O103" i="1" s="1"/>
  <c r="N103" i="2"/>
  <c r="N103" i="1" s="1"/>
  <c r="M103" i="2"/>
  <c r="M103" i="1" s="1"/>
  <c r="L103" i="2"/>
  <c r="K103"/>
  <c r="K103" i="1" s="1"/>
  <c r="J103" i="2"/>
  <c r="J103" i="1" s="1"/>
  <c r="I103" i="2"/>
  <c r="I103" i="1" s="1"/>
  <c r="H103" i="2"/>
  <c r="H103" i="1" s="1"/>
  <c r="G103" i="2"/>
  <c r="G103" i="1" s="1"/>
  <c r="F103" i="2"/>
  <c r="F103" i="1" s="1"/>
  <c r="E103" i="2"/>
  <c r="E103" i="1" s="1"/>
  <c r="D103" i="2"/>
  <c r="D103" i="1" s="1"/>
  <c r="C103" i="2"/>
  <c r="C103" i="1" s="1"/>
  <c r="O102" i="2"/>
  <c r="O102" i="1" s="1"/>
  <c r="N102" i="2"/>
  <c r="N102" i="1" s="1"/>
  <c r="M102" i="2"/>
  <c r="M102" i="1" s="1"/>
  <c r="L102" i="2"/>
  <c r="K102"/>
  <c r="K102" i="1" s="1"/>
  <c r="J102" i="2"/>
  <c r="J102" i="1" s="1"/>
  <c r="I102" i="2"/>
  <c r="I102" i="1" s="1"/>
  <c r="H102" i="2"/>
  <c r="H102" i="1" s="1"/>
  <c r="G102" i="2"/>
  <c r="G102" i="1" s="1"/>
  <c r="F102" i="2"/>
  <c r="F102" i="1" s="1"/>
  <c r="E102" i="2"/>
  <c r="E102" i="1" s="1"/>
  <c r="D102" i="2"/>
  <c r="D102" i="1" s="1"/>
  <c r="C102" i="2"/>
  <c r="C102" i="1" s="1"/>
  <c r="O101" i="2"/>
  <c r="O101" i="1" s="1"/>
  <c r="N101" i="2"/>
  <c r="N101" i="1" s="1"/>
  <c r="M101" i="2"/>
  <c r="M101" i="1" s="1"/>
  <c r="L101" i="2"/>
  <c r="K101"/>
  <c r="K101" i="1" s="1"/>
  <c r="J101" i="2"/>
  <c r="J101" i="1" s="1"/>
  <c r="I101" i="2"/>
  <c r="I101" i="1" s="1"/>
  <c r="H101" i="2"/>
  <c r="H101" i="1" s="1"/>
  <c r="G101" i="2"/>
  <c r="G101" i="1" s="1"/>
  <c r="F101" i="2"/>
  <c r="F101" i="1" s="1"/>
  <c r="E101" i="2"/>
  <c r="E101" i="1" s="1"/>
  <c r="D101" i="2"/>
  <c r="D101" i="1" s="1"/>
  <c r="C101" i="2"/>
  <c r="C101" i="1" s="1"/>
  <c r="O100" i="2"/>
  <c r="O100" i="1" s="1"/>
  <c r="N100" i="2"/>
  <c r="N100" i="1" s="1"/>
  <c r="M100" i="2"/>
  <c r="M100" i="1" s="1"/>
  <c r="L100" i="2"/>
  <c r="K100"/>
  <c r="K100" i="1" s="1"/>
  <c r="J100" i="2"/>
  <c r="J100" i="1" s="1"/>
  <c r="I100" i="2"/>
  <c r="I100" i="1" s="1"/>
  <c r="H100" i="2"/>
  <c r="H100" i="1" s="1"/>
  <c r="G100" i="2"/>
  <c r="G100" i="1" s="1"/>
  <c r="F100" i="2"/>
  <c r="F100" i="1" s="1"/>
  <c r="E100" i="2"/>
  <c r="E100" i="1" s="1"/>
  <c r="D100" i="2"/>
  <c r="D100" i="1" s="1"/>
  <c r="C100" i="2"/>
  <c r="C100" i="1" s="1"/>
  <c r="O99" i="2"/>
  <c r="O99" i="1" s="1"/>
  <c r="N99" i="2"/>
  <c r="N99" i="1" s="1"/>
  <c r="M99" i="2"/>
  <c r="M99" i="1" s="1"/>
  <c r="L99" i="2"/>
  <c r="K99"/>
  <c r="K99" i="1" s="1"/>
  <c r="J99" i="2"/>
  <c r="J99" i="1" s="1"/>
  <c r="I99" i="2"/>
  <c r="I99" i="1" s="1"/>
  <c r="H99" i="2"/>
  <c r="H99" i="1" s="1"/>
  <c r="G99" i="2"/>
  <c r="G99" i="1" s="1"/>
  <c r="F99" i="2"/>
  <c r="F99" i="1" s="1"/>
  <c r="E99" i="2"/>
  <c r="E99" i="1" s="1"/>
  <c r="D99" i="2"/>
  <c r="D99" i="1" s="1"/>
  <c r="C99" i="2"/>
  <c r="C99" i="1" s="1"/>
  <c r="O98" i="2"/>
  <c r="O98" i="1" s="1"/>
  <c r="N98" i="2"/>
  <c r="N98" i="1" s="1"/>
  <c r="M98" i="2"/>
  <c r="M98" i="1" s="1"/>
  <c r="L98" i="2"/>
  <c r="K98"/>
  <c r="K98" i="1" s="1"/>
  <c r="J98" i="2"/>
  <c r="J98" i="1" s="1"/>
  <c r="I98" i="2"/>
  <c r="I98" i="1" s="1"/>
  <c r="H98" i="2"/>
  <c r="H98" i="1" s="1"/>
  <c r="G98" i="2"/>
  <c r="G98" i="1" s="1"/>
  <c r="F98" i="2"/>
  <c r="F98" i="1" s="1"/>
  <c r="E98" i="2"/>
  <c r="E98" i="1" s="1"/>
  <c r="D98" i="2"/>
  <c r="D98" i="1" s="1"/>
  <c r="C98" i="2"/>
  <c r="C98" i="1" s="1"/>
  <c r="O97" i="2"/>
  <c r="O97" i="1" s="1"/>
  <c r="N97" i="2"/>
  <c r="N97" i="1" s="1"/>
  <c r="M97" i="2"/>
  <c r="M97" i="1" s="1"/>
  <c r="L97" i="2"/>
  <c r="K97"/>
  <c r="K97" i="1" s="1"/>
  <c r="J97" i="2"/>
  <c r="J97" i="1" s="1"/>
  <c r="I97" i="2"/>
  <c r="I97" i="1" s="1"/>
  <c r="H97" i="2"/>
  <c r="H97" i="1" s="1"/>
  <c r="G97" i="2"/>
  <c r="G97" i="1" s="1"/>
  <c r="F97" i="2"/>
  <c r="F97" i="1" s="1"/>
  <c r="E97" i="2"/>
  <c r="E97" i="1" s="1"/>
  <c r="D97" i="2"/>
  <c r="D97" i="1" s="1"/>
  <c r="C97" i="2"/>
  <c r="C97" i="1" s="1"/>
  <c r="O96" i="2"/>
  <c r="O96" i="1" s="1"/>
  <c r="N96" i="2"/>
  <c r="N96" i="1" s="1"/>
  <c r="M96" i="2"/>
  <c r="M96" i="1" s="1"/>
  <c r="L96" i="2"/>
  <c r="K96"/>
  <c r="K96" i="1" s="1"/>
  <c r="J96" i="2"/>
  <c r="J96" i="1" s="1"/>
  <c r="I96" i="2"/>
  <c r="I96" i="1" s="1"/>
  <c r="H96" i="2"/>
  <c r="H96" i="1" s="1"/>
  <c r="G96" i="2"/>
  <c r="G96" i="1" s="1"/>
  <c r="F96" i="2"/>
  <c r="F96" i="1" s="1"/>
  <c r="E96" i="2"/>
  <c r="E96" i="1" s="1"/>
  <c r="D96" i="2"/>
  <c r="D96" i="1" s="1"/>
  <c r="C96" i="2"/>
  <c r="C96" i="1" s="1"/>
  <c r="O95" i="2"/>
  <c r="O95" i="1" s="1"/>
  <c r="N95" i="2"/>
  <c r="N95" i="1" s="1"/>
  <c r="M95" i="2"/>
  <c r="M95" i="1" s="1"/>
  <c r="L95" i="2"/>
  <c r="K95"/>
  <c r="K95" i="1" s="1"/>
  <c r="J95" i="2"/>
  <c r="J95" i="1" s="1"/>
  <c r="I95" i="2"/>
  <c r="I95" i="1" s="1"/>
  <c r="H95" i="2"/>
  <c r="H95" i="1" s="1"/>
  <c r="G95" i="2"/>
  <c r="G95" i="1" s="1"/>
  <c r="F95" i="2"/>
  <c r="F95" i="1" s="1"/>
  <c r="E95" i="2"/>
  <c r="E95" i="1" s="1"/>
  <c r="D95" i="2"/>
  <c r="D95" i="1" s="1"/>
  <c r="C95" i="2"/>
  <c r="C95" i="1" s="1"/>
  <c r="O94" i="2"/>
  <c r="O94" i="1" s="1"/>
  <c r="N94" i="2"/>
  <c r="N94" i="1" s="1"/>
  <c r="M94" i="2"/>
  <c r="M94" i="1" s="1"/>
  <c r="L94" i="2"/>
  <c r="K94"/>
  <c r="K94" i="1" s="1"/>
  <c r="J94" i="2"/>
  <c r="J94" i="1" s="1"/>
  <c r="I94" i="2"/>
  <c r="I94" i="1" s="1"/>
  <c r="H94" i="2"/>
  <c r="H94" i="1" s="1"/>
  <c r="G94" i="2"/>
  <c r="G94" i="1" s="1"/>
  <c r="F94" i="2"/>
  <c r="F94" i="1" s="1"/>
  <c r="E94" i="2"/>
  <c r="E94" i="1" s="1"/>
  <c r="D94" i="2"/>
  <c r="D94" i="1" s="1"/>
  <c r="C94" i="2"/>
  <c r="C94" i="1" s="1"/>
  <c r="O93" i="2"/>
  <c r="O93" i="1" s="1"/>
  <c r="N93" i="2"/>
  <c r="N93" i="1" s="1"/>
  <c r="M93" i="2"/>
  <c r="M93" i="1" s="1"/>
  <c r="L93" i="2"/>
  <c r="K93"/>
  <c r="K93" i="1" s="1"/>
  <c r="J93" i="2"/>
  <c r="J93" i="1" s="1"/>
  <c r="I93" i="2"/>
  <c r="I93" i="1" s="1"/>
  <c r="H93" i="2"/>
  <c r="H93" i="1" s="1"/>
  <c r="G93" i="2"/>
  <c r="G93" i="1" s="1"/>
  <c r="F93" i="2"/>
  <c r="F93" i="1" s="1"/>
  <c r="E93" i="2"/>
  <c r="E93" i="1" s="1"/>
  <c r="D93" i="2"/>
  <c r="D93" i="1" s="1"/>
  <c r="C93" i="2"/>
  <c r="C93" i="1" s="1"/>
  <c r="O92" i="2"/>
  <c r="O92" i="1" s="1"/>
  <c r="N92" i="2"/>
  <c r="N92" i="1" s="1"/>
  <c r="M92" i="2"/>
  <c r="M92" i="1" s="1"/>
  <c r="L92" i="2"/>
  <c r="K92"/>
  <c r="K92" i="1" s="1"/>
  <c r="J92" i="2"/>
  <c r="J92" i="1" s="1"/>
  <c r="I92" i="2"/>
  <c r="I92" i="1" s="1"/>
  <c r="H92" i="2"/>
  <c r="H92" i="1" s="1"/>
  <c r="G92" i="2"/>
  <c r="G92" i="1" s="1"/>
  <c r="F92" i="2"/>
  <c r="F92" i="1" s="1"/>
  <c r="E92" i="2"/>
  <c r="E92" i="1" s="1"/>
  <c r="D92" i="2"/>
  <c r="D92" i="1" s="1"/>
  <c r="C92" i="2"/>
  <c r="C92" i="1" s="1"/>
  <c r="O91" i="2"/>
  <c r="O91" i="1" s="1"/>
  <c r="N91" i="2"/>
  <c r="N91" i="1" s="1"/>
  <c r="M91" i="2"/>
  <c r="M91" i="1" s="1"/>
  <c r="L91" i="2"/>
  <c r="K91"/>
  <c r="K91" i="1" s="1"/>
  <c r="J91" i="2"/>
  <c r="J91" i="1" s="1"/>
  <c r="I91" i="2"/>
  <c r="I91" i="1" s="1"/>
  <c r="H91" i="2"/>
  <c r="H91" i="1" s="1"/>
  <c r="G91" i="2"/>
  <c r="G91" i="1" s="1"/>
  <c r="F91" i="2"/>
  <c r="F91" i="1" s="1"/>
  <c r="E91" i="2"/>
  <c r="E91" i="1" s="1"/>
  <c r="D91" i="2"/>
  <c r="D91" i="1" s="1"/>
  <c r="C91" i="2"/>
  <c r="C91" i="1" s="1"/>
  <c r="O90" i="2"/>
  <c r="O90" i="1" s="1"/>
  <c r="N90" i="2"/>
  <c r="N90" i="1" s="1"/>
  <c r="M90" i="2"/>
  <c r="M90" i="1" s="1"/>
  <c r="L90" i="2"/>
  <c r="K90"/>
  <c r="K90" i="1" s="1"/>
  <c r="J90" i="2"/>
  <c r="J90" i="1" s="1"/>
  <c r="I90" i="2"/>
  <c r="I90" i="1" s="1"/>
  <c r="H90" i="2"/>
  <c r="H90" i="1" s="1"/>
  <c r="G90" i="2"/>
  <c r="G90" i="1" s="1"/>
  <c r="F90" i="2"/>
  <c r="F90" i="1" s="1"/>
  <c r="E90" i="2"/>
  <c r="E90" i="1" s="1"/>
  <c r="D90" i="2"/>
  <c r="D90" i="1" s="1"/>
  <c r="C90" i="2"/>
  <c r="C90" i="1" s="1"/>
  <c r="O89" i="2"/>
  <c r="O89" i="1" s="1"/>
  <c r="N89" i="2"/>
  <c r="N89" i="1" s="1"/>
  <c r="M89" i="2"/>
  <c r="M89" i="1" s="1"/>
  <c r="L89" i="2"/>
  <c r="K89"/>
  <c r="K89" i="1" s="1"/>
  <c r="J89" i="2"/>
  <c r="J89" i="1" s="1"/>
  <c r="I89" i="2"/>
  <c r="I89" i="1" s="1"/>
  <c r="H89" i="2"/>
  <c r="H89" i="1" s="1"/>
  <c r="G89" i="2"/>
  <c r="G89" i="1" s="1"/>
  <c r="F89" i="2"/>
  <c r="F89" i="1" s="1"/>
  <c r="E89" i="2"/>
  <c r="E89" i="1" s="1"/>
  <c r="D89" i="2"/>
  <c r="D89" i="1" s="1"/>
  <c r="C89" i="2"/>
  <c r="C89" i="1" s="1"/>
  <c r="O88" i="2"/>
  <c r="O88" i="1" s="1"/>
  <c r="N88" i="2"/>
  <c r="N88" i="1" s="1"/>
  <c r="M88" i="2"/>
  <c r="M88" i="1" s="1"/>
  <c r="L88" i="2"/>
  <c r="K88"/>
  <c r="K88" i="1" s="1"/>
  <c r="J88" i="2"/>
  <c r="J88" i="1" s="1"/>
  <c r="I88" i="2"/>
  <c r="I88" i="1" s="1"/>
  <c r="H88" i="2"/>
  <c r="H88" i="1" s="1"/>
  <c r="G88" i="2"/>
  <c r="G88" i="1" s="1"/>
  <c r="F88" i="2"/>
  <c r="F88" i="1" s="1"/>
  <c r="E88" i="2"/>
  <c r="E88" i="1" s="1"/>
  <c r="D88" i="2"/>
  <c r="D88" i="1" s="1"/>
  <c r="C88" i="2"/>
  <c r="C88" i="1" s="1"/>
  <c r="O87" i="2"/>
  <c r="O87" i="1" s="1"/>
  <c r="N87" i="2"/>
  <c r="N87" i="1" s="1"/>
  <c r="M87" i="2"/>
  <c r="M87" i="1" s="1"/>
  <c r="L87" i="2"/>
  <c r="K87"/>
  <c r="K87" i="1" s="1"/>
  <c r="J87" i="2"/>
  <c r="J87" i="1" s="1"/>
  <c r="I87" i="2"/>
  <c r="I87" i="1" s="1"/>
  <c r="H87" i="2"/>
  <c r="H87" i="1" s="1"/>
  <c r="G87" i="2"/>
  <c r="G87" i="1" s="1"/>
  <c r="F87" i="2"/>
  <c r="F87" i="1" s="1"/>
  <c r="E87" i="2"/>
  <c r="E87" i="1" s="1"/>
  <c r="D87" i="2"/>
  <c r="D87" i="1" s="1"/>
  <c r="C87" i="2"/>
  <c r="C87" i="1" s="1"/>
  <c r="O86" i="2"/>
  <c r="O86" i="1" s="1"/>
  <c r="N86" i="2"/>
  <c r="N86" i="1" s="1"/>
  <c r="M86" i="2"/>
  <c r="M86" i="1" s="1"/>
  <c r="L86" i="2"/>
  <c r="K86"/>
  <c r="K86" i="1" s="1"/>
  <c r="J86" i="2"/>
  <c r="J86" i="1" s="1"/>
  <c r="I86" i="2"/>
  <c r="I86" i="1" s="1"/>
  <c r="H86" i="2"/>
  <c r="H86" i="1" s="1"/>
  <c r="G86" i="2"/>
  <c r="G86" i="1" s="1"/>
  <c r="F86" i="2"/>
  <c r="F86" i="1" s="1"/>
  <c r="E86" i="2"/>
  <c r="E86" i="1" s="1"/>
  <c r="D86" i="2"/>
  <c r="D86" i="1" s="1"/>
  <c r="C86" i="2"/>
  <c r="C86" i="1" s="1"/>
  <c r="O85" i="2"/>
  <c r="O85" i="1" s="1"/>
  <c r="N85" i="2"/>
  <c r="N85" i="1" s="1"/>
  <c r="M85" i="2"/>
  <c r="M85" i="1" s="1"/>
  <c r="L85" i="2"/>
  <c r="K85"/>
  <c r="K85" i="1" s="1"/>
  <c r="J85" i="2"/>
  <c r="J85" i="1" s="1"/>
  <c r="I85" i="2"/>
  <c r="I85" i="1" s="1"/>
  <c r="H85" i="2"/>
  <c r="H85" i="1" s="1"/>
  <c r="G85" i="2"/>
  <c r="G85" i="1" s="1"/>
  <c r="F85" i="2"/>
  <c r="F85" i="1" s="1"/>
  <c r="E85" i="2"/>
  <c r="E85" i="1" s="1"/>
  <c r="D85" i="2"/>
  <c r="D85" i="1" s="1"/>
  <c r="C85" i="2"/>
  <c r="C85" i="1" s="1"/>
  <c r="O84" i="2"/>
  <c r="O84" i="1" s="1"/>
  <c r="N84" i="2"/>
  <c r="N84" i="1" s="1"/>
  <c r="M84" i="2"/>
  <c r="M84" i="1" s="1"/>
  <c r="L84" i="2"/>
  <c r="K84"/>
  <c r="K84" i="1" s="1"/>
  <c r="J84" i="2"/>
  <c r="J84" i="1" s="1"/>
  <c r="I84" i="2"/>
  <c r="I84" i="1" s="1"/>
  <c r="H84" i="2"/>
  <c r="H84" i="1" s="1"/>
  <c r="G84" i="2"/>
  <c r="G84" i="1" s="1"/>
  <c r="F84" i="2"/>
  <c r="F84" i="1" s="1"/>
  <c r="E84" i="2"/>
  <c r="E84" i="1" s="1"/>
  <c r="D84" i="2"/>
  <c r="D84" i="1" s="1"/>
  <c r="C84" i="2"/>
  <c r="C84" i="1" s="1"/>
  <c r="O83" i="2"/>
  <c r="O83" i="1" s="1"/>
  <c r="N83" i="2"/>
  <c r="N83" i="1" s="1"/>
  <c r="M83" i="2"/>
  <c r="M83" i="1" s="1"/>
  <c r="L83" i="2"/>
  <c r="K83"/>
  <c r="K83" i="1" s="1"/>
  <c r="J83" i="2"/>
  <c r="J83" i="1" s="1"/>
  <c r="I83" i="2"/>
  <c r="I83" i="1" s="1"/>
  <c r="H83" i="2"/>
  <c r="H83" i="1" s="1"/>
  <c r="G83" i="2"/>
  <c r="G83" i="1" s="1"/>
  <c r="F83" i="2"/>
  <c r="F83" i="1" s="1"/>
  <c r="E83" i="2"/>
  <c r="E83" i="1" s="1"/>
  <c r="D83" i="2"/>
  <c r="D83" i="1" s="1"/>
  <c r="C83" i="2"/>
  <c r="C83" i="1" s="1"/>
  <c r="O82" i="2"/>
  <c r="O82" i="1" s="1"/>
  <c r="N82" i="2"/>
  <c r="N82" i="1" s="1"/>
  <c r="M82" i="2"/>
  <c r="M82" i="1" s="1"/>
  <c r="L82" i="2"/>
  <c r="K82"/>
  <c r="K82" i="1" s="1"/>
  <c r="J82" i="2"/>
  <c r="J82" i="1" s="1"/>
  <c r="I82" i="2"/>
  <c r="I82" i="1" s="1"/>
  <c r="H82" i="2"/>
  <c r="H82" i="1" s="1"/>
  <c r="G82" i="2"/>
  <c r="G82" i="1" s="1"/>
  <c r="F82" i="2"/>
  <c r="F82" i="1" s="1"/>
  <c r="E82" i="2"/>
  <c r="E82" i="1" s="1"/>
  <c r="D82" i="2"/>
  <c r="D82" i="1" s="1"/>
  <c r="C82" i="2"/>
  <c r="C82" i="1" s="1"/>
  <c r="O81" i="2"/>
  <c r="O81" i="1" s="1"/>
  <c r="N81" i="2"/>
  <c r="N81" i="1" s="1"/>
  <c r="M81" i="2"/>
  <c r="M81" i="1" s="1"/>
  <c r="L81" i="2"/>
  <c r="K81"/>
  <c r="K81" i="1" s="1"/>
  <c r="J81" i="2"/>
  <c r="J81" i="1" s="1"/>
  <c r="I81" i="2"/>
  <c r="I81" i="1" s="1"/>
  <c r="H81" i="2"/>
  <c r="H81" i="1" s="1"/>
  <c r="G81" i="2"/>
  <c r="G81" i="1" s="1"/>
  <c r="F81" i="2"/>
  <c r="F81" i="1" s="1"/>
  <c r="E81" i="2"/>
  <c r="E81" i="1" s="1"/>
  <c r="D81" i="2"/>
  <c r="D81" i="1" s="1"/>
  <c r="C81" i="2"/>
  <c r="C81" i="1" s="1"/>
  <c r="O80" i="2"/>
  <c r="O80" i="1" s="1"/>
  <c r="N80" i="2"/>
  <c r="N80" i="1" s="1"/>
  <c r="M80" i="2"/>
  <c r="M80" i="1" s="1"/>
  <c r="L80" i="2"/>
  <c r="K80"/>
  <c r="K80" i="1" s="1"/>
  <c r="J80" i="2"/>
  <c r="J80" i="1" s="1"/>
  <c r="I80" i="2"/>
  <c r="I80" i="1" s="1"/>
  <c r="H80" i="2"/>
  <c r="H80" i="1" s="1"/>
  <c r="G80" i="2"/>
  <c r="G80" i="1" s="1"/>
  <c r="F80" i="2"/>
  <c r="F80" i="1" s="1"/>
  <c r="E80" i="2"/>
  <c r="E80" i="1" s="1"/>
  <c r="D80" i="2"/>
  <c r="D80" i="1" s="1"/>
  <c r="C80" i="2"/>
  <c r="C80" i="1" s="1"/>
  <c r="O79" i="2"/>
  <c r="O79" i="1" s="1"/>
  <c r="N79" i="2"/>
  <c r="N79" i="1" s="1"/>
  <c r="M79" i="2"/>
  <c r="M79" i="1" s="1"/>
  <c r="L79" i="2"/>
  <c r="K79"/>
  <c r="K79" i="1" s="1"/>
  <c r="J79" i="2"/>
  <c r="J79" i="1" s="1"/>
  <c r="I79" i="2"/>
  <c r="I79" i="1" s="1"/>
  <c r="H79" i="2"/>
  <c r="H79" i="1" s="1"/>
  <c r="G79" i="2"/>
  <c r="G79" i="1" s="1"/>
  <c r="F79" i="2"/>
  <c r="F79" i="1" s="1"/>
  <c r="E79" i="2"/>
  <c r="E79" i="1" s="1"/>
  <c r="D79" i="2"/>
  <c r="D79" i="1" s="1"/>
  <c r="C79" i="2"/>
  <c r="C79" i="1" s="1"/>
  <c r="O78" i="2"/>
  <c r="O78" i="1" s="1"/>
  <c r="N78" i="2"/>
  <c r="N78" i="1" s="1"/>
  <c r="M78" i="2"/>
  <c r="M78" i="1" s="1"/>
  <c r="L78" i="2"/>
  <c r="K78"/>
  <c r="K78" i="1" s="1"/>
  <c r="J78" i="2"/>
  <c r="J78" i="1" s="1"/>
  <c r="I78" i="2"/>
  <c r="I78" i="1" s="1"/>
  <c r="H78" i="2"/>
  <c r="H78" i="1" s="1"/>
  <c r="G78" i="2"/>
  <c r="G78" i="1" s="1"/>
  <c r="F78" i="2"/>
  <c r="F78" i="1" s="1"/>
  <c r="E78" i="2"/>
  <c r="E78" i="1" s="1"/>
  <c r="D78" i="2"/>
  <c r="D78" i="1" s="1"/>
  <c r="C78" i="2"/>
  <c r="C78" i="1" s="1"/>
  <c r="O77" i="2"/>
  <c r="O77" i="1" s="1"/>
  <c r="N77" i="2"/>
  <c r="N77" i="1" s="1"/>
  <c r="M77" i="2"/>
  <c r="M77" i="1" s="1"/>
  <c r="L77" i="2"/>
  <c r="K77"/>
  <c r="K77" i="1" s="1"/>
  <c r="J77" i="2"/>
  <c r="J77" i="1" s="1"/>
  <c r="I77" i="2"/>
  <c r="I77" i="1" s="1"/>
  <c r="H77" i="2"/>
  <c r="H77" i="1" s="1"/>
  <c r="G77" i="2"/>
  <c r="G77" i="1" s="1"/>
  <c r="F77" i="2"/>
  <c r="F77" i="1" s="1"/>
  <c r="E77" i="2"/>
  <c r="E77" i="1" s="1"/>
  <c r="D77" i="2"/>
  <c r="D77" i="1" s="1"/>
  <c r="C77" i="2"/>
  <c r="C77" i="1" s="1"/>
  <c r="O76" i="2"/>
  <c r="O76" i="1" s="1"/>
  <c r="N76" i="2"/>
  <c r="N76" i="1" s="1"/>
  <c r="M76" i="2"/>
  <c r="M76" i="1" s="1"/>
  <c r="L76" i="2"/>
  <c r="K76"/>
  <c r="K76" i="1" s="1"/>
  <c r="J76" i="2"/>
  <c r="J76" i="1" s="1"/>
  <c r="I76" i="2"/>
  <c r="I76" i="1" s="1"/>
  <c r="H76" i="2"/>
  <c r="H76" i="1" s="1"/>
  <c r="G76" i="2"/>
  <c r="G76" i="1" s="1"/>
  <c r="F76" i="2"/>
  <c r="F76" i="1" s="1"/>
  <c r="E76" i="2"/>
  <c r="E76" i="1" s="1"/>
  <c r="D76" i="2"/>
  <c r="D76" i="1" s="1"/>
  <c r="C76" i="2"/>
  <c r="C76" i="1" s="1"/>
  <c r="O75" i="2"/>
  <c r="O75" i="1" s="1"/>
  <c r="N75" i="2"/>
  <c r="N75" i="1" s="1"/>
  <c r="M75" i="2"/>
  <c r="M75" i="1" s="1"/>
  <c r="L75" i="2"/>
  <c r="K75"/>
  <c r="K75" i="1" s="1"/>
  <c r="J75" i="2"/>
  <c r="J75" i="1" s="1"/>
  <c r="I75" i="2"/>
  <c r="I75" i="1" s="1"/>
  <c r="H75" i="2"/>
  <c r="H75" i="1" s="1"/>
  <c r="G75" i="2"/>
  <c r="G75" i="1" s="1"/>
  <c r="F75" i="2"/>
  <c r="F75" i="1" s="1"/>
  <c r="E75" i="2"/>
  <c r="E75" i="1" s="1"/>
  <c r="D75" i="2"/>
  <c r="D75" i="1" s="1"/>
  <c r="C75" i="2"/>
  <c r="C75" i="1" s="1"/>
  <c r="O74" i="2"/>
  <c r="O74" i="1" s="1"/>
  <c r="N74" i="2"/>
  <c r="N74" i="1" s="1"/>
  <c r="M74" i="2"/>
  <c r="M74" i="1" s="1"/>
  <c r="L74" i="2"/>
  <c r="K74"/>
  <c r="K74" i="1" s="1"/>
  <c r="J74" i="2"/>
  <c r="J74" i="1" s="1"/>
  <c r="I74" i="2"/>
  <c r="I74" i="1" s="1"/>
  <c r="H74" i="2"/>
  <c r="H74" i="1" s="1"/>
  <c r="G74" i="2"/>
  <c r="G74" i="1" s="1"/>
  <c r="F74" i="2"/>
  <c r="F74" i="1" s="1"/>
  <c r="E74" i="2"/>
  <c r="E74" i="1" s="1"/>
  <c r="D74" i="2"/>
  <c r="D74" i="1" s="1"/>
  <c r="C74" i="2"/>
  <c r="C74" i="1" s="1"/>
  <c r="O73" i="2"/>
  <c r="O73" i="1" s="1"/>
  <c r="N73" i="2"/>
  <c r="N73" i="1" s="1"/>
  <c r="M73" i="2"/>
  <c r="M73" i="1" s="1"/>
  <c r="L73" i="2"/>
  <c r="AA73" s="1"/>
  <c r="K73"/>
  <c r="K73" i="1" s="1"/>
  <c r="J73" i="2"/>
  <c r="J73" i="1" s="1"/>
  <c r="I73" i="2"/>
  <c r="I73" i="1" s="1"/>
  <c r="H73" i="2"/>
  <c r="H73" i="1" s="1"/>
  <c r="G73" i="2"/>
  <c r="G73" i="1" s="1"/>
  <c r="F73" i="2"/>
  <c r="F73" i="1" s="1"/>
  <c r="E73" i="2"/>
  <c r="E73" i="1" s="1"/>
  <c r="D73" i="2"/>
  <c r="D73" i="1" s="1"/>
  <c r="C73" i="2"/>
  <c r="C73" i="1" s="1"/>
  <c r="O72" i="2"/>
  <c r="O72" i="1" s="1"/>
  <c r="N72" i="2"/>
  <c r="N72" i="1" s="1"/>
  <c r="M72" i="2"/>
  <c r="M72" i="1" s="1"/>
  <c r="L72" i="2"/>
  <c r="K72"/>
  <c r="K72" i="1" s="1"/>
  <c r="J72" i="2"/>
  <c r="J72" i="1" s="1"/>
  <c r="I72" i="2"/>
  <c r="I72" i="1" s="1"/>
  <c r="H72" i="2"/>
  <c r="H72" i="1" s="1"/>
  <c r="G72" i="2"/>
  <c r="G72" i="1" s="1"/>
  <c r="F72" i="2"/>
  <c r="F72" i="1" s="1"/>
  <c r="E72" i="2"/>
  <c r="E72" i="1" s="1"/>
  <c r="D72" i="2"/>
  <c r="D72" i="1" s="1"/>
  <c r="C72" i="2"/>
  <c r="C72" i="1" s="1"/>
  <c r="O71" i="2"/>
  <c r="O71" i="1" s="1"/>
  <c r="N71" i="2"/>
  <c r="N71" i="1" s="1"/>
  <c r="M71" i="2"/>
  <c r="M71" i="1" s="1"/>
  <c r="L71" i="2"/>
  <c r="K71"/>
  <c r="K71" i="1" s="1"/>
  <c r="J71" i="2"/>
  <c r="J71" i="1" s="1"/>
  <c r="I71" i="2"/>
  <c r="I71" i="1" s="1"/>
  <c r="H71" i="2"/>
  <c r="H71" i="1" s="1"/>
  <c r="G71" i="2"/>
  <c r="G71" i="1" s="1"/>
  <c r="F71" i="2"/>
  <c r="F71" i="1" s="1"/>
  <c r="E71" i="2"/>
  <c r="E71" i="1" s="1"/>
  <c r="D71" i="2"/>
  <c r="D71" i="1" s="1"/>
  <c r="C71" i="2"/>
  <c r="C71" i="1" s="1"/>
  <c r="O70" i="2"/>
  <c r="O70" i="1" s="1"/>
  <c r="N70" i="2"/>
  <c r="N70" i="1" s="1"/>
  <c r="M70" i="2"/>
  <c r="M70" i="1" s="1"/>
  <c r="L70" i="2"/>
  <c r="K70"/>
  <c r="K70" i="1" s="1"/>
  <c r="J70" i="2"/>
  <c r="J70" i="1" s="1"/>
  <c r="I70" i="2"/>
  <c r="I70" i="1" s="1"/>
  <c r="H70" i="2"/>
  <c r="H70" i="1" s="1"/>
  <c r="G70" i="2"/>
  <c r="G70" i="1" s="1"/>
  <c r="F70" i="2"/>
  <c r="F70" i="1" s="1"/>
  <c r="E70" i="2"/>
  <c r="E70" i="1" s="1"/>
  <c r="D70" i="2"/>
  <c r="D70" i="1" s="1"/>
  <c r="C70" i="2"/>
  <c r="C70" i="1" s="1"/>
  <c r="O69" i="2"/>
  <c r="O69" i="1" s="1"/>
  <c r="N69" i="2"/>
  <c r="N69" i="1" s="1"/>
  <c r="M69" i="2"/>
  <c r="M69" i="1" s="1"/>
  <c r="L69" i="2"/>
  <c r="K69"/>
  <c r="K69" i="1" s="1"/>
  <c r="J69" i="2"/>
  <c r="J69" i="1" s="1"/>
  <c r="I69" i="2"/>
  <c r="I69" i="1" s="1"/>
  <c r="H69" i="2"/>
  <c r="H69" i="1" s="1"/>
  <c r="G69" i="2"/>
  <c r="G69" i="1" s="1"/>
  <c r="F69" i="2"/>
  <c r="F69" i="1" s="1"/>
  <c r="E69" i="2"/>
  <c r="E69" i="1" s="1"/>
  <c r="D69" i="2"/>
  <c r="D69" i="1" s="1"/>
  <c r="C69" i="2"/>
  <c r="C69" i="1" s="1"/>
  <c r="O68" i="2"/>
  <c r="O68" i="1" s="1"/>
  <c r="N68" i="2"/>
  <c r="N68" i="1" s="1"/>
  <c r="M68" i="2"/>
  <c r="M68" i="1" s="1"/>
  <c r="L68" i="2"/>
  <c r="K68"/>
  <c r="K68" i="1" s="1"/>
  <c r="J68" i="2"/>
  <c r="J68" i="1" s="1"/>
  <c r="I68" i="2"/>
  <c r="I68" i="1" s="1"/>
  <c r="H68" i="2"/>
  <c r="H68" i="1" s="1"/>
  <c r="G68" i="2"/>
  <c r="G68" i="1" s="1"/>
  <c r="F68" i="2"/>
  <c r="F68" i="1" s="1"/>
  <c r="E68" i="2"/>
  <c r="E68" i="1" s="1"/>
  <c r="D68" i="2"/>
  <c r="D68" i="1" s="1"/>
  <c r="C68" i="2"/>
  <c r="C68" i="1" s="1"/>
  <c r="O67" i="2"/>
  <c r="O67" i="1" s="1"/>
  <c r="N67" i="2"/>
  <c r="N67" i="1" s="1"/>
  <c r="M67" i="2"/>
  <c r="M67" i="1" s="1"/>
  <c r="L67" i="2"/>
  <c r="K67"/>
  <c r="K67" i="1" s="1"/>
  <c r="J67" i="2"/>
  <c r="J67" i="1" s="1"/>
  <c r="I67" i="2"/>
  <c r="I67" i="1" s="1"/>
  <c r="H67" i="2"/>
  <c r="H67" i="1" s="1"/>
  <c r="G67" i="2"/>
  <c r="G67" i="1" s="1"/>
  <c r="F67" i="2"/>
  <c r="F67" i="1" s="1"/>
  <c r="E67" i="2"/>
  <c r="E67" i="1" s="1"/>
  <c r="D67" i="2"/>
  <c r="D67" i="1" s="1"/>
  <c r="C67" i="2"/>
  <c r="C67" i="1" s="1"/>
  <c r="O66" i="2"/>
  <c r="O66" i="1" s="1"/>
  <c r="N66" i="2"/>
  <c r="N66" i="1" s="1"/>
  <c r="M66" i="2"/>
  <c r="M66" i="1" s="1"/>
  <c r="L66" i="2"/>
  <c r="K66"/>
  <c r="K66" i="1" s="1"/>
  <c r="J66" i="2"/>
  <c r="J66" i="1" s="1"/>
  <c r="I66" i="2"/>
  <c r="I66" i="1" s="1"/>
  <c r="H66" i="2"/>
  <c r="H66" i="1" s="1"/>
  <c r="G66" i="2"/>
  <c r="G66" i="1" s="1"/>
  <c r="F66" i="2"/>
  <c r="F66" i="1" s="1"/>
  <c r="E66" i="2"/>
  <c r="E66" i="1" s="1"/>
  <c r="D66" i="2"/>
  <c r="D66" i="1" s="1"/>
  <c r="C66" i="2"/>
  <c r="C66" i="1" s="1"/>
  <c r="O65" i="2"/>
  <c r="O65" i="1" s="1"/>
  <c r="N65" i="2"/>
  <c r="N65" i="1" s="1"/>
  <c r="M65" i="2"/>
  <c r="M65" i="1" s="1"/>
  <c r="L65" i="2"/>
  <c r="AA65" s="1"/>
  <c r="K65"/>
  <c r="K65" i="1" s="1"/>
  <c r="J65" i="2"/>
  <c r="J65" i="1" s="1"/>
  <c r="I65" i="2"/>
  <c r="I65" i="1" s="1"/>
  <c r="H65" i="2"/>
  <c r="H65" i="1" s="1"/>
  <c r="G65" i="2"/>
  <c r="G65" i="1" s="1"/>
  <c r="F65" i="2"/>
  <c r="F65" i="1" s="1"/>
  <c r="E65" i="2"/>
  <c r="E65" i="1" s="1"/>
  <c r="D65" i="2"/>
  <c r="D65" i="1" s="1"/>
  <c r="C65" i="2"/>
  <c r="C65" i="1" s="1"/>
  <c r="O64" i="2"/>
  <c r="O64" i="1" s="1"/>
  <c r="N64" i="2"/>
  <c r="N64" i="1" s="1"/>
  <c r="M64" i="2"/>
  <c r="M64" i="1" s="1"/>
  <c r="L64" i="2"/>
  <c r="K64"/>
  <c r="K64" i="1" s="1"/>
  <c r="J64" i="2"/>
  <c r="J64" i="1" s="1"/>
  <c r="I64" i="2"/>
  <c r="I64" i="1" s="1"/>
  <c r="H64" i="2"/>
  <c r="H64" i="1" s="1"/>
  <c r="G64" i="2"/>
  <c r="G64" i="1" s="1"/>
  <c r="F64" i="2"/>
  <c r="F64" i="1" s="1"/>
  <c r="E64" i="2"/>
  <c r="E64" i="1" s="1"/>
  <c r="D64" i="2"/>
  <c r="D64" i="1" s="1"/>
  <c r="C64" i="2"/>
  <c r="C64" i="1" s="1"/>
  <c r="O63" i="2"/>
  <c r="O63" i="1" s="1"/>
  <c r="N63" i="2"/>
  <c r="N63" i="1" s="1"/>
  <c r="M63" i="2"/>
  <c r="M63" i="1" s="1"/>
  <c r="L63" i="2"/>
  <c r="K63"/>
  <c r="K63" i="1" s="1"/>
  <c r="J63" i="2"/>
  <c r="J63" i="1" s="1"/>
  <c r="I63" i="2"/>
  <c r="I63" i="1" s="1"/>
  <c r="H63" i="2"/>
  <c r="H63" i="1" s="1"/>
  <c r="G63" i="2"/>
  <c r="G63" i="1" s="1"/>
  <c r="F63" i="2"/>
  <c r="F63" i="1" s="1"/>
  <c r="E63" i="2"/>
  <c r="E63" i="1" s="1"/>
  <c r="D63" i="2"/>
  <c r="D63" i="1" s="1"/>
  <c r="C63" i="2"/>
  <c r="C63" i="1" s="1"/>
  <c r="O62" i="2"/>
  <c r="O62" i="1" s="1"/>
  <c r="N62" i="2"/>
  <c r="N62" i="1" s="1"/>
  <c r="M62" i="2"/>
  <c r="M62" i="1" s="1"/>
  <c r="L62" i="2"/>
  <c r="K62"/>
  <c r="K62" i="1" s="1"/>
  <c r="J62" i="2"/>
  <c r="J62" i="1" s="1"/>
  <c r="I62" i="2"/>
  <c r="I62" i="1" s="1"/>
  <c r="H62" i="2"/>
  <c r="H62" i="1" s="1"/>
  <c r="G62" i="2"/>
  <c r="G62" i="1" s="1"/>
  <c r="F62" i="2"/>
  <c r="F62" i="1" s="1"/>
  <c r="E62" i="2"/>
  <c r="E62" i="1" s="1"/>
  <c r="D62" i="2"/>
  <c r="D62" i="1" s="1"/>
  <c r="C62" i="2"/>
  <c r="C62" i="1" s="1"/>
  <c r="O61" i="2"/>
  <c r="O61" i="1" s="1"/>
  <c r="N61" i="2"/>
  <c r="N61" i="1" s="1"/>
  <c r="M61" i="2"/>
  <c r="M61" i="1" s="1"/>
  <c r="L61" i="2"/>
  <c r="K61"/>
  <c r="K61" i="1" s="1"/>
  <c r="J61" i="2"/>
  <c r="J61" i="1" s="1"/>
  <c r="I61" i="2"/>
  <c r="I61" i="1" s="1"/>
  <c r="H61" i="2"/>
  <c r="H61" i="1" s="1"/>
  <c r="G61" i="2"/>
  <c r="G61" i="1" s="1"/>
  <c r="F61" i="2"/>
  <c r="F61" i="1" s="1"/>
  <c r="E61" i="2"/>
  <c r="E61" i="1" s="1"/>
  <c r="D61" i="2"/>
  <c r="D61" i="1" s="1"/>
  <c r="C61" i="2"/>
  <c r="C61" i="1" s="1"/>
  <c r="O60" i="2"/>
  <c r="O60" i="1" s="1"/>
  <c r="N60" i="2"/>
  <c r="N60" i="1" s="1"/>
  <c r="M60" i="2"/>
  <c r="M60" i="1" s="1"/>
  <c r="L60" i="2"/>
  <c r="K60"/>
  <c r="K60" i="1" s="1"/>
  <c r="J60" i="2"/>
  <c r="J60" i="1" s="1"/>
  <c r="I60" i="2"/>
  <c r="I60" i="1" s="1"/>
  <c r="H60" i="2"/>
  <c r="H60" i="1" s="1"/>
  <c r="G60" i="2"/>
  <c r="G60" i="1" s="1"/>
  <c r="F60" i="2"/>
  <c r="F60" i="1" s="1"/>
  <c r="E60" i="2"/>
  <c r="E60" i="1" s="1"/>
  <c r="D60" i="2"/>
  <c r="D60" i="1" s="1"/>
  <c r="C60" i="2"/>
  <c r="C60" i="1" s="1"/>
  <c r="O59" i="2"/>
  <c r="O59" i="1" s="1"/>
  <c r="N59" i="2"/>
  <c r="N59" i="1" s="1"/>
  <c r="M59" i="2"/>
  <c r="M59" i="1" s="1"/>
  <c r="L59" i="2"/>
  <c r="K59"/>
  <c r="K59" i="1" s="1"/>
  <c r="J59" i="2"/>
  <c r="J59" i="1" s="1"/>
  <c r="I59" i="2"/>
  <c r="I59" i="1" s="1"/>
  <c r="H59" i="2"/>
  <c r="H59" i="1" s="1"/>
  <c r="G59" i="2"/>
  <c r="G59" i="1" s="1"/>
  <c r="F59" i="2"/>
  <c r="F59" i="1" s="1"/>
  <c r="E59" i="2"/>
  <c r="E59" i="1" s="1"/>
  <c r="D59" i="2"/>
  <c r="D59" i="1" s="1"/>
  <c r="C59" i="2"/>
  <c r="C59" i="1" s="1"/>
  <c r="O58" i="2"/>
  <c r="O58" i="1" s="1"/>
  <c r="N58" i="2"/>
  <c r="N58" i="1" s="1"/>
  <c r="M58" i="2"/>
  <c r="M58" i="1" s="1"/>
  <c r="L58" i="2"/>
  <c r="K58"/>
  <c r="K58" i="1" s="1"/>
  <c r="J58" i="2"/>
  <c r="J58" i="1" s="1"/>
  <c r="I58" i="2"/>
  <c r="I58" i="1" s="1"/>
  <c r="H58" i="2"/>
  <c r="H58" i="1" s="1"/>
  <c r="G58" i="2"/>
  <c r="G58" i="1" s="1"/>
  <c r="F58" i="2"/>
  <c r="F58" i="1" s="1"/>
  <c r="E58" i="2"/>
  <c r="E58" i="1" s="1"/>
  <c r="D58" i="2"/>
  <c r="D58" i="1" s="1"/>
  <c r="C58" i="2"/>
  <c r="C58" i="1" s="1"/>
  <c r="O57" i="2"/>
  <c r="O57" i="1" s="1"/>
  <c r="N57" i="2"/>
  <c r="N57" i="1" s="1"/>
  <c r="M57" i="2"/>
  <c r="M57" i="1" s="1"/>
  <c r="L57" i="2"/>
  <c r="AA57" s="1"/>
  <c r="K57"/>
  <c r="K57" i="1" s="1"/>
  <c r="J57" i="2"/>
  <c r="J57" i="1" s="1"/>
  <c r="I57" i="2"/>
  <c r="I57" i="1" s="1"/>
  <c r="H57" i="2"/>
  <c r="H57" i="1" s="1"/>
  <c r="G57" i="2"/>
  <c r="G57" i="1" s="1"/>
  <c r="F57" i="2"/>
  <c r="F57" i="1" s="1"/>
  <c r="E57" i="2"/>
  <c r="E57" i="1" s="1"/>
  <c r="D57" i="2"/>
  <c r="D57" i="1" s="1"/>
  <c r="C57" i="2"/>
  <c r="C57" i="1" s="1"/>
  <c r="O56" i="2"/>
  <c r="O56" i="1" s="1"/>
  <c r="N56" i="2"/>
  <c r="N56" i="1" s="1"/>
  <c r="M56" i="2"/>
  <c r="M56" i="1" s="1"/>
  <c r="L56" i="2"/>
  <c r="K56"/>
  <c r="K56" i="1" s="1"/>
  <c r="J56" i="2"/>
  <c r="J56" i="1" s="1"/>
  <c r="I56" i="2"/>
  <c r="I56" i="1" s="1"/>
  <c r="H56" i="2"/>
  <c r="H56" i="1" s="1"/>
  <c r="G56" i="2"/>
  <c r="G56" i="1" s="1"/>
  <c r="F56" i="2"/>
  <c r="F56" i="1" s="1"/>
  <c r="E56" i="2"/>
  <c r="E56" i="1" s="1"/>
  <c r="D56" i="2"/>
  <c r="D56" i="1" s="1"/>
  <c r="C56" i="2"/>
  <c r="C56" i="1" s="1"/>
  <c r="O55" i="2"/>
  <c r="O55" i="1" s="1"/>
  <c r="N55" i="2"/>
  <c r="N55" i="1" s="1"/>
  <c r="M55" i="2"/>
  <c r="M55" i="1" s="1"/>
  <c r="L55" i="2"/>
  <c r="K55"/>
  <c r="K55" i="1" s="1"/>
  <c r="J55" i="2"/>
  <c r="J55" i="1" s="1"/>
  <c r="I55" i="2"/>
  <c r="I55" i="1" s="1"/>
  <c r="H55" i="2"/>
  <c r="H55" i="1" s="1"/>
  <c r="G55" i="2"/>
  <c r="G55" i="1" s="1"/>
  <c r="F55" i="2"/>
  <c r="F55" i="1" s="1"/>
  <c r="E55" i="2"/>
  <c r="E55" i="1" s="1"/>
  <c r="D55" i="2"/>
  <c r="D55" i="1" s="1"/>
  <c r="C55" i="2"/>
  <c r="C55" i="1" s="1"/>
  <c r="O54" i="2"/>
  <c r="O54" i="1" s="1"/>
  <c r="N54" i="2"/>
  <c r="N54" i="1" s="1"/>
  <c r="M54" i="2"/>
  <c r="M54" i="1" s="1"/>
  <c r="L54" i="2"/>
  <c r="K54"/>
  <c r="K54" i="1" s="1"/>
  <c r="J54" i="2"/>
  <c r="J54" i="1" s="1"/>
  <c r="I54" i="2"/>
  <c r="I54" i="1" s="1"/>
  <c r="H54" i="2"/>
  <c r="H54" i="1" s="1"/>
  <c r="G54" i="2"/>
  <c r="G54" i="1" s="1"/>
  <c r="F54" i="2"/>
  <c r="F54" i="1" s="1"/>
  <c r="E54" i="2"/>
  <c r="E54" i="1" s="1"/>
  <c r="D54" i="2"/>
  <c r="D54" i="1" s="1"/>
  <c r="C54" i="2"/>
  <c r="C54" i="1" s="1"/>
  <c r="O53" i="2"/>
  <c r="O53" i="1" s="1"/>
  <c r="N53" i="2"/>
  <c r="N53" i="1" s="1"/>
  <c r="M53" i="2"/>
  <c r="M53" i="1" s="1"/>
  <c r="L53" i="2"/>
  <c r="K53"/>
  <c r="K53" i="1" s="1"/>
  <c r="J53" i="2"/>
  <c r="J53" i="1" s="1"/>
  <c r="I53" i="2"/>
  <c r="I53" i="1" s="1"/>
  <c r="H53" i="2"/>
  <c r="H53" i="1" s="1"/>
  <c r="G53" i="2"/>
  <c r="G53" i="1" s="1"/>
  <c r="F53" i="2"/>
  <c r="F53" i="1" s="1"/>
  <c r="E53" i="2"/>
  <c r="E53" i="1" s="1"/>
  <c r="D53" i="2"/>
  <c r="D53" i="1" s="1"/>
  <c r="C53" i="2"/>
  <c r="C53" i="1" s="1"/>
  <c r="O52" i="2"/>
  <c r="O52" i="1" s="1"/>
  <c r="N52" i="2"/>
  <c r="N52" i="1" s="1"/>
  <c r="M52" i="2"/>
  <c r="M52" i="1" s="1"/>
  <c r="L52" i="2"/>
  <c r="K52"/>
  <c r="K52" i="1" s="1"/>
  <c r="J52" i="2"/>
  <c r="J52" i="1" s="1"/>
  <c r="I52" i="2"/>
  <c r="I52" i="1" s="1"/>
  <c r="H52" i="2"/>
  <c r="H52" i="1" s="1"/>
  <c r="G52" i="2"/>
  <c r="G52" i="1" s="1"/>
  <c r="F52" i="2"/>
  <c r="F52" i="1" s="1"/>
  <c r="E52" i="2"/>
  <c r="E52" i="1" s="1"/>
  <c r="D52" i="2"/>
  <c r="D52" i="1" s="1"/>
  <c r="C52" i="2"/>
  <c r="C52" i="1" s="1"/>
  <c r="O51" i="2"/>
  <c r="O51" i="1" s="1"/>
  <c r="N51" i="2"/>
  <c r="N51" i="1" s="1"/>
  <c r="M51" i="2"/>
  <c r="M51" i="1" s="1"/>
  <c r="L51" i="2"/>
  <c r="K51"/>
  <c r="K51" i="1" s="1"/>
  <c r="J51" i="2"/>
  <c r="J51" i="1" s="1"/>
  <c r="I51" i="2"/>
  <c r="I51" i="1" s="1"/>
  <c r="H51" i="2"/>
  <c r="H51" i="1" s="1"/>
  <c r="G51" i="2"/>
  <c r="G51" i="1" s="1"/>
  <c r="F51" i="2"/>
  <c r="F51" i="1" s="1"/>
  <c r="E51" i="2"/>
  <c r="E51" i="1" s="1"/>
  <c r="D51" i="2"/>
  <c r="D51" i="1" s="1"/>
  <c r="C51" i="2"/>
  <c r="C51" i="1" s="1"/>
  <c r="O50" i="2"/>
  <c r="O50" i="1" s="1"/>
  <c r="N50" i="2"/>
  <c r="N50" i="1" s="1"/>
  <c r="M50" i="2"/>
  <c r="M50" i="1" s="1"/>
  <c r="L50" i="2"/>
  <c r="K50"/>
  <c r="K50" i="1" s="1"/>
  <c r="J50" i="2"/>
  <c r="J50" i="1" s="1"/>
  <c r="I50" i="2"/>
  <c r="I50" i="1" s="1"/>
  <c r="H50" i="2"/>
  <c r="H50" i="1" s="1"/>
  <c r="G50" i="2"/>
  <c r="G50" i="1" s="1"/>
  <c r="F50" i="2"/>
  <c r="F50" i="1" s="1"/>
  <c r="E50" i="2"/>
  <c r="E50" i="1" s="1"/>
  <c r="D50" i="2"/>
  <c r="D50" i="1" s="1"/>
  <c r="C50" i="2"/>
  <c r="C50" i="1" s="1"/>
  <c r="O49" i="2"/>
  <c r="O49" i="1" s="1"/>
  <c r="N49" i="2"/>
  <c r="N49" i="1" s="1"/>
  <c r="M49" i="2"/>
  <c r="M49" i="1" s="1"/>
  <c r="L49" i="2"/>
  <c r="AA49" s="1"/>
  <c r="K49"/>
  <c r="K49" i="1" s="1"/>
  <c r="J49" i="2"/>
  <c r="J49" i="1" s="1"/>
  <c r="I49" i="2"/>
  <c r="I49" i="1" s="1"/>
  <c r="H49" i="2"/>
  <c r="H49" i="1" s="1"/>
  <c r="G49" i="2"/>
  <c r="G49" i="1" s="1"/>
  <c r="F49" i="2"/>
  <c r="F49" i="1" s="1"/>
  <c r="E49" i="2"/>
  <c r="E49" i="1" s="1"/>
  <c r="D49" i="2"/>
  <c r="D49" i="1" s="1"/>
  <c r="C49" i="2"/>
  <c r="C49" i="1" s="1"/>
  <c r="O48" i="2"/>
  <c r="O48" i="1" s="1"/>
  <c r="N48" i="2"/>
  <c r="N48" i="1" s="1"/>
  <c r="M48" i="2"/>
  <c r="M48" i="1" s="1"/>
  <c r="L48" i="2"/>
  <c r="K48"/>
  <c r="K48" i="1" s="1"/>
  <c r="J48" i="2"/>
  <c r="J48" i="1" s="1"/>
  <c r="I48" i="2"/>
  <c r="I48" i="1" s="1"/>
  <c r="H48" i="2"/>
  <c r="H48" i="1" s="1"/>
  <c r="G48" i="2"/>
  <c r="G48" i="1" s="1"/>
  <c r="F48" i="2"/>
  <c r="F48" i="1" s="1"/>
  <c r="E48" i="2"/>
  <c r="E48" i="1" s="1"/>
  <c r="D48" i="2"/>
  <c r="D48" i="1" s="1"/>
  <c r="C48" i="2"/>
  <c r="C48" i="1" s="1"/>
  <c r="O47" i="2"/>
  <c r="O47" i="1" s="1"/>
  <c r="N47" i="2"/>
  <c r="N47" i="1" s="1"/>
  <c r="M47" i="2"/>
  <c r="M47" i="1" s="1"/>
  <c r="L47" i="2"/>
  <c r="K47"/>
  <c r="K47" i="1" s="1"/>
  <c r="J47" i="2"/>
  <c r="J47" i="1" s="1"/>
  <c r="I47" i="2"/>
  <c r="I47" i="1" s="1"/>
  <c r="H47" i="2"/>
  <c r="H47" i="1" s="1"/>
  <c r="G47" i="2"/>
  <c r="G47" i="1" s="1"/>
  <c r="F47" i="2"/>
  <c r="F47" i="1" s="1"/>
  <c r="E47" i="2"/>
  <c r="E47" i="1" s="1"/>
  <c r="D47" i="2"/>
  <c r="D47" i="1" s="1"/>
  <c r="C47" i="2"/>
  <c r="C47" i="1" s="1"/>
  <c r="O46" i="2"/>
  <c r="O46" i="1" s="1"/>
  <c r="N46" i="2"/>
  <c r="N46" i="1" s="1"/>
  <c r="M46" i="2"/>
  <c r="M46" i="1" s="1"/>
  <c r="L46" i="2"/>
  <c r="K46"/>
  <c r="K46" i="1" s="1"/>
  <c r="J46" i="2"/>
  <c r="J46" i="1" s="1"/>
  <c r="I46" i="2"/>
  <c r="I46" i="1" s="1"/>
  <c r="H46" i="2"/>
  <c r="H46" i="1" s="1"/>
  <c r="G46" i="2"/>
  <c r="G46" i="1" s="1"/>
  <c r="F46" i="2"/>
  <c r="F46" i="1" s="1"/>
  <c r="E46" i="2"/>
  <c r="E46" i="1" s="1"/>
  <c r="D46" i="2"/>
  <c r="D46" i="1" s="1"/>
  <c r="C46" i="2"/>
  <c r="C46" i="1" s="1"/>
  <c r="O45" i="2"/>
  <c r="O45" i="1" s="1"/>
  <c r="N45" i="2"/>
  <c r="N45" i="1" s="1"/>
  <c r="M45" i="2"/>
  <c r="M45" i="1" s="1"/>
  <c r="L45" i="2"/>
  <c r="K45"/>
  <c r="K45" i="1" s="1"/>
  <c r="J45" i="2"/>
  <c r="J45" i="1" s="1"/>
  <c r="I45" i="2"/>
  <c r="I45" i="1" s="1"/>
  <c r="H45" i="2"/>
  <c r="H45" i="1" s="1"/>
  <c r="G45" i="2"/>
  <c r="G45" i="1" s="1"/>
  <c r="F45" i="2"/>
  <c r="F45" i="1" s="1"/>
  <c r="E45" i="2"/>
  <c r="E45" i="1" s="1"/>
  <c r="D45" i="2"/>
  <c r="D45" i="1" s="1"/>
  <c r="C45" i="2"/>
  <c r="C45" i="1" s="1"/>
  <c r="O44" i="2"/>
  <c r="O44" i="1" s="1"/>
  <c r="N44" i="2"/>
  <c r="N44" i="1" s="1"/>
  <c r="M44" i="2"/>
  <c r="M44" i="1" s="1"/>
  <c r="L44" i="2"/>
  <c r="K44"/>
  <c r="K44" i="1" s="1"/>
  <c r="J44" i="2"/>
  <c r="J44" i="1" s="1"/>
  <c r="I44" i="2"/>
  <c r="I44" i="1" s="1"/>
  <c r="H44" i="2"/>
  <c r="H44" i="1" s="1"/>
  <c r="G44" i="2"/>
  <c r="G44" i="1" s="1"/>
  <c r="F44" i="2"/>
  <c r="F44" i="1" s="1"/>
  <c r="E44" i="2"/>
  <c r="E44" i="1" s="1"/>
  <c r="D44" i="2"/>
  <c r="D44" i="1" s="1"/>
  <c r="C44" i="2"/>
  <c r="C44" i="1" s="1"/>
  <c r="O43" i="2"/>
  <c r="O43" i="1" s="1"/>
  <c r="N43" i="2"/>
  <c r="N43" i="1" s="1"/>
  <c r="M43" i="2"/>
  <c r="M43" i="1" s="1"/>
  <c r="L43" i="2"/>
  <c r="K43"/>
  <c r="K43" i="1" s="1"/>
  <c r="J43" i="2"/>
  <c r="J43" i="1" s="1"/>
  <c r="I43" i="2"/>
  <c r="I43" i="1" s="1"/>
  <c r="H43" i="2"/>
  <c r="H43" i="1" s="1"/>
  <c r="G43" i="2"/>
  <c r="G43" i="1" s="1"/>
  <c r="F43" i="2"/>
  <c r="F43" i="1" s="1"/>
  <c r="E43" i="2"/>
  <c r="E43" i="1" s="1"/>
  <c r="D43" i="2"/>
  <c r="D43" i="1" s="1"/>
  <c r="C43" i="2"/>
  <c r="C43" i="1" s="1"/>
  <c r="O42" i="2"/>
  <c r="O42" i="1" s="1"/>
  <c r="N42" i="2"/>
  <c r="N42" i="1" s="1"/>
  <c r="M42" i="2"/>
  <c r="M42" i="1" s="1"/>
  <c r="L42" i="2"/>
  <c r="K42"/>
  <c r="K42" i="1" s="1"/>
  <c r="J42" i="2"/>
  <c r="J42" i="1" s="1"/>
  <c r="I42" i="2"/>
  <c r="I42" i="1" s="1"/>
  <c r="H42" i="2"/>
  <c r="H42" i="1" s="1"/>
  <c r="G42" i="2"/>
  <c r="G42" i="1" s="1"/>
  <c r="F42" i="2"/>
  <c r="F42" i="1" s="1"/>
  <c r="E42" i="2"/>
  <c r="E42" i="1" s="1"/>
  <c r="D42" i="2"/>
  <c r="D42" i="1" s="1"/>
  <c r="C42" i="2"/>
  <c r="C42" i="1" s="1"/>
  <c r="O41" i="2"/>
  <c r="O41" i="1" s="1"/>
  <c r="N41" i="2"/>
  <c r="N41" i="1" s="1"/>
  <c r="M41" i="2"/>
  <c r="M41" i="1" s="1"/>
  <c r="L41" i="2"/>
  <c r="AA41" s="1"/>
  <c r="K41"/>
  <c r="K41" i="1" s="1"/>
  <c r="J41" i="2"/>
  <c r="J41" i="1" s="1"/>
  <c r="I41" i="2"/>
  <c r="I41" i="1" s="1"/>
  <c r="H41" i="2"/>
  <c r="H41" i="1" s="1"/>
  <c r="G41" i="2"/>
  <c r="G41" i="1" s="1"/>
  <c r="F41" i="2"/>
  <c r="F41" i="1" s="1"/>
  <c r="E41" i="2"/>
  <c r="E41" i="1" s="1"/>
  <c r="D41" i="2"/>
  <c r="D41" i="1" s="1"/>
  <c r="C41" i="2"/>
  <c r="C41" i="1" s="1"/>
  <c r="O40" i="2"/>
  <c r="O40" i="1" s="1"/>
  <c r="N40" i="2"/>
  <c r="N40" i="1" s="1"/>
  <c r="M40" i="2"/>
  <c r="M40" i="1" s="1"/>
  <c r="L40" i="2"/>
  <c r="K40"/>
  <c r="K40" i="1" s="1"/>
  <c r="J40" i="2"/>
  <c r="J40" i="1" s="1"/>
  <c r="I40" i="2"/>
  <c r="I40" i="1" s="1"/>
  <c r="H40" i="2"/>
  <c r="H40" i="1" s="1"/>
  <c r="G40" i="2"/>
  <c r="G40" i="1" s="1"/>
  <c r="F40" i="2"/>
  <c r="F40" i="1" s="1"/>
  <c r="E40" i="2"/>
  <c r="E40" i="1" s="1"/>
  <c r="D40" i="2"/>
  <c r="D40" i="1" s="1"/>
  <c r="C40" i="2"/>
  <c r="C40" i="1" s="1"/>
  <c r="O39" i="2"/>
  <c r="O39" i="1" s="1"/>
  <c r="N39" i="2"/>
  <c r="N39" i="1" s="1"/>
  <c r="M39" i="2"/>
  <c r="M39" i="1" s="1"/>
  <c r="L39" i="2"/>
  <c r="K39"/>
  <c r="K39" i="1" s="1"/>
  <c r="J39" i="2"/>
  <c r="J39" i="1" s="1"/>
  <c r="I39" i="2"/>
  <c r="I39" i="1" s="1"/>
  <c r="H39" i="2"/>
  <c r="H39" i="1" s="1"/>
  <c r="G39" i="2"/>
  <c r="G39" i="1" s="1"/>
  <c r="F39" i="2"/>
  <c r="F39" i="1" s="1"/>
  <c r="E39" i="2"/>
  <c r="E39" i="1" s="1"/>
  <c r="D39" i="2"/>
  <c r="D39" i="1" s="1"/>
  <c r="C39" i="2"/>
  <c r="C39" i="1" s="1"/>
  <c r="O38" i="2"/>
  <c r="O38" i="1" s="1"/>
  <c r="N38" i="2"/>
  <c r="N38" i="1" s="1"/>
  <c r="M38" i="2"/>
  <c r="M38" i="1" s="1"/>
  <c r="L38" i="2"/>
  <c r="K38"/>
  <c r="K38" i="1" s="1"/>
  <c r="J38" i="2"/>
  <c r="J38" i="1" s="1"/>
  <c r="I38" i="2"/>
  <c r="I38" i="1" s="1"/>
  <c r="H38" i="2"/>
  <c r="H38" i="1" s="1"/>
  <c r="G38" i="2"/>
  <c r="G38" i="1" s="1"/>
  <c r="F38" i="2"/>
  <c r="F38" i="1" s="1"/>
  <c r="E38" i="2"/>
  <c r="E38" i="1" s="1"/>
  <c r="D38" i="2"/>
  <c r="D38" i="1" s="1"/>
  <c r="C38" i="2"/>
  <c r="C38" i="1" s="1"/>
  <c r="O37" i="2"/>
  <c r="O37" i="1" s="1"/>
  <c r="N37" i="2"/>
  <c r="N37" i="1" s="1"/>
  <c r="M37" i="2"/>
  <c r="M37" i="1" s="1"/>
  <c r="L37" i="2"/>
  <c r="K37"/>
  <c r="K37" i="1" s="1"/>
  <c r="J37" i="2"/>
  <c r="J37" i="1" s="1"/>
  <c r="I37" i="2"/>
  <c r="I37" i="1" s="1"/>
  <c r="H37" i="2"/>
  <c r="H37" i="1" s="1"/>
  <c r="G37" i="2"/>
  <c r="G37" i="1" s="1"/>
  <c r="F37" i="2"/>
  <c r="F37" i="1" s="1"/>
  <c r="E37" i="2"/>
  <c r="E37" i="1" s="1"/>
  <c r="D37" i="2"/>
  <c r="D37" i="1" s="1"/>
  <c r="C37" i="2"/>
  <c r="C37" i="1" s="1"/>
  <c r="O36" i="2"/>
  <c r="O36" i="1" s="1"/>
  <c r="N36" i="2"/>
  <c r="N36" i="1" s="1"/>
  <c r="M36" i="2"/>
  <c r="M36" i="1" s="1"/>
  <c r="L36" i="2"/>
  <c r="K36"/>
  <c r="K36" i="1" s="1"/>
  <c r="J36" i="2"/>
  <c r="J36" i="1" s="1"/>
  <c r="I36" i="2"/>
  <c r="I36" i="1" s="1"/>
  <c r="H36" i="2"/>
  <c r="H36" i="1" s="1"/>
  <c r="G36" i="2"/>
  <c r="G36" i="1" s="1"/>
  <c r="F36" i="2"/>
  <c r="F36" i="1" s="1"/>
  <c r="E36" i="2"/>
  <c r="E36" i="1" s="1"/>
  <c r="D36" i="2"/>
  <c r="D36" i="1" s="1"/>
  <c r="C36" i="2"/>
  <c r="C36" i="1" s="1"/>
  <c r="O35" i="2"/>
  <c r="O35" i="1" s="1"/>
  <c r="N35" i="2"/>
  <c r="N35" i="1" s="1"/>
  <c r="M35" i="2"/>
  <c r="M35" i="1" s="1"/>
  <c r="L35" i="2"/>
  <c r="K35"/>
  <c r="K35" i="1" s="1"/>
  <c r="J35" i="2"/>
  <c r="J35" i="1" s="1"/>
  <c r="I35" i="2"/>
  <c r="I35" i="1" s="1"/>
  <c r="H35" i="2"/>
  <c r="H35" i="1" s="1"/>
  <c r="G35" i="2"/>
  <c r="G35" i="1" s="1"/>
  <c r="F35" i="2"/>
  <c r="F35" i="1" s="1"/>
  <c r="E35" i="2"/>
  <c r="E35" i="1" s="1"/>
  <c r="D35" i="2"/>
  <c r="D35" i="1" s="1"/>
  <c r="C35" i="2"/>
  <c r="C35" i="1" s="1"/>
  <c r="O34" i="2"/>
  <c r="O34" i="1" s="1"/>
  <c r="N34" i="2"/>
  <c r="N34" i="1" s="1"/>
  <c r="M34" i="2"/>
  <c r="M34" i="1" s="1"/>
  <c r="L34" i="2"/>
  <c r="K34"/>
  <c r="K34" i="1" s="1"/>
  <c r="J34" i="2"/>
  <c r="J34" i="1" s="1"/>
  <c r="I34" i="2"/>
  <c r="I34" i="1" s="1"/>
  <c r="H34" i="2"/>
  <c r="H34" i="1" s="1"/>
  <c r="G34" i="2"/>
  <c r="G34" i="1" s="1"/>
  <c r="F34" i="2"/>
  <c r="F34" i="1" s="1"/>
  <c r="E34" i="2"/>
  <c r="E34" i="1" s="1"/>
  <c r="D34" i="2"/>
  <c r="D34" i="1" s="1"/>
  <c r="C34" i="2"/>
  <c r="C34" i="1" s="1"/>
  <c r="O33" i="2"/>
  <c r="O33" i="1" s="1"/>
  <c r="N33" i="2"/>
  <c r="N33" i="1" s="1"/>
  <c r="M33" i="2"/>
  <c r="M33" i="1" s="1"/>
  <c r="L33" i="2"/>
  <c r="AA33" s="1"/>
  <c r="K33"/>
  <c r="K33" i="1" s="1"/>
  <c r="J33" i="2"/>
  <c r="J33" i="1" s="1"/>
  <c r="I33" i="2"/>
  <c r="I33" i="1" s="1"/>
  <c r="H33" i="2"/>
  <c r="H33" i="1" s="1"/>
  <c r="G33" i="2"/>
  <c r="G33" i="1" s="1"/>
  <c r="F33" i="2"/>
  <c r="F33" i="1" s="1"/>
  <c r="E33" i="2"/>
  <c r="E33" i="1" s="1"/>
  <c r="D33" i="2"/>
  <c r="D33" i="1" s="1"/>
  <c r="C33" i="2"/>
  <c r="C33" i="1" s="1"/>
  <c r="O32" i="2"/>
  <c r="O32" i="1" s="1"/>
  <c r="N32" i="2"/>
  <c r="N32" i="1" s="1"/>
  <c r="M32" i="2"/>
  <c r="M32" i="1" s="1"/>
  <c r="L32" i="2"/>
  <c r="K32"/>
  <c r="K32" i="1" s="1"/>
  <c r="J32" i="2"/>
  <c r="J32" i="1" s="1"/>
  <c r="I32" i="2"/>
  <c r="I32" i="1" s="1"/>
  <c r="H32" i="2"/>
  <c r="H32" i="1" s="1"/>
  <c r="G32" i="2"/>
  <c r="G32" i="1" s="1"/>
  <c r="F32" i="2"/>
  <c r="F32" i="1" s="1"/>
  <c r="E32" i="2"/>
  <c r="E32" i="1" s="1"/>
  <c r="D32" i="2"/>
  <c r="D32" i="1" s="1"/>
  <c r="C32" i="2"/>
  <c r="C32" i="1" s="1"/>
  <c r="O31" i="2"/>
  <c r="O31" i="1" s="1"/>
  <c r="N31" i="2"/>
  <c r="N31" i="1" s="1"/>
  <c r="M31" i="2"/>
  <c r="M31" i="1" s="1"/>
  <c r="L31" i="2"/>
  <c r="K31"/>
  <c r="K31" i="1" s="1"/>
  <c r="J31" i="2"/>
  <c r="J31" i="1" s="1"/>
  <c r="I31" i="2"/>
  <c r="I31" i="1" s="1"/>
  <c r="H31" i="2"/>
  <c r="H31" i="1" s="1"/>
  <c r="G31" i="2"/>
  <c r="G31" i="1" s="1"/>
  <c r="F31" i="2"/>
  <c r="F31" i="1" s="1"/>
  <c r="E31" i="2"/>
  <c r="E31" i="1" s="1"/>
  <c r="D31" i="2"/>
  <c r="D31" i="1" s="1"/>
  <c r="C31" i="2"/>
  <c r="C31" i="1" s="1"/>
  <c r="O30" i="2"/>
  <c r="O30" i="1" s="1"/>
  <c r="N30" i="2"/>
  <c r="N30" i="1" s="1"/>
  <c r="M30" i="2"/>
  <c r="M30" i="1" s="1"/>
  <c r="L30" i="2"/>
  <c r="K30"/>
  <c r="K30" i="1" s="1"/>
  <c r="J30" i="2"/>
  <c r="J30" i="1" s="1"/>
  <c r="I30" i="2"/>
  <c r="I30" i="1" s="1"/>
  <c r="H30" i="2"/>
  <c r="H30" i="1" s="1"/>
  <c r="G30" i="2"/>
  <c r="G30" i="1" s="1"/>
  <c r="F30" i="2"/>
  <c r="F30" i="1" s="1"/>
  <c r="E30" i="2"/>
  <c r="E30" i="1" s="1"/>
  <c r="D30" i="2"/>
  <c r="D30" i="1" s="1"/>
  <c r="C30" i="2"/>
  <c r="C30" i="1" s="1"/>
  <c r="O29" i="2"/>
  <c r="O29" i="1" s="1"/>
  <c r="N29" i="2"/>
  <c r="N29" i="1" s="1"/>
  <c r="M29" i="2"/>
  <c r="M29" i="1" s="1"/>
  <c r="L29" i="2"/>
  <c r="K29"/>
  <c r="K29" i="1" s="1"/>
  <c r="J29" i="2"/>
  <c r="J29" i="1" s="1"/>
  <c r="I29" i="2"/>
  <c r="I29" i="1" s="1"/>
  <c r="H29" i="2"/>
  <c r="H29" i="1" s="1"/>
  <c r="G29" i="2"/>
  <c r="G29" i="1" s="1"/>
  <c r="F29" i="2"/>
  <c r="F29" i="1" s="1"/>
  <c r="E29" i="2"/>
  <c r="E29" i="1" s="1"/>
  <c r="D29" i="2"/>
  <c r="D29" i="1" s="1"/>
  <c r="C29" i="2"/>
  <c r="C29" i="1" s="1"/>
  <c r="O28" i="2"/>
  <c r="O28" i="1" s="1"/>
  <c r="N28" i="2"/>
  <c r="N28" i="1" s="1"/>
  <c r="M28" i="2"/>
  <c r="M28" i="1" s="1"/>
  <c r="L28" i="2"/>
  <c r="K28"/>
  <c r="K28" i="1" s="1"/>
  <c r="J28" i="2"/>
  <c r="J28" i="1" s="1"/>
  <c r="I28" i="2"/>
  <c r="I28" i="1" s="1"/>
  <c r="H28" i="2"/>
  <c r="H28" i="1" s="1"/>
  <c r="G28" i="2"/>
  <c r="G28" i="1" s="1"/>
  <c r="F28" i="2"/>
  <c r="F28" i="1" s="1"/>
  <c r="E28" i="2"/>
  <c r="E28" i="1" s="1"/>
  <c r="D28" i="2"/>
  <c r="D28" i="1" s="1"/>
  <c r="C28" i="2"/>
  <c r="C28" i="1" s="1"/>
  <c r="O27" i="2"/>
  <c r="O27" i="1" s="1"/>
  <c r="N27" i="2"/>
  <c r="N27" i="1" s="1"/>
  <c r="M27" i="2"/>
  <c r="M27" i="1" s="1"/>
  <c r="L27" i="2"/>
  <c r="K27"/>
  <c r="K27" i="1" s="1"/>
  <c r="J27" i="2"/>
  <c r="J27" i="1" s="1"/>
  <c r="I27" i="2"/>
  <c r="I27" i="1" s="1"/>
  <c r="H27" i="2"/>
  <c r="H27" i="1" s="1"/>
  <c r="G27" i="2"/>
  <c r="G27" i="1" s="1"/>
  <c r="F27" i="2"/>
  <c r="F27" i="1" s="1"/>
  <c r="E27" i="2"/>
  <c r="E27" i="1" s="1"/>
  <c r="D27" i="2"/>
  <c r="D27" i="1" s="1"/>
  <c r="C27" i="2"/>
  <c r="C27" i="1" s="1"/>
  <c r="O26" i="2"/>
  <c r="O26" i="1" s="1"/>
  <c r="N26" i="2"/>
  <c r="N26" i="1" s="1"/>
  <c r="M26" i="2"/>
  <c r="M26" i="1" s="1"/>
  <c r="L26" i="2"/>
  <c r="K26"/>
  <c r="K26" i="1" s="1"/>
  <c r="J26" i="2"/>
  <c r="J26" i="1" s="1"/>
  <c r="I26" i="2"/>
  <c r="I26" i="1" s="1"/>
  <c r="H26" i="2"/>
  <c r="H26" i="1" s="1"/>
  <c r="G26" i="2"/>
  <c r="G26" i="1" s="1"/>
  <c r="F26" i="2"/>
  <c r="F26" i="1" s="1"/>
  <c r="E26" i="2"/>
  <c r="E26" i="1" s="1"/>
  <c r="D26" i="2"/>
  <c r="D26" i="1" s="1"/>
  <c r="C26" i="2"/>
  <c r="C26" i="1" s="1"/>
  <c r="O25" i="2"/>
  <c r="O25" i="1" s="1"/>
  <c r="N25" i="2"/>
  <c r="N25" i="1" s="1"/>
  <c r="M25" i="2"/>
  <c r="M25" i="1" s="1"/>
  <c r="L25" i="2"/>
  <c r="AA25" s="1"/>
  <c r="K25"/>
  <c r="K25" i="1" s="1"/>
  <c r="J25" i="2"/>
  <c r="J25" i="1" s="1"/>
  <c r="I25" i="2"/>
  <c r="I25" i="1" s="1"/>
  <c r="H25" i="2"/>
  <c r="H25" i="1" s="1"/>
  <c r="G25" i="2"/>
  <c r="G25" i="1" s="1"/>
  <c r="F25" i="2"/>
  <c r="F25" i="1" s="1"/>
  <c r="E25" i="2"/>
  <c r="E25" i="1" s="1"/>
  <c r="D25" i="2"/>
  <c r="D25" i="1" s="1"/>
  <c r="C25" i="2"/>
  <c r="C25" i="1" s="1"/>
  <c r="O24" i="2"/>
  <c r="O24" i="1" s="1"/>
  <c r="N24" i="2"/>
  <c r="N24" i="1" s="1"/>
  <c r="M24" i="2"/>
  <c r="M24" i="1" s="1"/>
  <c r="L24" i="2"/>
  <c r="K24"/>
  <c r="K24" i="1" s="1"/>
  <c r="J24" i="2"/>
  <c r="J24" i="1" s="1"/>
  <c r="I24" i="2"/>
  <c r="I24" i="1" s="1"/>
  <c r="H24" i="2"/>
  <c r="H24" i="1" s="1"/>
  <c r="G24" i="2"/>
  <c r="G24" i="1" s="1"/>
  <c r="F24" i="2"/>
  <c r="F24" i="1" s="1"/>
  <c r="E24" i="2"/>
  <c r="E24" i="1" s="1"/>
  <c r="D24" i="2"/>
  <c r="D24" i="1" s="1"/>
  <c r="C24" i="2"/>
  <c r="C24" i="1" s="1"/>
  <c r="O23" i="2"/>
  <c r="O23" i="1" s="1"/>
  <c r="N23" i="2"/>
  <c r="N23" i="1" s="1"/>
  <c r="M23" i="2"/>
  <c r="M23" i="1" s="1"/>
  <c r="L23" i="2"/>
  <c r="K23"/>
  <c r="K23" i="1" s="1"/>
  <c r="J23" i="2"/>
  <c r="J23" i="1" s="1"/>
  <c r="I23" i="2"/>
  <c r="I23" i="1" s="1"/>
  <c r="H23" i="2"/>
  <c r="H23" i="1" s="1"/>
  <c r="G23" i="2"/>
  <c r="G23" i="1" s="1"/>
  <c r="F23" i="2"/>
  <c r="F23" i="1" s="1"/>
  <c r="E23" i="2"/>
  <c r="E23" i="1" s="1"/>
  <c r="D23" i="2"/>
  <c r="D23" i="1" s="1"/>
  <c r="C23" i="2"/>
  <c r="C23" i="1" s="1"/>
  <c r="O22" i="2"/>
  <c r="O22" i="1" s="1"/>
  <c r="N22" i="2"/>
  <c r="N22" i="1" s="1"/>
  <c r="M22" i="2"/>
  <c r="M22" i="1" s="1"/>
  <c r="L22" i="2"/>
  <c r="K22"/>
  <c r="K22" i="1" s="1"/>
  <c r="J22" i="2"/>
  <c r="J22" i="1" s="1"/>
  <c r="I22" i="2"/>
  <c r="I22" i="1" s="1"/>
  <c r="H22" i="2"/>
  <c r="H22" i="1" s="1"/>
  <c r="G22" i="2"/>
  <c r="G22" i="1" s="1"/>
  <c r="F22" i="2"/>
  <c r="F22" i="1" s="1"/>
  <c r="E22" i="2"/>
  <c r="E22" i="1" s="1"/>
  <c r="D22" i="2"/>
  <c r="D22" i="1" s="1"/>
  <c r="C22" i="2"/>
  <c r="C22" i="1" s="1"/>
  <c r="O21" i="2"/>
  <c r="O21" i="1" s="1"/>
  <c r="N21" i="2"/>
  <c r="N21" i="1" s="1"/>
  <c r="M21" i="2"/>
  <c r="M21" i="1" s="1"/>
  <c r="L21" i="2"/>
  <c r="K21"/>
  <c r="K21" i="1" s="1"/>
  <c r="J21" i="2"/>
  <c r="J21" i="1" s="1"/>
  <c r="I21" i="2"/>
  <c r="I21" i="1" s="1"/>
  <c r="H21" i="2"/>
  <c r="H21" i="1" s="1"/>
  <c r="G21" i="2"/>
  <c r="G21" i="1" s="1"/>
  <c r="F21" i="2"/>
  <c r="F21" i="1" s="1"/>
  <c r="E21" i="2"/>
  <c r="E21" i="1" s="1"/>
  <c r="D21" i="2"/>
  <c r="D21" i="1" s="1"/>
  <c r="C21" i="2"/>
  <c r="C21" i="1" s="1"/>
  <c r="O20" i="2"/>
  <c r="O20" i="1" s="1"/>
  <c r="N20" i="2"/>
  <c r="N20" i="1" s="1"/>
  <c r="M20" i="2"/>
  <c r="M20" i="1" s="1"/>
  <c r="L20" i="2"/>
  <c r="K20"/>
  <c r="K20" i="1" s="1"/>
  <c r="J20" i="2"/>
  <c r="J20" i="1" s="1"/>
  <c r="I20" i="2"/>
  <c r="I20" i="1" s="1"/>
  <c r="H20" i="2"/>
  <c r="H20" i="1" s="1"/>
  <c r="G20" i="2"/>
  <c r="G20" i="1" s="1"/>
  <c r="F20" i="2"/>
  <c r="F20" i="1" s="1"/>
  <c r="E20" i="2"/>
  <c r="E20" i="1" s="1"/>
  <c r="D20" i="2"/>
  <c r="D20" i="1" s="1"/>
  <c r="C20" i="2"/>
  <c r="C20" i="1" s="1"/>
  <c r="O19" i="2"/>
  <c r="O19" i="1" s="1"/>
  <c r="N19" i="2"/>
  <c r="N19" i="1" s="1"/>
  <c r="M19" i="2"/>
  <c r="M19" i="1" s="1"/>
  <c r="L19" i="2"/>
  <c r="K19"/>
  <c r="K19" i="1" s="1"/>
  <c r="J19" i="2"/>
  <c r="J19" i="1" s="1"/>
  <c r="I19" i="2"/>
  <c r="I19" i="1" s="1"/>
  <c r="H19" i="2"/>
  <c r="H19" i="1" s="1"/>
  <c r="G19" i="2"/>
  <c r="G19" i="1" s="1"/>
  <c r="F19" i="2"/>
  <c r="F19" i="1" s="1"/>
  <c r="E19" i="2"/>
  <c r="E19" i="1" s="1"/>
  <c r="D19" i="2"/>
  <c r="D19" i="1" s="1"/>
  <c r="C19" i="2"/>
  <c r="C19" i="1" s="1"/>
  <c r="O18" i="2"/>
  <c r="O18" i="1" s="1"/>
  <c r="N18" i="2"/>
  <c r="N18" i="1" s="1"/>
  <c r="M18" i="2"/>
  <c r="M18" i="1" s="1"/>
  <c r="L18" i="2"/>
  <c r="K18"/>
  <c r="K18" i="1" s="1"/>
  <c r="J18" i="2"/>
  <c r="J18" i="1" s="1"/>
  <c r="I18" i="2"/>
  <c r="I18" i="1" s="1"/>
  <c r="H18" i="2"/>
  <c r="H18" i="1" s="1"/>
  <c r="G18" i="2"/>
  <c r="G18" i="1" s="1"/>
  <c r="F18" i="2"/>
  <c r="F18" i="1" s="1"/>
  <c r="E18" i="2"/>
  <c r="E18" i="1" s="1"/>
  <c r="D18" i="2"/>
  <c r="D18" i="1" s="1"/>
  <c r="C18" i="2"/>
  <c r="C18" i="1" s="1"/>
  <c r="O17" i="2"/>
  <c r="O17" i="1" s="1"/>
  <c r="N17" i="2"/>
  <c r="N17" i="1" s="1"/>
  <c r="M17" i="2"/>
  <c r="M17" i="1" s="1"/>
  <c r="L17" i="2"/>
  <c r="K17"/>
  <c r="K17" i="1" s="1"/>
  <c r="J17" i="2"/>
  <c r="J17" i="1" s="1"/>
  <c r="I17" i="2"/>
  <c r="I17" i="1" s="1"/>
  <c r="H17" i="2"/>
  <c r="H17" i="1" s="1"/>
  <c r="G17" i="2"/>
  <c r="G17" i="1" s="1"/>
  <c r="F17" i="2"/>
  <c r="F17" i="1" s="1"/>
  <c r="E17" i="2"/>
  <c r="E17" i="1" s="1"/>
  <c r="D17" i="2"/>
  <c r="D17" i="1" s="1"/>
  <c r="C17" i="2"/>
  <c r="C17" i="1" s="1"/>
  <c r="O16" i="2"/>
  <c r="O16" i="1" s="1"/>
  <c r="N16" i="2"/>
  <c r="N16" i="1" s="1"/>
  <c r="M16" i="2"/>
  <c r="M16" i="1" s="1"/>
  <c r="L16" i="2"/>
  <c r="K16"/>
  <c r="K16" i="1" s="1"/>
  <c r="J16" i="2"/>
  <c r="J16" i="1" s="1"/>
  <c r="I16" i="2"/>
  <c r="I16" i="1" s="1"/>
  <c r="H16" i="2"/>
  <c r="H16" i="1" s="1"/>
  <c r="G16" i="2"/>
  <c r="G16" i="1" s="1"/>
  <c r="F16" i="2"/>
  <c r="F16" i="1" s="1"/>
  <c r="E16" i="2"/>
  <c r="E16" i="1" s="1"/>
  <c r="D16" i="2"/>
  <c r="D16" i="1" s="1"/>
  <c r="O15" i="2"/>
  <c r="O15" i="1" s="1"/>
  <c r="N15" i="2"/>
  <c r="N15" i="1" s="1"/>
  <c r="M15" i="2"/>
  <c r="M15" i="1" s="1"/>
  <c r="L15" i="2"/>
  <c r="K15"/>
  <c r="K15" i="1" s="1"/>
  <c r="J15" i="2"/>
  <c r="J15" i="1" s="1"/>
  <c r="I15" i="2"/>
  <c r="I15" i="1" s="1"/>
  <c r="H15" i="2"/>
  <c r="H15" i="1" s="1"/>
  <c r="G15" i="2"/>
  <c r="G15" i="1" s="1"/>
  <c r="F15" i="2"/>
  <c r="F15" i="1" s="1"/>
  <c r="E15" i="2"/>
  <c r="E15" i="1" s="1"/>
  <c r="D15" i="2"/>
  <c r="D15" i="1" s="1"/>
  <c r="O14" i="2"/>
  <c r="O14" i="1" s="1"/>
  <c r="N14" i="2"/>
  <c r="N14" i="1" s="1"/>
  <c r="M14" i="2"/>
  <c r="M14" i="1" s="1"/>
  <c r="L14" i="2"/>
  <c r="K14"/>
  <c r="K14" i="1" s="1"/>
  <c r="J14" i="2"/>
  <c r="J14" i="1" s="1"/>
  <c r="I14" i="2"/>
  <c r="I14" i="1" s="1"/>
  <c r="H14" i="2"/>
  <c r="H14" i="1" s="1"/>
  <c r="G14" i="2"/>
  <c r="G14" i="1" s="1"/>
  <c r="F14" i="2"/>
  <c r="F14" i="1" s="1"/>
  <c r="E14" i="2"/>
  <c r="E14" i="1" s="1"/>
  <c r="D14" i="2"/>
  <c r="D14" i="1" s="1"/>
  <c r="O13" i="2"/>
  <c r="O13" i="1" s="1"/>
  <c r="N13" i="2"/>
  <c r="N13" i="1" s="1"/>
  <c r="M13" i="2"/>
  <c r="M13" i="1" s="1"/>
  <c r="L13" i="2"/>
  <c r="AA13" s="1"/>
  <c r="K13"/>
  <c r="K13" i="1" s="1"/>
  <c r="J13" i="2"/>
  <c r="J13" i="1" s="1"/>
  <c r="I13" i="2"/>
  <c r="I13" i="1" s="1"/>
  <c r="H13" i="2"/>
  <c r="H13" i="1" s="1"/>
  <c r="G13" i="2"/>
  <c r="G13" i="1" s="1"/>
  <c r="F13" i="2"/>
  <c r="F13" i="1" s="1"/>
  <c r="E13" i="2"/>
  <c r="E13" i="1" s="1"/>
  <c r="D13" i="2"/>
  <c r="D13" i="1" s="1"/>
  <c r="O12" i="2"/>
  <c r="O12" i="1" s="1"/>
  <c r="N12" i="2"/>
  <c r="N12" i="1" s="1"/>
  <c r="M12" i="2"/>
  <c r="M12" i="1" s="1"/>
  <c r="L12" i="2"/>
  <c r="K12"/>
  <c r="K12" i="1" s="1"/>
  <c r="J12" i="2"/>
  <c r="J12" i="1" s="1"/>
  <c r="I12" i="2"/>
  <c r="I12" i="1" s="1"/>
  <c r="H12" i="2"/>
  <c r="H12" i="1" s="1"/>
  <c r="G12" i="2"/>
  <c r="G12" i="1" s="1"/>
  <c r="F12" i="2"/>
  <c r="F12" i="1" s="1"/>
  <c r="E12" i="2"/>
  <c r="E12" i="1" s="1"/>
  <c r="D12" i="2"/>
  <c r="D12" i="1" s="1"/>
  <c r="O11" i="2"/>
  <c r="O11" i="1" s="1"/>
  <c r="N11" i="2"/>
  <c r="N11" i="1" s="1"/>
  <c r="M11" i="2"/>
  <c r="M11" i="1" s="1"/>
  <c r="L11" i="2"/>
  <c r="K11"/>
  <c r="K11" i="1" s="1"/>
  <c r="J11" i="2"/>
  <c r="J11" i="1" s="1"/>
  <c r="I11" i="2"/>
  <c r="I11" i="1" s="1"/>
  <c r="H11" i="2"/>
  <c r="H11" i="1" s="1"/>
  <c r="G11" i="2"/>
  <c r="G11" i="1" s="1"/>
  <c r="F11" i="2"/>
  <c r="F11" i="1" s="1"/>
  <c r="E11" i="2"/>
  <c r="E11" i="1" s="1"/>
  <c r="D11" i="2"/>
  <c r="D11" i="1" s="1"/>
  <c r="O10" i="2"/>
  <c r="O10" i="1" s="1"/>
  <c r="N10" i="2"/>
  <c r="N10" i="1" s="1"/>
  <c r="M10" i="2"/>
  <c r="M10" i="1" s="1"/>
  <c r="L10" i="2"/>
  <c r="K10"/>
  <c r="K10" i="1" s="1"/>
  <c r="J10" i="2"/>
  <c r="J10" i="1" s="1"/>
  <c r="I10" i="2"/>
  <c r="I10" i="1" s="1"/>
  <c r="H10" i="2"/>
  <c r="H10" i="1" s="1"/>
  <c r="G10" i="2"/>
  <c r="G10" i="1" s="1"/>
  <c r="F10" i="2"/>
  <c r="F10" i="1" s="1"/>
  <c r="E10" i="2"/>
  <c r="E10" i="1" s="1"/>
  <c r="D10" i="2"/>
  <c r="D10" i="1" s="1"/>
  <c r="O9" i="2"/>
  <c r="O9" i="1" s="1"/>
  <c r="N9" i="2"/>
  <c r="N9" i="1" s="1"/>
  <c r="M9" i="2"/>
  <c r="M9" i="1" s="1"/>
  <c r="L9" i="2"/>
  <c r="K9"/>
  <c r="K9" i="1" s="1"/>
  <c r="J9" i="2"/>
  <c r="J9" i="1" s="1"/>
  <c r="I9" i="2"/>
  <c r="I9" i="1" s="1"/>
  <c r="H9" i="2"/>
  <c r="H9" i="1" s="1"/>
  <c r="G9" i="2"/>
  <c r="G9" i="1" s="1"/>
  <c r="F9" i="2"/>
  <c r="F9" i="1" s="1"/>
  <c r="E9" i="2"/>
  <c r="E9" i="1" s="1"/>
  <c r="D9" i="2"/>
  <c r="D9" i="1" s="1"/>
  <c r="O8" i="2"/>
  <c r="O8" i="1" s="1"/>
  <c r="N8" i="2"/>
  <c r="N8" i="1" s="1"/>
  <c r="M8" i="2"/>
  <c r="M8" i="1" s="1"/>
  <c r="L8" i="2"/>
  <c r="K8"/>
  <c r="K8" i="1" s="1"/>
  <c r="J8" i="2"/>
  <c r="J8" i="1" s="1"/>
  <c r="I8" i="2"/>
  <c r="I8" i="1" s="1"/>
  <c r="H8" i="2"/>
  <c r="H8" i="1" s="1"/>
  <c r="G8" i="2"/>
  <c r="G8" i="1" s="1"/>
  <c r="F8" i="2"/>
  <c r="F8" i="1" s="1"/>
  <c r="E8" i="2"/>
  <c r="E8" i="1" s="1"/>
  <c r="D8" i="2"/>
  <c r="D8" i="1" s="1"/>
  <c r="O7" i="2"/>
  <c r="O7" i="1" s="1"/>
  <c r="N7" i="2"/>
  <c r="N7" i="1" s="1"/>
  <c r="M7" i="2"/>
  <c r="M7" i="1" s="1"/>
  <c r="L7" i="2"/>
  <c r="K7"/>
  <c r="K7" i="1" s="1"/>
  <c r="J7" i="2"/>
  <c r="J7" i="1" s="1"/>
  <c r="I7" i="2"/>
  <c r="I7" i="1" s="1"/>
  <c r="H7" i="2"/>
  <c r="H7" i="1" s="1"/>
  <c r="G7" i="2"/>
  <c r="G7" i="1" s="1"/>
  <c r="F7" i="2"/>
  <c r="F7" i="1" s="1"/>
  <c r="E7" i="2"/>
  <c r="E7" i="1" s="1"/>
  <c r="D7" i="2"/>
  <c r="D7" i="1" s="1"/>
  <c r="O6" i="2"/>
  <c r="O6" i="1" s="1"/>
  <c r="N6" i="2"/>
  <c r="N6" i="1" s="1"/>
  <c r="M6" i="2"/>
  <c r="M6" i="1" s="1"/>
  <c r="L6" i="2"/>
  <c r="K6"/>
  <c r="K6" i="1" s="1"/>
  <c r="J6" i="2"/>
  <c r="J6" i="1" s="1"/>
  <c r="I6" i="2"/>
  <c r="I6" i="1" s="1"/>
  <c r="H6" i="2"/>
  <c r="H6" i="1" s="1"/>
  <c r="G6" i="2"/>
  <c r="G6" i="1" s="1"/>
  <c r="F6" i="2"/>
  <c r="F6" i="1" s="1"/>
  <c r="E6" i="2"/>
  <c r="E6" i="1" s="1"/>
  <c r="D6" i="2"/>
  <c r="D6" i="1" s="1"/>
  <c r="D5" i="2"/>
  <c r="D5" i="1" s="1"/>
  <c r="E5" i="2"/>
  <c r="E5" i="1" s="1"/>
  <c r="F5" i="2"/>
  <c r="F5" i="1" s="1"/>
  <c r="G5" i="2"/>
  <c r="G5" i="1" s="1"/>
  <c r="H5" i="2"/>
  <c r="H5" i="1" s="1"/>
  <c r="I5" i="2"/>
  <c r="I5" i="1" s="1"/>
  <c r="J5" i="2"/>
  <c r="J5" i="1" s="1"/>
  <c r="K5" i="2"/>
  <c r="K5" i="1" s="1"/>
  <c r="L5" i="2"/>
  <c r="M5"/>
  <c r="M5" i="1" s="1"/>
  <c r="N5" i="2"/>
  <c r="N5" i="1" s="1"/>
  <c r="O5" i="2"/>
  <c r="O5" i="1" s="1"/>
  <c r="C5" i="2"/>
  <c r="C5" i="1" s="1"/>
  <c r="AB1000" i="4"/>
  <c r="AB999"/>
  <c r="BA1000" i="2" s="1"/>
  <c r="AB998" i="4"/>
  <c r="BA999" i="2" s="1"/>
  <c r="AB997" i="4"/>
  <c r="BA998" i="2" s="1"/>
  <c r="AB996" i="4"/>
  <c r="BA997" i="2" s="1"/>
  <c r="AB995" i="4"/>
  <c r="BA996" i="2" s="1"/>
  <c r="AB994" i="4"/>
  <c r="BA995" i="2" s="1"/>
  <c r="AB993" i="4"/>
  <c r="BA994" i="2" s="1"/>
  <c r="AB992" i="4"/>
  <c r="BA993" i="2" s="1"/>
  <c r="AB991" i="4"/>
  <c r="BA992" i="2" s="1"/>
  <c r="AB990" i="4"/>
  <c r="BA991" i="2" s="1"/>
  <c r="AB989" i="4"/>
  <c r="BA990" i="2" s="1"/>
  <c r="AB988" i="4"/>
  <c r="BA989" i="2" s="1"/>
  <c r="AB987" i="4"/>
  <c r="BA988" i="2" s="1"/>
  <c r="AB986" i="4"/>
  <c r="BA987" i="2" s="1"/>
  <c r="AB985" i="4"/>
  <c r="BA986" i="2" s="1"/>
  <c r="AB984" i="4"/>
  <c r="BA985" i="2" s="1"/>
  <c r="AB983" i="4"/>
  <c r="BA984" i="2" s="1"/>
  <c r="AB982" i="4"/>
  <c r="BA983" i="2" s="1"/>
  <c r="AB981" i="4"/>
  <c r="BA982" i="2" s="1"/>
  <c r="AB980" i="4"/>
  <c r="BA981" i="2" s="1"/>
  <c r="AB979" i="4"/>
  <c r="BA980" i="2" s="1"/>
  <c r="AB978" i="4"/>
  <c r="BA979" i="2" s="1"/>
  <c r="AB977" i="4"/>
  <c r="BA978" i="2" s="1"/>
  <c r="AB976" i="4"/>
  <c r="BA977" i="2" s="1"/>
  <c r="AB975" i="4"/>
  <c r="BA976" i="2" s="1"/>
  <c r="AB974" i="4"/>
  <c r="BA975" i="2" s="1"/>
  <c r="AB973" i="4"/>
  <c r="BA974" i="2" s="1"/>
  <c r="AB972" i="4"/>
  <c r="BA973" i="2" s="1"/>
  <c r="AB971" i="4"/>
  <c r="BA972" i="2" s="1"/>
  <c r="AB970" i="4"/>
  <c r="BA971" i="2" s="1"/>
  <c r="AB969" i="4"/>
  <c r="BA970" i="2" s="1"/>
  <c r="AB968" i="4"/>
  <c r="BA969" i="2" s="1"/>
  <c r="AB967" i="4"/>
  <c r="BA968" i="2" s="1"/>
  <c r="AB966" i="4"/>
  <c r="BA967" i="2" s="1"/>
  <c r="AB965" i="4"/>
  <c r="BA966" i="2" s="1"/>
  <c r="AB964" i="4"/>
  <c r="BA965" i="2" s="1"/>
  <c r="AB963" i="4"/>
  <c r="BA964" i="2" s="1"/>
  <c r="AB962" i="4"/>
  <c r="BA963" i="2" s="1"/>
  <c r="AB961" i="4"/>
  <c r="BA962" i="2" s="1"/>
  <c r="AB960" i="4"/>
  <c r="BA961" i="2" s="1"/>
  <c r="AB959" i="4"/>
  <c r="BA960" i="2" s="1"/>
  <c r="AB958" i="4"/>
  <c r="BA959" i="2" s="1"/>
  <c r="AB957" i="4"/>
  <c r="BA958" i="2" s="1"/>
  <c r="AB956" i="4"/>
  <c r="BA957" i="2" s="1"/>
  <c r="AB955" i="4"/>
  <c r="BA956" i="2" s="1"/>
  <c r="AB954" i="4"/>
  <c r="BA955" i="2" s="1"/>
  <c r="AB953" i="4"/>
  <c r="BA954" i="2" s="1"/>
  <c r="AB952" i="4"/>
  <c r="BA953" i="2" s="1"/>
  <c r="AB951" i="4"/>
  <c r="BA952" i="2" s="1"/>
  <c r="AB950" i="4"/>
  <c r="BA951" i="2" s="1"/>
  <c r="AB949" i="4"/>
  <c r="BA950" i="2" s="1"/>
  <c r="AB948" i="4"/>
  <c r="BA949" i="2" s="1"/>
  <c r="AB947" i="4"/>
  <c r="BA948" i="2" s="1"/>
  <c r="AB946" i="4"/>
  <c r="BA947" i="2" s="1"/>
  <c r="AB945" i="4"/>
  <c r="BA946" i="2" s="1"/>
  <c r="AB944" i="4"/>
  <c r="BA945" i="2" s="1"/>
  <c r="AB943" i="4"/>
  <c r="BA944" i="2" s="1"/>
  <c r="AB942" i="4"/>
  <c r="BA943" i="2" s="1"/>
  <c r="AB941" i="4"/>
  <c r="BA942" i="2" s="1"/>
  <c r="AB940" i="4"/>
  <c r="BA941" i="2" s="1"/>
  <c r="AB939" i="4"/>
  <c r="BA940" i="2" s="1"/>
  <c r="AB938" i="4"/>
  <c r="BA939" i="2" s="1"/>
  <c r="AB937" i="4"/>
  <c r="BA938" i="2" s="1"/>
  <c r="AB936" i="4"/>
  <c r="BA937" i="2" s="1"/>
  <c r="AB935" i="4"/>
  <c r="BA936" i="2" s="1"/>
  <c r="AB934" i="4"/>
  <c r="BA935" i="2" s="1"/>
  <c r="AB933" i="4"/>
  <c r="BA934" i="2" s="1"/>
  <c r="AB932" i="4"/>
  <c r="BA933" i="2" s="1"/>
  <c r="AB931" i="4"/>
  <c r="BA932" i="2" s="1"/>
  <c r="AB930" i="4"/>
  <c r="BA931" i="2" s="1"/>
  <c r="AB929" i="4"/>
  <c r="BA930" i="2" s="1"/>
  <c r="AB928" i="4"/>
  <c r="BA929" i="2" s="1"/>
  <c r="AB927" i="4"/>
  <c r="BA928" i="2" s="1"/>
  <c r="AB926" i="4"/>
  <c r="BA927" i="2" s="1"/>
  <c r="AB925" i="4"/>
  <c r="BA926" i="2" s="1"/>
  <c r="AB924" i="4"/>
  <c r="BA925" i="2" s="1"/>
  <c r="AB923" i="4"/>
  <c r="BA924" i="2" s="1"/>
  <c r="AB922" i="4"/>
  <c r="BA923" i="2" s="1"/>
  <c r="AB921" i="4"/>
  <c r="BA922" i="2" s="1"/>
  <c r="AB920" i="4"/>
  <c r="BA921" i="2" s="1"/>
  <c r="AB919" i="4"/>
  <c r="BA920" i="2" s="1"/>
  <c r="AB918" i="4"/>
  <c r="BA919" i="2" s="1"/>
  <c r="AB917" i="4"/>
  <c r="BA918" i="2" s="1"/>
  <c r="AB916" i="4"/>
  <c r="BA917" i="2" s="1"/>
  <c r="AB915" i="4"/>
  <c r="BA916" i="2" s="1"/>
  <c r="AB914" i="4"/>
  <c r="BA915" i="2" s="1"/>
  <c r="AB913" i="4"/>
  <c r="BA914" i="2" s="1"/>
  <c r="AB912" i="4"/>
  <c r="BA913" i="2" s="1"/>
  <c r="AB911" i="4"/>
  <c r="BA912" i="2" s="1"/>
  <c r="AB910" i="4"/>
  <c r="BA911" i="2" s="1"/>
  <c r="AB909" i="4"/>
  <c r="BA910" i="2" s="1"/>
  <c r="AB908" i="4"/>
  <c r="BA909" i="2" s="1"/>
  <c r="AB907" i="4"/>
  <c r="BA908" i="2" s="1"/>
  <c r="AB906" i="4"/>
  <c r="BA907" i="2" s="1"/>
  <c r="AB905" i="4"/>
  <c r="BA906" i="2" s="1"/>
  <c r="AB904" i="4"/>
  <c r="BA905" i="2" s="1"/>
  <c r="AB903" i="4"/>
  <c r="BA904" i="2" s="1"/>
  <c r="AB902" i="4"/>
  <c r="BA903" i="2" s="1"/>
  <c r="AB901" i="4"/>
  <c r="BA902" i="2" s="1"/>
  <c r="AB900" i="4"/>
  <c r="BA901" i="2" s="1"/>
  <c r="AB899" i="4"/>
  <c r="BA900" i="2" s="1"/>
  <c r="AB898" i="4"/>
  <c r="BA899" i="2" s="1"/>
  <c r="AB897" i="4"/>
  <c r="BA898" i="2" s="1"/>
  <c r="AB896" i="4"/>
  <c r="BA897" i="2" s="1"/>
  <c r="AB895" i="4"/>
  <c r="BA896" i="2" s="1"/>
  <c r="AB894" i="4"/>
  <c r="BA895" i="2" s="1"/>
  <c r="AB893" i="4"/>
  <c r="BA894" i="2" s="1"/>
  <c r="AB892" i="4"/>
  <c r="BA893" i="2" s="1"/>
  <c r="AB891" i="4"/>
  <c r="BA892" i="2" s="1"/>
  <c r="AB890" i="4"/>
  <c r="BA891" i="2" s="1"/>
  <c r="AB889" i="4"/>
  <c r="BA890" i="2" s="1"/>
  <c r="AB888" i="4"/>
  <c r="BA889" i="2" s="1"/>
  <c r="AB887" i="4"/>
  <c r="BA888" i="2" s="1"/>
  <c r="AB886" i="4"/>
  <c r="BA887" i="2" s="1"/>
  <c r="AB885" i="4"/>
  <c r="BA886" i="2" s="1"/>
  <c r="AB884" i="4"/>
  <c r="BA885" i="2" s="1"/>
  <c r="AB883" i="4"/>
  <c r="BA884" i="2" s="1"/>
  <c r="AB882" i="4"/>
  <c r="BA883" i="2" s="1"/>
  <c r="AB881" i="4"/>
  <c r="BA882" i="2" s="1"/>
  <c r="AB880" i="4"/>
  <c r="BA881" i="2" s="1"/>
  <c r="AB879" i="4"/>
  <c r="BA880" i="2" s="1"/>
  <c r="AB878" i="4"/>
  <c r="BA879" i="2" s="1"/>
  <c r="AB877" i="4"/>
  <c r="BA878" i="2" s="1"/>
  <c r="AB876" i="4"/>
  <c r="BA877" i="2" s="1"/>
  <c r="AB875" i="4"/>
  <c r="BA876" i="2" s="1"/>
  <c r="AB874" i="4"/>
  <c r="BA875" i="2" s="1"/>
  <c r="AB873" i="4"/>
  <c r="BA874" i="2" s="1"/>
  <c r="AB872" i="4"/>
  <c r="BA873" i="2" s="1"/>
  <c r="AB871" i="4"/>
  <c r="BA872" i="2" s="1"/>
  <c r="AB870" i="4"/>
  <c r="BA871" i="2" s="1"/>
  <c r="AB869" i="4"/>
  <c r="BA870" i="2" s="1"/>
  <c r="AB868" i="4"/>
  <c r="BA869" i="2" s="1"/>
  <c r="AB867" i="4"/>
  <c r="BA868" i="2" s="1"/>
  <c r="AB866" i="4"/>
  <c r="BA867" i="2" s="1"/>
  <c r="AB865" i="4"/>
  <c r="BA866" i="2" s="1"/>
  <c r="AB864" i="4"/>
  <c r="BA865" i="2" s="1"/>
  <c r="AB863" i="4"/>
  <c r="BA864" i="2" s="1"/>
  <c r="AB862" i="4"/>
  <c r="BA863" i="2" s="1"/>
  <c r="AB861" i="4"/>
  <c r="BA862" i="2" s="1"/>
  <c r="AB860" i="4"/>
  <c r="BA861" i="2" s="1"/>
  <c r="AB859" i="4"/>
  <c r="BA860" i="2" s="1"/>
  <c r="AB858" i="4"/>
  <c r="BA859" i="2" s="1"/>
  <c r="AB857" i="4"/>
  <c r="BA858" i="2" s="1"/>
  <c r="AB856" i="4"/>
  <c r="BA857" i="2" s="1"/>
  <c r="AB855" i="4"/>
  <c r="BA856" i="2" s="1"/>
  <c r="AB854" i="4"/>
  <c r="BA855" i="2" s="1"/>
  <c r="AB853" i="4"/>
  <c r="BA854" i="2" s="1"/>
  <c r="AB852" i="4"/>
  <c r="BA853" i="2" s="1"/>
  <c r="AB851" i="4"/>
  <c r="BA852" i="2" s="1"/>
  <c r="AB850" i="4"/>
  <c r="BA851" i="2" s="1"/>
  <c r="AB849" i="4"/>
  <c r="BA850" i="2" s="1"/>
  <c r="AB848" i="4"/>
  <c r="BA849" i="2" s="1"/>
  <c r="AB847" i="4"/>
  <c r="BA848" i="2" s="1"/>
  <c r="AB846" i="4"/>
  <c r="BA847" i="2" s="1"/>
  <c r="AB845" i="4"/>
  <c r="BA846" i="2" s="1"/>
  <c r="AB844" i="4"/>
  <c r="BA845" i="2" s="1"/>
  <c r="AB843" i="4"/>
  <c r="BA844" i="2" s="1"/>
  <c r="AB842" i="4"/>
  <c r="BA843" i="2" s="1"/>
  <c r="AB841" i="4"/>
  <c r="BA842" i="2" s="1"/>
  <c r="AB840" i="4"/>
  <c r="BA841" i="2" s="1"/>
  <c r="AB839" i="4"/>
  <c r="BA840" i="2" s="1"/>
  <c r="AB838" i="4"/>
  <c r="BA839" i="2" s="1"/>
  <c r="AB837" i="4"/>
  <c r="BA838" i="2" s="1"/>
  <c r="AB836" i="4"/>
  <c r="BA837" i="2" s="1"/>
  <c r="AB835" i="4"/>
  <c r="BA836" i="2" s="1"/>
  <c r="AB834" i="4"/>
  <c r="BA835" i="2" s="1"/>
  <c r="AB833" i="4"/>
  <c r="BA834" i="2" s="1"/>
  <c r="AB832" i="4"/>
  <c r="BA833" i="2" s="1"/>
  <c r="AB831" i="4"/>
  <c r="BA832" i="2" s="1"/>
  <c r="AB830" i="4"/>
  <c r="BA831" i="2" s="1"/>
  <c r="AB829" i="4"/>
  <c r="BA830" i="2" s="1"/>
  <c r="AB828" i="4"/>
  <c r="BA829" i="2" s="1"/>
  <c r="AB827" i="4"/>
  <c r="BA828" i="2" s="1"/>
  <c r="AB826" i="4"/>
  <c r="BA827" i="2" s="1"/>
  <c r="AB825" i="4"/>
  <c r="BA826" i="2" s="1"/>
  <c r="AB824" i="4"/>
  <c r="BA825" i="2" s="1"/>
  <c r="AB823" i="4"/>
  <c r="BA824" i="2" s="1"/>
  <c r="AB822" i="4"/>
  <c r="BA823" i="2" s="1"/>
  <c r="AB821" i="4"/>
  <c r="BA822" i="2" s="1"/>
  <c r="AB820" i="4"/>
  <c r="BA821" i="2" s="1"/>
  <c r="AB819" i="4"/>
  <c r="BA820" i="2" s="1"/>
  <c r="AB818" i="4"/>
  <c r="BA819" i="2" s="1"/>
  <c r="AB817" i="4"/>
  <c r="BA818" i="2" s="1"/>
  <c r="AB816" i="4"/>
  <c r="BA817" i="2" s="1"/>
  <c r="AB815" i="4"/>
  <c r="BA816" i="2" s="1"/>
  <c r="AB814" i="4"/>
  <c r="BA815" i="2" s="1"/>
  <c r="AB813" i="4"/>
  <c r="BA814" i="2" s="1"/>
  <c r="AB812" i="4"/>
  <c r="BA813" i="2" s="1"/>
  <c r="AB811" i="4"/>
  <c r="BA812" i="2" s="1"/>
  <c r="AB810" i="4"/>
  <c r="BA811" i="2" s="1"/>
  <c r="AB809" i="4"/>
  <c r="BA810" i="2" s="1"/>
  <c r="AB808" i="4"/>
  <c r="BA809" i="2" s="1"/>
  <c r="AB807" i="4"/>
  <c r="BA808" i="2" s="1"/>
  <c r="AB806" i="4"/>
  <c r="BA807" i="2" s="1"/>
  <c r="AB805" i="4"/>
  <c r="BA806" i="2" s="1"/>
  <c r="AB804" i="4"/>
  <c r="BA805" i="2" s="1"/>
  <c r="AB803" i="4"/>
  <c r="BA804" i="2" s="1"/>
  <c r="AB802" i="4"/>
  <c r="BA803" i="2" s="1"/>
  <c r="AB801" i="4"/>
  <c r="BA802" i="2" s="1"/>
  <c r="AB800" i="4"/>
  <c r="BA801" i="2" s="1"/>
  <c r="AB799" i="4"/>
  <c r="BA800" i="2" s="1"/>
  <c r="AB798" i="4"/>
  <c r="BA799" i="2" s="1"/>
  <c r="AB797" i="4"/>
  <c r="BA798" i="2" s="1"/>
  <c r="AB796" i="4"/>
  <c r="BA797" i="2" s="1"/>
  <c r="AB795" i="4"/>
  <c r="BA796" i="2" s="1"/>
  <c r="AB794" i="4"/>
  <c r="BA795" i="2" s="1"/>
  <c r="AB793" i="4"/>
  <c r="BA794" i="2" s="1"/>
  <c r="AB792" i="4"/>
  <c r="BA793" i="2" s="1"/>
  <c r="AB791" i="4"/>
  <c r="BA792" i="2" s="1"/>
  <c r="AB790" i="4"/>
  <c r="BA791" i="2" s="1"/>
  <c r="AB789" i="4"/>
  <c r="BA790" i="2" s="1"/>
  <c r="AB788" i="4"/>
  <c r="BA789" i="2" s="1"/>
  <c r="AB787" i="4"/>
  <c r="BA788" i="2" s="1"/>
  <c r="AB786" i="4"/>
  <c r="BA787" i="2" s="1"/>
  <c r="AB785" i="4"/>
  <c r="BA786" i="2" s="1"/>
  <c r="AB784" i="4"/>
  <c r="BA785" i="2" s="1"/>
  <c r="AB783" i="4"/>
  <c r="BA784" i="2" s="1"/>
  <c r="AB782" i="4"/>
  <c r="BA783" i="2" s="1"/>
  <c r="AB781" i="4"/>
  <c r="BA782" i="2" s="1"/>
  <c r="AB780" i="4"/>
  <c r="BA781" i="2" s="1"/>
  <c r="AB779" i="4"/>
  <c r="BA780" i="2" s="1"/>
  <c r="AB778" i="4"/>
  <c r="BA779" i="2" s="1"/>
  <c r="AB777" i="4"/>
  <c r="BA778" i="2" s="1"/>
  <c r="AB776" i="4"/>
  <c r="BA777" i="2" s="1"/>
  <c r="AB775" i="4"/>
  <c r="BA776" i="2" s="1"/>
  <c r="AB774" i="4"/>
  <c r="BA775" i="2" s="1"/>
  <c r="AB773" i="4"/>
  <c r="BA774" i="2" s="1"/>
  <c r="AB772" i="4"/>
  <c r="BA773" i="2" s="1"/>
  <c r="AB771" i="4"/>
  <c r="BA772" i="2" s="1"/>
  <c r="AB770" i="4"/>
  <c r="BA771" i="2" s="1"/>
  <c r="AB769" i="4"/>
  <c r="BA770" i="2" s="1"/>
  <c r="AB768" i="4"/>
  <c r="BA769" i="2" s="1"/>
  <c r="AB767" i="4"/>
  <c r="BA768" i="2" s="1"/>
  <c r="AB766" i="4"/>
  <c r="BA767" i="2" s="1"/>
  <c r="AB765" i="4"/>
  <c r="BA766" i="2" s="1"/>
  <c r="AB764" i="4"/>
  <c r="BA765" i="2" s="1"/>
  <c r="AB763" i="4"/>
  <c r="BA764" i="2" s="1"/>
  <c r="AB762" i="4"/>
  <c r="BA763" i="2" s="1"/>
  <c r="AB761" i="4"/>
  <c r="BA762" i="2" s="1"/>
  <c r="AB760" i="4"/>
  <c r="BA761" i="2" s="1"/>
  <c r="AB759" i="4"/>
  <c r="BA760" i="2" s="1"/>
  <c r="AB758" i="4"/>
  <c r="BA759" i="2" s="1"/>
  <c r="AB757" i="4"/>
  <c r="BA758" i="2" s="1"/>
  <c r="AB756" i="4"/>
  <c r="BA757" i="2" s="1"/>
  <c r="AB755" i="4"/>
  <c r="BA756" i="2" s="1"/>
  <c r="AB754" i="4"/>
  <c r="BA755" i="2" s="1"/>
  <c r="AB753" i="4"/>
  <c r="BA754" i="2" s="1"/>
  <c r="AB752" i="4"/>
  <c r="BA753" i="2" s="1"/>
  <c r="AB751" i="4"/>
  <c r="BA752" i="2" s="1"/>
  <c r="AB750" i="4"/>
  <c r="BA751" i="2" s="1"/>
  <c r="AB749" i="4"/>
  <c r="BA750" i="2" s="1"/>
  <c r="AB748" i="4"/>
  <c r="BA749" i="2" s="1"/>
  <c r="AB747" i="4"/>
  <c r="BA748" i="2" s="1"/>
  <c r="AB746" i="4"/>
  <c r="BA747" i="2" s="1"/>
  <c r="AB745" i="4"/>
  <c r="BA746" i="2" s="1"/>
  <c r="AB744" i="4"/>
  <c r="BA745" i="2" s="1"/>
  <c r="AB743" i="4"/>
  <c r="BA744" i="2" s="1"/>
  <c r="AB742" i="4"/>
  <c r="BA743" i="2" s="1"/>
  <c r="AB741" i="4"/>
  <c r="BA742" i="2" s="1"/>
  <c r="AB740" i="4"/>
  <c r="BA741" i="2" s="1"/>
  <c r="AB739" i="4"/>
  <c r="BA740" i="2" s="1"/>
  <c r="AB738" i="4"/>
  <c r="BA739" i="2" s="1"/>
  <c r="AB737" i="4"/>
  <c r="BA738" i="2" s="1"/>
  <c r="AB736" i="4"/>
  <c r="BA737" i="2" s="1"/>
  <c r="AB735" i="4"/>
  <c r="BA736" i="2" s="1"/>
  <c r="AB734" i="4"/>
  <c r="BA735" i="2" s="1"/>
  <c r="AB733" i="4"/>
  <c r="BA734" i="2" s="1"/>
  <c r="AB732" i="4"/>
  <c r="BA733" i="2" s="1"/>
  <c r="AB731" i="4"/>
  <c r="BA732" i="2" s="1"/>
  <c r="AB730" i="4"/>
  <c r="BA731" i="2" s="1"/>
  <c r="AB729" i="4"/>
  <c r="BA730" i="2" s="1"/>
  <c r="AB728" i="4"/>
  <c r="BA729" i="2" s="1"/>
  <c r="AB727" i="4"/>
  <c r="BA728" i="2" s="1"/>
  <c r="AB726" i="4"/>
  <c r="BA727" i="2" s="1"/>
  <c r="AB725" i="4"/>
  <c r="BA726" i="2" s="1"/>
  <c r="AB724" i="4"/>
  <c r="BA725" i="2" s="1"/>
  <c r="AB723" i="4"/>
  <c r="BA724" i="2" s="1"/>
  <c r="AB722" i="4"/>
  <c r="BA723" i="2" s="1"/>
  <c r="AB721" i="4"/>
  <c r="BA722" i="2" s="1"/>
  <c r="AB720" i="4"/>
  <c r="BA721" i="2" s="1"/>
  <c r="AB719" i="4"/>
  <c r="BA720" i="2" s="1"/>
  <c r="AB718" i="4"/>
  <c r="BA719" i="2" s="1"/>
  <c r="AB717" i="4"/>
  <c r="BA718" i="2" s="1"/>
  <c r="AB716" i="4"/>
  <c r="BA717" i="2" s="1"/>
  <c r="AB715" i="4"/>
  <c r="BA716" i="2" s="1"/>
  <c r="AB714" i="4"/>
  <c r="BA715" i="2" s="1"/>
  <c r="AB713" i="4"/>
  <c r="BA714" i="2" s="1"/>
  <c r="AB712" i="4"/>
  <c r="BA713" i="2" s="1"/>
  <c r="AB711" i="4"/>
  <c r="BA712" i="2" s="1"/>
  <c r="AB710" i="4"/>
  <c r="BA711" i="2" s="1"/>
  <c r="AB709" i="4"/>
  <c r="BA710" i="2" s="1"/>
  <c r="AB708" i="4"/>
  <c r="BA709" i="2" s="1"/>
  <c r="AB707" i="4"/>
  <c r="BA708" i="2" s="1"/>
  <c r="AB706" i="4"/>
  <c r="BA707" i="2" s="1"/>
  <c r="AB705" i="4"/>
  <c r="BA706" i="2" s="1"/>
  <c r="AB704" i="4"/>
  <c r="BA705" i="2" s="1"/>
  <c r="AB703" i="4"/>
  <c r="BA704" i="2" s="1"/>
  <c r="AB702" i="4"/>
  <c r="BA703" i="2" s="1"/>
  <c r="AB701" i="4"/>
  <c r="BA702" i="2" s="1"/>
  <c r="AB700" i="4"/>
  <c r="BA701" i="2" s="1"/>
  <c r="AB699" i="4"/>
  <c r="BA700" i="2" s="1"/>
  <c r="AB698" i="4"/>
  <c r="BA699" i="2" s="1"/>
  <c r="AB697" i="4"/>
  <c r="BA698" i="2" s="1"/>
  <c r="AB696" i="4"/>
  <c r="BA697" i="2" s="1"/>
  <c r="AB695" i="4"/>
  <c r="BA696" i="2" s="1"/>
  <c r="AB694" i="4"/>
  <c r="BA695" i="2" s="1"/>
  <c r="AB693" i="4"/>
  <c r="BA694" i="2" s="1"/>
  <c r="AB692" i="4"/>
  <c r="BA693" i="2" s="1"/>
  <c r="AB691" i="4"/>
  <c r="BA692" i="2" s="1"/>
  <c r="AB690" i="4"/>
  <c r="BA691" i="2" s="1"/>
  <c r="AB689" i="4"/>
  <c r="BA690" i="2" s="1"/>
  <c r="AB688" i="4"/>
  <c r="BA689" i="2" s="1"/>
  <c r="AB687" i="4"/>
  <c r="BA688" i="2" s="1"/>
  <c r="AB686" i="4"/>
  <c r="BA687" i="2" s="1"/>
  <c r="AB685" i="4"/>
  <c r="BA686" i="2" s="1"/>
  <c r="AB684" i="4"/>
  <c r="BA685" i="2" s="1"/>
  <c r="AB683" i="4"/>
  <c r="BA684" i="2" s="1"/>
  <c r="AB682" i="4"/>
  <c r="BA683" i="2" s="1"/>
  <c r="AB681" i="4"/>
  <c r="BA682" i="2" s="1"/>
  <c r="AB680" i="4"/>
  <c r="BA681" i="2" s="1"/>
  <c r="AB679" i="4"/>
  <c r="BA680" i="2" s="1"/>
  <c r="AB678" i="4"/>
  <c r="BA679" i="2" s="1"/>
  <c r="AB677" i="4"/>
  <c r="BA678" i="2" s="1"/>
  <c r="AB676" i="4"/>
  <c r="BA677" i="2" s="1"/>
  <c r="AB675" i="4"/>
  <c r="BA676" i="2" s="1"/>
  <c r="AB674" i="4"/>
  <c r="BA675" i="2" s="1"/>
  <c r="AB673" i="4"/>
  <c r="BA674" i="2" s="1"/>
  <c r="AB672" i="4"/>
  <c r="BA673" i="2" s="1"/>
  <c r="AB671" i="4"/>
  <c r="BA672" i="2" s="1"/>
  <c r="AB670" i="4"/>
  <c r="BA671" i="2" s="1"/>
  <c r="AB669" i="4"/>
  <c r="BA670" i="2" s="1"/>
  <c r="AB668" i="4"/>
  <c r="BA669" i="2" s="1"/>
  <c r="AB667" i="4"/>
  <c r="BA668" i="2" s="1"/>
  <c r="AB666" i="4"/>
  <c r="BA667" i="2" s="1"/>
  <c r="AB665" i="4"/>
  <c r="BA666" i="2" s="1"/>
  <c r="AB664" i="4"/>
  <c r="BA665" i="2" s="1"/>
  <c r="AB663" i="4"/>
  <c r="BA664" i="2" s="1"/>
  <c r="AB662" i="4"/>
  <c r="BA663" i="2" s="1"/>
  <c r="AB661" i="4"/>
  <c r="BA662" i="2" s="1"/>
  <c r="AB660" i="4"/>
  <c r="BA661" i="2" s="1"/>
  <c r="AB659" i="4"/>
  <c r="BA660" i="2" s="1"/>
  <c r="AB658" i="4"/>
  <c r="BA659" i="2" s="1"/>
  <c r="AB657" i="4"/>
  <c r="BA658" i="2" s="1"/>
  <c r="AB656" i="4"/>
  <c r="BA657" i="2" s="1"/>
  <c r="AB655" i="4"/>
  <c r="BA656" i="2" s="1"/>
  <c r="AB654" i="4"/>
  <c r="BA655" i="2" s="1"/>
  <c r="AB653" i="4"/>
  <c r="BA654" i="2" s="1"/>
  <c r="AB652" i="4"/>
  <c r="BA653" i="2" s="1"/>
  <c r="AB651" i="4"/>
  <c r="BA652" i="2" s="1"/>
  <c r="AB650" i="4"/>
  <c r="BA651" i="2" s="1"/>
  <c r="AB649" i="4"/>
  <c r="BA650" i="2" s="1"/>
  <c r="AB648" i="4"/>
  <c r="BA649" i="2" s="1"/>
  <c r="AB647" i="4"/>
  <c r="BA648" i="2" s="1"/>
  <c r="AB646" i="4"/>
  <c r="BA647" i="2" s="1"/>
  <c r="AB645" i="4"/>
  <c r="BA646" i="2" s="1"/>
  <c r="AB644" i="4"/>
  <c r="BA645" i="2" s="1"/>
  <c r="AB643" i="4"/>
  <c r="BA644" i="2" s="1"/>
  <c r="AB642" i="4"/>
  <c r="BA643" i="2" s="1"/>
  <c r="AB641" i="4"/>
  <c r="BA642" i="2" s="1"/>
  <c r="AB640" i="4"/>
  <c r="BA641" i="2" s="1"/>
  <c r="AB639" i="4"/>
  <c r="BA640" i="2" s="1"/>
  <c r="AB638" i="4"/>
  <c r="BA639" i="2" s="1"/>
  <c r="AB637" i="4"/>
  <c r="BA638" i="2" s="1"/>
  <c r="AB636" i="4"/>
  <c r="BA637" i="2" s="1"/>
  <c r="AB635" i="4"/>
  <c r="BA636" i="2" s="1"/>
  <c r="AB634" i="4"/>
  <c r="BA635" i="2" s="1"/>
  <c r="AB633" i="4"/>
  <c r="BA634" i="2" s="1"/>
  <c r="AB632" i="4"/>
  <c r="BA633" i="2" s="1"/>
  <c r="AB631" i="4"/>
  <c r="BA632" i="2" s="1"/>
  <c r="AB630" i="4"/>
  <c r="BA631" i="2" s="1"/>
  <c r="AB629" i="4"/>
  <c r="BA630" i="2" s="1"/>
  <c r="AB628" i="4"/>
  <c r="BA629" i="2" s="1"/>
  <c r="AB627" i="4"/>
  <c r="BA628" i="2" s="1"/>
  <c r="AB626" i="4"/>
  <c r="BA627" i="2" s="1"/>
  <c r="AB625" i="4"/>
  <c r="BA626" i="2" s="1"/>
  <c r="AB624" i="4"/>
  <c r="BA625" i="2" s="1"/>
  <c r="AB623" i="4"/>
  <c r="BA624" i="2" s="1"/>
  <c r="AB622" i="4"/>
  <c r="BA623" i="2" s="1"/>
  <c r="AB621" i="4"/>
  <c r="BA622" i="2" s="1"/>
  <c r="AB620" i="4"/>
  <c r="BA621" i="2" s="1"/>
  <c r="AB619" i="4"/>
  <c r="BA620" i="2" s="1"/>
  <c r="AB618" i="4"/>
  <c r="BA619" i="2" s="1"/>
  <c r="AB617" i="4"/>
  <c r="BA618" i="2" s="1"/>
  <c r="AB616" i="4"/>
  <c r="BA617" i="2" s="1"/>
  <c r="AB615" i="4"/>
  <c r="BA616" i="2" s="1"/>
  <c r="AB614" i="4"/>
  <c r="BA615" i="2" s="1"/>
  <c r="AB613" i="4"/>
  <c r="BA614" i="2" s="1"/>
  <c r="AB612" i="4"/>
  <c r="BA613" i="2" s="1"/>
  <c r="AB611" i="4"/>
  <c r="BA612" i="2" s="1"/>
  <c r="AB610" i="4"/>
  <c r="BA611" i="2" s="1"/>
  <c r="AB609" i="4"/>
  <c r="BA610" i="2" s="1"/>
  <c r="AB608" i="4"/>
  <c r="BA609" i="2" s="1"/>
  <c r="AB607" i="4"/>
  <c r="BA608" i="2" s="1"/>
  <c r="AB606" i="4"/>
  <c r="BA607" i="2" s="1"/>
  <c r="AB605" i="4"/>
  <c r="BA606" i="2" s="1"/>
  <c r="AB604" i="4"/>
  <c r="BA605" i="2" s="1"/>
  <c r="AB603" i="4"/>
  <c r="BA604" i="2" s="1"/>
  <c r="AB602" i="4"/>
  <c r="BA603" i="2" s="1"/>
  <c r="AB601" i="4"/>
  <c r="BA602" i="2" s="1"/>
  <c r="AB600" i="4"/>
  <c r="BA601" i="2" s="1"/>
  <c r="AB599" i="4"/>
  <c r="BA600" i="2" s="1"/>
  <c r="AB598" i="4"/>
  <c r="BA599" i="2" s="1"/>
  <c r="AB597" i="4"/>
  <c r="BA598" i="2" s="1"/>
  <c r="AB596" i="4"/>
  <c r="BA597" i="2" s="1"/>
  <c r="AB595" i="4"/>
  <c r="BA596" i="2" s="1"/>
  <c r="AB594" i="4"/>
  <c r="BA595" i="2" s="1"/>
  <c r="AB593" i="4"/>
  <c r="BA594" i="2" s="1"/>
  <c r="AB592" i="4"/>
  <c r="BA593" i="2" s="1"/>
  <c r="AB591" i="4"/>
  <c r="BA592" i="2" s="1"/>
  <c r="AB590" i="4"/>
  <c r="BA591" i="2" s="1"/>
  <c r="AB589" i="4"/>
  <c r="BA590" i="2" s="1"/>
  <c r="AB588" i="4"/>
  <c r="BA589" i="2" s="1"/>
  <c r="AB587" i="4"/>
  <c r="BA588" i="2" s="1"/>
  <c r="AB586" i="4"/>
  <c r="BA587" i="2" s="1"/>
  <c r="AB585" i="4"/>
  <c r="BA586" i="2" s="1"/>
  <c r="AB584" i="4"/>
  <c r="BA585" i="2" s="1"/>
  <c r="AB583" i="4"/>
  <c r="BA584" i="2" s="1"/>
  <c r="AB582" i="4"/>
  <c r="BA583" i="2" s="1"/>
  <c r="AB581" i="4"/>
  <c r="BA582" i="2" s="1"/>
  <c r="AB580" i="4"/>
  <c r="BA581" i="2" s="1"/>
  <c r="AB579" i="4"/>
  <c r="BA580" i="2" s="1"/>
  <c r="AB578" i="4"/>
  <c r="BA579" i="2" s="1"/>
  <c r="AB577" i="4"/>
  <c r="BA578" i="2" s="1"/>
  <c r="AB576" i="4"/>
  <c r="BA577" i="2" s="1"/>
  <c r="AB575" i="4"/>
  <c r="BA576" i="2" s="1"/>
  <c r="AB574" i="4"/>
  <c r="BA575" i="2" s="1"/>
  <c r="AB573" i="4"/>
  <c r="BA574" i="2" s="1"/>
  <c r="AB572" i="4"/>
  <c r="BA573" i="2" s="1"/>
  <c r="AB571" i="4"/>
  <c r="BA572" i="2" s="1"/>
  <c r="AB570" i="4"/>
  <c r="BA571" i="2" s="1"/>
  <c r="AB569" i="4"/>
  <c r="BA570" i="2" s="1"/>
  <c r="AB568" i="4"/>
  <c r="BA569" i="2" s="1"/>
  <c r="AB567" i="4"/>
  <c r="BA568" i="2" s="1"/>
  <c r="AB566" i="4"/>
  <c r="BA567" i="2" s="1"/>
  <c r="AB565" i="4"/>
  <c r="BA566" i="2" s="1"/>
  <c r="AB564" i="4"/>
  <c r="BA565" i="2" s="1"/>
  <c r="AB563" i="4"/>
  <c r="BA564" i="2" s="1"/>
  <c r="AB562" i="4"/>
  <c r="BA563" i="2" s="1"/>
  <c r="AB561" i="4"/>
  <c r="BA562" i="2" s="1"/>
  <c r="AB560" i="4"/>
  <c r="BA561" i="2" s="1"/>
  <c r="AB559" i="4"/>
  <c r="BA560" i="2" s="1"/>
  <c r="AB558" i="4"/>
  <c r="BA559" i="2" s="1"/>
  <c r="AB557" i="4"/>
  <c r="BA558" i="2" s="1"/>
  <c r="AB556" i="4"/>
  <c r="BA557" i="2" s="1"/>
  <c r="AB555" i="4"/>
  <c r="BA556" i="2" s="1"/>
  <c r="AB554" i="4"/>
  <c r="BA555" i="2" s="1"/>
  <c r="AB553" i="4"/>
  <c r="BA554" i="2" s="1"/>
  <c r="AB552" i="4"/>
  <c r="BA553" i="2" s="1"/>
  <c r="AB551" i="4"/>
  <c r="BA552" i="2" s="1"/>
  <c r="AB550" i="4"/>
  <c r="BA551" i="2" s="1"/>
  <c r="AB549" i="4"/>
  <c r="BA550" i="2" s="1"/>
  <c r="AB548" i="4"/>
  <c r="BA549" i="2" s="1"/>
  <c r="AB547" i="4"/>
  <c r="BA548" i="2" s="1"/>
  <c r="AB546" i="4"/>
  <c r="BA547" i="2" s="1"/>
  <c r="AB545" i="4"/>
  <c r="BA546" i="2" s="1"/>
  <c r="AB544" i="4"/>
  <c r="BA545" i="2" s="1"/>
  <c r="AB543" i="4"/>
  <c r="BA544" i="2" s="1"/>
  <c r="AB542" i="4"/>
  <c r="BA543" i="2" s="1"/>
  <c r="AB541" i="4"/>
  <c r="BA542" i="2" s="1"/>
  <c r="AB540" i="4"/>
  <c r="BA541" i="2" s="1"/>
  <c r="AB539" i="4"/>
  <c r="BA540" i="2" s="1"/>
  <c r="AB538" i="4"/>
  <c r="BA539" i="2" s="1"/>
  <c r="AB537" i="4"/>
  <c r="BA538" i="2" s="1"/>
  <c r="AB536" i="4"/>
  <c r="BA537" i="2" s="1"/>
  <c r="AB535" i="4"/>
  <c r="BA536" i="2" s="1"/>
  <c r="AB534" i="4"/>
  <c r="BA535" i="2" s="1"/>
  <c r="AB533" i="4"/>
  <c r="BA534" i="2" s="1"/>
  <c r="AB532" i="4"/>
  <c r="BA533" i="2" s="1"/>
  <c r="AB531" i="4"/>
  <c r="BA532" i="2" s="1"/>
  <c r="AB530" i="4"/>
  <c r="BA531" i="2" s="1"/>
  <c r="AB529" i="4"/>
  <c r="BA530" i="2" s="1"/>
  <c r="AB528" i="4"/>
  <c r="BA529" i="2" s="1"/>
  <c r="AB527" i="4"/>
  <c r="BA528" i="2" s="1"/>
  <c r="AB526" i="4"/>
  <c r="BA527" i="2" s="1"/>
  <c r="AB525" i="4"/>
  <c r="BA526" i="2" s="1"/>
  <c r="AB524" i="4"/>
  <c r="BA525" i="2" s="1"/>
  <c r="AB523" i="4"/>
  <c r="BA524" i="2" s="1"/>
  <c r="AB522" i="4"/>
  <c r="BA523" i="2" s="1"/>
  <c r="AB521" i="4"/>
  <c r="BA522" i="2" s="1"/>
  <c r="AB520" i="4"/>
  <c r="BA521" i="2" s="1"/>
  <c r="AB519" i="4"/>
  <c r="BA520" i="2" s="1"/>
  <c r="AB518" i="4"/>
  <c r="BA519" i="2" s="1"/>
  <c r="AB517" i="4"/>
  <c r="BA518" i="2" s="1"/>
  <c r="AB516" i="4"/>
  <c r="BA517" i="2" s="1"/>
  <c r="AB515" i="4"/>
  <c r="BA516" i="2" s="1"/>
  <c r="AB514" i="4"/>
  <c r="BA515" i="2" s="1"/>
  <c r="AB513" i="4"/>
  <c r="BA514" i="2" s="1"/>
  <c r="AB512" i="4"/>
  <c r="BA513" i="2" s="1"/>
  <c r="AB511" i="4"/>
  <c r="BA512" i="2" s="1"/>
  <c r="AB510" i="4"/>
  <c r="BA511" i="2" s="1"/>
  <c r="AB509" i="4"/>
  <c r="BA510" i="2" s="1"/>
  <c r="AB508" i="4"/>
  <c r="BA509" i="2" s="1"/>
  <c r="AB507" i="4"/>
  <c r="BA508" i="2" s="1"/>
  <c r="AB506" i="4"/>
  <c r="BA507" i="2" s="1"/>
  <c r="AB505" i="4"/>
  <c r="BA506" i="2" s="1"/>
  <c r="AB504" i="4"/>
  <c r="BA505" i="2" s="1"/>
  <c r="AB503" i="4"/>
  <c r="BA504" i="2" s="1"/>
  <c r="AB502" i="4"/>
  <c r="BA503" i="2" s="1"/>
  <c r="AB501" i="4"/>
  <c r="BA502" i="2" s="1"/>
  <c r="AB500" i="4"/>
  <c r="BA501" i="2" s="1"/>
  <c r="AB499" i="4"/>
  <c r="BA500" i="2" s="1"/>
  <c r="AB498" i="4"/>
  <c r="BA499" i="2" s="1"/>
  <c r="AB497" i="4"/>
  <c r="BA498" i="2" s="1"/>
  <c r="AB496" i="4"/>
  <c r="BA497" i="2" s="1"/>
  <c r="AB495" i="4"/>
  <c r="BA496" i="2" s="1"/>
  <c r="AB494" i="4"/>
  <c r="BA495" i="2" s="1"/>
  <c r="AB493" i="4"/>
  <c r="BA494" i="2" s="1"/>
  <c r="AB492" i="4"/>
  <c r="BA493" i="2" s="1"/>
  <c r="AB491" i="4"/>
  <c r="BA492" i="2" s="1"/>
  <c r="AB490" i="4"/>
  <c r="BA491" i="2" s="1"/>
  <c r="AB489" i="4"/>
  <c r="BA490" i="2" s="1"/>
  <c r="AB488" i="4"/>
  <c r="BA489" i="2" s="1"/>
  <c r="AB487" i="4"/>
  <c r="BA488" i="2" s="1"/>
  <c r="AB486" i="4"/>
  <c r="BA487" i="2" s="1"/>
  <c r="AB485" i="4"/>
  <c r="BA486" i="2" s="1"/>
  <c r="AB484" i="4"/>
  <c r="BA485" i="2" s="1"/>
  <c r="AB483" i="4"/>
  <c r="BA484" i="2" s="1"/>
  <c r="AB482" i="4"/>
  <c r="BA483" i="2" s="1"/>
  <c r="AB481" i="4"/>
  <c r="BA482" i="2" s="1"/>
  <c r="AB480" i="4"/>
  <c r="BA481" i="2" s="1"/>
  <c r="AB479" i="4"/>
  <c r="BA480" i="2" s="1"/>
  <c r="AB478" i="4"/>
  <c r="BA479" i="2" s="1"/>
  <c r="AB477" i="4"/>
  <c r="BA478" i="2" s="1"/>
  <c r="AB476" i="4"/>
  <c r="BA477" i="2" s="1"/>
  <c r="AB475" i="4"/>
  <c r="BA476" i="2" s="1"/>
  <c r="AB474" i="4"/>
  <c r="BA475" i="2" s="1"/>
  <c r="AB473" i="4"/>
  <c r="BA474" i="2" s="1"/>
  <c r="AB472" i="4"/>
  <c r="BA473" i="2" s="1"/>
  <c r="AB471" i="4"/>
  <c r="BA472" i="2" s="1"/>
  <c r="AB470" i="4"/>
  <c r="BA471" i="2" s="1"/>
  <c r="AB469" i="4"/>
  <c r="BA470" i="2" s="1"/>
  <c r="AB468" i="4"/>
  <c r="BA469" i="2" s="1"/>
  <c r="AB467" i="4"/>
  <c r="BA468" i="2" s="1"/>
  <c r="AB466" i="4"/>
  <c r="BA467" i="2" s="1"/>
  <c r="AB465" i="4"/>
  <c r="BA466" i="2" s="1"/>
  <c r="AB464" i="4"/>
  <c r="BA465" i="2" s="1"/>
  <c r="AB463" i="4"/>
  <c r="BA464" i="2" s="1"/>
  <c r="AB462" i="4"/>
  <c r="BA463" i="2" s="1"/>
  <c r="AB461" i="4"/>
  <c r="BA462" i="2" s="1"/>
  <c r="AB460" i="4"/>
  <c r="BA461" i="2" s="1"/>
  <c r="AB459" i="4"/>
  <c r="BA460" i="2" s="1"/>
  <c r="AB458" i="4"/>
  <c r="BA459" i="2" s="1"/>
  <c r="AB457" i="4"/>
  <c r="BA458" i="2" s="1"/>
  <c r="AB456" i="4"/>
  <c r="BA457" i="2" s="1"/>
  <c r="AB455" i="4"/>
  <c r="BA456" i="2" s="1"/>
  <c r="AB454" i="4"/>
  <c r="BA455" i="2" s="1"/>
  <c r="AB453" i="4"/>
  <c r="BA454" i="2" s="1"/>
  <c r="AB452" i="4"/>
  <c r="BA453" i="2" s="1"/>
  <c r="AB451" i="4"/>
  <c r="BA452" i="2" s="1"/>
  <c r="AB450" i="4"/>
  <c r="BA451" i="2" s="1"/>
  <c r="AB449" i="4"/>
  <c r="BA450" i="2" s="1"/>
  <c r="AB448" i="4"/>
  <c r="BA449" i="2" s="1"/>
  <c r="AB447" i="4"/>
  <c r="BA448" i="2" s="1"/>
  <c r="AB446" i="4"/>
  <c r="BA447" i="2" s="1"/>
  <c r="AB445" i="4"/>
  <c r="BA446" i="2" s="1"/>
  <c r="AB444" i="4"/>
  <c r="BA445" i="2" s="1"/>
  <c r="AB443" i="4"/>
  <c r="BA444" i="2" s="1"/>
  <c r="AB442" i="4"/>
  <c r="BA443" i="2" s="1"/>
  <c r="AB441" i="4"/>
  <c r="BA442" i="2" s="1"/>
  <c r="AB440" i="4"/>
  <c r="BA441" i="2" s="1"/>
  <c r="AB439" i="4"/>
  <c r="BA440" i="2" s="1"/>
  <c r="AB438" i="4"/>
  <c r="BA439" i="2" s="1"/>
  <c r="AB437" i="4"/>
  <c r="BA438" i="2" s="1"/>
  <c r="AB436" i="4"/>
  <c r="BA437" i="2" s="1"/>
  <c r="AB435" i="4"/>
  <c r="BA436" i="2" s="1"/>
  <c r="AB434" i="4"/>
  <c r="BA435" i="2" s="1"/>
  <c r="AB433" i="4"/>
  <c r="BA434" i="2" s="1"/>
  <c r="AB432" i="4"/>
  <c r="BA433" i="2" s="1"/>
  <c r="AB431" i="4"/>
  <c r="BA432" i="2" s="1"/>
  <c r="AB430" i="4"/>
  <c r="BA431" i="2" s="1"/>
  <c r="AB429" i="4"/>
  <c r="BA430" i="2" s="1"/>
  <c r="AB428" i="4"/>
  <c r="BA429" i="2" s="1"/>
  <c r="AB427" i="4"/>
  <c r="BA428" i="2" s="1"/>
  <c r="AB426" i="4"/>
  <c r="BA427" i="2" s="1"/>
  <c r="AB425" i="4"/>
  <c r="BA426" i="2" s="1"/>
  <c r="AB424" i="4"/>
  <c r="BA425" i="2" s="1"/>
  <c r="AB423" i="4"/>
  <c r="BA424" i="2" s="1"/>
  <c r="AB422" i="4"/>
  <c r="BA423" i="2" s="1"/>
  <c r="AB421" i="4"/>
  <c r="BA422" i="2" s="1"/>
  <c r="AB420" i="4"/>
  <c r="BA421" i="2" s="1"/>
  <c r="AB419" i="4"/>
  <c r="BA420" i="2" s="1"/>
  <c r="AB418" i="4"/>
  <c r="BA419" i="2" s="1"/>
  <c r="AB417" i="4"/>
  <c r="BA418" i="2" s="1"/>
  <c r="AB416" i="4"/>
  <c r="BA417" i="2" s="1"/>
  <c r="AB415" i="4"/>
  <c r="BA416" i="2" s="1"/>
  <c r="AB414" i="4"/>
  <c r="BA415" i="2" s="1"/>
  <c r="AB413" i="4"/>
  <c r="BA414" i="2" s="1"/>
  <c r="AB412" i="4"/>
  <c r="BA413" i="2" s="1"/>
  <c r="AB411" i="4"/>
  <c r="BA412" i="2" s="1"/>
  <c r="AB410" i="4"/>
  <c r="BA411" i="2" s="1"/>
  <c r="AB409" i="4"/>
  <c r="BA410" i="2" s="1"/>
  <c r="AB408" i="4"/>
  <c r="BA409" i="2" s="1"/>
  <c r="AB407" i="4"/>
  <c r="BA408" i="2" s="1"/>
  <c r="AB406" i="4"/>
  <c r="BA407" i="2" s="1"/>
  <c r="AB405" i="4"/>
  <c r="BA406" i="2" s="1"/>
  <c r="AB404" i="4"/>
  <c r="BA405" i="2" s="1"/>
  <c r="AB403" i="4"/>
  <c r="BA404" i="2" s="1"/>
  <c r="AB402" i="4"/>
  <c r="BA403" i="2" s="1"/>
  <c r="AB401" i="4"/>
  <c r="BA402" i="2" s="1"/>
  <c r="AB400" i="4"/>
  <c r="BA401" i="2" s="1"/>
  <c r="AB399" i="4"/>
  <c r="BA400" i="2" s="1"/>
  <c r="AB398" i="4"/>
  <c r="BA399" i="2" s="1"/>
  <c r="AB397" i="4"/>
  <c r="BA398" i="2" s="1"/>
  <c r="AB396" i="4"/>
  <c r="BA397" i="2" s="1"/>
  <c r="AB395" i="4"/>
  <c r="BA396" i="2" s="1"/>
  <c r="AB394" i="4"/>
  <c r="BA395" i="2" s="1"/>
  <c r="AB393" i="4"/>
  <c r="BA394" i="2" s="1"/>
  <c r="AB392" i="4"/>
  <c r="BA393" i="2" s="1"/>
  <c r="AB391" i="4"/>
  <c r="BA392" i="2" s="1"/>
  <c r="AB390" i="4"/>
  <c r="BA391" i="2" s="1"/>
  <c r="AB389" i="4"/>
  <c r="BA390" i="2" s="1"/>
  <c r="AB388" i="4"/>
  <c r="BA389" i="2" s="1"/>
  <c r="AB387" i="4"/>
  <c r="BA388" i="2" s="1"/>
  <c r="AB386" i="4"/>
  <c r="BA387" i="2" s="1"/>
  <c r="AB385" i="4"/>
  <c r="BA386" i="2" s="1"/>
  <c r="AB384" i="4"/>
  <c r="BA385" i="2" s="1"/>
  <c r="AB383" i="4"/>
  <c r="BA384" i="2" s="1"/>
  <c r="AB382" i="4"/>
  <c r="BA383" i="2" s="1"/>
  <c r="AB381" i="4"/>
  <c r="BA382" i="2" s="1"/>
  <c r="AB380" i="4"/>
  <c r="BA381" i="2" s="1"/>
  <c r="AB379" i="4"/>
  <c r="BA380" i="2" s="1"/>
  <c r="AB378" i="4"/>
  <c r="BA379" i="2" s="1"/>
  <c r="AB377" i="4"/>
  <c r="BA378" i="2" s="1"/>
  <c r="AB376" i="4"/>
  <c r="BA377" i="2" s="1"/>
  <c r="AB375" i="4"/>
  <c r="BA376" i="2" s="1"/>
  <c r="AB374" i="4"/>
  <c r="BA375" i="2" s="1"/>
  <c r="AB373" i="4"/>
  <c r="BA374" i="2" s="1"/>
  <c r="AB372" i="4"/>
  <c r="BA373" i="2" s="1"/>
  <c r="AB371" i="4"/>
  <c r="BA372" i="2" s="1"/>
  <c r="AB370" i="4"/>
  <c r="BA371" i="2" s="1"/>
  <c r="AB369" i="4"/>
  <c r="BA370" i="2" s="1"/>
  <c r="AB368" i="4"/>
  <c r="BA369" i="2" s="1"/>
  <c r="AB367" i="4"/>
  <c r="BA368" i="2" s="1"/>
  <c r="AB366" i="4"/>
  <c r="BA367" i="2" s="1"/>
  <c r="AB365" i="4"/>
  <c r="BA366" i="2" s="1"/>
  <c r="AB364" i="4"/>
  <c r="BA365" i="2" s="1"/>
  <c r="AB363" i="4"/>
  <c r="BA364" i="2" s="1"/>
  <c r="AB362" i="4"/>
  <c r="BA363" i="2" s="1"/>
  <c r="AB361" i="4"/>
  <c r="BA362" i="2" s="1"/>
  <c r="AB360" i="4"/>
  <c r="BA361" i="2" s="1"/>
  <c r="AB359" i="4"/>
  <c r="BA360" i="2" s="1"/>
  <c r="AB358" i="4"/>
  <c r="BA359" i="2" s="1"/>
  <c r="AB357" i="4"/>
  <c r="BA358" i="2" s="1"/>
  <c r="AB356" i="4"/>
  <c r="BA357" i="2" s="1"/>
  <c r="AB355" i="4"/>
  <c r="BA356" i="2" s="1"/>
  <c r="AB354" i="4"/>
  <c r="BA355" i="2" s="1"/>
  <c r="AB353" i="4"/>
  <c r="BA354" i="2" s="1"/>
  <c r="AB352" i="4"/>
  <c r="BA353" i="2" s="1"/>
  <c r="AB351" i="4"/>
  <c r="BA352" i="2" s="1"/>
  <c r="AB350" i="4"/>
  <c r="BA351" i="2" s="1"/>
  <c r="AB349" i="4"/>
  <c r="BA350" i="2" s="1"/>
  <c r="AB348" i="4"/>
  <c r="BA349" i="2" s="1"/>
  <c r="AB347" i="4"/>
  <c r="BA348" i="2" s="1"/>
  <c r="AB346" i="4"/>
  <c r="BA347" i="2" s="1"/>
  <c r="AB345" i="4"/>
  <c r="BA346" i="2" s="1"/>
  <c r="AB344" i="4"/>
  <c r="BA345" i="2" s="1"/>
  <c r="AB343" i="4"/>
  <c r="BA344" i="2" s="1"/>
  <c r="AB342" i="4"/>
  <c r="BA343" i="2" s="1"/>
  <c r="AB341" i="4"/>
  <c r="BA342" i="2" s="1"/>
  <c r="AB340" i="4"/>
  <c r="BA341" i="2" s="1"/>
  <c r="AB339" i="4"/>
  <c r="BA340" i="2" s="1"/>
  <c r="AB338" i="4"/>
  <c r="BA339" i="2" s="1"/>
  <c r="AB337" i="4"/>
  <c r="BA338" i="2" s="1"/>
  <c r="AB336" i="4"/>
  <c r="BA337" i="2" s="1"/>
  <c r="AB335" i="4"/>
  <c r="BA336" i="2" s="1"/>
  <c r="AB334" i="4"/>
  <c r="BA335" i="2" s="1"/>
  <c r="AB333" i="4"/>
  <c r="BA334" i="2" s="1"/>
  <c r="AB332" i="4"/>
  <c r="BA333" i="2" s="1"/>
  <c r="AB331" i="4"/>
  <c r="BA332" i="2" s="1"/>
  <c r="AB330" i="4"/>
  <c r="BA331" i="2" s="1"/>
  <c r="AB329" i="4"/>
  <c r="BA330" i="2" s="1"/>
  <c r="AB328" i="4"/>
  <c r="BA329" i="2" s="1"/>
  <c r="AB327" i="4"/>
  <c r="BA328" i="2" s="1"/>
  <c r="AB326" i="4"/>
  <c r="BA327" i="2" s="1"/>
  <c r="AB325" i="4"/>
  <c r="BA326" i="2" s="1"/>
  <c r="AB324" i="4"/>
  <c r="BA325" i="2" s="1"/>
  <c r="AB323" i="4"/>
  <c r="BA324" i="2" s="1"/>
  <c r="AB322" i="4"/>
  <c r="BA323" i="2" s="1"/>
  <c r="AB321" i="4"/>
  <c r="BA322" i="2" s="1"/>
  <c r="AB320" i="4"/>
  <c r="BA321" i="2" s="1"/>
  <c r="AB319" i="4"/>
  <c r="BA320" i="2" s="1"/>
  <c r="AB318" i="4"/>
  <c r="BA319" i="2" s="1"/>
  <c r="AB317" i="4"/>
  <c r="BA318" i="2" s="1"/>
  <c r="AB316" i="4"/>
  <c r="BA317" i="2" s="1"/>
  <c r="AB315" i="4"/>
  <c r="BA316" i="2" s="1"/>
  <c r="AB314" i="4"/>
  <c r="BA315" i="2" s="1"/>
  <c r="AB313" i="4"/>
  <c r="BA314" i="2" s="1"/>
  <c r="AB312" i="4"/>
  <c r="BA313" i="2" s="1"/>
  <c r="AB311" i="4"/>
  <c r="BA312" i="2" s="1"/>
  <c r="AB310" i="4"/>
  <c r="BA311" i="2" s="1"/>
  <c r="AB309" i="4"/>
  <c r="BA310" i="2" s="1"/>
  <c r="AB308" i="4"/>
  <c r="BA309" i="2" s="1"/>
  <c r="AB307" i="4"/>
  <c r="BA308" i="2" s="1"/>
  <c r="AB306" i="4"/>
  <c r="BA307" i="2" s="1"/>
  <c r="AB305" i="4"/>
  <c r="BA306" i="2" s="1"/>
  <c r="AB304" i="4"/>
  <c r="BA305" i="2" s="1"/>
  <c r="AB303" i="4"/>
  <c r="BA304" i="2" s="1"/>
  <c r="AB302" i="4"/>
  <c r="BA303" i="2" s="1"/>
  <c r="AB301" i="4"/>
  <c r="BA302" i="2" s="1"/>
  <c r="AB300" i="4"/>
  <c r="BA301" i="2" s="1"/>
  <c r="AB299" i="4"/>
  <c r="BA300" i="2" s="1"/>
  <c r="AB298" i="4"/>
  <c r="BA299" i="2" s="1"/>
  <c r="AB297" i="4"/>
  <c r="BA298" i="2" s="1"/>
  <c r="AB296" i="4"/>
  <c r="BA297" i="2" s="1"/>
  <c r="AB295" i="4"/>
  <c r="BA296" i="2" s="1"/>
  <c r="AB294" i="4"/>
  <c r="BA295" i="2" s="1"/>
  <c r="AB293" i="4"/>
  <c r="BA294" i="2" s="1"/>
  <c r="AB292" i="4"/>
  <c r="BA293" i="2" s="1"/>
  <c r="AB291" i="4"/>
  <c r="BA292" i="2" s="1"/>
  <c r="AB290" i="4"/>
  <c r="BA291" i="2" s="1"/>
  <c r="AB289" i="4"/>
  <c r="BA290" i="2" s="1"/>
  <c r="AB288" i="4"/>
  <c r="BA289" i="2" s="1"/>
  <c r="AB287" i="4"/>
  <c r="BA288" i="2" s="1"/>
  <c r="AB286" i="4"/>
  <c r="BA287" i="2" s="1"/>
  <c r="AB285" i="4"/>
  <c r="BA286" i="2" s="1"/>
  <c r="AB284" i="4"/>
  <c r="BA285" i="2" s="1"/>
  <c r="AB283" i="4"/>
  <c r="BA284" i="2" s="1"/>
  <c r="AB282" i="4"/>
  <c r="BA283" i="2" s="1"/>
  <c r="AB281" i="4"/>
  <c r="BA282" i="2" s="1"/>
  <c r="AB280" i="4"/>
  <c r="BA281" i="2" s="1"/>
  <c r="AB279" i="4"/>
  <c r="BA280" i="2" s="1"/>
  <c r="AB278" i="4"/>
  <c r="BA279" i="2" s="1"/>
  <c r="AB277" i="4"/>
  <c r="BA278" i="2" s="1"/>
  <c r="AB276" i="4"/>
  <c r="BA277" i="2" s="1"/>
  <c r="AB275" i="4"/>
  <c r="BA276" i="2" s="1"/>
  <c r="AB274" i="4"/>
  <c r="BA275" i="2" s="1"/>
  <c r="AB273" i="4"/>
  <c r="BA274" i="2" s="1"/>
  <c r="AB272" i="4"/>
  <c r="BA273" i="2" s="1"/>
  <c r="AB271" i="4"/>
  <c r="BA272" i="2" s="1"/>
  <c r="AB270" i="4"/>
  <c r="BA271" i="2" s="1"/>
  <c r="AB269" i="4"/>
  <c r="BA270" i="2" s="1"/>
  <c r="AB268" i="4"/>
  <c r="BA269" i="2" s="1"/>
  <c r="AB267" i="4"/>
  <c r="BA268" i="2" s="1"/>
  <c r="AB266" i="4"/>
  <c r="BA267" i="2" s="1"/>
  <c r="AB265" i="4"/>
  <c r="BA266" i="2" s="1"/>
  <c r="AB264" i="4"/>
  <c r="BA265" i="2" s="1"/>
  <c r="AB263" i="4"/>
  <c r="BA264" i="2" s="1"/>
  <c r="AB262" i="4"/>
  <c r="BA263" i="2" s="1"/>
  <c r="AB261" i="4"/>
  <c r="BA262" i="2" s="1"/>
  <c r="AB260" i="4"/>
  <c r="BA261" i="2" s="1"/>
  <c r="AB259" i="4"/>
  <c r="BA260" i="2" s="1"/>
  <c r="AB258" i="4"/>
  <c r="BA259" i="2" s="1"/>
  <c r="AB257" i="4"/>
  <c r="BA258" i="2" s="1"/>
  <c r="AB256" i="4"/>
  <c r="BA257" i="2" s="1"/>
  <c r="AB255" i="4"/>
  <c r="BA256" i="2" s="1"/>
  <c r="AB254" i="4"/>
  <c r="BA255" i="2" s="1"/>
  <c r="AB253" i="4"/>
  <c r="BA254" i="2" s="1"/>
  <c r="AB252" i="4"/>
  <c r="BA253" i="2" s="1"/>
  <c r="AB251" i="4"/>
  <c r="BA252" i="2" s="1"/>
  <c r="AB250" i="4"/>
  <c r="BA251" i="2" s="1"/>
  <c r="AB249" i="4"/>
  <c r="BA250" i="2" s="1"/>
  <c r="AB248" i="4"/>
  <c r="BA249" i="2" s="1"/>
  <c r="AB247" i="4"/>
  <c r="BA248" i="2" s="1"/>
  <c r="AB246" i="4"/>
  <c r="BA247" i="2" s="1"/>
  <c r="AB245" i="4"/>
  <c r="BA246" i="2" s="1"/>
  <c r="AB244" i="4"/>
  <c r="BA245" i="2" s="1"/>
  <c r="AB243" i="4"/>
  <c r="BA244" i="2" s="1"/>
  <c r="AB242" i="4"/>
  <c r="BA243" i="2" s="1"/>
  <c r="AB241" i="4"/>
  <c r="BA242" i="2" s="1"/>
  <c r="AB240" i="4"/>
  <c r="BA241" i="2" s="1"/>
  <c r="AB239" i="4"/>
  <c r="BA240" i="2" s="1"/>
  <c r="AB238" i="4"/>
  <c r="BA239" i="2" s="1"/>
  <c r="AB237" i="4"/>
  <c r="BA238" i="2" s="1"/>
  <c r="AB236" i="4"/>
  <c r="BA237" i="2" s="1"/>
  <c r="AB235" i="4"/>
  <c r="BA236" i="2" s="1"/>
  <c r="AB234" i="4"/>
  <c r="BA235" i="2" s="1"/>
  <c r="AB233" i="4"/>
  <c r="BA234" i="2" s="1"/>
  <c r="AB232" i="4"/>
  <c r="BA233" i="2" s="1"/>
  <c r="AB231" i="4"/>
  <c r="BA232" i="2" s="1"/>
  <c r="AB230" i="4"/>
  <c r="BA231" i="2" s="1"/>
  <c r="AB229" i="4"/>
  <c r="BA230" i="2" s="1"/>
  <c r="AB228" i="4"/>
  <c r="BA229" i="2" s="1"/>
  <c r="AB227" i="4"/>
  <c r="BA228" i="2" s="1"/>
  <c r="AB226" i="4"/>
  <c r="BA227" i="2" s="1"/>
  <c r="AB225" i="4"/>
  <c r="BA226" i="2" s="1"/>
  <c r="AB224" i="4"/>
  <c r="BA225" i="2" s="1"/>
  <c r="AB223" i="4"/>
  <c r="BA224" i="2" s="1"/>
  <c r="AB222" i="4"/>
  <c r="BA223" i="2" s="1"/>
  <c r="AB221" i="4"/>
  <c r="BA222" i="2" s="1"/>
  <c r="AB220" i="4"/>
  <c r="BA221" i="2" s="1"/>
  <c r="AB219" i="4"/>
  <c r="BA220" i="2" s="1"/>
  <c r="AB218" i="4"/>
  <c r="BA219" i="2" s="1"/>
  <c r="AB217" i="4"/>
  <c r="BA218" i="2" s="1"/>
  <c r="AB216" i="4"/>
  <c r="BA217" i="2" s="1"/>
  <c r="AB215" i="4"/>
  <c r="BA216" i="2" s="1"/>
  <c r="AB214" i="4"/>
  <c r="BA215" i="2" s="1"/>
  <c r="AB213" i="4"/>
  <c r="BA214" i="2" s="1"/>
  <c r="AB212" i="4"/>
  <c r="BA213" i="2" s="1"/>
  <c r="AB211" i="4"/>
  <c r="BA212" i="2" s="1"/>
  <c r="AB210" i="4"/>
  <c r="BA211" i="2" s="1"/>
  <c r="AB209" i="4"/>
  <c r="BA210" i="2" s="1"/>
  <c r="AB208" i="4"/>
  <c r="BA209" i="2" s="1"/>
  <c r="AB207" i="4"/>
  <c r="BA208" i="2" s="1"/>
  <c r="AB206" i="4"/>
  <c r="BA207" i="2" s="1"/>
  <c r="AB205" i="4"/>
  <c r="BA206" i="2" s="1"/>
  <c r="AB204" i="4"/>
  <c r="BA205" i="2" s="1"/>
  <c r="AB203" i="4"/>
  <c r="BA204" i="2" s="1"/>
  <c r="AB202" i="4"/>
  <c r="BA203" i="2" s="1"/>
  <c r="AB201" i="4"/>
  <c r="BA202" i="2" s="1"/>
  <c r="AB200" i="4"/>
  <c r="BA201" i="2" s="1"/>
  <c r="AB199" i="4"/>
  <c r="BA200" i="2" s="1"/>
  <c r="AB198" i="4"/>
  <c r="BA199" i="2" s="1"/>
  <c r="AB197" i="4"/>
  <c r="BA198" i="2" s="1"/>
  <c r="AB196" i="4"/>
  <c r="BA197" i="2" s="1"/>
  <c r="AB195" i="4"/>
  <c r="BA196" i="2" s="1"/>
  <c r="AB194" i="4"/>
  <c r="BA195" i="2" s="1"/>
  <c r="AB193" i="4"/>
  <c r="BA194" i="2" s="1"/>
  <c r="AB192" i="4"/>
  <c r="BA193" i="2" s="1"/>
  <c r="AB191" i="4"/>
  <c r="BA192" i="2" s="1"/>
  <c r="AB190" i="4"/>
  <c r="BA191" i="2" s="1"/>
  <c r="AB189" i="4"/>
  <c r="BA190" i="2" s="1"/>
  <c r="AB188" i="4"/>
  <c r="BA189" i="2" s="1"/>
  <c r="AB187" i="4"/>
  <c r="BA188" i="2" s="1"/>
  <c r="AB186" i="4"/>
  <c r="BA187" i="2" s="1"/>
  <c r="AB185" i="4"/>
  <c r="BA186" i="2" s="1"/>
  <c r="AB184" i="4"/>
  <c r="BA185" i="2" s="1"/>
  <c r="AB183" i="4"/>
  <c r="BA184" i="2" s="1"/>
  <c r="AB182" i="4"/>
  <c r="BA183" i="2" s="1"/>
  <c r="AB181" i="4"/>
  <c r="BA182" i="2" s="1"/>
  <c r="AB180" i="4"/>
  <c r="BA181" i="2" s="1"/>
  <c r="AB179" i="4"/>
  <c r="BA180" i="2" s="1"/>
  <c r="AB178" i="4"/>
  <c r="BA179" i="2" s="1"/>
  <c r="AB177" i="4"/>
  <c r="BA178" i="2" s="1"/>
  <c r="AB176" i="4"/>
  <c r="BA177" i="2" s="1"/>
  <c r="AB175" i="4"/>
  <c r="BA176" i="2" s="1"/>
  <c r="AB174" i="4"/>
  <c r="BA175" i="2" s="1"/>
  <c r="AB173" i="4"/>
  <c r="BA174" i="2" s="1"/>
  <c r="AB172" i="4"/>
  <c r="BA173" i="2" s="1"/>
  <c r="AB171" i="4"/>
  <c r="BA172" i="2" s="1"/>
  <c r="AB170" i="4"/>
  <c r="BA171" i="2" s="1"/>
  <c r="AB169" i="4"/>
  <c r="BA170" i="2" s="1"/>
  <c r="AB168" i="4"/>
  <c r="BA169" i="2" s="1"/>
  <c r="AB167" i="4"/>
  <c r="BA168" i="2" s="1"/>
  <c r="AB166" i="4"/>
  <c r="BA167" i="2" s="1"/>
  <c r="AB165" i="4"/>
  <c r="BA166" i="2" s="1"/>
  <c r="AB164" i="4"/>
  <c r="BA165" i="2" s="1"/>
  <c r="AB163" i="4"/>
  <c r="BA164" i="2" s="1"/>
  <c r="AB162" i="4"/>
  <c r="BA163" i="2" s="1"/>
  <c r="AB161" i="4"/>
  <c r="BA162" i="2" s="1"/>
  <c r="AB160" i="4"/>
  <c r="BA161" i="2" s="1"/>
  <c r="AB159" i="4"/>
  <c r="BA160" i="2" s="1"/>
  <c r="AB158" i="4"/>
  <c r="BA159" i="2" s="1"/>
  <c r="AB157" i="4"/>
  <c r="BA158" i="2" s="1"/>
  <c r="AB156" i="4"/>
  <c r="BA157" i="2" s="1"/>
  <c r="AB155" i="4"/>
  <c r="BA156" i="2" s="1"/>
  <c r="AB154" i="4"/>
  <c r="BA155" i="2" s="1"/>
  <c r="AB153" i="4"/>
  <c r="BA154" i="2" s="1"/>
  <c r="AB152" i="4"/>
  <c r="BA153" i="2" s="1"/>
  <c r="AB151" i="4"/>
  <c r="BA152" i="2" s="1"/>
  <c r="AB150" i="4"/>
  <c r="BA151" i="2" s="1"/>
  <c r="AB149" i="4"/>
  <c r="BA150" i="2" s="1"/>
  <c r="AB148" i="4"/>
  <c r="BA149" i="2" s="1"/>
  <c r="AB147" i="4"/>
  <c r="BA148" i="2" s="1"/>
  <c r="AB146" i="4"/>
  <c r="BA147" i="2" s="1"/>
  <c r="AB145" i="4"/>
  <c r="BA146" i="2" s="1"/>
  <c r="AB144" i="4"/>
  <c r="BA145" i="2" s="1"/>
  <c r="AB143" i="4"/>
  <c r="BA144" i="2" s="1"/>
  <c r="AB142" i="4"/>
  <c r="BA143" i="2" s="1"/>
  <c r="AB141" i="4"/>
  <c r="BA142" i="2" s="1"/>
  <c r="AB140" i="4"/>
  <c r="BA141" i="2" s="1"/>
  <c r="AB139" i="4"/>
  <c r="BA140" i="2" s="1"/>
  <c r="AB138" i="4"/>
  <c r="BA139" i="2" s="1"/>
  <c r="AB137" i="4"/>
  <c r="BA138" i="2" s="1"/>
  <c r="AB136" i="4"/>
  <c r="BA137" i="2" s="1"/>
  <c r="AB135" i="4"/>
  <c r="BA136" i="2" s="1"/>
  <c r="AB134" i="4"/>
  <c r="BA135" i="2" s="1"/>
  <c r="AB133" i="4"/>
  <c r="BA134" i="2" s="1"/>
  <c r="AB132" i="4"/>
  <c r="BA133" i="2" s="1"/>
  <c r="AB131" i="4"/>
  <c r="BA132" i="2" s="1"/>
  <c r="AB130" i="4"/>
  <c r="BA131" i="2" s="1"/>
  <c r="AB129" i="4"/>
  <c r="BA130" i="2" s="1"/>
  <c r="AB128" i="4"/>
  <c r="BA129" i="2" s="1"/>
  <c r="AB127" i="4"/>
  <c r="BA128" i="2" s="1"/>
  <c r="AB126" i="4"/>
  <c r="BA127" i="2" s="1"/>
  <c r="AB125" i="4"/>
  <c r="BA126" i="2" s="1"/>
  <c r="AB124" i="4"/>
  <c r="BA125" i="2" s="1"/>
  <c r="AB123" i="4"/>
  <c r="BA124" i="2" s="1"/>
  <c r="AB122" i="4"/>
  <c r="BA123" i="2" s="1"/>
  <c r="AB121" i="4"/>
  <c r="BA122" i="2" s="1"/>
  <c r="AB120" i="4"/>
  <c r="BA121" i="2" s="1"/>
  <c r="AB119" i="4"/>
  <c r="BA120" i="2" s="1"/>
  <c r="AB118" i="4"/>
  <c r="BA119" i="2" s="1"/>
  <c r="AB117" i="4"/>
  <c r="BA118" i="2" s="1"/>
  <c r="AB116" i="4"/>
  <c r="BA117" i="2" s="1"/>
  <c r="AB115" i="4"/>
  <c r="BA116" i="2" s="1"/>
  <c r="AB114" i="4"/>
  <c r="BA115" i="2" s="1"/>
  <c r="AB113" i="4"/>
  <c r="BA114" i="2" s="1"/>
  <c r="AB112" i="4"/>
  <c r="BA113" i="2" s="1"/>
  <c r="AB111" i="4"/>
  <c r="BA112" i="2" s="1"/>
  <c r="AB110" i="4"/>
  <c r="BA111" i="2" s="1"/>
  <c r="AB109" i="4"/>
  <c r="BA110" i="2" s="1"/>
  <c r="AB108" i="4"/>
  <c r="BA109" i="2" s="1"/>
  <c r="AB107" i="4"/>
  <c r="BA108" i="2" s="1"/>
  <c r="AB106" i="4"/>
  <c r="BA107" i="2" s="1"/>
  <c r="AB105" i="4"/>
  <c r="BA106" i="2" s="1"/>
  <c r="AB104" i="4"/>
  <c r="BA105" i="2" s="1"/>
  <c r="AB103" i="4"/>
  <c r="BA104" i="2" s="1"/>
  <c r="AB102" i="4"/>
  <c r="BA103" i="2" s="1"/>
  <c r="AB101" i="4"/>
  <c r="BA102" i="2" s="1"/>
  <c r="AB100" i="4"/>
  <c r="BA101" i="2" s="1"/>
  <c r="AB99" i="4"/>
  <c r="BA100" i="2" s="1"/>
  <c r="AB98" i="4"/>
  <c r="BA99" i="2" s="1"/>
  <c r="AB97" i="4"/>
  <c r="BA98" i="2" s="1"/>
  <c r="AB96" i="4"/>
  <c r="BA97" i="2" s="1"/>
  <c r="AB95" i="4"/>
  <c r="BA96" i="2" s="1"/>
  <c r="AB94" i="4"/>
  <c r="BA95" i="2" s="1"/>
  <c r="AB93" i="4"/>
  <c r="BA94" i="2" s="1"/>
  <c r="AB92" i="4"/>
  <c r="BA93" i="2" s="1"/>
  <c r="AB91" i="4"/>
  <c r="BA92" i="2" s="1"/>
  <c r="AB90" i="4"/>
  <c r="BA91" i="2" s="1"/>
  <c r="AB89" i="4"/>
  <c r="BA90" i="2" s="1"/>
  <c r="AB88" i="4"/>
  <c r="BA89" i="2" s="1"/>
  <c r="AB87" i="4"/>
  <c r="BA88" i="2" s="1"/>
  <c r="AB86" i="4"/>
  <c r="BA87" i="2" s="1"/>
  <c r="AB85" i="4"/>
  <c r="BA86" i="2" s="1"/>
  <c r="AB84" i="4"/>
  <c r="BA85" i="2" s="1"/>
  <c r="AB83" i="4"/>
  <c r="BA84" i="2" s="1"/>
  <c r="AB82" i="4"/>
  <c r="BA83" i="2" s="1"/>
  <c r="AB81" i="4"/>
  <c r="BA82" i="2" s="1"/>
  <c r="AB80" i="4"/>
  <c r="BA81" i="2" s="1"/>
  <c r="AB79" i="4"/>
  <c r="BA80" i="2" s="1"/>
  <c r="AB78" i="4"/>
  <c r="BA79" i="2" s="1"/>
  <c r="AB77" i="4"/>
  <c r="BA78" i="2" s="1"/>
  <c r="AB76" i="4"/>
  <c r="BA77" i="2" s="1"/>
  <c r="AB75" i="4"/>
  <c r="BA76" i="2" s="1"/>
  <c r="AB74" i="4"/>
  <c r="BA75" i="2" s="1"/>
  <c r="AB73" i="4"/>
  <c r="BA74" i="2" s="1"/>
  <c r="AB72" i="4"/>
  <c r="BA73" i="2" s="1"/>
  <c r="AB71" i="4"/>
  <c r="BA72" i="2" s="1"/>
  <c r="AB70" i="4"/>
  <c r="BA71" i="2" s="1"/>
  <c r="AB69" i="4"/>
  <c r="BA70" i="2" s="1"/>
  <c r="AB68" i="4"/>
  <c r="BA69" i="2" s="1"/>
  <c r="AB67" i="4"/>
  <c r="BA68" i="2" s="1"/>
  <c r="AB66" i="4"/>
  <c r="BA67" i="2" s="1"/>
  <c r="AB65" i="4"/>
  <c r="BA66" i="2" s="1"/>
  <c r="AB64" i="4"/>
  <c r="BA65" i="2" s="1"/>
  <c r="AB63" i="4"/>
  <c r="BA64" i="2" s="1"/>
  <c r="AB62" i="4"/>
  <c r="BA63" i="2" s="1"/>
  <c r="AB61" i="4"/>
  <c r="BA62" i="2" s="1"/>
  <c r="AB60" i="4"/>
  <c r="BA61" i="2" s="1"/>
  <c r="AB59" i="4"/>
  <c r="BA60" i="2" s="1"/>
  <c r="AB58" i="4"/>
  <c r="BA59" i="2" s="1"/>
  <c r="AB57" i="4"/>
  <c r="BA58" i="2" s="1"/>
  <c r="AB56" i="4"/>
  <c r="BA57" i="2" s="1"/>
  <c r="AB55" i="4"/>
  <c r="BA56" i="2" s="1"/>
  <c r="AB54" i="4"/>
  <c r="BA55" i="2" s="1"/>
  <c r="AB53" i="4"/>
  <c r="BA54" i="2" s="1"/>
  <c r="AB52" i="4"/>
  <c r="BA53" i="2" s="1"/>
  <c r="AB51" i="4"/>
  <c r="BA52" i="2" s="1"/>
  <c r="AB50" i="4"/>
  <c r="BA51" i="2" s="1"/>
  <c r="AB49" i="4"/>
  <c r="BA50" i="2" s="1"/>
  <c r="AB48" i="4"/>
  <c r="BA49" i="2" s="1"/>
  <c r="AB47" i="4"/>
  <c r="BA48" i="2" s="1"/>
  <c r="AB46" i="4"/>
  <c r="BA47" i="2" s="1"/>
  <c r="AB45" i="4"/>
  <c r="BA46" i="2" s="1"/>
  <c r="AB44" i="4"/>
  <c r="BA45" i="2" s="1"/>
  <c r="AB43" i="4"/>
  <c r="BA44" i="2" s="1"/>
  <c r="AB42" i="4"/>
  <c r="BA43" i="2" s="1"/>
  <c r="AB41" i="4"/>
  <c r="BA42" i="2" s="1"/>
  <c r="AB40" i="4"/>
  <c r="BA41" i="2" s="1"/>
  <c r="AB39" i="4"/>
  <c r="BA40" i="2" s="1"/>
  <c r="AB38" i="4"/>
  <c r="BA39" i="2" s="1"/>
  <c r="AB37" i="4"/>
  <c r="BA38" i="2" s="1"/>
  <c r="AB36" i="4"/>
  <c r="BA37" i="2" s="1"/>
  <c r="AB35" i="4"/>
  <c r="BA36" i="2" s="1"/>
  <c r="AB34" i="4"/>
  <c r="BA35" i="2" s="1"/>
  <c r="AB33" i="4"/>
  <c r="BA34" i="2" s="1"/>
  <c r="AB32" i="4"/>
  <c r="BA33" i="2" s="1"/>
  <c r="AB31" i="4"/>
  <c r="BA32" i="2" s="1"/>
  <c r="AB30" i="4"/>
  <c r="BA31" i="2" s="1"/>
  <c r="AB29" i="4"/>
  <c r="BA30" i="2" s="1"/>
  <c r="AB28" i="4"/>
  <c r="BA29" i="2" s="1"/>
  <c r="AB27" i="4"/>
  <c r="BA28" i="2" s="1"/>
  <c r="AB26" i="4"/>
  <c r="BA27" i="2" s="1"/>
  <c r="AB25" i="4"/>
  <c r="BA26" i="2" s="1"/>
  <c r="AB24" i="4"/>
  <c r="BA25" i="2" s="1"/>
  <c r="AB23" i="4"/>
  <c r="BA24" i="2" s="1"/>
  <c r="AB22" i="4"/>
  <c r="BA23" i="2" s="1"/>
  <c r="AB21" i="4"/>
  <c r="BA22" i="2" s="1"/>
  <c r="AB20" i="4"/>
  <c r="BA21" i="2" s="1"/>
  <c r="AB19" i="4"/>
  <c r="BA20" i="2" s="1"/>
  <c r="AB18" i="4"/>
  <c r="BA19" i="2" s="1"/>
  <c r="AB17" i="4"/>
  <c r="BA18" i="2" s="1"/>
  <c r="AB16" i="4"/>
  <c r="BA17" i="2" s="1"/>
  <c r="AB15" i="4"/>
  <c r="BA16" i="2" s="1"/>
  <c r="AB14" i="4"/>
  <c r="BA15" i="2" s="1"/>
  <c r="AB13" i="4"/>
  <c r="BA14" i="2" s="1"/>
  <c r="AB12" i="4"/>
  <c r="BA13" i="2" s="1"/>
  <c r="AB11" i="4"/>
  <c r="BA12" i="2" s="1"/>
  <c r="AB10" i="4"/>
  <c r="BA11" i="2" s="1"/>
  <c r="AB9" i="4"/>
  <c r="BA10" i="2" s="1"/>
  <c r="AB8" i="4"/>
  <c r="BA9" i="2" s="1"/>
  <c r="AB7" i="4"/>
  <c r="BA8" i="2" s="1"/>
  <c r="AB6" i="4"/>
  <c r="BA7" i="2" s="1"/>
  <c r="AB5" i="4"/>
  <c r="BA6" i="2" s="1"/>
  <c r="Y1000" i="4"/>
  <c r="Y999"/>
  <c r="AZ1000" i="2" s="1"/>
  <c r="Y998" i="4"/>
  <c r="AZ999" i="2" s="1"/>
  <c r="Y997" i="4"/>
  <c r="AZ998" i="2" s="1"/>
  <c r="Y996" i="4"/>
  <c r="AZ997" i="2" s="1"/>
  <c r="Y995" i="4"/>
  <c r="AZ996" i="2" s="1"/>
  <c r="Y994" i="4"/>
  <c r="AZ995" i="2" s="1"/>
  <c r="Y993" i="4"/>
  <c r="AZ994" i="2" s="1"/>
  <c r="Y992" i="4"/>
  <c r="AZ993" i="2" s="1"/>
  <c r="Y991" i="4"/>
  <c r="AZ992" i="2" s="1"/>
  <c r="Y990" i="4"/>
  <c r="AZ991" i="2" s="1"/>
  <c r="Y989" i="4"/>
  <c r="AZ990" i="2" s="1"/>
  <c r="Y988" i="4"/>
  <c r="AZ989" i="2" s="1"/>
  <c r="Y987" i="4"/>
  <c r="AZ988" i="2" s="1"/>
  <c r="Y986" i="4"/>
  <c r="AZ987" i="2" s="1"/>
  <c r="Y985" i="4"/>
  <c r="AZ986" i="2" s="1"/>
  <c r="Y984" i="4"/>
  <c r="AZ985" i="2" s="1"/>
  <c r="Y983" i="4"/>
  <c r="AZ984" i="2" s="1"/>
  <c r="Y982" i="4"/>
  <c r="AZ983" i="2" s="1"/>
  <c r="Y981" i="4"/>
  <c r="AZ982" i="2" s="1"/>
  <c r="Y980" i="4"/>
  <c r="AZ981" i="2" s="1"/>
  <c r="Y979" i="4"/>
  <c r="AZ980" i="2" s="1"/>
  <c r="Y978" i="4"/>
  <c r="AZ979" i="2" s="1"/>
  <c r="Y977" i="4"/>
  <c r="AZ978" i="2" s="1"/>
  <c r="Y976" i="4"/>
  <c r="AZ977" i="2" s="1"/>
  <c r="Y975" i="4"/>
  <c r="AZ976" i="2" s="1"/>
  <c r="Y974" i="4"/>
  <c r="AZ975" i="2" s="1"/>
  <c r="Y973" i="4"/>
  <c r="AZ974" i="2" s="1"/>
  <c r="Y972" i="4"/>
  <c r="AZ973" i="2" s="1"/>
  <c r="Y971" i="4"/>
  <c r="AZ972" i="2" s="1"/>
  <c r="Y970" i="4"/>
  <c r="AZ971" i="2" s="1"/>
  <c r="Y969" i="4"/>
  <c r="AZ970" i="2" s="1"/>
  <c r="Y968" i="4"/>
  <c r="AZ969" i="2" s="1"/>
  <c r="Y967" i="4"/>
  <c r="AZ968" i="2" s="1"/>
  <c r="Y966" i="4"/>
  <c r="AZ967" i="2" s="1"/>
  <c r="Y965" i="4"/>
  <c r="AZ966" i="2" s="1"/>
  <c r="Y964" i="4"/>
  <c r="AZ965" i="2" s="1"/>
  <c r="Y963" i="4"/>
  <c r="AZ964" i="2" s="1"/>
  <c r="Y962" i="4"/>
  <c r="AZ963" i="2" s="1"/>
  <c r="Y961" i="4"/>
  <c r="AZ962" i="2" s="1"/>
  <c r="Y960" i="4"/>
  <c r="AZ961" i="2" s="1"/>
  <c r="Y959" i="4"/>
  <c r="AZ960" i="2" s="1"/>
  <c r="Y958" i="4"/>
  <c r="AZ959" i="2" s="1"/>
  <c r="Y957" i="4"/>
  <c r="AZ958" i="2" s="1"/>
  <c r="Y956" i="4"/>
  <c r="AZ957" i="2" s="1"/>
  <c r="Y955" i="4"/>
  <c r="AZ956" i="2" s="1"/>
  <c r="Y954" i="4"/>
  <c r="AZ955" i="2" s="1"/>
  <c r="Y953" i="4"/>
  <c r="AZ954" i="2" s="1"/>
  <c r="Y952" i="4"/>
  <c r="AZ953" i="2" s="1"/>
  <c r="Y951" i="4"/>
  <c r="AZ952" i="2" s="1"/>
  <c r="Y950" i="4"/>
  <c r="AZ951" i="2" s="1"/>
  <c r="Y949" i="4"/>
  <c r="AZ950" i="2" s="1"/>
  <c r="Y948" i="4"/>
  <c r="AZ949" i="2" s="1"/>
  <c r="Y947" i="4"/>
  <c r="AZ948" i="2" s="1"/>
  <c r="Y946" i="4"/>
  <c r="AZ947" i="2" s="1"/>
  <c r="Y945" i="4"/>
  <c r="AZ946" i="2" s="1"/>
  <c r="Y944" i="4"/>
  <c r="AZ945" i="2" s="1"/>
  <c r="Y943" i="4"/>
  <c r="AZ944" i="2" s="1"/>
  <c r="Y942" i="4"/>
  <c r="AZ943" i="2" s="1"/>
  <c r="Y941" i="4"/>
  <c r="AZ942" i="2" s="1"/>
  <c r="Y940" i="4"/>
  <c r="AZ941" i="2" s="1"/>
  <c r="Y939" i="4"/>
  <c r="AZ940" i="2" s="1"/>
  <c r="Y938" i="4"/>
  <c r="AZ939" i="2" s="1"/>
  <c r="Y937" i="4"/>
  <c r="AZ938" i="2" s="1"/>
  <c r="Y936" i="4"/>
  <c r="AZ937" i="2" s="1"/>
  <c r="Y935" i="4"/>
  <c r="AZ936" i="2" s="1"/>
  <c r="Y934" i="4"/>
  <c r="AZ935" i="2" s="1"/>
  <c r="Y933" i="4"/>
  <c r="AZ934" i="2" s="1"/>
  <c r="Y932" i="4"/>
  <c r="AZ933" i="2" s="1"/>
  <c r="Y931" i="4"/>
  <c r="AZ932" i="2" s="1"/>
  <c r="Y930" i="4"/>
  <c r="AZ931" i="2" s="1"/>
  <c r="Y929" i="4"/>
  <c r="AZ930" i="2" s="1"/>
  <c r="Y928" i="4"/>
  <c r="AZ929" i="2" s="1"/>
  <c r="Y927" i="4"/>
  <c r="AZ928" i="2" s="1"/>
  <c r="Y926" i="4"/>
  <c r="AZ927" i="2" s="1"/>
  <c r="Y925" i="4"/>
  <c r="AZ926" i="2" s="1"/>
  <c r="Y924" i="4"/>
  <c r="AZ925" i="2" s="1"/>
  <c r="Y923" i="4"/>
  <c r="AZ924" i="2" s="1"/>
  <c r="Y922" i="4"/>
  <c r="AZ923" i="2" s="1"/>
  <c r="Y921" i="4"/>
  <c r="AZ922" i="2" s="1"/>
  <c r="Y920" i="4"/>
  <c r="AZ921" i="2" s="1"/>
  <c r="Y919" i="4"/>
  <c r="AZ920" i="2" s="1"/>
  <c r="Y918" i="4"/>
  <c r="AZ919" i="2" s="1"/>
  <c r="Y917" i="4"/>
  <c r="AZ918" i="2" s="1"/>
  <c r="Y916" i="4"/>
  <c r="AZ917" i="2" s="1"/>
  <c r="Y915" i="4"/>
  <c r="AZ916" i="2" s="1"/>
  <c r="Y914" i="4"/>
  <c r="AZ915" i="2" s="1"/>
  <c r="Y913" i="4"/>
  <c r="AZ914" i="2" s="1"/>
  <c r="Y912" i="4"/>
  <c r="AZ913" i="2" s="1"/>
  <c r="Y911" i="4"/>
  <c r="AZ912" i="2" s="1"/>
  <c r="Y910" i="4"/>
  <c r="AZ911" i="2" s="1"/>
  <c r="Y909" i="4"/>
  <c r="AZ910" i="2" s="1"/>
  <c r="Y908" i="4"/>
  <c r="AZ909" i="2" s="1"/>
  <c r="Y907" i="4"/>
  <c r="AZ908" i="2" s="1"/>
  <c r="Q908" i="1" s="1"/>
  <c r="Y906" i="4"/>
  <c r="AZ907" i="2" s="1"/>
  <c r="Y905" i="4"/>
  <c r="AZ906" i="2" s="1"/>
  <c r="Y904" i="4"/>
  <c r="AZ905" i="2" s="1"/>
  <c r="Y903" i="4"/>
  <c r="AZ904" i="2" s="1"/>
  <c r="Y902" i="4"/>
  <c r="AZ903" i="2" s="1"/>
  <c r="Y901" i="4"/>
  <c r="AZ902" i="2" s="1"/>
  <c r="Y900" i="4"/>
  <c r="AZ901" i="2" s="1"/>
  <c r="Y899" i="4"/>
  <c r="AZ900" i="2" s="1"/>
  <c r="Y898" i="4"/>
  <c r="AZ899" i="2" s="1"/>
  <c r="Y897" i="4"/>
  <c r="AZ898" i="2" s="1"/>
  <c r="Y896" i="4"/>
  <c r="AZ897" i="2" s="1"/>
  <c r="Y895" i="4"/>
  <c r="AZ896" i="2" s="1"/>
  <c r="Y894" i="4"/>
  <c r="AZ895" i="2" s="1"/>
  <c r="Y893" i="4"/>
  <c r="AZ894" i="2" s="1"/>
  <c r="Y892" i="4"/>
  <c r="AZ893" i="2" s="1"/>
  <c r="Y891" i="4"/>
  <c r="AZ892" i="2" s="1"/>
  <c r="Y890" i="4"/>
  <c r="AZ891" i="2" s="1"/>
  <c r="Y889" i="4"/>
  <c r="AZ890" i="2" s="1"/>
  <c r="Y888" i="4"/>
  <c r="AZ889" i="2" s="1"/>
  <c r="Y887" i="4"/>
  <c r="AZ888" i="2" s="1"/>
  <c r="Y886" i="4"/>
  <c r="AZ887" i="2" s="1"/>
  <c r="Y885" i="4"/>
  <c r="AZ886" i="2" s="1"/>
  <c r="Y884" i="4"/>
  <c r="AZ885" i="2" s="1"/>
  <c r="Y883" i="4"/>
  <c r="AZ884" i="2" s="1"/>
  <c r="Y882" i="4"/>
  <c r="AZ883" i="2" s="1"/>
  <c r="Y881" i="4"/>
  <c r="AZ882" i="2" s="1"/>
  <c r="Y880" i="4"/>
  <c r="AZ881" i="2" s="1"/>
  <c r="Y879" i="4"/>
  <c r="AZ880" i="2" s="1"/>
  <c r="Y878" i="4"/>
  <c r="AZ879" i="2" s="1"/>
  <c r="Y877" i="4"/>
  <c r="AZ878" i="2" s="1"/>
  <c r="Y876" i="4"/>
  <c r="AZ877" i="2" s="1"/>
  <c r="Y875" i="4"/>
  <c r="AZ876" i="2" s="1"/>
  <c r="Y874" i="4"/>
  <c r="AZ875" i="2" s="1"/>
  <c r="Y873" i="4"/>
  <c r="AZ874" i="2" s="1"/>
  <c r="Y872" i="4"/>
  <c r="AZ873" i="2" s="1"/>
  <c r="Y871" i="4"/>
  <c r="AZ872" i="2" s="1"/>
  <c r="Y870" i="4"/>
  <c r="AZ871" i="2" s="1"/>
  <c r="Y869" i="4"/>
  <c r="AZ870" i="2" s="1"/>
  <c r="Y868" i="4"/>
  <c r="AZ869" i="2" s="1"/>
  <c r="Y867" i="4"/>
  <c r="AZ868" i="2" s="1"/>
  <c r="Y866" i="4"/>
  <c r="AZ867" i="2" s="1"/>
  <c r="Y865" i="4"/>
  <c r="AZ866" i="2" s="1"/>
  <c r="Y864" i="4"/>
  <c r="AZ865" i="2" s="1"/>
  <c r="Y863" i="4"/>
  <c r="AZ864" i="2" s="1"/>
  <c r="Y862" i="4"/>
  <c r="AZ863" i="2" s="1"/>
  <c r="Y861" i="4"/>
  <c r="AZ862" i="2" s="1"/>
  <c r="Y860" i="4"/>
  <c r="AZ861" i="2" s="1"/>
  <c r="Y859" i="4"/>
  <c r="AZ860" i="2" s="1"/>
  <c r="Y858" i="4"/>
  <c r="AZ859" i="2" s="1"/>
  <c r="Y857" i="4"/>
  <c r="AZ858" i="2" s="1"/>
  <c r="Y856" i="4"/>
  <c r="AZ857" i="2" s="1"/>
  <c r="Y855" i="4"/>
  <c r="AZ856" i="2" s="1"/>
  <c r="Y854" i="4"/>
  <c r="AZ855" i="2" s="1"/>
  <c r="Y853" i="4"/>
  <c r="AZ854" i="2" s="1"/>
  <c r="Y852" i="4"/>
  <c r="AZ853" i="2" s="1"/>
  <c r="Y851" i="4"/>
  <c r="AZ852" i="2" s="1"/>
  <c r="Y850" i="4"/>
  <c r="AZ851" i="2" s="1"/>
  <c r="Y849" i="4"/>
  <c r="AZ850" i="2" s="1"/>
  <c r="Y848" i="4"/>
  <c r="AZ849" i="2" s="1"/>
  <c r="Y847" i="4"/>
  <c r="AZ848" i="2" s="1"/>
  <c r="Y846" i="4"/>
  <c r="AZ847" i="2" s="1"/>
  <c r="Y845" i="4"/>
  <c r="AZ846" i="2" s="1"/>
  <c r="Y844" i="4"/>
  <c r="AZ845" i="2" s="1"/>
  <c r="Y843" i="4"/>
  <c r="AZ844" i="2" s="1"/>
  <c r="Y842" i="4"/>
  <c r="AZ843" i="2" s="1"/>
  <c r="Y841" i="4"/>
  <c r="AZ842" i="2" s="1"/>
  <c r="Y840" i="4"/>
  <c r="AZ841" i="2" s="1"/>
  <c r="Y839" i="4"/>
  <c r="AZ840" i="2" s="1"/>
  <c r="Y838" i="4"/>
  <c r="AZ839" i="2" s="1"/>
  <c r="Y837" i="4"/>
  <c r="AZ838" i="2" s="1"/>
  <c r="Y836" i="4"/>
  <c r="AZ837" i="2" s="1"/>
  <c r="Y835" i="4"/>
  <c r="AZ836" i="2" s="1"/>
  <c r="Y834" i="4"/>
  <c r="AZ835" i="2" s="1"/>
  <c r="Y833" i="4"/>
  <c r="AZ834" i="2" s="1"/>
  <c r="Y832" i="4"/>
  <c r="AZ833" i="2" s="1"/>
  <c r="Y831" i="4"/>
  <c r="AZ832" i="2" s="1"/>
  <c r="Y830" i="4"/>
  <c r="AZ831" i="2" s="1"/>
  <c r="Y829" i="4"/>
  <c r="AZ830" i="2" s="1"/>
  <c r="Y828" i="4"/>
  <c r="AZ829" i="2" s="1"/>
  <c r="Y827" i="4"/>
  <c r="AZ828" i="2" s="1"/>
  <c r="Y826" i="4"/>
  <c r="AZ827" i="2" s="1"/>
  <c r="Y825" i="4"/>
  <c r="AZ826" i="2" s="1"/>
  <c r="Y824" i="4"/>
  <c r="AZ825" i="2" s="1"/>
  <c r="Y823" i="4"/>
  <c r="AZ824" i="2" s="1"/>
  <c r="Y822" i="4"/>
  <c r="AZ823" i="2" s="1"/>
  <c r="Y821" i="4"/>
  <c r="AZ822" i="2" s="1"/>
  <c r="Y820" i="4"/>
  <c r="AZ821" i="2" s="1"/>
  <c r="Y819" i="4"/>
  <c r="AZ820" i="2" s="1"/>
  <c r="Y818" i="4"/>
  <c r="AZ819" i="2" s="1"/>
  <c r="Y817" i="4"/>
  <c r="AZ818" i="2" s="1"/>
  <c r="Y816" i="4"/>
  <c r="AZ817" i="2" s="1"/>
  <c r="Y815" i="4"/>
  <c r="AZ816" i="2" s="1"/>
  <c r="Y814" i="4"/>
  <c r="AZ815" i="2" s="1"/>
  <c r="Y813" i="4"/>
  <c r="AZ814" i="2" s="1"/>
  <c r="Y812" i="4"/>
  <c r="AZ813" i="2" s="1"/>
  <c r="Y811" i="4"/>
  <c r="AZ812" i="2" s="1"/>
  <c r="Y810" i="4"/>
  <c r="AZ811" i="2" s="1"/>
  <c r="Y809" i="4"/>
  <c r="AZ810" i="2" s="1"/>
  <c r="Y808" i="4"/>
  <c r="AZ809" i="2" s="1"/>
  <c r="Y807" i="4"/>
  <c r="AZ808" i="2" s="1"/>
  <c r="Y806" i="4"/>
  <c r="AZ807" i="2" s="1"/>
  <c r="Y805" i="4"/>
  <c r="AZ806" i="2" s="1"/>
  <c r="Y804" i="4"/>
  <c r="AZ805" i="2" s="1"/>
  <c r="Y803" i="4"/>
  <c r="AZ804" i="2" s="1"/>
  <c r="Y802" i="4"/>
  <c r="AZ803" i="2" s="1"/>
  <c r="Y801" i="4"/>
  <c r="AZ802" i="2" s="1"/>
  <c r="Y800" i="4"/>
  <c r="AZ801" i="2" s="1"/>
  <c r="Y799" i="4"/>
  <c r="AZ800" i="2" s="1"/>
  <c r="Y798" i="4"/>
  <c r="AZ799" i="2" s="1"/>
  <c r="Y797" i="4"/>
  <c r="AZ798" i="2" s="1"/>
  <c r="Y796" i="4"/>
  <c r="AZ797" i="2" s="1"/>
  <c r="Y795" i="4"/>
  <c r="AZ796" i="2" s="1"/>
  <c r="Y794" i="4"/>
  <c r="AZ795" i="2" s="1"/>
  <c r="Y793" i="4"/>
  <c r="AZ794" i="2" s="1"/>
  <c r="Y792" i="4"/>
  <c r="AZ793" i="2" s="1"/>
  <c r="Y791" i="4"/>
  <c r="AZ792" i="2" s="1"/>
  <c r="Y790" i="4"/>
  <c r="AZ791" i="2" s="1"/>
  <c r="Y789" i="4"/>
  <c r="AZ790" i="2" s="1"/>
  <c r="Y788" i="4"/>
  <c r="AZ789" i="2" s="1"/>
  <c r="Y787" i="4"/>
  <c r="AZ788" i="2" s="1"/>
  <c r="Y786" i="4"/>
  <c r="AZ787" i="2" s="1"/>
  <c r="Y785" i="4"/>
  <c r="AZ786" i="2" s="1"/>
  <c r="Y784" i="4"/>
  <c r="AZ785" i="2" s="1"/>
  <c r="Y783" i="4"/>
  <c r="AZ784" i="2" s="1"/>
  <c r="Y782" i="4"/>
  <c r="AZ783" i="2" s="1"/>
  <c r="Y781" i="4"/>
  <c r="AZ782" i="2" s="1"/>
  <c r="Y780" i="4"/>
  <c r="AZ781" i="2" s="1"/>
  <c r="Y779" i="4"/>
  <c r="AZ780" i="2" s="1"/>
  <c r="Y778" i="4"/>
  <c r="AZ779" i="2" s="1"/>
  <c r="Y777" i="4"/>
  <c r="AZ778" i="2" s="1"/>
  <c r="Y776" i="4"/>
  <c r="AZ777" i="2" s="1"/>
  <c r="Y775" i="4"/>
  <c r="AZ776" i="2" s="1"/>
  <c r="Y774" i="4"/>
  <c r="AZ775" i="2" s="1"/>
  <c r="Y773" i="4"/>
  <c r="AZ774" i="2" s="1"/>
  <c r="Y772" i="4"/>
  <c r="AZ773" i="2" s="1"/>
  <c r="Y771" i="4"/>
  <c r="AZ772" i="2" s="1"/>
  <c r="Y770" i="4"/>
  <c r="AZ771" i="2" s="1"/>
  <c r="Y769" i="4"/>
  <c r="AZ770" i="2" s="1"/>
  <c r="Y768" i="4"/>
  <c r="AZ769" i="2" s="1"/>
  <c r="Y767" i="4"/>
  <c r="AZ768" i="2" s="1"/>
  <c r="Y766" i="4"/>
  <c r="AZ767" i="2" s="1"/>
  <c r="Y765" i="4"/>
  <c r="AZ766" i="2" s="1"/>
  <c r="Y764" i="4"/>
  <c r="AZ765" i="2" s="1"/>
  <c r="Y763" i="4"/>
  <c r="AZ764" i="2" s="1"/>
  <c r="Y762" i="4"/>
  <c r="AZ763" i="2" s="1"/>
  <c r="Y761" i="4"/>
  <c r="AZ762" i="2" s="1"/>
  <c r="Y760" i="4"/>
  <c r="AZ761" i="2" s="1"/>
  <c r="Y759" i="4"/>
  <c r="AZ760" i="2" s="1"/>
  <c r="Y758" i="4"/>
  <c r="AZ759" i="2" s="1"/>
  <c r="Y757" i="4"/>
  <c r="AZ758" i="2" s="1"/>
  <c r="Y756" i="4"/>
  <c r="AZ757" i="2" s="1"/>
  <c r="Y755" i="4"/>
  <c r="AZ756" i="2" s="1"/>
  <c r="Y754" i="4"/>
  <c r="AZ755" i="2" s="1"/>
  <c r="Y753" i="4"/>
  <c r="AZ754" i="2" s="1"/>
  <c r="Y752" i="4"/>
  <c r="AZ753" i="2" s="1"/>
  <c r="Y751" i="4"/>
  <c r="AZ752" i="2" s="1"/>
  <c r="Y750" i="4"/>
  <c r="AZ751" i="2" s="1"/>
  <c r="Y749" i="4"/>
  <c r="AZ750" i="2" s="1"/>
  <c r="Y748" i="4"/>
  <c r="AZ749" i="2" s="1"/>
  <c r="Y747" i="4"/>
  <c r="AZ748" i="2" s="1"/>
  <c r="Y746" i="4"/>
  <c r="AZ747" i="2" s="1"/>
  <c r="Y745" i="4"/>
  <c r="AZ746" i="2" s="1"/>
  <c r="Y744" i="4"/>
  <c r="AZ745" i="2" s="1"/>
  <c r="Y743" i="4"/>
  <c r="AZ744" i="2" s="1"/>
  <c r="Y742" i="4"/>
  <c r="AZ743" i="2" s="1"/>
  <c r="Y741" i="4"/>
  <c r="AZ742" i="2" s="1"/>
  <c r="Y740" i="4"/>
  <c r="AZ741" i="2" s="1"/>
  <c r="Y739" i="4"/>
  <c r="AZ740" i="2" s="1"/>
  <c r="Y738" i="4"/>
  <c r="AZ739" i="2" s="1"/>
  <c r="Y737" i="4"/>
  <c r="AZ738" i="2" s="1"/>
  <c r="Y736" i="4"/>
  <c r="AZ737" i="2" s="1"/>
  <c r="Y735" i="4"/>
  <c r="AZ736" i="2" s="1"/>
  <c r="Y734" i="4"/>
  <c r="AZ735" i="2" s="1"/>
  <c r="Y733" i="4"/>
  <c r="AZ734" i="2" s="1"/>
  <c r="Y732" i="4"/>
  <c r="AZ733" i="2" s="1"/>
  <c r="Y731" i="4"/>
  <c r="AZ732" i="2" s="1"/>
  <c r="Y730" i="4"/>
  <c r="AZ731" i="2" s="1"/>
  <c r="Y729" i="4"/>
  <c r="AZ730" i="2" s="1"/>
  <c r="Y728" i="4"/>
  <c r="AZ729" i="2" s="1"/>
  <c r="Y727" i="4"/>
  <c r="AZ728" i="2" s="1"/>
  <c r="Y726" i="4"/>
  <c r="AZ727" i="2" s="1"/>
  <c r="Y725" i="4"/>
  <c r="AZ726" i="2" s="1"/>
  <c r="Y724" i="4"/>
  <c r="AZ725" i="2" s="1"/>
  <c r="Y723" i="4"/>
  <c r="AZ724" i="2" s="1"/>
  <c r="Y722" i="4"/>
  <c r="AZ723" i="2" s="1"/>
  <c r="Y721" i="4"/>
  <c r="AZ722" i="2" s="1"/>
  <c r="Y720" i="4"/>
  <c r="AZ721" i="2" s="1"/>
  <c r="Y719" i="4"/>
  <c r="AZ720" i="2" s="1"/>
  <c r="Y718" i="4"/>
  <c r="AZ719" i="2" s="1"/>
  <c r="Y717" i="4"/>
  <c r="AZ718" i="2" s="1"/>
  <c r="Y716" i="4"/>
  <c r="AZ717" i="2" s="1"/>
  <c r="Y715" i="4"/>
  <c r="AZ716" i="2" s="1"/>
  <c r="Y714" i="4"/>
  <c r="AZ715" i="2" s="1"/>
  <c r="Y713" i="4"/>
  <c r="AZ714" i="2" s="1"/>
  <c r="Y712" i="4"/>
  <c r="AZ713" i="2" s="1"/>
  <c r="Y711" i="4"/>
  <c r="AZ712" i="2" s="1"/>
  <c r="Y710" i="4"/>
  <c r="AZ711" i="2" s="1"/>
  <c r="Y709" i="4"/>
  <c r="AZ710" i="2" s="1"/>
  <c r="Y708" i="4"/>
  <c r="AZ709" i="2" s="1"/>
  <c r="Y707" i="4"/>
  <c r="AZ708" i="2" s="1"/>
  <c r="Y706" i="4"/>
  <c r="AZ707" i="2" s="1"/>
  <c r="Y705" i="4"/>
  <c r="AZ706" i="2" s="1"/>
  <c r="Y704" i="4"/>
  <c r="AZ705" i="2" s="1"/>
  <c r="Y703" i="4"/>
  <c r="AZ704" i="2" s="1"/>
  <c r="Y702" i="4"/>
  <c r="AZ703" i="2" s="1"/>
  <c r="Y701" i="4"/>
  <c r="AZ702" i="2" s="1"/>
  <c r="Y700" i="4"/>
  <c r="AZ701" i="2" s="1"/>
  <c r="Y699" i="4"/>
  <c r="AZ700" i="2" s="1"/>
  <c r="Y698" i="4"/>
  <c r="AZ699" i="2" s="1"/>
  <c r="Y697" i="4"/>
  <c r="AZ698" i="2" s="1"/>
  <c r="Y696" i="4"/>
  <c r="AZ697" i="2" s="1"/>
  <c r="Y695" i="4"/>
  <c r="AZ696" i="2" s="1"/>
  <c r="Y694" i="4"/>
  <c r="AZ695" i="2" s="1"/>
  <c r="Y693" i="4"/>
  <c r="AZ694" i="2" s="1"/>
  <c r="Y692" i="4"/>
  <c r="AZ693" i="2" s="1"/>
  <c r="Y691" i="4"/>
  <c r="AZ692" i="2" s="1"/>
  <c r="Y690" i="4"/>
  <c r="AZ691" i="2" s="1"/>
  <c r="Y689" i="4"/>
  <c r="AZ690" i="2" s="1"/>
  <c r="Y688" i="4"/>
  <c r="AZ689" i="2" s="1"/>
  <c r="Y687" i="4"/>
  <c r="AZ688" i="2" s="1"/>
  <c r="Y686" i="4"/>
  <c r="AZ687" i="2" s="1"/>
  <c r="Y685" i="4"/>
  <c r="AZ686" i="2" s="1"/>
  <c r="Y684" i="4"/>
  <c r="AZ685" i="2" s="1"/>
  <c r="Y683" i="4"/>
  <c r="AZ684" i="2" s="1"/>
  <c r="Y682" i="4"/>
  <c r="AZ683" i="2" s="1"/>
  <c r="Y681" i="4"/>
  <c r="AZ682" i="2" s="1"/>
  <c r="Y680" i="4"/>
  <c r="AZ681" i="2" s="1"/>
  <c r="Y679" i="4"/>
  <c r="AZ680" i="2" s="1"/>
  <c r="Y678" i="4"/>
  <c r="AZ679" i="2" s="1"/>
  <c r="Y677" i="4"/>
  <c r="AZ678" i="2" s="1"/>
  <c r="Y676" i="4"/>
  <c r="AZ677" i="2" s="1"/>
  <c r="Y675" i="4"/>
  <c r="AZ676" i="2" s="1"/>
  <c r="Y674" i="4"/>
  <c r="AZ675" i="2" s="1"/>
  <c r="Y673" i="4"/>
  <c r="AZ674" i="2" s="1"/>
  <c r="Y672" i="4"/>
  <c r="AZ673" i="2" s="1"/>
  <c r="Y671" i="4"/>
  <c r="AZ672" i="2" s="1"/>
  <c r="Y670" i="4"/>
  <c r="AZ671" i="2" s="1"/>
  <c r="Y669" i="4"/>
  <c r="AZ670" i="2" s="1"/>
  <c r="Y668" i="4"/>
  <c r="AZ669" i="2" s="1"/>
  <c r="Y667" i="4"/>
  <c r="AZ668" i="2" s="1"/>
  <c r="Y666" i="4"/>
  <c r="AZ667" i="2" s="1"/>
  <c r="Y665" i="4"/>
  <c r="AZ666" i="2" s="1"/>
  <c r="Y664" i="4"/>
  <c r="AZ665" i="2" s="1"/>
  <c r="Y663" i="4"/>
  <c r="AZ664" i="2" s="1"/>
  <c r="Y662" i="4"/>
  <c r="AZ663" i="2" s="1"/>
  <c r="Y661" i="4"/>
  <c r="AZ662" i="2" s="1"/>
  <c r="Y660" i="4"/>
  <c r="AZ661" i="2" s="1"/>
  <c r="Y659" i="4"/>
  <c r="AZ660" i="2" s="1"/>
  <c r="Y658" i="4"/>
  <c r="AZ659" i="2" s="1"/>
  <c r="Y657" i="4"/>
  <c r="AZ658" i="2" s="1"/>
  <c r="Y656" i="4"/>
  <c r="AZ657" i="2" s="1"/>
  <c r="Y655" i="4"/>
  <c r="AZ656" i="2" s="1"/>
  <c r="Y654" i="4"/>
  <c r="AZ655" i="2" s="1"/>
  <c r="Y653" i="4"/>
  <c r="AZ654" i="2" s="1"/>
  <c r="Y652" i="4"/>
  <c r="AZ653" i="2" s="1"/>
  <c r="Y651" i="4"/>
  <c r="AZ652" i="2" s="1"/>
  <c r="Y650" i="4"/>
  <c r="AZ651" i="2" s="1"/>
  <c r="Y649" i="4"/>
  <c r="AZ650" i="2" s="1"/>
  <c r="Y648" i="4"/>
  <c r="AZ649" i="2" s="1"/>
  <c r="Y647" i="4"/>
  <c r="AZ648" i="2" s="1"/>
  <c r="Y646" i="4"/>
  <c r="AZ647" i="2" s="1"/>
  <c r="Y645" i="4"/>
  <c r="AZ646" i="2" s="1"/>
  <c r="Y644" i="4"/>
  <c r="AZ645" i="2" s="1"/>
  <c r="Y643" i="4"/>
  <c r="AZ644" i="2" s="1"/>
  <c r="Y642" i="4"/>
  <c r="AZ643" i="2" s="1"/>
  <c r="Y641" i="4"/>
  <c r="AZ642" i="2" s="1"/>
  <c r="Y640" i="4"/>
  <c r="AZ641" i="2" s="1"/>
  <c r="Y639" i="4"/>
  <c r="AZ640" i="2" s="1"/>
  <c r="Y638" i="4"/>
  <c r="AZ639" i="2" s="1"/>
  <c r="Y637" i="4"/>
  <c r="AZ638" i="2" s="1"/>
  <c r="Y636" i="4"/>
  <c r="AZ637" i="2" s="1"/>
  <c r="Y635" i="4"/>
  <c r="AZ636" i="2" s="1"/>
  <c r="Y634" i="4"/>
  <c r="AZ635" i="2" s="1"/>
  <c r="Y633" i="4"/>
  <c r="AZ634" i="2" s="1"/>
  <c r="Y632" i="4"/>
  <c r="AZ633" i="2" s="1"/>
  <c r="Y631" i="4"/>
  <c r="AZ632" i="2" s="1"/>
  <c r="Y630" i="4"/>
  <c r="AZ631" i="2" s="1"/>
  <c r="Y629" i="4"/>
  <c r="AZ630" i="2" s="1"/>
  <c r="Y628" i="4"/>
  <c r="AZ629" i="2" s="1"/>
  <c r="Y627" i="4"/>
  <c r="AZ628" i="2" s="1"/>
  <c r="Y626" i="4"/>
  <c r="AZ627" i="2" s="1"/>
  <c r="Y625" i="4"/>
  <c r="AZ626" i="2" s="1"/>
  <c r="Y624" i="4"/>
  <c r="AZ625" i="2" s="1"/>
  <c r="Y623" i="4"/>
  <c r="AZ624" i="2" s="1"/>
  <c r="Y622" i="4"/>
  <c r="AZ623" i="2" s="1"/>
  <c r="Y621" i="4"/>
  <c r="AZ622" i="2" s="1"/>
  <c r="Y620" i="4"/>
  <c r="AZ621" i="2" s="1"/>
  <c r="Y619" i="4"/>
  <c r="AZ620" i="2" s="1"/>
  <c r="Y618" i="4"/>
  <c r="AZ619" i="2" s="1"/>
  <c r="Y617" i="4"/>
  <c r="AZ618" i="2" s="1"/>
  <c r="Y616" i="4"/>
  <c r="AZ617" i="2" s="1"/>
  <c r="Y615" i="4"/>
  <c r="AZ616" i="2" s="1"/>
  <c r="Y614" i="4"/>
  <c r="AZ615" i="2" s="1"/>
  <c r="Y613" i="4"/>
  <c r="AZ614" i="2" s="1"/>
  <c r="Y612" i="4"/>
  <c r="AZ613" i="2" s="1"/>
  <c r="Y611" i="4"/>
  <c r="AZ612" i="2" s="1"/>
  <c r="Y610" i="4"/>
  <c r="AZ611" i="2" s="1"/>
  <c r="Y609" i="4"/>
  <c r="AZ610" i="2" s="1"/>
  <c r="Y608" i="4"/>
  <c r="AZ609" i="2" s="1"/>
  <c r="Y607" i="4"/>
  <c r="AZ608" i="2" s="1"/>
  <c r="Y606" i="4"/>
  <c r="AZ607" i="2" s="1"/>
  <c r="Y605" i="4"/>
  <c r="AZ606" i="2" s="1"/>
  <c r="Y604" i="4"/>
  <c r="AZ605" i="2" s="1"/>
  <c r="Y603" i="4"/>
  <c r="AZ604" i="2" s="1"/>
  <c r="Y602" i="4"/>
  <c r="AZ603" i="2" s="1"/>
  <c r="Y601" i="4"/>
  <c r="AZ602" i="2" s="1"/>
  <c r="Y600" i="4"/>
  <c r="AZ601" i="2" s="1"/>
  <c r="Y599" i="4"/>
  <c r="AZ600" i="2" s="1"/>
  <c r="Y598" i="4"/>
  <c r="AZ599" i="2" s="1"/>
  <c r="Y597" i="4"/>
  <c r="AZ598" i="2" s="1"/>
  <c r="Y596" i="4"/>
  <c r="AZ597" i="2" s="1"/>
  <c r="Y595" i="4"/>
  <c r="AZ596" i="2" s="1"/>
  <c r="Y594" i="4"/>
  <c r="AZ595" i="2" s="1"/>
  <c r="Y593" i="4"/>
  <c r="AZ594" i="2" s="1"/>
  <c r="Y592" i="4"/>
  <c r="AZ593" i="2" s="1"/>
  <c r="Y591" i="4"/>
  <c r="AZ592" i="2" s="1"/>
  <c r="Y590" i="4"/>
  <c r="AZ591" i="2" s="1"/>
  <c r="Y589" i="4"/>
  <c r="AZ590" i="2" s="1"/>
  <c r="Y588" i="4"/>
  <c r="AZ589" i="2" s="1"/>
  <c r="Y587" i="4"/>
  <c r="AZ588" i="2" s="1"/>
  <c r="Y586" i="4"/>
  <c r="AZ587" i="2" s="1"/>
  <c r="Y585" i="4"/>
  <c r="AZ586" i="2" s="1"/>
  <c r="Y584" i="4"/>
  <c r="AZ585" i="2" s="1"/>
  <c r="Y583" i="4"/>
  <c r="AZ584" i="2" s="1"/>
  <c r="Y582" i="4"/>
  <c r="AZ583" i="2" s="1"/>
  <c r="Y581" i="4"/>
  <c r="AZ582" i="2" s="1"/>
  <c r="Y580" i="4"/>
  <c r="AZ581" i="2" s="1"/>
  <c r="Y579" i="4"/>
  <c r="AZ580" i="2" s="1"/>
  <c r="Y578" i="4"/>
  <c r="AZ579" i="2" s="1"/>
  <c r="Y577" i="4"/>
  <c r="AZ578" i="2" s="1"/>
  <c r="Y576" i="4"/>
  <c r="AZ577" i="2" s="1"/>
  <c r="Y575" i="4"/>
  <c r="AZ576" i="2" s="1"/>
  <c r="Y574" i="4"/>
  <c r="AZ575" i="2" s="1"/>
  <c r="Y573" i="4"/>
  <c r="AZ574" i="2" s="1"/>
  <c r="Y572" i="4"/>
  <c r="AZ573" i="2" s="1"/>
  <c r="Y571" i="4"/>
  <c r="AZ572" i="2" s="1"/>
  <c r="Y570" i="4"/>
  <c r="AZ571" i="2" s="1"/>
  <c r="Y569" i="4"/>
  <c r="AZ570" i="2" s="1"/>
  <c r="Y568" i="4"/>
  <c r="AZ569" i="2" s="1"/>
  <c r="Y567" i="4"/>
  <c r="AZ568" i="2" s="1"/>
  <c r="Y566" i="4"/>
  <c r="AZ567" i="2" s="1"/>
  <c r="Y565" i="4"/>
  <c r="AZ566" i="2" s="1"/>
  <c r="Y564" i="4"/>
  <c r="AZ565" i="2" s="1"/>
  <c r="Y563" i="4"/>
  <c r="AZ564" i="2" s="1"/>
  <c r="Y562" i="4"/>
  <c r="AZ563" i="2" s="1"/>
  <c r="Y561" i="4"/>
  <c r="AZ562" i="2" s="1"/>
  <c r="Y560" i="4"/>
  <c r="AZ561" i="2" s="1"/>
  <c r="Y559" i="4"/>
  <c r="AZ560" i="2" s="1"/>
  <c r="Y558" i="4"/>
  <c r="AZ559" i="2" s="1"/>
  <c r="Y557" i="4"/>
  <c r="AZ558" i="2" s="1"/>
  <c r="Y556" i="4"/>
  <c r="AZ557" i="2" s="1"/>
  <c r="Y555" i="4"/>
  <c r="AZ556" i="2" s="1"/>
  <c r="Y554" i="4"/>
  <c r="AZ555" i="2" s="1"/>
  <c r="Y553" i="4"/>
  <c r="AZ554" i="2" s="1"/>
  <c r="Y552" i="4"/>
  <c r="AZ553" i="2" s="1"/>
  <c r="Y551" i="4"/>
  <c r="AZ552" i="2" s="1"/>
  <c r="Y550" i="4"/>
  <c r="AZ551" i="2" s="1"/>
  <c r="Y549" i="4"/>
  <c r="AZ550" i="2" s="1"/>
  <c r="Y548" i="4"/>
  <c r="AZ549" i="2" s="1"/>
  <c r="Y547" i="4"/>
  <c r="AZ548" i="2" s="1"/>
  <c r="Y546" i="4"/>
  <c r="AZ547" i="2" s="1"/>
  <c r="Y545" i="4"/>
  <c r="AZ546" i="2" s="1"/>
  <c r="Y544" i="4"/>
  <c r="AZ545" i="2" s="1"/>
  <c r="Y543" i="4"/>
  <c r="AZ544" i="2" s="1"/>
  <c r="Y542" i="4"/>
  <c r="AZ543" i="2" s="1"/>
  <c r="Y541" i="4"/>
  <c r="AZ542" i="2" s="1"/>
  <c r="Y540" i="4"/>
  <c r="AZ541" i="2" s="1"/>
  <c r="Y539" i="4"/>
  <c r="AZ540" i="2" s="1"/>
  <c r="Y538" i="4"/>
  <c r="AZ539" i="2" s="1"/>
  <c r="Y537" i="4"/>
  <c r="AZ538" i="2" s="1"/>
  <c r="Y536" i="4"/>
  <c r="AZ537" i="2" s="1"/>
  <c r="Y535" i="4"/>
  <c r="AZ536" i="2" s="1"/>
  <c r="Y534" i="4"/>
  <c r="AZ535" i="2" s="1"/>
  <c r="Y533" i="4"/>
  <c r="AZ534" i="2" s="1"/>
  <c r="Y532" i="4"/>
  <c r="AZ533" i="2" s="1"/>
  <c r="Y531" i="4"/>
  <c r="AZ532" i="2" s="1"/>
  <c r="Y530" i="4"/>
  <c r="AZ531" i="2" s="1"/>
  <c r="Y529" i="4"/>
  <c r="AZ530" i="2" s="1"/>
  <c r="Y528" i="4"/>
  <c r="AZ529" i="2" s="1"/>
  <c r="Y527" i="4"/>
  <c r="AZ528" i="2" s="1"/>
  <c r="Y526" i="4"/>
  <c r="AZ527" i="2" s="1"/>
  <c r="Y525" i="4"/>
  <c r="AZ526" i="2" s="1"/>
  <c r="Y524" i="4"/>
  <c r="AZ525" i="2" s="1"/>
  <c r="Y523" i="4"/>
  <c r="AZ524" i="2" s="1"/>
  <c r="Y522" i="4"/>
  <c r="AZ523" i="2" s="1"/>
  <c r="Y521" i="4"/>
  <c r="AZ522" i="2" s="1"/>
  <c r="Y520" i="4"/>
  <c r="AZ521" i="2" s="1"/>
  <c r="Y519" i="4"/>
  <c r="AZ520" i="2" s="1"/>
  <c r="Y518" i="4"/>
  <c r="AZ519" i="2" s="1"/>
  <c r="Y517" i="4"/>
  <c r="AZ518" i="2" s="1"/>
  <c r="Y516" i="4"/>
  <c r="AZ517" i="2" s="1"/>
  <c r="Y515" i="4"/>
  <c r="AZ516" i="2" s="1"/>
  <c r="Y514" i="4"/>
  <c r="AZ515" i="2" s="1"/>
  <c r="Y513" i="4"/>
  <c r="AZ514" i="2" s="1"/>
  <c r="Y512" i="4"/>
  <c r="AZ513" i="2" s="1"/>
  <c r="Y511" i="4"/>
  <c r="AZ512" i="2" s="1"/>
  <c r="Y510" i="4"/>
  <c r="AZ511" i="2" s="1"/>
  <c r="Y509" i="4"/>
  <c r="AZ510" i="2" s="1"/>
  <c r="Y508" i="4"/>
  <c r="AZ509" i="2" s="1"/>
  <c r="Y507" i="4"/>
  <c r="AZ508" i="2" s="1"/>
  <c r="Y506" i="4"/>
  <c r="AZ507" i="2" s="1"/>
  <c r="Y505" i="4"/>
  <c r="AZ506" i="2" s="1"/>
  <c r="Y504" i="4"/>
  <c r="AZ505" i="2" s="1"/>
  <c r="Y503" i="4"/>
  <c r="AZ504" i="2" s="1"/>
  <c r="Y502" i="4"/>
  <c r="AZ503" i="2" s="1"/>
  <c r="Y501" i="4"/>
  <c r="AZ502" i="2" s="1"/>
  <c r="Y500" i="4"/>
  <c r="AZ501" i="2" s="1"/>
  <c r="Y499" i="4"/>
  <c r="AZ500" i="2" s="1"/>
  <c r="Y498" i="4"/>
  <c r="AZ499" i="2" s="1"/>
  <c r="Y497" i="4"/>
  <c r="AZ498" i="2" s="1"/>
  <c r="Y496" i="4"/>
  <c r="AZ497" i="2" s="1"/>
  <c r="Y495" i="4"/>
  <c r="AZ496" i="2" s="1"/>
  <c r="Y494" i="4"/>
  <c r="AZ495" i="2" s="1"/>
  <c r="Y493" i="4"/>
  <c r="AZ494" i="2" s="1"/>
  <c r="Y492" i="4"/>
  <c r="AZ493" i="2" s="1"/>
  <c r="Y491" i="4"/>
  <c r="AZ492" i="2" s="1"/>
  <c r="Y490" i="4"/>
  <c r="AZ491" i="2" s="1"/>
  <c r="Y489" i="4"/>
  <c r="AZ490" i="2" s="1"/>
  <c r="Y488" i="4"/>
  <c r="AZ489" i="2" s="1"/>
  <c r="Y487" i="4"/>
  <c r="AZ488" i="2" s="1"/>
  <c r="Y486" i="4"/>
  <c r="AZ487" i="2" s="1"/>
  <c r="Y485" i="4"/>
  <c r="AZ486" i="2" s="1"/>
  <c r="Y484" i="4"/>
  <c r="AZ485" i="2" s="1"/>
  <c r="Y483" i="4"/>
  <c r="AZ484" i="2" s="1"/>
  <c r="Y482" i="4"/>
  <c r="AZ483" i="2" s="1"/>
  <c r="Y481" i="4"/>
  <c r="AZ482" i="2" s="1"/>
  <c r="Y480" i="4"/>
  <c r="AZ481" i="2" s="1"/>
  <c r="Y479" i="4"/>
  <c r="AZ480" i="2" s="1"/>
  <c r="Y478" i="4"/>
  <c r="AZ479" i="2" s="1"/>
  <c r="Y477" i="4"/>
  <c r="AZ478" i="2" s="1"/>
  <c r="Y476" i="4"/>
  <c r="AZ477" i="2" s="1"/>
  <c r="Y475" i="4"/>
  <c r="AZ476" i="2" s="1"/>
  <c r="Y474" i="4"/>
  <c r="AZ475" i="2" s="1"/>
  <c r="Y473" i="4"/>
  <c r="AZ474" i="2" s="1"/>
  <c r="Y472" i="4"/>
  <c r="AZ473" i="2" s="1"/>
  <c r="Y471" i="4"/>
  <c r="AZ472" i="2" s="1"/>
  <c r="Y470" i="4"/>
  <c r="AZ471" i="2" s="1"/>
  <c r="Y469" i="4"/>
  <c r="AZ470" i="2" s="1"/>
  <c r="Y468" i="4"/>
  <c r="AZ469" i="2" s="1"/>
  <c r="Y467" i="4"/>
  <c r="AZ468" i="2" s="1"/>
  <c r="Y466" i="4"/>
  <c r="AZ467" i="2" s="1"/>
  <c r="Y465" i="4"/>
  <c r="AZ466" i="2" s="1"/>
  <c r="Y464" i="4"/>
  <c r="AZ465" i="2" s="1"/>
  <c r="Y463" i="4"/>
  <c r="AZ464" i="2" s="1"/>
  <c r="Y462" i="4"/>
  <c r="AZ463" i="2" s="1"/>
  <c r="Y461" i="4"/>
  <c r="AZ462" i="2" s="1"/>
  <c r="Y460" i="4"/>
  <c r="AZ461" i="2" s="1"/>
  <c r="Y459" i="4"/>
  <c r="AZ460" i="2" s="1"/>
  <c r="Y458" i="4"/>
  <c r="AZ459" i="2" s="1"/>
  <c r="Y457" i="4"/>
  <c r="AZ458" i="2" s="1"/>
  <c r="Y456" i="4"/>
  <c r="AZ457" i="2" s="1"/>
  <c r="Y455" i="4"/>
  <c r="AZ456" i="2" s="1"/>
  <c r="Y454" i="4"/>
  <c r="AZ455" i="2" s="1"/>
  <c r="Y453" i="4"/>
  <c r="AZ454" i="2" s="1"/>
  <c r="Y452" i="4"/>
  <c r="AZ453" i="2" s="1"/>
  <c r="Y451" i="4"/>
  <c r="AZ452" i="2" s="1"/>
  <c r="Y450" i="4"/>
  <c r="AZ451" i="2" s="1"/>
  <c r="Y449" i="4"/>
  <c r="AZ450" i="2" s="1"/>
  <c r="Y448" i="4"/>
  <c r="AZ449" i="2" s="1"/>
  <c r="Y447" i="4"/>
  <c r="AZ448" i="2" s="1"/>
  <c r="Y446" i="4"/>
  <c r="AZ447" i="2" s="1"/>
  <c r="Y445" i="4"/>
  <c r="AZ446" i="2" s="1"/>
  <c r="Y444" i="4"/>
  <c r="AZ445" i="2" s="1"/>
  <c r="Y443" i="4"/>
  <c r="AZ444" i="2" s="1"/>
  <c r="Y442" i="4"/>
  <c r="AZ443" i="2" s="1"/>
  <c r="Y441" i="4"/>
  <c r="AZ442" i="2" s="1"/>
  <c r="Y440" i="4"/>
  <c r="AZ441" i="2" s="1"/>
  <c r="Y439" i="4"/>
  <c r="AZ440" i="2" s="1"/>
  <c r="Y438" i="4"/>
  <c r="AZ439" i="2" s="1"/>
  <c r="Y437" i="4"/>
  <c r="AZ438" i="2" s="1"/>
  <c r="Y436" i="4"/>
  <c r="AZ437" i="2" s="1"/>
  <c r="Y435" i="4"/>
  <c r="AZ436" i="2" s="1"/>
  <c r="Y434" i="4"/>
  <c r="AZ435" i="2" s="1"/>
  <c r="Y433" i="4"/>
  <c r="AZ434" i="2" s="1"/>
  <c r="Y432" i="4"/>
  <c r="AZ433" i="2" s="1"/>
  <c r="Y431" i="4"/>
  <c r="AZ432" i="2" s="1"/>
  <c r="Y430" i="4"/>
  <c r="AZ431" i="2" s="1"/>
  <c r="Y429" i="4"/>
  <c r="AZ430" i="2" s="1"/>
  <c r="Y428" i="4"/>
  <c r="AZ429" i="2" s="1"/>
  <c r="Y427" i="4"/>
  <c r="AZ428" i="2" s="1"/>
  <c r="Y426" i="4"/>
  <c r="AZ427" i="2" s="1"/>
  <c r="Y425" i="4"/>
  <c r="AZ426" i="2" s="1"/>
  <c r="Y424" i="4"/>
  <c r="AZ425" i="2" s="1"/>
  <c r="Y423" i="4"/>
  <c r="AZ424" i="2" s="1"/>
  <c r="Y422" i="4"/>
  <c r="AZ423" i="2" s="1"/>
  <c r="Y421" i="4"/>
  <c r="AZ422" i="2" s="1"/>
  <c r="Y420" i="4"/>
  <c r="AZ421" i="2" s="1"/>
  <c r="Y419" i="4"/>
  <c r="AZ420" i="2" s="1"/>
  <c r="Y418" i="4"/>
  <c r="AZ419" i="2" s="1"/>
  <c r="Y417" i="4"/>
  <c r="AZ418" i="2" s="1"/>
  <c r="Y416" i="4"/>
  <c r="AZ417" i="2" s="1"/>
  <c r="Y415" i="4"/>
  <c r="AZ416" i="2" s="1"/>
  <c r="Y414" i="4"/>
  <c r="AZ415" i="2" s="1"/>
  <c r="Y413" i="4"/>
  <c r="AZ414" i="2" s="1"/>
  <c r="Y412" i="4"/>
  <c r="AZ413" i="2" s="1"/>
  <c r="Y411" i="4"/>
  <c r="AZ412" i="2" s="1"/>
  <c r="Y410" i="4"/>
  <c r="AZ411" i="2" s="1"/>
  <c r="Y409" i="4"/>
  <c r="AZ410" i="2" s="1"/>
  <c r="Y408" i="4"/>
  <c r="AZ409" i="2" s="1"/>
  <c r="Y407" i="4"/>
  <c r="AZ408" i="2" s="1"/>
  <c r="Y406" i="4"/>
  <c r="AZ407" i="2" s="1"/>
  <c r="Y405" i="4"/>
  <c r="AZ406" i="2" s="1"/>
  <c r="Y404" i="4"/>
  <c r="AZ405" i="2" s="1"/>
  <c r="Y403" i="4"/>
  <c r="AZ404" i="2" s="1"/>
  <c r="Y402" i="4"/>
  <c r="AZ403" i="2" s="1"/>
  <c r="Y401" i="4"/>
  <c r="AZ402" i="2" s="1"/>
  <c r="Y400" i="4"/>
  <c r="AZ401" i="2" s="1"/>
  <c r="Y399" i="4"/>
  <c r="AZ400" i="2" s="1"/>
  <c r="Y398" i="4"/>
  <c r="AZ399" i="2" s="1"/>
  <c r="Y397" i="4"/>
  <c r="AZ398" i="2" s="1"/>
  <c r="Y396" i="4"/>
  <c r="AZ397" i="2" s="1"/>
  <c r="Y395" i="4"/>
  <c r="AZ396" i="2" s="1"/>
  <c r="Y394" i="4"/>
  <c r="AZ395" i="2" s="1"/>
  <c r="Y393" i="4"/>
  <c r="AZ394" i="2" s="1"/>
  <c r="Y392" i="4"/>
  <c r="AZ393" i="2" s="1"/>
  <c r="Y391" i="4"/>
  <c r="AZ392" i="2" s="1"/>
  <c r="Y390" i="4"/>
  <c r="AZ391" i="2" s="1"/>
  <c r="Y389" i="4"/>
  <c r="AZ390" i="2" s="1"/>
  <c r="Y388" i="4"/>
  <c r="AZ389" i="2" s="1"/>
  <c r="Y387" i="4"/>
  <c r="AZ388" i="2" s="1"/>
  <c r="Y386" i="4"/>
  <c r="AZ387" i="2" s="1"/>
  <c r="Y385" i="4"/>
  <c r="AZ386" i="2" s="1"/>
  <c r="Y384" i="4"/>
  <c r="AZ385" i="2" s="1"/>
  <c r="Y383" i="4"/>
  <c r="AZ384" i="2" s="1"/>
  <c r="Y382" i="4"/>
  <c r="AZ383" i="2" s="1"/>
  <c r="Y381" i="4"/>
  <c r="AZ382" i="2" s="1"/>
  <c r="Y380" i="4"/>
  <c r="AZ381" i="2" s="1"/>
  <c r="Y379" i="4"/>
  <c r="AZ380" i="2" s="1"/>
  <c r="Y378" i="4"/>
  <c r="AZ379" i="2" s="1"/>
  <c r="Y377" i="4"/>
  <c r="AZ378" i="2" s="1"/>
  <c r="Y376" i="4"/>
  <c r="AZ377" i="2" s="1"/>
  <c r="Y375" i="4"/>
  <c r="AZ376" i="2" s="1"/>
  <c r="Y374" i="4"/>
  <c r="AZ375" i="2" s="1"/>
  <c r="Y373" i="4"/>
  <c r="AZ374" i="2" s="1"/>
  <c r="Y372" i="4"/>
  <c r="AZ373" i="2" s="1"/>
  <c r="Y371" i="4"/>
  <c r="AZ372" i="2" s="1"/>
  <c r="Y370" i="4"/>
  <c r="AZ371" i="2" s="1"/>
  <c r="Y369" i="4"/>
  <c r="AZ370" i="2" s="1"/>
  <c r="Y368" i="4"/>
  <c r="AZ369" i="2" s="1"/>
  <c r="Y367" i="4"/>
  <c r="AZ368" i="2" s="1"/>
  <c r="Y366" i="4"/>
  <c r="AZ367" i="2" s="1"/>
  <c r="Y365" i="4"/>
  <c r="AZ366" i="2" s="1"/>
  <c r="Y364" i="4"/>
  <c r="AZ365" i="2" s="1"/>
  <c r="Y363" i="4"/>
  <c r="AZ364" i="2" s="1"/>
  <c r="Y362" i="4"/>
  <c r="AZ363" i="2" s="1"/>
  <c r="Y361" i="4"/>
  <c r="AZ362" i="2" s="1"/>
  <c r="Y360" i="4"/>
  <c r="AZ361" i="2" s="1"/>
  <c r="Y359" i="4"/>
  <c r="AZ360" i="2" s="1"/>
  <c r="Y358" i="4"/>
  <c r="AZ359" i="2" s="1"/>
  <c r="Y357" i="4"/>
  <c r="AZ358" i="2" s="1"/>
  <c r="Y356" i="4"/>
  <c r="AZ357" i="2" s="1"/>
  <c r="Y355" i="4"/>
  <c r="AZ356" i="2" s="1"/>
  <c r="Y354" i="4"/>
  <c r="AZ355" i="2" s="1"/>
  <c r="Y353" i="4"/>
  <c r="AZ354" i="2" s="1"/>
  <c r="Y352" i="4"/>
  <c r="AZ353" i="2" s="1"/>
  <c r="Y351" i="4"/>
  <c r="AZ352" i="2" s="1"/>
  <c r="Y350" i="4"/>
  <c r="AZ351" i="2" s="1"/>
  <c r="Y349" i="4"/>
  <c r="AZ350" i="2" s="1"/>
  <c r="Y348" i="4"/>
  <c r="AZ349" i="2" s="1"/>
  <c r="Y347" i="4"/>
  <c r="AZ348" i="2" s="1"/>
  <c r="Y346" i="4"/>
  <c r="AZ347" i="2" s="1"/>
  <c r="Y345" i="4"/>
  <c r="AZ346" i="2" s="1"/>
  <c r="Y344" i="4"/>
  <c r="AZ345" i="2" s="1"/>
  <c r="Y343" i="4"/>
  <c r="AZ344" i="2" s="1"/>
  <c r="Y342" i="4"/>
  <c r="AZ343" i="2" s="1"/>
  <c r="Y341" i="4"/>
  <c r="AZ342" i="2" s="1"/>
  <c r="Y340" i="4"/>
  <c r="AZ341" i="2" s="1"/>
  <c r="Y339" i="4"/>
  <c r="AZ340" i="2" s="1"/>
  <c r="Y338" i="4"/>
  <c r="AZ339" i="2" s="1"/>
  <c r="Y337" i="4"/>
  <c r="AZ338" i="2" s="1"/>
  <c r="Y336" i="4"/>
  <c r="AZ337" i="2" s="1"/>
  <c r="Y335" i="4"/>
  <c r="AZ336" i="2" s="1"/>
  <c r="Y334" i="4"/>
  <c r="AZ335" i="2" s="1"/>
  <c r="Y333" i="4"/>
  <c r="AZ334" i="2" s="1"/>
  <c r="Y332" i="4"/>
  <c r="AZ333" i="2" s="1"/>
  <c r="Y331" i="4"/>
  <c r="AZ332" i="2" s="1"/>
  <c r="Y330" i="4"/>
  <c r="AZ331" i="2" s="1"/>
  <c r="Y329" i="4"/>
  <c r="AZ330" i="2" s="1"/>
  <c r="Y328" i="4"/>
  <c r="AZ329" i="2" s="1"/>
  <c r="Y327" i="4"/>
  <c r="AZ328" i="2" s="1"/>
  <c r="Y326" i="4"/>
  <c r="AZ327" i="2" s="1"/>
  <c r="Y325" i="4"/>
  <c r="AZ326" i="2" s="1"/>
  <c r="Y324" i="4"/>
  <c r="AZ325" i="2" s="1"/>
  <c r="Y323" i="4"/>
  <c r="AZ324" i="2" s="1"/>
  <c r="Y322" i="4"/>
  <c r="AZ323" i="2" s="1"/>
  <c r="Y321" i="4"/>
  <c r="AZ322" i="2" s="1"/>
  <c r="Y320" i="4"/>
  <c r="AZ321" i="2" s="1"/>
  <c r="Y319" i="4"/>
  <c r="AZ320" i="2" s="1"/>
  <c r="Y318" i="4"/>
  <c r="AZ319" i="2" s="1"/>
  <c r="Y317" i="4"/>
  <c r="AZ318" i="2" s="1"/>
  <c r="Y316" i="4"/>
  <c r="AZ317" i="2" s="1"/>
  <c r="Y315" i="4"/>
  <c r="AZ316" i="2" s="1"/>
  <c r="Y314" i="4"/>
  <c r="AZ315" i="2" s="1"/>
  <c r="Y313" i="4"/>
  <c r="AZ314" i="2" s="1"/>
  <c r="Y312" i="4"/>
  <c r="AZ313" i="2" s="1"/>
  <c r="Y311" i="4"/>
  <c r="AZ312" i="2" s="1"/>
  <c r="Y310" i="4"/>
  <c r="AZ311" i="2" s="1"/>
  <c r="Y309" i="4"/>
  <c r="AZ310" i="2" s="1"/>
  <c r="Y308" i="4"/>
  <c r="AZ309" i="2" s="1"/>
  <c r="Y307" i="4"/>
  <c r="AZ308" i="2" s="1"/>
  <c r="Y306" i="4"/>
  <c r="AZ307" i="2" s="1"/>
  <c r="Y305" i="4"/>
  <c r="AZ306" i="2" s="1"/>
  <c r="Y304" i="4"/>
  <c r="AZ305" i="2" s="1"/>
  <c r="Y303" i="4"/>
  <c r="AZ304" i="2" s="1"/>
  <c r="Y302" i="4"/>
  <c r="AZ303" i="2" s="1"/>
  <c r="Y301" i="4"/>
  <c r="AZ302" i="2" s="1"/>
  <c r="Y300" i="4"/>
  <c r="AZ301" i="2" s="1"/>
  <c r="Y299" i="4"/>
  <c r="AZ300" i="2" s="1"/>
  <c r="Y298" i="4"/>
  <c r="AZ299" i="2" s="1"/>
  <c r="Y297" i="4"/>
  <c r="AZ298" i="2" s="1"/>
  <c r="Y296" i="4"/>
  <c r="AZ297" i="2" s="1"/>
  <c r="Y295" i="4"/>
  <c r="AZ296" i="2" s="1"/>
  <c r="Y294" i="4"/>
  <c r="AZ295" i="2" s="1"/>
  <c r="Y293" i="4"/>
  <c r="AZ294" i="2" s="1"/>
  <c r="Y292" i="4"/>
  <c r="AZ293" i="2" s="1"/>
  <c r="Y291" i="4"/>
  <c r="AZ292" i="2" s="1"/>
  <c r="Y290" i="4"/>
  <c r="AZ291" i="2" s="1"/>
  <c r="Y289" i="4"/>
  <c r="AZ290" i="2" s="1"/>
  <c r="Y288" i="4"/>
  <c r="AZ289" i="2" s="1"/>
  <c r="Y287" i="4"/>
  <c r="AZ288" i="2" s="1"/>
  <c r="Y286" i="4"/>
  <c r="AZ287" i="2" s="1"/>
  <c r="Y285" i="4"/>
  <c r="AZ286" i="2" s="1"/>
  <c r="Y284" i="4"/>
  <c r="AZ285" i="2" s="1"/>
  <c r="Y283" i="4"/>
  <c r="AZ284" i="2" s="1"/>
  <c r="Y282" i="4"/>
  <c r="AZ283" i="2" s="1"/>
  <c r="Y281" i="4"/>
  <c r="AZ282" i="2" s="1"/>
  <c r="Y280" i="4"/>
  <c r="AZ281" i="2" s="1"/>
  <c r="Y279" i="4"/>
  <c r="AZ280" i="2" s="1"/>
  <c r="Y278" i="4"/>
  <c r="AZ279" i="2" s="1"/>
  <c r="Y277" i="4"/>
  <c r="AZ278" i="2" s="1"/>
  <c r="Y276" i="4"/>
  <c r="AZ277" i="2" s="1"/>
  <c r="Y275" i="4"/>
  <c r="AZ276" i="2" s="1"/>
  <c r="Y274" i="4"/>
  <c r="AZ275" i="2" s="1"/>
  <c r="Y273" i="4"/>
  <c r="AZ274" i="2" s="1"/>
  <c r="Y272" i="4"/>
  <c r="AZ273" i="2" s="1"/>
  <c r="Y271" i="4"/>
  <c r="AZ272" i="2" s="1"/>
  <c r="Y270" i="4"/>
  <c r="AZ271" i="2" s="1"/>
  <c r="Y269" i="4"/>
  <c r="AZ270" i="2" s="1"/>
  <c r="Y268" i="4"/>
  <c r="AZ269" i="2" s="1"/>
  <c r="Y267" i="4"/>
  <c r="AZ268" i="2" s="1"/>
  <c r="Y266" i="4"/>
  <c r="AZ267" i="2" s="1"/>
  <c r="Y265" i="4"/>
  <c r="AZ266" i="2" s="1"/>
  <c r="Y264" i="4"/>
  <c r="AZ265" i="2" s="1"/>
  <c r="Y263" i="4"/>
  <c r="AZ264" i="2" s="1"/>
  <c r="Y262" i="4"/>
  <c r="AZ263" i="2" s="1"/>
  <c r="Y261" i="4"/>
  <c r="AZ262" i="2" s="1"/>
  <c r="Y260" i="4"/>
  <c r="AZ261" i="2" s="1"/>
  <c r="Y259" i="4"/>
  <c r="AZ260" i="2" s="1"/>
  <c r="Y258" i="4"/>
  <c r="AZ259" i="2" s="1"/>
  <c r="Y257" i="4"/>
  <c r="AZ258" i="2" s="1"/>
  <c r="Y256" i="4"/>
  <c r="AZ257" i="2" s="1"/>
  <c r="Y255" i="4"/>
  <c r="AZ256" i="2" s="1"/>
  <c r="Y254" i="4"/>
  <c r="AZ255" i="2" s="1"/>
  <c r="Y253" i="4"/>
  <c r="AZ254" i="2" s="1"/>
  <c r="Y252" i="4"/>
  <c r="AZ253" i="2" s="1"/>
  <c r="Y251" i="4"/>
  <c r="AZ252" i="2" s="1"/>
  <c r="Y250" i="4"/>
  <c r="AZ251" i="2" s="1"/>
  <c r="Y249" i="4"/>
  <c r="AZ250" i="2" s="1"/>
  <c r="Y248" i="4"/>
  <c r="AZ249" i="2" s="1"/>
  <c r="Y247" i="4"/>
  <c r="AZ248" i="2" s="1"/>
  <c r="Y246" i="4"/>
  <c r="AZ247" i="2" s="1"/>
  <c r="Y245" i="4"/>
  <c r="AZ246" i="2" s="1"/>
  <c r="Y244" i="4"/>
  <c r="AZ245" i="2" s="1"/>
  <c r="Y243" i="4"/>
  <c r="AZ244" i="2" s="1"/>
  <c r="Y242" i="4"/>
  <c r="AZ243" i="2" s="1"/>
  <c r="Y241" i="4"/>
  <c r="AZ242" i="2" s="1"/>
  <c r="Y240" i="4"/>
  <c r="AZ241" i="2" s="1"/>
  <c r="Y239" i="4"/>
  <c r="AZ240" i="2" s="1"/>
  <c r="Y238" i="4"/>
  <c r="AZ239" i="2" s="1"/>
  <c r="Y237" i="4"/>
  <c r="AZ238" i="2" s="1"/>
  <c r="Y236" i="4"/>
  <c r="AZ237" i="2" s="1"/>
  <c r="Y235" i="4"/>
  <c r="AZ236" i="2" s="1"/>
  <c r="Y234" i="4"/>
  <c r="AZ235" i="2" s="1"/>
  <c r="Y233" i="4"/>
  <c r="AZ234" i="2" s="1"/>
  <c r="Y232" i="4"/>
  <c r="AZ233" i="2" s="1"/>
  <c r="Y231" i="4"/>
  <c r="AZ232" i="2" s="1"/>
  <c r="Y230" i="4"/>
  <c r="AZ231" i="2" s="1"/>
  <c r="Y229" i="4"/>
  <c r="AZ230" i="2" s="1"/>
  <c r="Y228" i="4"/>
  <c r="AZ229" i="2" s="1"/>
  <c r="Y227" i="4"/>
  <c r="AZ228" i="2" s="1"/>
  <c r="Y226" i="4"/>
  <c r="AZ227" i="2" s="1"/>
  <c r="Y225" i="4"/>
  <c r="AZ226" i="2" s="1"/>
  <c r="Y224" i="4"/>
  <c r="AZ225" i="2" s="1"/>
  <c r="Y223" i="4"/>
  <c r="AZ224" i="2" s="1"/>
  <c r="Y222" i="4"/>
  <c r="AZ223" i="2" s="1"/>
  <c r="Y221" i="4"/>
  <c r="AZ222" i="2" s="1"/>
  <c r="Y220" i="4"/>
  <c r="AZ221" i="2" s="1"/>
  <c r="Y219" i="4"/>
  <c r="AZ220" i="2" s="1"/>
  <c r="Y218" i="4"/>
  <c r="AZ219" i="2" s="1"/>
  <c r="Y217" i="4"/>
  <c r="AZ218" i="2" s="1"/>
  <c r="Y216" i="4"/>
  <c r="AZ217" i="2" s="1"/>
  <c r="Y215" i="4"/>
  <c r="AZ216" i="2" s="1"/>
  <c r="Y214" i="4"/>
  <c r="AZ215" i="2" s="1"/>
  <c r="Y213" i="4"/>
  <c r="AZ214" i="2" s="1"/>
  <c r="Y212" i="4"/>
  <c r="AZ213" i="2" s="1"/>
  <c r="Y211" i="4"/>
  <c r="AZ212" i="2" s="1"/>
  <c r="Y210" i="4"/>
  <c r="AZ211" i="2" s="1"/>
  <c r="Y209" i="4"/>
  <c r="AZ210" i="2" s="1"/>
  <c r="Y208" i="4"/>
  <c r="AZ209" i="2" s="1"/>
  <c r="Y207" i="4"/>
  <c r="AZ208" i="2" s="1"/>
  <c r="Y206" i="4"/>
  <c r="AZ207" i="2" s="1"/>
  <c r="Y205" i="4"/>
  <c r="AZ206" i="2" s="1"/>
  <c r="Y204" i="4"/>
  <c r="AZ205" i="2" s="1"/>
  <c r="Y203" i="4"/>
  <c r="AZ204" i="2" s="1"/>
  <c r="Y202" i="4"/>
  <c r="AZ203" i="2" s="1"/>
  <c r="Y201" i="4"/>
  <c r="AZ202" i="2" s="1"/>
  <c r="Y200" i="4"/>
  <c r="AZ201" i="2" s="1"/>
  <c r="Y199" i="4"/>
  <c r="AZ200" i="2" s="1"/>
  <c r="Y198" i="4"/>
  <c r="AZ199" i="2" s="1"/>
  <c r="Y197" i="4"/>
  <c r="AZ198" i="2" s="1"/>
  <c r="Y196" i="4"/>
  <c r="AZ197" i="2" s="1"/>
  <c r="Y195" i="4"/>
  <c r="AZ196" i="2" s="1"/>
  <c r="Y194" i="4"/>
  <c r="AZ195" i="2" s="1"/>
  <c r="Y193" i="4"/>
  <c r="AZ194" i="2" s="1"/>
  <c r="Y192" i="4"/>
  <c r="AZ193" i="2" s="1"/>
  <c r="Y191" i="4"/>
  <c r="AZ192" i="2" s="1"/>
  <c r="Y190" i="4"/>
  <c r="AZ191" i="2" s="1"/>
  <c r="Y189" i="4"/>
  <c r="AZ190" i="2" s="1"/>
  <c r="Y188" i="4"/>
  <c r="AZ189" i="2" s="1"/>
  <c r="Y187" i="4"/>
  <c r="AZ188" i="2" s="1"/>
  <c r="Y186" i="4"/>
  <c r="AZ187" i="2" s="1"/>
  <c r="Y185" i="4"/>
  <c r="AZ186" i="2" s="1"/>
  <c r="Y184" i="4"/>
  <c r="AZ185" i="2" s="1"/>
  <c r="Y183" i="4"/>
  <c r="AZ184" i="2" s="1"/>
  <c r="Y182" i="4"/>
  <c r="AZ183" i="2" s="1"/>
  <c r="Y181" i="4"/>
  <c r="AZ182" i="2" s="1"/>
  <c r="Y180" i="4"/>
  <c r="AZ181" i="2" s="1"/>
  <c r="Y179" i="4"/>
  <c r="AZ180" i="2" s="1"/>
  <c r="Y178" i="4"/>
  <c r="AZ179" i="2" s="1"/>
  <c r="Y177" i="4"/>
  <c r="AZ178" i="2" s="1"/>
  <c r="Y176" i="4"/>
  <c r="AZ177" i="2" s="1"/>
  <c r="Y175" i="4"/>
  <c r="AZ176" i="2" s="1"/>
  <c r="Y174" i="4"/>
  <c r="AZ175" i="2" s="1"/>
  <c r="Y173" i="4"/>
  <c r="AZ174" i="2" s="1"/>
  <c r="Y172" i="4"/>
  <c r="AZ173" i="2" s="1"/>
  <c r="Y171" i="4"/>
  <c r="AZ172" i="2" s="1"/>
  <c r="Y170" i="4"/>
  <c r="AZ171" i="2" s="1"/>
  <c r="Y169" i="4"/>
  <c r="AZ170" i="2" s="1"/>
  <c r="Y168" i="4"/>
  <c r="AZ169" i="2" s="1"/>
  <c r="Y167" i="4"/>
  <c r="AZ168" i="2" s="1"/>
  <c r="Y166" i="4"/>
  <c r="AZ167" i="2" s="1"/>
  <c r="Y165" i="4"/>
  <c r="AZ166" i="2" s="1"/>
  <c r="Y164" i="4"/>
  <c r="AZ165" i="2" s="1"/>
  <c r="Y163" i="4"/>
  <c r="AZ164" i="2" s="1"/>
  <c r="Y162" i="4"/>
  <c r="AZ163" i="2" s="1"/>
  <c r="Y161" i="4"/>
  <c r="AZ162" i="2" s="1"/>
  <c r="Y160" i="4"/>
  <c r="AZ161" i="2" s="1"/>
  <c r="Y159" i="4"/>
  <c r="AZ160" i="2" s="1"/>
  <c r="Y158" i="4"/>
  <c r="AZ159" i="2" s="1"/>
  <c r="Y157" i="4"/>
  <c r="AZ158" i="2" s="1"/>
  <c r="Y156" i="4"/>
  <c r="AZ157" i="2" s="1"/>
  <c r="Y155" i="4"/>
  <c r="AZ156" i="2" s="1"/>
  <c r="Y154" i="4"/>
  <c r="AZ155" i="2" s="1"/>
  <c r="Y153" i="4"/>
  <c r="AZ154" i="2" s="1"/>
  <c r="Y152" i="4"/>
  <c r="AZ153" i="2" s="1"/>
  <c r="Y151" i="4"/>
  <c r="AZ152" i="2" s="1"/>
  <c r="Y150" i="4"/>
  <c r="AZ151" i="2" s="1"/>
  <c r="Y149" i="4"/>
  <c r="AZ150" i="2" s="1"/>
  <c r="Y148" i="4"/>
  <c r="AZ149" i="2" s="1"/>
  <c r="Y147" i="4"/>
  <c r="AZ148" i="2" s="1"/>
  <c r="Y146" i="4"/>
  <c r="AZ147" i="2" s="1"/>
  <c r="Y145" i="4"/>
  <c r="AZ146" i="2" s="1"/>
  <c r="Y144" i="4"/>
  <c r="AZ145" i="2" s="1"/>
  <c r="Y143" i="4"/>
  <c r="AZ144" i="2" s="1"/>
  <c r="Y142" i="4"/>
  <c r="AZ143" i="2" s="1"/>
  <c r="Y141" i="4"/>
  <c r="AZ142" i="2" s="1"/>
  <c r="Y140" i="4"/>
  <c r="AZ141" i="2" s="1"/>
  <c r="Y139" i="4"/>
  <c r="AZ140" i="2" s="1"/>
  <c r="Y138" i="4"/>
  <c r="AZ139" i="2" s="1"/>
  <c r="Y137" i="4"/>
  <c r="AZ138" i="2" s="1"/>
  <c r="Y136" i="4"/>
  <c r="AZ137" i="2" s="1"/>
  <c r="Y135" i="4"/>
  <c r="AZ136" i="2" s="1"/>
  <c r="Y134" i="4"/>
  <c r="AZ135" i="2" s="1"/>
  <c r="Y133" i="4"/>
  <c r="AZ134" i="2" s="1"/>
  <c r="Y132" i="4"/>
  <c r="AZ133" i="2" s="1"/>
  <c r="Y131" i="4"/>
  <c r="AZ132" i="2" s="1"/>
  <c r="Y130" i="4"/>
  <c r="AZ131" i="2" s="1"/>
  <c r="Y129" i="4"/>
  <c r="AZ130" i="2" s="1"/>
  <c r="Y128" i="4"/>
  <c r="AZ129" i="2" s="1"/>
  <c r="Y127" i="4"/>
  <c r="AZ128" i="2" s="1"/>
  <c r="Y126" i="4"/>
  <c r="AZ127" i="2" s="1"/>
  <c r="Y125" i="4"/>
  <c r="AZ126" i="2" s="1"/>
  <c r="Y124" i="4"/>
  <c r="AZ125" i="2" s="1"/>
  <c r="Y123" i="4"/>
  <c r="AZ124" i="2" s="1"/>
  <c r="Y122" i="4"/>
  <c r="AZ123" i="2" s="1"/>
  <c r="Y121" i="4"/>
  <c r="AZ122" i="2" s="1"/>
  <c r="Y120" i="4"/>
  <c r="AZ121" i="2" s="1"/>
  <c r="Y119" i="4"/>
  <c r="AZ120" i="2" s="1"/>
  <c r="Y118" i="4"/>
  <c r="AZ119" i="2" s="1"/>
  <c r="Y117" i="4"/>
  <c r="AZ118" i="2" s="1"/>
  <c r="Y116" i="4"/>
  <c r="AZ117" i="2" s="1"/>
  <c r="Y115" i="4"/>
  <c r="AZ116" i="2" s="1"/>
  <c r="Y114" i="4"/>
  <c r="AZ115" i="2" s="1"/>
  <c r="Y113" i="4"/>
  <c r="AZ114" i="2" s="1"/>
  <c r="Y112" i="4"/>
  <c r="AZ113" i="2" s="1"/>
  <c r="Y111" i="4"/>
  <c r="AZ112" i="2" s="1"/>
  <c r="Y110" i="4"/>
  <c r="AZ111" i="2" s="1"/>
  <c r="Y109" i="4"/>
  <c r="AZ110" i="2" s="1"/>
  <c r="Y108" i="4"/>
  <c r="AZ109" i="2" s="1"/>
  <c r="Y107" i="4"/>
  <c r="AZ108" i="2" s="1"/>
  <c r="Y106" i="4"/>
  <c r="AZ107" i="2" s="1"/>
  <c r="Y105" i="4"/>
  <c r="AZ106" i="2" s="1"/>
  <c r="Y104" i="4"/>
  <c r="AZ105" i="2" s="1"/>
  <c r="Y103" i="4"/>
  <c r="AZ104" i="2" s="1"/>
  <c r="Y102" i="4"/>
  <c r="AZ103" i="2" s="1"/>
  <c r="Y101" i="4"/>
  <c r="AZ102" i="2" s="1"/>
  <c r="Y100" i="4"/>
  <c r="AZ101" i="2" s="1"/>
  <c r="Y99" i="4"/>
  <c r="AZ100" i="2" s="1"/>
  <c r="Y98" i="4"/>
  <c r="AZ99" i="2" s="1"/>
  <c r="Y97" i="4"/>
  <c r="AZ98" i="2" s="1"/>
  <c r="Y96" i="4"/>
  <c r="AZ97" i="2" s="1"/>
  <c r="Y95" i="4"/>
  <c r="AZ96" i="2" s="1"/>
  <c r="Y94" i="4"/>
  <c r="AZ95" i="2" s="1"/>
  <c r="Y93" i="4"/>
  <c r="AZ94" i="2" s="1"/>
  <c r="Y92" i="4"/>
  <c r="AZ93" i="2" s="1"/>
  <c r="Y91" i="4"/>
  <c r="AZ92" i="2" s="1"/>
  <c r="Y90" i="4"/>
  <c r="AZ91" i="2" s="1"/>
  <c r="Y89" i="4"/>
  <c r="AZ90" i="2" s="1"/>
  <c r="Y88" i="4"/>
  <c r="AZ89" i="2" s="1"/>
  <c r="Y87" i="4"/>
  <c r="AZ88" i="2" s="1"/>
  <c r="Y86" i="4"/>
  <c r="AZ87" i="2" s="1"/>
  <c r="Y85" i="4"/>
  <c r="AZ86" i="2" s="1"/>
  <c r="Y84" i="4"/>
  <c r="AZ85" i="2" s="1"/>
  <c r="Y83" i="4"/>
  <c r="AZ84" i="2" s="1"/>
  <c r="Y82" i="4"/>
  <c r="AZ83" i="2" s="1"/>
  <c r="Y81" i="4"/>
  <c r="AZ82" i="2" s="1"/>
  <c r="Y80" i="4"/>
  <c r="AZ81" i="2" s="1"/>
  <c r="Y79" i="4"/>
  <c r="AZ80" i="2" s="1"/>
  <c r="Y78" i="4"/>
  <c r="AZ79" i="2" s="1"/>
  <c r="Y77" i="4"/>
  <c r="AZ78" i="2" s="1"/>
  <c r="Y76" i="4"/>
  <c r="AZ77" i="2" s="1"/>
  <c r="Y75" i="4"/>
  <c r="AZ76" i="2" s="1"/>
  <c r="Y74" i="4"/>
  <c r="AZ75" i="2" s="1"/>
  <c r="Y73" i="4"/>
  <c r="AZ74" i="2" s="1"/>
  <c r="Y72" i="4"/>
  <c r="AZ73" i="2" s="1"/>
  <c r="Y71" i="4"/>
  <c r="AZ72" i="2" s="1"/>
  <c r="Y70" i="4"/>
  <c r="AZ71" i="2" s="1"/>
  <c r="Y69" i="4"/>
  <c r="AZ70" i="2" s="1"/>
  <c r="Y68" i="4"/>
  <c r="AZ69" i="2" s="1"/>
  <c r="Y67" i="4"/>
  <c r="AZ68" i="2" s="1"/>
  <c r="Y66" i="4"/>
  <c r="AZ67" i="2" s="1"/>
  <c r="Y65" i="4"/>
  <c r="AZ66" i="2" s="1"/>
  <c r="Y64" i="4"/>
  <c r="AZ65" i="2" s="1"/>
  <c r="Y63" i="4"/>
  <c r="AZ64" i="2" s="1"/>
  <c r="Y62" i="4"/>
  <c r="AZ63" i="2" s="1"/>
  <c r="Y61" i="4"/>
  <c r="AZ62" i="2" s="1"/>
  <c r="Y60" i="4"/>
  <c r="AZ61" i="2" s="1"/>
  <c r="Y59" i="4"/>
  <c r="AZ60" i="2" s="1"/>
  <c r="Y58" i="4"/>
  <c r="AZ59" i="2" s="1"/>
  <c r="Y57" i="4"/>
  <c r="AZ58" i="2" s="1"/>
  <c r="Y56" i="4"/>
  <c r="AZ57" i="2" s="1"/>
  <c r="Y55" i="4"/>
  <c r="AZ56" i="2" s="1"/>
  <c r="Y54" i="4"/>
  <c r="AZ55" i="2" s="1"/>
  <c r="Y53" i="4"/>
  <c r="AZ54" i="2" s="1"/>
  <c r="Y52" i="4"/>
  <c r="AZ53" i="2" s="1"/>
  <c r="Y51" i="4"/>
  <c r="AZ52" i="2" s="1"/>
  <c r="Y50" i="4"/>
  <c r="AZ51" i="2" s="1"/>
  <c r="Y49" i="4"/>
  <c r="AZ50" i="2" s="1"/>
  <c r="Y48" i="4"/>
  <c r="AZ49" i="2" s="1"/>
  <c r="Y47" i="4"/>
  <c r="AZ48" i="2" s="1"/>
  <c r="Y46" i="4"/>
  <c r="AZ47" i="2" s="1"/>
  <c r="Y45" i="4"/>
  <c r="AZ46" i="2" s="1"/>
  <c r="Y44" i="4"/>
  <c r="AZ45" i="2" s="1"/>
  <c r="Y43" i="4"/>
  <c r="AZ44" i="2" s="1"/>
  <c r="Y42" i="4"/>
  <c r="AZ43" i="2" s="1"/>
  <c r="Y41" i="4"/>
  <c r="AZ42" i="2" s="1"/>
  <c r="Y40" i="4"/>
  <c r="AZ41" i="2" s="1"/>
  <c r="Y39" i="4"/>
  <c r="AZ40" i="2" s="1"/>
  <c r="Y38" i="4"/>
  <c r="AZ39" i="2" s="1"/>
  <c r="Y37" i="4"/>
  <c r="AZ38" i="2" s="1"/>
  <c r="Y36" i="4"/>
  <c r="AZ37" i="2" s="1"/>
  <c r="Y35" i="4"/>
  <c r="AZ36" i="2" s="1"/>
  <c r="Y34" i="4"/>
  <c r="AZ35" i="2" s="1"/>
  <c r="Y33" i="4"/>
  <c r="AZ34" i="2" s="1"/>
  <c r="Y32" i="4"/>
  <c r="AZ33" i="2" s="1"/>
  <c r="Y31" i="4"/>
  <c r="AZ32" i="2" s="1"/>
  <c r="Y30" i="4"/>
  <c r="AZ31" i="2" s="1"/>
  <c r="Y29" i="4"/>
  <c r="AZ30" i="2" s="1"/>
  <c r="Y28" i="4"/>
  <c r="AZ29" i="2" s="1"/>
  <c r="Y27" i="4"/>
  <c r="AZ28" i="2" s="1"/>
  <c r="Y26" i="4"/>
  <c r="AZ27" i="2" s="1"/>
  <c r="Y25" i="4"/>
  <c r="AZ26" i="2" s="1"/>
  <c r="Y24" i="4"/>
  <c r="AZ25" i="2" s="1"/>
  <c r="Y23" i="4"/>
  <c r="AZ24" i="2" s="1"/>
  <c r="Y22" i="4"/>
  <c r="AZ23" i="2" s="1"/>
  <c r="Y21" i="4"/>
  <c r="AZ22" i="2" s="1"/>
  <c r="Y20" i="4"/>
  <c r="AZ21" i="2" s="1"/>
  <c r="Y19" i="4"/>
  <c r="AZ20" i="2" s="1"/>
  <c r="Y18" i="4"/>
  <c r="AZ19" i="2" s="1"/>
  <c r="Y17" i="4"/>
  <c r="AZ18" i="2" s="1"/>
  <c r="Y16" i="4"/>
  <c r="AZ17" i="2" s="1"/>
  <c r="Y15" i="4"/>
  <c r="AZ16" i="2" s="1"/>
  <c r="Y14" i="4"/>
  <c r="AZ15" i="2" s="1"/>
  <c r="Y13" i="4"/>
  <c r="AZ14" i="2" s="1"/>
  <c r="Y12" i="4"/>
  <c r="AZ13" i="2" s="1"/>
  <c r="Y11" i="4"/>
  <c r="AZ12" i="2" s="1"/>
  <c r="Y10" i="4"/>
  <c r="AZ11" i="2" s="1"/>
  <c r="Y9" i="4"/>
  <c r="AZ10" i="2" s="1"/>
  <c r="Y8" i="4"/>
  <c r="AZ9" i="2" s="1"/>
  <c r="Y7" i="4"/>
  <c r="AZ8" i="2" s="1"/>
  <c r="Y6" i="4"/>
  <c r="AZ7" i="2" s="1"/>
  <c r="Y5" i="4"/>
  <c r="AZ6" i="2" s="1"/>
  <c r="V1000" i="4"/>
  <c r="V999"/>
  <c r="AY1000" i="2" s="1"/>
  <c r="V998" i="4"/>
  <c r="AY999" i="2" s="1"/>
  <c r="V997" i="4"/>
  <c r="AY998" i="2" s="1"/>
  <c r="V996" i="4"/>
  <c r="AY997" i="2" s="1"/>
  <c r="V995" i="4"/>
  <c r="AY996" i="2" s="1"/>
  <c r="V994" i="4"/>
  <c r="AY995" i="2" s="1"/>
  <c r="V993" i="4"/>
  <c r="AY994" i="2" s="1"/>
  <c r="V992" i="4"/>
  <c r="AY993" i="2" s="1"/>
  <c r="V991" i="4"/>
  <c r="AY992" i="2" s="1"/>
  <c r="V990" i="4"/>
  <c r="AY991" i="2" s="1"/>
  <c r="V989" i="4"/>
  <c r="AY990" i="2" s="1"/>
  <c r="V988" i="4"/>
  <c r="AY989" i="2" s="1"/>
  <c r="V987" i="4"/>
  <c r="AY988" i="2" s="1"/>
  <c r="V986" i="4"/>
  <c r="AY987" i="2" s="1"/>
  <c r="V985" i="4"/>
  <c r="AY986" i="2" s="1"/>
  <c r="V984" i="4"/>
  <c r="AY985" i="2" s="1"/>
  <c r="V983" i="4"/>
  <c r="AY984" i="2" s="1"/>
  <c r="V982" i="4"/>
  <c r="AY983" i="2" s="1"/>
  <c r="V981" i="4"/>
  <c r="AY982" i="2" s="1"/>
  <c r="V980" i="4"/>
  <c r="AY981" i="2" s="1"/>
  <c r="V979" i="4"/>
  <c r="AY980" i="2" s="1"/>
  <c r="V978" i="4"/>
  <c r="AY979" i="2" s="1"/>
  <c r="V977" i="4"/>
  <c r="AY978" i="2" s="1"/>
  <c r="V976" i="4"/>
  <c r="AY977" i="2" s="1"/>
  <c r="V975" i="4"/>
  <c r="AY976" i="2" s="1"/>
  <c r="V974" i="4"/>
  <c r="AY975" i="2" s="1"/>
  <c r="V973" i="4"/>
  <c r="AY974" i="2" s="1"/>
  <c r="V972" i="4"/>
  <c r="AY973" i="2" s="1"/>
  <c r="V971" i="4"/>
  <c r="AY972" i="2" s="1"/>
  <c r="V970" i="4"/>
  <c r="AY971" i="2" s="1"/>
  <c r="V969" i="4"/>
  <c r="AY970" i="2" s="1"/>
  <c r="V968" i="4"/>
  <c r="AY969" i="2" s="1"/>
  <c r="V967" i="4"/>
  <c r="AY968" i="2" s="1"/>
  <c r="V966" i="4"/>
  <c r="AY967" i="2" s="1"/>
  <c r="V965" i="4"/>
  <c r="AY966" i="2" s="1"/>
  <c r="V964" i="4"/>
  <c r="AY965" i="2" s="1"/>
  <c r="V963" i="4"/>
  <c r="AY964" i="2" s="1"/>
  <c r="V962" i="4"/>
  <c r="AY963" i="2" s="1"/>
  <c r="V961" i="4"/>
  <c r="AY962" i="2" s="1"/>
  <c r="V960" i="4"/>
  <c r="AY961" i="2" s="1"/>
  <c r="V959" i="4"/>
  <c r="AY960" i="2" s="1"/>
  <c r="V958" i="4"/>
  <c r="AY959" i="2" s="1"/>
  <c r="V957" i="4"/>
  <c r="AY958" i="2" s="1"/>
  <c r="V956" i="4"/>
  <c r="AY957" i="2" s="1"/>
  <c r="V955" i="4"/>
  <c r="AY956" i="2" s="1"/>
  <c r="V954" i="4"/>
  <c r="AY955" i="2" s="1"/>
  <c r="V953" i="4"/>
  <c r="AY954" i="2" s="1"/>
  <c r="V952" i="4"/>
  <c r="AY953" i="2" s="1"/>
  <c r="V951" i="4"/>
  <c r="AY952" i="2" s="1"/>
  <c r="V950" i="4"/>
  <c r="AY951" i="2" s="1"/>
  <c r="V949" i="4"/>
  <c r="AY950" i="2" s="1"/>
  <c r="V948" i="4"/>
  <c r="AY949" i="2" s="1"/>
  <c r="V947" i="4"/>
  <c r="AY948" i="2" s="1"/>
  <c r="V946" i="4"/>
  <c r="AY947" i="2" s="1"/>
  <c r="V945" i="4"/>
  <c r="AY946" i="2" s="1"/>
  <c r="V944" i="4"/>
  <c r="AY945" i="2" s="1"/>
  <c r="V943" i="4"/>
  <c r="AY944" i="2" s="1"/>
  <c r="V942" i="4"/>
  <c r="AY943" i="2" s="1"/>
  <c r="V941" i="4"/>
  <c r="AY942" i="2" s="1"/>
  <c r="V940" i="4"/>
  <c r="AY941" i="2" s="1"/>
  <c r="V939" i="4"/>
  <c r="AY940" i="2" s="1"/>
  <c r="V938" i="4"/>
  <c r="AY939" i="2" s="1"/>
  <c r="V937" i="4"/>
  <c r="AY938" i="2" s="1"/>
  <c r="V936" i="4"/>
  <c r="AY937" i="2" s="1"/>
  <c r="V935" i="4"/>
  <c r="AY936" i="2" s="1"/>
  <c r="V934" i="4"/>
  <c r="AY935" i="2" s="1"/>
  <c r="V933" i="4"/>
  <c r="AY934" i="2" s="1"/>
  <c r="V932" i="4"/>
  <c r="AY933" i="2" s="1"/>
  <c r="V931" i="4"/>
  <c r="AY932" i="2" s="1"/>
  <c r="V930" i="4"/>
  <c r="AY931" i="2" s="1"/>
  <c r="V929" i="4"/>
  <c r="AY930" i="2" s="1"/>
  <c r="V928" i="4"/>
  <c r="AY929" i="2" s="1"/>
  <c r="V927" i="4"/>
  <c r="AY928" i="2" s="1"/>
  <c r="V926" i="4"/>
  <c r="AY927" i="2" s="1"/>
  <c r="V925" i="4"/>
  <c r="AY926" i="2" s="1"/>
  <c r="V924" i="4"/>
  <c r="AY925" i="2" s="1"/>
  <c r="V923" i="4"/>
  <c r="AY924" i="2" s="1"/>
  <c r="V922" i="4"/>
  <c r="AY923" i="2" s="1"/>
  <c r="V921" i="4"/>
  <c r="AY922" i="2" s="1"/>
  <c r="V920" i="4"/>
  <c r="AY921" i="2" s="1"/>
  <c r="V919" i="4"/>
  <c r="AY920" i="2" s="1"/>
  <c r="V918" i="4"/>
  <c r="AY919" i="2" s="1"/>
  <c r="V917" i="4"/>
  <c r="AY918" i="2" s="1"/>
  <c r="V916" i="4"/>
  <c r="AY917" i="2" s="1"/>
  <c r="V915" i="4"/>
  <c r="AY916" i="2" s="1"/>
  <c r="V914" i="4"/>
  <c r="AY915" i="2" s="1"/>
  <c r="V913" i="4"/>
  <c r="AY914" i="2" s="1"/>
  <c r="V912" i="4"/>
  <c r="AY913" i="2" s="1"/>
  <c r="V911" i="4"/>
  <c r="AY912" i="2" s="1"/>
  <c r="V910" i="4"/>
  <c r="AY911" i="2" s="1"/>
  <c r="V909" i="4"/>
  <c r="AY910" i="2" s="1"/>
  <c r="V908" i="4"/>
  <c r="AY909" i="2" s="1"/>
  <c r="V907" i="4"/>
  <c r="AY908" i="2" s="1"/>
  <c r="V906" i="4"/>
  <c r="AY907" i="2" s="1"/>
  <c r="V905" i="4"/>
  <c r="AY906" i="2" s="1"/>
  <c r="V904" i="4"/>
  <c r="AY905" i="2" s="1"/>
  <c r="V903" i="4"/>
  <c r="AY904" i="2" s="1"/>
  <c r="V902" i="4"/>
  <c r="AY903" i="2" s="1"/>
  <c r="V901" i="4"/>
  <c r="AY902" i="2" s="1"/>
  <c r="V900" i="4"/>
  <c r="AY901" i="2" s="1"/>
  <c r="V899" i="4"/>
  <c r="AY900" i="2" s="1"/>
  <c r="V898" i="4"/>
  <c r="AY899" i="2" s="1"/>
  <c r="V897" i="4"/>
  <c r="AY898" i="2" s="1"/>
  <c r="V896" i="4"/>
  <c r="AY897" i="2" s="1"/>
  <c r="V895" i="4"/>
  <c r="AY896" i="2" s="1"/>
  <c r="V894" i="4"/>
  <c r="AY895" i="2" s="1"/>
  <c r="V893" i="4"/>
  <c r="AY894" i="2" s="1"/>
  <c r="V892" i="4"/>
  <c r="AY893" i="2" s="1"/>
  <c r="V891" i="4"/>
  <c r="AY892" i="2" s="1"/>
  <c r="V890" i="4"/>
  <c r="AY891" i="2" s="1"/>
  <c r="V889" i="4"/>
  <c r="AY890" i="2" s="1"/>
  <c r="V888" i="4"/>
  <c r="AY889" i="2" s="1"/>
  <c r="V887" i="4"/>
  <c r="AY888" i="2" s="1"/>
  <c r="V886" i="4"/>
  <c r="AY887" i="2" s="1"/>
  <c r="V885" i="4"/>
  <c r="AY886" i="2" s="1"/>
  <c r="V884" i="4"/>
  <c r="AY885" i="2" s="1"/>
  <c r="V883" i="4"/>
  <c r="AY884" i="2" s="1"/>
  <c r="V882" i="4"/>
  <c r="AY883" i="2" s="1"/>
  <c r="V881" i="4"/>
  <c r="AY882" i="2" s="1"/>
  <c r="V880" i="4"/>
  <c r="AY881" i="2" s="1"/>
  <c r="V879" i="4"/>
  <c r="AY880" i="2" s="1"/>
  <c r="V878" i="4"/>
  <c r="AY879" i="2" s="1"/>
  <c r="V877" i="4"/>
  <c r="AY878" i="2" s="1"/>
  <c r="V876" i="4"/>
  <c r="AY877" i="2" s="1"/>
  <c r="V875" i="4"/>
  <c r="AY876" i="2" s="1"/>
  <c r="V874" i="4"/>
  <c r="AY875" i="2" s="1"/>
  <c r="V873" i="4"/>
  <c r="AY874" i="2" s="1"/>
  <c r="V872" i="4"/>
  <c r="AY873" i="2" s="1"/>
  <c r="V871" i="4"/>
  <c r="AY872" i="2" s="1"/>
  <c r="V870" i="4"/>
  <c r="AY871" i="2" s="1"/>
  <c r="V869" i="4"/>
  <c r="AY870" i="2" s="1"/>
  <c r="V868" i="4"/>
  <c r="AY869" i="2" s="1"/>
  <c r="V867" i="4"/>
  <c r="AY868" i="2" s="1"/>
  <c r="V866" i="4"/>
  <c r="AY867" i="2" s="1"/>
  <c r="V865" i="4"/>
  <c r="AY866" i="2" s="1"/>
  <c r="V864" i="4"/>
  <c r="AY865" i="2" s="1"/>
  <c r="V863" i="4"/>
  <c r="AY864" i="2" s="1"/>
  <c r="V862" i="4"/>
  <c r="AY863" i="2" s="1"/>
  <c r="V861" i="4"/>
  <c r="AY862" i="2" s="1"/>
  <c r="V860" i="4"/>
  <c r="AY861" i="2" s="1"/>
  <c r="V859" i="4"/>
  <c r="AY860" i="2" s="1"/>
  <c r="V858" i="4"/>
  <c r="AY859" i="2" s="1"/>
  <c r="V857" i="4"/>
  <c r="AY858" i="2" s="1"/>
  <c r="V856" i="4"/>
  <c r="AY857" i="2" s="1"/>
  <c r="V855" i="4"/>
  <c r="AY856" i="2" s="1"/>
  <c r="V854" i="4"/>
  <c r="AY855" i="2" s="1"/>
  <c r="V853" i="4"/>
  <c r="AY854" i="2" s="1"/>
  <c r="V852" i="4"/>
  <c r="AY853" i="2" s="1"/>
  <c r="V851" i="4"/>
  <c r="AY852" i="2" s="1"/>
  <c r="V850" i="4"/>
  <c r="AY851" i="2" s="1"/>
  <c r="V849" i="4"/>
  <c r="AY850" i="2" s="1"/>
  <c r="V848" i="4"/>
  <c r="AY849" i="2" s="1"/>
  <c r="V847" i="4"/>
  <c r="AY848" i="2" s="1"/>
  <c r="V846" i="4"/>
  <c r="AY847" i="2" s="1"/>
  <c r="V845" i="4"/>
  <c r="AY846" i="2" s="1"/>
  <c r="V844" i="4"/>
  <c r="AY845" i="2" s="1"/>
  <c r="V843" i="4"/>
  <c r="AY844" i="2" s="1"/>
  <c r="V842" i="4"/>
  <c r="AY843" i="2" s="1"/>
  <c r="V841" i="4"/>
  <c r="AY842" i="2" s="1"/>
  <c r="V840" i="4"/>
  <c r="AY841" i="2" s="1"/>
  <c r="V839" i="4"/>
  <c r="AY840" i="2" s="1"/>
  <c r="V838" i="4"/>
  <c r="AY839" i="2" s="1"/>
  <c r="V837" i="4"/>
  <c r="AY838" i="2" s="1"/>
  <c r="V836" i="4"/>
  <c r="AY837" i="2" s="1"/>
  <c r="V835" i="4"/>
  <c r="AY836" i="2" s="1"/>
  <c r="V834" i="4"/>
  <c r="AY835" i="2" s="1"/>
  <c r="V833" i="4"/>
  <c r="AY834" i="2" s="1"/>
  <c r="V832" i="4"/>
  <c r="AY833" i="2" s="1"/>
  <c r="V831" i="4"/>
  <c r="AY832" i="2" s="1"/>
  <c r="V830" i="4"/>
  <c r="AY831" i="2" s="1"/>
  <c r="V829" i="4"/>
  <c r="AY830" i="2" s="1"/>
  <c r="V828" i="4"/>
  <c r="AY829" i="2" s="1"/>
  <c r="V827" i="4"/>
  <c r="AY828" i="2" s="1"/>
  <c r="V826" i="4"/>
  <c r="AY827" i="2" s="1"/>
  <c r="V825" i="4"/>
  <c r="AY826" i="2" s="1"/>
  <c r="V824" i="4"/>
  <c r="AY825" i="2" s="1"/>
  <c r="V823" i="4"/>
  <c r="AY824" i="2" s="1"/>
  <c r="V822" i="4"/>
  <c r="AY823" i="2" s="1"/>
  <c r="V821" i="4"/>
  <c r="AY822" i="2" s="1"/>
  <c r="V820" i="4"/>
  <c r="AY821" i="2" s="1"/>
  <c r="V819" i="4"/>
  <c r="AY820" i="2" s="1"/>
  <c r="V818" i="4"/>
  <c r="AY819" i="2" s="1"/>
  <c r="V817" i="4"/>
  <c r="AY818" i="2" s="1"/>
  <c r="V816" i="4"/>
  <c r="AY817" i="2" s="1"/>
  <c r="V815" i="4"/>
  <c r="AY816" i="2" s="1"/>
  <c r="V814" i="4"/>
  <c r="AY815" i="2" s="1"/>
  <c r="V813" i="4"/>
  <c r="AY814" i="2" s="1"/>
  <c r="V812" i="4"/>
  <c r="AY813" i="2" s="1"/>
  <c r="V811" i="4"/>
  <c r="AY812" i="2" s="1"/>
  <c r="V810" i="4"/>
  <c r="AY811" i="2" s="1"/>
  <c r="V809" i="4"/>
  <c r="AY810" i="2" s="1"/>
  <c r="V808" i="4"/>
  <c r="AY809" i="2" s="1"/>
  <c r="V807" i="4"/>
  <c r="AY808" i="2" s="1"/>
  <c r="V806" i="4"/>
  <c r="AY807" i="2" s="1"/>
  <c r="V805" i="4"/>
  <c r="AY806" i="2" s="1"/>
  <c r="V804" i="4"/>
  <c r="AY805" i="2" s="1"/>
  <c r="V803" i="4"/>
  <c r="AY804" i="2" s="1"/>
  <c r="V802" i="4"/>
  <c r="AY803" i="2" s="1"/>
  <c r="V801" i="4"/>
  <c r="AY802" i="2" s="1"/>
  <c r="V800" i="4"/>
  <c r="AY801" i="2" s="1"/>
  <c r="V799" i="4"/>
  <c r="AY800" i="2" s="1"/>
  <c r="V798" i="4"/>
  <c r="AY799" i="2" s="1"/>
  <c r="V797" i="4"/>
  <c r="AY798" i="2" s="1"/>
  <c r="V796" i="4"/>
  <c r="AY797" i="2" s="1"/>
  <c r="V795" i="4"/>
  <c r="AY796" i="2" s="1"/>
  <c r="V794" i="4"/>
  <c r="AY795" i="2" s="1"/>
  <c r="V793" i="4"/>
  <c r="AY794" i="2" s="1"/>
  <c r="V792" i="4"/>
  <c r="AY793" i="2" s="1"/>
  <c r="V791" i="4"/>
  <c r="AY792" i="2" s="1"/>
  <c r="V790" i="4"/>
  <c r="AY791" i="2" s="1"/>
  <c r="V789" i="4"/>
  <c r="AY790" i="2" s="1"/>
  <c r="V788" i="4"/>
  <c r="AY789" i="2" s="1"/>
  <c r="V787" i="4"/>
  <c r="AY788" i="2" s="1"/>
  <c r="V786" i="4"/>
  <c r="AY787" i="2" s="1"/>
  <c r="V785" i="4"/>
  <c r="AY786" i="2" s="1"/>
  <c r="V784" i="4"/>
  <c r="AY785" i="2" s="1"/>
  <c r="V783" i="4"/>
  <c r="AY784" i="2" s="1"/>
  <c r="V782" i="4"/>
  <c r="AY783" i="2" s="1"/>
  <c r="V781" i="4"/>
  <c r="AY782" i="2" s="1"/>
  <c r="V780" i="4"/>
  <c r="AY781" i="2" s="1"/>
  <c r="V779" i="4"/>
  <c r="AY780" i="2" s="1"/>
  <c r="V778" i="4"/>
  <c r="AY779" i="2" s="1"/>
  <c r="V777" i="4"/>
  <c r="AY778" i="2" s="1"/>
  <c r="V776" i="4"/>
  <c r="AY777" i="2" s="1"/>
  <c r="V775" i="4"/>
  <c r="AY776" i="2" s="1"/>
  <c r="V774" i="4"/>
  <c r="AY775" i="2" s="1"/>
  <c r="V773" i="4"/>
  <c r="AY774" i="2" s="1"/>
  <c r="V772" i="4"/>
  <c r="AY773" i="2" s="1"/>
  <c r="V771" i="4"/>
  <c r="AY772" i="2" s="1"/>
  <c r="V770" i="4"/>
  <c r="AY771" i="2" s="1"/>
  <c r="V769" i="4"/>
  <c r="AY770" i="2" s="1"/>
  <c r="V768" i="4"/>
  <c r="AY769" i="2" s="1"/>
  <c r="V767" i="4"/>
  <c r="AY768" i="2" s="1"/>
  <c r="V766" i="4"/>
  <c r="AY767" i="2" s="1"/>
  <c r="V765" i="4"/>
  <c r="AY766" i="2" s="1"/>
  <c r="V764" i="4"/>
  <c r="AY765" i="2" s="1"/>
  <c r="V763" i="4"/>
  <c r="AY764" i="2" s="1"/>
  <c r="V762" i="4"/>
  <c r="AY763" i="2" s="1"/>
  <c r="V761" i="4"/>
  <c r="AY762" i="2" s="1"/>
  <c r="V760" i="4"/>
  <c r="AY761" i="2" s="1"/>
  <c r="V759" i="4"/>
  <c r="AY760" i="2" s="1"/>
  <c r="V758" i="4"/>
  <c r="AY759" i="2" s="1"/>
  <c r="V757" i="4"/>
  <c r="AY758" i="2" s="1"/>
  <c r="V756" i="4"/>
  <c r="AY757" i="2" s="1"/>
  <c r="V755" i="4"/>
  <c r="AY756" i="2" s="1"/>
  <c r="V754" i="4"/>
  <c r="AY755" i="2" s="1"/>
  <c r="V753" i="4"/>
  <c r="AY754" i="2" s="1"/>
  <c r="V752" i="4"/>
  <c r="AY753" i="2" s="1"/>
  <c r="V751" i="4"/>
  <c r="AY752" i="2" s="1"/>
  <c r="V750" i="4"/>
  <c r="AY751" i="2" s="1"/>
  <c r="V749" i="4"/>
  <c r="AY750" i="2" s="1"/>
  <c r="V748" i="4"/>
  <c r="AY749" i="2" s="1"/>
  <c r="V747" i="4"/>
  <c r="AY748" i="2" s="1"/>
  <c r="V746" i="4"/>
  <c r="AY747" i="2" s="1"/>
  <c r="V745" i="4"/>
  <c r="AY746" i="2" s="1"/>
  <c r="V744" i="4"/>
  <c r="AY745" i="2" s="1"/>
  <c r="V743" i="4"/>
  <c r="AY744" i="2" s="1"/>
  <c r="V742" i="4"/>
  <c r="AY743" i="2" s="1"/>
  <c r="V741" i="4"/>
  <c r="AY742" i="2" s="1"/>
  <c r="V740" i="4"/>
  <c r="AY741" i="2" s="1"/>
  <c r="V739" i="4"/>
  <c r="AY740" i="2" s="1"/>
  <c r="V738" i="4"/>
  <c r="AY739" i="2" s="1"/>
  <c r="V737" i="4"/>
  <c r="AY738" i="2" s="1"/>
  <c r="V736" i="4"/>
  <c r="AY737" i="2" s="1"/>
  <c r="V735" i="4"/>
  <c r="AY736" i="2" s="1"/>
  <c r="V734" i="4"/>
  <c r="AY735" i="2" s="1"/>
  <c r="V733" i="4"/>
  <c r="AY734" i="2" s="1"/>
  <c r="V732" i="4"/>
  <c r="AY733" i="2" s="1"/>
  <c r="V731" i="4"/>
  <c r="AY732" i="2" s="1"/>
  <c r="V730" i="4"/>
  <c r="AY731" i="2" s="1"/>
  <c r="V729" i="4"/>
  <c r="AY730" i="2" s="1"/>
  <c r="V728" i="4"/>
  <c r="AY729" i="2" s="1"/>
  <c r="V727" i="4"/>
  <c r="AY728" i="2" s="1"/>
  <c r="V726" i="4"/>
  <c r="AY727" i="2" s="1"/>
  <c r="V725" i="4"/>
  <c r="AY726" i="2" s="1"/>
  <c r="V724" i="4"/>
  <c r="AY725" i="2" s="1"/>
  <c r="V723" i="4"/>
  <c r="AY724" i="2" s="1"/>
  <c r="V722" i="4"/>
  <c r="AY723" i="2" s="1"/>
  <c r="V721" i="4"/>
  <c r="AY722" i="2" s="1"/>
  <c r="V720" i="4"/>
  <c r="AY721" i="2" s="1"/>
  <c r="V719" i="4"/>
  <c r="AY720" i="2" s="1"/>
  <c r="V718" i="4"/>
  <c r="AY719" i="2" s="1"/>
  <c r="V717" i="4"/>
  <c r="AY718" i="2" s="1"/>
  <c r="V716" i="4"/>
  <c r="AY717" i="2" s="1"/>
  <c r="V715" i="4"/>
  <c r="AY716" i="2" s="1"/>
  <c r="V714" i="4"/>
  <c r="AY715" i="2" s="1"/>
  <c r="V713" i="4"/>
  <c r="AY714" i="2" s="1"/>
  <c r="V712" i="4"/>
  <c r="AY713" i="2" s="1"/>
  <c r="V711" i="4"/>
  <c r="AY712" i="2" s="1"/>
  <c r="V710" i="4"/>
  <c r="AY711" i="2" s="1"/>
  <c r="V709" i="4"/>
  <c r="AY710" i="2" s="1"/>
  <c r="V708" i="4"/>
  <c r="AY709" i="2" s="1"/>
  <c r="V707" i="4"/>
  <c r="AY708" i="2" s="1"/>
  <c r="V706" i="4"/>
  <c r="AY707" i="2" s="1"/>
  <c r="V705" i="4"/>
  <c r="AY706" i="2" s="1"/>
  <c r="V704" i="4"/>
  <c r="AY705" i="2" s="1"/>
  <c r="V703" i="4"/>
  <c r="AY704" i="2" s="1"/>
  <c r="V702" i="4"/>
  <c r="AY703" i="2" s="1"/>
  <c r="V701" i="4"/>
  <c r="AY702" i="2" s="1"/>
  <c r="V700" i="4"/>
  <c r="AY701" i="2" s="1"/>
  <c r="V699" i="4"/>
  <c r="AY700" i="2" s="1"/>
  <c r="V698" i="4"/>
  <c r="AY699" i="2" s="1"/>
  <c r="V697" i="4"/>
  <c r="AY698" i="2" s="1"/>
  <c r="V696" i="4"/>
  <c r="AY697" i="2" s="1"/>
  <c r="V695" i="4"/>
  <c r="AY696" i="2" s="1"/>
  <c r="V694" i="4"/>
  <c r="AY695" i="2" s="1"/>
  <c r="V693" i="4"/>
  <c r="AY694" i="2" s="1"/>
  <c r="V692" i="4"/>
  <c r="AY693" i="2" s="1"/>
  <c r="V691" i="4"/>
  <c r="AY692" i="2" s="1"/>
  <c r="V690" i="4"/>
  <c r="AY691" i="2" s="1"/>
  <c r="V689" i="4"/>
  <c r="AY690" i="2" s="1"/>
  <c r="V688" i="4"/>
  <c r="AY689" i="2" s="1"/>
  <c r="V687" i="4"/>
  <c r="AY688" i="2" s="1"/>
  <c r="V686" i="4"/>
  <c r="AY687" i="2" s="1"/>
  <c r="V685" i="4"/>
  <c r="AY686" i="2" s="1"/>
  <c r="V684" i="4"/>
  <c r="AY685" i="2" s="1"/>
  <c r="V683" i="4"/>
  <c r="AY684" i="2" s="1"/>
  <c r="V682" i="4"/>
  <c r="AY683" i="2" s="1"/>
  <c r="V681" i="4"/>
  <c r="AY682" i="2" s="1"/>
  <c r="V680" i="4"/>
  <c r="AY681" i="2" s="1"/>
  <c r="V679" i="4"/>
  <c r="AY680" i="2" s="1"/>
  <c r="V678" i="4"/>
  <c r="AY679" i="2" s="1"/>
  <c r="V677" i="4"/>
  <c r="AY678" i="2" s="1"/>
  <c r="V676" i="4"/>
  <c r="AY677" i="2" s="1"/>
  <c r="V675" i="4"/>
  <c r="AY676" i="2" s="1"/>
  <c r="V674" i="4"/>
  <c r="AY675" i="2" s="1"/>
  <c r="V673" i="4"/>
  <c r="AY674" i="2" s="1"/>
  <c r="V672" i="4"/>
  <c r="AY673" i="2" s="1"/>
  <c r="V671" i="4"/>
  <c r="AY672" i="2" s="1"/>
  <c r="V670" i="4"/>
  <c r="AY671" i="2" s="1"/>
  <c r="V669" i="4"/>
  <c r="AY670" i="2" s="1"/>
  <c r="V668" i="4"/>
  <c r="AY669" i="2" s="1"/>
  <c r="V667" i="4"/>
  <c r="AY668" i="2" s="1"/>
  <c r="V666" i="4"/>
  <c r="AY667" i="2" s="1"/>
  <c r="V665" i="4"/>
  <c r="AY666" i="2" s="1"/>
  <c r="V664" i="4"/>
  <c r="AY665" i="2" s="1"/>
  <c r="V663" i="4"/>
  <c r="AY664" i="2" s="1"/>
  <c r="V662" i="4"/>
  <c r="AY663" i="2" s="1"/>
  <c r="V661" i="4"/>
  <c r="AY662" i="2" s="1"/>
  <c r="V660" i="4"/>
  <c r="AY661" i="2" s="1"/>
  <c r="V659" i="4"/>
  <c r="AY660" i="2" s="1"/>
  <c r="V658" i="4"/>
  <c r="AY659" i="2" s="1"/>
  <c r="V657" i="4"/>
  <c r="AY658" i="2" s="1"/>
  <c r="V656" i="4"/>
  <c r="AY657" i="2" s="1"/>
  <c r="V655" i="4"/>
  <c r="AY656" i="2" s="1"/>
  <c r="V654" i="4"/>
  <c r="AY655" i="2" s="1"/>
  <c r="V653" i="4"/>
  <c r="AY654" i="2" s="1"/>
  <c r="V652" i="4"/>
  <c r="AY653" i="2" s="1"/>
  <c r="V651" i="4"/>
  <c r="AY652" i="2" s="1"/>
  <c r="V650" i="4"/>
  <c r="AY651" i="2" s="1"/>
  <c r="V649" i="4"/>
  <c r="AY650" i="2" s="1"/>
  <c r="V648" i="4"/>
  <c r="AY649" i="2" s="1"/>
  <c r="V647" i="4"/>
  <c r="AY648" i="2" s="1"/>
  <c r="V646" i="4"/>
  <c r="AY647" i="2" s="1"/>
  <c r="V645" i="4"/>
  <c r="AY646" i="2" s="1"/>
  <c r="V644" i="4"/>
  <c r="AY645" i="2" s="1"/>
  <c r="V643" i="4"/>
  <c r="AY644" i="2" s="1"/>
  <c r="V642" i="4"/>
  <c r="AY643" i="2" s="1"/>
  <c r="V641" i="4"/>
  <c r="AY642" i="2" s="1"/>
  <c r="V640" i="4"/>
  <c r="AY641" i="2" s="1"/>
  <c r="V639" i="4"/>
  <c r="AY640" i="2" s="1"/>
  <c r="V638" i="4"/>
  <c r="AY639" i="2" s="1"/>
  <c r="V637" i="4"/>
  <c r="AY638" i="2" s="1"/>
  <c r="V636" i="4"/>
  <c r="AY637" i="2" s="1"/>
  <c r="V635" i="4"/>
  <c r="AY636" i="2" s="1"/>
  <c r="V634" i="4"/>
  <c r="AY635" i="2" s="1"/>
  <c r="V633" i="4"/>
  <c r="AY634" i="2" s="1"/>
  <c r="V632" i="4"/>
  <c r="AY633" i="2" s="1"/>
  <c r="V631" i="4"/>
  <c r="AY632" i="2" s="1"/>
  <c r="V630" i="4"/>
  <c r="AY631" i="2" s="1"/>
  <c r="V629" i="4"/>
  <c r="AY630" i="2" s="1"/>
  <c r="V628" i="4"/>
  <c r="AY629" i="2" s="1"/>
  <c r="V627" i="4"/>
  <c r="AY628" i="2" s="1"/>
  <c r="V626" i="4"/>
  <c r="AY627" i="2" s="1"/>
  <c r="V625" i="4"/>
  <c r="AY626" i="2" s="1"/>
  <c r="V624" i="4"/>
  <c r="AY625" i="2" s="1"/>
  <c r="V623" i="4"/>
  <c r="AY624" i="2" s="1"/>
  <c r="V622" i="4"/>
  <c r="AY623" i="2" s="1"/>
  <c r="V621" i="4"/>
  <c r="AY622" i="2" s="1"/>
  <c r="V620" i="4"/>
  <c r="AY621" i="2" s="1"/>
  <c r="V619" i="4"/>
  <c r="AY620" i="2" s="1"/>
  <c r="V618" i="4"/>
  <c r="AY619" i="2" s="1"/>
  <c r="V617" i="4"/>
  <c r="AY618" i="2" s="1"/>
  <c r="V616" i="4"/>
  <c r="AY617" i="2" s="1"/>
  <c r="V615" i="4"/>
  <c r="AY616" i="2" s="1"/>
  <c r="V614" i="4"/>
  <c r="AY615" i="2" s="1"/>
  <c r="V613" i="4"/>
  <c r="AY614" i="2" s="1"/>
  <c r="V612" i="4"/>
  <c r="AY613" i="2" s="1"/>
  <c r="V611" i="4"/>
  <c r="AY612" i="2" s="1"/>
  <c r="V610" i="4"/>
  <c r="AY611" i="2" s="1"/>
  <c r="V609" i="4"/>
  <c r="AY610" i="2" s="1"/>
  <c r="V608" i="4"/>
  <c r="AY609" i="2" s="1"/>
  <c r="V607" i="4"/>
  <c r="AY608" i="2" s="1"/>
  <c r="V606" i="4"/>
  <c r="AY607" i="2" s="1"/>
  <c r="V605" i="4"/>
  <c r="AY606" i="2" s="1"/>
  <c r="V604" i="4"/>
  <c r="AY605" i="2" s="1"/>
  <c r="V603" i="4"/>
  <c r="AY604" i="2" s="1"/>
  <c r="V602" i="4"/>
  <c r="AY603" i="2" s="1"/>
  <c r="V601" i="4"/>
  <c r="AY602" i="2" s="1"/>
  <c r="V600" i="4"/>
  <c r="AY601" i="2" s="1"/>
  <c r="V599" i="4"/>
  <c r="AY600" i="2" s="1"/>
  <c r="V598" i="4"/>
  <c r="AY599" i="2" s="1"/>
  <c r="V597" i="4"/>
  <c r="AY598" i="2" s="1"/>
  <c r="V596" i="4"/>
  <c r="AY597" i="2" s="1"/>
  <c r="V595" i="4"/>
  <c r="AY596" i="2" s="1"/>
  <c r="V594" i="4"/>
  <c r="AY595" i="2" s="1"/>
  <c r="V593" i="4"/>
  <c r="AY594" i="2" s="1"/>
  <c r="V592" i="4"/>
  <c r="AY593" i="2" s="1"/>
  <c r="V591" i="4"/>
  <c r="AY592" i="2" s="1"/>
  <c r="V590" i="4"/>
  <c r="AY591" i="2" s="1"/>
  <c r="V589" i="4"/>
  <c r="AY590" i="2" s="1"/>
  <c r="V588" i="4"/>
  <c r="AY589" i="2" s="1"/>
  <c r="V587" i="4"/>
  <c r="AY588" i="2" s="1"/>
  <c r="V586" i="4"/>
  <c r="AY587" i="2" s="1"/>
  <c r="V585" i="4"/>
  <c r="AY586" i="2" s="1"/>
  <c r="V584" i="4"/>
  <c r="AY585" i="2" s="1"/>
  <c r="V583" i="4"/>
  <c r="AY584" i="2" s="1"/>
  <c r="V582" i="4"/>
  <c r="AY583" i="2" s="1"/>
  <c r="V581" i="4"/>
  <c r="AY582" i="2" s="1"/>
  <c r="V580" i="4"/>
  <c r="AY581" i="2" s="1"/>
  <c r="V579" i="4"/>
  <c r="AY580" i="2" s="1"/>
  <c r="V578" i="4"/>
  <c r="AY579" i="2" s="1"/>
  <c r="V577" i="4"/>
  <c r="AY578" i="2" s="1"/>
  <c r="V576" i="4"/>
  <c r="AY577" i="2" s="1"/>
  <c r="V575" i="4"/>
  <c r="AY576" i="2" s="1"/>
  <c r="V574" i="4"/>
  <c r="AY575" i="2" s="1"/>
  <c r="V573" i="4"/>
  <c r="AY574" i="2" s="1"/>
  <c r="V572" i="4"/>
  <c r="AY573" i="2" s="1"/>
  <c r="V571" i="4"/>
  <c r="AY572" i="2" s="1"/>
  <c r="V570" i="4"/>
  <c r="AY571" i="2" s="1"/>
  <c r="V569" i="4"/>
  <c r="AY570" i="2" s="1"/>
  <c r="V568" i="4"/>
  <c r="AY569" i="2" s="1"/>
  <c r="V567" i="4"/>
  <c r="AY568" i="2" s="1"/>
  <c r="V566" i="4"/>
  <c r="AY567" i="2" s="1"/>
  <c r="V565" i="4"/>
  <c r="AY566" i="2" s="1"/>
  <c r="V564" i="4"/>
  <c r="AY565" i="2" s="1"/>
  <c r="V563" i="4"/>
  <c r="AY564" i="2" s="1"/>
  <c r="V562" i="4"/>
  <c r="AY563" i="2" s="1"/>
  <c r="V561" i="4"/>
  <c r="AY562" i="2" s="1"/>
  <c r="V560" i="4"/>
  <c r="AY561" i="2" s="1"/>
  <c r="V559" i="4"/>
  <c r="AY560" i="2" s="1"/>
  <c r="V558" i="4"/>
  <c r="AY559" i="2" s="1"/>
  <c r="V557" i="4"/>
  <c r="AY558" i="2" s="1"/>
  <c r="V556" i="4"/>
  <c r="AY557" i="2" s="1"/>
  <c r="V555" i="4"/>
  <c r="AY556" i="2" s="1"/>
  <c r="V554" i="4"/>
  <c r="AY555" i="2" s="1"/>
  <c r="V553" i="4"/>
  <c r="AY554" i="2" s="1"/>
  <c r="V552" i="4"/>
  <c r="AY553" i="2" s="1"/>
  <c r="V551" i="4"/>
  <c r="AY552" i="2" s="1"/>
  <c r="V550" i="4"/>
  <c r="AY551" i="2" s="1"/>
  <c r="V549" i="4"/>
  <c r="AY550" i="2" s="1"/>
  <c r="V548" i="4"/>
  <c r="AY549" i="2" s="1"/>
  <c r="V547" i="4"/>
  <c r="AY548" i="2" s="1"/>
  <c r="V546" i="4"/>
  <c r="AY547" i="2" s="1"/>
  <c r="V545" i="4"/>
  <c r="AY546" i="2" s="1"/>
  <c r="V544" i="4"/>
  <c r="AY545" i="2" s="1"/>
  <c r="V543" i="4"/>
  <c r="AY544" i="2" s="1"/>
  <c r="V542" i="4"/>
  <c r="AY543" i="2" s="1"/>
  <c r="V541" i="4"/>
  <c r="AY542" i="2" s="1"/>
  <c r="V540" i="4"/>
  <c r="AY541" i="2" s="1"/>
  <c r="V539" i="4"/>
  <c r="AY540" i="2" s="1"/>
  <c r="V538" i="4"/>
  <c r="AY539" i="2" s="1"/>
  <c r="V537" i="4"/>
  <c r="AY538" i="2" s="1"/>
  <c r="V536" i="4"/>
  <c r="AY537" i="2" s="1"/>
  <c r="V535" i="4"/>
  <c r="AY536" i="2" s="1"/>
  <c r="V534" i="4"/>
  <c r="AY535" i="2" s="1"/>
  <c r="V533" i="4"/>
  <c r="AY534" i="2" s="1"/>
  <c r="V532" i="4"/>
  <c r="AY533" i="2" s="1"/>
  <c r="V531" i="4"/>
  <c r="AY532" i="2" s="1"/>
  <c r="V530" i="4"/>
  <c r="AY531" i="2" s="1"/>
  <c r="V529" i="4"/>
  <c r="AY530" i="2" s="1"/>
  <c r="V528" i="4"/>
  <c r="AY529" i="2" s="1"/>
  <c r="V527" i="4"/>
  <c r="AY528" i="2" s="1"/>
  <c r="V526" i="4"/>
  <c r="AY527" i="2" s="1"/>
  <c r="V525" i="4"/>
  <c r="AY526" i="2" s="1"/>
  <c r="V524" i="4"/>
  <c r="AY525" i="2" s="1"/>
  <c r="V523" i="4"/>
  <c r="AY524" i="2" s="1"/>
  <c r="V522" i="4"/>
  <c r="AY523" i="2" s="1"/>
  <c r="V521" i="4"/>
  <c r="AY522" i="2" s="1"/>
  <c r="V520" i="4"/>
  <c r="AY521" i="2" s="1"/>
  <c r="V519" i="4"/>
  <c r="AY520" i="2" s="1"/>
  <c r="V518" i="4"/>
  <c r="AY519" i="2" s="1"/>
  <c r="V517" i="4"/>
  <c r="AY518" i="2" s="1"/>
  <c r="V516" i="4"/>
  <c r="AY517" i="2" s="1"/>
  <c r="V515" i="4"/>
  <c r="AY516" i="2" s="1"/>
  <c r="V514" i="4"/>
  <c r="AY515" i="2" s="1"/>
  <c r="V513" i="4"/>
  <c r="AY514" i="2" s="1"/>
  <c r="V512" i="4"/>
  <c r="AY513" i="2" s="1"/>
  <c r="V511" i="4"/>
  <c r="AY512" i="2" s="1"/>
  <c r="V510" i="4"/>
  <c r="AY511" i="2" s="1"/>
  <c r="V509" i="4"/>
  <c r="AY510" i="2" s="1"/>
  <c r="V508" i="4"/>
  <c r="AY509" i="2" s="1"/>
  <c r="V507" i="4"/>
  <c r="AY508" i="2" s="1"/>
  <c r="V506" i="4"/>
  <c r="AY507" i="2" s="1"/>
  <c r="V505" i="4"/>
  <c r="AY506" i="2" s="1"/>
  <c r="V504" i="4"/>
  <c r="AY505" i="2" s="1"/>
  <c r="V503" i="4"/>
  <c r="AY504" i="2" s="1"/>
  <c r="V502" i="4"/>
  <c r="AY503" i="2" s="1"/>
  <c r="V501" i="4"/>
  <c r="AY502" i="2" s="1"/>
  <c r="V500" i="4"/>
  <c r="AY501" i="2" s="1"/>
  <c r="V499" i="4"/>
  <c r="AY500" i="2" s="1"/>
  <c r="V498" i="4"/>
  <c r="AY499" i="2" s="1"/>
  <c r="V497" i="4"/>
  <c r="AY498" i="2" s="1"/>
  <c r="V496" i="4"/>
  <c r="AY497" i="2" s="1"/>
  <c r="V495" i="4"/>
  <c r="AY496" i="2" s="1"/>
  <c r="V494" i="4"/>
  <c r="AY495" i="2" s="1"/>
  <c r="V493" i="4"/>
  <c r="AY494" i="2" s="1"/>
  <c r="V492" i="4"/>
  <c r="AY493" i="2" s="1"/>
  <c r="V491" i="4"/>
  <c r="AY492" i="2" s="1"/>
  <c r="V490" i="4"/>
  <c r="AY491" i="2" s="1"/>
  <c r="V489" i="4"/>
  <c r="AY490" i="2" s="1"/>
  <c r="V488" i="4"/>
  <c r="AY489" i="2" s="1"/>
  <c r="V487" i="4"/>
  <c r="AY488" i="2" s="1"/>
  <c r="V486" i="4"/>
  <c r="AY487" i="2" s="1"/>
  <c r="V485" i="4"/>
  <c r="AY486" i="2" s="1"/>
  <c r="V484" i="4"/>
  <c r="AY485" i="2" s="1"/>
  <c r="V483" i="4"/>
  <c r="AY484" i="2" s="1"/>
  <c r="V482" i="4"/>
  <c r="AY483" i="2" s="1"/>
  <c r="V481" i="4"/>
  <c r="AY482" i="2" s="1"/>
  <c r="V480" i="4"/>
  <c r="AY481" i="2" s="1"/>
  <c r="V479" i="4"/>
  <c r="AY480" i="2" s="1"/>
  <c r="V478" i="4"/>
  <c r="AY479" i="2" s="1"/>
  <c r="V477" i="4"/>
  <c r="AY478" i="2" s="1"/>
  <c r="V476" i="4"/>
  <c r="AY477" i="2" s="1"/>
  <c r="V475" i="4"/>
  <c r="AY476" i="2" s="1"/>
  <c r="V474" i="4"/>
  <c r="AY475" i="2" s="1"/>
  <c r="V473" i="4"/>
  <c r="AY474" i="2" s="1"/>
  <c r="V472" i="4"/>
  <c r="AY473" i="2" s="1"/>
  <c r="V471" i="4"/>
  <c r="AY472" i="2" s="1"/>
  <c r="V470" i="4"/>
  <c r="AY471" i="2" s="1"/>
  <c r="V469" i="4"/>
  <c r="AY470" i="2" s="1"/>
  <c r="V468" i="4"/>
  <c r="AY469" i="2" s="1"/>
  <c r="V467" i="4"/>
  <c r="AY468" i="2" s="1"/>
  <c r="V466" i="4"/>
  <c r="AY467" i="2" s="1"/>
  <c r="V465" i="4"/>
  <c r="AY466" i="2" s="1"/>
  <c r="V464" i="4"/>
  <c r="AY465" i="2" s="1"/>
  <c r="V463" i="4"/>
  <c r="AY464" i="2" s="1"/>
  <c r="V462" i="4"/>
  <c r="AY463" i="2" s="1"/>
  <c r="V461" i="4"/>
  <c r="AY462" i="2" s="1"/>
  <c r="V460" i="4"/>
  <c r="AY461" i="2" s="1"/>
  <c r="V459" i="4"/>
  <c r="AY460" i="2" s="1"/>
  <c r="V458" i="4"/>
  <c r="AY459" i="2" s="1"/>
  <c r="V457" i="4"/>
  <c r="AY458" i="2" s="1"/>
  <c r="V456" i="4"/>
  <c r="AY457" i="2" s="1"/>
  <c r="V455" i="4"/>
  <c r="AY456" i="2" s="1"/>
  <c r="V454" i="4"/>
  <c r="AY455" i="2" s="1"/>
  <c r="V453" i="4"/>
  <c r="AY454" i="2" s="1"/>
  <c r="V452" i="4"/>
  <c r="AY453" i="2" s="1"/>
  <c r="V451" i="4"/>
  <c r="AY452" i="2" s="1"/>
  <c r="V450" i="4"/>
  <c r="AY451" i="2" s="1"/>
  <c r="V449" i="4"/>
  <c r="AY450" i="2" s="1"/>
  <c r="V448" i="4"/>
  <c r="AY449" i="2" s="1"/>
  <c r="V447" i="4"/>
  <c r="AY448" i="2" s="1"/>
  <c r="V446" i="4"/>
  <c r="AY447" i="2" s="1"/>
  <c r="V445" i="4"/>
  <c r="AY446" i="2" s="1"/>
  <c r="V444" i="4"/>
  <c r="AY445" i="2" s="1"/>
  <c r="V443" i="4"/>
  <c r="AY444" i="2" s="1"/>
  <c r="V442" i="4"/>
  <c r="AY443" i="2" s="1"/>
  <c r="V441" i="4"/>
  <c r="AY442" i="2" s="1"/>
  <c r="V440" i="4"/>
  <c r="AY441" i="2" s="1"/>
  <c r="V439" i="4"/>
  <c r="AY440" i="2" s="1"/>
  <c r="V438" i="4"/>
  <c r="AY439" i="2" s="1"/>
  <c r="V437" i="4"/>
  <c r="AY438" i="2" s="1"/>
  <c r="V436" i="4"/>
  <c r="AY437" i="2" s="1"/>
  <c r="V435" i="4"/>
  <c r="AY436" i="2" s="1"/>
  <c r="V434" i="4"/>
  <c r="AY435" i="2" s="1"/>
  <c r="V433" i="4"/>
  <c r="AY434" i="2" s="1"/>
  <c r="V432" i="4"/>
  <c r="AY433" i="2" s="1"/>
  <c r="V431" i="4"/>
  <c r="AY432" i="2" s="1"/>
  <c r="V430" i="4"/>
  <c r="AY431" i="2" s="1"/>
  <c r="V429" i="4"/>
  <c r="AY430" i="2" s="1"/>
  <c r="V428" i="4"/>
  <c r="AY429" i="2" s="1"/>
  <c r="V427" i="4"/>
  <c r="AY428" i="2" s="1"/>
  <c r="V426" i="4"/>
  <c r="AY427" i="2" s="1"/>
  <c r="V425" i="4"/>
  <c r="AY426" i="2" s="1"/>
  <c r="V424" i="4"/>
  <c r="AY425" i="2" s="1"/>
  <c r="V423" i="4"/>
  <c r="AY424" i="2" s="1"/>
  <c r="V422" i="4"/>
  <c r="AY423" i="2" s="1"/>
  <c r="V421" i="4"/>
  <c r="AY422" i="2" s="1"/>
  <c r="V420" i="4"/>
  <c r="AY421" i="2" s="1"/>
  <c r="V419" i="4"/>
  <c r="AY420" i="2" s="1"/>
  <c r="V418" i="4"/>
  <c r="AY419" i="2" s="1"/>
  <c r="V417" i="4"/>
  <c r="AY418" i="2" s="1"/>
  <c r="V416" i="4"/>
  <c r="AY417" i="2" s="1"/>
  <c r="V415" i="4"/>
  <c r="AY416" i="2" s="1"/>
  <c r="V414" i="4"/>
  <c r="AY415" i="2" s="1"/>
  <c r="V413" i="4"/>
  <c r="AY414" i="2" s="1"/>
  <c r="V412" i="4"/>
  <c r="AY413" i="2" s="1"/>
  <c r="V411" i="4"/>
  <c r="AY412" i="2" s="1"/>
  <c r="V410" i="4"/>
  <c r="AY411" i="2" s="1"/>
  <c r="V409" i="4"/>
  <c r="AY410" i="2" s="1"/>
  <c r="V408" i="4"/>
  <c r="AY409" i="2" s="1"/>
  <c r="V407" i="4"/>
  <c r="AY408" i="2" s="1"/>
  <c r="V406" i="4"/>
  <c r="AY407" i="2" s="1"/>
  <c r="V405" i="4"/>
  <c r="AY406" i="2" s="1"/>
  <c r="V404" i="4"/>
  <c r="AY405" i="2" s="1"/>
  <c r="V403" i="4"/>
  <c r="AY404" i="2" s="1"/>
  <c r="V402" i="4"/>
  <c r="AY403" i="2" s="1"/>
  <c r="V401" i="4"/>
  <c r="AY402" i="2" s="1"/>
  <c r="V400" i="4"/>
  <c r="AY401" i="2" s="1"/>
  <c r="V399" i="4"/>
  <c r="AY400" i="2" s="1"/>
  <c r="V398" i="4"/>
  <c r="AY399" i="2" s="1"/>
  <c r="V397" i="4"/>
  <c r="AY398" i="2" s="1"/>
  <c r="V396" i="4"/>
  <c r="AY397" i="2" s="1"/>
  <c r="V395" i="4"/>
  <c r="AY396" i="2" s="1"/>
  <c r="V394" i="4"/>
  <c r="AY395" i="2" s="1"/>
  <c r="V393" i="4"/>
  <c r="AY394" i="2" s="1"/>
  <c r="V392" i="4"/>
  <c r="AY393" i="2" s="1"/>
  <c r="V391" i="4"/>
  <c r="AY392" i="2" s="1"/>
  <c r="V390" i="4"/>
  <c r="AY391" i="2" s="1"/>
  <c r="V389" i="4"/>
  <c r="AY390" i="2" s="1"/>
  <c r="V388" i="4"/>
  <c r="AY389" i="2" s="1"/>
  <c r="V387" i="4"/>
  <c r="AY388" i="2" s="1"/>
  <c r="V386" i="4"/>
  <c r="AY387" i="2" s="1"/>
  <c r="V385" i="4"/>
  <c r="AY386" i="2" s="1"/>
  <c r="V384" i="4"/>
  <c r="AY385" i="2" s="1"/>
  <c r="V383" i="4"/>
  <c r="AY384" i="2" s="1"/>
  <c r="V382" i="4"/>
  <c r="AY383" i="2" s="1"/>
  <c r="V381" i="4"/>
  <c r="AY382" i="2" s="1"/>
  <c r="V380" i="4"/>
  <c r="AY381" i="2" s="1"/>
  <c r="V379" i="4"/>
  <c r="AY380" i="2" s="1"/>
  <c r="V378" i="4"/>
  <c r="AY379" i="2" s="1"/>
  <c r="V377" i="4"/>
  <c r="AY378" i="2" s="1"/>
  <c r="V376" i="4"/>
  <c r="AY377" i="2" s="1"/>
  <c r="V375" i="4"/>
  <c r="AY376" i="2" s="1"/>
  <c r="V374" i="4"/>
  <c r="AY375" i="2" s="1"/>
  <c r="V373" i="4"/>
  <c r="AY374" i="2" s="1"/>
  <c r="V372" i="4"/>
  <c r="AY373" i="2" s="1"/>
  <c r="V371" i="4"/>
  <c r="AY372" i="2" s="1"/>
  <c r="V370" i="4"/>
  <c r="AY371" i="2" s="1"/>
  <c r="V369" i="4"/>
  <c r="AY370" i="2" s="1"/>
  <c r="V368" i="4"/>
  <c r="AY369" i="2" s="1"/>
  <c r="V367" i="4"/>
  <c r="AY368" i="2" s="1"/>
  <c r="V366" i="4"/>
  <c r="AY367" i="2" s="1"/>
  <c r="V365" i="4"/>
  <c r="AY366" i="2" s="1"/>
  <c r="V364" i="4"/>
  <c r="AY365" i="2" s="1"/>
  <c r="V363" i="4"/>
  <c r="AY364" i="2" s="1"/>
  <c r="V362" i="4"/>
  <c r="AY363" i="2" s="1"/>
  <c r="V361" i="4"/>
  <c r="AY362" i="2" s="1"/>
  <c r="V360" i="4"/>
  <c r="AY361" i="2" s="1"/>
  <c r="V359" i="4"/>
  <c r="AY360" i="2" s="1"/>
  <c r="V358" i="4"/>
  <c r="AY359" i="2" s="1"/>
  <c r="V357" i="4"/>
  <c r="AY358" i="2" s="1"/>
  <c r="V356" i="4"/>
  <c r="AY357" i="2" s="1"/>
  <c r="V355" i="4"/>
  <c r="AY356" i="2" s="1"/>
  <c r="V354" i="4"/>
  <c r="AY355" i="2" s="1"/>
  <c r="V353" i="4"/>
  <c r="AY354" i="2" s="1"/>
  <c r="V352" i="4"/>
  <c r="AY353" i="2" s="1"/>
  <c r="V351" i="4"/>
  <c r="AY352" i="2" s="1"/>
  <c r="V350" i="4"/>
  <c r="AY351" i="2" s="1"/>
  <c r="V349" i="4"/>
  <c r="AY350" i="2" s="1"/>
  <c r="V348" i="4"/>
  <c r="AY349" i="2" s="1"/>
  <c r="V347" i="4"/>
  <c r="AY348" i="2" s="1"/>
  <c r="V346" i="4"/>
  <c r="AY347" i="2" s="1"/>
  <c r="V345" i="4"/>
  <c r="AY346" i="2" s="1"/>
  <c r="V344" i="4"/>
  <c r="AY345" i="2" s="1"/>
  <c r="V343" i="4"/>
  <c r="AY344" i="2" s="1"/>
  <c r="V342" i="4"/>
  <c r="AY343" i="2" s="1"/>
  <c r="V341" i="4"/>
  <c r="AY342" i="2" s="1"/>
  <c r="V340" i="4"/>
  <c r="AY341" i="2" s="1"/>
  <c r="V339" i="4"/>
  <c r="AY340" i="2" s="1"/>
  <c r="V338" i="4"/>
  <c r="AY339" i="2" s="1"/>
  <c r="V337" i="4"/>
  <c r="AY338" i="2" s="1"/>
  <c r="V336" i="4"/>
  <c r="AY337" i="2" s="1"/>
  <c r="V335" i="4"/>
  <c r="AY336" i="2" s="1"/>
  <c r="V334" i="4"/>
  <c r="AY335" i="2" s="1"/>
  <c r="V333" i="4"/>
  <c r="AY334" i="2" s="1"/>
  <c r="V332" i="4"/>
  <c r="AY333" i="2" s="1"/>
  <c r="V331" i="4"/>
  <c r="AY332" i="2" s="1"/>
  <c r="V330" i="4"/>
  <c r="AY331" i="2" s="1"/>
  <c r="V329" i="4"/>
  <c r="AY330" i="2" s="1"/>
  <c r="V328" i="4"/>
  <c r="AY329" i="2" s="1"/>
  <c r="V327" i="4"/>
  <c r="AY328" i="2" s="1"/>
  <c r="V326" i="4"/>
  <c r="AY327" i="2" s="1"/>
  <c r="V325" i="4"/>
  <c r="AY326" i="2" s="1"/>
  <c r="V324" i="4"/>
  <c r="AY325" i="2" s="1"/>
  <c r="V323" i="4"/>
  <c r="AY324" i="2" s="1"/>
  <c r="V322" i="4"/>
  <c r="AY323" i="2" s="1"/>
  <c r="V321" i="4"/>
  <c r="AY322" i="2" s="1"/>
  <c r="V320" i="4"/>
  <c r="AY321" i="2" s="1"/>
  <c r="V319" i="4"/>
  <c r="AY320" i="2" s="1"/>
  <c r="V318" i="4"/>
  <c r="AY319" i="2" s="1"/>
  <c r="V317" i="4"/>
  <c r="AY318" i="2" s="1"/>
  <c r="V316" i="4"/>
  <c r="AY317" i="2" s="1"/>
  <c r="V315" i="4"/>
  <c r="AY316" i="2" s="1"/>
  <c r="V314" i="4"/>
  <c r="AY315" i="2" s="1"/>
  <c r="V313" i="4"/>
  <c r="AY314" i="2" s="1"/>
  <c r="V312" i="4"/>
  <c r="AY313" i="2" s="1"/>
  <c r="V311" i="4"/>
  <c r="AY312" i="2" s="1"/>
  <c r="V310" i="4"/>
  <c r="AY311" i="2" s="1"/>
  <c r="V309" i="4"/>
  <c r="AY310" i="2" s="1"/>
  <c r="V308" i="4"/>
  <c r="AY309" i="2" s="1"/>
  <c r="V307" i="4"/>
  <c r="AY308" i="2" s="1"/>
  <c r="V306" i="4"/>
  <c r="AY307" i="2" s="1"/>
  <c r="V305" i="4"/>
  <c r="AY306" i="2" s="1"/>
  <c r="V304" i="4"/>
  <c r="AY305" i="2" s="1"/>
  <c r="V303" i="4"/>
  <c r="AY304" i="2" s="1"/>
  <c r="V302" i="4"/>
  <c r="AY303" i="2" s="1"/>
  <c r="V301" i="4"/>
  <c r="AY302" i="2" s="1"/>
  <c r="V300" i="4"/>
  <c r="AY301" i="2" s="1"/>
  <c r="V299" i="4"/>
  <c r="AY300" i="2" s="1"/>
  <c r="V298" i="4"/>
  <c r="AY299" i="2" s="1"/>
  <c r="V297" i="4"/>
  <c r="AY298" i="2" s="1"/>
  <c r="V296" i="4"/>
  <c r="AY297" i="2" s="1"/>
  <c r="V295" i="4"/>
  <c r="AY296" i="2" s="1"/>
  <c r="V294" i="4"/>
  <c r="AY295" i="2" s="1"/>
  <c r="V293" i="4"/>
  <c r="AY294" i="2" s="1"/>
  <c r="V292" i="4"/>
  <c r="AY293" i="2" s="1"/>
  <c r="V291" i="4"/>
  <c r="AY292" i="2" s="1"/>
  <c r="V290" i="4"/>
  <c r="AY291" i="2" s="1"/>
  <c r="V289" i="4"/>
  <c r="AY290" i="2" s="1"/>
  <c r="V288" i="4"/>
  <c r="AY289" i="2" s="1"/>
  <c r="V287" i="4"/>
  <c r="AY288" i="2" s="1"/>
  <c r="V286" i="4"/>
  <c r="AY287" i="2" s="1"/>
  <c r="V285" i="4"/>
  <c r="AY286" i="2" s="1"/>
  <c r="V284" i="4"/>
  <c r="AY285" i="2" s="1"/>
  <c r="V283" i="4"/>
  <c r="AY284" i="2" s="1"/>
  <c r="V282" i="4"/>
  <c r="AY283" i="2" s="1"/>
  <c r="V281" i="4"/>
  <c r="AY282" i="2" s="1"/>
  <c r="V280" i="4"/>
  <c r="AY281" i="2" s="1"/>
  <c r="V279" i="4"/>
  <c r="AY280" i="2" s="1"/>
  <c r="V278" i="4"/>
  <c r="AY279" i="2" s="1"/>
  <c r="V277" i="4"/>
  <c r="AY278" i="2" s="1"/>
  <c r="V276" i="4"/>
  <c r="AY277" i="2" s="1"/>
  <c r="V275" i="4"/>
  <c r="AY276" i="2" s="1"/>
  <c r="V274" i="4"/>
  <c r="AY275" i="2" s="1"/>
  <c r="V273" i="4"/>
  <c r="AY274" i="2" s="1"/>
  <c r="V272" i="4"/>
  <c r="AY273" i="2" s="1"/>
  <c r="V271" i="4"/>
  <c r="AY272" i="2" s="1"/>
  <c r="V270" i="4"/>
  <c r="AY271" i="2" s="1"/>
  <c r="V269" i="4"/>
  <c r="AY270" i="2" s="1"/>
  <c r="V268" i="4"/>
  <c r="AY269" i="2" s="1"/>
  <c r="V267" i="4"/>
  <c r="AY268" i="2" s="1"/>
  <c r="V266" i="4"/>
  <c r="AY267" i="2" s="1"/>
  <c r="V265" i="4"/>
  <c r="AY266" i="2" s="1"/>
  <c r="V264" i="4"/>
  <c r="AY265" i="2" s="1"/>
  <c r="V263" i="4"/>
  <c r="AY264" i="2" s="1"/>
  <c r="V262" i="4"/>
  <c r="AY263" i="2" s="1"/>
  <c r="V261" i="4"/>
  <c r="AY262" i="2" s="1"/>
  <c r="V260" i="4"/>
  <c r="AY261" i="2" s="1"/>
  <c r="V259" i="4"/>
  <c r="AY260" i="2" s="1"/>
  <c r="V258" i="4"/>
  <c r="AY259" i="2" s="1"/>
  <c r="V257" i="4"/>
  <c r="AY258" i="2" s="1"/>
  <c r="V256" i="4"/>
  <c r="AY257" i="2" s="1"/>
  <c r="V255" i="4"/>
  <c r="AY256" i="2" s="1"/>
  <c r="V254" i="4"/>
  <c r="AY255" i="2" s="1"/>
  <c r="V253" i="4"/>
  <c r="AY254" i="2" s="1"/>
  <c r="V252" i="4"/>
  <c r="AY253" i="2" s="1"/>
  <c r="V251" i="4"/>
  <c r="AY252" i="2" s="1"/>
  <c r="V250" i="4"/>
  <c r="AY251" i="2" s="1"/>
  <c r="V249" i="4"/>
  <c r="AY250" i="2" s="1"/>
  <c r="V248" i="4"/>
  <c r="AY249" i="2" s="1"/>
  <c r="V247" i="4"/>
  <c r="AY248" i="2" s="1"/>
  <c r="V246" i="4"/>
  <c r="AY247" i="2" s="1"/>
  <c r="V245" i="4"/>
  <c r="AY246" i="2" s="1"/>
  <c r="V244" i="4"/>
  <c r="AY245" i="2" s="1"/>
  <c r="V243" i="4"/>
  <c r="AY244" i="2" s="1"/>
  <c r="V242" i="4"/>
  <c r="AY243" i="2" s="1"/>
  <c r="V241" i="4"/>
  <c r="AY242" i="2" s="1"/>
  <c r="V240" i="4"/>
  <c r="AY241" i="2" s="1"/>
  <c r="V239" i="4"/>
  <c r="AY240" i="2" s="1"/>
  <c r="V238" i="4"/>
  <c r="AY239" i="2" s="1"/>
  <c r="V237" i="4"/>
  <c r="AY238" i="2" s="1"/>
  <c r="V236" i="4"/>
  <c r="AY237" i="2" s="1"/>
  <c r="V235" i="4"/>
  <c r="AY236" i="2" s="1"/>
  <c r="V234" i="4"/>
  <c r="AY235" i="2" s="1"/>
  <c r="V233" i="4"/>
  <c r="AY234" i="2" s="1"/>
  <c r="V232" i="4"/>
  <c r="AY233" i="2" s="1"/>
  <c r="V231" i="4"/>
  <c r="AY232" i="2" s="1"/>
  <c r="V230" i="4"/>
  <c r="AY231" i="2" s="1"/>
  <c r="V229" i="4"/>
  <c r="AY230" i="2" s="1"/>
  <c r="V228" i="4"/>
  <c r="AY229" i="2" s="1"/>
  <c r="V227" i="4"/>
  <c r="AY228" i="2" s="1"/>
  <c r="V226" i="4"/>
  <c r="AY227" i="2" s="1"/>
  <c r="V225" i="4"/>
  <c r="AY226" i="2" s="1"/>
  <c r="V224" i="4"/>
  <c r="AY225" i="2" s="1"/>
  <c r="V223" i="4"/>
  <c r="AY224" i="2" s="1"/>
  <c r="V222" i="4"/>
  <c r="AY223" i="2" s="1"/>
  <c r="V221" i="4"/>
  <c r="AY222" i="2" s="1"/>
  <c r="V220" i="4"/>
  <c r="AY221" i="2" s="1"/>
  <c r="V219" i="4"/>
  <c r="AY220" i="2" s="1"/>
  <c r="V218" i="4"/>
  <c r="AY219" i="2" s="1"/>
  <c r="V217" i="4"/>
  <c r="AY218" i="2" s="1"/>
  <c r="V216" i="4"/>
  <c r="AY217" i="2" s="1"/>
  <c r="V215" i="4"/>
  <c r="AY216" i="2" s="1"/>
  <c r="V214" i="4"/>
  <c r="AY215" i="2" s="1"/>
  <c r="V213" i="4"/>
  <c r="AY214" i="2" s="1"/>
  <c r="V212" i="4"/>
  <c r="AY213" i="2" s="1"/>
  <c r="V211" i="4"/>
  <c r="AY212" i="2" s="1"/>
  <c r="V210" i="4"/>
  <c r="AY211" i="2" s="1"/>
  <c r="V209" i="4"/>
  <c r="AY210" i="2" s="1"/>
  <c r="V208" i="4"/>
  <c r="AY209" i="2" s="1"/>
  <c r="V207" i="4"/>
  <c r="AY208" i="2" s="1"/>
  <c r="V206" i="4"/>
  <c r="AY207" i="2" s="1"/>
  <c r="V205" i="4"/>
  <c r="AY206" i="2" s="1"/>
  <c r="V204" i="4"/>
  <c r="AY205" i="2" s="1"/>
  <c r="V203" i="4"/>
  <c r="AY204" i="2" s="1"/>
  <c r="V202" i="4"/>
  <c r="AY203" i="2" s="1"/>
  <c r="V201" i="4"/>
  <c r="AY202" i="2" s="1"/>
  <c r="V200" i="4"/>
  <c r="AY201" i="2" s="1"/>
  <c r="V199" i="4"/>
  <c r="AY200" i="2" s="1"/>
  <c r="V198" i="4"/>
  <c r="AY199" i="2" s="1"/>
  <c r="V197" i="4"/>
  <c r="AY198" i="2" s="1"/>
  <c r="V196" i="4"/>
  <c r="AY197" i="2" s="1"/>
  <c r="V195" i="4"/>
  <c r="AY196" i="2" s="1"/>
  <c r="V194" i="4"/>
  <c r="AY195" i="2" s="1"/>
  <c r="V193" i="4"/>
  <c r="AY194" i="2" s="1"/>
  <c r="V192" i="4"/>
  <c r="AY193" i="2" s="1"/>
  <c r="V191" i="4"/>
  <c r="AY192" i="2" s="1"/>
  <c r="V190" i="4"/>
  <c r="AY191" i="2" s="1"/>
  <c r="V189" i="4"/>
  <c r="AY190" i="2" s="1"/>
  <c r="V188" i="4"/>
  <c r="AY189" i="2" s="1"/>
  <c r="V187" i="4"/>
  <c r="AY188" i="2" s="1"/>
  <c r="V186" i="4"/>
  <c r="AY187" i="2" s="1"/>
  <c r="V185" i="4"/>
  <c r="AY186" i="2" s="1"/>
  <c r="V184" i="4"/>
  <c r="AY185" i="2" s="1"/>
  <c r="V183" i="4"/>
  <c r="AY184" i="2" s="1"/>
  <c r="V182" i="4"/>
  <c r="AY183" i="2" s="1"/>
  <c r="V181" i="4"/>
  <c r="AY182" i="2" s="1"/>
  <c r="V180" i="4"/>
  <c r="AY181" i="2" s="1"/>
  <c r="V179" i="4"/>
  <c r="AY180" i="2" s="1"/>
  <c r="V178" i="4"/>
  <c r="AY179" i="2" s="1"/>
  <c r="V177" i="4"/>
  <c r="AY178" i="2" s="1"/>
  <c r="V176" i="4"/>
  <c r="AY177" i="2" s="1"/>
  <c r="V175" i="4"/>
  <c r="AY176" i="2" s="1"/>
  <c r="V174" i="4"/>
  <c r="AY175" i="2" s="1"/>
  <c r="V173" i="4"/>
  <c r="AY174" i="2" s="1"/>
  <c r="V172" i="4"/>
  <c r="AY173" i="2" s="1"/>
  <c r="V171" i="4"/>
  <c r="AY172" i="2" s="1"/>
  <c r="V170" i="4"/>
  <c r="AY171" i="2" s="1"/>
  <c r="V169" i="4"/>
  <c r="AY170" i="2" s="1"/>
  <c r="V168" i="4"/>
  <c r="AY169" i="2" s="1"/>
  <c r="V167" i="4"/>
  <c r="AY168" i="2" s="1"/>
  <c r="V166" i="4"/>
  <c r="AY167" i="2" s="1"/>
  <c r="V165" i="4"/>
  <c r="AY166" i="2" s="1"/>
  <c r="V164" i="4"/>
  <c r="AY165" i="2" s="1"/>
  <c r="V163" i="4"/>
  <c r="AY164" i="2" s="1"/>
  <c r="V162" i="4"/>
  <c r="AY163" i="2" s="1"/>
  <c r="V161" i="4"/>
  <c r="AY162" i="2" s="1"/>
  <c r="V160" i="4"/>
  <c r="AY161" i="2" s="1"/>
  <c r="V159" i="4"/>
  <c r="AY160" i="2" s="1"/>
  <c r="V158" i="4"/>
  <c r="AY159" i="2" s="1"/>
  <c r="V157" i="4"/>
  <c r="AY158" i="2" s="1"/>
  <c r="V156" i="4"/>
  <c r="AY157" i="2" s="1"/>
  <c r="V155" i="4"/>
  <c r="AY156" i="2" s="1"/>
  <c r="V154" i="4"/>
  <c r="AY155" i="2" s="1"/>
  <c r="V153" i="4"/>
  <c r="AY154" i="2" s="1"/>
  <c r="V152" i="4"/>
  <c r="AY153" i="2" s="1"/>
  <c r="V151" i="4"/>
  <c r="AY152" i="2" s="1"/>
  <c r="V150" i="4"/>
  <c r="AY151" i="2" s="1"/>
  <c r="V149" i="4"/>
  <c r="AY150" i="2" s="1"/>
  <c r="V148" i="4"/>
  <c r="AY149" i="2" s="1"/>
  <c r="V147" i="4"/>
  <c r="AY148" i="2" s="1"/>
  <c r="V146" i="4"/>
  <c r="AY147" i="2" s="1"/>
  <c r="V145" i="4"/>
  <c r="AY146" i="2" s="1"/>
  <c r="V144" i="4"/>
  <c r="AY145" i="2" s="1"/>
  <c r="V143" i="4"/>
  <c r="AY144" i="2" s="1"/>
  <c r="V142" i="4"/>
  <c r="AY143" i="2" s="1"/>
  <c r="V141" i="4"/>
  <c r="AY142" i="2" s="1"/>
  <c r="V140" i="4"/>
  <c r="AY141" i="2" s="1"/>
  <c r="V139" i="4"/>
  <c r="AY140" i="2" s="1"/>
  <c r="V138" i="4"/>
  <c r="AY139" i="2" s="1"/>
  <c r="V137" i="4"/>
  <c r="AY138" i="2" s="1"/>
  <c r="V136" i="4"/>
  <c r="AY137" i="2" s="1"/>
  <c r="V135" i="4"/>
  <c r="AY136" i="2" s="1"/>
  <c r="V134" i="4"/>
  <c r="AY135" i="2" s="1"/>
  <c r="V133" i="4"/>
  <c r="AY134" i="2" s="1"/>
  <c r="V132" i="4"/>
  <c r="AY133" i="2" s="1"/>
  <c r="V131" i="4"/>
  <c r="AY132" i="2" s="1"/>
  <c r="V130" i="4"/>
  <c r="AY131" i="2" s="1"/>
  <c r="V129" i="4"/>
  <c r="AY130" i="2" s="1"/>
  <c r="V128" i="4"/>
  <c r="AY129" i="2" s="1"/>
  <c r="V127" i="4"/>
  <c r="AY128" i="2" s="1"/>
  <c r="V126" i="4"/>
  <c r="AY127" i="2" s="1"/>
  <c r="V125" i="4"/>
  <c r="AY126" i="2" s="1"/>
  <c r="V124" i="4"/>
  <c r="AY125" i="2" s="1"/>
  <c r="V123" i="4"/>
  <c r="AY124" i="2" s="1"/>
  <c r="V122" i="4"/>
  <c r="AY123" i="2" s="1"/>
  <c r="V121" i="4"/>
  <c r="AY122" i="2" s="1"/>
  <c r="V120" i="4"/>
  <c r="AY121" i="2" s="1"/>
  <c r="V119" i="4"/>
  <c r="AY120" i="2" s="1"/>
  <c r="V118" i="4"/>
  <c r="AY119" i="2" s="1"/>
  <c r="V117" i="4"/>
  <c r="AY118" i="2" s="1"/>
  <c r="V116" i="4"/>
  <c r="AY117" i="2" s="1"/>
  <c r="V115" i="4"/>
  <c r="AY116" i="2" s="1"/>
  <c r="V114" i="4"/>
  <c r="AY115" i="2" s="1"/>
  <c r="V113" i="4"/>
  <c r="AY114" i="2" s="1"/>
  <c r="V112" i="4"/>
  <c r="AY113" i="2" s="1"/>
  <c r="V111" i="4"/>
  <c r="AY112" i="2" s="1"/>
  <c r="V110" i="4"/>
  <c r="AY111" i="2" s="1"/>
  <c r="V109" i="4"/>
  <c r="AY110" i="2" s="1"/>
  <c r="V108" i="4"/>
  <c r="AY109" i="2" s="1"/>
  <c r="V107" i="4"/>
  <c r="AY108" i="2" s="1"/>
  <c r="V106" i="4"/>
  <c r="AY107" i="2" s="1"/>
  <c r="V105" i="4"/>
  <c r="AY106" i="2" s="1"/>
  <c r="V104" i="4"/>
  <c r="AY105" i="2" s="1"/>
  <c r="V103" i="4"/>
  <c r="AY104" i="2" s="1"/>
  <c r="V102" i="4"/>
  <c r="AY103" i="2" s="1"/>
  <c r="V101" i="4"/>
  <c r="AY102" i="2" s="1"/>
  <c r="V100" i="4"/>
  <c r="AY101" i="2" s="1"/>
  <c r="V99" i="4"/>
  <c r="AY100" i="2" s="1"/>
  <c r="V98" i="4"/>
  <c r="AY99" i="2" s="1"/>
  <c r="V97" i="4"/>
  <c r="AY98" i="2" s="1"/>
  <c r="V96" i="4"/>
  <c r="AY97" i="2" s="1"/>
  <c r="V95" i="4"/>
  <c r="AY96" i="2" s="1"/>
  <c r="V94" i="4"/>
  <c r="AY95" i="2" s="1"/>
  <c r="V93" i="4"/>
  <c r="AY94" i="2" s="1"/>
  <c r="V92" i="4"/>
  <c r="AY93" i="2" s="1"/>
  <c r="V91" i="4"/>
  <c r="AY92" i="2" s="1"/>
  <c r="V90" i="4"/>
  <c r="AY91" i="2" s="1"/>
  <c r="V89" i="4"/>
  <c r="AY90" i="2" s="1"/>
  <c r="V88" i="4"/>
  <c r="AY89" i="2" s="1"/>
  <c r="V87" i="4"/>
  <c r="AY88" i="2" s="1"/>
  <c r="V86" i="4"/>
  <c r="AY87" i="2" s="1"/>
  <c r="V85" i="4"/>
  <c r="AY86" i="2" s="1"/>
  <c r="V84" i="4"/>
  <c r="AY85" i="2" s="1"/>
  <c r="V83" i="4"/>
  <c r="AY84" i="2" s="1"/>
  <c r="V82" i="4"/>
  <c r="AY83" i="2" s="1"/>
  <c r="V81" i="4"/>
  <c r="AY82" i="2" s="1"/>
  <c r="V80" i="4"/>
  <c r="AY81" i="2" s="1"/>
  <c r="V79" i="4"/>
  <c r="AY80" i="2" s="1"/>
  <c r="V78" i="4"/>
  <c r="AY79" i="2" s="1"/>
  <c r="V77" i="4"/>
  <c r="AY78" i="2" s="1"/>
  <c r="V76" i="4"/>
  <c r="AY77" i="2" s="1"/>
  <c r="V75" i="4"/>
  <c r="AY76" i="2" s="1"/>
  <c r="V74" i="4"/>
  <c r="AY75" i="2" s="1"/>
  <c r="V73" i="4"/>
  <c r="AY74" i="2" s="1"/>
  <c r="V72" i="4"/>
  <c r="AY73" i="2" s="1"/>
  <c r="V71" i="4"/>
  <c r="AY72" i="2" s="1"/>
  <c r="V70" i="4"/>
  <c r="AY71" i="2" s="1"/>
  <c r="V69" i="4"/>
  <c r="AY70" i="2" s="1"/>
  <c r="V68" i="4"/>
  <c r="AY69" i="2" s="1"/>
  <c r="V67" i="4"/>
  <c r="AY68" i="2" s="1"/>
  <c r="V66" i="4"/>
  <c r="AY67" i="2" s="1"/>
  <c r="V65" i="4"/>
  <c r="AY66" i="2" s="1"/>
  <c r="V64" i="4"/>
  <c r="AY65" i="2" s="1"/>
  <c r="V63" i="4"/>
  <c r="AY64" i="2" s="1"/>
  <c r="V62" i="4"/>
  <c r="AY63" i="2" s="1"/>
  <c r="V61" i="4"/>
  <c r="AY62" i="2" s="1"/>
  <c r="V60" i="4"/>
  <c r="AY61" i="2" s="1"/>
  <c r="V59" i="4"/>
  <c r="AY60" i="2" s="1"/>
  <c r="V58" i="4"/>
  <c r="AY59" i="2" s="1"/>
  <c r="V57" i="4"/>
  <c r="AY58" i="2" s="1"/>
  <c r="V56" i="4"/>
  <c r="AY57" i="2" s="1"/>
  <c r="V55" i="4"/>
  <c r="AY56" i="2" s="1"/>
  <c r="V54" i="4"/>
  <c r="AY55" i="2" s="1"/>
  <c r="V53" i="4"/>
  <c r="AY54" i="2" s="1"/>
  <c r="V52" i="4"/>
  <c r="AY53" i="2" s="1"/>
  <c r="V51" i="4"/>
  <c r="AY52" i="2" s="1"/>
  <c r="V50" i="4"/>
  <c r="AY51" i="2" s="1"/>
  <c r="V49" i="4"/>
  <c r="AY50" i="2" s="1"/>
  <c r="V48" i="4"/>
  <c r="AY49" i="2" s="1"/>
  <c r="V47" i="4"/>
  <c r="AY48" i="2" s="1"/>
  <c r="V46" i="4"/>
  <c r="AY47" i="2" s="1"/>
  <c r="V45" i="4"/>
  <c r="AY46" i="2" s="1"/>
  <c r="V44" i="4"/>
  <c r="AY45" i="2" s="1"/>
  <c r="V43" i="4"/>
  <c r="AY44" i="2" s="1"/>
  <c r="V42" i="4"/>
  <c r="AY43" i="2" s="1"/>
  <c r="V41" i="4"/>
  <c r="AY42" i="2" s="1"/>
  <c r="V40" i="4"/>
  <c r="AY41" i="2" s="1"/>
  <c r="V39" i="4"/>
  <c r="AY40" i="2" s="1"/>
  <c r="V38" i="4"/>
  <c r="AY39" i="2" s="1"/>
  <c r="V37" i="4"/>
  <c r="AY38" i="2" s="1"/>
  <c r="V36" i="4"/>
  <c r="AY37" i="2" s="1"/>
  <c r="V35" i="4"/>
  <c r="AY36" i="2" s="1"/>
  <c r="V34" i="4"/>
  <c r="AY35" i="2" s="1"/>
  <c r="V33" i="4"/>
  <c r="AY34" i="2" s="1"/>
  <c r="V32" i="4"/>
  <c r="AY33" i="2" s="1"/>
  <c r="V31" i="4"/>
  <c r="AY32" i="2" s="1"/>
  <c r="V30" i="4"/>
  <c r="AY31" i="2" s="1"/>
  <c r="V29" i="4"/>
  <c r="AY30" i="2" s="1"/>
  <c r="V28" i="4"/>
  <c r="AY29" i="2" s="1"/>
  <c r="V27" i="4"/>
  <c r="AY28" i="2" s="1"/>
  <c r="V26" i="4"/>
  <c r="AY27" i="2" s="1"/>
  <c r="V25" i="4"/>
  <c r="AY26" i="2" s="1"/>
  <c r="V24" i="4"/>
  <c r="AY25" i="2" s="1"/>
  <c r="V23" i="4"/>
  <c r="AY24" i="2" s="1"/>
  <c r="V22" i="4"/>
  <c r="AY23" i="2" s="1"/>
  <c r="V21" i="4"/>
  <c r="AY22" i="2" s="1"/>
  <c r="V20" i="4"/>
  <c r="AY21" i="2" s="1"/>
  <c r="V19" i="4"/>
  <c r="AY20" i="2" s="1"/>
  <c r="V18" i="4"/>
  <c r="AY19" i="2" s="1"/>
  <c r="V17" i="4"/>
  <c r="AY18" i="2" s="1"/>
  <c r="V16" i="4"/>
  <c r="AY17" i="2" s="1"/>
  <c r="V15" i="4"/>
  <c r="AY16" i="2" s="1"/>
  <c r="V14" i="4"/>
  <c r="AY15" i="2" s="1"/>
  <c r="V13" i="4"/>
  <c r="AY14" i="2" s="1"/>
  <c r="V12" i="4"/>
  <c r="AY13" i="2" s="1"/>
  <c r="V11" i="4"/>
  <c r="AY12" i="2" s="1"/>
  <c r="V10" i="4"/>
  <c r="AY11" i="2" s="1"/>
  <c r="V9" i="4"/>
  <c r="AY10" i="2" s="1"/>
  <c r="V8" i="4"/>
  <c r="AY9" i="2" s="1"/>
  <c r="V7" i="4"/>
  <c r="AY8" i="2" s="1"/>
  <c r="V6" i="4"/>
  <c r="AY7" i="2" s="1"/>
  <c r="V5" i="4"/>
  <c r="AY6" i="2" s="1"/>
  <c r="S1000" i="4"/>
  <c r="S999"/>
  <c r="AX1000" i="2" s="1"/>
  <c r="S998" i="4"/>
  <c r="AX999" i="2" s="1"/>
  <c r="S997" i="4"/>
  <c r="AX998" i="2" s="1"/>
  <c r="S996" i="4"/>
  <c r="AX997" i="2" s="1"/>
  <c r="S995" i="4"/>
  <c r="AX996" i="2" s="1"/>
  <c r="S994" i="4"/>
  <c r="AX995" i="2" s="1"/>
  <c r="S993" i="4"/>
  <c r="AX994" i="2" s="1"/>
  <c r="S992" i="4"/>
  <c r="AX993" i="2" s="1"/>
  <c r="S991" i="4"/>
  <c r="AX992" i="2" s="1"/>
  <c r="S990" i="4"/>
  <c r="AX991" i="2" s="1"/>
  <c r="S989" i="4"/>
  <c r="AX990" i="2" s="1"/>
  <c r="S988" i="4"/>
  <c r="AX989" i="2" s="1"/>
  <c r="S987" i="4"/>
  <c r="AX988" i="2" s="1"/>
  <c r="S986" i="4"/>
  <c r="AX987" i="2" s="1"/>
  <c r="S985" i="4"/>
  <c r="AX986" i="2" s="1"/>
  <c r="S984" i="4"/>
  <c r="AX985" i="2" s="1"/>
  <c r="S983" i="4"/>
  <c r="AX984" i="2" s="1"/>
  <c r="S982" i="4"/>
  <c r="AX983" i="2" s="1"/>
  <c r="S981" i="4"/>
  <c r="AX982" i="2" s="1"/>
  <c r="S980" i="4"/>
  <c r="AX981" i="2" s="1"/>
  <c r="S979" i="4"/>
  <c r="AX980" i="2" s="1"/>
  <c r="S978" i="4"/>
  <c r="AX979" i="2" s="1"/>
  <c r="S977" i="4"/>
  <c r="AX978" i="2" s="1"/>
  <c r="S976" i="4"/>
  <c r="AX977" i="2" s="1"/>
  <c r="S975" i="4"/>
  <c r="AX976" i="2" s="1"/>
  <c r="S974" i="4"/>
  <c r="AX975" i="2" s="1"/>
  <c r="S973" i="4"/>
  <c r="AX974" i="2" s="1"/>
  <c r="S972" i="4"/>
  <c r="AX973" i="2" s="1"/>
  <c r="S971" i="4"/>
  <c r="AX972" i="2" s="1"/>
  <c r="S970" i="4"/>
  <c r="AX971" i="2" s="1"/>
  <c r="S969" i="4"/>
  <c r="AX970" i="2" s="1"/>
  <c r="S968" i="4"/>
  <c r="AX969" i="2" s="1"/>
  <c r="S967" i="4"/>
  <c r="AX968" i="2" s="1"/>
  <c r="S966" i="4"/>
  <c r="AX967" i="2" s="1"/>
  <c r="S965" i="4"/>
  <c r="AX966" i="2" s="1"/>
  <c r="S964" i="4"/>
  <c r="AX965" i="2" s="1"/>
  <c r="S963" i="4"/>
  <c r="AX964" i="2" s="1"/>
  <c r="S962" i="4"/>
  <c r="AX963" i="2" s="1"/>
  <c r="S961" i="4"/>
  <c r="AX962" i="2" s="1"/>
  <c r="S960" i="4"/>
  <c r="AX961" i="2" s="1"/>
  <c r="S959" i="4"/>
  <c r="AX960" i="2" s="1"/>
  <c r="S958" i="4"/>
  <c r="AX959" i="2" s="1"/>
  <c r="S957" i="4"/>
  <c r="AX958" i="2" s="1"/>
  <c r="S956" i="4"/>
  <c r="AX957" i="2" s="1"/>
  <c r="S955" i="4"/>
  <c r="AX956" i="2" s="1"/>
  <c r="S954" i="4"/>
  <c r="AX955" i="2" s="1"/>
  <c r="S953" i="4"/>
  <c r="AX954" i="2" s="1"/>
  <c r="S952" i="4"/>
  <c r="AX953" i="2" s="1"/>
  <c r="S951" i="4"/>
  <c r="AX952" i="2" s="1"/>
  <c r="S950" i="4"/>
  <c r="AX951" i="2" s="1"/>
  <c r="S949" i="4"/>
  <c r="AX950" i="2" s="1"/>
  <c r="S948" i="4"/>
  <c r="AX949" i="2" s="1"/>
  <c r="S947" i="4"/>
  <c r="AX948" i="2" s="1"/>
  <c r="S946" i="4"/>
  <c r="AX947" i="2" s="1"/>
  <c r="S945" i="4"/>
  <c r="AX946" i="2" s="1"/>
  <c r="S944" i="4"/>
  <c r="AX945" i="2" s="1"/>
  <c r="S943" i="4"/>
  <c r="AX944" i="2" s="1"/>
  <c r="S942" i="4"/>
  <c r="AX943" i="2" s="1"/>
  <c r="S941" i="4"/>
  <c r="AX942" i="2" s="1"/>
  <c r="S940" i="4"/>
  <c r="AX941" i="2" s="1"/>
  <c r="S939" i="4"/>
  <c r="AX940" i="2" s="1"/>
  <c r="S938" i="4"/>
  <c r="AX939" i="2" s="1"/>
  <c r="S937" i="4"/>
  <c r="AX938" i="2" s="1"/>
  <c r="S936" i="4"/>
  <c r="AX937" i="2" s="1"/>
  <c r="S935" i="4"/>
  <c r="AX936" i="2" s="1"/>
  <c r="S934" i="4"/>
  <c r="AX935" i="2" s="1"/>
  <c r="S933" i="4"/>
  <c r="AX934" i="2" s="1"/>
  <c r="S932" i="4"/>
  <c r="AX933" i="2" s="1"/>
  <c r="S931" i="4"/>
  <c r="AX932" i="2" s="1"/>
  <c r="S930" i="4"/>
  <c r="AX931" i="2" s="1"/>
  <c r="S929" i="4"/>
  <c r="AX930" i="2" s="1"/>
  <c r="S928" i="4"/>
  <c r="AX929" i="2" s="1"/>
  <c r="S927" i="4"/>
  <c r="AX928" i="2" s="1"/>
  <c r="S926" i="4"/>
  <c r="AX927" i="2" s="1"/>
  <c r="S925" i="4"/>
  <c r="AX926" i="2" s="1"/>
  <c r="S924" i="4"/>
  <c r="AX925" i="2" s="1"/>
  <c r="S923" i="4"/>
  <c r="AX924" i="2" s="1"/>
  <c r="S922" i="4"/>
  <c r="AX923" i="2" s="1"/>
  <c r="S921" i="4"/>
  <c r="AX922" i="2" s="1"/>
  <c r="S920" i="4"/>
  <c r="AX921" i="2" s="1"/>
  <c r="S919" i="4"/>
  <c r="AX920" i="2" s="1"/>
  <c r="S918" i="4"/>
  <c r="AX919" i="2" s="1"/>
  <c r="S917" i="4"/>
  <c r="AX918" i="2" s="1"/>
  <c r="S916" i="4"/>
  <c r="AX917" i="2" s="1"/>
  <c r="S915" i="4"/>
  <c r="AX916" i="2" s="1"/>
  <c r="S914" i="4"/>
  <c r="AX915" i="2" s="1"/>
  <c r="S913" i="4"/>
  <c r="AX914" i="2" s="1"/>
  <c r="S912" i="4"/>
  <c r="AX913" i="2" s="1"/>
  <c r="S911" i="4"/>
  <c r="AX912" i="2" s="1"/>
  <c r="S910" i="4"/>
  <c r="AX911" i="2" s="1"/>
  <c r="S909" i="4"/>
  <c r="AX910" i="2" s="1"/>
  <c r="S908" i="4"/>
  <c r="AX909" i="2" s="1"/>
  <c r="S907" i="4"/>
  <c r="AX908" i="2" s="1"/>
  <c r="S906" i="4"/>
  <c r="AX907" i="2" s="1"/>
  <c r="S905" i="4"/>
  <c r="AX906" i="2" s="1"/>
  <c r="S904" i="4"/>
  <c r="AX905" i="2" s="1"/>
  <c r="S903" i="4"/>
  <c r="AX904" i="2" s="1"/>
  <c r="S902" i="4"/>
  <c r="AX903" i="2" s="1"/>
  <c r="S901" i="4"/>
  <c r="AX902" i="2" s="1"/>
  <c r="S900" i="4"/>
  <c r="AX901" i="2" s="1"/>
  <c r="S899" i="4"/>
  <c r="AX900" i="2" s="1"/>
  <c r="S898" i="4"/>
  <c r="AX899" i="2" s="1"/>
  <c r="S897" i="4"/>
  <c r="AX898" i="2" s="1"/>
  <c r="S896" i="4"/>
  <c r="AX897" i="2" s="1"/>
  <c r="S895" i="4"/>
  <c r="AX896" i="2" s="1"/>
  <c r="S894" i="4"/>
  <c r="AX895" i="2" s="1"/>
  <c r="S893" i="4"/>
  <c r="AX894" i="2" s="1"/>
  <c r="S892" i="4"/>
  <c r="AX893" i="2" s="1"/>
  <c r="S891" i="4"/>
  <c r="AX892" i="2" s="1"/>
  <c r="S890" i="4"/>
  <c r="AX891" i="2" s="1"/>
  <c r="S889" i="4"/>
  <c r="AX890" i="2" s="1"/>
  <c r="S888" i="4"/>
  <c r="AX889" i="2" s="1"/>
  <c r="S887" i="4"/>
  <c r="AX888" i="2" s="1"/>
  <c r="S886" i="4"/>
  <c r="AX887" i="2" s="1"/>
  <c r="S885" i="4"/>
  <c r="AX886" i="2" s="1"/>
  <c r="S884" i="4"/>
  <c r="AX885" i="2" s="1"/>
  <c r="S883" i="4"/>
  <c r="AX884" i="2" s="1"/>
  <c r="S882" i="4"/>
  <c r="AX883" i="2" s="1"/>
  <c r="S881" i="4"/>
  <c r="AX882" i="2" s="1"/>
  <c r="S880" i="4"/>
  <c r="AX881" i="2" s="1"/>
  <c r="S879" i="4"/>
  <c r="AX880" i="2" s="1"/>
  <c r="S878" i="4"/>
  <c r="AX879" i="2" s="1"/>
  <c r="S877" i="4"/>
  <c r="AX878" i="2" s="1"/>
  <c r="S876" i="4"/>
  <c r="AX877" i="2" s="1"/>
  <c r="S875" i="4"/>
  <c r="AX876" i="2" s="1"/>
  <c r="S874" i="4"/>
  <c r="AX875" i="2" s="1"/>
  <c r="S873" i="4"/>
  <c r="AX874" i="2" s="1"/>
  <c r="S872" i="4"/>
  <c r="AX873" i="2" s="1"/>
  <c r="S871" i="4"/>
  <c r="AX872" i="2" s="1"/>
  <c r="S870" i="4"/>
  <c r="AX871" i="2" s="1"/>
  <c r="S869" i="4"/>
  <c r="AX870" i="2" s="1"/>
  <c r="S868" i="4"/>
  <c r="AX869" i="2" s="1"/>
  <c r="S867" i="4"/>
  <c r="AX868" i="2" s="1"/>
  <c r="S866" i="4"/>
  <c r="AX867" i="2" s="1"/>
  <c r="S865" i="4"/>
  <c r="AX866" i="2" s="1"/>
  <c r="S864" i="4"/>
  <c r="AX865" i="2" s="1"/>
  <c r="S863" i="4"/>
  <c r="AX864" i="2" s="1"/>
  <c r="S862" i="4"/>
  <c r="AX863" i="2" s="1"/>
  <c r="S861" i="4"/>
  <c r="AX862" i="2" s="1"/>
  <c r="S860" i="4"/>
  <c r="AX861" i="2" s="1"/>
  <c r="S859" i="4"/>
  <c r="AX860" i="2" s="1"/>
  <c r="S858" i="4"/>
  <c r="AX859" i="2" s="1"/>
  <c r="S857" i="4"/>
  <c r="AX858" i="2" s="1"/>
  <c r="S856" i="4"/>
  <c r="AX857" i="2" s="1"/>
  <c r="S855" i="4"/>
  <c r="AX856" i="2" s="1"/>
  <c r="S854" i="4"/>
  <c r="AX855" i="2" s="1"/>
  <c r="S853" i="4"/>
  <c r="AX854" i="2" s="1"/>
  <c r="S852" i="4"/>
  <c r="AX853" i="2" s="1"/>
  <c r="S851" i="4"/>
  <c r="AX852" i="2" s="1"/>
  <c r="S850" i="4"/>
  <c r="AX851" i="2" s="1"/>
  <c r="S849" i="4"/>
  <c r="AX850" i="2" s="1"/>
  <c r="S848" i="4"/>
  <c r="AX849" i="2" s="1"/>
  <c r="S847" i="4"/>
  <c r="AX848" i="2" s="1"/>
  <c r="S846" i="4"/>
  <c r="AX847" i="2" s="1"/>
  <c r="S845" i="4"/>
  <c r="AX846" i="2" s="1"/>
  <c r="S844" i="4"/>
  <c r="AX845" i="2" s="1"/>
  <c r="S843" i="4"/>
  <c r="AX844" i="2" s="1"/>
  <c r="S842" i="4"/>
  <c r="AX843" i="2" s="1"/>
  <c r="S841" i="4"/>
  <c r="AX842" i="2" s="1"/>
  <c r="S840" i="4"/>
  <c r="AX841" i="2" s="1"/>
  <c r="S839" i="4"/>
  <c r="AX840" i="2" s="1"/>
  <c r="S838" i="4"/>
  <c r="AX839" i="2" s="1"/>
  <c r="S837" i="4"/>
  <c r="AX838" i="2" s="1"/>
  <c r="S836" i="4"/>
  <c r="AX837" i="2" s="1"/>
  <c r="S835" i="4"/>
  <c r="AX836" i="2" s="1"/>
  <c r="S834" i="4"/>
  <c r="AX835" i="2" s="1"/>
  <c r="S833" i="4"/>
  <c r="AX834" i="2" s="1"/>
  <c r="S832" i="4"/>
  <c r="AX833" i="2" s="1"/>
  <c r="S831" i="4"/>
  <c r="AX832" i="2" s="1"/>
  <c r="S830" i="4"/>
  <c r="AX831" i="2" s="1"/>
  <c r="S829" i="4"/>
  <c r="AX830" i="2" s="1"/>
  <c r="S828" i="4"/>
  <c r="AX829" i="2" s="1"/>
  <c r="S827" i="4"/>
  <c r="AX828" i="2" s="1"/>
  <c r="S826" i="4"/>
  <c r="AX827" i="2" s="1"/>
  <c r="S825" i="4"/>
  <c r="AX826" i="2" s="1"/>
  <c r="S824" i="4"/>
  <c r="AX825" i="2" s="1"/>
  <c r="S823" i="4"/>
  <c r="AX824" i="2" s="1"/>
  <c r="S822" i="4"/>
  <c r="AX823" i="2" s="1"/>
  <c r="S821" i="4"/>
  <c r="AX822" i="2" s="1"/>
  <c r="S820" i="4"/>
  <c r="AX821" i="2" s="1"/>
  <c r="S819" i="4"/>
  <c r="AX820" i="2" s="1"/>
  <c r="S818" i="4"/>
  <c r="AX819" i="2" s="1"/>
  <c r="S817" i="4"/>
  <c r="AX818" i="2" s="1"/>
  <c r="S816" i="4"/>
  <c r="AX817" i="2" s="1"/>
  <c r="S815" i="4"/>
  <c r="AX816" i="2" s="1"/>
  <c r="S814" i="4"/>
  <c r="AX815" i="2" s="1"/>
  <c r="S813" i="4"/>
  <c r="AX814" i="2" s="1"/>
  <c r="S812" i="4"/>
  <c r="AX813" i="2" s="1"/>
  <c r="S811" i="4"/>
  <c r="AX812" i="2" s="1"/>
  <c r="S810" i="4"/>
  <c r="AX811" i="2" s="1"/>
  <c r="S809" i="4"/>
  <c r="AX810" i="2" s="1"/>
  <c r="S808" i="4"/>
  <c r="AX809" i="2" s="1"/>
  <c r="S807" i="4"/>
  <c r="AX808" i="2" s="1"/>
  <c r="S806" i="4"/>
  <c r="AX807" i="2" s="1"/>
  <c r="S805" i="4"/>
  <c r="AX806" i="2" s="1"/>
  <c r="S804" i="4"/>
  <c r="AX805" i="2" s="1"/>
  <c r="S803" i="4"/>
  <c r="AX804" i="2" s="1"/>
  <c r="S802" i="4"/>
  <c r="AX803" i="2" s="1"/>
  <c r="S801" i="4"/>
  <c r="AX802" i="2" s="1"/>
  <c r="S800" i="4"/>
  <c r="AX801" i="2" s="1"/>
  <c r="S799" i="4"/>
  <c r="AX800" i="2" s="1"/>
  <c r="S798" i="4"/>
  <c r="AX799" i="2" s="1"/>
  <c r="S797" i="4"/>
  <c r="AX798" i="2" s="1"/>
  <c r="S796" i="4"/>
  <c r="AX797" i="2" s="1"/>
  <c r="S795" i="4"/>
  <c r="AX796" i="2" s="1"/>
  <c r="S794" i="4"/>
  <c r="AX795" i="2" s="1"/>
  <c r="S793" i="4"/>
  <c r="AX794" i="2" s="1"/>
  <c r="S792" i="4"/>
  <c r="AX793" i="2" s="1"/>
  <c r="S791" i="4"/>
  <c r="AX792" i="2" s="1"/>
  <c r="S790" i="4"/>
  <c r="AX791" i="2" s="1"/>
  <c r="S789" i="4"/>
  <c r="AX790" i="2" s="1"/>
  <c r="S788" i="4"/>
  <c r="AX789" i="2" s="1"/>
  <c r="S787" i="4"/>
  <c r="AX788" i="2" s="1"/>
  <c r="S786" i="4"/>
  <c r="AX787" i="2" s="1"/>
  <c r="S785" i="4"/>
  <c r="AX786" i="2" s="1"/>
  <c r="S784" i="4"/>
  <c r="AX785" i="2" s="1"/>
  <c r="S783" i="4"/>
  <c r="AX784" i="2" s="1"/>
  <c r="S782" i="4"/>
  <c r="AX783" i="2" s="1"/>
  <c r="S781" i="4"/>
  <c r="AX782" i="2" s="1"/>
  <c r="S780" i="4"/>
  <c r="AX781" i="2" s="1"/>
  <c r="S779" i="4"/>
  <c r="AX780" i="2" s="1"/>
  <c r="S778" i="4"/>
  <c r="AX779" i="2" s="1"/>
  <c r="S777" i="4"/>
  <c r="AX778" i="2" s="1"/>
  <c r="S776" i="4"/>
  <c r="AX777" i="2" s="1"/>
  <c r="S775" i="4"/>
  <c r="AX776" i="2" s="1"/>
  <c r="S774" i="4"/>
  <c r="AX775" i="2" s="1"/>
  <c r="S773" i="4"/>
  <c r="AX774" i="2" s="1"/>
  <c r="S772" i="4"/>
  <c r="AX773" i="2" s="1"/>
  <c r="S771" i="4"/>
  <c r="AX772" i="2" s="1"/>
  <c r="S770" i="4"/>
  <c r="AX771" i="2" s="1"/>
  <c r="S769" i="4"/>
  <c r="AX770" i="2" s="1"/>
  <c r="S768" i="4"/>
  <c r="AX769" i="2" s="1"/>
  <c r="S767" i="4"/>
  <c r="AX768" i="2" s="1"/>
  <c r="S766" i="4"/>
  <c r="AX767" i="2" s="1"/>
  <c r="S765" i="4"/>
  <c r="AX766" i="2" s="1"/>
  <c r="S764" i="4"/>
  <c r="AX765" i="2" s="1"/>
  <c r="S763" i="4"/>
  <c r="AX764" i="2" s="1"/>
  <c r="S762" i="4"/>
  <c r="AX763" i="2" s="1"/>
  <c r="S761" i="4"/>
  <c r="AX762" i="2" s="1"/>
  <c r="S760" i="4"/>
  <c r="AX761" i="2" s="1"/>
  <c r="S759" i="4"/>
  <c r="AX760" i="2" s="1"/>
  <c r="S758" i="4"/>
  <c r="AX759" i="2" s="1"/>
  <c r="S757" i="4"/>
  <c r="AX758" i="2" s="1"/>
  <c r="S756" i="4"/>
  <c r="AX757" i="2" s="1"/>
  <c r="S755" i="4"/>
  <c r="AX756" i="2" s="1"/>
  <c r="S754" i="4"/>
  <c r="AX755" i="2" s="1"/>
  <c r="S753" i="4"/>
  <c r="AX754" i="2" s="1"/>
  <c r="S752" i="4"/>
  <c r="AX753" i="2" s="1"/>
  <c r="S751" i="4"/>
  <c r="AX752" i="2" s="1"/>
  <c r="S750" i="4"/>
  <c r="AX751" i="2" s="1"/>
  <c r="S749" i="4"/>
  <c r="AX750" i="2" s="1"/>
  <c r="S748" i="4"/>
  <c r="AX749" i="2" s="1"/>
  <c r="S747" i="4"/>
  <c r="AX748" i="2" s="1"/>
  <c r="S746" i="4"/>
  <c r="AX747" i="2" s="1"/>
  <c r="S745" i="4"/>
  <c r="AX746" i="2" s="1"/>
  <c r="S744" i="4"/>
  <c r="AX745" i="2" s="1"/>
  <c r="S743" i="4"/>
  <c r="AX744" i="2" s="1"/>
  <c r="S742" i="4"/>
  <c r="AX743" i="2" s="1"/>
  <c r="S741" i="4"/>
  <c r="AX742" i="2" s="1"/>
  <c r="S740" i="4"/>
  <c r="AX741" i="2" s="1"/>
  <c r="S739" i="4"/>
  <c r="AX740" i="2" s="1"/>
  <c r="S738" i="4"/>
  <c r="AX739" i="2" s="1"/>
  <c r="S737" i="4"/>
  <c r="AX738" i="2" s="1"/>
  <c r="S736" i="4"/>
  <c r="AX737" i="2" s="1"/>
  <c r="S735" i="4"/>
  <c r="AX736" i="2" s="1"/>
  <c r="S734" i="4"/>
  <c r="AX735" i="2" s="1"/>
  <c r="S733" i="4"/>
  <c r="AX734" i="2" s="1"/>
  <c r="S732" i="4"/>
  <c r="AX733" i="2" s="1"/>
  <c r="S731" i="4"/>
  <c r="AX732" i="2" s="1"/>
  <c r="S730" i="4"/>
  <c r="AX731" i="2" s="1"/>
  <c r="S729" i="4"/>
  <c r="AX730" i="2" s="1"/>
  <c r="S728" i="4"/>
  <c r="AX729" i="2" s="1"/>
  <c r="S727" i="4"/>
  <c r="AX728" i="2" s="1"/>
  <c r="S726" i="4"/>
  <c r="AX727" i="2" s="1"/>
  <c r="S725" i="4"/>
  <c r="AX726" i="2" s="1"/>
  <c r="S724" i="4"/>
  <c r="AX725" i="2" s="1"/>
  <c r="S723" i="4"/>
  <c r="AX724" i="2" s="1"/>
  <c r="S722" i="4"/>
  <c r="AX723" i="2" s="1"/>
  <c r="S721" i="4"/>
  <c r="AX722" i="2" s="1"/>
  <c r="S720" i="4"/>
  <c r="AX721" i="2" s="1"/>
  <c r="S719" i="4"/>
  <c r="AX720" i="2" s="1"/>
  <c r="S718" i="4"/>
  <c r="AX719" i="2" s="1"/>
  <c r="S717" i="4"/>
  <c r="AX718" i="2" s="1"/>
  <c r="S716" i="4"/>
  <c r="AX717" i="2" s="1"/>
  <c r="S715" i="4"/>
  <c r="AX716" i="2" s="1"/>
  <c r="S714" i="4"/>
  <c r="AX715" i="2" s="1"/>
  <c r="S713" i="4"/>
  <c r="AX714" i="2" s="1"/>
  <c r="S712" i="4"/>
  <c r="AX713" i="2" s="1"/>
  <c r="S711" i="4"/>
  <c r="AX712" i="2" s="1"/>
  <c r="S710" i="4"/>
  <c r="AX711" i="2" s="1"/>
  <c r="S709" i="4"/>
  <c r="AX710" i="2" s="1"/>
  <c r="S708" i="4"/>
  <c r="AX709" i="2" s="1"/>
  <c r="S707" i="4"/>
  <c r="AX708" i="2" s="1"/>
  <c r="S706" i="4"/>
  <c r="AX707" i="2" s="1"/>
  <c r="S705" i="4"/>
  <c r="AX706" i="2" s="1"/>
  <c r="S704" i="4"/>
  <c r="AX705" i="2" s="1"/>
  <c r="S703" i="4"/>
  <c r="AX704" i="2" s="1"/>
  <c r="S702" i="4"/>
  <c r="AX703" i="2" s="1"/>
  <c r="S701" i="4"/>
  <c r="AX702" i="2" s="1"/>
  <c r="S700" i="4"/>
  <c r="AX701" i="2" s="1"/>
  <c r="S699" i="4"/>
  <c r="AX700" i="2" s="1"/>
  <c r="S698" i="4"/>
  <c r="AX699" i="2" s="1"/>
  <c r="S697" i="4"/>
  <c r="AX698" i="2" s="1"/>
  <c r="S696" i="4"/>
  <c r="AX697" i="2" s="1"/>
  <c r="S695" i="4"/>
  <c r="AX696" i="2" s="1"/>
  <c r="S694" i="4"/>
  <c r="AX695" i="2" s="1"/>
  <c r="S693" i="4"/>
  <c r="AX694" i="2" s="1"/>
  <c r="S692" i="4"/>
  <c r="AX693" i="2" s="1"/>
  <c r="S691" i="4"/>
  <c r="AX692" i="2" s="1"/>
  <c r="S690" i="4"/>
  <c r="AX691" i="2" s="1"/>
  <c r="S689" i="4"/>
  <c r="AX690" i="2" s="1"/>
  <c r="S688" i="4"/>
  <c r="AX689" i="2" s="1"/>
  <c r="S687" i="4"/>
  <c r="AX688" i="2" s="1"/>
  <c r="S686" i="4"/>
  <c r="AX687" i="2" s="1"/>
  <c r="S685" i="4"/>
  <c r="AX686" i="2" s="1"/>
  <c r="S684" i="4"/>
  <c r="AX685" i="2" s="1"/>
  <c r="S683" i="4"/>
  <c r="AX684" i="2" s="1"/>
  <c r="S682" i="4"/>
  <c r="AX683" i="2" s="1"/>
  <c r="S681" i="4"/>
  <c r="AX682" i="2" s="1"/>
  <c r="S680" i="4"/>
  <c r="AX681" i="2" s="1"/>
  <c r="S679" i="4"/>
  <c r="AX680" i="2" s="1"/>
  <c r="S678" i="4"/>
  <c r="AX679" i="2" s="1"/>
  <c r="S677" i="4"/>
  <c r="AX678" i="2" s="1"/>
  <c r="S676" i="4"/>
  <c r="AX677" i="2" s="1"/>
  <c r="S675" i="4"/>
  <c r="AX676" i="2" s="1"/>
  <c r="S674" i="4"/>
  <c r="AX675" i="2" s="1"/>
  <c r="S673" i="4"/>
  <c r="AX674" i="2" s="1"/>
  <c r="S672" i="4"/>
  <c r="AX673" i="2" s="1"/>
  <c r="S671" i="4"/>
  <c r="AX672" i="2" s="1"/>
  <c r="S670" i="4"/>
  <c r="AX671" i="2" s="1"/>
  <c r="S669" i="4"/>
  <c r="AX670" i="2" s="1"/>
  <c r="S668" i="4"/>
  <c r="AX669" i="2" s="1"/>
  <c r="S667" i="4"/>
  <c r="AX668" i="2" s="1"/>
  <c r="S666" i="4"/>
  <c r="AX667" i="2" s="1"/>
  <c r="S665" i="4"/>
  <c r="AX666" i="2" s="1"/>
  <c r="S664" i="4"/>
  <c r="AX665" i="2" s="1"/>
  <c r="S663" i="4"/>
  <c r="AX664" i="2" s="1"/>
  <c r="S662" i="4"/>
  <c r="AX663" i="2" s="1"/>
  <c r="S661" i="4"/>
  <c r="AX662" i="2" s="1"/>
  <c r="S660" i="4"/>
  <c r="AX661" i="2" s="1"/>
  <c r="S659" i="4"/>
  <c r="AX660" i="2" s="1"/>
  <c r="S658" i="4"/>
  <c r="AX659" i="2" s="1"/>
  <c r="S657" i="4"/>
  <c r="AX658" i="2" s="1"/>
  <c r="S656" i="4"/>
  <c r="AX657" i="2" s="1"/>
  <c r="S655" i="4"/>
  <c r="AX656" i="2" s="1"/>
  <c r="S654" i="4"/>
  <c r="AX655" i="2" s="1"/>
  <c r="S653" i="4"/>
  <c r="AX654" i="2" s="1"/>
  <c r="S652" i="4"/>
  <c r="AX653" i="2" s="1"/>
  <c r="S651" i="4"/>
  <c r="AX652" i="2" s="1"/>
  <c r="S650" i="4"/>
  <c r="AX651" i="2" s="1"/>
  <c r="S649" i="4"/>
  <c r="AX650" i="2" s="1"/>
  <c r="S648" i="4"/>
  <c r="AX649" i="2" s="1"/>
  <c r="S647" i="4"/>
  <c r="AX648" i="2" s="1"/>
  <c r="S646" i="4"/>
  <c r="AX647" i="2" s="1"/>
  <c r="S645" i="4"/>
  <c r="AX646" i="2" s="1"/>
  <c r="S644" i="4"/>
  <c r="AX645" i="2" s="1"/>
  <c r="S643" i="4"/>
  <c r="AX644" i="2" s="1"/>
  <c r="S642" i="4"/>
  <c r="AX643" i="2" s="1"/>
  <c r="S641" i="4"/>
  <c r="AX642" i="2" s="1"/>
  <c r="S640" i="4"/>
  <c r="AX641" i="2" s="1"/>
  <c r="S639" i="4"/>
  <c r="AX640" i="2" s="1"/>
  <c r="S638" i="4"/>
  <c r="AX639" i="2" s="1"/>
  <c r="S637" i="4"/>
  <c r="AX638" i="2" s="1"/>
  <c r="S636" i="4"/>
  <c r="AX637" i="2" s="1"/>
  <c r="S635" i="4"/>
  <c r="AX636" i="2" s="1"/>
  <c r="S634" i="4"/>
  <c r="AX635" i="2" s="1"/>
  <c r="S633" i="4"/>
  <c r="AX634" i="2" s="1"/>
  <c r="S632" i="4"/>
  <c r="AX633" i="2" s="1"/>
  <c r="S631" i="4"/>
  <c r="AX632" i="2" s="1"/>
  <c r="S630" i="4"/>
  <c r="AX631" i="2" s="1"/>
  <c r="S629" i="4"/>
  <c r="AX630" i="2" s="1"/>
  <c r="S628" i="4"/>
  <c r="AX629" i="2" s="1"/>
  <c r="S627" i="4"/>
  <c r="AX628" i="2" s="1"/>
  <c r="S626" i="4"/>
  <c r="AX627" i="2" s="1"/>
  <c r="S625" i="4"/>
  <c r="AX626" i="2" s="1"/>
  <c r="S624" i="4"/>
  <c r="AX625" i="2" s="1"/>
  <c r="S623" i="4"/>
  <c r="AX624" i="2" s="1"/>
  <c r="S622" i="4"/>
  <c r="AX623" i="2" s="1"/>
  <c r="S621" i="4"/>
  <c r="AX622" i="2" s="1"/>
  <c r="S620" i="4"/>
  <c r="AX621" i="2" s="1"/>
  <c r="S619" i="4"/>
  <c r="AX620" i="2" s="1"/>
  <c r="S618" i="4"/>
  <c r="AX619" i="2" s="1"/>
  <c r="S617" i="4"/>
  <c r="AX618" i="2" s="1"/>
  <c r="S616" i="4"/>
  <c r="AX617" i="2" s="1"/>
  <c r="S615" i="4"/>
  <c r="AX616" i="2" s="1"/>
  <c r="S614" i="4"/>
  <c r="AX615" i="2" s="1"/>
  <c r="S613" i="4"/>
  <c r="AX614" i="2" s="1"/>
  <c r="S612" i="4"/>
  <c r="AX613" i="2" s="1"/>
  <c r="S611" i="4"/>
  <c r="AX612" i="2" s="1"/>
  <c r="S610" i="4"/>
  <c r="AX611" i="2" s="1"/>
  <c r="S609" i="4"/>
  <c r="AX610" i="2" s="1"/>
  <c r="S608" i="4"/>
  <c r="AX609" i="2" s="1"/>
  <c r="S607" i="4"/>
  <c r="AX608" i="2" s="1"/>
  <c r="S606" i="4"/>
  <c r="AX607" i="2" s="1"/>
  <c r="S605" i="4"/>
  <c r="AX606" i="2" s="1"/>
  <c r="S604" i="4"/>
  <c r="AX605" i="2" s="1"/>
  <c r="S603" i="4"/>
  <c r="AX604" i="2" s="1"/>
  <c r="S602" i="4"/>
  <c r="AX603" i="2" s="1"/>
  <c r="S601" i="4"/>
  <c r="AX602" i="2" s="1"/>
  <c r="S600" i="4"/>
  <c r="AX601" i="2" s="1"/>
  <c r="S599" i="4"/>
  <c r="AX600" i="2" s="1"/>
  <c r="S598" i="4"/>
  <c r="AX599" i="2" s="1"/>
  <c r="S597" i="4"/>
  <c r="AX598" i="2" s="1"/>
  <c r="S596" i="4"/>
  <c r="AX597" i="2" s="1"/>
  <c r="S595" i="4"/>
  <c r="AX596" i="2" s="1"/>
  <c r="S594" i="4"/>
  <c r="AX595" i="2" s="1"/>
  <c r="S593" i="4"/>
  <c r="AX594" i="2" s="1"/>
  <c r="S592" i="4"/>
  <c r="AX593" i="2" s="1"/>
  <c r="S591" i="4"/>
  <c r="AX592" i="2" s="1"/>
  <c r="S590" i="4"/>
  <c r="AX591" i="2" s="1"/>
  <c r="S589" i="4"/>
  <c r="AX590" i="2" s="1"/>
  <c r="S588" i="4"/>
  <c r="AX589" i="2" s="1"/>
  <c r="S587" i="4"/>
  <c r="AX588" i="2" s="1"/>
  <c r="S586" i="4"/>
  <c r="AX587" i="2" s="1"/>
  <c r="S585" i="4"/>
  <c r="AX586" i="2" s="1"/>
  <c r="S584" i="4"/>
  <c r="AX585" i="2" s="1"/>
  <c r="S583" i="4"/>
  <c r="AX584" i="2" s="1"/>
  <c r="S582" i="4"/>
  <c r="AX583" i="2" s="1"/>
  <c r="S581" i="4"/>
  <c r="AX582" i="2" s="1"/>
  <c r="S580" i="4"/>
  <c r="AX581" i="2" s="1"/>
  <c r="S579" i="4"/>
  <c r="AX580" i="2" s="1"/>
  <c r="S578" i="4"/>
  <c r="AX579" i="2" s="1"/>
  <c r="S577" i="4"/>
  <c r="AX578" i="2" s="1"/>
  <c r="S576" i="4"/>
  <c r="AX577" i="2" s="1"/>
  <c r="S575" i="4"/>
  <c r="AX576" i="2" s="1"/>
  <c r="S574" i="4"/>
  <c r="AX575" i="2" s="1"/>
  <c r="S573" i="4"/>
  <c r="AX574" i="2" s="1"/>
  <c r="S572" i="4"/>
  <c r="AX573" i="2" s="1"/>
  <c r="S571" i="4"/>
  <c r="AX572" i="2" s="1"/>
  <c r="S570" i="4"/>
  <c r="AX571" i="2" s="1"/>
  <c r="S569" i="4"/>
  <c r="AX570" i="2" s="1"/>
  <c r="S568" i="4"/>
  <c r="AX569" i="2" s="1"/>
  <c r="S567" i="4"/>
  <c r="AX568" i="2" s="1"/>
  <c r="S566" i="4"/>
  <c r="AX567" i="2" s="1"/>
  <c r="S565" i="4"/>
  <c r="AX566" i="2" s="1"/>
  <c r="S564" i="4"/>
  <c r="AX565" i="2" s="1"/>
  <c r="S563" i="4"/>
  <c r="AX564" i="2" s="1"/>
  <c r="S562" i="4"/>
  <c r="AX563" i="2" s="1"/>
  <c r="S561" i="4"/>
  <c r="AX562" i="2" s="1"/>
  <c r="S560" i="4"/>
  <c r="AX561" i="2" s="1"/>
  <c r="S559" i="4"/>
  <c r="AX560" i="2" s="1"/>
  <c r="S558" i="4"/>
  <c r="AX559" i="2" s="1"/>
  <c r="S557" i="4"/>
  <c r="AX558" i="2" s="1"/>
  <c r="S556" i="4"/>
  <c r="AX557" i="2" s="1"/>
  <c r="S555" i="4"/>
  <c r="AX556" i="2" s="1"/>
  <c r="S554" i="4"/>
  <c r="AX555" i="2" s="1"/>
  <c r="S553" i="4"/>
  <c r="AX554" i="2" s="1"/>
  <c r="S552" i="4"/>
  <c r="AX553" i="2" s="1"/>
  <c r="S551" i="4"/>
  <c r="AX552" i="2" s="1"/>
  <c r="S550" i="4"/>
  <c r="AX551" i="2" s="1"/>
  <c r="S549" i="4"/>
  <c r="AX550" i="2" s="1"/>
  <c r="S548" i="4"/>
  <c r="AX549" i="2" s="1"/>
  <c r="S547" i="4"/>
  <c r="AX548" i="2" s="1"/>
  <c r="S546" i="4"/>
  <c r="AX547" i="2" s="1"/>
  <c r="S545" i="4"/>
  <c r="AX546" i="2" s="1"/>
  <c r="S544" i="4"/>
  <c r="AX545" i="2" s="1"/>
  <c r="S543" i="4"/>
  <c r="AX544" i="2" s="1"/>
  <c r="S542" i="4"/>
  <c r="AX543" i="2" s="1"/>
  <c r="S541" i="4"/>
  <c r="AX542" i="2" s="1"/>
  <c r="S540" i="4"/>
  <c r="AX541" i="2" s="1"/>
  <c r="S539" i="4"/>
  <c r="AX540" i="2" s="1"/>
  <c r="S538" i="4"/>
  <c r="AX539" i="2" s="1"/>
  <c r="S537" i="4"/>
  <c r="AX538" i="2" s="1"/>
  <c r="S536" i="4"/>
  <c r="AX537" i="2" s="1"/>
  <c r="S535" i="4"/>
  <c r="AX536" i="2" s="1"/>
  <c r="S534" i="4"/>
  <c r="AX535" i="2" s="1"/>
  <c r="S533" i="4"/>
  <c r="AX534" i="2" s="1"/>
  <c r="S532" i="4"/>
  <c r="AX533" i="2" s="1"/>
  <c r="S531" i="4"/>
  <c r="AX532" i="2" s="1"/>
  <c r="S530" i="4"/>
  <c r="AX531" i="2" s="1"/>
  <c r="S529" i="4"/>
  <c r="AX530" i="2" s="1"/>
  <c r="S528" i="4"/>
  <c r="AX529" i="2" s="1"/>
  <c r="S527" i="4"/>
  <c r="AX528" i="2" s="1"/>
  <c r="S526" i="4"/>
  <c r="AX527" i="2" s="1"/>
  <c r="S525" i="4"/>
  <c r="AX526" i="2" s="1"/>
  <c r="S524" i="4"/>
  <c r="AX525" i="2" s="1"/>
  <c r="S523" i="4"/>
  <c r="AX524" i="2" s="1"/>
  <c r="S522" i="4"/>
  <c r="AX523" i="2" s="1"/>
  <c r="S521" i="4"/>
  <c r="AX522" i="2" s="1"/>
  <c r="S520" i="4"/>
  <c r="AX521" i="2" s="1"/>
  <c r="S519" i="4"/>
  <c r="AX520" i="2" s="1"/>
  <c r="S518" i="4"/>
  <c r="AX519" i="2" s="1"/>
  <c r="S517" i="4"/>
  <c r="AX518" i="2" s="1"/>
  <c r="S516" i="4"/>
  <c r="AX517" i="2" s="1"/>
  <c r="S515" i="4"/>
  <c r="AX516" i="2" s="1"/>
  <c r="S514" i="4"/>
  <c r="AX515" i="2" s="1"/>
  <c r="S513" i="4"/>
  <c r="AX514" i="2" s="1"/>
  <c r="S512" i="4"/>
  <c r="AX513" i="2" s="1"/>
  <c r="S511" i="4"/>
  <c r="AX512" i="2" s="1"/>
  <c r="S510" i="4"/>
  <c r="AX511" i="2" s="1"/>
  <c r="S509" i="4"/>
  <c r="AX510" i="2" s="1"/>
  <c r="S508" i="4"/>
  <c r="AX509" i="2" s="1"/>
  <c r="S507" i="4"/>
  <c r="AX508" i="2" s="1"/>
  <c r="S506" i="4"/>
  <c r="AX507" i="2" s="1"/>
  <c r="S505" i="4"/>
  <c r="AX506" i="2" s="1"/>
  <c r="S504" i="4"/>
  <c r="AX505" i="2" s="1"/>
  <c r="S503" i="4"/>
  <c r="AX504" i="2" s="1"/>
  <c r="S502" i="4"/>
  <c r="AX503" i="2" s="1"/>
  <c r="S501" i="4"/>
  <c r="AX502" i="2" s="1"/>
  <c r="S500" i="4"/>
  <c r="AX501" i="2" s="1"/>
  <c r="S499" i="4"/>
  <c r="AX500" i="2" s="1"/>
  <c r="S498" i="4"/>
  <c r="AX499" i="2" s="1"/>
  <c r="S497" i="4"/>
  <c r="AX498" i="2" s="1"/>
  <c r="S496" i="4"/>
  <c r="AX497" i="2" s="1"/>
  <c r="S495" i="4"/>
  <c r="AX496" i="2" s="1"/>
  <c r="S494" i="4"/>
  <c r="AX495" i="2" s="1"/>
  <c r="S493" i="4"/>
  <c r="AX494" i="2" s="1"/>
  <c r="S492" i="4"/>
  <c r="AX493" i="2" s="1"/>
  <c r="S491" i="4"/>
  <c r="AX492" i="2" s="1"/>
  <c r="S490" i="4"/>
  <c r="AX491" i="2" s="1"/>
  <c r="S489" i="4"/>
  <c r="AX490" i="2" s="1"/>
  <c r="S488" i="4"/>
  <c r="AX489" i="2" s="1"/>
  <c r="S487" i="4"/>
  <c r="AX488" i="2" s="1"/>
  <c r="S486" i="4"/>
  <c r="AX487" i="2" s="1"/>
  <c r="S485" i="4"/>
  <c r="AX486" i="2" s="1"/>
  <c r="S484" i="4"/>
  <c r="AX485" i="2" s="1"/>
  <c r="S483" i="4"/>
  <c r="AX484" i="2" s="1"/>
  <c r="S482" i="4"/>
  <c r="AX483" i="2" s="1"/>
  <c r="S481" i="4"/>
  <c r="AX482" i="2" s="1"/>
  <c r="S480" i="4"/>
  <c r="AX481" i="2" s="1"/>
  <c r="S479" i="4"/>
  <c r="AX480" i="2" s="1"/>
  <c r="S478" i="4"/>
  <c r="AX479" i="2" s="1"/>
  <c r="S477" i="4"/>
  <c r="AX478" i="2" s="1"/>
  <c r="S476" i="4"/>
  <c r="AX477" i="2" s="1"/>
  <c r="S475" i="4"/>
  <c r="AX476" i="2" s="1"/>
  <c r="S474" i="4"/>
  <c r="AX475" i="2" s="1"/>
  <c r="S473" i="4"/>
  <c r="AX474" i="2" s="1"/>
  <c r="S472" i="4"/>
  <c r="AX473" i="2" s="1"/>
  <c r="S471" i="4"/>
  <c r="AX472" i="2" s="1"/>
  <c r="S470" i="4"/>
  <c r="AX471" i="2" s="1"/>
  <c r="S469" i="4"/>
  <c r="AX470" i="2" s="1"/>
  <c r="S468" i="4"/>
  <c r="AX469" i="2" s="1"/>
  <c r="S467" i="4"/>
  <c r="AX468" i="2" s="1"/>
  <c r="S466" i="4"/>
  <c r="AX467" i="2" s="1"/>
  <c r="S465" i="4"/>
  <c r="AX466" i="2" s="1"/>
  <c r="S464" i="4"/>
  <c r="AX465" i="2" s="1"/>
  <c r="S463" i="4"/>
  <c r="AX464" i="2" s="1"/>
  <c r="S462" i="4"/>
  <c r="AX463" i="2" s="1"/>
  <c r="S461" i="4"/>
  <c r="AX462" i="2" s="1"/>
  <c r="S460" i="4"/>
  <c r="AX461" i="2" s="1"/>
  <c r="S459" i="4"/>
  <c r="AX460" i="2" s="1"/>
  <c r="S458" i="4"/>
  <c r="AX459" i="2" s="1"/>
  <c r="S457" i="4"/>
  <c r="AX458" i="2" s="1"/>
  <c r="S456" i="4"/>
  <c r="AX457" i="2" s="1"/>
  <c r="S455" i="4"/>
  <c r="AX456" i="2" s="1"/>
  <c r="S454" i="4"/>
  <c r="AX455" i="2" s="1"/>
  <c r="S453" i="4"/>
  <c r="AX454" i="2" s="1"/>
  <c r="S452" i="4"/>
  <c r="AX453" i="2" s="1"/>
  <c r="S451" i="4"/>
  <c r="AX452" i="2" s="1"/>
  <c r="S450" i="4"/>
  <c r="AX451" i="2" s="1"/>
  <c r="S449" i="4"/>
  <c r="AX450" i="2" s="1"/>
  <c r="S448" i="4"/>
  <c r="AX449" i="2" s="1"/>
  <c r="S447" i="4"/>
  <c r="AX448" i="2" s="1"/>
  <c r="S446" i="4"/>
  <c r="AX447" i="2" s="1"/>
  <c r="S445" i="4"/>
  <c r="AX446" i="2" s="1"/>
  <c r="S444" i="4"/>
  <c r="AX445" i="2" s="1"/>
  <c r="S443" i="4"/>
  <c r="AX444" i="2" s="1"/>
  <c r="S442" i="4"/>
  <c r="AX443" i="2" s="1"/>
  <c r="S441" i="4"/>
  <c r="AX442" i="2" s="1"/>
  <c r="S440" i="4"/>
  <c r="AX441" i="2" s="1"/>
  <c r="S439" i="4"/>
  <c r="AX440" i="2" s="1"/>
  <c r="S438" i="4"/>
  <c r="AX439" i="2" s="1"/>
  <c r="S437" i="4"/>
  <c r="AX438" i="2" s="1"/>
  <c r="S436" i="4"/>
  <c r="AX437" i="2" s="1"/>
  <c r="S435" i="4"/>
  <c r="AX436" i="2" s="1"/>
  <c r="S434" i="4"/>
  <c r="AX435" i="2" s="1"/>
  <c r="S433" i="4"/>
  <c r="AX434" i="2" s="1"/>
  <c r="S432" i="4"/>
  <c r="AX433" i="2" s="1"/>
  <c r="S431" i="4"/>
  <c r="AX432" i="2" s="1"/>
  <c r="S430" i="4"/>
  <c r="AX431" i="2" s="1"/>
  <c r="S429" i="4"/>
  <c r="AX430" i="2" s="1"/>
  <c r="S428" i="4"/>
  <c r="AX429" i="2" s="1"/>
  <c r="S427" i="4"/>
  <c r="AX428" i="2" s="1"/>
  <c r="S426" i="4"/>
  <c r="AX427" i="2" s="1"/>
  <c r="S425" i="4"/>
  <c r="AX426" i="2" s="1"/>
  <c r="S424" i="4"/>
  <c r="AX425" i="2" s="1"/>
  <c r="S423" i="4"/>
  <c r="AX424" i="2" s="1"/>
  <c r="S422" i="4"/>
  <c r="AX423" i="2" s="1"/>
  <c r="S421" i="4"/>
  <c r="AX422" i="2" s="1"/>
  <c r="S420" i="4"/>
  <c r="AX421" i="2" s="1"/>
  <c r="S419" i="4"/>
  <c r="AX420" i="2" s="1"/>
  <c r="S418" i="4"/>
  <c r="AX419" i="2" s="1"/>
  <c r="S417" i="4"/>
  <c r="AX418" i="2" s="1"/>
  <c r="S416" i="4"/>
  <c r="AX417" i="2" s="1"/>
  <c r="S415" i="4"/>
  <c r="AX416" i="2" s="1"/>
  <c r="S414" i="4"/>
  <c r="AX415" i="2" s="1"/>
  <c r="S413" i="4"/>
  <c r="AX414" i="2" s="1"/>
  <c r="S412" i="4"/>
  <c r="AX413" i="2" s="1"/>
  <c r="S411" i="4"/>
  <c r="AX412" i="2" s="1"/>
  <c r="S410" i="4"/>
  <c r="AX411" i="2" s="1"/>
  <c r="S409" i="4"/>
  <c r="AX410" i="2" s="1"/>
  <c r="S408" i="4"/>
  <c r="AX409" i="2" s="1"/>
  <c r="S407" i="4"/>
  <c r="AX408" i="2" s="1"/>
  <c r="S406" i="4"/>
  <c r="AX407" i="2" s="1"/>
  <c r="S405" i="4"/>
  <c r="AX406" i="2" s="1"/>
  <c r="S404" i="4"/>
  <c r="AX405" i="2" s="1"/>
  <c r="S403" i="4"/>
  <c r="AX404" i="2" s="1"/>
  <c r="S402" i="4"/>
  <c r="AX403" i="2" s="1"/>
  <c r="S401" i="4"/>
  <c r="AX402" i="2" s="1"/>
  <c r="S400" i="4"/>
  <c r="AX401" i="2" s="1"/>
  <c r="S399" i="4"/>
  <c r="AX400" i="2" s="1"/>
  <c r="S398" i="4"/>
  <c r="AX399" i="2" s="1"/>
  <c r="S397" i="4"/>
  <c r="AX398" i="2" s="1"/>
  <c r="S396" i="4"/>
  <c r="AX397" i="2" s="1"/>
  <c r="S395" i="4"/>
  <c r="AX396" i="2" s="1"/>
  <c r="S394" i="4"/>
  <c r="AX395" i="2" s="1"/>
  <c r="S393" i="4"/>
  <c r="AX394" i="2" s="1"/>
  <c r="S392" i="4"/>
  <c r="AX393" i="2" s="1"/>
  <c r="S391" i="4"/>
  <c r="AX392" i="2" s="1"/>
  <c r="S390" i="4"/>
  <c r="AX391" i="2" s="1"/>
  <c r="S389" i="4"/>
  <c r="AX390" i="2" s="1"/>
  <c r="S388" i="4"/>
  <c r="AX389" i="2" s="1"/>
  <c r="S387" i="4"/>
  <c r="AX388" i="2" s="1"/>
  <c r="S386" i="4"/>
  <c r="AX387" i="2" s="1"/>
  <c r="S385" i="4"/>
  <c r="AX386" i="2" s="1"/>
  <c r="S384" i="4"/>
  <c r="AX385" i="2" s="1"/>
  <c r="S383" i="4"/>
  <c r="AX384" i="2" s="1"/>
  <c r="S382" i="4"/>
  <c r="AX383" i="2" s="1"/>
  <c r="S381" i="4"/>
  <c r="AX382" i="2" s="1"/>
  <c r="S380" i="4"/>
  <c r="AX381" i="2" s="1"/>
  <c r="S379" i="4"/>
  <c r="AX380" i="2" s="1"/>
  <c r="S378" i="4"/>
  <c r="AX379" i="2" s="1"/>
  <c r="S377" i="4"/>
  <c r="AX378" i="2" s="1"/>
  <c r="S376" i="4"/>
  <c r="AX377" i="2" s="1"/>
  <c r="S375" i="4"/>
  <c r="AX376" i="2" s="1"/>
  <c r="S374" i="4"/>
  <c r="AX375" i="2" s="1"/>
  <c r="S373" i="4"/>
  <c r="AX374" i="2" s="1"/>
  <c r="S372" i="4"/>
  <c r="AX373" i="2" s="1"/>
  <c r="S371" i="4"/>
  <c r="AX372" i="2" s="1"/>
  <c r="S370" i="4"/>
  <c r="AX371" i="2" s="1"/>
  <c r="S369" i="4"/>
  <c r="AX370" i="2" s="1"/>
  <c r="S368" i="4"/>
  <c r="AX369" i="2" s="1"/>
  <c r="S367" i="4"/>
  <c r="AX368" i="2" s="1"/>
  <c r="S366" i="4"/>
  <c r="AX367" i="2" s="1"/>
  <c r="S365" i="4"/>
  <c r="AX366" i="2" s="1"/>
  <c r="S364" i="4"/>
  <c r="AX365" i="2" s="1"/>
  <c r="S363" i="4"/>
  <c r="AX364" i="2" s="1"/>
  <c r="S362" i="4"/>
  <c r="AX363" i="2" s="1"/>
  <c r="S361" i="4"/>
  <c r="AX362" i="2" s="1"/>
  <c r="S360" i="4"/>
  <c r="AX361" i="2" s="1"/>
  <c r="S359" i="4"/>
  <c r="AX360" i="2" s="1"/>
  <c r="S358" i="4"/>
  <c r="AX359" i="2" s="1"/>
  <c r="S357" i="4"/>
  <c r="AX358" i="2" s="1"/>
  <c r="S356" i="4"/>
  <c r="AX357" i="2" s="1"/>
  <c r="S355" i="4"/>
  <c r="AX356" i="2" s="1"/>
  <c r="S354" i="4"/>
  <c r="AX355" i="2" s="1"/>
  <c r="S353" i="4"/>
  <c r="AX354" i="2" s="1"/>
  <c r="S352" i="4"/>
  <c r="AX353" i="2" s="1"/>
  <c r="S351" i="4"/>
  <c r="AX352" i="2" s="1"/>
  <c r="S350" i="4"/>
  <c r="AX351" i="2" s="1"/>
  <c r="S349" i="4"/>
  <c r="AX350" i="2" s="1"/>
  <c r="S348" i="4"/>
  <c r="AX349" i="2" s="1"/>
  <c r="S347" i="4"/>
  <c r="AX348" i="2" s="1"/>
  <c r="S346" i="4"/>
  <c r="AX347" i="2" s="1"/>
  <c r="S345" i="4"/>
  <c r="AX346" i="2" s="1"/>
  <c r="S344" i="4"/>
  <c r="AX345" i="2" s="1"/>
  <c r="S343" i="4"/>
  <c r="AX344" i="2" s="1"/>
  <c r="S342" i="4"/>
  <c r="AX343" i="2" s="1"/>
  <c r="S341" i="4"/>
  <c r="AX342" i="2" s="1"/>
  <c r="S340" i="4"/>
  <c r="AX341" i="2" s="1"/>
  <c r="S339" i="4"/>
  <c r="AX340" i="2" s="1"/>
  <c r="S338" i="4"/>
  <c r="AX339" i="2" s="1"/>
  <c r="S337" i="4"/>
  <c r="AX338" i="2" s="1"/>
  <c r="S336" i="4"/>
  <c r="AX337" i="2" s="1"/>
  <c r="S335" i="4"/>
  <c r="AX336" i="2" s="1"/>
  <c r="S334" i="4"/>
  <c r="AX335" i="2" s="1"/>
  <c r="S333" i="4"/>
  <c r="AX334" i="2" s="1"/>
  <c r="S332" i="4"/>
  <c r="AX333" i="2" s="1"/>
  <c r="S331" i="4"/>
  <c r="AX332" i="2" s="1"/>
  <c r="S330" i="4"/>
  <c r="AX331" i="2" s="1"/>
  <c r="S329" i="4"/>
  <c r="AX330" i="2" s="1"/>
  <c r="S328" i="4"/>
  <c r="AX329" i="2" s="1"/>
  <c r="S327" i="4"/>
  <c r="AX328" i="2" s="1"/>
  <c r="S326" i="4"/>
  <c r="AX327" i="2" s="1"/>
  <c r="S325" i="4"/>
  <c r="AX326" i="2" s="1"/>
  <c r="S324" i="4"/>
  <c r="AX325" i="2" s="1"/>
  <c r="S323" i="4"/>
  <c r="AX324" i="2" s="1"/>
  <c r="S322" i="4"/>
  <c r="AX323" i="2" s="1"/>
  <c r="S321" i="4"/>
  <c r="AX322" i="2" s="1"/>
  <c r="S320" i="4"/>
  <c r="AX321" i="2" s="1"/>
  <c r="S319" i="4"/>
  <c r="AX320" i="2" s="1"/>
  <c r="S318" i="4"/>
  <c r="AX319" i="2" s="1"/>
  <c r="S317" i="4"/>
  <c r="AX318" i="2" s="1"/>
  <c r="S316" i="4"/>
  <c r="AX317" i="2" s="1"/>
  <c r="S315" i="4"/>
  <c r="AX316" i="2" s="1"/>
  <c r="S314" i="4"/>
  <c r="AX315" i="2" s="1"/>
  <c r="S313" i="4"/>
  <c r="AX314" i="2" s="1"/>
  <c r="S312" i="4"/>
  <c r="AX313" i="2" s="1"/>
  <c r="S311" i="4"/>
  <c r="AX312" i="2" s="1"/>
  <c r="S310" i="4"/>
  <c r="AX311" i="2" s="1"/>
  <c r="S309" i="4"/>
  <c r="AX310" i="2" s="1"/>
  <c r="S308" i="4"/>
  <c r="AX309" i="2" s="1"/>
  <c r="S307" i="4"/>
  <c r="AX308" i="2" s="1"/>
  <c r="S306" i="4"/>
  <c r="AX307" i="2" s="1"/>
  <c r="S305" i="4"/>
  <c r="AX306" i="2" s="1"/>
  <c r="S304" i="4"/>
  <c r="AX305" i="2" s="1"/>
  <c r="S303" i="4"/>
  <c r="AX304" i="2" s="1"/>
  <c r="S302" i="4"/>
  <c r="AX303" i="2" s="1"/>
  <c r="S301" i="4"/>
  <c r="AX302" i="2" s="1"/>
  <c r="S300" i="4"/>
  <c r="AX301" i="2" s="1"/>
  <c r="S299" i="4"/>
  <c r="AX300" i="2" s="1"/>
  <c r="S298" i="4"/>
  <c r="AX299" i="2" s="1"/>
  <c r="S297" i="4"/>
  <c r="AX298" i="2" s="1"/>
  <c r="S296" i="4"/>
  <c r="AX297" i="2" s="1"/>
  <c r="S295" i="4"/>
  <c r="AX296" i="2" s="1"/>
  <c r="S294" i="4"/>
  <c r="AX295" i="2" s="1"/>
  <c r="S293" i="4"/>
  <c r="AX294" i="2" s="1"/>
  <c r="S292" i="4"/>
  <c r="AX293" i="2" s="1"/>
  <c r="S291" i="4"/>
  <c r="AX292" i="2" s="1"/>
  <c r="S290" i="4"/>
  <c r="AX291" i="2" s="1"/>
  <c r="S289" i="4"/>
  <c r="AX290" i="2" s="1"/>
  <c r="S288" i="4"/>
  <c r="AX289" i="2" s="1"/>
  <c r="S287" i="4"/>
  <c r="AX288" i="2" s="1"/>
  <c r="S286" i="4"/>
  <c r="AX287" i="2" s="1"/>
  <c r="S285" i="4"/>
  <c r="AX286" i="2" s="1"/>
  <c r="S284" i="4"/>
  <c r="AX285" i="2" s="1"/>
  <c r="S283" i="4"/>
  <c r="AX284" i="2" s="1"/>
  <c r="S282" i="4"/>
  <c r="AX283" i="2" s="1"/>
  <c r="S281" i="4"/>
  <c r="AX282" i="2" s="1"/>
  <c r="S280" i="4"/>
  <c r="AX281" i="2" s="1"/>
  <c r="S279" i="4"/>
  <c r="AX280" i="2" s="1"/>
  <c r="S278" i="4"/>
  <c r="AX279" i="2" s="1"/>
  <c r="S277" i="4"/>
  <c r="AX278" i="2" s="1"/>
  <c r="S276" i="4"/>
  <c r="AX277" i="2" s="1"/>
  <c r="S275" i="4"/>
  <c r="AX276" i="2" s="1"/>
  <c r="S274" i="4"/>
  <c r="AX275" i="2" s="1"/>
  <c r="S273" i="4"/>
  <c r="AX274" i="2" s="1"/>
  <c r="S272" i="4"/>
  <c r="AX273" i="2" s="1"/>
  <c r="S271" i="4"/>
  <c r="AX272" i="2" s="1"/>
  <c r="S270" i="4"/>
  <c r="AX271" i="2" s="1"/>
  <c r="S269" i="4"/>
  <c r="AX270" i="2" s="1"/>
  <c r="S268" i="4"/>
  <c r="AX269" i="2" s="1"/>
  <c r="S267" i="4"/>
  <c r="AX268" i="2" s="1"/>
  <c r="S266" i="4"/>
  <c r="AX267" i="2" s="1"/>
  <c r="S265" i="4"/>
  <c r="AX266" i="2" s="1"/>
  <c r="S264" i="4"/>
  <c r="AX265" i="2" s="1"/>
  <c r="S263" i="4"/>
  <c r="AX264" i="2" s="1"/>
  <c r="S262" i="4"/>
  <c r="AX263" i="2" s="1"/>
  <c r="S261" i="4"/>
  <c r="AX262" i="2" s="1"/>
  <c r="S260" i="4"/>
  <c r="AX261" i="2" s="1"/>
  <c r="S259" i="4"/>
  <c r="AX260" i="2" s="1"/>
  <c r="S258" i="4"/>
  <c r="AX259" i="2" s="1"/>
  <c r="S257" i="4"/>
  <c r="AX258" i="2" s="1"/>
  <c r="S256" i="4"/>
  <c r="AX257" i="2" s="1"/>
  <c r="S255" i="4"/>
  <c r="AX256" i="2" s="1"/>
  <c r="S254" i="4"/>
  <c r="AX255" i="2" s="1"/>
  <c r="S253" i="4"/>
  <c r="AX254" i="2" s="1"/>
  <c r="S252" i="4"/>
  <c r="AX253" i="2" s="1"/>
  <c r="S251" i="4"/>
  <c r="AX252" i="2" s="1"/>
  <c r="S250" i="4"/>
  <c r="AX251" i="2" s="1"/>
  <c r="S249" i="4"/>
  <c r="AX250" i="2" s="1"/>
  <c r="S248" i="4"/>
  <c r="AX249" i="2" s="1"/>
  <c r="S247" i="4"/>
  <c r="AX248" i="2" s="1"/>
  <c r="S246" i="4"/>
  <c r="AX247" i="2" s="1"/>
  <c r="S245" i="4"/>
  <c r="AX246" i="2" s="1"/>
  <c r="S244" i="4"/>
  <c r="AX245" i="2" s="1"/>
  <c r="S243" i="4"/>
  <c r="AX244" i="2" s="1"/>
  <c r="S242" i="4"/>
  <c r="AX243" i="2" s="1"/>
  <c r="S241" i="4"/>
  <c r="AX242" i="2" s="1"/>
  <c r="S240" i="4"/>
  <c r="AX241" i="2" s="1"/>
  <c r="S239" i="4"/>
  <c r="AX240" i="2" s="1"/>
  <c r="S238" i="4"/>
  <c r="AX239" i="2" s="1"/>
  <c r="S237" i="4"/>
  <c r="AX238" i="2" s="1"/>
  <c r="S236" i="4"/>
  <c r="AX237" i="2" s="1"/>
  <c r="S235" i="4"/>
  <c r="AX236" i="2" s="1"/>
  <c r="S234" i="4"/>
  <c r="AX235" i="2" s="1"/>
  <c r="S233" i="4"/>
  <c r="AX234" i="2" s="1"/>
  <c r="S232" i="4"/>
  <c r="AX233" i="2" s="1"/>
  <c r="S231" i="4"/>
  <c r="AX232" i="2" s="1"/>
  <c r="S230" i="4"/>
  <c r="AX231" i="2" s="1"/>
  <c r="S229" i="4"/>
  <c r="AX230" i="2" s="1"/>
  <c r="S228" i="4"/>
  <c r="AX229" i="2" s="1"/>
  <c r="S227" i="4"/>
  <c r="AX228" i="2" s="1"/>
  <c r="S226" i="4"/>
  <c r="AX227" i="2" s="1"/>
  <c r="S225" i="4"/>
  <c r="AX226" i="2" s="1"/>
  <c r="S224" i="4"/>
  <c r="AX225" i="2" s="1"/>
  <c r="S223" i="4"/>
  <c r="AX224" i="2" s="1"/>
  <c r="S222" i="4"/>
  <c r="AX223" i="2" s="1"/>
  <c r="S221" i="4"/>
  <c r="AX222" i="2" s="1"/>
  <c r="S220" i="4"/>
  <c r="AX221" i="2" s="1"/>
  <c r="S219" i="4"/>
  <c r="AX220" i="2" s="1"/>
  <c r="S218" i="4"/>
  <c r="AX219" i="2" s="1"/>
  <c r="S217" i="4"/>
  <c r="AX218" i="2" s="1"/>
  <c r="S216" i="4"/>
  <c r="AX217" i="2" s="1"/>
  <c r="S215" i="4"/>
  <c r="AX216" i="2" s="1"/>
  <c r="S214" i="4"/>
  <c r="AX215" i="2" s="1"/>
  <c r="S213" i="4"/>
  <c r="AX214" i="2" s="1"/>
  <c r="S212" i="4"/>
  <c r="AX213" i="2" s="1"/>
  <c r="S211" i="4"/>
  <c r="AX212" i="2" s="1"/>
  <c r="S210" i="4"/>
  <c r="AX211" i="2" s="1"/>
  <c r="S209" i="4"/>
  <c r="AX210" i="2" s="1"/>
  <c r="S208" i="4"/>
  <c r="AX209" i="2" s="1"/>
  <c r="S207" i="4"/>
  <c r="AX208" i="2" s="1"/>
  <c r="S206" i="4"/>
  <c r="AX207" i="2" s="1"/>
  <c r="S205" i="4"/>
  <c r="AX206" i="2" s="1"/>
  <c r="S204" i="4"/>
  <c r="AX205" i="2" s="1"/>
  <c r="S203" i="4"/>
  <c r="AX204" i="2" s="1"/>
  <c r="S202" i="4"/>
  <c r="AX203" i="2" s="1"/>
  <c r="S201" i="4"/>
  <c r="AX202" i="2" s="1"/>
  <c r="S200" i="4"/>
  <c r="AX201" i="2" s="1"/>
  <c r="S199" i="4"/>
  <c r="AX200" i="2" s="1"/>
  <c r="S198" i="4"/>
  <c r="AX199" i="2" s="1"/>
  <c r="S197" i="4"/>
  <c r="AX198" i="2" s="1"/>
  <c r="S196" i="4"/>
  <c r="AX197" i="2" s="1"/>
  <c r="S195" i="4"/>
  <c r="AX196" i="2" s="1"/>
  <c r="S194" i="4"/>
  <c r="AX195" i="2" s="1"/>
  <c r="S193" i="4"/>
  <c r="AX194" i="2" s="1"/>
  <c r="S192" i="4"/>
  <c r="AX193" i="2" s="1"/>
  <c r="S191" i="4"/>
  <c r="AX192" i="2" s="1"/>
  <c r="S190" i="4"/>
  <c r="AX191" i="2" s="1"/>
  <c r="S189" i="4"/>
  <c r="AX190" i="2" s="1"/>
  <c r="S188" i="4"/>
  <c r="AX189" i="2" s="1"/>
  <c r="S187" i="4"/>
  <c r="AX188" i="2" s="1"/>
  <c r="S186" i="4"/>
  <c r="AX187" i="2" s="1"/>
  <c r="S185" i="4"/>
  <c r="AX186" i="2" s="1"/>
  <c r="S184" i="4"/>
  <c r="AX185" i="2" s="1"/>
  <c r="S183" i="4"/>
  <c r="AX184" i="2" s="1"/>
  <c r="S182" i="4"/>
  <c r="AX183" i="2" s="1"/>
  <c r="S181" i="4"/>
  <c r="AX182" i="2" s="1"/>
  <c r="S180" i="4"/>
  <c r="AX181" i="2" s="1"/>
  <c r="S179" i="4"/>
  <c r="AX180" i="2" s="1"/>
  <c r="S178" i="4"/>
  <c r="AX179" i="2" s="1"/>
  <c r="S177" i="4"/>
  <c r="AX178" i="2" s="1"/>
  <c r="S176" i="4"/>
  <c r="AX177" i="2" s="1"/>
  <c r="S175" i="4"/>
  <c r="AX176" i="2" s="1"/>
  <c r="S174" i="4"/>
  <c r="AX175" i="2" s="1"/>
  <c r="S173" i="4"/>
  <c r="AX174" i="2" s="1"/>
  <c r="S172" i="4"/>
  <c r="AX173" i="2" s="1"/>
  <c r="S171" i="4"/>
  <c r="AX172" i="2" s="1"/>
  <c r="S170" i="4"/>
  <c r="AX171" i="2" s="1"/>
  <c r="S169" i="4"/>
  <c r="AX170" i="2" s="1"/>
  <c r="S168" i="4"/>
  <c r="AX169" i="2" s="1"/>
  <c r="S167" i="4"/>
  <c r="AX168" i="2" s="1"/>
  <c r="S166" i="4"/>
  <c r="AX167" i="2" s="1"/>
  <c r="S165" i="4"/>
  <c r="AX166" i="2" s="1"/>
  <c r="S164" i="4"/>
  <c r="AX165" i="2" s="1"/>
  <c r="S163" i="4"/>
  <c r="AX164" i="2" s="1"/>
  <c r="S162" i="4"/>
  <c r="AX163" i="2" s="1"/>
  <c r="S161" i="4"/>
  <c r="AX162" i="2" s="1"/>
  <c r="S160" i="4"/>
  <c r="AX161" i="2" s="1"/>
  <c r="S159" i="4"/>
  <c r="AX160" i="2" s="1"/>
  <c r="S158" i="4"/>
  <c r="AX159" i="2" s="1"/>
  <c r="S157" i="4"/>
  <c r="AX158" i="2" s="1"/>
  <c r="S156" i="4"/>
  <c r="AX157" i="2" s="1"/>
  <c r="S155" i="4"/>
  <c r="AX156" i="2" s="1"/>
  <c r="S154" i="4"/>
  <c r="AX155" i="2" s="1"/>
  <c r="S153" i="4"/>
  <c r="AX154" i="2" s="1"/>
  <c r="S152" i="4"/>
  <c r="AX153" i="2" s="1"/>
  <c r="S151" i="4"/>
  <c r="AX152" i="2" s="1"/>
  <c r="S150" i="4"/>
  <c r="AX151" i="2" s="1"/>
  <c r="S149" i="4"/>
  <c r="AX150" i="2" s="1"/>
  <c r="S148" i="4"/>
  <c r="AX149" i="2" s="1"/>
  <c r="S147" i="4"/>
  <c r="AX148" i="2" s="1"/>
  <c r="S146" i="4"/>
  <c r="AX147" i="2" s="1"/>
  <c r="S145" i="4"/>
  <c r="AX146" i="2" s="1"/>
  <c r="S144" i="4"/>
  <c r="AX145" i="2" s="1"/>
  <c r="S143" i="4"/>
  <c r="AX144" i="2" s="1"/>
  <c r="S142" i="4"/>
  <c r="AX143" i="2" s="1"/>
  <c r="S141" i="4"/>
  <c r="AX142" i="2" s="1"/>
  <c r="S140" i="4"/>
  <c r="AX141" i="2" s="1"/>
  <c r="S139" i="4"/>
  <c r="AX140" i="2" s="1"/>
  <c r="S138" i="4"/>
  <c r="AX139" i="2" s="1"/>
  <c r="S137" i="4"/>
  <c r="AX138" i="2" s="1"/>
  <c r="S136" i="4"/>
  <c r="AX137" i="2" s="1"/>
  <c r="S135" i="4"/>
  <c r="AX136" i="2" s="1"/>
  <c r="S134" i="4"/>
  <c r="AX135" i="2" s="1"/>
  <c r="S133" i="4"/>
  <c r="AX134" i="2" s="1"/>
  <c r="S132" i="4"/>
  <c r="AX133" i="2" s="1"/>
  <c r="S131" i="4"/>
  <c r="AX132" i="2" s="1"/>
  <c r="S130" i="4"/>
  <c r="AX131" i="2" s="1"/>
  <c r="S129" i="4"/>
  <c r="AX130" i="2" s="1"/>
  <c r="S128" i="4"/>
  <c r="AX129" i="2" s="1"/>
  <c r="S127" i="4"/>
  <c r="AX128" i="2" s="1"/>
  <c r="S126" i="4"/>
  <c r="AX127" i="2" s="1"/>
  <c r="S125" i="4"/>
  <c r="AX126" i="2" s="1"/>
  <c r="S124" i="4"/>
  <c r="AX125" i="2" s="1"/>
  <c r="S123" i="4"/>
  <c r="AX124" i="2" s="1"/>
  <c r="S122" i="4"/>
  <c r="AX123" i="2" s="1"/>
  <c r="S121" i="4"/>
  <c r="AX122" i="2" s="1"/>
  <c r="S120" i="4"/>
  <c r="AX121" i="2" s="1"/>
  <c r="S119" i="4"/>
  <c r="AX120" i="2" s="1"/>
  <c r="S118" i="4"/>
  <c r="AX119" i="2" s="1"/>
  <c r="S117" i="4"/>
  <c r="AX118" i="2" s="1"/>
  <c r="S116" i="4"/>
  <c r="AX117" i="2" s="1"/>
  <c r="S115" i="4"/>
  <c r="AX116" i="2" s="1"/>
  <c r="S114" i="4"/>
  <c r="AX115" i="2" s="1"/>
  <c r="S113" i="4"/>
  <c r="AX114" i="2" s="1"/>
  <c r="S112" i="4"/>
  <c r="AX113" i="2" s="1"/>
  <c r="S111" i="4"/>
  <c r="AX112" i="2" s="1"/>
  <c r="S110" i="4"/>
  <c r="AX111" i="2" s="1"/>
  <c r="S109" i="4"/>
  <c r="AX110" i="2" s="1"/>
  <c r="S108" i="4"/>
  <c r="AX109" i="2" s="1"/>
  <c r="S107" i="4"/>
  <c r="AX108" i="2" s="1"/>
  <c r="S106" i="4"/>
  <c r="AX107" i="2" s="1"/>
  <c r="S105" i="4"/>
  <c r="AX106" i="2" s="1"/>
  <c r="S104" i="4"/>
  <c r="AX105" i="2" s="1"/>
  <c r="S103" i="4"/>
  <c r="AX104" i="2" s="1"/>
  <c r="S102" i="4"/>
  <c r="AX103" i="2" s="1"/>
  <c r="S101" i="4"/>
  <c r="AX102" i="2" s="1"/>
  <c r="S100" i="4"/>
  <c r="AX101" i="2" s="1"/>
  <c r="S99" i="4"/>
  <c r="AX100" i="2" s="1"/>
  <c r="S98" i="4"/>
  <c r="AX99" i="2" s="1"/>
  <c r="S97" i="4"/>
  <c r="AX98" i="2" s="1"/>
  <c r="S96" i="4"/>
  <c r="AX97" i="2" s="1"/>
  <c r="S95" i="4"/>
  <c r="AX96" i="2" s="1"/>
  <c r="S94" i="4"/>
  <c r="AX95" i="2" s="1"/>
  <c r="S93" i="4"/>
  <c r="AX94" i="2" s="1"/>
  <c r="S92" i="4"/>
  <c r="AX93" i="2" s="1"/>
  <c r="S91" i="4"/>
  <c r="AX92" i="2" s="1"/>
  <c r="S90" i="4"/>
  <c r="AX91" i="2" s="1"/>
  <c r="S89" i="4"/>
  <c r="AX90" i="2" s="1"/>
  <c r="S88" i="4"/>
  <c r="AX89" i="2" s="1"/>
  <c r="S87" i="4"/>
  <c r="AX88" i="2" s="1"/>
  <c r="S86" i="4"/>
  <c r="AX87" i="2" s="1"/>
  <c r="S85" i="4"/>
  <c r="AX86" i="2" s="1"/>
  <c r="S84" i="4"/>
  <c r="AX85" i="2" s="1"/>
  <c r="S83" i="4"/>
  <c r="AX84" i="2" s="1"/>
  <c r="S82" i="4"/>
  <c r="AX83" i="2" s="1"/>
  <c r="S81" i="4"/>
  <c r="AX82" i="2" s="1"/>
  <c r="S80" i="4"/>
  <c r="AX81" i="2" s="1"/>
  <c r="S79" i="4"/>
  <c r="AX80" i="2" s="1"/>
  <c r="S78" i="4"/>
  <c r="AX79" i="2" s="1"/>
  <c r="S77" i="4"/>
  <c r="AX78" i="2" s="1"/>
  <c r="S76" i="4"/>
  <c r="AX77" i="2" s="1"/>
  <c r="S75" i="4"/>
  <c r="AX76" i="2" s="1"/>
  <c r="S74" i="4"/>
  <c r="AX75" i="2" s="1"/>
  <c r="S73" i="4"/>
  <c r="AX74" i="2" s="1"/>
  <c r="S72" i="4"/>
  <c r="AX73" i="2" s="1"/>
  <c r="S71" i="4"/>
  <c r="AX72" i="2" s="1"/>
  <c r="S70" i="4"/>
  <c r="AX71" i="2" s="1"/>
  <c r="S69" i="4"/>
  <c r="AX70" i="2" s="1"/>
  <c r="S68" i="4"/>
  <c r="AX69" i="2" s="1"/>
  <c r="S67" i="4"/>
  <c r="AX68" i="2" s="1"/>
  <c r="S66" i="4"/>
  <c r="AX67" i="2" s="1"/>
  <c r="S65" i="4"/>
  <c r="AX66" i="2" s="1"/>
  <c r="S64" i="4"/>
  <c r="AX65" i="2" s="1"/>
  <c r="S63" i="4"/>
  <c r="AX64" i="2" s="1"/>
  <c r="S62" i="4"/>
  <c r="AX63" i="2" s="1"/>
  <c r="S61" i="4"/>
  <c r="AX62" i="2" s="1"/>
  <c r="S60" i="4"/>
  <c r="AX61" i="2" s="1"/>
  <c r="S59" i="4"/>
  <c r="AX60" i="2" s="1"/>
  <c r="S58" i="4"/>
  <c r="AX59" i="2" s="1"/>
  <c r="S57" i="4"/>
  <c r="AX58" i="2" s="1"/>
  <c r="S56" i="4"/>
  <c r="AX57" i="2" s="1"/>
  <c r="S55" i="4"/>
  <c r="AX56" i="2" s="1"/>
  <c r="S54" i="4"/>
  <c r="AX55" i="2" s="1"/>
  <c r="S53" i="4"/>
  <c r="AX54" i="2" s="1"/>
  <c r="S52" i="4"/>
  <c r="AX53" i="2" s="1"/>
  <c r="S51" i="4"/>
  <c r="AX52" i="2" s="1"/>
  <c r="S50" i="4"/>
  <c r="AX51" i="2" s="1"/>
  <c r="S49" i="4"/>
  <c r="AX50" i="2" s="1"/>
  <c r="S48" i="4"/>
  <c r="AX49" i="2" s="1"/>
  <c r="S47" i="4"/>
  <c r="AX48" i="2" s="1"/>
  <c r="S46" i="4"/>
  <c r="AX47" i="2" s="1"/>
  <c r="S45" i="4"/>
  <c r="AX46" i="2" s="1"/>
  <c r="S44" i="4"/>
  <c r="AX45" i="2" s="1"/>
  <c r="S43" i="4"/>
  <c r="AX44" i="2" s="1"/>
  <c r="S42" i="4"/>
  <c r="AX43" i="2" s="1"/>
  <c r="S41" i="4"/>
  <c r="AX42" i="2" s="1"/>
  <c r="S40" i="4"/>
  <c r="AX41" i="2" s="1"/>
  <c r="S39" i="4"/>
  <c r="AX40" i="2" s="1"/>
  <c r="S38" i="4"/>
  <c r="AX39" i="2" s="1"/>
  <c r="S37" i="4"/>
  <c r="AX38" i="2" s="1"/>
  <c r="S36" i="4"/>
  <c r="AX37" i="2" s="1"/>
  <c r="S35" i="4"/>
  <c r="AX36" i="2" s="1"/>
  <c r="S34" i="4"/>
  <c r="AX35" i="2" s="1"/>
  <c r="S33" i="4"/>
  <c r="AX34" i="2" s="1"/>
  <c r="S32" i="4"/>
  <c r="AX33" i="2" s="1"/>
  <c r="S31" i="4"/>
  <c r="AX32" i="2" s="1"/>
  <c r="S30" i="4"/>
  <c r="AX31" i="2" s="1"/>
  <c r="S29" i="4"/>
  <c r="AX30" i="2" s="1"/>
  <c r="S28" i="4"/>
  <c r="AX29" i="2" s="1"/>
  <c r="S27" i="4"/>
  <c r="AX28" i="2" s="1"/>
  <c r="S26" i="4"/>
  <c r="AX27" i="2" s="1"/>
  <c r="S25" i="4"/>
  <c r="AX26" i="2" s="1"/>
  <c r="S24" i="4"/>
  <c r="AX25" i="2" s="1"/>
  <c r="S23" i="4"/>
  <c r="AX24" i="2" s="1"/>
  <c r="S22" i="4"/>
  <c r="AX23" i="2" s="1"/>
  <c r="S21" i="4"/>
  <c r="AX22" i="2" s="1"/>
  <c r="S20" i="4"/>
  <c r="AX21" i="2" s="1"/>
  <c r="S19" i="4"/>
  <c r="AX20" i="2" s="1"/>
  <c r="S18" i="4"/>
  <c r="AX19" i="2" s="1"/>
  <c r="S17" i="4"/>
  <c r="AX18" i="2" s="1"/>
  <c r="S16" i="4"/>
  <c r="AX17" i="2" s="1"/>
  <c r="S15" i="4"/>
  <c r="AX16" i="2" s="1"/>
  <c r="S14" i="4"/>
  <c r="AX15" i="2" s="1"/>
  <c r="S13" i="4"/>
  <c r="AX14" i="2" s="1"/>
  <c r="S12" i="4"/>
  <c r="AX13" i="2" s="1"/>
  <c r="S11" i="4"/>
  <c r="AX12" i="2" s="1"/>
  <c r="S10" i="4"/>
  <c r="AX11" i="2" s="1"/>
  <c r="S9" i="4"/>
  <c r="AX10" i="2" s="1"/>
  <c r="S8" i="4"/>
  <c r="AX9" i="2" s="1"/>
  <c r="S7" i="4"/>
  <c r="AX8" i="2" s="1"/>
  <c r="S6" i="4"/>
  <c r="AX7" i="2" s="1"/>
  <c r="S5" i="4"/>
  <c r="AX6" i="2" s="1"/>
  <c r="AB4" i="4"/>
  <c r="BA5" i="2" s="1"/>
  <c r="V4" i="4"/>
  <c r="AY5" i="2" s="1"/>
  <c r="Y4" i="4"/>
  <c r="AZ5" i="2" s="1"/>
  <c r="AB5" s="1"/>
  <c r="AG5" i="1" s="1"/>
  <c r="S4" i="4"/>
  <c r="AX5" i="2" s="1"/>
  <c r="AF229" i="1" l="1"/>
  <c r="C14" i="8"/>
  <c r="C13"/>
  <c r="C12"/>
  <c r="AE230" i="1"/>
  <c r="AE432"/>
  <c r="C11" i="8"/>
  <c r="AF137" i="1"/>
  <c r="C10" i="8"/>
  <c r="C9"/>
  <c r="C8"/>
  <c r="C7"/>
  <c r="C6"/>
  <c r="AE458" i="1"/>
  <c r="C5" i="8"/>
  <c r="C4"/>
  <c r="AE512" i="1"/>
  <c r="AF781"/>
  <c r="AF86"/>
  <c r="AF144"/>
  <c r="AE368"/>
  <c r="AE476"/>
  <c r="AE483"/>
  <c r="AE558"/>
  <c r="AF697"/>
  <c r="AF864"/>
  <c r="AE480"/>
  <c r="AF153"/>
  <c r="AF192"/>
  <c r="AF203"/>
  <c r="AE350"/>
  <c r="AE416"/>
  <c r="AF169"/>
  <c r="AE249"/>
  <c r="AE300"/>
  <c r="AF124"/>
  <c r="AE382"/>
  <c r="AF132"/>
  <c r="AE336"/>
  <c r="AU292" i="2"/>
  <c r="AV292" s="1"/>
  <c r="AU337"/>
  <c r="AV337" s="1"/>
  <c r="AQ569"/>
  <c r="AR569" s="1"/>
  <c r="Z569" i="1" s="1"/>
  <c r="AS668" i="2"/>
  <c r="AT668" s="1"/>
  <c r="Q69" i="1"/>
  <c r="AF135"/>
  <c r="AF149"/>
  <c r="AE316"/>
  <c r="AE400"/>
  <c r="AE640"/>
  <c r="AF908"/>
  <c r="AF189"/>
  <c r="AF215"/>
  <c r="AF267"/>
  <c r="AE448"/>
  <c r="AF657"/>
  <c r="AE241"/>
  <c r="AE352"/>
  <c r="AE456"/>
  <c r="AE470"/>
  <c r="AE504"/>
  <c r="AE673"/>
  <c r="AF100"/>
  <c r="AF127"/>
  <c r="AF141"/>
  <c r="AE257"/>
  <c r="AF717"/>
  <c r="AF848"/>
  <c r="AF116"/>
  <c r="AE201"/>
  <c r="AE234"/>
  <c r="AE237"/>
  <c r="AE288"/>
  <c r="AE306"/>
  <c r="AE332"/>
  <c r="AE364"/>
  <c r="AE396"/>
  <c r="AE428"/>
  <c r="AE492"/>
  <c r="AE495"/>
  <c r="AE508"/>
  <c r="AE576"/>
  <c r="AE622"/>
  <c r="AF844"/>
  <c r="AF924"/>
  <c r="AF84"/>
  <c r="AF98"/>
  <c r="AF105"/>
  <c r="AF133"/>
  <c r="AF136"/>
  <c r="AF145"/>
  <c r="AF152"/>
  <c r="AE218"/>
  <c r="AE250"/>
  <c r="AE253"/>
  <c r="AE414"/>
  <c r="AE446"/>
  <c r="AE449"/>
  <c r="AE471"/>
  <c r="AE477"/>
  <c r="AF701"/>
  <c r="AF140"/>
  <c r="AF143"/>
  <c r="AF196"/>
  <c r="AF199"/>
  <c r="AE202"/>
  <c r="AE205"/>
  <c r="AF235"/>
  <c r="AE261"/>
  <c r="AE304"/>
  <c r="AE322"/>
  <c r="AE354"/>
  <c r="AE386"/>
  <c r="AE418"/>
  <c r="AE469"/>
  <c r="AE475"/>
  <c r="AE493"/>
  <c r="AE496"/>
  <c r="AE503"/>
  <c r="AE608"/>
  <c r="AE654"/>
  <c r="AF725"/>
  <c r="AF880"/>
  <c r="AF82"/>
  <c r="AF96"/>
  <c r="AF183"/>
  <c r="AE245"/>
  <c r="AF251"/>
  <c r="AE348"/>
  <c r="AE380"/>
  <c r="AE412"/>
  <c r="AE444"/>
  <c r="AE450"/>
  <c r="AE463"/>
  <c r="AE472"/>
  <c r="AE478"/>
  <c r="AE484"/>
  <c r="AE487"/>
  <c r="AE500"/>
  <c r="AE528"/>
  <c r="AF665"/>
  <c r="AF741"/>
  <c r="AF892"/>
  <c r="AF125"/>
  <c r="AF128"/>
  <c r="AF161"/>
  <c r="AF180"/>
  <c r="AE213"/>
  <c r="AF227"/>
  <c r="AE233"/>
  <c r="AE242"/>
  <c r="AE265"/>
  <c r="AE272"/>
  <c r="AE290"/>
  <c r="AE334"/>
  <c r="AE366"/>
  <c r="AE398"/>
  <c r="AE430"/>
  <c r="AE507"/>
  <c r="AE544"/>
  <c r="AE590"/>
  <c r="AE624"/>
  <c r="AF669"/>
  <c r="AF745"/>
  <c r="AF896"/>
  <c r="AU134" i="2"/>
  <c r="AV134" s="1"/>
  <c r="AU902"/>
  <c r="AV902" s="1"/>
  <c r="AQ910"/>
  <c r="Y910" i="1" s="1"/>
  <c r="AA910" s="1"/>
  <c r="AQ926" i="2"/>
  <c r="AF761" i="1"/>
  <c r="Q14"/>
  <c r="AF80"/>
  <c r="AF94"/>
  <c r="AF119"/>
  <c r="AF188"/>
  <c r="AF191"/>
  <c r="AE284"/>
  <c r="AE338"/>
  <c r="AE370"/>
  <c r="AE402"/>
  <c r="AE434"/>
  <c r="AE455"/>
  <c r="AE461"/>
  <c r="AE464"/>
  <c r="AE479"/>
  <c r="AE485"/>
  <c r="AE488"/>
  <c r="AE511"/>
  <c r="AE526"/>
  <c r="AE560"/>
  <c r="AE659"/>
  <c r="AF681"/>
  <c r="AF765"/>
  <c r="AF832"/>
  <c r="AF912"/>
  <c r="AI14"/>
  <c r="AI21"/>
  <c r="AI29"/>
  <c r="AI37"/>
  <c r="AI45"/>
  <c r="AI53"/>
  <c r="AI61"/>
  <c r="AI69"/>
  <c r="AI9"/>
  <c r="AA20" i="2"/>
  <c r="L20" i="1"/>
  <c r="AI56"/>
  <c r="AI72"/>
  <c r="AI168"/>
  <c r="AA196" i="2"/>
  <c r="L196" i="1"/>
  <c r="AA228" i="2"/>
  <c r="L228" i="1"/>
  <c r="AI248"/>
  <c r="AA252" i="2"/>
  <c r="L252" i="1"/>
  <c r="AI272"/>
  <c r="AI288"/>
  <c r="AI320"/>
  <c r="AA324" i="2"/>
  <c r="L324" i="1"/>
  <c r="AA348" i="2"/>
  <c r="L348" i="1"/>
  <c r="AI376"/>
  <c r="AI448"/>
  <c r="AA452" i="2"/>
  <c r="L452" i="1"/>
  <c r="AI472"/>
  <c r="AA484" i="2"/>
  <c r="L484" i="1"/>
  <c r="AA492" i="2"/>
  <c r="L492" i="1"/>
  <c r="AA516" i="2"/>
  <c r="L516" i="1"/>
  <c r="AA524" i="2"/>
  <c r="L524" i="1"/>
  <c r="AA556" i="2"/>
  <c r="L556" i="1"/>
  <c r="AI600"/>
  <c r="AA660" i="2"/>
  <c r="L660" i="1"/>
  <c r="AI688"/>
  <c r="AI704"/>
  <c r="AI728"/>
  <c r="AA852" i="2"/>
  <c r="L852" i="1"/>
  <c r="AI856"/>
  <c r="AA876" i="2"/>
  <c r="L876" i="1"/>
  <c r="AA884" i="2"/>
  <c r="L884" i="1"/>
  <c r="AA948" i="2"/>
  <c r="L948" i="1"/>
  <c r="AA18" i="2"/>
  <c r="L18" i="1"/>
  <c r="AI22"/>
  <c r="AA26" i="2"/>
  <c r="L26" i="1"/>
  <c r="AI30"/>
  <c r="AA34" i="2"/>
  <c r="L34" i="1"/>
  <c r="AI38"/>
  <c r="AA42" i="2"/>
  <c r="L42" i="1"/>
  <c r="AI46"/>
  <c r="AA50" i="2"/>
  <c r="L50" i="1"/>
  <c r="AI54"/>
  <c r="AA58" i="2"/>
  <c r="L58" i="1"/>
  <c r="AI62"/>
  <c r="AA66" i="2"/>
  <c r="L66" i="1"/>
  <c r="AI70"/>
  <c r="AA74" i="2"/>
  <c r="L74" i="1"/>
  <c r="AI78"/>
  <c r="AA82" i="2"/>
  <c r="L82" i="1"/>
  <c r="AI86"/>
  <c r="AA90" i="2"/>
  <c r="L90" i="1"/>
  <c r="AI94"/>
  <c r="AA98" i="2"/>
  <c r="L98" i="1"/>
  <c r="AI102"/>
  <c r="AA106" i="2"/>
  <c r="L106" i="1"/>
  <c r="AI110"/>
  <c r="AA114" i="2"/>
  <c r="L114" i="1"/>
  <c r="AI118"/>
  <c r="AA122" i="2"/>
  <c r="L122" i="1"/>
  <c r="AI126"/>
  <c r="AA130" i="2"/>
  <c r="L130" i="1"/>
  <c r="AI134"/>
  <c r="AA138" i="2"/>
  <c r="L138" i="1"/>
  <c r="AI142"/>
  <c r="AA146" i="2"/>
  <c r="L146" i="1"/>
  <c r="AI150"/>
  <c r="AA154" i="2"/>
  <c r="L154" i="1"/>
  <c r="AI158"/>
  <c r="AA162" i="2"/>
  <c r="L162" i="1"/>
  <c r="AI166"/>
  <c r="AA170" i="2"/>
  <c r="L170" i="1"/>
  <c r="AI174"/>
  <c r="AA178" i="2"/>
  <c r="L178" i="1"/>
  <c r="AI182"/>
  <c r="AA186" i="2"/>
  <c r="L186" i="1"/>
  <c r="AI190"/>
  <c r="AA194" i="2"/>
  <c r="L194" i="1"/>
  <c r="AI198"/>
  <c r="AA202" i="2"/>
  <c r="L202" i="1"/>
  <c r="AI206"/>
  <c r="AA210" i="2"/>
  <c r="L210" i="1"/>
  <c r="AI214"/>
  <c r="AA218" i="2"/>
  <c r="L218" i="1"/>
  <c r="AI222"/>
  <c r="AA226" i="2"/>
  <c r="L226" i="1"/>
  <c r="AI230"/>
  <c r="AA234" i="2"/>
  <c r="L234" i="1"/>
  <c r="AI238"/>
  <c r="AA242" i="2"/>
  <c r="L242" i="1"/>
  <c r="AI246"/>
  <c r="AA250" i="2"/>
  <c r="L250" i="1"/>
  <c r="AI254"/>
  <c r="AA258" i="2"/>
  <c r="L258" i="1"/>
  <c r="AI262"/>
  <c r="AA266" i="2"/>
  <c r="L266" i="1"/>
  <c r="AI270"/>
  <c r="AA274" i="2"/>
  <c r="L274" i="1"/>
  <c r="AI278"/>
  <c r="AA282" i="2"/>
  <c r="L282" i="1"/>
  <c r="AI286"/>
  <c r="AA290" i="2"/>
  <c r="L290" i="1"/>
  <c r="AI294"/>
  <c r="AA298" i="2"/>
  <c r="L298" i="1"/>
  <c r="AI302"/>
  <c r="AA306" i="2"/>
  <c r="L306" i="1"/>
  <c r="AI310"/>
  <c r="AA314" i="2"/>
  <c r="L314" i="1"/>
  <c r="AI318"/>
  <c r="AA322" i="2"/>
  <c r="L322" i="1"/>
  <c r="AI326"/>
  <c r="AA330" i="2"/>
  <c r="L330" i="1"/>
  <c r="AI334"/>
  <c r="AA338" i="2"/>
  <c r="L338" i="1"/>
  <c r="AI342"/>
  <c r="AA346" i="2"/>
  <c r="L346" i="1"/>
  <c r="AI350"/>
  <c r="AA354" i="2"/>
  <c r="L354" i="1"/>
  <c r="AI358"/>
  <c r="AA362" i="2"/>
  <c r="L362" i="1"/>
  <c r="AI366"/>
  <c r="AA370" i="2"/>
  <c r="L370" i="1"/>
  <c r="AI374"/>
  <c r="AA378" i="2"/>
  <c r="L378" i="1"/>
  <c r="AI382"/>
  <c r="AA386" i="2"/>
  <c r="L386" i="1"/>
  <c r="AI390"/>
  <c r="AA394" i="2"/>
  <c r="L394" i="1"/>
  <c r="AI398"/>
  <c r="AA402" i="2"/>
  <c r="L402" i="1"/>
  <c r="AI406"/>
  <c r="AA410" i="2"/>
  <c r="L410" i="1"/>
  <c r="AI414"/>
  <c r="AA418" i="2"/>
  <c r="L418" i="1"/>
  <c r="AI422"/>
  <c r="AA426" i="2"/>
  <c r="L426" i="1"/>
  <c r="AI430"/>
  <c r="AA434" i="2"/>
  <c r="L434" i="1"/>
  <c r="AI438"/>
  <c r="AA442" i="2"/>
  <c r="L442" i="1"/>
  <c r="AI446"/>
  <c r="AA450" i="2"/>
  <c r="L450" i="1"/>
  <c r="AI454"/>
  <c r="AA458" i="2"/>
  <c r="L458" i="1"/>
  <c r="AI462"/>
  <c r="AA466" i="2"/>
  <c r="L466" i="1"/>
  <c r="AI470"/>
  <c r="AA474" i="2"/>
  <c r="L474" i="1"/>
  <c r="AI478"/>
  <c r="AA482" i="2"/>
  <c r="L482" i="1"/>
  <c r="AI486"/>
  <c r="AA490" i="2"/>
  <c r="L490" i="1"/>
  <c r="AI494"/>
  <c r="AA498" i="2"/>
  <c r="L498" i="1"/>
  <c r="AI502"/>
  <c r="AA506" i="2"/>
  <c r="L506" i="1"/>
  <c r="AI510"/>
  <c r="AA514" i="2"/>
  <c r="L514" i="1"/>
  <c r="AI518"/>
  <c r="AA522" i="2"/>
  <c r="L522" i="1"/>
  <c r="AI526"/>
  <c r="AA530" i="2"/>
  <c r="L530" i="1"/>
  <c r="AI534"/>
  <c r="AA538" i="2"/>
  <c r="L538" i="1"/>
  <c r="AI542"/>
  <c r="AA546" i="2"/>
  <c r="L546" i="1"/>
  <c r="AI550"/>
  <c r="AA554" i="2"/>
  <c r="L554" i="1"/>
  <c r="AI558"/>
  <c r="AA562" i="2"/>
  <c r="L562" i="1"/>
  <c r="AI566"/>
  <c r="AA570" i="2"/>
  <c r="L570" i="1"/>
  <c r="AI574"/>
  <c r="AA578" i="2"/>
  <c r="L578" i="1"/>
  <c r="AI582"/>
  <c r="AA586" i="2"/>
  <c r="L586" i="1"/>
  <c r="AI590"/>
  <c r="AA594" i="2"/>
  <c r="L594" i="1"/>
  <c r="AI598"/>
  <c r="AA602" i="2"/>
  <c r="L602" i="1"/>
  <c r="AI606"/>
  <c r="AA610" i="2"/>
  <c r="L610" i="1"/>
  <c r="AI614"/>
  <c r="AA618" i="2"/>
  <c r="L618" i="1"/>
  <c r="AI622"/>
  <c r="AA626" i="2"/>
  <c r="L626" i="1"/>
  <c r="AI630"/>
  <c r="AA634" i="2"/>
  <c r="L634" i="1"/>
  <c r="AI638"/>
  <c r="AA642" i="2"/>
  <c r="L642" i="1"/>
  <c r="AI646"/>
  <c r="AA650" i="2"/>
  <c r="L650" i="1"/>
  <c r="AI654"/>
  <c r="AA658" i="2"/>
  <c r="L658" i="1"/>
  <c r="AI662"/>
  <c r="AA666" i="2"/>
  <c r="L666" i="1"/>
  <c r="AI670"/>
  <c r="AA674" i="2"/>
  <c r="L674" i="1"/>
  <c r="AI678"/>
  <c r="AA682" i="2"/>
  <c r="L682" i="1"/>
  <c r="AI686"/>
  <c r="AA690" i="2"/>
  <c r="L690" i="1"/>
  <c r="AI694"/>
  <c r="AA698" i="2"/>
  <c r="L698" i="1"/>
  <c r="AI702"/>
  <c r="AA706" i="2"/>
  <c r="L706" i="1"/>
  <c r="AI710"/>
  <c r="AA714" i="2"/>
  <c r="L714" i="1"/>
  <c r="AI718"/>
  <c r="AA722" i="2"/>
  <c r="L722" i="1"/>
  <c r="AI726"/>
  <c r="AA730" i="2"/>
  <c r="L730" i="1"/>
  <c r="AI734"/>
  <c r="AA738" i="2"/>
  <c r="L738" i="1"/>
  <c r="AI742"/>
  <c r="AA746" i="2"/>
  <c r="L746" i="1"/>
  <c r="AI750"/>
  <c r="AA754" i="2"/>
  <c r="L754" i="1"/>
  <c r="AI758"/>
  <c r="AA762" i="2"/>
  <c r="L762" i="1"/>
  <c r="AI766"/>
  <c r="AA770" i="2"/>
  <c r="L770" i="1"/>
  <c r="AI774"/>
  <c r="AA778" i="2"/>
  <c r="L778" i="1"/>
  <c r="AI782"/>
  <c r="AA786" i="2"/>
  <c r="L786" i="1"/>
  <c r="AI790"/>
  <c r="AA794" i="2"/>
  <c r="L794" i="1"/>
  <c r="AI798"/>
  <c r="AA802" i="2"/>
  <c r="L802" i="1"/>
  <c r="AI806"/>
  <c r="AA810" i="2"/>
  <c r="L810" i="1"/>
  <c r="AI814"/>
  <c r="AA818" i="2"/>
  <c r="L818" i="1"/>
  <c r="AI822"/>
  <c r="AA826" i="2"/>
  <c r="L826" i="1"/>
  <c r="AI830"/>
  <c r="AA834" i="2"/>
  <c r="L834" i="1"/>
  <c r="AI838"/>
  <c r="AA842" i="2"/>
  <c r="L842" i="1"/>
  <c r="AI846"/>
  <c r="AA850" i="2"/>
  <c r="L850" i="1"/>
  <c r="AI854"/>
  <c r="AA858" i="2"/>
  <c r="L858" i="1"/>
  <c r="AI862"/>
  <c r="AA866" i="2"/>
  <c r="L866" i="1"/>
  <c r="AI870"/>
  <c r="AA874" i="2"/>
  <c r="L874" i="1"/>
  <c r="AI878"/>
  <c r="AA882" i="2"/>
  <c r="L882" i="1"/>
  <c r="AI886"/>
  <c r="AA890" i="2"/>
  <c r="L890" i="1"/>
  <c r="AI894"/>
  <c r="AA898" i="2"/>
  <c r="L898" i="1"/>
  <c r="AI902"/>
  <c r="AA906" i="2"/>
  <c r="L906" i="1"/>
  <c r="AI910"/>
  <c r="AA914" i="2"/>
  <c r="L914" i="1"/>
  <c r="AI918"/>
  <c r="AA922" i="2"/>
  <c r="L922" i="1"/>
  <c r="AI926"/>
  <c r="AA930" i="2"/>
  <c r="L930" i="1"/>
  <c r="AI934"/>
  <c r="AA938" i="2"/>
  <c r="L938" i="1"/>
  <c r="AI942"/>
  <c r="AA946" i="2"/>
  <c r="L946" i="1"/>
  <c r="AI950"/>
  <c r="AA954" i="2"/>
  <c r="L954" i="1"/>
  <c r="AI958"/>
  <c r="AA962" i="2"/>
  <c r="L962" i="1"/>
  <c r="AI966"/>
  <c r="AA970" i="2"/>
  <c r="L970" i="1"/>
  <c r="AI974"/>
  <c r="AA978" i="2"/>
  <c r="L978" i="1"/>
  <c r="AI982"/>
  <c r="AA986" i="2"/>
  <c r="L986" i="1"/>
  <c r="AI990"/>
  <c r="AA994" i="2"/>
  <c r="L994" i="1"/>
  <c r="AI998"/>
  <c r="L49"/>
  <c r="Q53"/>
  <c r="AI40"/>
  <c r="AA108" i="2"/>
  <c r="L108" i="1"/>
  <c r="AI128"/>
  <c r="AI144"/>
  <c r="AA148" i="2"/>
  <c r="L148" i="1"/>
  <c r="AI152"/>
  <c r="AI192"/>
  <c r="AA204" i="2"/>
  <c r="L204" i="1"/>
  <c r="AI232"/>
  <c r="AI328"/>
  <c r="AI368"/>
  <c r="AA388" i="2"/>
  <c r="L388" i="1"/>
  <c r="AA396" i="2"/>
  <c r="L396" i="1"/>
  <c r="AI408"/>
  <c r="AI424"/>
  <c r="AA436" i="2"/>
  <c r="L436" i="1"/>
  <c r="AI496"/>
  <c r="AA500" i="2"/>
  <c r="L500" i="1"/>
  <c r="AA508" i="2"/>
  <c r="L508" i="1"/>
  <c r="AI528"/>
  <c r="AI568"/>
  <c r="AA580" i="2"/>
  <c r="L580" i="1"/>
  <c r="AA588" i="2"/>
  <c r="L588" i="1"/>
  <c r="AA604" i="2"/>
  <c r="L604" i="1"/>
  <c r="AA612" i="2"/>
  <c r="L612" i="1"/>
  <c r="AI656"/>
  <c r="AI680"/>
  <c r="AA692" i="2"/>
  <c r="L692" i="1"/>
  <c r="AA708" i="2"/>
  <c r="L708" i="1"/>
  <c r="AA764" i="2"/>
  <c r="L764" i="1"/>
  <c r="AI784"/>
  <c r="AA844" i="2"/>
  <c r="L844" i="1"/>
  <c r="AI920"/>
  <c r="AI936"/>
  <c r="AI5"/>
  <c r="AI19"/>
  <c r="AA23" i="2"/>
  <c r="L23" i="1"/>
  <c r="AI27"/>
  <c r="AA31" i="2"/>
  <c r="L31" i="1"/>
  <c r="AI35"/>
  <c r="AA39" i="2"/>
  <c r="L39" i="1"/>
  <c r="AI43"/>
  <c r="AA47" i="2"/>
  <c r="L47" i="1"/>
  <c r="AI51"/>
  <c r="AA55" i="2"/>
  <c r="L55" i="1"/>
  <c r="AI59"/>
  <c r="AA63" i="2"/>
  <c r="L63" i="1"/>
  <c r="AI67"/>
  <c r="AA71" i="2"/>
  <c r="L71" i="1"/>
  <c r="AI75"/>
  <c r="AA79" i="2"/>
  <c r="L79" i="1"/>
  <c r="AI83"/>
  <c r="AA87" i="2"/>
  <c r="L87" i="1"/>
  <c r="AI91"/>
  <c r="AA95" i="2"/>
  <c r="L95" i="1"/>
  <c r="AI99"/>
  <c r="AA103" i="2"/>
  <c r="L103" i="1"/>
  <c r="AI107"/>
  <c r="AA111" i="2"/>
  <c r="L111" i="1"/>
  <c r="AI115"/>
  <c r="AA119" i="2"/>
  <c r="L119" i="1"/>
  <c r="AI123"/>
  <c r="AA127" i="2"/>
  <c r="L127" i="1"/>
  <c r="AI131"/>
  <c r="AA135" i="2"/>
  <c r="L135" i="1"/>
  <c r="AI139"/>
  <c r="AA143" i="2"/>
  <c r="L143" i="1"/>
  <c r="AI147"/>
  <c r="AA151" i="2"/>
  <c r="L151" i="1"/>
  <c r="AI155"/>
  <c r="AA159" i="2"/>
  <c r="L159" i="1"/>
  <c r="AI163"/>
  <c r="AA167" i="2"/>
  <c r="L167" i="1"/>
  <c r="AI171"/>
  <c r="AA175" i="2"/>
  <c r="L175" i="1"/>
  <c r="AI179"/>
  <c r="AA183" i="2"/>
  <c r="L183" i="1"/>
  <c r="AI187"/>
  <c r="AA191" i="2"/>
  <c r="L191" i="1"/>
  <c r="AI195"/>
  <c r="AA199" i="2"/>
  <c r="L199" i="1"/>
  <c r="AI203"/>
  <c r="AA207" i="2"/>
  <c r="L207" i="1"/>
  <c r="AI211"/>
  <c r="AA215" i="2"/>
  <c r="L215" i="1"/>
  <c r="AI219"/>
  <c r="AA223" i="2"/>
  <c r="L223" i="1"/>
  <c r="AI227"/>
  <c r="AA231" i="2"/>
  <c r="L231" i="1"/>
  <c r="AI235"/>
  <c r="AA239" i="2"/>
  <c r="L239" i="1"/>
  <c r="AI243"/>
  <c r="AA247" i="2"/>
  <c r="L247" i="1"/>
  <c r="AI251"/>
  <c r="AA255" i="2"/>
  <c r="L255" i="1"/>
  <c r="AI259"/>
  <c r="AA263" i="2"/>
  <c r="L263" i="1"/>
  <c r="AI267"/>
  <c r="AA271" i="2"/>
  <c r="L271" i="1"/>
  <c r="AI275"/>
  <c r="AA279" i="2"/>
  <c r="L279" i="1"/>
  <c r="AI283"/>
  <c r="AA287" i="2"/>
  <c r="L287" i="1"/>
  <c r="AI291"/>
  <c r="AA295" i="2"/>
  <c r="L295" i="1"/>
  <c r="AI299"/>
  <c r="AA303" i="2"/>
  <c r="L303" i="1"/>
  <c r="AI307"/>
  <c r="AA311" i="2"/>
  <c r="L311" i="1"/>
  <c r="AI315"/>
  <c r="AA319" i="2"/>
  <c r="L319" i="1"/>
  <c r="AI323"/>
  <c r="AA327" i="2"/>
  <c r="L327" i="1"/>
  <c r="AI331"/>
  <c r="AA335" i="2"/>
  <c r="L335" i="1"/>
  <c r="AI339"/>
  <c r="AA343" i="2"/>
  <c r="L343" i="1"/>
  <c r="AI347"/>
  <c r="AA351" i="2"/>
  <c r="L351" i="1"/>
  <c r="AI355"/>
  <c r="AA359" i="2"/>
  <c r="L359" i="1"/>
  <c r="AI363"/>
  <c r="AA367" i="2"/>
  <c r="L367" i="1"/>
  <c r="AI371"/>
  <c r="AA375" i="2"/>
  <c r="L375" i="1"/>
  <c r="AI379"/>
  <c r="AA383" i="2"/>
  <c r="L383" i="1"/>
  <c r="AI387"/>
  <c r="AA391" i="2"/>
  <c r="L391" i="1"/>
  <c r="AI395"/>
  <c r="AA399" i="2"/>
  <c r="L399" i="1"/>
  <c r="AI403"/>
  <c r="AA407" i="2"/>
  <c r="L407" i="1"/>
  <c r="AI411"/>
  <c r="AA415" i="2"/>
  <c r="L415" i="1"/>
  <c r="AI419"/>
  <c r="AA423" i="2"/>
  <c r="L423" i="1"/>
  <c r="AI427"/>
  <c r="AA431" i="2"/>
  <c r="L431" i="1"/>
  <c r="AI435"/>
  <c r="AA439" i="2"/>
  <c r="L439" i="1"/>
  <c r="AI443"/>
  <c r="AA447" i="2"/>
  <c r="L447" i="1"/>
  <c r="AI451"/>
  <c r="AA455" i="2"/>
  <c r="L455" i="1"/>
  <c r="AI459"/>
  <c r="AA463" i="2"/>
  <c r="L463" i="1"/>
  <c r="AI467"/>
  <c r="AA471" i="2"/>
  <c r="L471" i="1"/>
  <c r="AI475"/>
  <c r="AA479" i="2"/>
  <c r="L479" i="1"/>
  <c r="AI483"/>
  <c r="AA487" i="2"/>
  <c r="L487" i="1"/>
  <c r="AI491"/>
  <c r="AA495" i="2"/>
  <c r="L495" i="1"/>
  <c r="AI499"/>
  <c r="AA503" i="2"/>
  <c r="L503" i="1"/>
  <c r="AI507"/>
  <c r="AA511" i="2"/>
  <c r="L511" i="1"/>
  <c r="AI515"/>
  <c r="AA519" i="2"/>
  <c r="L519" i="1"/>
  <c r="AI523"/>
  <c r="AA527" i="2"/>
  <c r="L527" i="1"/>
  <c r="AI531"/>
  <c r="AA535" i="2"/>
  <c r="L535" i="1"/>
  <c r="AI539"/>
  <c r="AA543" i="2"/>
  <c r="L543" i="1"/>
  <c r="AI547"/>
  <c r="AA551" i="2"/>
  <c r="L551" i="1"/>
  <c r="AI555"/>
  <c r="AA559" i="2"/>
  <c r="L559" i="1"/>
  <c r="AI563"/>
  <c r="AA567" i="2"/>
  <c r="L567" i="1"/>
  <c r="AI571"/>
  <c r="AA575" i="2"/>
  <c r="L575" i="1"/>
  <c r="AI579"/>
  <c r="AA583" i="2"/>
  <c r="L583" i="1"/>
  <c r="AI587"/>
  <c r="AA591" i="2"/>
  <c r="L591" i="1"/>
  <c r="AI595"/>
  <c r="AA599" i="2"/>
  <c r="L599" i="1"/>
  <c r="AI603"/>
  <c r="AA607" i="2"/>
  <c r="L607" i="1"/>
  <c r="AI611"/>
  <c r="AA615" i="2"/>
  <c r="L615" i="1"/>
  <c r="AI619"/>
  <c r="AA623" i="2"/>
  <c r="L623" i="1"/>
  <c r="AI627"/>
  <c r="AA631" i="2"/>
  <c r="L631" i="1"/>
  <c r="AI635"/>
  <c r="AA639" i="2"/>
  <c r="L639" i="1"/>
  <c r="AI643"/>
  <c r="AA647" i="2"/>
  <c r="L647" i="1"/>
  <c r="AI651"/>
  <c r="AA655" i="2"/>
  <c r="L655" i="1"/>
  <c r="AI659"/>
  <c r="AA663" i="2"/>
  <c r="L663" i="1"/>
  <c r="AI667"/>
  <c r="AA671" i="2"/>
  <c r="L671" i="1"/>
  <c r="AI675"/>
  <c r="AA679" i="2"/>
  <c r="L679" i="1"/>
  <c r="AI683"/>
  <c r="AA687" i="2"/>
  <c r="L687" i="1"/>
  <c r="AI691"/>
  <c r="AA695" i="2"/>
  <c r="L695" i="1"/>
  <c r="AI699"/>
  <c r="AA703" i="2"/>
  <c r="L703" i="1"/>
  <c r="AI707"/>
  <c r="AA711" i="2"/>
  <c r="L711" i="1"/>
  <c r="AI715"/>
  <c r="AA719" i="2"/>
  <c r="L719" i="1"/>
  <c r="AI723"/>
  <c r="AA727" i="2"/>
  <c r="L727" i="1"/>
  <c r="AI731"/>
  <c r="AA735" i="2"/>
  <c r="L735" i="1"/>
  <c r="AI739"/>
  <c r="AA743" i="2"/>
  <c r="L743" i="1"/>
  <c r="AI747"/>
  <c r="AA751" i="2"/>
  <c r="L751" i="1"/>
  <c r="AI755"/>
  <c r="AA759" i="2"/>
  <c r="L759" i="1"/>
  <c r="AI763"/>
  <c r="AA767" i="2"/>
  <c r="L767" i="1"/>
  <c r="AI771"/>
  <c r="AA775" i="2"/>
  <c r="L775" i="1"/>
  <c r="AI779"/>
  <c r="AA783" i="2"/>
  <c r="L783" i="1"/>
  <c r="AI787"/>
  <c r="AA791" i="2"/>
  <c r="L791" i="1"/>
  <c r="AI795"/>
  <c r="AA799" i="2"/>
  <c r="L799" i="1"/>
  <c r="AI803"/>
  <c r="AA807" i="2"/>
  <c r="L807" i="1"/>
  <c r="AI811"/>
  <c r="AA815" i="2"/>
  <c r="L815" i="1"/>
  <c r="AI819"/>
  <c r="AA823" i="2"/>
  <c r="L823" i="1"/>
  <c r="AI827"/>
  <c r="AA831" i="2"/>
  <c r="L831" i="1"/>
  <c r="AI835"/>
  <c r="AA839" i="2"/>
  <c r="L839" i="1"/>
  <c r="AI843"/>
  <c r="AA847" i="2"/>
  <c r="L847" i="1"/>
  <c r="AI851"/>
  <c r="AA855" i="2"/>
  <c r="L855" i="1"/>
  <c r="AI859"/>
  <c r="AA863" i="2"/>
  <c r="L863" i="1"/>
  <c r="AI867"/>
  <c r="AA871" i="2"/>
  <c r="L871" i="1"/>
  <c r="AI875"/>
  <c r="AA879" i="2"/>
  <c r="L879" i="1"/>
  <c r="AI883"/>
  <c r="AA887" i="2"/>
  <c r="L887" i="1"/>
  <c r="AI891"/>
  <c r="AA895" i="2"/>
  <c r="L895" i="1"/>
  <c r="AI899"/>
  <c r="AA903" i="2"/>
  <c r="L903" i="1"/>
  <c r="AI907"/>
  <c r="AA911" i="2"/>
  <c r="L911" i="1"/>
  <c r="AI915"/>
  <c r="AA919" i="2"/>
  <c r="L919" i="1"/>
  <c r="AI923"/>
  <c r="AA927" i="2"/>
  <c r="L927" i="1"/>
  <c r="AI931"/>
  <c r="AA935" i="2"/>
  <c r="L935" i="1"/>
  <c r="AI939"/>
  <c r="AA943" i="2"/>
  <c r="L943" i="1"/>
  <c r="AI947"/>
  <c r="AA951" i="2"/>
  <c r="L951" i="1"/>
  <c r="AI955"/>
  <c r="AA959" i="2"/>
  <c r="L959" i="1"/>
  <c r="AI963"/>
  <c r="AA967" i="2"/>
  <c r="L967" i="1"/>
  <c r="AI971"/>
  <c r="AA975" i="2"/>
  <c r="L975" i="1"/>
  <c r="AI979"/>
  <c r="AA983" i="2"/>
  <c r="L983" i="1"/>
  <c r="AI987"/>
  <c r="AA991" i="2"/>
  <c r="L991" i="1"/>
  <c r="AI995"/>
  <c r="AA999" i="2"/>
  <c r="L999" i="1"/>
  <c r="L25"/>
  <c r="Q29"/>
  <c r="R29" s="1"/>
  <c r="AI64"/>
  <c r="AI112"/>
  <c r="AA172" i="2"/>
  <c r="L172" i="1"/>
  <c r="AI208"/>
  <c r="AA220" i="2"/>
  <c r="L220" i="1"/>
  <c r="AI240"/>
  <c r="AI296"/>
  <c r="AA308" i="2"/>
  <c r="L308" i="1"/>
  <c r="AA316" i="2"/>
  <c r="L316" i="1"/>
  <c r="AI344"/>
  <c r="AI360"/>
  <c r="AA420" i="2"/>
  <c r="L420" i="1"/>
  <c r="AI480"/>
  <c r="AI536"/>
  <c r="AA548" i="2"/>
  <c r="L548" i="1"/>
  <c r="AI584"/>
  <c r="AA620" i="2"/>
  <c r="L620" i="1"/>
  <c r="AI696"/>
  <c r="AA716" i="2"/>
  <c r="L716" i="1"/>
  <c r="AI744"/>
  <c r="AI760"/>
  <c r="AI832"/>
  <c r="AI848"/>
  <c r="AA956" i="2"/>
  <c r="L956" i="1"/>
  <c r="AI960"/>
  <c r="AI968"/>
  <c r="AA972" i="2"/>
  <c r="L972" i="1"/>
  <c r="AI976"/>
  <c r="AA980" i="2"/>
  <c r="L980" i="1"/>
  <c r="AI984"/>
  <c r="AA988" i="2"/>
  <c r="L988" i="1"/>
  <c r="AI992"/>
  <c r="AA996" i="2"/>
  <c r="L996" i="1"/>
  <c r="AI1000"/>
  <c r="L65"/>
  <c r="S69"/>
  <c r="AI10"/>
  <c r="AI16"/>
  <c r="AA28" i="2"/>
  <c r="L28" i="1"/>
  <c r="AA36" i="2"/>
  <c r="L36" i="1"/>
  <c r="AA52" i="2"/>
  <c r="L52" i="1"/>
  <c r="AA92" i="2"/>
  <c r="L92" i="1"/>
  <c r="AA100" i="2"/>
  <c r="L100" i="1"/>
  <c r="AA156" i="2"/>
  <c r="L156" i="1"/>
  <c r="AA164" i="2"/>
  <c r="L164" i="1"/>
  <c r="AA300" i="2"/>
  <c r="L300" i="1"/>
  <c r="AA404" i="2"/>
  <c r="L404" i="1"/>
  <c r="AA412" i="2"/>
  <c r="L412" i="1"/>
  <c r="AI440"/>
  <c r="AA460" i="2"/>
  <c r="L460" i="1"/>
  <c r="AA468" i="2"/>
  <c r="L468" i="1"/>
  <c r="AA476" i="2"/>
  <c r="L476" i="1"/>
  <c r="AI504"/>
  <c r="AI520"/>
  <c r="AI592"/>
  <c r="AI608"/>
  <c r="AI624"/>
  <c r="AA628" i="2"/>
  <c r="L628" i="1"/>
  <c r="AI664"/>
  <c r="AA684" i="2"/>
  <c r="L684" i="1"/>
  <c r="AA700" i="2"/>
  <c r="L700" i="1"/>
  <c r="AI720"/>
  <c r="AI736"/>
  <c r="AI808"/>
  <c r="AI824"/>
  <c r="AA828" i="2"/>
  <c r="L828" i="1"/>
  <c r="AA836" i="2"/>
  <c r="L836" i="1"/>
  <c r="AA892" i="2"/>
  <c r="L892" i="1"/>
  <c r="AA900" i="2"/>
  <c r="L900" i="1"/>
  <c r="AA908" i="2"/>
  <c r="L908" i="1"/>
  <c r="AA916" i="2"/>
  <c r="L916" i="1"/>
  <c r="AA924" i="2"/>
  <c r="L924" i="1"/>
  <c r="AI944"/>
  <c r="AA17" i="2"/>
  <c r="L17" i="1"/>
  <c r="AI77"/>
  <c r="AA81" i="2"/>
  <c r="L81" i="1"/>
  <c r="AI85"/>
  <c r="AA89" i="2"/>
  <c r="L89" i="1"/>
  <c r="AI93"/>
  <c r="AA97" i="2"/>
  <c r="L97" i="1"/>
  <c r="AI101"/>
  <c r="AA105" i="2"/>
  <c r="L105" i="1"/>
  <c r="AI109"/>
  <c r="AA113" i="2"/>
  <c r="L113" i="1"/>
  <c r="AI117"/>
  <c r="AA121" i="2"/>
  <c r="L121" i="1"/>
  <c r="AI125"/>
  <c r="AA129" i="2"/>
  <c r="L129" i="1"/>
  <c r="AI133"/>
  <c r="AA137" i="2"/>
  <c r="L137" i="1"/>
  <c r="AI141"/>
  <c r="AA145" i="2"/>
  <c r="L145" i="1"/>
  <c r="AI149"/>
  <c r="AA153" i="2"/>
  <c r="L153" i="1"/>
  <c r="AI157"/>
  <c r="AA161" i="2"/>
  <c r="L161" i="1"/>
  <c r="AI165"/>
  <c r="AA169" i="2"/>
  <c r="L169" i="1"/>
  <c r="AI173"/>
  <c r="AA177" i="2"/>
  <c r="L177" i="1"/>
  <c r="AI181"/>
  <c r="AA185" i="2"/>
  <c r="L185" i="1"/>
  <c r="AI189"/>
  <c r="AA193" i="2"/>
  <c r="L193" i="1"/>
  <c r="AI197"/>
  <c r="AA201" i="2"/>
  <c r="L201" i="1"/>
  <c r="AI205"/>
  <c r="AA209" i="2"/>
  <c r="L209" i="1"/>
  <c r="AI213"/>
  <c r="AA217" i="2"/>
  <c r="L217" i="1"/>
  <c r="AI221"/>
  <c r="AA225" i="2"/>
  <c r="L225" i="1"/>
  <c r="AI229"/>
  <c r="AA233" i="2"/>
  <c r="L233" i="1"/>
  <c r="AI237"/>
  <c r="AA241" i="2"/>
  <c r="L241" i="1"/>
  <c r="AI245"/>
  <c r="AA249" i="2"/>
  <c r="L249" i="1"/>
  <c r="AI253"/>
  <c r="AA257" i="2"/>
  <c r="L257" i="1"/>
  <c r="AI261"/>
  <c r="AA265" i="2"/>
  <c r="L265" i="1"/>
  <c r="AI269"/>
  <c r="AA273" i="2"/>
  <c r="L273" i="1"/>
  <c r="AI277"/>
  <c r="AA281" i="2"/>
  <c r="L281" i="1"/>
  <c r="AI285"/>
  <c r="AA289" i="2"/>
  <c r="L289" i="1"/>
  <c r="AI293"/>
  <c r="AA297" i="2"/>
  <c r="L297" i="1"/>
  <c r="AI301"/>
  <c r="AA305" i="2"/>
  <c r="L305" i="1"/>
  <c r="AI309"/>
  <c r="AA313" i="2"/>
  <c r="L313" i="1"/>
  <c r="AI317"/>
  <c r="AA321" i="2"/>
  <c r="L321" i="1"/>
  <c r="AI325"/>
  <c r="AA329" i="2"/>
  <c r="L329" i="1"/>
  <c r="AI333"/>
  <c r="AA337" i="2"/>
  <c r="L337" i="1"/>
  <c r="AI341"/>
  <c r="AA345" i="2"/>
  <c r="L345" i="1"/>
  <c r="AI349"/>
  <c r="AA353" i="2"/>
  <c r="L353" i="1"/>
  <c r="AI357"/>
  <c r="AA361" i="2"/>
  <c r="L361" i="1"/>
  <c r="AI365"/>
  <c r="AA369" i="2"/>
  <c r="L369" i="1"/>
  <c r="AI373"/>
  <c r="AA377" i="2"/>
  <c r="L377" i="1"/>
  <c r="AI381"/>
  <c r="AA385" i="2"/>
  <c r="L385" i="1"/>
  <c r="AI389"/>
  <c r="AA393" i="2"/>
  <c r="L393" i="1"/>
  <c r="AI397"/>
  <c r="AA401" i="2"/>
  <c r="L401" i="1"/>
  <c r="AI405"/>
  <c r="AA409" i="2"/>
  <c r="L409" i="1"/>
  <c r="AI413"/>
  <c r="AA417" i="2"/>
  <c r="L417" i="1"/>
  <c r="AI421"/>
  <c r="AA425" i="2"/>
  <c r="L425" i="1"/>
  <c r="AI429"/>
  <c r="AA433" i="2"/>
  <c r="L433" i="1"/>
  <c r="AI437"/>
  <c r="AA441" i="2"/>
  <c r="L441" i="1"/>
  <c r="AI445"/>
  <c r="AA449" i="2"/>
  <c r="L449" i="1"/>
  <c r="AI453"/>
  <c r="AA457" i="2"/>
  <c r="L457" i="1"/>
  <c r="AI461"/>
  <c r="AA465" i="2"/>
  <c r="L465" i="1"/>
  <c r="AI469"/>
  <c r="AA473" i="2"/>
  <c r="L473" i="1"/>
  <c r="AI477"/>
  <c r="AA481" i="2"/>
  <c r="L481" i="1"/>
  <c r="AI485"/>
  <c r="AA489" i="2"/>
  <c r="L489" i="1"/>
  <c r="AI493"/>
  <c r="AA497" i="2"/>
  <c r="L497" i="1"/>
  <c r="AI501"/>
  <c r="AA505" i="2"/>
  <c r="L505" i="1"/>
  <c r="AI509"/>
  <c r="AA513" i="2"/>
  <c r="L513" i="1"/>
  <c r="AI517"/>
  <c r="AA521" i="2"/>
  <c r="L521" i="1"/>
  <c r="AI525"/>
  <c r="AA529" i="2"/>
  <c r="L529" i="1"/>
  <c r="AI533"/>
  <c r="AA537" i="2"/>
  <c r="L537" i="1"/>
  <c r="AI541"/>
  <c r="AA545" i="2"/>
  <c r="L545" i="1"/>
  <c r="AI549"/>
  <c r="AA553" i="2"/>
  <c r="L553" i="1"/>
  <c r="AI557"/>
  <c r="AA561" i="2"/>
  <c r="L561" i="1"/>
  <c r="AI565"/>
  <c r="AA569" i="2"/>
  <c r="L569" i="1"/>
  <c r="AI573"/>
  <c r="AA577" i="2"/>
  <c r="L577" i="1"/>
  <c r="AI581"/>
  <c r="AA585" i="2"/>
  <c r="L585" i="1"/>
  <c r="AI589"/>
  <c r="AA593" i="2"/>
  <c r="L593" i="1"/>
  <c r="AI597"/>
  <c r="AA601" i="2"/>
  <c r="L601" i="1"/>
  <c r="AI605"/>
  <c r="AA609" i="2"/>
  <c r="L609" i="1"/>
  <c r="AI613"/>
  <c r="AA617" i="2"/>
  <c r="L617" i="1"/>
  <c r="AI621"/>
  <c r="AA625" i="2"/>
  <c r="L625" i="1"/>
  <c r="AI629"/>
  <c r="AA633" i="2"/>
  <c r="L633" i="1"/>
  <c r="AI637"/>
  <c r="AA641" i="2"/>
  <c r="L641" i="1"/>
  <c r="AI645"/>
  <c r="AA649" i="2"/>
  <c r="L649" i="1"/>
  <c r="AI653"/>
  <c r="AA657" i="2"/>
  <c r="L657" i="1"/>
  <c r="AI661"/>
  <c r="AA665" i="2"/>
  <c r="L665" i="1"/>
  <c r="AI669"/>
  <c r="AA673" i="2"/>
  <c r="L673" i="1"/>
  <c r="AI677"/>
  <c r="AA681" i="2"/>
  <c r="L681" i="1"/>
  <c r="AI685"/>
  <c r="AA689" i="2"/>
  <c r="L689" i="1"/>
  <c r="AI693"/>
  <c r="AA697" i="2"/>
  <c r="L697" i="1"/>
  <c r="AI701"/>
  <c r="AA705" i="2"/>
  <c r="L705" i="1"/>
  <c r="AI709"/>
  <c r="AA713" i="2"/>
  <c r="L713" i="1"/>
  <c r="AI717"/>
  <c r="AA721" i="2"/>
  <c r="L721" i="1"/>
  <c r="AI725"/>
  <c r="AA729" i="2"/>
  <c r="L729" i="1"/>
  <c r="AI733"/>
  <c r="AA737" i="2"/>
  <c r="L737" i="1"/>
  <c r="AI741"/>
  <c r="AA745" i="2"/>
  <c r="L745" i="1"/>
  <c r="AI749"/>
  <c r="AA753" i="2"/>
  <c r="L753" i="1"/>
  <c r="AI757"/>
  <c r="AA761" i="2"/>
  <c r="L761" i="1"/>
  <c r="AI765"/>
  <c r="AA769" i="2"/>
  <c r="L769" i="1"/>
  <c r="AI773"/>
  <c r="AA777" i="2"/>
  <c r="L777" i="1"/>
  <c r="AI781"/>
  <c r="AA785" i="2"/>
  <c r="L785" i="1"/>
  <c r="AI789"/>
  <c r="AA793" i="2"/>
  <c r="L793" i="1"/>
  <c r="AI797"/>
  <c r="AA801" i="2"/>
  <c r="L801" i="1"/>
  <c r="AI805"/>
  <c r="AA809" i="2"/>
  <c r="L809" i="1"/>
  <c r="AI813"/>
  <c r="AA817" i="2"/>
  <c r="L817" i="1"/>
  <c r="AI821"/>
  <c r="AA825" i="2"/>
  <c r="L825" i="1"/>
  <c r="AI829"/>
  <c r="AA833" i="2"/>
  <c r="L833" i="1"/>
  <c r="AI837"/>
  <c r="AA841" i="2"/>
  <c r="L841" i="1"/>
  <c r="AI845"/>
  <c r="AA849" i="2"/>
  <c r="L849" i="1"/>
  <c r="AI853"/>
  <c r="AA857" i="2"/>
  <c r="L857" i="1"/>
  <c r="AI861"/>
  <c r="AA865" i="2"/>
  <c r="L865" i="1"/>
  <c r="AI869"/>
  <c r="AA873" i="2"/>
  <c r="L873" i="1"/>
  <c r="AI877"/>
  <c r="AA881" i="2"/>
  <c r="L881" i="1"/>
  <c r="AI885"/>
  <c r="AA889" i="2"/>
  <c r="L889" i="1"/>
  <c r="AI893"/>
  <c r="AA897" i="2"/>
  <c r="L897" i="1"/>
  <c r="AI901"/>
  <c r="AA905" i="2"/>
  <c r="L905" i="1"/>
  <c r="AI909"/>
  <c r="AA913" i="2"/>
  <c r="L913" i="1"/>
  <c r="AI917"/>
  <c r="AA921" i="2"/>
  <c r="L921" i="1"/>
  <c r="AI925"/>
  <c r="AA929" i="2"/>
  <c r="L929" i="1"/>
  <c r="AI933"/>
  <c r="AA937" i="2"/>
  <c r="L937" i="1"/>
  <c r="AI941"/>
  <c r="AA945" i="2"/>
  <c r="L945" i="1"/>
  <c r="AI949"/>
  <c r="AA953" i="2"/>
  <c r="L953" i="1"/>
  <c r="AI957"/>
  <c r="AA961" i="2"/>
  <c r="L961" i="1"/>
  <c r="AI965"/>
  <c r="AA969" i="2"/>
  <c r="L969" i="1"/>
  <c r="AI973"/>
  <c r="AA977" i="2"/>
  <c r="L977" i="1"/>
  <c r="AI981"/>
  <c r="AA985" i="2"/>
  <c r="L985" i="1"/>
  <c r="AI989"/>
  <c r="AA993" i="2"/>
  <c r="L993" i="1"/>
  <c r="AI997"/>
  <c r="L41"/>
  <c r="Q45"/>
  <c r="R45" s="1"/>
  <c r="AA7" i="2"/>
  <c r="L7" i="1"/>
  <c r="AA15" i="2"/>
  <c r="L15" i="1"/>
  <c r="AA68" i="2"/>
  <c r="L68" i="1"/>
  <c r="AI88"/>
  <c r="AA116" i="2"/>
  <c r="L116" i="1"/>
  <c r="AA124" i="2"/>
  <c r="L124" i="1"/>
  <c r="AI216"/>
  <c r="AI280"/>
  <c r="AI304"/>
  <c r="AI336"/>
  <c r="AI352"/>
  <c r="AA372" i="2"/>
  <c r="L372" i="1"/>
  <c r="AI392"/>
  <c r="AA428" i="2"/>
  <c r="L428" i="1"/>
  <c r="AI464"/>
  <c r="AA532" i="2"/>
  <c r="L532" i="1"/>
  <c r="AA540" i="2"/>
  <c r="L540" i="1"/>
  <c r="AI560"/>
  <c r="AA572" i="2"/>
  <c r="L572" i="1"/>
  <c r="AI632"/>
  <c r="AI768"/>
  <c r="AA780" i="2"/>
  <c r="L780" i="1"/>
  <c r="AI800"/>
  <c r="AI816"/>
  <c r="AI872"/>
  <c r="AI912"/>
  <c r="M3"/>
  <c r="AI18"/>
  <c r="AA22" i="2"/>
  <c r="L22" i="1"/>
  <c r="AI26"/>
  <c r="AA30" i="2"/>
  <c r="L30" i="1"/>
  <c r="AI34"/>
  <c r="AA38" i="2"/>
  <c r="L38" i="1"/>
  <c r="AI42"/>
  <c r="AA46" i="2"/>
  <c r="L46" i="1"/>
  <c r="AI50"/>
  <c r="AA54" i="2"/>
  <c r="L54" i="1"/>
  <c r="AI58"/>
  <c r="AA62" i="2"/>
  <c r="L62" i="1"/>
  <c r="AI66"/>
  <c r="AA70" i="2"/>
  <c r="L70" i="1"/>
  <c r="AI74"/>
  <c r="AA78" i="2"/>
  <c r="L78" i="1"/>
  <c r="AI82"/>
  <c r="AA86" i="2"/>
  <c r="L86" i="1"/>
  <c r="AI90"/>
  <c r="AA94" i="2"/>
  <c r="L94" i="1"/>
  <c r="AI98"/>
  <c r="AA102" i="2"/>
  <c r="L102" i="1"/>
  <c r="AI106"/>
  <c r="AA110" i="2"/>
  <c r="L110" i="1"/>
  <c r="AI114"/>
  <c r="AA118" i="2"/>
  <c r="L118" i="1"/>
  <c r="AI122"/>
  <c r="AA126" i="2"/>
  <c r="L126" i="1"/>
  <c r="AI130"/>
  <c r="AA134" i="2"/>
  <c r="L134" i="1"/>
  <c r="AI138"/>
  <c r="AA142" i="2"/>
  <c r="L142" i="1"/>
  <c r="AI146"/>
  <c r="AA150" i="2"/>
  <c r="L150" i="1"/>
  <c r="AI154"/>
  <c r="AA158" i="2"/>
  <c r="L158" i="1"/>
  <c r="AI162"/>
  <c r="AA166" i="2"/>
  <c r="L166" i="1"/>
  <c r="AI170"/>
  <c r="AA174" i="2"/>
  <c r="L174" i="1"/>
  <c r="AI178"/>
  <c r="AA182" i="2"/>
  <c r="L182" i="1"/>
  <c r="AI186"/>
  <c r="AA190" i="2"/>
  <c r="L190" i="1"/>
  <c r="AI194"/>
  <c r="AA198" i="2"/>
  <c r="L198" i="1"/>
  <c r="AI202"/>
  <c r="AA206" i="2"/>
  <c r="L206" i="1"/>
  <c r="AI210"/>
  <c r="AA214" i="2"/>
  <c r="L214" i="1"/>
  <c r="AI218"/>
  <c r="AA222" i="2"/>
  <c r="L222" i="1"/>
  <c r="AI226"/>
  <c r="AA230" i="2"/>
  <c r="L230" i="1"/>
  <c r="AI234"/>
  <c r="AA238" i="2"/>
  <c r="L238" i="1"/>
  <c r="AI242"/>
  <c r="AA246" i="2"/>
  <c r="L246" i="1"/>
  <c r="AI250"/>
  <c r="AA254" i="2"/>
  <c r="L254" i="1"/>
  <c r="AI258"/>
  <c r="AA262" i="2"/>
  <c r="L262" i="1"/>
  <c r="AI266"/>
  <c r="AA270" i="2"/>
  <c r="L270" i="1"/>
  <c r="AI274"/>
  <c r="AA278" i="2"/>
  <c r="L278" i="1"/>
  <c r="AI282"/>
  <c r="AA286" i="2"/>
  <c r="L286" i="1"/>
  <c r="AI290"/>
  <c r="AA294" i="2"/>
  <c r="L294" i="1"/>
  <c r="AI298"/>
  <c r="AA302" i="2"/>
  <c r="L302" i="1"/>
  <c r="AI306"/>
  <c r="AA310" i="2"/>
  <c r="L310" i="1"/>
  <c r="AI314"/>
  <c r="AA318" i="2"/>
  <c r="L318" i="1"/>
  <c r="AI322"/>
  <c r="AA326" i="2"/>
  <c r="L326" i="1"/>
  <c r="AI330"/>
  <c r="AA334" i="2"/>
  <c r="L334" i="1"/>
  <c r="AI338"/>
  <c r="AA342" i="2"/>
  <c r="L342" i="1"/>
  <c r="AI346"/>
  <c r="AA350" i="2"/>
  <c r="L350" i="1"/>
  <c r="AI354"/>
  <c r="AA358" i="2"/>
  <c r="L358" i="1"/>
  <c r="AI362"/>
  <c r="AA366" i="2"/>
  <c r="L366" i="1"/>
  <c r="AI370"/>
  <c r="AA374" i="2"/>
  <c r="L374" i="1"/>
  <c r="AI378"/>
  <c r="AA382" i="2"/>
  <c r="L382" i="1"/>
  <c r="AI386"/>
  <c r="AA390" i="2"/>
  <c r="L390" i="1"/>
  <c r="AI394"/>
  <c r="AA398" i="2"/>
  <c r="L398" i="1"/>
  <c r="AI402"/>
  <c r="AA406" i="2"/>
  <c r="L406" i="1"/>
  <c r="AI410"/>
  <c r="AA414" i="2"/>
  <c r="L414" i="1"/>
  <c r="AI418"/>
  <c r="AA422" i="2"/>
  <c r="L422" i="1"/>
  <c r="AI426"/>
  <c r="AA430" i="2"/>
  <c r="L430" i="1"/>
  <c r="AI434"/>
  <c r="AA438" i="2"/>
  <c r="L438" i="1"/>
  <c r="AI442"/>
  <c r="AA446" i="2"/>
  <c r="L446" i="1"/>
  <c r="AI450"/>
  <c r="AA454" i="2"/>
  <c r="L454" i="1"/>
  <c r="AI458"/>
  <c r="AA462" i="2"/>
  <c r="L462" i="1"/>
  <c r="AI466"/>
  <c r="AA470" i="2"/>
  <c r="L470" i="1"/>
  <c r="AI474"/>
  <c r="AA478" i="2"/>
  <c r="L478" i="1"/>
  <c r="AI482"/>
  <c r="AA486" i="2"/>
  <c r="L486" i="1"/>
  <c r="AI490"/>
  <c r="AA494" i="2"/>
  <c r="L494" i="1"/>
  <c r="AI498"/>
  <c r="AA502" i="2"/>
  <c r="L502" i="1"/>
  <c r="AI506"/>
  <c r="AA510" i="2"/>
  <c r="L510" i="1"/>
  <c r="AI514"/>
  <c r="AA518" i="2"/>
  <c r="L518" i="1"/>
  <c r="AI522"/>
  <c r="AA526" i="2"/>
  <c r="L526" i="1"/>
  <c r="AI530"/>
  <c r="AA534" i="2"/>
  <c r="L534" i="1"/>
  <c r="AI538"/>
  <c r="AA542" i="2"/>
  <c r="L542" i="1"/>
  <c r="AI546"/>
  <c r="AA550" i="2"/>
  <c r="L550" i="1"/>
  <c r="AI554"/>
  <c r="AA558" i="2"/>
  <c r="L558" i="1"/>
  <c r="AI562"/>
  <c r="AA566" i="2"/>
  <c r="L566" i="1"/>
  <c r="AI570"/>
  <c r="AA574" i="2"/>
  <c r="L574" i="1"/>
  <c r="AI578"/>
  <c r="AA582" i="2"/>
  <c r="L582" i="1"/>
  <c r="AI586"/>
  <c r="AA590" i="2"/>
  <c r="L590" i="1"/>
  <c r="AI594"/>
  <c r="AA598" i="2"/>
  <c r="L598" i="1"/>
  <c r="AI602"/>
  <c r="AA606" i="2"/>
  <c r="L606" i="1"/>
  <c r="AI610"/>
  <c r="AA614" i="2"/>
  <c r="L614" i="1"/>
  <c r="AI618"/>
  <c r="AA622" i="2"/>
  <c r="L622" i="1"/>
  <c r="AI626"/>
  <c r="AA630" i="2"/>
  <c r="L630" i="1"/>
  <c r="AI634"/>
  <c r="AA638" i="2"/>
  <c r="L638" i="1"/>
  <c r="AI642"/>
  <c r="AA646" i="2"/>
  <c r="L646" i="1"/>
  <c r="AI650"/>
  <c r="AA654" i="2"/>
  <c r="L654" i="1"/>
  <c r="AI658"/>
  <c r="AA662" i="2"/>
  <c r="L662" i="1"/>
  <c r="AI666"/>
  <c r="AA670" i="2"/>
  <c r="L670" i="1"/>
  <c r="AI674"/>
  <c r="AA678" i="2"/>
  <c r="L678" i="1"/>
  <c r="AI682"/>
  <c r="AA686" i="2"/>
  <c r="L686" i="1"/>
  <c r="AI690"/>
  <c r="AA694" i="2"/>
  <c r="L694" i="1"/>
  <c r="AI698"/>
  <c r="AA702" i="2"/>
  <c r="L702" i="1"/>
  <c r="AI706"/>
  <c r="AA710" i="2"/>
  <c r="L710" i="1"/>
  <c r="AI714"/>
  <c r="AA718" i="2"/>
  <c r="L718" i="1"/>
  <c r="AI722"/>
  <c r="AA726" i="2"/>
  <c r="L726" i="1"/>
  <c r="AI730"/>
  <c r="AA734" i="2"/>
  <c r="L734" i="1"/>
  <c r="AI738"/>
  <c r="AA742" i="2"/>
  <c r="L742" i="1"/>
  <c r="AI746"/>
  <c r="AA750" i="2"/>
  <c r="L750" i="1"/>
  <c r="AI754"/>
  <c r="AA758" i="2"/>
  <c r="L758" i="1"/>
  <c r="AI762"/>
  <c r="AA766" i="2"/>
  <c r="L766" i="1"/>
  <c r="AI770"/>
  <c r="AA774" i="2"/>
  <c r="L774" i="1"/>
  <c r="AI778"/>
  <c r="AA782" i="2"/>
  <c r="L782" i="1"/>
  <c r="AI786"/>
  <c r="AA790" i="2"/>
  <c r="L790" i="1"/>
  <c r="AI794"/>
  <c r="AA798" i="2"/>
  <c r="L798" i="1"/>
  <c r="AI802"/>
  <c r="AA806" i="2"/>
  <c r="L806" i="1"/>
  <c r="AI810"/>
  <c r="AA814" i="2"/>
  <c r="L814" i="1"/>
  <c r="AI818"/>
  <c r="AA822" i="2"/>
  <c r="L822" i="1"/>
  <c r="AI826"/>
  <c r="AA830" i="2"/>
  <c r="L830" i="1"/>
  <c r="AI834"/>
  <c r="AA838" i="2"/>
  <c r="L838" i="1"/>
  <c r="AI842"/>
  <c r="AA846" i="2"/>
  <c r="L846" i="1"/>
  <c r="AI850"/>
  <c r="AA854" i="2"/>
  <c r="L854" i="1"/>
  <c r="AI858"/>
  <c r="AA862" i="2"/>
  <c r="L862" i="1"/>
  <c r="AI866"/>
  <c r="AA870" i="2"/>
  <c r="L870" i="1"/>
  <c r="AI874"/>
  <c r="AA878" i="2"/>
  <c r="L878" i="1"/>
  <c r="AI882"/>
  <c r="AA886" i="2"/>
  <c r="L886" i="1"/>
  <c r="AI890"/>
  <c r="AA894" i="2"/>
  <c r="L894" i="1"/>
  <c r="AI898"/>
  <c r="AA902" i="2"/>
  <c r="L902" i="1"/>
  <c r="AI906"/>
  <c r="AA910" i="2"/>
  <c r="L910" i="1"/>
  <c r="AI914"/>
  <c r="AA918" i="2"/>
  <c r="L918" i="1"/>
  <c r="AI922"/>
  <c r="AA926" i="2"/>
  <c r="L926" i="1"/>
  <c r="AI930"/>
  <c r="AA934" i="2"/>
  <c r="L934" i="1"/>
  <c r="AI938"/>
  <c r="AA942" i="2"/>
  <c r="L942" i="1"/>
  <c r="AI946"/>
  <c r="AA950" i="2"/>
  <c r="L950" i="1"/>
  <c r="AI954"/>
  <c r="AA958" i="2"/>
  <c r="L958" i="1"/>
  <c r="AI962"/>
  <c r="AA966" i="2"/>
  <c r="L966" i="1"/>
  <c r="AI970"/>
  <c r="AA974" i="2"/>
  <c r="L974" i="1"/>
  <c r="AI978"/>
  <c r="AA982" i="2"/>
  <c r="L982" i="1"/>
  <c r="AI986"/>
  <c r="AA990" i="2"/>
  <c r="L990" i="1"/>
  <c r="AI994"/>
  <c r="AA998" i="2"/>
  <c r="L998" i="1"/>
  <c r="Q21"/>
  <c r="R21" s="1"/>
  <c r="AI6"/>
  <c r="AI12"/>
  <c r="AI32"/>
  <c r="AA44" i="2"/>
  <c r="L44" i="1"/>
  <c r="AA76" i="2"/>
  <c r="L76" i="1"/>
  <c r="AA84" i="2"/>
  <c r="L84" i="1"/>
  <c r="AI104"/>
  <c r="AA132" i="2"/>
  <c r="L132" i="1"/>
  <c r="AA180" i="2"/>
  <c r="L180" i="1"/>
  <c r="AI184"/>
  <c r="AA188" i="2"/>
  <c r="L188" i="1"/>
  <c r="AA212" i="2"/>
  <c r="L212" i="1"/>
  <c r="AA244" i="2"/>
  <c r="L244" i="1"/>
  <c r="AI264"/>
  <c r="AA276" i="2"/>
  <c r="L276" i="1"/>
  <c r="AA332" i="2"/>
  <c r="L332" i="1"/>
  <c r="AA356" i="2"/>
  <c r="L356" i="1"/>
  <c r="AI384"/>
  <c r="AA444" i="2"/>
  <c r="L444" i="1"/>
  <c r="AI488"/>
  <c r="AI544"/>
  <c r="AI640"/>
  <c r="AA668" i="2"/>
  <c r="L668" i="1"/>
  <c r="AA676" i="2"/>
  <c r="L676" i="1"/>
  <c r="AA756" i="2"/>
  <c r="L756" i="1"/>
  <c r="AA788" i="2"/>
  <c r="L788" i="1"/>
  <c r="AA796" i="2"/>
  <c r="L796" i="1"/>
  <c r="AA812" i="2"/>
  <c r="L812" i="1"/>
  <c r="AA860" i="2"/>
  <c r="L860" i="1"/>
  <c r="AA868" i="2"/>
  <c r="L868" i="1"/>
  <c r="AI888"/>
  <c r="AI904"/>
  <c r="AI952"/>
  <c r="AA964" i="2"/>
  <c r="L964" i="1"/>
  <c r="AA19" i="2"/>
  <c r="L19" i="1"/>
  <c r="AI31"/>
  <c r="AA35" i="2"/>
  <c r="L35" i="1"/>
  <c r="AI39"/>
  <c r="AA43" i="2"/>
  <c r="L43" i="1"/>
  <c r="AI47"/>
  <c r="AI55"/>
  <c r="AA59" i="2"/>
  <c r="L59" i="1"/>
  <c r="AI63"/>
  <c r="AA67" i="2"/>
  <c r="L67" i="1"/>
  <c r="AI71"/>
  <c r="AA75" i="2"/>
  <c r="L75" i="1"/>
  <c r="AI79"/>
  <c r="AA83" i="2"/>
  <c r="L83" i="1"/>
  <c r="AI87"/>
  <c r="AA91" i="2"/>
  <c r="L91" i="1"/>
  <c r="AI95"/>
  <c r="AA99" i="2"/>
  <c r="L99" i="1"/>
  <c r="AI103"/>
  <c r="AA107" i="2"/>
  <c r="L107" i="1"/>
  <c r="AI111"/>
  <c r="AA115" i="2"/>
  <c r="L115" i="1"/>
  <c r="AI119"/>
  <c r="AA123" i="2"/>
  <c r="L123" i="1"/>
  <c r="AI127"/>
  <c r="AA131" i="2"/>
  <c r="L131" i="1"/>
  <c r="AI135"/>
  <c r="AA139" i="2"/>
  <c r="L139" i="1"/>
  <c r="AI143"/>
  <c r="AA147" i="2"/>
  <c r="L147" i="1"/>
  <c r="AI151"/>
  <c r="AA155" i="2"/>
  <c r="L155" i="1"/>
  <c r="AI159"/>
  <c r="AA163" i="2"/>
  <c r="L163" i="1"/>
  <c r="AI167"/>
  <c r="AA171" i="2"/>
  <c r="L171" i="1"/>
  <c r="AI175"/>
  <c r="AA179" i="2"/>
  <c r="L179" i="1"/>
  <c r="AI183"/>
  <c r="AA187" i="2"/>
  <c r="L187" i="1"/>
  <c r="AI191"/>
  <c r="AA195" i="2"/>
  <c r="L195" i="1"/>
  <c r="AI199"/>
  <c r="AA203" i="2"/>
  <c r="L203" i="1"/>
  <c r="AI207"/>
  <c r="AA211" i="2"/>
  <c r="L211" i="1"/>
  <c r="AI215"/>
  <c r="AA219" i="2"/>
  <c r="L219" i="1"/>
  <c r="AI223"/>
  <c r="AA227" i="2"/>
  <c r="L227" i="1"/>
  <c r="AI231"/>
  <c r="AA235" i="2"/>
  <c r="L235" i="1"/>
  <c r="AI239"/>
  <c r="AA243" i="2"/>
  <c r="L243" i="1"/>
  <c r="AI247"/>
  <c r="AA251" i="2"/>
  <c r="L251" i="1"/>
  <c r="AI255"/>
  <c r="AA259" i="2"/>
  <c r="L259" i="1"/>
  <c r="AI263"/>
  <c r="AA267" i="2"/>
  <c r="L267" i="1"/>
  <c r="AI271"/>
  <c r="AA275" i="2"/>
  <c r="L275" i="1"/>
  <c r="AI279"/>
  <c r="AA283" i="2"/>
  <c r="L283" i="1"/>
  <c r="AI287"/>
  <c r="AA291" i="2"/>
  <c r="L291" i="1"/>
  <c r="AI295"/>
  <c r="AA299" i="2"/>
  <c r="L299" i="1"/>
  <c r="AI303"/>
  <c r="AA307" i="2"/>
  <c r="L307" i="1"/>
  <c r="AI311"/>
  <c r="AA315" i="2"/>
  <c r="L315" i="1"/>
  <c r="AI319"/>
  <c r="AA323" i="2"/>
  <c r="L323" i="1"/>
  <c r="AI327"/>
  <c r="AA331" i="2"/>
  <c r="L331" i="1"/>
  <c r="AI335"/>
  <c r="AA339" i="2"/>
  <c r="L339" i="1"/>
  <c r="AI343"/>
  <c r="AA347" i="2"/>
  <c r="L347" i="1"/>
  <c r="AI351"/>
  <c r="AA355" i="2"/>
  <c r="L355" i="1"/>
  <c r="AI359"/>
  <c r="AA363" i="2"/>
  <c r="L363" i="1"/>
  <c r="AI367"/>
  <c r="AA371" i="2"/>
  <c r="L371" i="1"/>
  <c r="AI375"/>
  <c r="AA379" i="2"/>
  <c r="L379" i="1"/>
  <c r="AI383"/>
  <c r="AA387" i="2"/>
  <c r="L387" i="1"/>
  <c r="AI391"/>
  <c r="AA395" i="2"/>
  <c r="L395" i="1"/>
  <c r="AI399"/>
  <c r="AA403" i="2"/>
  <c r="L403" i="1"/>
  <c r="AI407"/>
  <c r="AA411" i="2"/>
  <c r="L411" i="1"/>
  <c r="AI415"/>
  <c r="AA419" i="2"/>
  <c r="L419" i="1"/>
  <c r="AI423"/>
  <c r="AA427" i="2"/>
  <c r="L427" i="1"/>
  <c r="AI431"/>
  <c r="AA435" i="2"/>
  <c r="L435" i="1"/>
  <c r="AI439"/>
  <c r="AA443" i="2"/>
  <c r="L443" i="1"/>
  <c r="AI447"/>
  <c r="AA451" i="2"/>
  <c r="L451" i="1"/>
  <c r="AI455"/>
  <c r="AA459" i="2"/>
  <c r="L459" i="1"/>
  <c r="AI463"/>
  <c r="AA467" i="2"/>
  <c r="L467" i="1"/>
  <c r="AI471"/>
  <c r="AA475" i="2"/>
  <c r="L475" i="1"/>
  <c r="AI479"/>
  <c r="AA483" i="2"/>
  <c r="L483" i="1"/>
  <c r="AI487"/>
  <c r="AA491" i="2"/>
  <c r="L491" i="1"/>
  <c r="AI495"/>
  <c r="AA499" i="2"/>
  <c r="L499" i="1"/>
  <c r="AI503"/>
  <c r="AA507" i="2"/>
  <c r="L507" i="1"/>
  <c r="AI511"/>
  <c r="AA515" i="2"/>
  <c r="L515" i="1"/>
  <c r="AI519"/>
  <c r="AA523" i="2"/>
  <c r="L523" i="1"/>
  <c r="AI527"/>
  <c r="AA531" i="2"/>
  <c r="L531" i="1"/>
  <c r="AI535"/>
  <c r="AA539" i="2"/>
  <c r="L539" i="1"/>
  <c r="AI543"/>
  <c r="AA547" i="2"/>
  <c r="L547" i="1"/>
  <c r="AI551"/>
  <c r="AA555" i="2"/>
  <c r="L555" i="1"/>
  <c r="AI559"/>
  <c r="AA563" i="2"/>
  <c r="L563" i="1"/>
  <c r="AI567"/>
  <c r="AA571" i="2"/>
  <c r="L571" i="1"/>
  <c r="AI575"/>
  <c r="AA579" i="2"/>
  <c r="L579" i="1"/>
  <c r="AI583"/>
  <c r="AA587" i="2"/>
  <c r="L587" i="1"/>
  <c r="AI591"/>
  <c r="AA595" i="2"/>
  <c r="L595" i="1"/>
  <c r="AI599"/>
  <c r="AA603" i="2"/>
  <c r="L603" i="1"/>
  <c r="AI607"/>
  <c r="AA611" i="2"/>
  <c r="L611" i="1"/>
  <c r="AI615"/>
  <c r="AA619" i="2"/>
  <c r="L619" i="1"/>
  <c r="AI623"/>
  <c r="AA627" i="2"/>
  <c r="L627" i="1"/>
  <c r="AI631"/>
  <c r="AA635" i="2"/>
  <c r="L635" i="1"/>
  <c r="AI639"/>
  <c r="AA643" i="2"/>
  <c r="L643" i="1"/>
  <c r="AI647"/>
  <c r="AA651" i="2"/>
  <c r="L651" i="1"/>
  <c r="AI655"/>
  <c r="AA659" i="2"/>
  <c r="L659" i="1"/>
  <c r="AI663"/>
  <c r="AA667" i="2"/>
  <c r="L667" i="1"/>
  <c r="AI671"/>
  <c r="AA675" i="2"/>
  <c r="L675" i="1"/>
  <c r="AI679"/>
  <c r="AA683" i="2"/>
  <c r="L683" i="1"/>
  <c r="AI687"/>
  <c r="AA691" i="2"/>
  <c r="L691" i="1"/>
  <c r="AI695"/>
  <c r="AA699" i="2"/>
  <c r="L699" i="1"/>
  <c r="AI703"/>
  <c r="AA707" i="2"/>
  <c r="L707" i="1"/>
  <c r="AI711"/>
  <c r="AA715" i="2"/>
  <c r="L715" i="1"/>
  <c r="AI719"/>
  <c r="AA723" i="2"/>
  <c r="L723" i="1"/>
  <c r="AI727"/>
  <c r="AA731" i="2"/>
  <c r="L731" i="1"/>
  <c r="AI735"/>
  <c r="AA739" i="2"/>
  <c r="L739" i="1"/>
  <c r="AI743"/>
  <c r="AA747" i="2"/>
  <c r="L747" i="1"/>
  <c r="AI751"/>
  <c r="AA755" i="2"/>
  <c r="L755" i="1"/>
  <c r="AI759"/>
  <c r="AA763" i="2"/>
  <c r="L763" i="1"/>
  <c r="AI767"/>
  <c r="AA771" i="2"/>
  <c r="L771" i="1"/>
  <c r="AI775"/>
  <c r="AA779" i="2"/>
  <c r="L779" i="1"/>
  <c r="AI783"/>
  <c r="AA787" i="2"/>
  <c r="L787" i="1"/>
  <c r="AI791"/>
  <c r="AA795" i="2"/>
  <c r="L795" i="1"/>
  <c r="AI799"/>
  <c r="AA803" i="2"/>
  <c r="L803" i="1"/>
  <c r="AI807"/>
  <c r="AA811" i="2"/>
  <c r="L811" i="1"/>
  <c r="AI815"/>
  <c r="AA819" i="2"/>
  <c r="L819" i="1"/>
  <c r="AI823"/>
  <c r="AA827" i="2"/>
  <c r="L827" i="1"/>
  <c r="AI831"/>
  <c r="AA835" i="2"/>
  <c r="L835" i="1"/>
  <c r="AI839"/>
  <c r="AA843" i="2"/>
  <c r="L843" i="1"/>
  <c r="AI847"/>
  <c r="AA851" i="2"/>
  <c r="L851" i="1"/>
  <c r="AI855"/>
  <c r="AA859" i="2"/>
  <c r="L859" i="1"/>
  <c r="AI863"/>
  <c r="AA867" i="2"/>
  <c r="L867" i="1"/>
  <c r="AI871"/>
  <c r="AA875" i="2"/>
  <c r="L875" i="1"/>
  <c r="AI879"/>
  <c r="AA883" i="2"/>
  <c r="L883" i="1"/>
  <c r="AI887"/>
  <c r="AA891" i="2"/>
  <c r="L891" i="1"/>
  <c r="AI895"/>
  <c r="AA899" i="2"/>
  <c r="L899" i="1"/>
  <c r="AI903"/>
  <c r="AA907" i="2"/>
  <c r="L907" i="1"/>
  <c r="AI911"/>
  <c r="AA915" i="2"/>
  <c r="L915" i="1"/>
  <c r="AI919"/>
  <c r="AA923" i="2"/>
  <c r="L923" i="1"/>
  <c r="AI927"/>
  <c r="AA931" i="2"/>
  <c r="L931" i="1"/>
  <c r="AI935"/>
  <c r="AA939" i="2"/>
  <c r="L939" i="1"/>
  <c r="AI943"/>
  <c r="AA947" i="2"/>
  <c r="L947" i="1"/>
  <c r="AI951"/>
  <c r="AA955" i="2"/>
  <c r="L955" i="1"/>
  <c r="AI959"/>
  <c r="AA963" i="2"/>
  <c r="L963" i="1"/>
  <c r="AI967"/>
  <c r="AA971" i="2"/>
  <c r="L971" i="1"/>
  <c r="AI975"/>
  <c r="AA979" i="2"/>
  <c r="L979" i="1"/>
  <c r="AI983"/>
  <c r="AA987" i="2"/>
  <c r="L987" i="1"/>
  <c r="AI991"/>
  <c r="AA995" i="2"/>
  <c r="L995" i="1"/>
  <c r="AI999"/>
  <c r="AU847" i="2"/>
  <c r="AV847" s="1"/>
  <c r="AR910"/>
  <c r="Z910" i="1" s="1"/>
  <c r="L57"/>
  <c r="Q61"/>
  <c r="AA9" i="2"/>
  <c r="L9" i="1"/>
  <c r="AI24"/>
  <c r="AI48"/>
  <c r="AA60" i="2"/>
  <c r="L60" i="1"/>
  <c r="AI80"/>
  <c r="AI96"/>
  <c r="AI120"/>
  <c r="AI136"/>
  <c r="AA140" i="2"/>
  <c r="L140" i="1"/>
  <c r="AI160"/>
  <c r="AI200"/>
  <c r="AA260" i="2"/>
  <c r="L260" i="1"/>
  <c r="AA268" i="2"/>
  <c r="L268" i="1"/>
  <c r="AA364" i="2"/>
  <c r="L364" i="1"/>
  <c r="AI400"/>
  <c r="AI456"/>
  <c r="AI512"/>
  <c r="AI576"/>
  <c r="AI616"/>
  <c r="AI648"/>
  <c r="AI672"/>
  <c r="AI712"/>
  <c r="AI752"/>
  <c r="AA804" i="2"/>
  <c r="L804" i="1"/>
  <c r="AI880"/>
  <c r="AI896"/>
  <c r="AI23"/>
  <c r="AA51" i="2"/>
  <c r="L51" i="1"/>
  <c r="AH5"/>
  <c r="AA6" i="2"/>
  <c r="L6" i="1"/>
  <c r="AI7"/>
  <c r="AA8" i="2"/>
  <c r="L8" i="1"/>
  <c r="AA10" i="2"/>
  <c r="L10" i="1"/>
  <c r="AI11"/>
  <c r="AA12" i="2"/>
  <c r="L12" i="1"/>
  <c r="AI13"/>
  <c r="AA14" i="2"/>
  <c r="L14" i="1"/>
  <c r="AI15"/>
  <c r="AA16" i="2"/>
  <c r="L16" i="1"/>
  <c r="AI20"/>
  <c r="AA24" i="2"/>
  <c r="L24" i="1"/>
  <c r="AI28"/>
  <c r="AA32" i="2"/>
  <c r="L32" i="1"/>
  <c r="AI36"/>
  <c r="AA40" i="2"/>
  <c r="L40" i="1"/>
  <c r="AI44"/>
  <c r="AA48" i="2"/>
  <c r="L48" i="1"/>
  <c r="AI52"/>
  <c r="AA56" i="2"/>
  <c r="L56" i="1"/>
  <c r="AI60"/>
  <c r="AA64" i="2"/>
  <c r="L64" i="1"/>
  <c r="AI68"/>
  <c r="AA72" i="2"/>
  <c r="L72" i="1"/>
  <c r="AI76"/>
  <c r="AA80" i="2"/>
  <c r="L80" i="1"/>
  <c r="AI84"/>
  <c r="AA88" i="2"/>
  <c r="L88" i="1"/>
  <c r="AI92"/>
  <c r="AA96" i="2"/>
  <c r="L96" i="1"/>
  <c r="AI100"/>
  <c r="AA104" i="2"/>
  <c r="L104" i="1"/>
  <c r="AI108"/>
  <c r="AA112" i="2"/>
  <c r="L112" i="1"/>
  <c r="AI116"/>
  <c r="AA120" i="2"/>
  <c r="L120" i="1"/>
  <c r="AI124"/>
  <c r="AA128" i="2"/>
  <c r="L128" i="1"/>
  <c r="AI132"/>
  <c r="AA136" i="2"/>
  <c r="L136" i="1"/>
  <c r="AI140"/>
  <c r="AA144" i="2"/>
  <c r="L144" i="1"/>
  <c r="AI148"/>
  <c r="AA152" i="2"/>
  <c r="L152" i="1"/>
  <c r="AI156"/>
  <c r="AA160" i="2"/>
  <c r="L160" i="1"/>
  <c r="AI164"/>
  <c r="AA168" i="2"/>
  <c r="L168" i="1"/>
  <c r="AI172"/>
  <c r="AA176" i="2"/>
  <c r="L176" i="1"/>
  <c r="AI180"/>
  <c r="AA184" i="2"/>
  <c r="L184" i="1"/>
  <c r="AI188"/>
  <c r="AA192" i="2"/>
  <c r="L192" i="1"/>
  <c r="AI196"/>
  <c r="AA200" i="2"/>
  <c r="L200" i="1"/>
  <c r="AI204"/>
  <c r="AA208" i="2"/>
  <c r="L208" i="1"/>
  <c r="AI212"/>
  <c r="AA216" i="2"/>
  <c r="L216" i="1"/>
  <c r="AI220"/>
  <c r="AA224" i="2"/>
  <c r="L224" i="1"/>
  <c r="AI228"/>
  <c r="AA232" i="2"/>
  <c r="L232" i="1"/>
  <c r="AI236"/>
  <c r="AA240" i="2"/>
  <c r="L240" i="1"/>
  <c r="AI244"/>
  <c r="AA248" i="2"/>
  <c r="L248" i="1"/>
  <c r="AI252"/>
  <c r="AA256" i="2"/>
  <c r="L256" i="1"/>
  <c r="AI260"/>
  <c r="AA264" i="2"/>
  <c r="L264" i="1"/>
  <c r="AI268"/>
  <c r="AA272" i="2"/>
  <c r="L272" i="1"/>
  <c r="AI276"/>
  <c r="AA280" i="2"/>
  <c r="L280" i="1"/>
  <c r="AI284"/>
  <c r="AA288" i="2"/>
  <c r="L288" i="1"/>
  <c r="AI292"/>
  <c r="AA296" i="2"/>
  <c r="L296" i="1"/>
  <c r="AI300"/>
  <c r="AA304" i="2"/>
  <c r="L304" i="1"/>
  <c r="AI308"/>
  <c r="AA312" i="2"/>
  <c r="L312" i="1"/>
  <c r="AI316"/>
  <c r="AA320" i="2"/>
  <c r="L320" i="1"/>
  <c r="AI324"/>
  <c r="AA328" i="2"/>
  <c r="L328" i="1"/>
  <c r="AI332"/>
  <c r="AA336" i="2"/>
  <c r="L336" i="1"/>
  <c r="AI340"/>
  <c r="AA344" i="2"/>
  <c r="L344" i="1"/>
  <c r="AI348"/>
  <c r="AA352" i="2"/>
  <c r="L352" i="1"/>
  <c r="AI356"/>
  <c r="AA360" i="2"/>
  <c r="L360" i="1"/>
  <c r="AI364"/>
  <c r="AA368" i="2"/>
  <c r="L368" i="1"/>
  <c r="AI372"/>
  <c r="AA376" i="2"/>
  <c r="L376" i="1"/>
  <c r="AI380"/>
  <c r="AA384" i="2"/>
  <c r="L384" i="1"/>
  <c r="AI388"/>
  <c r="AA392" i="2"/>
  <c r="L392" i="1"/>
  <c r="AI396"/>
  <c r="AA400" i="2"/>
  <c r="L400" i="1"/>
  <c r="AI404"/>
  <c r="AA408" i="2"/>
  <c r="L408" i="1"/>
  <c r="AI412"/>
  <c r="AA416" i="2"/>
  <c r="L416" i="1"/>
  <c r="AI420"/>
  <c r="AA424" i="2"/>
  <c r="L424" i="1"/>
  <c r="AI428"/>
  <c r="AA432" i="2"/>
  <c r="L432" i="1"/>
  <c r="AI436"/>
  <c r="AA440" i="2"/>
  <c r="L440" i="1"/>
  <c r="AI444"/>
  <c r="AA448" i="2"/>
  <c r="L448" i="1"/>
  <c r="AI452"/>
  <c r="AA456" i="2"/>
  <c r="L456" i="1"/>
  <c r="AI460"/>
  <c r="AA464" i="2"/>
  <c r="L464" i="1"/>
  <c r="AI468"/>
  <c r="AA472" i="2"/>
  <c r="L472" i="1"/>
  <c r="AI476"/>
  <c r="AA480" i="2"/>
  <c r="L480" i="1"/>
  <c r="AI484"/>
  <c r="AA488" i="2"/>
  <c r="L488" i="1"/>
  <c r="AI492"/>
  <c r="AA496" i="2"/>
  <c r="L496" i="1"/>
  <c r="AI500"/>
  <c r="AA504" i="2"/>
  <c r="L504" i="1"/>
  <c r="AI508"/>
  <c r="AA512" i="2"/>
  <c r="L512" i="1"/>
  <c r="AI516"/>
  <c r="AA520" i="2"/>
  <c r="L520" i="1"/>
  <c r="AI524"/>
  <c r="AA528" i="2"/>
  <c r="L528" i="1"/>
  <c r="AI532"/>
  <c r="AA536" i="2"/>
  <c r="L536" i="1"/>
  <c r="AI540"/>
  <c r="AA544" i="2"/>
  <c r="L544" i="1"/>
  <c r="AI548"/>
  <c r="AA552" i="2"/>
  <c r="L552" i="1"/>
  <c r="AI556"/>
  <c r="AA560" i="2"/>
  <c r="L560" i="1"/>
  <c r="AI564"/>
  <c r="AA568" i="2"/>
  <c r="L568" i="1"/>
  <c r="AI572"/>
  <c r="AA576" i="2"/>
  <c r="L576" i="1"/>
  <c r="AI580"/>
  <c r="AA584" i="2"/>
  <c r="L584" i="1"/>
  <c r="AI588"/>
  <c r="AA592" i="2"/>
  <c r="L592" i="1"/>
  <c r="AI596"/>
  <c r="AA600" i="2"/>
  <c r="L600" i="1"/>
  <c r="AI604"/>
  <c r="AA608" i="2"/>
  <c r="L608" i="1"/>
  <c r="AI612"/>
  <c r="AA616" i="2"/>
  <c r="L616" i="1"/>
  <c r="AI620"/>
  <c r="AA624" i="2"/>
  <c r="L624" i="1"/>
  <c r="AI628"/>
  <c r="AA632" i="2"/>
  <c r="L632" i="1"/>
  <c r="AI636"/>
  <c r="AA640" i="2"/>
  <c r="L640" i="1"/>
  <c r="AI644"/>
  <c r="AA648" i="2"/>
  <c r="L648" i="1"/>
  <c r="AI652"/>
  <c r="AA656" i="2"/>
  <c r="L656" i="1"/>
  <c r="AI660"/>
  <c r="AA664" i="2"/>
  <c r="L664" i="1"/>
  <c r="AI668"/>
  <c r="AA672" i="2"/>
  <c r="L672" i="1"/>
  <c r="AI676"/>
  <c r="AA680" i="2"/>
  <c r="L680" i="1"/>
  <c r="AI684"/>
  <c r="AA688" i="2"/>
  <c r="L688" i="1"/>
  <c r="AI692"/>
  <c r="AA696" i="2"/>
  <c r="L696" i="1"/>
  <c r="AI700"/>
  <c r="AA704" i="2"/>
  <c r="L704" i="1"/>
  <c r="AI708"/>
  <c r="AA712" i="2"/>
  <c r="L712" i="1"/>
  <c r="AI716"/>
  <c r="AA720" i="2"/>
  <c r="L720" i="1"/>
  <c r="AI724"/>
  <c r="AA728" i="2"/>
  <c r="L728" i="1"/>
  <c r="AI732"/>
  <c r="AA736" i="2"/>
  <c r="L736" i="1"/>
  <c r="AI740"/>
  <c r="AA744" i="2"/>
  <c r="L744" i="1"/>
  <c r="AI748"/>
  <c r="AA752" i="2"/>
  <c r="L752" i="1"/>
  <c r="AI756"/>
  <c r="AA760" i="2"/>
  <c r="L760" i="1"/>
  <c r="AI764"/>
  <c r="AA768" i="2"/>
  <c r="L768" i="1"/>
  <c r="AI772"/>
  <c r="AA776" i="2"/>
  <c r="L776" i="1"/>
  <c r="AI780"/>
  <c r="AA784" i="2"/>
  <c r="L784" i="1"/>
  <c r="AI788"/>
  <c r="AA792" i="2"/>
  <c r="L792" i="1"/>
  <c r="AI796"/>
  <c r="AA800" i="2"/>
  <c r="L800" i="1"/>
  <c r="AI804"/>
  <c r="AA808" i="2"/>
  <c r="L808" i="1"/>
  <c r="AI812"/>
  <c r="AA816" i="2"/>
  <c r="L816" i="1"/>
  <c r="AI820"/>
  <c r="AA824" i="2"/>
  <c r="L824" i="1"/>
  <c r="AI828"/>
  <c r="AA832" i="2"/>
  <c r="L832" i="1"/>
  <c r="AI836"/>
  <c r="AA840" i="2"/>
  <c r="L840" i="1"/>
  <c r="AI844"/>
  <c r="AA848" i="2"/>
  <c r="L848" i="1"/>
  <c r="AI852"/>
  <c r="AA856" i="2"/>
  <c r="L856" i="1"/>
  <c r="AI860"/>
  <c r="AA864" i="2"/>
  <c r="L864" i="1"/>
  <c r="AI868"/>
  <c r="AA872" i="2"/>
  <c r="L872" i="1"/>
  <c r="AI876"/>
  <c r="AA880" i="2"/>
  <c r="L880" i="1"/>
  <c r="AI884"/>
  <c r="AA888" i="2"/>
  <c r="L888" i="1"/>
  <c r="AI892"/>
  <c r="AA896" i="2"/>
  <c r="L896" i="1"/>
  <c r="AI900"/>
  <c r="AA904" i="2"/>
  <c r="L904" i="1"/>
  <c r="AI908"/>
  <c r="AA912" i="2"/>
  <c r="L912" i="1"/>
  <c r="AI916"/>
  <c r="AA920" i="2"/>
  <c r="L920" i="1"/>
  <c r="AI924"/>
  <c r="AA928" i="2"/>
  <c r="L928" i="1"/>
  <c r="AI932"/>
  <c r="AA936" i="2"/>
  <c r="L936" i="1"/>
  <c r="AI940"/>
  <c r="AA944" i="2"/>
  <c r="L944" i="1"/>
  <c r="AI948"/>
  <c r="AA952" i="2"/>
  <c r="L952" i="1"/>
  <c r="AI956"/>
  <c r="AA960" i="2"/>
  <c r="L960" i="1"/>
  <c r="AI964"/>
  <c r="AA968" i="2"/>
  <c r="L968" i="1"/>
  <c r="AI972"/>
  <c r="AA976" i="2"/>
  <c r="L976" i="1"/>
  <c r="AI980"/>
  <c r="AA984" i="2"/>
  <c r="L984" i="1"/>
  <c r="AI988"/>
  <c r="AA992" i="2"/>
  <c r="L992" i="1"/>
  <c r="AI996"/>
  <c r="AA1000" i="2"/>
  <c r="L1000" i="1"/>
  <c r="L13"/>
  <c r="L33"/>
  <c r="Q37"/>
  <c r="R37" s="1"/>
  <c r="AI8"/>
  <c r="AA11" i="2"/>
  <c r="L11" i="1"/>
  <c r="AI176"/>
  <c r="AI224"/>
  <c r="AA236" i="2"/>
  <c r="L236" i="1"/>
  <c r="AI256"/>
  <c r="AA284" i="2"/>
  <c r="L284" i="1"/>
  <c r="AA292" i="2"/>
  <c r="L292" i="1"/>
  <c r="AI312"/>
  <c r="AA340" i="2"/>
  <c r="L340" i="1"/>
  <c r="AA380" i="2"/>
  <c r="L380" i="1"/>
  <c r="AI416"/>
  <c r="AI432"/>
  <c r="AI552"/>
  <c r="AA564" i="2"/>
  <c r="L564" i="1"/>
  <c r="AA596" i="2"/>
  <c r="L596" i="1"/>
  <c r="AA636" i="2"/>
  <c r="L636" i="1"/>
  <c r="AA644" i="2"/>
  <c r="L644" i="1"/>
  <c r="AA652" i="2"/>
  <c r="L652" i="1"/>
  <c r="AA724" i="2"/>
  <c r="L724" i="1"/>
  <c r="AA732" i="2"/>
  <c r="L732" i="1"/>
  <c r="AA740" i="2"/>
  <c r="L740" i="1"/>
  <c r="AA748" i="2"/>
  <c r="L748" i="1"/>
  <c r="AA772" i="2"/>
  <c r="L772" i="1"/>
  <c r="AI776"/>
  <c r="AI792"/>
  <c r="AA820" i="2"/>
  <c r="L820" i="1"/>
  <c r="AI840"/>
  <c r="AI864"/>
  <c r="AI928"/>
  <c r="AA932" i="2"/>
  <c r="L932" i="1"/>
  <c r="AA940" i="2"/>
  <c r="L940" i="1"/>
  <c r="AA5" i="2"/>
  <c r="L5" i="1"/>
  <c r="AA27" i="2"/>
  <c r="L27" i="1"/>
  <c r="AI17"/>
  <c r="AA21" i="2"/>
  <c r="L21" i="1"/>
  <c r="AI25"/>
  <c r="AA29" i="2"/>
  <c r="L29" i="1"/>
  <c r="AI33"/>
  <c r="AA37" i="2"/>
  <c r="L37" i="1"/>
  <c r="AI41"/>
  <c r="AA45" i="2"/>
  <c r="L45" i="1"/>
  <c r="AI49"/>
  <c r="AA53" i="2"/>
  <c r="L53" i="1"/>
  <c r="AI57"/>
  <c r="AA61" i="2"/>
  <c r="L61" i="1"/>
  <c r="AI65"/>
  <c r="AA69" i="2"/>
  <c r="L69" i="1"/>
  <c r="AI73"/>
  <c r="AA77" i="2"/>
  <c r="L77" i="1"/>
  <c r="AI81"/>
  <c r="AA85" i="2"/>
  <c r="L85" i="1"/>
  <c r="AI89"/>
  <c r="AA93" i="2"/>
  <c r="L93" i="1"/>
  <c r="AI97"/>
  <c r="AA101" i="2"/>
  <c r="L101" i="1"/>
  <c r="AI105"/>
  <c r="AA109" i="2"/>
  <c r="L109" i="1"/>
  <c r="AI113"/>
  <c r="AA117" i="2"/>
  <c r="L117" i="1"/>
  <c r="AI121"/>
  <c r="AA125" i="2"/>
  <c r="L125" i="1"/>
  <c r="AI129"/>
  <c r="AA133" i="2"/>
  <c r="L133" i="1"/>
  <c r="AI137"/>
  <c r="AA141" i="2"/>
  <c r="L141" i="1"/>
  <c r="AI145"/>
  <c r="AA149" i="2"/>
  <c r="L149" i="1"/>
  <c r="AI153"/>
  <c r="AA157" i="2"/>
  <c r="L157" i="1"/>
  <c r="AI161"/>
  <c r="AA165" i="2"/>
  <c r="L165" i="1"/>
  <c r="AI169"/>
  <c r="AA173" i="2"/>
  <c r="L173" i="1"/>
  <c r="AI177"/>
  <c r="AA181" i="2"/>
  <c r="L181" i="1"/>
  <c r="AI185"/>
  <c r="AA189" i="2"/>
  <c r="L189" i="1"/>
  <c r="AI193"/>
  <c r="AA197" i="2"/>
  <c r="L197" i="1"/>
  <c r="AI201"/>
  <c r="AA205" i="2"/>
  <c r="L205" i="1"/>
  <c r="AI209"/>
  <c r="AA213" i="2"/>
  <c r="L213" i="1"/>
  <c r="AI217"/>
  <c r="AA221" i="2"/>
  <c r="L221" i="1"/>
  <c r="AI225"/>
  <c r="AA229" i="2"/>
  <c r="L229" i="1"/>
  <c r="AI233"/>
  <c r="AA237" i="2"/>
  <c r="L237" i="1"/>
  <c r="AI241"/>
  <c r="AA245" i="2"/>
  <c r="L245" i="1"/>
  <c r="AI249"/>
  <c r="AA253" i="2"/>
  <c r="L253" i="1"/>
  <c r="AI257"/>
  <c r="AA261" i="2"/>
  <c r="L261" i="1"/>
  <c r="AI265"/>
  <c r="AA269" i="2"/>
  <c r="L269" i="1"/>
  <c r="AI273"/>
  <c r="AA277" i="2"/>
  <c r="L277" i="1"/>
  <c r="AI281"/>
  <c r="AA285" i="2"/>
  <c r="L285" i="1"/>
  <c r="AI289"/>
  <c r="AA293" i="2"/>
  <c r="L293" i="1"/>
  <c r="AI297"/>
  <c r="AA301" i="2"/>
  <c r="L301" i="1"/>
  <c r="AI305"/>
  <c r="AA309" i="2"/>
  <c r="L309" i="1"/>
  <c r="AI313"/>
  <c r="AA317" i="2"/>
  <c r="L317" i="1"/>
  <c r="AI321"/>
  <c r="AA325" i="2"/>
  <c r="L325" i="1"/>
  <c r="AI329"/>
  <c r="AA333" i="2"/>
  <c r="L333" i="1"/>
  <c r="AI337"/>
  <c r="AA341" i="2"/>
  <c r="L341" i="1"/>
  <c r="AI345"/>
  <c r="AA349" i="2"/>
  <c r="L349" i="1"/>
  <c r="AI353"/>
  <c r="AA357" i="2"/>
  <c r="L357" i="1"/>
  <c r="AI361"/>
  <c r="AA365" i="2"/>
  <c r="L365" i="1"/>
  <c r="AI369"/>
  <c r="AA373" i="2"/>
  <c r="L373" i="1"/>
  <c r="AI377"/>
  <c r="AA381" i="2"/>
  <c r="L381" i="1"/>
  <c r="AI385"/>
  <c r="AA389" i="2"/>
  <c r="L389" i="1"/>
  <c r="AI393"/>
  <c r="AA397" i="2"/>
  <c r="L397" i="1"/>
  <c r="AI401"/>
  <c r="AA405" i="2"/>
  <c r="L405" i="1"/>
  <c r="AI409"/>
  <c r="AA413" i="2"/>
  <c r="L413" i="1"/>
  <c r="AI417"/>
  <c r="AA421" i="2"/>
  <c r="L421" i="1"/>
  <c r="AI425"/>
  <c r="AA429" i="2"/>
  <c r="L429" i="1"/>
  <c r="AI433"/>
  <c r="AA437" i="2"/>
  <c r="L437" i="1"/>
  <c r="AI441"/>
  <c r="AA445" i="2"/>
  <c r="L445" i="1"/>
  <c r="AI449"/>
  <c r="AA453" i="2"/>
  <c r="L453" i="1"/>
  <c r="AI457"/>
  <c r="AA461" i="2"/>
  <c r="L461" i="1"/>
  <c r="AI465"/>
  <c r="AA469" i="2"/>
  <c r="L469" i="1"/>
  <c r="AI473"/>
  <c r="AA477" i="2"/>
  <c r="L477" i="1"/>
  <c r="AI481"/>
  <c r="AA485" i="2"/>
  <c r="L485" i="1"/>
  <c r="AI489"/>
  <c r="AA493" i="2"/>
  <c r="L493" i="1"/>
  <c r="AI497"/>
  <c r="AA501" i="2"/>
  <c r="L501" i="1"/>
  <c r="AI505"/>
  <c r="AA509" i="2"/>
  <c r="L509" i="1"/>
  <c r="AI513"/>
  <c r="AA517" i="2"/>
  <c r="L517" i="1"/>
  <c r="AI521"/>
  <c r="AA525" i="2"/>
  <c r="L525" i="1"/>
  <c r="AI529"/>
  <c r="AA533" i="2"/>
  <c r="L533" i="1"/>
  <c r="AI537"/>
  <c r="AA541" i="2"/>
  <c r="L541" i="1"/>
  <c r="AI545"/>
  <c r="AA549" i="2"/>
  <c r="L549" i="1"/>
  <c r="AI553"/>
  <c r="AA557" i="2"/>
  <c r="L557" i="1"/>
  <c r="AI561"/>
  <c r="AA565" i="2"/>
  <c r="L565" i="1"/>
  <c r="AI569"/>
  <c r="AA573" i="2"/>
  <c r="L573" i="1"/>
  <c r="AI577"/>
  <c r="AA581" i="2"/>
  <c r="L581" i="1"/>
  <c r="AI585"/>
  <c r="AA589" i="2"/>
  <c r="L589" i="1"/>
  <c r="AI593"/>
  <c r="AA597" i="2"/>
  <c r="L597" i="1"/>
  <c r="AI601"/>
  <c r="AA605" i="2"/>
  <c r="L605" i="1"/>
  <c r="AI609"/>
  <c r="AA613" i="2"/>
  <c r="L613" i="1"/>
  <c r="AI617"/>
  <c r="AA621" i="2"/>
  <c r="L621" i="1"/>
  <c r="AI625"/>
  <c r="AA629" i="2"/>
  <c r="L629" i="1"/>
  <c r="AI633"/>
  <c r="AA637" i="2"/>
  <c r="L637" i="1"/>
  <c r="AI641"/>
  <c r="AA645" i="2"/>
  <c r="L645" i="1"/>
  <c r="AI649"/>
  <c r="AA653" i="2"/>
  <c r="L653" i="1"/>
  <c r="AI657"/>
  <c r="AA661" i="2"/>
  <c r="L661" i="1"/>
  <c r="AI665"/>
  <c r="AA669" i="2"/>
  <c r="L669" i="1"/>
  <c r="AI673"/>
  <c r="AA677" i="2"/>
  <c r="L677" i="1"/>
  <c r="AI681"/>
  <c r="AA685" i="2"/>
  <c r="L685" i="1"/>
  <c r="AI689"/>
  <c r="AA693" i="2"/>
  <c r="L693" i="1"/>
  <c r="AI697"/>
  <c r="AA701" i="2"/>
  <c r="L701" i="1"/>
  <c r="AI705"/>
  <c r="AA709" i="2"/>
  <c r="L709" i="1"/>
  <c r="AI713"/>
  <c r="AA717" i="2"/>
  <c r="L717" i="1"/>
  <c r="AI721"/>
  <c r="AA725" i="2"/>
  <c r="L725" i="1"/>
  <c r="AI729"/>
  <c r="AA733" i="2"/>
  <c r="L733" i="1"/>
  <c r="AI737"/>
  <c r="AA741" i="2"/>
  <c r="L741" i="1"/>
  <c r="AI745"/>
  <c r="AA749" i="2"/>
  <c r="L749" i="1"/>
  <c r="AI753"/>
  <c r="AA757" i="2"/>
  <c r="L757" i="1"/>
  <c r="AI761"/>
  <c r="AA765" i="2"/>
  <c r="L765" i="1"/>
  <c r="AI769"/>
  <c r="AA773" i="2"/>
  <c r="L773" i="1"/>
  <c r="AI777"/>
  <c r="AA781" i="2"/>
  <c r="L781" i="1"/>
  <c r="AI785"/>
  <c r="AA789" i="2"/>
  <c r="L789" i="1"/>
  <c r="AI793"/>
  <c r="AA797" i="2"/>
  <c r="L797" i="1"/>
  <c r="AI801"/>
  <c r="AA805" i="2"/>
  <c r="L805" i="1"/>
  <c r="AI809"/>
  <c r="AA813" i="2"/>
  <c r="L813" i="1"/>
  <c r="AI817"/>
  <c r="AA821" i="2"/>
  <c r="L821" i="1"/>
  <c r="AI825"/>
  <c r="AA829" i="2"/>
  <c r="L829" i="1"/>
  <c r="AI833"/>
  <c r="AA837" i="2"/>
  <c r="L837" i="1"/>
  <c r="AI841"/>
  <c r="AA845" i="2"/>
  <c r="L845" i="1"/>
  <c r="AI849"/>
  <c r="AA853" i="2"/>
  <c r="L853" i="1"/>
  <c r="AI857"/>
  <c r="AA861" i="2"/>
  <c r="L861" i="1"/>
  <c r="AI865"/>
  <c r="AA869" i="2"/>
  <c r="L869" i="1"/>
  <c r="AI873"/>
  <c r="AA877" i="2"/>
  <c r="L877" i="1"/>
  <c r="AI881"/>
  <c r="AA885" i="2"/>
  <c r="L885" i="1"/>
  <c r="AI889"/>
  <c r="AA893" i="2"/>
  <c r="L893" i="1"/>
  <c r="AI897"/>
  <c r="AA901" i="2"/>
  <c r="L901" i="1"/>
  <c r="AI905"/>
  <c r="AA909" i="2"/>
  <c r="L909" i="1"/>
  <c r="AI913"/>
  <c r="AA917" i="2"/>
  <c r="L917" i="1"/>
  <c r="AI921"/>
  <c r="AA925" i="2"/>
  <c r="L925" i="1"/>
  <c r="AI929"/>
  <c r="AA933" i="2"/>
  <c r="L933" i="1"/>
  <c r="AI937"/>
  <c r="AA941" i="2"/>
  <c r="L941" i="1"/>
  <c r="AI945"/>
  <c r="AA949" i="2"/>
  <c r="L949" i="1"/>
  <c r="AI953"/>
  <c r="AA957" i="2"/>
  <c r="L957" i="1"/>
  <c r="AI961"/>
  <c r="AA965" i="2"/>
  <c r="L965" i="1"/>
  <c r="AI969"/>
  <c r="AA973" i="2"/>
  <c r="L973" i="1"/>
  <c r="AI977"/>
  <c r="AA981" i="2"/>
  <c r="L981" i="1"/>
  <c r="AI985"/>
  <c r="AA989" i="2"/>
  <c r="L989" i="1"/>
  <c r="AI993"/>
  <c r="AA997" i="2"/>
  <c r="L997" i="1"/>
  <c r="AU256" i="2"/>
  <c r="AV256" s="1"/>
  <c r="AU288"/>
  <c r="AV288" s="1"/>
  <c r="Q9" i="1"/>
  <c r="S9" s="1"/>
  <c r="L73"/>
  <c r="Q77"/>
  <c r="Q85"/>
  <c r="Q93"/>
  <c r="S93" s="1"/>
  <c r="Q101"/>
  <c r="Q109"/>
  <c r="S109" s="1"/>
  <c r="Q117"/>
  <c r="Q125"/>
  <c r="Q133"/>
  <c r="Q141"/>
  <c r="S141" s="1"/>
  <c r="Q148"/>
  <c r="Q212"/>
  <c r="Q276"/>
  <c r="AE159"/>
  <c r="AF159"/>
  <c r="AH162"/>
  <c r="AE207"/>
  <c r="AF207"/>
  <c r="AH221"/>
  <c r="AF225"/>
  <c r="AE225"/>
  <c r="AH228"/>
  <c r="AE263"/>
  <c r="AF263"/>
  <c r="AF310"/>
  <c r="AE310"/>
  <c r="AH335"/>
  <c r="AH338"/>
  <c r="AH367"/>
  <c r="AH370"/>
  <c r="AH399"/>
  <c r="AH402"/>
  <c r="AH431"/>
  <c r="AH434"/>
  <c r="AH455"/>
  <c r="AF502"/>
  <c r="AE502"/>
  <c r="AH526"/>
  <c r="AF530"/>
  <c r="AE530"/>
  <c r="AH549"/>
  <c r="AH553"/>
  <c r="AH629"/>
  <c r="AH633"/>
  <c r="AH656"/>
  <c r="AF667"/>
  <c r="AE667"/>
  <c r="AH712"/>
  <c r="AH750"/>
  <c r="AH754"/>
  <c r="AH855"/>
  <c r="AH901"/>
  <c r="Q20"/>
  <c r="Q28"/>
  <c r="R28" s="1"/>
  <c r="Q36"/>
  <c r="Q44"/>
  <c r="S44" s="1"/>
  <c r="Q52"/>
  <c r="R52" s="1"/>
  <c r="Q60"/>
  <c r="Q68"/>
  <c r="Q76"/>
  <c r="Q84"/>
  <c r="Q92"/>
  <c r="S92" s="1"/>
  <c r="Q100"/>
  <c r="S100" s="1"/>
  <c r="Q108"/>
  <c r="Q116"/>
  <c r="Q124"/>
  <c r="Q132"/>
  <c r="Q140"/>
  <c r="R140" s="1"/>
  <c r="Q188"/>
  <c r="R188" s="1"/>
  <c r="Q252"/>
  <c r="S252" s="1"/>
  <c r="Q368"/>
  <c r="S368" s="1"/>
  <c r="AR926" i="2"/>
  <c r="Z926" i="1" s="1"/>
  <c r="Y926"/>
  <c r="AA926" s="1"/>
  <c r="Q6"/>
  <c r="Q11"/>
  <c r="Q16"/>
  <c r="S16" s="1"/>
  <c r="Q19"/>
  <c r="R19" s="1"/>
  <c r="Q27"/>
  <c r="R27" s="1"/>
  <c r="Q35"/>
  <c r="Q43"/>
  <c r="R43" s="1"/>
  <c r="Q51"/>
  <c r="Q59"/>
  <c r="Q67"/>
  <c r="S67" s="1"/>
  <c r="Q75"/>
  <c r="Q83"/>
  <c r="Q91"/>
  <c r="R91" s="1"/>
  <c r="Q99"/>
  <c r="R99" s="1"/>
  <c r="Q107"/>
  <c r="S107" s="1"/>
  <c r="Q115"/>
  <c r="R115" s="1"/>
  <c r="Q123"/>
  <c r="Q131"/>
  <c r="Q139"/>
  <c r="S139" s="1"/>
  <c r="Q164"/>
  <c r="Q228"/>
  <c r="R228" s="1"/>
  <c r="Q292"/>
  <c r="S292" s="1"/>
  <c r="Q8"/>
  <c r="Q18"/>
  <c r="R18" s="1"/>
  <c r="Q26"/>
  <c r="Q34"/>
  <c r="Q42"/>
  <c r="S42" s="1"/>
  <c r="Q50"/>
  <c r="S50" s="1"/>
  <c r="Q58"/>
  <c r="R58" s="1"/>
  <c r="Q66"/>
  <c r="R66" s="1"/>
  <c r="Q74"/>
  <c r="R74" s="1"/>
  <c r="Q82"/>
  <c r="Q90"/>
  <c r="R90" s="1"/>
  <c r="Q98"/>
  <c r="R98" s="1"/>
  <c r="Q106"/>
  <c r="R106" s="1"/>
  <c r="Q114"/>
  <c r="R114" s="1"/>
  <c r="Q122"/>
  <c r="R122" s="1"/>
  <c r="Q130"/>
  <c r="R130" s="1"/>
  <c r="Q138"/>
  <c r="R138" s="1"/>
  <c r="Q204"/>
  <c r="R204" s="1"/>
  <c r="Q268"/>
  <c r="AQ832" i="2"/>
  <c r="Q13" i="1"/>
  <c r="R13" s="1"/>
  <c r="Q25"/>
  <c r="Q33"/>
  <c r="S33" s="1"/>
  <c r="Q41"/>
  <c r="Q49"/>
  <c r="S49" s="1"/>
  <c r="Q57"/>
  <c r="S57" s="1"/>
  <c r="Q65"/>
  <c r="Q73"/>
  <c r="Q81"/>
  <c r="Q89"/>
  <c r="S89" s="1"/>
  <c r="Q97"/>
  <c r="R97" s="1"/>
  <c r="Q105"/>
  <c r="S105" s="1"/>
  <c r="Q113"/>
  <c r="S113" s="1"/>
  <c r="Q121"/>
  <c r="R121" s="1"/>
  <c r="Q129"/>
  <c r="S129" s="1"/>
  <c r="Q137"/>
  <c r="S137" s="1"/>
  <c r="Q180"/>
  <c r="Q244"/>
  <c r="Q308"/>
  <c r="R308" s="1"/>
  <c r="Q5"/>
  <c r="R5" s="1"/>
  <c r="Q10"/>
  <c r="Q15"/>
  <c r="Q24"/>
  <c r="Q32"/>
  <c r="Q40"/>
  <c r="S40" s="1"/>
  <c r="Q48"/>
  <c r="Q56"/>
  <c r="R56" s="1"/>
  <c r="Q64"/>
  <c r="S64" s="1"/>
  <c r="Q72"/>
  <c r="Q80"/>
  <c r="R80" s="1"/>
  <c r="Q88"/>
  <c r="Q96"/>
  <c r="Q104"/>
  <c r="R104" s="1"/>
  <c r="Q112"/>
  <c r="R112" s="1"/>
  <c r="Q120"/>
  <c r="S120" s="1"/>
  <c r="Q128"/>
  <c r="Q136"/>
  <c r="S136" s="1"/>
  <c r="Q142"/>
  <c r="R142" s="1"/>
  <c r="Q144"/>
  <c r="Q156"/>
  <c r="Q220"/>
  <c r="Q284"/>
  <c r="Q7"/>
  <c r="S7" s="1"/>
  <c r="Q23"/>
  <c r="S23" s="1"/>
  <c r="Q31"/>
  <c r="Q39"/>
  <c r="Q47"/>
  <c r="Q55"/>
  <c r="Q63"/>
  <c r="S63" s="1"/>
  <c r="Q71"/>
  <c r="Q79"/>
  <c r="R79" s="1"/>
  <c r="Q87"/>
  <c r="Q95"/>
  <c r="Q103"/>
  <c r="Q111"/>
  <c r="Q119"/>
  <c r="S119" s="1"/>
  <c r="Q127"/>
  <c r="Q135"/>
  <c r="S135" s="1"/>
  <c r="Q196"/>
  <c r="S196" s="1"/>
  <c r="Q260"/>
  <c r="R260" s="1"/>
  <c r="Q432"/>
  <c r="S432" s="1"/>
  <c r="Q12"/>
  <c r="S12" s="1"/>
  <c r="Q17"/>
  <c r="Q22"/>
  <c r="Q30"/>
  <c r="Q38"/>
  <c r="Q46"/>
  <c r="R46" s="1"/>
  <c r="Q54"/>
  <c r="R54" s="1"/>
  <c r="Q62"/>
  <c r="Q70"/>
  <c r="S70" s="1"/>
  <c r="Q78"/>
  <c r="S78" s="1"/>
  <c r="Q86"/>
  <c r="S86" s="1"/>
  <c r="Q94"/>
  <c r="S94" s="1"/>
  <c r="Q102"/>
  <c r="S102" s="1"/>
  <c r="Q110"/>
  <c r="S110" s="1"/>
  <c r="Q118"/>
  <c r="S118" s="1"/>
  <c r="Q126"/>
  <c r="Q134"/>
  <c r="R134" s="1"/>
  <c r="Q172"/>
  <c r="Q236"/>
  <c r="Q300"/>
  <c r="Q147"/>
  <c r="R147" s="1"/>
  <c r="Q155"/>
  <c r="R155" s="1"/>
  <c r="Q163"/>
  <c r="R163" s="1"/>
  <c r="Q171"/>
  <c r="S171" s="1"/>
  <c r="Q179"/>
  <c r="R179" s="1"/>
  <c r="Q187"/>
  <c r="Q195"/>
  <c r="Q203"/>
  <c r="Q211"/>
  <c r="Q219"/>
  <c r="S219" s="1"/>
  <c r="Q227"/>
  <c r="R227" s="1"/>
  <c r="Q235"/>
  <c r="S235" s="1"/>
  <c r="Q243"/>
  <c r="S243" s="1"/>
  <c r="Q251"/>
  <c r="Q259"/>
  <c r="Q267"/>
  <c r="S267" s="1"/>
  <c r="Q275"/>
  <c r="Q283"/>
  <c r="S283" s="1"/>
  <c r="Q291"/>
  <c r="R291" s="1"/>
  <c r="Q299"/>
  <c r="S299" s="1"/>
  <c r="Q307"/>
  <c r="S307" s="1"/>
  <c r="Q344"/>
  <c r="Q408"/>
  <c r="R408" s="1"/>
  <c r="Q472"/>
  <c r="Q485"/>
  <c r="R485" s="1"/>
  <c r="Q146"/>
  <c r="R146" s="1"/>
  <c r="Q154"/>
  <c r="R154" s="1"/>
  <c r="Q162"/>
  <c r="Q170"/>
  <c r="R170" s="1"/>
  <c r="Q178"/>
  <c r="Q186"/>
  <c r="S186" s="1"/>
  <c r="Q194"/>
  <c r="R194" s="1"/>
  <c r="Q202"/>
  <c r="R202" s="1"/>
  <c r="Q210"/>
  <c r="R210" s="1"/>
  <c r="Q218"/>
  <c r="R218" s="1"/>
  <c r="Q226"/>
  <c r="S226" s="1"/>
  <c r="Q234"/>
  <c r="S234" s="1"/>
  <c r="Q242"/>
  <c r="R242" s="1"/>
  <c r="Q250"/>
  <c r="R250" s="1"/>
  <c r="Q258"/>
  <c r="R258" s="1"/>
  <c r="Q266"/>
  <c r="R266" s="1"/>
  <c r="Q274"/>
  <c r="R274" s="1"/>
  <c r="Q282"/>
  <c r="R282" s="1"/>
  <c r="Q290"/>
  <c r="R290" s="1"/>
  <c r="Q298"/>
  <c r="R298" s="1"/>
  <c r="Q306"/>
  <c r="R306" s="1"/>
  <c r="Q311"/>
  <c r="Q320"/>
  <c r="S320" s="1"/>
  <c r="Q384"/>
  <c r="S384" s="1"/>
  <c r="Q448"/>
  <c r="R448" s="1"/>
  <c r="Q145"/>
  <c r="S145" s="1"/>
  <c r="Q153"/>
  <c r="Q161"/>
  <c r="R161" s="1"/>
  <c r="Q169"/>
  <c r="R169" s="1"/>
  <c r="Q177"/>
  <c r="R177" s="1"/>
  <c r="Q185"/>
  <c r="R185" s="1"/>
  <c r="Q193"/>
  <c r="R193" s="1"/>
  <c r="Q201"/>
  <c r="Q209"/>
  <c r="Q217"/>
  <c r="S217" s="1"/>
  <c r="Q225"/>
  <c r="Q233"/>
  <c r="S233" s="1"/>
  <c r="Q241"/>
  <c r="R241" s="1"/>
  <c r="Q249"/>
  <c r="S249" s="1"/>
  <c r="Q257"/>
  <c r="Q265"/>
  <c r="S265" s="1"/>
  <c r="Q273"/>
  <c r="Q281"/>
  <c r="Q289"/>
  <c r="Q297"/>
  <c r="S297" s="1"/>
  <c r="Q305"/>
  <c r="R305" s="1"/>
  <c r="Q360"/>
  <c r="R360" s="1"/>
  <c r="Q424"/>
  <c r="S424" s="1"/>
  <c r="Q613"/>
  <c r="S613" s="1"/>
  <c r="Q152"/>
  <c r="R152" s="1"/>
  <c r="Q160"/>
  <c r="Q168"/>
  <c r="Q176"/>
  <c r="Q184"/>
  <c r="Q192"/>
  <c r="S192" s="1"/>
  <c r="Q200"/>
  <c r="S200" s="1"/>
  <c r="Q208"/>
  <c r="R208" s="1"/>
  <c r="Q216"/>
  <c r="Q224"/>
  <c r="R224" s="1"/>
  <c r="Q232"/>
  <c r="R232" s="1"/>
  <c r="Q240"/>
  <c r="R240" s="1"/>
  <c r="Q248"/>
  <c r="Q256"/>
  <c r="S256" s="1"/>
  <c r="Q264"/>
  <c r="S264" s="1"/>
  <c r="Q272"/>
  <c r="S272" s="1"/>
  <c r="Q280"/>
  <c r="S280" s="1"/>
  <c r="Q288"/>
  <c r="Q296"/>
  <c r="R296" s="1"/>
  <c r="Q304"/>
  <c r="Q336"/>
  <c r="S336" s="1"/>
  <c r="Q400"/>
  <c r="Q464"/>
  <c r="R464" s="1"/>
  <c r="Q476"/>
  <c r="S476" s="1"/>
  <c r="Q143"/>
  <c r="R143" s="1"/>
  <c r="Q151"/>
  <c r="S151" s="1"/>
  <c r="Q159"/>
  <c r="R159" s="1"/>
  <c r="Q167"/>
  <c r="Q175"/>
  <c r="S175" s="1"/>
  <c r="Q183"/>
  <c r="S183" s="1"/>
  <c r="Q191"/>
  <c r="S191" s="1"/>
  <c r="Q199"/>
  <c r="S199" s="1"/>
  <c r="Q207"/>
  <c r="R207" s="1"/>
  <c r="Q215"/>
  <c r="S215" s="1"/>
  <c r="Q223"/>
  <c r="S223" s="1"/>
  <c r="Q231"/>
  <c r="Q239"/>
  <c r="S239" s="1"/>
  <c r="Q247"/>
  <c r="R247" s="1"/>
  <c r="Q255"/>
  <c r="R255" s="1"/>
  <c r="Q263"/>
  <c r="S263" s="1"/>
  <c r="Q271"/>
  <c r="S271" s="1"/>
  <c r="Q279"/>
  <c r="R279" s="1"/>
  <c r="Q287"/>
  <c r="S287" s="1"/>
  <c r="Q295"/>
  <c r="R295" s="1"/>
  <c r="Q303"/>
  <c r="S303" s="1"/>
  <c r="Q309"/>
  <c r="Q312"/>
  <c r="S312" s="1"/>
  <c r="Q376"/>
  <c r="S376" s="1"/>
  <c r="Q440"/>
  <c r="S440" s="1"/>
  <c r="Q150"/>
  <c r="S150" s="1"/>
  <c r="Q158"/>
  <c r="R158" s="1"/>
  <c r="Q166"/>
  <c r="Q174"/>
  <c r="Q182"/>
  <c r="R182" s="1"/>
  <c r="Q190"/>
  <c r="R190" s="1"/>
  <c r="Q198"/>
  <c r="Q206"/>
  <c r="R206" s="1"/>
  <c r="Q214"/>
  <c r="Q222"/>
  <c r="S222" s="1"/>
  <c r="Q230"/>
  <c r="Q238"/>
  <c r="Q246"/>
  <c r="R246" s="1"/>
  <c r="Q254"/>
  <c r="R254" s="1"/>
  <c r="Q262"/>
  <c r="Q270"/>
  <c r="Q278"/>
  <c r="Q286"/>
  <c r="R286" s="1"/>
  <c r="Q294"/>
  <c r="R294" s="1"/>
  <c r="Q302"/>
  <c r="Q352"/>
  <c r="Q416"/>
  <c r="S416" s="1"/>
  <c r="Q549"/>
  <c r="R549" s="1"/>
  <c r="Q149"/>
  <c r="S149" s="1"/>
  <c r="Q157"/>
  <c r="S157" s="1"/>
  <c r="Q165"/>
  <c r="Q173"/>
  <c r="S173" s="1"/>
  <c r="Q181"/>
  <c r="R181" s="1"/>
  <c r="Q189"/>
  <c r="S189" s="1"/>
  <c r="Q197"/>
  <c r="Q205"/>
  <c r="S205" s="1"/>
  <c r="Q213"/>
  <c r="R213" s="1"/>
  <c r="Q221"/>
  <c r="Q229"/>
  <c r="S229" s="1"/>
  <c r="Q237"/>
  <c r="R237" s="1"/>
  <c r="Q245"/>
  <c r="Q253"/>
  <c r="S253" s="1"/>
  <c r="Q261"/>
  <c r="S261" s="1"/>
  <c r="Q269"/>
  <c r="S269" s="1"/>
  <c r="Q277"/>
  <c r="S277" s="1"/>
  <c r="Q285"/>
  <c r="Q293"/>
  <c r="S293" s="1"/>
  <c r="Q301"/>
  <c r="Q328"/>
  <c r="Q392"/>
  <c r="S392" s="1"/>
  <c r="Q456"/>
  <c r="R456" s="1"/>
  <c r="Q319"/>
  <c r="S319" s="1"/>
  <c r="Q327"/>
  <c r="Q335"/>
  <c r="R335" s="1"/>
  <c r="Q343"/>
  <c r="S343" s="1"/>
  <c r="Q351"/>
  <c r="S351" s="1"/>
  <c r="Q359"/>
  <c r="Q367"/>
  <c r="R367" s="1"/>
  <c r="Q375"/>
  <c r="R375" s="1"/>
  <c r="Q383"/>
  <c r="R383" s="1"/>
  <c r="Q391"/>
  <c r="Q399"/>
  <c r="Q407"/>
  <c r="S407" s="1"/>
  <c r="Q415"/>
  <c r="Q423"/>
  <c r="Q431"/>
  <c r="Q439"/>
  <c r="Q447"/>
  <c r="Q455"/>
  <c r="Q463"/>
  <c r="R463" s="1"/>
  <c r="Q471"/>
  <c r="S471" s="1"/>
  <c r="Q525"/>
  <c r="Q589"/>
  <c r="Q645"/>
  <c r="S645" s="1"/>
  <c r="Q717"/>
  <c r="R717" s="1"/>
  <c r="Q310"/>
  <c r="R310" s="1"/>
  <c r="Q318"/>
  <c r="S318" s="1"/>
  <c r="Q326"/>
  <c r="R326" s="1"/>
  <c r="Q334"/>
  <c r="S334" s="1"/>
  <c r="Q342"/>
  <c r="Q350"/>
  <c r="Q358"/>
  <c r="S358" s="1"/>
  <c r="Q366"/>
  <c r="R366" s="1"/>
  <c r="Q374"/>
  <c r="R374" s="1"/>
  <c r="Q382"/>
  <c r="S382" s="1"/>
  <c r="Q390"/>
  <c r="Q398"/>
  <c r="S398" s="1"/>
  <c r="Q406"/>
  <c r="Q414"/>
  <c r="R414" s="1"/>
  <c r="Q422"/>
  <c r="S422" s="1"/>
  <c r="Q430"/>
  <c r="Q438"/>
  <c r="S438" s="1"/>
  <c r="Q446"/>
  <c r="R446" s="1"/>
  <c r="Q454"/>
  <c r="R454" s="1"/>
  <c r="Q462"/>
  <c r="S462" s="1"/>
  <c r="Q470"/>
  <c r="Q501"/>
  <c r="R501" s="1"/>
  <c r="Q565"/>
  <c r="S565" s="1"/>
  <c r="Q629"/>
  <c r="S629" s="1"/>
  <c r="Q317"/>
  <c r="S317" s="1"/>
  <c r="Q325"/>
  <c r="R325" s="1"/>
  <c r="Q333"/>
  <c r="R333" s="1"/>
  <c r="Q341"/>
  <c r="S341" s="1"/>
  <c r="Q349"/>
  <c r="S349" s="1"/>
  <c r="Q357"/>
  <c r="S357" s="1"/>
  <c r="Q365"/>
  <c r="R365" s="1"/>
  <c r="Q373"/>
  <c r="S373" s="1"/>
  <c r="Q381"/>
  <c r="Q389"/>
  <c r="Q397"/>
  <c r="S397" s="1"/>
  <c r="Q405"/>
  <c r="R405" s="1"/>
  <c r="Q413"/>
  <c r="Q421"/>
  <c r="S421" s="1"/>
  <c r="Q429"/>
  <c r="S429" s="1"/>
  <c r="Q437"/>
  <c r="Q445"/>
  <c r="R445" s="1"/>
  <c r="Q453"/>
  <c r="S453" s="1"/>
  <c r="Q461"/>
  <c r="S461" s="1"/>
  <c r="Q469"/>
  <c r="R469" s="1"/>
  <c r="Q477"/>
  <c r="Q541"/>
  <c r="Q605"/>
  <c r="Q316"/>
  <c r="R316" s="1"/>
  <c r="Q324"/>
  <c r="R324" s="1"/>
  <c r="Q332"/>
  <c r="S332" s="1"/>
  <c r="Q340"/>
  <c r="S340" s="1"/>
  <c r="Q348"/>
  <c r="S348" s="1"/>
  <c r="Q356"/>
  <c r="Q364"/>
  <c r="R364" s="1"/>
  <c r="Q372"/>
  <c r="Q380"/>
  <c r="S380" s="1"/>
  <c r="Q388"/>
  <c r="S388" s="1"/>
  <c r="Q396"/>
  <c r="S396" s="1"/>
  <c r="Q404"/>
  <c r="Q412"/>
  <c r="S412" s="1"/>
  <c r="Q420"/>
  <c r="Q428"/>
  <c r="S428" s="1"/>
  <c r="Q436"/>
  <c r="R436" s="1"/>
  <c r="Q444"/>
  <c r="S444" s="1"/>
  <c r="Q452"/>
  <c r="R452" s="1"/>
  <c r="Q460"/>
  <c r="R460" s="1"/>
  <c r="Q468"/>
  <c r="Q474"/>
  <c r="S474" s="1"/>
  <c r="Q517"/>
  <c r="Q581"/>
  <c r="Q653"/>
  <c r="S653" s="1"/>
  <c r="Q315"/>
  <c r="R315" s="1"/>
  <c r="Q323"/>
  <c r="S323" s="1"/>
  <c r="Q331"/>
  <c r="S331" s="1"/>
  <c r="Q339"/>
  <c r="Q347"/>
  <c r="S347" s="1"/>
  <c r="Q355"/>
  <c r="Q363"/>
  <c r="S363" s="1"/>
  <c r="Q371"/>
  <c r="Q379"/>
  <c r="R379" s="1"/>
  <c r="Q387"/>
  <c r="S387" s="1"/>
  <c r="Q395"/>
  <c r="S395" s="1"/>
  <c r="Q403"/>
  <c r="R403" s="1"/>
  <c r="Q411"/>
  <c r="S411" s="1"/>
  <c r="Q419"/>
  <c r="Q427"/>
  <c r="S427" s="1"/>
  <c r="Q435"/>
  <c r="S435" s="1"/>
  <c r="Q443"/>
  <c r="S443" s="1"/>
  <c r="Q451"/>
  <c r="S451" s="1"/>
  <c r="Q459"/>
  <c r="Q467"/>
  <c r="Q493"/>
  <c r="S493" s="1"/>
  <c r="Q557"/>
  <c r="Q621"/>
  <c r="Q314"/>
  <c r="S314" s="1"/>
  <c r="Q322"/>
  <c r="S322" s="1"/>
  <c r="Q330"/>
  <c r="S330" s="1"/>
  <c r="Q338"/>
  <c r="R338" s="1"/>
  <c r="Q346"/>
  <c r="Q354"/>
  <c r="S354" s="1"/>
  <c r="Q362"/>
  <c r="S362" s="1"/>
  <c r="Q370"/>
  <c r="R370" s="1"/>
  <c r="Q378"/>
  <c r="Q386"/>
  <c r="R386" s="1"/>
  <c r="Q394"/>
  <c r="R394" s="1"/>
  <c r="Q402"/>
  <c r="R402" s="1"/>
  <c r="Q410"/>
  <c r="R410" s="1"/>
  <c r="Q418"/>
  <c r="Q426"/>
  <c r="S426" s="1"/>
  <c r="Q434"/>
  <c r="S434" s="1"/>
  <c r="Q442"/>
  <c r="S442" s="1"/>
  <c r="Q450"/>
  <c r="R450" s="1"/>
  <c r="Q458"/>
  <c r="R458" s="1"/>
  <c r="Q466"/>
  <c r="S466" s="1"/>
  <c r="Q533"/>
  <c r="Q597"/>
  <c r="S597" s="1"/>
  <c r="Q781"/>
  <c r="Q313"/>
  <c r="Q321"/>
  <c r="R321" s="1"/>
  <c r="Q329"/>
  <c r="S329" s="1"/>
  <c r="Q337"/>
  <c r="R337" s="1"/>
  <c r="Q345"/>
  <c r="S345" s="1"/>
  <c r="Q353"/>
  <c r="R353" s="1"/>
  <c r="Q361"/>
  <c r="Q369"/>
  <c r="S369" s="1"/>
  <c r="Q377"/>
  <c r="Q385"/>
  <c r="Q393"/>
  <c r="S393" s="1"/>
  <c r="Q401"/>
  <c r="R401" s="1"/>
  <c r="Q409"/>
  <c r="R409" s="1"/>
  <c r="Q417"/>
  <c r="Q425"/>
  <c r="R425" s="1"/>
  <c r="Q433"/>
  <c r="Q441"/>
  <c r="Q449"/>
  <c r="S449" s="1"/>
  <c r="Q457"/>
  <c r="S457" s="1"/>
  <c r="Q465"/>
  <c r="S465" s="1"/>
  <c r="Q473"/>
  <c r="R473" s="1"/>
  <c r="Q509"/>
  <c r="Q573"/>
  <c r="R573" s="1"/>
  <c r="Q637"/>
  <c r="Q894"/>
  <c r="R894" s="1"/>
  <c r="Q484"/>
  <c r="S484" s="1"/>
  <c r="Q492"/>
  <c r="S492" s="1"/>
  <c r="Q500"/>
  <c r="R500" s="1"/>
  <c r="Q508"/>
  <c r="S508" s="1"/>
  <c r="Q516"/>
  <c r="S516" s="1"/>
  <c r="Q524"/>
  <c r="S524" s="1"/>
  <c r="Q532"/>
  <c r="Q540"/>
  <c r="Q548"/>
  <c r="R548" s="1"/>
  <c r="Q556"/>
  <c r="R556" s="1"/>
  <c r="Q564"/>
  <c r="S564" s="1"/>
  <c r="Q572"/>
  <c r="R572" s="1"/>
  <c r="Q580"/>
  <c r="S580" s="1"/>
  <c r="Q588"/>
  <c r="R588" s="1"/>
  <c r="Q596"/>
  <c r="R596" s="1"/>
  <c r="Q604"/>
  <c r="R604" s="1"/>
  <c r="Q612"/>
  <c r="R612" s="1"/>
  <c r="Q620"/>
  <c r="R620" s="1"/>
  <c r="Q628"/>
  <c r="R628" s="1"/>
  <c r="Q636"/>
  <c r="R636" s="1"/>
  <c r="Q693"/>
  <c r="R693" s="1"/>
  <c r="Q757"/>
  <c r="R757" s="1"/>
  <c r="Q915"/>
  <c r="Q475"/>
  <c r="Q483"/>
  <c r="S483" s="1"/>
  <c r="Q491"/>
  <c r="R491" s="1"/>
  <c r="Q499"/>
  <c r="S499" s="1"/>
  <c r="Q507"/>
  <c r="S507" s="1"/>
  <c r="Q515"/>
  <c r="S515" s="1"/>
  <c r="Q523"/>
  <c r="R523" s="1"/>
  <c r="Q531"/>
  <c r="Q539"/>
  <c r="Q547"/>
  <c r="R547" s="1"/>
  <c r="Q555"/>
  <c r="S555" s="1"/>
  <c r="Q563"/>
  <c r="S563" s="1"/>
  <c r="Q571"/>
  <c r="S571" s="1"/>
  <c r="Q579"/>
  <c r="Q587"/>
  <c r="R587" s="1"/>
  <c r="Q595"/>
  <c r="R595" s="1"/>
  <c r="Q603"/>
  <c r="R603" s="1"/>
  <c r="Q611"/>
  <c r="S611" s="1"/>
  <c r="Q619"/>
  <c r="S619" s="1"/>
  <c r="Q627"/>
  <c r="S627" s="1"/>
  <c r="Q635"/>
  <c r="R635" s="1"/>
  <c r="Q669"/>
  <c r="R669" s="1"/>
  <c r="Q733"/>
  <c r="S733" s="1"/>
  <c r="Q815"/>
  <c r="Q482"/>
  <c r="Q490"/>
  <c r="S490" s="1"/>
  <c r="Q498"/>
  <c r="S498" s="1"/>
  <c r="Q506"/>
  <c r="R506" s="1"/>
  <c r="Q514"/>
  <c r="R514" s="1"/>
  <c r="Q522"/>
  <c r="R522" s="1"/>
  <c r="Q530"/>
  <c r="S530" s="1"/>
  <c r="Q538"/>
  <c r="Q546"/>
  <c r="S546" s="1"/>
  <c r="Q554"/>
  <c r="Q562"/>
  <c r="R562" s="1"/>
  <c r="Q570"/>
  <c r="R570" s="1"/>
  <c r="Q578"/>
  <c r="S578" s="1"/>
  <c r="Q586"/>
  <c r="Q594"/>
  <c r="S594" s="1"/>
  <c r="Q602"/>
  <c r="S602" s="1"/>
  <c r="Q610"/>
  <c r="Q618"/>
  <c r="S618" s="1"/>
  <c r="Q626"/>
  <c r="Q634"/>
  <c r="S634" s="1"/>
  <c r="Q642"/>
  <c r="S642" s="1"/>
  <c r="Q709"/>
  <c r="R709" s="1"/>
  <c r="Q773"/>
  <c r="S773" s="1"/>
  <c r="Q862"/>
  <c r="Q879"/>
  <c r="Q481"/>
  <c r="R481" s="1"/>
  <c r="Q489"/>
  <c r="S489" s="1"/>
  <c r="Q497"/>
  <c r="S497" s="1"/>
  <c r="Q505"/>
  <c r="S505" s="1"/>
  <c r="Q513"/>
  <c r="S513" s="1"/>
  <c r="Q521"/>
  <c r="R521" s="1"/>
  <c r="Q529"/>
  <c r="Q537"/>
  <c r="Q545"/>
  <c r="Q553"/>
  <c r="S553" s="1"/>
  <c r="Q561"/>
  <c r="S561" s="1"/>
  <c r="Q569"/>
  <c r="Q577"/>
  <c r="Q585"/>
  <c r="Q593"/>
  <c r="Q601"/>
  <c r="Q609"/>
  <c r="R609" s="1"/>
  <c r="Q617"/>
  <c r="Q625"/>
  <c r="R625" s="1"/>
  <c r="Q633"/>
  <c r="R633" s="1"/>
  <c r="Q641"/>
  <c r="R641" s="1"/>
  <c r="Q685"/>
  <c r="S685" s="1"/>
  <c r="Q749"/>
  <c r="R749" s="1"/>
  <c r="Q796"/>
  <c r="Q480"/>
  <c r="R480" s="1"/>
  <c r="Q488"/>
  <c r="R488" s="1"/>
  <c r="Q496"/>
  <c r="S496" s="1"/>
  <c r="Q504"/>
  <c r="S504" s="1"/>
  <c r="Q512"/>
  <c r="S512" s="1"/>
  <c r="Q520"/>
  <c r="S520" s="1"/>
  <c r="Q528"/>
  <c r="Q536"/>
  <c r="Q544"/>
  <c r="S544" s="1"/>
  <c r="Q552"/>
  <c r="R552" s="1"/>
  <c r="Q560"/>
  <c r="S560" s="1"/>
  <c r="Q568"/>
  <c r="R568" s="1"/>
  <c r="Q576"/>
  <c r="R576" s="1"/>
  <c r="Q584"/>
  <c r="Q592"/>
  <c r="Q600"/>
  <c r="R600" s="1"/>
  <c r="Q608"/>
  <c r="R608" s="1"/>
  <c r="Q616"/>
  <c r="R616" s="1"/>
  <c r="Q624"/>
  <c r="S624" s="1"/>
  <c r="Q632"/>
  <c r="S632" s="1"/>
  <c r="Q640"/>
  <c r="S640" s="1"/>
  <c r="Q661"/>
  <c r="R661" s="1"/>
  <c r="Q725"/>
  <c r="Q789"/>
  <c r="S789" s="1"/>
  <c r="Q800"/>
  <c r="S800" s="1"/>
  <c r="Q479"/>
  <c r="S479" s="1"/>
  <c r="Q487"/>
  <c r="S487" s="1"/>
  <c r="Q495"/>
  <c r="R495" s="1"/>
  <c r="Q503"/>
  <c r="R503" s="1"/>
  <c r="Q511"/>
  <c r="S511" s="1"/>
  <c r="Q519"/>
  <c r="S519" s="1"/>
  <c r="Q527"/>
  <c r="R527" s="1"/>
  <c r="Q535"/>
  <c r="R535" s="1"/>
  <c r="Q543"/>
  <c r="S543" s="1"/>
  <c r="Q551"/>
  <c r="R551" s="1"/>
  <c r="Q559"/>
  <c r="R559" s="1"/>
  <c r="Q567"/>
  <c r="Q575"/>
  <c r="R575" s="1"/>
  <c r="Q583"/>
  <c r="R583" s="1"/>
  <c r="Q591"/>
  <c r="R591" s="1"/>
  <c r="Q599"/>
  <c r="R599" s="1"/>
  <c r="Q607"/>
  <c r="S607" s="1"/>
  <c r="Q615"/>
  <c r="S615" s="1"/>
  <c r="Q623"/>
  <c r="Q631"/>
  <c r="R631" s="1"/>
  <c r="Q639"/>
  <c r="R639" s="1"/>
  <c r="Q701"/>
  <c r="Q765"/>
  <c r="R765" s="1"/>
  <c r="Q847"/>
  <c r="Q478"/>
  <c r="S478" s="1"/>
  <c r="Q486"/>
  <c r="R486" s="1"/>
  <c r="Q494"/>
  <c r="R494" s="1"/>
  <c r="Q502"/>
  <c r="S502" s="1"/>
  <c r="Q510"/>
  <c r="S510" s="1"/>
  <c r="Q518"/>
  <c r="Q526"/>
  <c r="Q534"/>
  <c r="S534" s="1"/>
  <c r="Q542"/>
  <c r="R542" s="1"/>
  <c r="Q550"/>
  <c r="S550" s="1"/>
  <c r="Q558"/>
  <c r="R558" s="1"/>
  <c r="Q566"/>
  <c r="R566" s="1"/>
  <c r="Q574"/>
  <c r="S574" s="1"/>
  <c r="Q582"/>
  <c r="Q590"/>
  <c r="R590" s="1"/>
  <c r="Q598"/>
  <c r="S598" s="1"/>
  <c r="Q606"/>
  <c r="Q614"/>
  <c r="S614" s="1"/>
  <c r="Q622"/>
  <c r="S622" s="1"/>
  <c r="Q630"/>
  <c r="Q638"/>
  <c r="S638" s="1"/>
  <c r="Q677"/>
  <c r="Q741"/>
  <c r="S741" s="1"/>
  <c r="Q644"/>
  <c r="R644" s="1"/>
  <c r="Q652"/>
  <c r="R652" s="1"/>
  <c r="Q660"/>
  <c r="R660" s="1"/>
  <c r="Q668"/>
  <c r="R668" s="1"/>
  <c r="Q676"/>
  <c r="S676" s="1"/>
  <c r="Q684"/>
  <c r="S684" s="1"/>
  <c r="Q692"/>
  <c r="S692" s="1"/>
  <c r="Q700"/>
  <c r="S700" s="1"/>
  <c r="Q708"/>
  <c r="R708" s="1"/>
  <c r="Q716"/>
  <c r="S716" s="1"/>
  <c r="Q724"/>
  <c r="R724" s="1"/>
  <c r="Q732"/>
  <c r="R732" s="1"/>
  <c r="Q740"/>
  <c r="R740" s="1"/>
  <c r="Q748"/>
  <c r="R748" s="1"/>
  <c r="Q756"/>
  <c r="R756" s="1"/>
  <c r="Q764"/>
  <c r="S764" s="1"/>
  <c r="Q772"/>
  <c r="S772" s="1"/>
  <c r="Q780"/>
  <c r="Q788"/>
  <c r="S788" s="1"/>
  <c r="Q807"/>
  <c r="S807" s="1"/>
  <c r="Q830"/>
  <c r="Q907"/>
  <c r="S907" s="1"/>
  <c r="Q933"/>
  <c r="R933" s="1"/>
  <c r="Q955"/>
  <c r="Q643"/>
  <c r="R643" s="1"/>
  <c r="Q651"/>
  <c r="S651" s="1"/>
  <c r="Q659"/>
  <c r="R659" s="1"/>
  <c r="Q667"/>
  <c r="S667" s="1"/>
  <c r="Q675"/>
  <c r="S675" s="1"/>
  <c r="Q683"/>
  <c r="S683" s="1"/>
  <c r="Q691"/>
  <c r="Q699"/>
  <c r="S699" s="1"/>
  <c r="Q707"/>
  <c r="S707" s="1"/>
  <c r="Q715"/>
  <c r="S715" s="1"/>
  <c r="Q723"/>
  <c r="S723" s="1"/>
  <c r="Q731"/>
  <c r="R731" s="1"/>
  <c r="Q739"/>
  <c r="S739" s="1"/>
  <c r="Q747"/>
  <c r="Q755"/>
  <c r="Q763"/>
  <c r="S763" s="1"/>
  <c r="Q771"/>
  <c r="S771" s="1"/>
  <c r="Q779"/>
  <c r="Q787"/>
  <c r="R787" s="1"/>
  <c r="Q799"/>
  <c r="R799" s="1"/>
  <c r="Q822"/>
  <c r="Q838"/>
  <c r="R838" s="1"/>
  <c r="Q855"/>
  <c r="Q870"/>
  <c r="S870" s="1"/>
  <c r="Q887"/>
  <c r="R887" s="1"/>
  <c r="Q650"/>
  <c r="R650" s="1"/>
  <c r="Q658"/>
  <c r="R658" s="1"/>
  <c r="Q666"/>
  <c r="S666" s="1"/>
  <c r="Q674"/>
  <c r="S674" s="1"/>
  <c r="Q682"/>
  <c r="R682" s="1"/>
  <c r="Q690"/>
  <c r="Q698"/>
  <c r="Q706"/>
  <c r="Q714"/>
  <c r="R714" s="1"/>
  <c r="Q722"/>
  <c r="R722" s="1"/>
  <c r="Q730"/>
  <c r="R730" s="1"/>
  <c r="Q738"/>
  <c r="Q746"/>
  <c r="R746" s="1"/>
  <c r="Q754"/>
  <c r="R754" s="1"/>
  <c r="Q762"/>
  <c r="S762" s="1"/>
  <c r="Q770"/>
  <c r="S770" s="1"/>
  <c r="Q778"/>
  <c r="Q786"/>
  <c r="R786" s="1"/>
  <c r="Q794"/>
  <c r="S794" s="1"/>
  <c r="Q814"/>
  <c r="S814" s="1"/>
  <c r="Q829"/>
  <c r="R829" s="1"/>
  <c r="Q982"/>
  <c r="Q649"/>
  <c r="Q657"/>
  <c r="R657" s="1"/>
  <c r="Q665"/>
  <c r="S665" s="1"/>
  <c r="Q673"/>
  <c r="R673" s="1"/>
  <c r="Q681"/>
  <c r="S681" s="1"/>
  <c r="Q689"/>
  <c r="S689" s="1"/>
  <c r="Q697"/>
  <c r="S697" s="1"/>
  <c r="Q705"/>
  <c r="S705" s="1"/>
  <c r="Q713"/>
  <c r="Q721"/>
  <c r="S721" s="1"/>
  <c r="Q729"/>
  <c r="R729" s="1"/>
  <c r="Q737"/>
  <c r="R737" s="1"/>
  <c r="Q745"/>
  <c r="S745" s="1"/>
  <c r="Q753"/>
  <c r="R753" s="1"/>
  <c r="Q761"/>
  <c r="S761" s="1"/>
  <c r="Q769"/>
  <c r="Q777"/>
  <c r="S777" s="1"/>
  <c r="Q785"/>
  <c r="S785" s="1"/>
  <c r="Q793"/>
  <c r="Q806"/>
  <c r="R806" s="1"/>
  <c r="Q821"/>
  <c r="R821" s="1"/>
  <c r="Q846"/>
  <c r="S846" s="1"/>
  <c r="Q863"/>
  <c r="S863" s="1"/>
  <c r="Q878"/>
  <c r="Q895"/>
  <c r="S895" s="1"/>
  <c r="Q941"/>
  <c r="S941" s="1"/>
  <c r="Q648"/>
  <c r="S648" s="1"/>
  <c r="Q656"/>
  <c r="S656" s="1"/>
  <c r="Q664"/>
  <c r="R664" s="1"/>
  <c r="Q672"/>
  <c r="S672" s="1"/>
  <c r="Q680"/>
  <c r="S680" s="1"/>
  <c r="Q688"/>
  <c r="Q696"/>
  <c r="Q704"/>
  <c r="Q712"/>
  <c r="R712" s="1"/>
  <c r="Q720"/>
  <c r="R720" s="1"/>
  <c r="Q728"/>
  <c r="R728" s="1"/>
  <c r="Q736"/>
  <c r="R736" s="1"/>
  <c r="Q744"/>
  <c r="R744" s="1"/>
  <c r="Q752"/>
  <c r="Q760"/>
  <c r="R760" s="1"/>
  <c r="Q768"/>
  <c r="R768" s="1"/>
  <c r="Q776"/>
  <c r="R776" s="1"/>
  <c r="Q784"/>
  <c r="S784" s="1"/>
  <c r="Q792"/>
  <c r="S792" s="1"/>
  <c r="Q798"/>
  <c r="Q813"/>
  <c r="R813" s="1"/>
  <c r="Q824"/>
  <c r="Q647"/>
  <c r="Q655"/>
  <c r="S655" s="1"/>
  <c r="Q663"/>
  <c r="R663" s="1"/>
  <c r="Q671"/>
  <c r="S671" s="1"/>
  <c r="Q679"/>
  <c r="R679" s="1"/>
  <c r="Q687"/>
  <c r="S687" s="1"/>
  <c r="Q695"/>
  <c r="S695" s="1"/>
  <c r="Q703"/>
  <c r="Q711"/>
  <c r="Q719"/>
  <c r="R719" s="1"/>
  <c r="Q727"/>
  <c r="R727" s="1"/>
  <c r="Q735"/>
  <c r="R735" s="1"/>
  <c r="Q743"/>
  <c r="S743" s="1"/>
  <c r="Q751"/>
  <c r="R751" s="1"/>
  <c r="Q759"/>
  <c r="S759" s="1"/>
  <c r="Q767"/>
  <c r="R767" s="1"/>
  <c r="Q775"/>
  <c r="R775" s="1"/>
  <c r="Q783"/>
  <c r="S783" s="1"/>
  <c r="Q791"/>
  <c r="Q805"/>
  <c r="Q831"/>
  <c r="S831" s="1"/>
  <c r="Q839"/>
  <c r="Q854"/>
  <c r="Q871"/>
  <c r="Q886"/>
  <c r="Q957"/>
  <c r="R957" s="1"/>
  <c r="Q646"/>
  <c r="S646" s="1"/>
  <c r="Q654"/>
  <c r="S654" s="1"/>
  <c r="Q662"/>
  <c r="S662" s="1"/>
  <c r="Q670"/>
  <c r="R670" s="1"/>
  <c r="Q678"/>
  <c r="R678" s="1"/>
  <c r="Q686"/>
  <c r="Q694"/>
  <c r="R694" s="1"/>
  <c r="Q702"/>
  <c r="S702" s="1"/>
  <c r="Q710"/>
  <c r="R710" s="1"/>
  <c r="Q718"/>
  <c r="Q726"/>
  <c r="R726" s="1"/>
  <c r="Q734"/>
  <c r="R734" s="1"/>
  <c r="Q742"/>
  <c r="R742" s="1"/>
  <c r="Q750"/>
  <c r="R750" s="1"/>
  <c r="Q758"/>
  <c r="R758" s="1"/>
  <c r="Q766"/>
  <c r="R766" s="1"/>
  <c r="Q774"/>
  <c r="S774" s="1"/>
  <c r="Q782"/>
  <c r="R782" s="1"/>
  <c r="Q790"/>
  <c r="S790" s="1"/>
  <c r="Q795"/>
  <c r="S795" s="1"/>
  <c r="Q797"/>
  <c r="S797" s="1"/>
  <c r="Q823"/>
  <c r="R823" s="1"/>
  <c r="Q837"/>
  <c r="R837" s="1"/>
  <c r="Q845"/>
  <c r="R845" s="1"/>
  <c r="Q853"/>
  <c r="S853" s="1"/>
  <c r="Q861"/>
  <c r="R861" s="1"/>
  <c r="Q869"/>
  <c r="R869" s="1"/>
  <c r="Q877"/>
  <c r="R877" s="1"/>
  <c r="Q885"/>
  <c r="R885" s="1"/>
  <c r="Q893"/>
  <c r="Q901"/>
  <c r="R901" s="1"/>
  <c r="Q925"/>
  <c r="R925" s="1"/>
  <c r="Q948"/>
  <c r="S948" s="1"/>
  <c r="Q963"/>
  <c r="R963" s="1"/>
  <c r="Q965"/>
  <c r="R965" s="1"/>
  <c r="Q977"/>
  <c r="S977" s="1"/>
  <c r="AH81"/>
  <c r="AH84"/>
  <c r="AE88"/>
  <c r="AF88"/>
  <c r="AE92"/>
  <c r="AF92"/>
  <c r="AH113"/>
  <c r="AE117"/>
  <c r="AF117"/>
  <c r="AH152"/>
  <c r="AE156"/>
  <c r="AF156"/>
  <c r="AE175"/>
  <c r="AF175"/>
  <c r="AH218"/>
  <c r="AF278"/>
  <c r="AE278"/>
  <c r="Q804"/>
  <c r="Q812"/>
  <c r="Q820"/>
  <c r="S820" s="1"/>
  <c r="Q828"/>
  <c r="R828" s="1"/>
  <c r="Q836"/>
  <c r="R836" s="1"/>
  <c r="Q844"/>
  <c r="R844" s="1"/>
  <c r="Q852"/>
  <c r="S852" s="1"/>
  <c r="Q860"/>
  <c r="Q868"/>
  <c r="S868" s="1"/>
  <c r="Q876"/>
  <c r="Q884"/>
  <c r="S884" s="1"/>
  <c r="Q892"/>
  <c r="R892" s="1"/>
  <c r="Q899"/>
  <c r="S899" s="1"/>
  <c r="Q902"/>
  <c r="Q917"/>
  <c r="R917" s="1"/>
  <c r="Q940"/>
  <c r="R940" s="1"/>
  <c r="Q985"/>
  <c r="Q803"/>
  <c r="R803" s="1"/>
  <c r="Q811"/>
  <c r="Q819"/>
  <c r="S819" s="1"/>
  <c r="Q827"/>
  <c r="Q835"/>
  <c r="R835" s="1"/>
  <c r="Q843"/>
  <c r="S843" s="1"/>
  <c r="Q851"/>
  <c r="R851" s="1"/>
  <c r="Q859"/>
  <c r="Q867"/>
  <c r="S867" s="1"/>
  <c r="Q875"/>
  <c r="R875" s="1"/>
  <c r="Q883"/>
  <c r="R883" s="1"/>
  <c r="Q891"/>
  <c r="S891" s="1"/>
  <c r="Q909"/>
  <c r="Q932"/>
  <c r="R932" s="1"/>
  <c r="Q947"/>
  <c r="S947" s="1"/>
  <c r="Q802"/>
  <c r="Q810"/>
  <c r="R810" s="1"/>
  <c r="Q818"/>
  <c r="S818" s="1"/>
  <c r="Q826"/>
  <c r="Q834"/>
  <c r="R834" s="1"/>
  <c r="Q842"/>
  <c r="S842" s="1"/>
  <c r="Q850"/>
  <c r="Q858"/>
  <c r="Q866"/>
  <c r="S866" s="1"/>
  <c r="Q874"/>
  <c r="S874" s="1"/>
  <c r="Q882"/>
  <c r="Q890"/>
  <c r="S890" s="1"/>
  <c r="Q898"/>
  <c r="R898" s="1"/>
  <c r="Q924"/>
  <c r="R924" s="1"/>
  <c r="Q939"/>
  <c r="R939" s="1"/>
  <c r="Q944"/>
  <c r="S944" s="1"/>
  <c r="Q994"/>
  <c r="Q801"/>
  <c r="S801" s="1"/>
  <c r="Q809"/>
  <c r="R809" s="1"/>
  <c r="Q817"/>
  <c r="S817" s="1"/>
  <c r="Q825"/>
  <c r="R825" s="1"/>
  <c r="Q833"/>
  <c r="S833" s="1"/>
  <c r="Q841"/>
  <c r="R841" s="1"/>
  <c r="Q849"/>
  <c r="R849" s="1"/>
  <c r="Q857"/>
  <c r="R857" s="1"/>
  <c r="Q865"/>
  <c r="R865" s="1"/>
  <c r="Q873"/>
  <c r="S873" s="1"/>
  <c r="Q881"/>
  <c r="S881" s="1"/>
  <c r="Q889"/>
  <c r="R889" s="1"/>
  <c r="Q897"/>
  <c r="S897" s="1"/>
  <c r="Q916"/>
  <c r="R916" s="1"/>
  <c r="Q931"/>
  <c r="S931" s="1"/>
  <c r="Q972"/>
  <c r="S972" s="1"/>
  <c r="Q808"/>
  <c r="R808" s="1"/>
  <c r="Q816"/>
  <c r="S816" s="1"/>
  <c r="Q832"/>
  <c r="Q840"/>
  <c r="R840" s="1"/>
  <c r="Q848"/>
  <c r="S848" s="1"/>
  <c r="Q856"/>
  <c r="R856" s="1"/>
  <c r="Q864"/>
  <c r="S864" s="1"/>
  <c r="Q872"/>
  <c r="Q880"/>
  <c r="Q888"/>
  <c r="R888" s="1"/>
  <c r="Q896"/>
  <c r="R896" s="1"/>
  <c r="Q900"/>
  <c r="S900" s="1"/>
  <c r="Q923"/>
  <c r="R923" s="1"/>
  <c r="Q929"/>
  <c r="S929" s="1"/>
  <c r="Q949"/>
  <c r="R949" s="1"/>
  <c r="Q956"/>
  <c r="S956" s="1"/>
  <c r="Q993"/>
  <c r="S993" s="1"/>
  <c r="Q906"/>
  <c r="R906" s="1"/>
  <c r="Q914"/>
  <c r="R914" s="1"/>
  <c r="Q922"/>
  <c r="R922" s="1"/>
  <c r="Q930"/>
  <c r="S930" s="1"/>
  <c r="Q938"/>
  <c r="S938" s="1"/>
  <c r="Q946"/>
  <c r="Q954"/>
  <c r="Q962"/>
  <c r="R962" s="1"/>
  <c r="Q973"/>
  <c r="R973" s="1"/>
  <c r="Q905"/>
  <c r="S905" s="1"/>
  <c r="Q913"/>
  <c r="R913" s="1"/>
  <c r="Q921"/>
  <c r="R921" s="1"/>
  <c r="Q937"/>
  <c r="R937" s="1"/>
  <c r="Q945"/>
  <c r="R945" s="1"/>
  <c r="Q953"/>
  <c r="Q961"/>
  <c r="R961" s="1"/>
  <c r="Q966"/>
  <c r="R966" s="1"/>
  <c r="Q999"/>
  <c r="R999" s="1"/>
  <c r="Q904"/>
  <c r="R904" s="1"/>
  <c r="Q912"/>
  <c r="R912" s="1"/>
  <c r="Q920"/>
  <c r="R920" s="1"/>
  <c r="Q928"/>
  <c r="S928" s="1"/>
  <c r="Q936"/>
  <c r="R936" s="1"/>
  <c r="Q952"/>
  <c r="R952" s="1"/>
  <c r="Q960"/>
  <c r="R960" s="1"/>
  <c r="Q967"/>
  <c r="R967" s="1"/>
  <c r="Q974"/>
  <c r="R974" s="1"/>
  <c r="Q991"/>
  <c r="R991" s="1"/>
  <c r="Q903"/>
  <c r="Q911"/>
  <c r="R911" s="1"/>
  <c r="Q919"/>
  <c r="Q927"/>
  <c r="R927" s="1"/>
  <c r="Q935"/>
  <c r="R935" s="1"/>
  <c r="Q943"/>
  <c r="Q951"/>
  <c r="Q959"/>
  <c r="S959" s="1"/>
  <c r="Q968"/>
  <c r="S968" s="1"/>
  <c r="Q975"/>
  <c r="S975" s="1"/>
  <c r="Q983"/>
  <c r="S983" s="1"/>
  <c r="Q998"/>
  <c r="S998" s="1"/>
  <c r="Q910"/>
  <c r="U910" s="1"/>
  <c r="Q918"/>
  <c r="S918" s="1"/>
  <c r="Q926"/>
  <c r="S926" s="1"/>
  <c r="Q934"/>
  <c r="R934" s="1"/>
  <c r="Q942"/>
  <c r="S942" s="1"/>
  <c r="Q950"/>
  <c r="R950" s="1"/>
  <c r="Q958"/>
  <c r="R958" s="1"/>
  <c r="Q969"/>
  <c r="S969" s="1"/>
  <c r="Q976"/>
  <c r="R976" s="1"/>
  <c r="Q990"/>
  <c r="S990" s="1"/>
  <c r="Q984"/>
  <c r="R984" s="1"/>
  <c r="Q992"/>
  <c r="S992" s="1"/>
  <c r="AF453"/>
  <c r="AE453"/>
  <c r="Q981"/>
  <c r="Q989"/>
  <c r="R989" s="1"/>
  <c r="Q997"/>
  <c r="Q964"/>
  <c r="S964" s="1"/>
  <c r="Q980"/>
  <c r="Q988"/>
  <c r="S988" s="1"/>
  <c r="Q996"/>
  <c r="S996" s="1"/>
  <c r="Q971"/>
  <c r="S971" s="1"/>
  <c r="Q979"/>
  <c r="S979" s="1"/>
  <c r="Q987"/>
  <c r="R987" s="1"/>
  <c r="Q995"/>
  <c r="R995" s="1"/>
  <c r="Q970"/>
  <c r="S970" s="1"/>
  <c r="Q978"/>
  <c r="R978" s="1"/>
  <c r="Q986"/>
  <c r="S986" s="1"/>
  <c r="AF5"/>
  <c r="AH88"/>
  <c r="AH149"/>
  <c r="AH156"/>
  <c r="AE168"/>
  <c r="AF168"/>
  <c r="AH215"/>
  <c r="AH9"/>
  <c r="AH13"/>
  <c r="AH17"/>
  <c r="AH21"/>
  <c r="AH25"/>
  <c r="AH29"/>
  <c r="AH101"/>
  <c r="AE113"/>
  <c r="AF113"/>
  <c r="AE120"/>
  <c r="AF120"/>
  <c r="AH159"/>
  <c r="AH195"/>
  <c r="AH198"/>
  <c r="AH201"/>
  <c r="AH204"/>
  <c r="AH207"/>
  <c r="AH225"/>
  <c r="AH260"/>
  <c r="AH303"/>
  <c r="AH306"/>
  <c r="AF499"/>
  <c r="AE499"/>
  <c r="AF254"/>
  <c r="AE254"/>
  <c r="AH271"/>
  <c r="AH274"/>
  <c r="AF326"/>
  <c r="AE326"/>
  <c r="AF358"/>
  <c r="AE358"/>
  <c r="AF390"/>
  <c r="AE390"/>
  <c r="AF422"/>
  <c r="AE422"/>
  <c r="AF490"/>
  <c r="AE490"/>
  <c r="AH85"/>
  <c r="AH131"/>
  <c r="AH134"/>
  <c r="AH140"/>
  <c r="AH143"/>
  <c r="AH146"/>
  <c r="AH168"/>
  <c r="AE172"/>
  <c r="AF172"/>
  <c r="AE193"/>
  <c r="AF193"/>
  <c r="AH219"/>
  <c r="AH248"/>
  <c r="AH319"/>
  <c r="AH322"/>
  <c r="AH351"/>
  <c r="AH354"/>
  <c r="AH383"/>
  <c r="AH386"/>
  <c r="AH415"/>
  <c r="AH418"/>
  <c r="AH447"/>
  <c r="AH469"/>
  <c r="AH475"/>
  <c r="AF481"/>
  <c r="AE481"/>
  <c r="AE111"/>
  <c r="AF111"/>
  <c r="AH150"/>
  <c r="AE165"/>
  <c r="AF165"/>
  <c r="AH216"/>
  <c r="AF294"/>
  <c r="AE294"/>
  <c r="AF467"/>
  <c r="AE467"/>
  <c r="AE104"/>
  <c r="AF104"/>
  <c r="AH147"/>
  <c r="AH161"/>
  <c r="AH165"/>
  <c r="AE177"/>
  <c r="AF177"/>
  <c r="AE184"/>
  <c r="AF184"/>
  <c r="AF210"/>
  <c r="AE210"/>
  <c r="AH213"/>
  <c r="AH227"/>
  <c r="AH233"/>
  <c r="AH236"/>
  <c r="AF269"/>
  <c r="AE269"/>
  <c r="AH287"/>
  <c r="AH290"/>
  <c r="AH97"/>
  <c r="AH100"/>
  <c r="AH104"/>
  <c r="AE108"/>
  <c r="AF108"/>
  <c r="AE129"/>
  <c r="AF129"/>
  <c r="AH177"/>
  <c r="AE181"/>
  <c r="AF181"/>
  <c r="AH210"/>
  <c r="AF266"/>
  <c r="AE266"/>
  <c r="AF342"/>
  <c r="AE342"/>
  <c r="AF374"/>
  <c r="AE374"/>
  <c r="AF406"/>
  <c r="AE406"/>
  <c r="AF438"/>
  <c r="AE438"/>
  <c r="AH6"/>
  <c r="AH10"/>
  <c r="AH14"/>
  <c r="AH18"/>
  <c r="AH22"/>
  <c r="AH26"/>
  <c r="AH30"/>
  <c r="AH34"/>
  <c r="AH38"/>
  <c r="AH42"/>
  <c r="AH46"/>
  <c r="AH50"/>
  <c r="AH54"/>
  <c r="AH58"/>
  <c r="AH62"/>
  <c r="AH66"/>
  <c r="AH70"/>
  <c r="AH74"/>
  <c r="AH78"/>
  <c r="AH91"/>
  <c r="AH94"/>
  <c r="AH107"/>
  <c r="AH110"/>
  <c r="AH116"/>
  <c r="AH119"/>
  <c r="AH122"/>
  <c r="AH125"/>
  <c r="AH128"/>
  <c r="AH137"/>
  <c r="AH171"/>
  <c r="AH174"/>
  <c r="AH180"/>
  <c r="AH183"/>
  <c r="AH186"/>
  <c r="AH189"/>
  <c r="AH192"/>
  <c r="AH230"/>
  <c r="AH239"/>
  <c r="AH242"/>
  <c r="AH245"/>
  <c r="AH251"/>
  <c r="AH257"/>
  <c r="AH281"/>
  <c r="AH284"/>
  <c r="AH297"/>
  <c r="AH300"/>
  <c r="AH313"/>
  <c r="AH316"/>
  <c r="AH329"/>
  <c r="AH332"/>
  <c r="AH345"/>
  <c r="AH348"/>
  <c r="AH361"/>
  <c r="AH364"/>
  <c r="AH377"/>
  <c r="AH380"/>
  <c r="AH393"/>
  <c r="AH396"/>
  <c r="AH409"/>
  <c r="AH412"/>
  <c r="AH425"/>
  <c r="AH428"/>
  <c r="AH441"/>
  <c r="AH444"/>
  <c r="AH450"/>
  <c r="AH458"/>
  <c r="AH472"/>
  <c r="AH484"/>
  <c r="AH508"/>
  <c r="AH515"/>
  <c r="AH519"/>
  <c r="AH542"/>
  <c r="AF546"/>
  <c r="AE546"/>
  <c r="AH595"/>
  <c r="AH599"/>
  <c r="AH622"/>
  <c r="AF626"/>
  <c r="AE626"/>
  <c r="AH645"/>
  <c r="AH649"/>
  <c r="AH674"/>
  <c r="AH697"/>
  <c r="AE709"/>
  <c r="AF709"/>
  <c r="AH743"/>
  <c r="AH844"/>
  <c r="AE852"/>
  <c r="AF852"/>
  <c r="AH894"/>
  <c r="AH254"/>
  <c r="AH263"/>
  <c r="AH266"/>
  <c r="AH275"/>
  <c r="AH278"/>
  <c r="AH291"/>
  <c r="AH294"/>
  <c r="AH307"/>
  <c r="AH310"/>
  <c r="AH323"/>
  <c r="AH326"/>
  <c r="AH339"/>
  <c r="AH342"/>
  <c r="AH355"/>
  <c r="AH358"/>
  <c r="AH371"/>
  <c r="AH374"/>
  <c r="AH387"/>
  <c r="AH390"/>
  <c r="AH403"/>
  <c r="AH406"/>
  <c r="AH419"/>
  <c r="AH422"/>
  <c r="AH435"/>
  <c r="AH438"/>
  <c r="AH453"/>
  <c r="AH461"/>
  <c r="AH467"/>
  <c r="AF473"/>
  <c r="AE473"/>
  <c r="AF482"/>
  <c r="AE482"/>
  <c r="AH493"/>
  <c r="AF506"/>
  <c r="AE506"/>
  <c r="AH565"/>
  <c r="AH569"/>
  <c r="AH611"/>
  <c r="AH615"/>
  <c r="AH638"/>
  <c r="AF642"/>
  <c r="AE642"/>
  <c r="AH671"/>
  <c r="AH686"/>
  <c r="AH690"/>
  <c r="AH732"/>
  <c r="AH837"/>
  <c r="AH887"/>
  <c r="AH7"/>
  <c r="AH11"/>
  <c r="AH15"/>
  <c r="AH19"/>
  <c r="AH23"/>
  <c r="AH27"/>
  <c r="AH31"/>
  <c r="AH35"/>
  <c r="AH39"/>
  <c r="AH43"/>
  <c r="AH47"/>
  <c r="AH51"/>
  <c r="AH55"/>
  <c r="AH59"/>
  <c r="AH63"/>
  <c r="AH67"/>
  <c r="AH71"/>
  <c r="AH75"/>
  <c r="AH79"/>
  <c r="AH82"/>
  <c r="AH95"/>
  <c r="AH98"/>
  <c r="AH123"/>
  <c r="AH126"/>
  <c r="AH132"/>
  <c r="AH135"/>
  <c r="AH138"/>
  <c r="AH141"/>
  <c r="AH144"/>
  <c r="AH153"/>
  <c r="AH187"/>
  <c r="AH190"/>
  <c r="AH196"/>
  <c r="AH199"/>
  <c r="AH202"/>
  <c r="AH222"/>
  <c r="AH231"/>
  <c r="AH234"/>
  <c r="AH240"/>
  <c r="AH243"/>
  <c r="AE246"/>
  <c r="AH249"/>
  <c r="AH252"/>
  <c r="AE258"/>
  <c r="AH269"/>
  <c r="AH272"/>
  <c r="AE282"/>
  <c r="AH285"/>
  <c r="AH288"/>
  <c r="AE298"/>
  <c r="AH301"/>
  <c r="AH304"/>
  <c r="AE314"/>
  <c r="AH317"/>
  <c r="AH320"/>
  <c r="AE330"/>
  <c r="AH333"/>
  <c r="AH336"/>
  <c r="AE346"/>
  <c r="AH349"/>
  <c r="AH352"/>
  <c r="AE362"/>
  <c r="AH365"/>
  <c r="AH368"/>
  <c r="AE378"/>
  <c r="AH381"/>
  <c r="AH384"/>
  <c r="AE394"/>
  <c r="AH397"/>
  <c r="AH400"/>
  <c r="AE410"/>
  <c r="AH413"/>
  <c r="AH416"/>
  <c r="AE426"/>
  <c r="AH429"/>
  <c r="AH432"/>
  <c r="AE442"/>
  <c r="AH445"/>
  <c r="AH448"/>
  <c r="AE451"/>
  <c r="AH456"/>
  <c r="AE459"/>
  <c r="AH464"/>
  <c r="AH473"/>
  <c r="AH476"/>
  <c r="AE491"/>
  <c r="AH496"/>
  <c r="AH509"/>
  <c r="AH512"/>
  <c r="AH531"/>
  <c r="AH535"/>
  <c r="AH558"/>
  <c r="AF562"/>
  <c r="AE562"/>
  <c r="AH581"/>
  <c r="AH585"/>
  <c r="AH657"/>
  <c r="AE661"/>
  <c r="AF661"/>
  <c r="AH668"/>
  <c r="AH679"/>
  <c r="AH717"/>
  <c r="AH721"/>
  <c r="AE729"/>
  <c r="AF729"/>
  <c r="AH794"/>
  <c r="AH798"/>
  <c r="AH802"/>
  <c r="AH806"/>
  <c r="AH810"/>
  <c r="AH814"/>
  <c r="AH818"/>
  <c r="AH822"/>
  <c r="AH826"/>
  <c r="AH830"/>
  <c r="AH876"/>
  <c r="AE884"/>
  <c r="AF884"/>
  <c r="AH89"/>
  <c r="AH92"/>
  <c r="AH102"/>
  <c r="AH108"/>
  <c r="AH111"/>
  <c r="AH114"/>
  <c r="AH117"/>
  <c r="AH120"/>
  <c r="AH129"/>
  <c r="AF148"/>
  <c r="AF151"/>
  <c r="AF157"/>
  <c r="AF160"/>
  <c r="AH163"/>
  <c r="AH166"/>
  <c r="AH172"/>
  <c r="AH175"/>
  <c r="AH178"/>
  <c r="AH181"/>
  <c r="AH184"/>
  <c r="AH193"/>
  <c r="AH205"/>
  <c r="AH208"/>
  <c r="AH211"/>
  <c r="AE214"/>
  <c r="AE217"/>
  <c r="AH220"/>
  <c r="AE226"/>
  <c r="AH237"/>
  <c r="AH246"/>
  <c r="AH255"/>
  <c r="AH258"/>
  <c r="AH261"/>
  <c r="AH264"/>
  <c r="AE276"/>
  <c r="AH279"/>
  <c r="AH282"/>
  <c r="AE292"/>
  <c r="AH295"/>
  <c r="AH298"/>
  <c r="AE308"/>
  <c r="AH311"/>
  <c r="AH314"/>
  <c r="AE324"/>
  <c r="AH327"/>
  <c r="AH330"/>
  <c r="AE340"/>
  <c r="AH343"/>
  <c r="AH346"/>
  <c r="AE356"/>
  <c r="AH359"/>
  <c r="AH362"/>
  <c r="AE372"/>
  <c r="AH375"/>
  <c r="AH378"/>
  <c r="AE388"/>
  <c r="AH391"/>
  <c r="AH394"/>
  <c r="AE404"/>
  <c r="AH407"/>
  <c r="AH410"/>
  <c r="AE420"/>
  <c r="AH423"/>
  <c r="AH426"/>
  <c r="AE436"/>
  <c r="AH439"/>
  <c r="AH442"/>
  <c r="AH451"/>
  <c r="AE454"/>
  <c r="AH459"/>
  <c r="AE462"/>
  <c r="AF465"/>
  <c r="AE465"/>
  <c r="AF474"/>
  <c r="AE474"/>
  <c r="AH485"/>
  <c r="AH491"/>
  <c r="AE494"/>
  <c r="AF510"/>
  <c r="AE510"/>
  <c r="AH547"/>
  <c r="AH551"/>
  <c r="AH574"/>
  <c r="AF578"/>
  <c r="AE578"/>
  <c r="AH627"/>
  <c r="AH631"/>
  <c r="AH654"/>
  <c r="AH710"/>
  <c r="AE5"/>
  <c r="AH8"/>
  <c r="AH12"/>
  <c r="AH16"/>
  <c r="AH20"/>
  <c r="AH24"/>
  <c r="AH28"/>
  <c r="AH32"/>
  <c r="AH36"/>
  <c r="AH40"/>
  <c r="AH44"/>
  <c r="AH48"/>
  <c r="AH52"/>
  <c r="AH56"/>
  <c r="AH60"/>
  <c r="AH64"/>
  <c r="AH68"/>
  <c r="AH72"/>
  <c r="AH76"/>
  <c r="AH83"/>
  <c r="AH86"/>
  <c r="AH99"/>
  <c r="AH105"/>
  <c r="AH139"/>
  <c r="AH142"/>
  <c r="AH148"/>
  <c r="AH151"/>
  <c r="AH154"/>
  <c r="AH157"/>
  <c r="AH160"/>
  <c r="AH169"/>
  <c r="AH200"/>
  <c r="AH214"/>
  <c r="AH217"/>
  <c r="AH223"/>
  <c r="AH226"/>
  <c r="AH232"/>
  <c r="AH244"/>
  <c r="AH267"/>
  <c r="AE270"/>
  <c r="AH273"/>
  <c r="AH276"/>
  <c r="AE286"/>
  <c r="AH289"/>
  <c r="AH292"/>
  <c r="AE302"/>
  <c r="AH305"/>
  <c r="AH308"/>
  <c r="AE318"/>
  <c r="AH321"/>
  <c r="AH324"/>
  <c r="AH337"/>
  <c r="AH340"/>
  <c r="AH353"/>
  <c r="AH356"/>
  <c r="AH369"/>
  <c r="AH372"/>
  <c r="AH385"/>
  <c r="AH388"/>
  <c r="AH401"/>
  <c r="AH404"/>
  <c r="AH417"/>
  <c r="AH420"/>
  <c r="AH433"/>
  <c r="AH436"/>
  <c r="AH454"/>
  <c r="AH465"/>
  <c r="AH468"/>
  <c r="AH488"/>
  <c r="AH500"/>
  <c r="AH517"/>
  <c r="AH521"/>
  <c r="AH597"/>
  <c r="AH601"/>
  <c r="AH643"/>
  <c r="AH647"/>
  <c r="AH699"/>
  <c r="AH741"/>
  <c r="AH783"/>
  <c r="AH787"/>
  <c r="AH869"/>
  <c r="AH926"/>
  <c r="AH930"/>
  <c r="AH934"/>
  <c r="AH938"/>
  <c r="AH942"/>
  <c r="AH946"/>
  <c r="AH950"/>
  <c r="AH954"/>
  <c r="AH958"/>
  <c r="AH962"/>
  <c r="AH966"/>
  <c r="AH970"/>
  <c r="AH974"/>
  <c r="AH978"/>
  <c r="AH982"/>
  <c r="AH986"/>
  <c r="AH990"/>
  <c r="AH994"/>
  <c r="AH80"/>
  <c r="AF90"/>
  <c r="AH93"/>
  <c r="AH96"/>
  <c r="AF103"/>
  <c r="AF109"/>
  <c r="AF112"/>
  <c r="AH115"/>
  <c r="AH118"/>
  <c r="AF121"/>
  <c r="AH124"/>
  <c r="AH127"/>
  <c r="AH130"/>
  <c r="AH133"/>
  <c r="AH136"/>
  <c r="AH145"/>
  <c r="AF164"/>
  <c r="AF167"/>
  <c r="AF173"/>
  <c r="AF176"/>
  <c r="AH179"/>
  <c r="AH182"/>
  <c r="AF185"/>
  <c r="AH188"/>
  <c r="AH191"/>
  <c r="AH194"/>
  <c r="AH197"/>
  <c r="AH203"/>
  <c r="AE206"/>
  <c r="AE209"/>
  <c r="AH212"/>
  <c r="AE221"/>
  <c r="AH229"/>
  <c r="AH235"/>
  <c r="AE238"/>
  <c r="AH241"/>
  <c r="AH247"/>
  <c r="AH250"/>
  <c r="AH256"/>
  <c r="AH259"/>
  <c r="AE262"/>
  <c r="AH270"/>
  <c r="AE280"/>
  <c r="AH283"/>
  <c r="AH286"/>
  <c r="AE296"/>
  <c r="AH299"/>
  <c r="AH302"/>
  <c r="AE312"/>
  <c r="AH315"/>
  <c r="AH318"/>
  <c r="AE328"/>
  <c r="AH331"/>
  <c r="AH334"/>
  <c r="AE344"/>
  <c r="AH347"/>
  <c r="AH350"/>
  <c r="AE360"/>
  <c r="AH363"/>
  <c r="AH366"/>
  <c r="AE376"/>
  <c r="AH379"/>
  <c r="AH382"/>
  <c r="AE392"/>
  <c r="AH395"/>
  <c r="AH398"/>
  <c r="AE408"/>
  <c r="AH411"/>
  <c r="AH414"/>
  <c r="AE424"/>
  <c r="AH427"/>
  <c r="AH430"/>
  <c r="AE440"/>
  <c r="AH443"/>
  <c r="AH446"/>
  <c r="AH449"/>
  <c r="AE452"/>
  <c r="AH457"/>
  <c r="AE460"/>
  <c r="AF466"/>
  <c r="AE466"/>
  <c r="AH477"/>
  <c r="AH483"/>
  <c r="AE486"/>
  <c r="AF489"/>
  <c r="AE489"/>
  <c r="AF498"/>
  <c r="AE498"/>
  <c r="AF514"/>
  <c r="AE514"/>
  <c r="AH563"/>
  <c r="AH567"/>
  <c r="AH590"/>
  <c r="AF594"/>
  <c r="AE594"/>
  <c r="AH613"/>
  <c r="AH617"/>
  <c r="AH669"/>
  <c r="AH688"/>
  <c r="AH692"/>
  <c r="AH730"/>
  <c r="AH776"/>
  <c r="AH862"/>
  <c r="AH919"/>
  <c r="AH33"/>
  <c r="AH37"/>
  <c r="AH41"/>
  <c r="AH45"/>
  <c r="AH49"/>
  <c r="AH53"/>
  <c r="AH57"/>
  <c r="AH61"/>
  <c r="AH65"/>
  <c r="AH69"/>
  <c r="AH73"/>
  <c r="AH77"/>
  <c r="AH87"/>
  <c r="AH90"/>
  <c r="AH103"/>
  <c r="AH106"/>
  <c r="AH109"/>
  <c r="AH112"/>
  <c r="AH121"/>
  <c r="AH155"/>
  <c r="AH158"/>
  <c r="AH164"/>
  <c r="AH167"/>
  <c r="AH170"/>
  <c r="AH173"/>
  <c r="AH176"/>
  <c r="AH185"/>
  <c r="AH206"/>
  <c r="AH209"/>
  <c r="AH224"/>
  <c r="AH238"/>
  <c r="AH253"/>
  <c r="AH262"/>
  <c r="AH265"/>
  <c r="AH268"/>
  <c r="AH277"/>
  <c r="AH280"/>
  <c r="AH293"/>
  <c r="AH296"/>
  <c r="AH309"/>
  <c r="AH312"/>
  <c r="AH325"/>
  <c r="AH328"/>
  <c r="AH341"/>
  <c r="AH344"/>
  <c r="AH357"/>
  <c r="AH360"/>
  <c r="AH373"/>
  <c r="AH376"/>
  <c r="AH389"/>
  <c r="AH392"/>
  <c r="AH405"/>
  <c r="AH408"/>
  <c r="AH421"/>
  <c r="AH424"/>
  <c r="AH437"/>
  <c r="AH440"/>
  <c r="AH452"/>
  <c r="AH460"/>
  <c r="AH480"/>
  <c r="AH492"/>
  <c r="AH501"/>
  <c r="AH504"/>
  <c r="AH533"/>
  <c r="AH537"/>
  <c r="AH579"/>
  <c r="AH583"/>
  <c r="AH606"/>
  <c r="AF610"/>
  <c r="AE610"/>
  <c r="AH677"/>
  <c r="AE685"/>
  <c r="AF685"/>
  <c r="AH719"/>
  <c r="AH723"/>
  <c r="AH761"/>
  <c r="AE773"/>
  <c r="AF773"/>
  <c r="AH908"/>
  <c r="AE916"/>
  <c r="AF916"/>
  <c r="AH462"/>
  <c r="AH470"/>
  <c r="AH478"/>
  <c r="AH486"/>
  <c r="AH494"/>
  <c r="AE497"/>
  <c r="AH502"/>
  <c r="AE505"/>
  <c r="AH510"/>
  <c r="AE513"/>
  <c r="AH516"/>
  <c r="AH520"/>
  <c r="AH527"/>
  <c r="AH530"/>
  <c r="AH534"/>
  <c r="AE538"/>
  <c r="AH548"/>
  <c r="AH552"/>
  <c r="AH559"/>
  <c r="AH562"/>
  <c r="AH566"/>
  <c r="AE570"/>
  <c r="AH580"/>
  <c r="AH584"/>
  <c r="AH591"/>
  <c r="AH594"/>
  <c r="AH598"/>
  <c r="AE602"/>
  <c r="AH612"/>
  <c r="AH616"/>
  <c r="AH623"/>
  <c r="AH626"/>
  <c r="AH630"/>
  <c r="AE634"/>
  <c r="AH644"/>
  <c r="AH648"/>
  <c r="AH655"/>
  <c r="AH658"/>
  <c r="AH667"/>
  <c r="AH670"/>
  <c r="AH673"/>
  <c r="AH680"/>
  <c r="AH687"/>
  <c r="AH691"/>
  <c r="AH698"/>
  <c r="AH709"/>
  <c r="AF713"/>
  <c r="AH720"/>
  <c r="AH724"/>
  <c r="AH731"/>
  <c r="AH742"/>
  <c r="AH749"/>
  <c r="AH753"/>
  <c r="AF757"/>
  <c r="AH764"/>
  <c r="AH775"/>
  <c r="AH782"/>
  <c r="AH786"/>
  <c r="AH793"/>
  <c r="AH797"/>
  <c r="AH801"/>
  <c r="AH805"/>
  <c r="AH809"/>
  <c r="AH813"/>
  <c r="AH817"/>
  <c r="AH821"/>
  <c r="AH825"/>
  <c r="AH829"/>
  <c r="AH836"/>
  <c r="AF840"/>
  <c r="AH847"/>
  <c r="AH854"/>
  <c r="AH861"/>
  <c r="AH868"/>
  <c r="AF872"/>
  <c r="AH879"/>
  <c r="AH886"/>
  <c r="AH893"/>
  <c r="AH900"/>
  <c r="AF904"/>
  <c r="AH911"/>
  <c r="AH918"/>
  <c r="AH925"/>
  <c r="AH929"/>
  <c r="AH933"/>
  <c r="AH937"/>
  <c r="AH941"/>
  <c r="AH945"/>
  <c r="AH949"/>
  <c r="AH953"/>
  <c r="AH957"/>
  <c r="AH961"/>
  <c r="AH965"/>
  <c r="AH969"/>
  <c r="AH973"/>
  <c r="AH977"/>
  <c r="AH981"/>
  <c r="AH985"/>
  <c r="AH989"/>
  <c r="AH993"/>
  <c r="AH997"/>
  <c r="AH481"/>
  <c r="AH489"/>
  <c r="AH497"/>
  <c r="AH505"/>
  <c r="AH513"/>
  <c r="AH524"/>
  <c r="AH538"/>
  <c r="AE542"/>
  <c r="AH545"/>
  <c r="AH556"/>
  <c r="AH570"/>
  <c r="AE574"/>
  <c r="AH577"/>
  <c r="AH588"/>
  <c r="AH602"/>
  <c r="AE606"/>
  <c r="AH609"/>
  <c r="AH620"/>
  <c r="AH634"/>
  <c r="AE638"/>
  <c r="AH641"/>
  <c r="AH652"/>
  <c r="AH661"/>
  <c r="AF677"/>
  <c r="AH684"/>
  <c r="AH695"/>
  <c r="AH702"/>
  <c r="AH706"/>
  <c r="AH713"/>
  <c r="AH728"/>
  <c r="AH735"/>
  <c r="AH739"/>
  <c r="AH746"/>
  <c r="AH757"/>
  <c r="AH768"/>
  <c r="AH772"/>
  <c r="AH779"/>
  <c r="AH790"/>
  <c r="AH833"/>
  <c r="AH840"/>
  <c r="AH851"/>
  <c r="AH858"/>
  <c r="AH865"/>
  <c r="AH872"/>
  <c r="AF876"/>
  <c r="AH883"/>
  <c r="AH890"/>
  <c r="AH897"/>
  <c r="AH904"/>
  <c r="AH915"/>
  <c r="AH922"/>
  <c r="AH998"/>
  <c r="AH463"/>
  <c r="AH471"/>
  <c r="AH479"/>
  <c r="AH487"/>
  <c r="AH495"/>
  <c r="AH503"/>
  <c r="AH511"/>
  <c r="AH525"/>
  <c r="AH528"/>
  <c r="AH539"/>
  <c r="AH557"/>
  <c r="AH560"/>
  <c r="AH571"/>
  <c r="AH589"/>
  <c r="AH592"/>
  <c r="AH603"/>
  <c r="AH621"/>
  <c r="AH624"/>
  <c r="AH635"/>
  <c r="AH653"/>
  <c r="AH659"/>
  <c r="AH662"/>
  <c r="AH665"/>
  <c r="AH681"/>
  <c r="AH696"/>
  <c r="AH703"/>
  <c r="AH707"/>
  <c r="AH714"/>
  <c r="AH725"/>
  <c r="AH736"/>
  <c r="AH740"/>
  <c r="AH747"/>
  <c r="AH758"/>
  <c r="AH765"/>
  <c r="AH769"/>
  <c r="AH780"/>
  <c r="AH791"/>
  <c r="AH834"/>
  <c r="AH841"/>
  <c r="AH848"/>
  <c r="AH859"/>
  <c r="AH866"/>
  <c r="AH873"/>
  <c r="AH880"/>
  <c r="AH891"/>
  <c r="AH898"/>
  <c r="AH905"/>
  <c r="AH912"/>
  <c r="AH923"/>
  <c r="AH466"/>
  <c r="AH474"/>
  <c r="AH482"/>
  <c r="AH490"/>
  <c r="AH498"/>
  <c r="AE501"/>
  <c r="AH506"/>
  <c r="AE509"/>
  <c r="AH514"/>
  <c r="AH518"/>
  <c r="AE522"/>
  <c r="AH532"/>
  <c r="AH536"/>
  <c r="AH543"/>
  <c r="AH546"/>
  <c r="AH550"/>
  <c r="AE554"/>
  <c r="AH564"/>
  <c r="AH568"/>
  <c r="AH575"/>
  <c r="AH578"/>
  <c r="AH582"/>
  <c r="AE586"/>
  <c r="AH596"/>
  <c r="AH600"/>
  <c r="AH607"/>
  <c r="AH610"/>
  <c r="AH614"/>
  <c r="AE618"/>
  <c r="AH628"/>
  <c r="AH632"/>
  <c r="AH639"/>
  <c r="AH642"/>
  <c r="AH646"/>
  <c r="AE650"/>
  <c r="AH672"/>
  <c r="AE675"/>
  <c r="AH678"/>
  <c r="AH685"/>
  <c r="AH689"/>
  <c r="AF693"/>
  <c r="AH700"/>
  <c r="AH711"/>
  <c r="AH718"/>
  <c r="AH722"/>
  <c r="AH729"/>
  <c r="AF733"/>
  <c r="AH744"/>
  <c r="AH751"/>
  <c r="AH755"/>
  <c r="AH762"/>
  <c r="AH773"/>
  <c r="AF777"/>
  <c r="AH784"/>
  <c r="AH788"/>
  <c r="AH795"/>
  <c r="AH799"/>
  <c r="AH803"/>
  <c r="AH807"/>
  <c r="AH811"/>
  <c r="AH815"/>
  <c r="AH819"/>
  <c r="AH823"/>
  <c r="AH827"/>
  <c r="AH831"/>
  <c r="AH838"/>
  <c r="AH845"/>
  <c r="AH852"/>
  <c r="AF856"/>
  <c r="AH863"/>
  <c r="AH870"/>
  <c r="AH877"/>
  <c r="AH884"/>
  <c r="AF888"/>
  <c r="AH895"/>
  <c r="AH902"/>
  <c r="AH909"/>
  <c r="AH916"/>
  <c r="AF920"/>
  <c r="AH927"/>
  <c r="AH931"/>
  <c r="AH935"/>
  <c r="AH939"/>
  <c r="AH943"/>
  <c r="AH947"/>
  <c r="AH951"/>
  <c r="AH955"/>
  <c r="AH959"/>
  <c r="AH963"/>
  <c r="AH967"/>
  <c r="AH971"/>
  <c r="AH975"/>
  <c r="AH979"/>
  <c r="AH983"/>
  <c r="AH987"/>
  <c r="AH991"/>
  <c r="AH995"/>
  <c r="AH999"/>
  <c r="AH522"/>
  <c r="AH529"/>
  <c r="AH540"/>
  <c r="AH554"/>
  <c r="AH561"/>
  <c r="AH572"/>
  <c r="AH586"/>
  <c r="AH593"/>
  <c r="AH604"/>
  <c r="AH618"/>
  <c r="AH625"/>
  <c r="AH636"/>
  <c r="AH650"/>
  <c r="AH660"/>
  <c r="AH663"/>
  <c r="AH666"/>
  <c r="AH675"/>
  <c r="AH682"/>
  <c r="AH693"/>
  <c r="AH704"/>
  <c r="AH708"/>
  <c r="AH715"/>
  <c r="AH726"/>
  <c r="AH733"/>
  <c r="AH737"/>
  <c r="AH748"/>
  <c r="AH759"/>
  <c r="AH766"/>
  <c r="AH770"/>
  <c r="AH777"/>
  <c r="AH792"/>
  <c r="AH835"/>
  <c r="AH842"/>
  <c r="AH849"/>
  <c r="AH856"/>
  <c r="AF860"/>
  <c r="AH867"/>
  <c r="AH874"/>
  <c r="AH881"/>
  <c r="AH888"/>
  <c r="AH899"/>
  <c r="AH906"/>
  <c r="AH913"/>
  <c r="AH920"/>
  <c r="AH752"/>
  <c r="AH756"/>
  <c r="AH763"/>
  <c r="AH774"/>
  <c r="AH781"/>
  <c r="AH785"/>
  <c r="AF789"/>
  <c r="AH796"/>
  <c r="AH800"/>
  <c r="AH804"/>
  <c r="AH808"/>
  <c r="AH812"/>
  <c r="AH816"/>
  <c r="AH820"/>
  <c r="AH824"/>
  <c r="AH828"/>
  <c r="AH839"/>
  <c r="AH846"/>
  <c r="AH853"/>
  <c r="AH860"/>
  <c r="AH871"/>
  <c r="AH878"/>
  <c r="AH885"/>
  <c r="AH892"/>
  <c r="AH903"/>
  <c r="AJ910"/>
  <c r="AH910"/>
  <c r="AH917"/>
  <c r="AH924"/>
  <c r="AH928"/>
  <c r="AH932"/>
  <c r="AH936"/>
  <c r="AH940"/>
  <c r="AH944"/>
  <c r="AH948"/>
  <c r="AH952"/>
  <c r="AH956"/>
  <c r="AH960"/>
  <c r="AH964"/>
  <c r="AH968"/>
  <c r="AH972"/>
  <c r="AH976"/>
  <c r="AH980"/>
  <c r="AH984"/>
  <c r="AH988"/>
  <c r="AH992"/>
  <c r="AH996"/>
  <c r="AH1000"/>
  <c r="AH499"/>
  <c r="AH507"/>
  <c r="AH523"/>
  <c r="AH541"/>
  <c r="AH544"/>
  <c r="AH555"/>
  <c r="AH573"/>
  <c r="AH576"/>
  <c r="AH587"/>
  <c r="AH605"/>
  <c r="AH608"/>
  <c r="AH619"/>
  <c r="AH637"/>
  <c r="AH640"/>
  <c r="AH651"/>
  <c r="AH664"/>
  <c r="AH676"/>
  <c r="AH683"/>
  <c r="AH694"/>
  <c r="AH701"/>
  <c r="AH705"/>
  <c r="AH716"/>
  <c r="AH727"/>
  <c r="AH734"/>
  <c r="AH738"/>
  <c r="AH745"/>
  <c r="AF749"/>
  <c r="AH760"/>
  <c r="AH767"/>
  <c r="AH771"/>
  <c r="AH778"/>
  <c r="AH789"/>
  <c r="AF793"/>
  <c r="AH832"/>
  <c r="AF836"/>
  <c r="AH843"/>
  <c r="AH850"/>
  <c r="AH857"/>
  <c r="AH864"/>
  <c r="AF868"/>
  <c r="AH875"/>
  <c r="AH882"/>
  <c r="AH889"/>
  <c r="AH896"/>
  <c r="AF900"/>
  <c r="AH907"/>
  <c r="AH914"/>
  <c r="AH921"/>
  <c r="S401"/>
  <c r="R426"/>
  <c r="R513"/>
  <c r="R541"/>
  <c r="R774"/>
  <c r="S809"/>
  <c r="S34"/>
  <c r="R69"/>
  <c r="R111"/>
  <c r="S224"/>
  <c r="R288"/>
  <c r="S305"/>
  <c r="R345"/>
  <c r="R359"/>
  <c r="R362"/>
  <c r="S409"/>
  <c r="R472"/>
  <c r="R579"/>
  <c r="S636"/>
  <c r="R739"/>
  <c r="R752"/>
  <c r="S752"/>
  <c r="S803"/>
  <c r="S836"/>
  <c r="R981"/>
  <c r="S288"/>
  <c r="R826"/>
  <c r="S18"/>
  <c r="R23"/>
  <c r="R48"/>
  <c r="R93"/>
  <c r="S144"/>
  <c r="R216"/>
  <c r="S765"/>
  <c r="R428"/>
  <c r="R655"/>
  <c r="S894"/>
  <c r="R32"/>
  <c r="S45"/>
  <c r="S90"/>
  <c r="R119"/>
  <c r="R167"/>
  <c r="S248"/>
  <c r="R303"/>
  <c r="S576"/>
  <c r="S708"/>
  <c r="R715"/>
  <c r="R778"/>
  <c r="R95"/>
  <c r="S167"/>
  <c r="R173"/>
  <c r="R192"/>
  <c r="S231"/>
  <c r="R244"/>
  <c r="R264"/>
  <c r="R434"/>
  <c r="S559"/>
  <c r="R680"/>
  <c r="S756"/>
  <c r="S749"/>
  <c r="S408"/>
  <c r="R477"/>
  <c r="R954"/>
  <c r="R982"/>
  <c r="S954"/>
  <c r="S982"/>
  <c r="S776"/>
  <c r="C14"/>
  <c r="S197"/>
  <c r="R197"/>
  <c r="S8"/>
  <c r="S24"/>
  <c r="S32"/>
  <c r="S48"/>
  <c r="R72"/>
  <c r="R88"/>
  <c r="S95"/>
  <c r="S111"/>
  <c r="S127"/>
  <c r="R200"/>
  <c r="S240"/>
  <c r="S279"/>
  <c r="S480"/>
  <c r="S528"/>
  <c r="R528"/>
  <c r="S696"/>
  <c r="R696"/>
  <c r="R186"/>
  <c r="R10"/>
  <c r="R26"/>
  <c r="R34"/>
  <c r="R42"/>
  <c r="S72"/>
  <c r="S88"/>
  <c r="S98"/>
  <c r="S114"/>
  <c r="R144"/>
  <c r="R180"/>
  <c r="S321"/>
  <c r="R497"/>
  <c r="R509"/>
  <c r="R691"/>
  <c r="S691"/>
  <c r="R893"/>
  <c r="S893"/>
  <c r="S181"/>
  <c r="S208"/>
  <c r="S237"/>
  <c r="S245"/>
  <c r="R245"/>
  <c r="R544"/>
  <c r="R183"/>
  <c r="S793"/>
  <c r="R793"/>
  <c r="S213"/>
  <c r="S250"/>
  <c r="S355"/>
  <c r="R355"/>
  <c r="S419"/>
  <c r="R419"/>
  <c r="R427"/>
  <c r="R560"/>
  <c r="R9"/>
  <c r="R17"/>
  <c r="R25"/>
  <c r="R41"/>
  <c r="R64"/>
  <c r="R96"/>
  <c r="R132"/>
  <c r="S140"/>
  <c r="R149"/>
  <c r="R175"/>
  <c r="S177"/>
  <c r="S184"/>
  <c r="S188"/>
  <c r="R483"/>
  <c r="S616"/>
  <c r="S475"/>
  <c r="R475"/>
  <c r="S17"/>
  <c r="S25"/>
  <c r="S41"/>
  <c r="S96"/>
  <c r="S132"/>
  <c r="R178"/>
  <c r="S178"/>
  <c r="R226"/>
  <c r="S301"/>
  <c r="R301"/>
  <c r="S433"/>
  <c r="R433"/>
  <c r="S437"/>
  <c r="S568"/>
  <c r="R141"/>
  <c r="R231"/>
  <c r="S554"/>
  <c r="S631"/>
  <c r="S216"/>
  <c r="S311"/>
  <c r="S472"/>
  <c r="S536"/>
  <c r="S626"/>
  <c r="S647"/>
  <c r="R647"/>
  <c r="S604"/>
  <c r="S974"/>
  <c r="R268"/>
  <c r="R304"/>
  <c r="R351"/>
  <c r="R363"/>
  <c r="R369"/>
  <c r="R416"/>
  <c r="R441"/>
  <c r="S531"/>
  <c r="S539"/>
  <c r="S579"/>
  <c r="S591"/>
  <c r="R617"/>
  <c r="R217"/>
  <c r="R248"/>
  <c r="S268"/>
  <c r="S304"/>
  <c r="R371"/>
  <c r="S410"/>
  <c r="S441"/>
  <c r="S547"/>
  <c r="S583"/>
  <c r="S994"/>
  <c r="R994"/>
  <c r="S371"/>
  <c r="R519"/>
  <c r="R529"/>
  <c r="R569"/>
  <c r="S596"/>
  <c r="R607"/>
  <c r="R649"/>
  <c r="S664"/>
  <c r="R972"/>
  <c r="S610"/>
  <c r="S855"/>
  <c r="R855"/>
  <c r="R261"/>
  <c r="R336"/>
  <c r="R368"/>
  <c r="R459"/>
  <c r="R637"/>
  <c r="S886"/>
  <c r="R755"/>
  <c r="R763"/>
  <c r="R930"/>
  <c r="R686"/>
  <c r="S694"/>
  <c r="R701"/>
  <c r="S780"/>
  <c r="R824"/>
  <c r="R878"/>
  <c r="S933"/>
  <c r="S966"/>
  <c r="S978"/>
  <c r="R983"/>
  <c r="S989"/>
  <c r="S991"/>
  <c r="S686"/>
  <c r="R692"/>
  <c r="S701"/>
  <c r="S709"/>
  <c r="S712"/>
  <c r="S717"/>
  <c r="S824"/>
  <c r="R870"/>
  <c r="S878"/>
  <c r="R908"/>
  <c r="S981"/>
  <c r="R645"/>
  <c r="S658"/>
  <c r="R690"/>
  <c r="R769"/>
  <c r="R792"/>
  <c r="S796"/>
  <c r="S804"/>
  <c r="S812"/>
  <c r="S769"/>
  <c r="S808"/>
  <c r="R866"/>
  <c r="R874"/>
  <c r="R879"/>
  <c r="S917"/>
  <c r="S750"/>
  <c r="S781"/>
  <c r="R789"/>
  <c r="R871"/>
  <c r="S879"/>
  <c r="R903"/>
  <c r="R998"/>
  <c r="AF369"/>
  <c r="AE369"/>
  <c r="AF797"/>
  <c r="AE797"/>
  <c r="AF813"/>
  <c r="AE813"/>
  <c r="AF933"/>
  <c r="AE933"/>
  <c r="AF961"/>
  <c r="AE961"/>
  <c r="AF997"/>
  <c r="AE997"/>
  <c r="AE7"/>
  <c r="AE9"/>
  <c r="AE11"/>
  <c r="AE13"/>
  <c r="AE15"/>
  <c r="AE17"/>
  <c r="AE19"/>
  <c r="AE21"/>
  <c r="AE23"/>
  <c r="AE25"/>
  <c r="AE27"/>
  <c r="AE29"/>
  <c r="AE31"/>
  <c r="AE33"/>
  <c r="AE35"/>
  <c r="AE37"/>
  <c r="AE39"/>
  <c r="AE41"/>
  <c r="AE43"/>
  <c r="AE45"/>
  <c r="AE47"/>
  <c r="AE49"/>
  <c r="AE51"/>
  <c r="AE53"/>
  <c r="AE55"/>
  <c r="AE57"/>
  <c r="AE59"/>
  <c r="AE61"/>
  <c r="AE63"/>
  <c r="AE65"/>
  <c r="AE67"/>
  <c r="AE69"/>
  <c r="AE71"/>
  <c r="AE73"/>
  <c r="AE75"/>
  <c r="AE77"/>
  <c r="AE79"/>
  <c r="AE81"/>
  <c r="AE83"/>
  <c r="AE85"/>
  <c r="AE87"/>
  <c r="AE89"/>
  <c r="AE91"/>
  <c r="AE93"/>
  <c r="AE95"/>
  <c r="AE97"/>
  <c r="AE99"/>
  <c r="AE101"/>
  <c r="AF106"/>
  <c r="AF114"/>
  <c r="AF122"/>
  <c r="AF130"/>
  <c r="AF138"/>
  <c r="AF146"/>
  <c r="AF154"/>
  <c r="AF162"/>
  <c r="AF170"/>
  <c r="AF178"/>
  <c r="AF186"/>
  <c r="AF194"/>
  <c r="AF208"/>
  <c r="AE208"/>
  <c r="AF219"/>
  <c r="AF236"/>
  <c r="AE236"/>
  <c r="AF247"/>
  <c r="AF259"/>
  <c r="AE259"/>
  <c r="AF321"/>
  <c r="AE321"/>
  <c r="AF401"/>
  <c r="AE401"/>
  <c r="AF559"/>
  <c r="AE559"/>
  <c r="AF623"/>
  <c r="AE623"/>
  <c r="AF742"/>
  <c r="AE742"/>
  <c r="AF805"/>
  <c r="AE805"/>
  <c r="AF941"/>
  <c r="AE941"/>
  <c r="AF969"/>
  <c r="AE969"/>
  <c r="AF993"/>
  <c r="AE993"/>
  <c r="AF200"/>
  <c r="AE200"/>
  <c r="AF211"/>
  <c r="AF239"/>
  <c r="AE239"/>
  <c r="AF268"/>
  <c r="AE268"/>
  <c r="AF337"/>
  <c r="AE337"/>
  <c r="AF385"/>
  <c r="AE385"/>
  <c r="AF925"/>
  <c r="AE925"/>
  <c r="AF949"/>
  <c r="AE949"/>
  <c r="AF989"/>
  <c r="AE989"/>
  <c r="AF220"/>
  <c r="AE220"/>
  <c r="AF305"/>
  <c r="AE305"/>
  <c r="AF417"/>
  <c r="AE417"/>
  <c r="AF698"/>
  <c r="AE698"/>
  <c r="AF801"/>
  <c r="AE801"/>
  <c r="AF945"/>
  <c r="AE945"/>
  <c r="AF965"/>
  <c r="AE965"/>
  <c r="AF985"/>
  <c r="AE985"/>
  <c r="AF107"/>
  <c r="AF115"/>
  <c r="AF123"/>
  <c r="AF131"/>
  <c r="AF139"/>
  <c r="AF147"/>
  <c r="AF155"/>
  <c r="AF163"/>
  <c r="AF171"/>
  <c r="AF179"/>
  <c r="AF187"/>
  <c r="AF195"/>
  <c r="AF212"/>
  <c r="AE212"/>
  <c r="AF231"/>
  <c r="AF240"/>
  <c r="AE240"/>
  <c r="AF281"/>
  <c r="AE281"/>
  <c r="AF297"/>
  <c r="AE297"/>
  <c r="AF313"/>
  <c r="AE313"/>
  <c r="AF329"/>
  <c r="AE329"/>
  <c r="AF345"/>
  <c r="AE345"/>
  <c r="AF361"/>
  <c r="AE361"/>
  <c r="AF377"/>
  <c r="AE377"/>
  <c r="AF393"/>
  <c r="AE393"/>
  <c r="AF409"/>
  <c r="AE409"/>
  <c r="AF425"/>
  <c r="AE425"/>
  <c r="AF441"/>
  <c r="AE441"/>
  <c r="AF973"/>
  <c r="AE973"/>
  <c r="AE6"/>
  <c r="AE8"/>
  <c r="AE10"/>
  <c r="AE12"/>
  <c r="AE14"/>
  <c r="AE16"/>
  <c r="AE18"/>
  <c r="AE20"/>
  <c r="AE22"/>
  <c r="AE24"/>
  <c r="AE26"/>
  <c r="AE28"/>
  <c r="AE30"/>
  <c r="AE32"/>
  <c r="AE34"/>
  <c r="AE36"/>
  <c r="AE38"/>
  <c r="AE40"/>
  <c r="AE42"/>
  <c r="AE44"/>
  <c r="AE46"/>
  <c r="AE48"/>
  <c r="AE50"/>
  <c r="AE52"/>
  <c r="AE54"/>
  <c r="AE56"/>
  <c r="AE58"/>
  <c r="AE60"/>
  <c r="AE62"/>
  <c r="AE64"/>
  <c r="AE66"/>
  <c r="AE68"/>
  <c r="AE70"/>
  <c r="AE72"/>
  <c r="AE74"/>
  <c r="AE76"/>
  <c r="AE78"/>
  <c r="AF102"/>
  <c r="AF110"/>
  <c r="AF118"/>
  <c r="AF126"/>
  <c r="AF134"/>
  <c r="AF142"/>
  <c r="AF150"/>
  <c r="AF158"/>
  <c r="AF166"/>
  <c r="AF174"/>
  <c r="AF182"/>
  <c r="AF190"/>
  <c r="AF198"/>
  <c r="AF204"/>
  <c r="AE204"/>
  <c r="AF223"/>
  <c r="AF243"/>
  <c r="AF216"/>
  <c r="AE216"/>
  <c r="AF289"/>
  <c r="AE289"/>
  <c r="AF433"/>
  <c r="AE433"/>
  <c r="AE691"/>
  <c r="AF691"/>
  <c r="AF817"/>
  <c r="AE817"/>
  <c r="AF893"/>
  <c r="AE893"/>
  <c r="AF937"/>
  <c r="AE937"/>
  <c r="AF957"/>
  <c r="AE957"/>
  <c r="AF977"/>
  <c r="AE977"/>
  <c r="AF232"/>
  <c r="AE232"/>
  <c r="AF252"/>
  <c r="AE252"/>
  <c r="AF273"/>
  <c r="AE273"/>
  <c r="AF353"/>
  <c r="AE353"/>
  <c r="AF527"/>
  <c r="AE527"/>
  <c r="AF591"/>
  <c r="AE591"/>
  <c r="AE687"/>
  <c r="AF687"/>
  <c r="AF809"/>
  <c r="AE809"/>
  <c r="AF861"/>
  <c r="AE861"/>
  <c r="AF929"/>
  <c r="AE929"/>
  <c r="AF953"/>
  <c r="AE953"/>
  <c r="AF981"/>
  <c r="AE981"/>
  <c r="AF224"/>
  <c r="AE224"/>
  <c r="AF524"/>
  <c r="AE524"/>
  <c r="AF556"/>
  <c r="AE556"/>
  <c r="AF588"/>
  <c r="AE588"/>
  <c r="AF620"/>
  <c r="AE620"/>
  <c r="AF652"/>
  <c r="AE652"/>
  <c r="AE248"/>
  <c r="AE255"/>
  <c r="AE264"/>
  <c r="AE271"/>
  <c r="AE279"/>
  <c r="AE287"/>
  <c r="AE295"/>
  <c r="AE303"/>
  <c r="AE311"/>
  <c r="AE319"/>
  <c r="AE327"/>
  <c r="AE335"/>
  <c r="AE343"/>
  <c r="AE351"/>
  <c r="AE359"/>
  <c r="AE367"/>
  <c r="AE375"/>
  <c r="AE383"/>
  <c r="AE391"/>
  <c r="AE399"/>
  <c r="AE407"/>
  <c r="AE415"/>
  <c r="AE423"/>
  <c r="AE431"/>
  <c r="AE439"/>
  <c r="AE447"/>
  <c r="AF543"/>
  <c r="AE543"/>
  <c r="AF575"/>
  <c r="AE575"/>
  <c r="AF607"/>
  <c r="AE607"/>
  <c r="AF639"/>
  <c r="AE639"/>
  <c r="AE228"/>
  <c r="AE244"/>
  <c r="AE260"/>
  <c r="AE277"/>
  <c r="AE285"/>
  <c r="AE293"/>
  <c r="AE301"/>
  <c r="AE309"/>
  <c r="AE317"/>
  <c r="AE325"/>
  <c r="AE333"/>
  <c r="AE341"/>
  <c r="AE349"/>
  <c r="AE357"/>
  <c r="AE365"/>
  <c r="AE373"/>
  <c r="AE381"/>
  <c r="AE389"/>
  <c r="AE397"/>
  <c r="AE405"/>
  <c r="AE413"/>
  <c r="AE421"/>
  <c r="AE429"/>
  <c r="AE437"/>
  <c r="AE445"/>
  <c r="AF540"/>
  <c r="AE540"/>
  <c r="AF572"/>
  <c r="AE572"/>
  <c r="AF604"/>
  <c r="AE604"/>
  <c r="AF636"/>
  <c r="AE636"/>
  <c r="AE256"/>
  <c r="AE275"/>
  <c r="AE283"/>
  <c r="AE291"/>
  <c r="AE299"/>
  <c r="AE307"/>
  <c r="AE315"/>
  <c r="AE323"/>
  <c r="AE331"/>
  <c r="AE339"/>
  <c r="AE347"/>
  <c r="AE355"/>
  <c r="AE363"/>
  <c r="AE371"/>
  <c r="AE379"/>
  <c r="AE387"/>
  <c r="AE395"/>
  <c r="AE403"/>
  <c r="AE411"/>
  <c r="AE419"/>
  <c r="AE427"/>
  <c r="AE435"/>
  <c r="AE443"/>
  <c r="AF521"/>
  <c r="AE521"/>
  <c r="AF537"/>
  <c r="AE537"/>
  <c r="AF553"/>
  <c r="AE553"/>
  <c r="AF569"/>
  <c r="AE569"/>
  <c r="AF585"/>
  <c r="AE585"/>
  <c r="AF601"/>
  <c r="AE601"/>
  <c r="AF617"/>
  <c r="AE617"/>
  <c r="AF633"/>
  <c r="AE633"/>
  <c r="AF649"/>
  <c r="AE649"/>
  <c r="AE695"/>
  <c r="AF695"/>
  <c r="AF706"/>
  <c r="AE706"/>
  <c r="AE735"/>
  <c r="AF735"/>
  <c r="AE739"/>
  <c r="AF739"/>
  <c r="AF790"/>
  <c r="AE790"/>
  <c r="AF515"/>
  <c r="AE515"/>
  <c r="AE518"/>
  <c r="AF531"/>
  <c r="AE531"/>
  <c r="AE534"/>
  <c r="AF547"/>
  <c r="AE547"/>
  <c r="AE550"/>
  <c r="AF563"/>
  <c r="AE563"/>
  <c r="AE566"/>
  <c r="AF579"/>
  <c r="AE579"/>
  <c r="AE582"/>
  <c r="AF595"/>
  <c r="AE595"/>
  <c r="AE598"/>
  <c r="AF611"/>
  <c r="AE611"/>
  <c r="AE614"/>
  <c r="AF627"/>
  <c r="AE627"/>
  <c r="AE630"/>
  <c r="AF643"/>
  <c r="AE643"/>
  <c r="AE646"/>
  <c r="AF710"/>
  <c r="AE710"/>
  <c r="AE743"/>
  <c r="AF743"/>
  <c r="AE787"/>
  <c r="AF787"/>
  <c r="AF525"/>
  <c r="AE525"/>
  <c r="AF541"/>
  <c r="AE541"/>
  <c r="AF557"/>
  <c r="AE557"/>
  <c r="AF573"/>
  <c r="AE573"/>
  <c r="AF589"/>
  <c r="AE589"/>
  <c r="AF605"/>
  <c r="AE605"/>
  <c r="AF621"/>
  <c r="AE621"/>
  <c r="AF637"/>
  <c r="AE637"/>
  <c r="AE703"/>
  <c r="AF703"/>
  <c r="AE707"/>
  <c r="AF707"/>
  <c r="AF714"/>
  <c r="AE714"/>
  <c r="AF758"/>
  <c r="AE758"/>
  <c r="AF519"/>
  <c r="AE519"/>
  <c r="AF535"/>
  <c r="AE535"/>
  <c r="AF551"/>
  <c r="AE551"/>
  <c r="AF567"/>
  <c r="AE567"/>
  <c r="AF583"/>
  <c r="AE583"/>
  <c r="AF599"/>
  <c r="AE599"/>
  <c r="AF615"/>
  <c r="AE615"/>
  <c r="AF631"/>
  <c r="AE631"/>
  <c r="AF647"/>
  <c r="AE647"/>
  <c r="AF678"/>
  <c r="AE678"/>
  <c r="AE711"/>
  <c r="AF711"/>
  <c r="AF722"/>
  <c r="AE722"/>
  <c r="AE755"/>
  <c r="AF755"/>
  <c r="AE516"/>
  <c r="AF529"/>
  <c r="AE529"/>
  <c r="AE532"/>
  <c r="AF545"/>
  <c r="AE545"/>
  <c r="AE548"/>
  <c r="AF561"/>
  <c r="AE561"/>
  <c r="AE564"/>
  <c r="AF577"/>
  <c r="AE577"/>
  <c r="AE580"/>
  <c r="AF593"/>
  <c r="AE593"/>
  <c r="AE596"/>
  <c r="AF609"/>
  <c r="AE609"/>
  <c r="AE612"/>
  <c r="AF625"/>
  <c r="AE625"/>
  <c r="AE628"/>
  <c r="AF641"/>
  <c r="AE641"/>
  <c r="AE644"/>
  <c r="AF682"/>
  <c r="AE682"/>
  <c r="AF726"/>
  <c r="AE726"/>
  <c r="AF523"/>
  <c r="AE523"/>
  <c r="AF539"/>
  <c r="AE539"/>
  <c r="AF555"/>
  <c r="AE555"/>
  <c r="AF571"/>
  <c r="AE571"/>
  <c r="AF587"/>
  <c r="AE587"/>
  <c r="AF603"/>
  <c r="AE603"/>
  <c r="AF619"/>
  <c r="AE619"/>
  <c r="AF635"/>
  <c r="AE635"/>
  <c r="AE679"/>
  <c r="AF679"/>
  <c r="AF690"/>
  <c r="AE690"/>
  <c r="AE719"/>
  <c r="AF719"/>
  <c r="AE723"/>
  <c r="AF723"/>
  <c r="AF730"/>
  <c r="AE730"/>
  <c r="AF774"/>
  <c r="AE774"/>
  <c r="AF517"/>
  <c r="AE517"/>
  <c r="AE520"/>
  <c r="AF533"/>
  <c r="AE533"/>
  <c r="AE536"/>
  <c r="AF549"/>
  <c r="AE549"/>
  <c r="AE552"/>
  <c r="AF565"/>
  <c r="AE565"/>
  <c r="AE568"/>
  <c r="AF581"/>
  <c r="AE581"/>
  <c r="AE584"/>
  <c r="AF597"/>
  <c r="AE597"/>
  <c r="AE600"/>
  <c r="AF613"/>
  <c r="AE613"/>
  <c r="AE616"/>
  <c r="AF629"/>
  <c r="AE629"/>
  <c r="AE632"/>
  <c r="AF645"/>
  <c r="AE645"/>
  <c r="AE648"/>
  <c r="AF694"/>
  <c r="AE694"/>
  <c r="AE727"/>
  <c r="AF727"/>
  <c r="AF738"/>
  <c r="AE738"/>
  <c r="AE771"/>
  <c r="AF771"/>
  <c r="AF662"/>
  <c r="AE662"/>
  <c r="AF670"/>
  <c r="AE670"/>
  <c r="AF688"/>
  <c r="AE688"/>
  <c r="AF704"/>
  <c r="AE704"/>
  <c r="AF720"/>
  <c r="AE720"/>
  <c r="AF736"/>
  <c r="AE736"/>
  <c r="AF752"/>
  <c r="AE752"/>
  <c r="AF768"/>
  <c r="AE768"/>
  <c r="AF784"/>
  <c r="AE784"/>
  <c r="AE858"/>
  <c r="AF858"/>
  <c r="AE890"/>
  <c r="AF890"/>
  <c r="AE922"/>
  <c r="AF922"/>
  <c r="AF746"/>
  <c r="AE746"/>
  <c r="AF762"/>
  <c r="AE762"/>
  <c r="AF778"/>
  <c r="AE778"/>
  <c r="AF794"/>
  <c r="AE794"/>
  <c r="AF798"/>
  <c r="AE798"/>
  <c r="AF802"/>
  <c r="AE802"/>
  <c r="AF806"/>
  <c r="AE806"/>
  <c r="AF810"/>
  <c r="AE810"/>
  <c r="AF814"/>
  <c r="AE814"/>
  <c r="AF818"/>
  <c r="AE818"/>
  <c r="AF822"/>
  <c r="AE822"/>
  <c r="AF826"/>
  <c r="AE826"/>
  <c r="AF830"/>
  <c r="AE830"/>
  <c r="AF660"/>
  <c r="AE660"/>
  <c r="AF668"/>
  <c r="AE668"/>
  <c r="AF676"/>
  <c r="AE676"/>
  <c r="AF692"/>
  <c r="AE692"/>
  <c r="AF708"/>
  <c r="AE708"/>
  <c r="AF724"/>
  <c r="AE724"/>
  <c r="AF740"/>
  <c r="AE740"/>
  <c r="AF756"/>
  <c r="AE756"/>
  <c r="AF759"/>
  <c r="AF772"/>
  <c r="AE772"/>
  <c r="AF775"/>
  <c r="AF788"/>
  <c r="AE788"/>
  <c r="AF791"/>
  <c r="AE651"/>
  <c r="AE653"/>
  <c r="AE655"/>
  <c r="AE663"/>
  <c r="AE671"/>
  <c r="AF686"/>
  <c r="AE686"/>
  <c r="AF689"/>
  <c r="AF702"/>
  <c r="AE702"/>
  <c r="AF705"/>
  <c r="AF718"/>
  <c r="AE718"/>
  <c r="AF721"/>
  <c r="AF734"/>
  <c r="AE734"/>
  <c r="AF737"/>
  <c r="AF750"/>
  <c r="AE750"/>
  <c r="AF753"/>
  <c r="AF766"/>
  <c r="AE766"/>
  <c r="AF769"/>
  <c r="AF782"/>
  <c r="AE782"/>
  <c r="AF785"/>
  <c r="AF795"/>
  <c r="AE795"/>
  <c r="AF799"/>
  <c r="AE799"/>
  <c r="AF803"/>
  <c r="AE803"/>
  <c r="AF807"/>
  <c r="AE807"/>
  <c r="AF811"/>
  <c r="AE811"/>
  <c r="AF815"/>
  <c r="AE815"/>
  <c r="AF845"/>
  <c r="AE845"/>
  <c r="AF877"/>
  <c r="AE877"/>
  <c r="AF909"/>
  <c r="AE909"/>
  <c r="AF658"/>
  <c r="AE658"/>
  <c r="AF666"/>
  <c r="AE666"/>
  <c r="AF674"/>
  <c r="AE674"/>
  <c r="AF680"/>
  <c r="AE680"/>
  <c r="AF683"/>
  <c r="AF696"/>
  <c r="AE696"/>
  <c r="AF699"/>
  <c r="AF712"/>
  <c r="AE712"/>
  <c r="AF715"/>
  <c r="AF728"/>
  <c r="AE728"/>
  <c r="AF731"/>
  <c r="AF744"/>
  <c r="AE744"/>
  <c r="AF747"/>
  <c r="AF760"/>
  <c r="AE760"/>
  <c r="AF763"/>
  <c r="AF776"/>
  <c r="AE776"/>
  <c r="AF779"/>
  <c r="AF792"/>
  <c r="AE792"/>
  <c r="AE842"/>
  <c r="AF842"/>
  <c r="AE874"/>
  <c r="AF874"/>
  <c r="AE906"/>
  <c r="AF906"/>
  <c r="AF754"/>
  <c r="AE754"/>
  <c r="AF770"/>
  <c r="AE770"/>
  <c r="AF786"/>
  <c r="AE786"/>
  <c r="AF796"/>
  <c r="AE796"/>
  <c r="AF800"/>
  <c r="AE800"/>
  <c r="AF804"/>
  <c r="AE804"/>
  <c r="AF808"/>
  <c r="AE808"/>
  <c r="AF812"/>
  <c r="AE812"/>
  <c r="AF816"/>
  <c r="AE816"/>
  <c r="AF820"/>
  <c r="AE820"/>
  <c r="AF824"/>
  <c r="AE824"/>
  <c r="AF828"/>
  <c r="AE828"/>
  <c r="AF656"/>
  <c r="AE656"/>
  <c r="AF664"/>
  <c r="AE664"/>
  <c r="AF672"/>
  <c r="AE672"/>
  <c r="AF684"/>
  <c r="AE684"/>
  <c r="AF700"/>
  <c r="AE700"/>
  <c r="AF716"/>
  <c r="AE716"/>
  <c r="AF732"/>
  <c r="AE732"/>
  <c r="AF748"/>
  <c r="AE748"/>
  <c r="AF751"/>
  <c r="AF764"/>
  <c r="AE764"/>
  <c r="AF767"/>
  <c r="AF780"/>
  <c r="AE780"/>
  <c r="AF783"/>
  <c r="AF839"/>
  <c r="AE839"/>
  <c r="AF855"/>
  <c r="AE855"/>
  <c r="AF871"/>
  <c r="AE871"/>
  <c r="AF887"/>
  <c r="AE887"/>
  <c r="AF903"/>
  <c r="AE903"/>
  <c r="AF919"/>
  <c r="AE919"/>
  <c r="AF833"/>
  <c r="AE833"/>
  <c r="AF849"/>
  <c r="AE849"/>
  <c r="AF865"/>
  <c r="AE865"/>
  <c r="AF881"/>
  <c r="AE881"/>
  <c r="AF897"/>
  <c r="AE897"/>
  <c r="AF913"/>
  <c r="AE913"/>
  <c r="AF926"/>
  <c r="AE926"/>
  <c r="AF930"/>
  <c r="AE930"/>
  <c r="AF934"/>
  <c r="AE934"/>
  <c r="AF938"/>
  <c r="AE938"/>
  <c r="AF942"/>
  <c r="AE942"/>
  <c r="AF946"/>
  <c r="AE946"/>
  <c r="AF950"/>
  <c r="AE950"/>
  <c r="AF954"/>
  <c r="AE954"/>
  <c r="AF958"/>
  <c r="AE958"/>
  <c r="AF962"/>
  <c r="AE962"/>
  <c r="AF966"/>
  <c r="AE966"/>
  <c r="AF970"/>
  <c r="AE970"/>
  <c r="AF974"/>
  <c r="AE974"/>
  <c r="AF978"/>
  <c r="AE978"/>
  <c r="AF982"/>
  <c r="AE982"/>
  <c r="AF986"/>
  <c r="AE986"/>
  <c r="AF990"/>
  <c r="AE990"/>
  <c r="AF994"/>
  <c r="AE994"/>
  <c r="AF843"/>
  <c r="AE843"/>
  <c r="AF846"/>
  <c r="AF859"/>
  <c r="AE859"/>
  <c r="AF862"/>
  <c r="AF875"/>
  <c r="AE875"/>
  <c r="AF878"/>
  <c r="AF891"/>
  <c r="AE891"/>
  <c r="AF894"/>
  <c r="AF907"/>
  <c r="AE907"/>
  <c r="AF910"/>
  <c r="AF923"/>
  <c r="AE923"/>
  <c r="AF831"/>
  <c r="AE831"/>
  <c r="AF837"/>
  <c r="AE837"/>
  <c r="AF853"/>
  <c r="AE853"/>
  <c r="AF869"/>
  <c r="AE869"/>
  <c r="AF885"/>
  <c r="AE885"/>
  <c r="AF901"/>
  <c r="AE901"/>
  <c r="AF917"/>
  <c r="AE917"/>
  <c r="AF927"/>
  <c r="AE927"/>
  <c r="AF931"/>
  <c r="AE931"/>
  <c r="AF935"/>
  <c r="AE935"/>
  <c r="AF939"/>
  <c r="AE939"/>
  <c r="AF943"/>
  <c r="AE943"/>
  <c r="AF947"/>
  <c r="AE947"/>
  <c r="AF951"/>
  <c r="AE951"/>
  <c r="AF955"/>
  <c r="AE955"/>
  <c r="AF959"/>
  <c r="AE959"/>
  <c r="AF963"/>
  <c r="AE963"/>
  <c r="AF967"/>
  <c r="AE967"/>
  <c r="AF971"/>
  <c r="AE971"/>
  <c r="AF975"/>
  <c r="AE975"/>
  <c r="AF979"/>
  <c r="AE979"/>
  <c r="AF983"/>
  <c r="AE983"/>
  <c r="AF987"/>
  <c r="AE987"/>
  <c r="AF991"/>
  <c r="AE991"/>
  <c r="AF995"/>
  <c r="AE995"/>
  <c r="AF999"/>
  <c r="AE999"/>
  <c r="AE819"/>
  <c r="AE821"/>
  <c r="AE823"/>
  <c r="AE825"/>
  <c r="AE827"/>
  <c r="AE829"/>
  <c r="AF834"/>
  <c r="AF847"/>
  <c r="AE847"/>
  <c r="AF850"/>
  <c r="AF863"/>
  <c r="AE863"/>
  <c r="AF866"/>
  <c r="AF879"/>
  <c r="AE879"/>
  <c r="AF882"/>
  <c r="AF895"/>
  <c r="AE895"/>
  <c r="AF898"/>
  <c r="AF911"/>
  <c r="AE911"/>
  <c r="AF914"/>
  <c r="AF841"/>
  <c r="AE841"/>
  <c r="AF857"/>
  <c r="AE857"/>
  <c r="AF873"/>
  <c r="AE873"/>
  <c r="AF889"/>
  <c r="AE889"/>
  <c r="AF905"/>
  <c r="AE905"/>
  <c r="AF921"/>
  <c r="AE921"/>
  <c r="AF928"/>
  <c r="AE928"/>
  <c r="AF932"/>
  <c r="AE932"/>
  <c r="AF936"/>
  <c r="AE936"/>
  <c r="AF940"/>
  <c r="AE940"/>
  <c r="AF944"/>
  <c r="AE944"/>
  <c r="AF948"/>
  <c r="AE948"/>
  <c r="AF952"/>
  <c r="AE952"/>
  <c r="AF956"/>
  <c r="AE956"/>
  <c r="AF960"/>
  <c r="AE960"/>
  <c r="AF964"/>
  <c r="AE964"/>
  <c r="AF968"/>
  <c r="AE968"/>
  <c r="AF972"/>
  <c r="AE972"/>
  <c r="AF976"/>
  <c r="AE976"/>
  <c r="AF980"/>
  <c r="AE980"/>
  <c r="AF984"/>
  <c r="AE984"/>
  <c r="AF988"/>
  <c r="AE988"/>
  <c r="AF992"/>
  <c r="AE992"/>
  <c r="AF835"/>
  <c r="AE835"/>
  <c r="AF838"/>
  <c r="AF851"/>
  <c r="AE851"/>
  <c r="AF854"/>
  <c r="AF867"/>
  <c r="AE867"/>
  <c r="AF870"/>
  <c r="AF883"/>
  <c r="AE883"/>
  <c r="AF886"/>
  <c r="AF899"/>
  <c r="AE899"/>
  <c r="AF902"/>
  <c r="AF915"/>
  <c r="AE915"/>
  <c r="AF918"/>
  <c r="AE996"/>
  <c r="AE998"/>
  <c r="AE1000"/>
  <c r="R83"/>
  <c r="R107"/>
  <c r="R235"/>
  <c r="R299"/>
  <c r="S446"/>
  <c r="S767"/>
  <c r="R12"/>
  <c r="R20"/>
  <c r="R36"/>
  <c r="R57"/>
  <c r="S59"/>
  <c r="R65"/>
  <c r="R73"/>
  <c r="S75"/>
  <c r="R81"/>
  <c r="S83"/>
  <c r="R89"/>
  <c r="S99"/>
  <c r="R105"/>
  <c r="S115"/>
  <c r="S123"/>
  <c r="R129"/>
  <c r="S138"/>
  <c r="R156"/>
  <c r="S180"/>
  <c r="S202"/>
  <c r="S211"/>
  <c r="R211"/>
  <c r="R220"/>
  <c r="S244"/>
  <c r="R257"/>
  <c r="S266"/>
  <c r="S275"/>
  <c r="R275"/>
  <c r="R284"/>
  <c r="R382"/>
  <c r="S391"/>
  <c r="R391"/>
  <c r="R67"/>
  <c r="S20"/>
  <c r="S36"/>
  <c r="S52"/>
  <c r="S65"/>
  <c r="S73"/>
  <c r="S81"/>
  <c r="S121"/>
  <c r="S156"/>
  <c r="S174"/>
  <c r="S187"/>
  <c r="R187"/>
  <c r="S193"/>
  <c r="S220"/>
  <c r="S238"/>
  <c r="S251"/>
  <c r="R251"/>
  <c r="S257"/>
  <c r="S284"/>
  <c r="S302"/>
  <c r="R123"/>
  <c r="R6"/>
  <c r="R14"/>
  <c r="R22"/>
  <c r="R30"/>
  <c r="R38"/>
  <c r="R145"/>
  <c r="S163"/>
  <c r="R172"/>
  <c r="R174"/>
  <c r="S214"/>
  <c r="S227"/>
  <c r="R236"/>
  <c r="R238"/>
  <c r="R273"/>
  <c r="S282"/>
  <c r="S291"/>
  <c r="R300"/>
  <c r="R302"/>
  <c r="S414"/>
  <c r="S6"/>
  <c r="R11"/>
  <c r="S14"/>
  <c r="S22"/>
  <c r="S30"/>
  <c r="R35"/>
  <c r="S38"/>
  <c r="R60"/>
  <c r="R68"/>
  <c r="R76"/>
  <c r="R78"/>
  <c r="R84"/>
  <c r="R86"/>
  <c r="R100"/>
  <c r="R102"/>
  <c r="R108"/>
  <c r="R110"/>
  <c r="R124"/>
  <c r="R148"/>
  <c r="S172"/>
  <c r="S190"/>
  <c r="S194"/>
  <c r="S203"/>
  <c r="R203"/>
  <c r="R212"/>
  <c r="R214"/>
  <c r="S236"/>
  <c r="S273"/>
  <c r="R276"/>
  <c r="S300"/>
  <c r="R313"/>
  <c r="R318"/>
  <c r="R404"/>
  <c r="S415"/>
  <c r="R415"/>
  <c r="R75"/>
  <c r="S11"/>
  <c r="S27"/>
  <c r="S35"/>
  <c r="S43"/>
  <c r="S60"/>
  <c r="S68"/>
  <c r="S76"/>
  <c r="S84"/>
  <c r="S108"/>
  <c r="S124"/>
  <c r="S148"/>
  <c r="S166"/>
  <c r="S185"/>
  <c r="S212"/>
  <c r="S230"/>
  <c r="R243"/>
  <c r="S276"/>
  <c r="S294"/>
  <c r="R307"/>
  <c r="S313"/>
  <c r="R349"/>
  <c r="S364"/>
  <c r="S404"/>
  <c r="R59"/>
  <c r="R137"/>
  <c r="S142"/>
  <c r="S155"/>
  <c r="R164"/>
  <c r="R166"/>
  <c r="R230"/>
  <c r="R292"/>
  <c r="R314"/>
  <c r="S328"/>
  <c r="R332"/>
  <c r="S360"/>
  <c r="S131"/>
  <c r="R131"/>
  <c r="S182"/>
  <c r="S195"/>
  <c r="R195"/>
  <c r="S259"/>
  <c r="R259"/>
  <c r="R328"/>
  <c r="S367"/>
  <c r="R380"/>
  <c r="R422"/>
  <c r="R468"/>
  <c r="S468"/>
  <c r="R342"/>
  <c r="R350"/>
  <c r="R356"/>
  <c r="S383"/>
  <c r="S399"/>
  <c r="S423"/>
  <c r="R423"/>
  <c r="S342"/>
  <c r="S350"/>
  <c r="S356"/>
  <c r="S359"/>
  <c r="S365"/>
  <c r="R396"/>
  <c r="R399"/>
  <c r="S406"/>
  <c r="R406"/>
  <c r="S430"/>
  <c r="R430"/>
  <c r="R372"/>
  <c r="R381"/>
  <c r="R390"/>
  <c r="R420"/>
  <c r="R466"/>
  <c r="R357"/>
  <c r="S372"/>
  <c r="S375"/>
  <c r="S381"/>
  <c r="S390"/>
  <c r="R397"/>
  <c r="S420"/>
  <c r="S518"/>
  <c r="R518"/>
  <c r="S525"/>
  <c r="R532"/>
  <c r="S558"/>
  <c r="R565"/>
  <c r="S606"/>
  <c r="R606"/>
  <c r="S670"/>
  <c r="S678"/>
  <c r="S688"/>
  <c r="R688"/>
  <c r="S501"/>
  <c r="R525"/>
  <c r="S532"/>
  <c r="R546"/>
  <c r="S548"/>
  <c r="R703"/>
  <c r="S703"/>
  <c r="R440"/>
  <c r="S450"/>
  <c r="S533"/>
  <c r="S566"/>
  <c r="R413"/>
  <c r="R437"/>
  <c r="S456"/>
  <c r="S460"/>
  <c r="S477"/>
  <c r="R484"/>
  <c r="S509"/>
  <c r="S526"/>
  <c r="R526"/>
  <c r="R533"/>
  <c r="S582"/>
  <c r="R582"/>
  <c r="S630"/>
  <c r="R630"/>
  <c r="S470"/>
  <c r="R470"/>
  <c r="R482"/>
  <c r="R540"/>
  <c r="S482"/>
  <c r="S517"/>
  <c r="R534"/>
  <c r="R538"/>
  <c r="S540"/>
  <c r="R550"/>
  <c r="R453"/>
  <c r="R457"/>
  <c r="R461"/>
  <c r="R478"/>
  <c r="R517"/>
  <c r="S538"/>
  <c r="S541"/>
  <c r="S557"/>
  <c r="R557"/>
  <c r="S473"/>
  <c r="S529"/>
  <c r="S617"/>
  <c r="S649"/>
  <c r="R852"/>
  <c r="R985"/>
  <c r="S985"/>
  <c r="S711"/>
  <c r="R711"/>
  <c r="S719"/>
  <c r="S775"/>
  <c r="S791"/>
  <c r="R791"/>
  <c r="S799"/>
  <c r="R807"/>
  <c r="S815"/>
  <c r="R815"/>
  <c r="S823"/>
  <c r="R969"/>
  <c r="R581"/>
  <c r="R589"/>
  <c r="R605"/>
  <c r="R621"/>
  <c r="S698"/>
  <c r="S961"/>
  <c r="R554"/>
  <c r="S581"/>
  <c r="R586"/>
  <c r="S589"/>
  <c r="R602"/>
  <c r="S605"/>
  <c r="R610"/>
  <c r="S621"/>
  <c r="R626"/>
  <c r="S637"/>
  <c r="S669"/>
  <c r="S677"/>
  <c r="S693"/>
  <c r="R698"/>
  <c r="R705"/>
  <c r="R881"/>
  <c r="R953"/>
  <c r="S953"/>
  <c r="S706"/>
  <c r="S690"/>
  <c r="R706"/>
  <c r="S738"/>
  <c r="S754"/>
  <c r="S778"/>
  <c r="S802"/>
  <c r="S810"/>
  <c r="S826"/>
  <c r="R780"/>
  <c r="R796"/>
  <c r="R804"/>
  <c r="R812"/>
  <c r="R820"/>
  <c r="R833"/>
  <c r="S865"/>
  <c r="R907"/>
  <c r="S915"/>
  <c r="R915"/>
  <c r="R713"/>
  <c r="R721"/>
  <c r="R745"/>
  <c r="S859"/>
  <c r="R863"/>
  <c r="S872"/>
  <c r="R872"/>
  <c r="R884"/>
  <c r="S892"/>
  <c r="R897"/>
  <c r="S713"/>
  <c r="S753"/>
  <c r="R798"/>
  <c r="R814"/>
  <c r="R822"/>
  <c r="R830"/>
  <c r="S837"/>
  <c r="R839"/>
  <c r="R859"/>
  <c r="S889"/>
  <c r="S798"/>
  <c r="S822"/>
  <c r="S830"/>
  <c r="S839"/>
  <c r="R873"/>
  <c r="S880"/>
  <c r="R880"/>
  <c r="S955"/>
  <c r="R955"/>
  <c r="S963"/>
  <c r="R979"/>
  <c r="S987"/>
  <c r="S995"/>
  <c r="S908"/>
  <c r="S916"/>
  <c r="S924"/>
  <c r="S932"/>
  <c r="R993"/>
  <c r="R992"/>
  <c r="R1000"/>
  <c r="S896"/>
  <c r="S904"/>
  <c r="S912"/>
  <c r="S920"/>
  <c r="S936"/>
  <c r="S952"/>
  <c r="S984"/>
  <c r="S1000"/>
  <c r="S5"/>
  <c r="AS531" i="2"/>
  <c r="AT531" s="1"/>
  <c r="AS547"/>
  <c r="AT547" s="1"/>
  <c r="AQ225"/>
  <c r="AU717"/>
  <c r="AV717" s="1"/>
  <c r="AU888"/>
  <c r="AV888" s="1"/>
  <c r="AQ974"/>
  <c r="AS976"/>
  <c r="AT976" s="1"/>
  <c r="AQ982"/>
  <c r="AQ210"/>
  <c r="AQ714"/>
  <c r="AS826"/>
  <c r="AT826" s="1"/>
  <c r="AU399"/>
  <c r="AV399" s="1"/>
  <c r="AQ623"/>
  <c r="AU650"/>
  <c r="AV650" s="1"/>
  <c r="AU831"/>
  <c r="AV831" s="1"/>
  <c r="AS842"/>
  <c r="AT842" s="1"/>
  <c r="AU236"/>
  <c r="AV236" s="1"/>
  <c r="AQ292"/>
  <c r="AS778"/>
  <c r="AT778" s="1"/>
  <c r="AQ137"/>
  <c r="AQ217"/>
  <c r="AU289"/>
  <c r="AV289" s="1"/>
  <c r="AQ365"/>
  <c r="AS388"/>
  <c r="AT388" s="1"/>
  <c r="AQ394"/>
  <c r="AU962"/>
  <c r="AV962" s="1"/>
  <c r="AS151"/>
  <c r="AT151" s="1"/>
  <c r="AS226"/>
  <c r="AT226" s="1"/>
  <c r="AS375"/>
  <c r="AT375" s="1"/>
  <c r="AQ457"/>
  <c r="AS468"/>
  <c r="AT468" s="1"/>
  <c r="AQ610"/>
  <c r="AS821"/>
  <c r="AT821" s="1"/>
  <c r="AS837"/>
  <c r="AT837" s="1"/>
  <c r="AQ872"/>
  <c r="AQ978"/>
  <c r="AS22"/>
  <c r="AT22" s="1"/>
  <c r="AU44"/>
  <c r="AV44" s="1"/>
  <c r="AU68"/>
  <c r="AV68" s="1"/>
  <c r="AU129"/>
  <c r="AV129" s="1"/>
  <c r="AU172"/>
  <c r="AV172" s="1"/>
  <c r="AS247"/>
  <c r="AT247" s="1"/>
  <c r="AS399"/>
  <c r="AT399" s="1"/>
  <c r="AQ548"/>
  <c r="AQ639"/>
  <c r="AU751"/>
  <c r="AV751" s="1"/>
  <c r="AU826"/>
  <c r="AV826" s="1"/>
  <c r="AU626"/>
  <c r="AV626" s="1"/>
  <c r="AU925"/>
  <c r="AV925" s="1"/>
  <c r="AQ934"/>
  <c r="AS1000"/>
  <c r="AT1000" s="1"/>
  <c r="AU72"/>
  <c r="AV72" s="1"/>
  <c r="AU104"/>
  <c r="AV104" s="1"/>
  <c r="AU150"/>
  <c r="AV150" s="1"/>
  <c r="AU166"/>
  <c r="AV166" s="1"/>
  <c r="AU233"/>
  <c r="AV233" s="1"/>
  <c r="AS425"/>
  <c r="AT425" s="1"/>
  <c r="AS534"/>
  <c r="AT534" s="1"/>
  <c r="AU537"/>
  <c r="AV537" s="1"/>
  <c r="AU545"/>
  <c r="AV545" s="1"/>
  <c r="AS579"/>
  <c r="AT579" s="1"/>
  <c r="AQ730"/>
  <c r="AU775"/>
  <c r="AV775" s="1"/>
  <c r="AU828"/>
  <c r="AV828" s="1"/>
  <c r="AQ946"/>
  <c r="AU981"/>
  <c r="AV981" s="1"/>
  <c r="AU88"/>
  <c r="AV88" s="1"/>
  <c r="AU209"/>
  <c r="AV209" s="1"/>
  <c r="AS268"/>
  <c r="AT268" s="1"/>
  <c r="AQ421"/>
  <c r="AS429"/>
  <c r="AT429" s="1"/>
  <c r="AS467"/>
  <c r="AT467" s="1"/>
  <c r="AU477"/>
  <c r="AV477" s="1"/>
  <c r="AS501"/>
  <c r="AT501" s="1"/>
  <c r="AU525"/>
  <c r="AV525" s="1"/>
  <c r="AU557"/>
  <c r="AV557" s="1"/>
  <c r="AQ588"/>
  <c r="AS770"/>
  <c r="AT770" s="1"/>
  <c r="AU852"/>
  <c r="AV852" s="1"/>
  <c r="AS939"/>
  <c r="AT939" s="1"/>
  <c r="AU986"/>
  <c r="AV986" s="1"/>
  <c r="AS30"/>
  <c r="AT30" s="1"/>
  <c r="AU40"/>
  <c r="AV40" s="1"/>
  <c r="AU42"/>
  <c r="AV42" s="1"/>
  <c r="AS46"/>
  <c r="AT46" s="1"/>
  <c r="AU66"/>
  <c r="AV66" s="1"/>
  <c r="AU82"/>
  <c r="AV82" s="1"/>
  <c r="AU90"/>
  <c r="AV90" s="1"/>
  <c r="AU98"/>
  <c r="AV98" s="1"/>
  <c r="AQ125"/>
  <c r="AS225"/>
  <c r="AT225" s="1"/>
  <c r="AQ258"/>
  <c r="AU268"/>
  <c r="AV268" s="1"/>
  <c r="AS287"/>
  <c r="AT287" s="1"/>
  <c r="AS365"/>
  <c r="AT365" s="1"/>
  <c r="AS373"/>
  <c r="AT373" s="1"/>
  <c r="AU442"/>
  <c r="AV442" s="1"/>
  <c r="AS522"/>
  <c r="AT522" s="1"/>
  <c r="AU592"/>
  <c r="AV592" s="1"/>
  <c r="AS739"/>
  <c r="AT739" s="1"/>
  <c r="AU932"/>
  <c r="AV932" s="1"/>
  <c r="AU994"/>
  <c r="AV994" s="1"/>
  <c r="AS55"/>
  <c r="AT55" s="1"/>
  <c r="AS63"/>
  <c r="AT63" s="1"/>
  <c r="AS122"/>
  <c r="AT122" s="1"/>
  <c r="AQ259"/>
  <c r="AU262"/>
  <c r="AV262" s="1"/>
  <c r="AS364"/>
  <c r="AT364" s="1"/>
  <c r="AS396"/>
  <c r="AT396" s="1"/>
  <c r="AU589"/>
  <c r="AV589" s="1"/>
  <c r="AU624"/>
  <c r="AV624" s="1"/>
  <c r="AU718"/>
  <c r="AV718" s="1"/>
  <c r="AS816"/>
  <c r="AT816" s="1"/>
  <c r="AS123"/>
  <c r="AT123" s="1"/>
  <c r="AU212"/>
  <c r="AV212" s="1"/>
  <c r="AU253"/>
  <c r="AV253" s="1"/>
  <c r="AU273"/>
  <c r="AV273" s="1"/>
  <c r="AQ346"/>
  <c r="AU351"/>
  <c r="AV351" s="1"/>
  <c r="AU359"/>
  <c r="AV359" s="1"/>
  <c r="AQ368"/>
  <c r="AS390"/>
  <c r="AT390" s="1"/>
  <c r="AU443"/>
  <c r="AV443" s="1"/>
  <c r="AQ507"/>
  <c r="AU514"/>
  <c r="AV514" s="1"/>
  <c r="AU517"/>
  <c r="AV517" s="1"/>
  <c r="AU561"/>
  <c r="AV561" s="1"/>
  <c r="AS650"/>
  <c r="AT650" s="1"/>
  <c r="AU679"/>
  <c r="AV679" s="1"/>
  <c r="AU690"/>
  <c r="AV690" s="1"/>
  <c r="AQ725"/>
  <c r="AS731"/>
  <c r="AT731" s="1"/>
  <c r="AQ734"/>
  <c r="AS781"/>
  <c r="AT781" s="1"/>
  <c r="AS797"/>
  <c r="AT797" s="1"/>
  <c r="AU820"/>
  <c r="AV820" s="1"/>
  <c r="AU823"/>
  <c r="AV823" s="1"/>
  <c r="AQ880"/>
  <c r="AS938"/>
  <c r="AT938" s="1"/>
  <c r="AU970"/>
  <c r="AV970" s="1"/>
  <c r="AU978"/>
  <c r="AV978" s="1"/>
  <c r="AU9"/>
  <c r="AV9" s="1"/>
  <c r="AS12"/>
  <c r="AT12" s="1"/>
  <c r="AU29"/>
  <c r="AV29" s="1"/>
  <c r="AU31"/>
  <c r="AV31" s="1"/>
  <c r="AU37"/>
  <c r="AV37" s="1"/>
  <c r="AU39"/>
  <c r="AV39" s="1"/>
  <c r="AU53"/>
  <c r="AV53" s="1"/>
  <c r="AQ72"/>
  <c r="AS79"/>
  <c r="AT79" s="1"/>
  <c r="AS128"/>
  <c r="AT128" s="1"/>
  <c r="AS167"/>
  <c r="AT167" s="1"/>
  <c r="AS202"/>
  <c r="AT202" s="1"/>
  <c r="AU228"/>
  <c r="AV228" s="1"/>
  <c r="AQ248"/>
  <c r="AU278"/>
  <c r="AV278" s="1"/>
  <c r="AS324"/>
  <c r="AT324" s="1"/>
  <c r="AQ327"/>
  <c r="AS359"/>
  <c r="AT359" s="1"/>
  <c r="AU423"/>
  <c r="AV423" s="1"/>
  <c r="AU429"/>
  <c r="AV429" s="1"/>
  <c r="AS459"/>
  <c r="AT459" s="1"/>
  <c r="AQ481"/>
  <c r="AS492"/>
  <c r="AT492" s="1"/>
  <c r="AU544"/>
  <c r="AV544" s="1"/>
  <c r="AQ556"/>
  <c r="AS558"/>
  <c r="AT558" s="1"/>
  <c r="AS563"/>
  <c r="AT563" s="1"/>
  <c r="AQ624"/>
  <c r="AU661"/>
  <c r="AV661" s="1"/>
  <c r="AS684"/>
  <c r="AT684" s="1"/>
  <c r="AS692"/>
  <c r="AT692" s="1"/>
  <c r="AS738"/>
  <c r="AT738" s="1"/>
  <c r="AS741"/>
  <c r="AT741" s="1"/>
  <c r="AQ768"/>
  <c r="AS771"/>
  <c r="AT771" s="1"/>
  <c r="AU790"/>
  <c r="AV790" s="1"/>
  <c r="AS817"/>
  <c r="AT817" s="1"/>
  <c r="AU824"/>
  <c r="AV824" s="1"/>
  <c r="AQ864"/>
  <c r="AS992"/>
  <c r="AT992" s="1"/>
  <c r="AU997"/>
  <c r="AV997" s="1"/>
  <c r="AU20"/>
  <c r="AV20" s="1"/>
  <c r="AQ84"/>
  <c r="AU87"/>
  <c r="AV87" s="1"/>
  <c r="AS172"/>
  <c r="AT172" s="1"/>
  <c r="AU188"/>
  <c r="AV188" s="1"/>
  <c r="AU210"/>
  <c r="AV210" s="1"/>
  <c r="AQ233"/>
  <c r="AU255"/>
  <c r="AV255" s="1"/>
  <c r="AQ256"/>
  <c r="AQ269"/>
  <c r="AU313"/>
  <c r="AV313" s="1"/>
  <c r="AS314"/>
  <c r="AT314" s="1"/>
  <c r="AU345"/>
  <c r="AV345" s="1"/>
  <c r="AU361"/>
  <c r="AV361" s="1"/>
  <c r="AS404"/>
  <c r="AT404" s="1"/>
  <c r="AS410"/>
  <c r="AT410" s="1"/>
  <c r="AS424"/>
  <c r="AT424" s="1"/>
  <c r="AS508"/>
  <c r="AT508" s="1"/>
  <c r="AS516"/>
  <c r="AT516" s="1"/>
  <c r="AQ531"/>
  <c r="AS539"/>
  <c r="AT539" s="1"/>
  <c r="AS550"/>
  <c r="AT550" s="1"/>
  <c r="AQ552"/>
  <c r="AQ607"/>
  <c r="AU671"/>
  <c r="AV671" s="1"/>
  <c r="AS723"/>
  <c r="AT723" s="1"/>
  <c r="AU735"/>
  <c r="AV735" s="1"/>
  <c r="AQ803"/>
  <c r="AS809"/>
  <c r="AT809" s="1"/>
  <c r="AS838"/>
  <c r="AT838" s="1"/>
  <c r="AQ846"/>
  <c r="AS852"/>
  <c r="AT852" s="1"/>
  <c r="AS853"/>
  <c r="AT853" s="1"/>
  <c r="AU871"/>
  <c r="AV871" s="1"/>
  <c r="AQ899"/>
  <c r="AS912"/>
  <c r="AT912" s="1"/>
  <c r="AQ961"/>
  <c r="AQ970"/>
  <c r="AS994"/>
  <c r="AT994" s="1"/>
  <c r="AU1000"/>
  <c r="AV1000" s="1"/>
  <c r="AQ81"/>
  <c r="AS119"/>
  <c r="AT119" s="1"/>
  <c r="AU185"/>
  <c r="AV185" s="1"/>
  <c r="AS252"/>
  <c r="AT252" s="1"/>
  <c r="AQ274"/>
  <c r="AS435"/>
  <c r="AT435" s="1"/>
  <c r="AS469"/>
  <c r="AT469" s="1"/>
  <c r="AS499"/>
  <c r="AT499" s="1"/>
  <c r="AS525"/>
  <c r="AT525" s="1"/>
  <c r="AU569"/>
  <c r="AV569" s="1"/>
  <c r="AS593"/>
  <c r="AT593" s="1"/>
  <c r="AS651"/>
  <c r="AT651" s="1"/>
  <c r="AU662"/>
  <c r="AV662" s="1"/>
  <c r="AS728"/>
  <c r="AT728" s="1"/>
  <c r="AU732"/>
  <c r="AV732" s="1"/>
  <c r="AQ733"/>
  <c r="AQ738"/>
  <c r="AQ754"/>
  <c r="AS779"/>
  <c r="AT779" s="1"/>
  <c r="AQ835"/>
  <c r="AU868"/>
  <c r="AV868" s="1"/>
  <c r="AQ879"/>
  <c r="AU893"/>
  <c r="AV893" s="1"/>
  <c r="AQ923"/>
  <c r="AQ937"/>
  <c r="AS950"/>
  <c r="AT950" s="1"/>
  <c r="AU954"/>
  <c r="AV954" s="1"/>
  <c r="AS958"/>
  <c r="AT958" s="1"/>
  <c r="AS986"/>
  <c r="AT986" s="1"/>
  <c r="AS54"/>
  <c r="AT54" s="1"/>
  <c r="AQ78"/>
  <c r="AQ105"/>
  <c r="AU137"/>
  <c r="AV137" s="1"/>
  <c r="AS183"/>
  <c r="AT183" s="1"/>
  <c r="AU190"/>
  <c r="AV190" s="1"/>
  <c r="AQ202"/>
  <c r="AU206"/>
  <c r="AV206" s="1"/>
  <c r="AS207"/>
  <c r="AT207" s="1"/>
  <c r="AQ209"/>
  <c r="AQ224"/>
  <c r="AU249"/>
  <c r="AV249" s="1"/>
  <c r="AQ266"/>
  <c r="AS279"/>
  <c r="AT279" s="1"/>
  <c r="AU287"/>
  <c r="AV287" s="1"/>
  <c r="AQ307"/>
  <c r="AS310"/>
  <c r="AT310" s="1"/>
  <c r="AU329"/>
  <c r="AV329" s="1"/>
  <c r="AU334"/>
  <c r="AV334" s="1"/>
  <c r="AS372"/>
  <c r="AT372" s="1"/>
  <c r="AS477"/>
  <c r="AT477" s="1"/>
  <c r="AS480"/>
  <c r="AT480" s="1"/>
  <c r="AS496"/>
  <c r="AT496" s="1"/>
  <c r="AQ513"/>
  <c r="AQ545"/>
  <c r="AS557"/>
  <c r="AT557" s="1"/>
  <c r="AQ650"/>
  <c r="AU743"/>
  <c r="AV743" s="1"/>
  <c r="AU816"/>
  <c r="AV816" s="1"/>
  <c r="AS822"/>
  <c r="AT822" s="1"/>
  <c r="AS925"/>
  <c r="AT925" s="1"/>
  <c r="AU933"/>
  <c r="AV933" s="1"/>
  <c r="AS944"/>
  <c r="AT944" s="1"/>
  <c r="AS993"/>
  <c r="AT993" s="1"/>
  <c r="AS35"/>
  <c r="AT35" s="1"/>
  <c r="AS51"/>
  <c r="AT51" s="1"/>
  <c r="AU75"/>
  <c r="AV75" s="1"/>
  <c r="AQ110"/>
  <c r="AU141"/>
  <c r="AV141" s="1"/>
  <c r="AU153"/>
  <c r="AV153" s="1"/>
  <c r="AU179"/>
  <c r="AV179" s="1"/>
  <c r="AU217"/>
  <c r="AV217" s="1"/>
  <c r="AU316"/>
  <c r="AV316" s="1"/>
  <c r="AU420"/>
  <c r="AV420" s="1"/>
  <c r="AQ467"/>
  <c r="AQ529"/>
  <c r="AS573"/>
  <c r="AT573" s="1"/>
  <c r="AU582"/>
  <c r="AV582" s="1"/>
  <c r="AS587"/>
  <c r="AT587" s="1"/>
  <c r="AQ599"/>
  <c r="AU603"/>
  <c r="AV603" s="1"/>
  <c r="AU615"/>
  <c r="AV615" s="1"/>
  <c r="AU645"/>
  <c r="AV645" s="1"/>
  <c r="AQ740"/>
  <c r="AQ810"/>
  <c r="AQ828"/>
  <c r="AQ851"/>
  <c r="AQ886"/>
  <c r="AQ889"/>
  <c r="AS920"/>
  <c r="AT920" s="1"/>
  <c r="AQ931"/>
  <c r="AS936"/>
  <c r="AT936" s="1"/>
  <c r="AU941"/>
  <c r="AV941" s="1"/>
  <c r="AS952"/>
  <c r="AT952" s="1"/>
  <c r="AQ16"/>
  <c r="AS70"/>
  <c r="AT70" s="1"/>
  <c r="AU96"/>
  <c r="AV96" s="1"/>
  <c r="AS99"/>
  <c r="AT99" s="1"/>
  <c r="AQ104"/>
  <c r="AU115"/>
  <c r="AV115" s="1"/>
  <c r="AS135"/>
  <c r="AT135" s="1"/>
  <c r="AS143"/>
  <c r="AT143" s="1"/>
  <c r="AQ184"/>
  <c r="AQ291"/>
  <c r="AQ331"/>
  <c r="AU369"/>
  <c r="AV369" s="1"/>
  <c r="AS383"/>
  <c r="AT383" s="1"/>
  <c r="AU385"/>
  <c r="AV385" s="1"/>
  <c r="AQ403"/>
  <c r="AQ425"/>
  <c r="AQ430"/>
  <c r="AS457"/>
  <c r="AT457" s="1"/>
  <c r="AS498"/>
  <c r="AT498" s="1"/>
  <c r="AU501"/>
  <c r="AV501" s="1"/>
  <c r="AS507"/>
  <c r="AT507" s="1"/>
  <c r="AQ521"/>
  <c r="AS528"/>
  <c r="AT528" s="1"/>
  <c r="AQ589"/>
  <c r="AU620"/>
  <c r="AV620" s="1"/>
  <c r="AS625"/>
  <c r="AT625" s="1"/>
  <c r="AQ631"/>
  <c r="AS633"/>
  <c r="AT633" s="1"/>
  <c r="AU709"/>
  <c r="AV709" s="1"/>
  <c r="AQ710"/>
  <c r="AQ739"/>
  <c r="AS746"/>
  <c r="AT746" s="1"/>
  <c r="AQ784"/>
  <c r="AS786"/>
  <c r="AT786" s="1"/>
  <c r="AQ792"/>
  <c r="AS794"/>
  <c r="AT794" s="1"/>
  <c r="AQ827"/>
  <c r="AQ830"/>
  <c r="AU839"/>
  <c r="AV839" s="1"/>
  <c r="AU842"/>
  <c r="AV842" s="1"/>
  <c r="AU894"/>
  <c r="AV894" s="1"/>
  <c r="AQ897"/>
  <c r="AQ902"/>
  <c r="AQ906"/>
  <c r="AQ913"/>
  <c r="AQ914"/>
  <c r="AU949"/>
  <c r="AV949" s="1"/>
  <c r="AQ1000"/>
  <c r="AU118"/>
  <c r="AV118" s="1"/>
  <c r="AS118"/>
  <c r="AT118" s="1"/>
  <c r="AU8"/>
  <c r="AV8" s="1"/>
  <c r="AQ161"/>
  <c r="AU161"/>
  <c r="AV161" s="1"/>
  <c r="AU16"/>
  <c r="AV16" s="1"/>
  <c r="AQ46"/>
  <c r="AU24"/>
  <c r="AV24" s="1"/>
  <c r="AU32"/>
  <c r="AV32" s="1"/>
  <c r="AQ32"/>
  <c r="AQ40"/>
  <c r="AU18"/>
  <c r="AV18" s="1"/>
  <c r="AS32"/>
  <c r="AT32" s="1"/>
  <c r="AU48"/>
  <c r="AV48" s="1"/>
  <c r="AQ48"/>
  <c r="AU64"/>
  <c r="AV64" s="1"/>
  <c r="AU138"/>
  <c r="AV138" s="1"/>
  <c r="AQ138"/>
  <c r="AU13"/>
  <c r="AV13" s="1"/>
  <c r="AQ24"/>
  <c r="AS201"/>
  <c r="AT201" s="1"/>
  <c r="AQ201"/>
  <c r="AU43"/>
  <c r="AV43" s="1"/>
  <c r="AQ49"/>
  <c r="AS52"/>
  <c r="AT52" s="1"/>
  <c r="AU55"/>
  <c r="AV55" s="1"/>
  <c r="AU61"/>
  <c r="AV61" s="1"/>
  <c r="AU63"/>
  <c r="AV63" s="1"/>
  <c r="AU109"/>
  <c r="AV109" s="1"/>
  <c r="AS109"/>
  <c r="AT109" s="1"/>
  <c r="AS129"/>
  <c r="AT129" s="1"/>
  <c r="AQ146"/>
  <c r="AQ200"/>
  <c r="AQ343"/>
  <c r="AU343"/>
  <c r="AV343" s="1"/>
  <c r="AS577"/>
  <c r="AT577" s="1"/>
  <c r="AQ577"/>
  <c r="AQ6"/>
  <c r="AS14"/>
  <c r="AT14" s="1"/>
  <c r="AQ20"/>
  <c r="AU26"/>
  <c r="AV26" s="1"/>
  <c r="AU34"/>
  <c r="AV34" s="1"/>
  <c r="AS38"/>
  <c r="AT38" s="1"/>
  <c r="AS43"/>
  <c r="AT43" s="1"/>
  <c r="AU52"/>
  <c r="AV52" s="1"/>
  <c r="AQ57"/>
  <c r="AS60"/>
  <c r="AT60" s="1"/>
  <c r="AU80"/>
  <c r="AV80" s="1"/>
  <c r="AU91"/>
  <c r="AV91" s="1"/>
  <c r="AS108"/>
  <c r="AT108" s="1"/>
  <c r="AS113"/>
  <c r="AT113" s="1"/>
  <c r="AS20"/>
  <c r="AT20" s="1"/>
  <c r="AU23"/>
  <c r="AV23" s="1"/>
  <c r="AS31"/>
  <c r="AT31" s="1"/>
  <c r="AS39"/>
  <c r="AT39" s="1"/>
  <c r="AS40"/>
  <c r="AT40" s="1"/>
  <c r="AU51"/>
  <c r="AV51" s="1"/>
  <c r="AQ54"/>
  <c r="AQ68"/>
  <c r="AU99"/>
  <c r="AV99" s="1"/>
  <c r="AS116"/>
  <c r="AT116" s="1"/>
  <c r="AU145"/>
  <c r="AV145" s="1"/>
  <c r="AQ145"/>
  <c r="AU154"/>
  <c r="AV154" s="1"/>
  <c r="AQ154"/>
  <c r="AU157"/>
  <c r="AV157" s="1"/>
  <c r="AQ177"/>
  <c r="AU177"/>
  <c r="AV177" s="1"/>
  <c r="AQ185"/>
  <c r="AQ186"/>
  <c r="AS186"/>
  <c r="AT186" s="1"/>
  <c r="AS188"/>
  <c r="AT188" s="1"/>
  <c r="AS232"/>
  <c r="AT232" s="1"/>
  <c r="AQ232"/>
  <c r="AS266"/>
  <c r="AT266" s="1"/>
  <c r="AU294"/>
  <c r="AV294" s="1"/>
  <c r="AS294"/>
  <c r="AT294" s="1"/>
  <c r="AU300"/>
  <c r="AV300" s="1"/>
  <c r="AU308"/>
  <c r="AV308" s="1"/>
  <c r="AS330"/>
  <c r="AT330" s="1"/>
  <c r="AQ330"/>
  <c r="AS88"/>
  <c r="AT88" s="1"/>
  <c r="AQ88"/>
  <c r="AS96"/>
  <c r="AT96" s="1"/>
  <c r="AQ96"/>
  <c r="AU107"/>
  <c r="AV107" s="1"/>
  <c r="AQ107"/>
  <c r="AS8"/>
  <c r="AT8" s="1"/>
  <c r="AQ22"/>
  <c r="AQ25"/>
  <c r="AS28"/>
  <c r="AT28" s="1"/>
  <c r="AU56"/>
  <c r="AV56" s="1"/>
  <c r="AU67"/>
  <c r="AV67" s="1"/>
  <c r="AQ70"/>
  <c r="AU77"/>
  <c r="AV77" s="1"/>
  <c r="AU79"/>
  <c r="AV79" s="1"/>
  <c r="AS87"/>
  <c r="AT87" s="1"/>
  <c r="AS94"/>
  <c r="AT94" s="1"/>
  <c r="AQ188"/>
  <c r="AU204"/>
  <c r="AV204" s="1"/>
  <c r="AS204"/>
  <c r="AT204" s="1"/>
  <c r="AS312"/>
  <c r="AT312" s="1"/>
  <c r="AQ312"/>
  <c r="AU10"/>
  <c r="AV10" s="1"/>
  <c r="AQ17"/>
  <c r="AS19"/>
  <c r="AT19" s="1"/>
  <c r="AU28"/>
  <c r="AV28" s="1"/>
  <c r="AQ30"/>
  <c r="AS56"/>
  <c r="AT56" s="1"/>
  <c r="AQ64"/>
  <c r="AS67"/>
  <c r="AT67" s="1"/>
  <c r="AQ73"/>
  <c r="AU85"/>
  <c r="AV85" s="1"/>
  <c r="AU121"/>
  <c r="AV121" s="1"/>
  <c r="AQ121"/>
  <c r="AQ136"/>
  <c r="AS139"/>
  <c r="AT139" s="1"/>
  <c r="AS162"/>
  <c r="AT162" s="1"/>
  <c r="AU174"/>
  <c r="AV174" s="1"/>
  <c r="AS185"/>
  <c r="AT185" s="1"/>
  <c r="AU201"/>
  <c r="AV201" s="1"/>
  <c r="AQ237"/>
  <c r="AQ243"/>
  <c r="AU7"/>
  <c r="AV7" s="1"/>
  <c r="AU15"/>
  <c r="AV15" s="1"/>
  <c r="AS16"/>
  <c r="AT16" s="1"/>
  <c r="AQ21"/>
  <c r="AU58"/>
  <c r="AV58" s="1"/>
  <c r="AS62"/>
  <c r="AT62" s="1"/>
  <c r="AS64"/>
  <c r="AT64" s="1"/>
  <c r="AU76"/>
  <c r="AV76" s="1"/>
  <c r="AS114"/>
  <c r="AT114" s="1"/>
  <c r="AU126"/>
  <c r="AV126" s="1"/>
  <c r="AS170"/>
  <c r="AT170" s="1"/>
  <c r="AS231"/>
  <c r="AT231" s="1"/>
  <c r="AU366"/>
  <c r="AV366" s="1"/>
  <c r="AS581"/>
  <c r="AT581" s="1"/>
  <c r="AQ581"/>
  <c r="AS102"/>
  <c r="AT102" s="1"/>
  <c r="AU113"/>
  <c r="AV113" s="1"/>
  <c r="AU116"/>
  <c r="AV116" s="1"/>
  <c r="AS191"/>
  <c r="AT191" s="1"/>
  <c r="AQ193"/>
  <c r="AU193"/>
  <c r="AV193" s="1"/>
  <c r="AU238"/>
  <c r="AV238" s="1"/>
  <c r="AS238"/>
  <c r="AT238" s="1"/>
  <c r="AQ362"/>
  <c r="AU404"/>
  <c r="AV404" s="1"/>
  <c r="AQ434"/>
  <c r="AU434"/>
  <c r="AV434" s="1"/>
  <c r="AS445"/>
  <c r="AT445" s="1"/>
  <c r="AU445"/>
  <c r="AV445" s="1"/>
  <c r="AU461"/>
  <c r="AV461" s="1"/>
  <c r="AQ8"/>
  <c r="AQ12"/>
  <c r="AQ33"/>
  <c r="AS36"/>
  <c r="AT36" s="1"/>
  <c r="AS47"/>
  <c r="AT47" s="1"/>
  <c r="AS48"/>
  <c r="AT48" s="1"/>
  <c r="AQ56"/>
  <c r="AU60"/>
  <c r="AV60" s="1"/>
  <c r="AQ62"/>
  <c r="AS75"/>
  <c r="AT75" s="1"/>
  <c r="AU83"/>
  <c r="AV83" s="1"/>
  <c r="AU84"/>
  <c r="AV84" s="1"/>
  <c r="AQ86"/>
  <c r="AU93"/>
  <c r="AV93" s="1"/>
  <c r="AU95"/>
  <c r="AV95" s="1"/>
  <c r="AU106"/>
  <c r="AV106" s="1"/>
  <c r="AQ112"/>
  <c r="AS147"/>
  <c r="AT147" s="1"/>
  <c r="AQ153"/>
  <c r="AS154"/>
  <c r="AT154" s="1"/>
  <c r="AS159"/>
  <c r="AT159" s="1"/>
  <c r="AU169"/>
  <c r="AV169" s="1"/>
  <c r="AQ169"/>
  <c r="AU178"/>
  <c r="AV178" s="1"/>
  <c r="AQ178"/>
  <c r="AQ208"/>
  <c r="AU225"/>
  <c r="AV225" s="1"/>
  <c r="AU241"/>
  <c r="AV241" s="1"/>
  <c r="AQ247"/>
  <c r="AS253"/>
  <c r="AT253" s="1"/>
  <c r="AS261"/>
  <c r="AT261" s="1"/>
  <c r="AQ309"/>
  <c r="AS309"/>
  <c r="AT309" s="1"/>
  <c r="AQ322"/>
  <c r="AS358"/>
  <c r="AT358" s="1"/>
  <c r="AS382"/>
  <c r="AT382" s="1"/>
  <c r="AU431"/>
  <c r="AV431" s="1"/>
  <c r="AQ431"/>
  <c r="AQ447"/>
  <c r="AS461"/>
  <c r="AT461" s="1"/>
  <c r="AU11"/>
  <c r="AV11" s="1"/>
  <c r="AQ14"/>
  <c r="AS27"/>
  <c r="AT27" s="1"/>
  <c r="AU36"/>
  <c r="AV36" s="1"/>
  <c r="AQ38"/>
  <c r="AU45"/>
  <c r="AV45" s="1"/>
  <c r="AU47"/>
  <c r="AV47" s="1"/>
  <c r="AU50"/>
  <c r="AV50" s="1"/>
  <c r="AU59"/>
  <c r="AV59" s="1"/>
  <c r="AQ65"/>
  <c r="AU69"/>
  <c r="AV69" s="1"/>
  <c r="AS71"/>
  <c r="AT71" s="1"/>
  <c r="AS72"/>
  <c r="AT72" s="1"/>
  <c r="AQ80"/>
  <c r="AU101"/>
  <c r="AV101" s="1"/>
  <c r="AU103"/>
  <c r="AV103" s="1"/>
  <c r="AS124"/>
  <c r="AT124" s="1"/>
  <c r="AS127"/>
  <c r="AT127" s="1"/>
  <c r="AQ140"/>
  <c r="AS169"/>
  <c r="AT169" s="1"/>
  <c r="AQ183"/>
  <c r="AS193"/>
  <c r="AT193" s="1"/>
  <c r="AU198"/>
  <c r="AV198" s="1"/>
  <c r="AS199"/>
  <c r="AT199" s="1"/>
  <c r="AQ218"/>
  <c r="AS218"/>
  <c r="AT218" s="1"/>
  <c r="AQ234"/>
  <c r="AS234"/>
  <c r="AT234" s="1"/>
  <c r="AS280"/>
  <c r="AT280" s="1"/>
  <c r="AQ280"/>
  <c r="AU284"/>
  <c r="AV284" s="1"/>
  <c r="AS311"/>
  <c r="AT311" s="1"/>
  <c r="AQ347"/>
  <c r="AQ355"/>
  <c r="AQ363"/>
  <c r="AS523"/>
  <c r="AT523" s="1"/>
  <c r="AS576"/>
  <c r="AT576" s="1"/>
  <c r="AU576"/>
  <c r="AV576" s="1"/>
  <c r="AS582"/>
  <c r="AT582" s="1"/>
  <c r="AS6"/>
  <c r="AT6" s="1"/>
  <c r="AQ9"/>
  <c r="AS11"/>
  <c r="AT11" s="1"/>
  <c r="AU17"/>
  <c r="AV17" s="1"/>
  <c r="AU21"/>
  <c r="AV21" s="1"/>
  <c r="AS23"/>
  <c r="AT23" s="1"/>
  <c r="AS24"/>
  <c r="AT24" s="1"/>
  <c r="AU35"/>
  <c r="AV35" s="1"/>
  <c r="AQ41"/>
  <c r="AS44"/>
  <c r="AT44" s="1"/>
  <c r="AS59"/>
  <c r="AT59" s="1"/>
  <c r="AS68"/>
  <c r="AT68" s="1"/>
  <c r="AU71"/>
  <c r="AV71" s="1"/>
  <c r="AU74"/>
  <c r="AV74" s="1"/>
  <c r="AS80"/>
  <c r="AT80" s="1"/>
  <c r="AU92"/>
  <c r="AV92" s="1"/>
  <c r="AQ94"/>
  <c r="AQ97"/>
  <c r="AS100"/>
  <c r="AT100" s="1"/>
  <c r="AS111"/>
  <c r="AT111" s="1"/>
  <c r="AQ117"/>
  <c r="AU120"/>
  <c r="AV120" s="1"/>
  <c r="AS137"/>
  <c r="AT137" s="1"/>
  <c r="AU142"/>
  <c r="AV142" s="1"/>
  <c r="AU158"/>
  <c r="AV158" s="1"/>
  <c r="AS178"/>
  <c r="AT178" s="1"/>
  <c r="AU195"/>
  <c r="AV195" s="1"/>
  <c r="AS228"/>
  <c r="AT228" s="1"/>
  <c r="AS237"/>
  <c r="AT237" s="1"/>
  <c r="AU257"/>
  <c r="AV257" s="1"/>
  <c r="AQ260"/>
  <c r="AS349"/>
  <c r="AT349" s="1"/>
  <c r="AU350"/>
  <c r="AV350" s="1"/>
  <c r="AQ376"/>
  <c r="AU407"/>
  <c r="AV407" s="1"/>
  <c r="AS407"/>
  <c r="AT407" s="1"/>
  <c r="AQ493"/>
  <c r="AS493"/>
  <c r="AT493" s="1"/>
  <c r="AU493"/>
  <c r="AV493" s="1"/>
  <c r="AU573"/>
  <c r="AV573" s="1"/>
  <c r="AS584"/>
  <c r="AT584" s="1"/>
  <c r="AU584"/>
  <c r="AV584" s="1"/>
  <c r="AU321"/>
  <c r="AV321" s="1"/>
  <c r="AS332"/>
  <c r="AT332" s="1"/>
  <c r="AQ349"/>
  <c r="AQ381"/>
  <c r="AS485"/>
  <c r="AT485" s="1"/>
  <c r="AU485"/>
  <c r="AV485" s="1"/>
  <c r="AS509"/>
  <c r="AT509" s="1"/>
  <c r="AQ614"/>
  <c r="AS614"/>
  <c r="AT614" s="1"/>
  <c r="AQ764"/>
  <c r="AU764"/>
  <c r="AV764" s="1"/>
  <c r="AS78"/>
  <c r="AT78" s="1"/>
  <c r="AS83"/>
  <c r="AT83" s="1"/>
  <c r="AQ89"/>
  <c r="AS92"/>
  <c r="AT92" s="1"/>
  <c r="AS103"/>
  <c r="AT103" s="1"/>
  <c r="AS104"/>
  <c r="AT104" s="1"/>
  <c r="AS107"/>
  <c r="AT107" s="1"/>
  <c r="AQ124"/>
  <c r="AU130"/>
  <c r="AV130" s="1"/>
  <c r="AU133"/>
  <c r="AV133" s="1"/>
  <c r="AS146"/>
  <c r="AT146" s="1"/>
  <c r="AQ152"/>
  <c r="AS153"/>
  <c r="AT153" s="1"/>
  <c r="AQ156"/>
  <c r="AS161"/>
  <c r="AT161" s="1"/>
  <c r="AU180"/>
  <c r="AV180" s="1"/>
  <c r="AU186"/>
  <c r="AV186" s="1"/>
  <c r="AQ216"/>
  <c r="AS217"/>
  <c r="AT217" s="1"/>
  <c r="AS220"/>
  <c r="AT220" s="1"/>
  <c r="AQ221"/>
  <c r="AQ223"/>
  <c r="AS223"/>
  <c r="AT223" s="1"/>
  <c r="AS242"/>
  <c r="AT242" s="1"/>
  <c r="AU285"/>
  <c r="AV285" s="1"/>
  <c r="AS306"/>
  <c r="AT306" s="1"/>
  <c r="AQ306"/>
  <c r="AS322"/>
  <c r="AT322" s="1"/>
  <c r="AU330"/>
  <c r="AV330" s="1"/>
  <c r="AU367"/>
  <c r="AV367" s="1"/>
  <c r="AS367"/>
  <c r="AT367" s="1"/>
  <c r="AU370"/>
  <c r="AV370" s="1"/>
  <c r="AU374"/>
  <c r="AV374" s="1"/>
  <c r="AS380"/>
  <c r="AT380" s="1"/>
  <c r="AU389"/>
  <c r="AV389" s="1"/>
  <c r="AS412"/>
  <c r="AT412" s="1"/>
  <c r="AS465"/>
  <c r="AT465" s="1"/>
  <c r="AQ473"/>
  <c r="AS488"/>
  <c r="AT488" s="1"/>
  <c r="AS517"/>
  <c r="AT517" s="1"/>
  <c r="AQ533"/>
  <c r="AU533"/>
  <c r="AV533" s="1"/>
  <c r="AS533"/>
  <c r="AT533" s="1"/>
  <c r="AU607"/>
  <c r="AV607" s="1"/>
  <c r="AQ643"/>
  <c r="AS138"/>
  <c r="AT138" s="1"/>
  <c r="AQ144"/>
  <c r="AS145"/>
  <c r="AT145" s="1"/>
  <c r="AQ148"/>
  <c r="AQ159"/>
  <c r="AU164"/>
  <c r="AV164" s="1"/>
  <c r="AS175"/>
  <c r="AT175" s="1"/>
  <c r="AS189"/>
  <c r="AT189" s="1"/>
  <c r="AQ192"/>
  <c r="AS194"/>
  <c r="AT194" s="1"/>
  <c r="AQ199"/>
  <c r="AS209"/>
  <c r="AT209" s="1"/>
  <c r="AS210"/>
  <c r="AT210" s="1"/>
  <c r="AS212"/>
  <c r="AT212" s="1"/>
  <c r="AQ213"/>
  <c r="AQ215"/>
  <c r="AS215"/>
  <c r="AT215" s="1"/>
  <c r="AU219"/>
  <c r="AV219" s="1"/>
  <c r="AQ242"/>
  <c r="AQ251"/>
  <c r="AQ282"/>
  <c r="AQ315"/>
  <c r="AU318"/>
  <c r="AV318" s="1"/>
  <c r="AU319"/>
  <c r="AV319" s="1"/>
  <c r="AS357"/>
  <c r="AT357" s="1"/>
  <c r="AQ379"/>
  <c r="AQ383"/>
  <c r="AU394"/>
  <c r="AV394" s="1"/>
  <c r="AU398"/>
  <c r="AV398" s="1"/>
  <c r="AU401"/>
  <c r="AV401" s="1"/>
  <c r="AQ402"/>
  <c r="AQ423"/>
  <c r="AS423"/>
  <c r="AT423" s="1"/>
  <c r="AU446"/>
  <c r="AV446" s="1"/>
  <c r="AU449"/>
  <c r="AV449" s="1"/>
  <c r="AS449"/>
  <c r="AT449" s="1"/>
  <c r="AU453"/>
  <c r="AV453" s="1"/>
  <c r="AU458"/>
  <c r="AV458" s="1"/>
  <c r="AQ459"/>
  <c r="AQ461"/>
  <c r="AS464"/>
  <c r="AT464" s="1"/>
  <c r="AS476"/>
  <c r="AT476" s="1"/>
  <c r="AS497"/>
  <c r="AT497" s="1"/>
  <c r="AS514"/>
  <c r="AT514" s="1"/>
  <c r="AU534"/>
  <c r="AV534" s="1"/>
  <c r="AU536"/>
  <c r="AV536" s="1"/>
  <c r="AQ544"/>
  <c r="AU568"/>
  <c r="AV568" s="1"/>
  <c r="AU581"/>
  <c r="AV581" s="1"/>
  <c r="AU585"/>
  <c r="AV585" s="1"/>
  <c r="AQ600"/>
  <c r="AS609"/>
  <c r="AT609" s="1"/>
  <c r="AU640"/>
  <c r="AV640" s="1"/>
  <c r="AQ787"/>
  <c r="AS973"/>
  <c r="AT973" s="1"/>
  <c r="AU973"/>
  <c r="AV973" s="1"/>
  <c r="AS76"/>
  <c r="AT76" s="1"/>
  <c r="AS86"/>
  <c r="AT86" s="1"/>
  <c r="AS91"/>
  <c r="AT91" s="1"/>
  <c r="AQ100"/>
  <c r="AQ102"/>
  <c r="AS110"/>
  <c r="AT110" s="1"/>
  <c r="AU112"/>
  <c r="AV112" s="1"/>
  <c r="AS115"/>
  <c r="AT115" s="1"/>
  <c r="AQ118"/>
  <c r="AQ132"/>
  <c r="AS155"/>
  <c r="AT155" s="1"/>
  <c r="AQ165"/>
  <c r="AQ170"/>
  <c r="AQ176"/>
  <c r="AQ204"/>
  <c r="AQ268"/>
  <c r="AU276"/>
  <c r="AV276" s="1"/>
  <c r="AU279"/>
  <c r="AV279" s="1"/>
  <c r="AS284"/>
  <c r="AT284" s="1"/>
  <c r="AU290"/>
  <c r="AV290" s="1"/>
  <c r="AS300"/>
  <c r="AT300" s="1"/>
  <c r="AQ301"/>
  <c r="AU305"/>
  <c r="AV305" s="1"/>
  <c r="AS340"/>
  <c r="AT340" s="1"/>
  <c r="AS343"/>
  <c r="AT343" s="1"/>
  <c r="AU346"/>
  <c r="AV346" s="1"/>
  <c r="AQ370"/>
  <c r="AU380"/>
  <c r="AV380" s="1"/>
  <c r="AS394"/>
  <c r="AT394" s="1"/>
  <c r="AQ407"/>
  <c r="AU433"/>
  <c r="AV433" s="1"/>
  <c r="AS466"/>
  <c r="AT466" s="1"/>
  <c r="AU467"/>
  <c r="AV467" s="1"/>
  <c r="AS478"/>
  <c r="AT478" s="1"/>
  <c r="AU484"/>
  <c r="AV484" s="1"/>
  <c r="AU490"/>
  <c r="AV490" s="1"/>
  <c r="AQ491"/>
  <c r="AS505"/>
  <c r="AT505" s="1"/>
  <c r="AU541"/>
  <c r="AV541" s="1"/>
  <c r="AU549"/>
  <c r="AV549" s="1"/>
  <c r="AU565"/>
  <c r="AV565" s="1"/>
  <c r="AS567"/>
  <c r="AT567" s="1"/>
  <c r="AU580"/>
  <c r="AV580" s="1"/>
  <c r="AQ594"/>
  <c r="AU608"/>
  <c r="AV608" s="1"/>
  <c r="AU619"/>
  <c r="AV619" s="1"/>
  <c r="AS767"/>
  <c r="AT767" s="1"/>
  <c r="AU767"/>
  <c r="AV767" s="1"/>
  <c r="AU409"/>
  <c r="AV409" s="1"/>
  <c r="AQ418"/>
  <c r="AU430"/>
  <c r="AV430" s="1"/>
  <c r="AS448"/>
  <c r="AT448" s="1"/>
  <c r="AQ469"/>
  <c r="AU469"/>
  <c r="AV469" s="1"/>
  <c r="AQ478"/>
  <c r="AU481"/>
  <c r="AV481" s="1"/>
  <c r="AS484"/>
  <c r="AT484" s="1"/>
  <c r="AU523"/>
  <c r="AV523" s="1"/>
  <c r="AS532"/>
  <c r="AT532" s="1"/>
  <c r="AQ573"/>
  <c r="AU577"/>
  <c r="AV577" s="1"/>
  <c r="AQ590"/>
  <c r="AS590"/>
  <c r="AT590" s="1"/>
  <c r="AU611"/>
  <c r="AV611" s="1"/>
  <c r="AU729"/>
  <c r="AV729" s="1"/>
  <c r="AQ729"/>
  <c r="AQ922"/>
  <c r="AU922"/>
  <c r="AV922" s="1"/>
  <c r="AS84"/>
  <c r="AT84" s="1"/>
  <c r="AS95"/>
  <c r="AT95" s="1"/>
  <c r="AU108"/>
  <c r="AV108" s="1"/>
  <c r="AU117"/>
  <c r="AV117" s="1"/>
  <c r="AQ120"/>
  <c r="AU125"/>
  <c r="AV125" s="1"/>
  <c r="AS131"/>
  <c r="AT131" s="1"/>
  <c r="AU146"/>
  <c r="AV146" s="1"/>
  <c r="AU149"/>
  <c r="AV149" s="1"/>
  <c r="AQ160"/>
  <c r="AQ172"/>
  <c r="AS177"/>
  <c r="AT177" s="1"/>
  <c r="AU196"/>
  <c r="AV196" s="1"/>
  <c r="AS213"/>
  <c r="AT213" s="1"/>
  <c r="AU220"/>
  <c r="AV220" s="1"/>
  <c r="AQ231"/>
  <c r="AS233"/>
  <c r="AT233" s="1"/>
  <c r="AS236"/>
  <c r="AT236" s="1"/>
  <c r="AS241"/>
  <c r="AT241" s="1"/>
  <c r="AU260"/>
  <c r="AV260" s="1"/>
  <c r="AS269"/>
  <c r="AT269" s="1"/>
  <c r="AS277"/>
  <c r="AT277" s="1"/>
  <c r="AQ299"/>
  <c r="AQ300"/>
  <c r="AQ304"/>
  <c r="AU310"/>
  <c r="AV310" s="1"/>
  <c r="AS316"/>
  <c r="AT316" s="1"/>
  <c r="AQ319"/>
  <c r="AU342"/>
  <c r="AV342" s="1"/>
  <c r="AS348"/>
  <c r="AT348" s="1"/>
  <c r="AU365"/>
  <c r="AV365" s="1"/>
  <c r="AU390"/>
  <c r="AV390" s="1"/>
  <c r="AS405"/>
  <c r="AT405" s="1"/>
  <c r="AQ405"/>
  <c r="AU412"/>
  <c r="AV412" s="1"/>
  <c r="AQ412"/>
  <c r="AQ420"/>
  <c r="AS444"/>
  <c r="AT444" s="1"/>
  <c r="AQ465"/>
  <c r="AU468"/>
  <c r="AV468" s="1"/>
  <c r="AS481"/>
  <c r="AT481" s="1"/>
  <c r="AS506"/>
  <c r="AT506" s="1"/>
  <c r="AS515"/>
  <c r="AT515" s="1"/>
  <c r="AU522"/>
  <c r="AV522" s="1"/>
  <c r="AQ523"/>
  <c r="AQ525"/>
  <c r="AS551"/>
  <c r="AT551" s="1"/>
  <c r="AQ557"/>
  <c r="AQ564"/>
  <c r="AS598"/>
  <c r="AT598" s="1"/>
  <c r="AS613"/>
  <c r="AT613" s="1"/>
  <c r="AS624"/>
  <c r="AT624" s="1"/>
  <c r="AQ630"/>
  <c r="AS630"/>
  <c r="AT630" s="1"/>
  <c r="AU631"/>
  <c r="AV631" s="1"/>
  <c r="AU756"/>
  <c r="AV756" s="1"/>
  <c r="AQ756"/>
  <c r="AU377"/>
  <c r="AV377" s="1"/>
  <c r="AQ378"/>
  <c r="AU388"/>
  <c r="AV388" s="1"/>
  <c r="AQ411"/>
  <c r="AS413"/>
  <c r="AT413" s="1"/>
  <c r="AS418"/>
  <c r="AT418" s="1"/>
  <c r="AQ435"/>
  <c r="AS440"/>
  <c r="AT440" s="1"/>
  <c r="AU455"/>
  <c r="AV455" s="1"/>
  <c r="AQ455"/>
  <c r="AU500"/>
  <c r="AV500" s="1"/>
  <c r="AQ509"/>
  <c r="AU509"/>
  <c r="AV509" s="1"/>
  <c r="AU524"/>
  <c r="AV524" s="1"/>
  <c r="AQ561"/>
  <c r="AQ615"/>
  <c r="AS693"/>
  <c r="AT693" s="1"/>
  <c r="AQ693"/>
  <c r="AS744"/>
  <c r="AT744" s="1"/>
  <c r="AU744"/>
  <c r="AV744" s="1"/>
  <c r="AQ744"/>
  <c r="AS538"/>
  <c r="AT538" s="1"/>
  <c r="AQ550"/>
  <c r="AQ580"/>
  <c r="AQ585"/>
  <c r="AU588"/>
  <c r="AV588" s="1"/>
  <c r="AS589"/>
  <c r="AT589" s="1"/>
  <c r="AU590"/>
  <c r="AV590" s="1"/>
  <c r="AS592"/>
  <c r="AT592" s="1"/>
  <c r="AU594"/>
  <c r="AV594" s="1"/>
  <c r="AS603"/>
  <c r="AT603" s="1"/>
  <c r="AQ604"/>
  <c r="AS621"/>
  <c r="AT621" s="1"/>
  <c r="AU627"/>
  <c r="AV627" s="1"/>
  <c r="AU635"/>
  <c r="AV635" s="1"/>
  <c r="AS641"/>
  <c r="AT641" s="1"/>
  <c r="AS683"/>
  <c r="AT683" s="1"/>
  <c r="AU714"/>
  <c r="AV714" s="1"/>
  <c r="AQ717"/>
  <c r="AQ755"/>
  <c r="AS772"/>
  <c r="AT772" s="1"/>
  <c r="AU772"/>
  <c r="AV772" s="1"/>
  <c r="AQ772"/>
  <c r="AU808"/>
  <c r="AV808" s="1"/>
  <c r="AQ819"/>
  <c r="AQ822"/>
  <c r="AU836"/>
  <c r="AV836" s="1"/>
  <c r="AQ836"/>
  <c r="AQ838"/>
  <c r="AS848"/>
  <c r="AT848" s="1"/>
  <c r="AU850"/>
  <c r="AV850" s="1"/>
  <c r="AQ856"/>
  <c r="AU876"/>
  <c r="AV876" s="1"/>
  <c r="AU921"/>
  <c r="AV921" s="1"/>
  <c r="AQ921"/>
  <c r="AU930"/>
  <c r="AV930" s="1"/>
  <c r="AQ930"/>
  <c r="AQ969"/>
  <c r="AQ998"/>
  <c r="AQ229"/>
  <c r="AU232"/>
  <c r="AV232" s="1"/>
  <c r="AS248"/>
  <c r="AT248" s="1"/>
  <c r="AS255"/>
  <c r="AT255" s="1"/>
  <c r="AS258"/>
  <c r="AT258" s="1"/>
  <c r="AU304"/>
  <c r="AV304" s="1"/>
  <c r="AU311"/>
  <c r="AV311" s="1"/>
  <c r="AQ323"/>
  <c r="AU326"/>
  <c r="AV326" s="1"/>
  <c r="AU327"/>
  <c r="AV327" s="1"/>
  <c r="AS333"/>
  <c r="AT333" s="1"/>
  <c r="AS350"/>
  <c r="AT350" s="1"/>
  <c r="AU353"/>
  <c r="AV353" s="1"/>
  <c r="AQ375"/>
  <c r="AU382"/>
  <c r="AV382" s="1"/>
  <c r="AQ386"/>
  <c r="AS397"/>
  <c r="AT397" s="1"/>
  <c r="AU406"/>
  <c r="AV406" s="1"/>
  <c r="AU425"/>
  <c r="AV425" s="1"/>
  <c r="AS460"/>
  <c r="AT460" s="1"/>
  <c r="AU474"/>
  <c r="AV474" s="1"/>
  <c r="AU498"/>
  <c r="AV498" s="1"/>
  <c r="AS504"/>
  <c r="AT504" s="1"/>
  <c r="AQ515"/>
  <c r="AQ517"/>
  <c r="AS520"/>
  <c r="AT520" s="1"/>
  <c r="AS524"/>
  <c r="AT524" s="1"/>
  <c r="AS530"/>
  <c r="AT530" s="1"/>
  <c r="AU531"/>
  <c r="AV531" s="1"/>
  <c r="AU540"/>
  <c r="AV540" s="1"/>
  <c r="AU553"/>
  <c r="AV553" s="1"/>
  <c r="AS555"/>
  <c r="AT555" s="1"/>
  <c r="AQ579"/>
  <c r="AQ587"/>
  <c r="AS608"/>
  <c r="AT608" s="1"/>
  <c r="AU616"/>
  <c r="AV616" s="1"/>
  <c r="AS653"/>
  <c r="AT653" s="1"/>
  <c r="AQ669"/>
  <c r="AU703"/>
  <c r="AV703" s="1"/>
  <c r="AS704"/>
  <c r="AT704" s="1"/>
  <c r="AU740"/>
  <c r="AV740" s="1"/>
  <c r="AU783"/>
  <c r="AV783" s="1"/>
  <c r="AS789"/>
  <c r="AT789" s="1"/>
  <c r="AQ795"/>
  <c r="AS805"/>
  <c r="AT805" s="1"/>
  <c r="AS829"/>
  <c r="AT829" s="1"/>
  <c r="AU884"/>
  <c r="AV884" s="1"/>
  <c r="AS890"/>
  <c r="AT890" s="1"/>
  <c r="AQ890"/>
  <c r="AU890"/>
  <c r="AV890" s="1"/>
  <c r="AQ904"/>
  <c r="AS904"/>
  <c r="AT904" s="1"/>
  <c r="AU938"/>
  <c r="AV938" s="1"/>
  <c r="AS960"/>
  <c r="AT960" s="1"/>
  <c r="AU963"/>
  <c r="AV963" s="1"/>
  <c r="AS963"/>
  <c r="AT963" s="1"/>
  <c r="AU980"/>
  <c r="AV980" s="1"/>
  <c r="AU252"/>
  <c r="AV252" s="1"/>
  <c r="AS274"/>
  <c r="AT274" s="1"/>
  <c r="AS278"/>
  <c r="AT278" s="1"/>
  <c r="AU281"/>
  <c r="AV281" s="1"/>
  <c r="AS282"/>
  <c r="AT282" s="1"/>
  <c r="AS285"/>
  <c r="AT285" s="1"/>
  <c r="AQ288"/>
  <c r="AS292"/>
  <c r="AT292" s="1"/>
  <c r="AS298"/>
  <c r="AT298" s="1"/>
  <c r="AQ324"/>
  <c r="AS351"/>
  <c r="AT351" s="1"/>
  <c r="AU362"/>
  <c r="AV362" s="1"/>
  <c r="AQ371"/>
  <c r="AS374"/>
  <c r="AT374" s="1"/>
  <c r="AU383"/>
  <c r="AV383" s="1"/>
  <c r="AQ395"/>
  <c r="AS421"/>
  <c r="AT421" s="1"/>
  <c r="AQ429"/>
  <c r="AS436"/>
  <c r="AT436" s="1"/>
  <c r="AU437"/>
  <c r="AV437" s="1"/>
  <c r="AS442"/>
  <c r="AT442" s="1"/>
  <c r="AQ499"/>
  <c r="AQ501"/>
  <c r="AU530"/>
  <c r="AV530" s="1"/>
  <c r="AS535"/>
  <c r="AT535" s="1"/>
  <c r="AQ537"/>
  <c r="AS543"/>
  <c r="AT543" s="1"/>
  <c r="AS549"/>
  <c r="AT549" s="1"/>
  <c r="AQ553"/>
  <c r="AS566"/>
  <c r="AT566" s="1"/>
  <c r="AQ568"/>
  <c r="AS569"/>
  <c r="AT569" s="1"/>
  <c r="AS571"/>
  <c r="AT571" s="1"/>
  <c r="AU591"/>
  <c r="AV591" s="1"/>
  <c r="AU595"/>
  <c r="AV595" s="1"/>
  <c r="AQ598"/>
  <c r="AU623"/>
  <c r="AV623" s="1"/>
  <c r="AS629"/>
  <c r="AT629" s="1"/>
  <c r="AS663"/>
  <c r="AT663" s="1"/>
  <c r="AQ705"/>
  <c r="AU705"/>
  <c r="AV705" s="1"/>
  <c r="AS708"/>
  <c r="AT708" s="1"/>
  <c r="AU725"/>
  <c r="AV725" s="1"/>
  <c r="AU780"/>
  <c r="AV780" s="1"/>
  <c r="AS791"/>
  <c r="AT791" s="1"/>
  <c r="AU791"/>
  <c r="AV791" s="1"/>
  <c r="AQ802"/>
  <c r="AS802"/>
  <c r="AT802" s="1"/>
  <c r="AS930"/>
  <c r="AT930" s="1"/>
  <c r="AU946"/>
  <c r="AV946" s="1"/>
  <c r="AU957"/>
  <c r="AV957" s="1"/>
  <c r="AU989"/>
  <c r="AV989" s="1"/>
  <c r="AS601"/>
  <c r="AT601" s="1"/>
  <c r="AQ608"/>
  <c r="AU610"/>
  <c r="AV610" s="1"/>
  <c r="AS616"/>
  <c r="AT616" s="1"/>
  <c r="AS619"/>
  <c r="AT619" s="1"/>
  <c r="AS622"/>
  <c r="AT622" s="1"/>
  <c r="AQ640"/>
  <c r="AS640"/>
  <c r="AT640" s="1"/>
  <c r="AU643"/>
  <c r="AV643" s="1"/>
  <c r="AU682"/>
  <c r="AV682" s="1"/>
  <c r="AQ685"/>
  <c r="AS730"/>
  <c r="AT730" s="1"/>
  <c r="AU730"/>
  <c r="AV730" s="1"/>
  <c r="AU788"/>
  <c r="AV788" s="1"/>
  <c r="AU799"/>
  <c r="AV799" s="1"/>
  <c r="AQ807"/>
  <c r="AS818"/>
  <c r="AT818" s="1"/>
  <c r="AQ824"/>
  <c r="AU834"/>
  <c r="AV834" s="1"/>
  <c r="AS840"/>
  <c r="AT840" s="1"/>
  <c r="AQ840"/>
  <c r="AS855"/>
  <c r="AT855" s="1"/>
  <c r="AU855"/>
  <c r="AV855" s="1"/>
  <c r="AU863"/>
  <c r="AV863" s="1"/>
  <c r="AS892"/>
  <c r="AT892" s="1"/>
  <c r="AU909"/>
  <c r="AV909" s="1"/>
  <c r="AS923"/>
  <c r="AT923" s="1"/>
  <c r="AS968"/>
  <c r="AT968" s="1"/>
  <c r="AS971"/>
  <c r="AT971" s="1"/>
  <c r="AU239"/>
  <c r="AV239" s="1"/>
  <c r="AS243"/>
  <c r="AT243" s="1"/>
  <c r="AQ267"/>
  <c r="AU271"/>
  <c r="AV271" s="1"/>
  <c r="AQ277"/>
  <c r="AQ283"/>
  <c r="AQ284"/>
  <c r="AU303"/>
  <c r="AV303" s="1"/>
  <c r="AU335"/>
  <c r="AV335" s="1"/>
  <c r="AS338"/>
  <c r="AT338" s="1"/>
  <c r="AU358"/>
  <c r="AV358" s="1"/>
  <c r="AS362"/>
  <c r="AT362" s="1"/>
  <c r="AU364"/>
  <c r="AV364" s="1"/>
  <c r="AQ367"/>
  <c r="AU372"/>
  <c r="AV372" s="1"/>
  <c r="AU375"/>
  <c r="AV375" s="1"/>
  <c r="AS381"/>
  <c r="AT381" s="1"/>
  <c r="AS389"/>
  <c r="AT389" s="1"/>
  <c r="AU396"/>
  <c r="AV396" s="1"/>
  <c r="AQ419"/>
  <c r="AS420"/>
  <c r="AT420" s="1"/>
  <c r="AU427"/>
  <c r="AV427" s="1"/>
  <c r="AS431"/>
  <c r="AT431" s="1"/>
  <c r="AU466"/>
  <c r="AV466" s="1"/>
  <c r="AS472"/>
  <c r="AT472" s="1"/>
  <c r="AS473"/>
  <c r="AT473" s="1"/>
  <c r="AU482"/>
  <c r="AV482" s="1"/>
  <c r="AQ483"/>
  <c r="AQ485"/>
  <c r="AS500"/>
  <c r="AT500" s="1"/>
  <c r="AU506"/>
  <c r="AV506" s="1"/>
  <c r="AS512"/>
  <c r="AT512" s="1"/>
  <c r="AS542"/>
  <c r="AT542" s="1"/>
  <c r="AS544"/>
  <c r="AT544" s="1"/>
  <c r="AQ549"/>
  <c r="AQ582"/>
  <c r="AS594"/>
  <c r="AT594" s="1"/>
  <c r="AS597"/>
  <c r="AT597" s="1"/>
  <c r="AU599"/>
  <c r="AV599" s="1"/>
  <c r="AS605"/>
  <c r="AT605" s="1"/>
  <c r="AQ620"/>
  <c r="AU685"/>
  <c r="AV685" s="1"/>
  <c r="AU702"/>
  <c r="AV702" s="1"/>
  <c r="AU759"/>
  <c r="AV759" s="1"/>
  <c r="AU796"/>
  <c r="AV796" s="1"/>
  <c r="AU804"/>
  <c r="AV804" s="1"/>
  <c r="AU860"/>
  <c r="AV860" s="1"/>
  <c r="AU898"/>
  <c r="AV898" s="1"/>
  <c r="AU906"/>
  <c r="AV906" s="1"/>
  <c r="AU917"/>
  <c r="AV917" s="1"/>
  <c r="AQ945"/>
  <c r="AQ954"/>
  <c r="AQ962"/>
  <c r="AQ977"/>
  <c r="AS637"/>
  <c r="AT637" s="1"/>
  <c r="AS642"/>
  <c r="AT642" s="1"/>
  <c r="AQ642"/>
  <c r="AQ712"/>
  <c r="AS712"/>
  <c r="AT712" s="1"/>
  <c r="AU733"/>
  <c r="AV733" s="1"/>
  <c r="AS748"/>
  <c r="AT748" s="1"/>
  <c r="AU748"/>
  <c r="AV748" s="1"/>
  <c r="AQ748"/>
  <c r="AQ779"/>
  <c r="AU914"/>
  <c r="AV914" s="1"/>
  <c r="AQ929"/>
  <c r="AQ953"/>
  <c r="AU965"/>
  <c r="AV965" s="1"/>
  <c r="AS984"/>
  <c r="AT984" s="1"/>
  <c r="AU657"/>
  <c r="AV657" s="1"/>
  <c r="AQ665"/>
  <c r="AU666"/>
  <c r="AV666" s="1"/>
  <c r="AS685"/>
  <c r="AT685" s="1"/>
  <c r="AS690"/>
  <c r="AT690" s="1"/>
  <c r="AS695"/>
  <c r="AT695" s="1"/>
  <c r="AQ697"/>
  <c r="AS709"/>
  <c r="AT709" s="1"/>
  <c r="AS720"/>
  <c r="AT720" s="1"/>
  <c r="AS722"/>
  <c r="AT722" s="1"/>
  <c r="AQ726"/>
  <c r="AQ728"/>
  <c r="AS733"/>
  <c r="AT733" s="1"/>
  <c r="AU749"/>
  <c r="AV749" s="1"/>
  <c r="AS751"/>
  <c r="AT751" s="1"/>
  <c r="AS762"/>
  <c r="AT762" s="1"/>
  <c r="AS764"/>
  <c r="AT764" s="1"/>
  <c r="AS773"/>
  <c r="AT773" s="1"/>
  <c r="AS775"/>
  <c r="AT775" s="1"/>
  <c r="AQ776"/>
  <c r="AQ778"/>
  <c r="AQ786"/>
  <c r="AQ794"/>
  <c r="AQ811"/>
  <c r="AS813"/>
  <c r="AT813" s="1"/>
  <c r="AS828"/>
  <c r="AT828" s="1"/>
  <c r="AS839"/>
  <c r="AT839" s="1"/>
  <c r="AS850"/>
  <c r="AT850" s="1"/>
  <c r="AU865"/>
  <c r="AV865" s="1"/>
  <c r="AS868"/>
  <c r="AT868" s="1"/>
  <c r="AS869"/>
  <c r="AT869" s="1"/>
  <c r="AS879"/>
  <c r="AT879" s="1"/>
  <c r="AU886"/>
  <c r="AV886" s="1"/>
  <c r="AS926"/>
  <c r="AT926" s="1"/>
  <c r="AS931"/>
  <c r="AT931" s="1"/>
  <c r="AS933"/>
  <c r="AT933" s="1"/>
  <c r="AQ936"/>
  <c r="AQ955"/>
  <c r="AU972"/>
  <c r="AV972" s="1"/>
  <c r="AU976"/>
  <c r="AV976" s="1"/>
  <c r="AQ981"/>
  <c r="AQ992"/>
  <c r="AQ651"/>
  <c r="AS671"/>
  <c r="AT671" s="1"/>
  <c r="AQ675"/>
  <c r="AQ690"/>
  <c r="AU694"/>
  <c r="AV694" s="1"/>
  <c r="AS699"/>
  <c r="AT699" s="1"/>
  <c r="AS740"/>
  <c r="AT740" s="1"/>
  <c r="AQ747"/>
  <c r="AQ796"/>
  <c r="AQ804"/>
  <c r="AQ820"/>
  <c r="AQ826"/>
  <c r="AS847"/>
  <c r="AT847" s="1"/>
  <c r="AQ855"/>
  <c r="AS871"/>
  <c r="AT871" s="1"/>
  <c r="AS922"/>
  <c r="AT922" s="1"/>
  <c r="AQ928"/>
  <c r="AQ938"/>
  <c r="AQ963"/>
  <c r="AS966"/>
  <c r="AT966" s="1"/>
  <c r="AS970"/>
  <c r="AT970" s="1"/>
  <c r="AS978"/>
  <c r="AT978" s="1"/>
  <c r="AQ984"/>
  <c r="AU993"/>
  <c r="AV993" s="1"/>
  <c r="AQ994"/>
  <c r="AS995"/>
  <c r="AT995" s="1"/>
  <c r="AU639"/>
  <c r="AV639" s="1"/>
  <c r="AS647"/>
  <c r="AT647" s="1"/>
  <c r="AS672"/>
  <c r="AT672" s="1"/>
  <c r="AS676"/>
  <c r="AT676" s="1"/>
  <c r="AS701"/>
  <c r="AT701" s="1"/>
  <c r="AQ702"/>
  <c r="AS714"/>
  <c r="AT714" s="1"/>
  <c r="AS718"/>
  <c r="AT718" s="1"/>
  <c r="AQ721"/>
  <c r="AQ722"/>
  <c r="AS725"/>
  <c r="AT725" s="1"/>
  <c r="AS754"/>
  <c r="AT754" s="1"/>
  <c r="AQ780"/>
  <c r="AQ788"/>
  <c r="AS808"/>
  <c r="AT808" s="1"/>
  <c r="AS834"/>
  <c r="AT834" s="1"/>
  <c r="AQ850"/>
  <c r="AQ871"/>
  <c r="AQ888"/>
  <c r="AQ893"/>
  <c r="AQ894"/>
  <c r="AS900"/>
  <c r="AT900" s="1"/>
  <c r="AU950"/>
  <c r="AV950" s="1"/>
  <c r="AS953"/>
  <c r="AT953" s="1"/>
  <c r="AQ971"/>
  <c r="AQ990"/>
  <c r="AQ993"/>
  <c r="AS997"/>
  <c r="AT997" s="1"/>
  <c r="AQ762"/>
  <c r="AS820"/>
  <c r="AT820" s="1"/>
  <c r="AS836"/>
  <c r="AT836" s="1"/>
  <c r="AQ842"/>
  <c r="AU857"/>
  <c r="AV857" s="1"/>
  <c r="AS860"/>
  <c r="AT860" s="1"/>
  <c r="AS861"/>
  <c r="AT861" s="1"/>
  <c r="AU881"/>
  <c r="AV881" s="1"/>
  <c r="AS884"/>
  <c r="AT884" s="1"/>
  <c r="AS885"/>
  <c r="AT885" s="1"/>
  <c r="AS893"/>
  <c r="AT893" s="1"/>
  <c r="AU905"/>
  <c r="AV905" s="1"/>
  <c r="AQ907"/>
  <c r="AU913"/>
  <c r="AV913" s="1"/>
  <c r="AU945"/>
  <c r="AV945" s="1"/>
  <c r="AQ947"/>
  <c r="AQ950"/>
  <c r="AS955"/>
  <c r="AT955" s="1"/>
  <c r="AS957"/>
  <c r="AT957" s="1"/>
  <c r="AQ958"/>
  <c r="AU966"/>
  <c r="AV966" s="1"/>
  <c r="AU974"/>
  <c r="AV974" s="1"/>
  <c r="AQ976"/>
  <c r="AU985"/>
  <c r="AV985" s="1"/>
  <c r="AQ986"/>
  <c r="AS987"/>
  <c r="AT987" s="1"/>
  <c r="AU992"/>
  <c r="AV992" s="1"/>
  <c r="AQ997"/>
  <c r="AS632"/>
  <c r="AT632" s="1"/>
  <c r="AS635"/>
  <c r="AT635" s="1"/>
  <c r="AQ636"/>
  <c r="AU644"/>
  <c r="AV644" s="1"/>
  <c r="AS648"/>
  <c r="AT648" s="1"/>
  <c r="AQ682"/>
  <c r="AQ723"/>
  <c r="AU734"/>
  <c r="AV734" s="1"/>
  <c r="AS756"/>
  <c r="AT756" s="1"/>
  <c r="AS759"/>
  <c r="AT759" s="1"/>
  <c r="AQ760"/>
  <c r="AS796"/>
  <c r="AT796" s="1"/>
  <c r="AS799"/>
  <c r="AT799" s="1"/>
  <c r="AU803"/>
  <c r="AV803" s="1"/>
  <c r="AS804"/>
  <c r="AT804" s="1"/>
  <c r="AQ808"/>
  <c r="AQ812"/>
  <c r="AQ816"/>
  <c r="AS830"/>
  <c r="AT830" s="1"/>
  <c r="AU832"/>
  <c r="AV832" s="1"/>
  <c r="AU858"/>
  <c r="AV858" s="1"/>
  <c r="AS863"/>
  <c r="AT863" s="1"/>
  <c r="AU901"/>
  <c r="AV901" s="1"/>
  <c r="AS902"/>
  <c r="AT902" s="1"/>
  <c r="AQ905"/>
  <c r="AS906"/>
  <c r="AT906" s="1"/>
  <c r="AQ909"/>
  <c r="AU910"/>
  <c r="AV910" s="1"/>
  <c r="AS914"/>
  <c r="AT914" s="1"/>
  <c r="AS915"/>
  <c r="AT915" s="1"/>
  <c r="AS917"/>
  <c r="AT917" s="1"/>
  <c r="AU937"/>
  <c r="AV937" s="1"/>
  <c r="AQ942"/>
  <c r="AS947"/>
  <c r="AT947" s="1"/>
  <c r="AS949"/>
  <c r="AT949" s="1"/>
  <c r="AQ952"/>
  <c r="AS954"/>
  <c r="AT954" s="1"/>
  <c r="AU956"/>
  <c r="AV956" s="1"/>
  <c r="AQ960"/>
  <c r="AS962"/>
  <c r="AT962" s="1"/>
  <c r="AS965"/>
  <c r="AT965" s="1"/>
  <c r="AQ966"/>
  <c r="AU969"/>
  <c r="AV969" s="1"/>
  <c r="AQ985"/>
  <c r="AU988"/>
  <c r="AV988" s="1"/>
  <c r="AS989"/>
  <c r="AT989" s="1"/>
  <c r="AU646"/>
  <c r="AV646" s="1"/>
  <c r="AQ653"/>
  <c r="AU658"/>
  <c r="AV658" s="1"/>
  <c r="AU660"/>
  <c r="AV660" s="1"/>
  <c r="AQ670"/>
  <c r="AU673"/>
  <c r="AV673" s="1"/>
  <c r="AQ686"/>
  <c r="AU691"/>
  <c r="AV691" s="1"/>
  <c r="AU693"/>
  <c r="AV693" s="1"/>
  <c r="AU697"/>
  <c r="AV697" s="1"/>
  <c r="AS700"/>
  <c r="AT700" s="1"/>
  <c r="AS717"/>
  <c r="AT717" s="1"/>
  <c r="AU722"/>
  <c r="AV722" s="1"/>
  <c r="AQ749"/>
  <c r="AU779"/>
  <c r="AV779" s="1"/>
  <c r="AS780"/>
  <c r="AT780" s="1"/>
  <c r="AQ781"/>
  <c r="AS783"/>
  <c r="AT783" s="1"/>
  <c r="AU784"/>
  <c r="AV784" s="1"/>
  <c r="AS788"/>
  <c r="AT788" s="1"/>
  <c r="AQ800"/>
  <c r="AS803"/>
  <c r="AT803" s="1"/>
  <c r="AQ805"/>
  <c r="AQ818"/>
  <c r="AQ834"/>
  <c r="AU844"/>
  <c r="AV844" s="1"/>
  <c r="AS845"/>
  <c r="AT845" s="1"/>
  <c r="AQ853"/>
  <c r="AQ863"/>
  <c r="AU873"/>
  <c r="AV873" s="1"/>
  <c r="AS876"/>
  <c r="AT876" s="1"/>
  <c r="AS877"/>
  <c r="AT877" s="1"/>
  <c r="AU879"/>
  <c r="AV879" s="1"/>
  <c r="AS909"/>
  <c r="AT909" s="1"/>
  <c r="AU923"/>
  <c r="AV923" s="1"/>
  <c r="AS928"/>
  <c r="AT928" s="1"/>
  <c r="AU934"/>
  <c r="AV934" s="1"/>
  <c r="AS941"/>
  <c r="AT941" s="1"/>
  <c r="AQ944"/>
  <c r="AS946"/>
  <c r="AT946" s="1"/>
  <c r="AU948"/>
  <c r="AV948" s="1"/>
  <c r="AQ968"/>
  <c r="AS979"/>
  <c r="AT979" s="1"/>
  <c r="AS981"/>
  <c r="AT981" s="1"/>
  <c r="AU984"/>
  <c r="AV984" s="1"/>
  <c r="AQ989"/>
  <c r="AU5"/>
  <c r="AV5" s="1"/>
  <c r="AS5"/>
  <c r="AT5" s="1"/>
  <c r="AQ28"/>
  <c r="AQ60"/>
  <c r="AQ76"/>
  <c r="AQ92"/>
  <c r="AU356"/>
  <c r="AV356" s="1"/>
  <c r="AQ356"/>
  <c r="AS356"/>
  <c r="AT356" s="1"/>
  <c r="AQ7"/>
  <c r="AS9"/>
  <c r="AT9" s="1"/>
  <c r="AQ15"/>
  <c r="AS17"/>
  <c r="AT17" s="1"/>
  <c r="AU19"/>
  <c r="AV19" s="1"/>
  <c r="AQ23"/>
  <c r="AS25"/>
  <c r="AT25" s="1"/>
  <c r="AU27"/>
  <c r="AV27" s="1"/>
  <c r="AQ31"/>
  <c r="AS33"/>
  <c r="AT33" s="1"/>
  <c r="AQ39"/>
  <c r="AS41"/>
  <c r="AT41" s="1"/>
  <c r="AQ47"/>
  <c r="AS49"/>
  <c r="AT49" s="1"/>
  <c r="AQ55"/>
  <c r="AS57"/>
  <c r="AT57" s="1"/>
  <c r="AQ63"/>
  <c r="AS65"/>
  <c r="AT65" s="1"/>
  <c r="AQ71"/>
  <c r="AS73"/>
  <c r="AT73" s="1"/>
  <c r="AQ79"/>
  <c r="AS81"/>
  <c r="AT81" s="1"/>
  <c r="AQ87"/>
  <c r="AS89"/>
  <c r="AT89" s="1"/>
  <c r="AQ95"/>
  <c r="AS97"/>
  <c r="AT97" s="1"/>
  <c r="AQ103"/>
  <c r="AS105"/>
  <c r="AT105" s="1"/>
  <c r="AQ111"/>
  <c r="AS164"/>
  <c r="AT164" s="1"/>
  <c r="AU170"/>
  <c r="AV170" s="1"/>
  <c r="AQ175"/>
  <c r="AQ189"/>
  <c r="AU189"/>
  <c r="AV189" s="1"/>
  <c r="AQ194"/>
  <c r="AQ196"/>
  <c r="AU200"/>
  <c r="AV200" s="1"/>
  <c r="AS200"/>
  <c r="AT200" s="1"/>
  <c r="AU202"/>
  <c r="AV202" s="1"/>
  <c r="AQ207"/>
  <c r="AS221"/>
  <c r="AT221" s="1"/>
  <c r="AQ226"/>
  <c r="AQ250"/>
  <c r="AS271"/>
  <c r="AT271" s="1"/>
  <c r="AU302"/>
  <c r="AV302" s="1"/>
  <c r="AS489"/>
  <c r="AT489" s="1"/>
  <c r="AQ489"/>
  <c r="AS325"/>
  <c r="AT325" s="1"/>
  <c r="AQ325"/>
  <c r="AU6"/>
  <c r="AV6" s="1"/>
  <c r="AQ10"/>
  <c r="AU14"/>
  <c r="AV14" s="1"/>
  <c r="AQ18"/>
  <c r="AU22"/>
  <c r="AV22" s="1"/>
  <c r="AQ26"/>
  <c r="AU30"/>
  <c r="AV30" s="1"/>
  <c r="AQ34"/>
  <c r="AU38"/>
  <c r="AV38" s="1"/>
  <c r="AQ42"/>
  <c r="AU46"/>
  <c r="AV46" s="1"/>
  <c r="AQ50"/>
  <c r="AU54"/>
  <c r="AV54" s="1"/>
  <c r="AQ58"/>
  <c r="AU62"/>
  <c r="AV62" s="1"/>
  <c r="AQ66"/>
  <c r="AU70"/>
  <c r="AV70" s="1"/>
  <c r="AQ74"/>
  <c r="AU78"/>
  <c r="AV78" s="1"/>
  <c r="AQ82"/>
  <c r="AU86"/>
  <c r="AV86" s="1"/>
  <c r="AQ90"/>
  <c r="AU94"/>
  <c r="AV94" s="1"/>
  <c r="AQ98"/>
  <c r="AU102"/>
  <c r="AV102" s="1"/>
  <c r="AQ106"/>
  <c r="AU110"/>
  <c r="AV110" s="1"/>
  <c r="AU114"/>
  <c r="AV114" s="1"/>
  <c r="AU122"/>
  <c r="AV122" s="1"/>
  <c r="AU123"/>
  <c r="AV123" s="1"/>
  <c r="AQ123"/>
  <c r="AU124"/>
  <c r="AV124" s="1"/>
  <c r="AS126"/>
  <c r="AT126" s="1"/>
  <c r="AQ128"/>
  <c r="AQ129"/>
  <c r="AS166"/>
  <c r="AT166" s="1"/>
  <c r="AQ166"/>
  <c r="AQ167"/>
  <c r="AS174"/>
  <c r="AT174" s="1"/>
  <c r="AQ174"/>
  <c r="AS180"/>
  <c r="AT180" s="1"/>
  <c r="AS181"/>
  <c r="AT181" s="1"/>
  <c r="AS206"/>
  <c r="AT206" s="1"/>
  <c r="AQ206"/>
  <c r="AU213"/>
  <c r="AV213" s="1"/>
  <c r="AS216"/>
  <c r="AT216" s="1"/>
  <c r="AS229"/>
  <c r="AT229" s="1"/>
  <c r="AQ295"/>
  <c r="AU295"/>
  <c r="AV295" s="1"/>
  <c r="AS295"/>
  <c r="AT295" s="1"/>
  <c r="AU391"/>
  <c r="AV391" s="1"/>
  <c r="AS391"/>
  <c r="AT391" s="1"/>
  <c r="AQ36"/>
  <c r="AQ44"/>
  <c r="AQ108"/>
  <c r="AQ116"/>
  <c r="AS182"/>
  <c r="AT182" s="1"/>
  <c r="AQ182"/>
  <c r="AU244"/>
  <c r="AV244" s="1"/>
  <c r="AS244"/>
  <c r="AT244" s="1"/>
  <c r="AQ246"/>
  <c r="AU246"/>
  <c r="AV246" s="1"/>
  <c r="AS246"/>
  <c r="AT246" s="1"/>
  <c r="AS393"/>
  <c r="AT393" s="1"/>
  <c r="AQ393"/>
  <c r="AU393"/>
  <c r="AV393" s="1"/>
  <c r="AU559"/>
  <c r="AV559" s="1"/>
  <c r="AQ559"/>
  <c r="AS559"/>
  <c r="AT559" s="1"/>
  <c r="AS7"/>
  <c r="AT7" s="1"/>
  <c r="AQ13"/>
  <c r="AS15"/>
  <c r="AT15" s="1"/>
  <c r="AU25"/>
  <c r="AV25" s="1"/>
  <c r="AQ29"/>
  <c r="AU33"/>
  <c r="AV33" s="1"/>
  <c r="AQ37"/>
  <c r="AU41"/>
  <c r="AV41" s="1"/>
  <c r="AQ45"/>
  <c r="AU49"/>
  <c r="AV49" s="1"/>
  <c r="AQ53"/>
  <c r="AU57"/>
  <c r="AV57" s="1"/>
  <c r="AQ61"/>
  <c r="AU65"/>
  <c r="AV65" s="1"/>
  <c r="AQ69"/>
  <c r="AU73"/>
  <c r="AV73" s="1"/>
  <c r="AQ77"/>
  <c r="AU81"/>
  <c r="AV81" s="1"/>
  <c r="AQ85"/>
  <c r="AU89"/>
  <c r="AV89" s="1"/>
  <c r="AQ93"/>
  <c r="AU97"/>
  <c r="AV97" s="1"/>
  <c r="AQ101"/>
  <c r="AU105"/>
  <c r="AV105" s="1"/>
  <c r="AQ109"/>
  <c r="AQ113"/>
  <c r="AQ115"/>
  <c r="AS121"/>
  <c r="AT121" s="1"/>
  <c r="AQ162"/>
  <c r="AS165"/>
  <c r="AT165" s="1"/>
  <c r="AQ181"/>
  <c r="AU181"/>
  <c r="AV181" s="1"/>
  <c r="AU187"/>
  <c r="AV187" s="1"/>
  <c r="AU192"/>
  <c r="AV192" s="1"/>
  <c r="AS192"/>
  <c r="AT192" s="1"/>
  <c r="AU194"/>
  <c r="AV194" s="1"/>
  <c r="AU216"/>
  <c r="AV216" s="1"/>
  <c r="AU221"/>
  <c r="AV221" s="1"/>
  <c r="AS224"/>
  <c r="AT224" s="1"/>
  <c r="AS245"/>
  <c r="AT245" s="1"/>
  <c r="AS250"/>
  <c r="AT250" s="1"/>
  <c r="AQ263"/>
  <c r="AU263"/>
  <c r="AV263" s="1"/>
  <c r="AS263"/>
  <c r="AT263" s="1"/>
  <c r="AU270"/>
  <c r="AV270" s="1"/>
  <c r="AS297"/>
  <c r="AT297" s="1"/>
  <c r="AQ297"/>
  <c r="AU297"/>
  <c r="AV297" s="1"/>
  <c r="AU339"/>
  <c r="AV339" s="1"/>
  <c r="AS339"/>
  <c r="AT339" s="1"/>
  <c r="AQ339"/>
  <c r="AQ397"/>
  <c r="AS417"/>
  <c r="AT417" s="1"/>
  <c r="AQ417"/>
  <c r="AU417"/>
  <c r="AV417" s="1"/>
  <c r="AQ52"/>
  <c r="AU168"/>
  <c r="AV168" s="1"/>
  <c r="AS168"/>
  <c r="AT168" s="1"/>
  <c r="AS10"/>
  <c r="AT10" s="1"/>
  <c r="AU12"/>
  <c r="AV12" s="1"/>
  <c r="AS18"/>
  <c r="AT18" s="1"/>
  <c r="AS26"/>
  <c r="AT26" s="1"/>
  <c r="AS34"/>
  <c r="AT34" s="1"/>
  <c r="AS42"/>
  <c r="AT42" s="1"/>
  <c r="AS50"/>
  <c r="AT50" s="1"/>
  <c r="AS58"/>
  <c r="AT58" s="1"/>
  <c r="AS66"/>
  <c r="AT66" s="1"/>
  <c r="AS74"/>
  <c r="AT74" s="1"/>
  <c r="AS82"/>
  <c r="AT82" s="1"/>
  <c r="AS90"/>
  <c r="AT90" s="1"/>
  <c r="AS98"/>
  <c r="AT98" s="1"/>
  <c r="AU100"/>
  <c r="AV100" s="1"/>
  <c r="AS106"/>
  <c r="AT106" s="1"/>
  <c r="AS125"/>
  <c r="AT125" s="1"/>
  <c r="AU128"/>
  <c r="AV128" s="1"/>
  <c r="AQ130"/>
  <c r="AS132"/>
  <c r="AT132" s="1"/>
  <c r="AQ133"/>
  <c r="AS140"/>
  <c r="AT140" s="1"/>
  <c r="AQ141"/>
  <c r="AS148"/>
  <c r="AT148" s="1"/>
  <c r="AQ149"/>
  <c r="AS156"/>
  <c r="AT156" s="1"/>
  <c r="AQ157"/>
  <c r="AU163"/>
  <c r="AV163" s="1"/>
  <c r="AS163"/>
  <c r="AT163" s="1"/>
  <c r="AQ163"/>
  <c r="AU165"/>
  <c r="AV165" s="1"/>
  <c r="AS173"/>
  <c r="AT173" s="1"/>
  <c r="AS198"/>
  <c r="AT198" s="1"/>
  <c r="AQ198"/>
  <c r="AS205"/>
  <c r="AT205" s="1"/>
  <c r="AU211"/>
  <c r="AV211" s="1"/>
  <c r="AU224"/>
  <c r="AV224" s="1"/>
  <c r="AU229"/>
  <c r="AV229" s="1"/>
  <c r="AU240"/>
  <c r="AV240" s="1"/>
  <c r="AS265"/>
  <c r="AT265" s="1"/>
  <c r="AQ265"/>
  <c r="AU265"/>
  <c r="AV265" s="1"/>
  <c r="AQ286"/>
  <c r="AU286"/>
  <c r="AV286" s="1"/>
  <c r="AS286"/>
  <c r="AT286" s="1"/>
  <c r="AQ314"/>
  <c r="AQ320"/>
  <c r="AQ354"/>
  <c r="AU426"/>
  <c r="AV426" s="1"/>
  <c r="AQ426"/>
  <c r="AQ11"/>
  <c r="AS13"/>
  <c r="AT13" s="1"/>
  <c r="AQ19"/>
  <c r="AS21"/>
  <c r="AT21" s="1"/>
  <c r="AQ27"/>
  <c r="AS29"/>
  <c r="AT29" s="1"/>
  <c r="AQ35"/>
  <c r="AS37"/>
  <c r="AT37" s="1"/>
  <c r="AQ43"/>
  <c r="AS45"/>
  <c r="AT45" s="1"/>
  <c r="AQ51"/>
  <c r="AS53"/>
  <c r="AT53" s="1"/>
  <c r="AQ59"/>
  <c r="AS61"/>
  <c r="AT61" s="1"/>
  <c r="AQ67"/>
  <c r="AS69"/>
  <c r="AT69" s="1"/>
  <c r="AQ75"/>
  <c r="AS77"/>
  <c r="AT77" s="1"/>
  <c r="AQ83"/>
  <c r="AS85"/>
  <c r="AT85" s="1"/>
  <c r="AQ91"/>
  <c r="AS93"/>
  <c r="AT93" s="1"/>
  <c r="AQ99"/>
  <c r="AS101"/>
  <c r="AT101" s="1"/>
  <c r="AU111"/>
  <c r="AV111" s="1"/>
  <c r="AQ126"/>
  <c r="AQ127"/>
  <c r="AU127"/>
  <c r="AV127" s="1"/>
  <c r="AU160"/>
  <c r="AV160" s="1"/>
  <c r="AS160"/>
  <c r="AT160" s="1"/>
  <c r="AQ164"/>
  <c r="AQ173"/>
  <c r="AU173"/>
  <c r="AV173" s="1"/>
  <c r="AQ180"/>
  <c r="AU184"/>
  <c r="AV184" s="1"/>
  <c r="AS184"/>
  <c r="AT184" s="1"/>
  <c r="AQ191"/>
  <c r="AQ205"/>
  <c r="AU205"/>
  <c r="AV205" s="1"/>
  <c r="AU214"/>
  <c r="AV214" s="1"/>
  <c r="AS214"/>
  <c r="AT214" s="1"/>
  <c r="AQ214"/>
  <c r="AQ244"/>
  <c r="AQ272"/>
  <c r="AS301"/>
  <c r="AT301" s="1"/>
  <c r="AS317"/>
  <c r="AT317" s="1"/>
  <c r="AQ317"/>
  <c r="AU415"/>
  <c r="AV415" s="1"/>
  <c r="AS415"/>
  <c r="AT415" s="1"/>
  <c r="AS112"/>
  <c r="AT112" s="1"/>
  <c r="AQ114"/>
  <c r="AS117"/>
  <c r="AT117" s="1"/>
  <c r="AQ122"/>
  <c r="AS130"/>
  <c r="AT130" s="1"/>
  <c r="AU132"/>
  <c r="AV132" s="1"/>
  <c r="AU136"/>
  <c r="AV136" s="1"/>
  <c r="AS136"/>
  <c r="AT136" s="1"/>
  <c r="AU140"/>
  <c r="AV140" s="1"/>
  <c r="AU144"/>
  <c r="AV144" s="1"/>
  <c r="AS144"/>
  <c r="AT144" s="1"/>
  <c r="AU148"/>
  <c r="AV148" s="1"/>
  <c r="AU152"/>
  <c r="AV152" s="1"/>
  <c r="AS152"/>
  <c r="AT152" s="1"/>
  <c r="AU156"/>
  <c r="AV156" s="1"/>
  <c r="AU162"/>
  <c r="AV162" s="1"/>
  <c r="AS190"/>
  <c r="AT190" s="1"/>
  <c r="AQ190"/>
  <c r="AS196"/>
  <c r="AT196" s="1"/>
  <c r="AS197"/>
  <c r="AT197" s="1"/>
  <c r="AU222"/>
  <c r="AV222" s="1"/>
  <c r="AS222"/>
  <c r="AT222" s="1"/>
  <c r="AQ222"/>
  <c r="AU227"/>
  <c r="AV227" s="1"/>
  <c r="AQ254"/>
  <c r="AU254"/>
  <c r="AV254" s="1"/>
  <c r="AS254"/>
  <c r="AT254" s="1"/>
  <c r="AQ275"/>
  <c r="AU296"/>
  <c r="AV296" s="1"/>
  <c r="AQ119"/>
  <c r="AU119"/>
  <c r="AV119" s="1"/>
  <c r="AS120"/>
  <c r="AT120" s="1"/>
  <c r="AU131"/>
  <c r="AV131" s="1"/>
  <c r="AQ131"/>
  <c r="AS133"/>
  <c r="AT133" s="1"/>
  <c r="AS134"/>
  <c r="AT134" s="1"/>
  <c r="AQ134"/>
  <c r="AQ135"/>
  <c r="AU135"/>
  <c r="AV135" s="1"/>
  <c r="AU139"/>
  <c r="AV139" s="1"/>
  <c r="AQ139"/>
  <c r="AS141"/>
  <c r="AT141" s="1"/>
  <c r="AS142"/>
  <c r="AT142" s="1"/>
  <c r="AQ142"/>
  <c r="AQ143"/>
  <c r="AU143"/>
  <c r="AV143" s="1"/>
  <c r="AU147"/>
  <c r="AV147" s="1"/>
  <c r="AQ147"/>
  <c r="AS149"/>
  <c r="AT149" s="1"/>
  <c r="AS150"/>
  <c r="AT150" s="1"/>
  <c r="AQ150"/>
  <c r="AQ151"/>
  <c r="AU151"/>
  <c r="AV151" s="1"/>
  <c r="AU155"/>
  <c r="AV155" s="1"/>
  <c r="AQ155"/>
  <c r="AS157"/>
  <c r="AT157" s="1"/>
  <c r="AS158"/>
  <c r="AT158" s="1"/>
  <c r="AQ158"/>
  <c r="AQ168"/>
  <c r="AU171"/>
  <c r="AV171" s="1"/>
  <c r="AU176"/>
  <c r="AV176" s="1"/>
  <c r="AS176"/>
  <c r="AT176" s="1"/>
  <c r="AU182"/>
  <c r="AV182" s="1"/>
  <c r="AQ197"/>
  <c r="AU197"/>
  <c r="AV197" s="1"/>
  <c r="AU203"/>
  <c r="AV203" s="1"/>
  <c r="AU208"/>
  <c r="AV208" s="1"/>
  <c r="AS208"/>
  <c r="AT208" s="1"/>
  <c r="AU230"/>
  <c r="AV230" s="1"/>
  <c r="AS230"/>
  <c r="AT230" s="1"/>
  <c r="AQ230"/>
  <c r="AU235"/>
  <c r="AV235" s="1"/>
  <c r="AU264"/>
  <c r="AV264" s="1"/>
  <c r="AU272"/>
  <c r="AV272" s="1"/>
  <c r="AS293"/>
  <c r="AT293" s="1"/>
  <c r="AQ328"/>
  <c r="AS341"/>
  <c r="AT341" s="1"/>
  <c r="AQ341"/>
  <c r="AU387"/>
  <c r="AV387" s="1"/>
  <c r="AS387"/>
  <c r="AT387" s="1"/>
  <c r="AQ387"/>
  <c r="AU159"/>
  <c r="AV159" s="1"/>
  <c r="AU167"/>
  <c r="AV167" s="1"/>
  <c r="AQ171"/>
  <c r="AU175"/>
  <c r="AV175" s="1"/>
  <c r="AQ179"/>
  <c r="AU183"/>
  <c r="AV183" s="1"/>
  <c r="AQ187"/>
  <c r="AU191"/>
  <c r="AV191" s="1"/>
  <c r="AQ195"/>
  <c r="AU199"/>
  <c r="AV199" s="1"/>
  <c r="AQ203"/>
  <c r="AU207"/>
  <c r="AV207" s="1"/>
  <c r="AQ211"/>
  <c r="AU215"/>
  <c r="AV215" s="1"/>
  <c r="AQ219"/>
  <c r="AU223"/>
  <c r="AV223" s="1"/>
  <c r="AQ227"/>
  <c r="AU231"/>
  <c r="AV231" s="1"/>
  <c r="AQ235"/>
  <c r="AQ239"/>
  <c r="AQ241"/>
  <c r="AU243"/>
  <c r="AV243" s="1"/>
  <c r="AU247"/>
  <c r="AV247" s="1"/>
  <c r="AU248"/>
  <c r="AV248" s="1"/>
  <c r="AS256"/>
  <c r="AT256" s="1"/>
  <c r="AS260"/>
  <c r="AT260" s="1"/>
  <c r="AU266"/>
  <c r="AV266" s="1"/>
  <c r="AU267"/>
  <c r="AV267" s="1"/>
  <c r="AS267"/>
  <c r="AT267" s="1"/>
  <c r="AS270"/>
  <c r="AT270" s="1"/>
  <c r="AS288"/>
  <c r="AT288" s="1"/>
  <c r="AS290"/>
  <c r="AT290" s="1"/>
  <c r="AU298"/>
  <c r="AV298" s="1"/>
  <c r="AU299"/>
  <c r="AV299" s="1"/>
  <c r="AS299"/>
  <c r="AT299" s="1"/>
  <c r="AS302"/>
  <c r="AT302" s="1"/>
  <c r="AS337"/>
  <c r="AT337" s="1"/>
  <c r="AQ337"/>
  <c r="AU338"/>
  <c r="AV338" s="1"/>
  <c r="AU349"/>
  <c r="AV349" s="1"/>
  <c r="AQ351"/>
  <c r="AQ357"/>
  <c r="AQ359"/>
  <c r="AU363"/>
  <c r="AV363" s="1"/>
  <c r="AS363"/>
  <c r="AT363" s="1"/>
  <c r="AS369"/>
  <c r="AT369" s="1"/>
  <c r="AQ369"/>
  <c r="AU405"/>
  <c r="AV405" s="1"/>
  <c r="AQ410"/>
  <c r="AU435"/>
  <c r="AV435" s="1"/>
  <c r="AU218"/>
  <c r="AV218" s="1"/>
  <c r="AU226"/>
  <c r="AV226" s="1"/>
  <c r="AU234"/>
  <c r="AV234" s="1"/>
  <c r="AU242"/>
  <c r="AV242" s="1"/>
  <c r="AQ252"/>
  <c r="AQ255"/>
  <c r="AS257"/>
  <c r="AT257" s="1"/>
  <c r="AQ257"/>
  <c r="AQ261"/>
  <c r="AU277"/>
  <c r="AV277" s="1"/>
  <c r="AQ278"/>
  <c r="AU280"/>
  <c r="AV280" s="1"/>
  <c r="AQ287"/>
  <c r="AS289"/>
  <c r="AT289" s="1"/>
  <c r="AQ289"/>
  <c r="AQ293"/>
  <c r="AS303"/>
  <c r="AT303" s="1"/>
  <c r="AU309"/>
  <c r="AV309" s="1"/>
  <c r="AQ310"/>
  <c r="AU312"/>
  <c r="AV312" s="1"/>
  <c r="AQ316"/>
  <c r="AU332"/>
  <c r="AV332" s="1"/>
  <c r="AQ332"/>
  <c r="AS335"/>
  <c r="AT335" s="1"/>
  <c r="AQ336"/>
  <c r="AU336"/>
  <c r="AV336" s="1"/>
  <c r="AS336"/>
  <c r="AT336" s="1"/>
  <c r="AU347"/>
  <c r="AV347" s="1"/>
  <c r="AS347"/>
  <c r="AT347" s="1"/>
  <c r="AS370"/>
  <c r="AT370" s="1"/>
  <c r="AU381"/>
  <c r="AV381" s="1"/>
  <c r="AU386"/>
  <c r="AV386" s="1"/>
  <c r="AQ392"/>
  <c r="AS398"/>
  <c r="AT398" s="1"/>
  <c r="AQ399"/>
  <c r="AU403"/>
  <c r="AV403" s="1"/>
  <c r="AS403"/>
  <c r="AT403" s="1"/>
  <c r="AS409"/>
  <c r="AT409" s="1"/>
  <c r="AQ409"/>
  <c r="AS416"/>
  <c r="AT416" s="1"/>
  <c r="AS433"/>
  <c r="AT433" s="1"/>
  <c r="AS438"/>
  <c r="AT438" s="1"/>
  <c r="AU438"/>
  <c r="AV438" s="1"/>
  <c r="AQ438"/>
  <c r="AS441"/>
  <c r="AT441" s="1"/>
  <c r="AS447"/>
  <c r="AT447" s="1"/>
  <c r="AU447"/>
  <c r="AV447" s="1"/>
  <c r="AU451"/>
  <c r="AV451" s="1"/>
  <c r="AS451"/>
  <c r="AT451" s="1"/>
  <c r="AQ451"/>
  <c r="AS453"/>
  <c r="AT453" s="1"/>
  <c r="AU503"/>
  <c r="AV503" s="1"/>
  <c r="AS503"/>
  <c r="AT503" s="1"/>
  <c r="AQ503"/>
  <c r="AS171"/>
  <c r="AT171" s="1"/>
  <c r="AS179"/>
  <c r="AT179" s="1"/>
  <c r="AS187"/>
  <c r="AT187" s="1"/>
  <c r="AS195"/>
  <c r="AT195" s="1"/>
  <c r="AS203"/>
  <c r="AT203" s="1"/>
  <c r="AS211"/>
  <c r="AT211" s="1"/>
  <c r="AS219"/>
  <c r="AT219" s="1"/>
  <c r="AS227"/>
  <c r="AT227" s="1"/>
  <c r="AS235"/>
  <c r="AT235" s="1"/>
  <c r="AU237"/>
  <c r="AV237" s="1"/>
  <c r="AS239"/>
  <c r="AT239" s="1"/>
  <c r="AQ240"/>
  <c r="AQ245"/>
  <c r="AU258"/>
  <c r="AV258" s="1"/>
  <c r="AU259"/>
  <c r="AV259" s="1"/>
  <c r="AS259"/>
  <c r="AT259" s="1"/>
  <c r="AS262"/>
  <c r="AT262" s="1"/>
  <c r="AU291"/>
  <c r="AV291" s="1"/>
  <c r="AS291"/>
  <c r="AT291" s="1"/>
  <c r="AQ333"/>
  <c r="AS345"/>
  <c r="AT345" s="1"/>
  <c r="AQ345"/>
  <c r="AU357"/>
  <c r="AV357" s="1"/>
  <c r="AQ373"/>
  <c r="AU379"/>
  <c r="AV379" s="1"/>
  <c r="AS379"/>
  <c r="AT379" s="1"/>
  <c r="AS385"/>
  <c r="AT385" s="1"/>
  <c r="AQ385"/>
  <c r="AQ416"/>
  <c r="AU416"/>
  <c r="AV416" s="1"/>
  <c r="AU428"/>
  <c r="AV428" s="1"/>
  <c r="AQ428"/>
  <c r="AS428"/>
  <c r="AT428" s="1"/>
  <c r="AQ212"/>
  <c r="AQ220"/>
  <c r="AQ228"/>
  <c r="AQ236"/>
  <c r="AQ238"/>
  <c r="AS249"/>
  <c r="AT249" s="1"/>
  <c r="AQ249"/>
  <c r="AQ253"/>
  <c r="AQ264"/>
  <c r="AU269"/>
  <c r="AV269" s="1"/>
  <c r="AQ270"/>
  <c r="AQ276"/>
  <c r="AQ279"/>
  <c r="AS281"/>
  <c r="AT281" s="1"/>
  <c r="AQ281"/>
  <c r="AQ285"/>
  <c r="AQ296"/>
  <c r="AU301"/>
  <c r="AV301" s="1"/>
  <c r="AQ302"/>
  <c r="AQ308"/>
  <c r="AQ311"/>
  <c r="AS313"/>
  <c r="AT313" s="1"/>
  <c r="AQ313"/>
  <c r="AS319"/>
  <c r="AT319" s="1"/>
  <c r="AS327"/>
  <c r="AT327" s="1"/>
  <c r="AS334"/>
  <c r="AT334" s="1"/>
  <c r="AU340"/>
  <c r="AV340" s="1"/>
  <c r="AQ340"/>
  <c r="AQ344"/>
  <c r="AU344"/>
  <c r="AV344" s="1"/>
  <c r="AS344"/>
  <c r="AT344" s="1"/>
  <c r="AU355"/>
  <c r="AV355" s="1"/>
  <c r="AS355"/>
  <c r="AT355" s="1"/>
  <c r="AS361"/>
  <c r="AT361" s="1"/>
  <c r="AQ361"/>
  <c r="AS386"/>
  <c r="AT386" s="1"/>
  <c r="AU397"/>
  <c r="AV397" s="1"/>
  <c r="AU402"/>
  <c r="AV402" s="1"/>
  <c r="AQ408"/>
  <c r="AU422"/>
  <c r="AV422" s="1"/>
  <c r="AS422"/>
  <c r="AT422" s="1"/>
  <c r="AQ422"/>
  <c r="AQ432"/>
  <c r="AU432"/>
  <c r="AV432" s="1"/>
  <c r="AS432"/>
  <c r="AT432" s="1"/>
  <c r="AS443"/>
  <c r="AT443" s="1"/>
  <c r="AQ443"/>
  <c r="AU250"/>
  <c r="AV250" s="1"/>
  <c r="AU251"/>
  <c r="AV251" s="1"/>
  <c r="AS251"/>
  <c r="AT251" s="1"/>
  <c r="AS272"/>
  <c r="AT272" s="1"/>
  <c r="AS276"/>
  <c r="AT276" s="1"/>
  <c r="AU282"/>
  <c r="AV282" s="1"/>
  <c r="AU283"/>
  <c r="AV283" s="1"/>
  <c r="AS283"/>
  <c r="AT283" s="1"/>
  <c r="AQ298"/>
  <c r="AS304"/>
  <c r="AT304" s="1"/>
  <c r="AS308"/>
  <c r="AT308" s="1"/>
  <c r="AU314"/>
  <c r="AV314" s="1"/>
  <c r="AU315"/>
  <c r="AV315" s="1"/>
  <c r="AS315"/>
  <c r="AT315" s="1"/>
  <c r="AU324"/>
  <c r="AV324" s="1"/>
  <c r="AU333"/>
  <c r="AV333" s="1"/>
  <c r="AQ335"/>
  <c r="AS346"/>
  <c r="AT346" s="1"/>
  <c r="AS353"/>
  <c r="AT353" s="1"/>
  <c r="AQ353"/>
  <c r="AU354"/>
  <c r="AV354" s="1"/>
  <c r="AU373"/>
  <c r="AV373" s="1"/>
  <c r="AU378"/>
  <c r="AV378" s="1"/>
  <c r="AQ384"/>
  <c r="AQ389"/>
  <c r="AQ391"/>
  <c r="AU395"/>
  <c r="AV395" s="1"/>
  <c r="AS395"/>
  <c r="AT395" s="1"/>
  <c r="AS401"/>
  <c r="AT401" s="1"/>
  <c r="AQ401"/>
  <c r="AQ413"/>
  <c r="AU414"/>
  <c r="AV414" s="1"/>
  <c r="AQ415"/>
  <c r="AU419"/>
  <c r="AV419" s="1"/>
  <c r="AS419"/>
  <c r="AT419" s="1"/>
  <c r="AU421"/>
  <c r="AV421" s="1"/>
  <c r="AS437"/>
  <c r="AT437" s="1"/>
  <c r="AU261"/>
  <c r="AV261" s="1"/>
  <c r="AQ262"/>
  <c r="AQ271"/>
  <c r="AS273"/>
  <c r="AT273" s="1"/>
  <c r="AQ273"/>
  <c r="AU293"/>
  <c r="AV293" s="1"/>
  <c r="AQ294"/>
  <c r="AQ303"/>
  <c r="AS305"/>
  <c r="AT305" s="1"/>
  <c r="AQ305"/>
  <c r="AS318"/>
  <c r="AT318" s="1"/>
  <c r="AQ318"/>
  <c r="AU320"/>
  <c r="AV320" s="1"/>
  <c r="AS320"/>
  <c r="AT320" s="1"/>
  <c r="AS321"/>
  <c r="AT321" s="1"/>
  <c r="AQ321"/>
  <c r="AU323"/>
  <c r="AV323" s="1"/>
  <c r="AS323"/>
  <c r="AT323" s="1"/>
  <c r="AS326"/>
  <c r="AT326" s="1"/>
  <c r="AQ326"/>
  <c r="AU328"/>
  <c r="AV328" s="1"/>
  <c r="AS328"/>
  <c r="AT328" s="1"/>
  <c r="AS329"/>
  <c r="AT329" s="1"/>
  <c r="AQ329"/>
  <c r="AU331"/>
  <c r="AV331" s="1"/>
  <c r="AS331"/>
  <c r="AT331" s="1"/>
  <c r="AQ338"/>
  <c r="AS342"/>
  <c r="AT342" s="1"/>
  <c r="AU348"/>
  <c r="AV348" s="1"/>
  <c r="AQ348"/>
  <c r="AQ352"/>
  <c r="AU352"/>
  <c r="AV352" s="1"/>
  <c r="AS352"/>
  <c r="AT352" s="1"/>
  <c r="AQ360"/>
  <c r="AS366"/>
  <c r="AT366" s="1"/>
  <c r="AU371"/>
  <c r="AV371" s="1"/>
  <c r="AS371"/>
  <c r="AT371" s="1"/>
  <c r="AS377"/>
  <c r="AT377" s="1"/>
  <c r="AQ377"/>
  <c r="AS402"/>
  <c r="AT402" s="1"/>
  <c r="AS439"/>
  <c r="AT439" s="1"/>
  <c r="AU439"/>
  <c r="AV439" s="1"/>
  <c r="AQ439"/>
  <c r="AS452"/>
  <c r="AT452" s="1"/>
  <c r="AS240"/>
  <c r="AT240" s="1"/>
  <c r="AU245"/>
  <c r="AV245" s="1"/>
  <c r="AS264"/>
  <c r="AT264" s="1"/>
  <c r="AU274"/>
  <c r="AV274" s="1"/>
  <c r="AU275"/>
  <c r="AV275" s="1"/>
  <c r="AS275"/>
  <c r="AT275" s="1"/>
  <c r="AQ290"/>
  <c r="AS296"/>
  <c r="AT296" s="1"/>
  <c r="AU306"/>
  <c r="AV306" s="1"/>
  <c r="AU307"/>
  <c r="AV307" s="1"/>
  <c r="AS307"/>
  <c r="AT307" s="1"/>
  <c r="AU317"/>
  <c r="AV317" s="1"/>
  <c r="AU322"/>
  <c r="AV322" s="1"/>
  <c r="AU325"/>
  <c r="AV325" s="1"/>
  <c r="AU341"/>
  <c r="AV341" s="1"/>
  <c r="AS354"/>
  <c r="AT354" s="1"/>
  <c r="AS378"/>
  <c r="AT378" s="1"/>
  <c r="AQ400"/>
  <c r="AS406"/>
  <c r="AT406" s="1"/>
  <c r="AU411"/>
  <c r="AV411" s="1"/>
  <c r="AS411"/>
  <c r="AT411" s="1"/>
  <c r="AU413"/>
  <c r="AV413" s="1"/>
  <c r="AU463"/>
  <c r="AV463" s="1"/>
  <c r="AS463"/>
  <c r="AT463" s="1"/>
  <c r="AQ463"/>
  <c r="AQ334"/>
  <c r="AQ342"/>
  <c r="AQ350"/>
  <c r="AQ358"/>
  <c r="AS360"/>
  <c r="AT360" s="1"/>
  <c r="AQ366"/>
  <c r="AS368"/>
  <c r="AT368" s="1"/>
  <c r="AQ374"/>
  <c r="AS376"/>
  <c r="AT376" s="1"/>
  <c r="AQ382"/>
  <c r="AS384"/>
  <c r="AT384" s="1"/>
  <c r="AQ390"/>
  <c r="AS392"/>
  <c r="AT392" s="1"/>
  <c r="AQ398"/>
  <c r="AS400"/>
  <c r="AT400" s="1"/>
  <c r="AQ406"/>
  <c r="AS408"/>
  <c r="AT408" s="1"/>
  <c r="AU410"/>
  <c r="AV410" s="1"/>
  <c r="AQ414"/>
  <c r="AU418"/>
  <c r="AV418" s="1"/>
  <c r="AS434"/>
  <c r="AT434" s="1"/>
  <c r="AQ445"/>
  <c r="AU457"/>
  <c r="AV457" s="1"/>
  <c r="AU459"/>
  <c r="AV459" s="1"/>
  <c r="AQ470"/>
  <c r="AU473"/>
  <c r="AV473" s="1"/>
  <c r="AQ475"/>
  <c r="AU475"/>
  <c r="AV475" s="1"/>
  <c r="AS491"/>
  <c r="AT491" s="1"/>
  <c r="AU495"/>
  <c r="AV495" s="1"/>
  <c r="AS495"/>
  <c r="AT495" s="1"/>
  <c r="AQ495"/>
  <c r="AU515"/>
  <c r="AV515" s="1"/>
  <c r="AQ526"/>
  <c r="AU529"/>
  <c r="AV529" s="1"/>
  <c r="AQ424"/>
  <c r="AU424"/>
  <c r="AV424" s="1"/>
  <c r="AQ427"/>
  <c r="AU444"/>
  <c r="AV444" s="1"/>
  <c r="AQ446"/>
  <c r="AS446"/>
  <c r="AT446" s="1"/>
  <c r="AS455"/>
  <c r="AT455" s="1"/>
  <c r="AS456"/>
  <c r="AT456" s="1"/>
  <c r="AQ462"/>
  <c r="AU465"/>
  <c r="AV465" s="1"/>
  <c r="AU476"/>
  <c r="AV476" s="1"/>
  <c r="AS483"/>
  <c r="AT483" s="1"/>
  <c r="AU487"/>
  <c r="AV487" s="1"/>
  <c r="AS487"/>
  <c r="AT487" s="1"/>
  <c r="AQ487"/>
  <c r="AU507"/>
  <c r="AV507" s="1"/>
  <c r="AQ518"/>
  <c r="AU521"/>
  <c r="AV521" s="1"/>
  <c r="AU532"/>
  <c r="AV532" s="1"/>
  <c r="AU360"/>
  <c r="AV360" s="1"/>
  <c r="AQ364"/>
  <c r="AU368"/>
  <c r="AV368" s="1"/>
  <c r="AQ372"/>
  <c r="AU376"/>
  <c r="AV376" s="1"/>
  <c r="AQ380"/>
  <c r="AU384"/>
  <c r="AV384" s="1"/>
  <c r="AQ388"/>
  <c r="AU392"/>
  <c r="AV392" s="1"/>
  <c r="AQ396"/>
  <c r="AU400"/>
  <c r="AV400" s="1"/>
  <c r="AQ404"/>
  <c r="AU408"/>
  <c r="AV408" s="1"/>
  <c r="AS414"/>
  <c r="AT414" s="1"/>
  <c r="AQ433"/>
  <c r="AU479"/>
  <c r="AV479" s="1"/>
  <c r="AS479"/>
  <c r="AT479" s="1"/>
  <c r="AQ479"/>
  <c r="AU499"/>
  <c r="AV499" s="1"/>
  <c r="AQ505"/>
  <c r="AQ510"/>
  <c r="AU513"/>
  <c r="AV513" s="1"/>
  <c r="AS427"/>
  <c r="AT427" s="1"/>
  <c r="AS430"/>
  <c r="AT430" s="1"/>
  <c r="AU436"/>
  <c r="AV436" s="1"/>
  <c r="AQ436"/>
  <c r="AQ437"/>
  <c r="AQ441"/>
  <c r="AQ442"/>
  <c r="AQ453"/>
  <c r="AQ454"/>
  <c r="AU454"/>
  <c r="AV454" s="1"/>
  <c r="AS454"/>
  <c r="AT454" s="1"/>
  <c r="AU460"/>
  <c r="AV460" s="1"/>
  <c r="AS475"/>
  <c r="AT475" s="1"/>
  <c r="AU491"/>
  <c r="AV491" s="1"/>
  <c r="AQ497"/>
  <c r="AQ502"/>
  <c r="AU505"/>
  <c r="AV505" s="1"/>
  <c r="AU516"/>
  <c r="AV516" s="1"/>
  <c r="AQ541"/>
  <c r="AU570"/>
  <c r="AV570" s="1"/>
  <c r="AS570"/>
  <c r="AT570" s="1"/>
  <c r="AQ570"/>
  <c r="AS656"/>
  <c r="AT656" s="1"/>
  <c r="AQ656"/>
  <c r="AS426"/>
  <c r="AT426" s="1"/>
  <c r="AQ449"/>
  <c r="AU452"/>
  <c r="AV452" s="1"/>
  <c r="AU471"/>
  <c r="AV471" s="1"/>
  <c r="AS471"/>
  <c r="AT471" s="1"/>
  <c r="AQ471"/>
  <c r="AU483"/>
  <c r="AV483" s="1"/>
  <c r="AQ494"/>
  <c r="AU497"/>
  <c r="AV497" s="1"/>
  <c r="AU508"/>
  <c r="AV508" s="1"/>
  <c r="AU527"/>
  <c r="AV527" s="1"/>
  <c r="AS527"/>
  <c r="AT527" s="1"/>
  <c r="AQ527"/>
  <c r="AU574"/>
  <c r="AV574" s="1"/>
  <c r="AS574"/>
  <c r="AT574" s="1"/>
  <c r="AQ486"/>
  <c r="AU489"/>
  <c r="AV489" s="1"/>
  <c r="AU519"/>
  <c r="AV519" s="1"/>
  <c r="AS519"/>
  <c r="AT519" s="1"/>
  <c r="AQ519"/>
  <c r="AQ560"/>
  <c r="AU560"/>
  <c r="AV560" s="1"/>
  <c r="AQ440"/>
  <c r="AU440"/>
  <c r="AV440" s="1"/>
  <c r="AU441"/>
  <c r="AV441" s="1"/>
  <c r="AU450"/>
  <c r="AV450" s="1"/>
  <c r="AS450"/>
  <c r="AT450" s="1"/>
  <c r="AQ450"/>
  <c r="AU492"/>
  <c r="AV492" s="1"/>
  <c r="AU511"/>
  <c r="AV511" s="1"/>
  <c r="AS511"/>
  <c r="AT511" s="1"/>
  <c r="AQ511"/>
  <c r="AQ572"/>
  <c r="AQ444"/>
  <c r="AU448"/>
  <c r="AV448" s="1"/>
  <c r="AQ452"/>
  <c r="AU456"/>
  <c r="AV456" s="1"/>
  <c r="AQ460"/>
  <c r="AS462"/>
  <c r="AT462" s="1"/>
  <c r="AU464"/>
  <c r="AV464" s="1"/>
  <c r="AQ468"/>
  <c r="AS470"/>
  <c r="AT470" s="1"/>
  <c r="AU472"/>
  <c r="AV472" s="1"/>
  <c r="AQ476"/>
  <c r="AU480"/>
  <c r="AV480" s="1"/>
  <c r="AQ484"/>
  <c r="AS486"/>
  <c r="AT486" s="1"/>
  <c r="AU488"/>
  <c r="AV488" s="1"/>
  <c r="AQ492"/>
  <c r="AS494"/>
  <c r="AT494" s="1"/>
  <c r="AU496"/>
  <c r="AV496" s="1"/>
  <c r="AQ500"/>
  <c r="AS502"/>
  <c r="AT502" s="1"/>
  <c r="AU504"/>
  <c r="AV504" s="1"/>
  <c r="AQ508"/>
  <c r="AS510"/>
  <c r="AT510" s="1"/>
  <c r="AU512"/>
  <c r="AV512" s="1"/>
  <c r="AQ516"/>
  <c r="AS518"/>
  <c r="AT518" s="1"/>
  <c r="AU520"/>
  <c r="AV520" s="1"/>
  <c r="AQ524"/>
  <c r="AS526"/>
  <c r="AT526" s="1"/>
  <c r="AU528"/>
  <c r="AV528" s="1"/>
  <c r="AQ532"/>
  <c r="AQ536"/>
  <c r="AQ540"/>
  <c r="AQ547"/>
  <c r="AU547"/>
  <c r="AV547" s="1"/>
  <c r="AU548"/>
  <c r="AV548" s="1"/>
  <c r="AS548"/>
  <c r="AT548" s="1"/>
  <c r="AS561"/>
  <c r="AT561" s="1"/>
  <c r="AQ565"/>
  <c r="AS568"/>
  <c r="AT568" s="1"/>
  <c r="AS585"/>
  <c r="AT585" s="1"/>
  <c r="AS620"/>
  <c r="AT620" s="1"/>
  <c r="AU622"/>
  <c r="AV622" s="1"/>
  <c r="AQ626"/>
  <c r="AS513"/>
  <c r="AT513" s="1"/>
  <c r="AS521"/>
  <c r="AT521" s="1"/>
  <c r="AS529"/>
  <c r="AT529" s="1"/>
  <c r="AU546"/>
  <c r="AV546" s="1"/>
  <c r="AS546"/>
  <c r="AT546" s="1"/>
  <c r="AQ546"/>
  <c r="AQ558"/>
  <c r="AU567"/>
  <c r="AV567" s="1"/>
  <c r="AQ567"/>
  <c r="AU575"/>
  <c r="AV575" s="1"/>
  <c r="AS575"/>
  <c r="AT575" s="1"/>
  <c r="AQ575"/>
  <c r="AU596"/>
  <c r="AV596" s="1"/>
  <c r="AS596"/>
  <c r="AT596" s="1"/>
  <c r="AQ596"/>
  <c r="AS604"/>
  <c r="AT604" s="1"/>
  <c r="AU618"/>
  <c r="AV618" s="1"/>
  <c r="AS618"/>
  <c r="AT618" s="1"/>
  <c r="AQ618"/>
  <c r="AQ652"/>
  <c r="AU652"/>
  <c r="AV652" s="1"/>
  <c r="AS652"/>
  <c r="AT652" s="1"/>
  <c r="AQ458"/>
  <c r="AU462"/>
  <c r="AV462" s="1"/>
  <c r="AQ466"/>
  <c r="AU470"/>
  <c r="AV470" s="1"/>
  <c r="AQ474"/>
  <c r="AU478"/>
  <c r="AV478" s="1"/>
  <c r="AQ482"/>
  <c r="AU486"/>
  <c r="AV486" s="1"/>
  <c r="AQ490"/>
  <c r="AU494"/>
  <c r="AV494" s="1"/>
  <c r="AQ498"/>
  <c r="AU502"/>
  <c r="AV502" s="1"/>
  <c r="AQ506"/>
  <c r="AU510"/>
  <c r="AV510" s="1"/>
  <c r="AQ514"/>
  <c r="AU518"/>
  <c r="AV518" s="1"/>
  <c r="AQ522"/>
  <c r="AU526"/>
  <c r="AV526" s="1"/>
  <c r="AQ530"/>
  <c r="AQ555"/>
  <c r="AU555"/>
  <c r="AV555" s="1"/>
  <c r="AU556"/>
  <c r="AV556" s="1"/>
  <c r="AS556"/>
  <c r="AT556" s="1"/>
  <c r="AS626"/>
  <c r="AT626" s="1"/>
  <c r="AQ477"/>
  <c r="AQ534"/>
  <c r="AU535"/>
  <c r="AV535" s="1"/>
  <c r="AQ535"/>
  <c r="AS536"/>
  <c r="AT536" s="1"/>
  <c r="AQ539"/>
  <c r="AU539"/>
  <c r="AV539" s="1"/>
  <c r="AU543"/>
  <c r="AV543" s="1"/>
  <c r="AQ543"/>
  <c r="AU552"/>
  <c r="AV552" s="1"/>
  <c r="AU554"/>
  <c r="AV554" s="1"/>
  <c r="AS554"/>
  <c r="AT554" s="1"/>
  <c r="AQ554"/>
  <c r="AS565"/>
  <c r="AT565" s="1"/>
  <c r="AQ566"/>
  <c r="AU606"/>
  <c r="AV606" s="1"/>
  <c r="AU628"/>
  <c r="AV628" s="1"/>
  <c r="AS628"/>
  <c r="AT628" s="1"/>
  <c r="AQ628"/>
  <c r="AS644"/>
  <c r="AT644" s="1"/>
  <c r="AQ448"/>
  <c r="AQ456"/>
  <c r="AS458"/>
  <c r="AT458" s="1"/>
  <c r="AQ464"/>
  <c r="AQ472"/>
  <c r="AS474"/>
  <c r="AT474" s="1"/>
  <c r="AQ480"/>
  <c r="AS482"/>
  <c r="AT482" s="1"/>
  <c r="AQ488"/>
  <c r="AS490"/>
  <c r="AT490" s="1"/>
  <c r="AQ496"/>
  <c r="AQ504"/>
  <c r="AQ512"/>
  <c r="AQ520"/>
  <c r="AQ528"/>
  <c r="AU538"/>
  <c r="AV538" s="1"/>
  <c r="AQ538"/>
  <c r="AS540"/>
  <c r="AT540" s="1"/>
  <c r="AS541"/>
  <c r="AT541" s="1"/>
  <c r="AQ542"/>
  <c r="AU542"/>
  <c r="AV542" s="1"/>
  <c r="AS545"/>
  <c r="AT545" s="1"/>
  <c r="AS552"/>
  <c r="AT552" s="1"/>
  <c r="AQ563"/>
  <c r="AU563"/>
  <c r="AV563" s="1"/>
  <c r="AU564"/>
  <c r="AV564" s="1"/>
  <c r="AS564"/>
  <c r="AT564" s="1"/>
  <c r="AQ574"/>
  <c r="AU578"/>
  <c r="AV578" s="1"/>
  <c r="AS578"/>
  <c r="AT578" s="1"/>
  <c r="AQ578"/>
  <c r="AU583"/>
  <c r="AV583" s="1"/>
  <c r="AU600"/>
  <c r="AV600" s="1"/>
  <c r="AS600"/>
  <c r="AT600" s="1"/>
  <c r="AU602"/>
  <c r="AV602" s="1"/>
  <c r="AS602"/>
  <c r="AT602" s="1"/>
  <c r="AQ602"/>
  <c r="AU604"/>
  <c r="AV604" s="1"/>
  <c r="AS606"/>
  <c r="AT606" s="1"/>
  <c r="AS610"/>
  <c r="AT610" s="1"/>
  <c r="AS617"/>
  <c r="AT617" s="1"/>
  <c r="AU632"/>
  <c r="AV632" s="1"/>
  <c r="AU551"/>
  <c r="AV551" s="1"/>
  <c r="AQ551"/>
  <c r="AU562"/>
  <c r="AV562" s="1"/>
  <c r="AS562"/>
  <c r="AT562" s="1"/>
  <c r="AQ562"/>
  <c r="AU586"/>
  <c r="AV586" s="1"/>
  <c r="AS586"/>
  <c r="AT586" s="1"/>
  <c r="AQ586"/>
  <c r="AS636"/>
  <c r="AT636" s="1"/>
  <c r="AU638"/>
  <c r="AV638" s="1"/>
  <c r="AS537"/>
  <c r="AT537" s="1"/>
  <c r="AS553"/>
  <c r="AT553" s="1"/>
  <c r="AS560"/>
  <c r="AT560" s="1"/>
  <c r="AU566"/>
  <c r="AV566" s="1"/>
  <c r="AQ571"/>
  <c r="AU571"/>
  <c r="AV571" s="1"/>
  <c r="AU572"/>
  <c r="AV572" s="1"/>
  <c r="AS572"/>
  <c r="AT572" s="1"/>
  <c r="AU612"/>
  <c r="AV612" s="1"/>
  <c r="AS612"/>
  <c r="AT612" s="1"/>
  <c r="AQ612"/>
  <c r="AU634"/>
  <c r="AV634" s="1"/>
  <c r="AS634"/>
  <c r="AT634" s="1"/>
  <c r="AQ634"/>
  <c r="AU636"/>
  <c r="AV636" s="1"/>
  <c r="AS638"/>
  <c r="AT638" s="1"/>
  <c r="AS680"/>
  <c r="AT680" s="1"/>
  <c r="AS707"/>
  <c r="AT707" s="1"/>
  <c r="AQ707"/>
  <c r="AU579"/>
  <c r="AV579" s="1"/>
  <c r="AQ583"/>
  <c r="AU587"/>
  <c r="AV587" s="1"/>
  <c r="AQ591"/>
  <c r="AQ595"/>
  <c r="AU597"/>
  <c r="AV597" s="1"/>
  <c r="AQ597"/>
  <c r="AU598"/>
  <c r="AV598" s="1"/>
  <c r="AS607"/>
  <c r="AT607" s="1"/>
  <c r="AQ611"/>
  <c r="AU613"/>
  <c r="AV613" s="1"/>
  <c r="AQ613"/>
  <c r="AU614"/>
  <c r="AV614" s="1"/>
  <c r="AQ616"/>
  <c r="AS623"/>
  <c r="AT623" s="1"/>
  <c r="AQ627"/>
  <c r="AU629"/>
  <c r="AV629" s="1"/>
  <c r="AQ629"/>
  <c r="AU630"/>
  <c r="AV630" s="1"/>
  <c r="AQ632"/>
  <c r="AS639"/>
  <c r="AT639" s="1"/>
  <c r="AQ645"/>
  <c r="AU653"/>
  <c r="AV653" s="1"/>
  <c r="AS660"/>
  <c r="AT660" s="1"/>
  <c r="AQ663"/>
  <c r="AU663"/>
  <c r="AV663" s="1"/>
  <c r="AU670"/>
  <c r="AV670" s="1"/>
  <c r="AQ679"/>
  <c r="AS679"/>
  <c r="AT679" s="1"/>
  <c r="AS686"/>
  <c r="AT686" s="1"/>
  <c r="AU686"/>
  <c r="AV686" s="1"/>
  <c r="AQ694"/>
  <c r="AQ713"/>
  <c r="AU716"/>
  <c r="AV716" s="1"/>
  <c r="AS716"/>
  <c r="AT716" s="1"/>
  <c r="AQ716"/>
  <c r="AU550"/>
  <c r="AV550" s="1"/>
  <c r="AU558"/>
  <c r="AV558" s="1"/>
  <c r="AS580"/>
  <c r="AT580" s="1"/>
  <c r="AS588"/>
  <c r="AT588" s="1"/>
  <c r="AQ606"/>
  <c r="AQ622"/>
  <c r="AQ638"/>
  <c r="AU648"/>
  <c r="AV648" s="1"/>
  <c r="AQ648"/>
  <c r="AU649"/>
  <c r="AV649" s="1"/>
  <c r="AQ658"/>
  <c r="AQ666"/>
  <c r="AS669"/>
  <c r="AT669" s="1"/>
  <c r="AU669"/>
  <c r="AV669" s="1"/>
  <c r="AQ688"/>
  <c r="AU688"/>
  <c r="AV688" s="1"/>
  <c r="AS688"/>
  <c r="AT688" s="1"/>
  <c r="AU706"/>
  <c r="AV706" s="1"/>
  <c r="AQ706"/>
  <c r="AU750"/>
  <c r="AV750" s="1"/>
  <c r="AS750"/>
  <c r="AT750" s="1"/>
  <c r="AQ750"/>
  <c r="AS583"/>
  <c r="AT583" s="1"/>
  <c r="AS591"/>
  <c r="AT591" s="1"/>
  <c r="AQ593"/>
  <c r="AU593"/>
  <c r="AV593" s="1"/>
  <c r="AQ609"/>
  <c r="AU609"/>
  <c r="AV609" s="1"/>
  <c r="AQ625"/>
  <c r="AU625"/>
  <c r="AV625" s="1"/>
  <c r="AQ641"/>
  <c r="AU641"/>
  <c r="AV641" s="1"/>
  <c r="AU642"/>
  <c r="AV642" s="1"/>
  <c r="AQ660"/>
  <c r="AS662"/>
  <c r="AT662" s="1"/>
  <c r="AQ662"/>
  <c r="AS675"/>
  <c r="AT675" s="1"/>
  <c r="AS696"/>
  <c r="AT696" s="1"/>
  <c r="AQ576"/>
  <c r="AQ584"/>
  <c r="AQ592"/>
  <c r="AQ644"/>
  <c r="AQ647"/>
  <c r="AS678"/>
  <c r="AT678" s="1"/>
  <c r="AU678"/>
  <c r="AV678" s="1"/>
  <c r="AQ678"/>
  <c r="AS599"/>
  <c r="AT599" s="1"/>
  <c r="AQ603"/>
  <c r="AU605"/>
  <c r="AV605" s="1"/>
  <c r="AQ605"/>
  <c r="AS615"/>
  <c r="AT615" s="1"/>
  <c r="AQ619"/>
  <c r="AU621"/>
  <c r="AV621" s="1"/>
  <c r="AQ621"/>
  <c r="AS631"/>
  <c r="AT631" s="1"/>
  <c r="AQ635"/>
  <c r="AU637"/>
  <c r="AV637" s="1"/>
  <c r="AQ637"/>
  <c r="AS643"/>
  <c r="AT643" s="1"/>
  <c r="AQ646"/>
  <c r="AQ657"/>
  <c r="AS659"/>
  <c r="AT659" s="1"/>
  <c r="AQ659"/>
  <c r="AQ661"/>
  <c r="AS661"/>
  <c r="AT661" s="1"/>
  <c r="AS665"/>
  <c r="AT665" s="1"/>
  <c r="AU665"/>
  <c r="AV665" s="1"/>
  <c r="AS667"/>
  <c r="AT667" s="1"/>
  <c r="AQ667"/>
  <c r="AS674"/>
  <c r="AT674" s="1"/>
  <c r="AS681"/>
  <c r="AT681" s="1"/>
  <c r="AQ681"/>
  <c r="AU681"/>
  <c r="AV681" s="1"/>
  <c r="AQ687"/>
  <c r="AU687"/>
  <c r="AV687" s="1"/>
  <c r="AS687"/>
  <c r="AT687" s="1"/>
  <c r="AS698"/>
  <c r="AT698" s="1"/>
  <c r="AS703"/>
  <c r="AT703" s="1"/>
  <c r="AS645"/>
  <c r="AT645" s="1"/>
  <c r="AQ655"/>
  <c r="AS655"/>
  <c r="AT655" s="1"/>
  <c r="AU655"/>
  <c r="AV655" s="1"/>
  <c r="AS666"/>
  <c r="AT666" s="1"/>
  <c r="AQ673"/>
  <c r="AS677"/>
  <c r="AT677" s="1"/>
  <c r="AQ683"/>
  <c r="AU695"/>
  <c r="AV695" s="1"/>
  <c r="AS595"/>
  <c r="AT595" s="1"/>
  <c r="AQ601"/>
  <c r="AU601"/>
  <c r="AV601" s="1"/>
  <c r="AS611"/>
  <c r="AT611" s="1"/>
  <c r="AQ617"/>
  <c r="AU617"/>
  <c r="AV617" s="1"/>
  <c r="AS627"/>
  <c r="AT627" s="1"/>
  <c r="AQ633"/>
  <c r="AU633"/>
  <c r="AV633" s="1"/>
  <c r="AU654"/>
  <c r="AV654" s="1"/>
  <c r="AS658"/>
  <c r="AT658" s="1"/>
  <c r="AQ664"/>
  <c r="AU664"/>
  <c r="AV664" s="1"/>
  <c r="AS664"/>
  <c r="AT664" s="1"/>
  <c r="AU674"/>
  <c r="AV674" s="1"/>
  <c r="AQ674"/>
  <c r="AU677"/>
  <c r="AV677" s="1"/>
  <c r="AQ677"/>
  <c r="AQ680"/>
  <c r="AU680"/>
  <c r="AV680" s="1"/>
  <c r="AS689"/>
  <c r="AT689" s="1"/>
  <c r="AU689"/>
  <c r="AV689" s="1"/>
  <c r="AQ689"/>
  <c r="AU698"/>
  <c r="AV698" s="1"/>
  <c r="AQ698"/>
  <c r="AQ715"/>
  <c r="AS715"/>
  <c r="AT715" s="1"/>
  <c r="AS649"/>
  <c r="AT649" s="1"/>
  <c r="AS654"/>
  <c r="AT654" s="1"/>
  <c r="AU659"/>
  <c r="AV659" s="1"/>
  <c r="AU667"/>
  <c r="AV667" s="1"/>
  <c r="AU668"/>
  <c r="AV668" s="1"/>
  <c r="AQ668"/>
  <c r="AS691"/>
  <c r="AT691" s="1"/>
  <c r="AU699"/>
  <c r="AV699" s="1"/>
  <c r="AU700"/>
  <c r="AV700" s="1"/>
  <c r="AQ700"/>
  <c r="AU701"/>
  <c r="AV701" s="1"/>
  <c r="AU711"/>
  <c r="AV711" s="1"/>
  <c r="AS711"/>
  <c r="AT711" s="1"/>
  <c r="AQ711"/>
  <c r="AS729"/>
  <c r="AT729" s="1"/>
  <c r="AU742"/>
  <c r="AV742" s="1"/>
  <c r="AQ742"/>
  <c r="AS742"/>
  <c r="AT742" s="1"/>
  <c r="AQ763"/>
  <c r="AU692"/>
  <c r="AV692" s="1"/>
  <c r="AQ692"/>
  <c r="AS736"/>
  <c r="AT736" s="1"/>
  <c r="AU736"/>
  <c r="AV736" s="1"/>
  <c r="AQ736"/>
  <c r="AU656"/>
  <c r="AV656" s="1"/>
  <c r="AS670"/>
  <c r="AT670" s="1"/>
  <c r="AQ671"/>
  <c r="AQ672"/>
  <c r="AU672"/>
  <c r="AV672" s="1"/>
  <c r="AS673"/>
  <c r="AT673" s="1"/>
  <c r="AS682"/>
  <c r="AT682" s="1"/>
  <c r="AS702"/>
  <c r="AT702" s="1"/>
  <c r="AQ703"/>
  <c r="AQ704"/>
  <c r="AU704"/>
  <c r="AV704" s="1"/>
  <c r="AS705"/>
  <c r="AT705" s="1"/>
  <c r="AS710"/>
  <c r="AT710" s="1"/>
  <c r="AS721"/>
  <c r="AT721" s="1"/>
  <c r="AU727"/>
  <c r="AV727" s="1"/>
  <c r="AS727"/>
  <c r="AT727" s="1"/>
  <c r="AQ727"/>
  <c r="AS646"/>
  <c r="AT646" s="1"/>
  <c r="AU647"/>
  <c r="AV647" s="1"/>
  <c r="AQ649"/>
  <c r="AU651"/>
  <c r="AV651" s="1"/>
  <c r="AQ654"/>
  <c r="AS657"/>
  <c r="AT657" s="1"/>
  <c r="AU683"/>
  <c r="AV683" s="1"/>
  <c r="AU684"/>
  <c r="AV684" s="1"/>
  <c r="AQ684"/>
  <c r="AQ699"/>
  <c r="AU708"/>
  <c r="AV708" s="1"/>
  <c r="AQ708"/>
  <c r="AU710"/>
  <c r="AV710" s="1"/>
  <c r="AU715"/>
  <c r="AV715" s="1"/>
  <c r="AU721"/>
  <c r="AV721" s="1"/>
  <c r="AU752"/>
  <c r="AV752" s="1"/>
  <c r="AS752"/>
  <c r="AT752" s="1"/>
  <c r="AQ752"/>
  <c r="AS694"/>
  <c r="AT694" s="1"/>
  <c r="AQ695"/>
  <c r="AQ696"/>
  <c r="AU696"/>
  <c r="AV696" s="1"/>
  <c r="AS697"/>
  <c r="AT697" s="1"/>
  <c r="AQ701"/>
  <c r="AS706"/>
  <c r="AT706" s="1"/>
  <c r="AS713"/>
  <c r="AT713" s="1"/>
  <c r="AQ720"/>
  <c r="AU675"/>
  <c r="AV675" s="1"/>
  <c r="AU676"/>
  <c r="AV676" s="1"/>
  <c r="AQ676"/>
  <c r="AQ691"/>
  <c r="AU707"/>
  <c r="AV707" s="1"/>
  <c r="AU713"/>
  <c r="AV713" s="1"/>
  <c r="AQ718"/>
  <c r="AU719"/>
  <c r="AV719" s="1"/>
  <c r="AS719"/>
  <c r="AT719" s="1"/>
  <c r="AQ719"/>
  <c r="AU724"/>
  <c r="AV724" s="1"/>
  <c r="AS724"/>
  <c r="AT724" s="1"/>
  <c r="AQ724"/>
  <c r="AU726"/>
  <c r="AV726" s="1"/>
  <c r="AQ731"/>
  <c r="AQ765"/>
  <c r="AU765"/>
  <c r="AV765" s="1"/>
  <c r="AS765"/>
  <c r="AT765" s="1"/>
  <c r="AU712"/>
  <c r="AV712" s="1"/>
  <c r="AU720"/>
  <c r="AV720" s="1"/>
  <c r="AS726"/>
  <c r="AT726" s="1"/>
  <c r="AU728"/>
  <c r="AV728" s="1"/>
  <c r="AQ732"/>
  <c r="AS734"/>
  <c r="AT734" s="1"/>
  <c r="AU737"/>
  <c r="AV737" s="1"/>
  <c r="AS737"/>
  <c r="AT737" s="1"/>
  <c r="AU755"/>
  <c r="AV755" s="1"/>
  <c r="AU761"/>
  <c r="AV761" s="1"/>
  <c r="AS761"/>
  <c r="AT761" s="1"/>
  <c r="AQ761"/>
  <c r="AU787"/>
  <c r="AV787" s="1"/>
  <c r="AU812"/>
  <c r="AV812" s="1"/>
  <c r="AU866"/>
  <c r="AV866" s="1"/>
  <c r="AS866"/>
  <c r="AT866" s="1"/>
  <c r="AU911"/>
  <c r="AV911" s="1"/>
  <c r="AS911"/>
  <c r="AT911" s="1"/>
  <c r="AQ911"/>
  <c r="AU723"/>
  <c r="AV723" s="1"/>
  <c r="AU731"/>
  <c r="AV731" s="1"/>
  <c r="AQ735"/>
  <c r="AU738"/>
  <c r="AV738" s="1"/>
  <c r="AU739"/>
  <c r="AV739" s="1"/>
  <c r="AS749"/>
  <c r="AT749" s="1"/>
  <c r="AS755"/>
  <c r="AT755" s="1"/>
  <c r="AU766"/>
  <c r="AV766" s="1"/>
  <c r="AS766"/>
  <c r="AT766" s="1"/>
  <c r="AQ766"/>
  <c r="AU768"/>
  <c r="AV768" s="1"/>
  <c r="AS768"/>
  <c r="AT768" s="1"/>
  <c r="AQ771"/>
  <c r="AS787"/>
  <c r="AT787" s="1"/>
  <c r="AQ789"/>
  <c r="AU792"/>
  <c r="AV792" s="1"/>
  <c r="AU795"/>
  <c r="AV795" s="1"/>
  <c r="AU843"/>
  <c r="AV843" s="1"/>
  <c r="AS843"/>
  <c r="AT843" s="1"/>
  <c r="AQ843"/>
  <c r="AS732"/>
  <c r="AT732" s="1"/>
  <c r="AQ741"/>
  <c r="AQ757"/>
  <c r="AU757"/>
  <c r="AV757" s="1"/>
  <c r="AU771"/>
  <c r="AV771" s="1"/>
  <c r="AU777"/>
  <c r="AV777" s="1"/>
  <c r="AS777"/>
  <c r="AT777" s="1"/>
  <c r="AQ777"/>
  <c r="AU782"/>
  <c r="AV782" s="1"/>
  <c r="AS795"/>
  <c r="AT795" s="1"/>
  <c r="AQ797"/>
  <c r="AU800"/>
  <c r="AV800" s="1"/>
  <c r="AU810"/>
  <c r="AV810" s="1"/>
  <c r="AS810"/>
  <c r="AT810" s="1"/>
  <c r="AS814"/>
  <c r="AT814" s="1"/>
  <c r="AQ709"/>
  <c r="AS735"/>
  <c r="AT735" s="1"/>
  <c r="AU747"/>
  <c r="AV747" s="1"/>
  <c r="AU753"/>
  <c r="AV753" s="1"/>
  <c r="AS753"/>
  <c r="AT753" s="1"/>
  <c r="AQ753"/>
  <c r="AU785"/>
  <c r="AV785" s="1"/>
  <c r="AS785"/>
  <c r="AT785" s="1"/>
  <c r="AQ785"/>
  <c r="AU841"/>
  <c r="AV841" s="1"/>
  <c r="AS841"/>
  <c r="AT841" s="1"/>
  <c r="AQ841"/>
  <c r="AQ737"/>
  <c r="AU741"/>
  <c r="AV741" s="1"/>
  <c r="AQ746"/>
  <c r="AU746"/>
  <c r="AV746" s="1"/>
  <c r="AS747"/>
  <c r="AT747" s="1"/>
  <c r="AU758"/>
  <c r="AV758" s="1"/>
  <c r="AS758"/>
  <c r="AT758" s="1"/>
  <c r="AQ758"/>
  <c r="AU760"/>
  <c r="AV760" s="1"/>
  <c r="AS760"/>
  <c r="AT760" s="1"/>
  <c r="AQ770"/>
  <c r="AQ773"/>
  <c r="AU773"/>
  <c r="AV773" s="1"/>
  <c r="AU793"/>
  <c r="AV793" s="1"/>
  <c r="AS793"/>
  <c r="AT793" s="1"/>
  <c r="AQ793"/>
  <c r="AU798"/>
  <c r="AV798" s="1"/>
  <c r="AU811"/>
  <c r="AV811" s="1"/>
  <c r="AU882"/>
  <c r="AV882" s="1"/>
  <c r="AS882"/>
  <c r="AT882" s="1"/>
  <c r="AU745"/>
  <c r="AV745" s="1"/>
  <c r="AS745"/>
  <c r="AT745" s="1"/>
  <c r="AQ745"/>
  <c r="AU763"/>
  <c r="AV763" s="1"/>
  <c r="AU769"/>
  <c r="AV769" s="1"/>
  <c r="AS769"/>
  <c r="AT769" s="1"/>
  <c r="AQ769"/>
  <c r="AU801"/>
  <c r="AV801" s="1"/>
  <c r="AS801"/>
  <c r="AT801" s="1"/>
  <c r="AQ801"/>
  <c r="AU806"/>
  <c r="AV806" s="1"/>
  <c r="AS743"/>
  <c r="AT743" s="1"/>
  <c r="AS757"/>
  <c r="AT757" s="1"/>
  <c r="AS763"/>
  <c r="AT763" s="1"/>
  <c r="AU774"/>
  <c r="AV774" s="1"/>
  <c r="AS774"/>
  <c r="AT774" s="1"/>
  <c r="AQ774"/>
  <c r="AU776"/>
  <c r="AV776" s="1"/>
  <c r="AS776"/>
  <c r="AT776" s="1"/>
  <c r="AS806"/>
  <c r="AT806" s="1"/>
  <c r="AU874"/>
  <c r="AV874" s="1"/>
  <c r="AS874"/>
  <c r="AT874" s="1"/>
  <c r="AU754"/>
  <c r="AV754" s="1"/>
  <c r="AU762"/>
  <c r="AV762" s="1"/>
  <c r="AU770"/>
  <c r="AV770" s="1"/>
  <c r="AU778"/>
  <c r="AV778" s="1"/>
  <c r="AQ782"/>
  <c r="AS784"/>
  <c r="AT784" s="1"/>
  <c r="AU786"/>
  <c r="AV786" s="1"/>
  <c r="AQ790"/>
  <c r="AS792"/>
  <c r="AT792" s="1"/>
  <c r="AU794"/>
  <c r="AV794" s="1"/>
  <c r="AQ798"/>
  <c r="AS800"/>
  <c r="AT800" s="1"/>
  <c r="AU802"/>
  <c r="AV802" s="1"/>
  <c r="AQ806"/>
  <c r="AS807"/>
  <c r="AT807" s="1"/>
  <c r="AS815"/>
  <c r="AT815" s="1"/>
  <c r="AU818"/>
  <c r="AV818" s="1"/>
  <c r="AS824"/>
  <c r="AT824" s="1"/>
  <c r="AS832"/>
  <c r="AT832" s="1"/>
  <c r="AQ848"/>
  <c r="AU781"/>
  <c r="AV781" s="1"/>
  <c r="AU789"/>
  <c r="AV789" s="1"/>
  <c r="AU797"/>
  <c r="AV797" s="1"/>
  <c r="AU805"/>
  <c r="AV805" s="1"/>
  <c r="AU817"/>
  <c r="AV817" s="1"/>
  <c r="AQ817"/>
  <c r="AU822"/>
  <c r="AV822" s="1"/>
  <c r="AU825"/>
  <c r="AV825" s="1"/>
  <c r="AS825"/>
  <c r="AT825" s="1"/>
  <c r="AQ825"/>
  <c r="AU830"/>
  <c r="AV830" s="1"/>
  <c r="AU833"/>
  <c r="AV833" s="1"/>
  <c r="AS833"/>
  <c r="AT833" s="1"/>
  <c r="AQ833"/>
  <c r="AU838"/>
  <c r="AV838" s="1"/>
  <c r="AU849"/>
  <c r="AV849" s="1"/>
  <c r="AS849"/>
  <c r="AT849" s="1"/>
  <c r="AQ849"/>
  <c r="AU851"/>
  <c r="AV851" s="1"/>
  <c r="AS851"/>
  <c r="AT851" s="1"/>
  <c r="AU864"/>
  <c r="AV864" s="1"/>
  <c r="AS864"/>
  <c r="AT864" s="1"/>
  <c r="AU867"/>
  <c r="AV867" s="1"/>
  <c r="AS867"/>
  <c r="AT867" s="1"/>
  <c r="AQ867"/>
  <c r="AU870"/>
  <c r="AV870" s="1"/>
  <c r="AS870"/>
  <c r="AT870" s="1"/>
  <c r="AQ870"/>
  <c r="AU872"/>
  <c r="AV872" s="1"/>
  <c r="AS872"/>
  <c r="AT872" s="1"/>
  <c r="AU875"/>
  <c r="AV875" s="1"/>
  <c r="AS875"/>
  <c r="AT875" s="1"/>
  <c r="AQ875"/>
  <c r="AU878"/>
  <c r="AV878" s="1"/>
  <c r="AS878"/>
  <c r="AT878" s="1"/>
  <c r="AQ878"/>
  <c r="AU880"/>
  <c r="AV880" s="1"/>
  <c r="AS880"/>
  <c r="AT880" s="1"/>
  <c r="AU883"/>
  <c r="AV883" s="1"/>
  <c r="AS883"/>
  <c r="AT883" s="1"/>
  <c r="AQ883"/>
  <c r="AS782"/>
  <c r="AT782" s="1"/>
  <c r="AS790"/>
  <c r="AT790" s="1"/>
  <c r="AS798"/>
  <c r="AT798" s="1"/>
  <c r="AU809"/>
  <c r="AV809" s="1"/>
  <c r="AQ809"/>
  <c r="AU819"/>
  <c r="AV819" s="1"/>
  <c r="AS819"/>
  <c r="AT819" s="1"/>
  <c r="AQ821"/>
  <c r="AS823"/>
  <c r="AT823" s="1"/>
  <c r="AQ823"/>
  <c r="AU827"/>
  <c r="AV827" s="1"/>
  <c r="AS827"/>
  <c r="AT827" s="1"/>
  <c r="AQ829"/>
  <c r="AS831"/>
  <c r="AT831" s="1"/>
  <c r="AQ831"/>
  <c r="AU835"/>
  <c r="AV835" s="1"/>
  <c r="AS835"/>
  <c r="AT835" s="1"/>
  <c r="AQ837"/>
  <c r="AU856"/>
  <c r="AV856" s="1"/>
  <c r="AS856"/>
  <c r="AT856" s="1"/>
  <c r="AU859"/>
  <c r="AV859" s="1"/>
  <c r="AS859"/>
  <c r="AT859" s="1"/>
  <c r="AQ859"/>
  <c r="AU862"/>
  <c r="AV862" s="1"/>
  <c r="AS862"/>
  <c r="AT862" s="1"/>
  <c r="AQ862"/>
  <c r="AQ896"/>
  <c r="AU896"/>
  <c r="AV896" s="1"/>
  <c r="AS896"/>
  <c r="AT896" s="1"/>
  <c r="AQ743"/>
  <c r="AQ751"/>
  <c r="AQ759"/>
  <c r="AQ767"/>
  <c r="AQ775"/>
  <c r="AQ783"/>
  <c r="AQ791"/>
  <c r="AQ799"/>
  <c r="AQ814"/>
  <c r="AQ815"/>
  <c r="AU840"/>
  <c r="AV840" s="1"/>
  <c r="AU846"/>
  <c r="AV846" s="1"/>
  <c r="AS846"/>
  <c r="AT846" s="1"/>
  <c r="AU854"/>
  <c r="AV854" s="1"/>
  <c r="AS854"/>
  <c r="AT854" s="1"/>
  <c r="AQ854"/>
  <c r="AS858"/>
  <c r="AT858" s="1"/>
  <c r="AQ866"/>
  <c r="AQ874"/>
  <c r="AQ882"/>
  <c r="AS811"/>
  <c r="AT811" s="1"/>
  <c r="AQ858"/>
  <c r="AQ869"/>
  <c r="AQ877"/>
  <c r="AQ885"/>
  <c r="AU807"/>
  <c r="AV807" s="1"/>
  <c r="AS812"/>
  <c r="AT812" s="1"/>
  <c r="AU815"/>
  <c r="AV815" s="1"/>
  <c r="AS844"/>
  <c r="AT844" s="1"/>
  <c r="AQ844"/>
  <c r="AQ845"/>
  <c r="AU848"/>
  <c r="AV848" s="1"/>
  <c r="AQ861"/>
  <c r="AQ813"/>
  <c r="AU813"/>
  <c r="AV813" s="1"/>
  <c r="AU814"/>
  <c r="AV814" s="1"/>
  <c r="AS891"/>
  <c r="AT891" s="1"/>
  <c r="AQ891"/>
  <c r="AS887"/>
  <c r="AT887" s="1"/>
  <c r="AU895"/>
  <c r="AV895" s="1"/>
  <c r="AS895"/>
  <c r="AT895" s="1"/>
  <c r="AQ895"/>
  <c r="AU899"/>
  <c r="AV899" s="1"/>
  <c r="AU907"/>
  <c r="AV907" s="1"/>
  <c r="AU916"/>
  <c r="AV916" s="1"/>
  <c r="AS916"/>
  <c r="AT916" s="1"/>
  <c r="AQ916"/>
  <c r="AU918"/>
  <c r="AV918" s="1"/>
  <c r="AQ939"/>
  <c r="AU942"/>
  <c r="AV942" s="1"/>
  <c r="AU975"/>
  <c r="AV975" s="1"/>
  <c r="AS975"/>
  <c r="AT975" s="1"/>
  <c r="AQ975"/>
  <c r="AU927"/>
  <c r="AV927" s="1"/>
  <c r="AS927"/>
  <c r="AT927" s="1"/>
  <c r="AQ927"/>
  <c r="AU983"/>
  <c r="AV983" s="1"/>
  <c r="AS983"/>
  <c r="AT983" s="1"/>
  <c r="AQ983"/>
  <c r="AU821"/>
  <c r="AV821" s="1"/>
  <c r="AU829"/>
  <c r="AV829" s="1"/>
  <c r="AU837"/>
  <c r="AV837" s="1"/>
  <c r="AU845"/>
  <c r="AV845" s="1"/>
  <c r="AU853"/>
  <c r="AV853" s="1"/>
  <c r="AQ857"/>
  <c r="AU861"/>
  <c r="AV861" s="1"/>
  <c r="AQ865"/>
  <c r="AU869"/>
  <c r="AV869" s="1"/>
  <c r="AQ873"/>
  <c r="AU877"/>
  <c r="AV877" s="1"/>
  <c r="AQ881"/>
  <c r="AU885"/>
  <c r="AV885" s="1"/>
  <c r="AU889"/>
  <c r="AV889" s="1"/>
  <c r="AS889"/>
  <c r="AT889" s="1"/>
  <c r="AU892"/>
  <c r="AV892" s="1"/>
  <c r="AQ892"/>
  <c r="AS894"/>
  <c r="AT894" s="1"/>
  <c r="AU903"/>
  <c r="AV903" s="1"/>
  <c r="AS903"/>
  <c r="AT903" s="1"/>
  <c r="AQ903"/>
  <c r="AS910"/>
  <c r="AT910" s="1"/>
  <c r="AU935"/>
  <c r="AV935" s="1"/>
  <c r="AS935"/>
  <c r="AT935" s="1"/>
  <c r="AQ935"/>
  <c r="AU940"/>
  <c r="AV940" s="1"/>
  <c r="AU953"/>
  <c r="AV953" s="1"/>
  <c r="AU958"/>
  <c r="AV958" s="1"/>
  <c r="AS961"/>
  <c r="AT961" s="1"/>
  <c r="AU991"/>
  <c r="AV991" s="1"/>
  <c r="AS991"/>
  <c r="AT991" s="1"/>
  <c r="AQ991"/>
  <c r="AU996"/>
  <c r="AV996" s="1"/>
  <c r="AQ852"/>
  <c r="AQ860"/>
  <c r="AQ868"/>
  <c r="AQ876"/>
  <c r="AQ884"/>
  <c r="AS886"/>
  <c r="AT886" s="1"/>
  <c r="AQ898"/>
  <c r="AU908"/>
  <c r="AV908" s="1"/>
  <c r="AS908"/>
  <c r="AT908" s="1"/>
  <c r="AQ908"/>
  <c r="AQ920"/>
  <c r="AU943"/>
  <c r="AV943" s="1"/>
  <c r="AS943"/>
  <c r="AT943" s="1"/>
  <c r="AQ943"/>
  <c r="AU961"/>
  <c r="AV961" s="1"/>
  <c r="AQ979"/>
  <c r="AU999"/>
  <c r="AV999" s="1"/>
  <c r="AS999"/>
  <c r="AT999" s="1"/>
  <c r="AQ999"/>
  <c r="AQ839"/>
  <c r="AQ847"/>
  <c r="AS857"/>
  <c r="AT857" s="1"/>
  <c r="AS865"/>
  <c r="AT865" s="1"/>
  <c r="AS873"/>
  <c r="AT873" s="1"/>
  <c r="AS881"/>
  <c r="AT881" s="1"/>
  <c r="AQ887"/>
  <c r="AS899"/>
  <c r="AT899" s="1"/>
  <c r="AU900"/>
  <c r="AV900" s="1"/>
  <c r="AQ900"/>
  <c r="AS901"/>
  <c r="AT901" s="1"/>
  <c r="AQ901"/>
  <c r="AQ918"/>
  <c r="AU919"/>
  <c r="AV919" s="1"/>
  <c r="AS919"/>
  <c r="AT919" s="1"/>
  <c r="AQ919"/>
  <c r="AU931"/>
  <c r="AV931" s="1"/>
  <c r="AU951"/>
  <c r="AV951" s="1"/>
  <c r="AS951"/>
  <c r="AT951" s="1"/>
  <c r="AQ951"/>
  <c r="AU982"/>
  <c r="AV982" s="1"/>
  <c r="AQ987"/>
  <c r="AS907"/>
  <c r="AT907" s="1"/>
  <c r="AU915"/>
  <c r="AV915" s="1"/>
  <c r="AU924"/>
  <c r="AV924" s="1"/>
  <c r="AS924"/>
  <c r="AT924" s="1"/>
  <c r="AQ924"/>
  <c r="AU926"/>
  <c r="AV926" s="1"/>
  <c r="AS934"/>
  <c r="AT934" s="1"/>
  <c r="AU939"/>
  <c r="AV939" s="1"/>
  <c r="AU959"/>
  <c r="AV959" s="1"/>
  <c r="AS959"/>
  <c r="AT959" s="1"/>
  <c r="AQ959"/>
  <c r="AU964"/>
  <c r="AV964" s="1"/>
  <c r="AS977"/>
  <c r="AT977" s="1"/>
  <c r="AU990"/>
  <c r="AV990" s="1"/>
  <c r="AQ995"/>
  <c r="AU887"/>
  <c r="AV887" s="1"/>
  <c r="AS888"/>
  <c r="AT888" s="1"/>
  <c r="AU891"/>
  <c r="AV891" s="1"/>
  <c r="AU897"/>
  <c r="AV897" s="1"/>
  <c r="AS898"/>
  <c r="AT898" s="1"/>
  <c r="AQ912"/>
  <c r="AQ915"/>
  <c r="AS918"/>
  <c r="AT918" s="1"/>
  <c r="AU929"/>
  <c r="AV929" s="1"/>
  <c r="AS942"/>
  <c r="AT942" s="1"/>
  <c r="AU947"/>
  <c r="AV947" s="1"/>
  <c r="AU967"/>
  <c r="AV967" s="1"/>
  <c r="AS967"/>
  <c r="AT967" s="1"/>
  <c r="AQ967"/>
  <c r="AU977"/>
  <c r="AV977" s="1"/>
  <c r="AS985"/>
  <c r="AT985" s="1"/>
  <c r="AU998"/>
  <c r="AV998" s="1"/>
  <c r="AU904"/>
  <c r="AV904" s="1"/>
  <c r="AU912"/>
  <c r="AV912" s="1"/>
  <c r="AU920"/>
  <c r="AV920" s="1"/>
  <c r="AU928"/>
  <c r="AV928" s="1"/>
  <c r="AQ932"/>
  <c r="AU936"/>
  <c r="AV936" s="1"/>
  <c r="AQ940"/>
  <c r="AU944"/>
  <c r="AV944" s="1"/>
  <c r="AQ948"/>
  <c r="AU952"/>
  <c r="AV952" s="1"/>
  <c r="AQ956"/>
  <c r="AU960"/>
  <c r="AV960" s="1"/>
  <c r="AQ964"/>
  <c r="AU968"/>
  <c r="AV968" s="1"/>
  <c r="AQ972"/>
  <c r="AS974"/>
  <c r="AT974" s="1"/>
  <c r="AQ980"/>
  <c r="AS982"/>
  <c r="AT982" s="1"/>
  <c r="AQ988"/>
  <c r="AS990"/>
  <c r="AT990" s="1"/>
  <c r="AQ996"/>
  <c r="AS998"/>
  <c r="AT998" s="1"/>
  <c r="AS897"/>
  <c r="AT897" s="1"/>
  <c r="AS905"/>
  <c r="AT905" s="1"/>
  <c r="AS913"/>
  <c r="AT913" s="1"/>
  <c r="AS921"/>
  <c r="AT921" s="1"/>
  <c r="AS929"/>
  <c r="AT929" s="1"/>
  <c r="AS937"/>
  <c r="AT937" s="1"/>
  <c r="AS945"/>
  <c r="AT945" s="1"/>
  <c r="AU955"/>
  <c r="AV955" s="1"/>
  <c r="AS969"/>
  <c r="AT969" s="1"/>
  <c r="AU971"/>
  <c r="AV971" s="1"/>
  <c r="AU979"/>
  <c r="AV979" s="1"/>
  <c r="AU987"/>
  <c r="AV987" s="1"/>
  <c r="AU995"/>
  <c r="AV995" s="1"/>
  <c r="AS932"/>
  <c r="AT932" s="1"/>
  <c r="AS940"/>
  <c r="AT940" s="1"/>
  <c r="AS948"/>
  <c r="AT948" s="1"/>
  <c r="AS956"/>
  <c r="AT956" s="1"/>
  <c r="AS964"/>
  <c r="AT964" s="1"/>
  <c r="AS972"/>
  <c r="AT972" s="1"/>
  <c r="AS980"/>
  <c r="AT980" s="1"/>
  <c r="AS988"/>
  <c r="AT988" s="1"/>
  <c r="AS996"/>
  <c r="AT996" s="1"/>
  <c r="AQ917"/>
  <c r="AQ925"/>
  <c r="AQ933"/>
  <c r="AQ941"/>
  <c r="AQ949"/>
  <c r="AQ957"/>
  <c r="AQ965"/>
  <c r="AQ973"/>
  <c r="AQ5"/>
  <c r="S556" i="1" l="1"/>
  <c r="R498"/>
  <c r="R322"/>
  <c r="R398"/>
  <c r="R797"/>
  <c r="R424"/>
  <c r="S552"/>
  <c r="S562"/>
  <c r="S999"/>
  <c r="S828"/>
  <c r="S112"/>
  <c r="S841"/>
  <c r="S923"/>
  <c r="R764"/>
  <c r="R646"/>
  <c r="S494"/>
  <c r="S147"/>
  <c r="S710"/>
  <c r="S650"/>
  <c r="R890"/>
  <c r="R496"/>
  <c r="R487"/>
  <c r="R667"/>
  <c r="S595"/>
  <c r="R762"/>
  <c r="R947"/>
  <c r="R629"/>
  <c r="S857"/>
  <c r="R929"/>
  <c r="R716"/>
  <c r="R800"/>
  <c r="S652"/>
  <c r="R918"/>
  <c r="S325"/>
  <c r="R489"/>
  <c r="R853"/>
  <c r="R234"/>
  <c r="S491"/>
  <c r="R817"/>
  <c r="R393"/>
  <c r="S927"/>
  <c r="R384"/>
  <c r="R905"/>
  <c r="S727"/>
  <c r="S485"/>
  <c r="S19"/>
  <c r="S315"/>
  <c r="S734"/>
  <c r="S663"/>
  <c r="R507"/>
  <c r="S732"/>
  <c r="R580"/>
  <c r="S844"/>
  <c r="S883"/>
  <c r="R492"/>
  <c r="S590"/>
  <c r="S542"/>
  <c r="R373"/>
  <c r="R988"/>
  <c r="R948"/>
  <c r="R681"/>
  <c r="S935"/>
  <c r="R964"/>
  <c r="R553"/>
  <c r="S379"/>
  <c r="S736"/>
  <c r="S760"/>
  <c r="S603"/>
  <c r="S729"/>
  <c r="S573"/>
  <c r="S751"/>
  <c r="S514"/>
  <c r="S742"/>
  <c r="R816"/>
  <c r="S958"/>
  <c r="R956"/>
  <c r="R191"/>
  <c r="R543"/>
  <c r="R665"/>
  <c r="R819"/>
  <c r="R421"/>
  <c r="R970"/>
  <c r="R329"/>
  <c r="R777"/>
  <c r="R977"/>
  <c r="S758"/>
  <c r="R648"/>
  <c r="R651"/>
  <c r="S366"/>
  <c r="S488"/>
  <c r="R867"/>
  <c r="R249"/>
  <c r="R139"/>
  <c r="S335"/>
  <c r="R444"/>
  <c r="R689"/>
  <c r="S333"/>
  <c r="S13"/>
  <c r="S939"/>
  <c r="R687"/>
  <c r="R432"/>
  <c r="R990"/>
  <c r="R515"/>
  <c r="R151"/>
  <c r="R157"/>
  <c r="S856"/>
  <c r="S246"/>
  <c r="R171"/>
  <c r="R512"/>
  <c r="R674"/>
  <c r="R44"/>
  <c r="R676"/>
  <c r="S937"/>
  <c r="R449"/>
  <c r="R598"/>
  <c r="R340"/>
  <c r="R113"/>
  <c r="S609"/>
  <c r="S522"/>
  <c r="R94"/>
  <c r="Y569"/>
  <c r="R968"/>
  <c r="R502"/>
  <c r="R516"/>
  <c r="R267"/>
  <c r="R959"/>
  <c r="R801"/>
  <c r="S612"/>
  <c r="R435"/>
  <c r="S503"/>
  <c r="R772"/>
  <c r="R150"/>
  <c r="S353"/>
  <c r="S436"/>
  <c r="R770"/>
  <c r="S258"/>
  <c r="S960"/>
  <c r="R790"/>
  <c r="R899"/>
  <c r="S714"/>
  <c r="R618"/>
  <c r="R831"/>
  <c r="S735"/>
  <c r="S641"/>
  <c r="S454"/>
  <c r="R358"/>
  <c r="S254"/>
  <c r="R868"/>
  <c r="R640"/>
  <c r="R675"/>
  <c r="R479"/>
  <c r="S143"/>
  <c r="R49"/>
  <c r="S668"/>
  <c r="R297"/>
  <c r="R233"/>
  <c r="U569"/>
  <c r="S806"/>
  <c r="R891"/>
  <c r="S673"/>
  <c r="R465"/>
  <c r="S452"/>
  <c r="S486"/>
  <c r="S500"/>
  <c r="R219"/>
  <c r="R323"/>
  <c r="S91"/>
  <c r="R614"/>
  <c r="S445"/>
  <c r="R387"/>
  <c r="S898"/>
  <c r="R263"/>
  <c r="R613"/>
  <c r="S448"/>
  <c r="S549"/>
  <c r="R438"/>
  <c r="S374"/>
  <c r="S28"/>
  <c r="S308"/>
  <c r="R561"/>
  <c r="S394"/>
  <c r="R120"/>
  <c r="S570"/>
  <c r="R7"/>
  <c r="S782"/>
  <c r="R788"/>
  <c r="R634"/>
  <c r="R283"/>
  <c r="S210"/>
  <c r="S46"/>
  <c r="S97"/>
  <c r="R317"/>
  <c r="R627"/>
  <c r="R33"/>
  <c r="S228"/>
  <c r="S56"/>
  <c r="R900"/>
  <c r="S913"/>
  <c r="S722"/>
  <c r="R654"/>
  <c r="S506"/>
  <c r="R92"/>
  <c r="S861"/>
  <c r="R376"/>
  <c r="S840"/>
  <c r="R499"/>
  <c r="S737"/>
  <c r="S625"/>
  <c r="S310"/>
  <c r="S274"/>
  <c r="S720"/>
  <c r="R615"/>
  <c r="S628"/>
  <c r="R926"/>
  <c r="S786"/>
  <c r="R564"/>
  <c r="R265"/>
  <c r="S660"/>
  <c r="R671"/>
  <c r="R205"/>
  <c r="S834"/>
  <c r="R451"/>
  <c r="R563"/>
  <c r="S976"/>
  <c r="R476"/>
  <c r="S146"/>
  <c r="S337"/>
  <c r="R388"/>
  <c r="S887"/>
  <c r="R269"/>
  <c r="R272"/>
  <c r="S768"/>
  <c r="R109"/>
  <c r="S122"/>
  <c r="S825"/>
  <c r="S39"/>
  <c r="R39"/>
  <c r="R82"/>
  <c r="S82"/>
  <c r="R51"/>
  <c r="S51"/>
  <c r="R116"/>
  <c r="S116"/>
  <c r="R53"/>
  <c r="S53"/>
  <c r="R858"/>
  <c r="S858"/>
  <c r="S585"/>
  <c r="R585"/>
  <c r="S361"/>
  <c r="R361"/>
  <c r="S165"/>
  <c r="R165"/>
  <c r="T910"/>
  <c r="S851"/>
  <c r="S746"/>
  <c r="S682"/>
  <c r="R666"/>
  <c r="R597"/>
  <c r="S657"/>
  <c r="S521"/>
  <c r="R510"/>
  <c r="R348"/>
  <c r="R70"/>
  <c r="S134"/>
  <c r="S158"/>
  <c r="S911"/>
  <c r="S679"/>
  <c r="S885"/>
  <c r="R910"/>
  <c r="S575"/>
  <c r="S425"/>
  <c r="S813"/>
  <c r="R567"/>
  <c r="S567"/>
  <c r="S577"/>
  <c r="R577"/>
  <c r="S417"/>
  <c r="R417"/>
  <c r="S346"/>
  <c r="R346"/>
  <c r="S278"/>
  <c r="R278"/>
  <c r="R162"/>
  <c r="S162"/>
  <c r="S126"/>
  <c r="R126"/>
  <c r="S62"/>
  <c r="R62"/>
  <c r="S125"/>
  <c r="R125"/>
  <c r="S945"/>
  <c r="R759"/>
  <c r="R411"/>
  <c r="S909"/>
  <c r="R909"/>
  <c r="S389"/>
  <c r="R389"/>
  <c r="R327"/>
  <c r="S327"/>
  <c r="R270"/>
  <c r="S270"/>
  <c r="S209"/>
  <c r="R209"/>
  <c r="S128"/>
  <c r="R128"/>
  <c r="R971"/>
  <c r="S661"/>
  <c r="S469"/>
  <c r="R975"/>
  <c r="S170"/>
  <c r="S748"/>
  <c r="S902"/>
  <c r="R902"/>
  <c r="S888"/>
  <c r="R944"/>
  <c r="S835"/>
  <c r="S921"/>
  <c r="R761"/>
  <c r="R931"/>
  <c r="S730"/>
  <c r="R594"/>
  <c r="R695"/>
  <c r="R474"/>
  <c r="R462"/>
  <c r="S154"/>
  <c r="R343"/>
  <c r="R662"/>
  <c r="R996"/>
  <c r="S726"/>
  <c r="R842"/>
  <c r="S639"/>
  <c r="R331"/>
  <c r="S535"/>
  <c r="R277"/>
  <c r="R632"/>
  <c r="R571"/>
  <c r="S608"/>
  <c r="S757"/>
  <c r="R395"/>
  <c r="S402"/>
  <c r="S161"/>
  <c r="S951"/>
  <c r="R951"/>
  <c r="R718"/>
  <c r="S718"/>
  <c r="S805"/>
  <c r="R805"/>
  <c r="S447"/>
  <c r="R447"/>
  <c r="R262"/>
  <c r="S262"/>
  <c r="R198"/>
  <c r="S198"/>
  <c r="S201"/>
  <c r="R201"/>
  <c r="R697"/>
  <c r="S633"/>
  <c r="R490"/>
  <c r="R574"/>
  <c r="R530"/>
  <c r="R407"/>
  <c r="R412"/>
  <c r="S206"/>
  <c r="R341"/>
  <c r="S130"/>
  <c r="S54"/>
  <c r="S286"/>
  <c r="S877"/>
  <c r="R846"/>
  <c r="R941"/>
  <c r="R702"/>
  <c r="R271"/>
  <c r="S298"/>
  <c r="R611"/>
  <c r="U926"/>
  <c r="S659"/>
  <c r="R928"/>
  <c r="R864"/>
  <c r="R638"/>
  <c r="R704"/>
  <c r="S704"/>
  <c r="S847"/>
  <c r="R847"/>
  <c r="S545"/>
  <c r="R545"/>
  <c r="R385"/>
  <c r="S385"/>
  <c r="S378"/>
  <c r="R378"/>
  <c r="S431"/>
  <c r="R431"/>
  <c r="R683"/>
  <c r="R354"/>
  <c r="R471"/>
  <c r="S838"/>
  <c r="R997"/>
  <c r="S997"/>
  <c r="T926"/>
  <c r="S940"/>
  <c r="R848"/>
  <c r="R783"/>
  <c r="R743"/>
  <c r="S481"/>
  <c r="R622"/>
  <c r="R429"/>
  <c r="R508"/>
  <c r="S572"/>
  <c r="R118"/>
  <c r="S218"/>
  <c r="R222"/>
  <c r="R493"/>
  <c r="S845"/>
  <c r="S821"/>
  <c r="S766"/>
  <c r="S910"/>
  <c r="S644"/>
  <c r="S588"/>
  <c r="S463"/>
  <c r="S495"/>
  <c r="R223"/>
  <c r="S80"/>
  <c r="S207"/>
  <c r="R253"/>
  <c r="S290"/>
  <c r="R215"/>
  <c r="S296"/>
  <c r="R684"/>
  <c r="R392"/>
  <c r="S906"/>
  <c r="AJ926"/>
  <c r="S875"/>
  <c r="R642"/>
  <c r="R578"/>
  <c r="S569"/>
  <c r="R524"/>
  <c r="S179"/>
  <c r="S957"/>
  <c r="R256"/>
  <c r="S587"/>
  <c r="S523"/>
  <c r="S635"/>
  <c r="S731"/>
  <c r="T569"/>
  <c r="S599"/>
  <c r="R293"/>
  <c r="S66"/>
  <c r="R733"/>
  <c r="R229"/>
  <c r="S600"/>
  <c r="R700"/>
  <c r="S104"/>
  <c r="S79"/>
  <c r="R986"/>
  <c r="S965"/>
  <c r="AR964" i="2"/>
  <c r="Z964" i="1" s="1"/>
  <c r="Y964"/>
  <c r="AR831" i="2"/>
  <c r="Z831" i="1" s="1"/>
  <c r="Y831"/>
  <c r="AR801" i="2"/>
  <c r="Z801" i="1" s="1"/>
  <c r="Y801"/>
  <c r="AR603" i="2"/>
  <c r="Z603" i="1" s="1"/>
  <c r="Y603"/>
  <c r="T603" s="1"/>
  <c r="AR716" i="2"/>
  <c r="Z716" i="1" s="1"/>
  <c r="Y716"/>
  <c r="AR516" i="2"/>
  <c r="Z516" i="1" s="1"/>
  <c r="Y516"/>
  <c r="AR126" i="2"/>
  <c r="Z126" i="1" s="1"/>
  <c r="Y126"/>
  <c r="AR10" i="2"/>
  <c r="Z10" i="1" s="1"/>
  <c r="Y10"/>
  <c r="T10" s="1"/>
  <c r="AR15" i="2"/>
  <c r="Z15" i="1" s="1"/>
  <c r="Y15"/>
  <c r="AR808" i="2"/>
  <c r="Z808" i="1" s="1"/>
  <c r="Y808"/>
  <c r="AR904" i="2"/>
  <c r="Z904" i="1" s="1"/>
  <c r="Y904"/>
  <c r="T904" s="1"/>
  <c r="AR299" i="2"/>
  <c r="Z299" i="1" s="1"/>
  <c r="Y299"/>
  <c r="AR349" i="2"/>
  <c r="Z349" i="1" s="1"/>
  <c r="Y349"/>
  <c r="AR467" i="2"/>
  <c r="Z467" i="1" s="1"/>
  <c r="Y467"/>
  <c r="AR84" i="2"/>
  <c r="Z84" i="1" s="1"/>
  <c r="Y84"/>
  <c r="U84" s="1"/>
  <c r="AR847" i="2"/>
  <c r="Z847" i="1" s="1"/>
  <c r="Y847"/>
  <c r="T847" s="1"/>
  <c r="AR536" i="2"/>
  <c r="Z536" i="1" s="1"/>
  <c r="Y536"/>
  <c r="AR433" i="2"/>
  <c r="Z433" i="1" s="1"/>
  <c r="Y433"/>
  <c r="AR262" i="2"/>
  <c r="Z262" i="1" s="1"/>
  <c r="Y262"/>
  <c r="AR369" i="2"/>
  <c r="Z369" i="1" s="1"/>
  <c r="Y369"/>
  <c r="AR219" i="2"/>
  <c r="Z219" i="1" s="1"/>
  <c r="Y219"/>
  <c r="AR11" i="2"/>
  <c r="Z11" i="1" s="1"/>
  <c r="Y11"/>
  <c r="AR130" i="2"/>
  <c r="Z130" i="1" s="1"/>
  <c r="Y130"/>
  <c r="AR226" i="2"/>
  <c r="Z226" i="1" s="1"/>
  <c r="Y226"/>
  <c r="AR28" i="2"/>
  <c r="Z28" i="1" s="1"/>
  <c r="Y28"/>
  <c r="AR840" i="2"/>
  <c r="Z840" i="1" s="1"/>
  <c r="Y840"/>
  <c r="AR587" i="2"/>
  <c r="Z587" i="1" s="1"/>
  <c r="Y587"/>
  <c r="AR132" i="2"/>
  <c r="Z132" i="1" s="1"/>
  <c r="Y132"/>
  <c r="AR140" i="2"/>
  <c r="Z140" i="1" s="1"/>
  <c r="Y140"/>
  <c r="AR906" i="2"/>
  <c r="Z906" i="1" s="1"/>
  <c r="Y906"/>
  <c r="AR956" i="2"/>
  <c r="Z956" i="1" s="1"/>
  <c r="Y956"/>
  <c r="AR959" i="2"/>
  <c r="Z959" i="1" s="1"/>
  <c r="Y959"/>
  <c r="AR839" i="2"/>
  <c r="Z839" i="1" s="1"/>
  <c r="Y839"/>
  <c r="AR903" i="2"/>
  <c r="Z903" i="1" s="1"/>
  <c r="Y903"/>
  <c r="AR799" i="2"/>
  <c r="Z799" i="1" s="1"/>
  <c r="Y799"/>
  <c r="AR809" i="2"/>
  <c r="Z809" i="1" s="1"/>
  <c r="Y809"/>
  <c r="AR833" i="2"/>
  <c r="Z833" i="1" s="1"/>
  <c r="Y833"/>
  <c r="AR621" i="2"/>
  <c r="Z621" i="1" s="1"/>
  <c r="Y621"/>
  <c r="AR611" i="2"/>
  <c r="Z611" i="1" s="1"/>
  <c r="Y611"/>
  <c r="AR538" i="2"/>
  <c r="Z538" i="1" s="1"/>
  <c r="Y538"/>
  <c r="AR656" i="2"/>
  <c r="Z656" i="1" s="1"/>
  <c r="Y656"/>
  <c r="AR238" i="2"/>
  <c r="Z238" i="1" s="1"/>
  <c r="Y238"/>
  <c r="AR174" i="2"/>
  <c r="Z174" i="1" s="1"/>
  <c r="Y174"/>
  <c r="AR63" i="2"/>
  <c r="Z63" i="1" s="1"/>
  <c r="Y63"/>
  <c r="U63" s="1"/>
  <c r="AR868" i="2"/>
  <c r="Z868" i="1" s="1"/>
  <c r="Y868"/>
  <c r="AR769" i="2"/>
  <c r="Z769" i="1" s="1"/>
  <c r="Y769"/>
  <c r="AR746" i="2"/>
  <c r="Z746" i="1" s="1"/>
  <c r="Y746"/>
  <c r="AR766" i="2"/>
  <c r="Z766" i="1" s="1"/>
  <c r="Y766"/>
  <c r="AR718" i="2"/>
  <c r="Z718" i="1" s="1"/>
  <c r="Y718"/>
  <c r="AR699" i="2"/>
  <c r="Z699" i="1" s="1"/>
  <c r="Y699"/>
  <c r="AR933" i="2"/>
  <c r="Z933" i="1" s="1"/>
  <c r="Y933"/>
  <c r="AR972" i="2"/>
  <c r="Z972" i="1" s="1"/>
  <c r="Y972"/>
  <c r="AR940" i="2"/>
  <c r="Z940" i="1" s="1"/>
  <c r="Y940"/>
  <c r="AR995" i="2"/>
  <c r="Z995" i="1" s="1"/>
  <c r="Y995"/>
  <c r="AR918" i="2"/>
  <c r="Z918" i="1" s="1"/>
  <c r="Y918"/>
  <c r="U918" s="1"/>
  <c r="AR979" i="2"/>
  <c r="Z979" i="1" s="1"/>
  <c r="Y979"/>
  <c r="AR935" i="2"/>
  <c r="Z935" i="1" s="1"/>
  <c r="Y935"/>
  <c r="AR892" i="2"/>
  <c r="Z892" i="1" s="1"/>
  <c r="Y892"/>
  <c r="AR882" i="2"/>
  <c r="Z882" i="1" s="1"/>
  <c r="Y882"/>
  <c r="AR767" i="2"/>
  <c r="Z767" i="1" s="1"/>
  <c r="Y767"/>
  <c r="AR849" i="2"/>
  <c r="Z849" i="1" s="1"/>
  <c r="Y849"/>
  <c r="AR825" i="2"/>
  <c r="Z825" i="1" s="1"/>
  <c r="Y825"/>
  <c r="AR806" i="2"/>
  <c r="Z806" i="1" s="1"/>
  <c r="Y806"/>
  <c r="AR793" i="2"/>
  <c r="Z793" i="1" s="1"/>
  <c r="Y793"/>
  <c r="AR758" i="2"/>
  <c r="Z758" i="1" s="1"/>
  <c r="Y758"/>
  <c r="AR841" i="2"/>
  <c r="Z841" i="1" s="1"/>
  <c r="Y841"/>
  <c r="AR797" i="2"/>
  <c r="Z797" i="1" s="1"/>
  <c r="Y797"/>
  <c r="U797" s="1"/>
  <c r="AR757" i="2"/>
  <c r="Z757" i="1" s="1"/>
  <c r="Y757"/>
  <c r="AR789" i="2"/>
  <c r="Z789" i="1" s="1"/>
  <c r="Y789"/>
  <c r="AR691" i="2"/>
  <c r="Z691" i="1" s="1"/>
  <c r="Y691"/>
  <c r="AR736" i="2"/>
  <c r="Z736" i="1" s="1"/>
  <c r="Y736"/>
  <c r="AR680" i="2"/>
  <c r="Z680" i="1" s="1"/>
  <c r="Y680"/>
  <c r="AR687" i="2"/>
  <c r="Z687" i="1" s="1"/>
  <c r="Y687"/>
  <c r="AR637" i="2"/>
  <c r="Z637" i="1" s="1"/>
  <c r="Y637"/>
  <c r="AR605" i="2"/>
  <c r="Z605" i="1" s="1"/>
  <c r="Y605"/>
  <c r="U605" s="1"/>
  <c r="AR644" i="2"/>
  <c r="Z644" i="1" s="1"/>
  <c r="Y644"/>
  <c r="AR660" i="2"/>
  <c r="Z660" i="1" s="1"/>
  <c r="Y660"/>
  <c r="AR645" i="2"/>
  <c r="Z645" i="1" s="1"/>
  <c r="Y645"/>
  <c r="AR616" i="2"/>
  <c r="Z616" i="1" s="1"/>
  <c r="Y616"/>
  <c r="AR602" i="2"/>
  <c r="Z602" i="1" s="1"/>
  <c r="Y602"/>
  <c r="AR512" i="2"/>
  <c r="Z512" i="1" s="1"/>
  <c r="Y512"/>
  <c r="AR472" i="2"/>
  <c r="Z472" i="1" s="1"/>
  <c r="Y472"/>
  <c r="AR543" i="2"/>
  <c r="Z543" i="1" s="1"/>
  <c r="Y543"/>
  <c r="AR477" i="2"/>
  <c r="Z477" i="1" s="1"/>
  <c r="Y477"/>
  <c r="AR522" i="2"/>
  <c r="Z522" i="1" s="1"/>
  <c r="Y522"/>
  <c r="AR490" i="2"/>
  <c r="Z490" i="1" s="1"/>
  <c r="Y490"/>
  <c r="AR458" i="2"/>
  <c r="Z458" i="1" s="1"/>
  <c r="Y458"/>
  <c r="AR596" i="2"/>
  <c r="Z596" i="1" s="1"/>
  <c r="Y596"/>
  <c r="AR558" i="2"/>
  <c r="Z558" i="1" s="1"/>
  <c r="Y558"/>
  <c r="AR500" i="2"/>
  <c r="Z500" i="1" s="1"/>
  <c r="Y500"/>
  <c r="AR476" i="2"/>
  <c r="Z476" i="1" s="1"/>
  <c r="Y476"/>
  <c r="AR452" i="2"/>
  <c r="Z452" i="1" s="1"/>
  <c r="Y452"/>
  <c r="AR450" i="2"/>
  <c r="Z450" i="1" s="1"/>
  <c r="Y450"/>
  <c r="AR519" i="2"/>
  <c r="Z519" i="1" s="1"/>
  <c r="Y519"/>
  <c r="AR436" i="2"/>
  <c r="Z436" i="1" s="1"/>
  <c r="Y436"/>
  <c r="AR479" i="2"/>
  <c r="Z479" i="1" s="1"/>
  <c r="Y479"/>
  <c r="AR396" i="2"/>
  <c r="Z396" i="1" s="1"/>
  <c r="Y396"/>
  <c r="AR364" i="2"/>
  <c r="Z364" i="1" s="1"/>
  <c r="Y364"/>
  <c r="AR446" i="2"/>
  <c r="Z446" i="1" s="1"/>
  <c r="Y446"/>
  <c r="AR495" i="2"/>
  <c r="Z495" i="1" s="1"/>
  <c r="Y495"/>
  <c r="AR406" i="2"/>
  <c r="Z406" i="1" s="1"/>
  <c r="Y406"/>
  <c r="AR374" i="2"/>
  <c r="Z374" i="1" s="1"/>
  <c r="Y374"/>
  <c r="AR463" i="2"/>
  <c r="Z463" i="1" s="1"/>
  <c r="Y463"/>
  <c r="AR273" i="2"/>
  <c r="Z273" i="1" s="1"/>
  <c r="Y273"/>
  <c r="AR391" i="2"/>
  <c r="Z391" i="1" s="1"/>
  <c r="Y391"/>
  <c r="AR296" i="2"/>
  <c r="Z296" i="1" s="1"/>
  <c r="Y296"/>
  <c r="AR264" i="2"/>
  <c r="Z264" i="1" s="1"/>
  <c r="Y264"/>
  <c r="AR212" i="2"/>
  <c r="Z212" i="1" s="1"/>
  <c r="Y212"/>
  <c r="AR293" i="2"/>
  <c r="Z293" i="1" s="1"/>
  <c r="Y293"/>
  <c r="AR257" i="2"/>
  <c r="Z257" i="1" s="1"/>
  <c r="Y257"/>
  <c r="AR357" i="2"/>
  <c r="Z357" i="1" s="1"/>
  <c r="Y357"/>
  <c r="AR168" i="2"/>
  <c r="Z168" i="1" s="1"/>
  <c r="Y168"/>
  <c r="T168" s="1"/>
  <c r="AR150" i="2"/>
  <c r="Z150" i="1" s="1"/>
  <c r="Y150"/>
  <c r="AR272" i="2"/>
  <c r="Z272" i="1" s="1"/>
  <c r="Y272"/>
  <c r="AR314" i="2"/>
  <c r="Z314" i="1" s="1"/>
  <c r="Y314"/>
  <c r="AR163" i="2"/>
  <c r="Z163" i="1" s="1"/>
  <c r="Y163"/>
  <c r="AR297" i="2"/>
  <c r="Z297" i="1" s="1"/>
  <c r="Y297"/>
  <c r="AR181" i="2"/>
  <c r="Z181" i="1" s="1"/>
  <c r="Y181"/>
  <c r="AR101" i="2"/>
  <c r="Z101" i="1" s="1"/>
  <c r="Y101"/>
  <c r="AR69" i="2"/>
  <c r="Z69" i="1" s="1"/>
  <c r="Y69"/>
  <c r="AR37" i="2"/>
  <c r="Z37" i="1" s="1"/>
  <c r="Y37"/>
  <c r="AR559" i="2"/>
  <c r="Z559" i="1" s="1"/>
  <c r="Y559"/>
  <c r="AR206" i="2"/>
  <c r="Z206" i="1" s="1"/>
  <c r="Y206"/>
  <c r="AR82" i="2"/>
  <c r="Z82" i="1" s="1"/>
  <c r="Y82"/>
  <c r="AR50" i="2"/>
  <c r="Z50" i="1" s="1"/>
  <c r="Y50"/>
  <c r="AR18" i="2"/>
  <c r="Z18" i="1" s="1"/>
  <c r="Y18"/>
  <c r="AR111" i="2"/>
  <c r="Z111" i="1" s="1"/>
  <c r="Y111"/>
  <c r="AR79" i="2"/>
  <c r="Z79" i="1" s="1"/>
  <c r="Y79"/>
  <c r="AR47" i="2"/>
  <c r="Z47" i="1" s="1"/>
  <c r="Y47"/>
  <c r="AR92" i="2"/>
  <c r="Z92" i="1" s="1"/>
  <c r="Y92"/>
  <c r="AR853" i="2"/>
  <c r="Z853" i="1" s="1"/>
  <c r="Y853"/>
  <c r="AR966" i="2"/>
  <c r="Z966" i="1" s="1"/>
  <c r="Y966"/>
  <c r="AR816" i="2"/>
  <c r="Z816" i="1" s="1"/>
  <c r="Y816"/>
  <c r="AR990" i="2"/>
  <c r="Z990" i="1" s="1"/>
  <c r="Y990"/>
  <c r="AR871" i="2"/>
  <c r="Z871" i="1" s="1"/>
  <c r="Y871"/>
  <c r="T871" s="1"/>
  <c r="AR722" i="2"/>
  <c r="Z722" i="1" s="1"/>
  <c r="Y722"/>
  <c r="AR826" i="2"/>
  <c r="Z826" i="1" s="1"/>
  <c r="Y826"/>
  <c r="AR690" i="2"/>
  <c r="Z690" i="1" s="1"/>
  <c r="Y690"/>
  <c r="AR955" i="2"/>
  <c r="Z955" i="1" s="1"/>
  <c r="Y955"/>
  <c r="AR786" i="2"/>
  <c r="Z786" i="1" s="1"/>
  <c r="Y786"/>
  <c r="AR953" i="2"/>
  <c r="Z953" i="1" s="1"/>
  <c r="Y953"/>
  <c r="AR945" i="2"/>
  <c r="Z945" i="1" s="1"/>
  <c r="Y945"/>
  <c r="AR549" i="2"/>
  <c r="Z549" i="1" s="1"/>
  <c r="Y549"/>
  <c r="T549" s="1"/>
  <c r="AR267" i="2"/>
  <c r="Z267" i="1" s="1"/>
  <c r="Y267"/>
  <c r="AR807" i="2"/>
  <c r="Z807" i="1" s="1"/>
  <c r="Y807"/>
  <c r="AR598" i="2"/>
  <c r="Z598" i="1" s="1"/>
  <c r="Y598"/>
  <c r="AR836" i="2"/>
  <c r="Z836" i="1" s="1"/>
  <c r="Y836"/>
  <c r="AR755" i="2"/>
  <c r="Z755" i="1" s="1"/>
  <c r="Y755"/>
  <c r="AR604" i="2"/>
  <c r="Z604" i="1" s="1"/>
  <c r="Y604"/>
  <c r="AR580" i="2"/>
  <c r="Z580" i="1" s="1"/>
  <c r="Y580"/>
  <c r="AR615" i="2"/>
  <c r="Z615" i="1" s="1"/>
  <c r="Y615"/>
  <c r="AR756" i="2"/>
  <c r="Z756" i="1" s="1"/>
  <c r="Y756"/>
  <c r="AR564" i="2"/>
  <c r="Z564" i="1" s="1"/>
  <c r="Y564"/>
  <c r="AR304" i="2"/>
  <c r="Z304" i="1" s="1"/>
  <c r="Y304"/>
  <c r="AR469" i="2"/>
  <c r="Z469" i="1" s="1"/>
  <c r="Y469"/>
  <c r="AR491" i="2"/>
  <c r="Z491" i="1" s="1"/>
  <c r="Y491"/>
  <c r="AR170" i="2"/>
  <c r="Z170" i="1" s="1"/>
  <c r="Y170"/>
  <c r="AR102" i="2"/>
  <c r="Z102" i="1" s="1"/>
  <c r="Y102"/>
  <c r="AR282" i="2"/>
  <c r="Z282" i="1" s="1"/>
  <c r="Y282"/>
  <c r="AR159" i="2"/>
  <c r="Z159" i="1" s="1"/>
  <c r="Y159"/>
  <c r="AR216" i="2"/>
  <c r="Z216" i="1" s="1"/>
  <c r="Y216"/>
  <c r="AR260" i="2"/>
  <c r="Z260" i="1" s="1"/>
  <c r="Y260"/>
  <c r="AR280" i="2"/>
  <c r="Z280" i="1" s="1"/>
  <c r="Y280"/>
  <c r="T280" s="1"/>
  <c r="AR80" i="2"/>
  <c r="Z80" i="1" s="1"/>
  <c r="Y80"/>
  <c r="AR431" i="2"/>
  <c r="Z431" i="1" s="1"/>
  <c r="Y431"/>
  <c r="AR193" i="2"/>
  <c r="Z193" i="1" s="1"/>
  <c r="Y193"/>
  <c r="AR21" i="2"/>
  <c r="Z21" i="1" s="1"/>
  <c r="Y21"/>
  <c r="AR312" i="2"/>
  <c r="Z312" i="1" s="1"/>
  <c r="Y312"/>
  <c r="AR107" i="2"/>
  <c r="Z107" i="1" s="1"/>
  <c r="Y107"/>
  <c r="AR145" i="2"/>
  <c r="Z145" i="1" s="1"/>
  <c r="Y145"/>
  <c r="AR48" i="2"/>
  <c r="Z48" i="1" s="1"/>
  <c r="Y48"/>
  <c r="AR46" i="2"/>
  <c r="Z46" i="1" s="1"/>
  <c r="Y46"/>
  <c r="AR739" i="2"/>
  <c r="Z739" i="1" s="1"/>
  <c r="Y739"/>
  <c r="AR403" i="2"/>
  <c r="Z403" i="1" s="1"/>
  <c r="Y403"/>
  <c r="AR810" i="2"/>
  <c r="Z810" i="1" s="1"/>
  <c r="Y810"/>
  <c r="AR202" i="2"/>
  <c r="Z202" i="1" s="1"/>
  <c r="Y202"/>
  <c r="AR835" i="2"/>
  <c r="Z835" i="1" s="1"/>
  <c r="Y835"/>
  <c r="AR803" i="2"/>
  <c r="Z803" i="1" s="1"/>
  <c r="Y803"/>
  <c r="AR531" i="2"/>
  <c r="Z531" i="1" s="1"/>
  <c r="Y531"/>
  <c r="U531" s="1"/>
  <c r="AR880" i="2"/>
  <c r="Z880" i="1" s="1"/>
  <c r="Y880"/>
  <c r="AR259" i="2"/>
  <c r="Z259" i="1" s="1"/>
  <c r="Y259"/>
  <c r="AR125" i="2"/>
  <c r="Z125" i="1" s="1"/>
  <c r="Y125"/>
  <c r="AR934" i="2"/>
  <c r="Z934" i="1" s="1"/>
  <c r="Y934"/>
  <c r="U934" s="1"/>
  <c r="AR292" i="2"/>
  <c r="Z292" i="1" s="1"/>
  <c r="Y292"/>
  <c r="AR714" i="2"/>
  <c r="Z714" i="1" s="1"/>
  <c r="Y714"/>
  <c r="AR917" i="2"/>
  <c r="Z917" i="1" s="1"/>
  <c r="Y917"/>
  <c r="AR943" i="2"/>
  <c r="Z943" i="1" s="1"/>
  <c r="Y943"/>
  <c r="T943" s="1"/>
  <c r="AR815" i="2"/>
  <c r="Z815" i="1" s="1"/>
  <c r="Y815"/>
  <c r="AR848" i="2"/>
  <c r="Z848" i="1" s="1"/>
  <c r="Y848"/>
  <c r="AR635" i="2"/>
  <c r="Z635" i="1" s="1"/>
  <c r="Y635"/>
  <c r="AR514" i="2"/>
  <c r="Z514" i="1" s="1"/>
  <c r="Y514"/>
  <c r="AR540" i="2"/>
  <c r="Z540" i="1" s="1"/>
  <c r="Y540"/>
  <c r="AR427" i="2"/>
  <c r="Z427" i="1" s="1"/>
  <c r="Y427"/>
  <c r="AR366" i="2"/>
  <c r="Z366" i="1" s="1"/>
  <c r="Y366"/>
  <c r="AR439" i="2"/>
  <c r="Z439" i="1" s="1"/>
  <c r="Y439"/>
  <c r="AR271" i="2"/>
  <c r="Z271" i="1" s="1"/>
  <c r="Y271"/>
  <c r="U271" s="1"/>
  <c r="AR443" i="2"/>
  <c r="Z443" i="1" s="1"/>
  <c r="Y443"/>
  <c r="AR428" i="2"/>
  <c r="Z428" i="1" s="1"/>
  <c r="Y428"/>
  <c r="AR503" i="2"/>
  <c r="Z503" i="1" s="1"/>
  <c r="Y503"/>
  <c r="AR139" i="2"/>
  <c r="Z139" i="1" s="1"/>
  <c r="Y139"/>
  <c r="AR214" i="2"/>
  <c r="Z214" i="1" s="1"/>
  <c r="Y214"/>
  <c r="AR29" i="2"/>
  <c r="Z29" i="1" s="1"/>
  <c r="Y29"/>
  <c r="AR128" i="2"/>
  <c r="Z128" i="1" s="1"/>
  <c r="Y128"/>
  <c r="T128" s="1"/>
  <c r="AR194" i="2"/>
  <c r="Z194" i="1" s="1"/>
  <c r="Y194"/>
  <c r="AR642" i="2"/>
  <c r="Z642" i="1" s="1"/>
  <c r="Y642"/>
  <c r="AR324" i="2"/>
  <c r="Z324" i="1" s="1"/>
  <c r="Y324"/>
  <c r="AR124" i="2"/>
  <c r="Z124" i="1" s="1"/>
  <c r="Y124"/>
  <c r="AR117" i="2"/>
  <c r="Z117" i="1" s="1"/>
  <c r="Y117"/>
  <c r="AR185" i="2"/>
  <c r="Z185" i="1" s="1"/>
  <c r="Y185"/>
  <c r="AR827" i="2"/>
  <c r="Z827" i="1" s="1"/>
  <c r="Y827"/>
  <c r="AR931" i="2"/>
  <c r="Z931" i="1" s="1"/>
  <c r="Y931"/>
  <c r="AR266" i="2"/>
  <c r="Z266" i="1" s="1"/>
  <c r="Y266"/>
  <c r="AR884" i="2"/>
  <c r="Z884" i="1" s="1"/>
  <c r="Y884"/>
  <c r="AR857" i="2"/>
  <c r="Z857" i="1" s="1"/>
  <c r="Y857"/>
  <c r="AR785" i="2"/>
  <c r="Z785" i="1" s="1"/>
  <c r="Y785"/>
  <c r="U785" s="1"/>
  <c r="AR641" i="2"/>
  <c r="Z641" i="1" s="1"/>
  <c r="Y641"/>
  <c r="AR456" i="2"/>
  <c r="Z456" i="1" s="1"/>
  <c r="Y456"/>
  <c r="T456" s="1"/>
  <c r="AR454" i="2"/>
  <c r="Z454" i="1" s="1"/>
  <c r="Y454"/>
  <c r="AR197" i="2"/>
  <c r="Z197" i="1" s="1"/>
  <c r="Y197"/>
  <c r="AR157" i="2"/>
  <c r="Z157" i="1" s="1"/>
  <c r="Y157"/>
  <c r="AR723" i="2"/>
  <c r="Z723" i="1" s="1"/>
  <c r="Y723"/>
  <c r="AR651" i="2"/>
  <c r="Z651" i="1" s="1"/>
  <c r="Y651"/>
  <c r="AR418" i="2"/>
  <c r="Z418" i="1" s="1"/>
  <c r="Y418"/>
  <c r="U418" s="1"/>
  <c r="AR363" i="2"/>
  <c r="Z363" i="1" s="1"/>
  <c r="Y363"/>
  <c r="AR817" i="2"/>
  <c r="Z817" i="1" s="1"/>
  <c r="Y817"/>
  <c r="AR672" i="2"/>
  <c r="Z672" i="1" s="1"/>
  <c r="Y672"/>
  <c r="AR618" i="2"/>
  <c r="Z618" i="1" s="1"/>
  <c r="Y618"/>
  <c r="T618" s="1"/>
  <c r="AR453" i="2"/>
  <c r="Z453" i="1" s="1"/>
  <c r="Y453"/>
  <c r="AR518" i="2"/>
  <c r="Z518" i="1" s="1"/>
  <c r="Y518"/>
  <c r="AR311" i="2"/>
  <c r="Z311" i="1" s="1"/>
  <c r="Y311"/>
  <c r="AR337" i="2"/>
  <c r="Z337" i="1" s="1"/>
  <c r="Y337"/>
  <c r="AR155" i="2"/>
  <c r="Z155" i="1" s="1"/>
  <c r="Y155"/>
  <c r="T155" s="1"/>
  <c r="AR222" i="2"/>
  <c r="Z222" i="1" s="1"/>
  <c r="Y222"/>
  <c r="AR339" i="2"/>
  <c r="Z339" i="1" s="1"/>
  <c r="Y339"/>
  <c r="AR85" i="2"/>
  <c r="Z85" i="1" s="1"/>
  <c r="Y85"/>
  <c r="AR116" i="2"/>
  <c r="Z116" i="1" s="1"/>
  <c r="Y116"/>
  <c r="U116" s="1"/>
  <c r="AR98" i="2"/>
  <c r="Z98" i="1" s="1"/>
  <c r="Y98"/>
  <c r="AR325" i="2"/>
  <c r="Z325" i="1" s="1"/>
  <c r="Y325"/>
  <c r="AR31" i="2"/>
  <c r="Z31" i="1" s="1"/>
  <c r="Y31"/>
  <c r="AR957" i="2"/>
  <c r="Z957" i="1" s="1"/>
  <c r="Y957"/>
  <c r="AR999" i="2"/>
  <c r="Z999" i="1" s="1"/>
  <c r="Y999"/>
  <c r="AR916" i="2"/>
  <c r="Z916" i="1" s="1"/>
  <c r="Y916"/>
  <c r="AR869" i="2"/>
  <c r="Z869" i="1" s="1"/>
  <c r="Y869"/>
  <c r="AR770" i="2"/>
  <c r="Z770" i="1" s="1"/>
  <c r="Y770"/>
  <c r="AR732" i="2"/>
  <c r="Z732" i="1" s="1"/>
  <c r="Y732"/>
  <c r="AR657" i="2"/>
  <c r="Z657" i="1" s="1"/>
  <c r="Y657"/>
  <c r="AR663" i="2"/>
  <c r="Z663" i="1" s="1"/>
  <c r="Y663"/>
  <c r="U663" s="1"/>
  <c r="AR925" i="2"/>
  <c r="Z925" i="1" s="1"/>
  <c r="Y925"/>
  <c r="AR915" i="2"/>
  <c r="Z915" i="1" s="1"/>
  <c r="Y915"/>
  <c r="AR951" i="2"/>
  <c r="Z951" i="1" s="1"/>
  <c r="Y951"/>
  <c r="AR901" i="2"/>
  <c r="Z901" i="1" s="1"/>
  <c r="Y901"/>
  <c r="AR898" i="2"/>
  <c r="Z898" i="1" s="1"/>
  <c r="Y898"/>
  <c r="AR991" i="2"/>
  <c r="Z991" i="1" s="1"/>
  <c r="Y991"/>
  <c r="T991" s="1"/>
  <c r="AR865" i="2"/>
  <c r="Z865" i="1" s="1"/>
  <c r="Y865"/>
  <c r="AR983" i="2"/>
  <c r="Z983" i="1" s="1"/>
  <c r="Y983"/>
  <c r="T983" s="1"/>
  <c r="AR874" i="2"/>
  <c r="Z874" i="1" s="1"/>
  <c r="Y874"/>
  <c r="AR759" i="2"/>
  <c r="Z759" i="1" s="1"/>
  <c r="Y759"/>
  <c r="AR821" i="2"/>
  <c r="Z821" i="1" s="1"/>
  <c r="Y821"/>
  <c r="AR883" i="2"/>
  <c r="Z883" i="1" s="1"/>
  <c r="Y883"/>
  <c r="AR875" i="2"/>
  <c r="Z875" i="1" s="1"/>
  <c r="Y875"/>
  <c r="AR867" i="2"/>
  <c r="Z867" i="1" s="1"/>
  <c r="Y867"/>
  <c r="AR782" i="2"/>
  <c r="Z782" i="1" s="1"/>
  <c r="Y782"/>
  <c r="AR745" i="2"/>
  <c r="Z745" i="1" s="1"/>
  <c r="Y745"/>
  <c r="U745" s="1"/>
  <c r="AR741" i="2"/>
  <c r="Z741" i="1" s="1"/>
  <c r="Y741"/>
  <c r="AR676" i="2"/>
  <c r="Z676" i="1" s="1"/>
  <c r="Y676"/>
  <c r="AR715" i="2"/>
  <c r="Z715" i="1" s="1"/>
  <c r="Y715"/>
  <c r="AR677" i="2"/>
  <c r="Z677" i="1" s="1"/>
  <c r="Y677"/>
  <c r="AR601" i="2"/>
  <c r="Z601" i="1" s="1"/>
  <c r="Y601"/>
  <c r="AR592" i="2"/>
  <c r="Z592" i="1" s="1"/>
  <c r="Y592"/>
  <c r="T592" s="1"/>
  <c r="AR593" i="2"/>
  <c r="Z593" i="1" s="1"/>
  <c r="Y593"/>
  <c r="AR648" i="2"/>
  <c r="Z648" i="1" s="1"/>
  <c r="Y648"/>
  <c r="T648" s="1"/>
  <c r="AR595" i="2"/>
  <c r="Z595" i="1" s="1"/>
  <c r="Y595"/>
  <c r="AR551" i="2"/>
  <c r="Z551" i="1" s="1"/>
  <c r="Y551"/>
  <c r="AR574" i="2"/>
  <c r="Z574" i="1" s="1"/>
  <c r="Y574"/>
  <c r="AR542" i="2"/>
  <c r="Z542" i="1" s="1"/>
  <c r="Y542"/>
  <c r="T542" s="1"/>
  <c r="AR504" i="2"/>
  <c r="Z504" i="1" s="1"/>
  <c r="Y504"/>
  <c r="T504" s="1"/>
  <c r="AR464" i="2"/>
  <c r="Z464" i="1" s="1"/>
  <c r="Y464"/>
  <c r="AR546" i="2"/>
  <c r="Z546" i="1" s="1"/>
  <c r="Y546"/>
  <c r="AR547" i="2"/>
  <c r="Z547" i="1" s="1"/>
  <c r="Y547"/>
  <c r="U547" s="1"/>
  <c r="AR541" i="2"/>
  <c r="Z541" i="1" s="1"/>
  <c r="Y541"/>
  <c r="AR326" i="2"/>
  <c r="Z326" i="1" s="1"/>
  <c r="Y326"/>
  <c r="AR318" i="2"/>
  <c r="Z318" i="1" s="1"/>
  <c r="Y318"/>
  <c r="AR415" i="2"/>
  <c r="Z415" i="1" s="1"/>
  <c r="Y415"/>
  <c r="AR389" i="2"/>
  <c r="Z389" i="1" s="1"/>
  <c r="Y389"/>
  <c r="AR335" i="2"/>
  <c r="Z335" i="1" s="1"/>
  <c r="Y335"/>
  <c r="AR298" i="2"/>
  <c r="Z298" i="1" s="1"/>
  <c r="Y298"/>
  <c r="AR285" i="2"/>
  <c r="Z285" i="1" s="1"/>
  <c r="Y285"/>
  <c r="AR253" i="2"/>
  <c r="Z253" i="1" s="1"/>
  <c r="Y253"/>
  <c r="AR409" i="2"/>
  <c r="Z409" i="1" s="1"/>
  <c r="Y409"/>
  <c r="AR332" i="2"/>
  <c r="Z332" i="1" s="1"/>
  <c r="Y332"/>
  <c r="AR289" i="2"/>
  <c r="Z289" i="1" s="1"/>
  <c r="Y289"/>
  <c r="AR410" i="2"/>
  <c r="Z410" i="1" s="1"/>
  <c r="Y410"/>
  <c r="AR351" i="2"/>
  <c r="Z351" i="1" s="1"/>
  <c r="Y351"/>
  <c r="AR227" i="2"/>
  <c r="Z227" i="1" s="1"/>
  <c r="Y227"/>
  <c r="AR195" i="2"/>
  <c r="Z195" i="1" s="1"/>
  <c r="Y195"/>
  <c r="T195" s="1"/>
  <c r="AR158" i="2"/>
  <c r="Z158" i="1" s="1"/>
  <c r="Y158"/>
  <c r="AR131" i="2"/>
  <c r="Z131" i="1" s="1"/>
  <c r="Y131"/>
  <c r="T131" s="1"/>
  <c r="AR190" i="2"/>
  <c r="Z190" i="1" s="1"/>
  <c r="Y190"/>
  <c r="AR114" i="2"/>
  <c r="Z114" i="1" s="1"/>
  <c r="Y114"/>
  <c r="AR244" i="2"/>
  <c r="Z244" i="1" s="1"/>
  <c r="Y244"/>
  <c r="AR127" i="2"/>
  <c r="Z127" i="1" s="1"/>
  <c r="Y127"/>
  <c r="U127" s="1"/>
  <c r="AR83" i="2"/>
  <c r="Z83" i="1" s="1"/>
  <c r="Y83"/>
  <c r="AR51" i="2"/>
  <c r="Z51" i="1" s="1"/>
  <c r="Y51"/>
  <c r="AR19" i="2"/>
  <c r="Z19" i="1" s="1"/>
  <c r="Y19"/>
  <c r="AR133" i="2"/>
  <c r="Z133" i="1" s="1"/>
  <c r="Y133"/>
  <c r="AR417" i="2"/>
  <c r="Z417" i="1" s="1"/>
  <c r="Y417"/>
  <c r="AR129" i="2"/>
  <c r="Z129" i="1" s="1"/>
  <c r="Y129"/>
  <c r="AR196" i="2"/>
  <c r="Z196" i="1" s="1"/>
  <c r="Y196"/>
  <c r="U196" s="1"/>
  <c r="AR76" i="2"/>
  <c r="Z76" i="1" s="1"/>
  <c r="Y76"/>
  <c r="AR942" i="2"/>
  <c r="Z942" i="1" s="1"/>
  <c r="Y942"/>
  <c r="AR905" i="2"/>
  <c r="Z905" i="1" s="1"/>
  <c r="Y905"/>
  <c r="AR812" i="2"/>
  <c r="Z812" i="1" s="1"/>
  <c r="Y812"/>
  <c r="U812" s="1"/>
  <c r="AR907" i="2"/>
  <c r="Z907" i="1" s="1"/>
  <c r="Y907"/>
  <c r="AR971" i="2"/>
  <c r="Z971" i="1" s="1"/>
  <c r="Y971"/>
  <c r="AR850" i="2"/>
  <c r="Z850" i="1" s="1"/>
  <c r="Y850"/>
  <c r="AR721" i="2"/>
  <c r="Z721" i="1" s="1"/>
  <c r="Y721"/>
  <c r="U721" s="1"/>
  <c r="AR963" i="2"/>
  <c r="Z963" i="1" s="1"/>
  <c r="Y963"/>
  <c r="AR820" i="2"/>
  <c r="Z820" i="1" s="1"/>
  <c r="Y820"/>
  <c r="AR675" i="2"/>
  <c r="Z675" i="1" s="1"/>
  <c r="Y675"/>
  <c r="AR936" i="2"/>
  <c r="Z936" i="1" s="1"/>
  <c r="Y936"/>
  <c r="AR778" i="2"/>
  <c r="Z778" i="1" s="1"/>
  <c r="Y778"/>
  <c r="AR929" i="2"/>
  <c r="Z929" i="1" s="1"/>
  <c r="Y929"/>
  <c r="AR712" i="2"/>
  <c r="Z712" i="1" s="1"/>
  <c r="Y712"/>
  <c r="AR640" i="2"/>
  <c r="Z640" i="1" s="1"/>
  <c r="Y640"/>
  <c r="AR795" i="2"/>
  <c r="Z795" i="1" s="1"/>
  <c r="Y795"/>
  <c r="T795" s="1"/>
  <c r="AR921" i="2"/>
  <c r="Z921" i="1" s="1"/>
  <c r="Y921"/>
  <c r="AR717" i="2"/>
  <c r="Z717" i="1" s="1"/>
  <c r="Y717"/>
  <c r="AR550" i="2"/>
  <c r="Z550" i="1" s="1"/>
  <c r="Y550"/>
  <c r="AR561" i="2"/>
  <c r="Z561" i="1" s="1"/>
  <c r="Y561"/>
  <c r="AR435" i="2"/>
  <c r="Z435" i="1" s="1"/>
  <c r="Y435"/>
  <c r="AR557" i="2"/>
  <c r="Z557" i="1" s="1"/>
  <c r="Y557"/>
  <c r="T557" s="1"/>
  <c r="AR300" i="2"/>
  <c r="Z300" i="1" s="1"/>
  <c r="Y300"/>
  <c r="AR231" i="2"/>
  <c r="Z231" i="1" s="1"/>
  <c r="Y231"/>
  <c r="U231" s="1"/>
  <c r="AR573" i="2"/>
  <c r="Z573" i="1" s="1"/>
  <c r="Y573"/>
  <c r="AR594" i="2"/>
  <c r="Z594" i="1" s="1"/>
  <c r="Y594"/>
  <c r="T594" s="1"/>
  <c r="AR165" i="2"/>
  <c r="Z165" i="1" s="1"/>
  <c r="Y165"/>
  <c r="AR100" i="2"/>
  <c r="Z100" i="1" s="1"/>
  <c r="Y100"/>
  <c r="AR251" i="2"/>
  <c r="Z251" i="1" s="1"/>
  <c r="Y251"/>
  <c r="AR148" i="2"/>
  <c r="Z148" i="1" s="1"/>
  <c r="Y148"/>
  <c r="U148" s="1"/>
  <c r="AR533" i="2"/>
  <c r="Z533" i="1" s="1"/>
  <c r="Y533"/>
  <c r="AR381" i="2"/>
  <c r="Z381" i="1" s="1"/>
  <c r="Y381"/>
  <c r="T381" s="1"/>
  <c r="AR183" i="2"/>
  <c r="Z183" i="1" s="1"/>
  <c r="Y183"/>
  <c r="AR38" i="2"/>
  <c r="Z38" i="1" s="1"/>
  <c r="Y38"/>
  <c r="AR247" i="2"/>
  <c r="Z247" i="1" s="1"/>
  <c r="Y247"/>
  <c r="AR86" i="2"/>
  <c r="Z86" i="1" s="1"/>
  <c r="Y86"/>
  <c r="AR64" i="2"/>
  <c r="Z64" i="1" s="1"/>
  <c r="Y64"/>
  <c r="AR70" i="2"/>
  <c r="Z70" i="1" s="1"/>
  <c r="Y70"/>
  <c r="AR186" i="2"/>
  <c r="Z186" i="1" s="1"/>
  <c r="Y186"/>
  <c r="AR57" i="2"/>
  <c r="Z57" i="1" s="1"/>
  <c r="Y57"/>
  <c r="AR6" i="2"/>
  <c r="Z6" i="1" s="1"/>
  <c r="Y6"/>
  <c r="AR201" i="2"/>
  <c r="Z201" i="1" s="1"/>
  <c r="Y201"/>
  <c r="AR914" i="2"/>
  <c r="Z914" i="1" s="1"/>
  <c r="Y914"/>
  <c r="AR830" i="2"/>
  <c r="Z830" i="1" s="1"/>
  <c r="Y830"/>
  <c r="AR710" i="2"/>
  <c r="Z710" i="1" s="1"/>
  <c r="Y710"/>
  <c r="AR521" i="2"/>
  <c r="Z521" i="1" s="1"/>
  <c r="Y521"/>
  <c r="AR740" i="2"/>
  <c r="Z740" i="1" s="1"/>
  <c r="Y740"/>
  <c r="AR529" i="2"/>
  <c r="Z529" i="1" s="1"/>
  <c r="Y529"/>
  <c r="AR110" i="2"/>
  <c r="Z110" i="1" s="1"/>
  <c r="Y110"/>
  <c r="AR899" i="2"/>
  <c r="Z899" i="1" s="1"/>
  <c r="Y899"/>
  <c r="AR624" i="2"/>
  <c r="Z624" i="1" s="1"/>
  <c r="Y624"/>
  <c r="AR368" i="2"/>
  <c r="Z368" i="1" s="1"/>
  <c r="Y368"/>
  <c r="AR946" i="2"/>
  <c r="Z946" i="1" s="1"/>
  <c r="Y946"/>
  <c r="AR394" i="2"/>
  <c r="Z394" i="1" s="1"/>
  <c r="Y394"/>
  <c r="AR210" i="2"/>
  <c r="Z210" i="1" s="1"/>
  <c r="Y210"/>
  <c r="AR912" i="2"/>
  <c r="Z912" i="1" s="1"/>
  <c r="Y912"/>
  <c r="T912" s="1"/>
  <c r="AR866" i="2"/>
  <c r="Z866" i="1" s="1"/>
  <c r="Y866"/>
  <c r="AR696" i="2"/>
  <c r="Z696" i="1" s="1"/>
  <c r="Y696"/>
  <c r="AR711" i="2"/>
  <c r="Z711" i="1" s="1"/>
  <c r="Y711"/>
  <c r="AR655" i="2"/>
  <c r="Z655" i="1" s="1"/>
  <c r="Y655"/>
  <c r="AR632" i="2"/>
  <c r="Z632" i="1" s="1"/>
  <c r="Y632"/>
  <c r="AR591" i="2"/>
  <c r="Z591" i="1" s="1"/>
  <c r="Y591"/>
  <c r="AR566" i="2"/>
  <c r="Z566" i="1" s="1"/>
  <c r="Y566"/>
  <c r="AR482" i="2"/>
  <c r="Z482" i="1" s="1"/>
  <c r="Y482"/>
  <c r="AR338" i="2"/>
  <c r="Z338" i="1" s="1"/>
  <c r="Y338"/>
  <c r="AR281" i="2"/>
  <c r="Z281" i="1" s="1"/>
  <c r="Y281"/>
  <c r="AR255" i="2"/>
  <c r="Z255" i="1" s="1"/>
  <c r="Y255"/>
  <c r="AR180" i="2"/>
  <c r="Z180" i="1" s="1"/>
  <c r="Y180"/>
  <c r="AR74" i="2"/>
  <c r="Z74" i="1" s="1"/>
  <c r="Y74"/>
  <c r="AR71" i="2"/>
  <c r="Z71" i="1" s="1"/>
  <c r="Y71"/>
  <c r="AR938" i="2"/>
  <c r="Z938" i="1" s="1"/>
  <c r="Y938"/>
  <c r="AR728" i="2"/>
  <c r="Z728" i="1" s="1"/>
  <c r="Y728"/>
  <c r="AR537" i="2"/>
  <c r="Z537" i="1" s="1"/>
  <c r="Y537"/>
  <c r="AR242" i="2"/>
  <c r="Z242" i="1" s="1"/>
  <c r="Y242"/>
  <c r="AR434" i="2"/>
  <c r="Z434" i="1" s="1"/>
  <c r="Y434"/>
  <c r="AR104" i="2"/>
  <c r="Z104" i="1" s="1"/>
  <c r="Y104"/>
  <c r="AR754" i="2"/>
  <c r="Z754" i="1" s="1"/>
  <c r="Y754"/>
  <c r="AR814" i="2"/>
  <c r="Z814" i="1" s="1"/>
  <c r="Y814"/>
  <c r="T814" s="1"/>
  <c r="AR695" i="2"/>
  <c r="Z695" i="1" s="1"/>
  <c r="Y695"/>
  <c r="AR692" i="2"/>
  <c r="Z692" i="1" s="1"/>
  <c r="Y692"/>
  <c r="T692" s="1"/>
  <c r="AR576" i="2"/>
  <c r="Z576" i="1" s="1"/>
  <c r="Y576"/>
  <c r="AR572" i="2"/>
  <c r="Z572" i="1" s="1"/>
  <c r="Y572"/>
  <c r="AR413" i="2"/>
  <c r="Z413" i="1" s="1"/>
  <c r="Y413"/>
  <c r="AR316" i="2"/>
  <c r="Z316" i="1" s="1"/>
  <c r="Y316"/>
  <c r="AR43" i="2"/>
  <c r="Z43" i="1" s="1"/>
  <c r="Y43"/>
  <c r="AR744" i="2"/>
  <c r="Z744" i="1" s="1"/>
  <c r="Y744"/>
  <c r="AR525" i="2"/>
  <c r="Z525" i="1" s="1"/>
  <c r="Y525"/>
  <c r="AR738" i="2"/>
  <c r="Z738" i="1" s="1"/>
  <c r="Y738"/>
  <c r="U738" s="1"/>
  <c r="AR81" i="2"/>
  <c r="Z81" i="1" s="1"/>
  <c r="Y81"/>
  <c r="AR256" i="2"/>
  <c r="Z256" i="1" s="1"/>
  <c r="Y256"/>
  <c r="T256" s="1"/>
  <c r="AR768" i="2"/>
  <c r="Z768" i="1" s="1"/>
  <c r="Y768"/>
  <c r="AR365" i="2"/>
  <c r="Z365" i="1" s="1"/>
  <c r="Y365"/>
  <c r="AR967" i="2"/>
  <c r="Z967" i="1" s="1"/>
  <c r="Y967"/>
  <c r="AR751" i="2"/>
  <c r="Z751" i="1" s="1"/>
  <c r="Y751"/>
  <c r="AR771" i="2"/>
  <c r="Z771" i="1" s="1"/>
  <c r="Y771"/>
  <c r="AR654" i="2"/>
  <c r="Z654" i="1" s="1"/>
  <c r="Y654"/>
  <c r="AR668" i="2"/>
  <c r="Z668" i="1" s="1"/>
  <c r="Y668"/>
  <c r="AR681" i="2"/>
  <c r="Z681" i="1" s="1"/>
  <c r="Y681"/>
  <c r="T681" s="1"/>
  <c r="AR613" i="2"/>
  <c r="Z613" i="1" s="1"/>
  <c r="Y613"/>
  <c r="AR445" i="2"/>
  <c r="Z445" i="1" s="1"/>
  <c r="Y445"/>
  <c r="U445" s="1"/>
  <c r="AR384" i="2"/>
  <c r="Z384" i="1" s="1"/>
  <c r="Y384"/>
  <c r="AR313" i="2"/>
  <c r="Z313" i="1" s="1"/>
  <c r="Y313"/>
  <c r="AR254" i="2"/>
  <c r="Z254" i="1" s="1"/>
  <c r="Y254"/>
  <c r="AR93" i="2"/>
  <c r="Z93" i="1" s="1"/>
  <c r="Y93"/>
  <c r="AR250" i="2"/>
  <c r="Z250" i="1" s="1"/>
  <c r="Y250"/>
  <c r="AR60" i="2"/>
  <c r="Z60" i="1" s="1"/>
  <c r="Y60"/>
  <c r="AR958" i="2"/>
  <c r="Z958" i="1" s="1"/>
  <c r="Y958"/>
  <c r="U958" s="1"/>
  <c r="AR842" i="2"/>
  <c r="Z842" i="1" s="1"/>
  <c r="Y842"/>
  <c r="AR429" i="2"/>
  <c r="Z429" i="1" s="1"/>
  <c r="Y429"/>
  <c r="AR822" i="2"/>
  <c r="Z822" i="1" s="1"/>
  <c r="Y822"/>
  <c r="AR370" i="2"/>
  <c r="Z370" i="1" s="1"/>
  <c r="Y370"/>
  <c r="AR269" i="2"/>
  <c r="Z269" i="1" s="1"/>
  <c r="Y269"/>
  <c r="AR861" i="2"/>
  <c r="Z861" i="1" s="1"/>
  <c r="Y861"/>
  <c r="AR777" i="2"/>
  <c r="Z777" i="1" s="1"/>
  <c r="Y777"/>
  <c r="AR708" i="2"/>
  <c r="Z708" i="1" s="1"/>
  <c r="Y708"/>
  <c r="AR659" i="2"/>
  <c r="Z659" i="1" s="1"/>
  <c r="Y659"/>
  <c r="AR688" i="2"/>
  <c r="Z688" i="1" s="1"/>
  <c r="Y688"/>
  <c r="AR586" i="2"/>
  <c r="Z586" i="1" s="1"/>
  <c r="Y586"/>
  <c r="T586" s="1"/>
  <c r="AR652" i="2"/>
  <c r="Z652" i="1" s="1"/>
  <c r="Y652"/>
  <c r="AR492" i="2"/>
  <c r="Z492" i="1" s="1"/>
  <c r="Y492"/>
  <c r="AR252" i="2"/>
  <c r="Z252" i="1" s="1"/>
  <c r="Y252"/>
  <c r="AR187" i="2"/>
  <c r="Z187" i="1" s="1"/>
  <c r="Y187"/>
  <c r="AR75" i="2"/>
  <c r="Z75" i="1" s="1"/>
  <c r="Y75"/>
  <c r="AR393" i="2"/>
  <c r="Z393" i="1" s="1"/>
  <c r="Y393"/>
  <c r="AR960" i="2"/>
  <c r="Z960" i="1" s="1"/>
  <c r="Y960"/>
  <c r="AR994" i="2"/>
  <c r="Z994" i="1" s="1"/>
  <c r="Y994"/>
  <c r="AR819" i="2"/>
  <c r="Z819" i="1" s="1"/>
  <c r="Y819"/>
  <c r="AR144" i="2"/>
  <c r="Z144" i="1" s="1"/>
  <c r="Y144"/>
  <c r="T144" s="1"/>
  <c r="AR764" i="2"/>
  <c r="Z764" i="1" s="1"/>
  <c r="Y764"/>
  <c r="AR136" i="2"/>
  <c r="Z136" i="1" s="1"/>
  <c r="Y136"/>
  <c r="T136" s="1"/>
  <c r="AR24" i="2"/>
  <c r="Z24" i="1" s="1"/>
  <c r="Y24"/>
  <c r="U24" s="1"/>
  <c r="AR161" i="2"/>
  <c r="Z161" i="1" s="1"/>
  <c r="Y161"/>
  <c r="AR937" i="2"/>
  <c r="Z937" i="1" s="1"/>
  <c r="Y937"/>
  <c r="AR818" i="2"/>
  <c r="Z818" i="1" s="1"/>
  <c r="Y818"/>
  <c r="U818" s="1"/>
  <c r="AR682" i="2"/>
  <c r="Z682" i="1" s="1"/>
  <c r="Y682"/>
  <c r="AR788" i="2"/>
  <c r="Z788" i="1" s="1"/>
  <c r="Y788"/>
  <c r="AR702" i="2"/>
  <c r="Z702" i="1" s="1"/>
  <c r="Y702"/>
  <c r="AR747" i="2"/>
  <c r="Z747" i="1" s="1"/>
  <c r="Y747"/>
  <c r="AR992" i="2"/>
  <c r="Z992" i="1" s="1"/>
  <c r="Y992"/>
  <c r="AR665" i="2"/>
  <c r="Z665" i="1" s="1"/>
  <c r="Y665"/>
  <c r="AR748" i="2"/>
  <c r="Z748" i="1" s="1"/>
  <c r="Y748"/>
  <c r="AR284" i="2"/>
  <c r="Z284" i="1" s="1"/>
  <c r="Y284"/>
  <c r="U284" s="1"/>
  <c r="AR705" i="2"/>
  <c r="Z705" i="1" s="1"/>
  <c r="Y705"/>
  <c r="AR395" i="2"/>
  <c r="Z395" i="1" s="1"/>
  <c r="Y395"/>
  <c r="T395" s="1"/>
  <c r="AR890" i="2"/>
  <c r="Z890" i="1" s="1"/>
  <c r="Y890"/>
  <c r="AR579" i="2"/>
  <c r="Z579" i="1" s="1"/>
  <c r="Y579"/>
  <c r="AR517" i="2"/>
  <c r="Z517" i="1" s="1"/>
  <c r="Y517"/>
  <c r="AR229" i="2"/>
  <c r="Z229" i="1" s="1"/>
  <c r="Y229"/>
  <c r="AR856" i="2"/>
  <c r="Z856" i="1" s="1"/>
  <c r="Y856"/>
  <c r="AR509" i="2"/>
  <c r="Z509" i="1" s="1"/>
  <c r="Y509"/>
  <c r="AR411" i="2"/>
  <c r="Z411" i="1" s="1"/>
  <c r="Y411"/>
  <c r="AR630" i="2"/>
  <c r="Z630" i="1" s="1"/>
  <c r="Y630"/>
  <c r="AR523" i="2"/>
  <c r="Z523" i="1" s="1"/>
  <c r="Y523"/>
  <c r="AR420" i="2"/>
  <c r="Z420" i="1" s="1"/>
  <c r="Y420"/>
  <c r="AR120" i="2"/>
  <c r="Z120" i="1" s="1"/>
  <c r="Y120"/>
  <c r="AR118" i="2"/>
  <c r="Z118" i="1" s="1"/>
  <c r="Y118"/>
  <c r="AR192" i="2"/>
  <c r="Z192" i="1" s="1"/>
  <c r="Y192"/>
  <c r="AR473" i="2"/>
  <c r="Z473" i="1" s="1"/>
  <c r="Y473"/>
  <c r="AR223" i="2"/>
  <c r="Z223" i="1" s="1"/>
  <c r="Y223"/>
  <c r="AR156" i="2"/>
  <c r="Z156" i="1" s="1"/>
  <c r="Y156"/>
  <c r="U156" s="1"/>
  <c r="AR355" i="2"/>
  <c r="Z355" i="1" s="1"/>
  <c r="Y355"/>
  <c r="AR65" i="2"/>
  <c r="Z65" i="1" s="1"/>
  <c r="Y65"/>
  <c r="T65" s="1"/>
  <c r="AR14" i="2"/>
  <c r="Z14" i="1" s="1"/>
  <c r="Y14"/>
  <c r="AR322" i="2"/>
  <c r="Z322" i="1" s="1"/>
  <c r="Y322"/>
  <c r="AR208" i="2"/>
  <c r="Z208" i="1" s="1"/>
  <c r="Y208"/>
  <c r="AR12" i="2"/>
  <c r="Z12" i="1" s="1"/>
  <c r="Y12"/>
  <c r="U12" s="1"/>
  <c r="AR362" i="2"/>
  <c r="Z362" i="1" s="1"/>
  <c r="Y362"/>
  <c r="AR243" i="2"/>
  <c r="Z243" i="1" s="1"/>
  <c r="Y243"/>
  <c r="AR121" i="2"/>
  <c r="Z121" i="1" s="1"/>
  <c r="Y121"/>
  <c r="AR188" i="2"/>
  <c r="Z188" i="1" s="1"/>
  <c r="Y188"/>
  <c r="AR88" i="2"/>
  <c r="Z88" i="1" s="1"/>
  <c r="Y88"/>
  <c r="AR177" i="2"/>
  <c r="Z177" i="1" s="1"/>
  <c r="Y177"/>
  <c r="AR68" i="2"/>
  <c r="Z68" i="1" s="1"/>
  <c r="Y68"/>
  <c r="AR40" i="2"/>
  <c r="Z40" i="1" s="1"/>
  <c r="Y40"/>
  <c r="U40" s="1"/>
  <c r="AR902" i="2"/>
  <c r="Z902" i="1" s="1"/>
  <c r="Y902"/>
  <c r="AR792" i="2"/>
  <c r="Z792" i="1" s="1"/>
  <c r="Y792"/>
  <c r="U792" s="1"/>
  <c r="AR631" i="2"/>
  <c r="Z631" i="1" s="1"/>
  <c r="Y631"/>
  <c r="AR331" i="2"/>
  <c r="Z331" i="1" s="1"/>
  <c r="Y331"/>
  <c r="AR889" i="2"/>
  <c r="Z889" i="1" s="1"/>
  <c r="Y889"/>
  <c r="AR650" i="2"/>
  <c r="Z650" i="1" s="1"/>
  <c r="Y650"/>
  <c r="T650" s="1"/>
  <c r="AR224" i="2"/>
  <c r="Z224" i="1" s="1"/>
  <c r="Y224"/>
  <c r="AR105" i="2"/>
  <c r="Z105" i="1" s="1"/>
  <c r="Y105"/>
  <c r="T105" s="1"/>
  <c r="AR923" i="2"/>
  <c r="Z923" i="1" s="1"/>
  <c r="Y923"/>
  <c r="AR733" i="2"/>
  <c r="Z733" i="1" s="1"/>
  <c r="Y733"/>
  <c r="AR607" i="2"/>
  <c r="Z607" i="1" s="1"/>
  <c r="Y607"/>
  <c r="AR556" i="2"/>
  <c r="Z556" i="1" s="1"/>
  <c r="Y556"/>
  <c r="AR327" i="2"/>
  <c r="Z327" i="1" s="1"/>
  <c r="Y327"/>
  <c r="AR346" i="2"/>
  <c r="Z346" i="1" s="1"/>
  <c r="Y346"/>
  <c r="U346" s="1"/>
  <c r="AR421" i="2"/>
  <c r="Z421" i="1" s="1"/>
  <c r="Y421"/>
  <c r="AR730" i="2"/>
  <c r="Z730" i="1" s="1"/>
  <c r="Y730"/>
  <c r="AR457" i="2"/>
  <c r="Z457" i="1" s="1"/>
  <c r="Y457"/>
  <c r="AR974" i="2"/>
  <c r="Z974" i="1" s="1"/>
  <c r="Y974"/>
  <c r="S934"/>
  <c r="AR944" i="2"/>
  <c r="Z944" i="1" s="1"/>
  <c r="Y944"/>
  <c r="U944" s="1"/>
  <c r="AR805" i="2"/>
  <c r="Z805" i="1" s="1"/>
  <c r="Y805"/>
  <c r="U805" s="1"/>
  <c r="AR686" i="2"/>
  <c r="Z686" i="1" s="1"/>
  <c r="Y686"/>
  <c r="AR986" i="2"/>
  <c r="Z986" i="1" s="1"/>
  <c r="Y986"/>
  <c r="AR950" i="2"/>
  <c r="Z950" i="1" s="1"/>
  <c r="Y950"/>
  <c r="U950" s="1"/>
  <c r="AR762" i="2"/>
  <c r="Z762" i="1" s="1"/>
  <c r="Y762"/>
  <c r="AR894" i="2"/>
  <c r="Z894" i="1" s="1"/>
  <c r="Y894"/>
  <c r="AR780" i="2"/>
  <c r="Z780" i="1" s="1"/>
  <c r="Y780"/>
  <c r="T780" s="1"/>
  <c r="AR984" i="2"/>
  <c r="Z984" i="1" s="1"/>
  <c r="Y984"/>
  <c r="U984" s="1"/>
  <c r="AR981" i="2"/>
  <c r="Z981" i="1" s="1"/>
  <c r="Y981"/>
  <c r="AR977" i="2"/>
  <c r="Z977" i="1" s="1"/>
  <c r="Y977"/>
  <c r="AR367" i="2"/>
  <c r="Z367" i="1" s="1"/>
  <c r="Y367"/>
  <c r="AR283" i="2"/>
  <c r="Z283" i="1" s="1"/>
  <c r="Y283"/>
  <c r="T283" s="1"/>
  <c r="AR685" i="2"/>
  <c r="Z685" i="1" s="1"/>
  <c r="Y685"/>
  <c r="U685" s="1"/>
  <c r="AR802" i="2"/>
  <c r="Z802" i="1" s="1"/>
  <c r="Y802"/>
  <c r="AR568" i="2"/>
  <c r="Z568" i="1" s="1"/>
  <c r="Y568"/>
  <c r="AR501" i="2"/>
  <c r="Z501" i="1" s="1"/>
  <c r="Y501"/>
  <c r="AR288" i="2"/>
  <c r="Z288" i="1" s="1"/>
  <c r="Y288"/>
  <c r="T288" s="1"/>
  <c r="AR515" i="2"/>
  <c r="Z515" i="1" s="1"/>
  <c r="Y515"/>
  <c r="U515" s="1"/>
  <c r="AR386" i="2"/>
  <c r="Z386" i="1" s="1"/>
  <c r="Y386"/>
  <c r="AR323" i="2"/>
  <c r="Z323" i="1" s="1"/>
  <c r="Y323"/>
  <c r="AR998" i="2"/>
  <c r="Z998" i="1" s="1"/>
  <c r="Y998"/>
  <c r="U998" s="1"/>
  <c r="AR772" i="2"/>
  <c r="Z772" i="1" s="1"/>
  <c r="Y772"/>
  <c r="AR412" i="2"/>
  <c r="Z412" i="1" s="1"/>
  <c r="Y412"/>
  <c r="AR319" i="2"/>
  <c r="Z319" i="1" s="1"/>
  <c r="Y319"/>
  <c r="U319" s="1"/>
  <c r="AR268" i="2"/>
  <c r="Z268" i="1" s="1"/>
  <c r="Y268"/>
  <c r="U268" s="1"/>
  <c r="AR461" i="2"/>
  <c r="Z461" i="1" s="1"/>
  <c r="Y461"/>
  <c r="AR423" i="2"/>
  <c r="Z423" i="1" s="1"/>
  <c r="Y423"/>
  <c r="AR215" i="2"/>
  <c r="Z215" i="1" s="1"/>
  <c r="Y215"/>
  <c r="AR643" i="2"/>
  <c r="Z643" i="1" s="1"/>
  <c r="Y643"/>
  <c r="AR221" i="2"/>
  <c r="Z221" i="1" s="1"/>
  <c r="Y221"/>
  <c r="AR614" i="2"/>
  <c r="Z614" i="1" s="1"/>
  <c r="Y614"/>
  <c r="AR376" i="2"/>
  <c r="Z376" i="1" s="1"/>
  <c r="Y376"/>
  <c r="AR97" i="2"/>
  <c r="Z97" i="1" s="1"/>
  <c r="Y97"/>
  <c r="T97" s="1"/>
  <c r="AR9" i="2"/>
  <c r="Z9" i="1" s="1"/>
  <c r="Y9"/>
  <c r="AR347" i="2"/>
  <c r="Z347" i="1" s="1"/>
  <c r="Y347"/>
  <c r="T347" s="1"/>
  <c r="AR218" i="2"/>
  <c r="Z218" i="1" s="1"/>
  <c r="Y218"/>
  <c r="AR178" i="2"/>
  <c r="Z178" i="1" s="1"/>
  <c r="Y178"/>
  <c r="AR112" i="2"/>
  <c r="Z112" i="1" s="1"/>
  <c r="Y112"/>
  <c r="AR62" i="2"/>
  <c r="Z62" i="1" s="1"/>
  <c r="Y62"/>
  <c r="AR8" i="2"/>
  <c r="Z8" i="1" s="1"/>
  <c r="Y8"/>
  <c r="U8" s="1"/>
  <c r="AR581" i="2"/>
  <c r="Z581" i="1" s="1"/>
  <c r="Y581"/>
  <c r="U581" s="1"/>
  <c r="AR237" i="2"/>
  <c r="Z237" i="1" s="1"/>
  <c r="Y237"/>
  <c r="AR25" i="2"/>
  <c r="Z25" i="1" s="1"/>
  <c r="Y25"/>
  <c r="T25" s="1"/>
  <c r="AR232" i="2"/>
  <c r="Z232" i="1" s="1"/>
  <c r="Y232"/>
  <c r="T232" s="1"/>
  <c r="AR54" i="2"/>
  <c r="Z54" i="1" s="1"/>
  <c r="Y54"/>
  <c r="AR343" i="2"/>
  <c r="Z343" i="1" s="1"/>
  <c r="Y343"/>
  <c r="AR138" i="2"/>
  <c r="Z138" i="1" s="1"/>
  <c r="Y138"/>
  <c r="AR32" i="2"/>
  <c r="Z32" i="1" s="1"/>
  <c r="Y32"/>
  <c r="AR897" i="2"/>
  <c r="Z897" i="1" s="1"/>
  <c r="Y897"/>
  <c r="AR291" i="2"/>
  <c r="Z291" i="1" s="1"/>
  <c r="Y291"/>
  <c r="AR886" i="2"/>
  <c r="Z886" i="1" s="1"/>
  <c r="Y886"/>
  <c r="AR599" i="2"/>
  <c r="Z599" i="1" s="1"/>
  <c r="Y599"/>
  <c r="AR209" i="2"/>
  <c r="Z209" i="1" s="1"/>
  <c r="Y209"/>
  <c r="AR78" i="2"/>
  <c r="Z78" i="1" s="1"/>
  <c r="Y78"/>
  <c r="AR846" i="2"/>
  <c r="Z846" i="1" s="1"/>
  <c r="Y846"/>
  <c r="AR552" i="2"/>
  <c r="Z552" i="1" s="1"/>
  <c r="Y552"/>
  <c r="AR233" i="2"/>
  <c r="Z233" i="1" s="1"/>
  <c r="Y233"/>
  <c r="AR72" i="2"/>
  <c r="Z72" i="1" s="1"/>
  <c r="Y72"/>
  <c r="AR734" i="2"/>
  <c r="Z734" i="1" s="1"/>
  <c r="Y734"/>
  <c r="AR588" i="2"/>
  <c r="Z588" i="1" s="1"/>
  <c r="Y588"/>
  <c r="AR639" i="2"/>
  <c r="Z639" i="1" s="1"/>
  <c r="Y639"/>
  <c r="U639" s="1"/>
  <c r="AR217" i="2"/>
  <c r="Z217" i="1" s="1"/>
  <c r="Y217"/>
  <c r="AR623" i="2"/>
  <c r="Z623" i="1" s="1"/>
  <c r="Y623"/>
  <c r="AR5" i="2"/>
  <c r="Z5" i="1" s="1"/>
  <c r="Y5"/>
  <c r="AR932" i="2"/>
  <c r="Z932" i="1" s="1"/>
  <c r="Y932"/>
  <c r="AR924" i="2"/>
  <c r="Z924" i="1" s="1"/>
  <c r="Y924"/>
  <c r="U924" s="1"/>
  <c r="AR895" i="2"/>
  <c r="Z895" i="1" s="1"/>
  <c r="Y895"/>
  <c r="T895" s="1"/>
  <c r="AR859" i="2"/>
  <c r="Z859" i="1" s="1"/>
  <c r="Y859"/>
  <c r="AR584" i="2"/>
  <c r="Z584" i="1" s="1"/>
  <c r="Y584"/>
  <c r="T584" s="1"/>
  <c r="AR679" i="2"/>
  <c r="Z679" i="1" s="1"/>
  <c r="Y679"/>
  <c r="AR444" i="2"/>
  <c r="Z444" i="1" s="1"/>
  <c r="Y444"/>
  <c r="AR290" i="2"/>
  <c r="Z290" i="1" s="1"/>
  <c r="Y290"/>
  <c r="AR408" i="2"/>
  <c r="Z408" i="1" s="1"/>
  <c r="Y408"/>
  <c r="AR373" i="2"/>
  <c r="Z373" i="1" s="1"/>
  <c r="Y373"/>
  <c r="AR61" i="2"/>
  <c r="Z61" i="1" s="1"/>
  <c r="Y61"/>
  <c r="AR106" i="2"/>
  <c r="Z106" i="1" s="1"/>
  <c r="Y106"/>
  <c r="AR103" i="2"/>
  <c r="Z103" i="1" s="1"/>
  <c r="Y103"/>
  <c r="AR804" i="2"/>
  <c r="Z804" i="1" s="1"/>
  <c r="Y804"/>
  <c r="U804" s="1"/>
  <c r="AR620" i="2"/>
  <c r="Z620" i="1" s="1"/>
  <c r="Y620"/>
  <c r="AR465" i="2"/>
  <c r="Z465" i="1" s="1"/>
  <c r="Y465"/>
  <c r="AR922" i="2"/>
  <c r="Z922" i="1" s="1"/>
  <c r="Y922"/>
  <c r="AR383" i="2"/>
  <c r="Z383" i="1" s="1"/>
  <c r="Y383"/>
  <c r="AR493" i="2"/>
  <c r="Z493" i="1" s="1"/>
  <c r="Y493"/>
  <c r="AR96" i="2"/>
  <c r="Z96" i="1" s="1"/>
  <c r="Y96"/>
  <c r="T96" s="1"/>
  <c r="AR610" i="2"/>
  <c r="Z610" i="1" s="1"/>
  <c r="Y610"/>
  <c r="U610" s="1"/>
  <c r="AR939" i="2"/>
  <c r="Z939" i="1" s="1"/>
  <c r="Y939"/>
  <c r="AR774" i="2"/>
  <c r="Z774" i="1" s="1"/>
  <c r="Y774"/>
  <c r="AR709" i="2"/>
  <c r="Z709" i="1" s="1"/>
  <c r="Y709"/>
  <c r="T709" s="1"/>
  <c r="AR674" i="2"/>
  <c r="Z674" i="1" s="1"/>
  <c r="Y674"/>
  <c r="AR638" i="2"/>
  <c r="Z638" i="1" s="1"/>
  <c r="Y638"/>
  <c r="AR360" i="2"/>
  <c r="Z360" i="1" s="1"/>
  <c r="Y360"/>
  <c r="AR287" i="2"/>
  <c r="Z287" i="1" s="1"/>
  <c r="Y287"/>
  <c r="T287" s="1"/>
  <c r="AR147" i="2"/>
  <c r="Z147" i="1" s="1"/>
  <c r="Y147"/>
  <c r="AR834" i="2"/>
  <c r="Z834" i="1" s="1"/>
  <c r="Y834"/>
  <c r="AR796" i="2"/>
  <c r="Z796" i="1" s="1"/>
  <c r="Y796"/>
  <c r="U796" s="1"/>
  <c r="AR779" i="2"/>
  <c r="Z779" i="1" s="1"/>
  <c r="Y779"/>
  <c r="AR379" i="2"/>
  <c r="Z379" i="1" s="1"/>
  <c r="Y379"/>
  <c r="T379" s="1"/>
  <c r="AR33" i="2"/>
  <c r="Z33" i="1" s="1"/>
  <c r="Y33"/>
  <c r="T33" s="1"/>
  <c r="AR30" i="2"/>
  <c r="Z30" i="1" s="1"/>
  <c r="Y30"/>
  <c r="AR876" i="2"/>
  <c r="Z876" i="1" s="1"/>
  <c r="Y876"/>
  <c r="AR927" i="2"/>
  <c r="Z927" i="1" s="1"/>
  <c r="Y927"/>
  <c r="AR854" i="2"/>
  <c r="Z854" i="1" s="1"/>
  <c r="Y854"/>
  <c r="U854" s="1"/>
  <c r="AR829" i="2"/>
  <c r="Z829" i="1" s="1"/>
  <c r="Y829"/>
  <c r="U829" s="1"/>
  <c r="AR765" i="2"/>
  <c r="Z765" i="1" s="1"/>
  <c r="Y765"/>
  <c r="AR720" i="2"/>
  <c r="Z720" i="1" s="1"/>
  <c r="Y720"/>
  <c r="AR678" i="2"/>
  <c r="Z678" i="1" s="1"/>
  <c r="Y678"/>
  <c r="AR750" i="2"/>
  <c r="Z750" i="1" s="1"/>
  <c r="Y750"/>
  <c r="AR583" i="2"/>
  <c r="Z583" i="1" s="1"/>
  <c r="Y583"/>
  <c r="U583" s="1"/>
  <c r="AR488" i="2"/>
  <c r="Z488" i="1" s="1"/>
  <c r="Y488"/>
  <c r="AR554" i="2"/>
  <c r="Z554" i="1" s="1"/>
  <c r="Y554"/>
  <c r="AR506" i="2"/>
  <c r="Z506" i="1" s="1"/>
  <c r="Y506"/>
  <c r="AR532" i="2"/>
  <c r="Z532" i="1" s="1"/>
  <c r="Y532"/>
  <c r="AR511" i="2"/>
  <c r="Z511" i="1" s="1"/>
  <c r="Y511"/>
  <c r="AR486" i="2"/>
  <c r="Z486" i="1" s="1"/>
  <c r="Y486"/>
  <c r="AR462" i="2"/>
  <c r="Z462" i="1" s="1"/>
  <c r="Y462"/>
  <c r="AR358" i="2"/>
  <c r="Z358" i="1" s="1"/>
  <c r="Y358"/>
  <c r="AR401" i="2"/>
  <c r="Z401" i="1" s="1"/>
  <c r="Y401"/>
  <c r="AR279" i="2"/>
  <c r="Z279" i="1" s="1"/>
  <c r="Y279"/>
  <c r="AR173" i="2"/>
  <c r="Z173" i="1" s="1"/>
  <c r="Y173"/>
  <c r="AR198" i="2"/>
  <c r="Z198" i="1" s="1"/>
  <c r="Y198"/>
  <c r="AR53" i="2"/>
  <c r="Z53" i="1" s="1"/>
  <c r="Y53"/>
  <c r="AR295" i="2"/>
  <c r="Z295" i="1" s="1"/>
  <c r="Y295"/>
  <c r="AR66" i="2"/>
  <c r="Z66" i="1" s="1"/>
  <c r="Y66"/>
  <c r="AR189" i="2"/>
  <c r="Z189" i="1" s="1"/>
  <c r="Y189"/>
  <c r="U189" s="1"/>
  <c r="AR95" i="2"/>
  <c r="Z95" i="1" s="1"/>
  <c r="Y95"/>
  <c r="U95" s="1"/>
  <c r="AR920" i="2"/>
  <c r="Z920" i="1" s="1"/>
  <c r="Y920"/>
  <c r="AR881" i="2"/>
  <c r="Z881" i="1" s="1"/>
  <c r="Y881"/>
  <c r="AR731" i="2"/>
  <c r="Z731" i="1" s="1"/>
  <c r="Y731"/>
  <c r="AR752" i="2"/>
  <c r="Z752" i="1" s="1"/>
  <c r="Y752"/>
  <c r="AR671" i="2"/>
  <c r="Z671" i="1" s="1"/>
  <c r="Y671"/>
  <c r="AR606" i="2"/>
  <c r="Z606" i="1" s="1"/>
  <c r="Y606"/>
  <c r="AR563" i="2"/>
  <c r="Z563" i="1" s="1"/>
  <c r="Y563"/>
  <c r="AR555" i="2"/>
  <c r="Z555" i="1" s="1"/>
  <c r="Y555"/>
  <c r="U555" s="1"/>
  <c r="AR508" i="2"/>
  <c r="Z508" i="1" s="1"/>
  <c r="Y508"/>
  <c r="AR442" i="2"/>
  <c r="Z442" i="1" s="1"/>
  <c r="Y442"/>
  <c r="AR414" i="2"/>
  <c r="Z414" i="1" s="1"/>
  <c r="Y414"/>
  <c r="AR350" i="2"/>
  <c r="Z350" i="1" s="1"/>
  <c r="Y350"/>
  <c r="T350" s="1"/>
  <c r="AR321" i="2"/>
  <c r="Z321" i="1" s="1"/>
  <c r="Y321"/>
  <c r="AR340" i="2"/>
  <c r="Z340" i="1" s="1"/>
  <c r="Y340"/>
  <c r="T340" s="1"/>
  <c r="AR276" i="2"/>
  <c r="Z276" i="1" s="1"/>
  <c r="Y276"/>
  <c r="U276" s="1"/>
  <c r="AR416" i="2"/>
  <c r="Z416" i="1" s="1"/>
  <c r="Y416"/>
  <c r="AR245" i="2"/>
  <c r="Z245" i="1" s="1"/>
  <c r="Y245"/>
  <c r="AR399" i="2"/>
  <c r="Z399" i="1" s="1"/>
  <c r="Y399"/>
  <c r="AR310" i="2"/>
  <c r="Z310" i="1" s="1"/>
  <c r="Y310"/>
  <c r="AR241" i="2"/>
  <c r="Z241" i="1" s="1"/>
  <c r="Y241"/>
  <c r="AR179" i="2"/>
  <c r="Z179" i="1" s="1"/>
  <c r="Y179"/>
  <c r="AR135" i="2"/>
  <c r="Z135" i="1" s="1"/>
  <c r="Y135"/>
  <c r="AR119" i="2"/>
  <c r="Z119" i="1" s="1"/>
  <c r="Y119"/>
  <c r="AR317" i="2"/>
  <c r="Z317" i="1" s="1"/>
  <c r="Y317"/>
  <c r="AR164" i="2"/>
  <c r="Z164" i="1" s="1"/>
  <c r="Y164"/>
  <c r="AR67" i="2"/>
  <c r="Z67" i="1" s="1"/>
  <c r="Y67"/>
  <c r="AR35" i="2"/>
  <c r="Z35" i="1" s="1"/>
  <c r="Y35"/>
  <c r="U35" s="1"/>
  <c r="AR265" i="2"/>
  <c r="Z265" i="1" s="1"/>
  <c r="Y265"/>
  <c r="AR149" i="2"/>
  <c r="Z149" i="1" s="1"/>
  <c r="Y149"/>
  <c r="AR13" i="2"/>
  <c r="Z13" i="1" s="1"/>
  <c r="Y13"/>
  <c r="AR108" i="2"/>
  <c r="Z108" i="1" s="1"/>
  <c r="Y108"/>
  <c r="U108" s="1"/>
  <c r="AR207" i="2"/>
  <c r="Z207" i="1" s="1"/>
  <c r="Y207"/>
  <c r="T207" s="1"/>
  <c r="AR949" i="2"/>
  <c r="Z949" i="1" s="1"/>
  <c r="Y949"/>
  <c r="AR980" i="2"/>
  <c r="Z980" i="1" s="1"/>
  <c r="Y980"/>
  <c r="AR948" i="2"/>
  <c r="Z948" i="1" s="1"/>
  <c r="Y948"/>
  <c r="AR887" i="2"/>
  <c r="Z887" i="1" s="1"/>
  <c r="Y887"/>
  <c r="T887" s="1"/>
  <c r="AR908" i="2"/>
  <c r="Z908" i="1" s="1"/>
  <c r="Y908"/>
  <c r="AR860" i="2"/>
  <c r="Z860" i="1" s="1"/>
  <c r="Y860"/>
  <c r="AR891" i="2"/>
  <c r="Z891" i="1" s="1"/>
  <c r="Y891"/>
  <c r="AR844" i="2"/>
  <c r="Z844" i="1" s="1"/>
  <c r="Y844"/>
  <c r="AR858" i="2"/>
  <c r="Z858" i="1" s="1"/>
  <c r="Y858"/>
  <c r="AR783" i="2"/>
  <c r="Z783" i="1" s="1"/>
  <c r="Y783"/>
  <c r="AR896" i="2"/>
  <c r="Z896" i="1" s="1"/>
  <c r="Y896"/>
  <c r="T896" s="1"/>
  <c r="AR878" i="2"/>
  <c r="Z878" i="1" s="1"/>
  <c r="Y878"/>
  <c r="U878" s="1"/>
  <c r="AR870" i="2"/>
  <c r="Z870" i="1" s="1"/>
  <c r="Y870"/>
  <c r="AR790" i="2"/>
  <c r="Z790" i="1" s="1"/>
  <c r="Y790"/>
  <c r="AR753" i="2"/>
  <c r="Z753" i="1" s="1"/>
  <c r="Y753"/>
  <c r="AR761" i="2"/>
  <c r="Z761" i="1" s="1"/>
  <c r="Y761"/>
  <c r="U761" s="1"/>
  <c r="AR684" i="2"/>
  <c r="Z684" i="1" s="1"/>
  <c r="Y684"/>
  <c r="AR704" i="2"/>
  <c r="Z704" i="1" s="1"/>
  <c r="Y704"/>
  <c r="AR700" i="2"/>
  <c r="Z700" i="1" s="1"/>
  <c r="Y700"/>
  <c r="AR617" i="2"/>
  <c r="Z617" i="1" s="1"/>
  <c r="Y617"/>
  <c r="AR673" i="2"/>
  <c r="Z673" i="1" s="1"/>
  <c r="Y673"/>
  <c r="AR646" i="2"/>
  <c r="Z646" i="1" s="1"/>
  <c r="Y646"/>
  <c r="AR619" i="2"/>
  <c r="Z619" i="1" s="1"/>
  <c r="Y619"/>
  <c r="U619" s="1"/>
  <c r="AR662" i="2"/>
  <c r="Z662" i="1" s="1"/>
  <c r="Y662"/>
  <c r="AR666" i="2"/>
  <c r="Z666" i="1" s="1"/>
  <c r="Y666"/>
  <c r="AR694" i="2"/>
  <c r="Z694" i="1" s="1"/>
  <c r="Y694"/>
  <c r="AR627" i="2"/>
  <c r="Z627" i="1" s="1"/>
  <c r="Y627"/>
  <c r="AR707" i="2"/>
  <c r="Z707" i="1" s="1"/>
  <c r="Y707"/>
  <c r="U707" s="1"/>
  <c r="AR612" i="2"/>
  <c r="Z612" i="1" s="1"/>
  <c r="Y612"/>
  <c r="AR562" i="2"/>
  <c r="Z562" i="1" s="1"/>
  <c r="Y562"/>
  <c r="AR578" i="2"/>
  <c r="Z578" i="1" s="1"/>
  <c r="Y578"/>
  <c r="T578" s="1"/>
  <c r="AR528" i="2"/>
  <c r="Z528" i="1" s="1"/>
  <c r="Y528"/>
  <c r="AR480" i="2"/>
  <c r="Z480" i="1" s="1"/>
  <c r="Y480"/>
  <c r="AR628" i="2"/>
  <c r="Z628" i="1" s="1"/>
  <c r="Y628"/>
  <c r="AR530" i="2"/>
  <c r="Z530" i="1" s="1"/>
  <c r="Y530"/>
  <c r="AR498" i="2"/>
  <c r="Z498" i="1" s="1"/>
  <c r="Y498"/>
  <c r="AR466" i="2"/>
  <c r="Z466" i="1" s="1"/>
  <c r="Y466"/>
  <c r="AR567" i="2"/>
  <c r="Z567" i="1" s="1"/>
  <c r="Y567"/>
  <c r="AR484" i="2"/>
  <c r="Z484" i="1" s="1"/>
  <c r="Y484"/>
  <c r="AR460" i="2"/>
  <c r="Z460" i="1" s="1"/>
  <c r="Y460"/>
  <c r="T460" s="1"/>
  <c r="AR471" i="2"/>
  <c r="Z471" i="1" s="1"/>
  <c r="Y471"/>
  <c r="AR570" i="2"/>
  <c r="Z570" i="1" s="1"/>
  <c r="Y570"/>
  <c r="T570" s="1"/>
  <c r="AR441" i="2"/>
  <c r="Z441" i="1" s="1"/>
  <c r="Y441"/>
  <c r="U441" s="1"/>
  <c r="AR505" i="2"/>
  <c r="Z505" i="1" s="1"/>
  <c r="Y505"/>
  <c r="T505" s="1"/>
  <c r="AR404" i="2"/>
  <c r="Z404" i="1" s="1"/>
  <c r="Y404"/>
  <c r="AR372" i="2"/>
  <c r="Z372" i="1" s="1"/>
  <c r="Y372"/>
  <c r="U372" s="1"/>
  <c r="AR487" i="2"/>
  <c r="Z487" i="1" s="1"/>
  <c r="Y487"/>
  <c r="U487" s="1"/>
  <c r="AR526" i="2"/>
  <c r="Z526" i="1" s="1"/>
  <c r="Y526"/>
  <c r="U526" s="1"/>
  <c r="AR382" i="2"/>
  <c r="Z382" i="1" s="1"/>
  <c r="Y382"/>
  <c r="AR342" i="2"/>
  <c r="Z342" i="1" s="1"/>
  <c r="Y342"/>
  <c r="AR377" i="2"/>
  <c r="Z377" i="1" s="1"/>
  <c r="Y377"/>
  <c r="AR352" i="2"/>
  <c r="Z352" i="1" s="1"/>
  <c r="Y352"/>
  <c r="AR294" i="2"/>
  <c r="Z294" i="1" s="1"/>
  <c r="Y294"/>
  <c r="AR353" i="2"/>
  <c r="Z353" i="1" s="1"/>
  <c r="Y353"/>
  <c r="AR432" i="2"/>
  <c r="Z432" i="1" s="1"/>
  <c r="Y432"/>
  <c r="AR361" i="2"/>
  <c r="Z361" i="1" s="1"/>
  <c r="Y361"/>
  <c r="AR302" i="2"/>
  <c r="Z302" i="1" s="1"/>
  <c r="Y302"/>
  <c r="AR270" i="2"/>
  <c r="Z270" i="1" s="1"/>
  <c r="Y270"/>
  <c r="AR228" i="2"/>
  <c r="Z228" i="1" s="1"/>
  <c r="Y228"/>
  <c r="T228" s="1"/>
  <c r="AR385" i="2"/>
  <c r="Z385" i="1" s="1"/>
  <c r="Y385"/>
  <c r="AR333" i="2"/>
  <c r="Z333" i="1" s="1"/>
  <c r="Y333"/>
  <c r="AR240" i="2"/>
  <c r="Z240" i="1" s="1"/>
  <c r="Y240"/>
  <c r="AR451" i="2"/>
  <c r="Z451" i="1" s="1"/>
  <c r="Y451"/>
  <c r="AR239" i="2"/>
  <c r="Z239" i="1" s="1"/>
  <c r="Y239"/>
  <c r="AR143" i="2"/>
  <c r="Z143" i="1" s="1"/>
  <c r="Y143"/>
  <c r="AR134" i="2"/>
  <c r="Z134" i="1" s="1"/>
  <c r="Y134"/>
  <c r="AR205" i="2"/>
  <c r="Z205" i="1" s="1"/>
  <c r="Y205"/>
  <c r="AR354" i="2"/>
  <c r="Z354" i="1" s="1"/>
  <c r="Y354"/>
  <c r="U354" s="1"/>
  <c r="AR109" i="2"/>
  <c r="Z109" i="1" s="1"/>
  <c r="Y109"/>
  <c r="AR77" i="2"/>
  <c r="Z77" i="1" s="1"/>
  <c r="Y77"/>
  <c r="AR45" i="2"/>
  <c r="Z45" i="1" s="1"/>
  <c r="Y45"/>
  <c r="AR44" i="2"/>
  <c r="Z44" i="1" s="1"/>
  <c r="Y44"/>
  <c r="U44" s="1"/>
  <c r="AR167" i="2"/>
  <c r="Z167" i="1" s="1"/>
  <c r="Y167"/>
  <c r="T167" s="1"/>
  <c r="AR90" i="2"/>
  <c r="Z90" i="1" s="1"/>
  <c r="Y90"/>
  <c r="AR58" i="2"/>
  <c r="Z58" i="1" s="1"/>
  <c r="Y58"/>
  <c r="AR26" i="2"/>
  <c r="Z26" i="1" s="1"/>
  <c r="Y26"/>
  <c r="AR489" i="2"/>
  <c r="Z489" i="1" s="1"/>
  <c r="Y489"/>
  <c r="T489" s="1"/>
  <c r="AR87" i="2"/>
  <c r="Z87" i="1" s="1"/>
  <c r="Y87"/>
  <c r="AR55" i="2"/>
  <c r="Z55" i="1" s="1"/>
  <c r="Y55"/>
  <c r="AR356" i="2"/>
  <c r="Z356" i="1" s="1"/>
  <c r="Y356"/>
  <c r="AR989" i="2"/>
  <c r="Z989" i="1" s="1"/>
  <c r="Y989"/>
  <c r="AR749" i="2"/>
  <c r="Z749" i="1" s="1"/>
  <c r="Y749"/>
  <c r="AR985" i="2"/>
  <c r="Z985" i="1" s="1"/>
  <c r="Y985"/>
  <c r="AR952" i="2"/>
  <c r="Z952" i="1" s="1"/>
  <c r="Y952"/>
  <c r="U952" s="1"/>
  <c r="AR947" i="2"/>
  <c r="Z947" i="1" s="1"/>
  <c r="Y947"/>
  <c r="AR893" i="2"/>
  <c r="Z893" i="1" s="1"/>
  <c r="Y893"/>
  <c r="AR855" i="2"/>
  <c r="Z855" i="1" s="1"/>
  <c r="Y855"/>
  <c r="AR811" i="2"/>
  <c r="Z811" i="1" s="1"/>
  <c r="Y811"/>
  <c r="AR962" i="2"/>
  <c r="Z962" i="1" s="1"/>
  <c r="Y962"/>
  <c r="AR485" i="2"/>
  <c r="Z485" i="1" s="1"/>
  <c r="Y485"/>
  <c r="T485" s="1"/>
  <c r="AR277" i="2"/>
  <c r="Z277" i="1" s="1"/>
  <c r="Y277"/>
  <c r="AR824" i="2"/>
  <c r="Z824" i="1" s="1"/>
  <c r="Y824"/>
  <c r="T824" s="1"/>
  <c r="AR608" i="2"/>
  <c r="Z608" i="1" s="1"/>
  <c r="Y608"/>
  <c r="AR499" i="2"/>
  <c r="Z499" i="1" s="1"/>
  <c r="Y499"/>
  <c r="AR969" i="2"/>
  <c r="Z969" i="1" s="1"/>
  <c r="Y969"/>
  <c r="AR693" i="2"/>
  <c r="Z693" i="1" s="1"/>
  <c r="Y693"/>
  <c r="T693" s="1"/>
  <c r="AR455" i="2"/>
  <c r="Z455" i="1" s="1"/>
  <c r="Y455"/>
  <c r="AR378" i="2"/>
  <c r="Z378" i="1" s="1"/>
  <c r="Y378"/>
  <c r="AR172" i="2"/>
  <c r="Z172" i="1" s="1"/>
  <c r="Y172"/>
  <c r="U172" s="1"/>
  <c r="AR478" i="2"/>
  <c r="Z478" i="1" s="1"/>
  <c r="Y478"/>
  <c r="AR204" i="2"/>
  <c r="Z204" i="1" s="1"/>
  <c r="Y204"/>
  <c r="AR544" i="2"/>
  <c r="Z544" i="1" s="1"/>
  <c r="Y544"/>
  <c r="AR459" i="2"/>
  <c r="Z459" i="1" s="1"/>
  <c r="Y459"/>
  <c r="AR402" i="2"/>
  <c r="Z402" i="1" s="1"/>
  <c r="Y402"/>
  <c r="AR213" i="2"/>
  <c r="Z213" i="1" s="1"/>
  <c r="Y213"/>
  <c r="AR152" i="2"/>
  <c r="Z152" i="1" s="1"/>
  <c r="Y152"/>
  <c r="T152" s="1"/>
  <c r="AR94" i="2"/>
  <c r="Z94" i="1" s="1"/>
  <c r="Y94"/>
  <c r="AR41" i="2"/>
  <c r="Z41" i="1" s="1"/>
  <c r="Y41"/>
  <c r="T41" s="1"/>
  <c r="AR309" i="2"/>
  <c r="Z309" i="1" s="1"/>
  <c r="Y309"/>
  <c r="AR17" i="2"/>
  <c r="Z17" i="1" s="1"/>
  <c r="Y17"/>
  <c r="AR22" i="2"/>
  <c r="Z22" i="1" s="1"/>
  <c r="Y22"/>
  <c r="AR330" i="2"/>
  <c r="Z330" i="1" s="1"/>
  <c r="Y330"/>
  <c r="T330" s="1"/>
  <c r="AR154" i="2"/>
  <c r="Z154" i="1" s="1"/>
  <c r="Y154"/>
  <c r="AR200" i="2"/>
  <c r="Z200" i="1" s="1"/>
  <c r="Y200"/>
  <c r="AR784" i="2"/>
  <c r="Z784" i="1" s="1"/>
  <c r="Y784"/>
  <c r="U784" s="1"/>
  <c r="AR430" i="2"/>
  <c r="Z430" i="1" s="1"/>
  <c r="Y430"/>
  <c r="AR184" i="2"/>
  <c r="Z184" i="1" s="1"/>
  <c r="Y184"/>
  <c r="T184" s="1"/>
  <c r="AR16" i="2"/>
  <c r="Z16" i="1" s="1"/>
  <c r="Y16"/>
  <c r="AR851" i="2"/>
  <c r="Z851" i="1" s="1"/>
  <c r="Y851"/>
  <c r="U851" s="1"/>
  <c r="AR545" i="2"/>
  <c r="Z545" i="1" s="1"/>
  <c r="Y545"/>
  <c r="AR879" i="2"/>
  <c r="Z879" i="1" s="1"/>
  <c r="Y879"/>
  <c r="AR970" i="2"/>
  <c r="Z970" i="1" s="1"/>
  <c r="Y970"/>
  <c r="AR864" i="2"/>
  <c r="Z864" i="1" s="1"/>
  <c r="Y864"/>
  <c r="U864" s="1"/>
  <c r="AR507" i="2"/>
  <c r="Z507" i="1" s="1"/>
  <c r="Y507"/>
  <c r="U507" s="1"/>
  <c r="AR258" i="2"/>
  <c r="Z258" i="1" s="1"/>
  <c r="Y258"/>
  <c r="AR548" i="2"/>
  <c r="Z548" i="1" s="1"/>
  <c r="Y548"/>
  <c r="AR978" i="2"/>
  <c r="Z978" i="1" s="1"/>
  <c r="Y978"/>
  <c r="T978" s="1"/>
  <c r="AR137" i="2"/>
  <c r="Z137" i="1" s="1"/>
  <c r="Y137"/>
  <c r="AR996" i="2"/>
  <c r="Z996" i="1" s="1"/>
  <c r="Y996"/>
  <c r="AR813" i="2"/>
  <c r="Z813" i="1" s="1"/>
  <c r="Y813"/>
  <c r="AR719" i="2"/>
  <c r="Z719" i="1" s="1"/>
  <c r="Y719"/>
  <c r="AR698" i="2"/>
  <c r="Z698" i="1" s="1"/>
  <c r="Y698"/>
  <c r="AR661" i="2"/>
  <c r="Z661" i="1" s="1"/>
  <c r="Y661"/>
  <c r="AR496" i="2"/>
  <c r="Z496" i="1" s="1"/>
  <c r="Y496"/>
  <c r="AR449" i="2"/>
  <c r="Z449" i="1" s="1"/>
  <c r="Y449"/>
  <c r="AR388" i="2"/>
  <c r="Z388" i="1" s="1"/>
  <c r="Y388"/>
  <c r="AR398" i="2"/>
  <c r="Z398" i="1" s="1"/>
  <c r="Y398"/>
  <c r="T398" s="1"/>
  <c r="AR249" i="2"/>
  <c r="Z249" i="1" s="1"/>
  <c r="Y249"/>
  <c r="AR387" i="2"/>
  <c r="Z387" i="1" s="1"/>
  <c r="Y387"/>
  <c r="AR162" i="2"/>
  <c r="Z162" i="1" s="1"/>
  <c r="Y162"/>
  <c r="AR182" i="2"/>
  <c r="Z182" i="1" s="1"/>
  <c r="Y182"/>
  <c r="AR42" i="2"/>
  <c r="Z42" i="1" s="1"/>
  <c r="Y42"/>
  <c r="T42" s="1"/>
  <c r="AR39" i="2"/>
  <c r="Z39" i="1" s="1"/>
  <c r="Y39"/>
  <c r="AR968" i="2"/>
  <c r="Z968" i="1" s="1"/>
  <c r="Y968"/>
  <c r="U968" s="1"/>
  <c r="AR653" i="2"/>
  <c r="Z653" i="1" s="1"/>
  <c r="Y653"/>
  <c r="U653" s="1"/>
  <c r="AR997" i="2"/>
  <c r="Z997" i="1" s="1"/>
  <c r="Y997"/>
  <c r="AR776" i="2"/>
  <c r="Z776" i="1" s="1"/>
  <c r="Y776"/>
  <c r="AR600" i="2"/>
  <c r="Z600" i="1" s="1"/>
  <c r="Y600"/>
  <c r="T600" s="1"/>
  <c r="AR199" i="2"/>
  <c r="Z199" i="1" s="1"/>
  <c r="Y199"/>
  <c r="AR577" i="2"/>
  <c r="Z577" i="1" s="1"/>
  <c r="Y577"/>
  <c r="AR913" i="2"/>
  <c r="Z913" i="1" s="1"/>
  <c r="Y913"/>
  <c r="AR982" i="2"/>
  <c r="Z982" i="1" s="1"/>
  <c r="Y982"/>
  <c r="U982" s="1"/>
  <c r="AR973" i="2"/>
  <c r="Z973" i="1" s="1"/>
  <c r="Y973"/>
  <c r="AR900" i="2"/>
  <c r="Z900" i="1" s="1"/>
  <c r="Y900"/>
  <c r="AR885" i="2"/>
  <c r="Z885" i="1" s="1"/>
  <c r="Y885"/>
  <c r="AR743" i="2"/>
  <c r="Z743" i="1" s="1"/>
  <c r="Y743"/>
  <c r="AR798" i="2"/>
  <c r="Z798" i="1" s="1"/>
  <c r="Y798"/>
  <c r="AR843" i="2"/>
  <c r="Z843" i="1" s="1"/>
  <c r="Y843"/>
  <c r="AR633" i="2"/>
  <c r="Z633" i="1" s="1"/>
  <c r="Y633"/>
  <c r="AR634" i="2"/>
  <c r="Z634" i="1" s="1"/>
  <c r="Y634"/>
  <c r="AR539" i="2"/>
  <c r="Z539" i="1" s="1"/>
  <c r="Y539"/>
  <c r="AR575" i="2"/>
  <c r="Z575" i="1" s="1"/>
  <c r="Y575"/>
  <c r="U575" s="1"/>
  <c r="AR468" i="2"/>
  <c r="Z468" i="1" s="1"/>
  <c r="Y468"/>
  <c r="AR305" i="2"/>
  <c r="Z305" i="1" s="1"/>
  <c r="Y305"/>
  <c r="AR286" i="2"/>
  <c r="Z286" i="1" s="1"/>
  <c r="Y286"/>
  <c r="AR397" i="2"/>
  <c r="Z397" i="1" s="1"/>
  <c r="Y397"/>
  <c r="AR781" i="2"/>
  <c r="Z781" i="1" s="1"/>
  <c r="Y781"/>
  <c r="U781" s="1"/>
  <c r="AR928" i="2"/>
  <c r="Z928" i="1" s="1"/>
  <c r="Y928"/>
  <c r="U928" s="1"/>
  <c r="AR726" i="2"/>
  <c r="Z726" i="1" s="1"/>
  <c r="Y726"/>
  <c r="AR729" i="2"/>
  <c r="Z729" i="1" s="1"/>
  <c r="Y729"/>
  <c r="AR234" i="2"/>
  <c r="Z234" i="1" s="1"/>
  <c r="Y234"/>
  <c r="U234" s="1"/>
  <c r="AR153" i="2"/>
  <c r="Z153" i="1" s="1"/>
  <c r="Y153"/>
  <c r="AR965" i="2"/>
  <c r="Z965" i="1" s="1"/>
  <c r="Y965"/>
  <c r="AR988" i="2"/>
  <c r="Z988" i="1" s="1"/>
  <c r="Y988"/>
  <c r="AR877" i="2"/>
  <c r="Z877" i="1" s="1"/>
  <c r="Y877"/>
  <c r="AR773" i="2"/>
  <c r="Z773" i="1" s="1"/>
  <c r="Y773"/>
  <c r="AR735" i="2"/>
  <c r="Z735" i="1" s="1"/>
  <c r="Y735"/>
  <c r="AR649" i="2"/>
  <c r="Z649" i="1" s="1"/>
  <c r="Y649"/>
  <c r="AR689" i="2"/>
  <c r="Z689" i="1" s="1"/>
  <c r="Y689"/>
  <c r="AR683" i="2"/>
  <c r="Z683" i="1" s="1"/>
  <c r="Y683"/>
  <c r="AR622" i="2"/>
  <c r="Z622" i="1" s="1"/>
  <c r="Y622"/>
  <c r="AR629" i="2"/>
  <c r="Z629" i="1" s="1"/>
  <c r="Y629"/>
  <c r="AR571" i="2"/>
  <c r="Z571" i="1" s="1"/>
  <c r="Y571"/>
  <c r="U571" s="1"/>
  <c r="AR448" i="2"/>
  <c r="Z448" i="1" s="1"/>
  <c r="Y448"/>
  <c r="T448" s="1"/>
  <c r="AR474" i="2"/>
  <c r="Z474" i="1" s="1"/>
  <c r="Y474"/>
  <c r="AR565" i="2"/>
  <c r="Z565" i="1" s="1"/>
  <c r="Y565"/>
  <c r="AR494" i="2"/>
  <c r="Z494" i="1" s="1"/>
  <c r="Y494"/>
  <c r="AR502" i="2"/>
  <c r="Z502" i="1" s="1"/>
  <c r="Y502"/>
  <c r="AR380" i="2"/>
  <c r="Z380" i="1" s="1"/>
  <c r="Y380"/>
  <c r="AR424" i="2"/>
  <c r="Z424" i="1" s="1"/>
  <c r="Y424"/>
  <c r="AR390" i="2"/>
  <c r="Z390" i="1" s="1"/>
  <c r="Y390"/>
  <c r="T390" s="1"/>
  <c r="AR344" i="2"/>
  <c r="Z344" i="1" s="1"/>
  <c r="Y344"/>
  <c r="AR345" i="2"/>
  <c r="Z345" i="1" s="1"/>
  <c r="Y345"/>
  <c r="T345" s="1"/>
  <c r="AR438" i="2"/>
  <c r="Z438" i="1" s="1"/>
  <c r="Y438"/>
  <c r="AR230" i="2"/>
  <c r="Z230" i="1" s="1"/>
  <c r="Y230"/>
  <c r="AR426" i="2"/>
  <c r="Z426" i="1" s="1"/>
  <c r="Y426"/>
  <c r="U426" s="1"/>
  <c r="AR115" i="2"/>
  <c r="Z115" i="1" s="1"/>
  <c r="Y115"/>
  <c r="AR34" i="2"/>
  <c r="Z34" i="1" s="1"/>
  <c r="Y34"/>
  <c r="T34" s="1"/>
  <c r="AR7" i="2"/>
  <c r="Z7" i="1" s="1"/>
  <c r="Y7"/>
  <c r="AR919" i="2"/>
  <c r="Z919" i="1" s="1"/>
  <c r="Y919"/>
  <c r="T919" s="1"/>
  <c r="AR845" i="2"/>
  <c r="Z845" i="1" s="1"/>
  <c r="Y845"/>
  <c r="AR791" i="2"/>
  <c r="Z791" i="1" s="1"/>
  <c r="Y791"/>
  <c r="AR763" i="2"/>
  <c r="Z763" i="1" s="1"/>
  <c r="Y763"/>
  <c r="U763" s="1"/>
  <c r="AR667" i="2"/>
  <c r="Z667" i="1" s="1"/>
  <c r="Y667"/>
  <c r="AR625" i="2"/>
  <c r="Z625" i="1" s="1"/>
  <c r="Y625"/>
  <c r="AR713" i="2"/>
  <c r="Z713" i="1" s="1"/>
  <c r="Y713"/>
  <c r="AR535" i="2"/>
  <c r="Z535" i="1" s="1"/>
  <c r="Y535"/>
  <c r="U535" s="1"/>
  <c r="AR440" i="2"/>
  <c r="Z440" i="1" s="1"/>
  <c r="Y440"/>
  <c r="AR497" i="2"/>
  <c r="Z497" i="1" s="1"/>
  <c r="Y497"/>
  <c r="AR510" i="2"/>
  <c r="Z510" i="1" s="1"/>
  <c r="Y510"/>
  <c r="AR475" i="2"/>
  <c r="Z475" i="1" s="1"/>
  <c r="Y475"/>
  <c r="AR329" i="2"/>
  <c r="Z329" i="1" s="1"/>
  <c r="Y329"/>
  <c r="AR303" i="2"/>
  <c r="Z303" i="1" s="1"/>
  <c r="Y303"/>
  <c r="AR308" i="2"/>
  <c r="Z308" i="1" s="1"/>
  <c r="Y308"/>
  <c r="AR236" i="2"/>
  <c r="Z236" i="1" s="1"/>
  <c r="Y236"/>
  <c r="U236" s="1"/>
  <c r="AR278" i="2"/>
  <c r="Z278" i="1" s="1"/>
  <c r="Y278"/>
  <c r="AR211" i="2"/>
  <c r="Z211" i="1" s="1"/>
  <c r="Y211"/>
  <c r="T211" s="1"/>
  <c r="AR341" i="2"/>
  <c r="Z341" i="1" s="1"/>
  <c r="Y341"/>
  <c r="AR99" i="2"/>
  <c r="Z99" i="1" s="1"/>
  <c r="Y99"/>
  <c r="T99" s="1"/>
  <c r="AR263" i="2"/>
  <c r="Z263" i="1" s="1"/>
  <c r="Y263"/>
  <c r="T263" s="1"/>
  <c r="AR113" i="2"/>
  <c r="Z113" i="1" s="1"/>
  <c r="Y113"/>
  <c r="AR123" i="2"/>
  <c r="Z123" i="1" s="1"/>
  <c r="Y123"/>
  <c r="AR175" i="2"/>
  <c r="Z175" i="1" s="1"/>
  <c r="Y175"/>
  <c r="AR941" i="2"/>
  <c r="Z941" i="1" s="1"/>
  <c r="Y941"/>
  <c r="AR987" i="2"/>
  <c r="Z987" i="1" s="1"/>
  <c r="Y987"/>
  <c r="AR852" i="2"/>
  <c r="Z852" i="1" s="1"/>
  <c r="Y852"/>
  <c r="AR873" i="2"/>
  <c r="Z873" i="1" s="1"/>
  <c r="Y873"/>
  <c r="T873" s="1"/>
  <c r="AR975" i="2"/>
  <c r="Z975" i="1" s="1"/>
  <c r="Y975"/>
  <c r="T975" s="1"/>
  <c r="AR775" i="2"/>
  <c r="Z775" i="1" s="1"/>
  <c r="Y775"/>
  <c r="AR862" i="2"/>
  <c r="Z862" i="1" s="1"/>
  <c r="Y862"/>
  <c r="AR837" i="2"/>
  <c r="Z837" i="1" s="1"/>
  <c r="Y837"/>
  <c r="AR823" i="2"/>
  <c r="Z823" i="1" s="1"/>
  <c r="Y823"/>
  <c r="AR737" i="2"/>
  <c r="Z737" i="1" s="1"/>
  <c r="Y737"/>
  <c r="AR911" i="2"/>
  <c r="Z911" i="1" s="1"/>
  <c r="Y911"/>
  <c r="AR724" i="2"/>
  <c r="Z724" i="1" s="1"/>
  <c r="Y724"/>
  <c r="T724" s="1"/>
  <c r="AR701" i="2"/>
  <c r="Z701" i="1" s="1"/>
  <c r="Y701"/>
  <c r="T701" s="1"/>
  <c r="AR727" i="2"/>
  <c r="Z727" i="1" s="1"/>
  <c r="Y727"/>
  <c r="AR703" i="2"/>
  <c r="Z703" i="1" s="1"/>
  <c r="Y703"/>
  <c r="AR742" i="2"/>
  <c r="Z742" i="1" s="1"/>
  <c r="Y742"/>
  <c r="AR664" i="2"/>
  <c r="Z664" i="1" s="1"/>
  <c r="Y664"/>
  <c r="AR647" i="2"/>
  <c r="Z647" i="1" s="1"/>
  <c r="Y647"/>
  <c r="AR609" i="2"/>
  <c r="Z609" i="1" s="1"/>
  <c r="Y609"/>
  <c r="AR706" i="2"/>
  <c r="Z706" i="1" s="1"/>
  <c r="Y706"/>
  <c r="AR658" i="2"/>
  <c r="Z658" i="1" s="1"/>
  <c r="Y658"/>
  <c r="AR597" i="2"/>
  <c r="Z597" i="1" s="1"/>
  <c r="Y597"/>
  <c r="AR520" i="2"/>
  <c r="Z520" i="1" s="1"/>
  <c r="Y520"/>
  <c r="T520" s="1"/>
  <c r="AR534" i="2"/>
  <c r="Z534" i="1" s="1"/>
  <c r="Y534"/>
  <c r="AR626" i="2"/>
  <c r="Z626" i="1" s="1"/>
  <c r="Y626"/>
  <c r="AR524" i="2"/>
  <c r="Z524" i="1" s="1"/>
  <c r="Y524"/>
  <c r="AR560" i="2"/>
  <c r="Z560" i="1" s="1"/>
  <c r="Y560"/>
  <c r="AR527" i="2"/>
  <c r="Z527" i="1" s="1"/>
  <c r="Y527"/>
  <c r="U527" s="1"/>
  <c r="AR437" i="2"/>
  <c r="Z437" i="1" s="1"/>
  <c r="Y437"/>
  <c r="AR470" i="2"/>
  <c r="Z470" i="1" s="1"/>
  <c r="Y470"/>
  <c r="AR334" i="2"/>
  <c r="Z334" i="1" s="1"/>
  <c r="Y334"/>
  <c r="AR400" i="2"/>
  <c r="Z400" i="1" s="1"/>
  <c r="Y400"/>
  <c r="AR348" i="2"/>
  <c r="Z348" i="1" s="1"/>
  <c r="Y348"/>
  <c r="T348" s="1"/>
  <c r="AR422" i="2"/>
  <c r="Z422" i="1" s="1"/>
  <c r="Y422"/>
  <c r="AR220" i="2"/>
  <c r="Z220" i="1" s="1"/>
  <c r="Y220"/>
  <c r="U220" s="1"/>
  <c r="AR392" i="2"/>
  <c r="Z392" i="1" s="1"/>
  <c r="Y392"/>
  <c r="AR336" i="2"/>
  <c r="Z336" i="1" s="1"/>
  <c r="Y336"/>
  <c r="AR261" i="2"/>
  <c r="Z261" i="1" s="1"/>
  <c r="Y261"/>
  <c r="AR359" i="2"/>
  <c r="Z359" i="1" s="1"/>
  <c r="Y359"/>
  <c r="T359" s="1"/>
  <c r="AR235" i="2"/>
  <c r="Z235" i="1" s="1"/>
  <c r="Y235"/>
  <c r="AR203" i="2"/>
  <c r="Z203" i="1" s="1"/>
  <c r="Y203"/>
  <c r="T203" s="1"/>
  <c r="AR171" i="2"/>
  <c r="Z171" i="1" s="1"/>
  <c r="Y171"/>
  <c r="AR328" i="2"/>
  <c r="Z328" i="1" s="1"/>
  <c r="Y328"/>
  <c r="AR151" i="2"/>
  <c r="Z151" i="1" s="1"/>
  <c r="Y151"/>
  <c r="U151" s="1"/>
  <c r="AR142" i="2"/>
  <c r="Z142" i="1" s="1"/>
  <c r="Y142"/>
  <c r="AR275" i="2"/>
  <c r="Z275" i="1" s="1"/>
  <c r="Y275"/>
  <c r="AR122" i="2"/>
  <c r="Z122" i="1" s="1"/>
  <c r="Y122"/>
  <c r="AR191" i="2"/>
  <c r="Z191" i="1" s="1"/>
  <c r="Y191"/>
  <c r="AR91" i="2"/>
  <c r="Z91" i="1" s="1"/>
  <c r="Y91"/>
  <c r="T91" s="1"/>
  <c r="AR59" i="2"/>
  <c r="Z59" i="1" s="1"/>
  <c r="Y59"/>
  <c r="AR27" i="2"/>
  <c r="Z27" i="1" s="1"/>
  <c r="Y27"/>
  <c r="U27" s="1"/>
  <c r="AR320" i="2"/>
  <c r="Z320" i="1" s="1"/>
  <c r="Y320"/>
  <c r="T320" s="1"/>
  <c r="AR141" i="2"/>
  <c r="Z141" i="1" s="1"/>
  <c r="Y141"/>
  <c r="AR52" i="2"/>
  <c r="Z52" i="1" s="1"/>
  <c r="Y52"/>
  <c r="U52" s="1"/>
  <c r="AR246" i="2"/>
  <c r="Z246" i="1" s="1"/>
  <c r="Y246"/>
  <c r="AR36" i="2"/>
  <c r="Z36" i="1" s="1"/>
  <c r="Y36"/>
  <c r="U36" s="1"/>
  <c r="AR166" i="2"/>
  <c r="Z166" i="1" s="1"/>
  <c r="Y166"/>
  <c r="AR23" i="2"/>
  <c r="Z23" i="1" s="1"/>
  <c r="Y23"/>
  <c r="AR863" i="2"/>
  <c r="Z863" i="1" s="1"/>
  <c r="Y863"/>
  <c r="T863" s="1"/>
  <c r="AR800" i="2"/>
  <c r="Z800" i="1" s="1"/>
  <c r="Y800"/>
  <c r="U800" s="1"/>
  <c r="AR670" i="2"/>
  <c r="Z670" i="1" s="1"/>
  <c r="Y670"/>
  <c r="AR909" i="2"/>
  <c r="Z909" i="1" s="1"/>
  <c r="Y909"/>
  <c r="AR760" i="2"/>
  <c r="Z760" i="1" s="1"/>
  <c r="Y760"/>
  <c r="AR636" i="2"/>
  <c r="Z636" i="1" s="1"/>
  <c r="Y636"/>
  <c r="AR976" i="2"/>
  <c r="Z976" i="1" s="1"/>
  <c r="Y976"/>
  <c r="U976" s="1"/>
  <c r="AR993" i="2"/>
  <c r="Z993" i="1" s="1"/>
  <c r="Y993"/>
  <c r="AR888" i="2"/>
  <c r="Z888" i="1" s="1"/>
  <c r="Y888"/>
  <c r="T888" s="1"/>
  <c r="AR794" i="2"/>
  <c r="Z794" i="1" s="1"/>
  <c r="Y794"/>
  <c r="U794" s="1"/>
  <c r="AR697" i="2"/>
  <c r="Z697" i="1" s="1"/>
  <c r="Y697"/>
  <c r="AR954" i="2"/>
  <c r="Z954" i="1" s="1"/>
  <c r="Y954"/>
  <c r="AR582" i="2"/>
  <c r="Z582" i="1" s="1"/>
  <c r="Y582"/>
  <c r="AR483" i="2"/>
  <c r="Z483" i="1" s="1"/>
  <c r="Y483"/>
  <c r="AR419" i="2"/>
  <c r="Z419" i="1" s="1"/>
  <c r="Y419"/>
  <c r="AR553" i="2"/>
  <c r="Z553" i="1" s="1"/>
  <c r="Y553"/>
  <c r="AR371" i="2"/>
  <c r="Z371" i="1" s="1"/>
  <c r="Y371"/>
  <c r="AR669" i="2"/>
  <c r="Z669" i="1" s="1"/>
  <c r="Y669"/>
  <c r="AR375" i="2"/>
  <c r="Z375" i="1" s="1"/>
  <c r="Y375"/>
  <c r="AR930" i="2"/>
  <c r="Z930" i="1" s="1"/>
  <c r="Y930"/>
  <c r="AR838" i="2"/>
  <c r="Z838" i="1" s="1"/>
  <c r="Y838"/>
  <c r="AR585" i="2"/>
  <c r="Z585" i="1" s="1"/>
  <c r="Y585"/>
  <c r="AR405" i="2"/>
  <c r="Z405" i="1" s="1"/>
  <c r="Y405"/>
  <c r="U405" s="1"/>
  <c r="AR160" i="2"/>
  <c r="Z160" i="1" s="1"/>
  <c r="Y160"/>
  <c r="AR590" i="2"/>
  <c r="Z590" i="1" s="1"/>
  <c r="Y590"/>
  <c r="AR407" i="2"/>
  <c r="Z407" i="1" s="1"/>
  <c r="Y407"/>
  <c r="T407" s="1"/>
  <c r="AR301" i="2"/>
  <c r="Z301" i="1" s="1"/>
  <c r="Y301"/>
  <c r="AR176" i="2"/>
  <c r="Z176" i="1" s="1"/>
  <c r="Y176"/>
  <c r="AR787" i="2"/>
  <c r="Z787" i="1" s="1"/>
  <c r="Y787"/>
  <c r="AR315" i="2"/>
  <c r="Z315" i="1" s="1"/>
  <c r="Y315"/>
  <c r="AR306" i="2"/>
  <c r="Z306" i="1" s="1"/>
  <c r="Y306"/>
  <c r="AR89" i="2"/>
  <c r="Z89" i="1" s="1"/>
  <c r="Y89"/>
  <c r="T89" s="1"/>
  <c r="AR447" i="2"/>
  <c r="Z447" i="1" s="1"/>
  <c r="Y447"/>
  <c r="AR169" i="2"/>
  <c r="Z169" i="1" s="1"/>
  <c r="Y169"/>
  <c r="AR56" i="2"/>
  <c r="Z56" i="1" s="1"/>
  <c r="Y56"/>
  <c r="T56" s="1"/>
  <c r="AR73" i="2"/>
  <c r="Z73" i="1" s="1"/>
  <c r="Y73"/>
  <c r="AR20" i="2"/>
  <c r="Z20" i="1" s="1"/>
  <c r="Y20"/>
  <c r="U20" s="1"/>
  <c r="AR146" i="2"/>
  <c r="Z146" i="1" s="1"/>
  <c r="Y146"/>
  <c r="AR49" i="2"/>
  <c r="Z49" i="1" s="1"/>
  <c r="Y49"/>
  <c r="AR1000" i="2"/>
  <c r="Z1000" i="1" s="1"/>
  <c r="Y1000"/>
  <c r="AR589" i="2"/>
  <c r="Z589" i="1" s="1"/>
  <c r="Y589"/>
  <c r="U589" s="1"/>
  <c r="AR425" i="2"/>
  <c r="Z425" i="1" s="1"/>
  <c r="Y425"/>
  <c r="AR828" i="2"/>
  <c r="Z828" i="1" s="1"/>
  <c r="Y828"/>
  <c r="U828" s="1"/>
  <c r="AR513" i="2"/>
  <c r="Z513" i="1" s="1"/>
  <c r="Y513"/>
  <c r="AR307" i="2"/>
  <c r="Z307" i="1" s="1"/>
  <c r="Y307"/>
  <c r="AR274" i="2"/>
  <c r="Z274" i="1" s="1"/>
  <c r="Y274"/>
  <c r="AR961" i="2"/>
  <c r="Z961" i="1" s="1"/>
  <c r="Y961"/>
  <c r="AR481" i="2"/>
  <c r="Z481" i="1" s="1"/>
  <c r="Y481"/>
  <c r="AR248" i="2"/>
  <c r="Z248" i="1" s="1"/>
  <c r="Y248"/>
  <c r="T248" s="1"/>
  <c r="AR725" i="2"/>
  <c r="Z725" i="1" s="1"/>
  <c r="Y725"/>
  <c r="T725" s="1"/>
  <c r="AR872" i="2"/>
  <c r="Z872" i="1" s="1"/>
  <c r="Y872"/>
  <c r="AR225" i="2"/>
  <c r="Z225" i="1" s="1"/>
  <c r="Y225"/>
  <c r="U990"/>
  <c r="R943"/>
  <c r="T967"/>
  <c r="T999"/>
  <c r="S832"/>
  <c r="R832"/>
  <c r="T769"/>
  <c r="T690"/>
  <c r="U677"/>
  <c r="R677"/>
  <c r="U518"/>
  <c r="R725"/>
  <c r="R592"/>
  <c r="S593"/>
  <c r="R593"/>
  <c r="U862"/>
  <c r="R862"/>
  <c r="R531"/>
  <c r="R781"/>
  <c r="T517"/>
  <c r="T342"/>
  <c r="T304"/>
  <c r="T176"/>
  <c r="R176"/>
  <c r="S344"/>
  <c r="R344"/>
  <c r="T17"/>
  <c r="U111"/>
  <c r="S47"/>
  <c r="R47"/>
  <c r="R24"/>
  <c r="T26"/>
  <c r="U11"/>
  <c r="S85"/>
  <c r="R85"/>
  <c r="S849"/>
  <c r="S169"/>
  <c r="S943"/>
  <c r="S295"/>
  <c r="S386"/>
  <c r="S901"/>
  <c r="S592"/>
  <c r="S755"/>
  <c r="S29"/>
  <c r="T935"/>
  <c r="U960"/>
  <c r="S882"/>
  <c r="R882"/>
  <c r="R818"/>
  <c r="S811"/>
  <c r="R811"/>
  <c r="U820"/>
  <c r="R854"/>
  <c r="U746"/>
  <c r="U747"/>
  <c r="R747"/>
  <c r="U511"/>
  <c r="R511"/>
  <c r="R584"/>
  <c r="R520"/>
  <c r="R685"/>
  <c r="U773"/>
  <c r="R773"/>
  <c r="U573"/>
  <c r="R418"/>
  <c r="R347"/>
  <c r="U334"/>
  <c r="R334"/>
  <c r="R287"/>
  <c r="T296"/>
  <c r="R168"/>
  <c r="S289"/>
  <c r="R289"/>
  <c r="S225"/>
  <c r="R225"/>
  <c r="T307"/>
  <c r="S103"/>
  <c r="R103"/>
  <c r="T80"/>
  <c r="S15"/>
  <c r="R15"/>
  <c r="T121"/>
  <c r="T57"/>
  <c r="T18"/>
  <c r="T123"/>
  <c r="T59"/>
  <c r="U124"/>
  <c r="U60"/>
  <c r="S77"/>
  <c r="R77"/>
  <c r="S620"/>
  <c r="S324"/>
  <c r="S159"/>
  <c r="S922"/>
  <c r="S458"/>
  <c r="S370"/>
  <c r="S106"/>
  <c r="S973"/>
  <c r="S869"/>
  <c r="U993"/>
  <c r="T808"/>
  <c r="S876"/>
  <c r="R876"/>
  <c r="R795"/>
  <c r="T839"/>
  <c r="U687"/>
  <c r="T672"/>
  <c r="R672"/>
  <c r="R738"/>
  <c r="T740"/>
  <c r="T576"/>
  <c r="T512"/>
  <c r="T533"/>
  <c r="U467"/>
  <c r="R467"/>
  <c r="T403"/>
  <c r="T339"/>
  <c r="R339"/>
  <c r="T397"/>
  <c r="U335"/>
  <c r="S285"/>
  <c r="R285"/>
  <c r="S221"/>
  <c r="R221"/>
  <c r="T224"/>
  <c r="R160"/>
  <c r="S281"/>
  <c r="R281"/>
  <c r="S153"/>
  <c r="R153"/>
  <c r="S31"/>
  <c r="R31"/>
  <c r="R136"/>
  <c r="T113"/>
  <c r="T49"/>
  <c r="R8"/>
  <c r="U51"/>
  <c r="S133"/>
  <c r="R133"/>
  <c r="S204"/>
  <c r="S967"/>
  <c r="S551"/>
  <c r="S247"/>
  <c r="S338"/>
  <c r="S74"/>
  <c r="S405"/>
  <c r="S467"/>
  <c r="S854"/>
  <c r="S728"/>
  <c r="S168"/>
  <c r="R919"/>
  <c r="U936"/>
  <c r="R802"/>
  <c r="T790"/>
  <c r="U821"/>
  <c r="R794"/>
  <c r="T732"/>
  <c r="U623"/>
  <c r="R623"/>
  <c r="R504"/>
  <c r="R505"/>
  <c r="U459"/>
  <c r="T331"/>
  <c r="R455"/>
  <c r="T143"/>
  <c r="R280"/>
  <c r="T216"/>
  <c r="U260"/>
  <c r="S87"/>
  <c r="R87"/>
  <c r="T64"/>
  <c r="U43"/>
  <c r="S241"/>
  <c r="S740"/>
  <c r="S61"/>
  <c r="R61"/>
  <c r="S306"/>
  <c r="S58"/>
  <c r="S925"/>
  <c r="S326"/>
  <c r="S21"/>
  <c r="S946"/>
  <c r="R946"/>
  <c r="U940"/>
  <c r="S860"/>
  <c r="R860"/>
  <c r="R784"/>
  <c r="T656"/>
  <c r="R656"/>
  <c r="U737"/>
  <c r="T658"/>
  <c r="U723"/>
  <c r="R723"/>
  <c r="T788"/>
  <c r="U486"/>
  <c r="R624"/>
  <c r="U506"/>
  <c r="R330"/>
  <c r="U310"/>
  <c r="R319"/>
  <c r="T199"/>
  <c r="R199"/>
  <c r="T219"/>
  <c r="R196"/>
  <c r="U79"/>
  <c r="U308"/>
  <c r="U100"/>
  <c r="S117"/>
  <c r="R117"/>
  <c r="S724"/>
  <c r="S260"/>
  <c r="S623"/>
  <c r="S962"/>
  <c r="S242"/>
  <c r="S464"/>
  <c r="S403"/>
  <c r="U942"/>
  <c r="R942"/>
  <c r="T903"/>
  <c r="U938"/>
  <c r="R938"/>
  <c r="U916"/>
  <c r="S850"/>
  <c r="R850"/>
  <c r="T843"/>
  <c r="R843"/>
  <c r="U729"/>
  <c r="T665"/>
  <c r="U778"/>
  <c r="S779"/>
  <c r="R779"/>
  <c r="T716"/>
  <c r="U478"/>
  <c r="R619"/>
  <c r="R555"/>
  <c r="U443"/>
  <c r="R443"/>
  <c r="U316"/>
  <c r="U629"/>
  <c r="S439"/>
  <c r="R439"/>
  <c r="R312"/>
  <c r="T264"/>
  <c r="T147"/>
  <c r="U135"/>
  <c r="R135"/>
  <c r="S71"/>
  <c r="R71"/>
  <c r="U48"/>
  <c r="T50"/>
  <c r="R50"/>
  <c r="U252"/>
  <c r="R252"/>
  <c r="U92"/>
  <c r="U28"/>
  <c r="S919"/>
  <c r="S255"/>
  <c r="S586"/>
  <c r="S413"/>
  <c r="S10"/>
  <c r="S747"/>
  <c r="S339"/>
  <c r="S950"/>
  <c r="AK926"/>
  <c r="AK910"/>
  <c r="S862"/>
  <c r="S37"/>
  <c r="U833"/>
  <c r="T842"/>
  <c r="T835"/>
  <c r="R785"/>
  <c r="U771"/>
  <c r="R771"/>
  <c r="R707"/>
  <c r="U643"/>
  <c r="U534"/>
  <c r="U442"/>
  <c r="R442"/>
  <c r="T435"/>
  <c r="R653"/>
  <c r="U429"/>
  <c r="T367"/>
  <c r="R189"/>
  <c r="S352"/>
  <c r="R352"/>
  <c r="S309"/>
  <c r="R309"/>
  <c r="T183"/>
  <c r="S400"/>
  <c r="R400"/>
  <c r="T192"/>
  <c r="R320"/>
  <c r="R127"/>
  <c r="R63"/>
  <c r="T104"/>
  <c r="R40"/>
  <c r="T81"/>
  <c r="S101"/>
  <c r="R101"/>
  <c r="S176"/>
  <c r="S316"/>
  <c r="S160"/>
  <c r="S903"/>
  <c r="S455"/>
  <c r="S914"/>
  <c r="S26"/>
  <c r="S949"/>
  <c r="S829"/>
  <c r="S744"/>
  <c r="S787"/>
  <c r="S643"/>
  <c r="S232"/>
  <c r="S152"/>
  <c r="S980"/>
  <c r="R980"/>
  <c r="T951"/>
  <c r="U900"/>
  <c r="S827"/>
  <c r="R827"/>
  <c r="U886"/>
  <c r="R886"/>
  <c r="R895"/>
  <c r="U713"/>
  <c r="U699"/>
  <c r="R699"/>
  <c r="R741"/>
  <c r="U765"/>
  <c r="U591"/>
  <c r="U789"/>
  <c r="T536"/>
  <c r="R536"/>
  <c r="S601"/>
  <c r="R601"/>
  <c r="S537"/>
  <c r="R537"/>
  <c r="R539"/>
  <c r="S377"/>
  <c r="R377"/>
  <c r="U621"/>
  <c r="U421"/>
  <c r="T239"/>
  <c r="R239"/>
  <c r="R184"/>
  <c r="U311"/>
  <c r="R311"/>
  <c r="S55"/>
  <c r="R55"/>
  <c r="U32"/>
  <c r="AR832" i="2"/>
  <c r="Z832" i="1" s="1"/>
  <c r="Y832"/>
  <c r="U16"/>
  <c r="R16"/>
  <c r="U140"/>
  <c r="U76"/>
  <c r="S164"/>
  <c r="S871"/>
  <c r="S527"/>
  <c r="S418"/>
  <c r="S725"/>
  <c r="S584"/>
  <c r="S459"/>
  <c r="AA569" l="1"/>
  <c r="AK569"/>
  <c r="AJ569"/>
  <c r="AA362"/>
  <c r="T362"/>
  <c r="AK362"/>
  <c r="AJ362"/>
  <c r="U362"/>
  <c r="AA992"/>
  <c r="AK992"/>
  <c r="AJ992"/>
  <c r="T992"/>
  <c r="AA370"/>
  <c r="AJ370"/>
  <c r="AK370"/>
  <c r="U370"/>
  <c r="T370"/>
  <c r="AA434"/>
  <c r="T434"/>
  <c r="AJ434"/>
  <c r="AK434"/>
  <c r="AA740"/>
  <c r="AK740"/>
  <c r="U740"/>
  <c r="AJ740"/>
  <c r="AA640"/>
  <c r="U640"/>
  <c r="AK640"/>
  <c r="AJ640"/>
  <c r="AA244"/>
  <c r="AK244"/>
  <c r="AJ244"/>
  <c r="T244"/>
  <c r="AA601"/>
  <c r="U601"/>
  <c r="AK601"/>
  <c r="AJ601"/>
  <c r="T601"/>
  <c r="AA770"/>
  <c r="AK770"/>
  <c r="AJ770"/>
  <c r="U770"/>
  <c r="T770"/>
  <c r="AA641"/>
  <c r="AK641"/>
  <c r="T641"/>
  <c r="U641"/>
  <c r="AJ641"/>
  <c r="AA202"/>
  <c r="AK202"/>
  <c r="AJ202"/>
  <c r="U202"/>
  <c r="T202"/>
  <c r="AA755"/>
  <c r="AJ755"/>
  <c r="AK755"/>
  <c r="T755"/>
  <c r="AA82"/>
  <c r="U82"/>
  <c r="T82"/>
  <c r="AK82"/>
  <c r="AJ82"/>
  <c r="AA479"/>
  <c r="T479"/>
  <c r="AK479"/>
  <c r="AJ479"/>
  <c r="AA757"/>
  <c r="AK757"/>
  <c r="T757"/>
  <c r="AJ757"/>
  <c r="U757"/>
  <c r="AA766"/>
  <c r="AK766"/>
  <c r="AJ766"/>
  <c r="T766"/>
  <c r="U766"/>
  <c r="AA369"/>
  <c r="AK369"/>
  <c r="AJ369"/>
  <c r="U369"/>
  <c r="T369"/>
  <c r="AA1000"/>
  <c r="AJ1000"/>
  <c r="U1000"/>
  <c r="AK1000"/>
  <c r="T1000"/>
  <c r="AA909"/>
  <c r="AK909"/>
  <c r="U909"/>
  <c r="AJ909"/>
  <c r="T909"/>
  <c r="AA422"/>
  <c r="AK422"/>
  <c r="AJ422"/>
  <c r="U422"/>
  <c r="T422"/>
  <c r="AA987"/>
  <c r="AK987"/>
  <c r="U987"/>
  <c r="T987"/>
  <c r="AJ987"/>
  <c r="AA845"/>
  <c r="T845"/>
  <c r="AK845"/>
  <c r="AJ845"/>
  <c r="U845"/>
  <c r="AA539"/>
  <c r="T539"/>
  <c r="AK539"/>
  <c r="AJ539"/>
  <c r="AA258"/>
  <c r="AK258"/>
  <c r="AJ258"/>
  <c r="T258"/>
  <c r="U258"/>
  <c r="AA947"/>
  <c r="AK947"/>
  <c r="U947"/>
  <c r="AJ947"/>
  <c r="T947"/>
  <c r="AA302"/>
  <c r="AK302"/>
  <c r="U302"/>
  <c r="T302"/>
  <c r="AJ302"/>
  <c r="AA666"/>
  <c r="AK666"/>
  <c r="AJ666"/>
  <c r="U666"/>
  <c r="T666"/>
  <c r="AA164"/>
  <c r="AK164"/>
  <c r="AJ164"/>
  <c r="T164"/>
  <c r="AA486"/>
  <c r="AK486"/>
  <c r="AJ486"/>
  <c r="T486"/>
  <c r="AA834"/>
  <c r="AJ834"/>
  <c r="AK834"/>
  <c r="U834"/>
  <c r="T834"/>
  <c r="AA679"/>
  <c r="T679"/>
  <c r="AK679"/>
  <c r="AJ679"/>
  <c r="U679"/>
  <c r="AA72"/>
  <c r="AK72"/>
  <c r="AJ72"/>
  <c r="U72"/>
  <c r="AA112"/>
  <c r="AK112"/>
  <c r="AJ112"/>
  <c r="U112"/>
  <c r="AA461"/>
  <c r="T461"/>
  <c r="AK461"/>
  <c r="AJ461"/>
  <c r="U461"/>
  <c r="AA802"/>
  <c r="AJ802"/>
  <c r="AK802"/>
  <c r="T802"/>
  <c r="AA686"/>
  <c r="U686"/>
  <c r="AK686"/>
  <c r="AJ686"/>
  <c r="AA902"/>
  <c r="AK902"/>
  <c r="T902"/>
  <c r="AJ902"/>
  <c r="AA411"/>
  <c r="U411"/>
  <c r="AK411"/>
  <c r="AJ411"/>
  <c r="T411"/>
  <c r="AA75"/>
  <c r="AK75"/>
  <c r="AJ75"/>
  <c r="U75"/>
  <c r="AJ254"/>
  <c r="AK254"/>
  <c r="AA254"/>
  <c r="T254"/>
  <c r="U254"/>
  <c r="AA695"/>
  <c r="AK695"/>
  <c r="U695"/>
  <c r="AJ695"/>
  <c r="T695"/>
  <c r="AA210"/>
  <c r="T210"/>
  <c r="AK210"/>
  <c r="AJ210"/>
  <c r="U210"/>
  <c r="AA300"/>
  <c r="AK300"/>
  <c r="T300"/>
  <c r="AJ300"/>
  <c r="AA19"/>
  <c r="AK19"/>
  <c r="T19"/>
  <c r="AJ19"/>
  <c r="AA541"/>
  <c r="T541"/>
  <c r="AK541"/>
  <c r="U541"/>
  <c r="AJ541"/>
  <c r="AA898"/>
  <c r="AJ898"/>
  <c r="AK898"/>
  <c r="U898"/>
  <c r="T898"/>
  <c r="AA363"/>
  <c r="AJ363"/>
  <c r="AK363"/>
  <c r="U363"/>
  <c r="AA139"/>
  <c r="AJ139"/>
  <c r="AK139"/>
  <c r="U139"/>
  <c r="AA292"/>
  <c r="AK292"/>
  <c r="T292"/>
  <c r="AJ292"/>
  <c r="AA80"/>
  <c r="AJ80"/>
  <c r="AK80"/>
  <c r="U80"/>
  <c r="AA786"/>
  <c r="AK786"/>
  <c r="AJ786"/>
  <c r="T786"/>
  <c r="AA69"/>
  <c r="AK69"/>
  <c r="AJ69"/>
  <c r="T69"/>
  <c r="U69"/>
  <c r="AA495"/>
  <c r="AK495"/>
  <c r="AJ495"/>
  <c r="U495"/>
  <c r="T495"/>
  <c r="AA602"/>
  <c r="AK602"/>
  <c r="AJ602"/>
  <c r="U602"/>
  <c r="AA979"/>
  <c r="AK979"/>
  <c r="AJ979"/>
  <c r="U979"/>
  <c r="T979"/>
  <c r="AA959"/>
  <c r="AJ959"/>
  <c r="AK959"/>
  <c r="U959"/>
  <c r="AA226"/>
  <c r="AJ226"/>
  <c r="AK226"/>
  <c r="T226"/>
  <c r="U226"/>
  <c r="AA73"/>
  <c r="AK73"/>
  <c r="AJ73"/>
  <c r="U73"/>
  <c r="AA954"/>
  <c r="AK954"/>
  <c r="AJ954"/>
  <c r="T954"/>
  <c r="AA275"/>
  <c r="AJ275"/>
  <c r="AK275"/>
  <c r="U275"/>
  <c r="AA727"/>
  <c r="AK727"/>
  <c r="U727"/>
  <c r="T727"/>
  <c r="AJ727"/>
  <c r="AA497"/>
  <c r="AK497"/>
  <c r="AJ497"/>
  <c r="T497"/>
  <c r="U497"/>
  <c r="AA622"/>
  <c r="AJ622"/>
  <c r="AK622"/>
  <c r="U622"/>
  <c r="T622"/>
  <c r="AA798"/>
  <c r="U798"/>
  <c r="AK798"/>
  <c r="AJ798"/>
  <c r="AA661"/>
  <c r="AJ661"/>
  <c r="AK661"/>
  <c r="U661"/>
  <c r="T661"/>
  <c r="AA309"/>
  <c r="T309"/>
  <c r="AK309"/>
  <c r="AJ309"/>
  <c r="U309"/>
  <c r="AA989"/>
  <c r="AK989"/>
  <c r="AJ989"/>
  <c r="T989"/>
  <c r="U989"/>
  <c r="AA333"/>
  <c r="U333"/>
  <c r="T333"/>
  <c r="AJ333"/>
  <c r="AK333"/>
  <c r="AA480"/>
  <c r="AK480"/>
  <c r="AJ480"/>
  <c r="T480"/>
  <c r="U480"/>
  <c r="AA858"/>
  <c r="AK858"/>
  <c r="U858"/>
  <c r="AJ858"/>
  <c r="T858"/>
  <c r="AA179"/>
  <c r="AJ179"/>
  <c r="AK179"/>
  <c r="U179"/>
  <c r="T179"/>
  <c r="AA920"/>
  <c r="AK920"/>
  <c r="AJ920"/>
  <c r="U920"/>
  <c r="T920"/>
  <c r="AA678"/>
  <c r="AK678"/>
  <c r="AJ678"/>
  <c r="U678"/>
  <c r="T678"/>
  <c r="AA638"/>
  <c r="AJ638"/>
  <c r="AK638"/>
  <c r="U638"/>
  <c r="T638"/>
  <c r="AA373"/>
  <c r="AK373"/>
  <c r="AJ373"/>
  <c r="U373"/>
  <c r="T373"/>
  <c r="AA217"/>
  <c r="AJ217"/>
  <c r="AK217"/>
  <c r="T217"/>
  <c r="U217"/>
  <c r="AA237"/>
  <c r="AK237"/>
  <c r="AJ237"/>
  <c r="U237"/>
  <c r="AA9"/>
  <c r="T9"/>
  <c r="U9"/>
  <c r="AK9"/>
  <c r="AJ9"/>
  <c r="AA772"/>
  <c r="AK772"/>
  <c r="AJ772"/>
  <c r="T772"/>
  <c r="U772"/>
  <c r="AA977"/>
  <c r="AK977"/>
  <c r="U977"/>
  <c r="T977"/>
  <c r="AJ977"/>
  <c r="T75"/>
  <c r="U539"/>
  <c r="U164"/>
  <c r="U292"/>
  <c r="T72"/>
  <c r="T959"/>
  <c r="AA730"/>
  <c r="AK730"/>
  <c r="AJ730"/>
  <c r="U730"/>
  <c r="T730"/>
  <c r="AA556"/>
  <c r="AK556"/>
  <c r="AJ556"/>
  <c r="T556"/>
  <c r="U556"/>
  <c r="AA105"/>
  <c r="AK105"/>
  <c r="AJ105"/>
  <c r="U105"/>
  <c r="AA331"/>
  <c r="AK331"/>
  <c r="AJ331"/>
  <c r="U331"/>
  <c r="AA40"/>
  <c r="AJ40"/>
  <c r="AK40"/>
  <c r="T40"/>
  <c r="AA188"/>
  <c r="AJ188"/>
  <c r="AK188"/>
  <c r="U188"/>
  <c r="T188"/>
  <c r="AA12"/>
  <c r="AK12"/>
  <c r="AJ12"/>
  <c r="T12"/>
  <c r="AA65"/>
  <c r="AK65"/>
  <c r="AJ65"/>
  <c r="U65"/>
  <c r="AA473"/>
  <c r="AK473"/>
  <c r="AJ473"/>
  <c r="T473"/>
  <c r="U473"/>
  <c r="AA420"/>
  <c r="AJ420"/>
  <c r="AK420"/>
  <c r="T420"/>
  <c r="U420"/>
  <c r="AA509"/>
  <c r="AJ509"/>
  <c r="AK509"/>
  <c r="U509"/>
  <c r="T509"/>
  <c r="AA579"/>
  <c r="T579"/>
  <c r="AJ579"/>
  <c r="AK579"/>
  <c r="U579"/>
  <c r="AA284"/>
  <c r="AJ284"/>
  <c r="AK284"/>
  <c r="T284"/>
  <c r="AA747"/>
  <c r="T747"/>
  <c r="AK747"/>
  <c r="AJ747"/>
  <c r="AA818"/>
  <c r="AJ818"/>
  <c r="AK818"/>
  <c r="T818"/>
  <c r="AA136"/>
  <c r="AK136"/>
  <c r="AJ136"/>
  <c r="U136"/>
  <c r="AA994"/>
  <c r="AK994"/>
  <c r="U994"/>
  <c r="AJ994"/>
  <c r="T994"/>
  <c r="AA187"/>
  <c r="AK187"/>
  <c r="AJ187"/>
  <c r="U187"/>
  <c r="T187"/>
  <c r="AA586"/>
  <c r="AK586"/>
  <c r="AJ586"/>
  <c r="U586"/>
  <c r="AA777"/>
  <c r="AJ777"/>
  <c r="AK777"/>
  <c r="U777"/>
  <c r="T777"/>
  <c r="AA822"/>
  <c r="U822"/>
  <c r="AK822"/>
  <c r="AJ822"/>
  <c r="T822"/>
  <c r="AA60"/>
  <c r="AK60"/>
  <c r="AJ60"/>
  <c r="T60"/>
  <c r="AA313"/>
  <c r="AJ313"/>
  <c r="AK313"/>
  <c r="U313"/>
  <c r="T313"/>
  <c r="AA681"/>
  <c r="AK681"/>
  <c r="AJ681"/>
  <c r="U681"/>
  <c r="AA751"/>
  <c r="AK751"/>
  <c r="U751"/>
  <c r="T751"/>
  <c r="AJ751"/>
  <c r="AA256"/>
  <c r="AK256"/>
  <c r="AJ256"/>
  <c r="U256"/>
  <c r="AA744"/>
  <c r="AK744"/>
  <c r="AJ744"/>
  <c r="T744"/>
  <c r="U744"/>
  <c r="AA572"/>
  <c r="AJ572"/>
  <c r="AK572"/>
  <c r="T572"/>
  <c r="U572"/>
  <c r="AA814"/>
  <c r="U814"/>
  <c r="AK814"/>
  <c r="AJ814"/>
  <c r="AA242"/>
  <c r="T242"/>
  <c r="AK242"/>
  <c r="AJ242"/>
  <c r="U242"/>
  <c r="AA71"/>
  <c r="U71"/>
  <c r="AK71"/>
  <c r="AJ71"/>
  <c r="T71"/>
  <c r="AA281"/>
  <c r="AJ281"/>
  <c r="AK281"/>
  <c r="U281"/>
  <c r="T281"/>
  <c r="AA591"/>
  <c r="T591"/>
  <c r="AK591"/>
  <c r="AJ591"/>
  <c r="AA696"/>
  <c r="AK696"/>
  <c r="AJ696"/>
  <c r="U696"/>
  <c r="T696"/>
  <c r="AA394"/>
  <c r="AK394"/>
  <c r="AJ394"/>
  <c r="T394"/>
  <c r="U394"/>
  <c r="AA899"/>
  <c r="AK899"/>
  <c r="AJ899"/>
  <c r="U899"/>
  <c r="T899"/>
  <c r="AA521"/>
  <c r="AK521"/>
  <c r="AJ521"/>
  <c r="U521"/>
  <c r="T521"/>
  <c r="AA201"/>
  <c r="AK201"/>
  <c r="AJ201"/>
  <c r="U201"/>
  <c r="T201"/>
  <c r="AA70"/>
  <c r="AK70"/>
  <c r="AJ70"/>
  <c r="T70"/>
  <c r="U70"/>
  <c r="AA38"/>
  <c r="AK38"/>
  <c r="AJ38"/>
  <c r="U38"/>
  <c r="T38"/>
  <c r="AA148"/>
  <c r="AJ148"/>
  <c r="AK148"/>
  <c r="T148"/>
  <c r="AA594"/>
  <c r="U594"/>
  <c r="AJ594"/>
  <c r="AK594"/>
  <c r="AA557"/>
  <c r="AK557"/>
  <c r="AJ557"/>
  <c r="U557"/>
  <c r="AA717"/>
  <c r="AJ717"/>
  <c r="AK717"/>
  <c r="U717"/>
  <c r="T717"/>
  <c r="AA712"/>
  <c r="AJ712"/>
  <c r="AK712"/>
  <c r="U712"/>
  <c r="T712"/>
  <c r="AA675"/>
  <c r="AK675"/>
  <c r="AJ675"/>
  <c r="U675"/>
  <c r="T675"/>
  <c r="AA850"/>
  <c r="U850"/>
  <c r="AK850"/>
  <c r="AJ850"/>
  <c r="T850"/>
  <c r="AA905"/>
  <c r="AK905"/>
  <c r="AJ905"/>
  <c r="U905"/>
  <c r="T905"/>
  <c r="AA129"/>
  <c r="AK129"/>
  <c r="AJ129"/>
  <c r="T129"/>
  <c r="U129"/>
  <c r="AA51"/>
  <c r="AK51"/>
  <c r="AJ51"/>
  <c r="T51"/>
  <c r="AA114"/>
  <c r="AJ114"/>
  <c r="T114"/>
  <c r="U114"/>
  <c r="AK114"/>
  <c r="AA195"/>
  <c r="AJ195"/>
  <c r="AK195"/>
  <c r="U195"/>
  <c r="AA289"/>
  <c r="AK289"/>
  <c r="AJ289"/>
  <c r="U289"/>
  <c r="T289"/>
  <c r="AA285"/>
  <c r="AJ285"/>
  <c r="AK285"/>
  <c r="U285"/>
  <c r="T285"/>
  <c r="AA415"/>
  <c r="AJ415"/>
  <c r="AK415"/>
  <c r="U415"/>
  <c r="T415"/>
  <c r="AA547"/>
  <c r="AJ547"/>
  <c r="AK547"/>
  <c r="T547"/>
  <c r="AA542"/>
  <c r="AJ542"/>
  <c r="AK542"/>
  <c r="U542"/>
  <c r="AA648"/>
  <c r="U648"/>
  <c r="AK648"/>
  <c r="AJ648"/>
  <c r="AA677"/>
  <c r="AJ677"/>
  <c r="AK677"/>
  <c r="T677"/>
  <c r="AA745"/>
  <c r="AJ745"/>
  <c r="AK745"/>
  <c r="T745"/>
  <c r="AA883"/>
  <c r="AK883"/>
  <c r="AJ883"/>
  <c r="T883"/>
  <c r="U883"/>
  <c r="AA983"/>
  <c r="AK983"/>
  <c r="AJ983"/>
  <c r="U983"/>
  <c r="AA901"/>
  <c r="T901"/>
  <c r="AK901"/>
  <c r="AJ901"/>
  <c r="U901"/>
  <c r="AA663"/>
  <c r="AK663"/>
  <c r="AJ663"/>
  <c r="T663"/>
  <c r="AA869"/>
  <c r="U869"/>
  <c r="T869"/>
  <c r="AK869"/>
  <c r="AJ869"/>
  <c r="AA31"/>
  <c r="U31"/>
  <c r="AK31"/>
  <c r="AJ31"/>
  <c r="T31"/>
  <c r="AA85"/>
  <c r="AK85"/>
  <c r="AJ85"/>
  <c r="U85"/>
  <c r="T85"/>
  <c r="AA337"/>
  <c r="T337"/>
  <c r="AK337"/>
  <c r="AJ337"/>
  <c r="U337"/>
  <c r="AA618"/>
  <c r="AJ618"/>
  <c r="AK618"/>
  <c r="U618"/>
  <c r="AA418"/>
  <c r="T418"/>
  <c r="AJ418"/>
  <c r="AK418"/>
  <c r="AA197"/>
  <c r="AK197"/>
  <c r="AJ197"/>
  <c r="T197"/>
  <c r="U197"/>
  <c r="AA785"/>
  <c r="AK785"/>
  <c r="AJ785"/>
  <c r="T785"/>
  <c r="AA931"/>
  <c r="AK931"/>
  <c r="AJ931"/>
  <c r="U931"/>
  <c r="T931"/>
  <c r="AA124"/>
  <c r="AK124"/>
  <c r="AJ124"/>
  <c r="T124"/>
  <c r="AA128"/>
  <c r="AK128"/>
  <c r="AJ128"/>
  <c r="U128"/>
  <c r="AA503"/>
  <c r="T503"/>
  <c r="AK503"/>
  <c r="U503"/>
  <c r="AJ503"/>
  <c r="AA439"/>
  <c r="T439"/>
  <c r="AJ439"/>
  <c r="AK439"/>
  <c r="U439"/>
  <c r="AA514"/>
  <c r="AK514"/>
  <c r="AJ514"/>
  <c r="T514"/>
  <c r="U514"/>
  <c r="AA943"/>
  <c r="AJ943"/>
  <c r="AK943"/>
  <c r="U943"/>
  <c r="AA934"/>
  <c r="AJ934"/>
  <c r="AK934"/>
  <c r="T934"/>
  <c r="AA531"/>
  <c r="T531"/>
  <c r="AJ531"/>
  <c r="AK531"/>
  <c r="AA810"/>
  <c r="U810"/>
  <c r="AK810"/>
  <c r="AJ810"/>
  <c r="T810"/>
  <c r="AA48"/>
  <c r="AJ48"/>
  <c r="AK48"/>
  <c r="T48"/>
  <c r="AA21"/>
  <c r="AK21"/>
  <c r="AJ21"/>
  <c r="T21"/>
  <c r="U21"/>
  <c r="AA280"/>
  <c r="U280"/>
  <c r="AK280"/>
  <c r="AJ280"/>
  <c r="AA282"/>
  <c r="AK282"/>
  <c r="AJ282"/>
  <c r="T282"/>
  <c r="U282"/>
  <c r="AA469"/>
  <c r="AJ469"/>
  <c r="AK469"/>
  <c r="U469"/>
  <c r="T469"/>
  <c r="AA615"/>
  <c r="T615"/>
  <c r="AK615"/>
  <c r="AJ615"/>
  <c r="U615"/>
  <c r="AA836"/>
  <c r="AK836"/>
  <c r="AJ836"/>
  <c r="U836"/>
  <c r="T836"/>
  <c r="AA549"/>
  <c r="AJ549"/>
  <c r="AK549"/>
  <c r="U549"/>
  <c r="AA955"/>
  <c r="AK955"/>
  <c r="AJ955"/>
  <c r="U955"/>
  <c r="T955"/>
  <c r="AA871"/>
  <c r="AJ871"/>
  <c r="AK871"/>
  <c r="U871"/>
  <c r="AA853"/>
  <c r="AJ853"/>
  <c r="AK853"/>
  <c r="U853"/>
  <c r="T853"/>
  <c r="AA111"/>
  <c r="AK111"/>
  <c r="AJ111"/>
  <c r="T111"/>
  <c r="AJ206"/>
  <c r="AK206"/>
  <c r="T206"/>
  <c r="U206"/>
  <c r="AA206"/>
  <c r="AA101"/>
  <c r="AJ101"/>
  <c r="AK101"/>
  <c r="U101"/>
  <c r="T101"/>
  <c r="AA314"/>
  <c r="U314"/>
  <c r="T314"/>
  <c r="AJ314"/>
  <c r="AK314"/>
  <c r="T357"/>
  <c r="AA357"/>
  <c r="AK357"/>
  <c r="AJ357"/>
  <c r="U357"/>
  <c r="AA264"/>
  <c r="AK264"/>
  <c r="U264"/>
  <c r="AJ264"/>
  <c r="AA463"/>
  <c r="T463"/>
  <c r="AK463"/>
  <c r="AJ463"/>
  <c r="U463"/>
  <c r="AA446"/>
  <c r="AK446"/>
  <c r="AJ446"/>
  <c r="U446"/>
  <c r="T446"/>
  <c r="AA436"/>
  <c r="AK436"/>
  <c r="AJ436"/>
  <c r="T436"/>
  <c r="U436"/>
  <c r="AA476"/>
  <c r="AK476"/>
  <c r="AJ476"/>
  <c r="U476"/>
  <c r="T476"/>
  <c r="AA458"/>
  <c r="U458"/>
  <c r="AK458"/>
  <c r="T458"/>
  <c r="AJ458"/>
  <c r="AA543"/>
  <c r="U543"/>
  <c r="AK543"/>
  <c r="AJ543"/>
  <c r="T543"/>
  <c r="AA616"/>
  <c r="AK616"/>
  <c r="AJ616"/>
  <c r="U616"/>
  <c r="T616"/>
  <c r="AA605"/>
  <c r="AK605"/>
  <c r="AJ605"/>
  <c r="T605"/>
  <c r="AA736"/>
  <c r="AK736"/>
  <c r="AJ736"/>
  <c r="T736"/>
  <c r="U736"/>
  <c r="AA797"/>
  <c r="AJ797"/>
  <c r="AK797"/>
  <c r="T797"/>
  <c r="AA806"/>
  <c r="AK806"/>
  <c r="AJ806"/>
  <c r="U806"/>
  <c r="T806"/>
  <c r="AA882"/>
  <c r="T882"/>
  <c r="AJ882"/>
  <c r="AK882"/>
  <c r="U882"/>
  <c r="AA918"/>
  <c r="AJ918"/>
  <c r="AK918"/>
  <c r="T918"/>
  <c r="AA933"/>
  <c r="U933"/>
  <c r="AK933"/>
  <c r="AJ933"/>
  <c r="T933"/>
  <c r="AA746"/>
  <c r="AK746"/>
  <c r="AJ746"/>
  <c r="T746"/>
  <c r="AA174"/>
  <c r="AJ174"/>
  <c r="AK174"/>
  <c r="U174"/>
  <c r="T174"/>
  <c r="AA611"/>
  <c r="AK611"/>
  <c r="AJ611"/>
  <c r="U611"/>
  <c r="T611"/>
  <c r="AA799"/>
  <c r="AK799"/>
  <c r="AJ799"/>
  <c r="U799"/>
  <c r="T799"/>
  <c r="AA956"/>
  <c r="U956"/>
  <c r="AK956"/>
  <c r="T956"/>
  <c r="AJ956"/>
  <c r="AA587"/>
  <c r="T587"/>
  <c r="AK587"/>
  <c r="U587"/>
  <c r="AJ587"/>
  <c r="AA130"/>
  <c r="AK130"/>
  <c r="AJ130"/>
  <c r="T130"/>
  <c r="U130"/>
  <c r="AK262"/>
  <c r="AJ262"/>
  <c r="AA262"/>
  <c r="U262"/>
  <c r="T262"/>
  <c r="AA84"/>
  <c r="AJ84"/>
  <c r="AK84"/>
  <c r="T84"/>
  <c r="AA904"/>
  <c r="AK904"/>
  <c r="AJ904"/>
  <c r="U904"/>
  <c r="AA126"/>
  <c r="AJ126"/>
  <c r="AK126"/>
  <c r="T126"/>
  <c r="U126"/>
  <c r="AA801"/>
  <c r="AK801"/>
  <c r="AJ801"/>
  <c r="U801"/>
  <c r="T801"/>
  <c r="AA327"/>
  <c r="AJ327"/>
  <c r="AK327"/>
  <c r="U327"/>
  <c r="AA705"/>
  <c r="AK705"/>
  <c r="U705"/>
  <c r="T705"/>
  <c r="AJ705"/>
  <c r="AA768"/>
  <c r="T768"/>
  <c r="AJ768"/>
  <c r="AK768"/>
  <c r="U768"/>
  <c r="AA247"/>
  <c r="AK247"/>
  <c r="AJ247"/>
  <c r="U247"/>
  <c r="T247"/>
  <c r="AA389"/>
  <c r="AK389"/>
  <c r="AJ389"/>
  <c r="T389"/>
  <c r="U389"/>
  <c r="AA271"/>
  <c r="AJ271"/>
  <c r="AK271"/>
  <c r="T271"/>
  <c r="AA132"/>
  <c r="AJ132"/>
  <c r="AK132"/>
  <c r="T132"/>
  <c r="AA553"/>
  <c r="T553"/>
  <c r="AK553"/>
  <c r="AJ553"/>
  <c r="U553"/>
  <c r="AA597"/>
  <c r="AK597"/>
  <c r="AJ597"/>
  <c r="T597"/>
  <c r="AA115"/>
  <c r="AK115"/>
  <c r="AJ115"/>
  <c r="T115"/>
  <c r="U115"/>
  <c r="AA199"/>
  <c r="U199"/>
  <c r="AK199"/>
  <c r="AJ199"/>
  <c r="AA204"/>
  <c r="AJ204"/>
  <c r="AK204"/>
  <c r="T204"/>
  <c r="AA294"/>
  <c r="AK294"/>
  <c r="AJ294"/>
  <c r="T294"/>
  <c r="U294"/>
  <c r="AA870"/>
  <c r="AJ870"/>
  <c r="U870"/>
  <c r="AK870"/>
  <c r="T870"/>
  <c r="AA671"/>
  <c r="U671"/>
  <c r="AK671"/>
  <c r="AJ671"/>
  <c r="T671"/>
  <c r="AA554"/>
  <c r="AJ554"/>
  <c r="AK554"/>
  <c r="U554"/>
  <c r="T554"/>
  <c r="AA383"/>
  <c r="AK383"/>
  <c r="AJ383"/>
  <c r="T383"/>
  <c r="U383"/>
  <c r="AA924"/>
  <c r="AK924"/>
  <c r="AJ924"/>
  <c r="T924"/>
  <c r="AA343"/>
  <c r="AJ343"/>
  <c r="AK343"/>
  <c r="T343"/>
  <c r="U343"/>
  <c r="AA221"/>
  <c r="T221"/>
  <c r="AJ221"/>
  <c r="AK221"/>
  <c r="U221"/>
  <c r="AA515"/>
  <c r="AJ515"/>
  <c r="AK515"/>
  <c r="T515"/>
  <c r="AA894"/>
  <c r="AJ894"/>
  <c r="AK894"/>
  <c r="U894"/>
  <c r="T894"/>
  <c r="T139"/>
  <c r="T363"/>
  <c r="T112"/>
  <c r="T275"/>
  <c r="T327"/>
  <c r="U204"/>
  <c r="AA872"/>
  <c r="AK872"/>
  <c r="U872"/>
  <c r="AJ872"/>
  <c r="T872"/>
  <c r="AA961"/>
  <c r="AK961"/>
  <c r="U961"/>
  <c r="T961"/>
  <c r="AJ961"/>
  <c r="AA828"/>
  <c r="AK828"/>
  <c r="AJ828"/>
  <c r="T828"/>
  <c r="AA49"/>
  <c r="AK49"/>
  <c r="AJ49"/>
  <c r="U49"/>
  <c r="AA56"/>
  <c r="AJ56"/>
  <c r="AK56"/>
  <c r="U56"/>
  <c r="AA306"/>
  <c r="T306"/>
  <c r="AK306"/>
  <c r="AJ306"/>
  <c r="U306"/>
  <c r="AA301"/>
  <c r="AJ301"/>
  <c r="AK301"/>
  <c r="U301"/>
  <c r="T301"/>
  <c r="AA405"/>
  <c r="T405"/>
  <c r="AK405"/>
  <c r="AJ405"/>
  <c r="AA375"/>
  <c r="T375"/>
  <c r="AJ375"/>
  <c r="AK375"/>
  <c r="U375"/>
  <c r="AA419"/>
  <c r="AK419"/>
  <c r="AJ419"/>
  <c r="T419"/>
  <c r="U419"/>
  <c r="AA697"/>
  <c r="T697"/>
  <c r="U697"/>
  <c r="AJ697"/>
  <c r="AK697"/>
  <c r="AA976"/>
  <c r="AK976"/>
  <c r="AJ976"/>
  <c r="T976"/>
  <c r="AA670"/>
  <c r="AJ670"/>
  <c r="AK670"/>
  <c r="T670"/>
  <c r="U670"/>
  <c r="U166"/>
  <c r="AK166"/>
  <c r="AJ166"/>
  <c r="T166"/>
  <c r="AA166"/>
  <c r="AA141"/>
  <c r="AJ141"/>
  <c r="T141"/>
  <c r="AK141"/>
  <c r="U141"/>
  <c r="AA91"/>
  <c r="AK91"/>
  <c r="AJ91"/>
  <c r="U91"/>
  <c r="AA142"/>
  <c r="AJ142"/>
  <c r="AK142"/>
  <c r="U142"/>
  <c r="T142"/>
  <c r="AA203"/>
  <c r="AJ203"/>
  <c r="AK203"/>
  <c r="U203"/>
  <c r="AA336"/>
  <c r="AK336"/>
  <c r="AJ336"/>
  <c r="U336"/>
  <c r="T336"/>
  <c r="AA348"/>
  <c r="U348"/>
  <c r="AK348"/>
  <c r="AJ348"/>
  <c r="AA437"/>
  <c r="AJ437"/>
  <c r="AK437"/>
  <c r="U437"/>
  <c r="T437"/>
  <c r="AA626"/>
  <c r="AK626"/>
  <c r="AJ626"/>
  <c r="T626"/>
  <c r="U626"/>
  <c r="AA658"/>
  <c r="AK658"/>
  <c r="U658"/>
  <c r="AJ658"/>
  <c r="AA664"/>
  <c r="AJ664"/>
  <c r="AK664"/>
  <c r="T664"/>
  <c r="U664"/>
  <c r="AA701"/>
  <c r="AJ701"/>
  <c r="AK701"/>
  <c r="U701"/>
  <c r="AA823"/>
  <c r="AK823"/>
  <c r="U823"/>
  <c r="T823"/>
  <c r="AJ823"/>
  <c r="AA975"/>
  <c r="U975"/>
  <c r="AK975"/>
  <c r="AJ975"/>
  <c r="AA941"/>
  <c r="AK941"/>
  <c r="AJ941"/>
  <c r="T941"/>
  <c r="U941"/>
  <c r="AA263"/>
  <c r="U263"/>
  <c r="AJ263"/>
  <c r="AK263"/>
  <c r="AA278"/>
  <c r="AK278"/>
  <c r="AJ278"/>
  <c r="T278"/>
  <c r="U278"/>
  <c r="AA329"/>
  <c r="AJ329"/>
  <c r="AK329"/>
  <c r="T329"/>
  <c r="U329"/>
  <c r="AA440"/>
  <c r="T440"/>
  <c r="AK440"/>
  <c r="AJ440"/>
  <c r="U440"/>
  <c r="AA667"/>
  <c r="AJ667"/>
  <c r="AK667"/>
  <c r="U667"/>
  <c r="T667"/>
  <c r="AA919"/>
  <c r="AK919"/>
  <c r="AJ919"/>
  <c r="U919"/>
  <c r="AA426"/>
  <c r="AK426"/>
  <c r="AJ426"/>
  <c r="T426"/>
  <c r="AA344"/>
  <c r="AK344"/>
  <c r="AJ344"/>
  <c r="U344"/>
  <c r="T344"/>
  <c r="AA502"/>
  <c r="AK502"/>
  <c r="AJ502"/>
  <c r="T502"/>
  <c r="U502"/>
  <c r="AA448"/>
  <c r="AJ448"/>
  <c r="AK448"/>
  <c r="U448"/>
  <c r="AA683"/>
  <c r="AJ683"/>
  <c r="AK683"/>
  <c r="U683"/>
  <c r="T683"/>
  <c r="AA773"/>
  <c r="AK773"/>
  <c r="AJ773"/>
  <c r="T773"/>
  <c r="AA153"/>
  <c r="AJ153"/>
  <c r="AK153"/>
  <c r="U153"/>
  <c r="T153"/>
  <c r="AA928"/>
  <c r="AJ928"/>
  <c r="AK928"/>
  <c r="T928"/>
  <c r="AA305"/>
  <c r="AK305"/>
  <c r="AJ305"/>
  <c r="U305"/>
  <c r="T305"/>
  <c r="AA634"/>
  <c r="T634"/>
  <c r="AK634"/>
  <c r="AJ634"/>
  <c r="U634"/>
  <c r="AA743"/>
  <c r="AJ743"/>
  <c r="AK743"/>
  <c r="U743"/>
  <c r="T743"/>
  <c r="AA982"/>
  <c r="AK982"/>
  <c r="AJ982"/>
  <c r="T982"/>
  <c r="AA600"/>
  <c r="AK600"/>
  <c r="U600"/>
  <c r="AJ600"/>
  <c r="AA968"/>
  <c r="AJ968"/>
  <c r="AK968"/>
  <c r="T968"/>
  <c r="AA162"/>
  <c r="AK162"/>
  <c r="AJ162"/>
  <c r="T162"/>
  <c r="U162"/>
  <c r="AA388"/>
  <c r="AJ388"/>
  <c r="AK388"/>
  <c r="T388"/>
  <c r="U388"/>
  <c r="AA698"/>
  <c r="T698"/>
  <c r="AK698"/>
  <c r="AJ698"/>
  <c r="U698"/>
  <c r="AA137"/>
  <c r="AK137"/>
  <c r="AJ137"/>
  <c r="U137"/>
  <c r="T137"/>
  <c r="AA507"/>
  <c r="AK507"/>
  <c r="AJ507"/>
  <c r="T507"/>
  <c r="AA545"/>
  <c r="T545"/>
  <c r="AK545"/>
  <c r="AJ545"/>
  <c r="U545"/>
  <c r="AA430"/>
  <c r="AK430"/>
  <c r="U430"/>
  <c r="AJ430"/>
  <c r="T430"/>
  <c r="AA330"/>
  <c r="AJ330"/>
  <c r="AK330"/>
  <c r="U330"/>
  <c r="AA41"/>
  <c r="U41"/>
  <c r="AK41"/>
  <c r="AJ41"/>
  <c r="AA402"/>
  <c r="U402"/>
  <c r="AJ402"/>
  <c r="AK402"/>
  <c r="T402"/>
  <c r="AA478"/>
  <c r="AJ478"/>
  <c r="AK478"/>
  <c r="T478"/>
  <c r="AA693"/>
  <c r="AK693"/>
  <c r="AJ693"/>
  <c r="U693"/>
  <c r="AA824"/>
  <c r="AK824"/>
  <c r="AJ824"/>
  <c r="U824"/>
  <c r="AA811"/>
  <c r="T811"/>
  <c r="U811"/>
  <c r="AK811"/>
  <c r="AJ811"/>
  <c r="AA952"/>
  <c r="AK952"/>
  <c r="AJ952"/>
  <c r="T952"/>
  <c r="AA356"/>
  <c r="U356"/>
  <c r="AJ356"/>
  <c r="AK356"/>
  <c r="T356"/>
  <c r="AA26"/>
  <c r="U26"/>
  <c r="AJ26"/>
  <c r="AK26"/>
  <c r="AA44"/>
  <c r="AK44"/>
  <c r="AJ44"/>
  <c r="T44"/>
  <c r="AA354"/>
  <c r="T354"/>
  <c r="AJ354"/>
  <c r="AK354"/>
  <c r="AA239"/>
  <c r="AJ239"/>
  <c r="AK239"/>
  <c r="U239"/>
  <c r="AA385"/>
  <c r="AJ385"/>
  <c r="AK385"/>
  <c r="U385"/>
  <c r="T385"/>
  <c r="AA361"/>
  <c r="T361"/>
  <c r="AJ361"/>
  <c r="AK361"/>
  <c r="U361"/>
  <c r="AA352"/>
  <c r="AK352"/>
  <c r="AJ352"/>
  <c r="U352"/>
  <c r="T352"/>
  <c r="AA526"/>
  <c r="T526"/>
  <c r="AK526"/>
  <c r="AJ526"/>
  <c r="AA505"/>
  <c r="U505"/>
  <c r="AK505"/>
  <c r="AJ505"/>
  <c r="AA460"/>
  <c r="AK460"/>
  <c r="AJ460"/>
  <c r="U460"/>
  <c r="AA498"/>
  <c r="U498"/>
  <c r="AK498"/>
  <c r="T498"/>
  <c r="AJ498"/>
  <c r="AA528"/>
  <c r="AJ528"/>
  <c r="AK528"/>
  <c r="T528"/>
  <c r="U528"/>
  <c r="AA707"/>
  <c r="T707"/>
  <c r="AK707"/>
  <c r="AJ707"/>
  <c r="AA662"/>
  <c r="AJ662"/>
  <c r="AK662"/>
  <c r="U662"/>
  <c r="T662"/>
  <c r="AA617"/>
  <c r="AK617"/>
  <c r="AJ617"/>
  <c r="T617"/>
  <c r="U617"/>
  <c r="AA761"/>
  <c r="AK761"/>
  <c r="AJ761"/>
  <c r="T761"/>
  <c r="AA878"/>
  <c r="AK878"/>
  <c r="AJ878"/>
  <c r="T878"/>
  <c r="AA844"/>
  <c r="AK844"/>
  <c r="AJ844"/>
  <c r="T844"/>
  <c r="U844"/>
  <c r="AA887"/>
  <c r="U887"/>
  <c r="AJ887"/>
  <c r="AK887"/>
  <c r="AA207"/>
  <c r="AJ207"/>
  <c r="AK207"/>
  <c r="U207"/>
  <c r="AA265"/>
  <c r="AK265"/>
  <c r="AJ265"/>
  <c r="U265"/>
  <c r="T265"/>
  <c r="AA317"/>
  <c r="AK317"/>
  <c r="AJ317"/>
  <c r="T317"/>
  <c r="U317"/>
  <c r="AA241"/>
  <c r="AK241"/>
  <c r="AJ241"/>
  <c r="U241"/>
  <c r="T241"/>
  <c r="AA416"/>
  <c r="AJ416"/>
  <c r="AK416"/>
  <c r="T416"/>
  <c r="U416"/>
  <c r="AA350"/>
  <c r="AK350"/>
  <c r="AJ350"/>
  <c r="U350"/>
  <c r="AA555"/>
  <c r="AK555"/>
  <c r="AJ555"/>
  <c r="T555"/>
  <c r="AA752"/>
  <c r="AK752"/>
  <c r="U752"/>
  <c r="AJ752"/>
  <c r="T752"/>
  <c r="AA95"/>
  <c r="AJ95"/>
  <c r="AK95"/>
  <c r="T95"/>
  <c r="AA53"/>
  <c r="AK53"/>
  <c r="AJ53"/>
  <c r="T53"/>
  <c r="U53"/>
  <c r="AA401"/>
  <c r="T401"/>
  <c r="AK401"/>
  <c r="AJ401"/>
  <c r="U401"/>
  <c r="AA511"/>
  <c r="AK511"/>
  <c r="T511"/>
  <c r="AJ511"/>
  <c r="AA488"/>
  <c r="T488"/>
  <c r="AK488"/>
  <c r="AJ488"/>
  <c r="U488"/>
  <c r="AA720"/>
  <c r="AK720"/>
  <c r="AJ720"/>
  <c r="U720"/>
  <c r="T720"/>
  <c r="AA927"/>
  <c r="AJ927"/>
  <c r="AK927"/>
  <c r="T927"/>
  <c r="U927"/>
  <c r="AA379"/>
  <c r="AJ379"/>
  <c r="AK379"/>
  <c r="U379"/>
  <c r="AA147"/>
  <c r="AK147"/>
  <c r="AJ147"/>
  <c r="U147"/>
  <c r="AA674"/>
  <c r="AJ674"/>
  <c r="AK674"/>
  <c r="T674"/>
  <c r="U674"/>
  <c r="AA610"/>
  <c r="AK610"/>
  <c r="AJ610"/>
  <c r="T610"/>
  <c r="AA922"/>
  <c r="U922"/>
  <c r="T922"/>
  <c r="AK922"/>
  <c r="AJ922"/>
  <c r="AA103"/>
  <c r="U103"/>
  <c r="T103"/>
  <c r="AK103"/>
  <c r="AJ103"/>
  <c r="AA408"/>
  <c r="AK408"/>
  <c r="AJ408"/>
  <c r="T408"/>
  <c r="U408"/>
  <c r="AA584"/>
  <c r="AJ584"/>
  <c r="AK584"/>
  <c r="U584"/>
  <c r="AA932"/>
  <c r="AK932"/>
  <c r="AJ932"/>
  <c r="U932"/>
  <c r="T932"/>
  <c r="AA639"/>
  <c r="T639"/>
  <c r="AK639"/>
  <c r="AJ639"/>
  <c r="AA233"/>
  <c r="AJ233"/>
  <c r="AK233"/>
  <c r="U233"/>
  <c r="T233"/>
  <c r="AA209"/>
  <c r="AK209"/>
  <c r="AJ209"/>
  <c r="U209"/>
  <c r="T209"/>
  <c r="AA897"/>
  <c r="AJ897"/>
  <c r="AK897"/>
  <c r="U897"/>
  <c r="T897"/>
  <c r="AA54"/>
  <c r="AK54"/>
  <c r="AJ54"/>
  <c r="U54"/>
  <c r="T54"/>
  <c r="AA581"/>
  <c r="T581"/>
  <c r="AJ581"/>
  <c r="AK581"/>
  <c r="AA178"/>
  <c r="T178"/>
  <c r="AK178"/>
  <c r="AJ178"/>
  <c r="U178"/>
  <c r="AA97"/>
  <c r="AK97"/>
  <c r="AJ97"/>
  <c r="U97"/>
  <c r="AA643"/>
  <c r="AK643"/>
  <c r="AJ643"/>
  <c r="T643"/>
  <c r="AA268"/>
  <c r="AK268"/>
  <c r="AJ268"/>
  <c r="T268"/>
  <c r="AA998"/>
  <c r="AK998"/>
  <c r="AJ998"/>
  <c r="T998"/>
  <c r="AA288"/>
  <c r="AK288"/>
  <c r="AJ288"/>
  <c r="U288"/>
  <c r="AA685"/>
  <c r="AK685"/>
  <c r="AJ685"/>
  <c r="T685"/>
  <c r="AA981"/>
  <c r="U981"/>
  <c r="AK981"/>
  <c r="T981"/>
  <c r="AJ981"/>
  <c r="AA762"/>
  <c r="U762"/>
  <c r="AK762"/>
  <c r="T762"/>
  <c r="AJ762"/>
  <c r="AA805"/>
  <c r="AJ805"/>
  <c r="AK805"/>
  <c r="T805"/>
  <c r="AA88"/>
  <c r="AK88"/>
  <c r="AJ88"/>
  <c r="U88"/>
  <c r="AA517"/>
  <c r="AK517"/>
  <c r="AJ517"/>
  <c r="U517"/>
  <c r="AA652"/>
  <c r="AK652"/>
  <c r="AJ652"/>
  <c r="U652"/>
  <c r="T652"/>
  <c r="AA771"/>
  <c r="AK771"/>
  <c r="AJ771"/>
  <c r="T771"/>
  <c r="AA938"/>
  <c r="AK938"/>
  <c r="AJ938"/>
  <c r="T938"/>
  <c r="AA624"/>
  <c r="U624"/>
  <c r="AK624"/>
  <c r="AJ624"/>
  <c r="AA165"/>
  <c r="AK165"/>
  <c r="AJ165"/>
  <c r="T165"/>
  <c r="U165"/>
  <c r="AA721"/>
  <c r="AJ721"/>
  <c r="AK721"/>
  <c r="T721"/>
  <c r="AA158"/>
  <c r="AJ158"/>
  <c r="AK158"/>
  <c r="T158"/>
  <c r="U158"/>
  <c r="AA595"/>
  <c r="AK595"/>
  <c r="U595"/>
  <c r="T595"/>
  <c r="AJ595"/>
  <c r="AA925"/>
  <c r="U925"/>
  <c r="AK925"/>
  <c r="AJ925"/>
  <c r="T925"/>
  <c r="AA453"/>
  <c r="T453"/>
  <c r="AJ453"/>
  <c r="AK453"/>
  <c r="U453"/>
  <c r="AA194"/>
  <c r="AK194"/>
  <c r="AJ194"/>
  <c r="T194"/>
  <c r="U194"/>
  <c r="AA880"/>
  <c r="AJ880"/>
  <c r="AK880"/>
  <c r="T880"/>
  <c r="AA491"/>
  <c r="AK491"/>
  <c r="AJ491"/>
  <c r="U491"/>
  <c r="T491"/>
  <c r="AA722"/>
  <c r="AJ722"/>
  <c r="AK722"/>
  <c r="U722"/>
  <c r="T722"/>
  <c r="AA168"/>
  <c r="U168"/>
  <c r="AJ168"/>
  <c r="AK168"/>
  <c r="AA596"/>
  <c r="AK596"/>
  <c r="T596"/>
  <c r="U596"/>
  <c r="AJ596"/>
  <c r="AA793"/>
  <c r="AK793"/>
  <c r="AJ793"/>
  <c r="U793"/>
  <c r="T793"/>
  <c r="AA538"/>
  <c r="U538"/>
  <c r="AK538"/>
  <c r="T538"/>
  <c r="AJ538"/>
  <c r="AA10"/>
  <c r="AK10"/>
  <c r="AJ10"/>
  <c r="U10"/>
  <c r="AA481"/>
  <c r="AK481"/>
  <c r="AJ481"/>
  <c r="T481"/>
  <c r="U481"/>
  <c r="AA160"/>
  <c r="AK160"/>
  <c r="AJ160"/>
  <c r="U160"/>
  <c r="AA52"/>
  <c r="AJ52"/>
  <c r="AK52"/>
  <c r="T52"/>
  <c r="AA261"/>
  <c r="AK261"/>
  <c r="AJ261"/>
  <c r="T261"/>
  <c r="U261"/>
  <c r="AA647"/>
  <c r="AJ647"/>
  <c r="AK647"/>
  <c r="U647"/>
  <c r="T647"/>
  <c r="AA211"/>
  <c r="AJ211"/>
  <c r="AK211"/>
  <c r="U211"/>
  <c r="AA345"/>
  <c r="AJ345"/>
  <c r="AK345"/>
  <c r="U345"/>
  <c r="AA726"/>
  <c r="T726"/>
  <c r="AK726"/>
  <c r="AJ726"/>
  <c r="U726"/>
  <c r="AA653"/>
  <c r="T653"/>
  <c r="AK653"/>
  <c r="AJ653"/>
  <c r="AA879"/>
  <c r="U879"/>
  <c r="AK879"/>
  <c r="AJ879"/>
  <c r="AA455"/>
  <c r="T455"/>
  <c r="AK455"/>
  <c r="AJ455"/>
  <c r="AA167"/>
  <c r="AK167"/>
  <c r="U167"/>
  <c r="AJ167"/>
  <c r="AA382"/>
  <c r="AJ382"/>
  <c r="AK382"/>
  <c r="U382"/>
  <c r="T382"/>
  <c r="AA612"/>
  <c r="AK612"/>
  <c r="AJ612"/>
  <c r="T612"/>
  <c r="U612"/>
  <c r="AA908"/>
  <c r="AK908"/>
  <c r="AJ908"/>
  <c r="U908"/>
  <c r="T908"/>
  <c r="AA321"/>
  <c r="AJ321"/>
  <c r="AK321"/>
  <c r="U321"/>
  <c r="T321"/>
  <c r="AA279"/>
  <c r="AJ279"/>
  <c r="AK279"/>
  <c r="U279"/>
  <c r="T279"/>
  <c r="AA33"/>
  <c r="U33"/>
  <c r="AK33"/>
  <c r="AJ33"/>
  <c r="AA78"/>
  <c r="AJ78"/>
  <c r="AK78"/>
  <c r="T78"/>
  <c r="U78"/>
  <c r="U597"/>
  <c r="AA421"/>
  <c r="T421"/>
  <c r="AK421"/>
  <c r="AJ421"/>
  <c r="AA607"/>
  <c r="T607"/>
  <c r="AK607"/>
  <c r="U607"/>
  <c r="AJ607"/>
  <c r="AA224"/>
  <c r="U224"/>
  <c r="AK224"/>
  <c r="AJ224"/>
  <c r="AA631"/>
  <c r="AJ631"/>
  <c r="AK631"/>
  <c r="T631"/>
  <c r="U631"/>
  <c r="AA68"/>
  <c r="AJ68"/>
  <c r="AK68"/>
  <c r="T68"/>
  <c r="AA121"/>
  <c r="AK121"/>
  <c r="U121"/>
  <c r="AJ121"/>
  <c r="AA208"/>
  <c r="AJ208"/>
  <c r="AK208"/>
  <c r="U208"/>
  <c r="T208"/>
  <c r="AA355"/>
  <c r="AK355"/>
  <c r="AJ355"/>
  <c r="T355"/>
  <c r="U355"/>
  <c r="AA192"/>
  <c r="AK192"/>
  <c r="AJ192"/>
  <c r="U192"/>
  <c r="AA523"/>
  <c r="AK523"/>
  <c r="T523"/>
  <c r="AJ523"/>
  <c r="U523"/>
  <c r="AA856"/>
  <c r="AK856"/>
  <c r="U856"/>
  <c r="T856"/>
  <c r="AJ856"/>
  <c r="AA890"/>
  <c r="U890"/>
  <c r="AK890"/>
  <c r="AJ890"/>
  <c r="AA748"/>
  <c r="AK748"/>
  <c r="T748"/>
  <c r="U748"/>
  <c r="AJ748"/>
  <c r="AA702"/>
  <c r="AK702"/>
  <c r="AJ702"/>
  <c r="T702"/>
  <c r="U702"/>
  <c r="AA937"/>
  <c r="AK937"/>
  <c r="AJ937"/>
  <c r="U937"/>
  <c r="T937"/>
  <c r="AA764"/>
  <c r="AK764"/>
  <c r="AJ764"/>
  <c r="T764"/>
  <c r="U764"/>
  <c r="AA960"/>
  <c r="AK960"/>
  <c r="AJ960"/>
  <c r="T960"/>
  <c r="AA252"/>
  <c r="AK252"/>
  <c r="AJ252"/>
  <c r="T252"/>
  <c r="AA688"/>
  <c r="AK688"/>
  <c r="AJ688"/>
  <c r="T688"/>
  <c r="U688"/>
  <c r="AA861"/>
  <c r="AK861"/>
  <c r="AJ861"/>
  <c r="U861"/>
  <c r="T861"/>
  <c r="AA429"/>
  <c r="T429"/>
  <c r="AJ429"/>
  <c r="AK429"/>
  <c r="AA250"/>
  <c r="AJ250"/>
  <c r="AK250"/>
  <c r="U250"/>
  <c r="T250"/>
  <c r="AA384"/>
  <c r="T384"/>
  <c r="AK384"/>
  <c r="AJ384"/>
  <c r="U384"/>
  <c r="AA668"/>
  <c r="AJ668"/>
  <c r="AK668"/>
  <c r="T668"/>
  <c r="U668"/>
  <c r="AA967"/>
  <c r="AK967"/>
  <c r="AJ967"/>
  <c r="U967"/>
  <c r="AA81"/>
  <c r="AK81"/>
  <c r="AJ81"/>
  <c r="U81"/>
  <c r="AA43"/>
  <c r="AK43"/>
  <c r="AJ43"/>
  <c r="T43"/>
  <c r="AA576"/>
  <c r="AK576"/>
  <c r="AJ576"/>
  <c r="U576"/>
  <c r="AA754"/>
  <c r="AJ754"/>
  <c r="AK754"/>
  <c r="U754"/>
  <c r="T754"/>
  <c r="AA537"/>
  <c r="T537"/>
  <c r="AK537"/>
  <c r="AJ537"/>
  <c r="U537"/>
  <c r="AA74"/>
  <c r="T74"/>
  <c r="U74"/>
  <c r="AJ74"/>
  <c r="AK74"/>
  <c r="U338"/>
  <c r="AA338"/>
  <c r="T338"/>
  <c r="AK338"/>
  <c r="AJ338"/>
  <c r="AA632"/>
  <c r="AK632"/>
  <c r="AJ632"/>
  <c r="T632"/>
  <c r="U632"/>
  <c r="AA866"/>
  <c r="T866"/>
  <c r="AJ866"/>
  <c r="AK866"/>
  <c r="U866"/>
  <c r="AA946"/>
  <c r="AK946"/>
  <c r="AJ946"/>
  <c r="U946"/>
  <c r="T946"/>
  <c r="AA110"/>
  <c r="AJ110"/>
  <c r="AK110"/>
  <c r="T110"/>
  <c r="U110"/>
  <c r="AA710"/>
  <c r="T710"/>
  <c r="AJ710"/>
  <c r="AK710"/>
  <c r="U710"/>
  <c r="AA6"/>
  <c r="AJ6"/>
  <c r="AK6"/>
  <c r="T6"/>
  <c r="U6"/>
  <c r="AA64"/>
  <c r="AK64"/>
  <c r="AJ64"/>
  <c r="U64"/>
  <c r="AA183"/>
  <c r="AK183"/>
  <c r="AJ183"/>
  <c r="U183"/>
  <c r="AA251"/>
  <c r="AK251"/>
  <c r="AJ251"/>
  <c r="U251"/>
  <c r="T251"/>
  <c r="AA573"/>
  <c r="AK573"/>
  <c r="AJ573"/>
  <c r="T573"/>
  <c r="AA435"/>
  <c r="AJ435"/>
  <c r="AK435"/>
  <c r="U435"/>
  <c r="AA921"/>
  <c r="AK921"/>
  <c r="U921"/>
  <c r="T921"/>
  <c r="AJ921"/>
  <c r="AA929"/>
  <c r="AK929"/>
  <c r="AJ929"/>
  <c r="U929"/>
  <c r="T929"/>
  <c r="AA820"/>
  <c r="AK820"/>
  <c r="AJ820"/>
  <c r="T820"/>
  <c r="AA971"/>
  <c r="AK971"/>
  <c r="AJ971"/>
  <c r="U971"/>
  <c r="T971"/>
  <c r="AA942"/>
  <c r="AJ942"/>
  <c r="AK942"/>
  <c r="T942"/>
  <c r="AA417"/>
  <c r="AJ417"/>
  <c r="U417"/>
  <c r="AK417"/>
  <c r="T417"/>
  <c r="AA83"/>
  <c r="AK83"/>
  <c r="AJ83"/>
  <c r="U83"/>
  <c r="T83"/>
  <c r="AJ190"/>
  <c r="AK190"/>
  <c r="AA190"/>
  <c r="T190"/>
  <c r="U190"/>
  <c r="AA227"/>
  <c r="AJ227"/>
  <c r="AK227"/>
  <c r="T227"/>
  <c r="U227"/>
  <c r="AA332"/>
  <c r="AJ332"/>
  <c r="AK332"/>
  <c r="T332"/>
  <c r="U332"/>
  <c r="AA298"/>
  <c r="AJ298"/>
  <c r="AK298"/>
  <c r="U298"/>
  <c r="T298"/>
  <c r="AA318"/>
  <c r="AK318"/>
  <c r="AJ318"/>
  <c r="T318"/>
  <c r="U318"/>
  <c r="AA546"/>
  <c r="AK546"/>
  <c r="U546"/>
  <c r="T546"/>
  <c r="AJ546"/>
  <c r="AA574"/>
  <c r="AK574"/>
  <c r="AJ574"/>
  <c r="T574"/>
  <c r="U574"/>
  <c r="AA593"/>
  <c r="U593"/>
  <c r="AK593"/>
  <c r="AJ593"/>
  <c r="T593"/>
  <c r="AA715"/>
  <c r="AJ715"/>
  <c r="AK715"/>
  <c r="U715"/>
  <c r="T715"/>
  <c r="AA782"/>
  <c r="AK782"/>
  <c r="AJ782"/>
  <c r="T782"/>
  <c r="U782"/>
  <c r="AA821"/>
  <c r="AJ821"/>
  <c r="AK821"/>
  <c r="T821"/>
  <c r="AA865"/>
  <c r="AJ865"/>
  <c r="AK865"/>
  <c r="T865"/>
  <c r="U865"/>
  <c r="AA951"/>
  <c r="AK951"/>
  <c r="AJ951"/>
  <c r="U951"/>
  <c r="AA657"/>
  <c r="AK657"/>
  <c r="T657"/>
  <c r="AJ657"/>
  <c r="U657"/>
  <c r="AA916"/>
  <c r="AK916"/>
  <c r="AJ916"/>
  <c r="T916"/>
  <c r="AA325"/>
  <c r="AK325"/>
  <c r="AJ325"/>
  <c r="T325"/>
  <c r="U325"/>
  <c r="AA339"/>
  <c r="AK339"/>
  <c r="AJ339"/>
  <c r="U339"/>
  <c r="AA311"/>
  <c r="T311"/>
  <c r="AK311"/>
  <c r="AJ311"/>
  <c r="AA672"/>
  <c r="AK672"/>
  <c r="AJ672"/>
  <c r="U672"/>
  <c r="AA651"/>
  <c r="AK651"/>
  <c r="AJ651"/>
  <c r="U651"/>
  <c r="T651"/>
  <c r="AA454"/>
  <c r="U454"/>
  <c r="AK454"/>
  <c r="T454"/>
  <c r="AJ454"/>
  <c r="AA857"/>
  <c r="AK857"/>
  <c r="U857"/>
  <c r="AJ857"/>
  <c r="T857"/>
  <c r="AA827"/>
  <c r="AK827"/>
  <c r="T827"/>
  <c r="AJ827"/>
  <c r="U827"/>
  <c r="AA324"/>
  <c r="U324"/>
  <c r="AK324"/>
  <c r="AJ324"/>
  <c r="T324"/>
  <c r="AA29"/>
  <c r="AK29"/>
  <c r="AJ29"/>
  <c r="T29"/>
  <c r="U29"/>
  <c r="AA428"/>
  <c r="AK428"/>
  <c r="U428"/>
  <c r="T428"/>
  <c r="AJ428"/>
  <c r="AA366"/>
  <c r="AJ366"/>
  <c r="AK366"/>
  <c r="T366"/>
  <c r="U366"/>
  <c r="AA635"/>
  <c r="T635"/>
  <c r="AK635"/>
  <c r="AJ635"/>
  <c r="U635"/>
  <c r="AA917"/>
  <c r="AJ917"/>
  <c r="AK917"/>
  <c r="U917"/>
  <c r="T917"/>
  <c r="AA125"/>
  <c r="AJ125"/>
  <c r="AK125"/>
  <c r="U125"/>
  <c r="T125"/>
  <c r="AA803"/>
  <c r="AK803"/>
  <c r="U803"/>
  <c r="T803"/>
  <c r="AJ803"/>
  <c r="AA403"/>
  <c r="AJ403"/>
  <c r="AK403"/>
  <c r="U403"/>
  <c r="AA145"/>
  <c r="AK145"/>
  <c r="AJ145"/>
  <c r="U145"/>
  <c r="T145"/>
  <c r="AA193"/>
  <c r="AK193"/>
  <c r="AJ193"/>
  <c r="U193"/>
  <c r="T193"/>
  <c r="AA260"/>
  <c r="AK260"/>
  <c r="AJ260"/>
  <c r="T260"/>
  <c r="AA102"/>
  <c r="AK102"/>
  <c r="AJ102"/>
  <c r="T102"/>
  <c r="U102"/>
  <c r="AA304"/>
  <c r="AK304"/>
  <c r="AJ304"/>
  <c r="U304"/>
  <c r="AA580"/>
  <c r="AK580"/>
  <c r="AJ580"/>
  <c r="T580"/>
  <c r="U580"/>
  <c r="AA598"/>
  <c r="AK598"/>
  <c r="AJ598"/>
  <c r="U598"/>
  <c r="T598"/>
  <c r="AA945"/>
  <c r="AK945"/>
  <c r="AJ945"/>
  <c r="T945"/>
  <c r="U945"/>
  <c r="AA690"/>
  <c r="AJ690"/>
  <c r="AK690"/>
  <c r="U690"/>
  <c r="AA990"/>
  <c r="AJ990"/>
  <c r="AK990"/>
  <c r="T990"/>
  <c r="AA92"/>
  <c r="AJ92"/>
  <c r="AK92"/>
  <c r="T92"/>
  <c r="AA18"/>
  <c r="U18"/>
  <c r="AK18"/>
  <c r="AJ18"/>
  <c r="AA559"/>
  <c r="T559"/>
  <c r="AJ559"/>
  <c r="AK559"/>
  <c r="U559"/>
  <c r="AA181"/>
  <c r="AK181"/>
  <c r="AJ181"/>
  <c r="T181"/>
  <c r="U181"/>
  <c r="AA272"/>
  <c r="AJ272"/>
  <c r="AK272"/>
  <c r="T272"/>
  <c r="U272"/>
  <c r="AA257"/>
  <c r="AJ257"/>
  <c r="AK257"/>
  <c r="U257"/>
  <c r="T257"/>
  <c r="AA296"/>
  <c r="U296"/>
  <c r="AK296"/>
  <c r="AJ296"/>
  <c r="AA374"/>
  <c r="AK374"/>
  <c r="AJ374"/>
  <c r="U374"/>
  <c r="T374"/>
  <c r="AA364"/>
  <c r="AK364"/>
  <c r="T364"/>
  <c r="U364"/>
  <c r="AJ364"/>
  <c r="AA519"/>
  <c r="U519"/>
  <c r="T519"/>
  <c r="AJ519"/>
  <c r="AK519"/>
  <c r="AA500"/>
  <c r="AK500"/>
  <c r="T500"/>
  <c r="AJ500"/>
  <c r="U500"/>
  <c r="AA490"/>
  <c r="U490"/>
  <c r="AK490"/>
  <c r="AJ490"/>
  <c r="T490"/>
  <c r="AA472"/>
  <c r="AJ472"/>
  <c r="AK472"/>
  <c r="T472"/>
  <c r="U472"/>
  <c r="AA645"/>
  <c r="T645"/>
  <c r="AK645"/>
  <c r="AJ645"/>
  <c r="U645"/>
  <c r="AA637"/>
  <c r="AK637"/>
  <c r="T637"/>
  <c r="AJ637"/>
  <c r="U637"/>
  <c r="AA691"/>
  <c r="AK691"/>
  <c r="AJ691"/>
  <c r="T691"/>
  <c r="U691"/>
  <c r="AA841"/>
  <c r="AK841"/>
  <c r="U841"/>
  <c r="T841"/>
  <c r="AJ841"/>
  <c r="AA825"/>
  <c r="AK825"/>
  <c r="U825"/>
  <c r="T825"/>
  <c r="AJ825"/>
  <c r="AA892"/>
  <c r="AK892"/>
  <c r="AJ892"/>
  <c r="T892"/>
  <c r="U892"/>
  <c r="AA995"/>
  <c r="AK995"/>
  <c r="AJ995"/>
  <c r="U995"/>
  <c r="T995"/>
  <c r="AA699"/>
  <c r="T699"/>
  <c r="AK699"/>
  <c r="AJ699"/>
  <c r="AA769"/>
  <c r="U769"/>
  <c r="AK769"/>
  <c r="AJ769"/>
  <c r="AA238"/>
  <c r="AK238"/>
  <c r="T238"/>
  <c r="U238"/>
  <c r="AJ238"/>
  <c r="AA621"/>
  <c r="AJ621"/>
  <c r="AK621"/>
  <c r="T621"/>
  <c r="AA903"/>
  <c r="AJ903"/>
  <c r="AK903"/>
  <c r="U903"/>
  <c r="AA906"/>
  <c r="AK906"/>
  <c r="T906"/>
  <c r="AJ906"/>
  <c r="U906"/>
  <c r="AA840"/>
  <c r="AK840"/>
  <c r="T840"/>
  <c r="AJ840"/>
  <c r="U840"/>
  <c r="AA11"/>
  <c r="AK11"/>
  <c r="AJ11"/>
  <c r="T11"/>
  <c r="AA433"/>
  <c r="AK433"/>
  <c r="AJ433"/>
  <c r="T433"/>
  <c r="U433"/>
  <c r="AA467"/>
  <c r="T467"/>
  <c r="AJ467"/>
  <c r="AK467"/>
  <c r="AA808"/>
  <c r="AK808"/>
  <c r="AJ808"/>
  <c r="U808"/>
  <c r="AA516"/>
  <c r="AK516"/>
  <c r="U516"/>
  <c r="T516"/>
  <c r="AJ516"/>
  <c r="AA831"/>
  <c r="AK831"/>
  <c r="AJ831"/>
  <c r="U831"/>
  <c r="T831"/>
  <c r="AA889"/>
  <c r="AK889"/>
  <c r="U889"/>
  <c r="T889"/>
  <c r="AJ889"/>
  <c r="AA223"/>
  <c r="U223"/>
  <c r="AJ223"/>
  <c r="AK223"/>
  <c r="T223"/>
  <c r="AA682"/>
  <c r="AJ682"/>
  <c r="AK682"/>
  <c r="U682"/>
  <c r="T682"/>
  <c r="AA708"/>
  <c r="AK708"/>
  <c r="AJ708"/>
  <c r="U708"/>
  <c r="T708"/>
  <c r="AA525"/>
  <c r="AK525"/>
  <c r="AJ525"/>
  <c r="U525"/>
  <c r="AA566"/>
  <c r="AK566"/>
  <c r="AJ566"/>
  <c r="U566"/>
  <c r="T566"/>
  <c r="AA186"/>
  <c r="AJ186"/>
  <c r="AK186"/>
  <c r="T186"/>
  <c r="U186"/>
  <c r="AA550"/>
  <c r="U550"/>
  <c r="AK550"/>
  <c r="AJ550"/>
  <c r="T550"/>
  <c r="AA812"/>
  <c r="AK812"/>
  <c r="AJ812"/>
  <c r="T812"/>
  <c r="AA253"/>
  <c r="AJ253"/>
  <c r="AK253"/>
  <c r="U253"/>
  <c r="T253"/>
  <c r="AA875"/>
  <c r="AK875"/>
  <c r="U875"/>
  <c r="AJ875"/>
  <c r="T875"/>
  <c r="AA957"/>
  <c r="AK957"/>
  <c r="AJ957"/>
  <c r="T957"/>
  <c r="U957"/>
  <c r="AA157"/>
  <c r="AJ157"/>
  <c r="AK157"/>
  <c r="T157"/>
  <c r="U157"/>
  <c r="AA540"/>
  <c r="AK540"/>
  <c r="T540"/>
  <c r="U540"/>
  <c r="AJ540"/>
  <c r="AA159"/>
  <c r="U159"/>
  <c r="T159"/>
  <c r="AJ159"/>
  <c r="AK159"/>
  <c r="AA966"/>
  <c r="AK966"/>
  <c r="AJ966"/>
  <c r="T966"/>
  <c r="AA212"/>
  <c r="AK212"/>
  <c r="AJ212"/>
  <c r="T212"/>
  <c r="AA477"/>
  <c r="AJ477"/>
  <c r="AK477"/>
  <c r="U477"/>
  <c r="T477"/>
  <c r="AA767"/>
  <c r="AK767"/>
  <c r="AJ767"/>
  <c r="U767"/>
  <c r="T767"/>
  <c r="AA809"/>
  <c r="AK809"/>
  <c r="U809"/>
  <c r="T809"/>
  <c r="AJ809"/>
  <c r="AA603"/>
  <c r="AK603"/>
  <c r="AJ603"/>
  <c r="U603"/>
  <c r="AA513"/>
  <c r="AK513"/>
  <c r="T513"/>
  <c r="AJ513"/>
  <c r="U513"/>
  <c r="AA930"/>
  <c r="U930"/>
  <c r="AK930"/>
  <c r="AJ930"/>
  <c r="AA59"/>
  <c r="AK59"/>
  <c r="AJ59"/>
  <c r="U59"/>
  <c r="AA470"/>
  <c r="AK470"/>
  <c r="AJ470"/>
  <c r="T470"/>
  <c r="U470"/>
  <c r="AA775"/>
  <c r="AJ775"/>
  <c r="AK775"/>
  <c r="U775"/>
  <c r="T775"/>
  <c r="AA303"/>
  <c r="AJ303"/>
  <c r="T303"/>
  <c r="AK303"/>
  <c r="U303"/>
  <c r="AA474"/>
  <c r="AK474"/>
  <c r="AJ474"/>
  <c r="T474"/>
  <c r="AA965"/>
  <c r="AK965"/>
  <c r="U965"/>
  <c r="AJ965"/>
  <c r="T965"/>
  <c r="AA182"/>
  <c r="AK182"/>
  <c r="AJ182"/>
  <c r="T182"/>
  <c r="U182"/>
  <c r="AA154"/>
  <c r="AJ154"/>
  <c r="AK154"/>
  <c r="T154"/>
  <c r="U154"/>
  <c r="AA962"/>
  <c r="U962"/>
  <c r="AK962"/>
  <c r="T962"/>
  <c r="AJ962"/>
  <c r="AA143"/>
  <c r="U143"/>
  <c r="AK143"/>
  <c r="AJ143"/>
  <c r="AA471"/>
  <c r="T471"/>
  <c r="AK471"/>
  <c r="U471"/>
  <c r="AJ471"/>
  <c r="AA673"/>
  <c r="AK673"/>
  <c r="U673"/>
  <c r="AJ673"/>
  <c r="AA149"/>
  <c r="AK149"/>
  <c r="AJ149"/>
  <c r="T149"/>
  <c r="U149"/>
  <c r="AA245"/>
  <c r="AK245"/>
  <c r="AJ245"/>
  <c r="T245"/>
  <c r="U245"/>
  <c r="AA295"/>
  <c r="AK295"/>
  <c r="U295"/>
  <c r="AJ295"/>
  <c r="T295"/>
  <c r="AA854"/>
  <c r="AK854"/>
  <c r="AJ854"/>
  <c r="T854"/>
  <c r="AA291"/>
  <c r="AJ291"/>
  <c r="AK291"/>
  <c r="T291"/>
  <c r="U291"/>
  <c r="T237"/>
  <c r="U212"/>
  <c r="AA832"/>
  <c r="U832"/>
  <c r="AK832"/>
  <c r="AJ832"/>
  <c r="T832"/>
  <c r="U434"/>
  <c r="T879"/>
  <c r="U300"/>
  <c r="U902"/>
  <c r="U479"/>
  <c r="U455"/>
  <c r="T160"/>
  <c r="U966"/>
  <c r="U68"/>
  <c r="T525"/>
  <c r="T686"/>
  <c r="AA725"/>
  <c r="AK725"/>
  <c r="AJ725"/>
  <c r="U725"/>
  <c r="AA274"/>
  <c r="AK274"/>
  <c r="AJ274"/>
  <c r="T274"/>
  <c r="U274"/>
  <c r="AA425"/>
  <c r="AK425"/>
  <c r="AJ425"/>
  <c r="T425"/>
  <c r="U425"/>
  <c r="AA146"/>
  <c r="U146"/>
  <c r="AJ146"/>
  <c r="AK146"/>
  <c r="T146"/>
  <c r="AA169"/>
  <c r="AK169"/>
  <c r="AJ169"/>
  <c r="U169"/>
  <c r="T169"/>
  <c r="AA315"/>
  <c r="T315"/>
  <c r="AK315"/>
  <c r="AJ315"/>
  <c r="U315"/>
  <c r="AA407"/>
  <c r="AJ407"/>
  <c r="AK407"/>
  <c r="U407"/>
  <c r="AA585"/>
  <c r="AK585"/>
  <c r="AJ585"/>
  <c r="U585"/>
  <c r="T585"/>
  <c r="AA669"/>
  <c r="AJ669"/>
  <c r="AK669"/>
  <c r="U669"/>
  <c r="T669"/>
  <c r="AA483"/>
  <c r="AK483"/>
  <c r="U483"/>
  <c r="T483"/>
  <c r="AJ483"/>
  <c r="AA794"/>
  <c r="AK794"/>
  <c r="AJ794"/>
  <c r="T794"/>
  <c r="AA636"/>
  <c r="AJ636"/>
  <c r="AK636"/>
  <c r="T636"/>
  <c r="U636"/>
  <c r="AA800"/>
  <c r="AK800"/>
  <c r="AJ800"/>
  <c r="T800"/>
  <c r="AA36"/>
  <c r="AJ36"/>
  <c r="AK36"/>
  <c r="T36"/>
  <c r="AA320"/>
  <c r="U320"/>
  <c r="AK320"/>
  <c r="AJ320"/>
  <c r="AA191"/>
  <c r="AK191"/>
  <c r="AJ191"/>
  <c r="U191"/>
  <c r="T191"/>
  <c r="AA151"/>
  <c r="AK151"/>
  <c r="AJ151"/>
  <c r="T151"/>
  <c r="AA235"/>
  <c r="AK235"/>
  <c r="T235"/>
  <c r="AJ235"/>
  <c r="U235"/>
  <c r="AA392"/>
  <c r="AK392"/>
  <c r="T392"/>
  <c r="U392"/>
  <c r="AJ392"/>
  <c r="AA400"/>
  <c r="AK400"/>
  <c r="AJ400"/>
  <c r="T400"/>
  <c r="U400"/>
  <c r="AA527"/>
  <c r="T527"/>
  <c r="AJ527"/>
  <c r="AK527"/>
  <c r="AA534"/>
  <c r="AK534"/>
  <c r="AJ534"/>
  <c r="T534"/>
  <c r="AA706"/>
  <c r="T706"/>
  <c r="AK706"/>
  <c r="AJ706"/>
  <c r="U706"/>
  <c r="AA742"/>
  <c r="T742"/>
  <c r="AK742"/>
  <c r="AJ742"/>
  <c r="U742"/>
  <c r="AA724"/>
  <c r="AJ724"/>
  <c r="AK724"/>
  <c r="U724"/>
  <c r="AA837"/>
  <c r="AK837"/>
  <c r="AJ837"/>
  <c r="T837"/>
  <c r="U837"/>
  <c r="AA873"/>
  <c r="AK873"/>
  <c r="AJ873"/>
  <c r="U873"/>
  <c r="AA175"/>
  <c r="AJ175"/>
  <c r="AK175"/>
  <c r="T175"/>
  <c r="U175"/>
  <c r="AA99"/>
  <c r="AK99"/>
  <c r="AJ99"/>
  <c r="U99"/>
  <c r="AA236"/>
  <c r="AK236"/>
  <c r="AJ236"/>
  <c r="T236"/>
  <c r="AA475"/>
  <c r="AJ475"/>
  <c r="AK475"/>
  <c r="U475"/>
  <c r="T475"/>
  <c r="AA535"/>
  <c r="AK535"/>
  <c r="AJ535"/>
  <c r="T535"/>
  <c r="AA763"/>
  <c r="AK763"/>
  <c r="T763"/>
  <c r="AJ763"/>
  <c r="AA7"/>
  <c r="AJ7"/>
  <c r="AK7"/>
  <c r="U7"/>
  <c r="T7"/>
  <c r="AK230"/>
  <c r="AJ230"/>
  <c r="U230"/>
  <c r="AA230"/>
  <c r="T230"/>
  <c r="AA390"/>
  <c r="AK390"/>
  <c r="AJ390"/>
  <c r="U390"/>
  <c r="AA494"/>
  <c r="U494"/>
  <c r="AJ494"/>
  <c r="AK494"/>
  <c r="T494"/>
  <c r="AA571"/>
  <c r="AJ571"/>
  <c r="AK571"/>
  <c r="T571"/>
  <c r="AA689"/>
  <c r="AK689"/>
  <c r="U689"/>
  <c r="T689"/>
  <c r="AJ689"/>
  <c r="AA877"/>
  <c r="AK877"/>
  <c r="U877"/>
  <c r="T877"/>
  <c r="AJ877"/>
  <c r="AA234"/>
  <c r="AJ234"/>
  <c r="AK234"/>
  <c r="T234"/>
  <c r="AA781"/>
  <c r="AK781"/>
  <c r="AJ781"/>
  <c r="T781"/>
  <c r="AA468"/>
  <c r="AJ468"/>
  <c r="AK468"/>
  <c r="U468"/>
  <c r="T468"/>
  <c r="AA633"/>
  <c r="AK633"/>
  <c r="AJ633"/>
  <c r="T633"/>
  <c r="U633"/>
  <c r="AA885"/>
  <c r="U885"/>
  <c r="T885"/>
  <c r="AJ885"/>
  <c r="AK885"/>
  <c r="AA913"/>
  <c r="AK913"/>
  <c r="AJ913"/>
  <c r="U913"/>
  <c r="T913"/>
  <c r="AA776"/>
  <c r="AJ776"/>
  <c r="AK776"/>
  <c r="U776"/>
  <c r="T776"/>
  <c r="AA39"/>
  <c r="AJ39"/>
  <c r="AK39"/>
  <c r="U39"/>
  <c r="T39"/>
  <c r="AA387"/>
  <c r="AK387"/>
  <c r="AJ387"/>
  <c r="U387"/>
  <c r="T387"/>
  <c r="AA449"/>
  <c r="T449"/>
  <c r="AJ449"/>
  <c r="AK449"/>
  <c r="U449"/>
  <c r="AA719"/>
  <c r="AK719"/>
  <c r="AJ719"/>
  <c r="U719"/>
  <c r="T719"/>
  <c r="AA978"/>
  <c r="U978"/>
  <c r="AK978"/>
  <c r="AJ978"/>
  <c r="AA864"/>
  <c r="T864"/>
  <c r="AK864"/>
  <c r="AJ864"/>
  <c r="AA851"/>
  <c r="AJ851"/>
  <c r="AK851"/>
  <c r="T851"/>
  <c r="AA784"/>
  <c r="T784"/>
  <c r="AJ784"/>
  <c r="AK784"/>
  <c r="AA22"/>
  <c r="AK22"/>
  <c r="AJ22"/>
  <c r="T22"/>
  <c r="U22"/>
  <c r="AA94"/>
  <c r="AK94"/>
  <c r="AJ94"/>
  <c r="T94"/>
  <c r="U94"/>
  <c r="AA459"/>
  <c r="AJ459"/>
  <c r="AK459"/>
  <c r="T459"/>
  <c r="AA172"/>
  <c r="AJ172"/>
  <c r="AK172"/>
  <c r="T172"/>
  <c r="AA969"/>
  <c r="AK969"/>
  <c r="AJ969"/>
  <c r="U969"/>
  <c r="T969"/>
  <c r="AA277"/>
  <c r="U277"/>
  <c r="T277"/>
  <c r="AK277"/>
  <c r="AJ277"/>
  <c r="AA855"/>
  <c r="AJ855"/>
  <c r="AK855"/>
  <c r="T855"/>
  <c r="U855"/>
  <c r="AA985"/>
  <c r="AK985"/>
  <c r="AJ985"/>
  <c r="U985"/>
  <c r="T985"/>
  <c r="AA55"/>
  <c r="AK55"/>
  <c r="AJ55"/>
  <c r="U55"/>
  <c r="T55"/>
  <c r="AA58"/>
  <c r="T58"/>
  <c r="U58"/>
  <c r="AJ58"/>
  <c r="AK58"/>
  <c r="AA45"/>
  <c r="AJ45"/>
  <c r="AK45"/>
  <c r="U45"/>
  <c r="T45"/>
  <c r="AA205"/>
  <c r="AJ205"/>
  <c r="AK205"/>
  <c r="T205"/>
  <c r="U205"/>
  <c r="AA451"/>
  <c r="T451"/>
  <c r="AJ451"/>
  <c r="AK451"/>
  <c r="U451"/>
  <c r="AA228"/>
  <c r="AK228"/>
  <c r="AJ228"/>
  <c r="U228"/>
  <c r="AA432"/>
  <c r="U432"/>
  <c r="T432"/>
  <c r="AK432"/>
  <c r="AJ432"/>
  <c r="AA377"/>
  <c r="AJ377"/>
  <c r="AK377"/>
  <c r="U377"/>
  <c r="T377"/>
  <c r="AA487"/>
  <c r="AK487"/>
  <c r="AJ487"/>
  <c r="T487"/>
  <c r="AA441"/>
  <c r="AK441"/>
  <c r="AJ441"/>
  <c r="T441"/>
  <c r="AA484"/>
  <c r="AJ484"/>
  <c r="AK484"/>
  <c r="U484"/>
  <c r="T484"/>
  <c r="AA530"/>
  <c r="AK530"/>
  <c r="AJ530"/>
  <c r="T530"/>
  <c r="U530"/>
  <c r="AA578"/>
  <c r="AK578"/>
  <c r="AJ578"/>
  <c r="U578"/>
  <c r="AA627"/>
  <c r="AK627"/>
  <c r="AJ627"/>
  <c r="T627"/>
  <c r="U627"/>
  <c r="AA619"/>
  <c r="T619"/>
  <c r="AK619"/>
  <c r="AJ619"/>
  <c r="AA700"/>
  <c r="AK700"/>
  <c r="AJ700"/>
  <c r="T700"/>
  <c r="U700"/>
  <c r="AA753"/>
  <c r="AK753"/>
  <c r="AJ753"/>
  <c r="U753"/>
  <c r="T753"/>
  <c r="AA896"/>
  <c r="AK896"/>
  <c r="AJ896"/>
  <c r="U896"/>
  <c r="AA891"/>
  <c r="AK891"/>
  <c r="U891"/>
  <c r="T891"/>
  <c r="AJ891"/>
  <c r="AA948"/>
  <c r="U948"/>
  <c r="AK948"/>
  <c r="AJ948"/>
  <c r="T948"/>
  <c r="AA108"/>
  <c r="AK108"/>
  <c r="AJ108"/>
  <c r="T108"/>
  <c r="AA35"/>
  <c r="AK35"/>
  <c r="AJ35"/>
  <c r="T35"/>
  <c r="AA119"/>
  <c r="AK119"/>
  <c r="U119"/>
  <c r="AJ119"/>
  <c r="T119"/>
  <c r="AA310"/>
  <c r="AK310"/>
  <c r="AJ310"/>
  <c r="T310"/>
  <c r="AA276"/>
  <c r="AK276"/>
  <c r="AJ276"/>
  <c r="T276"/>
  <c r="AA414"/>
  <c r="AJ414"/>
  <c r="AK414"/>
  <c r="U414"/>
  <c r="T414"/>
  <c r="AA563"/>
  <c r="AJ563"/>
  <c r="AK563"/>
  <c r="T563"/>
  <c r="U563"/>
  <c r="AA731"/>
  <c r="AK731"/>
  <c r="T731"/>
  <c r="U731"/>
  <c r="AJ731"/>
  <c r="AA189"/>
  <c r="AJ189"/>
  <c r="AK189"/>
  <c r="T189"/>
  <c r="AK198"/>
  <c r="AJ198"/>
  <c r="AA198"/>
  <c r="U198"/>
  <c r="T198"/>
  <c r="AA358"/>
  <c r="T358"/>
  <c r="AK358"/>
  <c r="AJ358"/>
  <c r="U358"/>
  <c r="AA532"/>
  <c r="AK532"/>
  <c r="AJ532"/>
  <c r="U532"/>
  <c r="T532"/>
  <c r="AA583"/>
  <c r="AK583"/>
  <c r="AJ583"/>
  <c r="T583"/>
  <c r="AA765"/>
  <c r="AJ765"/>
  <c r="AK765"/>
  <c r="T765"/>
  <c r="AA876"/>
  <c r="AK876"/>
  <c r="AJ876"/>
  <c r="U876"/>
  <c r="T876"/>
  <c r="AA779"/>
  <c r="T779"/>
  <c r="AJ779"/>
  <c r="AK779"/>
  <c r="U779"/>
  <c r="AA287"/>
  <c r="U287"/>
  <c r="AJ287"/>
  <c r="AK287"/>
  <c r="AA709"/>
  <c r="AK709"/>
  <c r="AJ709"/>
  <c r="U709"/>
  <c r="AA96"/>
  <c r="AK96"/>
  <c r="AJ96"/>
  <c r="U96"/>
  <c r="AA465"/>
  <c r="AK465"/>
  <c r="T465"/>
  <c r="U465"/>
  <c r="AJ465"/>
  <c r="AA106"/>
  <c r="AJ106"/>
  <c r="AK106"/>
  <c r="T106"/>
  <c r="U106"/>
  <c r="AA290"/>
  <c r="AK290"/>
  <c r="AJ290"/>
  <c r="T290"/>
  <c r="U290"/>
  <c r="AA859"/>
  <c r="AK859"/>
  <c r="U859"/>
  <c r="T859"/>
  <c r="AJ859"/>
  <c r="AA5"/>
  <c r="AJ5"/>
  <c r="AK5"/>
  <c r="U5"/>
  <c r="T5"/>
  <c r="AA588"/>
  <c r="AK588"/>
  <c r="AJ588"/>
  <c r="U588"/>
  <c r="T588"/>
  <c r="AA552"/>
  <c r="AJ552"/>
  <c r="AK552"/>
  <c r="U552"/>
  <c r="T552"/>
  <c r="AA599"/>
  <c r="T599"/>
  <c r="AJ599"/>
  <c r="AK599"/>
  <c r="U599"/>
  <c r="AA32"/>
  <c r="AJ32"/>
  <c r="AK32"/>
  <c r="T32"/>
  <c r="AA232"/>
  <c r="AJ232"/>
  <c r="AK232"/>
  <c r="U232"/>
  <c r="AA8"/>
  <c r="AK8"/>
  <c r="AJ8"/>
  <c r="T8"/>
  <c r="AA218"/>
  <c r="AJ218"/>
  <c r="AK218"/>
  <c r="T218"/>
  <c r="U218"/>
  <c r="AA376"/>
  <c r="AK376"/>
  <c r="AJ376"/>
  <c r="T376"/>
  <c r="U376"/>
  <c r="AA215"/>
  <c r="AK215"/>
  <c r="AJ215"/>
  <c r="T215"/>
  <c r="U215"/>
  <c r="AA319"/>
  <c r="AK319"/>
  <c r="AJ319"/>
  <c r="T319"/>
  <c r="AA323"/>
  <c r="AJ323"/>
  <c r="AK323"/>
  <c r="T323"/>
  <c r="U323"/>
  <c r="AA501"/>
  <c r="AK501"/>
  <c r="AJ501"/>
  <c r="T501"/>
  <c r="U501"/>
  <c r="AA283"/>
  <c r="AK283"/>
  <c r="AJ283"/>
  <c r="U283"/>
  <c r="AA984"/>
  <c r="AJ984"/>
  <c r="AK984"/>
  <c r="T984"/>
  <c r="AA950"/>
  <c r="AK950"/>
  <c r="AJ950"/>
  <c r="T950"/>
  <c r="AA944"/>
  <c r="AK944"/>
  <c r="AJ944"/>
  <c r="T944"/>
  <c r="U992"/>
  <c r="AA457"/>
  <c r="T457"/>
  <c r="AK457"/>
  <c r="AJ457"/>
  <c r="U457"/>
  <c r="AA14"/>
  <c r="AK14"/>
  <c r="AJ14"/>
  <c r="T14"/>
  <c r="U14"/>
  <c r="AA24"/>
  <c r="AJ24"/>
  <c r="AK24"/>
  <c r="T24"/>
  <c r="AA613"/>
  <c r="AJ613"/>
  <c r="AK613"/>
  <c r="T613"/>
  <c r="AA255"/>
  <c r="U255"/>
  <c r="AK255"/>
  <c r="AJ255"/>
  <c r="T255"/>
  <c r="AA914"/>
  <c r="U914"/>
  <c r="T914"/>
  <c r="AK914"/>
  <c r="AJ914"/>
  <c r="AA936"/>
  <c r="AJ936"/>
  <c r="AK936"/>
  <c r="T936"/>
  <c r="AA410"/>
  <c r="AK410"/>
  <c r="AJ410"/>
  <c r="T410"/>
  <c r="AA741"/>
  <c r="AK741"/>
  <c r="AJ741"/>
  <c r="U741"/>
  <c r="AA116"/>
  <c r="AJ116"/>
  <c r="AK116"/>
  <c r="T116"/>
  <c r="AA117"/>
  <c r="AJ117"/>
  <c r="AK117"/>
  <c r="T117"/>
  <c r="U117"/>
  <c r="AA46"/>
  <c r="AJ46"/>
  <c r="AK46"/>
  <c r="U46"/>
  <c r="T46"/>
  <c r="AA756"/>
  <c r="AJ756"/>
  <c r="AK756"/>
  <c r="T756"/>
  <c r="U756"/>
  <c r="AA79"/>
  <c r="AK79"/>
  <c r="AJ79"/>
  <c r="T79"/>
  <c r="AA273"/>
  <c r="AK273"/>
  <c r="U273"/>
  <c r="T273"/>
  <c r="AJ273"/>
  <c r="AA644"/>
  <c r="AK644"/>
  <c r="AJ644"/>
  <c r="T644"/>
  <c r="U644"/>
  <c r="AA63"/>
  <c r="AK63"/>
  <c r="AJ63"/>
  <c r="T63"/>
  <c r="AA847"/>
  <c r="AK847"/>
  <c r="AJ847"/>
  <c r="U847"/>
  <c r="U19"/>
  <c r="U244"/>
  <c r="AA89"/>
  <c r="AK89"/>
  <c r="AJ89"/>
  <c r="U89"/>
  <c r="AA23"/>
  <c r="U23"/>
  <c r="AJ23"/>
  <c r="AK23"/>
  <c r="T23"/>
  <c r="AA524"/>
  <c r="AJ524"/>
  <c r="AK524"/>
  <c r="U524"/>
  <c r="T524"/>
  <c r="AA113"/>
  <c r="AK113"/>
  <c r="AJ113"/>
  <c r="U113"/>
  <c r="AA380"/>
  <c r="AK380"/>
  <c r="AJ380"/>
  <c r="T380"/>
  <c r="U380"/>
  <c r="AA286"/>
  <c r="AJ286"/>
  <c r="AK286"/>
  <c r="T286"/>
  <c r="U286"/>
  <c r="AA996"/>
  <c r="AK996"/>
  <c r="T996"/>
  <c r="AJ996"/>
  <c r="U996"/>
  <c r="AA213"/>
  <c r="AK213"/>
  <c r="AJ213"/>
  <c r="U213"/>
  <c r="T213"/>
  <c r="AA489"/>
  <c r="AK489"/>
  <c r="AJ489"/>
  <c r="U489"/>
  <c r="AA404"/>
  <c r="AK404"/>
  <c r="AJ404"/>
  <c r="U404"/>
  <c r="T404"/>
  <c r="AA684"/>
  <c r="AK684"/>
  <c r="T684"/>
  <c r="U684"/>
  <c r="AJ684"/>
  <c r="AA508"/>
  <c r="AK508"/>
  <c r="AJ508"/>
  <c r="U508"/>
  <c r="T508"/>
  <c r="AA804"/>
  <c r="AK804"/>
  <c r="AJ804"/>
  <c r="T804"/>
  <c r="T741"/>
  <c r="T624"/>
  <c r="U802"/>
  <c r="U474"/>
  <c r="T88"/>
  <c r="U755"/>
  <c r="AA974"/>
  <c r="AJ974"/>
  <c r="AK974"/>
  <c r="U974"/>
  <c r="T974"/>
  <c r="AA346"/>
  <c r="AK346"/>
  <c r="AJ346"/>
  <c r="T346"/>
  <c r="AA733"/>
  <c r="AK733"/>
  <c r="AJ733"/>
  <c r="T733"/>
  <c r="U733"/>
  <c r="AA650"/>
  <c r="AK650"/>
  <c r="AJ650"/>
  <c r="U650"/>
  <c r="AA792"/>
  <c r="AK792"/>
  <c r="T792"/>
  <c r="AJ792"/>
  <c r="AA177"/>
  <c r="AK177"/>
  <c r="AJ177"/>
  <c r="U177"/>
  <c r="T177"/>
  <c r="AA243"/>
  <c r="AJ243"/>
  <c r="AK243"/>
  <c r="T243"/>
  <c r="U243"/>
  <c r="AA322"/>
  <c r="AK322"/>
  <c r="AJ322"/>
  <c r="T322"/>
  <c r="U322"/>
  <c r="AA156"/>
  <c r="AJ156"/>
  <c r="AK156"/>
  <c r="T156"/>
  <c r="AA118"/>
  <c r="AJ118"/>
  <c r="AK118"/>
  <c r="T118"/>
  <c r="U118"/>
  <c r="AA630"/>
  <c r="AK630"/>
  <c r="U630"/>
  <c r="AJ630"/>
  <c r="T630"/>
  <c r="AA229"/>
  <c r="AK229"/>
  <c r="AJ229"/>
  <c r="T229"/>
  <c r="U229"/>
  <c r="AA395"/>
  <c r="U395"/>
  <c r="AK395"/>
  <c r="AJ395"/>
  <c r="AA665"/>
  <c r="AK665"/>
  <c r="U665"/>
  <c r="AJ665"/>
  <c r="AA788"/>
  <c r="U788"/>
  <c r="AK788"/>
  <c r="AJ788"/>
  <c r="AA161"/>
  <c r="AK161"/>
  <c r="AJ161"/>
  <c r="U161"/>
  <c r="T161"/>
  <c r="AA144"/>
  <c r="U144"/>
  <c r="AJ144"/>
  <c r="AK144"/>
  <c r="AA393"/>
  <c r="AJ393"/>
  <c r="AK393"/>
  <c r="U393"/>
  <c r="T393"/>
  <c r="AA492"/>
  <c r="AK492"/>
  <c r="AJ492"/>
  <c r="U492"/>
  <c r="T492"/>
  <c r="AA659"/>
  <c r="U659"/>
  <c r="T659"/>
  <c r="AK659"/>
  <c r="AJ659"/>
  <c r="AA269"/>
  <c r="AJ269"/>
  <c r="U269"/>
  <c r="AK269"/>
  <c r="T269"/>
  <c r="AA842"/>
  <c r="U842"/>
  <c r="AK842"/>
  <c r="AJ842"/>
  <c r="AA93"/>
  <c r="AK93"/>
  <c r="AJ93"/>
  <c r="T93"/>
  <c r="U93"/>
  <c r="AA445"/>
  <c r="AK445"/>
  <c r="AJ445"/>
  <c r="T445"/>
  <c r="AA654"/>
  <c r="AK654"/>
  <c r="AJ654"/>
  <c r="U654"/>
  <c r="T654"/>
  <c r="AA365"/>
  <c r="AK365"/>
  <c r="AJ365"/>
  <c r="T365"/>
  <c r="U365"/>
  <c r="AA738"/>
  <c r="AK738"/>
  <c r="AJ738"/>
  <c r="T738"/>
  <c r="AA316"/>
  <c r="AJ316"/>
  <c r="AK316"/>
  <c r="T316"/>
  <c r="AA692"/>
  <c r="U692"/>
  <c r="AK692"/>
  <c r="AJ692"/>
  <c r="AA104"/>
  <c r="AJ104"/>
  <c r="AK104"/>
  <c r="U104"/>
  <c r="AA728"/>
  <c r="AK728"/>
  <c r="U728"/>
  <c r="AJ728"/>
  <c r="T728"/>
  <c r="AA180"/>
  <c r="AJ180"/>
  <c r="AK180"/>
  <c r="U180"/>
  <c r="T180"/>
  <c r="AA482"/>
  <c r="AK482"/>
  <c r="AJ482"/>
  <c r="T482"/>
  <c r="U482"/>
  <c r="AA655"/>
  <c r="AK655"/>
  <c r="T655"/>
  <c r="AJ655"/>
  <c r="U655"/>
  <c r="AA912"/>
  <c r="AK912"/>
  <c r="AJ912"/>
  <c r="U912"/>
  <c r="AA368"/>
  <c r="AK368"/>
  <c r="T368"/>
  <c r="AJ368"/>
  <c r="U368"/>
  <c r="AA529"/>
  <c r="AJ529"/>
  <c r="U529"/>
  <c r="AK529"/>
  <c r="T529"/>
  <c r="AA830"/>
  <c r="AK830"/>
  <c r="T830"/>
  <c r="U830"/>
  <c r="AJ830"/>
  <c r="AA57"/>
  <c r="AK57"/>
  <c r="U57"/>
  <c r="AJ57"/>
  <c r="AA86"/>
  <c r="AK86"/>
  <c r="AJ86"/>
  <c r="T86"/>
  <c r="U86"/>
  <c r="AA381"/>
  <c r="AJ381"/>
  <c r="AK381"/>
  <c r="U381"/>
  <c r="AA100"/>
  <c r="AK100"/>
  <c r="AJ100"/>
  <c r="T100"/>
  <c r="AA231"/>
  <c r="AJ231"/>
  <c r="AK231"/>
  <c r="T231"/>
  <c r="AA561"/>
  <c r="U561"/>
  <c r="AK561"/>
  <c r="AJ561"/>
  <c r="T561"/>
  <c r="AA795"/>
  <c r="U795"/>
  <c r="AK795"/>
  <c r="AJ795"/>
  <c r="AA778"/>
  <c r="AK778"/>
  <c r="AJ778"/>
  <c r="T778"/>
  <c r="AA963"/>
  <c r="AK963"/>
  <c r="AJ963"/>
  <c r="U963"/>
  <c r="T963"/>
  <c r="AA907"/>
  <c r="AK907"/>
  <c r="AJ907"/>
  <c r="U907"/>
  <c r="T907"/>
  <c r="AA76"/>
  <c r="AK76"/>
  <c r="AJ76"/>
  <c r="T76"/>
  <c r="AA133"/>
  <c r="AK133"/>
  <c r="T133"/>
  <c r="U133"/>
  <c r="AJ133"/>
  <c r="AA127"/>
  <c r="AK127"/>
  <c r="AJ127"/>
  <c r="T127"/>
  <c r="AA131"/>
  <c r="AK131"/>
  <c r="AJ131"/>
  <c r="U131"/>
  <c r="AA351"/>
  <c r="AJ351"/>
  <c r="AK351"/>
  <c r="U351"/>
  <c r="T351"/>
  <c r="AA409"/>
  <c r="T409"/>
  <c r="AK409"/>
  <c r="AJ409"/>
  <c r="U409"/>
  <c r="AA335"/>
  <c r="AK335"/>
  <c r="AJ335"/>
  <c r="T335"/>
  <c r="AK326"/>
  <c r="T326"/>
  <c r="AJ326"/>
  <c r="U326"/>
  <c r="AA326"/>
  <c r="AA464"/>
  <c r="AJ464"/>
  <c r="U464"/>
  <c r="AK464"/>
  <c r="T464"/>
  <c r="AA551"/>
  <c r="U551"/>
  <c r="T551"/>
  <c r="AK551"/>
  <c r="AJ551"/>
  <c r="AA592"/>
  <c r="AK592"/>
  <c r="AJ592"/>
  <c r="U592"/>
  <c r="AA676"/>
  <c r="AK676"/>
  <c r="T676"/>
  <c r="U676"/>
  <c r="AJ676"/>
  <c r="AA867"/>
  <c r="AK867"/>
  <c r="AJ867"/>
  <c r="T867"/>
  <c r="U867"/>
  <c r="AA759"/>
  <c r="AK759"/>
  <c r="AJ759"/>
  <c r="T759"/>
  <c r="U759"/>
  <c r="AA991"/>
  <c r="AK991"/>
  <c r="AJ991"/>
  <c r="U991"/>
  <c r="AA915"/>
  <c r="AK915"/>
  <c r="AJ915"/>
  <c r="U915"/>
  <c r="T915"/>
  <c r="AA732"/>
  <c r="AJ732"/>
  <c r="AK732"/>
  <c r="U732"/>
  <c r="AA999"/>
  <c r="AK999"/>
  <c r="AJ999"/>
  <c r="U999"/>
  <c r="AA98"/>
  <c r="T98"/>
  <c r="U98"/>
  <c r="AK98"/>
  <c r="AJ98"/>
  <c r="AA222"/>
  <c r="AJ222"/>
  <c r="AK222"/>
  <c r="U222"/>
  <c r="T222"/>
  <c r="AA518"/>
  <c r="AK518"/>
  <c r="AJ518"/>
  <c r="T518"/>
  <c r="AA817"/>
  <c r="AK817"/>
  <c r="AJ817"/>
  <c r="T817"/>
  <c r="U817"/>
  <c r="AA723"/>
  <c r="AK723"/>
  <c r="AJ723"/>
  <c r="T723"/>
  <c r="AA456"/>
  <c r="U456"/>
  <c r="AK456"/>
  <c r="AJ456"/>
  <c r="AA884"/>
  <c r="AK884"/>
  <c r="AJ884"/>
  <c r="T884"/>
  <c r="U884"/>
  <c r="AA185"/>
  <c r="AK185"/>
  <c r="U185"/>
  <c r="T185"/>
  <c r="AJ185"/>
  <c r="AA642"/>
  <c r="AK642"/>
  <c r="AJ642"/>
  <c r="T642"/>
  <c r="U642"/>
  <c r="AA214"/>
  <c r="AK214"/>
  <c r="AJ214"/>
  <c r="U214"/>
  <c r="T214"/>
  <c r="AA443"/>
  <c r="AJ443"/>
  <c r="AK443"/>
  <c r="T443"/>
  <c r="AA427"/>
  <c r="AK427"/>
  <c r="AJ427"/>
  <c r="T427"/>
  <c r="U427"/>
  <c r="AA848"/>
  <c r="AJ848"/>
  <c r="AK848"/>
  <c r="U848"/>
  <c r="T848"/>
  <c r="AA714"/>
  <c r="AK714"/>
  <c r="AJ714"/>
  <c r="U714"/>
  <c r="T714"/>
  <c r="AA259"/>
  <c r="T259"/>
  <c r="AJ259"/>
  <c r="AK259"/>
  <c r="U259"/>
  <c r="AA835"/>
  <c r="AK835"/>
  <c r="AJ835"/>
  <c r="U835"/>
  <c r="AA739"/>
  <c r="AK739"/>
  <c r="T739"/>
  <c r="AJ739"/>
  <c r="U739"/>
  <c r="AA107"/>
  <c r="AJ107"/>
  <c r="AK107"/>
  <c r="U107"/>
  <c r="T107"/>
  <c r="AA431"/>
  <c r="AK431"/>
  <c r="AJ431"/>
  <c r="T431"/>
  <c r="U431"/>
  <c r="AA216"/>
  <c r="U216"/>
  <c r="AK216"/>
  <c r="AJ216"/>
  <c r="AA170"/>
  <c r="AJ170"/>
  <c r="AK170"/>
  <c r="U170"/>
  <c r="T170"/>
  <c r="AA564"/>
  <c r="AK564"/>
  <c r="T564"/>
  <c r="AJ564"/>
  <c r="U564"/>
  <c r="AA604"/>
  <c r="AK604"/>
  <c r="T604"/>
  <c r="U604"/>
  <c r="AJ604"/>
  <c r="AA807"/>
  <c r="AK807"/>
  <c r="U807"/>
  <c r="AJ807"/>
  <c r="T807"/>
  <c r="AA953"/>
  <c r="AK953"/>
  <c r="AJ953"/>
  <c r="U953"/>
  <c r="T953"/>
  <c r="AA826"/>
  <c r="AK826"/>
  <c r="AJ826"/>
  <c r="U826"/>
  <c r="T826"/>
  <c r="AA816"/>
  <c r="AK816"/>
  <c r="AJ816"/>
  <c r="T816"/>
  <c r="U816"/>
  <c r="AA47"/>
  <c r="AJ47"/>
  <c r="AK47"/>
  <c r="U47"/>
  <c r="T47"/>
  <c r="AA50"/>
  <c r="U50"/>
  <c r="AJ50"/>
  <c r="AK50"/>
  <c r="AA37"/>
  <c r="AK37"/>
  <c r="AJ37"/>
  <c r="U37"/>
  <c r="T37"/>
  <c r="AA297"/>
  <c r="AJ297"/>
  <c r="AK297"/>
  <c r="U297"/>
  <c r="T297"/>
  <c r="AA150"/>
  <c r="AK150"/>
  <c r="AJ150"/>
  <c r="T150"/>
  <c r="U150"/>
  <c r="AA293"/>
  <c r="U293"/>
  <c r="AK293"/>
  <c r="AJ293"/>
  <c r="T293"/>
  <c r="AA391"/>
  <c r="AK391"/>
  <c r="AJ391"/>
  <c r="U391"/>
  <c r="T391"/>
  <c r="AA406"/>
  <c r="AK406"/>
  <c r="AJ406"/>
  <c r="T406"/>
  <c r="U406"/>
  <c r="AA396"/>
  <c r="AK396"/>
  <c r="AJ396"/>
  <c r="U396"/>
  <c r="T396"/>
  <c r="AA450"/>
  <c r="AK450"/>
  <c r="AJ450"/>
  <c r="U450"/>
  <c r="T450"/>
  <c r="AA558"/>
  <c r="AJ558"/>
  <c r="AK558"/>
  <c r="U558"/>
  <c r="T558"/>
  <c r="AA522"/>
  <c r="AK522"/>
  <c r="AJ522"/>
  <c r="T522"/>
  <c r="U522"/>
  <c r="AA512"/>
  <c r="AJ512"/>
  <c r="AK512"/>
  <c r="U512"/>
  <c r="AA660"/>
  <c r="AJ660"/>
  <c r="AK660"/>
  <c r="U660"/>
  <c r="T660"/>
  <c r="AA687"/>
  <c r="AK687"/>
  <c r="AJ687"/>
  <c r="T687"/>
  <c r="AA789"/>
  <c r="AK789"/>
  <c r="AJ789"/>
  <c r="T789"/>
  <c r="AA758"/>
  <c r="T758"/>
  <c r="AK758"/>
  <c r="AJ758"/>
  <c r="U758"/>
  <c r="AA849"/>
  <c r="T849"/>
  <c r="AJ849"/>
  <c r="U849"/>
  <c r="AK849"/>
  <c r="AA935"/>
  <c r="AK935"/>
  <c r="AJ935"/>
  <c r="U935"/>
  <c r="AA940"/>
  <c r="AK940"/>
  <c r="AJ940"/>
  <c r="T940"/>
  <c r="AA718"/>
  <c r="AK718"/>
  <c r="T718"/>
  <c r="U718"/>
  <c r="AJ718"/>
  <c r="AA868"/>
  <c r="U868"/>
  <c r="T868"/>
  <c r="AK868"/>
  <c r="AJ868"/>
  <c r="AA656"/>
  <c r="U656"/>
  <c r="AK656"/>
  <c r="AJ656"/>
  <c r="AA833"/>
  <c r="AK833"/>
  <c r="AJ833"/>
  <c r="T833"/>
  <c r="AA839"/>
  <c r="AJ839"/>
  <c r="AK839"/>
  <c r="U839"/>
  <c r="AA140"/>
  <c r="AK140"/>
  <c r="AJ140"/>
  <c r="T140"/>
  <c r="AA28"/>
  <c r="AK28"/>
  <c r="AJ28"/>
  <c r="T28"/>
  <c r="AA219"/>
  <c r="AJ219"/>
  <c r="AK219"/>
  <c r="U219"/>
  <c r="AA536"/>
  <c r="AK536"/>
  <c r="AJ536"/>
  <c r="U536"/>
  <c r="AA349"/>
  <c r="AK349"/>
  <c r="T349"/>
  <c r="AJ349"/>
  <c r="U349"/>
  <c r="AA15"/>
  <c r="U15"/>
  <c r="AK15"/>
  <c r="AJ15"/>
  <c r="T15"/>
  <c r="AA716"/>
  <c r="AJ716"/>
  <c r="AK716"/>
  <c r="U716"/>
  <c r="AA964"/>
  <c r="AK964"/>
  <c r="AJ964"/>
  <c r="U964"/>
  <c r="T964"/>
  <c r="AA923"/>
  <c r="AK923"/>
  <c r="U923"/>
  <c r="T923"/>
  <c r="AJ923"/>
  <c r="AA120"/>
  <c r="AK120"/>
  <c r="AJ120"/>
  <c r="U120"/>
  <c r="AA819"/>
  <c r="T819"/>
  <c r="AK819"/>
  <c r="AJ819"/>
  <c r="U819"/>
  <c r="AA958"/>
  <c r="AJ958"/>
  <c r="AK958"/>
  <c r="T958"/>
  <c r="AA413"/>
  <c r="T413"/>
  <c r="AK413"/>
  <c r="AJ413"/>
  <c r="AA711"/>
  <c r="AK711"/>
  <c r="U711"/>
  <c r="AJ711"/>
  <c r="T711"/>
  <c r="AA533"/>
  <c r="AJ533"/>
  <c r="AK533"/>
  <c r="U533"/>
  <c r="AA196"/>
  <c r="AJ196"/>
  <c r="AK196"/>
  <c r="T196"/>
  <c r="AA504"/>
  <c r="U504"/>
  <c r="AK504"/>
  <c r="AJ504"/>
  <c r="AA874"/>
  <c r="T874"/>
  <c r="AK874"/>
  <c r="AJ874"/>
  <c r="U874"/>
  <c r="AA155"/>
  <c r="AK155"/>
  <c r="AJ155"/>
  <c r="U155"/>
  <c r="AA266"/>
  <c r="AK266"/>
  <c r="AJ266"/>
  <c r="T266"/>
  <c r="U266"/>
  <c r="AA815"/>
  <c r="AK815"/>
  <c r="AJ815"/>
  <c r="T815"/>
  <c r="U815"/>
  <c r="AA312"/>
  <c r="U312"/>
  <c r="AK312"/>
  <c r="AJ312"/>
  <c r="AA267"/>
  <c r="AK267"/>
  <c r="AJ267"/>
  <c r="U267"/>
  <c r="AA163"/>
  <c r="AJ163"/>
  <c r="AK163"/>
  <c r="U163"/>
  <c r="T163"/>
  <c r="AA452"/>
  <c r="AJ452"/>
  <c r="T452"/>
  <c r="AK452"/>
  <c r="U452"/>
  <c r="AA680"/>
  <c r="AK680"/>
  <c r="T680"/>
  <c r="AJ680"/>
  <c r="U680"/>
  <c r="AA972"/>
  <c r="AK972"/>
  <c r="AJ972"/>
  <c r="U972"/>
  <c r="T972"/>
  <c r="AA299"/>
  <c r="AK299"/>
  <c r="AJ299"/>
  <c r="T299"/>
  <c r="U299"/>
  <c r="AA225"/>
  <c r="AK225"/>
  <c r="AJ225"/>
  <c r="U225"/>
  <c r="T225"/>
  <c r="AA176"/>
  <c r="U176"/>
  <c r="AK176"/>
  <c r="AJ176"/>
  <c r="AA993"/>
  <c r="AK993"/>
  <c r="T993"/>
  <c r="AJ993"/>
  <c r="AA171"/>
  <c r="AJ171"/>
  <c r="AK171"/>
  <c r="U171"/>
  <c r="T171"/>
  <c r="AA737"/>
  <c r="AK737"/>
  <c r="T737"/>
  <c r="AJ737"/>
  <c r="AA625"/>
  <c r="AK625"/>
  <c r="AJ625"/>
  <c r="T625"/>
  <c r="U625"/>
  <c r="AA735"/>
  <c r="AK735"/>
  <c r="AJ735"/>
  <c r="U735"/>
  <c r="T735"/>
  <c r="AA973"/>
  <c r="U973"/>
  <c r="T973"/>
  <c r="AK973"/>
  <c r="AJ973"/>
  <c r="AA398"/>
  <c r="AJ398"/>
  <c r="AK398"/>
  <c r="U398"/>
  <c r="AA184"/>
  <c r="AJ184"/>
  <c r="AK184"/>
  <c r="U184"/>
  <c r="AA608"/>
  <c r="AK608"/>
  <c r="T608"/>
  <c r="U608"/>
  <c r="AJ608"/>
  <c r="AA109"/>
  <c r="AJ109"/>
  <c r="AK109"/>
  <c r="T109"/>
  <c r="U109"/>
  <c r="AA466"/>
  <c r="AK466"/>
  <c r="U466"/>
  <c r="T466"/>
  <c r="AJ466"/>
  <c r="AA949"/>
  <c r="T949"/>
  <c r="U949"/>
  <c r="AK949"/>
  <c r="AJ949"/>
  <c r="AA939"/>
  <c r="AK939"/>
  <c r="U939"/>
  <c r="AJ939"/>
  <c r="T939"/>
  <c r="U786"/>
  <c r="T798"/>
  <c r="U132"/>
  <c r="T73"/>
  <c r="T267"/>
  <c r="T312"/>
  <c r="T120"/>
  <c r="U613"/>
  <c r="T673"/>
  <c r="U954"/>
  <c r="U410"/>
  <c r="T640"/>
  <c r="U880"/>
  <c r="U413"/>
  <c r="T602"/>
  <c r="T890"/>
  <c r="AA248"/>
  <c r="AK248"/>
  <c r="AJ248"/>
  <c r="U248"/>
  <c r="AA307"/>
  <c r="AJ307"/>
  <c r="AK307"/>
  <c r="U307"/>
  <c r="AA589"/>
  <c r="AK589"/>
  <c r="AJ589"/>
  <c r="T589"/>
  <c r="AA20"/>
  <c r="AJ20"/>
  <c r="AK20"/>
  <c r="T20"/>
  <c r="AA447"/>
  <c r="AK447"/>
  <c r="AJ447"/>
  <c r="U447"/>
  <c r="T447"/>
  <c r="AA787"/>
  <c r="AJ787"/>
  <c r="AK787"/>
  <c r="T787"/>
  <c r="U787"/>
  <c r="AA590"/>
  <c r="AK590"/>
  <c r="AJ590"/>
  <c r="U590"/>
  <c r="T590"/>
  <c r="AA838"/>
  <c r="AK838"/>
  <c r="U838"/>
  <c r="T838"/>
  <c r="AJ838"/>
  <c r="AA371"/>
  <c r="AJ371"/>
  <c r="AK371"/>
  <c r="U371"/>
  <c r="T371"/>
  <c r="AA582"/>
  <c r="AK582"/>
  <c r="U582"/>
  <c r="AJ582"/>
  <c r="T582"/>
  <c r="AA888"/>
  <c r="AK888"/>
  <c r="U888"/>
  <c r="AJ888"/>
  <c r="AA760"/>
  <c r="AJ760"/>
  <c r="AK760"/>
  <c r="U760"/>
  <c r="T760"/>
  <c r="AA863"/>
  <c r="AK863"/>
  <c r="AJ863"/>
  <c r="U863"/>
  <c r="AA246"/>
  <c r="AK246"/>
  <c r="U246"/>
  <c r="T246"/>
  <c r="AJ246"/>
  <c r="AA27"/>
  <c r="AK27"/>
  <c r="AJ27"/>
  <c r="T27"/>
  <c r="AA122"/>
  <c r="T122"/>
  <c r="AJ122"/>
  <c r="AK122"/>
  <c r="U122"/>
  <c r="AA328"/>
  <c r="T328"/>
  <c r="AK328"/>
  <c r="U328"/>
  <c r="AJ328"/>
  <c r="AA359"/>
  <c r="AJ359"/>
  <c r="AK359"/>
  <c r="U359"/>
  <c r="AA220"/>
  <c r="AK220"/>
  <c r="AJ220"/>
  <c r="T220"/>
  <c r="AA334"/>
  <c r="AJ334"/>
  <c r="AK334"/>
  <c r="T334"/>
  <c r="AA560"/>
  <c r="AK560"/>
  <c r="AJ560"/>
  <c r="T560"/>
  <c r="U560"/>
  <c r="AA520"/>
  <c r="U520"/>
  <c r="AK520"/>
  <c r="AJ520"/>
  <c r="AA609"/>
  <c r="T609"/>
  <c r="AK609"/>
  <c r="U609"/>
  <c r="AJ609"/>
  <c r="AA703"/>
  <c r="AJ703"/>
  <c r="AK703"/>
  <c r="U703"/>
  <c r="T703"/>
  <c r="AA911"/>
  <c r="AK911"/>
  <c r="T911"/>
  <c r="U911"/>
  <c r="AJ911"/>
  <c r="AA862"/>
  <c r="AK862"/>
  <c r="AJ862"/>
  <c r="T862"/>
  <c r="AA852"/>
  <c r="AK852"/>
  <c r="U852"/>
  <c r="T852"/>
  <c r="AJ852"/>
  <c r="AA123"/>
  <c r="AK123"/>
  <c r="AJ123"/>
  <c r="U123"/>
  <c r="AA341"/>
  <c r="AK341"/>
  <c r="AJ341"/>
  <c r="U341"/>
  <c r="T341"/>
  <c r="AA308"/>
  <c r="T308"/>
  <c r="AK308"/>
  <c r="AJ308"/>
  <c r="U510"/>
  <c r="AA510"/>
  <c r="T510"/>
  <c r="AJ510"/>
  <c r="AK510"/>
  <c r="AA713"/>
  <c r="AJ713"/>
  <c r="AK713"/>
  <c r="T713"/>
  <c r="AA791"/>
  <c r="AK791"/>
  <c r="U791"/>
  <c r="AJ791"/>
  <c r="T791"/>
  <c r="AA34"/>
  <c r="AK34"/>
  <c r="AJ34"/>
  <c r="U34"/>
  <c r="AA438"/>
  <c r="AK438"/>
  <c r="AJ438"/>
  <c r="U438"/>
  <c r="T438"/>
  <c r="AA424"/>
  <c r="AK424"/>
  <c r="AJ424"/>
  <c r="T424"/>
  <c r="U424"/>
  <c r="AA565"/>
  <c r="AJ565"/>
  <c r="AK565"/>
  <c r="U565"/>
  <c r="T565"/>
  <c r="AA629"/>
  <c r="AK629"/>
  <c r="AJ629"/>
  <c r="T629"/>
  <c r="AA649"/>
  <c r="AK649"/>
  <c r="AJ649"/>
  <c r="T649"/>
  <c r="U649"/>
  <c r="AA988"/>
  <c r="T988"/>
  <c r="AK988"/>
  <c r="AJ988"/>
  <c r="U988"/>
  <c r="AA729"/>
  <c r="AK729"/>
  <c r="T729"/>
  <c r="AJ729"/>
  <c r="AA397"/>
  <c r="AJ397"/>
  <c r="AK397"/>
  <c r="U397"/>
  <c r="AA575"/>
  <c r="AK575"/>
  <c r="AJ575"/>
  <c r="T575"/>
  <c r="AA843"/>
  <c r="AK843"/>
  <c r="AJ843"/>
  <c r="U843"/>
  <c r="AA900"/>
  <c r="T900"/>
  <c r="AJ900"/>
  <c r="AK900"/>
  <c r="AA577"/>
  <c r="AK577"/>
  <c r="AJ577"/>
  <c r="U577"/>
  <c r="T577"/>
  <c r="AA997"/>
  <c r="U997"/>
  <c r="AK997"/>
  <c r="T997"/>
  <c r="AJ997"/>
  <c r="AA42"/>
  <c r="AK42"/>
  <c r="AJ42"/>
  <c r="U42"/>
  <c r="AA249"/>
  <c r="AJ249"/>
  <c r="AK249"/>
  <c r="U249"/>
  <c r="T249"/>
  <c r="AA496"/>
  <c r="U496"/>
  <c r="AK496"/>
  <c r="AJ496"/>
  <c r="T496"/>
  <c r="AA813"/>
  <c r="AJ813"/>
  <c r="U813"/>
  <c r="AK813"/>
  <c r="T813"/>
  <c r="AA548"/>
  <c r="AK548"/>
  <c r="AJ548"/>
  <c r="U548"/>
  <c r="T548"/>
  <c r="AA970"/>
  <c r="T970"/>
  <c r="U970"/>
  <c r="AK970"/>
  <c r="AJ970"/>
  <c r="AA16"/>
  <c r="AJ16"/>
  <c r="AK16"/>
  <c r="T16"/>
  <c r="AA200"/>
  <c r="AJ200"/>
  <c r="AK200"/>
  <c r="T200"/>
  <c r="U200"/>
  <c r="AA17"/>
  <c r="AK17"/>
  <c r="AJ17"/>
  <c r="U17"/>
  <c r="AA152"/>
  <c r="AJ152"/>
  <c r="AK152"/>
  <c r="U152"/>
  <c r="AA544"/>
  <c r="AK544"/>
  <c r="T544"/>
  <c r="U544"/>
  <c r="AJ544"/>
  <c r="AA378"/>
  <c r="AK378"/>
  <c r="AJ378"/>
  <c r="T378"/>
  <c r="U378"/>
  <c r="AA499"/>
  <c r="AK499"/>
  <c r="U499"/>
  <c r="T499"/>
  <c r="AJ499"/>
  <c r="AA485"/>
  <c r="AJ485"/>
  <c r="AK485"/>
  <c r="U485"/>
  <c r="AA893"/>
  <c r="AK893"/>
  <c r="AJ893"/>
  <c r="U893"/>
  <c r="T893"/>
  <c r="AA749"/>
  <c r="AK749"/>
  <c r="AJ749"/>
  <c r="T749"/>
  <c r="U749"/>
  <c r="AA87"/>
  <c r="T87"/>
  <c r="AK87"/>
  <c r="AJ87"/>
  <c r="U87"/>
  <c r="AA90"/>
  <c r="AK90"/>
  <c r="AJ90"/>
  <c r="T90"/>
  <c r="U90"/>
  <c r="AA77"/>
  <c r="AJ77"/>
  <c r="AK77"/>
  <c r="U77"/>
  <c r="T77"/>
  <c r="AA134"/>
  <c r="AK134"/>
  <c r="AJ134"/>
  <c r="T134"/>
  <c r="U134"/>
  <c r="AA240"/>
  <c r="AK240"/>
  <c r="AJ240"/>
  <c r="U240"/>
  <c r="T240"/>
  <c r="AK270"/>
  <c r="AJ270"/>
  <c r="AA270"/>
  <c r="T270"/>
  <c r="U270"/>
  <c r="AA353"/>
  <c r="AJ353"/>
  <c r="AK353"/>
  <c r="T353"/>
  <c r="U353"/>
  <c r="AA342"/>
  <c r="AK342"/>
  <c r="AJ342"/>
  <c r="U342"/>
  <c r="AA372"/>
  <c r="AK372"/>
  <c r="AJ372"/>
  <c r="T372"/>
  <c r="AA570"/>
  <c r="AJ570"/>
  <c r="AK570"/>
  <c r="U570"/>
  <c r="AA567"/>
  <c r="T567"/>
  <c r="AK567"/>
  <c r="AJ567"/>
  <c r="U567"/>
  <c r="AA628"/>
  <c r="AK628"/>
  <c r="AJ628"/>
  <c r="U628"/>
  <c r="T628"/>
  <c r="AA562"/>
  <c r="AK562"/>
  <c r="T562"/>
  <c r="U562"/>
  <c r="AJ562"/>
  <c r="AA694"/>
  <c r="AK694"/>
  <c r="AJ694"/>
  <c r="T694"/>
  <c r="U694"/>
  <c r="AA646"/>
  <c r="AK646"/>
  <c r="AJ646"/>
  <c r="U646"/>
  <c r="T646"/>
  <c r="AA704"/>
  <c r="AK704"/>
  <c r="AJ704"/>
  <c r="T704"/>
  <c r="U704"/>
  <c r="AA790"/>
  <c r="AK790"/>
  <c r="U790"/>
  <c r="AJ790"/>
  <c r="AA783"/>
  <c r="AK783"/>
  <c r="U783"/>
  <c r="AJ783"/>
  <c r="T783"/>
  <c r="AA860"/>
  <c r="AK860"/>
  <c r="U860"/>
  <c r="AJ860"/>
  <c r="T860"/>
  <c r="AA980"/>
  <c r="T980"/>
  <c r="AK980"/>
  <c r="U980"/>
  <c r="AJ980"/>
  <c r="AA13"/>
  <c r="AK13"/>
  <c r="U13"/>
  <c r="AJ13"/>
  <c r="T13"/>
  <c r="AA67"/>
  <c r="AK67"/>
  <c r="AJ67"/>
  <c r="U67"/>
  <c r="T67"/>
  <c r="AA135"/>
  <c r="AK135"/>
  <c r="AJ135"/>
  <c r="T135"/>
  <c r="AA399"/>
  <c r="AK399"/>
  <c r="AJ399"/>
  <c r="T399"/>
  <c r="U399"/>
  <c r="AA340"/>
  <c r="AK340"/>
  <c r="AJ340"/>
  <c r="U340"/>
  <c r="AA442"/>
  <c r="T442"/>
  <c r="AK442"/>
  <c r="AJ442"/>
  <c r="AA606"/>
  <c r="AJ606"/>
  <c r="AK606"/>
  <c r="U606"/>
  <c r="T606"/>
  <c r="AA881"/>
  <c r="AK881"/>
  <c r="AJ881"/>
  <c r="U881"/>
  <c r="T881"/>
  <c r="AA66"/>
  <c r="T66"/>
  <c r="AJ66"/>
  <c r="U66"/>
  <c r="AK66"/>
  <c r="AA173"/>
  <c r="AJ173"/>
  <c r="AK173"/>
  <c r="U173"/>
  <c r="T173"/>
  <c r="AA462"/>
  <c r="T462"/>
  <c r="AJ462"/>
  <c r="AK462"/>
  <c r="U462"/>
  <c r="AA506"/>
  <c r="AJ506"/>
  <c r="AK506"/>
  <c r="T506"/>
  <c r="AA750"/>
  <c r="T750"/>
  <c r="AK750"/>
  <c r="AJ750"/>
  <c r="U750"/>
  <c r="AA829"/>
  <c r="AJ829"/>
  <c r="AK829"/>
  <c r="T829"/>
  <c r="AA30"/>
  <c r="AJ30"/>
  <c r="AK30"/>
  <c r="U30"/>
  <c r="T30"/>
  <c r="AA796"/>
  <c r="AK796"/>
  <c r="AJ796"/>
  <c r="T796"/>
  <c r="AA360"/>
  <c r="AK360"/>
  <c r="AJ360"/>
  <c r="U360"/>
  <c r="T360"/>
  <c r="AA774"/>
  <c r="AK774"/>
  <c r="AJ774"/>
  <c r="T774"/>
  <c r="U774"/>
  <c r="AA493"/>
  <c r="AK493"/>
  <c r="AJ493"/>
  <c r="U493"/>
  <c r="T493"/>
  <c r="AA620"/>
  <c r="AK620"/>
  <c r="AJ620"/>
  <c r="T620"/>
  <c r="U620"/>
  <c r="AA61"/>
  <c r="AK61"/>
  <c r="AJ61"/>
  <c r="U61"/>
  <c r="T61"/>
  <c r="AA444"/>
  <c r="AK444"/>
  <c r="AJ444"/>
  <c r="T444"/>
  <c r="U444"/>
  <c r="AA895"/>
  <c r="U895"/>
  <c r="AK895"/>
  <c r="AJ895"/>
  <c r="AA623"/>
  <c r="AK623"/>
  <c r="AJ623"/>
  <c r="T623"/>
  <c r="AA734"/>
  <c r="AK734"/>
  <c r="T734"/>
  <c r="AJ734"/>
  <c r="U734"/>
  <c r="AA846"/>
  <c r="U846"/>
  <c r="AK846"/>
  <c r="AJ846"/>
  <c r="T846"/>
  <c r="AA886"/>
  <c r="AJ886"/>
  <c r="AK886"/>
  <c r="T886"/>
  <c r="AA138"/>
  <c r="AK138"/>
  <c r="AJ138"/>
  <c r="T138"/>
  <c r="U138"/>
  <c r="AA25"/>
  <c r="U25"/>
  <c r="AK25"/>
  <c r="AJ25"/>
  <c r="AA62"/>
  <c r="AJ62"/>
  <c r="AK62"/>
  <c r="T62"/>
  <c r="U62"/>
  <c r="AA347"/>
  <c r="AK347"/>
  <c r="AJ347"/>
  <c r="U347"/>
  <c r="AA614"/>
  <c r="AK614"/>
  <c r="AJ614"/>
  <c r="T614"/>
  <c r="U614"/>
  <c r="AA423"/>
  <c r="AK423"/>
  <c r="U423"/>
  <c r="T423"/>
  <c r="AJ423"/>
  <c r="AA412"/>
  <c r="AK412"/>
  <c r="AJ412"/>
  <c r="T412"/>
  <c r="U412"/>
  <c r="AA386"/>
  <c r="T386"/>
  <c r="U386"/>
  <c r="AK386"/>
  <c r="AJ386"/>
  <c r="AA568"/>
  <c r="AK568"/>
  <c r="AJ568"/>
  <c r="T568"/>
  <c r="U568"/>
  <c r="AA367"/>
  <c r="AK367"/>
  <c r="AJ367"/>
  <c r="U367"/>
  <c r="AA780"/>
  <c r="U780"/>
  <c r="AK780"/>
  <c r="AJ780"/>
  <c r="AA986"/>
  <c r="AK986"/>
  <c r="AJ986"/>
  <c r="T986"/>
  <c r="U986"/>
  <c r="T930"/>
</calcChain>
</file>

<file path=xl/sharedStrings.xml><?xml version="1.0" encoding="utf-8"?>
<sst xmlns="http://schemas.openxmlformats.org/spreadsheetml/2006/main" count="1682" uniqueCount="1084">
  <si>
    <t>Lft. Nr.</t>
  </si>
  <si>
    <t>Übertrack
Master Mechanics</t>
  </si>
  <si>
    <t>Angebots Nr.</t>
  </si>
  <si>
    <t>Bearbeitungsprozess</t>
  </si>
  <si>
    <t>Stücklistenebene</t>
  </si>
  <si>
    <t>Artikelnummer</t>
  </si>
  <si>
    <t xml:space="preserve">Artikelbezeichnunge </t>
  </si>
  <si>
    <t>Fertigungsmenge</t>
  </si>
  <si>
    <t>Abrufmenge</t>
  </si>
  <si>
    <t>Währung</t>
  </si>
  <si>
    <t>Mengeneinheit</t>
  </si>
  <si>
    <t>Vergleichsumsatz</t>
  </si>
  <si>
    <t>Vergleichslieferant</t>
  </si>
  <si>
    <t>Vergleichspreis</t>
  </si>
  <si>
    <t>RFQ-Input</t>
  </si>
  <si>
    <t>Nettopreis
[Währung/Einheit]</t>
  </si>
  <si>
    <t>NRC-Kosten
[Einmalkosten]</t>
  </si>
  <si>
    <t>Kosten</t>
  </si>
  <si>
    <t>Lieferant 1</t>
  </si>
  <si>
    <t>Lieferant 2</t>
  </si>
  <si>
    <t>Lieferant 3</t>
  </si>
  <si>
    <t>Lieferant 4</t>
  </si>
  <si>
    <t>RFQ001</t>
  </si>
  <si>
    <t>Lieferantenauswahl</t>
  </si>
  <si>
    <t>Bestellnummer</t>
  </si>
  <si>
    <t>Bestellmenge</t>
  </si>
  <si>
    <t>Preis</t>
  </si>
  <si>
    <t>1. Bestpreis</t>
  </si>
  <si>
    <t>1. Bestpreis
Lieferant</t>
  </si>
  <si>
    <t>2. Bestpreis</t>
  </si>
  <si>
    <t>2. Bestpreis
Lieferant</t>
  </si>
  <si>
    <t>3. Bestpreis</t>
  </si>
  <si>
    <t>3. Bestpreis
Lieferant</t>
  </si>
  <si>
    <t>Nr.</t>
  </si>
  <si>
    <t>Lieferant</t>
  </si>
  <si>
    <t>Bemerkung</t>
  </si>
  <si>
    <t>reserviert für Vergleichspreis</t>
  </si>
  <si>
    <t>St</t>
  </si>
  <si>
    <t>EUR</t>
  </si>
  <si>
    <t>Angebotspreis
Lieferantenauswahl</t>
  </si>
  <si>
    <t>Volumenabweichung
zum Vergleichspreis</t>
  </si>
  <si>
    <t>Volumenabweichung
zum Bestpreis</t>
  </si>
  <si>
    <t>Zielpreis</t>
  </si>
  <si>
    <t>Abw. zum Bestpreis
in %</t>
  </si>
  <si>
    <t>Analyse
Lieferantenspezifisch</t>
  </si>
  <si>
    <t>1. Bestpreis-
Anbieter</t>
  </si>
  <si>
    <t>max. Savings</t>
  </si>
  <si>
    <t>Bestpreis/
Max. Savings</t>
  </si>
  <si>
    <t>Anfragemenge</t>
  </si>
  <si>
    <t>Preis
Serie</t>
  </si>
  <si>
    <t>Abw. zum Vergleichspreis
in %</t>
  </si>
  <si>
    <t>Vertragsmenge/
Anfragemenge</t>
  </si>
  <si>
    <t>RFQ</t>
  </si>
  <si>
    <t>RFQ versendet
von:</t>
  </si>
  <si>
    <t>RFQ versendet
am:</t>
  </si>
  <si>
    <t>Abgabefrist</t>
  </si>
  <si>
    <t>Status</t>
  </si>
  <si>
    <t>x</t>
  </si>
  <si>
    <t>Angefragt</t>
  </si>
  <si>
    <t>RFQ002</t>
  </si>
  <si>
    <t>RFQ003</t>
  </si>
  <si>
    <t>RFQ004</t>
  </si>
  <si>
    <t>RFQ005</t>
  </si>
  <si>
    <t>RFQ006</t>
  </si>
  <si>
    <t>RFQ007</t>
  </si>
  <si>
    <t>RFQ008</t>
  </si>
  <si>
    <t>RFQ Nr.</t>
  </si>
  <si>
    <t>RFQ009</t>
  </si>
  <si>
    <t>RFQ010</t>
  </si>
  <si>
    <t>RFQ011</t>
  </si>
  <si>
    <t>RFQ012</t>
  </si>
  <si>
    <t>RFQ013</t>
  </si>
  <si>
    <t>RFQ014</t>
  </si>
  <si>
    <t>RFQ015</t>
  </si>
  <si>
    <t>RFQ016</t>
  </si>
  <si>
    <t>RFQ017</t>
  </si>
  <si>
    <t>RFQ018</t>
  </si>
  <si>
    <t>RFQ019</t>
  </si>
  <si>
    <t>RFQ020</t>
  </si>
  <si>
    <t>RFQ021</t>
  </si>
  <si>
    <t>RFQ022</t>
  </si>
  <si>
    <t>RFQ023</t>
  </si>
  <si>
    <t>RFQ024</t>
  </si>
  <si>
    <t>RFQ025</t>
  </si>
  <si>
    <t>RFQ026</t>
  </si>
  <si>
    <t>RFQ027</t>
  </si>
  <si>
    <t>RFQ028</t>
  </si>
  <si>
    <t>RFQ029</t>
  </si>
  <si>
    <t>RFQ030</t>
  </si>
  <si>
    <t>RFQ031</t>
  </si>
  <si>
    <t>RFQ032</t>
  </si>
  <si>
    <t>RFQ033</t>
  </si>
  <si>
    <t>RFQ034</t>
  </si>
  <si>
    <t>RFQ035</t>
  </si>
  <si>
    <t>RFQ036</t>
  </si>
  <si>
    <t>RFQ037</t>
  </si>
  <si>
    <t>RFQ038</t>
  </si>
  <si>
    <t>RFQ039</t>
  </si>
  <si>
    <t>RFQ040</t>
  </si>
  <si>
    <t>RFQ041</t>
  </si>
  <si>
    <t>RFQ042</t>
  </si>
  <si>
    <t>RFQ043</t>
  </si>
  <si>
    <t>RFQ044</t>
  </si>
  <si>
    <t>RFQ045</t>
  </si>
  <si>
    <t>RFQ046</t>
  </si>
  <si>
    <t>RFQ047</t>
  </si>
  <si>
    <t>RFQ048</t>
  </si>
  <si>
    <t>RFQ049</t>
  </si>
  <si>
    <t>RFQ050</t>
  </si>
  <si>
    <t>RFQ051</t>
  </si>
  <si>
    <t>RFQ052</t>
  </si>
  <si>
    <t>RFQ053</t>
  </si>
  <si>
    <t>RFQ054</t>
  </si>
  <si>
    <t>RFQ055</t>
  </si>
  <si>
    <t>RFQ056</t>
  </si>
  <si>
    <t>RFQ057</t>
  </si>
  <si>
    <t>RFQ058</t>
  </si>
  <si>
    <t>RFQ059</t>
  </si>
  <si>
    <t>RFQ060</t>
  </si>
  <si>
    <t>RFQ061</t>
  </si>
  <si>
    <t>RFQ062</t>
  </si>
  <si>
    <t>RFQ063</t>
  </si>
  <si>
    <t>RFQ064</t>
  </si>
  <si>
    <t>RFQ065</t>
  </si>
  <si>
    <t>RFQ066</t>
  </si>
  <si>
    <t>RFQ067</t>
  </si>
  <si>
    <t>RFQ068</t>
  </si>
  <si>
    <t>RFQ069</t>
  </si>
  <si>
    <t>RFQ070</t>
  </si>
  <si>
    <t>RFQ071</t>
  </si>
  <si>
    <t>RFQ072</t>
  </si>
  <si>
    <t>RFQ073</t>
  </si>
  <si>
    <t>RFQ074</t>
  </si>
  <si>
    <t>RFQ075</t>
  </si>
  <si>
    <t>RFQ076</t>
  </si>
  <si>
    <t>RFQ077</t>
  </si>
  <si>
    <t>RFQ078</t>
  </si>
  <si>
    <t>RFQ079</t>
  </si>
  <si>
    <t>RFQ080</t>
  </si>
  <si>
    <t>RFQ081</t>
  </si>
  <si>
    <t>RFQ082</t>
  </si>
  <si>
    <t>RFQ083</t>
  </si>
  <si>
    <t>RFQ084</t>
  </si>
  <si>
    <t>RFQ085</t>
  </si>
  <si>
    <t>RFQ086</t>
  </si>
  <si>
    <t>RFQ087</t>
  </si>
  <si>
    <t>RFQ088</t>
  </si>
  <si>
    <t>RFQ089</t>
  </si>
  <si>
    <t>RFQ090</t>
  </si>
  <si>
    <t>RFQ091</t>
  </si>
  <si>
    <t>RFQ092</t>
  </si>
  <si>
    <t>RFQ093</t>
  </si>
  <si>
    <t>RFQ094</t>
  </si>
  <si>
    <t>RFQ095</t>
  </si>
  <si>
    <t>RFQ096</t>
  </si>
  <si>
    <t>RFQ097</t>
  </si>
  <si>
    <t>RFQ098</t>
  </si>
  <si>
    <t>RFQ099</t>
  </si>
  <si>
    <t>RFQ100</t>
  </si>
  <si>
    <t>RFQ101</t>
  </si>
  <si>
    <t>RFQ102</t>
  </si>
  <si>
    <t>RFQ103</t>
  </si>
  <si>
    <t>RFQ104</t>
  </si>
  <si>
    <t>RFQ105</t>
  </si>
  <si>
    <t>RFQ106</t>
  </si>
  <si>
    <t>RFQ107</t>
  </si>
  <si>
    <t>RFQ108</t>
  </si>
  <si>
    <t>RFQ109</t>
  </si>
  <si>
    <t>RFQ110</t>
  </si>
  <si>
    <t>RFQ111</t>
  </si>
  <si>
    <t>RFQ112</t>
  </si>
  <si>
    <t>RFQ113</t>
  </si>
  <si>
    <t>RFQ114</t>
  </si>
  <si>
    <t>RFQ115</t>
  </si>
  <si>
    <t>RFQ116</t>
  </si>
  <si>
    <t>RFQ117</t>
  </si>
  <si>
    <t>RFQ118</t>
  </si>
  <si>
    <t>RFQ119</t>
  </si>
  <si>
    <t>RFQ120</t>
  </si>
  <si>
    <t>RFQ121</t>
  </si>
  <si>
    <t>RFQ122</t>
  </si>
  <si>
    <t>RFQ123</t>
  </si>
  <si>
    <t>RFQ124</t>
  </si>
  <si>
    <t>RFQ125</t>
  </si>
  <si>
    <t>RFQ126</t>
  </si>
  <si>
    <t>RFQ127</t>
  </si>
  <si>
    <t>RFQ128</t>
  </si>
  <si>
    <t>RFQ129</t>
  </si>
  <si>
    <t>RFQ130</t>
  </si>
  <si>
    <t>RFQ131</t>
  </si>
  <si>
    <t>RFQ132</t>
  </si>
  <si>
    <t>RFQ133</t>
  </si>
  <si>
    <t>RFQ134</t>
  </si>
  <si>
    <t>RFQ135</t>
  </si>
  <si>
    <t>RFQ136</t>
  </si>
  <si>
    <t>RFQ137</t>
  </si>
  <si>
    <t>RFQ138</t>
  </si>
  <si>
    <t>RFQ139</t>
  </si>
  <si>
    <t>RFQ140</t>
  </si>
  <si>
    <t>RFQ141</t>
  </si>
  <si>
    <t>RFQ142</t>
  </si>
  <si>
    <t>RFQ143</t>
  </si>
  <si>
    <t>RFQ144</t>
  </si>
  <si>
    <t>RFQ145</t>
  </si>
  <si>
    <t>RFQ146</t>
  </si>
  <si>
    <t>RFQ147</t>
  </si>
  <si>
    <t>RFQ148</t>
  </si>
  <si>
    <t>RFQ149</t>
  </si>
  <si>
    <t>RFQ150</t>
  </si>
  <si>
    <t>RFQ151</t>
  </si>
  <si>
    <t>RFQ152</t>
  </si>
  <si>
    <t>RFQ153</t>
  </si>
  <si>
    <t>RFQ154</t>
  </si>
  <si>
    <t>RFQ155</t>
  </si>
  <si>
    <t>RFQ156</t>
  </si>
  <si>
    <t>RFQ157</t>
  </si>
  <si>
    <t>RFQ158</t>
  </si>
  <si>
    <t>RFQ159</t>
  </si>
  <si>
    <t>RFQ160</t>
  </si>
  <si>
    <t>RFQ161</t>
  </si>
  <si>
    <t>RFQ162</t>
  </si>
  <si>
    <t>RFQ163</t>
  </si>
  <si>
    <t>RFQ164</t>
  </si>
  <si>
    <t>RFQ165</t>
  </si>
  <si>
    <t>RFQ166</t>
  </si>
  <si>
    <t>RFQ167</t>
  </si>
  <si>
    <t>RFQ168</t>
  </si>
  <si>
    <t>RFQ169</t>
  </si>
  <si>
    <t>RFQ170</t>
  </si>
  <si>
    <t>RFQ171</t>
  </si>
  <si>
    <t>RFQ172</t>
  </si>
  <si>
    <t>RFQ173</t>
  </si>
  <si>
    <t>RFQ174</t>
  </si>
  <si>
    <t>RFQ175</t>
  </si>
  <si>
    <t>RFQ176</t>
  </si>
  <si>
    <t>RFQ177</t>
  </si>
  <si>
    <t>RFQ178</t>
  </si>
  <si>
    <t>RFQ179</t>
  </si>
  <si>
    <t>RFQ180</t>
  </si>
  <si>
    <t>RFQ181</t>
  </si>
  <si>
    <t>RFQ182</t>
  </si>
  <si>
    <t>RFQ183</t>
  </si>
  <si>
    <t>RFQ184</t>
  </si>
  <si>
    <t>RFQ185</t>
  </si>
  <si>
    <t>RFQ186</t>
  </si>
  <si>
    <t>RFQ187</t>
  </si>
  <si>
    <t>RFQ188</t>
  </si>
  <si>
    <t>RFQ189</t>
  </si>
  <si>
    <t>RFQ190</t>
  </si>
  <si>
    <t>RFQ191</t>
  </si>
  <si>
    <t>RFQ192</t>
  </si>
  <si>
    <t>RFQ193</t>
  </si>
  <si>
    <t>RFQ194</t>
  </si>
  <si>
    <t>RFQ195</t>
  </si>
  <si>
    <t>RFQ196</t>
  </si>
  <si>
    <t>RFQ197</t>
  </si>
  <si>
    <t>RFQ198</t>
  </si>
  <si>
    <t>RFQ199</t>
  </si>
  <si>
    <t>RFQ200</t>
  </si>
  <si>
    <t>RFQ201</t>
  </si>
  <si>
    <t>RFQ202</t>
  </si>
  <si>
    <t>RFQ203</t>
  </si>
  <si>
    <t>RFQ204</t>
  </si>
  <si>
    <t>RFQ205</t>
  </si>
  <si>
    <t>RFQ206</t>
  </si>
  <si>
    <t>RFQ207</t>
  </si>
  <si>
    <t>RFQ208</t>
  </si>
  <si>
    <t>RFQ209</t>
  </si>
  <si>
    <t>RFQ210</t>
  </si>
  <si>
    <t>RFQ211</t>
  </si>
  <si>
    <t>RFQ212</t>
  </si>
  <si>
    <t>RFQ213</t>
  </si>
  <si>
    <t>RFQ214</t>
  </si>
  <si>
    <t>RFQ215</t>
  </si>
  <si>
    <t>RFQ216</t>
  </si>
  <si>
    <t>RFQ217</t>
  </si>
  <si>
    <t>RFQ218</t>
  </si>
  <si>
    <t>RFQ219</t>
  </si>
  <si>
    <t>RFQ220</t>
  </si>
  <si>
    <t>RFQ221</t>
  </si>
  <si>
    <t>RFQ222</t>
  </si>
  <si>
    <t>RFQ223</t>
  </si>
  <si>
    <t>RFQ224</t>
  </si>
  <si>
    <t>RFQ225</t>
  </si>
  <si>
    <t>RFQ226</t>
  </si>
  <si>
    <t>RFQ227</t>
  </si>
  <si>
    <t>RFQ228</t>
  </si>
  <si>
    <t>RFQ229</t>
  </si>
  <si>
    <t>RFQ230</t>
  </si>
  <si>
    <t>RFQ231</t>
  </si>
  <si>
    <t>RFQ232</t>
  </si>
  <si>
    <t>RFQ233</t>
  </si>
  <si>
    <t>RFQ234</t>
  </si>
  <si>
    <t>RFQ235</t>
  </si>
  <si>
    <t>RFQ236</t>
  </si>
  <si>
    <t>RFQ237</t>
  </si>
  <si>
    <t>RFQ238</t>
  </si>
  <si>
    <t>RFQ239</t>
  </si>
  <si>
    <t>RFQ240</t>
  </si>
  <si>
    <t>RFQ241</t>
  </si>
  <si>
    <t>RFQ242</t>
  </si>
  <si>
    <t>RFQ243</t>
  </si>
  <si>
    <t>RFQ244</t>
  </si>
  <si>
    <t>RFQ245</t>
  </si>
  <si>
    <t>RFQ246</t>
  </si>
  <si>
    <t>RFQ247</t>
  </si>
  <si>
    <t>RFQ248</t>
  </si>
  <si>
    <t>RFQ249</t>
  </si>
  <si>
    <t>RFQ250</t>
  </si>
  <si>
    <t>RFQ251</t>
  </si>
  <si>
    <t>RFQ252</t>
  </si>
  <si>
    <t>RFQ253</t>
  </si>
  <si>
    <t>RFQ254</t>
  </si>
  <si>
    <t>RFQ255</t>
  </si>
  <si>
    <t>RFQ256</t>
  </si>
  <si>
    <t>RFQ257</t>
  </si>
  <si>
    <t>RFQ258</t>
  </si>
  <si>
    <t>RFQ259</t>
  </si>
  <si>
    <t>RFQ260</t>
  </si>
  <si>
    <t>RFQ261</t>
  </si>
  <si>
    <t>RFQ262</t>
  </si>
  <si>
    <t>RFQ263</t>
  </si>
  <si>
    <t>RFQ264</t>
  </si>
  <si>
    <t>RFQ265</t>
  </si>
  <si>
    <t>RFQ266</t>
  </si>
  <si>
    <t>RFQ267</t>
  </si>
  <si>
    <t>RFQ268</t>
  </si>
  <si>
    <t>RFQ269</t>
  </si>
  <si>
    <t>RFQ270</t>
  </si>
  <si>
    <t>RFQ271</t>
  </si>
  <si>
    <t>RFQ272</t>
  </si>
  <si>
    <t>RFQ273</t>
  </si>
  <si>
    <t>RFQ274</t>
  </si>
  <si>
    <t>RFQ275</t>
  </si>
  <si>
    <t>RFQ276</t>
  </si>
  <si>
    <t>RFQ277</t>
  </si>
  <si>
    <t>RFQ278</t>
  </si>
  <si>
    <t>RFQ279</t>
  </si>
  <si>
    <t>RFQ280</t>
  </si>
  <si>
    <t>RFQ281</t>
  </si>
  <si>
    <t>RFQ282</t>
  </si>
  <si>
    <t>RFQ283</t>
  </si>
  <si>
    <t>RFQ284</t>
  </si>
  <si>
    <t>RFQ285</t>
  </si>
  <si>
    <t>RFQ286</t>
  </si>
  <si>
    <t>RFQ287</t>
  </si>
  <si>
    <t>RFQ288</t>
  </si>
  <si>
    <t>RFQ289</t>
  </si>
  <si>
    <t>RFQ290</t>
  </si>
  <si>
    <t>RFQ291</t>
  </si>
  <si>
    <t>RFQ292</t>
  </si>
  <si>
    <t>RFQ293</t>
  </si>
  <si>
    <t>RFQ294</t>
  </si>
  <si>
    <t>RFQ295</t>
  </si>
  <si>
    <t>RFQ296</t>
  </si>
  <si>
    <t>RFQ297</t>
  </si>
  <si>
    <t>RFQ298</t>
  </si>
  <si>
    <t>RFQ299</t>
  </si>
  <si>
    <t>RFQ300</t>
  </si>
  <si>
    <t>RFQ301</t>
  </si>
  <si>
    <t>RFQ302</t>
  </si>
  <si>
    <t>RFQ303</t>
  </si>
  <si>
    <t>RFQ304</t>
  </si>
  <si>
    <t>RFQ305</t>
  </si>
  <si>
    <t>RFQ306</t>
  </si>
  <si>
    <t>RFQ307</t>
  </si>
  <si>
    <t>RFQ308</t>
  </si>
  <si>
    <t>RFQ309</t>
  </si>
  <si>
    <t>RFQ310</t>
  </si>
  <si>
    <t>RFQ311</t>
  </si>
  <si>
    <t>RFQ312</t>
  </si>
  <si>
    <t>RFQ313</t>
  </si>
  <si>
    <t>RFQ314</t>
  </si>
  <si>
    <t>RFQ315</t>
  </si>
  <si>
    <t>RFQ316</t>
  </si>
  <si>
    <t>RFQ317</t>
  </si>
  <si>
    <t>RFQ318</t>
  </si>
  <si>
    <t>RFQ319</t>
  </si>
  <si>
    <t>RFQ320</t>
  </si>
  <si>
    <t>RFQ321</t>
  </si>
  <si>
    <t>RFQ322</t>
  </si>
  <si>
    <t>RFQ323</t>
  </si>
  <si>
    <t>RFQ324</t>
  </si>
  <si>
    <t>RFQ325</t>
  </si>
  <si>
    <t>RFQ326</t>
  </si>
  <si>
    <t>RFQ327</t>
  </si>
  <si>
    <t>RFQ328</t>
  </si>
  <si>
    <t>RFQ329</t>
  </si>
  <si>
    <t>RFQ330</t>
  </si>
  <si>
    <t>RFQ331</t>
  </si>
  <si>
    <t>RFQ332</t>
  </si>
  <si>
    <t>RFQ333</t>
  </si>
  <si>
    <t>RFQ334</t>
  </si>
  <si>
    <t>RFQ335</t>
  </si>
  <si>
    <t>RFQ336</t>
  </si>
  <si>
    <t>RFQ337</t>
  </si>
  <si>
    <t>RFQ338</t>
  </si>
  <si>
    <t>RFQ339</t>
  </si>
  <si>
    <t>RFQ340</t>
  </si>
  <si>
    <t>RFQ341</t>
  </si>
  <si>
    <t>RFQ342</t>
  </si>
  <si>
    <t>RFQ343</t>
  </si>
  <si>
    <t>RFQ344</t>
  </si>
  <si>
    <t>RFQ345</t>
  </si>
  <si>
    <t>RFQ346</t>
  </si>
  <si>
    <t>RFQ347</t>
  </si>
  <si>
    <t>RFQ348</t>
  </si>
  <si>
    <t>RFQ349</t>
  </si>
  <si>
    <t>RFQ350</t>
  </si>
  <si>
    <t>RFQ351</t>
  </si>
  <si>
    <t>RFQ352</t>
  </si>
  <si>
    <t>RFQ353</t>
  </si>
  <si>
    <t>RFQ354</t>
  </si>
  <si>
    <t>RFQ355</t>
  </si>
  <si>
    <t>RFQ356</t>
  </si>
  <si>
    <t>RFQ357</t>
  </si>
  <si>
    <t>RFQ358</t>
  </si>
  <si>
    <t>RFQ359</t>
  </si>
  <si>
    <t>RFQ360</t>
  </si>
  <si>
    <t>RFQ361</t>
  </si>
  <si>
    <t>RFQ362</t>
  </si>
  <si>
    <t>RFQ363</t>
  </si>
  <si>
    <t>RFQ364</t>
  </si>
  <si>
    <t>RFQ365</t>
  </si>
  <si>
    <t>RFQ366</t>
  </si>
  <si>
    <t>RFQ367</t>
  </si>
  <si>
    <t>RFQ368</t>
  </si>
  <si>
    <t>RFQ369</t>
  </si>
  <si>
    <t>RFQ370</t>
  </si>
  <si>
    <t>RFQ371</t>
  </si>
  <si>
    <t>RFQ372</t>
  </si>
  <si>
    <t>RFQ373</t>
  </si>
  <si>
    <t>RFQ374</t>
  </si>
  <si>
    <t>RFQ375</t>
  </si>
  <si>
    <t>RFQ376</t>
  </si>
  <si>
    <t>RFQ377</t>
  </si>
  <si>
    <t>RFQ378</t>
  </si>
  <si>
    <t>RFQ379</t>
  </si>
  <si>
    <t>RFQ380</t>
  </si>
  <si>
    <t>RFQ381</t>
  </si>
  <si>
    <t>RFQ382</t>
  </si>
  <si>
    <t>RFQ383</t>
  </si>
  <si>
    <t>RFQ384</t>
  </si>
  <si>
    <t>RFQ385</t>
  </si>
  <si>
    <t>RFQ386</t>
  </si>
  <si>
    <t>RFQ387</t>
  </si>
  <si>
    <t>RFQ388</t>
  </si>
  <si>
    <t>RFQ389</t>
  </si>
  <si>
    <t>RFQ390</t>
  </si>
  <si>
    <t>RFQ391</t>
  </si>
  <si>
    <t>RFQ392</t>
  </si>
  <si>
    <t>RFQ393</t>
  </si>
  <si>
    <t>RFQ394</t>
  </si>
  <si>
    <t>RFQ395</t>
  </si>
  <si>
    <t>RFQ396</t>
  </si>
  <si>
    <t>RFQ397</t>
  </si>
  <si>
    <t>RFQ398</t>
  </si>
  <si>
    <t>RFQ399</t>
  </si>
  <si>
    <t>RFQ400</t>
  </si>
  <si>
    <t>RFQ401</t>
  </si>
  <si>
    <t>RFQ402</t>
  </si>
  <si>
    <t>RFQ403</t>
  </si>
  <si>
    <t>RFQ404</t>
  </si>
  <si>
    <t>RFQ405</t>
  </si>
  <si>
    <t>RFQ406</t>
  </si>
  <si>
    <t>RFQ407</t>
  </si>
  <si>
    <t>RFQ408</t>
  </si>
  <si>
    <t>RFQ409</t>
  </si>
  <si>
    <t>RFQ410</t>
  </si>
  <si>
    <t>RFQ411</t>
  </si>
  <si>
    <t>RFQ412</t>
  </si>
  <si>
    <t>RFQ413</t>
  </si>
  <si>
    <t>RFQ414</t>
  </si>
  <si>
    <t>RFQ415</t>
  </si>
  <si>
    <t>RFQ416</t>
  </si>
  <si>
    <t>RFQ417</t>
  </si>
  <si>
    <t>RFQ418</t>
  </si>
  <si>
    <t>RFQ419</t>
  </si>
  <si>
    <t>RFQ420</t>
  </si>
  <si>
    <t>RFQ421</t>
  </si>
  <si>
    <t>RFQ422</t>
  </si>
  <si>
    <t>RFQ423</t>
  </si>
  <si>
    <t>RFQ424</t>
  </si>
  <si>
    <t>RFQ425</t>
  </si>
  <si>
    <t>RFQ426</t>
  </si>
  <si>
    <t>RFQ427</t>
  </si>
  <si>
    <t>RFQ428</t>
  </si>
  <si>
    <t>RFQ429</t>
  </si>
  <si>
    <t>RFQ430</t>
  </si>
  <si>
    <t>RFQ431</t>
  </si>
  <si>
    <t>RFQ432</t>
  </si>
  <si>
    <t>RFQ433</t>
  </si>
  <si>
    <t>RFQ434</t>
  </si>
  <si>
    <t>RFQ435</t>
  </si>
  <si>
    <t>RFQ436</t>
  </si>
  <si>
    <t>RFQ437</t>
  </si>
  <si>
    <t>RFQ438</t>
  </si>
  <si>
    <t>RFQ439</t>
  </si>
  <si>
    <t>RFQ440</t>
  </si>
  <si>
    <t>RFQ441</t>
  </si>
  <si>
    <t>RFQ442</t>
  </si>
  <si>
    <t>RFQ443</t>
  </si>
  <si>
    <t>RFQ444</t>
  </si>
  <si>
    <t>RFQ445</t>
  </si>
  <si>
    <t>RFQ446</t>
  </si>
  <si>
    <t>RFQ447</t>
  </si>
  <si>
    <t>RFQ448</t>
  </si>
  <si>
    <t>RFQ449</t>
  </si>
  <si>
    <t>RFQ450</t>
  </si>
  <si>
    <t>RFQ451</t>
  </si>
  <si>
    <t>RFQ452</t>
  </si>
  <si>
    <t>RFQ453</t>
  </si>
  <si>
    <t>RFQ454</t>
  </si>
  <si>
    <t>RFQ455</t>
  </si>
  <si>
    <t>RFQ456</t>
  </si>
  <si>
    <t>RFQ457</t>
  </si>
  <si>
    <t>RFQ458</t>
  </si>
  <si>
    <t>RFQ459</t>
  </si>
  <si>
    <t>RFQ460</t>
  </si>
  <si>
    <t>RFQ461</t>
  </si>
  <si>
    <t>RFQ462</t>
  </si>
  <si>
    <t>RFQ463</t>
  </si>
  <si>
    <t>RFQ464</t>
  </si>
  <si>
    <t>RFQ465</t>
  </si>
  <si>
    <t>RFQ466</t>
  </si>
  <si>
    <t>RFQ467</t>
  </si>
  <si>
    <t>RFQ468</t>
  </si>
  <si>
    <t>RFQ469</t>
  </si>
  <si>
    <t>RFQ470</t>
  </si>
  <si>
    <t>RFQ471</t>
  </si>
  <si>
    <t>RFQ472</t>
  </si>
  <si>
    <t>RFQ473</t>
  </si>
  <si>
    <t>RFQ474</t>
  </si>
  <si>
    <t>RFQ475</t>
  </si>
  <si>
    <t>RFQ476</t>
  </si>
  <si>
    <t>RFQ477</t>
  </si>
  <si>
    <t>RFQ478</t>
  </si>
  <si>
    <t>RFQ479</t>
  </si>
  <si>
    <t>RFQ480</t>
  </si>
  <si>
    <t>RFQ481</t>
  </si>
  <si>
    <t>RFQ482</t>
  </si>
  <si>
    <t>RFQ483</t>
  </si>
  <si>
    <t>RFQ484</t>
  </si>
  <si>
    <t>RFQ485</t>
  </si>
  <si>
    <t>RFQ486</t>
  </si>
  <si>
    <t>RFQ487</t>
  </si>
  <si>
    <t>RFQ488</t>
  </si>
  <si>
    <t>RFQ489</t>
  </si>
  <si>
    <t>RFQ490</t>
  </si>
  <si>
    <t>RFQ491</t>
  </si>
  <si>
    <t>RFQ492</t>
  </si>
  <si>
    <t>RFQ493</t>
  </si>
  <si>
    <t>RFQ494</t>
  </si>
  <si>
    <t>RFQ495</t>
  </si>
  <si>
    <t>RFQ496</t>
  </si>
  <si>
    <t>RFQ497</t>
  </si>
  <si>
    <t>RFQ498</t>
  </si>
  <si>
    <t>RFQ499</t>
  </si>
  <si>
    <t>RFQ500</t>
  </si>
  <si>
    <t>RFQ501</t>
  </si>
  <si>
    <t>RFQ502</t>
  </si>
  <si>
    <t>RFQ503</t>
  </si>
  <si>
    <t>RFQ504</t>
  </si>
  <si>
    <t>RFQ505</t>
  </si>
  <si>
    <t>RFQ506</t>
  </si>
  <si>
    <t>RFQ507</t>
  </si>
  <si>
    <t>RFQ508</t>
  </si>
  <si>
    <t>RFQ509</t>
  </si>
  <si>
    <t>RFQ510</t>
  </si>
  <si>
    <t>RFQ511</t>
  </si>
  <si>
    <t>RFQ512</t>
  </si>
  <si>
    <t>RFQ513</t>
  </si>
  <si>
    <t>RFQ514</t>
  </si>
  <si>
    <t>RFQ515</t>
  </si>
  <si>
    <t>RFQ516</t>
  </si>
  <si>
    <t>RFQ517</t>
  </si>
  <si>
    <t>RFQ518</t>
  </si>
  <si>
    <t>RFQ519</t>
  </si>
  <si>
    <t>RFQ520</t>
  </si>
  <si>
    <t>RFQ521</t>
  </si>
  <si>
    <t>RFQ522</t>
  </si>
  <si>
    <t>RFQ523</t>
  </si>
  <si>
    <t>RFQ524</t>
  </si>
  <si>
    <t>RFQ525</t>
  </si>
  <si>
    <t>RFQ526</t>
  </si>
  <si>
    <t>RFQ527</t>
  </si>
  <si>
    <t>RFQ528</t>
  </si>
  <si>
    <t>RFQ529</t>
  </si>
  <si>
    <t>RFQ530</t>
  </si>
  <si>
    <t>RFQ531</t>
  </si>
  <si>
    <t>RFQ532</t>
  </si>
  <si>
    <t>RFQ533</t>
  </si>
  <si>
    <t>RFQ534</t>
  </si>
  <si>
    <t>RFQ535</t>
  </si>
  <si>
    <t>RFQ536</t>
  </si>
  <si>
    <t>RFQ537</t>
  </si>
  <si>
    <t>RFQ538</t>
  </si>
  <si>
    <t>RFQ539</t>
  </si>
  <si>
    <t>RFQ540</t>
  </si>
  <si>
    <t>RFQ541</t>
  </si>
  <si>
    <t>RFQ542</t>
  </si>
  <si>
    <t>RFQ543</t>
  </si>
  <si>
    <t>RFQ544</t>
  </si>
  <si>
    <t>RFQ545</t>
  </si>
  <si>
    <t>RFQ546</t>
  </si>
  <si>
    <t>RFQ547</t>
  </si>
  <si>
    <t>RFQ548</t>
  </si>
  <si>
    <t>RFQ549</t>
  </si>
  <si>
    <t>RFQ550</t>
  </si>
  <si>
    <t>RFQ551</t>
  </si>
  <si>
    <t>RFQ552</t>
  </si>
  <si>
    <t>RFQ553</t>
  </si>
  <si>
    <t>RFQ554</t>
  </si>
  <si>
    <t>RFQ555</t>
  </si>
  <si>
    <t>RFQ556</t>
  </si>
  <si>
    <t>RFQ557</t>
  </si>
  <si>
    <t>RFQ558</t>
  </si>
  <si>
    <t>RFQ559</t>
  </si>
  <si>
    <t>RFQ560</t>
  </si>
  <si>
    <t>RFQ561</t>
  </si>
  <si>
    <t>RFQ562</t>
  </si>
  <si>
    <t>RFQ563</t>
  </si>
  <si>
    <t>RFQ564</t>
  </si>
  <si>
    <t>RFQ565</t>
  </si>
  <si>
    <t>RFQ566</t>
  </si>
  <si>
    <t>RFQ567</t>
  </si>
  <si>
    <t>RFQ568</t>
  </si>
  <si>
    <t>RFQ569</t>
  </si>
  <si>
    <t>RFQ570</t>
  </si>
  <si>
    <t>RFQ571</t>
  </si>
  <si>
    <t>RFQ572</t>
  </si>
  <si>
    <t>RFQ573</t>
  </si>
  <si>
    <t>RFQ574</t>
  </si>
  <si>
    <t>RFQ575</t>
  </si>
  <si>
    <t>RFQ576</t>
  </si>
  <si>
    <t>RFQ577</t>
  </si>
  <si>
    <t>RFQ578</t>
  </si>
  <si>
    <t>RFQ579</t>
  </si>
  <si>
    <t>RFQ580</t>
  </si>
  <si>
    <t>RFQ581</t>
  </si>
  <si>
    <t>RFQ582</t>
  </si>
  <si>
    <t>RFQ583</t>
  </si>
  <si>
    <t>RFQ584</t>
  </si>
  <si>
    <t>RFQ585</t>
  </si>
  <si>
    <t>RFQ586</t>
  </si>
  <si>
    <t>RFQ587</t>
  </si>
  <si>
    <t>RFQ588</t>
  </si>
  <si>
    <t>RFQ589</t>
  </si>
  <si>
    <t>RFQ590</t>
  </si>
  <si>
    <t>RFQ591</t>
  </si>
  <si>
    <t>RFQ592</t>
  </si>
  <si>
    <t>RFQ593</t>
  </si>
  <si>
    <t>RFQ594</t>
  </si>
  <si>
    <t>RFQ595</t>
  </si>
  <si>
    <t>RFQ596</t>
  </si>
  <si>
    <t>RFQ597</t>
  </si>
  <si>
    <t>RFQ598</t>
  </si>
  <si>
    <t>RFQ599</t>
  </si>
  <si>
    <t>RFQ600</t>
  </si>
  <si>
    <t>RFQ601</t>
  </si>
  <si>
    <t>RFQ602</t>
  </si>
  <si>
    <t>RFQ603</t>
  </si>
  <si>
    <t>RFQ604</t>
  </si>
  <si>
    <t>RFQ605</t>
  </si>
  <si>
    <t>RFQ606</t>
  </si>
  <si>
    <t>RFQ607</t>
  </si>
  <si>
    <t>RFQ608</t>
  </si>
  <si>
    <t>RFQ609</t>
  </si>
  <si>
    <t>RFQ610</t>
  </si>
  <si>
    <t>RFQ611</t>
  </si>
  <si>
    <t>RFQ612</t>
  </si>
  <si>
    <t>RFQ613</t>
  </si>
  <si>
    <t>RFQ614</t>
  </si>
  <si>
    <t>RFQ615</t>
  </si>
  <si>
    <t>RFQ616</t>
  </si>
  <si>
    <t>RFQ617</t>
  </si>
  <si>
    <t>RFQ618</t>
  </si>
  <si>
    <t>RFQ619</t>
  </si>
  <si>
    <t>RFQ620</t>
  </si>
  <si>
    <t>RFQ621</t>
  </si>
  <si>
    <t>RFQ622</t>
  </si>
  <si>
    <t>RFQ623</t>
  </si>
  <si>
    <t>RFQ624</t>
  </si>
  <si>
    <t>RFQ625</t>
  </si>
  <si>
    <t>RFQ626</t>
  </si>
  <si>
    <t>RFQ627</t>
  </si>
  <si>
    <t>RFQ628</t>
  </si>
  <si>
    <t>RFQ629</t>
  </si>
  <si>
    <t>RFQ630</t>
  </si>
  <si>
    <t>RFQ631</t>
  </si>
  <si>
    <t>RFQ632</t>
  </si>
  <si>
    <t>RFQ633</t>
  </si>
  <si>
    <t>RFQ634</t>
  </si>
  <si>
    <t>RFQ635</t>
  </si>
  <si>
    <t>RFQ636</t>
  </si>
  <si>
    <t>RFQ637</t>
  </si>
  <si>
    <t>RFQ638</t>
  </si>
  <si>
    <t>RFQ639</t>
  </si>
  <si>
    <t>RFQ640</t>
  </si>
  <si>
    <t>RFQ641</t>
  </si>
  <si>
    <t>RFQ642</t>
  </si>
  <si>
    <t>RFQ643</t>
  </si>
  <si>
    <t>RFQ644</t>
  </si>
  <si>
    <t>RFQ645</t>
  </si>
  <si>
    <t>RFQ646</t>
  </si>
  <si>
    <t>RFQ647</t>
  </si>
  <si>
    <t>RFQ648</t>
  </si>
  <si>
    <t>RFQ649</t>
  </si>
  <si>
    <t>RFQ650</t>
  </si>
  <si>
    <t>RFQ651</t>
  </si>
  <si>
    <t>RFQ652</t>
  </si>
  <si>
    <t>RFQ653</t>
  </si>
  <si>
    <t>RFQ654</t>
  </si>
  <si>
    <t>RFQ655</t>
  </si>
  <si>
    <t>RFQ656</t>
  </si>
  <si>
    <t>RFQ657</t>
  </si>
  <si>
    <t>RFQ658</t>
  </si>
  <si>
    <t>RFQ659</t>
  </si>
  <si>
    <t>RFQ660</t>
  </si>
  <si>
    <t>RFQ661</t>
  </si>
  <si>
    <t>RFQ662</t>
  </si>
  <si>
    <t>RFQ663</t>
  </si>
  <si>
    <t>RFQ664</t>
  </si>
  <si>
    <t>RFQ665</t>
  </si>
  <si>
    <t>RFQ666</t>
  </si>
  <si>
    <t>RFQ667</t>
  </si>
  <si>
    <t>RFQ668</t>
  </si>
  <si>
    <t>RFQ669</t>
  </si>
  <si>
    <t>RFQ670</t>
  </si>
  <si>
    <t>RFQ671</t>
  </si>
  <si>
    <t>RFQ672</t>
  </si>
  <si>
    <t>RFQ673</t>
  </si>
  <si>
    <t>RFQ674</t>
  </si>
  <si>
    <t>RFQ675</t>
  </si>
  <si>
    <t>RFQ676</t>
  </si>
  <si>
    <t>RFQ677</t>
  </si>
  <si>
    <t>RFQ678</t>
  </si>
  <si>
    <t>RFQ679</t>
  </si>
  <si>
    <t>RFQ680</t>
  </si>
  <si>
    <t>RFQ681</t>
  </si>
  <si>
    <t>RFQ682</t>
  </si>
  <si>
    <t>RFQ683</t>
  </si>
  <si>
    <t>RFQ684</t>
  </si>
  <si>
    <t>RFQ685</t>
  </si>
  <si>
    <t>RFQ686</t>
  </si>
  <si>
    <t>RFQ687</t>
  </si>
  <si>
    <t>RFQ688</t>
  </si>
  <si>
    <t>RFQ689</t>
  </si>
  <si>
    <t>RFQ690</t>
  </si>
  <si>
    <t>RFQ691</t>
  </si>
  <si>
    <t>RFQ692</t>
  </si>
  <si>
    <t>RFQ693</t>
  </si>
  <si>
    <t>RFQ694</t>
  </si>
  <si>
    <t>RFQ695</t>
  </si>
  <si>
    <t>RFQ696</t>
  </si>
  <si>
    <t>RFQ697</t>
  </si>
  <si>
    <t>RFQ698</t>
  </si>
  <si>
    <t>RFQ699</t>
  </si>
  <si>
    <t>RFQ700</t>
  </si>
  <si>
    <t>RFQ701</t>
  </si>
  <si>
    <t>RFQ702</t>
  </si>
  <si>
    <t>RFQ703</t>
  </si>
  <si>
    <t>RFQ704</t>
  </si>
  <si>
    <t>RFQ705</t>
  </si>
  <si>
    <t>RFQ706</t>
  </si>
  <si>
    <t>RFQ707</t>
  </si>
  <si>
    <t>RFQ708</t>
  </si>
  <si>
    <t>RFQ709</t>
  </si>
  <si>
    <t>RFQ710</t>
  </si>
  <si>
    <t>RFQ711</t>
  </si>
  <si>
    <t>RFQ712</t>
  </si>
  <si>
    <t>RFQ713</t>
  </si>
  <si>
    <t>RFQ714</t>
  </si>
  <si>
    <t>RFQ715</t>
  </si>
  <si>
    <t>RFQ716</t>
  </si>
  <si>
    <t>RFQ717</t>
  </si>
  <si>
    <t>RFQ718</t>
  </si>
  <si>
    <t>RFQ719</t>
  </si>
  <si>
    <t>RFQ720</t>
  </si>
  <si>
    <t>RFQ721</t>
  </si>
  <si>
    <t>RFQ722</t>
  </si>
  <si>
    <t>RFQ723</t>
  </si>
  <si>
    <t>RFQ724</t>
  </si>
  <si>
    <t>RFQ725</t>
  </si>
  <si>
    <t>RFQ726</t>
  </si>
  <si>
    <t>RFQ727</t>
  </si>
  <si>
    <t>RFQ728</t>
  </si>
  <si>
    <t>RFQ729</t>
  </si>
  <si>
    <t>RFQ730</t>
  </si>
  <si>
    <t>RFQ731</t>
  </si>
  <si>
    <t>RFQ732</t>
  </si>
  <si>
    <t>RFQ733</t>
  </si>
  <si>
    <t>RFQ734</t>
  </si>
  <si>
    <t>RFQ735</t>
  </si>
  <si>
    <t>RFQ736</t>
  </si>
  <si>
    <t>RFQ737</t>
  </si>
  <si>
    <t>RFQ738</t>
  </si>
  <si>
    <t>RFQ739</t>
  </si>
  <si>
    <t>RFQ740</t>
  </si>
  <si>
    <t>RFQ741</t>
  </si>
  <si>
    <t>RFQ742</t>
  </si>
  <si>
    <t>RFQ743</t>
  </si>
  <si>
    <t>RFQ744</t>
  </si>
  <si>
    <t>RFQ745</t>
  </si>
  <si>
    <t>RFQ746</t>
  </si>
  <si>
    <t>RFQ747</t>
  </si>
  <si>
    <t>RFQ748</t>
  </si>
  <si>
    <t>RFQ749</t>
  </si>
  <si>
    <t>RFQ750</t>
  </si>
  <si>
    <t>RFQ751</t>
  </si>
  <si>
    <t>RFQ752</t>
  </si>
  <si>
    <t>RFQ753</t>
  </si>
  <si>
    <t>RFQ754</t>
  </si>
  <si>
    <t>RFQ755</t>
  </si>
  <si>
    <t>RFQ756</t>
  </si>
  <si>
    <t>RFQ757</t>
  </si>
  <si>
    <t>RFQ758</t>
  </si>
  <si>
    <t>RFQ759</t>
  </si>
  <si>
    <t>RFQ760</t>
  </si>
  <si>
    <t>RFQ761</t>
  </si>
  <si>
    <t>RFQ762</t>
  </si>
  <si>
    <t>RFQ763</t>
  </si>
  <si>
    <t>RFQ764</t>
  </si>
  <si>
    <t>RFQ765</t>
  </si>
  <si>
    <t>RFQ766</t>
  </si>
  <si>
    <t>RFQ767</t>
  </si>
  <si>
    <t>RFQ768</t>
  </si>
  <si>
    <t>RFQ769</t>
  </si>
  <si>
    <t>RFQ770</t>
  </si>
  <si>
    <t>RFQ771</t>
  </si>
  <si>
    <t>RFQ772</t>
  </si>
  <si>
    <t>RFQ773</t>
  </si>
  <si>
    <t>RFQ774</t>
  </si>
  <si>
    <t>RFQ775</t>
  </si>
  <si>
    <t>RFQ776</t>
  </si>
  <si>
    <t>RFQ777</t>
  </si>
  <si>
    <t>RFQ778</t>
  </si>
  <si>
    <t>RFQ779</t>
  </si>
  <si>
    <t>RFQ780</t>
  </si>
  <si>
    <t>RFQ781</t>
  </si>
  <si>
    <t>RFQ782</t>
  </si>
  <si>
    <t>RFQ783</t>
  </si>
  <si>
    <t>RFQ784</t>
  </si>
  <si>
    <t>RFQ785</t>
  </si>
  <si>
    <t>RFQ786</t>
  </si>
  <si>
    <t>RFQ787</t>
  </si>
  <si>
    <t>RFQ788</t>
  </si>
  <si>
    <t>RFQ789</t>
  </si>
  <si>
    <t>RFQ790</t>
  </si>
  <si>
    <t>RFQ791</t>
  </si>
  <si>
    <t>RFQ792</t>
  </si>
  <si>
    <t>RFQ793</t>
  </si>
  <si>
    <t>RFQ794</t>
  </si>
  <si>
    <t>RFQ795</t>
  </si>
  <si>
    <t>RFQ796</t>
  </si>
  <si>
    <t>RFQ797</t>
  </si>
  <si>
    <t>RFQ798</t>
  </si>
  <si>
    <t>RFQ799</t>
  </si>
  <si>
    <t>RFQ800</t>
  </si>
  <si>
    <t>RFQ801</t>
  </si>
  <si>
    <t>RFQ802</t>
  </si>
  <si>
    <t>RFQ803</t>
  </si>
  <si>
    <t>RFQ804</t>
  </si>
  <si>
    <t>RFQ805</t>
  </si>
  <si>
    <t>RFQ806</t>
  </si>
  <si>
    <t>RFQ807</t>
  </si>
  <si>
    <t>RFQ808</t>
  </si>
  <si>
    <t>RFQ809</t>
  </si>
  <si>
    <t>RFQ810</t>
  </si>
  <si>
    <t>RFQ811</t>
  </si>
  <si>
    <t>RFQ812</t>
  </si>
  <si>
    <t>RFQ813</t>
  </si>
  <si>
    <t>RFQ814</t>
  </si>
  <si>
    <t>RFQ815</t>
  </si>
  <si>
    <t>RFQ816</t>
  </si>
  <si>
    <t>RFQ817</t>
  </si>
  <si>
    <t>RFQ818</t>
  </si>
  <si>
    <t>RFQ819</t>
  </si>
  <si>
    <t>RFQ820</t>
  </si>
  <si>
    <t>RFQ821</t>
  </si>
  <si>
    <t>RFQ822</t>
  </si>
  <si>
    <t>RFQ823</t>
  </si>
  <si>
    <t>RFQ824</t>
  </si>
  <si>
    <t>RFQ825</t>
  </si>
  <si>
    <t>RFQ826</t>
  </si>
  <si>
    <t>RFQ827</t>
  </si>
  <si>
    <t>RFQ828</t>
  </si>
  <si>
    <t>RFQ829</t>
  </si>
  <si>
    <t>RFQ830</t>
  </si>
  <si>
    <t>RFQ831</t>
  </si>
  <si>
    <t>RFQ832</t>
  </si>
  <si>
    <t>RFQ833</t>
  </si>
  <si>
    <t>RFQ834</t>
  </si>
  <si>
    <t>RFQ835</t>
  </si>
  <si>
    <t>RFQ836</t>
  </si>
  <si>
    <t>RFQ837</t>
  </si>
  <si>
    <t>RFQ838</t>
  </si>
  <si>
    <t>RFQ839</t>
  </si>
  <si>
    <t>RFQ840</t>
  </si>
  <si>
    <t>RFQ841</t>
  </si>
  <si>
    <t>RFQ842</t>
  </si>
  <si>
    <t>RFQ843</t>
  </si>
  <si>
    <t>RFQ844</t>
  </si>
  <si>
    <t>RFQ845</t>
  </si>
  <si>
    <t>RFQ846</t>
  </si>
  <si>
    <t>RFQ847</t>
  </si>
  <si>
    <t>RFQ848</t>
  </si>
  <si>
    <t>RFQ849</t>
  </si>
  <si>
    <t>RFQ850</t>
  </si>
  <si>
    <t>RFQ851</t>
  </si>
  <si>
    <t>RFQ852</t>
  </si>
  <si>
    <t>RFQ853</t>
  </si>
  <si>
    <t>RFQ854</t>
  </si>
  <si>
    <t>RFQ855</t>
  </si>
  <si>
    <t>RFQ856</t>
  </si>
  <si>
    <t>RFQ857</t>
  </si>
  <si>
    <t>RFQ858</t>
  </si>
  <si>
    <t>RFQ859</t>
  </si>
  <si>
    <t>RFQ860</t>
  </si>
  <si>
    <t>RFQ861</t>
  </si>
  <si>
    <t>RFQ862</t>
  </si>
  <si>
    <t>RFQ863</t>
  </si>
  <si>
    <t>RFQ864</t>
  </si>
  <si>
    <t>RFQ865</t>
  </si>
  <si>
    <t>RFQ866</t>
  </si>
  <si>
    <t>RFQ867</t>
  </si>
  <si>
    <t>RFQ868</t>
  </si>
  <si>
    <t>RFQ869</t>
  </si>
  <si>
    <t>RFQ870</t>
  </si>
  <si>
    <t>RFQ871</t>
  </si>
  <si>
    <t>RFQ872</t>
  </si>
  <si>
    <t>RFQ873</t>
  </si>
  <si>
    <t>RFQ874</t>
  </si>
  <si>
    <t>RFQ875</t>
  </si>
  <si>
    <t>RFQ876</t>
  </si>
  <si>
    <t>RFQ877</t>
  </si>
  <si>
    <t>RFQ878</t>
  </si>
  <si>
    <t>RFQ879</t>
  </si>
  <si>
    <t>RFQ880</t>
  </si>
  <si>
    <t>RFQ881</t>
  </si>
  <si>
    <t>RFQ882</t>
  </si>
  <si>
    <t>RFQ883</t>
  </si>
  <si>
    <t>RFQ884</t>
  </si>
  <si>
    <t>RFQ885</t>
  </si>
  <si>
    <t>RFQ886</t>
  </si>
  <si>
    <t>RFQ887</t>
  </si>
  <si>
    <t>RFQ888</t>
  </si>
  <si>
    <t>RFQ889</t>
  </si>
  <si>
    <t>RFQ890</t>
  </si>
  <si>
    <t>RFQ891</t>
  </si>
  <si>
    <t>RFQ892</t>
  </si>
  <si>
    <t>RFQ893</t>
  </si>
  <si>
    <t>RFQ894</t>
  </si>
  <si>
    <t>RFQ895</t>
  </si>
  <si>
    <t>RFQ896</t>
  </si>
  <si>
    <t>RFQ897</t>
  </si>
  <si>
    <t>RFQ898</t>
  </si>
  <si>
    <t>RFQ899</t>
  </si>
  <si>
    <t>RFQ900</t>
  </si>
  <si>
    <t>RFQ901</t>
  </si>
  <si>
    <t>RFQ902</t>
  </si>
  <si>
    <t>RFQ903</t>
  </si>
  <si>
    <t>RFQ904</t>
  </si>
  <si>
    <t>RFQ905</t>
  </si>
  <si>
    <t>RFQ906</t>
  </si>
  <si>
    <t>RFQ907</t>
  </si>
  <si>
    <t>RFQ908</t>
  </si>
  <si>
    <t>RFQ909</t>
  </si>
  <si>
    <t>RFQ910</t>
  </si>
  <si>
    <t>RFQ911</t>
  </si>
  <si>
    <t>RFQ912</t>
  </si>
  <si>
    <t>RFQ913</t>
  </si>
  <si>
    <t>RFQ914</t>
  </si>
  <si>
    <t>RFQ915</t>
  </si>
  <si>
    <t>RFQ916</t>
  </si>
  <si>
    <t>RFQ917</t>
  </si>
  <si>
    <t>RFQ918</t>
  </si>
  <si>
    <t>RFQ919</t>
  </si>
  <si>
    <t>RFQ920</t>
  </si>
  <si>
    <t>RFQ921</t>
  </si>
  <si>
    <t>RFQ922</t>
  </si>
  <si>
    <t>RFQ923</t>
  </si>
  <si>
    <t>RFQ924</t>
  </si>
  <si>
    <t>RFQ925</t>
  </si>
  <si>
    <t>RFQ926</t>
  </si>
  <si>
    <t>RFQ927</t>
  </si>
  <si>
    <t>RFQ928</t>
  </si>
  <si>
    <t>RFQ929</t>
  </si>
  <si>
    <t>RFQ930</t>
  </si>
  <si>
    <t>RFQ931</t>
  </si>
  <si>
    <t>RFQ932</t>
  </si>
  <si>
    <t>RFQ933</t>
  </si>
  <si>
    <t>RFQ934</t>
  </si>
  <si>
    <t>RFQ935</t>
  </si>
  <si>
    <t>RFQ936</t>
  </si>
  <si>
    <t>RFQ937</t>
  </si>
  <si>
    <t>RFQ938</t>
  </si>
  <si>
    <t>RFQ939</t>
  </si>
  <si>
    <t>RFQ940</t>
  </si>
  <si>
    <t>RFQ941</t>
  </si>
  <si>
    <t>RFQ942</t>
  </si>
  <si>
    <t>RFQ943</t>
  </si>
  <si>
    <t>RFQ944</t>
  </si>
  <si>
    <t>RFQ945</t>
  </si>
  <si>
    <t>RFQ946</t>
  </si>
  <si>
    <t>RFQ947</t>
  </si>
  <si>
    <t>RFQ948</t>
  </si>
  <si>
    <t>RFQ949</t>
  </si>
  <si>
    <t>RFQ950</t>
  </si>
  <si>
    <t>RFQ951</t>
  </si>
  <si>
    <t>RFQ952</t>
  </si>
  <si>
    <t>RFQ953</t>
  </si>
  <si>
    <t>RFQ954</t>
  </si>
  <si>
    <t>RFQ955</t>
  </si>
  <si>
    <t>RFQ956</t>
  </si>
  <si>
    <t>RFQ957</t>
  </si>
  <si>
    <t>RFQ958</t>
  </si>
  <si>
    <t>RFQ959</t>
  </si>
  <si>
    <t>RFQ960</t>
  </si>
  <si>
    <t>RFQ961</t>
  </si>
  <si>
    <t>RFQ962</t>
  </si>
  <si>
    <t>RFQ963</t>
  </si>
  <si>
    <t>RFQ964</t>
  </si>
  <si>
    <t>RFQ965</t>
  </si>
  <si>
    <t>RFQ966</t>
  </si>
  <si>
    <t>RFQ967</t>
  </si>
  <si>
    <t>RFQ968</t>
  </si>
  <si>
    <t>RFQ969</t>
  </si>
  <si>
    <t>RFQ970</t>
  </si>
  <si>
    <t>RFQ971</t>
  </si>
  <si>
    <t>RFQ972</t>
  </si>
  <si>
    <t>RFQ973</t>
  </si>
  <si>
    <t>RFQ974</t>
  </si>
  <si>
    <t>RFQ975</t>
  </si>
  <si>
    <t>RFQ976</t>
  </si>
  <si>
    <t>RFQ977</t>
  </si>
  <si>
    <t>RFQ978</t>
  </si>
  <si>
    <t>RFQ979</t>
  </si>
  <si>
    <t>RFQ980</t>
  </si>
  <si>
    <t>RFQ981</t>
  </si>
  <si>
    <t>RFQ982</t>
  </si>
  <si>
    <t>RFQ983</t>
  </si>
  <si>
    <t>RFQ984</t>
  </si>
  <si>
    <t>RFQ985</t>
  </si>
  <si>
    <t>RFQ986</t>
  </si>
  <si>
    <t>RFQ987</t>
  </si>
  <si>
    <t>RFQ988</t>
  </si>
  <si>
    <t>RFQ989</t>
  </si>
  <si>
    <t>RFQ990</t>
  </si>
  <si>
    <t>RFQ991</t>
  </si>
  <si>
    <t>RFQ992</t>
  </si>
  <si>
    <t>RFQ993</t>
  </si>
  <si>
    <t>Pos.</t>
  </si>
  <si>
    <t>P/N</t>
  </si>
  <si>
    <t>Artikelbezeichnung</t>
  </si>
  <si>
    <t>Einheit</t>
  </si>
  <si>
    <t>Auswahl RFQ</t>
  </si>
  <si>
    <t>111-1</t>
  </si>
  <si>
    <t>222-2</t>
  </si>
  <si>
    <t>111-2</t>
  </si>
  <si>
    <t>111-3</t>
  </si>
  <si>
    <t>111-4</t>
  </si>
  <si>
    <t>111-5</t>
  </si>
  <si>
    <t>Test01</t>
  </si>
  <si>
    <t>Test02</t>
  </si>
  <si>
    <t>Test03</t>
  </si>
  <si>
    <t>Test05</t>
  </si>
  <si>
    <t>Test06</t>
  </si>
  <si>
    <t>Test07</t>
  </si>
  <si>
    <t>Test08</t>
  </si>
  <si>
    <t>333-1</t>
  </si>
  <si>
    <t>333-2</t>
  </si>
  <si>
    <t>555-1</t>
  </si>
  <si>
    <t>666-1</t>
  </si>
  <si>
    <t>777-1</t>
  </si>
  <si>
    <t>888-1</t>
  </si>
  <si>
    <t>222-1</t>
  </si>
  <si>
    <t>888-2</t>
  </si>
  <si>
    <t>1.Bestpreis</t>
  </si>
  <si>
    <t>1.Bestpreis
Lieferant</t>
  </si>
  <si>
    <t>2.Bestpreis
Lieferant</t>
  </si>
  <si>
    <t>3.Bestpreis</t>
  </si>
  <si>
    <t>678-3</t>
  </si>
  <si>
    <t>Test09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</si>
</sst>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1" xfId="0" applyBorder="1"/>
    <xf numFmtId="0" fontId="1" fillId="5" borderId="0" xfId="0" applyFont="1" applyFill="1" applyAlignment="1">
      <alignment horizontal="center"/>
    </xf>
    <xf numFmtId="0" fontId="0" fillId="7" borderId="1" xfId="0" applyFill="1" applyBorder="1"/>
    <xf numFmtId="0" fontId="0" fillId="0" borderId="3" xfId="0" applyBorder="1"/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8" xfId="0" applyFill="1" applyBorder="1"/>
    <xf numFmtId="0" fontId="0" fillId="0" borderId="9" xfId="0" applyBorder="1"/>
    <xf numFmtId="0" fontId="0" fillId="0" borderId="10" xfId="0" applyBorder="1"/>
    <xf numFmtId="0" fontId="1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0" fillId="0" borderId="8" xfId="0" applyBorder="1"/>
    <xf numFmtId="0" fontId="2" fillId="0" borderId="1" xfId="0" applyFont="1" applyBorder="1"/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 vertical="center" textRotation="90"/>
    </xf>
    <xf numFmtId="0" fontId="4" fillId="9" borderId="0" xfId="0" applyFont="1" applyFill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 textRotation="90"/>
    </xf>
    <xf numFmtId="0" fontId="4" fillId="10" borderId="0" xfId="0" applyFont="1" applyFill="1" applyAlignment="1">
      <alignment horizontal="center" vertical="center" textRotation="90"/>
    </xf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8080"/>
      <color rgb="FF339966"/>
      <color rgb="FF006600"/>
      <color rgb="FF0099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3</v>
  </rv>
  <rv s="1">
    <v>2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T1000"/>
  <sheetViews>
    <sheetView showGridLines="0" zoomScale="55" zoomScaleNormal="55" workbookViewId="0">
      <selection activeCell="I7" sqref="I7"/>
    </sheetView>
  </sheetViews>
  <sheetFormatPr defaultColWidth="11.5703125" defaultRowHeight="15" outlineLevelCol="1"/>
  <cols>
    <col min="1" max="1" width="18.7109375" customWidth="1"/>
    <col min="2" max="2" width="16.7109375" customWidth="1"/>
    <col min="3" max="3" width="20.7109375" customWidth="1"/>
    <col min="4" max="4" width="21.28515625" customWidth="1"/>
    <col min="5" max="5" width="20.42578125" customWidth="1"/>
    <col min="6" max="6" width="22.7109375" customWidth="1"/>
    <col min="7" max="7" width="2.7109375" customWidth="1"/>
    <col min="8" max="12" width="8.7109375" customWidth="1" outlineLevel="1"/>
    <col min="13" max="13" width="5.5703125" customWidth="1"/>
    <col min="14" max="14" width="2.140625" customWidth="1"/>
    <col min="15" max="19" width="8.7109375" customWidth="1" outlineLevel="1"/>
    <col min="20" max="20" width="4.7109375" customWidth="1"/>
  </cols>
  <sheetData>
    <row r="7" spans="1:20" s="38" customFormat="1" ht="147" customHeight="1">
      <c r="A7" s="31" t="s">
        <v>52</v>
      </c>
      <c r="B7" s="31" t="s">
        <v>53</v>
      </c>
      <c r="C7" s="31" t="s">
        <v>54</v>
      </c>
      <c r="D7" s="31" t="s">
        <v>55</v>
      </c>
      <c r="E7" s="31" t="s">
        <v>56</v>
      </c>
      <c r="F7" s="31" t="s">
        <v>35</v>
      </c>
      <c r="G7" s="32" t="s">
        <v>57</v>
      </c>
      <c r="H7" s="33" t="str">
        <f>'RFQ-Supplier'!B3</f>
        <v>Vergleichspreis</v>
      </c>
      <c r="I7" s="33" t="str">
        <f>'RFQ-Supplier'!B4</f>
        <v>Lieferant 1</v>
      </c>
      <c r="J7" s="33" t="str">
        <f>'RFQ-Supplier'!B5</f>
        <v>Lieferant 2</v>
      </c>
      <c r="K7" s="33" t="str">
        <f>'RFQ-Supplier'!B6</f>
        <v>Lieferant 3</v>
      </c>
      <c r="L7" s="33" t="str">
        <f>'RFQ-Supplier'!B7</f>
        <v>Lieferant 4</v>
      </c>
      <c r="M7" s="34" t="s">
        <v>58</v>
      </c>
      <c r="N7" s="35" t="s">
        <v>57</v>
      </c>
      <c r="O7" s="36" t="str">
        <f>'RFQ-Supplier'!B3</f>
        <v>Vergleichspreis</v>
      </c>
      <c r="P7" s="36" t="str">
        <f>'RFQ-Supplier'!B4</f>
        <v>Lieferant 1</v>
      </c>
      <c r="Q7" s="36" t="str">
        <f>'RFQ-Supplier'!B5</f>
        <v>Lieferant 2</v>
      </c>
      <c r="R7" s="36" t="str">
        <f>'RFQ-Supplier'!B6</f>
        <v>Lieferant 3</v>
      </c>
      <c r="S7" s="36" t="str">
        <f>'RFQ-Supplier'!B7</f>
        <v>Lieferant 4</v>
      </c>
      <c r="T7" s="37" t="s">
        <v>56</v>
      </c>
    </row>
    <row r="8" spans="1:20">
      <c r="A8" s="7" t="s">
        <v>22</v>
      </c>
      <c r="B8" s="7"/>
      <c r="C8" s="7"/>
      <c r="D8" s="7"/>
      <c r="E8" s="7"/>
      <c r="F8" s="7"/>
      <c r="H8" s="7"/>
      <c r="I8" s="7"/>
      <c r="J8" s="7"/>
      <c r="K8" s="7"/>
      <c r="L8" s="7"/>
      <c r="O8" s="30"/>
      <c r="P8" s="30"/>
      <c r="Q8" s="30" t="str">
        <f t="shared" ref="Q8:S8" si="0">IF(J8&gt;0,"Angebot offen","")</f>
        <v/>
      </c>
      <c r="R8" s="30" t="str">
        <f t="shared" si="0"/>
        <v/>
      </c>
      <c r="S8" s="30" t="str">
        <f t="shared" si="0"/>
        <v/>
      </c>
    </row>
    <row r="9" spans="1:20">
      <c r="A9" s="7" t="s">
        <v>59</v>
      </c>
      <c r="B9" s="7"/>
      <c r="C9" s="7"/>
      <c r="D9" s="7"/>
      <c r="E9" s="7"/>
      <c r="F9" s="7"/>
      <c r="H9" s="7"/>
      <c r="I9" s="7"/>
      <c r="J9" s="7"/>
      <c r="K9" s="7"/>
      <c r="L9" s="7"/>
      <c r="O9" s="30" t="str">
        <f t="shared" ref="O9:O72" si="1">IF(H9&gt;0,"Angebot offen","")</f>
        <v/>
      </c>
      <c r="P9" s="30" t="str">
        <f t="shared" ref="P9:P72" si="2">IF(I9&gt;0,"Angebot offen","")</f>
        <v/>
      </c>
      <c r="Q9" s="30" t="str">
        <f t="shared" ref="Q9:Q72" si="3">IF(J9&gt;0,"Angebot offen","")</f>
        <v/>
      </c>
      <c r="R9" s="30" t="str">
        <f t="shared" ref="R9:R72" si="4">IF(K9&gt;0,"Angebot offen","")</f>
        <v/>
      </c>
      <c r="S9" s="30" t="str">
        <f t="shared" ref="S9:S72" si="5">IF(L9&gt;0,"Angebot offen","")</f>
        <v/>
      </c>
    </row>
    <row r="10" spans="1:20">
      <c r="A10" s="7" t="s">
        <v>60</v>
      </c>
      <c r="B10" s="7"/>
      <c r="C10" s="7"/>
      <c r="D10" s="7"/>
      <c r="E10" s="7"/>
      <c r="F10" s="7"/>
      <c r="H10" s="7"/>
      <c r="I10" s="7"/>
      <c r="J10" s="7"/>
      <c r="K10" s="7"/>
      <c r="L10" s="7"/>
      <c r="O10" s="30" t="str">
        <f t="shared" si="1"/>
        <v/>
      </c>
      <c r="P10" s="30" t="str">
        <f t="shared" si="2"/>
        <v/>
      </c>
      <c r="Q10" s="30" t="str">
        <f t="shared" si="3"/>
        <v/>
      </c>
      <c r="R10" s="30" t="str">
        <f t="shared" si="4"/>
        <v/>
      </c>
      <c r="S10" s="30" t="str">
        <f t="shared" si="5"/>
        <v/>
      </c>
    </row>
    <row r="11" spans="1:20">
      <c r="A11" s="7" t="s">
        <v>61</v>
      </c>
      <c r="B11" s="7"/>
      <c r="C11" s="7"/>
      <c r="D11" s="7"/>
      <c r="E11" s="7"/>
      <c r="F11" s="7"/>
      <c r="H11" s="7"/>
      <c r="I11" s="7"/>
      <c r="J11" s="7"/>
      <c r="K11" s="7"/>
      <c r="L11" s="7"/>
      <c r="O11" s="30" t="str">
        <f t="shared" si="1"/>
        <v/>
      </c>
      <c r="P11" s="30" t="str">
        <f t="shared" si="2"/>
        <v/>
      </c>
      <c r="Q11" s="30" t="str">
        <f t="shared" si="3"/>
        <v/>
      </c>
      <c r="R11" s="30" t="str">
        <f t="shared" si="4"/>
        <v/>
      </c>
      <c r="S11" s="30" t="str">
        <f t="shared" si="5"/>
        <v/>
      </c>
    </row>
    <row r="12" spans="1:20">
      <c r="A12" s="7" t="s">
        <v>62</v>
      </c>
      <c r="B12" s="7"/>
      <c r="C12" s="7"/>
      <c r="D12" s="7"/>
      <c r="E12" s="7"/>
      <c r="F12" s="7"/>
      <c r="H12" s="7"/>
      <c r="I12" s="7"/>
      <c r="J12" s="7"/>
      <c r="K12" s="7"/>
      <c r="L12" s="7"/>
      <c r="O12" s="30" t="str">
        <f t="shared" si="1"/>
        <v/>
      </c>
      <c r="P12" s="30" t="str">
        <f t="shared" si="2"/>
        <v/>
      </c>
      <c r="Q12" s="30" t="str">
        <f t="shared" si="3"/>
        <v/>
      </c>
      <c r="R12" s="30" t="str">
        <f t="shared" si="4"/>
        <v/>
      </c>
      <c r="S12" s="30" t="str">
        <f t="shared" si="5"/>
        <v/>
      </c>
    </row>
    <row r="13" spans="1:20">
      <c r="A13" s="7" t="s">
        <v>63</v>
      </c>
      <c r="B13" s="7"/>
      <c r="C13" s="7"/>
      <c r="D13" s="7"/>
      <c r="E13" s="7"/>
      <c r="F13" s="7"/>
      <c r="H13" s="7"/>
      <c r="I13" s="7"/>
      <c r="J13" s="7"/>
      <c r="K13" s="7"/>
      <c r="L13" s="7"/>
      <c r="O13" s="30" t="str">
        <f t="shared" si="1"/>
        <v/>
      </c>
      <c r="P13" s="30" t="str">
        <f t="shared" si="2"/>
        <v/>
      </c>
      <c r="Q13" s="30" t="str">
        <f t="shared" si="3"/>
        <v/>
      </c>
      <c r="R13" s="30" t="str">
        <f t="shared" si="4"/>
        <v/>
      </c>
      <c r="S13" s="30" t="str">
        <f t="shared" si="5"/>
        <v/>
      </c>
    </row>
    <row r="14" spans="1:20">
      <c r="A14" s="7" t="s">
        <v>64</v>
      </c>
      <c r="B14" s="7"/>
      <c r="C14" s="7"/>
      <c r="D14" s="7"/>
      <c r="E14" s="7"/>
      <c r="F14" s="7"/>
      <c r="H14" s="7"/>
      <c r="I14" s="7"/>
      <c r="J14" s="7"/>
      <c r="K14" s="7"/>
      <c r="L14" s="7"/>
      <c r="O14" s="30" t="str">
        <f t="shared" si="1"/>
        <v/>
      </c>
      <c r="P14" s="30" t="str">
        <f t="shared" si="2"/>
        <v/>
      </c>
      <c r="Q14" s="30" t="str">
        <f t="shared" si="3"/>
        <v/>
      </c>
      <c r="R14" s="30" t="str">
        <f t="shared" si="4"/>
        <v/>
      </c>
      <c r="S14" s="30" t="str">
        <f t="shared" si="5"/>
        <v/>
      </c>
    </row>
    <row r="15" spans="1:20">
      <c r="A15" s="7" t="s">
        <v>65</v>
      </c>
      <c r="B15" s="7"/>
      <c r="C15" s="7"/>
      <c r="D15" s="7"/>
      <c r="E15" s="7"/>
      <c r="F15" s="7"/>
      <c r="H15" s="7"/>
      <c r="I15" s="7"/>
      <c r="J15" s="7"/>
      <c r="K15" s="7"/>
      <c r="L15" s="7"/>
      <c r="O15" s="30" t="str">
        <f t="shared" si="1"/>
        <v/>
      </c>
      <c r="P15" s="30" t="str">
        <f t="shared" si="2"/>
        <v/>
      </c>
      <c r="Q15" s="30" t="str">
        <f t="shared" si="3"/>
        <v/>
      </c>
      <c r="R15" s="30" t="str">
        <f t="shared" si="4"/>
        <v/>
      </c>
      <c r="S15" s="30" t="str">
        <f t="shared" si="5"/>
        <v/>
      </c>
    </row>
    <row r="16" spans="1:20">
      <c r="A16" s="7" t="s">
        <v>67</v>
      </c>
      <c r="B16" s="7"/>
      <c r="C16" s="7"/>
      <c r="D16" s="7"/>
      <c r="E16" s="7"/>
      <c r="F16" s="7"/>
      <c r="H16" s="7"/>
      <c r="I16" s="7"/>
      <c r="J16" s="7"/>
      <c r="K16" s="7"/>
      <c r="L16" s="7"/>
      <c r="O16" s="30" t="str">
        <f t="shared" si="1"/>
        <v/>
      </c>
      <c r="P16" s="30" t="str">
        <f t="shared" si="2"/>
        <v/>
      </c>
      <c r="Q16" s="30" t="str">
        <f t="shared" si="3"/>
        <v/>
      </c>
      <c r="R16" s="30" t="str">
        <f t="shared" si="4"/>
        <v/>
      </c>
      <c r="S16" s="30" t="str">
        <f t="shared" si="5"/>
        <v/>
      </c>
    </row>
    <row r="17" spans="1:19">
      <c r="A17" s="7" t="s">
        <v>68</v>
      </c>
      <c r="B17" s="7"/>
      <c r="C17" s="7"/>
      <c r="D17" s="7"/>
      <c r="E17" s="7"/>
      <c r="F17" s="7"/>
      <c r="H17" s="7"/>
      <c r="I17" s="7"/>
      <c r="J17" s="7"/>
      <c r="K17" s="7"/>
      <c r="L17" s="7"/>
      <c r="O17" s="30" t="str">
        <f t="shared" si="1"/>
        <v/>
      </c>
      <c r="P17" s="30" t="str">
        <f t="shared" si="2"/>
        <v/>
      </c>
      <c r="Q17" s="30" t="str">
        <f t="shared" si="3"/>
        <v/>
      </c>
      <c r="R17" s="30" t="str">
        <f t="shared" si="4"/>
        <v/>
      </c>
      <c r="S17" s="30" t="str">
        <f t="shared" si="5"/>
        <v/>
      </c>
    </row>
    <row r="18" spans="1:19">
      <c r="A18" s="7" t="s">
        <v>69</v>
      </c>
      <c r="B18" s="7"/>
      <c r="C18" s="7"/>
      <c r="D18" s="7"/>
      <c r="E18" s="7"/>
      <c r="F18" s="7"/>
      <c r="H18" s="7"/>
      <c r="I18" s="7"/>
      <c r="J18" s="7"/>
      <c r="K18" s="7"/>
      <c r="L18" s="7"/>
      <c r="O18" s="30" t="str">
        <f t="shared" si="1"/>
        <v/>
      </c>
      <c r="P18" s="30" t="str">
        <f t="shared" si="2"/>
        <v/>
      </c>
      <c r="Q18" s="30" t="str">
        <f t="shared" si="3"/>
        <v/>
      </c>
      <c r="R18" s="30" t="str">
        <f t="shared" si="4"/>
        <v/>
      </c>
      <c r="S18" s="30" t="str">
        <f t="shared" si="5"/>
        <v/>
      </c>
    </row>
    <row r="19" spans="1:19">
      <c r="A19" s="7" t="s">
        <v>70</v>
      </c>
      <c r="B19" s="7"/>
      <c r="C19" s="7"/>
      <c r="D19" s="7"/>
      <c r="E19" s="7"/>
      <c r="F19" s="7"/>
      <c r="H19" s="7"/>
      <c r="I19" s="7"/>
      <c r="J19" s="7"/>
      <c r="K19" s="7"/>
      <c r="L19" s="7"/>
      <c r="O19" s="30" t="str">
        <f t="shared" si="1"/>
        <v/>
      </c>
      <c r="P19" s="30" t="str">
        <f t="shared" si="2"/>
        <v/>
      </c>
      <c r="Q19" s="30" t="str">
        <f t="shared" si="3"/>
        <v/>
      </c>
      <c r="R19" s="30" t="str">
        <f t="shared" si="4"/>
        <v/>
      </c>
      <c r="S19" s="30" t="str">
        <f t="shared" si="5"/>
        <v/>
      </c>
    </row>
    <row r="20" spans="1:19">
      <c r="A20" s="7" t="s">
        <v>71</v>
      </c>
      <c r="B20" s="7"/>
      <c r="C20" s="7"/>
      <c r="D20" s="7"/>
      <c r="E20" s="7"/>
      <c r="F20" s="7"/>
      <c r="H20" s="7"/>
      <c r="I20" s="7"/>
      <c r="J20" s="7"/>
      <c r="K20" s="7"/>
      <c r="L20" s="7"/>
      <c r="O20" s="30" t="str">
        <f t="shared" si="1"/>
        <v/>
      </c>
      <c r="P20" s="30" t="str">
        <f t="shared" si="2"/>
        <v/>
      </c>
      <c r="Q20" s="30" t="str">
        <f t="shared" si="3"/>
        <v/>
      </c>
      <c r="R20" s="30" t="str">
        <f t="shared" si="4"/>
        <v/>
      </c>
      <c r="S20" s="30" t="str">
        <f t="shared" si="5"/>
        <v/>
      </c>
    </row>
    <row r="21" spans="1:19">
      <c r="A21" s="7" t="s">
        <v>72</v>
      </c>
      <c r="B21" s="7"/>
      <c r="C21" s="7"/>
      <c r="D21" s="7"/>
      <c r="E21" s="7"/>
      <c r="F21" s="7"/>
      <c r="H21" s="7"/>
      <c r="I21" s="7"/>
      <c r="J21" s="7"/>
      <c r="K21" s="7"/>
      <c r="L21" s="7"/>
      <c r="O21" s="30" t="str">
        <f t="shared" si="1"/>
        <v/>
      </c>
      <c r="P21" s="30" t="str">
        <f t="shared" si="2"/>
        <v/>
      </c>
      <c r="Q21" s="30" t="str">
        <f t="shared" si="3"/>
        <v/>
      </c>
      <c r="R21" s="30" t="str">
        <f t="shared" si="4"/>
        <v/>
      </c>
      <c r="S21" s="30" t="str">
        <f t="shared" si="5"/>
        <v/>
      </c>
    </row>
    <row r="22" spans="1:19">
      <c r="A22" s="7" t="s">
        <v>73</v>
      </c>
      <c r="B22" s="7"/>
      <c r="C22" s="7"/>
      <c r="D22" s="7"/>
      <c r="E22" s="7"/>
      <c r="F22" s="7"/>
      <c r="H22" s="7"/>
      <c r="I22" s="7"/>
      <c r="J22" s="7"/>
      <c r="K22" s="7"/>
      <c r="L22" s="7"/>
      <c r="O22" s="30" t="str">
        <f t="shared" si="1"/>
        <v/>
      </c>
      <c r="P22" s="30" t="str">
        <f t="shared" si="2"/>
        <v/>
      </c>
      <c r="Q22" s="30" t="str">
        <f t="shared" si="3"/>
        <v/>
      </c>
      <c r="R22" s="30" t="str">
        <f t="shared" si="4"/>
        <v/>
      </c>
      <c r="S22" s="30" t="str">
        <f t="shared" si="5"/>
        <v/>
      </c>
    </row>
    <row r="23" spans="1:19">
      <c r="A23" s="7" t="s">
        <v>74</v>
      </c>
      <c r="B23" s="7"/>
      <c r="C23" s="7"/>
      <c r="D23" s="7"/>
      <c r="E23" s="7"/>
      <c r="F23" s="7"/>
      <c r="H23" s="7"/>
      <c r="I23" s="7"/>
      <c r="J23" s="7"/>
      <c r="K23" s="7"/>
      <c r="L23" s="7"/>
      <c r="O23" s="30" t="str">
        <f t="shared" si="1"/>
        <v/>
      </c>
      <c r="P23" s="30" t="str">
        <f t="shared" si="2"/>
        <v/>
      </c>
      <c r="Q23" s="30" t="str">
        <f t="shared" si="3"/>
        <v/>
      </c>
      <c r="R23" s="30" t="str">
        <f t="shared" si="4"/>
        <v/>
      </c>
      <c r="S23" s="30" t="str">
        <f t="shared" si="5"/>
        <v/>
      </c>
    </row>
    <row r="24" spans="1:19">
      <c r="A24" s="7" t="s">
        <v>75</v>
      </c>
      <c r="B24" s="7"/>
      <c r="C24" s="7"/>
      <c r="D24" s="7"/>
      <c r="E24" s="7"/>
      <c r="F24" s="7"/>
      <c r="H24" s="7"/>
      <c r="I24" s="7"/>
      <c r="J24" s="7"/>
      <c r="K24" s="7"/>
      <c r="L24" s="7"/>
      <c r="O24" s="30" t="str">
        <f t="shared" si="1"/>
        <v/>
      </c>
      <c r="P24" s="30" t="str">
        <f t="shared" si="2"/>
        <v/>
      </c>
      <c r="Q24" s="30" t="str">
        <f t="shared" si="3"/>
        <v/>
      </c>
      <c r="R24" s="30" t="str">
        <f t="shared" si="4"/>
        <v/>
      </c>
      <c r="S24" s="30" t="str">
        <f t="shared" si="5"/>
        <v/>
      </c>
    </row>
    <row r="25" spans="1:19">
      <c r="A25" s="7" t="s">
        <v>76</v>
      </c>
      <c r="B25" s="7"/>
      <c r="C25" s="7"/>
      <c r="D25" s="7"/>
      <c r="E25" s="7"/>
      <c r="F25" s="7"/>
      <c r="H25" s="7"/>
      <c r="I25" s="7"/>
      <c r="J25" s="7"/>
      <c r="K25" s="7"/>
      <c r="L25" s="7"/>
      <c r="O25" s="30" t="str">
        <f t="shared" si="1"/>
        <v/>
      </c>
      <c r="P25" s="30" t="str">
        <f t="shared" si="2"/>
        <v/>
      </c>
      <c r="Q25" s="30" t="str">
        <f t="shared" si="3"/>
        <v/>
      </c>
      <c r="R25" s="30" t="str">
        <f t="shared" si="4"/>
        <v/>
      </c>
      <c r="S25" s="30" t="str">
        <f t="shared" si="5"/>
        <v/>
      </c>
    </row>
    <row r="26" spans="1:19">
      <c r="A26" s="7" t="s">
        <v>77</v>
      </c>
      <c r="B26" s="7"/>
      <c r="C26" s="7"/>
      <c r="D26" s="7"/>
      <c r="E26" s="7"/>
      <c r="F26" s="7"/>
      <c r="H26" s="7"/>
      <c r="I26" s="7"/>
      <c r="J26" s="7"/>
      <c r="K26" s="7"/>
      <c r="L26" s="7"/>
      <c r="O26" s="30" t="str">
        <f t="shared" si="1"/>
        <v/>
      </c>
      <c r="P26" s="30" t="str">
        <f t="shared" si="2"/>
        <v/>
      </c>
      <c r="Q26" s="30" t="str">
        <f t="shared" si="3"/>
        <v/>
      </c>
      <c r="R26" s="30" t="str">
        <f t="shared" si="4"/>
        <v/>
      </c>
      <c r="S26" s="30" t="str">
        <f t="shared" si="5"/>
        <v/>
      </c>
    </row>
    <row r="27" spans="1:19">
      <c r="A27" s="7" t="s">
        <v>78</v>
      </c>
      <c r="B27" s="7"/>
      <c r="C27" s="7"/>
      <c r="D27" s="7"/>
      <c r="E27" s="7"/>
      <c r="F27" s="7"/>
      <c r="H27" s="7"/>
      <c r="I27" s="7"/>
      <c r="J27" s="7"/>
      <c r="K27" s="7"/>
      <c r="L27" s="7"/>
      <c r="O27" s="30" t="str">
        <f t="shared" si="1"/>
        <v/>
      </c>
      <c r="P27" s="30" t="str">
        <f t="shared" si="2"/>
        <v/>
      </c>
      <c r="Q27" s="30" t="str">
        <f t="shared" si="3"/>
        <v/>
      </c>
      <c r="R27" s="30" t="str">
        <f t="shared" si="4"/>
        <v/>
      </c>
      <c r="S27" s="30" t="str">
        <f t="shared" si="5"/>
        <v/>
      </c>
    </row>
    <row r="28" spans="1:19">
      <c r="A28" s="7" t="s">
        <v>79</v>
      </c>
      <c r="B28" s="7"/>
      <c r="C28" s="7"/>
      <c r="D28" s="7"/>
      <c r="E28" s="7"/>
      <c r="F28" s="7"/>
      <c r="H28" s="7"/>
      <c r="I28" s="7"/>
      <c r="J28" s="7"/>
      <c r="K28" s="7"/>
      <c r="L28" s="7"/>
      <c r="O28" s="30" t="str">
        <f t="shared" si="1"/>
        <v/>
      </c>
      <c r="P28" s="30" t="str">
        <f t="shared" si="2"/>
        <v/>
      </c>
      <c r="Q28" s="30" t="str">
        <f t="shared" si="3"/>
        <v/>
      </c>
      <c r="R28" s="30" t="str">
        <f t="shared" si="4"/>
        <v/>
      </c>
      <c r="S28" s="30" t="str">
        <f t="shared" si="5"/>
        <v/>
      </c>
    </row>
    <row r="29" spans="1:19">
      <c r="A29" s="7" t="s">
        <v>80</v>
      </c>
      <c r="B29" s="7"/>
      <c r="C29" s="7"/>
      <c r="D29" s="7"/>
      <c r="E29" s="7"/>
      <c r="F29" s="7"/>
      <c r="H29" s="7"/>
      <c r="I29" s="7"/>
      <c r="J29" s="7"/>
      <c r="K29" s="7"/>
      <c r="L29" s="7"/>
      <c r="O29" s="30" t="str">
        <f t="shared" si="1"/>
        <v/>
      </c>
      <c r="P29" s="30" t="str">
        <f t="shared" si="2"/>
        <v/>
      </c>
      <c r="Q29" s="30" t="str">
        <f t="shared" si="3"/>
        <v/>
      </c>
      <c r="R29" s="30" t="str">
        <f t="shared" si="4"/>
        <v/>
      </c>
      <c r="S29" s="30" t="str">
        <f t="shared" si="5"/>
        <v/>
      </c>
    </row>
    <row r="30" spans="1:19">
      <c r="A30" s="7" t="s">
        <v>81</v>
      </c>
      <c r="B30" s="7"/>
      <c r="C30" s="7"/>
      <c r="D30" s="7"/>
      <c r="E30" s="7"/>
      <c r="F30" s="7"/>
      <c r="H30" s="7"/>
      <c r="I30" s="7"/>
      <c r="J30" s="7"/>
      <c r="K30" s="7"/>
      <c r="L30" s="7"/>
      <c r="O30" s="30" t="str">
        <f t="shared" si="1"/>
        <v/>
      </c>
      <c r="P30" s="30" t="str">
        <f t="shared" si="2"/>
        <v/>
      </c>
      <c r="Q30" s="30" t="str">
        <f t="shared" si="3"/>
        <v/>
      </c>
      <c r="R30" s="30" t="str">
        <f t="shared" si="4"/>
        <v/>
      </c>
      <c r="S30" s="30" t="str">
        <f t="shared" si="5"/>
        <v/>
      </c>
    </row>
    <row r="31" spans="1:19">
      <c r="A31" s="7" t="s">
        <v>82</v>
      </c>
      <c r="B31" s="7"/>
      <c r="C31" s="7"/>
      <c r="D31" s="7"/>
      <c r="E31" s="7"/>
      <c r="F31" s="7"/>
      <c r="H31" s="7"/>
      <c r="I31" s="7"/>
      <c r="J31" s="7"/>
      <c r="K31" s="7"/>
      <c r="L31" s="7"/>
      <c r="O31" s="30" t="str">
        <f t="shared" si="1"/>
        <v/>
      </c>
      <c r="P31" s="30" t="str">
        <f t="shared" si="2"/>
        <v/>
      </c>
      <c r="Q31" s="30" t="str">
        <f t="shared" si="3"/>
        <v/>
      </c>
      <c r="R31" s="30" t="str">
        <f t="shared" si="4"/>
        <v/>
      </c>
      <c r="S31" s="30" t="str">
        <f t="shared" si="5"/>
        <v/>
      </c>
    </row>
    <row r="32" spans="1:19">
      <c r="A32" s="7" t="s">
        <v>83</v>
      </c>
      <c r="B32" s="7"/>
      <c r="C32" s="7"/>
      <c r="D32" s="7"/>
      <c r="E32" s="7"/>
      <c r="F32" s="7"/>
      <c r="H32" s="7"/>
      <c r="I32" s="7"/>
      <c r="J32" s="7"/>
      <c r="K32" s="7"/>
      <c r="L32" s="7"/>
      <c r="O32" s="30" t="str">
        <f t="shared" si="1"/>
        <v/>
      </c>
      <c r="P32" s="30" t="str">
        <f t="shared" si="2"/>
        <v/>
      </c>
      <c r="Q32" s="30" t="str">
        <f t="shared" si="3"/>
        <v/>
      </c>
      <c r="R32" s="30" t="str">
        <f t="shared" si="4"/>
        <v/>
      </c>
      <c r="S32" s="30" t="str">
        <f t="shared" si="5"/>
        <v/>
      </c>
    </row>
    <row r="33" spans="1:19">
      <c r="A33" s="7" t="s">
        <v>84</v>
      </c>
      <c r="B33" s="7"/>
      <c r="C33" s="7"/>
      <c r="D33" s="7"/>
      <c r="E33" s="7"/>
      <c r="F33" s="7"/>
      <c r="H33" s="7"/>
      <c r="I33" s="7"/>
      <c r="J33" s="7"/>
      <c r="K33" s="7"/>
      <c r="L33" s="7"/>
      <c r="O33" s="30" t="str">
        <f t="shared" si="1"/>
        <v/>
      </c>
      <c r="P33" s="30" t="str">
        <f t="shared" si="2"/>
        <v/>
      </c>
      <c r="Q33" s="30" t="str">
        <f t="shared" si="3"/>
        <v/>
      </c>
      <c r="R33" s="30" t="str">
        <f t="shared" si="4"/>
        <v/>
      </c>
      <c r="S33" s="30" t="str">
        <f t="shared" si="5"/>
        <v/>
      </c>
    </row>
    <row r="34" spans="1:19">
      <c r="A34" s="7" t="s">
        <v>85</v>
      </c>
      <c r="B34" s="7"/>
      <c r="C34" s="7"/>
      <c r="D34" s="7"/>
      <c r="E34" s="7"/>
      <c r="F34" s="7"/>
      <c r="H34" s="7"/>
      <c r="I34" s="7"/>
      <c r="J34" s="7"/>
      <c r="K34" s="7"/>
      <c r="L34" s="7"/>
      <c r="O34" s="30" t="str">
        <f t="shared" si="1"/>
        <v/>
      </c>
      <c r="P34" s="30" t="str">
        <f t="shared" si="2"/>
        <v/>
      </c>
      <c r="Q34" s="30" t="str">
        <f t="shared" si="3"/>
        <v/>
      </c>
      <c r="R34" s="30" t="str">
        <f t="shared" si="4"/>
        <v/>
      </c>
      <c r="S34" s="30" t="str">
        <f t="shared" si="5"/>
        <v/>
      </c>
    </row>
    <row r="35" spans="1:19">
      <c r="A35" s="7" t="s">
        <v>86</v>
      </c>
      <c r="B35" s="7"/>
      <c r="C35" s="7"/>
      <c r="D35" s="7"/>
      <c r="E35" s="7"/>
      <c r="F35" s="7"/>
      <c r="H35" s="7"/>
      <c r="I35" s="7"/>
      <c r="J35" s="7"/>
      <c r="K35" s="7"/>
      <c r="L35" s="7"/>
      <c r="O35" s="30" t="str">
        <f t="shared" si="1"/>
        <v/>
      </c>
      <c r="P35" s="30" t="str">
        <f t="shared" si="2"/>
        <v/>
      </c>
      <c r="Q35" s="30" t="str">
        <f t="shared" si="3"/>
        <v/>
      </c>
      <c r="R35" s="30" t="str">
        <f t="shared" si="4"/>
        <v/>
      </c>
      <c r="S35" s="30" t="str">
        <f t="shared" si="5"/>
        <v/>
      </c>
    </row>
    <row r="36" spans="1:19">
      <c r="A36" s="7" t="s">
        <v>87</v>
      </c>
      <c r="B36" s="7"/>
      <c r="C36" s="7"/>
      <c r="D36" s="7"/>
      <c r="E36" s="7"/>
      <c r="F36" s="7"/>
      <c r="H36" s="7"/>
      <c r="I36" s="7"/>
      <c r="J36" s="7"/>
      <c r="K36" s="7"/>
      <c r="L36" s="7"/>
      <c r="O36" s="30" t="str">
        <f t="shared" si="1"/>
        <v/>
      </c>
      <c r="P36" s="30" t="str">
        <f t="shared" si="2"/>
        <v/>
      </c>
      <c r="Q36" s="30" t="str">
        <f t="shared" si="3"/>
        <v/>
      </c>
      <c r="R36" s="30" t="str">
        <f t="shared" si="4"/>
        <v/>
      </c>
      <c r="S36" s="30" t="str">
        <f t="shared" si="5"/>
        <v/>
      </c>
    </row>
    <row r="37" spans="1:19">
      <c r="A37" s="7" t="s">
        <v>88</v>
      </c>
      <c r="B37" s="7"/>
      <c r="C37" s="7"/>
      <c r="D37" s="7"/>
      <c r="E37" s="7"/>
      <c r="F37" s="7"/>
      <c r="H37" s="7"/>
      <c r="I37" s="7"/>
      <c r="J37" s="7"/>
      <c r="K37" s="7"/>
      <c r="L37" s="7"/>
      <c r="O37" s="30" t="str">
        <f t="shared" si="1"/>
        <v/>
      </c>
      <c r="P37" s="30" t="str">
        <f t="shared" si="2"/>
        <v/>
      </c>
      <c r="Q37" s="30" t="str">
        <f t="shared" si="3"/>
        <v/>
      </c>
      <c r="R37" s="30" t="str">
        <f t="shared" si="4"/>
        <v/>
      </c>
      <c r="S37" s="30" t="str">
        <f t="shared" si="5"/>
        <v/>
      </c>
    </row>
    <row r="38" spans="1:19">
      <c r="A38" s="7" t="s">
        <v>89</v>
      </c>
      <c r="B38" s="7"/>
      <c r="C38" s="7"/>
      <c r="D38" s="7"/>
      <c r="E38" s="7"/>
      <c r="F38" s="7"/>
      <c r="H38" s="7"/>
      <c r="I38" s="7"/>
      <c r="J38" s="7"/>
      <c r="K38" s="7"/>
      <c r="L38" s="7"/>
      <c r="O38" s="30" t="str">
        <f t="shared" si="1"/>
        <v/>
      </c>
      <c r="P38" s="30" t="str">
        <f t="shared" si="2"/>
        <v/>
      </c>
      <c r="Q38" s="30" t="str">
        <f t="shared" si="3"/>
        <v/>
      </c>
      <c r="R38" s="30" t="str">
        <f t="shared" si="4"/>
        <v/>
      </c>
      <c r="S38" s="30" t="str">
        <f t="shared" si="5"/>
        <v/>
      </c>
    </row>
    <row r="39" spans="1:19">
      <c r="A39" s="7" t="s">
        <v>90</v>
      </c>
      <c r="B39" s="7"/>
      <c r="C39" s="7"/>
      <c r="D39" s="7"/>
      <c r="E39" s="7"/>
      <c r="F39" s="7"/>
      <c r="H39" s="7"/>
      <c r="I39" s="7"/>
      <c r="J39" s="7"/>
      <c r="K39" s="7"/>
      <c r="L39" s="7"/>
      <c r="O39" s="30" t="str">
        <f t="shared" si="1"/>
        <v/>
      </c>
      <c r="P39" s="30" t="str">
        <f t="shared" si="2"/>
        <v/>
      </c>
      <c r="Q39" s="30" t="str">
        <f t="shared" si="3"/>
        <v/>
      </c>
      <c r="R39" s="30" t="str">
        <f t="shared" si="4"/>
        <v/>
      </c>
      <c r="S39" s="30" t="str">
        <f t="shared" si="5"/>
        <v/>
      </c>
    </row>
    <row r="40" spans="1:19">
      <c r="A40" s="7" t="s">
        <v>91</v>
      </c>
      <c r="B40" s="7"/>
      <c r="C40" s="7"/>
      <c r="D40" s="7"/>
      <c r="E40" s="7"/>
      <c r="F40" s="7"/>
      <c r="H40" s="7"/>
      <c r="I40" s="7"/>
      <c r="J40" s="7"/>
      <c r="K40" s="7"/>
      <c r="L40" s="7"/>
      <c r="O40" s="30" t="str">
        <f t="shared" si="1"/>
        <v/>
      </c>
      <c r="P40" s="30" t="str">
        <f t="shared" si="2"/>
        <v/>
      </c>
      <c r="Q40" s="30" t="str">
        <f t="shared" si="3"/>
        <v/>
      </c>
      <c r="R40" s="30" t="str">
        <f t="shared" si="4"/>
        <v/>
      </c>
      <c r="S40" s="30" t="str">
        <f t="shared" si="5"/>
        <v/>
      </c>
    </row>
    <row r="41" spans="1:19">
      <c r="A41" s="7" t="s">
        <v>92</v>
      </c>
      <c r="B41" s="7"/>
      <c r="C41" s="7"/>
      <c r="D41" s="7"/>
      <c r="E41" s="7"/>
      <c r="F41" s="7"/>
      <c r="H41" s="7"/>
      <c r="I41" s="7"/>
      <c r="J41" s="7"/>
      <c r="K41" s="7"/>
      <c r="L41" s="7"/>
      <c r="O41" s="30" t="str">
        <f t="shared" si="1"/>
        <v/>
      </c>
      <c r="P41" s="30" t="str">
        <f t="shared" si="2"/>
        <v/>
      </c>
      <c r="Q41" s="30" t="str">
        <f t="shared" si="3"/>
        <v/>
      </c>
      <c r="R41" s="30" t="str">
        <f t="shared" si="4"/>
        <v/>
      </c>
      <c r="S41" s="30" t="str">
        <f t="shared" si="5"/>
        <v/>
      </c>
    </row>
    <row r="42" spans="1:19">
      <c r="A42" s="7" t="s">
        <v>93</v>
      </c>
      <c r="B42" s="7"/>
      <c r="C42" s="7"/>
      <c r="D42" s="7"/>
      <c r="E42" s="7"/>
      <c r="F42" s="7"/>
      <c r="H42" s="7"/>
      <c r="I42" s="7"/>
      <c r="J42" s="7"/>
      <c r="K42" s="7"/>
      <c r="L42" s="7"/>
      <c r="O42" s="30" t="str">
        <f t="shared" si="1"/>
        <v/>
      </c>
      <c r="P42" s="30" t="str">
        <f t="shared" si="2"/>
        <v/>
      </c>
      <c r="Q42" s="30" t="str">
        <f t="shared" si="3"/>
        <v/>
      </c>
      <c r="R42" s="30" t="str">
        <f t="shared" si="4"/>
        <v/>
      </c>
      <c r="S42" s="30" t="str">
        <f t="shared" si="5"/>
        <v/>
      </c>
    </row>
    <row r="43" spans="1:19">
      <c r="A43" s="7" t="s">
        <v>94</v>
      </c>
      <c r="B43" s="7"/>
      <c r="C43" s="7"/>
      <c r="D43" s="7"/>
      <c r="E43" s="7"/>
      <c r="F43" s="7"/>
      <c r="H43" s="7"/>
      <c r="I43" s="7"/>
      <c r="J43" s="7"/>
      <c r="K43" s="7"/>
      <c r="L43" s="7"/>
      <c r="O43" s="30" t="str">
        <f t="shared" si="1"/>
        <v/>
      </c>
      <c r="P43" s="30" t="str">
        <f t="shared" si="2"/>
        <v/>
      </c>
      <c r="Q43" s="30" t="str">
        <f t="shared" si="3"/>
        <v/>
      </c>
      <c r="R43" s="30" t="str">
        <f t="shared" si="4"/>
        <v/>
      </c>
      <c r="S43" s="30" t="str">
        <f t="shared" si="5"/>
        <v/>
      </c>
    </row>
    <row r="44" spans="1:19">
      <c r="A44" s="7" t="s">
        <v>95</v>
      </c>
      <c r="B44" s="7"/>
      <c r="C44" s="7"/>
      <c r="D44" s="7"/>
      <c r="E44" s="7"/>
      <c r="F44" s="7"/>
      <c r="H44" s="7"/>
      <c r="I44" s="7"/>
      <c r="J44" s="7"/>
      <c r="K44" s="7"/>
      <c r="L44" s="7"/>
      <c r="O44" s="30" t="str">
        <f t="shared" si="1"/>
        <v/>
      </c>
      <c r="P44" s="30" t="str">
        <f t="shared" si="2"/>
        <v/>
      </c>
      <c r="Q44" s="30" t="str">
        <f t="shared" si="3"/>
        <v/>
      </c>
      <c r="R44" s="30" t="str">
        <f t="shared" si="4"/>
        <v/>
      </c>
      <c r="S44" s="30" t="str">
        <f t="shared" si="5"/>
        <v/>
      </c>
    </row>
    <row r="45" spans="1:19">
      <c r="A45" s="7" t="s">
        <v>96</v>
      </c>
      <c r="B45" s="7"/>
      <c r="C45" s="7"/>
      <c r="D45" s="7"/>
      <c r="E45" s="7"/>
      <c r="F45" s="7"/>
      <c r="H45" s="7"/>
      <c r="I45" s="7"/>
      <c r="J45" s="7"/>
      <c r="K45" s="7"/>
      <c r="L45" s="7"/>
      <c r="O45" s="30" t="str">
        <f t="shared" si="1"/>
        <v/>
      </c>
      <c r="P45" s="30" t="str">
        <f t="shared" si="2"/>
        <v/>
      </c>
      <c r="Q45" s="30" t="str">
        <f t="shared" si="3"/>
        <v/>
      </c>
      <c r="R45" s="30" t="str">
        <f t="shared" si="4"/>
        <v/>
      </c>
      <c r="S45" s="30" t="str">
        <f t="shared" si="5"/>
        <v/>
      </c>
    </row>
    <row r="46" spans="1:19">
      <c r="A46" s="7" t="s">
        <v>97</v>
      </c>
      <c r="B46" s="7"/>
      <c r="C46" s="7"/>
      <c r="D46" s="7"/>
      <c r="E46" s="7"/>
      <c r="F46" s="7"/>
      <c r="H46" s="7"/>
      <c r="I46" s="7"/>
      <c r="J46" s="7"/>
      <c r="K46" s="7"/>
      <c r="L46" s="7"/>
      <c r="O46" s="30" t="str">
        <f t="shared" si="1"/>
        <v/>
      </c>
      <c r="P46" s="30" t="str">
        <f t="shared" si="2"/>
        <v/>
      </c>
      <c r="Q46" s="30" t="str">
        <f t="shared" si="3"/>
        <v/>
      </c>
      <c r="R46" s="30" t="str">
        <f t="shared" si="4"/>
        <v/>
      </c>
      <c r="S46" s="30" t="str">
        <f t="shared" si="5"/>
        <v/>
      </c>
    </row>
    <row r="47" spans="1:19">
      <c r="A47" s="7" t="s">
        <v>98</v>
      </c>
      <c r="B47" s="7"/>
      <c r="C47" s="7"/>
      <c r="D47" s="7"/>
      <c r="E47" s="7"/>
      <c r="F47" s="7"/>
      <c r="H47" s="7"/>
      <c r="I47" s="7"/>
      <c r="J47" s="7"/>
      <c r="K47" s="7"/>
      <c r="L47" s="7"/>
      <c r="O47" s="30" t="str">
        <f t="shared" si="1"/>
        <v/>
      </c>
      <c r="P47" s="30" t="str">
        <f t="shared" si="2"/>
        <v/>
      </c>
      <c r="Q47" s="30" t="str">
        <f t="shared" si="3"/>
        <v/>
      </c>
      <c r="R47" s="30" t="str">
        <f t="shared" si="4"/>
        <v/>
      </c>
      <c r="S47" s="30" t="str">
        <f t="shared" si="5"/>
        <v/>
      </c>
    </row>
    <row r="48" spans="1:19">
      <c r="A48" s="7" t="s">
        <v>99</v>
      </c>
      <c r="B48" s="7"/>
      <c r="C48" s="7"/>
      <c r="D48" s="7"/>
      <c r="E48" s="7"/>
      <c r="F48" s="7"/>
      <c r="H48" s="7"/>
      <c r="I48" s="7"/>
      <c r="J48" s="7"/>
      <c r="K48" s="7"/>
      <c r="L48" s="7"/>
      <c r="O48" s="30" t="str">
        <f t="shared" si="1"/>
        <v/>
      </c>
      <c r="P48" s="30" t="str">
        <f t="shared" si="2"/>
        <v/>
      </c>
      <c r="Q48" s="30" t="str">
        <f t="shared" si="3"/>
        <v/>
      </c>
      <c r="R48" s="30" t="str">
        <f t="shared" si="4"/>
        <v/>
      </c>
      <c r="S48" s="30" t="str">
        <f t="shared" si="5"/>
        <v/>
      </c>
    </row>
    <row r="49" spans="1:19">
      <c r="A49" s="7" t="s">
        <v>100</v>
      </c>
      <c r="B49" s="7"/>
      <c r="C49" s="7"/>
      <c r="D49" s="7"/>
      <c r="E49" s="7"/>
      <c r="F49" s="7"/>
      <c r="H49" s="7"/>
      <c r="I49" s="7"/>
      <c r="J49" s="7"/>
      <c r="K49" s="7"/>
      <c r="L49" s="7"/>
      <c r="O49" s="30" t="str">
        <f t="shared" si="1"/>
        <v/>
      </c>
      <c r="P49" s="30" t="str">
        <f t="shared" si="2"/>
        <v/>
      </c>
      <c r="Q49" s="30" t="str">
        <f t="shared" si="3"/>
        <v/>
      </c>
      <c r="R49" s="30" t="str">
        <f t="shared" si="4"/>
        <v/>
      </c>
      <c r="S49" s="30" t="str">
        <f t="shared" si="5"/>
        <v/>
      </c>
    </row>
    <row r="50" spans="1:19">
      <c r="A50" s="7" t="s">
        <v>101</v>
      </c>
      <c r="B50" s="7"/>
      <c r="C50" s="7"/>
      <c r="D50" s="7"/>
      <c r="E50" s="7"/>
      <c r="F50" s="7"/>
      <c r="H50" s="7"/>
      <c r="I50" s="7"/>
      <c r="J50" s="7"/>
      <c r="K50" s="7"/>
      <c r="L50" s="7"/>
      <c r="O50" s="30" t="str">
        <f t="shared" si="1"/>
        <v/>
      </c>
      <c r="P50" s="30" t="str">
        <f t="shared" si="2"/>
        <v/>
      </c>
      <c r="Q50" s="30" t="str">
        <f t="shared" si="3"/>
        <v/>
      </c>
      <c r="R50" s="30" t="str">
        <f t="shared" si="4"/>
        <v/>
      </c>
      <c r="S50" s="30" t="str">
        <f t="shared" si="5"/>
        <v/>
      </c>
    </row>
    <row r="51" spans="1:19">
      <c r="A51" s="7" t="s">
        <v>102</v>
      </c>
      <c r="B51" s="7"/>
      <c r="C51" s="7"/>
      <c r="D51" s="7"/>
      <c r="E51" s="7"/>
      <c r="F51" s="7"/>
      <c r="H51" s="7"/>
      <c r="I51" s="7"/>
      <c r="J51" s="7"/>
      <c r="K51" s="7"/>
      <c r="L51" s="7"/>
      <c r="O51" s="30" t="str">
        <f t="shared" si="1"/>
        <v/>
      </c>
      <c r="P51" s="30" t="str">
        <f t="shared" si="2"/>
        <v/>
      </c>
      <c r="Q51" s="30" t="str">
        <f t="shared" si="3"/>
        <v/>
      </c>
      <c r="R51" s="30" t="str">
        <f t="shared" si="4"/>
        <v/>
      </c>
      <c r="S51" s="30" t="str">
        <f t="shared" si="5"/>
        <v/>
      </c>
    </row>
    <row r="52" spans="1:19">
      <c r="A52" s="7" t="s">
        <v>103</v>
      </c>
      <c r="B52" s="7"/>
      <c r="C52" s="7"/>
      <c r="D52" s="7"/>
      <c r="E52" s="7"/>
      <c r="F52" s="7"/>
      <c r="H52" s="7"/>
      <c r="I52" s="7"/>
      <c r="J52" s="7"/>
      <c r="K52" s="7"/>
      <c r="L52" s="7"/>
      <c r="O52" s="30" t="str">
        <f t="shared" si="1"/>
        <v/>
      </c>
      <c r="P52" s="30" t="str">
        <f t="shared" si="2"/>
        <v/>
      </c>
      <c r="Q52" s="30" t="str">
        <f t="shared" si="3"/>
        <v/>
      </c>
      <c r="R52" s="30" t="str">
        <f t="shared" si="4"/>
        <v/>
      </c>
      <c r="S52" s="30" t="str">
        <f t="shared" si="5"/>
        <v/>
      </c>
    </row>
    <row r="53" spans="1:19">
      <c r="A53" s="7" t="s">
        <v>104</v>
      </c>
      <c r="B53" s="7"/>
      <c r="C53" s="7"/>
      <c r="D53" s="7"/>
      <c r="E53" s="7"/>
      <c r="F53" s="7"/>
      <c r="H53" s="7"/>
      <c r="I53" s="7"/>
      <c r="J53" s="7"/>
      <c r="K53" s="7"/>
      <c r="L53" s="7"/>
      <c r="O53" s="30" t="str">
        <f t="shared" si="1"/>
        <v/>
      </c>
      <c r="P53" s="30" t="str">
        <f t="shared" si="2"/>
        <v/>
      </c>
      <c r="Q53" s="30" t="str">
        <f t="shared" si="3"/>
        <v/>
      </c>
      <c r="R53" s="30" t="str">
        <f t="shared" si="4"/>
        <v/>
      </c>
      <c r="S53" s="30" t="str">
        <f t="shared" si="5"/>
        <v/>
      </c>
    </row>
    <row r="54" spans="1:19">
      <c r="A54" s="7" t="s">
        <v>105</v>
      </c>
      <c r="B54" s="7"/>
      <c r="C54" s="7"/>
      <c r="D54" s="7"/>
      <c r="E54" s="7"/>
      <c r="F54" s="7"/>
      <c r="H54" s="7"/>
      <c r="I54" s="7"/>
      <c r="J54" s="7"/>
      <c r="K54" s="7"/>
      <c r="L54" s="7"/>
      <c r="O54" s="30" t="str">
        <f t="shared" si="1"/>
        <v/>
      </c>
      <c r="P54" s="30" t="str">
        <f t="shared" si="2"/>
        <v/>
      </c>
      <c r="Q54" s="30" t="str">
        <f t="shared" si="3"/>
        <v/>
      </c>
      <c r="R54" s="30" t="str">
        <f t="shared" si="4"/>
        <v/>
      </c>
      <c r="S54" s="30" t="str">
        <f t="shared" si="5"/>
        <v/>
      </c>
    </row>
    <row r="55" spans="1:19">
      <c r="A55" s="7" t="s">
        <v>106</v>
      </c>
      <c r="B55" s="7"/>
      <c r="C55" s="7"/>
      <c r="D55" s="7"/>
      <c r="E55" s="7"/>
      <c r="F55" s="7"/>
      <c r="H55" s="7"/>
      <c r="I55" s="7"/>
      <c r="J55" s="7"/>
      <c r="K55" s="7"/>
      <c r="L55" s="7"/>
      <c r="O55" s="30" t="str">
        <f t="shared" si="1"/>
        <v/>
      </c>
      <c r="P55" s="30" t="str">
        <f t="shared" si="2"/>
        <v/>
      </c>
      <c r="Q55" s="30" t="str">
        <f t="shared" si="3"/>
        <v/>
      </c>
      <c r="R55" s="30" t="str">
        <f t="shared" si="4"/>
        <v/>
      </c>
      <c r="S55" s="30" t="str">
        <f t="shared" si="5"/>
        <v/>
      </c>
    </row>
    <row r="56" spans="1:19">
      <c r="A56" s="7" t="s">
        <v>107</v>
      </c>
      <c r="B56" s="7"/>
      <c r="C56" s="7"/>
      <c r="D56" s="7"/>
      <c r="E56" s="7"/>
      <c r="F56" s="7"/>
      <c r="H56" s="7"/>
      <c r="I56" s="7"/>
      <c r="J56" s="7"/>
      <c r="K56" s="7"/>
      <c r="L56" s="7"/>
      <c r="O56" s="30" t="str">
        <f t="shared" si="1"/>
        <v/>
      </c>
      <c r="P56" s="30" t="str">
        <f t="shared" si="2"/>
        <v/>
      </c>
      <c r="Q56" s="30" t="str">
        <f t="shared" si="3"/>
        <v/>
      </c>
      <c r="R56" s="30" t="str">
        <f t="shared" si="4"/>
        <v/>
      </c>
      <c r="S56" s="30" t="str">
        <f t="shared" si="5"/>
        <v/>
      </c>
    </row>
    <row r="57" spans="1:19">
      <c r="A57" s="7" t="s">
        <v>108</v>
      </c>
      <c r="B57" s="7"/>
      <c r="C57" s="7"/>
      <c r="D57" s="7"/>
      <c r="E57" s="7"/>
      <c r="F57" s="7"/>
      <c r="H57" s="7"/>
      <c r="I57" s="7"/>
      <c r="J57" s="7"/>
      <c r="K57" s="7"/>
      <c r="L57" s="7"/>
      <c r="O57" s="30" t="str">
        <f t="shared" si="1"/>
        <v/>
      </c>
      <c r="P57" s="30" t="str">
        <f t="shared" si="2"/>
        <v/>
      </c>
      <c r="Q57" s="30" t="str">
        <f t="shared" si="3"/>
        <v/>
      </c>
      <c r="R57" s="30" t="str">
        <f t="shared" si="4"/>
        <v/>
      </c>
      <c r="S57" s="30" t="str">
        <f t="shared" si="5"/>
        <v/>
      </c>
    </row>
    <row r="58" spans="1:19">
      <c r="A58" s="7" t="s">
        <v>109</v>
      </c>
      <c r="B58" s="7"/>
      <c r="C58" s="7"/>
      <c r="D58" s="7"/>
      <c r="E58" s="7"/>
      <c r="F58" s="7"/>
      <c r="H58" s="7"/>
      <c r="I58" s="7"/>
      <c r="J58" s="7"/>
      <c r="K58" s="7"/>
      <c r="L58" s="7"/>
      <c r="O58" s="30" t="str">
        <f t="shared" si="1"/>
        <v/>
      </c>
      <c r="P58" s="30" t="str">
        <f t="shared" si="2"/>
        <v/>
      </c>
      <c r="Q58" s="30" t="str">
        <f t="shared" si="3"/>
        <v/>
      </c>
      <c r="R58" s="30" t="str">
        <f t="shared" si="4"/>
        <v/>
      </c>
      <c r="S58" s="30" t="str">
        <f t="shared" si="5"/>
        <v/>
      </c>
    </row>
    <row r="59" spans="1:19">
      <c r="A59" s="7" t="s">
        <v>110</v>
      </c>
      <c r="B59" s="7"/>
      <c r="C59" s="7"/>
      <c r="D59" s="7"/>
      <c r="E59" s="7"/>
      <c r="F59" s="7"/>
      <c r="H59" s="7"/>
      <c r="I59" s="7"/>
      <c r="J59" s="7"/>
      <c r="K59" s="7"/>
      <c r="L59" s="7"/>
      <c r="O59" s="30" t="str">
        <f t="shared" si="1"/>
        <v/>
      </c>
      <c r="P59" s="30" t="str">
        <f t="shared" si="2"/>
        <v/>
      </c>
      <c r="Q59" s="30" t="str">
        <f t="shared" si="3"/>
        <v/>
      </c>
      <c r="R59" s="30" t="str">
        <f t="shared" si="4"/>
        <v/>
      </c>
      <c r="S59" s="30" t="str">
        <f t="shared" si="5"/>
        <v/>
      </c>
    </row>
    <row r="60" spans="1:19">
      <c r="A60" s="7" t="s">
        <v>111</v>
      </c>
      <c r="B60" s="7"/>
      <c r="C60" s="7"/>
      <c r="D60" s="7"/>
      <c r="E60" s="7"/>
      <c r="F60" s="7"/>
      <c r="H60" s="7"/>
      <c r="I60" s="7"/>
      <c r="J60" s="7"/>
      <c r="K60" s="7"/>
      <c r="L60" s="7"/>
      <c r="O60" s="30" t="str">
        <f t="shared" si="1"/>
        <v/>
      </c>
      <c r="P60" s="30" t="str">
        <f t="shared" si="2"/>
        <v/>
      </c>
      <c r="Q60" s="30" t="str">
        <f t="shared" si="3"/>
        <v/>
      </c>
      <c r="R60" s="30" t="str">
        <f t="shared" si="4"/>
        <v/>
      </c>
      <c r="S60" s="30" t="str">
        <f t="shared" si="5"/>
        <v/>
      </c>
    </row>
    <row r="61" spans="1:19">
      <c r="A61" s="7" t="s">
        <v>112</v>
      </c>
      <c r="B61" s="7"/>
      <c r="C61" s="7"/>
      <c r="D61" s="7"/>
      <c r="E61" s="7"/>
      <c r="F61" s="7"/>
      <c r="H61" s="7"/>
      <c r="I61" s="7"/>
      <c r="J61" s="7"/>
      <c r="K61" s="7"/>
      <c r="L61" s="7"/>
      <c r="O61" s="30" t="str">
        <f t="shared" si="1"/>
        <v/>
      </c>
      <c r="P61" s="30" t="str">
        <f t="shared" si="2"/>
        <v/>
      </c>
      <c r="Q61" s="30" t="str">
        <f t="shared" si="3"/>
        <v/>
      </c>
      <c r="R61" s="30" t="str">
        <f t="shared" si="4"/>
        <v/>
      </c>
      <c r="S61" s="30" t="str">
        <f t="shared" si="5"/>
        <v/>
      </c>
    </row>
    <row r="62" spans="1:19">
      <c r="A62" s="7" t="s">
        <v>113</v>
      </c>
      <c r="B62" s="7"/>
      <c r="C62" s="7"/>
      <c r="D62" s="7"/>
      <c r="E62" s="7"/>
      <c r="F62" s="7"/>
      <c r="H62" s="7"/>
      <c r="I62" s="7"/>
      <c r="J62" s="7"/>
      <c r="K62" s="7"/>
      <c r="L62" s="7"/>
      <c r="O62" s="30" t="str">
        <f t="shared" si="1"/>
        <v/>
      </c>
      <c r="P62" s="30" t="str">
        <f t="shared" si="2"/>
        <v/>
      </c>
      <c r="Q62" s="30" t="str">
        <f t="shared" si="3"/>
        <v/>
      </c>
      <c r="R62" s="30" t="str">
        <f t="shared" si="4"/>
        <v/>
      </c>
      <c r="S62" s="30" t="str">
        <f t="shared" si="5"/>
        <v/>
      </c>
    </row>
    <row r="63" spans="1:19">
      <c r="A63" s="7" t="s">
        <v>114</v>
      </c>
      <c r="B63" s="7"/>
      <c r="C63" s="7"/>
      <c r="D63" s="7"/>
      <c r="E63" s="7"/>
      <c r="F63" s="7"/>
      <c r="H63" s="7"/>
      <c r="I63" s="7"/>
      <c r="J63" s="7"/>
      <c r="K63" s="7"/>
      <c r="L63" s="7"/>
      <c r="O63" s="30" t="str">
        <f t="shared" si="1"/>
        <v/>
      </c>
      <c r="P63" s="30" t="str">
        <f t="shared" si="2"/>
        <v/>
      </c>
      <c r="Q63" s="30" t="str">
        <f t="shared" si="3"/>
        <v/>
      </c>
      <c r="R63" s="30" t="str">
        <f t="shared" si="4"/>
        <v/>
      </c>
      <c r="S63" s="30" t="str">
        <f t="shared" si="5"/>
        <v/>
      </c>
    </row>
    <row r="64" spans="1:19">
      <c r="A64" s="7" t="s">
        <v>115</v>
      </c>
      <c r="B64" s="7"/>
      <c r="C64" s="7"/>
      <c r="D64" s="7"/>
      <c r="E64" s="7"/>
      <c r="F64" s="7"/>
      <c r="H64" s="7"/>
      <c r="I64" s="7"/>
      <c r="J64" s="7"/>
      <c r="K64" s="7"/>
      <c r="L64" s="7"/>
      <c r="O64" s="30" t="str">
        <f t="shared" si="1"/>
        <v/>
      </c>
      <c r="P64" s="30" t="str">
        <f t="shared" si="2"/>
        <v/>
      </c>
      <c r="Q64" s="30" t="str">
        <f t="shared" si="3"/>
        <v/>
      </c>
      <c r="R64" s="30" t="str">
        <f t="shared" si="4"/>
        <v/>
      </c>
      <c r="S64" s="30" t="str">
        <f t="shared" si="5"/>
        <v/>
      </c>
    </row>
    <row r="65" spans="1:19">
      <c r="A65" s="7" t="s">
        <v>116</v>
      </c>
      <c r="B65" s="7"/>
      <c r="C65" s="7"/>
      <c r="D65" s="7"/>
      <c r="E65" s="7"/>
      <c r="F65" s="7"/>
      <c r="H65" s="7"/>
      <c r="I65" s="7"/>
      <c r="J65" s="7"/>
      <c r="K65" s="7"/>
      <c r="L65" s="7"/>
      <c r="O65" s="30" t="str">
        <f t="shared" si="1"/>
        <v/>
      </c>
      <c r="P65" s="30" t="str">
        <f t="shared" si="2"/>
        <v/>
      </c>
      <c r="Q65" s="30" t="str">
        <f t="shared" si="3"/>
        <v/>
      </c>
      <c r="R65" s="30" t="str">
        <f t="shared" si="4"/>
        <v/>
      </c>
      <c r="S65" s="30" t="str">
        <f t="shared" si="5"/>
        <v/>
      </c>
    </row>
    <row r="66" spans="1:19">
      <c r="A66" s="7" t="s">
        <v>117</v>
      </c>
      <c r="B66" s="7"/>
      <c r="C66" s="7"/>
      <c r="D66" s="7"/>
      <c r="E66" s="7"/>
      <c r="F66" s="7"/>
      <c r="H66" s="7"/>
      <c r="I66" s="7"/>
      <c r="J66" s="7"/>
      <c r="K66" s="7"/>
      <c r="L66" s="7"/>
      <c r="O66" s="30" t="str">
        <f t="shared" si="1"/>
        <v/>
      </c>
      <c r="P66" s="30" t="str">
        <f t="shared" si="2"/>
        <v/>
      </c>
      <c r="Q66" s="30" t="str">
        <f t="shared" si="3"/>
        <v/>
      </c>
      <c r="R66" s="30" t="str">
        <f t="shared" si="4"/>
        <v/>
      </c>
      <c r="S66" s="30" t="str">
        <f t="shared" si="5"/>
        <v/>
      </c>
    </row>
    <row r="67" spans="1:19">
      <c r="A67" s="7" t="s">
        <v>118</v>
      </c>
      <c r="B67" s="7"/>
      <c r="C67" s="7"/>
      <c r="D67" s="7"/>
      <c r="E67" s="7"/>
      <c r="F67" s="7"/>
      <c r="H67" s="7"/>
      <c r="I67" s="7"/>
      <c r="J67" s="7"/>
      <c r="K67" s="7"/>
      <c r="L67" s="7"/>
      <c r="O67" s="30" t="str">
        <f t="shared" si="1"/>
        <v/>
      </c>
      <c r="P67" s="30" t="str">
        <f t="shared" si="2"/>
        <v/>
      </c>
      <c r="Q67" s="30" t="str">
        <f t="shared" si="3"/>
        <v/>
      </c>
      <c r="R67" s="30" t="str">
        <f t="shared" si="4"/>
        <v/>
      </c>
      <c r="S67" s="30" t="str">
        <f t="shared" si="5"/>
        <v/>
      </c>
    </row>
    <row r="68" spans="1:19">
      <c r="A68" s="7" t="s">
        <v>119</v>
      </c>
      <c r="B68" s="7"/>
      <c r="C68" s="7"/>
      <c r="D68" s="7"/>
      <c r="E68" s="7"/>
      <c r="F68" s="7"/>
      <c r="H68" s="7"/>
      <c r="I68" s="7"/>
      <c r="J68" s="7"/>
      <c r="K68" s="7"/>
      <c r="L68" s="7"/>
      <c r="O68" s="30" t="str">
        <f t="shared" si="1"/>
        <v/>
      </c>
      <c r="P68" s="30" t="str">
        <f t="shared" si="2"/>
        <v/>
      </c>
      <c r="Q68" s="30" t="str">
        <f t="shared" si="3"/>
        <v/>
      </c>
      <c r="R68" s="30" t="str">
        <f t="shared" si="4"/>
        <v/>
      </c>
      <c r="S68" s="30" t="str">
        <f t="shared" si="5"/>
        <v/>
      </c>
    </row>
    <row r="69" spans="1:19">
      <c r="A69" s="7" t="s">
        <v>120</v>
      </c>
      <c r="B69" s="7"/>
      <c r="C69" s="7"/>
      <c r="D69" s="7"/>
      <c r="E69" s="7"/>
      <c r="F69" s="7"/>
      <c r="H69" s="7"/>
      <c r="I69" s="7"/>
      <c r="J69" s="7"/>
      <c r="K69" s="7"/>
      <c r="L69" s="7"/>
      <c r="O69" s="30" t="str">
        <f t="shared" si="1"/>
        <v/>
      </c>
      <c r="P69" s="30" t="str">
        <f t="shared" si="2"/>
        <v/>
      </c>
      <c r="Q69" s="30" t="str">
        <f t="shared" si="3"/>
        <v/>
      </c>
      <c r="R69" s="30" t="str">
        <f t="shared" si="4"/>
        <v/>
      </c>
      <c r="S69" s="30" t="str">
        <f t="shared" si="5"/>
        <v/>
      </c>
    </row>
    <row r="70" spans="1:19">
      <c r="A70" s="7" t="s">
        <v>121</v>
      </c>
      <c r="B70" s="7"/>
      <c r="C70" s="7"/>
      <c r="D70" s="7"/>
      <c r="E70" s="7"/>
      <c r="F70" s="7"/>
      <c r="H70" s="7"/>
      <c r="I70" s="7"/>
      <c r="J70" s="7"/>
      <c r="K70" s="7"/>
      <c r="L70" s="7"/>
      <c r="O70" s="30" t="str">
        <f t="shared" si="1"/>
        <v/>
      </c>
      <c r="P70" s="30" t="str">
        <f t="shared" si="2"/>
        <v/>
      </c>
      <c r="Q70" s="30" t="str">
        <f t="shared" si="3"/>
        <v/>
      </c>
      <c r="R70" s="30" t="str">
        <f t="shared" si="4"/>
        <v/>
      </c>
      <c r="S70" s="30" t="str">
        <f t="shared" si="5"/>
        <v/>
      </c>
    </row>
    <row r="71" spans="1:19">
      <c r="A71" s="7" t="s">
        <v>122</v>
      </c>
      <c r="B71" s="7"/>
      <c r="C71" s="7"/>
      <c r="D71" s="7"/>
      <c r="E71" s="7"/>
      <c r="F71" s="7"/>
      <c r="H71" s="7"/>
      <c r="I71" s="7"/>
      <c r="J71" s="7"/>
      <c r="K71" s="7"/>
      <c r="L71" s="7"/>
      <c r="O71" s="30" t="str">
        <f t="shared" si="1"/>
        <v/>
      </c>
      <c r="P71" s="30" t="str">
        <f t="shared" si="2"/>
        <v/>
      </c>
      <c r="Q71" s="30" t="str">
        <f t="shared" si="3"/>
        <v/>
      </c>
      <c r="R71" s="30" t="str">
        <f t="shared" si="4"/>
        <v/>
      </c>
      <c r="S71" s="30" t="str">
        <f t="shared" si="5"/>
        <v/>
      </c>
    </row>
    <row r="72" spans="1:19">
      <c r="A72" s="7" t="s">
        <v>123</v>
      </c>
      <c r="B72" s="7"/>
      <c r="C72" s="7"/>
      <c r="D72" s="7"/>
      <c r="E72" s="7"/>
      <c r="F72" s="7"/>
      <c r="H72" s="7"/>
      <c r="I72" s="7"/>
      <c r="J72" s="7"/>
      <c r="K72" s="7"/>
      <c r="L72" s="7"/>
      <c r="O72" s="30" t="str">
        <f t="shared" si="1"/>
        <v/>
      </c>
      <c r="P72" s="30" t="str">
        <f t="shared" si="2"/>
        <v/>
      </c>
      <c r="Q72" s="30" t="str">
        <f t="shared" si="3"/>
        <v/>
      </c>
      <c r="R72" s="30" t="str">
        <f t="shared" si="4"/>
        <v/>
      </c>
      <c r="S72" s="30" t="str">
        <f t="shared" si="5"/>
        <v/>
      </c>
    </row>
    <row r="73" spans="1:19">
      <c r="A73" s="7" t="s">
        <v>124</v>
      </c>
      <c r="B73" s="7"/>
      <c r="C73" s="7"/>
      <c r="D73" s="7"/>
      <c r="E73" s="7"/>
      <c r="F73" s="7"/>
      <c r="H73" s="7"/>
      <c r="I73" s="7"/>
      <c r="J73" s="7"/>
      <c r="K73" s="7"/>
      <c r="L73" s="7"/>
      <c r="O73" s="30" t="str">
        <f t="shared" ref="O73:O136" si="6">IF(H73&gt;0,"Angebot offen","")</f>
        <v/>
      </c>
      <c r="P73" s="30" t="str">
        <f t="shared" ref="P73:P136" si="7">IF(I73&gt;0,"Angebot offen","")</f>
        <v/>
      </c>
      <c r="Q73" s="30" t="str">
        <f t="shared" ref="Q73:Q136" si="8">IF(J73&gt;0,"Angebot offen","")</f>
        <v/>
      </c>
      <c r="R73" s="30" t="str">
        <f t="shared" ref="R73:R136" si="9">IF(K73&gt;0,"Angebot offen","")</f>
        <v/>
      </c>
      <c r="S73" s="30" t="str">
        <f t="shared" ref="S73:S136" si="10">IF(L73&gt;0,"Angebot offen","")</f>
        <v/>
      </c>
    </row>
    <row r="74" spans="1:19">
      <c r="A74" s="7" t="s">
        <v>125</v>
      </c>
      <c r="B74" s="7"/>
      <c r="C74" s="7"/>
      <c r="D74" s="7"/>
      <c r="E74" s="7"/>
      <c r="F74" s="7"/>
      <c r="H74" s="7"/>
      <c r="I74" s="7"/>
      <c r="J74" s="7"/>
      <c r="K74" s="7"/>
      <c r="L74" s="7"/>
      <c r="O74" s="30" t="str">
        <f t="shared" si="6"/>
        <v/>
      </c>
      <c r="P74" s="30" t="str">
        <f t="shared" si="7"/>
        <v/>
      </c>
      <c r="Q74" s="30" t="str">
        <f t="shared" si="8"/>
        <v/>
      </c>
      <c r="R74" s="30" t="str">
        <f t="shared" si="9"/>
        <v/>
      </c>
      <c r="S74" s="30" t="str">
        <f t="shared" si="10"/>
        <v/>
      </c>
    </row>
    <row r="75" spans="1:19">
      <c r="A75" s="7" t="s">
        <v>126</v>
      </c>
      <c r="B75" s="7"/>
      <c r="C75" s="7"/>
      <c r="D75" s="7"/>
      <c r="E75" s="7"/>
      <c r="F75" s="7"/>
      <c r="H75" s="7"/>
      <c r="I75" s="7"/>
      <c r="J75" s="7"/>
      <c r="K75" s="7"/>
      <c r="L75" s="7"/>
      <c r="O75" s="30" t="str">
        <f t="shared" si="6"/>
        <v/>
      </c>
      <c r="P75" s="30" t="str">
        <f t="shared" si="7"/>
        <v/>
      </c>
      <c r="Q75" s="30" t="str">
        <f t="shared" si="8"/>
        <v/>
      </c>
      <c r="R75" s="30" t="str">
        <f t="shared" si="9"/>
        <v/>
      </c>
      <c r="S75" s="30" t="str">
        <f t="shared" si="10"/>
        <v/>
      </c>
    </row>
    <row r="76" spans="1:19">
      <c r="A76" s="7" t="s">
        <v>127</v>
      </c>
      <c r="B76" s="7"/>
      <c r="C76" s="7"/>
      <c r="D76" s="7"/>
      <c r="E76" s="7"/>
      <c r="F76" s="7"/>
      <c r="H76" s="7"/>
      <c r="I76" s="7"/>
      <c r="J76" s="7"/>
      <c r="K76" s="7"/>
      <c r="L76" s="7"/>
      <c r="O76" s="30" t="str">
        <f t="shared" si="6"/>
        <v/>
      </c>
      <c r="P76" s="30" t="str">
        <f t="shared" si="7"/>
        <v/>
      </c>
      <c r="Q76" s="30" t="str">
        <f t="shared" si="8"/>
        <v/>
      </c>
      <c r="R76" s="30" t="str">
        <f t="shared" si="9"/>
        <v/>
      </c>
      <c r="S76" s="30" t="str">
        <f t="shared" si="10"/>
        <v/>
      </c>
    </row>
    <row r="77" spans="1:19">
      <c r="A77" s="7" t="s">
        <v>128</v>
      </c>
      <c r="B77" s="7"/>
      <c r="C77" s="7"/>
      <c r="D77" s="7"/>
      <c r="E77" s="7"/>
      <c r="F77" s="7"/>
      <c r="H77" s="7"/>
      <c r="I77" s="7"/>
      <c r="J77" s="7"/>
      <c r="K77" s="7"/>
      <c r="L77" s="7"/>
      <c r="O77" s="30" t="str">
        <f t="shared" si="6"/>
        <v/>
      </c>
      <c r="P77" s="30" t="str">
        <f t="shared" si="7"/>
        <v/>
      </c>
      <c r="Q77" s="30" t="str">
        <f t="shared" si="8"/>
        <v/>
      </c>
      <c r="R77" s="30" t="str">
        <f t="shared" si="9"/>
        <v/>
      </c>
      <c r="S77" s="30" t="str">
        <f t="shared" si="10"/>
        <v/>
      </c>
    </row>
    <row r="78" spans="1:19">
      <c r="A78" s="7" t="s">
        <v>129</v>
      </c>
      <c r="B78" s="7"/>
      <c r="C78" s="7"/>
      <c r="D78" s="7"/>
      <c r="E78" s="7"/>
      <c r="F78" s="7"/>
      <c r="H78" s="7"/>
      <c r="I78" s="7"/>
      <c r="J78" s="7"/>
      <c r="K78" s="7"/>
      <c r="L78" s="7"/>
      <c r="O78" s="30" t="str">
        <f t="shared" si="6"/>
        <v/>
      </c>
      <c r="P78" s="30" t="str">
        <f t="shared" si="7"/>
        <v/>
      </c>
      <c r="Q78" s="30" t="str">
        <f t="shared" si="8"/>
        <v/>
      </c>
      <c r="R78" s="30" t="str">
        <f t="shared" si="9"/>
        <v/>
      </c>
      <c r="S78" s="30" t="str">
        <f t="shared" si="10"/>
        <v/>
      </c>
    </row>
    <row r="79" spans="1:19">
      <c r="A79" s="7" t="s">
        <v>130</v>
      </c>
      <c r="B79" s="7"/>
      <c r="C79" s="7"/>
      <c r="D79" s="7"/>
      <c r="E79" s="7"/>
      <c r="F79" s="7"/>
      <c r="H79" s="7"/>
      <c r="I79" s="7"/>
      <c r="J79" s="7"/>
      <c r="K79" s="7"/>
      <c r="L79" s="7"/>
      <c r="O79" s="30" t="str">
        <f t="shared" si="6"/>
        <v/>
      </c>
      <c r="P79" s="30" t="str">
        <f t="shared" si="7"/>
        <v/>
      </c>
      <c r="Q79" s="30" t="str">
        <f t="shared" si="8"/>
        <v/>
      </c>
      <c r="R79" s="30" t="str">
        <f t="shared" si="9"/>
        <v/>
      </c>
      <c r="S79" s="30" t="str">
        <f t="shared" si="10"/>
        <v/>
      </c>
    </row>
    <row r="80" spans="1:19">
      <c r="A80" s="7" t="s">
        <v>131</v>
      </c>
      <c r="B80" s="7"/>
      <c r="C80" s="7"/>
      <c r="D80" s="7"/>
      <c r="E80" s="7"/>
      <c r="F80" s="7"/>
      <c r="H80" s="7"/>
      <c r="I80" s="7"/>
      <c r="J80" s="7"/>
      <c r="K80" s="7"/>
      <c r="L80" s="7"/>
      <c r="O80" s="30" t="str">
        <f t="shared" si="6"/>
        <v/>
      </c>
      <c r="P80" s="30" t="str">
        <f t="shared" si="7"/>
        <v/>
      </c>
      <c r="Q80" s="30" t="str">
        <f t="shared" si="8"/>
        <v/>
      </c>
      <c r="R80" s="30" t="str">
        <f t="shared" si="9"/>
        <v/>
      </c>
      <c r="S80" s="30" t="str">
        <f t="shared" si="10"/>
        <v/>
      </c>
    </row>
    <row r="81" spans="1:19">
      <c r="A81" s="7" t="s">
        <v>132</v>
      </c>
      <c r="B81" s="7"/>
      <c r="C81" s="7"/>
      <c r="D81" s="7"/>
      <c r="E81" s="7"/>
      <c r="F81" s="7"/>
      <c r="H81" s="7"/>
      <c r="I81" s="7"/>
      <c r="J81" s="7"/>
      <c r="K81" s="7"/>
      <c r="L81" s="7"/>
      <c r="O81" s="30" t="str">
        <f t="shared" si="6"/>
        <v/>
      </c>
      <c r="P81" s="30" t="str">
        <f t="shared" si="7"/>
        <v/>
      </c>
      <c r="Q81" s="30" t="str">
        <f t="shared" si="8"/>
        <v/>
      </c>
      <c r="R81" s="30" t="str">
        <f t="shared" si="9"/>
        <v/>
      </c>
      <c r="S81" s="30" t="str">
        <f t="shared" si="10"/>
        <v/>
      </c>
    </row>
    <row r="82" spans="1:19">
      <c r="A82" s="7" t="s">
        <v>133</v>
      </c>
      <c r="B82" s="7"/>
      <c r="C82" s="7"/>
      <c r="D82" s="7"/>
      <c r="E82" s="7"/>
      <c r="F82" s="7"/>
      <c r="H82" s="7"/>
      <c r="I82" s="7"/>
      <c r="J82" s="7"/>
      <c r="K82" s="7"/>
      <c r="L82" s="7"/>
      <c r="O82" s="30" t="str">
        <f t="shared" si="6"/>
        <v/>
      </c>
      <c r="P82" s="30" t="str">
        <f t="shared" si="7"/>
        <v/>
      </c>
      <c r="Q82" s="30" t="str">
        <f t="shared" si="8"/>
        <v/>
      </c>
      <c r="R82" s="30" t="str">
        <f t="shared" si="9"/>
        <v/>
      </c>
      <c r="S82" s="30" t="str">
        <f t="shared" si="10"/>
        <v/>
      </c>
    </row>
    <row r="83" spans="1:19">
      <c r="A83" s="7" t="s">
        <v>134</v>
      </c>
      <c r="B83" s="7"/>
      <c r="C83" s="7"/>
      <c r="D83" s="7"/>
      <c r="E83" s="7"/>
      <c r="F83" s="7"/>
      <c r="H83" s="7"/>
      <c r="I83" s="7"/>
      <c r="J83" s="7"/>
      <c r="K83" s="7"/>
      <c r="L83" s="7"/>
      <c r="O83" s="30" t="str">
        <f t="shared" si="6"/>
        <v/>
      </c>
      <c r="P83" s="30" t="str">
        <f t="shared" si="7"/>
        <v/>
      </c>
      <c r="Q83" s="30" t="str">
        <f t="shared" si="8"/>
        <v/>
      </c>
      <c r="R83" s="30" t="str">
        <f t="shared" si="9"/>
        <v/>
      </c>
      <c r="S83" s="30" t="str">
        <f t="shared" si="10"/>
        <v/>
      </c>
    </row>
    <row r="84" spans="1:19">
      <c r="A84" s="7" t="s">
        <v>135</v>
      </c>
      <c r="B84" s="7"/>
      <c r="C84" s="7"/>
      <c r="D84" s="7"/>
      <c r="E84" s="7"/>
      <c r="F84" s="7"/>
      <c r="H84" s="7"/>
      <c r="I84" s="7"/>
      <c r="J84" s="7"/>
      <c r="K84" s="7"/>
      <c r="L84" s="7"/>
      <c r="O84" s="30" t="str">
        <f t="shared" si="6"/>
        <v/>
      </c>
      <c r="P84" s="30" t="str">
        <f t="shared" si="7"/>
        <v/>
      </c>
      <c r="Q84" s="30" t="str">
        <f t="shared" si="8"/>
        <v/>
      </c>
      <c r="R84" s="30" t="str">
        <f t="shared" si="9"/>
        <v/>
      </c>
      <c r="S84" s="30" t="str">
        <f t="shared" si="10"/>
        <v/>
      </c>
    </row>
    <row r="85" spans="1:19">
      <c r="A85" s="7" t="s">
        <v>136</v>
      </c>
      <c r="B85" s="7"/>
      <c r="C85" s="7"/>
      <c r="D85" s="7"/>
      <c r="E85" s="7"/>
      <c r="F85" s="7"/>
      <c r="H85" s="7"/>
      <c r="I85" s="7"/>
      <c r="J85" s="7"/>
      <c r="K85" s="7"/>
      <c r="L85" s="7"/>
      <c r="O85" s="30" t="str">
        <f t="shared" si="6"/>
        <v/>
      </c>
      <c r="P85" s="30" t="str">
        <f t="shared" si="7"/>
        <v/>
      </c>
      <c r="Q85" s="30" t="str">
        <f t="shared" si="8"/>
        <v/>
      </c>
      <c r="R85" s="30" t="str">
        <f t="shared" si="9"/>
        <v/>
      </c>
      <c r="S85" s="30" t="str">
        <f t="shared" si="10"/>
        <v/>
      </c>
    </row>
    <row r="86" spans="1:19">
      <c r="A86" s="7" t="s">
        <v>137</v>
      </c>
      <c r="B86" s="7"/>
      <c r="C86" s="7"/>
      <c r="D86" s="7"/>
      <c r="E86" s="7"/>
      <c r="F86" s="7"/>
      <c r="H86" s="7"/>
      <c r="I86" s="7"/>
      <c r="J86" s="7"/>
      <c r="K86" s="7"/>
      <c r="L86" s="7"/>
      <c r="O86" s="30" t="str">
        <f t="shared" si="6"/>
        <v/>
      </c>
      <c r="P86" s="30" t="str">
        <f t="shared" si="7"/>
        <v/>
      </c>
      <c r="Q86" s="30" t="str">
        <f t="shared" si="8"/>
        <v/>
      </c>
      <c r="R86" s="30" t="str">
        <f t="shared" si="9"/>
        <v/>
      </c>
      <c r="S86" s="30" t="str">
        <f t="shared" si="10"/>
        <v/>
      </c>
    </row>
    <row r="87" spans="1:19">
      <c r="A87" s="7" t="s">
        <v>138</v>
      </c>
      <c r="B87" s="7"/>
      <c r="C87" s="7"/>
      <c r="D87" s="7"/>
      <c r="E87" s="7"/>
      <c r="F87" s="7"/>
      <c r="H87" s="7"/>
      <c r="I87" s="7"/>
      <c r="J87" s="7"/>
      <c r="K87" s="7"/>
      <c r="L87" s="7"/>
      <c r="O87" s="30" t="str">
        <f t="shared" si="6"/>
        <v/>
      </c>
      <c r="P87" s="30" t="str">
        <f t="shared" si="7"/>
        <v/>
      </c>
      <c r="Q87" s="30" t="str">
        <f t="shared" si="8"/>
        <v/>
      </c>
      <c r="R87" s="30" t="str">
        <f t="shared" si="9"/>
        <v/>
      </c>
      <c r="S87" s="30" t="str">
        <f t="shared" si="10"/>
        <v/>
      </c>
    </row>
    <row r="88" spans="1:19">
      <c r="A88" s="7" t="s">
        <v>139</v>
      </c>
      <c r="B88" s="7"/>
      <c r="C88" s="7"/>
      <c r="D88" s="7"/>
      <c r="E88" s="7"/>
      <c r="F88" s="7"/>
      <c r="H88" s="7"/>
      <c r="I88" s="7"/>
      <c r="J88" s="7"/>
      <c r="K88" s="7"/>
      <c r="L88" s="7"/>
      <c r="O88" s="30" t="str">
        <f t="shared" si="6"/>
        <v/>
      </c>
      <c r="P88" s="30" t="str">
        <f t="shared" si="7"/>
        <v/>
      </c>
      <c r="Q88" s="30" t="str">
        <f t="shared" si="8"/>
        <v/>
      </c>
      <c r="R88" s="30" t="str">
        <f t="shared" si="9"/>
        <v/>
      </c>
      <c r="S88" s="30" t="str">
        <f t="shared" si="10"/>
        <v/>
      </c>
    </row>
    <row r="89" spans="1:19">
      <c r="A89" s="7" t="s">
        <v>140</v>
      </c>
      <c r="B89" s="7"/>
      <c r="C89" s="7"/>
      <c r="D89" s="7"/>
      <c r="E89" s="7"/>
      <c r="F89" s="7"/>
      <c r="H89" s="7"/>
      <c r="I89" s="7"/>
      <c r="J89" s="7"/>
      <c r="K89" s="7"/>
      <c r="L89" s="7"/>
      <c r="O89" s="30" t="str">
        <f t="shared" si="6"/>
        <v/>
      </c>
      <c r="P89" s="30" t="str">
        <f t="shared" si="7"/>
        <v/>
      </c>
      <c r="Q89" s="30" t="str">
        <f t="shared" si="8"/>
        <v/>
      </c>
      <c r="R89" s="30" t="str">
        <f t="shared" si="9"/>
        <v/>
      </c>
      <c r="S89" s="30" t="str">
        <f t="shared" si="10"/>
        <v/>
      </c>
    </row>
    <row r="90" spans="1:19">
      <c r="A90" s="7" t="s">
        <v>141</v>
      </c>
      <c r="B90" s="7"/>
      <c r="C90" s="7"/>
      <c r="D90" s="7"/>
      <c r="E90" s="7"/>
      <c r="F90" s="7"/>
      <c r="H90" s="7"/>
      <c r="I90" s="7"/>
      <c r="J90" s="7"/>
      <c r="K90" s="7"/>
      <c r="L90" s="7"/>
      <c r="O90" s="30" t="str">
        <f t="shared" si="6"/>
        <v/>
      </c>
      <c r="P90" s="30" t="str">
        <f t="shared" si="7"/>
        <v/>
      </c>
      <c r="Q90" s="30" t="str">
        <f t="shared" si="8"/>
        <v/>
      </c>
      <c r="R90" s="30" t="str">
        <f t="shared" si="9"/>
        <v/>
      </c>
      <c r="S90" s="30" t="str">
        <f t="shared" si="10"/>
        <v/>
      </c>
    </row>
    <row r="91" spans="1:19">
      <c r="A91" s="7" t="s">
        <v>142</v>
      </c>
      <c r="B91" s="7"/>
      <c r="C91" s="7"/>
      <c r="D91" s="7"/>
      <c r="E91" s="7"/>
      <c r="F91" s="7"/>
      <c r="H91" s="7"/>
      <c r="I91" s="7"/>
      <c r="J91" s="7"/>
      <c r="K91" s="7"/>
      <c r="L91" s="7"/>
      <c r="O91" s="30" t="str">
        <f t="shared" si="6"/>
        <v/>
      </c>
      <c r="P91" s="30" t="str">
        <f t="shared" si="7"/>
        <v/>
      </c>
      <c r="Q91" s="30" t="str">
        <f t="shared" si="8"/>
        <v/>
      </c>
      <c r="R91" s="30" t="str">
        <f t="shared" si="9"/>
        <v/>
      </c>
      <c r="S91" s="30" t="str">
        <f t="shared" si="10"/>
        <v/>
      </c>
    </row>
    <row r="92" spans="1:19">
      <c r="A92" s="7" t="s">
        <v>143</v>
      </c>
      <c r="B92" s="7"/>
      <c r="C92" s="7"/>
      <c r="D92" s="7"/>
      <c r="E92" s="7"/>
      <c r="F92" s="7"/>
      <c r="H92" s="7"/>
      <c r="I92" s="7"/>
      <c r="J92" s="7"/>
      <c r="K92" s="7"/>
      <c r="L92" s="7"/>
      <c r="O92" s="30" t="str">
        <f t="shared" si="6"/>
        <v/>
      </c>
      <c r="P92" s="30" t="str">
        <f t="shared" si="7"/>
        <v/>
      </c>
      <c r="Q92" s="30" t="str">
        <f t="shared" si="8"/>
        <v/>
      </c>
      <c r="R92" s="30" t="str">
        <f t="shared" si="9"/>
        <v/>
      </c>
      <c r="S92" s="30" t="str">
        <f t="shared" si="10"/>
        <v/>
      </c>
    </row>
    <row r="93" spans="1:19">
      <c r="A93" s="7" t="s">
        <v>144</v>
      </c>
      <c r="B93" s="7"/>
      <c r="C93" s="7"/>
      <c r="D93" s="7"/>
      <c r="E93" s="7"/>
      <c r="F93" s="7"/>
      <c r="H93" s="7"/>
      <c r="I93" s="7"/>
      <c r="J93" s="7"/>
      <c r="K93" s="7"/>
      <c r="L93" s="7"/>
      <c r="O93" s="30" t="str">
        <f t="shared" si="6"/>
        <v/>
      </c>
      <c r="P93" s="30" t="str">
        <f t="shared" si="7"/>
        <v/>
      </c>
      <c r="Q93" s="30" t="str">
        <f t="shared" si="8"/>
        <v/>
      </c>
      <c r="R93" s="30" t="str">
        <f t="shared" si="9"/>
        <v/>
      </c>
      <c r="S93" s="30" t="str">
        <f t="shared" si="10"/>
        <v/>
      </c>
    </row>
    <row r="94" spans="1:19">
      <c r="A94" s="7" t="s">
        <v>145</v>
      </c>
      <c r="B94" s="7"/>
      <c r="C94" s="7"/>
      <c r="D94" s="7"/>
      <c r="E94" s="7"/>
      <c r="F94" s="7"/>
      <c r="H94" s="7"/>
      <c r="I94" s="7"/>
      <c r="J94" s="7"/>
      <c r="K94" s="7"/>
      <c r="L94" s="7"/>
      <c r="O94" s="30" t="str">
        <f t="shared" si="6"/>
        <v/>
      </c>
      <c r="P94" s="30" t="str">
        <f t="shared" si="7"/>
        <v/>
      </c>
      <c r="Q94" s="30" t="str">
        <f t="shared" si="8"/>
        <v/>
      </c>
      <c r="R94" s="30" t="str">
        <f t="shared" si="9"/>
        <v/>
      </c>
      <c r="S94" s="30" t="str">
        <f t="shared" si="10"/>
        <v/>
      </c>
    </row>
    <row r="95" spans="1:19">
      <c r="A95" s="7" t="s">
        <v>146</v>
      </c>
      <c r="B95" s="7"/>
      <c r="C95" s="7"/>
      <c r="D95" s="7"/>
      <c r="E95" s="7"/>
      <c r="F95" s="7"/>
      <c r="H95" s="7"/>
      <c r="I95" s="7"/>
      <c r="J95" s="7"/>
      <c r="K95" s="7"/>
      <c r="L95" s="7"/>
      <c r="O95" s="30" t="str">
        <f t="shared" si="6"/>
        <v/>
      </c>
      <c r="P95" s="30" t="str">
        <f t="shared" si="7"/>
        <v/>
      </c>
      <c r="Q95" s="30" t="str">
        <f t="shared" si="8"/>
        <v/>
      </c>
      <c r="R95" s="30" t="str">
        <f t="shared" si="9"/>
        <v/>
      </c>
      <c r="S95" s="30" t="str">
        <f t="shared" si="10"/>
        <v/>
      </c>
    </row>
    <row r="96" spans="1:19">
      <c r="A96" s="7" t="s">
        <v>147</v>
      </c>
      <c r="B96" s="7"/>
      <c r="C96" s="7"/>
      <c r="D96" s="7"/>
      <c r="E96" s="7"/>
      <c r="F96" s="7"/>
      <c r="H96" s="7"/>
      <c r="I96" s="7"/>
      <c r="J96" s="7"/>
      <c r="K96" s="7"/>
      <c r="L96" s="7"/>
      <c r="O96" s="30" t="str">
        <f t="shared" si="6"/>
        <v/>
      </c>
      <c r="P96" s="30" t="str">
        <f t="shared" si="7"/>
        <v/>
      </c>
      <c r="Q96" s="30" t="str">
        <f t="shared" si="8"/>
        <v/>
      </c>
      <c r="R96" s="30" t="str">
        <f t="shared" si="9"/>
        <v/>
      </c>
      <c r="S96" s="30" t="str">
        <f t="shared" si="10"/>
        <v/>
      </c>
    </row>
    <row r="97" spans="1:19">
      <c r="A97" s="7" t="s">
        <v>148</v>
      </c>
      <c r="B97" s="7"/>
      <c r="C97" s="7"/>
      <c r="D97" s="7"/>
      <c r="E97" s="7"/>
      <c r="F97" s="7"/>
      <c r="H97" s="7"/>
      <c r="I97" s="7"/>
      <c r="J97" s="7"/>
      <c r="K97" s="7"/>
      <c r="L97" s="7"/>
      <c r="O97" s="30" t="str">
        <f t="shared" si="6"/>
        <v/>
      </c>
      <c r="P97" s="30" t="str">
        <f t="shared" si="7"/>
        <v/>
      </c>
      <c r="Q97" s="30" t="str">
        <f t="shared" si="8"/>
        <v/>
      </c>
      <c r="R97" s="30" t="str">
        <f t="shared" si="9"/>
        <v/>
      </c>
      <c r="S97" s="30" t="str">
        <f t="shared" si="10"/>
        <v/>
      </c>
    </row>
    <row r="98" spans="1:19">
      <c r="A98" s="7" t="s">
        <v>149</v>
      </c>
      <c r="B98" s="7"/>
      <c r="C98" s="7"/>
      <c r="D98" s="7"/>
      <c r="E98" s="7"/>
      <c r="F98" s="7"/>
      <c r="H98" s="7"/>
      <c r="I98" s="7"/>
      <c r="J98" s="7"/>
      <c r="K98" s="7"/>
      <c r="L98" s="7"/>
      <c r="O98" s="30" t="str">
        <f t="shared" si="6"/>
        <v/>
      </c>
      <c r="P98" s="30" t="str">
        <f t="shared" si="7"/>
        <v/>
      </c>
      <c r="Q98" s="30" t="str">
        <f t="shared" si="8"/>
        <v/>
      </c>
      <c r="R98" s="30" t="str">
        <f t="shared" si="9"/>
        <v/>
      </c>
      <c r="S98" s="30" t="str">
        <f t="shared" si="10"/>
        <v/>
      </c>
    </row>
    <row r="99" spans="1:19">
      <c r="A99" s="7" t="s">
        <v>150</v>
      </c>
      <c r="B99" s="7"/>
      <c r="C99" s="7"/>
      <c r="D99" s="7"/>
      <c r="E99" s="7"/>
      <c r="F99" s="7"/>
      <c r="H99" s="7"/>
      <c r="I99" s="7"/>
      <c r="J99" s="7"/>
      <c r="K99" s="7"/>
      <c r="L99" s="7"/>
      <c r="O99" s="30" t="str">
        <f t="shared" si="6"/>
        <v/>
      </c>
      <c r="P99" s="30" t="str">
        <f t="shared" si="7"/>
        <v/>
      </c>
      <c r="Q99" s="30" t="str">
        <f t="shared" si="8"/>
        <v/>
      </c>
      <c r="R99" s="30" t="str">
        <f t="shared" si="9"/>
        <v/>
      </c>
      <c r="S99" s="30" t="str">
        <f t="shared" si="10"/>
        <v/>
      </c>
    </row>
    <row r="100" spans="1:19">
      <c r="A100" s="7" t="s">
        <v>151</v>
      </c>
      <c r="B100" s="7"/>
      <c r="C100" s="7"/>
      <c r="D100" s="7"/>
      <c r="E100" s="7"/>
      <c r="F100" s="7"/>
      <c r="H100" s="7"/>
      <c r="I100" s="7"/>
      <c r="J100" s="7"/>
      <c r="K100" s="7"/>
      <c r="L100" s="7"/>
      <c r="O100" s="30" t="str">
        <f t="shared" si="6"/>
        <v/>
      </c>
      <c r="P100" s="30" t="str">
        <f t="shared" si="7"/>
        <v/>
      </c>
      <c r="Q100" s="30" t="str">
        <f t="shared" si="8"/>
        <v/>
      </c>
      <c r="R100" s="30" t="str">
        <f t="shared" si="9"/>
        <v/>
      </c>
      <c r="S100" s="30" t="str">
        <f t="shared" si="10"/>
        <v/>
      </c>
    </row>
    <row r="101" spans="1:19">
      <c r="A101" s="7" t="s">
        <v>152</v>
      </c>
      <c r="B101" s="7"/>
      <c r="C101" s="7"/>
      <c r="D101" s="7"/>
      <c r="E101" s="7"/>
      <c r="F101" s="7"/>
      <c r="H101" s="7"/>
      <c r="I101" s="7"/>
      <c r="J101" s="7"/>
      <c r="K101" s="7"/>
      <c r="L101" s="7"/>
      <c r="O101" s="30" t="str">
        <f t="shared" si="6"/>
        <v/>
      </c>
      <c r="P101" s="30" t="str">
        <f t="shared" si="7"/>
        <v/>
      </c>
      <c r="Q101" s="30" t="str">
        <f t="shared" si="8"/>
        <v/>
      </c>
      <c r="R101" s="30" t="str">
        <f t="shared" si="9"/>
        <v/>
      </c>
      <c r="S101" s="30" t="str">
        <f t="shared" si="10"/>
        <v/>
      </c>
    </row>
    <row r="102" spans="1:19">
      <c r="A102" s="7" t="s">
        <v>153</v>
      </c>
      <c r="B102" s="7"/>
      <c r="C102" s="7"/>
      <c r="D102" s="7"/>
      <c r="E102" s="7"/>
      <c r="F102" s="7"/>
      <c r="H102" s="7"/>
      <c r="I102" s="7"/>
      <c r="J102" s="7"/>
      <c r="K102" s="7"/>
      <c r="L102" s="7"/>
      <c r="O102" s="30" t="str">
        <f t="shared" si="6"/>
        <v/>
      </c>
      <c r="P102" s="30" t="str">
        <f t="shared" si="7"/>
        <v/>
      </c>
      <c r="Q102" s="30" t="str">
        <f t="shared" si="8"/>
        <v/>
      </c>
      <c r="R102" s="30" t="str">
        <f t="shared" si="9"/>
        <v/>
      </c>
      <c r="S102" s="30" t="str">
        <f t="shared" si="10"/>
        <v/>
      </c>
    </row>
    <row r="103" spans="1:19">
      <c r="A103" s="7" t="s">
        <v>154</v>
      </c>
      <c r="B103" s="7"/>
      <c r="C103" s="7"/>
      <c r="D103" s="7"/>
      <c r="E103" s="7"/>
      <c r="F103" s="7"/>
      <c r="H103" s="7"/>
      <c r="I103" s="7"/>
      <c r="J103" s="7"/>
      <c r="K103" s="7"/>
      <c r="L103" s="7"/>
      <c r="O103" s="30" t="str">
        <f t="shared" si="6"/>
        <v/>
      </c>
      <c r="P103" s="30" t="str">
        <f t="shared" si="7"/>
        <v/>
      </c>
      <c r="Q103" s="30" t="str">
        <f t="shared" si="8"/>
        <v/>
      </c>
      <c r="R103" s="30" t="str">
        <f t="shared" si="9"/>
        <v/>
      </c>
      <c r="S103" s="30" t="str">
        <f t="shared" si="10"/>
        <v/>
      </c>
    </row>
    <row r="104" spans="1:19">
      <c r="A104" s="7" t="s">
        <v>155</v>
      </c>
      <c r="B104" s="7"/>
      <c r="C104" s="7"/>
      <c r="D104" s="7"/>
      <c r="E104" s="7"/>
      <c r="F104" s="7"/>
      <c r="H104" s="7"/>
      <c r="I104" s="7"/>
      <c r="J104" s="7"/>
      <c r="K104" s="7"/>
      <c r="L104" s="7"/>
      <c r="O104" s="30" t="str">
        <f t="shared" si="6"/>
        <v/>
      </c>
      <c r="P104" s="30" t="str">
        <f t="shared" si="7"/>
        <v/>
      </c>
      <c r="Q104" s="30" t="str">
        <f t="shared" si="8"/>
        <v/>
      </c>
      <c r="R104" s="30" t="str">
        <f t="shared" si="9"/>
        <v/>
      </c>
      <c r="S104" s="30" t="str">
        <f t="shared" si="10"/>
        <v/>
      </c>
    </row>
    <row r="105" spans="1:19">
      <c r="A105" s="7" t="s">
        <v>156</v>
      </c>
      <c r="B105" s="7"/>
      <c r="C105" s="7"/>
      <c r="D105" s="7"/>
      <c r="E105" s="7"/>
      <c r="F105" s="7"/>
      <c r="H105" s="7"/>
      <c r="I105" s="7"/>
      <c r="J105" s="7"/>
      <c r="K105" s="7"/>
      <c r="L105" s="7"/>
      <c r="O105" s="30" t="str">
        <f t="shared" si="6"/>
        <v/>
      </c>
      <c r="P105" s="30" t="str">
        <f t="shared" si="7"/>
        <v/>
      </c>
      <c r="Q105" s="30" t="str">
        <f t="shared" si="8"/>
        <v/>
      </c>
      <c r="R105" s="30" t="str">
        <f t="shared" si="9"/>
        <v/>
      </c>
      <c r="S105" s="30" t="str">
        <f t="shared" si="10"/>
        <v/>
      </c>
    </row>
    <row r="106" spans="1:19">
      <c r="A106" s="7" t="s">
        <v>157</v>
      </c>
      <c r="B106" s="7"/>
      <c r="C106" s="7"/>
      <c r="D106" s="7"/>
      <c r="E106" s="7"/>
      <c r="F106" s="7"/>
      <c r="H106" s="7"/>
      <c r="I106" s="7"/>
      <c r="J106" s="7"/>
      <c r="K106" s="7"/>
      <c r="L106" s="7"/>
      <c r="O106" s="30" t="str">
        <f t="shared" si="6"/>
        <v/>
      </c>
      <c r="P106" s="30" t="str">
        <f t="shared" si="7"/>
        <v/>
      </c>
      <c r="Q106" s="30" t="str">
        <f t="shared" si="8"/>
        <v/>
      </c>
      <c r="R106" s="30" t="str">
        <f t="shared" si="9"/>
        <v/>
      </c>
      <c r="S106" s="30" t="str">
        <f t="shared" si="10"/>
        <v/>
      </c>
    </row>
    <row r="107" spans="1:19">
      <c r="A107" s="7" t="s">
        <v>158</v>
      </c>
      <c r="B107" s="7"/>
      <c r="C107" s="7"/>
      <c r="D107" s="7"/>
      <c r="E107" s="7"/>
      <c r="F107" s="7"/>
      <c r="H107" s="7"/>
      <c r="I107" s="7"/>
      <c r="J107" s="7"/>
      <c r="K107" s="7"/>
      <c r="L107" s="7"/>
      <c r="O107" s="30" t="str">
        <f t="shared" si="6"/>
        <v/>
      </c>
      <c r="P107" s="30" t="str">
        <f t="shared" si="7"/>
        <v/>
      </c>
      <c r="Q107" s="30" t="str">
        <f t="shared" si="8"/>
        <v/>
      </c>
      <c r="R107" s="30" t="str">
        <f t="shared" si="9"/>
        <v/>
      </c>
      <c r="S107" s="30" t="str">
        <f t="shared" si="10"/>
        <v/>
      </c>
    </row>
    <row r="108" spans="1:19">
      <c r="A108" s="7" t="s">
        <v>159</v>
      </c>
      <c r="B108" s="7"/>
      <c r="C108" s="7"/>
      <c r="D108" s="7"/>
      <c r="E108" s="7"/>
      <c r="F108" s="7"/>
      <c r="H108" s="7"/>
      <c r="I108" s="7"/>
      <c r="J108" s="7"/>
      <c r="K108" s="7"/>
      <c r="L108" s="7"/>
      <c r="O108" s="30" t="str">
        <f t="shared" si="6"/>
        <v/>
      </c>
      <c r="P108" s="30" t="str">
        <f t="shared" si="7"/>
        <v/>
      </c>
      <c r="Q108" s="30" t="str">
        <f t="shared" si="8"/>
        <v/>
      </c>
      <c r="R108" s="30" t="str">
        <f t="shared" si="9"/>
        <v/>
      </c>
      <c r="S108" s="30" t="str">
        <f t="shared" si="10"/>
        <v/>
      </c>
    </row>
    <row r="109" spans="1:19">
      <c r="A109" s="7" t="s">
        <v>160</v>
      </c>
      <c r="B109" s="7"/>
      <c r="C109" s="7"/>
      <c r="D109" s="7"/>
      <c r="E109" s="7"/>
      <c r="F109" s="7"/>
      <c r="H109" s="7"/>
      <c r="I109" s="7"/>
      <c r="J109" s="7"/>
      <c r="K109" s="7"/>
      <c r="L109" s="7"/>
      <c r="O109" s="30" t="str">
        <f t="shared" si="6"/>
        <v/>
      </c>
      <c r="P109" s="30" t="str">
        <f t="shared" si="7"/>
        <v/>
      </c>
      <c r="Q109" s="30" t="str">
        <f t="shared" si="8"/>
        <v/>
      </c>
      <c r="R109" s="30" t="str">
        <f t="shared" si="9"/>
        <v/>
      </c>
      <c r="S109" s="30" t="str">
        <f t="shared" si="10"/>
        <v/>
      </c>
    </row>
    <row r="110" spans="1:19">
      <c r="A110" s="7" t="s">
        <v>161</v>
      </c>
      <c r="B110" s="7"/>
      <c r="C110" s="7"/>
      <c r="D110" s="7"/>
      <c r="E110" s="7"/>
      <c r="F110" s="7"/>
      <c r="H110" s="7"/>
      <c r="I110" s="7"/>
      <c r="J110" s="7"/>
      <c r="K110" s="7"/>
      <c r="L110" s="7"/>
      <c r="O110" s="30" t="str">
        <f t="shared" si="6"/>
        <v/>
      </c>
      <c r="P110" s="30" t="str">
        <f t="shared" si="7"/>
        <v/>
      </c>
      <c r="Q110" s="30" t="str">
        <f t="shared" si="8"/>
        <v/>
      </c>
      <c r="R110" s="30" t="str">
        <f t="shared" si="9"/>
        <v/>
      </c>
      <c r="S110" s="30" t="str">
        <f t="shared" si="10"/>
        <v/>
      </c>
    </row>
    <row r="111" spans="1:19">
      <c r="A111" s="7" t="s">
        <v>162</v>
      </c>
      <c r="B111" s="7"/>
      <c r="C111" s="7"/>
      <c r="D111" s="7"/>
      <c r="E111" s="7"/>
      <c r="F111" s="7"/>
      <c r="H111" s="7"/>
      <c r="I111" s="7"/>
      <c r="J111" s="7"/>
      <c r="K111" s="7"/>
      <c r="L111" s="7"/>
      <c r="O111" s="30" t="str">
        <f t="shared" si="6"/>
        <v/>
      </c>
      <c r="P111" s="30" t="str">
        <f t="shared" si="7"/>
        <v/>
      </c>
      <c r="Q111" s="30" t="str">
        <f t="shared" si="8"/>
        <v/>
      </c>
      <c r="R111" s="30" t="str">
        <f t="shared" si="9"/>
        <v/>
      </c>
      <c r="S111" s="30" t="str">
        <f t="shared" si="10"/>
        <v/>
      </c>
    </row>
    <row r="112" spans="1:19">
      <c r="A112" s="7" t="s">
        <v>163</v>
      </c>
      <c r="B112" s="7"/>
      <c r="C112" s="7"/>
      <c r="D112" s="7"/>
      <c r="E112" s="7"/>
      <c r="F112" s="7"/>
      <c r="H112" s="7"/>
      <c r="I112" s="7"/>
      <c r="J112" s="7"/>
      <c r="K112" s="7"/>
      <c r="L112" s="7"/>
      <c r="O112" s="30" t="str">
        <f t="shared" si="6"/>
        <v/>
      </c>
      <c r="P112" s="30" t="str">
        <f t="shared" si="7"/>
        <v/>
      </c>
      <c r="Q112" s="30" t="str">
        <f t="shared" si="8"/>
        <v/>
      </c>
      <c r="R112" s="30" t="str">
        <f t="shared" si="9"/>
        <v/>
      </c>
      <c r="S112" s="30" t="str">
        <f t="shared" si="10"/>
        <v/>
      </c>
    </row>
    <row r="113" spans="1:19">
      <c r="A113" s="7" t="s">
        <v>164</v>
      </c>
      <c r="B113" s="7"/>
      <c r="C113" s="7"/>
      <c r="D113" s="7"/>
      <c r="E113" s="7"/>
      <c r="F113" s="7"/>
      <c r="H113" s="7"/>
      <c r="I113" s="7"/>
      <c r="J113" s="7"/>
      <c r="K113" s="7"/>
      <c r="L113" s="7"/>
      <c r="O113" s="30" t="str">
        <f t="shared" si="6"/>
        <v/>
      </c>
      <c r="P113" s="30" t="str">
        <f t="shared" si="7"/>
        <v/>
      </c>
      <c r="Q113" s="30" t="str">
        <f t="shared" si="8"/>
        <v/>
      </c>
      <c r="R113" s="30" t="str">
        <f t="shared" si="9"/>
        <v/>
      </c>
      <c r="S113" s="30" t="str">
        <f t="shared" si="10"/>
        <v/>
      </c>
    </row>
    <row r="114" spans="1:19">
      <c r="A114" s="7" t="s">
        <v>165</v>
      </c>
      <c r="B114" s="7"/>
      <c r="C114" s="7"/>
      <c r="D114" s="7"/>
      <c r="E114" s="7"/>
      <c r="F114" s="7"/>
      <c r="H114" s="7"/>
      <c r="I114" s="7"/>
      <c r="J114" s="7"/>
      <c r="K114" s="7"/>
      <c r="L114" s="7"/>
      <c r="O114" s="30" t="str">
        <f t="shared" si="6"/>
        <v/>
      </c>
      <c r="P114" s="30" t="str">
        <f t="shared" si="7"/>
        <v/>
      </c>
      <c r="Q114" s="30" t="str">
        <f t="shared" si="8"/>
        <v/>
      </c>
      <c r="R114" s="30" t="str">
        <f t="shared" si="9"/>
        <v/>
      </c>
      <c r="S114" s="30" t="str">
        <f t="shared" si="10"/>
        <v/>
      </c>
    </row>
    <row r="115" spans="1:19">
      <c r="A115" s="7" t="s">
        <v>166</v>
      </c>
      <c r="B115" s="7"/>
      <c r="C115" s="7"/>
      <c r="D115" s="7"/>
      <c r="E115" s="7"/>
      <c r="F115" s="7"/>
      <c r="H115" s="7"/>
      <c r="I115" s="7"/>
      <c r="J115" s="7"/>
      <c r="K115" s="7"/>
      <c r="L115" s="7"/>
      <c r="O115" s="30" t="str">
        <f t="shared" si="6"/>
        <v/>
      </c>
      <c r="P115" s="30" t="str">
        <f t="shared" si="7"/>
        <v/>
      </c>
      <c r="Q115" s="30" t="str">
        <f t="shared" si="8"/>
        <v/>
      </c>
      <c r="R115" s="30" t="str">
        <f t="shared" si="9"/>
        <v/>
      </c>
      <c r="S115" s="30" t="str">
        <f t="shared" si="10"/>
        <v/>
      </c>
    </row>
    <row r="116" spans="1:19">
      <c r="A116" s="7" t="s">
        <v>167</v>
      </c>
      <c r="B116" s="7"/>
      <c r="C116" s="7"/>
      <c r="D116" s="7"/>
      <c r="E116" s="7"/>
      <c r="F116" s="7"/>
      <c r="H116" s="7"/>
      <c r="I116" s="7"/>
      <c r="J116" s="7"/>
      <c r="K116" s="7"/>
      <c r="L116" s="7"/>
      <c r="O116" s="30" t="str">
        <f t="shared" si="6"/>
        <v/>
      </c>
      <c r="P116" s="30" t="str">
        <f t="shared" si="7"/>
        <v/>
      </c>
      <c r="Q116" s="30" t="str">
        <f t="shared" si="8"/>
        <v/>
      </c>
      <c r="R116" s="30" t="str">
        <f t="shared" si="9"/>
        <v/>
      </c>
      <c r="S116" s="30" t="str">
        <f t="shared" si="10"/>
        <v/>
      </c>
    </row>
    <row r="117" spans="1:19">
      <c r="A117" s="7" t="s">
        <v>168</v>
      </c>
      <c r="B117" s="7"/>
      <c r="C117" s="7"/>
      <c r="D117" s="7"/>
      <c r="E117" s="7"/>
      <c r="F117" s="7"/>
      <c r="H117" s="7"/>
      <c r="I117" s="7"/>
      <c r="J117" s="7"/>
      <c r="K117" s="7"/>
      <c r="L117" s="7"/>
      <c r="O117" s="30" t="str">
        <f t="shared" si="6"/>
        <v/>
      </c>
      <c r="P117" s="30" t="str">
        <f t="shared" si="7"/>
        <v/>
      </c>
      <c r="Q117" s="30" t="str">
        <f t="shared" si="8"/>
        <v/>
      </c>
      <c r="R117" s="30" t="str">
        <f t="shared" si="9"/>
        <v/>
      </c>
      <c r="S117" s="30" t="str">
        <f t="shared" si="10"/>
        <v/>
      </c>
    </row>
    <row r="118" spans="1:19">
      <c r="A118" s="7" t="s">
        <v>169</v>
      </c>
      <c r="B118" s="7"/>
      <c r="C118" s="7"/>
      <c r="D118" s="7"/>
      <c r="E118" s="7"/>
      <c r="F118" s="7"/>
      <c r="H118" s="7"/>
      <c r="I118" s="7"/>
      <c r="J118" s="7"/>
      <c r="K118" s="7"/>
      <c r="L118" s="7"/>
      <c r="O118" s="30" t="str">
        <f t="shared" si="6"/>
        <v/>
      </c>
      <c r="P118" s="30" t="str">
        <f t="shared" si="7"/>
        <v/>
      </c>
      <c r="Q118" s="30" t="str">
        <f t="shared" si="8"/>
        <v/>
      </c>
      <c r="R118" s="30" t="str">
        <f t="shared" si="9"/>
        <v/>
      </c>
      <c r="S118" s="30" t="str">
        <f t="shared" si="10"/>
        <v/>
      </c>
    </row>
    <row r="119" spans="1:19">
      <c r="A119" s="7" t="s">
        <v>170</v>
      </c>
      <c r="B119" s="7"/>
      <c r="C119" s="7"/>
      <c r="D119" s="7"/>
      <c r="E119" s="7"/>
      <c r="F119" s="7"/>
      <c r="H119" s="7"/>
      <c r="I119" s="7"/>
      <c r="J119" s="7"/>
      <c r="K119" s="7"/>
      <c r="L119" s="7"/>
      <c r="O119" s="30" t="str">
        <f t="shared" si="6"/>
        <v/>
      </c>
      <c r="P119" s="30" t="str">
        <f t="shared" si="7"/>
        <v/>
      </c>
      <c r="Q119" s="30" t="str">
        <f t="shared" si="8"/>
        <v/>
      </c>
      <c r="R119" s="30" t="str">
        <f t="shared" si="9"/>
        <v/>
      </c>
      <c r="S119" s="30" t="str">
        <f t="shared" si="10"/>
        <v/>
      </c>
    </row>
    <row r="120" spans="1:19">
      <c r="A120" s="7" t="s">
        <v>171</v>
      </c>
      <c r="B120" s="7"/>
      <c r="C120" s="7"/>
      <c r="D120" s="7"/>
      <c r="E120" s="7"/>
      <c r="F120" s="7"/>
      <c r="H120" s="7"/>
      <c r="I120" s="7"/>
      <c r="J120" s="7"/>
      <c r="K120" s="7"/>
      <c r="L120" s="7"/>
      <c r="O120" s="30" t="str">
        <f t="shared" si="6"/>
        <v/>
      </c>
      <c r="P120" s="30" t="str">
        <f t="shared" si="7"/>
        <v/>
      </c>
      <c r="Q120" s="30" t="str">
        <f t="shared" si="8"/>
        <v/>
      </c>
      <c r="R120" s="30" t="str">
        <f t="shared" si="9"/>
        <v/>
      </c>
      <c r="S120" s="30" t="str">
        <f t="shared" si="10"/>
        <v/>
      </c>
    </row>
    <row r="121" spans="1:19">
      <c r="A121" s="7" t="s">
        <v>172</v>
      </c>
      <c r="B121" s="7"/>
      <c r="C121" s="7"/>
      <c r="D121" s="7"/>
      <c r="E121" s="7"/>
      <c r="F121" s="7"/>
      <c r="H121" s="7"/>
      <c r="I121" s="7"/>
      <c r="J121" s="7"/>
      <c r="K121" s="7"/>
      <c r="L121" s="7"/>
      <c r="O121" s="30" t="str">
        <f t="shared" si="6"/>
        <v/>
      </c>
      <c r="P121" s="30" t="str">
        <f t="shared" si="7"/>
        <v/>
      </c>
      <c r="Q121" s="30" t="str">
        <f t="shared" si="8"/>
        <v/>
      </c>
      <c r="R121" s="30" t="str">
        <f t="shared" si="9"/>
        <v/>
      </c>
      <c r="S121" s="30" t="str">
        <f t="shared" si="10"/>
        <v/>
      </c>
    </row>
    <row r="122" spans="1:19">
      <c r="A122" s="7" t="s">
        <v>173</v>
      </c>
      <c r="B122" s="7"/>
      <c r="C122" s="7"/>
      <c r="D122" s="7"/>
      <c r="E122" s="7"/>
      <c r="F122" s="7"/>
      <c r="H122" s="7"/>
      <c r="I122" s="7"/>
      <c r="J122" s="7"/>
      <c r="K122" s="7"/>
      <c r="L122" s="7"/>
      <c r="O122" s="30" t="str">
        <f t="shared" si="6"/>
        <v/>
      </c>
      <c r="P122" s="30" t="str">
        <f t="shared" si="7"/>
        <v/>
      </c>
      <c r="Q122" s="30" t="str">
        <f t="shared" si="8"/>
        <v/>
      </c>
      <c r="R122" s="30" t="str">
        <f t="shared" si="9"/>
        <v/>
      </c>
      <c r="S122" s="30" t="str">
        <f t="shared" si="10"/>
        <v/>
      </c>
    </row>
    <row r="123" spans="1:19">
      <c r="A123" s="7" t="s">
        <v>174</v>
      </c>
      <c r="B123" s="7"/>
      <c r="C123" s="7"/>
      <c r="D123" s="7"/>
      <c r="E123" s="7"/>
      <c r="F123" s="7"/>
      <c r="H123" s="7"/>
      <c r="I123" s="7"/>
      <c r="J123" s="7"/>
      <c r="K123" s="7"/>
      <c r="L123" s="7"/>
      <c r="O123" s="30" t="str">
        <f t="shared" si="6"/>
        <v/>
      </c>
      <c r="P123" s="30" t="str">
        <f t="shared" si="7"/>
        <v/>
      </c>
      <c r="Q123" s="30" t="str">
        <f t="shared" si="8"/>
        <v/>
      </c>
      <c r="R123" s="30" t="str">
        <f t="shared" si="9"/>
        <v/>
      </c>
      <c r="S123" s="30" t="str">
        <f t="shared" si="10"/>
        <v/>
      </c>
    </row>
    <row r="124" spans="1:19">
      <c r="A124" s="7" t="s">
        <v>175</v>
      </c>
      <c r="B124" s="7"/>
      <c r="C124" s="7"/>
      <c r="D124" s="7"/>
      <c r="E124" s="7"/>
      <c r="F124" s="7"/>
      <c r="H124" s="7"/>
      <c r="I124" s="7"/>
      <c r="J124" s="7"/>
      <c r="K124" s="7"/>
      <c r="L124" s="7"/>
      <c r="O124" s="30" t="str">
        <f t="shared" si="6"/>
        <v/>
      </c>
      <c r="P124" s="30" t="str">
        <f t="shared" si="7"/>
        <v/>
      </c>
      <c r="Q124" s="30" t="str">
        <f t="shared" si="8"/>
        <v/>
      </c>
      <c r="R124" s="30" t="str">
        <f t="shared" si="9"/>
        <v/>
      </c>
      <c r="S124" s="30" t="str">
        <f t="shared" si="10"/>
        <v/>
      </c>
    </row>
    <row r="125" spans="1:19">
      <c r="A125" s="7" t="s">
        <v>176</v>
      </c>
      <c r="B125" s="7"/>
      <c r="C125" s="7"/>
      <c r="D125" s="7"/>
      <c r="E125" s="7"/>
      <c r="F125" s="7"/>
      <c r="H125" s="7"/>
      <c r="I125" s="7"/>
      <c r="J125" s="7"/>
      <c r="K125" s="7"/>
      <c r="L125" s="7"/>
      <c r="O125" s="30" t="str">
        <f t="shared" si="6"/>
        <v/>
      </c>
      <c r="P125" s="30" t="str">
        <f t="shared" si="7"/>
        <v/>
      </c>
      <c r="Q125" s="30" t="str">
        <f t="shared" si="8"/>
        <v/>
      </c>
      <c r="R125" s="30" t="str">
        <f t="shared" si="9"/>
        <v/>
      </c>
      <c r="S125" s="30" t="str">
        <f t="shared" si="10"/>
        <v/>
      </c>
    </row>
    <row r="126" spans="1:19">
      <c r="A126" s="7" t="s">
        <v>177</v>
      </c>
      <c r="B126" s="7"/>
      <c r="C126" s="7"/>
      <c r="D126" s="7"/>
      <c r="E126" s="7"/>
      <c r="F126" s="7"/>
      <c r="H126" s="7"/>
      <c r="I126" s="7"/>
      <c r="J126" s="7"/>
      <c r="K126" s="7"/>
      <c r="L126" s="7"/>
      <c r="O126" s="30" t="str">
        <f t="shared" si="6"/>
        <v/>
      </c>
      <c r="P126" s="30" t="str">
        <f t="shared" si="7"/>
        <v/>
      </c>
      <c r="Q126" s="30" t="str">
        <f t="shared" si="8"/>
        <v/>
      </c>
      <c r="R126" s="30" t="str">
        <f t="shared" si="9"/>
        <v/>
      </c>
      <c r="S126" s="30" t="str">
        <f t="shared" si="10"/>
        <v/>
      </c>
    </row>
    <row r="127" spans="1:19">
      <c r="A127" s="7" t="s">
        <v>178</v>
      </c>
      <c r="B127" s="7"/>
      <c r="C127" s="7"/>
      <c r="D127" s="7"/>
      <c r="E127" s="7"/>
      <c r="F127" s="7"/>
      <c r="H127" s="7"/>
      <c r="I127" s="7"/>
      <c r="J127" s="7"/>
      <c r="K127" s="7"/>
      <c r="L127" s="7"/>
      <c r="O127" s="30" t="str">
        <f t="shared" si="6"/>
        <v/>
      </c>
      <c r="P127" s="30" t="str">
        <f t="shared" si="7"/>
        <v/>
      </c>
      <c r="Q127" s="30" t="str">
        <f t="shared" si="8"/>
        <v/>
      </c>
      <c r="R127" s="30" t="str">
        <f t="shared" si="9"/>
        <v/>
      </c>
      <c r="S127" s="30" t="str">
        <f t="shared" si="10"/>
        <v/>
      </c>
    </row>
    <row r="128" spans="1:19">
      <c r="A128" s="7" t="s">
        <v>179</v>
      </c>
      <c r="B128" s="7"/>
      <c r="C128" s="7"/>
      <c r="D128" s="7"/>
      <c r="E128" s="7"/>
      <c r="F128" s="7"/>
      <c r="H128" s="7"/>
      <c r="I128" s="7"/>
      <c r="J128" s="7"/>
      <c r="K128" s="7"/>
      <c r="L128" s="7"/>
      <c r="O128" s="30" t="str">
        <f t="shared" si="6"/>
        <v/>
      </c>
      <c r="P128" s="30" t="str">
        <f t="shared" si="7"/>
        <v/>
      </c>
      <c r="Q128" s="30" t="str">
        <f t="shared" si="8"/>
        <v/>
      </c>
      <c r="R128" s="30" t="str">
        <f t="shared" si="9"/>
        <v/>
      </c>
      <c r="S128" s="30" t="str">
        <f t="shared" si="10"/>
        <v/>
      </c>
    </row>
    <row r="129" spans="1:19">
      <c r="A129" s="7" t="s">
        <v>180</v>
      </c>
      <c r="B129" s="7"/>
      <c r="C129" s="7"/>
      <c r="D129" s="7"/>
      <c r="E129" s="7"/>
      <c r="F129" s="7"/>
      <c r="H129" s="7"/>
      <c r="I129" s="7"/>
      <c r="J129" s="7"/>
      <c r="K129" s="7"/>
      <c r="L129" s="7"/>
      <c r="O129" s="30" t="str">
        <f t="shared" si="6"/>
        <v/>
      </c>
      <c r="P129" s="30" t="str">
        <f t="shared" si="7"/>
        <v/>
      </c>
      <c r="Q129" s="30" t="str">
        <f t="shared" si="8"/>
        <v/>
      </c>
      <c r="R129" s="30" t="str">
        <f t="shared" si="9"/>
        <v/>
      </c>
      <c r="S129" s="30" t="str">
        <f t="shared" si="10"/>
        <v/>
      </c>
    </row>
    <row r="130" spans="1:19">
      <c r="A130" s="7" t="s">
        <v>181</v>
      </c>
      <c r="B130" s="7"/>
      <c r="C130" s="7"/>
      <c r="D130" s="7"/>
      <c r="E130" s="7"/>
      <c r="F130" s="7"/>
      <c r="H130" s="7"/>
      <c r="I130" s="7"/>
      <c r="J130" s="7"/>
      <c r="K130" s="7"/>
      <c r="L130" s="7"/>
      <c r="O130" s="30" t="str">
        <f t="shared" si="6"/>
        <v/>
      </c>
      <c r="P130" s="30" t="str">
        <f t="shared" si="7"/>
        <v/>
      </c>
      <c r="Q130" s="30" t="str">
        <f t="shared" si="8"/>
        <v/>
      </c>
      <c r="R130" s="30" t="str">
        <f t="shared" si="9"/>
        <v/>
      </c>
      <c r="S130" s="30" t="str">
        <f t="shared" si="10"/>
        <v/>
      </c>
    </row>
    <row r="131" spans="1:19">
      <c r="A131" s="7" t="s">
        <v>182</v>
      </c>
      <c r="B131" s="7"/>
      <c r="C131" s="7"/>
      <c r="D131" s="7"/>
      <c r="E131" s="7"/>
      <c r="F131" s="7"/>
      <c r="H131" s="7"/>
      <c r="I131" s="7"/>
      <c r="J131" s="7"/>
      <c r="K131" s="7"/>
      <c r="L131" s="7"/>
      <c r="O131" s="30" t="str">
        <f t="shared" si="6"/>
        <v/>
      </c>
      <c r="P131" s="30" t="str">
        <f t="shared" si="7"/>
        <v/>
      </c>
      <c r="Q131" s="30" t="str">
        <f t="shared" si="8"/>
        <v/>
      </c>
      <c r="R131" s="30" t="str">
        <f t="shared" si="9"/>
        <v/>
      </c>
      <c r="S131" s="30" t="str">
        <f t="shared" si="10"/>
        <v/>
      </c>
    </row>
    <row r="132" spans="1:19">
      <c r="A132" s="7" t="s">
        <v>183</v>
      </c>
      <c r="B132" s="7"/>
      <c r="C132" s="7"/>
      <c r="D132" s="7"/>
      <c r="E132" s="7"/>
      <c r="F132" s="7"/>
      <c r="H132" s="7"/>
      <c r="I132" s="7"/>
      <c r="J132" s="7"/>
      <c r="K132" s="7"/>
      <c r="L132" s="7"/>
      <c r="O132" s="30" t="str">
        <f t="shared" si="6"/>
        <v/>
      </c>
      <c r="P132" s="30" t="str">
        <f t="shared" si="7"/>
        <v/>
      </c>
      <c r="Q132" s="30" t="str">
        <f t="shared" si="8"/>
        <v/>
      </c>
      <c r="R132" s="30" t="str">
        <f t="shared" si="9"/>
        <v/>
      </c>
      <c r="S132" s="30" t="str">
        <f t="shared" si="10"/>
        <v/>
      </c>
    </row>
    <row r="133" spans="1:19">
      <c r="A133" s="7" t="s">
        <v>184</v>
      </c>
      <c r="B133" s="7"/>
      <c r="C133" s="7"/>
      <c r="D133" s="7"/>
      <c r="E133" s="7"/>
      <c r="F133" s="7"/>
      <c r="H133" s="7"/>
      <c r="I133" s="7"/>
      <c r="J133" s="7"/>
      <c r="K133" s="7"/>
      <c r="L133" s="7"/>
      <c r="O133" s="30" t="str">
        <f t="shared" si="6"/>
        <v/>
      </c>
      <c r="P133" s="30" t="str">
        <f t="shared" si="7"/>
        <v/>
      </c>
      <c r="Q133" s="30" t="str">
        <f t="shared" si="8"/>
        <v/>
      </c>
      <c r="R133" s="30" t="str">
        <f t="shared" si="9"/>
        <v/>
      </c>
      <c r="S133" s="30" t="str">
        <f t="shared" si="10"/>
        <v/>
      </c>
    </row>
    <row r="134" spans="1:19">
      <c r="A134" s="7" t="s">
        <v>185</v>
      </c>
      <c r="B134" s="7"/>
      <c r="C134" s="7"/>
      <c r="D134" s="7"/>
      <c r="E134" s="7"/>
      <c r="F134" s="7"/>
      <c r="H134" s="7"/>
      <c r="I134" s="7"/>
      <c r="J134" s="7"/>
      <c r="K134" s="7"/>
      <c r="L134" s="7"/>
      <c r="O134" s="30" t="str">
        <f t="shared" si="6"/>
        <v/>
      </c>
      <c r="P134" s="30" t="str">
        <f t="shared" si="7"/>
        <v/>
      </c>
      <c r="Q134" s="30" t="str">
        <f t="shared" si="8"/>
        <v/>
      </c>
      <c r="R134" s="30" t="str">
        <f t="shared" si="9"/>
        <v/>
      </c>
      <c r="S134" s="30" t="str">
        <f t="shared" si="10"/>
        <v/>
      </c>
    </row>
    <row r="135" spans="1:19">
      <c r="A135" s="7" t="s">
        <v>186</v>
      </c>
      <c r="B135" s="7"/>
      <c r="C135" s="7"/>
      <c r="D135" s="7"/>
      <c r="E135" s="7"/>
      <c r="F135" s="7"/>
      <c r="H135" s="7"/>
      <c r="I135" s="7"/>
      <c r="J135" s="7"/>
      <c r="K135" s="7"/>
      <c r="L135" s="7"/>
      <c r="O135" s="30" t="str">
        <f t="shared" si="6"/>
        <v/>
      </c>
      <c r="P135" s="30" t="str">
        <f t="shared" si="7"/>
        <v/>
      </c>
      <c r="Q135" s="30" t="str">
        <f t="shared" si="8"/>
        <v/>
      </c>
      <c r="R135" s="30" t="str">
        <f t="shared" si="9"/>
        <v/>
      </c>
      <c r="S135" s="30" t="str">
        <f t="shared" si="10"/>
        <v/>
      </c>
    </row>
    <row r="136" spans="1:19">
      <c r="A136" s="7" t="s">
        <v>187</v>
      </c>
      <c r="B136" s="7"/>
      <c r="C136" s="7"/>
      <c r="D136" s="7"/>
      <c r="E136" s="7"/>
      <c r="F136" s="7"/>
      <c r="H136" s="7"/>
      <c r="I136" s="7"/>
      <c r="J136" s="7"/>
      <c r="K136" s="7"/>
      <c r="L136" s="7"/>
      <c r="O136" s="30" t="str">
        <f t="shared" si="6"/>
        <v/>
      </c>
      <c r="P136" s="30" t="str">
        <f t="shared" si="7"/>
        <v/>
      </c>
      <c r="Q136" s="30" t="str">
        <f t="shared" si="8"/>
        <v/>
      </c>
      <c r="R136" s="30" t="str">
        <f t="shared" si="9"/>
        <v/>
      </c>
      <c r="S136" s="30" t="str">
        <f t="shared" si="10"/>
        <v/>
      </c>
    </row>
    <row r="137" spans="1:19">
      <c r="A137" s="7" t="s">
        <v>188</v>
      </c>
      <c r="B137" s="7"/>
      <c r="C137" s="7"/>
      <c r="D137" s="7"/>
      <c r="E137" s="7"/>
      <c r="F137" s="7"/>
      <c r="H137" s="7"/>
      <c r="I137" s="7"/>
      <c r="J137" s="7"/>
      <c r="K137" s="7"/>
      <c r="L137" s="7"/>
      <c r="O137" s="30" t="str">
        <f t="shared" ref="O137:O200" si="11">IF(H137&gt;0,"Angebot offen","")</f>
        <v/>
      </c>
      <c r="P137" s="30" t="str">
        <f t="shared" ref="P137:P200" si="12">IF(I137&gt;0,"Angebot offen","")</f>
        <v/>
      </c>
      <c r="Q137" s="30" t="str">
        <f t="shared" ref="Q137:Q200" si="13">IF(J137&gt;0,"Angebot offen","")</f>
        <v/>
      </c>
      <c r="R137" s="30" t="str">
        <f t="shared" ref="R137:R200" si="14">IF(K137&gt;0,"Angebot offen","")</f>
        <v/>
      </c>
      <c r="S137" s="30" t="str">
        <f t="shared" ref="S137:S200" si="15">IF(L137&gt;0,"Angebot offen","")</f>
        <v/>
      </c>
    </row>
    <row r="138" spans="1:19">
      <c r="A138" s="7" t="s">
        <v>189</v>
      </c>
      <c r="B138" s="7"/>
      <c r="C138" s="7"/>
      <c r="D138" s="7"/>
      <c r="E138" s="7"/>
      <c r="F138" s="7"/>
      <c r="H138" s="7"/>
      <c r="I138" s="7"/>
      <c r="J138" s="7"/>
      <c r="K138" s="7"/>
      <c r="L138" s="7"/>
      <c r="O138" s="30" t="str">
        <f t="shared" si="11"/>
        <v/>
      </c>
      <c r="P138" s="30" t="str">
        <f t="shared" si="12"/>
        <v/>
      </c>
      <c r="Q138" s="30" t="str">
        <f t="shared" si="13"/>
        <v/>
      </c>
      <c r="R138" s="30" t="str">
        <f t="shared" si="14"/>
        <v/>
      </c>
      <c r="S138" s="30" t="str">
        <f t="shared" si="15"/>
        <v/>
      </c>
    </row>
    <row r="139" spans="1:19">
      <c r="A139" s="7" t="s">
        <v>190</v>
      </c>
      <c r="B139" s="7"/>
      <c r="C139" s="7"/>
      <c r="D139" s="7"/>
      <c r="E139" s="7"/>
      <c r="F139" s="7"/>
      <c r="H139" s="7"/>
      <c r="I139" s="7"/>
      <c r="J139" s="7"/>
      <c r="K139" s="7"/>
      <c r="L139" s="7"/>
      <c r="O139" s="30" t="str">
        <f t="shared" si="11"/>
        <v/>
      </c>
      <c r="P139" s="30" t="str">
        <f t="shared" si="12"/>
        <v/>
      </c>
      <c r="Q139" s="30" t="str">
        <f t="shared" si="13"/>
        <v/>
      </c>
      <c r="R139" s="30" t="str">
        <f t="shared" si="14"/>
        <v/>
      </c>
      <c r="S139" s="30" t="str">
        <f t="shared" si="15"/>
        <v/>
      </c>
    </row>
    <row r="140" spans="1:19">
      <c r="A140" s="7" t="s">
        <v>191</v>
      </c>
      <c r="B140" s="7"/>
      <c r="C140" s="7"/>
      <c r="D140" s="7"/>
      <c r="E140" s="7"/>
      <c r="F140" s="7"/>
      <c r="H140" s="7"/>
      <c r="I140" s="7"/>
      <c r="J140" s="7"/>
      <c r="K140" s="7"/>
      <c r="L140" s="7"/>
      <c r="O140" s="30" t="str">
        <f t="shared" si="11"/>
        <v/>
      </c>
      <c r="P140" s="30" t="str">
        <f t="shared" si="12"/>
        <v/>
      </c>
      <c r="Q140" s="30" t="str">
        <f t="shared" si="13"/>
        <v/>
      </c>
      <c r="R140" s="30" t="str">
        <f t="shared" si="14"/>
        <v/>
      </c>
      <c r="S140" s="30" t="str">
        <f t="shared" si="15"/>
        <v/>
      </c>
    </row>
    <row r="141" spans="1:19">
      <c r="A141" s="7" t="s">
        <v>192</v>
      </c>
      <c r="B141" s="7"/>
      <c r="C141" s="7"/>
      <c r="D141" s="7"/>
      <c r="E141" s="7"/>
      <c r="F141" s="7"/>
      <c r="H141" s="7"/>
      <c r="I141" s="7"/>
      <c r="J141" s="7"/>
      <c r="K141" s="7"/>
      <c r="L141" s="7"/>
      <c r="O141" s="30" t="str">
        <f t="shared" si="11"/>
        <v/>
      </c>
      <c r="P141" s="30" t="str">
        <f t="shared" si="12"/>
        <v/>
      </c>
      <c r="Q141" s="30" t="str">
        <f t="shared" si="13"/>
        <v/>
      </c>
      <c r="R141" s="30" t="str">
        <f t="shared" si="14"/>
        <v/>
      </c>
      <c r="S141" s="30" t="str">
        <f t="shared" si="15"/>
        <v/>
      </c>
    </row>
    <row r="142" spans="1:19">
      <c r="A142" s="7" t="s">
        <v>193</v>
      </c>
      <c r="B142" s="7"/>
      <c r="C142" s="7"/>
      <c r="D142" s="7"/>
      <c r="E142" s="7"/>
      <c r="F142" s="7"/>
      <c r="H142" s="7"/>
      <c r="I142" s="7"/>
      <c r="J142" s="7"/>
      <c r="K142" s="7"/>
      <c r="L142" s="7"/>
      <c r="O142" s="30" t="str">
        <f t="shared" si="11"/>
        <v/>
      </c>
      <c r="P142" s="30" t="str">
        <f t="shared" si="12"/>
        <v/>
      </c>
      <c r="Q142" s="30" t="str">
        <f t="shared" si="13"/>
        <v/>
      </c>
      <c r="R142" s="30" t="str">
        <f t="shared" si="14"/>
        <v/>
      </c>
      <c r="S142" s="30" t="str">
        <f t="shared" si="15"/>
        <v/>
      </c>
    </row>
    <row r="143" spans="1:19">
      <c r="A143" s="7" t="s">
        <v>194</v>
      </c>
      <c r="B143" s="7"/>
      <c r="C143" s="7"/>
      <c r="D143" s="7"/>
      <c r="E143" s="7"/>
      <c r="F143" s="7"/>
      <c r="H143" s="7"/>
      <c r="I143" s="7"/>
      <c r="J143" s="7"/>
      <c r="K143" s="7"/>
      <c r="L143" s="7"/>
      <c r="O143" s="30" t="str">
        <f t="shared" si="11"/>
        <v/>
      </c>
      <c r="P143" s="30" t="str">
        <f t="shared" si="12"/>
        <v/>
      </c>
      <c r="Q143" s="30" t="str">
        <f t="shared" si="13"/>
        <v/>
      </c>
      <c r="R143" s="30" t="str">
        <f t="shared" si="14"/>
        <v/>
      </c>
      <c r="S143" s="30" t="str">
        <f t="shared" si="15"/>
        <v/>
      </c>
    </row>
    <row r="144" spans="1:19">
      <c r="A144" s="7" t="s">
        <v>195</v>
      </c>
      <c r="B144" s="7"/>
      <c r="C144" s="7"/>
      <c r="D144" s="7"/>
      <c r="E144" s="7"/>
      <c r="F144" s="7"/>
      <c r="H144" s="7"/>
      <c r="I144" s="7"/>
      <c r="J144" s="7"/>
      <c r="K144" s="7"/>
      <c r="L144" s="7"/>
      <c r="O144" s="30" t="str">
        <f t="shared" si="11"/>
        <v/>
      </c>
      <c r="P144" s="30" t="str">
        <f t="shared" si="12"/>
        <v/>
      </c>
      <c r="Q144" s="30" t="str">
        <f t="shared" si="13"/>
        <v/>
      </c>
      <c r="R144" s="30" t="str">
        <f t="shared" si="14"/>
        <v/>
      </c>
      <c r="S144" s="30" t="str">
        <f t="shared" si="15"/>
        <v/>
      </c>
    </row>
    <row r="145" spans="1:19">
      <c r="A145" s="7" t="s">
        <v>196</v>
      </c>
      <c r="B145" s="7"/>
      <c r="C145" s="7"/>
      <c r="D145" s="7"/>
      <c r="E145" s="7"/>
      <c r="F145" s="7"/>
      <c r="H145" s="7"/>
      <c r="I145" s="7"/>
      <c r="J145" s="7"/>
      <c r="K145" s="7"/>
      <c r="L145" s="7"/>
      <c r="O145" s="30" t="str">
        <f t="shared" si="11"/>
        <v/>
      </c>
      <c r="P145" s="30" t="str">
        <f t="shared" si="12"/>
        <v/>
      </c>
      <c r="Q145" s="30" t="str">
        <f t="shared" si="13"/>
        <v/>
      </c>
      <c r="R145" s="30" t="str">
        <f t="shared" si="14"/>
        <v/>
      </c>
      <c r="S145" s="30" t="str">
        <f t="shared" si="15"/>
        <v/>
      </c>
    </row>
    <row r="146" spans="1:19">
      <c r="A146" s="7" t="s">
        <v>197</v>
      </c>
      <c r="B146" s="7"/>
      <c r="C146" s="7"/>
      <c r="D146" s="7"/>
      <c r="E146" s="7"/>
      <c r="F146" s="7"/>
      <c r="H146" s="7"/>
      <c r="I146" s="7"/>
      <c r="J146" s="7"/>
      <c r="K146" s="7"/>
      <c r="L146" s="7"/>
      <c r="O146" s="30" t="str">
        <f t="shared" si="11"/>
        <v/>
      </c>
      <c r="P146" s="30" t="str">
        <f t="shared" si="12"/>
        <v/>
      </c>
      <c r="Q146" s="30" t="str">
        <f t="shared" si="13"/>
        <v/>
      </c>
      <c r="R146" s="30" t="str">
        <f t="shared" si="14"/>
        <v/>
      </c>
      <c r="S146" s="30" t="str">
        <f t="shared" si="15"/>
        <v/>
      </c>
    </row>
    <row r="147" spans="1:19">
      <c r="A147" s="7" t="s">
        <v>198</v>
      </c>
      <c r="B147" s="7"/>
      <c r="C147" s="7"/>
      <c r="D147" s="7"/>
      <c r="E147" s="7"/>
      <c r="F147" s="7"/>
      <c r="H147" s="7"/>
      <c r="I147" s="7"/>
      <c r="J147" s="7"/>
      <c r="K147" s="7"/>
      <c r="L147" s="7"/>
      <c r="O147" s="30" t="str">
        <f t="shared" si="11"/>
        <v/>
      </c>
      <c r="P147" s="30" t="str">
        <f t="shared" si="12"/>
        <v/>
      </c>
      <c r="Q147" s="30" t="str">
        <f t="shared" si="13"/>
        <v/>
      </c>
      <c r="R147" s="30" t="str">
        <f t="shared" si="14"/>
        <v/>
      </c>
      <c r="S147" s="30" t="str">
        <f t="shared" si="15"/>
        <v/>
      </c>
    </row>
    <row r="148" spans="1:19">
      <c r="A148" s="7" t="s">
        <v>199</v>
      </c>
      <c r="B148" s="7"/>
      <c r="C148" s="7"/>
      <c r="D148" s="7"/>
      <c r="E148" s="7"/>
      <c r="F148" s="7"/>
      <c r="H148" s="7"/>
      <c r="I148" s="7"/>
      <c r="J148" s="7"/>
      <c r="K148" s="7"/>
      <c r="L148" s="7"/>
      <c r="O148" s="30" t="str">
        <f t="shared" si="11"/>
        <v/>
      </c>
      <c r="P148" s="30" t="str">
        <f t="shared" si="12"/>
        <v/>
      </c>
      <c r="Q148" s="30" t="str">
        <f t="shared" si="13"/>
        <v/>
      </c>
      <c r="R148" s="30" t="str">
        <f t="shared" si="14"/>
        <v/>
      </c>
      <c r="S148" s="30" t="str">
        <f t="shared" si="15"/>
        <v/>
      </c>
    </row>
    <row r="149" spans="1:19">
      <c r="A149" s="7" t="s">
        <v>200</v>
      </c>
      <c r="B149" s="7"/>
      <c r="C149" s="7"/>
      <c r="D149" s="7"/>
      <c r="E149" s="7"/>
      <c r="F149" s="7"/>
      <c r="H149" s="7"/>
      <c r="I149" s="7"/>
      <c r="J149" s="7"/>
      <c r="K149" s="7"/>
      <c r="L149" s="7"/>
      <c r="O149" s="30" t="str">
        <f t="shared" si="11"/>
        <v/>
      </c>
      <c r="P149" s="30" t="str">
        <f t="shared" si="12"/>
        <v/>
      </c>
      <c r="Q149" s="30" t="str">
        <f t="shared" si="13"/>
        <v/>
      </c>
      <c r="R149" s="30" t="str">
        <f t="shared" si="14"/>
        <v/>
      </c>
      <c r="S149" s="30" t="str">
        <f t="shared" si="15"/>
        <v/>
      </c>
    </row>
    <row r="150" spans="1:19">
      <c r="A150" s="7" t="s">
        <v>201</v>
      </c>
      <c r="B150" s="7"/>
      <c r="C150" s="7"/>
      <c r="D150" s="7"/>
      <c r="E150" s="7"/>
      <c r="F150" s="7"/>
      <c r="H150" s="7"/>
      <c r="I150" s="7"/>
      <c r="J150" s="7"/>
      <c r="K150" s="7"/>
      <c r="L150" s="7"/>
      <c r="O150" s="30" t="str">
        <f t="shared" si="11"/>
        <v/>
      </c>
      <c r="P150" s="30" t="str">
        <f t="shared" si="12"/>
        <v/>
      </c>
      <c r="Q150" s="30" t="str">
        <f t="shared" si="13"/>
        <v/>
      </c>
      <c r="R150" s="30" t="str">
        <f t="shared" si="14"/>
        <v/>
      </c>
      <c r="S150" s="30" t="str">
        <f t="shared" si="15"/>
        <v/>
      </c>
    </row>
    <row r="151" spans="1:19">
      <c r="A151" s="7" t="s">
        <v>202</v>
      </c>
      <c r="B151" s="7"/>
      <c r="C151" s="7"/>
      <c r="D151" s="7"/>
      <c r="E151" s="7"/>
      <c r="F151" s="7"/>
      <c r="H151" s="7"/>
      <c r="I151" s="7"/>
      <c r="J151" s="7"/>
      <c r="K151" s="7"/>
      <c r="L151" s="7"/>
      <c r="O151" s="30" t="str">
        <f t="shared" si="11"/>
        <v/>
      </c>
      <c r="P151" s="30" t="str">
        <f t="shared" si="12"/>
        <v/>
      </c>
      <c r="Q151" s="30" t="str">
        <f t="shared" si="13"/>
        <v/>
      </c>
      <c r="R151" s="30" t="str">
        <f t="shared" si="14"/>
        <v/>
      </c>
      <c r="S151" s="30" t="str">
        <f t="shared" si="15"/>
        <v/>
      </c>
    </row>
    <row r="152" spans="1:19">
      <c r="A152" s="7" t="s">
        <v>203</v>
      </c>
      <c r="B152" s="7"/>
      <c r="C152" s="7"/>
      <c r="D152" s="7"/>
      <c r="E152" s="7"/>
      <c r="F152" s="7"/>
      <c r="H152" s="7"/>
      <c r="I152" s="7"/>
      <c r="J152" s="7"/>
      <c r="K152" s="7"/>
      <c r="L152" s="7"/>
      <c r="O152" s="30" t="str">
        <f t="shared" si="11"/>
        <v/>
      </c>
      <c r="P152" s="30" t="str">
        <f t="shared" si="12"/>
        <v/>
      </c>
      <c r="Q152" s="30" t="str">
        <f t="shared" si="13"/>
        <v/>
      </c>
      <c r="R152" s="30" t="str">
        <f t="shared" si="14"/>
        <v/>
      </c>
      <c r="S152" s="30" t="str">
        <f t="shared" si="15"/>
        <v/>
      </c>
    </row>
    <row r="153" spans="1:19">
      <c r="A153" s="7" t="s">
        <v>204</v>
      </c>
      <c r="B153" s="7"/>
      <c r="C153" s="7"/>
      <c r="D153" s="7"/>
      <c r="E153" s="7"/>
      <c r="F153" s="7"/>
      <c r="H153" s="7"/>
      <c r="I153" s="7"/>
      <c r="J153" s="7"/>
      <c r="K153" s="7"/>
      <c r="L153" s="7"/>
      <c r="O153" s="30" t="str">
        <f t="shared" si="11"/>
        <v/>
      </c>
      <c r="P153" s="30" t="str">
        <f t="shared" si="12"/>
        <v/>
      </c>
      <c r="Q153" s="30" t="str">
        <f t="shared" si="13"/>
        <v/>
      </c>
      <c r="R153" s="30" t="str">
        <f t="shared" si="14"/>
        <v/>
      </c>
      <c r="S153" s="30" t="str">
        <f t="shared" si="15"/>
        <v/>
      </c>
    </row>
    <row r="154" spans="1:19">
      <c r="A154" s="7" t="s">
        <v>205</v>
      </c>
      <c r="B154" s="7"/>
      <c r="C154" s="7"/>
      <c r="D154" s="7"/>
      <c r="E154" s="7"/>
      <c r="F154" s="7"/>
      <c r="H154" s="7"/>
      <c r="I154" s="7"/>
      <c r="J154" s="7"/>
      <c r="K154" s="7"/>
      <c r="L154" s="7"/>
      <c r="O154" s="30" t="str">
        <f t="shared" si="11"/>
        <v/>
      </c>
      <c r="P154" s="30" t="str">
        <f t="shared" si="12"/>
        <v/>
      </c>
      <c r="Q154" s="30" t="str">
        <f t="shared" si="13"/>
        <v/>
      </c>
      <c r="R154" s="30" t="str">
        <f t="shared" si="14"/>
        <v/>
      </c>
      <c r="S154" s="30" t="str">
        <f t="shared" si="15"/>
        <v/>
      </c>
    </row>
    <row r="155" spans="1:19">
      <c r="A155" s="7" t="s">
        <v>206</v>
      </c>
      <c r="B155" s="7"/>
      <c r="C155" s="7"/>
      <c r="D155" s="7"/>
      <c r="E155" s="7"/>
      <c r="F155" s="7"/>
      <c r="H155" s="7"/>
      <c r="I155" s="7"/>
      <c r="J155" s="7"/>
      <c r="K155" s="7"/>
      <c r="L155" s="7"/>
      <c r="O155" s="30" t="str">
        <f t="shared" si="11"/>
        <v/>
      </c>
      <c r="P155" s="30" t="str">
        <f t="shared" si="12"/>
        <v/>
      </c>
      <c r="Q155" s="30" t="str">
        <f t="shared" si="13"/>
        <v/>
      </c>
      <c r="R155" s="30" t="str">
        <f t="shared" si="14"/>
        <v/>
      </c>
      <c r="S155" s="30" t="str">
        <f t="shared" si="15"/>
        <v/>
      </c>
    </row>
    <row r="156" spans="1:19">
      <c r="A156" s="7" t="s">
        <v>207</v>
      </c>
      <c r="B156" s="7"/>
      <c r="C156" s="7"/>
      <c r="D156" s="7"/>
      <c r="E156" s="7"/>
      <c r="F156" s="7"/>
      <c r="H156" s="7"/>
      <c r="I156" s="7"/>
      <c r="J156" s="7"/>
      <c r="K156" s="7"/>
      <c r="L156" s="7"/>
      <c r="O156" s="30" t="str">
        <f t="shared" si="11"/>
        <v/>
      </c>
      <c r="P156" s="30" t="str">
        <f t="shared" si="12"/>
        <v/>
      </c>
      <c r="Q156" s="30" t="str">
        <f t="shared" si="13"/>
        <v/>
      </c>
      <c r="R156" s="30" t="str">
        <f t="shared" si="14"/>
        <v/>
      </c>
      <c r="S156" s="30" t="str">
        <f t="shared" si="15"/>
        <v/>
      </c>
    </row>
    <row r="157" spans="1:19">
      <c r="A157" s="7" t="s">
        <v>208</v>
      </c>
      <c r="B157" s="7"/>
      <c r="C157" s="7"/>
      <c r="D157" s="7"/>
      <c r="E157" s="7"/>
      <c r="F157" s="7"/>
      <c r="H157" s="7"/>
      <c r="I157" s="7"/>
      <c r="J157" s="7"/>
      <c r="K157" s="7"/>
      <c r="L157" s="7"/>
      <c r="O157" s="30" t="str">
        <f t="shared" si="11"/>
        <v/>
      </c>
      <c r="P157" s="30" t="str">
        <f t="shared" si="12"/>
        <v/>
      </c>
      <c r="Q157" s="30" t="str">
        <f t="shared" si="13"/>
        <v/>
      </c>
      <c r="R157" s="30" t="str">
        <f t="shared" si="14"/>
        <v/>
      </c>
      <c r="S157" s="30" t="str">
        <f t="shared" si="15"/>
        <v/>
      </c>
    </row>
    <row r="158" spans="1:19">
      <c r="A158" s="7" t="s">
        <v>209</v>
      </c>
      <c r="B158" s="7"/>
      <c r="C158" s="7"/>
      <c r="D158" s="7"/>
      <c r="E158" s="7"/>
      <c r="F158" s="7"/>
      <c r="H158" s="7"/>
      <c r="I158" s="7"/>
      <c r="J158" s="7"/>
      <c r="K158" s="7"/>
      <c r="L158" s="7"/>
      <c r="O158" s="30" t="str">
        <f t="shared" si="11"/>
        <v/>
      </c>
      <c r="P158" s="30" t="str">
        <f t="shared" si="12"/>
        <v/>
      </c>
      <c r="Q158" s="30" t="str">
        <f t="shared" si="13"/>
        <v/>
      </c>
      <c r="R158" s="30" t="str">
        <f t="shared" si="14"/>
        <v/>
      </c>
      <c r="S158" s="30" t="str">
        <f t="shared" si="15"/>
        <v/>
      </c>
    </row>
    <row r="159" spans="1:19">
      <c r="A159" s="7" t="s">
        <v>210</v>
      </c>
      <c r="B159" s="7"/>
      <c r="C159" s="7"/>
      <c r="D159" s="7"/>
      <c r="E159" s="7"/>
      <c r="F159" s="7"/>
      <c r="H159" s="7"/>
      <c r="I159" s="7"/>
      <c r="J159" s="7"/>
      <c r="K159" s="7"/>
      <c r="L159" s="7"/>
      <c r="O159" s="30" t="str">
        <f t="shared" si="11"/>
        <v/>
      </c>
      <c r="P159" s="30" t="str">
        <f t="shared" si="12"/>
        <v/>
      </c>
      <c r="Q159" s="30" t="str">
        <f t="shared" si="13"/>
        <v/>
      </c>
      <c r="R159" s="30" t="str">
        <f t="shared" si="14"/>
        <v/>
      </c>
      <c r="S159" s="30" t="str">
        <f t="shared" si="15"/>
        <v/>
      </c>
    </row>
    <row r="160" spans="1:19">
      <c r="A160" s="7" t="s">
        <v>211</v>
      </c>
      <c r="B160" s="7"/>
      <c r="C160" s="7"/>
      <c r="D160" s="7"/>
      <c r="E160" s="7"/>
      <c r="F160" s="7"/>
      <c r="H160" s="7"/>
      <c r="I160" s="7"/>
      <c r="J160" s="7"/>
      <c r="K160" s="7"/>
      <c r="L160" s="7"/>
      <c r="O160" s="30" t="str">
        <f t="shared" si="11"/>
        <v/>
      </c>
      <c r="P160" s="30" t="str">
        <f t="shared" si="12"/>
        <v/>
      </c>
      <c r="Q160" s="30" t="str">
        <f t="shared" si="13"/>
        <v/>
      </c>
      <c r="R160" s="30" t="str">
        <f t="shared" si="14"/>
        <v/>
      </c>
      <c r="S160" s="30" t="str">
        <f t="shared" si="15"/>
        <v/>
      </c>
    </row>
    <row r="161" spans="1:19">
      <c r="A161" s="7" t="s">
        <v>212</v>
      </c>
      <c r="B161" s="7"/>
      <c r="C161" s="7"/>
      <c r="D161" s="7"/>
      <c r="E161" s="7"/>
      <c r="F161" s="7"/>
      <c r="H161" s="7"/>
      <c r="I161" s="7"/>
      <c r="J161" s="7"/>
      <c r="K161" s="7"/>
      <c r="L161" s="7"/>
      <c r="O161" s="30" t="str">
        <f t="shared" si="11"/>
        <v/>
      </c>
      <c r="P161" s="30" t="str">
        <f t="shared" si="12"/>
        <v/>
      </c>
      <c r="Q161" s="30" t="str">
        <f t="shared" si="13"/>
        <v/>
      </c>
      <c r="R161" s="30" t="str">
        <f t="shared" si="14"/>
        <v/>
      </c>
      <c r="S161" s="30" t="str">
        <f t="shared" si="15"/>
        <v/>
      </c>
    </row>
    <row r="162" spans="1:19">
      <c r="A162" s="7" t="s">
        <v>213</v>
      </c>
      <c r="B162" s="7"/>
      <c r="C162" s="7"/>
      <c r="D162" s="7"/>
      <c r="E162" s="7"/>
      <c r="F162" s="7"/>
      <c r="H162" s="7"/>
      <c r="I162" s="7"/>
      <c r="J162" s="7"/>
      <c r="K162" s="7"/>
      <c r="L162" s="7"/>
      <c r="O162" s="30" t="str">
        <f t="shared" si="11"/>
        <v/>
      </c>
      <c r="P162" s="30" t="str">
        <f t="shared" si="12"/>
        <v/>
      </c>
      <c r="Q162" s="30" t="str">
        <f t="shared" si="13"/>
        <v/>
      </c>
      <c r="R162" s="30" t="str">
        <f t="shared" si="14"/>
        <v/>
      </c>
      <c r="S162" s="30" t="str">
        <f t="shared" si="15"/>
        <v/>
      </c>
    </row>
    <row r="163" spans="1:19">
      <c r="A163" s="7" t="s">
        <v>214</v>
      </c>
      <c r="B163" s="7"/>
      <c r="C163" s="7"/>
      <c r="D163" s="7"/>
      <c r="E163" s="7"/>
      <c r="F163" s="7"/>
      <c r="H163" s="7"/>
      <c r="I163" s="7"/>
      <c r="J163" s="7"/>
      <c r="K163" s="7"/>
      <c r="L163" s="7"/>
      <c r="O163" s="30" t="str">
        <f t="shared" si="11"/>
        <v/>
      </c>
      <c r="P163" s="30" t="str">
        <f t="shared" si="12"/>
        <v/>
      </c>
      <c r="Q163" s="30" t="str">
        <f t="shared" si="13"/>
        <v/>
      </c>
      <c r="R163" s="30" t="str">
        <f t="shared" si="14"/>
        <v/>
      </c>
      <c r="S163" s="30" t="str">
        <f t="shared" si="15"/>
        <v/>
      </c>
    </row>
    <row r="164" spans="1:19">
      <c r="A164" s="7" t="s">
        <v>215</v>
      </c>
      <c r="B164" s="7"/>
      <c r="C164" s="7"/>
      <c r="D164" s="7"/>
      <c r="E164" s="7"/>
      <c r="F164" s="7"/>
      <c r="H164" s="7"/>
      <c r="I164" s="7"/>
      <c r="J164" s="7"/>
      <c r="K164" s="7"/>
      <c r="L164" s="7"/>
      <c r="O164" s="30" t="str">
        <f t="shared" si="11"/>
        <v/>
      </c>
      <c r="P164" s="30" t="str">
        <f t="shared" si="12"/>
        <v/>
      </c>
      <c r="Q164" s="30" t="str">
        <f t="shared" si="13"/>
        <v/>
      </c>
      <c r="R164" s="30" t="str">
        <f t="shared" si="14"/>
        <v/>
      </c>
      <c r="S164" s="30" t="str">
        <f t="shared" si="15"/>
        <v/>
      </c>
    </row>
    <row r="165" spans="1:19">
      <c r="A165" s="7" t="s">
        <v>216</v>
      </c>
      <c r="B165" s="7"/>
      <c r="C165" s="7"/>
      <c r="D165" s="7"/>
      <c r="E165" s="7"/>
      <c r="F165" s="7"/>
      <c r="H165" s="7"/>
      <c r="I165" s="7"/>
      <c r="J165" s="7"/>
      <c r="K165" s="7"/>
      <c r="L165" s="7"/>
      <c r="O165" s="30" t="str">
        <f t="shared" si="11"/>
        <v/>
      </c>
      <c r="P165" s="30" t="str">
        <f t="shared" si="12"/>
        <v/>
      </c>
      <c r="Q165" s="30" t="str">
        <f t="shared" si="13"/>
        <v/>
      </c>
      <c r="R165" s="30" t="str">
        <f t="shared" si="14"/>
        <v/>
      </c>
      <c r="S165" s="30" t="str">
        <f t="shared" si="15"/>
        <v/>
      </c>
    </row>
    <row r="166" spans="1:19">
      <c r="A166" s="7" t="s">
        <v>217</v>
      </c>
      <c r="B166" s="7"/>
      <c r="C166" s="7"/>
      <c r="D166" s="7"/>
      <c r="E166" s="7"/>
      <c r="F166" s="7"/>
      <c r="H166" s="7"/>
      <c r="I166" s="7"/>
      <c r="J166" s="7"/>
      <c r="K166" s="7"/>
      <c r="L166" s="7"/>
      <c r="O166" s="30" t="str">
        <f t="shared" si="11"/>
        <v/>
      </c>
      <c r="P166" s="30" t="str">
        <f t="shared" si="12"/>
        <v/>
      </c>
      <c r="Q166" s="30" t="str">
        <f t="shared" si="13"/>
        <v/>
      </c>
      <c r="R166" s="30" t="str">
        <f t="shared" si="14"/>
        <v/>
      </c>
      <c r="S166" s="30" t="str">
        <f t="shared" si="15"/>
        <v/>
      </c>
    </row>
    <row r="167" spans="1:19">
      <c r="A167" s="7" t="s">
        <v>218</v>
      </c>
      <c r="B167" s="7"/>
      <c r="C167" s="7"/>
      <c r="D167" s="7"/>
      <c r="E167" s="7"/>
      <c r="F167" s="7"/>
      <c r="H167" s="7"/>
      <c r="I167" s="7"/>
      <c r="J167" s="7"/>
      <c r="K167" s="7"/>
      <c r="L167" s="7"/>
      <c r="O167" s="30" t="str">
        <f t="shared" si="11"/>
        <v/>
      </c>
      <c r="P167" s="30" t="str">
        <f t="shared" si="12"/>
        <v/>
      </c>
      <c r="Q167" s="30" t="str">
        <f t="shared" si="13"/>
        <v/>
      </c>
      <c r="R167" s="30" t="str">
        <f t="shared" si="14"/>
        <v/>
      </c>
      <c r="S167" s="30" t="str">
        <f t="shared" si="15"/>
        <v/>
      </c>
    </row>
    <row r="168" spans="1:19">
      <c r="A168" s="7" t="s">
        <v>219</v>
      </c>
      <c r="B168" s="7"/>
      <c r="C168" s="7"/>
      <c r="D168" s="7"/>
      <c r="E168" s="7"/>
      <c r="F168" s="7"/>
      <c r="H168" s="7"/>
      <c r="I168" s="7"/>
      <c r="J168" s="7"/>
      <c r="K168" s="7"/>
      <c r="L168" s="7"/>
      <c r="O168" s="30" t="str">
        <f t="shared" si="11"/>
        <v/>
      </c>
      <c r="P168" s="30" t="str">
        <f t="shared" si="12"/>
        <v/>
      </c>
      <c r="Q168" s="30" t="str">
        <f t="shared" si="13"/>
        <v/>
      </c>
      <c r="R168" s="30" t="str">
        <f t="shared" si="14"/>
        <v/>
      </c>
      <c r="S168" s="30" t="str">
        <f t="shared" si="15"/>
        <v/>
      </c>
    </row>
    <row r="169" spans="1:19">
      <c r="A169" s="7" t="s">
        <v>220</v>
      </c>
      <c r="B169" s="7"/>
      <c r="C169" s="7"/>
      <c r="D169" s="7"/>
      <c r="E169" s="7"/>
      <c r="F169" s="7"/>
      <c r="H169" s="7"/>
      <c r="I169" s="7"/>
      <c r="J169" s="7"/>
      <c r="K169" s="7"/>
      <c r="L169" s="7"/>
      <c r="O169" s="30" t="str">
        <f t="shared" si="11"/>
        <v/>
      </c>
      <c r="P169" s="30" t="str">
        <f t="shared" si="12"/>
        <v/>
      </c>
      <c r="Q169" s="30" t="str">
        <f t="shared" si="13"/>
        <v/>
      </c>
      <c r="R169" s="30" t="str">
        <f t="shared" si="14"/>
        <v/>
      </c>
      <c r="S169" s="30" t="str">
        <f t="shared" si="15"/>
        <v/>
      </c>
    </row>
    <row r="170" spans="1:19">
      <c r="A170" s="7" t="s">
        <v>221</v>
      </c>
      <c r="B170" s="7"/>
      <c r="C170" s="7"/>
      <c r="D170" s="7"/>
      <c r="E170" s="7"/>
      <c r="F170" s="7"/>
      <c r="H170" s="7"/>
      <c r="I170" s="7"/>
      <c r="J170" s="7"/>
      <c r="K170" s="7"/>
      <c r="L170" s="7"/>
      <c r="O170" s="30" t="str">
        <f t="shared" si="11"/>
        <v/>
      </c>
      <c r="P170" s="30" t="str">
        <f t="shared" si="12"/>
        <v/>
      </c>
      <c r="Q170" s="30" t="str">
        <f t="shared" si="13"/>
        <v/>
      </c>
      <c r="R170" s="30" t="str">
        <f t="shared" si="14"/>
        <v/>
      </c>
      <c r="S170" s="30" t="str">
        <f t="shared" si="15"/>
        <v/>
      </c>
    </row>
    <row r="171" spans="1:19">
      <c r="A171" s="7" t="s">
        <v>222</v>
      </c>
      <c r="B171" s="7"/>
      <c r="C171" s="7"/>
      <c r="D171" s="7"/>
      <c r="E171" s="7"/>
      <c r="F171" s="7"/>
      <c r="H171" s="7"/>
      <c r="I171" s="7"/>
      <c r="J171" s="7"/>
      <c r="K171" s="7"/>
      <c r="L171" s="7"/>
      <c r="O171" s="30" t="str">
        <f t="shared" si="11"/>
        <v/>
      </c>
      <c r="P171" s="30" t="str">
        <f t="shared" si="12"/>
        <v/>
      </c>
      <c r="Q171" s="30" t="str">
        <f t="shared" si="13"/>
        <v/>
      </c>
      <c r="R171" s="30" t="str">
        <f t="shared" si="14"/>
        <v/>
      </c>
      <c r="S171" s="30" t="str">
        <f t="shared" si="15"/>
        <v/>
      </c>
    </row>
    <row r="172" spans="1:19">
      <c r="A172" s="7" t="s">
        <v>223</v>
      </c>
      <c r="B172" s="7"/>
      <c r="C172" s="7"/>
      <c r="D172" s="7"/>
      <c r="E172" s="7"/>
      <c r="F172" s="7"/>
      <c r="H172" s="7"/>
      <c r="I172" s="7"/>
      <c r="J172" s="7"/>
      <c r="K172" s="7"/>
      <c r="L172" s="7"/>
      <c r="O172" s="30" t="str">
        <f t="shared" si="11"/>
        <v/>
      </c>
      <c r="P172" s="30" t="str">
        <f t="shared" si="12"/>
        <v/>
      </c>
      <c r="Q172" s="30" t="str">
        <f t="shared" si="13"/>
        <v/>
      </c>
      <c r="R172" s="30" t="str">
        <f t="shared" si="14"/>
        <v/>
      </c>
      <c r="S172" s="30" t="str">
        <f t="shared" si="15"/>
        <v/>
      </c>
    </row>
    <row r="173" spans="1:19">
      <c r="A173" s="7" t="s">
        <v>224</v>
      </c>
      <c r="B173" s="7"/>
      <c r="C173" s="7"/>
      <c r="D173" s="7"/>
      <c r="E173" s="7"/>
      <c r="F173" s="7"/>
      <c r="H173" s="7"/>
      <c r="I173" s="7"/>
      <c r="J173" s="7"/>
      <c r="K173" s="7"/>
      <c r="L173" s="7"/>
      <c r="O173" s="30" t="str">
        <f t="shared" si="11"/>
        <v/>
      </c>
      <c r="P173" s="30" t="str">
        <f t="shared" si="12"/>
        <v/>
      </c>
      <c r="Q173" s="30" t="str">
        <f t="shared" si="13"/>
        <v/>
      </c>
      <c r="R173" s="30" t="str">
        <f t="shared" si="14"/>
        <v/>
      </c>
      <c r="S173" s="30" t="str">
        <f t="shared" si="15"/>
        <v/>
      </c>
    </row>
    <row r="174" spans="1:19">
      <c r="A174" s="7" t="s">
        <v>225</v>
      </c>
      <c r="B174" s="7"/>
      <c r="C174" s="7"/>
      <c r="D174" s="7"/>
      <c r="E174" s="7"/>
      <c r="F174" s="7"/>
      <c r="H174" s="7"/>
      <c r="I174" s="7"/>
      <c r="J174" s="7"/>
      <c r="K174" s="7"/>
      <c r="L174" s="7"/>
      <c r="O174" s="30" t="str">
        <f t="shared" si="11"/>
        <v/>
      </c>
      <c r="P174" s="30" t="str">
        <f t="shared" si="12"/>
        <v/>
      </c>
      <c r="Q174" s="30" t="str">
        <f t="shared" si="13"/>
        <v/>
      </c>
      <c r="R174" s="30" t="str">
        <f t="shared" si="14"/>
        <v/>
      </c>
      <c r="S174" s="30" t="str">
        <f t="shared" si="15"/>
        <v/>
      </c>
    </row>
    <row r="175" spans="1:19">
      <c r="A175" s="7" t="s">
        <v>226</v>
      </c>
      <c r="B175" s="7"/>
      <c r="C175" s="7"/>
      <c r="D175" s="7"/>
      <c r="E175" s="7"/>
      <c r="F175" s="7"/>
      <c r="H175" s="7"/>
      <c r="I175" s="7"/>
      <c r="J175" s="7"/>
      <c r="K175" s="7"/>
      <c r="L175" s="7"/>
      <c r="O175" s="30" t="str">
        <f t="shared" si="11"/>
        <v/>
      </c>
      <c r="P175" s="30" t="str">
        <f t="shared" si="12"/>
        <v/>
      </c>
      <c r="Q175" s="30" t="str">
        <f t="shared" si="13"/>
        <v/>
      </c>
      <c r="R175" s="30" t="str">
        <f t="shared" si="14"/>
        <v/>
      </c>
      <c r="S175" s="30" t="str">
        <f t="shared" si="15"/>
        <v/>
      </c>
    </row>
    <row r="176" spans="1:19">
      <c r="A176" s="7" t="s">
        <v>227</v>
      </c>
      <c r="B176" s="7"/>
      <c r="C176" s="7"/>
      <c r="D176" s="7"/>
      <c r="E176" s="7"/>
      <c r="F176" s="7"/>
      <c r="H176" s="7"/>
      <c r="I176" s="7"/>
      <c r="J176" s="7"/>
      <c r="K176" s="7"/>
      <c r="L176" s="7"/>
      <c r="O176" s="30" t="str">
        <f t="shared" si="11"/>
        <v/>
      </c>
      <c r="P176" s="30" t="str">
        <f t="shared" si="12"/>
        <v/>
      </c>
      <c r="Q176" s="30" t="str">
        <f t="shared" si="13"/>
        <v/>
      </c>
      <c r="R176" s="30" t="str">
        <f t="shared" si="14"/>
        <v/>
      </c>
      <c r="S176" s="30" t="str">
        <f t="shared" si="15"/>
        <v/>
      </c>
    </row>
    <row r="177" spans="1:19">
      <c r="A177" s="7" t="s">
        <v>228</v>
      </c>
      <c r="B177" s="7"/>
      <c r="C177" s="7"/>
      <c r="D177" s="7"/>
      <c r="E177" s="7"/>
      <c r="F177" s="7"/>
      <c r="H177" s="7"/>
      <c r="I177" s="7"/>
      <c r="J177" s="7"/>
      <c r="K177" s="7"/>
      <c r="L177" s="7"/>
      <c r="O177" s="30" t="str">
        <f t="shared" si="11"/>
        <v/>
      </c>
      <c r="P177" s="30" t="str">
        <f t="shared" si="12"/>
        <v/>
      </c>
      <c r="Q177" s="30" t="str">
        <f t="shared" si="13"/>
        <v/>
      </c>
      <c r="R177" s="30" t="str">
        <f t="shared" si="14"/>
        <v/>
      </c>
      <c r="S177" s="30" t="str">
        <f t="shared" si="15"/>
        <v/>
      </c>
    </row>
    <row r="178" spans="1:19">
      <c r="A178" s="7" t="s">
        <v>229</v>
      </c>
      <c r="B178" s="7"/>
      <c r="C178" s="7"/>
      <c r="D178" s="7"/>
      <c r="E178" s="7"/>
      <c r="F178" s="7"/>
      <c r="H178" s="7"/>
      <c r="I178" s="7"/>
      <c r="J178" s="7"/>
      <c r="K178" s="7"/>
      <c r="L178" s="7"/>
      <c r="O178" s="30" t="str">
        <f t="shared" si="11"/>
        <v/>
      </c>
      <c r="P178" s="30" t="str">
        <f t="shared" si="12"/>
        <v/>
      </c>
      <c r="Q178" s="30" t="str">
        <f t="shared" si="13"/>
        <v/>
      </c>
      <c r="R178" s="30" t="str">
        <f t="shared" si="14"/>
        <v/>
      </c>
      <c r="S178" s="30" t="str">
        <f t="shared" si="15"/>
        <v/>
      </c>
    </row>
    <row r="179" spans="1:19">
      <c r="A179" s="7" t="s">
        <v>230</v>
      </c>
      <c r="B179" s="7"/>
      <c r="C179" s="7"/>
      <c r="D179" s="7"/>
      <c r="E179" s="7"/>
      <c r="F179" s="7"/>
      <c r="H179" s="7"/>
      <c r="I179" s="7"/>
      <c r="J179" s="7"/>
      <c r="K179" s="7"/>
      <c r="L179" s="7"/>
      <c r="O179" s="30" t="str">
        <f t="shared" si="11"/>
        <v/>
      </c>
      <c r="P179" s="30" t="str">
        <f t="shared" si="12"/>
        <v/>
      </c>
      <c r="Q179" s="30" t="str">
        <f t="shared" si="13"/>
        <v/>
      </c>
      <c r="R179" s="30" t="str">
        <f t="shared" si="14"/>
        <v/>
      </c>
      <c r="S179" s="30" t="str">
        <f t="shared" si="15"/>
        <v/>
      </c>
    </row>
    <row r="180" spans="1:19">
      <c r="A180" s="7" t="s">
        <v>231</v>
      </c>
      <c r="B180" s="7"/>
      <c r="C180" s="7"/>
      <c r="D180" s="7"/>
      <c r="E180" s="7"/>
      <c r="F180" s="7"/>
      <c r="H180" s="7"/>
      <c r="I180" s="7"/>
      <c r="J180" s="7"/>
      <c r="K180" s="7"/>
      <c r="L180" s="7"/>
      <c r="O180" s="30" t="str">
        <f t="shared" si="11"/>
        <v/>
      </c>
      <c r="P180" s="30" t="str">
        <f t="shared" si="12"/>
        <v/>
      </c>
      <c r="Q180" s="30" t="str">
        <f t="shared" si="13"/>
        <v/>
      </c>
      <c r="R180" s="30" t="str">
        <f t="shared" si="14"/>
        <v/>
      </c>
      <c r="S180" s="30" t="str">
        <f t="shared" si="15"/>
        <v/>
      </c>
    </row>
    <row r="181" spans="1:19">
      <c r="A181" s="7" t="s">
        <v>232</v>
      </c>
      <c r="B181" s="7"/>
      <c r="C181" s="7"/>
      <c r="D181" s="7"/>
      <c r="E181" s="7"/>
      <c r="F181" s="7"/>
      <c r="H181" s="7"/>
      <c r="I181" s="7"/>
      <c r="J181" s="7"/>
      <c r="K181" s="7"/>
      <c r="L181" s="7"/>
      <c r="O181" s="30" t="str">
        <f t="shared" si="11"/>
        <v/>
      </c>
      <c r="P181" s="30" t="str">
        <f t="shared" si="12"/>
        <v/>
      </c>
      <c r="Q181" s="30" t="str">
        <f t="shared" si="13"/>
        <v/>
      </c>
      <c r="R181" s="30" t="str">
        <f t="shared" si="14"/>
        <v/>
      </c>
      <c r="S181" s="30" t="str">
        <f t="shared" si="15"/>
        <v/>
      </c>
    </row>
    <row r="182" spans="1:19">
      <c r="A182" s="7" t="s">
        <v>233</v>
      </c>
      <c r="B182" s="7"/>
      <c r="C182" s="7"/>
      <c r="D182" s="7"/>
      <c r="E182" s="7"/>
      <c r="F182" s="7"/>
      <c r="H182" s="7"/>
      <c r="I182" s="7"/>
      <c r="J182" s="7"/>
      <c r="K182" s="7"/>
      <c r="L182" s="7"/>
      <c r="O182" s="30" t="str">
        <f t="shared" si="11"/>
        <v/>
      </c>
      <c r="P182" s="30" t="str">
        <f t="shared" si="12"/>
        <v/>
      </c>
      <c r="Q182" s="30" t="str">
        <f t="shared" si="13"/>
        <v/>
      </c>
      <c r="R182" s="30" t="str">
        <f t="shared" si="14"/>
        <v/>
      </c>
      <c r="S182" s="30" t="str">
        <f t="shared" si="15"/>
        <v/>
      </c>
    </row>
    <row r="183" spans="1:19">
      <c r="A183" s="7" t="s">
        <v>234</v>
      </c>
      <c r="B183" s="7"/>
      <c r="C183" s="7"/>
      <c r="D183" s="7"/>
      <c r="E183" s="7"/>
      <c r="F183" s="7"/>
      <c r="H183" s="7"/>
      <c r="I183" s="7"/>
      <c r="J183" s="7"/>
      <c r="K183" s="7"/>
      <c r="L183" s="7"/>
      <c r="O183" s="30" t="str">
        <f t="shared" si="11"/>
        <v/>
      </c>
      <c r="P183" s="30" t="str">
        <f t="shared" si="12"/>
        <v/>
      </c>
      <c r="Q183" s="30" t="str">
        <f t="shared" si="13"/>
        <v/>
      </c>
      <c r="R183" s="30" t="str">
        <f t="shared" si="14"/>
        <v/>
      </c>
      <c r="S183" s="30" t="str">
        <f t="shared" si="15"/>
        <v/>
      </c>
    </row>
    <row r="184" spans="1:19">
      <c r="A184" s="7" t="s">
        <v>235</v>
      </c>
      <c r="B184" s="7"/>
      <c r="C184" s="7"/>
      <c r="D184" s="7"/>
      <c r="E184" s="7"/>
      <c r="F184" s="7"/>
      <c r="H184" s="7"/>
      <c r="I184" s="7"/>
      <c r="J184" s="7"/>
      <c r="K184" s="7"/>
      <c r="L184" s="7"/>
      <c r="O184" s="30" t="str">
        <f t="shared" si="11"/>
        <v/>
      </c>
      <c r="P184" s="30" t="str">
        <f t="shared" si="12"/>
        <v/>
      </c>
      <c r="Q184" s="30" t="str">
        <f t="shared" si="13"/>
        <v/>
      </c>
      <c r="R184" s="30" t="str">
        <f t="shared" si="14"/>
        <v/>
      </c>
      <c r="S184" s="30" t="str">
        <f t="shared" si="15"/>
        <v/>
      </c>
    </row>
    <row r="185" spans="1:19">
      <c r="A185" s="7" t="s">
        <v>236</v>
      </c>
      <c r="B185" s="7"/>
      <c r="C185" s="7"/>
      <c r="D185" s="7"/>
      <c r="E185" s="7"/>
      <c r="F185" s="7"/>
      <c r="H185" s="7"/>
      <c r="I185" s="7"/>
      <c r="J185" s="7"/>
      <c r="K185" s="7"/>
      <c r="L185" s="7"/>
      <c r="O185" s="30" t="str">
        <f t="shared" si="11"/>
        <v/>
      </c>
      <c r="P185" s="30" t="str">
        <f t="shared" si="12"/>
        <v/>
      </c>
      <c r="Q185" s="30" t="str">
        <f t="shared" si="13"/>
        <v/>
      </c>
      <c r="R185" s="30" t="str">
        <f t="shared" si="14"/>
        <v/>
      </c>
      <c r="S185" s="30" t="str">
        <f t="shared" si="15"/>
        <v/>
      </c>
    </row>
    <row r="186" spans="1:19">
      <c r="A186" s="7" t="s">
        <v>237</v>
      </c>
      <c r="B186" s="7"/>
      <c r="C186" s="7"/>
      <c r="D186" s="7"/>
      <c r="E186" s="7"/>
      <c r="F186" s="7"/>
      <c r="H186" s="7"/>
      <c r="I186" s="7"/>
      <c r="J186" s="7"/>
      <c r="K186" s="7"/>
      <c r="L186" s="7"/>
      <c r="O186" s="30" t="str">
        <f t="shared" si="11"/>
        <v/>
      </c>
      <c r="P186" s="30" t="str">
        <f t="shared" si="12"/>
        <v/>
      </c>
      <c r="Q186" s="30" t="str">
        <f t="shared" si="13"/>
        <v/>
      </c>
      <c r="R186" s="30" t="str">
        <f t="shared" si="14"/>
        <v/>
      </c>
      <c r="S186" s="30" t="str">
        <f t="shared" si="15"/>
        <v/>
      </c>
    </row>
    <row r="187" spans="1:19">
      <c r="A187" s="7" t="s">
        <v>238</v>
      </c>
      <c r="B187" s="7"/>
      <c r="C187" s="7"/>
      <c r="D187" s="7"/>
      <c r="E187" s="7"/>
      <c r="F187" s="7"/>
      <c r="H187" s="7"/>
      <c r="I187" s="7"/>
      <c r="J187" s="7"/>
      <c r="K187" s="7"/>
      <c r="L187" s="7"/>
      <c r="O187" s="30" t="str">
        <f t="shared" si="11"/>
        <v/>
      </c>
      <c r="P187" s="30" t="str">
        <f t="shared" si="12"/>
        <v/>
      </c>
      <c r="Q187" s="30" t="str">
        <f t="shared" si="13"/>
        <v/>
      </c>
      <c r="R187" s="30" t="str">
        <f t="shared" si="14"/>
        <v/>
      </c>
      <c r="S187" s="30" t="str">
        <f t="shared" si="15"/>
        <v/>
      </c>
    </row>
    <row r="188" spans="1:19">
      <c r="A188" s="7" t="s">
        <v>239</v>
      </c>
      <c r="B188" s="7"/>
      <c r="C188" s="7"/>
      <c r="D188" s="7"/>
      <c r="E188" s="7"/>
      <c r="F188" s="7"/>
      <c r="H188" s="7"/>
      <c r="I188" s="7"/>
      <c r="J188" s="7"/>
      <c r="K188" s="7"/>
      <c r="L188" s="7"/>
      <c r="O188" s="30" t="str">
        <f t="shared" si="11"/>
        <v/>
      </c>
      <c r="P188" s="30" t="str">
        <f t="shared" si="12"/>
        <v/>
      </c>
      <c r="Q188" s="30" t="str">
        <f t="shared" si="13"/>
        <v/>
      </c>
      <c r="R188" s="30" t="str">
        <f t="shared" si="14"/>
        <v/>
      </c>
      <c r="S188" s="30" t="str">
        <f t="shared" si="15"/>
        <v/>
      </c>
    </row>
    <row r="189" spans="1:19">
      <c r="A189" s="7" t="s">
        <v>240</v>
      </c>
      <c r="B189" s="7"/>
      <c r="C189" s="7"/>
      <c r="D189" s="7"/>
      <c r="E189" s="7"/>
      <c r="F189" s="7"/>
      <c r="H189" s="7"/>
      <c r="I189" s="7"/>
      <c r="J189" s="7"/>
      <c r="K189" s="7"/>
      <c r="L189" s="7"/>
      <c r="O189" s="30" t="str">
        <f t="shared" si="11"/>
        <v/>
      </c>
      <c r="P189" s="30" t="str">
        <f t="shared" si="12"/>
        <v/>
      </c>
      <c r="Q189" s="30" t="str">
        <f t="shared" si="13"/>
        <v/>
      </c>
      <c r="R189" s="30" t="str">
        <f t="shared" si="14"/>
        <v/>
      </c>
      <c r="S189" s="30" t="str">
        <f t="shared" si="15"/>
        <v/>
      </c>
    </row>
    <row r="190" spans="1:19">
      <c r="A190" s="7" t="s">
        <v>241</v>
      </c>
      <c r="B190" s="7"/>
      <c r="C190" s="7"/>
      <c r="D190" s="7"/>
      <c r="E190" s="7"/>
      <c r="F190" s="7"/>
      <c r="H190" s="7"/>
      <c r="I190" s="7"/>
      <c r="J190" s="7"/>
      <c r="K190" s="7"/>
      <c r="L190" s="7"/>
      <c r="O190" s="30" t="str">
        <f t="shared" si="11"/>
        <v/>
      </c>
      <c r="P190" s="30" t="str">
        <f t="shared" si="12"/>
        <v/>
      </c>
      <c r="Q190" s="30" t="str">
        <f t="shared" si="13"/>
        <v/>
      </c>
      <c r="R190" s="30" t="str">
        <f t="shared" si="14"/>
        <v/>
      </c>
      <c r="S190" s="30" t="str">
        <f t="shared" si="15"/>
        <v/>
      </c>
    </row>
    <row r="191" spans="1:19">
      <c r="A191" s="7" t="s">
        <v>242</v>
      </c>
      <c r="B191" s="7"/>
      <c r="C191" s="7"/>
      <c r="D191" s="7"/>
      <c r="E191" s="7"/>
      <c r="F191" s="7"/>
      <c r="H191" s="7"/>
      <c r="I191" s="7"/>
      <c r="J191" s="7"/>
      <c r="K191" s="7"/>
      <c r="L191" s="7"/>
      <c r="O191" s="30" t="str">
        <f t="shared" si="11"/>
        <v/>
      </c>
      <c r="P191" s="30" t="str">
        <f t="shared" si="12"/>
        <v/>
      </c>
      <c r="Q191" s="30" t="str">
        <f t="shared" si="13"/>
        <v/>
      </c>
      <c r="R191" s="30" t="str">
        <f t="shared" si="14"/>
        <v/>
      </c>
      <c r="S191" s="30" t="str">
        <f t="shared" si="15"/>
        <v/>
      </c>
    </row>
    <row r="192" spans="1:19">
      <c r="A192" s="7" t="s">
        <v>243</v>
      </c>
      <c r="B192" s="7"/>
      <c r="C192" s="7"/>
      <c r="D192" s="7"/>
      <c r="E192" s="7"/>
      <c r="F192" s="7"/>
      <c r="H192" s="7"/>
      <c r="I192" s="7"/>
      <c r="J192" s="7"/>
      <c r="K192" s="7"/>
      <c r="L192" s="7"/>
      <c r="O192" s="30" t="str">
        <f t="shared" si="11"/>
        <v/>
      </c>
      <c r="P192" s="30" t="str">
        <f t="shared" si="12"/>
        <v/>
      </c>
      <c r="Q192" s="30" t="str">
        <f t="shared" si="13"/>
        <v/>
      </c>
      <c r="R192" s="30" t="str">
        <f t="shared" si="14"/>
        <v/>
      </c>
      <c r="S192" s="30" t="str">
        <f t="shared" si="15"/>
        <v/>
      </c>
    </row>
    <row r="193" spans="1:19">
      <c r="A193" s="7" t="s">
        <v>244</v>
      </c>
      <c r="B193" s="7"/>
      <c r="C193" s="7"/>
      <c r="D193" s="7"/>
      <c r="E193" s="7"/>
      <c r="F193" s="7"/>
      <c r="H193" s="7"/>
      <c r="I193" s="7"/>
      <c r="J193" s="7"/>
      <c r="K193" s="7"/>
      <c r="L193" s="7"/>
      <c r="O193" s="30" t="str">
        <f t="shared" si="11"/>
        <v/>
      </c>
      <c r="P193" s="30" t="str">
        <f t="shared" si="12"/>
        <v/>
      </c>
      <c r="Q193" s="30" t="str">
        <f t="shared" si="13"/>
        <v/>
      </c>
      <c r="R193" s="30" t="str">
        <f t="shared" si="14"/>
        <v/>
      </c>
      <c r="S193" s="30" t="str">
        <f t="shared" si="15"/>
        <v/>
      </c>
    </row>
    <row r="194" spans="1:19">
      <c r="A194" s="7" t="s">
        <v>245</v>
      </c>
      <c r="B194" s="7"/>
      <c r="C194" s="7"/>
      <c r="D194" s="7"/>
      <c r="E194" s="7"/>
      <c r="F194" s="7"/>
      <c r="H194" s="7"/>
      <c r="I194" s="7"/>
      <c r="J194" s="7"/>
      <c r="K194" s="7"/>
      <c r="L194" s="7"/>
      <c r="O194" s="30" t="str">
        <f t="shared" si="11"/>
        <v/>
      </c>
      <c r="P194" s="30" t="str">
        <f t="shared" si="12"/>
        <v/>
      </c>
      <c r="Q194" s="30" t="str">
        <f t="shared" si="13"/>
        <v/>
      </c>
      <c r="R194" s="30" t="str">
        <f t="shared" si="14"/>
        <v/>
      </c>
      <c r="S194" s="30" t="str">
        <f t="shared" si="15"/>
        <v/>
      </c>
    </row>
    <row r="195" spans="1:19">
      <c r="A195" s="7" t="s">
        <v>246</v>
      </c>
      <c r="B195" s="7"/>
      <c r="C195" s="7"/>
      <c r="D195" s="7"/>
      <c r="E195" s="7"/>
      <c r="F195" s="7"/>
      <c r="H195" s="7"/>
      <c r="I195" s="7"/>
      <c r="J195" s="7"/>
      <c r="K195" s="7"/>
      <c r="L195" s="7"/>
      <c r="O195" s="30" t="str">
        <f t="shared" si="11"/>
        <v/>
      </c>
      <c r="P195" s="30" t="str">
        <f t="shared" si="12"/>
        <v/>
      </c>
      <c r="Q195" s="30" t="str">
        <f t="shared" si="13"/>
        <v/>
      </c>
      <c r="R195" s="30" t="str">
        <f t="shared" si="14"/>
        <v/>
      </c>
      <c r="S195" s="30" t="str">
        <f t="shared" si="15"/>
        <v/>
      </c>
    </row>
    <row r="196" spans="1:19">
      <c r="A196" s="7" t="s">
        <v>247</v>
      </c>
      <c r="B196" s="7"/>
      <c r="C196" s="7"/>
      <c r="D196" s="7"/>
      <c r="E196" s="7"/>
      <c r="F196" s="7"/>
      <c r="H196" s="7"/>
      <c r="I196" s="7"/>
      <c r="J196" s="7"/>
      <c r="K196" s="7"/>
      <c r="L196" s="7"/>
      <c r="O196" s="30" t="str">
        <f t="shared" si="11"/>
        <v/>
      </c>
      <c r="P196" s="30" t="str">
        <f t="shared" si="12"/>
        <v/>
      </c>
      <c r="Q196" s="30" t="str">
        <f t="shared" si="13"/>
        <v/>
      </c>
      <c r="R196" s="30" t="str">
        <f t="shared" si="14"/>
        <v/>
      </c>
      <c r="S196" s="30" t="str">
        <f t="shared" si="15"/>
        <v/>
      </c>
    </row>
    <row r="197" spans="1:19">
      <c r="A197" s="7" t="s">
        <v>248</v>
      </c>
      <c r="B197" s="7"/>
      <c r="C197" s="7"/>
      <c r="D197" s="7"/>
      <c r="E197" s="7"/>
      <c r="F197" s="7"/>
      <c r="H197" s="7"/>
      <c r="I197" s="7"/>
      <c r="J197" s="7"/>
      <c r="K197" s="7"/>
      <c r="L197" s="7"/>
      <c r="O197" s="30" t="str">
        <f t="shared" si="11"/>
        <v/>
      </c>
      <c r="P197" s="30" t="str">
        <f t="shared" si="12"/>
        <v/>
      </c>
      <c r="Q197" s="30" t="str">
        <f t="shared" si="13"/>
        <v/>
      </c>
      <c r="R197" s="30" t="str">
        <f t="shared" si="14"/>
        <v/>
      </c>
      <c r="S197" s="30" t="str">
        <f t="shared" si="15"/>
        <v/>
      </c>
    </row>
    <row r="198" spans="1:19">
      <c r="A198" s="7" t="s">
        <v>249</v>
      </c>
      <c r="B198" s="7"/>
      <c r="C198" s="7"/>
      <c r="D198" s="7"/>
      <c r="E198" s="7"/>
      <c r="F198" s="7"/>
      <c r="H198" s="7"/>
      <c r="I198" s="7"/>
      <c r="J198" s="7"/>
      <c r="K198" s="7"/>
      <c r="L198" s="7"/>
      <c r="O198" s="30" t="str">
        <f t="shared" si="11"/>
        <v/>
      </c>
      <c r="P198" s="30" t="str">
        <f t="shared" si="12"/>
        <v/>
      </c>
      <c r="Q198" s="30" t="str">
        <f t="shared" si="13"/>
        <v/>
      </c>
      <c r="R198" s="30" t="str">
        <f t="shared" si="14"/>
        <v/>
      </c>
      <c r="S198" s="30" t="str">
        <f t="shared" si="15"/>
        <v/>
      </c>
    </row>
    <row r="199" spans="1:19">
      <c r="A199" s="7" t="s">
        <v>250</v>
      </c>
      <c r="B199" s="7"/>
      <c r="C199" s="7"/>
      <c r="D199" s="7"/>
      <c r="E199" s="7"/>
      <c r="F199" s="7"/>
      <c r="H199" s="7"/>
      <c r="I199" s="7"/>
      <c r="J199" s="7"/>
      <c r="K199" s="7"/>
      <c r="L199" s="7"/>
      <c r="O199" s="30" t="str">
        <f t="shared" si="11"/>
        <v/>
      </c>
      <c r="P199" s="30" t="str">
        <f t="shared" si="12"/>
        <v/>
      </c>
      <c r="Q199" s="30" t="str">
        <f t="shared" si="13"/>
        <v/>
      </c>
      <c r="R199" s="30" t="str">
        <f t="shared" si="14"/>
        <v/>
      </c>
      <c r="S199" s="30" t="str">
        <f t="shared" si="15"/>
        <v/>
      </c>
    </row>
    <row r="200" spans="1:19">
      <c r="A200" s="7" t="s">
        <v>251</v>
      </c>
      <c r="B200" s="7"/>
      <c r="C200" s="7"/>
      <c r="D200" s="7"/>
      <c r="E200" s="7"/>
      <c r="F200" s="7"/>
      <c r="H200" s="7"/>
      <c r="I200" s="7"/>
      <c r="J200" s="7"/>
      <c r="K200" s="7"/>
      <c r="L200" s="7"/>
      <c r="O200" s="30" t="str">
        <f t="shared" si="11"/>
        <v/>
      </c>
      <c r="P200" s="30" t="str">
        <f t="shared" si="12"/>
        <v/>
      </c>
      <c r="Q200" s="30" t="str">
        <f t="shared" si="13"/>
        <v/>
      </c>
      <c r="R200" s="30" t="str">
        <f t="shared" si="14"/>
        <v/>
      </c>
      <c r="S200" s="30" t="str">
        <f t="shared" si="15"/>
        <v/>
      </c>
    </row>
    <row r="201" spans="1:19">
      <c r="A201" s="7" t="s">
        <v>252</v>
      </c>
      <c r="B201" s="7"/>
      <c r="C201" s="7"/>
      <c r="D201" s="7"/>
      <c r="E201" s="7"/>
      <c r="F201" s="7"/>
      <c r="H201" s="7"/>
      <c r="I201" s="7"/>
      <c r="J201" s="7"/>
      <c r="K201" s="7"/>
      <c r="L201" s="7"/>
      <c r="O201" s="30" t="str">
        <f t="shared" ref="O201:O264" si="16">IF(H201&gt;0,"Angebot offen","")</f>
        <v/>
      </c>
      <c r="P201" s="30" t="str">
        <f t="shared" ref="P201:P264" si="17">IF(I201&gt;0,"Angebot offen","")</f>
        <v/>
      </c>
      <c r="Q201" s="30" t="str">
        <f t="shared" ref="Q201:Q264" si="18">IF(J201&gt;0,"Angebot offen","")</f>
        <v/>
      </c>
      <c r="R201" s="30" t="str">
        <f t="shared" ref="R201:R264" si="19">IF(K201&gt;0,"Angebot offen","")</f>
        <v/>
      </c>
      <c r="S201" s="30" t="str">
        <f t="shared" ref="S201:S264" si="20">IF(L201&gt;0,"Angebot offen","")</f>
        <v/>
      </c>
    </row>
    <row r="202" spans="1:19">
      <c r="A202" s="7" t="s">
        <v>253</v>
      </c>
      <c r="B202" s="7"/>
      <c r="C202" s="7"/>
      <c r="D202" s="7"/>
      <c r="E202" s="7"/>
      <c r="F202" s="7"/>
      <c r="H202" s="7"/>
      <c r="I202" s="7"/>
      <c r="J202" s="7"/>
      <c r="K202" s="7"/>
      <c r="L202" s="7"/>
      <c r="O202" s="30" t="str">
        <f t="shared" si="16"/>
        <v/>
      </c>
      <c r="P202" s="30" t="str">
        <f t="shared" si="17"/>
        <v/>
      </c>
      <c r="Q202" s="30" t="str">
        <f t="shared" si="18"/>
        <v/>
      </c>
      <c r="R202" s="30" t="str">
        <f t="shared" si="19"/>
        <v/>
      </c>
      <c r="S202" s="30" t="str">
        <f t="shared" si="20"/>
        <v/>
      </c>
    </row>
    <row r="203" spans="1:19">
      <c r="A203" s="7" t="s">
        <v>254</v>
      </c>
      <c r="B203" s="7"/>
      <c r="C203" s="7"/>
      <c r="D203" s="7"/>
      <c r="E203" s="7"/>
      <c r="F203" s="7"/>
      <c r="H203" s="7"/>
      <c r="I203" s="7"/>
      <c r="J203" s="7"/>
      <c r="K203" s="7"/>
      <c r="L203" s="7"/>
      <c r="O203" s="30" t="str">
        <f t="shared" si="16"/>
        <v/>
      </c>
      <c r="P203" s="30" t="str">
        <f t="shared" si="17"/>
        <v/>
      </c>
      <c r="Q203" s="30" t="str">
        <f t="shared" si="18"/>
        <v/>
      </c>
      <c r="R203" s="30" t="str">
        <f t="shared" si="19"/>
        <v/>
      </c>
      <c r="S203" s="30" t="str">
        <f t="shared" si="20"/>
        <v/>
      </c>
    </row>
    <row r="204" spans="1:19">
      <c r="A204" s="7" t="s">
        <v>255</v>
      </c>
      <c r="B204" s="7"/>
      <c r="C204" s="7"/>
      <c r="D204" s="7"/>
      <c r="E204" s="7"/>
      <c r="F204" s="7"/>
      <c r="H204" s="7"/>
      <c r="I204" s="7"/>
      <c r="J204" s="7"/>
      <c r="K204" s="7"/>
      <c r="L204" s="7"/>
      <c r="O204" s="30" t="str">
        <f t="shared" si="16"/>
        <v/>
      </c>
      <c r="P204" s="30" t="str">
        <f t="shared" si="17"/>
        <v/>
      </c>
      <c r="Q204" s="30" t="str">
        <f t="shared" si="18"/>
        <v/>
      </c>
      <c r="R204" s="30" t="str">
        <f t="shared" si="19"/>
        <v/>
      </c>
      <c r="S204" s="30" t="str">
        <f t="shared" si="20"/>
        <v/>
      </c>
    </row>
    <row r="205" spans="1:19">
      <c r="A205" s="7" t="s">
        <v>256</v>
      </c>
      <c r="B205" s="7"/>
      <c r="C205" s="7"/>
      <c r="D205" s="7"/>
      <c r="E205" s="7"/>
      <c r="F205" s="7"/>
      <c r="H205" s="7"/>
      <c r="I205" s="7"/>
      <c r="J205" s="7"/>
      <c r="K205" s="7"/>
      <c r="L205" s="7"/>
      <c r="O205" s="30" t="str">
        <f t="shared" si="16"/>
        <v/>
      </c>
      <c r="P205" s="30" t="str">
        <f t="shared" si="17"/>
        <v/>
      </c>
      <c r="Q205" s="30" t="str">
        <f t="shared" si="18"/>
        <v/>
      </c>
      <c r="R205" s="30" t="str">
        <f t="shared" si="19"/>
        <v/>
      </c>
      <c r="S205" s="30" t="str">
        <f t="shared" si="20"/>
        <v/>
      </c>
    </row>
    <row r="206" spans="1:19">
      <c r="A206" s="7" t="s">
        <v>257</v>
      </c>
      <c r="B206" s="7"/>
      <c r="C206" s="7"/>
      <c r="D206" s="7"/>
      <c r="E206" s="7"/>
      <c r="F206" s="7"/>
      <c r="H206" s="7"/>
      <c r="I206" s="7"/>
      <c r="J206" s="7"/>
      <c r="K206" s="7"/>
      <c r="L206" s="7"/>
      <c r="O206" s="30" t="str">
        <f t="shared" si="16"/>
        <v/>
      </c>
      <c r="P206" s="30" t="str">
        <f t="shared" si="17"/>
        <v/>
      </c>
      <c r="Q206" s="30" t="str">
        <f t="shared" si="18"/>
        <v/>
      </c>
      <c r="R206" s="30" t="str">
        <f t="shared" si="19"/>
        <v/>
      </c>
      <c r="S206" s="30" t="str">
        <f t="shared" si="20"/>
        <v/>
      </c>
    </row>
    <row r="207" spans="1:19">
      <c r="A207" s="7" t="s">
        <v>258</v>
      </c>
      <c r="B207" s="7"/>
      <c r="C207" s="7"/>
      <c r="D207" s="7"/>
      <c r="E207" s="7"/>
      <c r="F207" s="7"/>
      <c r="H207" s="7"/>
      <c r="I207" s="7"/>
      <c r="J207" s="7"/>
      <c r="K207" s="7"/>
      <c r="L207" s="7"/>
      <c r="O207" s="30" t="str">
        <f t="shared" si="16"/>
        <v/>
      </c>
      <c r="P207" s="30" t="str">
        <f t="shared" si="17"/>
        <v/>
      </c>
      <c r="Q207" s="30" t="str">
        <f t="shared" si="18"/>
        <v/>
      </c>
      <c r="R207" s="30" t="str">
        <f t="shared" si="19"/>
        <v/>
      </c>
      <c r="S207" s="30" t="str">
        <f t="shared" si="20"/>
        <v/>
      </c>
    </row>
    <row r="208" spans="1:19">
      <c r="A208" s="7" t="s">
        <v>259</v>
      </c>
      <c r="B208" s="7"/>
      <c r="C208" s="7"/>
      <c r="D208" s="7"/>
      <c r="E208" s="7"/>
      <c r="F208" s="7"/>
      <c r="H208" s="7"/>
      <c r="I208" s="7"/>
      <c r="J208" s="7"/>
      <c r="K208" s="7"/>
      <c r="L208" s="7"/>
      <c r="O208" s="30" t="str">
        <f t="shared" si="16"/>
        <v/>
      </c>
      <c r="P208" s="30" t="str">
        <f t="shared" si="17"/>
        <v/>
      </c>
      <c r="Q208" s="30" t="str">
        <f t="shared" si="18"/>
        <v/>
      </c>
      <c r="R208" s="30" t="str">
        <f t="shared" si="19"/>
        <v/>
      </c>
      <c r="S208" s="30" t="str">
        <f t="shared" si="20"/>
        <v/>
      </c>
    </row>
    <row r="209" spans="1:19">
      <c r="A209" s="7" t="s">
        <v>260</v>
      </c>
      <c r="B209" s="7"/>
      <c r="C209" s="7"/>
      <c r="D209" s="7"/>
      <c r="E209" s="7"/>
      <c r="F209" s="7"/>
      <c r="H209" s="7"/>
      <c r="I209" s="7"/>
      <c r="J209" s="7"/>
      <c r="K209" s="7"/>
      <c r="L209" s="7"/>
      <c r="O209" s="30" t="str">
        <f t="shared" si="16"/>
        <v/>
      </c>
      <c r="P209" s="30" t="str">
        <f t="shared" si="17"/>
        <v/>
      </c>
      <c r="Q209" s="30" t="str">
        <f t="shared" si="18"/>
        <v/>
      </c>
      <c r="R209" s="30" t="str">
        <f t="shared" si="19"/>
        <v/>
      </c>
      <c r="S209" s="30" t="str">
        <f t="shared" si="20"/>
        <v/>
      </c>
    </row>
    <row r="210" spans="1:19">
      <c r="A210" s="7" t="s">
        <v>261</v>
      </c>
      <c r="B210" s="7"/>
      <c r="C210" s="7"/>
      <c r="D210" s="7"/>
      <c r="E210" s="7"/>
      <c r="F210" s="7"/>
      <c r="H210" s="7"/>
      <c r="I210" s="7"/>
      <c r="J210" s="7"/>
      <c r="K210" s="7"/>
      <c r="L210" s="7"/>
      <c r="O210" s="30" t="str">
        <f t="shared" si="16"/>
        <v/>
      </c>
      <c r="P210" s="30" t="str">
        <f t="shared" si="17"/>
        <v/>
      </c>
      <c r="Q210" s="30" t="str">
        <f t="shared" si="18"/>
        <v/>
      </c>
      <c r="R210" s="30" t="str">
        <f t="shared" si="19"/>
        <v/>
      </c>
      <c r="S210" s="30" t="str">
        <f t="shared" si="20"/>
        <v/>
      </c>
    </row>
    <row r="211" spans="1:19">
      <c r="A211" s="7" t="s">
        <v>262</v>
      </c>
      <c r="B211" s="7"/>
      <c r="C211" s="7"/>
      <c r="D211" s="7"/>
      <c r="E211" s="7"/>
      <c r="F211" s="7"/>
      <c r="H211" s="7"/>
      <c r="I211" s="7"/>
      <c r="J211" s="7"/>
      <c r="K211" s="7"/>
      <c r="L211" s="7"/>
      <c r="O211" s="30" t="str">
        <f t="shared" si="16"/>
        <v/>
      </c>
      <c r="P211" s="30" t="str">
        <f t="shared" si="17"/>
        <v/>
      </c>
      <c r="Q211" s="30" t="str">
        <f t="shared" si="18"/>
        <v/>
      </c>
      <c r="R211" s="30" t="str">
        <f t="shared" si="19"/>
        <v/>
      </c>
      <c r="S211" s="30" t="str">
        <f t="shared" si="20"/>
        <v/>
      </c>
    </row>
    <row r="212" spans="1:19">
      <c r="A212" s="7" t="s">
        <v>263</v>
      </c>
      <c r="B212" s="7"/>
      <c r="C212" s="7"/>
      <c r="D212" s="7"/>
      <c r="E212" s="7"/>
      <c r="F212" s="7"/>
      <c r="H212" s="7"/>
      <c r="I212" s="7"/>
      <c r="J212" s="7"/>
      <c r="K212" s="7"/>
      <c r="L212" s="7"/>
      <c r="O212" s="30" t="str">
        <f t="shared" si="16"/>
        <v/>
      </c>
      <c r="P212" s="30" t="str">
        <f t="shared" si="17"/>
        <v/>
      </c>
      <c r="Q212" s="30" t="str">
        <f t="shared" si="18"/>
        <v/>
      </c>
      <c r="R212" s="30" t="str">
        <f t="shared" si="19"/>
        <v/>
      </c>
      <c r="S212" s="30" t="str">
        <f t="shared" si="20"/>
        <v/>
      </c>
    </row>
    <row r="213" spans="1:19">
      <c r="A213" s="7" t="s">
        <v>264</v>
      </c>
      <c r="B213" s="7"/>
      <c r="C213" s="7"/>
      <c r="D213" s="7"/>
      <c r="E213" s="7"/>
      <c r="F213" s="7"/>
      <c r="H213" s="7"/>
      <c r="I213" s="7"/>
      <c r="J213" s="7"/>
      <c r="K213" s="7"/>
      <c r="L213" s="7"/>
      <c r="O213" s="30" t="str">
        <f t="shared" si="16"/>
        <v/>
      </c>
      <c r="P213" s="30" t="str">
        <f t="shared" si="17"/>
        <v/>
      </c>
      <c r="Q213" s="30" t="str">
        <f t="shared" si="18"/>
        <v/>
      </c>
      <c r="R213" s="30" t="str">
        <f t="shared" si="19"/>
        <v/>
      </c>
      <c r="S213" s="30" t="str">
        <f t="shared" si="20"/>
        <v/>
      </c>
    </row>
    <row r="214" spans="1:19">
      <c r="A214" s="7" t="s">
        <v>265</v>
      </c>
      <c r="B214" s="7"/>
      <c r="C214" s="7"/>
      <c r="D214" s="7"/>
      <c r="E214" s="7"/>
      <c r="F214" s="7"/>
      <c r="H214" s="7"/>
      <c r="I214" s="7"/>
      <c r="J214" s="7"/>
      <c r="K214" s="7"/>
      <c r="L214" s="7"/>
      <c r="O214" s="30" t="str">
        <f t="shared" si="16"/>
        <v/>
      </c>
      <c r="P214" s="30" t="str">
        <f t="shared" si="17"/>
        <v/>
      </c>
      <c r="Q214" s="30" t="str">
        <f t="shared" si="18"/>
        <v/>
      </c>
      <c r="R214" s="30" t="str">
        <f t="shared" si="19"/>
        <v/>
      </c>
      <c r="S214" s="30" t="str">
        <f t="shared" si="20"/>
        <v/>
      </c>
    </row>
    <row r="215" spans="1:19">
      <c r="A215" s="7" t="s">
        <v>266</v>
      </c>
      <c r="B215" s="7"/>
      <c r="C215" s="7"/>
      <c r="D215" s="7"/>
      <c r="E215" s="7"/>
      <c r="F215" s="7"/>
      <c r="H215" s="7"/>
      <c r="I215" s="7"/>
      <c r="J215" s="7"/>
      <c r="K215" s="7"/>
      <c r="L215" s="7"/>
      <c r="O215" s="30" t="str">
        <f t="shared" si="16"/>
        <v/>
      </c>
      <c r="P215" s="30" t="str">
        <f t="shared" si="17"/>
        <v/>
      </c>
      <c r="Q215" s="30" t="str">
        <f t="shared" si="18"/>
        <v/>
      </c>
      <c r="R215" s="30" t="str">
        <f t="shared" si="19"/>
        <v/>
      </c>
      <c r="S215" s="30" t="str">
        <f t="shared" si="20"/>
        <v/>
      </c>
    </row>
    <row r="216" spans="1:19">
      <c r="A216" s="7" t="s">
        <v>267</v>
      </c>
      <c r="B216" s="7"/>
      <c r="C216" s="7"/>
      <c r="D216" s="7"/>
      <c r="E216" s="7"/>
      <c r="F216" s="7"/>
      <c r="H216" s="7"/>
      <c r="I216" s="7"/>
      <c r="J216" s="7"/>
      <c r="K216" s="7"/>
      <c r="L216" s="7"/>
      <c r="O216" s="30" t="str">
        <f t="shared" si="16"/>
        <v/>
      </c>
      <c r="P216" s="30" t="str">
        <f t="shared" si="17"/>
        <v/>
      </c>
      <c r="Q216" s="30" t="str">
        <f t="shared" si="18"/>
        <v/>
      </c>
      <c r="R216" s="30" t="str">
        <f t="shared" si="19"/>
        <v/>
      </c>
      <c r="S216" s="30" t="str">
        <f t="shared" si="20"/>
        <v/>
      </c>
    </row>
    <row r="217" spans="1:19">
      <c r="A217" s="7" t="s">
        <v>268</v>
      </c>
      <c r="B217" s="7"/>
      <c r="C217" s="7"/>
      <c r="D217" s="7"/>
      <c r="E217" s="7"/>
      <c r="F217" s="7"/>
      <c r="H217" s="7"/>
      <c r="I217" s="7"/>
      <c r="J217" s="7"/>
      <c r="K217" s="7"/>
      <c r="L217" s="7"/>
      <c r="O217" s="30" t="str">
        <f t="shared" si="16"/>
        <v/>
      </c>
      <c r="P217" s="30" t="str">
        <f t="shared" si="17"/>
        <v/>
      </c>
      <c r="Q217" s="30" t="str">
        <f t="shared" si="18"/>
        <v/>
      </c>
      <c r="R217" s="30" t="str">
        <f t="shared" si="19"/>
        <v/>
      </c>
      <c r="S217" s="30" t="str">
        <f t="shared" si="20"/>
        <v/>
      </c>
    </row>
    <row r="218" spans="1:19">
      <c r="A218" s="7" t="s">
        <v>269</v>
      </c>
      <c r="B218" s="7"/>
      <c r="C218" s="7"/>
      <c r="D218" s="7"/>
      <c r="E218" s="7"/>
      <c r="F218" s="7"/>
      <c r="H218" s="7"/>
      <c r="I218" s="7"/>
      <c r="J218" s="7"/>
      <c r="K218" s="7"/>
      <c r="L218" s="7"/>
      <c r="O218" s="30" t="str">
        <f t="shared" si="16"/>
        <v/>
      </c>
      <c r="P218" s="30" t="str">
        <f t="shared" si="17"/>
        <v/>
      </c>
      <c r="Q218" s="30" t="str">
        <f t="shared" si="18"/>
        <v/>
      </c>
      <c r="R218" s="30" t="str">
        <f t="shared" si="19"/>
        <v/>
      </c>
      <c r="S218" s="30" t="str">
        <f t="shared" si="20"/>
        <v/>
      </c>
    </row>
    <row r="219" spans="1:19">
      <c r="A219" s="7" t="s">
        <v>270</v>
      </c>
      <c r="B219" s="7"/>
      <c r="C219" s="7"/>
      <c r="D219" s="7"/>
      <c r="E219" s="7"/>
      <c r="F219" s="7"/>
      <c r="H219" s="7"/>
      <c r="I219" s="7"/>
      <c r="J219" s="7"/>
      <c r="K219" s="7"/>
      <c r="L219" s="7"/>
      <c r="O219" s="30" t="str">
        <f t="shared" si="16"/>
        <v/>
      </c>
      <c r="P219" s="30" t="str">
        <f t="shared" si="17"/>
        <v/>
      </c>
      <c r="Q219" s="30" t="str">
        <f t="shared" si="18"/>
        <v/>
      </c>
      <c r="R219" s="30" t="str">
        <f t="shared" si="19"/>
        <v/>
      </c>
      <c r="S219" s="30" t="str">
        <f t="shared" si="20"/>
        <v/>
      </c>
    </row>
    <row r="220" spans="1:19">
      <c r="A220" s="7" t="s">
        <v>271</v>
      </c>
      <c r="B220" s="7"/>
      <c r="C220" s="7"/>
      <c r="D220" s="7"/>
      <c r="E220" s="7"/>
      <c r="F220" s="7"/>
      <c r="H220" s="7"/>
      <c r="I220" s="7"/>
      <c r="J220" s="7"/>
      <c r="K220" s="7"/>
      <c r="L220" s="7"/>
      <c r="O220" s="30" t="str">
        <f t="shared" si="16"/>
        <v/>
      </c>
      <c r="P220" s="30" t="str">
        <f t="shared" si="17"/>
        <v/>
      </c>
      <c r="Q220" s="30" t="str">
        <f t="shared" si="18"/>
        <v/>
      </c>
      <c r="R220" s="30" t="str">
        <f t="shared" si="19"/>
        <v/>
      </c>
      <c r="S220" s="30" t="str">
        <f t="shared" si="20"/>
        <v/>
      </c>
    </row>
    <row r="221" spans="1:19">
      <c r="A221" s="7" t="s">
        <v>272</v>
      </c>
      <c r="B221" s="7"/>
      <c r="C221" s="7"/>
      <c r="D221" s="7"/>
      <c r="E221" s="7"/>
      <c r="F221" s="7"/>
      <c r="H221" s="7"/>
      <c r="I221" s="7"/>
      <c r="J221" s="7"/>
      <c r="K221" s="7"/>
      <c r="L221" s="7"/>
      <c r="O221" s="30" t="str">
        <f t="shared" si="16"/>
        <v/>
      </c>
      <c r="P221" s="30" t="str">
        <f t="shared" si="17"/>
        <v/>
      </c>
      <c r="Q221" s="30" t="str">
        <f t="shared" si="18"/>
        <v/>
      </c>
      <c r="R221" s="30" t="str">
        <f t="shared" si="19"/>
        <v/>
      </c>
      <c r="S221" s="30" t="str">
        <f t="shared" si="20"/>
        <v/>
      </c>
    </row>
    <row r="222" spans="1:19">
      <c r="A222" s="7" t="s">
        <v>273</v>
      </c>
      <c r="B222" s="7"/>
      <c r="C222" s="7"/>
      <c r="D222" s="7"/>
      <c r="E222" s="7"/>
      <c r="F222" s="7"/>
      <c r="H222" s="7"/>
      <c r="I222" s="7"/>
      <c r="J222" s="7"/>
      <c r="K222" s="7"/>
      <c r="L222" s="7"/>
      <c r="O222" s="30" t="str">
        <f t="shared" si="16"/>
        <v/>
      </c>
      <c r="P222" s="30" t="str">
        <f t="shared" si="17"/>
        <v/>
      </c>
      <c r="Q222" s="30" t="str">
        <f t="shared" si="18"/>
        <v/>
      </c>
      <c r="R222" s="30" t="str">
        <f t="shared" si="19"/>
        <v/>
      </c>
      <c r="S222" s="30" t="str">
        <f t="shared" si="20"/>
        <v/>
      </c>
    </row>
    <row r="223" spans="1:19">
      <c r="A223" s="7" t="s">
        <v>274</v>
      </c>
      <c r="B223" s="7"/>
      <c r="C223" s="7"/>
      <c r="D223" s="7"/>
      <c r="E223" s="7"/>
      <c r="F223" s="7"/>
      <c r="H223" s="7"/>
      <c r="I223" s="7"/>
      <c r="J223" s="7"/>
      <c r="K223" s="7"/>
      <c r="L223" s="7"/>
      <c r="O223" s="30" t="str">
        <f t="shared" si="16"/>
        <v/>
      </c>
      <c r="P223" s="30" t="str">
        <f t="shared" si="17"/>
        <v/>
      </c>
      <c r="Q223" s="30" t="str">
        <f t="shared" si="18"/>
        <v/>
      </c>
      <c r="R223" s="30" t="str">
        <f t="shared" si="19"/>
        <v/>
      </c>
      <c r="S223" s="30" t="str">
        <f t="shared" si="20"/>
        <v/>
      </c>
    </row>
    <row r="224" spans="1:19">
      <c r="A224" s="7" t="s">
        <v>275</v>
      </c>
      <c r="B224" s="7"/>
      <c r="C224" s="7"/>
      <c r="D224" s="7"/>
      <c r="E224" s="7"/>
      <c r="F224" s="7"/>
      <c r="H224" s="7"/>
      <c r="I224" s="7"/>
      <c r="J224" s="7"/>
      <c r="K224" s="7"/>
      <c r="L224" s="7"/>
      <c r="O224" s="30" t="str">
        <f t="shared" si="16"/>
        <v/>
      </c>
      <c r="P224" s="30" t="str">
        <f t="shared" si="17"/>
        <v/>
      </c>
      <c r="Q224" s="30" t="str">
        <f t="shared" si="18"/>
        <v/>
      </c>
      <c r="R224" s="30" t="str">
        <f t="shared" si="19"/>
        <v/>
      </c>
      <c r="S224" s="30" t="str">
        <f t="shared" si="20"/>
        <v/>
      </c>
    </row>
    <row r="225" spans="1:19">
      <c r="A225" s="7" t="s">
        <v>276</v>
      </c>
      <c r="B225" s="7"/>
      <c r="C225" s="7"/>
      <c r="D225" s="7"/>
      <c r="E225" s="7"/>
      <c r="F225" s="7"/>
      <c r="H225" s="7"/>
      <c r="I225" s="7"/>
      <c r="J225" s="7"/>
      <c r="K225" s="7"/>
      <c r="L225" s="7"/>
      <c r="O225" s="30" t="str">
        <f t="shared" si="16"/>
        <v/>
      </c>
      <c r="P225" s="30" t="str">
        <f t="shared" si="17"/>
        <v/>
      </c>
      <c r="Q225" s="30" t="str">
        <f t="shared" si="18"/>
        <v/>
      </c>
      <c r="R225" s="30" t="str">
        <f t="shared" si="19"/>
        <v/>
      </c>
      <c r="S225" s="30" t="str">
        <f t="shared" si="20"/>
        <v/>
      </c>
    </row>
    <row r="226" spans="1:19">
      <c r="A226" s="7" t="s">
        <v>277</v>
      </c>
      <c r="B226" s="7"/>
      <c r="C226" s="7"/>
      <c r="D226" s="7"/>
      <c r="E226" s="7"/>
      <c r="F226" s="7"/>
      <c r="H226" s="7"/>
      <c r="I226" s="7"/>
      <c r="J226" s="7"/>
      <c r="K226" s="7"/>
      <c r="L226" s="7"/>
      <c r="O226" s="30" t="str">
        <f t="shared" si="16"/>
        <v/>
      </c>
      <c r="P226" s="30" t="str">
        <f t="shared" si="17"/>
        <v/>
      </c>
      <c r="Q226" s="30" t="str">
        <f t="shared" si="18"/>
        <v/>
      </c>
      <c r="R226" s="30" t="str">
        <f t="shared" si="19"/>
        <v/>
      </c>
      <c r="S226" s="30" t="str">
        <f t="shared" si="20"/>
        <v/>
      </c>
    </row>
    <row r="227" spans="1:19">
      <c r="A227" s="7" t="s">
        <v>278</v>
      </c>
      <c r="B227" s="7"/>
      <c r="C227" s="7"/>
      <c r="D227" s="7"/>
      <c r="E227" s="7"/>
      <c r="F227" s="7"/>
      <c r="H227" s="7"/>
      <c r="I227" s="7"/>
      <c r="J227" s="7"/>
      <c r="K227" s="7"/>
      <c r="L227" s="7"/>
      <c r="O227" s="30" t="str">
        <f t="shared" si="16"/>
        <v/>
      </c>
      <c r="P227" s="30" t="str">
        <f t="shared" si="17"/>
        <v/>
      </c>
      <c r="Q227" s="30" t="str">
        <f t="shared" si="18"/>
        <v/>
      </c>
      <c r="R227" s="30" t="str">
        <f t="shared" si="19"/>
        <v/>
      </c>
      <c r="S227" s="30" t="str">
        <f t="shared" si="20"/>
        <v/>
      </c>
    </row>
    <row r="228" spans="1:19">
      <c r="A228" s="7" t="s">
        <v>279</v>
      </c>
      <c r="B228" s="7"/>
      <c r="C228" s="7"/>
      <c r="D228" s="7"/>
      <c r="E228" s="7"/>
      <c r="F228" s="7"/>
      <c r="H228" s="7"/>
      <c r="I228" s="7"/>
      <c r="J228" s="7"/>
      <c r="K228" s="7"/>
      <c r="L228" s="7"/>
      <c r="O228" s="30" t="str">
        <f t="shared" si="16"/>
        <v/>
      </c>
      <c r="P228" s="30" t="str">
        <f t="shared" si="17"/>
        <v/>
      </c>
      <c r="Q228" s="30" t="str">
        <f t="shared" si="18"/>
        <v/>
      </c>
      <c r="R228" s="30" t="str">
        <f t="shared" si="19"/>
        <v/>
      </c>
      <c r="S228" s="30" t="str">
        <f t="shared" si="20"/>
        <v/>
      </c>
    </row>
    <row r="229" spans="1:19">
      <c r="A229" s="7" t="s">
        <v>280</v>
      </c>
      <c r="B229" s="7"/>
      <c r="C229" s="7"/>
      <c r="D229" s="7"/>
      <c r="E229" s="7"/>
      <c r="F229" s="7"/>
      <c r="H229" s="7"/>
      <c r="I229" s="7"/>
      <c r="J229" s="7"/>
      <c r="K229" s="7"/>
      <c r="L229" s="7"/>
      <c r="O229" s="30" t="str">
        <f t="shared" si="16"/>
        <v/>
      </c>
      <c r="P229" s="30" t="str">
        <f t="shared" si="17"/>
        <v/>
      </c>
      <c r="Q229" s="30" t="str">
        <f t="shared" si="18"/>
        <v/>
      </c>
      <c r="R229" s="30" t="str">
        <f t="shared" si="19"/>
        <v/>
      </c>
      <c r="S229" s="30" t="str">
        <f t="shared" si="20"/>
        <v/>
      </c>
    </row>
    <row r="230" spans="1:19">
      <c r="A230" s="7" t="s">
        <v>281</v>
      </c>
      <c r="B230" s="7"/>
      <c r="C230" s="7"/>
      <c r="D230" s="7"/>
      <c r="E230" s="7"/>
      <c r="F230" s="7"/>
      <c r="H230" s="7"/>
      <c r="I230" s="7"/>
      <c r="J230" s="7"/>
      <c r="K230" s="7"/>
      <c r="L230" s="7"/>
      <c r="O230" s="30" t="str">
        <f t="shared" si="16"/>
        <v/>
      </c>
      <c r="P230" s="30" t="str">
        <f t="shared" si="17"/>
        <v/>
      </c>
      <c r="Q230" s="30" t="str">
        <f t="shared" si="18"/>
        <v/>
      </c>
      <c r="R230" s="30" t="str">
        <f t="shared" si="19"/>
        <v/>
      </c>
      <c r="S230" s="30" t="str">
        <f t="shared" si="20"/>
        <v/>
      </c>
    </row>
    <row r="231" spans="1:19">
      <c r="A231" s="7" t="s">
        <v>282</v>
      </c>
      <c r="B231" s="7"/>
      <c r="C231" s="7"/>
      <c r="D231" s="7"/>
      <c r="E231" s="7"/>
      <c r="F231" s="7"/>
      <c r="H231" s="7"/>
      <c r="I231" s="7"/>
      <c r="J231" s="7"/>
      <c r="K231" s="7"/>
      <c r="L231" s="7"/>
      <c r="O231" s="30" t="str">
        <f t="shared" si="16"/>
        <v/>
      </c>
      <c r="P231" s="30" t="str">
        <f t="shared" si="17"/>
        <v/>
      </c>
      <c r="Q231" s="30" t="str">
        <f t="shared" si="18"/>
        <v/>
      </c>
      <c r="R231" s="30" t="str">
        <f t="shared" si="19"/>
        <v/>
      </c>
      <c r="S231" s="30" t="str">
        <f t="shared" si="20"/>
        <v/>
      </c>
    </row>
    <row r="232" spans="1:19">
      <c r="A232" s="7" t="s">
        <v>283</v>
      </c>
      <c r="B232" s="7"/>
      <c r="C232" s="7"/>
      <c r="D232" s="7"/>
      <c r="E232" s="7"/>
      <c r="F232" s="7"/>
      <c r="H232" s="7"/>
      <c r="I232" s="7"/>
      <c r="J232" s="7"/>
      <c r="K232" s="7"/>
      <c r="L232" s="7"/>
      <c r="O232" s="30" t="str">
        <f t="shared" si="16"/>
        <v/>
      </c>
      <c r="P232" s="30" t="str">
        <f t="shared" si="17"/>
        <v/>
      </c>
      <c r="Q232" s="30" t="str">
        <f t="shared" si="18"/>
        <v/>
      </c>
      <c r="R232" s="30" t="str">
        <f t="shared" si="19"/>
        <v/>
      </c>
      <c r="S232" s="30" t="str">
        <f t="shared" si="20"/>
        <v/>
      </c>
    </row>
    <row r="233" spans="1:19">
      <c r="A233" s="7" t="s">
        <v>284</v>
      </c>
      <c r="B233" s="7"/>
      <c r="C233" s="7"/>
      <c r="D233" s="7"/>
      <c r="E233" s="7"/>
      <c r="F233" s="7"/>
      <c r="H233" s="7"/>
      <c r="I233" s="7"/>
      <c r="J233" s="7"/>
      <c r="K233" s="7"/>
      <c r="L233" s="7"/>
      <c r="O233" s="30" t="str">
        <f t="shared" si="16"/>
        <v/>
      </c>
      <c r="P233" s="30" t="str">
        <f t="shared" si="17"/>
        <v/>
      </c>
      <c r="Q233" s="30" t="str">
        <f t="shared" si="18"/>
        <v/>
      </c>
      <c r="R233" s="30" t="str">
        <f t="shared" si="19"/>
        <v/>
      </c>
      <c r="S233" s="30" t="str">
        <f t="shared" si="20"/>
        <v/>
      </c>
    </row>
    <row r="234" spans="1:19">
      <c r="A234" s="7" t="s">
        <v>285</v>
      </c>
      <c r="B234" s="7"/>
      <c r="C234" s="7"/>
      <c r="D234" s="7"/>
      <c r="E234" s="7"/>
      <c r="F234" s="7"/>
      <c r="H234" s="7"/>
      <c r="I234" s="7"/>
      <c r="J234" s="7"/>
      <c r="K234" s="7"/>
      <c r="L234" s="7"/>
      <c r="O234" s="30" t="str">
        <f t="shared" si="16"/>
        <v/>
      </c>
      <c r="P234" s="30" t="str">
        <f t="shared" si="17"/>
        <v/>
      </c>
      <c r="Q234" s="30" t="str">
        <f t="shared" si="18"/>
        <v/>
      </c>
      <c r="R234" s="30" t="str">
        <f t="shared" si="19"/>
        <v/>
      </c>
      <c r="S234" s="30" t="str">
        <f t="shared" si="20"/>
        <v/>
      </c>
    </row>
    <row r="235" spans="1:19">
      <c r="A235" s="7" t="s">
        <v>286</v>
      </c>
      <c r="B235" s="7"/>
      <c r="C235" s="7"/>
      <c r="D235" s="7"/>
      <c r="E235" s="7"/>
      <c r="F235" s="7"/>
      <c r="H235" s="7"/>
      <c r="I235" s="7"/>
      <c r="J235" s="7"/>
      <c r="K235" s="7"/>
      <c r="L235" s="7"/>
      <c r="O235" s="30" t="str">
        <f t="shared" si="16"/>
        <v/>
      </c>
      <c r="P235" s="30" t="str">
        <f t="shared" si="17"/>
        <v/>
      </c>
      <c r="Q235" s="30" t="str">
        <f t="shared" si="18"/>
        <v/>
      </c>
      <c r="R235" s="30" t="str">
        <f t="shared" si="19"/>
        <v/>
      </c>
      <c r="S235" s="30" t="str">
        <f t="shared" si="20"/>
        <v/>
      </c>
    </row>
    <row r="236" spans="1:19">
      <c r="A236" s="7" t="s">
        <v>287</v>
      </c>
      <c r="B236" s="7"/>
      <c r="C236" s="7"/>
      <c r="D236" s="7"/>
      <c r="E236" s="7"/>
      <c r="F236" s="7"/>
      <c r="H236" s="7"/>
      <c r="I236" s="7"/>
      <c r="J236" s="7"/>
      <c r="K236" s="7"/>
      <c r="L236" s="7"/>
      <c r="O236" s="30" t="str">
        <f t="shared" si="16"/>
        <v/>
      </c>
      <c r="P236" s="30" t="str">
        <f t="shared" si="17"/>
        <v/>
      </c>
      <c r="Q236" s="30" t="str">
        <f t="shared" si="18"/>
        <v/>
      </c>
      <c r="R236" s="30" t="str">
        <f t="shared" si="19"/>
        <v/>
      </c>
      <c r="S236" s="30" t="str">
        <f t="shared" si="20"/>
        <v/>
      </c>
    </row>
    <row r="237" spans="1:19">
      <c r="A237" s="7" t="s">
        <v>288</v>
      </c>
      <c r="B237" s="7"/>
      <c r="C237" s="7"/>
      <c r="D237" s="7"/>
      <c r="E237" s="7"/>
      <c r="F237" s="7"/>
      <c r="H237" s="7"/>
      <c r="I237" s="7"/>
      <c r="J237" s="7"/>
      <c r="K237" s="7"/>
      <c r="L237" s="7"/>
      <c r="O237" s="30" t="str">
        <f t="shared" si="16"/>
        <v/>
      </c>
      <c r="P237" s="30" t="str">
        <f t="shared" si="17"/>
        <v/>
      </c>
      <c r="Q237" s="30" t="str">
        <f t="shared" si="18"/>
        <v/>
      </c>
      <c r="R237" s="30" t="str">
        <f t="shared" si="19"/>
        <v/>
      </c>
      <c r="S237" s="30" t="str">
        <f t="shared" si="20"/>
        <v/>
      </c>
    </row>
    <row r="238" spans="1:19">
      <c r="A238" s="7" t="s">
        <v>289</v>
      </c>
      <c r="B238" s="7"/>
      <c r="C238" s="7"/>
      <c r="D238" s="7"/>
      <c r="E238" s="7"/>
      <c r="F238" s="7"/>
      <c r="H238" s="7"/>
      <c r="I238" s="7"/>
      <c r="J238" s="7"/>
      <c r="K238" s="7"/>
      <c r="L238" s="7"/>
      <c r="O238" s="30" t="str">
        <f t="shared" si="16"/>
        <v/>
      </c>
      <c r="P238" s="30" t="str">
        <f t="shared" si="17"/>
        <v/>
      </c>
      <c r="Q238" s="30" t="str">
        <f t="shared" si="18"/>
        <v/>
      </c>
      <c r="R238" s="30" t="str">
        <f t="shared" si="19"/>
        <v/>
      </c>
      <c r="S238" s="30" t="str">
        <f t="shared" si="20"/>
        <v/>
      </c>
    </row>
    <row r="239" spans="1:19">
      <c r="A239" s="7" t="s">
        <v>290</v>
      </c>
      <c r="B239" s="7"/>
      <c r="C239" s="7"/>
      <c r="D239" s="7"/>
      <c r="E239" s="7"/>
      <c r="F239" s="7"/>
      <c r="H239" s="7"/>
      <c r="I239" s="7"/>
      <c r="J239" s="7"/>
      <c r="K239" s="7"/>
      <c r="L239" s="7"/>
      <c r="O239" s="30" t="str">
        <f t="shared" si="16"/>
        <v/>
      </c>
      <c r="P239" s="30" t="str">
        <f t="shared" si="17"/>
        <v/>
      </c>
      <c r="Q239" s="30" t="str">
        <f t="shared" si="18"/>
        <v/>
      </c>
      <c r="R239" s="30" t="str">
        <f t="shared" si="19"/>
        <v/>
      </c>
      <c r="S239" s="30" t="str">
        <f t="shared" si="20"/>
        <v/>
      </c>
    </row>
    <row r="240" spans="1:19">
      <c r="A240" s="7" t="s">
        <v>291</v>
      </c>
      <c r="B240" s="7"/>
      <c r="C240" s="7"/>
      <c r="D240" s="7"/>
      <c r="E240" s="7"/>
      <c r="F240" s="7"/>
      <c r="H240" s="7"/>
      <c r="I240" s="7"/>
      <c r="J240" s="7"/>
      <c r="K240" s="7"/>
      <c r="L240" s="7"/>
      <c r="O240" s="30" t="str">
        <f t="shared" si="16"/>
        <v/>
      </c>
      <c r="P240" s="30" t="str">
        <f t="shared" si="17"/>
        <v/>
      </c>
      <c r="Q240" s="30" t="str">
        <f t="shared" si="18"/>
        <v/>
      </c>
      <c r="R240" s="30" t="str">
        <f t="shared" si="19"/>
        <v/>
      </c>
      <c r="S240" s="30" t="str">
        <f t="shared" si="20"/>
        <v/>
      </c>
    </row>
    <row r="241" spans="1:19">
      <c r="A241" s="7" t="s">
        <v>292</v>
      </c>
      <c r="B241" s="7"/>
      <c r="C241" s="7"/>
      <c r="D241" s="7"/>
      <c r="E241" s="7"/>
      <c r="F241" s="7"/>
      <c r="H241" s="7"/>
      <c r="I241" s="7"/>
      <c r="J241" s="7"/>
      <c r="K241" s="7"/>
      <c r="L241" s="7"/>
      <c r="O241" s="30" t="str">
        <f t="shared" si="16"/>
        <v/>
      </c>
      <c r="P241" s="30" t="str">
        <f t="shared" si="17"/>
        <v/>
      </c>
      <c r="Q241" s="30" t="str">
        <f t="shared" si="18"/>
        <v/>
      </c>
      <c r="R241" s="30" t="str">
        <f t="shared" si="19"/>
        <v/>
      </c>
      <c r="S241" s="30" t="str">
        <f t="shared" si="20"/>
        <v/>
      </c>
    </row>
    <row r="242" spans="1:19">
      <c r="A242" s="7" t="s">
        <v>293</v>
      </c>
      <c r="B242" s="7"/>
      <c r="C242" s="7"/>
      <c r="D242" s="7"/>
      <c r="E242" s="7"/>
      <c r="F242" s="7"/>
      <c r="H242" s="7"/>
      <c r="I242" s="7"/>
      <c r="J242" s="7"/>
      <c r="K242" s="7"/>
      <c r="L242" s="7"/>
      <c r="O242" s="30" t="str">
        <f t="shared" si="16"/>
        <v/>
      </c>
      <c r="P242" s="30" t="str">
        <f t="shared" si="17"/>
        <v/>
      </c>
      <c r="Q242" s="30" t="str">
        <f t="shared" si="18"/>
        <v/>
      </c>
      <c r="R242" s="30" t="str">
        <f t="shared" si="19"/>
        <v/>
      </c>
      <c r="S242" s="30" t="str">
        <f t="shared" si="20"/>
        <v/>
      </c>
    </row>
    <row r="243" spans="1:19">
      <c r="A243" s="7" t="s">
        <v>294</v>
      </c>
      <c r="B243" s="7"/>
      <c r="C243" s="7"/>
      <c r="D243" s="7"/>
      <c r="E243" s="7"/>
      <c r="F243" s="7"/>
      <c r="H243" s="7"/>
      <c r="I243" s="7"/>
      <c r="J243" s="7"/>
      <c r="K243" s="7"/>
      <c r="L243" s="7"/>
      <c r="O243" s="30" t="str">
        <f t="shared" si="16"/>
        <v/>
      </c>
      <c r="P243" s="30" t="str">
        <f t="shared" si="17"/>
        <v/>
      </c>
      <c r="Q243" s="30" t="str">
        <f t="shared" si="18"/>
        <v/>
      </c>
      <c r="R243" s="30" t="str">
        <f t="shared" si="19"/>
        <v/>
      </c>
      <c r="S243" s="30" t="str">
        <f t="shared" si="20"/>
        <v/>
      </c>
    </row>
    <row r="244" spans="1:19">
      <c r="A244" s="7" t="s">
        <v>295</v>
      </c>
      <c r="B244" s="7"/>
      <c r="C244" s="7"/>
      <c r="D244" s="7"/>
      <c r="E244" s="7"/>
      <c r="F244" s="7"/>
      <c r="H244" s="7"/>
      <c r="I244" s="7"/>
      <c r="J244" s="7"/>
      <c r="K244" s="7"/>
      <c r="L244" s="7"/>
      <c r="O244" s="30" t="str">
        <f t="shared" si="16"/>
        <v/>
      </c>
      <c r="P244" s="30" t="str">
        <f t="shared" si="17"/>
        <v/>
      </c>
      <c r="Q244" s="30" t="str">
        <f t="shared" si="18"/>
        <v/>
      </c>
      <c r="R244" s="30" t="str">
        <f t="shared" si="19"/>
        <v/>
      </c>
      <c r="S244" s="30" t="str">
        <f t="shared" si="20"/>
        <v/>
      </c>
    </row>
    <row r="245" spans="1:19">
      <c r="A245" s="7" t="s">
        <v>296</v>
      </c>
      <c r="B245" s="7"/>
      <c r="C245" s="7"/>
      <c r="D245" s="7"/>
      <c r="E245" s="7"/>
      <c r="F245" s="7"/>
      <c r="H245" s="7"/>
      <c r="I245" s="7"/>
      <c r="J245" s="7"/>
      <c r="K245" s="7"/>
      <c r="L245" s="7"/>
      <c r="O245" s="30" t="str">
        <f t="shared" si="16"/>
        <v/>
      </c>
      <c r="P245" s="30" t="str">
        <f t="shared" si="17"/>
        <v/>
      </c>
      <c r="Q245" s="30" t="str">
        <f t="shared" si="18"/>
        <v/>
      </c>
      <c r="R245" s="30" t="str">
        <f t="shared" si="19"/>
        <v/>
      </c>
      <c r="S245" s="30" t="str">
        <f t="shared" si="20"/>
        <v/>
      </c>
    </row>
    <row r="246" spans="1:19">
      <c r="A246" s="7" t="s">
        <v>297</v>
      </c>
      <c r="B246" s="7"/>
      <c r="C246" s="7"/>
      <c r="D246" s="7"/>
      <c r="E246" s="7"/>
      <c r="F246" s="7"/>
      <c r="H246" s="7"/>
      <c r="I246" s="7"/>
      <c r="J246" s="7"/>
      <c r="K246" s="7"/>
      <c r="L246" s="7"/>
      <c r="O246" s="30" t="str">
        <f t="shared" si="16"/>
        <v/>
      </c>
      <c r="P246" s="30" t="str">
        <f t="shared" si="17"/>
        <v/>
      </c>
      <c r="Q246" s="30" t="str">
        <f t="shared" si="18"/>
        <v/>
      </c>
      <c r="R246" s="30" t="str">
        <f t="shared" si="19"/>
        <v/>
      </c>
      <c r="S246" s="30" t="str">
        <f t="shared" si="20"/>
        <v/>
      </c>
    </row>
    <row r="247" spans="1:19">
      <c r="A247" s="7" t="s">
        <v>298</v>
      </c>
      <c r="B247" s="7"/>
      <c r="C247" s="7"/>
      <c r="D247" s="7"/>
      <c r="E247" s="7"/>
      <c r="F247" s="7"/>
      <c r="H247" s="7"/>
      <c r="I247" s="7"/>
      <c r="J247" s="7"/>
      <c r="K247" s="7"/>
      <c r="L247" s="7"/>
      <c r="O247" s="30" t="str">
        <f t="shared" si="16"/>
        <v/>
      </c>
      <c r="P247" s="30" t="str">
        <f t="shared" si="17"/>
        <v/>
      </c>
      <c r="Q247" s="30" t="str">
        <f t="shared" si="18"/>
        <v/>
      </c>
      <c r="R247" s="30" t="str">
        <f t="shared" si="19"/>
        <v/>
      </c>
      <c r="S247" s="30" t="str">
        <f t="shared" si="20"/>
        <v/>
      </c>
    </row>
    <row r="248" spans="1:19">
      <c r="A248" s="7" t="s">
        <v>299</v>
      </c>
      <c r="B248" s="7"/>
      <c r="C248" s="7"/>
      <c r="D248" s="7"/>
      <c r="E248" s="7"/>
      <c r="F248" s="7"/>
      <c r="H248" s="7"/>
      <c r="I248" s="7"/>
      <c r="J248" s="7"/>
      <c r="K248" s="7"/>
      <c r="L248" s="7"/>
      <c r="O248" s="30" t="str">
        <f t="shared" si="16"/>
        <v/>
      </c>
      <c r="P248" s="30" t="str">
        <f t="shared" si="17"/>
        <v/>
      </c>
      <c r="Q248" s="30" t="str">
        <f t="shared" si="18"/>
        <v/>
      </c>
      <c r="R248" s="30" t="str">
        <f t="shared" si="19"/>
        <v/>
      </c>
      <c r="S248" s="30" t="str">
        <f t="shared" si="20"/>
        <v/>
      </c>
    </row>
    <row r="249" spans="1:19">
      <c r="A249" s="7" t="s">
        <v>300</v>
      </c>
      <c r="B249" s="7"/>
      <c r="C249" s="7"/>
      <c r="D249" s="7"/>
      <c r="E249" s="7"/>
      <c r="F249" s="7"/>
      <c r="H249" s="7"/>
      <c r="I249" s="7"/>
      <c r="J249" s="7"/>
      <c r="K249" s="7"/>
      <c r="L249" s="7"/>
      <c r="O249" s="30" t="str">
        <f t="shared" si="16"/>
        <v/>
      </c>
      <c r="P249" s="30" t="str">
        <f t="shared" si="17"/>
        <v/>
      </c>
      <c r="Q249" s="30" t="str">
        <f t="shared" si="18"/>
        <v/>
      </c>
      <c r="R249" s="30" t="str">
        <f t="shared" si="19"/>
        <v/>
      </c>
      <c r="S249" s="30" t="str">
        <f t="shared" si="20"/>
        <v/>
      </c>
    </row>
    <row r="250" spans="1:19">
      <c r="A250" s="7" t="s">
        <v>301</v>
      </c>
      <c r="B250" s="7"/>
      <c r="C250" s="7"/>
      <c r="D250" s="7"/>
      <c r="E250" s="7"/>
      <c r="F250" s="7"/>
      <c r="H250" s="7"/>
      <c r="I250" s="7"/>
      <c r="J250" s="7"/>
      <c r="K250" s="7"/>
      <c r="L250" s="7"/>
      <c r="O250" s="30" t="str">
        <f t="shared" si="16"/>
        <v/>
      </c>
      <c r="P250" s="30" t="str">
        <f t="shared" si="17"/>
        <v/>
      </c>
      <c r="Q250" s="30" t="str">
        <f t="shared" si="18"/>
        <v/>
      </c>
      <c r="R250" s="30" t="str">
        <f t="shared" si="19"/>
        <v/>
      </c>
      <c r="S250" s="30" t="str">
        <f t="shared" si="20"/>
        <v/>
      </c>
    </row>
    <row r="251" spans="1:19">
      <c r="A251" s="7" t="s">
        <v>302</v>
      </c>
      <c r="B251" s="7"/>
      <c r="C251" s="7"/>
      <c r="D251" s="7"/>
      <c r="E251" s="7"/>
      <c r="F251" s="7"/>
      <c r="H251" s="7"/>
      <c r="I251" s="7"/>
      <c r="J251" s="7"/>
      <c r="K251" s="7"/>
      <c r="L251" s="7"/>
      <c r="O251" s="30" t="str">
        <f t="shared" si="16"/>
        <v/>
      </c>
      <c r="P251" s="30" t="str">
        <f t="shared" si="17"/>
        <v/>
      </c>
      <c r="Q251" s="30" t="str">
        <f t="shared" si="18"/>
        <v/>
      </c>
      <c r="R251" s="30" t="str">
        <f t="shared" si="19"/>
        <v/>
      </c>
      <c r="S251" s="30" t="str">
        <f t="shared" si="20"/>
        <v/>
      </c>
    </row>
    <row r="252" spans="1:19">
      <c r="A252" s="7" t="s">
        <v>303</v>
      </c>
      <c r="B252" s="7"/>
      <c r="C252" s="7"/>
      <c r="D252" s="7"/>
      <c r="E252" s="7"/>
      <c r="F252" s="7"/>
      <c r="H252" s="7"/>
      <c r="I252" s="7"/>
      <c r="J252" s="7"/>
      <c r="K252" s="7"/>
      <c r="L252" s="7"/>
      <c r="O252" s="30" t="str">
        <f t="shared" si="16"/>
        <v/>
      </c>
      <c r="P252" s="30" t="str">
        <f t="shared" si="17"/>
        <v/>
      </c>
      <c r="Q252" s="30" t="str">
        <f t="shared" si="18"/>
        <v/>
      </c>
      <c r="R252" s="30" t="str">
        <f t="shared" si="19"/>
        <v/>
      </c>
      <c r="S252" s="30" t="str">
        <f t="shared" si="20"/>
        <v/>
      </c>
    </row>
    <row r="253" spans="1:19">
      <c r="A253" s="7" t="s">
        <v>304</v>
      </c>
      <c r="B253" s="7"/>
      <c r="C253" s="7"/>
      <c r="D253" s="7"/>
      <c r="E253" s="7"/>
      <c r="F253" s="7"/>
      <c r="H253" s="7"/>
      <c r="I253" s="7"/>
      <c r="J253" s="7"/>
      <c r="K253" s="7"/>
      <c r="L253" s="7"/>
      <c r="O253" s="30" t="str">
        <f t="shared" si="16"/>
        <v/>
      </c>
      <c r="P253" s="30" t="str">
        <f t="shared" si="17"/>
        <v/>
      </c>
      <c r="Q253" s="30" t="str">
        <f t="shared" si="18"/>
        <v/>
      </c>
      <c r="R253" s="30" t="str">
        <f t="shared" si="19"/>
        <v/>
      </c>
      <c r="S253" s="30" t="str">
        <f t="shared" si="20"/>
        <v/>
      </c>
    </row>
    <row r="254" spans="1:19">
      <c r="A254" s="7" t="s">
        <v>305</v>
      </c>
      <c r="B254" s="7"/>
      <c r="C254" s="7"/>
      <c r="D254" s="7"/>
      <c r="E254" s="7"/>
      <c r="F254" s="7"/>
      <c r="H254" s="7"/>
      <c r="I254" s="7"/>
      <c r="J254" s="7"/>
      <c r="K254" s="7"/>
      <c r="L254" s="7"/>
      <c r="O254" s="30" t="str">
        <f t="shared" si="16"/>
        <v/>
      </c>
      <c r="P254" s="30" t="str">
        <f t="shared" si="17"/>
        <v/>
      </c>
      <c r="Q254" s="30" t="str">
        <f t="shared" si="18"/>
        <v/>
      </c>
      <c r="R254" s="30" t="str">
        <f t="shared" si="19"/>
        <v/>
      </c>
      <c r="S254" s="30" t="str">
        <f t="shared" si="20"/>
        <v/>
      </c>
    </row>
    <row r="255" spans="1:19">
      <c r="A255" s="7" t="s">
        <v>306</v>
      </c>
      <c r="B255" s="7"/>
      <c r="C255" s="7"/>
      <c r="D255" s="7"/>
      <c r="E255" s="7"/>
      <c r="F255" s="7"/>
      <c r="H255" s="7"/>
      <c r="I255" s="7"/>
      <c r="J255" s="7"/>
      <c r="K255" s="7"/>
      <c r="L255" s="7"/>
      <c r="O255" s="30" t="str">
        <f t="shared" si="16"/>
        <v/>
      </c>
      <c r="P255" s="30" t="str">
        <f t="shared" si="17"/>
        <v/>
      </c>
      <c r="Q255" s="30" t="str">
        <f t="shared" si="18"/>
        <v/>
      </c>
      <c r="R255" s="30" t="str">
        <f t="shared" si="19"/>
        <v/>
      </c>
      <c r="S255" s="30" t="str">
        <f t="shared" si="20"/>
        <v/>
      </c>
    </row>
    <row r="256" spans="1:19">
      <c r="A256" s="7" t="s">
        <v>307</v>
      </c>
      <c r="B256" s="7"/>
      <c r="C256" s="7"/>
      <c r="D256" s="7"/>
      <c r="E256" s="7"/>
      <c r="F256" s="7"/>
      <c r="H256" s="7"/>
      <c r="I256" s="7"/>
      <c r="J256" s="7"/>
      <c r="K256" s="7"/>
      <c r="L256" s="7"/>
      <c r="O256" s="30" t="str">
        <f t="shared" si="16"/>
        <v/>
      </c>
      <c r="P256" s="30" t="str">
        <f t="shared" si="17"/>
        <v/>
      </c>
      <c r="Q256" s="30" t="str">
        <f t="shared" si="18"/>
        <v/>
      </c>
      <c r="R256" s="30" t="str">
        <f t="shared" si="19"/>
        <v/>
      </c>
      <c r="S256" s="30" t="str">
        <f t="shared" si="20"/>
        <v/>
      </c>
    </row>
    <row r="257" spans="1:19">
      <c r="A257" s="7" t="s">
        <v>308</v>
      </c>
      <c r="B257" s="7"/>
      <c r="C257" s="7"/>
      <c r="D257" s="7"/>
      <c r="E257" s="7"/>
      <c r="F257" s="7"/>
      <c r="H257" s="7"/>
      <c r="I257" s="7"/>
      <c r="J257" s="7"/>
      <c r="K257" s="7"/>
      <c r="L257" s="7"/>
      <c r="O257" s="30" t="str">
        <f t="shared" si="16"/>
        <v/>
      </c>
      <c r="P257" s="30" t="str">
        <f t="shared" si="17"/>
        <v/>
      </c>
      <c r="Q257" s="30" t="str">
        <f t="shared" si="18"/>
        <v/>
      </c>
      <c r="R257" s="30" t="str">
        <f t="shared" si="19"/>
        <v/>
      </c>
      <c r="S257" s="30" t="str">
        <f t="shared" si="20"/>
        <v/>
      </c>
    </row>
    <row r="258" spans="1:19">
      <c r="A258" s="7" t="s">
        <v>309</v>
      </c>
      <c r="B258" s="7"/>
      <c r="C258" s="7"/>
      <c r="D258" s="7"/>
      <c r="E258" s="7"/>
      <c r="F258" s="7"/>
      <c r="H258" s="7"/>
      <c r="I258" s="7"/>
      <c r="J258" s="7"/>
      <c r="K258" s="7"/>
      <c r="L258" s="7"/>
      <c r="O258" s="30" t="str">
        <f t="shared" si="16"/>
        <v/>
      </c>
      <c r="P258" s="30" t="str">
        <f t="shared" si="17"/>
        <v/>
      </c>
      <c r="Q258" s="30" t="str">
        <f t="shared" si="18"/>
        <v/>
      </c>
      <c r="R258" s="30" t="str">
        <f t="shared" si="19"/>
        <v/>
      </c>
      <c r="S258" s="30" t="str">
        <f t="shared" si="20"/>
        <v/>
      </c>
    </row>
    <row r="259" spans="1:19">
      <c r="A259" s="7" t="s">
        <v>310</v>
      </c>
      <c r="B259" s="7"/>
      <c r="C259" s="7"/>
      <c r="D259" s="7"/>
      <c r="E259" s="7"/>
      <c r="F259" s="7"/>
      <c r="H259" s="7"/>
      <c r="I259" s="7"/>
      <c r="J259" s="7"/>
      <c r="K259" s="7"/>
      <c r="L259" s="7"/>
      <c r="O259" s="30" t="str">
        <f t="shared" si="16"/>
        <v/>
      </c>
      <c r="P259" s="30" t="str">
        <f t="shared" si="17"/>
        <v/>
      </c>
      <c r="Q259" s="30" t="str">
        <f t="shared" si="18"/>
        <v/>
      </c>
      <c r="R259" s="30" t="str">
        <f t="shared" si="19"/>
        <v/>
      </c>
      <c r="S259" s="30" t="str">
        <f t="shared" si="20"/>
        <v/>
      </c>
    </row>
    <row r="260" spans="1:19">
      <c r="A260" s="7" t="s">
        <v>311</v>
      </c>
      <c r="B260" s="7"/>
      <c r="C260" s="7"/>
      <c r="D260" s="7"/>
      <c r="E260" s="7"/>
      <c r="F260" s="7"/>
      <c r="H260" s="7"/>
      <c r="I260" s="7"/>
      <c r="J260" s="7"/>
      <c r="K260" s="7"/>
      <c r="L260" s="7"/>
      <c r="O260" s="30" t="str">
        <f t="shared" si="16"/>
        <v/>
      </c>
      <c r="P260" s="30" t="str">
        <f t="shared" si="17"/>
        <v/>
      </c>
      <c r="Q260" s="30" t="str">
        <f t="shared" si="18"/>
        <v/>
      </c>
      <c r="R260" s="30" t="str">
        <f t="shared" si="19"/>
        <v/>
      </c>
      <c r="S260" s="30" t="str">
        <f t="shared" si="20"/>
        <v/>
      </c>
    </row>
    <row r="261" spans="1:19">
      <c r="A261" s="7" t="s">
        <v>312</v>
      </c>
      <c r="B261" s="7"/>
      <c r="C261" s="7"/>
      <c r="D261" s="7"/>
      <c r="E261" s="7"/>
      <c r="F261" s="7"/>
      <c r="H261" s="7"/>
      <c r="I261" s="7"/>
      <c r="J261" s="7"/>
      <c r="K261" s="7"/>
      <c r="L261" s="7"/>
      <c r="O261" s="30" t="str">
        <f t="shared" si="16"/>
        <v/>
      </c>
      <c r="P261" s="30" t="str">
        <f t="shared" si="17"/>
        <v/>
      </c>
      <c r="Q261" s="30" t="str">
        <f t="shared" si="18"/>
        <v/>
      </c>
      <c r="R261" s="30" t="str">
        <f t="shared" si="19"/>
        <v/>
      </c>
      <c r="S261" s="30" t="str">
        <f t="shared" si="20"/>
        <v/>
      </c>
    </row>
    <row r="262" spans="1:19">
      <c r="A262" s="7" t="s">
        <v>313</v>
      </c>
      <c r="B262" s="7"/>
      <c r="C262" s="7"/>
      <c r="D262" s="7"/>
      <c r="E262" s="7"/>
      <c r="F262" s="7"/>
      <c r="H262" s="7"/>
      <c r="I262" s="7"/>
      <c r="J262" s="7"/>
      <c r="K262" s="7"/>
      <c r="L262" s="7"/>
      <c r="O262" s="30" t="str">
        <f t="shared" si="16"/>
        <v/>
      </c>
      <c r="P262" s="30" t="str">
        <f t="shared" si="17"/>
        <v/>
      </c>
      <c r="Q262" s="30" t="str">
        <f t="shared" si="18"/>
        <v/>
      </c>
      <c r="R262" s="30" t="str">
        <f t="shared" si="19"/>
        <v/>
      </c>
      <c r="S262" s="30" t="str">
        <f t="shared" si="20"/>
        <v/>
      </c>
    </row>
    <row r="263" spans="1:19">
      <c r="A263" s="7" t="s">
        <v>314</v>
      </c>
      <c r="B263" s="7"/>
      <c r="C263" s="7"/>
      <c r="D263" s="7"/>
      <c r="E263" s="7"/>
      <c r="F263" s="7"/>
      <c r="H263" s="7"/>
      <c r="I263" s="7"/>
      <c r="J263" s="7"/>
      <c r="K263" s="7"/>
      <c r="L263" s="7"/>
      <c r="O263" s="30" t="str">
        <f t="shared" si="16"/>
        <v/>
      </c>
      <c r="P263" s="30" t="str">
        <f t="shared" si="17"/>
        <v/>
      </c>
      <c r="Q263" s="30" t="str">
        <f t="shared" si="18"/>
        <v/>
      </c>
      <c r="R263" s="30" t="str">
        <f t="shared" si="19"/>
        <v/>
      </c>
      <c r="S263" s="30" t="str">
        <f t="shared" si="20"/>
        <v/>
      </c>
    </row>
    <row r="264" spans="1:19">
      <c r="A264" s="7" t="s">
        <v>315</v>
      </c>
      <c r="B264" s="7"/>
      <c r="C264" s="7"/>
      <c r="D264" s="7"/>
      <c r="E264" s="7"/>
      <c r="F264" s="7"/>
      <c r="H264" s="7"/>
      <c r="I264" s="7"/>
      <c r="J264" s="7"/>
      <c r="K264" s="7"/>
      <c r="L264" s="7"/>
      <c r="O264" s="30" t="str">
        <f t="shared" si="16"/>
        <v/>
      </c>
      <c r="P264" s="30" t="str">
        <f t="shared" si="17"/>
        <v/>
      </c>
      <c r="Q264" s="30" t="str">
        <f t="shared" si="18"/>
        <v/>
      </c>
      <c r="R264" s="30" t="str">
        <f t="shared" si="19"/>
        <v/>
      </c>
      <c r="S264" s="30" t="str">
        <f t="shared" si="20"/>
        <v/>
      </c>
    </row>
    <row r="265" spans="1:19">
      <c r="A265" s="7" t="s">
        <v>316</v>
      </c>
      <c r="B265" s="7"/>
      <c r="C265" s="7"/>
      <c r="D265" s="7"/>
      <c r="E265" s="7"/>
      <c r="F265" s="7"/>
      <c r="H265" s="7"/>
      <c r="I265" s="7"/>
      <c r="J265" s="7"/>
      <c r="K265" s="7"/>
      <c r="L265" s="7"/>
      <c r="O265" s="30" t="str">
        <f t="shared" ref="O265:O328" si="21">IF(H265&gt;0,"Angebot offen","")</f>
        <v/>
      </c>
      <c r="P265" s="30" t="str">
        <f t="shared" ref="P265:P328" si="22">IF(I265&gt;0,"Angebot offen","")</f>
        <v/>
      </c>
      <c r="Q265" s="30" t="str">
        <f t="shared" ref="Q265:Q328" si="23">IF(J265&gt;0,"Angebot offen","")</f>
        <v/>
      </c>
      <c r="R265" s="30" t="str">
        <f t="shared" ref="R265:R328" si="24">IF(K265&gt;0,"Angebot offen","")</f>
        <v/>
      </c>
      <c r="S265" s="30" t="str">
        <f t="shared" ref="S265:S328" si="25">IF(L265&gt;0,"Angebot offen","")</f>
        <v/>
      </c>
    </row>
    <row r="266" spans="1:19">
      <c r="A266" s="7" t="s">
        <v>317</v>
      </c>
      <c r="B266" s="7"/>
      <c r="C266" s="7"/>
      <c r="D266" s="7"/>
      <c r="E266" s="7"/>
      <c r="F266" s="7"/>
      <c r="H266" s="7"/>
      <c r="I266" s="7"/>
      <c r="J266" s="7"/>
      <c r="K266" s="7"/>
      <c r="L266" s="7"/>
      <c r="O266" s="30" t="str">
        <f t="shared" si="21"/>
        <v/>
      </c>
      <c r="P266" s="30" t="str">
        <f t="shared" si="22"/>
        <v/>
      </c>
      <c r="Q266" s="30" t="str">
        <f t="shared" si="23"/>
        <v/>
      </c>
      <c r="R266" s="30" t="str">
        <f t="shared" si="24"/>
        <v/>
      </c>
      <c r="S266" s="30" t="str">
        <f t="shared" si="25"/>
        <v/>
      </c>
    </row>
    <row r="267" spans="1:19">
      <c r="A267" s="7" t="s">
        <v>318</v>
      </c>
      <c r="B267" s="7"/>
      <c r="C267" s="7"/>
      <c r="D267" s="7"/>
      <c r="E267" s="7"/>
      <c r="F267" s="7"/>
      <c r="H267" s="7"/>
      <c r="I267" s="7"/>
      <c r="J267" s="7"/>
      <c r="K267" s="7"/>
      <c r="L267" s="7"/>
      <c r="O267" s="30" t="str">
        <f t="shared" si="21"/>
        <v/>
      </c>
      <c r="P267" s="30" t="str">
        <f t="shared" si="22"/>
        <v/>
      </c>
      <c r="Q267" s="30" t="str">
        <f t="shared" si="23"/>
        <v/>
      </c>
      <c r="R267" s="30" t="str">
        <f t="shared" si="24"/>
        <v/>
      </c>
      <c r="S267" s="30" t="str">
        <f t="shared" si="25"/>
        <v/>
      </c>
    </row>
    <row r="268" spans="1:19">
      <c r="A268" s="7" t="s">
        <v>319</v>
      </c>
      <c r="B268" s="7"/>
      <c r="C268" s="7"/>
      <c r="D268" s="7"/>
      <c r="E268" s="7"/>
      <c r="F268" s="7"/>
      <c r="H268" s="7"/>
      <c r="I268" s="7"/>
      <c r="J268" s="7"/>
      <c r="K268" s="7"/>
      <c r="L268" s="7"/>
      <c r="O268" s="30" t="str">
        <f t="shared" si="21"/>
        <v/>
      </c>
      <c r="P268" s="30" t="str">
        <f t="shared" si="22"/>
        <v/>
      </c>
      <c r="Q268" s="30" t="str">
        <f t="shared" si="23"/>
        <v/>
      </c>
      <c r="R268" s="30" t="str">
        <f t="shared" si="24"/>
        <v/>
      </c>
      <c r="S268" s="30" t="str">
        <f t="shared" si="25"/>
        <v/>
      </c>
    </row>
    <row r="269" spans="1:19">
      <c r="A269" s="7" t="s">
        <v>320</v>
      </c>
      <c r="B269" s="7"/>
      <c r="C269" s="7"/>
      <c r="D269" s="7"/>
      <c r="E269" s="7"/>
      <c r="F269" s="7"/>
      <c r="H269" s="7"/>
      <c r="I269" s="7"/>
      <c r="J269" s="7"/>
      <c r="K269" s="7"/>
      <c r="L269" s="7"/>
      <c r="O269" s="30" t="str">
        <f t="shared" si="21"/>
        <v/>
      </c>
      <c r="P269" s="30" t="str">
        <f t="shared" si="22"/>
        <v/>
      </c>
      <c r="Q269" s="30" t="str">
        <f t="shared" si="23"/>
        <v/>
      </c>
      <c r="R269" s="30" t="str">
        <f t="shared" si="24"/>
        <v/>
      </c>
      <c r="S269" s="30" t="str">
        <f t="shared" si="25"/>
        <v/>
      </c>
    </row>
    <row r="270" spans="1:19">
      <c r="A270" s="7" t="s">
        <v>321</v>
      </c>
      <c r="B270" s="7"/>
      <c r="C270" s="7"/>
      <c r="D270" s="7"/>
      <c r="E270" s="7"/>
      <c r="F270" s="7"/>
      <c r="H270" s="7"/>
      <c r="I270" s="7"/>
      <c r="J270" s="7"/>
      <c r="K270" s="7"/>
      <c r="L270" s="7"/>
      <c r="O270" s="30" t="str">
        <f t="shared" si="21"/>
        <v/>
      </c>
      <c r="P270" s="30" t="str">
        <f t="shared" si="22"/>
        <v/>
      </c>
      <c r="Q270" s="30" t="str">
        <f t="shared" si="23"/>
        <v/>
      </c>
      <c r="R270" s="30" t="str">
        <f t="shared" si="24"/>
        <v/>
      </c>
      <c r="S270" s="30" t="str">
        <f t="shared" si="25"/>
        <v/>
      </c>
    </row>
    <row r="271" spans="1:19">
      <c r="A271" s="7" t="s">
        <v>322</v>
      </c>
      <c r="B271" s="7"/>
      <c r="C271" s="7"/>
      <c r="D271" s="7"/>
      <c r="E271" s="7"/>
      <c r="F271" s="7"/>
      <c r="H271" s="7"/>
      <c r="I271" s="7"/>
      <c r="J271" s="7"/>
      <c r="K271" s="7"/>
      <c r="L271" s="7"/>
      <c r="O271" s="30" t="str">
        <f t="shared" si="21"/>
        <v/>
      </c>
      <c r="P271" s="30" t="str">
        <f t="shared" si="22"/>
        <v/>
      </c>
      <c r="Q271" s="30" t="str">
        <f t="shared" si="23"/>
        <v/>
      </c>
      <c r="R271" s="30" t="str">
        <f t="shared" si="24"/>
        <v/>
      </c>
      <c r="S271" s="30" t="str">
        <f t="shared" si="25"/>
        <v/>
      </c>
    </row>
    <row r="272" spans="1:19">
      <c r="A272" s="7" t="s">
        <v>323</v>
      </c>
      <c r="B272" s="7"/>
      <c r="C272" s="7"/>
      <c r="D272" s="7"/>
      <c r="E272" s="7"/>
      <c r="F272" s="7"/>
      <c r="H272" s="7"/>
      <c r="I272" s="7"/>
      <c r="J272" s="7"/>
      <c r="K272" s="7"/>
      <c r="L272" s="7"/>
      <c r="O272" s="30" t="str">
        <f t="shared" si="21"/>
        <v/>
      </c>
      <c r="P272" s="30" t="str">
        <f t="shared" si="22"/>
        <v/>
      </c>
      <c r="Q272" s="30" t="str">
        <f t="shared" si="23"/>
        <v/>
      </c>
      <c r="R272" s="30" t="str">
        <f t="shared" si="24"/>
        <v/>
      </c>
      <c r="S272" s="30" t="str">
        <f t="shared" si="25"/>
        <v/>
      </c>
    </row>
    <row r="273" spans="1:19">
      <c r="A273" s="7" t="s">
        <v>324</v>
      </c>
      <c r="B273" s="7"/>
      <c r="C273" s="7"/>
      <c r="D273" s="7"/>
      <c r="E273" s="7"/>
      <c r="F273" s="7"/>
      <c r="H273" s="7"/>
      <c r="I273" s="7"/>
      <c r="J273" s="7"/>
      <c r="K273" s="7"/>
      <c r="L273" s="7"/>
      <c r="O273" s="30" t="str">
        <f t="shared" si="21"/>
        <v/>
      </c>
      <c r="P273" s="30" t="str">
        <f t="shared" si="22"/>
        <v/>
      </c>
      <c r="Q273" s="30" t="str">
        <f t="shared" si="23"/>
        <v/>
      </c>
      <c r="R273" s="30" t="str">
        <f t="shared" si="24"/>
        <v/>
      </c>
      <c r="S273" s="30" t="str">
        <f t="shared" si="25"/>
        <v/>
      </c>
    </row>
    <row r="274" spans="1:19">
      <c r="A274" s="7" t="s">
        <v>325</v>
      </c>
      <c r="B274" s="7"/>
      <c r="C274" s="7"/>
      <c r="D274" s="7"/>
      <c r="E274" s="7"/>
      <c r="F274" s="7"/>
      <c r="H274" s="7"/>
      <c r="I274" s="7"/>
      <c r="J274" s="7"/>
      <c r="K274" s="7"/>
      <c r="L274" s="7"/>
      <c r="O274" s="30" t="str">
        <f t="shared" si="21"/>
        <v/>
      </c>
      <c r="P274" s="30" t="str">
        <f t="shared" si="22"/>
        <v/>
      </c>
      <c r="Q274" s="30" t="str">
        <f t="shared" si="23"/>
        <v/>
      </c>
      <c r="R274" s="30" t="str">
        <f t="shared" si="24"/>
        <v/>
      </c>
      <c r="S274" s="30" t="str">
        <f t="shared" si="25"/>
        <v/>
      </c>
    </row>
    <row r="275" spans="1:19">
      <c r="A275" s="7" t="s">
        <v>326</v>
      </c>
      <c r="B275" s="7"/>
      <c r="C275" s="7"/>
      <c r="D275" s="7"/>
      <c r="E275" s="7"/>
      <c r="F275" s="7"/>
      <c r="H275" s="7"/>
      <c r="I275" s="7"/>
      <c r="J275" s="7"/>
      <c r="K275" s="7"/>
      <c r="L275" s="7"/>
      <c r="O275" s="30" t="str">
        <f t="shared" si="21"/>
        <v/>
      </c>
      <c r="P275" s="30" t="str">
        <f t="shared" si="22"/>
        <v/>
      </c>
      <c r="Q275" s="30" t="str">
        <f t="shared" si="23"/>
        <v/>
      </c>
      <c r="R275" s="30" t="str">
        <f t="shared" si="24"/>
        <v/>
      </c>
      <c r="S275" s="30" t="str">
        <f t="shared" si="25"/>
        <v/>
      </c>
    </row>
    <row r="276" spans="1:19">
      <c r="A276" s="7" t="s">
        <v>327</v>
      </c>
      <c r="B276" s="7"/>
      <c r="C276" s="7"/>
      <c r="D276" s="7"/>
      <c r="E276" s="7"/>
      <c r="F276" s="7"/>
      <c r="H276" s="7"/>
      <c r="I276" s="7"/>
      <c r="J276" s="7"/>
      <c r="K276" s="7"/>
      <c r="L276" s="7"/>
      <c r="O276" s="30" t="str">
        <f t="shared" si="21"/>
        <v/>
      </c>
      <c r="P276" s="30" t="str">
        <f t="shared" si="22"/>
        <v/>
      </c>
      <c r="Q276" s="30" t="str">
        <f t="shared" si="23"/>
        <v/>
      </c>
      <c r="R276" s="30" t="str">
        <f t="shared" si="24"/>
        <v/>
      </c>
      <c r="S276" s="30" t="str">
        <f t="shared" si="25"/>
        <v/>
      </c>
    </row>
    <row r="277" spans="1:19">
      <c r="A277" s="7" t="s">
        <v>328</v>
      </c>
      <c r="B277" s="7"/>
      <c r="C277" s="7"/>
      <c r="D277" s="7"/>
      <c r="E277" s="7"/>
      <c r="F277" s="7"/>
      <c r="H277" s="7"/>
      <c r="I277" s="7"/>
      <c r="J277" s="7"/>
      <c r="K277" s="7"/>
      <c r="L277" s="7"/>
      <c r="O277" s="30" t="str">
        <f t="shared" si="21"/>
        <v/>
      </c>
      <c r="P277" s="30" t="str">
        <f t="shared" si="22"/>
        <v/>
      </c>
      <c r="Q277" s="30" t="str">
        <f t="shared" si="23"/>
        <v/>
      </c>
      <c r="R277" s="30" t="str">
        <f t="shared" si="24"/>
        <v/>
      </c>
      <c r="S277" s="30" t="str">
        <f t="shared" si="25"/>
        <v/>
      </c>
    </row>
    <row r="278" spans="1:19">
      <c r="A278" s="7" t="s">
        <v>329</v>
      </c>
      <c r="B278" s="7"/>
      <c r="C278" s="7"/>
      <c r="D278" s="7"/>
      <c r="E278" s="7"/>
      <c r="F278" s="7"/>
      <c r="H278" s="7"/>
      <c r="I278" s="7"/>
      <c r="J278" s="7"/>
      <c r="K278" s="7"/>
      <c r="L278" s="7"/>
      <c r="O278" s="30" t="str">
        <f t="shared" si="21"/>
        <v/>
      </c>
      <c r="P278" s="30" t="str">
        <f t="shared" si="22"/>
        <v/>
      </c>
      <c r="Q278" s="30" t="str">
        <f t="shared" si="23"/>
        <v/>
      </c>
      <c r="R278" s="30" t="str">
        <f t="shared" si="24"/>
        <v/>
      </c>
      <c r="S278" s="30" t="str">
        <f t="shared" si="25"/>
        <v/>
      </c>
    </row>
    <row r="279" spans="1:19">
      <c r="A279" s="7" t="s">
        <v>330</v>
      </c>
      <c r="B279" s="7"/>
      <c r="C279" s="7"/>
      <c r="D279" s="7"/>
      <c r="E279" s="7"/>
      <c r="F279" s="7"/>
      <c r="H279" s="7"/>
      <c r="I279" s="7"/>
      <c r="J279" s="7"/>
      <c r="K279" s="7"/>
      <c r="L279" s="7"/>
      <c r="O279" s="30" t="str">
        <f t="shared" si="21"/>
        <v/>
      </c>
      <c r="P279" s="30" t="str">
        <f t="shared" si="22"/>
        <v/>
      </c>
      <c r="Q279" s="30" t="str">
        <f t="shared" si="23"/>
        <v/>
      </c>
      <c r="R279" s="30" t="str">
        <f t="shared" si="24"/>
        <v/>
      </c>
      <c r="S279" s="30" t="str">
        <f t="shared" si="25"/>
        <v/>
      </c>
    </row>
    <row r="280" spans="1:19">
      <c r="A280" s="7" t="s">
        <v>331</v>
      </c>
      <c r="B280" s="7"/>
      <c r="C280" s="7"/>
      <c r="D280" s="7"/>
      <c r="E280" s="7"/>
      <c r="F280" s="7"/>
      <c r="H280" s="7"/>
      <c r="I280" s="7"/>
      <c r="J280" s="7"/>
      <c r="K280" s="7"/>
      <c r="L280" s="7"/>
      <c r="O280" s="30" t="str">
        <f t="shared" si="21"/>
        <v/>
      </c>
      <c r="P280" s="30" t="str">
        <f t="shared" si="22"/>
        <v/>
      </c>
      <c r="Q280" s="30" t="str">
        <f t="shared" si="23"/>
        <v/>
      </c>
      <c r="R280" s="30" t="str">
        <f t="shared" si="24"/>
        <v/>
      </c>
      <c r="S280" s="30" t="str">
        <f t="shared" si="25"/>
        <v/>
      </c>
    </row>
    <row r="281" spans="1:19">
      <c r="A281" s="7" t="s">
        <v>332</v>
      </c>
      <c r="B281" s="7"/>
      <c r="C281" s="7"/>
      <c r="D281" s="7"/>
      <c r="E281" s="7"/>
      <c r="F281" s="7"/>
      <c r="H281" s="7"/>
      <c r="I281" s="7"/>
      <c r="J281" s="7"/>
      <c r="K281" s="7"/>
      <c r="L281" s="7"/>
      <c r="O281" s="30" t="str">
        <f t="shared" si="21"/>
        <v/>
      </c>
      <c r="P281" s="30" t="str">
        <f t="shared" si="22"/>
        <v/>
      </c>
      <c r="Q281" s="30" t="str">
        <f t="shared" si="23"/>
        <v/>
      </c>
      <c r="R281" s="30" t="str">
        <f t="shared" si="24"/>
        <v/>
      </c>
      <c r="S281" s="30" t="str">
        <f t="shared" si="25"/>
        <v/>
      </c>
    </row>
    <row r="282" spans="1:19">
      <c r="A282" s="7" t="s">
        <v>333</v>
      </c>
      <c r="B282" s="7"/>
      <c r="C282" s="7"/>
      <c r="D282" s="7"/>
      <c r="E282" s="7"/>
      <c r="F282" s="7"/>
      <c r="H282" s="7"/>
      <c r="I282" s="7"/>
      <c r="J282" s="7"/>
      <c r="K282" s="7"/>
      <c r="L282" s="7"/>
      <c r="O282" s="30" t="str">
        <f t="shared" si="21"/>
        <v/>
      </c>
      <c r="P282" s="30" t="str">
        <f t="shared" si="22"/>
        <v/>
      </c>
      <c r="Q282" s="30" t="str">
        <f t="shared" si="23"/>
        <v/>
      </c>
      <c r="R282" s="30" t="str">
        <f t="shared" si="24"/>
        <v/>
      </c>
      <c r="S282" s="30" t="str">
        <f t="shared" si="25"/>
        <v/>
      </c>
    </row>
    <row r="283" spans="1:19">
      <c r="A283" s="7" t="s">
        <v>334</v>
      </c>
      <c r="B283" s="7"/>
      <c r="C283" s="7"/>
      <c r="D283" s="7"/>
      <c r="E283" s="7"/>
      <c r="F283" s="7"/>
      <c r="H283" s="7"/>
      <c r="I283" s="7"/>
      <c r="J283" s="7"/>
      <c r="K283" s="7"/>
      <c r="L283" s="7"/>
      <c r="O283" s="30" t="str">
        <f t="shared" si="21"/>
        <v/>
      </c>
      <c r="P283" s="30" t="str">
        <f t="shared" si="22"/>
        <v/>
      </c>
      <c r="Q283" s="30" t="str">
        <f t="shared" si="23"/>
        <v/>
      </c>
      <c r="R283" s="30" t="str">
        <f t="shared" si="24"/>
        <v/>
      </c>
      <c r="S283" s="30" t="str">
        <f t="shared" si="25"/>
        <v/>
      </c>
    </row>
    <row r="284" spans="1:19">
      <c r="A284" s="7" t="s">
        <v>335</v>
      </c>
      <c r="B284" s="7"/>
      <c r="C284" s="7"/>
      <c r="D284" s="7"/>
      <c r="E284" s="7"/>
      <c r="F284" s="7"/>
      <c r="H284" s="7"/>
      <c r="I284" s="7"/>
      <c r="J284" s="7"/>
      <c r="K284" s="7"/>
      <c r="L284" s="7"/>
      <c r="O284" s="30" t="str">
        <f t="shared" si="21"/>
        <v/>
      </c>
      <c r="P284" s="30" t="str">
        <f t="shared" si="22"/>
        <v/>
      </c>
      <c r="Q284" s="30" t="str">
        <f t="shared" si="23"/>
        <v/>
      </c>
      <c r="R284" s="30" t="str">
        <f t="shared" si="24"/>
        <v/>
      </c>
      <c r="S284" s="30" t="str">
        <f t="shared" si="25"/>
        <v/>
      </c>
    </row>
    <row r="285" spans="1:19">
      <c r="A285" s="7" t="s">
        <v>336</v>
      </c>
      <c r="B285" s="7"/>
      <c r="C285" s="7"/>
      <c r="D285" s="7"/>
      <c r="E285" s="7"/>
      <c r="F285" s="7"/>
      <c r="H285" s="7"/>
      <c r="I285" s="7"/>
      <c r="J285" s="7"/>
      <c r="K285" s="7"/>
      <c r="L285" s="7"/>
      <c r="O285" s="30" t="str">
        <f t="shared" si="21"/>
        <v/>
      </c>
      <c r="P285" s="30" t="str">
        <f t="shared" si="22"/>
        <v/>
      </c>
      <c r="Q285" s="30" t="str">
        <f t="shared" si="23"/>
        <v/>
      </c>
      <c r="R285" s="30" t="str">
        <f t="shared" si="24"/>
        <v/>
      </c>
      <c r="S285" s="30" t="str">
        <f t="shared" si="25"/>
        <v/>
      </c>
    </row>
    <row r="286" spans="1:19">
      <c r="A286" s="7" t="s">
        <v>337</v>
      </c>
      <c r="B286" s="7"/>
      <c r="C286" s="7"/>
      <c r="D286" s="7"/>
      <c r="E286" s="7"/>
      <c r="F286" s="7"/>
      <c r="H286" s="7"/>
      <c r="I286" s="7"/>
      <c r="J286" s="7"/>
      <c r="K286" s="7"/>
      <c r="L286" s="7"/>
      <c r="O286" s="30" t="str">
        <f t="shared" si="21"/>
        <v/>
      </c>
      <c r="P286" s="30" t="str">
        <f t="shared" si="22"/>
        <v/>
      </c>
      <c r="Q286" s="30" t="str">
        <f t="shared" si="23"/>
        <v/>
      </c>
      <c r="R286" s="30" t="str">
        <f t="shared" si="24"/>
        <v/>
      </c>
      <c r="S286" s="30" t="str">
        <f t="shared" si="25"/>
        <v/>
      </c>
    </row>
    <row r="287" spans="1:19">
      <c r="A287" s="7" t="s">
        <v>338</v>
      </c>
      <c r="B287" s="7"/>
      <c r="C287" s="7"/>
      <c r="D287" s="7"/>
      <c r="E287" s="7"/>
      <c r="F287" s="7"/>
      <c r="H287" s="7"/>
      <c r="I287" s="7"/>
      <c r="J287" s="7"/>
      <c r="K287" s="7"/>
      <c r="L287" s="7"/>
      <c r="O287" s="30" t="str">
        <f t="shared" si="21"/>
        <v/>
      </c>
      <c r="P287" s="30" t="str">
        <f t="shared" si="22"/>
        <v/>
      </c>
      <c r="Q287" s="30" t="str">
        <f t="shared" si="23"/>
        <v/>
      </c>
      <c r="R287" s="30" t="str">
        <f t="shared" si="24"/>
        <v/>
      </c>
      <c r="S287" s="30" t="str">
        <f t="shared" si="25"/>
        <v/>
      </c>
    </row>
    <row r="288" spans="1:19">
      <c r="A288" s="7" t="s">
        <v>339</v>
      </c>
      <c r="B288" s="7"/>
      <c r="C288" s="7"/>
      <c r="D288" s="7"/>
      <c r="E288" s="7"/>
      <c r="F288" s="7"/>
      <c r="H288" s="7"/>
      <c r="I288" s="7"/>
      <c r="J288" s="7"/>
      <c r="K288" s="7"/>
      <c r="L288" s="7"/>
      <c r="O288" s="30" t="str">
        <f t="shared" si="21"/>
        <v/>
      </c>
      <c r="P288" s="30" t="str">
        <f t="shared" si="22"/>
        <v/>
      </c>
      <c r="Q288" s="30" t="str">
        <f t="shared" si="23"/>
        <v/>
      </c>
      <c r="R288" s="30" t="str">
        <f t="shared" si="24"/>
        <v/>
      </c>
      <c r="S288" s="30" t="str">
        <f t="shared" si="25"/>
        <v/>
      </c>
    </row>
    <row r="289" spans="1:19">
      <c r="A289" s="7" t="s">
        <v>340</v>
      </c>
      <c r="B289" s="7"/>
      <c r="C289" s="7"/>
      <c r="D289" s="7"/>
      <c r="E289" s="7"/>
      <c r="F289" s="7"/>
      <c r="H289" s="7"/>
      <c r="I289" s="7"/>
      <c r="J289" s="7"/>
      <c r="K289" s="7"/>
      <c r="L289" s="7"/>
      <c r="O289" s="30" t="str">
        <f t="shared" si="21"/>
        <v/>
      </c>
      <c r="P289" s="30" t="str">
        <f t="shared" si="22"/>
        <v/>
      </c>
      <c r="Q289" s="30" t="str">
        <f t="shared" si="23"/>
        <v/>
      </c>
      <c r="R289" s="30" t="str">
        <f t="shared" si="24"/>
        <v/>
      </c>
      <c r="S289" s="30" t="str">
        <f t="shared" si="25"/>
        <v/>
      </c>
    </row>
    <row r="290" spans="1:19">
      <c r="A290" s="7" t="s">
        <v>341</v>
      </c>
      <c r="B290" s="7"/>
      <c r="C290" s="7"/>
      <c r="D290" s="7"/>
      <c r="E290" s="7"/>
      <c r="F290" s="7"/>
      <c r="H290" s="7"/>
      <c r="I290" s="7"/>
      <c r="J290" s="7"/>
      <c r="K290" s="7"/>
      <c r="L290" s="7"/>
      <c r="O290" s="30" t="str">
        <f t="shared" si="21"/>
        <v/>
      </c>
      <c r="P290" s="30" t="str">
        <f t="shared" si="22"/>
        <v/>
      </c>
      <c r="Q290" s="30" t="str">
        <f t="shared" si="23"/>
        <v/>
      </c>
      <c r="R290" s="30" t="str">
        <f t="shared" si="24"/>
        <v/>
      </c>
      <c r="S290" s="30" t="str">
        <f t="shared" si="25"/>
        <v/>
      </c>
    </row>
    <row r="291" spans="1:19">
      <c r="A291" s="7" t="s">
        <v>342</v>
      </c>
      <c r="B291" s="7"/>
      <c r="C291" s="7"/>
      <c r="D291" s="7"/>
      <c r="E291" s="7"/>
      <c r="F291" s="7"/>
      <c r="H291" s="7"/>
      <c r="I291" s="7"/>
      <c r="J291" s="7"/>
      <c r="K291" s="7"/>
      <c r="L291" s="7"/>
      <c r="O291" s="30" t="str">
        <f t="shared" si="21"/>
        <v/>
      </c>
      <c r="P291" s="30" t="str">
        <f t="shared" si="22"/>
        <v/>
      </c>
      <c r="Q291" s="30" t="str">
        <f t="shared" si="23"/>
        <v/>
      </c>
      <c r="R291" s="30" t="str">
        <f t="shared" si="24"/>
        <v/>
      </c>
      <c r="S291" s="30" t="str">
        <f t="shared" si="25"/>
        <v/>
      </c>
    </row>
    <row r="292" spans="1:19">
      <c r="A292" s="7" t="s">
        <v>343</v>
      </c>
      <c r="B292" s="7"/>
      <c r="C292" s="7"/>
      <c r="D292" s="7"/>
      <c r="E292" s="7"/>
      <c r="F292" s="7"/>
      <c r="H292" s="7"/>
      <c r="I292" s="7"/>
      <c r="J292" s="7"/>
      <c r="K292" s="7"/>
      <c r="L292" s="7"/>
      <c r="O292" s="30" t="str">
        <f t="shared" si="21"/>
        <v/>
      </c>
      <c r="P292" s="30" t="str">
        <f t="shared" si="22"/>
        <v/>
      </c>
      <c r="Q292" s="30" t="str">
        <f t="shared" si="23"/>
        <v/>
      </c>
      <c r="R292" s="30" t="str">
        <f t="shared" si="24"/>
        <v/>
      </c>
      <c r="S292" s="30" t="str">
        <f t="shared" si="25"/>
        <v/>
      </c>
    </row>
    <row r="293" spans="1:19">
      <c r="A293" s="7" t="s">
        <v>344</v>
      </c>
      <c r="B293" s="7"/>
      <c r="C293" s="7"/>
      <c r="D293" s="7"/>
      <c r="E293" s="7"/>
      <c r="F293" s="7"/>
      <c r="H293" s="7"/>
      <c r="I293" s="7"/>
      <c r="J293" s="7"/>
      <c r="K293" s="7"/>
      <c r="L293" s="7"/>
      <c r="O293" s="30" t="str">
        <f t="shared" si="21"/>
        <v/>
      </c>
      <c r="P293" s="30" t="str">
        <f t="shared" si="22"/>
        <v/>
      </c>
      <c r="Q293" s="30" t="str">
        <f t="shared" si="23"/>
        <v/>
      </c>
      <c r="R293" s="30" t="str">
        <f t="shared" si="24"/>
        <v/>
      </c>
      <c r="S293" s="30" t="str">
        <f t="shared" si="25"/>
        <v/>
      </c>
    </row>
    <row r="294" spans="1:19">
      <c r="A294" s="7" t="s">
        <v>345</v>
      </c>
      <c r="B294" s="7"/>
      <c r="C294" s="7"/>
      <c r="D294" s="7"/>
      <c r="E294" s="7"/>
      <c r="F294" s="7"/>
      <c r="H294" s="7"/>
      <c r="I294" s="7"/>
      <c r="J294" s="7"/>
      <c r="K294" s="7"/>
      <c r="L294" s="7"/>
      <c r="O294" s="30" t="str">
        <f t="shared" si="21"/>
        <v/>
      </c>
      <c r="P294" s="30" t="str">
        <f t="shared" si="22"/>
        <v/>
      </c>
      <c r="Q294" s="30" t="str">
        <f t="shared" si="23"/>
        <v/>
      </c>
      <c r="R294" s="30" t="str">
        <f t="shared" si="24"/>
        <v/>
      </c>
      <c r="S294" s="30" t="str">
        <f t="shared" si="25"/>
        <v/>
      </c>
    </row>
    <row r="295" spans="1:19">
      <c r="A295" s="7" t="s">
        <v>346</v>
      </c>
      <c r="B295" s="7"/>
      <c r="C295" s="7"/>
      <c r="D295" s="7"/>
      <c r="E295" s="7"/>
      <c r="F295" s="7"/>
      <c r="H295" s="7"/>
      <c r="I295" s="7"/>
      <c r="J295" s="7"/>
      <c r="K295" s="7"/>
      <c r="L295" s="7"/>
      <c r="O295" s="30" t="str">
        <f t="shared" si="21"/>
        <v/>
      </c>
      <c r="P295" s="30" t="str">
        <f t="shared" si="22"/>
        <v/>
      </c>
      <c r="Q295" s="30" t="str">
        <f t="shared" si="23"/>
        <v/>
      </c>
      <c r="R295" s="30" t="str">
        <f t="shared" si="24"/>
        <v/>
      </c>
      <c r="S295" s="30" t="str">
        <f t="shared" si="25"/>
        <v/>
      </c>
    </row>
    <row r="296" spans="1:19">
      <c r="A296" s="7" t="s">
        <v>347</v>
      </c>
      <c r="B296" s="7"/>
      <c r="C296" s="7"/>
      <c r="D296" s="7"/>
      <c r="E296" s="7"/>
      <c r="F296" s="7"/>
      <c r="H296" s="7"/>
      <c r="I296" s="7"/>
      <c r="J296" s="7"/>
      <c r="K296" s="7"/>
      <c r="L296" s="7"/>
      <c r="O296" s="30" t="str">
        <f t="shared" si="21"/>
        <v/>
      </c>
      <c r="P296" s="30" t="str">
        <f t="shared" si="22"/>
        <v/>
      </c>
      <c r="Q296" s="30" t="str">
        <f t="shared" si="23"/>
        <v/>
      </c>
      <c r="R296" s="30" t="str">
        <f t="shared" si="24"/>
        <v/>
      </c>
      <c r="S296" s="30" t="str">
        <f t="shared" si="25"/>
        <v/>
      </c>
    </row>
    <row r="297" spans="1:19">
      <c r="A297" s="7" t="s">
        <v>348</v>
      </c>
      <c r="B297" s="7"/>
      <c r="C297" s="7"/>
      <c r="D297" s="7"/>
      <c r="E297" s="7"/>
      <c r="F297" s="7"/>
      <c r="H297" s="7"/>
      <c r="I297" s="7"/>
      <c r="J297" s="7"/>
      <c r="K297" s="7"/>
      <c r="L297" s="7"/>
      <c r="O297" s="30" t="str">
        <f t="shared" si="21"/>
        <v/>
      </c>
      <c r="P297" s="30" t="str">
        <f t="shared" si="22"/>
        <v/>
      </c>
      <c r="Q297" s="30" t="str">
        <f t="shared" si="23"/>
        <v/>
      </c>
      <c r="R297" s="30" t="str">
        <f t="shared" si="24"/>
        <v/>
      </c>
      <c r="S297" s="30" t="str">
        <f t="shared" si="25"/>
        <v/>
      </c>
    </row>
    <row r="298" spans="1:19">
      <c r="A298" s="7" t="s">
        <v>349</v>
      </c>
      <c r="B298" s="7"/>
      <c r="C298" s="7"/>
      <c r="D298" s="7"/>
      <c r="E298" s="7"/>
      <c r="F298" s="7"/>
      <c r="H298" s="7"/>
      <c r="I298" s="7"/>
      <c r="J298" s="7"/>
      <c r="K298" s="7"/>
      <c r="L298" s="7"/>
      <c r="O298" s="30" t="str">
        <f t="shared" si="21"/>
        <v/>
      </c>
      <c r="P298" s="30" t="str">
        <f t="shared" si="22"/>
        <v/>
      </c>
      <c r="Q298" s="30" t="str">
        <f t="shared" si="23"/>
        <v/>
      </c>
      <c r="R298" s="30" t="str">
        <f t="shared" si="24"/>
        <v/>
      </c>
      <c r="S298" s="30" t="str">
        <f t="shared" si="25"/>
        <v/>
      </c>
    </row>
    <row r="299" spans="1:19">
      <c r="A299" s="7" t="s">
        <v>350</v>
      </c>
      <c r="B299" s="7"/>
      <c r="C299" s="7"/>
      <c r="D299" s="7"/>
      <c r="E299" s="7"/>
      <c r="F299" s="7"/>
      <c r="H299" s="7"/>
      <c r="I299" s="7"/>
      <c r="J299" s="7"/>
      <c r="K299" s="7"/>
      <c r="L299" s="7"/>
      <c r="O299" s="30" t="str">
        <f t="shared" si="21"/>
        <v/>
      </c>
      <c r="P299" s="30" t="str">
        <f t="shared" si="22"/>
        <v/>
      </c>
      <c r="Q299" s="30" t="str">
        <f t="shared" si="23"/>
        <v/>
      </c>
      <c r="R299" s="30" t="str">
        <f t="shared" si="24"/>
        <v/>
      </c>
      <c r="S299" s="30" t="str">
        <f t="shared" si="25"/>
        <v/>
      </c>
    </row>
    <row r="300" spans="1:19">
      <c r="A300" s="7" t="s">
        <v>351</v>
      </c>
      <c r="B300" s="7"/>
      <c r="C300" s="7"/>
      <c r="D300" s="7"/>
      <c r="E300" s="7"/>
      <c r="F300" s="7"/>
      <c r="H300" s="7"/>
      <c r="I300" s="7"/>
      <c r="J300" s="7"/>
      <c r="K300" s="7"/>
      <c r="L300" s="7"/>
      <c r="O300" s="30" t="str">
        <f t="shared" si="21"/>
        <v/>
      </c>
      <c r="P300" s="30" t="str">
        <f t="shared" si="22"/>
        <v/>
      </c>
      <c r="Q300" s="30" t="str">
        <f t="shared" si="23"/>
        <v/>
      </c>
      <c r="R300" s="30" t="str">
        <f t="shared" si="24"/>
        <v/>
      </c>
      <c r="S300" s="30" t="str">
        <f t="shared" si="25"/>
        <v/>
      </c>
    </row>
    <row r="301" spans="1:19">
      <c r="A301" s="7" t="s">
        <v>352</v>
      </c>
      <c r="B301" s="7"/>
      <c r="C301" s="7"/>
      <c r="D301" s="7"/>
      <c r="E301" s="7"/>
      <c r="F301" s="7"/>
      <c r="H301" s="7"/>
      <c r="I301" s="7"/>
      <c r="J301" s="7"/>
      <c r="K301" s="7"/>
      <c r="L301" s="7"/>
      <c r="O301" s="30" t="str">
        <f t="shared" si="21"/>
        <v/>
      </c>
      <c r="P301" s="30" t="str">
        <f t="shared" si="22"/>
        <v/>
      </c>
      <c r="Q301" s="30" t="str">
        <f t="shared" si="23"/>
        <v/>
      </c>
      <c r="R301" s="30" t="str">
        <f t="shared" si="24"/>
        <v/>
      </c>
      <c r="S301" s="30" t="str">
        <f t="shared" si="25"/>
        <v/>
      </c>
    </row>
    <row r="302" spans="1:19">
      <c r="A302" s="7" t="s">
        <v>353</v>
      </c>
      <c r="B302" s="7"/>
      <c r="C302" s="7"/>
      <c r="D302" s="7"/>
      <c r="E302" s="7"/>
      <c r="F302" s="7"/>
      <c r="H302" s="7"/>
      <c r="I302" s="7"/>
      <c r="J302" s="7"/>
      <c r="K302" s="7"/>
      <c r="L302" s="7"/>
      <c r="O302" s="30" t="str">
        <f t="shared" si="21"/>
        <v/>
      </c>
      <c r="P302" s="30" t="str">
        <f t="shared" si="22"/>
        <v/>
      </c>
      <c r="Q302" s="30" t="str">
        <f t="shared" si="23"/>
        <v/>
      </c>
      <c r="R302" s="30" t="str">
        <f t="shared" si="24"/>
        <v/>
      </c>
      <c r="S302" s="30" t="str">
        <f t="shared" si="25"/>
        <v/>
      </c>
    </row>
    <row r="303" spans="1:19">
      <c r="A303" s="7" t="s">
        <v>354</v>
      </c>
      <c r="B303" s="7"/>
      <c r="C303" s="7"/>
      <c r="D303" s="7"/>
      <c r="E303" s="7"/>
      <c r="F303" s="7"/>
      <c r="H303" s="7"/>
      <c r="I303" s="7"/>
      <c r="J303" s="7"/>
      <c r="K303" s="7"/>
      <c r="L303" s="7"/>
      <c r="O303" s="30" t="str">
        <f t="shared" si="21"/>
        <v/>
      </c>
      <c r="P303" s="30" t="str">
        <f t="shared" si="22"/>
        <v/>
      </c>
      <c r="Q303" s="30" t="str">
        <f t="shared" si="23"/>
        <v/>
      </c>
      <c r="R303" s="30" t="str">
        <f t="shared" si="24"/>
        <v/>
      </c>
      <c r="S303" s="30" t="str">
        <f t="shared" si="25"/>
        <v/>
      </c>
    </row>
    <row r="304" spans="1:19">
      <c r="A304" s="7" t="s">
        <v>355</v>
      </c>
      <c r="B304" s="7"/>
      <c r="C304" s="7"/>
      <c r="D304" s="7"/>
      <c r="E304" s="7"/>
      <c r="F304" s="7"/>
      <c r="H304" s="7"/>
      <c r="I304" s="7"/>
      <c r="J304" s="7"/>
      <c r="K304" s="7"/>
      <c r="L304" s="7"/>
      <c r="O304" s="30" t="str">
        <f t="shared" si="21"/>
        <v/>
      </c>
      <c r="P304" s="30" t="str">
        <f t="shared" si="22"/>
        <v/>
      </c>
      <c r="Q304" s="30" t="str">
        <f t="shared" si="23"/>
        <v/>
      </c>
      <c r="R304" s="30" t="str">
        <f t="shared" si="24"/>
        <v/>
      </c>
      <c r="S304" s="30" t="str">
        <f t="shared" si="25"/>
        <v/>
      </c>
    </row>
    <row r="305" spans="1:19">
      <c r="A305" s="7" t="s">
        <v>356</v>
      </c>
      <c r="B305" s="7"/>
      <c r="C305" s="7"/>
      <c r="D305" s="7"/>
      <c r="E305" s="7"/>
      <c r="F305" s="7"/>
      <c r="H305" s="7"/>
      <c r="I305" s="7"/>
      <c r="J305" s="7"/>
      <c r="K305" s="7"/>
      <c r="L305" s="7"/>
      <c r="O305" s="30" t="str">
        <f t="shared" si="21"/>
        <v/>
      </c>
      <c r="P305" s="30" t="str">
        <f t="shared" si="22"/>
        <v/>
      </c>
      <c r="Q305" s="30" t="str">
        <f t="shared" si="23"/>
        <v/>
      </c>
      <c r="R305" s="30" t="str">
        <f t="shared" si="24"/>
        <v/>
      </c>
      <c r="S305" s="30" t="str">
        <f t="shared" si="25"/>
        <v/>
      </c>
    </row>
    <row r="306" spans="1:19">
      <c r="A306" s="7" t="s">
        <v>357</v>
      </c>
      <c r="B306" s="7"/>
      <c r="C306" s="7"/>
      <c r="D306" s="7"/>
      <c r="E306" s="7"/>
      <c r="F306" s="7"/>
      <c r="H306" s="7"/>
      <c r="I306" s="7"/>
      <c r="J306" s="7"/>
      <c r="K306" s="7"/>
      <c r="L306" s="7"/>
      <c r="O306" s="30" t="str">
        <f t="shared" si="21"/>
        <v/>
      </c>
      <c r="P306" s="30" t="str">
        <f t="shared" si="22"/>
        <v/>
      </c>
      <c r="Q306" s="30" t="str">
        <f t="shared" si="23"/>
        <v/>
      </c>
      <c r="R306" s="30" t="str">
        <f t="shared" si="24"/>
        <v/>
      </c>
      <c r="S306" s="30" t="str">
        <f t="shared" si="25"/>
        <v/>
      </c>
    </row>
    <row r="307" spans="1:19">
      <c r="A307" s="7" t="s">
        <v>358</v>
      </c>
      <c r="B307" s="7"/>
      <c r="C307" s="7"/>
      <c r="D307" s="7"/>
      <c r="E307" s="7"/>
      <c r="F307" s="7"/>
      <c r="H307" s="7"/>
      <c r="I307" s="7"/>
      <c r="J307" s="7"/>
      <c r="K307" s="7"/>
      <c r="L307" s="7"/>
      <c r="O307" s="30" t="str">
        <f t="shared" si="21"/>
        <v/>
      </c>
      <c r="P307" s="30" t="str">
        <f t="shared" si="22"/>
        <v/>
      </c>
      <c r="Q307" s="30" t="str">
        <f t="shared" si="23"/>
        <v/>
      </c>
      <c r="R307" s="30" t="str">
        <f t="shared" si="24"/>
        <v/>
      </c>
      <c r="S307" s="30" t="str">
        <f t="shared" si="25"/>
        <v/>
      </c>
    </row>
    <row r="308" spans="1:19">
      <c r="A308" s="7" t="s">
        <v>359</v>
      </c>
      <c r="B308" s="7"/>
      <c r="C308" s="7"/>
      <c r="D308" s="7"/>
      <c r="E308" s="7"/>
      <c r="F308" s="7"/>
      <c r="H308" s="7"/>
      <c r="I308" s="7"/>
      <c r="J308" s="7"/>
      <c r="K308" s="7"/>
      <c r="L308" s="7"/>
      <c r="O308" s="30" t="str">
        <f t="shared" si="21"/>
        <v/>
      </c>
      <c r="P308" s="30" t="str">
        <f t="shared" si="22"/>
        <v/>
      </c>
      <c r="Q308" s="30" t="str">
        <f t="shared" si="23"/>
        <v/>
      </c>
      <c r="R308" s="30" t="str">
        <f t="shared" si="24"/>
        <v/>
      </c>
      <c r="S308" s="30" t="str">
        <f t="shared" si="25"/>
        <v/>
      </c>
    </row>
    <row r="309" spans="1:19">
      <c r="A309" s="7" t="s">
        <v>360</v>
      </c>
      <c r="B309" s="7"/>
      <c r="C309" s="7"/>
      <c r="D309" s="7"/>
      <c r="E309" s="7"/>
      <c r="F309" s="7"/>
      <c r="H309" s="7"/>
      <c r="I309" s="7"/>
      <c r="J309" s="7"/>
      <c r="K309" s="7"/>
      <c r="L309" s="7"/>
      <c r="O309" s="30" t="str">
        <f t="shared" si="21"/>
        <v/>
      </c>
      <c r="P309" s="30" t="str">
        <f t="shared" si="22"/>
        <v/>
      </c>
      <c r="Q309" s="30" t="str">
        <f t="shared" si="23"/>
        <v/>
      </c>
      <c r="R309" s="30" t="str">
        <f t="shared" si="24"/>
        <v/>
      </c>
      <c r="S309" s="30" t="str">
        <f t="shared" si="25"/>
        <v/>
      </c>
    </row>
    <row r="310" spans="1:19">
      <c r="A310" s="7" t="s">
        <v>361</v>
      </c>
      <c r="B310" s="7"/>
      <c r="C310" s="7"/>
      <c r="D310" s="7"/>
      <c r="E310" s="7"/>
      <c r="F310" s="7"/>
      <c r="H310" s="7"/>
      <c r="I310" s="7"/>
      <c r="J310" s="7"/>
      <c r="K310" s="7"/>
      <c r="L310" s="7"/>
      <c r="O310" s="30" t="str">
        <f t="shared" si="21"/>
        <v/>
      </c>
      <c r="P310" s="30" t="str">
        <f t="shared" si="22"/>
        <v/>
      </c>
      <c r="Q310" s="30" t="str">
        <f t="shared" si="23"/>
        <v/>
      </c>
      <c r="R310" s="30" t="str">
        <f t="shared" si="24"/>
        <v/>
      </c>
      <c r="S310" s="30" t="str">
        <f t="shared" si="25"/>
        <v/>
      </c>
    </row>
    <row r="311" spans="1:19">
      <c r="A311" s="7" t="s">
        <v>362</v>
      </c>
      <c r="B311" s="7"/>
      <c r="C311" s="7"/>
      <c r="D311" s="7"/>
      <c r="E311" s="7"/>
      <c r="F311" s="7"/>
      <c r="H311" s="7"/>
      <c r="I311" s="7"/>
      <c r="J311" s="7"/>
      <c r="K311" s="7"/>
      <c r="L311" s="7"/>
      <c r="O311" s="30" t="str">
        <f t="shared" si="21"/>
        <v/>
      </c>
      <c r="P311" s="30" t="str">
        <f t="shared" si="22"/>
        <v/>
      </c>
      <c r="Q311" s="30" t="str">
        <f t="shared" si="23"/>
        <v/>
      </c>
      <c r="R311" s="30" t="str">
        <f t="shared" si="24"/>
        <v/>
      </c>
      <c r="S311" s="30" t="str">
        <f t="shared" si="25"/>
        <v/>
      </c>
    </row>
    <row r="312" spans="1:19">
      <c r="A312" s="7" t="s">
        <v>363</v>
      </c>
      <c r="B312" s="7"/>
      <c r="C312" s="7"/>
      <c r="D312" s="7"/>
      <c r="E312" s="7"/>
      <c r="F312" s="7"/>
      <c r="H312" s="7"/>
      <c r="I312" s="7"/>
      <c r="J312" s="7"/>
      <c r="K312" s="7"/>
      <c r="L312" s="7"/>
      <c r="O312" s="30" t="str">
        <f t="shared" si="21"/>
        <v/>
      </c>
      <c r="P312" s="30" t="str">
        <f t="shared" si="22"/>
        <v/>
      </c>
      <c r="Q312" s="30" t="str">
        <f t="shared" si="23"/>
        <v/>
      </c>
      <c r="R312" s="30" t="str">
        <f t="shared" si="24"/>
        <v/>
      </c>
      <c r="S312" s="30" t="str">
        <f t="shared" si="25"/>
        <v/>
      </c>
    </row>
    <row r="313" spans="1:19">
      <c r="A313" s="7" t="s">
        <v>364</v>
      </c>
      <c r="B313" s="7"/>
      <c r="C313" s="7"/>
      <c r="D313" s="7"/>
      <c r="E313" s="7"/>
      <c r="F313" s="7"/>
      <c r="H313" s="7"/>
      <c r="I313" s="7"/>
      <c r="J313" s="7"/>
      <c r="K313" s="7"/>
      <c r="L313" s="7"/>
      <c r="O313" s="30" t="str">
        <f t="shared" si="21"/>
        <v/>
      </c>
      <c r="P313" s="30" t="str">
        <f t="shared" si="22"/>
        <v/>
      </c>
      <c r="Q313" s="30" t="str">
        <f t="shared" si="23"/>
        <v/>
      </c>
      <c r="R313" s="30" t="str">
        <f t="shared" si="24"/>
        <v/>
      </c>
      <c r="S313" s="30" t="str">
        <f t="shared" si="25"/>
        <v/>
      </c>
    </row>
    <row r="314" spans="1:19">
      <c r="A314" s="7" t="s">
        <v>365</v>
      </c>
      <c r="B314" s="7"/>
      <c r="C314" s="7"/>
      <c r="D314" s="7"/>
      <c r="E314" s="7"/>
      <c r="F314" s="7"/>
      <c r="H314" s="7"/>
      <c r="I314" s="7"/>
      <c r="J314" s="7"/>
      <c r="K314" s="7"/>
      <c r="L314" s="7"/>
      <c r="O314" s="30" t="str">
        <f t="shared" si="21"/>
        <v/>
      </c>
      <c r="P314" s="30" t="str">
        <f t="shared" si="22"/>
        <v/>
      </c>
      <c r="Q314" s="30" t="str">
        <f t="shared" si="23"/>
        <v/>
      </c>
      <c r="R314" s="30" t="str">
        <f t="shared" si="24"/>
        <v/>
      </c>
      <c r="S314" s="30" t="str">
        <f t="shared" si="25"/>
        <v/>
      </c>
    </row>
    <row r="315" spans="1:19">
      <c r="A315" s="7" t="s">
        <v>366</v>
      </c>
      <c r="B315" s="7"/>
      <c r="C315" s="7"/>
      <c r="D315" s="7"/>
      <c r="E315" s="7"/>
      <c r="F315" s="7"/>
      <c r="H315" s="7"/>
      <c r="I315" s="7"/>
      <c r="J315" s="7"/>
      <c r="K315" s="7"/>
      <c r="L315" s="7"/>
      <c r="O315" s="30" t="str">
        <f t="shared" si="21"/>
        <v/>
      </c>
      <c r="P315" s="30" t="str">
        <f t="shared" si="22"/>
        <v/>
      </c>
      <c r="Q315" s="30" t="str">
        <f t="shared" si="23"/>
        <v/>
      </c>
      <c r="R315" s="30" t="str">
        <f t="shared" si="24"/>
        <v/>
      </c>
      <c r="S315" s="30" t="str">
        <f t="shared" si="25"/>
        <v/>
      </c>
    </row>
    <row r="316" spans="1:19">
      <c r="A316" s="7" t="s">
        <v>367</v>
      </c>
      <c r="B316" s="7"/>
      <c r="C316" s="7"/>
      <c r="D316" s="7"/>
      <c r="E316" s="7"/>
      <c r="F316" s="7"/>
      <c r="H316" s="7"/>
      <c r="I316" s="7"/>
      <c r="J316" s="7"/>
      <c r="K316" s="7"/>
      <c r="L316" s="7"/>
      <c r="O316" s="30" t="str">
        <f t="shared" si="21"/>
        <v/>
      </c>
      <c r="P316" s="30" t="str">
        <f t="shared" si="22"/>
        <v/>
      </c>
      <c r="Q316" s="30" t="str">
        <f t="shared" si="23"/>
        <v/>
      </c>
      <c r="R316" s="30" t="str">
        <f t="shared" si="24"/>
        <v/>
      </c>
      <c r="S316" s="30" t="str">
        <f t="shared" si="25"/>
        <v/>
      </c>
    </row>
    <row r="317" spans="1:19">
      <c r="A317" s="7" t="s">
        <v>368</v>
      </c>
      <c r="B317" s="7"/>
      <c r="C317" s="7"/>
      <c r="D317" s="7"/>
      <c r="E317" s="7"/>
      <c r="F317" s="7"/>
      <c r="H317" s="7"/>
      <c r="I317" s="7"/>
      <c r="J317" s="7"/>
      <c r="K317" s="7"/>
      <c r="L317" s="7"/>
      <c r="O317" s="30" t="str">
        <f t="shared" si="21"/>
        <v/>
      </c>
      <c r="P317" s="30" t="str">
        <f t="shared" si="22"/>
        <v/>
      </c>
      <c r="Q317" s="30" t="str">
        <f t="shared" si="23"/>
        <v/>
      </c>
      <c r="R317" s="30" t="str">
        <f t="shared" si="24"/>
        <v/>
      </c>
      <c r="S317" s="30" t="str">
        <f t="shared" si="25"/>
        <v/>
      </c>
    </row>
    <row r="318" spans="1:19">
      <c r="A318" s="7" t="s">
        <v>369</v>
      </c>
      <c r="B318" s="7"/>
      <c r="C318" s="7"/>
      <c r="D318" s="7"/>
      <c r="E318" s="7"/>
      <c r="F318" s="7"/>
      <c r="H318" s="7"/>
      <c r="I318" s="7"/>
      <c r="J318" s="7"/>
      <c r="K318" s="7"/>
      <c r="L318" s="7"/>
      <c r="O318" s="30" t="str">
        <f t="shared" si="21"/>
        <v/>
      </c>
      <c r="P318" s="30" t="str">
        <f t="shared" si="22"/>
        <v/>
      </c>
      <c r="Q318" s="30" t="str">
        <f t="shared" si="23"/>
        <v/>
      </c>
      <c r="R318" s="30" t="str">
        <f t="shared" si="24"/>
        <v/>
      </c>
      <c r="S318" s="30" t="str">
        <f t="shared" si="25"/>
        <v/>
      </c>
    </row>
    <row r="319" spans="1:19">
      <c r="A319" s="7" t="s">
        <v>370</v>
      </c>
      <c r="B319" s="7"/>
      <c r="C319" s="7"/>
      <c r="D319" s="7"/>
      <c r="E319" s="7"/>
      <c r="F319" s="7"/>
      <c r="H319" s="7"/>
      <c r="I319" s="7"/>
      <c r="J319" s="7"/>
      <c r="K319" s="7"/>
      <c r="L319" s="7"/>
      <c r="O319" s="30" t="str">
        <f t="shared" si="21"/>
        <v/>
      </c>
      <c r="P319" s="30" t="str">
        <f t="shared" si="22"/>
        <v/>
      </c>
      <c r="Q319" s="30" t="str">
        <f t="shared" si="23"/>
        <v/>
      </c>
      <c r="R319" s="30" t="str">
        <f t="shared" si="24"/>
        <v/>
      </c>
      <c r="S319" s="30" t="str">
        <f t="shared" si="25"/>
        <v/>
      </c>
    </row>
    <row r="320" spans="1:19">
      <c r="A320" s="7" t="s">
        <v>371</v>
      </c>
      <c r="B320" s="7"/>
      <c r="C320" s="7"/>
      <c r="D320" s="7"/>
      <c r="E320" s="7"/>
      <c r="F320" s="7"/>
      <c r="H320" s="7"/>
      <c r="I320" s="7"/>
      <c r="J320" s="7"/>
      <c r="K320" s="7"/>
      <c r="L320" s="7"/>
      <c r="O320" s="30" t="str">
        <f t="shared" si="21"/>
        <v/>
      </c>
      <c r="P320" s="30" t="str">
        <f t="shared" si="22"/>
        <v/>
      </c>
      <c r="Q320" s="30" t="str">
        <f t="shared" si="23"/>
        <v/>
      </c>
      <c r="R320" s="30" t="str">
        <f t="shared" si="24"/>
        <v/>
      </c>
      <c r="S320" s="30" t="str">
        <f t="shared" si="25"/>
        <v/>
      </c>
    </row>
    <row r="321" spans="1:19">
      <c r="A321" s="7" t="s">
        <v>372</v>
      </c>
      <c r="B321" s="7"/>
      <c r="C321" s="7"/>
      <c r="D321" s="7"/>
      <c r="E321" s="7"/>
      <c r="F321" s="7"/>
      <c r="H321" s="7"/>
      <c r="I321" s="7"/>
      <c r="J321" s="7"/>
      <c r="K321" s="7"/>
      <c r="L321" s="7"/>
      <c r="O321" s="30" t="str">
        <f t="shared" si="21"/>
        <v/>
      </c>
      <c r="P321" s="30" t="str">
        <f t="shared" si="22"/>
        <v/>
      </c>
      <c r="Q321" s="30" t="str">
        <f t="shared" si="23"/>
        <v/>
      </c>
      <c r="R321" s="30" t="str">
        <f t="shared" si="24"/>
        <v/>
      </c>
      <c r="S321" s="30" t="str">
        <f t="shared" si="25"/>
        <v/>
      </c>
    </row>
    <row r="322" spans="1:19">
      <c r="A322" s="7" t="s">
        <v>373</v>
      </c>
      <c r="B322" s="7"/>
      <c r="C322" s="7"/>
      <c r="D322" s="7"/>
      <c r="E322" s="7"/>
      <c r="F322" s="7"/>
      <c r="H322" s="7"/>
      <c r="I322" s="7"/>
      <c r="J322" s="7"/>
      <c r="K322" s="7"/>
      <c r="L322" s="7"/>
      <c r="O322" s="30" t="str">
        <f t="shared" si="21"/>
        <v/>
      </c>
      <c r="P322" s="30" t="str">
        <f t="shared" si="22"/>
        <v/>
      </c>
      <c r="Q322" s="30" t="str">
        <f t="shared" si="23"/>
        <v/>
      </c>
      <c r="R322" s="30" t="str">
        <f t="shared" si="24"/>
        <v/>
      </c>
      <c r="S322" s="30" t="str">
        <f t="shared" si="25"/>
        <v/>
      </c>
    </row>
    <row r="323" spans="1:19">
      <c r="A323" s="7" t="s">
        <v>374</v>
      </c>
      <c r="B323" s="7"/>
      <c r="C323" s="7"/>
      <c r="D323" s="7"/>
      <c r="E323" s="7"/>
      <c r="F323" s="7"/>
      <c r="H323" s="7"/>
      <c r="I323" s="7"/>
      <c r="J323" s="7"/>
      <c r="K323" s="7"/>
      <c r="L323" s="7"/>
      <c r="O323" s="30" t="str">
        <f t="shared" si="21"/>
        <v/>
      </c>
      <c r="P323" s="30" t="str">
        <f t="shared" si="22"/>
        <v/>
      </c>
      <c r="Q323" s="30" t="str">
        <f t="shared" si="23"/>
        <v/>
      </c>
      <c r="R323" s="30" t="str">
        <f t="shared" si="24"/>
        <v/>
      </c>
      <c r="S323" s="30" t="str">
        <f t="shared" si="25"/>
        <v/>
      </c>
    </row>
    <row r="324" spans="1:19">
      <c r="A324" s="7" t="s">
        <v>375</v>
      </c>
      <c r="B324" s="7"/>
      <c r="C324" s="7"/>
      <c r="D324" s="7"/>
      <c r="E324" s="7"/>
      <c r="F324" s="7"/>
      <c r="H324" s="7"/>
      <c r="I324" s="7"/>
      <c r="J324" s="7"/>
      <c r="K324" s="7"/>
      <c r="L324" s="7"/>
      <c r="O324" s="30" t="str">
        <f t="shared" si="21"/>
        <v/>
      </c>
      <c r="P324" s="30" t="str">
        <f t="shared" si="22"/>
        <v/>
      </c>
      <c r="Q324" s="30" t="str">
        <f t="shared" si="23"/>
        <v/>
      </c>
      <c r="R324" s="30" t="str">
        <f t="shared" si="24"/>
        <v/>
      </c>
      <c r="S324" s="30" t="str">
        <f t="shared" si="25"/>
        <v/>
      </c>
    </row>
    <row r="325" spans="1:19">
      <c r="A325" s="7" t="s">
        <v>376</v>
      </c>
      <c r="B325" s="7"/>
      <c r="C325" s="7"/>
      <c r="D325" s="7"/>
      <c r="E325" s="7"/>
      <c r="F325" s="7"/>
      <c r="H325" s="7"/>
      <c r="I325" s="7"/>
      <c r="J325" s="7"/>
      <c r="K325" s="7"/>
      <c r="L325" s="7"/>
      <c r="O325" s="30" t="str">
        <f t="shared" si="21"/>
        <v/>
      </c>
      <c r="P325" s="30" t="str">
        <f t="shared" si="22"/>
        <v/>
      </c>
      <c r="Q325" s="30" t="str">
        <f t="shared" si="23"/>
        <v/>
      </c>
      <c r="R325" s="30" t="str">
        <f t="shared" si="24"/>
        <v/>
      </c>
      <c r="S325" s="30" t="str">
        <f t="shared" si="25"/>
        <v/>
      </c>
    </row>
    <row r="326" spans="1:19">
      <c r="A326" s="7" t="s">
        <v>377</v>
      </c>
      <c r="B326" s="7"/>
      <c r="C326" s="7"/>
      <c r="D326" s="7"/>
      <c r="E326" s="7"/>
      <c r="F326" s="7"/>
      <c r="H326" s="7"/>
      <c r="I326" s="7"/>
      <c r="J326" s="7"/>
      <c r="K326" s="7"/>
      <c r="L326" s="7"/>
      <c r="O326" s="30" t="str">
        <f t="shared" si="21"/>
        <v/>
      </c>
      <c r="P326" s="30" t="str">
        <f t="shared" si="22"/>
        <v/>
      </c>
      <c r="Q326" s="30" t="str">
        <f t="shared" si="23"/>
        <v/>
      </c>
      <c r="R326" s="30" t="str">
        <f t="shared" si="24"/>
        <v/>
      </c>
      <c r="S326" s="30" t="str">
        <f t="shared" si="25"/>
        <v/>
      </c>
    </row>
    <row r="327" spans="1:19">
      <c r="A327" s="7" t="s">
        <v>378</v>
      </c>
      <c r="B327" s="7"/>
      <c r="C327" s="7"/>
      <c r="D327" s="7"/>
      <c r="E327" s="7"/>
      <c r="F327" s="7"/>
      <c r="H327" s="7"/>
      <c r="I327" s="7"/>
      <c r="J327" s="7"/>
      <c r="K327" s="7"/>
      <c r="L327" s="7"/>
      <c r="O327" s="30" t="str">
        <f t="shared" si="21"/>
        <v/>
      </c>
      <c r="P327" s="30" t="str">
        <f t="shared" si="22"/>
        <v/>
      </c>
      <c r="Q327" s="30" t="str">
        <f t="shared" si="23"/>
        <v/>
      </c>
      <c r="R327" s="30" t="str">
        <f t="shared" si="24"/>
        <v/>
      </c>
      <c r="S327" s="30" t="str">
        <f t="shared" si="25"/>
        <v/>
      </c>
    </row>
    <row r="328" spans="1:19">
      <c r="A328" s="7" t="s">
        <v>379</v>
      </c>
      <c r="B328" s="7"/>
      <c r="C328" s="7"/>
      <c r="D328" s="7"/>
      <c r="E328" s="7"/>
      <c r="F328" s="7"/>
      <c r="H328" s="7"/>
      <c r="I328" s="7"/>
      <c r="J328" s="7"/>
      <c r="K328" s="7"/>
      <c r="L328" s="7"/>
      <c r="O328" s="30" t="str">
        <f t="shared" si="21"/>
        <v/>
      </c>
      <c r="P328" s="30" t="str">
        <f t="shared" si="22"/>
        <v/>
      </c>
      <c r="Q328" s="30" t="str">
        <f t="shared" si="23"/>
        <v/>
      </c>
      <c r="R328" s="30" t="str">
        <f t="shared" si="24"/>
        <v/>
      </c>
      <c r="S328" s="30" t="str">
        <f t="shared" si="25"/>
        <v/>
      </c>
    </row>
    <row r="329" spans="1:19">
      <c r="A329" s="7" t="s">
        <v>380</v>
      </c>
      <c r="B329" s="7"/>
      <c r="C329" s="7"/>
      <c r="D329" s="7"/>
      <c r="E329" s="7"/>
      <c r="F329" s="7"/>
      <c r="H329" s="7"/>
      <c r="I329" s="7"/>
      <c r="J329" s="7"/>
      <c r="K329" s="7"/>
      <c r="L329" s="7"/>
      <c r="O329" s="30" t="str">
        <f t="shared" ref="O329:O392" si="26">IF(H329&gt;0,"Angebot offen","")</f>
        <v/>
      </c>
      <c r="P329" s="30" t="str">
        <f t="shared" ref="P329:P392" si="27">IF(I329&gt;0,"Angebot offen","")</f>
        <v/>
      </c>
      <c r="Q329" s="30" t="str">
        <f t="shared" ref="Q329:Q392" si="28">IF(J329&gt;0,"Angebot offen","")</f>
        <v/>
      </c>
      <c r="R329" s="30" t="str">
        <f t="shared" ref="R329:R392" si="29">IF(K329&gt;0,"Angebot offen","")</f>
        <v/>
      </c>
      <c r="S329" s="30" t="str">
        <f t="shared" ref="S329:S392" si="30">IF(L329&gt;0,"Angebot offen","")</f>
        <v/>
      </c>
    </row>
    <row r="330" spans="1:19">
      <c r="A330" s="7" t="s">
        <v>381</v>
      </c>
      <c r="B330" s="7"/>
      <c r="C330" s="7"/>
      <c r="D330" s="7"/>
      <c r="E330" s="7"/>
      <c r="F330" s="7"/>
      <c r="H330" s="7"/>
      <c r="I330" s="7"/>
      <c r="J330" s="7"/>
      <c r="K330" s="7"/>
      <c r="L330" s="7"/>
      <c r="O330" s="30" t="str">
        <f t="shared" si="26"/>
        <v/>
      </c>
      <c r="P330" s="30" t="str">
        <f t="shared" si="27"/>
        <v/>
      </c>
      <c r="Q330" s="30" t="str">
        <f t="shared" si="28"/>
        <v/>
      </c>
      <c r="R330" s="30" t="str">
        <f t="shared" si="29"/>
        <v/>
      </c>
      <c r="S330" s="30" t="str">
        <f t="shared" si="30"/>
        <v/>
      </c>
    </row>
    <row r="331" spans="1:19">
      <c r="A331" s="7" t="s">
        <v>382</v>
      </c>
      <c r="B331" s="7"/>
      <c r="C331" s="7"/>
      <c r="D331" s="7"/>
      <c r="E331" s="7"/>
      <c r="F331" s="7"/>
      <c r="H331" s="7"/>
      <c r="I331" s="7"/>
      <c r="J331" s="7"/>
      <c r="K331" s="7"/>
      <c r="L331" s="7"/>
      <c r="O331" s="30" t="str">
        <f t="shared" si="26"/>
        <v/>
      </c>
      <c r="P331" s="30" t="str">
        <f t="shared" si="27"/>
        <v/>
      </c>
      <c r="Q331" s="30" t="str">
        <f t="shared" si="28"/>
        <v/>
      </c>
      <c r="R331" s="30" t="str">
        <f t="shared" si="29"/>
        <v/>
      </c>
      <c r="S331" s="30" t="str">
        <f t="shared" si="30"/>
        <v/>
      </c>
    </row>
    <row r="332" spans="1:19">
      <c r="A332" s="7" t="s">
        <v>383</v>
      </c>
      <c r="B332" s="7"/>
      <c r="C332" s="7"/>
      <c r="D332" s="7"/>
      <c r="E332" s="7"/>
      <c r="F332" s="7"/>
      <c r="H332" s="7"/>
      <c r="I332" s="7"/>
      <c r="J332" s="7"/>
      <c r="K332" s="7"/>
      <c r="L332" s="7"/>
      <c r="O332" s="30" t="str">
        <f t="shared" si="26"/>
        <v/>
      </c>
      <c r="P332" s="30" t="str">
        <f t="shared" si="27"/>
        <v/>
      </c>
      <c r="Q332" s="30" t="str">
        <f t="shared" si="28"/>
        <v/>
      </c>
      <c r="R332" s="30" t="str">
        <f t="shared" si="29"/>
        <v/>
      </c>
      <c r="S332" s="30" t="str">
        <f t="shared" si="30"/>
        <v/>
      </c>
    </row>
    <row r="333" spans="1:19">
      <c r="A333" s="7" t="s">
        <v>384</v>
      </c>
      <c r="B333" s="7"/>
      <c r="C333" s="7"/>
      <c r="D333" s="7"/>
      <c r="E333" s="7"/>
      <c r="F333" s="7"/>
      <c r="H333" s="7"/>
      <c r="I333" s="7"/>
      <c r="J333" s="7"/>
      <c r="K333" s="7"/>
      <c r="L333" s="7"/>
      <c r="O333" s="30" t="str">
        <f t="shared" si="26"/>
        <v/>
      </c>
      <c r="P333" s="30" t="str">
        <f t="shared" si="27"/>
        <v/>
      </c>
      <c r="Q333" s="30" t="str">
        <f t="shared" si="28"/>
        <v/>
      </c>
      <c r="R333" s="30" t="str">
        <f t="shared" si="29"/>
        <v/>
      </c>
      <c r="S333" s="30" t="str">
        <f t="shared" si="30"/>
        <v/>
      </c>
    </row>
    <row r="334" spans="1:19">
      <c r="A334" s="7" t="s">
        <v>385</v>
      </c>
      <c r="B334" s="7"/>
      <c r="C334" s="7"/>
      <c r="D334" s="7"/>
      <c r="E334" s="7"/>
      <c r="F334" s="7"/>
      <c r="H334" s="7"/>
      <c r="I334" s="7"/>
      <c r="J334" s="7"/>
      <c r="K334" s="7"/>
      <c r="L334" s="7"/>
      <c r="O334" s="30" t="str">
        <f t="shared" si="26"/>
        <v/>
      </c>
      <c r="P334" s="30" t="str">
        <f t="shared" si="27"/>
        <v/>
      </c>
      <c r="Q334" s="30" t="str">
        <f t="shared" si="28"/>
        <v/>
      </c>
      <c r="R334" s="30" t="str">
        <f t="shared" si="29"/>
        <v/>
      </c>
      <c r="S334" s="30" t="str">
        <f t="shared" si="30"/>
        <v/>
      </c>
    </row>
    <row r="335" spans="1:19">
      <c r="A335" s="7" t="s">
        <v>386</v>
      </c>
      <c r="B335" s="7"/>
      <c r="C335" s="7"/>
      <c r="D335" s="7"/>
      <c r="E335" s="7"/>
      <c r="F335" s="7"/>
      <c r="H335" s="7"/>
      <c r="I335" s="7"/>
      <c r="J335" s="7"/>
      <c r="K335" s="7"/>
      <c r="L335" s="7"/>
      <c r="O335" s="30" t="str">
        <f t="shared" si="26"/>
        <v/>
      </c>
      <c r="P335" s="30" t="str">
        <f t="shared" si="27"/>
        <v/>
      </c>
      <c r="Q335" s="30" t="str">
        <f t="shared" si="28"/>
        <v/>
      </c>
      <c r="R335" s="30" t="str">
        <f t="shared" si="29"/>
        <v/>
      </c>
      <c r="S335" s="30" t="str">
        <f t="shared" si="30"/>
        <v/>
      </c>
    </row>
    <row r="336" spans="1:19">
      <c r="A336" s="7" t="s">
        <v>387</v>
      </c>
      <c r="B336" s="7"/>
      <c r="C336" s="7"/>
      <c r="D336" s="7"/>
      <c r="E336" s="7"/>
      <c r="F336" s="7"/>
      <c r="H336" s="7"/>
      <c r="I336" s="7"/>
      <c r="J336" s="7"/>
      <c r="K336" s="7"/>
      <c r="L336" s="7"/>
      <c r="O336" s="30" t="str">
        <f t="shared" si="26"/>
        <v/>
      </c>
      <c r="P336" s="30" t="str">
        <f t="shared" si="27"/>
        <v/>
      </c>
      <c r="Q336" s="30" t="str">
        <f t="shared" si="28"/>
        <v/>
      </c>
      <c r="R336" s="30" t="str">
        <f t="shared" si="29"/>
        <v/>
      </c>
      <c r="S336" s="30" t="str">
        <f t="shared" si="30"/>
        <v/>
      </c>
    </row>
    <row r="337" spans="1:19">
      <c r="A337" s="7" t="s">
        <v>388</v>
      </c>
      <c r="B337" s="7"/>
      <c r="C337" s="7"/>
      <c r="D337" s="7"/>
      <c r="E337" s="7"/>
      <c r="F337" s="7"/>
      <c r="H337" s="7"/>
      <c r="I337" s="7"/>
      <c r="J337" s="7"/>
      <c r="K337" s="7"/>
      <c r="L337" s="7"/>
      <c r="O337" s="30" t="str">
        <f t="shared" si="26"/>
        <v/>
      </c>
      <c r="P337" s="30" t="str">
        <f t="shared" si="27"/>
        <v/>
      </c>
      <c r="Q337" s="30" t="str">
        <f t="shared" si="28"/>
        <v/>
      </c>
      <c r="R337" s="30" t="str">
        <f t="shared" si="29"/>
        <v/>
      </c>
      <c r="S337" s="30" t="str">
        <f t="shared" si="30"/>
        <v/>
      </c>
    </row>
    <row r="338" spans="1:19">
      <c r="A338" s="7" t="s">
        <v>389</v>
      </c>
      <c r="B338" s="7"/>
      <c r="C338" s="7"/>
      <c r="D338" s="7"/>
      <c r="E338" s="7"/>
      <c r="F338" s="7"/>
      <c r="H338" s="7"/>
      <c r="I338" s="7"/>
      <c r="J338" s="7"/>
      <c r="K338" s="7"/>
      <c r="L338" s="7"/>
      <c r="O338" s="30" t="str">
        <f t="shared" si="26"/>
        <v/>
      </c>
      <c r="P338" s="30" t="str">
        <f t="shared" si="27"/>
        <v/>
      </c>
      <c r="Q338" s="30" t="str">
        <f t="shared" si="28"/>
        <v/>
      </c>
      <c r="R338" s="30" t="str">
        <f t="shared" si="29"/>
        <v/>
      </c>
      <c r="S338" s="30" t="str">
        <f t="shared" si="30"/>
        <v/>
      </c>
    </row>
    <row r="339" spans="1:19">
      <c r="A339" s="7" t="s">
        <v>390</v>
      </c>
      <c r="B339" s="7"/>
      <c r="C339" s="7"/>
      <c r="D339" s="7"/>
      <c r="E339" s="7"/>
      <c r="F339" s="7"/>
      <c r="H339" s="7"/>
      <c r="I339" s="7"/>
      <c r="J339" s="7"/>
      <c r="K339" s="7"/>
      <c r="L339" s="7"/>
      <c r="O339" s="30" t="str">
        <f t="shared" si="26"/>
        <v/>
      </c>
      <c r="P339" s="30" t="str">
        <f t="shared" si="27"/>
        <v/>
      </c>
      <c r="Q339" s="30" t="str">
        <f t="shared" si="28"/>
        <v/>
      </c>
      <c r="R339" s="30" t="str">
        <f t="shared" si="29"/>
        <v/>
      </c>
      <c r="S339" s="30" t="str">
        <f t="shared" si="30"/>
        <v/>
      </c>
    </row>
    <row r="340" spans="1:19">
      <c r="A340" s="7" t="s">
        <v>391</v>
      </c>
      <c r="B340" s="7"/>
      <c r="C340" s="7"/>
      <c r="D340" s="7"/>
      <c r="E340" s="7"/>
      <c r="F340" s="7"/>
      <c r="H340" s="7"/>
      <c r="I340" s="7"/>
      <c r="J340" s="7"/>
      <c r="K340" s="7"/>
      <c r="L340" s="7"/>
      <c r="O340" s="30" t="str">
        <f t="shared" si="26"/>
        <v/>
      </c>
      <c r="P340" s="30" t="str">
        <f t="shared" si="27"/>
        <v/>
      </c>
      <c r="Q340" s="30" t="str">
        <f t="shared" si="28"/>
        <v/>
      </c>
      <c r="R340" s="30" t="str">
        <f t="shared" si="29"/>
        <v/>
      </c>
      <c r="S340" s="30" t="str">
        <f t="shared" si="30"/>
        <v/>
      </c>
    </row>
    <row r="341" spans="1:19">
      <c r="A341" s="7" t="s">
        <v>392</v>
      </c>
      <c r="B341" s="7"/>
      <c r="C341" s="7"/>
      <c r="D341" s="7"/>
      <c r="E341" s="7"/>
      <c r="F341" s="7"/>
      <c r="H341" s="7"/>
      <c r="I341" s="7"/>
      <c r="J341" s="7"/>
      <c r="K341" s="7"/>
      <c r="L341" s="7"/>
      <c r="O341" s="30" t="str">
        <f t="shared" si="26"/>
        <v/>
      </c>
      <c r="P341" s="30" t="str">
        <f t="shared" si="27"/>
        <v/>
      </c>
      <c r="Q341" s="30" t="str">
        <f t="shared" si="28"/>
        <v/>
      </c>
      <c r="R341" s="30" t="str">
        <f t="shared" si="29"/>
        <v/>
      </c>
      <c r="S341" s="30" t="str">
        <f t="shared" si="30"/>
        <v/>
      </c>
    </row>
    <row r="342" spans="1:19">
      <c r="A342" s="7" t="s">
        <v>393</v>
      </c>
      <c r="B342" s="7"/>
      <c r="C342" s="7"/>
      <c r="D342" s="7"/>
      <c r="E342" s="7"/>
      <c r="F342" s="7"/>
      <c r="H342" s="7"/>
      <c r="I342" s="7"/>
      <c r="J342" s="7"/>
      <c r="K342" s="7"/>
      <c r="L342" s="7"/>
      <c r="O342" s="30" t="str">
        <f t="shared" si="26"/>
        <v/>
      </c>
      <c r="P342" s="30" t="str">
        <f t="shared" si="27"/>
        <v/>
      </c>
      <c r="Q342" s="30" t="str">
        <f t="shared" si="28"/>
        <v/>
      </c>
      <c r="R342" s="30" t="str">
        <f t="shared" si="29"/>
        <v/>
      </c>
      <c r="S342" s="30" t="str">
        <f t="shared" si="30"/>
        <v/>
      </c>
    </row>
    <row r="343" spans="1:19">
      <c r="A343" s="7" t="s">
        <v>394</v>
      </c>
      <c r="B343" s="7"/>
      <c r="C343" s="7"/>
      <c r="D343" s="7"/>
      <c r="E343" s="7"/>
      <c r="F343" s="7"/>
      <c r="H343" s="7"/>
      <c r="I343" s="7"/>
      <c r="J343" s="7"/>
      <c r="K343" s="7"/>
      <c r="L343" s="7"/>
      <c r="O343" s="30" t="str">
        <f t="shared" si="26"/>
        <v/>
      </c>
      <c r="P343" s="30" t="str">
        <f t="shared" si="27"/>
        <v/>
      </c>
      <c r="Q343" s="30" t="str">
        <f t="shared" si="28"/>
        <v/>
      </c>
      <c r="R343" s="30" t="str">
        <f t="shared" si="29"/>
        <v/>
      </c>
      <c r="S343" s="30" t="str">
        <f t="shared" si="30"/>
        <v/>
      </c>
    </row>
    <row r="344" spans="1:19">
      <c r="A344" s="7" t="s">
        <v>395</v>
      </c>
      <c r="B344" s="7"/>
      <c r="C344" s="7"/>
      <c r="D344" s="7"/>
      <c r="E344" s="7"/>
      <c r="F344" s="7"/>
      <c r="H344" s="7"/>
      <c r="I344" s="7"/>
      <c r="J344" s="7"/>
      <c r="K344" s="7"/>
      <c r="L344" s="7"/>
      <c r="O344" s="30" t="str">
        <f t="shared" si="26"/>
        <v/>
      </c>
      <c r="P344" s="30" t="str">
        <f t="shared" si="27"/>
        <v/>
      </c>
      <c r="Q344" s="30" t="str">
        <f t="shared" si="28"/>
        <v/>
      </c>
      <c r="R344" s="30" t="str">
        <f t="shared" si="29"/>
        <v/>
      </c>
      <c r="S344" s="30" t="str">
        <f t="shared" si="30"/>
        <v/>
      </c>
    </row>
    <row r="345" spans="1:19">
      <c r="A345" s="7" t="s">
        <v>396</v>
      </c>
      <c r="B345" s="7"/>
      <c r="C345" s="7"/>
      <c r="D345" s="7"/>
      <c r="E345" s="7"/>
      <c r="F345" s="7"/>
      <c r="H345" s="7"/>
      <c r="I345" s="7"/>
      <c r="J345" s="7"/>
      <c r="K345" s="7"/>
      <c r="L345" s="7"/>
      <c r="O345" s="30" t="str">
        <f t="shared" si="26"/>
        <v/>
      </c>
      <c r="P345" s="30" t="str">
        <f t="shared" si="27"/>
        <v/>
      </c>
      <c r="Q345" s="30" t="str">
        <f t="shared" si="28"/>
        <v/>
      </c>
      <c r="R345" s="30" t="str">
        <f t="shared" si="29"/>
        <v/>
      </c>
      <c r="S345" s="30" t="str">
        <f t="shared" si="30"/>
        <v/>
      </c>
    </row>
    <row r="346" spans="1:19">
      <c r="A346" s="7" t="s">
        <v>397</v>
      </c>
      <c r="B346" s="7"/>
      <c r="C346" s="7"/>
      <c r="D346" s="7"/>
      <c r="E346" s="7"/>
      <c r="F346" s="7"/>
      <c r="H346" s="7"/>
      <c r="I346" s="7"/>
      <c r="J346" s="7"/>
      <c r="K346" s="7"/>
      <c r="L346" s="7"/>
      <c r="O346" s="30" t="str">
        <f t="shared" si="26"/>
        <v/>
      </c>
      <c r="P346" s="30" t="str">
        <f t="shared" si="27"/>
        <v/>
      </c>
      <c r="Q346" s="30" t="str">
        <f t="shared" si="28"/>
        <v/>
      </c>
      <c r="R346" s="30" t="str">
        <f t="shared" si="29"/>
        <v/>
      </c>
      <c r="S346" s="30" t="str">
        <f t="shared" si="30"/>
        <v/>
      </c>
    </row>
    <row r="347" spans="1:19">
      <c r="A347" s="7" t="s">
        <v>398</v>
      </c>
      <c r="B347" s="7"/>
      <c r="C347" s="7"/>
      <c r="D347" s="7"/>
      <c r="E347" s="7"/>
      <c r="F347" s="7"/>
      <c r="H347" s="7"/>
      <c r="I347" s="7"/>
      <c r="J347" s="7"/>
      <c r="K347" s="7"/>
      <c r="L347" s="7"/>
      <c r="O347" s="30" t="str">
        <f t="shared" si="26"/>
        <v/>
      </c>
      <c r="P347" s="30" t="str">
        <f t="shared" si="27"/>
        <v/>
      </c>
      <c r="Q347" s="30" t="str">
        <f t="shared" si="28"/>
        <v/>
      </c>
      <c r="R347" s="30" t="str">
        <f t="shared" si="29"/>
        <v/>
      </c>
      <c r="S347" s="30" t="str">
        <f t="shared" si="30"/>
        <v/>
      </c>
    </row>
    <row r="348" spans="1:19">
      <c r="A348" s="7" t="s">
        <v>399</v>
      </c>
      <c r="B348" s="7"/>
      <c r="C348" s="7"/>
      <c r="D348" s="7"/>
      <c r="E348" s="7"/>
      <c r="F348" s="7"/>
      <c r="H348" s="7"/>
      <c r="I348" s="7"/>
      <c r="J348" s="7"/>
      <c r="K348" s="7"/>
      <c r="L348" s="7"/>
      <c r="O348" s="30" t="str">
        <f t="shared" si="26"/>
        <v/>
      </c>
      <c r="P348" s="30" t="str">
        <f t="shared" si="27"/>
        <v/>
      </c>
      <c r="Q348" s="30" t="str">
        <f t="shared" si="28"/>
        <v/>
      </c>
      <c r="R348" s="30" t="str">
        <f t="shared" si="29"/>
        <v/>
      </c>
      <c r="S348" s="30" t="str">
        <f t="shared" si="30"/>
        <v/>
      </c>
    </row>
    <row r="349" spans="1:19">
      <c r="A349" s="7" t="s">
        <v>400</v>
      </c>
      <c r="B349" s="7"/>
      <c r="C349" s="7"/>
      <c r="D349" s="7"/>
      <c r="E349" s="7"/>
      <c r="F349" s="7"/>
      <c r="H349" s="7"/>
      <c r="I349" s="7"/>
      <c r="J349" s="7"/>
      <c r="K349" s="7"/>
      <c r="L349" s="7"/>
      <c r="O349" s="30" t="str">
        <f t="shared" si="26"/>
        <v/>
      </c>
      <c r="P349" s="30" t="str">
        <f t="shared" si="27"/>
        <v/>
      </c>
      <c r="Q349" s="30" t="str">
        <f t="shared" si="28"/>
        <v/>
      </c>
      <c r="R349" s="30" t="str">
        <f t="shared" si="29"/>
        <v/>
      </c>
      <c r="S349" s="30" t="str">
        <f t="shared" si="30"/>
        <v/>
      </c>
    </row>
    <row r="350" spans="1:19">
      <c r="A350" s="7" t="s">
        <v>401</v>
      </c>
      <c r="B350" s="7"/>
      <c r="C350" s="7"/>
      <c r="D350" s="7"/>
      <c r="E350" s="7"/>
      <c r="F350" s="7"/>
      <c r="H350" s="7"/>
      <c r="I350" s="7"/>
      <c r="J350" s="7"/>
      <c r="K350" s="7"/>
      <c r="L350" s="7"/>
      <c r="O350" s="30" t="str">
        <f t="shared" si="26"/>
        <v/>
      </c>
      <c r="P350" s="30" t="str">
        <f t="shared" si="27"/>
        <v/>
      </c>
      <c r="Q350" s="30" t="str">
        <f t="shared" si="28"/>
        <v/>
      </c>
      <c r="R350" s="30" t="str">
        <f t="shared" si="29"/>
        <v/>
      </c>
      <c r="S350" s="30" t="str">
        <f t="shared" si="30"/>
        <v/>
      </c>
    </row>
    <row r="351" spans="1:19">
      <c r="A351" s="7" t="s">
        <v>402</v>
      </c>
      <c r="B351" s="7"/>
      <c r="C351" s="7"/>
      <c r="D351" s="7"/>
      <c r="E351" s="7"/>
      <c r="F351" s="7"/>
      <c r="H351" s="7"/>
      <c r="I351" s="7"/>
      <c r="J351" s="7"/>
      <c r="K351" s="7"/>
      <c r="L351" s="7"/>
      <c r="O351" s="30" t="str">
        <f t="shared" si="26"/>
        <v/>
      </c>
      <c r="P351" s="30" t="str">
        <f t="shared" si="27"/>
        <v/>
      </c>
      <c r="Q351" s="30" t="str">
        <f t="shared" si="28"/>
        <v/>
      </c>
      <c r="R351" s="30" t="str">
        <f t="shared" si="29"/>
        <v/>
      </c>
      <c r="S351" s="30" t="str">
        <f t="shared" si="30"/>
        <v/>
      </c>
    </row>
    <row r="352" spans="1:19">
      <c r="A352" s="7" t="s">
        <v>403</v>
      </c>
      <c r="B352" s="7"/>
      <c r="C352" s="7"/>
      <c r="D352" s="7"/>
      <c r="E352" s="7"/>
      <c r="F352" s="7"/>
      <c r="H352" s="7"/>
      <c r="I352" s="7"/>
      <c r="J352" s="7"/>
      <c r="K352" s="7"/>
      <c r="L352" s="7"/>
      <c r="O352" s="30" t="str">
        <f t="shared" si="26"/>
        <v/>
      </c>
      <c r="P352" s="30" t="str">
        <f t="shared" si="27"/>
        <v/>
      </c>
      <c r="Q352" s="30" t="str">
        <f t="shared" si="28"/>
        <v/>
      </c>
      <c r="R352" s="30" t="str">
        <f t="shared" si="29"/>
        <v/>
      </c>
      <c r="S352" s="30" t="str">
        <f t="shared" si="30"/>
        <v/>
      </c>
    </row>
    <row r="353" spans="1:19">
      <c r="A353" s="7" t="s">
        <v>404</v>
      </c>
      <c r="B353" s="7"/>
      <c r="C353" s="7"/>
      <c r="D353" s="7"/>
      <c r="E353" s="7"/>
      <c r="F353" s="7"/>
      <c r="H353" s="7"/>
      <c r="I353" s="7"/>
      <c r="J353" s="7"/>
      <c r="K353" s="7"/>
      <c r="L353" s="7"/>
      <c r="O353" s="30" t="str">
        <f t="shared" si="26"/>
        <v/>
      </c>
      <c r="P353" s="30" t="str">
        <f t="shared" si="27"/>
        <v/>
      </c>
      <c r="Q353" s="30" t="str">
        <f t="shared" si="28"/>
        <v/>
      </c>
      <c r="R353" s="30" t="str">
        <f t="shared" si="29"/>
        <v/>
      </c>
      <c r="S353" s="30" t="str">
        <f t="shared" si="30"/>
        <v/>
      </c>
    </row>
    <row r="354" spans="1:19">
      <c r="A354" s="7" t="s">
        <v>405</v>
      </c>
      <c r="B354" s="7"/>
      <c r="C354" s="7"/>
      <c r="D354" s="7"/>
      <c r="E354" s="7"/>
      <c r="F354" s="7"/>
      <c r="H354" s="7"/>
      <c r="I354" s="7"/>
      <c r="J354" s="7"/>
      <c r="K354" s="7"/>
      <c r="L354" s="7"/>
      <c r="O354" s="30" t="str">
        <f t="shared" si="26"/>
        <v/>
      </c>
      <c r="P354" s="30" t="str">
        <f t="shared" si="27"/>
        <v/>
      </c>
      <c r="Q354" s="30" t="str">
        <f t="shared" si="28"/>
        <v/>
      </c>
      <c r="R354" s="30" t="str">
        <f t="shared" si="29"/>
        <v/>
      </c>
      <c r="S354" s="30" t="str">
        <f t="shared" si="30"/>
        <v/>
      </c>
    </row>
    <row r="355" spans="1:19">
      <c r="A355" s="7" t="s">
        <v>406</v>
      </c>
      <c r="B355" s="7"/>
      <c r="C355" s="7"/>
      <c r="D355" s="7"/>
      <c r="E355" s="7"/>
      <c r="F355" s="7"/>
      <c r="H355" s="7"/>
      <c r="I355" s="7"/>
      <c r="J355" s="7"/>
      <c r="K355" s="7"/>
      <c r="L355" s="7"/>
      <c r="O355" s="30" t="str">
        <f t="shared" si="26"/>
        <v/>
      </c>
      <c r="P355" s="30" t="str">
        <f t="shared" si="27"/>
        <v/>
      </c>
      <c r="Q355" s="30" t="str">
        <f t="shared" si="28"/>
        <v/>
      </c>
      <c r="R355" s="30" t="str">
        <f t="shared" si="29"/>
        <v/>
      </c>
      <c r="S355" s="30" t="str">
        <f t="shared" si="30"/>
        <v/>
      </c>
    </row>
    <row r="356" spans="1:19">
      <c r="A356" s="7" t="s">
        <v>407</v>
      </c>
      <c r="B356" s="7"/>
      <c r="C356" s="7"/>
      <c r="D356" s="7"/>
      <c r="E356" s="7"/>
      <c r="F356" s="7"/>
      <c r="H356" s="7"/>
      <c r="I356" s="7"/>
      <c r="J356" s="7"/>
      <c r="K356" s="7"/>
      <c r="L356" s="7"/>
      <c r="O356" s="30" t="str">
        <f t="shared" si="26"/>
        <v/>
      </c>
      <c r="P356" s="30" t="str">
        <f t="shared" si="27"/>
        <v/>
      </c>
      <c r="Q356" s="30" t="str">
        <f t="shared" si="28"/>
        <v/>
      </c>
      <c r="R356" s="30" t="str">
        <f t="shared" si="29"/>
        <v/>
      </c>
      <c r="S356" s="30" t="str">
        <f t="shared" si="30"/>
        <v/>
      </c>
    </row>
    <row r="357" spans="1:19">
      <c r="A357" s="7" t="s">
        <v>408</v>
      </c>
      <c r="B357" s="7"/>
      <c r="C357" s="7"/>
      <c r="D357" s="7"/>
      <c r="E357" s="7"/>
      <c r="F357" s="7"/>
      <c r="H357" s="7"/>
      <c r="I357" s="7"/>
      <c r="J357" s="7"/>
      <c r="K357" s="7"/>
      <c r="L357" s="7"/>
      <c r="O357" s="30" t="str">
        <f t="shared" si="26"/>
        <v/>
      </c>
      <c r="P357" s="30" t="str">
        <f t="shared" si="27"/>
        <v/>
      </c>
      <c r="Q357" s="30" t="str">
        <f t="shared" si="28"/>
        <v/>
      </c>
      <c r="R357" s="30" t="str">
        <f t="shared" si="29"/>
        <v/>
      </c>
      <c r="S357" s="30" t="str">
        <f t="shared" si="30"/>
        <v/>
      </c>
    </row>
    <row r="358" spans="1:19">
      <c r="A358" s="7" t="s">
        <v>409</v>
      </c>
      <c r="B358" s="7"/>
      <c r="C358" s="7"/>
      <c r="D358" s="7"/>
      <c r="E358" s="7"/>
      <c r="F358" s="7"/>
      <c r="H358" s="7"/>
      <c r="I358" s="7"/>
      <c r="J358" s="7"/>
      <c r="K358" s="7"/>
      <c r="L358" s="7"/>
      <c r="O358" s="30" t="str">
        <f t="shared" si="26"/>
        <v/>
      </c>
      <c r="P358" s="30" t="str">
        <f t="shared" si="27"/>
        <v/>
      </c>
      <c r="Q358" s="30" t="str">
        <f t="shared" si="28"/>
        <v/>
      </c>
      <c r="R358" s="30" t="str">
        <f t="shared" si="29"/>
        <v/>
      </c>
      <c r="S358" s="30" t="str">
        <f t="shared" si="30"/>
        <v/>
      </c>
    </row>
    <row r="359" spans="1:19">
      <c r="A359" s="7" t="s">
        <v>410</v>
      </c>
      <c r="B359" s="7"/>
      <c r="C359" s="7"/>
      <c r="D359" s="7"/>
      <c r="E359" s="7"/>
      <c r="F359" s="7"/>
      <c r="H359" s="7"/>
      <c r="I359" s="7"/>
      <c r="J359" s="7"/>
      <c r="K359" s="7"/>
      <c r="L359" s="7"/>
      <c r="O359" s="30" t="str">
        <f t="shared" si="26"/>
        <v/>
      </c>
      <c r="P359" s="30" t="str">
        <f t="shared" si="27"/>
        <v/>
      </c>
      <c r="Q359" s="30" t="str">
        <f t="shared" si="28"/>
        <v/>
      </c>
      <c r="R359" s="30" t="str">
        <f t="shared" si="29"/>
        <v/>
      </c>
      <c r="S359" s="30" t="str">
        <f t="shared" si="30"/>
        <v/>
      </c>
    </row>
    <row r="360" spans="1:19">
      <c r="A360" s="7" t="s">
        <v>411</v>
      </c>
      <c r="B360" s="7"/>
      <c r="C360" s="7"/>
      <c r="D360" s="7"/>
      <c r="E360" s="7"/>
      <c r="F360" s="7"/>
      <c r="H360" s="7"/>
      <c r="I360" s="7"/>
      <c r="J360" s="7"/>
      <c r="K360" s="7"/>
      <c r="L360" s="7"/>
      <c r="O360" s="30" t="str">
        <f t="shared" si="26"/>
        <v/>
      </c>
      <c r="P360" s="30" t="str">
        <f t="shared" si="27"/>
        <v/>
      </c>
      <c r="Q360" s="30" t="str">
        <f t="shared" si="28"/>
        <v/>
      </c>
      <c r="R360" s="30" t="str">
        <f t="shared" si="29"/>
        <v/>
      </c>
      <c r="S360" s="30" t="str">
        <f t="shared" si="30"/>
        <v/>
      </c>
    </row>
    <row r="361" spans="1:19">
      <c r="A361" s="7" t="s">
        <v>412</v>
      </c>
      <c r="B361" s="7"/>
      <c r="C361" s="7"/>
      <c r="D361" s="7"/>
      <c r="E361" s="7"/>
      <c r="F361" s="7"/>
      <c r="H361" s="7"/>
      <c r="I361" s="7"/>
      <c r="J361" s="7"/>
      <c r="K361" s="7"/>
      <c r="L361" s="7"/>
      <c r="O361" s="30" t="str">
        <f t="shared" si="26"/>
        <v/>
      </c>
      <c r="P361" s="30" t="str">
        <f t="shared" si="27"/>
        <v/>
      </c>
      <c r="Q361" s="30" t="str">
        <f t="shared" si="28"/>
        <v/>
      </c>
      <c r="R361" s="30" t="str">
        <f t="shared" si="29"/>
        <v/>
      </c>
      <c r="S361" s="30" t="str">
        <f t="shared" si="30"/>
        <v/>
      </c>
    </row>
    <row r="362" spans="1:19">
      <c r="A362" s="7" t="s">
        <v>413</v>
      </c>
      <c r="B362" s="7"/>
      <c r="C362" s="7"/>
      <c r="D362" s="7"/>
      <c r="E362" s="7"/>
      <c r="F362" s="7"/>
      <c r="H362" s="7"/>
      <c r="I362" s="7"/>
      <c r="J362" s="7"/>
      <c r="K362" s="7"/>
      <c r="L362" s="7"/>
      <c r="O362" s="30" t="str">
        <f t="shared" si="26"/>
        <v/>
      </c>
      <c r="P362" s="30" t="str">
        <f t="shared" si="27"/>
        <v/>
      </c>
      <c r="Q362" s="30" t="str">
        <f t="shared" si="28"/>
        <v/>
      </c>
      <c r="R362" s="30" t="str">
        <f t="shared" si="29"/>
        <v/>
      </c>
      <c r="S362" s="30" t="str">
        <f t="shared" si="30"/>
        <v/>
      </c>
    </row>
    <row r="363" spans="1:19">
      <c r="A363" s="7" t="s">
        <v>414</v>
      </c>
      <c r="B363" s="7"/>
      <c r="C363" s="7"/>
      <c r="D363" s="7"/>
      <c r="E363" s="7"/>
      <c r="F363" s="7"/>
      <c r="H363" s="7"/>
      <c r="I363" s="7"/>
      <c r="J363" s="7"/>
      <c r="K363" s="7"/>
      <c r="L363" s="7"/>
      <c r="O363" s="30" t="str">
        <f t="shared" si="26"/>
        <v/>
      </c>
      <c r="P363" s="30" t="str">
        <f t="shared" si="27"/>
        <v/>
      </c>
      <c r="Q363" s="30" t="str">
        <f t="shared" si="28"/>
        <v/>
      </c>
      <c r="R363" s="30" t="str">
        <f t="shared" si="29"/>
        <v/>
      </c>
      <c r="S363" s="30" t="str">
        <f t="shared" si="30"/>
        <v/>
      </c>
    </row>
    <row r="364" spans="1:19">
      <c r="A364" s="7" t="s">
        <v>415</v>
      </c>
      <c r="B364" s="7"/>
      <c r="C364" s="7"/>
      <c r="D364" s="7"/>
      <c r="E364" s="7"/>
      <c r="F364" s="7"/>
      <c r="H364" s="7"/>
      <c r="I364" s="7"/>
      <c r="J364" s="7"/>
      <c r="K364" s="7"/>
      <c r="L364" s="7"/>
      <c r="O364" s="30" t="str">
        <f t="shared" si="26"/>
        <v/>
      </c>
      <c r="P364" s="30" t="str">
        <f t="shared" si="27"/>
        <v/>
      </c>
      <c r="Q364" s="30" t="str">
        <f t="shared" si="28"/>
        <v/>
      </c>
      <c r="R364" s="30" t="str">
        <f t="shared" si="29"/>
        <v/>
      </c>
      <c r="S364" s="30" t="str">
        <f t="shared" si="30"/>
        <v/>
      </c>
    </row>
    <row r="365" spans="1:19">
      <c r="A365" s="7" t="s">
        <v>416</v>
      </c>
      <c r="B365" s="7"/>
      <c r="C365" s="7"/>
      <c r="D365" s="7"/>
      <c r="E365" s="7"/>
      <c r="F365" s="7"/>
      <c r="H365" s="7"/>
      <c r="I365" s="7"/>
      <c r="J365" s="7"/>
      <c r="K365" s="7"/>
      <c r="L365" s="7"/>
      <c r="O365" s="30" t="str">
        <f t="shared" si="26"/>
        <v/>
      </c>
      <c r="P365" s="30" t="str">
        <f t="shared" si="27"/>
        <v/>
      </c>
      <c r="Q365" s="30" t="str">
        <f t="shared" si="28"/>
        <v/>
      </c>
      <c r="R365" s="30" t="str">
        <f t="shared" si="29"/>
        <v/>
      </c>
      <c r="S365" s="30" t="str">
        <f t="shared" si="30"/>
        <v/>
      </c>
    </row>
    <row r="366" spans="1:19">
      <c r="A366" s="7" t="s">
        <v>417</v>
      </c>
      <c r="B366" s="7"/>
      <c r="C366" s="7"/>
      <c r="D366" s="7"/>
      <c r="E366" s="7"/>
      <c r="F366" s="7"/>
      <c r="H366" s="7"/>
      <c r="I366" s="7"/>
      <c r="J366" s="7"/>
      <c r="K366" s="7"/>
      <c r="L366" s="7"/>
      <c r="O366" s="30" t="str">
        <f t="shared" si="26"/>
        <v/>
      </c>
      <c r="P366" s="30" t="str">
        <f t="shared" si="27"/>
        <v/>
      </c>
      <c r="Q366" s="30" t="str">
        <f t="shared" si="28"/>
        <v/>
      </c>
      <c r="R366" s="30" t="str">
        <f t="shared" si="29"/>
        <v/>
      </c>
      <c r="S366" s="30" t="str">
        <f t="shared" si="30"/>
        <v/>
      </c>
    </row>
    <row r="367" spans="1:19">
      <c r="A367" s="7" t="s">
        <v>418</v>
      </c>
      <c r="B367" s="7"/>
      <c r="C367" s="7"/>
      <c r="D367" s="7"/>
      <c r="E367" s="7"/>
      <c r="F367" s="7"/>
      <c r="H367" s="7"/>
      <c r="I367" s="7"/>
      <c r="J367" s="7"/>
      <c r="K367" s="7"/>
      <c r="L367" s="7"/>
      <c r="O367" s="30" t="str">
        <f t="shared" si="26"/>
        <v/>
      </c>
      <c r="P367" s="30" t="str">
        <f t="shared" si="27"/>
        <v/>
      </c>
      <c r="Q367" s="30" t="str">
        <f t="shared" si="28"/>
        <v/>
      </c>
      <c r="R367" s="30" t="str">
        <f t="shared" si="29"/>
        <v/>
      </c>
      <c r="S367" s="30" t="str">
        <f t="shared" si="30"/>
        <v/>
      </c>
    </row>
    <row r="368" spans="1:19">
      <c r="A368" s="7" t="s">
        <v>419</v>
      </c>
      <c r="B368" s="7"/>
      <c r="C368" s="7"/>
      <c r="D368" s="7"/>
      <c r="E368" s="7"/>
      <c r="F368" s="7"/>
      <c r="H368" s="7"/>
      <c r="I368" s="7"/>
      <c r="J368" s="7"/>
      <c r="K368" s="7"/>
      <c r="L368" s="7"/>
      <c r="O368" s="30" t="str">
        <f t="shared" si="26"/>
        <v/>
      </c>
      <c r="P368" s="30" t="str">
        <f t="shared" si="27"/>
        <v/>
      </c>
      <c r="Q368" s="30" t="str">
        <f t="shared" si="28"/>
        <v/>
      </c>
      <c r="R368" s="30" t="str">
        <f t="shared" si="29"/>
        <v/>
      </c>
      <c r="S368" s="30" t="str">
        <f t="shared" si="30"/>
        <v/>
      </c>
    </row>
    <row r="369" spans="1:19">
      <c r="A369" s="7" t="s">
        <v>420</v>
      </c>
      <c r="B369" s="7"/>
      <c r="C369" s="7"/>
      <c r="D369" s="7"/>
      <c r="E369" s="7"/>
      <c r="F369" s="7"/>
      <c r="H369" s="7"/>
      <c r="I369" s="7"/>
      <c r="J369" s="7"/>
      <c r="K369" s="7"/>
      <c r="L369" s="7"/>
      <c r="O369" s="30" t="str">
        <f t="shared" si="26"/>
        <v/>
      </c>
      <c r="P369" s="30" t="str">
        <f t="shared" si="27"/>
        <v/>
      </c>
      <c r="Q369" s="30" t="str">
        <f t="shared" si="28"/>
        <v/>
      </c>
      <c r="R369" s="30" t="str">
        <f t="shared" si="29"/>
        <v/>
      </c>
      <c r="S369" s="30" t="str">
        <f t="shared" si="30"/>
        <v/>
      </c>
    </row>
    <row r="370" spans="1:19">
      <c r="A370" s="7" t="s">
        <v>421</v>
      </c>
      <c r="B370" s="7"/>
      <c r="C370" s="7"/>
      <c r="D370" s="7"/>
      <c r="E370" s="7"/>
      <c r="F370" s="7"/>
      <c r="H370" s="7"/>
      <c r="I370" s="7"/>
      <c r="J370" s="7"/>
      <c r="K370" s="7"/>
      <c r="L370" s="7"/>
      <c r="O370" s="30" t="str">
        <f t="shared" si="26"/>
        <v/>
      </c>
      <c r="P370" s="30" t="str">
        <f t="shared" si="27"/>
        <v/>
      </c>
      <c r="Q370" s="30" t="str">
        <f t="shared" si="28"/>
        <v/>
      </c>
      <c r="R370" s="30" t="str">
        <f t="shared" si="29"/>
        <v/>
      </c>
      <c r="S370" s="30" t="str">
        <f t="shared" si="30"/>
        <v/>
      </c>
    </row>
    <row r="371" spans="1:19">
      <c r="A371" s="7" t="s">
        <v>422</v>
      </c>
      <c r="B371" s="7"/>
      <c r="C371" s="7"/>
      <c r="D371" s="7"/>
      <c r="E371" s="7"/>
      <c r="F371" s="7"/>
      <c r="H371" s="7"/>
      <c r="I371" s="7"/>
      <c r="J371" s="7"/>
      <c r="K371" s="7"/>
      <c r="L371" s="7"/>
      <c r="O371" s="30" t="str">
        <f t="shared" si="26"/>
        <v/>
      </c>
      <c r="P371" s="30" t="str">
        <f t="shared" si="27"/>
        <v/>
      </c>
      <c r="Q371" s="30" t="str">
        <f t="shared" si="28"/>
        <v/>
      </c>
      <c r="R371" s="30" t="str">
        <f t="shared" si="29"/>
        <v/>
      </c>
      <c r="S371" s="30" t="str">
        <f t="shared" si="30"/>
        <v/>
      </c>
    </row>
    <row r="372" spans="1:19">
      <c r="A372" s="7" t="s">
        <v>423</v>
      </c>
      <c r="B372" s="7"/>
      <c r="C372" s="7"/>
      <c r="D372" s="7"/>
      <c r="E372" s="7"/>
      <c r="F372" s="7"/>
      <c r="H372" s="7"/>
      <c r="I372" s="7"/>
      <c r="J372" s="7"/>
      <c r="K372" s="7"/>
      <c r="L372" s="7"/>
      <c r="O372" s="30" t="str">
        <f t="shared" si="26"/>
        <v/>
      </c>
      <c r="P372" s="30" t="str">
        <f t="shared" si="27"/>
        <v/>
      </c>
      <c r="Q372" s="30" t="str">
        <f t="shared" si="28"/>
        <v/>
      </c>
      <c r="R372" s="30" t="str">
        <f t="shared" si="29"/>
        <v/>
      </c>
      <c r="S372" s="30" t="str">
        <f t="shared" si="30"/>
        <v/>
      </c>
    </row>
    <row r="373" spans="1:19">
      <c r="A373" s="7" t="s">
        <v>424</v>
      </c>
      <c r="B373" s="7"/>
      <c r="C373" s="7"/>
      <c r="D373" s="7"/>
      <c r="E373" s="7"/>
      <c r="F373" s="7"/>
      <c r="H373" s="7"/>
      <c r="I373" s="7"/>
      <c r="J373" s="7"/>
      <c r="K373" s="7"/>
      <c r="L373" s="7"/>
      <c r="O373" s="30" t="str">
        <f t="shared" si="26"/>
        <v/>
      </c>
      <c r="P373" s="30" t="str">
        <f t="shared" si="27"/>
        <v/>
      </c>
      <c r="Q373" s="30" t="str">
        <f t="shared" si="28"/>
        <v/>
      </c>
      <c r="R373" s="30" t="str">
        <f t="shared" si="29"/>
        <v/>
      </c>
      <c r="S373" s="30" t="str">
        <f t="shared" si="30"/>
        <v/>
      </c>
    </row>
    <row r="374" spans="1:19">
      <c r="A374" s="7" t="s">
        <v>425</v>
      </c>
      <c r="B374" s="7"/>
      <c r="C374" s="7"/>
      <c r="D374" s="7"/>
      <c r="E374" s="7"/>
      <c r="F374" s="7"/>
      <c r="H374" s="7"/>
      <c r="I374" s="7"/>
      <c r="J374" s="7"/>
      <c r="K374" s="7"/>
      <c r="L374" s="7"/>
      <c r="O374" s="30" t="str">
        <f t="shared" si="26"/>
        <v/>
      </c>
      <c r="P374" s="30" t="str">
        <f t="shared" si="27"/>
        <v/>
      </c>
      <c r="Q374" s="30" t="str">
        <f t="shared" si="28"/>
        <v/>
      </c>
      <c r="R374" s="30" t="str">
        <f t="shared" si="29"/>
        <v/>
      </c>
      <c r="S374" s="30" t="str">
        <f t="shared" si="30"/>
        <v/>
      </c>
    </row>
    <row r="375" spans="1:19">
      <c r="A375" s="7" t="s">
        <v>426</v>
      </c>
      <c r="B375" s="7"/>
      <c r="C375" s="7"/>
      <c r="D375" s="7"/>
      <c r="E375" s="7"/>
      <c r="F375" s="7"/>
      <c r="H375" s="7"/>
      <c r="I375" s="7"/>
      <c r="J375" s="7"/>
      <c r="K375" s="7"/>
      <c r="L375" s="7"/>
      <c r="O375" s="30" t="str">
        <f t="shared" si="26"/>
        <v/>
      </c>
      <c r="P375" s="30" t="str">
        <f t="shared" si="27"/>
        <v/>
      </c>
      <c r="Q375" s="30" t="str">
        <f t="shared" si="28"/>
        <v/>
      </c>
      <c r="R375" s="30" t="str">
        <f t="shared" si="29"/>
        <v/>
      </c>
      <c r="S375" s="30" t="str">
        <f t="shared" si="30"/>
        <v/>
      </c>
    </row>
    <row r="376" spans="1:19">
      <c r="A376" s="7" t="s">
        <v>427</v>
      </c>
      <c r="B376" s="7"/>
      <c r="C376" s="7"/>
      <c r="D376" s="7"/>
      <c r="E376" s="7"/>
      <c r="F376" s="7"/>
      <c r="H376" s="7"/>
      <c r="I376" s="7"/>
      <c r="J376" s="7"/>
      <c r="K376" s="7"/>
      <c r="L376" s="7"/>
      <c r="O376" s="30" t="str">
        <f t="shared" si="26"/>
        <v/>
      </c>
      <c r="P376" s="30" t="str">
        <f t="shared" si="27"/>
        <v/>
      </c>
      <c r="Q376" s="30" t="str">
        <f t="shared" si="28"/>
        <v/>
      </c>
      <c r="R376" s="30" t="str">
        <f t="shared" si="29"/>
        <v/>
      </c>
      <c r="S376" s="30" t="str">
        <f t="shared" si="30"/>
        <v/>
      </c>
    </row>
    <row r="377" spans="1:19">
      <c r="A377" s="7" t="s">
        <v>428</v>
      </c>
      <c r="B377" s="7"/>
      <c r="C377" s="7"/>
      <c r="D377" s="7"/>
      <c r="E377" s="7"/>
      <c r="F377" s="7"/>
      <c r="H377" s="7"/>
      <c r="I377" s="7"/>
      <c r="J377" s="7"/>
      <c r="K377" s="7"/>
      <c r="L377" s="7"/>
      <c r="O377" s="30" t="str">
        <f t="shared" si="26"/>
        <v/>
      </c>
      <c r="P377" s="30" t="str">
        <f t="shared" si="27"/>
        <v/>
      </c>
      <c r="Q377" s="30" t="str">
        <f t="shared" si="28"/>
        <v/>
      </c>
      <c r="R377" s="30" t="str">
        <f t="shared" si="29"/>
        <v/>
      </c>
      <c r="S377" s="30" t="str">
        <f t="shared" si="30"/>
        <v/>
      </c>
    </row>
    <row r="378" spans="1:19">
      <c r="A378" s="7" t="s">
        <v>429</v>
      </c>
      <c r="B378" s="7"/>
      <c r="C378" s="7"/>
      <c r="D378" s="7"/>
      <c r="E378" s="7"/>
      <c r="F378" s="7"/>
      <c r="H378" s="7"/>
      <c r="I378" s="7"/>
      <c r="J378" s="7"/>
      <c r="K378" s="7"/>
      <c r="L378" s="7"/>
      <c r="O378" s="30" t="str">
        <f t="shared" si="26"/>
        <v/>
      </c>
      <c r="P378" s="30" t="str">
        <f t="shared" si="27"/>
        <v/>
      </c>
      <c r="Q378" s="30" t="str">
        <f t="shared" si="28"/>
        <v/>
      </c>
      <c r="R378" s="30" t="str">
        <f t="shared" si="29"/>
        <v/>
      </c>
      <c r="S378" s="30" t="str">
        <f t="shared" si="30"/>
        <v/>
      </c>
    </row>
    <row r="379" spans="1:19">
      <c r="A379" s="7" t="s">
        <v>430</v>
      </c>
      <c r="B379" s="7"/>
      <c r="C379" s="7"/>
      <c r="D379" s="7"/>
      <c r="E379" s="7"/>
      <c r="F379" s="7"/>
      <c r="H379" s="7"/>
      <c r="I379" s="7"/>
      <c r="J379" s="7"/>
      <c r="K379" s="7"/>
      <c r="L379" s="7"/>
      <c r="O379" s="30" t="str">
        <f t="shared" si="26"/>
        <v/>
      </c>
      <c r="P379" s="30" t="str">
        <f t="shared" si="27"/>
        <v/>
      </c>
      <c r="Q379" s="30" t="str">
        <f t="shared" si="28"/>
        <v/>
      </c>
      <c r="R379" s="30" t="str">
        <f t="shared" si="29"/>
        <v/>
      </c>
      <c r="S379" s="30" t="str">
        <f t="shared" si="30"/>
        <v/>
      </c>
    </row>
    <row r="380" spans="1:19">
      <c r="A380" s="7" t="s">
        <v>431</v>
      </c>
      <c r="B380" s="7"/>
      <c r="C380" s="7"/>
      <c r="D380" s="7"/>
      <c r="E380" s="7"/>
      <c r="F380" s="7"/>
      <c r="H380" s="7"/>
      <c r="I380" s="7"/>
      <c r="J380" s="7"/>
      <c r="K380" s="7"/>
      <c r="L380" s="7"/>
      <c r="O380" s="30" t="str">
        <f t="shared" si="26"/>
        <v/>
      </c>
      <c r="P380" s="30" t="str">
        <f t="shared" si="27"/>
        <v/>
      </c>
      <c r="Q380" s="30" t="str">
        <f t="shared" si="28"/>
        <v/>
      </c>
      <c r="R380" s="30" t="str">
        <f t="shared" si="29"/>
        <v/>
      </c>
      <c r="S380" s="30" t="str">
        <f t="shared" si="30"/>
        <v/>
      </c>
    </row>
    <row r="381" spans="1:19">
      <c r="A381" s="7" t="s">
        <v>432</v>
      </c>
      <c r="B381" s="7"/>
      <c r="C381" s="7"/>
      <c r="D381" s="7"/>
      <c r="E381" s="7"/>
      <c r="F381" s="7"/>
      <c r="H381" s="7"/>
      <c r="I381" s="7"/>
      <c r="J381" s="7"/>
      <c r="K381" s="7"/>
      <c r="L381" s="7"/>
      <c r="O381" s="30" t="str">
        <f t="shared" si="26"/>
        <v/>
      </c>
      <c r="P381" s="30" t="str">
        <f t="shared" si="27"/>
        <v/>
      </c>
      <c r="Q381" s="30" t="str">
        <f t="shared" si="28"/>
        <v/>
      </c>
      <c r="R381" s="30" t="str">
        <f t="shared" si="29"/>
        <v/>
      </c>
      <c r="S381" s="30" t="str">
        <f t="shared" si="30"/>
        <v/>
      </c>
    </row>
    <row r="382" spans="1:19">
      <c r="A382" s="7" t="s">
        <v>433</v>
      </c>
      <c r="B382" s="7"/>
      <c r="C382" s="7"/>
      <c r="D382" s="7"/>
      <c r="E382" s="7"/>
      <c r="F382" s="7"/>
      <c r="H382" s="7"/>
      <c r="I382" s="7"/>
      <c r="J382" s="7"/>
      <c r="K382" s="7"/>
      <c r="L382" s="7"/>
      <c r="O382" s="30" t="str">
        <f t="shared" si="26"/>
        <v/>
      </c>
      <c r="P382" s="30" t="str">
        <f t="shared" si="27"/>
        <v/>
      </c>
      <c r="Q382" s="30" t="str">
        <f t="shared" si="28"/>
        <v/>
      </c>
      <c r="R382" s="30" t="str">
        <f t="shared" si="29"/>
        <v/>
      </c>
      <c r="S382" s="30" t="str">
        <f t="shared" si="30"/>
        <v/>
      </c>
    </row>
    <row r="383" spans="1:19">
      <c r="A383" s="7" t="s">
        <v>434</v>
      </c>
      <c r="B383" s="7"/>
      <c r="C383" s="7"/>
      <c r="D383" s="7"/>
      <c r="E383" s="7"/>
      <c r="F383" s="7"/>
      <c r="H383" s="7"/>
      <c r="I383" s="7"/>
      <c r="J383" s="7"/>
      <c r="K383" s="7"/>
      <c r="L383" s="7"/>
      <c r="O383" s="30" t="str">
        <f t="shared" si="26"/>
        <v/>
      </c>
      <c r="P383" s="30" t="str">
        <f t="shared" si="27"/>
        <v/>
      </c>
      <c r="Q383" s="30" t="str">
        <f t="shared" si="28"/>
        <v/>
      </c>
      <c r="R383" s="30" t="str">
        <f t="shared" si="29"/>
        <v/>
      </c>
      <c r="S383" s="30" t="str">
        <f t="shared" si="30"/>
        <v/>
      </c>
    </row>
    <row r="384" spans="1:19">
      <c r="A384" s="7" t="s">
        <v>435</v>
      </c>
      <c r="B384" s="7"/>
      <c r="C384" s="7"/>
      <c r="D384" s="7"/>
      <c r="E384" s="7"/>
      <c r="F384" s="7"/>
      <c r="H384" s="7"/>
      <c r="I384" s="7"/>
      <c r="J384" s="7"/>
      <c r="K384" s="7"/>
      <c r="L384" s="7"/>
      <c r="O384" s="30" t="str">
        <f t="shared" si="26"/>
        <v/>
      </c>
      <c r="P384" s="30" t="str">
        <f t="shared" si="27"/>
        <v/>
      </c>
      <c r="Q384" s="30" t="str">
        <f t="shared" si="28"/>
        <v/>
      </c>
      <c r="R384" s="30" t="str">
        <f t="shared" si="29"/>
        <v/>
      </c>
      <c r="S384" s="30" t="str">
        <f t="shared" si="30"/>
        <v/>
      </c>
    </row>
    <row r="385" spans="1:19">
      <c r="A385" s="7" t="s">
        <v>436</v>
      </c>
      <c r="B385" s="7"/>
      <c r="C385" s="7"/>
      <c r="D385" s="7"/>
      <c r="E385" s="7"/>
      <c r="F385" s="7"/>
      <c r="H385" s="7"/>
      <c r="I385" s="7"/>
      <c r="J385" s="7"/>
      <c r="K385" s="7"/>
      <c r="L385" s="7"/>
      <c r="O385" s="30" t="str">
        <f t="shared" si="26"/>
        <v/>
      </c>
      <c r="P385" s="30" t="str">
        <f t="shared" si="27"/>
        <v/>
      </c>
      <c r="Q385" s="30" t="str">
        <f t="shared" si="28"/>
        <v/>
      </c>
      <c r="R385" s="30" t="str">
        <f t="shared" si="29"/>
        <v/>
      </c>
      <c r="S385" s="30" t="str">
        <f t="shared" si="30"/>
        <v/>
      </c>
    </row>
    <row r="386" spans="1:19">
      <c r="A386" s="7" t="s">
        <v>437</v>
      </c>
      <c r="B386" s="7"/>
      <c r="C386" s="7"/>
      <c r="D386" s="7"/>
      <c r="E386" s="7"/>
      <c r="F386" s="7"/>
      <c r="H386" s="7"/>
      <c r="I386" s="7"/>
      <c r="J386" s="7"/>
      <c r="K386" s="7"/>
      <c r="L386" s="7"/>
      <c r="O386" s="30" t="str">
        <f t="shared" si="26"/>
        <v/>
      </c>
      <c r="P386" s="30" t="str">
        <f t="shared" si="27"/>
        <v/>
      </c>
      <c r="Q386" s="30" t="str">
        <f t="shared" si="28"/>
        <v/>
      </c>
      <c r="R386" s="30" t="str">
        <f t="shared" si="29"/>
        <v/>
      </c>
      <c r="S386" s="30" t="str">
        <f t="shared" si="30"/>
        <v/>
      </c>
    </row>
    <row r="387" spans="1:19">
      <c r="A387" s="7" t="s">
        <v>438</v>
      </c>
      <c r="B387" s="7"/>
      <c r="C387" s="7"/>
      <c r="D387" s="7"/>
      <c r="E387" s="7"/>
      <c r="F387" s="7"/>
      <c r="H387" s="7"/>
      <c r="I387" s="7"/>
      <c r="J387" s="7"/>
      <c r="K387" s="7"/>
      <c r="L387" s="7"/>
      <c r="O387" s="30" t="str">
        <f t="shared" si="26"/>
        <v/>
      </c>
      <c r="P387" s="30" t="str">
        <f t="shared" si="27"/>
        <v/>
      </c>
      <c r="Q387" s="30" t="str">
        <f t="shared" si="28"/>
        <v/>
      </c>
      <c r="R387" s="30" t="str">
        <f t="shared" si="29"/>
        <v/>
      </c>
      <c r="S387" s="30" t="str">
        <f t="shared" si="30"/>
        <v/>
      </c>
    </row>
    <row r="388" spans="1:19">
      <c r="A388" s="7" t="s">
        <v>439</v>
      </c>
      <c r="B388" s="7"/>
      <c r="C388" s="7"/>
      <c r="D388" s="7"/>
      <c r="E388" s="7"/>
      <c r="F388" s="7"/>
      <c r="H388" s="7"/>
      <c r="I388" s="7"/>
      <c r="J388" s="7"/>
      <c r="K388" s="7"/>
      <c r="L388" s="7"/>
      <c r="O388" s="30" t="str">
        <f t="shared" si="26"/>
        <v/>
      </c>
      <c r="P388" s="30" t="str">
        <f t="shared" si="27"/>
        <v/>
      </c>
      <c r="Q388" s="30" t="str">
        <f t="shared" si="28"/>
        <v/>
      </c>
      <c r="R388" s="30" t="str">
        <f t="shared" si="29"/>
        <v/>
      </c>
      <c r="S388" s="30" t="str">
        <f t="shared" si="30"/>
        <v/>
      </c>
    </row>
    <row r="389" spans="1:19">
      <c r="A389" s="7" t="s">
        <v>440</v>
      </c>
      <c r="B389" s="7"/>
      <c r="C389" s="7"/>
      <c r="D389" s="7"/>
      <c r="E389" s="7"/>
      <c r="F389" s="7"/>
      <c r="H389" s="7"/>
      <c r="I389" s="7"/>
      <c r="J389" s="7"/>
      <c r="K389" s="7"/>
      <c r="L389" s="7"/>
      <c r="O389" s="30" t="str">
        <f t="shared" si="26"/>
        <v/>
      </c>
      <c r="P389" s="30" t="str">
        <f t="shared" si="27"/>
        <v/>
      </c>
      <c r="Q389" s="30" t="str">
        <f t="shared" si="28"/>
        <v/>
      </c>
      <c r="R389" s="30" t="str">
        <f t="shared" si="29"/>
        <v/>
      </c>
      <c r="S389" s="30" t="str">
        <f t="shared" si="30"/>
        <v/>
      </c>
    </row>
    <row r="390" spans="1:19">
      <c r="A390" s="7" t="s">
        <v>441</v>
      </c>
      <c r="B390" s="7"/>
      <c r="C390" s="7"/>
      <c r="D390" s="7"/>
      <c r="E390" s="7"/>
      <c r="F390" s="7"/>
      <c r="H390" s="7"/>
      <c r="I390" s="7"/>
      <c r="J390" s="7"/>
      <c r="K390" s="7"/>
      <c r="L390" s="7"/>
      <c r="O390" s="30" t="str">
        <f t="shared" si="26"/>
        <v/>
      </c>
      <c r="P390" s="30" t="str">
        <f t="shared" si="27"/>
        <v/>
      </c>
      <c r="Q390" s="30" t="str">
        <f t="shared" si="28"/>
        <v/>
      </c>
      <c r="R390" s="30" t="str">
        <f t="shared" si="29"/>
        <v/>
      </c>
      <c r="S390" s="30" t="str">
        <f t="shared" si="30"/>
        <v/>
      </c>
    </row>
    <row r="391" spans="1:19">
      <c r="A391" s="7" t="s">
        <v>442</v>
      </c>
      <c r="B391" s="7"/>
      <c r="C391" s="7"/>
      <c r="D391" s="7"/>
      <c r="E391" s="7"/>
      <c r="F391" s="7"/>
      <c r="H391" s="7"/>
      <c r="I391" s="7"/>
      <c r="J391" s="7"/>
      <c r="K391" s="7"/>
      <c r="L391" s="7"/>
      <c r="O391" s="30" t="str">
        <f t="shared" si="26"/>
        <v/>
      </c>
      <c r="P391" s="30" t="str">
        <f t="shared" si="27"/>
        <v/>
      </c>
      <c r="Q391" s="30" t="str">
        <f t="shared" si="28"/>
        <v/>
      </c>
      <c r="R391" s="30" t="str">
        <f t="shared" si="29"/>
        <v/>
      </c>
      <c r="S391" s="30" t="str">
        <f t="shared" si="30"/>
        <v/>
      </c>
    </row>
    <row r="392" spans="1:19">
      <c r="A392" s="7" t="s">
        <v>443</v>
      </c>
      <c r="B392" s="7"/>
      <c r="C392" s="7"/>
      <c r="D392" s="7"/>
      <c r="E392" s="7"/>
      <c r="F392" s="7"/>
      <c r="H392" s="7"/>
      <c r="I392" s="7"/>
      <c r="J392" s="7"/>
      <c r="K392" s="7"/>
      <c r="L392" s="7"/>
      <c r="O392" s="30" t="str">
        <f t="shared" si="26"/>
        <v/>
      </c>
      <c r="P392" s="30" t="str">
        <f t="shared" si="27"/>
        <v/>
      </c>
      <c r="Q392" s="30" t="str">
        <f t="shared" si="28"/>
        <v/>
      </c>
      <c r="R392" s="30" t="str">
        <f t="shared" si="29"/>
        <v/>
      </c>
      <c r="S392" s="30" t="str">
        <f t="shared" si="30"/>
        <v/>
      </c>
    </row>
    <row r="393" spans="1:19">
      <c r="A393" s="7" t="s">
        <v>444</v>
      </c>
      <c r="B393" s="7"/>
      <c r="C393" s="7"/>
      <c r="D393" s="7"/>
      <c r="E393" s="7"/>
      <c r="F393" s="7"/>
      <c r="H393" s="7"/>
      <c r="I393" s="7"/>
      <c r="J393" s="7"/>
      <c r="K393" s="7"/>
      <c r="L393" s="7"/>
      <c r="O393" s="30" t="str">
        <f t="shared" ref="O393:O456" si="31">IF(H393&gt;0,"Angebot offen","")</f>
        <v/>
      </c>
      <c r="P393" s="30" t="str">
        <f t="shared" ref="P393:P456" si="32">IF(I393&gt;0,"Angebot offen","")</f>
        <v/>
      </c>
      <c r="Q393" s="30" t="str">
        <f t="shared" ref="Q393:Q456" si="33">IF(J393&gt;0,"Angebot offen","")</f>
        <v/>
      </c>
      <c r="R393" s="30" t="str">
        <f t="shared" ref="R393:R456" si="34">IF(K393&gt;0,"Angebot offen","")</f>
        <v/>
      </c>
      <c r="S393" s="30" t="str">
        <f t="shared" ref="S393:S456" si="35">IF(L393&gt;0,"Angebot offen","")</f>
        <v/>
      </c>
    </row>
    <row r="394" spans="1:19">
      <c r="A394" s="7" t="s">
        <v>445</v>
      </c>
      <c r="B394" s="7"/>
      <c r="C394" s="7"/>
      <c r="D394" s="7"/>
      <c r="E394" s="7"/>
      <c r="F394" s="7"/>
      <c r="H394" s="7"/>
      <c r="I394" s="7"/>
      <c r="J394" s="7"/>
      <c r="K394" s="7"/>
      <c r="L394" s="7"/>
      <c r="O394" s="30" t="str">
        <f t="shared" si="31"/>
        <v/>
      </c>
      <c r="P394" s="30" t="str">
        <f t="shared" si="32"/>
        <v/>
      </c>
      <c r="Q394" s="30" t="str">
        <f t="shared" si="33"/>
        <v/>
      </c>
      <c r="R394" s="30" t="str">
        <f t="shared" si="34"/>
        <v/>
      </c>
      <c r="S394" s="30" t="str">
        <f t="shared" si="35"/>
        <v/>
      </c>
    </row>
    <row r="395" spans="1:19">
      <c r="A395" s="7" t="s">
        <v>446</v>
      </c>
      <c r="B395" s="7"/>
      <c r="C395" s="7"/>
      <c r="D395" s="7"/>
      <c r="E395" s="7"/>
      <c r="F395" s="7"/>
      <c r="H395" s="7"/>
      <c r="I395" s="7"/>
      <c r="J395" s="7"/>
      <c r="K395" s="7"/>
      <c r="L395" s="7"/>
      <c r="O395" s="30" t="str">
        <f t="shared" si="31"/>
        <v/>
      </c>
      <c r="P395" s="30" t="str">
        <f t="shared" si="32"/>
        <v/>
      </c>
      <c r="Q395" s="30" t="str">
        <f t="shared" si="33"/>
        <v/>
      </c>
      <c r="R395" s="30" t="str">
        <f t="shared" si="34"/>
        <v/>
      </c>
      <c r="S395" s="30" t="str">
        <f t="shared" si="35"/>
        <v/>
      </c>
    </row>
    <row r="396" spans="1:19">
      <c r="A396" s="7" t="s">
        <v>447</v>
      </c>
      <c r="B396" s="7"/>
      <c r="C396" s="7"/>
      <c r="D396" s="7"/>
      <c r="E396" s="7"/>
      <c r="F396" s="7"/>
      <c r="H396" s="7"/>
      <c r="I396" s="7"/>
      <c r="J396" s="7"/>
      <c r="K396" s="7"/>
      <c r="L396" s="7"/>
      <c r="O396" s="30" t="str">
        <f t="shared" si="31"/>
        <v/>
      </c>
      <c r="P396" s="30" t="str">
        <f t="shared" si="32"/>
        <v/>
      </c>
      <c r="Q396" s="30" t="str">
        <f t="shared" si="33"/>
        <v/>
      </c>
      <c r="R396" s="30" t="str">
        <f t="shared" si="34"/>
        <v/>
      </c>
      <c r="S396" s="30" t="str">
        <f t="shared" si="35"/>
        <v/>
      </c>
    </row>
    <row r="397" spans="1:19">
      <c r="A397" s="7" t="s">
        <v>448</v>
      </c>
      <c r="B397" s="7"/>
      <c r="C397" s="7"/>
      <c r="D397" s="7"/>
      <c r="E397" s="7"/>
      <c r="F397" s="7"/>
      <c r="H397" s="7"/>
      <c r="I397" s="7"/>
      <c r="J397" s="7"/>
      <c r="K397" s="7"/>
      <c r="L397" s="7"/>
      <c r="O397" s="30" t="str">
        <f t="shared" si="31"/>
        <v/>
      </c>
      <c r="P397" s="30" t="str">
        <f t="shared" si="32"/>
        <v/>
      </c>
      <c r="Q397" s="30" t="str">
        <f t="shared" si="33"/>
        <v/>
      </c>
      <c r="R397" s="30" t="str">
        <f t="shared" si="34"/>
        <v/>
      </c>
      <c r="S397" s="30" t="str">
        <f t="shared" si="35"/>
        <v/>
      </c>
    </row>
    <row r="398" spans="1:19">
      <c r="A398" s="7" t="s">
        <v>449</v>
      </c>
      <c r="B398" s="7"/>
      <c r="C398" s="7"/>
      <c r="D398" s="7"/>
      <c r="E398" s="7"/>
      <c r="F398" s="7"/>
      <c r="H398" s="7"/>
      <c r="I398" s="7"/>
      <c r="J398" s="7"/>
      <c r="K398" s="7"/>
      <c r="L398" s="7"/>
      <c r="O398" s="30" t="str">
        <f t="shared" si="31"/>
        <v/>
      </c>
      <c r="P398" s="30" t="str">
        <f t="shared" si="32"/>
        <v/>
      </c>
      <c r="Q398" s="30" t="str">
        <f t="shared" si="33"/>
        <v/>
      </c>
      <c r="R398" s="30" t="str">
        <f t="shared" si="34"/>
        <v/>
      </c>
      <c r="S398" s="30" t="str">
        <f t="shared" si="35"/>
        <v/>
      </c>
    </row>
    <row r="399" spans="1:19">
      <c r="A399" s="7" t="s">
        <v>450</v>
      </c>
      <c r="B399" s="7"/>
      <c r="C399" s="7"/>
      <c r="D399" s="7"/>
      <c r="E399" s="7"/>
      <c r="F399" s="7"/>
      <c r="H399" s="7"/>
      <c r="I399" s="7"/>
      <c r="J399" s="7"/>
      <c r="K399" s="7"/>
      <c r="L399" s="7"/>
      <c r="O399" s="30" t="str">
        <f t="shared" si="31"/>
        <v/>
      </c>
      <c r="P399" s="30" t="str">
        <f t="shared" si="32"/>
        <v/>
      </c>
      <c r="Q399" s="30" t="str">
        <f t="shared" si="33"/>
        <v/>
      </c>
      <c r="R399" s="30" t="str">
        <f t="shared" si="34"/>
        <v/>
      </c>
      <c r="S399" s="30" t="str">
        <f t="shared" si="35"/>
        <v/>
      </c>
    </row>
    <row r="400" spans="1:19">
      <c r="A400" s="7" t="s">
        <v>451</v>
      </c>
      <c r="B400" s="7"/>
      <c r="C400" s="7"/>
      <c r="D400" s="7"/>
      <c r="E400" s="7"/>
      <c r="F400" s="7"/>
      <c r="H400" s="7"/>
      <c r="I400" s="7"/>
      <c r="J400" s="7"/>
      <c r="K400" s="7"/>
      <c r="L400" s="7"/>
      <c r="O400" s="30" t="str">
        <f t="shared" si="31"/>
        <v/>
      </c>
      <c r="P400" s="30" t="str">
        <f t="shared" si="32"/>
        <v/>
      </c>
      <c r="Q400" s="30" t="str">
        <f t="shared" si="33"/>
        <v/>
      </c>
      <c r="R400" s="30" t="str">
        <f t="shared" si="34"/>
        <v/>
      </c>
      <c r="S400" s="30" t="str">
        <f t="shared" si="35"/>
        <v/>
      </c>
    </row>
    <row r="401" spans="1:19">
      <c r="A401" s="7" t="s">
        <v>452</v>
      </c>
      <c r="B401" s="7"/>
      <c r="C401" s="7"/>
      <c r="D401" s="7"/>
      <c r="E401" s="7"/>
      <c r="F401" s="7"/>
      <c r="H401" s="7"/>
      <c r="I401" s="7"/>
      <c r="J401" s="7"/>
      <c r="K401" s="7"/>
      <c r="L401" s="7"/>
      <c r="O401" s="30" t="str">
        <f t="shared" si="31"/>
        <v/>
      </c>
      <c r="P401" s="30" t="str">
        <f t="shared" si="32"/>
        <v/>
      </c>
      <c r="Q401" s="30" t="str">
        <f t="shared" si="33"/>
        <v/>
      </c>
      <c r="R401" s="30" t="str">
        <f t="shared" si="34"/>
        <v/>
      </c>
      <c r="S401" s="30" t="str">
        <f t="shared" si="35"/>
        <v/>
      </c>
    </row>
    <row r="402" spans="1:19">
      <c r="A402" s="7" t="s">
        <v>453</v>
      </c>
      <c r="B402" s="7"/>
      <c r="C402" s="7"/>
      <c r="D402" s="7"/>
      <c r="E402" s="7"/>
      <c r="F402" s="7"/>
      <c r="H402" s="7"/>
      <c r="I402" s="7"/>
      <c r="J402" s="7"/>
      <c r="K402" s="7"/>
      <c r="L402" s="7"/>
      <c r="O402" s="30" t="str">
        <f t="shared" si="31"/>
        <v/>
      </c>
      <c r="P402" s="30" t="str">
        <f t="shared" si="32"/>
        <v/>
      </c>
      <c r="Q402" s="30" t="str">
        <f t="shared" si="33"/>
        <v/>
      </c>
      <c r="R402" s="30" t="str">
        <f t="shared" si="34"/>
        <v/>
      </c>
      <c r="S402" s="30" t="str">
        <f t="shared" si="35"/>
        <v/>
      </c>
    </row>
    <row r="403" spans="1:19">
      <c r="A403" s="7" t="s">
        <v>454</v>
      </c>
      <c r="B403" s="7"/>
      <c r="C403" s="7"/>
      <c r="D403" s="7"/>
      <c r="E403" s="7"/>
      <c r="F403" s="7"/>
      <c r="H403" s="7"/>
      <c r="I403" s="7"/>
      <c r="J403" s="7"/>
      <c r="K403" s="7"/>
      <c r="L403" s="7"/>
      <c r="O403" s="30" t="str">
        <f t="shared" si="31"/>
        <v/>
      </c>
      <c r="P403" s="30" t="str">
        <f t="shared" si="32"/>
        <v/>
      </c>
      <c r="Q403" s="30" t="str">
        <f t="shared" si="33"/>
        <v/>
      </c>
      <c r="R403" s="30" t="str">
        <f t="shared" si="34"/>
        <v/>
      </c>
      <c r="S403" s="30" t="str">
        <f t="shared" si="35"/>
        <v/>
      </c>
    </row>
    <row r="404" spans="1:19">
      <c r="A404" s="7" t="s">
        <v>455</v>
      </c>
      <c r="B404" s="7"/>
      <c r="C404" s="7"/>
      <c r="D404" s="7"/>
      <c r="E404" s="7"/>
      <c r="F404" s="7"/>
      <c r="H404" s="7"/>
      <c r="I404" s="7"/>
      <c r="J404" s="7"/>
      <c r="K404" s="7"/>
      <c r="L404" s="7"/>
      <c r="O404" s="30" t="str">
        <f t="shared" si="31"/>
        <v/>
      </c>
      <c r="P404" s="30" t="str">
        <f t="shared" si="32"/>
        <v/>
      </c>
      <c r="Q404" s="30" t="str">
        <f t="shared" si="33"/>
        <v/>
      </c>
      <c r="R404" s="30" t="str">
        <f t="shared" si="34"/>
        <v/>
      </c>
      <c r="S404" s="30" t="str">
        <f t="shared" si="35"/>
        <v/>
      </c>
    </row>
    <row r="405" spans="1:19">
      <c r="A405" s="7" t="s">
        <v>456</v>
      </c>
      <c r="B405" s="7"/>
      <c r="C405" s="7"/>
      <c r="D405" s="7"/>
      <c r="E405" s="7"/>
      <c r="F405" s="7"/>
      <c r="H405" s="7"/>
      <c r="I405" s="7"/>
      <c r="J405" s="7"/>
      <c r="K405" s="7"/>
      <c r="L405" s="7"/>
      <c r="O405" s="30" t="str">
        <f t="shared" si="31"/>
        <v/>
      </c>
      <c r="P405" s="30" t="str">
        <f t="shared" si="32"/>
        <v/>
      </c>
      <c r="Q405" s="30" t="str">
        <f t="shared" si="33"/>
        <v/>
      </c>
      <c r="R405" s="30" t="str">
        <f t="shared" si="34"/>
        <v/>
      </c>
      <c r="S405" s="30" t="str">
        <f t="shared" si="35"/>
        <v/>
      </c>
    </row>
    <row r="406" spans="1:19">
      <c r="A406" s="7" t="s">
        <v>457</v>
      </c>
      <c r="B406" s="7"/>
      <c r="C406" s="7"/>
      <c r="D406" s="7"/>
      <c r="E406" s="7"/>
      <c r="F406" s="7"/>
      <c r="H406" s="7"/>
      <c r="I406" s="7"/>
      <c r="J406" s="7"/>
      <c r="K406" s="7"/>
      <c r="L406" s="7"/>
      <c r="O406" s="30" t="str">
        <f t="shared" si="31"/>
        <v/>
      </c>
      <c r="P406" s="30" t="str">
        <f t="shared" si="32"/>
        <v/>
      </c>
      <c r="Q406" s="30" t="str">
        <f t="shared" si="33"/>
        <v/>
      </c>
      <c r="R406" s="30" t="str">
        <f t="shared" si="34"/>
        <v/>
      </c>
      <c r="S406" s="30" t="str">
        <f t="shared" si="35"/>
        <v/>
      </c>
    </row>
    <row r="407" spans="1:19">
      <c r="A407" s="7" t="s">
        <v>458</v>
      </c>
      <c r="B407" s="7"/>
      <c r="C407" s="7"/>
      <c r="D407" s="7"/>
      <c r="E407" s="7"/>
      <c r="F407" s="7"/>
      <c r="H407" s="7"/>
      <c r="I407" s="7"/>
      <c r="J407" s="7"/>
      <c r="K407" s="7"/>
      <c r="L407" s="7"/>
      <c r="O407" s="30" t="str">
        <f t="shared" si="31"/>
        <v/>
      </c>
      <c r="P407" s="30" t="str">
        <f t="shared" si="32"/>
        <v/>
      </c>
      <c r="Q407" s="30" t="str">
        <f t="shared" si="33"/>
        <v/>
      </c>
      <c r="R407" s="30" t="str">
        <f t="shared" si="34"/>
        <v/>
      </c>
      <c r="S407" s="30" t="str">
        <f t="shared" si="35"/>
        <v/>
      </c>
    </row>
    <row r="408" spans="1:19">
      <c r="A408" s="7" t="s">
        <v>459</v>
      </c>
      <c r="B408" s="7"/>
      <c r="C408" s="7"/>
      <c r="D408" s="7"/>
      <c r="E408" s="7"/>
      <c r="F408" s="7"/>
      <c r="H408" s="7"/>
      <c r="I408" s="7"/>
      <c r="J408" s="7"/>
      <c r="K408" s="7"/>
      <c r="L408" s="7"/>
      <c r="O408" s="30" t="str">
        <f t="shared" si="31"/>
        <v/>
      </c>
      <c r="P408" s="30" t="str">
        <f t="shared" si="32"/>
        <v/>
      </c>
      <c r="Q408" s="30" t="str">
        <f t="shared" si="33"/>
        <v/>
      </c>
      <c r="R408" s="30" t="str">
        <f t="shared" si="34"/>
        <v/>
      </c>
      <c r="S408" s="30" t="str">
        <f t="shared" si="35"/>
        <v/>
      </c>
    </row>
    <row r="409" spans="1:19">
      <c r="A409" s="7" t="s">
        <v>460</v>
      </c>
      <c r="B409" s="7"/>
      <c r="C409" s="7"/>
      <c r="D409" s="7"/>
      <c r="E409" s="7"/>
      <c r="F409" s="7"/>
      <c r="H409" s="7"/>
      <c r="I409" s="7"/>
      <c r="J409" s="7"/>
      <c r="K409" s="7"/>
      <c r="L409" s="7"/>
      <c r="O409" s="30" t="str">
        <f t="shared" si="31"/>
        <v/>
      </c>
      <c r="P409" s="30" t="str">
        <f t="shared" si="32"/>
        <v/>
      </c>
      <c r="Q409" s="30" t="str">
        <f t="shared" si="33"/>
        <v/>
      </c>
      <c r="R409" s="30" t="str">
        <f t="shared" si="34"/>
        <v/>
      </c>
      <c r="S409" s="30" t="str">
        <f t="shared" si="35"/>
        <v/>
      </c>
    </row>
    <row r="410" spans="1:19">
      <c r="A410" s="7" t="s">
        <v>461</v>
      </c>
      <c r="B410" s="7"/>
      <c r="C410" s="7"/>
      <c r="D410" s="7"/>
      <c r="E410" s="7"/>
      <c r="F410" s="7"/>
      <c r="H410" s="7"/>
      <c r="I410" s="7"/>
      <c r="J410" s="7"/>
      <c r="K410" s="7"/>
      <c r="L410" s="7"/>
      <c r="O410" s="30" t="str">
        <f t="shared" si="31"/>
        <v/>
      </c>
      <c r="P410" s="30" t="str">
        <f t="shared" si="32"/>
        <v/>
      </c>
      <c r="Q410" s="30" t="str">
        <f t="shared" si="33"/>
        <v/>
      </c>
      <c r="R410" s="30" t="str">
        <f t="shared" si="34"/>
        <v/>
      </c>
      <c r="S410" s="30" t="str">
        <f t="shared" si="35"/>
        <v/>
      </c>
    </row>
    <row r="411" spans="1:19">
      <c r="A411" s="7" t="s">
        <v>462</v>
      </c>
      <c r="B411" s="7"/>
      <c r="C411" s="7"/>
      <c r="D411" s="7"/>
      <c r="E411" s="7"/>
      <c r="F411" s="7"/>
      <c r="H411" s="7"/>
      <c r="I411" s="7"/>
      <c r="J411" s="7"/>
      <c r="K411" s="7"/>
      <c r="L411" s="7"/>
      <c r="O411" s="30" t="str">
        <f t="shared" si="31"/>
        <v/>
      </c>
      <c r="P411" s="30" t="str">
        <f t="shared" si="32"/>
        <v/>
      </c>
      <c r="Q411" s="30" t="str">
        <f t="shared" si="33"/>
        <v/>
      </c>
      <c r="R411" s="30" t="str">
        <f t="shared" si="34"/>
        <v/>
      </c>
      <c r="S411" s="30" t="str">
        <f t="shared" si="35"/>
        <v/>
      </c>
    </row>
    <row r="412" spans="1:19">
      <c r="A412" s="7" t="s">
        <v>463</v>
      </c>
      <c r="B412" s="7"/>
      <c r="C412" s="7"/>
      <c r="D412" s="7"/>
      <c r="E412" s="7"/>
      <c r="F412" s="7"/>
      <c r="H412" s="7"/>
      <c r="I412" s="7"/>
      <c r="J412" s="7"/>
      <c r="K412" s="7"/>
      <c r="L412" s="7"/>
      <c r="O412" s="30" t="str">
        <f t="shared" si="31"/>
        <v/>
      </c>
      <c r="P412" s="30" t="str">
        <f t="shared" si="32"/>
        <v/>
      </c>
      <c r="Q412" s="30" t="str">
        <f t="shared" si="33"/>
        <v/>
      </c>
      <c r="R412" s="30" t="str">
        <f t="shared" si="34"/>
        <v/>
      </c>
      <c r="S412" s="30" t="str">
        <f t="shared" si="35"/>
        <v/>
      </c>
    </row>
    <row r="413" spans="1:19">
      <c r="A413" s="7" t="s">
        <v>464</v>
      </c>
      <c r="B413" s="7"/>
      <c r="C413" s="7"/>
      <c r="D413" s="7"/>
      <c r="E413" s="7"/>
      <c r="F413" s="7"/>
      <c r="H413" s="7"/>
      <c r="I413" s="7"/>
      <c r="J413" s="7"/>
      <c r="K413" s="7"/>
      <c r="L413" s="7"/>
      <c r="O413" s="30" t="str">
        <f t="shared" si="31"/>
        <v/>
      </c>
      <c r="P413" s="30" t="str">
        <f t="shared" si="32"/>
        <v/>
      </c>
      <c r="Q413" s="30" t="str">
        <f t="shared" si="33"/>
        <v/>
      </c>
      <c r="R413" s="30" t="str">
        <f t="shared" si="34"/>
        <v/>
      </c>
      <c r="S413" s="30" t="str">
        <f t="shared" si="35"/>
        <v/>
      </c>
    </row>
    <row r="414" spans="1:19">
      <c r="A414" s="7" t="s">
        <v>465</v>
      </c>
      <c r="B414" s="7"/>
      <c r="C414" s="7"/>
      <c r="D414" s="7"/>
      <c r="E414" s="7"/>
      <c r="F414" s="7"/>
      <c r="H414" s="7"/>
      <c r="I414" s="7"/>
      <c r="J414" s="7"/>
      <c r="K414" s="7"/>
      <c r="L414" s="7"/>
      <c r="O414" s="30" t="str">
        <f t="shared" si="31"/>
        <v/>
      </c>
      <c r="P414" s="30" t="str">
        <f t="shared" si="32"/>
        <v/>
      </c>
      <c r="Q414" s="30" t="str">
        <f t="shared" si="33"/>
        <v/>
      </c>
      <c r="R414" s="30" t="str">
        <f t="shared" si="34"/>
        <v/>
      </c>
      <c r="S414" s="30" t="str">
        <f t="shared" si="35"/>
        <v/>
      </c>
    </row>
    <row r="415" spans="1:19">
      <c r="A415" s="7" t="s">
        <v>466</v>
      </c>
      <c r="B415" s="7"/>
      <c r="C415" s="7"/>
      <c r="D415" s="7"/>
      <c r="E415" s="7"/>
      <c r="F415" s="7"/>
      <c r="H415" s="7"/>
      <c r="I415" s="7"/>
      <c r="J415" s="7"/>
      <c r="K415" s="7"/>
      <c r="L415" s="7"/>
      <c r="O415" s="30" t="str">
        <f t="shared" si="31"/>
        <v/>
      </c>
      <c r="P415" s="30" t="str">
        <f t="shared" si="32"/>
        <v/>
      </c>
      <c r="Q415" s="30" t="str">
        <f t="shared" si="33"/>
        <v/>
      </c>
      <c r="R415" s="30" t="str">
        <f t="shared" si="34"/>
        <v/>
      </c>
      <c r="S415" s="30" t="str">
        <f t="shared" si="35"/>
        <v/>
      </c>
    </row>
    <row r="416" spans="1:19">
      <c r="A416" s="7" t="s">
        <v>467</v>
      </c>
      <c r="B416" s="7"/>
      <c r="C416" s="7"/>
      <c r="D416" s="7"/>
      <c r="E416" s="7"/>
      <c r="F416" s="7"/>
      <c r="H416" s="7"/>
      <c r="I416" s="7"/>
      <c r="J416" s="7"/>
      <c r="K416" s="7"/>
      <c r="L416" s="7"/>
      <c r="O416" s="30" t="str">
        <f t="shared" si="31"/>
        <v/>
      </c>
      <c r="P416" s="30" t="str">
        <f t="shared" si="32"/>
        <v/>
      </c>
      <c r="Q416" s="30" t="str">
        <f t="shared" si="33"/>
        <v/>
      </c>
      <c r="R416" s="30" t="str">
        <f t="shared" si="34"/>
        <v/>
      </c>
      <c r="S416" s="30" t="str">
        <f t="shared" si="35"/>
        <v/>
      </c>
    </row>
    <row r="417" spans="1:19">
      <c r="A417" s="7" t="s">
        <v>468</v>
      </c>
      <c r="B417" s="7"/>
      <c r="C417" s="7"/>
      <c r="D417" s="7"/>
      <c r="E417" s="7"/>
      <c r="F417" s="7"/>
      <c r="H417" s="7"/>
      <c r="I417" s="7"/>
      <c r="J417" s="7"/>
      <c r="K417" s="7"/>
      <c r="L417" s="7"/>
      <c r="O417" s="30" t="str">
        <f t="shared" si="31"/>
        <v/>
      </c>
      <c r="P417" s="30" t="str">
        <f t="shared" si="32"/>
        <v/>
      </c>
      <c r="Q417" s="30" t="str">
        <f t="shared" si="33"/>
        <v/>
      </c>
      <c r="R417" s="30" t="str">
        <f t="shared" si="34"/>
        <v/>
      </c>
      <c r="S417" s="30" t="str">
        <f t="shared" si="35"/>
        <v/>
      </c>
    </row>
    <row r="418" spans="1:19">
      <c r="A418" s="7" t="s">
        <v>469</v>
      </c>
      <c r="B418" s="7"/>
      <c r="C418" s="7"/>
      <c r="D418" s="7"/>
      <c r="E418" s="7"/>
      <c r="F418" s="7"/>
      <c r="H418" s="7"/>
      <c r="I418" s="7"/>
      <c r="J418" s="7"/>
      <c r="K418" s="7"/>
      <c r="L418" s="7"/>
      <c r="O418" s="30" t="str">
        <f t="shared" si="31"/>
        <v/>
      </c>
      <c r="P418" s="30" t="str">
        <f t="shared" si="32"/>
        <v/>
      </c>
      <c r="Q418" s="30" t="str">
        <f t="shared" si="33"/>
        <v/>
      </c>
      <c r="R418" s="30" t="str">
        <f t="shared" si="34"/>
        <v/>
      </c>
      <c r="S418" s="30" t="str">
        <f t="shared" si="35"/>
        <v/>
      </c>
    </row>
    <row r="419" spans="1:19">
      <c r="A419" s="7" t="s">
        <v>470</v>
      </c>
      <c r="B419" s="7"/>
      <c r="C419" s="7"/>
      <c r="D419" s="7"/>
      <c r="E419" s="7"/>
      <c r="F419" s="7"/>
      <c r="H419" s="7"/>
      <c r="I419" s="7"/>
      <c r="J419" s="7"/>
      <c r="K419" s="7"/>
      <c r="L419" s="7"/>
      <c r="O419" s="30" t="str">
        <f t="shared" si="31"/>
        <v/>
      </c>
      <c r="P419" s="30" t="str">
        <f t="shared" si="32"/>
        <v/>
      </c>
      <c r="Q419" s="30" t="str">
        <f t="shared" si="33"/>
        <v/>
      </c>
      <c r="R419" s="30" t="str">
        <f t="shared" si="34"/>
        <v/>
      </c>
      <c r="S419" s="30" t="str">
        <f t="shared" si="35"/>
        <v/>
      </c>
    </row>
    <row r="420" spans="1:19">
      <c r="A420" s="7" t="s">
        <v>471</v>
      </c>
      <c r="B420" s="7"/>
      <c r="C420" s="7"/>
      <c r="D420" s="7"/>
      <c r="E420" s="7"/>
      <c r="F420" s="7"/>
      <c r="H420" s="7"/>
      <c r="I420" s="7"/>
      <c r="J420" s="7"/>
      <c r="K420" s="7"/>
      <c r="L420" s="7"/>
      <c r="O420" s="30" t="str">
        <f t="shared" si="31"/>
        <v/>
      </c>
      <c r="P420" s="30" t="str">
        <f t="shared" si="32"/>
        <v/>
      </c>
      <c r="Q420" s="30" t="str">
        <f t="shared" si="33"/>
        <v/>
      </c>
      <c r="R420" s="30" t="str">
        <f t="shared" si="34"/>
        <v/>
      </c>
      <c r="S420" s="30" t="str">
        <f t="shared" si="35"/>
        <v/>
      </c>
    </row>
    <row r="421" spans="1:19">
      <c r="A421" s="7" t="s">
        <v>472</v>
      </c>
      <c r="B421" s="7"/>
      <c r="C421" s="7"/>
      <c r="D421" s="7"/>
      <c r="E421" s="7"/>
      <c r="F421" s="7"/>
      <c r="H421" s="7"/>
      <c r="I421" s="7"/>
      <c r="J421" s="7"/>
      <c r="K421" s="7"/>
      <c r="L421" s="7"/>
      <c r="O421" s="30" t="str">
        <f t="shared" si="31"/>
        <v/>
      </c>
      <c r="P421" s="30" t="str">
        <f t="shared" si="32"/>
        <v/>
      </c>
      <c r="Q421" s="30" t="str">
        <f t="shared" si="33"/>
        <v/>
      </c>
      <c r="R421" s="30" t="str">
        <f t="shared" si="34"/>
        <v/>
      </c>
      <c r="S421" s="30" t="str">
        <f t="shared" si="35"/>
        <v/>
      </c>
    </row>
    <row r="422" spans="1:19">
      <c r="A422" s="7" t="s">
        <v>473</v>
      </c>
      <c r="B422" s="7"/>
      <c r="C422" s="7"/>
      <c r="D422" s="7"/>
      <c r="E422" s="7"/>
      <c r="F422" s="7"/>
      <c r="H422" s="7"/>
      <c r="I422" s="7"/>
      <c r="J422" s="7"/>
      <c r="K422" s="7"/>
      <c r="L422" s="7"/>
      <c r="O422" s="30" t="str">
        <f t="shared" si="31"/>
        <v/>
      </c>
      <c r="P422" s="30" t="str">
        <f t="shared" si="32"/>
        <v/>
      </c>
      <c r="Q422" s="30" t="str">
        <f t="shared" si="33"/>
        <v/>
      </c>
      <c r="R422" s="30" t="str">
        <f t="shared" si="34"/>
        <v/>
      </c>
      <c r="S422" s="30" t="str">
        <f t="shared" si="35"/>
        <v/>
      </c>
    </row>
    <row r="423" spans="1:19">
      <c r="A423" s="7" t="s">
        <v>474</v>
      </c>
      <c r="B423" s="7"/>
      <c r="C423" s="7"/>
      <c r="D423" s="7"/>
      <c r="E423" s="7"/>
      <c r="F423" s="7"/>
      <c r="H423" s="7"/>
      <c r="I423" s="7"/>
      <c r="J423" s="7"/>
      <c r="K423" s="7"/>
      <c r="L423" s="7"/>
      <c r="O423" s="30" t="str">
        <f t="shared" si="31"/>
        <v/>
      </c>
      <c r="P423" s="30" t="str">
        <f t="shared" si="32"/>
        <v/>
      </c>
      <c r="Q423" s="30" t="str">
        <f t="shared" si="33"/>
        <v/>
      </c>
      <c r="R423" s="30" t="str">
        <f t="shared" si="34"/>
        <v/>
      </c>
      <c r="S423" s="30" t="str">
        <f t="shared" si="35"/>
        <v/>
      </c>
    </row>
    <row r="424" spans="1:19">
      <c r="A424" s="7" t="s">
        <v>475</v>
      </c>
      <c r="B424" s="7"/>
      <c r="C424" s="7"/>
      <c r="D424" s="7"/>
      <c r="E424" s="7"/>
      <c r="F424" s="7"/>
      <c r="H424" s="7"/>
      <c r="I424" s="7"/>
      <c r="J424" s="7"/>
      <c r="K424" s="7"/>
      <c r="L424" s="7"/>
      <c r="O424" s="30" t="str">
        <f t="shared" si="31"/>
        <v/>
      </c>
      <c r="P424" s="30" t="str">
        <f t="shared" si="32"/>
        <v/>
      </c>
      <c r="Q424" s="30" t="str">
        <f t="shared" si="33"/>
        <v/>
      </c>
      <c r="R424" s="30" t="str">
        <f t="shared" si="34"/>
        <v/>
      </c>
      <c r="S424" s="30" t="str">
        <f t="shared" si="35"/>
        <v/>
      </c>
    </row>
    <row r="425" spans="1:19">
      <c r="A425" s="7" t="s">
        <v>476</v>
      </c>
      <c r="B425" s="7"/>
      <c r="C425" s="7"/>
      <c r="D425" s="7"/>
      <c r="E425" s="7"/>
      <c r="F425" s="7"/>
      <c r="H425" s="7"/>
      <c r="I425" s="7"/>
      <c r="J425" s="7"/>
      <c r="K425" s="7"/>
      <c r="L425" s="7"/>
      <c r="O425" s="30" t="str">
        <f t="shared" si="31"/>
        <v/>
      </c>
      <c r="P425" s="30" t="str">
        <f t="shared" si="32"/>
        <v/>
      </c>
      <c r="Q425" s="30" t="str">
        <f t="shared" si="33"/>
        <v/>
      </c>
      <c r="R425" s="30" t="str">
        <f t="shared" si="34"/>
        <v/>
      </c>
      <c r="S425" s="30" t="str">
        <f t="shared" si="35"/>
        <v/>
      </c>
    </row>
    <row r="426" spans="1:19">
      <c r="A426" s="7" t="s">
        <v>477</v>
      </c>
      <c r="B426" s="7"/>
      <c r="C426" s="7"/>
      <c r="D426" s="7"/>
      <c r="E426" s="7"/>
      <c r="F426" s="7"/>
      <c r="H426" s="7"/>
      <c r="I426" s="7"/>
      <c r="J426" s="7"/>
      <c r="K426" s="7"/>
      <c r="L426" s="7"/>
      <c r="O426" s="30" t="str">
        <f t="shared" si="31"/>
        <v/>
      </c>
      <c r="P426" s="30" t="str">
        <f t="shared" si="32"/>
        <v/>
      </c>
      <c r="Q426" s="30" t="str">
        <f t="shared" si="33"/>
        <v/>
      </c>
      <c r="R426" s="30" t="str">
        <f t="shared" si="34"/>
        <v/>
      </c>
      <c r="S426" s="30" t="str">
        <f t="shared" si="35"/>
        <v/>
      </c>
    </row>
    <row r="427" spans="1:19">
      <c r="A427" s="7" t="s">
        <v>478</v>
      </c>
      <c r="B427" s="7"/>
      <c r="C427" s="7"/>
      <c r="D427" s="7"/>
      <c r="E427" s="7"/>
      <c r="F427" s="7"/>
      <c r="H427" s="7"/>
      <c r="I427" s="7"/>
      <c r="J427" s="7"/>
      <c r="K427" s="7"/>
      <c r="L427" s="7"/>
      <c r="O427" s="30" t="str">
        <f t="shared" si="31"/>
        <v/>
      </c>
      <c r="P427" s="30" t="str">
        <f t="shared" si="32"/>
        <v/>
      </c>
      <c r="Q427" s="30" t="str">
        <f t="shared" si="33"/>
        <v/>
      </c>
      <c r="R427" s="30" t="str">
        <f t="shared" si="34"/>
        <v/>
      </c>
      <c r="S427" s="30" t="str">
        <f t="shared" si="35"/>
        <v/>
      </c>
    </row>
    <row r="428" spans="1:19">
      <c r="A428" s="7" t="s">
        <v>479</v>
      </c>
      <c r="B428" s="7"/>
      <c r="C428" s="7"/>
      <c r="D428" s="7"/>
      <c r="E428" s="7"/>
      <c r="F428" s="7"/>
      <c r="H428" s="7"/>
      <c r="I428" s="7"/>
      <c r="J428" s="7"/>
      <c r="K428" s="7"/>
      <c r="L428" s="7"/>
      <c r="O428" s="30" t="str">
        <f t="shared" si="31"/>
        <v/>
      </c>
      <c r="P428" s="30" t="str">
        <f t="shared" si="32"/>
        <v/>
      </c>
      <c r="Q428" s="30" t="str">
        <f t="shared" si="33"/>
        <v/>
      </c>
      <c r="R428" s="30" t="str">
        <f t="shared" si="34"/>
        <v/>
      </c>
      <c r="S428" s="30" t="str">
        <f t="shared" si="35"/>
        <v/>
      </c>
    </row>
    <row r="429" spans="1:19">
      <c r="A429" s="7" t="s">
        <v>480</v>
      </c>
      <c r="B429" s="7"/>
      <c r="C429" s="7"/>
      <c r="D429" s="7"/>
      <c r="E429" s="7"/>
      <c r="F429" s="7"/>
      <c r="H429" s="7"/>
      <c r="I429" s="7"/>
      <c r="J429" s="7"/>
      <c r="K429" s="7"/>
      <c r="L429" s="7"/>
      <c r="O429" s="30" t="str">
        <f t="shared" si="31"/>
        <v/>
      </c>
      <c r="P429" s="30" t="str">
        <f t="shared" si="32"/>
        <v/>
      </c>
      <c r="Q429" s="30" t="str">
        <f t="shared" si="33"/>
        <v/>
      </c>
      <c r="R429" s="30" t="str">
        <f t="shared" si="34"/>
        <v/>
      </c>
      <c r="S429" s="30" t="str">
        <f t="shared" si="35"/>
        <v/>
      </c>
    </row>
    <row r="430" spans="1:19">
      <c r="A430" s="7" t="s">
        <v>481</v>
      </c>
      <c r="B430" s="7"/>
      <c r="C430" s="7"/>
      <c r="D430" s="7"/>
      <c r="E430" s="7"/>
      <c r="F430" s="7"/>
      <c r="H430" s="7"/>
      <c r="I430" s="7"/>
      <c r="J430" s="7"/>
      <c r="K430" s="7"/>
      <c r="L430" s="7"/>
      <c r="O430" s="30" t="str">
        <f t="shared" si="31"/>
        <v/>
      </c>
      <c r="P430" s="30" t="str">
        <f t="shared" si="32"/>
        <v/>
      </c>
      <c r="Q430" s="30" t="str">
        <f t="shared" si="33"/>
        <v/>
      </c>
      <c r="R430" s="30" t="str">
        <f t="shared" si="34"/>
        <v/>
      </c>
      <c r="S430" s="30" t="str">
        <f t="shared" si="35"/>
        <v/>
      </c>
    </row>
    <row r="431" spans="1:19">
      <c r="A431" s="7" t="s">
        <v>482</v>
      </c>
      <c r="B431" s="7"/>
      <c r="C431" s="7"/>
      <c r="D431" s="7"/>
      <c r="E431" s="7"/>
      <c r="F431" s="7"/>
      <c r="H431" s="7"/>
      <c r="I431" s="7"/>
      <c r="J431" s="7"/>
      <c r="K431" s="7"/>
      <c r="L431" s="7"/>
      <c r="O431" s="30" t="str">
        <f t="shared" si="31"/>
        <v/>
      </c>
      <c r="P431" s="30" t="str">
        <f t="shared" si="32"/>
        <v/>
      </c>
      <c r="Q431" s="30" t="str">
        <f t="shared" si="33"/>
        <v/>
      </c>
      <c r="R431" s="30" t="str">
        <f t="shared" si="34"/>
        <v/>
      </c>
      <c r="S431" s="30" t="str">
        <f t="shared" si="35"/>
        <v/>
      </c>
    </row>
    <row r="432" spans="1:19">
      <c r="A432" s="7" t="s">
        <v>483</v>
      </c>
      <c r="B432" s="7"/>
      <c r="C432" s="7"/>
      <c r="D432" s="7"/>
      <c r="E432" s="7"/>
      <c r="F432" s="7"/>
      <c r="H432" s="7"/>
      <c r="I432" s="7"/>
      <c r="J432" s="7"/>
      <c r="K432" s="7"/>
      <c r="L432" s="7"/>
      <c r="O432" s="30" t="str">
        <f t="shared" si="31"/>
        <v/>
      </c>
      <c r="P432" s="30" t="str">
        <f t="shared" si="32"/>
        <v/>
      </c>
      <c r="Q432" s="30" t="str">
        <f t="shared" si="33"/>
        <v/>
      </c>
      <c r="R432" s="30" t="str">
        <f t="shared" si="34"/>
        <v/>
      </c>
      <c r="S432" s="30" t="str">
        <f t="shared" si="35"/>
        <v/>
      </c>
    </row>
    <row r="433" spans="1:19">
      <c r="A433" s="7" t="s">
        <v>484</v>
      </c>
      <c r="B433" s="7"/>
      <c r="C433" s="7"/>
      <c r="D433" s="7"/>
      <c r="E433" s="7"/>
      <c r="F433" s="7"/>
      <c r="H433" s="7"/>
      <c r="I433" s="7"/>
      <c r="J433" s="7"/>
      <c r="K433" s="7"/>
      <c r="L433" s="7"/>
      <c r="O433" s="30" t="str">
        <f t="shared" si="31"/>
        <v/>
      </c>
      <c r="P433" s="30" t="str">
        <f t="shared" si="32"/>
        <v/>
      </c>
      <c r="Q433" s="30" t="str">
        <f t="shared" si="33"/>
        <v/>
      </c>
      <c r="R433" s="30" t="str">
        <f t="shared" si="34"/>
        <v/>
      </c>
      <c r="S433" s="30" t="str">
        <f t="shared" si="35"/>
        <v/>
      </c>
    </row>
    <row r="434" spans="1:19">
      <c r="A434" s="7" t="s">
        <v>485</v>
      </c>
      <c r="B434" s="7"/>
      <c r="C434" s="7"/>
      <c r="D434" s="7"/>
      <c r="E434" s="7"/>
      <c r="F434" s="7"/>
      <c r="H434" s="7"/>
      <c r="I434" s="7"/>
      <c r="J434" s="7"/>
      <c r="K434" s="7"/>
      <c r="L434" s="7"/>
      <c r="O434" s="30" t="str">
        <f t="shared" si="31"/>
        <v/>
      </c>
      <c r="P434" s="30" t="str">
        <f t="shared" si="32"/>
        <v/>
      </c>
      <c r="Q434" s="30" t="str">
        <f t="shared" si="33"/>
        <v/>
      </c>
      <c r="R434" s="30" t="str">
        <f t="shared" si="34"/>
        <v/>
      </c>
      <c r="S434" s="30" t="str">
        <f t="shared" si="35"/>
        <v/>
      </c>
    </row>
    <row r="435" spans="1:19">
      <c r="A435" s="7" t="s">
        <v>486</v>
      </c>
      <c r="B435" s="7"/>
      <c r="C435" s="7"/>
      <c r="D435" s="7"/>
      <c r="E435" s="7"/>
      <c r="F435" s="7"/>
      <c r="H435" s="7"/>
      <c r="I435" s="7"/>
      <c r="J435" s="7"/>
      <c r="K435" s="7"/>
      <c r="L435" s="7"/>
      <c r="O435" s="30" t="str">
        <f t="shared" si="31"/>
        <v/>
      </c>
      <c r="P435" s="30" t="str">
        <f t="shared" si="32"/>
        <v/>
      </c>
      <c r="Q435" s="30" t="str">
        <f t="shared" si="33"/>
        <v/>
      </c>
      <c r="R435" s="30" t="str">
        <f t="shared" si="34"/>
        <v/>
      </c>
      <c r="S435" s="30" t="str">
        <f t="shared" si="35"/>
        <v/>
      </c>
    </row>
    <row r="436" spans="1:19">
      <c r="A436" s="7" t="s">
        <v>487</v>
      </c>
      <c r="B436" s="7"/>
      <c r="C436" s="7"/>
      <c r="D436" s="7"/>
      <c r="E436" s="7"/>
      <c r="F436" s="7"/>
      <c r="H436" s="7"/>
      <c r="I436" s="7"/>
      <c r="J436" s="7"/>
      <c r="K436" s="7"/>
      <c r="L436" s="7"/>
      <c r="O436" s="30" t="str">
        <f t="shared" si="31"/>
        <v/>
      </c>
      <c r="P436" s="30" t="str">
        <f t="shared" si="32"/>
        <v/>
      </c>
      <c r="Q436" s="30" t="str">
        <f t="shared" si="33"/>
        <v/>
      </c>
      <c r="R436" s="30" t="str">
        <f t="shared" si="34"/>
        <v/>
      </c>
      <c r="S436" s="30" t="str">
        <f t="shared" si="35"/>
        <v/>
      </c>
    </row>
    <row r="437" spans="1:19">
      <c r="A437" s="7" t="s">
        <v>488</v>
      </c>
      <c r="B437" s="7"/>
      <c r="C437" s="7"/>
      <c r="D437" s="7"/>
      <c r="E437" s="7"/>
      <c r="F437" s="7"/>
      <c r="H437" s="7"/>
      <c r="I437" s="7"/>
      <c r="J437" s="7"/>
      <c r="K437" s="7"/>
      <c r="L437" s="7"/>
      <c r="O437" s="30" t="str">
        <f t="shared" si="31"/>
        <v/>
      </c>
      <c r="P437" s="30" t="str">
        <f t="shared" si="32"/>
        <v/>
      </c>
      <c r="Q437" s="30" t="str">
        <f t="shared" si="33"/>
        <v/>
      </c>
      <c r="R437" s="30" t="str">
        <f t="shared" si="34"/>
        <v/>
      </c>
      <c r="S437" s="30" t="str">
        <f t="shared" si="35"/>
        <v/>
      </c>
    </row>
    <row r="438" spans="1:19">
      <c r="A438" s="7" t="s">
        <v>489</v>
      </c>
      <c r="B438" s="7"/>
      <c r="C438" s="7"/>
      <c r="D438" s="7"/>
      <c r="E438" s="7"/>
      <c r="F438" s="7"/>
      <c r="H438" s="7"/>
      <c r="I438" s="7"/>
      <c r="J438" s="7"/>
      <c r="K438" s="7"/>
      <c r="L438" s="7"/>
      <c r="O438" s="30" t="str">
        <f t="shared" si="31"/>
        <v/>
      </c>
      <c r="P438" s="30" t="str">
        <f t="shared" si="32"/>
        <v/>
      </c>
      <c r="Q438" s="30" t="str">
        <f t="shared" si="33"/>
        <v/>
      </c>
      <c r="R438" s="30" t="str">
        <f t="shared" si="34"/>
        <v/>
      </c>
      <c r="S438" s="30" t="str">
        <f t="shared" si="35"/>
        <v/>
      </c>
    </row>
    <row r="439" spans="1:19">
      <c r="A439" s="7" t="s">
        <v>490</v>
      </c>
      <c r="B439" s="7"/>
      <c r="C439" s="7"/>
      <c r="D439" s="7"/>
      <c r="E439" s="7"/>
      <c r="F439" s="7"/>
      <c r="H439" s="7"/>
      <c r="I439" s="7"/>
      <c r="J439" s="7"/>
      <c r="K439" s="7"/>
      <c r="L439" s="7"/>
      <c r="O439" s="30" t="str">
        <f t="shared" si="31"/>
        <v/>
      </c>
      <c r="P439" s="30" t="str">
        <f t="shared" si="32"/>
        <v/>
      </c>
      <c r="Q439" s="30" t="str">
        <f t="shared" si="33"/>
        <v/>
      </c>
      <c r="R439" s="30" t="str">
        <f t="shared" si="34"/>
        <v/>
      </c>
      <c r="S439" s="30" t="str">
        <f t="shared" si="35"/>
        <v/>
      </c>
    </row>
    <row r="440" spans="1:19">
      <c r="A440" s="7" t="s">
        <v>491</v>
      </c>
      <c r="B440" s="7"/>
      <c r="C440" s="7"/>
      <c r="D440" s="7"/>
      <c r="E440" s="7"/>
      <c r="F440" s="7"/>
      <c r="H440" s="7"/>
      <c r="I440" s="7"/>
      <c r="J440" s="7"/>
      <c r="K440" s="7"/>
      <c r="L440" s="7"/>
      <c r="O440" s="30" t="str">
        <f t="shared" si="31"/>
        <v/>
      </c>
      <c r="P440" s="30" t="str">
        <f t="shared" si="32"/>
        <v/>
      </c>
      <c r="Q440" s="30" t="str">
        <f t="shared" si="33"/>
        <v/>
      </c>
      <c r="R440" s="30" t="str">
        <f t="shared" si="34"/>
        <v/>
      </c>
      <c r="S440" s="30" t="str">
        <f t="shared" si="35"/>
        <v/>
      </c>
    </row>
    <row r="441" spans="1:19">
      <c r="A441" s="7" t="s">
        <v>492</v>
      </c>
      <c r="B441" s="7"/>
      <c r="C441" s="7"/>
      <c r="D441" s="7"/>
      <c r="E441" s="7"/>
      <c r="F441" s="7"/>
      <c r="H441" s="7"/>
      <c r="I441" s="7"/>
      <c r="J441" s="7"/>
      <c r="K441" s="7"/>
      <c r="L441" s="7"/>
      <c r="O441" s="30" t="str">
        <f t="shared" si="31"/>
        <v/>
      </c>
      <c r="P441" s="30" t="str">
        <f t="shared" si="32"/>
        <v/>
      </c>
      <c r="Q441" s="30" t="str">
        <f t="shared" si="33"/>
        <v/>
      </c>
      <c r="R441" s="30" t="str">
        <f t="shared" si="34"/>
        <v/>
      </c>
      <c r="S441" s="30" t="str">
        <f t="shared" si="35"/>
        <v/>
      </c>
    </row>
    <row r="442" spans="1:19">
      <c r="A442" s="7" t="s">
        <v>493</v>
      </c>
      <c r="B442" s="7"/>
      <c r="C442" s="7"/>
      <c r="D442" s="7"/>
      <c r="E442" s="7"/>
      <c r="F442" s="7"/>
      <c r="H442" s="7"/>
      <c r="I442" s="7"/>
      <c r="J442" s="7"/>
      <c r="K442" s="7"/>
      <c r="L442" s="7"/>
      <c r="O442" s="30" t="str">
        <f t="shared" si="31"/>
        <v/>
      </c>
      <c r="P442" s="30" t="str">
        <f t="shared" si="32"/>
        <v/>
      </c>
      <c r="Q442" s="30" t="str">
        <f t="shared" si="33"/>
        <v/>
      </c>
      <c r="R442" s="30" t="str">
        <f t="shared" si="34"/>
        <v/>
      </c>
      <c r="S442" s="30" t="str">
        <f t="shared" si="35"/>
        <v/>
      </c>
    </row>
    <row r="443" spans="1:19">
      <c r="A443" s="7" t="s">
        <v>494</v>
      </c>
      <c r="B443" s="7"/>
      <c r="C443" s="7"/>
      <c r="D443" s="7"/>
      <c r="E443" s="7"/>
      <c r="F443" s="7"/>
      <c r="H443" s="7"/>
      <c r="I443" s="7"/>
      <c r="J443" s="7"/>
      <c r="K443" s="7"/>
      <c r="L443" s="7"/>
      <c r="O443" s="30" t="str">
        <f t="shared" si="31"/>
        <v/>
      </c>
      <c r="P443" s="30" t="str">
        <f t="shared" si="32"/>
        <v/>
      </c>
      <c r="Q443" s="30" t="str">
        <f t="shared" si="33"/>
        <v/>
      </c>
      <c r="R443" s="30" t="str">
        <f t="shared" si="34"/>
        <v/>
      </c>
      <c r="S443" s="30" t="str">
        <f t="shared" si="35"/>
        <v/>
      </c>
    </row>
    <row r="444" spans="1:19">
      <c r="A444" s="7" t="s">
        <v>495</v>
      </c>
      <c r="B444" s="7"/>
      <c r="C444" s="7"/>
      <c r="D444" s="7"/>
      <c r="E444" s="7"/>
      <c r="F444" s="7"/>
      <c r="H444" s="7"/>
      <c r="I444" s="7"/>
      <c r="J444" s="7"/>
      <c r="K444" s="7"/>
      <c r="L444" s="7"/>
      <c r="O444" s="30" t="str">
        <f t="shared" si="31"/>
        <v/>
      </c>
      <c r="P444" s="30" t="str">
        <f t="shared" si="32"/>
        <v/>
      </c>
      <c r="Q444" s="30" t="str">
        <f t="shared" si="33"/>
        <v/>
      </c>
      <c r="R444" s="30" t="str">
        <f t="shared" si="34"/>
        <v/>
      </c>
      <c r="S444" s="30" t="str">
        <f t="shared" si="35"/>
        <v/>
      </c>
    </row>
    <row r="445" spans="1:19">
      <c r="A445" s="7" t="s">
        <v>496</v>
      </c>
      <c r="B445" s="7"/>
      <c r="C445" s="7"/>
      <c r="D445" s="7"/>
      <c r="E445" s="7"/>
      <c r="F445" s="7"/>
      <c r="H445" s="7"/>
      <c r="I445" s="7"/>
      <c r="J445" s="7"/>
      <c r="K445" s="7"/>
      <c r="L445" s="7"/>
      <c r="O445" s="30" t="str">
        <f t="shared" si="31"/>
        <v/>
      </c>
      <c r="P445" s="30" t="str">
        <f t="shared" si="32"/>
        <v/>
      </c>
      <c r="Q445" s="30" t="str">
        <f t="shared" si="33"/>
        <v/>
      </c>
      <c r="R445" s="30" t="str">
        <f t="shared" si="34"/>
        <v/>
      </c>
      <c r="S445" s="30" t="str">
        <f t="shared" si="35"/>
        <v/>
      </c>
    </row>
    <row r="446" spans="1:19">
      <c r="A446" s="7" t="s">
        <v>497</v>
      </c>
      <c r="B446" s="7"/>
      <c r="C446" s="7"/>
      <c r="D446" s="7"/>
      <c r="E446" s="7"/>
      <c r="F446" s="7"/>
      <c r="H446" s="7"/>
      <c r="I446" s="7"/>
      <c r="J446" s="7"/>
      <c r="K446" s="7"/>
      <c r="L446" s="7"/>
      <c r="O446" s="30" t="str">
        <f t="shared" si="31"/>
        <v/>
      </c>
      <c r="P446" s="30" t="str">
        <f t="shared" si="32"/>
        <v/>
      </c>
      <c r="Q446" s="30" t="str">
        <f t="shared" si="33"/>
        <v/>
      </c>
      <c r="R446" s="30" t="str">
        <f t="shared" si="34"/>
        <v/>
      </c>
      <c r="S446" s="30" t="str">
        <f t="shared" si="35"/>
        <v/>
      </c>
    </row>
    <row r="447" spans="1:19">
      <c r="A447" s="7" t="s">
        <v>498</v>
      </c>
      <c r="B447" s="7"/>
      <c r="C447" s="7"/>
      <c r="D447" s="7"/>
      <c r="E447" s="7"/>
      <c r="F447" s="7"/>
      <c r="H447" s="7"/>
      <c r="I447" s="7"/>
      <c r="J447" s="7"/>
      <c r="K447" s="7"/>
      <c r="L447" s="7"/>
      <c r="O447" s="30" t="str">
        <f t="shared" si="31"/>
        <v/>
      </c>
      <c r="P447" s="30" t="str">
        <f t="shared" si="32"/>
        <v/>
      </c>
      <c r="Q447" s="30" t="str">
        <f t="shared" si="33"/>
        <v/>
      </c>
      <c r="R447" s="30" t="str">
        <f t="shared" si="34"/>
        <v/>
      </c>
      <c r="S447" s="30" t="str">
        <f t="shared" si="35"/>
        <v/>
      </c>
    </row>
    <row r="448" spans="1:19">
      <c r="A448" s="7" t="s">
        <v>499</v>
      </c>
      <c r="B448" s="7"/>
      <c r="C448" s="7"/>
      <c r="D448" s="7"/>
      <c r="E448" s="7"/>
      <c r="F448" s="7"/>
      <c r="H448" s="7"/>
      <c r="I448" s="7"/>
      <c r="J448" s="7"/>
      <c r="K448" s="7"/>
      <c r="L448" s="7"/>
      <c r="O448" s="30" t="str">
        <f t="shared" si="31"/>
        <v/>
      </c>
      <c r="P448" s="30" t="str">
        <f t="shared" si="32"/>
        <v/>
      </c>
      <c r="Q448" s="30" t="str">
        <f t="shared" si="33"/>
        <v/>
      </c>
      <c r="R448" s="30" t="str">
        <f t="shared" si="34"/>
        <v/>
      </c>
      <c r="S448" s="30" t="str">
        <f t="shared" si="35"/>
        <v/>
      </c>
    </row>
    <row r="449" spans="1:19">
      <c r="A449" s="7" t="s">
        <v>500</v>
      </c>
      <c r="B449" s="7"/>
      <c r="C449" s="7"/>
      <c r="D449" s="7"/>
      <c r="E449" s="7"/>
      <c r="F449" s="7"/>
      <c r="H449" s="7"/>
      <c r="I449" s="7"/>
      <c r="J449" s="7"/>
      <c r="K449" s="7"/>
      <c r="L449" s="7"/>
      <c r="O449" s="30" t="str">
        <f t="shared" si="31"/>
        <v/>
      </c>
      <c r="P449" s="30" t="str">
        <f t="shared" si="32"/>
        <v/>
      </c>
      <c r="Q449" s="30" t="str">
        <f t="shared" si="33"/>
        <v/>
      </c>
      <c r="R449" s="30" t="str">
        <f t="shared" si="34"/>
        <v/>
      </c>
      <c r="S449" s="30" t="str">
        <f t="shared" si="35"/>
        <v/>
      </c>
    </row>
    <row r="450" spans="1:19">
      <c r="A450" s="7" t="s">
        <v>501</v>
      </c>
      <c r="B450" s="7"/>
      <c r="C450" s="7"/>
      <c r="D450" s="7"/>
      <c r="E450" s="7"/>
      <c r="F450" s="7"/>
      <c r="H450" s="7"/>
      <c r="I450" s="7"/>
      <c r="J450" s="7"/>
      <c r="K450" s="7"/>
      <c r="L450" s="7"/>
      <c r="O450" s="30" t="str">
        <f t="shared" si="31"/>
        <v/>
      </c>
      <c r="P450" s="30" t="str">
        <f t="shared" si="32"/>
        <v/>
      </c>
      <c r="Q450" s="30" t="str">
        <f t="shared" si="33"/>
        <v/>
      </c>
      <c r="R450" s="30" t="str">
        <f t="shared" si="34"/>
        <v/>
      </c>
      <c r="S450" s="30" t="str">
        <f t="shared" si="35"/>
        <v/>
      </c>
    </row>
    <row r="451" spans="1:19">
      <c r="A451" s="7" t="s">
        <v>502</v>
      </c>
      <c r="B451" s="7"/>
      <c r="C451" s="7"/>
      <c r="D451" s="7"/>
      <c r="E451" s="7"/>
      <c r="F451" s="7"/>
      <c r="H451" s="7"/>
      <c r="I451" s="7"/>
      <c r="J451" s="7"/>
      <c r="K451" s="7"/>
      <c r="L451" s="7"/>
      <c r="O451" s="30" t="str">
        <f t="shared" si="31"/>
        <v/>
      </c>
      <c r="P451" s="30" t="str">
        <f t="shared" si="32"/>
        <v/>
      </c>
      <c r="Q451" s="30" t="str">
        <f t="shared" si="33"/>
        <v/>
      </c>
      <c r="R451" s="30" t="str">
        <f t="shared" si="34"/>
        <v/>
      </c>
      <c r="S451" s="30" t="str">
        <f t="shared" si="35"/>
        <v/>
      </c>
    </row>
    <row r="452" spans="1:19">
      <c r="A452" s="7" t="s">
        <v>503</v>
      </c>
      <c r="B452" s="7"/>
      <c r="C452" s="7"/>
      <c r="D452" s="7"/>
      <c r="E452" s="7"/>
      <c r="F452" s="7"/>
      <c r="H452" s="7"/>
      <c r="I452" s="7"/>
      <c r="J452" s="7"/>
      <c r="K452" s="7"/>
      <c r="L452" s="7"/>
      <c r="O452" s="30" t="str">
        <f t="shared" si="31"/>
        <v/>
      </c>
      <c r="P452" s="30" t="str">
        <f t="shared" si="32"/>
        <v/>
      </c>
      <c r="Q452" s="30" t="str">
        <f t="shared" si="33"/>
        <v/>
      </c>
      <c r="R452" s="30" t="str">
        <f t="shared" si="34"/>
        <v/>
      </c>
      <c r="S452" s="30" t="str">
        <f t="shared" si="35"/>
        <v/>
      </c>
    </row>
    <row r="453" spans="1:19">
      <c r="A453" s="7" t="s">
        <v>504</v>
      </c>
      <c r="B453" s="7"/>
      <c r="C453" s="7"/>
      <c r="D453" s="7"/>
      <c r="E453" s="7"/>
      <c r="F453" s="7"/>
      <c r="H453" s="7"/>
      <c r="I453" s="7"/>
      <c r="J453" s="7"/>
      <c r="K453" s="7"/>
      <c r="L453" s="7"/>
      <c r="O453" s="30" t="str">
        <f t="shared" si="31"/>
        <v/>
      </c>
      <c r="P453" s="30" t="str">
        <f t="shared" si="32"/>
        <v/>
      </c>
      <c r="Q453" s="30" t="str">
        <f t="shared" si="33"/>
        <v/>
      </c>
      <c r="R453" s="30" t="str">
        <f t="shared" si="34"/>
        <v/>
      </c>
      <c r="S453" s="30" t="str">
        <f t="shared" si="35"/>
        <v/>
      </c>
    </row>
    <row r="454" spans="1:19">
      <c r="A454" s="7" t="s">
        <v>505</v>
      </c>
      <c r="B454" s="7"/>
      <c r="C454" s="7"/>
      <c r="D454" s="7"/>
      <c r="E454" s="7"/>
      <c r="F454" s="7"/>
      <c r="H454" s="7"/>
      <c r="I454" s="7"/>
      <c r="J454" s="7"/>
      <c r="K454" s="7"/>
      <c r="L454" s="7"/>
      <c r="O454" s="30" t="str">
        <f t="shared" si="31"/>
        <v/>
      </c>
      <c r="P454" s="30" t="str">
        <f t="shared" si="32"/>
        <v/>
      </c>
      <c r="Q454" s="30" t="str">
        <f t="shared" si="33"/>
        <v/>
      </c>
      <c r="R454" s="30" t="str">
        <f t="shared" si="34"/>
        <v/>
      </c>
      <c r="S454" s="30" t="str">
        <f t="shared" si="35"/>
        <v/>
      </c>
    </row>
    <row r="455" spans="1:19">
      <c r="A455" s="7" t="s">
        <v>506</v>
      </c>
      <c r="B455" s="7"/>
      <c r="C455" s="7"/>
      <c r="D455" s="7"/>
      <c r="E455" s="7"/>
      <c r="F455" s="7"/>
      <c r="H455" s="7"/>
      <c r="I455" s="7"/>
      <c r="J455" s="7"/>
      <c r="K455" s="7"/>
      <c r="L455" s="7"/>
      <c r="O455" s="30" t="str">
        <f t="shared" si="31"/>
        <v/>
      </c>
      <c r="P455" s="30" t="str">
        <f t="shared" si="32"/>
        <v/>
      </c>
      <c r="Q455" s="30" t="str">
        <f t="shared" si="33"/>
        <v/>
      </c>
      <c r="R455" s="30" t="str">
        <f t="shared" si="34"/>
        <v/>
      </c>
      <c r="S455" s="30" t="str">
        <f t="shared" si="35"/>
        <v/>
      </c>
    </row>
    <row r="456" spans="1:19">
      <c r="A456" s="7" t="s">
        <v>507</v>
      </c>
      <c r="B456" s="7"/>
      <c r="C456" s="7"/>
      <c r="D456" s="7"/>
      <c r="E456" s="7"/>
      <c r="F456" s="7"/>
      <c r="H456" s="7"/>
      <c r="I456" s="7"/>
      <c r="J456" s="7"/>
      <c r="K456" s="7"/>
      <c r="L456" s="7"/>
      <c r="O456" s="30" t="str">
        <f t="shared" si="31"/>
        <v/>
      </c>
      <c r="P456" s="30" t="str">
        <f t="shared" si="32"/>
        <v/>
      </c>
      <c r="Q456" s="30" t="str">
        <f t="shared" si="33"/>
        <v/>
      </c>
      <c r="R456" s="30" t="str">
        <f t="shared" si="34"/>
        <v/>
      </c>
      <c r="S456" s="30" t="str">
        <f t="shared" si="35"/>
        <v/>
      </c>
    </row>
    <row r="457" spans="1:19">
      <c r="A457" s="7" t="s">
        <v>508</v>
      </c>
      <c r="B457" s="7"/>
      <c r="C457" s="7"/>
      <c r="D457" s="7"/>
      <c r="E457" s="7"/>
      <c r="F457" s="7"/>
      <c r="H457" s="7"/>
      <c r="I457" s="7"/>
      <c r="J457" s="7"/>
      <c r="K457" s="7"/>
      <c r="L457" s="7"/>
      <c r="O457" s="30" t="str">
        <f t="shared" ref="O457:O520" si="36">IF(H457&gt;0,"Angebot offen","")</f>
        <v/>
      </c>
      <c r="P457" s="30" t="str">
        <f t="shared" ref="P457:P520" si="37">IF(I457&gt;0,"Angebot offen","")</f>
        <v/>
      </c>
      <c r="Q457" s="30" t="str">
        <f t="shared" ref="Q457:Q520" si="38">IF(J457&gt;0,"Angebot offen","")</f>
        <v/>
      </c>
      <c r="R457" s="30" t="str">
        <f t="shared" ref="R457:R520" si="39">IF(K457&gt;0,"Angebot offen","")</f>
        <v/>
      </c>
      <c r="S457" s="30" t="str">
        <f t="shared" ref="S457:S520" si="40">IF(L457&gt;0,"Angebot offen","")</f>
        <v/>
      </c>
    </row>
    <row r="458" spans="1:19">
      <c r="A458" s="7" t="s">
        <v>509</v>
      </c>
      <c r="B458" s="7"/>
      <c r="C458" s="7"/>
      <c r="D458" s="7"/>
      <c r="E458" s="7"/>
      <c r="F458" s="7"/>
      <c r="H458" s="7"/>
      <c r="I458" s="7"/>
      <c r="J458" s="7"/>
      <c r="K458" s="7"/>
      <c r="L458" s="7"/>
      <c r="O458" s="30" t="str">
        <f t="shared" si="36"/>
        <v/>
      </c>
      <c r="P458" s="30" t="str">
        <f t="shared" si="37"/>
        <v/>
      </c>
      <c r="Q458" s="30" t="str">
        <f t="shared" si="38"/>
        <v/>
      </c>
      <c r="R458" s="30" t="str">
        <f t="shared" si="39"/>
        <v/>
      </c>
      <c r="S458" s="30" t="str">
        <f t="shared" si="40"/>
        <v/>
      </c>
    </row>
    <row r="459" spans="1:19">
      <c r="A459" s="7" t="s">
        <v>510</v>
      </c>
      <c r="B459" s="7"/>
      <c r="C459" s="7"/>
      <c r="D459" s="7"/>
      <c r="E459" s="7"/>
      <c r="F459" s="7"/>
      <c r="H459" s="7"/>
      <c r="I459" s="7"/>
      <c r="J459" s="7"/>
      <c r="K459" s="7"/>
      <c r="L459" s="7"/>
      <c r="O459" s="30" t="str">
        <f t="shared" si="36"/>
        <v/>
      </c>
      <c r="P459" s="30" t="str">
        <f t="shared" si="37"/>
        <v/>
      </c>
      <c r="Q459" s="30" t="str">
        <f t="shared" si="38"/>
        <v/>
      </c>
      <c r="R459" s="30" t="str">
        <f t="shared" si="39"/>
        <v/>
      </c>
      <c r="S459" s="30" t="str">
        <f t="shared" si="40"/>
        <v/>
      </c>
    </row>
    <row r="460" spans="1:19">
      <c r="A460" s="7" t="s">
        <v>511</v>
      </c>
      <c r="B460" s="7"/>
      <c r="C460" s="7"/>
      <c r="D460" s="7"/>
      <c r="E460" s="7"/>
      <c r="F460" s="7"/>
      <c r="H460" s="7"/>
      <c r="I460" s="7"/>
      <c r="J460" s="7"/>
      <c r="K460" s="7"/>
      <c r="L460" s="7"/>
      <c r="O460" s="30" t="str">
        <f t="shared" si="36"/>
        <v/>
      </c>
      <c r="P460" s="30" t="str">
        <f t="shared" si="37"/>
        <v/>
      </c>
      <c r="Q460" s="30" t="str">
        <f t="shared" si="38"/>
        <v/>
      </c>
      <c r="R460" s="30" t="str">
        <f t="shared" si="39"/>
        <v/>
      </c>
      <c r="S460" s="30" t="str">
        <f t="shared" si="40"/>
        <v/>
      </c>
    </row>
    <row r="461" spans="1:19">
      <c r="A461" s="7" t="s">
        <v>512</v>
      </c>
      <c r="B461" s="7"/>
      <c r="C461" s="7"/>
      <c r="D461" s="7"/>
      <c r="E461" s="7"/>
      <c r="F461" s="7"/>
      <c r="H461" s="7"/>
      <c r="I461" s="7"/>
      <c r="J461" s="7"/>
      <c r="K461" s="7"/>
      <c r="L461" s="7"/>
      <c r="O461" s="30" t="str">
        <f t="shared" si="36"/>
        <v/>
      </c>
      <c r="P461" s="30" t="str">
        <f t="shared" si="37"/>
        <v/>
      </c>
      <c r="Q461" s="30" t="str">
        <f t="shared" si="38"/>
        <v/>
      </c>
      <c r="R461" s="30" t="str">
        <f t="shared" si="39"/>
        <v/>
      </c>
      <c r="S461" s="30" t="str">
        <f t="shared" si="40"/>
        <v/>
      </c>
    </row>
    <row r="462" spans="1:19">
      <c r="A462" s="7" t="s">
        <v>513</v>
      </c>
      <c r="B462" s="7"/>
      <c r="C462" s="7"/>
      <c r="D462" s="7"/>
      <c r="E462" s="7"/>
      <c r="F462" s="7"/>
      <c r="H462" s="7"/>
      <c r="I462" s="7"/>
      <c r="J462" s="7"/>
      <c r="K462" s="7"/>
      <c r="L462" s="7"/>
      <c r="O462" s="30" t="str">
        <f t="shared" si="36"/>
        <v/>
      </c>
      <c r="P462" s="30" t="str">
        <f t="shared" si="37"/>
        <v/>
      </c>
      <c r="Q462" s="30" t="str">
        <f t="shared" si="38"/>
        <v/>
      </c>
      <c r="R462" s="30" t="str">
        <f t="shared" si="39"/>
        <v/>
      </c>
      <c r="S462" s="30" t="str">
        <f t="shared" si="40"/>
        <v/>
      </c>
    </row>
    <row r="463" spans="1:19">
      <c r="A463" s="7" t="s">
        <v>514</v>
      </c>
      <c r="B463" s="7"/>
      <c r="C463" s="7"/>
      <c r="D463" s="7"/>
      <c r="E463" s="7"/>
      <c r="F463" s="7"/>
      <c r="H463" s="7"/>
      <c r="I463" s="7"/>
      <c r="J463" s="7"/>
      <c r="K463" s="7"/>
      <c r="L463" s="7"/>
      <c r="O463" s="30" t="str">
        <f t="shared" si="36"/>
        <v/>
      </c>
      <c r="P463" s="30" t="str">
        <f t="shared" si="37"/>
        <v/>
      </c>
      <c r="Q463" s="30" t="str">
        <f t="shared" si="38"/>
        <v/>
      </c>
      <c r="R463" s="30" t="str">
        <f t="shared" si="39"/>
        <v/>
      </c>
      <c r="S463" s="30" t="str">
        <f t="shared" si="40"/>
        <v/>
      </c>
    </row>
    <row r="464" spans="1:19">
      <c r="A464" s="7" t="s">
        <v>515</v>
      </c>
      <c r="B464" s="7"/>
      <c r="C464" s="7"/>
      <c r="D464" s="7"/>
      <c r="E464" s="7"/>
      <c r="F464" s="7"/>
      <c r="H464" s="7"/>
      <c r="I464" s="7"/>
      <c r="J464" s="7"/>
      <c r="K464" s="7"/>
      <c r="L464" s="7"/>
      <c r="O464" s="30" t="str">
        <f t="shared" si="36"/>
        <v/>
      </c>
      <c r="P464" s="30" t="str">
        <f t="shared" si="37"/>
        <v/>
      </c>
      <c r="Q464" s="30" t="str">
        <f t="shared" si="38"/>
        <v/>
      </c>
      <c r="R464" s="30" t="str">
        <f t="shared" si="39"/>
        <v/>
      </c>
      <c r="S464" s="30" t="str">
        <f t="shared" si="40"/>
        <v/>
      </c>
    </row>
    <row r="465" spans="1:19">
      <c r="A465" s="7" t="s">
        <v>516</v>
      </c>
      <c r="B465" s="7"/>
      <c r="C465" s="7"/>
      <c r="D465" s="7"/>
      <c r="E465" s="7"/>
      <c r="F465" s="7"/>
      <c r="H465" s="7"/>
      <c r="I465" s="7"/>
      <c r="J465" s="7"/>
      <c r="K465" s="7"/>
      <c r="L465" s="7"/>
      <c r="O465" s="30" t="str">
        <f t="shared" si="36"/>
        <v/>
      </c>
      <c r="P465" s="30" t="str">
        <f t="shared" si="37"/>
        <v/>
      </c>
      <c r="Q465" s="30" t="str">
        <f t="shared" si="38"/>
        <v/>
      </c>
      <c r="R465" s="30" t="str">
        <f t="shared" si="39"/>
        <v/>
      </c>
      <c r="S465" s="30" t="str">
        <f t="shared" si="40"/>
        <v/>
      </c>
    </row>
    <row r="466" spans="1:19">
      <c r="A466" s="7" t="s">
        <v>517</v>
      </c>
      <c r="B466" s="7"/>
      <c r="C466" s="7"/>
      <c r="D466" s="7"/>
      <c r="E466" s="7"/>
      <c r="F466" s="7"/>
      <c r="H466" s="7"/>
      <c r="I466" s="7"/>
      <c r="J466" s="7"/>
      <c r="K466" s="7"/>
      <c r="L466" s="7"/>
      <c r="O466" s="30" t="str">
        <f t="shared" si="36"/>
        <v/>
      </c>
      <c r="P466" s="30" t="str">
        <f t="shared" si="37"/>
        <v/>
      </c>
      <c r="Q466" s="30" t="str">
        <f t="shared" si="38"/>
        <v/>
      </c>
      <c r="R466" s="30" t="str">
        <f t="shared" si="39"/>
        <v/>
      </c>
      <c r="S466" s="30" t="str">
        <f t="shared" si="40"/>
        <v/>
      </c>
    </row>
    <row r="467" spans="1:19">
      <c r="A467" s="7" t="s">
        <v>518</v>
      </c>
      <c r="B467" s="7"/>
      <c r="C467" s="7"/>
      <c r="D467" s="7"/>
      <c r="E467" s="7"/>
      <c r="F467" s="7"/>
      <c r="H467" s="7"/>
      <c r="I467" s="7"/>
      <c r="J467" s="7"/>
      <c r="K467" s="7"/>
      <c r="L467" s="7"/>
      <c r="O467" s="30" t="str">
        <f t="shared" si="36"/>
        <v/>
      </c>
      <c r="P467" s="30" t="str">
        <f t="shared" si="37"/>
        <v/>
      </c>
      <c r="Q467" s="30" t="str">
        <f t="shared" si="38"/>
        <v/>
      </c>
      <c r="R467" s="30" t="str">
        <f t="shared" si="39"/>
        <v/>
      </c>
      <c r="S467" s="30" t="str">
        <f t="shared" si="40"/>
        <v/>
      </c>
    </row>
    <row r="468" spans="1:19">
      <c r="A468" s="7" t="s">
        <v>519</v>
      </c>
      <c r="B468" s="7"/>
      <c r="C468" s="7"/>
      <c r="D468" s="7"/>
      <c r="E468" s="7"/>
      <c r="F468" s="7"/>
      <c r="H468" s="7"/>
      <c r="I468" s="7"/>
      <c r="J468" s="7"/>
      <c r="K468" s="7"/>
      <c r="L468" s="7"/>
      <c r="O468" s="30" t="str">
        <f t="shared" si="36"/>
        <v/>
      </c>
      <c r="P468" s="30" t="str">
        <f t="shared" si="37"/>
        <v/>
      </c>
      <c r="Q468" s="30" t="str">
        <f t="shared" si="38"/>
        <v/>
      </c>
      <c r="R468" s="30" t="str">
        <f t="shared" si="39"/>
        <v/>
      </c>
      <c r="S468" s="30" t="str">
        <f t="shared" si="40"/>
        <v/>
      </c>
    </row>
    <row r="469" spans="1:19">
      <c r="A469" s="7" t="s">
        <v>520</v>
      </c>
      <c r="B469" s="7"/>
      <c r="C469" s="7"/>
      <c r="D469" s="7"/>
      <c r="E469" s="7"/>
      <c r="F469" s="7"/>
      <c r="H469" s="7"/>
      <c r="I469" s="7"/>
      <c r="J469" s="7"/>
      <c r="K469" s="7"/>
      <c r="L469" s="7"/>
      <c r="O469" s="30" t="str">
        <f t="shared" si="36"/>
        <v/>
      </c>
      <c r="P469" s="30" t="str">
        <f t="shared" si="37"/>
        <v/>
      </c>
      <c r="Q469" s="30" t="str">
        <f t="shared" si="38"/>
        <v/>
      </c>
      <c r="R469" s="30" t="str">
        <f t="shared" si="39"/>
        <v/>
      </c>
      <c r="S469" s="30" t="str">
        <f t="shared" si="40"/>
        <v/>
      </c>
    </row>
    <row r="470" spans="1:19">
      <c r="A470" s="7" t="s">
        <v>521</v>
      </c>
      <c r="B470" s="7"/>
      <c r="C470" s="7"/>
      <c r="D470" s="7"/>
      <c r="E470" s="7"/>
      <c r="F470" s="7"/>
      <c r="H470" s="7"/>
      <c r="I470" s="7"/>
      <c r="J470" s="7"/>
      <c r="K470" s="7"/>
      <c r="L470" s="7"/>
      <c r="O470" s="30" t="str">
        <f t="shared" si="36"/>
        <v/>
      </c>
      <c r="P470" s="30" t="str">
        <f t="shared" si="37"/>
        <v/>
      </c>
      <c r="Q470" s="30" t="str">
        <f t="shared" si="38"/>
        <v/>
      </c>
      <c r="R470" s="30" t="str">
        <f t="shared" si="39"/>
        <v/>
      </c>
      <c r="S470" s="30" t="str">
        <f t="shared" si="40"/>
        <v/>
      </c>
    </row>
    <row r="471" spans="1:19">
      <c r="A471" s="7" t="s">
        <v>522</v>
      </c>
      <c r="B471" s="7"/>
      <c r="C471" s="7"/>
      <c r="D471" s="7"/>
      <c r="E471" s="7"/>
      <c r="F471" s="7"/>
      <c r="H471" s="7"/>
      <c r="I471" s="7"/>
      <c r="J471" s="7"/>
      <c r="K471" s="7"/>
      <c r="L471" s="7"/>
      <c r="O471" s="30" t="str">
        <f t="shared" si="36"/>
        <v/>
      </c>
      <c r="P471" s="30" t="str">
        <f t="shared" si="37"/>
        <v/>
      </c>
      <c r="Q471" s="30" t="str">
        <f t="shared" si="38"/>
        <v/>
      </c>
      <c r="R471" s="30" t="str">
        <f t="shared" si="39"/>
        <v/>
      </c>
      <c r="S471" s="30" t="str">
        <f t="shared" si="40"/>
        <v/>
      </c>
    </row>
    <row r="472" spans="1:19">
      <c r="A472" s="7" t="s">
        <v>523</v>
      </c>
      <c r="B472" s="7"/>
      <c r="C472" s="7"/>
      <c r="D472" s="7"/>
      <c r="E472" s="7"/>
      <c r="F472" s="7"/>
      <c r="H472" s="7"/>
      <c r="I472" s="7"/>
      <c r="J472" s="7"/>
      <c r="K472" s="7"/>
      <c r="L472" s="7"/>
      <c r="O472" s="30" t="str">
        <f t="shared" si="36"/>
        <v/>
      </c>
      <c r="P472" s="30" t="str">
        <f t="shared" si="37"/>
        <v/>
      </c>
      <c r="Q472" s="30" t="str">
        <f t="shared" si="38"/>
        <v/>
      </c>
      <c r="R472" s="30" t="str">
        <f t="shared" si="39"/>
        <v/>
      </c>
      <c r="S472" s="30" t="str">
        <f t="shared" si="40"/>
        <v/>
      </c>
    </row>
    <row r="473" spans="1:19">
      <c r="A473" s="7" t="s">
        <v>524</v>
      </c>
      <c r="B473" s="7"/>
      <c r="C473" s="7"/>
      <c r="D473" s="7"/>
      <c r="E473" s="7"/>
      <c r="F473" s="7"/>
      <c r="H473" s="7"/>
      <c r="I473" s="7"/>
      <c r="J473" s="7"/>
      <c r="K473" s="7"/>
      <c r="L473" s="7"/>
      <c r="O473" s="30" t="str">
        <f t="shared" si="36"/>
        <v/>
      </c>
      <c r="P473" s="30" t="str">
        <f t="shared" si="37"/>
        <v/>
      </c>
      <c r="Q473" s="30" t="str">
        <f t="shared" si="38"/>
        <v/>
      </c>
      <c r="R473" s="30" t="str">
        <f t="shared" si="39"/>
        <v/>
      </c>
      <c r="S473" s="30" t="str">
        <f t="shared" si="40"/>
        <v/>
      </c>
    </row>
    <row r="474" spans="1:19">
      <c r="A474" s="7" t="s">
        <v>525</v>
      </c>
      <c r="B474" s="7"/>
      <c r="C474" s="7"/>
      <c r="D474" s="7"/>
      <c r="E474" s="7"/>
      <c r="F474" s="7"/>
      <c r="H474" s="7"/>
      <c r="I474" s="7"/>
      <c r="J474" s="7"/>
      <c r="K474" s="7"/>
      <c r="L474" s="7"/>
      <c r="O474" s="30" t="str">
        <f t="shared" si="36"/>
        <v/>
      </c>
      <c r="P474" s="30" t="str">
        <f t="shared" si="37"/>
        <v/>
      </c>
      <c r="Q474" s="30" t="str">
        <f t="shared" si="38"/>
        <v/>
      </c>
      <c r="R474" s="30" t="str">
        <f t="shared" si="39"/>
        <v/>
      </c>
      <c r="S474" s="30" t="str">
        <f t="shared" si="40"/>
        <v/>
      </c>
    </row>
    <row r="475" spans="1:19">
      <c r="A475" s="7" t="s">
        <v>526</v>
      </c>
      <c r="B475" s="7"/>
      <c r="C475" s="7"/>
      <c r="D475" s="7"/>
      <c r="E475" s="7"/>
      <c r="F475" s="7"/>
      <c r="H475" s="7"/>
      <c r="I475" s="7"/>
      <c r="J475" s="7"/>
      <c r="K475" s="7"/>
      <c r="L475" s="7"/>
      <c r="O475" s="30" t="str">
        <f t="shared" si="36"/>
        <v/>
      </c>
      <c r="P475" s="30" t="str">
        <f t="shared" si="37"/>
        <v/>
      </c>
      <c r="Q475" s="30" t="str">
        <f t="shared" si="38"/>
        <v/>
      </c>
      <c r="R475" s="30" t="str">
        <f t="shared" si="39"/>
        <v/>
      </c>
      <c r="S475" s="30" t="str">
        <f t="shared" si="40"/>
        <v/>
      </c>
    </row>
    <row r="476" spans="1:19">
      <c r="A476" s="7" t="s">
        <v>527</v>
      </c>
      <c r="B476" s="7"/>
      <c r="C476" s="7"/>
      <c r="D476" s="7"/>
      <c r="E476" s="7"/>
      <c r="F476" s="7"/>
      <c r="H476" s="7"/>
      <c r="I476" s="7"/>
      <c r="J476" s="7"/>
      <c r="K476" s="7"/>
      <c r="L476" s="7"/>
      <c r="O476" s="30" t="str">
        <f t="shared" si="36"/>
        <v/>
      </c>
      <c r="P476" s="30" t="str">
        <f t="shared" si="37"/>
        <v/>
      </c>
      <c r="Q476" s="30" t="str">
        <f t="shared" si="38"/>
        <v/>
      </c>
      <c r="R476" s="30" t="str">
        <f t="shared" si="39"/>
        <v/>
      </c>
      <c r="S476" s="30" t="str">
        <f t="shared" si="40"/>
        <v/>
      </c>
    </row>
    <row r="477" spans="1:19">
      <c r="A477" s="7" t="s">
        <v>528</v>
      </c>
      <c r="B477" s="7"/>
      <c r="C477" s="7"/>
      <c r="D477" s="7"/>
      <c r="E477" s="7"/>
      <c r="F477" s="7"/>
      <c r="H477" s="7"/>
      <c r="I477" s="7"/>
      <c r="J477" s="7"/>
      <c r="K477" s="7"/>
      <c r="L477" s="7"/>
      <c r="O477" s="30" t="str">
        <f t="shared" si="36"/>
        <v/>
      </c>
      <c r="P477" s="30" t="str">
        <f t="shared" si="37"/>
        <v/>
      </c>
      <c r="Q477" s="30" t="str">
        <f t="shared" si="38"/>
        <v/>
      </c>
      <c r="R477" s="30" t="str">
        <f t="shared" si="39"/>
        <v/>
      </c>
      <c r="S477" s="30" t="str">
        <f t="shared" si="40"/>
        <v/>
      </c>
    </row>
    <row r="478" spans="1:19">
      <c r="A478" s="7" t="s">
        <v>529</v>
      </c>
      <c r="B478" s="7"/>
      <c r="C478" s="7"/>
      <c r="D478" s="7"/>
      <c r="E478" s="7"/>
      <c r="F478" s="7"/>
      <c r="H478" s="7"/>
      <c r="I478" s="7"/>
      <c r="J478" s="7"/>
      <c r="K478" s="7"/>
      <c r="L478" s="7"/>
      <c r="O478" s="30" t="str">
        <f t="shared" si="36"/>
        <v/>
      </c>
      <c r="P478" s="30" t="str">
        <f t="shared" si="37"/>
        <v/>
      </c>
      <c r="Q478" s="30" t="str">
        <f t="shared" si="38"/>
        <v/>
      </c>
      <c r="R478" s="30" t="str">
        <f t="shared" si="39"/>
        <v/>
      </c>
      <c r="S478" s="30" t="str">
        <f t="shared" si="40"/>
        <v/>
      </c>
    </row>
    <row r="479" spans="1:19">
      <c r="A479" s="7" t="s">
        <v>530</v>
      </c>
      <c r="B479" s="7"/>
      <c r="C479" s="7"/>
      <c r="D479" s="7"/>
      <c r="E479" s="7"/>
      <c r="F479" s="7"/>
      <c r="H479" s="7"/>
      <c r="I479" s="7"/>
      <c r="J479" s="7"/>
      <c r="K479" s="7"/>
      <c r="L479" s="7"/>
      <c r="O479" s="30" t="str">
        <f t="shared" si="36"/>
        <v/>
      </c>
      <c r="P479" s="30" t="str">
        <f t="shared" si="37"/>
        <v/>
      </c>
      <c r="Q479" s="30" t="str">
        <f t="shared" si="38"/>
        <v/>
      </c>
      <c r="R479" s="30" t="str">
        <f t="shared" si="39"/>
        <v/>
      </c>
      <c r="S479" s="30" t="str">
        <f t="shared" si="40"/>
        <v/>
      </c>
    </row>
    <row r="480" spans="1:19">
      <c r="A480" s="7" t="s">
        <v>531</v>
      </c>
      <c r="B480" s="7"/>
      <c r="C480" s="7"/>
      <c r="D480" s="7"/>
      <c r="E480" s="7"/>
      <c r="F480" s="7"/>
      <c r="H480" s="7"/>
      <c r="I480" s="7"/>
      <c r="J480" s="7"/>
      <c r="K480" s="7"/>
      <c r="L480" s="7"/>
      <c r="O480" s="30" t="str">
        <f t="shared" si="36"/>
        <v/>
      </c>
      <c r="P480" s="30" t="str">
        <f t="shared" si="37"/>
        <v/>
      </c>
      <c r="Q480" s="30" t="str">
        <f t="shared" si="38"/>
        <v/>
      </c>
      <c r="R480" s="30" t="str">
        <f t="shared" si="39"/>
        <v/>
      </c>
      <c r="S480" s="30" t="str">
        <f t="shared" si="40"/>
        <v/>
      </c>
    </row>
    <row r="481" spans="1:19">
      <c r="A481" s="7" t="s">
        <v>532</v>
      </c>
      <c r="B481" s="7"/>
      <c r="C481" s="7"/>
      <c r="D481" s="7"/>
      <c r="E481" s="7"/>
      <c r="F481" s="7"/>
      <c r="H481" s="7"/>
      <c r="I481" s="7"/>
      <c r="J481" s="7"/>
      <c r="K481" s="7"/>
      <c r="L481" s="7"/>
      <c r="O481" s="30" t="str">
        <f t="shared" si="36"/>
        <v/>
      </c>
      <c r="P481" s="30" t="str">
        <f t="shared" si="37"/>
        <v/>
      </c>
      <c r="Q481" s="30" t="str">
        <f t="shared" si="38"/>
        <v/>
      </c>
      <c r="R481" s="30" t="str">
        <f t="shared" si="39"/>
        <v/>
      </c>
      <c r="S481" s="30" t="str">
        <f t="shared" si="40"/>
        <v/>
      </c>
    </row>
    <row r="482" spans="1:19">
      <c r="A482" s="7" t="s">
        <v>533</v>
      </c>
      <c r="B482" s="7"/>
      <c r="C482" s="7"/>
      <c r="D482" s="7"/>
      <c r="E482" s="7"/>
      <c r="F482" s="7"/>
      <c r="H482" s="7"/>
      <c r="I482" s="7"/>
      <c r="J482" s="7"/>
      <c r="K482" s="7"/>
      <c r="L482" s="7"/>
      <c r="O482" s="30" t="str">
        <f t="shared" si="36"/>
        <v/>
      </c>
      <c r="P482" s="30" t="str">
        <f t="shared" si="37"/>
        <v/>
      </c>
      <c r="Q482" s="30" t="str">
        <f t="shared" si="38"/>
        <v/>
      </c>
      <c r="R482" s="30" t="str">
        <f t="shared" si="39"/>
        <v/>
      </c>
      <c r="S482" s="30" t="str">
        <f t="shared" si="40"/>
        <v/>
      </c>
    </row>
    <row r="483" spans="1:19">
      <c r="A483" s="7" t="s">
        <v>534</v>
      </c>
      <c r="B483" s="7"/>
      <c r="C483" s="7"/>
      <c r="D483" s="7"/>
      <c r="E483" s="7"/>
      <c r="F483" s="7"/>
      <c r="H483" s="7"/>
      <c r="I483" s="7"/>
      <c r="J483" s="7"/>
      <c r="K483" s="7"/>
      <c r="L483" s="7"/>
      <c r="O483" s="30" t="str">
        <f t="shared" si="36"/>
        <v/>
      </c>
      <c r="P483" s="30" t="str">
        <f t="shared" si="37"/>
        <v/>
      </c>
      <c r="Q483" s="30" t="str">
        <f t="shared" si="38"/>
        <v/>
      </c>
      <c r="R483" s="30" t="str">
        <f t="shared" si="39"/>
        <v/>
      </c>
      <c r="S483" s="30" t="str">
        <f t="shared" si="40"/>
        <v/>
      </c>
    </row>
    <row r="484" spans="1:19">
      <c r="A484" s="7" t="s">
        <v>535</v>
      </c>
      <c r="B484" s="7"/>
      <c r="C484" s="7"/>
      <c r="D484" s="7"/>
      <c r="E484" s="7"/>
      <c r="F484" s="7"/>
      <c r="H484" s="7"/>
      <c r="I484" s="7"/>
      <c r="J484" s="7"/>
      <c r="K484" s="7"/>
      <c r="L484" s="7"/>
      <c r="O484" s="30" t="str">
        <f t="shared" si="36"/>
        <v/>
      </c>
      <c r="P484" s="30" t="str">
        <f t="shared" si="37"/>
        <v/>
      </c>
      <c r="Q484" s="30" t="str">
        <f t="shared" si="38"/>
        <v/>
      </c>
      <c r="R484" s="30" t="str">
        <f t="shared" si="39"/>
        <v/>
      </c>
      <c r="S484" s="30" t="str">
        <f t="shared" si="40"/>
        <v/>
      </c>
    </row>
    <row r="485" spans="1:19">
      <c r="A485" s="7" t="s">
        <v>536</v>
      </c>
      <c r="B485" s="7"/>
      <c r="C485" s="7"/>
      <c r="D485" s="7"/>
      <c r="E485" s="7"/>
      <c r="F485" s="7"/>
      <c r="H485" s="7"/>
      <c r="I485" s="7"/>
      <c r="J485" s="7"/>
      <c r="K485" s="7"/>
      <c r="L485" s="7"/>
      <c r="O485" s="30" t="str">
        <f t="shared" si="36"/>
        <v/>
      </c>
      <c r="P485" s="30" t="str">
        <f t="shared" si="37"/>
        <v/>
      </c>
      <c r="Q485" s="30" t="str">
        <f t="shared" si="38"/>
        <v/>
      </c>
      <c r="R485" s="30" t="str">
        <f t="shared" si="39"/>
        <v/>
      </c>
      <c r="S485" s="30" t="str">
        <f t="shared" si="40"/>
        <v/>
      </c>
    </row>
    <row r="486" spans="1:19">
      <c r="A486" s="7" t="s">
        <v>537</v>
      </c>
      <c r="B486" s="7"/>
      <c r="C486" s="7"/>
      <c r="D486" s="7"/>
      <c r="E486" s="7"/>
      <c r="F486" s="7"/>
      <c r="H486" s="7"/>
      <c r="I486" s="7"/>
      <c r="J486" s="7"/>
      <c r="K486" s="7"/>
      <c r="L486" s="7"/>
      <c r="O486" s="30" t="str">
        <f t="shared" si="36"/>
        <v/>
      </c>
      <c r="P486" s="30" t="str">
        <f t="shared" si="37"/>
        <v/>
      </c>
      <c r="Q486" s="30" t="str">
        <f t="shared" si="38"/>
        <v/>
      </c>
      <c r="R486" s="30" t="str">
        <f t="shared" si="39"/>
        <v/>
      </c>
      <c r="S486" s="30" t="str">
        <f t="shared" si="40"/>
        <v/>
      </c>
    </row>
    <row r="487" spans="1:19">
      <c r="A487" s="7" t="s">
        <v>538</v>
      </c>
      <c r="B487" s="7"/>
      <c r="C487" s="7"/>
      <c r="D487" s="7"/>
      <c r="E487" s="7"/>
      <c r="F487" s="7"/>
      <c r="H487" s="7"/>
      <c r="I487" s="7"/>
      <c r="J487" s="7"/>
      <c r="K487" s="7"/>
      <c r="L487" s="7"/>
      <c r="O487" s="30" t="str">
        <f t="shared" si="36"/>
        <v/>
      </c>
      <c r="P487" s="30" t="str">
        <f t="shared" si="37"/>
        <v/>
      </c>
      <c r="Q487" s="30" t="str">
        <f t="shared" si="38"/>
        <v/>
      </c>
      <c r="R487" s="30" t="str">
        <f t="shared" si="39"/>
        <v/>
      </c>
      <c r="S487" s="30" t="str">
        <f t="shared" si="40"/>
        <v/>
      </c>
    </row>
    <row r="488" spans="1:19">
      <c r="A488" s="7" t="s">
        <v>539</v>
      </c>
      <c r="B488" s="7"/>
      <c r="C488" s="7"/>
      <c r="D488" s="7"/>
      <c r="E488" s="7"/>
      <c r="F488" s="7"/>
      <c r="H488" s="7"/>
      <c r="I488" s="7"/>
      <c r="J488" s="7"/>
      <c r="K488" s="7"/>
      <c r="L488" s="7"/>
      <c r="O488" s="30" t="str">
        <f t="shared" si="36"/>
        <v/>
      </c>
      <c r="P488" s="30" t="str">
        <f t="shared" si="37"/>
        <v/>
      </c>
      <c r="Q488" s="30" t="str">
        <f t="shared" si="38"/>
        <v/>
      </c>
      <c r="R488" s="30" t="str">
        <f t="shared" si="39"/>
        <v/>
      </c>
      <c r="S488" s="30" t="str">
        <f t="shared" si="40"/>
        <v/>
      </c>
    </row>
    <row r="489" spans="1:19">
      <c r="A489" s="7" t="s">
        <v>540</v>
      </c>
      <c r="B489" s="7"/>
      <c r="C489" s="7"/>
      <c r="D489" s="7"/>
      <c r="E489" s="7"/>
      <c r="F489" s="7"/>
      <c r="H489" s="7"/>
      <c r="I489" s="7"/>
      <c r="J489" s="7"/>
      <c r="K489" s="7"/>
      <c r="L489" s="7"/>
      <c r="O489" s="30" t="str">
        <f t="shared" si="36"/>
        <v/>
      </c>
      <c r="P489" s="30" t="str">
        <f t="shared" si="37"/>
        <v/>
      </c>
      <c r="Q489" s="30" t="str">
        <f t="shared" si="38"/>
        <v/>
      </c>
      <c r="R489" s="30" t="str">
        <f t="shared" si="39"/>
        <v/>
      </c>
      <c r="S489" s="30" t="str">
        <f t="shared" si="40"/>
        <v/>
      </c>
    </row>
    <row r="490" spans="1:19">
      <c r="A490" s="7" t="s">
        <v>541</v>
      </c>
      <c r="B490" s="7"/>
      <c r="C490" s="7"/>
      <c r="D490" s="7"/>
      <c r="E490" s="7"/>
      <c r="F490" s="7"/>
      <c r="H490" s="7"/>
      <c r="I490" s="7"/>
      <c r="J490" s="7"/>
      <c r="K490" s="7"/>
      <c r="L490" s="7"/>
      <c r="O490" s="30" t="str">
        <f t="shared" si="36"/>
        <v/>
      </c>
      <c r="P490" s="30" t="str">
        <f t="shared" si="37"/>
        <v/>
      </c>
      <c r="Q490" s="30" t="str">
        <f t="shared" si="38"/>
        <v/>
      </c>
      <c r="R490" s="30" t="str">
        <f t="shared" si="39"/>
        <v/>
      </c>
      <c r="S490" s="30" t="str">
        <f t="shared" si="40"/>
        <v/>
      </c>
    </row>
    <row r="491" spans="1:19">
      <c r="A491" s="7" t="s">
        <v>542</v>
      </c>
      <c r="B491" s="7"/>
      <c r="C491" s="7"/>
      <c r="D491" s="7"/>
      <c r="E491" s="7"/>
      <c r="F491" s="7"/>
      <c r="H491" s="7"/>
      <c r="I491" s="7"/>
      <c r="J491" s="7"/>
      <c r="K491" s="7"/>
      <c r="L491" s="7"/>
      <c r="O491" s="30" t="str">
        <f t="shared" si="36"/>
        <v/>
      </c>
      <c r="P491" s="30" t="str">
        <f t="shared" si="37"/>
        <v/>
      </c>
      <c r="Q491" s="30" t="str">
        <f t="shared" si="38"/>
        <v/>
      </c>
      <c r="R491" s="30" t="str">
        <f t="shared" si="39"/>
        <v/>
      </c>
      <c r="S491" s="30" t="str">
        <f t="shared" si="40"/>
        <v/>
      </c>
    </row>
    <row r="492" spans="1:19">
      <c r="A492" s="7" t="s">
        <v>543</v>
      </c>
      <c r="B492" s="7"/>
      <c r="C492" s="7"/>
      <c r="D492" s="7"/>
      <c r="E492" s="7"/>
      <c r="F492" s="7"/>
      <c r="H492" s="7"/>
      <c r="I492" s="7"/>
      <c r="J492" s="7"/>
      <c r="K492" s="7"/>
      <c r="L492" s="7"/>
      <c r="O492" s="30" t="str">
        <f t="shared" si="36"/>
        <v/>
      </c>
      <c r="P492" s="30" t="str">
        <f t="shared" si="37"/>
        <v/>
      </c>
      <c r="Q492" s="30" t="str">
        <f t="shared" si="38"/>
        <v/>
      </c>
      <c r="R492" s="30" t="str">
        <f t="shared" si="39"/>
        <v/>
      </c>
      <c r="S492" s="30" t="str">
        <f t="shared" si="40"/>
        <v/>
      </c>
    </row>
    <row r="493" spans="1:19">
      <c r="A493" s="7" t="s">
        <v>544</v>
      </c>
      <c r="B493" s="7"/>
      <c r="C493" s="7"/>
      <c r="D493" s="7"/>
      <c r="E493" s="7"/>
      <c r="F493" s="7"/>
      <c r="H493" s="7"/>
      <c r="I493" s="7"/>
      <c r="J493" s="7"/>
      <c r="K493" s="7"/>
      <c r="L493" s="7"/>
      <c r="O493" s="30" t="str">
        <f t="shared" si="36"/>
        <v/>
      </c>
      <c r="P493" s="30" t="str">
        <f t="shared" si="37"/>
        <v/>
      </c>
      <c r="Q493" s="30" t="str">
        <f t="shared" si="38"/>
        <v/>
      </c>
      <c r="R493" s="30" t="str">
        <f t="shared" si="39"/>
        <v/>
      </c>
      <c r="S493" s="30" t="str">
        <f t="shared" si="40"/>
        <v/>
      </c>
    </row>
    <row r="494" spans="1:19">
      <c r="A494" s="7" t="s">
        <v>545</v>
      </c>
      <c r="B494" s="7"/>
      <c r="C494" s="7"/>
      <c r="D494" s="7"/>
      <c r="E494" s="7"/>
      <c r="F494" s="7"/>
      <c r="H494" s="7"/>
      <c r="I494" s="7"/>
      <c r="J494" s="7"/>
      <c r="K494" s="7"/>
      <c r="L494" s="7"/>
      <c r="O494" s="30" t="str">
        <f t="shared" si="36"/>
        <v/>
      </c>
      <c r="P494" s="30" t="str">
        <f t="shared" si="37"/>
        <v/>
      </c>
      <c r="Q494" s="30" t="str">
        <f t="shared" si="38"/>
        <v/>
      </c>
      <c r="R494" s="30" t="str">
        <f t="shared" si="39"/>
        <v/>
      </c>
      <c r="S494" s="30" t="str">
        <f t="shared" si="40"/>
        <v/>
      </c>
    </row>
    <row r="495" spans="1:19">
      <c r="A495" s="7" t="s">
        <v>546</v>
      </c>
      <c r="B495" s="7"/>
      <c r="C495" s="7"/>
      <c r="D495" s="7"/>
      <c r="E495" s="7"/>
      <c r="F495" s="7"/>
      <c r="H495" s="7"/>
      <c r="I495" s="7"/>
      <c r="J495" s="7"/>
      <c r="K495" s="7"/>
      <c r="L495" s="7"/>
      <c r="O495" s="30" t="str">
        <f t="shared" si="36"/>
        <v/>
      </c>
      <c r="P495" s="30" t="str">
        <f t="shared" si="37"/>
        <v/>
      </c>
      <c r="Q495" s="30" t="str">
        <f t="shared" si="38"/>
        <v/>
      </c>
      <c r="R495" s="30" t="str">
        <f t="shared" si="39"/>
        <v/>
      </c>
      <c r="S495" s="30" t="str">
        <f t="shared" si="40"/>
        <v/>
      </c>
    </row>
    <row r="496" spans="1:19">
      <c r="A496" s="7" t="s">
        <v>547</v>
      </c>
      <c r="B496" s="7"/>
      <c r="C496" s="7"/>
      <c r="D496" s="7"/>
      <c r="E496" s="7"/>
      <c r="F496" s="7"/>
      <c r="H496" s="7"/>
      <c r="I496" s="7"/>
      <c r="J496" s="7"/>
      <c r="K496" s="7"/>
      <c r="L496" s="7"/>
      <c r="O496" s="30" t="str">
        <f t="shared" si="36"/>
        <v/>
      </c>
      <c r="P496" s="30" t="str">
        <f t="shared" si="37"/>
        <v/>
      </c>
      <c r="Q496" s="30" t="str">
        <f t="shared" si="38"/>
        <v/>
      </c>
      <c r="R496" s="30" t="str">
        <f t="shared" si="39"/>
        <v/>
      </c>
      <c r="S496" s="30" t="str">
        <f t="shared" si="40"/>
        <v/>
      </c>
    </row>
    <row r="497" spans="1:19">
      <c r="A497" s="7" t="s">
        <v>548</v>
      </c>
      <c r="B497" s="7"/>
      <c r="C497" s="7"/>
      <c r="D497" s="7"/>
      <c r="E497" s="7"/>
      <c r="F497" s="7"/>
      <c r="H497" s="7"/>
      <c r="I497" s="7"/>
      <c r="J497" s="7"/>
      <c r="K497" s="7"/>
      <c r="L497" s="7"/>
      <c r="O497" s="30" t="str">
        <f t="shared" si="36"/>
        <v/>
      </c>
      <c r="P497" s="30" t="str">
        <f t="shared" si="37"/>
        <v/>
      </c>
      <c r="Q497" s="30" t="str">
        <f t="shared" si="38"/>
        <v/>
      </c>
      <c r="R497" s="30" t="str">
        <f t="shared" si="39"/>
        <v/>
      </c>
      <c r="S497" s="30" t="str">
        <f t="shared" si="40"/>
        <v/>
      </c>
    </row>
    <row r="498" spans="1:19">
      <c r="A498" s="7" t="s">
        <v>549</v>
      </c>
      <c r="B498" s="7"/>
      <c r="C498" s="7"/>
      <c r="D498" s="7"/>
      <c r="E498" s="7"/>
      <c r="F498" s="7"/>
      <c r="H498" s="7"/>
      <c r="I498" s="7"/>
      <c r="J498" s="7"/>
      <c r="K498" s="7"/>
      <c r="L498" s="7"/>
      <c r="O498" s="30" t="str">
        <f t="shared" si="36"/>
        <v/>
      </c>
      <c r="P498" s="30" t="str">
        <f t="shared" si="37"/>
        <v/>
      </c>
      <c r="Q498" s="30" t="str">
        <f t="shared" si="38"/>
        <v/>
      </c>
      <c r="R498" s="30" t="str">
        <f t="shared" si="39"/>
        <v/>
      </c>
      <c r="S498" s="30" t="str">
        <f t="shared" si="40"/>
        <v/>
      </c>
    </row>
    <row r="499" spans="1:19">
      <c r="A499" s="7" t="s">
        <v>550</v>
      </c>
      <c r="B499" s="7"/>
      <c r="C499" s="7"/>
      <c r="D499" s="7"/>
      <c r="E499" s="7"/>
      <c r="F499" s="7"/>
      <c r="H499" s="7"/>
      <c r="I499" s="7"/>
      <c r="J499" s="7"/>
      <c r="K499" s="7"/>
      <c r="L499" s="7"/>
      <c r="O499" s="30" t="str">
        <f t="shared" si="36"/>
        <v/>
      </c>
      <c r="P499" s="30" t="str">
        <f t="shared" si="37"/>
        <v/>
      </c>
      <c r="Q499" s="30" t="str">
        <f t="shared" si="38"/>
        <v/>
      </c>
      <c r="R499" s="30" t="str">
        <f t="shared" si="39"/>
        <v/>
      </c>
      <c r="S499" s="30" t="str">
        <f t="shared" si="40"/>
        <v/>
      </c>
    </row>
    <row r="500" spans="1:19">
      <c r="A500" s="7" t="s">
        <v>551</v>
      </c>
      <c r="B500" s="7"/>
      <c r="C500" s="7"/>
      <c r="D500" s="7"/>
      <c r="E500" s="7"/>
      <c r="F500" s="7"/>
      <c r="H500" s="7"/>
      <c r="I500" s="7"/>
      <c r="J500" s="7"/>
      <c r="K500" s="7"/>
      <c r="L500" s="7"/>
      <c r="O500" s="30" t="str">
        <f t="shared" si="36"/>
        <v/>
      </c>
      <c r="P500" s="30" t="str">
        <f t="shared" si="37"/>
        <v/>
      </c>
      <c r="Q500" s="30" t="str">
        <f t="shared" si="38"/>
        <v/>
      </c>
      <c r="R500" s="30" t="str">
        <f t="shared" si="39"/>
        <v/>
      </c>
      <c r="S500" s="30" t="str">
        <f t="shared" si="40"/>
        <v/>
      </c>
    </row>
    <row r="501" spans="1:19">
      <c r="A501" s="7" t="s">
        <v>552</v>
      </c>
      <c r="B501" s="7"/>
      <c r="C501" s="7"/>
      <c r="D501" s="7"/>
      <c r="E501" s="7"/>
      <c r="F501" s="7"/>
      <c r="H501" s="7"/>
      <c r="I501" s="7"/>
      <c r="J501" s="7"/>
      <c r="K501" s="7"/>
      <c r="L501" s="7"/>
      <c r="O501" s="30" t="str">
        <f t="shared" si="36"/>
        <v/>
      </c>
      <c r="P501" s="30" t="str">
        <f t="shared" si="37"/>
        <v/>
      </c>
      <c r="Q501" s="30" t="str">
        <f t="shared" si="38"/>
        <v/>
      </c>
      <c r="R501" s="30" t="str">
        <f t="shared" si="39"/>
        <v/>
      </c>
      <c r="S501" s="30" t="str">
        <f t="shared" si="40"/>
        <v/>
      </c>
    </row>
    <row r="502" spans="1:19">
      <c r="A502" s="7" t="s">
        <v>553</v>
      </c>
      <c r="B502" s="7"/>
      <c r="C502" s="7"/>
      <c r="D502" s="7"/>
      <c r="E502" s="7"/>
      <c r="F502" s="7"/>
      <c r="H502" s="7"/>
      <c r="I502" s="7"/>
      <c r="J502" s="7"/>
      <c r="K502" s="7"/>
      <c r="L502" s="7"/>
      <c r="O502" s="30" t="str">
        <f t="shared" si="36"/>
        <v/>
      </c>
      <c r="P502" s="30" t="str">
        <f t="shared" si="37"/>
        <v/>
      </c>
      <c r="Q502" s="30" t="str">
        <f t="shared" si="38"/>
        <v/>
      </c>
      <c r="R502" s="30" t="str">
        <f t="shared" si="39"/>
        <v/>
      </c>
      <c r="S502" s="30" t="str">
        <f t="shared" si="40"/>
        <v/>
      </c>
    </row>
    <row r="503" spans="1:19">
      <c r="A503" s="7" t="s">
        <v>554</v>
      </c>
      <c r="B503" s="7"/>
      <c r="C503" s="7"/>
      <c r="D503" s="7"/>
      <c r="E503" s="7"/>
      <c r="F503" s="7"/>
      <c r="H503" s="7"/>
      <c r="I503" s="7"/>
      <c r="J503" s="7"/>
      <c r="K503" s="7"/>
      <c r="L503" s="7"/>
      <c r="O503" s="30" t="str">
        <f t="shared" si="36"/>
        <v/>
      </c>
      <c r="P503" s="30" t="str">
        <f t="shared" si="37"/>
        <v/>
      </c>
      <c r="Q503" s="30" t="str">
        <f t="shared" si="38"/>
        <v/>
      </c>
      <c r="R503" s="30" t="str">
        <f t="shared" si="39"/>
        <v/>
      </c>
      <c r="S503" s="30" t="str">
        <f t="shared" si="40"/>
        <v/>
      </c>
    </row>
    <row r="504" spans="1:19">
      <c r="A504" s="7" t="s">
        <v>555</v>
      </c>
      <c r="B504" s="7"/>
      <c r="C504" s="7"/>
      <c r="D504" s="7"/>
      <c r="E504" s="7"/>
      <c r="F504" s="7"/>
      <c r="H504" s="7"/>
      <c r="I504" s="7"/>
      <c r="J504" s="7"/>
      <c r="K504" s="7"/>
      <c r="L504" s="7"/>
      <c r="O504" s="30" t="str">
        <f t="shared" si="36"/>
        <v/>
      </c>
      <c r="P504" s="30" t="str">
        <f t="shared" si="37"/>
        <v/>
      </c>
      <c r="Q504" s="30" t="str">
        <f t="shared" si="38"/>
        <v/>
      </c>
      <c r="R504" s="30" t="str">
        <f t="shared" si="39"/>
        <v/>
      </c>
      <c r="S504" s="30" t="str">
        <f t="shared" si="40"/>
        <v/>
      </c>
    </row>
    <row r="505" spans="1:19">
      <c r="A505" s="7" t="s">
        <v>556</v>
      </c>
      <c r="B505" s="7"/>
      <c r="C505" s="7"/>
      <c r="D505" s="7"/>
      <c r="E505" s="7"/>
      <c r="F505" s="7"/>
      <c r="H505" s="7"/>
      <c r="I505" s="7"/>
      <c r="J505" s="7"/>
      <c r="K505" s="7"/>
      <c r="L505" s="7"/>
      <c r="O505" s="30" t="str">
        <f t="shared" si="36"/>
        <v/>
      </c>
      <c r="P505" s="30" t="str">
        <f t="shared" si="37"/>
        <v/>
      </c>
      <c r="Q505" s="30" t="str">
        <f t="shared" si="38"/>
        <v/>
      </c>
      <c r="R505" s="30" t="str">
        <f t="shared" si="39"/>
        <v/>
      </c>
      <c r="S505" s="30" t="str">
        <f t="shared" si="40"/>
        <v/>
      </c>
    </row>
    <row r="506" spans="1:19">
      <c r="A506" s="7" t="s">
        <v>557</v>
      </c>
      <c r="B506" s="7"/>
      <c r="C506" s="7"/>
      <c r="D506" s="7"/>
      <c r="E506" s="7"/>
      <c r="F506" s="7"/>
      <c r="H506" s="7"/>
      <c r="I506" s="7"/>
      <c r="J506" s="7"/>
      <c r="K506" s="7"/>
      <c r="L506" s="7"/>
      <c r="O506" s="30" t="str">
        <f t="shared" si="36"/>
        <v/>
      </c>
      <c r="P506" s="30" t="str">
        <f t="shared" si="37"/>
        <v/>
      </c>
      <c r="Q506" s="30" t="str">
        <f t="shared" si="38"/>
        <v/>
      </c>
      <c r="R506" s="30" t="str">
        <f t="shared" si="39"/>
        <v/>
      </c>
      <c r="S506" s="30" t="str">
        <f t="shared" si="40"/>
        <v/>
      </c>
    </row>
    <row r="507" spans="1:19">
      <c r="A507" s="7" t="s">
        <v>558</v>
      </c>
      <c r="B507" s="7"/>
      <c r="C507" s="7"/>
      <c r="D507" s="7"/>
      <c r="E507" s="7"/>
      <c r="F507" s="7"/>
      <c r="H507" s="7"/>
      <c r="I507" s="7"/>
      <c r="J507" s="7"/>
      <c r="K507" s="7"/>
      <c r="L507" s="7"/>
      <c r="O507" s="30" t="str">
        <f t="shared" si="36"/>
        <v/>
      </c>
      <c r="P507" s="30" t="str">
        <f t="shared" si="37"/>
        <v/>
      </c>
      <c r="Q507" s="30" t="str">
        <f t="shared" si="38"/>
        <v/>
      </c>
      <c r="R507" s="30" t="str">
        <f t="shared" si="39"/>
        <v/>
      </c>
      <c r="S507" s="30" t="str">
        <f t="shared" si="40"/>
        <v/>
      </c>
    </row>
    <row r="508" spans="1:19">
      <c r="A508" s="7" t="s">
        <v>559</v>
      </c>
      <c r="B508" s="7"/>
      <c r="C508" s="7"/>
      <c r="D508" s="7"/>
      <c r="E508" s="7"/>
      <c r="F508" s="7"/>
      <c r="H508" s="7"/>
      <c r="I508" s="7"/>
      <c r="J508" s="7"/>
      <c r="K508" s="7"/>
      <c r="L508" s="7"/>
      <c r="O508" s="30" t="str">
        <f t="shared" si="36"/>
        <v/>
      </c>
      <c r="P508" s="30" t="str">
        <f t="shared" si="37"/>
        <v/>
      </c>
      <c r="Q508" s="30" t="str">
        <f t="shared" si="38"/>
        <v/>
      </c>
      <c r="R508" s="30" t="str">
        <f t="shared" si="39"/>
        <v/>
      </c>
      <c r="S508" s="30" t="str">
        <f t="shared" si="40"/>
        <v/>
      </c>
    </row>
    <row r="509" spans="1:19">
      <c r="A509" s="7" t="s">
        <v>560</v>
      </c>
      <c r="B509" s="7"/>
      <c r="C509" s="7"/>
      <c r="D509" s="7"/>
      <c r="E509" s="7"/>
      <c r="F509" s="7"/>
      <c r="H509" s="7"/>
      <c r="I509" s="7"/>
      <c r="J509" s="7"/>
      <c r="K509" s="7"/>
      <c r="L509" s="7"/>
      <c r="O509" s="30" t="str">
        <f t="shared" si="36"/>
        <v/>
      </c>
      <c r="P509" s="30" t="str">
        <f t="shared" si="37"/>
        <v/>
      </c>
      <c r="Q509" s="30" t="str">
        <f t="shared" si="38"/>
        <v/>
      </c>
      <c r="R509" s="30" t="str">
        <f t="shared" si="39"/>
        <v/>
      </c>
      <c r="S509" s="30" t="str">
        <f t="shared" si="40"/>
        <v/>
      </c>
    </row>
    <row r="510" spans="1:19">
      <c r="A510" s="7" t="s">
        <v>561</v>
      </c>
      <c r="B510" s="7"/>
      <c r="C510" s="7"/>
      <c r="D510" s="7"/>
      <c r="E510" s="7"/>
      <c r="F510" s="7"/>
      <c r="H510" s="7"/>
      <c r="I510" s="7"/>
      <c r="J510" s="7"/>
      <c r="K510" s="7"/>
      <c r="L510" s="7"/>
      <c r="O510" s="30" t="str">
        <f t="shared" si="36"/>
        <v/>
      </c>
      <c r="P510" s="30" t="str">
        <f t="shared" si="37"/>
        <v/>
      </c>
      <c r="Q510" s="30" t="str">
        <f t="shared" si="38"/>
        <v/>
      </c>
      <c r="R510" s="30" t="str">
        <f t="shared" si="39"/>
        <v/>
      </c>
      <c r="S510" s="30" t="str">
        <f t="shared" si="40"/>
        <v/>
      </c>
    </row>
    <row r="511" spans="1:19">
      <c r="A511" s="7" t="s">
        <v>562</v>
      </c>
      <c r="B511" s="7"/>
      <c r="C511" s="7"/>
      <c r="D511" s="7"/>
      <c r="E511" s="7"/>
      <c r="F511" s="7"/>
      <c r="H511" s="7"/>
      <c r="I511" s="7"/>
      <c r="J511" s="7"/>
      <c r="K511" s="7"/>
      <c r="L511" s="7"/>
      <c r="O511" s="30" t="str">
        <f t="shared" si="36"/>
        <v/>
      </c>
      <c r="P511" s="30" t="str">
        <f t="shared" si="37"/>
        <v/>
      </c>
      <c r="Q511" s="30" t="str">
        <f t="shared" si="38"/>
        <v/>
      </c>
      <c r="R511" s="30" t="str">
        <f t="shared" si="39"/>
        <v/>
      </c>
      <c r="S511" s="30" t="str">
        <f t="shared" si="40"/>
        <v/>
      </c>
    </row>
    <row r="512" spans="1:19">
      <c r="A512" s="7" t="s">
        <v>563</v>
      </c>
      <c r="B512" s="7"/>
      <c r="C512" s="7"/>
      <c r="D512" s="7"/>
      <c r="E512" s="7"/>
      <c r="F512" s="7"/>
      <c r="H512" s="7"/>
      <c r="I512" s="7"/>
      <c r="J512" s="7"/>
      <c r="K512" s="7"/>
      <c r="L512" s="7"/>
      <c r="O512" s="30" t="str">
        <f t="shared" si="36"/>
        <v/>
      </c>
      <c r="P512" s="30" t="str">
        <f t="shared" si="37"/>
        <v/>
      </c>
      <c r="Q512" s="30" t="str">
        <f t="shared" si="38"/>
        <v/>
      </c>
      <c r="R512" s="30" t="str">
        <f t="shared" si="39"/>
        <v/>
      </c>
      <c r="S512" s="30" t="str">
        <f t="shared" si="40"/>
        <v/>
      </c>
    </row>
    <row r="513" spans="1:19">
      <c r="A513" s="7" t="s">
        <v>564</v>
      </c>
      <c r="B513" s="7"/>
      <c r="C513" s="7"/>
      <c r="D513" s="7"/>
      <c r="E513" s="7"/>
      <c r="F513" s="7"/>
      <c r="H513" s="7"/>
      <c r="I513" s="7"/>
      <c r="J513" s="7"/>
      <c r="K513" s="7"/>
      <c r="L513" s="7"/>
      <c r="O513" s="30" t="str">
        <f t="shared" si="36"/>
        <v/>
      </c>
      <c r="P513" s="30" t="str">
        <f t="shared" si="37"/>
        <v/>
      </c>
      <c r="Q513" s="30" t="str">
        <f t="shared" si="38"/>
        <v/>
      </c>
      <c r="R513" s="30" t="str">
        <f t="shared" si="39"/>
        <v/>
      </c>
      <c r="S513" s="30" t="str">
        <f t="shared" si="40"/>
        <v/>
      </c>
    </row>
    <row r="514" spans="1:19">
      <c r="A514" s="7" t="s">
        <v>565</v>
      </c>
      <c r="B514" s="7"/>
      <c r="C514" s="7"/>
      <c r="D514" s="7"/>
      <c r="E514" s="7"/>
      <c r="F514" s="7"/>
      <c r="H514" s="7"/>
      <c r="I514" s="7"/>
      <c r="J514" s="7"/>
      <c r="K514" s="7"/>
      <c r="L514" s="7"/>
      <c r="O514" s="30" t="str">
        <f t="shared" si="36"/>
        <v/>
      </c>
      <c r="P514" s="30" t="str">
        <f t="shared" si="37"/>
        <v/>
      </c>
      <c r="Q514" s="30" t="str">
        <f t="shared" si="38"/>
        <v/>
      </c>
      <c r="R514" s="30" t="str">
        <f t="shared" si="39"/>
        <v/>
      </c>
      <c r="S514" s="30" t="str">
        <f t="shared" si="40"/>
        <v/>
      </c>
    </row>
    <row r="515" spans="1:19">
      <c r="A515" s="7" t="s">
        <v>566</v>
      </c>
      <c r="B515" s="7"/>
      <c r="C515" s="7"/>
      <c r="D515" s="7"/>
      <c r="E515" s="7"/>
      <c r="F515" s="7"/>
      <c r="H515" s="7"/>
      <c r="I515" s="7"/>
      <c r="J515" s="7"/>
      <c r="K515" s="7"/>
      <c r="L515" s="7"/>
      <c r="O515" s="30" t="str">
        <f t="shared" si="36"/>
        <v/>
      </c>
      <c r="P515" s="30" t="str">
        <f t="shared" si="37"/>
        <v/>
      </c>
      <c r="Q515" s="30" t="str">
        <f t="shared" si="38"/>
        <v/>
      </c>
      <c r="R515" s="30" t="str">
        <f t="shared" si="39"/>
        <v/>
      </c>
      <c r="S515" s="30" t="str">
        <f t="shared" si="40"/>
        <v/>
      </c>
    </row>
    <row r="516" spans="1:19">
      <c r="A516" s="7" t="s">
        <v>567</v>
      </c>
      <c r="B516" s="7"/>
      <c r="C516" s="7"/>
      <c r="D516" s="7"/>
      <c r="E516" s="7"/>
      <c r="F516" s="7"/>
      <c r="H516" s="7"/>
      <c r="I516" s="7"/>
      <c r="J516" s="7"/>
      <c r="K516" s="7"/>
      <c r="L516" s="7"/>
      <c r="O516" s="30" t="str">
        <f t="shared" si="36"/>
        <v/>
      </c>
      <c r="P516" s="30" t="str">
        <f t="shared" si="37"/>
        <v/>
      </c>
      <c r="Q516" s="30" t="str">
        <f t="shared" si="38"/>
        <v/>
      </c>
      <c r="R516" s="30" t="str">
        <f t="shared" si="39"/>
        <v/>
      </c>
      <c r="S516" s="30" t="str">
        <f t="shared" si="40"/>
        <v/>
      </c>
    </row>
    <row r="517" spans="1:19">
      <c r="A517" s="7" t="s">
        <v>568</v>
      </c>
      <c r="B517" s="7"/>
      <c r="C517" s="7"/>
      <c r="D517" s="7"/>
      <c r="E517" s="7"/>
      <c r="F517" s="7"/>
      <c r="H517" s="7"/>
      <c r="I517" s="7"/>
      <c r="J517" s="7"/>
      <c r="K517" s="7"/>
      <c r="L517" s="7"/>
      <c r="O517" s="30" t="str">
        <f t="shared" si="36"/>
        <v/>
      </c>
      <c r="P517" s="30" t="str">
        <f t="shared" si="37"/>
        <v/>
      </c>
      <c r="Q517" s="30" t="str">
        <f t="shared" si="38"/>
        <v/>
      </c>
      <c r="R517" s="30" t="str">
        <f t="shared" si="39"/>
        <v/>
      </c>
      <c r="S517" s="30" t="str">
        <f t="shared" si="40"/>
        <v/>
      </c>
    </row>
    <row r="518" spans="1:19">
      <c r="A518" s="7" t="s">
        <v>569</v>
      </c>
      <c r="B518" s="7"/>
      <c r="C518" s="7"/>
      <c r="D518" s="7"/>
      <c r="E518" s="7"/>
      <c r="F518" s="7"/>
      <c r="H518" s="7"/>
      <c r="I518" s="7"/>
      <c r="J518" s="7"/>
      <c r="K518" s="7"/>
      <c r="L518" s="7"/>
      <c r="O518" s="30" t="str">
        <f t="shared" si="36"/>
        <v/>
      </c>
      <c r="P518" s="30" t="str">
        <f t="shared" si="37"/>
        <v/>
      </c>
      <c r="Q518" s="30" t="str">
        <f t="shared" si="38"/>
        <v/>
      </c>
      <c r="R518" s="30" t="str">
        <f t="shared" si="39"/>
        <v/>
      </c>
      <c r="S518" s="30" t="str">
        <f t="shared" si="40"/>
        <v/>
      </c>
    </row>
    <row r="519" spans="1:19">
      <c r="A519" s="7" t="s">
        <v>570</v>
      </c>
      <c r="B519" s="7"/>
      <c r="C519" s="7"/>
      <c r="D519" s="7"/>
      <c r="E519" s="7"/>
      <c r="F519" s="7"/>
      <c r="H519" s="7"/>
      <c r="I519" s="7"/>
      <c r="J519" s="7"/>
      <c r="K519" s="7"/>
      <c r="L519" s="7"/>
      <c r="O519" s="30" t="str">
        <f t="shared" si="36"/>
        <v/>
      </c>
      <c r="P519" s="30" t="str">
        <f t="shared" si="37"/>
        <v/>
      </c>
      <c r="Q519" s="30" t="str">
        <f t="shared" si="38"/>
        <v/>
      </c>
      <c r="R519" s="30" t="str">
        <f t="shared" si="39"/>
        <v/>
      </c>
      <c r="S519" s="30" t="str">
        <f t="shared" si="40"/>
        <v/>
      </c>
    </row>
    <row r="520" spans="1:19">
      <c r="A520" s="7" t="s">
        <v>571</v>
      </c>
      <c r="B520" s="7"/>
      <c r="C520" s="7"/>
      <c r="D520" s="7"/>
      <c r="E520" s="7"/>
      <c r="F520" s="7"/>
      <c r="H520" s="7"/>
      <c r="I520" s="7"/>
      <c r="J520" s="7"/>
      <c r="K520" s="7"/>
      <c r="L520" s="7"/>
      <c r="O520" s="30" t="str">
        <f t="shared" si="36"/>
        <v/>
      </c>
      <c r="P520" s="30" t="str">
        <f t="shared" si="37"/>
        <v/>
      </c>
      <c r="Q520" s="30" t="str">
        <f t="shared" si="38"/>
        <v/>
      </c>
      <c r="R520" s="30" t="str">
        <f t="shared" si="39"/>
        <v/>
      </c>
      <c r="S520" s="30" t="str">
        <f t="shared" si="40"/>
        <v/>
      </c>
    </row>
    <row r="521" spans="1:19">
      <c r="A521" s="7" t="s">
        <v>572</v>
      </c>
      <c r="B521" s="7"/>
      <c r="C521" s="7"/>
      <c r="D521" s="7"/>
      <c r="E521" s="7"/>
      <c r="F521" s="7"/>
      <c r="H521" s="7"/>
      <c r="I521" s="7"/>
      <c r="J521" s="7"/>
      <c r="K521" s="7"/>
      <c r="L521" s="7"/>
      <c r="O521" s="30" t="str">
        <f t="shared" ref="O521:O584" si="41">IF(H521&gt;0,"Angebot offen","")</f>
        <v/>
      </c>
      <c r="P521" s="30" t="str">
        <f t="shared" ref="P521:P584" si="42">IF(I521&gt;0,"Angebot offen","")</f>
        <v/>
      </c>
      <c r="Q521" s="30" t="str">
        <f t="shared" ref="Q521:Q584" si="43">IF(J521&gt;0,"Angebot offen","")</f>
        <v/>
      </c>
      <c r="R521" s="30" t="str">
        <f t="shared" ref="R521:R584" si="44">IF(K521&gt;0,"Angebot offen","")</f>
        <v/>
      </c>
      <c r="S521" s="30" t="str">
        <f t="shared" ref="S521:S584" si="45">IF(L521&gt;0,"Angebot offen","")</f>
        <v/>
      </c>
    </row>
    <row r="522" spans="1:19">
      <c r="A522" s="7" t="s">
        <v>573</v>
      </c>
      <c r="B522" s="7"/>
      <c r="C522" s="7"/>
      <c r="D522" s="7"/>
      <c r="E522" s="7"/>
      <c r="F522" s="7"/>
      <c r="H522" s="7"/>
      <c r="I522" s="7"/>
      <c r="J522" s="7"/>
      <c r="K522" s="7"/>
      <c r="L522" s="7"/>
      <c r="O522" s="30" t="str">
        <f t="shared" si="41"/>
        <v/>
      </c>
      <c r="P522" s="30" t="str">
        <f t="shared" si="42"/>
        <v/>
      </c>
      <c r="Q522" s="30" t="str">
        <f t="shared" si="43"/>
        <v/>
      </c>
      <c r="R522" s="30" t="str">
        <f t="shared" si="44"/>
        <v/>
      </c>
      <c r="S522" s="30" t="str">
        <f t="shared" si="45"/>
        <v/>
      </c>
    </row>
    <row r="523" spans="1:19">
      <c r="A523" s="7" t="s">
        <v>574</v>
      </c>
      <c r="B523" s="7"/>
      <c r="C523" s="7"/>
      <c r="D523" s="7"/>
      <c r="E523" s="7"/>
      <c r="F523" s="7"/>
      <c r="H523" s="7"/>
      <c r="I523" s="7"/>
      <c r="J523" s="7"/>
      <c r="K523" s="7"/>
      <c r="L523" s="7"/>
      <c r="O523" s="30" t="str">
        <f t="shared" si="41"/>
        <v/>
      </c>
      <c r="P523" s="30" t="str">
        <f t="shared" si="42"/>
        <v/>
      </c>
      <c r="Q523" s="30" t="str">
        <f t="shared" si="43"/>
        <v/>
      </c>
      <c r="R523" s="30" t="str">
        <f t="shared" si="44"/>
        <v/>
      </c>
      <c r="S523" s="30" t="str">
        <f t="shared" si="45"/>
        <v/>
      </c>
    </row>
    <row r="524" spans="1:19">
      <c r="A524" s="7" t="s">
        <v>575</v>
      </c>
      <c r="B524" s="7"/>
      <c r="C524" s="7"/>
      <c r="D524" s="7"/>
      <c r="E524" s="7"/>
      <c r="F524" s="7"/>
      <c r="H524" s="7"/>
      <c r="I524" s="7"/>
      <c r="J524" s="7"/>
      <c r="K524" s="7"/>
      <c r="L524" s="7"/>
      <c r="O524" s="30" t="str">
        <f t="shared" si="41"/>
        <v/>
      </c>
      <c r="P524" s="30" t="str">
        <f t="shared" si="42"/>
        <v/>
      </c>
      <c r="Q524" s="30" t="str">
        <f t="shared" si="43"/>
        <v/>
      </c>
      <c r="R524" s="30" t="str">
        <f t="shared" si="44"/>
        <v/>
      </c>
      <c r="S524" s="30" t="str">
        <f t="shared" si="45"/>
        <v/>
      </c>
    </row>
    <row r="525" spans="1:19">
      <c r="A525" s="7" t="s">
        <v>576</v>
      </c>
      <c r="B525" s="7"/>
      <c r="C525" s="7"/>
      <c r="D525" s="7"/>
      <c r="E525" s="7"/>
      <c r="F525" s="7"/>
      <c r="H525" s="7"/>
      <c r="I525" s="7"/>
      <c r="J525" s="7"/>
      <c r="K525" s="7"/>
      <c r="L525" s="7"/>
      <c r="O525" s="30" t="str">
        <f t="shared" si="41"/>
        <v/>
      </c>
      <c r="P525" s="30" t="str">
        <f t="shared" si="42"/>
        <v/>
      </c>
      <c r="Q525" s="30" t="str">
        <f t="shared" si="43"/>
        <v/>
      </c>
      <c r="R525" s="30" t="str">
        <f t="shared" si="44"/>
        <v/>
      </c>
      <c r="S525" s="30" t="str">
        <f t="shared" si="45"/>
        <v/>
      </c>
    </row>
    <row r="526" spans="1:19">
      <c r="A526" s="7" t="s">
        <v>577</v>
      </c>
      <c r="B526" s="7"/>
      <c r="C526" s="7"/>
      <c r="D526" s="7"/>
      <c r="E526" s="7"/>
      <c r="F526" s="7"/>
      <c r="H526" s="7"/>
      <c r="I526" s="7"/>
      <c r="J526" s="7"/>
      <c r="K526" s="7"/>
      <c r="L526" s="7"/>
      <c r="O526" s="30" t="str">
        <f t="shared" si="41"/>
        <v/>
      </c>
      <c r="P526" s="30" t="str">
        <f t="shared" si="42"/>
        <v/>
      </c>
      <c r="Q526" s="30" t="str">
        <f t="shared" si="43"/>
        <v/>
      </c>
      <c r="R526" s="30" t="str">
        <f t="shared" si="44"/>
        <v/>
      </c>
      <c r="S526" s="30" t="str">
        <f t="shared" si="45"/>
        <v/>
      </c>
    </row>
    <row r="527" spans="1:19">
      <c r="A527" s="7" t="s">
        <v>578</v>
      </c>
      <c r="B527" s="7"/>
      <c r="C527" s="7"/>
      <c r="D527" s="7"/>
      <c r="E527" s="7"/>
      <c r="F527" s="7"/>
      <c r="H527" s="7"/>
      <c r="I527" s="7"/>
      <c r="J527" s="7"/>
      <c r="K527" s="7"/>
      <c r="L527" s="7"/>
      <c r="O527" s="30" t="str">
        <f t="shared" si="41"/>
        <v/>
      </c>
      <c r="P527" s="30" t="str">
        <f t="shared" si="42"/>
        <v/>
      </c>
      <c r="Q527" s="30" t="str">
        <f t="shared" si="43"/>
        <v/>
      </c>
      <c r="R527" s="30" t="str">
        <f t="shared" si="44"/>
        <v/>
      </c>
      <c r="S527" s="30" t="str">
        <f t="shared" si="45"/>
        <v/>
      </c>
    </row>
    <row r="528" spans="1:19">
      <c r="A528" s="7" t="s">
        <v>579</v>
      </c>
      <c r="B528" s="7"/>
      <c r="C528" s="7"/>
      <c r="D528" s="7"/>
      <c r="E528" s="7"/>
      <c r="F528" s="7"/>
      <c r="H528" s="7"/>
      <c r="I528" s="7"/>
      <c r="J528" s="7"/>
      <c r="K528" s="7"/>
      <c r="L528" s="7"/>
      <c r="O528" s="30" t="str">
        <f t="shared" si="41"/>
        <v/>
      </c>
      <c r="P528" s="30" t="str">
        <f t="shared" si="42"/>
        <v/>
      </c>
      <c r="Q528" s="30" t="str">
        <f t="shared" si="43"/>
        <v/>
      </c>
      <c r="R528" s="30" t="str">
        <f t="shared" si="44"/>
        <v/>
      </c>
      <c r="S528" s="30" t="str">
        <f t="shared" si="45"/>
        <v/>
      </c>
    </row>
    <row r="529" spans="1:19">
      <c r="A529" s="7" t="s">
        <v>580</v>
      </c>
      <c r="B529" s="7"/>
      <c r="C529" s="7"/>
      <c r="D529" s="7"/>
      <c r="E529" s="7"/>
      <c r="F529" s="7"/>
      <c r="H529" s="7"/>
      <c r="I529" s="7"/>
      <c r="J529" s="7"/>
      <c r="K529" s="7"/>
      <c r="L529" s="7"/>
      <c r="O529" s="30" t="str">
        <f t="shared" si="41"/>
        <v/>
      </c>
      <c r="P529" s="30" t="str">
        <f t="shared" si="42"/>
        <v/>
      </c>
      <c r="Q529" s="30" t="str">
        <f t="shared" si="43"/>
        <v/>
      </c>
      <c r="R529" s="30" t="str">
        <f t="shared" si="44"/>
        <v/>
      </c>
      <c r="S529" s="30" t="str">
        <f t="shared" si="45"/>
        <v/>
      </c>
    </row>
    <row r="530" spans="1:19">
      <c r="A530" s="7" t="s">
        <v>581</v>
      </c>
      <c r="B530" s="7"/>
      <c r="C530" s="7"/>
      <c r="D530" s="7"/>
      <c r="E530" s="7"/>
      <c r="F530" s="7"/>
      <c r="H530" s="7"/>
      <c r="I530" s="7"/>
      <c r="J530" s="7"/>
      <c r="K530" s="7"/>
      <c r="L530" s="7"/>
      <c r="O530" s="30" t="str">
        <f t="shared" si="41"/>
        <v/>
      </c>
      <c r="P530" s="30" t="str">
        <f t="shared" si="42"/>
        <v/>
      </c>
      <c r="Q530" s="30" t="str">
        <f t="shared" si="43"/>
        <v/>
      </c>
      <c r="R530" s="30" t="str">
        <f t="shared" si="44"/>
        <v/>
      </c>
      <c r="S530" s="30" t="str">
        <f t="shared" si="45"/>
        <v/>
      </c>
    </row>
    <row r="531" spans="1:19">
      <c r="A531" s="7" t="s">
        <v>582</v>
      </c>
      <c r="B531" s="7"/>
      <c r="C531" s="7"/>
      <c r="D531" s="7"/>
      <c r="E531" s="7"/>
      <c r="F531" s="7"/>
      <c r="H531" s="7"/>
      <c r="I531" s="7"/>
      <c r="J531" s="7"/>
      <c r="K531" s="7"/>
      <c r="L531" s="7"/>
      <c r="O531" s="30" t="str">
        <f t="shared" si="41"/>
        <v/>
      </c>
      <c r="P531" s="30" t="str">
        <f t="shared" si="42"/>
        <v/>
      </c>
      <c r="Q531" s="30" t="str">
        <f t="shared" si="43"/>
        <v/>
      </c>
      <c r="R531" s="30" t="str">
        <f t="shared" si="44"/>
        <v/>
      </c>
      <c r="S531" s="30" t="str">
        <f t="shared" si="45"/>
        <v/>
      </c>
    </row>
    <row r="532" spans="1:19">
      <c r="A532" s="7" t="s">
        <v>583</v>
      </c>
      <c r="B532" s="7"/>
      <c r="C532" s="7"/>
      <c r="D532" s="7"/>
      <c r="E532" s="7"/>
      <c r="F532" s="7"/>
      <c r="H532" s="7"/>
      <c r="I532" s="7"/>
      <c r="J532" s="7"/>
      <c r="K532" s="7"/>
      <c r="L532" s="7"/>
      <c r="O532" s="30" t="str">
        <f t="shared" si="41"/>
        <v/>
      </c>
      <c r="P532" s="30" t="str">
        <f t="shared" si="42"/>
        <v/>
      </c>
      <c r="Q532" s="30" t="str">
        <f t="shared" si="43"/>
        <v/>
      </c>
      <c r="R532" s="30" t="str">
        <f t="shared" si="44"/>
        <v/>
      </c>
      <c r="S532" s="30" t="str">
        <f t="shared" si="45"/>
        <v/>
      </c>
    </row>
    <row r="533" spans="1:19">
      <c r="A533" s="7" t="s">
        <v>584</v>
      </c>
      <c r="B533" s="7"/>
      <c r="C533" s="7"/>
      <c r="D533" s="7"/>
      <c r="E533" s="7"/>
      <c r="F533" s="7"/>
      <c r="H533" s="7"/>
      <c r="I533" s="7"/>
      <c r="J533" s="7"/>
      <c r="K533" s="7"/>
      <c r="L533" s="7"/>
      <c r="O533" s="30" t="str">
        <f t="shared" si="41"/>
        <v/>
      </c>
      <c r="P533" s="30" t="str">
        <f t="shared" si="42"/>
        <v/>
      </c>
      <c r="Q533" s="30" t="str">
        <f t="shared" si="43"/>
        <v/>
      </c>
      <c r="R533" s="30" t="str">
        <f t="shared" si="44"/>
        <v/>
      </c>
      <c r="S533" s="30" t="str">
        <f t="shared" si="45"/>
        <v/>
      </c>
    </row>
    <row r="534" spans="1:19">
      <c r="A534" s="7" t="s">
        <v>585</v>
      </c>
      <c r="B534" s="7"/>
      <c r="C534" s="7"/>
      <c r="D534" s="7"/>
      <c r="E534" s="7"/>
      <c r="F534" s="7"/>
      <c r="H534" s="7"/>
      <c r="I534" s="7"/>
      <c r="J534" s="7"/>
      <c r="K534" s="7"/>
      <c r="L534" s="7"/>
      <c r="O534" s="30" t="str">
        <f t="shared" si="41"/>
        <v/>
      </c>
      <c r="P534" s="30" t="str">
        <f t="shared" si="42"/>
        <v/>
      </c>
      <c r="Q534" s="30" t="str">
        <f t="shared" si="43"/>
        <v/>
      </c>
      <c r="R534" s="30" t="str">
        <f t="shared" si="44"/>
        <v/>
      </c>
      <c r="S534" s="30" t="str">
        <f t="shared" si="45"/>
        <v/>
      </c>
    </row>
    <row r="535" spans="1:19">
      <c r="A535" s="7" t="s">
        <v>586</v>
      </c>
      <c r="B535" s="7"/>
      <c r="C535" s="7"/>
      <c r="D535" s="7"/>
      <c r="E535" s="7"/>
      <c r="F535" s="7"/>
      <c r="H535" s="7"/>
      <c r="I535" s="7"/>
      <c r="J535" s="7"/>
      <c r="K535" s="7"/>
      <c r="L535" s="7"/>
      <c r="O535" s="30" t="str">
        <f t="shared" si="41"/>
        <v/>
      </c>
      <c r="P535" s="30" t="str">
        <f t="shared" si="42"/>
        <v/>
      </c>
      <c r="Q535" s="30" t="str">
        <f t="shared" si="43"/>
        <v/>
      </c>
      <c r="R535" s="30" t="str">
        <f t="shared" si="44"/>
        <v/>
      </c>
      <c r="S535" s="30" t="str">
        <f t="shared" si="45"/>
        <v/>
      </c>
    </row>
    <row r="536" spans="1:19">
      <c r="A536" s="7" t="s">
        <v>587</v>
      </c>
      <c r="B536" s="7"/>
      <c r="C536" s="7"/>
      <c r="D536" s="7"/>
      <c r="E536" s="7"/>
      <c r="F536" s="7"/>
      <c r="H536" s="7"/>
      <c r="I536" s="7"/>
      <c r="J536" s="7"/>
      <c r="K536" s="7"/>
      <c r="L536" s="7"/>
      <c r="O536" s="30" t="str">
        <f t="shared" si="41"/>
        <v/>
      </c>
      <c r="P536" s="30" t="str">
        <f t="shared" si="42"/>
        <v/>
      </c>
      <c r="Q536" s="30" t="str">
        <f t="shared" si="43"/>
        <v/>
      </c>
      <c r="R536" s="30" t="str">
        <f t="shared" si="44"/>
        <v/>
      </c>
      <c r="S536" s="30" t="str">
        <f t="shared" si="45"/>
        <v/>
      </c>
    </row>
    <row r="537" spans="1:19">
      <c r="A537" s="7" t="s">
        <v>588</v>
      </c>
      <c r="B537" s="7"/>
      <c r="C537" s="7"/>
      <c r="D537" s="7"/>
      <c r="E537" s="7"/>
      <c r="F537" s="7"/>
      <c r="H537" s="7"/>
      <c r="I537" s="7"/>
      <c r="J537" s="7"/>
      <c r="K537" s="7"/>
      <c r="L537" s="7"/>
      <c r="O537" s="30" t="str">
        <f t="shared" si="41"/>
        <v/>
      </c>
      <c r="P537" s="30" t="str">
        <f t="shared" si="42"/>
        <v/>
      </c>
      <c r="Q537" s="30" t="str">
        <f t="shared" si="43"/>
        <v/>
      </c>
      <c r="R537" s="30" t="str">
        <f t="shared" si="44"/>
        <v/>
      </c>
      <c r="S537" s="30" t="str">
        <f t="shared" si="45"/>
        <v/>
      </c>
    </row>
    <row r="538" spans="1:19">
      <c r="A538" s="7" t="s">
        <v>589</v>
      </c>
      <c r="B538" s="7"/>
      <c r="C538" s="7"/>
      <c r="D538" s="7"/>
      <c r="E538" s="7"/>
      <c r="F538" s="7"/>
      <c r="H538" s="7"/>
      <c r="I538" s="7"/>
      <c r="J538" s="7"/>
      <c r="K538" s="7"/>
      <c r="L538" s="7"/>
      <c r="O538" s="30" t="str">
        <f t="shared" si="41"/>
        <v/>
      </c>
      <c r="P538" s="30" t="str">
        <f t="shared" si="42"/>
        <v/>
      </c>
      <c r="Q538" s="30" t="str">
        <f t="shared" si="43"/>
        <v/>
      </c>
      <c r="R538" s="30" t="str">
        <f t="shared" si="44"/>
        <v/>
      </c>
      <c r="S538" s="30" t="str">
        <f t="shared" si="45"/>
        <v/>
      </c>
    </row>
    <row r="539" spans="1:19">
      <c r="A539" s="7" t="s">
        <v>590</v>
      </c>
      <c r="B539" s="7"/>
      <c r="C539" s="7"/>
      <c r="D539" s="7"/>
      <c r="E539" s="7"/>
      <c r="F539" s="7"/>
      <c r="H539" s="7"/>
      <c r="I539" s="7"/>
      <c r="J539" s="7"/>
      <c r="K539" s="7"/>
      <c r="L539" s="7"/>
      <c r="O539" s="30" t="str">
        <f t="shared" si="41"/>
        <v/>
      </c>
      <c r="P539" s="30" t="str">
        <f t="shared" si="42"/>
        <v/>
      </c>
      <c r="Q539" s="30" t="str">
        <f t="shared" si="43"/>
        <v/>
      </c>
      <c r="R539" s="30" t="str">
        <f t="shared" si="44"/>
        <v/>
      </c>
      <c r="S539" s="30" t="str">
        <f t="shared" si="45"/>
        <v/>
      </c>
    </row>
    <row r="540" spans="1:19">
      <c r="A540" s="7" t="s">
        <v>591</v>
      </c>
      <c r="B540" s="7"/>
      <c r="C540" s="7"/>
      <c r="D540" s="7"/>
      <c r="E540" s="7"/>
      <c r="F540" s="7"/>
      <c r="H540" s="7"/>
      <c r="I540" s="7"/>
      <c r="J540" s="7"/>
      <c r="K540" s="7"/>
      <c r="L540" s="7"/>
      <c r="O540" s="30" t="str">
        <f t="shared" si="41"/>
        <v/>
      </c>
      <c r="P540" s="30" t="str">
        <f t="shared" si="42"/>
        <v/>
      </c>
      <c r="Q540" s="30" t="str">
        <f t="shared" si="43"/>
        <v/>
      </c>
      <c r="R540" s="30" t="str">
        <f t="shared" si="44"/>
        <v/>
      </c>
      <c r="S540" s="30" t="str">
        <f t="shared" si="45"/>
        <v/>
      </c>
    </row>
    <row r="541" spans="1:19">
      <c r="A541" s="7" t="s">
        <v>592</v>
      </c>
      <c r="B541" s="7"/>
      <c r="C541" s="7"/>
      <c r="D541" s="7"/>
      <c r="E541" s="7"/>
      <c r="F541" s="7"/>
      <c r="H541" s="7"/>
      <c r="I541" s="7"/>
      <c r="J541" s="7"/>
      <c r="K541" s="7"/>
      <c r="L541" s="7"/>
      <c r="O541" s="30" t="str">
        <f t="shared" si="41"/>
        <v/>
      </c>
      <c r="P541" s="30" t="str">
        <f t="shared" si="42"/>
        <v/>
      </c>
      <c r="Q541" s="30" t="str">
        <f t="shared" si="43"/>
        <v/>
      </c>
      <c r="R541" s="30" t="str">
        <f t="shared" si="44"/>
        <v/>
      </c>
      <c r="S541" s="30" t="str">
        <f t="shared" si="45"/>
        <v/>
      </c>
    </row>
    <row r="542" spans="1:19">
      <c r="A542" s="7" t="s">
        <v>593</v>
      </c>
      <c r="B542" s="7"/>
      <c r="C542" s="7"/>
      <c r="D542" s="7"/>
      <c r="E542" s="7"/>
      <c r="F542" s="7"/>
      <c r="H542" s="7"/>
      <c r="I542" s="7"/>
      <c r="J542" s="7"/>
      <c r="K542" s="7"/>
      <c r="L542" s="7"/>
      <c r="O542" s="30" t="str">
        <f t="shared" si="41"/>
        <v/>
      </c>
      <c r="P542" s="30" t="str">
        <f t="shared" si="42"/>
        <v/>
      </c>
      <c r="Q542" s="30" t="str">
        <f t="shared" si="43"/>
        <v/>
      </c>
      <c r="R542" s="30" t="str">
        <f t="shared" si="44"/>
        <v/>
      </c>
      <c r="S542" s="30" t="str">
        <f t="shared" si="45"/>
        <v/>
      </c>
    </row>
    <row r="543" spans="1:19">
      <c r="A543" s="7" t="s">
        <v>594</v>
      </c>
      <c r="B543" s="7"/>
      <c r="C543" s="7"/>
      <c r="D543" s="7"/>
      <c r="E543" s="7"/>
      <c r="F543" s="7"/>
      <c r="H543" s="7"/>
      <c r="I543" s="7"/>
      <c r="J543" s="7"/>
      <c r="K543" s="7"/>
      <c r="L543" s="7"/>
      <c r="O543" s="30" t="str">
        <f t="shared" si="41"/>
        <v/>
      </c>
      <c r="P543" s="30" t="str">
        <f t="shared" si="42"/>
        <v/>
      </c>
      <c r="Q543" s="30" t="str">
        <f t="shared" si="43"/>
        <v/>
      </c>
      <c r="R543" s="30" t="str">
        <f t="shared" si="44"/>
        <v/>
      </c>
      <c r="S543" s="30" t="str">
        <f t="shared" si="45"/>
        <v/>
      </c>
    </row>
    <row r="544" spans="1:19">
      <c r="A544" s="7" t="s">
        <v>595</v>
      </c>
      <c r="B544" s="7"/>
      <c r="C544" s="7"/>
      <c r="D544" s="7"/>
      <c r="E544" s="7"/>
      <c r="F544" s="7"/>
      <c r="H544" s="7"/>
      <c r="I544" s="7"/>
      <c r="J544" s="7"/>
      <c r="K544" s="7"/>
      <c r="L544" s="7"/>
      <c r="O544" s="30" t="str">
        <f t="shared" si="41"/>
        <v/>
      </c>
      <c r="P544" s="30" t="str">
        <f t="shared" si="42"/>
        <v/>
      </c>
      <c r="Q544" s="30" t="str">
        <f t="shared" si="43"/>
        <v/>
      </c>
      <c r="R544" s="30" t="str">
        <f t="shared" si="44"/>
        <v/>
      </c>
      <c r="S544" s="30" t="str">
        <f t="shared" si="45"/>
        <v/>
      </c>
    </row>
    <row r="545" spans="1:19">
      <c r="A545" s="7" t="s">
        <v>596</v>
      </c>
      <c r="B545" s="7"/>
      <c r="C545" s="7"/>
      <c r="D545" s="7"/>
      <c r="E545" s="7"/>
      <c r="F545" s="7"/>
      <c r="H545" s="7"/>
      <c r="I545" s="7"/>
      <c r="J545" s="7"/>
      <c r="K545" s="7"/>
      <c r="L545" s="7"/>
      <c r="O545" s="30" t="str">
        <f t="shared" si="41"/>
        <v/>
      </c>
      <c r="P545" s="30" t="str">
        <f t="shared" si="42"/>
        <v/>
      </c>
      <c r="Q545" s="30" t="str">
        <f t="shared" si="43"/>
        <v/>
      </c>
      <c r="R545" s="30" t="str">
        <f t="shared" si="44"/>
        <v/>
      </c>
      <c r="S545" s="30" t="str">
        <f t="shared" si="45"/>
        <v/>
      </c>
    </row>
    <row r="546" spans="1:19">
      <c r="A546" s="7" t="s">
        <v>597</v>
      </c>
      <c r="B546" s="7"/>
      <c r="C546" s="7"/>
      <c r="D546" s="7"/>
      <c r="E546" s="7"/>
      <c r="F546" s="7"/>
      <c r="H546" s="7"/>
      <c r="I546" s="7"/>
      <c r="J546" s="7"/>
      <c r="K546" s="7"/>
      <c r="L546" s="7"/>
      <c r="O546" s="30" t="str">
        <f t="shared" si="41"/>
        <v/>
      </c>
      <c r="P546" s="30" t="str">
        <f t="shared" si="42"/>
        <v/>
      </c>
      <c r="Q546" s="30" t="str">
        <f t="shared" si="43"/>
        <v/>
      </c>
      <c r="R546" s="30" t="str">
        <f t="shared" si="44"/>
        <v/>
      </c>
      <c r="S546" s="30" t="str">
        <f t="shared" si="45"/>
        <v/>
      </c>
    </row>
    <row r="547" spans="1:19">
      <c r="A547" s="7" t="s">
        <v>598</v>
      </c>
      <c r="B547" s="7"/>
      <c r="C547" s="7"/>
      <c r="D547" s="7"/>
      <c r="E547" s="7"/>
      <c r="F547" s="7"/>
      <c r="H547" s="7"/>
      <c r="I547" s="7"/>
      <c r="J547" s="7"/>
      <c r="K547" s="7"/>
      <c r="L547" s="7"/>
      <c r="O547" s="30" t="str">
        <f t="shared" si="41"/>
        <v/>
      </c>
      <c r="P547" s="30" t="str">
        <f t="shared" si="42"/>
        <v/>
      </c>
      <c r="Q547" s="30" t="str">
        <f t="shared" si="43"/>
        <v/>
      </c>
      <c r="R547" s="30" t="str">
        <f t="shared" si="44"/>
        <v/>
      </c>
      <c r="S547" s="30" t="str">
        <f t="shared" si="45"/>
        <v/>
      </c>
    </row>
    <row r="548" spans="1:19">
      <c r="A548" s="7" t="s">
        <v>599</v>
      </c>
      <c r="B548" s="7"/>
      <c r="C548" s="7"/>
      <c r="D548" s="7"/>
      <c r="E548" s="7"/>
      <c r="F548" s="7"/>
      <c r="H548" s="7"/>
      <c r="I548" s="7"/>
      <c r="J548" s="7"/>
      <c r="K548" s="7"/>
      <c r="L548" s="7"/>
      <c r="O548" s="30" t="str">
        <f t="shared" si="41"/>
        <v/>
      </c>
      <c r="P548" s="30" t="str">
        <f t="shared" si="42"/>
        <v/>
      </c>
      <c r="Q548" s="30" t="str">
        <f t="shared" si="43"/>
        <v/>
      </c>
      <c r="R548" s="30" t="str">
        <f t="shared" si="44"/>
        <v/>
      </c>
      <c r="S548" s="30" t="str">
        <f t="shared" si="45"/>
        <v/>
      </c>
    </row>
    <row r="549" spans="1:19">
      <c r="A549" s="7" t="s">
        <v>600</v>
      </c>
      <c r="B549" s="7"/>
      <c r="C549" s="7"/>
      <c r="D549" s="7"/>
      <c r="E549" s="7"/>
      <c r="F549" s="7"/>
      <c r="H549" s="7"/>
      <c r="I549" s="7"/>
      <c r="J549" s="7"/>
      <c r="K549" s="7"/>
      <c r="L549" s="7"/>
      <c r="O549" s="30" t="str">
        <f t="shared" si="41"/>
        <v/>
      </c>
      <c r="P549" s="30" t="str">
        <f t="shared" si="42"/>
        <v/>
      </c>
      <c r="Q549" s="30" t="str">
        <f t="shared" si="43"/>
        <v/>
      </c>
      <c r="R549" s="30" t="str">
        <f t="shared" si="44"/>
        <v/>
      </c>
      <c r="S549" s="30" t="str">
        <f t="shared" si="45"/>
        <v/>
      </c>
    </row>
    <row r="550" spans="1:19">
      <c r="A550" s="7" t="s">
        <v>601</v>
      </c>
      <c r="B550" s="7"/>
      <c r="C550" s="7"/>
      <c r="D550" s="7"/>
      <c r="E550" s="7"/>
      <c r="F550" s="7"/>
      <c r="H550" s="7"/>
      <c r="I550" s="7"/>
      <c r="J550" s="7"/>
      <c r="K550" s="7"/>
      <c r="L550" s="7"/>
      <c r="O550" s="30" t="str">
        <f t="shared" si="41"/>
        <v/>
      </c>
      <c r="P550" s="30" t="str">
        <f t="shared" si="42"/>
        <v/>
      </c>
      <c r="Q550" s="30" t="str">
        <f t="shared" si="43"/>
        <v/>
      </c>
      <c r="R550" s="30" t="str">
        <f t="shared" si="44"/>
        <v/>
      </c>
      <c r="S550" s="30" t="str">
        <f t="shared" si="45"/>
        <v/>
      </c>
    </row>
    <row r="551" spans="1:19">
      <c r="A551" s="7" t="s">
        <v>602</v>
      </c>
      <c r="B551" s="7"/>
      <c r="C551" s="7"/>
      <c r="D551" s="7"/>
      <c r="E551" s="7"/>
      <c r="F551" s="7"/>
      <c r="H551" s="7"/>
      <c r="I551" s="7"/>
      <c r="J551" s="7"/>
      <c r="K551" s="7"/>
      <c r="L551" s="7"/>
      <c r="O551" s="30" t="str">
        <f t="shared" si="41"/>
        <v/>
      </c>
      <c r="P551" s="30" t="str">
        <f t="shared" si="42"/>
        <v/>
      </c>
      <c r="Q551" s="30" t="str">
        <f t="shared" si="43"/>
        <v/>
      </c>
      <c r="R551" s="30" t="str">
        <f t="shared" si="44"/>
        <v/>
      </c>
      <c r="S551" s="30" t="str">
        <f t="shared" si="45"/>
        <v/>
      </c>
    </row>
    <row r="552" spans="1:19">
      <c r="A552" s="7" t="s">
        <v>603</v>
      </c>
      <c r="B552" s="7"/>
      <c r="C552" s="7"/>
      <c r="D552" s="7"/>
      <c r="E552" s="7"/>
      <c r="F552" s="7"/>
      <c r="H552" s="7"/>
      <c r="I552" s="7"/>
      <c r="J552" s="7"/>
      <c r="K552" s="7"/>
      <c r="L552" s="7"/>
      <c r="O552" s="30" t="str">
        <f t="shared" si="41"/>
        <v/>
      </c>
      <c r="P552" s="30" t="str">
        <f t="shared" si="42"/>
        <v/>
      </c>
      <c r="Q552" s="30" t="str">
        <f t="shared" si="43"/>
        <v/>
      </c>
      <c r="R552" s="30" t="str">
        <f t="shared" si="44"/>
        <v/>
      </c>
      <c r="S552" s="30" t="str">
        <f t="shared" si="45"/>
        <v/>
      </c>
    </row>
    <row r="553" spans="1:19">
      <c r="A553" s="7" t="s">
        <v>604</v>
      </c>
      <c r="B553" s="7"/>
      <c r="C553" s="7"/>
      <c r="D553" s="7"/>
      <c r="E553" s="7"/>
      <c r="F553" s="7"/>
      <c r="H553" s="7"/>
      <c r="I553" s="7"/>
      <c r="J553" s="7"/>
      <c r="K553" s="7"/>
      <c r="L553" s="7"/>
      <c r="O553" s="30" t="str">
        <f t="shared" si="41"/>
        <v/>
      </c>
      <c r="P553" s="30" t="str">
        <f t="shared" si="42"/>
        <v/>
      </c>
      <c r="Q553" s="30" t="str">
        <f t="shared" si="43"/>
        <v/>
      </c>
      <c r="R553" s="30" t="str">
        <f t="shared" si="44"/>
        <v/>
      </c>
      <c r="S553" s="30" t="str">
        <f t="shared" si="45"/>
        <v/>
      </c>
    </row>
    <row r="554" spans="1:19">
      <c r="A554" s="7" t="s">
        <v>605</v>
      </c>
      <c r="B554" s="7"/>
      <c r="C554" s="7"/>
      <c r="D554" s="7"/>
      <c r="E554" s="7"/>
      <c r="F554" s="7"/>
      <c r="H554" s="7"/>
      <c r="I554" s="7"/>
      <c r="J554" s="7"/>
      <c r="K554" s="7"/>
      <c r="L554" s="7"/>
      <c r="O554" s="30" t="str">
        <f t="shared" si="41"/>
        <v/>
      </c>
      <c r="P554" s="30" t="str">
        <f t="shared" si="42"/>
        <v/>
      </c>
      <c r="Q554" s="30" t="str">
        <f t="shared" si="43"/>
        <v/>
      </c>
      <c r="R554" s="30" t="str">
        <f t="shared" si="44"/>
        <v/>
      </c>
      <c r="S554" s="30" t="str">
        <f t="shared" si="45"/>
        <v/>
      </c>
    </row>
    <row r="555" spans="1:19">
      <c r="A555" s="7" t="s">
        <v>606</v>
      </c>
      <c r="B555" s="7"/>
      <c r="C555" s="7"/>
      <c r="D555" s="7"/>
      <c r="E555" s="7"/>
      <c r="F555" s="7"/>
      <c r="H555" s="7"/>
      <c r="I555" s="7"/>
      <c r="J555" s="7"/>
      <c r="K555" s="7"/>
      <c r="L555" s="7"/>
      <c r="O555" s="30" t="str">
        <f t="shared" si="41"/>
        <v/>
      </c>
      <c r="P555" s="30" t="str">
        <f t="shared" si="42"/>
        <v/>
      </c>
      <c r="Q555" s="30" t="str">
        <f t="shared" si="43"/>
        <v/>
      </c>
      <c r="R555" s="30" t="str">
        <f t="shared" si="44"/>
        <v/>
      </c>
      <c r="S555" s="30" t="str">
        <f t="shared" si="45"/>
        <v/>
      </c>
    </row>
    <row r="556" spans="1:19">
      <c r="A556" s="7" t="s">
        <v>607</v>
      </c>
      <c r="B556" s="7"/>
      <c r="C556" s="7"/>
      <c r="D556" s="7"/>
      <c r="E556" s="7"/>
      <c r="F556" s="7"/>
      <c r="H556" s="7"/>
      <c r="I556" s="7"/>
      <c r="J556" s="7"/>
      <c r="K556" s="7"/>
      <c r="L556" s="7"/>
      <c r="O556" s="30" t="str">
        <f t="shared" si="41"/>
        <v/>
      </c>
      <c r="P556" s="30" t="str">
        <f t="shared" si="42"/>
        <v/>
      </c>
      <c r="Q556" s="30" t="str">
        <f t="shared" si="43"/>
        <v/>
      </c>
      <c r="R556" s="30" t="str">
        <f t="shared" si="44"/>
        <v/>
      </c>
      <c r="S556" s="30" t="str">
        <f t="shared" si="45"/>
        <v/>
      </c>
    </row>
    <row r="557" spans="1:19">
      <c r="A557" s="7" t="s">
        <v>608</v>
      </c>
      <c r="B557" s="7"/>
      <c r="C557" s="7"/>
      <c r="D557" s="7"/>
      <c r="E557" s="7"/>
      <c r="F557" s="7"/>
      <c r="H557" s="7"/>
      <c r="I557" s="7"/>
      <c r="J557" s="7"/>
      <c r="K557" s="7"/>
      <c r="L557" s="7"/>
      <c r="O557" s="30" t="str">
        <f t="shared" si="41"/>
        <v/>
      </c>
      <c r="P557" s="30" t="str">
        <f t="shared" si="42"/>
        <v/>
      </c>
      <c r="Q557" s="30" t="str">
        <f t="shared" si="43"/>
        <v/>
      </c>
      <c r="R557" s="30" t="str">
        <f t="shared" si="44"/>
        <v/>
      </c>
      <c r="S557" s="30" t="str">
        <f t="shared" si="45"/>
        <v/>
      </c>
    </row>
    <row r="558" spans="1:19">
      <c r="A558" s="7" t="s">
        <v>609</v>
      </c>
      <c r="B558" s="7"/>
      <c r="C558" s="7"/>
      <c r="D558" s="7"/>
      <c r="E558" s="7"/>
      <c r="F558" s="7"/>
      <c r="H558" s="7"/>
      <c r="I558" s="7"/>
      <c r="J558" s="7"/>
      <c r="K558" s="7"/>
      <c r="L558" s="7"/>
      <c r="O558" s="30" t="str">
        <f t="shared" si="41"/>
        <v/>
      </c>
      <c r="P558" s="30" t="str">
        <f t="shared" si="42"/>
        <v/>
      </c>
      <c r="Q558" s="30" t="str">
        <f t="shared" si="43"/>
        <v/>
      </c>
      <c r="R558" s="30" t="str">
        <f t="shared" si="44"/>
        <v/>
      </c>
      <c r="S558" s="30" t="str">
        <f t="shared" si="45"/>
        <v/>
      </c>
    </row>
    <row r="559" spans="1:19">
      <c r="A559" s="7" t="s">
        <v>610</v>
      </c>
      <c r="B559" s="7"/>
      <c r="C559" s="7"/>
      <c r="D559" s="7"/>
      <c r="E559" s="7"/>
      <c r="F559" s="7"/>
      <c r="H559" s="7"/>
      <c r="I559" s="7"/>
      <c r="J559" s="7"/>
      <c r="K559" s="7"/>
      <c r="L559" s="7"/>
      <c r="O559" s="30" t="str">
        <f t="shared" si="41"/>
        <v/>
      </c>
      <c r="P559" s="30" t="str">
        <f t="shared" si="42"/>
        <v/>
      </c>
      <c r="Q559" s="30" t="str">
        <f t="shared" si="43"/>
        <v/>
      </c>
      <c r="R559" s="30" t="str">
        <f t="shared" si="44"/>
        <v/>
      </c>
      <c r="S559" s="30" t="str">
        <f t="shared" si="45"/>
        <v/>
      </c>
    </row>
    <row r="560" spans="1:19">
      <c r="A560" s="7" t="s">
        <v>611</v>
      </c>
      <c r="B560" s="7"/>
      <c r="C560" s="7"/>
      <c r="D560" s="7"/>
      <c r="E560" s="7"/>
      <c r="F560" s="7"/>
      <c r="H560" s="7"/>
      <c r="I560" s="7"/>
      <c r="J560" s="7"/>
      <c r="K560" s="7"/>
      <c r="L560" s="7"/>
      <c r="O560" s="30" t="str">
        <f t="shared" si="41"/>
        <v/>
      </c>
      <c r="P560" s="30" t="str">
        <f t="shared" si="42"/>
        <v/>
      </c>
      <c r="Q560" s="30" t="str">
        <f t="shared" si="43"/>
        <v/>
      </c>
      <c r="R560" s="30" t="str">
        <f t="shared" si="44"/>
        <v/>
      </c>
      <c r="S560" s="30" t="str">
        <f t="shared" si="45"/>
        <v/>
      </c>
    </row>
    <row r="561" spans="1:19">
      <c r="A561" s="7" t="s">
        <v>612</v>
      </c>
      <c r="B561" s="7"/>
      <c r="C561" s="7"/>
      <c r="D561" s="7"/>
      <c r="E561" s="7"/>
      <c r="F561" s="7"/>
      <c r="H561" s="7"/>
      <c r="I561" s="7"/>
      <c r="J561" s="7"/>
      <c r="K561" s="7"/>
      <c r="L561" s="7"/>
      <c r="O561" s="30" t="str">
        <f t="shared" si="41"/>
        <v/>
      </c>
      <c r="P561" s="30" t="str">
        <f t="shared" si="42"/>
        <v/>
      </c>
      <c r="Q561" s="30" t="str">
        <f t="shared" si="43"/>
        <v/>
      </c>
      <c r="R561" s="30" t="str">
        <f t="shared" si="44"/>
        <v/>
      </c>
      <c r="S561" s="30" t="str">
        <f t="shared" si="45"/>
        <v/>
      </c>
    </row>
    <row r="562" spans="1:19">
      <c r="A562" s="7" t="s">
        <v>613</v>
      </c>
      <c r="B562" s="7"/>
      <c r="C562" s="7"/>
      <c r="D562" s="7"/>
      <c r="E562" s="7"/>
      <c r="F562" s="7"/>
      <c r="H562" s="7"/>
      <c r="I562" s="7"/>
      <c r="J562" s="7"/>
      <c r="K562" s="7"/>
      <c r="L562" s="7"/>
      <c r="O562" s="30" t="str">
        <f t="shared" si="41"/>
        <v/>
      </c>
      <c r="P562" s="30" t="str">
        <f t="shared" si="42"/>
        <v/>
      </c>
      <c r="Q562" s="30" t="str">
        <f t="shared" si="43"/>
        <v/>
      </c>
      <c r="R562" s="30" t="str">
        <f t="shared" si="44"/>
        <v/>
      </c>
      <c r="S562" s="30" t="str">
        <f t="shared" si="45"/>
        <v/>
      </c>
    </row>
    <row r="563" spans="1:19">
      <c r="A563" s="7" t="s">
        <v>614</v>
      </c>
      <c r="B563" s="7"/>
      <c r="C563" s="7"/>
      <c r="D563" s="7"/>
      <c r="E563" s="7"/>
      <c r="F563" s="7"/>
      <c r="H563" s="7"/>
      <c r="I563" s="7"/>
      <c r="J563" s="7"/>
      <c r="K563" s="7"/>
      <c r="L563" s="7"/>
      <c r="O563" s="30" t="str">
        <f t="shared" si="41"/>
        <v/>
      </c>
      <c r="P563" s="30" t="str">
        <f t="shared" si="42"/>
        <v/>
      </c>
      <c r="Q563" s="30" t="str">
        <f t="shared" si="43"/>
        <v/>
      </c>
      <c r="R563" s="30" t="str">
        <f t="shared" si="44"/>
        <v/>
      </c>
      <c r="S563" s="30" t="str">
        <f t="shared" si="45"/>
        <v/>
      </c>
    </row>
    <row r="564" spans="1:19">
      <c r="A564" s="7" t="s">
        <v>615</v>
      </c>
      <c r="B564" s="7"/>
      <c r="C564" s="7"/>
      <c r="D564" s="7"/>
      <c r="E564" s="7"/>
      <c r="F564" s="7"/>
      <c r="H564" s="7"/>
      <c r="I564" s="7"/>
      <c r="J564" s="7"/>
      <c r="K564" s="7"/>
      <c r="L564" s="7"/>
      <c r="O564" s="30" t="str">
        <f t="shared" si="41"/>
        <v/>
      </c>
      <c r="P564" s="30" t="str">
        <f t="shared" si="42"/>
        <v/>
      </c>
      <c r="Q564" s="30" t="str">
        <f t="shared" si="43"/>
        <v/>
      </c>
      <c r="R564" s="30" t="str">
        <f t="shared" si="44"/>
        <v/>
      </c>
      <c r="S564" s="30" t="str">
        <f t="shared" si="45"/>
        <v/>
      </c>
    </row>
    <row r="565" spans="1:19">
      <c r="A565" s="7" t="s">
        <v>616</v>
      </c>
      <c r="B565" s="7"/>
      <c r="C565" s="7"/>
      <c r="D565" s="7"/>
      <c r="E565" s="7"/>
      <c r="F565" s="7"/>
      <c r="H565" s="7"/>
      <c r="I565" s="7"/>
      <c r="J565" s="7"/>
      <c r="K565" s="7"/>
      <c r="L565" s="7"/>
      <c r="O565" s="30" t="str">
        <f t="shared" si="41"/>
        <v/>
      </c>
      <c r="P565" s="30" t="str">
        <f t="shared" si="42"/>
        <v/>
      </c>
      <c r="Q565" s="30" t="str">
        <f t="shared" si="43"/>
        <v/>
      </c>
      <c r="R565" s="30" t="str">
        <f t="shared" si="44"/>
        <v/>
      </c>
      <c r="S565" s="30" t="str">
        <f t="shared" si="45"/>
        <v/>
      </c>
    </row>
    <row r="566" spans="1:19">
      <c r="A566" s="7" t="s">
        <v>617</v>
      </c>
      <c r="B566" s="7"/>
      <c r="C566" s="7"/>
      <c r="D566" s="7"/>
      <c r="E566" s="7"/>
      <c r="F566" s="7"/>
      <c r="H566" s="7"/>
      <c r="I566" s="7"/>
      <c r="J566" s="7"/>
      <c r="K566" s="7"/>
      <c r="L566" s="7"/>
      <c r="O566" s="30" t="str">
        <f t="shared" si="41"/>
        <v/>
      </c>
      <c r="P566" s="30" t="str">
        <f t="shared" si="42"/>
        <v/>
      </c>
      <c r="Q566" s="30" t="str">
        <f t="shared" si="43"/>
        <v/>
      </c>
      <c r="R566" s="30" t="str">
        <f t="shared" si="44"/>
        <v/>
      </c>
      <c r="S566" s="30" t="str">
        <f t="shared" si="45"/>
        <v/>
      </c>
    </row>
    <row r="567" spans="1:19">
      <c r="A567" s="7" t="s">
        <v>618</v>
      </c>
      <c r="B567" s="7"/>
      <c r="C567" s="7"/>
      <c r="D567" s="7"/>
      <c r="E567" s="7"/>
      <c r="F567" s="7"/>
      <c r="H567" s="7"/>
      <c r="I567" s="7"/>
      <c r="J567" s="7"/>
      <c r="K567" s="7"/>
      <c r="L567" s="7"/>
      <c r="O567" s="30" t="str">
        <f t="shared" si="41"/>
        <v/>
      </c>
      <c r="P567" s="30" t="str">
        <f t="shared" si="42"/>
        <v/>
      </c>
      <c r="Q567" s="30" t="str">
        <f t="shared" si="43"/>
        <v/>
      </c>
      <c r="R567" s="30" t="str">
        <f t="shared" si="44"/>
        <v/>
      </c>
      <c r="S567" s="30" t="str">
        <f t="shared" si="45"/>
        <v/>
      </c>
    </row>
    <row r="568" spans="1:19">
      <c r="A568" s="7" t="s">
        <v>619</v>
      </c>
      <c r="B568" s="7"/>
      <c r="C568" s="7"/>
      <c r="D568" s="7"/>
      <c r="E568" s="7"/>
      <c r="F568" s="7"/>
      <c r="H568" s="7"/>
      <c r="I568" s="7"/>
      <c r="J568" s="7"/>
      <c r="K568" s="7"/>
      <c r="L568" s="7"/>
      <c r="O568" s="30" t="str">
        <f t="shared" si="41"/>
        <v/>
      </c>
      <c r="P568" s="30" t="str">
        <f t="shared" si="42"/>
        <v/>
      </c>
      <c r="Q568" s="30" t="str">
        <f t="shared" si="43"/>
        <v/>
      </c>
      <c r="R568" s="30" t="str">
        <f t="shared" si="44"/>
        <v/>
      </c>
      <c r="S568" s="30" t="str">
        <f t="shared" si="45"/>
        <v/>
      </c>
    </row>
    <row r="569" spans="1:19">
      <c r="A569" s="7" t="s">
        <v>620</v>
      </c>
      <c r="B569" s="7"/>
      <c r="C569" s="7"/>
      <c r="D569" s="7"/>
      <c r="E569" s="7"/>
      <c r="F569" s="7"/>
      <c r="H569" s="7"/>
      <c r="I569" s="7"/>
      <c r="J569" s="7"/>
      <c r="K569" s="7"/>
      <c r="L569" s="7"/>
      <c r="O569" s="30" t="str">
        <f t="shared" si="41"/>
        <v/>
      </c>
      <c r="P569" s="30" t="str">
        <f t="shared" si="42"/>
        <v/>
      </c>
      <c r="Q569" s="30" t="str">
        <f t="shared" si="43"/>
        <v/>
      </c>
      <c r="R569" s="30" t="str">
        <f t="shared" si="44"/>
        <v/>
      </c>
      <c r="S569" s="30" t="str">
        <f t="shared" si="45"/>
        <v/>
      </c>
    </row>
    <row r="570" spans="1:19">
      <c r="A570" s="7" t="s">
        <v>621</v>
      </c>
      <c r="B570" s="7"/>
      <c r="C570" s="7"/>
      <c r="D570" s="7"/>
      <c r="E570" s="7"/>
      <c r="F570" s="7"/>
      <c r="H570" s="7"/>
      <c r="I570" s="7"/>
      <c r="J570" s="7"/>
      <c r="K570" s="7"/>
      <c r="L570" s="7"/>
      <c r="O570" s="30" t="str">
        <f t="shared" si="41"/>
        <v/>
      </c>
      <c r="P570" s="30" t="str">
        <f t="shared" si="42"/>
        <v/>
      </c>
      <c r="Q570" s="30" t="str">
        <f t="shared" si="43"/>
        <v/>
      </c>
      <c r="R570" s="30" t="str">
        <f t="shared" si="44"/>
        <v/>
      </c>
      <c r="S570" s="30" t="str">
        <f t="shared" si="45"/>
        <v/>
      </c>
    </row>
    <row r="571" spans="1:19">
      <c r="A571" s="7" t="s">
        <v>622</v>
      </c>
      <c r="B571" s="7"/>
      <c r="C571" s="7"/>
      <c r="D571" s="7"/>
      <c r="E571" s="7"/>
      <c r="F571" s="7"/>
      <c r="H571" s="7"/>
      <c r="I571" s="7"/>
      <c r="J571" s="7"/>
      <c r="K571" s="7"/>
      <c r="L571" s="7"/>
      <c r="O571" s="30" t="str">
        <f t="shared" si="41"/>
        <v/>
      </c>
      <c r="P571" s="30" t="str">
        <f t="shared" si="42"/>
        <v/>
      </c>
      <c r="Q571" s="30" t="str">
        <f t="shared" si="43"/>
        <v/>
      </c>
      <c r="R571" s="30" t="str">
        <f t="shared" si="44"/>
        <v/>
      </c>
      <c r="S571" s="30" t="str">
        <f t="shared" si="45"/>
        <v/>
      </c>
    </row>
    <row r="572" spans="1:19">
      <c r="A572" s="7" t="s">
        <v>623</v>
      </c>
      <c r="B572" s="7"/>
      <c r="C572" s="7"/>
      <c r="D572" s="7"/>
      <c r="E572" s="7"/>
      <c r="F572" s="7"/>
      <c r="H572" s="7"/>
      <c r="I572" s="7"/>
      <c r="J572" s="7"/>
      <c r="K572" s="7"/>
      <c r="L572" s="7"/>
      <c r="O572" s="30" t="str">
        <f t="shared" si="41"/>
        <v/>
      </c>
      <c r="P572" s="30" t="str">
        <f t="shared" si="42"/>
        <v/>
      </c>
      <c r="Q572" s="30" t="str">
        <f t="shared" si="43"/>
        <v/>
      </c>
      <c r="R572" s="30" t="str">
        <f t="shared" si="44"/>
        <v/>
      </c>
      <c r="S572" s="30" t="str">
        <f t="shared" si="45"/>
        <v/>
      </c>
    </row>
    <row r="573" spans="1:19">
      <c r="A573" s="7" t="s">
        <v>624</v>
      </c>
      <c r="B573" s="7"/>
      <c r="C573" s="7"/>
      <c r="D573" s="7"/>
      <c r="E573" s="7"/>
      <c r="F573" s="7"/>
      <c r="H573" s="7"/>
      <c r="I573" s="7"/>
      <c r="J573" s="7"/>
      <c r="K573" s="7"/>
      <c r="L573" s="7"/>
      <c r="O573" s="30" t="str">
        <f t="shared" si="41"/>
        <v/>
      </c>
      <c r="P573" s="30" t="str">
        <f t="shared" si="42"/>
        <v/>
      </c>
      <c r="Q573" s="30" t="str">
        <f t="shared" si="43"/>
        <v/>
      </c>
      <c r="R573" s="30" t="str">
        <f t="shared" si="44"/>
        <v/>
      </c>
      <c r="S573" s="30" t="str">
        <f t="shared" si="45"/>
        <v/>
      </c>
    </row>
    <row r="574" spans="1:19">
      <c r="A574" s="7" t="s">
        <v>625</v>
      </c>
      <c r="B574" s="7"/>
      <c r="C574" s="7"/>
      <c r="D574" s="7"/>
      <c r="E574" s="7"/>
      <c r="F574" s="7"/>
      <c r="H574" s="7"/>
      <c r="I574" s="7"/>
      <c r="J574" s="7"/>
      <c r="K574" s="7"/>
      <c r="L574" s="7"/>
      <c r="O574" s="30" t="str">
        <f t="shared" si="41"/>
        <v/>
      </c>
      <c r="P574" s="30" t="str">
        <f t="shared" si="42"/>
        <v/>
      </c>
      <c r="Q574" s="30" t="str">
        <f t="shared" si="43"/>
        <v/>
      </c>
      <c r="R574" s="30" t="str">
        <f t="shared" si="44"/>
        <v/>
      </c>
      <c r="S574" s="30" t="str">
        <f t="shared" si="45"/>
        <v/>
      </c>
    </row>
    <row r="575" spans="1:19">
      <c r="A575" s="7" t="s">
        <v>626</v>
      </c>
      <c r="B575" s="7"/>
      <c r="C575" s="7"/>
      <c r="D575" s="7"/>
      <c r="E575" s="7"/>
      <c r="F575" s="7"/>
      <c r="H575" s="7"/>
      <c r="I575" s="7"/>
      <c r="J575" s="7"/>
      <c r="K575" s="7"/>
      <c r="L575" s="7"/>
      <c r="O575" s="30" t="str">
        <f t="shared" si="41"/>
        <v/>
      </c>
      <c r="P575" s="30" t="str">
        <f t="shared" si="42"/>
        <v/>
      </c>
      <c r="Q575" s="30" t="str">
        <f t="shared" si="43"/>
        <v/>
      </c>
      <c r="R575" s="30" t="str">
        <f t="shared" si="44"/>
        <v/>
      </c>
      <c r="S575" s="30" t="str">
        <f t="shared" si="45"/>
        <v/>
      </c>
    </row>
    <row r="576" spans="1:19">
      <c r="A576" s="7" t="s">
        <v>627</v>
      </c>
      <c r="B576" s="7"/>
      <c r="C576" s="7"/>
      <c r="D576" s="7"/>
      <c r="E576" s="7"/>
      <c r="F576" s="7"/>
      <c r="H576" s="7"/>
      <c r="I576" s="7"/>
      <c r="J576" s="7"/>
      <c r="K576" s="7"/>
      <c r="L576" s="7"/>
      <c r="O576" s="30" t="str">
        <f t="shared" si="41"/>
        <v/>
      </c>
      <c r="P576" s="30" t="str">
        <f t="shared" si="42"/>
        <v/>
      </c>
      <c r="Q576" s="30" t="str">
        <f t="shared" si="43"/>
        <v/>
      </c>
      <c r="R576" s="30" t="str">
        <f t="shared" si="44"/>
        <v/>
      </c>
      <c r="S576" s="30" t="str">
        <f t="shared" si="45"/>
        <v/>
      </c>
    </row>
    <row r="577" spans="1:19">
      <c r="A577" s="7" t="s">
        <v>628</v>
      </c>
      <c r="B577" s="7"/>
      <c r="C577" s="7"/>
      <c r="D577" s="7"/>
      <c r="E577" s="7"/>
      <c r="F577" s="7"/>
      <c r="H577" s="7"/>
      <c r="I577" s="7"/>
      <c r="J577" s="7"/>
      <c r="K577" s="7"/>
      <c r="L577" s="7"/>
      <c r="O577" s="30" t="str">
        <f t="shared" si="41"/>
        <v/>
      </c>
      <c r="P577" s="30" t="str">
        <f t="shared" si="42"/>
        <v/>
      </c>
      <c r="Q577" s="30" t="str">
        <f t="shared" si="43"/>
        <v/>
      </c>
      <c r="R577" s="30" t="str">
        <f t="shared" si="44"/>
        <v/>
      </c>
      <c r="S577" s="30" t="str">
        <f t="shared" si="45"/>
        <v/>
      </c>
    </row>
    <row r="578" spans="1:19">
      <c r="A578" s="7" t="s">
        <v>629</v>
      </c>
      <c r="B578" s="7"/>
      <c r="C578" s="7"/>
      <c r="D578" s="7"/>
      <c r="E578" s="7"/>
      <c r="F578" s="7"/>
      <c r="H578" s="7"/>
      <c r="I578" s="7"/>
      <c r="J578" s="7"/>
      <c r="K578" s="7"/>
      <c r="L578" s="7"/>
      <c r="O578" s="30" t="str">
        <f t="shared" si="41"/>
        <v/>
      </c>
      <c r="P578" s="30" t="str">
        <f t="shared" si="42"/>
        <v/>
      </c>
      <c r="Q578" s="30" t="str">
        <f t="shared" si="43"/>
        <v/>
      </c>
      <c r="R578" s="30" t="str">
        <f t="shared" si="44"/>
        <v/>
      </c>
      <c r="S578" s="30" t="str">
        <f t="shared" si="45"/>
        <v/>
      </c>
    </row>
    <row r="579" spans="1:19">
      <c r="A579" s="7" t="s">
        <v>630</v>
      </c>
      <c r="B579" s="7"/>
      <c r="C579" s="7"/>
      <c r="D579" s="7"/>
      <c r="E579" s="7"/>
      <c r="F579" s="7"/>
      <c r="H579" s="7"/>
      <c r="I579" s="7"/>
      <c r="J579" s="7"/>
      <c r="K579" s="7"/>
      <c r="L579" s="7"/>
      <c r="O579" s="30" t="str">
        <f t="shared" si="41"/>
        <v/>
      </c>
      <c r="P579" s="30" t="str">
        <f t="shared" si="42"/>
        <v/>
      </c>
      <c r="Q579" s="30" t="str">
        <f t="shared" si="43"/>
        <v/>
      </c>
      <c r="R579" s="30" t="str">
        <f t="shared" si="44"/>
        <v/>
      </c>
      <c r="S579" s="30" t="str">
        <f t="shared" si="45"/>
        <v/>
      </c>
    </row>
    <row r="580" spans="1:19">
      <c r="A580" s="7" t="s">
        <v>631</v>
      </c>
      <c r="B580" s="7"/>
      <c r="C580" s="7"/>
      <c r="D580" s="7"/>
      <c r="E580" s="7"/>
      <c r="F580" s="7"/>
      <c r="H580" s="7"/>
      <c r="I580" s="7"/>
      <c r="J580" s="7"/>
      <c r="K580" s="7"/>
      <c r="L580" s="7"/>
      <c r="O580" s="30" t="str">
        <f t="shared" si="41"/>
        <v/>
      </c>
      <c r="P580" s="30" t="str">
        <f t="shared" si="42"/>
        <v/>
      </c>
      <c r="Q580" s="30" t="str">
        <f t="shared" si="43"/>
        <v/>
      </c>
      <c r="R580" s="30" t="str">
        <f t="shared" si="44"/>
        <v/>
      </c>
      <c r="S580" s="30" t="str">
        <f t="shared" si="45"/>
        <v/>
      </c>
    </row>
    <row r="581" spans="1:19">
      <c r="A581" s="7" t="s">
        <v>632</v>
      </c>
      <c r="B581" s="7"/>
      <c r="C581" s="7"/>
      <c r="D581" s="7"/>
      <c r="E581" s="7"/>
      <c r="F581" s="7"/>
      <c r="H581" s="7"/>
      <c r="I581" s="7"/>
      <c r="J581" s="7"/>
      <c r="K581" s="7"/>
      <c r="L581" s="7"/>
      <c r="O581" s="30" t="str">
        <f t="shared" si="41"/>
        <v/>
      </c>
      <c r="P581" s="30" t="str">
        <f t="shared" si="42"/>
        <v/>
      </c>
      <c r="Q581" s="30" t="str">
        <f t="shared" si="43"/>
        <v/>
      </c>
      <c r="R581" s="30" t="str">
        <f t="shared" si="44"/>
        <v/>
      </c>
      <c r="S581" s="30" t="str">
        <f t="shared" si="45"/>
        <v/>
      </c>
    </row>
    <row r="582" spans="1:19">
      <c r="A582" s="7" t="s">
        <v>633</v>
      </c>
      <c r="B582" s="7"/>
      <c r="C582" s="7"/>
      <c r="D582" s="7"/>
      <c r="E582" s="7"/>
      <c r="F582" s="7"/>
      <c r="H582" s="7"/>
      <c r="I582" s="7"/>
      <c r="J582" s="7"/>
      <c r="K582" s="7"/>
      <c r="L582" s="7"/>
      <c r="O582" s="30" t="str">
        <f t="shared" si="41"/>
        <v/>
      </c>
      <c r="P582" s="30" t="str">
        <f t="shared" si="42"/>
        <v/>
      </c>
      <c r="Q582" s="30" t="str">
        <f t="shared" si="43"/>
        <v/>
      </c>
      <c r="R582" s="30" t="str">
        <f t="shared" si="44"/>
        <v/>
      </c>
      <c r="S582" s="30" t="str">
        <f t="shared" si="45"/>
        <v/>
      </c>
    </row>
    <row r="583" spans="1:19">
      <c r="A583" s="7" t="s">
        <v>634</v>
      </c>
      <c r="B583" s="7"/>
      <c r="C583" s="7"/>
      <c r="D583" s="7"/>
      <c r="E583" s="7"/>
      <c r="F583" s="7"/>
      <c r="H583" s="7"/>
      <c r="I583" s="7"/>
      <c r="J583" s="7"/>
      <c r="K583" s="7"/>
      <c r="L583" s="7"/>
      <c r="O583" s="30" t="str">
        <f t="shared" si="41"/>
        <v/>
      </c>
      <c r="P583" s="30" t="str">
        <f t="shared" si="42"/>
        <v/>
      </c>
      <c r="Q583" s="30" t="str">
        <f t="shared" si="43"/>
        <v/>
      </c>
      <c r="R583" s="30" t="str">
        <f t="shared" si="44"/>
        <v/>
      </c>
      <c r="S583" s="30" t="str">
        <f t="shared" si="45"/>
        <v/>
      </c>
    </row>
    <row r="584" spans="1:19">
      <c r="A584" s="7" t="s">
        <v>635</v>
      </c>
      <c r="B584" s="7"/>
      <c r="C584" s="7"/>
      <c r="D584" s="7"/>
      <c r="E584" s="7"/>
      <c r="F584" s="7"/>
      <c r="H584" s="7"/>
      <c r="I584" s="7"/>
      <c r="J584" s="7"/>
      <c r="K584" s="7"/>
      <c r="L584" s="7"/>
      <c r="O584" s="30" t="str">
        <f t="shared" si="41"/>
        <v/>
      </c>
      <c r="P584" s="30" t="str">
        <f t="shared" si="42"/>
        <v/>
      </c>
      <c r="Q584" s="30" t="str">
        <f t="shared" si="43"/>
        <v/>
      </c>
      <c r="R584" s="30" t="str">
        <f t="shared" si="44"/>
        <v/>
      </c>
      <c r="S584" s="30" t="str">
        <f t="shared" si="45"/>
        <v/>
      </c>
    </row>
    <row r="585" spans="1:19">
      <c r="A585" s="7" t="s">
        <v>636</v>
      </c>
      <c r="B585" s="7"/>
      <c r="C585" s="7"/>
      <c r="D585" s="7"/>
      <c r="E585" s="7"/>
      <c r="F585" s="7"/>
      <c r="H585" s="7"/>
      <c r="I585" s="7"/>
      <c r="J585" s="7"/>
      <c r="K585" s="7"/>
      <c r="L585" s="7"/>
      <c r="O585" s="30" t="str">
        <f t="shared" ref="O585:O648" si="46">IF(H585&gt;0,"Angebot offen","")</f>
        <v/>
      </c>
      <c r="P585" s="30" t="str">
        <f t="shared" ref="P585:P648" si="47">IF(I585&gt;0,"Angebot offen","")</f>
        <v/>
      </c>
      <c r="Q585" s="30" t="str">
        <f t="shared" ref="Q585:Q648" si="48">IF(J585&gt;0,"Angebot offen","")</f>
        <v/>
      </c>
      <c r="R585" s="30" t="str">
        <f t="shared" ref="R585:R648" si="49">IF(K585&gt;0,"Angebot offen","")</f>
        <v/>
      </c>
      <c r="S585" s="30" t="str">
        <f t="shared" ref="S585:S648" si="50">IF(L585&gt;0,"Angebot offen","")</f>
        <v/>
      </c>
    </row>
    <row r="586" spans="1:19">
      <c r="A586" s="7" t="s">
        <v>637</v>
      </c>
      <c r="B586" s="7"/>
      <c r="C586" s="7"/>
      <c r="D586" s="7"/>
      <c r="E586" s="7"/>
      <c r="F586" s="7"/>
      <c r="H586" s="7"/>
      <c r="I586" s="7"/>
      <c r="J586" s="7"/>
      <c r="K586" s="7"/>
      <c r="L586" s="7"/>
      <c r="O586" s="30" t="str">
        <f t="shared" si="46"/>
        <v/>
      </c>
      <c r="P586" s="30" t="str">
        <f t="shared" si="47"/>
        <v/>
      </c>
      <c r="Q586" s="30" t="str">
        <f t="shared" si="48"/>
        <v/>
      </c>
      <c r="R586" s="30" t="str">
        <f t="shared" si="49"/>
        <v/>
      </c>
      <c r="S586" s="30" t="str">
        <f t="shared" si="50"/>
        <v/>
      </c>
    </row>
    <row r="587" spans="1:19">
      <c r="A587" s="7" t="s">
        <v>638</v>
      </c>
      <c r="B587" s="7"/>
      <c r="C587" s="7"/>
      <c r="D587" s="7"/>
      <c r="E587" s="7"/>
      <c r="F587" s="7"/>
      <c r="H587" s="7"/>
      <c r="I587" s="7"/>
      <c r="J587" s="7"/>
      <c r="K587" s="7"/>
      <c r="L587" s="7"/>
      <c r="O587" s="30" t="str">
        <f t="shared" si="46"/>
        <v/>
      </c>
      <c r="P587" s="30" t="str">
        <f t="shared" si="47"/>
        <v/>
      </c>
      <c r="Q587" s="30" t="str">
        <f t="shared" si="48"/>
        <v/>
      </c>
      <c r="R587" s="30" t="str">
        <f t="shared" si="49"/>
        <v/>
      </c>
      <c r="S587" s="30" t="str">
        <f t="shared" si="50"/>
        <v/>
      </c>
    </row>
    <row r="588" spans="1:19">
      <c r="A588" s="7" t="s">
        <v>639</v>
      </c>
      <c r="B588" s="7"/>
      <c r="C588" s="7"/>
      <c r="D588" s="7"/>
      <c r="E588" s="7"/>
      <c r="F588" s="7"/>
      <c r="H588" s="7"/>
      <c r="I588" s="7"/>
      <c r="J588" s="7"/>
      <c r="K588" s="7"/>
      <c r="L588" s="7"/>
      <c r="O588" s="30" t="str">
        <f t="shared" si="46"/>
        <v/>
      </c>
      <c r="P588" s="30" t="str">
        <f t="shared" si="47"/>
        <v/>
      </c>
      <c r="Q588" s="30" t="str">
        <f t="shared" si="48"/>
        <v/>
      </c>
      <c r="R588" s="30" t="str">
        <f t="shared" si="49"/>
        <v/>
      </c>
      <c r="S588" s="30" t="str">
        <f t="shared" si="50"/>
        <v/>
      </c>
    </row>
    <row r="589" spans="1:19">
      <c r="A589" s="7" t="s">
        <v>640</v>
      </c>
      <c r="B589" s="7"/>
      <c r="C589" s="7"/>
      <c r="D589" s="7"/>
      <c r="E589" s="7"/>
      <c r="F589" s="7"/>
      <c r="H589" s="7"/>
      <c r="I589" s="7"/>
      <c r="J589" s="7"/>
      <c r="K589" s="7"/>
      <c r="L589" s="7"/>
      <c r="O589" s="30" t="str">
        <f t="shared" si="46"/>
        <v/>
      </c>
      <c r="P589" s="30" t="str">
        <f t="shared" si="47"/>
        <v/>
      </c>
      <c r="Q589" s="30" t="str">
        <f t="shared" si="48"/>
        <v/>
      </c>
      <c r="R589" s="30" t="str">
        <f t="shared" si="49"/>
        <v/>
      </c>
      <c r="S589" s="30" t="str">
        <f t="shared" si="50"/>
        <v/>
      </c>
    </row>
    <row r="590" spans="1:19">
      <c r="A590" s="7" t="s">
        <v>641</v>
      </c>
      <c r="B590" s="7"/>
      <c r="C590" s="7"/>
      <c r="D590" s="7"/>
      <c r="E590" s="7"/>
      <c r="F590" s="7"/>
      <c r="H590" s="7"/>
      <c r="I590" s="7"/>
      <c r="J590" s="7"/>
      <c r="K590" s="7"/>
      <c r="L590" s="7"/>
      <c r="O590" s="30" t="str">
        <f t="shared" si="46"/>
        <v/>
      </c>
      <c r="P590" s="30" t="str">
        <f t="shared" si="47"/>
        <v/>
      </c>
      <c r="Q590" s="30" t="str">
        <f t="shared" si="48"/>
        <v/>
      </c>
      <c r="R590" s="30" t="str">
        <f t="shared" si="49"/>
        <v/>
      </c>
      <c r="S590" s="30" t="str">
        <f t="shared" si="50"/>
        <v/>
      </c>
    </row>
    <row r="591" spans="1:19">
      <c r="A591" s="7" t="s">
        <v>642</v>
      </c>
      <c r="B591" s="7"/>
      <c r="C591" s="7"/>
      <c r="D591" s="7"/>
      <c r="E591" s="7"/>
      <c r="F591" s="7"/>
      <c r="H591" s="7"/>
      <c r="I591" s="7"/>
      <c r="J591" s="7"/>
      <c r="K591" s="7"/>
      <c r="L591" s="7"/>
      <c r="O591" s="30" t="str">
        <f t="shared" si="46"/>
        <v/>
      </c>
      <c r="P591" s="30" t="str">
        <f t="shared" si="47"/>
        <v/>
      </c>
      <c r="Q591" s="30" t="str">
        <f t="shared" si="48"/>
        <v/>
      </c>
      <c r="R591" s="30" t="str">
        <f t="shared" si="49"/>
        <v/>
      </c>
      <c r="S591" s="30" t="str">
        <f t="shared" si="50"/>
        <v/>
      </c>
    </row>
    <row r="592" spans="1:19">
      <c r="A592" s="7" t="s">
        <v>643</v>
      </c>
      <c r="B592" s="7"/>
      <c r="C592" s="7"/>
      <c r="D592" s="7"/>
      <c r="E592" s="7"/>
      <c r="F592" s="7"/>
      <c r="H592" s="7"/>
      <c r="I592" s="7"/>
      <c r="J592" s="7"/>
      <c r="K592" s="7"/>
      <c r="L592" s="7"/>
      <c r="O592" s="30" t="str">
        <f t="shared" si="46"/>
        <v/>
      </c>
      <c r="P592" s="30" t="str">
        <f t="shared" si="47"/>
        <v/>
      </c>
      <c r="Q592" s="30" t="str">
        <f t="shared" si="48"/>
        <v/>
      </c>
      <c r="R592" s="30" t="str">
        <f t="shared" si="49"/>
        <v/>
      </c>
      <c r="S592" s="30" t="str">
        <f t="shared" si="50"/>
        <v/>
      </c>
    </row>
    <row r="593" spans="1:19">
      <c r="A593" s="7" t="s">
        <v>644</v>
      </c>
      <c r="B593" s="7"/>
      <c r="C593" s="7"/>
      <c r="D593" s="7"/>
      <c r="E593" s="7"/>
      <c r="F593" s="7"/>
      <c r="H593" s="7"/>
      <c r="I593" s="7"/>
      <c r="J593" s="7"/>
      <c r="K593" s="7"/>
      <c r="L593" s="7"/>
      <c r="O593" s="30" t="str">
        <f t="shared" si="46"/>
        <v/>
      </c>
      <c r="P593" s="30" t="str">
        <f t="shared" si="47"/>
        <v/>
      </c>
      <c r="Q593" s="30" t="str">
        <f t="shared" si="48"/>
        <v/>
      </c>
      <c r="R593" s="30" t="str">
        <f t="shared" si="49"/>
        <v/>
      </c>
      <c r="S593" s="30" t="str">
        <f t="shared" si="50"/>
        <v/>
      </c>
    </row>
    <row r="594" spans="1:19">
      <c r="A594" s="7" t="s">
        <v>645</v>
      </c>
      <c r="B594" s="7"/>
      <c r="C594" s="7"/>
      <c r="D594" s="7"/>
      <c r="E594" s="7"/>
      <c r="F594" s="7"/>
      <c r="H594" s="7"/>
      <c r="I594" s="7"/>
      <c r="J594" s="7"/>
      <c r="K594" s="7"/>
      <c r="L594" s="7"/>
      <c r="O594" s="30" t="str">
        <f t="shared" si="46"/>
        <v/>
      </c>
      <c r="P594" s="30" t="str">
        <f t="shared" si="47"/>
        <v/>
      </c>
      <c r="Q594" s="30" t="str">
        <f t="shared" si="48"/>
        <v/>
      </c>
      <c r="R594" s="30" t="str">
        <f t="shared" si="49"/>
        <v/>
      </c>
      <c r="S594" s="30" t="str">
        <f t="shared" si="50"/>
        <v/>
      </c>
    </row>
    <row r="595" spans="1:19">
      <c r="A595" s="7" t="s">
        <v>646</v>
      </c>
      <c r="B595" s="7"/>
      <c r="C595" s="7"/>
      <c r="D595" s="7"/>
      <c r="E595" s="7"/>
      <c r="F595" s="7"/>
      <c r="H595" s="7"/>
      <c r="I595" s="7"/>
      <c r="J595" s="7"/>
      <c r="K595" s="7"/>
      <c r="L595" s="7"/>
      <c r="O595" s="30" t="str">
        <f t="shared" si="46"/>
        <v/>
      </c>
      <c r="P595" s="30" t="str">
        <f t="shared" si="47"/>
        <v/>
      </c>
      <c r="Q595" s="30" t="str">
        <f t="shared" si="48"/>
        <v/>
      </c>
      <c r="R595" s="30" t="str">
        <f t="shared" si="49"/>
        <v/>
      </c>
      <c r="S595" s="30" t="str">
        <f t="shared" si="50"/>
        <v/>
      </c>
    </row>
    <row r="596" spans="1:19">
      <c r="A596" s="7" t="s">
        <v>647</v>
      </c>
      <c r="B596" s="7"/>
      <c r="C596" s="7"/>
      <c r="D596" s="7"/>
      <c r="E596" s="7"/>
      <c r="F596" s="7"/>
      <c r="H596" s="7"/>
      <c r="I596" s="7"/>
      <c r="J596" s="7"/>
      <c r="K596" s="7"/>
      <c r="L596" s="7"/>
      <c r="O596" s="30" t="str">
        <f t="shared" si="46"/>
        <v/>
      </c>
      <c r="P596" s="30" t="str">
        <f t="shared" si="47"/>
        <v/>
      </c>
      <c r="Q596" s="30" t="str">
        <f t="shared" si="48"/>
        <v/>
      </c>
      <c r="R596" s="30" t="str">
        <f t="shared" si="49"/>
        <v/>
      </c>
      <c r="S596" s="30" t="str">
        <f t="shared" si="50"/>
        <v/>
      </c>
    </row>
    <row r="597" spans="1:19">
      <c r="A597" s="7" t="s">
        <v>648</v>
      </c>
      <c r="B597" s="7"/>
      <c r="C597" s="7"/>
      <c r="D597" s="7"/>
      <c r="E597" s="7"/>
      <c r="F597" s="7"/>
      <c r="H597" s="7"/>
      <c r="I597" s="7"/>
      <c r="J597" s="7"/>
      <c r="K597" s="7"/>
      <c r="L597" s="7"/>
      <c r="O597" s="30" t="str">
        <f t="shared" si="46"/>
        <v/>
      </c>
      <c r="P597" s="30" t="str">
        <f t="shared" si="47"/>
        <v/>
      </c>
      <c r="Q597" s="30" t="str">
        <f t="shared" si="48"/>
        <v/>
      </c>
      <c r="R597" s="30" t="str">
        <f t="shared" si="49"/>
        <v/>
      </c>
      <c r="S597" s="30" t="str">
        <f t="shared" si="50"/>
        <v/>
      </c>
    </row>
    <row r="598" spans="1:19">
      <c r="A598" s="7" t="s">
        <v>649</v>
      </c>
      <c r="B598" s="7"/>
      <c r="C598" s="7"/>
      <c r="D598" s="7"/>
      <c r="E598" s="7"/>
      <c r="F598" s="7"/>
      <c r="H598" s="7"/>
      <c r="I598" s="7"/>
      <c r="J598" s="7"/>
      <c r="K598" s="7"/>
      <c r="L598" s="7"/>
      <c r="O598" s="30" t="str">
        <f t="shared" si="46"/>
        <v/>
      </c>
      <c r="P598" s="30" t="str">
        <f t="shared" si="47"/>
        <v/>
      </c>
      <c r="Q598" s="30" t="str">
        <f t="shared" si="48"/>
        <v/>
      </c>
      <c r="R598" s="30" t="str">
        <f t="shared" si="49"/>
        <v/>
      </c>
      <c r="S598" s="30" t="str">
        <f t="shared" si="50"/>
        <v/>
      </c>
    </row>
    <row r="599" spans="1:19">
      <c r="A599" s="7" t="s">
        <v>650</v>
      </c>
      <c r="B599" s="7"/>
      <c r="C599" s="7"/>
      <c r="D599" s="7"/>
      <c r="E599" s="7"/>
      <c r="F599" s="7"/>
      <c r="H599" s="7"/>
      <c r="I599" s="7"/>
      <c r="J599" s="7"/>
      <c r="K599" s="7"/>
      <c r="L599" s="7"/>
      <c r="O599" s="30" t="str">
        <f t="shared" si="46"/>
        <v/>
      </c>
      <c r="P599" s="30" t="str">
        <f t="shared" si="47"/>
        <v/>
      </c>
      <c r="Q599" s="30" t="str">
        <f t="shared" si="48"/>
        <v/>
      </c>
      <c r="R599" s="30" t="str">
        <f t="shared" si="49"/>
        <v/>
      </c>
      <c r="S599" s="30" t="str">
        <f t="shared" si="50"/>
        <v/>
      </c>
    </row>
    <row r="600" spans="1:19">
      <c r="A600" s="7" t="s">
        <v>651</v>
      </c>
      <c r="B600" s="7"/>
      <c r="C600" s="7"/>
      <c r="D600" s="7"/>
      <c r="E600" s="7"/>
      <c r="F600" s="7"/>
      <c r="H600" s="7"/>
      <c r="I600" s="7"/>
      <c r="J600" s="7"/>
      <c r="K600" s="7"/>
      <c r="L600" s="7"/>
      <c r="O600" s="30" t="str">
        <f t="shared" si="46"/>
        <v/>
      </c>
      <c r="P600" s="30" t="str">
        <f t="shared" si="47"/>
        <v/>
      </c>
      <c r="Q600" s="30" t="str">
        <f t="shared" si="48"/>
        <v/>
      </c>
      <c r="R600" s="30" t="str">
        <f t="shared" si="49"/>
        <v/>
      </c>
      <c r="S600" s="30" t="str">
        <f t="shared" si="50"/>
        <v/>
      </c>
    </row>
    <row r="601" spans="1:19">
      <c r="A601" s="7" t="s">
        <v>652</v>
      </c>
      <c r="B601" s="7"/>
      <c r="C601" s="7"/>
      <c r="D601" s="7"/>
      <c r="E601" s="7"/>
      <c r="F601" s="7"/>
      <c r="H601" s="7"/>
      <c r="I601" s="7"/>
      <c r="J601" s="7"/>
      <c r="K601" s="7"/>
      <c r="L601" s="7"/>
      <c r="O601" s="30" t="str">
        <f t="shared" si="46"/>
        <v/>
      </c>
      <c r="P601" s="30" t="str">
        <f t="shared" si="47"/>
        <v/>
      </c>
      <c r="Q601" s="30" t="str">
        <f t="shared" si="48"/>
        <v/>
      </c>
      <c r="R601" s="30" t="str">
        <f t="shared" si="49"/>
        <v/>
      </c>
      <c r="S601" s="30" t="str">
        <f t="shared" si="50"/>
        <v/>
      </c>
    </row>
    <row r="602" spans="1:19">
      <c r="A602" s="7" t="s">
        <v>653</v>
      </c>
      <c r="B602" s="7"/>
      <c r="C602" s="7"/>
      <c r="D602" s="7"/>
      <c r="E602" s="7"/>
      <c r="F602" s="7"/>
      <c r="H602" s="7"/>
      <c r="I602" s="7"/>
      <c r="J602" s="7"/>
      <c r="K602" s="7"/>
      <c r="L602" s="7"/>
      <c r="O602" s="30" t="str">
        <f t="shared" si="46"/>
        <v/>
      </c>
      <c r="P602" s="30" t="str">
        <f t="shared" si="47"/>
        <v/>
      </c>
      <c r="Q602" s="30" t="str">
        <f t="shared" si="48"/>
        <v/>
      </c>
      <c r="R602" s="30" t="str">
        <f t="shared" si="49"/>
        <v/>
      </c>
      <c r="S602" s="30" t="str">
        <f t="shared" si="50"/>
        <v/>
      </c>
    </row>
    <row r="603" spans="1:19">
      <c r="A603" s="7" t="s">
        <v>654</v>
      </c>
      <c r="B603" s="7"/>
      <c r="C603" s="7"/>
      <c r="D603" s="7"/>
      <c r="E603" s="7"/>
      <c r="F603" s="7"/>
      <c r="H603" s="7"/>
      <c r="I603" s="7"/>
      <c r="J603" s="7"/>
      <c r="K603" s="7"/>
      <c r="L603" s="7"/>
      <c r="O603" s="30" t="str">
        <f t="shared" si="46"/>
        <v/>
      </c>
      <c r="P603" s="30" t="str">
        <f t="shared" si="47"/>
        <v/>
      </c>
      <c r="Q603" s="30" t="str">
        <f t="shared" si="48"/>
        <v/>
      </c>
      <c r="R603" s="30" t="str">
        <f t="shared" si="49"/>
        <v/>
      </c>
      <c r="S603" s="30" t="str">
        <f t="shared" si="50"/>
        <v/>
      </c>
    </row>
    <row r="604" spans="1:19">
      <c r="A604" s="7" t="s">
        <v>655</v>
      </c>
      <c r="B604" s="7"/>
      <c r="C604" s="7"/>
      <c r="D604" s="7"/>
      <c r="E604" s="7"/>
      <c r="F604" s="7"/>
      <c r="H604" s="7"/>
      <c r="I604" s="7"/>
      <c r="J604" s="7"/>
      <c r="K604" s="7"/>
      <c r="L604" s="7"/>
      <c r="O604" s="30" t="str">
        <f t="shared" si="46"/>
        <v/>
      </c>
      <c r="P604" s="30" t="str">
        <f t="shared" si="47"/>
        <v/>
      </c>
      <c r="Q604" s="30" t="str">
        <f t="shared" si="48"/>
        <v/>
      </c>
      <c r="R604" s="30" t="str">
        <f t="shared" si="49"/>
        <v/>
      </c>
      <c r="S604" s="30" t="str">
        <f t="shared" si="50"/>
        <v/>
      </c>
    </row>
    <row r="605" spans="1:19">
      <c r="A605" s="7" t="s">
        <v>656</v>
      </c>
      <c r="B605" s="7"/>
      <c r="C605" s="7"/>
      <c r="D605" s="7"/>
      <c r="E605" s="7"/>
      <c r="F605" s="7"/>
      <c r="H605" s="7"/>
      <c r="I605" s="7"/>
      <c r="J605" s="7"/>
      <c r="K605" s="7"/>
      <c r="L605" s="7"/>
      <c r="O605" s="30" t="str">
        <f t="shared" si="46"/>
        <v/>
      </c>
      <c r="P605" s="30" t="str">
        <f t="shared" si="47"/>
        <v/>
      </c>
      <c r="Q605" s="30" t="str">
        <f t="shared" si="48"/>
        <v/>
      </c>
      <c r="R605" s="30" t="str">
        <f t="shared" si="49"/>
        <v/>
      </c>
      <c r="S605" s="30" t="str">
        <f t="shared" si="50"/>
        <v/>
      </c>
    </row>
    <row r="606" spans="1:19">
      <c r="A606" s="7" t="s">
        <v>657</v>
      </c>
      <c r="B606" s="7"/>
      <c r="C606" s="7"/>
      <c r="D606" s="7"/>
      <c r="E606" s="7"/>
      <c r="F606" s="7"/>
      <c r="H606" s="7"/>
      <c r="I606" s="7"/>
      <c r="J606" s="7"/>
      <c r="K606" s="7"/>
      <c r="L606" s="7"/>
      <c r="O606" s="30" t="str">
        <f t="shared" si="46"/>
        <v/>
      </c>
      <c r="P606" s="30" t="str">
        <f t="shared" si="47"/>
        <v/>
      </c>
      <c r="Q606" s="30" t="str">
        <f t="shared" si="48"/>
        <v/>
      </c>
      <c r="R606" s="30" t="str">
        <f t="shared" si="49"/>
        <v/>
      </c>
      <c r="S606" s="30" t="str">
        <f t="shared" si="50"/>
        <v/>
      </c>
    </row>
    <row r="607" spans="1:19">
      <c r="A607" s="7" t="s">
        <v>658</v>
      </c>
      <c r="B607" s="7"/>
      <c r="C607" s="7"/>
      <c r="D607" s="7"/>
      <c r="E607" s="7"/>
      <c r="F607" s="7"/>
      <c r="H607" s="7"/>
      <c r="I607" s="7"/>
      <c r="J607" s="7"/>
      <c r="K607" s="7"/>
      <c r="L607" s="7"/>
      <c r="O607" s="30" t="str">
        <f t="shared" si="46"/>
        <v/>
      </c>
      <c r="P607" s="30" t="str">
        <f t="shared" si="47"/>
        <v/>
      </c>
      <c r="Q607" s="30" t="str">
        <f t="shared" si="48"/>
        <v/>
      </c>
      <c r="R607" s="30" t="str">
        <f t="shared" si="49"/>
        <v/>
      </c>
      <c r="S607" s="30" t="str">
        <f t="shared" si="50"/>
        <v/>
      </c>
    </row>
    <row r="608" spans="1:19">
      <c r="A608" s="7" t="s">
        <v>659</v>
      </c>
      <c r="B608" s="7"/>
      <c r="C608" s="7"/>
      <c r="D608" s="7"/>
      <c r="E608" s="7"/>
      <c r="F608" s="7"/>
      <c r="H608" s="7"/>
      <c r="I608" s="7"/>
      <c r="J608" s="7"/>
      <c r="K608" s="7"/>
      <c r="L608" s="7"/>
      <c r="O608" s="30" t="str">
        <f t="shared" si="46"/>
        <v/>
      </c>
      <c r="P608" s="30" t="str">
        <f t="shared" si="47"/>
        <v/>
      </c>
      <c r="Q608" s="30" t="str">
        <f t="shared" si="48"/>
        <v/>
      </c>
      <c r="R608" s="30" t="str">
        <f t="shared" si="49"/>
        <v/>
      </c>
      <c r="S608" s="30" t="str">
        <f t="shared" si="50"/>
        <v/>
      </c>
    </row>
    <row r="609" spans="1:19">
      <c r="A609" s="7" t="s">
        <v>660</v>
      </c>
      <c r="B609" s="7"/>
      <c r="C609" s="7"/>
      <c r="D609" s="7"/>
      <c r="E609" s="7"/>
      <c r="F609" s="7"/>
      <c r="H609" s="7"/>
      <c r="I609" s="7"/>
      <c r="J609" s="7"/>
      <c r="K609" s="7"/>
      <c r="L609" s="7"/>
      <c r="O609" s="30" t="str">
        <f t="shared" si="46"/>
        <v/>
      </c>
      <c r="P609" s="30" t="str">
        <f t="shared" si="47"/>
        <v/>
      </c>
      <c r="Q609" s="30" t="str">
        <f t="shared" si="48"/>
        <v/>
      </c>
      <c r="R609" s="30" t="str">
        <f t="shared" si="49"/>
        <v/>
      </c>
      <c r="S609" s="30" t="str">
        <f t="shared" si="50"/>
        <v/>
      </c>
    </row>
    <row r="610" spans="1:19">
      <c r="A610" s="7" t="s">
        <v>661</v>
      </c>
      <c r="B610" s="7"/>
      <c r="C610" s="7"/>
      <c r="D610" s="7"/>
      <c r="E610" s="7"/>
      <c r="F610" s="7"/>
      <c r="H610" s="7"/>
      <c r="I610" s="7"/>
      <c r="J610" s="7"/>
      <c r="K610" s="7"/>
      <c r="L610" s="7"/>
      <c r="O610" s="30" t="str">
        <f t="shared" si="46"/>
        <v/>
      </c>
      <c r="P610" s="30" t="str">
        <f t="shared" si="47"/>
        <v/>
      </c>
      <c r="Q610" s="30" t="str">
        <f t="shared" si="48"/>
        <v/>
      </c>
      <c r="R610" s="30" t="str">
        <f t="shared" si="49"/>
        <v/>
      </c>
      <c r="S610" s="30" t="str">
        <f t="shared" si="50"/>
        <v/>
      </c>
    </row>
    <row r="611" spans="1:19">
      <c r="A611" s="7" t="s">
        <v>662</v>
      </c>
      <c r="B611" s="7"/>
      <c r="C611" s="7"/>
      <c r="D611" s="7"/>
      <c r="E611" s="7"/>
      <c r="F611" s="7"/>
      <c r="H611" s="7"/>
      <c r="I611" s="7"/>
      <c r="J611" s="7"/>
      <c r="K611" s="7"/>
      <c r="L611" s="7"/>
      <c r="O611" s="30" t="str">
        <f t="shared" si="46"/>
        <v/>
      </c>
      <c r="P611" s="30" t="str">
        <f t="shared" si="47"/>
        <v/>
      </c>
      <c r="Q611" s="30" t="str">
        <f t="shared" si="48"/>
        <v/>
      </c>
      <c r="R611" s="30" t="str">
        <f t="shared" si="49"/>
        <v/>
      </c>
      <c r="S611" s="30" t="str">
        <f t="shared" si="50"/>
        <v/>
      </c>
    </row>
    <row r="612" spans="1:19">
      <c r="A612" s="7" t="s">
        <v>663</v>
      </c>
      <c r="B612" s="7"/>
      <c r="C612" s="7"/>
      <c r="D612" s="7"/>
      <c r="E612" s="7"/>
      <c r="F612" s="7"/>
      <c r="H612" s="7"/>
      <c r="I612" s="7"/>
      <c r="J612" s="7"/>
      <c r="K612" s="7"/>
      <c r="L612" s="7"/>
      <c r="O612" s="30" t="str">
        <f t="shared" si="46"/>
        <v/>
      </c>
      <c r="P612" s="30" t="str">
        <f t="shared" si="47"/>
        <v/>
      </c>
      <c r="Q612" s="30" t="str">
        <f t="shared" si="48"/>
        <v/>
      </c>
      <c r="R612" s="30" t="str">
        <f t="shared" si="49"/>
        <v/>
      </c>
      <c r="S612" s="30" t="str">
        <f t="shared" si="50"/>
        <v/>
      </c>
    </row>
    <row r="613" spans="1:19">
      <c r="A613" s="7" t="s">
        <v>664</v>
      </c>
      <c r="B613" s="7"/>
      <c r="C613" s="7"/>
      <c r="D613" s="7"/>
      <c r="E613" s="7"/>
      <c r="F613" s="7"/>
      <c r="H613" s="7"/>
      <c r="I613" s="7"/>
      <c r="J613" s="7"/>
      <c r="K613" s="7"/>
      <c r="L613" s="7"/>
      <c r="O613" s="30" t="str">
        <f t="shared" si="46"/>
        <v/>
      </c>
      <c r="P613" s="30" t="str">
        <f t="shared" si="47"/>
        <v/>
      </c>
      <c r="Q613" s="30" t="str">
        <f t="shared" si="48"/>
        <v/>
      </c>
      <c r="R613" s="30" t="str">
        <f t="shared" si="49"/>
        <v/>
      </c>
      <c r="S613" s="30" t="str">
        <f t="shared" si="50"/>
        <v/>
      </c>
    </row>
    <row r="614" spans="1:19">
      <c r="A614" s="7" t="s">
        <v>665</v>
      </c>
      <c r="B614" s="7"/>
      <c r="C614" s="7"/>
      <c r="D614" s="7"/>
      <c r="E614" s="7"/>
      <c r="F614" s="7"/>
      <c r="H614" s="7"/>
      <c r="I614" s="7"/>
      <c r="J614" s="7"/>
      <c r="K614" s="7"/>
      <c r="L614" s="7"/>
      <c r="O614" s="30" t="str">
        <f t="shared" si="46"/>
        <v/>
      </c>
      <c r="P614" s="30" t="str">
        <f t="shared" si="47"/>
        <v/>
      </c>
      <c r="Q614" s="30" t="str">
        <f t="shared" si="48"/>
        <v/>
      </c>
      <c r="R614" s="30" t="str">
        <f t="shared" si="49"/>
        <v/>
      </c>
      <c r="S614" s="30" t="str">
        <f t="shared" si="50"/>
        <v/>
      </c>
    </row>
    <row r="615" spans="1:19">
      <c r="A615" s="7" t="s">
        <v>666</v>
      </c>
      <c r="B615" s="7"/>
      <c r="C615" s="7"/>
      <c r="D615" s="7"/>
      <c r="E615" s="7"/>
      <c r="F615" s="7"/>
      <c r="H615" s="7"/>
      <c r="I615" s="7"/>
      <c r="J615" s="7"/>
      <c r="K615" s="7"/>
      <c r="L615" s="7"/>
      <c r="O615" s="30" t="str">
        <f t="shared" si="46"/>
        <v/>
      </c>
      <c r="P615" s="30" t="str">
        <f t="shared" si="47"/>
        <v/>
      </c>
      <c r="Q615" s="30" t="str">
        <f t="shared" si="48"/>
        <v/>
      </c>
      <c r="R615" s="30" t="str">
        <f t="shared" si="49"/>
        <v/>
      </c>
      <c r="S615" s="30" t="str">
        <f t="shared" si="50"/>
        <v/>
      </c>
    </row>
    <row r="616" spans="1:19">
      <c r="A616" s="7" t="s">
        <v>667</v>
      </c>
      <c r="B616" s="7"/>
      <c r="C616" s="7"/>
      <c r="D616" s="7"/>
      <c r="E616" s="7"/>
      <c r="F616" s="7"/>
      <c r="H616" s="7"/>
      <c r="I616" s="7"/>
      <c r="J616" s="7"/>
      <c r="K616" s="7"/>
      <c r="L616" s="7"/>
      <c r="O616" s="30" t="str">
        <f t="shared" si="46"/>
        <v/>
      </c>
      <c r="P616" s="30" t="str">
        <f t="shared" si="47"/>
        <v/>
      </c>
      <c r="Q616" s="30" t="str">
        <f t="shared" si="48"/>
        <v/>
      </c>
      <c r="R616" s="30" t="str">
        <f t="shared" si="49"/>
        <v/>
      </c>
      <c r="S616" s="30" t="str">
        <f t="shared" si="50"/>
        <v/>
      </c>
    </row>
    <row r="617" spans="1:19">
      <c r="A617" s="7" t="s">
        <v>668</v>
      </c>
      <c r="B617" s="7"/>
      <c r="C617" s="7"/>
      <c r="D617" s="7"/>
      <c r="E617" s="7"/>
      <c r="F617" s="7"/>
      <c r="H617" s="7"/>
      <c r="I617" s="7"/>
      <c r="J617" s="7"/>
      <c r="K617" s="7"/>
      <c r="L617" s="7"/>
      <c r="O617" s="30" t="str">
        <f t="shared" si="46"/>
        <v/>
      </c>
      <c r="P617" s="30" t="str">
        <f t="shared" si="47"/>
        <v/>
      </c>
      <c r="Q617" s="30" t="str">
        <f t="shared" si="48"/>
        <v/>
      </c>
      <c r="R617" s="30" t="str">
        <f t="shared" si="49"/>
        <v/>
      </c>
      <c r="S617" s="30" t="str">
        <f t="shared" si="50"/>
        <v/>
      </c>
    </row>
    <row r="618" spans="1:19">
      <c r="A618" s="7" t="s">
        <v>669</v>
      </c>
      <c r="B618" s="7"/>
      <c r="C618" s="7"/>
      <c r="D618" s="7"/>
      <c r="E618" s="7"/>
      <c r="F618" s="7"/>
      <c r="H618" s="7"/>
      <c r="I618" s="7"/>
      <c r="J618" s="7"/>
      <c r="K618" s="7"/>
      <c r="L618" s="7"/>
      <c r="O618" s="30" t="str">
        <f t="shared" si="46"/>
        <v/>
      </c>
      <c r="P618" s="30" t="str">
        <f t="shared" si="47"/>
        <v/>
      </c>
      <c r="Q618" s="30" t="str">
        <f t="shared" si="48"/>
        <v/>
      </c>
      <c r="R618" s="30" t="str">
        <f t="shared" si="49"/>
        <v/>
      </c>
      <c r="S618" s="30" t="str">
        <f t="shared" si="50"/>
        <v/>
      </c>
    </row>
    <row r="619" spans="1:19">
      <c r="A619" s="7" t="s">
        <v>670</v>
      </c>
      <c r="B619" s="7"/>
      <c r="C619" s="7"/>
      <c r="D619" s="7"/>
      <c r="E619" s="7"/>
      <c r="F619" s="7"/>
      <c r="H619" s="7"/>
      <c r="I619" s="7"/>
      <c r="J619" s="7"/>
      <c r="K619" s="7"/>
      <c r="L619" s="7"/>
      <c r="O619" s="30" t="str">
        <f t="shared" si="46"/>
        <v/>
      </c>
      <c r="P619" s="30" t="str">
        <f t="shared" si="47"/>
        <v/>
      </c>
      <c r="Q619" s="30" t="str">
        <f t="shared" si="48"/>
        <v/>
      </c>
      <c r="R619" s="30" t="str">
        <f t="shared" si="49"/>
        <v/>
      </c>
      <c r="S619" s="30" t="str">
        <f t="shared" si="50"/>
        <v/>
      </c>
    </row>
    <row r="620" spans="1:19">
      <c r="A620" s="7" t="s">
        <v>671</v>
      </c>
      <c r="B620" s="7"/>
      <c r="C620" s="7"/>
      <c r="D620" s="7"/>
      <c r="E620" s="7"/>
      <c r="F620" s="7"/>
      <c r="H620" s="7"/>
      <c r="I620" s="7"/>
      <c r="J620" s="7"/>
      <c r="K620" s="7"/>
      <c r="L620" s="7"/>
      <c r="O620" s="30" t="str">
        <f t="shared" si="46"/>
        <v/>
      </c>
      <c r="P620" s="30" t="str">
        <f t="shared" si="47"/>
        <v/>
      </c>
      <c r="Q620" s="30" t="str">
        <f t="shared" si="48"/>
        <v/>
      </c>
      <c r="R620" s="30" t="str">
        <f t="shared" si="49"/>
        <v/>
      </c>
      <c r="S620" s="30" t="str">
        <f t="shared" si="50"/>
        <v/>
      </c>
    </row>
    <row r="621" spans="1:19">
      <c r="A621" s="7" t="s">
        <v>672</v>
      </c>
      <c r="B621" s="7"/>
      <c r="C621" s="7"/>
      <c r="D621" s="7"/>
      <c r="E621" s="7"/>
      <c r="F621" s="7"/>
      <c r="H621" s="7"/>
      <c r="I621" s="7"/>
      <c r="J621" s="7"/>
      <c r="K621" s="7"/>
      <c r="L621" s="7"/>
      <c r="O621" s="30" t="str">
        <f t="shared" si="46"/>
        <v/>
      </c>
      <c r="P621" s="30" t="str">
        <f t="shared" si="47"/>
        <v/>
      </c>
      <c r="Q621" s="30" t="str">
        <f t="shared" si="48"/>
        <v/>
      </c>
      <c r="R621" s="30" t="str">
        <f t="shared" si="49"/>
        <v/>
      </c>
      <c r="S621" s="30" t="str">
        <f t="shared" si="50"/>
        <v/>
      </c>
    </row>
    <row r="622" spans="1:19">
      <c r="A622" s="7" t="s">
        <v>673</v>
      </c>
      <c r="B622" s="7"/>
      <c r="C622" s="7"/>
      <c r="D622" s="7"/>
      <c r="E622" s="7"/>
      <c r="F622" s="7"/>
      <c r="H622" s="7"/>
      <c r="I622" s="7"/>
      <c r="J622" s="7"/>
      <c r="K622" s="7"/>
      <c r="L622" s="7"/>
      <c r="O622" s="30" t="str">
        <f t="shared" si="46"/>
        <v/>
      </c>
      <c r="P622" s="30" t="str">
        <f t="shared" si="47"/>
        <v/>
      </c>
      <c r="Q622" s="30" t="str">
        <f t="shared" si="48"/>
        <v/>
      </c>
      <c r="R622" s="30" t="str">
        <f t="shared" si="49"/>
        <v/>
      </c>
      <c r="S622" s="30" t="str">
        <f t="shared" si="50"/>
        <v/>
      </c>
    </row>
    <row r="623" spans="1:19">
      <c r="A623" s="7" t="s">
        <v>674</v>
      </c>
      <c r="B623" s="7"/>
      <c r="C623" s="7"/>
      <c r="D623" s="7"/>
      <c r="E623" s="7"/>
      <c r="F623" s="7"/>
      <c r="H623" s="7"/>
      <c r="I623" s="7"/>
      <c r="J623" s="7"/>
      <c r="K623" s="7"/>
      <c r="L623" s="7"/>
      <c r="O623" s="30" t="str">
        <f t="shared" si="46"/>
        <v/>
      </c>
      <c r="P623" s="30" t="str">
        <f t="shared" si="47"/>
        <v/>
      </c>
      <c r="Q623" s="30" t="str">
        <f t="shared" si="48"/>
        <v/>
      </c>
      <c r="R623" s="30" t="str">
        <f t="shared" si="49"/>
        <v/>
      </c>
      <c r="S623" s="30" t="str">
        <f t="shared" si="50"/>
        <v/>
      </c>
    </row>
    <row r="624" spans="1:19">
      <c r="A624" s="7" t="s">
        <v>675</v>
      </c>
      <c r="B624" s="7"/>
      <c r="C624" s="7"/>
      <c r="D624" s="7"/>
      <c r="E624" s="7"/>
      <c r="F624" s="7"/>
      <c r="H624" s="7"/>
      <c r="I624" s="7"/>
      <c r="J624" s="7"/>
      <c r="K624" s="7"/>
      <c r="L624" s="7"/>
      <c r="O624" s="30" t="str">
        <f t="shared" si="46"/>
        <v/>
      </c>
      <c r="P624" s="30" t="str">
        <f t="shared" si="47"/>
        <v/>
      </c>
      <c r="Q624" s="30" t="str">
        <f t="shared" si="48"/>
        <v/>
      </c>
      <c r="R624" s="30" t="str">
        <f t="shared" si="49"/>
        <v/>
      </c>
      <c r="S624" s="30" t="str">
        <f t="shared" si="50"/>
        <v/>
      </c>
    </row>
    <row r="625" spans="1:19">
      <c r="A625" s="7" t="s">
        <v>676</v>
      </c>
      <c r="B625" s="7"/>
      <c r="C625" s="7"/>
      <c r="D625" s="7"/>
      <c r="E625" s="7"/>
      <c r="F625" s="7"/>
      <c r="H625" s="7"/>
      <c r="I625" s="7"/>
      <c r="J625" s="7"/>
      <c r="K625" s="7"/>
      <c r="L625" s="7"/>
      <c r="O625" s="30" t="str">
        <f t="shared" si="46"/>
        <v/>
      </c>
      <c r="P625" s="30" t="str">
        <f t="shared" si="47"/>
        <v/>
      </c>
      <c r="Q625" s="30" t="str">
        <f t="shared" si="48"/>
        <v/>
      </c>
      <c r="R625" s="30" t="str">
        <f t="shared" si="49"/>
        <v/>
      </c>
      <c r="S625" s="30" t="str">
        <f t="shared" si="50"/>
        <v/>
      </c>
    </row>
    <row r="626" spans="1:19">
      <c r="A626" s="7" t="s">
        <v>677</v>
      </c>
      <c r="B626" s="7"/>
      <c r="C626" s="7"/>
      <c r="D626" s="7"/>
      <c r="E626" s="7"/>
      <c r="F626" s="7"/>
      <c r="H626" s="7"/>
      <c r="I626" s="7"/>
      <c r="J626" s="7"/>
      <c r="K626" s="7"/>
      <c r="L626" s="7"/>
      <c r="O626" s="30" t="str">
        <f t="shared" si="46"/>
        <v/>
      </c>
      <c r="P626" s="30" t="str">
        <f t="shared" si="47"/>
        <v/>
      </c>
      <c r="Q626" s="30" t="str">
        <f t="shared" si="48"/>
        <v/>
      </c>
      <c r="R626" s="30" t="str">
        <f t="shared" si="49"/>
        <v/>
      </c>
      <c r="S626" s="30" t="str">
        <f t="shared" si="50"/>
        <v/>
      </c>
    </row>
    <row r="627" spans="1:19">
      <c r="A627" s="7" t="s">
        <v>678</v>
      </c>
      <c r="B627" s="7"/>
      <c r="C627" s="7"/>
      <c r="D627" s="7"/>
      <c r="E627" s="7"/>
      <c r="F627" s="7"/>
      <c r="H627" s="7"/>
      <c r="I627" s="7"/>
      <c r="J627" s="7"/>
      <c r="K627" s="7"/>
      <c r="L627" s="7"/>
      <c r="O627" s="30" t="str">
        <f t="shared" si="46"/>
        <v/>
      </c>
      <c r="P627" s="30" t="str">
        <f t="shared" si="47"/>
        <v/>
      </c>
      <c r="Q627" s="30" t="str">
        <f t="shared" si="48"/>
        <v/>
      </c>
      <c r="R627" s="30" t="str">
        <f t="shared" si="49"/>
        <v/>
      </c>
      <c r="S627" s="30" t="str">
        <f t="shared" si="50"/>
        <v/>
      </c>
    </row>
    <row r="628" spans="1:19">
      <c r="A628" s="7" t="s">
        <v>679</v>
      </c>
      <c r="B628" s="7"/>
      <c r="C628" s="7"/>
      <c r="D628" s="7"/>
      <c r="E628" s="7"/>
      <c r="F628" s="7"/>
      <c r="H628" s="7"/>
      <c r="I628" s="7"/>
      <c r="J628" s="7"/>
      <c r="K628" s="7"/>
      <c r="L628" s="7"/>
      <c r="O628" s="30" t="str">
        <f t="shared" si="46"/>
        <v/>
      </c>
      <c r="P628" s="30" t="str">
        <f t="shared" si="47"/>
        <v/>
      </c>
      <c r="Q628" s="30" t="str">
        <f t="shared" si="48"/>
        <v/>
      </c>
      <c r="R628" s="30" t="str">
        <f t="shared" si="49"/>
        <v/>
      </c>
      <c r="S628" s="30" t="str">
        <f t="shared" si="50"/>
        <v/>
      </c>
    </row>
    <row r="629" spans="1:19">
      <c r="A629" s="7" t="s">
        <v>680</v>
      </c>
      <c r="B629" s="7"/>
      <c r="C629" s="7"/>
      <c r="D629" s="7"/>
      <c r="E629" s="7"/>
      <c r="F629" s="7"/>
      <c r="H629" s="7"/>
      <c r="I629" s="7"/>
      <c r="J629" s="7"/>
      <c r="K629" s="7"/>
      <c r="L629" s="7"/>
      <c r="O629" s="30" t="str">
        <f t="shared" si="46"/>
        <v/>
      </c>
      <c r="P629" s="30" t="str">
        <f t="shared" si="47"/>
        <v/>
      </c>
      <c r="Q629" s="30" t="str">
        <f t="shared" si="48"/>
        <v/>
      </c>
      <c r="R629" s="30" t="str">
        <f t="shared" si="49"/>
        <v/>
      </c>
      <c r="S629" s="30" t="str">
        <f t="shared" si="50"/>
        <v/>
      </c>
    </row>
    <row r="630" spans="1:19">
      <c r="A630" s="7" t="s">
        <v>681</v>
      </c>
      <c r="B630" s="7"/>
      <c r="C630" s="7"/>
      <c r="D630" s="7"/>
      <c r="E630" s="7"/>
      <c r="F630" s="7"/>
      <c r="H630" s="7"/>
      <c r="I630" s="7"/>
      <c r="J630" s="7"/>
      <c r="K630" s="7"/>
      <c r="L630" s="7"/>
      <c r="O630" s="30" t="str">
        <f t="shared" si="46"/>
        <v/>
      </c>
      <c r="P630" s="30" t="str">
        <f t="shared" si="47"/>
        <v/>
      </c>
      <c r="Q630" s="30" t="str">
        <f t="shared" si="48"/>
        <v/>
      </c>
      <c r="R630" s="30" t="str">
        <f t="shared" si="49"/>
        <v/>
      </c>
      <c r="S630" s="30" t="str">
        <f t="shared" si="50"/>
        <v/>
      </c>
    </row>
    <row r="631" spans="1:19">
      <c r="A631" s="7" t="s">
        <v>682</v>
      </c>
      <c r="B631" s="7"/>
      <c r="C631" s="7"/>
      <c r="D631" s="7"/>
      <c r="E631" s="7"/>
      <c r="F631" s="7"/>
      <c r="H631" s="7"/>
      <c r="I631" s="7"/>
      <c r="J631" s="7"/>
      <c r="K631" s="7"/>
      <c r="L631" s="7"/>
      <c r="O631" s="30" t="str">
        <f t="shared" si="46"/>
        <v/>
      </c>
      <c r="P631" s="30" t="str">
        <f t="shared" si="47"/>
        <v/>
      </c>
      <c r="Q631" s="30" t="str">
        <f t="shared" si="48"/>
        <v/>
      </c>
      <c r="R631" s="30" t="str">
        <f t="shared" si="49"/>
        <v/>
      </c>
      <c r="S631" s="30" t="str">
        <f t="shared" si="50"/>
        <v/>
      </c>
    </row>
    <row r="632" spans="1:19">
      <c r="A632" s="7" t="s">
        <v>683</v>
      </c>
      <c r="B632" s="7"/>
      <c r="C632" s="7"/>
      <c r="D632" s="7"/>
      <c r="E632" s="7"/>
      <c r="F632" s="7"/>
      <c r="H632" s="7"/>
      <c r="I632" s="7"/>
      <c r="J632" s="7"/>
      <c r="K632" s="7"/>
      <c r="L632" s="7"/>
      <c r="O632" s="30" t="str">
        <f t="shared" si="46"/>
        <v/>
      </c>
      <c r="P632" s="30" t="str">
        <f t="shared" si="47"/>
        <v/>
      </c>
      <c r="Q632" s="30" t="str">
        <f t="shared" si="48"/>
        <v/>
      </c>
      <c r="R632" s="30" t="str">
        <f t="shared" si="49"/>
        <v/>
      </c>
      <c r="S632" s="30" t="str">
        <f t="shared" si="50"/>
        <v/>
      </c>
    </row>
    <row r="633" spans="1:19">
      <c r="A633" s="7" t="s">
        <v>684</v>
      </c>
      <c r="B633" s="7"/>
      <c r="C633" s="7"/>
      <c r="D633" s="7"/>
      <c r="E633" s="7"/>
      <c r="F633" s="7"/>
      <c r="H633" s="7"/>
      <c r="I633" s="7"/>
      <c r="J633" s="7"/>
      <c r="K633" s="7"/>
      <c r="L633" s="7"/>
      <c r="O633" s="30" t="str">
        <f t="shared" si="46"/>
        <v/>
      </c>
      <c r="P633" s="30" t="str">
        <f t="shared" si="47"/>
        <v/>
      </c>
      <c r="Q633" s="30" t="str">
        <f t="shared" si="48"/>
        <v/>
      </c>
      <c r="R633" s="30" t="str">
        <f t="shared" si="49"/>
        <v/>
      </c>
      <c r="S633" s="30" t="str">
        <f t="shared" si="50"/>
        <v/>
      </c>
    </row>
    <row r="634" spans="1:19">
      <c r="A634" s="7" t="s">
        <v>685</v>
      </c>
      <c r="B634" s="7"/>
      <c r="C634" s="7"/>
      <c r="D634" s="7"/>
      <c r="E634" s="7"/>
      <c r="F634" s="7"/>
      <c r="H634" s="7"/>
      <c r="I634" s="7"/>
      <c r="J634" s="7"/>
      <c r="K634" s="7"/>
      <c r="L634" s="7"/>
      <c r="O634" s="30" t="str">
        <f t="shared" si="46"/>
        <v/>
      </c>
      <c r="P634" s="30" t="str">
        <f t="shared" si="47"/>
        <v/>
      </c>
      <c r="Q634" s="30" t="str">
        <f t="shared" si="48"/>
        <v/>
      </c>
      <c r="R634" s="30" t="str">
        <f t="shared" si="49"/>
        <v/>
      </c>
      <c r="S634" s="30" t="str">
        <f t="shared" si="50"/>
        <v/>
      </c>
    </row>
    <row r="635" spans="1:19">
      <c r="A635" s="7" t="s">
        <v>686</v>
      </c>
      <c r="B635" s="7"/>
      <c r="C635" s="7"/>
      <c r="D635" s="7"/>
      <c r="E635" s="7"/>
      <c r="F635" s="7"/>
      <c r="H635" s="7"/>
      <c r="I635" s="7"/>
      <c r="J635" s="7"/>
      <c r="K635" s="7"/>
      <c r="L635" s="7"/>
      <c r="O635" s="30" t="str">
        <f t="shared" si="46"/>
        <v/>
      </c>
      <c r="P635" s="30" t="str">
        <f t="shared" si="47"/>
        <v/>
      </c>
      <c r="Q635" s="30" t="str">
        <f t="shared" si="48"/>
        <v/>
      </c>
      <c r="R635" s="30" t="str">
        <f t="shared" si="49"/>
        <v/>
      </c>
      <c r="S635" s="30" t="str">
        <f t="shared" si="50"/>
        <v/>
      </c>
    </row>
    <row r="636" spans="1:19">
      <c r="A636" s="7" t="s">
        <v>687</v>
      </c>
      <c r="B636" s="7"/>
      <c r="C636" s="7"/>
      <c r="D636" s="7"/>
      <c r="E636" s="7"/>
      <c r="F636" s="7"/>
      <c r="H636" s="7"/>
      <c r="I636" s="7"/>
      <c r="J636" s="7"/>
      <c r="K636" s="7"/>
      <c r="L636" s="7"/>
      <c r="O636" s="30" t="str">
        <f t="shared" si="46"/>
        <v/>
      </c>
      <c r="P636" s="30" t="str">
        <f t="shared" si="47"/>
        <v/>
      </c>
      <c r="Q636" s="30" t="str">
        <f t="shared" si="48"/>
        <v/>
      </c>
      <c r="R636" s="30" t="str">
        <f t="shared" si="49"/>
        <v/>
      </c>
      <c r="S636" s="30" t="str">
        <f t="shared" si="50"/>
        <v/>
      </c>
    </row>
    <row r="637" spans="1:19">
      <c r="A637" s="7" t="s">
        <v>688</v>
      </c>
      <c r="B637" s="7"/>
      <c r="C637" s="7"/>
      <c r="D637" s="7"/>
      <c r="E637" s="7"/>
      <c r="F637" s="7"/>
      <c r="H637" s="7"/>
      <c r="I637" s="7"/>
      <c r="J637" s="7"/>
      <c r="K637" s="7"/>
      <c r="L637" s="7"/>
      <c r="O637" s="30" t="str">
        <f t="shared" si="46"/>
        <v/>
      </c>
      <c r="P637" s="30" t="str">
        <f t="shared" si="47"/>
        <v/>
      </c>
      <c r="Q637" s="30" t="str">
        <f t="shared" si="48"/>
        <v/>
      </c>
      <c r="R637" s="30" t="str">
        <f t="shared" si="49"/>
        <v/>
      </c>
      <c r="S637" s="30" t="str">
        <f t="shared" si="50"/>
        <v/>
      </c>
    </row>
    <row r="638" spans="1:19">
      <c r="A638" s="7" t="s">
        <v>689</v>
      </c>
      <c r="B638" s="7"/>
      <c r="C638" s="7"/>
      <c r="D638" s="7"/>
      <c r="E638" s="7"/>
      <c r="F638" s="7"/>
      <c r="H638" s="7"/>
      <c r="I638" s="7"/>
      <c r="J638" s="7"/>
      <c r="K638" s="7"/>
      <c r="L638" s="7"/>
      <c r="O638" s="30" t="str">
        <f t="shared" si="46"/>
        <v/>
      </c>
      <c r="P638" s="30" t="str">
        <f t="shared" si="47"/>
        <v/>
      </c>
      <c r="Q638" s="30" t="str">
        <f t="shared" si="48"/>
        <v/>
      </c>
      <c r="R638" s="30" t="str">
        <f t="shared" si="49"/>
        <v/>
      </c>
      <c r="S638" s="30" t="str">
        <f t="shared" si="50"/>
        <v/>
      </c>
    </row>
    <row r="639" spans="1:19">
      <c r="A639" s="7" t="s">
        <v>690</v>
      </c>
      <c r="B639" s="7"/>
      <c r="C639" s="7"/>
      <c r="D639" s="7"/>
      <c r="E639" s="7"/>
      <c r="F639" s="7"/>
      <c r="H639" s="7"/>
      <c r="I639" s="7"/>
      <c r="J639" s="7"/>
      <c r="K639" s="7"/>
      <c r="L639" s="7"/>
      <c r="O639" s="30" t="str">
        <f t="shared" si="46"/>
        <v/>
      </c>
      <c r="P639" s="30" t="str">
        <f t="shared" si="47"/>
        <v/>
      </c>
      <c r="Q639" s="30" t="str">
        <f t="shared" si="48"/>
        <v/>
      </c>
      <c r="R639" s="30" t="str">
        <f t="shared" si="49"/>
        <v/>
      </c>
      <c r="S639" s="30" t="str">
        <f t="shared" si="50"/>
        <v/>
      </c>
    </row>
    <row r="640" spans="1:19">
      <c r="A640" s="7" t="s">
        <v>691</v>
      </c>
      <c r="B640" s="7"/>
      <c r="C640" s="7"/>
      <c r="D640" s="7"/>
      <c r="E640" s="7"/>
      <c r="F640" s="7"/>
      <c r="H640" s="7"/>
      <c r="I640" s="7"/>
      <c r="J640" s="7"/>
      <c r="K640" s="7"/>
      <c r="L640" s="7"/>
      <c r="O640" s="30" t="str">
        <f t="shared" si="46"/>
        <v/>
      </c>
      <c r="P640" s="30" t="str">
        <f t="shared" si="47"/>
        <v/>
      </c>
      <c r="Q640" s="30" t="str">
        <f t="shared" si="48"/>
        <v/>
      </c>
      <c r="R640" s="30" t="str">
        <f t="shared" si="49"/>
        <v/>
      </c>
      <c r="S640" s="30" t="str">
        <f t="shared" si="50"/>
        <v/>
      </c>
    </row>
    <row r="641" spans="1:19">
      <c r="A641" s="7" t="s">
        <v>692</v>
      </c>
      <c r="B641" s="7"/>
      <c r="C641" s="7"/>
      <c r="D641" s="7"/>
      <c r="E641" s="7"/>
      <c r="F641" s="7"/>
      <c r="H641" s="7"/>
      <c r="I641" s="7"/>
      <c r="J641" s="7"/>
      <c r="K641" s="7"/>
      <c r="L641" s="7"/>
      <c r="O641" s="30" t="str">
        <f t="shared" si="46"/>
        <v/>
      </c>
      <c r="P641" s="30" t="str">
        <f t="shared" si="47"/>
        <v/>
      </c>
      <c r="Q641" s="30" t="str">
        <f t="shared" si="48"/>
        <v/>
      </c>
      <c r="R641" s="30" t="str">
        <f t="shared" si="49"/>
        <v/>
      </c>
      <c r="S641" s="30" t="str">
        <f t="shared" si="50"/>
        <v/>
      </c>
    </row>
    <row r="642" spans="1:19">
      <c r="A642" s="7" t="s">
        <v>693</v>
      </c>
      <c r="B642" s="7"/>
      <c r="C642" s="7"/>
      <c r="D642" s="7"/>
      <c r="E642" s="7"/>
      <c r="F642" s="7"/>
      <c r="H642" s="7"/>
      <c r="I642" s="7"/>
      <c r="J642" s="7"/>
      <c r="K642" s="7"/>
      <c r="L642" s="7"/>
      <c r="O642" s="30" t="str">
        <f t="shared" si="46"/>
        <v/>
      </c>
      <c r="P642" s="30" t="str">
        <f t="shared" si="47"/>
        <v/>
      </c>
      <c r="Q642" s="30" t="str">
        <f t="shared" si="48"/>
        <v/>
      </c>
      <c r="R642" s="30" t="str">
        <f t="shared" si="49"/>
        <v/>
      </c>
      <c r="S642" s="30" t="str">
        <f t="shared" si="50"/>
        <v/>
      </c>
    </row>
    <row r="643" spans="1:19">
      <c r="A643" s="7" t="s">
        <v>694</v>
      </c>
      <c r="B643" s="7"/>
      <c r="C643" s="7"/>
      <c r="D643" s="7"/>
      <c r="E643" s="7"/>
      <c r="F643" s="7"/>
      <c r="H643" s="7"/>
      <c r="I643" s="7"/>
      <c r="J643" s="7"/>
      <c r="K643" s="7"/>
      <c r="L643" s="7"/>
      <c r="O643" s="30" t="str">
        <f t="shared" si="46"/>
        <v/>
      </c>
      <c r="P643" s="30" t="str">
        <f t="shared" si="47"/>
        <v/>
      </c>
      <c r="Q643" s="30" t="str">
        <f t="shared" si="48"/>
        <v/>
      </c>
      <c r="R643" s="30" t="str">
        <f t="shared" si="49"/>
        <v/>
      </c>
      <c r="S643" s="30" t="str">
        <f t="shared" si="50"/>
        <v/>
      </c>
    </row>
    <row r="644" spans="1:19">
      <c r="A644" s="7" t="s">
        <v>695</v>
      </c>
      <c r="B644" s="7"/>
      <c r="C644" s="7"/>
      <c r="D644" s="7"/>
      <c r="E644" s="7"/>
      <c r="F644" s="7"/>
      <c r="H644" s="7"/>
      <c r="I644" s="7"/>
      <c r="J644" s="7"/>
      <c r="K644" s="7"/>
      <c r="L644" s="7"/>
      <c r="O644" s="30" t="str">
        <f t="shared" si="46"/>
        <v/>
      </c>
      <c r="P644" s="30" t="str">
        <f t="shared" si="47"/>
        <v/>
      </c>
      <c r="Q644" s="30" t="str">
        <f t="shared" si="48"/>
        <v/>
      </c>
      <c r="R644" s="30" t="str">
        <f t="shared" si="49"/>
        <v/>
      </c>
      <c r="S644" s="30" t="str">
        <f t="shared" si="50"/>
        <v/>
      </c>
    </row>
    <row r="645" spans="1:19">
      <c r="A645" s="7" t="s">
        <v>696</v>
      </c>
      <c r="B645" s="7"/>
      <c r="C645" s="7"/>
      <c r="D645" s="7"/>
      <c r="E645" s="7"/>
      <c r="F645" s="7"/>
      <c r="H645" s="7"/>
      <c r="I645" s="7"/>
      <c r="J645" s="7"/>
      <c r="K645" s="7"/>
      <c r="L645" s="7"/>
      <c r="O645" s="30" t="str">
        <f t="shared" si="46"/>
        <v/>
      </c>
      <c r="P645" s="30" t="str">
        <f t="shared" si="47"/>
        <v/>
      </c>
      <c r="Q645" s="30" t="str">
        <f t="shared" si="48"/>
        <v/>
      </c>
      <c r="R645" s="30" t="str">
        <f t="shared" si="49"/>
        <v/>
      </c>
      <c r="S645" s="30" t="str">
        <f t="shared" si="50"/>
        <v/>
      </c>
    </row>
    <row r="646" spans="1:19">
      <c r="A646" s="7" t="s">
        <v>697</v>
      </c>
      <c r="B646" s="7"/>
      <c r="C646" s="7"/>
      <c r="D646" s="7"/>
      <c r="E646" s="7"/>
      <c r="F646" s="7"/>
      <c r="H646" s="7"/>
      <c r="I646" s="7"/>
      <c r="J646" s="7"/>
      <c r="K646" s="7"/>
      <c r="L646" s="7"/>
      <c r="O646" s="30" t="str">
        <f t="shared" si="46"/>
        <v/>
      </c>
      <c r="P646" s="30" t="str">
        <f t="shared" si="47"/>
        <v/>
      </c>
      <c r="Q646" s="30" t="str">
        <f t="shared" si="48"/>
        <v/>
      </c>
      <c r="R646" s="30" t="str">
        <f t="shared" si="49"/>
        <v/>
      </c>
      <c r="S646" s="30" t="str">
        <f t="shared" si="50"/>
        <v/>
      </c>
    </row>
    <row r="647" spans="1:19">
      <c r="A647" s="7" t="s">
        <v>698</v>
      </c>
      <c r="B647" s="7"/>
      <c r="C647" s="7"/>
      <c r="D647" s="7"/>
      <c r="E647" s="7"/>
      <c r="F647" s="7"/>
      <c r="H647" s="7"/>
      <c r="I647" s="7"/>
      <c r="J647" s="7"/>
      <c r="K647" s="7"/>
      <c r="L647" s="7"/>
      <c r="O647" s="30" t="str">
        <f t="shared" si="46"/>
        <v/>
      </c>
      <c r="P647" s="30" t="str">
        <f t="shared" si="47"/>
        <v/>
      </c>
      <c r="Q647" s="30" t="str">
        <f t="shared" si="48"/>
        <v/>
      </c>
      <c r="R647" s="30" t="str">
        <f t="shared" si="49"/>
        <v/>
      </c>
      <c r="S647" s="30" t="str">
        <f t="shared" si="50"/>
        <v/>
      </c>
    </row>
    <row r="648" spans="1:19">
      <c r="A648" s="7" t="s">
        <v>699</v>
      </c>
      <c r="B648" s="7"/>
      <c r="C648" s="7"/>
      <c r="D648" s="7"/>
      <c r="E648" s="7"/>
      <c r="F648" s="7"/>
      <c r="H648" s="7"/>
      <c r="I648" s="7"/>
      <c r="J648" s="7"/>
      <c r="K648" s="7"/>
      <c r="L648" s="7"/>
      <c r="O648" s="30" t="str">
        <f t="shared" si="46"/>
        <v/>
      </c>
      <c r="P648" s="30" t="str">
        <f t="shared" si="47"/>
        <v/>
      </c>
      <c r="Q648" s="30" t="str">
        <f t="shared" si="48"/>
        <v/>
      </c>
      <c r="R648" s="30" t="str">
        <f t="shared" si="49"/>
        <v/>
      </c>
      <c r="S648" s="30" t="str">
        <f t="shared" si="50"/>
        <v/>
      </c>
    </row>
    <row r="649" spans="1:19">
      <c r="A649" s="7" t="s">
        <v>700</v>
      </c>
      <c r="B649" s="7"/>
      <c r="C649" s="7"/>
      <c r="D649" s="7"/>
      <c r="E649" s="7"/>
      <c r="F649" s="7"/>
      <c r="H649" s="7"/>
      <c r="I649" s="7"/>
      <c r="J649" s="7"/>
      <c r="K649" s="7"/>
      <c r="L649" s="7"/>
      <c r="O649" s="30" t="str">
        <f t="shared" ref="O649:O712" si="51">IF(H649&gt;0,"Angebot offen","")</f>
        <v/>
      </c>
      <c r="P649" s="30" t="str">
        <f t="shared" ref="P649:P712" si="52">IF(I649&gt;0,"Angebot offen","")</f>
        <v/>
      </c>
      <c r="Q649" s="30" t="str">
        <f t="shared" ref="Q649:Q712" si="53">IF(J649&gt;0,"Angebot offen","")</f>
        <v/>
      </c>
      <c r="R649" s="30" t="str">
        <f t="shared" ref="R649:R712" si="54">IF(K649&gt;0,"Angebot offen","")</f>
        <v/>
      </c>
      <c r="S649" s="30" t="str">
        <f t="shared" ref="S649:S712" si="55">IF(L649&gt;0,"Angebot offen","")</f>
        <v/>
      </c>
    </row>
    <row r="650" spans="1:19">
      <c r="A650" s="7" t="s">
        <v>701</v>
      </c>
      <c r="B650" s="7"/>
      <c r="C650" s="7"/>
      <c r="D650" s="7"/>
      <c r="E650" s="7"/>
      <c r="F650" s="7"/>
      <c r="H650" s="7"/>
      <c r="I650" s="7"/>
      <c r="J650" s="7"/>
      <c r="K650" s="7"/>
      <c r="L650" s="7"/>
      <c r="O650" s="30" t="str">
        <f t="shared" si="51"/>
        <v/>
      </c>
      <c r="P650" s="30" t="str">
        <f t="shared" si="52"/>
        <v/>
      </c>
      <c r="Q650" s="30" t="str">
        <f t="shared" si="53"/>
        <v/>
      </c>
      <c r="R650" s="30" t="str">
        <f t="shared" si="54"/>
        <v/>
      </c>
      <c r="S650" s="30" t="str">
        <f t="shared" si="55"/>
        <v/>
      </c>
    </row>
    <row r="651" spans="1:19">
      <c r="A651" s="7" t="s">
        <v>702</v>
      </c>
      <c r="B651" s="7"/>
      <c r="C651" s="7"/>
      <c r="D651" s="7"/>
      <c r="E651" s="7"/>
      <c r="F651" s="7"/>
      <c r="H651" s="7"/>
      <c r="I651" s="7"/>
      <c r="J651" s="7"/>
      <c r="K651" s="7"/>
      <c r="L651" s="7"/>
      <c r="O651" s="30" t="str">
        <f t="shared" si="51"/>
        <v/>
      </c>
      <c r="P651" s="30" t="str">
        <f t="shared" si="52"/>
        <v/>
      </c>
      <c r="Q651" s="30" t="str">
        <f t="shared" si="53"/>
        <v/>
      </c>
      <c r="R651" s="30" t="str">
        <f t="shared" si="54"/>
        <v/>
      </c>
      <c r="S651" s="30" t="str">
        <f t="shared" si="55"/>
        <v/>
      </c>
    </row>
    <row r="652" spans="1:19">
      <c r="A652" s="7" t="s">
        <v>703</v>
      </c>
      <c r="B652" s="7"/>
      <c r="C652" s="7"/>
      <c r="D652" s="7"/>
      <c r="E652" s="7"/>
      <c r="F652" s="7"/>
      <c r="H652" s="7"/>
      <c r="I652" s="7"/>
      <c r="J652" s="7"/>
      <c r="K652" s="7"/>
      <c r="L652" s="7"/>
      <c r="O652" s="30" t="str">
        <f t="shared" si="51"/>
        <v/>
      </c>
      <c r="P652" s="30" t="str">
        <f t="shared" si="52"/>
        <v/>
      </c>
      <c r="Q652" s="30" t="str">
        <f t="shared" si="53"/>
        <v/>
      </c>
      <c r="R652" s="30" t="str">
        <f t="shared" si="54"/>
        <v/>
      </c>
      <c r="S652" s="30" t="str">
        <f t="shared" si="55"/>
        <v/>
      </c>
    </row>
    <row r="653" spans="1:19">
      <c r="A653" s="7" t="s">
        <v>704</v>
      </c>
      <c r="B653" s="7"/>
      <c r="C653" s="7"/>
      <c r="D653" s="7"/>
      <c r="E653" s="7"/>
      <c r="F653" s="7"/>
      <c r="H653" s="7"/>
      <c r="I653" s="7"/>
      <c r="J653" s="7"/>
      <c r="K653" s="7"/>
      <c r="L653" s="7"/>
      <c r="O653" s="30" t="str">
        <f t="shared" si="51"/>
        <v/>
      </c>
      <c r="P653" s="30" t="str">
        <f t="shared" si="52"/>
        <v/>
      </c>
      <c r="Q653" s="30" t="str">
        <f t="shared" si="53"/>
        <v/>
      </c>
      <c r="R653" s="30" t="str">
        <f t="shared" si="54"/>
        <v/>
      </c>
      <c r="S653" s="30" t="str">
        <f t="shared" si="55"/>
        <v/>
      </c>
    </row>
    <row r="654" spans="1:19">
      <c r="A654" s="7" t="s">
        <v>705</v>
      </c>
      <c r="B654" s="7"/>
      <c r="C654" s="7"/>
      <c r="D654" s="7"/>
      <c r="E654" s="7"/>
      <c r="F654" s="7"/>
      <c r="H654" s="7"/>
      <c r="I654" s="7"/>
      <c r="J654" s="7"/>
      <c r="K654" s="7"/>
      <c r="L654" s="7"/>
      <c r="O654" s="30" t="str">
        <f t="shared" si="51"/>
        <v/>
      </c>
      <c r="P654" s="30" t="str">
        <f t="shared" si="52"/>
        <v/>
      </c>
      <c r="Q654" s="30" t="str">
        <f t="shared" si="53"/>
        <v/>
      </c>
      <c r="R654" s="30" t="str">
        <f t="shared" si="54"/>
        <v/>
      </c>
      <c r="S654" s="30" t="str">
        <f t="shared" si="55"/>
        <v/>
      </c>
    </row>
    <row r="655" spans="1:19">
      <c r="A655" s="7" t="s">
        <v>706</v>
      </c>
      <c r="B655" s="7"/>
      <c r="C655" s="7"/>
      <c r="D655" s="7"/>
      <c r="E655" s="7"/>
      <c r="F655" s="7"/>
      <c r="H655" s="7"/>
      <c r="I655" s="7"/>
      <c r="J655" s="7"/>
      <c r="K655" s="7"/>
      <c r="L655" s="7"/>
      <c r="O655" s="30" t="str">
        <f t="shared" si="51"/>
        <v/>
      </c>
      <c r="P655" s="30" t="str">
        <f t="shared" si="52"/>
        <v/>
      </c>
      <c r="Q655" s="30" t="str">
        <f t="shared" si="53"/>
        <v/>
      </c>
      <c r="R655" s="30" t="str">
        <f t="shared" si="54"/>
        <v/>
      </c>
      <c r="S655" s="30" t="str">
        <f t="shared" si="55"/>
        <v/>
      </c>
    </row>
    <row r="656" spans="1:19">
      <c r="A656" s="7" t="s">
        <v>707</v>
      </c>
      <c r="B656" s="7"/>
      <c r="C656" s="7"/>
      <c r="D656" s="7"/>
      <c r="E656" s="7"/>
      <c r="F656" s="7"/>
      <c r="H656" s="7"/>
      <c r="I656" s="7"/>
      <c r="J656" s="7"/>
      <c r="K656" s="7"/>
      <c r="L656" s="7"/>
      <c r="O656" s="30" t="str">
        <f t="shared" si="51"/>
        <v/>
      </c>
      <c r="P656" s="30" t="str">
        <f t="shared" si="52"/>
        <v/>
      </c>
      <c r="Q656" s="30" t="str">
        <f t="shared" si="53"/>
        <v/>
      </c>
      <c r="R656" s="30" t="str">
        <f t="shared" si="54"/>
        <v/>
      </c>
      <c r="S656" s="30" t="str">
        <f t="shared" si="55"/>
        <v/>
      </c>
    </row>
    <row r="657" spans="1:19">
      <c r="A657" s="7" t="s">
        <v>708</v>
      </c>
      <c r="B657" s="7"/>
      <c r="C657" s="7"/>
      <c r="D657" s="7"/>
      <c r="E657" s="7"/>
      <c r="F657" s="7"/>
      <c r="H657" s="7"/>
      <c r="I657" s="7"/>
      <c r="J657" s="7"/>
      <c r="K657" s="7"/>
      <c r="L657" s="7"/>
      <c r="O657" s="30" t="str">
        <f t="shared" si="51"/>
        <v/>
      </c>
      <c r="P657" s="30" t="str">
        <f t="shared" si="52"/>
        <v/>
      </c>
      <c r="Q657" s="30" t="str">
        <f t="shared" si="53"/>
        <v/>
      </c>
      <c r="R657" s="30" t="str">
        <f t="shared" si="54"/>
        <v/>
      </c>
      <c r="S657" s="30" t="str">
        <f t="shared" si="55"/>
        <v/>
      </c>
    </row>
    <row r="658" spans="1:19">
      <c r="A658" s="7" t="s">
        <v>709</v>
      </c>
      <c r="B658" s="7"/>
      <c r="C658" s="7"/>
      <c r="D658" s="7"/>
      <c r="E658" s="7"/>
      <c r="F658" s="7"/>
      <c r="H658" s="7"/>
      <c r="I658" s="7"/>
      <c r="J658" s="7"/>
      <c r="K658" s="7"/>
      <c r="L658" s="7"/>
      <c r="O658" s="30" t="str">
        <f t="shared" si="51"/>
        <v/>
      </c>
      <c r="P658" s="30" t="str">
        <f t="shared" si="52"/>
        <v/>
      </c>
      <c r="Q658" s="30" t="str">
        <f t="shared" si="53"/>
        <v/>
      </c>
      <c r="R658" s="30" t="str">
        <f t="shared" si="54"/>
        <v/>
      </c>
      <c r="S658" s="30" t="str">
        <f t="shared" si="55"/>
        <v/>
      </c>
    </row>
    <row r="659" spans="1:19">
      <c r="A659" s="7" t="s">
        <v>710</v>
      </c>
      <c r="B659" s="7"/>
      <c r="C659" s="7"/>
      <c r="D659" s="7"/>
      <c r="E659" s="7"/>
      <c r="F659" s="7"/>
      <c r="H659" s="7"/>
      <c r="I659" s="7"/>
      <c r="J659" s="7"/>
      <c r="K659" s="7"/>
      <c r="L659" s="7"/>
      <c r="O659" s="30" t="str">
        <f t="shared" si="51"/>
        <v/>
      </c>
      <c r="P659" s="30" t="str">
        <f t="shared" si="52"/>
        <v/>
      </c>
      <c r="Q659" s="30" t="str">
        <f t="shared" si="53"/>
        <v/>
      </c>
      <c r="R659" s="30" t="str">
        <f t="shared" si="54"/>
        <v/>
      </c>
      <c r="S659" s="30" t="str">
        <f t="shared" si="55"/>
        <v/>
      </c>
    </row>
    <row r="660" spans="1:19">
      <c r="A660" s="7" t="s">
        <v>711</v>
      </c>
      <c r="B660" s="7"/>
      <c r="C660" s="7"/>
      <c r="D660" s="7"/>
      <c r="E660" s="7"/>
      <c r="F660" s="7"/>
      <c r="H660" s="7"/>
      <c r="I660" s="7"/>
      <c r="J660" s="7"/>
      <c r="K660" s="7"/>
      <c r="L660" s="7"/>
      <c r="O660" s="30" t="str">
        <f t="shared" si="51"/>
        <v/>
      </c>
      <c r="P660" s="30" t="str">
        <f t="shared" si="52"/>
        <v/>
      </c>
      <c r="Q660" s="30" t="str">
        <f t="shared" si="53"/>
        <v/>
      </c>
      <c r="R660" s="30" t="str">
        <f t="shared" si="54"/>
        <v/>
      </c>
      <c r="S660" s="30" t="str">
        <f t="shared" si="55"/>
        <v/>
      </c>
    </row>
    <row r="661" spans="1:19">
      <c r="A661" s="7" t="s">
        <v>712</v>
      </c>
      <c r="B661" s="7"/>
      <c r="C661" s="7"/>
      <c r="D661" s="7"/>
      <c r="E661" s="7"/>
      <c r="F661" s="7"/>
      <c r="H661" s="7"/>
      <c r="I661" s="7"/>
      <c r="J661" s="7"/>
      <c r="K661" s="7"/>
      <c r="L661" s="7"/>
      <c r="O661" s="30" t="str">
        <f t="shared" si="51"/>
        <v/>
      </c>
      <c r="P661" s="30" t="str">
        <f t="shared" si="52"/>
        <v/>
      </c>
      <c r="Q661" s="30" t="str">
        <f t="shared" si="53"/>
        <v/>
      </c>
      <c r="R661" s="30" t="str">
        <f t="shared" si="54"/>
        <v/>
      </c>
      <c r="S661" s="30" t="str">
        <f t="shared" si="55"/>
        <v/>
      </c>
    </row>
    <row r="662" spans="1:19">
      <c r="A662" s="7" t="s">
        <v>713</v>
      </c>
      <c r="B662" s="7"/>
      <c r="C662" s="7"/>
      <c r="D662" s="7"/>
      <c r="E662" s="7"/>
      <c r="F662" s="7"/>
      <c r="H662" s="7"/>
      <c r="I662" s="7"/>
      <c r="J662" s="7"/>
      <c r="K662" s="7"/>
      <c r="L662" s="7"/>
      <c r="O662" s="30" t="str">
        <f t="shared" si="51"/>
        <v/>
      </c>
      <c r="P662" s="30" t="str">
        <f t="shared" si="52"/>
        <v/>
      </c>
      <c r="Q662" s="30" t="str">
        <f t="shared" si="53"/>
        <v/>
      </c>
      <c r="R662" s="30" t="str">
        <f t="shared" si="54"/>
        <v/>
      </c>
      <c r="S662" s="30" t="str">
        <f t="shared" si="55"/>
        <v/>
      </c>
    </row>
    <row r="663" spans="1:19">
      <c r="A663" s="7" t="s">
        <v>714</v>
      </c>
      <c r="B663" s="7"/>
      <c r="C663" s="7"/>
      <c r="D663" s="7"/>
      <c r="E663" s="7"/>
      <c r="F663" s="7"/>
      <c r="H663" s="7"/>
      <c r="I663" s="7"/>
      <c r="J663" s="7"/>
      <c r="K663" s="7"/>
      <c r="L663" s="7"/>
      <c r="O663" s="30" t="str">
        <f t="shared" si="51"/>
        <v/>
      </c>
      <c r="P663" s="30" t="str">
        <f t="shared" si="52"/>
        <v/>
      </c>
      <c r="Q663" s="30" t="str">
        <f t="shared" si="53"/>
        <v/>
      </c>
      <c r="R663" s="30" t="str">
        <f t="shared" si="54"/>
        <v/>
      </c>
      <c r="S663" s="30" t="str">
        <f t="shared" si="55"/>
        <v/>
      </c>
    </row>
    <row r="664" spans="1:19">
      <c r="A664" s="7" t="s">
        <v>715</v>
      </c>
      <c r="B664" s="7"/>
      <c r="C664" s="7"/>
      <c r="D664" s="7"/>
      <c r="E664" s="7"/>
      <c r="F664" s="7"/>
      <c r="H664" s="7"/>
      <c r="I664" s="7"/>
      <c r="J664" s="7"/>
      <c r="K664" s="7"/>
      <c r="L664" s="7"/>
      <c r="O664" s="30" t="str">
        <f t="shared" si="51"/>
        <v/>
      </c>
      <c r="P664" s="30" t="str">
        <f t="shared" si="52"/>
        <v/>
      </c>
      <c r="Q664" s="30" t="str">
        <f t="shared" si="53"/>
        <v/>
      </c>
      <c r="R664" s="30" t="str">
        <f t="shared" si="54"/>
        <v/>
      </c>
      <c r="S664" s="30" t="str">
        <f t="shared" si="55"/>
        <v/>
      </c>
    </row>
    <row r="665" spans="1:19">
      <c r="A665" s="7" t="s">
        <v>716</v>
      </c>
      <c r="B665" s="7"/>
      <c r="C665" s="7"/>
      <c r="D665" s="7"/>
      <c r="E665" s="7"/>
      <c r="F665" s="7"/>
      <c r="H665" s="7"/>
      <c r="I665" s="7"/>
      <c r="J665" s="7"/>
      <c r="K665" s="7"/>
      <c r="L665" s="7"/>
      <c r="O665" s="30" t="str">
        <f t="shared" si="51"/>
        <v/>
      </c>
      <c r="P665" s="30" t="str">
        <f t="shared" si="52"/>
        <v/>
      </c>
      <c r="Q665" s="30" t="str">
        <f t="shared" si="53"/>
        <v/>
      </c>
      <c r="R665" s="30" t="str">
        <f t="shared" si="54"/>
        <v/>
      </c>
      <c r="S665" s="30" t="str">
        <f t="shared" si="55"/>
        <v/>
      </c>
    </row>
    <row r="666" spans="1:19">
      <c r="A666" s="7" t="s">
        <v>717</v>
      </c>
      <c r="B666" s="7"/>
      <c r="C666" s="7"/>
      <c r="D666" s="7"/>
      <c r="E666" s="7"/>
      <c r="F666" s="7"/>
      <c r="H666" s="7"/>
      <c r="I666" s="7"/>
      <c r="J666" s="7"/>
      <c r="K666" s="7"/>
      <c r="L666" s="7"/>
      <c r="O666" s="30" t="str">
        <f t="shared" si="51"/>
        <v/>
      </c>
      <c r="P666" s="30" t="str">
        <f t="shared" si="52"/>
        <v/>
      </c>
      <c r="Q666" s="30" t="str">
        <f t="shared" si="53"/>
        <v/>
      </c>
      <c r="R666" s="30" t="str">
        <f t="shared" si="54"/>
        <v/>
      </c>
      <c r="S666" s="30" t="str">
        <f t="shared" si="55"/>
        <v/>
      </c>
    </row>
    <row r="667" spans="1:19">
      <c r="A667" s="7" t="s">
        <v>718</v>
      </c>
      <c r="B667" s="7"/>
      <c r="C667" s="7"/>
      <c r="D667" s="7"/>
      <c r="E667" s="7"/>
      <c r="F667" s="7"/>
      <c r="H667" s="7"/>
      <c r="I667" s="7"/>
      <c r="J667" s="7"/>
      <c r="K667" s="7"/>
      <c r="L667" s="7"/>
      <c r="O667" s="30" t="str">
        <f t="shared" si="51"/>
        <v/>
      </c>
      <c r="P667" s="30" t="str">
        <f t="shared" si="52"/>
        <v/>
      </c>
      <c r="Q667" s="30" t="str">
        <f t="shared" si="53"/>
        <v/>
      </c>
      <c r="R667" s="30" t="str">
        <f t="shared" si="54"/>
        <v/>
      </c>
      <c r="S667" s="30" t="str">
        <f t="shared" si="55"/>
        <v/>
      </c>
    </row>
    <row r="668" spans="1:19">
      <c r="A668" s="7" t="s">
        <v>719</v>
      </c>
      <c r="B668" s="7"/>
      <c r="C668" s="7"/>
      <c r="D668" s="7"/>
      <c r="E668" s="7"/>
      <c r="F668" s="7"/>
      <c r="H668" s="7"/>
      <c r="I668" s="7"/>
      <c r="J668" s="7"/>
      <c r="K668" s="7"/>
      <c r="L668" s="7"/>
      <c r="O668" s="30" t="str">
        <f t="shared" si="51"/>
        <v/>
      </c>
      <c r="P668" s="30" t="str">
        <f t="shared" si="52"/>
        <v/>
      </c>
      <c r="Q668" s="30" t="str">
        <f t="shared" si="53"/>
        <v/>
      </c>
      <c r="R668" s="30" t="str">
        <f t="shared" si="54"/>
        <v/>
      </c>
      <c r="S668" s="30" t="str">
        <f t="shared" si="55"/>
        <v/>
      </c>
    </row>
    <row r="669" spans="1:19">
      <c r="A669" s="7" t="s">
        <v>720</v>
      </c>
      <c r="B669" s="7"/>
      <c r="C669" s="7"/>
      <c r="D669" s="7"/>
      <c r="E669" s="7"/>
      <c r="F669" s="7"/>
      <c r="H669" s="7"/>
      <c r="I669" s="7"/>
      <c r="J669" s="7"/>
      <c r="K669" s="7"/>
      <c r="L669" s="7"/>
      <c r="O669" s="30" t="str">
        <f t="shared" si="51"/>
        <v/>
      </c>
      <c r="P669" s="30" t="str">
        <f t="shared" si="52"/>
        <v/>
      </c>
      <c r="Q669" s="30" t="str">
        <f t="shared" si="53"/>
        <v/>
      </c>
      <c r="R669" s="30" t="str">
        <f t="shared" si="54"/>
        <v/>
      </c>
      <c r="S669" s="30" t="str">
        <f t="shared" si="55"/>
        <v/>
      </c>
    </row>
    <row r="670" spans="1:19">
      <c r="A670" s="7" t="s">
        <v>721</v>
      </c>
      <c r="B670" s="7"/>
      <c r="C670" s="7"/>
      <c r="D670" s="7"/>
      <c r="E670" s="7"/>
      <c r="F670" s="7"/>
      <c r="H670" s="7"/>
      <c r="I670" s="7"/>
      <c r="J670" s="7"/>
      <c r="K670" s="7"/>
      <c r="L670" s="7"/>
      <c r="O670" s="30" t="str">
        <f t="shared" si="51"/>
        <v/>
      </c>
      <c r="P670" s="30" t="str">
        <f t="shared" si="52"/>
        <v/>
      </c>
      <c r="Q670" s="30" t="str">
        <f t="shared" si="53"/>
        <v/>
      </c>
      <c r="R670" s="30" t="str">
        <f t="shared" si="54"/>
        <v/>
      </c>
      <c r="S670" s="30" t="str">
        <f t="shared" si="55"/>
        <v/>
      </c>
    </row>
    <row r="671" spans="1:19">
      <c r="A671" s="7" t="s">
        <v>722</v>
      </c>
      <c r="B671" s="7"/>
      <c r="C671" s="7"/>
      <c r="D671" s="7"/>
      <c r="E671" s="7"/>
      <c r="F671" s="7"/>
      <c r="H671" s="7"/>
      <c r="I671" s="7"/>
      <c r="J671" s="7"/>
      <c r="K671" s="7"/>
      <c r="L671" s="7"/>
      <c r="O671" s="30" t="str">
        <f t="shared" si="51"/>
        <v/>
      </c>
      <c r="P671" s="30" t="str">
        <f t="shared" si="52"/>
        <v/>
      </c>
      <c r="Q671" s="30" t="str">
        <f t="shared" si="53"/>
        <v/>
      </c>
      <c r="R671" s="30" t="str">
        <f t="shared" si="54"/>
        <v/>
      </c>
      <c r="S671" s="30" t="str">
        <f t="shared" si="55"/>
        <v/>
      </c>
    </row>
    <row r="672" spans="1:19">
      <c r="A672" s="7" t="s">
        <v>723</v>
      </c>
      <c r="B672" s="7"/>
      <c r="C672" s="7"/>
      <c r="D672" s="7"/>
      <c r="E672" s="7"/>
      <c r="F672" s="7"/>
      <c r="H672" s="7"/>
      <c r="I672" s="7"/>
      <c r="J672" s="7"/>
      <c r="K672" s="7"/>
      <c r="L672" s="7"/>
      <c r="O672" s="30" t="str">
        <f t="shared" si="51"/>
        <v/>
      </c>
      <c r="P672" s="30" t="str">
        <f t="shared" si="52"/>
        <v/>
      </c>
      <c r="Q672" s="30" t="str">
        <f t="shared" si="53"/>
        <v/>
      </c>
      <c r="R672" s="30" t="str">
        <f t="shared" si="54"/>
        <v/>
      </c>
      <c r="S672" s="30" t="str">
        <f t="shared" si="55"/>
        <v/>
      </c>
    </row>
    <row r="673" spans="1:19">
      <c r="A673" s="7" t="s">
        <v>724</v>
      </c>
      <c r="B673" s="7"/>
      <c r="C673" s="7"/>
      <c r="D673" s="7"/>
      <c r="E673" s="7"/>
      <c r="F673" s="7"/>
      <c r="H673" s="7"/>
      <c r="I673" s="7"/>
      <c r="J673" s="7"/>
      <c r="K673" s="7"/>
      <c r="L673" s="7"/>
      <c r="O673" s="30" t="str">
        <f t="shared" si="51"/>
        <v/>
      </c>
      <c r="P673" s="30" t="str">
        <f t="shared" si="52"/>
        <v/>
      </c>
      <c r="Q673" s="30" t="str">
        <f t="shared" si="53"/>
        <v/>
      </c>
      <c r="R673" s="30" t="str">
        <f t="shared" si="54"/>
        <v/>
      </c>
      <c r="S673" s="30" t="str">
        <f t="shared" si="55"/>
        <v/>
      </c>
    </row>
    <row r="674" spans="1:19">
      <c r="A674" s="7" t="s">
        <v>725</v>
      </c>
      <c r="B674" s="7"/>
      <c r="C674" s="7"/>
      <c r="D674" s="7"/>
      <c r="E674" s="7"/>
      <c r="F674" s="7"/>
      <c r="H674" s="7"/>
      <c r="I674" s="7"/>
      <c r="J674" s="7"/>
      <c r="K674" s="7"/>
      <c r="L674" s="7"/>
      <c r="O674" s="30" t="str">
        <f t="shared" si="51"/>
        <v/>
      </c>
      <c r="P674" s="30" t="str">
        <f t="shared" si="52"/>
        <v/>
      </c>
      <c r="Q674" s="30" t="str">
        <f t="shared" si="53"/>
        <v/>
      </c>
      <c r="R674" s="30" t="str">
        <f t="shared" si="54"/>
        <v/>
      </c>
      <c r="S674" s="30" t="str">
        <f t="shared" si="55"/>
        <v/>
      </c>
    </row>
    <row r="675" spans="1:19">
      <c r="A675" s="7" t="s">
        <v>726</v>
      </c>
      <c r="B675" s="7"/>
      <c r="C675" s="7"/>
      <c r="D675" s="7"/>
      <c r="E675" s="7"/>
      <c r="F675" s="7"/>
      <c r="H675" s="7"/>
      <c r="I675" s="7"/>
      <c r="J675" s="7"/>
      <c r="K675" s="7"/>
      <c r="L675" s="7"/>
      <c r="O675" s="30" t="str">
        <f t="shared" si="51"/>
        <v/>
      </c>
      <c r="P675" s="30" t="str">
        <f t="shared" si="52"/>
        <v/>
      </c>
      <c r="Q675" s="30" t="str">
        <f t="shared" si="53"/>
        <v/>
      </c>
      <c r="R675" s="30" t="str">
        <f t="shared" si="54"/>
        <v/>
      </c>
      <c r="S675" s="30" t="str">
        <f t="shared" si="55"/>
        <v/>
      </c>
    </row>
    <row r="676" spans="1:19">
      <c r="A676" s="7" t="s">
        <v>727</v>
      </c>
      <c r="B676" s="7"/>
      <c r="C676" s="7"/>
      <c r="D676" s="7"/>
      <c r="E676" s="7"/>
      <c r="F676" s="7"/>
      <c r="H676" s="7"/>
      <c r="I676" s="7"/>
      <c r="J676" s="7"/>
      <c r="K676" s="7"/>
      <c r="L676" s="7"/>
      <c r="O676" s="30" t="str">
        <f t="shared" si="51"/>
        <v/>
      </c>
      <c r="P676" s="30" t="str">
        <f t="shared" si="52"/>
        <v/>
      </c>
      <c r="Q676" s="30" t="str">
        <f t="shared" si="53"/>
        <v/>
      </c>
      <c r="R676" s="30" t="str">
        <f t="shared" si="54"/>
        <v/>
      </c>
      <c r="S676" s="30" t="str">
        <f t="shared" si="55"/>
        <v/>
      </c>
    </row>
    <row r="677" spans="1:19">
      <c r="A677" s="7" t="s">
        <v>728</v>
      </c>
      <c r="B677" s="7"/>
      <c r="C677" s="7"/>
      <c r="D677" s="7"/>
      <c r="E677" s="7"/>
      <c r="F677" s="7"/>
      <c r="H677" s="7"/>
      <c r="I677" s="7"/>
      <c r="J677" s="7"/>
      <c r="K677" s="7"/>
      <c r="L677" s="7"/>
      <c r="O677" s="30" t="str">
        <f t="shared" si="51"/>
        <v/>
      </c>
      <c r="P677" s="30" t="str">
        <f t="shared" si="52"/>
        <v/>
      </c>
      <c r="Q677" s="30" t="str">
        <f t="shared" si="53"/>
        <v/>
      </c>
      <c r="R677" s="30" t="str">
        <f t="shared" si="54"/>
        <v/>
      </c>
      <c r="S677" s="30" t="str">
        <f t="shared" si="55"/>
        <v/>
      </c>
    </row>
    <row r="678" spans="1:19">
      <c r="A678" s="7" t="s">
        <v>729</v>
      </c>
      <c r="B678" s="7"/>
      <c r="C678" s="7"/>
      <c r="D678" s="7"/>
      <c r="E678" s="7"/>
      <c r="F678" s="7"/>
      <c r="H678" s="7"/>
      <c r="I678" s="7"/>
      <c r="J678" s="7"/>
      <c r="K678" s="7"/>
      <c r="L678" s="7"/>
      <c r="O678" s="30" t="str">
        <f t="shared" si="51"/>
        <v/>
      </c>
      <c r="P678" s="30" t="str">
        <f t="shared" si="52"/>
        <v/>
      </c>
      <c r="Q678" s="30" t="str">
        <f t="shared" si="53"/>
        <v/>
      </c>
      <c r="R678" s="30" t="str">
        <f t="shared" si="54"/>
        <v/>
      </c>
      <c r="S678" s="30" t="str">
        <f t="shared" si="55"/>
        <v/>
      </c>
    </row>
    <row r="679" spans="1:19">
      <c r="A679" s="7" t="s">
        <v>730</v>
      </c>
      <c r="B679" s="7"/>
      <c r="C679" s="7"/>
      <c r="D679" s="7"/>
      <c r="E679" s="7"/>
      <c r="F679" s="7"/>
      <c r="H679" s="7"/>
      <c r="I679" s="7"/>
      <c r="J679" s="7"/>
      <c r="K679" s="7"/>
      <c r="L679" s="7"/>
      <c r="O679" s="30" t="str">
        <f t="shared" si="51"/>
        <v/>
      </c>
      <c r="P679" s="30" t="str">
        <f t="shared" si="52"/>
        <v/>
      </c>
      <c r="Q679" s="30" t="str">
        <f t="shared" si="53"/>
        <v/>
      </c>
      <c r="R679" s="30" t="str">
        <f t="shared" si="54"/>
        <v/>
      </c>
      <c r="S679" s="30" t="str">
        <f t="shared" si="55"/>
        <v/>
      </c>
    </row>
    <row r="680" spans="1:19">
      <c r="A680" s="7" t="s">
        <v>731</v>
      </c>
      <c r="B680" s="7"/>
      <c r="C680" s="7"/>
      <c r="D680" s="7"/>
      <c r="E680" s="7"/>
      <c r="F680" s="7"/>
      <c r="H680" s="7"/>
      <c r="I680" s="7"/>
      <c r="J680" s="7"/>
      <c r="K680" s="7"/>
      <c r="L680" s="7"/>
      <c r="O680" s="30" t="str">
        <f t="shared" si="51"/>
        <v/>
      </c>
      <c r="P680" s="30" t="str">
        <f t="shared" si="52"/>
        <v/>
      </c>
      <c r="Q680" s="30" t="str">
        <f t="shared" si="53"/>
        <v/>
      </c>
      <c r="R680" s="30" t="str">
        <f t="shared" si="54"/>
        <v/>
      </c>
      <c r="S680" s="30" t="str">
        <f t="shared" si="55"/>
        <v/>
      </c>
    </row>
    <row r="681" spans="1:19">
      <c r="A681" s="7" t="s">
        <v>732</v>
      </c>
      <c r="B681" s="7"/>
      <c r="C681" s="7"/>
      <c r="D681" s="7"/>
      <c r="E681" s="7"/>
      <c r="F681" s="7"/>
      <c r="H681" s="7"/>
      <c r="I681" s="7"/>
      <c r="J681" s="7"/>
      <c r="K681" s="7"/>
      <c r="L681" s="7"/>
      <c r="O681" s="30" t="str">
        <f t="shared" si="51"/>
        <v/>
      </c>
      <c r="P681" s="30" t="str">
        <f t="shared" si="52"/>
        <v/>
      </c>
      <c r="Q681" s="30" t="str">
        <f t="shared" si="53"/>
        <v/>
      </c>
      <c r="R681" s="30" t="str">
        <f t="shared" si="54"/>
        <v/>
      </c>
      <c r="S681" s="30" t="str">
        <f t="shared" si="55"/>
        <v/>
      </c>
    </row>
    <row r="682" spans="1:19">
      <c r="A682" s="7" t="s">
        <v>733</v>
      </c>
      <c r="B682" s="7"/>
      <c r="C682" s="7"/>
      <c r="D682" s="7"/>
      <c r="E682" s="7"/>
      <c r="F682" s="7"/>
      <c r="H682" s="7"/>
      <c r="I682" s="7"/>
      <c r="J682" s="7"/>
      <c r="K682" s="7"/>
      <c r="L682" s="7"/>
      <c r="O682" s="30" t="str">
        <f t="shared" si="51"/>
        <v/>
      </c>
      <c r="P682" s="30" t="str">
        <f t="shared" si="52"/>
        <v/>
      </c>
      <c r="Q682" s="30" t="str">
        <f t="shared" si="53"/>
        <v/>
      </c>
      <c r="R682" s="30" t="str">
        <f t="shared" si="54"/>
        <v/>
      </c>
      <c r="S682" s="30" t="str">
        <f t="shared" si="55"/>
        <v/>
      </c>
    </row>
    <row r="683" spans="1:19">
      <c r="A683" s="7" t="s">
        <v>734</v>
      </c>
      <c r="B683" s="7"/>
      <c r="C683" s="7"/>
      <c r="D683" s="7"/>
      <c r="E683" s="7"/>
      <c r="F683" s="7"/>
      <c r="H683" s="7"/>
      <c r="I683" s="7"/>
      <c r="J683" s="7"/>
      <c r="K683" s="7"/>
      <c r="L683" s="7"/>
      <c r="O683" s="30" t="str">
        <f t="shared" si="51"/>
        <v/>
      </c>
      <c r="P683" s="30" t="str">
        <f t="shared" si="52"/>
        <v/>
      </c>
      <c r="Q683" s="30" t="str">
        <f t="shared" si="53"/>
        <v/>
      </c>
      <c r="R683" s="30" t="str">
        <f t="shared" si="54"/>
        <v/>
      </c>
      <c r="S683" s="30" t="str">
        <f t="shared" si="55"/>
        <v/>
      </c>
    </row>
    <row r="684" spans="1:19">
      <c r="A684" s="7" t="s">
        <v>735</v>
      </c>
      <c r="B684" s="7"/>
      <c r="C684" s="7"/>
      <c r="D684" s="7"/>
      <c r="E684" s="7"/>
      <c r="F684" s="7"/>
      <c r="H684" s="7"/>
      <c r="I684" s="7"/>
      <c r="J684" s="7"/>
      <c r="K684" s="7"/>
      <c r="L684" s="7"/>
      <c r="O684" s="30" t="str">
        <f t="shared" si="51"/>
        <v/>
      </c>
      <c r="P684" s="30" t="str">
        <f t="shared" si="52"/>
        <v/>
      </c>
      <c r="Q684" s="30" t="str">
        <f t="shared" si="53"/>
        <v/>
      </c>
      <c r="R684" s="30" t="str">
        <f t="shared" si="54"/>
        <v/>
      </c>
      <c r="S684" s="30" t="str">
        <f t="shared" si="55"/>
        <v/>
      </c>
    </row>
    <row r="685" spans="1:19">
      <c r="A685" s="7" t="s">
        <v>736</v>
      </c>
      <c r="B685" s="7"/>
      <c r="C685" s="7"/>
      <c r="D685" s="7"/>
      <c r="E685" s="7"/>
      <c r="F685" s="7"/>
      <c r="H685" s="7"/>
      <c r="I685" s="7"/>
      <c r="J685" s="7"/>
      <c r="K685" s="7"/>
      <c r="L685" s="7"/>
      <c r="O685" s="30" t="str">
        <f t="shared" si="51"/>
        <v/>
      </c>
      <c r="P685" s="30" t="str">
        <f t="shared" si="52"/>
        <v/>
      </c>
      <c r="Q685" s="30" t="str">
        <f t="shared" si="53"/>
        <v/>
      </c>
      <c r="R685" s="30" t="str">
        <f t="shared" si="54"/>
        <v/>
      </c>
      <c r="S685" s="30" t="str">
        <f t="shared" si="55"/>
        <v/>
      </c>
    </row>
    <row r="686" spans="1:19">
      <c r="A686" s="7" t="s">
        <v>737</v>
      </c>
      <c r="B686" s="7"/>
      <c r="C686" s="7"/>
      <c r="D686" s="7"/>
      <c r="E686" s="7"/>
      <c r="F686" s="7"/>
      <c r="H686" s="7"/>
      <c r="I686" s="7"/>
      <c r="J686" s="7"/>
      <c r="K686" s="7"/>
      <c r="L686" s="7"/>
      <c r="O686" s="30" t="str">
        <f t="shared" si="51"/>
        <v/>
      </c>
      <c r="P686" s="30" t="str">
        <f t="shared" si="52"/>
        <v/>
      </c>
      <c r="Q686" s="30" t="str">
        <f t="shared" si="53"/>
        <v/>
      </c>
      <c r="R686" s="30" t="str">
        <f t="shared" si="54"/>
        <v/>
      </c>
      <c r="S686" s="30" t="str">
        <f t="shared" si="55"/>
        <v/>
      </c>
    </row>
    <row r="687" spans="1:19">
      <c r="A687" s="7" t="s">
        <v>738</v>
      </c>
      <c r="B687" s="7"/>
      <c r="C687" s="7"/>
      <c r="D687" s="7"/>
      <c r="E687" s="7"/>
      <c r="F687" s="7"/>
      <c r="H687" s="7"/>
      <c r="I687" s="7"/>
      <c r="J687" s="7"/>
      <c r="K687" s="7"/>
      <c r="L687" s="7"/>
      <c r="O687" s="30" t="str">
        <f t="shared" si="51"/>
        <v/>
      </c>
      <c r="P687" s="30" t="str">
        <f t="shared" si="52"/>
        <v/>
      </c>
      <c r="Q687" s="30" t="str">
        <f t="shared" si="53"/>
        <v/>
      </c>
      <c r="R687" s="30" t="str">
        <f t="shared" si="54"/>
        <v/>
      </c>
      <c r="S687" s="30" t="str">
        <f t="shared" si="55"/>
        <v/>
      </c>
    </row>
    <row r="688" spans="1:19">
      <c r="A688" s="7" t="s">
        <v>739</v>
      </c>
      <c r="B688" s="7"/>
      <c r="C688" s="7"/>
      <c r="D688" s="7"/>
      <c r="E688" s="7"/>
      <c r="F688" s="7"/>
      <c r="H688" s="7"/>
      <c r="I688" s="7"/>
      <c r="J688" s="7"/>
      <c r="K688" s="7"/>
      <c r="L688" s="7"/>
      <c r="O688" s="30" t="str">
        <f t="shared" si="51"/>
        <v/>
      </c>
      <c r="P688" s="30" t="str">
        <f t="shared" si="52"/>
        <v/>
      </c>
      <c r="Q688" s="30" t="str">
        <f t="shared" si="53"/>
        <v/>
      </c>
      <c r="R688" s="30" t="str">
        <f t="shared" si="54"/>
        <v/>
      </c>
      <c r="S688" s="30" t="str">
        <f t="shared" si="55"/>
        <v/>
      </c>
    </row>
    <row r="689" spans="1:19">
      <c r="A689" s="7" t="s">
        <v>740</v>
      </c>
      <c r="B689" s="7"/>
      <c r="C689" s="7"/>
      <c r="D689" s="7"/>
      <c r="E689" s="7"/>
      <c r="F689" s="7"/>
      <c r="H689" s="7"/>
      <c r="I689" s="7"/>
      <c r="J689" s="7"/>
      <c r="K689" s="7"/>
      <c r="L689" s="7"/>
      <c r="O689" s="30" t="str">
        <f t="shared" si="51"/>
        <v/>
      </c>
      <c r="P689" s="30" t="str">
        <f t="shared" si="52"/>
        <v/>
      </c>
      <c r="Q689" s="30" t="str">
        <f t="shared" si="53"/>
        <v/>
      </c>
      <c r="R689" s="30" t="str">
        <f t="shared" si="54"/>
        <v/>
      </c>
      <c r="S689" s="30" t="str">
        <f t="shared" si="55"/>
        <v/>
      </c>
    </row>
    <row r="690" spans="1:19">
      <c r="A690" s="7" t="s">
        <v>741</v>
      </c>
      <c r="B690" s="7"/>
      <c r="C690" s="7"/>
      <c r="D690" s="7"/>
      <c r="E690" s="7"/>
      <c r="F690" s="7"/>
      <c r="H690" s="7"/>
      <c r="I690" s="7"/>
      <c r="J690" s="7"/>
      <c r="K690" s="7"/>
      <c r="L690" s="7"/>
      <c r="O690" s="30" t="str">
        <f t="shared" si="51"/>
        <v/>
      </c>
      <c r="P690" s="30" t="str">
        <f t="shared" si="52"/>
        <v/>
      </c>
      <c r="Q690" s="30" t="str">
        <f t="shared" si="53"/>
        <v/>
      </c>
      <c r="R690" s="30" t="str">
        <f t="shared" si="54"/>
        <v/>
      </c>
      <c r="S690" s="30" t="str">
        <f t="shared" si="55"/>
        <v/>
      </c>
    </row>
    <row r="691" spans="1:19">
      <c r="A691" s="7" t="s">
        <v>742</v>
      </c>
      <c r="B691" s="7"/>
      <c r="C691" s="7"/>
      <c r="D691" s="7"/>
      <c r="E691" s="7"/>
      <c r="F691" s="7"/>
      <c r="H691" s="7"/>
      <c r="I691" s="7"/>
      <c r="J691" s="7"/>
      <c r="K691" s="7"/>
      <c r="L691" s="7"/>
      <c r="O691" s="30" t="str">
        <f t="shared" si="51"/>
        <v/>
      </c>
      <c r="P691" s="30" t="str">
        <f t="shared" si="52"/>
        <v/>
      </c>
      <c r="Q691" s="30" t="str">
        <f t="shared" si="53"/>
        <v/>
      </c>
      <c r="R691" s="30" t="str">
        <f t="shared" si="54"/>
        <v/>
      </c>
      <c r="S691" s="30" t="str">
        <f t="shared" si="55"/>
        <v/>
      </c>
    </row>
    <row r="692" spans="1:19">
      <c r="A692" s="7" t="s">
        <v>743</v>
      </c>
      <c r="B692" s="7"/>
      <c r="C692" s="7"/>
      <c r="D692" s="7"/>
      <c r="E692" s="7"/>
      <c r="F692" s="7"/>
      <c r="H692" s="7"/>
      <c r="I692" s="7"/>
      <c r="J692" s="7"/>
      <c r="K692" s="7"/>
      <c r="L692" s="7"/>
      <c r="O692" s="30" t="str">
        <f t="shared" si="51"/>
        <v/>
      </c>
      <c r="P692" s="30" t="str">
        <f t="shared" si="52"/>
        <v/>
      </c>
      <c r="Q692" s="30" t="str">
        <f t="shared" si="53"/>
        <v/>
      </c>
      <c r="R692" s="30" t="str">
        <f t="shared" si="54"/>
        <v/>
      </c>
      <c r="S692" s="30" t="str">
        <f t="shared" si="55"/>
        <v/>
      </c>
    </row>
    <row r="693" spans="1:19">
      <c r="A693" s="7" t="s">
        <v>744</v>
      </c>
      <c r="B693" s="7"/>
      <c r="C693" s="7"/>
      <c r="D693" s="7"/>
      <c r="E693" s="7"/>
      <c r="F693" s="7"/>
      <c r="H693" s="7"/>
      <c r="I693" s="7"/>
      <c r="J693" s="7"/>
      <c r="K693" s="7"/>
      <c r="L693" s="7"/>
      <c r="O693" s="30" t="str">
        <f t="shared" si="51"/>
        <v/>
      </c>
      <c r="P693" s="30" t="str">
        <f t="shared" si="52"/>
        <v/>
      </c>
      <c r="Q693" s="30" t="str">
        <f t="shared" si="53"/>
        <v/>
      </c>
      <c r="R693" s="30" t="str">
        <f t="shared" si="54"/>
        <v/>
      </c>
      <c r="S693" s="30" t="str">
        <f t="shared" si="55"/>
        <v/>
      </c>
    </row>
    <row r="694" spans="1:19">
      <c r="A694" s="7" t="s">
        <v>745</v>
      </c>
      <c r="B694" s="7"/>
      <c r="C694" s="7"/>
      <c r="D694" s="7"/>
      <c r="E694" s="7"/>
      <c r="F694" s="7"/>
      <c r="H694" s="7"/>
      <c r="I694" s="7"/>
      <c r="J694" s="7"/>
      <c r="K694" s="7"/>
      <c r="L694" s="7"/>
      <c r="O694" s="30" t="str">
        <f t="shared" si="51"/>
        <v/>
      </c>
      <c r="P694" s="30" t="str">
        <f t="shared" si="52"/>
        <v/>
      </c>
      <c r="Q694" s="30" t="str">
        <f t="shared" si="53"/>
        <v/>
      </c>
      <c r="R694" s="30" t="str">
        <f t="shared" si="54"/>
        <v/>
      </c>
      <c r="S694" s="30" t="str">
        <f t="shared" si="55"/>
        <v/>
      </c>
    </row>
    <row r="695" spans="1:19">
      <c r="A695" s="7" t="s">
        <v>746</v>
      </c>
      <c r="B695" s="7"/>
      <c r="C695" s="7"/>
      <c r="D695" s="7"/>
      <c r="E695" s="7"/>
      <c r="F695" s="7"/>
      <c r="H695" s="7"/>
      <c r="I695" s="7"/>
      <c r="J695" s="7"/>
      <c r="K695" s="7"/>
      <c r="L695" s="7"/>
      <c r="O695" s="30" t="str">
        <f t="shared" si="51"/>
        <v/>
      </c>
      <c r="P695" s="30" t="str">
        <f t="shared" si="52"/>
        <v/>
      </c>
      <c r="Q695" s="30" t="str">
        <f t="shared" si="53"/>
        <v/>
      </c>
      <c r="R695" s="30" t="str">
        <f t="shared" si="54"/>
        <v/>
      </c>
      <c r="S695" s="30" t="str">
        <f t="shared" si="55"/>
        <v/>
      </c>
    </row>
    <row r="696" spans="1:19">
      <c r="A696" s="7" t="s">
        <v>747</v>
      </c>
      <c r="B696" s="7"/>
      <c r="C696" s="7"/>
      <c r="D696" s="7"/>
      <c r="E696" s="7"/>
      <c r="F696" s="7"/>
      <c r="H696" s="7"/>
      <c r="I696" s="7"/>
      <c r="J696" s="7"/>
      <c r="K696" s="7"/>
      <c r="L696" s="7"/>
      <c r="O696" s="30" t="str">
        <f t="shared" si="51"/>
        <v/>
      </c>
      <c r="P696" s="30" t="str">
        <f t="shared" si="52"/>
        <v/>
      </c>
      <c r="Q696" s="30" t="str">
        <f t="shared" si="53"/>
        <v/>
      </c>
      <c r="R696" s="30" t="str">
        <f t="shared" si="54"/>
        <v/>
      </c>
      <c r="S696" s="30" t="str">
        <f t="shared" si="55"/>
        <v/>
      </c>
    </row>
    <row r="697" spans="1:19">
      <c r="A697" s="7" t="s">
        <v>748</v>
      </c>
      <c r="B697" s="7"/>
      <c r="C697" s="7"/>
      <c r="D697" s="7"/>
      <c r="E697" s="7"/>
      <c r="F697" s="7"/>
      <c r="H697" s="7"/>
      <c r="I697" s="7"/>
      <c r="J697" s="7"/>
      <c r="K697" s="7"/>
      <c r="L697" s="7"/>
      <c r="O697" s="30" t="str">
        <f t="shared" si="51"/>
        <v/>
      </c>
      <c r="P697" s="30" t="str">
        <f t="shared" si="52"/>
        <v/>
      </c>
      <c r="Q697" s="30" t="str">
        <f t="shared" si="53"/>
        <v/>
      </c>
      <c r="R697" s="30" t="str">
        <f t="shared" si="54"/>
        <v/>
      </c>
      <c r="S697" s="30" t="str">
        <f t="shared" si="55"/>
        <v/>
      </c>
    </row>
    <row r="698" spans="1:19">
      <c r="A698" s="7" t="s">
        <v>749</v>
      </c>
      <c r="B698" s="7"/>
      <c r="C698" s="7"/>
      <c r="D698" s="7"/>
      <c r="E698" s="7"/>
      <c r="F698" s="7"/>
      <c r="H698" s="7"/>
      <c r="I698" s="7"/>
      <c r="J698" s="7"/>
      <c r="K698" s="7"/>
      <c r="L698" s="7"/>
      <c r="O698" s="30" t="str">
        <f t="shared" si="51"/>
        <v/>
      </c>
      <c r="P698" s="30" t="str">
        <f t="shared" si="52"/>
        <v/>
      </c>
      <c r="Q698" s="30" t="str">
        <f t="shared" si="53"/>
        <v/>
      </c>
      <c r="R698" s="30" t="str">
        <f t="shared" si="54"/>
        <v/>
      </c>
      <c r="S698" s="30" t="str">
        <f t="shared" si="55"/>
        <v/>
      </c>
    </row>
    <row r="699" spans="1:19">
      <c r="A699" s="7" t="s">
        <v>750</v>
      </c>
      <c r="B699" s="7"/>
      <c r="C699" s="7"/>
      <c r="D699" s="7"/>
      <c r="E699" s="7"/>
      <c r="F699" s="7"/>
      <c r="H699" s="7"/>
      <c r="I699" s="7"/>
      <c r="J699" s="7"/>
      <c r="K699" s="7"/>
      <c r="L699" s="7"/>
      <c r="O699" s="30" t="str">
        <f t="shared" si="51"/>
        <v/>
      </c>
      <c r="P699" s="30" t="str">
        <f t="shared" si="52"/>
        <v/>
      </c>
      <c r="Q699" s="30" t="str">
        <f t="shared" si="53"/>
        <v/>
      </c>
      <c r="R699" s="30" t="str">
        <f t="shared" si="54"/>
        <v/>
      </c>
      <c r="S699" s="30" t="str">
        <f t="shared" si="55"/>
        <v/>
      </c>
    </row>
    <row r="700" spans="1:19">
      <c r="A700" s="7" t="s">
        <v>751</v>
      </c>
      <c r="B700" s="7"/>
      <c r="C700" s="7"/>
      <c r="D700" s="7"/>
      <c r="E700" s="7"/>
      <c r="F700" s="7"/>
      <c r="H700" s="7"/>
      <c r="I700" s="7"/>
      <c r="J700" s="7"/>
      <c r="K700" s="7"/>
      <c r="L700" s="7"/>
      <c r="O700" s="30" t="str">
        <f t="shared" si="51"/>
        <v/>
      </c>
      <c r="P700" s="30" t="str">
        <f t="shared" si="52"/>
        <v/>
      </c>
      <c r="Q700" s="30" t="str">
        <f t="shared" si="53"/>
        <v/>
      </c>
      <c r="R700" s="30" t="str">
        <f t="shared" si="54"/>
        <v/>
      </c>
      <c r="S700" s="30" t="str">
        <f t="shared" si="55"/>
        <v/>
      </c>
    </row>
    <row r="701" spans="1:19">
      <c r="A701" s="7" t="s">
        <v>752</v>
      </c>
      <c r="B701" s="7"/>
      <c r="C701" s="7"/>
      <c r="D701" s="7"/>
      <c r="E701" s="7"/>
      <c r="F701" s="7"/>
      <c r="H701" s="7"/>
      <c r="I701" s="7"/>
      <c r="J701" s="7"/>
      <c r="K701" s="7"/>
      <c r="L701" s="7"/>
      <c r="O701" s="30" t="str">
        <f t="shared" si="51"/>
        <v/>
      </c>
      <c r="P701" s="30" t="str">
        <f t="shared" si="52"/>
        <v/>
      </c>
      <c r="Q701" s="30" t="str">
        <f t="shared" si="53"/>
        <v/>
      </c>
      <c r="R701" s="30" t="str">
        <f t="shared" si="54"/>
        <v/>
      </c>
      <c r="S701" s="30" t="str">
        <f t="shared" si="55"/>
        <v/>
      </c>
    </row>
    <row r="702" spans="1:19">
      <c r="A702" s="7" t="s">
        <v>753</v>
      </c>
      <c r="B702" s="7"/>
      <c r="C702" s="7"/>
      <c r="D702" s="7"/>
      <c r="E702" s="7"/>
      <c r="F702" s="7"/>
      <c r="H702" s="7"/>
      <c r="I702" s="7"/>
      <c r="J702" s="7"/>
      <c r="K702" s="7"/>
      <c r="L702" s="7"/>
      <c r="O702" s="30" t="str">
        <f t="shared" si="51"/>
        <v/>
      </c>
      <c r="P702" s="30" t="str">
        <f t="shared" si="52"/>
        <v/>
      </c>
      <c r="Q702" s="30" t="str">
        <f t="shared" si="53"/>
        <v/>
      </c>
      <c r="R702" s="30" t="str">
        <f t="shared" si="54"/>
        <v/>
      </c>
      <c r="S702" s="30" t="str">
        <f t="shared" si="55"/>
        <v/>
      </c>
    </row>
    <row r="703" spans="1:19">
      <c r="A703" s="7" t="s">
        <v>754</v>
      </c>
      <c r="B703" s="7"/>
      <c r="C703" s="7"/>
      <c r="D703" s="7"/>
      <c r="E703" s="7"/>
      <c r="F703" s="7"/>
      <c r="H703" s="7"/>
      <c r="I703" s="7"/>
      <c r="J703" s="7"/>
      <c r="K703" s="7"/>
      <c r="L703" s="7"/>
      <c r="O703" s="30" t="str">
        <f t="shared" si="51"/>
        <v/>
      </c>
      <c r="P703" s="30" t="str">
        <f t="shared" si="52"/>
        <v/>
      </c>
      <c r="Q703" s="30" t="str">
        <f t="shared" si="53"/>
        <v/>
      </c>
      <c r="R703" s="30" t="str">
        <f t="shared" si="54"/>
        <v/>
      </c>
      <c r="S703" s="30" t="str">
        <f t="shared" si="55"/>
        <v/>
      </c>
    </row>
    <row r="704" spans="1:19">
      <c r="A704" s="7" t="s">
        <v>755</v>
      </c>
      <c r="B704" s="7"/>
      <c r="C704" s="7"/>
      <c r="D704" s="7"/>
      <c r="E704" s="7"/>
      <c r="F704" s="7"/>
      <c r="H704" s="7"/>
      <c r="I704" s="7"/>
      <c r="J704" s="7"/>
      <c r="K704" s="7"/>
      <c r="L704" s="7"/>
      <c r="O704" s="30" t="str">
        <f t="shared" si="51"/>
        <v/>
      </c>
      <c r="P704" s="30" t="str">
        <f t="shared" si="52"/>
        <v/>
      </c>
      <c r="Q704" s="30" t="str">
        <f t="shared" si="53"/>
        <v/>
      </c>
      <c r="R704" s="30" t="str">
        <f t="shared" si="54"/>
        <v/>
      </c>
      <c r="S704" s="30" t="str">
        <f t="shared" si="55"/>
        <v/>
      </c>
    </row>
    <row r="705" spans="1:19">
      <c r="A705" s="7" t="s">
        <v>756</v>
      </c>
      <c r="B705" s="7"/>
      <c r="C705" s="7"/>
      <c r="D705" s="7"/>
      <c r="E705" s="7"/>
      <c r="F705" s="7"/>
      <c r="H705" s="7"/>
      <c r="I705" s="7"/>
      <c r="J705" s="7"/>
      <c r="K705" s="7"/>
      <c r="L705" s="7"/>
      <c r="O705" s="30" t="str">
        <f t="shared" si="51"/>
        <v/>
      </c>
      <c r="P705" s="30" t="str">
        <f t="shared" si="52"/>
        <v/>
      </c>
      <c r="Q705" s="30" t="str">
        <f t="shared" si="53"/>
        <v/>
      </c>
      <c r="R705" s="30" t="str">
        <f t="shared" si="54"/>
        <v/>
      </c>
      <c r="S705" s="30" t="str">
        <f t="shared" si="55"/>
        <v/>
      </c>
    </row>
    <row r="706" spans="1:19">
      <c r="A706" s="7" t="s">
        <v>757</v>
      </c>
      <c r="B706" s="7"/>
      <c r="C706" s="7"/>
      <c r="D706" s="7"/>
      <c r="E706" s="7"/>
      <c r="F706" s="7"/>
      <c r="H706" s="7"/>
      <c r="I706" s="7"/>
      <c r="J706" s="7"/>
      <c r="K706" s="7"/>
      <c r="L706" s="7"/>
      <c r="O706" s="30" t="str">
        <f t="shared" si="51"/>
        <v/>
      </c>
      <c r="P706" s="30" t="str">
        <f t="shared" si="52"/>
        <v/>
      </c>
      <c r="Q706" s="30" t="str">
        <f t="shared" si="53"/>
        <v/>
      </c>
      <c r="R706" s="30" t="str">
        <f t="shared" si="54"/>
        <v/>
      </c>
      <c r="S706" s="30" t="str">
        <f t="shared" si="55"/>
        <v/>
      </c>
    </row>
    <row r="707" spans="1:19">
      <c r="A707" s="7" t="s">
        <v>758</v>
      </c>
      <c r="B707" s="7"/>
      <c r="C707" s="7"/>
      <c r="D707" s="7"/>
      <c r="E707" s="7"/>
      <c r="F707" s="7"/>
      <c r="H707" s="7"/>
      <c r="I707" s="7"/>
      <c r="J707" s="7"/>
      <c r="K707" s="7"/>
      <c r="L707" s="7"/>
      <c r="O707" s="30" t="str">
        <f t="shared" si="51"/>
        <v/>
      </c>
      <c r="P707" s="30" t="str">
        <f t="shared" si="52"/>
        <v/>
      </c>
      <c r="Q707" s="30" t="str">
        <f t="shared" si="53"/>
        <v/>
      </c>
      <c r="R707" s="30" t="str">
        <f t="shared" si="54"/>
        <v/>
      </c>
      <c r="S707" s="30" t="str">
        <f t="shared" si="55"/>
        <v/>
      </c>
    </row>
    <row r="708" spans="1:19">
      <c r="A708" s="7" t="s">
        <v>759</v>
      </c>
      <c r="B708" s="7"/>
      <c r="C708" s="7"/>
      <c r="D708" s="7"/>
      <c r="E708" s="7"/>
      <c r="F708" s="7"/>
      <c r="H708" s="7"/>
      <c r="I708" s="7"/>
      <c r="J708" s="7"/>
      <c r="K708" s="7"/>
      <c r="L708" s="7"/>
      <c r="O708" s="30" t="str">
        <f t="shared" si="51"/>
        <v/>
      </c>
      <c r="P708" s="30" t="str">
        <f t="shared" si="52"/>
        <v/>
      </c>
      <c r="Q708" s="30" t="str">
        <f t="shared" si="53"/>
        <v/>
      </c>
      <c r="R708" s="30" t="str">
        <f t="shared" si="54"/>
        <v/>
      </c>
      <c r="S708" s="30" t="str">
        <f t="shared" si="55"/>
        <v/>
      </c>
    </row>
    <row r="709" spans="1:19">
      <c r="A709" s="7" t="s">
        <v>760</v>
      </c>
      <c r="B709" s="7"/>
      <c r="C709" s="7"/>
      <c r="D709" s="7"/>
      <c r="E709" s="7"/>
      <c r="F709" s="7"/>
      <c r="H709" s="7"/>
      <c r="I709" s="7"/>
      <c r="J709" s="7"/>
      <c r="K709" s="7"/>
      <c r="L709" s="7"/>
      <c r="O709" s="30" t="str">
        <f t="shared" si="51"/>
        <v/>
      </c>
      <c r="P709" s="30" t="str">
        <f t="shared" si="52"/>
        <v/>
      </c>
      <c r="Q709" s="30" t="str">
        <f t="shared" si="53"/>
        <v/>
      </c>
      <c r="R709" s="30" t="str">
        <f t="shared" si="54"/>
        <v/>
      </c>
      <c r="S709" s="30" t="str">
        <f t="shared" si="55"/>
        <v/>
      </c>
    </row>
    <row r="710" spans="1:19">
      <c r="A710" s="7" t="s">
        <v>761</v>
      </c>
      <c r="B710" s="7"/>
      <c r="C710" s="7"/>
      <c r="D710" s="7"/>
      <c r="E710" s="7"/>
      <c r="F710" s="7"/>
      <c r="H710" s="7"/>
      <c r="I710" s="7"/>
      <c r="J710" s="7"/>
      <c r="K710" s="7"/>
      <c r="L710" s="7"/>
      <c r="O710" s="30" t="str">
        <f t="shared" si="51"/>
        <v/>
      </c>
      <c r="P710" s="30" t="str">
        <f t="shared" si="52"/>
        <v/>
      </c>
      <c r="Q710" s="30" t="str">
        <f t="shared" si="53"/>
        <v/>
      </c>
      <c r="R710" s="30" t="str">
        <f t="shared" si="54"/>
        <v/>
      </c>
      <c r="S710" s="30" t="str">
        <f t="shared" si="55"/>
        <v/>
      </c>
    </row>
    <row r="711" spans="1:19">
      <c r="A711" s="7" t="s">
        <v>762</v>
      </c>
      <c r="B711" s="7"/>
      <c r="C711" s="7"/>
      <c r="D711" s="7"/>
      <c r="E711" s="7"/>
      <c r="F711" s="7"/>
      <c r="H711" s="7"/>
      <c r="I711" s="7"/>
      <c r="J711" s="7"/>
      <c r="K711" s="7"/>
      <c r="L711" s="7"/>
      <c r="O711" s="30" t="str">
        <f t="shared" si="51"/>
        <v/>
      </c>
      <c r="P711" s="30" t="str">
        <f t="shared" si="52"/>
        <v/>
      </c>
      <c r="Q711" s="30" t="str">
        <f t="shared" si="53"/>
        <v/>
      </c>
      <c r="R711" s="30" t="str">
        <f t="shared" si="54"/>
        <v/>
      </c>
      <c r="S711" s="30" t="str">
        <f t="shared" si="55"/>
        <v/>
      </c>
    </row>
    <row r="712" spans="1:19">
      <c r="A712" s="7" t="s">
        <v>763</v>
      </c>
      <c r="B712" s="7"/>
      <c r="C712" s="7"/>
      <c r="D712" s="7"/>
      <c r="E712" s="7"/>
      <c r="F712" s="7"/>
      <c r="H712" s="7"/>
      <c r="I712" s="7"/>
      <c r="J712" s="7"/>
      <c r="K712" s="7"/>
      <c r="L712" s="7"/>
      <c r="O712" s="30" t="str">
        <f t="shared" si="51"/>
        <v/>
      </c>
      <c r="P712" s="30" t="str">
        <f t="shared" si="52"/>
        <v/>
      </c>
      <c r="Q712" s="30" t="str">
        <f t="shared" si="53"/>
        <v/>
      </c>
      <c r="R712" s="30" t="str">
        <f t="shared" si="54"/>
        <v/>
      </c>
      <c r="S712" s="30" t="str">
        <f t="shared" si="55"/>
        <v/>
      </c>
    </row>
    <row r="713" spans="1:19">
      <c r="A713" s="7" t="s">
        <v>764</v>
      </c>
      <c r="B713" s="7"/>
      <c r="C713" s="7"/>
      <c r="D713" s="7"/>
      <c r="E713" s="7"/>
      <c r="F713" s="7"/>
      <c r="H713" s="7"/>
      <c r="I713" s="7"/>
      <c r="J713" s="7"/>
      <c r="K713" s="7"/>
      <c r="L713" s="7"/>
      <c r="O713" s="30" t="str">
        <f t="shared" ref="O713:O776" si="56">IF(H713&gt;0,"Angebot offen","")</f>
        <v/>
      </c>
      <c r="P713" s="30" t="str">
        <f t="shared" ref="P713:P776" si="57">IF(I713&gt;0,"Angebot offen","")</f>
        <v/>
      </c>
      <c r="Q713" s="30" t="str">
        <f t="shared" ref="Q713:Q776" si="58">IF(J713&gt;0,"Angebot offen","")</f>
        <v/>
      </c>
      <c r="R713" s="30" t="str">
        <f t="shared" ref="R713:R776" si="59">IF(K713&gt;0,"Angebot offen","")</f>
        <v/>
      </c>
      <c r="S713" s="30" t="str">
        <f t="shared" ref="S713:S776" si="60">IF(L713&gt;0,"Angebot offen","")</f>
        <v/>
      </c>
    </row>
    <row r="714" spans="1:19">
      <c r="A714" s="7" t="s">
        <v>765</v>
      </c>
      <c r="B714" s="7"/>
      <c r="C714" s="7"/>
      <c r="D714" s="7"/>
      <c r="E714" s="7"/>
      <c r="F714" s="7"/>
      <c r="H714" s="7"/>
      <c r="I714" s="7"/>
      <c r="J714" s="7"/>
      <c r="K714" s="7"/>
      <c r="L714" s="7"/>
      <c r="O714" s="30" t="str">
        <f t="shared" si="56"/>
        <v/>
      </c>
      <c r="P714" s="30" t="str">
        <f t="shared" si="57"/>
        <v/>
      </c>
      <c r="Q714" s="30" t="str">
        <f t="shared" si="58"/>
        <v/>
      </c>
      <c r="R714" s="30" t="str">
        <f t="shared" si="59"/>
        <v/>
      </c>
      <c r="S714" s="30" t="str">
        <f t="shared" si="60"/>
        <v/>
      </c>
    </row>
    <row r="715" spans="1:19">
      <c r="A715" s="7" t="s">
        <v>766</v>
      </c>
      <c r="B715" s="7"/>
      <c r="C715" s="7"/>
      <c r="D715" s="7"/>
      <c r="E715" s="7"/>
      <c r="F715" s="7"/>
      <c r="H715" s="7"/>
      <c r="I715" s="7"/>
      <c r="J715" s="7"/>
      <c r="K715" s="7"/>
      <c r="L715" s="7"/>
      <c r="O715" s="30" t="str">
        <f t="shared" si="56"/>
        <v/>
      </c>
      <c r="P715" s="30" t="str">
        <f t="shared" si="57"/>
        <v/>
      </c>
      <c r="Q715" s="30" t="str">
        <f t="shared" si="58"/>
        <v/>
      </c>
      <c r="R715" s="30" t="str">
        <f t="shared" si="59"/>
        <v/>
      </c>
      <c r="S715" s="30" t="str">
        <f t="shared" si="60"/>
        <v/>
      </c>
    </row>
    <row r="716" spans="1:19">
      <c r="A716" s="7" t="s">
        <v>767</v>
      </c>
      <c r="B716" s="7"/>
      <c r="C716" s="7"/>
      <c r="D716" s="7"/>
      <c r="E716" s="7"/>
      <c r="F716" s="7"/>
      <c r="H716" s="7"/>
      <c r="I716" s="7"/>
      <c r="J716" s="7"/>
      <c r="K716" s="7"/>
      <c r="L716" s="7"/>
      <c r="O716" s="30" t="str">
        <f t="shared" si="56"/>
        <v/>
      </c>
      <c r="P716" s="30" t="str">
        <f t="shared" si="57"/>
        <v/>
      </c>
      <c r="Q716" s="30" t="str">
        <f t="shared" si="58"/>
        <v/>
      </c>
      <c r="R716" s="30" t="str">
        <f t="shared" si="59"/>
        <v/>
      </c>
      <c r="S716" s="30" t="str">
        <f t="shared" si="60"/>
        <v/>
      </c>
    </row>
    <row r="717" spans="1:19">
      <c r="A717" s="7" t="s">
        <v>768</v>
      </c>
      <c r="B717" s="7"/>
      <c r="C717" s="7"/>
      <c r="D717" s="7"/>
      <c r="E717" s="7"/>
      <c r="F717" s="7"/>
      <c r="H717" s="7"/>
      <c r="I717" s="7"/>
      <c r="J717" s="7"/>
      <c r="K717" s="7"/>
      <c r="L717" s="7"/>
      <c r="O717" s="30" t="str">
        <f t="shared" si="56"/>
        <v/>
      </c>
      <c r="P717" s="30" t="str">
        <f t="shared" si="57"/>
        <v/>
      </c>
      <c r="Q717" s="30" t="str">
        <f t="shared" si="58"/>
        <v/>
      </c>
      <c r="R717" s="30" t="str">
        <f t="shared" si="59"/>
        <v/>
      </c>
      <c r="S717" s="30" t="str">
        <f t="shared" si="60"/>
        <v/>
      </c>
    </row>
    <row r="718" spans="1:19">
      <c r="A718" s="7" t="s">
        <v>769</v>
      </c>
      <c r="B718" s="7"/>
      <c r="C718" s="7"/>
      <c r="D718" s="7"/>
      <c r="E718" s="7"/>
      <c r="F718" s="7"/>
      <c r="H718" s="7"/>
      <c r="I718" s="7"/>
      <c r="J718" s="7"/>
      <c r="K718" s="7"/>
      <c r="L718" s="7"/>
      <c r="O718" s="30" t="str">
        <f t="shared" si="56"/>
        <v/>
      </c>
      <c r="P718" s="30" t="str">
        <f t="shared" si="57"/>
        <v/>
      </c>
      <c r="Q718" s="30" t="str">
        <f t="shared" si="58"/>
        <v/>
      </c>
      <c r="R718" s="30" t="str">
        <f t="shared" si="59"/>
        <v/>
      </c>
      <c r="S718" s="30" t="str">
        <f t="shared" si="60"/>
        <v/>
      </c>
    </row>
    <row r="719" spans="1:19">
      <c r="A719" s="7" t="s">
        <v>770</v>
      </c>
      <c r="B719" s="7"/>
      <c r="C719" s="7"/>
      <c r="D719" s="7"/>
      <c r="E719" s="7"/>
      <c r="F719" s="7"/>
      <c r="H719" s="7"/>
      <c r="I719" s="7"/>
      <c r="J719" s="7"/>
      <c r="K719" s="7"/>
      <c r="L719" s="7"/>
      <c r="O719" s="30" t="str">
        <f t="shared" si="56"/>
        <v/>
      </c>
      <c r="P719" s="30" t="str">
        <f t="shared" si="57"/>
        <v/>
      </c>
      <c r="Q719" s="30" t="str">
        <f t="shared" si="58"/>
        <v/>
      </c>
      <c r="R719" s="30" t="str">
        <f t="shared" si="59"/>
        <v/>
      </c>
      <c r="S719" s="30" t="str">
        <f t="shared" si="60"/>
        <v/>
      </c>
    </row>
    <row r="720" spans="1:19">
      <c r="A720" s="7" t="s">
        <v>771</v>
      </c>
      <c r="B720" s="7"/>
      <c r="C720" s="7"/>
      <c r="D720" s="7"/>
      <c r="E720" s="7"/>
      <c r="F720" s="7"/>
      <c r="H720" s="7"/>
      <c r="I720" s="7"/>
      <c r="J720" s="7"/>
      <c r="K720" s="7"/>
      <c r="L720" s="7"/>
      <c r="O720" s="30" t="str">
        <f t="shared" si="56"/>
        <v/>
      </c>
      <c r="P720" s="30" t="str">
        <f t="shared" si="57"/>
        <v/>
      </c>
      <c r="Q720" s="30" t="str">
        <f t="shared" si="58"/>
        <v/>
      </c>
      <c r="R720" s="30" t="str">
        <f t="shared" si="59"/>
        <v/>
      </c>
      <c r="S720" s="30" t="str">
        <f t="shared" si="60"/>
        <v/>
      </c>
    </row>
    <row r="721" spans="1:19">
      <c r="A721" s="7" t="s">
        <v>772</v>
      </c>
      <c r="B721" s="7"/>
      <c r="C721" s="7"/>
      <c r="D721" s="7"/>
      <c r="E721" s="7"/>
      <c r="F721" s="7"/>
      <c r="H721" s="7"/>
      <c r="I721" s="7"/>
      <c r="J721" s="7"/>
      <c r="K721" s="7"/>
      <c r="L721" s="7"/>
      <c r="O721" s="30" t="str">
        <f t="shared" si="56"/>
        <v/>
      </c>
      <c r="P721" s="30" t="str">
        <f t="shared" si="57"/>
        <v/>
      </c>
      <c r="Q721" s="30" t="str">
        <f t="shared" si="58"/>
        <v/>
      </c>
      <c r="R721" s="30" t="str">
        <f t="shared" si="59"/>
        <v/>
      </c>
      <c r="S721" s="30" t="str">
        <f t="shared" si="60"/>
        <v/>
      </c>
    </row>
    <row r="722" spans="1:19">
      <c r="A722" s="7" t="s">
        <v>773</v>
      </c>
      <c r="B722" s="7"/>
      <c r="C722" s="7"/>
      <c r="D722" s="7"/>
      <c r="E722" s="7"/>
      <c r="F722" s="7"/>
      <c r="H722" s="7"/>
      <c r="I722" s="7"/>
      <c r="J722" s="7"/>
      <c r="K722" s="7"/>
      <c r="L722" s="7"/>
      <c r="O722" s="30" t="str">
        <f t="shared" si="56"/>
        <v/>
      </c>
      <c r="P722" s="30" t="str">
        <f t="shared" si="57"/>
        <v/>
      </c>
      <c r="Q722" s="30" t="str">
        <f t="shared" si="58"/>
        <v/>
      </c>
      <c r="R722" s="30" t="str">
        <f t="shared" si="59"/>
        <v/>
      </c>
      <c r="S722" s="30" t="str">
        <f t="shared" si="60"/>
        <v/>
      </c>
    </row>
    <row r="723" spans="1:19">
      <c r="A723" s="7" t="s">
        <v>774</v>
      </c>
      <c r="B723" s="7"/>
      <c r="C723" s="7"/>
      <c r="D723" s="7"/>
      <c r="E723" s="7"/>
      <c r="F723" s="7"/>
      <c r="H723" s="7"/>
      <c r="I723" s="7"/>
      <c r="J723" s="7"/>
      <c r="K723" s="7"/>
      <c r="L723" s="7"/>
      <c r="O723" s="30" t="str">
        <f t="shared" si="56"/>
        <v/>
      </c>
      <c r="P723" s="30" t="str">
        <f t="shared" si="57"/>
        <v/>
      </c>
      <c r="Q723" s="30" t="str">
        <f t="shared" si="58"/>
        <v/>
      </c>
      <c r="R723" s="30" t="str">
        <f t="shared" si="59"/>
        <v/>
      </c>
      <c r="S723" s="30" t="str">
        <f t="shared" si="60"/>
        <v/>
      </c>
    </row>
    <row r="724" spans="1:19">
      <c r="A724" s="7" t="s">
        <v>775</v>
      </c>
      <c r="B724" s="7"/>
      <c r="C724" s="7"/>
      <c r="D724" s="7"/>
      <c r="E724" s="7"/>
      <c r="F724" s="7"/>
      <c r="H724" s="7"/>
      <c r="I724" s="7"/>
      <c r="J724" s="7"/>
      <c r="K724" s="7"/>
      <c r="L724" s="7"/>
      <c r="O724" s="30" t="str">
        <f t="shared" si="56"/>
        <v/>
      </c>
      <c r="P724" s="30" t="str">
        <f t="shared" si="57"/>
        <v/>
      </c>
      <c r="Q724" s="30" t="str">
        <f t="shared" si="58"/>
        <v/>
      </c>
      <c r="R724" s="30" t="str">
        <f t="shared" si="59"/>
        <v/>
      </c>
      <c r="S724" s="30" t="str">
        <f t="shared" si="60"/>
        <v/>
      </c>
    </row>
    <row r="725" spans="1:19">
      <c r="A725" s="7" t="s">
        <v>776</v>
      </c>
      <c r="B725" s="7"/>
      <c r="C725" s="7"/>
      <c r="D725" s="7"/>
      <c r="E725" s="7"/>
      <c r="F725" s="7"/>
      <c r="H725" s="7"/>
      <c r="I725" s="7"/>
      <c r="J725" s="7"/>
      <c r="K725" s="7"/>
      <c r="L725" s="7"/>
      <c r="O725" s="30" t="str">
        <f t="shared" si="56"/>
        <v/>
      </c>
      <c r="P725" s="30" t="str">
        <f t="shared" si="57"/>
        <v/>
      </c>
      <c r="Q725" s="30" t="str">
        <f t="shared" si="58"/>
        <v/>
      </c>
      <c r="R725" s="30" t="str">
        <f t="shared" si="59"/>
        <v/>
      </c>
      <c r="S725" s="30" t="str">
        <f t="shared" si="60"/>
        <v/>
      </c>
    </row>
    <row r="726" spans="1:19">
      <c r="A726" s="7" t="s">
        <v>777</v>
      </c>
      <c r="B726" s="7"/>
      <c r="C726" s="7"/>
      <c r="D726" s="7"/>
      <c r="E726" s="7"/>
      <c r="F726" s="7"/>
      <c r="H726" s="7"/>
      <c r="I726" s="7"/>
      <c r="J726" s="7"/>
      <c r="K726" s="7"/>
      <c r="L726" s="7"/>
      <c r="O726" s="30" t="str">
        <f t="shared" si="56"/>
        <v/>
      </c>
      <c r="P726" s="30" t="str">
        <f t="shared" si="57"/>
        <v/>
      </c>
      <c r="Q726" s="30" t="str">
        <f t="shared" si="58"/>
        <v/>
      </c>
      <c r="R726" s="30" t="str">
        <f t="shared" si="59"/>
        <v/>
      </c>
      <c r="S726" s="30" t="str">
        <f t="shared" si="60"/>
        <v/>
      </c>
    </row>
    <row r="727" spans="1:19">
      <c r="A727" s="7" t="s">
        <v>778</v>
      </c>
      <c r="B727" s="7"/>
      <c r="C727" s="7"/>
      <c r="D727" s="7"/>
      <c r="E727" s="7"/>
      <c r="F727" s="7"/>
      <c r="H727" s="7"/>
      <c r="I727" s="7"/>
      <c r="J727" s="7"/>
      <c r="K727" s="7"/>
      <c r="L727" s="7"/>
      <c r="O727" s="30" t="str">
        <f t="shared" si="56"/>
        <v/>
      </c>
      <c r="P727" s="30" t="str">
        <f t="shared" si="57"/>
        <v/>
      </c>
      <c r="Q727" s="30" t="str">
        <f t="shared" si="58"/>
        <v/>
      </c>
      <c r="R727" s="30" t="str">
        <f t="shared" si="59"/>
        <v/>
      </c>
      <c r="S727" s="30" t="str">
        <f t="shared" si="60"/>
        <v/>
      </c>
    </row>
    <row r="728" spans="1:19">
      <c r="A728" s="7" t="s">
        <v>779</v>
      </c>
      <c r="B728" s="7"/>
      <c r="C728" s="7"/>
      <c r="D728" s="7"/>
      <c r="E728" s="7"/>
      <c r="F728" s="7"/>
      <c r="H728" s="7"/>
      <c r="I728" s="7"/>
      <c r="J728" s="7"/>
      <c r="K728" s="7"/>
      <c r="L728" s="7"/>
      <c r="O728" s="30" t="str">
        <f t="shared" si="56"/>
        <v/>
      </c>
      <c r="P728" s="30" t="str">
        <f t="shared" si="57"/>
        <v/>
      </c>
      <c r="Q728" s="30" t="str">
        <f t="shared" si="58"/>
        <v/>
      </c>
      <c r="R728" s="30" t="str">
        <f t="shared" si="59"/>
        <v/>
      </c>
      <c r="S728" s="30" t="str">
        <f t="shared" si="60"/>
        <v/>
      </c>
    </row>
    <row r="729" spans="1:19">
      <c r="A729" s="7" t="s">
        <v>780</v>
      </c>
      <c r="B729" s="7"/>
      <c r="C729" s="7"/>
      <c r="D729" s="7"/>
      <c r="E729" s="7"/>
      <c r="F729" s="7"/>
      <c r="H729" s="7"/>
      <c r="I729" s="7"/>
      <c r="J729" s="7"/>
      <c r="K729" s="7"/>
      <c r="L729" s="7"/>
      <c r="O729" s="30" t="str">
        <f t="shared" si="56"/>
        <v/>
      </c>
      <c r="P729" s="30" t="str">
        <f t="shared" si="57"/>
        <v/>
      </c>
      <c r="Q729" s="30" t="str">
        <f t="shared" si="58"/>
        <v/>
      </c>
      <c r="R729" s="30" t="str">
        <f t="shared" si="59"/>
        <v/>
      </c>
      <c r="S729" s="30" t="str">
        <f t="shared" si="60"/>
        <v/>
      </c>
    </row>
    <row r="730" spans="1:19">
      <c r="A730" s="7" t="s">
        <v>781</v>
      </c>
      <c r="B730" s="7"/>
      <c r="C730" s="7"/>
      <c r="D730" s="7"/>
      <c r="E730" s="7"/>
      <c r="F730" s="7"/>
      <c r="H730" s="7"/>
      <c r="I730" s="7"/>
      <c r="J730" s="7"/>
      <c r="K730" s="7"/>
      <c r="L730" s="7"/>
      <c r="O730" s="30" t="str">
        <f t="shared" si="56"/>
        <v/>
      </c>
      <c r="P730" s="30" t="str">
        <f t="shared" si="57"/>
        <v/>
      </c>
      <c r="Q730" s="30" t="str">
        <f t="shared" si="58"/>
        <v/>
      </c>
      <c r="R730" s="30" t="str">
        <f t="shared" si="59"/>
        <v/>
      </c>
      <c r="S730" s="30" t="str">
        <f t="shared" si="60"/>
        <v/>
      </c>
    </row>
    <row r="731" spans="1:19">
      <c r="A731" s="7" t="s">
        <v>782</v>
      </c>
      <c r="B731" s="7"/>
      <c r="C731" s="7"/>
      <c r="D731" s="7"/>
      <c r="E731" s="7"/>
      <c r="F731" s="7"/>
      <c r="H731" s="7"/>
      <c r="I731" s="7"/>
      <c r="J731" s="7"/>
      <c r="K731" s="7"/>
      <c r="L731" s="7"/>
      <c r="O731" s="30" t="str">
        <f t="shared" si="56"/>
        <v/>
      </c>
      <c r="P731" s="30" t="str">
        <f t="shared" si="57"/>
        <v/>
      </c>
      <c r="Q731" s="30" t="str">
        <f t="shared" si="58"/>
        <v/>
      </c>
      <c r="R731" s="30" t="str">
        <f t="shared" si="59"/>
        <v/>
      </c>
      <c r="S731" s="30" t="str">
        <f t="shared" si="60"/>
        <v/>
      </c>
    </row>
    <row r="732" spans="1:19">
      <c r="A732" s="7" t="s">
        <v>783</v>
      </c>
      <c r="B732" s="7"/>
      <c r="C732" s="7"/>
      <c r="D732" s="7"/>
      <c r="E732" s="7"/>
      <c r="F732" s="7"/>
      <c r="H732" s="7"/>
      <c r="I732" s="7"/>
      <c r="J732" s="7"/>
      <c r="K732" s="7"/>
      <c r="L732" s="7"/>
      <c r="O732" s="30" t="str">
        <f t="shared" si="56"/>
        <v/>
      </c>
      <c r="P732" s="30" t="str">
        <f t="shared" si="57"/>
        <v/>
      </c>
      <c r="Q732" s="30" t="str">
        <f t="shared" si="58"/>
        <v/>
      </c>
      <c r="R732" s="30" t="str">
        <f t="shared" si="59"/>
        <v/>
      </c>
      <c r="S732" s="30" t="str">
        <f t="shared" si="60"/>
        <v/>
      </c>
    </row>
    <row r="733" spans="1:19">
      <c r="A733" s="7" t="s">
        <v>784</v>
      </c>
      <c r="B733" s="7"/>
      <c r="C733" s="7"/>
      <c r="D733" s="7"/>
      <c r="E733" s="7"/>
      <c r="F733" s="7"/>
      <c r="H733" s="7"/>
      <c r="I733" s="7"/>
      <c r="J733" s="7"/>
      <c r="K733" s="7"/>
      <c r="L733" s="7"/>
      <c r="O733" s="30" t="str">
        <f t="shared" si="56"/>
        <v/>
      </c>
      <c r="P733" s="30" t="str">
        <f t="shared" si="57"/>
        <v/>
      </c>
      <c r="Q733" s="30" t="str">
        <f t="shared" si="58"/>
        <v/>
      </c>
      <c r="R733" s="30" t="str">
        <f t="shared" si="59"/>
        <v/>
      </c>
      <c r="S733" s="30" t="str">
        <f t="shared" si="60"/>
        <v/>
      </c>
    </row>
    <row r="734" spans="1:19">
      <c r="A734" s="7" t="s">
        <v>785</v>
      </c>
      <c r="B734" s="7"/>
      <c r="C734" s="7"/>
      <c r="D734" s="7"/>
      <c r="E734" s="7"/>
      <c r="F734" s="7"/>
      <c r="H734" s="7"/>
      <c r="I734" s="7"/>
      <c r="J734" s="7"/>
      <c r="K734" s="7"/>
      <c r="L734" s="7"/>
      <c r="O734" s="30" t="str">
        <f t="shared" si="56"/>
        <v/>
      </c>
      <c r="P734" s="30" t="str">
        <f t="shared" si="57"/>
        <v/>
      </c>
      <c r="Q734" s="30" t="str">
        <f t="shared" si="58"/>
        <v/>
      </c>
      <c r="R734" s="30" t="str">
        <f t="shared" si="59"/>
        <v/>
      </c>
      <c r="S734" s="30" t="str">
        <f t="shared" si="60"/>
        <v/>
      </c>
    </row>
    <row r="735" spans="1:19">
      <c r="A735" s="7" t="s">
        <v>786</v>
      </c>
      <c r="B735" s="7"/>
      <c r="C735" s="7"/>
      <c r="D735" s="7"/>
      <c r="E735" s="7"/>
      <c r="F735" s="7"/>
      <c r="H735" s="7"/>
      <c r="I735" s="7"/>
      <c r="J735" s="7"/>
      <c r="K735" s="7"/>
      <c r="L735" s="7"/>
      <c r="O735" s="30" t="str">
        <f t="shared" si="56"/>
        <v/>
      </c>
      <c r="P735" s="30" t="str">
        <f t="shared" si="57"/>
        <v/>
      </c>
      <c r="Q735" s="30" t="str">
        <f t="shared" si="58"/>
        <v/>
      </c>
      <c r="R735" s="30" t="str">
        <f t="shared" si="59"/>
        <v/>
      </c>
      <c r="S735" s="30" t="str">
        <f t="shared" si="60"/>
        <v/>
      </c>
    </row>
    <row r="736" spans="1:19">
      <c r="A736" s="7" t="s">
        <v>787</v>
      </c>
      <c r="B736" s="7"/>
      <c r="C736" s="7"/>
      <c r="D736" s="7"/>
      <c r="E736" s="7"/>
      <c r="F736" s="7"/>
      <c r="H736" s="7"/>
      <c r="I736" s="7"/>
      <c r="J736" s="7"/>
      <c r="K736" s="7"/>
      <c r="L736" s="7"/>
      <c r="O736" s="30" t="str">
        <f t="shared" si="56"/>
        <v/>
      </c>
      <c r="P736" s="30" t="str">
        <f t="shared" si="57"/>
        <v/>
      </c>
      <c r="Q736" s="30" t="str">
        <f t="shared" si="58"/>
        <v/>
      </c>
      <c r="R736" s="30" t="str">
        <f t="shared" si="59"/>
        <v/>
      </c>
      <c r="S736" s="30" t="str">
        <f t="shared" si="60"/>
        <v/>
      </c>
    </row>
    <row r="737" spans="1:19">
      <c r="A737" s="7" t="s">
        <v>788</v>
      </c>
      <c r="B737" s="7"/>
      <c r="C737" s="7"/>
      <c r="D737" s="7"/>
      <c r="E737" s="7"/>
      <c r="F737" s="7"/>
      <c r="H737" s="7"/>
      <c r="I737" s="7"/>
      <c r="J737" s="7"/>
      <c r="K737" s="7"/>
      <c r="L737" s="7"/>
      <c r="O737" s="30" t="str">
        <f t="shared" si="56"/>
        <v/>
      </c>
      <c r="P737" s="30" t="str">
        <f t="shared" si="57"/>
        <v/>
      </c>
      <c r="Q737" s="30" t="str">
        <f t="shared" si="58"/>
        <v/>
      </c>
      <c r="R737" s="30" t="str">
        <f t="shared" si="59"/>
        <v/>
      </c>
      <c r="S737" s="30" t="str">
        <f t="shared" si="60"/>
        <v/>
      </c>
    </row>
    <row r="738" spans="1:19">
      <c r="A738" s="7" t="s">
        <v>789</v>
      </c>
      <c r="B738" s="7"/>
      <c r="C738" s="7"/>
      <c r="D738" s="7"/>
      <c r="E738" s="7"/>
      <c r="F738" s="7"/>
      <c r="H738" s="7"/>
      <c r="I738" s="7"/>
      <c r="J738" s="7"/>
      <c r="K738" s="7"/>
      <c r="L738" s="7"/>
      <c r="O738" s="30" t="str">
        <f t="shared" si="56"/>
        <v/>
      </c>
      <c r="P738" s="30" t="str">
        <f t="shared" si="57"/>
        <v/>
      </c>
      <c r="Q738" s="30" t="str">
        <f t="shared" si="58"/>
        <v/>
      </c>
      <c r="R738" s="30" t="str">
        <f t="shared" si="59"/>
        <v/>
      </c>
      <c r="S738" s="30" t="str">
        <f t="shared" si="60"/>
        <v/>
      </c>
    </row>
    <row r="739" spans="1:19">
      <c r="A739" s="7" t="s">
        <v>790</v>
      </c>
      <c r="B739" s="7"/>
      <c r="C739" s="7"/>
      <c r="D739" s="7"/>
      <c r="E739" s="7"/>
      <c r="F739" s="7"/>
      <c r="H739" s="7"/>
      <c r="I739" s="7"/>
      <c r="J739" s="7"/>
      <c r="K739" s="7"/>
      <c r="L739" s="7"/>
      <c r="O739" s="30" t="str">
        <f t="shared" si="56"/>
        <v/>
      </c>
      <c r="P739" s="30" t="str">
        <f t="shared" si="57"/>
        <v/>
      </c>
      <c r="Q739" s="30" t="str">
        <f t="shared" si="58"/>
        <v/>
      </c>
      <c r="R739" s="30" t="str">
        <f t="shared" si="59"/>
        <v/>
      </c>
      <c r="S739" s="30" t="str">
        <f t="shared" si="60"/>
        <v/>
      </c>
    </row>
    <row r="740" spans="1:19">
      <c r="A740" s="7" t="s">
        <v>791</v>
      </c>
      <c r="B740" s="7"/>
      <c r="C740" s="7"/>
      <c r="D740" s="7"/>
      <c r="E740" s="7"/>
      <c r="F740" s="7"/>
      <c r="H740" s="7"/>
      <c r="I740" s="7"/>
      <c r="J740" s="7"/>
      <c r="K740" s="7"/>
      <c r="L740" s="7"/>
      <c r="O740" s="30" t="str">
        <f t="shared" si="56"/>
        <v/>
      </c>
      <c r="P740" s="30" t="str">
        <f t="shared" si="57"/>
        <v/>
      </c>
      <c r="Q740" s="30" t="str">
        <f t="shared" si="58"/>
        <v/>
      </c>
      <c r="R740" s="30" t="str">
        <f t="shared" si="59"/>
        <v/>
      </c>
      <c r="S740" s="30" t="str">
        <f t="shared" si="60"/>
        <v/>
      </c>
    </row>
    <row r="741" spans="1:19">
      <c r="A741" s="7" t="s">
        <v>792</v>
      </c>
      <c r="B741" s="7"/>
      <c r="C741" s="7"/>
      <c r="D741" s="7"/>
      <c r="E741" s="7"/>
      <c r="F741" s="7"/>
      <c r="H741" s="7"/>
      <c r="I741" s="7"/>
      <c r="J741" s="7"/>
      <c r="K741" s="7"/>
      <c r="L741" s="7"/>
      <c r="O741" s="30" t="str">
        <f t="shared" si="56"/>
        <v/>
      </c>
      <c r="P741" s="30" t="str">
        <f t="shared" si="57"/>
        <v/>
      </c>
      <c r="Q741" s="30" t="str">
        <f t="shared" si="58"/>
        <v/>
      </c>
      <c r="R741" s="30" t="str">
        <f t="shared" si="59"/>
        <v/>
      </c>
      <c r="S741" s="30" t="str">
        <f t="shared" si="60"/>
        <v/>
      </c>
    </row>
    <row r="742" spans="1:19">
      <c r="A742" s="7" t="s">
        <v>793</v>
      </c>
      <c r="B742" s="7"/>
      <c r="C742" s="7"/>
      <c r="D742" s="7"/>
      <c r="E742" s="7"/>
      <c r="F742" s="7"/>
      <c r="H742" s="7"/>
      <c r="I742" s="7"/>
      <c r="J742" s="7"/>
      <c r="K742" s="7"/>
      <c r="L742" s="7"/>
      <c r="O742" s="30" t="str">
        <f t="shared" si="56"/>
        <v/>
      </c>
      <c r="P742" s="30" t="str">
        <f t="shared" si="57"/>
        <v/>
      </c>
      <c r="Q742" s="30" t="str">
        <f t="shared" si="58"/>
        <v/>
      </c>
      <c r="R742" s="30" t="str">
        <f t="shared" si="59"/>
        <v/>
      </c>
      <c r="S742" s="30" t="str">
        <f t="shared" si="60"/>
        <v/>
      </c>
    </row>
    <row r="743" spans="1:19">
      <c r="A743" s="7" t="s">
        <v>794</v>
      </c>
      <c r="B743" s="7"/>
      <c r="C743" s="7"/>
      <c r="D743" s="7"/>
      <c r="E743" s="7"/>
      <c r="F743" s="7"/>
      <c r="H743" s="7"/>
      <c r="I743" s="7"/>
      <c r="J743" s="7"/>
      <c r="K743" s="7"/>
      <c r="L743" s="7"/>
      <c r="O743" s="30" t="str">
        <f t="shared" si="56"/>
        <v/>
      </c>
      <c r="P743" s="30" t="str">
        <f t="shared" si="57"/>
        <v/>
      </c>
      <c r="Q743" s="30" t="str">
        <f t="shared" si="58"/>
        <v/>
      </c>
      <c r="R743" s="30" t="str">
        <f t="shared" si="59"/>
        <v/>
      </c>
      <c r="S743" s="30" t="str">
        <f t="shared" si="60"/>
        <v/>
      </c>
    </row>
    <row r="744" spans="1:19">
      <c r="A744" s="7" t="s">
        <v>795</v>
      </c>
      <c r="B744" s="7"/>
      <c r="C744" s="7"/>
      <c r="D744" s="7"/>
      <c r="E744" s="7"/>
      <c r="F744" s="7"/>
      <c r="H744" s="7"/>
      <c r="I744" s="7"/>
      <c r="J744" s="7"/>
      <c r="K744" s="7"/>
      <c r="L744" s="7"/>
      <c r="O744" s="30" t="str">
        <f t="shared" si="56"/>
        <v/>
      </c>
      <c r="P744" s="30" t="str">
        <f t="shared" si="57"/>
        <v/>
      </c>
      <c r="Q744" s="30" t="str">
        <f t="shared" si="58"/>
        <v/>
      </c>
      <c r="R744" s="30" t="str">
        <f t="shared" si="59"/>
        <v/>
      </c>
      <c r="S744" s="30" t="str">
        <f t="shared" si="60"/>
        <v/>
      </c>
    </row>
    <row r="745" spans="1:19">
      <c r="A745" s="7" t="s">
        <v>796</v>
      </c>
      <c r="B745" s="7"/>
      <c r="C745" s="7"/>
      <c r="D745" s="7"/>
      <c r="E745" s="7"/>
      <c r="F745" s="7"/>
      <c r="H745" s="7"/>
      <c r="I745" s="7"/>
      <c r="J745" s="7"/>
      <c r="K745" s="7"/>
      <c r="L745" s="7"/>
      <c r="O745" s="30" t="str">
        <f t="shared" si="56"/>
        <v/>
      </c>
      <c r="P745" s="30" t="str">
        <f t="shared" si="57"/>
        <v/>
      </c>
      <c r="Q745" s="30" t="str">
        <f t="shared" si="58"/>
        <v/>
      </c>
      <c r="R745" s="30" t="str">
        <f t="shared" si="59"/>
        <v/>
      </c>
      <c r="S745" s="30" t="str">
        <f t="shared" si="60"/>
        <v/>
      </c>
    </row>
    <row r="746" spans="1:19">
      <c r="A746" s="7" t="s">
        <v>797</v>
      </c>
      <c r="B746" s="7"/>
      <c r="C746" s="7"/>
      <c r="D746" s="7"/>
      <c r="E746" s="7"/>
      <c r="F746" s="7"/>
      <c r="H746" s="7"/>
      <c r="I746" s="7"/>
      <c r="J746" s="7"/>
      <c r="K746" s="7"/>
      <c r="L746" s="7"/>
      <c r="O746" s="30" t="str">
        <f t="shared" si="56"/>
        <v/>
      </c>
      <c r="P746" s="30" t="str">
        <f t="shared" si="57"/>
        <v/>
      </c>
      <c r="Q746" s="30" t="str">
        <f t="shared" si="58"/>
        <v/>
      </c>
      <c r="R746" s="30" t="str">
        <f t="shared" si="59"/>
        <v/>
      </c>
      <c r="S746" s="30" t="str">
        <f t="shared" si="60"/>
        <v/>
      </c>
    </row>
    <row r="747" spans="1:19">
      <c r="A747" s="7" t="s">
        <v>798</v>
      </c>
      <c r="B747" s="7"/>
      <c r="C747" s="7"/>
      <c r="D747" s="7"/>
      <c r="E747" s="7"/>
      <c r="F747" s="7"/>
      <c r="H747" s="7"/>
      <c r="I747" s="7"/>
      <c r="J747" s="7"/>
      <c r="K747" s="7"/>
      <c r="L747" s="7"/>
      <c r="O747" s="30" t="str">
        <f t="shared" si="56"/>
        <v/>
      </c>
      <c r="P747" s="30" t="str">
        <f t="shared" si="57"/>
        <v/>
      </c>
      <c r="Q747" s="30" t="str">
        <f t="shared" si="58"/>
        <v/>
      </c>
      <c r="R747" s="30" t="str">
        <f t="shared" si="59"/>
        <v/>
      </c>
      <c r="S747" s="30" t="str">
        <f t="shared" si="60"/>
        <v/>
      </c>
    </row>
    <row r="748" spans="1:19">
      <c r="A748" s="7" t="s">
        <v>799</v>
      </c>
      <c r="B748" s="7"/>
      <c r="C748" s="7"/>
      <c r="D748" s="7"/>
      <c r="E748" s="7"/>
      <c r="F748" s="7"/>
      <c r="H748" s="7"/>
      <c r="I748" s="7"/>
      <c r="J748" s="7"/>
      <c r="K748" s="7"/>
      <c r="L748" s="7"/>
      <c r="O748" s="30" t="str">
        <f t="shared" si="56"/>
        <v/>
      </c>
      <c r="P748" s="30" t="str">
        <f t="shared" si="57"/>
        <v/>
      </c>
      <c r="Q748" s="30" t="str">
        <f t="shared" si="58"/>
        <v/>
      </c>
      <c r="R748" s="30" t="str">
        <f t="shared" si="59"/>
        <v/>
      </c>
      <c r="S748" s="30" t="str">
        <f t="shared" si="60"/>
        <v/>
      </c>
    </row>
    <row r="749" spans="1:19">
      <c r="A749" s="7" t="s">
        <v>800</v>
      </c>
      <c r="B749" s="7"/>
      <c r="C749" s="7"/>
      <c r="D749" s="7"/>
      <c r="E749" s="7"/>
      <c r="F749" s="7"/>
      <c r="H749" s="7"/>
      <c r="I749" s="7"/>
      <c r="J749" s="7"/>
      <c r="K749" s="7"/>
      <c r="L749" s="7"/>
      <c r="O749" s="30" t="str">
        <f t="shared" si="56"/>
        <v/>
      </c>
      <c r="P749" s="30" t="str">
        <f t="shared" si="57"/>
        <v/>
      </c>
      <c r="Q749" s="30" t="str">
        <f t="shared" si="58"/>
        <v/>
      </c>
      <c r="R749" s="30" t="str">
        <f t="shared" si="59"/>
        <v/>
      </c>
      <c r="S749" s="30" t="str">
        <f t="shared" si="60"/>
        <v/>
      </c>
    </row>
    <row r="750" spans="1:19">
      <c r="A750" s="7" t="s">
        <v>801</v>
      </c>
      <c r="B750" s="7"/>
      <c r="C750" s="7"/>
      <c r="D750" s="7"/>
      <c r="E750" s="7"/>
      <c r="F750" s="7"/>
      <c r="H750" s="7"/>
      <c r="I750" s="7"/>
      <c r="J750" s="7"/>
      <c r="K750" s="7"/>
      <c r="L750" s="7"/>
      <c r="O750" s="30" t="str">
        <f t="shared" si="56"/>
        <v/>
      </c>
      <c r="P750" s="30" t="str">
        <f t="shared" si="57"/>
        <v/>
      </c>
      <c r="Q750" s="30" t="str">
        <f t="shared" si="58"/>
        <v/>
      </c>
      <c r="R750" s="30" t="str">
        <f t="shared" si="59"/>
        <v/>
      </c>
      <c r="S750" s="30" t="str">
        <f t="shared" si="60"/>
        <v/>
      </c>
    </row>
    <row r="751" spans="1:19">
      <c r="A751" s="7" t="s">
        <v>802</v>
      </c>
      <c r="B751" s="7"/>
      <c r="C751" s="7"/>
      <c r="D751" s="7"/>
      <c r="E751" s="7"/>
      <c r="F751" s="7"/>
      <c r="H751" s="7"/>
      <c r="I751" s="7"/>
      <c r="J751" s="7"/>
      <c r="K751" s="7"/>
      <c r="L751" s="7"/>
      <c r="O751" s="30" t="str">
        <f t="shared" si="56"/>
        <v/>
      </c>
      <c r="P751" s="30" t="str">
        <f t="shared" si="57"/>
        <v/>
      </c>
      <c r="Q751" s="30" t="str">
        <f t="shared" si="58"/>
        <v/>
      </c>
      <c r="R751" s="30" t="str">
        <f t="shared" si="59"/>
        <v/>
      </c>
      <c r="S751" s="30" t="str">
        <f t="shared" si="60"/>
        <v/>
      </c>
    </row>
    <row r="752" spans="1:19">
      <c r="A752" s="7" t="s">
        <v>803</v>
      </c>
      <c r="B752" s="7"/>
      <c r="C752" s="7"/>
      <c r="D752" s="7"/>
      <c r="E752" s="7"/>
      <c r="F752" s="7"/>
      <c r="H752" s="7"/>
      <c r="I752" s="7"/>
      <c r="J752" s="7"/>
      <c r="K752" s="7"/>
      <c r="L752" s="7"/>
      <c r="O752" s="30" t="str">
        <f t="shared" si="56"/>
        <v/>
      </c>
      <c r="P752" s="30" t="str">
        <f t="shared" si="57"/>
        <v/>
      </c>
      <c r="Q752" s="30" t="str">
        <f t="shared" si="58"/>
        <v/>
      </c>
      <c r="R752" s="30" t="str">
        <f t="shared" si="59"/>
        <v/>
      </c>
      <c r="S752" s="30" t="str">
        <f t="shared" si="60"/>
        <v/>
      </c>
    </row>
    <row r="753" spans="1:19">
      <c r="A753" s="7" t="s">
        <v>804</v>
      </c>
      <c r="B753" s="7"/>
      <c r="C753" s="7"/>
      <c r="D753" s="7"/>
      <c r="E753" s="7"/>
      <c r="F753" s="7"/>
      <c r="H753" s="7"/>
      <c r="I753" s="7"/>
      <c r="J753" s="7"/>
      <c r="K753" s="7"/>
      <c r="L753" s="7"/>
      <c r="O753" s="30" t="str">
        <f t="shared" si="56"/>
        <v/>
      </c>
      <c r="P753" s="30" t="str">
        <f t="shared" si="57"/>
        <v/>
      </c>
      <c r="Q753" s="30" t="str">
        <f t="shared" si="58"/>
        <v/>
      </c>
      <c r="R753" s="30" t="str">
        <f t="shared" si="59"/>
        <v/>
      </c>
      <c r="S753" s="30" t="str">
        <f t="shared" si="60"/>
        <v/>
      </c>
    </row>
    <row r="754" spans="1:19">
      <c r="A754" s="7" t="s">
        <v>805</v>
      </c>
      <c r="B754" s="7"/>
      <c r="C754" s="7"/>
      <c r="D754" s="7"/>
      <c r="E754" s="7"/>
      <c r="F754" s="7"/>
      <c r="H754" s="7"/>
      <c r="I754" s="7"/>
      <c r="J754" s="7"/>
      <c r="K754" s="7"/>
      <c r="L754" s="7"/>
      <c r="O754" s="30" t="str">
        <f t="shared" si="56"/>
        <v/>
      </c>
      <c r="P754" s="30" t="str">
        <f t="shared" si="57"/>
        <v/>
      </c>
      <c r="Q754" s="30" t="str">
        <f t="shared" si="58"/>
        <v/>
      </c>
      <c r="R754" s="30" t="str">
        <f t="shared" si="59"/>
        <v/>
      </c>
      <c r="S754" s="30" t="str">
        <f t="shared" si="60"/>
        <v/>
      </c>
    </row>
    <row r="755" spans="1:19">
      <c r="A755" s="7" t="s">
        <v>806</v>
      </c>
      <c r="B755" s="7"/>
      <c r="C755" s="7"/>
      <c r="D755" s="7"/>
      <c r="E755" s="7"/>
      <c r="F755" s="7"/>
      <c r="H755" s="7"/>
      <c r="I755" s="7"/>
      <c r="J755" s="7"/>
      <c r="K755" s="7"/>
      <c r="L755" s="7"/>
      <c r="O755" s="30" t="str">
        <f t="shared" si="56"/>
        <v/>
      </c>
      <c r="P755" s="30" t="str">
        <f t="shared" si="57"/>
        <v/>
      </c>
      <c r="Q755" s="30" t="str">
        <f t="shared" si="58"/>
        <v/>
      </c>
      <c r="R755" s="30" t="str">
        <f t="shared" si="59"/>
        <v/>
      </c>
      <c r="S755" s="30" t="str">
        <f t="shared" si="60"/>
        <v/>
      </c>
    </row>
    <row r="756" spans="1:19">
      <c r="A756" s="7" t="s">
        <v>807</v>
      </c>
      <c r="B756" s="7"/>
      <c r="C756" s="7"/>
      <c r="D756" s="7"/>
      <c r="E756" s="7"/>
      <c r="F756" s="7"/>
      <c r="H756" s="7"/>
      <c r="I756" s="7"/>
      <c r="J756" s="7"/>
      <c r="K756" s="7"/>
      <c r="L756" s="7"/>
      <c r="O756" s="30" t="str">
        <f t="shared" si="56"/>
        <v/>
      </c>
      <c r="P756" s="30" t="str">
        <f t="shared" si="57"/>
        <v/>
      </c>
      <c r="Q756" s="30" t="str">
        <f t="shared" si="58"/>
        <v/>
      </c>
      <c r="R756" s="30" t="str">
        <f t="shared" si="59"/>
        <v/>
      </c>
      <c r="S756" s="30" t="str">
        <f t="shared" si="60"/>
        <v/>
      </c>
    </row>
    <row r="757" spans="1:19">
      <c r="A757" s="7" t="s">
        <v>808</v>
      </c>
      <c r="B757" s="7"/>
      <c r="C757" s="7"/>
      <c r="D757" s="7"/>
      <c r="E757" s="7"/>
      <c r="F757" s="7"/>
      <c r="H757" s="7"/>
      <c r="I757" s="7"/>
      <c r="J757" s="7"/>
      <c r="K757" s="7"/>
      <c r="L757" s="7"/>
      <c r="O757" s="30" t="str">
        <f t="shared" si="56"/>
        <v/>
      </c>
      <c r="P757" s="30" t="str">
        <f t="shared" si="57"/>
        <v/>
      </c>
      <c r="Q757" s="30" t="str">
        <f t="shared" si="58"/>
        <v/>
      </c>
      <c r="R757" s="30" t="str">
        <f t="shared" si="59"/>
        <v/>
      </c>
      <c r="S757" s="30" t="str">
        <f t="shared" si="60"/>
        <v/>
      </c>
    </row>
    <row r="758" spans="1:19">
      <c r="A758" s="7" t="s">
        <v>809</v>
      </c>
      <c r="B758" s="7"/>
      <c r="C758" s="7"/>
      <c r="D758" s="7"/>
      <c r="E758" s="7"/>
      <c r="F758" s="7"/>
      <c r="H758" s="7"/>
      <c r="I758" s="7"/>
      <c r="J758" s="7"/>
      <c r="K758" s="7"/>
      <c r="L758" s="7"/>
      <c r="O758" s="30" t="str">
        <f t="shared" si="56"/>
        <v/>
      </c>
      <c r="P758" s="30" t="str">
        <f t="shared" si="57"/>
        <v/>
      </c>
      <c r="Q758" s="30" t="str">
        <f t="shared" si="58"/>
        <v/>
      </c>
      <c r="R758" s="30" t="str">
        <f t="shared" si="59"/>
        <v/>
      </c>
      <c r="S758" s="30" t="str">
        <f t="shared" si="60"/>
        <v/>
      </c>
    </row>
    <row r="759" spans="1:19">
      <c r="A759" s="7" t="s">
        <v>810</v>
      </c>
      <c r="B759" s="7"/>
      <c r="C759" s="7"/>
      <c r="D759" s="7"/>
      <c r="E759" s="7"/>
      <c r="F759" s="7"/>
      <c r="H759" s="7"/>
      <c r="I759" s="7"/>
      <c r="J759" s="7"/>
      <c r="K759" s="7"/>
      <c r="L759" s="7"/>
      <c r="O759" s="30" t="str">
        <f t="shared" si="56"/>
        <v/>
      </c>
      <c r="P759" s="30" t="str">
        <f t="shared" si="57"/>
        <v/>
      </c>
      <c r="Q759" s="30" t="str">
        <f t="shared" si="58"/>
        <v/>
      </c>
      <c r="R759" s="30" t="str">
        <f t="shared" si="59"/>
        <v/>
      </c>
      <c r="S759" s="30" t="str">
        <f t="shared" si="60"/>
        <v/>
      </c>
    </row>
    <row r="760" spans="1:19">
      <c r="A760" s="7" t="s">
        <v>811</v>
      </c>
      <c r="B760" s="7"/>
      <c r="C760" s="7"/>
      <c r="D760" s="7"/>
      <c r="E760" s="7"/>
      <c r="F760" s="7"/>
      <c r="H760" s="7"/>
      <c r="I760" s="7"/>
      <c r="J760" s="7"/>
      <c r="K760" s="7"/>
      <c r="L760" s="7"/>
      <c r="O760" s="30" t="str">
        <f t="shared" si="56"/>
        <v/>
      </c>
      <c r="P760" s="30" t="str">
        <f t="shared" si="57"/>
        <v/>
      </c>
      <c r="Q760" s="30" t="str">
        <f t="shared" si="58"/>
        <v/>
      </c>
      <c r="R760" s="30" t="str">
        <f t="shared" si="59"/>
        <v/>
      </c>
      <c r="S760" s="30" t="str">
        <f t="shared" si="60"/>
        <v/>
      </c>
    </row>
    <row r="761" spans="1:19">
      <c r="A761" s="7" t="s">
        <v>812</v>
      </c>
      <c r="B761" s="7"/>
      <c r="C761" s="7"/>
      <c r="D761" s="7"/>
      <c r="E761" s="7"/>
      <c r="F761" s="7"/>
      <c r="H761" s="7"/>
      <c r="I761" s="7"/>
      <c r="J761" s="7"/>
      <c r="K761" s="7"/>
      <c r="L761" s="7"/>
      <c r="O761" s="30" t="str">
        <f t="shared" si="56"/>
        <v/>
      </c>
      <c r="P761" s="30" t="str">
        <f t="shared" si="57"/>
        <v/>
      </c>
      <c r="Q761" s="30" t="str">
        <f t="shared" si="58"/>
        <v/>
      </c>
      <c r="R761" s="30" t="str">
        <f t="shared" si="59"/>
        <v/>
      </c>
      <c r="S761" s="30" t="str">
        <f t="shared" si="60"/>
        <v/>
      </c>
    </row>
    <row r="762" spans="1:19">
      <c r="A762" s="7" t="s">
        <v>813</v>
      </c>
      <c r="B762" s="7"/>
      <c r="C762" s="7"/>
      <c r="D762" s="7"/>
      <c r="E762" s="7"/>
      <c r="F762" s="7"/>
      <c r="H762" s="7"/>
      <c r="I762" s="7"/>
      <c r="J762" s="7"/>
      <c r="K762" s="7"/>
      <c r="L762" s="7"/>
      <c r="O762" s="30" t="str">
        <f t="shared" si="56"/>
        <v/>
      </c>
      <c r="P762" s="30" t="str">
        <f t="shared" si="57"/>
        <v/>
      </c>
      <c r="Q762" s="30" t="str">
        <f t="shared" si="58"/>
        <v/>
      </c>
      <c r="R762" s="30" t="str">
        <f t="shared" si="59"/>
        <v/>
      </c>
      <c r="S762" s="30" t="str">
        <f t="shared" si="60"/>
        <v/>
      </c>
    </row>
    <row r="763" spans="1:19">
      <c r="A763" s="7" t="s">
        <v>814</v>
      </c>
      <c r="B763" s="7"/>
      <c r="C763" s="7"/>
      <c r="D763" s="7"/>
      <c r="E763" s="7"/>
      <c r="F763" s="7"/>
      <c r="H763" s="7"/>
      <c r="I763" s="7"/>
      <c r="J763" s="7"/>
      <c r="K763" s="7"/>
      <c r="L763" s="7"/>
      <c r="O763" s="30" t="str">
        <f t="shared" si="56"/>
        <v/>
      </c>
      <c r="P763" s="30" t="str">
        <f t="shared" si="57"/>
        <v/>
      </c>
      <c r="Q763" s="30" t="str">
        <f t="shared" si="58"/>
        <v/>
      </c>
      <c r="R763" s="30" t="str">
        <f t="shared" si="59"/>
        <v/>
      </c>
      <c r="S763" s="30" t="str">
        <f t="shared" si="60"/>
        <v/>
      </c>
    </row>
    <row r="764" spans="1:19">
      <c r="A764" s="7" t="s">
        <v>815</v>
      </c>
      <c r="B764" s="7"/>
      <c r="C764" s="7"/>
      <c r="D764" s="7"/>
      <c r="E764" s="7"/>
      <c r="F764" s="7"/>
      <c r="H764" s="7"/>
      <c r="I764" s="7"/>
      <c r="J764" s="7"/>
      <c r="K764" s="7"/>
      <c r="L764" s="7"/>
      <c r="O764" s="30" t="str">
        <f t="shared" si="56"/>
        <v/>
      </c>
      <c r="P764" s="30" t="str">
        <f t="shared" si="57"/>
        <v/>
      </c>
      <c r="Q764" s="30" t="str">
        <f t="shared" si="58"/>
        <v/>
      </c>
      <c r="R764" s="30" t="str">
        <f t="shared" si="59"/>
        <v/>
      </c>
      <c r="S764" s="30" t="str">
        <f t="shared" si="60"/>
        <v/>
      </c>
    </row>
    <row r="765" spans="1:19">
      <c r="A765" s="7" t="s">
        <v>816</v>
      </c>
      <c r="B765" s="7"/>
      <c r="C765" s="7"/>
      <c r="D765" s="7"/>
      <c r="E765" s="7"/>
      <c r="F765" s="7"/>
      <c r="H765" s="7"/>
      <c r="I765" s="7"/>
      <c r="J765" s="7"/>
      <c r="K765" s="7"/>
      <c r="L765" s="7"/>
      <c r="O765" s="30" t="str">
        <f t="shared" si="56"/>
        <v/>
      </c>
      <c r="P765" s="30" t="str">
        <f t="shared" si="57"/>
        <v/>
      </c>
      <c r="Q765" s="30" t="str">
        <f t="shared" si="58"/>
        <v/>
      </c>
      <c r="R765" s="30" t="str">
        <f t="shared" si="59"/>
        <v/>
      </c>
      <c r="S765" s="30" t="str">
        <f t="shared" si="60"/>
        <v/>
      </c>
    </row>
    <row r="766" spans="1:19">
      <c r="A766" s="7" t="s">
        <v>817</v>
      </c>
      <c r="B766" s="7"/>
      <c r="C766" s="7"/>
      <c r="D766" s="7"/>
      <c r="E766" s="7"/>
      <c r="F766" s="7"/>
      <c r="H766" s="7"/>
      <c r="I766" s="7"/>
      <c r="J766" s="7"/>
      <c r="K766" s="7"/>
      <c r="L766" s="7"/>
      <c r="O766" s="30" t="str">
        <f t="shared" si="56"/>
        <v/>
      </c>
      <c r="P766" s="30" t="str">
        <f t="shared" si="57"/>
        <v/>
      </c>
      <c r="Q766" s="30" t="str">
        <f t="shared" si="58"/>
        <v/>
      </c>
      <c r="R766" s="30" t="str">
        <f t="shared" si="59"/>
        <v/>
      </c>
      <c r="S766" s="30" t="str">
        <f t="shared" si="60"/>
        <v/>
      </c>
    </row>
    <row r="767" spans="1:19">
      <c r="A767" s="7" t="s">
        <v>818</v>
      </c>
      <c r="B767" s="7"/>
      <c r="C767" s="7"/>
      <c r="D767" s="7"/>
      <c r="E767" s="7"/>
      <c r="F767" s="7"/>
      <c r="H767" s="7"/>
      <c r="I767" s="7"/>
      <c r="J767" s="7"/>
      <c r="K767" s="7"/>
      <c r="L767" s="7"/>
      <c r="O767" s="30" t="str">
        <f t="shared" si="56"/>
        <v/>
      </c>
      <c r="P767" s="30" t="str">
        <f t="shared" si="57"/>
        <v/>
      </c>
      <c r="Q767" s="30" t="str">
        <f t="shared" si="58"/>
        <v/>
      </c>
      <c r="R767" s="30" t="str">
        <f t="shared" si="59"/>
        <v/>
      </c>
      <c r="S767" s="30" t="str">
        <f t="shared" si="60"/>
        <v/>
      </c>
    </row>
    <row r="768" spans="1:19">
      <c r="A768" s="7" t="s">
        <v>819</v>
      </c>
      <c r="B768" s="7"/>
      <c r="C768" s="7"/>
      <c r="D768" s="7"/>
      <c r="E768" s="7"/>
      <c r="F768" s="7"/>
      <c r="H768" s="7"/>
      <c r="I768" s="7"/>
      <c r="J768" s="7"/>
      <c r="K768" s="7"/>
      <c r="L768" s="7"/>
      <c r="O768" s="30" t="str">
        <f t="shared" si="56"/>
        <v/>
      </c>
      <c r="P768" s="30" t="str">
        <f t="shared" si="57"/>
        <v/>
      </c>
      <c r="Q768" s="30" t="str">
        <f t="shared" si="58"/>
        <v/>
      </c>
      <c r="R768" s="30" t="str">
        <f t="shared" si="59"/>
        <v/>
      </c>
      <c r="S768" s="30" t="str">
        <f t="shared" si="60"/>
        <v/>
      </c>
    </row>
    <row r="769" spans="1:19">
      <c r="A769" s="7" t="s">
        <v>820</v>
      </c>
      <c r="B769" s="7"/>
      <c r="C769" s="7"/>
      <c r="D769" s="7"/>
      <c r="E769" s="7"/>
      <c r="F769" s="7"/>
      <c r="H769" s="7"/>
      <c r="I769" s="7"/>
      <c r="J769" s="7"/>
      <c r="K769" s="7"/>
      <c r="L769" s="7"/>
      <c r="O769" s="30" t="str">
        <f t="shared" si="56"/>
        <v/>
      </c>
      <c r="P769" s="30" t="str">
        <f t="shared" si="57"/>
        <v/>
      </c>
      <c r="Q769" s="30" t="str">
        <f t="shared" si="58"/>
        <v/>
      </c>
      <c r="R769" s="30" t="str">
        <f t="shared" si="59"/>
        <v/>
      </c>
      <c r="S769" s="30" t="str">
        <f t="shared" si="60"/>
        <v/>
      </c>
    </row>
    <row r="770" spans="1:19">
      <c r="A770" s="7" t="s">
        <v>821</v>
      </c>
      <c r="B770" s="7"/>
      <c r="C770" s="7"/>
      <c r="D770" s="7"/>
      <c r="E770" s="7"/>
      <c r="F770" s="7"/>
      <c r="H770" s="7"/>
      <c r="I770" s="7"/>
      <c r="J770" s="7"/>
      <c r="K770" s="7"/>
      <c r="L770" s="7"/>
      <c r="O770" s="30" t="str">
        <f t="shared" si="56"/>
        <v/>
      </c>
      <c r="P770" s="30" t="str">
        <f t="shared" si="57"/>
        <v/>
      </c>
      <c r="Q770" s="30" t="str">
        <f t="shared" si="58"/>
        <v/>
      </c>
      <c r="R770" s="30" t="str">
        <f t="shared" si="59"/>
        <v/>
      </c>
      <c r="S770" s="30" t="str">
        <f t="shared" si="60"/>
        <v/>
      </c>
    </row>
    <row r="771" spans="1:19">
      <c r="A771" s="7" t="s">
        <v>822</v>
      </c>
      <c r="B771" s="7"/>
      <c r="C771" s="7"/>
      <c r="D771" s="7"/>
      <c r="E771" s="7"/>
      <c r="F771" s="7"/>
      <c r="H771" s="7"/>
      <c r="I771" s="7"/>
      <c r="J771" s="7"/>
      <c r="K771" s="7"/>
      <c r="L771" s="7"/>
      <c r="O771" s="30" t="str">
        <f t="shared" si="56"/>
        <v/>
      </c>
      <c r="P771" s="30" t="str">
        <f t="shared" si="57"/>
        <v/>
      </c>
      <c r="Q771" s="30" t="str">
        <f t="shared" si="58"/>
        <v/>
      </c>
      <c r="R771" s="30" t="str">
        <f t="shared" si="59"/>
        <v/>
      </c>
      <c r="S771" s="30" t="str">
        <f t="shared" si="60"/>
        <v/>
      </c>
    </row>
    <row r="772" spans="1:19">
      <c r="A772" s="7" t="s">
        <v>823</v>
      </c>
      <c r="B772" s="7"/>
      <c r="C772" s="7"/>
      <c r="D772" s="7"/>
      <c r="E772" s="7"/>
      <c r="F772" s="7"/>
      <c r="H772" s="7"/>
      <c r="I772" s="7"/>
      <c r="J772" s="7"/>
      <c r="K772" s="7"/>
      <c r="L772" s="7"/>
      <c r="O772" s="30" t="str">
        <f t="shared" si="56"/>
        <v/>
      </c>
      <c r="P772" s="30" t="str">
        <f t="shared" si="57"/>
        <v/>
      </c>
      <c r="Q772" s="30" t="str">
        <f t="shared" si="58"/>
        <v/>
      </c>
      <c r="R772" s="30" t="str">
        <f t="shared" si="59"/>
        <v/>
      </c>
      <c r="S772" s="30" t="str">
        <f t="shared" si="60"/>
        <v/>
      </c>
    </row>
    <row r="773" spans="1:19">
      <c r="A773" s="7" t="s">
        <v>824</v>
      </c>
      <c r="B773" s="7"/>
      <c r="C773" s="7"/>
      <c r="D773" s="7"/>
      <c r="E773" s="7"/>
      <c r="F773" s="7"/>
      <c r="H773" s="7"/>
      <c r="I773" s="7"/>
      <c r="J773" s="7"/>
      <c r="K773" s="7"/>
      <c r="L773" s="7"/>
      <c r="O773" s="30" t="str">
        <f t="shared" si="56"/>
        <v/>
      </c>
      <c r="P773" s="30" t="str">
        <f t="shared" si="57"/>
        <v/>
      </c>
      <c r="Q773" s="30" t="str">
        <f t="shared" si="58"/>
        <v/>
      </c>
      <c r="R773" s="30" t="str">
        <f t="shared" si="59"/>
        <v/>
      </c>
      <c r="S773" s="30" t="str">
        <f t="shared" si="60"/>
        <v/>
      </c>
    </row>
    <row r="774" spans="1:19">
      <c r="A774" s="7" t="s">
        <v>825</v>
      </c>
      <c r="B774" s="7"/>
      <c r="C774" s="7"/>
      <c r="D774" s="7"/>
      <c r="E774" s="7"/>
      <c r="F774" s="7"/>
      <c r="H774" s="7"/>
      <c r="I774" s="7"/>
      <c r="J774" s="7"/>
      <c r="K774" s="7"/>
      <c r="L774" s="7"/>
      <c r="O774" s="30" t="str">
        <f t="shared" si="56"/>
        <v/>
      </c>
      <c r="P774" s="30" t="str">
        <f t="shared" si="57"/>
        <v/>
      </c>
      <c r="Q774" s="30" t="str">
        <f t="shared" si="58"/>
        <v/>
      </c>
      <c r="R774" s="30" t="str">
        <f t="shared" si="59"/>
        <v/>
      </c>
      <c r="S774" s="30" t="str">
        <f t="shared" si="60"/>
        <v/>
      </c>
    </row>
    <row r="775" spans="1:19">
      <c r="A775" s="7" t="s">
        <v>826</v>
      </c>
      <c r="B775" s="7"/>
      <c r="C775" s="7"/>
      <c r="D775" s="7"/>
      <c r="E775" s="7"/>
      <c r="F775" s="7"/>
      <c r="H775" s="7"/>
      <c r="I775" s="7"/>
      <c r="J775" s="7"/>
      <c r="K775" s="7"/>
      <c r="L775" s="7"/>
      <c r="O775" s="30" t="str">
        <f t="shared" si="56"/>
        <v/>
      </c>
      <c r="P775" s="30" t="str">
        <f t="shared" si="57"/>
        <v/>
      </c>
      <c r="Q775" s="30" t="str">
        <f t="shared" si="58"/>
        <v/>
      </c>
      <c r="R775" s="30" t="str">
        <f t="shared" si="59"/>
        <v/>
      </c>
      <c r="S775" s="30" t="str">
        <f t="shared" si="60"/>
        <v/>
      </c>
    </row>
    <row r="776" spans="1:19">
      <c r="A776" s="7" t="s">
        <v>827</v>
      </c>
      <c r="B776" s="7"/>
      <c r="C776" s="7"/>
      <c r="D776" s="7"/>
      <c r="E776" s="7"/>
      <c r="F776" s="7"/>
      <c r="H776" s="7"/>
      <c r="I776" s="7"/>
      <c r="J776" s="7"/>
      <c r="K776" s="7"/>
      <c r="L776" s="7"/>
      <c r="O776" s="30" t="str">
        <f t="shared" si="56"/>
        <v/>
      </c>
      <c r="P776" s="30" t="str">
        <f t="shared" si="57"/>
        <v/>
      </c>
      <c r="Q776" s="30" t="str">
        <f t="shared" si="58"/>
        <v/>
      </c>
      <c r="R776" s="30" t="str">
        <f t="shared" si="59"/>
        <v/>
      </c>
      <c r="S776" s="30" t="str">
        <f t="shared" si="60"/>
        <v/>
      </c>
    </row>
    <row r="777" spans="1:19">
      <c r="A777" s="7" t="s">
        <v>828</v>
      </c>
      <c r="B777" s="7"/>
      <c r="C777" s="7"/>
      <c r="D777" s="7"/>
      <c r="E777" s="7"/>
      <c r="F777" s="7"/>
      <c r="H777" s="7"/>
      <c r="I777" s="7"/>
      <c r="J777" s="7"/>
      <c r="K777" s="7"/>
      <c r="L777" s="7"/>
      <c r="O777" s="30" t="str">
        <f t="shared" ref="O777:O840" si="61">IF(H777&gt;0,"Angebot offen","")</f>
        <v/>
      </c>
      <c r="P777" s="30" t="str">
        <f t="shared" ref="P777:P840" si="62">IF(I777&gt;0,"Angebot offen","")</f>
        <v/>
      </c>
      <c r="Q777" s="30" t="str">
        <f t="shared" ref="Q777:Q840" si="63">IF(J777&gt;0,"Angebot offen","")</f>
        <v/>
      </c>
      <c r="R777" s="30" t="str">
        <f t="shared" ref="R777:R840" si="64">IF(K777&gt;0,"Angebot offen","")</f>
        <v/>
      </c>
      <c r="S777" s="30" t="str">
        <f t="shared" ref="S777:S840" si="65">IF(L777&gt;0,"Angebot offen","")</f>
        <v/>
      </c>
    </row>
    <row r="778" spans="1:19">
      <c r="A778" s="7" t="s">
        <v>829</v>
      </c>
      <c r="B778" s="7"/>
      <c r="C778" s="7"/>
      <c r="D778" s="7"/>
      <c r="E778" s="7"/>
      <c r="F778" s="7"/>
      <c r="H778" s="7"/>
      <c r="I778" s="7"/>
      <c r="J778" s="7"/>
      <c r="K778" s="7"/>
      <c r="L778" s="7"/>
      <c r="O778" s="30" t="str">
        <f t="shared" si="61"/>
        <v/>
      </c>
      <c r="P778" s="30" t="str">
        <f t="shared" si="62"/>
        <v/>
      </c>
      <c r="Q778" s="30" t="str">
        <f t="shared" si="63"/>
        <v/>
      </c>
      <c r="R778" s="30" t="str">
        <f t="shared" si="64"/>
        <v/>
      </c>
      <c r="S778" s="30" t="str">
        <f t="shared" si="65"/>
        <v/>
      </c>
    </row>
    <row r="779" spans="1:19">
      <c r="A779" s="7" t="s">
        <v>830</v>
      </c>
      <c r="B779" s="7"/>
      <c r="C779" s="7"/>
      <c r="D779" s="7"/>
      <c r="E779" s="7"/>
      <c r="F779" s="7"/>
      <c r="H779" s="7"/>
      <c r="I779" s="7"/>
      <c r="J779" s="7"/>
      <c r="K779" s="7"/>
      <c r="L779" s="7"/>
      <c r="O779" s="30" t="str">
        <f t="shared" si="61"/>
        <v/>
      </c>
      <c r="P779" s="30" t="str">
        <f t="shared" si="62"/>
        <v/>
      </c>
      <c r="Q779" s="30" t="str">
        <f t="shared" si="63"/>
        <v/>
      </c>
      <c r="R779" s="30" t="str">
        <f t="shared" si="64"/>
        <v/>
      </c>
      <c r="S779" s="30" t="str">
        <f t="shared" si="65"/>
        <v/>
      </c>
    </row>
    <row r="780" spans="1:19">
      <c r="A780" s="7" t="s">
        <v>831</v>
      </c>
      <c r="B780" s="7"/>
      <c r="C780" s="7"/>
      <c r="D780" s="7"/>
      <c r="E780" s="7"/>
      <c r="F780" s="7"/>
      <c r="H780" s="7"/>
      <c r="I780" s="7"/>
      <c r="J780" s="7"/>
      <c r="K780" s="7"/>
      <c r="L780" s="7"/>
      <c r="O780" s="30" t="str">
        <f t="shared" si="61"/>
        <v/>
      </c>
      <c r="P780" s="30" t="str">
        <f t="shared" si="62"/>
        <v/>
      </c>
      <c r="Q780" s="30" t="str">
        <f t="shared" si="63"/>
        <v/>
      </c>
      <c r="R780" s="30" t="str">
        <f t="shared" si="64"/>
        <v/>
      </c>
      <c r="S780" s="30" t="str">
        <f t="shared" si="65"/>
        <v/>
      </c>
    </row>
    <row r="781" spans="1:19">
      <c r="A781" s="7" t="s">
        <v>832</v>
      </c>
      <c r="B781" s="7"/>
      <c r="C781" s="7"/>
      <c r="D781" s="7"/>
      <c r="E781" s="7"/>
      <c r="F781" s="7"/>
      <c r="H781" s="7"/>
      <c r="I781" s="7"/>
      <c r="J781" s="7"/>
      <c r="K781" s="7"/>
      <c r="L781" s="7"/>
      <c r="O781" s="30" t="str">
        <f t="shared" si="61"/>
        <v/>
      </c>
      <c r="P781" s="30" t="str">
        <f t="shared" si="62"/>
        <v/>
      </c>
      <c r="Q781" s="30" t="str">
        <f t="shared" si="63"/>
        <v/>
      </c>
      <c r="R781" s="30" t="str">
        <f t="shared" si="64"/>
        <v/>
      </c>
      <c r="S781" s="30" t="str">
        <f t="shared" si="65"/>
        <v/>
      </c>
    </row>
    <row r="782" spans="1:19">
      <c r="A782" s="7" t="s">
        <v>833</v>
      </c>
      <c r="B782" s="7"/>
      <c r="C782" s="7"/>
      <c r="D782" s="7"/>
      <c r="E782" s="7"/>
      <c r="F782" s="7"/>
      <c r="H782" s="7"/>
      <c r="I782" s="7"/>
      <c r="J782" s="7"/>
      <c r="K782" s="7"/>
      <c r="L782" s="7"/>
      <c r="O782" s="30" t="str">
        <f t="shared" si="61"/>
        <v/>
      </c>
      <c r="P782" s="30" t="str">
        <f t="shared" si="62"/>
        <v/>
      </c>
      <c r="Q782" s="30" t="str">
        <f t="shared" si="63"/>
        <v/>
      </c>
      <c r="R782" s="30" t="str">
        <f t="shared" si="64"/>
        <v/>
      </c>
      <c r="S782" s="30" t="str">
        <f t="shared" si="65"/>
        <v/>
      </c>
    </row>
    <row r="783" spans="1:19">
      <c r="A783" s="7" t="s">
        <v>834</v>
      </c>
      <c r="B783" s="7"/>
      <c r="C783" s="7"/>
      <c r="D783" s="7"/>
      <c r="E783" s="7"/>
      <c r="F783" s="7"/>
      <c r="H783" s="7"/>
      <c r="I783" s="7"/>
      <c r="J783" s="7"/>
      <c r="K783" s="7"/>
      <c r="L783" s="7"/>
      <c r="O783" s="30" t="str">
        <f t="shared" si="61"/>
        <v/>
      </c>
      <c r="P783" s="30" t="str">
        <f t="shared" si="62"/>
        <v/>
      </c>
      <c r="Q783" s="30" t="str">
        <f t="shared" si="63"/>
        <v/>
      </c>
      <c r="R783" s="30" t="str">
        <f t="shared" si="64"/>
        <v/>
      </c>
      <c r="S783" s="30" t="str">
        <f t="shared" si="65"/>
        <v/>
      </c>
    </row>
    <row r="784" spans="1:19">
      <c r="A784" s="7" t="s">
        <v>835</v>
      </c>
      <c r="B784" s="7"/>
      <c r="C784" s="7"/>
      <c r="D784" s="7"/>
      <c r="E784" s="7"/>
      <c r="F784" s="7"/>
      <c r="H784" s="7"/>
      <c r="I784" s="7"/>
      <c r="J784" s="7"/>
      <c r="K784" s="7"/>
      <c r="L784" s="7"/>
      <c r="O784" s="30" t="str">
        <f t="shared" si="61"/>
        <v/>
      </c>
      <c r="P784" s="30" t="str">
        <f t="shared" si="62"/>
        <v/>
      </c>
      <c r="Q784" s="30" t="str">
        <f t="shared" si="63"/>
        <v/>
      </c>
      <c r="R784" s="30" t="str">
        <f t="shared" si="64"/>
        <v/>
      </c>
      <c r="S784" s="30" t="str">
        <f t="shared" si="65"/>
        <v/>
      </c>
    </row>
    <row r="785" spans="1:19">
      <c r="A785" s="7" t="s">
        <v>836</v>
      </c>
      <c r="B785" s="7"/>
      <c r="C785" s="7"/>
      <c r="D785" s="7"/>
      <c r="E785" s="7"/>
      <c r="F785" s="7"/>
      <c r="H785" s="7"/>
      <c r="I785" s="7"/>
      <c r="J785" s="7"/>
      <c r="K785" s="7"/>
      <c r="L785" s="7"/>
      <c r="O785" s="30" t="str">
        <f t="shared" si="61"/>
        <v/>
      </c>
      <c r="P785" s="30" t="str">
        <f t="shared" si="62"/>
        <v/>
      </c>
      <c r="Q785" s="30" t="str">
        <f t="shared" si="63"/>
        <v/>
      </c>
      <c r="R785" s="30" t="str">
        <f t="shared" si="64"/>
        <v/>
      </c>
      <c r="S785" s="30" t="str">
        <f t="shared" si="65"/>
        <v/>
      </c>
    </row>
    <row r="786" spans="1:19">
      <c r="A786" s="7" t="s">
        <v>837</v>
      </c>
      <c r="B786" s="7"/>
      <c r="C786" s="7"/>
      <c r="D786" s="7"/>
      <c r="E786" s="7"/>
      <c r="F786" s="7"/>
      <c r="H786" s="7"/>
      <c r="I786" s="7"/>
      <c r="J786" s="7"/>
      <c r="K786" s="7"/>
      <c r="L786" s="7"/>
      <c r="O786" s="30" t="str">
        <f t="shared" si="61"/>
        <v/>
      </c>
      <c r="P786" s="30" t="str">
        <f t="shared" si="62"/>
        <v/>
      </c>
      <c r="Q786" s="30" t="str">
        <f t="shared" si="63"/>
        <v/>
      </c>
      <c r="R786" s="30" t="str">
        <f t="shared" si="64"/>
        <v/>
      </c>
      <c r="S786" s="30" t="str">
        <f t="shared" si="65"/>
        <v/>
      </c>
    </row>
    <row r="787" spans="1:19">
      <c r="A787" s="7" t="s">
        <v>838</v>
      </c>
      <c r="B787" s="7"/>
      <c r="C787" s="7"/>
      <c r="D787" s="7"/>
      <c r="E787" s="7"/>
      <c r="F787" s="7"/>
      <c r="H787" s="7"/>
      <c r="I787" s="7"/>
      <c r="J787" s="7"/>
      <c r="K787" s="7"/>
      <c r="L787" s="7"/>
      <c r="O787" s="30" t="str">
        <f t="shared" si="61"/>
        <v/>
      </c>
      <c r="P787" s="30" t="str">
        <f t="shared" si="62"/>
        <v/>
      </c>
      <c r="Q787" s="30" t="str">
        <f t="shared" si="63"/>
        <v/>
      </c>
      <c r="R787" s="30" t="str">
        <f t="shared" si="64"/>
        <v/>
      </c>
      <c r="S787" s="30" t="str">
        <f t="shared" si="65"/>
        <v/>
      </c>
    </row>
    <row r="788" spans="1:19">
      <c r="A788" s="7" t="s">
        <v>839</v>
      </c>
      <c r="B788" s="7"/>
      <c r="C788" s="7"/>
      <c r="D788" s="7"/>
      <c r="E788" s="7"/>
      <c r="F788" s="7"/>
      <c r="H788" s="7"/>
      <c r="I788" s="7"/>
      <c r="J788" s="7"/>
      <c r="K788" s="7"/>
      <c r="L788" s="7"/>
      <c r="O788" s="30" t="str">
        <f t="shared" si="61"/>
        <v/>
      </c>
      <c r="P788" s="30" t="str">
        <f t="shared" si="62"/>
        <v/>
      </c>
      <c r="Q788" s="30" t="str">
        <f t="shared" si="63"/>
        <v/>
      </c>
      <c r="R788" s="30" t="str">
        <f t="shared" si="64"/>
        <v/>
      </c>
      <c r="S788" s="30" t="str">
        <f t="shared" si="65"/>
        <v/>
      </c>
    </row>
    <row r="789" spans="1:19">
      <c r="A789" s="7" t="s">
        <v>840</v>
      </c>
      <c r="B789" s="7"/>
      <c r="C789" s="7"/>
      <c r="D789" s="7"/>
      <c r="E789" s="7"/>
      <c r="F789" s="7"/>
      <c r="H789" s="7"/>
      <c r="I789" s="7"/>
      <c r="J789" s="7"/>
      <c r="K789" s="7"/>
      <c r="L789" s="7"/>
      <c r="O789" s="30" t="str">
        <f t="shared" si="61"/>
        <v/>
      </c>
      <c r="P789" s="30" t="str">
        <f t="shared" si="62"/>
        <v/>
      </c>
      <c r="Q789" s="30" t="str">
        <f t="shared" si="63"/>
        <v/>
      </c>
      <c r="R789" s="30" t="str">
        <f t="shared" si="64"/>
        <v/>
      </c>
      <c r="S789" s="30" t="str">
        <f t="shared" si="65"/>
        <v/>
      </c>
    </row>
    <row r="790" spans="1:19">
      <c r="A790" s="7" t="s">
        <v>841</v>
      </c>
      <c r="B790" s="7"/>
      <c r="C790" s="7"/>
      <c r="D790" s="7"/>
      <c r="E790" s="7"/>
      <c r="F790" s="7"/>
      <c r="H790" s="7"/>
      <c r="I790" s="7"/>
      <c r="J790" s="7"/>
      <c r="K790" s="7"/>
      <c r="L790" s="7"/>
      <c r="O790" s="30" t="str">
        <f t="shared" si="61"/>
        <v/>
      </c>
      <c r="P790" s="30" t="str">
        <f t="shared" si="62"/>
        <v/>
      </c>
      <c r="Q790" s="30" t="str">
        <f t="shared" si="63"/>
        <v/>
      </c>
      <c r="R790" s="30" t="str">
        <f t="shared" si="64"/>
        <v/>
      </c>
      <c r="S790" s="30" t="str">
        <f t="shared" si="65"/>
        <v/>
      </c>
    </row>
    <row r="791" spans="1:19">
      <c r="A791" s="7" t="s">
        <v>842</v>
      </c>
      <c r="B791" s="7"/>
      <c r="C791" s="7"/>
      <c r="D791" s="7"/>
      <c r="E791" s="7"/>
      <c r="F791" s="7"/>
      <c r="H791" s="7"/>
      <c r="I791" s="7"/>
      <c r="J791" s="7"/>
      <c r="K791" s="7"/>
      <c r="L791" s="7"/>
      <c r="O791" s="30" t="str">
        <f t="shared" si="61"/>
        <v/>
      </c>
      <c r="P791" s="30" t="str">
        <f t="shared" si="62"/>
        <v/>
      </c>
      <c r="Q791" s="30" t="str">
        <f t="shared" si="63"/>
        <v/>
      </c>
      <c r="R791" s="30" t="str">
        <f t="shared" si="64"/>
        <v/>
      </c>
      <c r="S791" s="30" t="str">
        <f t="shared" si="65"/>
        <v/>
      </c>
    </row>
    <row r="792" spans="1:19">
      <c r="A792" s="7" t="s">
        <v>843</v>
      </c>
      <c r="B792" s="7"/>
      <c r="C792" s="7"/>
      <c r="D792" s="7"/>
      <c r="E792" s="7"/>
      <c r="F792" s="7"/>
      <c r="H792" s="7"/>
      <c r="I792" s="7"/>
      <c r="J792" s="7"/>
      <c r="K792" s="7"/>
      <c r="L792" s="7"/>
      <c r="O792" s="30" t="str">
        <f t="shared" si="61"/>
        <v/>
      </c>
      <c r="P792" s="30" t="str">
        <f t="shared" si="62"/>
        <v/>
      </c>
      <c r="Q792" s="30" t="str">
        <f t="shared" si="63"/>
        <v/>
      </c>
      <c r="R792" s="30" t="str">
        <f t="shared" si="64"/>
        <v/>
      </c>
      <c r="S792" s="30" t="str">
        <f t="shared" si="65"/>
        <v/>
      </c>
    </row>
    <row r="793" spans="1:19">
      <c r="A793" s="7" t="s">
        <v>844</v>
      </c>
      <c r="B793" s="7"/>
      <c r="C793" s="7"/>
      <c r="D793" s="7"/>
      <c r="E793" s="7"/>
      <c r="F793" s="7"/>
      <c r="H793" s="7"/>
      <c r="I793" s="7"/>
      <c r="J793" s="7"/>
      <c r="K793" s="7"/>
      <c r="L793" s="7"/>
      <c r="O793" s="30" t="str">
        <f t="shared" si="61"/>
        <v/>
      </c>
      <c r="P793" s="30" t="str">
        <f t="shared" si="62"/>
        <v/>
      </c>
      <c r="Q793" s="30" t="str">
        <f t="shared" si="63"/>
        <v/>
      </c>
      <c r="R793" s="30" t="str">
        <f t="shared" si="64"/>
        <v/>
      </c>
      <c r="S793" s="30" t="str">
        <f t="shared" si="65"/>
        <v/>
      </c>
    </row>
    <row r="794" spans="1:19">
      <c r="A794" s="7" t="s">
        <v>845</v>
      </c>
      <c r="B794" s="7"/>
      <c r="C794" s="7"/>
      <c r="D794" s="7"/>
      <c r="E794" s="7"/>
      <c r="F794" s="7"/>
      <c r="H794" s="7"/>
      <c r="I794" s="7"/>
      <c r="J794" s="7"/>
      <c r="K794" s="7"/>
      <c r="L794" s="7"/>
      <c r="O794" s="30" t="str">
        <f t="shared" si="61"/>
        <v/>
      </c>
      <c r="P794" s="30" t="str">
        <f t="shared" si="62"/>
        <v/>
      </c>
      <c r="Q794" s="30" t="str">
        <f t="shared" si="63"/>
        <v/>
      </c>
      <c r="R794" s="30" t="str">
        <f t="shared" si="64"/>
        <v/>
      </c>
      <c r="S794" s="30" t="str">
        <f t="shared" si="65"/>
        <v/>
      </c>
    </row>
    <row r="795" spans="1:19">
      <c r="A795" s="7" t="s">
        <v>846</v>
      </c>
      <c r="B795" s="7"/>
      <c r="C795" s="7"/>
      <c r="D795" s="7"/>
      <c r="E795" s="7"/>
      <c r="F795" s="7"/>
      <c r="H795" s="7"/>
      <c r="I795" s="7"/>
      <c r="J795" s="7"/>
      <c r="K795" s="7"/>
      <c r="L795" s="7"/>
      <c r="O795" s="30" t="str">
        <f t="shared" si="61"/>
        <v/>
      </c>
      <c r="P795" s="30" t="str">
        <f t="shared" si="62"/>
        <v/>
      </c>
      <c r="Q795" s="30" t="str">
        <f t="shared" si="63"/>
        <v/>
      </c>
      <c r="R795" s="30" t="str">
        <f t="shared" si="64"/>
        <v/>
      </c>
      <c r="S795" s="30" t="str">
        <f t="shared" si="65"/>
        <v/>
      </c>
    </row>
    <row r="796" spans="1:19">
      <c r="A796" s="7" t="s">
        <v>847</v>
      </c>
      <c r="B796" s="7"/>
      <c r="C796" s="7"/>
      <c r="D796" s="7"/>
      <c r="E796" s="7"/>
      <c r="F796" s="7"/>
      <c r="H796" s="7"/>
      <c r="I796" s="7"/>
      <c r="J796" s="7"/>
      <c r="K796" s="7"/>
      <c r="L796" s="7"/>
      <c r="O796" s="30" t="str">
        <f t="shared" si="61"/>
        <v/>
      </c>
      <c r="P796" s="30" t="str">
        <f t="shared" si="62"/>
        <v/>
      </c>
      <c r="Q796" s="30" t="str">
        <f t="shared" si="63"/>
        <v/>
      </c>
      <c r="R796" s="30" t="str">
        <f t="shared" si="64"/>
        <v/>
      </c>
      <c r="S796" s="30" t="str">
        <f t="shared" si="65"/>
        <v/>
      </c>
    </row>
    <row r="797" spans="1:19">
      <c r="A797" s="7" t="s">
        <v>848</v>
      </c>
      <c r="B797" s="7"/>
      <c r="C797" s="7"/>
      <c r="D797" s="7"/>
      <c r="E797" s="7"/>
      <c r="F797" s="7"/>
      <c r="H797" s="7"/>
      <c r="I797" s="7"/>
      <c r="J797" s="7"/>
      <c r="K797" s="7"/>
      <c r="L797" s="7"/>
      <c r="O797" s="30" t="str">
        <f t="shared" si="61"/>
        <v/>
      </c>
      <c r="P797" s="30" t="str">
        <f t="shared" si="62"/>
        <v/>
      </c>
      <c r="Q797" s="30" t="str">
        <f t="shared" si="63"/>
        <v/>
      </c>
      <c r="R797" s="30" t="str">
        <f t="shared" si="64"/>
        <v/>
      </c>
      <c r="S797" s="30" t="str">
        <f t="shared" si="65"/>
        <v/>
      </c>
    </row>
    <row r="798" spans="1:19">
      <c r="A798" s="7" t="s">
        <v>849</v>
      </c>
      <c r="B798" s="7"/>
      <c r="C798" s="7"/>
      <c r="D798" s="7"/>
      <c r="E798" s="7"/>
      <c r="F798" s="7"/>
      <c r="H798" s="7"/>
      <c r="I798" s="7"/>
      <c r="J798" s="7"/>
      <c r="K798" s="7"/>
      <c r="L798" s="7"/>
      <c r="O798" s="30" t="str">
        <f t="shared" si="61"/>
        <v/>
      </c>
      <c r="P798" s="30" t="str">
        <f t="shared" si="62"/>
        <v/>
      </c>
      <c r="Q798" s="30" t="str">
        <f t="shared" si="63"/>
        <v/>
      </c>
      <c r="R798" s="30" t="str">
        <f t="shared" si="64"/>
        <v/>
      </c>
      <c r="S798" s="30" t="str">
        <f t="shared" si="65"/>
        <v/>
      </c>
    </row>
    <row r="799" spans="1:19">
      <c r="A799" s="7" t="s">
        <v>850</v>
      </c>
      <c r="B799" s="7"/>
      <c r="C799" s="7"/>
      <c r="D799" s="7"/>
      <c r="E799" s="7"/>
      <c r="F799" s="7"/>
      <c r="H799" s="7"/>
      <c r="I799" s="7"/>
      <c r="J799" s="7"/>
      <c r="K799" s="7"/>
      <c r="L799" s="7"/>
      <c r="O799" s="30" t="str">
        <f t="shared" si="61"/>
        <v/>
      </c>
      <c r="P799" s="30" t="str">
        <f t="shared" si="62"/>
        <v/>
      </c>
      <c r="Q799" s="30" t="str">
        <f t="shared" si="63"/>
        <v/>
      </c>
      <c r="R799" s="30" t="str">
        <f t="shared" si="64"/>
        <v/>
      </c>
      <c r="S799" s="30" t="str">
        <f t="shared" si="65"/>
        <v/>
      </c>
    </row>
    <row r="800" spans="1:19">
      <c r="A800" s="7" t="s">
        <v>851</v>
      </c>
      <c r="B800" s="7"/>
      <c r="C800" s="7"/>
      <c r="D800" s="7"/>
      <c r="E800" s="7"/>
      <c r="F800" s="7"/>
      <c r="H800" s="7"/>
      <c r="I800" s="7"/>
      <c r="J800" s="7"/>
      <c r="K800" s="7"/>
      <c r="L800" s="7"/>
      <c r="O800" s="30" t="str">
        <f t="shared" si="61"/>
        <v/>
      </c>
      <c r="P800" s="30" t="str">
        <f t="shared" si="62"/>
        <v/>
      </c>
      <c r="Q800" s="30" t="str">
        <f t="shared" si="63"/>
        <v/>
      </c>
      <c r="R800" s="30" t="str">
        <f t="shared" si="64"/>
        <v/>
      </c>
      <c r="S800" s="30" t="str">
        <f t="shared" si="65"/>
        <v/>
      </c>
    </row>
    <row r="801" spans="1:19">
      <c r="A801" s="7" t="s">
        <v>852</v>
      </c>
      <c r="B801" s="7"/>
      <c r="C801" s="7"/>
      <c r="D801" s="7"/>
      <c r="E801" s="7"/>
      <c r="F801" s="7"/>
      <c r="H801" s="7"/>
      <c r="I801" s="7"/>
      <c r="J801" s="7"/>
      <c r="K801" s="7"/>
      <c r="L801" s="7"/>
      <c r="O801" s="30" t="str">
        <f t="shared" si="61"/>
        <v/>
      </c>
      <c r="P801" s="30" t="str">
        <f t="shared" si="62"/>
        <v/>
      </c>
      <c r="Q801" s="30" t="str">
        <f t="shared" si="63"/>
        <v/>
      </c>
      <c r="R801" s="30" t="str">
        <f t="shared" si="64"/>
        <v/>
      </c>
      <c r="S801" s="30" t="str">
        <f t="shared" si="65"/>
        <v/>
      </c>
    </row>
    <row r="802" spans="1:19">
      <c r="A802" s="7" t="s">
        <v>853</v>
      </c>
      <c r="B802" s="7"/>
      <c r="C802" s="7"/>
      <c r="D802" s="7"/>
      <c r="E802" s="7"/>
      <c r="F802" s="7"/>
      <c r="H802" s="7"/>
      <c r="I802" s="7"/>
      <c r="J802" s="7"/>
      <c r="K802" s="7"/>
      <c r="L802" s="7"/>
      <c r="O802" s="30" t="str">
        <f t="shared" si="61"/>
        <v/>
      </c>
      <c r="P802" s="30" t="str">
        <f t="shared" si="62"/>
        <v/>
      </c>
      <c r="Q802" s="30" t="str">
        <f t="shared" si="63"/>
        <v/>
      </c>
      <c r="R802" s="30" t="str">
        <f t="shared" si="64"/>
        <v/>
      </c>
      <c r="S802" s="30" t="str">
        <f t="shared" si="65"/>
        <v/>
      </c>
    </row>
    <row r="803" spans="1:19">
      <c r="A803" s="7" t="s">
        <v>854</v>
      </c>
      <c r="B803" s="7"/>
      <c r="C803" s="7"/>
      <c r="D803" s="7"/>
      <c r="E803" s="7"/>
      <c r="F803" s="7"/>
      <c r="H803" s="7"/>
      <c r="I803" s="7"/>
      <c r="J803" s="7"/>
      <c r="K803" s="7"/>
      <c r="L803" s="7"/>
      <c r="O803" s="30" t="str">
        <f t="shared" si="61"/>
        <v/>
      </c>
      <c r="P803" s="30" t="str">
        <f t="shared" si="62"/>
        <v/>
      </c>
      <c r="Q803" s="30" t="str">
        <f t="shared" si="63"/>
        <v/>
      </c>
      <c r="R803" s="30" t="str">
        <f t="shared" si="64"/>
        <v/>
      </c>
      <c r="S803" s="30" t="str">
        <f t="shared" si="65"/>
        <v/>
      </c>
    </row>
    <row r="804" spans="1:19">
      <c r="A804" s="7" t="s">
        <v>855</v>
      </c>
      <c r="B804" s="7"/>
      <c r="C804" s="7"/>
      <c r="D804" s="7"/>
      <c r="E804" s="7"/>
      <c r="F804" s="7"/>
      <c r="H804" s="7"/>
      <c r="I804" s="7"/>
      <c r="J804" s="7"/>
      <c r="K804" s="7"/>
      <c r="L804" s="7"/>
      <c r="O804" s="30" t="str">
        <f t="shared" si="61"/>
        <v/>
      </c>
      <c r="P804" s="30" t="str">
        <f t="shared" si="62"/>
        <v/>
      </c>
      <c r="Q804" s="30" t="str">
        <f t="shared" si="63"/>
        <v/>
      </c>
      <c r="R804" s="30" t="str">
        <f t="shared" si="64"/>
        <v/>
      </c>
      <c r="S804" s="30" t="str">
        <f t="shared" si="65"/>
        <v/>
      </c>
    </row>
    <row r="805" spans="1:19">
      <c r="A805" s="7" t="s">
        <v>856</v>
      </c>
      <c r="B805" s="7"/>
      <c r="C805" s="7"/>
      <c r="D805" s="7"/>
      <c r="E805" s="7"/>
      <c r="F805" s="7"/>
      <c r="H805" s="7"/>
      <c r="I805" s="7"/>
      <c r="J805" s="7"/>
      <c r="K805" s="7"/>
      <c r="L805" s="7"/>
      <c r="O805" s="30" t="str">
        <f t="shared" si="61"/>
        <v/>
      </c>
      <c r="P805" s="30" t="str">
        <f t="shared" si="62"/>
        <v/>
      </c>
      <c r="Q805" s="30" t="str">
        <f t="shared" si="63"/>
        <v/>
      </c>
      <c r="R805" s="30" t="str">
        <f t="shared" si="64"/>
        <v/>
      </c>
      <c r="S805" s="30" t="str">
        <f t="shared" si="65"/>
        <v/>
      </c>
    </row>
    <row r="806" spans="1:19">
      <c r="A806" s="7" t="s">
        <v>857</v>
      </c>
      <c r="B806" s="7"/>
      <c r="C806" s="7"/>
      <c r="D806" s="7"/>
      <c r="E806" s="7"/>
      <c r="F806" s="7"/>
      <c r="H806" s="7"/>
      <c r="I806" s="7"/>
      <c r="J806" s="7"/>
      <c r="K806" s="7"/>
      <c r="L806" s="7"/>
      <c r="O806" s="30" t="str">
        <f t="shared" si="61"/>
        <v/>
      </c>
      <c r="P806" s="30" t="str">
        <f t="shared" si="62"/>
        <v/>
      </c>
      <c r="Q806" s="30" t="str">
        <f t="shared" si="63"/>
        <v/>
      </c>
      <c r="R806" s="30" t="str">
        <f t="shared" si="64"/>
        <v/>
      </c>
      <c r="S806" s="30" t="str">
        <f t="shared" si="65"/>
        <v/>
      </c>
    </row>
    <row r="807" spans="1:19">
      <c r="A807" s="7" t="s">
        <v>858</v>
      </c>
      <c r="B807" s="7"/>
      <c r="C807" s="7"/>
      <c r="D807" s="7"/>
      <c r="E807" s="7"/>
      <c r="F807" s="7"/>
      <c r="H807" s="7"/>
      <c r="I807" s="7"/>
      <c r="J807" s="7"/>
      <c r="K807" s="7"/>
      <c r="L807" s="7"/>
      <c r="O807" s="30" t="str">
        <f t="shared" si="61"/>
        <v/>
      </c>
      <c r="P807" s="30" t="str">
        <f t="shared" si="62"/>
        <v/>
      </c>
      <c r="Q807" s="30" t="str">
        <f t="shared" si="63"/>
        <v/>
      </c>
      <c r="R807" s="30" t="str">
        <f t="shared" si="64"/>
        <v/>
      </c>
      <c r="S807" s="30" t="str">
        <f t="shared" si="65"/>
        <v/>
      </c>
    </row>
    <row r="808" spans="1:19">
      <c r="A808" s="7" t="s">
        <v>859</v>
      </c>
      <c r="B808" s="7"/>
      <c r="C808" s="7"/>
      <c r="D808" s="7"/>
      <c r="E808" s="7"/>
      <c r="F808" s="7"/>
      <c r="H808" s="7"/>
      <c r="I808" s="7"/>
      <c r="J808" s="7"/>
      <c r="K808" s="7"/>
      <c r="L808" s="7"/>
      <c r="O808" s="30" t="str">
        <f t="shared" si="61"/>
        <v/>
      </c>
      <c r="P808" s="30" t="str">
        <f t="shared" si="62"/>
        <v/>
      </c>
      <c r="Q808" s="30" t="str">
        <f t="shared" si="63"/>
        <v/>
      </c>
      <c r="R808" s="30" t="str">
        <f t="shared" si="64"/>
        <v/>
      </c>
      <c r="S808" s="30" t="str">
        <f t="shared" si="65"/>
        <v/>
      </c>
    </row>
    <row r="809" spans="1:19">
      <c r="A809" s="7" t="s">
        <v>860</v>
      </c>
      <c r="B809" s="7"/>
      <c r="C809" s="7"/>
      <c r="D809" s="7"/>
      <c r="E809" s="7"/>
      <c r="F809" s="7"/>
      <c r="H809" s="7"/>
      <c r="I809" s="7"/>
      <c r="J809" s="7"/>
      <c r="K809" s="7"/>
      <c r="L809" s="7"/>
      <c r="O809" s="30" t="str">
        <f t="shared" si="61"/>
        <v/>
      </c>
      <c r="P809" s="30" t="str">
        <f t="shared" si="62"/>
        <v/>
      </c>
      <c r="Q809" s="30" t="str">
        <f t="shared" si="63"/>
        <v/>
      </c>
      <c r="R809" s="30" t="str">
        <f t="shared" si="64"/>
        <v/>
      </c>
      <c r="S809" s="30" t="str">
        <f t="shared" si="65"/>
        <v/>
      </c>
    </row>
    <row r="810" spans="1:19">
      <c r="A810" s="7" t="s">
        <v>861</v>
      </c>
      <c r="B810" s="7"/>
      <c r="C810" s="7"/>
      <c r="D810" s="7"/>
      <c r="E810" s="7"/>
      <c r="F810" s="7"/>
      <c r="H810" s="7"/>
      <c r="I810" s="7"/>
      <c r="J810" s="7"/>
      <c r="K810" s="7"/>
      <c r="L810" s="7"/>
      <c r="O810" s="30" t="str">
        <f t="shared" si="61"/>
        <v/>
      </c>
      <c r="P810" s="30" t="str">
        <f t="shared" si="62"/>
        <v/>
      </c>
      <c r="Q810" s="30" t="str">
        <f t="shared" si="63"/>
        <v/>
      </c>
      <c r="R810" s="30" t="str">
        <f t="shared" si="64"/>
        <v/>
      </c>
      <c r="S810" s="30" t="str">
        <f t="shared" si="65"/>
        <v/>
      </c>
    </row>
    <row r="811" spans="1:19">
      <c r="A811" s="7" t="s">
        <v>862</v>
      </c>
      <c r="B811" s="7"/>
      <c r="C811" s="7"/>
      <c r="D811" s="7"/>
      <c r="E811" s="7"/>
      <c r="F811" s="7"/>
      <c r="H811" s="7"/>
      <c r="I811" s="7"/>
      <c r="J811" s="7"/>
      <c r="K811" s="7"/>
      <c r="L811" s="7"/>
      <c r="O811" s="30" t="str">
        <f t="shared" si="61"/>
        <v/>
      </c>
      <c r="P811" s="30" t="str">
        <f t="shared" si="62"/>
        <v/>
      </c>
      <c r="Q811" s="30" t="str">
        <f t="shared" si="63"/>
        <v/>
      </c>
      <c r="R811" s="30" t="str">
        <f t="shared" si="64"/>
        <v/>
      </c>
      <c r="S811" s="30" t="str">
        <f t="shared" si="65"/>
        <v/>
      </c>
    </row>
    <row r="812" spans="1:19">
      <c r="A812" s="7" t="s">
        <v>863</v>
      </c>
      <c r="B812" s="7"/>
      <c r="C812" s="7"/>
      <c r="D812" s="7"/>
      <c r="E812" s="7"/>
      <c r="F812" s="7"/>
      <c r="H812" s="7"/>
      <c r="I812" s="7"/>
      <c r="J812" s="7"/>
      <c r="K812" s="7"/>
      <c r="L812" s="7"/>
      <c r="O812" s="30" t="str">
        <f t="shared" si="61"/>
        <v/>
      </c>
      <c r="P812" s="30" t="str">
        <f t="shared" si="62"/>
        <v/>
      </c>
      <c r="Q812" s="30" t="str">
        <f t="shared" si="63"/>
        <v/>
      </c>
      <c r="R812" s="30" t="str">
        <f t="shared" si="64"/>
        <v/>
      </c>
      <c r="S812" s="30" t="str">
        <f t="shared" si="65"/>
        <v/>
      </c>
    </row>
    <row r="813" spans="1:19">
      <c r="A813" s="7" t="s">
        <v>864</v>
      </c>
      <c r="B813" s="7"/>
      <c r="C813" s="7"/>
      <c r="D813" s="7"/>
      <c r="E813" s="7"/>
      <c r="F813" s="7"/>
      <c r="H813" s="7"/>
      <c r="I813" s="7"/>
      <c r="J813" s="7"/>
      <c r="K813" s="7"/>
      <c r="L813" s="7"/>
      <c r="O813" s="30" t="str">
        <f t="shared" si="61"/>
        <v/>
      </c>
      <c r="P813" s="30" t="str">
        <f t="shared" si="62"/>
        <v/>
      </c>
      <c r="Q813" s="30" t="str">
        <f t="shared" si="63"/>
        <v/>
      </c>
      <c r="R813" s="30" t="str">
        <f t="shared" si="64"/>
        <v/>
      </c>
      <c r="S813" s="30" t="str">
        <f t="shared" si="65"/>
        <v/>
      </c>
    </row>
    <row r="814" spans="1:19">
      <c r="A814" s="7" t="s">
        <v>865</v>
      </c>
      <c r="B814" s="7"/>
      <c r="C814" s="7"/>
      <c r="D814" s="7"/>
      <c r="E814" s="7"/>
      <c r="F814" s="7"/>
      <c r="H814" s="7"/>
      <c r="I814" s="7"/>
      <c r="J814" s="7"/>
      <c r="K814" s="7"/>
      <c r="L814" s="7"/>
      <c r="O814" s="30" t="str">
        <f t="shared" si="61"/>
        <v/>
      </c>
      <c r="P814" s="30" t="str">
        <f t="shared" si="62"/>
        <v/>
      </c>
      <c r="Q814" s="30" t="str">
        <f t="shared" si="63"/>
        <v/>
      </c>
      <c r="R814" s="30" t="str">
        <f t="shared" si="64"/>
        <v/>
      </c>
      <c r="S814" s="30" t="str">
        <f t="shared" si="65"/>
        <v/>
      </c>
    </row>
    <row r="815" spans="1:19">
      <c r="A815" s="7" t="s">
        <v>866</v>
      </c>
      <c r="B815" s="7"/>
      <c r="C815" s="7"/>
      <c r="D815" s="7"/>
      <c r="E815" s="7"/>
      <c r="F815" s="7"/>
      <c r="H815" s="7"/>
      <c r="I815" s="7"/>
      <c r="J815" s="7"/>
      <c r="K815" s="7"/>
      <c r="L815" s="7"/>
      <c r="O815" s="30" t="str">
        <f t="shared" si="61"/>
        <v/>
      </c>
      <c r="P815" s="30" t="str">
        <f t="shared" si="62"/>
        <v/>
      </c>
      <c r="Q815" s="30" t="str">
        <f t="shared" si="63"/>
        <v/>
      </c>
      <c r="R815" s="30" t="str">
        <f t="shared" si="64"/>
        <v/>
      </c>
      <c r="S815" s="30" t="str">
        <f t="shared" si="65"/>
        <v/>
      </c>
    </row>
    <row r="816" spans="1:19">
      <c r="A816" s="7" t="s">
        <v>867</v>
      </c>
      <c r="B816" s="7"/>
      <c r="C816" s="7"/>
      <c r="D816" s="7"/>
      <c r="E816" s="7"/>
      <c r="F816" s="7"/>
      <c r="H816" s="7"/>
      <c r="I816" s="7"/>
      <c r="J816" s="7"/>
      <c r="K816" s="7"/>
      <c r="L816" s="7"/>
      <c r="O816" s="30" t="str">
        <f t="shared" si="61"/>
        <v/>
      </c>
      <c r="P816" s="30" t="str">
        <f t="shared" si="62"/>
        <v/>
      </c>
      <c r="Q816" s="30" t="str">
        <f t="shared" si="63"/>
        <v/>
      </c>
      <c r="R816" s="30" t="str">
        <f t="shared" si="64"/>
        <v/>
      </c>
      <c r="S816" s="30" t="str">
        <f t="shared" si="65"/>
        <v/>
      </c>
    </row>
    <row r="817" spans="1:19">
      <c r="A817" s="7" t="s">
        <v>868</v>
      </c>
      <c r="B817" s="7"/>
      <c r="C817" s="7"/>
      <c r="D817" s="7"/>
      <c r="E817" s="7"/>
      <c r="F817" s="7"/>
      <c r="H817" s="7"/>
      <c r="I817" s="7"/>
      <c r="J817" s="7"/>
      <c r="K817" s="7"/>
      <c r="L817" s="7"/>
      <c r="O817" s="30" t="str">
        <f t="shared" si="61"/>
        <v/>
      </c>
      <c r="P817" s="30" t="str">
        <f t="shared" si="62"/>
        <v/>
      </c>
      <c r="Q817" s="30" t="str">
        <f t="shared" si="63"/>
        <v/>
      </c>
      <c r="R817" s="30" t="str">
        <f t="shared" si="64"/>
        <v/>
      </c>
      <c r="S817" s="30" t="str">
        <f t="shared" si="65"/>
        <v/>
      </c>
    </row>
    <row r="818" spans="1:19">
      <c r="A818" s="7" t="s">
        <v>869</v>
      </c>
      <c r="B818" s="7"/>
      <c r="C818" s="7"/>
      <c r="D818" s="7"/>
      <c r="E818" s="7"/>
      <c r="F818" s="7"/>
      <c r="H818" s="7"/>
      <c r="I818" s="7"/>
      <c r="J818" s="7"/>
      <c r="K818" s="7"/>
      <c r="L818" s="7"/>
      <c r="O818" s="30" t="str">
        <f t="shared" si="61"/>
        <v/>
      </c>
      <c r="P818" s="30" t="str">
        <f t="shared" si="62"/>
        <v/>
      </c>
      <c r="Q818" s="30" t="str">
        <f t="shared" si="63"/>
        <v/>
      </c>
      <c r="R818" s="30" t="str">
        <f t="shared" si="64"/>
        <v/>
      </c>
      <c r="S818" s="30" t="str">
        <f t="shared" si="65"/>
        <v/>
      </c>
    </row>
    <row r="819" spans="1:19">
      <c r="A819" s="7" t="s">
        <v>870</v>
      </c>
      <c r="B819" s="7"/>
      <c r="C819" s="7"/>
      <c r="D819" s="7"/>
      <c r="E819" s="7"/>
      <c r="F819" s="7"/>
      <c r="H819" s="7"/>
      <c r="I819" s="7"/>
      <c r="J819" s="7"/>
      <c r="K819" s="7"/>
      <c r="L819" s="7"/>
      <c r="O819" s="30" t="str">
        <f t="shared" si="61"/>
        <v/>
      </c>
      <c r="P819" s="30" t="str">
        <f t="shared" si="62"/>
        <v/>
      </c>
      <c r="Q819" s="30" t="str">
        <f t="shared" si="63"/>
        <v/>
      </c>
      <c r="R819" s="30" t="str">
        <f t="shared" si="64"/>
        <v/>
      </c>
      <c r="S819" s="30" t="str">
        <f t="shared" si="65"/>
        <v/>
      </c>
    </row>
    <row r="820" spans="1:19">
      <c r="A820" s="7" t="s">
        <v>871</v>
      </c>
      <c r="B820" s="7"/>
      <c r="C820" s="7"/>
      <c r="D820" s="7"/>
      <c r="E820" s="7"/>
      <c r="F820" s="7"/>
      <c r="H820" s="7"/>
      <c r="I820" s="7"/>
      <c r="J820" s="7"/>
      <c r="K820" s="7"/>
      <c r="L820" s="7"/>
      <c r="O820" s="30" t="str">
        <f t="shared" si="61"/>
        <v/>
      </c>
      <c r="P820" s="30" t="str">
        <f t="shared" si="62"/>
        <v/>
      </c>
      <c r="Q820" s="30" t="str">
        <f t="shared" si="63"/>
        <v/>
      </c>
      <c r="R820" s="30" t="str">
        <f t="shared" si="64"/>
        <v/>
      </c>
      <c r="S820" s="30" t="str">
        <f t="shared" si="65"/>
        <v/>
      </c>
    </row>
    <row r="821" spans="1:19">
      <c r="A821" s="7" t="s">
        <v>872</v>
      </c>
      <c r="B821" s="7"/>
      <c r="C821" s="7"/>
      <c r="D821" s="7"/>
      <c r="E821" s="7"/>
      <c r="F821" s="7"/>
      <c r="H821" s="7"/>
      <c r="I821" s="7"/>
      <c r="J821" s="7"/>
      <c r="K821" s="7"/>
      <c r="L821" s="7"/>
      <c r="O821" s="30" t="str">
        <f t="shared" si="61"/>
        <v/>
      </c>
      <c r="P821" s="30" t="str">
        <f t="shared" si="62"/>
        <v/>
      </c>
      <c r="Q821" s="30" t="str">
        <f t="shared" si="63"/>
        <v/>
      </c>
      <c r="R821" s="30" t="str">
        <f t="shared" si="64"/>
        <v/>
      </c>
      <c r="S821" s="30" t="str">
        <f t="shared" si="65"/>
        <v/>
      </c>
    </row>
    <row r="822" spans="1:19">
      <c r="A822" s="7" t="s">
        <v>873</v>
      </c>
      <c r="B822" s="7"/>
      <c r="C822" s="7"/>
      <c r="D822" s="7"/>
      <c r="E822" s="7"/>
      <c r="F822" s="7"/>
      <c r="H822" s="7"/>
      <c r="I822" s="7"/>
      <c r="J822" s="7"/>
      <c r="K822" s="7"/>
      <c r="L822" s="7"/>
      <c r="O822" s="30" t="str">
        <f t="shared" si="61"/>
        <v/>
      </c>
      <c r="P822" s="30" t="str">
        <f t="shared" si="62"/>
        <v/>
      </c>
      <c r="Q822" s="30" t="str">
        <f t="shared" si="63"/>
        <v/>
      </c>
      <c r="R822" s="30" t="str">
        <f t="shared" si="64"/>
        <v/>
      </c>
      <c r="S822" s="30" t="str">
        <f t="shared" si="65"/>
        <v/>
      </c>
    </row>
    <row r="823" spans="1:19">
      <c r="A823" s="7" t="s">
        <v>874</v>
      </c>
      <c r="B823" s="7"/>
      <c r="C823" s="7"/>
      <c r="D823" s="7"/>
      <c r="E823" s="7"/>
      <c r="F823" s="7"/>
      <c r="H823" s="7"/>
      <c r="I823" s="7"/>
      <c r="J823" s="7"/>
      <c r="K823" s="7"/>
      <c r="L823" s="7"/>
      <c r="O823" s="30" t="str">
        <f t="shared" si="61"/>
        <v/>
      </c>
      <c r="P823" s="30" t="str">
        <f t="shared" si="62"/>
        <v/>
      </c>
      <c r="Q823" s="30" t="str">
        <f t="shared" si="63"/>
        <v/>
      </c>
      <c r="R823" s="30" t="str">
        <f t="shared" si="64"/>
        <v/>
      </c>
      <c r="S823" s="30" t="str">
        <f t="shared" si="65"/>
        <v/>
      </c>
    </row>
    <row r="824" spans="1:19">
      <c r="A824" s="7" t="s">
        <v>875</v>
      </c>
      <c r="B824" s="7"/>
      <c r="C824" s="7"/>
      <c r="D824" s="7"/>
      <c r="E824" s="7"/>
      <c r="F824" s="7"/>
      <c r="H824" s="7"/>
      <c r="I824" s="7"/>
      <c r="J824" s="7"/>
      <c r="K824" s="7"/>
      <c r="L824" s="7"/>
      <c r="O824" s="30" t="str">
        <f t="shared" si="61"/>
        <v/>
      </c>
      <c r="P824" s="30" t="str">
        <f t="shared" si="62"/>
        <v/>
      </c>
      <c r="Q824" s="30" t="str">
        <f t="shared" si="63"/>
        <v/>
      </c>
      <c r="R824" s="30" t="str">
        <f t="shared" si="64"/>
        <v/>
      </c>
      <c r="S824" s="30" t="str">
        <f t="shared" si="65"/>
        <v/>
      </c>
    </row>
    <row r="825" spans="1:19">
      <c r="A825" s="7" t="s">
        <v>876</v>
      </c>
      <c r="B825" s="7"/>
      <c r="C825" s="7"/>
      <c r="D825" s="7"/>
      <c r="E825" s="7"/>
      <c r="F825" s="7"/>
      <c r="H825" s="7"/>
      <c r="I825" s="7"/>
      <c r="J825" s="7"/>
      <c r="K825" s="7"/>
      <c r="L825" s="7"/>
      <c r="O825" s="30" t="str">
        <f t="shared" si="61"/>
        <v/>
      </c>
      <c r="P825" s="30" t="str">
        <f t="shared" si="62"/>
        <v/>
      </c>
      <c r="Q825" s="30" t="str">
        <f t="shared" si="63"/>
        <v/>
      </c>
      <c r="R825" s="30" t="str">
        <f t="shared" si="64"/>
        <v/>
      </c>
      <c r="S825" s="30" t="str">
        <f t="shared" si="65"/>
        <v/>
      </c>
    </row>
    <row r="826" spans="1:19">
      <c r="A826" s="7" t="s">
        <v>877</v>
      </c>
      <c r="B826" s="7"/>
      <c r="C826" s="7"/>
      <c r="D826" s="7"/>
      <c r="E826" s="7"/>
      <c r="F826" s="7"/>
      <c r="H826" s="7"/>
      <c r="I826" s="7"/>
      <c r="J826" s="7"/>
      <c r="K826" s="7"/>
      <c r="L826" s="7"/>
      <c r="O826" s="30" t="str">
        <f t="shared" si="61"/>
        <v/>
      </c>
      <c r="P826" s="30" t="str">
        <f t="shared" si="62"/>
        <v/>
      </c>
      <c r="Q826" s="30" t="str">
        <f t="shared" si="63"/>
        <v/>
      </c>
      <c r="R826" s="30" t="str">
        <f t="shared" si="64"/>
        <v/>
      </c>
      <c r="S826" s="30" t="str">
        <f t="shared" si="65"/>
        <v/>
      </c>
    </row>
    <row r="827" spans="1:19">
      <c r="A827" s="7" t="s">
        <v>878</v>
      </c>
      <c r="B827" s="7"/>
      <c r="C827" s="7"/>
      <c r="D827" s="7"/>
      <c r="E827" s="7"/>
      <c r="F827" s="7"/>
      <c r="H827" s="7"/>
      <c r="I827" s="7"/>
      <c r="J827" s="7"/>
      <c r="K827" s="7"/>
      <c r="L827" s="7"/>
      <c r="O827" s="30" t="str">
        <f t="shared" si="61"/>
        <v/>
      </c>
      <c r="P827" s="30" t="str">
        <f t="shared" si="62"/>
        <v/>
      </c>
      <c r="Q827" s="30" t="str">
        <f t="shared" si="63"/>
        <v/>
      </c>
      <c r="R827" s="30" t="str">
        <f t="shared" si="64"/>
        <v/>
      </c>
      <c r="S827" s="30" t="str">
        <f t="shared" si="65"/>
        <v/>
      </c>
    </row>
    <row r="828" spans="1:19">
      <c r="A828" s="7" t="s">
        <v>879</v>
      </c>
      <c r="B828" s="7"/>
      <c r="C828" s="7"/>
      <c r="D828" s="7"/>
      <c r="E828" s="7"/>
      <c r="F828" s="7"/>
      <c r="H828" s="7"/>
      <c r="I828" s="7"/>
      <c r="J828" s="7"/>
      <c r="K828" s="7"/>
      <c r="L828" s="7"/>
      <c r="O828" s="30" t="str">
        <f t="shared" si="61"/>
        <v/>
      </c>
      <c r="P828" s="30" t="str">
        <f t="shared" si="62"/>
        <v/>
      </c>
      <c r="Q828" s="30" t="str">
        <f t="shared" si="63"/>
        <v/>
      </c>
      <c r="R828" s="30" t="str">
        <f t="shared" si="64"/>
        <v/>
      </c>
      <c r="S828" s="30" t="str">
        <f t="shared" si="65"/>
        <v/>
      </c>
    </row>
    <row r="829" spans="1:19">
      <c r="A829" s="7" t="s">
        <v>880</v>
      </c>
      <c r="B829" s="7"/>
      <c r="C829" s="7"/>
      <c r="D829" s="7"/>
      <c r="E829" s="7"/>
      <c r="F829" s="7"/>
      <c r="H829" s="7"/>
      <c r="I829" s="7"/>
      <c r="J829" s="7"/>
      <c r="K829" s="7"/>
      <c r="L829" s="7"/>
      <c r="O829" s="30" t="str">
        <f t="shared" si="61"/>
        <v/>
      </c>
      <c r="P829" s="30" t="str">
        <f t="shared" si="62"/>
        <v/>
      </c>
      <c r="Q829" s="30" t="str">
        <f t="shared" si="63"/>
        <v/>
      </c>
      <c r="R829" s="30" t="str">
        <f t="shared" si="64"/>
        <v/>
      </c>
      <c r="S829" s="30" t="str">
        <f t="shared" si="65"/>
        <v/>
      </c>
    </row>
    <row r="830" spans="1:19">
      <c r="A830" s="7" t="s">
        <v>881</v>
      </c>
      <c r="B830" s="7"/>
      <c r="C830" s="7"/>
      <c r="D830" s="7"/>
      <c r="E830" s="7"/>
      <c r="F830" s="7"/>
      <c r="H830" s="7"/>
      <c r="I830" s="7"/>
      <c r="J830" s="7"/>
      <c r="K830" s="7"/>
      <c r="L830" s="7"/>
      <c r="O830" s="30" t="str">
        <f t="shared" si="61"/>
        <v/>
      </c>
      <c r="P830" s="30" t="str">
        <f t="shared" si="62"/>
        <v/>
      </c>
      <c r="Q830" s="30" t="str">
        <f t="shared" si="63"/>
        <v/>
      </c>
      <c r="R830" s="30" t="str">
        <f t="shared" si="64"/>
        <v/>
      </c>
      <c r="S830" s="30" t="str">
        <f t="shared" si="65"/>
        <v/>
      </c>
    </row>
    <row r="831" spans="1:19">
      <c r="A831" s="7" t="s">
        <v>882</v>
      </c>
      <c r="B831" s="7"/>
      <c r="C831" s="7"/>
      <c r="D831" s="7"/>
      <c r="E831" s="7"/>
      <c r="F831" s="7"/>
      <c r="H831" s="7"/>
      <c r="I831" s="7"/>
      <c r="J831" s="7"/>
      <c r="K831" s="7"/>
      <c r="L831" s="7"/>
      <c r="O831" s="30" t="str">
        <f t="shared" si="61"/>
        <v/>
      </c>
      <c r="P831" s="30" t="str">
        <f t="shared" si="62"/>
        <v/>
      </c>
      <c r="Q831" s="30" t="str">
        <f t="shared" si="63"/>
        <v/>
      </c>
      <c r="R831" s="30" t="str">
        <f t="shared" si="64"/>
        <v/>
      </c>
      <c r="S831" s="30" t="str">
        <f t="shared" si="65"/>
        <v/>
      </c>
    </row>
    <row r="832" spans="1:19">
      <c r="A832" s="7" t="s">
        <v>883</v>
      </c>
      <c r="B832" s="7"/>
      <c r="C832" s="7"/>
      <c r="D832" s="7"/>
      <c r="E832" s="7"/>
      <c r="F832" s="7"/>
      <c r="H832" s="7"/>
      <c r="I832" s="7"/>
      <c r="J832" s="7"/>
      <c r="K832" s="7"/>
      <c r="L832" s="7"/>
      <c r="O832" s="30" t="str">
        <f t="shared" si="61"/>
        <v/>
      </c>
      <c r="P832" s="30" t="str">
        <f t="shared" si="62"/>
        <v/>
      </c>
      <c r="Q832" s="30" t="str">
        <f t="shared" si="63"/>
        <v/>
      </c>
      <c r="R832" s="30" t="str">
        <f t="shared" si="64"/>
        <v/>
      </c>
      <c r="S832" s="30" t="str">
        <f t="shared" si="65"/>
        <v/>
      </c>
    </row>
    <row r="833" spans="1:19">
      <c r="A833" s="7" t="s">
        <v>884</v>
      </c>
      <c r="B833" s="7"/>
      <c r="C833" s="7"/>
      <c r="D833" s="7"/>
      <c r="E833" s="7"/>
      <c r="F833" s="7"/>
      <c r="H833" s="7"/>
      <c r="I833" s="7"/>
      <c r="J833" s="7"/>
      <c r="K833" s="7"/>
      <c r="L833" s="7"/>
      <c r="O833" s="30" t="str">
        <f t="shared" si="61"/>
        <v/>
      </c>
      <c r="P833" s="30" t="str">
        <f t="shared" si="62"/>
        <v/>
      </c>
      <c r="Q833" s="30" t="str">
        <f t="shared" si="63"/>
        <v/>
      </c>
      <c r="R833" s="30" t="str">
        <f t="shared" si="64"/>
        <v/>
      </c>
      <c r="S833" s="30" t="str">
        <f t="shared" si="65"/>
        <v/>
      </c>
    </row>
    <row r="834" spans="1:19">
      <c r="A834" s="7" t="s">
        <v>885</v>
      </c>
      <c r="B834" s="7"/>
      <c r="C834" s="7"/>
      <c r="D834" s="7"/>
      <c r="E834" s="7"/>
      <c r="F834" s="7"/>
      <c r="H834" s="7"/>
      <c r="I834" s="7"/>
      <c r="J834" s="7"/>
      <c r="K834" s="7"/>
      <c r="L834" s="7"/>
      <c r="O834" s="30" t="str">
        <f t="shared" si="61"/>
        <v/>
      </c>
      <c r="P834" s="30" t="str">
        <f t="shared" si="62"/>
        <v/>
      </c>
      <c r="Q834" s="30" t="str">
        <f t="shared" si="63"/>
        <v/>
      </c>
      <c r="R834" s="30" t="str">
        <f t="shared" si="64"/>
        <v/>
      </c>
      <c r="S834" s="30" t="str">
        <f t="shared" si="65"/>
        <v/>
      </c>
    </row>
    <row r="835" spans="1:19">
      <c r="A835" s="7" t="s">
        <v>886</v>
      </c>
      <c r="B835" s="7"/>
      <c r="C835" s="7"/>
      <c r="D835" s="7"/>
      <c r="E835" s="7"/>
      <c r="F835" s="7"/>
      <c r="H835" s="7"/>
      <c r="I835" s="7"/>
      <c r="J835" s="7"/>
      <c r="K835" s="7"/>
      <c r="L835" s="7"/>
      <c r="O835" s="30" t="str">
        <f t="shared" si="61"/>
        <v/>
      </c>
      <c r="P835" s="30" t="str">
        <f t="shared" si="62"/>
        <v/>
      </c>
      <c r="Q835" s="30" t="str">
        <f t="shared" si="63"/>
        <v/>
      </c>
      <c r="R835" s="30" t="str">
        <f t="shared" si="64"/>
        <v/>
      </c>
      <c r="S835" s="30" t="str">
        <f t="shared" si="65"/>
        <v/>
      </c>
    </row>
    <row r="836" spans="1:19">
      <c r="A836" s="7" t="s">
        <v>887</v>
      </c>
      <c r="B836" s="7"/>
      <c r="C836" s="7"/>
      <c r="D836" s="7"/>
      <c r="E836" s="7"/>
      <c r="F836" s="7"/>
      <c r="H836" s="7"/>
      <c r="I836" s="7"/>
      <c r="J836" s="7"/>
      <c r="K836" s="7"/>
      <c r="L836" s="7"/>
      <c r="O836" s="30" t="str">
        <f t="shared" si="61"/>
        <v/>
      </c>
      <c r="P836" s="30" t="str">
        <f t="shared" si="62"/>
        <v/>
      </c>
      <c r="Q836" s="30" t="str">
        <f t="shared" si="63"/>
        <v/>
      </c>
      <c r="R836" s="30" t="str">
        <f t="shared" si="64"/>
        <v/>
      </c>
      <c r="S836" s="30" t="str">
        <f t="shared" si="65"/>
        <v/>
      </c>
    </row>
    <row r="837" spans="1:19">
      <c r="A837" s="7" t="s">
        <v>888</v>
      </c>
      <c r="B837" s="7"/>
      <c r="C837" s="7"/>
      <c r="D837" s="7"/>
      <c r="E837" s="7"/>
      <c r="F837" s="7"/>
      <c r="H837" s="7"/>
      <c r="I837" s="7"/>
      <c r="J837" s="7"/>
      <c r="K837" s="7"/>
      <c r="L837" s="7"/>
      <c r="O837" s="30" t="str">
        <f t="shared" si="61"/>
        <v/>
      </c>
      <c r="P837" s="30" t="str">
        <f t="shared" si="62"/>
        <v/>
      </c>
      <c r="Q837" s="30" t="str">
        <f t="shared" si="63"/>
        <v/>
      </c>
      <c r="R837" s="30" t="str">
        <f t="shared" si="64"/>
        <v/>
      </c>
      <c r="S837" s="30" t="str">
        <f t="shared" si="65"/>
        <v/>
      </c>
    </row>
    <row r="838" spans="1:19">
      <c r="A838" s="7" t="s">
        <v>889</v>
      </c>
      <c r="B838" s="7"/>
      <c r="C838" s="7"/>
      <c r="D838" s="7"/>
      <c r="E838" s="7"/>
      <c r="F838" s="7"/>
      <c r="H838" s="7"/>
      <c r="I838" s="7"/>
      <c r="J838" s="7"/>
      <c r="K838" s="7"/>
      <c r="L838" s="7"/>
      <c r="O838" s="30" t="str">
        <f t="shared" si="61"/>
        <v/>
      </c>
      <c r="P838" s="30" t="str">
        <f t="shared" si="62"/>
        <v/>
      </c>
      <c r="Q838" s="30" t="str">
        <f t="shared" si="63"/>
        <v/>
      </c>
      <c r="R838" s="30" t="str">
        <f t="shared" si="64"/>
        <v/>
      </c>
      <c r="S838" s="30" t="str">
        <f t="shared" si="65"/>
        <v/>
      </c>
    </row>
    <row r="839" spans="1:19">
      <c r="A839" s="7" t="s">
        <v>890</v>
      </c>
      <c r="B839" s="7"/>
      <c r="C839" s="7"/>
      <c r="D839" s="7"/>
      <c r="E839" s="7"/>
      <c r="F839" s="7"/>
      <c r="H839" s="7"/>
      <c r="I839" s="7"/>
      <c r="J839" s="7"/>
      <c r="K839" s="7"/>
      <c r="L839" s="7"/>
      <c r="O839" s="30" t="str">
        <f t="shared" si="61"/>
        <v/>
      </c>
      <c r="P839" s="30" t="str">
        <f t="shared" si="62"/>
        <v/>
      </c>
      <c r="Q839" s="30" t="str">
        <f t="shared" si="63"/>
        <v/>
      </c>
      <c r="R839" s="30" t="str">
        <f t="shared" si="64"/>
        <v/>
      </c>
      <c r="S839" s="30" t="str">
        <f t="shared" si="65"/>
        <v/>
      </c>
    </row>
    <row r="840" spans="1:19">
      <c r="A840" s="7" t="s">
        <v>891</v>
      </c>
      <c r="B840" s="7"/>
      <c r="C840" s="7"/>
      <c r="D840" s="7"/>
      <c r="E840" s="7"/>
      <c r="F840" s="7"/>
      <c r="H840" s="7"/>
      <c r="I840" s="7"/>
      <c r="J840" s="7"/>
      <c r="K840" s="7"/>
      <c r="L840" s="7"/>
      <c r="O840" s="30" t="str">
        <f t="shared" si="61"/>
        <v/>
      </c>
      <c r="P840" s="30" t="str">
        <f t="shared" si="62"/>
        <v/>
      </c>
      <c r="Q840" s="30" t="str">
        <f t="shared" si="63"/>
        <v/>
      </c>
      <c r="R840" s="30" t="str">
        <f t="shared" si="64"/>
        <v/>
      </c>
      <c r="S840" s="30" t="str">
        <f t="shared" si="65"/>
        <v/>
      </c>
    </row>
    <row r="841" spans="1:19">
      <c r="A841" s="7" t="s">
        <v>892</v>
      </c>
      <c r="B841" s="7"/>
      <c r="C841" s="7"/>
      <c r="D841" s="7"/>
      <c r="E841" s="7"/>
      <c r="F841" s="7"/>
      <c r="H841" s="7"/>
      <c r="I841" s="7"/>
      <c r="J841" s="7"/>
      <c r="K841" s="7"/>
      <c r="L841" s="7"/>
      <c r="O841" s="30" t="str">
        <f t="shared" ref="O841:O904" si="66">IF(H841&gt;0,"Angebot offen","")</f>
        <v/>
      </c>
      <c r="P841" s="30" t="str">
        <f t="shared" ref="P841:P904" si="67">IF(I841&gt;0,"Angebot offen","")</f>
        <v/>
      </c>
      <c r="Q841" s="30" t="str">
        <f t="shared" ref="Q841:Q904" si="68">IF(J841&gt;0,"Angebot offen","")</f>
        <v/>
      </c>
      <c r="R841" s="30" t="str">
        <f t="shared" ref="R841:R904" si="69">IF(K841&gt;0,"Angebot offen","")</f>
        <v/>
      </c>
      <c r="S841" s="30" t="str">
        <f t="shared" ref="S841:S904" si="70">IF(L841&gt;0,"Angebot offen","")</f>
        <v/>
      </c>
    </row>
    <row r="842" spans="1:19">
      <c r="A842" s="7" t="s">
        <v>893</v>
      </c>
      <c r="B842" s="7"/>
      <c r="C842" s="7"/>
      <c r="D842" s="7"/>
      <c r="E842" s="7"/>
      <c r="F842" s="7"/>
      <c r="H842" s="7"/>
      <c r="I842" s="7"/>
      <c r="J842" s="7"/>
      <c r="K842" s="7"/>
      <c r="L842" s="7"/>
      <c r="O842" s="30" t="str">
        <f t="shared" si="66"/>
        <v/>
      </c>
      <c r="P842" s="30" t="str">
        <f t="shared" si="67"/>
        <v/>
      </c>
      <c r="Q842" s="30" t="str">
        <f t="shared" si="68"/>
        <v/>
      </c>
      <c r="R842" s="30" t="str">
        <f t="shared" si="69"/>
        <v/>
      </c>
      <c r="S842" s="30" t="str">
        <f t="shared" si="70"/>
        <v/>
      </c>
    </row>
    <row r="843" spans="1:19">
      <c r="A843" s="7" t="s">
        <v>894</v>
      </c>
      <c r="B843" s="7"/>
      <c r="C843" s="7"/>
      <c r="D843" s="7"/>
      <c r="E843" s="7"/>
      <c r="F843" s="7"/>
      <c r="H843" s="7"/>
      <c r="I843" s="7"/>
      <c r="J843" s="7"/>
      <c r="K843" s="7"/>
      <c r="L843" s="7"/>
      <c r="O843" s="30" t="str">
        <f t="shared" si="66"/>
        <v/>
      </c>
      <c r="P843" s="30" t="str">
        <f t="shared" si="67"/>
        <v/>
      </c>
      <c r="Q843" s="30" t="str">
        <f t="shared" si="68"/>
        <v/>
      </c>
      <c r="R843" s="30" t="str">
        <f t="shared" si="69"/>
        <v/>
      </c>
      <c r="S843" s="30" t="str">
        <f t="shared" si="70"/>
        <v/>
      </c>
    </row>
    <row r="844" spans="1:19">
      <c r="A844" s="7" t="s">
        <v>895</v>
      </c>
      <c r="B844" s="7"/>
      <c r="C844" s="7"/>
      <c r="D844" s="7"/>
      <c r="E844" s="7"/>
      <c r="F844" s="7"/>
      <c r="H844" s="7"/>
      <c r="I844" s="7"/>
      <c r="J844" s="7"/>
      <c r="K844" s="7"/>
      <c r="L844" s="7"/>
      <c r="O844" s="30" t="str">
        <f t="shared" si="66"/>
        <v/>
      </c>
      <c r="P844" s="30" t="str">
        <f t="shared" si="67"/>
        <v/>
      </c>
      <c r="Q844" s="30" t="str">
        <f t="shared" si="68"/>
        <v/>
      </c>
      <c r="R844" s="30" t="str">
        <f t="shared" si="69"/>
        <v/>
      </c>
      <c r="S844" s="30" t="str">
        <f t="shared" si="70"/>
        <v/>
      </c>
    </row>
    <row r="845" spans="1:19">
      <c r="A845" s="7" t="s">
        <v>896</v>
      </c>
      <c r="B845" s="7"/>
      <c r="C845" s="7"/>
      <c r="D845" s="7"/>
      <c r="E845" s="7"/>
      <c r="F845" s="7"/>
      <c r="H845" s="7"/>
      <c r="I845" s="7"/>
      <c r="J845" s="7"/>
      <c r="K845" s="7"/>
      <c r="L845" s="7"/>
      <c r="O845" s="30" t="str">
        <f t="shared" si="66"/>
        <v/>
      </c>
      <c r="P845" s="30" t="str">
        <f t="shared" si="67"/>
        <v/>
      </c>
      <c r="Q845" s="30" t="str">
        <f t="shared" si="68"/>
        <v/>
      </c>
      <c r="R845" s="30" t="str">
        <f t="shared" si="69"/>
        <v/>
      </c>
      <c r="S845" s="30" t="str">
        <f t="shared" si="70"/>
        <v/>
      </c>
    </row>
    <row r="846" spans="1:19">
      <c r="A846" s="7" t="s">
        <v>897</v>
      </c>
      <c r="B846" s="7"/>
      <c r="C846" s="7"/>
      <c r="D846" s="7"/>
      <c r="E846" s="7"/>
      <c r="F846" s="7"/>
      <c r="H846" s="7"/>
      <c r="I846" s="7"/>
      <c r="J846" s="7"/>
      <c r="K846" s="7"/>
      <c r="L846" s="7"/>
      <c r="O846" s="30" t="str">
        <f t="shared" si="66"/>
        <v/>
      </c>
      <c r="P846" s="30" t="str">
        <f t="shared" si="67"/>
        <v/>
      </c>
      <c r="Q846" s="30" t="str">
        <f t="shared" si="68"/>
        <v/>
      </c>
      <c r="R846" s="30" t="str">
        <f t="shared" si="69"/>
        <v/>
      </c>
      <c r="S846" s="30" t="str">
        <f t="shared" si="70"/>
        <v/>
      </c>
    </row>
    <row r="847" spans="1:19">
      <c r="A847" s="7" t="s">
        <v>898</v>
      </c>
      <c r="B847" s="7"/>
      <c r="C847" s="7"/>
      <c r="D847" s="7"/>
      <c r="E847" s="7"/>
      <c r="F847" s="7"/>
      <c r="H847" s="7"/>
      <c r="I847" s="7"/>
      <c r="J847" s="7"/>
      <c r="K847" s="7"/>
      <c r="L847" s="7"/>
      <c r="O847" s="30" t="str">
        <f t="shared" si="66"/>
        <v/>
      </c>
      <c r="P847" s="30" t="str">
        <f t="shared" si="67"/>
        <v/>
      </c>
      <c r="Q847" s="30" t="str">
        <f t="shared" si="68"/>
        <v/>
      </c>
      <c r="R847" s="30" t="str">
        <f t="shared" si="69"/>
        <v/>
      </c>
      <c r="S847" s="30" t="str">
        <f t="shared" si="70"/>
        <v/>
      </c>
    </row>
    <row r="848" spans="1:19">
      <c r="A848" s="7" t="s">
        <v>899</v>
      </c>
      <c r="B848" s="7"/>
      <c r="C848" s="7"/>
      <c r="D848" s="7"/>
      <c r="E848" s="7"/>
      <c r="F848" s="7"/>
      <c r="H848" s="7"/>
      <c r="I848" s="7"/>
      <c r="J848" s="7"/>
      <c r="K848" s="7"/>
      <c r="L848" s="7"/>
      <c r="O848" s="30" t="str">
        <f t="shared" si="66"/>
        <v/>
      </c>
      <c r="P848" s="30" t="str">
        <f t="shared" si="67"/>
        <v/>
      </c>
      <c r="Q848" s="30" t="str">
        <f t="shared" si="68"/>
        <v/>
      </c>
      <c r="R848" s="30" t="str">
        <f t="shared" si="69"/>
        <v/>
      </c>
      <c r="S848" s="30" t="str">
        <f t="shared" si="70"/>
        <v/>
      </c>
    </row>
    <row r="849" spans="1:19">
      <c r="A849" s="7" t="s">
        <v>900</v>
      </c>
      <c r="B849" s="7"/>
      <c r="C849" s="7"/>
      <c r="D849" s="7"/>
      <c r="E849" s="7"/>
      <c r="F849" s="7"/>
      <c r="H849" s="7"/>
      <c r="I849" s="7"/>
      <c r="J849" s="7"/>
      <c r="K849" s="7"/>
      <c r="L849" s="7"/>
      <c r="O849" s="30" t="str">
        <f t="shared" si="66"/>
        <v/>
      </c>
      <c r="P849" s="30" t="str">
        <f t="shared" si="67"/>
        <v/>
      </c>
      <c r="Q849" s="30" t="str">
        <f t="shared" si="68"/>
        <v/>
      </c>
      <c r="R849" s="30" t="str">
        <f t="shared" si="69"/>
        <v/>
      </c>
      <c r="S849" s="30" t="str">
        <f t="shared" si="70"/>
        <v/>
      </c>
    </row>
    <row r="850" spans="1:19">
      <c r="A850" s="7" t="s">
        <v>901</v>
      </c>
      <c r="B850" s="7"/>
      <c r="C850" s="7"/>
      <c r="D850" s="7"/>
      <c r="E850" s="7"/>
      <c r="F850" s="7"/>
      <c r="H850" s="7"/>
      <c r="I850" s="7"/>
      <c r="J850" s="7"/>
      <c r="K850" s="7"/>
      <c r="L850" s="7"/>
      <c r="O850" s="30" t="str">
        <f t="shared" si="66"/>
        <v/>
      </c>
      <c r="P850" s="30" t="str">
        <f t="shared" si="67"/>
        <v/>
      </c>
      <c r="Q850" s="30" t="str">
        <f t="shared" si="68"/>
        <v/>
      </c>
      <c r="R850" s="30" t="str">
        <f t="shared" si="69"/>
        <v/>
      </c>
      <c r="S850" s="30" t="str">
        <f t="shared" si="70"/>
        <v/>
      </c>
    </row>
    <row r="851" spans="1:19">
      <c r="A851" s="7" t="s">
        <v>902</v>
      </c>
      <c r="B851" s="7"/>
      <c r="C851" s="7"/>
      <c r="D851" s="7"/>
      <c r="E851" s="7"/>
      <c r="F851" s="7"/>
      <c r="H851" s="7"/>
      <c r="I851" s="7"/>
      <c r="J851" s="7"/>
      <c r="K851" s="7"/>
      <c r="L851" s="7"/>
      <c r="O851" s="30" t="str">
        <f t="shared" si="66"/>
        <v/>
      </c>
      <c r="P851" s="30" t="str">
        <f t="shared" si="67"/>
        <v/>
      </c>
      <c r="Q851" s="30" t="str">
        <f t="shared" si="68"/>
        <v/>
      </c>
      <c r="R851" s="30" t="str">
        <f t="shared" si="69"/>
        <v/>
      </c>
      <c r="S851" s="30" t="str">
        <f t="shared" si="70"/>
        <v/>
      </c>
    </row>
    <row r="852" spans="1:19">
      <c r="A852" s="7" t="s">
        <v>903</v>
      </c>
      <c r="B852" s="7"/>
      <c r="C852" s="7"/>
      <c r="D852" s="7"/>
      <c r="E852" s="7"/>
      <c r="F852" s="7"/>
      <c r="H852" s="7"/>
      <c r="I852" s="7"/>
      <c r="J852" s="7"/>
      <c r="K852" s="7"/>
      <c r="L852" s="7"/>
      <c r="O852" s="30" t="str">
        <f t="shared" si="66"/>
        <v/>
      </c>
      <c r="P852" s="30" t="str">
        <f t="shared" si="67"/>
        <v/>
      </c>
      <c r="Q852" s="30" t="str">
        <f t="shared" si="68"/>
        <v/>
      </c>
      <c r="R852" s="30" t="str">
        <f t="shared" si="69"/>
        <v/>
      </c>
      <c r="S852" s="30" t="str">
        <f t="shared" si="70"/>
        <v/>
      </c>
    </row>
    <row r="853" spans="1:19">
      <c r="A853" s="7" t="s">
        <v>904</v>
      </c>
      <c r="B853" s="7"/>
      <c r="C853" s="7"/>
      <c r="D853" s="7"/>
      <c r="E853" s="7"/>
      <c r="F853" s="7"/>
      <c r="H853" s="7"/>
      <c r="I853" s="7"/>
      <c r="J853" s="7"/>
      <c r="K853" s="7"/>
      <c r="L853" s="7"/>
      <c r="O853" s="30" t="str">
        <f t="shared" si="66"/>
        <v/>
      </c>
      <c r="P853" s="30" t="str">
        <f t="shared" si="67"/>
        <v/>
      </c>
      <c r="Q853" s="30" t="str">
        <f t="shared" si="68"/>
        <v/>
      </c>
      <c r="R853" s="30" t="str">
        <f t="shared" si="69"/>
        <v/>
      </c>
      <c r="S853" s="30" t="str">
        <f t="shared" si="70"/>
        <v/>
      </c>
    </row>
    <row r="854" spans="1:19">
      <c r="A854" s="7" t="s">
        <v>905</v>
      </c>
      <c r="B854" s="7"/>
      <c r="C854" s="7"/>
      <c r="D854" s="7"/>
      <c r="E854" s="7"/>
      <c r="F854" s="7"/>
      <c r="H854" s="7"/>
      <c r="I854" s="7"/>
      <c r="J854" s="7"/>
      <c r="K854" s="7"/>
      <c r="L854" s="7"/>
      <c r="O854" s="30" t="str">
        <f t="shared" si="66"/>
        <v/>
      </c>
      <c r="P854" s="30" t="str">
        <f t="shared" si="67"/>
        <v/>
      </c>
      <c r="Q854" s="30" t="str">
        <f t="shared" si="68"/>
        <v/>
      </c>
      <c r="R854" s="30" t="str">
        <f t="shared" si="69"/>
        <v/>
      </c>
      <c r="S854" s="30" t="str">
        <f t="shared" si="70"/>
        <v/>
      </c>
    </row>
    <row r="855" spans="1:19">
      <c r="A855" s="7" t="s">
        <v>906</v>
      </c>
      <c r="B855" s="7"/>
      <c r="C855" s="7"/>
      <c r="D855" s="7"/>
      <c r="E855" s="7"/>
      <c r="F855" s="7"/>
      <c r="H855" s="7"/>
      <c r="I855" s="7"/>
      <c r="J855" s="7"/>
      <c r="K855" s="7"/>
      <c r="L855" s="7"/>
      <c r="O855" s="30" t="str">
        <f t="shared" si="66"/>
        <v/>
      </c>
      <c r="P855" s="30" t="str">
        <f t="shared" si="67"/>
        <v/>
      </c>
      <c r="Q855" s="30" t="str">
        <f t="shared" si="68"/>
        <v/>
      </c>
      <c r="R855" s="30" t="str">
        <f t="shared" si="69"/>
        <v/>
      </c>
      <c r="S855" s="30" t="str">
        <f t="shared" si="70"/>
        <v/>
      </c>
    </row>
    <row r="856" spans="1:19">
      <c r="A856" s="7" t="s">
        <v>907</v>
      </c>
      <c r="B856" s="7"/>
      <c r="C856" s="7"/>
      <c r="D856" s="7"/>
      <c r="E856" s="7"/>
      <c r="F856" s="7"/>
      <c r="H856" s="7"/>
      <c r="I856" s="7"/>
      <c r="J856" s="7"/>
      <c r="K856" s="7"/>
      <c r="L856" s="7"/>
      <c r="O856" s="30" t="str">
        <f t="shared" si="66"/>
        <v/>
      </c>
      <c r="P856" s="30" t="str">
        <f t="shared" si="67"/>
        <v/>
      </c>
      <c r="Q856" s="30" t="str">
        <f t="shared" si="68"/>
        <v/>
      </c>
      <c r="R856" s="30" t="str">
        <f t="shared" si="69"/>
        <v/>
      </c>
      <c r="S856" s="30" t="str">
        <f t="shared" si="70"/>
        <v/>
      </c>
    </row>
    <row r="857" spans="1:19">
      <c r="A857" s="7" t="s">
        <v>908</v>
      </c>
      <c r="B857" s="7"/>
      <c r="C857" s="7"/>
      <c r="D857" s="7"/>
      <c r="E857" s="7"/>
      <c r="F857" s="7"/>
      <c r="H857" s="7"/>
      <c r="I857" s="7"/>
      <c r="J857" s="7"/>
      <c r="K857" s="7"/>
      <c r="L857" s="7"/>
      <c r="O857" s="30" t="str">
        <f t="shared" si="66"/>
        <v/>
      </c>
      <c r="P857" s="30" t="str">
        <f t="shared" si="67"/>
        <v/>
      </c>
      <c r="Q857" s="30" t="str">
        <f t="shared" si="68"/>
        <v/>
      </c>
      <c r="R857" s="30" t="str">
        <f t="shared" si="69"/>
        <v/>
      </c>
      <c r="S857" s="30" t="str">
        <f t="shared" si="70"/>
        <v/>
      </c>
    </row>
    <row r="858" spans="1:19">
      <c r="A858" s="7" t="s">
        <v>909</v>
      </c>
      <c r="B858" s="7"/>
      <c r="C858" s="7"/>
      <c r="D858" s="7"/>
      <c r="E858" s="7"/>
      <c r="F858" s="7"/>
      <c r="H858" s="7"/>
      <c r="I858" s="7"/>
      <c r="J858" s="7"/>
      <c r="K858" s="7"/>
      <c r="L858" s="7"/>
      <c r="O858" s="30" t="str">
        <f t="shared" si="66"/>
        <v/>
      </c>
      <c r="P858" s="30" t="str">
        <f t="shared" si="67"/>
        <v/>
      </c>
      <c r="Q858" s="30" t="str">
        <f t="shared" si="68"/>
        <v/>
      </c>
      <c r="R858" s="30" t="str">
        <f t="shared" si="69"/>
        <v/>
      </c>
      <c r="S858" s="30" t="str">
        <f t="shared" si="70"/>
        <v/>
      </c>
    </row>
    <row r="859" spans="1:19">
      <c r="A859" s="7" t="s">
        <v>910</v>
      </c>
      <c r="B859" s="7"/>
      <c r="C859" s="7"/>
      <c r="D859" s="7"/>
      <c r="E859" s="7"/>
      <c r="F859" s="7"/>
      <c r="H859" s="7"/>
      <c r="I859" s="7"/>
      <c r="J859" s="7"/>
      <c r="K859" s="7"/>
      <c r="L859" s="7"/>
      <c r="O859" s="30" t="str">
        <f t="shared" si="66"/>
        <v/>
      </c>
      <c r="P859" s="30" t="str">
        <f t="shared" si="67"/>
        <v/>
      </c>
      <c r="Q859" s="30" t="str">
        <f t="shared" si="68"/>
        <v/>
      </c>
      <c r="R859" s="30" t="str">
        <f t="shared" si="69"/>
        <v/>
      </c>
      <c r="S859" s="30" t="str">
        <f t="shared" si="70"/>
        <v/>
      </c>
    </row>
    <row r="860" spans="1:19">
      <c r="A860" s="7" t="s">
        <v>911</v>
      </c>
      <c r="B860" s="7"/>
      <c r="C860" s="7"/>
      <c r="D860" s="7"/>
      <c r="E860" s="7"/>
      <c r="F860" s="7"/>
      <c r="H860" s="7"/>
      <c r="I860" s="7"/>
      <c r="J860" s="7"/>
      <c r="K860" s="7"/>
      <c r="L860" s="7"/>
      <c r="O860" s="30" t="str">
        <f t="shared" si="66"/>
        <v/>
      </c>
      <c r="P860" s="30" t="str">
        <f t="shared" si="67"/>
        <v/>
      </c>
      <c r="Q860" s="30" t="str">
        <f t="shared" si="68"/>
        <v/>
      </c>
      <c r="R860" s="30" t="str">
        <f t="shared" si="69"/>
        <v/>
      </c>
      <c r="S860" s="30" t="str">
        <f t="shared" si="70"/>
        <v/>
      </c>
    </row>
    <row r="861" spans="1:19">
      <c r="A861" s="7" t="s">
        <v>912</v>
      </c>
      <c r="B861" s="7"/>
      <c r="C861" s="7"/>
      <c r="D861" s="7"/>
      <c r="E861" s="7"/>
      <c r="F861" s="7"/>
      <c r="H861" s="7"/>
      <c r="I861" s="7"/>
      <c r="J861" s="7"/>
      <c r="K861" s="7"/>
      <c r="L861" s="7"/>
      <c r="O861" s="30" t="str">
        <f t="shared" si="66"/>
        <v/>
      </c>
      <c r="P861" s="30" t="str">
        <f t="shared" si="67"/>
        <v/>
      </c>
      <c r="Q861" s="30" t="str">
        <f t="shared" si="68"/>
        <v/>
      </c>
      <c r="R861" s="30" t="str">
        <f t="shared" si="69"/>
        <v/>
      </c>
      <c r="S861" s="30" t="str">
        <f t="shared" si="70"/>
        <v/>
      </c>
    </row>
    <row r="862" spans="1:19">
      <c r="A862" s="7" t="s">
        <v>913</v>
      </c>
      <c r="B862" s="7"/>
      <c r="C862" s="7"/>
      <c r="D862" s="7"/>
      <c r="E862" s="7"/>
      <c r="F862" s="7"/>
      <c r="H862" s="7"/>
      <c r="I862" s="7"/>
      <c r="J862" s="7"/>
      <c r="K862" s="7"/>
      <c r="L862" s="7"/>
      <c r="O862" s="30" t="str">
        <f t="shared" si="66"/>
        <v/>
      </c>
      <c r="P862" s="30" t="str">
        <f t="shared" si="67"/>
        <v/>
      </c>
      <c r="Q862" s="30" t="str">
        <f t="shared" si="68"/>
        <v/>
      </c>
      <c r="R862" s="30" t="str">
        <f t="shared" si="69"/>
        <v/>
      </c>
      <c r="S862" s="30" t="str">
        <f t="shared" si="70"/>
        <v/>
      </c>
    </row>
    <row r="863" spans="1:19">
      <c r="A863" s="7" t="s">
        <v>914</v>
      </c>
      <c r="B863" s="7"/>
      <c r="C863" s="7"/>
      <c r="D863" s="7"/>
      <c r="E863" s="7"/>
      <c r="F863" s="7"/>
      <c r="H863" s="7"/>
      <c r="I863" s="7"/>
      <c r="J863" s="7"/>
      <c r="K863" s="7"/>
      <c r="L863" s="7"/>
      <c r="O863" s="30" t="str">
        <f t="shared" si="66"/>
        <v/>
      </c>
      <c r="P863" s="30" t="str">
        <f t="shared" si="67"/>
        <v/>
      </c>
      <c r="Q863" s="30" t="str">
        <f t="shared" si="68"/>
        <v/>
      </c>
      <c r="R863" s="30" t="str">
        <f t="shared" si="69"/>
        <v/>
      </c>
      <c r="S863" s="30" t="str">
        <f t="shared" si="70"/>
        <v/>
      </c>
    </row>
    <row r="864" spans="1:19">
      <c r="A864" s="7" t="s">
        <v>915</v>
      </c>
      <c r="B864" s="7"/>
      <c r="C864" s="7"/>
      <c r="D864" s="7"/>
      <c r="E864" s="7"/>
      <c r="F864" s="7"/>
      <c r="H864" s="7"/>
      <c r="I864" s="7"/>
      <c r="J864" s="7"/>
      <c r="K864" s="7"/>
      <c r="L864" s="7"/>
      <c r="O864" s="30" t="str">
        <f t="shared" si="66"/>
        <v/>
      </c>
      <c r="P864" s="30" t="str">
        <f t="shared" si="67"/>
        <v/>
      </c>
      <c r="Q864" s="30" t="str">
        <f t="shared" si="68"/>
        <v/>
      </c>
      <c r="R864" s="30" t="str">
        <f t="shared" si="69"/>
        <v/>
      </c>
      <c r="S864" s="30" t="str">
        <f t="shared" si="70"/>
        <v/>
      </c>
    </row>
    <row r="865" spans="1:19">
      <c r="A865" s="7" t="s">
        <v>916</v>
      </c>
      <c r="B865" s="7"/>
      <c r="C865" s="7"/>
      <c r="D865" s="7"/>
      <c r="E865" s="7"/>
      <c r="F865" s="7"/>
      <c r="H865" s="7"/>
      <c r="I865" s="7"/>
      <c r="J865" s="7"/>
      <c r="K865" s="7"/>
      <c r="L865" s="7"/>
      <c r="O865" s="30" t="str">
        <f t="shared" si="66"/>
        <v/>
      </c>
      <c r="P865" s="30" t="str">
        <f t="shared" si="67"/>
        <v/>
      </c>
      <c r="Q865" s="30" t="str">
        <f t="shared" si="68"/>
        <v/>
      </c>
      <c r="R865" s="30" t="str">
        <f t="shared" si="69"/>
        <v/>
      </c>
      <c r="S865" s="30" t="str">
        <f t="shared" si="70"/>
        <v/>
      </c>
    </row>
    <row r="866" spans="1:19">
      <c r="A866" s="7" t="s">
        <v>917</v>
      </c>
      <c r="B866" s="7"/>
      <c r="C866" s="7"/>
      <c r="D866" s="7"/>
      <c r="E866" s="7"/>
      <c r="F866" s="7"/>
      <c r="H866" s="7"/>
      <c r="I866" s="7"/>
      <c r="J866" s="7"/>
      <c r="K866" s="7"/>
      <c r="L866" s="7"/>
      <c r="O866" s="30" t="str">
        <f t="shared" si="66"/>
        <v/>
      </c>
      <c r="P866" s="30" t="str">
        <f t="shared" si="67"/>
        <v/>
      </c>
      <c r="Q866" s="30" t="str">
        <f t="shared" si="68"/>
        <v/>
      </c>
      <c r="R866" s="30" t="str">
        <f t="shared" si="69"/>
        <v/>
      </c>
      <c r="S866" s="30" t="str">
        <f t="shared" si="70"/>
        <v/>
      </c>
    </row>
    <row r="867" spans="1:19">
      <c r="A867" s="7" t="s">
        <v>918</v>
      </c>
      <c r="B867" s="7"/>
      <c r="C867" s="7"/>
      <c r="D867" s="7"/>
      <c r="E867" s="7"/>
      <c r="F867" s="7"/>
      <c r="H867" s="7"/>
      <c r="I867" s="7"/>
      <c r="J867" s="7"/>
      <c r="K867" s="7"/>
      <c r="L867" s="7"/>
      <c r="O867" s="30" t="str">
        <f t="shared" si="66"/>
        <v/>
      </c>
      <c r="P867" s="30" t="str">
        <f t="shared" si="67"/>
        <v/>
      </c>
      <c r="Q867" s="30" t="str">
        <f t="shared" si="68"/>
        <v/>
      </c>
      <c r="R867" s="30" t="str">
        <f t="shared" si="69"/>
        <v/>
      </c>
      <c r="S867" s="30" t="str">
        <f t="shared" si="70"/>
        <v/>
      </c>
    </row>
    <row r="868" spans="1:19">
      <c r="A868" s="7" t="s">
        <v>919</v>
      </c>
      <c r="B868" s="7"/>
      <c r="C868" s="7"/>
      <c r="D868" s="7"/>
      <c r="E868" s="7"/>
      <c r="F868" s="7"/>
      <c r="H868" s="7"/>
      <c r="I868" s="7"/>
      <c r="J868" s="7"/>
      <c r="K868" s="7"/>
      <c r="L868" s="7"/>
      <c r="O868" s="30" t="str">
        <f t="shared" si="66"/>
        <v/>
      </c>
      <c r="P868" s="30" t="str">
        <f t="shared" si="67"/>
        <v/>
      </c>
      <c r="Q868" s="30" t="str">
        <f t="shared" si="68"/>
        <v/>
      </c>
      <c r="R868" s="30" t="str">
        <f t="shared" si="69"/>
        <v/>
      </c>
      <c r="S868" s="30" t="str">
        <f t="shared" si="70"/>
        <v/>
      </c>
    </row>
    <row r="869" spans="1:19">
      <c r="A869" s="7" t="s">
        <v>920</v>
      </c>
      <c r="B869" s="7"/>
      <c r="C869" s="7"/>
      <c r="D869" s="7"/>
      <c r="E869" s="7"/>
      <c r="F869" s="7"/>
      <c r="H869" s="7"/>
      <c r="I869" s="7"/>
      <c r="J869" s="7"/>
      <c r="K869" s="7"/>
      <c r="L869" s="7"/>
      <c r="O869" s="30" t="str">
        <f t="shared" si="66"/>
        <v/>
      </c>
      <c r="P869" s="30" t="str">
        <f t="shared" si="67"/>
        <v/>
      </c>
      <c r="Q869" s="30" t="str">
        <f t="shared" si="68"/>
        <v/>
      </c>
      <c r="R869" s="30" t="str">
        <f t="shared" si="69"/>
        <v/>
      </c>
      <c r="S869" s="30" t="str">
        <f t="shared" si="70"/>
        <v/>
      </c>
    </row>
    <row r="870" spans="1:19">
      <c r="A870" s="7" t="s">
        <v>921</v>
      </c>
      <c r="B870" s="7"/>
      <c r="C870" s="7"/>
      <c r="D870" s="7"/>
      <c r="E870" s="7"/>
      <c r="F870" s="7"/>
      <c r="H870" s="7"/>
      <c r="I870" s="7"/>
      <c r="J870" s="7"/>
      <c r="K870" s="7"/>
      <c r="L870" s="7"/>
      <c r="O870" s="30" t="str">
        <f t="shared" si="66"/>
        <v/>
      </c>
      <c r="P870" s="30" t="str">
        <f t="shared" si="67"/>
        <v/>
      </c>
      <c r="Q870" s="30" t="str">
        <f t="shared" si="68"/>
        <v/>
      </c>
      <c r="R870" s="30" t="str">
        <f t="shared" si="69"/>
        <v/>
      </c>
      <c r="S870" s="30" t="str">
        <f t="shared" si="70"/>
        <v/>
      </c>
    </row>
    <row r="871" spans="1:19">
      <c r="A871" s="7" t="s">
        <v>922</v>
      </c>
      <c r="B871" s="7"/>
      <c r="C871" s="7"/>
      <c r="D871" s="7"/>
      <c r="E871" s="7"/>
      <c r="F871" s="7"/>
      <c r="H871" s="7"/>
      <c r="I871" s="7"/>
      <c r="J871" s="7"/>
      <c r="K871" s="7"/>
      <c r="L871" s="7"/>
      <c r="O871" s="30" t="str">
        <f t="shared" si="66"/>
        <v/>
      </c>
      <c r="P871" s="30" t="str">
        <f t="shared" si="67"/>
        <v/>
      </c>
      <c r="Q871" s="30" t="str">
        <f t="shared" si="68"/>
        <v/>
      </c>
      <c r="R871" s="30" t="str">
        <f t="shared" si="69"/>
        <v/>
      </c>
      <c r="S871" s="30" t="str">
        <f t="shared" si="70"/>
        <v/>
      </c>
    </row>
    <row r="872" spans="1:19">
      <c r="A872" s="7" t="s">
        <v>923</v>
      </c>
      <c r="B872" s="7"/>
      <c r="C872" s="7"/>
      <c r="D872" s="7"/>
      <c r="E872" s="7"/>
      <c r="F872" s="7"/>
      <c r="H872" s="7"/>
      <c r="I872" s="7"/>
      <c r="J872" s="7"/>
      <c r="K872" s="7"/>
      <c r="L872" s="7"/>
      <c r="O872" s="30" t="str">
        <f t="shared" si="66"/>
        <v/>
      </c>
      <c r="P872" s="30" t="str">
        <f t="shared" si="67"/>
        <v/>
      </c>
      <c r="Q872" s="30" t="str">
        <f t="shared" si="68"/>
        <v/>
      </c>
      <c r="R872" s="30" t="str">
        <f t="shared" si="69"/>
        <v/>
      </c>
      <c r="S872" s="30" t="str">
        <f t="shared" si="70"/>
        <v/>
      </c>
    </row>
    <row r="873" spans="1:19">
      <c r="A873" s="7" t="s">
        <v>924</v>
      </c>
      <c r="B873" s="7"/>
      <c r="C873" s="7"/>
      <c r="D873" s="7"/>
      <c r="E873" s="7"/>
      <c r="F873" s="7"/>
      <c r="H873" s="7"/>
      <c r="I873" s="7"/>
      <c r="J873" s="7"/>
      <c r="K873" s="7"/>
      <c r="L873" s="7"/>
      <c r="O873" s="30" t="str">
        <f t="shared" si="66"/>
        <v/>
      </c>
      <c r="P873" s="30" t="str">
        <f t="shared" si="67"/>
        <v/>
      </c>
      <c r="Q873" s="30" t="str">
        <f t="shared" si="68"/>
        <v/>
      </c>
      <c r="R873" s="30" t="str">
        <f t="shared" si="69"/>
        <v/>
      </c>
      <c r="S873" s="30" t="str">
        <f t="shared" si="70"/>
        <v/>
      </c>
    </row>
    <row r="874" spans="1:19">
      <c r="A874" s="7" t="s">
        <v>925</v>
      </c>
      <c r="B874" s="7"/>
      <c r="C874" s="7"/>
      <c r="D874" s="7"/>
      <c r="E874" s="7"/>
      <c r="F874" s="7"/>
      <c r="H874" s="7"/>
      <c r="I874" s="7"/>
      <c r="J874" s="7"/>
      <c r="K874" s="7"/>
      <c r="L874" s="7"/>
      <c r="O874" s="30" t="str">
        <f t="shared" si="66"/>
        <v/>
      </c>
      <c r="P874" s="30" t="str">
        <f t="shared" si="67"/>
        <v/>
      </c>
      <c r="Q874" s="30" t="str">
        <f t="shared" si="68"/>
        <v/>
      </c>
      <c r="R874" s="30" t="str">
        <f t="shared" si="69"/>
        <v/>
      </c>
      <c r="S874" s="30" t="str">
        <f t="shared" si="70"/>
        <v/>
      </c>
    </row>
    <row r="875" spans="1:19">
      <c r="A875" s="7" t="s">
        <v>926</v>
      </c>
      <c r="B875" s="7"/>
      <c r="C875" s="7"/>
      <c r="D875" s="7"/>
      <c r="E875" s="7"/>
      <c r="F875" s="7"/>
      <c r="H875" s="7"/>
      <c r="I875" s="7"/>
      <c r="J875" s="7"/>
      <c r="K875" s="7"/>
      <c r="L875" s="7"/>
      <c r="O875" s="30" t="str">
        <f t="shared" si="66"/>
        <v/>
      </c>
      <c r="P875" s="30" t="str">
        <f t="shared" si="67"/>
        <v/>
      </c>
      <c r="Q875" s="30" t="str">
        <f t="shared" si="68"/>
        <v/>
      </c>
      <c r="R875" s="30" t="str">
        <f t="shared" si="69"/>
        <v/>
      </c>
      <c r="S875" s="30" t="str">
        <f t="shared" si="70"/>
        <v/>
      </c>
    </row>
    <row r="876" spans="1:19">
      <c r="A876" s="7" t="s">
        <v>927</v>
      </c>
      <c r="B876" s="7"/>
      <c r="C876" s="7"/>
      <c r="D876" s="7"/>
      <c r="E876" s="7"/>
      <c r="F876" s="7"/>
      <c r="H876" s="7"/>
      <c r="I876" s="7"/>
      <c r="J876" s="7"/>
      <c r="K876" s="7"/>
      <c r="L876" s="7"/>
      <c r="O876" s="30" t="str">
        <f t="shared" si="66"/>
        <v/>
      </c>
      <c r="P876" s="30" t="str">
        <f t="shared" si="67"/>
        <v/>
      </c>
      <c r="Q876" s="30" t="str">
        <f t="shared" si="68"/>
        <v/>
      </c>
      <c r="R876" s="30" t="str">
        <f t="shared" si="69"/>
        <v/>
      </c>
      <c r="S876" s="30" t="str">
        <f t="shared" si="70"/>
        <v/>
      </c>
    </row>
    <row r="877" spans="1:19">
      <c r="A877" s="7" t="s">
        <v>928</v>
      </c>
      <c r="B877" s="7"/>
      <c r="C877" s="7"/>
      <c r="D877" s="7"/>
      <c r="E877" s="7"/>
      <c r="F877" s="7"/>
      <c r="H877" s="7"/>
      <c r="I877" s="7"/>
      <c r="J877" s="7"/>
      <c r="K877" s="7"/>
      <c r="L877" s="7"/>
      <c r="O877" s="30" t="str">
        <f t="shared" si="66"/>
        <v/>
      </c>
      <c r="P877" s="30" t="str">
        <f t="shared" si="67"/>
        <v/>
      </c>
      <c r="Q877" s="30" t="str">
        <f t="shared" si="68"/>
        <v/>
      </c>
      <c r="R877" s="30" t="str">
        <f t="shared" si="69"/>
        <v/>
      </c>
      <c r="S877" s="30" t="str">
        <f t="shared" si="70"/>
        <v/>
      </c>
    </row>
    <row r="878" spans="1:19">
      <c r="A878" s="7" t="s">
        <v>929</v>
      </c>
      <c r="B878" s="7"/>
      <c r="C878" s="7"/>
      <c r="D878" s="7"/>
      <c r="E878" s="7"/>
      <c r="F878" s="7"/>
      <c r="H878" s="7"/>
      <c r="I878" s="7"/>
      <c r="J878" s="7"/>
      <c r="K878" s="7"/>
      <c r="L878" s="7"/>
      <c r="O878" s="30" t="str">
        <f t="shared" si="66"/>
        <v/>
      </c>
      <c r="P878" s="30" t="str">
        <f t="shared" si="67"/>
        <v/>
      </c>
      <c r="Q878" s="30" t="str">
        <f t="shared" si="68"/>
        <v/>
      </c>
      <c r="R878" s="30" t="str">
        <f t="shared" si="69"/>
        <v/>
      </c>
      <c r="S878" s="30" t="str">
        <f t="shared" si="70"/>
        <v/>
      </c>
    </row>
    <row r="879" spans="1:19">
      <c r="A879" s="7" t="s">
        <v>930</v>
      </c>
      <c r="B879" s="7"/>
      <c r="C879" s="7"/>
      <c r="D879" s="7"/>
      <c r="E879" s="7"/>
      <c r="F879" s="7"/>
      <c r="H879" s="7"/>
      <c r="I879" s="7"/>
      <c r="J879" s="7"/>
      <c r="K879" s="7"/>
      <c r="L879" s="7"/>
      <c r="O879" s="30" t="str">
        <f t="shared" si="66"/>
        <v/>
      </c>
      <c r="P879" s="30" t="str">
        <f t="shared" si="67"/>
        <v/>
      </c>
      <c r="Q879" s="30" t="str">
        <f t="shared" si="68"/>
        <v/>
      </c>
      <c r="R879" s="30" t="str">
        <f t="shared" si="69"/>
        <v/>
      </c>
      <c r="S879" s="30" t="str">
        <f t="shared" si="70"/>
        <v/>
      </c>
    </row>
    <row r="880" spans="1:19">
      <c r="A880" s="7" t="s">
        <v>931</v>
      </c>
      <c r="B880" s="7"/>
      <c r="C880" s="7"/>
      <c r="D880" s="7"/>
      <c r="E880" s="7"/>
      <c r="F880" s="7"/>
      <c r="H880" s="7"/>
      <c r="I880" s="7"/>
      <c r="J880" s="7"/>
      <c r="K880" s="7"/>
      <c r="L880" s="7"/>
      <c r="O880" s="30" t="str">
        <f t="shared" si="66"/>
        <v/>
      </c>
      <c r="P880" s="30" t="str">
        <f t="shared" si="67"/>
        <v/>
      </c>
      <c r="Q880" s="30" t="str">
        <f t="shared" si="68"/>
        <v/>
      </c>
      <c r="R880" s="30" t="str">
        <f t="shared" si="69"/>
        <v/>
      </c>
      <c r="S880" s="30" t="str">
        <f t="shared" si="70"/>
        <v/>
      </c>
    </row>
    <row r="881" spans="1:19">
      <c r="A881" s="7" t="s">
        <v>932</v>
      </c>
      <c r="B881" s="7"/>
      <c r="C881" s="7"/>
      <c r="D881" s="7"/>
      <c r="E881" s="7"/>
      <c r="F881" s="7"/>
      <c r="H881" s="7"/>
      <c r="I881" s="7"/>
      <c r="J881" s="7"/>
      <c r="K881" s="7"/>
      <c r="L881" s="7"/>
      <c r="O881" s="30" t="str">
        <f t="shared" si="66"/>
        <v/>
      </c>
      <c r="P881" s="30" t="str">
        <f t="shared" si="67"/>
        <v/>
      </c>
      <c r="Q881" s="30" t="str">
        <f t="shared" si="68"/>
        <v/>
      </c>
      <c r="R881" s="30" t="str">
        <f t="shared" si="69"/>
        <v/>
      </c>
      <c r="S881" s="30" t="str">
        <f t="shared" si="70"/>
        <v/>
      </c>
    </row>
    <row r="882" spans="1:19">
      <c r="A882" s="7" t="s">
        <v>933</v>
      </c>
      <c r="B882" s="7"/>
      <c r="C882" s="7"/>
      <c r="D882" s="7"/>
      <c r="E882" s="7"/>
      <c r="F882" s="7"/>
      <c r="H882" s="7"/>
      <c r="I882" s="7"/>
      <c r="J882" s="7"/>
      <c r="K882" s="7"/>
      <c r="L882" s="7"/>
      <c r="O882" s="30" t="str">
        <f t="shared" si="66"/>
        <v/>
      </c>
      <c r="P882" s="30" t="str">
        <f t="shared" si="67"/>
        <v/>
      </c>
      <c r="Q882" s="30" t="str">
        <f t="shared" si="68"/>
        <v/>
      </c>
      <c r="R882" s="30" t="str">
        <f t="shared" si="69"/>
        <v/>
      </c>
      <c r="S882" s="30" t="str">
        <f t="shared" si="70"/>
        <v/>
      </c>
    </row>
    <row r="883" spans="1:19">
      <c r="A883" s="7" t="s">
        <v>934</v>
      </c>
      <c r="B883" s="7"/>
      <c r="C883" s="7"/>
      <c r="D883" s="7"/>
      <c r="E883" s="7"/>
      <c r="F883" s="7"/>
      <c r="H883" s="7"/>
      <c r="I883" s="7"/>
      <c r="J883" s="7"/>
      <c r="K883" s="7"/>
      <c r="L883" s="7"/>
      <c r="O883" s="30" t="str">
        <f t="shared" si="66"/>
        <v/>
      </c>
      <c r="P883" s="30" t="str">
        <f t="shared" si="67"/>
        <v/>
      </c>
      <c r="Q883" s="30" t="str">
        <f t="shared" si="68"/>
        <v/>
      </c>
      <c r="R883" s="30" t="str">
        <f t="shared" si="69"/>
        <v/>
      </c>
      <c r="S883" s="30" t="str">
        <f t="shared" si="70"/>
        <v/>
      </c>
    </row>
    <row r="884" spans="1:19">
      <c r="A884" s="7" t="s">
        <v>935</v>
      </c>
      <c r="B884" s="7"/>
      <c r="C884" s="7"/>
      <c r="D884" s="7"/>
      <c r="E884" s="7"/>
      <c r="F884" s="7"/>
      <c r="H884" s="7"/>
      <c r="I884" s="7"/>
      <c r="J884" s="7"/>
      <c r="K884" s="7"/>
      <c r="L884" s="7"/>
      <c r="O884" s="30" t="str">
        <f t="shared" si="66"/>
        <v/>
      </c>
      <c r="P884" s="30" t="str">
        <f t="shared" si="67"/>
        <v/>
      </c>
      <c r="Q884" s="30" t="str">
        <f t="shared" si="68"/>
        <v/>
      </c>
      <c r="R884" s="30" t="str">
        <f t="shared" si="69"/>
        <v/>
      </c>
      <c r="S884" s="30" t="str">
        <f t="shared" si="70"/>
        <v/>
      </c>
    </row>
    <row r="885" spans="1:19">
      <c r="A885" s="7" t="s">
        <v>936</v>
      </c>
      <c r="B885" s="7"/>
      <c r="C885" s="7"/>
      <c r="D885" s="7"/>
      <c r="E885" s="7"/>
      <c r="F885" s="7"/>
      <c r="H885" s="7"/>
      <c r="I885" s="7"/>
      <c r="J885" s="7"/>
      <c r="K885" s="7"/>
      <c r="L885" s="7"/>
      <c r="O885" s="30" t="str">
        <f t="shared" si="66"/>
        <v/>
      </c>
      <c r="P885" s="30" t="str">
        <f t="shared" si="67"/>
        <v/>
      </c>
      <c r="Q885" s="30" t="str">
        <f t="shared" si="68"/>
        <v/>
      </c>
      <c r="R885" s="30" t="str">
        <f t="shared" si="69"/>
        <v/>
      </c>
      <c r="S885" s="30" t="str">
        <f t="shared" si="70"/>
        <v/>
      </c>
    </row>
    <row r="886" spans="1:19">
      <c r="A886" s="7" t="s">
        <v>937</v>
      </c>
      <c r="B886" s="7"/>
      <c r="C886" s="7"/>
      <c r="D886" s="7"/>
      <c r="E886" s="7"/>
      <c r="F886" s="7"/>
      <c r="H886" s="7"/>
      <c r="I886" s="7"/>
      <c r="J886" s="7"/>
      <c r="K886" s="7"/>
      <c r="L886" s="7"/>
      <c r="O886" s="30" t="str">
        <f t="shared" si="66"/>
        <v/>
      </c>
      <c r="P886" s="30" t="str">
        <f t="shared" si="67"/>
        <v/>
      </c>
      <c r="Q886" s="30" t="str">
        <f t="shared" si="68"/>
        <v/>
      </c>
      <c r="R886" s="30" t="str">
        <f t="shared" si="69"/>
        <v/>
      </c>
      <c r="S886" s="30" t="str">
        <f t="shared" si="70"/>
        <v/>
      </c>
    </row>
    <row r="887" spans="1:19">
      <c r="A887" s="7" t="s">
        <v>938</v>
      </c>
      <c r="B887" s="7"/>
      <c r="C887" s="7"/>
      <c r="D887" s="7"/>
      <c r="E887" s="7"/>
      <c r="F887" s="7"/>
      <c r="H887" s="7"/>
      <c r="I887" s="7"/>
      <c r="J887" s="7"/>
      <c r="K887" s="7"/>
      <c r="L887" s="7"/>
      <c r="O887" s="30" t="str">
        <f t="shared" si="66"/>
        <v/>
      </c>
      <c r="P887" s="30" t="str">
        <f t="shared" si="67"/>
        <v/>
      </c>
      <c r="Q887" s="30" t="str">
        <f t="shared" si="68"/>
        <v/>
      </c>
      <c r="R887" s="30" t="str">
        <f t="shared" si="69"/>
        <v/>
      </c>
      <c r="S887" s="30" t="str">
        <f t="shared" si="70"/>
        <v/>
      </c>
    </row>
    <row r="888" spans="1:19">
      <c r="A888" s="7" t="s">
        <v>939</v>
      </c>
      <c r="B888" s="7"/>
      <c r="C888" s="7"/>
      <c r="D888" s="7"/>
      <c r="E888" s="7"/>
      <c r="F888" s="7"/>
      <c r="H888" s="7"/>
      <c r="I888" s="7"/>
      <c r="J888" s="7"/>
      <c r="K888" s="7"/>
      <c r="L888" s="7"/>
      <c r="O888" s="30" t="str">
        <f t="shared" si="66"/>
        <v/>
      </c>
      <c r="P888" s="30" t="str">
        <f t="shared" si="67"/>
        <v/>
      </c>
      <c r="Q888" s="30" t="str">
        <f t="shared" si="68"/>
        <v/>
      </c>
      <c r="R888" s="30" t="str">
        <f t="shared" si="69"/>
        <v/>
      </c>
      <c r="S888" s="30" t="str">
        <f t="shared" si="70"/>
        <v/>
      </c>
    </row>
    <row r="889" spans="1:19">
      <c r="A889" s="7" t="s">
        <v>940</v>
      </c>
      <c r="B889" s="7"/>
      <c r="C889" s="7"/>
      <c r="D889" s="7"/>
      <c r="E889" s="7"/>
      <c r="F889" s="7"/>
      <c r="H889" s="7"/>
      <c r="I889" s="7"/>
      <c r="J889" s="7"/>
      <c r="K889" s="7"/>
      <c r="L889" s="7"/>
      <c r="O889" s="30" t="str">
        <f t="shared" si="66"/>
        <v/>
      </c>
      <c r="P889" s="30" t="str">
        <f t="shared" si="67"/>
        <v/>
      </c>
      <c r="Q889" s="30" t="str">
        <f t="shared" si="68"/>
        <v/>
      </c>
      <c r="R889" s="30" t="str">
        <f t="shared" si="69"/>
        <v/>
      </c>
      <c r="S889" s="30" t="str">
        <f t="shared" si="70"/>
        <v/>
      </c>
    </row>
    <row r="890" spans="1:19">
      <c r="A890" s="7" t="s">
        <v>941</v>
      </c>
      <c r="B890" s="7"/>
      <c r="C890" s="7"/>
      <c r="D890" s="7"/>
      <c r="E890" s="7"/>
      <c r="F890" s="7"/>
      <c r="H890" s="7"/>
      <c r="I890" s="7"/>
      <c r="J890" s="7"/>
      <c r="K890" s="7"/>
      <c r="L890" s="7"/>
      <c r="O890" s="30" t="str">
        <f t="shared" si="66"/>
        <v/>
      </c>
      <c r="P890" s="30" t="str">
        <f t="shared" si="67"/>
        <v/>
      </c>
      <c r="Q890" s="30" t="str">
        <f t="shared" si="68"/>
        <v/>
      </c>
      <c r="R890" s="30" t="str">
        <f t="shared" si="69"/>
        <v/>
      </c>
      <c r="S890" s="30" t="str">
        <f t="shared" si="70"/>
        <v/>
      </c>
    </row>
    <row r="891" spans="1:19">
      <c r="A891" s="7" t="s">
        <v>942</v>
      </c>
      <c r="B891" s="7"/>
      <c r="C891" s="7"/>
      <c r="D891" s="7"/>
      <c r="E891" s="7"/>
      <c r="F891" s="7"/>
      <c r="H891" s="7"/>
      <c r="I891" s="7"/>
      <c r="J891" s="7"/>
      <c r="K891" s="7"/>
      <c r="L891" s="7"/>
      <c r="O891" s="30" t="str">
        <f t="shared" si="66"/>
        <v/>
      </c>
      <c r="P891" s="30" t="str">
        <f t="shared" si="67"/>
        <v/>
      </c>
      <c r="Q891" s="30" t="str">
        <f t="shared" si="68"/>
        <v/>
      </c>
      <c r="R891" s="30" t="str">
        <f t="shared" si="69"/>
        <v/>
      </c>
      <c r="S891" s="30" t="str">
        <f t="shared" si="70"/>
        <v/>
      </c>
    </row>
    <row r="892" spans="1:19">
      <c r="A892" s="7" t="s">
        <v>943</v>
      </c>
      <c r="B892" s="7"/>
      <c r="C892" s="7"/>
      <c r="D892" s="7"/>
      <c r="E892" s="7"/>
      <c r="F892" s="7"/>
      <c r="H892" s="7"/>
      <c r="I892" s="7"/>
      <c r="J892" s="7"/>
      <c r="K892" s="7"/>
      <c r="L892" s="7"/>
      <c r="O892" s="30" t="str">
        <f t="shared" si="66"/>
        <v/>
      </c>
      <c r="P892" s="30" t="str">
        <f t="shared" si="67"/>
        <v/>
      </c>
      <c r="Q892" s="30" t="str">
        <f t="shared" si="68"/>
        <v/>
      </c>
      <c r="R892" s="30" t="str">
        <f t="shared" si="69"/>
        <v/>
      </c>
      <c r="S892" s="30" t="str">
        <f t="shared" si="70"/>
        <v/>
      </c>
    </row>
    <row r="893" spans="1:19">
      <c r="A893" s="7" t="s">
        <v>944</v>
      </c>
      <c r="B893" s="7"/>
      <c r="C893" s="7"/>
      <c r="D893" s="7"/>
      <c r="E893" s="7"/>
      <c r="F893" s="7"/>
      <c r="H893" s="7"/>
      <c r="I893" s="7"/>
      <c r="J893" s="7"/>
      <c r="K893" s="7"/>
      <c r="L893" s="7"/>
      <c r="O893" s="30" t="str">
        <f t="shared" si="66"/>
        <v/>
      </c>
      <c r="P893" s="30" t="str">
        <f t="shared" si="67"/>
        <v/>
      </c>
      <c r="Q893" s="30" t="str">
        <f t="shared" si="68"/>
        <v/>
      </c>
      <c r="R893" s="30" t="str">
        <f t="shared" si="69"/>
        <v/>
      </c>
      <c r="S893" s="30" t="str">
        <f t="shared" si="70"/>
        <v/>
      </c>
    </row>
    <row r="894" spans="1:19">
      <c r="A894" s="7" t="s">
        <v>945</v>
      </c>
      <c r="B894" s="7"/>
      <c r="C894" s="7"/>
      <c r="D894" s="7"/>
      <c r="E894" s="7"/>
      <c r="F894" s="7"/>
      <c r="H894" s="7"/>
      <c r="I894" s="7"/>
      <c r="J894" s="7"/>
      <c r="K894" s="7"/>
      <c r="L894" s="7"/>
      <c r="O894" s="30" t="str">
        <f t="shared" si="66"/>
        <v/>
      </c>
      <c r="P894" s="30" t="str">
        <f t="shared" si="67"/>
        <v/>
      </c>
      <c r="Q894" s="30" t="str">
        <f t="shared" si="68"/>
        <v/>
      </c>
      <c r="R894" s="30" t="str">
        <f t="shared" si="69"/>
        <v/>
      </c>
      <c r="S894" s="30" t="str">
        <f t="shared" si="70"/>
        <v/>
      </c>
    </row>
    <row r="895" spans="1:19">
      <c r="A895" s="7" t="s">
        <v>946</v>
      </c>
      <c r="B895" s="7"/>
      <c r="C895" s="7"/>
      <c r="D895" s="7"/>
      <c r="E895" s="7"/>
      <c r="F895" s="7"/>
      <c r="H895" s="7"/>
      <c r="I895" s="7"/>
      <c r="J895" s="7"/>
      <c r="K895" s="7"/>
      <c r="L895" s="7"/>
      <c r="O895" s="30" t="str">
        <f t="shared" si="66"/>
        <v/>
      </c>
      <c r="P895" s="30" t="str">
        <f t="shared" si="67"/>
        <v/>
      </c>
      <c r="Q895" s="30" t="str">
        <f t="shared" si="68"/>
        <v/>
      </c>
      <c r="R895" s="30" t="str">
        <f t="shared" si="69"/>
        <v/>
      </c>
      <c r="S895" s="30" t="str">
        <f t="shared" si="70"/>
        <v/>
      </c>
    </row>
    <row r="896" spans="1:19">
      <c r="A896" s="7" t="s">
        <v>947</v>
      </c>
      <c r="B896" s="7"/>
      <c r="C896" s="7"/>
      <c r="D896" s="7"/>
      <c r="E896" s="7"/>
      <c r="F896" s="7"/>
      <c r="H896" s="7"/>
      <c r="I896" s="7"/>
      <c r="J896" s="7"/>
      <c r="K896" s="7"/>
      <c r="L896" s="7"/>
      <c r="O896" s="30" t="str">
        <f t="shared" si="66"/>
        <v/>
      </c>
      <c r="P896" s="30" t="str">
        <f t="shared" si="67"/>
        <v/>
      </c>
      <c r="Q896" s="30" t="str">
        <f t="shared" si="68"/>
        <v/>
      </c>
      <c r="R896" s="30" t="str">
        <f t="shared" si="69"/>
        <v/>
      </c>
      <c r="S896" s="30" t="str">
        <f t="shared" si="70"/>
        <v/>
      </c>
    </row>
    <row r="897" spans="1:19">
      <c r="A897" s="7" t="s">
        <v>948</v>
      </c>
      <c r="B897" s="7"/>
      <c r="C897" s="7"/>
      <c r="D897" s="7"/>
      <c r="E897" s="7"/>
      <c r="F897" s="7"/>
      <c r="H897" s="7"/>
      <c r="I897" s="7"/>
      <c r="J897" s="7"/>
      <c r="K897" s="7"/>
      <c r="L897" s="7"/>
      <c r="O897" s="30" t="str">
        <f t="shared" si="66"/>
        <v/>
      </c>
      <c r="P897" s="30" t="str">
        <f t="shared" si="67"/>
        <v/>
      </c>
      <c r="Q897" s="30" t="str">
        <f t="shared" si="68"/>
        <v/>
      </c>
      <c r="R897" s="30" t="str">
        <f t="shared" si="69"/>
        <v/>
      </c>
      <c r="S897" s="30" t="str">
        <f t="shared" si="70"/>
        <v/>
      </c>
    </row>
    <row r="898" spans="1:19">
      <c r="A898" s="7" t="s">
        <v>949</v>
      </c>
      <c r="B898" s="7"/>
      <c r="C898" s="7"/>
      <c r="D898" s="7"/>
      <c r="E898" s="7"/>
      <c r="F898" s="7"/>
      <c r="H898" s="7"/>
      <c r="I898" s="7"/>
      <c r="J898" s="7"/>
      <c r="K898" s="7"/>
      <c r="L898" s="7"/>
      <c r="O898" s="30" t="str">
        <f t="shared" si="66"/>
        <v/>
      </c>
      <c r="P898" s="30" t="str">
        <f t="shared" si="67"/>
        <v/>
      </c>
      <c r="Q898" s="30" t="str">
        <f t="shared" si="68"/>
        <v/>
      </c>
      <c r="R898" s="30" t="str">
        <f t="shared" si="69"/>
        <v/>
      </c>
      <c r="S898" s="30" t="str">
        <f t="shared" si="70"/>
        <v/>
      </c>
    </row>
    <row r="899" spans="1:19">
      <c r="A899" s="7" t="s">
        <v>950</v>
      </c>
      <c r="B899" s="7"/>
      <c r="C899" s="7"/>
      <c r="D899" s="7"/>
      <c r="E899" s="7"/>
      <c r="F899" s="7"/>
      <c r="H899" s="7"/>
      <c r="I899" s="7"/>
      <c r="J899" s="7"/>
      <c r="K899" s="7"/>
      <c r="L899" s="7"/>
      <c r="O899" s="30" t="str">
        <f t="shared" si="66"/>
        <v/>
      </c>
      <c r="P899" s="30" t="str">
        <f t="shared" si="67"/>
        <v/>
      </c>
      <c r="Q899" s="30" t="str">
        <f t="shared" si="68"/>
        <v/>
      </c>
      <c r="R899" s="30" t="str">
        <f t="shared" si="69"/>
        <v/>
      </c>
      <c r="S899" s="30" t="str">
        <f t="shared" si="70"/>
        <v/>
      </c>
    </row>
    <row r="900" spans="1:19">
      <c r="A900" s="7" t="s">
        <v>951</v>
      </c>
      <c r="B900" s="7"/>
      <c r="C900" s="7"/>
      <c r="D900" s="7"/>
      <c r="E900" s="7"/>
      <c r="F900" s="7"/>
      <c r="H900" s="7"/>
      <c r="I900" s="7"/>
      <c r="J900" s="7"/>
      <c r="K900" s="7"/>
      <c r="L900" s="7"/>
      <c r="O900" s="30" t="str">
        <f t="shared" si="66"/>
        <v/>
      </c>
      <c r="P900" s="30" t="str">
        <f t="shared" si="67"/>
        <v/>
      </c>
      <c r="Q900" s="30" t="str">
        <f t="shared" si="68"/>
        <v/>
      </c>
      <c r="R900" s="30" t="str">
        <f t="shared" si="69"/>
        <v/>
      </c>
      <c r="S900" s="30" t="str">
        <f t="shared" si="70"/>
        <v/>
      </c>
    </row>
    <row r="901" spans="1:19">
      <c r="A901" s="7" t="s">
        <v>952</v>
      </c>
      <c r="B901" s="7"/>
      <c r="C901" s="7"/>
      <c r="D901" s="7"/>
      <c r="E901" s="7"/>
      <c r="F901" s="7"/>
      <c r="H901" s="7"/>
      <c r="I901" s="7"/>
      <c r="J901" s="7"/>
      <c r="K901" s="7"/>
      <c r="L901" s="7"/>
      <c r="O901" s="30" t="str">
        <f t="shared" si="66"/>
        <v/>
      </c>
      <c r="P901" s="30" t="str">
        <f t="shared" si="67"/>
        <v/>
      </c>
      <c r="Q901" s="30" t="str">
        <f t="shared" si="68"/>
        <v/>
      </c>
      <c r="R901" s="30" t="str">
        <f t="shared" si="69"/>
        <v/>
      </c>
      <c r="S901" s="30" t="str">
        <f t="shared" si="70"/>
        <v/>
      </c>
    </row>
    <row r="902" spans="1:19">
      <c r="A902" s="7" t="s">
        <v>953</v>
      </c>
      <c r="B902" s="7"/>
      <c r="C902" s="7"/>
      <c r="D902" s="7"/>
      <c r="E902" s="7"/>
      <c r="F902" s="7"/>
      <c r="H902" s="7"/>
      <c r="I902" s="7"/>
      <c r="J902" s="7"/>
      <c r="K902" s="7"/>
      <c r="L902" s="7"/>
      <c r="O902" s="30" t="str">
        <f t="shared" si="66"/>
        <v/>
      </c>
      <c r="P902" s="30" t="str">
        <f t="shared" si="67"/>
        <v/>
      </c>
      <c r="Q902" s="30" t="str">
        <f t="shared" si="68"/>
        <v/>
      </c>
      <c r="R902" s="30" t="str">
        <f t="shared" si="69"/>
        <v/>
      </c>
      <c r="S902" s="30" t="str">
        <f t="shared" si="70"/>
        <v/>
      </c>
    </row>
    <row r="903" spans="1:19">
      <c r="A903" s="7" t="s">
        <v>954</v>
      </c>
      <c r="B903" s="7"/>
      <c r="C903" s="7"/>
      <c r="D903" s="7"/>
      <c r="E903" s="7"/>
      <c r="F903" s="7"/>
      <c r="H903" s="7"/>
      <c r="I903" s="7"/>
      <c r="J903" s="7"/>
      <c r="K903" s="7"/>
      <c r="L903" s="7"/>
      <c r="O903" s="30" t="str">
        <f t="shared" si="66"/>
        <v/>
      </c>
      <c r="P903" s="30" t="str">
        <f t="shared" si="67"/>
        <v/>
      </c>
      <c r="Q903" s="30" t="str">
        <f t="shared" si="68"/>
        <v/>
      </c>
      <c r="R903" s="30" t="str">
        <f t="shared" si="69"/>
        <v/>
      </c>
      <c r="S903" s="30" t="str">
        <f t="shared" si="70"/>
        <v/>
      </c>
    </row>
    <row r="904" spans="1:19">
      <c r="A904" s="7" t="s">
        <v>955</v>
      </c>
      <c r="B904" s="7"/>
      <c r="C904" s="7"/>
      <c r="D904" s="7"/>
      <c r="E904" s="7"/>
      <c r="F904" s="7"/>
      <c r="H904" s="7"/>
      <c r="I904" s="7"/>
      <c r="J904" s="7"/>
      <c r="K904" s="7"/>
      <c r="L904" s="7"/>
      <c r="O904" s="30" t="str">
        <f t="shared" si="66"/>
        <v/>
      </c>
      <c r="P904" s="30" t="str">
        <f t="shared" si="67"/>
        <v/>
      </c>
      <c r="Q904" s="30" t="str">
        <f t="shared" si="68"/>
        <v/>
      </c>
      <c r="R904" s="30" t="str">
        <f t="shared" si="69"/>
        <v/>
      </c>
      <c r="S904" s="30" t="str">
        <f t="shared" si="70"/>
        <v/>
      </c>
    </row>
    <row r="905" spans="1:19">
      <c r="A905" s="7" t="s">
        <v>956</v>
      </c>
      <c r="B905" s="7"/>
      <c r="C905" s="7"/>
      <c r="D905" s="7"/>
      <c r="E905" s="7"/>
      <c r="F905" s="7"/>
      <c r="H905" s="7"/>
      <c r="I905" s="7"/>
      <c r="J905" s="7"/>
      <c r="K905" s="7"/>
      <c r="L905" s="7"/>
      <c r="O905" s="30" t="str">
        <f t="shared" ref="O905:O968" si="71">IF(H905&gt;0,"Angebot offen","")</f>
        <v/>
      </c>
      <c r="P905" s="30" t="str">
        <f t="shared" ref="P905:P968" si="72">IF(I905&gt;0,"Angebot offen","")</f>
        <v/>
      </c>
      <c r="Q905" s="30" t="str">
        <f t="shared" ref="Q905:Q968" si="73">IF(J905&gt;0,"Angebot offen","")</f>
        <v/>
      </c>
      <c r="R905" s="30" t="str">
        <f t="shared" ref="R905:R968" si="74">IF(K905&gt;0,"Angebot offen","")</f>
        <v/>
      </c>
      <c r="S905" s="30" t="str">
        <f t="shared" ref="S905:S968" si="75">IF(L905&gt;0,"Angebot offen","")</f>
        <v/>
      </c>
    </row>
    <row r="906" spans="1:19">
      <c r="A906" s="7" t="s">
        <v>957</v>
      </c>
      <c r="B906" s="7"/>
      <c r="C906" s="7"/>
      <c r="D906" s="7"/>
      <c r="E906" s="7"/>
      <c r="F906" s="7"/>
      <c r="H906" s="7"/>
      <c r="I906" s="7"/>
      <c r="J906" s="7"/>
      <c r="K906" s="7"/>
      <c r="L906" s="7"/>
      <c r="O906" s="30" t="str">
        <f t="shared" si="71"/>
        <v/>
      </c>
      <c r="P906" s="30" t="str">
        <f t="shared" si="72"/>
        <v/>
      </c>
      <c r="Q906" s="30" t="str">
        <f t="shared" si="73"/>
        <v/>
      </c>
      <c r="R906" s="30" t="str">
        <f t="shared" si="74"/>
        <v/>
      </c>
      <c r="S906" s="30" t="str">
        <f t="shared" si="75"/>
        <v/>
      </c>
    </row>
    <row r="907" spans="1:19">
      <c r="A907" s="7" t="s">
        <v>958</v>
      </c>
      <c r="B907" s="7"/>
      <c r="C907" s="7"/>
      <c r="D907" s="7"/>
      <c r="E907" s="7"/>
      <c r="F907" s="7"/>
      <c r="H907" s="7"/>
      <c r="I907" s="7"/>
      <c r="J907" s="7"/>
      <c r="K907" s="7"/>
      <c r="L907" s="7"/>
      <c r="O907" s="30" t="str">
        <f t="shared" si="71"/>
        <v/>
      </c>
      <c r="P907" s="30" t="str">
        <f t="shared" si="72"/>
        <v/>
      </c>
      <c r="Q907" s="30" t="str">
        <f t="shared" si="73"/>
        <v/>
      </c>
      <c r="R907" s="30" t="str">
        <f t="shared" si="74"/>
        <v/>
      </c>
      <c r="S907" s="30" t="str">
        <f t="shared" si="75"/>
        <v/>
      </c>
    </row>
    <row r="908" spans="1:19">
      <c r="A908" s="7" t="s">
        <v>959</v>
      </c>
      <c r="B908" s="7"/>
      <c r="C908" s="7"/>
      <c r="D908" s="7"/>
      <c r="E908" s="7"/>
      <c r="F908" s="7"/>
      <c r="H908" s="7"/>
      <c r="I908" s="7"/>
      <c r="J908" s="7"/>
      <c r="K908" s="7"/>
      <c r="L908" s="7"/>
      <c r="O908" s="30" t="str">
        <f t="shared" si="71"/>
        <v/>
      </c>
      <c r="P908" s="30" t="str">
        <f t="shared" si="72"/>
        <v/>
      </c>
      <c r="Q908" s="30" t="str">
        <f t="shared" si="73"/>
        <v/>
      </c>
      <c r="R908" s="30" t="str">
        <f t="shared" si="74"/>
        <v/>
      </c>
      <c r="S908" s="30" t="str">
        <f t="shared" si="75"/>
        <v/>
      </c>
    </row>
    <row r="909" spans="1:19">
      <c r="A909" s="7" t="s">
        <v>960</v>
      </c>
      <c r="B909" s="7"/>
      <c r="C909" s="7"/>
      <c r="D909" s="7"/>
      <c r="E909" s="7"/>
      <c r="F909" s="7"/>
      <c r="H909" s="7"/>
      <c r="I909" s="7"/>
      <c r="J909" s="7"/>
      <c r="K909" s="7"/>
      <c r="L909" s="7"/>
      <c r="O909" s="30" t="str">
        <f t="shared" si="71"/>
        <v/>
      </c>
      <c r="P909" s="30" t="str">
        <f t="shared" si="72"/>
        <v/>
      </c>
      <c r="Q909" s="30" t="str">
        <f t="shared" si="73"/>
        <v/>
      </c>
      <c r="R909" s="30" t="str">
        <f t="shared" si="74"/>
        <v/>
      </c>
      <c r="S909" s="30" t="str">
        <f t="shared" si="75"/>
        <v/>
      </c>
    </row>
    <row r="910" spans="1:19">
      <c r="A910" s="7" t="s">
        <v>961</v>
      </c>
      <c r="B910" s="7"/>
      <c r="C910" s="7"/>
      <c r="D910" s="7"/>
      <c r="E910" s="7"/>
      <c r="F910" s="7"/>
      <c r="H910" s="7"/>
      <c r="I910" s="7"/>
      <c r="J910" s="7"/>
      <c r="K910" s="7"/>
      <c r="L910" s="7"/>
      <c r="O910" s="30" t="str">
        <f t="shared" si="71"/>
        <v/>
      </c>
      <c r="P910" s="30" t="str">
        <f t="shared" si="72"/>
        <v/>
      </c>
      <c r="Q910" s="30" t="str">
        <f t="shared" si="73"/>
        <v/>
      </c>
      <c r="R910" s="30" t="str">
        <f t="shared" si="74"/>
        <v/>
      </c>
      <c r="S910" s="30" t="str">
        <f t="shared" si="75"/>
        <v/>
      </c>
    </row>
    <row r="911" spans="1:19">
      <c r="A911" s="7" t="s">
        <v>962</v>
      </c>
      <c r="B911" s="7"/>
      <c r="C911" s="7"/>
      <c r="D911" s="7"/>
      <c r="E911" s="7"/>
      <c r="F911" s="7"/>
      <c r="H911" s="7"/>
      <c r="I911" s="7"/>
      <c r="J911" s="7"/>
      <c r="K911" s="7"/>
      <c r="L911" s="7"/>
      <c r="O911" s="30" t="str">
        <f t="shared" si="71"/>
        <v/>
      </c>
      <c r="P911" s="30" t="str">
        <f t="shared" si="72"/>
        <v/>
      </c>
      <c r="Q911" s="30" t="str">
        <f t="shared" si="73"/>
        <v/>
      </c>
      <c r="R911" s="30" t="str">
        <f t="shared" si="74"/>
        <v/>
      </c>
      <c r="S911" s="30" t="str">
        <f t="shared" si="75"/>
        <v/>
      </c>
    </row>
    <row r="912" spans="1:19">
      <c r="A912" s="7" t="s">
        <v>963</v>
      </c>
      <c r="B912" s="7"/>
      <c r="C912" s="7"/>
      <c r="D912" s="7"/>
      <c r="E912" s="7"/>
      <c r="F912" s="7"/>
      <c r="H912" s="7"/>
      <c r="I912" s="7"/>
      <c r="J912" s="7"/>
      <c r="K912" s="7"/>
      <c r="L912" s="7"/>
      <c r="O912" s="30" t="str">
        <f t="shared" si="71"/>
        <v/>
      </c>
      <c r="P912" s="30" t="str">
        <f t="shared" si="72"/>
        <v/>
      </c>
      <c r="Q912" s="30" t="str">
        <f t="shared" si="73"/>
        <v/>
      </c>
      <c r="R912" s="30" t="str">
        <f t="shared" si="74"/>
        <v/>
      </c>
      <c r="S912" s="30" t="str">
        <f t="shared" si="75"/>
        <v/>
      </c>
    </row>
    <row r="913" spans="1:19">
      <c r="A913" s="7" t="s">
        <v>964</v>
      </c>
      <c r="B913" s="7"/>
      <c r="C913" s="7"/>
      <c r="D913" s="7"/>
      <c r="E913" s="7"/>
      <c r="F913" s="7"/>
      <c r="H913" s="7"/>
      <c r="I913" s="7"/>
      <c r="J913" s="7"/>
      <c r="K913" s="7"/>
      <c r="L913" s="7"/>
      <c r="O913" s="30" t="str">
        <f t="shared" si="71"/>
        <v/>
      </c>
      <c r="P913" s="30" t="str">
        <f t="shared" si="72"/>
        <v/>
      </c>
      <c r="Q913" s="30" t="str">
        <f t="shared" si="73"/>
        <v/>
      </c>
      <c r="R913" s="30" t="str">
        <f t="shared" si="74"/>
        <v/>
      </c>
      <c r="S913" s="30" t="str">
        <f t="shared" si="75"/>
        <v/>
      </c>
    </row>
    <row r="914" spans="1:19">
      <c r="A914" s="7" t="s">
        <v>965</v>
      </c>
      <c r="B914" s="7"/>
      <c r="C914" s="7"/>
      <c r="D914" s="7"/>
      <c r="E914" s="7"/>
      <c r="F914" s="7"/>
      <c r="H914" s="7"/>
      <c r="I914" s="7"/>
      <c r="J914" s="7"/>
      <c r="K914" s="7"/>
      <c r="L914" s="7"/>
      <c r="O914" s="30" t="str">
        <f t="shared" si="71"/>
        <v/>
      </c>
      <c r="P914" s="30" t="str">
        <f t="shared" si="72"/>
        <v/>
      </c>
      <c r="Q914" s="30" t="str">
        <f t="shared" si="73"/>
        <v/>
      </c>
      <c r="R914" s="30" t="str">
        <f t="shared" si="74"/>
        <v/>
      </c>
      <c r="S914" s="30" t="str">
        <f t="shared" si="75"/>
        <v/>
      </c>
    </row>
    <row r="915" spans="1:19">
      <c r="A915" s="7" t="s">
        <v>966</v>
      </c>
      <c r="B915" s="7"/>
      <c r="C915" s="7"/>
      <c r="D915" s="7"/>
      <c r="E915" s="7"/>
      <c r="F915" s="7"/>
      <c r="H915" s="7"/>
      <c r="I915" s="7"/>
      <c r="J915" s="7"/>
      <c r="K915" s="7"/>
      <c r="L915" s="7"/>
      <c r="O915" s="30" t="str">
        <f t="shared" si="71"/>
        <v/>
      </c>
      <c r="P915" s="30" t="str">
        <f t="shared" si="72"/>
        <v/>
      </c>
      <c r="Q915" s="30" t="str">
        <f t="shared" si="73"/>
        <v/>
      </c>
      <c r="R915" s="30" t="str">
        <f t="shared" si="74"/>
        <v/>
      </c>
      <c r="S915" s="30" t="str">
        <f t="shared" si="75"/>
        <v/>
      </c>
    </row>
    <row r="916" spans="1:19">
      <c r="A916" s="7" t="s">
        <v>967</v>
      </c>
      <c r="B916" s="7"/>
      <c r="C916" s="7"/>
      <c r="D916" s="7"/>
      <c r="E916" s="7"/>
      <c r="F916" s="7"/>
      <c r="H916" s="7"/>
      <c r="I916" s="7"/>
      <c r="J916" s="7"/>
      <c r="K916" s="7"/>
      <c r="L916" s="7"/>
      <c r="O916" s="30" t="str">
        <f t="shared" si="71"/>
        <v/>
      </c>
      <c r="P916" s="30" t="str">
        <f t="shared" si="72"/>
        <v/>
      </c>
      <c r="Q916" s="30" t="str">
        <f t="shared" si="73"/>
        <v/>
      </c>
      <c r="R916" s="30" t="str">
        <f t="shared" si="74"/>
        <v/>
      </c>
      <c r="S916" s="30" t="str">
        <f t="shared" si="75"/>
        <v/>
      </c>
    </row>
    <row r="917" spans="1:19">
      <c r="A917" s="7" t="s">
        <v>968</v>
      </c>
      <c r="B917" s="7"/>
      <c r="C917" s="7"/>
      <c r="D917" s="7"/>
      <c r="E917" s="7"/>
      <c r="F917" s="7"/>
      <c r="H917" s="7"/>
      <c r="I917" s="7"/>
      <c r="J917" s="7"/>
      <c r="K917" s="7"/>
      <c r="L917" s="7"/>
      <c r="O917" s="30" t="str">
        <f t="shared" si="71"/>
        <v/>
      </c>
      <c r="P917" s="30" t="str">
        <f t="shared" si="72"/>
        <v/>
      </c>
      <c r="Q917" s="30" t="str">
        <f t="shared" si="73"/>
        <v/>
      </c>
      <c r="R917" s="30" t="str">
        <f t="shared" si="74"/>
        <v/>
      </c>
      <c r="S917" s="30" t="str">
        <f t="shared" si="75"/>
        <v/>
      </c>
    </row>
    <row r="918" spans="1:19">
      <c r="A918" s="7" t="s">
        <v>969</v>
      </c>
      <c r="B918" s="7"/>
      <c r="C918" s="7"/>
      <c r="D918" s="7"/>
      <c r="E918" s="7"/>
      <c r="F918" s="7"/>
      <c r="H918" s="7"/>
      <c r="I918" s="7"/>
      <c r="J918" s="7"/>
      <c r="K918" s="7"/>
      <c r="L918" s="7"/>
      <c r="O918" s="30" t="str">
        <f t="shared" si="71"/>
        <v/>
      </c>
      <c r="P918" s="30" t="str">
        <f t="shared" si="72"/>
        <v/>
      </c>
      <c r="Q918" s="30" t="str">
        <f t="shared" si="73"/>
        <v/>
      </c>
      <c r="R918" s="30" t="str">
        <f t="shared" si="74"/>
        <v/>
      </c>
      <c r="S918" s="30" t="str">
        <f t="shared" si="75"/>
        <v/>
      </c>
    </row>
    <row r="919" spans="1:19">
      <c r="A919" s="7" t="s">
        <v>970</v>
      </c>
      <c r="B919" s="7"/>
      <c r="C919" s="7"/>
      <c r="D919" s="7"/>
      <c r="E919" s="7"/>
      <c r="F919" s="7"/>
      <c r="H919" s="7"/>
      <c r="I919" s="7"/>
      <c r="J919" s="7"/>
      <c r="K919" s="7"/>
      <c r="L919" s="7"/>
      <c r="O919" s="30" t="str">
        <f t="shared" si="71"/>
        <v/>
      </c>
      <c r="P919" s="30" t="str">
        <f t="shared" si="72"/>
        <v/>
      </c>
      <c r="Q919" s="30" t="str">
        <f t="shared" si="73"/>
        <v/>
      </c>
      <c r="R919" s="30" t="str">
        <f t="shared" si="74"/>
        <v/>
      </c>
      <c r="S919" s="30" t="str">
        <f t="shared" si="75"/>
        <v/>
      </c>
    </row>
    <row r="920" spans="1:19">
      <c r="A920" s="7" t="s">
        <v>971</v>
      </c>
      <c r="B920" s="7"/>
      <c r="C920" s="7"/>
      <c r="D920" s="7"/>
      <c r="E920" s="7"/>
      <c r="F920" s="7"/>
      <c r="H920" s="7"/>
      <c r="I920" s="7"/>
      <c r="J920" s="7"/>
      <c r="K920" s="7"/>
      <c r="L920" s="7"/>
      <c r="O920" s="30" t="str">
        <f t="shared" si="71"/>
        <v/>
      </c>
      <c r="P920" s="30" t="str">
        <f t="shared" si="72"/>
        <v/>
      </c>
      <c r="Q920" s="30" t="str">
        <f t="shared" si="73"/>
        <v/>
      </c>
      <c r="R920" s="30" t="str">
        <f t="shared" si="74"/>
        <v/>
      </c>
      <c r="S920" s="30" t="str">
        <f t="shared" si="75"/>
        <v/>
      </c>
    </row>
    <row r="921" spans="1:19">
      <c r="A921" s="7" t="s">
        <v>972</v>
      </c>
      <c r="B921" s="7"/>
      <c r="C921" s="7"/>
      <c r="D921" s="7"/>
      <c r="E921" s="7"/>
      <c r="F921" s="7"/>
      <c r="H921" s="7"/>
      <c r="I921" s="7"/>
      <c r="J921" s="7"/>
      <c r="K921" s="7"/>
      <c r="L921" s="7"/>
      <c r="O921" s="30" t="str">
        <f t="shared" si="71"/>
        <v/>
      </c>
      <c r="P921" s="30" t="str">
        <f t="shared" si="72"/>
        <v/>
      </c>
      <c r="Q921" s="30" t="str">
        <f t="shared" si="73"/>
        <v/>
      </c>
      <c r="R921" s="30" t="str">
        <f t="shared" si="74"/>
        <v/>
      </c>
      <c r="S921" s="30" t="str">
        <f t="shared" si="75"/>
        <v/>
      </c>
    </row>
    <row r="922" spans="1:19">
      <c r="A922" s="7" t="s">
        <v>973</v>
      </c>
      <c r="B922" s="7"/>
      <c r="C922" s="7"/>
      <c r="D922" s="7"/>
      <c r="E922" s="7"/>
      <c r="F922" s="7"/>
      <c r="H922" s="7"/>
      <c r="I922" s="7"/>
      <c r="J922" s="7"/>
      <c r="K922" s="7"/>
      <c r="L922" s="7"/>
      <c r="O922" s="30" t="str">
        <f t="shared" si="71"/>
        <v/>
      </c>
      <c r="P922" s="30" t="str">
        <f t="shared" si="72"/>
        <v/>
      </c>
      <c r="Q922" s="30" t="str">
        <f t="shared" si="73"/>
        <v/>
      </c>
      <c r="R922" s="30" t="str">
        <f t="shared" si="74"/>
        <v/>
      </c>
      <c r="S922" s="30" t="str">
        <f t="shared" si="75"/>
        <v/>
      </c>
    </row>
    <row r="923" spans="1:19">
      <c r="A923" s="7" t="s">
        <v>974</v>
      </c>
      <c r="B923" s="7"/>
      <c r="C923" s="7"/>
      <c r="D923" s="7"/>
      <c r="E923" s="7"/>
      <c r="F923" s="7"/>
      <c r="H923" s="7"/>
      <c r="I923" s="7"/>
      <c r="J923" s="7"/>
      <c r="K923" s="7"/>
      <c r="L923" s="7"/>
      <c r="O923" s="30" t="str">
        <f t="shared" si="71"/>
        <v/>
      </c>
      <c r="P923" s="30" t="str">
        <f t="shared" si="72"/>
        <v/>
      </c>
      <c r="Q923" s="30" t="str">
        <f t="shared" si="73"/>
        <v/>
      </c>
      <c r="R923" s="30" t="str">
        <f t="shared" si="74"/>
        <v/>
      </c>
      <c r="S923" s="30" t="str">
        <f t="shared" si="75"/>
        <v/>
      </c>
    </row>
    <row r="924" spans="1:19">
      <c r="A924" s="7" t="s">
        <v>975</v>
      </c>
      <c r="B924" s="7"/>
      <c r="C924" s="7"/>
      <c r="D924" s="7"/>
      <c r="E924" s="7"/>
      <c r="F924" s="7"/>
      <c r="H924" s="7"/>
      <c r="I924" s="7"/>
      <c r="J924" s="7"/>
      <c r="K924" s="7"/>
      <c r="L924" s="7"/>
      <c r="O924" s="30" t="str">
        <f t="shared" si="71"/>
        <v/>
      </c>
      <c r="P924" s="30" t="str">
        <f t="shared" si="72"/>
        <v/>
      </c>
      <c r="Q924" s="30" t="str">
        <f t="shared" si="73"/>
        <v/>
      </c>
      <c r="R924" s="30" t="str">
        <f t="shared" si="74"/>
        <v/>
      </c>
      <c r="S924" s="30" t="str">
        <f t="shared" si="75"/>
        <v/>
      </c>
    </row>
    <row r="925" spans="1:19">
      <c r="A925" s="7" t="s">
        <v>976</v>
      </c>
      <c r="B925" s="7"/>
      <c r="C925" s="7"/>
      <c r="D925" s="7"/>
      <c r="E925" s="7"/>
      <c r="F925" s="7"/>
      <c r="H925" s="7"/>
      <c r="I925" s="7"/>
      <c r="J925" s="7"/>
      <c r="K925" s="7"/>
      <c r="L925" s="7"/>
      <c r="O925" s="30" t="str">
        <f t="shared" si="71"/>
        <v/>
      </c>
      <c r="P925" s="30" t="str">
        <f t="shared" si="72"/>
        <v/>
      </c>
      <c r="Q925" s="30" t="str">
        <f t="shared" si="73"/>
        <v/>
      </c>
      <c r="R925" s="30" t="str">
        <f t="shared" si="74"/>
        <v/>
      </c>
      <c r="S925" s="30" t="str">
        <f t="shared" si="75"/>
        <v/>
      </c>
    </row>
    <row r="926" spans="1:19">
      <c r="A926" s="7" t="s">
        <v>977</v>
      </c>
      <c r="B926" s="7"/>
      <c r="C926" s="7"/>
      <c r="D926" s="7"/>
      <c r="E926" s="7"/>
      <c r="F926" s="7"/>
      <c r="H926" s="7"/>
      <c r="I926" s="7"/>
      <c r="J926" s="7"/>
      <c r="K926" s="7"/>
      <c r="L926" s="7"/>
      <c r="O926" s="30" t="str">
        <f t="shared" si="71"/>
        <v/>
      </c>
      <c r="P926" s="30" t="str">
        <f t="shared" si="72"/>
        <v/>
      </c>
      <c r="Q926" s="30" t="str">
        <f t="shared" si="73"/>
        <v/>
      </c>
      <c r="R926" s="30" t="str">
        <f t="shared" si="74"/>
        <v/>
      </c>
      <c r="S926" s="30" t="str">
        <f t="shared" si="75"/>
        <v/>
      </c>
    </row>
    <row r="927" spans="1:19">
      <c r="A927" s="7" t="s">
        <v>978</v>
      </c>
      <c r="B927" s="7"/>
      <c r="C927" s="7"/>
      <c r="D927" s="7"/>
      <c r="E927" s="7"/>
      <c r="F927" s="7"/>
      <c r="H927" s="7"/>
      <c r="I927" s="7"/>
      <c r="J927" s="7"/>
      <c r="K927" s="7"/>
      <c r="L927" s="7"/>
      <c r="O927" s="30" t="str">
        <f t="shared" si="71"/>
        <v/>
      </c>
      <c r="P927" s="30" t="str">
        <f t="shared" si="72"/>
        <v/>
      </c>
      <c r="Q927" s="30" t="str">
        <f t="shared" si="73"/>
        <v/>
      </c>
      <c r="R927" s="30" t="str">
        <f t="shared" si="74"/>
        <v/>
      </c>
      <c r="S927" s="30" t="str">
        <f t="shared" si="75"/>
        <v/>
      </c>
    </row>
    <row r="928" spans="1:19">
      <c r="A928" s="7" t="s">
        <v>979</v>
      </c>
      <c r="B928" s="7"/>
      <c r="C928" s="7"/>
      <c r="D928" s="7"/>
      <c r="E928" s="7"/>
      <c r="F928" s="7"/>
      <c r="H928" s="7"/>
      <c r="I928" s="7"/>
      <c r="J928" s="7"/>
      <c r="K928" s="7"/>
      <c r="L928" s="7"/>
      <c r="O928" s="30" t="str">
        <f t="shared" si="71"/>
        <v/>
      </c>
      <c r="P928" s="30" t="str">
        <f t="shared" si="72"/>
        <v/>
      </c>
      <c r="Q928" s="30" t="str">
        <f t="shared" si="73"/>
        <v/>
      </c>
      <c r="R928" s="30" t="str">
        <f t="shared" si="74"/>
        <v/>
      </c>
      <c r="S928" s="30" t="str">
        <f t="shared" si="75"/>
        <v/>
      </c>
    </row>
    <row r="929" spans="1:19">
      <c r="A929" s="7" t="s">
        <v>980</v>
      </c>
      <c r="B929" s="7"/>
      <c r="C929" s="7"/>
      <c r="D929" s="7"/>
      <c r="E929" s="7"/>
      <c r="F929" s="7"/>
      <c r="H929" s="7"/>
      <c r="I929" s="7"/>
      <c r="J929" s="7"/>
      <c r="K929" s="7"/>
      <c r="L929" s="7"/>
      <c r="O929" s="30" t="str">
        <f t="shared" si="71"/>
        <v/>
      </c>
      <c r="P929" s="30" t="str">
        <f t="shared" si="72"/>
        <v/>
      </c>
      <c r="Q929" s="30" t="str">
        <f t="shared" si="73"/>
        <v/>
      </c>
      <c r="R929" s="30" t="str">
        <f t="shared" si="74"/>
        <v/>
      </c>
      <c r="S929" s="30" t="str">
        <f t="shared" si="75"/>
        <v/>
      </c>
    </row>
    <row r="930" spans="1:19">
      <c r="A930" s="7" t="s">
        <v>981</v>
      </c>
      <c r="B930" s="7"/>
      <c r="C930" s="7"/>
      <c r="D930" s="7"/>
      <c r="E930" s="7"/>
      <c r="F930" s="7"/>
      <c r="H930" s="7"/>
      <c r="I930" s="7"/>
      <c r="J930" s="7"/>
      <c r="K930" s="7"/>
      <c r="L930" s="7"/>
      <c r="O930" s="30" t="str">
        <f t="shared" si="71"/>
        <v/>
      </c>
      <c r="P930" s="30" t="str">
        <f t="shared" si="72"/>
        <v/>
      </c>
      <c r="Q930" s="30" t="str">
        <f t="shared" si="73"/>
        <v/>
      </c>
      <c r="R930" s="30" t="str">
        <f t="shared" si="74"/>
        <v/>
      </c>
      <c r="S930" s="30" t="str">
        <f t="shared" si="75"/>
        <v/>
      </c>
    </row>
    <row r="931" spans="1:19">
      <c r="A931" s="7" t="s">
        <v>982</v>
      </c>
      <c r="B931" s="7"/>
      <c r="C931" s="7"/>
      <c r="D931" s="7"/>
      <c r="E931" s="7"/>
      <c r="F931" s="7"/>
      <c r="H931" s="7"/>
      <c r="I931" s="7"/>
      <c r="J931" s="7"/>
      <c r="K931" s="7"/>
      <c r="L931" s="7"/>
      <c r="O931" s="30" t="str">
        <f t="shared" si="71"/>
        <v/>
      </c>
      <c r="P931" s="30" t="str">
        <f t="shared" si="72"/>
        <v/>
      </c>
      <c r="Q931" s="30" t="str">
        <f t="shared" si="73"/>
        <v/>
      </c>
      <c r="R931" s="30" t="str">
        <f t="shared" si="74"/>
        <v/>
      </c>
      <c r="S931" s="30" t="str">
        <f t="shared" si="75"/>
        <v/>
      </c>
    </row>
    <row r="932" spans="1:19">
      <c r="A932" s="7" t="s">
        <v>983</v>
      </c>
      <c r="B932" s="7"/>
      <c r="C932" s="7"/>
      <c r="D932" s="7"/>
      <c r="E932" s="7"/>
      <c r="F932" s="7"/>
      <c r="H932" s="7"/>
      <c r="I932" s="7"/>
      <c r="J932" s="7"/>
      <c r="K932" s="7"/>
      <c r="L932" s="7"/>
      <c r="O932" s="30" t="str">
        <f t="shared" si="71"/>
        <v/>
      </c>
      <c r="P932" s="30" t="str">
        <f t="shared" si="72"/>
        <v/>
      </c>
      <c r="Q932" s="30" t="str">
        <f t="shared" si="73"/>
        <v/>
      </c>
      <c r="R932" s="30" t="str">
        <f t="shared" si="74"/>
        <v/>
      </c>
      <c r="S932" s="30" t="str">
        <f t="shared" si="75"/>
        <v/>
      </c>
    </row>
    <row r="933" spans="1:19">
      <c r="A933" s="7" t="s">
        <v>984</v>
      </c>
      <c r="B933" s="7"/>
      <c r="C933" s="7"/>
      <c r="D933" s="7"/>
      <c r="E933" s="7"/>
      <c r="F933" s="7"/>
      <c r="H933" s="7"/>
      <c r="I933" s="7"/>
      <c r="J933" s="7"/>
      <c r="K933" s="7"/>
      <c r="L933" s="7"/>
      <c r="O933" s="30" t="str">
        <f t="shared" si="71"/>
        <v/>
      </c>
      <c r="P933" s="30" t="str">
        <f t="shared" si="72"/>
        <v/>
      </c>
      <c r="Q933" s="30" t="str">
        <f t="shared" si="73"/>
        <v/>
      </c>
      <c r="R933" s="30" t="str">
        <f t="shared" si="74"/>
        <v/>
      </c>
      <c r="S933" s="30" t="str">
        <f t="shared" si="75"/>
        <v/>
      </c>
    </row>
    <row r="934" spans="1:19">
      <c r="A934" s="7" t="s">
        <v>985</v>
      </c>
      <c r="B934" s="7"/>
      <c r="C934" s="7"/>
      <c r="D934" s="7"/>
      <c r="E934" s="7"/>
      <c r="F934" s="7"/>
      <c r="H934" s="7"/>
      <c r="I934" s="7"/>
      <c r="J934" s="7"/>
      <c r="K934" s="7"/>
      <c r="L934" s="7"/>
      <c r="O934" s="30" t="str">
        <f t="shared" si="71"/>
        <v/>
      </c>
      <c r="P934" s="30" t="str">
        <f t="shared" si="72"/>
        <v/>
      </c>
      <c r="Q934" s="30" t="str">
        <f t="shared" si="73"/>
        <v/>
      </c>
      <c r="R934" s="30" t="str">
        <f t="shared" si="74"/>
        <v/>
      </c>
      <c r="S934" s="30" t="str">
        <f t="shared" si="75"/>
        <v/>
      </c>
    </row>
    <row r="935" spans="1:19">
      <c r="A935" s="7" t="s">
        <v>986</v>
      </c>
      <c r="B935" s="7"/>
      <c r="C935" s="7"/>
      <c r="D935" s="7"/>
      <c r="E935" s="7"/>
      <c r="F935" s="7"/>
      <c r="H935" s="7"/>
      <c r="I935" s="7"/>
      <c r="J935" s="7"/>
      <c r="K935" s="7"/>
      <c r="L935" s="7"/>
      <c r="O935" s="30" t="str">
        <f t="shared" si="71"/>
        <v/>
      </c>
      <c r="P935" s="30" t="str">
        <f t="shared" si="72"/>
        <v/>
      </c>
      <c r="Q935" s="30" t="str">
        <f t="shared" si="73"/>
        <v/>
      </c>
      <c r="R935" s="30" t="str">
        <f t="shared" si="74"/>
        <v/>
      </c>
      <c r="S935" s="30" t="str">
        <f t="shared" si="75"/>
        <v/>
      </c>
    </row>
    <row r="936" spans="1:19">
      <c r="A936" s="7" t="s">
        <v>987</v>
      </c>
      <c r="B936" s="7"/>
      <c r="C936" s="7"/>
      <c r="D936" s="7"/>
      <c r="E936" s="7"/>
      <c r="F936" s="7"/>
      <c r="H936" s="7"/>
      <c r="I936" s="7"/>
      <c r="J936" s="7"/>
      <c r="K936" s="7"/>
      <c r="L936" s="7"/>
      <c r="O936" s="30" t="str">
        <f t="shared" si="71"/>
        <v/>
      </c>
      <c r="P936" s="30" t="str">
        <f t="shared" si="72"/>
        <v/>
      </c>
      <c r="Q936" s="30" t="str">
        <f t="shared" si="73"/>
        <v/>
      </c>
      <c r="R936" s="30" t="str">
        <f t="shared" si="74"/>
        <v/>
      </c>
      <c r="S936" s="30" t="str">
        <f t="shared" si="75"/>
        <v/>
      </c>
    </row>
    <row r="937" spans="1:19">
      <c r="A937" s="7" t="s">
        <v>988</v>
      </c>
      <c r="B937" s="7"/>
      <c r="C937" s="7"/>
      <c r="D937" s="7"/>
      <c r="E937" s="7"/>
      <c r="F937" s="7"/>
      <c r="H937" s="7"/>
      <c r="I937" s="7"/>
      <c r="J937" s="7"/>
      <c r="K937" s="7"/>
      <c r="L937" s="7"/>
      <c r="O937" s="30" t="str">
        <f t="shared" si="71"/>
        <v/>
      </c>
      <c r="P937" s="30" t="str">
        <f t="shared" si="72"/>
        <v/>
      </c>
      <c r="Q937" s="30" t="str">
        <f t="shared" si="73"/>
        <v/>
      </c>
      <c r="R937" s="30" t="str">
        <f t="shared" si="74"/>
        <v/>
      </c>
      <c r="S937" s="30" t="str">
        <f t="shared" si="75"/>
        <v/>
      </c>
    </row>
    <row r="938" spans="1:19">
      <c r="A938" s="7" t="s">
        <v>989</v>
      </c>
      <c r="B938" s="7"/>
      <c r="C938" s="7"/>
      <c r="D938" s="7"/>
      <c r="E938" s="7"/>
      <c r="F938" s="7"/>
      <c r="H938" s="7"/>
      <c r="I938" s="7"/>
      <c r="J938" s="7"/>
      <c r="K938" s="7"/>
      <c r="L938" s="7"/>
      <c r="O938" s="30" t="str">
        <f t="shared" si="71"/>
        <v/>
      </c>
      <c r="P938" s="30" t="str">
        <f t="shared" si="72"/>
        <v/>
      </c>
      <c r="Q938" s="30" t="str">
        <f t="shared" si="73"/>
        <v/>
      </c>
      <c r="R938" s="30" t="str">
        <f t="shared" si="74"/>
        <v/>
      </c>
      <c r="S938" s="30" t="str">
        <f t="shared" si="75"/>
        <v/>
      </c>
    </row>
    <row r="939" spans="1:19">
      <c r="A939" s="7" t="s">
        <v>990</v>
      </c>
      <c r="B939" s="7"/>
      <c r="C939" s="7"/>
      <c r="D939" s="7"/>
      <c r="E939" s="7"/>
      <c r="F939" s="7"/>
      <c r="H939" s="7"/>
      <c r="I939" s="7"/>
      <c r="J939" s="7"/>
      <c r="K939" s="7"/>
      <c r="L939" s="7"/>
      <c r="O939" s="30" t="str">
        <f t="shared" si="71"/>
        <v/>
      </c>
      <c r="P939" s="30" t="str">
        <f t="shared" si="72"/>
        <v/>
      </c>
      <c r="Q939" s="30" t="str">
        <f t="shared" si="73"/>
        <v/>
      </c>
      <c r="R939" s="30" t="str">
        <f t="shared" si="74"/>
        <v/>
      </c>
      <c r="S939" s="30" t="str">
        <f t="shared" si="75"/>
        <v/>
      </c>
    </row>
    <row r="940" spans="1:19">
      <c r="A940" s="7" t="s">
        <v>991</v>
      </c>
      <c r="B940" s="7"/>
      <c r="C940" s="7"/>
      <c r="D940" s="7"/>
      <c r="E940" s="7"/>
      <c r="F940" s="7"/>
      <c r="H940" s="7"/>
      <c r="I940" s="7"/>
      <c r="J940" s="7"/>
      <c r="K940" s="7"/>
      <c r="L940" s="7"/>
      <c r="O940" s="30" t="str">
        <f t="shared" si="71"/>
        <v/>
      </c>
      <c r="P940" s="30" t="str">
        <f t="shared" si="72"/>
        <v/>
      </c>
      <c r="Q940" s="30" t="str">
        <f t="shared" si="73"/>
        <v/>
      </c>
      <c r="R940" s="30" t="str">
        <f t="shared" si="74"/>
        <v/>
      </c>
      <c r="S940" s="30" t="str">
        <f t="shared" si="75"/>
        <v/>
      </c>
    </row>
    <row r="941" spans="1:19">
      <c r="A941" s="7" t="s">
        <v>992</v>
      </c>
      <c r="B941" s="7"/>
      <c r="C941" s="7"/>
      <c r="D941" s="7"/>
      <c r="E941" s="7"/>
      <c r="F941" s="7"/>
      <c r="H941" s="7"/>
      <c r="I941" s="7"/>
      <c r="J941" s="7"/>
      <c r="K941" s="7"/>
      <c r="L941" s="7"/>
      <c r="O941" s="30" t="str">
        <f t="shared" si="71"/>
        <v/>
      </c>
      <c r="P941" s="30" t="str">
        <f t="shared" si="72"/>
        <v/>
      </c>
      <c r="Q941" s="30" t="str">
        <f t="shared" si="73"/>
        <v/>
      </c>
      <c r="R941" s="30" t="str">
        <f t="shared" si="74"/>
        <v/>
      </c>
      <c r="S941" s="30" t="str">
        <f t="shared" si="75"/>
        <v/>
      </c>
    </row>
    <row r="942" spans="1:19">
      <c r="A942" s="7" t="s">
        <v>993</v>
      </c>
      <c r="B942" s="7"/>
      <c r="C942" s="7"/>
      <c r="D942" s="7"/>
      <c r="E942" s="7"/>
      <c r="F942" s="7"/>
      <c r="H942" s="7"/>
      <c r="I942" s="7"/>
      <c r="J942" s="7"/>
      <c r="K942" s="7"/>
      <c r="L942" s="7"/>
      <c r="O942" s="30" t="str">
        <f t="shared" si="71"/>
        <v/>
      </c>
      <c r="P942" s="30" t="str">
        <f t="shared" si="72"/>
        <v/>
      </c>
      <c r="Q942" s="30" t="str">
        <f t="shared" si="73"/>
        <v/>
      </c>
      <c r="R942" s="30" t="str">
        <f t="shared" si="74"/>
        <v/>
      </c>
      <c r="S942" s="30" t="str">
        <f t="shared" si="75"/>
        <v/>
      </c>
    </row>
    <row r="943" spans="1:19">
      <c r="A943" s="7" t="s">
        <v>994</v>
      </c>
      <c r="B943" s="7"/>
      <c r="C943" s="7"/>
      <c r="D943" s="7"/>
      <c r="E943" s="7"/>
      <c r="F943" s="7"/>
      <c r="H943" s="7"/>
      <c r="I943" s="7"/>
      <c r="J943" s="7"/>
      <c r="K943" s="7"/>
      <c r="L943" s="7"/>
      <c r="O943" s="30" t="str">
        <f t="shared" si="71"/>
        <v/>
      </c>
      <c r="P943" s="30" t="str">
        <f t="shared" si="72"/>
        <v/>
      </c>
      <c r="Q943" s="30" t="str">
        <f t="shared" si="73"/>
        <v/>
      </c>
      <c r="R943" s="30" t="str">
        <f t="shared" si="74"/>
        <v/>
      </c>
      <c r="S943" s="30" t="str">
        <f t="shared" si="75"/>
        <v/>
      </c>
    </row>
    <row r="944" spans="1:19">
      <c r="A944" s="7" t="s">
        <v>995</v>
      </c>
      <c r="B944" s="7"/>
      <c r="C944" s="7"/>
      <c r="D944" s="7"/>
      <c r="E944" s="7"/>
      <c r="F944" s="7"/>
      <c r="H944" s="7"/>
      <c r="I944" s="7"/>
      <c r="J944" s="7"/>
      <c r="K944" s="7"/>
      <c r="L944" s="7"/>
      <c r="O944" s="30" t="str">
        <f t="shared" si="71"/>
        <v/>
      </c>
      <c r="P944" s="30" t="str">
        <f t="shared" si="72"/>
        <v/>
      </c>
      <c r="Q944" s="30" t="str">
        <f t="shared" si="73"/>
        <v/>
      </c>
      <c r="R944" s="30" t="str">
        <f t="shared" si="74"/>
        <v/>
      </c>
      <c r="S944" s="30" t="str">
        <f t="shared" si="75"/>
        <v/>
      </c>
    </row>
    <row r="945" spans="1:19">
      <c r="A945" s="7" t="s">
        <v>996</v>
      </c>
      <c r="B945" s="7"/>
      <c r="C945" s="7"/>
      <c r="D945" s="7"/>
      <c r="E945" s="7"/>
      <c r="F945" s="7"/>
      <c r="H945" s="7"/>
      <c r="I945" s="7"/>
      <c r="J945" s="7"/>
      <c r="K945" s="7"/>
      <c r="L945" s="7"/>
      <c r="O945" s="30" t="str">
        <f t="shared" si="71"/>
        <v/>
      </c>
      <c r="P945" s="30" t="str">
        <f t="shared" si="72"/>
        <v/>
      </c>
      <c r="Q945" s="30" t="str">
        <f t="shared" si="73"/>
        <v/>
      </c>
      <c r="R945" s="30" t="str">
        <f t="shared" si="74"/>
        <v/>
      </c>
      <c r="S945" s="30" t="str">
        <f t="shared" si="75"/>
        <v/>
      </c>
    </row>
    <row r="946" spans="1:19">
      <c r="A946" s="7" t="s">
        <v>997</v>
      </c>
      <c r="B946" s="7"/>
      <c r="C946" s="7"/>
      <c r="D946" s="7"/>
      <c r="E946" s="7"/>
      <c r="F946" s="7"/>
      <c r="H946" s="7"/>
      <c r="I946" s="7"/>
      <c r="J946" s="7"/>
      <c r="K946" s="7"/>
      <c r="L946" s="7"/>
      <c r="O946" s="30" t="str">
        <f t="shared" si="71"/>
        <v/>
      </c>
      <c r="P946" s="30" t="str">
        <f t="shared" si="72"/>
        <v/>
      </c>
      <c r="Q946" s="30" t="str">
        <f t="shared" si="73"/>
        <v/>
      </c>
      <c r="R946" s="30" t="str">
        <f t="shared" si="74"/>
        <v/>
      </c>
      <c r="S946" s="30" t="str">
        <f t="shared" si="75"/>
        <v/>
      </c>
    </row>
    <row r="947" spans="1:19">
      <c r="A947" s="7" t="s">
        <v>998</v>
      </c>
      <c r="B947" s="7"/>
      <c r="C947" s="7"/>
      <c r="D947" s="7"/>
      <c r="E947" s="7"/>
      <c r="F947" s="7"/>
      <c r="H947" s="7"/>
      <c r="I947" s="7"/>
      <c r="J947" s="7"/>
      <c r="K947" s="7"/>
      <c r="L947" s="7"/>
      <c r="O947" s="30" t="str">
        <f t="shared" si="71"/>
        <v/>
      </c>
      <c r="P947" s="30" t="str">
        <f t="shared" si="72"/>
        <v/>
      </c>
      <c r="Q947" s="30" t="str">
        <f t="shared" si="73"/>
        <v/>
      </c>
      <c r="R947" s="30" t="str">
        <f t="shared" si="74"/>
        <v/>
      </c>
      <c r="S947" s="30" t="str">
        <f t="shared" si="75"/>
        <v/>
      </c>
    </row>
    <row r="948" spans="1:19">
      <c r="A948" s="7" t="s">
        <v>999</v>
      </c>
      <c r="B948" s="7"/>
      <c r="C948" s="7"/>
      <c r="D948" s="7"/>
      <c r="E948" s="7"/>
      <c r="F948" s="7"/>
      <c r="H948" s="7"/>
      <c r="I948" s="7"/>
      <c r="J948" s="7"/>
      <c r="K948" s="7"/>
      <c r="L948" s="7"/>
      <c r="O948" s="30" t="str">
        <f t="shared" si="71"/>
        <v/>
      </c>
      <c r="P948" s="30" t="str">
        <f t="shared" si="72"/>
        <v/>
      </c>
      <c r="Q948" s="30" t="str">
        <f t="shared" si="73"/>
        <v/>
      </c>
      <c r="R948" s="30" t="str">
        <f t="shared" si="74"/>
        <v/>
      </c>
      <c r="S948" s="30" t="str">
        <f t="shared" si="75"/>
        <v/>
      </c>
    </row>
    <row r="949" spans="1:19">
      <c r="A949" s="7" t="s">
        <v>1000</v>
      </c>
      <c r="B949" s="7"/>
      <c r="C949" s="7"/>
      <c r="D949" s="7"/>
      <c r="E949" s="7"/>
      <c r="F949" s="7"/>
      <c r="H949" s="7"/>
      <c r="I949" s="7"/>
      <c r="J949" s="7"/>
      <c r="K949" s="7"/>
      <c r="L949" s="7"/>
      <c r="O949" s="30" t="str">
        <f t="shared" si="71"/>
        <v/>
      </c>
      <c r="P949" s="30" t="str">
        <f t="shared" si="72"/>
        <v/>
      </c>
      <c r="Q949" s="30" t="str">
        <f t="shared" si="73"/>
        <v/>
      </c>
      <c r="R949" s="30" t="str">
        <f t="shared" si="74"/>
        <v/>
      </c>
      <c r="S949" s="30" t="str">
        <f t="shared" si="75"/>
        <v/>
      </c>
    </row>
    <row r="950" spans="1:19">
      <c r="A950" s="7" t="s">
        <v>1001</v>
      </c>
      <c r="B950" s="7"/>
      <c r="C950" s="7"/>
      <c r="D950" s="7"/>
      <c r="E950" s="7"/>
      <c r="F950" s="7"/>
      <c r="H950" s="7"/>
      <c r="I950" s="7"/>
      <c r="J950" s="7"/>
      <c r="K950" s="7"/>
      <c r="L950" s="7"/>
      <c r="O950" s="30" t="str">
        <f t="shared" si="71"/>
        <v/>
      </c>
      <c r="P950" s="30" t="str">
        <f t="shared" si="72"/>
        <v/>
      </c>
      <c r="Q950" s="30" t="str">
        <f t="shared" si="73"/>
        <v/>
      </c>
      <c r="R950" s="30" t="str">
        <f t="shared" si="74"/>
        <v/>
      </c>
      <c r="S950" s="30" t="str">
        <f t="shared" si="75"/>
        <v/>
      </c>
    </row>
    <row r="951" spans="1:19">
      <c r="A951" s="7" t="s">
        <v>1002</v>
      </c>
      <c r="B951" s="7"/>
      <c r="C951" s="7"/>
      <c r="D951" s="7"/>
      <c r="E951" s="7"/>
      <c r="F951" s="7"/>
      <c r="H951" s="7"/>
      <c r="I951" s="7"/>
      <c r="J951" s="7"/>
      <c r="K951" s="7"/>
      <c r="L951" s="7"/>
      <c r="O951" s="30" t="str">
        <f t="shared" si="71"/>
        <v/>
      </c>
      <c r="P951" s="30" t="str">
        <f t="shared" si="72"/>
        <v/>
      </c>
      <c r="Q951" s="30" t="str">
        <f t="shared" si="73"/>
        <v/>
      </c>
      <c r="R951" s="30" t="str">
        <f t="shared" si="74"/>
        <v/>
      </c>
      <c r="S951" s="30" t="str">
        <f t="shared" si="75"/>
        <v/>
      </c>
    </row>
    <row r="952" spans="1:19">
      <c r="A952" s="7" t="s">
        <v>1003</v>
      </c>
      <c r="B952" s="7"/>
      <c r="C952" s="7"/>
      <c r="D952" s="7"/>
      <c r="E952" s="7"/>
      <c r="F952" s="7"/>
      <c r="H952" s="7"/>
      <c r="I952" s="7"/>
      <c r="J952" s="7"/>
      <c r="K952" s="7"/>
      <c r="L952" s="7"/>
      <c r="O952" s="30" t="str">
        <f t="shared" si="71"/>
        <v/>
      </c>
      <c r="P952" s="30" t="str">
        <f t="shared" si="72"/>
        <v/>
      </c>
      <c r="Q952" s="30" t="str">
        <f t="shared" si="73"/>
        <v/>
      </c>
      <c r="R952" s="30" t="str">
        <f t="shared" si="74"/>
        <v/>
      </c>
      <c r="S952" s="30" t="str">
        <f t="shared" si="75"/>
        <v/>
      </c>
    </row>
    <row r="953" spans="1:19">
      <c r="A953" s="7" t="s">
        <v>1004</v>
      </c>
      <c r="B953" s="7"/>
      <c r="C953" s="7"/>
      <c r="D953" s="7"/>
      <c r="E953" s="7"/>
      <c r="F953" s="7"/>
      <c r="H953" s="7"/>
      <c r="I953" s="7"/>
      <c r="J953" s="7"/>
      <c r="K953" s="7"/>
      <c r="L953" s="7"/>
      <c r="O953" s="30" t="str">
        <f t="shared" si="71"/>
        <v/>
      </c>
      <c r="P953" s="30" t="str">
        <f t="shared" si="72"/>
        <v/>
      </c>
      <c r="Q953" s="30" t="str">
        <f t="shared" si="73"/>
        <v/>
      </c>
      <c r="R953" s="30" t="str">
        <f t="shared" si="74"/>
        <v/>
      </c>
      <c r="S953" s="30" t="str">
        <f t="shared" si="75"/>
        <v/>
      </c>
    </row>
    <row r="954" spans="1:19">
      <c r="A954" s="7" t="s">
        <v>1005</v>
      </c>
      <c r="B954" s="7"/>
      <c r="C954" s="7"/>
      <c r="D954" s="7"/>
      <c r="E954" s="7"/>
      <c r="F954" s="7"/>
      <c r="H954" s="7"/>
      <c r="I954" s="7"/>
      <c r="J954" s="7"/>
      <c r="K954" s="7"/>
      <c r="L954" s="7"/>
      <c r="O954" s="30" t="str">
        <f t="shared" si="71"/>
        <v/>
      </c>
      <c r="P954" s="30" t="str">
        <f t="shared" si="72"/>
        <v/>
      </c>
      <c r="Q954" s="30" t="str">
        <f t="shared" si="73"/>
        <v/>
      </c>
      <c r="R954" s="30" t="str">
        <f t="shared" si="74"/>
        <v/>
      </c>
      <c r="S954" s="30" t="str">
        <f t="shared" si="75"/>
        <v/>
      </c>
    </row>
    <row r="955" spans="1:19">
      <c r="A955" s="7" t="s">
        <v>1006</v>
      </c>
      <c r="B955" s="7"/>
      <c r="C955" s="7"/>
      <c r="D955" s="7"/>
      <c r="E955" s="7"/>
      <c r="F955" s="7"/>
      <c r="H955" s="7"/>
      <c r="I955" s="7"/>
      <c r="J955" s="7"/>
      <c r="K955" s="7"/>
      <c r="L955" s="7"/>
      <c r="O955" s="30" t="str">
        <f t="shared" si="71"/>
        <v/>
      </c>
      <c r="P955" s="30" t="str">
        <f t="shared" si="72"/>
        <v/>
      </c>
      <c r="Q955" s="30" t="str">
        <f t="shared" si="73"/>
        <v/>
      </c>
      <c r="R955" s="30" t="str">
        <f t="shared" si="74"/>
        <v/>
      </c>
      <c r="S955" s="30" t="str">
        <f t="shared" si="75"/>
        <v/>
      </c>
    </row>
    <row r="956" spans="1:19">
      <c r="A956" s="7" t="s">
        <v>1007</v>
      </c>
      <c r="B956" s="7"/>
      <c r="C956" s="7"/>
      <c r="D956" s="7"/>
      <c r="E956" s="7"/>
      <c r="F956" s="7"/>
      <c r="H956" s="7"/>
      <c r="I956" s="7"/>
      <c r="J956" s="7"/>
      <c r="K956" s="7"/>
      <c r="L956" s="7"/>
      <c r="O956" s="30" t="str">
        <f t="shared" si="71"/>
        <v/>
      </c>
      <c r="P956" s="30" t="str">
        <f t="shared" si="72"/>
        <v/>
      </c>
      <c r="Q956" s="30" t="str">
        <f t="shared" si="73"/>
        <v/>
      </c>
      <c r="R956" s="30" t="str">
        <f t="shared" si="74"/>
        <v/>
      </c>
      <c r="S956" s="30" t="str">
        <f t="shared" si="75"/>
        <v/>
      </c>
    </row>
    <row r="957" spans="1:19">
      <c r="A957" s="7" t="s">
        <v>1008</v>
      </c>
      <c r="B957" s="7"/>
      <c r="C957" s="7"/>
      <c r="D957" s="7"/>
      <c r="E957" s="7"/>
      <c r="F957" s="7"/>
      <c r="H957" s="7"/>
      <c r="I957" s="7"/>
      <c r="J957" s="7"/>
      <c r="K957" s="7"/>
      <c r="L957" s="7"/>
      <c r="O957" s="30" t="str">
        <f t="shared" si="71"/>
        <v/>
      </c>
      <c r="P957" s="30" t="str">
        <f t="shared" si="72"/>
        <v/>
      </c>
      <c r="Q957" s="30" t="str">
        <f t="shared" si="73"/>
        <v/>
      </c>
      <c r="R957" s="30" t="str">
        <f t="shared" si="74"/>
        <v/>
      </c>
      <c r="S957" s="30" t="str">
        <f t="shared" si="75"/>
        <v/>
      </c>
    </row>
    <row r="958" spans="1:19">
      <c r="A958" s="7" t="s">
        <v>1009</v>
      </c>
      <c r="B958" s="7"/>
      <c r="C958" s="7"/>
      <c r="D958" s="7"/>
      <c r="E958" s="7"/>
      <c r="F958" s="7"/>
      <c r="H958" s="7"/>
      <c r="I958" s="7"/>
      <c r="J958" s="7"/>
      <c r="K958" s="7"/>
      <c r="L958" s="7"/>
      <c r="O958" s="30" t="str">
        <f t="shared" si="71"/>
        <v/>
      </c>
      <c r="P958" s="30" t="str">
        <f t="shared" si="72"/>
        <v/>
      </c>
      <c r="Q958" s="30" t="str">
        <f t="shared" si="73"/>
        <v/>
      </c>
      <c r="R958" s="30" t="str">
        <f t="shared" si="74"/>
        <v/>
      </c>
      <c r="S958" s="30" t="str">
        <f t="shared" si="75"/>
        <v/>
      </c>
    </row>
    <row r="959" spans="1:19">
      <c r="A959" s="7" t="s">
        <v>1010</v>
      </c>
      <c r="B959" s="7"/>
      <c r="C959" s="7"/>
      <c r="D959" s="7"/>
      <c r="E959" s="7"/>
      <c r="F959" s="7"/>
      <c r="H959" s="7"/>
      <c r="I959" s="7"/>
      <c r="J959" s="7"/>
      <c r="K959" s="7"/>
      <c r="L959" s="7"/>
      <c r="O959" s="30" t="str">
        <f t="shared" si="71"/>
        <v/>
      </c>
      <c r="P959" s="30" t="str">
        <f t="shared" si="72"/>
        <v/>
      </c>
      <c r="Q959" s="30" t="str">
        <f t="shared" si="73"/>
        <v/>
      </c>
      <c r="R959" s="30" t="str">
        <f t="shared" si="74"/>
        <v/>
      </c>
      <c r="S959" s="30" t="str">
        <f t="shared" si="75"/>
        <v/>
      </c>
    </row>
    <row r="960" spans="1:19">
      <c r="A960" s="7" t="s">
        <v>1011</v>
      </c>
      <c r="B960" s="7"/>
      <c r="C960" s="7"/>
      <c r="D960" s="7"/>
      <c r="E960" s="7"/>
      <c r="F960" s="7"/>
      <c r="H960" s="7"/>
      <c r="I960" s="7"/>
      <c r="J960" s="7"/>
      <c r="K960" s="7"/>
      <c r="L960" s="7"/>
      <c r="O960" s="30" t="str">
        <f t="shared" si="71"/>
        <v/>
      </c>
      <c r="P960" s="30" t="str">
        <f t="shared" si="72"/>
        <v/>
      </c>
      <c r="Q960" s="30" t="str">
        <f t="shared" si="73"/>
        <v/>
      </c>
      <c r="R960" s="30" t="str">
        <f t="shared" si="74"/>
        <v/>
      </c>
      <c r="S960" s="30" t="str">
        <f t="shared" si="75"/>
        <v/>
      </c>
    </row>
    <row r="961" spans="1:19">
      <c r="A961" s="7" t="s">
        <v>1012</v>
      </c>
      <c r="B961" s="7"/>
      <c r="C961" s="7"/>
      <c r="D961" s="7"/>
      <c r="E961" s="7"/>
      <c r="F961" s="7"/>
      <c r="H961" s="7"/>
      <c r="I961" s="7"/>
      <c r="J961" s="7"/>
      <c r="K961" s="7"/>
      <c r="L961" s="7"/>
      <c r="O961" s="30" t="str">
        <f t="shared" si="71"/>
        <v/>
      </c>
      <c r="P961" s="30" t="str">
        <f t="shared" si="72"/>
        <v/>
      </c>
      <c r="Q961" s="30" t="str">
        <f t="shared" si="73"/>
        <v/>
      </c>
      <c r="R961" s="30" t="str">
        <f t="shared" si="74"/>
        <v/>
      </c>
      <c r="S961" s="30" t="str">
        <f t="shared" si="75"/>
        <v/>
      </c>
    </row>
    <row r="962" spans="1:19">
      <c r="A962" s="7" t="s">
        <v>1013</v>
      </c>
      <c r="B962" s="7"/>
      <c r="C962" s="7"/>
      <c r="D962" s="7"/>
      <c r="E962" s="7"/>
      <c r="F962" s="7"/>
      <c r="H962" s="7"/>
      <c r="I962" s="7"/>
      <c r="J962" s="7"/>
      <c r="K962" s="7"/>
      <c r="L962" s="7"/>
      <c r="O962" s="30" t="str">
        <f t="shared" si="71"/>
        <v/>
      </c>
      <c r="P962" s="30" t="str">
        <f t="shared" si="72"/>
        <v/>
      </c>
      <c r="Q962" s="30" t="str">
        <f t="shared" si="73"/>
        <v/>
      </c>
      <c r="R962" s="30" t="str">
        <f t="shared" si="74"/>
        <v/>
      </c>
      <c r="S962" s="30" t="str">
        <f t="shared" si="75"/>
        <v/>
      </c>
    </row>
    <row r="963" spans="1:19">
      <c r="A963" s="7" t="s">
        <v>1014</v>
      </c>
      <c r="B963" s="7"/>
      <c r="C963" s="7"/>
      <c r="D963" s="7"/>
      <c r="E963" s="7"/>
      <c r="F963" s="7"/>
      <c r="H963" s="7"/>
      <c r="I963" s="7"/>
      <c r="J963" s="7"/>
      <c r="K963" s="7"/>
      <c r="L963" s="7"/>
      <c r="O963" s="30" t="str">
        <f t="shared" si="71"/>
        <v/>
      </c>
      <c r="P963" s="30" t="str">
        <f t="shared" si="72"/>
        <v/>
      </c>
      <c r="Q963" s="30" t="str">
        <f t="shared" si="73"/>
        <v/>
      </c>
      <c r="R963" s="30" t="str">
        <f t="shared" si="74"/>
        <v/>
      </c>
      <c r="S963" s="30" t="str">
        <f t="shared" si="75"/>
        <v/>
      </c>
    </row>
    <row r="964" spans="1:19">
      <c r="A964" s="7" t="s">
        <v>1015</v>
      </c>
      <c r="B964" s="7"/>
      <c r="C964" s="7"/>
      <c r="D964" s="7"/>
      <c r="E964" s="7"/>
      <c r="F964" s="7"/>
      <c r="H964" s="7"/>
      <c r="I964" s="7"/>
      <c r="J964" s="7"/>
      <c r="K964" s="7"/>
      <c r="L964" s="7"/>
      <c r="O964" s="30" t="str">
        <f t="shared" si="71"/>
        <v/>
      </c>
      <c r="P964" s="30" t="str">
        <f t="shared" si="72"/>
        <v/>
      </c>
      <c r="Q964" s="30" t="str">
        <f t="shared" si="73"/>
        <v/>
      </c>
      <c r="R964" s="30" t="str">
        <f t="shared" si="74"/>
        <v/>
      </c>
      <c r="S964" s="30" t="str">
        <f t="shared" si="75"/>
        <v/>
      </c>
    </row>
    <row r="965" spans="1:19">
      <c r="A965" s="7" t="s">
        <v>1016</v>
      </c>
      <c r="B965" s="7"/>
      <c r="C965" s="7"/>
      <c r="D965" s="7"/>
      <c r="E965" s="7"/>
      <c r="F965" s="7"/>
      <c r="H965" s="7"/>
      <c r="I965" s="7"/>
      <c r="J965" s="7"/>
      <c r="K965" s="7"/>
      <c r="L965" s="7"/>
      <c r="O965" s="30" t="str">
        <f t="shared" si="71"/>
        <v/>
      </c>
      <c r="P965" s="30" t="str">
        <f t="shared" si="72"/>
        <v/>
      </c>
      <c r="Q965" s="30" t="str">
        <f t="shared" si="73"/>
        <v/>
      </c>
      <c r="R965" s="30" t="str">
        <f t="shared" si="74"/>
        <v/>
      </c>
      <c r="S965" s="30" t="str">
        <f t="shared" si="75"/>
        <v/>
      </c>
    </row>
    <row r="966" spans="1:19">
      <c r="A966" s="7" t="s">
        <v>1017</v>
      </c>
      <c r="B966" s="7"/>
      <c r="C966" s="7"/>
      <c r="D966" s="7"/>
      <c r="E966" s="7"/>
      <c r="F966" s="7"/>
      <c r="H966" s="7"/>
      <c r="I966" s="7"/>
      <c r="J966" s="7"/>
      <c r="K966" s="7"/>
      <c r="L966" s="7"/>
      <c r="O966" s="30" t="str">
        <f t="shared" si="71"/>
        <v/>
      </c>
      <c r="P966" s="30" t="str">
        <f t="shared" si="72"/>
        <v/>
      </c>
      <c r="Q966" s="30" t="str">
        <f t="shared" si="73"/>
        <v/>
      </c>
      <c r="R966" s="30" t="str">
        <f t="shared" si="74"/>
        <v/>
      </c>
      <c r="S966" s="30" t="str">
        <f t="shared" si="75"/>
        <v/>
      </c>
    </row>
    <row r="967" spans="1:19">
      <c r="A967" s="7" t="s">
        <v>1018</v>
      </c>
      <c r="B967" s="7"/>
      <c r="C967" s="7"/>
      <c r="D967" s="7"/>
      <c r="E967" s="7"/>
      <c r="F967" s="7"/>
      <c r="H967" s="7"/>
      <c r="I967" s="7"/>
      <c r="J967" s="7"/>
      <c r="K967" s="7"/>
      <c r="L967" s="7"/>
      <c r="O967" s="30" t="str">
        <f t="shared" si="71"/>
        <v/>
      </c>
      <c r="P967" s="30" t="str">
        <f t="shared" si="72"/>
        <v/>
      </c>
      <c r="Q967" s="30" t="str">
        <f t="shared" si="73"/>
        <v/>
      </c>
      <c r="R967" s="30" t="str">
        <f t="shared" si="74"/>
        <v/>
      </c>
      <c r="S967" s="30" t="str">
        <f t="shared" si="75"/>
        <v/>
      </c>
    </row>
    <row r="968" spans="1:19">
      <c r="A968" s="7" t="s">
        <v>1019</v>
      </c>
      <c r="B968" s="7"/>
      <c r="C968" s="7"/>
      <c r="D968" s="7"/>
      <c r="E968" s="7"/>
      <c r="F968" s="7"/>
      <c r="H968" s="7"/>
      <c r="I968" s="7"/>
      <c r="J968" s="7"/>
      <c r="K968" s="7"/>
      <c r="L968" s="7"/>
      <c r="O968" s="30" t="str">
        <f t="shared" si="71"/>
        <v/>
      </c>
      <c r="P968" s="30" t="str">
        <f t="shared" si="72"/>
        <v/>
      </c>
      <c r="Q968" s="30" t="str">
        <f t="shared" si="73"/>
        <v/>
      </c>
      <c r="R968" s="30" t="str">
        <f t="shared" si="74"/>
        <v/>
      </c>
      <c r="S968" s="30" t="str">
        <f t="shared" si="75"/>
        <v/>
      </c>
    </row>
    <row r="969" spans="1:19">
      <c r="A969" s="7" t="s">
        <v>1020</v>
      </c>
      <c r="B969" s="7"/>
      <c r="C969" s="7"/>
      <c r="D969" s="7"/>
      <c r="E969" s="7"/>
      <c r="F969" s="7"/>
      <c r="H969" s="7"/>
      <c r="I969" s="7"/>
      <c r="J969" s="7"/>
      <c r="K969" s="7"/>
      <c r="L969" s="7"/>
      <c r="O969" s="30" t="str">
        <f t="shared" ref="O969:O1000" si="76">IF(H969&gt;0,"Angebot offen","")</f>
        <v/>
      </c>
      <c r="P969" s="30" t="str">
        <f t="shared" ref="P969:P1000" si="77">IF(I969&gt;0,"Angebot offen","")</f>
        <v/>
      </c>
      <c r="Q969" s="30" t="str">
        <f t="shared" ref="Q969:Q1000" si="78">IF(J969&gt;0,"Angebot offen","")</f>
        <v/>
      </c>
      <c r="R969" s="30" t="str">
        <f t="shared" ref="R969:R1000" si="79">IF(K969&gt;0,"Angebot offen","")</f>
        <v/>
      </c>
      <c r="S969" s="30" t="str">
        <f t="shared" ref="S969:S1000" si="80">IF(L969&gt;0,"Angebot offen","")</f>
        <v/>
      </c>
    </row>
    <row r="970" spans="1:19">
      <c r="A970" s="7" t="s">
        <v>1021</v>
      </c>
      <c r="B970" s="7"/>
      <c r="C970" s="7"/>
      <c r="D970" s="7"/>
      <c r="E970" s="7"/>
      <c r="F970" s="7"/>
      <c r="H970" s="7"/>
      <c r="I970" s="7"/>
      <c r="J970" s="7"/>
      <c r="K970" s="7"/>
      <c r="L970" s="7"/>
      <c r="O970" s="30" t="str">
        <f t="shared" si="76"/>
        <v/>
      </c>
      <c r="P970" s="30" t="str">
        <f t="shared" si="77"/>
        <v/>
      </c>
      <c r="Q970" s="30" t="str">
        <f t="shared" si="78"/>
        <v/>
      </c>
      <c r="R970" s="30" t="str">
        <f t="shared" si="79"/>
        <v/>
      </c>
      <c r="S970" s="30" t="str">
        <f t="shared" si="80"/>
        <v/>
      </c>
    </row>
    <row r="971" spans="1:19">
      <c r="A971" s="7" t="s">
        <v>1022</v>
      </c>
      <c r="B971" s="7"/>
      <c r="C971" s="7"/>
      <c r="D971" s="7"/>
      <c r="E971" s="7"/>
      <c r="F971" s="7"/>
      <c r="H971" s="7"/>
      <c r="I971" s="7"/>
      <c r="J971" s="7"/>
      <c r="K971" s="7"/>
      <c r="L971" s="7"/>
      <c r="O971" s="30" t="str">
        <f t="shared" si="76"/>
        <v/>
      </c>
      <c r="P971" s="30" t="str">
        <f t="shared" si="77"/>
        <v/>
      </c>
      <c r="Q971" s="30" t="str">
        <f t="shared" si="78"/>
        <v/>
      </c>
      <c r="R971" s="30" t="str">
        <f t="shared" si="79"/>
        <v/>
      </c>
      <c r="S971" s="30" t="str">
        <f t="shared" si="80"/>
        <v/>
      </c>
    </row>
    <row r="972" spans="1:19">
      <c r="A972" s="7" t="s">
        <v>1023</v>
      </c>
      <c r="B972" s="7"/>
      <c r="C972" s="7"/>
      <c r="D972" s="7"/>
      <c r="E972" s="7"/>
      <c r="F972" s="7"/>
      <c r="H972" s="7"/>
      <c r="I972" s="7"/>
      <c r="J972" s="7"/>
      <c r="K972" s="7"/>
      <c r="L972" s="7"/>
      <c r="O972" s="30" t="str">
        <f t="shared" si="76"/>
        <v/>
      </c>
      <c r="P972" s="30" t="str">
        <f t="shared" si="77"/>
        <v/>
      </c>
      <c r="Q972" s="30" t="str">
        <f t="shared" si="78"/>
        <v/>
      </c>
      <c r="R972" s="30" t="str">
        <f t="shared" si="79"/>
        <v/>
      </c>
      <c r="S972" s="30" t="str">
        <f t="shared" si="80"/>
        <v/>
      </c>
    </row>
    <row r="973" spans="1:19">
      <c r="A973" s="7" t="s">
        <v>1024</v>
      </c>
      <c r="B973" s="7"/>
      <c r="C973" s="7"/>
      <c r="D973" s="7"/>
      <c r="E973" s="7"/>
      <c r="F973" s="7"/>
      <c r="H973" s="7"/>
      <c r="I973" s="7"/>
      <c r="J973" s="7"/>
      <c r="K973" s="7"/>
      <c r="L973" s="7"/>
      <c r="O973" s="30" t="str">
        <f t="shared" si="76"/>
        <v/>
      </c>
      <c r="P973" s="30" t="str">
        <f t="shared" si="77"/>
        <v/>
      </c>
      <c r="Q973" s="30" t="str">
        <f t="shared" si="78"/>
        <v/>
      </c>
      <c r="R973" s="30" t="str">
        <f t="shared" si="79"/>
        <v/>
      </c>
      <c r="S973" s="30" t="str">
        <f t="shared" si="80"/>
        <v/>
      </c>
    </row>
    <row r="974" spans="1:19">
      <c r="A974" s="7" t="s">
        <v>1025</v>
      </c>
      <c r="B974" s="7"/>
      <c r="C974" s="7"/>
      <c r="D974" s="7"/>
      <c r="E974" s="7"/>
      <c r="F974" s="7"/>
      <c r="H974" s="7"/>
      <c r="I974" s="7"/>
      <c r="J974" s="7"/>
      <c r="K974" s="7"/>
      <c r="L974" s="7"/>
      <c r="O974" s="30" t="str">
        <f t="shared" si="76"/>
        <v/>
      </c>
      <c r="P974" s="30" t="str">
        <f t="shared" si="77"/>
        <v/>
      </c>
      <c r="Q974" s="30" t="str">
        <f t="shared" si="78"/>
        <v/>
      </c>
      <c r="R974" s="30" t="str">
        <f t="shared" si="79"/>
        <v/>
      </c>
      <c r="S974" s="30" t="str">
        <f t="shared" si="80"/>
        <v/>
      </c>
    </row>
    <row r="975" spans="1:19">
      <c r="A975" s="7" t="s">
        <v>1026</v>
      </c>
      <c r="B975" s="7"/>
      <c r="C975" s="7"/>
      <c r="D975" s="7"/>
      <c r="E975" s="7"/>
      <c r="F975" s="7"/>
      <c r="H975" s="7"/>
      <c r="I975" s="7"/>
      <c r="J975" s="7"/>
      <c r="K975" s="7"/>
      <c r="L975" s="7"/>
      <c r="O975" s="30" t="str">
        <f t="shared" si="76"/>
        <v/>
      </c>
      <c r="P975" s="30" t="str">
        <f t="shared" si="77"/>
        <v/>
      </c>
      <c r="Q975" s="30" t="str">
        <f t="shared" si="78"/>
        <v/>
      </c>
      <c r="R975" s="30" t="str">
        <f t="shared" si="79"/>
        <v/>
      </c>
      <c r="S975" s="30" t="str">
        <f t="shared" si="80"/>
        <v/>
      </c>
    </row>
    <row r="976" spans="1:19">
      <c r="A976" s="7" t="s">
        <v>1027</v>
      </c>
      <c r="B976" s="7"/>
      <c r="C976" s="7"/>
      <c r="D976" s="7"/>
      <c r="E976" s="7"/>
      <c r="F976" s="7"/>
      <c r="H976" s="7"/>
      <c r="I976" s="7"/>
      <c r="J976" s="7"/>
      <c r="K976" s="7"/>
      <c r="L976" s="7"/>
      <c r="O976" s="30" t="str">
        <f t="shared" si="76"/>
        <v/>
      </c>
      <c r="P976" s="30" t="str">
        <f t="shared" si="77"/>
        <v/>
      </c>
      <c r="Q976" s="30" t="str">
        <f t="shared" si="78"/>
        <v/>
      </c>
      <c r="R976" s="30" t="str">
        <f t="shared" si="79"/>
        <v/>
      </c>
      <c r="S976" s="30" t="str">
        <f t="shared" si="80"/>
        <v/>
      </c>
    </row>
    <row r="977" spans="1:19">
      <c r="A977" s="7" t="s">
        <v>1028</v>
      </c>
      <c r="B977" s="7"/>
      <c r="C977" s="7"/>
      <c r="D977" s="7"/>
      <c r="E977" s="7"/>
      <c r="F977" s="7"/>
      <c r="H977" s="7"/>
      <c r="I977" s="7"/>
      <c r="J977" s="7"/>
      <c r="K977" s="7"/>
      <c r="L977" s="7"/>
      <c r="O977" s="30" t="str">
        <f t="shared" si="76"/>
        <v/>
      </c>
      <c r="P977" s="30" t="str">
        <f t="shared" si="77"/>
        <v/>
      </c>
      <c r="Q977" s="30" t="str">
        <f t="shared" si="78"/>
        <v/>
      </c>
      <c r="R977" s="30" t="str">
        <f t="shared" si="79"/>
        <v/>
      </c>
      <c r="S977" s="30" t="str">
        <f t="shared" si="80"/>
        <v/>
      </c>
    </row>
    <row r="978" spans="1:19">
      <c r="A978" s="7" t="s">
        <v>1029</v>
      </c>
      <c r="B978" s="7"/>
      <c r="C978" s="7"/>
      <c r="D978" s="7"/>
      <c r="E978" s="7"/>
      <c r="F978" s="7"/>
      <c r="H978" s="7"/>
      <c r="I978" s="7"/>
      <c r="J978" s="7"/>
      <c r="K978" s="7"/>
      <c r="L978" s="7"/>
      <c r="O978" s="30" t="str">
        <f t="shared" si="76"/>
        <v/>
      </c>
      <c r="P978" s="30" t="str">
        <f t="shared" si="77"/>
        <v/>
      </c>
      <c r="Q978" s="30" t="str">
        <f t="shared" si="78"/>
        <v/>
      </c>
      <c r="R978" s="30" t="str">
        <f t="shared" si="79"/>
        <v/>
      </c>
      <c r="S978" s="30" t="str">
        <f t="shared" si="80"/>
        <v/>
      </c>
    </row>
    <row r="979" spans="1:19">
      <c r="A979" s="7" t="s">
        <v>1030</v>
      </c>
      <c r="B979" s="7"/>
      <c r="C979" s="7"/>
      <c r="D979" s="7"/>
      <c r="E979" s="7"/>
      <c r="F979" s="7"/>
      <c r="H979" s="7"/>
      <c r="I979" s="7"/>
      <c r="J979" s="7"/>
      <c r="K979" s="7"/>
      <c r="L979" s="7"/>
      <c r="O979" s="30" t="str">
        <f t="shared" si="76"/>
        <v/>
      </c>
      <c r="P979" s="30" t="str">
        <f t="shared" si="77"/>
        <v/>
      </c>
      <c r="Q979" s="30" t="str">
        <f t="shared" si="78"/>
        <v/>
      </c>
      <c r="R979" s="30" t="str">
        <f t="shared" si="79"/>
        <v/>
      </c>
      <c r="S979" s="30" t="str">
        <f t="shared" si="80"/>
        <v/>
      </c>
    </row>
    <row r="980" spans="1:19">
      <c r="A980" s="7" t="s">
        <v>1031</v>
      </c>
      <c r="B980" s="7"/>
      <c r="C980" s="7"/>
      <c r="D980" s="7"/>
      <c r="E980" s="7"/>
      <c r="F980" s="7"/>
      <c r="H980" s="7"/>
      <c r="I980" s="7"/>
      <c r="J980" s="7"/>
      <c r="K980" s="7"/>
      <c r="L980" s="7"/>
      <c r="O980" s="30" t="str">
        <f t="shared" si="76"/>
        <v/>
      </c>
      <c r="P980" s="30" t="str">
        <f t="shared" si="77"/>
        <v/>
      </c>
      <c r="Q980" s="30" t="str">
        <f t="shared" si="78"/>
        <v/>
      </c>
      <c r="R980" s="30" t="str">
        <f t="shared" si="79"/>
        <v/>
      </c>
      <c r="S980" s="30" t="str">
        <f t="shared" si="80"/>
        <v/>
      </c>
    </row>
    <row r="981" spans="1:19">
      <c r="A981" s="7" t="s">
        <v>1032</v>
      </c>
      <c r="B981" s="7"/>
      <c r="C981" s="7"/>
      <c r="D981" s="7"/>
      <c r="E981" s="7"/>
      <c r="F981" s="7"/>
      <c r="H981" s="7"/>
      <c r="I981" s="7"/>
      <c r="J981" s="7"/>
      <c r="K981" s="7"/>
      <c r="L981" s="7"/>
      <c r="O981" s="30" t="str">
        <f t="shared" si="76"/>
        <v/>
      </c>
      <c r="P981" s="30" t="str">
        <f t="shared" si="77"/>
        <v/>
      </c>
      <c r="Q981" s="30" t="str">
        <f t="shared" si="78"/>
        <v/>
      </c>
      <c r="R981" s="30" t="str">
        <f t="shared" si="79"/>
        <v/>
      </c>
      <c r="S981" s="30" t="str">
        <f t="shared" si="80"/>
        <v/>
      </c>
    </row>
    <row r="982" spans="1:19">
      <c r="A982" s="7" t="s">
        <v>1033</v>
      </c>
      <c r="B982" s="7"/>
      <c r="C982" s="7"/>
      <c r="D982" s="7"/>
      <c r="E982" s="7"/>
      <c r="F982" s="7"/>
      <c r="H982" s="7"/>
      <c r="I982" s="7"/>
      <c r="J982" s="7"/>
      <c r="K982" s="7"/>
      <c r="L982" s="7"/>
      <c r="O982" s="30" t="str">
        <f t="shared" si="76"/>
        <v/>
      </c>
      <c r="P982" s="30" t="str">
        <f t="shared" si="77"/>
        <v/>
      </c>
      <c r="Q982" s="30" t="str">
        <f t="shared" si="78"/>
        <v/>
      </c>
      <c r="R982" s="30" t="str">
        <f t="shared" si="79"/>
        <v/>
      </c>
      <c r="S982" s="30" t="str">
        <f t="shared" si="80"/>
        <v/>
      </c>
    </row>
    <row r="983" spans="1:19">
      <c r="A983" s="7" t="s">
        <v>1034</v>
      </c>
      <c r="B983" s="7"/>
      <c r="C983" s="7"/>
      <c r="D983" s="7"/>
      <c r="E983" s="7"/>
      <c r="F983" s="7"/>
      <c r="H983" s="7"/>
      <c r="I983" s="7"/>
      <c r="J983" s="7"/>
      <c r="K983" s="7"/>
      <c r="L983" s="7"/>
      <c r="O983" s="30" t="str">
        <f t="shared" si="76"/>
        <v/>
      </c>
      <c r="P983" s="30" t="str">
        <f t="shared" si="77"/>
        <v/>
      </c>
      <c r="Q983" s="30" t="str">
        <f t="shared" si="78"/>
        <v/>
      </c>
      <c r="R983" s="30" t="str">
        <f t="shared" si="79"/>
        <v/>
      </c>
      <c r="S983" s="30" t="str">
        <f t="shared" si="80"/>
        <v/>
      </c>
    </row>
    <row r="984" spans="1:19">
      <c r="A984" s="7" t="s">
        <v>1035</v>
      </c>
      <c r="B984" s="7"/>
      <c r="C984" s="7"/>
      <c r="D984" s="7"/>
      <c r="E984" s="7"/>
      <c r="F984" s="7"/>
      <c r="H984" s="7"/>
      <c r="I984" s="7"/>
      <c r="J984" s="7"/>
      <c r="K984" s="7"/>
      <c r="L984" s="7"/>
      <c r="O984" s="30" t="str">
        <f t="shared" si="76"/>
        <v/>
      </c>
      <c r="P984" s="30" t="str">
        <f t="shared" si="77"/>
        <v/>
      </c>
      <c r="Q984" s="30" t="str">
        <f t="shared" si="78"/>
        <v/>
      </c>
      <c r="R984" s="30" t="str">
        <f t="shared" si="79"/>
        <v/>
      </c>
      <c r="S984" s="30" t="str">
        <f t="shared" si="80"/>
        <v/>
      </c>
    </row>
    <row r="985" spans="1:19">
      <c r="A985" s="7" t="s">
        <v>1036</v>
      </c>
      <c r="B985" s="7"/>
      <c r="C985" s="7"/>
      <c r="D985" s="7"/>
      <c r="E985" s="7"/>
      <c r="F985" s="7"/>
      <c r="H985" s="7"/>
      <c r="I985" s="7"/>
      <c r="J985" s="7"/>
      <c r="K985" s="7"/>
      <c r="L985" s="7"/>
      <c r="O985" s="30" t="str">
        <f t="shared" si="76"/>
        <v/>
      </c>
      <c r="P985" s="30" t="str">
        <f t="shared" si="77"/>
        <v/>
      </c>
      <c r="Q985" s="30" t="str">
        <f t="shared" si="78"/>
        <v/>
      </c>
      <c r="R985" s="30" t="str">
        <f t="shared" si="79"/>
        <v/>
      </c>
      <c r="S985" s="30" t="str">
        <f t="shared" si="80"/>
        <v/>
      </c>
    </row>
    <row r="986" spans="1:19">
      <c r="A986" s="7" t="s">
        <v>1037</v>
      </c>
      <c r="B986" s="7"/>
      <c r="C986" s="7"/>
      <c r="D986" s="7"/>
      <c r="E986" s="7"/>
      <c r="F986" s="7"/>
      <c r="H986" s="7"/>
      <c r="I986" s="7"/>
      <c r="J986" s="7"/>
      <c r="K986" s="7"/>
      <c r="L986" s="7"/>
      <c r="O986" s="30" t="str">
        <f t="shared" si="76"/>
        <v/>
      </c>
      <c r="P986" s="30" t="str">
        <f t="shared" si="77"/>
        <v/>
      </c>
      <c r="Q986" s="30" t="str">
        <f t="shared" si="78"/>
        <v/>
      </c>
      <c r="R986" s="30" t="str">
        <f t="shared" si="79"/>
        <v/>
      </c>
      <c r="S986" s="30" t="str">
        <f t="shared" si="80"/>
        <v/>
      </c>
    </row>
    <row r="987" spans="1:19">
      <c r="A987" s="7" t="s">
        <v>1038</v>
      </c>
      <c r="B987" s="7"/>
      <c r="C987" s="7"/>
      <c r="D987" s="7"/>
      <c r="E987" s="7"/>
      <c r="F987" s="7"/>
      <c r="H987" s="7"/>
      <c r="I987" s="7"/>
      <c r="J987" s="7"/>
      <c r="K987" s="7"/>
      <c r="L987" s="7"/>
      <c r="O987" s="30" t="str">
        <f t="shared" si="76"/>
        <v/>
      </c>
      <c r="P987" s="30" t="str">
        <f t="shared" si="77"/>
        <v/>
      </c>
      <c r="Q987" s="30" t="str">
        <f t="shared" si="78"/>
        <v/>
      </c>
      <c r="R987" s="30" t="str">
        <f t="shared" si="79"/>
        <v/>
      </c>
      <c r="S987" s="30" t="str">
        <f t="shared" si="80"/>
        <v/>
      </c>
    </row>
    <row r="988" spans="1:19">
      <c r="A988" s="7" t="s">
        <v>1039</v>
      </c>
      <c r="B988" s="7"/>
      <c r="C988" s="7"/>
      <c r="D988" s="7"/>
      <c r="E988" s="7"/>
      <c r="F988" s="7"/>
      <c r="H988" s="7"/>
      <c r="I988" s="7"/>
      <c r="J988" s="7"/>
      <c r="K988" s="7"/>
      <c r="L988" s="7"/>
      <c r="O988" s="30" t="str">
        <f t="shared" si="76"/>
        <v/>
      </c>
      <c r="P988" s="30" t="str">
        <f t="shared" si="77"/>
        <v/>
      </c>
      <c r="Q988" s="30" t="str">
        <f t="shared" si="78"/>
        <v/>
      </c>
      <c r="R988" s="30" t="str">
        <f t="shared" si="79"/>
        <v/>
      </c>
      <c r="S988" s="30" t="str">
        <f t="shared" si="80"/>
        <v/>
      </c>
    </row>
    <row r="989" spans="1:19">
      <c r="A989" s="7" t="s">
        <v>1040</v>
      </c>
      <c r="B989" s="7"/>
      <c r="C989" s="7"/>
      <c r="D989" s="7"/>
      <c r="E989" s="7"/>
      <c r="F989" s="7"/>
      <c r="H989" s="7"/>
      <c r="I989" s="7"/>
      <c r="J989" s="7"/>
      <c r="K989" s="7"/>
      <c r="L989" s="7"/>
      <c r="O989" s="30" t="str">
        <f t="shared" si="76"/>
        <v/>
      </c>
      <c r="P989" s="30" t="str">
        <f t="shared" si="77"/>
        <v/>
      </c>
      <c r="Q989" s="30" t="str">
        <f t="shared" si="78"/>
        <v/>
      </c>
      <c r="R989" s="30" t="str">
        <f t="shared" si="79"/>
        <v/>
      </c>
      <c r="S989" s="30" t="str">
        <f t="shared" si="80"/>
        <v/>
      </c>
    </row>
    <row r="990" spans="1:19">
      <c r="A990" s="7" t="s">
        <v>1041</v>
      </c>
      <c r="B990" s="7"/>
      <c r="C990" s="7"/>
      <c r="D990" s="7"/>
      <c r="E990" s="7"/>
      <c r="F990" s="7"/>
      <c r="H990" s="7"/>
      <c r="I990" s="7"/>
      <c r="J990" s="7"/>
      <c r="K990" s="7"/>
      <c r="L990" s="7"/>
      <c r="O990" s="30" t="str">
        <f t="shared" si="76"/>
        <v/>
      </c>
      <c r="P990" s="30" t="str">
        <f t="shared" si="77"/>
        <v/>
      </c>
      <c r="Q990" s="30" t="str">
        <f t="shared" si="78"/>
        <v/>
      </c>
      <c r="R990" s="30" t="str">
        <f t="shared" si="79"/>
        <v/>
      </c>
      <c r="S990" s="30" t="str">
        <f t="shared" si="80"/>
        <v/>
      </c>
    </row>
    <row r="991" spans="1:19">
      <c r="A991" s="7" t="s">
        <v>1042</v>
      </c>
      <c r="B991" s="7"/>
      <c r="C991" s="7"/>
      <c r="D991" s="7"/>
      <c r="E991" s="7"/>
      <c r="F991" s="7"/>
      <c r="H991" s="7"/>
      <c r="I991" s="7"/>
      <c r="J991" s="7"/>
      <c r="K991" s="7"/>
      <c r="L991" s="7"/>
      <c r="O991" s="30" t="str">
        <f t="shared" si="76"/>
        <v/>
      </c>
      <c r="P991" s="30" t="str">
        <f t="shared" si="77"/>
        <v/>
      </c>
      <c r="Q991" s="30" t="str">
        <f t="shared" si="78"/>
        <v/>
      </c>
      <c r="R991" s="30" t="str">
        <f t="shared" si="79"/>
        <v/>
      </c>
      <c r="S991" s="30" t="str">
        <f t="shared" si="80"/>
        <v/>
      </c>
    </row>
    <row r="992" spans="1:19">
      <c r="A992" s="7" t="s">
        <v>1043</v>
      </c>
      <c r="B992" s="7"/>
      <c r="C992" s="7"/>
      <c r="D992" s="7"/>
      <c r="E992" s="7"/>
      <c r="F992" s="7"/>
      <c r="H992" s="7"/>
      <c r="I992" s="7"/>
      <c r="J992" s="7"/>
      <c r="K992" s="7"/>
      <c r="L992" s="7"/>
      <c r="O992" s="30" t="str">
        <f t="shared" si="76"/>
        <v/>
      </c>
      <c r="P992" s="30" t="str">
        <f t="shared" si="77"/>
        <v/>
      </c>
      <c r="Q992" s="30" t="str">
        <f t="shared" si="78"/>
        <v/>
      </c>
      <c r="R992" s="30" t="str">
        <f t="shared" si="79"/>
        <v/>
      </c>
      <c r="S992" s="30" t="str">
        <f t="shared" si="80"/>
        <v/>
      </c>
    </row>
    <row r="993" spans="1:19">
      <c r="A993" s="7" t="s">
        <v>1044</v>
      </c>
      <c r="B993" s="7"/>
      <c r="C993" s="7"/>
      <c r="D993" s="7"/>
      <c r="E993" s="7"/>
      <c r="F993" s="7"/>
      <c r="H993" s="7"/>
      <c r="I993" s="7"/>
      <c r="J993" s="7"/>
      <c r="K993" s="7"/>
      <c r="L993" s="7"/>
      <c r="O993" s="30" t="str">
        <f t="shared" si="76"/>
        <v/>
      </c>
      <c r="P993" s="30" t="str">
        <f t="shared" si="77"/>
        <v/>
      </c>
      <c r="Q993" s="30" t="str">
        <f t="shared" si="78"/>
        <v/>
      </c>
      <c r="R993" s="30" t="str">
        <f t="shared" si="79"/>
        <v/>
      </c>
      <c r="S993" s="30" t="str">
        <f t="shared" si="80"/>
        <v/>
      </c>
    </row>
    <row r="994" spans="1:19">
      <c r="A994" s="7" t="s">
        <v>1045</v>
      </c>
      <c r="B994" s="7"/>
      <c r="C994" s="7"/>
      <c r="D994" s="7"/>
      <c r="E994" s="7"/>
      <c r="F994" s="7"/>
      <c r="H994" s="7"/>
      <c r="I994" s="7"/>
      <c r="J994" s="7"/>
      <c r="K994" s="7"/>
      <c r="L994" s="7"/>
      <c r="O994" s="30" t="str">
        <f t="shared" si="76"/>
        <v/>
      </c>
      <c r="P994" s="30" t="str">
        <f t="shared" si="77"/>
        <v/>
      </c>
      <c r="Q994" s="30" t="str">
        <f t="shared" si="78"/>
        <v/>
      </c>
      <c r="R994" s="30" t="str">
        <f t="shared" si="79"/>
        <v/>
      </c>
      <c r="S994" s="30" t="str">
        <f t="shared" si="80"/>
        <v/>
      </c>
    </row>
    <row r="995" spans="1:19">
      <c r="A995" s="7" t="s">
        <v>1046</v>
      </c>
      <c r="B995" s="7"/>
      <c r="C995" s="7"/>
      <c r="D995" s="7"/>
      <c r="E995" s="7"/>
      <c r="F995" s="7"/>
      <c r="H995" s="7"/>
      <c r="I995" s="7"/>
      <c r="J995" s="7"/>
      <c r="K995" s="7"/>
      <c r="L995" s="7"/>
      <c r="O995" s="30" t="str">
        <f t="shared" si="76"/>
        <v/>
      </c>
      <c r="P995" s="30" t="str">
        <f t="shared" si="77"/>
        <v/>
      </c>
      <c r="Q995" s="30" t="str">
        <f t="shared" si="78"/>
        <v/>
      </c>
      <c r="R995" s="30" t="str">
        <f t="shared" si="79"/>
        <v/>
      </c>
      <c r="S995" s="30" t="str">
        <f t="shared" si="80"/>
        <v/>
      </c>
    </row>
    <row r="996" spans="1:19">
      <c r="A996" s="7" t="s">
        <v>1047</v>
      </c>
      <c r="B996" s="7"/>
      <c r="C996" s="7"/>
      <c r="D996" s="7"/>
      <c r="E996" s="7"/>
      <c r="F996" s="7"/>
      <c r="H996" s="7"/>
      <c r="I996" s="7"/>
      <c r="J996" s="7"/>
      <c r="K996" s="7"/>
      <c r="L996" s="7"/>
      <c r="O996" s="30" t="str">
        <f t="shared" si="76"/>
        <v/>
      </c>
      <c r="P996" s="30" t="str">
        <f t="shared" si="77"/>
        <v/>
      </c>
      <c r="Q996" s="30" t="str">
        <f t="shared" si="78"/>
        <v/>
      </c>
      <c r="R996" s="30" t="str">
        <f t="shared" si="79"/>
        <v/>
      </c>
      <c r="S996" s="30" t="str">
        <f t="shared" si="80"/>
        <v/>
      </c>
    </row>
    <row r="997" spans="1:19">
      <c r="A997" s="7" t="s">
        <v>1048</v>
      </c>
      <c r="B997" s="7"/>
      <c r="C997" s="7"/>
      <c r="D997" s="7"/>
      <c r="E997" s="7"/>
      <c r="F997" s="7"/>
      <c r="H997" s="7"/>
      <c r="I997" s="7"/>
      <c r="J997" s="7"/>
      <c r="K997" s="7"/>
      <c r="L997" s="7"/>
      <c r="O997" s="30" t="str">
        <f t="shared" si="76"/>
        <v/>
      </c>
      <c r="P997" s="30" t="str">
        <f t="shared" si="77"/>
        <v/>
      </c>
      <c r="Q997" s="30" t="str">
        <f t="shared" si="78"/>
        <v/>
      </c>
      <c r="R997" s="30" t="str">
        <f t="shared" si="79"/>
        <v/>
      </c>
      <c r="S997" s="30" t="str">
        <f t="shared" si="80"/>
        <v/>
      </c>
    </row>
    <row r="998" spans="1:19">
      <c r="A998" s="7" t="s">
        <v>1049</v>
      </c>
      <c r="B998" s="7"/>
      <c r="C998" s="7"/>
      <c r="D998" s="7"/>
      <c r="E998" s="7"/>
      <c r="F998" s="7"/>
      <c r="H998" s="7"/>
      <c r="I998" s="7"/>
      <c r="J998" s="7"/>
      <c r="K998" s="7"/>
      <c r="L998" s="7"/>
      <c r="O998" s="30" t="str">
        <f t="shared" si="76"/>
        <v/>
      </c>
      <c r="P998" s="30" t="str">
        <f t="shared" si="77"/>
        <v/>
      </c>
      <c r="Q998" s="30" t="str">
        <f t="shared" si="78"/>
        <v/>
      </c>
      <c r="R998" s="30" t="str">
        <f t="shared" si="79"/>
        <v/>
      </c>
      <c r="S998" s="30" t="str">
        <f t="shared" si="80"/>
        <v/>
      </c>
    </row>
    <row r="999" spans="1:19">
      <c r="A999" s="7" t="s">
        <v>1050</v>
      </c>
      <c r="B999" s="7"/>
      <c r="C999" s="7"/>
      <c r="D999" s="7"/>
      <c r="E999" s="7"/>
      <c r="F999" s="7"/>
      <c r="H999" s="7"/>
      <c r="I999" s="7"/>
      <c r="J999" s="7"/>
      <c r="K999" s="7"/>
      <c r="L999" s="7"/>
      <c r="O999" s="30" t="str">
        <f t="shared" si="76"/>
        <v/>
      </c>
      <c r="P999" s="30" t="str">
        <f t="shared" si="77"/>
        <v/>
      </c>
      <c r="Q999" s="30" t="str">
        <f t="shared" si="78"/>
        <v/>
      </c>
      <c r="R999" s="30" t="str">
        <f t="shared" si="79"/>
        <v/>
      </c>
      <c r="S999" s="30" t="str">
        <f t="shared" si="80"/>
        <v/>
      </c>
    </row>
    <row r="1000" spans="1:19">
      <c r="A1000" s="7" t="s">
        <v>1051</v>
      </c>
      <c r="B1000" s="7"/>
      <c r="C1000" s="7"/>
      <c r="D1000" s="7"/>
      <c r="E1000" s="7"/>
      <c r="F1000" s="7"/>
      <c r="H1000" s="7"/>
      <c r="I1000" s="7"/>
      <c r="J1000" s="7"/>
      <c r="K1000" s="7"/>
      <c r="L1000" s="7"/>
      <c r="O1000" s="30" t="str">
        <f t="shared" si="76"/>
        <v/>
      </c>
      <c r="P1000" s="30" t="str">
        <f t="shared" si="77"/>
        <v/>
      </c>
      <c r="Q1000" s="30" t="str">
        <f t="shared" si="78"/>
        <v/>
      </c>
      <c r="R1000" s="30" t="str">
        <f t="shared" si="79"/>
        <v/>
      </c>
      <c r="S1000" s="30" t="str">
        <f t="shared" si="80"/>
        <v/>
      </c>
    </row>
  </sheetData>
  <conditionalFormatting sqref="A8:F1000">
    <cfRule type="expression" dxfId="7" priority="1">
      <formula>$E8="storno"</formula>
    </cfRule>
    <cfRule type="expression" dxfId="6" priority="2">
      <formula>$E8="Feedback gesendet"</formula>
    </cfRule>
    <cfRule type="expression" dxfId="5" priority="3">
      <formula>$E8="bestellt"</formula>
    </cfRule>
    <cfRule type="expression" dxfId="4" priority="4">
      <formula>$E8="bereit zur Bestellung"</formula>
    </cfRule>
    <cfRule type="expression" dxfId="3" priority="5">
      <formula>$E8="versendet"</formula>
    </cfRule>
  </conditionalFormatting>
  <conditionalFormatting sqref="O8:S1000">
    <cfRule type="cellIs" dxfId="2" priority="7" operator="equal">
      <formula>"Absage"</formula>
    </cfRule>
    <cfRule type="cellIs" dxfId="1" priority="8" operator="equal">
      <formula>"Angebot erhalten"</formula>
    </cfRule>
    <cfRule type="cellIs" dxfId="0" priority="9" operator="equal">
      <formula>"Angebot offen"</formula>
    </cfRule>
  </conditionalFormatting>
  <dataValidations disablePrompts="1" count="2">
    <dataValidation type="list" allowBlank="1" showInputMessage="1" showErrorMessage="1" sqref="E8:E1000">
      <formula1>"offen, erstellt, versendet, bereit zur Bestellung, bestellt, Feedback gesendet, storno"</formula1>
    </dataValidation>
    <dataValidation type="list" allowBlank="1" showInputMessage="1" showErrorMessage="1" sqref="O8:S1000">
      <formula1>"Angebot offen, Angebot erhalten, Absage"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/>
  </sheetPr>
  <dimension ref="A2:AL1000"/>
  <sheetViews>
    <sheetView showGridLines="0" tabSelected="1" zoomScale="80" zoomScaleNormal="80" workbookViewId="0">
      <selection activeCell="S9" sqref="S9"/>
    </sheetView>
  </sheetViews>
  <sheetFormatPr defaultColWidth="11.5703125" defaultRowHeight="15" outlineLevelCol="1"/>
  <cols>
    <col min="8" max="8" width="15.28515625" customWidth="1"/>
    <col min="16" max="16" width="3.7109375" customWidth="1"/>
    <col min="17" max="17" width="22.28515625" customWidth="1" outlineLevel="1"/>
    <col min="18" max="18" width="17.28515625" customWidth="1" outlineLevel="1"/>
    <col min="19" max="19" width="20.28515625" customWidth="1" outlineLevel="1"/>
    <col min="20" max="20" width="16.28515625" customWidth="1" outlineLevel="1"/>
    <col min="21" max="21" width="19.7109375" customWidth="1" outlineLevel="1"/>
    <col min="22" max="22" width="10.85546875" outlineLevel="1"/>
    <col min="23" max="23" width="12.7109375" customWidth="1"/>
    <col min="24" max="24" width="4.28515625" customWidth="1"/>
    <col min="25" max="25" width="10.85546875" outlineLevel="1"/>
    <col min="26" max="26" width="12.140625" customWidth="1" outlineLevel="1"/>
    <col min="27" max="27" width="16.7109375" customWidth="1" outlineLevel="1"/>
    <col min="28" max="28" width="17.7109375" customWidth="1"/>
    <col min="29" max="29" width="2.28515625" customWidth="1"/>
    <col min="30" max="30" width="19.5703125" customWidth="1"/>
    <col min="31" max="31" width="18.5703125" customWidth="1"/>
    <col min="32" max="32" width="13.28515625" bestFit="1" customWidth="1"/>
    <col min="34" max="34" width="17.28515625" customWidth="1"/>
    <col min="35" max="35" width="15.85546875" customWidth="1"/>
    <col min="36" max="36" width="16.28515625" customWidth="1"/>
    <col min="38" max="38" width="24.7109375" customWidth="1"/>
  </cols>
  <sheetData>
    <row r="2" spans="1:38" ht="15.75" thickBot="1">
      <c r="Q2" t="s">
        <v>23</v>
      </c>
    </row>
    <row r="3" spans="1:38" ht="51.4" customHeight="1" thickBot="1">
      <c r="M3" s="4">
        <f>SUBTOTAL(9,M5:M1000)</f>
        <v>0</v>
      </c>
      <c r="Q3" s="41" t="s">
        <v>20</v>
      </c>
    </row>
    <row r="4" spans="1:38" ht="60">
      <c r="A4" s="4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51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Q4" s="2" t="s">
        <v>39</v>
      </c>
      <c r="R4" s="6" t="s">
        <v>50</v>
      </c>
      <c r="S4" s="6" t="s">
        <v>40</v>
      </c>
      <c r="T4" s="6" t="s">
        <v>43</v>
      </c>
      <c r="U4" s="6" t="s">
        <v>41</v>
      </c>
      <c r="V4" s="21" t="s">
        <v>42</v>
      </c>
      <c r="W4" s="2" t="s">
        <v>44</v>
      </c>
      <c r="X4" s="43" t="s">
        <v>57</v>
      </c>
      <c r="Y4" s="4" t="s">
        <v>27</v>
      </c>
      <c r="Z4" s="2" t="s">
        <v>45</v>
      </c>
      <c r="AA4" s="4" t="s">
        <v>46</v>
      </c>
      <c r="AB4" s="2" t="s">
        <v>47</v>
      </c>
      <c r="AC4" s="44" t="s">
        <v>57</v>
      </c>
      <c r="AD4" s="23" t="s">
        <v>23</v>
      </c>
      <c r="AE4" s="24" t="s">
        <v>48</v>
      </c>
      <c r="AF4" s="24" t="s">
        <v>10</v>
      </c>
      <c r="AG4" s="25" t="s">
        <v>49</v>
      </c>
      <c r="AH4" s="11" t="s">
        <v>50</v>
      </c>
      <c r="AI4" s="12" t="s">
        <v>40</v>
      </c>
      <c r="AJ4" s="12" t="s">
        <v>43</v>
      </c>
      <c r="AK4" s="13" t="s">
        <v>41</v>
      </c>
      <c r="AL4" s="5" t="s">
        <v>35</v>
      </c>
    </row>
    <row r="5" spans="1:38">
      <c r="A5" s="19">
        <f>IF('Supplier selection'!A5="","",'Supplier selection'!A5)</f>
        <v>1</v>
      </c>
      <c r="B5" s="19" t="str">
        <f>IF('Supplier selection'!B5="","",'Supplier selection'!B5)</f>
        <v/>
      </c>
      <c r="C5" s="19" t="str">
        <f>IF('Supplier selection'!C5="","",'Supplier selection'!C5)</f>
        <v>RFQ001</v>
      </c>
      <c r="D5" s="19" t="str">
        <f>IF('Supplier selection'!D5="","",'Supplier selection'!D5)</f>
        <v/>
      </c>
      <c r="E5" s="19" t="str">
        <f>IF('Supplier selection'!E5="","",'Supplier selection'!E5)</f>
        <v/>
      </c>
      <c r="F5" s="19" t="str">
        <f>IF('Supplier selection'!F5="","",'Supplier selection'!F5)</f>
        <v>111-1</v>
      </c>
      <c r="G5" s="19" t="str">
        <f>IF('Supplier selection'!G5="","",'Supplier selection'!G5)</f>
        <v>Test01</v>
      </c>
      <c r="H5" s="19">
        <f>IF('Supplier selection'!H5="","",'Supplier selection'!H5)</f>
        <v>10</v>
      </c>
      <c r="I5" s="19" t="str">
        <f>IF('Supplier selection'!I5="","",'Supplier selection'!I5)</f>
        <v/>
      </c>
      <c r="J5" s="19" t="str">
        <f>IF('Supplier selection'!J5="","",'Supplier selection'!J5)</f>
        <v/>
      </c>
      <c r="K5" s="19" t="str">
        <f>IF('Supplier selection'!K5="","",'Supplier selection'!K5)</f>
        <v>EUR</v>
      </c>
      <c r="L5" s="19" t="str">
        <f>IF('Supplier selection'!L5="","",'Supplier selection'!L5)</f>
        <v>St</v>
      </c>
      <c r="M5" s="19" t="str">
        <f>IF('Supplier selection'!M5="","",'Supplier selection'!M5)</f>
        <v/>
      </c>
      <c r="N5" s="19" t="str">
        <f>IF('Supplier selection'!N5="","",'Supplier selection'!N5)</f>
        <v/>
      </c>
      <c r="O5" s="19">
        <f>IF('Supplier selection'!O5="","",'Supplier selection'!O5)</f>
        <v>10</v>
      </c>
      <c r="Q5" s="19">
        <f>HLOOKUP($Q$3,'Supplier selection'!$AW$4:'Supplier selection'!$CT$1000,$A6,FALSE)</f>
        <v>8</v>
      </c>
      <c r="R5" s="22">
        <f>IF(OR(Q5="",O5=""),"",(Q5-O5)/O5)</f>
        <v>-0.2</v>
      </c>
      <c r="S5" s="19">
        <f>IF(OR(H5="",O5="",Q5=""),"",(Q5*H5)-(H5*O5))</f>
        <v>-20</v>
      </c>
      <c r="T5" s="22">
        <f>IF(OR(Y5="",Q5=""),"",(Q5-Y5)/Y5)</f>
        <v>0</v>
      </c>
      <c r="U5" s="19">
        <f>IF(OR(Y5="",Q5="",H5=""),"",(Q5*H5)-(Y5*H5))</f>
        <v>0</v>
      </c>
      <c r="V5" s="7"/>
      <c r="Y5" s="19">
        <f>IF('Supplier selection'!AQ5="","",'Supplier selection'!AQ5)</f>
        <v>8</v>
      </c>
      <c r="Z5" s="19" t="str">
        <f>IF('Supplier selection'!AR5="","",'Supplier selection'!AR5)</f>
        <v>Lieferant 3</v>
      </c>
      <c r="AA5" s="19">
        <f>IF(OR(Y5="",O5="",H5=""),"",((H5*Y5)-(H5*O5)))</f>
        <v>-20</v>
      </c>
      <c r="AD5" s="26" t="str">
        <f>IF(AND('Supplier selection'!X5="",'Supplier selection'!AE5=""),"",IF('Supplier selection'!X5="",'Supplier selection'!AE5,'Supplier selection'!X5))</f>
        <v>Lieferant 3</v>
      </c>
      <c r="AE5" s="19" t="str">
        <f>IF(AD5="","",J5)</f>
        <v/>
      </c>
      <c r="AF5" s="19" t="str">
        <f>IF(AD5="","",L5)</f>
        <v>St</v>
      </c>
      <c r="AG5" s="27">
        <f>IF(AND('Supplier selection'!AB5="",'Supplier selection'!AI5=""),"",IF('Supplier selection'!AB5="",'Supplier selection'!AI5,'Supplier selection'!AB5))</f>
        <v>8</v>
      </c>
      <c r="AH5" s="28">
        <f>IF(OR(AG5="",O5=""),"",(AG5-O5)/O5)</f>
        <v>-0.2</v>
      </c>
      <c r="AI5" s="7">
        <f>IF(OR(H5="",O5="",AG5=""),"",(AG5*H5)-(H5*O5))</f>
        <v>-20</v>
      </c>
      <c r="AJ5" s="22">
        <f>IF(OR(AG5="",Y5=""),"",(AG5-Y5)/Y5)</f>
        <v>0</v>
      </c>
      <c r="AK5" s="29">
        <f>IF(OR(H5="",Y5="",AG5=""),"",(AG5*H5)-(H5*Y5))</f>
        <v>0</v>
      </c>
      <c r="AL5" s="10"/>
    </row>
    <row r="6" spans="1:38">
      <c r="A6" s="19">
        <f>IF('Supplier selection'!A6="","",'Supplier selection'!A6)</f>
        <v>2</v>
      </c>
      <c r="B6" s="19" t="str">
        <f>IF('Supplier selection'!B6="","",'Supplier selection'!B6)</f>
        <v/>
      </c>
      <c r="C6" s="19" t="str">
        <f>IF('Supplier selection'!C6="","",'Supplier selection'!C6)</f>
        <v>RFQ001</v>
      </c>
      <c r="D6" s="19" t="str">
        <f>IF('Supplier selection'!D6="","",'Supplier selection'!D6)</f>
        <v/>
      </c>
      <c r="E6" s="19" t="str">
        <f>IF('Supplier selection'!E6="","",'Supplier selection'!E6)</f>
        <v/>
      </c>
      <c r="F6" s="19" t="str">
        <f>IF('Supplier selection'!F6="","",'Supplier selection'!F6)</f>
        <v>111-2</v>
      </c>
      <c r="G6" s="19" t="str">
        <f>IF('Supplier selection'!G6="","",'Supplier selection'!G6)</f>
        <v>Test01</v>
      </c>
      <c r="H6" s="19" t="str">
        <f>IF('Supplier selection'!H6="","",'Supplier selection'!H6)</f>
        <v/>
      </c>
      <c r="I6" s="19" t="str">
        <f>IF('Supplier selection'!I6="","",'Supplier selection'!I6)</f>
        <v/>
      </c>
      <c r="J6" s="19" t="str">
        <f>IF('Supplier selection'!J6="","",'Supplier selection'!J6)</f>
        <v/>
      </c>
      <c r="K6" s="19" t="str">
        <f>IF('Supplier selection'!K6="","",'Supplier selection'!K6)</f>
        <v/>
      </c>
      <c r="L6" s="19" t="str">
        <f>IF('Supplier selection'!L6="","",'Supplier selection'!L6)</f>
        <v/>
      </c>
      <c r="M6" s="19" t="str">
        <f>IF('Supplier selection'!M6="","",'Supplier selection'!M6)</f>
        <v/>
      </c>
      <c r="N6" s="19" t="str">
        <f>IF('Supplier selection'!N6="","",'Supplier selection'!N6)</f>
        <v/>
      </c>
      <c r="O6" s="19" t="str">
        <f>IF('Supplier selection'!O6="","",'Supplier selection'!O6)</f>
        <v/>
      </c>
      <c r="Q6" s="19" t="str">
        <f>HLOOKUP($Q$3,'Supplier selection'!$AW$4:'Supplier selection'!$CT$1000,$A7,FALSE)</f>
        <v/>
      </c>
      <c r="R6" s="22" t="str">
        <f t="shared" ref="R6:R69" si="0">IF(OR(Q6="",O6=""),"",(Q6-O6)/O6)</f>
        <v/>
      </c>
      <c r="S6" s="19" t="str">
        <f t="shared" ref="S6:S69" si="1">IF(OR(H6="",O6="",Q6=""),"",(Q6*H6)-(H6*O6))</f>
        <v/>
      </c>
      <c r="T6" s="22" t="str">
        <f t="shared" ref="T6:T69" si="2">IF(OR(Y6="",Q6=""),"",(Q6-Y6)/Y6)</f>
        <v/>
      </c>
      <c r="U6" s="19" t="str">
        <f t="shared" ref="U6:U69" si="3">IF(OR(Y6="",Q6="",H6=""),"",(Q6*H6)-(Y6*H6))</f>
        <v/>
      </c>
      <c r="V6" s="7"/>
      <c r="Y6" s="19" t="str">
        <f>IF('Supplier selection'!AQ6="","",'Supplier selection'!AQ6)</f>
        <v/>
      </c>
      <c r="Z6" s="19" t="str">
        <f>IF('Supplier selection'!AR6="","",'Supplier selection'!AR6)</f>
        <v/>
      </c>
      <c r="AA6" s="19" t="str">
        <f t="shared" ref="AA6:AA69" si="4">IF(OR(Y6="",O6="",H6=""),"",((H6*Y6)-(H6*O6)))</f>
        <v/>
      </c>
      <c r="AD6" s="26" t="str">
        <f>IF(AND('Supplier selection'!X6="",'Supplier selection'!AE6=""),"",IF('Supplier selection'!X6="",'Supplier selection'!AE6,'Supplier selection'!X6))</f>
        <v/>
      </c>
      <c r="AE6" s="19" t="str">
        <f t="shared" ref="AE6:AE69" si="5">IF(AD6="","",J6)</f>
        <v/>
      </c>
      <c r="AF6" s="19" t="str">
        <f t="shared" ref="AF6:AF69" si="6">IF(AD6="","",L6)</f>
        <v/>
      </c>
      <c r="AG6" s="27" t="str">
        <f>IF(AND('Supplier selection'!AB6="",'Supplier selection'!AI6=""),"",IF('Supplier selection'!AB6="",'Supplier selection'!AI6,'Supplier selection'!AB6))</f>
        <v/>
      </c>
      <c r="AH6" s="28" t="str">
        <f t="shared" ref="AH6:AH69" si="7">IF(OR(AG6="",O6=""),"",(AG6-O6)/O6)</f>
        <v/>
      </c>
      <c r="AI6" s="7" t="str">
        <f t="shared" ref="AI6:AI69" si="8">IF(OR(H6="",O6="",AG6=""),"",(AG6*H6)-(H6*O6))</f>
        <v/>
      </c>
      <c r="AJ6" s="22" t="str">
        <f t="shared" ref="AJ6:AJ69" si="9">IF(OR(AG6="",Y6=""),"",(AG6-Y6)/Y6)</f>
        <v/>
      </c>
      <c r="AK6" s="29" t="str">
        <f t="shared" ref="AK6:AK69" si="10">IF(OR(H6="",Y6="",AG6=""),"",(AG6*H6)-(H6*Y6))</f>
        <v/>
      </c>
      <c r="AL6" s="10"/>
    </row>
    <row r="7" spans="1:38">
      <c r="A7" s="19">
        <f>IF('Supplier selection'!A7="","",'Supplier selection'!A7)</f>
        <v>3</v>
      </c>
      <c r="B7" s="19" t="str">
        <f>IF('Supplier selection'!B7="","",'Supplier selection'!B7)</f>
        <v/>
      </c>
      <c r="C7" s="19" t="str">
        <f>IF('Supplier selection'!C7="","",'Supplier selection'!C7)</f>
        <v>RFQ001</v>
      </c>
      <c r="D7" s="19" t="str">
        <f>IF('Supplier selection'!D7="","",'Supplier selection'!D7)</f>
        <v/>
      </c>
      <c r="E7" s="19" t="str">
        <f>IF('Supplier selection'!E7="","",'Supplier selection'!E7)</f>
        <v/>
      </c>
      <c r="F7" s="19" t="str">
        <f>IF('Supplier selection'!F7="","",'Supplier selection'!F7)</f>
        <v>111-3</v>
      </c>
      <c r="G7" s="19" t="str">
        <f>IF('Supplier selection'!G7="","",'Supplier selection'!G7)</f>
        <v>Test01</v>
      </c>
      <c r="H7" s="19" t="str">
        <f>IF('Supplier selection'!H7="","",'Supplier selection'!H7)</f>
        <v/>
      </c>
      <c r="I7" s="19" t="str">
        <f>IF('Supplier selection'!I7="","",'Supplier selection'!I7)</f>
        <v/>
      </c>
      <c r="J7" s="19" t="str">
        <f>IF('Supplier selection'!J7="","",'Supplier selection'!J7)</f>
        <v/>
      </c>
      <c r="K7" s="19" t="str">
        <f>IF('Supplier selection'!K7="","",'Supplier selection'!K7)</f>
        <v/>
      </c>
      <c r="L7" s="19" t="str">
        <f>IF('Supplier selection'!L7="","",'Supplier selection'!L7)</f>
        <v/>
      </c>
      <c r="M7" s="19" t="str">
        <f>IF('Supplier selection'!M7="","",'Supplier selection'!M7)</f>
        <v/>
      </c>
      <c r="N7" s="19" t="str">
        <f>IF('Supplier selection'!N7="","",'Supplier selection'!N7)</f>
        <v/>
      </c>
      <c r="O7" s="19" t="str">
        <f>IF('Supplier selection'!O7="","",'Supplier selection'!O7)</f>
        <v/>
      </c>
      <c r="Q7" s="19" t="str">
        <f>HLOOKUP($Q$3,'Supplier selection'!$AW$4:'Supplier selection'!$CT$1000,$A8,FALSE)</f>
        <v/>
      </c>
      <c r="R7" s="22" t="str">
        <f t="shared" si="0"/>
        <v/>
      </c>
      <c r="S7" s="19" t="str">
        <f t="shared" si="1"/>
        <v/>
      </c>
      <c r="T7" s="22" t="str">
        <f t="shared" si="2"/>
        <v/>
      </c>
      <c r="U7" s="19" t="str">
        <f t="shared" si="3"/>
        <v/>
      </c>
      <c r="V7" s="7"/>
      <c r="Y7" s="19" t="str">
        <f>IF('Supplier selection'!AQ7="","",'Supplier selection'!AQ7)</f>
        <v/>
      </c>
      <c r="Z7" s="19" t="str">
        <f>IF('Supplier selection'!AR7="","",'Supplier selection'!AR7)</f>
        <v/>
      </c>
      <c r="AA7" s="19" t="str">
        <f t="shared" si="4"/>
        <v/>
      </c>
      <c r="AD7" s="26" t="str">
        <f>IF(AND('Supplier selection'!X7="",'Supplier selection'!AE7=""),"",IF('Supplier selection'!X7="",'Supplier selection'!AE7,'Supplier selection'!X7))</f>
        <v/>
      </c>
      <c r="AE7" s="19" t="str">
        <f t="shared" si="5"/>
        <v/>
      </c>
      <c r="AF7" s="19" t="str">
        <f t="shared" si="6"/>
        <v/>
      </c>
      <c r="AG7" s="27" t="str">
        <f>IF(AND('Supplier selection'!AB7="",'Supplier selection'!AI7=""),"",IF('Supplier selection'!AB7="",'Supplier selection'!AI7,'Supplier selection'!AB7))</f>
        <v/>
      </c>
      <c r="AH7" s="28" t="str">
        <f t="shared" si="7"/>
        <v/>
      </c>
      <c r="AI7" s="7" t="str">
        <f t="shared" si="8"/>
        <v/>
      </c>
      <c r="AJ7" s="22" t="str">
        <f t="shared" si="9"/>
        <v/>
      </c>
      <c r="AK7" s="29" t="str">
        <f t="shared" si="10"/>
        <v/>
      </c>
      <c r="AL7" s="10"/>
    </row>
    <row r="8" spans="1:38">
      <c r="A8" s="19">
        <f>IF('Supplier selection'!A8="","",'Supplier selection'!A8)</f>
        <v>4</v>
      </c>
      <c r="B8" s="19" t="str">
        <f>IF('Supplier selection'!B8="","",'Supplier selection'!B8)</f>
        <v/>
      </c>
      <c r="C8" s="19" t="str">
        <f>IF('Supplier selection'!C8="","",'Supplier selection'!C8)</f>
        <v>RFQ001</v>
      </c>
      <c r="D8" s="19" t="str">
        <f>IF('Supplier selection'!D8="","",'Supplier selection'!D8)</f>
        <v/>
      </c>
      <c r="E8" s="19" t="str">
        <f>IF('Supplier selection'!E8="","",'Supplier selection'!E8)</f>
        <v/>
      </c>
      <c r="F8" s="19" t="str">
        <f>IF('Supplier selection'!F8="","",'Supplier selection'!F8)</f>
        <v>111-4</v>
      </c>
      <c r="G8" s="19" t="str">
        <f>IF('Supplier selection'!G8="","",'Supplier selection'!G8)</f>
        <v>Test01</v>
      </c>
      <c r="H8" s="19" t="str">
        <f>IF('Supplier selection'!H8="","",'Supplier selection'!H8)</f>
        <v/>
      </c>
      <c r="I8" s="19" t="str">
        <f>IF('Supplier selection'!I8="","",'Supplier selection'!I8)</f>
        <v/>
      </c>
      <c r="J8" s="19" t="str">
        <f>IF('Supplier selection'!J8="","",'Supplier selection'!J8)</f>
        <v/>
      </c>
      <c r="K8" s="19" t="str">
        <f>IF('Supplier selection'!K8="","",'Supplier selection'!K8)</f>
        <v/>
      </c>
      <c r="L8" s="19" t="str">
        <f>IF('Supplier selection'!L8="","",'Supplier selection'!L8)</f>
        <v/>
      </c>
      <c r="M8" s="19" t="str">
        <f>IF('Supplier selection'!M8="","",'Supplier selection'!M8)</f>
        <v/>
      </c>
      <c r="N8" s="19" t="str">
        <f>IF('Supplier selection'!N8="","",'Supplier selection'!N8)</f>
        <v/>
      </c>
      <c r="O8" s="19" t="str">
        <f>IF('Supplier selection'!O8="","",'Supplier selection'!O8)</f>
        <v/>
      </c>
      <c r="Q8" s="19" t="str">
        <f>HLOOKUP($Q$3,'Supplier selection'!$AW$4:'Supplier selection'!$CT$1000,$A9,FALSE)</f>
        <v/>
      </c>
      <c r="R8" s="22" t="str">
        <f t="shared" si="0"/>
        <v/>
      </c>
      <c r="S8" s="19" t="str">
        <f t="shared" si="1"/>
        <v/>
      </c>
      <c r="T8" s="22" t="str">
        <f t="shared" si="2"/>
        <v/>
      </c>
      <c r="U8" s="19" t="str">
        <f t="shared" si="3"/>
        <v/>
      </c>
      <c r="V8" s="7"/>
      <c r="Y8" s="19" t="str">
        <f>IF('Supplier selection'!AQ8="","",'Supplier selection'!AQ8)</f>
        <v/>
      </c>
      <c r="Z8" s="19" t="str">
        <f>IF('Supplier selection'!AR8="","",'Supplier selection'!AR8)</f>
        <v/>
      </c>
      <c r="AA8" s="19" t="str">
        <f t="shared" si="4"/>
        <v/>
      </c>
      <c r="AD8" s="26" t="str">
        <f>IF(AND('Supplier selection'!X8="",'Supplier selection'!AE8=""),"",IF('Supplier selection'!X8="",'Supplier selection'!AE8,'Supplier selection'!X8))</f>
        <v/>
      </c>
      <c r="AE8" s="19" t="str">
        <f t="shared" si="5"/>
        <v/>
      </c>
      <c r="AF8" s="19" t="str">
        <f t="shared" si="6"/>
        <v/>
      </c>
      <c r="AG8" s="27" t="str">
        <f>IF(AND('Supplier selection'!AB8="",'Supplier selection'!AI8=""),"",IF('Supplier selection'!AB8="",'Supplier selection'!AI8,'Supplier selection'!AB8))</f>
        <v/>
      </c>
      <c r="AH8" s="28" t="str">
        <f t="shared" si="7"/>
        <v/>
      </c>
      <c r="AI8" s="7" t="str">
        <f t="shared" si="8"/>
        <v/>
      </c>
      <c r="AJ8" s="22" t="str">
        <f t="shared" si="9"/>
        <v/>
      </c>
      <c r="AK8" s="29" t="str">
        <f t="shared" si="10"/>
        <v/>
      </c>
      <c r="AL8" s="10"/>
    </row>
    <row r="9" spans="1:38">
      <c r="A9" s="19">
        <f>IF('Supplier selection'!A9="","",'Supplier selection'!A9)</f>
        <v>5</v>
      </c>
      <c r="B9" s="19" t="str">
        <f>IF('Supplier selection'!B9="","",'Supplier selection'!B9)</f>
        <v/>
      </c>
      <c r="C9" s="19" t="str">
        <f>IF('Supplier selection'!C9="","",'Supplier selection'!C9)</f>
        <v>RFQ001</v>
      </c>
      <c r="D9" s="19" t="str">
        <f>IF('Supplier selection'!D9="","",'Supplier selection'!D9)</f>
        <v/>
      </c>
      <c r="E9" s="19" t="str">
        <f>IF('Supplier selection'!E9="","",'Supplier selection'!E9)</f>
        <v/>
      </c>
      <c r="F9" s="19" t="str">
        <f>IF('Supplier selection'!F9="","",'Supplier selection'!F9)</f>
        <v>111-5</v>
      </c>
      <c r="G9" s="19" t="str">
        <f>IF('Supplier selection'!G9="","",'Supplier selection'!G9)</f>
        <v>Test01</v>
      </c>
      <c r="H9" s="19" t="str">
        <f>IF('Supplier selection'!H9="","",'Supplier selection'!H9)</f>
        <v/>
      </c>
      <c r="I9" s="19" t="str">
        <f>IF('Supplier selection'!I9="","",'Supplier selection'!I9)</f>
        <v/>
      </c>
      <c r="J9" s="19" t="str">
        <f>IF('Supplier selection'!J9="","",'Supplier selection'!J9)</f>
        <v/>
      </c>
      <c r="K9" s="19" t="str">
        <f>IF('Supplier selection'!K9="","",'Supplier selection'!K9)</f>
        <v/>
      </c>
      <c r="L9" s="19" t="str">
        <f>IF('Supplier selection'!L9="","",'Supplier selection'!L9)</f>
        <v/>
      </c>
      <c r="M9" s="19" t="str">
        <f>IF('Supplier selection'!M9="","",'Supplier selection'!M9)</f>
        <v/>
      </c>
      <c r="N9" s="19" t="str">
        <f>IF('Supplier selection'!N9="","",'Supplier selection'!N9)</f>
        <v/>
      </c>
      <c r="O9" s="19" t="str">
        <f>IF('Supplier selection'!O9="","",'Supplier selection'!O9)</f>
        <v/>
      </c>
      <c r="Q9" s="19" t="str">
        <f>HLOOKUP($Q$3,'Supplier selection'!$AW$4:'Supplier selection'!$CT$1000,$A10,FALSE)</f>
        <v/>
      </c>
      <c r="R9" s="22" t="str">
        <f t="shared" si="0"/>
        <v/>
      </c>
      <c r="S9" s="19" t="str">
        <f t="shared" si="1"/>
        <v/>
      </c>
      <c r="T9" s="22" t="str">
        <f t="shared" si="2"/>
        <v/>
      </c>
      <c r="U9" s="19" t="str">
        <f t="shared" si="3"/>
        <v/>
      </c>
      <c r="V9" s="7"/>
      <c r="Y9" s="19" t="str">
        <f>IF('Supplier selection'!AQ9="","",'Supplier selection'!AQ9)</f>
        <v/>
      </c>
      <c r="Z9" s="19" t="str">
        <f>IF('Supplier selection'!AR9="","",'Supplier selection'!AR9)</f>
        <v/>
      </c>
      <c r="AA9" s="19" t="str">
        <f t="shared" si="4"/>
        <v/>
      </c>
      <c r="AD9" s="26" t="str">
        <f>IF(AND('Supplier selection'!X9="",'Supplier selection'!AE9=""),"",IF('Supplier selection'!X9="",'Supplier selection'!AE9,'Supplier selection'!X9))</f>
        <v/>
      </c>
      <c r="AE9" s="19" t="str">
        <f t="shared" si="5"/>
        <v/>
      </c>
      <c r="AF9" s="19" t="str">
        <f t="shared" si="6"/>
        <v/>
      </c>
      <c r="AG9" s="27" t="str">
        <f>IF(AND('Supplier selection'!AB9="",'Supplier selection'!AI9=""),"",IF('Supplier selection'!AB9="",'Supplier selection'!AI9,'Supplier selection'!AB9))</f>
        <v/>
      </c>
      <c r="AH9" s="28" t="str">
        <f t="shared" si="7"/>
        <v/>
      </c>
      <c r="AI9" s="7" t="str">
        <f t="shared" si="8"/>
        <v/>
      </c>
      <c r="AJ9" s="22" t="str">
        <f t="shared" si="9"/>
        <v/>
      </c>
      <c r="AK9" s="29" t="str">
        <f t="shared" si="10"/>
        <v/>
      </c>
      <c r="AL9" s="10"/>
    </row>
    <row r="10" spans="1:38">
      <c r="A10" s="19">
        <f>IF('Supplier selection'!A10="","",'Supplier selection'!A10)</f>
        <v>6</v>
      </c>
      <c r="B10" s="19" t="str">
        <f>IF('Supplier selection'!B10="","",'Supplier selection'!B10)</f>
        <v/>
      </c>
      <c r="C10" s="19" t="str">
        <f>IF('Supplier selection'!C10="","",'Supplier selection'!C10)</f>
        <v>RFQ002</v>
      </c>
      <c r="D10" s="19" t="str">
        <f>IF('Supplier selection'!D10="","",'Supplier selection'!D10)</f>
        <v/>
      </c>
      <c r="E10" s="19" t="str">
        <f>IF('Supplier selection'!E10="","",'Supplier selection'!E10)</f>
        <v/>
      </c>
      <c r="F10" s="19" t="str">
        <f>IF('Supplier selection'!F10="","",'Supplier selection'!F10)</f>
        <v>222-1</v>
      </c>
      <c r="G10" s="19" t="str">
        <f>IF('Supplier selection'!G10="","",'Supplier selection'!G10)</f>
        <v>Test02</v>
      </c>
      <c r="H10" s="19" t="str">
        <f>IF('Supplier selection'!H10="","",'Supplier selection'!H10)</f>
        <v/>
      </c>
      <c r="I10" s="19" t="str">
        <f>IF('Supplier selection'!I10="","",'Supplier selection'!I10)</f>
        <v/>
      </c>
      <c r="J10" s="19" t="str">
        <f>IF('Supplier selection'!J10="","",'Supplier selection'!J10)</f>
        <v/>
      </c>
      <c r="K10" s="19" t="str">
        <f>IF('Supplier selection'!K10="","",'Supplier selection'!K10)</f>
        <v/>
      </c>
      <c r="L10" s="19" t="str">
        <f>IF('Supplier selection'!L10="","",'Supplier selection'!L10)</f>
        <v/>
      </c>
      <c r="M10" s="19" t="str">
        <f>IF('Supplier selection'!M10="","",'Supplier selection'!M10)</f>
        <v/>
      </c>
      <c r="N10" s="19" t="str">
        <f>IF('Supplier selection'!N10="","",'Supplier selection'!N10)</f>
        <v/>
      </c>
      <c r="O10" s="19" t="str">
        <f>IF('Supplier selection'!O10="","",'Supplier selection'!O10)</f>
        <v/>
      </c>
      <c r="Q10" s="19" t="str">
        <f>HLOOKUP($Q$3,'Supplier selection'!$AW$4:'Supplier selection'!$CT$1000,$A11,FALSE)</f>
        <v/>
      </c>
      <c r="R10" s="22" t="str">
        <f t="shared" si="0"/>
        <v/>
      </c>
      <c r="S10" s="19" t="str">
        <f t="shared" si="1"/>
        <v/>
      </c>
      <c r="T10" s="22" t="str">
        <f t="shared" si="2"/>
        <v/>
      </c>
      <c r="U10" s="19" t="str">
        <f t="shared" si="3"/>
        <v/>
      </c>
      <c r="V10" s="7"/>
      <c r="Y10" s="19" t="str">
        <f>IF('Supplier selection'!AQ10="","",'Supplier selection'!AQ10)</f>
        <v/>
      </c>
      <c r="Z10" s="19" t="str">
        <f>IF('Supplier selection'!AR10="","",'Supplier selection'!AR10)</f>
        <v/>
      </c>
      <c r="AA10" s="19" t="str">
        <f t="shared" si="4"/>
        <v/>
      </c>
      <c r="AD10" s="26" t="str">
        <f>IF(AND('Supplier selection'!X10="",'Supplier selection'!AE10=""),"",IF('Supplier selection'!X10="",'Supplier selection'!AE10,'Supplier selection'!X10))</f>
        <v/>
      </c>
      <c r="AE10" s="19" t="str">
        <f t="shared" si="5"/>
        <v/>
      </c>
      <c r="AF10" s="19" t="str">
        <f t="shared" si="6"/>
        <v/>
      </c>
      <c r="AG10" s="27" t="str">
        <f>IF(AND('Supplier selection'!AB10="",'Supplier selection'!AI10=""),"",IF('Supplier selection'!AB10="",'Supplier selection'!AI10,'Supplier selection'!AB10))</f>
        <v/>
      </c>
      <c r="AH10" s="28" t="str">
        <f t="shared" si="7"/>
        <v/>
      </c>
      <c r="AI10" s="7" t="str">
        <f t="shared" si="8"/>
        <v/>
      </c>
      <c r="AJ10" s="22" t="str">
        <f t="shared" si="9"/>
        <v/>
      </c>
      <c r="AK10" s="29" t="str">
        <f t="shared" si="10"/>
        <v/>
      </c>
      <c r="AL10" s="10"/>
    </row>
    <row r="11" spans="1:38">
      <c r="A11" s="19">
        <f>IF('Supplier selection'!A11="","",'Supplier selection'!A11)</f>
        <v>7</v>
      </c>
      <c r="B11" s="19" t="str">
        <f>IF('Supplier selection'!B11="","",'Supplier selection'!B11)</f>
        <v/>
      </c>
      <c r="C11" s="19" t="str">
        <f>IF('Supplier selection'!C11="","",'Supplier selection'!C11)</f>
        <v>RFQ002</v>
      </c>
      <c r="D11" s="19" t="str">
        <f>IF('Supplier selection'!D11="","",'Supplier selection'!D11)</f>
        <v/>
      </c>
      <c r="E11" s="19" t="str">
        <f>IF('Supplier selection'!E11="","",'Supplier selection'!E11)</f>
        <v/>
      </c>
      <c r="F11" s="19" t="str">
        <f>IF('Supplier selection'!F11="","",'Supplier selection'!F11)</f>
        <v>222-2</v>
      </c>
      <c r="G11" s="19" t="str">
        <f>IF('Supplier selection'!G11="","",'Supplier selection'!G11)</f>
        <v>Test02</v>
      </c>
      <c r="H11" s="19" t="str">
        <f>IF('Supplier selection'!H11="","",'Supplier selection'!H11)</f>
        <v/>
      </c>
      <c r="I11" s="19" t="str">
        <f>IF('Supplier selection'!I11="","",'Supplier selection'!I11)</f>
        <v/>
      </c>
      <c r="J11" s="19" t="str">
        <f>IF('Supplier selection'!J11="","",'Supplier selection'!J11)</f>
        <v/>
      </c>
      <c r="K11" s="19" t="str">
        <f>IF('Supplier selection'!K11="","",'Supplier selection'!K11)</f>
        <v/>
      </c>
      <c r="L11" s="19" t="str">
        <f>IF('Supplier selection'!L11="","",'Supplier selection'!L11)</f>
        <v/>
      </c>
      <c r="M11" s="19" t="str">
        <f>IF('Supplier selection'!M11="","",'Supplier selection'!M11)</f>
        <v/>
      </c>
      <c r="N11" s="19" t="str">
        <f>IF('Supplier selection'!N11="","",'Supplier selection'!N11)</f>
        <v/>
      </c>
      <c r="O11" s="19" t="str">
        <f>IF('Supplier selection'!O11="","",'Supplier selection'!O11)</f>
        <v/>
      </c>
      <c r="Q11" s="19" t="str">
        <f>HLOOKUP($Q$3,'Supplier selection'!$AW$4:'Supplier selection'!$CT$1000,$A12,FALSE)</f>
        <v/>
      </c>
      <c r="R11" s="22" t="str">
        <f t="shared" si="0"/>
        <v/>
      </c>
      <c r="S11" s="19" t="str">
        <f t="shared" si="1"/>
        <v/>
      </c>
      <c r="T11" s="22" t="str">
        <f t="shared" si="2"/>
        <v/>
      </c>
      <c r="U11" s="19" t="str">
        <f t="shared" si="3"/>
        <v/>
      </c>
      <c r="V11" s="7"/>
      <c r="Y11" s="19" t="str">
        <f>IF('Supplier selection'!AQ11="","",'Supplier selection'!AQ11)</f>
        <v/>
      </c>
      <c r="Z11" s="19" t="str">
        <f>IF('Supplier selection'!AR11="","",'Supplier selection'!AR11)</f>
        <v/>
      </c>
      <c r="AA11" s="19" t="str">
        <f t="shared" si="4"/>
        <v/>
      </c>
      <c r="AD11" s="26" t="str">
        <f>IF(AND('Supplier selection'!X11="",'Supplier selection'!AE11=""),"",IF('Supplier selection'!X11="",'Supplier selection'!AE11,'Supplier selection'!X11))</f>
        <v/>
      </c>
      <c r="AE11" s="19" t="str">
        <f t="shared" si="5"/>
        <v/>
      </c>
      <c r="AF11" s="19" t="str">
        <f t="shared" si="6"/>
        <v/>
      </c>
      <c r="AG11" s="27" t="str">
        <f>IF(AND('Supplier selection'!AB11="",'Supplier selection'!AI11=""),"",IF('Supplier selection'!AB11="",'Supplier selection'!AI11,'Supplier selection'!AB11))</f>
        <v/>
      </c>
      <c r="AH11" s="28" t="str">
        <f t="shared" si="7"/>
        <v/>
      </c>
      <c r="AI11" s="7" t="str">
        <f t="shared" si="8"/>
        <v/>
      </c>
      <c r="AJ11" s="22" t="str">
        <f t="shared" si="9"/>
        <v/>
      </c>
      <c r="AK11" s="29" t="str">
        <f t="shared" si="10"/>
        <v/>
      </c>
      <c r="AL11" s="10"/>
    </row>
    <row r="12" spans="1:38">
      <c r="A12" s="19">
        <f>IF('Supplier selection'!A12="","",'Supplier selection'!A12)</f>
        <v>8</v>
      </c>
      <c r="B12" s="19" t="str">
        <f>IF('Supplier selection'!B12="","",'Supplier selection'!B12)</f>
        <v/>
      </c>
      <c r="C12" s="19" t="str">
        <f>IF('Supplier selection'!C12="","",'Supplier selection'!C12)</f>
        <v>RFQ003</v>
      </c>
      <c r="D12" s="19" t="str">
        <f>IF('Supplier selection'!D12="","",'Supplier selection'!D12)</f>
        <v/>
      </c>
      <c r="E12" s="19" t="str">
        <f>IF('Supplier selection'!E12="","",'Supplier selection'!E12)</f>
        <v/>
      </c>
      <c r="F12" s="19" t="str">
        <f>IF('Supplier selection'!F12="","",'Supplier selection'!F12)</f>
        <v>333-1</v>
      </c>
      <c r="G12" s="19" t="str">
        <f>IF('Supplier selection'!G12="","",'Supplier selection'!G12)</f>
        <v>Test03</v>
      </c>
      <c r="H12" s="19" t="str">
        <f>IF('Supplier selection'!H12="","",'Supplier selection'!H12)</f>
        <v/>
      </c>
      <c r="I12" s="19" t="str">
        <f>IF('Supplier selection'!I12="","",'Supplier selection'!I12)</f>
        <v/>
      </c>
      <c r="J12" s="19" t="str">
        <f>IF('Supplier selection'!J12="","",'Supplier selection'!J12)</f>
        <v/>
      </c>
      <c r="K12" s="19" t="str">
        <f>IF('Supplier selection'!K12="","",'Supplier selection'!K12)</f>
        <v/>
      </c>
      <c r="L12" s="19" t="str">
        <f>IF('Supplier selection'!L12="","",'Supplier selection'!L12)</f>
        <v/>
      </c>
      <c r="M12" s="19" t="str">
        <f>IF('Supplier selection'!M12="","",'Supplier selection'!M12)</f>
        <v/>
      </c>
      <c r="N12" s="19" t="str">
        <f>IF('Supplier selection'!N12="","",'Supplier selection'!N12)</f>
        <v/>
      </c>
      <c r="O12" s="19" t="str">
        <f>IF('Supplier selection'!O12="","",'Supplier selection'!O12)</f>
        <v/>
      </c>
      <c r="Q12" s="19" t="str">
        <f>HLOOKUP($Q$3,'Supplier selection'!$AW$4:'Supplier selection'!$CT$1000,$A13,FALSE)</f>
        <v/>
      </c>
      <c r="R12" s="22" t="str">
        <f t="shared" si="0"/>
        <v/>
      </c>
      <c r="S12" s="19" t="str">
        <f t="shared" si="1"/>
        <v/>
      </c>
      <c r="T12" s="22" t="str">
        <f t="shared" si="2"/>
        <v/>
      </c>
      <c r="U12" s="19" t="str">
        <f t="shared" si="3"/>
        <v/>
      </c>
      <c r="V12" s="7"/>
      <c r="Y12" s="19" t="str">
        <f>IF('Supplier selection'!AQ12="","",'Supplier selection'!AQ12)</f>
        <v/>
      </c>
      <c r="Z12" s="19" t="str">
        <f>IF('Supplier selection'!AR12="","",'Supplier selection'!AR12)</f>
        <v/>
      </c>
      <c r="AA12" s="19" t="str">
        <f t="shared" si="4"/>
        <v/>
      </c>
      <c r="AD12" s="26" t="str">
        <f>IF(AND('Supplier selection'!X12="",'Supplier selection'!AE12=""),"",IF('Supplier selection'!X12="",'Supplier selection'!AE12,'Supplier selection'!X12))</f>
        <v/>
      </c>
      <c r="AE12" s="19" t="str">
        <f t="shared" si="5"/>
        <v/>
      </c>
      <c r="AF12" s="19" t="str">
        <f t="shared" si="6"/>
        <v/>
      </c>
      <c r="AG12" s="27" t="str">
        <f>IF(AND('Supplier selection'!AB12="",'Supplier selection'!AI12=""),"",IF('Supplier selection'!AB12="",'Supplier selection'!AI12,'Supplier selection'!AB12))</f>
        <v/>
      </c>
      <c r="AH12" s="28" t="str">
        <f t="shared" si="7"/>
        <v/>
      </c>
      <c r="AI12" s="7" t="str">
        <f t="shared" si="8"/>
        <v/>
      </c>
      <c r="AJ12" s="22" t="str">
        <f t="shared" si="9"/>
        <v/>
      </c>
      <c r="AK12" s="29" t="str">
        <f t="shared" si="10"/>
        <v/>
      </c>
      <c r="AL12" s="10"/>
    </row>
    <row r="13" spans="1:38">
      <c r="A13" s="19">
        <f>IF('Supplier selection'!A13="","",'Supplier selection'!A13)</f>
        <v>9</v>
      </c>
      <c r="B13" s="19" t="str">
        <f>IF('Supplier selection'!B13="","",'Supplier selection'!B13)</f>
        <v/>
      </c>
      <c r="C13" s="19" t="str">
        <f>IF('Supplier selection'!C13="","",'Supplier selection'!C13)</f>
        <v>RFQ003</v>
      </c>
      <c r="D13" s="19" t="str">
        <f>IF('Supplier selection'!D13="","",'Supplier selection'!D13)</f>
        <v/>
      </c>
      <c r="E13" s="19" t="str">
        <f>IF('Supplier selection'!E13="","",'Supplier selection'!E13)</f>
        <v/>
      </c>
      <c r="F13" s="19" t="str">
        <f>IF('Supplier selection'!F13="","",'Supplier selection'!F13)</f>
        <v>333-2</v>
      </c>
      <c r="G13" s="19" t="str">
        <f>IF('Supplier selection'!G13="","",'Supplier selection'!G13)</f>
        <v>Test03</v>
      </c>
      <c r="H13" s="19" t="str">
        <f>IF('Supplier selection'!H13="","",'Supplier selection'!H13)</f>
        <v/>
      </c>
      <c r="I13" s="19" t="str">
        <f>IF('Supplier selection'!I13="","",'Supplier selection'!I13)</f>
        <v/>
      </c>
      <c r="J13" s="19" t="str">
        <f>IF('Supplier selection'!J13="","",'Supplier selection'!J13)</f>
        <v/>
      </c>
      <c r="K13" s="19" t="str">
        <f>IF('Supplier selection'!K13="","",'Supplier selection'!K13)</f>
        <v/>
      </c>
      <c r="L13" s="19" t="str">
        <f>IF('Supplier selection'!L13="","",'Supplier selection'!L13)</f>
        <v/>
      </c>
      <c r="M13" s="19" t="str">
        <f>IF('Supplier selection'!M13="","",'Supplier selection'!M13)</f>
        <v/>
      </c>
      <c r="N13" s="19" t="str">
        <f>IF('Supplier selection'!N13="","",'Supplier selection'!N13)</f>
        <v/>
      </c>
      <c r="O13" s="19" t="str">
        <f>IF('Supplier selection'!O13="","",'Supplier selection'!O13)</f>
        <v/>
      </c>
      <c r="Q13" s="19" t="str">
        <f>HLOOKUP($Q$3,'Supplier selection'!$AW$4:'Supplier selection'!$CT$1000,$A14,FALSE)</f>
        <v/>
      </c>
      <c r="R13" s="22" t="str">
        <f t="shared" si="0"/>
        <v/>
      </c>
      <c r="S13" s="19" t="str">
        <f t="shared" si="1"/>
        <v/>
      </c>
      <c r="T13" s="22" t="str">
        <f t="shared" si="2"/>
        <v/>
      </c>
      <c r="U13" s="19" t="str">
        <f t="shared" si="3"/>
        <v/>
      </c>
      <c r="V13" s="7"/>
      <c r="Y13" s="19" t="str">
        <f>IF('Supplier selection'!AQ13="","",'Supplier selection'!AQ13)</f>
        <v/>
      </c>
      <c r="Z13" s="19" t="str">
        <f>IF('Supplier selection'!AR13="","",'Supplier selection'!AR13)</f>
        <v/>
      </c>
      <c r="AA13" s="19" t="str">
        <f t="shared" si="4"/>
        <v/>
      </c>
      <c r="AD13" s="26" t="str">
        <f>IF(AND('Supplier selection'!X13="",'Supplier selection'!AE13=""),"",IF('Supplier selection'!X13="",'Supplier selection'!AE13,'Supplier selection'!X13))</f>
        <v/>
      </c>
      <c r="AE13" s="19" t="str">
        <f t="shared" si="5"/>
        <v/>
      </c>
      <c r="AF13" s="19" t="str">
        <f t="shared" si="6"/>
        <v/>
      </c>
      <c r="AG13" s="27" t="str">
        <f>IF(AND('Supplier selection'!AB13="",'Supplier selection'!AI13=""),"",IF('Supplier selection'!AB13="",'Supplier selection'!AI13,'Supplier selection'!AB13))</f>
        <v/>
      </c>
      <c r="AH13" s="28" t="str">
        <f t="shared" si="7"/>
        <v/>
      </c>
      <c r="AI13" s="7" t="str">
        <f t="shared" si="8"/>
        <v/>
      </c>
      <c r="AJ13" s="22" t="str">
        <f t="shared" si="9"/>
        <v/>
      </c>
      <c r="AK13" s="29" t="str">
        <f t="shared" si="10"/>
        <v/>
      </c>
      <c r="AL13" s="10"/>
    </row>
    <row r="14" spans="1:38">
      <c r="A14" s="19">
        <f>IF('Supplier selection'!A14="","",'Supplier selection'!A14)</f>
        <v>10</v>
      </c>
      <c r="B14" s="19" t="str">
        <f>IF('Supplier selection'!B14="","",'Supplier selection'!B14)</f>
        <v/>
      </c>
      <c r="C14" s="19" t="str">
        <f>IF('Supplier selection'!C14="","",'Supplier selection'!C14)</f>
        <v>RFQ005</v>
      </c>
      <c r="D14" s="19" t="str">
        <f>IF('Supplier selection'!D14="","",'Supplier selection'!D14)</f>
        <v/>
      </c>
      <c r="E14" s="19" t="str">
        <f>IF('Supplier selection'!E14="","",'Supplier selection'!E14)</f>
        <v/>
      </c>
      <c r="F14" s="19" t="str">
        <f>IF('Supplier selection'!F14="","",'Supplier selection'!F14)</f>
        <v>555-1</v>
      </c>
      <c r="G14" s="19" t="str">
        <f>IF('Supplier selection'!G14="","",'Supplier selection'!G14)</f>
        <v>Test05</v>
      </c>
      <c r="H14" s="19" t="str">
        <f>IF('Supplier selection'!H14="","",'Supplier selection'!H14)</f>
        <v/>
      </c>
      <c r="I14" s="19" t="str">
        <f>IF('Supplier selection'!I14="","",'Supplier selection'!I14)</f>
        <v/>
      </c>
      <c r="J14" s="19" t="str">
        <f>IF('Supplier selection'!J14="","",'Supplier selection'!J14)</f>
        <v/>
      </c>
      <c r="K14" s="19" t="str">
        <f>IF('Supplier selection'!K14="","",'Supplier selection'!K14)</f>
        <v/>
      </c>
      <c r="L14" s="19" t="str">
        <f>IF('Supplier selection'!L14="","",'Supplier selection'!L14)</f>
        <v/>
      </c>
      <c r="M14" s="19" t="str">
        <f>IF('Supplier selection'!M14="","",'Supplier selection'!M14)</f>
        <v/>
      </c>
      <c r="N14" s="19" t="str">
        <f>IF('Supplier selection'!N14="","",'Supplier selection'!N14)</f>
        <v/>
      </c>
      <c r="O14" s="19" t="str">
        <f>IF('Supplier selection'!O14="","",'Supplier selection'!O14)</f>
        <v/>
      </c>
      <c r="Q14" s="19" t="str">
        <f>HLOOKUP($Q$3,'Supplier selection'!$AW$4:'Supplier selection'!$CT$1000,$A15,FALSE)</f>
        <v/>
      </c>
      <c r="R14" s="22" t="str">
        <f t="shared" si="0"/>
        <v/>
      </c>
      <c r="S14" s="19" t="str">
        <f t="shared" si="1"/>
        <v/>
      </c>
      <c r="T14" s="22" t="str">
        <f t="shared" si="2"/>
        <v/>
      </c>
      <c r="U14" s="19" t="str">
        <f t="shared" si="3"/>
        <v/>
      </c>
      <c r="V14" s="7"/>
      <c r="Y14" s="19" t="str">
        <f>IF('Supplier selection'!AQ14="","",'Supplier selection'!AQ14)</f>
        <v/>
      </c>
      <c r="Z14" s="19" t="str">
        <f>IF('Supplier selection'!AR14="","",'Supplier selection'!AR14)</f>
        <v/>
      </c>
      <c r="AA14" s="19" t="str">
        <f t="shared" si="4"/>
        <v/>
      </c>
      <c r="AD14" s="26" t="str">
        <f>IF(AND('Supplier selection'!X14="",'Supplier selection'!AE14=""),"",IF('Supplier selection'!X14="",'Supplier selection'!AE14,'Supplier selection'!X14))</f>
        <v/>
      </c>
      <c r="AE14" s="19" t="str">
        <f t="shared" si="5"/>
        <v/>
      </c>
      <c r="AF14" s="19" t="str">
        <f t="shared" si="6"/>
        <v/>
      </c>
      <c r="AG14" s="27" t="str">
        <f>IF(AND('Supplier selection'!AB14="",'Supplier selection'!AI14=""),"",IF('Supplier selection'!AB14="",'Supplier selection'!AI14,'Supplier selection'!AB14))</f>
        <v/>
      </c>
      <c r="AH14" s="28" t="str">
        <f t="shared" si="7"/>
        <v/>
      </c>
      <c r="AI14" s="7" t="str">
        <f t="shared" si="8"/>
        <v/>
      </c>
      <c r="AJ14" s="22" t="str">
        <f t="shared" si="9"/>
        <v/>
      </c>
      <c r="AK14" s="29" t="str">
        <f t="shared" si="10"/>
        <v/>
      </c>
      <c r="AL14" s="10"/>
    </row>
    <row r="15" spans="1:38">
      <c r="A15" s="19">
        <f>IF('Supplier selection'!A15="","",'Supplier selection'!A15)</f>
        <v>11</v>
      </c>
      <c r="B15" s="19" t="str">
        <f>IF('Supplier selection'!B15="","",'Supplier selection'!B15)</f>
        <v/>
      </c>
      <c r="C15" s="19" t="str">
        <f>IF('Supplier selection'!C15="","",'Supplier selection'!C15)</f>
        <v>RFQ006</v>
      </c>
      <c r="D15" s="19" t="str">
        <f>IF('Supplier selection'!D15="","",'Supplier selection'!D15)</f>
        <v/>
      </c>
      <c r="E15" s="19" t="str">
        <f>IF('Supplier selection'!E15="","",'Supplier selection'!E15)</f>
        <v/>
      </c>
      <c r="F15" s="19" t="str">
        <f>IF('Supplier selection'!F15="","",'Supplier selection'!F15)</f>
        <v>666-1</v>
      </c>
      <c r="G15" s="19" t="str">
        <f>IF('Supplier selection'!G15="","",'Supplier selection'!G15)</f>
        <v>Test06</v>
      </c>
      <c r="H15" s="19" t="str">
        <f>IF('Supplier selection'!H15="","",'Supplier selection'!H15)</f>
        <v/>
      </c>
      <c r="I15" s="19" t="str">
        <f>IF('Supplier selection'!I15="","",'Supplier selection'!I15)</f>
        <v/>
      </c>
      <c r="J15" s="19" t="str">
        <f>IF('Supplier selection'!J15="","",'Supplier selection'!J15)</f>
        <v/>
      </c>
      <c r="K15" s="19" t="str">
        <f>IF('Supplier selection'!K15="","",'Supplier selection'!K15)</f>
        <v/>
      </c>
      <c r="L15" s="19" t="str">
        <f>IF('Supplier selection'!L15="","",'Supplier selection'!L15)</f>
        <v/>
      </c>
      <c r="M15" s="19" t="str">
        <f>IF('Supplier selection'!M15="","",'Supplier selection'!M15)</f>
        <v/>
      </c>
      <c r="N15" s="19" t="str">
        <f>IF('Supplier selection'!N15="","",'Supplier selection'!N15)</f>
        <v/>
      </c>
      <c r="O15" s="19" t="str">
        <f>IF('Supplier selection'!O15="","",'Supplier selection'!O15)</f>
        <v/>
      </c>
      <c r="Q15" s="19" t="str">
        <f>HLOOKUP($Q$3,'Supplier selection'!$AW$4:'Supplier selection'!$CT$1000,$A16,FALSE)</f>
        <v/>
      </c>
      <c r="R15" s="22" t="str">
        <f t="shared" si="0"/>
        <v/>
      </c>
      <c r="S15" s="19" t="str">
        <f t="shared" si="1"/>
        <v/>
      </c>
      <c r="T15" s="22" t="str">
        <f t="shared" si="2"/>
        <v/>
      </c>
      <c r="U15" s="19" t="str">
        <f t="shared" si="3"/>
        <v/>
      </c>
      <c r="V15" s="7"/>
      <c r="Y15" s="19" t="str">
        <f>IF('Supplier selection'!AQ15="","",'Supplier selection'!AQ15)</f>
        <v/>
      </c>
      <c r="Z15" s="19" t="str">
        <f>IF('Supplier selection'!AR15="","",'Supplier selection'!AR15)</f>
        <v/>
      </c>
      <c r="AA15" s="19" t="str">
        <f t="shared" si="4"/>
        <v/>
      </c>
      <c r="AD15" s="26" t="str">
        <f>IF(AND('Supplier selection'!X15="",'Supplier selection'!AE15=""),"",IF('Supplier selection'!X15="",'Supplier selection'!AE15,'Supplier selection'!X15))</f>
        <v/>
      </c>
      <c r="AE15" s="19" t="str">
        <f t="shared" si="5"/>
        <v/>
      </c>
      <c r="AF15" s="19" t="str">
        <f t="shared" si="6"/>
        <v/>
      </c>
      <c r="AG15" s="27" t="str">
        <f>IF(AND('Supplier selection'!AB15="",'Supplier selection'!AI15=""),"",IF('Supplier selection'!AB15="",'Supplier selection'!AI15,'Supplier selection'!AB15))</f>
        <v/>
      </c>
      <c r="AH15" s="28" t="str">
        <f t="shared" si="7"/>
        <v/>
      </c>
      <c r="AI15" s="7" t="str">
        <f t="shared" si="8"/>
        <v/>
      </c>
      <c r="AJ15" s="22" t="str">
        <f t="shared" si="9"/>
        <v/>
      </c>
      <c r="AK15" s="29" t="str">
        <f t="shared" si="10"/>
        <v/>
      </c>
      <c r="AL15" s="10"/>
    </row>
    <row r="16" spans="1:38">
      <c r="A16" s="19">
        <f>IF('Supplier selection'!A16="","",'Supplier selection'!A16)</f>
        <v>12</v>
      </c>
      <c r="B16" s="19" t="str">
        <f>IF('Supplier selection'!B16="","",'Supplier selection'!B16)</f>
        <v/>
      </c>
      <c r="C16" s="19" t="str">
        <f>IF('Supplier selection'!C16="","",'Supplier selection'!C16)</f>
        <v>RFQ007</v>
      </c>
      <c r="D16" s="19" t="str">
        <f>IF('Supplier selection'!D16="","",'Supplier selection'!D16)</f>
        <v/>
      </c>
      <c r="E16" s="19" t="str">
        <f>IF('Supplier selection'!E16="","",'Supplier selection'!E16)</f>
        <v/>
      </c>
      <c r="F16" s="19" t="str">
        <f>IF('Supplier selection'!F16="","",'Supplier selection'!F16)</f>
        <v>777-1</v>
      </c>
      <c r="G16" s="19" t="str">
        <f>IF('Supplier selection'!G16="","",'Supplier selection'!G16)</f>
        <v>Test07</v>
      </c>
      <c r="H16" s="19" t="str">
        <f>IF('Supplier selection'!H16="","",'Supplier selection'!H16)</f>
        <v/>
      </c>
      <c r="I16" s="19" t="str">
        <f>IF('Supplier selection'!I16="","",'Supplier selection'!I16)</f>
        <v/>
      </c>
      <c r="J16" s="19" t="str">
        <f>IF('Supplier selection'!J16="","",'Supplier selection'!J16)</f>
        <v/>
      </c>
      <c r="K16" s="19" t="str">
        <f>IF('Supplier selection'!K16="","",'Supplier selection'!K16)</f>
        <v/>
      </c>
      <c r="L16" s="19" t="str">
        <f>IF('Supplier selection'!L16="","",'Supplier selection'!L16)</f>
        <v/>
      </c>
      <c r="M16" s="19" t="str">
        <f>IF('Supplier selection'!M16="","",'Supplier selection'!M16)</f>
        <v/>
      </c>
      <c r="N16" s="19" t="str">
        <f>IF('Supplier selection'!N16="","",'Supplier selection'!N16)</f>
        <v/>
      </c>
      <c r="O16" s="19" t="str">
        <f>IF('Supplier selection'!O16="","",'Supplier selection'!O16)</f>
        <v/>
      </c>
      <c r="Q16" s="19" t="str">
        <f>HLOOKUP($Q$3,'Supplier selection'!$AW$4:'Supplier selection'!$CT$1000,$A17,FALSE)</f>
        <v/>
      </c>
      <c r="R16" s="22" t="str">
        <f t="shared" si="0"/>
        <v/>
      </c>
      <c r="S16" s="19" t="str">
        <f t="shared" si="1"/>
        <v/>
      </c>
      <c r="T16" s="22" t="str">
        <f t="shared" si="2"/>
        <v/>
      </c>
      <c r="U16" s="19" t="str">
        <f t="shared" si="3"/>
        <v/>
      </c>
      <c r="V16" s="7"/>
      <c r="Y16" s="19" t="str">
        <f>IF('Supplier selection'!AQ16="","",'Supplier selection'!AQ16)</f>
        <v/>
      </c>
      <c r="Z16" s="19" t="str">
        <f>IF('Supplier selection'!AR16="","",'Supplier selection'!AR16)</f>
        <v/>
      </c>
      <c r="AA16" s="19" t="str">
        <f t="shared" si="4"/>
        <v/>
      </c>
      <c r="AD16" s="26" t="str">
        <f>IF(AND('Supplier selection'!X16="",'Supplier selection'!AE16=""),"",IF('Supplier selection'!X16="",'Supplier selection'!AE16,'Supplier selection'!X16))</f>
        <v/>
      </c>
      <c r="AE16" s="19" t="str">
        <f t="shared" si="5"/>
        <v/>
      </c>
      <c r="AF16" s="19" t="str">
        <f t="shared" si="6"/>
        <v/>
      </c>
      <c r="AG16" s="27" t="str">
        <f>IF(AND('Supplier selection'!AB16="",'Supplier selection'!AI16=""),"",IF('Supplier selection'!AB16="",'Supplier selection'!AI16,'Supplier selection'!AB16))</f>
        <v/>
      </c>
      <c r="AH16" s="28" t="str">
        <f t="shared" si="7"/>
        <v/>
      </c>
      <c r="AI16" s="7" t="str">
        <f t="shared" si="8"/>
        <v/>
      </c>
      <c r="AJ16" s="22" t="str">
        <f t="shared" si="9"/>
        <v/>
      </c>
      <c r="AK16" s="29" t="str">
        <f t="shared" si="10"/>
        <v/>
      </c>
      <c r="AL16" s="10"/>
    </row>
    <row r="17" spans="1:38">
      <c r="A17" s="19">
        <f>IF('Supplier selection'!A17="","",'Supplier selection'!A17)</f>
        <v>13</v>
      </c>
      <c r="B17" s="19" t="str">
        <f>IF('Supplier selection'!B17="","",'Supplier selection'!B17)</f>
        <v/>
      </c>
      <c r="C17" s="19" t="str">
        <f>IF('Supplier selection'!C17="","",'Supplier selection'!C17)</f>
        <v>RFQ008</v>
      </c>
      <c r="D17" s="19" t="str">
        <f>IF('Supplier selection'!D17="","",'Supplier selection'!D17)</f>
        <v/>
      </c>
      <c r="E17" s="19" t="str">
        <f>IF('Supplier selection'!E17="","",'Supplier selection'!E17)</f>
        <v/>
      </c>
      <c r="F17" s="19" t="str">
        <f>IF('Supplier selection'!F17="","",'Supplier selection'!F17)</f>
        <v>888-1</v>
      </c>
      <c r="G17" s="19" t="str">
        <f>IF('Supplier selection'!G17="","",'Supplier selection'!G17)</f>
        <v>Test08</v>
      </c>
      <c r="H17" s="19" t="str">
        <f>IF('Supplier selection'!H17="","",'Supplier selection'!H17)</f>
        <v/>
      </c>
      <c r="I17" s="19" t="str">
        <f>IF('Supplier selection'!I17="","",'Supplier selection'!I17)</f>
        <v/>
      </c>
      <c r="J17" s="19" t="str">
        <f>IF('Supplier selection'!J17="","",'Supplier selection'!J17)</f>
        <v/>
      </c>
      <c r="K17" s="19" t="str">
        <f>IF('Supplier selection'!K17="","",'Supplier selection'!K17)</f>
        <v/>
      </c>
      <c r="L17" s="19" t="str">
        <f>IF('Supplier selection'!L17="","",'Supplier selection'!L17)</f>
        <v/>
      </c>
      <c r="M17" s="19" t="str">
        <f>IF('Supplier selection'!M17="","",'Supplier selection'!M17)</f>
        <v/>
      </c>
      <c r="N17" s="19" t="str">
        <f>IF('Supplier selection'!N17="","",'Supplier selection'!N17)</f>
        <v/>
      </c>
      <c r="O17" s="19" t="str">
        <f>IF('Supplier selection'!O17="","",'Supplier selection'!O17)</f>
        <v/>
      </c>
      <c r="Q17" s="19" t="str">
        <f>HLOOKUP($Q$3,'Supplier selection'!$AW$4:'Supplier selection'!$CT$1000,$A18,FALSE)</f>
        <v/>
      </c>
      <c r="R17" s="22" t="str">
        <f t="shared" si="0"/>
        <v/>
      </c>
      <c r="S17" s="19" t="str">
        <f t="shared" si="1"/>
        <v/>
      </c>
      <c r="T17" s="22" t="str">
        <f t="shared" si="2"/>
        <v/>
      </c>
      <c r="U17" s="19" t="str">
        <f t="shared" si="3"/>
        <v/>
      </c>
      <c r="V17" s="7"/>
      <c r="Y17" s="19" t="str">
        <f>IF('Supplier selection'!AQ17="","",'Supplier selection'!AQ17)</f>
        <v/>
      </c>
      <c r="Z17" s="19" t="str">
        <f>IF('Supplier selection'!AR17="","",'Supplier selection'!AR17)</f>
        <v/>
      </c>
      <c r="AA17" s="19" t="str">
        <f t="shared" si="4"/>
        <v/>
      </c>
      <c r="AD17" s="26" t="str">
        <f>IF(AND('Supplier selection'!X17="",'Supplier selection'!AE17=""),"",IF('Supplier selection'!X17="",'Supplier selection'!AE17,'Supplier selection'!X17))</f>
        <v/>
      </c>
      <c r="AE17" s="19" t="str">
        <f t="shared" si="5"/>
        <v/>
      </c>
      <c r="AF17" s="19" t="str">
        <f t="shared" si="6"/>
        <v/>
      </c>
      <c r="AG17" s="27" t="str">
        <f>IF(AND('Supplier selection'!AB17="",'Supplier selection'!AI17=""),"",IF('Supplier selection'!AB17="",'Supplier selection'!AI17,'Supplier selection'!AB17))</f>
        <v/>
      </c>
      <c r="AH17" s="28" t="str">
        <f t="shared" si="7"/>
        <v/>
      </c>
      <c r="AI17" s="7" t="str">
        <f t="shared" si="8"/>
        <v/>
      </c>
      <c r="AJ17" s="22" t="str">
        <f t="shared" si="9"/>
        <v/>
      </c>
      <c r="AK17" s="29" t="str">
        <f t="shared" si="10"/>
        <v/>
      </c>
      <c r="AL17" s="10"/>
    </row>
    <row r="18" spans="1:38">
      <c r="A18" s="19">
        <f>IF('Supplier selection'!A18="","",'Supplier selection'!A18)</f>
        <v>14</v>
      </c>
      <c r="B18" s="19" t="str">
        <f>IF('Supplier selection'!B18="","",'Supplier selection'!B18)</f>
        <v/>
      </c>
      <c r="C18" s="19" t="str">
        <f>IF('Supplier selection'!C18="","",'Supplier selection'!C18)</f>
        <v>RFQ008</v>
      </c>
      <c r="D18" s="19" t="str">
        <f>IF('Supplier selection'!D18="","",'Supplier selection'!D18)</f>
        <v/>
      </c>
      <c r="E18" s="19" t="str">
        <f>IF('Supplier selection'!E18="","",'Supplier selection'!E18)</f>
        <v/>
      </c>
      <c r="F18" s="19" t="str">
        <f>IF('Supplier selection'!F18="","",'Supplier selection'!F18)</f>
        <v>888-2</v>
      </c>
      <c r="G18" s="19" t="str">
        <f>IF('Supplier selection'!G18="","",'Supplier selection'!G18)</f>
        <v>Test08</v>
      </c>
      <c r="H18" s="19" t="str">
        <f>IF('Supplier selection'!H18="","",'Supplier selection'!H18)</f>
        <v/>
      </c>
      <c r="I18" s="19" t="str">
        <f>IF('Supplier selection'!I18="","",'Supplier selection'!I18)</f>
        <v/>
      </c>
      <c r="J18" s="19" t="str">
        <f>IF('Supplier selection'!J18="","",'Supplier selection'!J18)</f>
        <v/>
      </c>
      <c r="K18" s="19" t="str">
        <f>IF('Supplier selection'!K18="","",'Supplier selection'!K18)</f>
        <v/>
      </c>
      <c r="L18" s="19" t="str">
        <f>IF('Supplier selection'!L18="","",'Supplier selection'!L18)</f>
        <v/>
      </c>
      <c r="M18" s="19" t="str">
        <f>IF('Supplier selection'!M18="","",'Supplier selection'!M18)</f>
        <v/>
      </c>
      <c r="N18" s="19" t="str">
        <f>IF('Supplier selection'!N18="","",'Supplier selection'!N18)</f>
        <v/>
      </c>
      <c r="O18" s="19" t="str">
        <f>IF('Supplier selection'!O18="","",'Supplier selection'!O18)</f>
        <v/>
      </c>
      <c r="Q18" s="19" t="str">
        <f>HLOOKUP($Q$3,'Supplier selection'!$AW$4:'Supplier selection'!$CT$1000,$A19,FALSE)</f>
        <v/>
      </c>
      <c r="R18" s="22" t="str">
        <f t="shared" si="0"/>
        <v/>
      </c>
      <c r="S18" s="19" t="str">
        <f t="shared" si="1"/>
        <v/>
      </c>
      <c r="T18" s="22" t="str">
        <f t="shared" si="2"/>
        <v/>
      </c>
      <c r="U18" s="19" t="str">
        <f t="shared" si="3"/>
        <v/>
      </c>
      <c r="V18" s="7"/>
      <c r="Y18" s="19" t="str">
        <f>IF('Supplier selection'!AQ18="","",'Supplier selection'!AQ18)</f>
        <v/>
      </c>
      <c r="Z18" s="19" t="str">
        <f>IF('Supplier selection'!AR18="","",'Supplier selection'!AR18)</f>
        <v/>
      </c>
      <c r="AA18" s="19" t="str">
        <f t="shared" si="4"/>
        <v/>
      </c>
      <c r="AD18" s="26" t="str">
        <f>IF(AND('Supplier selection'!X18="",'Supplier selection'!AE18=""),"",IF('Supplier selection'!X18="",'Supplier selection'!AE18,'Supplier selection'!X18))</f>
        <v/>
      </c>
      <c r="AE18" s="19" t="str">
        <f t="shared" si="5"/>
        <v/>
      </c>
      <c r="AF18" s="19" t="str">
        <f t="shared" si="6"/>
        <v/>
      </c>
      <c r="AG18" s="27" t="str">
        <f>IF(AND('Supplier selection'!AB18="",'Supplier selection'!AI18=""),"",IF('Supplier selection'!AB18="",'Supplier selection'!AI18,'Supplier selection'!AB18))</f>
        <v/>
      </c>
      <c r="AH18" s="28" t="str">
        <f t="shared" si="7"/>
        <v/>
      </c>
      <c r="AI18" s="7" t="str">
        <f t="shared" si="8"/>
        <v/>
      </c>
      <c r="AJ18" s="22" t="str">
        <f t="shared" si="9"/>
        <v/>
      </c>
      <c r="AK18" s="29" t="str">
        <f t="shared" si="10"/>
        <v/>
      </c>
      <c r="AL18" s="10"/>
    </row>
    <row r="19" spans="1:38">
      <c r="A19" s="19">
        <f>IF('Supplier selection'!A19="","",'Supplier selection'!A19)</f>
        <v>15</v>
      </c>
      <c r="B19" s="19" t="str">
        <f>IF('Supplier selection'!B19="","",'Supplier selection'!B19)</f>
        <v/>
      </c>
      <c r="C19" s="19" t="str">
        <f>IF('Supplier selection'!C19="","",'Supplier selection'!C19)</f>
        <v>RFQ009</v>
      </c>
      <c r="D19" s="19" t="str">
        <f>IF('Supplier selection'!D19="","",'Supplier selection'!D19)</f>
        <v/>
      </c>
      <c r="E19" s="19" t="str">
        <f>IF('Supplier selection'!E19="","",'Supplier selection'!E19)</f>
        <v/>
      </c>
      <c r="F19" s="19" t="str">
        <f>IF('Supplier selection'!F19="","",'Supplier selection'!F19)</f>
        <v>678-3</v>
      </c>
      <c r="G19" s="19" t="str">
        <f>IF('Supplier selection'!G19="","",'Supplier selection'!G19)</f>
        <v>Test09</v>
      </c>
      <c r="H19" s="19" t="str">
        <f>IF('Supplier selection'!H19="","",'Supplier selection'!H19)</f>
        <v/>
      </c>
      <c r="I19" s="19" t="str">
        <f>IF('Supplier selection'!I19="","",'Supplier selection'!I19)</f>
        <v/>
      </c>
      <c r="J19" s="19" t="str">
        <f>IF('Supplier selection'!J19="","",'Supplier selection'!J19)</f>
        <v/>
      </c>
      <c r="K19" s="19" t="str">
        <f>IF('Supplier selection'!K19="","",'Supplier selection'!K19)</f>
        <v/>
      </c>
      <c r="L19" s="19" t="str">
        <f>IF('Supplier selection'!L19="","",'Supplier selection'!L19)</f>
        <v/>
      </c>
      <c r="M19" s="19" t="str">
        <f>IF('Supplier selection'!M19="","",'Supplier selection'!M19)</f>
        <v/>
      </c>
      <c r="N19" s="19" t="str">
        <f>IF('Supplier selection'!N19="","",'Supplier selection'!N19)</f>
        <v/>
      </c>
      <c r="O19" s="19" t="str">
        <f>IF('Supplier selection'!O19="","",'Supplier selection'!O19)</f>
        <v/>
      </c>
      <c r="Q19" s="19" t="str">
        <f>HLOOKUP($Q$3,'Supplier selection'!$AW$4:'Supplier selection'!$CT$1000,$A20,FALSE)</f>
        <v/>
      </c>
      <c r="R19" s="22" t="str">
        <f t="shared" si="0"/>
        <v/>
      </c>
      <c r="S19" s="19" t="str">
        <f t="shared" si="1"/>
        <v/>
      </c>
      <c r="T19" s="22" t="str">
        <f t="shared" si="2"/>
        <v/>
      </c>
      <c r="U19" s="19" t="str">
        <f t="shared" si="3"/>
        <v/>
      </c>
      <c r="V19" s="7"/>
      <c r="Y19" s="19" t="str">
        <f>IF('Supplier selection'!AQ19="","",'Supplier selection'!AQ19)</f>
        <v/>
      </c>
      <c r="Z19" s="19" t="str">
        <f>IF('Supplier selection'!AR19="","",'Supplier selection'!AR19)</f>
        <v/>
      </c>
      <c r="AA19" s="19" t="str">
        <f t="shared" si="4"/>
        <v/>
      </c>
      <c r="AD19" s="26" t="str">
        <f>IF(AND('Supplier selection'!X19="",'Supplier selection'!AE19=""),"",IF('Supplier selection'!X19="",'Supplier selection'!AE19,'Supplier selection'!X19))</f>
        <v/>
      </c>
      <c r="AE19" s="19" t="str">
        <f t="shared" si="5"/>
        <v/>
      </c>
      <c r="AF19" s="19" t="str">
        <f t="shared" si="6"/>
        <v/>
      </c>
      <c r="AG19" s="27" t="str">
        <f>IF(AND('Supplier selection'!AB19="",'Supplier selection'!AI19=""),"",IF('Supplier selection'!AB19="",'Supplier selection'!AI19,'Supplier selection'!AB19))</f>
        <v/>
      </c>
      <c r="AH19" s="28" t="str">
        <f t="shared" si="7"/>
        <v/>
      </c>
      <c r="AI19" s="7" t="str">
        <f t="shared" si="8"/>
        <v/>
      </c>
      <c r="AJ19" s="22" t="str">
        <f t="shared" si="9"/>
        <v/>
      </c>
      <c r="AK19" s="29" t="str">
        <f t="shared" si="10"/>
        <v/>
      </c>
      <c r="AL19" s="10"/>
    </row>
    <row r="20" spans="1:38">
      <c r="A20" s="19">
        <f>IF('Supplier selection'!A20="","",'Supplier selection'!A20)</f>
        <v>16</v>
      </c>
      <c r="B20" s="19" t="str">
        <f>IF('Supplier selection'!B20="","",'Supplier selection'!B20)</f>
        <v/>
      </c>
      <c r="C20" s="19" t="str">
        <f>IF('Supplier selection'!C20="","",'Supplier selection'!C20)</f>
        <v/>
      </c>
      <c r="D20" s="19" t="str">
        <f>IF('Supplier selection'!D20="","",'Supplier selection'!D20)</f>
        <v/>
      </c>
      <c r="E20" s="19" t="str">
        <f>IF('Supplier selection'!E20="","",'Supplier selection'!E20)</f>
        <v/>
      </c>
      <c r="F20" s="19" t="str">
        <f>IF('Supplier selection'!F20="","",'Supplier selection'!F20)</f>
        <v/>
      </c>
      <c r="G20" s="19" t="str">
        <f>IF('Supplier selection'!G20="","",'Supplier selection'!G20)</f>
        <v/>
      </c>
      <c r="H20" s="19" t="str">
        <f>IF('Supplier selection'!H20="","",'Supplier selection'!H20)</f>
        <v/>
      </c>
      <c r="I20" s="19" t="str">
        <f>IF('Supplier selection'!I20="","",'Supplier selection'!I20)</f>
        <v/>
      </c>
      <c r="J20" s="19" t="str">
        <f>IF('Supplier selection'!J20="","",'Supplier selection'!J20)</f>
        <v/>
      </c>
      <c r="K20" s="19" t="str">
        <f>IF('Supplier selection'!K20="","",'Supplier selection'!K20)</f>
        <v/>
      </c>
      <c r="L20" s="19" t="str">
        <f>IF('Supplier selection'!L20="","",'Supplier selection'!L20)</f>
        <v/>
      </c>
      <c r="M20" s="19" t="str">
        <f>IF('Supplier selection'!M20="","",'Supplier selection'!M20)</f>
        <v/>
      </c>
      <c r="N20" s="19" t="str">
        <f>IF('Supplier selection'!N20="","",'Supplier selection'!N20)</f>
        <v/>
      </c>
      <c r="O20" s="19" t="str">
        <f>IF('Supplier selection'!O20="","",'Supplier selection'!O20)</f>
        <v/>
      </c>
      <c r="Q20" s="19" t="str">
        <f>HLOOKUP($Q$3,'Supplier selection'!$AW$4:'Supplier selection'!$CT$1000,$A21,FALSE)</f>
        <v/>
      </c>
      <c r="R20" s="22" t="str">
        <f t="shared" si="0"/>
        <v/>
      </c>
      <c r="S20" s="19" t="str">
        <f t="shared" si="1"/>
        <v/>
      </c>
      <c r="T20" s="22" t="str">
        <f t="shared" si="2"/>
        <v/>
      </c>
      <c r="U20" s="19" t="str">
        <f t="shared" si="3"/>
        <v/>
      </c>
      <c r="V20" s="7"/>
      <c r="Y20" s="19" t="str">
        <f>IF('Supplier selection'!AQ20="","",'Supplier selection'!AQ20)</f>
        <v/>
      </c>
      <c r="Z20" s="19" t="str">
        <f>IF('Supplier selection'!AR20="","",'Supplier selection'!AR20)</f>
        <v/>
      </c>
      <c r="AA20" s="19" t="str">
        <f t="shared" si="4"/>
        <v/>
      </c>
      <c r="AD20" s="26" t="str">
        <f>IF(AND('Supplier selection'!X20="",'Supplier selection'!AE20=""),"",IF('Supplier selection'!X20="",'Supplier selection'!AE20,'Supplier selection'!X20))</f>
        <v/>
      </c>
      <c r="AE20" s="19" t="str">
        <f t="shared" si="5"/>
        <v/>
      </c>
      <c r="AF20" s="19" t="str">
        <f t="shared" si="6"/>
        <v/>
      </c>
      <c r="AG20" s="27" t="str">
        <f>IF(AND('Supplier selection'!AB20="",'Supplier selection'!AI20=""),"",IF('Supplier selection'!AB20="",'Supplier selection'!AI20,'Supplier selection'!AB20))</f>
        <v/>
      </c>
      <c r="AH20" s="28" t="str">
        <f t="shared" si="7"/>
        <v/>
      </c>
      <c r="AI20" s="7" t="str">
        <f t="shared" si="8"/>
        <v/>
      </c>
      <c r="AJ20" s="22" t="str">
        <f t="shared" si="9"/>
        <v/>
      </c>
      <c r="AK20" s="29" t="str">
        <f t="shared" si="10"/>
        <v/>
      </c>
      <c r="AL20" s="10"/>
    </row>
    <row r="21" spans="1:38">
      <c r="A21" s="19">
        <f>IF('Supplier selection'!A21="","",'Supplier selection'!A21)</f>
        <v>17</v>
      </c>
      <c r="B21" s="19" t="str">
        <f>IF('Supplier selection'!B21="","",'Supplier selection'!B21)</f>
        <v/>
      </c>
      <c r="C21" s="19" t="str">
        <f>IF('Supplier selection'!C21="","",'Supplier selection'!C21)</f>
        <v/>
      </c>
      <c r="D21" s="19" t="str">
        <f>IF('Supplier selection'!D21="","",'Supplier selection'!D21)</f>
        <v/>
      </c>
      <c r="E21" s="19" t="str">
        <f>IF('Supplier selection'!E21="","",'Supplier selection'!E21)</f>
        <v/>
      </c>
      <c r="F21" s="19" t="str">
        <f>IF('Supplier selection'!F21="","",'Supplier selection'!F21)</f>
        <v/>
      </c>
      <c r="G21" s="19" t="str">
        <f>IF('Supplier selection'!G21="","",'Supplier selection'!G21)</f>
        <v/>
      </c>
      <c r="H21" s="19" t="str">
        <f>IF('Supplier selection'!H21="","",'Supplier selection'!H21)</f>
        <v/>
      </c>
      <c r="I21" s="19" t="str">
        <f>IF('Supplier selection'!I21="","",'Supplier selection'!I21)</f>
        <v/>
      </c>
      <c r="J21" s="19" t="str">
        <f>IF('Supplier selection'!J21="","",'Supplier selection'!J21)</f>
        <v/>
      </c>
      <c r="K21" s="19" t="str">
        <f>IF('Supplier selection'!K21="","",'Supplier selection'!K21)</f>
        <v/>
      </c>
      <c r="L21" s="19" t="str">
        <f>IF('Supplier selection'!L21="","",'Supplier selection'!L21)</f>
        <v/>
      </c>
      <c r="M21" s="19" t="str">
        <f>IF('Supplier selection'!M21="","",'Supplier selection'!M21)</f>
        <v/>
      </c>
      <c r="N21" s="19" t="str">
        <f>IF('Supplier selection'!N21="","",'Supplier selection'!N21)</f>
        <v/>
      </c>
      <c r="O21" s="19" t="str">
        <f>IF('Supplier selection'!O21="","",'Supplier selection'!O21)</f>
        <v/>
      </c>
      <c r="Q21" s="19" t="str">
        <f>HLOOKUP($Q$3,'Supplier selection'!$AW$4:'Supplier selection'!$CT$1000,$A22,FALSE)</f>
        <v/>
      </c>
      <c r="R21" s="22" t="str">
        <f t="shared" si="0"/>
        <v/>
      </c>
      <c r="S21" s="19" t="str">
        <f t="shared" si="1"/>
        <v/>
      </c>
      <c r="T21" s="22" t="str">
        <f t="shared" si="2"/>
        <v/>
      </c>
      <c r="U21" s="19" t="str">
        <f t="shared" si="3"/>
        <v/>
      </c>
      <c r="V21" s="7"/>
      <c r="Y21" s="19" t="str">
        <f>IF('Supplier selection'!AQ21="","",'Supplier selection'!AQ21)</f>
        <v/>
      </c>
      <c r="Z21" s="19" t="str">
        <f>IF('Supplier selection'!AR21="","",'Supplier selection'!AR21)</f>
        <v/>
      </c>
      <c r="AA21" s="19" t="str">
        <f t="shared" si="4"/>
        <v/>
      </c>
      <c r="AD21" s="26" t="str">
        <f>IF(AND('Supplier selection'!X21="",'Supplier selection'!AE21=""),"",IF('Supplier selection'!X21="",'Supplier selection'!AE21,'Supplier selection'!X21))</f>
        <v/>
      </c>
      <c r="AE21" s="19" t="str">
        <f t="shared" si="5"/>
        <v/>
      </c>
      <c r="AF21" s="19" t="str">
        <f t="shared" si="6"/>
        <v/>
      </c>
      <c r="AG21" s="27" t="str">
        <f>IF(AND('Supplier selection'!AB21="",'Supplier selection'!AI21=""),"",IF('Supplier selection'!AB21="",'Supplier selection'!AI21,'Supplier selection'!AB21))</f>
        <v/>
      </c>
      <c r="AH21" s="28" t="str">
        <f t="shared" si="7"/>
        <v/>
      </c>
      <c r="AI21" s="7" t="str">
        <f t="shared" si="8"/>
        <v/>
      </c>
      <c r="AJ21" s="22" t="str">
        <f t="shared" si="9"/>
        <v/>
      </c>
      <c r="AK21" s="29" t="str">
        <f t="shared" si="10"/>
        <v/>
      </c>
      <c r="AL21" s="10"/>
    </row>
    <row r="22" spans="1:38">
      <c r="A22" s="19">
        <f>IF('Supplier selection'!A22="","",'Supplier selection'!A22)</f>
        <v>18</v>
      </c>
      <c r="B22" s="19" t="str">
        <f>IF('Supplier selection'!B22="","",'Supplier selection'!B22)</f>
        <v/>
      </c>
      <c r="C22" s="19" t="str">
        <f>IF('Supplier selection'!C22="","",'Supplier selection'!C22)</f>
        <v/>
      </c>
      <c r="D22" s="19" t="str">
        <f>IF('Supplier selection'!D22="","",'Supplier selection'!D22)</f>
        <v/>
      </c>
      <c r="E22" s="19" t="str">
        <f>IF('Supplier selection'!E22="","",'Supplier selection'!E22)</f>
        <v/>
      </c>
      <c r="F22" s="19" t="str">
        <f>IF('Supplier selection'!F22="","",'Supplier selection'!F22)</f>
        <v/>
      </c>
      <c r="G22" s="19" t="str">
        <f>IF('Supplier selection'!G22="","",'Supplier selection'!G22)</f>
        <v/>
      </c>
      <c r="H22" s="19" t="str">
        <f>IF('Supplier selection'!H22="","",'Supplier selection'!H22)</f>
        <v/>
      </c>
      <c r="I22" s="19" t="str">
        <f>IF('Supplier selection'!I22="","",'Supplier selection'!I22)</f>
        <v/>
      </c>
      <c r="J22" s="19" t="str">
        <f>IF('Supplier selection'!J22="","",'Supplier selection'!J22)</f>
        <v/>
      </c>
      <c r="K22" s="19" t="str">
        <f>IF('Supplier selection'!K22="","",'Supplier selection'!K22)</f>
        <v/>
      </c>
      <c r="L22" s="19" t="str">
        <f>IF('Supplier selection'!L22="","",'Supplier selection'!L22)</f>
        <v/>
      </c>
      <c r="M22" s="19" t="str">
        <f>IF('Supplier selection'!M22="","",'Supplier selection'!M22)</f>
        <v/>
      </c>
      <c r="N22" s="19" t="str">
        <f>IF('Supplier selection'!N22="","",'Supplier selection'!N22)</f>
        <v/>
      </c>
      <c r="O22" s="19" t="str">
        <f>IF('Supplier selection'!O22="","",'Supplier selection'!O22)</f>
        <v/>
      </c>
      <c r="Q22" s="19" t="str">
        <f>HLOOKUP($Q$3,'Supplier selection'!$AW$4:'Supplier selection'!$CT$1000,$A23,FALSE)</f>
        <v/>
      </c>
      <c r="R22" s="22" t="str">
        <f t="shared" si="0"/>
        <v/>
      </c>
      <c r="S22" s="19" t="str">
        <f t="shared" si="1"/>
        <v/>
      </c>
      <c r="T22" s="22" t="str">
        <f t="shared" si="2"/>
        <v/>
      </c>
      <c r="U22" s="19" t="str">
        <f t="shared" si="3"/>
        <v/>
      </c>
      <c r="V22" s="7"/>
      <c r="Y22" s="19" t="str">
        <f>IF('Supplier selection'!AQ22="","",'Supplier selection'!AQ22)</f>
        <v/>
      </c>
      <c r="Z22" s="19" t="str">
        <f>IF('Supplier selection'!AR22="","",'Supplier selection'!AR22)</f>
        <v/>
      </c>
      <c r="AA22" s="19" t="str">
        <f t="shared" si="4"/>
        <v/>
      </c>
      <c r="AD22" s="26" t="str">
        <f>IF(AND('Supplier selection'!X22="",'Supplier selection'!AE22=""),"",IF('Supplier selection'!X22="",'Supplier selection'!AE22,'Supplier selection'!X22))</f>
        <v/>
      </c>
      <c r="AE22" s="19" t="str">
        <f t="shared" si="5"/>
        <v/>
      </c>
      <c r="AF22" s="19" t="str">
        <f t="shared" si="6"/>
        <v/>
      </c>
      <c r="AG22" s="27" t="str">
        <f>IF(AND('Supplier selection'!AB22="",'Supplier selection'!AI22=""),"",IF('Supplier selection'!AB22="",'Supplier selection'!AI22,'Supplier selection'!AB22))</f>
        <v/>
      </c>
      <c r="AH22" s="28" t="str">
        <f t="shared" si="7"/>
        <v/>
      </c>
      <c r="AI22" s="7" t="str">
        <f t="shared" si="8"/>
        <v/>
      </c>
      <c r="AJ22" s="22" t="str">
        <f t="shared" si="9"/>
        <v/>
      </c>
      <c r="AK22" s="29" t="str">
        <f t="shared" si="10"/>
        <v/>
      </c>
      <c r="AL22" s="10"/>
    </row>
    <row r="23" spans="1:38">
      <c r="A23" s="19">
        <f>IF('Supplier selection'!A23="","",'Supplier selection'!A23)</f>
        <v>19</v>
      </c>
      <c r="B23" s="19" t="str">
        <f>IF('Supplier selection'!B23="","",'Supplier selection'!B23)</f>
        <v/>
      </c>
      <c r="C23" s="19" t="str">
        <f>IF('Supplier selection'!C23="","",'Supplier selection'!C23)</f>
        <v/>
      </c>
      <c r="D23" s="19" t="str">
        <f>IF('Supplier selection'!D23="","",'Supplier selection'!D23)</f>
        <v/>
      </c>
      <c r="E23" s="19" t="str">
        <f>IF('Supplier selection'!E23="","",'Supplier selection'!E23)</f>
        <v/>
      </c>
      <c r="F23" s="19" t="str">
        <f>IF('Supplier selection'!F23="","",'Supplier selection'!F23)</f>
        <v/>
      </c>
      <c r="G23" s="19" t="str">
        <f>IF('Supplier selection'!G23="","",'Supplier selection'!G23)</f>
        <v/>
      </c>
      <c r="H23" s="19" t="str">
        <f>IF('Supplier selection'!H23="","",'Supplier selection'!H23)</f>
        <v/>
      </c>
      <c r="I23" s="19" t="str">
        <f>IF('Supplier selection'!I23="","",'Supplier selection'!I23)</f>
        <v/>
      </c>
      <c r="J23" s="19" t="str">
        <f>IF('Supplier selection'!J23="","",'Supplier selection'!J23)</f>
        <v/>
      </c>
      <c r="K23" s="19" t="str">
        <f>IF('Supplier selection'!K23="","",'Supplier selection'!K23)</f>
        <v/>
      </c>
      <c r="L23" s="19" t="str">
        <f>IF('Supplier selection'!L23="","",'Supplier selection'!L23)</f>
        <v/>
      </c>
      <c r="M23" s="19" t="str">
        <f>IF('Supplier selection'!M23="","",'Supplier selection'!M23)</f>
        <v/>
      </c>
      <c r="N23" s="19" t="str">
        <f>IF('Supplier selection'!N23="","",'Supplier selection'!N23)</f>
        <v/>
      </c>
      <c r="O23" s="19" t="str">
        <f>IF('Supplier selection'!O23="","",'Supplier selection'!O23)</f>
        <v/>
      </c>
      <c r="Q23" s="19" t="str">
        <f>HLOOKUP($Q$3,'Supplier selection'!$AW$4:'Supplier selection'!$CT$1000,$A24,FALSE)</f>
        <v/>
      </c>
      <c r="R23" s="22" t="str">
        <f t="shared" si="0"/>
        <v/>
      </c>
      <c r="S23" s="19" t="str">
        <f t="shared" si="1"/>
        <v/>
      </c>
      <c r="T23" s="22" t="str">
        <f t="shared" si="2"/>
        <v/>
      </c>
      <c r="U23" s="19" t="str">
        <f t="shared" si="3"/>
        <v/>
      </c>
      <c r="V23" s="7"/>
      <c r="Y23" s="19" t="str">
        <f>IF('Supplier selection'!AQ23="","",'Supplier selection'!AQ23)</f>
        <v/>
      </c>
      <c r="Z23" s="19" t="str">
        <f>IF('Supplier selection'!AR23="","",'Supplier selection'!AR23)</f>
        <v/>
      </c>
      <c r="AA23" s="19" t="str">
        <f t="shared" si="4"/>
        <v/>
      </c>
      <c r="AD23" s="26" t="str">
        <f>IF(AND('Supplier selection'!X23="",'Supplier selection'!AE23=""),"",IF('Supplier selection'!X23="",'Supplier selection'!AE23,'Supplier selection'!X23))</f>
        <v/>
      </c>
      <c r="AE23" s="19" t="str">
        <f t="shared" si="5"/>
        <v/>
      </c>
      <c r="AF23" s="19" t="str">
        <f t="shared" si="6"/>
        <v/>
      </c>
      <c r="AG23" s="27" t="str">
        <f>IF(AND('Supplier selection'!AB23="",'Supplier selection'!AI23=""),"",IF('Supplier selection'!AB23="",'Supplier selection'!AI23,'Supplier selection'!AB23))</f>
        <v/>
      </c>
      <c r="AH23" s="28" t="str">
        <f t="shared" si="7"/>
        <v/>
      </c>
      <c r="AI23" s="7" t="str">
        <f t="shared" si="8"/>
        <v/>
      </c>
      <c r="AJ23" s="22" t="str">
        <f t="shared" si="9"/>
        <v/>
      </c>
      <c r="AK23" s="29" t="str">
        <f t="shared" si="10"/>
        <v/>
      </c>
      <c r="AL23" s="10"/>
    </row>
    <row r="24" spans="1:38">
      <c r="A24" s="19">
        <f>IF('Supplier selection'!A24="","",'Supplier selection'!A24)</f>
        <v>20</v>
      </c>
      <c r="B24" s="19" t="str">
        <f>IF('Supplier selection'!B24="","",'Supplier selection'!B24)</f>
        <v/>
      </c>
      <c r="C24" s="19" t="str">
        <f>IF('Supplier selection'!C24="","",'Supplier selection'!C24)</f>
        <v/>
      </c>
      <c r="D24" s="19" t="str">
        <f>IF('Supplier selection'!D24="","",'Supplier selection'!D24)</f>
        <v/>
      </c>
      <c r="E24" s="19" t="str">
        <f>IF('Supplier selection'!E24="","",'Supplier selection'!E24)</f>
        <v/>
      </c>
      <c r="F24" s="19" t="str">
        <f>IF('Supplier selection'!F24="","",'Supplier selection'!F24)</f>
        <v/>
      </c>
      <c r="G24" s="19" t="str">
        <f>IF('Supplier selection'!G24="","",'Supplier selection'!G24)</f>
        <v/>
      </c>
      <c r="H24" s="19" t="str">
        <f>IF('Supplier selection'!H24="","",'Supplier selection'!H24)</f>
        <v/>
      </c>
      <c r="I24" s="19" t="str">
        <f>IF('Supplier selection'!I24="","",'Supplier selection'!I24)</f>
        <v/>
      </c>
      <c r="J24" s="19" t="str">
        <f>IF('Supplier selection'!J24="","",'Supplier selection'!J24)</f>
        <v/>
      </c>
      <c r="K24" s="19" t="str">
        <f>IF('Supplier selection'!K24="","",'Supplier selection'!K24)</f>
        <v/>
      </c>
      <c r="L24" s="19" t="str">
        <f>IF('Supplier selection'!L24="","",'Supplier selection'!L24)</f>
        <v/>
      </c>
      <c r="M24" s="19" t="str">
        <f>IF('Supplier selection'!M24="","",'Supplier selection'!M24)</f>
        <v/>
      </c>
      <c r="N24" s="19" t="str">
        <f>IF('Supplier selection'!N24="","",'Supplier selection'!N24)</f>
        <v/>
      </c>
      <c r="O24" s="19" t="str">
        <f>IF('Supplier selection'!O24="","",'Supplier selection'!O24)</f>
        <v/>
      </c>
      <c r="Q24" s="19" t="str">
        <f>HLOOKUP($Q$3,'Supplier selection'!$AW$4:'Supplier selection'!$CT$1000,$A25,FALSE)</f>
        <v/>
      </c>
      <c r="R24" s="22" t="str">
        <f t="shared" si="0"/>
        <v/>
      </c>
      <c r="S24" s="19" t="str">
        <f t="shared" si="1"/>
        <v/>
      </c>
      <c r="T24" s="22" t="str">
        <f t="shared" si="2"/>
        <v/>
      </c>
      <c r="U24" s="19" t="str">
        <f t="shared" si="3"/>
        <v/>
      </c>
      <c r="V24" s="7"/>
      <c r="Y24" s="19" t="str">
        <f>IF('Supplier selection'!AQ24="","",'Supplier selection'!AQ24)</f>
        <v/>
      </c>
      <c r="Z24" s="19" t="str">
        <f>IF('Supplier selection'!AR24="","",'Supplier selection'!AR24)</f>
        <v/>
      </c>
      <c r="AA24" s="19" t="str">
        <f t="shared" si="4"/>
        <v/>
      </c>
      <c r="AD24" s="26" t="str">
        <f>IF(AND('Supplier selection'!X24="",'Supplier selection'!AE24=""),"",IF('Supplier selection'!X24="",'Supplier selection'!AE24,'Supplier selection'!X24))</f>
        <v/>
      </c>
      <c r="AE24" s="19" t="str">
        <f t="shared" si="5"/>
        <v/>
      </c>
      <c r="AF24" s="19" t="str">
        <f t="shared" si="6"/>
        <v/>
      </c>
      <c r="AG24" s="27" t="str">
        <f>IF(AND('Supplier selection'!AB24="",'Supplier selection'!AI24=""),"",IF('Supplier selection'!AB24="",'Supplier selection'!AI24,'Supplier selection'!AB24))</f>
        <v/>
      </c>
      <c r="AH24" s="28" t="str">
        <f t="shared" si="7"/>
        <v/>
      </c>
      <c r="AI24" s="7" t="str">
        <f t="shared" si="8"/>
        <v/>
      </c>
      <c r="AJ24" s="22" t="str">
        <f t="shared" si="9"/>
        <v/>
      </c>
      <c r="AK24" s="29" t="str">
        <f t="shared" si="10"/>
        <v/>
      </c>
      <c r="AL24" s="10"/>
    </row>
    <row r="25" spans="1:38">
      <c r="A25" s="19">
        <f>IF('Supplier selection'!A25="","",'Supplier selection'!A25)</f>
        <v>21</v>
      </c>
      <c r="B25" s="19" t="str">
        <f>IF('Supplier selection'!B25="","",'Supplier selection'!B25)</f>
        <v/>
      </c>
      <c r="C25" s="19" t="str">
        <f>IF('Supplier selection'!C25="","",'Supplier selection'!C25)</f>
        <v/>
      </c>
      <c r="D25" s="19" t="str">
        <f>IF('Supplier selection'!D25="","",'Supplier selection'!D25)</f>
        <v/>
      </c>
      <c r="E25" s="19" t="str">
        <f>IF('Supplier selection'!E25="","",'Supplier selection'!E25)</f>
        <v/>
      </c>
      <c r="F25" s="19" t="str">
        <f>IF('Supplier selection'!F25="","",'Supplier selection'!F25)</f>
        <v/>
      </c>
      <c r="G25" s="19" t="str">
        <f>IF('Supplier selection'!G25="","",'Supplier selection'!G25)</f>
        <v/>
      </c>
      <c r="H25" s="19" t="str">
        <f>IF('Supplier selection'!H25="","",'Supplier selection'!H25)</f>
        <v/>
      </c>
      <c r="I25" s="19" t="str">
        <f>IF('Supplier selection'!I25="","",'Supplier selection'!I25)</f>
        <v/>
      </c>
      <c r="J25" s="19" t="str">
        <f>IF('Supplier selection'!J25="","",'Supplier selection'!J25)</f>
        <v/>
      </c>
      <c r="K25" s="19" t="str">
        <f>IF('Supplier selection'!K25="","",'Supplier selection'!K25)</f>
        <v/>
      </c>
      <c r="L25" s="19" t="str">
        <f>IF('Supplier selection'!L25="","",'Supplier selection'!L25)</f>
        <v/>
      </c>
      <c r="M25" s="19" t="str">
        <f>IF('Supplier selection'!M25="","",'Supplier selection'!M25)</f>
        <v/>
      </c>
      <c r="N25" s="19" t="str">
        <f>IF('Supplier selection'!N25="","",'Supplier selection'!N25)</f>
        <v/>
      </c>
      <c r="O25" s="19" t="str">
        <f>IF('Supplier selection'!O25="","",'Supplier selection'!O25)</f>
        <v/>
      </c>
      <c r="Q25" s="19" t="str">
        <f>HLOOKUP($Q$3,'Supplier selection'!$AW$4:'Supplier selection'!$CT$1000,$A26,FALSE)</f>
        <v/>
      </c>
      <c r="R25" s="22" t="str">
        <f t="shared" si="0"/>
        <v/>
      </c>
      <c r="S25" s="19" t="str">
        <f t="shared" si="1"/>
        <v/>
      </c>
      <c r="T25" s="22" t="str">
        <f t="shared" si="2"/>
        <v/>
      </c>
      <c r="U25" s="19" t="str">
        <f t="shared" si="3"/>
        <v/>
      </c>
      <c r="V25" s="7"/>
      <c r="Y25" s="19" t="str">
        <f>IF('Supplier selection'!AQ25="","",'Supplier selection'!AQ25)</f>
        <v/>
      </c>
      <c r="Z25" s="19" t="str">
        <f>IF('Supplier selection'!AR25="","",'Supplier selection'!AR25)</f>
        <v/>
      </c>
      <c r="AA25" s="19" t="str">
        <f t="shared" si="4"/>
        <v/>
      </c>
      <c r="AD25" s="26" t="str">
        <f>IF(AND('Supplier selection'!X25="",'Supplier selection'!AE25=""),"",IF('Supplier selection'!X25="",'Supplier selection'!AE25,'Supplier selection'!X25))</f>
        <v/>
      </c>
      <c r="AE25" s="19" t="str">
        <f t="shared" si="5"/>
        <v/>
      </c>
      <c r="AF25" s="19" t="str">
        <f t="shared" si="6"/>
        <v/>
      </c>
      <c r="AG25" s="27" t="str">
        <f>IF(AND('Supplier selection'!AB25="",'Supplier selection'!AI25=""),"",IF('Supplier selection'!AB25="",'Supplier selection'!AI25,'Supplier selection'!AB25))</f>
        <v/>
      </c>
      <c r="AH25" s="28" t="str">
        <f t="shared" si="7"/>
        <v/>
      </c>
      <c r="AI25" s="7" t="str">
        <f t="shared" si="8"/>
        <v/>
      </c>
      <c r="AJ25" s="22" t="str">
        <f t="shared" si="9"/>
        <v/>
      </c>
      <c r="AK25" s="29" t="str">
        <f t="shared" si="10"/>
        <v/>
      </c>
      <c r="AL25" s="10"/>
    </row>
    <row r="26" spans="1:38">
      <c r="A26" s="19">
        <f>IF('Supplier selection'!A26="","",'Supplier selection'!A26)</f>
        <v>22</v>
      </c>
      <c r="B26" s="19" t="str">
        <f>IF('Supplier selection'!B26="","",'Supplier selection'!B26)</f>
        <v/>
      </c>
      <c r="C26" s="19" t="str">
        <f>IF('Supplier selection'!C26="","",'Supplier selection'!C26)</f>
        <v/>
      </c>
      <c r="D26" s="19" t="str">
        <f>IF('Supplier selection'!D26="","",'Supplier selection'!D26)</f>
        <v/>
      </c>
      <c r="E26" s="19" t="str">
        <f>IF('Supplier selection'!E26="","",'Supplier selection'!E26)</f>
        <v/>
      </c>
      <c r="F26" s="19" t="str">
        <f>IF('Supplier selection'!F26="","",'Supplier selection'!F26)</f>
        <v/>
      </c>
      <c r="G26" s="19" t="str">
        <f>IF('Supplier selection'!G26="","",'Supplier selection'!G26)</f>
        <v/>
      </c>
      <c r="H26" s="19" t="str">
        <f>IF('Supplier selection'!H26="","",'Supplier selection'!H26)</f>
        <v/>
      </c>
      <c r="I26" s="19" t="str">
        <f>IF('Supplier selection'!I26="","",'Supplier selection'!I26)</f>
        <v/>
      </c>
      <c r="J26" s="19" t="str">
        <f>IF('Supplier selection'!J26="","",'Supplier selection'!J26)</f>
        <v/>
      </c>
      <c r="K26" s="19" t="str">
        <f>IF('Supplier selection'!K26="","",'Supplier selection'!K26)</f>
        <v/>
      </c>
      <c r="L26" s="19" t="str">
        <f>IF('Supplier selection'!L26="","",'Supplier selection'!L26)</f>
        <v/>
      </c>
      <c r="M26" s="19" t="str">
        <f>IF('Supplier selection'!M26="","",'Supplier selection'!M26)</f>
        <v/>
      </c>
      <c r="N26" s="19" t="str">
        <f>IF('Supplier selection'!N26="","",'Supplier selection'!N26)</f>
        <v/>
      </c>
      <c r="O26" s="19" t="str">
        <f>IF('Supplier selection'!O26="","",'Supplier selection'!O26)</f>
        <v/>
      </c>
      <c r="Q26" s="19" t="str">
        <f>HLOOKUP($Q$3,'Supplier selection'!$AW$4:'Supplier selection'!$CT$1000,$A27,FALSE)</f>
        <v/>
      </c>
      <c r="R26" s="22" t="str">
        <f t="shared" si="0"/>
        <v/>
      </c>
      <c r="S26" s="19" t="str">
        <f t="shared" si="1"/>
        <v/>
      </c>
      <c r="T26" s="22" t="str">
        <f t="shared" si="2"/>
        <v/>
      </c>
      <c r="U26" s="19" t="str">
        <f t="shared" si="3"/>
        <v/>
      </c>
      <c r="V26" s="7"/>
      <c r="Y26" s="19" t="str">
        <f>IF('Supplier selection'!AQ26="","",'Supplier selection'!AQ26)</f>
        <v/>
      </c>
      <c r="Z26" s="19" t="str">
        <f>IF('Supplier selection'!AR26="","",'Supplier selection'!AR26)</f>
        <v/>
      </c>
      <c r="AA26" s="19" t="str">
        <f t="shared" si="4"/>
        <v/>
      </c>
      <c r="AD26" s="26" t="str">
        <f>IF(AND('Supplier selection'!X26="",'Supplier selection'!AE26=""),"",IF('Supplier selection'!X26="",'Supplier selection'!AE26,'Supplier selection'!X26))</f>
        <v/>
      </c>
      <c r="AE26" s="19" t="str">
        <f t="shared" si="5"/>
        <v/>
      </c>
      <c r="AF26" s="19" t="str">
        <f t="shared" si="6"/>
        <v/>
      </c>
      <c r="AG26" s="27" t="str">
        <f>IF(AND('Supplier selection'!AB26="",'Supplier selection'!AI26=""),"",IF('Supplier selection'!AB26="",'Supplier selection'!AI26,'Supplier selection'!AB26))</f>
        <v/>
      </c>
      <c r="AH26" s="28" t="str">
        <f t="shared" si="7"/>
        <v/>
      </c>
      <c r="AI26" s="7" t="str">
        <f t="shared" si="8"/>
        <v/>
      </c>
      <c r="AJ26" s="22" t="str">
        <f t="shared" si="9"/>
        <v/>
      </c>
      <c r="AK26" s="29" t="str">
        <f t="shared" si="10"/>
        <v/>
      </c>
      <c r="AL26" s="10"/>
    </row>
    <row r="27" spans="1:38">
      <c r="A27" s="19">
        <f>IF('Supplier selection'!A27="","",'Supplier selection'!A27)</f>
        <v>23</v>
      </c>
      <c r="B27" s="19" t="str">
        <f>IF('Supplier selection'!B27="","",'Supplier selection'!B27)</f>
        <v/>
      </c>
      <c r="C27" s="19" t="str">
        <f>IF('Supplier selection'!C27="","",'Supplier selection'!C27)</f>
        <v/>
      </c>
      <c r="D27" s="19" t="str">
        <f>IF('Supplier selection'!D27="","",'Supplier selection'!D27)</f>
        <v/>
      </c>
      <c r="E27" s="19" t="str">
        <f>IF('Supplier selection'!E27="","",'Supplier selection'!E27)</f>
        <v/>
      </c>
      <c r="F27" s="19" t="str">
        <f>IF('Supplier selection'!F27="","",'Supplier selection'!F27)</f>
        <v/>
      </c>
      <c r="G27" s="19" t="str">
        <f>IF('Supplier selection'!G27="","",'Supplier selection'!G27)</f>
        <v/>
      </c>
      <c r="H27" s="19" t="str">
        <f>IF('Supplier selection'!H27="","",'Supplier selection'!H27)</f>
        <v/>
      </c>
      <c r="I27" s="19" t="str">
        <f>IF('Supplier selection'!I27="","",'Supplier selection'!I27)</f>
        <v/>
      </c>
      <c r="J27" s="19" t="str">
        <f>IF('Supplier selection'!J27="","",'Supplier selection'!J27)</f>
        <v/>
      </c>
      <c r="K27" s="19" t="str">
        <f>IF('Supplier selection'!K27="","",'Supplier selection'!K27)</f>
        <v/>
      </c>
      <c r="L27" s="19" t="str">
        <f>IF('Supplier selection'!L27="","",'Supplier selection'!L27)</f>
        <v/>
      </c>
      <c r="M27" s="19" t="str">
        <f>IF('Supplier selection'!M27="","",'Supplier selection'!M27)</f>
        <v/>
      </c>
      <c r="N27" s="19" t="str">
        <f>IF('Supplier selection'!N27="","",'Supplier selection'!N27)</f>
        <v/>
      </c>
      <c r="O27" s="19" t="str">
        <f>IF('Supplier selection'!O27="","",'Supplier selection'!O27)</f>
        <v/>
      </c>
      <c r="Q27" s="19" t="str">
        <f>HLOOKUP($Q$3,'Supplier selection'!$AW$4:'Supplier selection'!$CT$1000,$A28,FALSE)</f>
        <v/>
      </c>
      <c r="R27" s="22" t="str">
        <f t="shared" si="0"/>
        <v/>
      </c>
      <c r="S27" s="19" t="str">
        <f t="shared" si="1"/>
        <v/>
      </c>
      <c r="T27" s="22" t="str">
        <f t="shared" si="2"/>
        <v/>
      </c>
      <c r="U27" s="19" t="str">
        <f t="shared" si="3"/>
        <v/>
      </c>
      <c r="V27" s="7"/>
      <c r="Y27" s="19" t="str">
        <f>IF('Supplier selection'!AQ27="","",'Supplier selection'!AQ27)</f>
        <v/>
      </c>
      <c r="Z27" s="19" t="str">
        <f>IF('Supplier selection'!AR27="","",'Supplier selection'!AR27)</f>
        <v/>
      </c>
      <c r="AA27" s="19" t="str">
        <f t="shared" si="4"/>
        <v/>
      </c>
      <c r="AD27" s="26" t="str">
        <f>IF(AND('Supplier selection'!X27="",'Supplier selection'!AE27=""),"",IF('Supplier selection'!X27="",'Supplier selection'!AE27,'Supplier selection'!X27))</f>
        <v/>
      </c>
      <c r="AE27" s="19" t="str">
        <f t="shared" si="5"/>
        <v/>
      </c>
      <c r="AF27" s="19" t="str">
        <f t="shared" si="6"/>
        <v/>
      </c>
      <c r="AG27" s="27" t="str">
        <f>IF(AND('Supplier selection'!AB27="",'Supplier selection'!AI27=""),"",IF('Supplier selection'!AB27="",'Supplier selection'!AI27,'Supplier selection'!AB27))</f>
        <v/>
      </c>
      <c r="AH27" s="28" t="str">
        <f t="shared" si="7"/>
        <v/>
      </c>
      <c r="AI27" s="7" t="str">
        <f t="shared" si="8"/>
        <v/>
      </c>
      <c r="AJ27" s="22" t="str">
        <f t="shared" si="9"/>
        <v/>
      </c>
      <c r="AK27" s="29" t="str">
        <f t="shared" si="10"/>
        <v/>
      </c>
      <c r="AL27" s="10"/>
    </row>
    <row r="28" spans="1:38">
      <c r="A28" s="19">
        <f>IF('Supplier selection'!A28="","",'Supplier selection'!A28)</f>
        <v>24</v>
      </c>
      <c r="B28" s="19" t="str">
        <f>IF('Supplier selection'!B28="","",'Supplier selection'!B28)</f>
        <v/>
      </c>
      <c r="C28" s="19" t="str">
        <f>IF('Supplier selection'!C28="","",'Supplier selection'!C28)</f>
        <v/>
      </c>
      <c r="D28" s="19" t="str">
        <f>IF('Supplier selection'!D28="","",'Supplier selection'!D28)</f>
        <v/>
      </c>
      <c r="E28" s="19" t="str">
        <f>IF('Supplier selection'!E28="","",'Supplier selection'!E28)</f>
        <v/>
      </c>
      <c r="F28" s="19" t="str">
        <f>IF('Supplier selection'!F28="","",'Supplier selection'!F28)</f>
        <v/>
      </c>
      <c r="G28" s="19" t="str">
        <f>IF('Supplier selection'!G28="","",'Supplier selection'!G28)</f>
        <v/>
      </c>
      <c r="H28" s="19" t="str">
        <f>IF('Supplier selection'!H28="","",'Supplier selection'!H28)</f>
        <v/>
      </c>
      <c r="I28" s="19" t="str">
        <f>IF('Supplier selection'!I28="","",'Supplier selection'!I28)</f>
        <v/>
      </c>
      <c r="J28" s="19" t="str">
        <f>IF('Supplier selection'!J28="","",'Supplier selection'!J28)</f>
        <v/>
      </c>
      <c r="K28" s="19" t="str">
        <f>IF('Supplier selection'!K28="","",'Supplier selection'!K28)</f>
        <v/>
      </c>
      <c r="L28" s="19" t="str">
        <f>IF('Supplier selection'!L28="","",'Supplier selection'!L28)</f>
        <v/>
      </c>
      <c r="M28" s="19" t="str">
        <f>IF('Supplier selection'!M28="","",'Supplier selection'!M28)</f>
        <v/>
      </c>
      <c r="N28" s="19" t="str">
        <f>IF('Supplier selection'!N28="","",'Supplier selection'!N28)</f>
        <v/>
      </c>
      <c r="O28" s="19" t="str">
        <f>IF('Supplier selection'!O28="","",'Supplier selection'!O28)</f>
        <v/>
      </c>
      <c r="Q28" s="19" t="str">
        <f>HLOOKUP($Q$3,'Supplier selection'!$AW$4:'Supplier selection'!$CT$1000,$A29,FALSE)</f>
        <v/>
      </c>
      <c r="R28" s="22" t="str">
        <f t="shared" si="0"/>
        <v/>
      </c>
      <c r="S28" s="19" t="str">
        <f t="shared" si="1"/>
        <v/>
      </c>
      <c r="T28" s="22" t="str">
        <f t="shared" si="2"/>
        <v/>
      </c>
      <c r="U28" s="19" t="str">
        <f t="shared" si="3"/>
        <v/>
      </c>
      <c r="V28" s="7"/>
      <c r="Y28" s="19" t="str">
        <f>IF('Supplier selection'!AQ28="","",'Supplier selection'!AQ28)</f>
        <v/>
      </c>
      <c r="Z28" s="19" t="str">
        <f>IF('Supplier selection'!AR28="","",'Supplier selection'!AR28)</f>
        <v/>
      </c>
      <c r="AA28" s="19" t="str">
        <f t="shared" si="4"/>
        <v/>
      </c>
      <c r="AD28" s="26" t="str">
        <f>IF(AND('Supplier selection'!X28="",'Supplier selection'!AE28=""),"",IF('Supplier selection'!X28="",'Supplier selection'!AE28,'Supplier selection'!X28))</f>
        <v/>
      </c>
      <c r="AE28" s="19" t="str">
        <f t="shared" si="5"/>
        <v/>
      </c>
      <c r="AF28" s="19" t="str">
        <f t="shared" si="6"/>
        <v/>
      </c>
      <c r="AG28" s="27" t="str">
        <f>IF(AND('Supplier selection'!AB28="",'Supplier selection'!AI28=""),"",IF('Supplier selection'!AB28="",'Supplier selection'!AI28,'Supplier selection'!AB28))</f>
        <v/>
      </c>
      <c r="AH28" s="28" t="str">
        <f t="shared" si="7"/>
        <v/>
      </c>
      <c r="AI28" s="7" t="str">
        <f t="shared" si="8"/>
        <v/>
      </c>
      <c r="AJ28" s="22" t="str">
        <f t="shared" si="9"/>
        <v/>
      </c>
      <c r="AK28" s="29" t="str">
        <f t="shared" si="10"/>
        <v/>
      </c>
      <c r="AL28" s="10"/>
    </row>
    <row r="29" spans="1:38">
      <c r="A29" s="19">
        <f>IF('Supplier selection'!A29="","",'Supplier selection'!A29)</f>
        <v>25</v>
      </c>
      <c r="B29" s="19" t="str">
        <f>IF('Supplier selection'!B29="","",'Supplier selection'!B29)</f>
        <v/>
      </c>
      <c r="C29" s="19" t="str">
        <f>IF('Supplier selection'!C29="","",'Supplier selection'!C29)</f>
        <v/>
      </c>
      <c r="D29" s="19" t="str">
        <f>IF('Supplier selection'!D29="","",'Supplier selection'!D29)</f>
        <v/>
      </c>
      <c r="E29" s="19" t="str">
        <f>IF('Supplier selection'!E29="","",'Supplier selection'!E29)</f>
        <v/>
      </c>
      <c r="F29" s="19" t="str">
        <f>IF('Supplier selection'!F29="","",'Supplier selection'!F29)</f>
        <v/>
      </c>
      <c r="G29" s="19" t="str">
        <f>IF('Supplier selection'!G29="","",'Supplier selection'!G29)</f>
        <v/>
      </c>
      <c r="H29" s="19" t="str">
        <f>IF('Supplier selection'!H29="","",'Supplier selection'!H29)</f>
        <v/>
      </c>
      <c r="I29" s="19" t="str">
        <f>IF('Supplier selection'!I29="","",'Supplier selection'!I29)</f>
        <v/>
      </c>
      <c r="J29" s="19" t="str">
        <f>IF('Supplier selection'!J29="","",'Supplier selection'!J29)</f>
        <v/>
      </c>
      <c r="K29" s="19" t="str">
        <f>IF('Supplier selection'!K29="","",'Supplier selection'!K29)</f>
        <v/>
      </c>
      <c r="L29" s="19" t="str">
        <f>IF('Supplier selection'!L29="","",'Supplier selection'!L29)</f>
        <v/>
      </c>
      <c r="M29" s="19" t="str">
        <f>IF('Supplier selection'!M29="","",'Supplier selection'!M29)</f>
        <v/>
      </c>
      <c r="N29" s="19" t="str">
        <f>IF('Supplier selection'!N29="","",'Supplier selection'!N29)</f>
        <v/>
      </c>
      <c r="O29" s="19" t="str">
        <f>IF('Supplier selection'!O29="","",'Supplier selection'!O29)</f>
        <v/>
      </c>
      <c r="Q29" s="19" t="str">
        <f>HLOOKUP($Q$3,'Supplier selection'!$AW$4:'Supplier selection'!$CT$1000,$A30,FALSE)</f>
        <v/>
      </c>
      <c r="R29" s="22" t="str">
        <f t="shared" si="0"/>
        <v/>
      </c>
      <c r="S29" s="19" t="str">
        <f t="shared" si="1"/>
        <v/>
      </c>
      <c r="T29" s="22" t="str">
        <f t="shared" si="2"/>
        <v/>
      </c>
      <c r="U29" s="19" t="str">
        <f t="shared" si="3"/>
        <v/>
      </c>
      <c r="V29" s="7"/>
      <c r="Y29" s="19" t="str">
        <f>IF('Supplier selection'!AQ29="","",'Supplier selection'!AQ29)</f>
        <v/>
      </c>
      <c r="Z29" s="19" t="str">
        <f>IF('Supplier selection'!AR29="","",'Supplier selection'!AR29)</f>
        <v/>
      </c>
      <c r="AA29" s="19" t="str">
        <f t="shared" si="4"/>
        <v/>
      </c>
      <c r="AD29" s="26" t="str">
        <f>IF(AND('Supplier selection'!X29="",'Supplier selection'!AE29=""),"",IF('Supplier selection'!X29="",'Supplier selection'!AE29,'Supplier selection'!X29))</f>
        <v/>
      </c>
      <c r="AE29" s="19" t="str">
        <f t="shared" si="5"/>
        <v/>
      </c>
      <c r="AF29" s="19" t="str">
        <f t="shared" si="6"/>
        <v/>
      </c>
      <c r="AG29" s="27" t="str">
        <f>IF(AND('Supplier selection'!AB29="",'Supplier selection'!AI29=""),"",IF('Supplier selection'!AB29="",'Supplier selection'!AI29,'Supplier selection'!AB29))</f>
        <v/>
      </c>
      <c r="AH29" s="28" t="str">
        <f t="shared" si="7"/>
        <v/>
      </c>
      <c r="AI29" s="7" t="str">
        <f t="shared" si="8"/>
        <v/>
      </c>
      <c r="AJ29" s="22" t="str">
        <f t="shared" si="9"/>
        <v/>
      </c>
      <c r="AK29" s="29" t="str">
        <f t="shared" si="10"/>
        <v/>
      </c>
      <c r="AL29" s="10"/>
    </row>
    <row r="30" spans="1:38">
      <c r="A30" s="19">
        <f>IF('Supplier selection'!A30="","",'Supplier selection'!A30)</f>
        <v>26</v>
      </c>
      <c r="B30" s="19" t="str">
        <f>IF('Supplier selection'!B30="","",'Supplier selection'!B30)</f>
        <v/>
      </c>
      <c r="C30" s="19" t="str">
        <f>IF('Supplier selection'!C30="","",'Supplier selection'!C30)</f>
        <v/>
      </c>
      <c r="D30" s="19" t="str">
        <f>IF('Supplier selection'!D30="","",'Supplier selection'!D30)</f>
        <v/>
      </c>
      <c r="E30" s="19" t="str">
        <f>IF('Supplier selection'!E30="","",'Supplier selection'!E30)</f>
        <v/>
      </c>
      <c r="F30" s="19" t="str">
        <f>IF('Supplier selection'!F30="","",'Supplier selection'!F30)</f>
        <v/>
      </c>
      <c r="G30" s="19" t="str">
        <f>IF('Supplier selection'!G30="","",'Supplier selection'!G30)</f>
        <v/>
      </c>
      <c r="H30" s="19" t="str">
        <f>IF('Supplier selection'!H30="","",'Supplier selection'!H30)</f>
        <v/>
      </c>
      <c r="I30" s="19" t="str">
        <f>IF('Supplier selection'!I30="","",'Supplier selection'!I30)</f>
        <v/>
      </c>
      <c r="J30" s="19" t="str">
        <f>IF('Supplier selection'!J30="","",'Supplier selection'!J30)</f>
        <v/>
      </c>
      <c r="K30" s="19" t="str">
        <f>IF('Supplier selection'!K30="","",'Supplier selection'!K30)</f>
        <v/>
      </c>
      <c r="L30" s="19" t="str">
        <f>IF('Supplier selection'!L30="","",'Supplier selection'!L30)</f>
        <v/>
      </c>
      <c r="M30" s="19" t="str">
        <f>IF('Supplier selection'!M30="","",'Supplier selection'!M30)</f>
        <v/>
      </c>
      <c r="N30" s="19" t="str">
        <f>IF('Supplier selection'!N30="","",'Supplier selection'!N30)</f>
        <v/>
      </c>
      <c r="O30" s="19" t="str">
        <f>IF('Supplier selection'!O30="","",'Supplier selection'!O30)</f>
        <v/>
      </c>
      <c r="Q30" s="19" t="str">
        <f>HLOOKUP($Q$3,'Supplier selection'!$AW$4:'Supplier selection'!$CT$1000,$A31,FALSE)</f>
        <v/>
      </c>
      <c r="R30" s="22" t="str">
        <f t="shared" si="0"/>
        <v/>
      </c>
      <c r="S30" s="19" t="str">
        <f t="shared" si="1"/>
        <v/>
      </c>
      <c r="T30" s="22" t="str">
        <f t="shared" si="2"/>
        <v/>
      </c>
      <c r="U30" s="19" t="str">
        <f t="shared" si="3"/>
        <v/>
      </c>
      <c r="V30" s="7"/>
      <c r="Y30" s="19" t="str">
        <f>IF('Supplier selection'!AQ30="","",'Supplier selection'!AQ30)</f>
        <v/>
      </c>
      <c r="Z30" s="19" t="str">
        <f>IF('Supplier selection'!AR30="","",'Supplier selection'!AR30)</f>
        <v/>
      </c>
      <c r="AA30" s="19" t="str">
        <f t="shared" si="4"/>
        <v/>
      </c>
      <c r="AD30" s="26" t="str">
        <f>IF(AND('Supplier selection'!X30="",'Supplier selection'!AE30=""),"",IF('Supplier selection'!X30="",'Supplier selection'!AE30,'Supplier selection'!X30))</f>
        <v/>
      </c>
      <c r="AE30" s="19" t="str">
        <f t="shared" si="5"/>
        <v/>
      </c>
      <c r="AF30" s="19" t="str">
        <f t="shared" si="6"/>
        <v/>
      </c>
      <c r="AG30" s="27" t="str">
        <f>IF(AND('Supplier selection'!AB30="",'Supplier selection'!AI30=""),"",IF('Supplier selection'!AB30="",'Supplier selection'!AI30,'Supplier selection'!AB30))</f>
        <v/>
      </c>
      <c r="AH30" s="28" t="str">
        <f t="shared" si="7"/>
        <v/>
      </c>
      <c r="AI30" s="7" t="str">
        <f t="shared" si="8"/>
        <v/>
      </c>
      <c r="AJ30" s="22" t="str">
        <f t="shared" si="9"/>
        <v/>
      </c>
      <c r="AK30" s="29" t="str">
        <f t="shared" si="10"/>
        <v/>
      </c>
      <c r="AL30" s="10"/>
    </row>
    <row r="31" spans="1:38">
      <c r="A31" s="19">
        <f>IF('Supplier selection'!A31="","",'Supplier selection'!A31)</f>
        <v>27</v>
      </c>
      <c r="B31" s="19" t="str">
        <f>IF('Supplier selection'!B31="","",'Supplier selection'!B31)</f>
        <v/>
      </c>
      <c r="C31" s="19" t="str">
        <f>IF('Supplier selection'!C31="","",'Supplier selection'!C31)</f>
        <v/>
      </c>
      <c r="D31" s="19" t="str">
        <f>IF('Supplier selection'!D31="","",'Supplier selection'!D31)</f>
        <v/>
      </c>
      <c r="E31" s="19" t="str">
        <f>IF('Supplier selection'!E31="","",'Supplier selection'!E31)</f>
        <v/>
      </c>
      <c r="F31" s="19" t="str">
        <f>IF('Supplier selection'!F31="","",'Supplier selection'!F31)</f>
        <v/>
      </c>
      <c r="G31" s="19" t="str">
        <f>IF('Supplier selection'!G31="","",'Supplier selection'!G31)</f>
        <v/>
      </c>
      <c r="H31" s="19" t="str">
        <f>IF('Supplier selection'!H31="","",'Supplier selection'!H31)</f>
        <v/>
      </c>
      <c r="I31" s="19" t="str">
        <f>IF('Supplier selection'!I31="","",'Supplier selection'!I31)</f>
        <v/>
      </c>
      <c r="J31" s="19" t="str">
        <f>IF('Supplier selection'!J31="","",'Supplier selection'!J31)</f>
        <v/>
      </c>
      <c r="K31" s="19" t="str">
        <f>IF('Supplier selection'!K31="","",'Supplier selection'!K31)</f>
        <v/>
      </c>
      <c r="L31" s="19" t="str">
        <f>IF('Supplier selection'!L31="","",'Supplier selection'!L31)</f>
        <v/>
      </c>
      <c r="M31" s="19" t="str">
        <f>IF('Supplier selection'!M31="","",'Supplier selection'!M31)</f>
        <v/>
      </c>
      <c r="N31" s="19" t="str">
        <f>IF('Supplier selection'!N31="","",'Supplier selection'!N31)</f>
        <v/>
      </c>
      <c r="O31" s="19" t="str">
        <f>IF('Supplier selection'!O31="","",'Supplier selection'!O31)</f>
        <v/>
      </c>
      <c r="Q31" s="19" t="str">
        <f>HLOOKUP($Q$3,'Supplier selection'!$AW$4:'Supplier selection'!$CT$1000,$A32,FALSE)</f>
        <v/>
      </c>
      <c r="R31" s="22" t="str">
        <f t="shared" si="0"/>
        <v/>
      </c>
      <c r="S31" s="19" t="str">
        <f t="shared" si="1"/>
        <v/>
      </c>
      <c r="T31" s="22" t="str">
        <f t="shared" si="2"/>
        <v/>
      </c>
      <c r="U31" s="19" t="str">
        <f t="shared" si="3"/>
        <v/>
      </c>
      <c r="V31" s="7"/>
      <c r="Y31" s="19" t="str">
        <f>IF('Supplier selection'!AQ31="","",'Supplier selection'!AQ31)</f>
        <v/>
      </c>
      <c r="Z31" s="19" t="str">
        <f>IF('Supplier selection'!AR31="","",'Supplier selection'!AR31)</f>
        <v/>
      </c>
      <c r="AA31" s="19" t="str">
        <f t="shared" si="4"/>
        <v/>
      </c>
      <c r="AD31" s="26" t="str">
        <f>IF(AND('Supplier selection'!X31="",'Supplier selection'!AE31=""),"",IF('Supplier selection'!X31="",'Supplier selection'!AE31,'Supplier selection'!X31))</f>
        <v/>
      </c>
      <c r="AE31" s="19" t="str">
        <f t="shared" si="5"/>
        <v/>
      </c>
      <c r="AF31" s="19" t="str">
        <f t="shared" si="6"/>
        <v/>
      </c>
      <c r="AG31" s="27" t="str">
        <f>IF(AND('Supplier selection'!AB31="",'Supplier selection'!AI31=""),"",IF('Supplier selection'!AB31="",'Supplier selection'!AI31,'Supplier selection'!AB31))</f>
        <v/>
      </c>
      <c r="AH31" s="28" t="str">
        <f t="shared" si="7"/>
        <v/>
      </c>
      <c r="AI31" s="7" t="str">
        <f t="shared" si="8"/>
        <v/>
      </c>
      <c r="AJ31" s="22" t="str">
        <f t="shared" si="9"/>
        <v/>
      </c>
      <c r="AK31" s="29" t="str">
        <f t="shared" si="10"/>
        <v/>
      </c>
      <c r="AL31" s="10"/>
    </row>
    <row r="32" spans="1:38">
      <c r="A32" s="19">
        <f>IF('Supplier selection'!A32="","",'Supplier selection'!A32)</f>
        <v>28</v>
      </c>
      <c r="B32" s="19" t="str">
        <f>IF('Supplier selection'!B32="","",'Supplier selection'!B32)</f>
        <v/>
      </c>
      <c r="C32" s="19" t="str">
        <f>IF('Supplier selection'!C32="","",'Supplier selection'!C32)</f>
        <v/>
      </c>
      <c r="D32" s="19" t="str">
        <f>IF('Supplier selection'!D32="","",'Supplier selection'!D32)</f>
        <v/>
      </c>
      <c r="E32" s="19" t="str">
        <f>IF('Supplier selection'!E32="","",'Supplier selection'!E32)</f>
        <v/>
      </c>
      <c r="F32" s="19" t="str">
        <f>IF('Supplier selection'!F32="","",'Supplier selection'!F32)</f>
        <v/>
      </c>
      <c r="G32" s="19" t="str">
        <f>IF('Supplier selection'!G32="","",'Supplier selection'!G32)</f>
        <v/>
      </c>
      <c r="H32" s="19" t="str">
        <f>IF('Supplier selection'!H32="","",'Supplier selection'!H32)</f>
        <v/>
      </c>
      <c r="I32" s="19" t="str">
        <f>IF('Supplier selection'!I32="","",'Supplier selection'!I32)</f>
        <v/>
      </c>
      <c r="J32" s="19" t="str">
        <f>IF('Supplier selection'!J32="","",'Supplier selection'!J32)</f>
        <v/>
      </c>
      <c r="K32" s="19" t="str">
        <f>IF('Supplier selection'!K32="","",'Supplier selection'!K32)</f>
        <v/>
      </c>
      <c r="L32" s="19" t="str">
        <f>IF('Supplier selection'!L32="","",'Supplier selection'!L32)</f>
        <v/>
      </c>
      <c r="M32" s="19" t="str">
        <f>IF('Supplier selection'!M32="","",'Supplier selection'!M32)</f>
        <v/>
      </c>
      <c r="N32" s="19" t="str">
        <f>IF('Supplier selection'!N32="","",'Supplier selection'!N32)</f>
        <v/>
      </c>
      <c r="O32" s="19" t="str">
        <f>IF('Supplier selection'!O32="","",'Supplier selection'!O32)</f>
        <v/>
      </c>
      <c r="Q32" s="19" t="str">
        <f>HLOOKUP($Q$3,'Supplier selection'!$AW$4:'Supplier selection'!$CT$1000,$A33,FALSE)</f>
        <v/>
      </c>
      <c r="R32" s="22" t="str">
        <f t="shared" si="0"/>
        <v/>
      </c>
      <c r="S32" s="19" t="str">
        <f t="shared" si="1"/>
        <v/>
      </c>
      <c r="T32" s="22" t="str">
        <f t="shared" si="2"/>
        <v/>
      </c>
      <c r="U32" s="19" t="str">
        <f t="shared" si="3"/>
        <v/>
      </c>
      <c r="V32" s="7"/>
      <c r="Y32" s="19" t="str">
        <f>IF('Supplier selection'!AQ32="","",'Supplier selection'!AQ32)</f>
        <v/>
      </c>
      <c r="Z32" s="19" t="str">
        <f>IF('Supplier selection'!AR32="","",'Supplier selection'!AR32)</f>
        <v/>
      </c>
      <c r="AA32" s="19" t="str">
        <f t="shared" si="4"/>
        <v/>
      </c>
      <c r="AD32" s="26" t="str">
        <f>IF(AND('Supplier selection'!X32="",'Supplier selection'!AE32=""),"",IF('Supplier selection'!X32="",'Supplier selection'!AE32,'Supplier selection'!X32))</f>
        <v/>
      </c>
      <c r="AE32" s="19" t="str">
        <f t="shared" si="5"/>
        <v/>
      </c>
      <c r="AF32" s="19" t="str">
        <f t="shared" si="6"/>
        <v/>
      </c>
      <c r="AG32" s="27" t="str">
        <f>IF(AND('Supplier selection'!AB32="",'Supplier selection'!AI32=""),"",IF('Supplier selection'!AB32="",'Supplier selection'!AI32,'Supplier selection'!AB32))</f>
        <v/>
      </c>
      <c r="AH32" s="28" t="str">
        <f t="shared" si="7"/>
        <v/>
      </c>
      <c r="AI32" s="7" t="str">
        <f t="shared" si="8"/>
        <v/>
      </c>
      <c r="AJ32" s="22" t="str">
        <f t="shared" si="9"/>
        <v/>
      </c>
      <c r="AK32" s="29" t="str">
        <f t="shared" si="10"/>
        <v/>
      </c>
      <c r="AL32" s="10"/>
    </row>
    <row r="33" spans="1:38">
      <c r="A33" s="19">
        <f>IF('Supplier selection'!A33="","",'Supplier selection'!A33)</f>
        <v>29</v>
      </c>
      <c r="B33" s="19" t="str">
        <f>IF('Supplier selection'!B33="","",'Supplier selection'!B33)</f>
        <v/>
      </c>
      <c r="C33" s="19" t="str">
        <f>IF('Supplier selection'!C33="","",'Supplier selection'!C33)</f>
        <v/>
      </c>
      <c r="D33" s="19" t="str">
        <f>IF('Supplier selection'!D33="","",'Supplier selection'!D33)</f>
        <v/>
      </c>
      <c r="E33" s="19" t="str">
        <f>IF('Supplier selection'!E33="","",'Supplier selection'!E33)</f>
        <v/>
      </c>
      <c r="F33" s="19" t="str">
        <f>IF('Supplier selection'!F33="","",'Supplier selection'!F33)</f>
        <v/>
      </c>
      <c r="G33" s="19" t="str">
        <f>IF('Supplier selection'!G33="","",'Supplier selection'!G33)</f>
        <v/>
      </c>
      <c r="H33" s="19" t="str">
        <f>IF('Supplier selection'!H33="","",'Supplier selection'!H33)</f>
        <v/>
      </c>
      <c r="I33" s="19" t="str">
        <f>IF('Supplier selection'!I33="","",'Supplier selection'!I33)</f>
        <v/>
      </c>
      <c r="J33" s="19" t="str">
        <f>IF('Supplier selection'!J33="","",'Supplier selection'!J33)</f>
        <v/>
      </c>
      <c r="K33" s="19" t="str">
        <f>IF('Supplier selection'!K33="","",'Supplier selection'!K33)</f>
        <v/>
      </c>
      <c r="L33" s="19" t="str">
        <f>IF('Supplier selection'!L33="","",'Supplier selection'!L33)</f>
        <v/>
      </c>
      <c r="M33" s="19" t="str">
        <f>IF('Supplier selection'!M33="","",'Supplier selection'!M33)</f>
        <v/>
      </c>
      <c r="N33" s="19" t="str">
        <f>IF('Supplier selection'!N33="","",'Supplier selection'!N33)</f>
        <v/>
      </c>
      <c r="O33" s="19" t="str">
        <f>IF('Supplier selection'!O33="","",'Supplier selection'!O33)</f>
        <v/>
      </c>
      <c r="Q33" s="19" t="str">
        <f>HLOOKUP($Q$3,'Supplier selection'!$AW$4:'Supplier selection'!$CT$1000,$A34,FALSE)</f>
        <v/>
      </c>
      <c r="R33" s="22" t="str">
        <f t="shared" si="0"/>
        <v/>
      </c>
      <c r="S33" s="19" t="str">
        <f t="shared" si="1"/>
        <v/>
      </c>
      <c r="T33" s="22" t="str">
        <f t="shared" si="2"/>
        <v/>
      </c>
      <c r="U33" s="19" t="str">
        <f t="shared" si="3"/>
        <v/>
      </c>
      <c r="V33" s="7"/>
      <c r="Y33" s="19" t="str">
        <f>IF('Supplier selection'!AQ33="","",'Supplier selection'!AQ33)</f>
        <v/>
      </c>
      <c r="Z33" s="19" t="str">
        <f>IF('Supplier selection'!AR33="","",'Supplier selection'!AR33)</f>
        <v/>
      </c>
      <c r="AA33" s="19" t="str">
        <f t="shared" si="4"/>
        <v/>
      </c>
      <c r="AD33" s="26" t="str">
        <f>IF(AND('Supplier selection'!X33="",'Supplier selection'!AE33=""),"",IF('Supplier selection'!X33="",'Supplier selection'!AE33,'Supplier selection'!X33))</f>
        <v/>
      </c>
      <c r="AE33" s="19" t="str">
        <f t="shared" si="5"/>
        <v/>
      </c>
      <c r="AF33" s="19" t="str">
        <f t="shared" si="6"/>
        <v/>
      </c>
      <c r="AG33" s="27" t="str">
        <f>IF(AND('Supplier selection'!AB33="",'Supplier selection'!AI33=""),"",IF('Supplier selection'!AB33="",'Supplier selection'!AI33,'Supplier selection'!AB33))</f>
        <v/>
      </c>
      <c r="AH33" s="28" t="str">
        <f t="shared" si="7"/>
        <v/>
      </c>
      <c r="AI33" s="7" t="str">
        <f t="shared" si="8"/>
        <v/>
      </c>
      <c r="AJ33" s="22" t="str">
        <f t="shared" si="9"/>
        <v/>
      </c>
      <c r="AK33" s="29" t="str">
        <f t="shared" si="10"/>
        <v/>
      </c>
      <c r="AL33" s="10"/>
    </row>
    <row r="34" spans="1:38">
      <c r="A34" s="19">
        <f>IF('Supplier selection'!A34="","",'Supplier selection'!A34)</f>
        <v>30</v>
      </c>
      <c r="B34" s="19" t="str">
        <f>IF('Supplier selection'!B34="","",'Supplier selection'!B34)</f>
        <v/>
      </c>
      <c r="C34" s="19" t="str">
        <f>IF('Supplier selection'!C34="","",'Supplier selection'!C34)</f>
        <v/>
      </c>
      <c r="D34" s="19" t="str">
        <f>IF('Supplier selection'!D34="","",'Supplier selection'!D34)</f>
        <v/>
      </c>
      <c r="E34" s="19" t="str">
        <f>IF('Supplier selection'!E34="","",'Supplier selection'!E34)</f>
        <v/>
      </c>
      <c r="F34" s="19" t="str">
        <f>IF('Supplier selection'!F34="","",'Supplier selection'!F34)</f>
        <v/>
      </c>
      <c r="G34" s="19" t="str">
        <f>IF('Supplier selection'!G34="","",'Supplier selection'!G34)</f>
        <v/>
      </c>
      <c r="H34" s="19" t="str">
        <f>IF('Supplier selection'!H34="","",'Supplier selection'!H34)</f>
        <v/>
      </c>
      <c r="I34" s="19" t="str">
        <f>IF('Supplier selection'!I34="","",'Supplier selection'!I34)</f>
        <v/>
      </c>
      <c r="J34" s="19" t="str">
        <f>IF('Supplier selection'!J34="","",'Supplier selection'!J34)</f>
        <v/>
      </c>
      <c r="K34" s="19" t="str">
        <f>IF('Supplier selection'!K34="","",'Supplier selection'!K34)</f>
        <v/>
      </c>
      <c r="L34" s="19" t="str">
        <f>IF('Supplier selection'!L34="","",'Supplier selection'!L34)</f>
        <v/>
      </c>
      <c r="M34" s="19" t="str">
        <f>IF('Supplier selection'!M34="","",'Supplier selection'!M34)</f>
        <v/>
      </c>
      <c r="N34" s="19" t="str">
        <f>IF('Supplier selection'!N34="","",'Supplier selection'!N34)</f>
        <v/>
      </c>
      <c r="O34" s="19" t="str">
        <f>IF('Supplier selection'!O34="","",'Supplier selection'!O34)</f>
        <v/>
      </c>
      <c r="Q34" s="19" t="str">
        <f>HLOOKUP($Q$3,'Supplier selection'!$AW$4:'Supplier selection'!$CT$1000,$A35,FALSE)</f>
        <v/>
      </c>
      <c r="R34" s="22" t="str">
        <f t="shared" si="0"/>
        <v/>
      </c>
      <c r="S34" s="19" t="str">
        <f t="shared" si="1"/>
        <v/>
      </c>
      <c r="T34" s="22" t="str">
        <f t="shared" si="2"/>
        <v/>
      </c>
      <c r="U34" s="19" t="str">
        <f t="shared" si="3"/>
        <v/>
      </c>
      <c r="V34" s="7"/>
      <c r="Y34" s="19" t="str">
        <f>IF('Supplier selection'!AQ34="","",'Supplier selection'!AQ34)</f>
        <v/>
      </c>
      <c r="Z34" s="19" t="str">
        <f>IF('Supplier selection'!AR34="","",'Supplier selection'!AR34)</f>
        <v/>
      </c>
      <c r="AA34" s="19" t="str">
        <f t="shared" si="4"/>
        <v/>
      </c>
      <c r="AD34" s="26" t="str">
        <f>IF(AND('Supplier selection'!X34="",'Supplier selection'!AE34=""),"",IF('Supplier selection'!X34="",'Supplier selection'!AE34,'Supplier selection'!X34))</f>
        <v/>
      </c>
      <c r="AE34" s="19" t="str">
        <f t="shared" si="5"/>
        <v/>
      </c>
      <c r="AF34" s="19" t="str">
        <f t="shared" si="6"/>
        <v/>
      </c>
      <c r="AG34" s="27" t="str">
        <f>IF(AND('Supplier selection'!AB34="",'Supplier selection'!AI34=""),"",IF('Supplier selection'!AB34="",'Supplier selection'!AI34,'Supplier selection'!AB34))</f>
        <v/>
      </c>
      <c r="AH34" s="28" t="str">
        <f t="shared" si="7"/>
        <v/>
      </c>
      <c r="AI34" s="7" t="str">
        <f t="shared" si="8"/>
        <v/>
      </c>
      <c r="AJ34" s="22" t="str">
        <f t="shared" si="9"/>
        <v/>
      </c>
      <c r="AK34" s="29" t="str">
        <f t="shared" si="10"/>
        <v/>
      </c>
      <c r="AL34" s="10"/>
    </row>
    <row r="35" spans="1:38">
      <c r="A35" s="19">
        <f>IF('Supplier selection'!A35="","",'Supplier selection'!A35)</f>
        <v>31</v>
      </c>
      <c r="B35" s="19" t="str">
        <f>IF('Supplier selection'!B35="","",'Supplier selection'!B35)</f>
        <v/>
      </c>
      <c r="C35" s="19" t="str">
        <f>IF('Supplier selection'!C35="","",'Supplier selection'!C35)</f>
        <v/>
      </c>
      <c r="D35" s="19" t="str">
        <f>IF('Supplier selection'!D35="","",'Supplier selection'!D35)</f>
        <v/>
      </c>
      <c r="E35" s="19" t="str">
        <f>IF('Supplier selection'!E35="","",'Supplier selection'!E35)</f>
        <v/>
      </c>
      <c r="F35" s="19" t="str">
        <f>IF('Supplier selection'!F35="","",'Supplier selection'!F35)</f>
        <v/>
      </c>
      <c r="G35" s="19" t="str">
        <f>IF('Supplier selection'!G35="","",'Supplier selection'!G35)</f>
        <v/>
      </c>
      <c r="H35" s="19" t="str">
        <f>IF('Supplier selection'!H35="","",'Supplier selection'!H35)</f>
        <v/>
      </c>
      <c r="I35" s="19" t="str">
        <f>IF('Supplier selection'!I35="","",'Supplier selection'!I35)</f>
        <v/>
      </c>
      <c r="J35" s="19" t="str">
        <f>IF('Supplier selection'!J35="","",'Supplier selection'!J35)</f>
        <v/>
      </c>
      <c r="K35" s="19" t="str">
        <f>IF('Supplier selection'!K35="","",'Supplier selection'!K35)</f>
        <v/>
      </c>
      <c r="L35" s="19" t="str">
        <f>IF('Supplier selection'!L35="","",'Supplier selection'!L35)</f>
        <v/>
      </c>
      <c r="M35" s="19" t="str">
        <f>IF('Supplier selection'!M35="","",'Supplier selection'!M35)</f>
        <v/>
      </c>
      <c r="N35" s="19" t="str">
        <f>IF('Supplier selection'!N35="","",'Supplier selection'!N35)</f>
        <v/>
      </c>
      <c r="O35" s="19" t="str">
        <f>IF('Supplier selection'!O35="","",'Supplier selection'!O35)</f>
        <v/>
      </c>
      <c r="Q35" s="19" t="str">
        <f>HLOOKUP($Q$3,'Supplier selection'!$AW$4:'Supplier selection'!$CT$1000,$A36,FALSE)</f>
        <v/>
      </c>
      <c r="R35" s="22" t="str">
        <f t="shared" si="0"/>
        <v/>
      </c>
      <c r="S35" s="19" t="str">
        <f t="shared" si="1"/>
        <v/>
      </c>
      <c r="T35" s="22" t="str">
        <f t="shared" si="2"/>
        <v/>
      </c>
      <c r="U35" s="19" t="str">
        <f t="shared" si="3"/>
        <v/>
      </c>
      <c r="V35" s="7"/>
      <c r="Y35" s="19" t="str">
        <f>IF('Supplier selection'!AQ35="","",'Supplier selection'!AQ35)</f>
        <v/>
      </c>
      <c r="Z35" s="19" t="str">
        <f>IF('Supplier selection'!AR35="","",'Supplier selection'!AR35)</f>
        <v/>
      </c>
      <c r="AA35" s="19" t="str">
        <f t="shared" si="4"/>
        <v/>
      </c>
      <c r="AD35" s="26" t="str">
        <f>IF(AND('Supplier selection'!X35="",'Supplier selection'!AE35=""),"",IF('Supplier selection'!X35="",'Supplier selection'!AE35,'Supplier selection'!X35))</f>
        <v/>
      </c>
      <c r="AE35" s="19" t="str">
        <f t="shared" si="5"/>
        <v/>
      </c>
      <c r="AF35" s="19" t="str">
        <f t="shared" si="6"/>
        <v/>
      </c>
      <c r="AG35" s="27" t="str">
        <f>IF(AND('Supplier selection'!AB35="",'Supplier selection'!AI35=""),"",IF('Supplier selection'!AB35="",'Supplier selection'!AI35,'Supplier selection'!AB35))</f>
        <v/>
      </c>
      <c r="AH35" s="28" t="str">
        <f t="shared" si="7"/>
        <v/>
      </c>
      <c r="AI35" s="7" t="str">
        <f t="shared" si="8"/>
        <v/>
      </c>
      <c r="AJ35" s="22" t="str">
        <f t="shared" si="9"/>
        <v/>
      </c>
      <c r="AK35" s="29" t="str">
        <f t="shared" si="10"/>
        <v/>
      </c>
      <c r="AL35" s="10"/>
    </row>
    <row r="36" spans="1:38">
      <c r="A36" s="19">
        <f>IF('Supplier selection'!A36="","",'Supplier selection'!A36)</f>
        <v>32</v>
      </c>
      <c r="B36" s="19" t="str">
        <f>IF('Supplier selection'!B36="","",'Supplier selection'!B36)</f>
        <v/>
      </c>
      <c r="C36" s="19" t="str">
        <f>IF('Supplier selection'!C36="","",'Supplier selection'!C36)</f>
        <v/>
      </c>
      <c r="D36" s="19" t="str">
        <f>IF('Supplier selection'!D36="","",'Supplier selection'!D36)</f>
        <v/>
      </c>
      <c r="E36" s="19" t="str">
        <f>IF('Supplier selection'!E36="","",'Supplier selection'!E36)</f>
        <v/>
      </c>
      <c r="F36" s="19" t="str">
        <f>IF('Supplier selection'!F36="","",'Supplier selection'!F36)</f>
        <v/>
      </c>
      <c r="G36" s="19" t="str">
        <f>IF('Supplier selection'!G36="","",'Supplier selection'!G36)</f>
        <v/>
      </c>
      <c r="H36" s="19" t="str">
        <f>IF('Supplier selection'!H36="","",'Supplier selection'!H36)</f>
        <v/>
      </c>
      <c r="I36" s="19" t="str">
        <f>IF('Supplier selection'!I36="","",'Supplier selection'!I36)</f>
        <v/>
      </c>
      <c r="J36" s="19" t="str">
        <f>IF('Supplier selection'!J36="","",'Supplier selection'!J36)</f>
        <v/>
      </c>
      <c r="K36" s="19" t="str">
        <f>IF('Supplier selection'!K36="","",'Supplier selection'!K36)</f>
        <v/>
      </c>
      <c r="L36" s="19" t="str">
        <f>IF('Supplier selection'!L36="","",'Supplier selection'!L36)</f>
        <v/>
      </c>
      <c r="M36" s="19" t="str">
        <f>IF('Supplier selection'!M36="","",'Supplier selection'!M36)</f>
        <v/>
      </c>
      <c r="N36" s="19" t="str">
        <f>IF('Supplier selection'!N36="","",'Supplier selection'!N36)</f>
        <v/>
      </c>
      <c r="O36" s="19" t="str">
        <f>IF('Supplier selection'!O36="","",'Supplier selection'!O36)</f>
        <v/>
      </c>
      <c r="Q36" s="19" t="str">
        <f>HLOOKUP($Q$3,'Supplier selection'!$AW$4:'Supplier selection'!$CT$1000,$A37,FALSE)</f>
        <v/>
      </c>
      <c r="R36" s="22" t="str">
        <f t="shared" si="0"/>
        <v/>
      </c>
      <c r="S36" s="19" t="str">
        <f t="shared" si="1"/>
        <v/>
      </c>
      <c r="T36" s="22" t="str">
        <f t="shared" si="2"/>
        <v/>
      </c>
      <c r="U36" s="19" t="str">
        <f t="shared" si="3"/>
        <v/>
      </c>
      <c r="V36" s="7"/>
      <c r="Y36" s="19" t="str">
        <f>IF('Supplier selection'!AQ36="","",'Supplier selection'!AQ36)</f>
        <v/>
      </c>
      <c r="Z36" s="19" t="str">
        <f>IF('Supplier selection'!AR36="","",'Supplier selection'!AR36)</f>
        <v/>
      </c>
      <c r="AA36" s="19" t="str">
        <f t="shared" si="4"/>
        <v/>
      </c>
      <c r="AD36" s="26" t="str">
        <f>IF(AND('Supplier selection'!X36="",'Supplier selection'!AE36=""),"",IF('Supplier selection'!X36="",'Supplier selection'!AE36,'Supplier selection'!X36))</f>
        <v/>
      </c>
      <c r="AE36" s="19" t="str">
        <f t="shared" si="5"/>
        <v/>
      </c>
      <c r="AF36" s="19" t="str">
        <f t="shared" si="6"/>
        <v/>
      </c>
      <c r="AG36" s="27" t="str">
        <f>IF(AND('Supplier selection'!AB36="",'Supplier selection'!AI36=""),"",IF('Supplier selection'!AB36="",'Supplier selection'!AI36,'Supplier selection'!AB36))</f>
        <v/>
      </c>
      <c r="AH36" s="28" t="str">
        <f t="shared" si="7"/>
        <v/>
      </c>
      <c r="AI36" s="7" t="str">
        <f t="shared" si="8"/>
        <v/>
      </c>
      <c r="AJ36" s="22" t="str">
        <f t="shared" si="9"/>
        <v/>
      </c>
      <c r="AK36" s="29" t="str">
        <f t="shared" si="10"/>
        <v/>
      </c>
      <c r="AL36" s="10"/>
    </row>
    <row r="37" spans="1:38">
      <c r="A37" s="19">
        <f>IF('Supplier selection'!A37="","",'Supplier selection'!A37)</f>
        <v>33</v>
      </c>
      <c r="B37" s="19" t="str">
        <f>IF('Supplier selection'!B37="","",'Supplier selection'!B37)</f>
        <v/>
      </c>
      <c r="C37" s="19" t="str">
        <f>IF('Supplier selection'!C37="","",'Supplier selection'!C37)</f>
        <v/>
      </c>
      <c r="D37" s="19" t="str">
        <f>IF('Supplier selection'!D37="","",'Supplier selection'!D37)</f>
        <v/>
      </c>
      <c r="E37" s="19" t="str">
        <f>IF('Supplier selection'!E37="","",'Supplier selection'!E37)</f>
        <v/>
      </c>
      <c r="F37" s="19" t="str">
        <f>IF('Supplier selection'!F37="","",'Supplier selection'!F37)</f>
        <v/>
      </c>
      <c r="G37" s="19" t="str">
        <f>IF('Supplier selection'!G37="","",'Supplier selection'!G37)</f>
        <v/>
      </c>
      <c r="H37" s="19" t="str">
        <f>IF('Supplier selection'!H37="","",'Supplier selection'!H37)</f>
        <v/>
      </c>
      <c r="I37" s="19" t="str">
        <f>IF('Supplier selection'!I37="","",'Supplier selection'!I37)</f>
        <v/>
      </c>
      <c r="J37" s="19" t="str">
        <f>IF('Supplier selection'!J37="","",'Supplier selection'!J37)</f>
        <v/>
      </c>
      <c r="K37" s="19" t="str">
        <f>IF('Supplier selection'!K37="","",'Supplier selection'!K37)</f>
        <v/>
      </c>
      <c r="L37" s="19" t="str">
        <f>IF('Supplier selection'!L37="","",'Supplier selection'!L37)</f>
        <v/>
      </c>
      <c r="M37" s="19" t="str">
        <f>IF('Supplier selection'!M37="","",'Supplier selection'!M37)</f>
        <v/>
      </c>
      <c r="N37" s="19" t="str">
        <f>IF('Supplier selection'!N37="","",'Supplier selection'!N37)</f>
        <v/>
      </c>
      <c r="O37" s="19" t="str">
        <f>IF('Supplier selection'!O37="","",'Supplier selection'!O37)</f>
        <v/>
      </c>
      <c r="Q37" s="19" t="str">
        <f>HLOOKUP($Q$3,'Supplier selection'!$AW$4:'Supplier selection'!$CT$1000,$A38,FALSE)</f>
        <v/>
      </c>
      <c r="R37" s="22" t="str">
        <f t="shared" si="0"/>
        <v/>
      </c>
      <c r="S37" s="19" t="str">
        <f t="shared" si="1"/>
        <v/>
      </c>
      <c r="T37" s="22" t="str">
        <f t="shared" si="2"/>
        <v/>
      </c>
      <c r="U37" s="19" t="str">
        <f t="shared" si="3"/>
        <v/>
      </c>
      <c r="V37" s="7"/>
      <c r="Y37" s="19" t="str">
        <f>IF('Supplier selection'!AQ37="","",'Supplier selection'!AQ37)</f>
        <v/>
      </c>
      <c r="Z37" s="19" t="str">
        <f>IF('Supplier selection'!AR37="","",'Supplier selection'!AR37)</f>
        <v/>
      </c>
      <c r="AA37" s="19" t="str">
        <f t="shared" si="4"/>
        <v/>
      </c>
      <c r="AD37" s="26" t="str">
        <f>IF(AND('Supplier selection'!X37="",'Supplier selection'!AE37=""),"",IF('Supplier selection'!X37="",'Supplier selection'!AE37,'Supplier selection'!X37))</f>
        <v/>
      </c>
      <c r="AE37" s="19" t="str">
        <f t="shared" si="5"/>
        <v/>
      </c>
      <c r="AF37" s="19" t="str">
        <f t="shared" si="6"/>
        <v/>
      </c>
      <c r="AG37" s="27" t="str">
        <f>IF(AND('Supplier selection'!AB37="",'Supplier selection'!AI37=""),"",IF('Supplier selection'!AB37="",'Supplier selection'!AI37,'Supplier selection'!AB37))</f>
        <v/>
      </c>
      <c r="AH37" s="28" t="str">
        <f t="shared" si="7"/>
        <v/>
      </c>
      <c r="AI37" s="7" t="str">
        <f t="shared" si="8"/>
        <v/>
      </c>
      <c r="AJ37" s="22" t="str">
        <f t="shared" si="9"/>
        <v/>
      </c>
      <c r="AK37" s="29" t="str">
        <f t="shared" si="10"/>
        <v/>
      </c>
      <c r="AL37" s="10"/>
    </row>
    <row r="38" spans="1:38">
      <c r="A38" s="19">
        <f>IF('Supplier selection'!A38="","",'Supplier selection'!A38)</f>
        <v>34</v>
      </c>
      <c r="B38" s="19" t="str">
        <f>IF('Supplier selection'!B38="","",'Supplier selection'!B38)</f>
        <v/>
      </c>
      <c r="C38" s="19" t="str">
        <f>IF('Supplier selection'!C38="","",'Supplier selection'!C38)</f>
        <v/>
      </c>
      <c r="D38" s="19" t="str">
        <f>IF('Supplier selection'!D38="","",'Supplier selection'!D38)</f>
        <v/>
      </c>
      <c r="E38" s="19" t="str">
        <f>IF('Supplier selection'!E38="","",'Supplier selection'!E38)</f>
        <v/>
      </c>
      <c r="F38" s="19" t="str">
        <f>IF('Supplier selection'!F38="","",'Supplier selection'!F38)</f>
        <v/>
      </c>
      <c r="G38" s="19" t="str">
        <f>IF('Supplier selection'!G38="","",'Supplier selection'!G38)</f>
        <v/>
      </c>
      <c r="H38" s="19" t="str">
        <f>IF('Supplier selection'!H38="","",'Supplier selection'!H38)</f>
        <v/>
      </c>
      <c r="I38" s="19" t="str">
        <f>IF('Supplier selection'!I38="","",'Supplier selection'!I38)</f>
        <v/>
      </c>
      <c r="J38" s="19" t="str">
        <f>IF('Supplier selection'!J38="","",'Supplier selection'!J38)</f>
        <v/>
      </c>
      <c r="K38" s="19" t="str">
        <f>IF('Supplier selection'!K38="","",'Supplier selection'!K38)</f>
        <v/>
      </c>
      <c r="L38" s="19" t="str">
        <f>IF('Supplier selection'!L38="","",'Supplier selection'!L38)</f>
        <v/>
      </c>
      <c r="M38" s="19" t="str">
        <f>IF('Supplier selection'!M38="","",'Supplier selection'!M38)</f>
        <v/>
      </c>
      <c r="N38" s="19" t="str">
        <f>IF('Supplier selection'!N38="","",'Supplier selection'!N38)</f>
        <v/>
      </c>
      <c r="O38" s="19" t="str">
        <f>IF('Supplier selection'!O38="","",'Supplier selection'!O38)</f>
        <v/>
      </c>
      <c r="Q38" s="19" t="str">
        <f>HLOOKUP($Q$3,'Supplier selection'!$AW$4:'Supplier selection'!$CT$1000,$A39,FALSE)</f>
        <v/>
      </c>
      <c r="R38" s="22" t="str">
        <f t="shared" si="0"/>
        <v/>
      </c>
      <c r="S38" s="19" t="str">
        <f t="shared" si="1"/>
        <v/>
      </c>
      <c r="T38" s="22" t="str">
        <f t="shared" si="2"/>
        <v/>
      </c>
      <c r="U38" s="19" t="str">
        <f t="shared" si="3"/>
        <v/>
      </c>
      <c r="V38" s="7"/>
      <c r="Y38" s="19" t="str">
        <f>IF('Supplier selection'!AQ38="","",'Supplier selection'!AQ38)</f>
        <v/>
      </c>
      <c r="Z38" s="19" t="str">
        <f>IF('Supplier selection'!AR38="","",'Supplier selection'!AR38)</f>
        <v/>
      </c>
      <c r="AA38" s="19" t="str">
        <f t="shared" si="4"/>
        <v/>
      </c>
      <c r="AD38" s="26" t="str">
        <f>IF(AND('Supplier selection'!X38="",'Supplier selection'!AE38=""),"",IF('Supplier selection'!X38="",'Supplier selection'!AE38,'Supplier selection'!X38))</f>
        <v/>
      </c>
      <c r="AE38" s="19" t="str">
        <f t="shared" si="5"/>
        <v/>
      </c>
      <c r="AF38" s="19" t="str">
        <f t="shared" si="6"/>
        <v/>
      </c>
      <c r="AG38" s="27" t="str">
        <f>IF(AND('Supplier selection'!AB38="",'Supplier selection'!AI38=""),"",IF('Supplier selection'!AB38="",'Supplier selection'!AI38,'Supplier selection'!AB38))</f>
        <v/>
      </c>
      <c r="AH38" s="28" t="str">
        <f t="shared" si="7"/>
        <v/>
      </c>
      <c r="AI38" s="7" t="str">
        <f t="shared" si="8"/>
        <v/>
      </c>
      <c r="AJ38" s="22" t="str">
        <f t="shared" si="9"/>
        <v/>
      </c>
      <c r="AK38" s="29" t="str">
        <f t="shared" si="10"/>
        <v/>
      </c>
      <c r="AL38" s="10"/>
    </row>
    <row r="39" spans="1:38">
      <c r="A39" s="19">
        <f>IF('Supplier selection'!A39="","",'Supplier selection'!A39)</f>
        <v>35</v>
      </c>
      <c r="B39" s="19" t="str">
        <f>IF('Supplier selection'!B39="","",'Supplier selection'!B39)</f>
        <v/>
      </c>
      <c r="C39" s="19" t="str">
        <f>IF('Supplier selection'!C39="","",'Supplier selection'!C39)</f>
        <v/>
      </c>
      <c r="D39" s="19" t="str">
        <f>IF('Supplier selection'!D39="","",'Supplier selection'!D39)</f>
        <v/>
      </c>
      <c r="E39" s="19" t="str">
        <f>IF('Supplier selection'!E39="","",'Supplier selection'!E39)</f>
        <v/>
      </c>
      <c r="F39" s="19" t="str">
        <f>IF('Supplier selection'!F39="","",'Supplier selection'!F39)</f>
        <v/>
      </c>
      <c r="G39" s="19" t="str">
        <f>IF('Supplier selection'!G39="","",'Supplier selection'!G39)</f>
        <v/>
      </c>
      <c r="H39" s="19" t="str">
        <f>IF('Supplier selection'!H39="","",'Supplier selection'!H39)</f>
        <v/>
      </c>
      <c r="I39" s="19" t="str">
        <f>IF('Supplier selection'!I39="","",'Supplier selection'!I39)</f>
        <v/>
      </c>
      <c r="J39" s="19" t="str">
        <f>IF('Supplier selection'!J39="","",'Supplier selection'!J39)</f>
        <v/>
      </c>
      <c r="K39" s="19" t="str">
        <f>IF('Supplier selection'!K39="","",'Supplier selection'!K39)</f>
        <v/>
      </c>
      <c r="L39" s="19" t="str">
        <f>IF('Supplier selection'!L39="","",'Supplier selection'!L39)</f>
        <v/>
      </c>
      <c r="M39" s="19" t="str">
        <f>IF('Supplier selection'!M39="","",'Supplier selection'!M39)</f>
        <v/>
      </c>
      <c r="N39" s="19" t="str">
        <f>IF('Supplier selection'!N39="","",'Supplier selection'!N39)</f>
        <v/>
      </c>
      <c r="O39" s="19" t="str">
        <f>IF('Supplier selection'!O39="","",'Supplier selection'!O39)</f>
        <v/>
      </c>
      <c r="Q39" s="19" t="str">
        <f>HLOOKUP($Q$3,'Supplier selection'!$AW$4:'Supplier selection'!$CT$1000,$A40,FALSE)</f>
        <v/>
      </c>
      <c r="R39" s="22" t="str">
        <f t="shared" si="0"/>
        <v/>
      </c>
      <c r="S39" s="19" t="str">
        <f t="shared" si="1"/>
        <v/>
      </c>
      <c r="T39" s="22" t="str">
        <f t="shared" si="2"/>
        <v/>
      </c>
      <c r="U39" s="19" t="str">
        <f t="shared" si="3"/>
        <v/>
      </c>
      <c r="V39" s="7"/>
      <c r="Y39" s="19" t="str">
        <f>IF('Supplier selection'!AQ39="","",'Supplier selection'!AQ39)</f>
        <v/>
      </c>
      <c r="Z39" s="19" t="str">
        <f>IF('Supplier selection'!AR39="","",'Supplier selection'!AR39)</f>
        <v/>
      </c>
      <c r="AA39" s="19" t="str">
        <f t="shared" si="4"/>
        <v/>
      </c>
      <c r="AD39" s="26" t="str">
        <f>IF(AND('Supplier selection'!X39="",'Supplier selection'!AE39=""),"",IF('Supplier selection'!X39="",'Supplier selection'!AE39,'Supplier selection'!X39))</f>
        <v/>
      </c>
      <c r="AE39" s="19" t="str">
        <f t="shared" si="5"/>
        <v/>
      </c>
      <c r="AF39" s="19" t="str">
        <f t="shared" si="6"/>
        <v/>
      </c>
      <c r="AG39" s="27" t="str">
        <f>IF(AND('Supplier selection'!AB39="",'Supplier selection'!AI39=""),"",IF('Supplier selection'!AB39="",'Supplier selection'!AI39,'Supplier selection'!AB39))</f>
        <v/>
      </c>
      <c r="AH39" s="28" t="str">
        <f t="shared" si="7"/>
        <v/>
      </c>
      <c r="AI39" s="7" t="str">
        <f t="shared" si="8"/>
        <v/>
      </c>
      <c r="AJ39" s="22" t="str">
        <f t="shared" si="9"/>
        <v/>
      </c>
      <c r="AK39" s="29" t="str">
        <f t="shared" si="10"/>
        <v/>
      </c>
      <c r="AL39" s="10"/>
    </row>
    <row r="40" spans="1:38">
      <c r="A40" s="19">
        <f>IF('Supplier selection'!A40="","",'Supplier selection'!A40)</f>
        <v>36</v>
      </c>
      <c r="B40" s="19" t="str">
        <f>IF('Supplier selection'!B40="","",'Supplier selection'!B40)</f>
        <v/>
      </c>
      <c r="C40" s="19" t="str">
        <f>IF('Supplier selection'!C40="","",'Supplier selection'!C40)</f>
        <v/>
      </c>
      <c r="D40" s="19" t="str">
        <f>IF('Supplier selection'!D40="","",'Supplier selection'!D40)</f>
        <v/>
      </c>
      <c r="E40" s="19" t="str">
        <f>IF('Supplier selection'!E40="","",'Supplier selection'!E40)</f>
        <v/>
      </c>
      <c r="F40" s="19" t="str">
        <f>IF('Supplier selection'!F40="","",'Supplier selection'!F40)</f>
        <v/>
      </c>
      <c r="G40" s="19" t="str">
        <f>IF('Supplier selection'!G40="","",'Supplier selection'!G40)</f>
        <v/>
      </c>
      <c r="H40" s="19" t="str">
        <f>IF('Supplier selection'!H40="","",'Supplier selection'!H40)</f>
        <v/>
      </c>
      <c r="I40" s="19" t="str">
        <f>IF('Supplier selection'!I40="","",'Supplier selection'!I40)</f>
        <v/>
      </c>
      <c r="J40" s="19" t="str">
        <f>IF('Supplier selection'!J40="","",'Supplier selection'!J40)</f>
        <v/>
      </c>
      <c r="K40" s="19" t="str">
        <f>IF('Supplier selection'!K40="","",'Supplier selection'!K40)</f>
        <v/>
      </c>
      <c r="L40" s="19" t="str">
        <f>IF('Supplier selection'!L40="","",'Supplier selection'!L40)</f>
        <v/>
      </c>
      <c r="M40" s="19" t="str">
        <f>IF('Supplier selection'!M40="","",'Supplier selection'!M40)</f>
        <v/>
      </c>
      <c r="N40" s="19" t="str">
        <f>IF('Supplier selection'!N40="","",'Supplier selection'!N40)</f>
        <v/>
      </c>
      <c r="O40" s="19" t="str">
        <f>IF('Supplier selection'!O40="","",'Supplier selection'!O40)</f>
        <v/>
      </c>
      <c r="Q40" s="19" t="str">
        <f>HLOOKUP($Q$3,'Supplier selection'!$AW$4:'Supplier selection'!$CT$1000,$A41,FALSE)</f>
        <v/>
      </c>
      <c r="R40" s="22" t="str">
        <f t="shared" si="0"/>
        <v/>
      </c>
      <c r="S40" s="19" t="str">
        <f t="shared" si="1"/>
        <v/>
      </c>
      <c r="T40" s="22" t="str">
        <f t="shared" si="2"/>
        <v/>
      </c>
      <c r="U40" s="19" t="str">
        <f t="shared" si="3"/>
        <v/>
      </c>
      <c r="V40" s="7"/>
      <c r="Y40" s="19" t="str">
        <f>IF('Supplier selection'!AQ40="","",'Supplier selection'!AQ40)</f>
        <v/>
      </c>
      <c r="Z40" s="19" t="str">
        <f>IF('Supplier selection'!AR40="","",'Supplier selection'!AR40)</f>
        <v/>
      </c>
      <c r="AA40" s="19" t="str">
        <f t="shared" si="4"/>
        <v/>
      </c>
      <c r="AD40" s="26" t="str">
        <f>IF(AND('Supplier selection'!X40="",'Supplier selection'!AE40=""),"",IF('Supplier selection'!X40="",'Supplier selection'!AE40,'Supplier selection'!X40))</f>
        <v/>
      </c>
      <c r="AE40" s="19" t="str">
        <f t="shared" si="5"/>
        <v/>
      </c>
      <c r="AF40" s="19" t="str">
        <f t="shared" si="6"/>
        <v/>
      </c>
      <c r="AG40" s="27" t="str">
        <f>IF(AND('Supplier selection'!AB40="",'Supplier selection'!AI40=""),"",IF('Supplier selection'!AB40="",'Supplier selection'!AI40,'Supplier selection'!AB40))</f>
        <v/>
      </c>
      <c r="AH40" s="28" t="str">
        <f t="shared" si="7"/>
        <v/>
      </c>
      <c r="AI40" s="7" t="str">
        <f t="shared" si="8"/>
        <v/>
      </c>
      <c r="AJ40" s="22" t="str">
        <f t="shared" si="9"/>
        <v/>
      </c>
      <c r="AK40" s="29" t="str">
        <f t="shared" si="10"/>
        <v/>
      </c>
      <c r="AL40" s="10"/>
    </row>
    <row r="41" spans="1:38">
      <c r="A41" s="19">
        <f>IF('Supplier selection'!A41="","",'Supplier selection'!A41)</f>
        <v>37</v>
      </c>
      <c r="B41" s="19" t="str">
        <f>IF('Supplier selection'!B41="","",'Supplier selection'!B41)</f>
        <v/>
      </c>
      <c r="C41" s="19" t="str">
        <f>IF('Supplier selection'!C41="","",'Supplier selection'!C41)</f>
        <v/>
      </c>
      <c r="D41" s="19" t="str">
        <f>IF('Supplier selection'!D41="","",'Supplier selection'!D41)</f>
        <v/>
      </c>
      <c r="E41" s="19" t="str">
        <f>IF('Supplier selection'!E41="","",'Supplier selection'!E41)</f>
        <v/>
      </c>
      <c r="F41" s="19" t="str">
        <f>IF('Supplier selection'!F41="","",'Supplier selection'!F41)</f>
        <v/>
      </c>
      <c r="G41" s="19" t="str">
        <f>IF('Supplier selection'!G41="","",'Supplier selection'!G41)</f>
        <v/>
      </c>
      <c r="H41" s="19" t="str">
        <f>IF('Supplier selection'!H41="","",'Supplier selection'!H41)</f>
        <v/>
      </c>
      <c r="I41" s="19" t="str">
        <f>IF('Supplier selection'!I41="","",'Supplier selection'!I41)</f>
        <v/>
      </c>
      <c r="J41" s="19" t="str">
        <f>IF('Supplier selection'!J41="","",'Supplier selection'!J41)</f>
        <v/>
      </c>
      <c r="K41" s="19" t="str">
        <f>IF('Supplier selection'!K41="","",'Supplier selection'!K41)</f>
        <v/>
      </c>
      <c r="L41" s="19" t="str">
        <f>IF('Supplier selection'!L41="","",'Supplier selection'!L41)</f>
        <v/>
      </c>
      <c r="M41" s="19" t="str">
        <f>IF('Supplier selection'!M41="","",'Supplier selection'!M41)</f>
        <v/>
      </c>
      <c r="N41" s="19" t="str">
        <f>IF('Supplier selection'!N41="","",'Supplier selection'!N41)</f>
        <v/>
      </c>
      <c r="O41" s="19" t="str">
        <f>IF('Supplier selection'!O41="","",'Supplier selection'!O41)</f>
        <v/>
      </c>
      <c r="Q41" s="19" t="str">
        <f>HLOOKUP($Q$3,'Supplier selection'!$AW$4:'Supplier selection'!$CT$1000,$A42,FALSE)</f>
        <v/>
      </c>
      <c r="R41" s="22" t="str">
        <f t="shared" si="0"/>
        <v/>
      </c>
      <c r="S41" s="19" t="str">
        <f t="shared" si="1"/>
        <v/>
      </c>
      <c r="T41" s="22" t="str">
        <f t="shared" si="2"/>
        <v/>
      </c>
      <c r="U41" s="19" t="str">
        <f t="shared" si="3"/>
        <v/>
      </c>
      <c r="V41" s="7"/>
      <c r="Y41" s="19" t="str">
        <f>IF('Supplier selection'!AQ41="","",'Supplier selection'!AQ41)</f>
        <v/>
      </c>
      <c r="Z41" s="19" t="str">
        <f>IF('Supplier selection'!AR41="","",'Supplier selection'!AR41)</f>
        <v/>
      </c>
      <c r="AA41" s="19" t="str">
        <f t="shared" si="4"/>
        <v/>
      </c>
      <c r="AD41" s="26" t="str">
        <f>IF(AND('Supplier selection'!X41="",'Supplier selection'!AE41=""),"",IF('Supplier selection'!X41="",'Supplier selection'!AE41,'Supplier selection'!X41))</f>
        <v/>
      </c>
      <c r="AE41" s="19" t="str">
        <f t="shared" si="5"/>
        <v/>
      </c>
      <c r="AF41" s="19" t="str">
        <f t="shared" si="6"/>
        <v/>
      </c>
      <c r="AG41" s="27" t="str">
        <f>IF(AND('Supplier selection'!AB41="",'Supplier selection'!AI41=""),"",IF('Supplier selection'!AB41="",'Supplier selection'!AI41,'Supplier selection'!AB41))</f>
        <v/>
      </c>
      <c r="AH41" s="28" t="str">
        <f t="shared" si="7"/>
        <v/>
      </c>
      <c r="AI41" s="7" t="str">
        <f t="shared" si="8"/>
        <v/>
      </c>
      <c r="AJ41" s="22" t="str">
        <f t="shared" si="9"/>
        <v/>
      </c>
      <c r="AK41" s="29" t="str">
        <f t="shared" si="10"/>
        <v/>
      </c>
      <c r="AL41" s="10"/>
    </row>
    <row r="42" spans="1:38">
      <c r="A42" s="19">
        <f>IF('Supplier selection'!A42="","",'Supplier selection'!A42)</f>
        <v>38</v>
      </c>
      <c r="B42" s="19" t="str">
        <f>IF('Supplier selection'!B42="","",'Supplier selection'!B42)</f>
        <v/>
      </c>
      <c r="C42" s="19" t="str">
        <f>IF('Supplier selection'!C42="","",'Supplier selection'!C42)</f>
        <v/>
      </c>
      <c r="D42" s="19" t="str">
        <f>IF('Supplier selection'!D42="","",'Supplier selection'!D42)</f>
        <v/>
      </c>
      <c r="E42" s="19" t="str">
        <f>IF('Supplier selection'!E42="","",'Supplier selection'!E42)</f>
        <v/>
      </c>
      <c r="F42" s="19" t="str">
        <f>IF('Supplier selection'!F42="","",'Supplier selection'!F42)</f>
        <v/>
      </c>
      <c r="G42" s="19" t="str">
        <f>IF('Supplier selection'!G42="","",'Supplier selection'!G42)</f>
        <v/>
      </c>
      <c r="H42" s="19" t="str">
        <f>IF('Supplier selection'!H42="","",'Supplier selection'!H42)</f>
        <v/>
      </c>
      <c r="I42" s="19" t="str">
        <f>IF('Supplier selection'!I42="","",'Supplier selection'!I42)</f>
        <v/>
      </c>
      <c r="J42" s="19" t="str">
        <f>IF('Supplier selection'!J42="","",'Supplier selection'!J42)</f>
        <v/>
      </c>
      <c r="K42" s="19" t="str">
        <f>IF('Supplier selection'!K42="","",'Supplier selection'!K42)</f>
        <v/>
      </c>
      <c r="L42" s="19" t="str">
        <f>IF('Supplier selection'!L42="","",'Supplier selection'!L42)</f>
        <v/>
      </c>
      <c r="M42" s="19" t="str">
        <f>IF('Supplier selection'!M42="","",'Supplier selection'!M42)</f>
        <v/>
      </c>
      <c r="N42" s="19" t="str">
        <f>IF('Supplier selection'!N42="","",'Supplier selection'!N42)</f>
        <v/>
      </c>
      <c r="O42" s="19" t="str">
        <f>IF('Supplier selection'!O42="","",'Supplier selection'!O42)</f>
        <v/>
      </c>
      <c r="Q42" s="19" t="str">
        <f>HLOOKUP($Q$3,'Supplier selection'!$AW$4:'Supplier selection'!$CT$1000,$A43,FALSE)</f>
        <v/>
      </c>
      <c r="R42" s="22" t="str">
        <f t="shared" si="0"/>
        <v/>
      </c>
      <c r="S42" s="19" t="str">
        <f t="shared" si="1"/>
        <v/>
      </c>
      <c r="T42" s="22" t="str">
        <f t="shared" si="2"/>
        <v/>
      </c>
      <c r="U42" s="19" t="str">
        <f t="shared" si="3"/>
        <v/>
      </c>
      <c r="V42" s="7"/>
      <c r="Y42" s="19" t="str">
        <f>IF('Supplier selection'!AQ42="","",'Supplier selection'!AQ42)</f>
        <v/>
      </c>
      <c r="Z42" s="19" t="str">
        <f>IF('Supplier selection'!AR42="","",'Supplier selection'!AR42)</f>
        <v/>
      </c>
      <c r="AA42" s="19" t="str">
        <f t="shared" si="4"/>
        <v/>
      </c>
      <c r="AD42" s="26" t="str">
        <f>IF(AND('Supplier selection'!X42="",'Supplier selection'!AE42=""),"",IF('Supplier selection'!X42="",'Supplier selection'!AE42,'Supplier selection'!X42))</f>
        <v/>
      </c>
      <c r="AE42" s="19" t="str">
        <f t="shared" si="5"/>
        <v/>
      </c>
      <c r="AF42" s="19" t="str">
        <f t="shared" si="6"/>
        <v/>
      </c>
      <c r="AG42" s="27" t="str">
        <f>IF(AND('Supplier selection'!AB42="",'Supplier selection'!AI42=""),"",IF('Supplier selection'!AB42="",'Supplier selection'!AI42,'Supplier selection'!AB42))</f>
        <v/>
      </c>
      <c r="AH42" s="28" t="str">
        <f t="shared" si="7"/>
        <v/>
      </c>
      <c r="AI42" s="7" t="str">
        <f t="shared" si="8"/>
        <v/>
      </c>
      <c r="AJ42" s="22" t="str">
        <f t="shared" si="9"/>
        <v/>
      </c>
      <c r="AK42" s="29" t="str">
        <f t="shared" si="10"/>
        <v/>
      </c>
      <c r="AL42" s="10"/>
    </row>
    <row r="43" spans="1:38">
      <c r="A43" s="19">
        <f>IF('Supplier selection'!A43="","",'Supplier selection'!A43)</f>
        <v>39</v>
      </c>
      <c r="B43" s="19" t="str">
        <f>IF('Supplier selection'!B43="","",'Supplier selection'!B43)</f>
        <v/>
      </c>
      <c r="C43" s="19" t="str">
        <f>IF('Supplier selection'!C43="","",'Supplier selection'!C43)</f>
        <v/>
      </c>
      <c r="D43" s="19" t="str">
        <f>IF('Supplier selection'!D43="","",'Supplier selection'!D43)</f>
        <v/>
      </c>
      <c r="E43" s="19" t="str">
        <f>IF('Supplier selection'!E43="","",'Supplier selection'!E43)</f>
        <v/>
      </c>
      <c r="F43" s="19" t="str">
        <f>IF('Supplier selection'!F43="","",'Supplier selection'!F43)</f>
        <v/>
      </c>
      <c r="G43" s="19" t="str">
        <f>IF('Supplier selection'!G43="","",'Supplier selection'!G43)</f>
        <v/>
      </c>
      <c r="H43" s="19" t="str">
        <f>IF('Supplier selection'!H43="","",'Supplier selection'!H43)</f>
        <v/>
      </c>
      <c r="I43" s="19" t="str">
        <f>IF('Supplier selection'!I43="","",'Supplier selection'!I43)</f>
        <v/>
      </c>
      <c r="J43" s="19" t="str">
        <f>IF('Supplier selection'!J43="","",'Supplier selection'!J43)</f>
        <v/>
      </c>
      <c r="K43" s="19" t="str">
        <f>IF('Supplier selection'!K43="","",'Supplier selection'!K43)</f>
        <v/>
      </c>
      <c r="L43" s="19" t="str">
        <f>IF('Supplier selection'!L43="","",'Supplier selection'!L43)</f>
        <v/>
      </c>
      <c r="M43" s="19" t="str">
        <f>IF('Supplier selection'!M43="","",'Supplier selection'!M43)</f>
        <v/>
      </c>
      <c r="N43" s="19" t="str">
        <f>IF('Supplier selection'!N43="","",'Supplier selection'!N43)</f>
        <v/>
      </c>
      <c r="O43" s="19" t="str">
        <f>IF('Supplier selection'!O43="","",'Supplier selection'!O43)</f>
        <v/>
      </c>
      <c r="Q43" s="19" t="str">
        <f>HLOOKUP($Q$3,'Supplier selection'!$AW$4:'Supplier selection'!$CT$1000,$A44,FALSE)</f>
        <v/>
      </c>
      <c r="R43" s="22" t="str">
        <f t="shared" si="0"/>
        <v/>
      </c>
      <c r="S43" s="19" t="str">
        <f t="shared" si="1"/>
        <v/>
      </c>
      <c r="T43" s="22" t="str">
        <f t="shared" si="2"/>
        <v/>
      </c>
      <c r="U43" s="19" t="str">
        <f t="shared" si="3"/>
        <v/>
      </c>
      <c r="V43" s="7"/>
      <c r="Y43" s="19" t="str">
        <f>IF('Supplier selection'!AQ43="","",'Supplier selection'!AQ43)</f>
        <v/>
      </c>
      <c r="Z43" s="19" t="str">
        <f>IF('Supplier selection'!AR43="","",'Supplier selection'!AR43)</f>
        <v/>
      </c>
      <c r="AA43" s="19" t="str">
        <f t="shared" si="4"/>
        <v/>
      </c>
      <c r="AD43" s="26" t="str">
        <f>IF(AND('Supplier selection'!X43="",'Supplier selection'!AE43=""),"",IF('Supplier selection'!X43="",'Supplier selection'!AE43,'Supplier selection'!X43))</f>
        <v/>
      </c>
      <c r="AE43" s="19" t="str">
        <f t="shared" si="5"/>
        <v/>
      </c>
      <c r="AF43" s="19" t="str">
        <f t="shared" si="6"/>
        <v/>
      </c>
      <c r="AG43" s="27" t="str">
        <f>IF(AND('Supplier selection'!AB43="",'Supplier selection'!AI43=""),"",IF('Supplier selection'!AB43="",'Supplier selection'!AI43,'Supplier selection'!AB43))</f>
        <v/>
      </c>
      <c r="AH43" s="28" t="str">
        <f t="shared" si="7"/>
        <v/>
      </c>
      <c r="AI43" s="7" t="str">
        <f t="shared" si="8"/>
        <v/>
      </c>
      <c r="AJ43" s="22" t="str">
        <f t="shared" si="9"/>
        <v/>
      </c>
      <c r="AK43" s="29" t="str">
        <f t="shared" si="10"/>
        <v/>
      </c>
      <c r="AL43" s="10"/>
    </row>
    <row r="44" spans="1:38">
      <c r="A44" s="19">
        <f>IF('Supplier selection'!A44="","",'Supplier selection'!A44)</f>
        <v>40</v>
      </c>
      <c r="B44" s="19" t="str">
        <f>IF('Supplier selection'!B44="","",'Supplier selection'!B44)</f>
        <v/>
      </c>
      <c r="C44" s="19" t="str">
        <f>IF('Supplier selection'!C44="","",'Supplier selection'!C44)</f>
        <v/>
      </c>
      <c r="D44" s="19" t="str">
        <f>IF('Supplier selection'!D44="","",'Supplier selection'!D44)</f>
        <v/>
      </c>
      <c r="E44" s="19" t="str">
        <f>IF('Supplier selection'!E44="","",'Supplier selection'!E44)</f>
        <v/>
      </c>
      <c r="F44" s="19" t="str">
        <f>IF('Supplier selection'!F44="","",'Supplier selection'!F44)</f>
        <v/>
      </c>
      <c r="G44" s="19" t="str">
        <f>IF('Supplier selection'!G44="","",'Supplier selection'!G44)</f>
        <v/>
      </c>
      <c r="H44" s="19" t="str">
        <f>IF('Supplier selection'!H44="","",'Supplier selection'!H44)</f>
        <v/>
      </c>
      <c r="I44" s="19" t="str">
        <f>IF('Supplier selection'!I44="","",'Supplier selection'!I44)</f>
        <v/>
      </c>
      <c r="J44" s="19" t="str">
        <f>IF('Supplier selection'!J44="","",'Supplier selection'!J44)</f>
        <v/>
      </c>
      <c r="K44" s="19" t="str">
        <f>IF('Supplier selection'!K44="","",'Supplier selection'!K44)</f>
        <v/>
      </c>
      <c r="L44" s="19" t="str">
        <f>IF('Supplier selection'!L44="","",'Supplier selection'!L44)</f>
        <v/>
      </c>
      <c r="M44" s="19" t="str">
        <f>IF('Supplier selection'!M44="","",'Supplier selection'!M44)</f>
        <v/>
      </c>
      <c r="N44" s="19" t="str">
        <f>IF('Supplier selection'!N44="","",'Supplier selection'!N44)</f>
        <v/>
      </c>
      <c r="O44" s="19" t="str">
        <f>IF('Supplier selection'!O44="","",'Supplier selection'!O44)</f>
        <v/>
      </c>
      <c r="Q44" s="19" t="str">
        <f>HLOOKUP($Q$3,'Supplier selection'!$AW$4:'Supplier selection'!$CT$1000,$A45,FALSE)</f>
        <v/>
      </c>
      <c r="R44" s="22" t="str">
        <f t="shared" si="0"/>
        <v/>
      </c>
      <c r="S44" s="19" t="str">
        <f t="shared" si="1"/>
        <v/>
      </c>
      <c r="T44" s="22" t="str">
        <f t="shared" si="2"/>
        <v/>
      </c>
      <c r="U44" s="19" t="str">
        <f t="shared" si="3"/>
        <v/>
      </c>
      <c r="V44" s="7"/>
      <c r="Y44" s="19" t="str">
        <f>IF('Supplier selection'!AQ44="","",'Supplier selection'!AQ44)</f>
        <v/>
      </c>
      <c r="Z44" s="19" t="str">
        <f>IF('Supplier selection'!AR44="","",'Supplier selection'!AR44)</f>
        <v/>
      </c>
      <c r="AA44" s="19" t="str">
        <f t="shared" si="4"/>
        <v/>
      </c>
      <c r="AD44" s="26" t="str">
        <f>IF(AND('Supplier selection'!X44="",'Supplier selection'!AE44=""),"",IF('Supplier selection'!X44="",'Supplier selection'!AE44,'Supplier selection'!X44))</f>
        <v/>
      </c>
      <c r="AE44" s="19" t="str">
        <f t="shared" si="5"/>
        <v/>
      </c>
      <c r="AF44" s="19" t="str">
        <f t="shared" si="6"/>
        <v/>
      </c>
      <c r="AG44" s="27" t="str">
        <f>IF(AND('Supplier selection'!AB44="",'Supplier selection'!AI44=""),"",IF('Supplier selection'!AB44="",'Supplier selection'!AI44,'Supplier selection'!AB44))</f>
        <v/>
      </c>
      <c r="AH44" s="28" t="str">
        <f t="shared" si="7"/>
        <v/>
      </c>
      <c r="AI44" s="7" t="str">
        <f t="shared" si="8"/>
        <v/>
      </c>
      <c r="AJ44" s="22" t="str">
        <f t="shared" si="9"/>
        <v/>
      </c>
      <c r="AK44" s="29" t="str">
        <f t="shared" si="10"/>
        <v/>
      </c>
      <c r="AL44" s="10"/>
    </row>
    <row r="45" spans="1:38">
      <c r="A45" s="19">
        <f>IF('Supplier selection'!A45="","",'Supplier selection'!A45)</f>
        <v>41</v>
      </c>
      <c r="B45" s="19" t="str">
        <f>IF('Supplier selection'!B45="","",'Supplier selection'!B45)</f>
        <v/>
      </c>
      <c r="C45" s="19" t="str">
        <f>IF('Supplier selection'!C45="","",'Supplier selection'!C45)</f>
        <v/>
      </c>
      <c r="D45" s="19" t="str">
        <f>IF('Supplier selection'!D45="","",'Supplier selection'!D45)</f>
        <v/>
      </c>
      <c r="E45" s="19" t="str">
        <f>IF('Supplier selection'!E45="","",'Supplier selection'!E45)</f>
        <v/>
      </c>
      <c r="F45" s="19" t="str">
        <f>IF('Supplier selection'!F45="","",'Supplier selection'!F45)</f>
        <v/>
      </c>
      <c r="G45" s="19" t="str">
        <f>IF('Supplier selection'!G45="","",'Supplier selection'!G45)</f>
        <v/>
      </c>
      <c r="H45" s="19" t="str">
        <f>IF('Supplier selection'!H45="","",'Supplier selection'!H45)</f>
        <v/>
      </c>
      <c r="I45" s="19" t="str">
        <f>IF('Supplier selection'!I45="","",'Supplier selection'!I45)</f>
        <v/>
      </c>
      <c r="J45" s="19" t="str">
        <f>IF('Supplier selection'!J45="","",'Supplier selection'!J45)</f>
        <v/>
      </c>
      <c r="K45" s="19" t="str">
        <f>IF('Supplier selection'!K45="","",'Supplier selection'!K45)</f>
        <v/>
      </c>
      <c r="L45" s="19" t="str">
        <f>IF('Supplier selection'!L45="","",'Supplier selection'!L45)</f>
        <v/>
      </c>
      <c r="M45" s="19" t="str">
        <f>IF('Supplier selection'!M45="","",'Supplier selection'!M45)</f>
        <v/>
      </c>
      <c r="N45" s="19" t="str">
        <f>IF('Supplier selection'!N45="","",'Supplier selection'!N45)</f>
        <v/>
      </c>
      <c r="O45" s="19" t="str">
        <f>IF('Supplier selection'!O45="","",'Supplier selection'!O45)</f>
        <v/>
      </c>
      <c r="Q45" s="19" t="str">
        <f>HLOOKUP($Q$3,'Supplier selection'!$AW$4:'Supplier selection'!$CT$1000,$A46,FALSE)</f>
        <v/>
      </c>
      <c r="R45" s="22" t="str">
        <f t="shared" si="0"/>
        <v/>
      </c>
      <c r="S45" s="19" t="str">
        <f t="shared" si="1"/>
        <v/>
      </c>
      <c r="T45" s="22" t="str">
        <f t="shared" si="2"/>
        <v/>
      </c>
      <c r="U45" s="19" t="str">
        <f t="shared" si="3"/>
        <v/>
      </c>
      <c r="V45" s="7"/>
      <c r="Y45" s="19" t="str">
        <f>IF('Supplier selection'!AQ45="","",'Supplier selection'!AQ45)</f>
        <v/>
      </c>
      <c r="Z45" s="19" t="str">
        <f>IF('Supplier selection'!AR45="","",'Supplier selection'!AR45)</f>
        <v/>
      </c>
      <c r="AA45" s="19" t="str">
        <f t="shared" si="4"/>
        <v/>
      </c>
      <c r="AD45" s="26" t="str">
        <f>IF(AND('Supplier selection'!X45="",'Supplier selection'!AE45=""),"",IF('Supplier selection'!X45="",'Supplier selection'!AE45,'Supplier selection'!X45))</f>
        <v/>
      </c>
      <c r="AE45" s="19" t="str">
        <f t="shared" si="5"/>
        <v/>
      </c>
      <c r="AF45" s="19" t="str">
        <f t="shared" si="6"/>
        <v/>
      </c>
      <c r="AG45" s="27" t="str">
        <f>IF(AND('Supplier selection'!AB45="",'Supplier selection'!AI45=""),"",IF('Supplier selection'!AB45="",'Supplier selection'!AI45,'Supplier selection'!AB45))</f>
        <v/>
      </c>
      <c r="AH45" s="28" t="str">
        <f t="shared" si="7"/>
        <v/>
      </c>
      <c r="AI45" s="7" t="str">
        <f t="shared" si="8"/>
        <v/>
      </c>
      <c r="AJ45" s="22" t="str">
        <f t="shared" si="9"/>
        <v/>
      </c>
      <c r="AK45" s="29" t="str">
        <f t="shared" si="10"/>
        <v/>
      </c>
      <c r="AL45" s="10"/>
    </row>
    <row r="46" spans="1:38">
      <c r="A46" s="19">
        <f>IF('Supplier selection'!A46="","",'Supplier selection'!A46)</f>
        <v>42</v>
      </c>
      <c r="B46" s="19" t="str">
        <f>IF('Supplier selection'!B46="","",'Supplier selection'!B46)</f>
        <v/>
      </c>
      <c r="C46" s="19" t="str">
        <f>IF('Supplier selection'!C46="","",'Supplier selection'!C46)</f>
        <v/>
      </c>
      <c r="D46" s="19" t="str">
        <f>IF('Supplier selection'!D46="","",'Supplier selection'!D46)</f>
        <v/>
      </c>
      <c r="E46" s="19" t="str">
        <f>IF('Supplier selection'!E46="","",'Supplier selection'!E46)</f>
        <v/>
      </c>
      <c r="F46" s="19" t="str">
        <f>IF('Supplier selection'!F46="","",'Supplier selection'!F46)</f>
        <v/>
      </c>
      <c r="G46" s="19" t="str">
        <f>IF('Supplier selection'!G46="","",'Supplier selection'!G46)</f>
        <v/>
      </c>
      <c r="H46" s="19" t="str">
        <f>IF('Supplier selection'!H46="","",'Supplier selection'!H46)</f>
        <v/>
      </c>
      <c r="I46" s="19" t="str">
        <f>IF('Supplier selection'!I46="","",'Supplier selection'!I46)</f>
        <v/>
      </c>
      <c r="J46" s="19" t="str">
        <f>IF('Supplier selection'!J46="","",'Supplier selection'!J46)</f>
        <v/>
      </c>
      <c r="K46" s="19" t="str">
        <f>IF('Supplier selection'!K46="","",'Supplier selection'!K46)</f>
        <v/>
      </c>
      <c r="L46" s="19" t="str">
        <f>IF('Supplier selection'!L46="","",'Supplier selection'!L46)</f>
        <v/>
      </c>
      <c r="M46" s="19" t="str">
        <f>IF('Supplier selection'!M46="","",'Supplier selection'!M46)</f>
        <v/>
      </c>
      <c r="N46" s="19" t="str">
        <f>IF('Supplier selection'!N46="","",'Supplier selection'!N46)</f>
        <v/>
      </c>
      <c r="O46" s="19" t="str">
        <f>IF('Supplier selection'!O46="","",'Supplier selection'!O46)</f>
        <v/>
      </c>
      <c r="Q46" s="19" t="str">
        <f>HLOOKUP($Q$3,'Supplier selection'!$AW$4:'Supplier selection'!$CT$1000,$A47,FALSE)</f>
        <v/>
      </c>
      <c r="R46" s="22" t="str">
        <f t="shared" si="0"/>
        <v/>
      </c>
      <c r="S46" s="19" t="str">
        <f t="shared" si="1"/>
        <v/>
      </c>
      <c r="T46" s="22" t="str">
        <f t="shared" si="2"/>
        <v/>
      </c>
      <c r="U46" s="19" t="str">
        <f t="shared" si="3"/>
        <v/>
      </c>
      <c r="V46" s="7"/>
      <c r="Y46" s="19" t="str">
        <f>IF('Supplier selection'!AQ46="","",'Supplier selection'!AQ46)</f>
        <v/>
      </c>
      <c r="Z46" s="19" t="str">
        <f>IF('Supplier selection'!AR46="","",'Supplier selection'!AR46)</f>
        <v/>
      </c>
      <c r="AA46" s="19" t="str">
        <f t="shared" si="4"/>
        <v/>
      </c>
      <c r="AD46" s="26" t="str">
        <f>IF(AND('Supplier selection'!X46="",'Supplier selection'!AE46=""),"",IF('Supplier selection'!X46="",'Supplier selection'!AE46,'Supplier selection'!X46))</f>
        <v/>
      </c>
      <c r="AE46" s="19" t="str">
        <f t="shared" si="5"/>
        <v/>
      </c>
      <c r="AF46" s="19" t="str">
        <f t="shared" si="6"/>
        <v/>
      </c>
      <c r="AG46" s="27" t="str">
        <f>IF(AND('Supplier selection'!AB46="",'Supplier selection'!AI46=""),"",IF('Supplier selection'!AB46="",'Supplier selection'!AI46,'Supplier selection'!AB46))</f>
        <v/>
      </c>
      <c r="AH46" s="28" t="str">
        <f t="shared" si="7"/>
        <v/>
      </c>
      <c r="AI46" s="7" t="str">
        <f t="shared" si="8"/>
        <v/>
      </c>
      <c r="AJ46" s="22" t="str">
        <f t="shared" si="9"/>
        <v/>
      </c>
      <c r="AK46" s="29" t="str">
        <f t="shared" si="10"/>
        <v/>
      </c>
      <c r="AL46" s="10"/>
    </row>
    <row r="47" spans="1:38">
      <c r="A47" s="19">
        <f>IF('Supplier selection'!A47="","",'Supplier selection'!A47)</f>
        <v>43</v>
      </c>
      <c r="B47" s="19" t="str">
        <f>IF('Supplier selection'!B47="","",'Supplier selection'!B47)</f>
        <v/>
      </c>
      <c r="C47" s="19" t="str">
        <f>IF('Supplier selection'!C47="","",'Supplier selection'!C47)</f>
        <v/>
      </c>
      <c r="D47" s="19" t="str">
        <f>IF('Supplier selection'!D47="","",'Supplier selection'!D47)</f>
        <v/>
      </c>
      <c r="E47" s="19" t="str">
        <f>IF('Supplier selection'!E47="","",'Supplier selection'!E47)</f>
        <v/>
      </c>
      <c r="F47" s="19" t="str">
        <f>IF('Supplier selection'!F47="","",'Supplier selection'!F47)</f>
        <v/>
      </c>
      <c r="G47" s="19" t="str">
        <f>IF('Supplier selection'!G47="","",'Supplier selection'!G47)</f>
        <v/>
      </c>
      <c r="H47" s="19" t="str">
        <f>IF('Supplier selection'!H47="","",'Supplier selection'!H47)</f>
        <v/>
      </c>
      <c r="I47" s="19" t="str">
        <f>IF('Supplier selection'!I47="","",'Supplier selection'!I47)</f>
        <v/>
      </c>
      <c r="J47" s="19" t="str">
        <f>IF('Supplier selection'!J47="","",'Supplier selection'!J47)</f>
        <v/>
      </c>
      <c r="K47" s="19" t="str">
        <f>IF('Supplier selection'!K47="","",'Supplier selection'!K47)</f>
        <v/>
      </c>
      <c r="L47" s="19" t="str">
        <f>IF('Supplier selection'!L47="","",'Supplier selection'!L47)</f>
        <v/>
      </c>
      <c r="M47" s="19" t="str">
        <f>IF('Supplier selection'!M47="","",'Supplier selection'!M47)</f>
        <v/>
      </c>
      <c r="N47" s="19" t="str">
        <f>IF('Supplier selection'!N47="","",'Supplier selection'!N47)</f>
        <v/>
      </c>
      <c r="O47" s="19" t="str">
        <f>IF('Supplier selection'!O47="","",'Supplier selection'!O47)</f>
        <v/>
      </c>
      <c r="Q47" s="19" t="str">
        <f>HLOOKUP($Q$3,'Supplier selection'!$AW$4:'Supplier selection'!$CT$1000,$A48,FALSE)</f>
        <v/>
      </c>
      <c r="R47" s="22" t="str">
        <f t="shared" si="0"/>
        <v/>
      </c>
      <c r="S47" s="19" t="str">
        <f t="shared" si="1"/>
        <v/>
      </c>
      <c r="T47" s="22" t="str">
        <f t="shared" si="2"/>
        <v/>
      </c>
      <c r="U47" s="19" t="str">
        <f t="shared" si="3"/>
        <v/>
      </c>
      <c r="V47" s="7"/>
      <c r="Y47" s="19" t="str">
        <f>IF('Supplier selection'!AQ47="","",'Supplier selection'!AQ47)</f>
        <v/>
      </c>
      <c r="Z47" s="19" t="str">
        <f>IF('Supplier selection'!AR47="","",'Supplier selection'!AR47)</f>
        <v/>
      </c>
      <c r="AA47" s="19" t="str">
        <f t="shared" si="4"/>
        <v/>
      </c>
      <c r="AD47" s="26" t="str">
        <f>IF(AND('Supplier selection'!X47="",'Supplier selection'!AE47=""),"",IF('Supplier selection'!X47="",'Supplier selection'!AE47,'Supplier selection'!X47))</f>
        <v/>
      </c>
      <c r="AE47" s="19" t="str">
        <f t="shared" si="5"/>
        <v/>
      </c>
      <c r="AF47" s="19" t="str">
        <f t="shared" si="6"/>
        <v/>
      </c>
      <c r="AG47" s="27" t="str">
        <f>IF(AND('Supplier selection'!AB47="",'Supplier selection'!AI47=""),"",IF('Supplier selection'!AB47="",'Supplier selection'!AI47,'Supplier selection'!AB47))</f>
        <v/>
      </c>
      <c r="AH47" s="28" t="str">
        <f t="shared" si="7"/>
        <v/>
      </c>
      <c r="AI47" s="7" t="str">
        <f t="shared" si="8"/>
        <v/>
      </c>
      <c r="AJ47" s="22" t="str">
        <f t="shared" si="9"/>
        <v/>
      </c>
      <c r="AK47" s="29" t="str">
        <f t="shared" si="10"/>
        <v/>
      </c>
      <c r="AL47" s="10"/>
    </row>
    <row r="48" spans="1:38">
      <c r="A48" s="19">
        <f>IF('Supplier selection'!A48="","",'Supplier selection'!A48)</f>
        <v>44</v>
      </c>
      <c r="B48" s="19" t="str">
        <f>IF('Supplier selection'!B48="","",'Supplier selection'!B48)</f>
        <v/>
      </c>
      <c r="C48" s="19" t="str">
        <f>IF('Supplier selection'!C48="","",'Supplier selection'!C48)</f>
        <v/>
      </c>
      <c r="D48" s="19" t="str">
        <f>IF('Supplier selection'!D48="","",'Supplier selection'!D48)</f>
        <v/>
      </c>
      <c r="E48" s="19" t="str">
        <f>IF('Supplier selection'!E48="","",'Supplier selection'!E48)</f>
        <v/>
      </c>
      <c r="F48" s="19" t="str">
        <f>IF('Supplier selection'!F48="","",'Supplier selection'!F48)</f>
        <v/>
      </c>
      <c r="G48" s="19" t="str">
        <f>IF('Supplier selection'!G48="","",'Supplier selection'!G48)</f>
        <v/>
      </c>
      <c r="H48" s="19" t="str">
        <f>IF('Supplier selection'!H48="","",'Supplier selection'!H48)</f>
        <v/>
      </c>
      <c r="I48" s="19" t="str">
        <f>IF('Supplier selection'!I48="","",'Supplier selection'!I48)</f>
        <v/>
      </c>
      <c r="J48" s="19" t="str">
        <f>IF('Supplier selection'!J48="","",'Supplier selection'!J48)</f>
        <v/>
      </c>
      <c r="K48" s="19" t="str">
        <f>IF('Supplier selection'!K48="","",'Supplier selection'!K48)</f>
        <v/>
      </c>
      <c r="L48" s="19" t="str">
        <f>IF('Supplier selection'!L48="","",'Supplier selection'!L48)</f>
        <v/>
      </c>
      <c r="M48" s="19" t="str">
        <f>IF('Supplier selection'!M48="","",'Supplier selection'!M48)</f>
        <v/>
      </c>
      <c r="N48" s="19" t="str">
        <f>IF('Supplier selection'!N48="","",'Supplier selection'!N48)</f>
        <v/>
      </c>
      <c r="O48" s="19" t="str">
        <f>IF('Supplier selection'!O48="","",'Supplier selection'!O48)</f>
        <v/>
      </c>
      <c r="Q48" s="19" t="str">
        <f>HLOOKUP($Q$3,'Supplier selection'!$AW$4:'Supplier selection'!$CT$1000,$A49,FALSE)</f>
        <v/>
      </c>
      <c r="R48" s="22" t="str">
        <f t="shared" si="0"/>
        <v/>
      </c>
      <c r="S48" s="19" t="str">
        <f t="shared" si="1"/>
        <v/>
      </c>
      <c r="T48" s="22" t="str">
        <f t="shared" si="2"/>
        <v/>
      </c>
      <c r="U48" s="19" t="str">
        <f t="shared" si="3"/>
        <v/>
      </c>
      <c r="V48" s="7"/>
      <c r="Y48" s="19" t="str">
        <f>IF('Supplier selection'!AQ48="","",'Supplier selection'!AQ48)</f>
        <v/>
      </c>
      <c r="Z48" s="19" t="str">
        <f>IF('Supplier selection'!AR48="","",'Supplier selection'!AR48)</f>
        <v/>
      </c>
      <c r="AA48" s="19" t="str">
        <f t="shared" si="4"/>
        <v/>
      </c>
      <c r="AD48" s="26" t="str">
        <f>IF(AND('Supplier selection'!X48="",'Supplier selection'!AE48=""),"",IF('Supplier selection'!X48="",'Supplier selection'!AE48,'Supplier selection'!X48))</f>
        <v/>
      </c>
      <c r="AE48" s="19" t="str">
        <f t="shared" si="5"/>
        <v/>
      </c>
      <c r="AF48" s="19" t="str">
        <f t="shared" si="6"/>
        <v/>
      </c>
      <c r="AG48" s="27" t="str">
        <f>IF(AND('Supplier selection'!AB48="",'Supplier selection'!AI48=""),"",IF('Supplier selection'!AB48="",'Supplier selection'!AI48,'Supplier selection'!AB48))</f>
        <v/>
      </c>
      <c r="AH48" s="28" t="str">
        <f t="shared" si="7"/>
        <v/>
      </c>
      <c r="AI48" s="7" t="str">
        <f t="shared" si="8"/>
        <v/>
      </c>
      <c r="AJ48" s="22" t="str">
        <f t="shared" si="9"/>
        <v/>
      </c>
      <c r="AK48" s="29" t="str">
        <f t="shared" si="10"/>
        <v/>
      </c>
      <c r="AL48" s="10"/>
    </row>
    <row r="49" spans="1:38">
      <c r="A49" s="19">
        <f>IF('Supplier selection'!A49="","",'Supplier selection'!A49)</f>
        <v>45</v>
      </c>
      <c r="B49" s="19" t="str">
        <f>IF('Supplier selection'!B49="","",'Supplier selection'!B49)</f>
        <v/>
      </c>
      <c r="C49" s="19" t="str">
        <f>IF('Supplier selection'!C49="","",'Supplier selection'!C49)</f>
        <v/>
      </c>
      <c r="D49" s="19" t="str">
        <f>IF('Supplier selection'!D49="","",'Supplier selection'!D49)</f>
        <v/>
      </c>
      <c r="E49" s="19" t="str">
        <f>IF('Supplier selection'!E49="","",'Supplier selection'!E49)</f>
        <v/>
      </c>
      <c r="F49" s="19" t="str">
        <f>IF('Supplier selection'!F49="","",'Supplier selection'!F49)</f>
        <v/>
      </c>
      <c r="G49" s="19" t="str">
        <f>IF('Supplier selection'!G49="","",'Supplier selection'!G49)</f>
        <v/>
      </c>
      <c r="H49" s="19" t="str">
        <f>IF('Supplier selection'!H49="","",'Supplier selection'!H49)</f>
        <v/>
      </c>
      <c r="I49" s="19" t="str">
        <f>IF('Supplier selection'!I49="","",'Supplier selection'!I49)</f>
        <v/>
      </c>
      <c r="J49" s="19" t="str">
        <f>IF('Supplier selection'!J49="","",'Supplier selection'!J49)</f>
        <v/>
      </c>
      <c r="K49" s="19" t="str">
        <f>IF('Supplier selection'!K49="","",'Supplier selection'!K49)</f>
        <v/>
      </c>
      <c r="L49" s="19" t="str">
        <f>IF('Supplier selection'!L49="","",'Supplier selection'!L49)</f>
        <v/>
      </c>
      <c r="M49" s="19" t="str">
        <f>IF('Supplier selection'!M49="","",'Supplier selection'!M49)</f>
        <v/>
      </c>
      <c r="N49" s="19" t="str">
        <f>IF('Supplier selection'!N49="","",'Supplier selection'!N49)</f>
        <v/>
      </c>
      <c r="O49" s="19" t="str">
        <f>IF('Supplier selection'!O49="","",'Supplier selection'!O49)</f>
        <v/>
      </c>
      <c r="Q49" s="19" t="str">
        <f>HLOOKUP($Q$3,'Supplier selection'!$AW$4:'Supplier selection'!$CT$1000,$A50,FALSE)</f>
        <v/>
      </c>
      <c r="R49" s="22" t="str">
        <f t="shared" si="0"/>
        <v/>
      </c>
      <c r="S49" s="19" t="str">
        <f t="shared" si="1"/>
        <v/>
      </c>
      <c r="T49" s="22" t="str">
        <f t="shared" si="2"/>
        <v/>
      </c>
      <c r="U49" s="19" t="str">
        <f t="shared" si="3"/>
        <v/>
      </c>
      <c r="V49" s="7"/>
      <c r="Y49" s="19" t="str">
        <f>IF('Supplier selection'!AQ49="","",'Supplier selection'!AQ49)</f>
        <v/>
      </c>
      <c r="Z49" s="19" t="str">
        <f>IF('Supplier selection'!AR49="","",'Supplier selection'!AR49)</f>
        <v/>
      </c>
      <c r="AA49" s="19" t="str">
        <f t="shared" si="4"/>
        <v/>
      </c>
      <c r="AD49" s="26" t="str">
        <f>IF(AND('Supplier selection'!X49="",'Supplier selection'!AE49=""),"",IF('Supplier selection'!X49="",'Supplier selection'!AE49,'Supplier selection'!X49))</f>
        <v/>
      </c>
      <c r="AE49" s="19" t="str">
        <f t="shared" si="5"/>
        <v/>
      </c>
      <c r="AF49" s="19" t="str">
        <f t="shared" si="6"/>
        <v/>
      </c>
      <c r="AG49" s="27" t="str">
        <f>IF(AND('Supplier selection'!AB49="",'Supplier selection'!AI49=""),"",IF('Supplier selection'!AB49="",'Supplier selection'!AI49,'Supplier selection'!AB49))</f>
        <v/>
      </c>
      <c r="AH49" s="28" t="str">
        <f t="shared" si="7"/>
        <v/>
      </c>
      <c r="AI49" s="7" t="str">
        <f t="shared" si="8"/>
        <v/>
      </c>
      <c r="AJ49" s="22" t="str">
        <f t="shared" si="9"/>
        <v/>
      </c>
      <c r="AK49" s="29" t="str">
        <f t="shared" si="10"/>
        <v/>
      </c>
      <c r="AL49" s="10"/>
    </row>
    <row r="50" spans="1:38">
      <c r="A50" s="19">
        <f>IF('Supplier selection'!A50="","",'Supplier selection'!A50)</f>
        <v>46</v>
      </c>
      <c r="B50" s="19" t="str">
        <f>IF('Supplier selection'!B50="","",'Supplier selection'!B50)</f>
        <v/>
      </c>
      <c r="C50" s="19" t="str">
        <f>IF('Supplier selection'!C50="","",'Supplier selection'!C50)</f>
        <v/>
      </c>
      <c r="D50" s="19" t="str">
        <f>IF('Supplier selection'!D50="","",'Supplier selection'!D50)</f>
        <v/>
      </c>
      <c r="E50" s="19" t="str">
        <f>IF('Supplier selection'!E50="","",'Supplier selection'!E50)</f>
        <v/>
      </c>
      <c r="F50" s="19" t="str">
        <f>IF('Supplier selection'!F50="","",'Supplier selection'!F50)</f>
        <v/>
      </c>
      <c r="G50" s="19" t="str">
        <f>IF('Supplier selection'!G50="","",'Supplier selection'!G50)</f>
        <v/>
      </c>
      <c r="H50" s="19" t="str">
        <f>IF('Supplier selection'!H50="","",'Supplier selection'!H50)</f>
        <v/>
      </c>
      <c r="I50" s="19" t="str">
        <f>IF('Supplier selection'!I50="","",'Supplier selection'!I50)</f>
        <v/>
      </c>
      <c r="J50" s="19" t="str">
        <f>IF('Supplier selection'!J50="","",'Supplier selection'!J50)</f>
        <v/>
      </c>
      <c r="K50" s="19" t="str">
        <f>IF('Supplier selection'!K50="","",'Supplier selection'!K50)</f>
        <v/>
      </c>
      <c r="L50" s="19" t="str">
        <f>IF('Supplier selection'!L50="","",'Supplier selection'!L50)</f>
        <v/>
      </c>
      <c r="M50" s="19" t="str">
        <f>IF('Supplier selection'!M50="","",'Supplier selection'!M50)</f>
        <v/>
      </c>
      <c r="N50" s="19" t="str">
        <f>IF('Supplier selection'!N50="","",'Supplier selection'!N50)</f>
        <v/>
      </c>
      <c r="O50" s="19" t="str">
        <f>IF('Supplier selection'!O50="","",'Supplier selection'!O50)</f>
        <v/>
      </c>
      <c r="Q50" s="19" t="str">
        <f>HLOOKUP($Q$3,'Supplier selection'!$AW$4:'Supplier selection'!$CT$1000,$A51,FALSE)</f>
        <v/>
      </c>
      <c r="R50" s="22" t="str">
        <f t="shared" si="0"/>
        <v/>
      </c>
      <c r="S50" s="19" t="str">
        <f t="shared" si="1"/>
        <v/>
      </c>
      <c r="T50" s="22" t="str">
        <f t="shared" si="2"/>
        <v/>
      </c>
      <c r="U50" s="19" t="str">
        <f t="shared" si="3"/>
        <v/>
      </c>
      <c r="V50" s="7"/>
      <c r="Y50" s="19" t="str">
        <f>IF('Supplier selection'!AQ50="","",'Supplier selection'!AQ50)</f>
        <v/>
      </c>
      <c r="Z50" s="19" t="str">
        <f>IF('Supplier selection'!AR50="","",'Supplier selection'!AR50)</f>
        <v/>
      </c>
      <c r="AA50" s="19" t="str">
        <f t="shared" si="4"/>
        <v/>
      </c>
      <c r="AD50" s="26" t="str">
        <f>IF(AND('Supplier selection'!X50="",'Supplier selection'!AE50=""),"",IF('Supplier selection'!X50="",'Supplier selection'!AE50,'Supplier selection'!X50))</f>
        <v/>
      </c>
      <c r="AE50" s="19" t="str">
        <f t="shared" si="5"/>
        <v/>
      </c>
      <c r="AF50" s="19" t="str">
        <f t="shared" si="6"/>
        <v/>
      </c>
      <c r="AG50" s="27" t="str">
        <f>IF(AND('Supplier selection'!AB50="",'Supplier selection'!AI50=""),"",IF('Supplier selection'!AB50="",'Supplier selection'!AI50,'Supplier selection'!AB50))</f>
        <v/>
      </c>
      <c r="AH50" s="28" t="str">
        <f t="shared" si="7"/>
        <v/>
      </c>
      <c r="AI50" s="7" t="str">
        <f t="shared" si="8"/>
        <v/>
      </c>
      <c r="AJ50" s="22" t="str">
        <f t="shared" si="9"/>
        <v/>
      </c>
      <c r="AK50" s="29" t="str">
        <f t="shared" si="10"/>
        <v/>
      </c>
      <c r="AL50" s="10"/>
    </row>
    <row r="51" spans="1:38">
      <c r="A51" s="19">
        <f>IF('Supplier selection'!A51="","",'Supplier selection'!A51)</f>
        <v>47</v>
      </c>
      <c r="B51" s="19" t="str">
        <f>IF('Supplier selection'!B51="","",'Supplier selection'!B51)</f>
        <v/>
      </c>
      <c r="C51" s="19" t="str">
        <f>IF('Supplier selection'!C51="","",'Supplier selection'!C51)</f>
        <v/>
      </c>
      <c r="D51" s="19" t="str">
        <f>IF('Supplier selection'!D51="","",'Supplier selection'!D51)</f>
        <v/>
      </c>
      <c r="E51" s="19" t="str">
        <f>IF('Supplier selection'!E51="","",'Supplier selection'!E51)</f>
        <v/>
      </c>
      <c r="F51" s="19" t="str">
        <f>IF('Supplier selection'!F51="","",'Supplier selection'!F51)</f>
        <v/>
      </c>
      <c r="G51" s="19" t="str">
        <f>IF('Supplier selection'!G51="","",'Supplier selection'!G51)</f>
        <v/>
      </c>
      <c r="H51" s="19" t="str">
        <f>IF('Supplier selection'!H51="","",'Supplier selection'!H51)</f>
        <v/>
      </c>
      <c r="I51" s="19" t="str">
        <f>IF('Supplier selection'!I51="","",'Supplier selection'!I51)</f>
        <v/>
      </c>
      <c r="J51" s="19" t="str">
        <f>IF('Supplier selection'!J51="","",'Supplier selection'!J51)</f>
        <v/>
      </c>
      <c r="K51" s="19" t="str">
        <f>IF('Supplier selection'!K51="","",'Supplier selection'!K51)</f>
        <v/>
      </c>
      <c r="L51" s="19" t="str">
        <f>IF('Supplier selection'!L51="","",'Supplier selection'!L51)</f>
        <v/>
      </c>
      <c r="M51" s="19" t="str">
        <f>IF('Supplier selection'!M51="","",'Supplier selection'!M51)</f>
        <v/>
      </c>
      <c r="N51" s="19" t="str">
        <f>IF('Supplier selection'!N51="","",'Supplier selection'!N51)</f>
        <v/>
      </c>
      <c r="O51" s="19" t="str">
        <f>IF('Supplier selection'!O51="","",'Supplier selection'!O51)</f>
        <v/>
      </c>
      <c r="Q51" s="19" t="str">
        <f>HLOOKUP($Q$3,'Supplier selection'!$AW$4:'Supplier selection'!$CT$1000,$A52,FALSE)</f>
        <v/>
      </c>
      <c r="R51" s="22" t="str">
        <f t="shared" si="0"/>
        <v/>
      </c>
      <c r="S51" s="19" t="str">
        <f t="shared" si="1"/>
        <v/>
      </c>
      <c r="T51" s="22" t="str">
        <f t="shared" si="2"/>
        <v/>
      </c>
      <c r="U51" s="19" t="str">
        <f t="shared" si="3"/>
        <v/>
      </c>
      <c r="V51" s="7"/>
      <c r="Y51" s="19" t="str">
        <f>IF('Supplier selection'!AQ51="","",'Supplier selection'!AQ51)</f>
        <v/>
      </c>
      <c r="Z51" s="19" t="str">
        <f>IF('Supplier selection'!AR51="","",'Supplier selection'!AR51)</f>
        <v/>
      </c>
      <c r="AA51" s="19" t="str">
        <f t="shared" si="4"/>
        <v/>
      </c>
      <c r="AD51" s="26" t="str">
        <f>IF(AND('Supplier selection'!X51="",'Supplier selection'!AE51=""),"",IF('Supplier selection'!X51="",'Supplier selection'!AE51,'Supplier selection'!X51))</f>
        <v/>
      </c>
      <c r="AE51" s="19" t="str">
        <f t="shared" si="5"/>
        <v/>
      </c>
      <c r="AF51" s="19" t="str">
        <f t="shared" si="6"/>
        <v/>
      </c>
      <c r="AG51" s="27" t="str">
        <f>IF(AND('Supplier selection'!AB51="",'Supplier selection'!AI51=""),"",IF('Supplier selection'!AB51="",'Supplier selection'!AI51,'Supplier selection'!AB51))</f>
        <v/>
      </c>
      <c r="AH51" s="28" t="str">
        <f t="shared" si="7"/>
        <v/>
      </c>
      <c r="AI51" s="7" t="str">
        <f t="shared" si="8"/>
        <v/>
      </c>
      <c r="AJ51" s="22" t="str">
        <f t="shared" si="9"/>
        <v/>
      </c>
      <c r="AK51" s="29" t="str">
        <f t="shared" si="10"/>
        <v/>
      </c>
      <c r="AL51" s="10"/>
    </row>
    <row r="52" spans="1:38">
      <c r="A52" s="19">
        <f>IF('Supplier selection'!A52="","",'Supplier selection'!A52)</f>
        <v>48</v>
      </c>
      <c r="B52" s="19" t="str">
        <f>IF('Supplier selection'!B52="","",'Supplier selection'!B52)</f>
        <v/>
      </c>
      <c r="C52" s="19" t="str">
        <f>IF('Supplier selection'!C52="","",'Supplier selection'!C52)</f>
        <v/>
      </c>
      <c r="D52" s="19" t="str">
        <f>IF('Supplier selection'!D52="","",'Supplier selection'!D52)</f>
        <v/>
      </c>
      <c r="E52" s="19" t="str">
        <f>IF('Supplier selection'!E52="","",'Supplier selection'!E52)</f>
        <v/>
      </c>
      <c r="F52" s="19" t="str">
        <f>IF('Supplier selection'!F52="","",'Supplier selection'!F52)</f>
        <v/>
      </c>
      <c r="G52" s="19" t="str">
        <f>IF('Supplier selection'!G52="","",'Supplier selection'!G52)</f>
        <v/>
      </c>
      <c r="H52" s="19" t="str">
        <f>IF('Supplier selection'!H52="","",'Supplier selection'!H52)</f>
        <v/>
      </c>
      <c r="I52" s="19" t="str">
        <f>IF('Supplier selection'!I52="","",'Supplier selection'!I52)</f>
        <v/>
      </c>
      <c r="J52" s="19" t="str">
        <f>IF('Supplier selection'!J52="","",'Supplier selection'!J52)</f>
        <v/>
      </c>
      <c r="K52" s="19" t="str">
        <f>IF('Supplier selection'!K52="","",'Supplier selection'!K52)</f>
        <v/>
      </c>
      <c r="L52" s="19" t="str">
        <f>IF('Supplier selection'!L52="","",'Supplier selection'!L52)</f>
        <v/>
      </c>
      <c r="M52" s="19" t="str">
        <f>IF('Supplier selection'!M52="","",'Supplier selection'!M52)</f>
        <v/>
      </c>
      <c r="N52" s="19" t="str">
        <f>IF('Supplier selection'!N52="","",'Supplier selection'!N52)</f>
        <v/>
      </c>
      <c r="O52" s="19" t="str">
        <f>IF('Supplier selection'!O52="","",'Supplier selection'!O52)</f>
        <v/>
      </c>
      <c r="Q52" s="19" t="str">
        <f>HLOOKUP($Q$3,'Supplier selection'!$AW$4:'Supplier selection'!$CT$1000,$A53,FALSE)</f>
        <v/>
      </c>
      <c r="R52" s="22" t="str">
        <f t="shared" si="0"/>
        <v/>
      </c>
      <c r="S52" s="19" t="str">
        <f t="shared" si="1"/>
        <v/>
      </c>
      <c r="T52" s="22" t="str">
        <f t="shared" si="2"/>
        <v/>
      </c>
      <c r="U52" s="19" t="str">
        <f t="shared" si="3"/>
        <v/>
      </c>
      <c r="V52" s="7"/>
      <c r="Y52" s="19" t="str">
        <f>IF('Supplier selection'!AQ52="","",'Supplier selection'!AQ52)</f>
        <v/>
      </c>
      <c r="Z52" s="19" t="str">
        <f>IF('Supplier selection'!AR52="","",'Supplier selection'!AR52)</f>
        <v/>
      </c>
      <c r="AA52" s="19" t="str">
        <f t="shared" si="4"/>
        <v/>
      </c>
      <c r="AD52" s="26" t="str">
        <f>IF(AND('Supplier selection'!X52="",'Supplier selection'!AE52=""),"",IF('Supplier selection'!X52="",'Supplier selection'!AE52,'Supplier selection'!X52))</f>
        <v/>
      </c>
      <c r="AE52" s="19" t="str">
        <f t="shared" si="5"/>
        <v/>
      </c>
      <c r="AF52" s="19" t="str">
        <f t="shared" si="6"/>
        <v/>
      </c>
      <c r="AG52" s="27" t="str">
        <f>IF(AND('Supplier selection'!AB52="",'Supplier selection'!AI52=""),"",IF('Supplier selection'!AB52="",'Supplier selection'!AI52,'Supplier selection'!AB52))</f>
        <v/>
      </c>
      <c r="AH52" s="28" t="str">
        <f t="shared" si="7"/>
        <v/>
      </c>
      <c r="AI52" s="7" t="str">
        <f t="shared" si="8"/>
        <v/>
      </c>
      <c r="AJ52" s="22" t="str">
        <f t="shared" si="9"/>
        <v/>
      </c>
      <c r="AK52" s="29" t="str">
        <f t="shared" si="10"/>
        <v/>
      </c>
      <c r="AL52" s="10"/>
    </row>
    <row r="53" spans="1:38">
      <c r="A53" s="19">
        <f>IF('Supplier selection'!A53="","",'Supplier selection'!A53)</f>
        <v>49</v>
      </c>
      <c r="B53" s="19" t="str">
        <f>IF('Supplier selection'!B53="","",'Supplier selection'!B53)</f>
        <v/>
      </c>
      <c r="C53" s="19" t="str">
        <f>IF('Supplier selection'!C53="","",'Supplier selection'!C53)</f>
        <v/>
      </c>
      <c r="D53" s="19" t="str">
        <f>IF('Supplier selection'!D53="","",'Supplier selection'!D53)</f>
        <v/>
      </c>
      <c r="E53" s="19" t="str">
        <f>IF('Supplier selection'!E53="","",'Supplier selection'!E53)</f>
        <v/>
      </c>
      <c r="F53" s="19" t="str">
        <f>IF('Supplier selection'!F53="","",'Supplier selection'!F53)</f>
        <v/>
      </c>
      <c r="G53" s="19" t="str">
        <f>IF('Supplier selection'!G53="","",'Supplier selection'!G53)</f>
        <v/>
      </c>
      <c r="H53" s="19" t="str">
        <f>IF('Supplier selection'!H53="","",'Supplier selection'!H53)</f>
        <v/>
      </c>
      <c r="I53" s="19" t="str">
        <f>IF('Supplier selection'!I53="","",'Supplier selection'!I53)</f>
        <v/>
      </c>
      <c r="J53" s="19" t="str">
        <f>IF('Supplier selection'!J53="","",'Supplier selection'!J53)</f>
        <v/>
      </c>
      <c r="K53" s="19" t="str">
        <f>IF('Supplier selection'!K53="","",'Supplier selection'!K53)</f>
        <v/>
      </c>
      <c r="L53" s="19" t="str">
        <f>IF('Supplier selection'!L53="","",'Supplier selection'!L53)</f>
        <v/>
      </c>
      <c r="M53" s="19" t="str">
        <f>IF('Supplier selection'!M53="","",'Supplier selection'!M53)</f>
        <v/>
      </c>
      <c r="N53" s="19" t="str">
        <f>IF('Supplier selection'!N53="","",'Supplier selection'!N53)</f>
        <v/>
      </c>
      <c r="O53" s="19" t="str">
        <f>IF('Supplier selection'!O53="","",'Supplier selection'!O53)</f>
        <v/>
      </c>
      <c r="Q53" s="19" t="str">
        <f>HLOOKUP($Q$3,'Supplier selection'!$AW$4:'Supplier selection'!$CT$1000,$A54,FALSE)</f>
        <v/>
      </c>
      <c r="R53" s="22" t="str">
        <f t="shared" si="0"/>
        <v/>
      </c>
      <c r="S53" s="19" t="str">
        <f t="shared" si="1"/>
        <v/>
      </c>
      <c r="T53" s="22" t="str">
        <f t="shared" si="2"/>
        <v/>
      </c>
      <c r="U53" s="19" t="str">
        <f t="shared" si="3"/>
        <v/>
      </c>
      <c r="V53" s="7"/>
      <c r="Y53" s="19" t="str">
        <f>IF('Supplier selection'!AQ53="","",'Supplier selection'!AQ53)</f>
        <v/>
      </c>
      <c r="Z53" s="19" t="str">
        <f>IF('Supplier selection'!AR53="","",'Supplier selection'!AR53)</f>
        <v/>
      </c>
      <c r="AA53" s="19" t="str">
        <f t="shared" si="4"/>
        <v/>
      </c>
      <c r="AD53" s="26" t="str">
        <f>IF(AND('Supplier selection'!X53="",'Supplier selection'!AE53=""),"",IF('Supplier selection'!X53="",'Supplier selection'!AE53,'Supplier selection'!X53))</f>
        <v/>
      </c>
      <c r="AE53" s="19" t="str">
        <f t="shared" si="5"/>
        <v/>
      </c>
      <c r="AF53" s="19" t="str">
        <f t="shared" si="6"/>
        <v/>
      </c>
      <c r="AG53" s="27" t="str">
        <f>IF(AND('Supplier selection'!AB53="",'Supplier selection'!AI53=""),"",IF('Supplier selection'!AB53="",'Supplier selection'!AI53,'Supplier selection'!AB53))</f>
        <v/>
      </c>
      <c r="AH53" s="28" t="str">
        <f t="shared" si="7"/>
        <v/>
      </c>
      <c r="AI53" s="7" t="str">
        <f t="shared" si="8"/>
        <v/>
      </c>
      <c r="AJ53" s="22" t="str">
        <f t="shared" si="9"/>
        <v/>
      </c>
      <c r="AK53" s="29" t="str">
        <f t="shared" si="10"/>
        <v/>
      </c>
      <c r="AL53" s="10"/>
    </row>
    <row r="54" spans="1:38">
      <c r="A54" s="19">
        <f>IF('Supplier selection'!A54="","",'Supplier selection'!A54)</f>
        <v>50</v>
      </c>
      <c r="B54" s="19" t="str">
        <f>IF('Supplier selection'!B54="","",'Supplier selection'!B54)</f>
        <v/>
      </c>
      <c r="C54" s="19" t="str">
        <f>IF('Supplier selection'!C54="","",'Supplier selection'!C54)</f>
        <v/>
      </c>
      <c r="D54" s="19" t="str">
        <f>IF('Supplier selection'!D54="","",'Supplier selection'!D54)</f>
        <v/>
      </c>
      <c r="E54" s="19" t="str">
        <f>IF('Supplier selection'!E54="","",'Supplier selection'!E54)</f>
        <v/>
      </c>
      <c r="F54" s="19" t="str">
        <f>IF('Supplier selection'!F54="","",'Supplier selection'!F54)</f>
        <v/>
      </c>
      <c r="G54" s="19" t="str">
        <f>IF('Supplier selection'!G54="","",'Supplier selection'!G54)</f>
        <v/>
      </c>
      <c r="H54" s="19" t="str">
        <f>IF('Supplier selection'!H54="","",'Supplier selection'!H54)</f>
        <v/>
      </c>
      <c r="I54" s="19" t="str">
        <f>IF('Supplier selection'!I54="","",'Supplier selection'!I54)</f>
        <v/>
      </c>
      <c r="J54" s="19" t="str">
        <f>IF('Supplier selection'!J54="","",'Supplier selection'!J54)</f>
        <v/>
      </c>
      <c r="K54" s="19" t="str">
        <f>IF('Supplier selection'!K54="","",'Supplier selection'!K54)</f>
        <v/>
      </c>
      <c r="L54" s="19" t="str">
        <f>IF('Supplier selection'!L54="","",'Supplier selection'!L54)</f>
        <v/>
      </c>
      <c r="M54" s="19" t="str">
        <f>IF('Supplier selection'!M54="","",'Supplier selection'!M54)</f>
        <v/>
      </c>
      <c r="N54" s="19" t="str">
        <f>IF('Supplier selection'!N54="","",'Supplier selection'!N54)</f>
        <v/>
      </c>
      <c r="O54" s="19" t="str">
        <f>IF('Supplier selection'!O54="","",'Supplier selection'!O54)</f>
        <v/>
      </c>
      <c r="Q54" s="19" t="str">
        <f>HLOOKUP($Q$3,'Supplier selection'!$AW$4:'Supplier selection'!$CT$1000,$A55,FALSE)</f>
        <v/>
      </c>
      <c r="R54" s="22" t="str">
        <f t="shared" si="0"/>
        <v/>
      </c>
      <c r="S54" s="19" t="str">
        <f t="shared" si="1"/>
        <v/>
      </c>
      <c r="T54" s="22" t="str">
        <f t="shared" si="2"/>
        <v/>
      </c>
      <c r="U54" s="19" t="str">
        <f t="shared" si="3"/>
        <v/>
      </c>
      <c r="V54" s="7"/>
      <c r="Y54" s="19" t="str">
        <f>IF('Supplier selection'!AQ54="","",'Supplier selection'!AQ54)</f>
        <v/>
      </c>
      <c r="Z54" s="19" t="str">
        <f>IF('Supplier selection'!AR54="","",'Supplier selection'!AR54)</f>
        <v/>
      </c>
      <c r="AA54" s="19" t="str">
        <f t="shared" si="4"/>
        <v/>
      </c>
      <c r="AD54" s="26" t="str">
        <f>IF(AND('Supplier selection'!X54="",'Supplier selection'!AE54=""),"",IF('Supplier selection'!X54="",'Supplier selection'!AE54,'Supplier selection'!X54))</f>
        <v/>
      </c>
      <c r="AE54" s="19" t="str">
        <f t="shared" si="5"/>
        <v/>
      </c>
      <c r="AF54" s="19" t="str">
        <f t="shared" si="6"/>
        <v/>
      </c>
      <c r="AG54" s="27" t="str">
        <f>IF(AND('Supplier selection'!AB54="",'Supplier selection'!AI54=""),"",IF('Supplier selection'!AB54="",'Supplier selection'!AI54,'Supplier selection'!AB54))</f>
        <v/>
      </c>
      <c r="AH54" s="28" t="str">
        <f t="shared" si="7"/>
        <v/>
      </c>
      <c r="AI54" s="7" t="str">
        <f t="shared" si="8"/>
        <v/>
      </c>
      <c r="AJ54" s="22" t="str">
        <f t="shared" si="9"/>
        <v/>
      </c>
      <c r="AK54" s="29" t="str">
        <f t="shared" si="10"/>
        <v/>
      </c>
      <c r="AL54" s="10"/>
    </row>
    <row r="55" spans="1:38">
      <c r="A55" s="19">
        <f>IF('Supplier selection'!A55="","",'Supplier selection'!A55)</f>
        <v>51</v>
      </c>
      <c r="B55" s="19" t="str">
        <f>IF('Supplier selection'!B55="","",'Supplier selection'!B55)</f>
        <v/>
      </c>
      <c r="C55" s="19" t="str">
        <f>IF('Supplier selection'!C55="","",'Supplier selection'!C55)</f>
        <v/>
      </c>
      <c r="D55" s="19" t="str">
        <f>IF('Supplier selection'!D55="","",'Supplier selection'!D55)</f>
        <v/>
      </c>
      <c r="E55" s="19" t="str">
        <f>IF('Supplier selection'!E55="","",'Supplier selection'!E55)</f>
        <v/>
      </c>
      <c r="F55" s="19" t="str">
        <f>IF('Supplier selection'!F55="","",'Supplier selection'!F55)</f>
        <v/>
      </c>
      <c r="G55" s="19" t="str">
        <f>IF('Supplier selection'!G55="","",'Supplier selection'!G55)</f>
        <v/>
      </c>
      <c r="H55" s="19" t="str">
        <f>IF('Supplier selection'!H55="","",'Supplier selection'!H55)</f>
        <v/>
      </c>
      <c r="I55" s="19" t="str">
        <f>IF('Supplier selection'!I55="","",'Supplier selection'!I55)</f>
        <v/>
      </c>
      <c r="J55" s="19" t="str">
        <f>IF('Supplier selection'!J55="","",'Supplier selection'!J55)</f>
        <v/>
      </c>
      <c r="K55" s="19" t="str">
        <f>IF('Supplier selection'!K55="","",'Supplier selection'!K55)</f>
        <v/>
      </c>
      <c r="L55" s="19" t="str">
        <f>IF('Supplier selection'!L55="","",'Supplier selection'!L55)</f>
        <v/>
      </c>
      <c r="M55" s="19" t="str">
        <f>IF('Supplier selection'!M55="","",'Supplier selection'!M55)</f>
        <v/>
      </c>
      <c r="N55" s="19" t="str">
        <f>IF('Supplier selection'!N55="","",'Supplier selection'!N55)</f>
        <v/>
      </c>
      <c r="O55" s="19" t="str">
        <f>IF('Supplier selection'!O55="","",'Supplier selection'!O55)</f>
        <v/>
      </c>
      <c r="Q55" s="19" t="str">
        <f>HLOOKUP($Q$3,'Supplier selection'!$AW$4:'Supplier selection'!$CT$1000,$A56,FALSE)</f>
        <v/>
      </c>
      <c r="R55" s="22" t="str">
        <f t="shared" si="0"/>
        <v/>
      </c>
      <c r="S55" s="19" t="str">
        <f t="shared" si="1"/>
        <v/>
      </c>
      <c r="T55" s="22" t="str">
        <f t="shared" si="2"/>
        <v/>
      </c>
      <c r="U55" s="19" t="str">
        <f t="shared" si="3"/>
        <v/>
      </c>
      <c r="V55" s="7"/>
      <c r="Y55" s="19" t="str">
        <f>IF('Supplier selection'!AQ55="","",'Supplier selection'!AQ55)</f>
        <v/>
      </c>
      <c r="Z55" s="19" t="str">
        <f>IF('Supplier selection'!AR55="","",'Supplier selection'!AR55)</f>
        <v/>
      </c>
      <c r="AA55" s="19" t="str">
        <f t="shared" si="4"/>
        <v/>
      </c>
      <c r="AD55" s="26" t="str">
        <f>IF(AND('Supplier selection'!X55="",'Supplier selection'!AE55=""),"",IF('Supplier selection'!X55="",'Supplier selection'!AE55,'Supplier selection'!X55))</f>
        <v/>
      </c>
      <c r="AE55" s="19" t="str">
        <f t="shared" si="5"/>
        <v/>
      </c>
      <c r="AF55" s="19" t="str">
        <f t="shared" si="6"/>
        <v/>
      </c>
      <c r="AG55" s="27" t="str">
        <f>IF(AND('Supplier selection'!AB55="",'Supplier selection'!AI55=""),"",IF('Supplier selection'!AB55="",'Supplier selection'!AI55,'Supplier selection'!AB55))</f>
        <v/>
      </c>
      <c r="AH55" s="28" t="str">
        <f t="shared" si="7"/>
        <v/>
      </c>
      <c r="AI55" s="7" t="str">
        <f t="shared" si="8"/>
        <v/>
      </c>
      <c r="AJ55" s="22" t="str">
        <f t="shared" si="9"/>
        <v/>
      </c>
      <c r="AK55" s="29" t="str">
        <f t="shared" si="10"/>
        <v/>
      </c>
      <c r="AL55" s="10"/>
    </row>
    <row r="56" spans="1:38">
      <c r="A56" s="19">
        <f>IF('Supplier selection'!A56="","",'Supplier selection'!A56)</f>
        <v>52</v>
      </c>
      <c r="B56" s="19" t="str">
        <f>IF('Supplier selection'!B56="","",'Supplier selection'!B56)</f>
        <v/>
      </c>
      <c r="C56" s="19" t="str">
        <f>IF('Supplier selection'!C56="","",'Supplier selection'!C56)</f>
        <v/>
      </c>
      <c r="D56" s="19" t="str">
        <f>IF('Supplier selection'!D56="","",'Supplier selection'!D56)</f>
        <v/>
      </c>
      <c r="E56" s="19" t="str">
        <f>IF('Supplier selection'!E56="","",'Supplier selection'!E56)</f>
        <v/>
      </c>
      <c r="F56" s="19" t="str">
        <f>IF('Supplier selection'!F56="","",'Supplier selection'!F56)</f>
        <v/>
      </c>
      <c r="G56" s="19" t="str">
        <f>IF('Supplier selection'!G56="","",'Supplier selection'!G56)</f>
        <v/>
      </c>
      <c r="H56" s="19" t="str">
        <f>IF('Supplier selection'!H56="","",'Supplier selection'!H56)</f>
        <v/>
      </c>
      <c r="I56" s="19" t="str">
        <f>IF('Supplier selection'!I56="","",'Supplier selection'!I56)</f>
        <v/>
      </c>
      <c r="J56" s="19" t="str">
        <f>IF('Supplier selection'!J56="","",'Supplier selection'!J56)</f>
        <v/>
      </c>
      <c r="K56" s="19" t="str">
        <f>IF('Supplier selection'!K56="","",'Supplier selection'!K56)</f>
        <v/>
      </c>
      <c r="L56" s="19" t="str">
        <f>IF('Supplier selection'!L56="","",'Supplier selection'!L56)</f>
        <v/>
      </c>
      <c r="M56" s="19" t="str">
        <f>IF('Supplier selection'!M56="","",'Supplier selection'!M56)</f>
        <v/>
      </c>
      <c r="N56" s="19" t="str">
        <f>IF('Supplier selection'!N56="","",'Supplier selection'!N56)</f>
        <v/>
      </c>
      <c r="O56" s="19" t="str">
        <f>IF('Supplier selection'!O56="","",'Supplier selection'!O56)</f>
        <v/>
      </c>
      <c r="Q56" s="19" t="str">
        <f>HLOOKUP($Q$3,'Supplier selection'!$AW$4:'Supplier selection'!$CT$1000,$A57,FALSE)</f>
        <v/>
      </c>
      <c r="R56" s="22" t="str">
        <f t="shared" si="0"/>
        <v/>
      </c>
      <c r="S56" s="19" t="str">
        <f t="shared" si="1"/>
        <v/>
      </c>
      <c r="T56" s="22" t="str">
        <f t="shared" si="2"/>
        <v/>
      </c>
      <c r="U56" s="19" t="str">
        <f t="shared" si="3"/>
        <v/>
      </c>
      <c r="V56" s="7"/>
      <c r="Y56" s="19" t="str">
        <f>IF('Supplier selection'!AQ56="","",'Supplier selection'!AQ56)</f>
        <v/>
      </c>
      <c r="Z56" s="19" t="str">
        <f>IF('Supplier selection'!AR56="","",'Supplier selection'!AR56)</f>
        <v/>
      </c>
      <c r="AA56" s="19" t="str">
        <f t="shared" si="4"/>
        <v/>
      </c>
      <c r="AD56" s="26" t="str">
        <f>IF(AND('Supplier selection'!X56="",'Supplier selection'!AE56=""),"",IF('Supplier selection'!X56="",'Supplier selection'!AE56,'Supplier selection'!X56))</f>
        <v/>
      </c>
      <c r="AE56" s="19" t="str">
        <f t="shared" si="5"/>
        <v/>
      </c>
      <c r="AF56" s="19" t="str">
        <f t="shared" si="6"/>
        <v/>
      </c>
      <c r="AG56" s="27" t="str">
        <f>IF(AND('Supplier selection'!AB56="",'Supplier selection'!AI56=""),"",IF('Supplier selection'!AB56="",'Supplier selection'!AI56,'Supplier selection'!AB56))</f>
        <v/>
      </c>
      <c r="AH56" s="28" t="str">
        <f t="shared" si="7"/>
        <v/>
      </c>
      <c r="AI56" s="7" t="str">
        <f t="shared" si="8"/>
        <v/>
      </c>
      <c r="AJ56" s="22" t="str">
        <f t="shared" si="9"/>
        <v/>
      </c>
      <c r="AK56" s="29" t="str">
        <f t="shared" si="10"/>
        <v/>
      </c>
      <c r="AL56" s="10"/>
    </row>
    <row r="57" spans="1:38">
      <c r="A57" s="19">
        <f>IF('Supplier selection'!A57="","",'Supplier selection'!A57)</f>
        <v>53</v>
      </c>
      <c r="B57" s="19" t="str">
        <f>IF('Supplier selection'!B57="","",'Supplier selection'!B57)</f>
        <v/>
      </c>
      <c r="C57" s="19" t="str">
        <f>IF('Supplier selection'!C57="","",'Supplier selection'!C57)</f>
        <v/>
      </c>
      <c r="D57" s="19" t="str">
        <f>IF('Supplier selection'!D57="","",'Supplier selection'!D57)</f>
        <v/>
      </c>
      <c r="E57" s="19" t="str">
        <f>IF('Supplier selection'!E57="","",'Supplier selection'!E57)</f>
        <v/>
      </c>
      <c r="F57" s="19" t="str">
        <f>IF('Supplier selection'!F57="","",'Supplier selection'!F57)</f>
        <v/>
      </c>
      <c r="G57" s="19" t="str">
        <f>IF('Supplier selection'!G57="","",'Supplier selection'!G57)</f>
        <v/>
      </c>
      <c r="H57" s="19" t="str">
        <f>IF('Supplier selection'!H57="","",'Supplier selection'!H57)</f>
        <v/>
      </c>
      <c r="I57" s="19" t="str">
        <f>IF('Supplier selection'!I57="","",'Supplier selection'!I57)</f>
        <v/>
      </c>
      <c r="J57" s="19" t="str">
        <f>IF('Supplier selection'!J57="","",'Supplier selection'!J57)</f>
        <v/>
      </c>
      <c r="K57" s="19" t="str">
        <f>IF('Supplier selection'!K57="","",'Supplier selection'!K57)</f>
        <v/>
      </c>
      <c r="L57" s="19" t="str">
        <f>IF('Supplier selection'!L57="","",'Supplier selection'!L57)</f>
        <v/>
      </c>
      <c r="M57" s="19" t="str">
        <f>IF('Supplier selection'!M57="","",'Supplier selection'!M57)</f>
        <v/>
      </c>
      <c r="N57" s="19" t="str">
        <f>IF('Supplier selection'!N57="","",'Supplier selection'!N57)</f>
        <v/>
      </c>
      <c r="O57" s="19" t="str">
        <f>IF('Supplier selection'!O57="","",'Supplier selection'!O57)</f>
        <v/>
      </c>
      <c r="Q57" s="19" t="str">
        <f>HLOOKUP($Q$3,'Supplier selection'!$AW$4:'Supplier selection'!$CT$1000,$A58,FALSE)</f>
        <v/>
      </c>
      <c r="R57" s="22" t="str">
        <f t="shared" si="0"/>
        <v/>
      </c>
      <c r="S57" s="19" t="str">
        <f t="shared" si="1"/>
        <v/>
      </c>
      <c r="T57" s="22" t="str">
        <f t="shared" si="2"/>
        <v/>
      </c>
      <c r="U57" s="19" t="str">
        <f t="shared" si="3"/>
        <v/>
      </c>
      <c r="V57" s="7"/>
      <c r="Y57" s="19" t="str">
        <f>IF('Supplier selection'!AQ57="","",'Supplier selection'!AQ57)</f>
        <v/>
      </c>
      <c r="Z57" s="19" t="str">
        <f>IF('Supplier selection'!AR57="","",'Supplier selection'!AR57)</f>
        <v/>
      </c>
      <c r="AA57" s="19" t="str">
        <f t="shared" si="4"/>
        <v/>
      </c>
      <c r="AD57" s="26" t="str">
        <f>IF(AND('Supplier selection'!X57="",'Supplier selection'!AE57=""),"",IF('Supplier selection'!X57="",'Supplier selection'!AE57,'Supplier selection'!X57))</f>
        <v/>
      </c>
      <c r="AE57" s="19" t="str">
        <f t="shared" si="5"/>
        <v/>
      </c>
      <c r="AF57" s="19" t="str">
        <f t="shared" si="6"/>
        <v/>
      </c>
      <c r="AG57" s="27" t="str">
        <f>IF(AND('Supplier selection'!AB57="",'Supplier selection'!AI57=""),"",IF('Supplier selection'!AB57="",'Supplier selection'!AI57,'Supplier selection'!AB57))</f>
        <v/>
      </c>
      <c r="AH57" s="28" t="str">
        <f t="shared" si="7"/>
        <v/>
      </c>
      <c r="AI57" s="7" t="str">
        <f t="shared" si="8"/>
        <v/>
      </c>
      <c r="AJ57" s="22" t="str">
        <f t="shared" si="9"/>
        <v/>
      </c>
      <c r="AK57" s="29" t="str">
        <f t="shared" si="10"/>
        <v/>
      </c>
      <c r="AL57" s="10"/>
    </row>
    <row r="58" spans="1:38">
      <c r="A58" s="19">
        <f>IF('Supplier selection'!A58="","",'Supplier selection'!A58)</f>
        <v>54</v>
      </c>
      <c r="B58" s="19" t="str">
        <f>IF('Supplier selection'!B58="","",'Supplier selection'!B58)</f>
        <v/>
      </c>
      <c r="C58" s="19" t="str">
        <f>IF('Supplier selection'!C58="","",'Supplier selection'!C58)</f>
        <v/>
      </c>
      <c r="D58" s="19" t="str">
        <f>IF('Supplier selection'!D58="","",'Supplier selection'!D58)</f>
        <v/>
      </c>
      <c r="E58" s="19" t="str">
        <f>IF('Supplier selection'!E58="","",'Supplier selection'!E58)</f>
        <v/>
      </c>
      <c r="F58" s="19" t="str">
        <f>IF('Supplier selection'!F58="","",'Supplier selection'!F58)</f>
        <v/>
      </c>
      <c r="G58" s="19" t="str">
        <f>IF('Supplier selection'!G58="","",'Supplier selection'!G58)</f>
        <v/>
      </c>
      <c r="H58" s="19" t="str">
        <f>IF('Supplier selection'!H58="","",'Supplier selection'!H58)</f>
        <v/>
      </c>
      <c r="I58" s="19" t="str">
        <f>IF('Supplier selection'!I58="","",'Supplier selection'!I58)</f>
        <v/>
      </c>
      <c r="J58" s="19" t="str">
        <f>IF('Supplier selection'!J58="","",'Supplier selection'!J58)</f>
        <v/>
      </c>
      <c r="K58" s="19" t="str">
        <f>IF('Supplier selection'!K58="","",'Supplier selection'!K58)</f>
        <v/>
      </c>
      <c r="L58" s="19" t="str">
        <f>IF('Supplier selection'!L58="","",'Supplier selection'!L58)</f>
        <v/>
      </c>
      <c r="M58" s="19" t="str">
        <f>IF('Supplier selection'!M58="","",'Supplier selection'!M58)</f>
        <v/>
      </c>
      <c r="N58" s="19" t="str">
        <f>IF('Supplier selection'!N58="","",'Supplier selection'!N58)</f>
        <v/>
      </c>
      <c r="O58" s="19" t="str">
        <f>IF('Supplier selection'!O58="","",'Supplier selection'!O58)</f>
        <v/>
      </c>
      <c r="Q58" s="19" t="str">
        <f>HLOOKUP($Q$3,'Supplier selection'!$AW$4:'Supplier selection'!$CT$1000,$A59,FALSE)</f>
        <v/>
      </c>
      <c r="R58" s="22" t="str">
        <f t="shared" si="0"/>
        <v/>
      </c>
      <c r="S58" s="19" t="str">
        <f t="shared" si="1"/>
        <v/>
      </c>
      <c r="T58" s="22" t="str">
        <f t="shared" si="2"/>
        <v/>
      </c>
      <c r="U58" s="19" t="str">
        <f t="shared" si="3"/>
        <v/>
      </c>
      <c r="V58" s="7"/>
      <c r="Y58" s="19" t="str">
        <f>IF('Supplier selection'!AQ58="","",'Supplier selection'!AQ58)</f>
        <v/>
      </c>
      <c r="Z58" s="19" t="str">
        <f>IF('Supplier selection'!AR58="","",'Supplier selection'!AR58)</f>
        <v/>
      </c>
      <c r="AA58" s="19" t="str">
        <f t="shared" si="4"/>
        <v/>
      </c>
      <c r="AD58" s="26" t="str">
        <f>IF(AND('Supplier selection'!X58="",'Supplier selection'!AE58=""),"",IF('Supplier selection'!X58="",'Supplier selection'!AE58,'Supplier selection'!X58))</f>
        <v/>
      </c>
      <c r="AE58" s="19" t="str">
        <f t="shared" si="5"/>
        <v/>
      </c>
      <c r="AF58" s="19" t="str">
        <f t="shared" si="6"/>
        <v/>
      </c>
      <c r="AG58" s="27" t="str">
        <f>IF(AND('Supplier selection'!AB58="",'Supplier selection'!AI58=""),"",IF('Supplier selection'!AB58="",'Supplier selection'!AI58,'Supplier selection'!AB58))</f>
        <v/>
      </c>
      <c r="AH58" s="28" t="str">
        <f t="shared" si="7"/>
        <v/>
      </c>
      <c r="AI58" s="7" t="str">
        <f t="shared" si="8"/>
        <v/>
      </c>
      <c r="AJ58" s="22" t="str">
        <f t="shared" si="9"/>
        <v/>
      </c>
      <c r="AK58" s="29" t="str">
        <f t="shared" si="10"/>
        <v/>
      </c>
      <c r="AL58" s="10"/>
    </row>
    <row r="59" spans="1:38">
      <c r="A59" s="19">
        <f>IF('Supplier selection'!A59="","",'Supplier selection'!A59)</f>
        <v>55</v>
      </c>
      <c r="B59" s="19" t="str">
        <f>IF('Supplier selection'!B59="","",'Supplier selection'!B59)</f>
        <v/>
      </c>
      <c r="C59" s="19" t="str">
        <f>IF('Supplier selection'!C59="","",'Supplier selection'!C59)</f>
        <v/>
      </c>
      <c r="D59" s="19" t="str">
        <f>IF('Supplier selection'!D59="","",'Supplier selection'!D59)</f>
        <v/>
      </c>
      <c r="E59" s="19" t="str">
        <f>IF('Supplier selection'!E59="","",'Supplier selection'!E59)</f>
        <v/>
      </c>
      <c r="F59" s="19" t="str">
        <f>IF('Supplier selection'!F59="","",'Supplier selection'!F59)</f>
        <v/>
      </c>
      <c r="G59" s="19" t="str">
        <f>IF('Supplier selection'!G59="","",'Supplier selection'!G59)</f>
        <v/>
      </c>
      <c r="H59" s="19" t="str">
        <f>IF('Supplier selection'!H59="","",'Supplier selection'!H59)</f>
        <v/>
      </c>
      <c r="I59" s="19" t="str">
        <f>IF('Supplier selection'!I59="","",'Supplier selection'!I59)</f>
        <v/>
      </c>
      <c r="J59" s="19" t="str">
        <f>IF('Supplier selection'!J59="","",'Supplier selection'!J59)</f>
        <v/>
      </c>
      <c r="K59" s="19" t="str">
        <f>IF('Supplier selection'!K59="","",'Supplier selection'!K59)</f>
        <v/>
      </c>
      <c r="L59" s="19" t="str">
        <f>IF('Supplier selection'!L59="","",'Supplier selection'!L59)</f>
        <v/>
      </c>
      <c r="M59" s="19" t="str">
        <f>IF('Supplier selection'!M59="","",'Supplier selection'!M59)</f>
        <v/>
      </c>
      <c r="N59" s="19" t="str">
        <f>IF('Supplier selection'!N59="","",'Supplier selection'!N59)</f>
        <v/>
      </c>
      <c r="O59" s="19" t="str">
        <f>IF('Supplier selection'!O59="","",'Supplier selection'!O59)</f>
        <v/>
      </c>
      <c r="Q59" s="19" t="str">
        <f>HLOOKUP($Q$3,'Supplier selection'!$AW$4:'Supplier selection'!$CT$1000,$A60,FALSE)</f>
        <v/>
      </c>
      <c r="R59" s="22" t="str">
        <f t="shared" si="0"/>
        <v/>
      </c>
      <c r="S59" s="19" t="str">
        <f t="shared" si="1"/>
        <v/>
      </c>
      <c r="T59" s="22" t="str">
        <f t="shared" si="2"/>
        <v/>
      </c>
      <c r="U59" s="19" t="str">
        <f t="shared" si="3"/>
        <v/>
      </c>
      <c r="V59" s="7"/>
      <c r="Y59" s="19" t="str">
        <f>IF('Supplier selection'!AQ59="","",'Supplier selection'!AQ59)</f>
        <v/>
      </c>
      <c r="Z59" s="19" t="str">
        <f>IF('Supplier selection'!AR59="","",'Supplier selection'!AR59)</f>
        <v/>
      </c>
      <c r="AA59" s="19" t="str">
        <f t="shared" si="4"/>
        <v/>
      </c>
      <c r="AD59" s="26" t="str">
        <f>IF(AND('Supplier selection'!X59="",'Supplier selection'!AE59=""),"",IF('Supplier selection'!X59="",'Supplier selection'!AE59,'Supplier selection'!X59))</f>
        <v/>
      </c>
      <c r="AE59" s="19" t="str">
        <f t="shared" si="5"/>
        <v/>
      </c>
      <c r="AF59" s="19" t="str">
        <f t="shared" si="6"/>
        <v/>
      </c>
      <c r="AG59" s="27" t="str">
        <f>IF(AND('Supplier selection'!AB59="",'Supplier selection'!AI59=""),"",IF('Supplier selection'!AB59="",'Supplier selection'!AI59,'Supplier selection'!AB59))</f>
        <v/>
      </c>
      <c r="AH59" s="28" t="str">
        <f t="shared" si="7"/>
        <v/>
      </c>
      <c r="AI59" s="7" t="str">
        <f t="shared" si="8"/>
        <v/>
      </c>
      <c r="AJ59" s="22" t="str">
        <f t="shared" si="9"/>
        <v/>
      </c>
      <c r="AK59" s="29" t="str">
        <f t="shared" si="10"/>
        <v/>
      </c>
      <c r="AL59" s="10"/>
    </row>
    <row r="60" spans="1:38">
      <c r="A60" s="19">
        <f>IF('Supplier selection'!A60="","",'Supplier selection'!A60)</f>
        <v>56</v>
      </c>
      <c r="B60" s="19" t="str">
        <f>IF('Supplier selection'!B60="","",'Supplier selection'!B60)</f>
        <v/>
      </c>
      <c r="C60" s="19" t="str">
        <f>IF('Supplier selection'!C60="","",'Supplier selection'!C60)</f>
        <v/>
      </c>
      <c r="D60" s="19" t="str">
        <f>IF('Supplier selection'!D60="","",'Supplier selection'!D60)</f>
        <v/>
      </c>
      <c r="E60" s="19" t="str">
        <f>IF('Supplier selection'!E60="","",'Supplier selection'!E60)</f>
        <v/>
      </c>
      <c r="F60" s="19" t="str">
        <f>IF('Supplier selection'!F60="","",'Supplier selection'!F60)</f>
        <v/>
      </c>
      <c r="G60" s="19" t="str">
        <f>IF('Supplier selection'!G60="","",'Supplier selection'!G60)</f>
        <v/>
      </c>
      <c r="H60" s="19" t="str">
        <f>IF('Supplier selection'!H60="","",'Supplier selection'!H60)</f>
        <v/>
      </c>
      <c r="I60" s="19" t="str">
        <f>IF('Supplier selection'!I60="","",'Supplier selection'!I60)</f>
        <v/>
      </c>
      <c r="J60" s="19" t="str">
        <f>IF('Supplier selection'!J60="","",'Supplier selection'!J60)</f>
        <v/>
      </c>
      <c r="K60" s="19" t="str">
        <f>IF('Supplier selection'!K60="","",'Supplier selection'!K60)</f>
        <v/>
      </c>
      <c r="L60" s="19" t="str">
        <f>IF('Supplier selection'!L60="","",'Supplier selection'!L60)</f>
        <v/>
      </c>
      <c r="M60" s="19" t="str">
        <f>IF('Supplier selection'!M60="","",'Supplier selection'!M60)</f>
        <v/>
      </c>
      <c r="N60" s="19" t="str">
        <f>IF('Supplier selection'!N60="","",'Supplier selection'!N60)</f>
        <v/>
      </c>
      <c r="O60" s="19" t="str">
        <f>IF('Supplier selection'!O60="","",'Supplier selection'!O60)</f>
        <v/>
      </c>
      <c r="Q60" s="19" t="str">
        <f>HLOOKUP($Q$3,'Supplier selection'!$AW$4:'Supplier selection'!$CT$1000,$A61,FALSE)</f>
        <v/>
      </c>
      <c r="R60" s="22" t="str">
        <f t="shared" si="0"/>
        <v/>
      </c>
      <c r="S60" s="19" t="str">
        <f t="shared" si="1"/>
        <v/>
      </c>
      <c r="T60" s="22" t="str">
        <f t="shared" si="2"/>
        <v/>
      </c>
      <c r="U60" s="19" t="str">
        <f t="shared" si="3"/>
        <v/>
      </c>
      <c r="V60" s="7"/>
      <c r="Y60" s="19" t="str">
        <f>IF('Supplier selection'!AQ60="","",'Supplier selection'!AQ60)</f>
        <v/>
      </c>
      <c r="Z60" s="19" t="str">
        <f>IF('Supplier selection'!AR60="","",'Supplier selection'!AR60)</f>
        <v/>
      </c>
      <c r="AA60" s="19" t="str">
        <f t="shared" si="4"/>
        <v/>
      </c>
      <c r="AD60" s="26" t="str">
        <f>IF(AND('Supplier selection'!X60="",'Supplier selection'!AE60=""),"",IF('Supplier selection'!X60="",'Supplier selection'!AE60,'Supplier selection'!X60))</f>
        <v/>
      </c>
      <c r="AE60" s="19" t="str">
        <f t="shared" si="5"/>
        <v/>
      </c>
      <c r="AF60" s="19" t="str">
        <f t="shared" si="6"/>
        <v/>
      </c>
      <c r="AG60" s="27" t="str">
        <f>IF(AND('Supplier selection'!AB60="",'Supplier selection'!AI60=""),"",IF('Supplier selection'!AB60="",'Supplier selection'!AI60,'Supplier selection'!AB60))</f>
        <v/>
      </c>
      <c r="AH60" s="28" t="str">
        <f t="shared" si="7"/>
        <v/>
      </c>
      <c r="AI60" s="7" t="str">
        <f t="shared" si="8"/>
        <v/>
      </c>
      <c r="AJ60" s="22" t="str">
        <f t="shared" si="9"/>
        <v/>
      </c>
      <c r="AK60" s="29" t="str">
        <f t="shared" si="10"/>
        <v/>
      </c>
      <c r="AL60" s="10"/>
    </row>
    <row r="61" spans="1:38">
      <c r="A61" s="19">
        <f>IF('Supplier selection'!A61="","",'Supplier selection'!A61)</f>
        <v>57</v>
      </c>
      <c r="B61" s="19" t="str">
        <f>IF('Supplier selection'!B61="","",'Supplier selection'!B61)</f>
        <v/>
      </c>
      <c r="C61" s="19" t="str">
        <f>IF('Supplier selection'!C61="","",'Supplier selection'!C61)</f>
        <v/>
      </c>
      <c r="D61" s="19" t="str">
        <f>IF('Supplier selection'!D61="","",'Supplier selection'!D61)</f>
        <v/>
      </c>
      <c r="E61" s="19" t="str">
        <f>IF('Supplier selection'!E61="","",'Supplier selection'!E61)</f>
        <v/>
      </c>
      <c r="F61" s="19" t="str">
        <f>IF('Supplier selection'!F61="","",'Supplier selection'!F61)</f>
        <v/>
      </c>
      <c r="G61" s="19" t="str">
        <f>IF('Supplier selection'!G61="","",'Supplier selection'!G61)</f>
        <v/>
      </c>
      <c r="H61" s="19" t="str">
        <f>IF('Supplier selection'!H61="","",'Supplier selection'!H61)</f>
        <v/>
      </c>
      <c r="I61" s="19" t="str">
        <f>IF('Supplier selection'!I61="","",'Supplier selection'!I61)</f>
        <v/>
      </c>
      <c r="J61" s="19" t="str">
        <f>IF('Supplier selection'!J61="","",'Supplier selection'!J61)</f>
        <v/>
      </c>
      <c r="K61" s="19" t="str">
        <f>IF('Supplier selection'!K61="","",'Supplier selection'!K61)</f>
        <v/>
      </c>
      <c r="L61" s="19" t="str">
        <f>IF('Supplier selection'!L61="","",'Supplier selection'!L61)</f>
        <v/>
      </c>
      <c r="M61" s="19" t="str">
        <f>IF('Supplier selection'!M61="","",'Supplier selection'!M61)</f>
        <v/>
      </c>
      <c r="N61" s="19" t="str">
        <f>IF('Supplier selection'!N61="","",'Supplier selection'!N61)</f>
        <v/>
      </c>
      <c r="O61" s="19" t="str">
        <f>IF('Supplier selection'!O61="","",'Supplier selection'!O61)</f>
        <v/>
      </c>
      <c r="Q61" s="19" t="str">
        <f>HLOOKUP($Q$3,'Supplier selection'!$AW$4:'Supplier selection'!$CT$1000,$A62,FALSE)</f>
        <v/>
      </c>
      <c r="R61" s="22" t="str">
        <f t="shared" si="0"/>
        <v/>
      </c>
      <c r="S61" s="19" t="str">
        <f t="shared" si="1"/>
        <v/>
      </c>
      <c r="T61" s="22" t="str">
        <f t="shared" si="2"/>
        <v/>
      </c>
      <c r="U61" s="19" t="str">
        <f t="shared" si="3"/>
        <v/>
      </c>
      <c r="V61" s="7"/>
      <c r="Y61" s="19" t="str">
        <f>IF('Supplier selection'!AQ61="","",'Supplier selection'!AQ61)</f>
        <v/>
      </c>
      <c r="Z61" s="19" t="str">
        <f>IF('Supplier selection'!AR61="","",'Supplier selection'!AR61)</f>
        <v/>
      </c>
      <c r="AA61" s="19" t="str">
        <f t="shared" si="4"/>
        <v/>
      </c>
      <c r="AD61" s="26" t="str">
        <f>IF(AND('Supplier selection'!X61="",'Supplier selection'!AE61=""),"",IF('Supplier selection'!X61="",'Supplier selection'!AE61,'Supplier selection'!X61))</f>
        <v/>
      </c>
      <c r="AE61" s="19" t="str">
        <f t="shared" si="5"/>
        <v/>
      </c>
      <c r="AF61" s="19" t="str">
        <f t="shared" si="6"/>
        <v/>
      </c>
      <c r="AG61" s="27" t="str">
        <f>IF(AND('Supplier selection'!AB61="",'Supplier selection'!AI61=""),"",IF('Supplier selection'!AB61="",'Supplier selection'!AI61,'Supplier selection'!AB61))</f>
        <v/>
      </c>
      <c r="AH61" s="28" t="str">
        <f t="shared" si="7"/>
        <v/>
      </c>
      <c r="AI61" s="7" t="str">
        <f t="shared" si="8"/>
        <v/>
      </c>
      <c r="AJ61" s="22" t="str">
        <f t="shared" si="9"/>
        <v/>
      </c>
      <c r="AK61" s="29" t="str">
        <f t="shared" si="10"/>
        <v/>
      </c>
      <c r="AL61" s="10"/>
    </row>
    <row r="62" spans="1:38">
      <c r="A62" s="19">
        <f>IF('Supplier selection'!A62="","",'Supplier selection'!A62)</f>
        <v>58</v>
      </c>
      <c r="B62" s="19" t="str">
        <f>IF('Supplier selection'!B62="","",'Supplier selection'!B62)</f>
        <v/>
      </c>
      <c r="C62" s="19" t="str">
        <f>IF('Supplier selection'!C62="","",'Supplier selection'!C62)</f>
        <v/>
      </c>
      <c r="D62" s="19" t="str">
        <f>IF('Supplier selection'!D62="","",'Supplier selection'!D62)</f>
        <v/>
      </c>
      <c r="E62" s="19" t="str">
        <f>IF('Supplier selection'!E62="","",'Supplier selection'!E62)</f>
        <v/>
      </c>
      <c r="F62" s="19" t="str">
        <f>IF('Supplier selection'!F62="","",'Supplier selection'!F62)</f>
        <v/>
      </c>
      <c r="G62" s="19" t="str">
        <f>IF('Supplier selection'!G62="","",'Supplier selection'!G62)</f>
        <v/>
      </c>
      <c r="H62" s="19" t="str">
        <f>IF('Supplier selection'!H62="","",'Supplier selection'!H62)</f>
        <v/>
      </c>
      <c r="I62" s="19" t="str">
        <f>IF('Supplier selection'!I62="","",'Supplier selection'!I62)</f>
        <v/>
      </c>
      <c r="J62" s="19" t="str">
        <f>IF('Supplier selection'!J62="","",'Supplier selection'!J62)</f>
        <v/>
      </c>
      <c r="K62" s="19" t="str">
        <f>IF('Supplier selection'!K62="","",'Supplier selection'!K62)</f>
        <v/>
      </c>
      <c r="L62" s="19" t="str">
        <f>IF('Supplier selection'!L62="","",'Supplier selection'!L62)</f>
        <v/>
      </c>
      <c r="M62" s="19" t="str">
        <f>IF('Supplier selection'!M62="","",'Supplier selection'!M62)</f>
        <v/>
      </c>
      <c r="N62" s="19" t="str">
        <f>IF('Supplier selection'!N62="","",'Supplier selection'!N62)</f>
        <v/>
      </c>
      <c r="O62" s="19" t="str">
        <f>IF('Supplier selection'!O62="","",'Supplier selection'!O62)</f>
        <v/>
      </c>
      <c r="Q62" s="19" t="str">
        <f>HLOOKUP($Q$3,'Supplier selection'!$AW$4:'Supplier selection'!$CT$1000,$A63,FALSE)</f>
        <v/>
      </c>
      <c r="R62" s="22" t="str">
        <f t="shared" si="0"/>
        <v/>
      </c>
      <c r="S62" s="19" t="str">
        <f t="shared" si="1"/>
        <v/>
      </c>
      <c r="T62" s="22" t="str">
        <f t="shared" si="2"/>
        <v/>
      </c>
      <c r="U62" s="19" t="str">
        <f t="shared" si="3"/>
        <v/>
      </c>
      <c r="V62" s="7"/>
      <c r="Y62" s="19" t="str">
        <f>IF('Supplier selection'!AQ62="","",'Supplier selection'!AQ62)</f>
        <v/>
      </c>
      <c r="Z62" s="19" t="str">
        <f>IF('Supplier selection'!AR62="","",'Supplier selection'!AR62)</f>
        <v/>
      </c>
      <c r="AA62" s="19" t="str">
        <f t="shared" si="4"/>
        <v/>
      </c>
      <c r="AD62" s="26" t="str">
        <f>IF(AND('Supplier selection'!X62="",'Supplier selection'!AE62=""),"",IF('Supplier selection'!X62="",'Supplier selection'!AE62,'Supplier selection'!X62))</f>
        <v/>
      </c>
      <c r="AE62" s="19" t="str">
        <f t="shared" si="5"/>
        <v/>
      </c>
      <c r="AF62" s="19" t="str">
        <f t="shared" si="6"/>
        <v/>
      </c>
      <c r="AG62" s="27" t="str">
        <f>IF(AND('Supplier selection'!AB62="",'Supplier selection'!AI62=""),"",IF('Supplier selection'!AB62="",'Supplier selection'!AI62,'Supplier selection'!AB62))</f>
        <v/>
      </c>
      <c r="AH62" s="28" t="str">
        <f t="shared" si="7"/>
        <v/>
      </c>
      <c r="AI62" s="7" t="str">
        <f t="shared" si="8"/>
        <v/>
      </c>
      <c r="AJ62" s="22" t="str">
        <f t="shared" si="9"/>
        <v/>
      </c>
      <c r="AK62" s="29" t="str">
        <f t="shared" si="10"/>
        <v/>
      </c>
      <c r="AL62" s="10"/>
    </row>
    <row r="63" spans="1:38">
      <c r="A63" s="19">
        <f>IF('Supplier selection'!A63="","",'Supplier selection'!A63)</f>
        <v>59</v>
      </c>
      <c r="B63" s="19" t="str">
        <f>IF('Supplier selection'!B63="","",'Supplier selection'!B63)</f>
        <v/>
      </c>
      <c r="C63" s="19" t="str">
        <f>IF('Supplier selection'!C63="","",'Supplier selection'!C63)</f>
        <v/>
      </c>
      <c r="D63" s="19" t="str">
        <f>IF('Supplier selection'!D63="","",'Supplier selection'!D63)</f>
        <v/>
      </c>
      <c r="E63" s="19" t="str">
        <f>IF('Supplier selection'!E63="","",'Supplier selection'!E63)</f>
        <v/>
      </c>
      <c r="F63" s="19" t="str">
        <f>IF('Supplier selection'!F63="","",'Supplier selection'!F63)</f>
        <v/>
      </c>
      <c r="G63" s="19" t="str">
        <f>IF('Supplier selection'!G63="","",'Supplier selection'!G63)</f>
        <v/>
      </c>
      <c r="H63" s="19" t="str">
        <f>IF('Supplier selection'!H63="","",'Supplier selection'!H63)</f>
        <v/>
      </c>
      <c r="I63" s="19" t="str">
        <f>IF('Supplier selection'!I63="","",'Supplier selection'!I63)</f>
        <v/>
      </c>
      <c r="J63" s="19" t="str">
        <f>IF('Supplier selection'!J63="","",'Supplier selection'!J63)</f>
        <v/>
      </c>
      <c r="K63" s="19" t="str">
        <f>IF('Supplier selection'!K63="","",'Supplier selection'!K63)</f>
        <v/>
      </c>
      <c r="L63" s="19" t="str">
        <f>IF('Supplier selection'!L63="","",'Supplier selection'!L63)</f>
        <v/>
      </c>
      <c r="M63" s="19" t="str">
        <f>IF('Supplier selection'!M63="","",'Supplier selection'!M63)</f>
        <v/>
      </c>
      <c r="N63" s="19" t="str">
        <f>IF('Supplier selection'!N63="","",'Supplier selection'!N63)</f>
        <v/>
      </c>
      <c r="O63" s="19" t="str">
        <f>IF('Supplier selection'!O63="","",'Supplier selection'!O63)</f>
        <v/>
      </c>
      <c r="Q63" s="19" t="str">
        <f>HLOOKUP($Q$3,'Supplier selection'!$AW$4:'Supplier selection'!$CT$1000,$A64,FALSE)</f>
        <v/>
      </c>
      <c r="R63" s="22" t="str">
        <f t="shared" si="0"/>
        <v/>
      </c>
      <c r="S63" s="19" t="str">
        <f t="shared" si="1"/>
        <v/>
      </c>
      <c r="T63" s="22" t="str">
        <f t="shared" si="2"/>
        <v/>
      </c>
      <c r="U63" s="19" t="str">
        <f t="shared" si="3"/>
        <v/>
      </c>
      <c r="V63" s="7"/>
      <c r="Y63" s="19" t="str">
        <f>IF('Supplier selection'!AQ63="","",'Supplier selection'!AQ63)</f>
        <v/>
      </c>
      <c r="Z63" s="19" t="str">
        <f>IF('Supplier selection'!AR63="","",'Supplier selection'!AR63)</f>
        <v/>
      </c>
      <c r="AA63" s="19" t="str">
        <f t="shared" si="4"/>
        <v/>
      </c>
      <c r="AD63" s="26" t="str">
        <f>IF(AND('Supplier selection'!X63="",'Supplier selection'!AE63=""),"",IF('Supplier selection'!X63="",'Supplier selection'!AE63,'Supplier selection'!X63))</f>
        <v/>
      </c>
      <c r="AE63" s="19" t="str">
        <f t="shared" si="5"/>
        <v/>
      </c>
      <c r="AF63" s="19" t="str">
        <f t="shared" si="6"/>
        <v/>
      </c>
      <c r="AG63" s="27" t="str">
        <f>IF(AND('Supplier selection'!AB63="",'Supplier selection'!AI63=""),"",IF('Supplier selection'!AB63="",'Supplier selection'!AI63,'Supplier selection'!AB63))</f>
        <v/>
      </c>
      <c r="AH63" s="28" t="str">
        <f t="shared" si="7"/>
        <v/>
      </c>
      <c r="AI63" s="7" t="str">
        <f t="shared" si="8"/>
        <v/>
      </c>
      <c r="AJ63" s="22" t="str">
        <f t="shared" si="9"/>
        <v/>
      </c>
      <c r="AK63" s="29" t="str">
        <f t="shared" si="10"/>
        <v/>
      </c>
      <c r="AL63" s="10"/>
    </row>
    <row r="64" spans="1:38">
      <c r="A64" s="19">
        <f>IF('Supplier selection'!A64="","",'Supplier selection'!A64)</f>
        <v>60</v>
      </c>
      <c r="B64" s="19" t="str">
        <f>IF('Supplier selection'!B64="","",'Supplier selection'!B64)</f>
        <v/>
      </c>
      <c r="C64" s="19" t="str">
        <f>IF('Supplier selection'!C64="","",'Supplier selection'!C64)</f>
        <v/>
      </c>
      <c r="D64" s="19" t="str">
        <f>IF('Supplier selection'!D64="","",'Supplier selection'!D64)</f>
        <v/>
      </c>
      <c r="E64" s="19" t="str">
        <f>IF('Supplier selection'!E64="","",'Supplier selection'!E64)</f>
        <v/>
      </c>
      <c r="F64" s="19" t="str">
        <f>IF('Supplier selection'!F64="","",'Supplier selection'!F64)</f>
        <v/>
      </c>
      <c r="G64" s="19" t="str">
        <f>IF('Supplier selection'!G64="","",'Supplier selection'!G64)</f>
        <v/>
      </c>
      <c r="H64" s="19" t="str">
        <f>IF('Supplier selection'!H64="","",'Supplier selection'!H64)</f>
        <v/>
      </c>
      <c r="I64" s="19" t="str">
        <f>IF('Supplier selection'!I64="","",'Supplier selection'!I64)</f>
        <v/>
      </c>
      <c r="J64" s="19" t="str">
        <f>IF('Supplier selection'!J64="","",'Supplier selection'!J64)</f>
        <v/>
      </c>
      <c r="K64" s="19" t="str">
        <f>IF('Supplier selection'!K64="","",'Supplier selection'!K64)</f>
        <v/>
      </c>
      <c r="L64" s="19" t="str">
        <f>IF('Supplier selection'!L64="","",'Supplier selection'!L64)</f>
        <v/>
      </c>
      <c r="M64" s="19" t="str">
        <f>IF('Supplier selection'!M64="","",'Supplier selection'!M64)</f>
        <v/>
      </c>
      <c r="N64" s="19" t="str">
        <f>IF('Supplier selection'!N64="","",'Supplier selection'!N64)</f>
        <v/>
      </c>
      <c r="O64" s="19" t="str">
        <f>IF('Supplier selection'!O64="","",'Supplier selection'!O64)</f>
        <v/>
      </c>
      <c r="Q64" s="19" t="str">
        <f>HLOOKUP($Q$3,'Supplier selection'!$AW$4:'Supplier selection'!$CT$1000,$A65,FALSE)</f>
        <v/>
      </c>
      <c r="R64" s="22" t="str">
        <f t="shared" si="0"/>
        <v/>
      </c>
      <c r="S64" s="19" t="str">
        <f t="shared" si="1"/>
        <v/>
      </c>
      <c r="T64" s="22" t="str">
        <f t="shared" si="2"/>
        <v/>
      </c>
      <c r="U64" s="19" t="str">
        <f t="shared" si="3"/>
        <v/>
      </c>
      <c r="V64" s="7"/>
      <c r="Y64" s="19" t="str">
        <f>IF('Supplier selection'!AQ64="","",'Supplier selection'!AQ64)</f>
        <v/>
      </c>
      <c r="Z64" s="19" t="str">
        <f>IF('Supplier selection'!AR64="","",'Supplier selection'!AR64)</f>
        <v/>
      </c>
      <c r="AA64" s="19" t="str">
        <f t="shared" si="4"/>
        <v/>
      </c>
      <c r="AD64" s="26" t="str">
        <f>IF(AND('Supplier selection'!X64="",'Supplier selection'!AE64=""),"",IF('Supplier selection'!X64="",'Supplier selection'!AE64,'Supplier selection'!X64))</f>
        <v/>
      </c>
      <c r="AE64" s="19" t="str">
        <f t="shared" si="5"/>
        <v/>
      </c>
      <c r="AF64" s="19" t="str">
        <f t="shared" si="6"/>
        <v/>
      </c>
      <c r="AG64" s="27" t="str">
        <f>IF(AND('Supplier selection'!AB64="",'Supplier selection'!AI64=""),"",IF('Supplier selection'!AB64="",'Supplier selection'!AI64,'Supplier selection'!AB64))</f>
        <v/>
      </c>
      <c r="AH64" s="28" t="str">
        <f t="shared" si="7"/>
        <v/>
      </c>
      <c r="AI64" s="7" t="str">
        <f t="shared" si="8"/>
        <v/>
      </c>
      <c r="AJ64" s="22" t="str">
        <f t="shared" si="9"/>
        <v/>
      </c>
      <c r="AK64" s="29" t="str">
        <f t="shared" si="10"/>
        <v/>
      </c>
      <c r="AL64" s="10"/>
    </row>
    <row r="65" spans="1:38">
      <c r="A65" s="19">
        <f>IF('Supplier selection'!A65="","",'Supplier selection'!A65)</f>
        <v>61</v>
      </c>
      <c r="B65" s="19" t="str">
        <f>IF('Supplier selection'!B65="","",'Supplier selection'!B65)</f>
        <v/>
      </c>
      <c r="C65" s="19" t="str">
        <f>IF('Supplier selection'!C65="","",'Supplier selection'!C65)</f>
        <v/>
      </c>
      <c r="D65" s="19" t="str">
        <f>IF('Supplier selection'!D65="","",'Supplier selection'!D65)</f>
        <v/>
      </c>
      <c r="E65" s="19" t="str">
        <f>IF('Supplier selection'!E65="","",'Supplier selection'!E65)</f>
        <v/>
      </c>
      <c r="F65" s="19" t="str">
        <f>IF('Supplier selection'!F65="","",'Supplier selection'!F65)</f>
        <v/>
      </c>
      <c r="G65" s="19" t="str">
        <f>IF('Supplier selection'!G65="","",'Supplier selection'!G65)</f>
        <v/>
      </c>
      <c r="H65" s="19" t="str">
        <f>IF('Supplier selection'!H65="","",'Supplier selection'!H65)</f>
        <v/>
      </c>
      <c r="I65" s="19" t="str">
        <f>IF('Supplier selection'!I65="","",'Supplier selection'!I65)</f>
        <v/>
      </c>
      <c r="J65" s="19" t="str">
        <f>IF('Supplier selection'!J65="","",'Supplier selection'!J65)</f>
        <v/>
      </c>
      <c r="K65" s="19" t="str">
        <f>IF('Supplier selection'!K65="","",'Supplier selection'!K65)</f>
        <v/>
      </c>
      <c r="L65" s="19" t="str">
        <f>IF('Supplier selection'!L65="","",'Supplier selection'!L65)</f>
        <v/>
      </c>
      <c r="M65" s="19" t="str">
        <f>IF('Supplier selection'!M65="","",'Supplier selection'!M65)</f>
        <v/>
      </c>
      <c r="N65" s="19" t="str">
        <f>IF('Supplier selection'!N65="","",'Supplier selection'!N65)</f>
        <v/>
      </c>
      <c r="O65" s="19" t="str">
        <f>IF('Supplier selection'!O65="","",'Supplier selection'!O65)</f>
        <v/>
      </c>
      <c r="Q65" s="19" t="str">
        <f>HLOOKUP($Q$3,'Supplier selection'!$AW$4:'Supplier selection'!$CT$1000,$A66,FALSE)</f>
        <v/>
      </c>
      <c r="R65" s="22" t="str">
        <f t="shared" si="0"/>
        <v/>
      </c>
      <c r="S65" s="19" t="str">
        <f t="shared" si="1"/>
        <v/>
      </c>
      <c r="T65" s="22" t="str">
        <f t="shared" si="2"/>
        <v/>
      </c>
      <c r="U65" s="19" t="str">
        <f t="shared" si="3"/>
        <v/>
      </c>
      <c r="V65" s="7"/>
      <c r="Y65" s="19" t="str">
        <f>IF('Supplier selection'!AQ65="","",'Supplier selection'!AQ65)</f>
        <v/>
      </c>
      <c r="Z65" s="19" t="str">
        <f>IF('Supplier selection'!AR65="","",'Supplier selection'!AR65)</f>
        <v/>
      </c>
      <c r="AA65" s="19" t="str">
        <f t="shared" si="4"/>
        <v/>
      </c>
      <c r="AD65" s="26" t="str">
        <f>IF(AND('Supplier selection'!X65="",'Supplier selection'!AE65=""),"",IF('Supplier selection'!X65="",'Supplier selection'!AE65,'Supplier selection'!X65))</f>
        <v/>
      </c>
      <c r="AE65" s="19" t="str">
        <f t="shared" si="5"/>
        <v/>
      </c>
      <c r="AF65" s="19" t="str">
        <f t="shared" si="6"/>
        <v/>
      </c>
      <c r="AG65" s="27" t="str">
        <f>IF(AND('Supplier selection'!AB65="",'Supplier selection'!AI65=""),"",IF('Supplier selection'!AB65="",'Supplier selection'!AI65,'Supplier selection'!AB65))</f>
        <v/>
      </c>
      <c r="AH65" s="28" t="str">
        <f t="shared" si="7"/>
        <v/>
      </c>
      <c r="AI65" s="7" t="str">
        <f t="shared" si="8"/>
        <v/>
      </c>
      <c r="AJ65" s="22" t="str">
        <f t="shared" si="9"/>
        <v/>
      </c>
      <c r="AK65" s="29" t="str">
        <f t="shared" si="10"/>
        <v/>
      </c>
      <c r="AL65" s="10"/>
    </row>
    <row r="66" spans="1:38">
      <c r="A66" s="19">
        <f>IF('Supplier selection'!A66="","",'Supplier selection'!A66)</f>
        <v>62</v>
      </c>
      <c r="B66" s="19" t="str">
        <f>IF('Supplier selection'!B66="","",'Supplier selection'!B66)</f>
        <v/>
      </c>
      <c r="C66" s="19" t="str">
        <f>IF('Supplier selection'!C66="","",'Supplier selection'!C66)</f>
        <v/>
      </c>
      <c r="D66" s="19" t="str">
        <f>IF('Supplier selection'!D66="","",'Supplier selection'!D66)</f>
        <v/>
      </c>
      <c r="E66" s="19" t="str">
        <f>IF('Supplier selection'!E66="","",'Supplier selection'!E66)</f>
        <v/>
      </c>
      <c r="F66" s="19" t="str">
        <f>IF('Supplier selection'!F66="","",'Supplier selection'!F66)</f>
        <v/>
      </c>
      <c r="G66" s="19" t="str">
        <f>IF('Supplier selection'!G66="","",'Supplier selection'!G66)</f>
        <v/>
      </c>
      <c r="H66" s="19" t="str">
        <f>IF('Supplier selection'!H66="","",'Supplier selection'!H66)</f>
        <v/>
      </c>
      <c r="I66" s="19" t="str">
        <f>IF('Supplier selection'!I66="","",'Supplier selection'!I66)</f>
        <v/>
      </c>
      <c r="J66" s="19" t="str">
        <f>IF('Supplier selection'!J66="","",'Supplier selection'!J66)</f>
        <v/>
      </c>
      <c r="K66" s="19" t="str">
        <f>IF('Supplier selection'!K66="","",'Supplier selection'!K66)</f>
        <v/>
      </c>
      <c r="L66" s="19" t="str">
        <f>IF('Supplier selection'!L66="","",'Supplier selection'!L66)</f>
        <v/>
      </c>
      <c r="M66" s="19" t="str">
        <f>IF('Supplier selection'!M66="","",'Supplier selection'!M66)</f>
        <v/>
      </c>
      <c r="N66" s="19" t="str">
        <f>IF('Supplier selection'!N66="","",'Supplier selection'!N66)</f>
        <v/>
      </c>
      <c r="O66" s="19" t="str">
        <f>IF('Supplier selection'!O66="","",'Supplier selection'!O66)</f>
        <v/>
      </c>
      <c r="Q66" s="19" t="str">
        <f>HLOOKUP($Q$3,'Supplier selection'!$AW$4:'Supplier selection'!$CT$1000,$A67,FALSE)</f>
        <v/>
      </c>
      <c r="R66" s="22" t="str">
        <f t="shared" si="0"/>
        <v/>
      </c>
      <c r="S66" s="19" t="str">
        <f t="shared" si="1"/>
        <v/>
      </c>
      <c r="T66" s="22" t="str">
        <f t="shared" si="2"/>
        <v/>
      </c>
      <c r="U66" s="19" t="str">
        <f t="shared" si="3"/>
        <v/>
      </c>
      <c r="V66" s="7"/>
      <c r="Y66" s="19" t="str">
        <f>IF('Supplier selection'!AQ66="","",'Supplier selection'!AQ66)</f>
        <v/>
      </c>
      <c r="Z66" s="19" t="str">
        <f>IF('Supplier selection'!AR66="","",'Supplier selection'!AR66)</f>
        <v/>
      </c>
      <c r="AA66" s="19" t="str">
        <f t="shared" si="4"/>
        <v/>
      </c>
      <c r="AD66" s="26" t="str">
        <f>IF(AND('Supplier selection'!X66="",'Supplier selection'!AE66=""),"",IF('Supplier selection'!X66="",'Supplier selection'!AE66,'Supplier selection'!X66))</f>
        <v/>
      </c>
      <c r="AE66" s="19" t="str">
        <f t="shared" si="5"/>
        <v/>
      </c>
      <c r="AF66" s="19" t="str">
        <f t="shared" si="6"/>
        <v/>
      </c>
      <c r="AG66" s="27" t="str">
        <f>IF(AND('Supplier selection'!AB66="",'Supplier selection'!AI66=""),"",IF('Supplier selection'!AB66="",'Supplier selection'!AI66,'Supplier selection'!AB66))</f>
        <v/>
      </c>
      <c r="AH66" s="28" t="str">
        <f t="shared" si="7"/>
        <v/>
      </c>
      <c r="AI66" s="7" t="str">
        <f t="shared" si="8"/>
        <v/>
      </c>
      <c r="AJ66" s="22" t="str">
        <f t="shared" si="9"/>
        <v/>
      </c>
      <c r="AK66" s="29" t="str">
        <f t="shared" si="10"/>
        <v/>
      </c>
      <c r="AL66" s="10"/>
    </row>
    <row r="67" spans="1:38">
      <c r="A67" s="19">
        <f>IF('Supplier selection'!A67="","",'Supplier selection'!A67)</f>
        <v>63</v>
      </c>
      <c r="B67" s="19" t="str">
        <f>IF('Supplier selection'!B67="","",'Supplier selection'!B67)</f>
        <v/>
      </c>
      <c r="C67" s="19" t="str">
        <f>IF('Supplier selection'!C67="","",'Supplier selection'!C67)</f>
        <v/>
      </c>
      <c r="D67" s="19" t="str">
        <f>IF('Supplier selection'!D67="","",'Supplier selection'!D67)</f>
        <v/>
      </c>
      <c r="E67" s="19" t="str">
        <f>IF('Supplier selection'!E67="","",'Supplier selection'!E67)</f>
        <v/>
      </c>
      <c r="F67" s="19" t="str">
        <f>IF('Supplier selection'!F67="","",'Supplier selection'!F67)</f>
        <v/>
      </c>
      <c r="G67" s="19" t="str">
        <f>IF('Supplier selection'!G67="","",'Supplier selection'!G67)</f>
        <v/>
      </c>
      <c r="H67" s="19" t="str">
        <f>IF('Supplier selection'!H67="","",'Supplier selection'!H67)</f>
        <v/>
      </c>
      <c r="I67" s="19" t="str">
        <f>IF('Supplier selection'!I67="","",'Supplier selection'!I67)</f>
        <v/>
      </c>
      <c r="J67" s="19" t="str">
        <f>IF('Supplier selection'!J67="","",'Supplier selection'!J67)</f>
        <v/>
      </c>
      <c r="K67" s="19" t="str">
        <f>IF('Supplier selection'!K67="","",'Supplier selection'!K67)</f>
        <v/>
      </c>
      <c r="L67" s="19" t="str">
        <f>IF('Supplier selection'!L67="","",'Supplier selection'!L67)</f>
        <v/>
      </c>
      <c r="M67" s="19" t="str">
        <f>IF('Supplier selection'!M67="","",'Supplier selection'!M67)</f>
        <v/>
      </c>
      <c r="N67" s="19" t="str">
        <f>IF('Supplier selection'!N67="","",'Supplier selection'!N67)</f>
        <v/>
      </c>
      <c r="O67" s="19" t="str">
        <f>IF('Supplier selection'!O67="","",'Supplier selection'!O67)</f>
        <v/>
      </c>
      <c r="Q67" s="19" t="str">
        <f>HLOOKUP($Q$3,'Supplier selection'!$AW$4:'Supplier selection'!$CT$1000,$A68,FALSE)</f>
        <v/>
      </c>
      <c r="R67" s="22" t="str">
        <f t="shared" si="0"/>
        <v/>
      </c>
      <c r="S67" s="19" t="str">
        <f t="shared" si="1"/>
        <v/>
      </c>
      <c r="T67" s="22" t="str">
        <f t="shared" si="2"/>
        <v/>
      </c>
      <c r="U67" s="19" t="str">
        <f t="shared" si="3"/>
        <v/>
      </c>
      <c r="V67" s="7"/>
      <c r="Y67" s="19" t="str">
        <f>IF('Supplier selection'!AQ67="","",'Supplier selection'!AQ67)</f>
        <v/>
      </c>
      <c r="Z67" s="19" t="str">
        <f>IF('Supplier selection'!AR67="","",'Supplier selection'!AR67)</f>
        <v/>
      </c>
      <c r="AA67" s="19" t="str">
        <f t="shared" si="4"/>
        <v/>
      </c>
      <c r="AD67" s="26" t="str">
        <f>IF(AND('Supplier selection'!X67="",'Supplier selection'!AE67=""),"",IF('Supplier selection'!X67="",'Supplier selection'!AE67,'Supplier selection'!X67))</f>
        <v/>
      </c>
      <c r="AE67" s="19" t="str">
        <f t="shared" si="5"/>
        <v/>
      </c>
      <c r="AF67" s="19" t="str">
        <f t="shared" si="6"/>
        <v/>
      </c>
      <c r="AG67" s="27" t="str">
        <f>IF(AND('Supplier selection'!AB67="",'Supplier selection'!AI67=""),"",IF('Supplier selection'!AB67="",'Supplier selection'!AI67,'Supplier selection'!AB67))</f>
        <v/>
      </c>
      <c r="AH67" s="28" t="str">
        <f t="shared" si="7"/>
        <v/>
      </c>
      <c r="AI67" s="7" t="str">
        <f t="shared" si="8"/>
        <v/>
      </c>
      <c r="AJ67" s="22" t="str">
        <f t="shared" si="9"/>
        <v/>
      </c>
      <c r="AK67" s="29" t="str">
        <f t="shared" si="10"/>
        <v/>
      </c>
      <c r="AL67" s="10"/>
    </row>
    <row r="68" spans="1:38">
      <c r="A68" s="19">
        <f>IF('Supplier selection'!A68="","",'Supplier selection'!A68)</f>
        <v>64</v>
      </c>
      <c r="B68" s="19" t="str">
        <f>IF('Supplier selection'!B68="","",'Supplier selection'!B68)</f>
        <v/>
      </c>
      <c r="C68" s="19" t="str">
        <f>IF('Supplier selection'!C68="","",'Supplier selection'!C68)</f>
        <v/>
      </c>
      <c r="D68" s="19" t="str">
        <f>IF('Supplier selection'!D68="","",'Supplier selection'!D68)</f>
        <v/>
      </c>
      <c r="E68" s="19" t="str">
        <f>IF('Supplier selection'!E68="","",'Supplier selection'!E68)</f>
        <v/>
      </c>
      <c r="F68" s="19" t="str">
        <f>IF('Supplier selection'!F68="","",'Supplier selection'!F68)</f>
        <v/>
      </c>
      <c r="G68" s="19" t="str">
        <f>IF('Supplier selection'!G68="","",'Supplier selection'!G68)</f>
        <v/>
      </c>
      <c r="H68" s="19" t="str">
        <f>IF('Supplier selection'!H68="","",'Supplier selection'!H68)</f>
        <v/>
      </c>
      <c r="I68" s="19" t="str">
        <f>IF('Supplier selection'!I68="","",'Supplier selection'!I68)</f>
        <v/>
      </c>
      <c r="J68" s="19" t="str">
        <f>IF('Supplier selection'!J68="","",'Supplier selection'!J68)</f>
        <v/>
      </c>
      <c r="K68" s="19" t="str">
        <f>IF('Supplier selection'!K68="","",'Supplier selection'!K68)</f>
        <v/>
      </c>
      <c r="L68" s="19" t="str">
        <f>IF('Supplier selection'!L68="","",'Supplier selection'!L68)</f>
        <v/>
      </c>
      <c r="M68" s="19" t="str">
        <f>IF('Supplier selection'!M68="","",'Supplier selection'!M68)</f>
        <v/>
      </c>
      <c r="N68" s="19" t="str">
        <f>IF('Supplier selection'!N68="","",'Supplier selection'!N68)</f>
        <v/>
      </c>
      <c r="O68" s="19" t="str">
        <f>IF('Supplier selection'!O68="","",'Supplier selection'!O68)</f>
        <v/>
      </c>
      <c r="Q68" s="19" t="str">
        <f>HLOOKUP($Q$3,'Supplier selection'!$AW$4:'Supplier selection'!$CT$1000,$A69,FALSE)</f>
        <v/>
      </c>
      <c r="R68" s="22" t="str">
        <f t="shared" si="0"/>
        <v/>
      </c>
      <c r="S68" s="19" t="str">
        <f t="shared" si="1"/>
        <v/>
      </c>
      <c r="T68" s="22" t="str">
        <f t="shared" si="2"/>
        <v/>
      </c>
      <c r="U68" s="19" t="str">
        <f t="shared" si="3"/>
        <v/>
      </c>
      <c r="V68" s="7"/>
      <c r="Y68" s="19" t="str">
        <f>IF('Supplier selection'!AQ68="","",'Supplier selection'!AQ68)</f>
        <v/>
      </c>
      <c r="Z68" s="19" t="str">
        <f>IF('Supplier selection'!AR68="","",'Supplier selection'!AR68)</f>
        <v/>
      </c>
      <c r="AA68" s="19" t="str">
        <f t="shared" si="4"/>
        <v/>
      </c>
      <c r="AD68" s="26" t="str">
        <f>IF(AND('Supplier selection'!X68="",'Supplier selection'!AE68=""),"",IF('Supplier selection'!X68="",'Supplier selection'!AE68,'Supplier selection'!X68))</f>
        <v/>
      </c>
      <c r="AE68" s="19" t="str">
        <f t="shared" si="5"/>
        <v/>
      </c>
      <c r="AF68" s="19" t="str">
        <f t="shared" si="6"/>
        <v/>
      </c>
      <c r="AG68" s="27" t="str">
        <f>IF(AND('Supplier selection'!AB68="",'Supplier selection'!AI68=""),"",IF('Supplier selection'!AB68="",'Supplier selection'!AI68,'Supplier selection'!AB68))</f>
        <v/>
      </c>
      <c r="AH68" s="28" t="str">
        <f t="shared" si="7"/>
        <v/>
      </c>
      <c r="AI68" s="7" t="str">
        <f t="shared" si="8"/>
        <v/>
      </c>
      <c r="AJ68" s="22" t="str">
        <f t="shared" si="9"/>
        <v/>
      </c>
      <c r="AK68" s="29" t="str">
        <f t="shared" si="10"/>
        <v/>
      </c>
      <c r="AL68" s="10"/>
    </row>
    <row r="69" spans="1:38">
      <c r="A69" s="19">
        <f>IF('Supplier selection'!A69="","",'Supplier selection'!A69)</f>
        <v>65</v>
      </c>
      <c r="B69" s="19" t="str">
        <f>IF('Supplier selection'!B69="","",'Supplier selection'!B69)</f>
        <v/>
      </c>
      <c r="C69" s="19" t="str">
        <f>IF('Supplier selection'!C69="","",'Supplier selection'!C69)</f>
        <v/>
      </c>
      <c r="D69" s="19" t="str">
        <f>IF('Supplier selection'!D69="","",'Supplier selection'!D69)</f>
        <v/>
      </c>
      <c r="E69" s="19" t="str">
        <f>IF('Supplier selection'!E69="","",'Supplier selection'!E69)</f>
        <v/>
      </c>
      <c r="F69" s="19" t="str">
        <f>IF('Supplier selection'!F69="","",'Supplier selection'!F69)</f>
        <v/>
      </c>
      <c r="G69" s="19" t="str">
        <f>IF('Supplier selection'!G69="","",'Supplier selection'!G69)</f>
        <v/>
      </c>
      <c r="H69" s="19" t="str">
        <f>IF('Supplier selection'!H69="","",'Supplier selection'!H69)</f>
        <v/>
      </c>
      <c r="I69" s="19" t="str">
        <f>IF('Supplier selection'!I69="","",'Supplier selection'!I69)</f>
        <v/>
      </c>
      <c r="J69" s="19" t="str">
        <f>IF('Supplier selection'!J69="","",'Supplier selection'!J69)</f>
        <v/>
      </c>
      <c r="K69" s="19" t="str">
        <f>IF('Supplier selection'!K69="","",'Supplier selection'!K69)</f>
        <v/>
      </c>
      <c r="L69" s="19" t="str">
        <f>IF('Supplier selection'!L69="","",'Supplier selection'!L69)</f>
        <v/>
      </c>
      <c r="M69" s="19" t="str">
        <f>IF('Supplier selection'!M69="","",'Supplier selection'!M69)</f>
        <v/>
      </c>
      <c r="N69" s="19" t="str">
        <f>IF('Supplier selection'!N69="","",'Supplier selection'!N69)</f>
        <v/>
      </c>
      <c r="O69" s="19" t="str">
        <f>IF('Supplier selection'!O69="","",'Supplier selection'!O69)</f>
        <v/>
      </c>
      <c r="Q69" s="19" t="str">
        <f>HLOOKUP($Q$3,'Supplier selection'!$AW$4:'Supplier selection'!$CT$1000,$A70,FALSE)</f>
        <v/>
      </c>
      <c r="R69" s="22" t="str">
        <f t="shared" si="0"/>
        <v/>
      </c>
      <c r="S69" s="19" t="str">
        <f t="shared" si="1"/>
        <v/>
      </c>
      <c r="T69" s="22" t="str">
        <f t="shared" si="2"/>
        <v/>
      </c>
      <c r="U69" s="19" t="str">
        <f t="shared" si="3"/>
        <v/>
      </c>
      <c r="V69" s="7"/>
      <c r="Y69" s="19" t="str">
        <f>IF('Supplier selection'!AQ69="","",'Supplier selection'!AQ69)</f>
        <v/>
      </c>
      <c r="Z69" s="19" t="str">
        <f>IF('Supplier selection'!AR69="","",'Supplier selection'!AR69)</f>
        <v/>
      </c>
      <c r="AA69" s="19" t="str">
        <f t="shared" si="4"/>
        <v/>
      </c>
      <c r="AD69" s="26" t="str">
        <f>IF(AND('Supplier selection'!X69="",'Supplier selection'!AE69=""),"",IF('Supplier selection'!X69="",'Supplier selection'!AE69,'Supplier selection'!X69))</f>
        <v/>
      </c>
      <c r="AE69" s="19" t="str">
        <f t="shared" si="5"/>
        <v/>
      </c>
      <c r="AF69" s="19" t="str">
        <f t="shared" si="6"/>
        <v/>
      </c>
      <c r="AG69" s="27" t="str">
        <f>IF(AND('Supplier selection'!AB69="",'Supplier selection'!AI69=""),"",IF('Supplier selection'!AB69="",'Supplier selection'!AI69,'Supplier selection'!AB69))</f>
        <v/>
      </c>
      <c r="AH69" s="28" t="str">
        <f t="shared" si="7"/>
        <v/>
      </c>
      <c r="AI69" s="7" t="str">
        <f t="shared" si="8"/>
        <v/>
      </c>
      <c r="AJ69" s="22" t="str">
        <f t="shared" si="9"/>
        <v/>
      </c>
      <c r="AK69" s="29" t="str">
        <f t="shared" si="10"/>
        <v/>
      </c>
      <c r="AL69" s="10"/>
    </row>
    <row r="70" spans="1:38">
      <c r="A70" s="19">
        <f>IF('Supplier selection'!A70="","",'Supplier selection'!A70)</f>
        <v>66</v>
      </c>
      <c r="B70" s="19" t="str">
        <f>IF('Supplier selection'!B70="","",'Supplier selection'!B70)</f>
        <v/>
      </c>
      <c r="C70" s="19" t="str">
        <f>IF('Supplier selection'!C70="","",'Supplier selection'!C70)</f>
        <v/>
      </c>
      <c r="D70" s="19" t="str">
        <f>IF('Supplier selection'!D70="","",'Supplier selection'!D70)</f>
        <v/>
      </c>
      <c r="E70" s="19" t="str">
        <f>IF('Supplier selection'!E70="","",'Supplier selection'!E70)</f>
        <v/>
      </c>
      <c r="F70" s="19" t="str">
        <f>IF('Supplier selection'!F70="","",'Supplier selection'!F70)</f>
        <v/>
      </c>
      <c r="G70" s="19" t="str">
        <f>IF('Supplier selection'!G70="","",'Supplier selection'!G70)</f>
        <v/>
      </c>
      <c r="H70" s="19" t="str">
        <f>IF('Supplier selection'!H70="","",'Supplier selection'!H70)</f>
        <v/>
      </c>
      <c r="I70" s="19" t="str">
        <f>IF('Supplier selection'!I70="","",'Supplier selection'!I70)</f>
        <v/>
      </c>
      <c r="J70" s="19" t="str">
        <f>IF('Supplier selection'!J70="","",'Supplier selection'!J70)</f>
        <v/>
      </c>
      <c r="K70" s="19" t="str">
        <f>IF('Supplier selection'!K70="","",'Supplier selection'!K70)</f>
        <v/>
      </c>
      <c r="L70" s="19" t="str">
        <f>IF('Supplier selection'!L70="","",'Supplier selection'!L70)</f>
        <v/>
      </c>
      <c r="M70" s="19" t="str">
        <f>IF('Supplier selection'!M70="","",'Supplier selection'!M70)</f>
        <v/>
      </c>
      <c r="N70" s="19" t="str">
        <f>IF('Supplier selection'!N70="","",'Supplier selection'!N70)</f>
        <v/>
      </c>
      <c r="O70" s="19" t="str">
        <f>IF('Supplier selection'!O70="","",'Supplier selection'!O70)</f>
        <v/>
      </c>
      <c r="Q70" s="19" t="str">
        <f>HLOOKUP($Q$3,'Supplier selection'!$AW$4:'Supplier selection'!$CT$1000,$A71,FALSE)</f>
        <v/>
      </c>
      <c r="R70" s="22" t="str">
        <f t="shared" ref="R70:R133" si="11">IF(OR(Q70="",O70=""),"",(Q70-O70)/O70)</f>
        <v/>
      </c>
      <c r="S70" s="19" t="str">
        <f t="shared" ref="S70:S133" si="12">IF(OR(H70="",O70="",Q70=""),"",(Q70*H70)-(H70*O70))</f>
        <v/>
      </c>
      <c r="T70" s="22" t="str">
        <f t="shared" ref="T70:T133" si="13">IF(OR(Y70="",Q70=""),"",(Q70-Y70)/Y70)</f>
        <v/>
      </c>
      <c r="U70" s="19" t="str">
        <f t="shared" ref="U70:U133" si="14">IF(OR(Y70="",Q70="",H70=""),"",(Q70*H70)-(Y70*H70))</f>
        <v/>
      </c>
      <c r="V70" s="7"/>
      <c r="Y70" s="19" t="str">
        <f>IF('Supplier selection'!AQ70="","",'Supplier selection'!AQ70)</f>
        <v/>
      </c>
      <c r="Z70" s="19" t="str">
        <f>IF('Supplier selection'!AR70="","",'Supplier selection'!AR70)</f>
        <v/>
      </c>
      <c r="AA70" s="19" t="str">
        <f t="shared" ref="AA70:AA133" si="15">IF(OR(Y70="",O70="",H70=""),"",((H70*Y70)-(H70*O70)))</f>
        <v/>
      </c>
      <c r="AD70" s="26" t="str">
        <f>IF(AND('Supplier selection'!X70="",'Supplier selection'!AE70=""),"",IF('Supplier selection'!X70="",'Supplier selection'!AE70,'Supplier selection'!X70))</f>
        <v/>
      </c>
      <c r="AE70" s="19" t="str">
        <f t="shared" ref="AE70:AE133" si="16">IF(AD70="","",J70)</f>
        <v/>
      </c>
      <c r="AF70" s="19" t="str">
        <f t="shared" ref="AF70:AF133" si="17">IF(AD70="","",L70)</f>
        <v/>
      </c>
      <c r="AG70" s="27" t="str">
        <f>IF(AND('Supplier selection'!AB70="",'Supplier selection'!AI70=""),"",IF('Supplier selection'!AB70="",'Supplier selection'!AI70,'Supplier selection'!AB70))</f>
        <v/>
      </c>
      <c r="AH70" s="28" t="str">
        <f t="shared" ref="AH70:AH133" si="18">IF(OR(AG70="",O70=""),"",(AG70-O70)/O70)</f>
        <v/>
      </c>
      <c r="AI70" s="7" t="str">
        <f t="shared" ref="AI70:AI133" si="19">IF(OR(H70="",O70="",AG70=""),"",(AG70*H70)-(H70*O70))</f>
        <v/>
      </c>
      <c r="AJ70" s="22" t="str">
        <f t="shared" ref="AJ70:AJ133" si="20">IF(OR(AG70="",Y70=""),"",(AG70-Y70)/Y70)</f>
        <v/>
      </c>
      <c r="AK70" s="29" t="str">
        <f t="shared" ref="AK70:AK133" si="21">IF(OR(H70="",Y70="",AG70=""),"",(AG70*H70)-(H70*Y70))</f>
        <v/>
      </c>
      <c r="AL70" s="10"/>
    </row>
    <row r="71" spans="1:38">
      <c r="A71" s="19">
        <f>IF('Supplier selection'!A71="","",'Supplier selection'!A71)</f>
        <v>67</v>
      </c>
      <c r="B71" s="19" t="str">
        <f>IF('Supplier selection'!B71="","",'Supplier selection'!B71)</f>
        <v/>
      </c>
      <c r="C71" s="19" t="str">
        <f>IF('Supplier selection'!C71="","",'Supplier selection'!C71)</f>
        <v/>
      </c>
      <c r="D71" s="19" t="str">
        <f>IF('Supplier selection'!D71="","",'Supplier selection'!D71)</f>
        <v/>
      </c>
      <c r="E71" s="19" t="str">
        <f>IF('Supplier selection'!E71="","",'Supplier selection'!E71)</f>
        <v/>
      </c>
      <c r="F71" s="19" t="str">
        <f>IF('Supplier selection'!F71="","",'Supplier selection'!F71)</f>
        <v/>
      </c>
      <c r="G71" s="19" t="str">
        <f>IF('Supplier selection'!G71="","",'Supplier selection'!G71)</f>
        <v/>
      </c>
      <c r="H71" s="19" t="str">
        <f>IF('Supplier selection'!H71="","",'Supplier selection'!H71)</f>
        <v/>
      </c>
      <c r="I71" s="19" t="str">
        <f>IF('Supplier selection'!I71="","",'Supplier selection'!I71)</f>
        <v/>
      </c>
      <c r="J71" s="19" t="str">
        <f>IF('Supplier selection'!J71="","",'Supplier selection'!J71)</f>
        <v/>
      </c>
      <c r="K71" s="19" t="str">
        <f>IF('Supplier selection'!K71="","",'Supplier selection'!K71)</f>
        <v/>
      </c>
      <c r="L71" s="19" t="str">
        <f>IF('Supplier selection'!L71="","",'Supplier selection'!L71)</f>
        <v/>
      </c>
      <c r="M71" s="19" t="str">
        <f>IF('Supplier selection'!M71="","",'Supplier selection'!M71)</f>
        <v/>
      </c>
      <c r="N71" s="19" t="str">
        <f>IF('Supplier selection'!N71="","",'Supplier selection'!N71)</f>
        <v/>
      </c>
      <c r="O71" s="19" t="str">
        <f>IF('Supplier selection'!O71="","",'Supplier selection'!O71)</f>
        <v/>
      </c>
      <c r="Q71" s="19" t="str">
        <f>HLOOKUP($Q$3,'Supplier selection'!$AW$4:'Supplier selection'!$CT$1000,$A72,FALSE)</f>
        <v/>
      </c>
      <c r="R71" s="22" t="str">
        <f t="shared" si="11"/>
        <v/>
      </c>
      <c r="S71" s="19" t="str">
        <f t="shared" si="12"/>
        <v/>
      </c>
      <c r="T71" s="22" t="str">
        <f t="shared" si="13"/>
        <v/>
      </c>
      <c r="U71" s="19" t="str">
        <f t="shared" si="14"/>
        <v/>
      </c>
      <c r="V71" s="7"/>
      <c r="Y71" s="19" t="str">
        <f>IF('Supplier selection'!AQ71="","",'Supplier selection'!AQ71)</f>
        <v/>
      </c>
      <c r="Z71" s="19" t="str">
        <f>IF('Supplier selection'!AR71="","",'Supplier selection'!AR71)</f>
        <v/>
      </c>
      <c r="AA71" s="19" t="str">
        <f t="shared" si="15"/>
        <v/>
      </c>
      <c r="AD71" s="26" t="str">
        <f>IF(AND('Supplier selection'!X71="",'Supplier selection'!AE71=""),"",IF('Supplier selection'!X71="",'Supplier selection'!AE71,'Supplier selection'!X71))</f>
        <v/>
      </c>
      <c r="AE71" s="19" t="str">
        <f t="shared" si="16"/>
        <v/>
      </c>
      <c r="AF71" s="19" t="str">
        <f t="shared" si="17"/>
        <v/>
      </c>
      <c r="AG71" s="27" t="str">
        <f>IF(AND('Supplier selection'!AB71="",'Supplier selection'!AI71=""),"",IF('Supplier selection'!AB71="",'Supplier selection'!AI71,'Supplier selection'!AB71))</f>
        <v/>
      </c>
      <c r="AH71" s="28" t="str">
        <f t="shared" si="18"/>
        <v/>
      </c>
      <c r="AI71" s="7" t="str">
        <f t="shared" si="19"/>
        <v/>
      </c>
      <c r="AJ71" s="22" t="str">
        <f t="shared" si="20"/>
        <v/>
      </c>
      <c r="AK71" s="29" t="str">
        <f t="shared" si="21"/>
        <v/>
      </c>
      <c r="AL71" s="10"/>
    </row>
    <row r="72" spans="1:38">
      <c r="A72" s="19">
        <f>IF('Supplier selection'!A72="","",'Supplier selection'!A72)</f>
        <v>68</v>
      </c>
      <c r="B72" s="19" t="str">
        <f>IF('Supplier selection'!B72="","",'Supplier selection'!B72)</f>
        <v/>
      </c>
      <c r="C72" s="19" t="str">
        <f>IF('Supplier selection'!C72="","",'Supplier selection'!C72)</f>
        <v/>
      </c>
      <c r="D72" s="19" t="str">
        <f>IF('Supplier selection'!D72="","",'Supplier selection'!D72)</f>
        <v/>
      </c>
      <c r="E72" s="19" t="str">
        <f>IF('Supplier selection'!E72="","",'Supplier selection'!E72)</f>
        <v/>
      </c>
      <c r="F72" s="19" t="str">
        <f>IF('Supplier selection'!F72="","",'Supplier selection'!F72)</f>
        <v/>
      </c>
      <c r="G72" s="19" t="str">
        <f>IF('Supplier selection'!G72="","",'Supplier selection'!G72)</f>
        <v/>
      </c>
      <c r="H72" s="19" t="str">
        <f>IF('Supplier selection'!H72="","",'Supplier selection'!H72)</f>
        <v/>
      </c>
      <c r="I72" s="19" t="str">
        <f>IF('Supplier selection'!I72="","",'Supplier selection'!I72)</f>
        <v/>
      </c>
      <c r="J72" s="19" t="str">
        <f>IF('Supplier selection'!J72="","",'Supplier selection'!J72)</f>
        <v/>
      </c>
      <c r="K72" s="19" t="str">
        <f>IF('Supplier selection'!K72="","",'Supplier selection'!K72)</f>
        <v/>
      </c>
      <c r="L72" s="19" t="str">
        <f>IF('Supplier selection'!L72="","",'Supplier selection'!L72)</f>
        <v/>
      </c>
      <c r="M72" s="19" t="str">
        <f>IF('Supplier selection'!M72="","",'Supplier selection'!M72)</f>
        <v/>
      </c>
      <c r="N72" s="19" t="str">
        <f>IF('Supplier selection'!N72="","",'Supplier selection'!N72)</f>
        <v/>
      </c>
      <c r="O72" s="19" t="str">
        <f>IF('Supplier selection'!O72="","",'Supplier selection'!O72)</f>
        <v/>
      </c>
      <c r="Q72" s="19" t="str">
        <f>HLOOKUP($Q$3,'Supplier selection'!$AW$4:'Supplier selection'!$CT$1000,$A73,FALSE)</f>
        <v/>
      </c>
      <c r="R72" s="22" t="str">
        <f t="shared" si="11"/>
        <v/>
      </c>
      <c r="S72" s="19" t="str">
        <f t="shared" si="12"/>
        <v/>
      </c>
      <c r="T72" s="22" t="str">
        <f t="shared" si="13"/>
        <v/>
      </c>
      <c r="U72" s="19" t="str">
        <f t="shared" si="14"/>
        <v/>
      </c>
      <c r="V72" s="7"/>
      <c r="Y72" s="19" t="str">
        <f>IF('Supplier selection'!AQ72="","",'Supplier selection'!AQ72)</f>
        <v/>
      </c>
      <c r="Z72" s="19" t="str">
        <f>IF('Supplier selection'!AR72="","",'Supplier selection'!AR72)</f>
        <v/>
      </c>
      <c r="AA72" s="19" t="str">
        <f t="shared" si="15"/>
        <v/>
      </c>
      <c r="AD72" s="26" t="str">
        <f>IF(AND('Supplier selection'!X72="",'Supplier selection'!AE72=""),"",IF('Supplier selection'!X72="",'Supplier selection'!AE72,'Supplier selection'!X72))</f>
        <v/>
      </c>
      <c r="AE72" s="19" t="str">
        <f t="shared" si="16"/>
        <v/>
      </c>
      <c r="AF72" s="19" t="str">
        <f t="shared" si="17"/>
        <v/>
      </c>
      <c r="AG72" s="27" t="str">
        <f>IF(AND('Supplier selection'!AB72="",'Supplier selection'!AI72=""),"",IF('Supplier selection'!AB72="",'Supplier selection'!AI72,'Supplier selection'!AB72))</f>
        <v/>
      </c>
      <c r="AH72" s="28" t="str">
        <f t="shared" si="18"/>
        <v/>
      </c>
      <c r="AI72" s="7" t="str">
        <f t="shared" si="19"/>
        <v/>
      </c>
      <c r="AJ72" s="22" t="str">
        <f t="shared" si="20"/>
        <v/>
      </c>
      <c r="AK72" s="29" t="str">
        <f t="shared" si="21"/>
        <v/>
      </c>
      <c r="AL72" s="10"/>
    </row>
    <row r="73" spans="1:38">
      <c r="A73" s="19">
        <f>IF('Supplier selection'!A73="","",'Supplier selection'!A73)</f>
        <v>69</v>
      </c>
      <c r="B73" s="19" t="str">
        <f>IF('Supplier selection'!B73="","",'Supplier selection'!B73)</f>
        <v/>
      </c>
      <c r="C73" s="19" t="str">
        <f>IF('Supplier selection'!C73="","",'Supplier selection'!C73)</f>
        <v/>
      </c>
      <c r="D73" s="19" t="str">
        <f>IF('Supplier selection'!D73="","",'Supplier selection'!D73)</f>
        <v/>
      </c>
      <c r="E73" s="19" t="str">
        <f>IF('Supplier selection'!E73="","",'Supplier selection'!E73)</f>
        <v/>
      </c>
      <c r="F73" s="19" t="str">
        <f>IF('Supplier selection'!F73="","",'Supplier selection'!F73)</f>
        <v/>
      </c>
      <c r="G73" s="19" t="str">
        <f>IF('Supplier selection'!G73="","",'Supplier selection'!G73)</f>
        <v/>
      </c>
      <c r="H73" s="19" t="str">
        <f>IF('Supplier selection'!H73="","",'Supplier selection'!H73)</f>
        <v/>
      </c>
      <c r="I73" s="19" t="str">
        <f>IF('Supplier selection'!I73="","",'Supplier selection'!I73)</f>
        <v/>
      </c>
      <c r="J73" s="19" t="str">
        <f>IF('Supplier selection'!J73="","",'Supplier selection'!J73)</f>
        <v/>
      </c>
      <c r="K73" s="19" t="str">
        <f>IF('Supplier selection'!K73="","",'Supplier selection'!K73)</f>
        <v/>
      </c>
      <c r="L73" s="19" t="str">
        <f>IF('Supplier selection'!L73="","",'Supplier selection'!L73)</f>
        <v/>
      </c>
      <c r="M73" s="19" t="str">
        <f>IF('Supplier selection'!M73="","",'Supplier selection'!M73)</f>
        <v/>
      </c>
      <c r="N73" s="19" t="str">
        <f>IF('Supplier selection'!N73="","",'Supplier selection'!N73)</f>
        <v/>
      </c>
      <c r="O73" s="19" t="str">
        <f>IF('Supplier selection'!O73="","",'Supplier selection'!O73)</f>
        <v/>
      </c>
      <c r="Q73" s="19" t="str">
        <f>HLOOKUP($Q$3,'Supplier selection'!$AW$4:'Supplier selection'!$CT$1000,$A74,FALSE)</f>
        <v/>
      </c>
      <c r="R73" s="22" t="str">
        <f t="shared" si="11"/>
        <v/>
      </c>
      <c r="S73" s="19" t="str">
        <f t="shared" si="12"/>
        <v/>
      </c>
      <c r="T73" s="22" t="str">
        <f t="shared" si="13"/>
        <v/>
      </c>
      <c r="U73" s="19" t="str">
        <f t="shared" si="14"/>
        <v/>
      </c>
      <c r="V73" s="7"/>
      <c r="Y73" s="19" t="str">
        <f>IF('Supplier selection'!AQ73="","",'Supplier selection'!AQ73)</f>
        <v/>
      </c>
      <c r="Z73" s="19" t="str">
        <f>IF('Supplier selection'!AR73="","",'Supplier selection'!AR73)</f>
        <v/>
      </c>
      <c r="AA73" s="19" t="str">
        <f t="shared" si="15"/>
        <v/>
      </c>
      <c r="AD73" s="26" t="str">
        <f>IF(AND('Supplier selection'!X73="",'Supplier selection'!AE73=""),"",IF('Supplier selection'!X73="",'Supplier selection'!AE73,'Supplier selection'!X73))</f>
        <v/>
      </c>
      <c r="AE73" s="19" t="str">
        <f t="shared" si="16"/>
        <v/>
      </c>
      <c r="AF73" s="19" t="str">
        <f t="shared" si="17"/>
        <v/>
      </c>
      <c r="AG73" s="27" t="str">
        <f>IF(AND('Supplier selection'!AB73="",'Supplier selection'!AI73=""),"",IF('Supplier selection'!AB73="",'Supplier selection'!AI73,'Supplier selection'!AB73))</f>
        <v/>
      </c>
      <c r="AH73" s="28" t="str">
        <f t="shared" si="18"/>
        <v/>
      </c>
      <c r="AI73" s="7" t="str">
        <f t="shared" si="19"/>
        <v/>
      </c>
      <c r="AJ73" s="22" t="str">
        <f t="shared" si="20"/>
        <v/>
      </c>
      <c r="AK73" s="29" t="str">
        <f t="shared" si="21"/>
        <v/>
      </c>
      <c r="AL73" s="10"/>
    </row>
    <row r="74" spans="1:38">
      <c r="A74" s="19">
        <f>IF('Supplier selection'!A74="","",'Supplier selection'!A74)</f>
        <v>70</v>
      </c>
      <c r="B74" s="19" t="str">
        <f>IF('Supplier selection'!B74="","",'Supplier selection'!B74)</f>
        <v/>
      </c>
      <c r="C74" s="19" t="str">
        <f>IF('Supplier selection'!C74="","",'Supplier selection'!C74)</f>
        <v/>
      </c>
      <c r="D74" s="19" t="str">
        <f>IF('Supplier selection'!D74="","",'Supplier selection'!D74)</f>
        <v/>
      </c>
      <c r="E74" s="19" t="str">
        <f>IF('Supplier selection'!E74="","",'Supplier selection'!E74)</f>
        <v/>
      </c>
      <c r="F74" s="19" t="str">
        <f>IF('Supplier selection'!F74="","",'Supplier selection'!F74)</f>
        <v/>
      </c>
      <c r="G74" s="19" t="str">
        <f>IF('Supplier selection'!G74="","",'Supplier selection'!G74)</f>
        <v/>
      </c>
      <c r="H74" s="19" t="str">
        <f>IF('Supplier selection'!H74="","",'Supplier selection'!H74)</f>
        <v/>
      </c>
      <c r="I74" s="19" t="str">
        <f>IF('Supplier selection'!I74="","",'Supplier selection'!I74)</f>
        <v/>
      </c>
      <c r="J74" s="19" t="str">
        <f>IF('Supplier selection'!J74="","",'Supplier selection'!J74)</f>
        <v/>
      </c>
      <c r="K74" s="19" t="str">
        <f>IF('Supplier selection'!K74="","",'Supplier selection'!K74)</f>
        <v/>
      </c>
      <c r="L74" s="19" t="str">
        <f>IF('Supplier selection'!L74="","",'Supplier selection'!L74)</f>
        <v/>
      </c>
      <c r="M74" s="19" t="str">
        <f>IF('Supplier selection'!M74="","",'Supplier selection'!M74)</f>
        <v/>
      </c>
      <c r="N74" s="19" t="str">
        <f>IF('Supplier selection'!N74="","",'Supplier selection'!N74)</f>
        <v/>
      </c>
      <c r="O74" s="19" t="str">
        <f>IF('Supplier selection'!O74="","",'Supplier selection'!O74)</f>
        <v/>
      </c>
      <c r="Q74" s="19" t="str">
        <f>HLOOKUP($Q$3,'Supplier selection'!$AW$4:'Supplier selection'!$CT$1000,$A75,FALSE)</f>
        <v/>
      </c>
      <c r="R74" s="22" t="str">
        <f t="shared" si="11"/>
        <v/>
      </c>
      <c r="S74" s="19" t="str">
        <f t="shared" si="12"/>
        <v/>
      </c>
      <c r="T74" s="22" t="str">
        <f t="shared" si="13"/>
        <v/>
      </c>
      <c r="U74" s="19" t="str">
        <f t="shared" si="14"/>
        <v/>
      </c>
      <c r="V74" s="7"/>
      <c r="Y74" s="19" t="str">
        <f>IF('Supplier selection'!AQ74="","",'Supplier selection'!AQ74)</f>
        <v/>
      </c>
      <c r="Z74" s="19" t="str">
        <f>IF('Supplier selection'!AR74="","",'Supplier selection'!AR74)</f>
        <v/>
      </c>
      <c r="AA74" s="19" t="str">
        <f t="shared" si="15"/>
        <v/>
      </c>
      <c r="AD74" s="26" t="str">
        <f>IF(AND('Supplier selection'!X74="",'Supplier selection'!AE74=""),"",IF('Supplier selection'!X74="",'Supplier selection'!AE74,'Supplier selection'!X74))</f>
        <v/>
      </c>
      <c r="AE74" s="19" t="str">
        <f t="shared" si="16"/>
        <v/>
      </c>
      <c r="AF74" s="19" t="str">
        <f t="shared" si="17"/>
        <v/>
      </c>
      <c r="AG74" s="27" t="str">
        <f>IF(AND('Supplier selection'!AB74="",'Supplier selection'!AI74=""),"",IF('Supplier selection'!AB74="",'Supplier selection'!AI74,'Supplier selection'!AB74))</f>
        <v/>
      </c>
      <c r="AH74" s="28" t="str">
        <f t="shared" si="18"/>
        <v/>
      </c>
      <c r="AI74" s="7" t="str">
        <f t="shared" si="19"/>
        <v/>
      </c>
      <c r="AJ74" s="22" t="str">
        <f t="shared" si="20"/>
        <v/>
      </c>
      <c r="AK74" s="29" t="str">
        <f t="shared" si="21"/>
        <v/>
      </c>
      <c r="AL74" s="10"/>
    </row>
    <row r="75" spans="1:38">
      <c r="A75" s="19">
        <f>IF('Supplier selection'!A75="","",'Supplier selection'!A75)</f>
        <v>71</v>
      </c>
      <c r="B75" s="19" t="str">
        <f>IF('Supplier selection'!B75="","",'Supplier selection'!B75)</f>
        <v/>
      </c>
      <c r="C75" s="19" t="str">
        <f>IF('Supplier selection'!C75="","",'Supplier selection'!C75)</f>
        <v/>
      </c>
      <c r="D75" s="19" t="str">
        <f>IF('Supplier selection'!D75="","",'Supplier selection'!D75)</f>
        <v/>
      </c>
      <c r="E75" s="19" t="str">
        <f>IF('Supplier selection'!E75="","",'Supplier selection'!E75)</f>
        <v/>
      </c>
      <c r="F75" s="19" t="str">
        <f>IF('Supplier selection'!F75="","",'Supplier selection'!F75)</f>
        <v/>
      </c>
      <c r="G75" s="19" t="str">
        <f>IF('Supplier selection'!G75="","",'Supplier selection'!G75)</f>
        <v/>
      </c>
      <c r="H75" s="19" t="str">
        <f>IF('Supplier selection'!H75="","",'Supplier selection'!H75)</f>
        <v/>
      </c>
      <c r="I75" s="19" t="str">
        <f>IF('Supplier selection'!I75="","",'Supplier selection'!I75)</f>
        <v/>
      </c>
      <c r="J75" s="19" t="str">
        <f>IF('Supplier selection'!J75="","",'Supplier selection'!J75)</f>
        <v/>
      </c>
      <c r="K75" s="19" t="str">
        <f>IF('Supplier selection'!K75="","",'Supplier selection'!K75)</f>
        <v/>
      </c>
      <c r="L75" s="19" t="str">
        <f>IF('Supplier selection'!L75="","",'Supplier selection'!L75)</f>
        <v/>
      </c>
      <c r="M75" s="19" t="str">
        <f>IF('Supplier selection'!M75="","",'Supplier selection'!M75)</f>
        <v/>
      </c>
      <c r="N75" s="19" t="str">
        <f>IF('Supplier selection'!N75="","",'Supplier selection'!N75)</f>
        <v/>
      </c>
      <c r="O75" s="19" t="str">
        <f>IF('Supplier selection'!O75="","",'Supplier selection'!O75)</f>
        <v/>
      </c>
      <c r="Q75" s="19" t="str">
        <f>HLOOKUP($Q$3,'Supplier selection'!$AW$4:'Supplier selection'!$CT$1000,$A76,FALSE)</f>
        <v/>
      </c>
      <c r="R75" s="22" t="str">
        <f t="shared" si="11"/>
        <v/>
      </c>
      <c r="S75" s="19" t="str">
        <f t="shared" si="12"/>
        <v/>
      </c>
      <c r="T75" s="22" t="str">
        <f t="shared" si="13"/>
        <v/>
      </c>
      <c r="U75" s="19" t="str">
        <f t="shared" si="14"/>
        <v/>
      </c>
      <c r="V75" s="7"/>
      <c r="Y75" s="19" t="str">
        <f>IF('Supplier selection'!AQ75="","",'Supplier selection'!AQ75)</f>
        <v/>
      </c>
      <c r="Z75" s="19" t="str">
        <f>IF('Supplier selection'!AR75="","",'Supplier selection'!AR75)</f>
        <v/>
      </c>
      <c r="AA75" s="19" t="str">
        <f t="shared" si="15"/>
        <v/>
      </c>
      <c r="AD75" s="26" t="str">
        <f>IF(AND('Supplier selection'!X75="",'Supplier selection'!AE75=""),"",IF('Supplier selection'!X75="",'Supplier selection'!AE75,'Supplier selection'!X75))</f>
        <v/>
      </c>
      <c r="AE75" s="19" t="str">
        <f t="shared" si="16"/>
        <v/>
      </c>
      <c r="AF75" s="19" t="str">
        <f t="shared" si="17"/>
        <v/>
      </c>
      <c r="AG75" s="27" t="str">
        <f>IF(AND('Supplier selection'!AB75="",'Supplier selection'!AI75=""),"",IF('Supplier selection'!AB75="",'Supplier selection'!AI75,'Supplier selection'!AB75))</f>
        <v/>
      </c>
      <c r="AH75" s="28" t="str">
        <f t="shared" si="18"/>
        <v/>
      </c>
      <c r="AI75" s="7" t="str">
        <f t="shared" si="19"/>
        <v/>
      </c>
      <c r="AJ75" s="22" t="str">
        <f t="shared" si="20"/>
        <v/>
      </c>
      <c r="AK75" s="29" t="str">
        <f t="shared" si="21"/>
        <v/>
      </c>
      <c r="AL75" s="10"/>
    </row>
    <row r="76" spans="1:38">
      <c r="A76" s="19">
        <f>IF('Supplier selection'!A76="","",'Supplier selection'!A76)</f>
        <v>72</v>
      </c>
      <c r="B76" s="19" t="str">
        <f>IF('Supplier selection'!B76="","",'Supplier selection'!B76)</f>
        <v/>
      </c>
      <c r="C76" s="19" t="str">
        <f>IF('Supplier selection'!C76="","",'Supplier selection'!C76)</f>
        <v/>
      </c>
      <c r="D76" s="19" t="str">
        <f>IF('Supplier selection'!D76="","",'Supplier selection'!D76)</f>
        <v/>
      </c>
      <c r="E76" s="19" t="str">
        <f>IF('Supplier selection'!E76="","",'Supplier selection'!E76)</f>
        <v/>
      </c>
      <c r="F76" s="19" t="str">
        <f>IF('Supplier selection'!F76="","",'Supplier selection'!F76)</f>
        <v/>
      </c>
      <c r="G76" s="19" t="str">
        <f>IF('Supplier selection'!G76="","",'Supplier selection'!G76)</f>
        <v/>
      </c>
      <c r="H76" s="19" t="str">
        <f>IF('Supplier selection'!H76="","",'Supplier selection'!H76)</f>
        <v/>
      </c>
      <c r="I76" s="19" t="str">
        <f>IF('Supplier selection'!I76="","",'Supplier selection'!I76)</f>
        <v/>
      </c>
      <c r="J76" s="19" t="str">
        <f>IF('Supplier selection'!J76="","",'Supplier selection'!J76)</f>
        <v/>
      </c>
      <c r="K76" s="19" t="str">
        <f>IF('Supplier selection'!K76="","",'Supplier selection'!K76)</f>
        <v/>
      </c>
      <c r="L76" s="19" t="str">
        <f>IF('Supplier selection'!L76="","",'Supplier selection'!L76)</f>
        <v/>
      </c>
      <c r="M76" s="19" t="str">
        <f>IF('Supplier selection'!M76="","",'Supplier selection'!M76)</f>
        <v/>
      </c>
      <c r="N76" s="19" t="str">
        <f>IF('Supplier selection'!N76="","",'Supplier selection'!N76)</f>
        <v/>
      </c>
      <c r="O76" s="19" t="str">
        <f>IF('Supplier selection'!O76="","",'Supplier selection'!O76)</f>
        <v/>
      </c>
      <c r="Q76" s="19" t="str">
        <f>HLOOKUP($Q$3,'Supplier selection'!$AW$4:'Supplier selection'!$CT$1000,$A77,FALSE)</f>
        <v/>
      </c>
      <c r="R76" s="22" t="str">
        <f t="shared" si="11"/>
        <v/>
      </c>
      <c r="S76" s="19" t="str">
        <f t="shared" si="12"/>
        <v/>
      </c>
      <c r="T76" s="22" t="str">
        <f t="shared" si="13"/>
        <v/>
      </c>
      <c r="U76" s="19" t="str">
        <f t="shared" si="14"/>
        <v/>
      </c>
      <c r="V76" s="7"/>
      <c r="Y76" s="19" t="str">
        <f>IF('Supplier selection'!AQ76="","",'Supplier selection'!AQ76)</f>
        <v/>
      </c>
      <c r="Z76" s="19" t="str">
        <f>IF('Supplier selection'!AR76="","",'Supplier selection'!AR76)</f>
        <v/>
      </c>
      <c r="AA76" s="19" t="str">
        <f t="shared" si="15"/>
        <v/>
      </c>
      <c r="AD76" s="26" t="str">
        <f>IF(AND('Supplier selection'!X76="",'Supplier selection'!AE76=""),"",IF('Supplier selection'!X76="",'Supplier selection'!AE76,'Supplier selection'!X76))</f>
        <v/>
      </c>
      <c r="AE76" s="19" t="str">
        <f t="shared" si="16"/>
        <v/>
      </c>
      <c r="AF76" s="19" t="str">
        <f t="shared" si="17"/>
        <v/>
      </c>
      <c r="AG76" s="27" t="str">
        <f>IF(AND('Supplier selection'!AB76="",'Supplier selection'!AI76=""),"",IF('Supplier selection'!AB76="",'Supplier selection'!AI76,'Supplier selection'!AB76))</f>
        <v/>
      </c>
      <c r="AH76" s="28" t="str">
        <f t="shared" si="18"/>
        <v/>
      </c>
      <c r="AI76" s="7" t="str">
        <f t="shared" si="19"/>
        <v/>
      </c>
      <c r="AJ76" s="22" t="str">
        <f t="shared" si="20"/>
        <v/>
      </c>
      <c r="AK76" s="29" t="str">
        <f t="shared" si="21"/>
        <v/>
      </c>
      <c r="AL76" s="10"/>
    </row>
    <row r="77" spans="1:38">
      <c r="A77" s="19">
        <f>IF('Supplier selection'!A77="","",'Supplier selection'!A77)</f>
        <v>73</v>
      </c>
      <c r="B77" s="19" t="str">
        <f>IF('Supplier selection'!B77="","",'Supplier selection'!B77)</f>
        <v/>
      </c>
      <c r="C77" s="19" t="str">
        <f>IF('Supplier selection'!C77="","",'Supplier selection'!C77)</f>
        <v/>
      </c>
      <c r="D77" s="19" t="str">
        <f>IF('Supplier selection'!D77="","",'Supplier selection'!D77)</f>
        <v/>
      </c>
      <c r="E77" s="19" t="str">
        <f>IF('Supplier selection'!E77="","",'Supplier selection'!E77)</f>
        <v/>
      </c>
      <c r="F77" s="19" t="str">
        <f>IF('Supplier selection'!F77="","",'Supplier selection'!F77)</f>
        <v/>
      </c>
      <c r="G77" s="19" t="str">
        <f>IF('Supplier selection'!G77="","",'Supplier selection'!G77)</f>
        <v/>
      </c>
      <c r="H77" s="19" t="str">
        <f>IF('Supplier selection'!H77="","",'Supplier selection'!H77)</f>
        <v/>
      </c>
      <c r="I77" s="19" t="str">
        <f>IF('Supplier selection'!I77="","",'Supplier selection'!I77)</f>
        <v/>
      </c>
      <c r="J77" s="19" t="str">
        <f>IF('Supplier selection'!J77="","",'Supplier selection'!J77)</f>
        <v/>
      </c>
      <c r="K77" s="19" t="str">
        <f>IF('Supplier selection'!K77="","",'Supplier selection'!K77)</f>
        <v/>
      </c>
      <c r="L77" s="19" t="str">
        <f>IF('Supplier selection'!L77="","",'Supplier selection'!L77)</f>
        <v/>
      </c>
      <c r="M77" s="19" t="str">
        <f>IF('Supplier selection'!M77="","",'Supplier selection'!M77)</f>
        <v/>
      </c>
      <c r="N77" s="19" t="str">
        <f>IF('Supplier selection'!N77="","",'Supplier selection'!N77)</f>
        <v/>
      </c>
      <c r="O77" s="19" t="str">
        <f>IF('Supplier selection'!O77="","",'Supplier selection'!O77)</f>
        <v/>
      </c>
      <c r="Q77" s="19" t="str">
        <f>HLOOKUP($Q$3,'Supplier selection'!$AW$4:'Supplier selection'!$CT$1000,$A78,FALSE)</f>
        <v/>
      </c>
      <c r="R77" s="22" t="str">
        <f t="shared" si="11"/>
        <v/>
      </c>
      <c r="S77" s="19" t="str">
        <f t="shared" si="12"/>
        <v/>
      </c>
      <c r="T77" s="22" t="str">
        <f t="shared" si="13"/>
        <v/>
      </c>
      <c r="U77" s="19" t="str">
        <f t="shared" si="14"/>
        <v/>
      </c>
      <c r="V77" s="7"/>
      <c r="Y77" s="19" t="str">
        <f>IF('Supplier selection'!AQ77="","",'Supplier selection'!AQ77)</f>
        <v/>
      </c>
      <c r="Z77" s="19" t="str">
        <f>IF('Supplier selection'!AR77="","",'Supplier selection'!AR77)</f>
        <v/>
      </c>
      <c r="AA77" s="19" t="str">
        <f t="shared" si="15"/>
        <v/>
      </c>
      <c r="AD77" s="26" t="str">
        <f>IF(AND('Supplier selection'!X77="",'Supplier selection'!AE77=""),"",IF('Supplier selection'!X77="",'Supplier selection'!AE77,'Supplier selection'!X77))</f>
        <v/>
      </c>
      <c r="AE77" s="19" t="str">
        <f t="shared" si="16"/>
        <v/>
      </c>
      <c r="AF77" s="19" t="str">
        <f t="shared" si="17"/>
        <v/>
      </c>
      <c r="AG77" s="27" t="str">
        <f>IF(AND('Supplier selection'!AB77="",'Supplier selection'!AI77=""),"",IF('Supplier selection'!AB77="",'Supplier selection'!AI77,'Supplier selection'!AB77))</f>
        <v/>
      </c>
      <c r="AH77" s="28" t="str">
        <f t="shared" si="18"/>
        <v/>
      </c>
      <c r="AI77" s="7" t="str">
        <f t="shared" si="19"/>
        <v/>
      </c>
      <c r="AJ77" s="22" t="str">
        <f t="shared" si="20"/>
        <v/>
      </c>
      <c r="AK77" s="29" t="str">
        <f t="shared" si="21"/>
        <v/>
      </c>
      <c r="AL77" s="10"/>
    </row>
    <row r="78" spans="1:38">
      <c r="A78" s="19">
        <f>IF('Supplier selection'!A78="","",'Supplier selection'!A78)</f>
        <v>74</v>
      </c>
      <c r="B78" s="19" t="str">
        <f>IF('Supplier selection'!B78="","",'Supplier selection'!B78)</f>
        <v/>
      </c>
      <c r="C78" s="19" t="str">
        <f>IF('Supplier selection'!C78="","",'Supplier selection'!C78)</f>
        <v/>
      </c>
      <c r="D78" s="19" t="str">
        <f>IF('Supplier selection'!D78="","",'Supplier selection'!D78)</f>
        <v/>
      </c>
      <c r="E78" s="19" t="str">
        <f>IF('Supplier selection'!E78="","",'Supplier selection'!E78)</f>
        <v/>
      </c>
      <c r="F78" s="19" t="str">
        <f>IF('Supplier selection'!F78="","",'Supplier selection'!F78)</f>
        <v/>
      </c>
      <c r="G78" s="19" t="str">
        <f>IF('Supplier selection'!G78="","",'Supplier selection'!G78)</f>
        <v/>
      </c>
      <c r="H78" s="19" t="str">
        <f>IF('Supplier selection'!H78="","",'Supplier selection'!H78)</f>
        <v/>
      </c>
      <c r="I78" s="19" t="str">
        <f>IF('Supplier selection'!I78="","",'Supplier selection'!I78)</f>
        <v/>
      </c>
      <c r="J78" s="19" t="str">
        <f>IF('Supplier selection'!J78="","",'Supplier selection'!J78)</f>
        <v/>
      </c>
      <c r="K78" s="19" t="str">
        <f>IF('Supplier selection'!K78="","",'Supplier selection'!K78)</f>
        <v/>
      </c>
      <c r="L78" s="19" t="str">
        <f>IF('Supplier selection'!L78="","",'Supplier selection'!L78)</f>
        <v/>
      </c>
      <c r="M78" s="19" t="str">
        <f>IF('Supplier selection'!M78="","",'Supplier selection'!M78)</f>
        <v/>
      </c>
      <c r="N78" s="19" t="str">
        <f>IF('Supplier selection'!N78="","",'Supplier selection'!N78)</f>
        <v/>
      </c>
      <c r="O78" s="19" t="str">
        <f>IF('Supplier selection'!O78="","",'Supplier selection'!O78)</f>
        <v/>
      </c>
      <c r="Q78" s="19" t="str">
        <f>HLOOKUP($Q$3,'Supplier selection'!$AW$4:'Supplier selection'!$CT$1000,$A79,FALSE)</f>
        <v/>
      </c>
      <c r="R78" s="22" t="str">
        <f t="shared" si="11"/>
        <v/>
      </c>
      <c r="S78" s="19" t="str">
        <f t="shared" si="12"/>
        <v/>
      </c>
      <c r="T78" s="22" t="str">
        <f t="shared" si="13"/>
        <v/>
      </c>
      <c r="U78" s="19" t="str">
        <f t="shared" si="14"/>
        <v/>
      </c>
      <c r="V78" s="7"/>
      <c r="Y78" s="19" t="str">
        <f>IF('Supplier selection'!AQ78="","",'Supplier selection'!AQ78)</f>
        <v/>
      </c>
      <c r="Z78" s="19" t="str">
        <f>IF('Supplier selection'!AR78="","",'Supplier selection'!AR78)</f>
        <v/>
      </c>
      <c r="AA78" s="19" t="str">
        <f t="shared" si="15"/>
        <v/>
      </c>
      <c r="AD78" s="26" t="str">
        <f>IF(AND('Supplier selection'!X78="",'Supplier selection'!AE78=""),"",IF('Supplier selection'!X78="",'Supplier selection'!AE78,'Supplier selection'!X78))</f>
        <v/>
      </c>
      <c r="AE78" s="19" t="str">
        <f t="shared" si="16"/>
        <v/>
      </c>
      <c r="AF78" s="19" t="str">
        <f t="shared" si="17"/>
        <v/>
      </c>
      <c r="AG78" s="27" t="str">
        <f>IF(AND('Supplier selection'!AB78="",'Supplier selection'!AI78=""),"",IF('Supplier selection'!AB78="",'Supplier selection'!AI78,'Supplier selection'!AB78))</f>
        <v/>
      </c>
      <c r="AH78" s="28" t="str">
        <f t="shared" si="18"/>
        <v/>
      </c>
      <c r="AI78" s="7" t="str">
        <f t="shared" si="19"/>
        <v/>
      </c>
      <c r="AJ78" s="22" t="str">
        <f t="shared" si="20"/>
        <v/>
      </c>
      <c r="AK78" s="29" t="str">
        <f t="shared" si="21"/>
        <v/>
      </c>
      <c r="AL78" s="10"/>
    </row>
    <row r="79" spans="1:38">
      <c r="A79" s="19">
        <f>IF('Supplier selection'!A79="","",'Supplier selection'!A79)</f>
        <v>75</v>
      </c>
      <c r="B79" s="19" t="str">
        <f>IF('Supplier selection'!B79="","",'Supplier selection'!B79)</f>
        <v/>
      </c>
      <c r="C79" s="19" t="str">
        <f>IF('Supplier selection'!C79="","",'Supplier selection'!C79)</f>
        <v/>
      </c>
      <c r="D79" s="19" t="str">
        <f>IF('Supplier selection'!D79="","",'Supplier selection'!D79)</f>
        <v/>
      </c>
      <c r="E79" s="19" t="str">
        <f>IF('Supplier selection'!E79="","",'Supplier selection'!E79)</f>
        <v/>
      </c>
      <c r="F79" s="19" t="str">
        <f>IF('Supplier selection'!F79="","",'Supplier selection'!F79)</f>
        <v/>
      </c>
      <c r="G79" s="19" t="str">
        <f>IF('Supplier selection'!G79="","",'Supplier selection'!G79)</f>
        <v/>
      </c>
      <c r="H79" s="19" t="str">
        <f>IF('Supplier selection'!H79="","",'Supplier selection'!H79)</f>
        <v/>
      </c>
      <c r="I79" s="19" t="str">
        <f>IF('Supplier selection'!I79="","",'Supplier selection'!I79)</f>
        <v/>
      </c>
      <c r="J79" s="19" t="str">
        <f>IF('Supplier selection'!J79="","",'Supplier selection'!J79)</f>
        <v/>
      </c>
      <c r="K79" s="19" t="str">
        <f>IF('Supplier selection'!K79="","",'Supplier selection'!K79)</f>
        <v/>
      </c>
      <c r="L79" s="19" t="str">
        <f>IF('Supplier selection'!L79="","",'Supplier selection'!L79)</f>
        <v/>
      </c>
      <c r="M79" s="19" t="str">
        <f>IF('Supplier selection'!M79="","",'Supplier selection'!M79)</f>
        <v/>
      </c>
      <c r="N79" s="19" t="str">
        <f>IF('Supplier selection'!N79="","",'Supplier selection'!N79)</f>
        <v/>
      </c>
      <c r="O79" s="19" t="str">
        <f>IF('Supplier selection'!O79="","",'Supplier selection'!O79)</f>
        <v/>
      </c>
      <c r="Q79" s="19" t="str">
        <f>HLOOKUP($Q$3,'Supplier selection'!$AW$4:'Supplier selection'!$CT$1000,$A80,FALSE)</f>
        <v/>
      </c>
      <c r="R79" s="22" t="str">
        <f t="shared" si="11"/>
        <v/>
      </c>
      <c r="S79" s="19" t="str">
        <f t="shared" si="12"/>
        <v/>
      </c>
      <c r="T79" s="22" t="str">
        <f t="shared" si="13"/>
        <v/>
      </c>
      <c r="U79" s="19" t="str">
        <f t="shared" si="14"/>
        <v/>
      </c>
      <c r="V79" s="7"/>
      <c r="Y79" s="19" t="str">
        <f>IF('Supplier selection'!AQ79="","",'Supplier selection'!AQ79)</f>
        <v/>
      </c>
      <c r="Z79" s="19" t="str">
        <f>IF('Supplier selection'!AR79="","",'Supplier selection'!AR79)</f>
        <v/>
      </c>
      <c r="AA79" s="19" t="str">
        <f t="shared" si="15"/>
        <v/>
      </c>
      <c r="AD79" s="26" t="str">
        <f>IF(AND('Supplier selection'!X79="",'Supplier selection'!AE79=""),"",IF('Supplier selection'!X79="",'Supplier selection'!AE79,'Supplier selection'!X79))</f>
        <v/>
      </c>
      <c r="AE79" s="19" t="str">
        <f t="shared" si="16"/>
        <v/>
      </c>
      <c r="AF79" s="19" t="str">
        <f t="shared" si="17"/>
        <v/>
      </c>
      <c r="AG79" s="27" t="str">
        <f>IF(AND('Supplier selection'!AB79="",'Supplier selection'!AI79=""),"",IF('Supplier selection'!AB79="",'Supplier selection'!AI79,'Supplier selection'!AB79))</f>
        <v/>
      </c>
      <c r="AH79" s="28" t="str">
        <f t="shared" si="18"/>
        <v/>
      </c>
      <c r="AI79" s="7" t="str">
        <f t="shared" si="19"/>
        <v/>
      </c>
      <c r="AJ79" s="22" t="str">
        <f t="shared" si="20"/>
        <v/>
      </c>
      <c r="AK79" s="29" t="str">
        <f t="shared" si="21"/>
        <v/>
      </c>
      <c r="AL79" s="10"/>
    </row>
    <row r="80" spans="1:38">
      <c r="A80" s="19">
        <f>IF('Supplier selection'!A80="","",'Supplier selection'!A80)</f>
        <v>76</v>
      </c>
      <c r="B80" s="19" t="str">
        <f>IF('Supplier selection'!B80="","",'Supplier selection'!B80)</f>
        <v/>
      </c>
      <c r="C80" s="19" t="str">
        <f>IF('Supplier selection'!C80="","",'Supplier selection'!C80)</f>
        <v/>
      </c>
      <c r="D80" s="19" t="str">
        <f>IF('Supplier selection'!D80="","",'Supplier selection'!D80)</f>
        <v/>
      </c>
      <c r="E80" s="19" t="str">
        <f>IF('Supplier selection'!E80="","",'Supplier selection'!E80)</f>
        <v/>
      </c>
      <c r="F80" s="19" t="str">
        <f>IF('Supplier selection'!F80="","",'Supplier selection'!F80)</f>
        <v/>
      </c>
      <c r="G80" s="19" t="str">
        <f>IF('Supplier selection'!G80="","",'Supplier selection'!G80)</f>
        <v/>
      </c>
      <c r="H80" s="19" t="str">
        <f>IF('Supplier selection'!H80="","",'Supplier selection'!H80)</f>
        <v/>
      </c>
      <c r="I80" s="19" t="str">
        <f>IF('Supplier selection'!I80="","",'Supplier selection'!I80)</f>
        <v/>
      </c>
      <c r="J80" s="19" t="str">
        <f>IF('Supplier selection'!J80="","",'Supplier selection'!J80)</f>
        <v/>
      </c>
      <c r="K80" s="19" t="str">
        <f>IF('Supplier selection'!K80="","",'Supplier selection'!K80)</f>
        <v/>
      </c>
      <c r="L80" s="19" t="str">
        <f>IF('Supplier selection'!L80="","",'Supplier selection'!L80)</f>
        <v/>
      </c>
      <c r="M80" s="19" t="str">
        <f>IF('Supplier selection'!M80="","",'Supplier selection'!M80)</f>
        <v/>
      </c>
      <c r="N80" s="19" t="str">
        <f>IF('Supplier selection'!N80="","",'Supplier selection'!N80)</f>
        <v/>
      </c>
      <c r="O80" s="19" t="str">
        <f>IF('Supplier selection'!O80="","",'Supplier selection'!O80)</f>
        <v/>
      </c>
      <c r="Q80" s="19" t="str">
        <f>HLOOKUP($Q$3,'Supplier selection'!$AW$4:'Supplier selection'!$CT$1000,$A81,FALSE)</f>
        <v/>
      </c>
      <c r="R80" s="22" t="str">
        <f t="shared" si="11"/>
        <v/>
      </c>
      <c r="S80" s="19" t="str">
        <f t="shared" si="12"/>
        <v/>
      </c>
      <c r="T80" s="22" t="str">
        <f t="shared" si="13"/>
        <v/>
      </c>
      <c r="U80" s="19" t="str">
        <f t="shared" si="14"/>
        <v/>
      </c>
      <c r="V80" s="7"/>
      <c r="Y80" s="19" t="str">
        <f>IF('Supplier selection'!AQ80="","",'Supplier selection'!AQ80)</f>
        <v/>
      </c>
      <c r="Z80" s="19" t="str">
        <f>IF('Supplier selection'!AR80="","",'Supplier selection'!AR80)</f>
        <v/>
      </c>
      <c r="AA80" s="19" t="str">
        <f t="shared" si="15"/>
        <v/>
      </c>
      <c r="AD80" s="26" t="str">
        <f>IF(AND('Supplier selection'!X80="",'Supplier selection'!AE80=""),"",IF('Supplier selection'!X80="",'Supplier selection'!AE80,'Supplier selection'!X80))</f>
        <v/>
      </c>
      <c r="AE80" s="19" t="str">
        <f t="shared" si="16"/>
        <v/>
      </c>
      <c r="AF80" s="19" t="str">
        <f t="shared" si="17"/>
        <v/>
      </c>
      <c r="AG80" s="27" t="str">
        <f>IF(AND('Supplier selection'!AB80="",'Supplier selection'!AI80=""),"",IF('Supplier selection'!AB80="",'Supplier selection'!AI80,'Supplier selection'!AB80))</f>
        <v/>
      </c>
      <c r="AH80" s="28" t="str">
        <f t="shared" si="18"/>
        <v/>
      </c>
      <c r="AI80" s="7" t="str">
        <f t="shared" si="19"/>
        <v/>
      </c>
      <c r="AJ80" s="22" t="str">
        <f t="shared" si="20"/>
        <v/>
      </c>
      <c r="AK80" s="29" t="str">
        <f t="shared" si="21"/>
        <v/>
      </c>
      <c r="AL80" s="10"/>
    </row>
    <row r="81" spans="1:38">
      <c r="A81" s="19">
        <f>IF('Supplier selection'!A81="","",'Supplier selection'!A81)</f>
        <v>77</v>
      </c>
      <c r="B81" s="19" t="str">
        <f>IF('Supplier selection'!B81="","",'Supplier selection'!B81)</f>
        <v/>
      </c>
      <c r="C81" s="19" t="str">
        <f>IF('Supplier selection'!C81="","",'Supplier selection'!C81)</f>
        <v/>
      </c>
      <c r="D81" s="19" t="str">
        <f>IF('Supplier selection'!D81="","",'Supplier selection'!D81)</f>
        <v/>
      </c>
      <c r="E81" s="19" t="str">
        <f>IF('Supplier selection'!E81="","",'Supplier selection'!E81)</f>
        <v/>
      </c>
      <c r="F81" s="19" t="str">
        <f>IF('Supplier selection'!F81="","",'Supplier selection'!F81)</f>
        <v/>
      </c>
      <c r="G81" s="19" t="str">
        <f>IF('Supplier selection'!G81="","",'Supplier selection'!G81)</f>
        <v/>
      </c>
      <c r="H81" s="19" t="str">
        <f>IF('Supplier selection'!H81="","",'Supplier selection'!H81)</f>
        <v/>
      </c>
      <c r="I81" s="19" t="str">
        <f>IF('Supplier selection'!I81="","",'Supplier selection'!I81)</f>
        <v/>
      </c>
      <c r="J81" s="19" t="str">
        <f>IF('Supplier selection'!J81="","",'Supplier selection'!J81)</f>
        <v/>
      </c>
      <c r="K81" s="19" t="str">
        <f>IF('Supplier selection'!K81="","",'Supplier selection'!K81)</f>
        <v/>
      </c>
      <c r="L81" s="19" t="str">
        <f>IF('Supplier selection'!L81="","",'Supplier selection'!L81)</f>
        <v/>
      </c>
      <c r="M81" s="19" t="str">
        <f>IF('Supplier selection'!M81="","",'Supplier selection'!M81)</f>
        <v/>
      </c>
      <c r="N81" s="19" t="str">
        <f>IF('Supplier selection'!N81="","",'Supplier selection'!N81)</f>
        <v/>
      </c>
      <c r="O81" s="19" t="str">
        <f>IF('Supplier selection'!O81="","",'Supplier selection'!O81)</f>
        <v/>
      </c>
      <c r="Q81" s="19" t="str">
        <f>HLOOKUP($Q$3,'Supplier selection'!$AW$4:'Supplier selection'!$CT$1000,$A82,FALSE)</f>
        <v/>
      </c>
      <c r="R81" s="22" t="str">
        <f t="shared" si="11"/>
        <v/>
      </c>
      <c r="S81" s="19" t="str">
        <f t="shared" si="12"/>
        <v/>
      </c>
      <c r="T81" s="22" t="str">
        <f t="shared" si="13"/>
        <v/>
      </c>
      <c r="U81" s="19" t="str">
        <f t="shared" si="14"/>
        <v/>
      </c>
      <c r="V81" s="7"/>
      <c r="Y81" s="19" t="str">
        <f>IF('Supplier selection'!AQ81="","",'Supplier selection'!AQ81)</f>
        <v/>
      </c>
      <c r="Z81" s="19" t="str">
        <f>IF('Supplier selection'!AR81="","",'Supplier selection'!AR81)</f>
        <v/>
      </c>
      <c r="AA81" s="19" t="str">
        <f t="shared" si="15"/>
        <v/>
      </c>
      <c r="AD81" s="26" t="str">
        <f>IF(AND('Supplier selection'!X81="",'Supplier selection'!AE81=""),"",IF('Supplier selection'!X81="",'Supplier selection'!AE81,'Supplier selection'!X81))</f>
        <v/>
      </c>
      <c r="AE81" s="19" t="str">
        <f t="shared" si="16"/>
        <v/>
      </c>
      <c r="AF81" s="19" t="str">
        <f t="shared" si="17"/>
        <v/>
      </c>
      <c r="AG81" s="27" t="str">
        <f>IF(AND('Supplier selection'!AB81="",'Supplier selection'!AI81=""),"",IF('Supplier selection'!AB81="",'Supplier selection'!AI81,'Supplier selection'!AB81))</f>
        <v/>
      </c>
      <c r="AH81" s="28" t="str">
        <f t="shared" si="18"/>
        <v/>
      </c>
      <c r="AI81" s="7" t="str">
        <f t="shared" si="19"/>
        <v/>
      </c>
      <c r="AJ81" s="22" t="str">
        <f t="shared" si="20"/>
        <v/>
      </c>
      <c r="AK81" s="29" t="str">
        <f t="shared" si="21"/>
        <v/>
      </c>
      <c r="AL81" s="10"/>
    </row>
    <row r="82" spans="1:38">
      <c r="A82" s="19">
        <f>IF('Supplier selection'!A82="","",'Supplier selection'!A82)</f>
        <v>78</v>
      </c>
      <c r="B82" s="19" t="str">
        <f>IF('Supplier selection'!B82="","",'Supplier selection'!B82)</f>
        <v/>
      </c>
      <c r="C82" s="19" t="str">
        <f>IF('Supplier selection'!C82="","",'Supplier selection'!C82)</f>
        <v/>
      </c>
      <c r="D82" s="19" t="str">
        <f>IF('Supplier selection'!D82="","",'Supplier selection'!D82)</f>
        <v/>
      </c>
      <c r="E82" s="19" t="str">
        <f>IF('Supplier selection'!E82="","",'Supplier selection'!E82)</f>
        <v/>
      </c>
      <c r="F82" s="19" t="str">
        <f>IF('Supplier selection'!F82="","",'Supplier selection'!F82)</f>
        <v/>
      </c>
      <c r="G82" s="19" t="str">
        <f>IF('Supplier selection'!G82="","",'Supplier selection'!G82)</f>
        <v/>
      </c>
      <c r="H82" s="19" t="str">
        <f>IF('Supplier selection'!H82="","",'Supplier selection'!H82)</f>
        <v/>
      </c>
      <c r="I82" s="19" t="str">
        <f>IF('Supplier selection'!I82="","",'Supplier selection'!I82)</f>
        <v/>
      </c>
      <c r="J82" s="19" t="str">
        <f>IF('Supplier selection'!J82="","",'Supplier selection'!J82)</f>
        <v/>
      </c>
      <c r="K82" s="19" t="str">
        <f>IF('Supplier selection'!K82="","",'Supplier selection'!K82)</f>
        <v/>
      </c>
      <c r="L82" s="19" t="str">
        <f>IF('Supplier selection'!L82="","",'Supplier selection'!L82)</f>
        <v/>
      </c>
      <c r="M82" s="19" t="str">
        <f>IF('Supplier selection'!M82="","",'Supplier selection'!M82)</f>
        <v/>
      </c>
      <c r="N82" s="19" t="str">
        <f>IF('Supplier selection'!N82="","",'Supplier selection'!N82)</f>
        <v/>
      </c>
      <c r="O82" s="19" t="str">
        <f>IF('Supplier selection'!O82="","",'Supplier selection'!O82)</f>
        <v/>
      </c>
      <c r="Q82" s="19" t="str">
        <f>HLOOKUP($Q$3,'Supplier selection'!$AW$4:'Supplier selection'!$CT$1000,$A83,FALSE)</f>
        <v/>
      </c>
      <c r="R82" s="22" t="str">
        <f t="shared" si="11"/>
        <v/>
      </c>
      <c r="S82" s="19" t="str">
        <f t="shared" si="12"/>
        <v/>
      </c>
      <c r="T82" s="22" t="str">
        <f t="shared" si="13"/>
        <v/>
      </c>
      <c r="U82" s="19" t="str">
        <f t="shared" si="14"/>
        <v/>
      </c>
      <c r="V82" s="7"/>
      <c r="Y82" s="19" t="str">
        <f>IF('Supplier selection'!AQ82="","",'Supplier selection'!AQ82)</f>
        <v/>
      </c>
      <c r="Z82" s="19" t="str">
        <f>IF('Supplier selection'!AR82="","",'Supplier selection'!AR82)</f>
        <v/>
      </c>
      <c r="AA82" s="19" t="str">
        <f t="shared" si="15"/>
        <v/>
      </c>
      <c r="AD82" s="26" t="str">
        <f>IF(AND('Supplier selection'!X82="",'Supplier selection'!AE82=""),"",IF('Supplier selection'!X82="",'Supplier selection'!AE82,'Supplier selection'!X82))</f>
        <v/>
      </c>
      <c r="AE82" s="19" t="str">
        <f t="shared" si="16"/>
        <v/>
      </c>
      <c r="AF82" s="19" t="str">
        <f t="shared" si="17"/>
        <v/>
      </c>
      <c r="AG82" s="27" t="str">
        <f>IF(AND('Supplier selection'!AB82="",'Supplier selection'!AI82=""),"",IF('Supplier selection'!AB82="",'Supplier selection'!AI82,'Supplier selection'!AB82))</f>
        <v/>
      </c>
      <c r="AH82" s="28" t="str">
        <f t="shared" si="18"/>
        <v/>
      </c>
      <c r="AI82" s="7" t="str">
        <f t="shared" si="19"/>
        <v/>
      </c>
      <c r="AJ82" s="22" t="str">
        <f t="shared" si="20"/>
        <v/>
      </c>
      <c r="AK82" s="29" t="str">
        <f t="shared" si="21"/>
        <v/>
      </c>
      <c r="AL82" s="10"/>
    </row>
    <row r="83" spans="1:38">
      <c r="A83" s="19">
        <f>IF('Supplier selection'!A83="","",'Supplier selection'!A83)</f>
        <v>79</v>
      </c>
      <c r="B83" s="19" t="str">
        <f>IF('Supplier selection'!B83="","",'Supplier selection'!B83)</f>
        <v/>
      </c>
      <c r="C83" s="19" t="str">
        <f>IF('Supplier selection'!C83="","",'Supplier selection'!C83)</f>
        <v/>
      </c>
      <c r="D83" s="19" t="str">
        <f>IF('Supplier selection'!D83="","",'Supplier selection'!D83)</f>
        <v/>
      </c>
      <c r="E83" s="19" t="str">
        <f>IF('Supplier selection'!E83="","",'Supplier selection'!E83)</f>
        <v/>
      </c>
      <c r="F83" s="19" t="str">
        <f>IF('Supplier selection'!F83="","",'Supplier selection'!F83)</f>
        <v/>
      </c>
      <c r="G83" s="19" t="str">
        <f>IF('Supplier selection'!G83="","",'Supplier selection'!G83)</f>
        <v/>
      </c>
      <c r="H83" s="19" t="str">
        <f>IF('Supplier selection'!H83="","",'Supplier selection'!H83)</f>
        <v/>
      </c>
      <c r="I83" s="19" t="str">
        <f>IF('Supplier selection'!I83="","",'Supplier selection'!I83)</f>
        <v/>
      </c>
      <c r="J83" s="19" t="str">
        <f>IF('Supplier selection'!J83="","",'Supplier selection'!J83)</f>
        <v/>
      </c>
      <c r="K83" s="19" t="str">
        <f>IF('Supplier selection'!K83="","",'Supplier selection'!K83)</f>
        <v/>
      </c>
      <c r="L83" s="19" t="str">
        <f>IF('Supplier selection'!L83="","",'Supplier selection'!L83)</f>
        <v/>
      </c>
      <c r="M83" s="19" t="str">
        <f>IF('Supplier selection'!M83="","",'Supplier selection'!M83)</f>
        <v/>
      </c>
      <c r="N83" s="19" t="str">
        <f>IF('Supplier selection'!N83="","",'Supplier selection'!N83)</f>
        <v/>
      </c>
      <c r="O83" s="19" t="str">
        <f>IF('Supplier selection'!O83="","",'Supplier selection'!O83)</f>
        <v/>
      </c>
      <c r="Q83" s="19" t="str">
        <f>HLOOKUP($Q$3,'Supplier selection'!$AW$4:'Supplier selection'!$CT$1000,$A84,FALSE)</f>
        <v/>
      </c>
      <c r="R83" s="22" t="str">
        <f t="shared" si="11"/>
        <v/>
      </c>
      <c r="S83" s="19" t="str">
        <f t="shared" si="12"/>
        <v/>
      </c>
      <c r="T83" s="22" t="str">
        <f t="shared" si="13"/>
        <v/>
      </c>
      <c r="U83" s="19" t="str">
        <f t="shared" si="14"/>
        <v/>
      </c>
      <c r="V83" s="7"/>
      <c r="Y83" s="19" t="str">
        <f>IF('Supplier selection'!AQ83="","",'Supplier selection'!AQ83)</f>
        <v/>
      </c>
      <c r="Z83" s="19" t="str">
        <f>IF('Supplier selection'!AR83="","",'Supplier selection'!AR83)</f>
        <v/>
      </c>
      <c r="AA83" s="19" t="str">
        <f t="shared" si="15"/>
        <v/>
      </c>
      <c r="AD83" s="26" t="str">
        <f>IF(AND('Supplier selection'!X83="",'Supplier selection'!AE83=""),"",IF('Supplier selection'!X83="",'Supplier selection'!AE83,'Supplier selection'!X83))</f>
        <v/>
      </c>
      <c r="AE83" s="19" t="str">
        <f t="shared" si="16"/>
        <v/>
      </c>
      <c r="AF83" s="19" t="str">
        <f t="shared" si="17"/>
        <v/>
      </c>
      <c r="AG83" s="27" t="str">
        <f>IF(AND('Supplier selection'!AB83="",'Supplier selection'!AI83=""),"",IF('Supplier selection'!AB83="",'Supplier selection'!AI83,'Supplier selection'!AB83))</f>
        <v/>
      </c>
      <c r="AH83" s="28" t="str">
        <f t="shared" si="18"/>
        <v/>
      </c>
      <c r="AI83" s="7" t="str">
        <f t="shared" si="19"/>
        <v/>
      </c>
      <c r="AJ83" s="22" t="str">
        <f t="shared" si="20"/>
        <v/>
      </c>
      <c r="AK83" s="29" t="str">
        <f t="shared" si="21"/>
        <v/>
      </c>
      <c r="AL83" s="10"/>
    </row>
    <row r="84" spans="1:38">
      <c r="A84" s="19">
        <f>IF('Supplier selection'!A84="","",'Supplier selection'!A84)</f>
        <v>80</v>
      </c>
      <c r="B84" s="19" t="str">
        <f>IF('Supplier selection'!B84="","",'Supplier selection'!B84)</f>
        <v/>
      </c>
      <c r="C84" s="19" t="str">
        <f>IF('Supplier selection'!C84="","",'Supplier selection'!C84)</f>
        <v/>
      </c>
      <c r="D84" s="19" t="str">
        <f>IF('Supplier selection'!D84="","",'Supplier selection'!D84)</f>
        <v/>
      </c>
      <c r="E84" s="19" t="str">
        <f>IF('Supplier selection'!E84="","",'Supplier selection'!E84)</f>
        <v/>
      </c>
      <c r="F84" s="19" t="str">
        <f>IF('Supplier selection'!F84="","",'Supplier selection'!F84)</f>
        <v/>
      </c>
      <c r="G84" s="19" t="str">
        <f>IF('Supplier selection'!G84="","",'Supplier selection'!G84)</f>
        <v/>
      </c>
      <c r="H84" s="19" t="str">
        <f>IF('Supplier selection'!H84="","",'Supplier selection'!H84)</f>
        <v/>
      </c>
      <c r="I84" s="19" t="str">
        <f>IF('Supplier selection'!I84="","",'Supplier selection'!I84)</f>
        <v/>
      </c>
      <c r="J84" s="19" t="str">
        <f>IF('Supplier selection'!J84="","",'Supplier selection'!J84)</f>
        <v/>
      </c>
      <c r="K84" s="19" t="str">
        <f>IF('Supplier selection'!K84="","",'Supplier selection'!K84)</f>
        <v/>
      </c>
      <c r="L84" s="19" t="str">
        <f>IF('Supplier selection'!L84="","",'Supplier selection'!L84)</f>
        <v/>
      </c>
      <c r="M84" s="19" t="str">
        <f>IF('Supplier selection'!M84="","",'Supplier selection'!M84)</f>
        <v/>
      </c>
      <c r="N84" s="19" t="str">
        <f>IF('Supplier selection'!N84="","",'Supplier selection'!N84)</f>
        <v/>
      </c>
      <c r="O84" s="19" t="str">
        <f>IF('Supplier selection'!O84="","",'Supplier selection'!O84)</f>
        <v/>
      </c>
      <c r="Q84" s="19" t="str">
        <f>HLOOKUP($Q$3,'Supplier selection'!$AW$4:'Supplier selection'!$CT$1000,$A85,FALSE)</f>
        <v/>
      </c>
      <c r="R84" s="22" t="str">
        <f t="shared" si="11"/>
        <v/>
      </c>
      <c r="S84" s="19" t="str">
        <f t="shared" si="12"/>
        <v/>
      </c>
      <c r="T84" s="22" t="str">
        <f t="shared" si="13"/>
        <v/>
      </c>
      <c r="U84" s="19" t="str">
        <f t="shared" si="14"/>
        <v/>
      </c>
      <c r="V84" s="7"/>
      <c r="Y84" s="19" t="str">
        <f>IF('Supplier selection'!AQ84="","",'Supplier selection'!AQ84)</f>
        <v/>
      </c>
      <c r="Z84" s="19" t="str">
        <f>IF('Supplier selection'!AR84="","",'Supplier selection'!AR84)</f>
        <v/>
      </c>
      <c r="AA84" s="19" t="str">
        <f t="shared" si="15"/>
        <v/>
      </c>
      <c r="AD84" s="26" t="str">
        <f>IF(AND('Supplier selection'!X84="",'Supplier selection'!AE84=""),"",IF('Supplier selection'!X84="",'Supplier selection'!AE84,'Supplier selection'!X84))</f>
        <v/>
      </c>
      <c r="AE84" s="19" t="str">
        <f t="shared" si="16"/>
        <v/>
      </c>
      <c r="AF84" s="19" t="str">
        <f t="shared" si="17"/>
        <v/>
      </c>
      <c r="AG84" s="27" t="str">
        <f>IF(AND('Supplier selection'!AB84="",'Supplier selection'!AI84=""),"",IF('Supplier selection'!AB84="",'Supplier selection'!AI84,'Supplier selection'!AB84))</f>
        <v/>
      </c>
      <c r="AH84" s="28" t="str">
        <f t="shared" si="18"/>
        <v/>
      </c>
      <c r="AI84" s="7" t="str">
        <f t="shared" si="19"/>
        <v/>
      </c>
      <c r="AJ84" s="22" t="str">
        <f t="shared" si="20"/>
        <v/>
      </c>
      <c r="AK84" s="29" t="str">
        <f t="shared" si="21"/>
        <v/>
      </c>
      <c r="AL84" s="10"/>
    </row>
    <row r="85" spans="1:38">
      <c r="A85" s="19">
        <f>IF('Supplier selection'!A85="","",'Supplier selection'!A85)</f>
        <v>81</v>
      </c>
      <c r="B85" s="19" t="str">
        <f>IF('Supplier selection'!B85="","",'Supplier selection'!B85)</f>
        <v/>
      </c>
      <c r="C85" s="19" t="str">
        <f>IF('Supplier selection'!C85="","",'Supplier selection'!C85)</f>
        <v/>
      </c>
      <c r="D85" s="19" t="str">
        <f>IF('Supplier selection'!D85="","",'Supplier selection'!D85)</f>
        <v/>
      </c>
      <c r="E85" s="19" t="str">
        <f>IF('Supplier selection'!E85="","",'Supplier selection'!E85)</f>
        <v/>
      </c>
      <c r="F85" s="19" t="str">
        <f>IF('Supplier selection'!F85="","",'Supplier selection'!F85)</f>
        <v/>
      </c>
      <c r="G85" s="19" t="str">
        <f>IF('Supplier selection'!G85="","",'Supplier selection'!G85)</f>
        <v/>
      </c>
      <c r="H85" s="19" t="str">
        <f>IF('Supplier selection'!H85="","",'Supplier selection'!H85)</f>
        <v/>
      </c>
      <c r="I85" s="19" t="str">
        <f>IF('Supplier selection'!I85="","",'Supplier selection'!I85)</f>
        <v/>
      </c>
      <c r="J85" s="19" t="str">
        <f>IF('Supplier selection'!J85="","",'Supplier selection'!J85)</f>
        <v/>
      </c>
      <c r="K85" s="19" t="str">
        <f>IF('Supplier selection'!K85="","",'Supplier selection'!K85)</f>
        <v/>
      </c>
      <c r="L85" s="19" t="str">
        <f>IF('Supplier selection'!L85="","",'Supplier selection'!L85)</f>
        <v/>
      </c>
      <c r="M85" s="19" t="str">
        <f>IF('Supplier selection'!M85="","",'Supplier selection'!M85)</f>
        <v/>
      </c>
      <c r="N85" s="19" t="str">
        <f>IF('Supplier selection'!N85="","",'Supplier selection'!N85)</f>
        <v/>
      </c>
      <c r="O85" s="19" t="str">
        <f>IF('Supplier selection'!O85="","",'Supplier selection'!O85)</f>
        <v/>
      </c>
      <c r="Q85" s="19" t="str">
        <f>HLOOKUP($Q$3,'Supplier selection'!$AW$4:'Supplier selection'!$CT$1000,$A86,FALSE)</f>
        <v/>
      </c>
      <c r="R85" s="22" t="str">
        <f t="shared" si="11"/>
        <v/>
      </c>
      <c r="S85" s="19" t="str">
        <f t="shared" si="12"/>
        <v/>
      </c>
      <c r="T85" s="22" t="str">
        <f t="shared" si="13"/>
        <v/>
      </c>
      <c r="U85" s="19" t="str">
        <f t="shared" si="14"/>
        <v/>
      </c>
      <c r="V85" s="7"/>
      <c r="Y85" s="19" t="str">
        <f>IF('Supplier selection'!AQ85="","",'Supplier selection'!AQ85)</f>
        <v/>
      </c>
      <c r="Z85" s="19" t="str">
        <f>IF('Supplier selection'!AR85="","",'Supplier selection'!AR85)</f>
        <v/>
      </c>
      <c r="AA85" s="19" t="str">
        <f t="shared" si="15"/>
        <v/>
      </c>
      <c r="AD85" s="26" t="str">
        <f>IF(AND('Supplier selection'!X85="",'Supplier selection'!AE85=""),"",IF('Supplier selection'!X85="",'Supplier selection'!AE85,'Supplier selection'!X85))</f>
        <v/>
      </c>
      <c r="AE85" s="19" t="str">
        <f t="shared" si="16"/>
        <v/>
      </c>
      <c r="AF85" s="19" t="str">
        <f t="shared" si="17"/>
        <v/>
      </c>
      <c r="AG85" s="27" t="str">
        <f>IF(AND('Supplier selection'!AB85="",'Supplier selection'!AI85=""),"",IF('Supplier selection'!AB85="",'Supplier selection'!AI85,'Supplier selection'!AB85))</f>
        <v/>
      </c>
      <c r="AH85" s="28" t="str">
        <f t="shared" si="18"/>
        <v/>
      </c>
      <c r="AI85" s="7" t="str">
        <f t="shared" si="19"/>
        <v/>
      </c>
      <c r="AJ85" s="22" t="str">
        <f t="shared" si="20"/>
        <v/>
      </c>
      <c r="AK85" s="29" t="str">
        <f t="shared" si="21"/>
        <v/>
      </c>
      <c r="AL85" s="10"/>
    </row>
    <row r="86" spans="1:38">
      <c r="A86" s="19">
        <f>IF('Supplier selection'!A86="","",'Supplier selection'!A86)</f>
        <v>82</v>
      </c>
      <c r="B86" s="19" t="str">
        <f>IF('Supplier selection'!B86="","",'Supplier selection'!B86)</f>
        <v/>
      </c>
      <c r="C86" s="19" t="str">
        <f>IF('Supplier selection'!C86="","",'Supplier selection'!C86)</f>
        <v/>
      </c>
      <c r="D86" s="19" t="str">
        <f>IF('Supplier selection'!D86="","",'Supplier selection'!D86)</f>
        <v/>
      </c>
      <c r="E86" s="19" t="str">
        <f>IF('Supplier selection'!E86="","",'Supplier selection'!E86)</f>
        <v/>
      </c>
      <c r="F86" s="19" t="str">
        <f>IF('Supplier selection'!F86="","",'Supplier selection'!F86)</f>
        <v/>
      </c>
      <c r="G86" s="19" t="str">
        <f>IF('Supplier selection'!G86="","",'Supplier selection'!G86)</f>
        <v/>
      </c>
      <c r="H86" s="19" t="str">
        <f>IF('Supplier selection'!H86="","",'Supplier selection'!H86)</f>
        <v/>
      </c>
      <c r="I86" s="19" t="str">
        <f>IF('Supplier selection'!I86="","",'Supplier selection'!I86)</f>
        <v/>
      </c>
      <c r="J86" s="19" t="str">
        <f>IF('Supplier selection'!J86="","",'Supplier selection'!J86)</f>
        <v/>
      </c>
      <c r="K86" s="19" t="str">
        <f>IF('Supplier selection'!K86="","",'Supplier selection'!K86)</f>
        <v/>
      </c>
      <c r="L86" s="19" t="str">
        <f>IF('Supplier selection'!L86="","",'Supplier selection'!L86)</f>
        <v/>
      </c>
      <c r="M86" s="19" t="str">
        <f>IF('Supplier selection'!M86="","",'Supplier selection'!M86)</f>
        <v/>
      </c>
      <c r="N86" s="19" t="str">
        <f>IF('Supplier selection'!N86="","",'Supplier selection'!N86)</f>
        <v/>
      </c>
      <c r="O86" s="19" t="str">
        <f>IF('Supplier selection'!O86="","",'Supplier selection'!O86)</f>
        <v/>
      </c>
      <c r="Q86" s="19" t="str">
        <f>HLOOKUP($Q$3,'Supplier selection'!$AW$4:'Supplier selection'!$CT$1000,$A87,FALSE)</f>
        <v/>
      </c>
      <c r="R86" s="22" t="str">
        <f t="shared" si="11"/>
        <v/>
      </c>
      <c r="S86" s="19" t="str">
        <f t="shared" si="12"/>
        <v/>
      </c>
      <c r="T86" s="22" t="str">
        <f t="shared" si="13"/>
        <v/>
      </c>
      <c r="U86" s="19" t="str">
        <f t="shared" si="14"/>
        <v/>
      </c>
      <c r="V86" s="7"/>
      <c r="Y86" s="19" t="str">
        <f>IF('Supplier selection'!AQ86="","",'Supplier selection'!AQ86)</f>
        <v/>
      </c>
      <c r="Z86" s="19" t="str">
        <f>IF('Supplier selection'!AR86="","",'Supplier selection'!AR86)</f>
        <v/>
      </c>
      <c r="AA86" s="19" t="str">
        <f t="shared" si="15"/>
        <v/>
      </c>
      <c r="AD86" s="26" t="str">
        <f>IF(AND('Supplier selection'!X86="",'Supplier selection'!AE86=""),"",IF('Supplier selection'!X86="",'Supplier selection'!AE86,'Supplier selection'!X86))</f>
        <v/>
      </c>
      <c r="AE86" s="19" t="str">
        <f t="shared" si="16"/>
        <v/>
      </c>
      <c r="AF86" s="19" t="str">
        <f t="shared" si="17"/>
        <v/>
      </c>
      <c r="AG86" s="27" t="str">
        <f>IF(AND('Supplier selection'!AB86="",'Supplier selection'!AI86=""),"",IF('Supplier selection'!AB86="",'Supplier selection'!AI86,'Supplier selection'!AB86))</f>
        <v/>
      </c>
      <c r="AH86" s="28" t="str">
        <f t="shared" si="18"/>
        <v/>
      </c>
      <c r="AI86" s="7" t="str">
        <f t="shared" si="19"/>
        <v/>
      </c>
      <c r="AJ86" s="22" t="str">
        <f t="shared" si="20"/>
        <v/>
      </c>
      <c r="AK86" s="29" t="str">
        <f t="shared" si="21"/>
        <v/>
      </c>
      <c r="AL86" s="10"/>
    </row>
    <row r="87" spans="1:38">
      <c r="A87" s="19">
        <f>IF('Supplier selection'!A87="","",'Supplier selection'!A87)</f>
        <v>83</v>
      </c>
      <c r="B87" s="19" t="str">
        <f>IF('Supplier selection'!B87="","",'Supplier selection'!B87)</f>
        <v/>
      </c>
      <c r="C87" s="19" t="str">
        <f>IF('Supplier selection'!C87="","",'Supplier selection'!C87)</f>
        <v/>
      </c>
      <c r="D87" s="19" t="str">
        <f>IF('Supplier selection'!D87="","",'Supplier selection'!D87)</f>
        <v/>
      </c>
      <c r="E87" s="19" t="str">
        <f>IF('Supplier selection'!E87="","",'Supplier selection'!E87)</f>
        <v/>
      </c>
      <c r="F87" s="19" t="str">
        <f>IF('Supplier selection'!F87="","",'Supplier selection'!F87)</f>
        <v/>
      </c>
      <c r="G87" s="19" t="str">
        <f>IF('Supplier selection'!G87="","",'Supplier selection'!G87)</f>
        <v/>
      </c>
      <c r="H87" s="19" t="str">
        <f>IF('Supplier selection'!H87="","",'Supplier selection'!H87)</f>
        <v/>
      </c>
      <c r="I87" s="19" t="str">
        <f>IF('Supplier selection'!I87="","",'Supplier selection'!I87)</f>
        <v/>
      </c>
      <c r="J87" s="19" t="str">
        <f>IF('Supplier selection'!J87="","",'Supplier selection'!J87)</f>
        <v/>
      </c>
      <c r="K87" s="19" t="str">
        <f>IF('Supplier selection'!K87="","",'Supplier selection'!K87)</f>
        <v/>
      </c>
      <c r="L87" s="19" t="str">
        <f>IF('Supplier selection'!L87="","",'Supplier selection'!L87)</f>
        <v/>
      </c>
      <c r="M87" s="19" t="str">
        <f>IF('Supplier selection'!M87="","",'Supplier selection'!M87)</f>
        <v/>
      </c>
      <c r="N87" s="19" t="str">
        <f>IF('Supplier selection'!N87="","",'Supplier selection'!N87)</f>
        <v/>
      </c>
      <c r="O87" s="19" t="str">
        <f>IF('Supplier selection'!O87="","",'Supplier selection'!O87)</f>
        <v/>
      </c>
      <c r="Q87" s="19" t="str">
        <f>HLOOKUP($Q$3,'Supplier selection'!$AW$4:'Supplier selection'!$CT$1000,$A88,FALSE)</f>
        <v/>
      </c>
      <c r="R87" s="22" t="str">
        <f t="shared" si="11"/>
        <v/>
      </c>
      <c r="S87" s="19" t="str">
        <f t="shared" si="12"/>
        <v/>
      </c>
      <c r="T87" s="22" t="str">
        <f t="shared" si="13"/>
        <v/>
      </c>
      <c r="U87" s="19" t="str">
        <f t="shared" si="14"/>
        <v/>
      </c>
      <c r="V87" s="7"/>
      <c r="Y87" s="19" t="str">
        <f>IF('Supplier selection'!AQ87="","",'Supplier selection'!AQ87)</f>
        <v/>
      </c>
      <c r="Z87" s="19" t="str">
        <f>IF('Supplier selection'!AR87="","",'Supplier selection'!AR87)</f>
        <v/>
      </c>
      <c r="AA87" s="19" t="str">
        <f t="shared" si="15"/>
        <v/>
      </c>
      <c r="AD87" s="26" t="str">
        <f>IF(AND('Supplier selection'!X87="",'Supplier selection'!AE87=""),"",IF('Supplier selection'!X87="",'Supplier selection'!AE87,'Supplier selection'!X87))</f>
        <v/>
      </c>
      <c r="AE87" s="19" t="str">
        <f t="shared" si="16"/>
        <v/>
      </c>
      <c r="AF87" s="19" t="str">
        <f t="shared" si="17"/>
        <v/>
      </c>
      <c r="AG87" s="27" t="str">
        <f>IF(AND('Supplier selection'!AB87="",'Supplier selection'!AI87=""),"",IF('Supplier selection'!AB87="",'Supplier selection'!AI87,'Supplier selection'!AB87))</f>
        <v/>
      </c>
      <c r="AH87" s="28" t="str">
        <f t="shared" si="18"/>
        <v/>
      </c>
      <c r="AI87" s="7" t="str">
        <f t="shared" si="19"/>
        <v/>
      </c>
      <c r="AJ87" s="22" t="str">
        <f t="shared" si="20"/>
        <v/>
      </c>
      <c r="AK87" s="29" t="str">
        <f t="shared" si="21"/>
        <v/>
      </c>
      <c r="AL87" s="10"/>
    </row>
    <row r="88" spans="1:38">
      <c r="A88" s="19">
        <f>IF('Supplier selection'!A88="","",'Supplier selection'!A88)</f>
        <v>84</v>
      </c>
      <c r="B88" s="19" t="str">
        <f>IF('Supplier selection'!B88="","",'Supplier selection'!B88)</f>
        <v/>
      </c>
      <c r="C88" s="19" t="str">
        <f>IF('Supplier selection'!C88="","",'Supplier selection'!C88)</f>
        <v/>
      </c>
      <c r="D88" s="19" t="str">
        <f>IF('Supplier selection'!D88="","",'Supplier selection'!D88)</f>
        <v/>
      </c>
      <c r="E88" s="19" t="str">
        <f>IF('Supplier selection'!E88="","",'Supplier selection'!E88)</f>
        <v/>
      </c>
      <c r="F88" s="19" t="str">
        <f>IF('Supplier selection'!F88="","",'Supplier selection'!F88)</f>
        <v/>
      </c>
      <c r="G88" s="19" t="str">
        <f>IF('Supplier selection'!G88="","",'Supplier selection'!G88)</f>
        <v/>
      </c>
      <c r="H88" s="19" t="str">
        <f>IF('Supplier selection'!H88="","",'Supplier selection'!H88)</f>
        <v/>
      </c>
      <c r="I88" s="19" t="str">
        <f>IF('Supplier selection'!I88="","",'Supplier selection'!I88)</f>
        <v/>
      </c>
      <c r="J88" s="19" t="str">
        <f>IF('Supplier selection'!J88="","",'Supplier selection'!J88)</f>
        <v/>
      </c>
      <c r="K88" s="19" t="str">
        <f>IF('Supplier selection'!K88="","",'Supplier selection'!K88)</f>
        <v/>
      </c>
      <c r="L88" s="19" t="str">
        <f>IF('Supplier selection'!L88="","",'Supplier selection'!L88)</f>
        <v/>
      </c>
      <c r="M88" s="19" t="str">
        <f>IF('Supplier selection'!M88="","",'Supplier selection'!M88)</f>
        <v/>
      </c>
      <c r="N88" s="19" t="str">
        <f>IF('Supplier selection'!N88="","",'Supplier selection'!N88)</f>
        <v/>
      </c>
      <c r="O88" s="19" t="str">
        <f>IF('Supplier selection'!O88="","",'Supplier selection'!O88)</f>
        <v/>
      </c>
      <c r="Q88" s="19" t="str">
        <f>HLOOKUP($Q$3,'Supplier selection'!$AW$4:'Supplier selection'!$CT$1000,$A89,FALSE)</f>
        <v/>
      </c>
      <c r="R88" s="22" t="str">
        <f t="shared" si="11"/>
        <v/>
      </c>
      <c r="S88" s="19" t="str">
        <f t="shared" si="12"/>
        <v/>
      </c>
      <c r="T88" s="22" t="str">
        <f t="shared" si="13"/>
        <v/>
      </c>
      <c r="U88" s="19" t="str">
        <f t="shared" si="14"/>
        <v/>
      </c>
      <c r="V88" s="7"/>
      <c r="Y88" s="19" t="str">
        <f>IF('Supplier selection'!AQ88="","",'Supplier selection'!AQ88)</f>
        <v/>
      </c>
      <c r="Z88" s="19" t="str">
        <f>IF('Supplier selection'!AR88="","",'Supplier selection'!AR88)</f>
        <v/>
      </c>
      <c r="AA88" s="19" t="str">
        <f t="shared" si="15"/>
        <v/>
      </c>
      <c r="AD88" s="26" t="str">
        <f>IF(AND('Supplier selection'!X88="",'Supplier selection'!AE88=""),"",IF('Supplier selection'!X88="",'Supplier selection'!AE88,'Supplier selection'!X88))</f>
        <v/>
      </c>
      <c r="AE88" s="19" t="str">
        <f t="shared" si="16"/>
        <v/>
      </c>
      <c r="AF88" s="19" t="str">
        <f t="shared" si="17"/>
        <v/>
      </c>
      <c r="AG88" s="27" t="str">
        <f>IF(AND('Supplier selection'!AB88="",'Supplier selection'!AI88=""),"",IF('Supplier selection'!AB88="",'Supplier selection'!AI88,'Supplier selection'!AB88))</f>
        <v/>
      </c>
      <c r="AH88" s="28" t="str">
        <f t="shared" si="18"/>
        <v/>
      </c>
      <c r="AI88" s="7" t="str">
        <f t="shared" si="19"/>
        <v/>
      </c>
      <c r="AJ88" s="22" t="str">
        <f t="shared" si="20"/>
        <v/>
      </c>
      <c r="AK88" s="29" t="str">
        <f t="shared" si="21"/>
        <v/>
      </c>
      <c r="AL88" s="10"/>
    </row>
    <row r="89" spans="1:38">
      <c r="A89" s="19">
        <f>IF('Supplier selection'!A89="","",'Supplier selection'!A89)</f>
        <v>85</v>
      </c>
      <c r="B89" s="19" t="str">
        <f>IF('Supplier selection'!B89="","",'Supplier selection'!B89)</f>
        <v/>
      </c>
      <c r="C89" s="19" t="str">
        <f>IF('Supplier selection'!C89="","",'Supplier selection'!C89)</f>
        <v/>
      </c>
      <c r="D89" s="19" t="str">
        <f>IF('Supplier selection'!D89="","",'Supplier selection'!D89)</f>
        <v/>
      </c>
      <c r="E89" s="19" t="str">
        <f>IF('Supplier selection'!E89="","",'Supplier selection'!E89)</f>
        <v/>
      </c>
      <c r="F89" s="19" t="str">
        <f>IF('Supplier selection'!F89="","",'Supplier selection'!F89)</f>
        <v/>
      </c>
      <c r="G89" s="19" t="str">
        <f>IF('Supplier selection'!G89="","",'Supplier selection'!G89)</f>
        <v/>
      </c>
      <c r="H89" s="19" t="str">
        <f>IF('Supplier selection'!H89="","",'Supplier selection'!H89)</f>
        <v/>
      </c>
      <c r="I89" s="19" t="str">
        <f>IF('Supplier selection'!I89="","",'Supplier selection'!I89)</f>
        <v/>
      </c>
      <c r="J89" s="19" t="str">
        <f>IF('Supplier selection'!J89="","",'Supplier selection'!J89)</f>
        <v/>
      </c>
      <c r="K89" s="19" t="str">
        <f>IF('Supplier selection'!K89="","",'Supplier selection'!K89)</f>
        <v/>
      </c>
      <c r="L89" s="19" t="str">
        <f>IF('Supplier selection'!L89="","",'Supplier selection'!L89)</f>
        <v/>
      </c>
      <c r="M89" s="19" t="str">
        <f>IF('Supplier selection'!M89="","",'Supplier selection'!M89)</f>
        <v/>
      </c>
      <c r="N89" s="19" t="str">
        <f>IF('Supplier selection'!N89="","",'Supplier selection'!N89)</f>
        <v/>
      </c>
      <c r="O89" s="19" t="str">
        <f>IF('Supplier selection'!O89="","",'Supplier selection'!O89)</f>
        <v/>
      </c>
      <c r="Q89" s="19" t="str">
        <f>HLOOKUP($Q$3,'Supplier selection'!$AW$4:'Supplier selection'!$CT$1000,$A90,FALSE)</f>
        <v/>
      </c>
      <c r="R89" s="22" t="str">
        <f t="shared" si="11"/>
        <v/>
      </c>
      <c r="S89" s="19" t="str">
        <f t="shared" si="12"/>
        <v/>
      </c>
      <c r="T89" s="22" t="str">
        <f t="shared" si="13"/>
        <v/>
      </c>
      <c r="U89" s="19" t="str">
        <f t="shared" si="14"/>
        <v/>
      </c>
      <c r="V89" s="7"/>
      <c r="Y89" s="19" t="str">
        <f>IF('Supplier selection'!AQ89="","",'Supplier selection'!AQ89)</f>
        <v/>
      </c>
      <c r="Z89" s="19" t="str">
        <f>IF('Supplier selection'!AR89="","",'Supplier selection'!AR89)</f>
        <v/>
      </c>
      <c r="AA89" s="19" t="str">
        <f t="shared" si="15"/>
        <v/>
      </c>
      <c r="AD89" s="26" t="str">
        <f>IF(AND('Supplier selection'!X89="",'Supplier selection'!AE89=""),"",IF('Supplier selection'!X89="",'Supplier selection'!AE89,'Supplier selection'!X89))</f>
        <v/>
      </c>
      <c r="AE89" s="19" t="str">
        <f t="shared" si="16"/>
        <v/>
      </c>
      <c r="AF89" s="19" t="str">
        <f t="shared" si="17"/>
        <v/>
      </c>
      <c r="AG89" s="27" t="str">
        <f>IF(AND('Supplier selection'!AB89="",'Supplier selection'!AI89=""),"",IF('Supplier selection'!AB89="",'Supplier selection'!AI89,'Supplier selection'!AB89))</f>
        <v/>
      </c>
      <c r="AH89" s="28" t="str">
        <f t="shared" si="18"/>
        <v/>
      </c>
      <c r="AI89" s="7" t="str">
        <f t="shared" si="19"/>
        <v/>
      </c>
      <c r="AJ89" s="22" t="str">
        <f t="shared" si="20"/>
        <v/>
      </c>
      <c r="AK89" s="29" t="str">
        <f t="shared" si="21"/>
        <v/>
      </c>
      <c r="AL89" s="10"/>
    </row>
    <row r="90" spans="1:38">
      <c r="A90" s="19">
        <f>IF('Supplier selection'!A90="","",'Supplier selection'!A90)</f>
        <v>86</v>
      </c>
      <c r="B90" s="19" t="str">
        <f>IF('Supplier selection'!B90="","",'Supplier selection'!B90)</f>
        <v/>
      </c>
      <c r="C90" s="19" t="str">
        <f>IF('Supplier selection'!C90="","",'Supplier selection'!C90)</f>
        <v/>
      </c>
      <c r="D90" s="19" t="str">
        <f>IF('Supplier selection'!D90="","",'Supplier selection'!D90)</f>
        <v/>
      </c>
      <c r="E90" s="19" t="str">
        <f>IF('Supplier selection'!E90="","",'Supplier selection'!E90)</f>
        <v/>
      </c>
      <c r="F90" s="19" t="str">
        <f>IF('Supplier selection'!F90="","",'Supplier selection'!F90)</f>
        <v/>
      </c>
      <c r="G90" s="19" t="str">
        <f>IF('Supplier selection'!G90="","",'Supplier selection'!G90)</f>
        <v/>
      </c>
      <c r="H90" s="19" t="str">
        <f>IF('Supplier selection'!H90="","",'Supplier selection'!H90)</f>
        <v/>
      </c>
      <c r="I90" s="19" t="str">
        <f>IF('Supplier selection'!I90="","",'Supplier selection'!I90)</f>
        <v/>
      </c>
      <c r="J90" s="19" t="str">
        <f>IF('Supplier selection'!J90="","",'Supplier selection'!J90)</f>
        <v/>
      </c>
      <c r="K90" s="19" t="str">
        <f>IF('Supplier selection'!K90="","",'Supplier selection'!K90)</f>
        <v/>
      </c>
      <c r="L90" s="19" t="str">
        <f>IF('Supplier selection'!L90="","",'Supplier selection'!L90)</f>
        <v/>
      </c>
      <c r="M90" s="19" t="str">
        <f>IF('Supplier selection'!M90="","",'Supplier selection'!M90)</f>
        <v/>
      </c>
      <c r="N90" s="19" t="str">
        <f>IF('Supplier selection'!N90="","",'Supplier selection'!N90)</f>
        <v/>
      </c>
      <c r="O90" s="19" t="str">
        <f>IF('Supplier selection'!O90="","",'Supplier selection'!O90)</f>
        <v/>
      </c>
      <c r="Q90" s="19" t="str">
        <f>HLOOKUP($Q$3,'Supplier selection'!$AW$4:'Supplier selection'!$CT$1000,$A91,FALSE)</f>
        <v/>
      </c>
      <c r="R90" s="22" t="str">
        <f t="shared" si="11"/>
        <v/>
      </c>
      <c r="S90" s="19" t="str">
        <f t="shared" si="12"/>
        <v/>
      </c>
      <c r="T90" s="22" t="str">
        <f t="shared" si="13"/>
        <v/>
      </c>
      <c r="U90" s="19" t="str">
        <f t="shared" si="14"/>
        <v/>
      </c>
      <c r="V90" s="7"/>
      <c r="Y90" s="19" t="str">
        <f>IF('Supplier selection'!AQ90="","",'Supplier selection'!AQ90)</f>
        <v/>
      </c>
      <c r="Z90" s="19" t="str">
        <f>IF('Supplier selection'!AR90="","",'Supplier selection'!AR90)</f>
        <v/>
      </c>
      <c r="AA90" s="19" t="str">
        <f t="shared" si="15"/>
        <v/>
      </c>
      <c r="AD90" s="26" t="str">
        <f>IF(AND('Supplier selection'!X90="",'Supplier selection'!AE90=""),"",IF('Supplier selection'!X90="",'Supplier selection'!AE90,'Supplier selection'!X90))</f>
        <v/>
      </c>
      <c r="AE90" s="19" t="str">
        <f t="shared" si="16"/>
        <v/>
      </c>
      <c r="AF90" s="19" t="str">
        <f t="shared" si="17"/>
        <v/>
      </c>
      <c r="AG90" s="27" t="str">
        <f>IF(AND('Supplier selection'!AB90="",'Supplier selection'!AI90=""),"",IF('Supplier selection'!AB90="",'Supplier selection'!AI90,'Supplier selection'!AB90))</f>
        <v/>
      </c>
      <c r="AH90" s="28" t="str">
        <f t="shared" si="18"/>
        <v/>
      </c>
      <c r="AI90" s="7" t="str">
        <f t="shared" si="19"/>
        <v/>
      </c>
      <c r="AJ90" s="22" t="str">
        <f t="shared" si="20"/>
        <v/>
      </c>
      <c r="AK90" s="29" t="str">
        <f t="shared" si="21"/>
        <v/>
      </c>
      <c r="AL90" s="10"/>
    </row>
    <row r="91" spans="1:38">
      <c r="A91" s="19">
        <f>IF('Supplier selection'!A91="","",'Supplier selection'!A91)</f>
        <v>87</v>
      </c>
      <c r="B91" s="19" t="str">
        <f>IF('Supplier selection'!B91="","",'Supplier selection'!B91)</f>
        <v/>
      </c>
      <c r="C91" s="19" t="str">
        <f>IF('Supplier selection'!C91="","",'Supplier selection'!C91)</f>
        <v/>
      </c>
      <c r="D91" s="19" t="str">
        <f>IF('Supplier selection'!D91="","",'Supplier selection'!D91)</f>
        <v/>
      </c>
      <c r="E91" s="19" t="str">
        <f>IF('Supplier selection'!E91="","",'Supplier selection'!E91)</f>
        <v/>
      </c>
      <c r="F91" s="19" t="str">
        <f>IF('Supplier selection'!F91="","",'Supplier selection'!F91)</f>
        <v/>
      </c>
      <c r="G91" s="19" t="str">
        <f>IF('Supplier selection'!G91="","",'Supplier selection'!G91)</f>
        <v/>
      </c>
      <c r="H91" s="19" t="str">
        <f>IF('Supplier selection'!H91="","",'Supplier selection'!H91)</f>
        <v/>
      </c>
      <c r="I91" s="19" t="str">
        <f>IF('Supplier selection'!I91="","",'Supplier selection'!I91)</f>
        <v/>
      </c>
      <c r="J91" s="19" t="str">
        <f>IF('Supplier selection'!J91="","",'Supplier selection'!J91)</f>
        <v/>
      </c>
      <c r="K91" s="19" t="str">
        <f>IF('Supplier selection'!K91="","",'Supplier selection'!K91)</f>
        <v/>
      </c>
      <c r="L91" s="19" t="str">
        <f>IF('Supplier selection'!L91="","",'Supplier selection'!L91)</f>
        <v/>
      </c>
      <c r="M91" s="19" t="str">
        <f>IF('Supplier selection'!M91="","",'Supplier selection'!M91)</f>
        <v/>
      </c>
      <c r="N91" s="19" t="str">
        <f>IF('Supplier selection'!N91="","",'Supplier selection'!N91)</f>
        <v/>
      </c>
      <c r="O91" s="19" t="str">
        <f>IF('Supplier selection'!O91="","",'Supplier selection'!O91)</f>
        <v/>
      </c>
      <c r="Q91" s="19" t="str">
        <f>HLOOKUP($Q$3,'Supplier selection'!$AW$4:'Supplier selection'!$CT$1000,$A92,FALSE)</f>
        <v/>
      </c>
      <c r="R91" s="22" t="str">
        <f t="shared" si="11"/>
        <v/>
      </c>
      <c r="S91" s="19" t="str">
        <f t="shared" si="12"/>
        <v/>
      </c>
      <c r="T91" s="22" t="str">
        <f t="shared" si="13"/>
        <v/>
      </c>
      <c r="U91" s="19" t="str">
        <f t="shared" si="14"/>
        <v/>
      </c>
      <c r="V91" s="7"/>
      <c r="Y91" s="19" t="str">
        <f>IF('Supplier selection'!AQ91="","",'Supplier selection'!AQ91)</f>
        <v/>
      </c>
      <c r="Z91" s="19" t="str">
        <f>IF('Supplier selection'!AR91="","",'Supplier selection'!AR91)</f>
        <v/>
      </c>
      <c r="AA91" s="19" t="str">
        <f t="shared" si="15"/>
        <v/>
      </c>
      <c r="AD91" s="26" t="str">
        <f>IF(AND('Supplier selection'!X91="",'Supplier selection'!AE91=""),"",IF('Supplier selection'!X91="",'Supplier selection'!AE91,'Supplier selection'!X91))</f>
        <v/>
      </c>
      <c r="AE91" s="19" t="str">
        <f t="shared" si="16"/>
        <v/>
      </c>
      <c r="AF91" s="19" t="str">
        <f t="shared" si="17"/>
        <v/>
      </c>
      <c r="AG91" s="27" t="str">
        <f>IF(AND('Supplier selection'!AB91="",'Supplier selection'!AI91=""),"",IF('Supplier selection'!AB91="",'Supplier selection'!AI91,'Supplier selection'!AB91))</f>
        <v/>
      </c>
      <c r="AH91" s="28" t="str">
        <f t="shared" si="18"/>
        <v/>
      </c>
      <c r="AI91" s="7" t="str">
        <f t="shared" si="19"/>
        <v/>
      </c>
      <c r="AJ91" s="22" t="str">
        <f t="shared" si="20"/>
        <v/>
      </c>
      <c r="AK91" s="29" t="str">
        <f t="shared" si="21"/>
        <v/>
      </c>
      <c r="AL91" s="10"/>
    </row>
    <row r="92" spans="1:38">
      <c r="A92" s="19">
        <f>IF('Supplier selection'!A92="","",'Supplier selection'!A92)</f>
        <v>88</v>
      </c>
      <c r="B92" s="19" t="str">
        <f>IF('Supplier selection'!B92="","",'Supplier selection'!B92)</f>
        <v/>
      </c>
      <c r="C92" s="19" t="str">
        <f>IF('Supplier selection'!C92="","",'Supplier selection'!C92)</f>
        <v/>
      </c>
      <c r="D92" s="19" t="str">
        <f>IF('Supplier selection'!D92="","",'Supplier selection'!D92)</f>
        <v/>
      </c>
      <c r="E92" s="19" t="str">
        <f>IF('Supplier selection'!E92="","",'Supplier selection'!E92)</f>
        <v/>
      </c>
      <c r="F92" s="19" t="str">
        <f>IF('Supplier selection'!F92="","",'Supplier selection'!F92)</f>
        <v/>
      </c>
      <c r="G92" s="19" t="str">
        <f>IF('Supplier selection'!G92="","",'Supplier selection'!G92)</f>
        <v/>
      </c>
      <c r="H92" s="19" t="str">
        <f>IF('Supplier selection'!H92="","",'Supplier selection'!H92)</f>
        <v/>
      </c>
      <c r="I92" s="19" t="str">
        <f>IF('Supplier selection'!I92="","",'Supplier selection'!I92)</f>
        <v/>
      </c>
      <c r="J92" s="19" t="str">
        <f>IF('Supplier selection'!J92="","",'Supplier selection'!J92)</f>
        <v/>
      </c>
      <c r="K92" s="19" t="str">
        <f>IF('Supplier selection'!K92="","",'Supplier selection'!K92)</f>
        <v/>
      </c>
      <c r="L92" s="19" t="str">
        <f>IF('Supplier selection'!L92="","",'Supplier selection'!L92)</f>
        <v/>
      </c>
      <c r="M92" s="19" t="str">
        <f>IF('Supplier selection'!M92="","",'Supplier selection'!M92)</f>
        <v/>
      </c>
      <c r="N92" s="19" t="str">
        <f>IF('Supplier selection'!N92="","",'Supplier selection'!N92)</f>
        <v/>
      </c>
      <c r="O92" s="19" t="str">
        <f>IF('Supplier selection'!O92="","",'Supplier selection'!O92)</f>
        <v/>
      </c>
      <c r="Q92" s="19" t="str">
        <f>HLOOKUP($Q$3,'Supplier selection'!$AW$4:'Supplier selection'!$CT$1000,$A93,FALSE)</f>
        <v/>
      </c>
      <c r="R92" s="22" t="str">
        <f t="shared" si="11"/>
        <v/>
      </c>
      <c r="S92" s="19" t="str">
        <f t="shared" si="12"/>
        <v/>
      </c>
      <c r="T92" s="22" t="str">
        <f t="shared" si="13"/>
        <v/>
      </c>
      <c r="U92" s="19" t="str">
        <f t="shared" si="14"/>
        <v/>
      </c>
      <c r="V92" s="7"/>
      <c r="Y92" s="19" t="str">
        <f>IF('Supplier selection'!AQ92="","",'Supplier selection'!AQ92)</f>
        <v/>
      </c>
      <c r="Z92" s="19" t="str">
        <f>IF('Supplier selection'!AR92="","",'Supplier selection'!AR92)</f>
        <v/>
      </c>
      <c r="AA92" s="19" t="str">
        <f t="shared" si="15"/>
        <v/>
      </c>
      <c r="AD92" s="26" t="str">
        <f>IF(AND('Supplier selection'!X92="",'Supplier selection'!AE92=""),"",IF('Supplier selection'!X92="",'Supplier selection'!AE92,'Supplier selection'!X92))</f>
        <v/>
      </c>
      <c r="AE92" s="19" t="str">
        <f t="shared" si="16"/>
        <v/>
      </c>
      <c r="AF92" s="19" t="str">
        <f t="shared" si="17"/>
        <v/>
      </c>
      <c r="AG92" s="27" t="str">
        <f>IF(AND('Supplier selection'!AB92="",'Supplier selection'!AI92=""),"",IF('Supplier selection'!AB92="",'Supplier selection'!AI92,'Supplier selection'!AB92))</f>
        <v/>
      </c>
      <c r="AH92" s="28" t="str">
        <f t="shared" si="18"/>
        <v/>
      </c>
      <c r="AI92" s="7" t="str">
        <f t="shared" si="19"/>
        <v/>
      </c>
      <c r="AJ92" s="22" t="str">
        <f t="shared" si="20"/>
        <v/>
      </c>
      <c r="AK92" s="29" t="str">
        <f t="shared" si="21"/>
        <v/>
      </c>
      <c r="AL92" s="10"/>
    </row>
    <row r="93" spans="1:38">
      <c r="A93" s="19">
        <f>IF('Supplier selection'!A93="","",'Supplier selection'!A93)</f>
        <v>89</v>
      </c>
      <c r="B93" s="19" t="str">
        <f>IF('Supplier selection'!B93="","",'Supplier selection'!B93)</f>
        <v/>
      </c>
      <c r="C93" s="19" t="str">
        <f>IF('Supplier selection'!C93="","",'Supplier selection'!C93)</f>
        <v/>
      </c>
      <c r="D93" s="19" t="str">
        <f>IF('Supplier selection'!D93="","",'Supplier selection'!D93)</f>
        <v/>
      </c>
      <c r="E93" s="19" t="str">
        <f>IF('Supplier selection'!E93="","",'Supplier selection'!E93)</f>
        <v/>
      </c>
      <c r="F93" s="19" t="str">
        <f>IF('Supplier selection'!F93="","",'Supplier selection'!F93)</f>
        <v/>
      </c>
      <c r="G93" s="19" t="str">
        <f>IF('Supplier selection'!G93="","",'Supplier selection'!G93)</f>
        <v/>
      </c>
      <c r="H93" s="19" t="str">
        <f>IF('Supplier selection'!H93="","",'Supplier selection'!H93)</f>
        <v/>
      </c>
      <c r="I93" s="19" t="str">
        <f>IF('Supplier selection'!I93="","",'Supplier selection'!I93)</f>
        <v/>
      </c>
      <c r="J93" s="19" t="str">
        <f>IF('Supplier selection'!J93="","",'Supplier selection'!J93)</f>
        <v/>
      </c>
      <c r="K93" s="19" t="str">
        <f>IF('Supplier selection'!K93="","",'Supplier selection'!K93)</f>
        <v/>
      </c>
      <c r="L93" s="19" t="str">
        <f>IF('Supplier selection'!L93="","",'Supplier selection'!L93)</f>
        <v/>
      </c>
      <c r="M93" s="19" t="str">
        <f>IF('Supplier selection'!M93="","",'Supplier selection'!M93)</f>
        <v/>
      </c>
      <c r="N93" s="19" t="str">
        <f>IF('Supplier selection'!N93="","",'Supplier selection'!N93)</f>
        <v/>
      </c>
      <c r="O93" s="19" t="str">
        <f>IF('Supplier selection'!O93="","",'Supplier selection'!O93)</f>
        <v/>
      </c>
      <c r="Q93" s="19" t="str">
        <f>HLOOKUP($Q$3,'Supplier selection'!$AW$4:'Supplier selection'!$CT$1000,$A94,FALSE)</f>
        <v/>
      </c>
      <c r="R93" s="22" t="str">
        <f t="shared" si="11"/>
        <v/>
      </c>
      <c r="S93" s="19" t="str">
        <f t="shared" si="12"/>
        <v/>
      </c>
      <c r="T93" s="22" t="str">
        <f t="shared" si="13"/>
        <v/>
      </c>
      <c r="U93" s="19" t="str">
        <f t="shared" si="14"/>
        <v/>
      </c>
      <c r="V93" s="7"/>
      <c r="Y93" s="19" t="str">
        <f>IF('Supplier selection'!AQ93="","",'Supplier selection'!AQ93)</f>
        <v/>
      </c>
      <c r="Z93" s="19" t="str">
        <f>IF('Supplier selection'!AR93="","",'Supplier selection'!AR93)</f>
        <v/>
      </c>
      <c r="AA93" s="19" t="str">
        <f t="shared" si="15"/>
        <v/>
      </c>
      <c r="AD93" s="26" t="str">
        <f>IF(AND('Supplier selection'!X93="",'Supplier selection'!AE93=""),"",IF('Supplier selection'!X93="",'Supplier selection'!AE93,'Supplier selection'!X93))</f>
        <v/>
      </c>
      <c r="AE93" s="19" t="str">
        <f t="shared" si="16"/>
        <v/>
      </c>
      <c r="AF93" s="19" t="str">
        <f t="shared" si="17"/>
        <v/>
      </c>
      <c r="AG93" s="27" t="str">
        <f>IF(AND('Supplier selection'!AB93="",'Supplier selection'!AI93=""),"",IF('Supplier selection'!AB93="",'Supplier selection'!AI93,'Supplier selection'!AB93))</f>
        <v/>
      </c>
      <c r="AH93" s="28" t="str">
        <f t="shared" si="18"/>
        <v/>
      </c>
      <c r="AI93" s="7" t="str">
        <f t="shared" si="19"/>
        <v/>
      </c>
      <c r="AJ93" s="22" t="str">
        <f t="shared" si="20"/>
        <v/>
      </c>
      <c r="AK93" s="29" t="str">
        <f t="shared" si="21"/>
        <v/>
      </c>
      <c r="AL93" s="10"/>
    </row>
    <row r="94" spans="1:38">
      <c r="A94" s="19">
        <f>IF('Supplier selection'!A94="","",'Supplier selection'!A94)</f>
        <v>90</v>
      </c>
      <c r="B94" s="19" t="str">
        <f>IF('Supplier selection'!B94="","",'Supplier selection'!B94)</f>
        <v/>
      </c>
      <c r="C94" s="19" t="str">
        <f>IF('Supplier selection'!C94="","",'Supplier selection'!C94)</f>
        <v/>
      </c>
      <c r="D94" s="19" t="str">
        <f>IF('Supplier selection'!D94="","",'Supplier selection'!D94)</f>
        <v/>
      </c>
      <c r="E94" s="19" t="str">
        <f>IF('Supplier selection'!E94="","",'Supplier selection'!E94)</f>
        <v/>
      </c>
      <c r="F94" s="19" t="str">
        <f>IF('Supplier selection'!F94="","",'Supplier selection'!F94)</f>
        <v/>
      </c>
      <c r="G94" s="19" t="str">
        <f>IF('Supplier selection'!G94="","",'Supplier selection'!G94)</f>
        <v/>
      </c>
      <c r="H94" s="19" t="str">
        <f>IF('Supplier selection'!H94="","",'Supplier selection'!H94)</f>
        <v/>
      </c>
      <c r="I94" s="19" t="str">
        <f>IF('Supplier selection'!I94="","",'Supplier selection'!I94)</f>
        <v/>
      </c>
      <c r="J94" s="19" t="str">
        <f>IF('Supplier selection'!J94="","",'Supplier selection'!J94)</f>
        <v/>
      </c>
      <c r="K94" s="19" t="str">
        <f>IF('Supplier selection'!K94="","",'Supplier selection'!K94)</f>
        <v/>
      </c>
      <c r="L94" s="19" t="str">
        <f>IF('Supplier selection'!L94="","",'Supplier selection'!L94)</f>
        <v/>
      </c>
      <c r="M94" s="19" t="str">
        <f>IF('Supplier selection'!M94="","",'Supplier selection'!M94)</f>
        <v/>
      </c>
      <c r="N94" s="19" t="str">
        <f>IF('Supplier selection'!N94="","",'Supplier selection'!N94)</f>
        <v/>
      </c>
      <c r="O94" s="19" t="str">
        <f>IF('Supplier selection'!O94="","",'Supplier selection'!O94)</f>
        <v/>
      </c>
      <c r="Q94" s="19" t="str">
        <f>HLOOKUP($Q$3,'Supplier selection'!$AW$4:'Supplier selection'!$CT$1000,$A95,FALSE)</f>
        <v/>
      </c>
      <c r="R94" s="22" t="str">
        <f t="shared" si="11"/>
        <v/>
      </c>
      <c r="S94" s="19" t="str">
        <f t="shared" si="12"/>
        <v/>
      </c>
      <c r="T94" s="22" t="str">
        <f t="shared" si="13"/>
        <v/>
      </c>
      <c r="U94" s="19" t="str">
        <f t="shared" si="14"/>
        <v/>
      </c>
      <c r="V94" s="7"/>
      <c r="Y94" s="19" t="str">
        <f>IF('Supplier selection'!AQ94="","",'Supplier selection'!AQ94)</f>
        <v/>
      </c>
      <c r="Z94" s="19" t="str">
        <f>IF('Supplier selection'!AR94="","",'Supplier selection'!AR94)</f>
        <v/>
      </c>
      <c r="AA94" s="19" t="str">
        <f t="shared" si="15"/>
        <v/>
      </c>
      <c r="AD94" s="26" t="str">
        <f>IF(AND('Supplier selection'!X94="",'Supplier selection'!AE94=""),"",IF('Supplier selection'!X94="",'Supplier selection'!AE94,'Supplier selection'!X94))</f>
        <v/>
      </c>
      <c r="AE94" s="19" t="str">
        <f t="shared" si="16"/>
        <v/>
      </c>
      <c r="AF94" s="19" t="str">
        <f t="shared" si="17"/>
        <v/>
      </c>
      <c r="AG94" s="27" t="str">
        <f>IF(AND('Supplier selection'!AB94="",'Supplier selection'!AI94=""),"",IF('Supplier selection'!AB94="",'Supplier selection'!AI94,'Supplier selection'!AB94))</f>
        <v/>
      </c>
      <c r="AH94" s="28" t="str">
        <f t="shared" si="18"/>
        <v/>
      </c>
      <c r="AI94" s="7" t="str">
        <f t="shared" si="19"/>
        <v/>
      </c>
      <c r="AJ94" s="22" t="str">
        <f t="shared" si="20"/>
        <v/>
      </c>
      <c r="AK94" s="29" t="str">
        <f t="shared" si="21"/>
        <v/>
      </c>
      <c r="AL94" s="10"/>
    </row>
    <row r="95" spans="1:38">
      <c r="A95" s="19">
        <f>IF('Supplier selection'!A95="","",'Supplier selection'!A95)</f>
        <v>91</v>
      </c>
      <c r="B95" s="19" t="str">
        <f>IF('Supplier selection'!B95="","",'Supplier selection'!B95)</f>
        <v/>
      </c>
      <c r="C95" s="19" t="str">
        <f>IF('Supplier selection'!C95="","",'Supplier selection'!C95)</f>
        <v/>
      </c>
      <c r="D95" s="19" t="str">
        <f>IF('Supplier selection'!D95="","",'Supplier selection'!D95)</f>
        <v/>
      </c>
      <c r="E95" s="19" t="str">
        <f>IF('Supplier selection'!E95="","",'Supplier selection'!E95)</f>
        <v/>
      </c>
      <c r="F95" s="19" t="str">
        <f>IF('Supplier selection'!F95="","",'Supplier selection'!F95)</f>
        <v/>
      </c>
      <c r="G95" s="19" t="str">
        <f>IF('Supplier selection'!G95="","",'Supplier selection'!G95)</f>
        <v/>
      </c>
      <c r="H95" s="19" t="str">
        <f>IF('Supplier selection'!H95="","",'Supplier selection'!H95)</f>
        <v/>
      </c>
      <c r="I95" s="19" t="str">
        <f>IF('Supplier selection'!I95="","",'Supplier selection'!I95)</f>
        <v/>
      </c>
      <c r="J95" s="19" t="str">
        <f>IF('Supplier selection'!J95="","",'Supplier selection'!J95)</f>
        <v/>
      </c>
      <c r="K95" s="19" t="str">
        <f>IF('Supplier selection'!K95="","",'Supplier selection'!K95)</f>
        <v/>
      </c>
      <c r="L95" s="19" t="str">
        <f>IF('Supplier selection'!L95="","",'Supplier selection'!L95)</f>
        <v/>
      </c>
      <c r="M95" s="19" t="str">
        <f>IF('Supplier selection'!M95="","",'Supplier selection'!M95)</f>
        <v/>
      </c>
      <c r="N95" s="19" t="str">
        <f>IF('Supplier selection'!N95="","",'Supplier selection'!N95)</f>
        <v/>
      </c>
      <c r="O95" s="19" t="str">
        <f>IF('Supplier selection'!O95="","",'Supplier selection'!O95)</f>
        <v/>
      </c>
      <c r="Q95" s="19" t="str">
        <f>HLOOKUP($Q$3,'Supplier selection'!$AW$4:'Supplier selection'!$CT$1000,$A96,FALSE)</f>
        <v/>
      </c>
      <c r="R95" s="22" t="str">
        <f t="shared" si="11"/>
        <v/>
      </c>
      <c r="S95" s="19" t="str">
        <f t="shared" si="12"/>
        <v/>
      </c>
      <c r="T95" s="22" t="str">
        <f t="shared" si="13"/>
        <v/>
      </c>
      <c r="U95" s="19" t="str">
        <f t="shared" si="14"/>
        <v/>
      </c>
      <c r="V95" s="7"/>
      <c r="Y95" s="19" t="str">
        <f>IF('Supplier selection'!AQ95="","",'Supplier selection'!AQ95)</f>
        <v/>
      </c>
      <c r="Z95" s="19" t="str">
        <f>IF('Supplier selection'!AR95="","",'Supplier selection'!AR95)</f>
        <v/>
      </c>
      <c r="AA95" s="19" t="str">
        <f t="shared" si="15"/>
        <v/>
      </c>
      <c r="AD95" s="26" t="str">
        <f>IF(AND('Supplier selection'!X95="",'Supplier selection'!AE95=""),"",IF('Supplier selection'!X95="",'Supplier selection'!AE95,'Supplier selection'!X95))</f>
        <v/>
      </c>
      <c r="AE95" s="19" t="str">
        <f t="shared" si="16"/>
        <v/>
      </c>
      <c r="AF95" s="19" t="str">
        <f t="shared" si="17"/>
        <v/>
      </c>
      <c r="AG95" s="27" t="str">
        <f>IF(AND('Supplier selection'!AB95="",'Supplier selection'!AI95=""),"",IF('Supplier selection'!AB95="",'Supplier selection'!AI95,'Supplier selection'!AB95))</f>
        <v/>
      </c>
      <c r="AH95" s="28" t="str">
        <f t="shared" si="18"/>
        <v/>
      </c>
      <c r="AI95" s="7" t="str">
        <f t="shared" si="19"/>
        <v/>
      </c>
      <c r="AJ95" s="22" t="str">
        <f t="shared" si="20"/>
        <v/>
      </c>
      <c r="AK95" s="29" t="str">
        <f t="shared" si="21"/>
        <v/>
      </c>
      <c r="AL95" s="10"/>
    </row>
    <row r="96" spans="1:38">
      <c r="A96" s="19">
        <f>IF('Supplier selection'!A96="","",'Supplier selection'!A96)</f>
        <v>92</v>
      </c>
      <c r="B96" s="19" t="str">
        <f>IF('Supplier selection'!B96="","",'Supplier selection'!B96)</f>
        <v/>
      </c>
      <c r="C96" s="19" t="str">
        <f>IF('Supplier selection'!C96="","",'Supplier selection'!C96)</f>
        <v/>
      </c>
      <c r="D96" s="19" t="str">
        <f>IF('Supplier selection'!D96="","",'Supplier selection'!D96)</f>
        <v/>
      </c>
      <c r="E96" s="19" t="str">
        <f>IF('Supplier selection'!E96="","",'Supplier selection'!E96)</f>
        <v/>
      </c>
      <c r="F96" s="19" t="str">
        <f>IF('Supplier selection'!F96="","",'Supplier selection'!F96)</f>
        <v/>
      </c>
      <c r="G96" s="19" t="str">
        <f>IF('Supplier selection'!G96="","",'Supplier selection'!G96)</f>
        <v/>
      </c>
      <c r="H96" s="19" t="str">
        <f>IF('Supplier selection'!H96="","",'Supplier selection'!H96)</f>
        <v/>
      </c>
      <c r="I96" s="19" t="str">
        <f>IF('Supplier selection'!I96="","",'Supplier selection'!I96)</f>
        <v/>
      </c>
      <c r="J96" s="19" t="str">
        <f>IF('Supplier selection'!J96="","",'Supplier selection'!J96)</f>
        <v/>
      </c>
      <c r="K96" s="19" t="str">
        <f>IF('Supplier selection'!K96="","",'Supplier selection'!K96)</f>
        <v/>
      </c>
      <c r="L96" s="19" t="str">
        <f>IF('Supplier selection'!L96="","",'Supplier selection'!L96)</f>
        <v/>
      </c>
      <c r="M96" s="19" t="str">
        <f>IF('Supplier selection'!M96="","",'Supplier selection'!M96)</f>
        <v/>
      </c>
      <c r="N96" s="19" t="str">
        <f>IF('Supplier selection'!N96="","",'Supplier selection'!N96)</f>
        <v/>
      </c>
      <c r="O96" s="19" t="str">
        <f>IF('Supplier selection'!O96="","",'Supplier selection'!O96)</f>
        <v/>
      </c>
      <c r="Q96" s="19" t="str">
        <f>HLOOKUP($Q$3,'Supplier selection'!$AW$4:'Supplier selection'!$CT$1000,$A97,FALSE)</f>
        <v/>
      </c>
      <c r="R96" s="22" t="str">
        <f t="shared" si="11"/>
        <v/>
      </c>
      <c r="S96" s="19" t="str">
        <f t="shared" si="12"/>
        <v/>
      </c>
      <c r="T96" s="22" t="str">
        <f t="shared" si="13"/>
        <v/>
      </c>
      <c r="U96" s="19" t="str">
        <f t="shared" si="14"/>
        <v/>
      </c>
      <c r="V96" s="7"/>
      <c r="Y96" s="19" t="str">
        <f>IF('Supplier selection'!AQ96="","",'Supplier selection'!AQ96)</f>
        <v/>
      </c>
      <c r="Z96" s="19" t="str">
        <f>IF('Supplier selection'!AR96="","",'Supplier selection'!AR96)</f>
        <v/>
      </c>
      <c r="AA96" s="19" t="str">
        <f t="shared" si="15"/>
        <v/>
      </c>
      <c r="AD96" s="26" t="str">
        <f>IF(AND('Supplier selection'!X96="",'Supplier selection'!AE96=""),"",IF('Supplier selection'!X96="",'Supplier selection'!AE96,'Supplier selection'!X96))</f>
        <v/>
      </c>
      <c r="AE96" s="19" t="str">
        <f t="shared" si="16"/>
        <v/>
      </c>
      <c r="AF96" s="19" t="str">
        <f t="shared" si="17"/>
        <v/>
      </c>
      <c r="AG96" s="27" t="str">
        <f>IF(AND('Supplier selection'!AB96="",'Supplier selection'!AI96=""),"",IF('Supplier selection'!AB96="",'Supplier selection'!AI96,'Supplier selection'!AB96))</f>
        <v/>
      </c>
      <c r="AH96" s="28" t="str">
        <f t="shared" si="18"/>
        <v/>
      </c>
      <c r="AI96" s="7" t="str">
        <f t="shared" si="19"/>
        <v/>
      </c>
      <c r="AJ96" s="22" t="str">
        <f t="shared" si="20"/>
        <v/>
      </c>
      <c r="AK96" s="29" t="str">
        <f t="shared" si="21"/>
        <v/>
      </c>
      <c r="AL96" s="10"/>
    </row>
    <row r="97" spans="1:38">
      <c r="A97" s="19">
        <f>IF('Supplier selection'!A97="","",'Supplier selection'!A97)</f>
        <v>93</v>
      </c>
      <c r="B97" s="19" t="str">
        <f>IF('Supplier selection'!B97="","",'Supplier selection'!B97)</f>
        <v/>
      </c>
      <c r="C97" s="19" t="str">
        <f>IF('Supplier selection'!C97="","",'Supplier selection'!C97)</f>
        <v/>
      </c>
      <c r="D97" s="19" t="str">
        <f>IF('Supplier selection'!D97="","",'Supplier selection'!D97)</f>
        <v/>
      </c>
      <c r="E97" s="19" t="str">
        <f>IF('Supplier selection'!E97="","",'Supplier selection'!E97)</f>
        <v/>
      </c>
      <c r="F97" s="19" t="str">
        <f>IF('Supplier selection'!F97="","",'Supplier selection'!F97)</f>
        <v/>
      </c>
      <c r="G97" s="19" t="str">
        <f>IF('Supplier selection'!G97="","",'Supplier selection'!G97)</f>
        <v/>
      </c>
      <c r="H97" s="19" t="str">
        <f>IF('Supplier selection'!H97="","",'Supplier selection'!H97)</f>
        <v/>
      </c>
      <c r="I97" s="19" t="str">
        <f>IF('Supplier selection'!I97="","",'Supplier selection'!I97)</f>
        <v/>
      </c>
      <c r="J97" s="19" t="str">
        <f>IF('Supplier selection'!J97="","",'Supplier selection'!J97)</f>
        <v/>
      </c>
      <c r="K97" s="19" t="str">
        <f>IF('Supplier selection'!K97="","",'Supplier selection'!K97)</f>
        <v/>
      </c>
      <c r="L97" s="19" t="str">
        <f>IF('Supplier selection'!L97="","",'Supplier selection'!L97)</f>
        <v/>
      </c>
      <c r="M97" s="19" t="str">
        <f>IF('Supplier selection'!M97="","",'Supplier selection'!M97)</f>
        <v/>
      </c>
      <c r="N97" s="19" t="str">
        <f>IF('Supplier selection'!N97="","",'Supplier selection'!N97)</f>
        <v/>
      </c>
      <c r="O97" s="19" t="str">
        <f>IF('Supplier selection'!O97="","",'Supplier selection'!O97)</f>
        <v/>
      </c>
      <c r="Q97" s="19" t="str">
        <f>HLOOKUP($Q$3,'Supplier selection'!$AW$4:'Supplier selection'!$CT$1000,$A98,FALSE)</f>
        <v/>
      </c>
      <c r="R97" s="22" t="str">
        <f t="shared" si="11"/>
        <v/>
      </c>
      <c r="S97" s="19" t="str">
        <f t="shared" si="12"/>
        <v/>
      </c>
      <c r="T97" s="22" t="str">
        <f t="shared" si="13"/>
        <v/>
      </c>
      <c r="U97" s="19" t="str">
        <f t="shared" si="14"/>
        <v/>
      </c>
      <c r="V97" s="7"/>
      <c r="Y97" s="19" t="str">
        <f>IF('Supplier selection'!AQ97="","",'Supplier selection'!AQ97)</f>
        <v/>
      </c>
      <c r="Z97" s="19" t="str">
        <f>IF('Supplier selection'!AR97="","",'Supplier selection'!AR97)</f>
        <v/>
      </c>
      <c r="AA97" s="19" t="str">
        <f t="shared" si="15"/>
        <v/>
      </c>
      <c r="AD97" s="26" t="str">
        <f>IF(AND('Supplier selection'!X97="",'Supplier selection'!AE97=""),"",IF('Supplier selection'!X97="",'Supplier selection'!AE97,'Supplier selection'!X97))</f>
        <v/>
      </c>
      <c r="AE97" s="19" t="str">
        <f t="shared" si="16"/>
        <v/>
      </c>
      <c r="AF97" s="19" t="str">
        <f t="shared" si="17"/>
        <v/>
      </c>
      <c r="AG97" s="27" t="str">
        <f>IF(AND('Supplier selection'!AB97="",'Supplier selection'!AI97=""),"",IF('Supplier selection'!AB97="",'Supplier selection'!AI97,'Supplier selection'!AB97))</f>
        <v/>
      </c>
      <c r="AH97" s="28" t="str">
        <f t="shared" si="18"/>
        <v/>
      </c>
      <c r="AI97" s="7" t="str">
        <f t="shared" si="19"/>
        <v/>
      </c>
      <c r="AJ97" s="22" t="str">
        <f t="shared" si="20"/>
        <v/>
      </c>
      <c r="AK97" s="29" t="str">
        <f t="shared" si="21"/>
        <v/>
      </c>
      <c r="AL97" s="10"/>
    </row>
    <row r="98" spans="1:38">
      <c r="A98" s="19">
        <f>IF('Supplier selection'!A98="","",'Supplier selection'!A98)</f>
        <v>94</v>
      </c>
      <c r="B98" s="19" t="str">
        <f>IF('Supplier selection'!B98="","",'Supplier selection'!B98)</f>
        <v/>
      </c>
      <c r="C98" s="19" t="str">
        <f>IF('Supplier selection'!C98="","",'Supplier selection'!C98)</f>
        <v/>
      </c>
      <c r="D98" s="19" t="str">
        <f>IF('Supplier selection'!D98="","",'Supplier selection'!D98)</f>
        <v/>
      </c>
      <c r="E98" s="19" t="str">
        <f>IF('Supplier selection'!E98="","",'Supplier selection'!E98)</f>
        <v/>
      </c>
      <c r="F98" s="19" t="str">
        <f>IF('Supplier selection'!F98="","",'Supplier selection'!F98)</f>
        <v/>
      </c>
      <c r="G98" s="19" t="str">
        <f>IF('Supplier selection'!G98="","",'Supplier selection'!G98)</f>
        <v/>
      </c>
      <c r="H98" s="19" t="str">
        <f>IF('Supplier selection'!H98="","",'Supplier selection'!H98)</f>
        <v/>
      </c>
      <c r="I98" s="19" t="str">
        <f>IF('Supplier selection'!I98="","",'Supplier selection'!I98)</f>
        <v/>
      </c>
      <c r="J98" s="19" t="str">
        <f>IF('Supplier selection'!J98="","",'Supplier selection'!J98)</f>
        <v/>
      </c>
      <c r="K98" s="19" t="str">
        <f>IF('Supplier selection'!K98="","",'Supplier selection'!K98)</f>
        <v/>
      </c>
      <c r="L98" s="19" t="str">
        <f>IF('Supplier selection'!L98="","",'Supplier selection'!L98)</f>
        <v/>
      </c>
      <c r="M98" s="19" t="str">
        <f>IF('Supplier selection'!M98="","",'Supplier selection'!M98)</f>
        <v/>
      </c>
      <c r="N98" s="19" t="str">
        <f>IF('Supplier selection'!N98="","",'Supplier selection'!N98)</f>
        <v/>
      </c>
      <c r="O98" s="19" t="str">
        <f>IF('Supplier selection'!O98="","",'Supplier selection'!O98)</f>
        <v/>
      </c>
      <c r="Q98" s="19" t="str">
        <f>HLOOKUP($Q$3,'Supplier selection'!$AW$4:'Supplier selection'!$CT$1000,$A99,FALSE)</f>
        <v/>
      </c>
      <c r="R98" s="22" t="str">
        <f t="shared" si="11"/>
        <v/>
      </c>
      <c r="S98" s="19" t="str">
        <f t="shared" si="12"/>
        <v/>
      </c>
      <c r="T98" s="22" t="str">
        <f t="shared" si="13"/>
        <v/>
      </c>
      <c r="U98" s="19" t="str">
        <f t="shared" si="14"/>
        <v/>
      </c>
      <c r="V98" s="7"/>
      <c r="Y98" s="19" t="str">
        <f>IF('Supplier selection'!AQ98="","",'Supplier selection'!AQ98)</f>
        <v/>
      </c>
      <c r="Z98" s="19" t="str">
        <f>IF('Supplier selection'!AR98="","",'Supplier selection'!AR98)</f>
        <v/>
      </c>
      <c r="AA98" s="19" t="str">
        <f t="shared" si="15"/>
        <v/>
      </c>
      <c r="AD98" s="26" t="str">
        <f>IF(AND('Supplier selection'!X98="",'Supplier selection'!AE98=""),"",IF('Supplier selection'!X98="",'Supplier selection'!AE98,'Supplier selection'!X98))</f>
        <v/>
      </c>
      <c r="AE98" s="19" t="str">
        <f t="shared" si="16"/>
        <v/>
      </c>
      <c r="AF98" s="19" t="str">
        <f t="shared" si="17"/>
        <v/>
      </c>
      <c r="AG98" s="27" t="str">
        <f>IF(AND('Supplier selection'!AB98="",'Supplier selection'!AI98=""),"",IF('Supplier selection'!AB98="",'Supplier selection'!AI98,'Supplier selection'!AB98))</f>
        <v/>
      </c>
      <c r="AH98" s="28" t="str">
        <f t="shared" si="18"/>
        <v/>
      </c>
      <c r="AI98" s="7" t="str">
        <f t="shared" si="19"/>
        <v/>
      </c>
      <c r="AJ98" s="22" t="str">
        <f t="shared" si="20"/>
        <v/>
      </c>
      <c r="AK98" s="29" t="str">
        <f t="shared" si="21"/>
        <v/>
      </c>
      <c r="AL98" s="10"/>
    </row>
    <row r="99" spans="1:38">
      <c r="A99" s="19">
        <f>IF('Supplier selection'!A99="","",'Supplier selection'!A99)</f>
        <v>95</v>
      </c>
      <c r="B99" s="19" t="str">
        <f>IF('Supplier selection'!B99="","",'Supplier selection'!B99)</f>
        <v/>
      </c>
      <c r="C99" s="19" t="str">
        <f>IF('Supplier selection'!C99="","",'Supplier selection'!C99)</f>
        <v/>
      </c>
      <c r="D99" s="19" t="str">
        <f>IF('Supplier selection'!D99="","",'Supplier selection'!D99)</f>
        <v/>
      </c>
      <c r="E99" s="19" t="str">
        <f>IF('Supplier selection'!E99="","",'Supplier selection'!E99)</f>
        <v/>
      </c>
      <c r="F99" s="19" t="str">
        <f>IF('Supplier selection'!F99="","",'Supplier selection'!F99)</f>
        <v/>
      </c>
      <c r="G99" s="19" t="str">
        <f>IF('Supplier selection'!G99="","",'Supplier selection'!G99)</f>
        <v/>
      </c>
      <c r="H99" s="19" t="str">
        <f>IF('Supplier selection'!H99="","",'Supplier selection'!H99)</f>
        <v/>
      </c>
      <c r="I99" s="19" t="str">
        <f>IF('Supplier selection'!I99="","",'Supplier selection'!I99)</f>
        <v/>
      </c>
      <c r="J99" s="19" t="str">
        <f>IF('Supplier selection'!J99="","",'Supplier selection'!J99)</f>
        <v/>
      </c>
      <c r="K99" s="19" t="str">
        <f>IF('Supplier selection'!K99="","",'Supplier selection'!K99)</f>
        <v/>
      </c>
      <c r="L99" s="19" t="str">
        <f>IF('Supplier selection'!L99="","",'Supplier selection'!L99)</f>
        <v/>
      </c>
      <c r="M99" s="19" t="str">
        <f>IF('Supplier selection'!M99="","",'Supplier selection'!M99)</f>
        <v/>
      </c>
      <c r="N99" s="19" t="str">
        <f>IF('Supplier selection'!N99="","",'Supplier selection'!N99)</f>
        <v/>
      </c>
      <c r="O99" s="19" t="str">
        <f>IF('Supplier selection'!O99="","",'Supplier selection'!O99)</f>
        <v/>
      </c>
      <c r="Q99" s="19" t="str">
        <f>HLOOKUP($Q$3,'Supplier selection'!$AW$4:'Supplier selection'!$CT$1000,$A100,FALSE)</f>
        <v/>
      </c>
      <c r="R99" s="22" t="str">
        <f t="shared" si="11"/>
        <v/>
      </c>
      <c r="S99" s="19" t="str">
        <f t="shared" si="12"/>
        <v/>
      </c>
      <c r="T99" s="22" t="str">
        <f t="shared" si="13"/>
        <v/>
      </c>
      <c r="U99" s="19" t="str">
        <f t="shared" si="14"/>
        <v/>
      </c>
      <c r="V99" s="7"/>
      <c r="Y99" s="19" t="str">
        <f>IF('Supplier selection'!AQ99="","",'Supplier selection'!AQ99)</f>
        <v/>
      </c>
      <c r="Z99" s="19" t="str">
        <f>IF('Supplier selection'!AR99="","",'Supplier selection'!AR99)</f>
        <v/>
      </c>
      <c r="AA99" s="19" t="str">
        <f t="shared" si="15"/>
        <v/>
      </c>
      <c r="AD99" s="26" t="str">
        <f>IF(AND('Supplier selection'!X99="",'Supplier selection'!AE99=""),"",IF('Supplier selection'!X99="",'Supplier selection'!AE99,'Supplier selection'!X99))</f>
        <v/>
      </c>
      <c r="AE99" s="19" t="str">
        <f t="shared" si="16"/>
        <v/>
      </c>
      <c r="AF99" s="19" t="str">
        <f t="shared" si="17"/>
        <v/>
      </c>
      <c r="AG99" s="27" t="str">
        <f>IF(AND('Supplier selection'!AB99="",'Supplier selection'!AI99=""),"",IF('Supplier selection'!AB99="",'Supplier selection'!AI99,'Supplier selection'!AB99))</f>
        <v/>
      </c>
      <c r="AH99" s="28" t="str">
        <f t="shared" si="18"/>
        <v/>
      </c>
      <c r="AI99" s="7" t="str">
        <f t="shared" si="19"/>
        <v/>
      </c>
      <c r="AJ99" s="22" t="str">
        <f t="shared" si="20"/>
        <v/>
      </c>
      <c r="AK99" s="29" t="str">
        <f t="shared" si="21"/>
        <v/>
      </c>
      <c r="AL99" s="10"/>
    </row>
    <row r="100" spans="1:38">
      <c r="A100" s="19">
        <f>IF('Supplier selection'!A100="","",'Supplier selection'!A100)</f>
        <v>96</v>
      </c>
      <c r="B100" s="19" t="str">
        <f>IF('Supplier selection'!B100="","",'Supplier selection'!B100)</f>
        <v/>
      </c>
      <c r="C100" s="19" t="str">
        <f>IF('Supplier selection'!C100="","",'Supplier selection'!C100)</f>
        <v/>
      </c>
      <c r="D100" s="19" t="str">
        <f>IF('Supplier selection'!D100="","",'Supplier selection'!D100)</f>
        <v/>
      </c>
      <c r="E100" s="19" t="str">
        <f>IF('Supplier selection'!E100="","",'Supplier selection'!E100)</f>
        <v/>
      </c>
      <c r="F100" s="19" t="str">
        <f>IF('Supplier selection'!F100="","",'Supplier selection'!F100)</f>
        <v/>
      </c>
      <c r="G100" s="19" t="str">
        <f>IF('Supplier selection'!G100="","",'Supplier selection'!G100)</f>
        <v/>
      </c>
      <c r="H100" s="19" t="str">
        <f>IF('Supplier selection'!H100="","",'Supplier selection'!H100)</f>
        <v/>
      </c>
      <c r="I100" s="19" t="str">
        <f>IF('Supplier selection'!I100="","",'Supplier selection'!I100)</f>
        <v/>
      </c>
      <c r="J100" s="19" t="str">
        <f>IF('Supplier selection'!J100="","",'Supplier selection'!J100)</f>
        <v/>
      </c>
      <c r="K100" s="19" t="str">
        <f>IF('Supplier selection'!K100="","",'Supplier selection'!K100)</f>
        <v/>
      </c>
      <c r="L100" s="19" t="str">
        <f>IF('Supplier selection'!L100="","",'Supplier selection'!L100)</f>
        <v/>
      </c>
      <c r="M100" s="19" t="str">
        <f>IF('Supplier selection'!M100="","",'Supplier selection'!M100)</f>
        <v/>
      </c>
      <c r="N100" s="19" t="str">
        <f>IF('Supplier selection'!N100="","",'Supplier selection'!N100)</f>
        <v/>
      </c>
      <c r="O100" s="19" t="str">
        <f>IF('Supplier selection'!O100="","",'Supplier selection'!O100)</f>
        <v/>
      </c>
      <c r="Q100" s="19" t="str">
        <f>HLOOKUP($Q$3,'Supplier selection'!$AW$4:'Supplier selection'!$CT$1000,$A101,FALSE)</f>
        <v/>
      </c>
      <c r="R100" s="22" t="str">
        <f t="shared" si="11"/>
        <v/>
      </c>
      <c r="S100" s="19" t="str">
        <f t="shared" si="12"/>
        <v/>
      </c>
      <c r="T100" s="22" t="str">
        <f t="shared" si="13"/>
        <v/>
      </c>
      <c r="U100" s="19" t="str">
        <f t="shared" si="14"/>
        <v/>
      </c>
      <c r="V100" s="7"/>
      <c r="Y100" s="19" t="str">
        <f>IF('Supplier selection'!AQ100="","",'Supplier selection'!AQ100)</f>
        <v/>
      </c>
      <c r="Z100" s="19" t="str">
        <f>IF('Supplier selection'!AR100="","",'Supplier selection'!AR100)</f>
        <v/>
      </c>
      <c r="AA100" s="19" t="str">
        <f t="shared" si="15"/>
        <v/>
      </c>
      <c r="AD100" s="26" t="str">
        <f>IF(AND('Supplier selection'!X100="",'Supplier selection'!AE100=""),"",IF('Supplier selection'!X100="",'Supplier selection'!AE100,'Supplier selection'!X100))</f>
        <v/>
      </c>
      <c r="AE100" s="19" t="str">
        <f t="shared" si="16"/>
        <v/>
      </c>
      <c r="AF100" s="19" t="str">
        <f t="shared" si="17"/>
        <v/>
      </c>
      <c r="AG100" s="27" t="str">
        <f>IF(AND('Supplier selection'!AB100="",'Supplier selection'!AI100=""),"",IF('Supplier selection'!AB100="",'Supplier selection'!AI100,'Supplier selection'!AB100))</f>
        <v/>
      </c>
      <c r="AH100" s="28" t="str">
        <f t="shared" si="18"/>
        <v/>
      </c>
      <c r="AI100" s="7" t="str">
        <f t="shared" si="19"/>
        <v/>
      </c>
      <c r="AJ100" s="22" t="str">
        <f t="shared" si="20"/>
        <v/>
      </c>
      <c r="AK100" s="29" t="str">
        <f t="shared" si="21"/>
        <v/>
      </c>
      <c r="AL100" s="10"/>
    </row>
    <row r="101" spans="1:38">
      <c r="A101" s="19">
        <f>IF('Supplier selection'!A101="","",'Supplier selection'!A101)</f>
        <v>97</v>
      </c>
      <c r="B101" s="19" t="str">
        <f>IF('Supplier selection'!B101="","",'Supplier selection'!B101)</f>
        <v/>
      </c>
      <c r="C101" s="19" t="str">
        <f>IF('Supplier selection'!C101="","",'Supplier selection'!C101)</f>
        <v/>
      </c>
      <c r="D101" s="19" t="str">
        <f>IF('Supplier selection'!D101="","",'Supplier selection'!D101)</f>
        <v/>
      </c>
      <c r="E101" s="19" t="str">
        <f>IF('Supplier selection'!E101="","",'Supplier selection'!E101)</f>
        <v/>
      </c>
      <c r="F101" s="19" t="str">
        <f>IF('Supplier selection'!F101="","",'Supplier selection'!F101)</f>
        <v/>
      </c>
      <c r="G101" s="19" t="str">
        <f>IF('Supplier selection'!G101="","",'Supplier selection'!G101)</f>
        <v/>
      </c>
      <c r="H101" s="19" t="str">
        <f>IF('Supplier selection'!H101="","",'Supplier selection'!H101)</f>
        <v/>
      </c>
      <c r="I101" s="19" t="str">
        <f>IF('Supplier selection'!I101="","",'Supplier selection'!I101)</f>
        <v/>
      </c>
      <c r="J101" s="19" t="str">
        <f>IF('Supplier selection'!J101="","",'Supplier selection'!J101)</f>
        <v/>
      </c>
      <c r="K101" s="19" t="str">
        <f>IF('Supplier selection'!K101="","",'Supplier selection'!K101)</f>
        <v/>
      </c>
      <c r="L101" s="19" t="str">
        <f>IF('Supplier selection'!L101="","",'Supplier selection'!L101)</f>
        <v/>
      </c>
      <c r="M101" s="19" t="str">
        <f>IF('Supplier selection'!M101="","",'Supplier selection'!M101)</f>
        <v/>
      </c>
      <c r="N101" s="19" t="str">
        <f>IF('Supplier selection'!N101="","",'Supplier selection'!N101)</f>
        <v/>
      </c>
      <c r="O101" s="19" t="str">
        <f>IF('Supplier selection'!O101="","",'Supplier selection'!O101)</f>
        <v/>
      </c>
      <c r="Q101" s="19" t="str">
        <f>HLOOKUP($Q$3,'Supplier selection'!$AW$4:'Supplier selection'!$CT$1000,$A102,FALSE)</f>
        <v/>
      </c>
      <c r="R101" s="22" t="str">
        <f t="shared" si="11"/>
        <v/>
      </c>
      <c r="S101" s="19" t="str">
        <f t="shared" si="12"/>
        <v/>
      </c>
      <c r="T101" s="22" t="str">
        <f t="shared" si="13"/>
        <v/>
      </c>
      <c r="U101" s="19" t="str">
        <f t="shared" si="14"/>
        <v/>
      </c>
      <c r="V101" s="7"/>
      <c r="Y101" s="19" t="str">
        <f>IF('Supplier selection'!AQ101="","",'Supplier selection'!AQ101)</f>
        <v/>
      </c>
      <c r="Z101" s="19" t="str">
        <f>IF('Supplier selection'!AR101="","",'Supplier selection'!AR101)</f>
        <v/>
      </c>
      <c r="AA101" s="19" t="str">
        <f t="shared" si="15"/>
        <v/>
      </c>
      <c r="AD101" s="26" t="str">
        <f>IF(AND('Supplier selection'!X101="",'Supplier selection'!AE101=""),"",IF('Supplier selection'!X101="",'Supplier selection'!AE101,'Supplier selection'!X101))</f>
        <v/>
      </c>
      <c r="AE101" s="19" t="str">
        <f t="shared" si="16"/>
        <v/>
      </c>
      <c r="AF101" s="19" t="str">
        <f t="shared" si="17"/>
        <v/>
      </c>
      <c r="AG101" s="27" t="str">
        <f>IF(AND('Supplier selection'!AB101="",'Supplier selection'!AI101=""),"",IF('Supplier selection'!AB101="",'Supplier selection'!AI101,'Supplier selection'!AB101))</f>
        <v/>
      </c>
      <c r="AH101" s="28" t="str">
        <f t="shared" si="18"/>
        <v/>
      </c>
      <c r="AI101" s="7" t="str">
        <f t="shared" si="19"/>
        <v/>
      </c>
      <c r="AJ101" s="22" t="str">
        <f t="shared" si="20"/>
        <v/>
      </c>
      <c r="AK101" s="29" t="str">
        <f t="shared" si="21"/>
        <v/>
      </c>
      <c r="AL101" s="10"/>
    </row>
    <row r="102" spans="1:38">
      <c r="A102" s="19">
        <f>IF('Supplier selection'!A102="","",'Supplier selection'!A102)</f>
        <v>98</v>
      </c>
      <c r="B102" s="19" t="str">
        <f>IF('Supplier selection'!B102="","",'Supplier selection'!B102)</f>
        <v/>
      </c>
      <c r="C102" s="19" t="str">
        <f>IF('Supplier selection'!C102="","",'Supplier selection'!C102)</f>
        <v/>
      </c>
      <c r="D102" s="19" t="str">
        <f>IF('Supplier selection'!D102="","",'Supplier selection'!D102)</f>
        <v/>
      </c>
      <c r="E102" s="19" t="str">
        <f>IF('Supplier selection'!E102="","",'Supplier selection'!E102)</f>
        <v/>
      </c>
      <c r="F102" s="19" t="str">
        <f>IF('Supplier selection'!F102="","",'Supplier selection'!F102)</f>
        <v/>
      </c>
      <c r="G102" s="19" t="str">
        <f>IF('Supplier selection'!G102="","",'Supplier selection'!G102)</f>
        <v/>
      </c>
      <c r="H102" s="19" t="str">
        <f>IF('Supplier selection'!H102="","",'Supplier selection'!H102)</f>
        <v/>
      </c>
      <c r="I102" s="19" t="str">
        <f>IF('Supplier selection'!I102="","",'Supplier selection'!I102)</f>
        <v/>
      </c>
      <c r="J102" s="19" t="str">
        <f>IF('Supplier selection'!J102="","",'Supplier selection'!J102)</f>
        <v/>
      </c>
      <c r="K102" s="19" t="str">
        <f>IF('Supplier selection'!K102="","",'Supplier selection'!K102)</f>
        <v/>
      </c>
      <c r="L102" s="19" t="str">
        <f>IF('Supplier selection'!L102="","",'Supplier selection'!L102)</f>
        <v/>
      </c>
      <c r="M102" s="19" t="str">
        <f>IF('Supplier selection'!M102="","",'Supplier selection'!M102)</f>
        <v/>
      </c>
      <c r="N102" s="19" t="str">
        <f>IF('Supplier selection'!N102="","",'Supplier selection'!N102)</f>
        <v/>
      </c>
      <c r="O102" s="19" t="str">
        <f>IF('Supplier selection'!O102="","",'Supplier selection'!O102)</f>
        <v/>
      </c>
      <c r="Q102" s="19" t="str">
        <f>HLOOKUP($Q$3,'Supplier selection'!$AW$4:'Supplier selection'!$CT$1000,$A103,FALSE)</f>
        <v/>
      </c>
      <c r="R102" s="22" t="str">
        <f t="shared" si="11"/>
        <v/>
      </c>
      <c r="S102" s="19" t="str">
        <f t="shared" si="12"/>
        <v/>
      </c>
      <c r="T102" s="22" t="str">
        <f t="shared" si="13"/>
        <v/>
      </c>
      <c r="U102" s="19" t="str">
        <f t="shared" si="14"/>
        <v/>
      </c>
      <c r="V102" s="7"/>
      <c r="Y102" s="19" t="str">
        <f>IF('Supplier selection'!AQ102="","",'Supplier selection'!AQ102)</f>
        <v/>
      </c>
      <c r="Z102" s="19" t="str">
        <f>IF('Supplier selection'!AR102="","",'Supplier selection'!AR102)</f>
        <v/>
      </c>
      <c r="AA102" s="19" t="str">
        <f t="shared" si="15"/>
        <v/>
      </c>
      <c r="AD102" s="26" t="str">
        <f>IF(AND('Supplier selection'!X102="",'Supplier selection'!AE102=""),"",IF('Supplier selection'!X102="",'Supplier selection'!AE102,'Supplier selection'!X102))</f>
        <v/>
      </c>
      <c r="AE102" s="19" t="str">
        <f t="shared" si="16"/>
        <v/>
      </c>
      <c r="AF102" s="19" t="str">
        <f t="shared" si="17"/>
        <v/>
      </c>
      <c r="AG102" s="27" t="str">
        <f>IF(AND('Supplier selection'!AB102="",'Supplier selection'!AI102=""),"",IF('Supplier selection'!AB102="",'Supplier selection'!AI102,'Supplier selection'!AB102))</f>
        <v/>
      </c>
      <c r="AH102" s="28" t="str">
        <f t="shared" si="18"/>
        <v/>
      </c>
      <c r="AI102" s="7" t="str">
        <f t="shared" si="19"/>
        <v/>
      </c>
      <c r="AJ102" s="22" t="str">
        <f t="shared" si="20"/>
        <v/>
      </c>
      <c r="AK102" s="29" t="str">
        <f t="shared" si="21"/>
        <v/>
      </c>
      <c r="AL102" s="10"/>
    </row>
    <row r="103" spans="1:38">
      <c r="A103" s="19">
        <f>IF('Supplier selection'!A103="","",'Supplier selection'!A103)</f>
        <v>99</v>
      </c>
      <c r="B103" s="19" t="str">
        <f>IF('Supplier selection'!B103="","",'Supplier selection'!B103)</f>
        <v/>
      </c>
      <c r="C103" s="19" t="str">
        <f>IF('Supplier selection'!C103="","",'Supplier selection'!C103)</f>
        <v/>
      </c>
      <c r="D103" s="19" t="str">
        <f>IF('Supplier selection'!D103="","",'Supplier selection'!D103)</f>
        <v/>
      </c>
      <c r="E103" s="19" t="str">
        <f>IF('Supplier selection'!E103="","",'Supplier selection'!E103)</f>
        <v/>
      </c>
      <c r="F103" s="19" t="str">
        <f>IF('Supplier selection'!F103="","",'Supplier selection'!F103)</f>
        <v/>
      </c>
      <c r="G103" s="19" t="str">
        <f>IF('Supplier selection'!G103="","",'Supplier selection'!G103)</f>
        <v/>
      </c>
      <c r="H103" s="19" t="str">
        <f>IF('Supplier selection'!H103="","",'Supplier selection'!H103)</f>
        <v/>
      </c>
      <c r="I103" s="19" t="str">
        <f>IF('Supplier selection'!I103="","",'Supplier selection'!I103)</f>
        <v/>
      </c>
      <c r="J103" s="19" t="str">
        <f>IF('Supplier selection'!J103="","",'Supplier selection'!J103)</f>
        <v/>
      </c>
      <c r="K103" s="19" t="str">
        <f>IF('Supplier selection'!K103="","",'Supplier selection'!K103)</f>
        <v/>
      </c>
      <c r="L103" s="19" t="str">
        <f>IF('Supplier selection'!L103="","",'Supplier selection'!L103)</f>
        <v/>
      </c>
      <c r="M103" s="19" t="str">
        <f>IF('Supplier selection'!M103="","",'Supplier selection'!M103)</f>
        <v/>
      </c>
      <c r="N103" s="19" t="str">
        <f>IF('Supplier selection'!N103="","",'Supplier selection'!N103)</f>
        <v/>
      </c>
      <c r="O103" s="19" t="str">
        <f>IF('Supplier selection'!O103="","",'Supplier selection'!O103)</f>
        <v/>
      </c>
      <c r="Q103" s="19" t="str">
        <f>HLOOKUP($Q$3,'Supplier selection'!$AW$4:'Supplier selection'!$CT$1000,$A104,FALSE)</f>
        <v/>
      </c>
      <c r="R103" s="22" t="str">
        <f t="shared" si="11"/>
        <v/>
      </c>
      <c r="S103" s="19" t="str">
        <f t="shared" si="12"/>
        <v/>
      </c>
      <c r="T103" s="22" t="str">
        <f t="shared" si="13"/>
        <v/>
      </c>
      <c r="U103" s="19" t="str">
        <f t="shared" si="14"/>
        <v/>
      </c>
      <c r="V103" s="7"/>
      <c r="Y103" s="19" t="str">
        <f>IF('Supplier selection'!AQ103="","",'Supplier selection'!AQ103)</f>
        <v/>
      </c>
      <c r="Z103" s="19" t="str">
        <f>IF('Supplier selection'!AR103="","",'Supplier selection'!AR103)</f>
        <v/>
      </c>
      <c r="AA103" s="19" t="str">
        <f t="shared" si="15"/>
        <v/>
      </c>
      <c r="AD103" s="26" t="str">
        <f>IF(AND('Supplier selection'!X103="",'Supplier selection'!AE103=""),"",IF('Supplier selection'!X103="",'Supplier selection'!AE103,'Supplier selection'!X103))</f>
        <v/>
      </c>
      <c r="AE103" s="19" t="str">
        <f t="shared" si="16"/>
        <v/>
      </c>
      <c r="AF103" s="19" t="str">
        <f t="shared" si="17"/>
        <v/>
      </c>
      <c r="AG103" s="27" t="str">
        <f>IF(AND('Supplier selection'!AB103="",'Supplier selection'!AI103=""),"",IF('Supplier selection'!AB103="",'Supplier selection'!AI103,'Supplier selection'!AB103))</f>
        <v/>
      </c>
      <c r="AH103" s="28" t="str">
        <f t="shared" si="18"/>
        <v/>
      </c>
      <c r="AI103" s="7" t="str">
        <f t="shared" si="19"/>
        <v/>
      </c>
      <c r="AJ103" s="22" t="str">
        <f t="shared" si="20"/>
        <v/>
      </c>
      <c r="AK103" s="29" t="str">
        <f t="shared" si="21"/>
        <v/>
      </c>
      <c r="AL103" s="10"/>
    </row>
    <row r="104" spans="1:38">
      <c r="A104" s="19">
        <f>IF('Supplier selection'!A104="","",'Supplier selection'!A104)</f>
        <v>100</v>
      </c>
      <c r="B104" s="19" t="str">
        <f>IF('Supplier selection'!B104="","",'Supplier selection'!B104)</f>
        <v/>
      </c>
      <c r="C104" s="19" t="str">
        <f>IF('Supplier selection'!C104="","",'Supplier selection'!C104)</f>
        <v/>
      </c>
      <c r="D104" s="19" t="str">
        <f>IF('Supplier selection'!D104="","",'Supplier selection'!D104)</f>
        <v/>
      </c>
      <c r="E104" s="19" t="str">
        <f>IF('Supplier selection'!E104="","",'Supplier selection'!E104)</f>
        <v/>
      </c>
      <c r="F104" s="19" t="str">
        <f>IF('Supplier selection'!F104="","",'Supplier selection'!F104)</f>
        <v/>
      </c>
      <c r="G104" s="19" t="str">
        <f>IF('Supplier selection'!G104="","",'Supplier selection'!G104)</f>
        <v/>
      </c>
      <c r="H104" s="19" t="str">
        <f>IF('Supplier selection'!H104="","",'Supplier selection'!H104)</f>
        <v/>
      </c>
      <c r="I104" s="19" t="str">
        <f>IF('Supplier selection'!I104="","",'Supplier selection'!I104)</f>
        <v/>
      </c>
      <c r="J104" s="19" t="str">
        <f>IF('Supplier selection'!J104="","",'Supplier selection'!J104)</f>
        <v/>
      </c>
      <c r="K104" s="19" t="str">
        <f>IF('Supplier selection'!K104="","",'Supplier selection'!K104)</f>
        <v/>
      </c>
      <c r="L104" s="19" t="str">
        <f>IF('Supplier selection'!L104="","",'Supplier selection'!L104)</f>
        <v/>
      </c>
      <c r="M104" s="19" t="str">
        <f>IF('Supplier selection'!M104="","",'Supplier selection'!M104)</f>
        <v/>
      </c>
      <c r="N104" s="19" t="str">
        <f>IF('Supplier selection'!N104="","",'Supplier selection'!N104)</f>
        <v/>
      </c>
      <c r="O104" s="19" t="str">
        <f>IF('Supplier selection'!O104="","",'Supplier selection'!O104)</f>
        <v/>
      </c>
      <c r="Q104" s="19" t="str">
        <f>HLOOKUP($Q$3,'Supplier selection'!$AW$4:'Supplier selection'!$CT$1000,$A105,FALSE)</f>
        <v/>
      </c>
      <c r="R104" s="22" t="str">
        <f t="shared" si="11"/>
        <v/>
      </c>
      <c r="S104" s="19" t="str">
        <f t="shared" si="12"/>
        <v/>
      </c>
      <c r="T104" s="22" t="str">
        <f t="shared" si="13"/>
        <v/>
      </c>
      <c r="U104" s="19" t="str">
        <f t="shared" si="14"/>
        <v/>
      </c>
      <c r="V104" s="7"/>
      <c r="Y104" s="19" t="str">
        <f>IF('Supplier selection'!AQ104="","",'Supplier selection'!AQ104)</f>
        <v/>
      </c>
      <c r="Z104" s="19" t="str">
        <f>IF('Supplier selection'!AR104="","",'Supplier selection'!AR104)</f>
        <v/>
      </c>
      <c r="AA104" s="19" t="str">
        <f t="shared" si="15"/>
        <v/>
      </c>
      <c r="AD104" s="26" t="str">
        <f>IF(AND('Supplier selection'!X104="",'Supplier selection'!AE104=""),"",IF('Supplier selection'!X104="",'Supplier selection'!AE104,'Supplier selection'!X104))</f>
        <v/>
      </c>
      <c r="AE104" s="19" t="str">
        <f t="shared" si="16"/>
        <v/>
      </c>
      <c r="AF104" s="19" t="str">
        <f t="shared" si="17"/>
        <v/>
      </c>
      <c r="AG104" s="27" t="str">
        <f>IF(AND('Supplier selection'!AB104="",'Supplier selection'!AI104=""),"",IF('Supplier selection'!AB104="",'Supplier selection'!AI104,'Supplier selection'!AB104))</f>
        <v/>
      </c>
      <c r="AH104" s="28" t="str">
        <f t="shared" si="18"/>
        <v/>
      </c>
      <c r="AI104" s="7" t="str">
        <f t="shared" si="19"/>
        <v/>
      </c>
      <c r="AJ104" s="22" t="str">
        <f t="shared" si="20"/>
        <v/>
      </c>
      <c r="AK104" s="29" t="str">
        <f t="shared" si="21"/>
        <v/>
      </c>
      <c r="AL104" s="10"/>
    </row>
    <row r="105" spans="1:38">
      <c r="A105" s="19">
        <f>IF('Supplier selection'!A105="","",'Supplier selection'!A105)</f>
        <v>101</v>
      </c>
      <c r="B105" s="19" t="str">
        <f>IF('Supplier selection'!B105="","",'Supplier selection'!B105)</f>
        <v/>
      </c>
      <c r="C105" s="19" t="str">
        <f>IF('Supplier selection'!C105="","",'Supplier selection'!C105)</f>
        <v/>
      </c>
      <c r="D105" s="19" t="str">
        <f>IF('Supplier selection'!D105="","",'Supplier selection'!D105)</f>
        <v/>
      </c>
      <c r="E105" s="19" t="str">
        <f>IF('Supplier selection'!E105="","",'Supplier selection'!E105)</f>
        <v/>
      </c>
      <c r="F105" s="19" t="str">
        <f>IF('Supplier selection'!F105="","",'Supplier selection'!F105)</f>
        <v/>
      </c>
      <c r="G105" s="19" t="str">
        <f>IF('Supplier selection'!G105="","",'Supplier selection'!G105)</f>
        <v/>
      </c>
      <c r="H105" s="19" t="str">
        <f>IF('Supplier selection'!H105="","",'Supplier selection'!H105)</f>
        <v/>
      </c>
      <c r="I105" s="19" t="str">
        <f>IF('Supplier selection'!I105="","",'Supplier selection'!I105)</f>
        <v/>
      </c>
      <c r="J105" s="19" t="str">
        <f>IF('Supplier selection'!J105="","",'Supplier selection'!J105)</f>
        <v/>
      </c>
      <c r="K105" s="19" t="str">
        <f>IF('Supplier selection'!K105="","",'Supplier selection'!K105)</f>
        <v/>
      </c>
      <c r="L105" s="19" t="str">
        <f>IF('Supplier selection'!L105="","",'Supplier selection'!L105)</f>
        <v/>
      </c>
      <c r="M105" s="19" t="str">
        <f>IF('Supplier selection'!M105="","",'Supplier selection'!M105)</f>
        <v/>
      </c>
      <c r="N105" s="19" t="str">
        <f>IF('Supplier selection'!N105="","",'Supplier selection'!N105)</f>
        <v/>
      </c>
      <c r="O105" s="19" t="str">
        <f>IF('Supplier selection'!O105="","",'Supplier selection'!O105)</f>
        <v/>
      </c>
      <c r="Q105" s="19" t="str">
        <f>HLOOKUP($Q$3,'Supplier selection'!$AW$4:'Supplier selection'!$CT$1000,$A106,FALSE)</f>
        <v/>
      </c>
      <c r="R105" s="22" t="str">
        <f t="shared" si="11"/>
        <v/>
      </c>
      <c r="S105" s="19" t="str">
        <f t="shared" si="12"/>
        <v/>
      </c>
      <c r="T105" s="22" t="str">
        <f t="shared" si="13"/>
        <v/>
      </c>
      <c r="U105" s="19" t="str">
        <f t="shared" si="14"/>
        <v/>
      </c>
      <c r="V105" s="7"/>
      <c r="Y105" s="19" t="str">
        <f>IF('Supplier selection'!AQ105="","",'Supplier selection'!AQ105)</f>
        <v/>
      </c>
      <c r="Z105" s="19" t="str">
        <f>IF('Supplier selection'!AR105="","",'Supplier selection'!AR105)</f>
        <v/>
      </c>
      <c r="AA105" s="19" t="str">
        <f t="shared" si="15"/>
        <v/>
      </c>
      <c r="AD105" s="26" t="str">
        <f>IF(AND('Supplier selection'!X105="",'Supplier selection'!AE105=""),"",IF('Supplier selection'!X105="",'Supplier selection'!AE105,'Supplier selection'!X105))</f>
        <v/>
      </c>
      <c r="AE105" s="19" t="str">
        <f t="shared" si="16"/>
        <v/>
      </c>
      <c r="AF105" s="19" t="str">
        <f t="shared" si="17"/>
        <v/>
      </c>
      <c r="AG105" s="27" t="str">
        <f>IF(AND('Supplier selection'!AB105="",'Supplier selection'!AI105=""),"",IF('Supplier selection'!AB105="",'Supplier selection'!AI105,'Supplier selection'!AB105))</f>
        <v/>
      </c>
      <c r="AH105" s="28" t="str">
        <f t="shared" si="18"/>
        <v/>
      </c>
      <c r="AI105" s="7" t="str">
        <f t="shared" si="19"/>
        <v/>
      </c>
      <c r="AJ105" s="22" t="str">
        <f t="shared" si="20"/>
        <v/>
      </c>
      <c r="AK105" s="29" t="str">
        <f t="shared" si="21"/>
        <v/>
      </c>
      <c r="AL105" s="10"/>
    </row>
    <row r="106" spans="1:38">
      <c r="A106" s="19">
        <f>IF('Supplier selection'!A106="","",'Supplier selection'!A106)</f>
        <v>102</v>
      </c>
      <c r="B106" s="19" t="str">
        <f>IF('Supplier selection'!B106="","",'Supplier selection'!B106)</f>
        <v/>
      </c>
      <c r="C106" s="19" t="str">
        <f>IF('Supplier selection'!C106="","",'Supplier selection'!C106)</f>
        <v/>
      </c>
      <c r="D106" s="19" t="str">
        <f>IF('Supplier selection'!D106="","",'Supplier selection'!D106)</f>
        <v/>
      </c>
      <c r="E106" s="19" t="str">
        <f>IF('Supplier selection'!E106="","",'Supplier selection'!E106)</f>
        <v/>
      </c>
      <c r="F106" s="19" t="str">
        <f>IF('Supplier selection'!F106="","",'Supplier selection'!F106)</f>
        <v/>
      </c>
      <c r="G106" s="19" t="str">
        <f>IF('Supplier selection'!G106="","",'Supplier selection'!G106)</f>
        <v/>
      </c>
      <c r="H106" s="19" t="str">
        <f>IF('Supplier selection'!H106="","",'Supplier selection'!H106)</f>
        <v/>
      </c>
      <c r="I106" s="19" t="str">
        <f>IF('Supplier selection'!I106="","",'Supplier selection'!I106)</f>
        <v/>
      </c>
      <c r="J106" s="19" t="str">
        <f>IF('Supplier selection'!J106="","",'Supplier selection'!J106)</f>
        <v/>
      </c>
      <c r="K106" s="19" t="str">
        <f>IF('Supplier selection'!K106="","",'Supplier selection'!K106)</f>
        <v/>
      </c>
      <c r="L106" s="19" t="str">
        <f>IF('Supplier selection'!L106="","",'Supplier selection'!L106)</f>
        <v/>
      </c>
      <c r="M106" s="19" t="str">
        <f>IF('Supplier selection'!M106="","",'Supplier selection'!M106)</f>
        <v/>
      </c>
      <c r="N106" s="19" t="str">
        <f>IF('Supplier selection'!N106="","",'Supplier selection'!N106)</f>
        <v/>
      </c>
      <c r="O106" s="19" t="str">
        <f>IF('Supplier selection'!O106="","",'Supplier selection'!O106)</f>
        <v/>
      </c>
      <c r="Q106" s="19" t="str">
        <f>HLOOKUP($Q$3,'Supplier selection'!$AW$4:'Supplier selection'!$CT$1000,$A107,FALSE)</f>
        <v/>
      </c>
      <c r="R106" s="22" t="str">
        <f t="shared" si="11"/>
        <v/>
      </c>
      <c r="S106" s="19" t="str">
        <f t="shared" si="12"/>
        <v/>
      </c>
      <c r="T106" s="22" t="str">
        <f t="shared" si="13"/>
        <v/>
      </c>
      <c r="U106" s="19" t="str">
        <f t="shared" si="14"/>
        <v/>
      </c>
      <c r="V106" s="7"/>
      <c r="Y106" s="19" t="str">
        <f>IF('Supplier selection'!AQ106="","",'Supplier selection'!AQ106)</f>
        <v/>
      </c>
      <c r="Z106" s="19" t="str">
        <f>IF('Supplier selection'!AR106="","",'Supplier selection'!AR106)</f>
        <v/>
      </c>
      <c r="AA106" s="19" t="str">
        <f t="shared" si="15"/>
        <v/>
      </c>
      <c r="AD106" s="26" t="str">
        <f>IF(AND('Supplier selection'!X106="",'Supplier selection'!AE106=""),"",IF('Supplier selection'!X106="",'Supplier selection'!AE106,'Supplier selection'!X106))</f>
        <v/>
      </c>
      <c r="AE106" s="19" t="str">
        <f t="shared" si="16"/>
        <v/>
      </c>
      <c r="AF106" s="19" t="str">
        <f t="shared" si="17"/>
        <v/>
      </c>
      <c r="AG106" s="27" t="str">
        <f>IF(AND('Supplier selection'!AB106="",'Supplier selection'!AI106=""),"",IF('Supplier selection'!AB106="",'Supplier selection'!AI106,'Supplier selection'!AB106))</f>
        <v/>
      </c>
      <c r="AH106" s="28" t="str">
        <f t="shared" si="18"/>
        <v/>
      </c>
      <c r="AI106" s="7" t="str">
        <f t="shared" si="19"/>
        <v/>
      </c>
      <c r="AJ106" s="22" t="str">
        <f t="shared" si="20"/>
        <v/>
      </c>
      <c r="AK106" s="29" t="str">
        <f t="shared" si="21"/>
        <v/>
      </c>
      <c r="AL106" s="10"/>
    </row>
    <row r="107" spans="1:38">
      <c r="A107" s="19">
        <f>IF('Supplier selection'!A107="","",'Supplier selection'!A107)</f>
        <v>103</v>
      </c>
      <c r="B107" s="19" t="str">
        <f>IF('Supplier selection'!B107="","",'Supplier selection'!B107)</f>
        <v/>
      </c>
      <c r="C107" s="19" t="str">
        <f>IF('Supplier selection'!C107="","",'Supplier selection'!C107)</f>
        <v/>
      </c>
      <c r="D107" s="19" t="str">
        <f>IF('Supplier selection'!D107="","",'Supplier selection'!D107)</f>
        <v/>
      </c>
      <c r="E107" s="19" t="str">
        <f>IF('Supplier selection'!E107="","",'Supplier selection'!E107)</f>
        <v/>
      </c>
      <c r="F107" s="19" t="str">
        <f>IF('Supplier selection'!F107="","",'Supplier selection'!F107)</f>
        <v/>
      </c>
      <c r="G107" s="19" t="str">
        <f>IF('Supplier selection'!G107="","",'Supplier selection'!G107)</f>
        <v/>
      </c>
      <c r="H107" s="19" t="str">
        <f>IF('Supplier selection'!H107="","",'Supplier selection'!H107)</f>
        <v/>
      </c>
      <c r="I107" s="19" t="str">
        <f>IF('Supplier selection'!I107="","",'Supplier selection'!I107)</f>
        <v/>
      </c>
      <c r="J107" s="19" t="str">
        <f>IF('Supplier selection'!J107="","",'Supplier selection'!J107)</f>
        <v/>
      </c>
      <c r="K107" s="19" t="str">
        <f>IF('Supplier selection'!K107="","",'Supplier selection'!K107)</f>
        <v/>
      </c>
      <c r="L107" s="19" t="str">
        <f>IF('Supplier selection'!L107="","",'Supplier selection'!L107)</f>
        <v/>
      </c>
      <c r="M107" s="19" t="str">
        <f>IF('Supplier selection'!M107="","",'Supplier selection'!M107)</f>
        <v/>
      </c>
      <c r="N107" s="19" t="str">
        <f>IF('Supplier selection'!N107="","",'Supplier selection'!N107)</f>
        <v/>
      </c>
      <c r="O107" s="19" t="str">
        <f>IF('Supplier selection'!O107="","",'Supplier selection'!O107)</f>
        <v/>
      </c>
      <c r="Q107" s="19" t="str">
        <f>HLOOKUP($Q$3,'Supplier selection'!$AW$4:'Supplier selection'!$CT$1000,$A108,FALSE)</f>
        <v/>
      </c>
      <c r="R107" s="22" t="str">
        <f t="shared" si="11"/>
        <v/>
      </c>
      <c r="S107" s="19" t="str">
        <f t="shared" si="12"/>
        <v/>
      </c>
      <c r="T107" s="22" t="str">
        <f t="shared" si="13"/>
        <v/>
      </c>
      <c r="U107" s="19" t="str">
        <f t="shared" si="14"/>
        <v/>
      </c>
      <c r="V107" s="7"/>
      <c r="Y107" s="19" t="str">
        <f>IF('Supplier selection'!AQ107="","",'Supplier selection'!AQ107)</f>
        <v/>
      </c>
      <c r="Z107" s="19" t="str">
        <f>IF('Supplier selection'!AR107="","",'Supplier selection'!AR107)</f>
        <v/>
      </c>
      <c r="AA107" s="19" t="str">
        <f t="shared" si="15"/>
        <v/>
      </c>
      <c r="AD107" s="26" t="str">
        <f>IF(AND('Supplier selection'!X107="",'Supplier selection'!AE107=""),"",IF('Supplier selection'!X107="",'Supplier selection'!AE107,'Supplier selection'!X107))</f>
        <v/>
      </c>
      <c r="AE107" s="19" t="str">
        <f t="shared" si="16"/>
        <v/>
      </c>
      <c r="AF107" s="19" t="str">
        <f t="shared" si="17"/>
        <v/>
      </c>
      <c r="AG107" s="27" t="str">
        <f>IF(AND('Supplier selection'!AB107="",'Supplier selection'!AI107=""),"",IF('Supplier selection'!AB107="",'Supplier selection'!AI107,'Supplier selection'!AB107))</f>
        <v/>
      </c>
      <c r="AH107" s="28" t="str">
        <f t="shared" si="18"/>
        <v/>
      </c>
      <c r="AI107" s="7" t="str">
        <f t="shared" si="19"/>
        <v/>
      </c>
      <c r="AJ107" s="22" t="str">
        <f t="shared" si="20"/>
        <v/>
      </c>
      <c r="AK107" s="29" t="str">
        <f t="shared" si="21"/>
        <v/>
      </c>
      <c r="AL107" s="10"/>
    </row>
    <row r="108" spans="1:38">
      <c r="A108" s="19">
        <f>IF('Supplier selection'!A108="","",'Supplier selection'!A108)</f>
        <v>104</v>
      </c>
      <c r="B108" s="19" t="str">
        <f>IF('Supplier selection'!B108="","",'Supplier selection'!B108)</f>
        <v/>
      </c>
      <c r="C108" s="19" t="str">
        <f>IF('Supplier selection'!C108="","",'Supplier selection'!C108)</f>
        <v/>
      </c>
      <c r="D108" s="19" t="str">
        <f>IF('Supplier selection'!D108="","",'Supplier selection'!D108)</f>
        <v/>
      </c>
      <c r="E108" s="19" t="str">
        <f>IF('Supplier selection'!E108="","",'Supplier selection'!E108)</f>
        <v/>
      </c>
      <c r="F108" s="19" t="str">
        <f>IF('Supplier selection'!F108="","",'Supplier selection'!F108)</f>
        <v/>
      </c>
      <c r="G108" s="19" t="str">
        <f>IF('Supplier selection'!G108="","",'Supplier selection'!G108)</f>
        <v/>
      </c>
      <c r="H108" s="19" t="str">
        <f>IF('Supplier selection'!H108="","",'Supplier selection'!H108)</f>
        <v/>
      </c>
      <c r="I108" s="19" t="str">
        <f>IF('Supplier selection'!I108="","",'Supplier selection'!I108)</f>
        <v/>
      </c>
      <c r="J108" s="19" t="str">
        <f>IF('Supplier selection'!J108="","",'Supplier selection'!J108)</f>
        <v/>
      </c>
      <c r="K108" s="19" t="str">
        <f>IF('Supplier selection'!K108="","",'Supplier selection'!K108)</f>
        <v/>
      </c>
      <c r="L108" s="19" t="str">
        <f>IF('Supplier selection'!L108="","",'Supplier selection'!L108)</f>
        <v/>
      </c>
      <c r="M108" s="19" t="str">
        <f>IF('Supplier selection'!M108="","",'Supplier selection'!M108)</f>
        <v/>
      </c>
      <c r="N108" s="19" t="str">
        <f>IF('Supplier selection'!N108="","",'Supplier selection'!N108)</f>
        <v/>
      </c>
      <c r="O108" s="19" t="str">
        <f>IF('Supplier selection'!O108="","",'Supplier selection'!O108)</f>
        <v/>
      </c>
      <c r="Q108" s="19" t="str">
        <f>HLOOKUP($Q$3,'Supplier selection'!$AW$4:'Supplier selection'!$CT$1000,$A109,FALSE)</f>
        <v/>
      </c>
      <c r="R108" s="22" t="str">
        <f t="shared" si="11"/>
        <v/>
      </c>
      <c r="S108" s="19" t="str">
        <f t="shared" si="12"/>
        <v/>
      </c>
      <c r="T108" s="22" t="str">
        <f t="shared" si="13"/>
        <v/>
      </c>
      <c r="U108" s="19" t="str">
        <f t="shared" si="14"/>
        <v/>
      </c>
      <c r="V108" s="7"/>
      <c r="Y108" s="19" t="str">
        <f>IF('Supplier selection'!AQ108="","",'Supplier selection'!AQ108)</f>
        <v/>
      </c>
      <c r="Z108" s="19" t="str">
        <f>IF('Supplier selection'!AR108="","",'Supplier selection'!AR108)</f>
        <v/>
      </c>
      <c r="AA108" s="19" t="str">
        <f t="shared" si="15"/>
        <v/>
      </c>
      <c r="AD108" s="26" t="str">
        <f>IF(AND('Supplier selection'!X108="",'Supplier selection'!AE108=""),"",IF('Supplier selection'!X108="",'Supplier selection'!AE108,'Supplier selection'!X108))</f>
        <v/>
      </c>
      <c r="AE108" s="19" t="str">
        <f t="shared" si="16"/>
        <v/>
      </c>
      <c r="AF108" s="19" t="str">
        <f t="shared" si="17"/>
        <v/>
      </c>
      <c r="AG108" s="27" t="str">
        <f>IF(AND('Supplier selection'!AB108="",'Supplier selection'!AI108=""),"",IF('Supplier selection'!AB108="",'Supplier selection'!AI108,'Supplier selection'!AB108))</f>
        <v/>
      </c>
      <c r="AH108" s="28" t="str">
        <f t="shared" si="18"/>
        <v/>
      </c>
      <c r="AI108" s="7" t="str">
        <f t="shared" si="19"/>
        <v/>
      </c>
      <c r="AJ108" s="22" t="str">
        <f t="shared" si="20"/>
        <v/>
      </c>
      <c r="AK108" s="29" t="str">
        <f t="shared" si="21"/>
        <v/>
      </c>
      <c r="AL108" s="10"/>
    </row>
    <row r="109" spans="1:38">
      <c r="A109" s="19">
        <f>IF('Supplier selection'!A109="","",'Supplier selection'!A109)</f>
        <v>105</v>
      </c>
      <c r="B109" s="19" t="str">
        <f>IF('Supplier selection'!B109="","",'Supplier selection'!B109)</f>
        <v/>
      </c>
      <c r="C109" s="19" t="str">
        <f>IF('Supplier selection'!C109="","",'Supplier selection'!C109)</f>
        <v/>
      </c>
      <c r="D109" s="19" t="str">
        <f>IF('Supplier selection'!D109="","",'Supplier selection'!D109)</f>
        <v/>
      </c>
      <c r="E109" s="19" t="str">
        <f>IF('Supplier selection'!E109="","",'Supplier selection'!E109)</f>
        <v/>
      </c>
      <c r="F109" s="19" t="str">
        <f>IF('Supplier selection'!F109="","",'Supplier selection'!F109)</f>
        <v/>
      </c>
      <c r="G109" s="19" t="str">
        <f>IF('Supplier selection'!G109="","",'Supplier selection'!G109)</f>
        <v/>
      </c>
      <c r="H109" s="19" t="str">
        <f>IF('Supplier selection'!H109="","",'Supplier selection'!H109)</f>
        <v/>
      </c>
      <c r="I109" s="19" t="str">
        <f>IF('Supplier selection'!I109="","",'Supplier selection'!I109)</f>
        <v/>
      </c>
      <c r="J109" s="19" t="str">
        <f>IF('Supplier selection'!J109="","",'Supplier selection'!J109)</f>
        <v/>
      </c>
      <c r="K109" s="19" t="str">
        <f>IF('Supplier selection'!K109="","",'Supplier selection'!K109)</f>
        <v/>
      </c>
      <c r="L109" s="19" t="str">
        <f>IF('Supplier selection'!L109="","",'Supplier selection'!L109)</f>
        <v/>
      </c>
      <c r="M109" s="19" t="str">
        <f>IF('Supplier selection'!M109="","",'Supplier selection'!M109)</f>
        <v/>
      </c>
      <c r="N109" s="19" t="str">
        <f>IF('Supplier selection'!N109="","",'Supplier selection'!N109)</f>
        <v/>
      </c>
      <c r="O109" s="19" t="str">
        <f>IF('Supplier selection'!O109="","",'Supplier selection'!O109)</f>
        <v/>
      </c>
      <c r="Q109" s="19" t="str">
        <f>HLOOKUP($Q$3,'Supplier selection'!$AW$4:'Supplier selection'!$CT$1000,$A110,FALSE)</f>
        <v/>
      </c>
      <c r="R109" s="22" t="str">
        <f t="shared" si="11"/>
        <v/>
      </c>
      <c r="S109" s="19" t="str">
        <f t="shared" si="12"/>
        <v/>
      </c>
      <c r="T109" s="22" t="str">
        <f t="shared" si="13"/>
        <v/>
      </c>
      <c r="U109" s="19" t="str">
        <f t="shared" si="14"/>
        <v/>
      </c>
      <c r="V109" s="7"/>
      <c r="Y109" s="19" t="str">
        <f>IF('Supplier selection'!AQ109="","",'Supplier selection'!AQ109)</f>
        <v/>
      </c>
      <c r="Z109" s="19" t="str">
        <f>IF('Supplier selection'!AR109="","",'Supplier selection'!AR109)</f>
        <v/>
      </c>
      <c r="AA109" s="19" t="str">
        <f t="shared" si="15"/>
        <v/>
      </c>
      <c r="AD109" s="26" t="str">
        <f>IF(AND('Supplier selection'!X109="",'Supplier selection'!AE109=""),"",IF('Supplier selection'!X109="",'Supplier selection'!AE109,'Supplier selection'!X109))</f>
        <v/>
      </c>
      <c r="AE109" s="19" t="str">
        <f t="shared" si="16"/>
        <v/>
      </c>
      <c r="AF109" s="19" t="str">
        <f t="shared" si="17"/>
        <v/>
      </c>
      <c r="AG109" s="27" t="str">
        <f>IF(AND('Supplier selection'!AB109="",'Supplier selection'!AI109=""),"",IF('Supplier selection'!AB109="",'Supplier selection'!AI109,'Supplier selection'!AB109))</f>
        <v/>
      </c>
      <c r="AH109" s="28" t="str">
        <f t="shared" si="18"/>
        <v/>
      </c>
      <c r="AI109" s="7" t="str">
        <f t="shared" si="19"/>
        <v/>
      </c>
      <c r="AJ109" s="22" t="str">
        <f t="shared" si="20"/>
        <v/>
      </c>
      <c r="AK109" s="29" t="str">
        <f t="shared" si="21"/>
        <v/>
      </c>
      <c r="AL109" s="10"/>
    </row>
    <row r="110" spans="1:38">
      <c r="A110" s="19">
        <f>IF('Supplier selection'!A110="","",'Supplier selection'!A110)</f>
        <v>106</v>
      </c>
      <c r="B110" s="19" t="str">
        <f>IF('Supplier selection'!B110="","",'Supplier selection'!B110)</f>
        <v/>
      </c>
      <c r="C110" s="19" t="str">
        <f>IF('Supplier selection'!C110="","",'Supplier selection'!C110)</f>
        <v/>
      </c>
      <c r="D110" s="19" t="str">
        <f>IF('Supplier selection'!D110="","",'Supplier selection'!D110)</f>
        <v/>
      </c>
      <c r="E110" s="19" t="str">
        <f>IF('Supplier selection'!E110="","",'Supplier selection'!E110)</f>
        <v/>
      </c>
      <c r="F110" s="19" t="str">
        <f>IF('Supplier selection'!F110="","",'Supplier selection'!F110)</f>
        <v/>
      </c>
      <c r="G110" s="19" t="str">
        <f>IF('Supplier selection'!G110="","",'Supplier selection'!G110)</f>
        <v/>
      </c>
      <c r="H110" s="19" t="str">
        <f>IF('Supplier selection'!H110="","",'Supplier selection'!H110)</f>
        <v/>
      </c>
      <c r="I110" s="19" t="str">
        <f>IF('Supplier selection'!I110="","",'Supplier selection'!I110)</f>
        <v/>
      </c>
      <c r="J110" s="19" t="str">
        <f>IF('Supplier selection'!J110="","",'Supplier selection'!J110)</f>
        <v/>
      </c>
      <c r="K110" s="19" t="str">
        <f>IF('Supplier selection'!K110="","",'Supplier selection'!K110)</f>
        <v/>
      </c>
      <c r="L110" s="19" t="str">
        <f>IF('Supplier selection'!L110="","",'Supplier selection'!L110)</f>
        <v/>
      </c>
      <c r="M110" s="19" t="str">
        <f>IF('Supplier selection'!M110="","",'Supplier selection'!M110)</f>
        <v/>
      </c>
      <c r="N110" s="19" t="str">
        <f>IF('Supplier selection'!N110="","",'Supplier selection'!N110)</f>
        <v/>
      </c>
      <c r="O110" s="19" t="str">
        <f>IF('Supplier selection'!O110="","",'Supplier selection'!O110)</f>
        <v/>
      </c>
      <c r="Q110" s="19" t="str">
        <f>HLOOKUP($Q$3,'Supplier selection'!$AW$4:'Supplier selection'!$CT$1000,$A111,FALSE)</f>
        <v/>
      </c>
      <c r="R110" s="22" t="str">
        <f t="shared" si="11"/>
        <v/>
      </c>
      <c r="S110" s="19" t="str">
        <f t="shared" si="12"/>
        <v/>
      </c>
      <c r="T110" s="22" t="str">
        <f t="shared" si="13"/>
        <v/>
      </c>
      <c r="U110" s="19" t="str">
        <f t="shared" si="14"/>
        <v/>
      </c>
      <c r="V110" s="7"/>
      <c r="Y110" s="19" t="str">
        <f>IF('Supplier selection'!AQ110="","",'Supplier selection'!AQ110)</f>
        <v/>
      </c>
      <c r="Z110" s="19" t="str">
        <f>IF('Supplier selection'!AR110="","",'Supplier selection'!AR110)</f>
        <v/>
      </c>
      <c r="AA110" s="19" t="str">
        <f t="shared" si="15"/>
        <v/>
      </c>
      <c r="AD110" s="26" t="str">
        <f>IF(AND('Supplier selection'!X110="",'Supplier selection'!AE110=""),"",IF('Supplier selection'!X110="",'Supplier selection'!AE110,'Supplier selection'!X110))</f>
        <v/>
      </c>
      <c r="AE110" s="19" t="str">
        <f t="shared" si="16"/>
        <v/>
      </c>
      <c r="AF110" s="19" t="str">
        <f t="shared" si="17"/>
        <v/>
      </c>
      <c r="AG110" s="27" t="str">
        <f>IF(AND('Supplier selection'!AB110="",'Supplier selection'!AI110=""),"",IF('Supplier selection'!AB110="",'Supplier selection'!AI110,'Supplier selection'!AB110))</f>
        <v/>
      </c>
      <c r="AH110" s="28" t="str">
        <f t="shared" si="18"/>
        <v/>
      </c>
      <c r="AI110" s="7" t="str">
        <f t="shared" si="19"/>
        <v/>
      </c>
      <c r="AJ110" s="22" t="str">
        <f t="shared" si="20"/>
        <v/>
      </c>
      <c r="AK110" s="29" t="str">
        <f t="shared" si="21"/>
        <v/>
      </c>
      <c r="AL110" s="10"/>
    </row>
    <row r="111" spans="1:38">
      <c r="A111" s="19">
        <f>IF('Supplier selection'!A111="","",'Supplier selection'!A111)</f>
        <v>107</v>
      </c>
      <c r="B111" s="19" t="str">
        <f>IF('Supplier selection'!B111="","",'Supplier selection'!B111)</f>
        <v/>
      </c>
      <c r="C111" s="19" t="str">
        <f>IF('Supplier selection'!C111="","",'Supplier selection'!C111)</f>
        <v/>
      </c>
      <c r="D111" s="19" t="str">
        <f>IF('Supplier selection'!D111="","",'Supplier selection'!D111)</f>
        <v/>
      </c>
      <c r="E111" s="19" t="str">
        <f>IF('Supplier selection'!E111="","",'Supplier selection'!E111)</f>
        <v/>
      </c>
      <c r="F111" s="19" t="str">
        <f>IF('Supplier selection'!F111="","",'Supplier selection'!F111)</f>
        <v/>
      </c>
      <c r="G111" s="19" t="str">
        <f>IF('Supplier selection'!G111="","",'Supplier selection'!G111)</f>
        <v/>
      </c>
      <c r="H111" s="19" t="str">
        <f>IF('Supplier selection'!H111="","",'Supplier selection'!H111)</f>
        <v/>
      </c>
      <c r="I111" s="19" t="str">
        <f>IF('Supplier selection'!I111="","",'Supplier selection'!I111)</f>
        <v/>
      </c>
      <c r="J111" s="19" t="str">
        <f>IF('Supplier selection'!J111="","",'Supplier selection'!J111)</f>
        <v/>
      </c>
      <c r="K111" s="19" t="str">
        <f>IF('Supplier selection'!K111="","",'Supplier selection'!K111)</f>
        <v/>
      </c>
      <c r="L111" s="19" t="str">
        <f>IF('Supplier selection'!L111="","",'Supplier selection'!L111)</f>
        <v/>
      </c>
      <c r="M111" s="19" t="str">
        <f>IF('Supplier selection'!M111="","",'Supplier selection'!M111)</f>
        <v/>
      </c>
      <c r="N111" s="19" t="str">
        <f>IF('Supplier selection'!N111="","",'Supplier selection'!N111)</f>
        <v/>
      </c>
      <c r="O111" s="19" t="str">
        <f>IF('Supplier selection'!O111="","",'Supplier selection'!O111)</f>
        <v/>
      </c>
      <c r="Q111" s="19" t="str">
        <f>HLOOKUP($Q$3,'Supplier selection'!$AW$4:'Supplier selection'!$CT$1000,$A112,FALSE)</f>
        <v/>
      </c>
      <c r="R111" s="22" t="str">
        <f t="shared" si="11"/>
        <v/>
      </c>
      <c r="S111" s="19" t="str">
        <f t="shared" si="12"/>
        <v/>
      </c>
      <c r="T111" s="22" t="str">
        <f t="shared" si="13"/>
        <v/>
      </c>
      <c r="U111" s="19" t="str">
        <f t="shared" si="14"/>
        <v/>
      </c>
      <c r="V111" s="7"/>
      <c r="Y111" s="19" t="str">
        <f>IF('Supplier selection'!AQ111="","",'Supplier selection'!AQ111)</f>
        <v/>
      </c>
      <c r="Z111" s="19" t="str">
        <f>IF('Supplier selection'!AR111="","",'Supplier selection'!AR111)</f>
        <v/>
      </c>
      <c r="AA111" s="19" t="str">
        <f t="shared" si="15"/>
        <v/>
      </c>
      <c r="AD111" s="26" t="str">
        <f>IF(AND('Supplier selection'!X111="",'Supplier selection'!AE111=""),"",IF('Supplier selection'!X111="",'Supplier selection'!AE111,'Supplier selection'!X111))</f>
        <v/>
      </c>
      <c r="AE111" s="19" t="str">
        <f t="shared" si="16"/>
        <v/>
      </c>
      <c r="AF111" s="19" t="str">
        <f t="shared" si="17"/>
        <v/>
      </c>
      <c r="AG111" s="27" t="str">
        <f>IF(AND('Supplier selection'!AB111="",'Supplier selection'!AI111=""),"",IF('Supplier selection'!AB111="",'Supplier selection'!AI111,'Supplier selection'!AB111))</f>
        <v/>
      </c>
      <c r="AH111" s="28" t="str">
        <f t="shared" si="18"/>
        <v/>
      </c>
      <c r="AI111" s="7" t="str">
        <f t="shared" si="19"/>
        <v/>
      </c>
      <c r="AJ111" s="22" t="str">
        <f t="shared" si="20"/>
        <v/>
      </c>
      <c r="AK111" s="29" t="str">
        <f t="shared" si="21"/>
        <v/>
      </c>
      <c r="AL111" s="10"/>
    </row>
    <row r="112" spans="1:38">
      <c r="A112" s="19">
        <f>IF('Supplier selection'!A112="","",'Supplier selection'!A112)</f>
        <v>108</v>
      </c>
      <c r="B112" s="19" t="str">
        <f>IF('Supplier selection'!B112="","",'Supplier selection'!B112)</f>
        <v/>
      </c>
      <c r="C112" s="19" t="str">
        <f>IF('Supplier selection'!C112="","",'Supplier selection'!C112)</f>
        <v/>
      </c>
      <c r="D112" s="19" t="str">
        <f>IF('Supplier selection'!D112="","",'Supplier selection'!D112)</f>
        <v/>
      </c>
      <c r="E112" s="19" t="str">
        <f>IF('Supplier selection'!E112="","",'Supplier selection'!E112)</f>
        <v/>
      </c>
      <c r="F112" s="19" t="str">
        <f>IF('Supplier selection'!F112="","",'Supplier selection'!F112)</f>
        <v/>
      </c>
      <c r="G112" s="19" t="str">
        <f>IF('Supplier selection'!G112="","",'Supplier selection'!G112)</f>
        <v/>
      </c>
      <c r="H112" s="19" t="str">
        <f>IF('Supplier selection'!H112="","",'Supplier selection'!H112)</f>
        <v/>
      </c>
      <c r="I112" s="19" t="str">
        <f>IF('Supplier selection'!I112="","",'Supplier selection'!I112)</f>
        <v/>
      </c>
      <c r="J112" s="19" t="str">
        <f>IF('Supplier selection'!J112="","",'Supplier selection'!J112)</f>
        <v/>
      </c>
      <c r="K112" s="19" t="str">
        <f>IF('Supplier selection'!K112="","",'Supplier selection'!K112)</f>
        <v/>
      </c>
      <c r="L112" s="19" t="str">
        <f>IF('Supplier selection'!L112="","",'Supplier selection'!L112)</f>
        <v/>
      </c>
      <c r="M112" s="19" t="str">
        <f>IF('Supplier selection'!M112="","",'Supplier selection'!M112)</f>
        <v/>
      </c>
      <c r="N112" s="19" t="str">
        <f>IF('Supplier selection'!N112="","",'Supplier selection'!N112)</f>
        <v/>
      </c>
      <c r="O112" s="19" t="str">
        <f>IF('Supplier selection'!O112="","",'Supplier selection'!O112)</f>
        <v/>
      </c>
      <c r="Q112" s="19" t="str">
        <f>HLOOKUP($Q$3,'Supplier selection'!$AW$4:'Supplier selection'!$CT$1000,$A113,FALSE)</f>
        <v/>
      </c>
      <c r="R112" s="22" t="str">
        <f t="shared" si="11"/>
        <v/>
      </c>
      <c r="S112" s="19" t="str">
        <f t="shared" si="12"/>
        <v/>
      </c>
      <c r="T112" s="22" t="str">
        <f t="shared" si="13"/>
        <v/>
      </c>
      <c r="U112" s="19" t="str">
        <f t="shared" si="14"/>
        <v/>
      </c>
      <c r="V112" s="7"/>
      <c r="Y112" s="19" t="str">
        <f>IF('Supplier selection'!AQ112="","",'Supplier selection'!AQ112)</f>
        <v/>
      </c>
      <c r="Z112" s="19" t="str">
        <f>IF('Supplier selection'!AR112="","",'Supplier selection'!AR112)</f>
        <v/>
      </c>
      <c r="AA112" s="19" t="str">
        <f t="shared" si="15"/>
        <v/>
      </c>
      <c r="AD112" s="26" t="str">
        <f>IF(AND('Supplier selection'!X112="",'Supplier selection'!AE112=""),"",IF('Supplier selection'!X112="",'Supplier selection'!AE112,'Supplier selection'!X112))</f>
        <v/>
      </c>
      <c r="AE112" s="19" t="str">
        <f t="shared" si="16"/>
        <v/>
      </c>
      <c r="AF112" s="19" t="str">
        <f t="shared" si="17"/>
        <v/>
      </c>
      <c r="AG112" s="27" t="str">
        <f>IF(AND('Supplier selection'!AB112="",'Supplier selection'!AI112=""),"",IF('Supplier selection'!AB112="",'Supplier selection'!AI112,'Supplier selection'!AB112))</f>
        <v/>
      </c>
      <c r="AH112" s="28" t="str">
        <f t="shared" si="18"/>
        <v/>
      </c>
      <c r="AI112" s="7" t="str">
        <f t="shared" si="19"/>
        <v/>
      </c>
      <c r="AJ112" s="22" t="str">
        <f t="shared" si="20"/>
        <v/>
      </c>
      <c r="AK112" s="29" t="str">
        <f t="shared" si="21"/>
        <v/>
      </c>
      <c r="AL112" s="10"/>
    </row>
    <row r="113" spans="1:38">
      <c r="A113" s="19">
        <f>IF('Supplier selection'!A113="","",'Supplier selection'!A113)</f>
        <v>109</v>
      </c>
      <c r="B113" s="19" t="str">
        <f>IF('Supplier selection'!B113="","",'Supplier selection'!B113)</f>
        <v/>
      </c>
      <c r="C113" s="19" t="str">
        <f>IF('Supplier selection'!C113="","",'Supplier selection'!C113)</f>
        <v/>
      </c>
      <c r="D113" s="19" t="str">
        <f>IF('Supplier selection'!D113="","",'Supplier selection'!D113)</f>
        <v/>
      </c>
      <c r="E113" s="19" t="str">
        <f>IF('Supplier selection'!E113="","",'Supplier selection'!E113)</f>
        <v/>
      </c>
      <c r="F113" s="19" t="str">
        <f>IF('Supplier selection'!F113="","",'Supplier selection'!F113)</f>
        <v/>
      </c>
      <c r="G113" s="19" t="str">
        <f>IF('Supplier selection'!G113="","",'Supplier selection'!G113)</f>
        <v/>
      </c>
      <c r="H113" s="19" t="str">
        <f>IF('Supplier selection'!H113="","",'Supplier selection'!H113)</f>
        <v/>
      </c>
      <c r="I113" s="19" t="str">
        <f>IF('Supplier selection'!I113="","",'Supplier selection'!I113)</f>
        <v/>
      </c>
      <c r="J113" s="19" t="str">
        <f>IF('Supplier selection'!J113="","",'Supplier selection'!J113)</f>
        <v/>
      </c>
      <c r="K113" s="19" t="str">
        <f>IF('Supplier selection'!K113="","",'Supplier selection'!K113)</f>
        <v/>
      </c>
      <c r="L113" s="19" t="str">
        <f>IF('Supplier selection'!L113="","",'Supplier selection'!L113)</f>
        <v/>
      </c>
      <c r="M113" s="19" t="str">
        <f>IF('Supplier selection'!M113="","",'Supplier selection'!M113)</f>
        <v/>
      </c>
      <c r="N113" s="19" t="str">
        <f>IF('Supplier selection'!N113="","",'Supplier selection'!N113)</f>
        <v/>
      </c>
      <c r="O113" s="19" t="str">
        <f>IF('Supplier selection'!O113="","",'Supplier selection'!O113)</f>
        <v/>
      </c>
      <c r="Q113" s="19" t="str">
        <f>HLOOKUP($Q$3,'Supplier selection'!$AW$4:'Supplier selection'!$CT$1000,$A114,FALSE)</f>
        <v/>
      </c>
      <c r="R113" s="22" t="str">
        <f t="shared" si="11"/>
        <v/>
      </c>
      <c r="S113" s="19" t="str">
        <f t="shared" si="12"/>
        <v/>
      </c>
      <c r="T113" s="22" t="str">
        <f t="shared" si="13"/>
        <v/>
      </c>
      <c r="U113" s="19" t="str">
        <f t="shared" si="14"/>
        <v/>
      </c>
      <c r="V113" s="7"/>
      <c r="Y113" s="19" t="str">
        <f>IF('Supplier selection'!AQ113="","",'Supplier selection'!AQ113)</f>
        <v/>
      </c>
      <c r="Z113" s="19" t="str">
        <f>IF('Supplier selection'!AR113="","",'Supplier selection'!AR113)</f>
        <v/>
      </c>
      <c r="AA113" s="19" t="str">
        <f t="shared" si="15"/>
        <v/>
      </c>
      <c r="AD113" s="26" t="str">
        <f>IF(AND('Supplier selection'!X113="",'Supplier selection'!AE113=""),"",IF('Supplier selection'!X113="",'Supplier selection'!AE113,'Supplier selection'!X113))</f>
        <v/>
      </c>
      <c r="AE113" s="19" t="str">
        <f t="shared" si="16"/>
        <v/>
      </c>
      <c r="AF113" s="19" t="str">
        <f t="shared" si="17"/>
        <v/>
      </c>
      <c r="AG113" s="27" t="str">
        <f>IF(AND('Supplier selection'!AB113="",'Supplier selection'!AI113=""),"",IF('Supplier selection'!AB113="",'Supplier selection'!AI113,'Supplier selection'!AB113))</f>
        <v/>
      </c>
      <c r="AH113" s="28" t="str">
        <f t="shared" si="18"/>
        <v/>
      </c>
      <c r="AI113" s="7" t="str">
        <f t="shared" si="19"/>
        <v/>
      </c>
      <c r="AJ113" s="22" t="str">
        <f t="shared" si="20"/>
        <v/>
      </c>
      <c r="AK113" s="29" t="str">
        <f t="shared" si="21"/>
        <v/>
      </c>
      <c r="AL113" s="10"/>
    </row>
    <row r="114" spans="1:38">
      <c r="A114" s="19">
        <f>IF('Supplier selection'!A114="","",'Supplier selection'!A114)</f>
        <v>110</v>
      </c>
      <c r="B114" s="19" t="str">
        <f>IF('Supplier selection'!B114="","",'Supplier selection'!B114)</f>
        <v/>
      </c>
      <c r="C114" s="19" t="str">
        <f>IF('Supplier selection'!C114="","",'Supplier selection'!C114)</f>
        <v/>
      </c>
      <c r="D114" s="19" t="str">
        <f>IF('Supplier selection'!D114="","",'Supplier selection'!D114)</f>
        <v/>
      </c>
      <c r="E114" s="19" t="str">
        <f>IF('Supplier selection'!E114="","",'Supplier selection'!E114)</f>
        <v/>
      </c>
      <c r="F114" s="19" t="str">
        <f>IF('Supplier selection'!F114="","",'Supplier selection'!F114)</f>
        <v/>
      </c>
      <c r="G114" s="19" t="str">
        <f>IF('Supplier selection'!G114="","",'Supplier selection'!G114)</f>
        <v/>
      </c>
      <c r="H114" s="19" t="str">
        <f>IF('Supplier selection'!H114="","",'Supplier selection'!H114)</f>
        <v/>
      </c>
      <c r="I114" s="19" t="str">
        <f>IF('Supplier selection'!I114="","",'Supplier selection'!I114)</f>
        <v/>
      </c>
      <c r="J114" s="19" t="str">
        <f>IF('Supplier selection'!J114="","",'Supplier selection'!J114)</f>
        <v/>
      </c>
      <c r="K114" s="19" t="str">
        <f>IF('Supplier selection'!K114="","",'Supplier selection'!K114)</f>
        <v/>
      </c>
      <c r="L114" s="19" t="str">
        <f>IF('Supplier selection'!L114="","",'Supplier selection'!L114)</f>
        <v/>
      </c>
      <c r="M114" s="19" t="str">
        <f>IF('Supplier selection'!M114="","",'Supplier selection'!M114)</f>
        <v/>
      </c>
      <c r="N114" s="19" t="str">
        <f>IF('Supplier selection'!N114="","",'Supplier selection'!N114)</f>
        <v/>
      </c>
      <c r="O114" s="19" t="str">
        <f>IF('Supplier selection'!O114="","",'Supplier selection'!O114)</f>
        <v/>
      </c>
      <c r="Q114" s="19" t="str">
        <f>HLOOKUP($Q$3,'Supplier selection'!$AW$4:'Supplier selection'!$CT$1000,$A115,FALSE)</f>
        <v/>
      </c>
      <c r="R114" s="22" t="str">
        <f t="shared" si="11"/>
        <v/>
      </c>
      <c r="S114" s="19" t="str">
        <f t="shared" si="12"/>
        <v/>
      </c>
      <c r="T114" s="22" t="str">
        <f t="shared" si="13"/>
        <v/>
      </c>
      <c r="U114" s="19" t="str">
        <f t="shared" si="14"/>
        <v/>
      </c>
      <c r="V114" s="7"/>
      <c r="Y114" s="19" t="str">
        <f>IF('Supplier selection'!AQ114="","",'Supplier selection'!AQ114)</f>
        <v/>
      </c>
      <c r="Z114" s="19" t="str">
        <f>IF('Supplier selection'!AR114="","",'Supplier selection'!AR114)</f>
        <v/>
      </c>
      <c r="AA114" s="19" t="str">
        <f t="shared" si="15"/>
        <v/>
      </c>
      <c r="AD114" s="26" t="str">
        <f>IF(AND('Supplier selection'!X114="",'Supplier selection'!AE114=""),"",IF('Supplier selection'!X114="",'Supplier selection'!AE114,'Supplier selection'!X114))</f>
        <v/>
      </c>
      <c r="AE114" s="19" t="str">
        <f t="shared" si="16"/>
        <v/>
      </c>
      <c r="AF114" s="19" t="str">
        <f t="shared" si="17"/>
        <v/>
      </c>
      <c r="AG114" s="27" t="str">
        <f>IF(AND('Supplier selection'!AB114="",'Supplier selection'!AI114=""),"",IF('Supplier selection'!AB114="",'Supplier selection'!AI114,'Supplier selection'!AB114))</f>
        <v/>
      </c>
      <c r="AH114" s="28" t="str">
        <f t="shared" si="18"/>
        <v/>
      </c>
      <c r="AI114" s="7" t="str">
        <f t="shared" si="19"/>
        <v/>
      </c>
      <c r="AJ114" s="22" t="str">
        <f t="shared" si="20"/>
        <v/>
      </c>
      <c r="AK114" s="29" t="str">
        <f t="shared" si="21"/>
        <v/>
      </c>
      <c r="AL114" s="10"/>
    </row>
    <row r="115" spans="1:38">
      <c r="A115" s="19">
        <f>IF('Supplier selection'!A115="","",'Supplier selection'!A115)</f>
        <v>111</v>
      </c>
      <c r="B115" s="19" t="str">
        <f>IF('Supplier selection'!B115="","",'Supplier selection'!B115)</f>
        <v/>
      </c>
      <c r="C115" s="19" t="str">
        <f>IF('Supplier selection'!C115="","",'Supplier selection'!C115)</f>
        <v/>
      </c>
      <c r="D115" s="19" t="str">
        <f>IF('Supplier selection'!D115="","",'Supplier selection'!D115)</f>
        <v/>
      </c>
      <c r="E115" s="19" t="str">
        <f>IF('Supplier selection'!E115="","",'Supplier selection'!E115)</f>
        <v/>
      </c>
      <c r="F115" s="19" t="str">
        <f>IF('Supplier selection'!F115="","",'Supplier selection'!F115)</f>
        <v/>
      </c>
      <c r="G115" s="19" t="str">
        <f>IF('Supplier selection'!G115="","",'Supplier selection'!G115)</f>
        <v/>
      </c>
      <c r="H115" s="19" t="str">
        <f>IF('Supplier selection'!H115="","",'Supplier selection'!H115)</f>
        <v/>
      </c>
      <c r="I115" s="19" t="str">
        <f>IF('Supplier selection'!I115="","",'Supplier selection'!I115)</f>
        <v/>
      </c>
      <c r="J115" s="19" t="str">
        <f>IF('Supplier selection'!J115="","",'Supplier selection'!J115)</f>
        <v/>
      </c>
      <c r="K115" s="19" t="str">
        <f>IF('Supplier selection'!K115="","",'Supplier selection'!K115)</f>
        <v/>
      </c>
      <c r="L115" s="19" t="str">
        <f>IF('Supplier selection'!L115="","",'Supplier selection'!L115)</f>
        <v/>
      </c>
      <c r="M115" s="19" t="str">
        <f>IF('Supplier selection'!M115="","",'Supplier selection'!M115)</f>
        <v/>
      </c>
      <c r="N115" s="19" t="str">
        <f>IF('Supplier selection'!N115="","",'Supplier selection'!N115)</f>
        <v/>
      </c>
      <c r="O115" s="19" t="str">
        <f>IF('Supplier selection'!O115="","",'Supplier selection'!O115)</f>
        <v/>
      </c>
      <c r="Q115" s="19" t="str">
        <f>HLOOKUP($Q$3,'Supplier selection'!$AW$4:'Supplier selection'!$CT$1000,$A116,FALSE)</f>
        <v/>
      </c>
      <c r="R115" s="22" t="str">
        <f t="shared" si="11"/>
        <v/>
      </c>
      <c r="S115" s="19" t="str">
        <f t="shared" si="12"/>
        <v/>
      </c>
      <c r="T115" s="22" t="str">
        <f t="shared" si="13"/>
        <v/>
      </c>
      <c r="U115" s="19" t="str">
        <f t="shared" si="14"/>
        <v/>
      </c>
      <c r="V115" s="7"/>
      <c r="Y115" s="19" t="str">
        <f>IF('Supplier selection'!AQ115="","",'Supplier selection'!AQ115)</f>
        <v/>
      </c>
      <c r="Z115" s="19" t="str">
        <f>IF('Supplier selection'!AR115="","",'Supplier selection'!AR115)</f>
        <v/>
      </c>
      <c r="AA115" s="19" t="str">
        <f t="shared" si="15"/>
        <v/>
      </c>
      <c r="AD115" s="26" t="str">
        <f>IF(AND('Supplier selection'!X115="",'Supplier selection'!AE115=""),"",IF('Supplier selection'!X115="",'Supplier selection'!AE115,'Supplier selection'!X115))</f>
        <v/>
      </c>
      <c r="AE115" s="19" t="str">
        <f t="shared" si="16"/>
        <v/>
      </c>
      <c r="AF115" s="19" t="str">
        <f t="shared" si="17"/>
        <v/>
      </c>
      <c r="AG115" s="27" t="str">
        <f>IF(AND('Supplier selection'!AB115="",'Supplier selection'!AI115=""),"",IF('Supplier selection'!AB115="",'Supplier selection'!AI115,'Supplier selection'!AB115))</f>
        <v/>
      </c>
      <c r="AH115" s="28" t="str">
        <f t="shared" si="18"/>
        <v/>
      </c>
      <c r="AI115" s="7" t="str">
        <f t="shared" si="19"/>
        <v/>
      </c>
      <c r="AJ115" s="22" t="str">
        <f t="shared" si="20"/>
        <v/>
      </c>
      <c r="AK115" s="29" t="str">
        <f t="shared" si="21"/>
        <v/>
      </c>
      <c r="AL115" s="10"/>
    </row>
    <row r="116" spans="1:38">
      <c r="A116" s="19">
        <f>IF('Supplier selection'!A116="","",'Supplier selection'!A116)</f>
        <v>112</v>
      </c>
      <c r="B116" s="19" t="str">
        <f>IF('Supplier selection'!B116="","",'Supplier selection'!B116)</f>
        <v/>
      </c>
      <c r="C116" s="19" t="str">
        <f>IF('Supplier selection'!C116="","",'Supplier selection'!C116)</f>
        <v/>
      </c>
      <c r="D116" s="19" t="str">
        <f>IF('Supplier selection'!D116="","",'Supplier selection'!D116)</f>
        <v/>
      </c>
      <c r="E116" s="19" t="str">
        <f>IF('Supplier selection'!E116="","",'Supplier selection'!E116)</f>
        <v/>
      </c>
      <c r="F116" s="19" t="str">
        <f>IF('Supplier selection'!F116="","",'Supplier selection'!F116)</f>
        <v/>
      </c>
      <c r="G116" s="19" t="str">
        <f>IF('Supplier selection'!G116="","",'Supplier selection'!G116)</f>
        <v/>
      </c>
      <c r="H116" s="19" t="str">
        <f>IF('Supplier selection'!H116="","",'Supplier selection'!H116)</f>
        <v/>
      </c>
      <c r="I116" s="19" t="str">
        <f>IF('Supplier selection'!I116="","",'Supplier selection'!I116)</f>
        <v/>
      </c>
      <c r="J116" s="19" t="str">
        <f>IF('Supplier selection'!J116="","",'Supplier selection'!J116)</f>
        <v/>
      </c>
      <c r="K116" s="19" t="str">
        <f>IF('Supplier selection'!K116="","",'Supplier selection'!K116)</f>
        <v/>
      </c>
      <c r="L116" s="19" t="str">
        <f>IF('Supplier selection'!L116="","",'Supplier selection'!L116)</f>
        <v/>
      </c>
      <c r="M116" s="19" t="str">
        <f>IF('Supplier selection'!M116="","",'Supplier selection'!M116)</f>
        <v/>
      </c>
      <c r="N116" s="19" t="str">
        <f>IF('Supplier selection'!N116="","",'Supplier selection'!N116)</f>
        <v/>
      </c>
      <c r="O116" s="19" t="str">
        <f>IF('Supplier selection'!O116="","",'Supplier selection'!O116)</f>
        <v/>
      </c>
      <c r="Q116" s="19" t="str">
        <f>HLOOKUP($Q$3,'Supplier selection'!$AW$4:'Supplier selection'!$CT$1000,$A117,FALSE)</f>
        <v/>
      </c>
      <c r="R116" s="22" t="str">
        <f t="shared" si="11"/>
        <v/>
      </c>
      <c r="S116" s="19" t="str">
        <f t="shared" si="12"/>
        <v/>
      </c>
      <c r="T116" s="22" t="str">
        <f t="shared" si="13"/>
        <v/>
      </c>
      <c r="U116" s="19" t="str">
        <f t="shared" si="14"/>
        <v/>
      </c>
      <c r="V116" s="7"/>
      <c r="Y116" s="19" t="str">
        <f>IF('Supplier selection'!AQ116="","",'Supplier selection'!AQ116)</f>
        <v/>
      </c>
      <c r="Z116" s="19" t="str">
        <f>IF('Supplier selection'!AR116="","",'Supplier selection'!AR116)</f>
        <v/>
      </c>
      <c r="AA116" s="19" t="str">
        <f t="shared" si="15"/>
        <v/>
      </c>
      <c r="AD116" s="26" t="str">
        <f>IF(AND('Supplier selection'!X116="",'Supplier selection'!AE116=""),"",IF('Supplier selection'!X116="",'Supplier selection'!AE116,'Supplier selection'!X116))</f>
        <v/>
      </c>
      <c r="AE116" s="19" t="str">
        <f t="shared" si="16"/>
        <v/>
      </c>
      <c r="AF116" s="19" t="str">
        <f t="shared" si="17"/>
        <v/>
      </c>
      <c r="AG116" s="27" t="str">
        <f>IF(AND('Supplier selection'!AB116="",'Supplier selection'!AI116=""),"",IF('Supplier selection'!AB116="",'Supplier selection'!AI116,'Supplier selection'!AB116))</f>
        <v/>
      </c>
      <c r="AH116" s="28" t="str">
        <f t="shared" si="18"/>
        <v/>
      </c>
      <c r="AI116" s="7" t="str">
        <f t="shared" si="19"/>
        <v/>
      </c>
      <c r="AJ116" s="22" t="str">
        <f t="shared" si="20"/>
        <v/>
      </c>
      <c r="AK116" s="29" t="str">
        <f t="shared" si="21"/>
        <v/>
      </c>
      <c r="AL116" s="10"/>
    </row>
    <row r="117" spans="1:38">
      <c r="A117" s="19">
        <f>IF('Supplier selection'!A117="","",'Supplier selection'!A117)</f>
        <v>113</v>
      </c>
      <c r="B117" s="19" t="str">
        <f>IF('Supplier selection'!B117="","",'Supplier selection'!B117)</f>
        <v/>
      </c>
      <c r="C117" s="19" t="str">
        <f>IF('Supplier selection'!C117="","",'Supplier selection'!C117)</f>
        <v/>
      </c>
      <c r="D117" s="19" t="str">
        <f>IF('Supplier selection'!D117="","",'Supplier selection'!D117)</f>
        <v/>
      </c>
      <c r="E117" s="19" t="str">
        <f>IF('Supplier selection'!E117="","",'Supplier selection'!E117)</f>
        <v/>
      </c>
      <c r="F117" s="19" t="str">
        <f>IF('Supplier selection'!F117="","",'Supplier selection'!F117)</f>
        <v/>
      </c>
      <c r="G117" s="19" t="str">
        <f>IF('Supplier selection'!G117="","",'Supplier selection'!G117)</f>
        <v/>
      </c>
      <c r="H117" s="19" t="str">
        <f>IF('Supplier selection'!H117="","",'Supplier selection'!H117)</f>
        <v/>
      </c>
      <c r="I117" s="19" t="str">
        <f>IF('Supplier selection'!I117="","",'Supplier selection'!I117)</f>
        <v/>
      </c>
      <c r="J117" s="19" t="str">
        <f>IF('Supplier selection'!J117="","",'Supplier selection'!J117)</f>
        <v/>
      </c>
      <c r="K117" s="19" t="str">
        <f>IF('Supplier selection'!K117="","",'Supplier selection'!K117)</f>
        <v/>
      </c>
      <c r="L117" s="19" t="str">
        <f>IF('Supplier selection'!L117="","",'Supplier selection'!L117)</f>
        <v/>
      </c>
      <c r="M117" s="19" t="str">
        <f>IF('Supplier selection'!M117="","",'Supplier selection'!M117)</f>
        <v/>
      </c>
      <c r="N117" s="19" t="str">
        <f>IF('Supplier selection'!N117="","",'Supplier selection'!N117)</f>
        <v/>
      </c>
      <c r="O117" s="19" t="str">
        <f>IF('Supplier selection'!O117="","",'Supplier selection'!O117)</f>
        <v/>
      </c>
      <c r="Q117" s="19" t="str">
        <f>HLOOKUP($Q$3,'Supplier selection'!$AW$4:'Supplier selection'!$CT$1000,$A118,FALSE)</f>
        <v/>
      </c>
      <c r="R117" s="22" t="str">
        <f t="shared" si="11"/>
        <v/>
      </c>
      <c r="S117" s="19" t="str">
        <f t="shared" si="12"/>
        <v/>
      </c>
      <c r="T117" s="22" t="str">
        <f t="shared" si="13"/>
        <v/>
      </c>
      <c r="U117" s="19" t="str">
        <f t="shared" si="14"/>
        <v/>
      </c>
      <c r="V117" s="7"/>
      <c r="Y117" s="19" t="str">
        <f>IF('Supplier selection'!AQ117="","",'Supplier selection'!AQ117)</f>
        <v/>
      </c>
      <c r="Z117" s="19" t="str">
        <f>IF('Supplier selection'!AR117="","",'Supplier selection'!AR117)</f>
        <v/>
      </c>
      <c r="AA117" s="19" t="str">
        <f t="shared" si="15"/>
        <v/>
      </c>
      <c r="AD117" s="26" t="str">
        <f>IF(AND('Supplier selection'!X117="",'Supplier selection'!AE117=""),"",IF('Supplier selection'!X117="",'Supplier selection'!AE117,'Supplier selection'!X117))</f>
        <v/>
      </c>
      <c r="AE117" s="19" t="str">
        <f t="shared" si="16"/>
        <v/>
      </c>
      <c r="AF117" s="19" t="str">
        <f t="shared" si="17"/>
        <v/>
      </c>
      <c r="AG117" s="27" t="str">
        <f>IF(AND('Supplier selection'!AB117="",'Supplier selection'!AI117=""),"",IF('Supplier selection'!AB117="",'Supplier selection'!AI117,'Supplier selection'!AB117))</f>
        <v/>
      </c>
      <c r="AH117" s="28" t="str">
        <f t="shared" si="18"/>
        <v/>
      </c>
      <c r="AI117" s="7" t="str">
        <f t="shared" si="19"/>
        <v/>
      </c>
      <c r="AJ117" s="22" t="str">
        <f t="shared" si="20"/>
        <v/>
      </c>
      <c r="AK117" s="29" t="str">
        <f t="shared" si="21"/>
        <v/>
      </c>
      <c r="AL117" s="10"/>
    </row>
    <row r="118" spans="1:38">
      <c r="A118" s="19">
        <f>IF('Supplier selection'!A118="","",'Supplier selection'!A118)</f>
        <v>114</v>
      </c>
      <c r="B118" s="19" t="str">
        <f>IF('Supplier selection'!B118="","",'Supplier selection'!B118)</f>
        <v/>
      </c>
      <c r="C118" s="19" t="str">
        <f>IF('Supplier selection'!C118="","",'Supplier selection'!C118)</f>
        <v/>
      </c>
      <c r="D118" s="19" t="str">
        <f>IF('Supplier selection'!D118="","",'Supplier selection'!D118)</f>
        <v/>
      </c>
      <c r="E118" s="19" t="str">
        <f>IF('Supplier selection'!E118="","",'Supplier selection'!E118)</f>
        <v/>
      </c>
      <c r="F118" s="19" t="str">
        <f>IF('Supplier selection'!F118="","",'Supplier selection'!F118)</f>
        <v/>
      </c>
      <c r="G118" s="19" t="str">
        <f>IF('Supplier selection'!G118="","",'Supplier selection'!G118)</f>
        <v/>
      </c>
      <c r="H118" s="19" t="str">
        <f>IF('Supplier selection'!H118="","",'Supplier selection'!H118)</f>
        <v/>
      </c>
      <c r="I118" s="19" t="str">
        <f>IF('Supplier selection'!I118="","",'Supplier selection'!I118)</f>
        <v/>
      </c>
      <c r="J118" s="19" t="str">
        <f>IF('Supplier selection'!J118="","",'Supplier selection'!J118)</f>
        <v/>
      </c>
      <c r="K118" s="19" t="str">
        <f>IF('Supplier selection'!K118="","",'Supplier selection'!K118)</f>
        <v/>
      </c>
      <c r="L118" s="19" t="str">
        <f>IF('Supplier selection'!L118="","",'Supplier selection'!L118)</f>
        <v/>
      </c>
      <c r="M118" s="19" t="str">
        <f>IF('Supplier selection'!M118="","",'Supplier selection'!M118)</f>
        <v/>
      </c>
      <c r="N118" s="19" t="str">
        <f>IF('Supplier selection'!N118="","",'Supplier selection'!N118)</f>
        <v/>
      </c>
      <c r="O118" s="19" t="str">
        <f>IF('Supplier selection'!O118="","",'Supplier selection'!O118)</f>
        <v/>
      </c>
      <c r="Q118" s="19" t="str">
        <f>HLOOKUP($Q$3,'Supplier selection'!$AW$4:'Supplier selection'!$CT$1000,$A119,FALSE)</f>
        <v/>
      </c>
      <c r="R118" s="22" t="str">
        <f t="shared" si="11"/>
        <v/>
      </c>
      <c r="S118" s="19" t="str">
        <f t="shared" si="12"/>
        <v/>
      </c>
      <c r="T118" s="22" t="str">
        <f t="shared" si="13"/>
        <v/>
      </c>
      <c r="U118" s="19" t="str">
        <f t="shared" si="14"/>
        <v/>
      </c>
      <c r="V118" s="7"/>
      <c r="Y118" s="19" t="str">
        <f>IF('Supplier selection'!AQ118="","",'Supplier selection'!AQ118)</f>
        <v/>
      </c>
      <c r="Z118" s="19" t="str">
        <f>IF('Supplier selection'!AR118="","",'Supplier selection'!AR118)</f>
        <v/>
      </c>
      <c r="AA118" s="19" t="str">
        <f t="shared" si="15"/>
        <v/>
      </c>
      <c r="AD118" s="26" t="str">
        <f>IF(AND('Supplier selection'!X118="",'Supplier selection'!AE118=""),"",IF('Supplier selection'!X118="",'Supplier selection'!AE118,'Supplier selection'!X118))</f>
        <v/>
      </c>
      <c r="AE118" s="19" t="str">
        <f t="shared" si="16"/>
        <v/>
      </c>
      <c r="AF118" s="19" t="str">
        <f t="shared" si="17"/>
        <v/>
      </c>
      <c r="AG118" s="27" t="str">
        <f>IF(AND('Supplier selection'!AB118="",'Supplier selection'!AI118=""),"",IF('Supplier selection'!AB118="",'Supplier selection'!AI118,'Supplier selection'!AB118))</f>
        <v/>
      </c>
      <c r="AH118" s="28" t="str">
        <f t="shared" si="18"/>
        <v/>
      </c>
      <c r="AI118" s="7" t="str">
        <f t="shared" si="19"/>
        <v/>
      </c>
      <c r="AJ118" s="22" t="str">
        <f t="shared" si="20"/>
        <v/>
      </c>
      <c r="AK118" s="29" t="str">
        <f t="shared" si="21"/>
        <v/>
      </c>
      <c r="AL118" s="10"/>
    </row>
    <row r="119" spans="1:38">
      <c r="A119" s="19">
        <f>IF('Supplier selection'!A119="","",'Supplier selection'!A119)</f>
        <v>115</v>
      </c>
      <c r="B119" s="19" t="str">
        <f>IF('Supplier selection'!B119="","",'Supplier selection'!B119)</f>
        <v/>
      </c>
      <c r="C119" s="19" t="str">
        <f>IF('Supplier selection'!C119="","",'Supplier selection'!C119)</f>
        <v/>
      </c>
      <c r="D119" s="19" t="str">
        <f>IF('Supplier selection'!D119="","",'Supplier selection'!D119)</f>
        <v/>
      </c>
      <c r="E119" s="19" t="str">
        <f>IF('Supplier selection'!E119="","",'Supplier selection'!E119)</f>
        <v/>
      </c>
      <c r="F119" s="19" t="str">
        <f>IF('Supplier selection'!F119="","",'Supplier selection'!F119)</f>
        <v/>
      </c>
      <c r="G119" s="19" t="str">
        <f>IF('Supplier selection'!G119="","",'Supplier selection'!G119)</f>
        <v/>
      </c>
      <c r="H119" s="19" t="str">
        <f>IF('Supplier selection'!H119="","",'Supplier selection'!H119)</f>
        <v/>
      </c>
      <c r="I119" s="19" t="str">
        <f>IF('Supplier selection'!I119="","",'Supplier selection'!I119)</f>
        <v/>
      </c>
      <c r="J119" s="19" t="str">
        <f>IF('Supplier selection'!J119="","",'Supplier selection'!J119)</f>
        <v/>
      </c>
      <c r="K119" s="19" t="str">
        <f>IF('Supplier selection'!K119="","",'Supplier selection'!K119)</f>
        <v/>
      </c>
      <c r="L119" s="19" t="str">
        <f>IF('Supplier selection'!L119="","",'Supplier selection'!L119)</f>
        <v/>
      </c>
      <c r="M119" s="19" t="str">
        <f>IF('Supplier selection'!M119="","",'Supplier selection'!M119)</f>
        <v/>
      </c>
      <c r="N119" s="19" t="str">
        <f>IF('Supplier selection'!N119="","",'Supplier selection'!N119)</f>
        <v/>
      </c>
      <c r="O119" s="19" t="str">
        <f>IF('Supplier selection'!O119="","",'Supplier selection'!O119)</f>
        <v/>
      </c>
      <c r="Q119" s="19" t="str">
        <f>HLOOKUP($Q$3,'Supplier selection'!$AW$4:'Supplier selection'!$CT$1000,$A120,FALSE)</f>
        <v/>
      </c>
      <c r="R119" s="22" t="str">
        <f t="shared" si="11"/>
        <v/>
      </c>
      <c r="S119" s="19" t="str">
        <f t="shared" si="12"/>
        <v/>
      </c>
      <c r="T119" s="22" t="str">
        <f t="shared" si="13"/>
        <v/>
      </c>
      <c r="U119" s="19" t="str">
        <f t="shared" si="14"/>
        <v/>
      </c>
      <c r="V119" s="7"/>
      <c r="Y119" s="19" t="str">
        <f>IF('Supplier selection'!AQ119="","",'Supplier selection'!AQ119)</f>
        <v/>
      </c>
      <c r="Z119" s="19" t="str">
        <f>IF('Supplier selection'!AR119="","",'Supplier selection'!AR119)</f>
        <v/>
      </c>
      <c r="AA119" s="19" t="str">
        <f t="shared" si="15"/>
        <v/>
      </c>
      <c r="AD119" s="26" t="str">
        <f>IF(AND('Supplier selection'!X119="",'Supplier selection'!AE119=""),"",IF('Supplier selection'!X119="",'Supplier selection'!AE119,'Supplier selection'!X119))</f>
        <v/>
      </c>
      <c r="AE119" s="19" t="str">
        <f t="shared" si="16"/>
        <v/>
      </c>
      <c r="AF119" s="19" t="str">
        <f t="shared" si="17"/>
        <v/>
      </c>
      <c r="AG119" s="27" t="str">
        <f>IF(AND('Supplier selection'!AB119="",'Supplier selection'!AI119=""),"",IF('Supplier selection'!AB119="",'Supplier selection'!AI119,'Supplier selection'!AB119))</f>
        <v/>
      </c>
      <c r="AH119" s="28" t="str">
        <f t="shared" si="18"/>
        <v/>
      </c>
      <c r="AI119" s="7" t="str">
        <f t="shared" si="19"/>
        <v/>
      </c>
      <c r="AJ119" s="22" t="str">
        <f t="shared" si="20"/>
        <v/>
      </c>
      <c r="AK119" s="29" t="str">
        <f t="shared" si="21"/>
        <v/>
      </c>
      <c r="AL119" s="10"/>
    </row>
    <row r="120" spans="1:38">
      <c r="A120" s="19">
        <f>IF('Supplier selection'!A120="","",'Supplier selection'!A120)</f>
        <v>116</v>
      </c>
      <c r="B120" s="19" t="str">
        <f>IF('Supplier selection'!B120="","",'Supplier selection'!B120)</f>
        <v/>
      </c>
      <c r="C120" s="19" t="str">
        <f>IF('Supplier selection'!C120="","",'Supplier selection'!C120)</f>
        <v/>
      </c>
      <c r="D120" s="19" t="str">
        <f>IF('Supplier selection'!D120="","",'Supplier selection'!D120)</f>
        <v/>
      </c>
      <c r="E120" s="19" t="str">
        <f>IF('Supplier selection'!E120="","",'Supplier selection'!E120)</f>
        <v/>
      </c>
      <c r="F120" s="19" t="str">
        <f>IF('Supplier selection'!F120="","",'Supplier selection'!F120)</f>
        <v/>
      </c>
      <c r="G120" s="19" t="str">
        <f>IF('Supplier selection'!G120="","",'Supplier selection'!G120)</f>
        <v/>
      </c>
      <c r="H120" s="19" t="str">
        <f>IF('Supplier selection'!H120="","",'Supplier selection'!H120)</f>
        <v/>
      </c>
      <c r="I120" s="19" t="str">
        <f>IF('Supplier selection'!I120="","",'Supplier selection'!I120)</f>
        <v/>
      </c>
      <c r="J120" s="19" t="str">
        <f>IF('Supplier selection'!J120="","",'Supplier selection'!J120)</f>
        <v/>
      </c>
      <c r="K120" s="19" t="str">
        <f>IF('Supplier selection'!K120="","",'Supplier selection'!K120)</f>
        <v/>
      </c>
      <c r="L120" s="19" t="str">
        <f>IF('Supplier selection'!L120="","",'Supplier selection'!L120)</f>
        <v/>
      </c>
      <c r="M120" s="19" t="str">
        <f>IF('Supplier selection'!M120="","",'Supplier selection'!M120)</f>
        <v/>
      </c>
      <c r="N120" s="19" t="str">
        <f>IF('Supplier selection'!N120="","",'Supplier selection'!N120)</f>
        <v/>
      </c>
      <c r="O120" s="19" t="str">
        <f>IF('Supplier selection'!O120="","",'Supplier selection'!O120)</f>
        <v/>
      </c>
      <c r="Q120" s="19" t="str">
        <f>HLOOKUP($Q$3,'Supplier selection'!$AW$4:'Supplier selection'!$CT$1000,$A121,FALSE)</f>
        <v/>
      </c>
      <c r="R120" s="22" t="str">
        <f t="shared" si="11"/>
        <v/>
      </c>
      <c r="S120" s="19" t="str">
        <f t="shared" si="12"/>
        <v/>
      </c>
      <c r="T120" s="22" t="str">
        <f t="shared" si="13"/>
        <v/>
      </c>
      <c r="U120" s="19" t="str">
        <f t="shared" si="14"/>
        <v/>
      </c>
      <c r="V120" s="7"/>
      <c r="Y120" s="19" t="str">
        <f>IF('Supplier selection'!AQ120="","",'Supplier selection'!AQ120)</f>
        <v/>
      </c>
      <c r="Z120" s="19" t="str">
        <f>IF('Supplier selection'!AR120="","",'Supplier selection'!AR120)</f>
        <v/>
      </c>
      <c r="AA120" s="19" t="str">
        <f t="shared" si="15"/>
        <v/>
      </c>
      <c r="AD120" s="26" t="str">
        <f>IF(AND('Supplier selection'!X120="",'Supplier selection'!AE120=""),"",IF('Supplier selection'!X120="",'Supplier selection'!AE120,'Supplier selection'!X120))</f>
        <v/>
      </c>
      <c r="AE120" s="19" t="str">
        <f t="shared" si="16"/>
        <v/>
      </c>
      <c r="AF120" s="19" t="str">
        <f t="shared" si="17"/>
        <v/>
      </c>
      <c r="AG120" s="27" t="str">
        <f>IF(AND('Supplier selection'!AB120="",'Supplier selection'!AI120=""),"",IF('Supplier selection'!AB120="",'Supplier selection'!AI120,'Supplier selection'!AB120))</f>
        <v/>
      </c>
      <c r="AH120" s="28" t="str">
        <f t="shared" si="18"/>
        <v/>
      </c>
      <c r="AI120" s="7" t="str">
        <f t="shared" si="19"/>
        <v/>
      </c>
      <c r="AJ120" s="22" t="str">
        <f t="shared" si="20"/>
        <v/>
      </c>
      <c r="AK120" s="29" t="str">
        <f t="shared" si="21"/>
        <v/>
      </c>
      <c r="AL120" s="10"/>
    </row>
    <row r="121" spans="1:38">
      <c r="A121" s="19">
        <f>IF('Supplier selection'!A121="","",'Supplier selection'!A121)</f>
        <v>117</v>
      </c>
      <c r="B121" s="19" t="str">
        <f>IF('Supplier selection'!B121="","",'Supplier selection'!B121)</f>
        <v/>
      </c>
      <c r="C121" s="19" t="str">
        <f>IF('Supplier selection'!C121="","",'Supplier selection'!C121)</f>
        <v/>
      </c>
      <c r="D121" s="19" t="str">
        <f>IF('Supplier selection'!D121="","",'Supplier selection'!D121)</f>
        <v/>
      </c>
      <c r="E121" s="19" t="str">
        <f>IF('Supplier selection'!E121="","",'Supplier selection'!E121)</f>
        <v/>
      </c>
      <c r="F121" s="19" t="str">
        <f>IF('Supplier selection'!F121="","",'Supplier selection'!F121)</f>
        <v/>
      </c>
      <c r="G121" s="19" t="str">
        <f>IF('Supplier selection'!G121="","",'Supplier selection'!G121)</f>
        <v/>
      </c>
      <c r="H121" s="19" t="str">
        <f>IF('Supplier selection'!H121="","",'Supplier selection'!H121)</f>
        <v/>
      </c>
      <c r="I121" s="19" t="str">
        <f>IF('Supplier selection'!I121="","",'Supplier selection'!I121)</f>
        <v/>
      </c>
      <c r="J121" s="19" t="str">
        <f>IF('Supplier selection'!J121="","",'Supplier selection'!J121)</f>
        <v/>
      </c>
      <c r="K121" s="19" t="str">
        <f>IF('Supplier selection'!K121="","",'Supplier selection'!K121)</f>
        <v/>
      </c>
      <c r="L121" s="19" t="str">
        <f>IF('Supplier selection'!L121="","",'Supplier selection'!L121)</f>
        <v/>
      </c>
      <c r="M121" s="19" t="str">
        <f>IF('Supplier selection'!M121="","",'Supplier selection'!M121)</f>
        <v/>
      </c>
      <c r="N121" s="19" t="str">
        <f>IF('Supplier selection'!N121="","",'Supplier selection'!N121)</f>
        <v/>
      </c>
      <c r="O121" s="19" t="str">
        <f>IF('Supplier selection'!O121="","",'Supplier selection'!O121)</f>
        <v/>
      </c>
      <c r="Q121" s="19" t="str">
        <f>HLOOKUP($Q$3,'Supplier selection'!$AW$4:'Supplier selection'!$CT$1000,$A122,FALSE)</f>
        <v/>
      </c>
      <c r="R121" s="22" t="str">
        <f t="shared" si="11"/>
        <v/>
      </c>
      <c r="S121" s="19" t="str">
        <f t="shared" si="12"/>
        <v/>
      </c>
      <c r="T121" s="22" t="str">
        <f t="shared" si="13"/>
        <v/>
      </c>
      <c r="U121" s="19" t="str">
        <f t="shared" si="14"/>
        <v/>
      </c>
      <c r="V121" s="7"/>
      <c r="Y121" s="19" t="str">
        <f>IF('Supplier selection'!AQ121="","",'Supplier selection'!AQ121)</f>
        <v/>
      </c>
      <c r="Z121" s="19" t="str">
        <f>IF('Supplier selection'!AR121="","",'Supplier selection'!AR121)</f>
        <v/>
      </c>
      <c r="AA121" s="19" t="str">
        <f t="shared" si="15"/>
        <v/>
      </c>
      <c r="AD121" s="26" t="str">
        <f>IF(AND('Supplier selection'!X121="",'Supplier selection'!AE121=""),"",IF('Supplier selection'!X121="",'Supplier selection'!AE121,'Supplier selection'!X121))</f>
        <v/>
      </c>
      <c r="AE121" s="19" t="str">
        <f t="shared" si="16"/>
        <v/>
      </c>
      <c r="AF121" s="19" t="str">
        <f t="shared" si="17"/>
        <v/>
      </c>
      <c r="AG121" s="27" t="str">
        <f>IF(AND('Supplier selection'!AB121="",'Supplier selection'!AI121=""),"",IF('Supplier selection'!AB121="",'Supplier selection'!AI121,'Supplier selection'!AB121))</f>
        <v/>
      </c>
      <c r="AH121" s="28" t="str">
        <f t="shared" si="18"/>
        <v/>
      </c>
      <c r="AI121" s="7" t="str">
        <f t="shared" si="19"/>
        <v/>
      </c>
      <c r="AJ121" s="22" t="str">
        <f t="shared" si="20"/>
        <v/>
      </c>
      <c r="AK121" s="29" t="str">
        <f t="shared" si="21"/>
        <v/>
      </c>
      <c r="AL121" s="10"/>
    </row>
    <row r="122" spans="1:38">
      <c r="A122" s="19">
        <f>IF('Supplier selection'!A122="","",'Supplier selection'!A122)</f>
        <v>118</v>
      </c>
      <c r="B122" s="19" t="str">
        <f>IF('Supplier selection'!B122="","",'Supplier selection'!B122)</f>
        <v/>
      </c>
      <c r="C122" s="19" t="str">
        <f>IF('Supplier selection'!C122="","",'Supplier selection'!C122)</f>
        <v/>
      </c>
      <c r="D122" s="19" t="str">
        <f>IF('Supplier selection'!D122="","",'Supplier selection'!D122)</f>
        <v/>
      </c>
      <c r="E122" s="19" t="str">
        <f>IF('Supplier selection'!E122="","",'Supplier selection'!E122)</f>
        <v/>
      </c>
      <c r="F122" s="19" t="str">
        <f>IF('Supplier selection'!F122="","",'Supplier selection'!F122)</f>
        <v/>
      </c>
      <c r="G122" s="19" t="str">
        <f>IF('Supplier selection'!G122="","",'Supplier selection'!G122)</f>
        <v/>
      </c>
      <c r="H122" s="19" t="str">
        <f>IF('Supplier selection'!H122="","",'Supplier selection'!H122)</f>
        <v/>
      </c>
      <c r="I122" s="19" t="str">
        <f>IF('Supplier selection'!I122="","",'Supplier selection'!I122)</f>
        <v/>
      </c>
      <c r="J122" s="19" t="str">
        <f>IF('Supplier selection'!J122="","",'Supplier selection'!J122)</f>
        <v/>
      </c>
      <c r="K122" s="19" t="str">
        <f>IF('Supplier selection'!K122="","",'Supplier selection'!K122)</f>
        <v/>
      </c>
      <c r="L122" s="19" t="str">
        <f>IF('Supplier selection'!L122="","",'Supplier selection'!L122)</f>
        <v/>
      </c>
      <c r="M122" s="19" t="str">
        <f>IF('Supplier selection'!M122="","",'Supplier selection'!M122)</f>
        <v/>
      </c>
      <c r="N122" s="19" t="str">
        <f>IF('Supplier selection'!N122="","",'Supplier selection'!N122)</f>
        <v/>
      </c>
      <c r="O122" s="19" t="str">
        <f>IF('Supplier selection'!O122="","",'Supplier selection'!O122)</f>
        <v/>
      </c>
      <c r="Q122" s="19" t="str">
        <f>HLOOKUP($Q$3,'Supplier selection'!$AW$4:'Supplier selection'!$CT$1000,$A123,FALSE)</f>
        <v/>
      </c>
      <c r="R122" s="22" t="str">
        <f t="shared" si="11"/>
        <v/>
      </c>
      <c r="S122" s="19" t="str">
        <f t="shared" si="12"/>
        <v/>
      </c>
      <c r="T122" s="22" t="str">
        <f t="shared" si="13"/>
        <v/>
      </c>
      <c r="U122" s="19" t="str">
        <f t="shared" si="14"/>
        <v/>
      </c>
      <c r="V122" s="7"/>
      <c r="Y122" s="19" t="str">
        <f>IF('Supplier selection'!AQ122="","",'Supplier selection'!AQ122)</f>
        <v/>
      </c>
      <c r="Z122" s="19" t="str">
        <f>IF('Supplier selection'!AR122="","",'Supplier selection'!AR122)</f>
        <v/>
      </c>
      <c r="AA122" s="19" t="str">
        <f t="shared" si="15"/>
        <v/>
      </c>
      <c r="AD122" s="26" t="str">
        <f>IF(AND('Supplier selection'!X122="",'Supplier selection'!AE122=""),"",IF('Supplier selection'!X122="",'Supplier selection'!AE122,'Supplier selection'!X122))</f>
        <v/>
      </c>
      <c r="AE122" s="19" t="str">
        <f t="shared" si="16"/>
        <v/>
      </c>
      <c r="AF122" s="19" t="str">
        <f t="shared" si="17"/>
        <v/>
      </c>
      <c r="AG122" s="27" t="str">
        <f>IF(AND('Supplier selection'!AB122="",'Supplier selection'!AI122=""),"",IF('Supplier selection'!AB122="",'Supplier selection'!AI122,'Supplier selection'!AB122))</f>
        <v/>
      </c>
      <c r="AH122" s="28" t="str">
        <f t="shared" si="18"/>
        <v/>
      </c>
      <c r="AI122" s="7" t="str">
        <f t="shared" si="19"/>
        <v/>
      </c>
      <c r="AJ122" s="22" t="str">
        <f t="shared" si="20"/>
        <v/>
      </c>
      <c r="AK122" s="29" t="str">
        <f t="shared" si="21"/>
        <v/>
      </c>
      <c r="AL122" s="10"/>
    </row>
    <row r="123" spans="1:38">
      <c r="A123" s="19">
        <f>IF('Supplier selection'!A123="","",'Supplier selection'!A123)</f>
        <v>119</v>
      </c>
      <c r="B123" s="19" t="str">
        <f>IF('Supplier selection'!B123="","",'Supplier selection'!B123)</f>
        <v/>
      </c>
      <c r="C123" s="19" t="str">
        <f>IF('Supplier selection'!C123="","",'Supplier selection'!C123)</f>
        <v/>
      </c>
      <c r="D123" s="19" t="str">
        <f>IF('Supplier selection'!D123="","",'Supplier selection'!D123)</f>
        <v/>
      </c>
      <c r="E123" s="19" t="str">
        <f>IF('Supplier selection'!E123="","",'Supplier selection'!E123)</f>
        <v/>
      </c>
      <c r="F123" s="19" t="str">
        <f>IF('Supplier selection'!F123="","",'Supplier selection'!F123)</f>
        <v/>
      </c>
      <c r="G123" s="19" t="str">
        <f>IF('Supplier selection'!G123="","",'Supplier selection'!G123)</f>
        <v/>
      </c>
      <c r="H123" s="19" t="str">
        <f>IF('Supplier selection'!H123="","",'Supplier selection'!H123)</f>
        <v/>
      </c>
      <c r="I123" s="19" t="str">
        <f>IF('Supplier selection'!I123="","",'Supplier selection'!I123)</f>
        <v/>
      </c>
      <c r="J123" s="19" t="str">
        <f>IF('Supplier selection'!J123="","",'Supplier selection'!J123)</f>
        <v/>
      </c>
      <c r="K123" s="19" t="str">
        <f>IF('Supplier selection'!K123="","",'Supplier selection'!K123)</f>
        <v/>
      </c>
      <c r="L123" s="19" t="str">
        <f>IF('Supplier selection'!L123="","",'Supplier selection'!L123)</f>
        <v/>
      </c>
      <c r="M123" s="19" t="str">
        <f>IF('Supplier selection'!M123="","",'Supplier selection'!M123)</f>
        <v/>
      </c>
      <c r="N123" s="19" t="str">
        <f>IF('Supplier selection'!N123="","",'Supplier selection'!N123)</f>
        <v/>
      </c>
      <c r="O123" s="19" t="str">
        <f>IF('Supplier selection'!O123="","",'Supplier selection'!O123)</f>
        <v/>
      </c>
      <c r="Q123" s="19" t="str">
        <f>HLOOKUP($Q$3,'Supplier selection'!$AW$4:'Supplier selection'!$CT$1000,$A124,FALSE)</f>
        <v/>
      </c>
      <c r="R123" s="22" t="str">
        <f t="shared" si="11"/>
        <v/>
      </c>
      <c r="S123" s="19" t="str">
        <f t="shared" si="12"/>
        <v/>
      </c>
      <c r="T123" s="22" t="str">
        <f t="shared" si="13"/>
        <v/>
      </c>
      <c r="U123" s="19" t="str">
        <f t="shared" si="14"/>
        <v/>
      </c>
      <c r="V123" s="7"/>
      <c r="Y123" s="19" t="str">
        <f>IF('Supplier selection'!AQ123="","",'Supplier selection'!AQ123)</f>
        <v/>
      </c>
      <c r="Z123" s="19" t="str">
        <f>IF('Supplier selection'!AR123="","",'Supplier selection'!AR123)</f>
        <v/>
      </c>
      <c r="AA123" s="19" t="str">
        <f t="shared" si="15"/>
        <v/>
      </c>
      <c r="AD123" s="26" t="str">
        <f>IF(AND('Supplier selection'!X123="",'Supplier selection'!AE123=""),"",IF('Supplier selection'!X123="",'Supplier selection'!AE123,'Supplier selection'!X123))</f>
        <v/>
      </c>
      <c r="AE123" s="19" t="str">
        <f t="shared" si="16"/>
        <v/>
      </c>
      <c r="AF123" s="19" t="str">
        <f t="shared" si="17"/>
        <v/>
      </c>
      <c r="AG123" s="27" t="str">
        <f>IF(AND('Supplier selection'!AB123="",'Supplier selection'!AI123=""),"",IF('Supplier selection'!AB123="",'Supplier selection'!AI123,'Supplier selection'!AB123))</f>
        <v/>
      </c>
      <c r="AH123" s="28" t="str">
        <f t="shared" si="18"/>
        <v/>
      </c>
      <c r="AI123" s="7" t="str">
        <f t="shared" si="19"/>
        <v/>
      </c>
      <c r="AJ123" s="22" t="str">
        <f t="shared" si="20"/>
        <v/>
      </c>
      <c r="AK123" s="29" t="str">
        <f t="shared" si="21"/>
        <v/>
      </c>
      <c r="AL123" s="10"/>
    </row>
    <row r="124" spans="1:38">
      <c r="A124" s="19">
        <f>IF('Supplier selection'!A124="","",'Supplier selection'!A124)</f>
        <v>120</v>
      </c>
      <c r="B124" s="19" t="str">
        <f>IF('Supplier selection'!B124="","",'Supplier selection'!B124)</f>
        <v/>
      </c>
      <c r="C124" s="19" t="str">
        <f>IF('Supplier selection'!C124="","",'Supplier selection'!C124)</f>
        <v/>
      </c>
      <c r="D124" s="19" t="str">
        <f>IF('Supplier selection'!D124="","",'Supplier selection'!D124)</f>
        <v/>
      </c>
      <c r="E124" s="19" t="str">
        <f>IF('Supplier selection'!E124="","",'Supplier selection'!E124)</f>
        <v/>
      </c>
      <c r="F124" s="19" t="str">
        <f>IF('Supplier selection'!F124="","",'Supplier selection'!F124)</f>
        <v/>
      </c>
      <c r="G124" s="19" t="str">
        <f>IF('Supplier selection'!G124="","",'Supplier selection'!G124)</f>
        <v/>
      </c>
      <c r="H124" s="19" t="str">
        <f>IF('Supplier selection'!H124="","",'Supplier selection'!H124)</f>
        <v/>
      </c>
      <c r="I124" s="19" t="str">
        <f>IF('Supplier selection'!I124="","",'Supplier selection'!I124)</f>
        <v/>
      </c>
      <c r="J124" s="19" t="str">
        <f>IF('Supplier selection'!J124="","",'Supplier selection'!J124)</f>
        <v/>
      </c>
      <c r="K124" s="19" t="str">
        <f>IF('Supplier selection'!K124="","",'Supplier selection'!K124)</f>
        <v/>
      </c>
      <c r="L124" s="19" t="str">
        <f>IF('Supplier selection'!L124="","",'Supplier selection'!L124)</f>
        <v/>
      </c>
      <c r="M124" s="19" t="str">
        <f>IF('Supplier selection'!M124="","",'Supplier selection'!M124)</f>
        <v/>
      </c>
      <c r="N124" s="19" t="str">
        <f>IF('Supplier selection'!N124="","",'Supplier selection'!N124)</f>
        <v/>
      </c>
      <c r="O124" s="19" t="str">
        <f>IF('Supplier selection'!O124="","",'Supplier selection'!O124)</f>
        <v/>
      </c>
      <c r="Q124" s="19" t="str">
        <f>HLOOKUP($Q$3,'Supplier selection'!$AW$4:'Supplier selection'!$CT$1000,$A125,FALSE)</f>
        <v/>
      </c>
      <c r="R124" s="22" t="str">
        <f t="shared" si="11"/>
        <v/>
      </c>
      <c r="S124" s="19" t="str">
        <f t="shared" si="12"/>
        <v/>
      </c>
      <c r="T124" s="22" t="str">
        <f t="shared" si="13"/>
        <v/>
      </c>
      <c r="U124" s="19" t="str">
        <f t="shared" si="14"/>
        <v/>
      </c>
      <c r="V124" s="7"/>
      <c r="Y124" s="19" t="str">
        <f>IF('Supplier selection'!AQ124="","",'Supplier selection'!AQ124)</f>
        <v/>
      </c>
      <c r="Z124" s="19" t="str">
        <f>IF('Supplier selection'!AR124="","",'Supplier selection'!AR124)</f>
        <v/>
      </c>
      <c r="AA124" s="19" t="str">
        <f t="shared" si="15"/>
        <v/>
      </c>
      <c r="AD124" s="26" t="str">
        <f>IF(AND('Supplier selection'!X124="",'Supplier selection'!AE124=""),"",IF('Supplier selection'!X124="",'Supplier selection'!AE124,'Supplier selection'!X124))</f>
        <v/>
      </c>
      <c r="AE124" s="19" t="str">
        <f t="shared" si="16"/>
        <v/>
      </c>
      <c r="AF124" s="19" t="str">
        <f t="shared" si="17"/>
        <v/>
      </c>
      <c r="AG124" s="27" t="str">
        <f>IF(AND('Supplier selection'!AB124="",'Supplier selection'!AI124=""),"",IF('Supplier selection'!AB124="",'Supplier selection'!AI124,'Supplier selection'!AB124))</f>
        <v/>
      </c>
      <c r="AH124" s="28" t="str">
        <f t="shared" si="18"/>
        <v/>
      </c>
      <c r="AI124" s="7" t="str">
        <f t="shared" si="19"/>
        <v/>
      </c>
      <c r="AJ124" s="22" t="str">
        <f t="shared" si="20"/>
        <v/>
      </c>
      <c r="AK124" s="29" t="str">
        <f t="shared" si="21"/>
        <v/>
      </c>
      <c r="AL124" s="10"/>
    </row>
    <row r="125" spans="1:38">
      <c r="A125" s="19">
        <f>IF('Supplier selection'!A125="","",'Supplier selection'!A125)</f>
        <v>121</v>
      </c>
      <c r="B125" s="19" t="str">
        <f>IF('Supplier selection'!B125="","",'Supplier selection'!B125)</f>
        <v/>
      </c>
      <c r="C125" s="19" t="str">
        <f>IF('Supplier selection'!C125="","",'Supplier selection'!C125)</f>
        <v/>
      </c>
      <c r="D125" s="19" t="str">
        <f>IF('Supplier selection'!D125="","",'Supplier selection'!D125)</f>
        <v/>
      </c>
      <c r="E125" s="19" t="str">
        <f>IF('Supplier selection'!E125="","",'Supplier selection'!E125)</f>
        <v/>
      </c>
      <c r="F125" s="19" t="str">
        <f>IF('Supplier selection'!F125="","",'Supplier selection'!F125)</f>
        <v/>
      </c>
      <c r="G125" s="19" t="str">
        <f>IF('Supplier selection'!G125="","",'Supplier selection'!G125)</f>
        <v/>
      </c>
      <c r="H125" s="19" t="str">
        <f>IF('Supplier selection'!H125="","",'Supplier selection'!H125)</f>
        <v/>
      </c>
      <c r="I125" s="19" t="str">
        <f>IF('Supplier selection'!I125="","",'Supplier selection'!I125)</f>
        <v/>
      </c>
      <c r="J125" s="19" t="str">
        <f>IF('Supplier selection'!J125="","",'Supplier selection'!J125)</f>
        <v/>
      </c>
      <c r="K125" s="19" t="str">
        <f>IF('Supplier selection'!K125="","",'Supplier selection'!K125)</f>
        <v/>
      </c>
      <c r="L125" s="19" t="str">
        <f>IF('Supplier selection'!L125="","",'Supplier selection'!L125)</f>
        <v/>
      </c>
      <c r="M125" s="19" t="str">
        <f>IF('Supplier selection'!M125="","",'Supplier selection'!M125)</f>
        <v/>
      </c>
      <c r="N125" s="19" t="str">
        <f>IF('Supplier selection'!N125="","",'Supplier selection'!N125)</f>
        <v/>
      </c>
      <c r="O125" s="19" t="str">
        <f>IF('Supplier selection'!O125="","",'Supplier selection'!O125)</f>
        <v/>
      </c>
      <c r="Q125" s="19" t="str">
        <f>HLOOKUP($Q$3,'Supplier selection'!$AW$4:'Supplier selection'!$CT$1000,$A126,FALSE)</f>
        <v/>
      </c>
      <c r="R125" s="22" t="str">
        <f t="shared" si="11"/>
        <v/>
      </c>
      <c r="S125" s="19" t="str">
        <f t="shared" si="12"/>
        <v/>
      </c>
      <c r="T125" s="22" t="str">
        <f t="shared" si="13"/>
        <v/>
      </c>
      <c r="U125" s="19" t="str">
        <f t="shared" si="14"/>
        <v/>
      </c>
      <c r="V125" s="7"/>
      <c r="Y125" s="19" t="str">
        <f>IF('Supplier selection'!AQ125="","",'Supplier selection'!AQ125)</f>
        <v/>
      </c>
      <c r="Z125" s="19" t="str">
        <f>IF('Supplier selection'!AR125="","",'Supplier selection'!AR125)</f>
        <v/>
      </c>
      <c r="AA125" s="19" t="str">
        <f t="shared" si="15"/>
        <v/>
      </c>
      <c r="AD125" s="26" t="str">
        <f>IF(AND('Supplier selection'!X125="",'Supplier selection'!AE125=""),"",IF('Supplier selection'!X125="",'Supplier selection'!AE125,'Supplier selection'!X125))</f>
        <v/>
      </c>
      <c r="AE125" s="19" t="str">
        <f t="shared" si="16"/>
        <v/>
      </c>
      <c r="AF125" s="19" t="str">
        <f t="shared" si="17"/>
        <v/>
      </c>
      <c r="AG125" s="27" t="str">
        <f>IF(AND('Supplier selection'!AB125="",'Supplier selection'!AI125=""),"",IF('Supplier selection'!AB125="",'Supplier selection'!AI125,'Supplier selection'!AB125))</f>
        <v/>
      </c>
      <c r="AH125" s="28" t="str">
        <f t="shared" si="18"/>
        <v/>
      </c>
      <c r="AI125" s="7" t="str">
        <f t="shared" si="19"/>
        <v/>
      </c>
      <c r="AJ125" s="22" t="str">
        <f t="shared" si="20"/>
        <v/>
      </c>
      <c r="AK125" s="29" t="str">
        <f t="shared" si="21"/>
        <v/>
      </c>
      <c r="AL125" s="10"/>
    </row>
    <row r="126" spans="1:38">
      <c r="A126" s="19">
        <f>IF('Supplier selection'!A126="","",'Supplier selection'!A126)</f>
        <v>122</v>
      </c>
      <c r="B126" s="19" t="str">
        <f>IF('Supplier selection'!B126="","",'Supplier selection'!B126)</f>
        <v/>
      </c>
      <c r="C126" s="19" t="str">
        <f>IF('Supplier selection'!C126="","",'Supplier selection'!C126)</f>
        <v/>
      </c>
      <c r="D126" s="19" t="str">
        <f>IF('Supplier selection'!D126="","",'Supplier selection'!D126)</f>
        <v/>
      </c>
      <c r="E126" s="19" t="str">
        <f>IF('Supplier selection'!E126="","",'Supplier selection'!E126)</f>
        <v/>
      </c>
      <c r="F126" s="19" t="str">
        <f>IF('Supplier selection'!F126="","",'Supplier selection'!F126)</f>
        <v/>
      </c>
      <c r="G126" s="19" t="str">
        <f>IF('Supplier selection'!G126="","",'Supplier selection'!G126)</f>
        <v/>
      </c>
      <c r="H126" s="19" t="str">
        <f>IF('Supplier selection'!H126="","",'Supplier selection'!H126)</f>
        <v/>
      </c>
      <c r="I126" s="19" t="str">
        <f>IF('Supplier selection'!I126="","",'Supplier selection'!I126)</f>
        <v/>
      </c>
      <c r="J126" s="19" t="str">
        <f>IF('Supplier selection'!J126="","",'Supplier selection'!J126)</f>
        <v/>
      </c>
      <c r="K126" s="19" t="str">
        <f>IF('Supplier selection'!K126="","",'Supplier selection'!K126)</f>
        <v/>
      </c>
      <c r="L126" s="19" t="str">
        <f>IF('Supplier selection'!L126="","",'Supplier selection'!L126)</f>
        <v/>
      </c>
      <c r="M126" s="19" t="str">
        <f>IF('Supplier selection'!M126="","",'Supplier selection'!M126)</f>
        <v/>
      </c>
      <c r="N126" s="19" t="str">
        <f>IF('Supplier selection'!N126="","",'Supplier selection'!N126)</f>
        <v/>
      </c>
      <c r="O126" s="19" t="str">
        <f>IF('Supplier selection'!O126="","",'Supplier selection'!O126)</f>
        <v/>
      </c>
      <c r="Q126" s="19" t="str">
        <f>HLOOKUP($Q$3,'Supplier selection'!$AW$4:'Supplier selection'!$CT$1000,$A127,FALSE)</f>
        <v/>
      </c>
      <c r="R126" s="22" t="str">
        <f t="shared" si="11"/>
        <v/>
      </c>
      <c r="S126" s="19" t="str">
        <f t="shared" si="12"/>
        <v/>
      </c>
      <c r="T126" s="22" t="str">
        <f t="shared" si="13"/>
        <v/>
      </c>
      <c r="U126" s="19" t="str">
        <f t="shared" si="14"/>
        <v/>
      </c>
      <c r="V126" s="7"/>
      <c r="Y126" s="19" t="str">
        <f>IF('Supplier selection'!AQ126="","",'Supplier selection'!AQ126)</f>
        <v/>
      </c>
      <c r="Z126" s="19" t="str">
        <f>IF('Supplier selection'!AR126="","",'Supplier selection'!AR126)</f>
        <v/>
      </c>
      <c r="AA126" s="19" t="str">
        <f t="shared" si="15"/>
        <v/>
      </c>
      <c r="AD126" s="26" t="str">
        <f>IF(AND('Supplier selection'!X126="",'Supplier selection'!AE126=""),"",IF('Supplier selection'!X126="",'Supplier selection'!AE126,'Supplier selection'!X126))</f>
        <v/>
      </c>
      <c r="AE126" s="19" t="str">
        <f t="shared" si="16"/>
        <v/>
      </c>
      <c r="AF126" s="19" t="str">
        <f t="shared" si="17"/>
        <v/>
      </c>
      <c r="AG126" s="27" t="str">
        <f>IF(AND('Supplier selection'!AB126="",'Supplier selection'!AI126=""),"",IF('Supplier selection'!AB126="",'Supplier selection'!AI126,'Supplier selection'!AB126))</f>
        <v/>
      </c>
      <c r="AH126" s="28" t="str">
        <f t="shared" si="18"/>
        <v/>
      </c>
      <c r="AI126" s="7" t="str">
        <f t="shared" si="19"/>
        <v/>
      </c>
      <c r="AJ126" s="22" t="str">
        <f t="shared" si="20"/>
        <v/>
      </c>
      <c r="AK126" s="29" t="str">
        <f t="shared" si="21"/>
        <v/>
      </c>
      <c r="AL126" s="10"/>
    </row>
    <row r="127" spans="1:38">
      <c r="A127" s="19">
        <f>IF('Supplier selection'!A127="","",'Supplier selection'!A127)</f>
        <v>123</v>
      </c>
      <c r="B127" s="19" t="str">
        <f>IF('Supplier selection'!B127="","",'Supplier selection'!B127)</f>
        <v/>
      </c>
      <c r="C127" s="19" t="str">
        <f>IF('Supplier selection'!C127="","",'Supplier selection'!C127)</f>
        <v/>
      </c>
      <c r="D127" s="19" t="str">
        <f>IF('Supplier selection'!D127="","",'Supplier selection'!D127)</f>
        <v/>
      </c>
      <c r="E127" s="19" t="str">
        <f>IF('Supplier selection'!E127="","",'Supplier selection'!E127)</f>
        <v/>
      </c>
      <c r="F127" s="19" t="str">
        <f>IF('Supplier selection'!F127="","",'Supplier selection'!F127)</f>
        <v/>
      </c>
      <c r="G127" s="19" t="str">
        <f>IF('Supplier selection'!G127="","",'Supplier selection'!G127)</f>
        <v/>
      </c>
      <c r="H127" s="19" t="str">
        <f>IF('Supplier selection'!H127="","",'Supplier selection'!H127)</f>
        <v/>
      </c>
      <c r="I127" s="19" t="str">
        <f>IF('Supplier selection'!I127="","",'Supplier selection'!I127)</f>
        <v/>
      </c>
      <c r="J127" s="19" t="str">
        <f>IF('Supplier selection'!J127="","",'Supplier selection'!J127)</f>
        <v/>
      </c>
      <c r="K127" s="19" t="str">
        <f>IF('Supplier selection'!K127="","",'Supplier selection'!K127)</f>
        <v/>
      </c>
      <c r="L127" s="19" t="str">
        <f>IF('Supplier selection'!L127="","",'Supplier selection'!L127)</f>
        <v/>
      </c>
      <c r="M127" s="19" t="str">
        <f>IF('Supplier selection'!M127="","",'Supplier selection'!M127)</f>
        <v/>
      </c>
      <c r="N127" s="19" t="str">
        <f>IF('Supplier selection'!N127="","",'Supplier selection'!N127)</f>
        <v/>
      </c>
      <c r="O127" s="19" t="str">
        <f>IF('Supplier selection'!O127="","",'Supplier selection'!O127)</f>
        <v/>
      </c>
      <c r="Q127" s="19" t="str">
        <f>HLOOKUP($Q$3,'Supplier selection'!$AW$4:'Supplier selection'!$CT$1000,$A128,FALSE)</f>
        <v/>
      </c>
      <c r="R127" s="22" t="str">
        <f t="shared" si="11"/>
        <v/>
      </c>
      <c r="S127" s="19" t="str">
        <f t="shared" si="12"/>
        <v/>
      </c>
      <c r="T127" s="22" t="str">
        <f t="shared" si="13"/>
        <v/>
      </c>
      <c r="U127" s="19" t="str">
        <f t="shared" si="14"/>
        <v/>
      </c>
      <c r="V127" s="7"/>
      <c r="Y127" s="19" t="str">
        <f>IF('Supplier selection'!AQ127="","",'Supplier selection'!AQ127)</f>
        <v/>
      </c>
      <c r="Z127" s="19" t="str">
        <f>IF('Supplier selection'!AR127="","",'Supplier selection'!AR127)</f>
        <v/>
      </c>
      <c r="AA127" s="19" t="str">
        <f t="shared" si="15"/>
        <v/>
      </c>
      <c r="AD127" s="26" t="str">
        <f>IF(AND('Supplier selection'!X127="",'Supplier selection'!AE127=""),"",IF('Supplier selection'!X127="",'Supplier selection'!AE127,'Supplier selection'!X127))</f>
        <v/>
      </c>
      <c r="AE127" s="19" t="str">
        <f t="shared" si="16"/>
        <v/>
      </c>
      <c r="AF127" s="19" t="str">
        <f t="shared" si="17"/>
        <v/>
      </c>
      <c r="AG127" s="27" t="str">
        <f>IF(AND('Supplier selection'!AB127="",'Supplier selection'!AI127=""),"",IF('Supplier selection'!AB127="",'Supplier selection'!AI127,'Supplier selection'!AB127))</f>
        <v/>
      </c>
      <c r="AH127" s="28" t="str">
        <f t="shared" si="18"/>
        <v/>
      </c>
      <c r="AI127" s="7" t="str">
        <f t="shared" si="19"/>
        <v/>
      </c>
      <c r="AJ127" s="22" t="str">
        <f t="shared" si="20"/>
        <v/>
      </c>
      <c r="AK127" s="29" t="str">
        <f t="shared" si="21"/>
        <v/>
      </c>
      <c r="AL127" s="10"/>
    </row>
    <row r="128" spans="1:38">
      <c r="A128" s="19">
        <f>IF('Supplier selection'!A128="","",'Supplier selection'!A128)</f>
        <v>124</v>
      </c>
      <c r="B128" s="19" t="str">
        <f>IF('Supplier selection'!B128="","",'Supplier selection'!B128)</f>
        <v/>
      </c>
      <c r="C128" s="19" t="str">
        <f>IF('Supplier selection'!C128="","",'Supplier selection'!C128)</f>
        <v/>
      </c>
      <c r="D128" s="19" t="str">
        <f>IF('Supplier selection'!D128="","",'Supplier selection'!D128)</f>
        <v/>
      </c>
      <c r="E128" s="19" t="str">
        <f>IF('Supplier selection'!E128="","",'Supplier selection'!E128)</f>
        <v/>
      </c>
      <c r="F128" s="19" t="str">
        <f>IF('Supplier selection'!F128="","",'Supplier selection'!F128)</f>
        <v/>
      </c>
      <c r="G128" s="19" t="str">
        <f>IF('Supplier selection'!G128="","",'Supplier selection'!G128)</f>
        <v/>
      </c>
      <c r="H128" s="19" t="str">
        <f>IF('Supplier selection'!H128="","",'Supplier selection'!H128)</f>
        <v/>
      </c>
      <c r="I128" s="19" t="str">
        <f>IF('Supplier selection'!I128="","",'Supplier selection'!I128)</f>
        <v/>
      </c>
      <c r="J128" s="19" t="str">
        <f>IF('Supplier selection'!J128="","",'Supplier selection'!J128)</f>
        <v/>
      </c>
      <c r="K128" s="19" t="str">
        <f>IF('Supplier selection'!K128="","",'Supplier selection'!K128)</f>
        <v/>
      </c>
      <c r="L128" s="19" t="str">
        <f>IF('Supplier selection'!L128="","",'Supplier selection'!L128)</f>
        <v/>
      </c>
      <c r="M128" s="19" t="str">
        <f>IF('Supplier selection'!M128="","",'Supplier selection'!M128)</f>
        <v/>
      </c>
      <c r="N128" s="19" t="str">
        <f>IF('Supplier selection'!N128="","",'Supplier selection'!N128)</f>
        <v/>
      </c>
      <c r="O128" s="19" t="str">
        <f>IF('Supplier selection'!O128="","",'Supplier selection'!O128)</f>
        <v/>
      </c>
      <c r="Q128" s="19" t="str">
        <f>HLOOKUP($Q$3,'Supplier selection'!$AW$4:'Supplier selection'!$CT$1000,$A129,FALSE)</f>
        <v/>
      </c>
      <c r="R128" s="22" t="str">
        <f t="shared" si="11"/>
        <v/>
      </c>
      <c r="S128" s="19" t="str">
        <f t="shared" si="12"/>
        <v/>
      </c>
      <c r="T128" s="22" t="str">
        <f t="shared" si="13"/>
        <v/>
      </c>
      <c r="U128" s="19" t="str">
        <f t="shared" si="14"/>
        <v/>
      </c>
      <c r="V128" s="7"/>
      <c r="Y128" s="19" t="str">
        <f>IF('Supplier selection'!AQ128="","",'Supplier selection'!AQ128)</f>
        <v/>
      </c>
      <c r="Z128" s="19" t="str">
        <f>IF('Supplier selection'!AR128="","",'Supplier selection'!AR128)</f>
        <v/>
      </c>
      <c r="AA128" s="19" t="str">
        <f t="shared" si="15"/>
        <v/>
      </c>
      <c r="AD128" s="26" t="str">
        <f>IF(AND('Supplier selection'!X128="",'Supplier selection'!AE128=""),"",IF('Supplier selection'!X128="",'Supplier selection'!AE128,'Supplier selection'!X128))</f>
        <v/>
      </c>
      <c r="AE128" s="19" t="str">
        <f t="shared" si="16"/>
        <v/>
      </c>
      <c r="AF128" s="19" t="str">
        <f t="shared" si="17"/>
        <v/>
      </c>
      <c r="AG128" s="27" t="str">
        <f>IF(AND('Supplier selection'!AB128="",'Supplier selection'!AI128=""),"",IF('Supplier selection'!AB128="",'Supplier selection'!AI128,'Supplier selection'!AB128))</f>
        <v/>
      </c>
      <c r="AH128" s="28" t="str">
        <f t="shared" si="18"/>
        <v/>
      </c>
      <c r="AI128" s="7" t="str">
        <f t="shared" si="19"/>
        <v/>
      </c>
      <c r="AJ128" s="22" t="str">
        <f t="shared" si="20"/>
        <v/>
      </c>
      <c r="AK128" s="29" t="str">
        <f t="shared" si="21"/>
        <v/>
      </c>
      <c r="AL128" s="10"/>
    </row>
    <row r="129" spans="1:38">
      <c r="A129" s="19">
        <f>IF('Supplier selection'!A129="","",'Supplier selection'!A129)</f>
        <v>125</v>
      </c>
      <c r="B129" s="19" t="str">
        <f>IF('Supplier selection'!B129="","",'Supplier selection'!B129)</f>
        <v/>
      </c>
      <c r="C129" s="19" t="str">
        <f>IF('Supplier selection'!C129="","",'Supplier selection'!C129)</f>
        <v/>
      </c>
      <c r="D129" s="19" t="str">
        <f>IF('Supplier selection'!D129="","",'Supplier selection'!D129)</f>
        <v/>
      </c>
      <c r="E129" s="19" t="str">
        <f>IF('Supplier selection'!E129="","",'Supplier selection'!E129)</f>
        <v/>
      </c>
      <c r="F129" s="19" t="str">
        <f>IF('Supplier selection'!F129="","",'Supplier selection'!F129)</f>
        <v/>
      </c>
      <c r="G129" s="19" t="str">
        <f>IF('Supplier selection'!G129="","",'Supplier selection'!G129)</f>
        <v/>
      </c>
      <c r="H129" s="19" t="str">
        <f>IF('Supplier selection'!H129="","",'Supplier selection'!H129)</f>
        <v/>
      </c>
      <c r="I129" s="19" t="str">
        <f>IF('Supplier selection'!I129="","",'Supplier selection'!I129)</f>
        <v/>
      </c>
      <c r="J129" s="19" t="str">
        <f>IF('Supplier selection'!J129="","",'Supplier selection'!J129)</f>
        <v/>
      </c>
      <c r="K129" s="19" t="str">
        <f>IF('Supplier selection'!K129="","",'Supplier selection'!K129)</f>
        <v/>
      </c>
      <c r="L129" s="19" t="str">
        <f>IF('Supplier selection'!L129="","",'Supplier selection'!L129)</f>
        <v/>
      </c>
      <c r="M129" s="19" t="str">
        <f>IF('Supplier selection'!M129="","",'Supplier selection'!M129)</f>
        <v/>
      </c>
      <c r="N129" s="19" t="str">
        <f>IF('Supplier selection'!N129="","",'Supplier selection'!N129)</f>
        <v/>
      </c>
      <c r="O129" s="19" t="str">
        <f>IF('Supplier selection'!O129="","",'Supplier selection'!O129)</f>
        <v/>
      </c>
      <c r="Q129" s="19" t="str">
        <f>HLOOKUP($Q$3,'Supplier selection'!$AW$4:'Supplier selection'!$CT$1000,$A130,FALSE)</f>
        <v/>
      </c>
      <c r="R129" s="22" t="str">
        <f t="shared" si="11"/>
        <v/>
      </c>
      <c r="S129" s="19" t="str">
        <f t="shared" si="12"/>
        <v/>
      </c>
      <c r="T129" s="22" t="str">
        <f t="shared" si="13"/>
        <v/>
      </c>
      <c r="U129" s="19" t="str">
        <f t="shared" si="14"/>
        <v/>
      </c>
      <c r="V129" s="7"/>
      <c r="Y129" s="19" t="str">
        <f>IF('Supplier selection'!AQ129="","",'Supplier selection'!AQ129)</f>
        <v/>
      </c>
      <c r="Z129" s="19" t="str">
        <f>IF('Supplier selection'!AR129="","",'Supplier selection'!AR129)</f>
        <v/>
      </c>
      <c r="AA129" s="19" t="str">
        <f t="shared" si="15"/>
        <v/>
      </c>
      <c r="AD129" s="26" t="str">
        <f>IF(AND('Supplier selection'!X129="",'Supplier selection'!AE129=""),"",IF('Supplier selection'!X129="",'Supplier selection'!AE129,'Supplier selection'!X129))</f>
        <v/>
      </c>
      <c r="AE129" s="19" t="str">
        <f t="shared" si="16"/>
        <v/>
      </c>
      <c r="AF129" s="19" t="str">
        <f t="shared" si="17"/>
        <v/>
      </c>
      <c r="AG129" s="27" t="str">
        <f>IF(AND('Supplier selection'!AB129="",'Supplier selection'!AI129=""),"",IF('Supplier selection'!AB129="",'Supplier selection'!AI129,'Supplier selection'!AB129))</f>
        <v/>
      </c>
      <c r="AH129" s="28" t="str">
        <f t="shared" si="18"/>
        <v/>
      </c>
      <c r="AI129" s="7" t="str">
        <f t="shared" si="19"/>
        <v/>
      </c>
      <c r="AJ129" s="22" t="str">
        <f t="shared" si="20"/>
        <v/>
      </c>
      <c r="AK129" s="29" t="str">
        <f t="shared" si="21"/>
        <v/>
      </c>
      <c r="AL129" s="10"/>
    </row>
    <row r="130" spans="1:38">
      <c r="A130" s="19">
        <f>IF('Supplier selection'!A130="","",'Supplier selection'!A130)</f>
        <v>126</v>
      </c>
      <c r="B130" s="19" t="str">
        <f>IF('Supplier selection'!B130="","",'Supplier selection'!B130)</f>
        <v/>
      </c>
      <c r="C130" s="19" t="str">
        <f>IF('Supplier selection'!C130="","",'Supplier selection'!C130)</f>
        <v/>
      </c>
      <c r="D130" s="19" t="str">
        <f>IF('Supplier selection'!D130="","",'Supplier selection'!D130)</f>
        <v/>
      </c>
      <c r="E130" s="19" t="str">
        <f>IF('Supplier selection'!E130="","",'Supplier selection'!E130)</f>
        <v/>
      </c>
      <c r="F130" s="19" t="str">
        <f>IF('Supplier selection'!F130="","",'Supplier selection'!F130)</f>
        <v/>
      </c>
      <c r="G130" s="19" t="str">
        <f>IF('Supplier selection'!G130="","",'Supplier selection'!G130)</f>
        <v/>
      </c>
      <c r="H130" s="19" t="str">
        <f>IF('Supplier selection'!H130="","",'Supplier selection'!H130)</f>
        <v/>
      </c>
      <c r="I130" s="19" t="str">
        <f>IF('Supplier selection'!I130="","",'Supplier selection'!I130)</f>
        <v/>
      </c>
      <c r="J130" s="19" t="str">
        <f>IF('Supplier selection'!J130="","",'Supplier selection'!J130)</f>
        <v/>
      </c>
      <c r="K130" s="19" t="str">
        <f>IF('Supplier selection'!K130="","",'Supplier selection'!K130)</f>
        <v/>
      </c>
      <c r="L130" s="19" t="str">
        <f>IF('Supplier selection'!L130="","",'Supplier selection'!L130)</f>
        <v/>
      </c>
      <c r="M130" s="19" t="str">
        <f>IF('Supplier selection'!M130="","",'Supplier selection'!M130)</f>
        <v/>
      </c>
      <c r="N130" s="19" t="str">
        <f>IF('Supplier selection'!N130="","",'Supplier selection'!N130)</f>
        <v/>
      </c>
      <c r="O130" s="19" t="str">
        <f>IF('Supplier selection'!O130="","",'Supplier selection'!O130)</f>
        <v/>
      </c>
      <c r="Q130" s="19" t="str">
        <f>HLOOKUP($Q$3,'Supplier selection'!$AW$4:'Supplier selection'!$CT$1000,$A131,FALSE)</f>
        <v/>
      </c>
      <c r="R130" s="22" t="str">
        <f t="shared" si="11"/>
        <v/>
      </c>
      <c r="S130" s="19" t="str">
        <f t="shared" si="12"/>
        <v/>
      </c>
      <c r="T130" s="22" t="str">
        <f t="shared" si="13"/>
        <v/>
      </c>
      <c r="U130" s="19" t="str">
        <f t="shared" si="14"/>
        <v/>
      </c>
      <c r="V130" s="7"/>
      <c r="Y130" s="19" t="str">
        <f>IF('Supplier selection'!AQ130="","",'Supplier selection'!AQ130)</f>
        <v/>
      </c>
      <c r="Z130" s="19" t="str">
        <f>IF('Supplier selection'!AR130="","",'Supplier selection'!AR130)</f>
        <v/>
      </c>
      <c r="AA130" s="19" t="str">
        <f t="shared" si="15"/>
        <v/>
      </c>
      <c r="AD130" s="26" t="str">
        <f>IF(AND('Supplier selection'!X130="",'Supplier selection'!AE130=""),"",IF('Supplier selection'!X130="",'Supplier selection'!AE130,'Supplier selection'!X130))</f>
        <v/>
      </c>
      <c r="AE130" s="19" t="str">
        <f t="shared" si="16"/>
        <v/>
      </c>
      <c r="AF130" s="19" t="str">
        <f t="shared" si="17"/>
        <v/>
      </c>
      <c r="AG130" s="27" t="str">
        <f>IF(AND('Supplier selection'!AB130="",'Supplier selection'!AI130=""),"",IF('Supplier selection'!AB130="",'Supplier selection'!AI130,'Supplier selection'!AB130))</f>
        <v/>
      </c>
      <c r="AH130" s="28" t="str">
        <f t="shared" si="18"/>
        <v/>
      </c>
      <c r="AI130" s="7" t="str">
        <f t="shared" si="19"/>
        <v/>
      </c>
      <c r="AJ130" s="22" t="str">
        <f t="shared" si="20"/>
        <v/>
      </c>
      <c r="AK130" s="29" t="str">
        <f t="shared" si="21"/>
        <v/>
      </c>
      <c r="AL130" s="10"/>
    </row>
    <row r="131" spans="1:38">
      <c r="A131" s="19">
        <f>IF('Supplier selection'!A131="","",'Supplier selection'!A131)</f>
        <v>127</v>
      </c>
      <c r="B131" s="19" t="str">
        <f>IF('Supplier selection'!B131="","",'Supplier selection'!B131)</f>
        <v/>
      </c>
      <c r="C131" s="19" t="str">
        <f>IF('Supplier selection'!C131="","",'Supplier selection'!C131)</f>
        <v/>
      </c>
      <c r="D131" s="19" t="str">
        <f>IF('Supplier selection'!D131="","",'Supplier selection'!D131)</f>
        <v/>
      </c>
      <c r="E131" s="19" t="str">
        <f>IF('Supplier selection'!E131="","",'Supplier selection'!E131)</f>
        <v/>
      </c>
      <c r="F131" s="19" t="str">
        <f>IF('Supplier selection'!F131="","",'Supplier selection'!F131)</f>
        <v/>
      </c>
      <c r="G131" s="19" t="str">
        <f>IF('Supplier selection'!G131="","",'Supplier selection'!G131)</f>
        <v/>
      </c>
      <c r="H131" s="19" t="str">
        <f>IF('Supplier selection'!H131="","",'Supplier selection'!H131)</f>
        <v/>
      </c>
      <c r="I131" s="19" t="str">
        <f>IF('Supplier selection'!I131="","",'Supplier selection'!I131)</f>
        <v/>
      </c>
      <c r="J131" s="19" t="str">
        <f>IF('Supplier selection'!J131="","",'Supplier selection'!J131)</f>
        <v/>
      </c>
      <c r="K131" s="19" t="str">
        <f>IF('Supplier selection'!K131="","",'Supplier selection'!K131)</f>
        <v/>
      </c>
      <c r="L131" s="19" t="str">
        <f>IF('Supplier selection'!L131="","",'Supplier selection'!L131)</f>
        <v/>
      </c>
      <c r="M131" s="19" t="str">
        <f>IF('Supplier selection'!M131="","",'Supplier selection'!M131)</f>
        <v/>
      </c>
      <c r="N131" s="19" t="str">
        <f>IF('Supplier selection'!N131="","",'Supplier selection'!N131)</f>
        <v/>
      </c>
      <c r="O131" s="19" t="str">
        <f>IF('Supplier selection'!O131="","",'Supplier selection'!O131)</f>
        <v/>
      </c>
      <c r="Q131" s="19" t="str">
        <f>HLOOKUP($Q$3,'Supplier selection'!$AW$4:'Supplier selection'!$CT$1000,$A132,FALSE)</f>
        <v/>
      </c>
      <c r="R131" s="22" t="str">
        <f t="shared" si="11"/>
        <v/>
      </c>
      <c r="S131" s="19" t="str">
        <f t="shared" si="12"/>
        <v/>
      </c>
      <c r="T131" s="22" t="str">
        <f t="shared" si="13"/>
        <v/>
      </c>
      <c r="U131" s="19" t="str">
        <f t="shared" si="14"/>
        <v/>
      </c>
      <c r="V131" s="7"/>
      <c r="Y131" s="19" t="str">
        <f>IF('Supplier selection'!AQ131="","",'Supplier selection'!AQ131)</f>
        <v/>
      </c>
      <c r="Z131" s="19" t="str">
        <f>IF('Supplier selection'!AR131="","",'Supplier selection'!AR131)</f>
        <v/>
      </c>
      <c r="AA131" s="19" t="str">
        <f t="shared" si="15"/>
        <v/>
      </c>
      <c r="AD131" s="26" t="str">
        <f>IF(AND('Supplier selection'!X131="",'Supplier selection'!AE131=""),"",IF('Supplier selection'!X131="",'Supplier selection'!AE131,'Supplier selection'!X131))</f>
        <v/>
      </c>
      <c r="AE131" s="19" t="str">
        <f t="shared" si="16"/>
        <v/>
      </c>
      <c r="AF131" s="19" t="str">
        <f t="shared" si="17"/>
        <v/>
      </c>
      <c r="AG131" s="27" t="str">
        <f>IF(AND('Supplier selection'!AB131="",'Supplier selection'!AI131=""),"",IF('Supplier selection'!AB131="",'Supplier selection'!AI131,'Supplier selection'!AB131))</f>
        <v/>
      </c>
      <c r="AH131" s="28" t="str">
        <f t="shared" si="18"/>
        <v/>
      </c>
      <c r="AI131" s="7" t="str">
        <f t="shared" si="19"/>
        <v/>
      </c>
      <c r="AJ131" s="22" t="str">
        <f t="shared" si="20"/>
        <v/>
      </c>
      <c r="AK131" s="29" t="str">
        <f t="shared" si="21"/>
        <v/>
      </c>
      <c r="AL131" s="10"/>
    </row>
    <row r="132" spans="1:38">
      <c r="A132" s="19">
        <f>IF('Supplier selection'!A132="","",'Supplier selection'!A132)</f>
        <v>128</v>
      </c>
      <c r="B132" s="19" t="str">
        <f>IF('Supplier selection'!B132="","",'Supplier selection'!B132)</f>
        <v/>
      </c>
      <c r="C132" s="19" t="str">
        <f>IF('Supplier selection'!C132="","",'Supplier selection'!C132)</f>
        <v/>
      </c>
      <c r="D132" s="19" t="str">
        <f>IF('Supplier selection'!D132="","",'Supplier selection'!D132)</f>
        <v/>
      </c>
      <c r="E132" s="19" t="str">
        <f>IF('Supplier selection'!E132="","",'Supplier selection'!E132)</f>
        <v/>
      </c>
      <c r="F132" s="19" t="str">
        <f>IF('Supplier selection'!F132="","",'Supplier selection'!F132)</f>
        <v/>
      </c>
      <c r="G132" s="19" t="str">
        <f>IF('Supplier selection'!G132="","",'Supplier selection'!G132)</f>
        <v/>
      </c>
      <c r="H132" s="19" t="str">
        <f>IF('Supplier selection'!H132="","",'Supplier selection'!H132)</f>
        <v/>
      </c>
      <c r="I132" s="19" t="str">
        <f>IF('Supplier selection'!I132="","",'Supplier selection'!I132)</f>
        <v/>
      </c>
      <c r="J132" s="19" t="str">
        <f>IF('Supplier selection'!J132="","",'Supplier selection'!J132)</f>
        <v/>
      </c>
      <c r="K132" s="19" t="str">
        <f>IF('Supplier selection'!K132="","",'Supplier selection'!K132)</f>
        <v/>
      </c>
      <c r="L132" s="19" t="str">
        <f>IF('Supplier selection'!L132="","",'Supplier selection'!L132)</f>
        <v/>
      </c>
      <c r="M132" s="19" t="str">
        <f>IF('Supplier selection'!M132="","",'Supplier selection'!M132)</f>
        <v/>
      </c>
      <c r="N132" s="19" t="str">
        <f>IF('Supplier selection'!N132="","",'Supplier selection'!N132)</f>
        <v/>
      </c>
      <c r="O132" s="19" t="str">
        <f>IF('Supplier selection'!O132="","",'Supplier selection'!O132)</f>
        <v/>
      </c>
      <c r="Q132" s="19" t="str">
        <f>HLOOKUP($Q$3,'Supplier selection'!$AW$4:'Supplier selection'!$CT$1000,$A133,FALSE)</f>
        <v/>
      </c>
      <c r="R132" s="22" t="str">
        <f t="shared" si="11"/>
        <v/>
      </c>
      <c r="S132" s="19" t="str">
        <f t="shared" si="12"/>
        <v/>
      </c>
      <c r="T132" s="22" t="str">
        <f t="shared" si="13"/>
        <v/>
      </c>
      <c r="U132" s="19" t="str">
        <f t="shared" si="14"/>
        <v/>
      </c>
      <c r="V132" s="7"/>
      <c r="Y132" s="19" t="str">
        <f>IF('Supplier selection'!AQ132="","",'Supplier selection'!AQ132)</f>
        <v/>
      </c>
      <c r="Z132" s="19" t="str">
        <f>IF('Supplier selection'!AR132="","",'Supplier selection'!AR132)</f>
        <v/>
      </c>
      <c r="AA132" s="19" t="str">
        <f t="shared" si="15"/>
        <v/>
      </c>
      <c r="AD132" s="26" t="str">
        <f>IF(AND('Supplier selection'!X132="",'Supplier selection'!AE132=""),"",IF('Supplier selection'!X132="",'Supplier selection'!AE132,'Supplier selection'!X132))</f>
        <v/>
      </c>
      <c r="AE132" s="19" t="str">
        <f t="shared" si="16"/>
        <v/>
      </c>
      <c r="AF132" s="19" t="str">
        <f t="shared" si="17"/>
        <v/>
      </c>
      <c r="AG132" s="27" t="str">
        <f>IF(AND('Supplier selection'!AB132="",'Supplier selection'!AI132=""),"",IF('Supplier selection'!AB132="",'Supplier selection'!AI132,'Supplier selection'!AB132))</f>
        <v/>
      </c>
      <c r="AH132" s="28" t="str">
        <f t="shared" si="18"/>
        <v/>
      </c>
      <c r="AI132" s="7" t="str">
        <f t="shared" si="19"/>
        <v/>
      </c>
      <c r="AJ132" s="22" t="str">
        <f t="shared" si="20"/>
        <v/>
      </c>
      <c r="AK132" s="29" t="str">
        <f t="shared" si="21"/>
        <v/>
      </c>
      <c r="AL132" s="10"/>
    </row>
    <row r="133" spans="1:38">
      <c r="A133" s="19">
        <f>IF('Supplier selection'!A133="","",'Supplier selection'!A133)</f>
        <v>129</v>
      </c>
      <c r="B133" s="19" t="str">
        <f>IF('Supplier selection'!B133="","",'Supplier selection'!B133)</f>
        <v/>
      </c>
      <c r="C133" s="19" t="str">
        <f>IF('Supplier selection'!C133="","",'Supplier selection'!C133)</f>
        <v/>
      </c>
      <c r="D133" s="19" t="str">
        <f>IF('Supplier selection'!D133="","",'Supplier selection'!D133)</f>
        <v/>
      </c>
      <c r="E133" s="19" t="str">
        <f>IF('Supplier selection'!E133="","",'Supplier selection'!E133)</f>
        <v/>
      </c>
      <c r="F133" s="19" t="str">
        <f>IF('Supplier selection'!F133="","",'Supplier selection'!F133)</f>
        <v/>
      </c>
      <c r="G133" s="19" t="str">
        <f>IF('Supplier selection'!G133="","",'Supplier selection'!G133)</f>
        <v/>
      </c>
      <c r="H133" s="19" t="str">
        <f>IF('Supplier selection'!H133="","",'Supplier selection'!H133)</f>
        <v/>
      </c>
      <c r="I133" s="19" t="str">
        <f>IF('Supplier selection'!I133="","",'Supplier selection'!I133)</f>
        <v/>
      </c>
      <c r="J133" s="19" t="str">
        <f>IF('Supplier selection'!J133="","",'Supplier selection'!J133)</f>
        <v/>
      </c>
      <c r="K133" s="19" t="str">
        <f>IF('Supplier selection'!K133="","",'Supplier selection'!K133)</f>
        <v/>
      </c>
      <c r="L133" s="19" t="str">
        <f>IF('Supplier selection'!L133="","",'Supplier selection'!L133)</f>
        <v/>
      </c>
      <c r="M133" s="19" t="str">
        <f>IF('Supplier selection'!M133="","",'Supplier selection'!M133)</f>
        <v/>
      </c>
      <c r="N133" s="19" t="str">
        <f>IF('Supplier selection'!N133="","",'Supplier selection'!N133)</f>
        <v/>
      </c>
      <c r="O133" s="19" t="str">
        <f>IF('Supplier selection'!O133="","",'Supplier selection'!O133)</f>
        <v/>
      </c>
      <c r="Q133" s="19" t="str">
        <f>HLOOKUP($Q$3,'Supplier selection'!$AW$4:'Supplier selection'!$CT$1000,$A134,FALSE)</f>
        <v/>
      </c>
      <c r="R133" s="22" t="str">
        <f t="shared" si="11"/>
        <v/>
      </c>
      <c r="S133" s="19" t="str">
        <f t="shared" si="12"/>
        <v/>
      </c>
      <c r="T133" s="22" t="str">
        <f t="shared" si="13"/>
        <v/>
      </c>
      <c r="U133" s="19" t="str">
        <f t="shared" si="14"/>
        <v/>
      </c>
      <c r="V133" s="7"/>
      <c r="Y133" s="19" t="str">
        <f>IF('Supplier selection'!AQ133="","",'Supplier selection'!AQ133)</f>
        <v/>
      </c>
      <c r="Z133" s="19" t="str">
        <f>IF('Supplier selection'!AR133="","",'Supplier selection'!AR133)</f>
        <v/>
      </c>
      <c r="AA133" s="19" t="str">
        <f t="shared" si="15"/>
        <v/>
      </c>
      <c r="AD133" s="26" t="str">
        <f>IF(AND('Supplier selection'!X133="",'Supplier selection'!AE133=""),"",IF('Supplier selection'!X133="",'Supplier selection'!AE133,'Supplier selection'!X133))</f>
        <v/>
      </c>
      <c r="AE133" s="19" t="str">
        <f t="shared" si="16"/>
        <v/>
      </c>
      <c r="AF133" s="19" t="str">
        <f t="shared" si="17"/>
        <v/>
      </c>
      <c r="AG133" s="27" t="str">
        <f>IF(AND('Supplier selection'!AB133="",'Supplier selection'!AI133=""),"",IF('Supplier selection'!AB133="",'Supplier selection'!AI133,'Supplier selection'!AB133))</f>
        <v/>
      </c>
      <c r="AH133" s="28" t="str">
        <f t="shared" si="18"/>
        <v/>
      </c>
      <c r="AI133" s="7" t="str">
        <f t="shared" si="19"/>
        <v/>
      </c>
      <c r="AJ133" s="22" t="str">
        <f t="shared" si="20"/>
        <v/>
      </c>
      <c r="AK133" s="29" t="str">
        <f t="shared" si="21"/>
        <v/>
      </c>
      <c r="AL133" s="10"/>
    </row>
    <row r="134" spans="1:38">
      <c r="A134" s="19">
        <f>IF('Supplier selection'!A134="","",'Supplier selection'!A134)</f>
        <v>130</v>
      </c>
      <c r="B134" s="19" t="str">
        <f>IF('Supplier selection'!B134="","",'Supplier selection'!B134)</f>
        <v/>
      </c>
      <c r="C134" s="19" t="str">
        <f>IF('Supplier selection'!C134="","",'Supplier selection'!C134)</f>
        <v/>
      </c>
      <c r="D134" s="19" t="str">
        <f>IF('Supplier selection'!D134="","",'Supplier selection'!D134)</f>
        <v/>
      </c>
      <c r="E134" s="19" t="str">
        <f>IF('Supplier selection'!E134="","",'Supplier selection'!E134)</f>
        <v/>
      </c>
      <c r="F134" s="19" t="str">
        <f>IF('Supplier selection'!F134="","",'Supplier selection'!F134)</f>
        <v/>
      </c>
      <c r="G134" s="19" t="str">
        <f>IF('Supplier selection'!G134="","",'Supplier selection'!G134)</f>
        <v/>
      </c>
      <c r="H134" s="19" t="str">
        <f>IF('Supplier selection'!H134="","",'Supplier selection'!H134)</f>
        <v/>
      </c>
      <c r="I134" s="19" t="str">
        <f>IF('Supplier selection'!I134="","",'Supplier selection'!I134)</f>
        <v/>
      </c>
      <c r="J134" s="19" t="str">
        <f>IF('Supplier selection'!J134="","",'Supplier selection'!J134)</f>
        <v/>
      </c>
      <c r="K134" s="19" t="str">
        <f>IF('Supplier selection'!K134="","",'Supplier selection'!K134)</f>
        <v/>
      </c>
      <c r="L134" s="19" t="str">
        <f>IF('Supplier selection'!L134="","",'Supplier selection'!L134)</f>
        <v/>
      </c>
      <c r="M134" s="19" t="str">
        <f>IF('Supplier selection'!M134="","",'Supplier selection'!M134)</f>
        <v/>
      </c>
      <c r="N134" s="19" t="str">
        <f>IF('Supplier selection'!N134="","",'Supplier selection'!N134)</f>
        <v/>
      </c>
      <c r="O134" s="19" t="str">
        <f>IF('Supplier selection'!O134="","",'Supplier selection'!O134)</f>
        <v/>
      </c>
      <c r="Q134" s="19" t="str">
        <f>HLOOKUP($Q$3,'Supplier selection'!$AW$4:'Supplier selection'!$CT$1000,$A135,FALSE)</f>
        <v/>
      </c>
      <c r="R134" s="22" t="str">
        <f t="shared" ref="R134:R197" si="22">IF(OR(Q134="",O134=""),"",(Q134-O134)/O134)</f>
        <v/>
      </c>
      <c r="S134" s="19" t="str">
        <f t="shared" ref="S134:S197" si="23">IF(OR(H134="",O134="",Q134=""),"",(Q134*H134)-(H134*O134))</f>
        <v/>
      </c>
      <c r="T134" s="22" t="str">
        <f t="shared" ref="T134:T197" si="24">IF(OR(Y134="",Q134=""),"",(Q134-Y134)/Y134)</f>
        <v/>
      </c>
      <c r="U134" s="19" t="str">
        <f t="shared" ref="U134:U197" si="25">IF(OR(Y134="",Q134="",H134=""),"",(Q134*H134)-(Y134*H134))</f>
        <v/>
      </c>
      <c r="V134" s="7"/>
      <c r="Y134" s="19" t="str">
        <f>IF('Supplier selection'!AQ134="","",'Supplier selection'!AQ134)</f>
        <v/>
      </c>
      <c r="Z134" s="19" t="str">
        <f>IF('Supplier selection'!AR134="","",'Supplier selection'!AR134)</f>
        <v/>
      </c>
      <c r="AA134" s="19" t="str">
        <f t="shared" ref="AA134:AA197" si="26">IF(OR(Y134="",O134="",H134=""),"",((H134*Y134)-(H134*O134)))</f>
        <v/>
      </c>
      <c r="AD134" s="26" t="str">
        <f>IF(AND('Supplier selection'!X134="",'Supplier selection'!AE134=""),"",IF('Supplier selection'!X134="",'Supplier selection'!AE134,'Supplier selection'!X134))</f>
        <v/>
      </c>
      <c r="AE134" s="19" t="str">
        <f t="shared" ref="AE134:AE197" si="27">IF(AD134="","",J134)</f>
        <v/>
      </c>
      <c r="AF134" s="19" t="str">
        <f t="shared" ref="AF134:AF197" si="28">IF(AD134="","",L134)</f>
        <v/>
      </c>
      <c r="AG134" s="27" t="str">
        <f>IF(AND('Supplier selection'!AB134="",'Supplier selection'!AI134=""),"",IF('Supplier selection'!AB134="",'Supplier selection'!AI134,'Supplier selection'!AB134))</f>
        <v/>
      </c>
      <c r="AH134" s="28" t="str">
        <f t="shared" ref="AH134:AH197" si="29">IF(OR(AG134="",O134=""),"",(AG134-O134)/O134)</f>
        <v/>
      </c>
      <c r="AI134" s="7" t="str">
        <f t="shared" ref="AI134:AI197" si="30">IF(OR(H134="",O134="",AG134=""),"",(AG134*H134)-(H134*O134))</f>
        <v/>
      </c>
      <c r="AJ134" s="22" t="str">
        <f t="shared" ref="AJ134:AJ197" si="31">IF(OR(AG134="",Y134=""),"",(AG134-Y134)/Y134)</f>
        <v/>
      </c>
      <c r="AK134" s="29" t="str">
        <f t="shared" ref="AK134:AK197" si="32">IF(OR(H134="",Y134="",AG134=""),"",(AG134*H134)-(H134*Y134))</f>
        <v/>
      </c>
      <c r="AL134" s="10"/>
    </row>
    <row r="135" spans="1:38">
      <c r="A135" s="19">
        <f>IF('Supplier selection'!A135="","",'Supplier selection'!A135)</f>
        <v>131</v>
      </c>
      <c r="B135" s="19" t="str">
        <f>IF('Supplier selection'!B135="","",'Supplier selection'!B135)</f>
        <v/>
      </c>
      <c r="C135" s="19" t="str">
        <f>IF('Supplier selection'!C135="","",'Supplier selection'!C135)</f>
        <v/>
      </c>
      <c r="D135" s="19" t="str">
        <f>IF('Supplier selection'!D135="","",'Supplier selection'!D135)</f>
        <v/>
      </c>
      <c r="E135" s="19" t="str">
        <f>IF('Supplier selection'!E135="","",'Supplier selection'!E135)</f>
        <v/>
      </c>
      <c r="F135" s="19" t="str">
        <f>IF('Supplier selection'!F135="","",'Supplier selection'!F135)</f>
        <v/>
      </c>
      <c r="G135" s="19" t="str">
        <f>IF('Supplier selection'!G135="","",'Supplier selection'!G135)</f>
        <v/>
      </c>
      <c r="H135" s="19" t="str">
        <f>IF('Supplier selection'!H135="","",'Supplier selection'!H135)</f>
        <v/>
      </c>
      <c r="I135" s="19" t="str">
        <f>IF('Supplier selection'!I135="","",'Supplier selection'!I135)</f>
        <v/>
      </c>
      <c r="J135" s="19" t="str">
        <f>IF('Supplier selection'!J135="","",'Supplier selection'!J135)</f>
        <v/>
      </c>
      <c r="K135" s="19" t="str">
        <f>IF('Supplier selection'!K135="","",'Supplier selection'!K135)</f>
        <v/>
      </c>
      <c r="L135" s="19" t="str">
        <f>IF('Supplier selection'!L135="","",'Supplier selection'!L135)</f>
        <v/>
      </c>
      <c r="M135" s="19" t="str">
        <f>IF('Supplier selection'!M135="","",'Supplier selection'!M135)</f>
        <v/>
      </c>
      <c r="N135" s="19" t="str">
        <f>IF('Supplier selection'!N135="","",'Supplier selection'!N135)</f>
        <v/>
      </c>
      <c r="O135" s="19" t="str">
        <f>IF('Supplier selection'!O135="","",'Supplier selection'!O135)</f>
        <v/>
      </c>
      <c r="Q135" s="19" t="str">
        <f>HLOOKUP($Q$3,'Supplier selection'!$AW$4:'Supplier selection'!$CT$1000,$A136,FALSE)</f>
        <v/>
      </c>
      <c r="R135" s="22" t="str">
        <f t="shared" si="22"/>
        <v/>
      </c>
      <c r="S135" s="19" t="str">
        <f t="shared" si="23"/>
        <v/>
      </c>
      <c r="T135" s="22" t="str">
        <f t="shared" si="24"/>
        <v/>
      </c>
      <c r="U135" s="19" t="str">
        <f t="shared" si="25"/>
        <v/>
      </c>
      <c r="V135" s="7"/>
      <c r="Y135" s="19" t="str">
        <f>IF('Supplier selection'!AQ135="","",'Supplier selection'!AQ135)</f>
        <v/>
      </c>
      <c r="Z135" s="19" t="str">
        <f>IF('Supplier selection'!AR135="","",'Supplier selection'!AR135)</f>
        <v/>
      </c>
      <c r="AA135" s="19" t="str">
        <f t="shared" si="26"/>
        <v/>
      </c>
      <c r="AD135" s="26" t="str">
        <f>IF(AND('Supplier selection'!X135="",'Supplier selection'!AE135=""),"",IF('Supplier selection'!X135="",'Supplier selection'!AE135,'Supplier selection'!X135))</f>
        <v/>
      </c>
      <c r="AE135" s="19" t="str">
        <f t="shared" si="27"/>
        <v/>
      </c>
      <c r="AF135" s="19" t="str">
        <f t="shared" si="28"/>
        <v/>
      </c>
      <c r="AG135" s="27" t="str">
        <f>IF(AND('Supplier selection'!AB135="",'Supplier selection'!AI135=""),"",IF('Supplier selection'!AB135="",'Supplier selection'!AI135,'Supplier selection'!AB135))</f>
        <v/>
      </c>
      <c r="AH135" s="28" t="str">
        <f t="shared" si="29"/>
        <v/>
      </c>
      <c r="AI135" s="7" t="str">
        <f t="shared" si="30"/>
        <v/>
      </c>
      <c r="AJ135" s="22" t="str">
        <f t="shared" si="31"/>
        <v/>
      </c>
      <c r="AK135" s="29" t="str">
        <f t="shared" si="32"/>
        <v/>
      </c>
      <c r="AL135" s="10"/>
    </row>
    <row r="136" spans="1:38">
      <c r="A136" s="19">
        <f>IF('Supplier selection'!A136="","",'Supplier selection'!A136)</f>
        <v>132</v>
      </c>
      <c r="B136" s="19" t="str">
        <f>IF('Supplier selection'!B136="","",'Supplier selection'!B136)</f>
        <v/>
      </c>
      <c r="C136" s="19" t="str">
        <f>IF('Supplier selection'!C136="","",'Supplier selection'!C136)</f>
        <v/>
      </c>
      <c r="D136" s="19" t="str">
        <f>IF('Supplier selection'!D136="","",'Supplier selection'!D136)</f>
        <v/>
      </c>
      <c r="E136" s="19" t="str">
        <f>IF('Supplier selection'!E136="","",'Supplier selection'!E136)</f>
        <v/>
      </c>
      <c r="F136" s="19" t="str">
        <f>IF('Supplier selection'!F136="","",'Supplier selection'!F136)</f>
        <v/>
      </c>
      <c r="G136" s="19" t="str">
        <f>IF('Supplier selection'!G136="","",'Supplier selection'!G136)</f>
        <v/>
      </c>
      <c r="H136" s="19" t="str">
        <f>IF('Supplier selection'!H136="","",'Supplier selection'!H136)</f>
        <v/>
      </c>
      <c r="I136" s="19" t="str">
        <f>IF('Supplier selection'!I136="","",'Supplier selection'!I136)</f>
        <v/>
      </c>
      <c r="J136" s="19" t="str">
        <f>IF('Supplier selection'!J136="","",'Supplier selection'!J136)</f>
        <v/>
      </c>
      <c r="K136" s="19" t="str">
        <f>IF('Supplier selection'!K136="","",'Supplier selection'!K136)</f>
        <v/>
      </c>
      <c r="L136" s="19" t="str">
        <f>IF('Supplier selection'!L136="","",'Supplier selection'!L136)</f>
        <v/>
      </c>
      <c r="M136" s="19" t="str">
        <f>IF('Supplier selection'!M136="","",'Supplier selection'!M136)</f>
        <v/>
      </c>
      <c r="N136" s="19" t="str">
        <f>IF('Supplier selection'!N136="","",'Supplier selection'!N136)</f>
        <v/>
      </c>
      <c r="O136" s="19" t="str">
        <f>IF('Supplier selection'!O136="","",'Supplier selection'!O136)</f>
        <v/>
      </c>
      <c r="Q136" s="19" t="str">
        <f>HLOOKUP($Q$3,'Supplier selection'!$AW$4:'Supplier selection'!$CT$1000,$A137,FALSE)</f>
        <v/>
      </c>
      <c r="R136" s="22" t="str">
        <f t="shared" si="22"/>
        <v/>
      </c>
      <c r="S136" s="19" t="str">
        <f t="shared" si="23"/>
        <v/>
      </c>
      <c r="T136" s="22" t="str">
        <f t="shared" si="24"/>
        <v/>
      </c>
      <c r="U136" s="19" t="str">
        <f t="shared" si="25"/>
        <v/>
      </c>
      <c r="V136" s="7"/>
      <c r="Y136" s="19" t="str">
        <f>IF('Supplier selection'!AQ136="","",'Supplier selection'!AQ136)</f>
        <v/>
      </c>
      <c r="Z136" s="19" t="str">
        <f>IF('Supplier selection'!AR136="","",'Supplier selection'!AR136)</f>
        <v/>
      </c>
      <c r="AA136" s="19" t="str">
        <f t="shared" si="26"/>
        <v/>
      </c>
      <c r="AD136" s="26" t="str">
        <f>IF(AND('Supplier selection'!X136="",'Supplier selection'!AE136=""),"",IF('Supplier selection'!X136="",'Supplier selection'!AE136,'Supplier selection'!X136))</f>
        <v/>
      </c>
      <c r="AE136" s="19" t="str">
        <f t="shared" si="27"/>
        <v/>
      </c>
      <c r="AF136" s="19" t="str">
        <f t="shared" si="28"/>
        <v/>
      </c>
      <c r="AG136" s="27" t="str">
        <f>IF(AND('Supplier selection'!AB136="",'Supplier selection'!AI136=""),"",IF('Supplier selection'!AB136="",'Supplier selection'!AI136,'Supplier selection'!AB136))</f>
        <v/>
      </c>
      <c r="AH136" s="28" t="str">
        <f t="shared" si="29"/>
        <v/>
      </c>
      <c r="AI136" s="7" t="str">
        <f t="shared" si="30"/>
        <v/>
      </c>
      <c r="AJ136" s="22" t="str">
        <f t="shared" si="31"/>
        <v/>
      </c>
      <c r="AK136" s="29" t="str">
        <f t="shared" si="32"/>
        <v/>
      </c>
      <c r="AL136" s="10"/>
    </row>
    <row r="137" spans="1:38">
      <c r="A137" s="19">
        <f>IF('Supplier selection'!A137="","",'Supplier selection'!A137)</f>
        <v>133</v>
      </c>
      <c r="B137" s="19" t="str">
        <f>IF('Supplier selection'!B137="","",'Supplier selection'!B137)</f>
        <v/>
      </c>
      <c r="C137" s="19" t="str">
        <f>IF('Supplier selection'!C137="","",'Supplier selection'!C137)</f>
        <v/>
      </c>
      <c r="D137" s="19" t="str">
        <f>IF('Supplier selection'!D137="","",'Supplier selection'!D137)</f>
        <v/>
      </c>
      <c r="E137" s="19" t="str">
        <f>IF('Supplier selection'!E137="","",'Supplier selection'!E137)</f>
        <v/>
      </c>
      <c r="F137" s="19" t="str">
        <f>IF('Supplier selection'!F137="","",'Supplier selection'!F137)</f>
        <v/>
      </c>
      <c r="G137" s="19" t="str">
        <f>IF('Supplier selection'!G137="","",'Supplier selection'!G137)</f>
        <v/>
      </c>
      <c r="H137" s="19" t="str">
        <f>IF('Supplier selection'!H137="","",'Supplier selection'!H137)</f>
        <v/>
      </c>
      <c r="I137" s="19" t="str">
        <f>IF('Supplier selection'!I137="","",'Supplier selection'!I137)</f>
        <v/>
      </c>
      <c r="J137" s="19" t="str">
        <f>IF('Supplier selection'!J137="","",'Supplier selection'!J137)</f>
        <v/>
      </c>
      <c r="K137" s="19" t="str">
        <f>IF('Supplier selection'!K137="","",'Supplier selection'!K137)</f>
        <v/>
      </c>
      <c r="L137" s="19" t="str">
        <f>IF('Supplier selection'!L137="","",'Supplier selection'!L137)</f>
        <v/>
      </c>
      <c r="M137" s="19" t="str">
        <f>IF('Supplier selection'!M137="","",'Supplier selection'!M137)</f>
        <v/>
      </c>
      <c r="N137" s="19" t="str">
        <f>IF('Supplier selection'!N137="","",'Supplier selection'!N137)</f>
        <v/>
      </c>
      <c r="O137" s="19" t="str">
        <f>IF('Supplier selection'!O137="","",'Supplier selection'!O137)</f>
        <v/>
      </c>
      <c r="Q137" s="19" t="str">
        <f>HLOOKUP($Q$3,'Supplier selection'!$AW$4:'Supplier selection'!$CT$1000,$A138,FALSE)</f>
        <v/>
      </c>
      <c r="R137" s="22" t="str">
        <f t="shared" si="22"/>
        <v/>
      </c>
      <c r="S137" s="19" t="str">
        <f t="shared" si="23"/>
        <v/>
      </c>
      <c r="T137" s="22" t="str">
        <f t="shared" si="24"/>
        <v/>
      </c>
      <c r="U137" s="19" t="str">
        <f t="shared" si="25"/>
        <v/>
      </c>
      <c r="V137" s="7"/>
      <c r="Y137" s="19" t="str">
        <f>IF('Supplier selection'!AQ137="","",'Supplier selection'!AQ137)</f>
        <v/>
      </c>
      <c r="Z137" s="19" t="str">
        <f>IF('Supplier selection'!AR137="","",'Supplier selection'!AR137)</f>
        <v/>
      </c>
      <c r="AA137" s="19" t="str">
        <f t="shared" si="26"/>
        <v/>
      </c>
      <c r="AD137" s="26" t="str">
        <f>IF(AND('Supplier selection'!X137="",'Supplier selection'!AE137=""),"",IF('Supplier selection'!X137="",'Supplier selection'!AE137,'Supplier selection'!X137))</f>
        <v/>
      </c>
      <c r="AE137" s="19" t="str">
        <f t="shared" si="27"/>
        <v/>
      </c>
      <c r="AF137" s="19" t="str">
        <f t="shared" si="28"/>
        <v/>
      </c>
      <c r="AG137" s="27" t="str">
        <f>IF(AND('Supplier selection'!AB137="",'Supplier selection'!AI137=""),"",IF('Supplier selection'!AB137="",'Supplier selection'!AI137,'Supplier selection'!AB137))</f>
        <v/>
      </c>
      <c r="AH137" s="28" t="str">
        <f t="shared" si="29"/>
        <v/>
      </c>
      <c r="AI137" s="7" t="str">
        <f t="shared" si="30"/>
        <v/>
      </c>
      <c r="AJ137" s="22" t="str">
        <f t="shared" si="31"/>
        <v/>
      </c>
      <c r="AK137" s="29" t="str">
        <f t="shared" si="32"/>
        <v/>
      </c>
      <c r="AL137" s="10"/>
    </row>
    <row r="138" spans="1:38">
      <c r="A138" s="19">
        <f>IF('Supplier selection'!A138="","",'Supplier selection'!A138)</f>
        <v>134</v>
      </c>
      <c r="B138" s="19" t="str">
        <f>IF('Supplier selection'!B138="","",'Supplier selection'!B138)</f>
        <v/>
      </c>
      <c r="C138" s="19" t="str">
        <f>IF('Supplier selection'!C138="","",'Supplier selection'!C138)</f>
        <v/>
      </c>
      <c r="D138" s="19" t="str">
        <f>IF('Supplier selection'!D138="","",'Supplier selection'!D138)</f>
        <v/>
      </c>
      <c r="E138" s="19" t="str">
        <f>IF('Supplier selection'!E138="","",'Supplier selection'!E138)</f>
        <v/>
      </c>
      <c r="F138" s="19" t="str">
        <f>IF('Supplier selection'!F138="","",'Supplier selection'!F138)</f>
        <v/>
      </c>
      <c r="G138" s="19" t="str">
        <f>IF('Supplier selection'!G138="","",'Supplier selection'!G138)</f>
        <v/>
      </c>
      <c r="H138" s="19" t="str">
        <f>IF('Supplier selection'!H138="","",'Supplier selection'!H138)</f>
        <v/>
      </c>
      <c r="I138" s="19" t="str">
        <f>IF('Supplier selection'!I138="","",'Supplier selection'!I138)</f>
        <v/>
      </c>
      <c r="J138" s="19" t="str">
        <f>IF('Supplier selection'!J138="","",'Supplier selection'!J138)</f>
        <v/>
      </c>
      <c r="K138" s="19" t="str">
        <f>IF('Supplier selection'!K138="","",'Supplier selection'!K138)</f>
        <v/>
      </c>
      <c r="L138" s="19" t="str">
        <f>IF('Supplier selection'!L138="","",'Supplier selection'!L138)</f>
        <v/>
      </c>
      <c r="M138" s="19" t="str">
        <f>IF('Supplier selection'!M138="","",'Supplier selection'!M138)</f>
        <v/>
      </c>
      <c r="N138" s="19" t="str">
        <f>IF('Supplier selection'!N138="","",'Supplier selection'!N138)</f>
        <v/>
      </c>
      <c r="O138" s="19" t="str">
        <f>IF('Supplier selection'!O138="","",'Supplier selection'!O138)</f>
        <v/>
      </c>
      <c r="Q138" s="19" t="str">
        <f>HLOOKUP($Q$3,'Supplier selection'!$AW$4:'Supplier selection'!$CT$1000,$A139,FALSE)</f>
        <v/>
      </c>
      <c r="R138" s="22" t="str">
        <f t="shared" si="22"/>
        <v/>
      </c>
      <c r="S138" s="19" t="str">
        <f t="shared" si="23"/>
        <v/>
      </c>
      <c r="T138" s="22" t="str">
        <f t="shared" si="24"/>
        <v/>
      </c>
      <c r="U138" s="19" t="str">
        <f t="shared" si="25"/>
        <v/>
      </c>
      <c r="V138" s="7"/>
      <c r="Y138" s="19" t="str">
        <f>IF('Supplier selection'!AQ138="","",'Supplier selection'!AQ138)</f>
        <v/>
      </c>
      <c r="Z138" s="19" t="str">
        <f>IF('Supplier selection'!AR138="","",'Supplier selection'!AR138)</f>
        <v/>
      </c>
      <c r="AA138" s="19" t="str">
        <f t="shared" si="26"/>
        <v/>
      </c>
      <c r="AD138" s="26" t="str">
        <f>IF(AND('Supplier selection'!X138="",'Supplier selection'!AE138=""),"",IF('Supplier selection'!X138="",'Supplier selection'!AE138,'Supplier selection'!X138))</f>
        <v/>
      </c>
      <c r="AE138" s="19" t="str">
        <f t="shared" si="27"/>
        <v/>
      </c>
      <c r="AF138" s="19" t="str">
        <f t="shared" si="28"/>
        <v/>
      </c>
      <c r="AG138" s="27" t="str">
        <f>IF(AND('Supplier selection'!AB138="",'Supplier selection'!AI138=""),"",IF('Supplier selection'!AB138="",'Supplier selection'!AI138,'Supplier selection'!AB138))</f>
        <v/>
      </c>
      <c r="AH138" s="28" t="str">
        <f t="shared" si="29"/>
        <v/>
      </c>
      <c r="AI138" s="7" t="str">
        <f t="shared" si="30"/>
        <v/>
      </c>
      <c r="AJ138" s="22" t="str">
        <f t="shared" si="31"/>
        <v/>
      </c>
      <c r="AK138" s="29" t="str">
        <f t="shared" si="32"/>
        <v/>
      </c>
      <c r="AL138" s="10"/>
    </row>
    <row r="139" spans="1:38">
      <c r="A139" s="19">
        <f>IF('Supplier selection'!A139="","",'Supplier selection'!A139)</f>
        <v>135</v>
      </c>
      <c r="B139" s="19" t="str">
        <f>IF('Supplier selection'!B139="","",'Supplier selection'!B139)</f>
        <v/>
      </c>
      <c r="C139" s="19" t="str">
        <f>IF('Supplier selection'!C139="","",'Supplier selection'!C139)</f>
        <v/>
      </c>
      <c r="D139" s="19" t="str">
        <f>IF('Supplier selection'!D139="","",'Supplier selection'!D139)</f>
        <v/>
      </c>
      <c r="E139" s="19" t="str">
        <f>IF('Supplier selection'!E139="","",'Supplier selection'!E139)</f>
        <v/>
      </c>
      <c r="F139" s="19" t="str">
        <f>IF('Supplier selection'!F139="","",'Supplier selection'!F139)</f>
        <v/>
      </c>
      <c r="G139" s="19" t="str">
        <f>IF('Supplier selection'!G139="","",'Supplier selection'!G139)</f>
        <v/>
      </c>
      <c r="H139" s="19" t="str">
        <f>IF('Supplier selection'!H139="","",'Supplier selection'!H139)</f>
        <v/>
      </c>
      <c r="I139" s="19" t="str">
        <f>IF('Supplier selection'!I139="","",'Supplier selection'!I139)</f>
        <v/>
      </c>
      <c r="J139" s="19" t="str">
        <f>IF('Supplier selection'!J139="","",'Supplier selection'!J139)</f>
        <v/>
      </c>
      <c r="K139" s="19" t="str">
        <f>IF('Supplier selection'!K139="","",'Supplier selection'!K139)</f>
        <v/>
      </c>
      <c r="L139" s="19" t="str">
        <f>IF('Supplier selection'!L139="","",'Supplier selection'!L139)</f>
        <v/>
      </c>
      <c r="M139" s="19" t="str">
        <f>IF('Supplier selection'!M139="","",'Supplier selection'!M139)</f>
        <v/>
      </c>
      <c r="N139" s="19" t="str">
        <f>IF('Supplier selection'!N139="","",'Supplier selection'!N139)</f>
        <v/>
      </c>
      <c r="O139" s="19" t="str">
        <f>IF('Supplier selection'!O139="","",'Supplier selection'!O139)</f>
        <v/>
      </c>
      <c r="Q139" s="19" t="str">
        <f>HLOOKUP($Q$3,'Supplier selection'!$AW$4:'Supplier selection'!$CT$1000,$A140,FALSE)</f>
        <v/>
      </c>
      <c r="R139" s="22" t="str">
        <f t="shared" si="22"/>
        <v/>
      </c>
      <c r="S139" s="19" t="str">
        <f t="shared" si="23"/>
        <v/>
      </c>
      <c r="T139" s="22" t="str">
        <f t="shared" si="24"/>
        <v/>
      </c>
      <c r="U139" s="19" t="str">
        <f t="shared" si="25"/>
        <v/>
      </c>
      <c r="V139" s="7"/>
      <c r="Y139" s="19" t="str">
        <f>IF('Supplier selection'!AQ139="","",'Supplier selection'!AQ139)</f>
        <v/>
      </c>
      <c r="Z139" s="19" t="str">
        <f>IF('Supplier selection'!AR139="","",'Supplier selection'!AR139)</f>
        <v/>
      </c>
      <c r="AA139" s="19" t="str">
        <f t="shared" si="26"/>
        <v/>
      </c>
      <c r="AD139" s="26" t="str">
        <f>IF(AND('Supplier selection'!X139="",'Supplier selection'!AE139=""),"",IF('Supplier selection'!X139="",'Supplier selection'!AE139,'Supplier selection'!X139))</f>
        <v/>
      </c>
      <c r="AE139" s="19" t="str">
        <f t="shared" si="27"/>
        <v/>
      </c>
      <c r="AF139" s="19" t="str">
        <f t="shared" si="28"/>
        <v/>
      </c>
      <c r="AG139" s="27" t="str">
        <f>IF(AND('Supplier selection'!AB139="",'Supplier selection'!AI139=""),"",IF('Supplier selection'!AB139="",'Supplier selection'!AI139,'Supplier selection'!AB139))</f>
        <v/>
      </c>
      <c r="AH139" s="28" t="str">
        <f t="shared" si="29"/>
        <v/>
      </c>
      <c r="AI139" s="7" t="str">
        <f t="shared" si="30"/>
        <v/>
      </c>
      <c r="AJ139" s="22" t="str">
        <f t="shared" si="31"/>
        <v/>
      </c>
      <c r="AK139" s="29" t="str">
        <f t="shared" si="32"/>
        <v/>
      </c>
      <c r="AL139" s="10"/>
    </row>
    <row r="140" spans="1:38">
      <c r="A140" s="19">
        <f>IF('Supplier selection'!A140="","",'Supplier selection'!A140)</f>
        <v>136</v>
      </c>
      <c r="B140" s="19" t="str">
        <f>IF('Supplier selection'!B140="","",'Supplier selection'!B140)</f>
        <v/>
      </c>
      <c r="C140" s="19" t="str">
        <f>IF('Supplier selection'!C140="","",'Supplier selection'!C140)</f>
        <v/>
      </c>
      <c r="D140" s="19" t="str">
        <f>IF('Supplier selection'!D140="","",'Supplier selection'!D140)</f>
        <v/>
      </c>
      <c r="E140" s="19" t="str">
        <f>IF('Supplier selection'!E140="","",'Supplier selection'!E140)</f>
        <v/>
      </c>
      <c r="F140" s="19" t="str">
        <f>IF('Supplier selection'!F140="","",'Supplier selection'!F140)</f>
        <v/>
      </c>
      <c r="G140" s="19" t="str">
        <f>IF('Supplier selection'!G140="","",'Supplier selection'!G140)</f>
        <v/>
      </c>
      <c r="H140" s="19" t="str">
        <f>IF('Supplier selection'!H140="","",'Supplier selection'!H140)</f>
        <v/>
      </c>
      <c r="I140" s="19" t="str">
        <f>IF('Supplier selection'!I140="","",'Supplier selection'!I140)</f>
        <v/>
      </c>
      <c r="J140" s="19" t="str">
        <f>IF('Supplier selection'!J140="","",'Supplier selection'!J140)</f>
        <v/>
      </c>
      <c r="K140" s="19" t="str">
        <f>IF('Supplier selection'!K140="","",'Supplier selection'!K140)</f>
        <v/>
      </c>
      <c r="L140" s="19" t="str">
        <f>IF('Supplier selection'!L140="","",'Supplier selection'!L140)</f>
        <v/>
      </c>
      <c r="M140" s="19" t="str">
        <f>IF('Supplier selection'!M140="","",'Supplier selection'!M140)</f>
        <v/>
      </c>
      <c r="N140" s="19" t="str">
        <f>IF('Supplier selection'!N140="","",'Supplier selection'!N140)</f>
        <v/>
      </c>
      <c r="O140" s="19" t="str">
        <f>IF('Supplier selection'!O140="","",'Supplier selection'!O140)</f>
        <v/>
      </c>
      <c r="Q140" s="19" t="str">
        <f>HLOOKUP($Q$3,'Supplier selection'!$AW$4:'Supplier selection'!$CT$1000,$A141,FALSE)</f>
        <v/>
      </c>
      <c r="R140" s="22" t="str">
        <f t="shared" si="22"/>
        <v/>
      </c>
      <c r="S140" s="19" t="str">
        <f t="shared" si="23"/>
        <v/>
      </c>
      <c r="T140" s="22" t="str">
        <f t="shared" si="24"/>
        <v/>
      </c>
      <c r="U140" s="19" t="str">
        <f t="shared" si="25"/>
        <v/>
      </c>
      <c r="V140" s="7"/>
      <c r="Y140" s="19" t="str">
        <f>IF('Supplier selection'!AQ140="","",'Supplier selection'!AQ140)</f>
        <v/>
      </c>
      <c r="Z140" s="19" t="str">
        <f>IF('Supplier selection'!AR140="","",'Supplier selection'!AR140)</f>
        <v/>
      </c>
      <c r="AA140" s="19" t="str">
        <f t="shared" si="26"/>
        <v/>
      </c>
      <c r="AD140" s="26" t="str">
        <f>IF(AND('Supplier selection'!X140="",'Supplier selection'!AE140=""),"",IF('Supplier selection'!X140="",'Supplier selection'!AE140,'Supplier selection'!X140))</f>
        <v/>
      </c>
      <c r="AE140" s="19" t="str">
        <f t="shared" si="27"/>
        <v/>
      </c>
      <c r="AF140" s="19" t="str">
        <f t="shared" si="28"/>
        <v/>
      </c>
      <c r="AG140" s="27" t="str">
        <f>IF(AND('Supplier selection'!AB140="",'Supplier selection'!AI140=""),"",IF('Supplier selection'!AB140="",'Supplier selection'!AI140,'Supplier selection'!AB140))</f>
        <v/>
      </c>
      <c r="AH140" s="28" t="str">
        <f t="shared" si="29"/>
        <v/>
      </c>
      <c r="AI140" s="7" t="str">
        <f t="shared" si="30"/>
        <v/>
      </c>
      <c r="AJ140" s="22" t="str">
        <f t="shared" si="31"/>
        <v/>
      </c>
      <c r="AK140" s="29" t="str">
        <f t="shared" si="32"/>
        <v/>
      </c>
      <c r="AL140" s="10"/>
    </row>
    <row r="141" spans="1:38">
      <c r="A141" s="19">
        <f>IF('Supplier selection'!A141="","",'Supplier selection'!A141)</f>
        <v>137</v>
      </c>
      <c r="B141" s="19" t="str">
        <f>IF('Supplier selection'!B141="","",'Supplier selection'!B141)</f>
        <v/>
      </c>
      <c r="C141" s="19" t="str">
        <f>IF('Supplier selection'!C141="","",'Supplier selection'!C141)</f>
        <v/>
      </c>
      <c r="D141" s="19" t="str">
        <f>IF('Supplier selection'!D141="","",'Supplier selection'!D141)</f>
        <v/>
      </c>
      <c r="E141" s="19" t="str">
        <f>IF('Supplier selection'!E141="","",'Supplier selection'!E141)</f>
        <v/>
      </c>
      <c r="F141" s="19" t="str">
        <f>IF('Supplier selection'!F141="","",'Supplier selection'!F141)</f>
        <v/>
      </c>
      <c r="G141" s="19" t="str">
        <f>IF('Supplier selection'!G141="","",'Supplier selection'!G141)</f>
        <v/>
      </c>
      <c r="H141" s="19" t="str">
        <f>IF('Supplier selection'!H141="","",'Supplier selection'!H141)</f>
        <v/>
      </c>
      <c r="I141" s="19" t="str">
        <f>IF('Supplier selection'!I141="","",'Supplier selection'!I141)</f>
        <v/>
      </c>
      <c r="J141" s="19" t="str">
        <f>IF('Supplier selection'!J141="","",'Supplier selection'!J141)</f>
        <v/>
      </c>
      <c r="K141" s="19" t="str">
        <f>IF('Supplier selection'!K141="","",'Supplier selection'!K141)</f>
        <v/>
      </c>
      <c r="L141" s="19" t="str">
        <f>IF('Supplier selection'!L141="","",'Supplier selection'!L141)</f>
        <v/>
      </c>
      <c r="M141" s="19" t="str">
        <f>IF('Supplier selection'!M141="","",'Supplier selection'!M141)</f>
        <v/>
      </c>
      <c r="N141" s="19" t="str">
        <f>IF('Supplier selection'!N141="","",'Supplier selection'!N141)</f>
        <v/>
      </c>
      <c r="O141" s="19" t="str">
        <f>IF('Supplier selection'!O141="","",'Supplier selection'!O141)</f>
        <v/>
      </c>
      <c r="Q141" s="19" t="str">
        <f>HLOOKUP($Q$3,'Supplier selection'!$AW$4:'Supplier selection'!$CT$1000,$A142,FALSE)</f>
        <v/>
      </c>
      <c r="R141" s="22" t="str">
        <f t="shared" si="22"/>
        <v/>
      </c>
      <c r="S141" s="19" t="str">
        <f t="shared" si="23"/>
        <v/>
      </c>
      <c r="T141" s="22" t="str">
        <f t="shared" si="24"/>
        <v/>
      </c>
      <c r="U141" s="19" t="str">
        <f t="shared" si="25"/>
        <v/>
      </c>
      <c r="V141" s="7"/>
      <c r="Y141" s="19" t="str">
        <f>IF('Supplier selection'!AQ141="","",'Supplier selection'!AQ141)</f>
        <v/>
      </c>
      <c r="Z141" s="19" t="str">
        <f>IF('Supplier selection'!AR141="","",'Supplier selection'!AR141)</f>
        <v/>
      </c>
      <c r="AA141" s="19" t="str">
        <f t="shared" si="26"/>
        <v/>
      </c>
      <c r="AD141" s="26" t="str">
        <f>IF(AND('Supplier selection'!X141="",'Supplier selection'!AE141=""),"",IF('Supplier selection'!X141="",'Supplier selection'!AE141,'Supplier selection'!X141))</f>
        <v/>
      </c>
      <c r="AE141" s="19" t="str">
        <f t="shared" si="27"/>
        <v/>
      </c>
      <c r="AF141" s="19" t="str">
        <f t="shared" si="28"/>
        <v/>
      </c>
      <c r="AG141" s="27" t="str">
        <f>IF(AND('Supplier selection'!AB141="",'Supplier selection'!AI141=""),"",IF('Supplier selection'!AB141="",'Supplier selection'!AI141,'Supplier selection'!AB141))</f>
        <v/>
      </c>
      <c r="AH141" s="28" t="str">
        <f t="shared" si="29"/>
        <v/>
      </c>
      <c r="AI141" s="7" t="str">
        <f t="shared" si="30"/>
        <v/>
      </c>
      <c r="AJ141" s="22" t="str">
        <f t="shared" si="31"/>
        <v/>
      </c>
      <c r="AK141" s="29" t="str">
        <f t="shared" si="32"/>
        <v/>
      </c>
      <c r="AL141" s="10"/>
    </row>
    <row r="142" spans="1:38">
      <c r="A142" s="19">
        <f>IF('Supplier selection'!A142="","",'Supplier selection'!A142)</f>
        <v>138</v>
      </c>
      <c r="B142" s="19" t="str">
        <f>IF('Supplier selection'!B142="","",'Supplier selection'!B142)</f>
        <v/>
      </c>
      <c r="C142" s="19" t="str">
        <f>IF('Supplier selection'!C142="","",'Supplier selection'!C142)</f>
        <v/>
      </c>
      <c r="D142" s="19" t="str">
        <f>IF('Supplier selection'!D142="","",'Supplier selection'!D142)</f>
        <v/>
      </c>
      <c r="E142" s="19" t="str">
        <f>IF('Supplier selection'!E142="","",'Supplier selection'!E142)</f>
        <v/>
      </c>
      <c r="F142" s="19" t="str">
        <f>IF('Supplier selection'!F142="","",'Supplier selection'!F142)</f>
        <v/>
      </c>
      <c r="G142" s="19" t="str">
        <f>IF('Supplier selection'!G142="","",'Supplier selection'!G142)</f>
        <v/>
      </c>
      <c r="H142" s="19" t="str">
        <f>IF('Supplier selection'!H142="","",'Supplier selection'!H142)</f>
        <v/>
      </c>
      <c r="I142" s="19" t="str">
        <f>IF('Supplier selection'!I142="","",'Supplier selection'!I142)</f>
        <v/>
      </c>
      <c r="J142" s="19" t="str">
        <f>IF('Supplier selection'!J142="","",'Supplier selection'!J142)</f>
        <v/>
      </c>
      <c r="K142" s="19" t="str">
        <f>IF('Supplier selection'!K142="","",'Supplier selection'!K142)</f>
        <v/>
      </c>
      <c r="L142" s="19" t="str">
        <f>IF('Supplier selection'!L142="","",'Supplier selection'!L142)</f>
        <v/>
      </c>
      <c r="M142" s="19" t="str">
        <f>IF('Supplier selection'!M142="","",'Supplier selection'!M142)</f>
        <v/>
      </c>
      <c r="N142" s="19" t="str">
        <f>IF('Supplier selection'!N142="","",'Supplier selection'!N142)</f>
        <v/>
      </c>
      <c r="O142" s="19" t="str">
        <f>IF('Supplier selection'!O142="","",'Supplier selection'!O142)</f>
        <v/>
      </c>
      <c r="Q142" s="19" t="str">
        <f>HLOOKUP($Q$3,'Supplier selection'!$AW$4:'Supplier selection'!$CT$1000,$A143,FALSE)</f>
        <v/>
      </c>
      <c r="R142" s="22" t="str">
        <f t="shared" si="22"/>
        <v/>
      </c>
      <c r="S142" s="19" t="str">
        <f t="shared" si="23"/>
        <v/>
      </c>
      <c r="T142" s="22" t="str">
        <f t="shared" si="24"/>
        <v/>
      </c>
      <c r="U142" s="19" t="str">
        <f t="shared" si="25"/>
        <v/>
      </c>
      <c r="V142" s="7"/>
      <c r="Y142" s="19" t="str">
        <f>IF('Supplier selection'!AQ142="","",'Supplier selection'!AQ142)</f>
        <v/>
      </c>
      <c r="Z142" s="19" t="str">
        <f>IF('Supplier selection'!AR142="","",'Supplier selection'!AR142)</f>
        <v/>
      </c>
      <c r="AA142" s="19" t="str">
        <f t="shared" si="26"/>
        <v/>
      </c>
      <c r="AD142" s="26" t="str">
        <f>IF(AND('Supplier selection'!X142="",'Supplier selection'!AE142=""),"",IF('Supplier selection'!X142="",'Supplier selection'!AE142,'Supplier selection'!X142))</f>
        <v/>
      </c>
      <c r="AE142" s="19" t="str">
        <f t="shared" si="27"/>
        <v/>
      </c>
      <c r="AF142" s="19" t="str">
        <f t="shared" si="28"/>
        <v/>
      </c>
      <c r="AG142" s="27" t="str">
        <f>IF(AND('Supplier selection'!AB142="",'Supplier selection'!AI142=""),"",IF('Supplier selection'!AB142="",'Supplier selection'!AI142,'Supplier selection'!AB142))</f>
        <v/>
      </c>
      <c r="AH142" s="28" t="str">
        <f t="shared" si="29"/>
        <v/>
      </c>
      <c r="AI142" s="7" t="str">
        <f t="shared" si="30"/>
        <v/>
      </c>
      <c r="AJ142" s="22" t="str">
        <f t="shared" si="31"/>
        <v/>
      </c>
      <c r="AK142" s="29" t="str">
        <f t="shared" si="32"/>
        <v/>
      </c>
      <c r="AL142" s="10"/>
    </row>
    <row r="143" spans="1:38">
      <c r="A143" s="19">
        <f>IF('Supplier selection'!A143="","",'Supplier selection'!A143)</f>
        <v>139</v>
      </c>
      <c r="B143" s="19" t="str">
        <f>IF('Supplier selection'!B143="","",'Supplier selection'!B143)</f>
        <v/>
      </c>
      <c r="C143" s="19" t="str">
        <f>IF('Supplier selection'!C143="","",'Supplier selection'!C143)</f>
        <v/>
      </c>
      <c r="D143" s="19" t="str">
        <f>IF('Supplier selection'!D143="","",'Supplier selection'!D143)</f>
        <v/>
      </c>
      <c r="E143" s="19" t="str">
        <f>IF('Supplier selection'!E143="","",'Supplier selection'!E143)</f>
        <v/>
      </c>
      <c r="F143" s="19" t="str">
        <f>IF('Supplier selection'!F143="","",'Supplier selection'!F143)</f>
        <v/>
      </c>
      <c r="G143" s="19" t="str">
        <f>IF('Supplier selection'!G143="","",'Supplier selection'!G143)</f>
        <v/>
      </c>
      <c r="H143" s="19" t="str">
        <f>IF('Supplier selection'!H143="","",'Supplier selection'!H143)</f>
        <v/>
      </c>
      <c r="I143" s="19" t="str">
        <f>IF('Supplier selection'!I143="","",'Supplier selection'!I143)</f>
        <v/>
      </c>
      <c r="J143" s="19" t="str">
        <f>IF('Supplier selection'!J143="","",'Supplier selection'!J143)</f>
        <v/>
      </c>
      <c r="K143" s="19" t="str">
        <f>IF('Supplier selection'!K143="","",'Supplier selection'!K143)</f>
        <v/>
      </c>
      <c r="L143" s="19" t="str">
        <f>IF('Supplier selection'!L143="","",'Supplier selection'!L143)</f>
        <v/>
      </c>
      <c r="M143" s="19" t="str">
        <f>IF('Supplier selection'!M143="","",'Supplier selection'!M143)</f>
        <v/>
      </c>
      <c r="N143" s="19" t="str">
        <f>IF('Supplier selection'!N143="","",'Supplier selection'!N143)</f>
        <v/>
      </c>
      <c r="O143" s="19" t="str">
        <f>IF('Supplier selection'!O143="","",'Supplier selection'!O143)</f>
        <v/>
      </c>
      <c r="Q143" s="19" t="str">
        <f>HLOOKUP($Q$3,'Supplier selection'!$AW$4:'Supplier selection'!$CT$1000,$A144,FALSE)</f>
        <v/>
      </c>
      <c r="R143" s="22" t="str">
        <f t="shared" si="22"/>
        <v/>
      </c>
      <c r="S143" s="19" t="str">
        <f t="shared" si="23"/>
        <v/>
      </c>
      <c r="T143" s="22" t="str">
        <f t="shared" si="24"/>
        <v/>
      </c>
      <c r="U143" s="19" t="str">
        <f t="shared" si="25"/>
        <v/>
      </c>
      <c r="V143" s="7"/>
      <c r="Y143" s="19" t="str">
        <f>IF('Supplier selection'!AQ143="","",'Supplier selection'!AQ143)</f>
        <v/>
      </c>
      <c r="Z143" s="19" t="str">
        <f>IF('Supplier selection'!AR143="","",'Supplier selection'!AR143)</f>
        <v/>
      </c>
      <c r="AA143" s="19" t="str">
        <f t="shared" si="26"/>
        <v/>
      </c>
      <c r="AD143" s="26" t="str">
        <f>IF(AND('Supplier selection'!X143="",'Supplier selection'!AE143=""),"",IF('Supplier selection'!X143="",'Supplier selection'!AE143,'Supplier selection'!X143))</f>
        <v/>
      </c>
      <c r="AE143" s="19" t="str">
        <f t="shared" si="27"/>
        <v/>
      </c>
      <c r="AF143" s="19" t="str">
        <f t="shared" si="28"/>
        <v/>
      </c>
      <c r="AG143" s="27" t="str">
        <f>IF(AND('Supplier selection'!AB143="",'Supplier selection'!AI143=""),"",IF('Supplier selection'!AB143="",'Supplier selection'!AI143,'Supplier selection'!AB143))</f>
        <v/>
      </c>
      <c r="AH143" s="28" t="str">
        <f t="shared" si="29"/>
        <v/>
      </c>
      <c r="AI143" s="7" t="str">
        <f t="shared" si="30"/>
        <v/>
      </c>
      <c r="AJ143" s="22" t="str">
        <f t="shared" si="31"/>
        <v/>
      </c>
      <c r="AK143" s="29" t="str">
        <f t="shared" si="32"/>
        <v/>
      </c>
      <c r="AL143" s="10"/>
    </row>
    <row r="144" spans="1:38">
      <c r="A144" s="19">
        <f>IF('Supplier selection'!A144="","",'Supplier selection'!A144)</f>
        <v>140</v>
      </c>
      <c r="B144" s="19" t="str">
        <f>IF('Supplier selection'!B144="","",'Supplier selection'!B144)</f>
        <v/>
      </c>
      <c r="C144" s="19" t="str">
        <f>IF('Supplier selection'!C144="","",'Supplier selection'!C144)</f>
        <v/>
      </c>
      <c r="D144" s="19" t="str">
        <f>IF('Supplier selection'!D144="","",'Supplier selection'!D144)</f>
        <v/>
      </c>
      <c r="E144" s="19" t="str">
        <f>IF('Supplier selection'!E144="","",'Supplier selection'!E144)</f>
        <v/>
      </c>
      <c r="F144" s="19" t="str">
        <f>IF('Supplier selection'!F144="","",'Supplier selection'!F144)</f>
        <v/>
      </c>
      <c r="G144" s="19" t="str">
        <f>IF('Supplier selection'!G144="","",'Supplier selection'!G144)</f>
        <v/>
      </c>
      <c r="H144" s="19" t="str">
        <f>IF('Supplier selection'!H144="","",'Supplier selection'!H144)</f>
        <v/>
      </c>
      <c r="I144" s="19" t="str">
        <f>IF('Supplier selection'!I144="","",'Supplier selection'!I144)</f>
        <v/>
      </c>
      <c r="J144" s="19" t="str">
        <f>IF('Supplier selection'!J144="","",'Supplier selection'!J144)</f>
        <v/>
      </c>
      <c r="K144" s="19" t="str">
        <f>IF('Supplier selection'!K144="","",'Supplier selection'!K144)</f>
        <v/>
      </c>
      <c r="L144" s="19" t="str">
        <f>IF('Supplier selection'!L144="","",'Supplier selection'!L144)</f>
        <v/>
      </c>
      <c r="M144" s="19" t="str">
        <f>IF('Supplier selection'!M144="","",'Supplier selection'!M144)</f>
        <v/>
      </c>
      <c r="N144" s="19" t="str">
        <f>IF('Supplier selection'!N144="","",'Supplier selection'!N144)</f>
        <v/>
      </c>
      <c r="O144" s="19" t="str">
        <f>IF('Supplier selection'!O144="","",'Supplier selection'!O144)</f>
        <v/>
      </c>
      <c r="Q144" s="19" t="str">
        <f>HLOOKUP($Q$3,'Supplier selection'!$AW$4:'Supplier selection'!$CT$1000,$A145,FALSE)</f>
        <v/>
      </c>
      <c r="R144" s="22" t="str">
        <f t="shared" si="22"/>
        <v/>
      </c>
      <c r="S144" s="19" t="str">
        <f t="shared" si="23"/>
        <v/>
      </c>
      <c r="T144" s="22" t="str">
        <f t="shared" si="24"/>
        <v/>
      </c>
      <c r="U144" s="19" t="str">
        <f t="shared" si="25"/>
        <v/>
      </c>
      <c r="V144" s="7"/>
      <c r="Y144" s="19" t="str">
        <f>IF('Supplier selection'!AQ144="","",'Supplier selection'!AQ144)</f>
        <v/>
      </c>
      <c r="Z144" s="19" t="str">
        <f>IF('Supplier selection'!AR144="","",'Supplier selection'!AR144)</f>
        <v/>
      </c>
      <c r="AA144" s="19" t="str">
        <f t="shared" si="26"/>
        <v/>
      </c>
      <c r="AD144" s="26" t="str">
        <f>IF(AND('Supplier selection'!X144="",'Supplier selection'!AE144=""),"",IF('Supplier selection'!X144="",'Supplier selection'!AE144,'Supplier selection'!X144))</f>
        <v/>
      </c>
      <c r="AE144" s="19" t="str">
        <f t="shared" si="27"/>
        <v/>
      </c>
      <c r="AF144" s="19" t="str">
        <f t="shared" si="28"/>
        <v/>
      </c>
      <c r="AG144" s="27" t="str">
        <f>IF(AND('Supplier selection'!AB144="",'Supplier selection'!AI144=""),"",IF('Supplier selection'!AB144="",'Supplier selection'!AI144,'Supplier selection'!AB144))</f>
        <v/>
      </c>
      <c r="AH144" s="28" t="str">
        <f t="shared" si="29"/>
        <v/>
      </c>
      <c r="AI144" s="7" t="str">
        <f t="shared" si="30"/>
        <v/>
      </c>
      <c r="AJ144" s="22" t="str">
        <f t="shared" si="31"/>
        <v/>
      </c>
      <c r="AK144" s="29" t="str">
        <f t="shared" si="32"/>
        <v/>
      </c>
      <c r="AL144" s="10"/>
    </row>
    <row r="145" spans="1:38">
      <c r="A145" s="19">
        <f>IF('Supplier selection'!A145="","",'Supplier selection'!A145)</f>
        <v>141</v>
      </c>
      <c r="B145" s="19" t="str">
        <f>IF('Supplier selection'!B145="","",'Supplier selection'!B145)</f>
        <v/>
      </c>
      <c r="C145" s="19" t="str">
        <f>IF('Supplier selection'!C145="","",'Supplier selection'!C145)</f>
        <v/>
      </c>
      <c r="D145" s="19" t="str">
        <f>IF('Supplier selection'!D145="","",'Supplier selection'!D145)</f>
        <v/>
      </c>
      <c r="E145" s="19" t="str">
        <f>IF('Supplier selection'!E145="","",'Supplier selection'!E145)</f>
        <v/>
      </c>
      <c r="F145" s="19" t="str">
        <f>IF('Supplier selection'!F145="","",'Supplier selection'!F145)</f>
        <v/>
      </c>
      <c r="G145" s="19" t="str">
        <f>IF('Supplier selection'!G145="","",'Supplier selection'!G145)</f>
        <v/>
      </c>
      <c r="H145" s="19" t="str">
        <f>IF('Supplier selection'!H145="","",'Supplier selection'!H145)</f>
        <v/>
      </c>
      <c r="I145" s="19" t="str">
        <f>IF('Supplier selection'!I145="","",'Supplier selection'!I145)</f>
        <v/>
      </c>
      <c r="J145" s="19" t="str">
        <f>IF('Supplier selection'!J145="","",'Supplier selection'!J145)</f>
        <v/>
      </c>
      <c r="K145" s="19" t="str">
        <f>IF('Supplier selection'!K145="","",'Supplier selection'!K145)</f>
        <v/>
      </c>
      <c r="L145" s="19" t="str">
        <f>IF('Supplier selection'!L145="","",'Supplier selection'!L145)</f>
        <v/>
      </c>
      <c r="M145" s="19" t="str">
        <f>IF('Supplier selection'!M145="","",'Supplier selection'!M145)</f>
        <v/>
      </c>
      <c r="N145" s="19" t="str">
        <f>IF('Supplier selection'!N145="","",'Supplier selection'!N145)</f>
        <v/>
      </c>
      <c r="O145" s="19" t="str">
        <f>IF('Supplier selection'!O145="","",'Supplier selection'!O145)</f>
        <v/>
      </c>
      <c r="Q145" s="19" t="str">
        <f>HLOOKUP($Q$3,'Supplier selection'!$AW$4:'Supplier selection'!$CT$1000,$A146,FALSE)</f>
        <v/>
      </c>
      <c r="R145" s="22" t="str">
        <f t="shared" si="22"/>
        <v/>
      </c>
      <c r="S145" s="19" t="str">
        <f t="shared" si="23"/>
        <v/>
      </c>
      <c r="T145" s="22" t="str">
        <f t="shared" si="24"/>
        <v/>
      </c>
      <c r="U145" s="19" t="str">
        <f t="shared" si="25"/>
        <v/>
      </c>
      <c r="V145" s="7"/>
      <c r="Y145" s="19" t="str">
        <f>IF('Supplier selection'!AQ145="","",'Supplier selection'!AQ145)</f>
        <v/>
      </c>
      <c r="Z145" s="19" t="str">
        <f>IF('Supplier selection'!AR145="","",'Supplier selection'!AR145)</f>
        <v/>
      </c>
      <c r="AA145" s="19" t="str">
        <f t="shared" si="26"/>
        <v/>
      </c>
      <c r="AD145" s="26" t="str">
        <f>IF(AND('Supplier selection'!X145="",'Supplier selection'!AE145=""),"",IF('Supplier selection'!X145="",'Supplier selection'!AE145,'Supplier selection'!X145))</f>
        <v/>
      </c>
      <c r="AE145" s="19" t="str">
        <f t="shared" si="27"/>
        <v/>
      </c>
      <c r="AF145" s="19" t="str">
        <f t="shared" si="28"/>
        <v/>
      </c>
      <c r="AG145" s="27" t="str">
        <f>IF(AND('Supplier selection'!AB145="",'Supplier selection'!AI145=""),"",IF('Supplier selection'!AB145="",'Supplier selection'!AI145,'Supplier selection'!AB145))</f>
        <v/>
      </c>
      <c r="AH145" s="28" t="str">
        <f t="shared" si="29"/>
        <v/>
      </c>
      <c r="AI145" s="7" t="str">
        <f t="shared" si="30"/>
        <v/>
      </c>
      <c r="AJ145" s="22" t="str">
        <f t="shared" si="31"/>
        <v/>
      </c>
      <c r="AK145" s="29" t="str">
        <f t="shared" si="32"/>
        <v/>
      </c>
      <c r="AL145" s="10"/>
    </row>
    <row r="146" spans="1:38">
      <c r="A146" s="19">
        <f>IF('Supplier selection'!A146="","",'Supplier selection'!A146)</f>
        <v>142</v>
      </c>
      <c r="B146" s="19" t="str">
        <f>IF('Supplier selection'!B146="","",'Supplier selection'!B146)</f>
        <v/>
      </c>
      <c r="C146" s="19" t="str">
        <f>IF('Supplier selection'!C146="","",'Supplier selection'!C146)</f>
        <v/>
      </c>
      <c r="D146" s="19" t="str">
        <f>IF('Supplier selection'!D146="","",'Supplier selection'!D146)</f>
        <v/>
      </c>
      <c r="E146" s="19" t="str">
        <f>IF('Supplier selection'!E146="","",'Supplier selection'!E146)</f>
        <v/>
      </c>
      <c r="F146" s="19" t="str">
        <f>IF('Supplier selection'!F146="","",'Supplier selection'!F146)</f>
        <v/>
      </c>
      <c r="G146" s="19" t="str">
        <f>IF('Supplier selection'!G146="","",'Supplier selection'!G146)</f>
        <v/>
      </c>
      <c r="H146" s="19" t="str">
        <f>IF('Supplier selection'!H146="","",'Supplier selection'!H146)</f>
        <v/>
      </c>
      <c r="I146" s="19" t="str">
        <f>IF('Supplier selection'!I146="","",'Supplier selection'!I146)</f>
        <v/>
      </c>
      <c r="J146" s="19" t="str">
        <f>IF('Supplier selection'!J146="","",'Supplier selection'!J146)</f>
        <v/>
      </c>
      <c r="K146" s="19" t="str">
        <f>IF('Supplier selection'!K146="","",'Supplier selection'!K146)</f>
        <v/>
      </c>
      <c r="L146" s="19" t="str">
        <f>IF('Supplier selection'!L146="","",'Supplier selection'!L146)</f>
        <v/>
      </c>
      <c r="M146" s="19" t="str">
        <f>IF('Supplier selection'!M146="","",'Supplier selection'!M146)</f>
        <v/>
      </c>
      <c r="N146" s="19" t="str">
        <f>IF('Supplier selection'!N146="","",'Supplier selection'!N146)</f>
        <v/>
      </c>
      <c r="O146" s="19" t="str">
        <f>IF('Supplier selection'!O146="","",'Supplier selection'!O146)</f>
        <v/>
      </c>
      <c r="Q146" s="19" t="str">
        <f>HLOOKUP($Q$3,'Supplier selection'!$AW$4:'Supplier selection'!$CT$1000,$A147,FALSE)</f>
        <v/>
      </c>
      <c r="R146" s="22" t="str">
        <f t="shared" si="22"/>
        <v/>
      </c>
      <c r="S146" s="19" t="str">
        <f t="shared" si="23"/>
        <v/>
      </c>
      <c r="T146" s="22" t="str">
        <f t="shared" si="24"/>
        <v/>
      </c>
      <c r="U146" s="19" t="str">
        <f t="shared" si="25"/>
        <v/>
      </c>
      <c r="V146" s="7"/>
      <c r="Y146" s="19" t="str">
        <f>IF('Supplier selection'!AQ146="","",'Supplier selection'!AQ146)</f>
        <v/>
      </c>
      <c r="Z146" s="19" t="str">
        <f>IF('Supplier selection'!AR146="","",'Supplier selection'!AR146)</f>
        <v/>
      </c>
      <c r="AA146" s="19" t="str">
        <f t="shared" si="26"/>
        <v/>
      </c>
      <c r="AD146" s="26" t="str">
        <f>IF(AND('Supplier selection'!X146="",'Supplier selection'!AE146=""),"",IF('Supplier selection'!X146="",'Supplier selection'!AE146,'Supplier selection'!X146))</f>
        <v/>
      </c>
      <c r="AE146" s="19" t="str">
        <f t="shared" si="27"/>
        <v/>
      </c>
      <c r="AF146" s="19" t="str">
        <f t="shared" si="28"/>
        <v/>
      </c>
      <c r="AG146" s="27" t="str">
        <f>IF(AND('Supplier selection'!AB146="",'Supplier selection'!AI146=""),"",IF('Supplier selection'!AB146="",'Supplier selection'!AI146,'Supplier selection'!AB146))</f>
        <v/>
      </c>
      <c r="AH146" s="28" t="str">
        <f t="shared" si="29"/>
        <v/>
      </c>
      <c r="AI146" s="7" t="str">
        <f t="shared" si="30"/>
        <v/>
      </c>
      <c r="AJ146" s="22" t="str">
        <f t="shared" si="31"/>
        <v/>
      </c>
      <c r="AK146" s="29" t="str">
        <f t="shared" si="32"/>
        <v/>
      </c>
      <c r="AL146" s="10"/>
    </row>
    <row r="147" spans="1:38">
      <c r="A147" s="19">
        <f>IF('Supplier selection'!A147="","",'Supplier selection'!A147)</f>
        <v>143</v>
      </c>
      <c r="B147" s="19" t="str">
        <f>IF('Supplier selection'!B147="","",'Supplier selection'!B147)</f>
        <v/>
      </c>
      <c r="C147" s="19" t="str">
        <f>IF('Supplier selection'!C147="","",'Supplier selection'!C147)</f>
        <v/>
      </c>
      <c r="D147" s="19" t="str">
        <f>IF('Supplier selection'!D147="","",'Supplier selection'!D147)</f>
        <v/>
      </c>
      <c r="E147" s="19" t="str">
        <f>IF('Supplier selection'!E147="","",'Supplier selection'!E147)</f>
        <v/>
      </c>
      <c r="F147" s="19" t="str">
        <f>IF('Supplier selection'!F147="","",'Supplier selection'!F147)</f>
        <v/>
      </c>
      <c r="G147" s="19" t="str">
        <f>IF('Supplier selection'!G147="","",'Supplier selection'!G147)</f>
        <v/>
      </c>
      <c r="H147" s="19" t="str">
        <f>IF('Supplier selection'!H147="","",'Supplier selection'!H147)</f>
        <v/>
      </c>
      <c r="I147" s="19" t="str">
        <f>IF('Supplier selection'!I147="","",'Supplier selection'!I147)</f>
        <v/>
      </c>
      <c r="J147" s="19" t="str">
        <f>IF('Supplier selection'!J147="","",'Supplier selection'!J147)</f>
        <v/>
      </c>
      <c r="K147" s="19" t="str">
        <f>IF('Supplier selection'!K147="","",'Supplier selection'!K147)</f>
        <v/>
      </c>
      <c r="L147" s="19" t="str">
        <f>IF('Supplier selection'!L147="","",'Supplier selection'!L147)</f>
        <v/>
      </c>
      <c r="M147" s="19" t="str">
        <f>IF('Supplier selection'!M147="","",'Supplier selection'!M147)</f>
        <v/>
      </c>
      <c r="N147" s="19" t="str">
        <f>IF('Supplier selection'!N147="","",'Supplier selection'!N147)</f>
        <v/>
      </c>
      <c r="O147" s="19" t="str">
        <f>IF('Supplier selection'!O147="","",'Supplier selection'!O147)</f>
        <v/>
      </c>
      <c r="Q147" s="19" t="str">
        <f>HLOOKUP($Q$3,'Supplier selection'!$AW$4:'Supplier selection'!$CT$1000,$A148,FALSE)</f>
        <v/>
      </c>
      <c r="R147" s="22" t="str">
        <f t="shared" si="22"/>
        <v/>
      </c>
      <c r="S147" s="19" t="str">
        <f t="shared" si="23"/>
        <v/>
      </c>
      <c r="T147" s="22" t="str">
        <f t="shared" si="24"/>
        <v/>
      </c>
      <c r="U147" s="19" t="str">
        <f t="shared" si="25"/>
        <v/>
      </c>
      <c r="V147" s="7"/>
      <c r="Y147" s="19" t="str">
        <f>IF('Supplier selection'!AQ147="","",'Supplier selection'!AQ147)</f>
        <v/>
      </c>
      <c r="Z147" s="19" t="str">
        <f>IF('Supplier selection'!AR147="","",'Supplier selection'!AR147)</f>
        <v/>
      </c>
      <c r="AA147" s="19" t="str">
        <f t="shared" si="26"/>
        <v/>
      </c>
      <c r="AD147" s="26" t="str">
        <f>IF(AND('Supplier selection'!X147="",'Supplier selection'!AE147=""),"",IF('Supplier selection'!X147="",'Supplier selection'!AE147,'Supplier selection'!X147))</f>
        <v/>
      </c>
      <c r="AE147" s="19" t="str">
        <f t="shared" si="27"/>
        <v/>
      </c>
      <c r="AF147" s="19" t="str">
        <f t="shared" si="28"/>
        <v/>
      </c>
      <c r="AG147" s="27" t="str">
        <f>IF(AND('Supplier selection'!AB147="",'Supplier selection'!AI147=""),"",IF('Supplier selection'!AB147="",'Supplier selection'!AI147,'Supplier selection'!AB147))</f>
        <v/>
      </c>
      <c r="AH147" s="28" t="str">
        <f t="shared" si="29"/>
        <v/>
      </c>
      <c r="AI147" s="7" t="str">
        <f t="shared" si="30"/>
        <v/>
      </c>
      <c r="AJ147" s="22" t="str">
        <f t="shared" si="31"/>
        <v/>
      </c>
      <c r="AK147" s="29" t="str">
        <f t="shared" si="32"/>
        <v/>
      </c>
      <c r="AL147" s="10"/>
    </row>
    <row r="148" spans="1:38">
      <c r="A148" s="19">
        <f>IF('Supplier selection'!A148="","",'Supplier selection'!A148)</f>
        <v>144</v>
      </c>
      <c r="B148" s="19" t="str">
        <f>IF('Supplier selection'!B148="","",'Supplier selection'!B148)</f>
        <v/>
      </c>
      <c r="C148" s="19" t="str">
        <f>IF('Supplier selection'!C148="","",'Supplier selection'!C148)</f>
        <v/>
      </c>
      <c r="D148" s="19" t="str">
        <f>IF('Supplier selection'!D148="","",'Supplier selection'!D148)</f>
        <v/>
      </c>
      <c r="E148" s="19" t="str">
        <f>IF('Supplier selection'!E148="","",'Supplier selection'!E148)</f>
        <v/>
      </c>
      <c r="F148" s="19" t="str">
        <f>IF('Supplier selection'!F148="","",'Supplier selection'!F148)</f>
        <v/>
      </c>
      <c r="G148" s="19" t="str">
        <f>IF('Supplier selection'!G148="","",'Supplier selection'!G148)</f>
        <v/>
      </c>
      <c r="H148" s="19" t="str">
        <f>IF('Supplier selection'!H148="","",'Supplier selection'!H148)</f>
        <v/>
      </c>
      <c r="I148" s="19" t="str">
        <f>IF('Supplier selection'!I148="","",'Supplier selection'!I148)</f>
        <v/>
      </c>
      <c r="J148" s="19" t="str">
        <f>IF('Supplier selection'!J148="","",'Supplier selection'!J148)</f>
        <v/>
      </c>
      <c r="K148" s="19" t="str">
        <f>IF('Supplier selection'!K148="","",'Supplier selection'!K148)</f>
        <v/>
      </c>
      <c r="L148" s="19" t="str">
        <f>IF('Supplier selection'!L148="","",'Supplier selection'!L148)</f>
        <v/>
      </c>
      <c r="M148" s="19" t="str">
        <f>IF('Supplier selection'!M148="","",'Supplier selection'!M148)</f>
        <v/>
      </c>
      <c r="N148" s="19" t="str">
        <f>IF('Supplier selection'!N148="","",'Supplier selection'!N148)</f>
        <v/>
      </c>
      <c r="O148" s="19" t="str">
        <f>IF('Supplier selection'!O148="","",'Supplier selection'!O148)</f>
        <v/>
      </c>
      <c r="Q148" s="19" t="str">
        <f>HLOOKUP($Q$3,'Supplier selection'!$AW$4:'Supplier selection'!$CT$1000,$A149,FALSE)</f>
        <v/>
      </c>
      <c r="R148" s="22" t="str">
        <f t="shared" si="22"/>
        <v/>
      </c>
      <c r="S148" s="19" t="str">
        <f t="shared" si="23"/>
        <v/>
      </c>
      <c r="T148" s="22" t="str">
        <f t="shared" si="24"/>
        <v/>
      </c>
      <c r="U148" s="19" t="str">
        <f t="shared" si="25"/>
        <v/>
      </c>
      <c r="V148" s="7"/>
      <c r="Y148" s="19" t="str">
        <f>IF('Supplier selection'!AQ148="","",'Supplier selection'!AQ148)</f>
        <v/>
      </c>
      <c r="Z148" s="19" t="str">
        <f>IF('Supplier selection'!AR148="","",'Supplier selection'!AR148)</f>
        <v/>
      </c>
      <c r="AA148" s="19" t="str">
        <f t="shared" si="26"/>
        <v/>
      </c>
      <c r="AD148" s="26" t="str">
        <f>IF(AND('Supplier selection'!X148="",'Supplier selection'!AE148=""),"",IF('Supplier selection'!X148="",'Supplier selection'!AE148,'Supplier selection'!X148))</f>
        <v/>
      </c>
      <c r="AE148" s="19" t="str">
        <f t="shared" si="27"/>
        <v/>
      </c>
      <c r="AF148" s="19" t="str">
        <f t="shared" si="28"/>
        <v/>
      </c>
      <c r="AG148" s="27" t="str">
        <f>IF(AND('Supplier selection'!AB148="",'Supplier selection'!AI148=""),"",IF('Supplier selection'!AB148="",'Supplier selection'!AI148,'Supplier selection'!AB148))</f>
        <v/>
      </c>
      <c r="AH148" s="28" t="str">
        <f t="shared" si="29"/>
        <v/>
      </c>
      <c r="AI148" s="7" t="str">
        <f t="shared" si="30"/>
        <v/>
      </c>
      <c r="AJ148" s="22" t="str">
        <f t="shared" si="31"/>
        <v/>
      </c>
      <c r="AK148" s="29" t="str">
        <f t="shared" si="32"/>
        <v/>
      </c>
      <c r="AL148" s="10"/>
    </row>
    <row r="149" spans="1:38">
      <c r="A149" s="19">
        <f>IF('Supplier selection'!A149="","",'Supplier selection'!A149)</f>
        <v>145</v>
      </c>
      <c r="B149" s="19" t="str">
        <f>IF('Supplier selection'!B149="","",'Supplier selection'!B149)</f>
        <v/>
      </c>
      <c r="C149" s="19" t="str">
        <f>IF('Supplier selection'!C149="","",'Supplier selection'!C149)</f>
        <v/>
      </c>
      <c r="D149" s="19" t="str">
        <f>IF('Supplier selection'!D149="","",'Supplier selection'!D149)</f>
        <v/>
      </c>
      <c r="E149" s="19" t="str">
        <f>IF('Supplier selection'!E149="","",'Supplier selection'!E149)</f>
        <v/>
      </c>
      <c r="F149" s="19" t="str">
        <f>IF('Supplier selection'!F149="","",'Supplier selection'!F149)</f>
        <v/>
      </c>
      <c r="G149" s="19" t="str">
        <f>IF('Supplier selection'!G149="","",'Supplier selection'!G149)</f>
        <v/>
      </c>
      <c r="H149" s="19" t="str">
        <f>IF('Supplier selection'!H149="","",'Supplier selection'!H149)</f>
        <v/>
      </c>
      <c r="I149" s="19" t="str">
        <f>IF('Supplier selection'!I149="","",'Supplier selection'!I149)</f>
        <v/>
      </c>
      <c r="J149" s="19" t="str">
        <f>IF('Supplier selection'!J149="","",'Supplier selection'!J149)</f>
        <v/>
      </c>
      <c r="K149" s="19" t="str">
        <f>IF('Supplier selection'!K149="","",'Supplier selection'!K149)</f>
        <v/>
      </c>
      <c r="L149" s="19" t="str">
        <f>IF('Supplier selection'!L149="","",'Supplier selection'!L149)</f>
        <v/>
      </c>
      <c r="M149" s="19" t="str">
        <f>IF('Supplier selection'!M149="","",'Supplier selection'!M149)</f>
        <v/>
      </c>
      <c r="N149" s="19" t="str">
        <f>IF('Supplier selection'!N149="","",'Supplier selection'!N149)</f>
        <v/>
      </c>
      <c r="O149" s="19" t="str">
        <f>IF('Supplier selection'!O149="","",'Supplier selection'!O149)</f>
        <v/>
      </c>
      <c r="Q149" s="19" t="str">
        <f>HLOOKUP($Q$3,'Supplier selection'!$AW$4:'Supplier selection'!$CT$1000,$A150,FALSE)</f>
        <v/>
      </c>
      <c r="R149" s="22" t="str">
        <f t="shared" si="22"/>
        <v/>
      </c>
      <c r="S149" s="19" t="str">
        <f t="shared" si="23"/>
        <v/>
      </c>
      <c r="T149" s="22" t="str">
        <f t="shared" si="24"/>
        <v/>
      </c>
      <c r="U149" s="19" t="str">
        <f t="shared" si="25"/>
        <v/>
      </c>
      <c r="V149" s="7"/>
      <c r="Y149" s="19" t="str">
        <f>IF('Supplier selection'!AQ149="","",'Supplier selection'!AQ149)</f>
        <v/>
      </c>
      <c r="Z149" s="19" t="str">
        <f>IF('Supplier selection'!AR149="","",'Supplier selection'!AR149)</f>
        <v/>
      </c>
      <c r="AA149" s="19" t="str">
        <f t="shared" si="26"/>
        <v/>
      </c>
      <c r="AD149" s="26" t="str">
        <f>IF(AND('Supplier selection'!X149="",'Supplier selection'!AE149=""),"",IF('Supplier selection'!X149="",'Supplier selection'!AE149,'Supplier selection'!X149))</f>
        <v/>
      </c>
      <c r="AE149" s="19" t="str">
        <f t="shared" si="27"/>
        <v/>
      </c>
      <c r="AF149" s="19" t="str">
        <f t="shared" si="28"/>
        <v/>
      </c>
      <c r="AG149" s="27" t="str">
        <f>IF(AND('Supplier selection'!AB149="",'Supplier selection'!AI149=""),"",IF('Supplier selection'!AB149="",'Supplier selection'!AI149,'Supplier selection'!AB149))</f>
        <v/>
      </c>
      <c r="AH149" s="28" t="str">
        <f t="shared" si="29"/>
        <v/>
      </c>
      <c r="AI149" s="7" t="str">
        <f t="shared" si="30"/>
        <v/>
      </c>
      <c r="AJ149" s="22" t="str">
        <f t="shared" si="31"/>
        <v/>
      </c>
      <c r="AK149" s="29" t="str">
        <f t="shared" si="32"/>
        <v/>
      </c>
      <c r="AL149" s="10"/>
    </row>
    <row r="150" spans="1:38">
      <c r="A150" s="19">
        <f>IF('Supplier selection'!A150="","",'Supplier selection'!A150)</f>
        <v>146</v>
      </c>
      <c r="B150" s="19" t="str">
        <f>IF('Supplier selection'!B150="","",'Supplier selection'!B150)</f>
        <v/>
      </c>
      <c r="C150" s="19" t="str">
        <f>IF('Supplier selection'!C150="","",'Supplier selection'!C150)</f>
        <v/>
      </c>
      <c r="D150" s="19" t="str">
        <f>IF('Supplier selection'!D150="","",'Supplier selection'!D150)</f>
        <v/>
      </c>
      <c r="E150" s="19" t="str">
        <f>IF('Supplier selection'!E150="","",'Supplier selection'!E150)</f>
        <v/>
      </c>
      <c r="F150" s="19" t="str">
        <f>IF('Supplier selection'!F150="","",'Supplier selection'!F150)</f>
        <v/>
      </c>
      <c r="G150" s="19" t="str">
        <f>IF('Supplier selection'!G150="","",'Supplier selection'!G150)</f>
        <v/>
      </c>
      <c r="H150" s="19" t="str">
        <f>IF('Supplier selection'!H150="","",'Supplier selection'!H150)</f>
        <v/>
      </c>
      <c r="I150" s="19" t="str">
        <f>IF('Supplier selection'!I150="","",'Supplier selection'!I150)</f>
        <v/>
      </c>
      <c r="J150" s="19" t="str">
        <f>IF('Supplier selection'!J150="","",'Supplier selection'!J150)</f>
        <v/>
      </c>
      <c r="K150" s="19" t="str">
        <f>IF('Supplier selection'!K150="","",'Supplier selection'!K150)</f>
        <v/>
      </c>
      <c r="L150" s="19" t="str">
        <f>IF('Supplier selection'!L150="","",'Supplier selection'!L150)</f>
        <v/>
      </c>
      <c r="M150" s="19" t="str">
        <f>IF('Supplier selection'!M150="","",'Supplier selection'!M150)</f>
        <v/>
      </c>
      <c r="N150" s="19" t="str">
        <f>IF('Supplier selection'!N150="","",'Supplier selection'!N150)</f>
        <v/>
      </c>
      <c r="O150" s="19" t="str">
        <f>IF('Supplier selection'!O150="","",'Supplier selection'!O150)</f>
        <v/>
      </c>
      <c r="Q150" s="19" t="str">
        <f>HLOOKUP($Q$3,'Supplier selection'!$AW$4:'Supplier selection'!$CT$1000,$A151,FALSE)</f>
        <v/>
      </c>
      <c r="R150" s="22" t="str">
        <f t="shared" si="22"/>
        <v/>
      </c>
      <c r="S150" s="19" t="str">
        <f t="shared" si="23"/>
        <v/>
      </c>
      <c r="T150" s="22" t="str">
        <f t="shared" si="24"/>
        <v/>
      </c>
      <c r="U150" s="19" t="str">
        <f t="shared" si="25"/>
        <v/>
      </c>
      <c r="V150" s="7"/>
      <c r="Y150" s="19" t="str">
        <f>IF('Supplier selection'!AQ150="","",'Supplier selection'!AQ150)</f>
        <v/>
      </c>
      <c r="Z150" s="19" t="str">
        <f>IF('Supplier selection'!AR150="","",'Supplier selection'!AR150)</f>
        <v/>
      </c>
      <c r="AA150" s="19" t="str">
        <f t="shared" si="26"/>
        <v/>
      </c>
      <c r="AD150" s="26" t="str">
        <f>IF(AND('Supplier selection'!X150="",'Supplier selection'!AE150=""),"",IF('Supplier selection'!X150="",'Supplier selection'!AE150,'Supplier selection'!X150))</f>
        <v/>
      </c>
      <c r="AE150" s="19" t="str">
        <f t="shared" si="27"/>
        <v/>
      </c>
      <c r="AF150" s="19" t="str">
        <f t="shared" si="28"/>
        <v/>
      </c>
      <c r="AG150" s="27" t="str">
        <f>IF(AND('Supplier selection'!AB150="",'Supplier selection'!AI150=""),"",IF('Supplier selection'!AB150="",'Supplier selection'!AI150,'Supplier selection'!AB150))</f>
        <v/>
      </c>
      <c r="AH150" s="28" t="str">
        <f t="shared" si="29"/>
        <v/>
      </c>
      <c r="AI150" s="7" t="str">
        <f t="shared" si="30"/>
        <v/>
      </c>
      <c r="AJ150" s="22" t="str">
        <f t="shared" si="31"/>
        <v/>
      </c>
      <c r="AK150" s="29" t="str">
        <f t="shared" si="32"/>
        <v/>
      </c>
      <c r="AL150" s="10"/>
    </row>
    <row r="151" spans="1:38">
      <c r="A151" s="19">
        <f>IF('Supplier selection'!A151="","",'Supplier selection'!A151)</f>
        <v>147</v>
      </c>
      <c r="B151" s="19" t="str">
        <f>IF('Supplier selection'!B151="","",'Supplier selection'!B151)</f>
        <v/>
      </c>
      <c r="C151" s="19" t="str">
        <f>IF('Supplier selection'!C151="","",'Supplier selection'!C151)</f>
        <v/>
      </c>
      <c r="D151" s="19" t="str">
        <f>IF('Supplier selection'!D151="","",'Supplier selection'!D151)</f>
        <v/>
      </c>
      <c r="E151" s="19" t="str">
        <f>IF('Supplier selection'!E151="","",'Supplier selection'!E151)</f>
        <v/>
      </c>
      <c r="F151" s="19" t="str">
        <f>IF('Supplier selection'!F151="","",'Supplier selection'!F151)</f>
        <v/>
      </c>
      <c r="G151" s="19" t="str">
        <f>IF('Supplier selection'!G151="","",'Supplier selection'!G151)</f>
        <v/>
      </c>
      <c r="H151" s="19" t="str">
        <f>IF('Supplier selection'!H151="","",'Supplier selection'!H151)</f>
        <v/>
      </c>
      <c r="I151" s="19" t="str">
        <f>IF('Supplier selection'!I151="","",'Supplier selection'!I151)</f>
        <v/>
      </c>
      <c r="J151" s="19" t="str">
        <f>IF('Supplier selection'!J151="","",'Supplier selection'!J151)</f>
        <v/>
      </c>
      <c r="K151" s="19" t="str">
        <f>IF('Supplier selection'!K151="","",'Supplier selection'!K151)</f>
        <v/>
      </c>
      <c r="L151" s="19" t="str">
        <f>IF('Supplier selection'!L151="","",'Supplier selection'!L151)</f>
        <v/>
      </c>
      <c r="M151" s="19" t="str">
        <f>IF('Supplier selection'!M151="","",'Supplier selection'!M151)</f>
        <v/>
      </c>
      <c r="N151" s="19" t="str">
        <f>IF('Supplier selection'!N151="","",'Supplier selection'!N151)</f>
        <v/>
      </c>
      <c r="O151" s="19" t="str">
        <f>IF('Supplier selection'!O151="","",'Supplier selection'!O151)</f>
        <v/>
      </c>
      <c r="Q151" s="19" t="str">
        <f>HLOOKUP($Q$3,'Supplier selection'!$AW$4:'Supplier selection'!$CT$1000,$A152,FALSE)</f>
        <v/>
      </c>
      <c r="R151" s="22" t="str">
        <f t="shared" si="22"/>
        <v/>
      </c>
      <c r="S151" s="19" t="str">
        <f t="shared" si="23"/>
        <v/>
      </c>
      <c r="T151" s="22" t="str">
        <f t="shared" si="24"/>
        <v/>
      </c>
      <c r="U151" s="19" t="str">
        <f t="shared" si="25"/>
        <v/>
      </c>
      <c r="V151" s="7"/>
      <c r="Y151" s="19" t="str">
        <f>IF('Supplier selection'!AQ151="","",'Supplier selection'!AQ151)</f>
        <v/>
      </c>
      <c r="Z151" s="19" t="str">
        <f>IF('Supplier selection'!AR151="","",'Supplier selection'!AR151)</f>
        <v/>
      </c>
      <c r="AA151" s="19" t="str">
        <f t="shared" si="26"/>
        <v/>
      </c>
      <c r="AD151" s="26" t="str">
        <f>IF(AND('Supplier selection'!X151="",'Supplier selection'!AE151=""),"",IF('Supplier selection'!X151="",'Supplier selection'!AE151,'Supplier selection'!X151))</f>
        <v/>
      </c>
      <c r="AE151" s="19" t="str">
        <f t="shared" si="27"/>
        <v/>
      </c>
      <c r="AF151" s="19" t="str">
        <f t="shared" si="28"/>
        <v/>
      </c>
      <c r="AG151" s="27" t="str">
        <f>IF(AND('Supplier selection'!AB151="",'Supplier selection'!AI151=""),"",IF('Supplier selection'!AB151="",'Supplier selection'!AI151,'Supplier selection'!AB151))</f>
        <v/>
      </c>
      <c r="AH151" s="28" t="str">
        <f t="shared" si="29"/>
        <v/>
      </c>
      <c r="AI151" s="7" t="str">
        <f t="shared" si="30"/>
        <v/>
      </c>
      <c r="AJ151" s="22" t="str">
        <f t="shared" si="31"/>
        <v/>
      </c>
      <c r="AK151" s="29" t="str">
        <f t="shared" si="32"/>
        <v/>
      </c>
      <c r="AL151" s="10"/>
    </row>
    <row r="152" spans="1:38">
      <c r="A152" s="19">
        <f>IF('Supplier selection'!A152="","",'Supplier selection'!A152)</f>
        <v>148</v>
      </c>
      <c r="B152" s="19" t="str">
        <f>IF('Supplier selection'!B152="","",'Supplier selection'!B152)</f>
        <v/>
      </c>
      <c r="C152" s="19" t="str">
        <f>IF('Supplier selection'!C152="","",'Supplier selection'!C152)</f>
        <v/>
      </c>
      <c r="D152" s="19" t="str">
        <f>IF('Supplier selection'!D152="","",'Supplier selection'!D152)</f>
        <v/>
      </c>
      <c r="E152" s="19" t="str">
        <f>IF('Supplier selection'!E152="","",'Supplier selection'!E152)</f>
        <v/>
      </c>
      <c r="F152" s="19" t="str">
        <f>IF('Supplier selection'!F152="","",'Supplier selection'!F152)</f>
        <v/>
      </c>
      <c r="G152" s="19" t="str">
        <f>IF('Supplier selection'!G152="","",'Supplier selection'!G152)</f>
        <v/>
      </c>
      <c r="H152" s="19" t="str">
        <f>IF('Supplier selection'!H152="","",'Supplier selection'!H152)</f>
        <v/>
      </c>
      <c r="I152" s="19" t="str">
        <f>IF('Supplier selection'!I152="","",'Supplier selection'!I152)</f>
        <v/>
      </c>
      <c r="J152" s="19" t="str">
        <f>IF('Supplier selection'!J152="","",'Supplier selection'!J152)</f>
        <v/>
      </c>
      <c r="K152" s="19" t="str">
        <f>IF('Supplier selection'!K152="","",'Supplier selection'!K152)</f>
        <v/>
      </c>
      <c r="L152" s="19" t="str">
        <f>IF('Supplier selection'!L152="","",'Supplier selection'!L152)</f>
        <v/>
      </c>
      <c r="M152" s="19" t="str">
        <f>IF('Supplier selection'!M152="","",'Supplier selection'!M152)</f>
        <v/>
      </c>
      <c r="N152" s="19" t="str">
        <f>IF('Supplier selection'!N152="","",'Supplier selection'!N152)</f>
        <v/>
      </c>
      <c r="O152" s="19" t="str">
        <f>IF('Supplier selection'!O152="","",'Supplier selection'!O152)</f>
        <v/>
      </c>
      <c r="Q152" s="19" t="str">
        <f>HLOOKUP($Q$3,'Supplier selection'!$AW$4:'Supplier selection'!$CT$1000,$A153,FALSE)</f>
        <v/>
      </c>
      <c r="R152" s="22" t="str">
        <f t="shared" si="22"/>
        <v/>
      </c>
      <c r="S152" s="19" t="str">
        <f t="shared" si="23"/>
        <v/>
      </c>
      <c r="T152" s="22" t="str">
        <f t="shared" si="24"/>
        <v/>
      </c>
      <c r="U152" s="19" t="str">
        <f t="shared" si="25"/>
        <v/>
      </c>
      <c r="V152" s="7"/>
      <c r="Y152" s="19" t="str">
        <f>IF('Supplier selection'!AQ152="","",'Supplier selection'!AQ152)</f>
        <v/>
      </c>
      <c r="Z152" s="19" t="str">
        <f>IF('Supplier selection'!AR152="","",'Supplier selection'!AR152)</f>
        <v/>
      </c>
      <c r="AA152" s="19" t="str">
        <f t="shared" si="26"/>
        <v/>
      </c>
      <c r="AD152" s="26" t="str">
        <f>IF(AND('Supplier selection'!X152="",'Supplier selection'!AE152=""),"",IF('Supplier selection'!X152="",'Supplier selection'!AE152,'Supplier selection'!X152))</f>
        <v/>
      </c>
      <c r="AE152" s="19" t="str">
        <f t="shared" si="27"/>
        <v/>
      </c>
      <c r="AF152" s="19" t="str">
        <f t="shared" si="28"/>
        <v/>
      </c>
      <c r="AG152" s="27" t="str">
        <f>IF(AND('Supplier selection'!AB152="",'Supplier selection'!AI152=""),"",IF('Supplier selection'!AB152="",'Supplier selection'!AI152,'Supplier selection'!AB152))</f>
        <v/>
      </c>
      <c r="AH152" s="28" t="str">
        <f t="shared" si="29"/>
        <v/>
      </c>
      <c r="AI152" s="7" t="str">
        <f t="shared" si="30"/>
        <v/>
      </c>
      <c r="AJ152" s="22" t="str">
        <f t="shared" si="31"/>
        <v/>
      </c>
      <c r="AK152" s="29" t="str">
        <f t="shared" si="32"/>
        <v/>
      </c>
      <c r="AL152" s="10"/>
    </row>
    <row r="153" spans="1:38">
      <c r="A153" s="19">
        <f>IF('Supplier selection'!A153="","",'Supplier selection'!A153)</f>
        <v>149</v>
      </c>
      <c r="B153" s="19" t="str">
        <f>IF('Supplier selection'!B153="","",'Supplier selection'!B153)</f>
        <v/>
      </c>
      <c r="C153" s="19" t="str">
        <f>IF('Supplier selection'!C153="","",'Supplier selection'!C153)</f>
        <v/>
      </c>
      <c r="D153" s="19" t="str">
        <f>IF('Supplier selection'!D153="","",'Supplier selection'!D153)</f>
        <v/>
      </c>
      <c r="E153" s="19" t="str">
        <f>IF('Supplier selection'!E153="","",'Supplier selection'!E153)</f>
        <v/>
      </c>
      <c r="F153" s="19" t="str">
        <f>IF('Supplier selection'!F153="","",'Supplier selection'!F153)</f>
        <v/>
      </c>
      <c r="G153" s="19" t="str">
        <f>IF('Supplier selection'!G153="","",'Supplier selection'!G153)</f>
        <v/>
      </c>
      <c r="H153" s="19" t="str">
        <f>IF('Supplier selection'!H153="","",'Supplier selection'!H153)</f>
        <v/>
      </c>
      <c r="I153" s="19" t="str">
        <f>IF('Supplier selection'!I153="","",'Supplier selection'!I153)</f>
        <v/>
      </c>
      <c r="J153" s="19" t="str">
        <f>IF('Supplier selection'!J153="","",'Supplier selection'!J153)</f>
        <v/>
      </c>
      <c r="K153" s="19" t="str">
        <f>IF('Supplier selection'!K153="","",'Supplier selection'!K153)</f>
        <v/>
      </c>
      <c r="L153" s="19" t="str">
        <f>IF('Supplier selection'!L153="","",'Supplier selection'!L153)</f>
        <v/>
      </c>
      <c r="M153" s="19" t="str">
        <f>IF('Supplier selection'!M153="","",'Supplier selection'!M153)</f>
        <v/>
      </c>
      <c r="N153" s="19" t="str">
        <f>IF('Supplier selection'!N153="","",'Supplier selection'!N153)</f>
        <v/>
      </c>
      <c r="O153" s="19" t="str">
        <f>IF('Supplier selection'!O153="","",'Supplier selection'!O153)</f>
        <v/>
      </c>
      <c r="Q153" s="19" t="str">
        <f>HLOOKUP($Q$3,'Supplier selection'!$AW$4:'Supplier selection'!$CT$1000,$A154,FALSE)</f>
        <v/>
      </c>
      <c r="R153" s="22" t="str">
        <f t="shared" si="22"/>
        <v/>
      </c>
      <c r="S153" s="19" t="str">
        <f t="shared" si="23"/>
        <v/>
      </c>
      <c r="T153" s="22" t="str">
        <f t="shared" si="24"/>
        <v/>
      </c>
      <c r="U153" s="19" t="str">
        <f t="shared" si="25"/>
        <v/>
      </c>
      <c r="V153" s="7"/>
      <c r="Y153" s="19" t="str">
        <f>IF('Supplier selection'!AQ153="","",'Supplier selection'!AQ153)</f>
        <v/>
      </c>
      <c r="Z153" s="19" t="str">
        <f>IF('Supplier selection'!AR153="","",'Supplier selection'!AR153)</f>
        <v/>
      </c>
      <c r="AA153" s="19" t="str">
        <f t="shared" si="26"/>
        <v/>
      </c>
      <c r="AD153" s="26" t="str">
        <f>IF(AND('Supplier selection'!X153="",'Supplier selection'!AE153=""),"",IF('Supplier selection'!X153="",'Supplier selection'!AE153,'Supplier selection'!X153))</f>
        <v/>
      </c>
      <c r="AE153" s="19" t="str">
        <f t="shared" si="27"/>
        <v/>
      </c>
      <c r="AF153" s="19" t="str">
        <f t="shared" si="28"/>
        <v/>
      </c>
      <c r="AG153" s="27" t="str">
        <f>IF(AND('Supplier selection'!AB153="",'Supplier selection'!AI153=""),"",IF('Supplier selection'!AB153="",'Supplier selection'!AI153,'Supplier selection'!AB153))</f>
        <v/>
      </c>
      <c r="AH153" s="28" t="str">
        <f t="shared" si="29"/>
        <v/>
      </c>
      <c r="AI153" s="7" t="str">
        <f t="shared" si="30"/>
        <v/>
      </c>
      <c r="AJ153" s="22" t="str">
        <f t="shared" si="31"/>
        <v/>
      </c>
      <c r="AK153" s="29" t="str">
        <f t="shared" si="32"/>
        <v/>
      </c>
      <c r="AL153" s="10"/>
    </row>
    <row r="154" spans="1:38">
      <c r="A154" s="19">
        <f>IF('Supplier selection'!A154="","",'Supplier selection'!A154)</f>
        <v>150</v>
      </c>
      <c r="B154" s="19" t="str">
        <f>IF('Supplier selection'!B154="","",'Supplier selection'!B154)</f>
        <v/>
      </c>
      <c r="C154" s="19" t="str">
        <f>IF('Supplier selection'!C154="","",'Supplier selection'!C154)</f>
        <v/>
      </c>
      <c r="D154" s="19" t="str">
        <f>IF('Supplier selection'!D154="","",'Supplier selection'!D154)</f>
        <v/>
      </c>
      <c r="E154" s="19" t="str">
        <f>IF('Supplier selection'!E154="","",'Supplier selection'!E154)</f>
        <v/>
      </c>
      <c r="F154" s="19" t="str">
        <f>IF('Supplier selection'!F154="","",'Supplier selection'!F154)</f>
        <v/>
      </c>
      <c r="G154" s="19" t="str">
        <f>IF('Supplier selection'!G154="","",'Supplier selection'!G154)</f>
        <v/>
      </c>
      <c r="H154" s="19" t="str">
        <f>IF('Supplier selection'!H154="","",'Supplier selection'!H154)</f>
        <v/>
      </c>
      <c r="I154" s="19" t="str">
        <f>IF('Supplier selection'!I154="","",'Supplier selection'!I154)</f>
        <v/>
      </c>
      <c r="J154" s="19" t="str">
        <f>IF('Supplier selection'!J154="","",'Supplier selection'!J154)</f>
        <v/>
      </c>
      <c r="K154" s="19" t="str">
        <f>IF('Supplier selection'!K154="","",'Supplier selection'!K154)</f>
        <v/>
      </c>
      <c r="L154" s="19" t="str">
        <f>IF('Supplier selection'!L154="","",'Supplier selection'!L154)</f>
        <v/>
      </c>
      <c r="M154" s="19" t="str">
        <f>IF('Supplier selection'!M154="","",'Supplier selection'!M154)</f>
        <v/>
      </c>
      <c r="N154" s="19" t="str">
        <f>IF('Supplier selection'!N154="","",'Supplier selection'!N154)</f>
        <v/>
      </c>
      <c r="O154" s="19" t="str">
        <f>IF('Supplier selection'!O154="","",'Supplier selection'!O154)</f>
        <v/>
      </c>
      <c r="Q154" s="19" t="str">
        <f>HLOOKUP($Q$3,'Supplier selection'!$AW$4:'Supplier selection'!$CT$1000,$A155,FALSE)</f>
        <v/>
      </c>
      <c r="R154" s="22" t="str">
        <f t="shared" si="22"/>
        <v/>
      </c>
      <c r="S154" s="19" t="str">
        <f t="shared" si="23"/>
        <v/>
      </c>
      <c r="T154" s="22" t="str">
        <f t="shared" si="24"/>
        <v/>
      </c>
      <c r="U154" s="19" t="str">
        <f t="shared" si="25"/>
        <v/>
      </c>
      <c r="V154" s="7"/>
      <c r="Y154" s="19" t="str">
        <f>IF('Supplier selection'!AQ154="","",'Supplier selection'!AQ154)</f>
        <v/>
      </c>
      <c r="Z154" s="19" t="str">
        <f>IF('Supplier selection'!AR154="","",'Supplier selection'!AR154)</f>
        <v/>
      </c>
      <c r="AA154" s="19" t="str">
        <f t="shared" si="26"/>
        <v/>
      </c>
      <c r="AD154" s="26" t="str">
        <f>IF(AND('Supplier selection'!X154="",'Supplier selection'!AE154=""),"",IF('Supplier selection'!X154="",'Supplier selection'!AE154,'Supplier selection'!X154))</f>
        <v/>
      </c>
      <c r="AE154" s="19" t="str">
        <f t="shared" si="27"/>
        <v/>
      </c>
      <c r="AF154" s="19" t="str">
        <f t="shared" si="28"/>
        <v/>
      </c>
      <c r="AG154" s="27" t="str">
        <f>IF(AND('Supplier selection'!AB154="",'Supplier selection'!AI154=""),"",IF('Supplier selection'!AB154="",'Supplier selection'!AI154,'Supplier selection'!AB154))</f>
        <v/>
      </c>
      <c r="AH154" s="28" t="str">
        <f t="shared" si="29"/>
        <v/>
      </c>
      <c r="AI154" s="7" t="str">
        <f t="shared" si="30"/>
        <v/>
      </c>
      <c r="AJ154" s="22" t="str">
        <f t="shared" si="31"/>
        <v/>
      </c>
      <c r="AK154" s="29" t="str">
        <f t="shared" si="32"/>
        <v/>
      </c>
      <c r="AL154" s="10"/>
    </row>
    <row r="155" spans="1:38">
      <c r="A155" s="19">
        <f>IF('Supplier selection'!A155="","",'Supplier selection'!A155)</f>
        <v>151</v>
      </c>
      <c r="B155" s="19" t="str">
        <f>IF('Supplier selection'!B155="","",'Supplier selection'!B155)</f>
        <v/>
      </c>
      <c r="C155" s="19" t="str">
        <f>IF('Supplier selection'!C155="","",'Supplier selection'!C155)</f>
        <v/>
      </c>
      <c r="D155" s="19" t="str">
        <f>IF('Supplier selection'!D155="","",'Supplier selection'!D155)</f>
        <v/>
      </c>
      <c r="E155" s="19" t="str">
        <f>IF('Supplier selection'!E155="","",'Supplier selection'!E155)</f>
        <v/>
      </c>
      <c r="F155" s="19" t="str">
        <f>IF('Supplier selection'!F155="","",'Supplier selection'!F155)</f>
        <v/>
      </c>
      <c r="G155" s="19" t="str">
        <f>IF('Supplier selection'!G155="","",'Supplier selection'!G155)</f>
        <v/>
      </c>
      <c r="H155" s="19" t="str">
        <f>IF('Supplier selection'!H155="","",'Supplier selection'!H155)</f>
        <v/>
      </c>
      <c r="I155" s="19" t="str">
        <f>IF('Supplier selection'!I155="","",'Supplier selection'!I155)</f>
        <v/>
      </c>
      <c r="J155" s="19" t="str">
        <f>IF('Supplier selection'!J155="","",'Supplier selection'!J155)</f>
        <v/>
      </c>
      <c r="K155" s="19" t="str">
        <f>IF('Supplier selection'!K155="","",'Supplier selection'!K155)</f>
        <v/>
      </c>
      <c r="L155" s="19" t="str">
        <f>IF('Supplier selection'!L155="","",'Supplier selection'!L155)</f>
        <v/>
      </c>
      <c r="M155" s="19" t="str">
        <f>IF('Supplier selection'!M155="","",'Supplier selection'!M155)</f>
        <v/>
      </c>
      <c r="N155" s="19" t="str">
        <f>IF('Supplier selection'!N155="","",'Supplier selection'!N155)</f>
        <v/>
      </c>
      <c r="O155" s="19" t="str">
        <f>IF('Supplier selection'!O155="","",'Supplier selection'!O155)</f>
        <v/>
      </c>
      <c r="Q155" s="19" t="str">
        <f>HLOOKUP($Q$3,'Supplier selection'!$AW$4:'Supplier selection'!$CT$1000,$A156,FALSE)</f>
        <v/>
      </c>
      <c r="R155" s="22" t="str">
        <f t="shared" si="22"/>
        <v/>
      </c>
      <c r="S155" s="19" t="str">
        <f t="shared" si="23"/>
        <v/>
      </c>
      <c r="T155" s="22" t="str">
        <f t="shared" si="24"/>
        <v/>
      </c>
      <c r="U155" s="19" t="str">
        <f t="shared" si="25"/>
        <v/>
      </c>
      <c r="V155" s="7"/>
      <c r="Y155" s="19" t="str">
        <f>IF('Supplier selection'!AQ155="","",'Supplier selection'!AQ155)</f>
        <v/>
      </c>
      <c r="Z155" s="19" t="str">
        <f>IF('Supplier selection'!AR155="","",'Supplier selection'!AR155)</f>
        <v/>
      </c>
      <c r="AA155" s="19" t="str">
        <f t="shared" si="26"/>
        <v/>
      </c>
      <c r="AD155" s="26" t="str">
        <f>IF(AND('Supplier selection'!X155="",'Supplier selection'!AE155=""),"",IF('Supplier selection'!X155="",'Supplier selection'!AE155,'Supplier selection'!X155))</f>
        <v/>
      </c>
      <c r="AE155" s="19" t="str">
        <f t="shared" si="27"/>
        <v/>
      </c>
      <c r="AF155" s="19" t="str">
        <f t="shared" si="28"/>
        <v/>
      </c>
      <c r="AG155" s="27" t="str">
        <f>IF(AND('Supplier selection'!AB155="",'Supplier selection'!AI155=""),"",IF('Supplier selection'!AB155="",'Supplier selection'!AI155,'Supplier selection'!AB155))</f>
        <v/>
      </c>
      <c r="AH155" s="28" t="str">
        <f t="shared" si="29"/>
        <v/>
      </c>
      <c r="AI155" s="7" t="str">
        <f t="shared" si="30"/>
        <v/>
      </c>
      <c r="AJ155" s="22" t="str">
        <f t="shared" si="31"/>
        <v/>
      </c>
      <c r="AK155" s="29" t="str">
        <f t="shared" si="32"/>
        <v/>
      </c>
      <c r="AL155" s="10"/>
    </row>
    <row r="156" spans="1:38">
      <c r="A156" s="19">
        <f>IF('Supplier selection'!A156="","",'Supplier selection'!A156)</f>
        <v>152</v>
      </c>
      <c r="B156" s="19" t="str">
        <f>IF('Supplier selection'!B156="","",'Supplier selection'!B156)</f>
        <v/>
      </c>
      <c r="C156" s="19" t="str">
        <f>IF('Supplier selection'!C156="","",'Supplier selection'!C156)</f>
        <v/>
      </c>
      <c r="D156" s="19" t="str">
        <f>IF('Supplier selection'!D156="","",'Supplier selection'!D156)</f>
        <v/>
      </c>
      <c r="E156" s="19" t="str">
        <f>IF('Supplier selection'!E156="","",'Supplier selection'!E156)</f>
        <v/>
      </c>
      <c r="F156" s="19" t="str">
        <f>IF('Supplier selection'!F156="","",'Supplier selection'!F156)</f>
        <v/>
      </c>
      <c r="G156" s="19" t="str">
        <f>IF('Supplier selection'!G156="","",'Supplier selection'!G156)</f>
        <v/>
      </c>
      <c r="H156" s="19" t="str">
        <f>IF('Supplier selection'!H156="","",'Supplier selection'!H156)</f>
        <v/>
      </c>
      <c r="I156" s="19" t="str">
        <f>IF('Supplier selection'!I156="","",'Supplier selection'!I156)</f>
        <v/>
      </c>
      <c r="J156" s="19" t="str">
        <f>IF('Supplier selection'!J156="","",'Supplier selection'!J156)</f>
        <v/>
      </c>
      <c r="K156" s="19" t="str">
        <f>IF('Supplier selection'!K156="","",'Supplier selection'!K156)</f>
        <v/>
      </c>
      <c r="L156" s="19" t="str">
        <f>IF('Supplier selection'!L156="","",'Supplier selection'!L156)</f>
        <v/>
      </c>
      <c r="M156" s="19" t="str">
        <f>IF('Supplier selection'!M156="","",'Supplier selection'!M156)</f>
        <v/>
      </c>
      <c r="N156" s="19" t="str">
        <f>IF('Supplier selection'!N156="","",'Supplier selection'!N156)</f>
        <v/>
      </c>
      <c r="O156" s="19" t="str">
        <f>IF('Supplier selection'!O156="","",'Supplier selection'!O156)</f>
        <v/>
      </c>
      <c r="Q156" s="19" t="str">
        <f>HLOOKUP($Q$3,'Supplier selection'!$AW$4:'Supplier selection'!$CT$1000,$A157,FALSE)</f>
        <v/>
      </c>
      <c r="R156" s="22" t="str">
        <f t="shared" si="22"/>
        <v/>
      </c>
      <c r="S156" s="19" t="str">
        <f t="shared" si="23"/>
        <v/>
      </c>
      <c r="T156" s="22" t="str">
        <f t="shared" si="24"/>
        <v/>
      </c>
      <c r="U156" s="19" t="str">
        <f t="shared" si="25"/>
        <v/>
      </c>
      <c r="V156" s="7"/>
      <c r="Y156" s="19" t="str">
        <f>IF('Supplier selection'!AQ156="","",'Supplier selection'!AQ156)</f>
        <v/>
      </c>
      <c r="Z156" s="19" t="str">
        <f>IF('Supplier selection'!AR156="","",'Supplier selection'!AR156)</f>
        <v/>
      </c>
      <c r="AA156" s="19" t="str">
        <f t="shared" si="26"/>
        <v/>
      </c>
      <c r="AD156" s="26" t="str">
        <f>IF(AND('Supplier selection'!X156="",'Supplier selection'!AE156=""),"",IF('Supplier selection'!X156="",'Supplier selection'!AE156,'Supplier selection'!X156))</f>
        <v/>
      </c>
      <c r="AE156" s="19" t="str">
        <f t="shared" si="27"/>
        <v/>
      </c>
      <c r="AF156" s="19" t="str">
        <f t="shared" si="28"/>
        <v/>
      </c>
      <c r="AG156" s="27" t="str">
        <f>IF(AND('Supplier selection'!AB156="",'Supplier selection'!AI156=""),"",IF('Supplier selection'!AB156="",'Supplier selection'!AI156,'Supplier selection'!AB156))</f>
        <v/>
      </c>
      <c r="AH156" s="28" t="str">
        <f t="shared" si="29"/>
        <v/>
      </c>
      <c r="AI156" s="7" t="str">
        <f t="shared" si="30"/>
        <v/>
      </c>
      <c r="AJ156" s="22" t="str">
        <f t="shared" si="31"/>
        <v/>
      </c>
      <c r="AK156" s="29" t="str">
        <f t="shared" si="32"/>
        <v/>
      </c>
      <c r="AL156" s="10"/>
    </row>
    <row r="157" spans="1:38">
      <c r="A157" s="19">
        <f>IF('Supplier selection'!A157="","",'Supplier selection'!A157)</f>
        <v>153</v>
      </c>
      <c r="B157" s="19" t="str">
        <f>IF('Supplier selection'!B157="","",'Supplier selection'!B157)</f>
        <v/>
      </c>
      <c r="C157" s="19" t="str">
        <f>IF('Supplier selection'!C157="","",'Supplier selection'!C157)</f>
        <v/>
      </c>
      <c r="D157" s="19" t="str">
        <f>IF('Supplier selection'!D157="","",'Supplier selection'!D157)</f>
        <v/>
      </c>
      <c r="E157" s="19" t="str">
        <f>IF('Supplier selection'!E157="","",'Supplier selection'!E157)</f>
        <v/>
      </c>
      <c r="F157" s="19" t="str">
        <f>IF('Supplier selection'!F157="","",'Supplier selection'!F157)</f>
        <v/>
      </c>
      <c r="G157" s="19" t="str">
        <f>IF('Supplier selection'!G157="","",'Supplier selection'!G157)</f>
        <v/>
      </c>
      <c r="H157" s="19" t="str">
        <f>IF('Supplier selection'!H157="","",'Supplier selection'!H157)</f>
        <v/>
      </c>
      <c r="I157" s="19" t="str">
        <f>IF('Supplier selection'!I157="","",'Supplier selection'!I157)</f>
        <v/>
      </c>
      <c r="J157" s="19" t="str">
        <f>IF('Supplier selection'!J157="","",'Supplier selection'!J157)</f>
        <v/>
      </c>
      <c r="K157" s="19" t="str">
        <f>IF('Supplier selection'!K157="","",'Supplier selection'!K157)</f>
        <v/>
      </c>
      <c r="L157" s="19" t="str">
        <f>IF('Supplier selection'!L157="","",'Supplier selection'!L157)</f>
        <v/>
      </c>
      <c r="M157" s="19" t="str">
        <f>IF('Supplier selection'!M157="","",'Supplier selection'!M157)</f>
        <v/>
      </c>
      <c r="N157" s="19" t="str">
        <f>IF('Supplier selection'!N157="","",'Supplier selection'!N157)</f>
        <v/>
      </c>
      <c r="O157" s="19" t="str">
        <f>IF('Supplier selection'!O157="","",'Supplier selection'!O157)</f>
        <v/>
      </c>
      <c r="Q157" s="19" t="str">
        <f>HLOOKUP($Q$3,'Supplier selection'!$AW$4:'Supplier selection'!$CT$1000,$A158,FALSE)</f>
        <v/>
      </c>
      <c r="R157" s="22" t="str">
        <f t="shared" si="22"/>
        <v/>
      </c>
      <c r="S157" s="19" t="str">
        <f t="shared" si="23"/>
        <v/>
      </c>
      <c r="T157" s="22" t="str">
        <f t="shared" si="24"/>
        <v/>
      </c>
      <c r="U157" s="19" t="str">
        <f t="shared" si="25"/>
        <v/>
      </c>
      <c r="V157" s="7"/>
      <c r="Y157" s="19" t="str">
        <f>IF('Supplier selection'!AQ157="","",'Supplier selection'!AQ157)</f>
        <v/>
      </c>
      <c r="Z157" s="19" t="str">
        <f>IF('Supplier selection'!AR157="","",'Supplier selection'!AR157)</f>
        <v/>
      </c>
      <c r="AA157" s="19" t="str">
        <f t="shared" si="26"/>
        <v/>
      </c>
      <c r="AD157" s="26" t="str">
        <f>IF(AND('Supplier selection'!X157="",'Supplier selection'!AE157=""),"",IF('Supplier selection'!X157="",'Supplier selection'!AE157,'Supplier selection'!X157))</f>
        <v/>
      </c>
      <c r="AE157" s="19" t="str">
        <f t="shared" si="27"/>
        <v/>
      </c>
      <c r="AF157" s="19" t="str">
        <f t="shared" si="28"/>
        <v/>
      </c>
      <c r="AG157" s="27" t="str">
        <f>IF(AND('Supplier selection'!AB157="",'Supplier selection'!AI157=""),"",IF('Supplier selection'!AB157="",'Supplier selection'!AI157,'Supplier selection'!AB157))</f>
        <v/>
      </c>
      <c r="AH157" s="28" t="str">
        <f t="shared" si="29"/>
        <v/>
      </c>
      <c r="AI157" s="7" t="str">
        <f t="shared" si="30"/>
        <v/>
      </c>
      <c r="AJ157" s="22" t="str">
        <f t="shared" si="31"/>
        <v/>
      </c>
      <c r="AK157" s="29" t="str">
        <f t="shared" si="32"/>
        <v/>
      </c>
      <c r="AL157" s="10"/>
    </row>
    <row r="158" spans="1:38">
      <c r="A158" s="19">
        <f>IF('Supplier selection'!A158="","",'Supplier selection'!A158)</f>
        <v>154</v>
      </c>
      <c r="B158" s="19" t="str">
        <f>IF('Supplier selection'!B158="","",'Supplier selection'!B158)</f>
        <v/>
      </c>
      <c r="C158" s="19" t="str">
        <f>IF('Supplier selection'!C158="","",'Supplier selection'!C158)</f>
        <v/>
      </c>
      <c r="D158" s="19" t="str">
        <f>IF('Supplier selection'!D158="","",'Supplier selection'!D158)</f>
        <v/>
      </c>
      <c r="E158" s="19" t="str">
        <f>IF('Supplier selection'!E158="","",'Supplier selection'!E158)</f>
        <v/>
      </c>
      <c r="F158" s="19" t="str">
        <f>IF('Supplier selection'!F158="","",'Supplier selection'!F158)</f>
        <v/>
      </c>
      <c r="G158" s="19" t="str">
        <f>IF('Supplier selection'!G158="","",'Supplier selection'!G158)</f>
        <v/>
      </c>
      <c r="H158" s="19" t="str">
        <f>IF('Supplier selection'!H158="","",'Supplier selection'!H158)</f>
        <v/>
      </c>
      <c r="I158" s="19" t="str">
        <f>IF('Supplier selection'!I158="","",'Supplier selection'!I158)</f>
        <v/>
      </c>
      <c r="J158" s="19" t="str">
        <f>IF('Supplier selection'!J158="","",'Supplier selection'!J158)</f>
        <v/>
      </c>
      <c r="K158" s="19" t="str">
        <f>IF('Supplier selection'!K158="","",'Supplier selection'!K158)</f>
        <v/>
      </c>
      <c r="L158" s="19" t="str">
        <f>IF('Supplier selection'!L158="","",'Supplier selection'!L158)</f>
        <v/>
      </c>
      <c r="M158" s="19" t="str">
        <f>IF('Supplier selection'!M158="","",'Supplier selection'!M158)</f>
        <v/>
      </c>
      <c r="N158" s="19" t="str">
        <f>IF('Supplier selection'!N158="","",'Supplier selection'!N158)</f>
        <v/>
      </c>
      <c r="O158" s="19" t="str">
        <f>IF('Supplier selection'!O158="","",'Supplier selection'!O158)</f>
        <v/>
      </c>
      <c r="Q158" s="19" t="str">
        <f>HLOOKUP($Q$3,'Supplier selection'!$AW$4:'Supplier selection'!$CT$1000,$A159,FALSE)</f>
        <v/>
      </c>
      <c r="R158" s="22" t="str">
        <f t="shared" si="22"/>
        <v/>
      </c>
      <c r="S158" s="19" t="str">
        <f t="shared" si="23"/>
        <v/>
      </c>
      <c r="T158" s="22" t="str">
        <f t="shared" si="24"/>
        <v/>
      </c>
      <c r="U158" s="19" t="str">
        <f t="shared" si="25"/>
        <v/>
      </c>
      <c r="V158" s="7"/>
      <c r="Y158" s="19" t="str">
        <f>IF('Supplier selection'!AQ158="","",'Supplier selection'!AQ158)</f>
        <v/>
      </c>
      <c r="Z158" s="19" t="str">
        <f>IF('Supplier selection'!AR158="","",'Supplier selection'!AR158)</f>
        <v/>
      </c>
      <c r="AA158" s="19" t="str">
        <f t="shared" si="26"/>
        <v/>
      </c>
      <c r="AD158" s="26" t="str">
        <f>IF(AND('Supplier selection'!X158="",'Supplier selection'!AE158=""),"",IF('Supplier selection'!X158="",'Supplier selection'!AE158,'Supplier selection'!X158))</f>
        <v/>
      </c>
      <c r="AE158" s="19" t="str">
        <f t="shared" si="27"/>
        <v/>
      </c>
      <c r="AF158" s="19" t="str">
        <f t="shared" si="28"/>
        <v/>
      </c>
      <c r="AG158" s="27" t="str">
        <f>IF(AND('Supplier selection'!AB158="",'Supplier selection'!AI158=""),"",IF('Supplier selection'!AB158="",'Supplier selection'!AI158,'Supplier selection'!AB158))</f>
        <v/>
      </c>
      <c r="AH158" s="28" t="str">
        <f t="shared" si="29"/>
        <v/>
      </c>
      <c r="AI158" s="7" t="str">
        <f t="shared" si="30"/>
        <v/>
      </c>
      <c r="AJ158" s="22" t="str">
        <f t="shared" si="31"/>
        <v/>
      </c>
      <c r="AK158" s="29" t="str">
        <f t="shared" si="32"/>
        <v/>
      </c>
      <c r="AL158" s="10"/>
    </row>
    <row r="159" spans="1:38">
      <c r="A159" s="19">
        <f>IF('Supplier selection'!A159="","",'Supplier selection'!A159)</f>
        <v>155</v>
      </c>
      <c r="B159" s="19" t="str">
        <f>IF('Supplier selection'!B159="","",'Supplier selection'!B159)</f>
        <v/>
      </c>
      <c r="C159" s="19" t="str">
        <f>IF('Supplier selection'!C159="","",'Supplier selection'!C159)</f>
        <v/>
      </c>
      <c r="D159" s="19" t="str">
        <f>IF('Supplier selection'!D159="","",'Supplier selection'!D159)</f>
        <v/>
      </c>
      <c r="E159" s="19" t="str">
        <f>IF('Supplier selection'!E159="","",'Supplier selection'!E159)</f>
        <v/>
      </c>
      <c r="F159" s="19" t="str">
        <f>IF('Supplier selection'!F159="","",'Supplier selection'!F159)</f>
        <v/>
      </c>
      <c r="G159" s="19" t="str">
        <f>IF('Supplier selection'!G159="","",'Supplier selection'!G159)</f>
        <v/>
      </c>
      <c r="H159" s="19" t="str">
        <f>IF('Supplier selection'!H159="","",'Supplier selection'!H159)</f>
        <v/>
      </c>
      <c r="I159" s="19" t="str">
        <f>IF('Supplier selection'!I159="","",'Supplier selection'!I159)</f>
        <v/>
      </c>
      <c r="J159" s="19" t="str">
        <f>IF('Supplier selection'!J159="","",'Supplier selection'!J159)</f>
        <v/>
      </c>
      <c r="K159" s="19" t="str">
        <f>IF('Supplier selection'!K159="","",'Supplier selection'!K159)</f>
        <v/>
      </c>
      <c r="L159" s="19" t="str">
        <f>IF('Supplier selection'!L159="","",'Supplier selection'!L159)</f>
        <v/>
      </c>
      <c r="M159" s="19" t="str">
        <f>IF('Supplier selection'!M159="","",'Supplier selection'!M159)</f>
        <v/>
      </c>
      <c r="N159" s="19" t="str">
        <f>IF('Supplier selection'!N159="","",'Supplier selection'!N159)</f>
        <v/>
      </c>
      <c r="O159" s="19" t="str">
        <f>IF('Supplier selection'!O159="","",'Supplier selection'!O159)</f>
        <v/>
      </c>
      <c r="Q159" s="19" t="str">
        <f>HLOOKUP($Q$3,'Supplier selection'!$AW$4:'Supplier selection'!$CT$1000,$A160,FALSE)</f>
        <v/>
      </c>
      <c r="R159" s="22" t="str">
        <f t="shared" si="22"/>
        <v/>
      </c>
      <c r="S159" s="19" t="str">
        <f t="shared" si="23"/>
        <v/>
      </c>
      <c r="T159" s="22" t="str">
        <f t="shared" si="24"/>
        <v/>
      </c>
      <c r="U159" s="19" t="str">
        <f t="shared" si="25"/>
        <v/>
      </c>
      <c r="V159" s="7"/>
      <c r="Y159" s="19" t="str">
        <f>IF('Supplier selection'!AQ159="","",'Supplier selection'!AQ159)</f>
        <v/>
      </c>
      <c r="Z159" s="19" t="str">
        <f>IF('Supplier selection'!AR159="","",'Supplier selection'!AR159)</f>
        <v/>
      </c>
      <c r="AA159" s="19" t="str">
        <f t="shared" si="26"/>
        <v/>
      </c>
      <c r="AD159" s="26" t="str">
        <f>IF(AND('Supplier selection'!X159="",'Supplier selection'!AE159=""),"",IF('Supplier selection'!X159="",'Supplier selection'!AE159,'Supplier selection'!X159))</f>
        <v/>
      </c>
      <c r="AE159" s="19" t="str">
        <f t="shared" si="27"/>
        <v/>
      </c>
      <c r="AF159" s="19" t="str">
        <f t="shared" si="28"/>
        <v/>
      </c>
      <c r="AG159" s="27" t="str">
        <f>IF(AND('Supplier selection'!AB159="",'Supplier selection'!AI159=""),"",IF('Supplier selection'!AB159="",'Supplier selection'!AI159,'Supplier selection'!AB159))</f>
        <v/>
      </c>
      <c r="AH159" s="28" t="str">
        <f t="shared" si="29"/>
        <v/>
      </c>
      <c r="AI159" s="7" t="str">
        <f t="shared" si="30"/>
        <v/>
      </c>
      <c r="AJ159" s="22" t="str">
        <f t="shared" si="31"/>
        <v/>
      </c>
      <c r="AK159" s="29" t="str">
        <f t="shared" si="32"/>
        <v/>
      </c>
      <c r="AL159" s="10"/>
    </row>
    <row r="160" spans="1:38">
      <c r="A160" s="19">
        <f>IF('Supplier selection'!A160="","",'Supplier selection'!A160)</f>
        <v>156</v>
      </c>
      <c r="B160" s="19" t="str">
        <f>IF('Supplier selection'!B160="","",'Supplier selection'!B160)</f>
        <v/>
      </c>
      <c r="C160" s="19" t="str">
        <f>IF('Supplier selection'!C160="","",'Supplier selection'!C160)</f>
        <v/>
      </c>
      <c r="D160" s="19" t="str">
        <f>IF('Supplier selection'!D160="","",'Supplier selection'!D160)</f>
        <v/>
      </c>
      <c r="E160" s="19" t="str">
        <f>IF('Supplier selection'!E160="","",'Supplier selection'!E160)</f>
        <v/>
      </c>
      <c r="F160" s="19" t="str">
        <f>IF('Supplier selection'!F160="","",'Supplier selection'!F160)</f>
        <v/>
      </c>
      <c r="G160" s="19" t="str">
        <f>IF('Supplier selection'!G160="","",'Supplier selection'!G160)</f>
        <v/>
      </c>
      <c r="H160" s="19" t="str">
        <f>IF('Supplier selection'!H160="","",'Supplier selection'!H160)</f>
        <v/>
      </c>
      <c r="I160" s="19" t="str">
        <f>IF('Supplier selection'!I160="","",'Supplier selection'!I160)</f>
        <v/>
      </c>
      <c r="J160" s="19" t="str">
        <f>IF('Supplier selection'!J160="","",'Supplier selection'!J160)</f>
        <v/>
      </c>
      <c r="K160" s="19" t="str">
        <f>IF('Supplier selection'!K160="","",'Supplier selection'!K160)</f>
        <v/>
      </c>
      <c r="L160" s="19" t="str">
        <f>IF('Supplier selection'!L160="","",'Supplier selection'!L160)</f>
        <v/>
      </c>
      <c r="M160" s="19" t="str">
        <f>IF('Supplier selection'!M160="","",'Supplier selection'!M160)</f>
        <v/>
      </c>
      <c r="N160" s="19" t="str">
        <f>IF('Supplier selection'!N160="","",'Supplier selection'!N160)</f>
        <v/>
      </c>
      <c r="O160" s="19" t="str">
        <f>IF('Supplier selection'!O160="","",'Supplier selection'!O160)</f>
        <v/>
      </c>
      <c r="Q160" s="19" t="str">
        <f>HLOOKUP($Q$3,'Supplier selection'!$AW$4:'Supplier selection'!$CT$1000,$A161,FALSE)</f>
        <v/>
      </c>
      <c r="R160" s="22" t="str">
        <f t="shared" si="22"/>
        <v/>
      </c>
      <c r="S160" s="19" t="str">
        <f t="shared" si="23"/>
        <v/>
      </c>
      <c r="T160" s="22" t="str">
        <f t="shared" si="24"/>
        <v/>
      </c>
      <c r="U160" s="19" t="str">
        <f t="shared" si="25"/>
        <v/>
      </c>
      <c r="V160" s="7"/>
      <c r="Y160" s="19" t="str">
        <f>IF('Supplier selection'!AQ160="","",'Supplier selection'!AQ160)</f>
        <v/>
      </c>
      <c r="Z160" s="19" t="str">
        <f>IF('Supplier selection'!AR160="","",'Supplier selection'!AR160)</f>
        <v/>
      </c>
      <c r="AA160" s="19" t="str">
        <f t="shared" si="26"/>
        <v/>
      </c>
      <c r="AD160" s="26" t="str">
        <f>IF(AND('Supplier selection'!X160="",'Supplier selection'!AE160=""),"",IF('Supplier selection'!X160="",'Supplier selection'!AE160,'Supplier selection'!X160))</f>
        <v/>
      </c>
      <c r="AE160" s="19" t="str">
        <f t="shared" si="27"/>
        <v/>
      </c>
      <c r="AF160" s="19" t="str">
        <f t="shared" si="28"/>
        <v/>
      </c>
      <c r="AG160" s="27" t="str">
        <f>IF(AND('Supplier selection'!AB160="",'Supplier selection'!AI160=""),"",IF('Supplier selection'!AB160="",'Supplier selection'!AI160,'Supplier selection'!AB160))</f>
        <v/>
      </c>
      <c r="AH160" s="28" t="str">
        <f t="shared" si="29"/>
        <v/>
      </c>
      <c r="AI160" s="7" t="str">
        <f t="shared" si="30"/>
        <v/>
      </c>
      <c r="AJ160" s="22" t="str">
        <f t="shared" si="31"/>
        <v/>
      </c>
      <c r="AK160" s="29" t="str">
        <f t="shared" si="32"/>
        <v/>
      </c>
      <c r="AL160" s="10"/>
    </row>
    <row r="161" spans="1:38">
      <c r="A161" s="19">
        <f>IF('Supplier selection'!A161="","",'Supplier selection'!A161)</f>
        <v>157</v>
      </c>
      <c r="B161" s="19" t="str">
        <f>IF('Supplier selection'!B161="","",'Supplier selection'!B161)</f>
        <v/>
      </c>
      <c r="C161" s="19" t="str">
        <f>IF('Supplier selection'!C161="","",'Supplier selection'!C161)</f>
        <v/>
      </c>
      <c r="D161" s="19" t="str">
        <f>IF('Supplier selection'!D161="","",'Supplier selection'!D161)</f>
        <v/>
      </c>
      <c r="E161" s="19" t="str">
        <f>IF('Supplier selection'!E161="","",'Supplier selection'!E161)</f>
        <v/>
      </c>
      <c r="F161" s="19" t="str">
        <f>IF('Supplier selection'!F161="","",'Supplier selection'!F161)</f>
        <v/>
      </c>
      <c r="G161" s="19" t="str">
        <f>IF('Supplier selection'!G161="","",'Supplier selection'!G161)</f>
        <v/>
      </c>
      <c r="H161" s="19" t="str">
        <f>IF('Supplier selection'!H161="","",'Supplier selection'!H161)</f>
        <v/>
      </c>
      <c r="I161" s="19" t="str">
        <f>IF('Supplier selection'!I161="","",'Supplier selection'!I161)</f>
        <v/>
      </c>
      <c r="J161" s="19" t="str">
        <f>IF('Supplier selection'!J161="","",'Supplier selection'!J161)</f>
        <v/>
      </c>
      <c r="K161" s="19" t="str">
        <f>IF('Supplier selection'!K161="","",'Supplier selection'!K161)</f>
        <v/>
      </c>
      <c r="L161" s="19" t="str">
        <f>IF('Supplier selection'!L161="","",'Supplier selection'!L161)</f>
        <v/>
      </c>
      <c r="M161" s="19" t="str">
        <f>IF('Supplier selection'!M161="","",'Supplier selection'!M161)</f>
        <v/>
      </c>
      <c r="N161" s="19" t="str">
        <f>IF('Supplier selection'!N161="","",'Supplier selection'!N161)</f>
        <v/>
      </c>
      <c r="O161" s="19" t="str">
        <f>IF('Supplier selection'!O161="","",'Supplier selection'!O161)</f>
        <v/>
      </c>
      <c r="Q161" s="19" t="str">
        <f>HLOOKUP($Q$3,'Supplier selection'!$AW$4:'Supplier selection'!$CT$1000,$A162,FALSE)</f>
        <v/>
      </c>
      <c r="R161" s="22" t="str">
        <f t="shared" si="22"/>
        <v/>
      </c>
      <c r="S161" s="19" t="str">
        <f t="shared" si="23"/>
        <v/>
      </c>
      <c r="T161" s="22" t="str">
        <f t="shared" si="24"/>
        <v/>
      </c>
      <c r="U161" s="19" t="str">
        <f t="shared" si="25"/>
        <v/>
      </c>
      <c r="V161" s="7"/>
      <c r="Y161" s="19" t="str">
        <f>IF('Supplier selection'!AQ161="","",'Supplier selection'!AQ161)</f>
        <v/>
      </c>
      <c r="Z161" s="19" t="str">
        <f>IF('Supplier selection'!AR161="","",'Supplier selection'!AR161)</f>
        <v/>
      </c>
      <c r="AA161" s="19" t="str">
        <f t="shared" si="26"/>
        <v/>
      </c>
      <c r="AD161" s="26" t="str">
        <f>IF(AND('Supplier selection'!X161="",'Supplier selection'!AE161=""),"",IF('Supplier selection'!X161="",'Supplier selection'!AE161,'Supplier selection'!X161))</f>
        <v/>
      </c>
      <c r="AE161" s="19" t="str">
        <f t="shared" si="27"/>
        <v/>
      </c>
      <c r="AF161" s="19" t="str">
        <f t="shared" si="28"/>
        <v/>
      </c>
      <c r="AG161" s="27" t="str">
        <f>IF(AND('Supplier selection'!AB161="",'Supplier selection'!AI161=""),"",IF('Supplier selection'!AB161="",'Supplier selection'!AI161,'Supplier selection'!AB161))</f>
        <v/>
      </c>
      <c r="AH161" s="28" t="str">
        <f t="shared" si="29"/>
        <v/>
      </c>
      <c r="AI161" s="7" t="str">
        <f t="shared" si="30"/>
        <v/>
      </c>
      <c r="AJ161" s="22" t="str">
        <f t="shared" si="31"/>
        <v/>
      </c>
      <c r="AK161" s="29" t="str">
        <f t="shared" si="32"/>
        <v/>
      </c>
      <c r="AL161" s="10"/>
    </row>
    <row r="162" spans="1:38">
      <c r="A162" s="19">
        <f>IF('Supplier selection'!A162="","",'Supplier selection'!A162)</f>
        <v>158</v>
      </c>
      <c r="B162" s="19" t="str">
        <f>IF('Supplier selection'!B162="","",'Supplier selection'!B162)</f>
        <v/>
      </c>
      <c r="C162" s="19" t="str">
        <f>IF('Supplier selection'!C162="","",'Supplier selection'!C162)</f>
        <v/>
      </c>
      <c r="D162" s="19" t="str">
        <f>IF('Supplier selection'!D162="","",'Supplier selection'!D162)</f>
        <v/>
      </c>
      <c r="E162" s="19" t="str">
        <f>IF('Supplier selection'!E162="","",'Supplier selection'!E162)</f>
        <v/>
      </c>
      <c r="F162" s="19" t="str">
        <f>IF('Supplier selection'!F162="","",'Supplier selection'!F162)</f>
        <v/>
      </c>
      <c r="G162" s="19" t="str">
        <f>IF('Supplier selection'!G162="","",'Supplier selection'!G162)</f>
        <v/>
      </c>
      <c r="H162" s="19" t="str">
        <f>IF('Supplier selection'!H162="","",'Supplier selection'!H162)</f>
        <v/>
      </c>
      <c r="I162" s="19" t="str">
        <f>IF('Supplier selection'!I162="","",'Supplier selection'!I162)</f>
        <v/>
      </c>
      <c r="J162" s="19" t="str">
        <f>IF('Supplier selection'!J162="","",'Supplier selection'!J162)</f>
        <v/>
      </c>
      <c r="K162" s="19" t="str">
        <f>IF('Supplier selection'!K162="","",'Supplier selection'!K162)</f>
        <v/>
      </c>
      <c r="L162" s="19" t="str">
        <f>IF('Supplier selection'!L162="","",'Supplier selection'!L162)</f>
        <v/>
      </c>
      <c r="M162" s="19" t="str">
        <f>IF('Supplier selection'!M162="","",'Supplier selection'!M162)</f>
        <v/>
      </c>
      <c r="N162" s="19" t="str">
        <f>IF('Supplier selection'!N162="","",'Supplier selection'!N162)</f>
        <v/>
      </c>
      <c r="O162" s="19" t="str">
        <f>IF('Supplier selection'!O162="","",'Supplier selection'!O162)</f>
        <v/>
      </c>
      <c r="Q162" s="19" t="str">
        <f>HLOOKUP($Q$3,'Supplier selection'!$AW$4:'Supplier selection'!$CT$1000,$A163,FALSE)</f>
        <v/>
      </c>
      <c r="R162" s="22" t="str">
        <f t="shared" si="22"/>
        <v/>
      </c>
      <c r="S162" s="19" t="str">
        <f t="shared" si="23"/>
        <v/>
      </c>
      <c r="T162" s="22" t="str">
        <f t="shared" si="24"/>
        <v/>
      </c>
      <c r="U162" s="19" t="str">
        <f t="shared" si="25"/>
        <v/>
      </c>
      <c r="V162" s="7"/>
      <c r="Y162" s="19" t="str">
        <f>IF('Supplier selection'!AQ162="","",'Supplier selection'!AQ162)</f>
        <v/>
      </c>
      <c r="Z162" s="19" t="str">
        <f>IF('Supplier selection'!AR162="","",'Supplier selection'!AR162)</f>
        <v/>
      </c>
      <c r="AA162" s="19" t="str">
        <f t="shared" si="26"/>
        <v/>
      </c>
      <c r="AD162" s="26" t="str">
        <f>IF(AND('Supplier selection'!X162="",'Supplier selection'!AE162=""),"",IF('Supplier selection'!X162="",'Supplier selection'!AE162,'Supplier selection'!X162))</f>
        <v/>
      </c>
      <c r="AE162" s="19" t="str">
        <f t="shared" si="27"/>
        <v/>
      </c>
      <c r="AF162" s="19" t="str">
        <f t="shared" si="28"/>
        <v/>
      </c>
      <c r="AG162" s="27" t="str">
        <f>IF(AND('Supplier selection'!AB162="",'Supplier selection'!AI162=""),"",IF('Supplier selection'!AB162="",'Supplier selection'!AI162,'Supplier selection'!AB162))</f>
        <v/>
      </c>
      <c r="AH162" s="28" t="str">
        <f t="shared" si="29"/>
        <v/>
      </c>
      <c r="AI162" s="7" t="str">
        <f t="shared" si="30"/>
        <v/>
      </c>
      <c r="AJ162" s="22" t="str">
        <f t="shared" si="31"/>
        <v/>
      </c>
      <c r="AK162" s="29" t="str">
        <f t="shared" si="32"/>
        <v/>
      </c>
      <c r="AL162" s="10"/>
    </row>
    <row r="163" spans="1:38">
      <c r="A163" s="19">
        <f>IF('Supplier selection'!A163="","",'Supplier selection'!A163)</f>
        <v>159</v>
      </c>
      <c r="B163" s="19" t="str">
        <f>IF('Supplier selection'!B163="","",'Supplier selection'!B163)</f>
        <v/>
      </c>
      <c r="C163" s="19" t="str">
        <f>IF('Supplier selection'!C163="","",'Supplier selection'!C163)</f>
        <v/>
      </c>
      <c r="D163" s="19" t="str">
        <f>IF('Supplier selection'!D163="","",'Supplier selection'!D163)</f>
        <v/>
      </c>
      <c r="E163" s="19" t="str">
        <f>IF('Supplier selection'!E163="","",'Supplier selection'!E163)</f>
        <v/>
      </c>
      <c r="F163" s="19" t="str">
        <f>IF('Supplier selection'!F163="","",'Supplier selection'!F163)</f>
        <v/>
      </c>
      <c r="G163" s="19" t="str">
        <f>IF('Supplier selection'!G163="","",'Supplier selection'!G163)</f>
        <v/>
      </c>
      <c r="H163" s="19" t="str">
        <f>IF('Supplier selection'!H163="","",'Supplier selection'!H163)</f>
        <v/>
      </c>
      <c r="I163" s="19" t="str">
        <f>IF('Supplier selection'!I163="","",'Supplier selection'!I163)</f>
        <v/>
      </c>
      <c r="J163" s="19" t="str">
        <f>IF('Supplier selection'!J163="","",'Supplier selection'!J163)</f>
        <v/>
      </c>
      <c r="K163" s="19" t="str">
        <f>IF('Supplier selection'!K163="","",'Supplier selection'!K163)</f>
        <v/>
      </c>
      <c r="L163" s="19" t="str">
        <f>IF('Supplier selection'!L163="","",'Supplier selection'!L163)</f>
        <v/>
      </c>
      <c r="M163" s="19" t="str">
        <f>IF('Supplier selection'!M163="","",'Supplier selection'!M163)</f>
        <v/>
      </c>
      <c r="N163" s="19" t="str">
        <f>IF('Supplier selection'!N163="","",'Supplier selection'!N163)</f>
        <v/>
      </c>
      <c r="O163" s="19" t="str">
        <f>IF('Supplier selection'!O163="","",'Supplier selection'!O163)</f>
        <v/>
      </c>
      <c r="Q163" s="19" t="str">
        <f>HLOOKUP($Q$3,'Supplier selection'!$AW$4:'Supplier selection'!$CT$1000,$A164,FALSE)</f>
        <v/>
      </c>
      <c r="R163" s="22" t="str">
        <f t="shared" si="22"/>
        <v/>
      </c>
      <c r="S163" s="19" t="str">
        <f t="shared" si="23"/>
        <v/>
      </c>
      <c r="T163" s="22" t="str">
        <f t="shared" si="24"/>
        <v/>
      </c>
      <c r="U163" s="19" t="str">
        <f t="shared" si="25"/>
        <v/>
      </c>
      <c r="V163" s="7"/>
      <c r="Y163" s="19" t="str">
        <f>IF('Supplier selection'!AQ163="","",'Supplier selection'!AQ163)</f>
        <v/>
      </c>
      <c r="Z163" s="19" t="str">
        <f>IF('Supplier selection'!AR163="","",'Supplier selection'!AR163)</f>
        <v/>
      </c>
      <c r="AA163" s="19" t="str">
        <f t="shared" si="26"/>
        <v/>
      </c>
      <c r="AD163" s="26" t="str">
        <f>IF(AND('Supplier selection'!X163="",'Supplier selection'!AE163=""),"",IF('Supplier selection'!X163="",'Supplier selection'!AE163,'Supplier selection'!X163))</f>
        <v/>
      </c>
      <c r="AE163" s="19" t="str">
        <f t="shared" si="27"/>
        <v/>
      </c>
      <c r="AF163" s="19" t="str">
        <f t="shared" si="28"/>
        <v/>
      </c>
      <c r="AG163" s="27" t="str">
        <f>IF(AND('Supplier selection'!AB163="",'Supplier selection'!AI163=""),"",IF('Supplier selection'!AB163="",'Supplier selection'!AI163,'Supplier selection'!AB163))</f>
        <v/>
      </c>
      <c r="AH163" s="28" t="str">
        <f t="shared" si="29"/>
        <v/>
      </c>
      <c r="AI163" s="7" t="str">
        <f t="shared" si="30"/>
        <v/>
      </c>
      <c r="AJ163" s="22" t="str">
        <f t="shared" si="31"/>
        <v/>
      </c>
      <c r="AK163" s="29" t="str">
        <f t="shared" si="32"/>
        <v/>
      </c>
      <c r="AL163" s="10"/>
    </row>
    <row r="164" spans="1:38">
      <c r="A164" s="19">
        <f>IF('Supplier selection'!A164="","",'Supplier selection'!A164)</f>
        <v>160</v>
      </c>
      <c r="B164" s="19" t="str">
        <f>IF('Supplier selection'!B164="","",'Supplier selection'!B164)</f>
        <v/>
      </c>
      <c r="C164" s="19" t="str">
        <f>IF('Supplier selection'!C164="","",'Supplier selection'!C164)</f>
        <v/>
      </c>
      <c r="D164" s="19" t="str">
        <f>IF('Supplier selection'!D164="","",'Supplier selection'!D164)</f>
        <v/>
      </c>
      <c r="E164" s="19" t="str">
        <f>IF('Supplier selection'!E164="","",'Supplier selection'!E164)</f>
        <v/>
      </c>
      <c r="F164" s="19" t="str">
        <f>IF('Supplier selection'!F164="","",'Supplier selection'!F164)</f>
        <v/>
      </c>
      <c r="G164" s="19" t="str">
        <f>IF('Supplier selection'!G164="","",'Supplier selection'!G164)</f>
        <v/>
      </c>
      <c r="H164" s="19" t="str">
        <f>IF('Supplier selection'!H164="","",'Supplier selection'!H164)</f>
        <v/>
      </c>
      <c r="I164" s="19" t="str">
        <f>IF('Supplier selection'!I164="","",'Supplier selection'!I164)</f>
        <v/>
      </c>
      <c r="J164" s="19" t="str">
        <f>IF('Supplier selection'!J164="","",'Supplier selection'!J164)</f>
        <v/>
      </c>
      <c r="K164" s="19" t="str">
        <f>IF('Supplier selection'!K164="","",'Supplier selection'!K164)</f>
        <v/>
      </c>
      <c r="L164" s="19" t="str">
        <f>IF('Supplier selection'!L164="","",'Supplier selection'!L164)</f>
        <v/>
      </c>
      <c r="M164" s="19" t="str">
        <f>IF('Supplier selection'!M164="","",'Supplier selection'!M164)</f>
        <v/>
      </c>
      <c r="N164" s="19" t="str">
        <f>IF('Supplier selection'!N164="","",'Supplier selection'!N164)</f>
        <v/>
      </c>
      <c r="O164" s="19" t="str">
        <f>IF('Supplier selection'!O164="","",'Supplier selection'!O164)</f>
        <v/>
      </c>
      <c r="Q164" s="19" t="str">
        <f>HLOOKUP($Q$3,'Supplier selection'!$AW$4:'Supplier selection'!$CT$1000,$A165,FALSE)</f>
        <v/>
      </c>
      <c r="R164" s="22" t="str">
        <f t="shared" si="22"/>
        <v/>
      </c>
      <c r="S164" s="19" t="str">
        <f t="shared" si="23"/>
        <v/>
      </c>
      <c r="T164" s="22" t="str">
        <f t="shared" si="24"/>
        <v/>
      </c>
      <c r="U164" s="19" t="str">
        <f t="shared" si="25"/>
        <v/>
      </c>
      <c r="V164" s="7"/>
      <c r="Y164" s="19" t="str">
        <f>IF('Supplier selection'!AQ164="","",'Supplier selection'!AQ164)</f>
        <v/>
      </c>
      <c r="Z164" s="19" t="str">
        <f>IF('Supplier selection'!AR164="","",'Supplier selection'!AR164)</f>
        <v/>
      </c>
      <c r="AA164" s="19" t="str">
        <f t="shared" si="26"/>
        <v/>
      </c>
      <c r="AD164" s="26" t="str">
        <f>IF(AND('Supplier selection'!X164="",'Supplier selection'!AE164=""),"",IF('Supplier selection'!X164="",'Supplier selection'!AE164,'Supplier selection'!X164))</f>
        <v/>
      </c>
      <c r="AE164" s="19" t="str">
        <f t="shared" si="27"/>
        <v/>
      </c>
      <c r="AF164" s="19" t="str">
        <f t="shared" si="28"/>
        <v/>
      </c>
      <c r="AG164" s="27" t="str">
        <f>IF(AND('Supplier selection'!AB164="",'Supplier selection'!AI164=""),"",IF('Supplier selection'!AB164="",'Supplier selection'!AI164,'Supplier selection'!AB164))</f>
        <v/>
      </c>
      <c r="AH164" s="28" t="str">
        <f t="shared" si="29"/>
        <v/>
      </c>
      <c r="AI164" s="7" t="str">
        <f t="shared" si="30"/>
        <v/>
      </c>
      <c r="AJ164" s="22" t="str">
        <f t="shared" si="31"/>
        <v/>
      </c>
      <c r="AK164" s="29" t="str">
        <f t="shared" si="32"/>
        <v/>
      </c>
      <c r="AL164" s="10"/>
    </row>
    <row r="165" spans="1:38">
      <c r="A165" s="19">
        <f>IF('Supplier selection'!A165="","",'Supplier selection'!A165)</f>
        <v>161</v>
      </c>
      <c r="B165" s="19" t="str">
        <f>IF('Supplier selection'!B165="","",'Supplier selection'!B165)</f>
        <v/>
      </c>
      <c r="C165" s="19" t="str">
        <f>IF('Supplier selection'!C165="","",'Supplier selection'!C165)</f>
        <v/>
      </c>
      <c r="D165" s="19" t="str">
        <f>IF('Supplier selection'!D165="","",'Supplier selection'!D165)</f>
        <v/>
      </c>
      <c r="E165" s="19" t="str">
        <f>IF('Supplier selection'!E165="","",'Supplier selection'!E165)</f>
        <v/>
      </c>
      <c r="F165" s="19" t="str">
        <f>IF('Supplier selection'!F165="","",'Supplier selection'!F165)</f>
        <v/>
      </c>
      <c r="G165" s="19" t="str">
        <f>IF('Supplier selection'!G165="","",'Supplier selection'!G165)</f>
        <v/>
      </c>
      <c r="H165" s="19" t="str">
        <f>IF('Supplier selection'!H165="","",'Supplier selection'!H165)</f>
        <v/>
      </c>
      <c r="I165" s="19" t="str">
        <f>IF('Supplier selection'!I165="","",'Supplier selection'!I165)</f>
        <v/>
      </c>
      <c r="J165" s="19" t="str">
        <f>IF('Supplier selection'!J165="","",'Supplier selection'!J165)</f>
        <v/>
      </c>
      <c r="K165" s="19" t="str">
        <f>IF('Supplier selection'!K165="","",'Supplier selection'!K165)</f>
        <v/>
      </c>
      <c r="L165" s="19" t="str">
        <f>IF('Supplier selection'!L165="","",'Supplier selection'!L165)</f>
        <v/>
      </c>
      <c r="M165" s="19" t="str">
        <f>IF('Supplier selection'!M165="","",'Supplier selection'!M165)</f>
        <v/>
      </c>
      <c r="N165" s="19" t="str">
        <f>IF('Supplier selection'!N165="","",'Supplier selection'!N165)</f>
        <v/>
      </c>
      <c r="O165" s="19" t="str">
        <f>IF('Supplier selection'!O165="","",'Supplier selection'!O165)</f>
        <v/>
      </c>
      <c r="Q165" s="19" t="str">
        <f>HLOOKUP($Q$3,'Supplier selection'!$AW$4:'Supplier selection'!$CT$1000,$A166,FALSE)</f>
        <v/>
      </c>
      <c r="R165" s="22" t="str">
        <f t="shared" si="22"/>
        <v/>
      </c>
      <c r="S165" s="19" t="str">
        <f t="shared" si="23"/>
        <v/>
      </c>
      <c r="T165" s="22" t="str">
        <f t="shared" si="24"/>
        <v/>
      </c>
      <c r="U165" s="19" t="str">
        <f t="shared" si="25"/>
        <v/>
      </c>
      <c r="V165" s="7"/>
      <c r="Y165" s="19" t="str">
        <f>IF('Supplier selection'!AQ165="","",'Supplier selection'!AQ165)</f>
        <v/>
      </c>
      <c r="Z165" s="19" t="str">
        <f>IF('Supplier selection'!AR165="","",'Supplier selection'!AR165)</f>
        <v/>
      </c>
      <c r="AA165" s="19" t="str">
        <f t="shared" si="26"/>
        <v/>
      </c>
      <c r="AD165" s="26" t="str">
        <f>IF(AND('Supplier selection'!X165="",'Supplier selection'!AE165=""),"",IF('Supplier selection'!X165="",'Supplier selection'!AE165,'Supplier selection'!X165))</f>
        <v/>
      </c>
      <c r="AE165" s="19" t="str">
        <f t="shared" si="27"/>
        <v/>
      </c>
      <c r="AF165" s="19" t="str">
        <f t="shared" si="28"/>
        <v/>
      </c>
      <c r="AG165" s="27" t="str">
        <f>IF(AND('Supplier selection'!AB165="",'Supplier selection'!AI165=""),"",IF('Supplier selection'!AB165="",'Supplier selection'!AI165,'Supplier selection'!AB165))</f>
        <v/>
      </c>
      <c r="AH165" s="28" t="str">
        <f t="shared" si="29"/>
        <v/>
      </c>
      <c r="AI165" s="7" t="str">
        <f t="shared" si="30"/>
        <v/>
      </c>
      <c r="AJ165" s="22" t="str">
        <f t="shared" si="31"/>
        <v/>
      </c>
      <c r="AK165" s="29" t="str">
        <f t="shared" si="32"/>
        <v/>
      </c>
      <c r="AL165" s="10"/>
    </row>
    <row r="166" spans="1:38">
      <c r="A166" s="19">
        <f>IF('Supplier selection'!A166="","",'Supplier selection'!A166)</f>
        <v>162</v>
      </c>
      <c r="B166" s="19" t="str">
        <f>IF('Supplier selection'!B166="","",'Supplier selection'!B166)</f>
        <v/>
      </c>
      <c r="C166" s="19" t="str">
        <f>IF('Supplier selection'!C166="","",'Supplier selection'!C166)</f>
        <v/>
      </c>
      <c r="D166" s="19" t="str">
        <f>IF('Supplier selection'!D166="","",'Supplier selection'!D166)</f>
        <v/>
      </c>
      <c r="E166" s="19" t="str">
        <f>IF('Supplier selection'!E166="","",'Supplier selection'!E166)</f>
        <v/>
      </c>
      <c r="F166" s="19" t="str">
        <f>IF('Supplier selection'!F166="","",'Supplier selection'!F166)</f>
        <v/>
      </c>
      <c r="G166" s="19" t="str">
        <f>IF('Supplier selection'!G166="","",'Supplier selection'!G166)</f>
        <v/>
      </c>
      <c r="H166" s="19" t="str">
        <f>IF('Supplier selection'!H166="","",'Supplier selection'!H166)</f>
        <v/>
      </c>
      <c r="I166" s="19" t="str">
        <f>IF('Supplier selection'!I166="","",'Supplier selection'!I166)</f>
        <v/>
      </c>
      <c r="J166" s="19" t="str">
        <f>IF('Supplier selection'!J166="","",'Supplier selection'!J166)</f>
        <v/>
      </c>
      <c r="K166" s="19" t="str">
        <f>IF('Supplier selection'!K166="","",'Supplier selection'!K166)</f>
        <v/>
      </c>
      <c r="L166" s="19" t="str">
        <f>IF('Supplier selection'!L166="","",'Supplier selection'!L166)</f>
        <v/>
      </c>
      <c r="M166" s="19" t="str">
        <f>IF('Supplier selection'!M166="","",'Supplier selection'!M166)</f>
        <v/>
      </c>
      <c r="N166" s="19" t="str">
        <f>IF('Supplier selection'!N166="","",'Supplier selection'!N166)</f>
        <v/>
      </c>
      <c r="O166" s="19" t="str">
        <f>IF('Supplier selection'!O166="","",'Supplier selection'!O166)</f>
        <v/>
      </c>
      <c r="Q166" s="19" t="str">
        <f>HLOOKUP($Q$3,'Supplier selection'!$AW$4:'Supplier selection'!$CT$1000,$A167,FALSE)</f>
        <v/>
      </c>
      <c r="R166" s="22" t="str">
        <f t="shared" si="22"/>
        <v/>
      </c>
      <c r="S166" s="19" t="str">
        <f t="shared" si="23"/>
        <v/>
      </c>
      <c r="T166" s="22" t="str">
        <f t="shared" si="24"/>
        <v/>
      </c>
      <c r="U166" s="19" t="str">
        <f t="shared" si="25"/>
        <v/>
      </c>
      <c r="V166" s="7"/>
      <c r="Y166" s="19" t="str">
        <f>IF('Supplier selection'!AQ166="","",'Supplier selection'!AQ166)</f>
        <v/>
      </c>
      <c r="Z166" s="19" t="str">
        <f>IF('Supplier selection'!AR166="","",'Supplier selection'!AR166)</f>
        <v/>
      </c>
      <c r="AA166" s="19" t="str">
        <f t="shared" si="26"/>
        <v/>
      </c>
      <c r="AD166" s="26" t="str">
        <f>IF(AND('Supplier selection'!X166="",'Supplier selection'!AE166=""),"",IF('Supplier selection'!X166="",'Supplier selection'!AE166,'Supplier selection'!X166))</f>
        <v/>
      </c>
      <c r="AE166" s="19" t="str">
        <f t="shared" si="27"/>
        <v/>
      </c>
      <c r="AF166" s="19" t="str">
        <f t="shared" si="28"/>
        <v/>
      </c>
      <c r="AG166" s="27" t="str">
        <f>IF(AND('Supplier selection'!AB166="",'Supplier selection'!AI166=""),"",IF('Supplier selection'!AB166="",'Supplier selection'!AI166,'Supplier selection'!AB166))</f>
        <v/>
      </c>
      <c r="AH166" s="28" t="str">
        <f t="shared" si="29"/>
        <v/>
      </c>
      <c r="AI166" s="7" t="str">
        <f t="shared" si="30"/>
        <v/>
      </c>
      <c r="AJ166" s="22" t="str">
        <f t="shared" si="31"/>
        <v/>
      </c>
      <c r="AK166" s="29" t="str">
        <f t="shared" si="32"/>
        <v/>
      </c>
      <c r="AL166" s="10"/>
    </row>
    <row r="167" spans="1:38">
      <c r="A167" s="19">
        <f>IF('Supplier selection'!A167="","",'Supplier selection'!A167)</f>
        <v>163</v>
      </c>
      <c r="B167" s="19" t="str">
        <f>IF('Supplier selection'!B167="","",'Supplier selection'!B167)</f>
        <v/>
      </c>
      <c r="C167" s="19" t="str">
        <f>IF('Supplier selection'!C167="","",'Supplier selection'!C167)</f>
        <v/>
      </c>
      <c r="D167" s="19" t="str">
        <f>IF('Supplier selection'!D167="","",'Supplier selection'!D167)</f>
        <v/>
      </c>
      <c r="E167" s="19" t="str">
        <f>IF('Supplier selection'!E167="","",'Supplier selection'!E167)</f>
        <v/>
      </c>
      <c r="F167" s="19" t="str">
        <f>IF('Supplier selection'!F167="","",'Supplier selection'!F167)</f>
        <v/>
      </c>
      <c r="G167" s="19" t="str">
        <f>IF('Supplier selection'!G167="","",'Supplier selection'!G167)</f>
        <v/>
      </c>
      <c r="H167" s="19" t="str">
        <f>IF('Supplier selection'!H167="","",'Supplier selection'!H167)</f>
        <v/>
      </c>
      <c r="I167" s="19" t="str">
        <f>IF('Supplier selection'!I167="","",'Supplier selection'!I167)</f>
        <v/>
      </c>
      <c r="J167" s="19" t="str">
        <f>IF('Supplier selection'!J167="","",'Supplier selection'!J167)</f>
        <v/>
      </c>
      <c r="K167" s="19" t="str">
        <f>IF('Supplier selection'!K167="","",'Supplier selection'!K167)</f>
        <v/>
      </c>
      <c r="L167" s="19" t="str">
        <f>IF('Supplier selection'!L167="","",'Supplier selection'!L167)</f>
        <v/>
      </c>
      <c r="M167" s="19" t="str">
        <f>IF('Supplier selection'!M167="","",'Supplier selection'!M167)</f>
        <v/>
      </c>
      <c r="N167" s="19" t="str">
        <f>IF('Supplier selection'!N167="","",'Supplier selection'!N167)</f>
        <v/>
      </c>
      <c r="O167" s="19" t="str">
        <f>IF('Supplier selection'!O167="","",'Supplier selection'!O167)</f>
        <v/>
      </c>
      <c r="Q167" s="19" t="str">
        <f>HLOOKUP($Q$3,'Supplier selection'!$AW$4:'Supplier selection'!$CT$1000,$A168,FALSE)</f>
        <v/>
      </c>
      <c r="R167" s="22" t="str">
        <f t="shared" si="22"/>
        <v/>
      </c>
      <c r="S167" s="19" t="str">
        <f t="shared" si="23"/>
        <v/>
      </c>
      <c r="T167" s="22" t="str">
        <f t="shared" si="24"/>
        <v/>
      </c>
      <c r="U167" s="19" t="str">
        <f t="shared" si="25"/>
        <v/>
      </c>
      <c r="V167" s="7"/>
      <c r="Y167" s="19" t="str">
        <f>IF('Supplier selection'!AQ167="","",'Supplier selection'!AQ167)</f>
        <v/>
      </c>
      <c r="Z167" s="19" t="str">
        <f>IF('Supplier selection'!AR167="","",'Supplier selection'!AR167)</f>
        <v/>
      </c>
      <c r="AA167" s="19" t="str">
        <f t="shared" si="26"/>
        <v/>
      </c>
      <c r="AD167" s="26" t="str">
        <f>IF(AND('Supplier selection'!X167="",'Supplier selection'!AE167=""),"",IF('Supplier selection'!X167="",'Supplier selection'!AE167,'Supplier selection'!X167))</f>
        <v/>
      </c>
      <c r="AE167" s="19" t="str">
        <f t="shared" si="27"/>
        <v/>
      </c>
      <c r="AF167" s="19" t="str">
        <f t="shared" si="28"/>
        <v/>
      </c>
      <c r="AG167" s="27" t="str">
        <f>IF(AND('Supplier selection'!AB167="",'Supplier selection'!AI167=""),"",IF('Supplier selection'!AB167="",'Supplier selection'!AI167,'Supplier selection'!AB167))</f>
        <v/>
      </c>
      <c r="AH167" s="28" t="str">
        <f t="shared" si="29"/>
        <v/>
      </c>
      <c r="AI167" s="7" t="str">
        <f t="shared" si="30"/>
        <v/>
      </c>
      <c r="AJ167" s="22" t="str">
        <f t="shared" si="31"/>
        <v/>
      </c>
      <c r="AK167" s="29" t="str">
        <f t="shared" si="32"/>
        <v/>
      </c>
      <c r="AL167" s="10"/>
    </row>
    <row r="168" spans="1:38">
      <c r="A168" s="19">
        <f>IF('Supplier selection'!A168="","",'Supplier selection'!A168)</f>
        <v>164</v>
      </c>
      <c r="B168" s="19" t="str">
        <f>IF('Supplier selection'!B168="","",'Supplier selection'!B168)</f>
        <v/>
      </c>
      <c r="C168" s="19" t="str">
        <f>IF('Supplier selection'!C168="","",'Supplier selection'!C168)</f>
        <v/>
      </c>
      <c r="D168" s="19" t="str">
        <f>IF('Supplier selection'!D168="","",'Supplier selection'!D168)</f>
        <v/>
      </c>
      <c r="E168" s="19" t="str">
        <f>IF('Supplier selection'!E168="","",'Supplier selection'!E168)</f>
        <v/>
      </c>
      <c r="F168" s="19" t="str">
        <f>IF('Supplier selection'!F168="","",'Supplier selection'!F168)</f>
        <v/>
      </c>
      <c r="G168" s="19" t="str">
        <f>IF('Supplier selection'!G168="","",'Supplier selection'!G168)</f>
        <v/>
      </c>
      <c r="H168" s="19" t="str">
        <f>IF('Supplier selection'!H168="","",'Supplier selection'!H168)</f>
        <v/>
      </c>
      <c r="I168" s="19" t="str">
        <f>IF('Supplier selection'!I168="","",'Supplier selection'!I168)</f>
        <v/>
      </c>
      <c r="J168" s="19" t="str">
        <f>IF('Supplier selection'!J168="","",'Supplier selection'!J168)</f>
        <v/>
      </c>
      <c r="K168" s="19" t="str">
        <f>IF('Supplier selection'!K168="","",'Supplier selection'!K168)</f>
        <v/>
      </c>
      <c r="L168" s="19" t="str">
        <f>IF('Supplier selection'!L168="","",'Supplier selection'!L168)</f>
        <v/>
      </c>
      <c r="M168" s="19" t="str">
        <f>IF('Supplier selection'!M168="","",'Supplier selection'!M168)</f>
        <v/>
      </c>
      <c r="N168" s="19" t="str">
        <f>IF('Supplier selection'!N168="","",'Supplier selection'!N168)</f>
        <v/>
      </c>
      <c r="O168" s="19" t="str">
        <f>IF('Supplier selection'!O168="","",'Supplier selection'!O168)</f>
        <v/>
      </c>
      <c r="Q168" s="19" t="str">
        <f>HLOOKUP($Q$3,'Supplier selection'!$AW$4:'Supplier selection'!$CT$1000,$A169,FALSE)</f>
        <v/>
      </c>
      <c r="R168" s="22" t="str">
        <f t="shared" si="22"/>
        <v/>
      </c>
      <c r="S168" s="19" t="str">
        <f t="shared" si="23"/>
        <v/>
      </c>
      <c r="T168" s="22" t="str">
        <f t="shared" si="24"/>
        <v/>
      </c>
      <c r="U168" s="19" t="str">
        <f t="shared" si="25"/>
        <v/>
      </c>
      <c r="V168" s="7"/>
      <c r="Y168" s="19" t="str">
        <f>IF('Supplier selection'!AQ168="","",'Supplier selection'!AQ168)</f>
        <v/>
      </c>
      <c r="Z168" s="19" t="str">
        <f>IF('Supplier selection'!AR168="","",'Supplier selection'!AR168)</f>
        <v/>
      </c>
      <c r="AA168" s="19" t="str">
        <f t="shared" si="26"/>
        <v/>
      </c>
      <c r="AD168" s="26" t="str">
        <f>IF(AND('Supplier selection'!X168="",'Supplier selection'!AE168=""),"",IF('Supplier selection'!X168="",'Supplier selection'!AE168,'Supplier selection'!X168))</f>
        <v/>
      </c>
      <c r="AE168" s="19" t="str">
        <f t="shared" si="27"/>
        <v/>
      </c>
      <c r="AF168" s="19" t="str">
        <f t="shared" si="28"/>
        <v/>
      </c>
      <c r="AG168" s="27" t="str">
        <f>IF(AND('Supplier selection'!AB168="",'Supplier selection'!AI168=""),"",IF('Supplier selection'!AB168="",'Supplier selection'!AI168,'Supplier selection'!AB168))</f>
        <v/>
      </c>
      <c r="AH168" s="28" t="str">
        <f t="shared" si="29"/>
        <v/>
      </c>
      <c r="AI168" s="7" t="str">
        <f t="shared" si="30"/>
        <v/>
      </c>
      <c r="AJ168" s="22" t="str">
        <f t="shared" si="31"/>
        <v/>
      </c>
      <c r="AK168" s="29" t="str">
        <f t="shared" si="32"/>
        <v/>
      </c>
      <c r="AL168" s="10"/>
    </row>
    <row r="169" spans="1:38">
      <c r="A169" s="19">
        <f>IF('Supplier selection'!A169="","",'Supplier selection'!A169)</f>
        <v>165</v>
      </c>
      <c r="B169" s="19" t="str">
        <f>IF('Supplier selection'!B169="","",'Supplier selection'!B169)</f>
        <v/>
      </c>
      <c r="C169" s="19" t="str">
        <f>IF('Supplier selection'!C169="","",'Supplier selection'!C169)</f>
        <v/>
      </c>
      <c r="D169" s="19" t="str">
        <f>IF('Supplier selection'!D169="","",'Supplier selection'!D169)</f>
        <v/>
      </c>
      <c r="E169" s="19" t="str">
        <f>IF('Supplier selection'!E169="","",'Supplier selection'!E169)</f>
        <v/>
      </c>
      <c r="F169" s="19" t="str">
        <f>IF('Supplier selection'!F169="","",'Supplier selection'!F169)</f>
        <v/>
      </c>
      <c r="G169" s="19" t="str">
        <f>IF('Supplier selection'!G169="","",'Supplier selection'!G169)</f>
        <v/>
      </c>
      <c r="H169" s="19" t="str">
        <f>IF('Supplier selection'!H169="","",'Supplier selection'!H169)</f>
        <v/>
      </c>
      <c r="I169" s="19" t="str">
        <f>IF('Supplier selection'!I169="","",'Supplier selection'!I169)</f>
        <v/>
      </c>
      <c r="J169" s="19" t="str">
        <f>IF('Supplier selection'!J169="","",'Supplier selection'!J169)</f>
        <v/>
      </c>
      <c r="K169" s="19" t="str">
        <f>IF('Supplier selection'!K169="","",'Supplier selection'!K169)</f>
        <v/>
      </c>
      <c r="L169" s="19" t="str">
        <f>IF('Supplier selection'!L169="","",'Supplier selection'!L169)</f>
        <v/>
      </c>
      <c r="M169" s="19" t="str">
        <f>IF('Supplier selection'!M169="","",'Supplier selection'!M169)</f>
        <v/>
      </c>
      <c r="N169" s="19" t="str">
        <f>IF('Supplier selection'!N169="","",'Supplier selection'!N169)</f>
        <v/>
      </c>
      <c r="O169" s="19" t="str">
        <f>IF('Supplier selection'!O169="","",'Supplier selection'!O169)</f>
        <v/>
      </c>
      <c r="Q169" s="19" t="str">
        <f>HLOOKUP($Q$3,'Supplier selection'!$AW$4:'Supplier selection'!$CT$1000,$A170,FALSE)</f>
        <v/>
      </c>
      <c r="R169" s="22" t="str">
        <f t="shared" si="22"/>
        <v/>
      </c>
      <c r="S169" s="19" t="str">
        <f t="shared" si="23"/>
        <v/>
      </c>
      <c r="T169" s="22" t="str">
        <f t="shared" si="24"/>
        <v/>
      </c>
      <c r="U169" s="19" t="str">
        <f t="shared" si="25"/>
        <v/>
      </c>
      <c r="V169" s="7"/>
      <c r="Y169" s="19" t="str">
        <f>IF('Supplier selection'!AQ169="","",'Supplier selection'!AQ169)</f>
        <v/>
      </c>
      <c r="Z169" s="19" t="str">
        <f>IF('Supplier selection'!AR169="","",'Supplier selection'!AR169)</f>
        <v/>
      </c>
      <c r="AA169" s="19" t="str">
        <f t="shared" si="26"/>
        <v/>
      </c>
      <c r="AD169" s="26" t="str">
        <f>IF(AND('Supplier selection'!X169="",'Supplier selection'!AE169=""),"",IF('Supplier selection'!X169="",'Supplier selection'!AE169,'Supplier selection'!X169))</f>
        <v/>
      </c>
      <c r="AE169" s="19" t="str">
        <f t="shared" si="27"/>
        <v/>
      </c>
      <c r="AF169" s="19" t="str">
        <f t="shared" si="28"/>
        <v/>
      </c>
      <c r="AG169" s="27" t="str">
        <f>IF(AND('Supplier selection'!AB169="",'Supplier selection'!AI169=""),"",IF('Supplier selection'!AB169="",'Supplier selection'!AI169,'Supplier selection'!AB169))</f>
        <v/>
      </c>
      <c r="AH169" s="28" t="str">
        <f t="shared" si="29"/>
        <v/>
      </c>
      <c r="AI169" s="7" t="str">
        <f t="shared" si="30"/>
        <v/>
      </c>
      <c r="AJ169" s="22" t="str">
        <f t="shared" si="31"/>
        <v/>
      </c>
      <c r="AK169" s="29" t="str">
        <f t="shared" si="32"/>
        <v/>
      </c>
      <c r="AL169" s="10"/>
    </row>
    <row r="170" spans="1:38">
      <c r="A170" s="19">
        <f>IF('Supplier selection'!A170="","",'Supplier selection'!A170)</f>
        <v>166</v>
      </c>
      <c r="B170" s="19" t="str">
        <f>IF('Supplier selection'!B170="","",'Supplier selection'!B170)</f>
        <v/>
      </c>
      <c r="C170" s="19" t="str">
        <f>IF('Supplier selection'!C170="","",'Supplier selection'!C170)</f>
        <v/>
      </c>
      <c r="D170" s="19" t="str">
        <f>IF('Supplier selection'!D170="","",'Supplier selection'!D170)</f>
        <v/>
      </c>
      <c r="E170" s="19" t="str">
        <f>IF('Supplier selection'!E170="","",'Supplier selection'!E170)</f>
        <v/>
      </c>
      <c r="F170" s="19" t="str">
        <f>IF('Supplier selection'!F170="","",'Supplier selection'!F170)</f>
        <v/>
      </c>
      <c r="G170" s="19" t="str">
        <f>IF('Supplier selection'!G170="","",'Supplier selection'!G170)</f>
        <v/>
      </c>
      <c r="H170" s="19" t="str">
        <f>IF('Supplier selection'!H170="","",'Supplier selection'!H170)</f>
        <v/>
      </c>
      <c r="I170" s="19" t="str">
        <f>IF('Supplier selection'!I170="","",'Supplier selection'!I170)</f>
        <v/>
      </c>
      <c r="J170" s="19" t="str">
        <f>IF('Supplier selection'!J170="","",'Supplier selection'!J170)</f>
        <v/>
      </c>
      <c r="K170" s="19" t="str">
        <f>IF('Supplier selection'!K170="","",'Supplier selection'!K170)</f>
        <v/>
      </c>
      <c r="L170" s="19" t="str">
        <f>IF('Supplier selection'!L170="","",'Supplier selection'!L170)</f>
        <v/>
      </c>
      <c r="M170" s="19" t="str">
        <f>IF('Supplier selection'!M170="","",'Supplier selection'!M170)</f>
        <v/>
      </c>
      <c r="N170" s="19" t="str">
        <f>IF('Supplier selection'!N170="","",'Supplier selection'!N170)</f>
        <v/>
      </c>
      <c r="O170" s="19" t="str">
        <f>IF('Supplier selection'!O170="","",'Supplier selection'!O170)</f>
        <v/>
      </c>
      <c r="Q170" s="19" t="str">
        <f>HLOOKUP($Q$3,'Supplier selection'!$AW$4:'Supplier selection'!$CT$1000,$A171,FALSE)</f>
        <v/>
      </c>
      <c r="R170" s="22" t="str">
        <f t="shared" si="22"/>
        <v/>
      </c>
      <c r="S170" s="19" t="str">
        <f t="shared" si="23"/>
        <v/>
      </c>
      <c r="T170" s="22" t="str">
        <f t="shared" si="24"/>
        <v/>
      </c>
      <c r="U170" s="19" t="str">
        <f t="shared" si="25"/>
        <v/>
      </c>
      <c r="V170" s="7"/>
      <c r="Y170" s="19" t="str">
        <f>IF('Supplier selection'!AQ170="","",'Supplier selection'!AQ170)</f>
        <v/>
      </c>
      <c r="Z170" s="19" t="str">
        <f>IF('Supplier selection'!AR170="","",'Supplier selection'!AR170)</f>
        <v/>
      </c>
      <c r="AA170" s="19" t="str">
        <f t="shared" si="26"/>
        <v/>
      </c>
      <c r="AD170" s="26" t="str">
        <f>IF(AND('Supplier selection'!X170="",'Supplier selection'!AE170=""),"",IF('Supplier selection'!X170="",'Supplier selection'!AE170,'Supplier selection'!X170))</f>
        <v/>
      </c>
      <c r="AE170" s="19" t="str">
        <f t="shared" si="27"/>
        <v/>
      </c>
      <c r="AF170" s="19" t="str">
        <f t="shared" si="28"/>
        <v/>
      </c>
      <c r="AG170" s="27" t="str">
        <f>IF(AND('Supplier selection'!AB170="",'Supplier selection'!AI170=""),"",IF('Supplier selection'!AB170="",'Supplier selection'!AI170,'Supplier selection'!AB170))</f>
        <v/>
      </c>
      <c r="AH170" s="28" t="str">
        <f t="shared" si="29"/>
        <v/>
      </c>
      <c r="AI170" s="7" t="str">
        <f t="shared" si="30"/>
        <v/>
      </c>
      <c r="AJ170" s="22" t="str">
        <f t="shared" si="31"/>
        <v/>
      </c>
      <c r="AK170" s="29" t="str">
        <f t="shared" si="32"/>
        <v/>
      </c>
      <c r="AL170" s="10"/>
    </row>
    <row r="171" spans="1:38">
      <c r="A171" s="19">
        <f>IF('Supplier selection'!A171="","",'Supplier selection'!A171)</f>
        <v>167</v>
      </c>
      <c r="B171" s="19" t="str">
        <f>IF('Supplier selection'!B171="","",'Supplier selection'!B171)</f>
        <v/>
      </c>
      <c r="C171" s="19" t="str">
        <f>IF('Supplier selection'!C171="","",'Supplier selection'!C171)</f>
        <v/>
      </c>
      <c r="D171" s="19" t="str">
        <f>IF('Supplier selection'!D171="","",'Supplier selection'!D171)</f>
        <v/>
      </c>
      <c r="E171" s="19" t="str">
        <f>IF('Supplier selection'!E171="","",'Supplier selection'!E171)</f>
        <v/>
      </c>
      <c r="F171" s="19" t="str">
        <f>IF('Supplier selection'!F171="","",'Supplier selection'!F171)</f>
        <v/>
      </c>
      <c r="G171" s="19" t="str">
        <f>IF('Supplier selection'!G171="","",'Supplier selection'!G171)</f>
        <v/>
      </c>
      <c r="H171" s="19" t="str">
        <f>IF('Supplier selection'!H171="","",'Supplier selection'!H171)</f>
        <v/>
      </c>
      <c r="I171" s="19" t="str">
        <f>IF('Supplier selection'!I171="","",'Supplier selection'!I171)</f>
        <v/>
      </c>
      <c r="J171" s="19" t="str">
        <f>IF('Supplier selection'!J171="","",'Supplier selection'!J171)</f>
        <v/>
      </c>
      <c r="K171" s="19" t="str">
        <f>IF('Supplier selection'!K171="","",'Supplier selection'!K171)</f>
        <v/>
      </c>
      <c r="L171" s="19" t="str">
        <f>IF('Supplier selection'!L171="","",'Supplier selection'!L171)</f>
        <v/>
      </c>
      <c r="M171" s="19" t="str">
        <f>IF('Supplier selection'!M171="","",'Supplier selection'!M171)</f>
        <v/>
      </c>
      <c r="N171" s="19" t="str">
        <f>IF('Supplier selection'!N171="","",'Supplier selection'!N171)</f>
        <v/>
      </c>
      <c r="O171" s="19" t="str">
        <f>IF('Supplier selection'!O171="","",'Supplier selection'!O171)</f>
        <v/>
      </c>
      <c r="Q171" s="19" t="str">
        <f>HLOOKUP($Q$3,'Supplier selection'!$AW$4:'Supplier selection'!$CT$1000,$A172,FALSE)</f>
        <v/>
      </c>
      <c r="R171" s="22" t="str">
        <f t="shared" si="22"/>
        <v/>
      </c>
      <c r="S171" s="19" t="str">
        <f t="shared" si="23"/>
        <v/>
      </c>
      <c r="T171" s="22" t="str">
        <f t="shared" si="24"/>
        <v/>
      </c>
      <c r="U171" s="19" t="str">
        <f t="shared" si="25"/>
        <v/>
      </c>
      <c r="V171" s="7"/>
      <c r="Y171" s="19" t="str">
        <f>IF('Supplier selection'!AQ171="","",'Supplier selection'!AQ171)</f>
        <v/>
      </c>
      <c r="Z171" s="19" t="str">
        <f>IF('Supplier selection'!AR171="","",'Supplier selection'!AR171)</f>
        <v/>
      </c>
      <c r="AA171" s="19" t="str">
        <f t="shared" si="26"/>
        <v/>
      </c>
      <c r="AD171" s="26" t="str">
        <f>IF(AND('Supplier selection'!X171="",'Supplier selection'!AE171=""),"",IF('Supplier selection'!X171="",'Supplier selection'!AE171,'Supplier selection'!X171))</f>
        <v/>
      </c>
      <c r="AE171" s="19" t="str">
        <f t="shared" si="27"/>
        <v/>
      </c>
      <c r="AF171" s="19" t="str">
        <f t="shared" si="28"/>
        <v/>
      </c>
      <c r="AG171" s="27" t="str">
        <f>IF(AND('Supplier selection'!AB171="",'Supplier selection'!AI171=""),"",IF('Supplier selection'!AB171="",'Supplier selection'!AI171,'Supplier selection'!AB171))</f>
        <v/>
      </c>
      <c r="AH171" s="28" t="str">
        <f t="shared" si="29"/>
        <v/>
      </c>
      <c r="AI171" s="7" t="str">
        <f t="shared" si="30"/>
        <v/>
      </c>
      <c r="AJ171" s="22" t="str">
        <f t="shared" si="31"/>
        <v/>
      </c>
      <c r="AK171" s="29" t="str">
        <f t="shared" si="32"/>
        <v/>
      </c>
      <c r="AL171" s="10"/>
    </row>
    <row r="172" spans="1:38">
      <c r="A172" s="19">
        <f>IF('Supplier selection'!A172="","",'Supplier selection'!A172)</f>
        <v>168</v>
      </c>
      <c r="B172" s="19" t="str">
        <f>IF('Supplier selection'!B172="","",'Supplier selection'!B172)</f>
        <v/>
      </c>
      <c r="C172" s="19" t="str">
        <f>IF('Supplier selection'!C172="","",'Supplier selection'!C172)</f>
        <v/>
      </c>
      <c r="D172" s="19" t="str">
        <f>IF('Supplier selection'!D172="","",'Supplier selection'!D172)</f>
        <v/>
      </c>
      <c r="E172" s="19" t="str">
        <f>IF('Supplier selection'!E172="","",'Supplier selection'!E172)</f>
        <v/>
      </c>
      <c r="F172" s="19" t="str">
        <f>IF('Supplier selection'!F172="","",'Supplier selection'!F172)</f>
        <v/>
      </c>
      <c r="G172" s="19" t="str">
        <f>IF('Supplier selection'!G172="","",'Supplier selection'!G172)</f>
        <v/>
      </c>
      <c r="H172" s="19" t="str">
        <f>IF('Supplier selection'!H172="","",'Supplier selection'!H172)</f>
        <v/>
      </c>
      <c r="I172" s="19" t="str">
        <f>IF('Supplier selection'!I172="","",'Supplier selection'!I172)</f>
        <v/>
      </c>
      <c r="J172" s="19" t="str">
        <f>IF('Supplier selection'!J172="","",'Supplier selection'!J172)</f>
        <v/>
      </c>
      <c r="K172" s="19" t="str">
        <f>IF('Supplier selection'!K172="","",'Supplier selection'!K172)</f>
        <v/>
      </c>
      <c r="L172" s="19" t="str">
        <f>IF('Supplier selection'!L172="","",'Supplier selection'!L172)</f>
        <v/>
      </c>
      <c r="M172" s="19" t="str">
        <f>IF('Supplier selection'!M172="","",'Supplier selection'!M172)</f>
        <v/>
      </c>
      <c r="N172" s="19" t="str">
        <f>IF('Supplier selection'!N172="","",'Supplier selection'!N172)</f>
        <v/>
      </c>
      <c r="O172" s="19" t="str">
        <f>IF('Supplier selection'!O172="","",'Supplier selection'!O172)</f>
        <v/>
      </c>
      <c r="Q172" s="19" t="str">
        <f>HLOOKUP($Q$3,'Supplier selection'!$AW$4:'Supplier selection'!$CT$1000,$A173,FALSE)</f>
        <v/>
      </c>
      <c r="R172" s="22" t="str">
        <f t="shared" si="22"/>
        <v/>
      </c>
      <c r="S172" s="19" t="str">
        <f t="shared" si="23"/>
        <v/>
      </c>
      <c r="T172" s="22" t="str">
        <f t="shared" si="24"/>
        <v/>
      </c>
      <c r="U172" s="19" t="str">
        <f t="shared" si="25"/>
        <v/>
      </c>
      <c r="V172" s="7"/>
      <c r="Y172" s="19" t="str">
        <f>IF('Supplier selection'!AQ172="","",'Supplier selection'!AQ172)</f>
        <v/>
      </c>
      <c r="Z172" s="19" t="str">
        <f>IF('Supplier selection'!AR172="","",'Supplier selection'!AR172)</f>
        <v/>
      </c>
      <c r="AA172" s="19" t="str">
        <f t="shared" si="26"/>
        <v/>
      </c>
      <c r="AD172" s="26" t="str">
        <f>IF(AND('Supplier selection'!X172="",'Supplier selection'!AE172=""),"",IF('Supplier selection'!X172="",'Supplier selection'!AE172,'Supplier selection'!X172))</f>
        <v/>
      </c>
      <c r="AE172" s="19" t="str">
        <f t="shared" si="27"/>
        <v/>
      </c>
      <c r="AF172" s="19" t="str">
        <f t="shared" si="28"/>
        <v/>
      </c>
      <c r="AG172" s="27" t="str">
        <f>IF(AND('Supplier selection'!AB172="",'Supplier selection'!AI172=""),"",IF('Supplier selection'!AB172="",'Supplier selection'!AI172,'Supplier selection'!AB172))</f>
        <v/>
      </c>
      <c r="AH172" s="28" t="str">
        <f t="shared" si="29"/>
        <v/>
      </c>
      <c r="AI172" s="7" t="str">
        <f t="shared" si="30"/>
        <v/>
      </c>
      <c r="AJ172" s="22" t="str">
        <f t="shared" si="31"/>
        <v/>
      </c>
      <c r="AK172" s="29" t="str">
        <f t="shared" si="32"/>
        <v/>
      </c>
      <c r="AL172" s="10"/>
    </row>
    <row r="173" spans="1:38">
      <c r="A173" s="19">
        <f>IF('Supplier selection'!A173="","",'Supplier selection'!A173)</f>
        <v>169</v>
      </c>
      <c r="B173" s="19" t="str">
        <f>IF('Supplier selection'!B173="","",'Supplier selection'!B173)</f>
        <v/>
      </c>
      <c r="C173" s="19" t="str">
        <f>IF('Supplier selection'!C173="","",'Supplier selection'!C173)</f>
        <v/>
      </c>
      <c r="D173" s="19" t="str">
        <f>IF('Supplier selection'!D173="","",'Supplier selection'!D173)</f>
        <v/>
      </c>
      <c r="E173" s="19" t="str">
        <f>IF('Supplier selection'!E173="","",'Supplier selection'!E173)</f>
        <v/>
      </c>
      <c r="F173" s="19" t="str">
        <f>IF('Supplier selection'!F173="","",'Supplier selection'!F173)</f>
        <v/>
      </c>
      <c r="G173" s="19" t="str">
        <f>IF('Supplier selection'!G173="","",'Supplier selection'!G173)</f>
        <v/>
      </c>
      <c r="H173" s="19" t="str">
        <f>IF('Supplier selection'!H173="","",'Supplier selection'!H173)</f>
        <v/>
      </c>
      <c r="I173" s="19" t="str">
        <f>IF('Supplier selection'!I173="","",'Supplier selection'!I173)</f>
        <v/>
      </c>
      <c r="J173" s="19" t="str">
        <f>IF('Supplier selection'!J173="","",'Supplier selection'!J173)</f>
        <v/>
      </c>
      <c r="K173" s="19" t="str">
        <f>IF('Supplier selection'!K173="","",'Supplier selection'!K173)</f>
        <v/>
      </c>
      <c r="L173" s="19" t="str">
        <f>IF('Supplier selection'!L173="","",'Supplier selection'!L173)</f>
        <v/>
      </c>
      <c r="M173" s="19" t="str">
        <f>IF('Supplier selection'!M173="","",'Supplier selection'!M173)</f>
        <v/>
      </c>
      <c r="N173" s="19" t="str">
        <f>IF('Supplier selection'!N173="","",'Supplier selection'!N173)</f>
        <v/>
      </c>
      <c r="O173" s="19" t="str">
        <f>IF('Supplier selection'!O173="","",'Supplier selection'!O173)</f>
        <v/>
      </c>
      <c r="Q173" s="19" t="str">
        <f>HLOOKUP($Q$3,'Supplier selection'!$AW$4:'Supplier selection'!$CT$1000,$A174,FALSE)</f>
        <v/>
      </c>
      <c r="R173" s="22" t="str">
        <f t="shared" si="22"/>
        <v/>
      </c>
      <c r="S173" s="19" t="str">
        <f t="shared" si="23"/>
        <v/>
      </c>
      <c r="T173" s="22" t="str">
        <f t="shared" si="24"/>
        <v/>
      </c>
      <c r="U173" s="19" t="str">
        <f t="shared" si="25"/>
        <v/>
      </c>
      <c r="V173" s="7"/>
      <c r="Y173" s="19" t="str">
        <f>IF('Supplier selection'!AQ173="","",'Supplier selection'!AQ173)</f>
        <v/>
      </c>
      <c r="Z173" s="19" t="str">
        <f>IF('Supplier selection'!AR173="","",'Supplier selection'!AR173)</f>
        <v/>
      </c>
      <c r="AA173" s="19" t="str">
        <f t="shared" si="26"/>
        <v/>
      </c>
      <c r="AD173" s="26" t="str">
        <f>IF(AND('Supplier selection'!X173="",'Supplier selection'!AE173=""),"",IF('Supplier selection'!X173="",'Supplier selection'!AE173,'Supplier selection'!X173))</f>
        <v/>
      </c>
      <c r="AE173" s="19" t="str">
        <f t="shared" si="27"/>
        <v/>
      </c>
      <c r="AF173" s="19" t="str">
        <f t="shared" si="28"/>
        <v/>
      </c>
      <c r="AG173" s="27" t="str">
        <f>IF(AND('Supplier selection'!AB173="",'Supplier selection'!AI173=""),"",IF('Supplier selection'!AB173="",'Supplier selection'!AI173,'Supplier selection'!AB173))</f>
        <v/>
      </c>
      <c r="AH173" s="28" t="str">
        <f t="shared" si="29"/>
        <v/>
      </c>
      <c r="AI173" s="7" t="str">
        <f t="shared" si="30"/>
        <v/>
      </c>
      <c r="AJ173" s="22" t="str">
        <f t="shared" si="31"/>
        <v/>
      </c>
      <c r="AK173" s="29" t="str">
        <f t="shared" si="32"/>
        <v/>
      </c>
      <c r="AL173" s="10"/>
    </row>
    <row r="174" spans="1:38">
      <c r="A174" s="19">
        <f>IF('Supplier selection'!A174="","",'Supplier selection'!A174)</f>
        <v>170</v>
      </c>
      <c r="B174" s="19" t="str">
        <f>IF('Supplier selection'!B174="","",'Supplier selection'!B174)</f>
        <v/>
      </c>
      <c r="C174" s="19" t="str">
        <f>IF('Supplier selection'!C174="","",'Supplier selection'!C174)</f>
        <v/>
      </c>
      <c r="D174" s="19" t="str">
        <f>IF('Supplier selection'!D174="","",'Supplier selection'!D174)</f>
        <v/>
      </c>
      <c r="E174" s="19" t="str">
        <f>IF('Supplier selection'!E174="","",'Supplier selection'!E174)</f>
        <v/>
      </c>
      <c r="F174" s="19" t="str">
        <f>IF('Supplier selection'!F174="","",'Supplier selection'!F174)</f>
        <v/>
      </c>
      <c r="G174" s="19" t="str">
        <f>IF('Supplier selection'!G174="","",'Supplier selection'!G174)</f>
        <v/>
      </c>
      <c r="H174" s="19" t="str">
        <f>IF('Supplier selection'!H174="","",'Supplier selection'!H174)</f>
        <v/>
      </c>
      <c r="I174" s="19" t="str">
        <f>IF('Supplier selection'!I174="","",'Supplier selection'!I174)</f>
        <v/>
      </c>
      <c r="J174" s="19" t="str">
        <f>IF('Supplier selection'!J174="","",'Supplier selection'!J174)</f>
        <v/>
      </c>
      <c r="K174" s="19" t="str">
        <f>IF('Supplier selection'!K174="","",'Supplier selection'!K174)</f>
        <v/>
      </c>
      <c r="L174" s="19" t="str">
        <f>IF('Supplier selection'!L174="","",'Supplier selection'!L174)</f>
        <v/>
      </c>
      <c r="M174" s="19" t="str">
        <f>IF('Supplier selection'!M174="","",'Supplier selection'!M174)</f>
        <v/>
      </c>
      <c r="N174" s="19" t="str">
        <f>IF('Supplier selection'!N174="","",'Supplier selection'!N174)</f>
        <v/>
      </c>
      <c r="O174" s="19" t="str">
        <f>IF('Supplier selection'!O174="","",'Supplier selection'!O174)</f>
        <v/>
      </c>
      <c r="Q174" s="19" t="str">
        <f>HLOOKUP($Q$3,'Supplier selection'!$AW$4:'Supplier selection'!$CT$1000,$A175,FALSE)</f>
        <v/>
      </c>
      <c r="R174" s="22" t="str">
        <f t="shared" si="22"/>
        <v/>
      </c>
      <c r="S174" s="19" t="str">
        <f t="shared" si="23"/>
        <v/>
      </c>
      <c r="T174" s="22" t="str">
        <f t="shared" si="24"/>
        <v/>
      </c>
      <c r="U174" s="19" t="str">
        <f t="shared" si="25"/>
        <v/>
      </c>
      <c r="V174" s="7"/>
      <c r="Y174" s="19" t="str">
        <f>IF('Supplier selection'!AQ174="","",'Supplier selection'!AQ174)</f>
        <v/>
      </c>
      <c r="Z174" s="19" t="str">
        <f>IF('Supplier selection'!AR174="","",'Supplier selection'!AR174)</f>
        <v/>
      </c>
      <c r="AA174" s="19" t="str">
        <f t="shared" si="26"/>
        <v/>
      </c>
      <c r="AD174" s="26" t="str">
        <f>IF(AND('Supplier selection'!X174="",'Supplier selection'!AE174=""),"",IF('Supplier selection'!X174="",'Supplier selection'!AE174,'Supplier selection'!X174))</f>
        <v/>
      </c>
      <c r="AE174" s="19" t="str">
        <f t="shared" si="27"/>
        <v/>
      </c>
      <c r="AF174" s="19" t="str">
        <f t="shared" si="28"/>
        <v/>
      </c>
      <c r="AG174" s="27" t="str">
        <f>IF(AND('Supplier selection'!AB174="",'Supplier selection'!AI174=""),"",IF('Supplier selection'!AB174="",'Supplier selection'!AI174,'Supplier selection'!AB174))</f>
        <v/>
      </c>
      <c r="AH174" s="28" t="str">
        <f t="shared" si="29"/>
        <v/>
      </c>
      <c r="AI174" s="7" t="str">
        <f t="shared" si="30"/>
        <v/>
      </c>
      <c r="AJ174" s="22" t="str">
        <f t="shared" si="31"/>
        <v/>
      </c>
      <c r="AK174" s="29" t="str">
        <f t="shared" si="32"/>
        <v/>
      </c>
      <c r="AL174" s="10"/>
    </row>
    <row r="175" spans="1:38">
      <c r="A175" s="19">
        <f>IF('Supplier selection'!A175="","",'Supplier selection'!A175)</f>
        <v>171</v>
      </c>
      <c r="B175" s="19" t="str">
        <f>IF('Supplier selection'!B175="","",'Supplier selection'!B175)</f>
        <v/>
      </c>
      <c r="C175" s="19" t="str">
        <f>IF('Supplier selection'!C175="","",'Supplier selection'!C175)</f>
        <v/>
      </c>
      <c r="D175" s="19" t="str">
        <f>IF('Supplier selection'!D175="","",'Supplier selection'!D175)</f>
        <v/>
      </c>
      <c r="E175" s="19" t="str">
        <f>IF('Supplier selection'!E175="","",'Supplier selection'!E175)</f>
        <v/>
      </c>
      <c r="F175" s="19" t="str">
        <f>IF('Supplier selection'!F175="","",'Supplier selection'!F175)</f>
        <v/>
      </c>
      <c r="G175" s="19" t="str">
        <f>IF('Supplier selection'!G175="","",'Supplier selection'!G175)</f>
        <v/>
      </c>
      <c r="H175" s="19" t="str">
        <f>IF('Supplier selection'!H175="","",'Supplier selection'!H175)</f>
        <v/>
      </c>
      <c r="I175" s="19" t="str">
        <f>IF('Supplier selection'!I175="","",'Supplier selection'!I175)</f>
        <v/>
      </c>
      <c r="J175" s="19" t="str">
        <f>IF('Supplier selection'!J175="","",'Supplier selection'!J175)</f>
        <v/>
      </c>
      <c r="K175" s="19" t="str">
        <f>IF('Supplier selection'!K175="","",'Supplier selection'!K175)</f>
        <v/>
      </c>
      <c r="L175" s="19" t="str">
        <f>IF('Supplier selection'!L175="","",'Supplier selection'!L175)</f>
        <v/>
      </c>
      <c r="M175" s="19" t="str">
        <f>IF('Supplier selection'!M175="","",'Supplier selection'!M175)</f>
        <v/>
      </c>
      <c r="N175" s="19" t="str">
        <f>IF('Supplier selection'!N175="","",'Supplier selection'!N175)</f>
        <v/>
      </c>
      <c r="O175" s="19" t="str">
        <f>IF('Supplier selection'!O175="","",'Supplier selection'!O175)</f>
        <v/>
      </c>
      <c r="Q175" s="19" t="str">
        <f>HLOOKUP($Q$3,'Supplier selection'!$AW$4:'Supplier selection'!$CT$1000,$A176,FALSE)</f>
        <v/>
      </c>
      <c r="R175" s="22" t="str">
        <f t="shared" si="22"/>
        <v/>
      </c>
      <c r="S175" s="19" t="str">
        <f t="shared" si="23"/>
        <v/>
      </c>
      <c r="T175" s="22" t="str">
        <f t="shared" si="24"/>
        <v/>
      </c>
      <c r="U175" s="19" t="str">
        <f t="shared" si="25"/>
        <v/>
      </c>
      <c r="V175" s="7"/>
      <c r="Y175" s="19" t="str">
        <f>IF('Supplier selection'!AQ175="","",'Supplier selection'!AQ175)</f>
        <v/>
      </c>
      <c r="Z175" s="19" t="str">
        <f>IF('Supplier selection'!AR175="","",'Supplier selection'!AR175)</f>
        <v/>
      </c>
      <c r="AA175" s="19" t="str">
        <f t="shared" si="26"/>
        <v/>
      </c>
      <c r="AD175" s="26" t="str">
        <f>IF(AND('Supplier selection'!X175="",'Supplier selection'!AE175=""),"",IF('Supplier selection'!X175="",'Supplier selection'!AE175,'Supplier selection'!X175))</f>
        <v/>
      </c>
      <c r="AE175" s="19" t="str">
        <f t="shared" si="27"/>
        <v/>
      </c>
      <c r="AF175" s="19" t="str">
        <f t="shared" si="28"/>
        <v/>
      </c>
      <c r="AG175" s="27" t="str">
        <f>IF(AND('Supplier selection'!AB175="",'Supplier selection'!AI175=""),"",IF('Supplier selection'!AB175="",'Supplier selection'!AI175,'Supplier selection'!AB175))</f>
        <v/>
      </c>
      <c r="AH175" s="28" t="str">
        <f t="shared" si="29"/>
        <v/>
      </c>
      <c r="AI175" s="7" t="str">
        <f t="shared" si="30"/>
        <v/>
      </c>
      <c r="AJ175" s="22" t="str">
        <f t="shared" si="31"/>
        <v/>
      </c>
      <c r="AK175" s="29" t="str">
        <f t="shared" si="32"/>
        <v/>
      </c>
      <c r="AL175" s="10"/>
    </row>
    <row r="176" spans="1:38">
      <c r="A176" s="19">
        <f>IF('Supplier selection'!A176="","",'Supplier selection'!A176)</f>
        <v>172</v>
      </c>
      <c r="B176" s="19" t="str">
        <f>IF('Supplier selection'!B176="","",'Supplier selection'!B176)</f>
        <v/>
      </c>
      <c r="C176" s="19" t="str">
        <f>IF('Supplier selection'!C176="","",'Supplier selection'!C176)</f>
        <v/>
      </c>
      <c r="D176" s="19" t="str">
        <f>IF('Supplier selection'!D176="","",'Supplier selection'!D176)</f>
        <v/>
      </c>
      <c r="E176" s="19" t="str">
        <f>IF('Supplier selection'!E176="","",'Supplier selection'!E176)</f>
        <v/>
      </c>
      <c r="F176" s="19" t="str">
        <f>IF('Supplier selection'!F176="","",'Supplier selection'!F176)</f>
        <v/>
      </c>
      <c r="G176" s="19" t="str">
        <f>IF('Supplier selection'!G176="","",'Supplier selection'!G176)</f>
        <v/>
      </c>
      <c r="H176" s="19" t="str">
        <f>IF('Supplier selection'!H176="","",'Supplier selection'!H176)</f>
        <v/>
      </c>
      <c r="I176" s="19" t="str">
        <f>IF('Supplier selection'!I176="","",'Supplier selection'!I176)</f>
        <v/>
      </c>
      <c r="J176" s="19" t="str">
        <f>IF('Supplier selection'!J176="","",'Supplier selection'!J176)</f>
        <v/>
      </c>
      <c r="K176" s="19" t="str">
        <f>IF('Supplier selection'!K176="","",'Supplier selection'!K176)</f>
        <v/>
      </c>
      <c r="L176" s="19" t="str">
        <f>IF('Supplier selection'!L176="","",'Supplier selection'!L176)</f>
        <v/>
      </c>
      <c r="M176" s="19" t="str">
        <f>IF('Supplier selection'!M176="","",'Supplier selection'!M176)</f>
        <v/>
      </c>
      <c r="N176" s="19" t="str">
        <f>IF('Supplier selection'!N176="","",'Supplier selection'!N176)</f>
        <v/>
      </c>
      <c r="O176" s="19" t="str">
        <f>IF('Supplier selection'!O176="","",'Supplier selection'!O176)</f>
        <v/>
      </c>
      <c r="Q176" s="19" t="str">
        <f>HLOOKUP($Q$3,'Supplier selection'!$AW$4:'Supplier selection'!$CT$1000,$A177,FALSE)</f>
        <v/>
      </c>
      <c r="R176" s="22" t="str">
        <f t="shared" si="22"/>
        <v/>
      </c>
      <c r="S176" s="19" t="str">
        <f t="shared" si="23"/>
        <v/>
      </c>
      <c r="T176" s="22" t="str">
        <f t="shared" si="24"/>
        <v/>
      </c>
      <c r="U176" s="19" t="str">
        <f t="shared" si="25"/>
        <v/>
      </c>
      <c r="V176" s="7"/>
      <c r="Y176" s="19" t="str">
        <f>IF('Supplier selection'!AQ176="","",'Supplier selection'!AQ176)</f>
        <v/>
      </c>
      <c r="Z176" s="19" t="str">
        <f>IF('Supplier selection'!AR176="","",'Supplier selection'!AR176)</f>
        <v/>
      </c>
      <c r="AA176" s="19" t="str">
        <f t="shared" si="26"/>
        <v/>
      </c>
      <c r="AD176" s="26" t="str">
        <f>IF(AND('Supplier selection'!X176="",'Supplier selection'!AE176=""),"",IF('Supplier selection'!X176="",'Supplier selection'!AE176,'Supplier selection'!X176))</f>
        <v/>
      </c>
      <c r="AE176" s="19" t="str">
        <f t="shared" si="27"/>
        <v/>
      </c>
      <c r="AF176" s="19" t="str">
        <f t="shared" si="28"/>
        <v/>
      </c>
      <c r="AG176" s="27" t="str">
        <f>IF(AND('Supplier selection'!AB176="",'Supplier selection'!AI176=""),"",IF('Supplier selection'!AB176="",'Supplier selection'!AI176,'Supplier selection'!AB176))</f>
        <v/>
      </c>
      <c r="AH176" s="28" t="str">
        <f t="shared" si="29"/>
        <v/>
      </c>
      <c r="AI176" s="7" t="str">
        <f t="shared" si="30"/>
        <v/>
      </c>
      <c r="AJ176" s="22" t="str">
        <f t="shared" si="31"/>
        <v/>
      </c>
      <c r="AK176" s="29" t="str">
        <f t="shared" si="32"/>
        <v/>
      </c>
      <c r="AL176" s="10"/>
    </row>
    <row r="177" spans="1:38">
      <c r="A177" s="19">
        <f>IF('Supplier selection'!A177="","",'Supplier selection'!A177)</f>
        <v>173</v>
      </c>
      <c r="B177" s="19" t="str">
        <f>IF('Supplier selection'!B177="","",'Supplier selection'!B177)</f>
        <v/>
      </c>
      <c r="C177" s="19" t="str">
        <f>IF('Supplier selection'!C177="","",'Supplier selection'!C177)</f>
        <v/>
      </c>
      <c r="D177" s="19" t="str">
        <f>IF('Supplier selection'!D177="","",'Supplier selection'!D177)</f>
        <v/>
      </c>
      <c r="E177" s="19" t="str">
        <f>IF('Supplier selection'!E177="","",'Supplier selection'!E177)</f>
        <v/>
      </c>
      <c r="F177" s="19" t="str">
        <f>IF('Supplier selection'!F177="","",'Supplier selection'!F177)</f>
        <v/>
      </c>
      <c r="G177" s="19" t="str">
        <f>IF('Supplier selection'!G177="","",'Supplier selection'!G177)</f>
        <v/>
      </c>
      <c r="H177" s="19" t="str">
        <f>IF('Supplier selection'!H177="","",'Supplier selection'!H177)</f>
        <v/>
      </c>
      <c r="I177" s="19" t="str">
        <f>IF('Supplier selection'!I177="","",'Supplier selection'!I177)</f>
        <v/>
      </c>
      <c r="J177" s="19" t="str">
        <f>IF('Supplier selection'!J177="","",'Supplier selection'!J177)</f>
        <v/>
      </c>
      <c r="K177" s="19" t="str">
        <f>IF('Supplier selection'!K177="","",'Supplier selection'!K177)</f>
        <v/>
      </c>
      <c r="L177" s="19" t="str">
        <f>IF('Supplier selection'!L177="","",'Supplier selection'!L177)</f>
        <v/>
      </c>
      <c r="M177" s="19" t="str">
        <f>IF('Supplier selection'!M177="","",'Supplier selection'!M177)</f>
        <v/>
      </c>
      <c r="N177" s="19" t="str">
        <f>IF('Supplier selection'!N177="","",'Supplier selection'!N177)</f>
        <v/>
      </c>
      <c r="O177" s="19" t="str">
        <f>IF('Supplier selection'!O177="","",'Supplier selection'!O177)</f>
        <v/>
      </c>
      <c r="Q177" s="19" t="str">
        <f>HLOOKUP($Q$3,'Supplier selection'!$AW$4:'Supplier selection'!$CT$1000,$A178,FALSE)</f>
        <v/>
      </c>
      <c r="R177" s="22" t="str">
        <f t="shared" si="22"/>
        <v/>
      </c>
      <c r="S177" s="19" t="str">
        <f t="shared" si="23"/>
        <v/>
      </c>
      <c r="T177" s="22" t="str">
        <f t="shared" si="24"/>
        <v/>
      </c>
      <c r="U177" s="19" t="str">
        <f t="shared" si="25"/>
        <v/>
      </c>
      <c r="V177" s="7"/>
      <c r="Y177" s="19" t="str">
        <f>IF('Supplier selection'!AQ177="","",'Supplier selection'!AQ177)</f>
        <v/>
      </c>
      <c r="Z177" s="19" t="str">
        <f>IF('Supplier selection'!AR177="","",'Supplier selection'!AR177)</f>
        <v/>
      </c>
      <c r="AA177" s="19" t="str">
        <f t="shared" si="26"/>
        <v/>
      </c>
      <c r="AD177" s="26" t="str">
        <f>IF(AND('Supplier selection'!X177="",'Supplier selection'!AE177=""),"",IF('Supplier selection'!X177="",'Supplier selection'!AE177,'Supplier selection'!X177))</f>
        <v/>
      </c>
      <c r="AE177" s="19" t="str">
        <f t="shared" si="27"/>
        <v/>
      </c>
      <c r="AF177" s="19" t="str">
        <f t="shared" si="28"/>
        <v/>
      </c>
      <c r="AG177" s="27" t="str">
        <f>IF(AND('Supplier selection'!AB177="",'Supplier selection'!AI177=""),"",IF('Supplier selection'!AB177="",'Supplier selection'!AI177,'Supplier selection'!AB177))</f>
        <v/>
      </c>
      <c r="AH177" s="28" t="str">
        <f t="shared" si="29"/>
        <v/>
      </c>
      <c r="AI177" s="7" t="str">
        <f t="shared" si="30"/>
        <v/>
      </c>
      <c r="AJ177" s="22" t="str">
        <f t="shared" si="31"/>
        <v/>
      </c>
      <c r="AK177" s="29" t="str">
        <f t="shared" si="32"/>
        <v/>
      </c>
      <c r="AL177" s="10"/>
    </row>
    <row r="178" spans="1:38">
      <c r="A178" s="19">
        <f>IF('Supplier selection'!A178="","",'Supplier selection'!A178)</f>
        <v>174</v>
      </c>
      <c r="B178" s="19" t="str">
        <f>IF('Supplier selection'!B178="","",'Supplier selection'!B178)</f>
        <v/>
      </c>
      <c r="C178" s="19" t="str">
        <f>IF('Supplier selection'!C178="","",'Supplier selection'!C178)</f>
        <v/>
      </c>
      <c r="D178" s="19" t="str">
        <f>IF('Supplier selection'!D178="","",'Supplier selection'!D178)</f>
        <v/>
      </c>
      <c r="E178" s="19" t="str">
        <f>IF('Supplier selection'!E178="","",'Supplier selection'!E178)</f>
        <v/>
      </c>
      <c r="F178" s="19" t="str">
        <f>IF('Supplier selection'!F178="","",'Supplier selection'!F178)</f>
        <v/>
      </c>
      <c r="G178" s="19" t="str">
        <f>IF('Supplier selection'!G178="","",'Supplier selection'!G178)</f>
        <v/>
      </c>
      <c r="H178" s="19" t="str">
        <f>IF('Supplier selection'!H178="","",'Supplier selection'!H178)</f>
        <v/>
      </c>
      <c r="I178" s="19" t="str">
        <f>IF('Supplier selection'!I178="","",'Supplier selection'!I178)</f>
        <v/>
      </c>
      <c r="J178" s="19" t="str">
        <f>IF('Supplier selection'!J178="","",'Supplier selection'!J178)</f>
        <v/>
      </c>
      <c r="K178" s="19" t="str">
        <f>IF('Supplier selection'!K178="","",'Supplier selection'!K178)</f>
        <v/>
      </c>
      <c r="L178" s="19" t="str">
        <f>IF('Supplier selection'!L178="","",'Supplier selection'!L178)</f>
        <v/>
      </c>
      <c r="M178" s="19" t="str">
        <f>IF('Supplier selection'!M178="","",'Supplier selection'!M178)</f>
        <v/>
      </c>
      <c r="N178" s="19" t="str">
        <f>IF('Supplier selection'!N178="","",'Supplier selection'!N178)</f>
        <v/>
      </c>
      <c r="O178" s="19" t="str">
        <f>IF('Supplier selection'!O178="","",'Supplier selection'!O178)</f>
        <v/>
      </c>
      <c r="Q178" s="19" t="str">
        <f>HLOOKUP($Q$3,'Supplier selection'!$AW$4:'Supplier selection'!$CT$1000,$A179,FALSE)</f>
        <v/>
      </c>
      <c r="R178" s="22" t="str">
        <f t="shared" si="22"/>
        <v/>
      </c>
      <c r="S178" s="19" t="str">
        <f t="shared" si="23"/>
        <v/>
      </c>
      <c r="T178" s="22" t="str">
        <f t="shared" si="24"/>
        <v/>
      </c>
      <c r="U178" s="19" t="str">
        <f t="shared" si="25"/>
        <v/>
      </c>
      <c r="V178" s="7"/>
      <c r="Y178" s="19" t="str">
        <f>IF('Supplier selection'!AQ178="","",'Supplier selection'!AQ178)</f>
        <v/>
      </c>
      <c r="Z178" s="19" t="str">
        <f>IF('Supplier selection'!AR178="","",'Supplier selection'!AR178)</f>
        <v/>
      </c>
      <c r="AA178" s="19" t="str">
        <f t="shared" si="26"/>
        <v/>
      </c>
      <c r="AD178" s="26" t="str">
        <f>IF(AND('Supplier selection'!X178="",'Supplier selection'!AE178=""),"",IF('Supplier selection'!X178="",'Supplier selection'!AE178,'Supplier selection'!X178))</f>
        <v/>
      </c>
      <c r="AE178" s="19" t="str">
        <f t="shared" si="27"/>
        <v/>
      </c>
      <c r="AF178" s="19" t="str">
        <f t="shared" si="28"/>
        <v/>
      </c>
      <c r="AG178" s="27" t="str">
        <f>IF(AND('Supplier selection'!AB178="",'Supplier selection'!AI178=""),"",IF('Supplier selection'!AB178="",'Supplier selection'!AI178,'Supplier selection'!AB178))</f>
        <v/>
      </c>
      <c r="AH178" s="28" t="str">
        <f t="shared" si="29"/>
        <v/>
      </c>
      <c r="AI178" s="7" t="str">
        <f t="shared" si="30"/>
        <v/>
      </c>
      <c r="AJ178" s="22" t="str">
        <f t="shared" si="31"/>
        <v/>
      </c>
      <c r="AK178" s="29" t="str">
        <f t="shared" si="32"/>
        <v/>
      </c>
      <c r="AL178" s="10"/>
    </row>
    <row r="179" spans="1:38">
      <c r="A179" s="19">
        <f>IF('Supplier selection'!A179="","",'Supplier selection'!A179)</f>
        <v>175</v>
      </c>
      <c r="B179" s="19" t="str">
        <f>IF('Supplier selection'!B179="","",'Supplier selection'!B179)</f>
        <v/>
      </c>
      <c r="C179" s="19" t="str">
        <f>IF('Supplier selection'!C179="","",'Supplier selection'!C179)</f>
        <v/>
      </c>
      <c r="D179" s="19" t="str">
        <f>IF('Supplier selection'!D179="","",'Supplier selection'!D179)</f>
        <v/>
      </c>
      <c r="E179" s="19" t="str">
        <f>IF('Supplier selection'!E179="","",'Supplier selection'!E179)</f>
        <v/>
      </c>
      <c r="F179" s="19" t="str">
        <f>IF('Supplier selection'!F179="","",'Supplier selection'!F179)</f>
        <v/>
      </c>
      <c r="G179" s="19" t="str">
        <f>IF('Supplier selection'!G179="","",'Supplier selection'!G179)</f>
        <v/>
      </c>
      <c r="H179" s="19" t="str">
        <f>IF('Supplier selection'!H179="","",'Supplier selection'!H179)</f>
        <v/>
      </c>
      <c r="I179" s="19" t="str">
        <f>IF('Supplier selection'!I179="","",'Supplier selection'!I179)</f>
        <v/>
      </c>
      <c r="J179" s="19" t="str">
        <f>IF('Supplier selection'!J179="","",'Supplier selection'!J179)</f>
        <v/>
      </c>
      <c r="K179" s="19" t="str">
        <f>IF('Supplier selection'!K179="","",'Supplier selection'!K179)</f>
        <v/>
      </c>
      <c r="L179" s="19" t="str">
        <f>IF('Supplier selection'!L179="","",'Supplier selection'!L179)</f>
        <v/>
      </c>
      <c r="M179" s="19" t="str">
        <f>IF('Supplier selection'!M179="","",'Supplier selection'!M179)</f>
        <v/>
      </c>
      <c r="N179" s="19" t="str">
        <f>IF('Supplier selection'!N179="","",'Supplier selection'!N179)</f>
        <v/>
      </c>
      <c r="O179" s="19" t="str">
        <f>IF('Supplier selection'!O179="","",'Supplier selection'!O179)</f>
        <v/>
      </c>
      <c r="Q179" s="19" t="str">
        <f>HLOOKUP($Q$3,'Supplier selection'!$AW$4:'Supplier selection'!$CT$1000,$A180,FALSE)</f>
        <v/>
      </c>
      <c r="R179" s="22" t="str">
        <f t="shared" si="22"/>
        <v/>
      </c>
      <c r="S179" s="19" t="str">
        <f t="shared" si="23"/>
        <v/>
      </c>
      <c r="T179" s="22" t="str">
        <f t="shared" si="24"/>
        <v/>
      </c>
      <c r="U179" s="19" t="str">
        <f t="shared" si="25"/>
        <v/>
      </c>
      <c r="V179" s="7"/>
      <c r="Y179" s="19" t="str">
        <f>IF('Supplier selection'!AQ179="","",'Supplier selection'!AQ179)</f>
        <v/>
      </c>
      <c r="Z179" s="19" t="str">
        <f>IF('Supplier selection'!AR179="","",'Supplier selection'!AR179)</f>
        <v/>
      </c>
      <c r="AA179" s="19" t="str">
        <f t="shared" si="26"/>
        <v/>
      </c>
      <c r="AD179" s="26" t="str">
        <f>IF(AND('Supplier selection'!X179="",'Supplier selection'!AE179=""),"",IF('Supplier selection'!X179="",'Supplier selection'!AE179,'Supplier selection'!X179))</f>
        <v/>
      </c>
      <c r="AE179" s="19" t="str">
        <f t="shared" si="27"/>
        <v/>
      </c>
      <c r="AF179" s="19" t="str">
        <f t="shared" si="28"/>
        <v/>
      </c>
      <c r="AG179" s="27" t="str">
        <f>IF(AND('Supplier selection'!AB179="",'Supplier selection'!AI179=""),"",IF('Supplier selection'!AB179="",'Supplier selection'!AI179,'Supplier selection'!AB179))</f>
        <v/>
      </c>
      <c r="AH179" s="28" t="str">
        <f t="shared" si="29"/>
        <v/>
      </c>
      <c r="AI179" s="7" t="str">
        <f t="shared" si="30"/>
        <v/>
      </c>
      <c r="AJ179" s="22" t="str">
        <f t="shared" si="31"/>
        <v/>
      </c>
      <c r="AK179" s="29" t="str">
        <f t="shared" si="32"/>
        <v/>
      </c>
      <c r="AL179" s="10"/>
    </row>
    <row r="180" spans="1:38">
      <c r="A180" s="19">
        <f>IF('Supplier selection'!A180="","",'Supplier selection'!A180)</f>
        <v>176</v>
      </c>
      <c r="B180" s="19" t="str">
        <f>IF('Supplier selection'!B180="","",'Supplier selection'!B180)</f>
        <v/>
      </c>
      <c r="C180" s="19" t="str">
        <f>IF('Supplier selection'!C180="","",'Supplier selection'!C180)</f>
        <v/>
      </c>
      <c r="D180" s="19" t="str">
        <f>IF('Supplier selection'!D180="","",'Supplier selection'!D180)</f>
        <v/>
      </c>
      <c r="E180" s="19" t="str">
        <f>IF('Supplier selection'!E180="","",'Supplier selection'!E180)</f>
        <v/>
      </c>
      <c r="F180" s="19" t="str">
        <f>IF('Supplier selection'!F180="","",'Supplier selection'!F180)</f>
        <v/>
      </c>
      <c r="G180" s="19" t="str">
        <f>IF('Supplier selection'!G180="","",'Supplier selection'!G180)</f>
        <v/>
      </c>
      <c r="H180" s="19" t="str">
        <f>IF('Supplier selection'!H180="","",'Supplier selection'!H180)</f>
        <v/>
      </c>
      <c r="I180" s="19" t="str">
        <f>IF('Supplier selection'!I180="","",'Supplier selection'!I180)</f>
        <v/>
      </c>
      <c r="J180" s="19" t="str">
        <f>IF('Supplier selection'!J180="","",'Supplier selection'!J180)</f>
        <v/>
      </c>
      <c r="K180" s="19" t="str">
        <f>IF('Supplier selection'!K180="","",'Supplier selection'!K180)</f>
        <v/>
      </c>
      <c r="L180" s="19" t="str">
        <f>IF('Supplier selection'!L180="","",'Supplier selection'!L180)</f>
        <v/>
      </c>
      <c r="M180" s="19" t="str">
        <f>IF('Supplier selection'!M180="","",'Supplier selection'!M180)</f>
        <v/>
      </c>
      <c r="N180" s="19" t="str">
        <f>IF('Supplier selection'!N180="","",'Supplier selection'!N180)</f>
        <v/>
      </c>
      <c r="O180" s="19" t="str">
        <f>IF('Supplier selection'!O180="","",'Supplier selection'!O180)</f>
        <v/>
      </c>
      <c r="Q180" s="19" t="str">
        <f>HLOOKUP($Q$3,'Supplier selection'!$AW$4:'Supplier selection'!$CT$1000,$A181,FALSE)</f>
        <v/>
      </c>
      <c r="R180" s="22" t="str">
        <f t="shared" si="22"/>
        <v/>
      </c>
      <c r="S180" s="19" t="str">
        <f t="shared" si="23"/>
        <v/>
      </c>
      <c r="T180" s="22" t="str">
        <f t="shared" si="24"/>
        <v/>
      </c>
      <c r="U180" s="19" t="str">
        <f t="shared" si="25"/>
        <v/>
      </c>
      <c r="V180" s="7"/>
      <c r="Y180" s="19" t="str">
        <f>IF('Supplier selection'!AQ180="","",'Supplier selection'!AQ180)</f>
        <v/>
      </c>
      <c r="Z180" s="19" t="str">
        <f>IF('Supplier selection'!AR180="","",'Supplier selection'!AR180)</f>
        <v/>
      </c>
      <c r="AA180" s="19" t="str">
        <f t="shared" si="26"/>
        <v/>
      </c>
      <c r="AD180" s="26" t="str">
        <f>IF(AND('Supplier selection'!X180="",'Supplier selection'!AE180=""),"",IF('Supplier selection'!X180="",'Supplier selection'!AE180,'Supplier selection'!X180))</f>
        <v/>
      </c>
      <c r="AE180" s="19" t="str">
        <f t="shared" si="27"/>
        <v/>
      </c>
      <c r="AF180" s="19" t="str">
        <f t="shared" si="28"/>
        <v/>
      </c>
      <c r="AG180" s="27" t="str">
        <f>IF(AND('Supplier selection'!AB180="",'Supplier selection'!AI180=""),"",IF('Supplier selection'!AB180="",'Supplier selection'!AI180,'Supplier selection'!AB180))</f>
        <v/>
      </c>
      <c r="AH180" s="28" t="str">
        <f t="shared" si="29"/>
        <v/>
      </c>
      <c r="AI180" s="7" t="str">
        <f t="shared" si="30"/>
        <v/>
      </c>
      <c r="AJ180" s="22" t="str">
        <f t="shared" si="31"/>
        <v/>
      </c>
      <c r="AK180" s="29" t="str">
        <f t="shared" si="32"/>
        <v/>
      </c>
      <c r="AL180" s="10"/>
    </row>
    <row r="181" spans="1:38">
      <c r="A181" s="19">
        <f>IF('Supplier selection'!A181="","",'Supplier selection'!A181)</f>
        <v>177</v>
      </c>
      <c r="B181" s="19" t="str">
        <f>IF('Supplier selection'!B181="","",'Supplier selection'!B181)</f>
        <v/>
      </c>
      <c r="C181" s="19" t="str">
        <f>IF('Supplier selection'!C181="","",'Supplier selection'!C181)</f>
        <v/>
      </c>
      <c r="D181" s="19" t="str">
        <f>IF('Supplier selection'!D181="","",'Supplier selection'!D181)</f>
        <v/>
      </c>
      <c r="E181" s="19" t="str">
        <f>IF('Supplier selection'!E181="","",'Supplier selection'!E181)</f>
        <v/>
      </c>
      <c r="F181" s="19" t="str">
        <f>IF('Supplier selection'!F181="","",'Supplier selection'!F181)</f>
        <v/>
      </c>
      <c r="G181" s="19" t="str">
        <f>IF('Supplier selection'!G181="","",'Supplier selection'!G181)</f>
        <v/>
      </c>
      <c r="H181" s="19" t="str">
        <f>IF('Supplier selection'!H181="","",'Supplier selection'!H181)</f>
        <v/>
      </c>
      <c r="I181" s="19" t="str">
        <f>IF('Supplier selection'!I181="","",'Supplier selection'!I181)</f>
        <v/>
      </c>
      <c r="J181" s="19" t="str">
        <f>IF('Supplier selection'!J181="","",'Supplier selection'!J181)</f>
        <v/>
      </c>
      <c r="K181" s="19" t="str">
        <f>IF('Supplier selection'!K181="","",'Supplier selection'!K181)</f>
        <v/>
      </c>
      <c r="L181" s="19" t="str">
        <f>IF('Supplier selection'!L181="","",'Supplier selection'!L181)</f>
        <v/>
      </c>
      <c r="M181" s="19" t="str">
        <f>IF('Supplier selection'!M181="","",'Supplier selection'!M181)</f>
        <v/>
      </c>
      <c r="N181" s="19" t="str">
        <f>IF('Supplier selection'!N181="","",'Supplier selection'!N181)</f>
        <v/>
      </c>
      <c r="O181" s="19" t="str">
        <f>IF('Supplier selection'!O181="","",'Supplier selection'!O181)</f>
        <v/>
      </c>
      <c r="Q181" s="19" t="str">
        <f>HLOOKUP($Q$3,'Supplier selection'!$AW$4:'Supplier selection'!$CT$1000,$A182,FALSE)</f>
        <v/>
      </c>
      <c r="R181" s="22" t="str">
        <f t="shared" si="22"/>
        <v/>
      </c>
      <c r="S181" s="19" t="str">
        <f t="shared" si="23"/>
        <v/>
      </c>
      <c r="T181" s="22" t="str">
        <f t="shared" si="24"/>
        <v/>
      </c>
      <c r="U181" s="19" t="str">
        <f t="shared" si="25"/>
        <v/>
      </c>
      <c r="V181" s="7"/>
      <c r="Y181" s="19" t="str">
        <f>IF('Supplier selection'!AQ181="","",'Supplier selection'!AQ181)</f>
        <v/>
      </c>
      <c r="Z181" s="19" t="str">
        <f>IF('Supplier selection'!AR181="","",'Supplier selection'!AR181)</f>
        <v/>
      </c>
      <c r="AA181" s="19" t="str">
        <f t="shared" si="26"/>
        <v/>
      </c>
      <c r="AD181" s="26" t="str">
        <f>IF(AND('Supplier selection'!X181="",'Supplier selection'!AE181=""),"",IF('Supplier selection'!X181="",'Supplier selection'!AE181,'Supplier selection'!X181))</f>
        <v/>
      </c>
      <c r="AE181" s="19" t="str">
        <f t="shared" si="27"/>
        <v/>
      </c>
      <c r="AF181" s="19" t="str">
        <f t="shared" si="28"/>
        <v/>
      </c>
      <c r="AG181" s="27" t="str">
        <f>IF(AND('Supplier selection'!AB181="",'Supplier selection'!AI181=""),"",IF('Supplier selection'!AB181="",'Supplier selection'!AI181,'Supplier selection'!AB181))</f>
        <v/>
      </c>
      <c r="AH181" s="28" t="str">
        <f t="shared" si="29"/>
        <v/>
      </c>
      <c r="AI181" s="7" t="str">
        <f t="shared" si="30"/>
        <v/>
      </c>
      <c r="AJ181" s="22" t="str">
        <f t="shared" si="31"/>
        <v/>
      </c>
      <c r="AK181" s="29" t="str">
        <f t="shared" si="32"/>
        <v/>
      </c>
      <c r="AL181" s="10"/>
    </row>
    <row r="182" spans="1:38">
      <c r="A182" s="19">
        <f>IF('Supplier selection'!A182="","",'Supplier selection'!A182)</f>
        <v>178</v>
      </c>
      <c r="B182" s="19" t="str">
        <f>IF('Supplier selection'!B182="","",'Supplier selection'!B182)</f>
        <v/>
      </c>
      <c r="C182" s="19" t="str">
        <f>IF('Supplier selection'!C182="","",'Supplier selection'!C182)</f>
        <v/>
      </c>
      <c r="D182" s="19" t="str">
        <f>IF('Supplier selection'!D182="","",'Supplier selection'!D182)</f>
        <v/>
      </c>
      <c r="E182" s="19" t="str">
        <f>IF('Supplier selection'!E182="","",'Supplier selection'!E182)</f>
        <v/>
      </c>
      <c r="F182" s="19" t="str">
        <f>IF('Supplier selection'!F182="","",'Supplier selection'!F182)</f>
        <v/>
      </c>
      <c r="G182" s="19" t="str">
        <f>IF('Supplier selection'!G182="","",'Supplier selection'!G182)</f>
        <v/>
      </c>
      <c r="H182" s="19" t="str">
        <f>IF('Supplier selection'!H182="","",'Supplier selection'!H182)</f>
        <v/>
      </c>
      <c r="I182" s="19" t="str">
        <f>IF('Supplier selection'!I182="","",'Supplier selection'!I182)</f>
        <v/>
      </c>
      <c r="J182" s="19" t="str">
        <f>IF('Supplier selection'!J182="","",'Supplier selection'!J182)</f>
        <v/>
      </c>
      <c r="K182" s="19" t="str">
        <f>IF('Supplier selection'!K182="","",'Supplier selection'!K182)</f>
        <v/>
      </c>
      <c r="L182" s="19" t="str">
        <f>IF('Supplier selection'!L182="","",'Supplier selection'!L182)</f>
        <v/>
      </c>
      <c r="M182" s="19" t="str">
        <f>IF('Supplier selection'!M182="","",'Supplier selection'!M182)</f>
        <v/>
      </c>
      <c r="N182" s="19" t="str">
        <f>IF('Supplier selection'!N182="","",'Supplier selection'!N182)</f>
        <v/>
      </c>
      <c r="O182" s="19" t="str">
        <f>IF('Supplier selection'!O182="","",'Supplier selection'!O182)</f>
        <v/>
      </c>
      <c r="Q182" s="19" t="str">
        <f>HLOOKUP($Q$3,'Supplier selection'!$AW$4:'Supplier selection'!$CT$1000,$A183,FALSE)</f>
        <v/>
      </c>
      <c r="R182" s="22" t="str">
        <f t="shared" si="22"/>
        <v/>
      </c>
      <c r="S182" s="19" t="str">
        <f t="shared" si="23"/>
        <v/>
      </c>
      <c r="T182" s="22" t="str">
        <f t="shared" si="24"/>
        <v/>
      </c>
      <c r="U182" s="19" t="str">
        <f t="shared" si="25"/>
        <v/>
      </c>
      <c r="V182" s="7"/>
      <c r="Y182" s="19" t="str">
        <f>IF('Supplier selection'!AQ182="","",'Supplier selection'!AQ182)</f>
        <v/>
      </c>
      <c r="Z182" s="19" t="str">
        <f>IF('Supplier selection'!AR182="","",'Supplier selection'!AR182)</f>
        <v/>
      </c>
      <c r="AA182" s="19" t="str">
        <f t="shared" si="26"/>
        <v/>
      </c>
      <c r="AD182" s="26" t="str">
        <f>IF(AND('Supplier selection'!X182="",'Supplier selection'!AE182=""),"",IF('Supplier selection'!X182="",'Supplier selection'!AE182,'Supplier selection'!X182))</f>
        <v/>
      </c>
      <c r="AE182" s="19" t="str">
        <f t="shared" si="27"/>
        <v/>
      </c>
      <c r="AF182" s="19" t="str">
        <f t="shared" si="28"/>
        <v/>
      </c>
      <c r="AG182" s="27" t="str">
        <f>IF(AND('Supplier selection'!AB182="",'Supplier selection'!AI182=""),"",IF('Supplier selection'!AB182="",'Supplier selection'!AI182,'Supplier selection'!AB182))</f>
        <v/>
      </c>
      <c r="AH182" s="28" t="str">
        <f t="shared" si="29"/>
        <v/>
      </c>
      <c r="AI182" s="7" t="str">
        <f t="shared" si="30"/>
        <v/>
      </c>
      <c r="AJ182" s="22" t="str">
        <f t="shared" si="31"/>
        <v/>
      </c>
      <c r="AK182" s="29" t="str">
        <f t="shared" si="32"/>
        <v/>
      </c>
      <c r="AL182" s="10"/>
    </row>
    <row r="183" spans="1:38">
      <c r="A183" s="19">
        <f>IF('Supplier selection'!A183="","",'Supplier selection'!A183)</f>
        <v>179</v>
      </c>
      <c r="B183" s="19" t="str">
        <f>IF('Supplier selection'!B183="","",'Supplier selection'!B183)</f>
        <v/>
      </c>
      <c r="C183" s="19" t="str">
        <f>IF('Supplier selection'!C183="","",'Supplier selection'!C183)</f>
        <v/>
      </c>
      <c r="D183" s="19" t="str">
        <f>IF('Supplier selection'!D183="","",'Supplier selection'!D183)</f>
        <v/>
      </c>
      <c r="E183" s="19" t="str">
        <f>IF('Supplier selection'!E183="","",'Supplier selection'!E183)</f>
        <v/>
      </c>
      <c r="F183" s="19" t="str">
        <f>IF('Supplier selection'!F183="","",'Supplier selection'!F183)</f>
        <v/>
      </c>
      <c r="G183" s="19" t="str">
        <f>IF('Supplier selection'!G183="","",'Supplier selection'!G183)</f>
        <v/>
      </c>
      <c r="H183" s="19" t="str">
        <f>IF('Supplier selection'!H183="","",'Supplier selection'!H183)</f>
        <v/>
      </c>
      <c r="I183" s="19" t="str">
        <f>IF('Supplier selection'!I183="","",'Supplier selection'!I183)</f>
        <v/>
      </c>
      <c r="J183" s="19" t="str">
        <f>IF('Supplier selection'!J183="","",'Supplier selection'!J183)</f>
        <v/>
      </c>
      <c r="K183" s="19" t="str">
        <f>IF('Supplier selection'!K183="","",'Supplier selection'!K183)</f>
        <v/>
      </c>
      <c r="L183" s="19" t="str">
        <f>IF('Supplier selection'!L183="","",'Supplier selection'!L183)</f>
        <v/>
      </c>
      <c r="M183" s="19" t="str">
        <f>IF('Supplier selection'!M183="","",'Supplier selection'!M183)</f>
        <v/>
      </c>
      <c r="N183" s="19" t="str">
        <f>IF('Supplier selection'!N183="","",'Supplier selection'!N183)</f>
        <v/>
      </c>
      <c r="O183" s="19" t="str">
        <f>IF('Supplier selection'!O183="","",'Supplier selection'!O183)</f>
        <v/>
      </c>
      <c r="Q183" s="19" t="str">
        <f>HLOOKUP($Q$3,'Supplier selection'!$AW$4:'Supplier selection'!$CT$1000,$A184,FALSE)</f>
        <v/>
      </c>
      <c r="R183" s="22" t="str">
        <f t="shared" si="22"/>
        <v/>
      </c>
      <c r="S183" s="19" t="str">
        <f t="shared" si="23"/>
        <v/>
      </c>
      <c r="T183" s="22" t="str">
        <f t="shared" si="24"/>
        <v/>
      </c>
      <c r="U183" s="19" t="str">
        <f t="shared" si="25"/>
        <v/>
      </c>
      <c r="V183" s="7"/>
      <c r="Y183" s="19" t="str">
        <f>IF('Supplier selection'!AQ183="","",'Supplier selection'!AQ183)</f>
        <v/>
      </c>
      <c r="Z183" s="19" t="str">
        <f>IF('Supplier selection'!AR183="","",'Supplier selection'!AR183)</f>
        <v/>
      </c>
      <c r="AA183" s="19" t="str">
        <f t="shared" si="26"/>
        <v/>
      </c>
      <c r="AD183" s="26" t="str">
        <f>IF(AND('Supplier selection'!X183="",'Supplier selection'!AE183=""),"",IF('Supplier selection'!X183="",'Supplier selection'!AE183,'Supplier selection'!X183))</f>
        <v/>
      </c>
      <c r="AE183" s="19" t="str">
        <f t="shared" si="27"/>
        <v/>
      </c>
      <c r="AF183" s="19" t="str">
        <f t="shared" si="28"/>
        <v/>
      </c>
      <c r="AG183" s="27" t="str">
        <f>IF(AND('Supplier selection'!AB183="",'Supplier selection'!AI183=""),"",IF('Supplier selection'!AB183="",'Supplier selection'!AI183,'Supplier selection'!AB183))</f>
        <v/>
      </c>
      <c r="AH183" s="28" t="str">
        <f t="shared" si="29"/>
        <v/>
      </c>
      <c r="AI183" s="7" t="str">
        <f t="shared" si="30"/>
        <v/>
      </c>
      <c r="AJ183" s="22" t="str">
        <f t="shared" si="31"/>
        <v/>
      </c>
      <c r="AK183" s="29" t="str">
        <f t="shared" si="32"/>
        <v/>
      </c>
      <c r="AL183" s="10"/>
    </row>
    <row r="184" spans="1:38">
      <c r="A184" s="19">
        <f>IF('Supplier selection'!A184="","",'Supplier selection'!A184)</f>
        <v>180</v>
      </c>
      <c r="B184" s="19" t="str">
        <f>IF('Supplier selection'!B184="","",'Supplier selection'!B184)</f>
        <v/>
      </c>
      <c r="C184" s="19" t="str">
        <f>IF('Supplier selection'!C184="","",'Supplier selection'!C184)</f>
        <v/>
      </c>
      <c r="D184" s="19" t="str">
        <f>IF('Supplier selection'!D184="","",'Supplier selection'!D184)</f>
        <v/>
      </c>
      <c r="E184" s="19" t="str">
        <f>IF('Supplier selection'!E184="","",'Supplier selection'!E184)</f>
        <v/>
      </c>
      <c r="F184" s="19" t="str">
        <f>IF('Supplier selection'!F184="","",'Supplier selection'!F184)</f>
        <v/>
      </c>
      <c r="G184" s="19" t="str">
        <f>IF('Supplier selection'!G184="","",'Supplier selection'!G184)</f>
        <v/>
      </c>
      <c r="H184" s="19" t="str">
        <f>IF('Supplier selection'!H184="","",'Supplier selection'!H184)</f>
        <v/>
      </c>
      <c r="I184" s="19" t="str">
        <f>IF('Supplier selection'!I184="","",'Supplier selection'!I184)</f>
        <v/>
      </c>
      <c r="J184" s="19" t="str">
        <f>IF('Supplier selection'!J184="","",'Supplier selection'!J184)</f>
        <v/>
      </c>
      <c r="K184" s="19" t="str">
        <f>IF('Supplier selection'!K184="","",'Supplier selection'!K184)</f>
        <v/>
      </c>
      <c r="L184" s="19" t="str">
        <f>IF('Supplier selection'!L184="","",'Supplier selection'!L184)</f>
        <v/>
      </c>
      <c r="M184" s="19" t="str">
        <f>IF('Supplier selection'!M184="","",'Supplier selection'!M184)</f>
        <v/>
      </c>
      <c r="N184" s="19" t="str">
        <f>IF('Supplier selection'!N184="","",'Supplier selection'!N184)</f>
        <v/>
      </c>
      <c r="O184" s="19" t="str">
        <f>IF('Supplier selection'!O184="","",'Supplier selection'!O184)</f>
        <v/>
      </c>
      <c r="Q184" s="19" t="str">
        <f>HLOOKUP($Q$3,'Supplier selection'!$AW$4:'Supplier selection'!$CT$1000,$A185,FALSE)</f>
        <v/>
      </c>
      <c r="R184" s="22" t="str">
        <f t="shared" si="22"/>
        <v/>
      </c>
      <c r="S184" s="19" t="str">
        <f t="shared" si="23"/>
        <v/>
      </c>
      <c r="T184" s="22" t="str">
        <f t="shared" si="24"/>
        <v/>
      </c>
      <c r="U184" s="19" t="str">
        <f t="shared" si="25"/>
        <v/>
      </c>
      <c r="V184" s="7"/>
      <c r="Y184" s="19" t="str">
        <f>IF('Supplier selection'!AQ184="","",'Supplier selection'!AQ184)</f>
        <v/>
      </c>
      <c r="Z184" s="19" t="str">
        <f>IF('Supplier selection'!AR184="","",'Supplier selection'!AR184)</f>
        <v/>
      </c>
      <c r="AA184" s="19" t="str">
        <f t="shared" si="26"/>
        <v/>
      </c>
      <c r="AD184" s="26" t="str">
        <f>IF(AND('Supplier selection'!X184="",'Supplier selection'!AE184=""),"",IF('Supplier selection'!X184="",'Supplier selection'!AE184,'Supplier selection'!X184))</f>
        <v/>
      </c>
      <c r="AE184" s="19" t="str">
        <f t="shared" si="27"/>
        <v/>
      </c>
      <c r="AF184" s="19" t="str">
        <f t="shared" si="28"/>
        <v/>
      </c>
      <c r="AG184" s="27" t="str">
        <f>IF(AND('Supplier selection'!AB184="",'Supplier selection'!AI184=""),"",IF('Supplier selection'!AB184="",'Supplier selection'!AI184,'Supplier selection'!AB184))</f>
        <v/>
      </c>
      <c r="AH184" s="28" t="str">
        <f t="shared" si="29"/>
        <v/>
      </c>
      <c r="AI184" s="7" t="str">
        <f t="shared" si="30"/>
        <v/>
      </c>
      <c r="AJ184" s="22" t="str">
        <f t="shared" si="31"/>
        <v/>
      </c>
      <c r="AK184" s="29" t="str">
        <f t="shared" si="32"/>
        <v/>
      </c>
      <c r="AL184" s="10"/>
    </row>
    <row r="185" spans="1:38">
      <c r="A185" s="19">
        <f>IF('Supplier selection'!A185="","",'Supplier selection'!A185)</f>
        <v>181</v>
      </c>
      <c r="B185" s="19" t="str">
        <f>IF('Supplier selection'!B185="","",'Supplier selection'!B185)</f>
        <v/>
      </c>
      <c r="C185" s="19" t="str">
        <f>IF('Supplier selection'!C185="","",'Supplier selection'!C185)</f>
        <v/>
      </c>
      <c r="D185" s="19" t="str">
        <f>IF('Supplier selection'!D185="","",'Supplier selection'!D185)</f>
        <v/>
      </c>
      <c r="E185" s="19" t="str">
        <f>IF('Supplier selection'!E185="","",'Supplier selection'!E185)</f>
        <v/>
      </c>
      <c r="F185" s="19" t="str">
        <f>IF('Supplier selection'!F185="","",'Supplier selection'!F185)</f>
        <v/>
      </c>
      <c r="G185" s="19" t="str">
        <f>IF('Supplier selection'!G185="","",'Supplier selection'!G185)</f>
        <v/>
      </c>
      <c r="H185" s="19" t="str">
        <f>IF('Supplier selection'!H185="","",'Supplier selection'!H185)</f>
        <v/>
      </c>
      <c r="I185" s="19" t="str">
        <f>IF('Supplier selection'!I185="","",'Supplier selection'!I185)</f>
        <v/>
      </c>
      <c r="J185" s="19" t="str">
        <f>IF('Supplier selection'!J185="","",'Supplier selection'!J185)</f>
        <v/>
      </c>
      <c r="K185" s="19" t="str">
        <f>IF('Supplier selection'!K185="","",'Supplier selection'!K185)</f>
        <v/>
      </c>
      <c r="L185" s="19" t="str">
        <f>IF('Supplier selection'!L185="","",'Supplier selection'!L185)</f>
        <v/>
      </c>
      <c r="M185" s="19" t="str">
        <f>IF('Supplier selection'!M185="","",'Supplier selection'!M185)</f>
        <v/>
      </c>
      <c r="N185" s="19" t="str">
        <f>IF('Supplier selection'!N185="","",'Supplier selection'!N185)</f>
        <v/>
      </c>
      <c r="O185" s="19" t="str">
        <f>IF('Supplier selection'!O185="","",'Supplier selection'!O185)</f>
        <v/>
      </c>
      <c r="Q185" s="19" t="str">
        <f>HLOOKUP($Q$3,'Supplier selection'!$AW$4:'Supplier selection'!$CT$1000,$A186,FALSE)</f>
        <v/>
      </c>
      <c r="R185" s="22" t="str">
        <f t="shared" si="22"/>
        <v/>
      </c>
      <c r="S185" s="19" t="str">
        <f t="shared" si="23"/>
        <v/>
      </c>
      <c r="T185" s="22" t="str">
        <f t="shared" si="24"/>
        <v/>
      </c>
      <c r="U185" s="19" t="str">
        <f t="shared" si="25"/>
        <v/>
      </c>
      <c r="V185" s="7"/>
      <c r="Y185" s="19" t="str">
        <f>IF('Supplier selection'!AQ185="","",'Supplier selection'!AQ185)</f>
        <v/>
      </c>
      <c r="Z185" s="19" t="str">
        <f>IF('Supplier selection'!AR185="","",'Supplier selection'!AR185)</f>
        <v/>
      </c>
      <c r="AA185" s="19" t="str">
        <f t="shared" si="26"/>
        <v/>
      </c>
      <c r="AD185" s="26" t="str">
        <f>IF(AND('Supplier selection'!X185="",'Supplier selection'!AE185=""),"",IF('Supplier selection'!X185="",'Supplier selection'!AE185,'Supplier selection'!X185))</f>
        <v/>
      </c>
      <c r="AE185" s="19" t="str">
        <f t="shared" si="27"/>
        <v/>
      </c>
      <c r="AF185" s="19" t="str">
        <f t="shared" si="28"/>
        <v/>
      </c>
      <c r="AG185" s="27" t="str">
        <f>IF(AND('Supplier selection'!AB185="",'Supplier selection'!AI185=""),"",IF('Supplier selection'!AB185="",'Supplier selection'!AI185,'Supplier selection'!AB185))</f>
        <v/>
      </c>
      <c r="AH185" s="28" t="str">
        <f t="shared" si="29"/>
        <v/>
      </c>
      <c r="AI185" s="7" t="str">
        <f t="shared" si="30"/>
        <v/>
      </c>
      <c r="AJ185" s="22" t="str">
        <f t="shared" si="31"/>
        <v/>
      </c>
      <c r="AK185" s="29" t="str">
        <f t="shared" si="32"/>
        <v/>
      </c>
      <c r="AL185" s="10"/>
    </row>
    <row r="186" spans="1:38">
      <c r="A186" s="19">
        <f>IF('Supplier selection'!A186="","",'Supplier selection'!A186)</f>
        <v>182</v>
      </c>
      <c r="B186" s="19" t="str">
        <f>IF('Supplier selection'!B186="","",'Supplier selection'!B186)</f>
        <v/>
      </c>
      <c r="C186" s="19" t="str">
        <f>IF('Supplier selection'!C186="","",'Supplier selection'!C186)</f>
        <v/>
      </c>
      <c r="D186" s="19" t="str">
        <f>IF('Supplier selection'!D186="","",'Supplier selection'!D186)</f>
        <v/>
      </c>
      <c r="E186" s="19" t="str">
        <f>IF('Supplier selection'!E186="","",'Supplier selection'!E186)</f>
        <v/>
      </c>
      <c r="F186" s="19" t="str">
        <f>IF('Supplier selection'!F186="","",'Supplier selection'!F186)</f>
        <v/>
      </c>
      <c r="G186" s="19" t="str">
        <f>IF('Supplier selection'!G186="","",'Supplier selection'!G186)</f>
        <v/>
      </c>
      <c r="H186" s="19" t="str">
        <f>IF('Supplier selection'!H186="","",'Supplier selection'!H186)</f>
        <v/>
      </c>
      <c r="I186" s="19" t="str">
        <f>IF('Supplier selection'!I186="","",'Supplier selection'!I186)</f>
        <v/>
      </c>
      <c r="J186" s="19" t="str">
        <f>IF('Supplier selection'!J186="","",'Supplier selection'!J186)</f>
        <v/>
      </c>
      <c r="K186" s="19" t="str">
        <f>IF('Supplier selection'!K186="","",'Supplier selection'!K186)</f>
        <v/>
      </c>
      <c r="L186" s="19" t="str">
        <f>IF('Supplier selection'!L186="","",'Supplier selection'!L186)</f>
        <v/>
      </c>
      <c r="M186" s="19" t="str">
        <f>IF('Supplier selection'!M186="","",'Supplier selection'!M186)</f>
        <v/>
      </c>
      <c r="N186" s="19" t="str">
        <f>IF('Supplier selection'!N186="","",'Supplier selection'!N186)</f>
        <v/>
      </c>
      <c r="O186" s="19" t="str">
        <f>IF('Supplier selection'!O186="","",'Supplier selection'!O186)</f>
        <v/>
      </c>
      <c r="Q186" s="19" t="str">
        <f>HLOOKUP($Q$3,'Supplier selection'!$AW$4:'Supplier selection'!$CT$1000,$A187,FALSE)</f>
        <v/>
      </c>
      <c r="R186" s="22" t="str">
        <f t="shared" si="22"/>
        <v/>
      </c>
      <c r="S186" s="19" t="str">
        <f t="shared" si="23"/>
        <v/>
      </c>
      <c r="T186" s="22" t="str">
        <f t="shared" si="24"/>
        <v/>
      </c>
      <c r="U186" s="19" t="str">
        <f t="shared" si="25"/>
        <v/>
      </c>
      <c r="V186" s="7"/>
      <c r="Y186" s="19" t="str">
        <f>IF('Supplier selection'!AQ186="","",'Supplier selection'!AQ186)</f>
        <v/>
      </c>
      <c r="Z186" s="19" t="str">
        <f>IF('Supplier selection'!AR186="","",'Supplier selection'!AR186)</f>
        <v/>
      </c>
      <c r="AA186" s="19" t="str">
        <f t="shared" si="26"/>
        <v/>
      </c>
      <c r="AD186" s="26" t="str">
        <f>IF(AND('Supplier selection'!X186="",'Supplier selection'!AE186=""),"",IF('Supplier selection'!X186="",'Supplier selection'!AE186,'Supplier selection'!X186))</f>
        <v/>
      </c>
      <c r="AE186" s="19" t="str">
        <f t="shared" si="27"/>
        <v/>
      </c>
      <c r="AF186" s="19" t="str">
        <f t="shared" si="28"/>
        <v/>
      </c>
      <c r="AG186" s="27" t="str">
        <f>IF(AND('Supplier selection'!AB186="",'Supplier selection'!AI186=""),"",IF('Supplier selection'!AB186="",'Supplier selection'!AI186,'Supplier selection'!AB186))</f>
        <v/>
      </c>
      <c r="AH186" s="28" t="str">
        <f t="shared" si="29"/>
        <v/>
      </c>
      <c r="AI186" s="7" t="str">
        <f t="shared" si="30"/>
        <v/>
      </c>
      <c r="AJ186" s="22" t="str">
        <f t="shared" si="31"/>
        <v/>
      </c>
      <c r="AK186" s="29" t="str">
        <f t="shared" si="32"/>
        <v/>
      </c>
      <c r="AL186" s="10"/>
    </row>
    <row r="187" spans="1:38">
      <c r="A187" s="19">
        <f>IF('Supplier selection'!A187="","",'Supplier selection'!A187)</f>
        <v>183</v>
      </c>
      <c r="B187" s="19" t="str">
        <f>IF('Supplier selection'!B187="","",'Supplier selection'!B187)</f>
        <v/>
      </c>
      <c r="C187" s="19" t="str">
        <f>IF('Supplier selection'!C187="","",'Supplier selection'!C187)</f>
        <v/>
      </c>
      <c r="D187" s="19" t="str">
        <f>IF('Supplier selection'!D187="","",'Supplier selection'!D187)</f>
        <v/>
      </c>
      <c r="E187" s="19" t="str">
        <f>IF('Supplier selection'!E187="","",'Supplier selection'!E187)</f>
        <v/>
      </c>
      <c r="F187" s="19" t="str">
        <f>IF('Supplier selection'!F187="","",'Supplier selection'!F187)</f>
        <v/>
      </c>
      <c r="G187" s="19" t="str">
        <f>IF('Supplier selection'!G187="","",'Supplier selection'!G187)</f>
        <v/>
      </c>
      <c r="H187" s="19" t="str">
        <f>IF('Supplier selection'!H187="","",'Supplier selection'!H187)</f>
        <v/>
      </c>
      <c r="I187" s="19" t="str">
        <f>IF('Supplier selection'!I187="","",'Supplier selection'!I187)</f>
        <v/>
      </c>
      <c r="J187" s="19" t="str">
        <f>IF('Supplier selection'!J187="","",'Supplier selection'!J187)</f>
        <v/>
      </c>
      <c r="K187" s="19" t="str">
        <f>IF('Supplier selection'!K187="","",'Supplier selection'!K187)</f>
        <v/>
      </c>
      <c r="L187" s="19" t="str">
        <f>IF('Supplier selection'!L187="","",'Supplier selection'!L187)</f>
        <v/>
      </c>
      <c r="M187" s="19" t="str">
        <f>IF('Supplier selection'!M187="","",'Supplier selection'!M187)</f>
        <v/>
      </c>
      <c r="N187" s="19" t="str">
        <f>IF('Supplier selection'!N187="","",'Supplier selection'!N187)</f>
        <v/>
      </c>
      <c r="O187" s="19" t="str">
        <f>IF('Supplier selection'!O187="","",'Supplier selection'!O187)</f>
        <v/>
      </c>
      <c r="Q187" s="19" t="str">
        <f>HLOOKUP($Q$3,'Supplier selection'!$AW$4:'Supplier selection'!$CT$1000,$A188,FALSE)</f>
        <v/>
      </c>
      <c r="R187" s="22" t="str">
        <f t="shared" si="22"/>
        <v/>
      </c>
      <c r="S187" s="19" t="str">
        <f t="shared" si="23"/>
        <v/>
      </c>
      <c r="T187" s="22" t="str">
        <f t="shared" si="24"/>
        <v/>
      </c>
      <c r="U187" s="19" t="str">
        <f t="shared" si="25"/>
        <v/>
      </c>
      <c r="V187" s="7"/>
      <c r="Y187" s="19" t="str">
        <f>IF('Supplier selection'!AQ187="","",'Supplier selection'!AQ187)</f>
        <v/>
      </c>
      <c r="Z187" s="19" t="str">
        <f>IF('Supplier selection'!AR187="","",'Supplier selection'!AR187)</f>
        <v/>
      </c>
      <c r="AA187" s="19" t="str">
        <f t="shared" si="26"/>
        <v/>
      </c>
      <c r="AD187" s="26" t="str">
        <f>IF(AND('Supplier selection'!X187="",'Supplier selection'!AE187=""),"",IF('Supplier selection'!X187="",'Supplier selection'!AE187,'Supplier selection'!X187))</f>
        <v/>
      </c>
      <c r="AE187" s="19" t="str">
        <f t="shared" si="27"/>
        <v/>
      </c>
      <c r="AF187" s="19" t="str">
        <f t="shared" si="28"/>
        <v/>
      </c>
      <c r="AG187" s="27" t="str">
        <f>IF(AND('Supplier selection'!AB187="",'Supplier selection'!AI187=""),"",IF('Supplier selection'!AB187="",'Supplier selection'!AI187,'Supplier selection'!AB187))</f>
        <v/>
      </c>
      <c r="AH187" s="28" t="str">
        <f t="shared" si="29"/>
        <v/>
      </c>
      <c r="AI187" s="7" t="str">
        <f t="shared" si="30"/>
        <v/>
      </c>
      <c r="AJ187" s="22" t="str">
        <f t="shared" si="31"/>
        <v/>
      </c>
      <c r="AK187" s="29" t="str">
        <f t="shared" si="32"/>
        <v/>
      </c>
      <c r="AL187" s="10"/>
    </row>
    <row r="188" spans="1:38">
      <c r="A188" s="19">
        <f>IF('Supplier selection'!A188="","",'Supplier selection'!A188)</f>
        <v>184</v>
      </c>
      <c r="B188" s="19" t="str">
        <f>IF('Supplier selection'!B188="","",'Supplier selection'!B188)</f>
        <v/>
      </c>
      <c r="C188" s="19" t="str">
        <f>IF('Supplier selection'!C188="","",'Supplier selection'!C188)</f>
        <v/>
      </c>
      <c r="D188" s="19" t="str">
        <f>IF('Supplier selection'!D188="","",'Supplier selection'!D188)</f>
        <v/>
      </c>
      <c r="E188" s="19" t="str">
        <f>IF('Supplier selection'!E188="","",'Supplier selection'!E188)</f>
        <v/>
      </c>
      <c r="F188" s="19" t="str">
        <f>IF('Supplier selection'!F188="","",'Supplier selection'!F188)</f>
        <v/>
      </c>
      <c r="G188" s="19" t="str">
        <f>IF('Supplier selection'!G188="","",'Supplier selection'!G188)</f>
        <v/>
      </c>
      <c r="H188" s="19" t="str">
        <f>IF('Supplier selection'!H188="","",'Supplier selection'!H188)</f>
        <v/>
      </c>
      <c r="I188" s="19" t="str">
        <f>IF('Supplier selection'!I188="","",'Supplier selection'!I188)</f>
        <v/>
      </c>
      <c r="J188" s="19" t="str">
        <f>IF('Supplier selection'!J188="","",'Supplier selection'!J188)</f>
        <v/>
      </c>
      <c r="K188" s="19" t="str">
        <f>IF('Supplier selection'!K188="","",'Supplier selection'!K188)</f>
        <v/>
      </c>
      <c r="L188" s="19" t="str">
        <f>IF('Supplier selection'!L188="","",'Supplier selection'!L188)</f>
        <v/>
      </c>
      <c r="M188" s="19" t="str">
        <f>IF('Supplier selection'!M188="","",'Supplier selection'!M188)</f>
        <v/>
      </c>
      <c r="N188" s="19" t="str">
        <f>IF('Supplier selection'!N188="","",'Supplier selection'!N188)</f>
        <v/>
      </c>
      <c r="O188" s="19" t="str">
        <f>IF('Supplier selection'!O188="","",'Supplier selection'!O188)</f>
        <v/>
      </c>
      <c r="Q188" s="19" t="str">
        <f>HLOOKUP($Q$3,'Supplier selection'!$AW$4:'Supplier selection'!$CT$1000,$A189,FALSE)</f>
        <v/>
      </c>
      <c r="R188" s="22" t="str">
        <f t="shared" si="22"/>
        <v/>
      </c>
      <c r="S188" s="19" t="str">
        <f t="shared" si="23"/>
        <v/>
      </c>
      <c r="T188" s="22" t="str">
        <f t="shared" si="24"/>
        <v/>
      </c>
      <c r="U188" s="19" t="str">
        <f t="shared" si="25"/>
        <v/>
      </c>
      <c r="V188" s="7"/>
      <c r="Y188" s="19" t="str">
        <f>IF('Supplier selection'!AQ188="","",'Supplier selection'!AQ188)</f>
        <v/>
      </c>
      <c r="Z188" s="19" t="str">
        <f>IF('Supplier selection'!AR188="","",'Supplier selection'!AR188)</f>
        <v/>
      </c>
      <c r="AA188" s="19" t="str">
        <f t="shared" si="26"/>
        <v/>
      </c>
      <c r="AD188" s="26" t="str">
        <f>IF(AND('Supplier selection'!X188="",'Supplier selection'!AE188=""),"",IF('Supplier selection'!X188="",'Supplier selection'!AE188,'Supplier selection'!X188))</f>
        <v/>
      </c>
      <c r="AE188" s="19" t="str">
        <f t="shared" si="27"/>
        <v/>
      </c>
      <c r="AF188" s="19" t="str">
        <f t="shared" si="28"/>
        <v/>
      </c>
      <c r="AG188" s="27" t="str">
        <f>IF(AND('Supplier selection'!AB188="",'Supplier selection'!AI188=""),"",IF('Supplier selection'!AB188="",'Supplier selection'!AI188,'Supplier selection'!AB188))</f>
        <v/>
      </c>
      <c r="AH188" s="28" t="str">
        <f t="shared" si="29"/>
        <v/>
      </c>
      <c r="AI188" s="7" t="str">
        <f t="shared" si="30"/>
        <v/>
      </c>
      <c r="AJ188" s="22" t="str">
        <f t="shared" si="31"/>
        <v/>
      </c>
      <c r="AK188" s="29" t="str">
        <f t="shared" si="32"/>
        <v/>
      </c>
      <c r="AL188" s="10"/>
    </row>
    <row r="189" spans="1:38">
      <c r="A189" s="19">
        <f>IF('Supplier selection'!A189="","",'Supplier selection'!A189)</f>
        <v>185</v>
      </c>
      <c r="B189" s="19" t="str">
        <f>IF('Supplier selection'!B189="","",'Supplier selection'!B189)</f>
        <v/>
      </c>
      <c r="C189" s="19" t="str">
        <f>IF('Supplier selection'!C189="","",'Supplier selection'!C189)</f>
        <v/>
      </c>
      <c r="D189" s="19" t="str">
        <f>IF('Supplier selection'!D189="","",'Supplier selection'!D189)</f>
        <v/>
      </c>
      <c r="E189" s="19" t="str">
        <f>IF('Supplier selection'!E189="","",'Supplier selection'!E189)</f>
        <v/>
      </c>
      <c r="F189" s="19" t="str">
        <f>IF('Supplier selection'!F189="","",'Supplier selection'!F189)</f>
        <v/>
      </c>
      <c r="G189" s="19" t="str">
        <f>IF('Supplier selection'!G189="","",'Supplier selection'!G189)</f>
        <v/>
      </c>
      <c r="H189" s="19" t="str">
        <f>IF('Supplier selection'!H189="","",'Supplier selection'!H189)</f>
        <v/>
      </c>
      <c r="I189" s="19" t="str">
        <f>IF('Supplier selection'!I189="","",'Supplier selection'!I189)</f>
        <v/>
      </c>
      <c r="J189" s="19" t="str">
        <f>IF('Supplier selection'!J189="","",'Supplier selection'!J189)</f>
        <v/>
      </c>
      <c r="K189" s="19" t="str">
        <f>IF('Supplier selection'!K189="","",'Supplier selection'!K189)</f>
        <v/>
      </c>
      <c r="L189" s="19" t="str">
        <f>IF('Supplier selection'!L189="","",'Supplier selection'!L189)</f>
        <v/>
      </c>
      <c r="M189" s="19" t="str">
        <f>IF('Supplier selection'!M189="","",'Supplier selection'!M189)</f>
        <v/>
      </c>
      <c r="N189" s="19" t="str">
        <f>IF('Supplier selection'!N189="","",'Supplier selection'!N189)</f>
        <v/>
      </c>
      <c r="O189" s="19" t="str">
        <f>IF('Supplier selection'!O189="","",'Supplier selection'!O189)</f>
        <v/>
      </c>
      <c r="Q189" s="19" t="str">
        <f>HLOOKUP($Q$3,'Supplier selection'!$AW$4:'Supplier selection'!$CT$1000,$A190,FALSE)</f>
        <v/>
      </c>
      <c r="R189" s="22" t="str">
        <f t="shared" si="22"/>
        <v/>
      </c>
      <c r="S189" s="19" t="str">
        <f t="shared" si="23"/>
        <v/>
      </c>
      <c r="T189" s="22" t="str">
        <f t="shared" si="24"/>
        <v/>
      </c>
      <c r="U189" s="19" t="str">
        <f t="shared" si="25"/>
        <v/>
      </c>
      <c r="V189" s="7"/>
      <c r="Y189" s="19" t="str">
        <f>IF('Supplier selection'!AQ189="","",'Supplier selection'!AQ189)</f>
        <v/>
      </c>
      <c r="Z189" s="19" t="str">
        <f>IF('Supplier selection'!AR189="","",'Supplier selection'!AR189)</f>
        <v/>
      </c>
      <c r="AA189" s="19" t="str">
        <f t="shared" si="26"/>
        <v/>
      </c>
      <c r="AD189" s="26" t="str">
        <f>IF(AND('Supplier selection'!X189="",'Supplier selection'!AE189=""),"",IF('Supplier selection'!X189="",'Supplier selection'!AE189,'Supplier selection'!X189))</f>
        <v/>
      </c>
      <c r="AE189" s="19" t="str">
        <f t="shared" si="27"/>
        <v/>
      </c>
      <c r="AF189" s="19" t="str">
        <f t="shared" si="28"/>
        <v/>
      </c>
      <c r="AG189" s="27" t="str">
        <f>IF(AND('Supplier selection'!AB189="",'Supplier selection'!AI189=""),"",IF('Supplier selection'!AB189="",'Supplier selection'!AI189,'Supplier selection'!AB189))</f>
        <v/>
      </c>
      <c r="AH189" s="28" t="str">
        <f t="shared" si="29"/>
        <v/>
      </c>
      <c r="AI189" s="7" t="str">
        <f t="shared" si="30"/>
        <v/>
      </c>
      <c r="AJ189" s="22" t="str">
        <f t="shared" si="31"/>
        <v/>
      </c>
      <c r="AK189" s="29" t="str">
        <f t="shared" si="32"/>
        <v/>
      </c>
      <c r="AL189" s="10"/>
    </row>
    <row r="190" spans="1:38">
      <c r="A190" s="19">
        <f>IF('Supplier selection'!A190="","",'Supplier selection'!A190)</f>
        <v>186</v>
      </c>
      <c r="B190" s="19" t="str">
        <f>IF('Supplier selection'!B190="","",'Supplier selection'!B190)</f>
        <v/>
      </c>
      <c r="C190" s="19" t="str">
        <f>IF('Supplier selection'!C190="","",'Supplier selection'!C190)</f>
        <v/>
      </c>
      <c r="D190" s="19" t="str">
        <f>IF('Supplier selection'!D190="","",'Supplier selection'!D190)</f>
        <v/>
      </c>
      <c r="E190" s="19" t="str">
        <f>IF('Supplier selection'!E190="","",'Supplier selection'!E190)</f>
        <v/>
      </c>
      <c r="F190" s="19" t="str">
        <f>IF('Supplier selection'!F190="","",'Supplier selection'!F190)</f>
        <v/>
      </c>
      <c r="G190" s="19" t="str">
        <f>IF('Supplier selection'!G190="","",'Supplier selection'!G190)</f>
        <v/>
      </c>
      <c r="H190" s="19" t="str">
        <f>IF('Supplier selection'!H190="","",'Supplier selection'!H190)</f>
        <v/>
      </c>
      <c r="I190" s="19" t="str">
        <f>IF('Supplier selection'!I190="","",'Supplier selection'!I190)</f>
        <v/>
      </c>
      <c r="J190" s="19" t="str">
        <f>IF('Supplier selection'!J190="","",'Supplier selection'!J190)</f>
        <v/>
      </c>
      <c r="K190" s="19" t="str">
        <f>IF('Supplier selection'!K190="","",'Supplier selection'!K190)</f>
        <v/>
      </c>
      <c r="L190" s="19" t="str">
        <f>IF('Supplier selection'!L190="","",'Supplier selection'!L190)</f>
        <v/>
      </c>
      <c r="M190" s="19" t="str">
        <f>IF('Supplier selection'!M190="","",'Supplier selection'!M190)</f>
        <v/>
      </c>
      <c r="N190" s="19" t="str">
        <f>IF('Supplier selection'!N190="","",'Supplier selection'!N190)</f>
        <v/>
      </c>
      <c r="O190" s="19" t="str">
        <f>IF('Supplier selection'!O190="","",'Supplier selection'!O190)</f>
        <v/>
      </c>
      <c r="Q190" s="19" t="str">
        <f>HLOOKUP($Q$3,'Supplier selection'!$AW$4:'Supplier selection'!$CT$1000,$A191,FALSE)</f>
        <v/>
      </c>
      <c r="R190" s="22" t="str">
        <f t="shared" si="22"/>
        <v/>
      </c>
      <c r="S190" s="19" t="str">
        <f t="shared" si="23"/>
        <v/>
      </c>
      <c r="T190" s="22" t="str">
        <f t="shared" si="24"/>
        <v/>
      </c>
      <c r="U190" s="19" t="str">
        <f t="shared" si="25"/>
        <v/>
      </c>
      <c r="V190" s="7"/>
      <c r="Y190" s="19" t="str">
        <f>IF('Supplier selection'!AQ190="","",'Supplier selection'!AQ190)</f>
        <v/>
      </c>
      <c r="Z190" s="19" t="str">
        <f>IF('Supplier selection'!AR190="","",'Supplier selection'!AR190)</f>
        <v/>
      </c>
      <c r="AA190" s="19" t="str">
        <f t="shared" si="26"/>
        <v/>
      </c>
      <c r="AD190" s="26" t="str">
        <f>IF(AND('Supplier selection'!X190="",'Supplier selection'!AE190=""),"",IF('Supplier selection'!X190="",'Supplier selection'!AE190,'Supplier selection'!X190))</f>
        <v/>
      </c>
      <c r="AE190" s="19" t="str">
        <f t="shared" si="27"/>
        <v/>
      </c>
      <c r="AF190" s="19" t="str">
        <f t="shared" si="28"/>
        <v/>
      </c>
      <c r="AG190" s="27" t="str">
        <f>IF(AND('Supplier selection'!AB190="",'Supplier selection'!AI190=""),"",IF('Supplier selection'!AB190="",'Supplier selection'!AI190,'Supplier selection'!AB190))</f>
        <v/>
      </c>
      <c r="AH190" s="28" t="str">
        <f t="shared" si="29"/>
        <v/>
      </c>
      <c r="AI190" s="7" t="str">
        <f t="shared" si="30"/>
        <v/>
      </c>
      <c r="AJ190" s="22" t="str">
        <f t="shared" si="31"/>
        <v/>
      </c>
      <c r="AK190" s="29" t="str">
        <f t="shared" si="32"/>
        <v/>
      </c>
      <c r="AL190" s="10"/>
    </row>
    <row r="191" spans="1:38">
      <c r="A191" s="19">
        <f>IF('Supplier selection'!A191="","",'Supplier selection'!A191)</f>
        <v>187</v>
      </c>
      <c r="B191" s="19" t="str">
        <f>IF('Supplier selection'!B191="","",'Supplier selection'!B191)</f>
        <v/>
      </c>
      <c r="C191" s="19" t="str">
        <f>IF('Supplier selection'!C191="","",'Supplier selection'!C191)</f>
        <v/>
      </c>
      <c r="D191" s="19" t="str">
        <f>IF('Supplier selection'!D191="","",'Supplier selection'!D191)</f>
        <v/>
      </c>
      <c r="E191" s="19" t="str">
        <f>IF('Supplier selection'!E191="","",'Supplier selection'!E191)</f>
        <v/>
      </c>
      <c r="F191" s="19" t="str">
        <f>IF('Supplier selection'!F191="","",'Supplier selection'!F191)</f>
        <v/>
      </c>
      <c r="G191" s="19" t="str">
        <f>IF('Supplier selection'!G191="","",'Supplier selection'!G191)</f>
        <v/>
      </c>
      <c r="H191" s="19" t="str">
        <f>IF('Supplier selection'!H191="","",'Supplier selection'!H191)</f>
        <v/>
      </c>
      <c r="I191" s="19" t="str">
        <f>IF('Supplier selection'!I191="","",'Supplier selection'!I191)</f>
        <v/>
      </c>
      <c r="J191" s="19" t="str">
        <f>IF('Supplier selection'!J191="","",'Supplier selection'!J191)</f>
        <v/>
      </c>
      <c r="K191" s="19" t="str">
        <f>IF('Supplier selection'!K191="","",'Supplier selection'!K191)</f>
        <v/>
      </c>
      <c r="L191" s="19" t="str">
        <f>IF('Supplier selection'!L191="","",'Supplier selection'!L191)</f>
        <v/>
      </c>
      <c r="M191" s="19" t="str">
        <f>IF('Supplier selection'!M191="","",'Supplier selection'!M191)</f>
        <v/>
      </c>
      <c r="N191" s="19" t="str">
        <f>IF('Supplier selection'!N191="","",'Supplier selection'!N191)</f>
        <v/>
      </c>
      <c r="O191" s="19" t="str">
        <f>IF('Supplier selection'!O191="","",'Supplier selection'!O191)</f>
        <v/>
      </c>
      <c r="Q191" s="19" t="str">
        <f>HLOOKUP($Q$3,'Supplier selection'!$AW$4:'Supplier selection'!$CT$1000,$A192,FALSE)</f>
        <v/>
      </c>
      <c r="R191" s="22" t="str">
        <f t="shared" si="22"/>
        <v/>
      </c>
      <c r="S191" s="19" t="str">
        <f t="shared" si="23"/>
        <v/>
      </c>
      <c r="T191" s="22" t="str">
        <f t="shared" si="24"/>
        <v/>
      </c>
      <c r="U191" s="19" t="str">
        <f t="shared" si="25"/>
        <v/>
      </c>
      <c r="V191" s="7"/>
      <c r="Y191" s="19" t="str">
        <f>IF('Supplier selection'!AQ191="","",'Supplier selection'!AQ191)</f>
        <v/>
      </c>
      <c r="Z191" s="19" t="str">
        <f>IF('Supplier selection'!AR191="","",'Supplier selection'!AR191)</f>
        <v/>
      </c>
      <c r="AA191" s="19" t="str">
        <f t="shared" si="26"/>
        <v/>
      </c>
      <c r="AD191" s="26" t="str">
        <f>IF(AND('Supplier selection'!X191="",'Supplier selection'!AE191=""),"",IF('Supplier selection'!X191="",'Supplier selection'!AE191,'Supplier selection'!X191))</f>
        <v/>
      </c>
      <c r="AE191" s="19" t="str">
        <f t="shared" si="27"/>
        <v/>
      </c>
      <c r="AF191" s="19" t="str">
        <f t="shared" si="28"/>
        <v/>
      </c>
      <c r="AG191" s="27" t="str">
        <f>IF(AND('Supplier selection'!AB191="",'Supplier selection'!AI191=""),"",IF('Supplier selection'!AB191="",'Supplier selection'!AI191,'Supplier selection'!AB191))</f>
        <v/>
      </c>
      <c r="AH191" s="28" t="str">
        <f t="shared" si="29"/>
        <v/>
      </c>
      <c r="AI191" s="7" t="str">
        <f t="shared" si="30"/>
        <v/>
      </c>
      <c r="AJ191" s="22" t="str">
        <f t="shared" si="31"/>
        <v/>
      </c>
      <c r="AK191" s="29" t="str">
        <f t="shared" si="32"/>
        <v/>
      </c>
      <c r="AL191" s="10"/>
    </row>
    <row r="192" spans="1:38">
      <c r="A192" s="19">
        <f>IF('Supplier selection'!A192="","",'Supplier selection'!A192)</f>
        <v>188</v>
      </c>
      <c r="B192" s="19" t="str">
        <f>IF('Supplier selection'!B192="","",'Supplier selection'!B192)</f>
        <v/>
      </c>
      <c r="C192" s="19" t="str">
        <f>IF('Supplier selection'!C192="","",'Supplier selection'!C192)</f>
        <v/>
      </c>
      <c r="D192" s="19" t="str">
        <f>IF('Supplier selection'!D192="","",'Supplier selection'!D192)</f>
        <v/>
      </c>
      <c r="E192" s="19" t="str">
        <f>IF('Supplier selection'!E192="","",'Supplier selection'!E192)</f>
        <v/>
      </c>
      <c r="F192" s="19" t="str">
        <f>IF('Supplier selection'!F192="","",'Supplier selection'!F192)</f>
        <v/>
      </c>
      <c r="G192" s="19" t="str">
        <f>IF('Supplier selection'!G192="","",'Supplier selection'!G192)</f>
        <v/>
      </c>
      <c r="H192" s="19" t="str">
        <f>IF('Supplier selection'!H192="","",'Supplier selection'!H192)</f>
        <v/>
      </c>
      <c r="I192" s="19" t="str">
        <f>IF('Supplier selection'!I192="","",'Supplier selection'!I192)</f>
        <v/>
      </c>
      <c r="J192" s="19" t="str">
        <f>IF('Supplier selection'!J192="","",'Supplier selection'!J192)</f>
        <v/>
      </c>
      <c r="K192" s="19" t="str">
        <f>IF('Supplier selection'!K192="","",'Supplier selection'!K192)</f>
        <v/>
      </c>
      <c r="L192" s="19" t="str">
        <f>IF('Supplier selection'!L192="","",'Supplier selection'!L192)</f>
        <v/>
      </c>
      <c r="M192" s="19" t="str">
        <f>IF('Supplier selection'!M192="","",'Supplier selection'!M192)</f>
        <v/>
      </c>
      <c r="N192" s="19" t="str">
        <f>IF('Supplier selection'!N192="","",'Supplier selection'!N192)</f>
        <v/>
      </c>
      <c r="O192" s="19" t="str">
        <f>IF('Supplier selection'!O192="","",'Supplier selection'!O192)</f>
        <v/>
      </c>
      <c r="Q192" s="19" t="str">
        <f>HLOOKUP($Q$3,'Supplier selection'!$AW$4:'Supplier selection'!$CT$1000,$A193,FALSE)</f>
        <v/>
      </c>
      <c r="R192" s="22" t="str">
        <f t="shared" si="22"/>
        <v/>
      </c>
      <c r="S192" s="19" t="str">
        <f t="shared" si="23"/>
        <v/>
      </c>
      <c r="T192" s="22" t="str">
        <f t="shared" si="24"/>
        <v/>
      </c>
      <c r="U192" s="19" t="str">
        <f t="shared" si="25"/>
        <v/>
      </c>
      <c r="V192" s="7"/>
      <c r="Y192" s="19" t="str">
        <f>IF('Supplier selection'!AQ192="","",'Supplier selection'!AQ192)</f>
        <v/>
      </c>
      <c r="Z192" s="19" t="str">
        <f>IF('Supplier selection'!AR192="","",'Supplier selection'!AR192)</f>
        <v/>
      </c>
      <c r="AA192" s="19" t="str">
        <f t="shared" si="26"/>
        <v/>
      </c>
      <c r="AD192" s="26" t="str">
        <f>IF(AND('Supplier selection'!X192="",'Supplier selection'!AE192=""),"",IF('Supplier selection'!X192="",'Supplier selection'!AE192,'Supplier selection'!X192))</f>
        <v/>
      </c>
      <c r="AE192" s="19" t="str">
        <f t="shared" si="27"/>
        <v/>
      </c>
      <c r="AF192" s="19" t="str">
        <f t="shared" si="28"/>
        <v/>
      </c>
      <c r="AG192" s="27" t="str">
        <f>IF(AND('Supplier selection'!AB192="",'Supplier selection'!AI192=""),"",IF('Supplier selection'!AB192="",'Supplier selection'!AI192,'Supplier selection'!AB192))</f>
        <v/>
      </c>
      <c r="AH192" s="28" t="str">
        <f t="shared" si="29"/>
        <v/>
      </c>
      <c r="AI192" s="7" t="str">
        <f t="shared" si="30"/>
        <v/>
      </c>
      <c r="AJ192" s="22" t="str">
        <f t="shared" si="31"/>
        <v/>
      </c>
      <c r="AK192" s="29" t="str">
        <f t="shared" si="32"/>
        <v/>
      </c>
      <c r="AL192" s="10"/>
    </row>
    <row r="193" spans="1:38">
      <c r="A193" s="19">
        <f>IF('Supplier selection'!A193="","",'Supplier selection'!A193)</f>
        <v>189</v>
      </c>
      <c r="B193" s="19" t="str">
        <f>IF('Supplier selection'!B193="","",'Supplier selection'!B193)</f>
        <v/>
      </c>
      <c r="C193" s="19" t="str">
        <f>IF('Supplier selection'!C193="","",'Supplier selection'!C193)</f>
        <v/>
      </c>
      <c r="D193" s="19" t="str">
        <f>IF('Supplier selection'!D193="","",'Supplier selection'!D193)</f>
        <v/>
      </c>
      <c r="E193" s="19" t="str">
        <f>IF('Supplier selection'!E193="","",'Supplier selection'!E193)</f>
        <v/>
      </c>
      <c r="F193" s="19" t="str">
        <f>IF('Supplier selection'!F193="","",'Supplier selection'!F193)</f>
        <v/>
      </c>
      <c r="G193" s="19" t="str">
        <f>IF('Supplier selection'!G193="","",'Supplier selection'!G193)</f>
        <v/>
      </c>
      <c r="H193" s="19" t="str">
        <f>IF('Supplier selection'!H193="","",'Supplier selection'!H193)</f>
        <v/>
      </c>
      <c r="I193" s="19" t="str">
        <f>IF('Supplier selection'!I193="","",'Supplier selection'!I193)</f>
        <v/>
      </c>
      <c r="J193" s="19" t="str">
        <f>IF('Supplier selection'!J193="","",'Supplier selection'!J193)</f>
        <v/>
      </c>
      <c r="K193" s="19" t="str">
        <f>IF('Supplier selection'!K193="","",'Supplier selection'!K193)</f>
        <v/>
      </c>
      <c r="L193" s="19" t="str">
        <f>IF('Supplier selection'!L193="","",'Supplier selection'!L193)</f>
        <v/>
      </c>
      <c r="M193" s="19" t="str">
        <f>IF('Supplier selection'!M193="","",'Supplier selection'!M193)</f>
        <v/>
      </c>
      <c r="N193" s="19" t="str">
        <f>IF('Supplier selection'!N193="","",'Supplier selection'!N193)</f>
        <v/>
      </c>
      <c r="O193" s="19" t="str">
        <f>IF('Supplier selection'!O193="","",'Supplier selection'!O193)</f>
        <v/>
      </c>
      <c r="Q193" s="19" t="str">
        <f>HLOOKUP($Q$3,'Supplier selection'!$AW$4:'Supplier selection'!$CT$1000,$A194,FALSE)</f>
        <v/>
      </c>
      <c r="R193" s="22" t="str">
        <f t="shared" si="22"/>
        <v/>
      </c>
      <c r="S193" s="19" t="str">
        <f t="shared" si="23"/>
        <v/>
      </c>
      <c r="T193" s="22" t="str">
        <f t="shared" si="24"/>
        <v/>
      </c>
      <c r="U193" s="19" t="str">
        <f t="shared" si="25"/>
        <v/>
      </c>
      <c r="V193" s="7"/>
      <c r="Y193" s="19" t="str">
        <f>IF('Supplier selection'!AQ193="","",'Supplier selection'!AQ193)</f>
        <v/>
      </c>
      <c r="Z193" s="19" t="str">
        <f>IF('Supplier selection'!AR193="","",'Supplier selection'!AR193)</f>
        <v/>
      </c>
      <c r="AA193" s="19" t="str">
        <f t="shared" si="26"/>
        <v/>
      </c>
      <c r="AD193" s="26" t="str">
        <f>IF(AND('Supplier selection'!X193="",'Supplier selection'!AE193=""),"",IF('Supplier selection'!X193="",'Supplier selection'!AE193,'Supplier selection'!X193))</f>
        <v/>
      </c>
      <c r="AE193" s="19" t="str">
        <f t="shared" si="27"/>
        <v/>
      </c>
      <c r="AF193" s="19" t="str">
        <f t="shared" si="28"/>
        <v/>
      </c>
      <c r="AG193" s="27" t="str">
        <f>IF(AND('Supplier selection'!AB193="",'Supplier selection'!AI193=""),"",IF('Supplier selection'!AB193="",'Supplier selection'!AI193,'Supplier selection'!AB193))</f>
        <v/>
      </c>
      <c r="AH193" s="28" t="str">
        <f t="shared" si="29"/>
        <v/>
      </c>
      <c r="AI193" s="7" t="str">
        <f t="shared" si="30"/>
        <v/>
      </c>
      <c r="AJ193" s="22" t="str">
        <f t="shared" si="31"/>
        <v/>
      </c>
      <c r="AK193" s="29" t="str">
        <f t="shared" si="32"/>
        <v/>
      </c>
      <c r="AL193" s="10"/>
    </row>
    <row r="194" spans="1:38">
      <c r="A194" s="19">
        <f>IF('Supplier selection'!A194="","",'Supplier selection'!A194)</f>
        <v>190</v>
      </c>
      <c r="B194" s="19" t="str">
        <f>IF('Supplier selection'!B194="","",'Supplier selection'!B194)</f>
        <v/>
      </c>
      <c r="C194" s="19" t="str">
        <f>IF('Supplier selection'!C194="","",'Supplier selection'!C194)</f>
        <v/>
      </c>
      <c r="D194" s="19" t="str">
        <f>IF('Supplier selection'!D194="","",'Supplier selection'!D194)</f>
        <v/>
      </c>
      <c r="E194" s="19" t="str">
        <f>IF('Supplier selection'!E194="","",'Supplier selection'!E194)</f>
        <v/>
      </c>
      <c r="F194" s="19" t="str">
        <f>IF('Supplier selection'!F194="","",'Supplier selection'!F194)</f>
        <v/>
      </c>
      <c r="G194" s="19" t="str">
        <f>IF('Supplier selection'!G194="","",'Supplier selection'!G194)</f>
        <v/>
      </c>
      <c r="H194" s="19" t="str">
        <f>IF('Supplier selection'!H194="","",'Supplier selection'!H194)</f>
        <v/>
      </c>
      <c r="I194" s="19" t="str">
        <f>IF('Supplier selection'!I194="","",'Supplier selection'!I194)</f>
        <v/>
      </c>
      <c r="J194" s="19" t="str">
        <f>IF('Supplier selection'!J194="","",'Supplier selection'!J194)</f>
        <v/>
      </c>
      <c r="K194" s="19" t="str">
        <f>IF('Supplier selection'!K194="","",'Supplier selection'!K194)</f>
        <v/>
      </c>
      <c r="L194" s="19" t="str">
        <f>IF('Supplier selection'!L194="","",'Supplier selection'!L194)</f>
        <v/>
      </c>
      <c r="M194" s="19" t="str">
        <f>IF('Supplier selection'!M194="","",'Supplier selection'!M194)</f>
        <v/>
      </c>
      <c r="N194" s="19" t="str">
        <f>IF('Supplier selection'!N194="","",'Supplier selection'!N194)</f>
        <v/>
      </c>
      <c r="O194" s="19" t="str">
        <f>IF('Supplier selection'!O194="","",'Supplier selection'!O194)</f>
        <v/>
      </c>
      <c r="Q194" s="19" t="str">
        <f>HLOOKUP($Q$3,'Supplier selection'!$AW$4:'Supplier selection'!$CT$1000,$A195,FALSE)</f>
        <v/>
      </c>
      <c r="R194" s="22" t="str">
        <f t="shared" si="22"/>
        <v/>
      </c>
      <c r="S194" s="19" t="str">
        <f t="shared" si="23"/>
        <v/>
      </c>
      <c r="T194" s="22" t="str">
        <f t="shared" si="24"/>
        <v/>
      </c>
      <c r="U194" s="19" t="str">
        <f t="shared" si="25"/>
        <v/>
      </c>
      <c r="V194" s="7"/>
      <c r="Y194" s="19" t="str">
        <f>IF('Supplier selection'!AQ194="","",'Supplier selection'!AQ194)</f>
        <v/>
      </c>
      <c r="Z194" s="19" t="str">
        <f>IF('Supplier selection'!AR194="","",'Supplier selection'!AR194)</f>
        <v/>
      </c>
      <c r="AA194" s="19" t="str">
        <f t="shared" si="26"/>
        <v/>
      </c>
      <c r="AD194" s="26" t="str">
        <f>IF(AND('Supplier selection'!X194="",'Supplier selection'!AE194=""),"",IF('Supplier selection'!X194="",'Supplier selection'!AE194,'Supplier selection'!X194))</f>
        <v/>
      </c>
      <c r="AE194" s="19" t="str">
        <f t="shared" si="27"/>
        <v/>
      </c>
      <c r="AF194" s="19" t="str">
        <f t="shared" si="28"/>
        <v/>
      </c>
      <c r="AG194" s="27" t="str">
        <f>IF(AND('Supplier selection'!AB194="",'Supplier selection'!AI194=""),"",IF('Supplier selection'!AB194="",'Supplier selection'!AI194,'Supplier selection'!AB194))</f>
        <v/>
      </c>
      <c r="AH194" s="28" t="str">
        <f t="shared" si="29"/>
        <v/>
      </c>
      <c r="AI194" s="7" t="str">
        <f t="shared" si="30"/>
        <v/>
      </c>
      <c r="AJ194" s="22" t="str">
        <f t="shared" si="31"/>
        <v/>
      </c>
      <c r="AK194" s="29" t="str">
        <f t="shared" si="32"/>
        <v/>
      </c>
      <c r="AL194" s="10"/>
    </row>
    <row r="195" spans="1:38">
      <c r="A195" s="19">
        <f>IF('Supplier selection'!A195="","",'Supplier selection'!A195)</f>
        <v>191</v>
      </c>
      <c r="B195" s="19" t="str">
        <f>IF('Supplier selection'!B195="","",'Supplier selection'!B195)</f>
        <v/>
      </c>
      <c r="C195" s="19" t="str">
        <f>IF('Supplier selection'!C195="","",'Supplier selection'!C195)</f>
        <v/>
      </c>
      <c r="D195" s="19" t="str">
        <f>IF('Supplier selection'!D195="","",'Supplier selection'!D195)</f>
        <v/>
      </c>
      <c r="E195" s="19" t="str">
        <f>IF('Supplier selection'!E195="","",'Supplier selection'!E195)</f>
        <v/>
      </c>
      <c r="F195" s="19" t="str">
        <f>IF('Supplier selection'!F195="","",'Supplier selection'!F195)</f>
        <v/>
      </c>
      <c r="G195" s="19" t="str">
        <f>IF('Supplier selection'!G195="","",'Supplier selection'!G195)</f>
        <v/>
      </c>
      <c r="H195" s="19" t="str">
        <f>IF('Supplier selection'!H195="","",'Supplier selection'!H195)</f>
        <v/>
      </c>
      <c r="I195" s="19" t="str">
        <f>IF('Supplier selection'!I195="","",'Supplier selection'!I195)</f>
        <v/>
      </c>
      <c r="J195" s="19" t="str">
        <f>IF('Supplier selection'!J195="","",'Supplier selection'!J195)</f>
        <v/>
      </c>
      <c r="K195" s="19" t="str">
        <f>IF('Supplier selection'!K195="","",'Supplier selection'!K195)</f>
        <v/>
      </c>
      <c r="L195" s="19" t="str">
        <f>IF('Supplier selection'!L195="","",'Supplier selection'!L195)</f>
        <v/>
      </c>
      <c r="M195" s="19" t="str">
        <f>IF('Supplier selection'!M195="","",'Supplier selection'!M195)</f>
        <v/>
      </c>
      <c r="N195" s="19" t="str">
        <f>IF('Supplier selection'!N195="","",'Supplier selection'!N195)</f>
        <v/>
      </c>
      <c r="O195" s="19" t="str">
        <f>IF('Supplier selection'!O195="","",'Supplier selection'!O195)</f>
        <v/>
      </c>
      <c r="Q195" s="19" t="str">
        <f>HLOOKUP($Q$3,'Supplier selection'!$AW$4:'Supplier selection'!$CT$1000,$A196,FALSE)</f>
        <v/>
      </c>
      <c r="R195" s="22" t="str">
        <f t="shared" si="22"/>
        <v/>
      </c>
      <c r="S195" s="19" t="str">
        <f t="shared" si="23"/>
        <v/>
      </c>
      <c r="T195" s="22" t="str">
        <f t="shared" si="24"/>
        <v/>
      </c>
      <c r="U195" s="19" t="str">
        <f t="shared" si="25"/>
        <v/>
      </c>
      <c r="V195" s="7"/>
      <c r="Y195" s="19" t="str">
        <f>IF('Supplier selection'!AQ195="","",'Supplier selection'!AQ195)</f>
        <v/>
      </c>
      <c r="Z195" s="19" t="str">
        <f>IF('Supplier selection'!AR195="","",'Supplier selection'!AR195)</f>
        <v/>
      </c>
      <c r="AA195" s="19" t="str">
        <f t="shared" si="26"/>
        <v/>
      </c>
      <c r="AD195" s="26" t="str">
        <f>IF(AND('Supplier selection'!X195="",'Supplier selection'!AE195=""),"",IF('Supplier selection'!X195="",'Supplier selection'!AE195,'Supplier selection'!X195))</f>
        <v/>
      </c>
      <c r="AE195" s="19" t="str">
        <f t="shared" si="27"/>
        <v/>
      </c>
      <c r="AF195" s="19" t="str">
        <f t="shared" si="28"/>
        <v/>
      </c>
      <c r="AG195" s="27" t="str">
        <f>IF(AND('Supplier selection'!AB195="",'Supplier selection'!AI195=""),"",IF('Supplier selection'!AB195="",'Supplier selection'!AI195,'Supplier selection'!AB195))</f>
        <v/>
      </c>
      <c r="AH195" s="28" t="str">
        <f t="shared" si="29"/>
        <v/>
      </c>
      <c r="AI195" s="7" t="str">
        <f t="shared" si="30"/>
        <v/>
      </c>
      <c r="AJ195" s="22" t="str">
        <f t="shared" si="31"/>
        <v/>
      </c>
      <c r="AK195" s="29" t="str">
        <f t="shared" si="32"/>
        <v/>
      </c>
      <c r="AL195" s="10"/>
    </row>
    <row r="196" spans="1:38">
      <c r="A196" s="19">
        <f>IF('Supplier selection'!A196="","",'Supplier selection'!A196)</f>
        <v>192</v>
      </c>
      <c r="B196" s="19" t="str">
        <f>IF('Supplier selection'!B196="","",'Supplier selection'!B196)</f>
        <v/>
      </c>
      <c r="C196" s="19" t="str">
        <f>IF('Supplier selection'!C196="","",'Supplier selection'!C196)</f>
        <v/>
      </c>
      <c r="D196" s="19" t="str">
        <f>IF('Supplier selection'!D196="","",'Supplier selection'!D196)</f>
        <v/>
      </c>
      <c r="E196" s="19" t="str">
        <f>IF('Supplier selection'!E196="","",'Supplier selection'!E196)</f>
        <v/>
      </c>
      <c r="F196" s="19" t="str">
        <f>IF('Supplier selection'!F196="","",'Supplier selection'!F196)</f>
        <v/>
      </c>
      <c r="G196" s="19" t="str">
        <f>IF('Supplier selection'!G196="","",'Supplier selection'!G196)</f>
        <v/>
      </c>
      <c r="H196" s="19" t="str">
        <f>IF('Supplier selection'!H196="","",'Supplier selection'!H196)</f>
        <v/>
      </c>
      <c r="I196" s="19" t="str">
        <f>IF('Supplier selection'!I196="","",'Supplier selection'!I196)</f>
        <v/>
      </c>
      <c r="J196" s="19" t="str">
        <f>IF('Supplier selection'!J196="","",'Supplier selection'!J196)</f>
        <v/>
      </c>
      <c r="K196" s="19" t="str">
        <f>IF('Supplier selection'!K196="","",'Supplier selection'!K196)</f>
        <v/>
      </c>
      <c r="L196" s="19" t="str">
        <f>IF('Supplier selection'!L196="","",'Supplier selection'!L196)</f>
        <v/>
      </c>
      <c r="M196" s="19" t="str">
        <f>IF('Supplier selection'!M196="","",'Supplier selection'!M196)</f>
        <v/>
      </c>
      <c r="N196" s="19" t="str">
        <f>IF('Supplier selection'!N196="","",'Supplier selection'!N196)</f>
        <v/>
      </c>
      <c r="O196" s="19" t="str">
        <f>IF('Supplier selection'!O196="","",'Supplier selection'!O196)</f>
        <v/>
      </c>
      <c r="Q196" s="19" t="str">
        <f>HLOOKUP($Q$3,'Supplier selection'!$AW$4:'Supplier selection'!$CT$1000,$A197,FALSE)</f>
        <v/>
      </c>
      <c r="R196" s="22" t="str">
        <f t="shared" si="22"/>
        <v/>
      </c>
      <c r="S196" s="19" t="str">
        <f t="shared" si="23"/>
        <v/>
      </c>
      <c r="T196" s="22" t="str">
        <f t="shared" si="24"/>
        <v/>
      </c>
      <c r="U196" s="19" t="str">
        <f t="shared" si="25"/>
        <v/>
      </c>
      <c r="V196" s="7"/>
      <c r="Y196" s="19" t="str">
        <f>IF('Supplier selection'!AQ196="","",'Supplier selection'!AQ196)</f>
        <v/>
      </c>
      <c r="Z196" s="19" t="str">
        <f>IF('Supplier selection'!AR196="","",'Supplier selection'!AR196)</f>
        <v/>
      </c>
      <c r="AA196" s="19" t="str">
        <f t="shared" si="26"/>
        <v/>
      </c>
      <c r="AD196" s="26" t="str">
        <f>IF(AND('Supplier selection'!X196="",'Supplier selection'!AE196=""),"",IF('Supplier selection'!X196="",'Supplier selection'!AE196,'Supplier selection'!X196))</f>
        <v/>
      </c>
      <c r="AE196" s="19" t="str">
        <f t="shared" si="27"/>
        <v/>
      </c>
      <c r="AF196" s="19" t="str">
        <f t="shared" si="28"/>
        <v/>
      </c>
      <c r="AG196" s="27" t="str">
        <f>IF(AND('Supplier selection'!AB196="",'Supplier selection'!AI196=""),"",IF('Supplier selection'!AB196="",'Supplier selection'!AI196,'Supplier selection'!AB196))</f>
        <v/>
      </c>
      <c r="AH196" s="28" t="str">
        <f t="shared" si="29"/>
        <v/>
      </c>
      <c r="AI196" s="7" t="str">
        <f t="shared" si="30"/>
        <v/>
      </c>
      <c r="AJ196" s="22" t="str">
        <f t="shared" si="31"/>
        <v/>
      </c>
      <c r="AK196" s="29" t="str">
        <f t="shared" si="32"/>
        <v/>
      </c>
      <c r="AL196" s="10"/>
    </row>
    <row r="197" spans="1:38">
      <c r="A197" s="19">
        <f>IF('Supplier selection'!A197="","",'Supplier selection'!A197)</f>
        <v>193</v>
      </c>
      <c r="B197" s="19" t="str">
        <f>IF('Supplier selection'!B197="","",'Supplier selection'!B197)</f>
        <v/>
      </c>
      <c r="C197" s="19" t="str">
        <f>IF('Supplier selection'!C197="","",'Supplier selection'!C197)</f>
        <v/>
      </c>
      <c r="D197" s="19" t="str">
        <f>IF('Supplier selection'!D197="","",'Supplier selection'!D197)</f>
        <v/>
      </c>
      <c r="E197" s="19" t="str">
        <f>IF('Supplier selection'!E197="","",'Supplier selection'!E197)</f>
        <v/>
      </c>
      <c r="F197" s="19" t="str">
        <f>IF('Supplier selection'!F197="","",'Supplier selection'!F197)</f>
        <v/>
      </c>
      <c r="G197" s="19" t="str">
        <f>IF('Supplier selection'!G197="","",'Supplier selection'!G197)</f>
        <v/>
      </c>
      <c r="H197" s="19" t="str">
        <f>IF('Supplier selection'!H197="","",'Supplier selection'!H197)</f>
        <v/>
      </c>
      <c r="I197" s="19" t="str">
        <f>IF('Supplier selection'!I197="","",'Supplier selection'!I197)</f>
        <v/>
      </c>
      <c r="J197" s="19" t="str">
        <f>IF('Supplier selection'!J197="","",'Supplier selection'!J197)</f>
        <v/>
      </c>
      <c r="K197" s="19" t="str">
        <f>IF('Supplier selection'!K197="","",'Supplier selection'!K197)</f>
        <v/>
      </c>
      <c r="L197" s="19" t="str">
        <f>IF('Supplier selection'!L197="","",'Supplier selection'!L197)</f>
        <v/>
      </c>
      <c r="M197" s="19" t="str">
        <f>IF('Supplier selection'!M197="","",'Supplier selection'!M197)</f>
        <v/>
      </c>
      <c r="N197" s="19" t="str">
        <f>IF('Supplier selection'!N197="","",'Supplier selection'!N197)</f>
        <v/>
      </c>
      <c r="O197" s="19" t="str">
        <f>IF('Supplier selection'!O197="","",'Supplier selection'!O197)</f>
        <v/>
      </c>
      <c r="Q197" s="19" t="str">
        <f>HLOOKUP($Q$3,'Supplier selection'!$AW$4:'Supplier selection'!$CT$1000,$A198,FALSE)</f>
        <v/>
      </c>
      <c r="R197" s="22" t="str">
        <f t="shared" si="22"/>
        <v/>
      </c>
      <c r="S197" s="19" t="str">
        <f t="shared" si="23"/>
        <v/>
      </c>
      <c r="T197" s="22" t="str">
        <f t="shared" si="24"/>
        <v/>
      </c>
      <c r="U197" s="19" t="str">
        <f t="shared" si="25"/>
        <v/>
      </c>
      <c r="V197" s="7"/>
      <c r="Y197" s="19" t="str">
        <f>IF('Supplier selection'!AQ197="","",'Supplier selection'!AQ197)</f>
        <v/>
      </c>
      <c r="Z197" s="19" t="str">
        <f>IF('Supplier selection'!AR197="","",'Supplier selection'!AR197)</f>
        <v/>
      </c>
      <c r="AA197" s="19" t="str">
        <f t="shared" si="26"/>
        <v/>
      </c>
      <c r="AD197" s="26" t="str">
        <f>IF(AND('Supplier selection'!X197="",'Supplier selection'!AE197=""),"",IF('Supplier selection'!X197="",'Supplier selection'!AE197,'Supplier selection'!X197))</f>
        <v/>
      </c>
      <c r="AE197" s="19" t="str">
        <f t="shared" si="27"/>
        <v/>
      </c>
      <c r="AF197" s="19" t="str">
        <f t="shared" si="28"/>
        <v/>
      </c>
      <c r="AG197" s="27" t="str">
        <f>IF(AND('Supplier selection'!AB197="",'Supplier selection'!AI197=""),"",IF('Supplier selection'!AB197="",'Supplier selection'!AI197,'Supplier selection'!AB197))</f>
        <v/>
      </c>
      <c r="AH197" s="28" t="str">
        <f t="shared" si="29"/>
        <v/>
      </c>
      <c r="AI197" s="7" t="str">
        <f t="shared" si="30"/>
        <v/>
      </c>
      <c r="AJ197" s="22" t="str">
        <f t="shared" si="31"/>
        <v/>
      </c>
      <c r="AK197" s="29" t="str">
        <f t="shared" si="32"/>
        <v/>
      </c>
      <c r="AL197" s="10"/>
    </row>
    <row r="198" spans="1:38">
      <c r="A198" s="19">
        <f>IF('Supplier selection'!A198="","",'Supplier selection'!A198)</f>
        <v>194</v>
      </c>
      <c r="B198" s="19" t="str">
        <f>IF('Supplier selection'!B198="","",'Supplier selection'!B198)</f>
        <v/>
      </c>
      <c r="C198" s="19" t="str">
        <f>IF('Supplier selection'!C198="","",'Supplier selection'!C198)</f>
        <v/>
      </c>
      <c r="D198" s="19" t="str">
        <f>IF('Supplier selection'!D198="","",'Supplier selection'!D198)</f>
        <v/>
      </c>
      <c r="E198" s="19" t="str">
        <f>IF('Supplier selection'!E198="","",'Supplier selection'!E198)</f>
        <v/>
      </c>
      <c r="F198" s="19" t="str">
        <f>IF('Supplier selection'!F198="","",'Supplier selection'!F198)</f>
        <v/>
      </c>
      <c r="G198" s="19" t="str">
        <f>IF('Supplier selection'!G198="","",'Supplier selection'!G198)</f>
        <v/>
      </c>
      <c r="H198" s="19" t="str">
        <f>IF('Supplier selection'!H198="","",'Supplier selection'!H198)</f>
        <v/>
      </c>
      <c r="I198" s="19" t="str">
        <f>IF('Supplier selection'!I198="","",'Supplier selection'!I198)</f>
        <v/>
      </c>
      <c r="J198" s="19" t="str">
        <f>IF('Supplier selection'!J198="","",'Supplier selection'!J198)</f>
        <v/>
      </c>
      <c r="K198" s="19" t="str">
        <f>IF('Supplier selection'!K198="","",'Supplier selection'!K198)</f>
        <v/>
      </c>
      <c r="L198" s="19" t="str">
        <f>IF('Supplier selection'!L198="","",'Supplier selection'!L198)</f>
        <v/>
      </c>
      <c r="M198" s="19" t="str">
        <f>IF('Supplier selection'!M198="","",'Supplier selection'!M198)</f>
        <v/>
      </c>
      <c r="N198" s="19" t="str">
        <f>IF('Supplier selection'!N198="","",'Supplier selection'!N198)</f>
        <v/>
      </c>
      <c r="O198" s="19" t="str">
        <f>IF('Supplier selection'!O198="","",'Supplier selection'!O198)</f>
        <v/>
      </c>
      <c r="Q198" s="19" t="str">
        <f>HLOOKUP($Q$3,'Supplier selection'!$AW$4:'Supplier selection'!$CT$1000,$A199,FALSE)</f>
        <v/>
      </c>
      <c r="R198" s="22" t="str">
        <f t="shared" ref="R198:R261" si="33">IF(OR(Q198="",O198=""),"",(Q198-O198)/O198)</f>
        <v/>
      </c>
      <c r="S198" s="19" t="str">
        <f t="shared" ref="S198:S261" si="34">IF(OR(H198="",O198="",Q198=""),"",(Q198*H198)-(H198*O198))</f>
        <v/>
      </c>
      <c r="T198" s="22" t="str">
        <f t="shared" ref="T198:T261" si="35">IF(OR(Y198="",Q198=""),"",(Q198-Y198)/Y198)</f>
        <v/>
      </c>
      <c r="U198" s="19" t="str">
        <f t="shared" ref="U198:U261" si="36">IF(OR(Y198="",Q198="",H198=""),"",(Q198*H198)-(Y198*H198))</f>
        <v/>
      </c>
      <c r="V198" s="7"/>
      <c r="Y198" s="19" t="str">
        <f>IF('Supplier selection'!AQ198="","",'Supplier selection'!AQ198)</f>
        <v/>
      </c>
      <c r="Z198" s="19" t="str">
        <f>IF('Supplier selection'!AR198="","",'Supplier selection'!AR198)</f>
        <v/>
      </c>
      <c r="AA198" s="19" t="str">
        <f t="shared" ref="AA198:AA261" si="37">IF(OR(Y198="",O198="",H198=""),"",((H198*Y198)-(H198*O198)))</f>
        <v/>
      </c>
      <c r="AD198" s="26" t="str">
        <f>IF(AND('Supplier selection'!X198="",'Supplier selection'!AE198=""),"",IF('Supplier selection'!X198="",'Supplier selection'!AE198,'Supplier selection'!X198))</f>
        <v/>
      </c>
      <c r="AE198" s="19" t="str">
        <f t="shared" ref="AE198:AE261" si="38">IF(AD198="","",J198)</f>
        <v/>
      </c>
      <c r="AF198" s="19" t="str">
        <f t="shared" ref="AF198:AF261" si="39">IF(AD198="","",L198)</f>
        <v/>
      </c>
      <c r="AG198" s="27" t="str">
        <f>IF(AND('Supplier selection'!AB198="",'Supplier selection'!AI198=""),"",IF('Supplier selection'!AB198="",'Supplier selection'!AI198,'Supplier selection'!AB198))</f>
        <v/>
      </c>
      <c r="AH198" s="28" t="str">
        <f t="shared" ref="AH198:AH261" si="40">IF(OR(AG198="",O198=""),"",(AG198-O198)/O198)</f>
        <v/>
      </c>
      <c r="AI198" s="7" t="str">
        <f t="shared" ref="AI198:AI261" si="41">IF(OR(H198="",O198="",AG198=""),"",(AG198*H198)-(H198*O198))</f>
        <v/>
      </c>
      <c r="AJ198" s="22" t="str">
        <f t="shared" ref="AJ198:AJ261" si="42">IF(OR(AG198="",Y198=""),"",(AG198-Y198)/Y198)</f>
        <v/>
      </c>
      <c r="AK198" s="29" t="str">
        <f t="shared" ref="AK198:AK261" si="43">IF(OR(H198="",Y198="",AG198=""),"",(AG198*H198)-(H198*Y198))</f>
        <v/>
      </c>
      <c r="AL198" s="10"/>
    </row>
    <row r="199" spans="1:38">
      <c r="A199" s="19">
        <f>IF('Supplier selection'!A199="","",'Supplier selection'!A199)</f>
        <v>195</v>
      </c>
      <c r="B199" s="19" t="str">
        <f>IF('Supplier selection'!B199="","",'Supplier selection'!B199)</f>
        <v/>
      </c>
      <c r="C199" s="19" t="str">
        <f>IF('Supplier selection'!C199="","",'Supplier selection'!C199)</f>
        <v/>
      </c>
      <c r="D199" s="19" t="str">
        <f>IF('Supplier selection'!D199="","",'Supplier selection'!D199)</f>
        <v/>
      </c>
      <c r="E199" s="19" t="str">
        <f>IF('Supplier selection'!E199="","",'Supplier selection'!E199)</f>
        <v/>
      </c>
      <c r="F199" s="19" t="str">
        <f>IF('Supplier selection'!F199="","",'Supplier selection'!F199)</f>
        <v/>
      </c>
      <c r="G199" s="19" t="str">
        <f>IF('Supplier selection'!G199="","",'Supplier selection'!G199)</f>
        <v/>
      </c>
      <c r="H199" s="19" t="str">
        <f>IF('Supplier selection'!H199="","",'Supplier selection'!H199)</f>
        <v/>
      </c>
      <c r="I199" s="19" t="str">
        <f>IF('Supplier selection'!I199="","",'Supplier selection'!I199)</f>
        <v/>
      </c>
      <c r="J199" s="19" t="str">
        <f>IF('Supplier selection'!J199="","",'Supplier selection'!J199)</f>
        <v/>
      </c>
      <c r="K199" s="19" t="str">
        <f>IF('Supplier selection'!K199="","",'Supplier selection'!K199)</f>
        <v/>
      </c>
      <c r="L199" s="19" t="str">
        <f>IF('Supplier selection'!L199="","",'Supplier selection'!L199)</f>
        <v/>
      </c>
      <c r="M199" s="19" t="str">
        <f>IF('Supplier selection'!M199="","",'Supplier selection'!M199)</f>
        <v/>
      </c>
      <c r="N199" s="19" t="str">
        <f>IF('Supplier selection'!N199="","",'Supplier selection'!N199)</f>
        <v/>
      </c>
      <c r="O199" s="19" t="str">
        <f>IF('Supplier selection'!O199="","",'Supplier selection'!O199)</f>
        <v/>
      </c>
      <c r="Q199" s="19" t="str">
        <f>HLOOKUP($Q$3,'Supplier selection'!$AW$4:'Supplier selection'!$CT$1000,$A200,FALSE)</f>
        <v/>
      </c>
      <c r="R199" s="22" t="str">
        <f t="shared" si="33"/>
        <v/>
      </c>
      <c r="S199" s="19" t="str">
        <f t="shared" si="34"/>
        <v/>
      </c>
      <c r="T199" s="22" t="str">
        <f t="shared" si="35"/>
        <v/>
      </c>
      <c r="U199" s="19" t="str">
        <f t="shared" si="36"/>
        <v/>
      </c>
      <c r="V199" s="7"/>
      <c r="Y199" s="19" t="str">
        <f>IF('Supplier selection'!AQ199="","",'Supplier selection'!AQ199)</f>
        <v/>
      </c>
      <c r="Z199" s="19" t="str">
        <f>IF('Supplier selection'!AR199="","",'Supplier selection'!AR199)</f>
        <v/>
      </c>
      <c r="AA199" s="19" t="str">
        <f t="shared" si="37"/>
        <v/>
      </c>
      <c r="AD199" s="26" t="str">
        <f>IF(AND('Supplier selection'!X199="",'Supplier selection'!AE199=""),"",IF('Supplier selection'!X199="",'Supplier selection'!AE199,'Supplier selection'!X199))</f>
        <v/>
      </c>
      <c r="AE199" s="19" t="str">
        <f t="shared" si="38"/>
        <v/>
      </c>
      <c r="AF199" s="19" t="str">
        <f t="shared" si="39"/>
        <v/>
      </c>
      <c r="AG199" s="27" t="str">
        <f>IF(AND('Supplier selection'!AB199="",'Supplier selection'!AI199=""),"",IF('Supplier selection'!AB199="",'Supplier selection'!AI199,'Supplier selection'!AB199))</f>
        <v/>
      </c>
      <c r="AH199" s="28" t="str">
        <f t="shared" si="40"/>
        <v/>
      </c>
      <c r="AI199" s="7" t="str">
        <f t="shared" si="41"/>
        <v/>
      </c>
      <c r="AJ199" s="22" t="str">
        <f t="shared" si="42"/>
        <v/>
      </c>
      <c r="AK199" s="29" t="str">
        <f t="shared" si="43"/>
        <v/>
      </c>
      <c r="AL199" s="10"/>
    </row>
    <row r="200" spans="1:38">
      <c r="A200" s="19">
        <f>IF('Supplier selection'!A200="","",'Supplier selection'!A200)</f>
        <v>196</v>
      </c>
      <c r="B200" s="19" t="str">
        <f>IF('Supplier selection'!B200="","",'Supplier selection'!B200)</f>
        <v/>
      </c>
      <c r="C200" s="19" t="str">
        <f>IF('Supplier selection'!C200="","",'Supplier selection'!C200)</f>
        <v/>
      </c>
      <c r="D200" s="19" t="str">
        <f>IF('Supplier selection'!D200="","",'Supplier selection'!D200)</f>
        <v/>
      </c>
      <c r="E200" s="19" t="str">
        <f>IF('Supplier selection'!E200="","",'Supplier selection'!E200)</f>
        <v/>
      </c>
      <c r="F200" s="19" t="str">
        <f>IF('Supplier selection'!F200="","",'Supplier selection'!F200)</f>
        <v/>
      </c>
      <c r="G200" s="19" t="str">
        <f>IF('Supplier selection'!G200="","",'Supplier selection'!G200)</f>
        <v/>
      </c>
      <c r="H200" s="19" t="str">
        <f>IF('Supplier selection'!H200="","",'Supplier selection'!H200)</f>
        <v/>
      </c>
      <c r="I200" s="19" t="str">
        <f>IF('Supplier selection'!I200="","",'Supplier selection'!I200)</f>
        <v/>
      </c>
      <c r="J200" s="19" t="str">
        <f>IF('Supplier selection'!J200="","",'Supplier selection'!J200)</f>
        <v/>
      </c>
      <c r="K200" s="19" t="str">
        <f>IF('Supplier selection'!K200="","",'Supplier selection'!K200)</f>
        <v/>
      </c>
      <c r="L200" s="19" t="str">
        <f>IF('Supplier selection'!L200="","",'Supplier selection'!L200)</f>
        <v/>
      </c>
      <c r="M200" s="19" t="str">
        <f>IF('Supplier selection'!M200="","",'Supplier selection'!M200)</f>
        <v/>
      </c>
      <c r="N200" s="19" t="str">
        <f>IF('Supplier selection'!N200="","",'Supplier selection'!N200)</f>
        <v/>
      </c>
      <c r="O200" s="19" t="str">
        <f>IF('Supplier selection'!O200="","",'Supplier selection'!O200)</f>
        <v/>
      </c>
      <c r="Q200" s="19" t="str">
        <f>HLOOKUP($Q$3,'Supplier selection'!$AW$4:'Supplier selection'!$CT$1000,$A201,FALSE)</f>
        <v/>
      </c>
      <c r="R200" s="22" t="str">
        <f t="shared" si="33"/>
        <v/>
      </c>
      <c r="S200" s="19" t="str">
        <f t="shared" si="34"/>
        <v/>
      </c>
      <c r="T200" s="22" t="str">
        <f t="shared" si="35"/>
        <v/>
      </c>
      <c r="U200" s="19" t="str">
        <f t="shared" si="36"/>
        <v/>
      </c>
      <c r="V200" s="7"/>
      <c r="Y200" s="19" t="str">
        <f>IF('Supplier selection'!AQ200="","",'Supplier selection'!AQ200)</f>
        <v/>
      </c>
      <c r="Z200" s="19" t="str">
        <f>IF('Supplier selection'!AR200="","",'Supplier selection'!AR200)</f>
        <v/>
      </c>
      <c r="AA200" s="19" t="str">
        <f t="shared" si="37"/>
        <v/>
      </c>
      <c r="AD200" s="26" t="str">
        <f>IF(AND('Supplier selection'!X200="",'Supplier selection'!AE200=""),"",IF('Supplier selection'!X200="",'Supplier selection'!AE200,'Supplier selection'!X200))</f>
        <v/>
      </c>
      <c r="AE200" s="19" t="str">
        <f t="shared" si="38"/>
        <v/>
      </c>
      <c r="AF200" s="19" t="str">
        <f t="shared" si="39"/>
        <v/>
      </c>
      <c r="AG200" s="27" t="str">
        <f>IF(AND('Supplier selection'!AB200="",'Supplier selection'!AI200=""),"",IF('Supplier selection'!AB200="",'Supplier selection'!AI200,'Supplier selection'!AB200))</f>
        <v/>
      </c>
      <c r="AH200" s="28" t="str">
        <f t="shared" si="40"/>
        <v/>
      </c>
      <c r="AI200" s="7" t="str">
        <f t="shared" si="41"/>
        <v/>
      </c>
      <c r="AJ200" s="22" t="str">
        <f t="shared" si="42"/>
        <v/>
      </c>
      <c r="AK200" s="29" t="str">
        <f t="shared" si="43"/>
        <v/>
      </c>
      <c r="AL200" s="10"/>
    </row>
    <row r="201" spans="1:38">
      <c r="A201" s="19">
        <f>IF('Supplier selection'!A201="","",'Supplier selection'!A201)</f>
        <v>197</v>
      </c>
      <c r="B201" s="19" t="str">
        <f>IF('Supplier selection'!B201="","",'Supplier selection'!B201)</f>
        <v/>
      </c>
      <c r="C201" s="19" t="str">
        <f>IF('Supplier selection'!C201="","",'Supplier selection'!C201)</f>
        <v/>
      </c>
      <c r="D201" s="19" t="str">
        <f>IF('Supplier selection'!D201="","",'Supplier selection'!D201)</f>
        <v/>
      </c>
      <c r="E201" s="19" t="str">
        <f>IF('Supplier selection'!E201="","",'Supplier selection'!E201)</f>
        <v/>
      </c>
      <c r="F201" s="19" t="str">
        <f>IF('Supplier selection'!F201="","",'Supplier selection'!F201)</f>
        <v/>
      </c>
      <c r="G201" s="19" t="str">
        <f>IF('Supplier selection'!G201="","",'Supplier selection'!G201)</f>
        <v/>
      </c>
      <c r="H201" s="19" t="str">
        <f>IF('Supplier selection'!H201="","",'Supplier selection'!H201)</f>
        <v/>
      </c>
      <c r="I201" s="19" t="str">
        <f>IF('Supplier selection'!I201="","",'Supplier selection'!I201)</f>
        <v/>
      </c>
      <c r="J201" s="19" t="str">
        <f>IF('Supplier selection'!J201="","",'Supplier selection'!J201)</f>
        <v/>
      </c>
      <c r="K201" s="19" t="str">
        <f>IF('Supplier selection'!K201="","",'Supplier selection'!K201)</f>
        <v/>
      </c>
      <c r="L201" s="19" t="str">
        <f>IF('Supplier selection'!L201="","",'Supplier selection'!L201)</f>
        <v/>
      </c>
      <c r="M201" s="19" t="str">
        <f>IF('Supplier selection'!M201="","",'Supplier selection'!M201)</f>
        <v/>
      </c>
      <c r="N201" s="19" t="str">
        <f>IF('Supplier selection'!N201="","",'Supplier selection'!N201)</f>
        <v/>
      </c>
      <c r="O201" s="19" t="str">
        <f>IF('Supplier selection'!O201="","",'Supplier selection'!O201)</f>
        <v/>
      </c>
      <c r="Q201" s="19" t="str">
        <f>HLOOKUP($Q$3,'Supplier selection'!$AW$4:'Supplier selection'!$CT$1000,$A202,FALSE)</f>
        <v/>
      </c>
      <c r="R201" s="22" t="str">
        <f t="shared" si="33"/>
        <v/>
      </c>
      <c r="S201" s="19" t="str">
        <f t="shared" si="34"/>
        <v/>
      </c>
      <c r="T201" s="22" t="str">
        <f t="shared" si="35"/>
        <v/>
      </c>
      <c r="U201" s="19" t="str">
        <f t="shared" si="36"/>
        <v/>
      </c>
      <c r="V201" s="7"/>
      <c r="Y201" s="19" t="str">
        <f>IF('Supplier selection'!AQ201="","",'Supplier selection'!AQ201)</f>
        <v/>
      </c>
      <c r="Z201" s="19" t="str">
        <f>IF('Supplier selection'!AR201="","",'Supplier selection'!AR201)</f>
        <v/>
      </c>
      <c r="AA201" s="19" t="str">
        <f t="shared" si="37"/>
        <v/>
      </c>
      <c r="AD201" s="26" t="str">
        <f>IF(AND('Supplier selection'!X201="",'Supplier selection'!AE201=""),"",IF('Supplier selection'!X201="",'Supplier selection'!AE201,'Supplier selection'!X201))</f>
        <v/>
      </c>
      <c r="AE201" s="19" t="str">
        <f t="shared" si="38"/>
        <v/>
      </c>
      <c r="AF201" s="19" t="str">
        <f t="shared" si="39"/>
        <v/>
      </c>
      <c r="AG201" s="27" t="str">
        <f>IF(AND('Supplier selection'!AB201="",'Supplier selection'!AI201=""),"",IF('Supplier selection'!AB201="",'Supplier selection'!AI201,'Supplier selection'!AB201))</f>
        <v/>
      </c>
      <c r="AH201" s="28" t="str">
        <f t="shared" si="40"/>
        <v/>
      </c>
      <c r="AI201" s="7" t="str">
        <f t="shared" si="41"/>
        <v/>
      </c>
      <c r="AJ201" s="22" t="str">
        <f t="shared" si="42"/>
        <v/>
      </c>
      <c r="AK201" s="29" t="str">
        <f t="shared" si="43"/>
        <v/>
      </c>
      <c r="AL201" s="10"/>
    </row>
    <row r="202" spans="1:38">
      <c r="A202" s="19">
        <f>IF('Supplier selection'!A202="","",'Supplier selection'!A202)</f>
        <v>198</v>
      </c>
      <c r="B202" s="19" t="str">
        <f>IF('Supplier selection'!B202="","",'Supplier selection'!B202)</f>
        <v/>
      </c>
      <c r="C202" s="19" t="str">
        <f>IF('Supplier selection'!C202="","",'Supplier selection'!C202)</f>
        <v/>
      </c>
      <c r="D202" s="19" t="str">
        <f>IF('Supplier selection'!D202="","",'Supplier selection'!D202)</f>
        <v/>
      </c>
      <c r="E202" s="19" t="str">
        <f>IF('Supplier selection'!E202="","",'Supplier selection'!E202)</f>
        <v/>
      </c>
      <c r="F202" s="19" t="str">
        <f>IF('Supplier selection'!F202="","",'Supplier selection'!F202)</f>
        <v/>
      </c>
      <c r="G202" s="19" t="str">
        <f>IF('Supplier selection'!G202="","",'Supplier selection'!G202)</f>
        <v/>
      </c>
      <c r="H202" s="19" t="str">
        <f>IF('Supplier selection'!H202="","",'Supplier selection'!H202)</f>
        <v/>
      </c>
      <c r="I202" s="19" t="str">
        <f>IF('Supplier selection'!I202="","",'Supplier selection'!I202)</f>
        <v/>
      </c>
      <c r="J202" s="19" t="str">
        <f>IF('Supplier selection'!J202="","",'Supplier selection'!J202)</f>
        <v/>
      </c>
      <c r="K202" s="19" t="str">
        <f>IF('Supplier selection'!K202="","",'Supplier selection'!K202)</f>
        <v/>
      </c>
      <c r="L202" s="19" t="str">
        <f>IF('Supplier selection'!L202="","",'Supplier selection'!L202)</f>
        <v/>
      </c>
      <c r="M202" s="19" t="str">
        <f>IF('Supplier selection'!M202="","",'Supplier selection'!M202)</f>
        <v/>
      </c>
      <c r="N202" s="19" t="str">
        <f>IF('Supplier selection'!N202="","",'Supplier selection'!N202)</f>
        <v/>
      </c>
      <c r="O202" s="19" t="str">
        <f>IF('Supplier selection'!O202="","",'Supplier selection'!O202)</f>
        <v/>
      </c>
      <c r="Q202" s="19" t="str">
        <f>HLOOKUP($Q$3,'Supplier selection'!$AW$4:'Supplier selection'!$CT$1000,$A203,FALSE)</f>
        <v/>
      </c>
      <c r="R202" s="22" t="str">
        <f t="shared" si="33"/>
        <v/>
      </c>
      <c r="S202" s="19" t="str">
        <f t="shared" si="34"/>
        <v/>
      </c>
      <c r="T202" s="22" t="str">
        <f t="shared" si="35"/>
        <v/>
      </c>
      <c r="U202" s="19" t="str">
        <f t="shared" si="36"/>
        <v/>
      </c>
      <c r="V202" s="7"/>
      <c r="Y202" s="19" t="str">
        <f>IF('Supplier selection'!AQ202="","",'Supplier selection'!AQ202)</f>
        <v/>
      </c>
      <c r="Z202" s="19" t="str">
        <f>IF('Supplier selection'!AR202="","",'Supplier selection'!AR202)</f>
        <v/>
      </c>
      <c r="AA202" s="19" t="str">
        <f t="shared" si="37"/>
        <v/>
      </c>
      <c r="AD202" s="26" t="str">
        <f>IF(AND('Supplier selection'!X202="",'Supplier selection'!AE202=""),"",IF('Supplier selection'!X202="",'Supplier selection'!AE202,'Supplier selection'!X202))</f>
        <v/>
      </c>
      <c r="AE202" s="19" t="str">
        <f t="shared" si="38"/>
        <v/>
      </c>
      <c r="AF202" s="19" t="str">
        <f t="shared" si="39"/>
        <v/>
      </c>
      <c r="AG202" s="27" t="str">
        <f>IF(AND('Supplier selection'!AB202="",'Supplier selection'!AI202=""),"",IF('Supplier selection'!AB202="",'Supplier selection'!AI202,'Supplier selection'!AB202))</f>
        <v/>
      </c>
      <c r="AH202" s="28" t="str">
        <f t="shared" si="40"/>
        <v/>
      </c>
      <c r="AI202" s="7" t="str">
        <f t="shared" si="41"/>
        <v/>
      </c>
      <c r="AJ202" s="22" t="str">
        <f t="shared" si="42"/>
        <v/>
      </c>
      <c r="AK202" s="29" t="str">
        <f t="shared" si="43"/>
        <v/>
      </c>
      <c r="AL202" s="10"/>
    </row>
    <row r="203" spans="1:38">
      <c r="A203" s="19">
        <f>IF('Supplier selection'!A203="","",'Supplier selection'!A203)</f>
        <v>199</v>
      </c>
      <c r="B203" s="19" t="str">
        <f>IF('Supplier selection'!B203="","",'Supplier selection'!B203)</f>
        <v/>
      </c>
      <c r="C203" s="19" t="str">
        <f>IF('Supplier selection'!C203="","",'Supplier selection'!C203)</f>
        <v/>
      </c>
      <c r="D203" s="19" t="str">
        <f>IF('Supplier selection'!D203="","",'Supplier selection'!D203)</f>
        <v/>
      </c>
      <c r="E203" s="19" t="str">
        <f>IF('Supplier selection'!E203="","",'Supplier selection'!E203)</f>
        <v/>
      </c>
      <c r="F203" s="19" t="str">
        <f>IF('Supplier selection'!F203="","",'Supplier selection'!F203)</f>
        <v/>
      </c>
      <c r="G203" s="19" t="str">
        <f>IF('Supplier selection'!G203="","",'Supplier selection'!G203)</f>
        <v/>
      </c>
      <c r="H203" s="19" t="str">
        <f>IF('Supplier selection'!H203="","",'Supplier selection'!H203)</f>
        <v/>
      </c>
      <c r="I203" s="19" t="str">
        <f>IF('Supplier selection'!I203="","",'Supplier selection'!I203)</f>
        <v/>
      </c>
      <c r="J203" s="19" t="str">
        <f>IF('Supplier selection'!J203="","",'Supplier selection'!J203)</f>
        <v/>
      </c>
      <c r="K203" s="19" t="str">
        <f>IF('Supplier selection'!K203="","",'Supplier selection'!K203)</f>
        <v/>
      </c>
      <c r="L203" s="19" t="str">
        <f>IF('Supplier selection'!L203="","",'Supplier selection'!L203)</f>
        <v/>
      </c>
      <c r="M203" s="19" t="str">
        <f>IF('Supplier selection'!M203="","",'Supplier selection'!M203)</f>
        <v/>
      </c>
      <c r="N203" s="19" t="str">
        <f>IF('Supplier selection'!N203="","",'Supplier selection'!N203)</f>
        <v/>
      </c>
      <c r="O203" s="19" t="str">
        <f>IF('Supplier selection'!O203="","",'Supplier selection'!O203)</f>
        <v/>
      </c>
      <c r="Q203" s="19" t="str">
        <f>HLOOKUP($Q$3,'Supplier selection'!$AW$4:'Supplier selection'!$CT$1000,$A204,FALSE)</f>
        <v/>
      </c>
      <c r="R203" s="22" t="str">
        <f t="shared" si="33"/>
        <v/>
      </c>
      <c r="S203" s="19" t="str">
        <f t="shared" si="34"/>
        <v/>
      </c>
      <c r="T203" s="22" t="str">
        <f t="shared" si="35"/>
        <v/>
      </c>
      <c r="U203" s="19" t="str">
        <f t="shared" si="36"/>
        <v/>
      </c>
      <c r="V203" s="7"/>
      <c r="Y203" s="19" t="str">
        <f>IF('Supplier selection'!AQ203="","",'Supplier selection'!AQ203)</f>
        <v/>
      </c>
      <c r="Z203" s="19" t="str">
        <f>IF('Supplier selection'!AR203="","",'Supplier selection'!AR203)</f>
        <v/>
      </c>
      <c r="AA203" s="19" t="str">
        <f t="shared" si="37"/>
        <v/>
      </c>
      <c r="AD203" s="26" t="str">
        <f>IF(AND('Supplier selection'!X203="",'Supplier selection'!AE203=""),"",IF('Supplier selection'!X203="",'Supplier selection'!AE203,'Supplier selection'!X203))</f>
        <v/>
      </c>
      <c r="AE203" s="19" t="str">
        <f t="shared" si="38"/>
        <v/>
      </c>
      <c r="AF203" s="19" t="str">
        <f t="shared" si="39"/>
        <v/>
      </c>
      <c r="AG203" s="27" t="str">
        <f>IF(AND('Supplier selection'!AB203="",'Supplier selection'!AI203=""),"",IF('Supplier selection'!AB203="",'Supplier selection'!AI203,'Supplier selection'!AB203))</f>
        <v/>
      </c>
      <c r="AH203" s="28" t="str">
        <f t="shared" si="40"/>
        <v/>
      </c>
      <c r="AI203" s="7" t="str">
        <f t="shared" si="41"/>
        <v/>
      </c>
      <c r="AJ203" s="22" t="str">
        <f t="shared" si="42"/>
        <v/>
      </c>
      <c r="AK203" s="29" t="str">
        <f t="shared" si="43"/>
        <v/>
      </c>
      <c r="AL203" s="10"/>
    </row>
    <row r="204" spans="1:38">
      <c r="A204" s="19">
        <f>IF('Supplier selection'!A204="","",'Supplier selection'!A204)</f>
        <v>200</v>
      </c>
      <c r="B204" s="19" t="str">
        <f>IF('Supplier selection'!B204="","",'Supplier selection'!B204)</f>
        <v/>
      </c>
      <c r="C204" s="19" t="str">
        <f>IF('Supplier selection'!C204="","",'Supplier selection'!C204)</f>
        <v/>
      </c>
      <c r="D204" s="19" t="str">
        <f>IF('Supplier selection'!D204="","",'Supplier selection'!D204)</f>
        <v/>
      </c>
      <c r="E204" s="19" t="str">
        <f>IF('Supplier selection'!E204="","",'Supplier selection'!E204)</f>
        <v/>
      </c>
      <c r="F204" s="19" t="str">
        <f>IF('Supplier selection'!F204="","",'Supplier selection'!F204)</f>
        <v/>
      </c>
      <c r="G204" s="19" t="str">
        <f>IF('Supplier selection'!G204="","",'Supplier selection'!G204)</f>
        <v/>
      </c>
      <c r="H204" s="19" t="str">
        <f>IF('Supplier selection'!H204="","",'Supplier selection'!H204)</f>
        <v/>
      </c>
      <c r="I204" s="19" t="str">
        <f>IF('Supplier selection'!I204="","",'Supplier selection'!I204)</f>
        <v/>
      </c>
      <c r="J204" s="19" t="str">
        <f>IF('Supplier selection'!J204="","",'Supplier selection'!J204)</f>
        <v/>
      </c>
      <c r="K204" s="19" t="str">
        <f>IF('Supplier selection'!K204="","",'Supplier selection'!K204)</f>
        <v/>
      </c>
      <c r="L204" s="19" t="str">
        <f>IF('Supplier selection'!L204="","",'Supplier selection'!L204)</f>
        <v/>
      </c>
      <c r="M204" s="19" t="str">
        <f>IF('Supplier selection'!M204="","",'Supplier selection'!M204)</f>
        <v/>
      </c>
      <c r="N204" s="19" t="str">
        <f>IF('Supplier selection'!N204="","",'Supplier selection'!N204)</f>
        <v/>
      </c>
      <c r="O204" s="19" t="str">
        <f>IF('Supplier selection'!O204="","",'Supplier selection'!O204)</f>
        <v/>
      </c>
      <c r="Q204" s="19" t="str">
        <f>HLOOKUP($Q$3,'Supplier selection'!$AW$4:'Supplier selection'!$CT$1000,$A205,FALSE)</f>
        <v/>
      </c>
      <c r="R204" s="22" t="str">
        <f t="shared" si="33"/>
        <v/>
      </c>
      <c r="S204" s="19" t="str">
        <f t="shared" si="34"/>
        <v/>
      </c>
      <c r="T204" s="22" t="str">
        <f t="shared" si="35"/>
        <v/>
      </c>
      <c r="U204" s="19" t="str">
        <f t="shared" si="36"/>
        <v/>
      </c>
      <c r="V204" s="7"/>
      <c r="Y204" s="19" t="str">
        <f>IF('Supplier selection'!AQ204="","",'Supplier selection'!AQ204)</f>
        <v/>
      </c>
      <c r="Z204" s="19" t="str">
        <f>IF('Supplier selection'!AR204="","",'Supplier selection'!AR204)</f>
        <v/>
      </c>
      <c r="AA204" s="19" t="str">
        <f t="shared" si="37"/>
        <v/>
      </c>
      <c r="AD204" s="26" t="str">
        <f>IF(AND('Supplier selection'!X204="",'Supplier selection'!AE204=""),"",IF('Supplier selection'!X204="",'Supplier selection'!AE204,'Supplier selection'!X204))</f>
        <v/>
      </c>
      <c r="AE204" s="19" t="str">
        <f t="shared" si="38"/>
        <v/>
      </c>
      <c r="AF204" s="19" t="str">
        <f t="shared" si="39"/>
        <v/>
      </c>
      <c r="AG204" s="27" t="str">
        <f>IF(AND('Supplier selection'!AB204="",'Supplier selection'!AI204=""),"",IF('Supplier selection'!AB204="",'Supplier selection'!AI204,'Supplier selection'!AB204))</f>
        <v/>
      </c>
      <c r="AH204" s="28" t="str">
        <f t="shared" si="40"/>
        <v/>
      </c>
      <c r="AI204" s="7" t="str">
        <f t="shared" si="41"/>
        <v/>
      </c>
      <c r="AJ204" s="22" t="str">
        <f t="shared" si="42"/>
        <v/>
      </c>
      <c r="AK204" s="29" t="str">
        <f t="shared" si="43"/>
        <v/>
      </c>
      <c r="AL204" s="10"/>
    </row>
    <row r="205" spans="1:38">
      <c r="A205" s="19">
        <f>IF('Supplier selection'!A205="","",'Supplier selection'!A205)</f>
        <v>201</v>
      </c>
      <c r="B205" s="19" t="str">
        <f>IF('Supplier selection'!B205="","",'Supplier selection'!B205)</f>
        <v/>
      </c>
      <c r="C205" s="19" t="str">
        <f>IF('Supplier selection'!C205="","",'Supplier selection'!C205)</f>
        <v/>
      </c>
      <c r="D205" s="19" t="str">
        <f>IF('Supplier selection'!D205="","",'Supplier selection'!D205)</f>
        <v/>
      </c>
      <c r="E205" s="19" t="str">
        <f>IF('Supplier selection'!E205="","",'Supplier selection'!E205)</f>
        <v/>
      </c>
      <c r="F205" s="19" t="str">
        <f>IF('Supplier selection'!F205="","",'Supplier selection'!F205)</f>
        <v/>
      </c>
      <c r="G205" s="19" t="str">
        <f>IF('Supplier selection'!G205="","",'Supplier selection'!G205)</f>
        <v/>
      </c>
      <c r="H205" s="19" t="str">
        <f>IF('Supplier selection'!H205="","",'Supplier selection'!H205)</f>
        <v/>
      </c>
      <c r="I205" s="19" t="str">
        <f>IF('Supplier selection'!I205="","",'Supplier selection'!I205)</f>
        <v/>
      </c>
      <c r="J205" s="19" t="str">
        <f>IF('Supplier selection'!J205="","",'Supplier selection'!J205)</f>
        <v/>
      </c>
      <c r="K205" s="19" t="str">
        <f>IF('Supplier selection'!K205="","",'Supplier selection'!K205)</f>
        <v/>
      </c>
      <c r="L205" s="19" t="str">
        <f>IF('Supplier selection'!L205="","",'Supplier selection'!L205)</f>
        <v/>
      </c>
      <c r="M205" s="19" t="str">
        <f>IF('Supplier selection'!M205="","",'Supplier selection'!M205)</f>
        <v/>
      </c>
      <c r="N205" s="19" t="str">
        <f>IF('Supplier selection'!N205="","",'Supplier selection'!N205)</f>
        <v/>
      </c>
      <c r="O205" s="19" t="str">
        <f>IF('Supplier selection'!O205="","",'Supplier selection'!O205)</f>
        <v/>
      </c>
      <c r="Q205" s="19" t="str">
        <f>HLOOKUP($Q$3,'Supplier selection'!$AW$4:'Supplier selection'!$CT$1000,$A206,FALSE)</f>
        <v/>
      </c>
      <c r="R205" s="22" t="str">
        <f t="shared" si="33"/>
        <v/>
      </c>
      <c r="S205" s="19" t="str">
        <f t="shared" si="34"/>
        <v/>
      </c>
      <c r="T205" s="22" t="str">
        <f t="shared" si="35"/>
        <v/>
      </c>
      <c r="U205" s="19" t="str">
        <f t="shared" si="36"/>
        <v/>
      </c>
      <c r="V205" s="7"/>
      <c r="Y205" s="19" t="str">
        <f>IF('Supplier selection'!AQ205="","",'Supplier selection'!AQ205)</f>
        <v/>
      </c>
      <c r="Z205" s="19" t="str">
        <f>IF('Supplier selection'!AR205="","",'Supplier selection'!AR205)</f>
        <v/>
      </c>
      <c r="AA205" s="19" t="str">
        <f t="shared" si="37"/>
        <v/>
      </c>
      <c r="AD205" s="26" t="str">
        <f>IF(AND('Supplier selection'!X205="",'Supplier selection'!AE205=""),"",IF('Supplier selection'!X205="",'Supplier selection'!AE205,'Supplier selection'!X205))</f>
        <v/>
      </c>
      <c r="AE205" s="19" t="str">
        <f t="shared" si="38"/>
        <v/>
      </c>
      <c r="AF205" s="19" t="str">
        <f t="shared" si="39"/>
        <v/>
      </c>
      <c r="AG205" s="27" t="str">
        <f>IF(AND('Supplier selection'!AB205="",'Supplier selection'!AI205=""),"",IF('Supplier selection'!AB205="",'Supplier selection'!AI205,'Supplier selection'!AB205))</f>
        <v/>
      </c>
      <c r="AH205" s="28" t="str">
        <f t="shared" si="40"/>
        <v/>
      </c>
      <c r="AI205" s="7" t="str">
        <f t="shared" si="41"/>
        <v/>
      </c>
      <c r="AJ205" s="22" t="str">
        <f t="shared" si="42"/>
        <v/>
      </c>
      <c r="AK205" s="29" t="str">
        <f t="shared" si="43"/>
        <v/>
      </c>
      <c r="AL205" s="10"/>
    </row>
    <row r="206" spans="1:38">
      <c r="A206" s="19">
        <f>IF('Supplier selection'!A206="","",'Supplier selection'!A206)</f>
        <v>202</v>
      </c>
      <c r="B206" s="19" t="str">
        <f>IF('Supplier selection'!B206="","",'Supplier selection'!B206)</f>
        <v/>
      </c>
      <c r="C206" s="19" t="str">
        <f>IF('Supplier selection'!C206="","",'Supplier selection'!C206)</f>
        <v/>
      </c>
      <c r="D206" s="19" t="str">
        <f>IF('Supplier selection'!D206="","",'Supplier selection'!D206)</f>
        <v/>
      </c>
      <c r="E206" s="19" t="str">
        <f>IF('Supplier selection'!E206="","",'Supplier selection'!E206)</f>
        <v/>
      </c>
      <c r="F206" s="19" t="str">
        <f>IF('Supplier selection'!F206="","",'Supplier selection'!F206)</f>
        <v/>
      </c>
      <c r="G206" s="19" t="str">
        <f>IF('Supplier selection'!G206="","",'Supplier selection'!G206)</f>
        <v/>
      </c>
      <c r="H206" s="19" t="str">
        <f>IF('Supplier selection'!H206="","",'Supplier selection'!H206)</f>
        <v/>
      </c>
      <c r="I206" s="19" t="str">
        <f>IF('Supplier selection'!I206="","",'Supplier selection'!I206)</f>
        <v/>
      </c>
      <c r="J206" s="19" t="str">
        <f>IF('Supplier selection'!J206="","",'Supplier selection'!J206)</f>
        <v/>
      </c>
      <c r="K206" s="19" t="str">
        <f>IF('Supplier selection'!K206="","",'Supplier selection'!K206)</f>
        <v/>
      </c>
      <c r="L206" s="19" t="str">
        <f>IF('Supplier selection'!L206="","",'Supplier selection'!L206)</f>
        <v/>
      </c>
      <c r="M206" s="19" t="str">
        <f>IF('Supplier selection'!M206="","",'Supplier selection'!M206)</f>
        <v/>
      </c>
      <c r="N206" s="19" t="str">
        <f>IF('Supplier selection'!N206="","",'Supplier selection'!N206)</f>
        <v/>
      </c>
      <c r="O206" s="19" t="str">
        <f>IF('Supplier selection'!O206="","",'Supplier selection'!O206)</f>
        <v/>
      </c>
      <c r="Q206" s="19" t="str">
        <f>HLOOKUP($Q$3,'Supplier selection'!$AW$4:'Supplier selection'!$CT$1000,$A207,FALSE)</f>
        <v/>
      </c>
      <c r="R206" s="22" t="str">
        <f t="shared" si="33"/>
        <v/>
      </c>
      <c r="S206" s="19" t="str">
        <f t="shared" si="34"/>
        <v/>
      </c>
      <c r="T206" s="22" t="str">
        <f t="shared" si="35"/>
        <v/>
      </c>
      <c r="U206" s="19" t="str">
        <f t="shared" si="36"/>
        <v/>
      </c>
      <c r="V206" s="7"/>
      <c r="Y206" s="19" t="str">
        <f>IF('Supplier selection'!AQ206="","",'Supplier selection'!AQ206)</f>
        <v/>
      </c>
      <c r="Z206" s="19" t="str">
        <f>IF('Supplier selection'!AR206="","",'Supplier selection'!AR206)</f>
        <v/>
      </c>
      <c r="AA206" s="19" t="str">
        <f t="shared" si="37"/>
        <v/>
      </c>
      <c r="AD206" s="26" t="str">
        <f>IF(AND('Supplier selection'!X206="",'Supplier selection'!AE206=""),"",IF('Supplier selection'!X206="",'Supplier selection'!AE206,'Supplier selection'!X206))</f>
        <v/>
      </c>
      <c r="AE206" s="19" t="str">
        <f t="shared" si="38"/>
        <v/>
      </c>
      <c r="AF206" s="19" t="str">
        <f t="shared" si="39"/>
        <v/>
      </c>
      <c r="AG206" s="27" t="str">
        <f>IF(AND('Supplier selection'!AB206="",'Supplier selection'!AI206=""),"",IF('Supplier selection'!AB206="",'Supplier selection'!AI206,'Supplier selection'!AB206))</f>
        <v/>
      </c>
      <c r="AH206" s="28" t="str">
        <f t="shared" si="40"/>
        <v/>
      </c>
      <c r="AI206" s="7" t="str">
        <f t="shared" si="41"/>
        <v/>
      </c>
      <c r="AJ206" s="22" t="str">
        <f t="shared" si="42"/>
        <v/>
      </c>
      <c r="AK206" s="29" t="str">
        <f t="shared" si="43"/>
        <v/>
      </c>
      <c r="AL206" s="10"/>
    </row>
    <row r="207" spans="1:38">
      <c r="A207" s="19">
        <f>IF('Supplier selection'!A207="","",'Supplier selection'!A207)</f>
        <v>203</v>
      </c>
      <c r="B207" s="19" t="str">
        <f>IF('Supplier selection'!B207="","",'Supplier selection'!B207)</f>
        <v/>
      </c>
      <c r="C207" s="19" t="str">
        <f>IF('Supplier selection'!C207="","",'Supplier selection'!C207)</f>
        <v/>
      </c>
      <c r="D207" s="19" t="str">
        <f>IF('Supplier selection'!D207="","",'Supplier selection'!D207)</f>
        <v/>
      </c>
      <c r="E207" s="19" t="str">
        <f>IF('Supplier selection'!E207="","",'Supplier selection'!E207)</f>
        <v/>
      </c>
      <c r="F207" s="19" t="str">
        <f>IF('Supplier selection'!F207="","",'Supplier selection'!F207)</f>
        <v/>
      </c>
      <c r="G207" s="19" t="str">
        <f>IF('Supplier selection'!G207="","",'Supplier selection'!G207)</f>
        <v/>
      </c>
      <c r="H207" s="19" t="str">
        <f>IF('Supplier selection'!H207="","",'Supplier selection'!H207)</f>
        <v/>
      </c>
      <c r="I207" s="19" t="str">
        <f>IF('Supplier selection'!I207="","",'Supplier selection'!I207)</f>
        <v/>
      </c>
      <c r="J207" s="19" t="str">
        <f>IF('Supplier selection'!J207="","",'Supplier selection'!J207)</f>
        <v/>
      </c>
      <c r="K207" s="19" t="str">
        <f>IF('Supplier selection'!K207="","",'Supplier selection'!K207)</f>
        <v/>
      </c>
      <c r="L207" s="19" t="str">
        <f>IF('Supplier selection'!L207="","",'Supplier selection'!L207)</f>
        <v/>
      </c>
      <c r="M207" s="19" t="str">
        <f>IF('Supplier selection'!M207="","",'Supplier selection'!M207)</f>
        <v/>
      </c>
      <c r="N207" s="19" t="str">
        <f>IF('Supplier selection'!N207="","",'Supplier selection'!N207)</f>
        <v/>
      </c>
      <c r="O207" s="19" t="str">
        <f>IF('Supplier selection'!O207="","",'Supplier selection'!O207)</f>
        <v/>
      </c>
      <c r="Q207" s="19" t="str">
        <f>HLOOKUP($Q$3,'Supplier selection'!$AW$4:'Supplier selection'!$CT$1000,$A208,FALSE)</f>
        <v/>
      </c>
      <c r="R207" s="22" t="str">
        <f t="shared" si="33"/>
        <v/>
      </c>
      <c r="S207" s="19" t="str">
        <f t="shared" si="34"/>
        <v/>
      </c>
      <c r="T207" s="22" t="str">
        <f t="shared" si="35"/>
        <v/>
      </c>
      <c r="U207" s="19" t="str">
        <f t="shared" si="36"/>
        <v/>
      </c>
      <c r="V207" s="7"/>
      <c r="Y207" s="19" t="str">
        <f>IF('Supplier selection'!AQ207="","",'Supplier selection'!AQ207)</f>
        <v/>
      </c>
      <c r="Z207" s="19" t="str">
        <f>IF('Supplier selection'!AR207="","",'Supplier selection'!AR207)</f>
        <v/>
      </c>
      <c r="AA207" s="19" t="str">
        <f t="shared" si="37"/>
        <v/>
      </c>
      <c r="AD207" s="26" t="str">
        <f>IF(AND('Supplier selection'!X207="",'Supplier selection'!AE207=""),"",IF('Supplier selection'!X207="",'Supplier selection'!AE207,'Supplier selection'!X207))</f>
        <v/>
      </c>
      <c r="AE207" s="19" t="str">
        <f t="shared" si="38"/>
        <v/>
      </c>
      <c r="AF207" s="19" t="str">
        <f t="shared" si="39"/>
        <v/>
      </c>
      <c r="AG207" s="27" t="str">
        <f>IF(AND('Supplier selection'!AB207="",'Supplier selection'!AI207=""),"",IF('Supplier selection'!AB207="",'Supplier selection'!AI207,'Supplier selection'!AB207))</f>
        <v/>
      </c>
      <c r="AH207" s="28" t="str">
        <f t="shared" si="40"/>
        <v/>
      </c>
      <c r="AI207" s="7" t="str">
        <f t="shared" si="41"/>
        <v/>
      </c>
      <c r="AJ207" s="22" t="str">
        <f t="shared" si="42"/>
        <v/>
      </c>
      <c r="AK207" s="29" t="str">
        <f t="shared" si="43"/>
        <v/>
      </c>
      <c r="AL207" s="10"/>
    </row>
    <row r="208" spans="1:38">
      <c r="A208" s="19">
        <f>IF('Supplier selection'!A208="","",'Supplier selection'!A208)</f>
        <v>204</v>
      </c>
      <c r="B208" s="19" t="str">
        <f>IF('Supplier selection'!B208="","",'Supplier selection'!B208)</f>
        <v/>
      </c>
      <c r="C208" s="19" t="str">
        <f>IF('Supplier selection'!C208="","",'Supplier selection'!C208)</f>
        <v/>
      </c>
      <c r="D208" s="19" t="str">
        <f>IF('Supplier selection'!D208="","",'Supplier selection'!D208)</f>
        <v/>
      </c>
      <c r="E208" s="19" t="str">
        <f>IF('Supplier selection'!E208="","",'Supplier selection'!E208)</f>
        <v/>
      </c>
      <c r="F208" s="19" t="str">
        <f>IF('Supplier selection'!F208="","",'Supplier selection'!F208)</f>
        <v/>
      </c>
      <c r="G208" s="19" t="str">
        <f>IF('Supplier selection'!G208="","",'Supplier selection'!G208)</f>
        <v/>
      </c>
      <c r="H208" s="19" t="str">
        <f>IF('Supplier selection'!H208="","",'Supplier selection'!H208)</f>
        <v/>
      </c>
      <c r="I208" s="19" t="str">
        <f>IF('Supplier selection'!I208="","",'Supplier selection'!I208)</f>
        <v/>
      </c>
      <c r="J208" s="19" t="str">
        <f>IF('Supplier selection'!J208="","",'Supplier selection'!J208)</f>
        <v/>
      </c>
      <c r="K208" s="19" t="str">
        <f>IF('Supplier selection'!K208="","",'Supplier selection'!K208)</f>
        <v/>
      </c>
      <c r="L208" s="19" t="str">
        <f>IF('Supplier selection'!L208="","",'Supplier selection'!L208)</f>
        <v/>
      </c>
      <c r="M208" s="19" t="str">
        <f>IF('Supplier selection'!M208="","",'Supplier selection'!M208)</f>
        <v/>
      </c>
      <c r="N208" s="19" t="str">
        <f>IF('Supplier selection'!N208="","",'Supplier selection'!N208)</f>
        <v/>
      </c>
      <c r="O208" s="19" t="str">
        <f>IF('Supplier selection'!O208="","",'Supplier selection'!O208)</f>
        <v/>
      </c>
      <c r="Q208" s="19" t="str">
        <f>HLOOKUP($Q$3,'Supplier selection'!$AW$4:'Supplier selection'!$CT$1000,$A209,FALSE)</f>
        <v/>
      </c>
      <c r="R208" s="22" t="str">
        <f t="shared" si="33"/>
        <v/>
      </c>
      <c r="S208" s="19" t="str">
        <f t="shared" si="34"/>
        <v/>
      </c>
      <c r="T208" s="22" t="str">
        <f t="shared" si="35"/>
        <v/>
      </c>
      <c r="U208" s="19" t="str">
        <f t="shared" si="36"/>
        <v/>
      </c>
      <c r="V208" s="7"/>
      <c r="Y208" s="19" t="str">
        <f>IF('Supplier selection'!AQ208="","",'Supplier selection'!AQ208)</f>
        <v/>
      </c>
      <c r="Z208" s="19" t="str">
        <f>IF('Supplier selection'!AR208="","",'Supplier selection'!AR208)</f>
        <v/>
      </c>
      <c r="AA208" s="19" t="str">
        <f t="shared" si="37"/>
        <v/>
      </c>
      <c r="AD208" s="26" t="str">
        <f>IF(AND('Supplier selection'!X208="",'Supplier selection'!AE208=""),"",IF('Supplier selection'!X208="",'Supplier selection'!AE208,'Supplier selection'!X208))</f>
        <v/>
      </c>
      <c r="AE208" s="19" t="str">
        <f t="shared" si="38"/>
        <v/>
      </c>
      <c r="AF208" s="19" t="str">
        <f t="shared" si="39"/>
        <v/>
      </c>
      <c r="AG208" s="27" t="str">
        <f>IF(AND('Supplier selection'!AB208="",'Supplier selection'!AI208=""),"",IF('Supplier selection'!AB208="",'Supplier selection'!AI208,'Supplier selection'!AB208))</f>
        <v/>
      </c>
      <c r="AH208" s="28" t="str">
        <f t="shared" si="40"/>
        <v/>
      </c>
      <c r="AI208" s="7" t="str">
        <f t="shared" si="41"/>
        <v/>
      </c>
      <c r="AJ208" s="22" t="str">
        <f t="shared" si="42"/>
        <v/>
      </c>
      <c r="AK208" s="29" t="str">
        <f t="shared" si="43"/>
        <v/>
      </c>
      <c r="AL208" s="10"/>
    </row>
    <row r="209" spans="1:38">
      <c r="A209" s="19">
        <f>IF('Supplier selection'!A209="","",'Supplier selection'!A209)</f>
        <v>205</v>
      </c>
      <c r="B209" s="19" t="str">
        <f>IF('Supplier selection'!B209="","",'Supplier selection'!B209)</f>
        <v/>
      </c>
      <c r="C209" s="19" t="str">
        <f>IF('Supplier selection'!C209="","",'Supplier selection'!C209)</f>
        <v/>
      </c>
      <c r="D209" s="19" t="str">
        <f>IF('Supplier selection'!D209="","",'Supplier selection'!D209)</f>
        <v/>
      </c>
      <c r="E209" s="19" t="str">
        <f>IF('Supplier selection'!E209="","",'Supplier selection'!E209)</f>
        <v/>
      </c>
      <c r="F209" s="19" t="str">
        <f>IF('Supplier selection'!F209="","",'Supplier selection'!F209)</f>
        <v/>
      </c>
      <c r="G209" s="19" t="str">
        <f>IF('Supplier selection'!G209="","",'Supplier selection'!G209)</f>
        <v/>
      </c>
      <c r="H209" s="19" t="str">
        <f>IF('Supplier selection'!H209="","",'Supplier selection'!H209)</f>
        <v/>
      </c>
      <c r="I209" s="19" t="str">
        <f>IF('Supplier selection'!I209="","",'Supplier selection'!I209)</f>
        <v/>
      </c>
      <c r="J209" s="19" t="str">
        <f>IF('Supplier selection'!J209="","",'Supplier selection'!J209)</f>
        <v/>
      </c>
      <c r="K209" s="19" t="str">
        <f>IF('Supplier selection'!K209="","",'Supplier selection'!K209)</f>
        <v/>
      </c>
      <c r="L209" s="19" t="str">
        <f>IF('Supplier selection'!L209="","",'Supplier selection'!L209)</f>
        <v/>
      </c>
      <c r="M209" s="19" t="str">
        <f>IF('Supplier selection'!M209="","",'Supplier selection'!M209)</f>
        <v/>
      </c>
      <c r="N209" s="19" t="str">
        <f>IF('Supplier selection'!N209="","",'Supplier selection'!N209)</f>
        <v/>
      </c>
      <c r="O209" s="19" t="str">
        <f>IF('Supplier selection'!O209="","",'Supplier selection'!O209)</f>
        <v/>
      </c>
      <c r="Q209" s="19" t="str">
        <f>HLOOKUP($Q$3,'Supplier selection'!$AW$4:'Supplier selection'!$CT$1000,$A210,FALSE)</f>
        <v/>
      </c>
      <c r="R209" s="22" t="str">
        <f t="shared" si="33"/>
        <v/>
      </c>
      <c r="S209" s="19" t="str">
        <f t="shared" si="34"/>
        <v/>
      </c>
      <c r="T209" s="22" t="str">
        <f t="shared" si="35"/>
        <v/>
      </c>
      <c r="U209" s="19" t="str">
        <f t="shared" si="36"/>
        <v/>
      </c>
      <c r="V209" s="7"/>
      <c r="Y209" s="19" t="str">
        <f>IF('Supplier selection'!AQ209="","",'Supplier selection'!AQ209)</f>
        <v/>
      </c>
      <c r="Z209" s="19" t="str">
        <f>IF('Supplier selection'!AR209="","",'Supplier selection'!AR209)</f>
        <v/>
      </c>
      <c r="AA209" s="19" t="str">
        <f t="shared" si="37"/>
        <v/>
      </c>
      <c r="AD209" s="26" t="str">
        <f>IF(AND('Supplier selection'!X209="",'Supplier selection'!AE209=""),"",IF('Supplier selection'!X209="",'Supplier selection'!AE209,'Supplier selection'!X209))</f>
        <v/>
      </c>
      <c r="AE209" s="19" t="str">
        <f t="shared" si="38"/>
        <v/>
      </c>
      <c r="AF209" s="19" t="str">
        <f t="shared" si="39"/>
        <v/>
      </c>
      <c r="AG209" s="27" t="str">
        <f>IF(AND('Supplier selection'!AB209="",'Supplier selection'!AI209=""),"",IF('Supplier selection'!AB209="",'Supplier selection'!AI209,'Supplier selection'!AB209))</f>
        <v/>
      </c>
      <c r="AH209" s="28" t="str">
        <f t="shared" si="40"/>
        <v/>
      </c>
      <c r="AI209" s="7" t="str">
        <f t="shared" si="41"/>
        <v/>
      </c>
      <c r="AJ209" s="22" t="str">
        <f t="shared" si="42"/>
        <v/>
      </c>
      <c r="AK209" s="29" t="str">
        <f t="shared" si="43"/>
        <v/>
      </c>
      <c r="AL209" s="10"/>
    </row>
    <row r="210" spans="1:38">
      <c r="A210" s="19">
        <f>IF('Supplier selection'!A210="","",'Supplier selection'!A210)</f>
        <v>206</v>
      </c>
      <c r="B210" s="19" t="str">
        <f>IF('Supplier selection'!B210="","",'Supplier selection'!B210)</f>
        <v/>
      </c>
      <c r="C210" s="19" t="str">
        <f>IF('Supplier selection'!C210="","",'Supplier selection'!C210)</f>
        <v/>
      </c>
      <c r="D210" s="19" t="str">
        <f>IF('Supplier selection'!D210="","",'Supplier selection'!D210)</f>
        <v/>
      </c>
      <c r="E210" s="19" t="str">
        <f>IF('Supplier selection'!E210="","",'Supplier selection'!E210)</f>
        <v/>
      </c>
      <c r="F210" s="19" t="str">
        <f>IF('Supplier selection'!F210="","",'Supplier selection'!F210)</f>
        <v/>
      </c>
      <c r="G210" s="19" t="str">
        <f>IF('Supplier selection'!G210="","",'Supplier selection'!G210)</f>
        <v/>
      </c>
      <c r="H210" s="19" t="str">
        <f>IF('Supplier selection'!H210="","",'Supplier selection'!H210)</f>
        <v/>
      </c>
      <c r="I210" s="19" t="str">
        <f>IF('Supplier selection'!I210="","",'Supplier selection'!I210)</f>
        <v/>
      </c>
      <c r="J210" s="19" t="str">
        <f>IF('Supplier selection'!J210="","",'Supplier selection'!J210)</f>
        <v/>
      </c>
      <c r="K210" s="19" t="str">
        <f>IF('Supplier selection'!K210="","",'Supplier selection'!K210)</f>
        <v/>
      </c>
      <c r="L210" s="19" t="str">
        <f>IF('Supplier selection'!L210="","",'Supplier selection'!L210)</f>
        <v/>
      </c>
      <c r="M210" s="19" t="str">
        <f>IF('Supplier selection'!M210="","",'Supplier selection'!M210)</f>
        <v/>
      </c>
      <c r="N210" s="19" t="str">
        <f>IF('Supplier selection'!N210="","",'Supplier selection'!N210)</f>
        <v/>
      </c>
      <c r="O210" s="19" t="str">
        <f>IF('Supplier selection'!O210="","",'Supplier selection'!O210)</f>
        <v/>
      </c>
      <c r="Q210" s="19" t="str">
        <f>HLOOKUP($Q$3,'Supplier selection'!$AW$4:'Supplier selection'!$CT$1000,$A211,FALSE)</f>
        <v/>
      </c>
      <c r="R210" s="22" t="str">
        <f t="shared" si="33"/>
        <v/>
      </c>
      <c r="S210" s="19" t="str">
        <f t="shared" si="34"/>
        <v/>
      </c>
      <c r="T210" s="22" t="str">
        <f t="shared" si="35"/>
        <v/>
      </c>
      <c r="U210" s="19" t="str">
        <f t="shared" si="36"/>
        <v/>
      </c>
      <c r="V210" s="7"/>
      <c r="Y210" s="19" t="str">
        <f>IF('Supplier selection'!AQ210="","",'Supplier selection'!AQ210)</f>
        <v/>
      </c>
      <c r="Z210" s="19" t="str">
        <f>IF('Supplier selection'!AR210="","",'Supplier selection'!AR210)</f>
        <v/>
      </c>
      <c r="AA210" s="19" t="str">
        <f t="shared" si="37"/>
        <v/>
      </c>
      <c r="AD210" s="26" t="str">
        <f>IF(AND('Supplier selection'!X210="",'Supplier selection'!AE210=""),"",IF('Supplier selection'!X210="",'Supplier selection'!AE210,'Supplier selection'!X210))</f>
        <v/>
      </c>
      <c r="AE210" s="19" t="str">
        <f t="shared" si="38"/>
        <v/>
      </c>
      <c r="AF210" s="19" t="str">
        <f t="shared" si="39"/>
        <v/>
      </c>
      <c r="AG210" s="27" t="str">
        <f>IF(AND('Supplier selection'!AB210="",'Supplier selection'!AI210=""),"",IF('Supplier selection'!AB210="",'Supplier selection'!AI210,'Supplier selection'!AB210))</f>
        <v/>
      </c>
      <c r="AH210" s="28" t="str">
        <f t="shared" si="40"/>
        <v/>
      </c>
      <c r="AI210" s="7" t="str">
        <f t="shared" si="41"/>
        <v/>
      </c>
      <c r="AJ210" s="22" t="str">
        <f t="shared" si="42"/>
        <v/>
      </c>
      <c r="AK210" s="29" t="str">
        <f t="shared" si="43"/>
        <v/>
      </c>
      <c r="AL210" s="10"/>
    </row>
    <row r="211" spans="1:38">
      <c r="A211" s="19">
        <f>IF('Supplier selection'!A211="","",'Supplier selection'!A211)</f>
        <v>207</v>
      </c>
      <c r="B211" s="19" t="str">
        <f>IF('Supplier selection'!B211="","",'Supplier selection'!B211)</f>
        <v/>
      </c>
      <c r="C211" s="19" t="str">
        <f>IF('Supplier selection'!C211="","",'Supplier selection'!C211)</f>
        <v/>
      </c>
      <c r="D211" s="19" t="str">
        <f>IF('Supplier selection'!D211="","",'Supplier selection'!D211)</f>
        <v/>
      </c>
      <c r="E211" s="19" t="str">
        <f>IF('Supplier selection'!E211="","",'Supplier selection'!E211)</f>
        <v/>
      </c>
      <c r="F211" s="19" t="str">
        <f>IF('Supplier selection'!F211="","",'Supplier selection'!F211)</f>
        <v/>
      </c>
      <c r="G211" s="19" t="str">
        <f>IF('Supplier selection'!G211="","",'Supplier selection'!G211)</f>
        <v/>
      </c>
      <c r="H211" s="19" t="str">
        <f>IF('Supplier selection'!H211="","",'Supplier selection'!H211)</f>
        <v/>
      </c>
      <c r="I211" s="19" t="str">
        <f>IF('Supplier selection'!I211="","",'Supplier selection'!I211)</f>
        <v/>
      </c>
      <c r="J211" s="19" t="str">
        <f>IF('Supplier selection'!J211="","",'Supplier selection'!J211)</f>
        <v/>
      </c>
      <c r="K211" s="19" t="str">
        <f>IF('Supplier selection'!K211="","",'Supplier selection'!K211)</f>
        <v/>
      </c>
      <c r="L211" s="19" t="str">
        <f>IF('Supplier selection'!L211="","",'Supplier selection'!L211)</f>
        <v/>
      </c>
      <c r="M211" s="19" t="str">
        <f>IF('Supplier selection'!M211="","",'Supplier selection'!M211)</f>
        <v/>
      </c>
      <c r="N211" s="19" t="str">
        <f>IF('Supplier selection'!N211="","",'Supplier selection'!N211)</f>
        <v/>
      </c>
      <c r="O211" s="19" t="str">
        <f>IF('Supplier selection'!O211="","",'Supplier selection'!O211)</f>
        <v/>
      </c>
      <c r="Q211" s="19" t="str">
        <f>HLOOKUP($Q$3,'Supplier selection'!$AW$4:'Supplier selection'!$CT$1000,$A212,FALSE)</f>
        <v/>
      </c>
      <c r="R211" s="22" t="str">
        <f t="shared" si="33"/>
        <v/>
      </c>
      <c r="S211" s="19" t="str">
        <f t="shared" si="34"/>
        <v/>
      </c>
      <c r="T211" s="22" t="str">
        <f t="shared" si="35"/>
        <v/>
      </c>
      <c r="U211" s="19" t="str">
        <f t="shared" si="36"/>
        <v/>
      </c>
      <c r="V211" s="7"/>
      <c r="Y211" s="19" t="str">
        <f>IF('Supplier selection'!AQ211="","",'Supplier selection'!AQ211)</f>
        <v/>
      </c>
      <c r="Z211" s="19" t="str">
        <f>IF('Supplier selection'!AR211="","",'Supplier selection'!AR211)</f>
        <v/>
      </c>
      <c r="AA211" s="19" t="str">
        <f t="shared" si="37"/>
        <v/>
      </c>
      <c r="AD211" s="26" t="str">
        <f>IF(AND('Supplier selection'!X211="",'Supplier selection'!AE211=""),"",IF('Supplier selection'!X211="",'Supplier selection'!AE211,'Supplier selection'!X211))</f>
        <v/>
      </c>
      <c r="AE211" s="19" t="str">
        <f t="shared" si="38"/>
        <v/>
      </c>
      <c r="AF211" s="19" t="str">
        <f t="shared" si="39"/>
        <v/>
      </c>
      <c r="AG211" s="27" t="str">
        <f>IF(AND('Supplier selection'!AB211="",'Supplier selection'!AI211=""),"",IF('Supplier selection'!AB211="",'Supplier selection'!AI211,'Supplier selection'!AB211))</f>
        <v/>
      </c>
      <c r="AH211" s="28" t="str">
        <f t="shared" si="40"/>
        <v/>
      </c>
      <c r="AI211" s="7" t="str">
        <f t="shared" si="41"/>
        <v/>
      </c>
      <c r="AJ211" s="22" t="str">
        <f t="shared" si="42"/>
        <v/>
      </c>
      <c r="AK211" s="29" t="str">
        <f t="shared" si="43"/>
        <v/>
      </c>
      <c r="AL211" s="10"/>
    </row>
    <row r="212" spans="1:38">
      <c r="A212" s="19">
        <f>IF('Supplier selection'!A212="","",'Supplier selection'!A212)</f>
        <v>208</v>
      </c>
      <c r="B212" s="19" t="str">
        <f>IF('Supplier selection'!B212="","",'Supplier selection'!B212)</f>
        <v/>
      </c>
      <c r="C212" s="19" t="str">
        <f>IF('Supplier selection'!C212="","",'Supplier selection'!C212)</f>
        <v/>
      </c>
      <c r="D212" s="19" t="str">
        <f>IF('Supplier selection'!D212="","",'Supplier selection'!D212)</f>
        <v/>
      </c>
      <c r="E212" s="19" t="str">
        <f>IF('Supplier selection'!E212="","",'Supplier selection'!E212)</f>
        <v/>
      </c>
      <c r="F212" s="19" t="str">
        <f>IF('Supplier selection'!F212="","",'Supplier selection'!F212)</f>
        <v/>
      </c>
      <c r="G212" s="19" t="str">
        <f>IF('Supplier selection'!G212="","",'Supplier selection'!G212)</f>
        <v/>
      </c>
      <c r="H212" s="19" t="str">
        <f>IF('Supplier selection'!H212="","",'Supplier selection'!H212)</f>
        <v/>
      </c>
      <c r="I212" s="19" t="str">
        <f>IF('Supplier selection'!I212="","",'Supplier selection'!I212)</f>
        <v/>
      </c>
      <c r="J212" s="19" t="str">
        <f>IF('Supplier selection'!J212="","",'Supplier selection'!J212)</f>
        <v/>
      </c>
      <c r="K212" s="19" t="str">
        <f>IF('Supplier selection'!K212="","",'Supplier selection'!K212)</f>
        <v/>
      </c>
      <c r="L212" s="19" t="str">
        <f>IF('Supplier selection'!L212="","",'Supplier selection'!L212)</f>
        <v/>
      </c>
      <c r="M212" s="19" t="str">
        <f>IF('Supplier selection'!M212="","",'Supplier selection'!M212)</f>
        <v/>
      </c>
      <c r="N212" s="19" t="str">
        <f>IF('Supplier selection'!N212="","",'Supplier selection'!N212)</f>
        <v/>
      </c>
      <c r="O212" s="19" t="str">
        <f>IF('Supplier selection'!O212="","",'Supplier selection'!O212)</f>
        <v/>
      </c>
      <c r="Q212" s="19" t="str">
        <f>HLOOKUP($Q$3,'Supplier selection'!$AW$4:'Supplier selection'!$CT$1000,$A213,FALSE)</f>
        <v/>
      </c>
      <c r="R212" s="22" t="str">
        <f t="shared" si="33"/>
        <v/>
      </c>
      <c r="S212" s="19" t="str">
        <f t="shared" si="34"/>
        <v/>
      </c>
      <c r="T212" s="22" t="str">
        <f t="shared" si="35"/>
        <v/>
      </c>
      <c r="U212" s="19" t="str">
        <f t="shared" si="36"/>
        <v/>
      </c>
      <c r="V212" s="7"/>
      <c r="Y212" s="19" t="str">
        <f>IF('Supplier selection'!AQ212="","",'Supplier selection'!AQ212)</f>
        <v/>
      </c>
      <c r="Z212" s="19" t="str">
        <f>IF('Supplier selection'!AR212="","",'Supplier selection'!AR212)</f>
        <v/>
      </c>
      <c r="AA212" s="19" t="str">
        <f t="shared" si="37"/>
        <v/>
      </c>
      <c r="AD212" s="26" t="str">
        <f>IF(AND('Supplier selection'!X212="",'Supplier selection'!AE212=""),"",IF('Supplier selection'!X212="",'Supplier selection'!AE212,'Supplier selection'!X212))</f>
        <v/>
      </c>
      <c r="AE212" s="19" t="str">
        <f t="shared" si="38"/>
        <v/>
      </c>
      <c r="AF212" s="19" t="str">
        <f t="shared" si="39"/>
        <v/>
      </c>
      <c r="AG212" s="27" t="str">
        <f>IF(AND('Supplier selection'!AB212="",'Supplier selection'!AI212=""),"",IF('Supplier selection'!AB212="",'Supplier selection'!AI212,'Supplier selection'!AB212))</f>
        <v/>
      </c>
      <c r="AH212" s="28" t="str">
        <f t="shared" si="40"/>
        <v/>
      </c>
      <c r="AI212" s="7" t="str">
        <f t="shared" si="41"/>
        <v/>
      </c>
      <c r="AJ212" s="22" t="str">
        <f t="shared" si="42"/>
        <v/>
      </c>
      <c r="AK212" s="29" t="str">
        <f t="shared" si="43"/>
        <v/>
      </c>
      <c r="AL212" s="10"/>
    </row>
    <row r="213" spans="1:38">
      <c r="A213" s="19">
        <f>IF('Supplier selection'!A213="","",'Supplier selection'!A213)</f>
        <v>209</v>
      </c>
      <c r="B213" s="19" t="str">
        <f>IF('Supplier selection'!B213="","",'Supplier selection'!B213)</f>
        <v/>
      </c>
      <c r="C213" s="19" t="str">
        <f>IF('Supplier selection'!C213="","",'Supplier selection'!C213)</f>
        <v/>
      </c>
      <c r="D213" s="19" t="str">
        <f>IF('Supplier selection'!D213="","",'Supplier selection'!D213)</f>
        <v/>
      </c>
      <c r="E213" s="19" t="str">
        <f>IF('Supplier selection'!E213="","",'Supplier selection'!E213)</f>
        <v/>
      </c>
      <c r="F213" s="19" t="str">
        <f>IF('Supplier selection'!F213="","",'Supplier selection'!F213)</f>
        <v/>
      </c>
      <c r="G213" s="19" t="str">
        <f>IF('Supplier selection'!G213="","",'Supplier selection'!G213)</f>
        <v/>
      </c>
      <c r="H213" s="19" t="str">
        <f>IF('Supplier selection'!H213="","",'Supplier selection'!H213)</f>
        <v/>
      </c>
      <c r="I213" s="19" t="str">
        <f>IF('Supplier selection'!I213="","",'Supplier selection'!I213)</f>
        <v/>
      </c>
      <c r="J213" s="19" t="str">
        <f>IF('Supplier selection'!J213="","",'Supplier selection'!J213)</f>
        <v/>
      </c>
      <c r="K213" s="19" t="str">
        <f>IF('Supplier selection'!K213="","",'Supplier selection'!K213)</f>
        <v/>
      </c>
      <c r="L213" s="19" t="str">
        <f>IF('Supplier selection'!L213="","",'Supplier selection'!L213)</f>
        <v/>
      </c>
      <c r="M213" s="19" t="str">
        <f>IF('Supplier selection'!M213="","",'Supplier selection'!M213)</f>
        <v/>
      </c>
      <c r="N213" s="19" t="str">
        <f>IF('Supplier selection'!N213="","",'Supplier selection'!N213)</f>
        <v/>
      </c>
      <c r="O213" s="19" t="str">
        <f>IF('Supplier selection'!O213="","",'Supplier selection'!O213)</f>
        <v/>
      </c>
      <c r="Q213" s="19" t="str">
        <f>HLOOKUP($Q$3,'Supplier selection'!$AW$4:'Supplier selection'!$CT$1000,$A214,FALSE)</f>
        <v/>
      </c>
      <c r="R213" s="22" t="str">
        <f t="shared" si="33"/>
        <v/>
      </c>
      <c r="S213" s="19" t="str">
        <f t="shared" si="34"/>
        <v/>
      </c>
      <c r="T213" s="22" t="str">
        <f t="shared" si="35"/>
        <v/>
      </c>
      <c r="U213" s="19" t="str">
        <f t="shared" si="36"/>
        <v/>
      </c>
      <c r="V213" s="7"/>
      <c r="Y213" s="19" t="str">
        <f>IF('Supplier selection'!AQ213="","",'Supplier selection'!AQ213)</f>
        <v/>
      </c>
      <c r="Z213" s="19" t="str">
        <f>IF('Supplier selection'!AR213="","",'Supplier selection'!AR213)</f>
        <v/>
      </c>
      <c r="AA213" s="19" t="str">
        <f t="shared" si="37"/>
        <v/>
      </c>
      <c r="AD213" s="26" t="str">
        <f>IF(AND('Supplier selection'!X213="",'Supplier selection'!AE213=""),"",IF('Supplier selection'!X213="",'Supplier selection'!AE213,'Supplier selection'!X213))</f>
        <v/>
      </c>
      <c r="AE213" s="19" t="str">
        <f t="shared" si="38"/>
        <v/>
      </c>
      <c r="AF213" s="19" t="str">
        <f t="shared" si="39"/>
        <v/>
      </c>
      <c r="AG213" s="27" t="str">
        <f>IF(AND('Supplier selection'!AB213="",'Supplier selection'!AI213=""),"",IF('Supplier selection'!AB213="",'Supplier selection'!AI213,'Supplier selection'!AB213))</f>
        <v/>
      </c>
      <c r="AH213" s="28" t="str">
        <f t="shared" si="40"/>
        <v/>
      </c>
      <c r="AI213" s="7" t="str">
        <f t="shared" si="41"/>
        <v/>
      </c>
      <c r="AJ213" s="22" t="str">
        <f t="shared" si="42"/>
        <v/>
      </c>
      <c r="AK213" s="29" t="str">
        <f t="shared" si="43"/>
        <v/>
      </c>
      <c r="AL213" s="10"/>
    </row>
    <row r="214" spans="1:38">
      <c r="A214" s="19">
        <f>IF('Supplier selection'!A214="","",'Supplier selection'!A214)</f>
        <v>210</v>
      </c>
      <c r="B214" s="19" t="str">
        <f>IF('Supplier selection'!B214="","",'Supplier selection'!B214)</f>
        <v/>
      </c>
      <c r="C214" s="19" t="str">
        <f>IF('Supplier selection'!C214="","",'Supplier selection'!C214)</f>
        <v/>
      </c>
      <c r="D214" s="19" t="str">
        <f>IF('Supplier selection'!D214="","",'Supplier selection'!D214)</f>
        <v/>
      </c>
      <c r="E214" s="19" t="str">
        <f>IF('Supplier selection'!E214="","",'Supplier selection'!E214)</f>
        <v/>
      </c>
      <c r="F214" s="19" t="str">
        <f>IF('Supplier selection'!F214="","",'Supplier selection'!F214)</f>
        <v/>
      </c>
      <c r="G214" s="19" t="str">
        <f>IF('Supplier selection'!G214="","",'Supplier selection'!G214)</f>
        <v/>
      </c>
      <c r="H214" s="19" t="str">
        <f>IF('Supplier selection'!H214="","",'Supplier selection'!H214)</f>
        <v/>
      </c>
      <c r="I214" s="19" t="str">
        <f>IF('Supplier selection'!I214="","",'Supplier selection'!I214)</f>
        <v/>
      </c>
      <c r="J214" s="19" t="str">
        <f>IF('Supplier selection'!J214="","",'Supplier selection'!J214)</f>
        <v/>
      </c>
      <c r="K214" s="19" t="str">
        <f>IF('Supplier selection'!K214="","",'Supplier selection'!K214)</f>
        <v/>
      </c>
      <c r="L214" s="19" t="str">
        <f>IF('Supplier selection'!L214="","",'Supplier selection'!L214)</f>
        <v/>
      </c>
      <c r="M214" s="19" t="str">
        <f>IF('Supplier selection'!M214="","",'Supplier selection'!M214)</f>
        <v/>
      </c>
      <c r="N214" s="19" t="str">
        <f>IF('Supplier selection'!N214="","",'Supplier selection'!N214)</f>
        <v/>
      </c>
      <c r="O214" s="19" t="str">
        <f>IF('Supplier selection'!O214="","",'Supplier selection'!O214)</f>
        <v/>
      </c>
      <c r="Q214" s="19" t="str">
        <f>HLOOKUP($Q$3,'Supplier selection'!$AW$4:'Supplier selection'!$CT$1000,$A215,FALSE)</f>
        <v/>
      </c>
      <c r="R214" s="22" t="str">
        <f t="shared" si="33"/>
        <v/>
      </c>
      <c r="S214" s="19" t="str">
        <f t="shared" si="34"/>
        <v/>
      </c>
      <c r="T214" s="22" t="str">
        <f t="shared" si="35"/>
        <v/>
      </c>
      <c r="U214" s="19" t="str">
        <f t="shared" si="36"/>
        <v/>
      </c>
      <c r="V214" s="7"/>
      <c r="Y214" s="19" t="str">
        <f>IF('Supplier selection'!AQ214="","",'Supplier selection'!AQ214)</f>
        <v/>
      </c>
      <c r="Z214" s="19" t="str">
        <f>IF('Supplier selection'!AR214="","",'Supplier selection'!AR214)</f>
        <v/>
      </c>
      <c r="AA214" s="19" t="str">
        <f t="shared" si="37"/>
        <v/>
      </c>
      <c r="AD214" s="26" t="str">
        <f>IF(AND('Supplier selection'!X214="",'Supplier selection'!AE214=""),"",IF('Supplier selection'!X214="",'Supplier selection'!AE214,'Supplier selection'!X214))</f>
        <v/>
      </c>
      <c r="AE214" s="19" t="str">
        <f t="shared" si="38"/>
        <v/>
      </c>
      <c r="AF214" s="19" t="str">
        <f t="shared" si="39"/>
        <v/>
      </c>
      <c r="AG214" s="27" t="str">
        <f>IF(AND('Supplier selection'!AB214="",'Supplier selection'!AI214=""),"",IF('Supplier selection'!AB214="",'Supplier selection'!AI214,'Supplier selection'!AB214))</f>
        <v/>
      </c>
      <c r="AH214" s="28" t="str">
        <f t="shared" si="40"/>
        <v/>
      </c>
      <c r="AI214" s="7" t="str">
        <f t="shared" si="41"/>
        <v/>
      </c>
      <c r="AJ214" s="22" t="str">
        <f t="shared" si="42"/>
        <v/>
      </c>
      <c r="AK214" s="29" t="str">
        <f t="shared" si="43"/>
        <v/>
      </c>
      <c r="AL214" s="10"/>
    </row>
    <row r="215" spans="1:38">
      <c r="A215" s="19">
        <f>IF('Supplier selection'!A215="","",'Supplier selection'!A215)</f>
        <v>211</v>
      </c>
      <c r="B215" s="19" t="str">
        <f>IF('Supplier selection'!B215="","",'Supplier selection'!B215)</f>
        <v/>
      </c>
      <c r="C215" s="19" t="str">
        <f>IF('Supplier selection'!C215="","",'Supplier selection'!C215)</f>
        <v/>
      </c>
      <c r="D215" s="19" t="str">
        <f>IF('Supplier selection'!D215="","",'Supplier selection'!D215)</f>
        <v/>
      </c>
      <c r="E215" s="19" t="str">
        <f>IF('Supplier selection'!E215="","",'Supplier selection'!E215)</f>
        <v/>
      </c>
      <c r="F215" s="19" t="str">
        <f>IF('Supplier selection'!F215="","",'Supplier selection'!F215)</f>
        <v/>
      </c>
      <c r="G215" s="19" t="str">
        <f>IF('Supplier selection'!G215="","",'Supplier selection'!G215)</f>
        <v/>
      </c>
      <c r="H215" s="19" t="str">
        <f>IF('Supplier selection'!H215="","",'Supplier selection'!H215)</f>
        <v/>
      </c>
      <c r="I215" s="19" t="str">
        <f>IF('Supplier selection'!I215="","",'Supplier selection'!I215)</f>
        <v/>
      </c>
      <c r="J215" s="19" t="str">
        <f>IF('Supplier selection'!J215="","",'Supplier selection'!J215)</f>
        <v/>
      </c>
      <c r="K215" s="19" t="str">
        <f>IF('Supplier selection'!K215="","",'Supplier selection'!K215)</f>
        <v/>
      </c>
      <c r="L215" s="19" t="str">
        <f>IF('Supplier selection'!L215="","",'Supplier selection'!L215)</f>
        <v/>
      </c>
      <c r="M215" s="19" t="str">
        <f>IF('Supplier selection'!M215="","",'Supplier selection'!M215)</f>
        <v/>
      </c>
      <c r="N215" s="19" t="str">
        <f>IF('Supplier selection'!N215="","",'Supplier selection'!N215)</f>
        <v/>
      </c>
      <c r="O215" s="19" t="str">
        <f>IF('Supplier selection'!O215="","",'Supplier selection'!O215)</f>
        <v/>
      </c>
      <c r="Q215" s="19" t="str">
        <f>HLOOKUP($Q$3,'Supplier selection'!$AW$4:'Supplier selection'!$CT$1000,$A216,FALSE)</f>
        <v/>
      </c>
      <c r="R215" s="22" t="str">
        <f t="shared" si="33"/>
        <v/>
      </c>
      <c r="S215" s="19" t="str">
        <f t="shared" si="34"/>
        <v/>
      </c>
      <c r="T215" s="22" t="str">
        <f t="shared" si="35"/>
        <v/>
      </c>
      <c r="U215" s="19" t="str">
        <f t="shared" si="36"/>
        <v/>
      </c>
      <c r="V215" s="7"/>
      <c r="Y215" s="19" t="str">
        <f>IF('Supplier selection'!AQ215="","",'Supplier selection'!AQ215)</f>
        <v/>
      </c>
      <c r="Z215" s="19" t="str">
        <f>IF('Supplier selection'!AR215="","",'Supplier selection'!AR215)</f>
        <v/>
      </c>
      <c r="AA215" s="19" t="str">
        <f t="shared" si="37"/>
        <v/>
      </c>
      <c r="AD215" s="26" t="str">
        <f>IF(AND('Supplier selection'!X215="",'Supplier selection'!AE215=""),"",IF('Supplier selection'!X215="",'Supplier selection'!AE215,'Supplier selection'!X215))</f>
        <v/>
      </c>
      <c r="AE215" s="19" t="str">
        <f t="shared" si="38"/>
        <v/>
      </c>
      <c r="AF215" s="19" t="str">
        <f t="shared" si="39"/>
        <v/>
      </c>
      <c r="AG215" s="27" t="str">
        <f>IF(AND('Supplier selection'!AB215="",'Supplier selection'!AI215=""),"",IF('Supplier selection'!AB215="",'Supplier selection'!AI215,'Supplier selection'!AB215))</f>
        <v/>
      </c>
      <c r="AH215" s="28" t="str">
        <f t="shared" si="40"/>
        <v/>
      </c>
      <c r="AI215" s="7" t="str">
        <f t="shared" si="41"/>
        <v/>
      </c>
      <c r="AJ215" s="22" t="str">
        <f t="shared" si="42"/>
        <v/>
      </c>
      <c r="AK215" s="29" t="str">
        <f t="shared" si="43"/>
        <v/>
      </c>
      <c r="AL215" s="10"/>
    </row>
    <row r="216" spans="1:38">
      <c r="A216" s="19">
        <f>IF('Supplier selection'!A216="","",'Supplier selection'!A216)</f>
        <v>212</v>
      </c>
      <c r="B216" s="19" t="str">
        <f>IF('Supplier selection'!B216="","",'Supplier selection'!B216)</f>
        <v/>
      </c>
      <c r="C216" s="19" t="str">
        <f>IF('Supplier selection'!C216="","",'Supplier selection'!C216)</f>
        <v/>
      </c>
      <c r="D216" s="19" t="str">
        <f>IF('Supplier selection'!D216="","",'Supplier selection'!D216)</f>
        <v/>
      </c>
      <c r="E216" s="19" t="str">
        <f>IF('Supplier selection'!E216="","",'Supplier selection'!E216)</f>
        <v/>
      </c>
      <c r="F216" s="19" t="str">
        <f>IF('Supplier selection'!F216="","",'Supplier selection'!F216)</f>
        <v/>
      </c>
      <c r="G216" s="19" t="str">
        <f>IF('Supplier selection'!G216="","",'Supplier selection'!G216)</f>
        <v/>
      </c>
      <c r="H216" s="19" t="str">
        <f>IF('Supplier selection'!H216="","",'Supplier selection'!H216)</f>
        <v/>
      </c>
      <c r="I216" s="19" t="str">
        <f>IF('Supplier selection'!I216="","",'Supplier selection'!I216)</f>
        <v/>
      </c>
      <c r="J216" s="19" t="str">
        <f>IF('Supplier selection'!J216="","",'Supplier selection'!J216)</f>
        <v/>
      </c>
      <c r="K216" s="19" t="str">
        <f>IF('Supplier selection'!K216="","",'Supplier selection'!K216)</f>
        <v/>
      </c>
      <c r="L216" s="19" t="str">
        <f>IF('Supplier selection'!L216="","",'Supplier selection'!L216)</f>
        <v/>
      </c>
      <c r="M216" s="19" t="str">
        <f>IF('Supplier selection'!M216="","",'Supplier selection'!M216)</f>
        <v/>
      </c>
      <c r="N216" s="19" t="str">
        <f>IF('Supplier selection'!N216="","",'Supplier selection'!N216)</f>
        <v/>
      </c>
      <c r="O216" s="19" t="str">
        <f>IF('Supplier selection'!O216="","",'Supplier selection'!O216)</f>
        <v/>
      </c>
      <c r="Q216" s="19" t="str">
        <f>HLOOKUP($Q$3,'Supplier selection'!$AW$4:'Supplier selection'!$CT$1000,$A217,FALSE)</f>
        <v/>
      </c>
      <c r="R216" s="22" t="str">
        <f t="shared" si="33"/>
        <v/>
      </c>
      <c r="S216" s="19" t="str">
        <f t="shared" si="34"/>
        <v/>
      </c>
      <c r="T216" s="22" t="str">
        <f t="shared" si="35"/>
        <v/>
      </c>
      <c r="U216" s="19" t="str">
        <f t="shared" si="36"/>
        <v/>
      </c>
      <c r="V216" s="7"/>
      <c r="Y216" s="19" t="str">
        <f>IF('Supplier selection'!AQ216="","",'Supplier selection'!AQ216)</f>
        <v/>
      </c>
      <c r="Z216" s="19" t="str">
        <f>IF('Supplier selection'!AR216="","",'Supplier selection'!AR216)</f>
        <v/>
      </c>
      <c r="AA216" s="19" t="str">
        <f t="shared" si="37"/>
        <v/>
      </c>
      <c r="AD216" s="26" t="str">
        <f>IF(AND('Supplier selection'!X216="",'Supplier selection'!AE216=""),"",IF('Supplier selection'!X216="",'Supplier selection'!AE216,'Supplier selection'!X216))</f>
        <v/>
      </c>
      <c r="AE216" s="19" t="str">
        <f t="shared" si="38"/>
        <v/>
      </c>
      <c r="AF216" s="19" t="str">
        <f t="shared" si="39"/>
        <v/>
      </c>
      <c r="AG216" s="27" t="str">
        <f>IF(AND('Supplier selection'!AB216="",'Supplier selection'!AI216=""),"",IF('Supplier selection'!AB216="",'Supplier selection'!AI216,'Supplier selection'!AB216))</f>
        <v/>
      </c>
      <c r="AH216" s="28" t="str">
        <f t="shared" si="40"/>
        <v/>
      </c>
      <c r="AI216" s="7" t="str">
        <f t="shared" si="41"/>
        <v/>
      </c>
      <c r="AJ216" s="22" t="str">
        <f t="shared" si="42"/>
        <v/>
      </c>
      <c r="AK216" s="29" t="str">
        <f t="shared" si="43"/>
        <v/>
      </c>
      <c r="AL216" s="10"/>
    </row>
    <row r="217" spans="1:38">
      <c r="A217" s="19">
        <f>IF('Supplier selection'!A217="","",'Supplier selection'!A217)</f>
        <v>213</v>
      </c>
      <c r="B217" s="19" t="str">
        <f>IF('Supplier selection'!B217="","",'Supplier selection'!B217)</f>
        <v/>
      </c>
      <c r="C217" s="19" t="str">
        <f>IF('Supplier selection'!C217="","",'Supplier selection'!C217)</f>
        <v/>
      </c>
      <c r="D217" s="19" t="str">
        <f>IF('Supplier selection'!D217="","",'Supplier selection'!D217)</f>
        <v/>
      </c>
      <c r="E217" s="19" t="str">
        <f>IF('Supplier selection'!E217="","",'Supplier selection'!E217)</f>
        <v/>
      </c>
      <c r="F217" s="19" t="str">
        <f>IF('Supplier selection'!F217="","",'Supplier selection'!F217)</f>
        <v/>
      </c>
      <c r="G217" s="19" t="str">
        <f>IF('Supplier selection'!G217="","",'Supplier selection'!G217)</f>
        <v/>
      </c>
      <c r="H217" s="19" t="str">
        <f>IF('Supplier selection'!H217="","",'Supplier selection'!H217)</f>
        <v/>
      </c>
      <c r="I217" s="19" t="str">
        <f>IF('Supplier selection'!I217="","",'Supplier selection'!I217)</f>
        <v/>
      </c>
      <c r="J217" s="19" t="str">
        <f>IF('Supplier selection'!J217="","",'Supplier selection'!J217)</f>
        <v/>
      </c>
      <c r="K217" s="19" t="str">
        <f>IF('Supplier selection'!K217="","",'Supplier selection'!K217)</f>
        <v/>
      </c>
      <c r="L217" s="19" t="str">
        <f>IF('Supplier selection'!L217="","",'Supplier selection'!L217)</f>
        <v/>
      </c>
      <c r="M217" s="19" t="str">
        <f>IF('Supplier selection'!M217="","",'Supplier selection'!M217)</f>
        <v/>
      </c>
      <c r="N217" s="19" t="str">
        <f>IF('Supplier selection'!N217="","",'Supplier selection'!N217)</f>
        <v/>
      </c>
      <c r="O217" s="19" t="str">
        <f>IF('Supplier selection'!O217="","",'Supplier selection'!O217)</f>
        <v/>
      </c>
      <c r="Q217" s="19" t="str">
        <f>HLOOKUP($Q$3,'Supplier selection'!$AW$4:'Supplier selection'!$CT$1000,$A218,FALSE)</f>
        <v/>
      </c>
      <c r="R217" s="22" t="str">
        <f t="shared" si="33"/>
        <v/>
      </c>
      <c r="S217" s="19" t="str">
        <f t="shared" si="34"/>
        <v/>
      </c>
      <c r="T217" s="22" t="str">
        <f t="shared" si="35"/>
        <v/>
      </c>
      <c r="U217" s="19" t="str">
        <f t="shared" si="36"/>
        <v/>
      </c>
      <c r="V217" s="7"/>
      <c r="Y217" s="19" t="str">
        <f>IF('Supplier selection'!AQ217="","",'Supplier selection'!AQ217)</f>
        <v/>
      </c>
      <c r="Z217" s="19" t="str">
        <f>IF('Supplier selection'!AR217="","",'Supplier selection'!AR217)</f>
        <v/>
      </c>
      <c r="AA217" s="19" t="str">
        <f t="shared" si="37"/>
        <v/>
      </c>
      <c r="AD217" s="26" t="str">
        <f>IF(AND('Supplier selection'!X217="",'Supplier selection'!AE217=""),"",IF('Supplier selection'!X217="",'Supplier selection'!AE217,'Supplier selection'!X217))</f>
        <v/>
      </c>
      <c r="AE217" s="19" t="str">
        <f t="shared" si="38"/>
        <v/>
      </c>
      <c r="AF217" s="19" t="str">
        <f t="shared" si="39"/>
        <v/>
      </c>
      <c r="AG217" s="27" t="str">
        <f>IF(AND('Supplier selection'!AB217="",'Supplier selection'!AI217=""),"",IF('Supplier selection'!AB217="",'Supplier selection'!AI217,'Supplier selection'!AB217))</f>
        <v/>
      </c>
      <c r="AH217" s="28" t="str">
        <f t="shared" si="40"/>
        <v/>
      </c>
      <c r="AI217" s="7" t="str">
        <f t="shared" si="41"/>
        <v/>
      </c>
      <c r="AJ217" s="22" t="str">
        <f t="shared" si="42"/>
        <v/>
      </c>
      <c r="AK217" s="29" t="str">
        <f t="shared" si="43"/>
        <v/>
      </c>
      <c r="AL217" s="10"/>
    </row>
    <row r="218" spans="1:38">
      <c r="A218" s="19">
        <f>IF('Supplier selection'!A218="","",'Supplier selection'!A218)</f>
        <v>214</v>
      </c>
      <c r="B218" s="19" t="str">
        <f>IF('Supplier selection'!B218="","",'Supplier selection'!B218)</f>
        <v/>
      </c>
      <c r="C218" s="19" t="str">
        <f>IF('Supplier selection'!C218="","",'Supplier selection'!C218)</f>
        <v/>
      </c>
      <c r="D218" s="19" t="str">
        <f>IF('Supplier selection'!D218="","",'Supplier selection'!D218)</f>
        <v/>
      </c>
      <c r="E218" s="19" t="str">
        <f>IF('Supplier selection'!E218="","",'Supplier selection'!E218)</f>
        <v/>
      </c>
      <c r="F218" s="19" t="str">
        <f>IF('Supplier selection'!F218="","",'Supplier selection'!F218)</f>
        <v/>
      </c>
      <c r="G218" s="19" t="str">
        <f>IF('Supplier selection'!G218="","",'Supplier selection'!G218)</f>
        <v/>
      </c>
      <c r="H218" s="19" t="str">
        <f>IF('Supplier selection'!H218="","",'Supplier selection'!H218)</f>
        <v/>
      </c>
      <c r="I218" s="19" t="str">
        <f>IF('Supplier selection'!I218="","",'Supplier selection'!I218)</f>
        <v/>
      </c>
      <c r="J218" s="19" t="str">
        <f>IF('Supplier selection'!J218="","",'Supplier selection'!J218)</f>
        <v/>
      </c>
      <c r="K218" s="19" t="str">
        <f>IF('Supplier selection'!K218="","",'Supplier selection'!K218)</f>
        <v/>
      </c>
      <c r="L218" s="19" t="str">
        <f>IF('Supplier selection'!L218="","",'Supplier selection'!L218)</f>
        <v/>
      </c>
      <c r="M218" s="19" t="str">
        <f>IF('Supplier selection'!M218="","",'Supplier selection'!M218)</f>
        <v/>
      </c>
      <c r="N218" s="19" t="str">
        <f>IF('Supplier selection'!N218="","",'Supplier selection'!N218)</f>
        <v/>
      </c>
      <c r="O218" s="19" t="str">
        <f>IF('Supplier selection'!O218="","",'Supplier selection'!O218)</f>
        <v/>
      </c>
      <c r="Q218" s="19" t="str">
        <f>HLOOKUP($Q$3,'Supplier selection'!$AW$4:'Supplier selection'!$CT$1000,$A219,FALSE)</f>
        <v/>
      </c>
      <c r="R218" s="22" t="str">
        <f t="shared" si="33"/>
        <v/>
      </c>
      <c r="S218" s="19" t="str">
        <f t="shared" si="34"/>
        <v/>
      </c>
      <c r="T218" s="22" t="str">
        <f t="shared" si="35"/>
        <v/>
      </c>
      <c r="U218" s="19" t="str">
        <f t="shared" si="36"/>
        <v/>
      </c>
      <c r="V218" s="7"/>
      <c r="Y218" s="19" t="str">
        <f>IF('Supplier selection'!AQ218="","",'Supplier selection'!AQ218)</f>
        <v/>
      </c>
      <c r="Z218" s="19" t="str">
        <f>IF('Supplier selection'!AR218="","",'Supplier selection'!AR218)</f>
        <v/>
      </c>
      <c r="AA218" s="19" t="str">
        <f t="shared" si="37"/>
        <v/>
      </c>
      <c r="AD218" s="26" t="str">
        <f>IF(AND('Supplier selection'!X218="",'Supplier selection'!AE218=""),"",IF('Supplier selection'!X218="",'Supplier selection'!AE218,'Supplier selection'!X218))</f>
        <v/>
      </c>
      <c r="AE218" s="19" t="str">
        <f t="shared" si="38"/>
        <v/>
      </c>
      <c r="AF218" s="19" t="str">
        <f t="shared" si="39"/>
        <v/>
      </c>
      <c r="AG218" s="27" t="str">
        <f>IF(AND('Supplier selection'!AB218="",'Supplier selection'!AI218=""),"",IF('Supplier selection'!AB218="",'Supplier selection'!AI218,'Supplier selection'!AB218))</f>
        <v/>
      </c>
      <c r="AH218" s="28" t="str">
        <f t="shared" si="40"/>
        <v/>
      </c>
      <c r="AI218" s="7" t="str">
        <f t="shared" si="41"/>
        <v/>
      </c>
      <c r="AJ218" s="22" t="str">
        <f t="shared" si="42"/>
        <v/>
      </c>
      <c r="AK218" s="29" t="str">
        <f t="shared" si="43"/>
        <v/>
      </c>
      <c r="AL218" s="10"/>
    </row>
    <row r="219" spans="1:38">
      <c r="A219" s="19">
        <f>IF('Supplier selection'!A219="","",'Supplier selection'!A219)</f>
        <v>215</v>
      </c>
      <c r="B219" s="19" t="str">
        <f>IF('Supplier selection'!B219="","",'Supplier selection'!B219)</f>
        <v/>
      </c>
      <c r="C219" s="19" t="str">
        <f>IF('Supplier selection'!C219="","",'Supplier selection'!C219)</f>
        <v/>
      </c>
      <c r="D219" s="19" t="str">
        <f>IF('Supplier selection'!D219="","",'Supplier selection'!D219)</f>
        <v/>
      </c>
      <c r="E219" s="19" t="str">
        <f>IF('Supplier selection'!E219="","",'Supplier selection'!E219)</f>
        <v/>
      </c>
      <c r="F219" s="19" t="str">
        <f>IF('Supplier selection'!F219="","",'Supplier selection'!F219)</f>
        <v/>
      </c>
      <c r="G219" s="19" t="str">
        <f>IF('Supplier selection'!G219="","",'Supplier selection'!G219)</f>
        <v/>
      </c>
      <c r="H219" s="19" t="str">
        <f>IF('Supplier selection'!H219="","",'Supplier selection'!H219)</f>
        <v/>
      </c>
      <c r="I219" s="19" t="str">
        <f>IF('Supplier selection'!I219="","",'Supplier selection'!I219)</f>
        <v/>
      </c>
      <c r="J219" s="19" t="str">
        <f>IF('Supplier selection'!J219="","",'Supplier selection'!J219)</f>
        <v/>
      </c>
      <c r="K219" s="19" t="str">
        <f>IF('Supplier selection'!K219="","",'Supplier selection'!K219)</f>
        <v/>
      </c>
      <c r="L219" s="19" t="str">
        <f>IF('Supplier selection'!L219="","",'Supplier selection'!L219)</f>
        <v/>
      </c>
      <c r="M219" s="19" t="str">
        <f>IF('Supplier selection'!M219="","",'Supplier selection'!M219)</f>
        <v/>
      </c>
      <c r="N219" s="19" t="str">
        <f>IF('Supplier selection'!N219="","",'Supplier selection'!N219)</f>
        <v/>
      </c>
      <c r="O219" s="19" t="str">
        <f>IF('Supplier selection'!O219="","",'Supplier selection'!O219)</f>
        <v/>
      </c>
      <c r="Q219" s="19" t="str">
        <f>HLOOKUP($Q$3,'Supplier selection'!$AW$4:'Supplier selection'!$CT$1000,$A220,FALSE)</f>
        <v/>
      </c>
      <c r="R219" s="22" t="str">
        <f t="shared" si="33"/>
        <v/>
      </c>
      <c r="S219" s="19" t="str">
        <f t="shared" si="34"/>
        <v/>
      </c>
      <c r="T219" s="22" t="str">
        <f t="shared" si="35"/>
        <v/>
      </c>
      <c r="U219" s="19" t="str">
        <f t="shared" si="36"/>
        <v/>
      </c>
      <c r="V219" s="7"/>
      <c r="Y219" s="19" t="str">
        <f>IF('Supplier selection'!AQ219="","",'Supplier selection'!AQ219)</f>
        <v/>
      </c>
      <c r="Z219" s="19" t="str">
        <f>IF('Supplier selection'!AR219="","",'Supplier selection'!AR219)</f>
        <v/>
      </c>
      <c r="AA219" s="19" t="str">
        <f t="shared" si="37"/>
        <v/>
      </c>
      <c r="AD219" s="26" t="str">
        <f>IF(AND('Supplier selection'!X219="",'Supplier selection'!AE219=""),"",IF('Supplier selection'!X219="",'Supplier selection'!AE219,'Supplier selection'!X219))</f>
        <v/>
      </c>
      <c r="AE219" s="19" t="str">
        <f t="shared" si="38"/>
        <v/>
      </c>
      <c r="AF219" s="19" t="str">
        <f t="shared" si="39"/>
        <v/>
      </c>
      <c r="AG219" s="27" t="str">
        <f>IF(AND('Supplier selection'!AB219="",'Supplier selection'!AI219=""),"",IF('Supplier selection'!AB219="",'Supplier selection'!AI219,'Supplier selection'!AB219))</f>
        <v/>
      </c>
      <c r="AH219" s="28" t="str">
        <f t="shared" si="40"/>
        <v/>
      </c>
      <c r="AI219" s="7" t="str">
        <f t="shared" si="41"/>
        <v/>
      </c>
      <c r="AJ219" s="22" t="str">
        <f t="shared" si="42"/>
        <v/>
      </c>
      <c r="AK219" s="29" t="str">
        <f t="shared" si="43"/>
        <v/>
      </c>
      <c r="AL219" s="10"/>
    </row>
    <row r="220" spans="1:38">
      <c r="A220" s="19">
        <f>IF('Supplier selection'!A220="","",'Supplier selection'!A220)</f>
        <v>216</v>
      </c>
      <c r="B220" s="19" t="str">
        <f>IF('Supplier selection'!B220="","",'Supplier selection'!B220)</f>
        <v/>
      </c>
      <c r="C220" s="19" t="str">
        <f>IF('Supplier selection'!C220="","",'Supplier selection'!C220)</f>
        <v/>
      </c>
      <c r="D220" s="19" t="str">
        <f>IF('Supplier selection'!D220="","",'Supplier selection'!D220)</f>
        <v/>
      </c>
      <c r="E220" s="19" t="str">
        <f>IF('Supplier selection'!E220="","",'Supplier selection'!E220)</f>
        <v/>
      </c>
      <c r="F220" s="19" t="str">
        <f>IF('Supplier selection'!F220="","",'Supplier selection'!F220)</f>
        <v/>
      </c>
      <c r="G220" s="19" t="str">
        <f>IF('Supplier selection'!G220="","",'Supplier selection'!G220)</f>
        <v/>
      </c>
      <c r="H220" s="19" t="str">
        <f>IF('Supplier selection'!H220="","",'Supplier selection'!H220)</f>
        <v/>
      </c>
      <c r="I220" s="19" t="str">
        <f>IF('Supplier selection'!I220="","",'Supplier selection'!I220)</f>
        <v/>
      </c>
      <c r="J220" s="19" t="str">
        <f>IF('Supplier selection'!J220="","",'Supplier selection'!J220)</f>
        <v/>
      </c>
      <c r="K220" s="19" t="str">
        <f>IF('Supplier selection'!K220="","",'Supplier selection'!K220)</f>
        <v/>
      </c>
      <c r="L220" s="19" t="str">
        <f>IF('Supplier selection'!L220="","",'Supplier selection'!L220)</f>
        <v/>
      </c>
      <c r="M220" s="19" t="str">
        <f>IF('Supplier selection'!M220="","",'Supplier selection'!M220)</f>
        <v/>
      </c>
      <c r="N220" s="19" t="str">
        <f>IF('Supplier selection'!N220="","",'Supplier selection'!N220)</f>
        <v/>
      </c>
      <c r="O220" s="19" t="str">
        <f>IF('Supplier selection'!O220="","",'Supplier selection'!O220)</f>
        <v/>
      </c>
      <c r="Q220" s="19" t="str">
        <f>HLOOKUP($Q$3,'Supplier selection'!$AW$4:'Supplier selection'!$CT$1000,$A221,FALSE)</f>
        <v/>
      </c>
      <c r="R220" s="22" t="str">
        <f t="shared" si="33"/>
        <v/>
      </c>
      <c r="S220" s="19" t="str">
        <f t="shared" si="34"/>
        <v/>
      </c>
      <c r="T220" s="22" t="str">
        <f t="shared" si="35"/>
        <v/>
      </c>
      <c r="U220" s="19" t="str">
        <f t="shared" si="36"/>
        <v/>
      </c>
      <c r="V220" s="7"/>
      <c r="Y220" s="19" t="str">
        <f>IF('Supplier selection'!AQ220="","",'Supplier selection'!AQ220)</f>
        <v/>
      </c>
      <c r="Z220" s="19" t="str">
        <f>IF('Supplier selection'!AR220="","",'Supplier selection'!AR220)</f>
        <v/>
      </c>
      <c r="AA220" s="19" t="str">
        <f t="shared" si="37"/>
        <v/>
      </c>
      <c r="AD220" s="26" t="str">
        <f>IF(AND('Supplier selection'!X220="",'Supplier selection'!AE220=""),"",IF('Supplier selection'!X220="",'Supplier selection'!AE220,'Supplier selection'!X220))</f>
        <v/>
      </c>
      <c r="AE220" s="19" t="str">
        <f t="shared" si="38"/>
        <v/>
      </c>
      <c r="AF220" s="19" t="str">
        <f t="shared" si="39"/>
        <v/>
      </c>
      <c r="AG220" s="27" t="str">
        <f>IF(AND('Supplier selection'!AB220="",'Supplier selection'!AI220=""),"",IF('Supplier selection'!AB220="",'Supplier selection'!AI220,'Supplier selection'!AB220))</f>
        <v/>
      </c>
      <c r="AH220" s="28" t="str">
        <f t="shared" si="40"/>
        <v/>
      </c>
      <c r="AI220" s="7" t="str">
        <f t="shared" si="41"/>
        <v/>
      </c>
      <c r="AJ220" s="22" t="str">
        <f t="shared" si="42"/>
        <v/>
      </c>
      <c r="AK220" s="29" t="str">
        <f t="shared" si="43"/>
        <v/>
      </c>
      <c r="AL220" s="10"/>
    </row>
    <row r="221" spans="1:38">
      <c r="A221" s="19">
        <f>IF('Supplier selection'!A221="","",'Supplier selection'!A221)</f>
        <v>217</v>
      </c>
      <c r="B221" s="19" t="str">
        <f>IF('Supplier selection'!B221="","",'Supplier selection'!B221)</f>
        <v/>
      </c>
      <c r="C221" s="19" t="str">
        <f>IF('Supplier selection'!C221="","",'Supplier selection'!C221)</f>
        <v/>
      </c>
      <c r="D221" s="19" t="str">
        <f>IF('Supplier selection'!D221="","",'Supplier selection'!D221)</f>
        <v/>
      </c>
      <c r="E221" s="19" t="str">
        <f>IF('Supplier selection'!E221="","",'Supplier selection'!E221)</f>
        <v/>
      </c>
      <c r="F221" s="19" t="str">
        <f>IF('Supplier selection'!F221="","",'Supplier selection'!F221)</f>
        <v/>
      </c>
      <c r="G221" s="19" t="str">
        <f>IF('Supplier selection'!G221="","",'Supplier selection'!G221)</f>
        <v/>
      </c>
      <c r="H221" s="19" t="str">
        <f>IF('Supplier selection'!H221="","",'Supplier selection'!H221)</f>
        <v/>
      </c>
      <c r="I221" s="19" t="str">
        <f>IF('Supplier selection'!I221="","",'Supplier selection'!I221)</f>
        <v/>
      </c>
      <c r="J221" s="19" t="str">
        <f>IF('Supplier selection'!J221="","",'Supplier selection'!J221)</f>
        <v/>
      </c>
      <c r="K221" s="19" t="str">
        <f>IF('Supplier selection'!K221="","",'Supplier selection'!K221)</f>
        <v/>
      </c>
      <c r="L221" s="19" t="str">
        <f>IF('Supplier selection'!L221="","",'Supplier selection'!L221)</f>
        <v/>
      </c>
      <c r="M221" s="19" t="str">
        <f>IF('Supplier selection'!M221="","",'Supplier selection'!M221)</f>
        <v/>
      </c>
      <c r="N221" s="19" t="str">
        <f>IF('Supplier selection'!N221="","",'Supplier selection'!N221)</f>
        <v/>
      </c>
      <c r="O221" s="19" t="str">
        <f>IF('Supplier selection'!O221="","",'Supplier selection'!O221)</f>
        <v/>
      </c>
      <c r="Q221" s="19" t="str">
        <f>HLOOKUP($Q$3,'Supplier selection'!$AW$4:'Supplier selection'!$CT$1000,$A222,FALSE)</f>
        <v/>
      </c>
      <c r="R221" s="22" t="str">
        <f t="shared" si="33"/>
        <v/>
      </c>
      <c r="S221" s="19" t="str">
        <f t="shared" si="34"/>
        <v/>
      </c>
      <c r="T221" s="22" t="str">
        <f t="shared" si="35"/>
        <v/>
      </c>
      <c r="U221" s="19" t="str">
        <f t="shared" si="36"/>
        <v/>
      </c>
      <c r="V221" s="7"/>
      <c r="Y221" s="19" t="str">
        <f>IF('Supplier selection'!AQ221="","",'Supplier selection'!AQ221)</f>
        <v/>
      </c>
      <c r="Z221" s="19" t="str">
        <f>IF('Supplier selection'!AR221="","",'Supplier selection'!AR221)</f>
        <v/>
      </c>
      <c r="AA221" s="19" t="str">
        <f t="shared" si="37"/>
        <v/>
      </c>
      <c r="AD221" s="26" t="str">
        <f>IF(AND('Supplier selection'!X221="",'Supplier selection'!AE221=""),"",IF('Supplier selection'!X221="",'Supplier selection'!AE221,'Supplier selection'!X221))</f>
        <v/>
      </c>
      <c r="AE221" s="19" t="str">
        <f t="shared" si="38"/>
        <v/>
      </c>
      <c r="AF221" s="19" t="str">
        <f t="shared" si="39"/>
        <v/>
      </c>
      <c r="AG221" s="27" t="str">
        <f>IF(AND('Supplier selection'!AB221="",'Supplier selection'!AI221=""),"",IF('Supplier selection'!AB221="",'Supplier selection'!AI221,'Supplier selection'!AB221))</f>
        <v/>
      </c>
      <c r="AH221" s="28" t="str">
        <f t="shared" si="40"/>
        <v/>
      </c>
      <c r="AI221" s="7" t="str">
        <f t="shared" si="41"/>
        <v/>
      </c>
      <c r="AJ221" s="22" t="str">
        <f t="shared" si="42"/>
        <v/>
      </c>
      <c r="AK221" s="29" t="str">
        <f t="shared" si="43"/>
        <v/>
      </c>
      <c r="AL221" s="10"/>
    </row>
    <row r="222" spans="1:38">
      <c r="A222" s="19">
        <f>IF('Supplier selection'!A222="","",'Supplier selection'!A222)</f>
        <v>218</v>
      </c>
      <c r="B222" s="19" t="str">
        <f>IF('Supplier selection'!B222="","",'Supplier selection'!B222)</f>
        <v/>
      </c>
      <c r="C222" s="19" t="str">
        <f>IF('Supplier selection'!C222="","",'Supplier selection'!C222)</f>
        <v/>
      </c>
      <c r="D222" s="19" t="str">
        <f>IF('Supplier selection'!D222="","",'Supplier selection'!D222)</f>
        <v/>
      </c>
      <c r="E222" s="19" t="str">
        <f>IF('Supplier selection'!E222="","",'Supplier selection'!E222)</f>
        <v/>
      </c>
      <c r="F222" s="19" t="str">
        <f>IF('Supplier selection'!F222="","",'Supplier selection'!F222)</f>
        <v/>
      </c>
      <c r="G222" s="19" t="str">
        <f>IF('Supplier selection'!G222="","",'Supplier selection'!G222)</f>
        <v/>
      </c>
      <c r="H222" s="19" t="str">
        <f>IF('Supplier selection'!H222="","",'Supplier selection'!H222)</f>
        <v/>
      </c>
      <c r="I222" s="19" t="str">
        <f>IF('Supplier selection'!I222="","",'Supplier selection'!I222)</f>
        <v/>
      </c>
      <c r="J222" s="19" t="str">
        <f>IF('Supplier selection'!J222="","",'Supplier selection'!J222)</f>
        <v/>
      </c>
      <c r="K222" s="19" t="str">
        <f>IF('Supplier selection'!K222="","",'Supplier selection'!K222)</f>
        <v/>
      </c>
      <c r="L222" s="19" t="str">
        <f>IF('Supplier selection'!L222="","",'Supplier selection'!L222)</f>
        <v/>
      </c>
      <c r="M222" s="19" t="str">
        <f>IF('Supplier selection'!M222="","",'Supplier selection'!M222)</f>
        <v/>
      </c>
      <c r="N222" s="19" t="str">
        <f>IF('Supplier selection'!N222="","",'Supplier selection'!N222)</f>
        <v/>
      </c>
      <c r="O222" s="19" t="str">
        <f>IF('Supplier selection'!O222="","",'Supplier selection'!O222)</f>
        <v/>
      </c>
      <c r="Q222" s="19" t="str">
        <f>HLOOKUP($Q$3,'Supplier selection'!$AW$4:'Supplier selection'!$CT$1000,$A223,FALSE)</f>
        <v/>
      </c>
      <c r="R222" s="22" t="str">
        <f t="shared" si="33"/>
        <v/>
      </c>
      <c r="S222" s="19" t="str">
        <f t="shared" si="34"/>
        <v/>
      </c>
      <c r="T222" s="22" t="str">
        <f t="shared" si="35"/>
        <v/>
      </c>
      <c r="U222" s="19" t="str">
        <f t="shared" si="36"/>
        <v/>
      </c>
      <c r="V222" s="7"/>
      <c r="Y222" s="19" t="str">
        <f>IF('Supplier selection'!AQ222="","",'Supplier selection'!AQ222)</f>
        <v/>
      </c>
      <c r="Z222" s="19" t="str">
        <f>IF('Supplier selection'!AR222="","",'Supplier selection'!AR222)</f>
        <v/>
      </c>
      <c r="AA222" s="19" t="str">
        <f t="shared" si="37"/>
        <v/>
      </c>
      <c r="AD222" s="26" t="str">
        <f>IF(AND('Supplier selection'!X222="",'Supplier selection'!AE222=""),"",IF('Supplier selection'!X222="",'Supplier selection'!AE222,'Supplier selection'!X222))</f>
        <v/>
      </c>
      <c r="AE222" s="19" t="str">
        <f t="shared" si="38"/>
        <v/>
      </c>
      <c r="AF222" s="19" t="str">
        <f t="shared" si="39"/>
        <v/>
      </c>
      <c r="AG222" s="27" t="str">
        <f>IF(AND('Supplier selection'!AB222="",'Supplier selection'!AI222=""),"",IF('Supplier selection'!AB222="",'Supplier selection'!AI222,'Supplier selection'!AB222))</f>
        <v/>
      </c>
      <c r="AH222" s="28" t="str">
        <f t="shared" si="40"/>
        <v/>
      </c>
      <c r="AI222" s="7" t="str">
        <f t="shared" si="41"/>
        <v/>
      </c>
      <c r="AJ222" s="22" t="str">
        <f t="shared" si="42"/>
        <v/>
      </c>
      <c r="AK222" s="29" t="str">
        <f t="shared" si="43"/>
        <v/>
      </c>
      <c r="AL222" s="10"/>
    </row>
    <row r="223" spans="1:38">
      <c r="A223" s="19">
        <f>IF('Supplier selection'!A223="","",'Supplier selection'!A223)</f>
        <v>219</v>
      </c>
      <c r="B223" s="19" t="str">
        <f>IF('Supplier selection'!B223="","",'Supplier selection'!B223)</f>
        <v/>
      </c>
      <c r="C223" s="19" t="str">
        <f>IF('Supplier selection'!C223="","",'Supplier selection'!C223)</f>
        <v/>
      </c>
      <c r="D223" s="19" t="str">
        <f>IF('Supplier selection'!D223="","",'Supplier selection'!D223)</f>
        <v/>
      </c>
      <c r="E223" s="19" t="str">
        <f>IF('Supplier selection'!E223="","",'Supplier selection'!E223)</f>
        <v/>
      </c>
      <c r="F223" s="19" t="str">
        <f>IF('Supplier selection'!F223="","",'Supplier selection'!F223)</f>
        <v/>
      </c>
      <c r="G223" s="19" t="str">
        <f>IF('Supplier selection'!G223="","",'Supplier selection'!G223)</f>
        <v/>
      </c>
      <c r="H223" s="19" t="str">
        <f>IF('Supplier selection'!H223="","",'Supplier selection'!H223)</f>
        <v/>
      </c>
      <c r="I223" s="19" t="str">
        <f>IF('Supplier selection'!I223="","",'Supplier selection'!I223)</f>
        <v/>
      </c>
      <c r="J223" s="19" t="str">
        <f>IF('Supplier selection'!J223="","",'Supplier selection'!J223)</f>
        <v/>
      </c>
      <c r="K223" s="19" t="str">
        <f>IF('Supplier selection'!K223="","",'Supplier selection'!K223)</f>
        <v/>
      </c>
      <c r="L223" s="19" t="str">
        <f>IF('Supplier selection'!L223="","",'Supplier selection'!L223)</f>
        <v/>
      </c>
      <c r="M223" s="19" t="str">
        <f>IF('Supplier selection'!M223="","",'Supplier selection'!M223)</f>
        <v/>
      </c>
      <c r="N223" s="19" t="str">
        <f>IF('Supplier selection'!N223="","",'Supplier selection'!N223)</f>
        <v/>
      </c>
      <c r="O223" s="19" t="str">
        <f>IF('Supplier selection'!O223="","",'Supplier selection'!O223)</f>
        <v/>
      </c>
      <c r="Q223" s="19" t="str">
        <f>HLOOKUP($Q$3,'Supplier selection'!$AW$4:'Supplier selection'!$CT$1000,$A224,FALSE)</f>
        <v/>
      </c>
      <c r="R223" s="22" t="str">
        <f t="shared" si="33"/>
        <v/>
      </c>
      <c r="S223" s="19" t="str">
        <f t="shared" si="34"/>
        <v/>
      </c>
      <c r="T223" s="22" t="str">
        <f t="shared" si="35"/>
        <v/>
      </c>
      <c r="U223" s="19" t="str">
        <f t="shared" si="36"/>
        <v/>
      </c>
      <c r="V223" s="7"/>
      <c r="Y223" s="19" t="str">
        <f>IF('Supplier selection'!AQ223="","",'Supplier selection'!AQ223)</f>
        <v/>
      </c>
      <c r="Z223" s="19" t="str">
        <f>IF('Supplier selection'!AR223="","",'Supplier selection'!AR223)</f>
        <v/>
      </c>
      <c r="AA223" s="19" t="str">
        <f t="shared" si="37"/>
        <v/>
      </c>
      <c r="AD223" s="26" t="str">
        <f>IF(AND('Supplier selection'!X223="",'Supplier selection'!AE223=""),"",IF('Supplier selection'!X223="",'Supplier selection'!AE223,'Supplier selection'!X223))</f>
        <v/>
      </c>
      <c r="AE223" s="19" t="str">
        <f t="shared" si="38"/>
        <v/>
      </c>
      <c r="AF223" s="19" t="str">
        <f t="shared" si="39"/>
        <v/>
      </c>
      <c r="AG223" s="27" t="str">
        <f>IF(AND('Supplier selection'!AB223="",'Supplier selection'!AI223=""),"",IF('Supplier selection'!AB223="",'Supplier selection'!AI223,'Supplier selection'!AB223))</f>
        <v/>
      </c>
      <c r="AH223" s="28" t="str">
        <f t="shared" si="40"/>
        <v/>
      </c>
      <c r="AI223" s="7" t="str">
        <f t="shared" si="41"/>
        <v/>
      </c>
      <c r="AJ223" s="22" t="str">
        <f t="shared" si="42"/>
        <v/>
      </c>
      <c r="AK223" s="29" t="str">
        <f t="shared" si="43"/>
        <v/>
      </c>
      <c r="AL223" s="10"/>
    </row>
    <row r="224" spans="1:38">
      <c r="A224" s="19">
        <f>IF('Supplier selection'!A224="","",'Supplier selection'!A224)</f>
        <v>220</v>
      </c>
      <c r="B224" s="19" t="str">
        <f>IF('Supplier selection'!B224="","",'Supplier selection'!B224)</f>
        <v/>
      </c>
      <c r="C224" s="19" t="str">
        <f>IF('Supplier selection'!C224="","",'Supplier selection'!C224)</f>
        <v/>
      </c>
      <c r="D224" s="19" t="str">
        <f>IF('Supplier selection'!D224="","",'Supplier selection'!D224)</f>
        <v/>
      </c>
      <c r="E224" s="19" t="str">
        <f>IF('Supplier selection'!E224="","",'Supplier selection'!E224)</f>
        <v/>
      </c>
      <c r="F224" s="19" t="str">
        <f>IF('Supplier selection'!F224="","",'Supplier selection'!F224)</f>
        <v/>
      </c>
      <c r="G224" s="19" t="str">
        <f>IF('Supplier selection'!G224="","",'Supplier selection'!G224)</f>
        <v/>
      </c>
      <c r="H224" s="19" t="str">
        <f>IF('Supplier selection'!H224="","",'Supplier selection'!H224)</f>
        <v/>
      </c>
      <c r="I224" s="19" t="str">
        <f>IF('Supplier selection'!I224="","",'Supplier selection'!I224)</f>
        <v/>
      </c>
      <c r="J224" s="19" t="str">
        <f>IF('Supplier selection'!J224="","",'Supplier selection'!J224)</f>
        <v/>
      </c>
      <c r="K224" s="19" t="str">
        <f>IF('Supplier selection'!K224="","",'Supplier selection'!K224)</f>
        <v/>
      </c>
      <c r="L224" s="19" t="str">
        <f>IF('Supplier selection'!L224="","",'Supplier selection'!L224)</f>
        <v/>
      </c>
      <c r="M224" s="19" t="str">
        <f>IF('Supplier selection'!M224="","",'Supplier selection'!M224)</f>
        <v/>
      </c>
      <c r="N224" s="19" t="str">
        <f>IF('Supplier selection'!N224="","",'Supplier selection'!N224)</f>
        <v/>
      </c>
      <c r="O224" s="19" t="str">
        <f>IF('Supplier selection'!O224="","",'Supplier selection'!O224)</f>
        <v/>
      </c>
      <c r="Q224" s="19" t="str">
        <f>HLOOKUP($Q$3,'Supplier selection'!$AW$4:'Supplier selection'!$CT$1000,$A225,FALSE)</f>
        <v/>
      </c>
      <c r="R224" s="22" t="str">
        <f t="shared" si="33"/>
        <v/>
      </c>
      <c r="S224" s="19" t="str">
        <f t="shared" si="34"/>
        <v/>
      </c>
      <c r="T224" s="22" t="str">
        <f t="shared" si="35"/>
        <v/>
      </c>
      <c r="U224" s="19" t="str">
        <f t="shared" si="36"/>
        <v/>
      </c>
      <c r="V224" s="7"/>
      <c r="Y224" s="19" t="str">
        <f>IF('Supplier selection'!AQ224="","",'Supplier selection'!AQ224)</f>
        <v/>
      </c>
      <c r="Z224" s="19" t="str">
        <f>IF('Supplier selection'!AR224="","",'Supplier selection'!AR224)</f>
        <v/>
      </c>
      <c r="AA224" s="19" t="str">
        <f t="shared" si="37"/>
        <v/>
      </c>
      <c r="AD224" s="26" t="str">
        <f>IF(AND('Supplier selection'!X224="",'Supplier selection'!AE224=""),"",IF('Supplier selection'!X224="",'Supplier selection'!AE224,'Supplier selection'!X224))</f>
        <v/>
      </c>
      <c r="AE224" s="19" t="str">
        <f t="shared" si="38"/>
        <v/>
      </c>
      <c r="AF224" s="19" t="str">
        <f t="shared" si="39"/>
        <v/>
      </c>
      <c r="AG224" s="27" t="str">
        <f>IF(AND('Supplier selection'!AB224="",'Supplier selection'!AI224=""),"",IF('Supplier selection'!AB224="",'Supplier selection'!AI224,'Supplier selection'!AB224))</f>
        <v/>
      </c>
      <c r="AH224" s="28" t="str">
        <f t="shared" si="40"/>
        <v/>
      </c>
      <c r="AI224" s="7" t="str">
        <f t="shared" si="41"/>
        <v/>
      </c>
      <c r="AJ224" s="22" t="str">
        <f t="shared" si="42"/>
        <v/>
      </c>
      <c r="AK224" s="29" t="str">
        <f t="shared" si="43"/>
        <v/>
      </c>
      <c r="AL224" s="10"/>
    </row>
    <row r="225" spans="1:38">
      <c r="A225" s="19">
        <f>IF('Supplier selection'!A225="","",'Supplier selection'!A225)</f>
        <v>221</v>
      </c>
      <c r="B225" s="19" t="str">
        <f>IF('Supplier selection'!B225="","",'Supplier selection'!B225)</f>
        <v/>
      </c>
      <c r="C225" s="19" t="str">
        <f>IF('Supplier selection'!C225="","",'Supplier selection'!C225)</f>
        <v/>
      </c>
      <c r="D225" s="19" t="str">
        <f>IF('Supplier selection'!D225="","",'Supplier selection'!D225)</f>
        <v/>
      </c>
      <c r="E225" s="19" t="str">
        <f>IF('Supplier selection'!E225="","",'Supplier selection'!E225)</f>
        <v/>
      </c>
      <c r="F225" s="19" t="str">
        <f>IF('Supplier selection'!F225="","",'Supplier selection'!F225)</f>
        <v/>
      </c>
      <c r="G225" s="19" t="str">
        <f>IF('Supplier selection'!G225="","",'Supplier selection'!G225)</f>
        <v/>
      </c>
      <c r="H225" s="19" t="str">
        <f>IF('Supplier selection'!H225="","",'Supplier selection'!H225)</f>
        <v/>
      </c>
      <c r="I225" s="19" t="str">
        <f>IF('Supplier selection'!I225="","",'Supplier selection'!I225)</f>
        <v/>
      </c>
      <c r="J225" s="19" t="str">
        <f>IF('Supplier selection'!J225="","",'Supplier selection'!J225)</f>
        <v/>
      </c>
      <c r="K225" s="19" t="str">
        <f>IF('Supplier selection'!K225="","",'Supplier selection'!K225)</f>
        <v/>
      </c>
      <c r="L225" s="19" t="str">
        <f>IF('Supplier selection'!L225="","",'Supplier selection'!L225)</f>
        <v/>
      </c>
      <c r="M225" s="19" t="str">
        <f>IF('Supplier selection'!M225="","",'Supplier selection'!M225)</f>
        <v/>
      </c>
      <c r="N225" s="19" t="str">
        <f>IF('Supplier selection'!N225="","",'Supplier selection'!N225)</f>
        <v/>
      </c>
      <c r="O225" s="19" t="str">
        <f>IF('Supplier selection'!O225="","",'Supplier selection'!O225)</f>
        <v/>
      </c>
      <c r="Q225" s="19" t="str">
        <f>HLOOKUP($Q$3,'Supplier selection'!$AW$4:'Supplier selection'!$CT$1000,$A226,FALSE)</f>
        <v/>
      </c>
      <c r="R225" s="22" t="str">
        <f t="shared" si="33"/>
        <v/>
      </c>
      <c r="S225" s="19" t="str">
        <f t="shared" si="34"/>
        <v/>
      </c>
      <c r="T225" s="22" t="str">
        <f t="shared" si="35"/>
        <v/>
      </c>
      <c r="U225" s="19" t="str">
        <f t="shared" si="36"/>
        <v/>
      </c>
      <c r="V225" s="7"/>
      <c r="Y225" s="19" t="str">
        <f>IF('Supplier selection'!AQ225="","",'Supplier selection'!AQ225)</f>
        <v/>
      </c>
      <c r="Z225" s="19" t="str">
        <f>IF('Supplier selection'!AR225="","",'Supplier selection'!AR225)</f>
        <v/>
      </c>
      <c r="AA225" s="19" t="str">
        <f t="shared" si="37"/>
        <v/>
      </c>
      <c r="AD225" s="26" t="str">
        <f>IF(AND('Supplier selection'!X225="",'Supplier selection'!AE225=""),"",IF('Supplier selection'!X225="",'Supplier selection'!AE225,'Supplier selection'!X225))</f>
        <v/>
      </c>
      <c r="AE225" s="19" t="str">
        <f t="shared" si="38"/>
        <v/>
      </c>
      <c r="AF225" s="19" t="str">
        <f t="shared" si="39"/>
        <v/>
      </c>
      <c r="AG225" s="27" t="str">
        <f>IF(AND('Supplier selection'!AB225="",'Supplier selection'!AI225=""),"",IF('Supplier selection'!AB225="",'Supplier selection'!AI225,'Supplier selection'!AB225))</f>
        <v/>
      </c>
      <c r="AH225" s="28" t="str">
        <f t="shared" si="40"/>
        <v/>
      </c>
      <c r="AI225" s="7" t="str">
        <f t="shared" si="41"/>
        <v/>
      </c>
      <c r="AJ225" s="22" t="str">
        <f t="shared" si="42"/>
        <v/>
      </c>
      <c r="AK225" s="29" t="str">
        <f t="shared" si="43"/>
        <v/>
      </c>
      <c r="AL225" s="10"/>
    </row>
    <row r="226" spans="1:38">
      <c r="A226" s="19">
        <f>IF('Supplier selection'!A226="","",'Supplier selection'!A226)</f>
        <v>222</v>
      </c>
      <c r="B226" s="19" t="str">
        <f>IF('Supplier selection'!B226="","",'Supplier selection'!B226)</f>
        <v/>
      </c>
      <c r="C226" s="19" t="str">
        <f>IF('Supplier selection'!C226="","",'Supplier selection'!C226)</f>
        <v/>
      </c>
      <c r="D226" s="19" t="str">
        <f>IF('Supplier selection'!D226="","",'Supplier selection'!D226)</f>
        <v/>
      </c>
      <c r="E226" s="19" t="str">
        <f>IF('Supplier selection'!E226="","",'Supplier selection'!E226)</f>
        <v/>
      </c>
      <c r="F226" s="19" t="str">
        <f>IF('Supplier selection'!F226="","",'Supplier selection'!F226)</f>
        <v/>
      </c>
      <c r="G226" s="19" t="str">
        <f>IF('Supplier selection'!G226="","",'Supplier selection'!G226)</f>
        <v/>
      </c>
      <c r="H226" s="19" t="str">
        <f>IF('Supplier selection'!H226="","",'Supplier selection'!H226)</f>
        <v/>
      </c>
      <c r="I226" s="19" t="str">
        <f>IF('Supplier selection'!I226="","",'Supplier selection'!I226)</f>
        <v/>
      </c>
      <c r="J226" s="19" t="str">
        <f>IF('Supplier selection'!J226="","",'Supplier selection'!J226)</f>
        <v/>
      </c>
      <c r="K226" s="19" t="str">
        <f>IF('Supplier selection'!K226="","",'Supplier selection'!K226)</f>
        <v/>
      </c>
      <c r="L226" s="19" t="str">
        <f>IF('Supplier selection'!L226="","",'Supplier selection'!L226)</f>
        <v/>
      </c>
      <c r="M226" s="19" t="str">
        <f>IF('Supplier selection'!M226="","",'Supplier selection'!M226)</f>
        <v/>
      </c>
      <c r="N226" s="19" t="str">
        <f>IF('Supplier selection'!N226="","",'Supplier selection'!N226)</f>
        <v/>
      </c>
      <c r="O226" s="19" t="str">
        <f>IF('Supplier selection'!O226="","",'Supplier selection'!O226)</f>
        <v/>
      </c>
      <c r="Q226" s="19" t="str">
        <f>HLOOKUP($Q$3,'Supplier selection'!$AW$4:'Supplier selection'!$CT$1000,$A227,FALSE)</f>
        <v/>
      </c>
      <c r="R226" s="22" t="str">
        <f t="shared" si="33"/>
        <v/>
      </c>
      <c r="S226" s="19" t="str">
        <f t="shared" si="34"/>
        <v/>
      </c>
      <c r="T226" s="22" t="str">
        <f t="shared" si="35"/>
        <v/>
      </c>
      <c r="U226" s="19" t="str">
        <f t="shared" si="36"/>
        <v/>
      </c>
      <c r="V226" s="7"/>
      <c r="Y226" s="19" t="str">
        <f>IF('Supplier selection'!AQ226="","",'Supplier selection'!AQ226)</f>
        <v/>
      </c>
      <c r="Z226" s="19" t="str">
        <f>IF('Supplier selection'!AR226="","",'Supplier selection'!AR226)</f>
        <v/>
      </c>
      <c r="AA226" s="19" t="str">
        <f t="shared" si="37"/>
        <v/>
      </c>
      <c r="AD226" s="26" t="str">
        <f>IF(AND('Supplier selection'!X226="",'Supplier selection'!AE226=""),"",IF('Supplier selection'!X226="",'Supplier selection'!AE226,'Supplier selection'!X226))</f>
        <v/>
      </c>
      <c r="AE226" s="19" t="str">
        <f t="shared" si="38"/>
        <v/>
      </c>
      <c r="AF226" s="19" t="str">
        <f t="shared" si="39"/>
        <v/>
      </c>
      <c r="AG226" s="27" t="str">
        <f>IF(AND('Supplier selection'!AB226="",'Supplier selection'!AI226=""),"",IF('Supplier selection'!AB226="",'Supplier selection'!AI226,'Supplier selection'!AB226))</f>
        <v/>
      </c>
      <c r="AH226" s="28" t="str">
        <f t="shared" si="40"/>
        <v/>
      </c>
      <c r="AI226" s="7" t="str">
        <f t="shared" si="41"/>
        <v/>
      </c>
      <c r="AJ226" s="22" t="str">
        <f t="shared" si="42"/>
        <v/>
      </c>
      <c r="AK226" s="29" t="str">
        <f t="shared" si="43"/>
        <v/>
      </c>
      <c r="AL226" s="10"/>
    </row>
    <row r="227" spans="1:38">
      <c r="A227" s="19">
        <f>IF('Supplier selection'!A227="","",'Supplier selection'!A227)</f>
        <v>223</v>
      </c>
      <c r="B227" s="19" t="str">
        <f>IF('Supplier selection'!B227="","",'Supplier selection'!B227)</f>
        <v/>
      </c>
      <c r="C227" s="19" t="str">
        <f>IF('Supplier selection'!C227="","",'Supplier selection'!C227)</f>
        <v/>
      </c>
      <c r="D227" s="19" t="str">
        <f>IF('Supplier selection'!D227="","",'Supplier selection'!D227)</f>
        <v/>
      </c>
      <c r="E227" s="19" t="str">
        <f>IF('Supplier selection'!E227="","",'Supplier selection'!E227)</f>
        <v/>
      </c>
      <c r="F227" s="19" t="str">
        <f>IF('Supplier selection'!F227="","",'Supplier selection'!F227)</f>
        <v/>
      </c>
      <c r="G227" s="19" t="str">
        <f>IF('Supplier selection'!G227="","",'Supplier selection'!G227)</f>
        <v/>
      </c>
      <c r="H227" s="19" t="str">
        <f>IF('Supplier selection'!H227="","",'Supplier selection'!H227)</f>
        <v/>
      </c>
      <c r="I227" s="19" t="str">
        <f>IF('Supplier selection'!I227="","",'Supplier selection'!I227)</f>
        <v/>
      </c>
      <c r="J227" s="19" t="str">
        <f>IF('Supplier selection'!J227="","",'Supplier selection'!J227)</f>
        <v/>
      </c>
      <c r="K227" s="19" t="str">
        <f>IF('Supplier selection'!K227="","",'Supplier selection'!K227)</f>
        <v/>
      </c>
      <c r="L227" s="19" t="str">
        <f>IF('Supplier selection'!L227="","",'Supplier selection'!L227)</f>
        <v/>
      </c>
      <c r="M227" s="19" t="str">
        <f>IF('Supplier selection'!M227="","",'Supplier selection'!M227)</f>
        <v/>
      </c>
      <c r="N227" s="19" t="str">
        <f>IF('Supplier selection'!N227="","",'Supplier selection'!N227)</f>
        <v/>
      </c>
      <c r="O227" s="19" t="str">
        <f>IF('Supplier selection'!O227="","",'Supplier selection'!O227)</f>
        <v/>
      </c>
      <c r="Q227" s="19" t="str">
        <f>HLOOKUP($Q$3,'Supplier selection'!$AW$4:'Supplier selection'!$CT$1000,$A228,FALSE)</f>
        <v/>
      </c>
      <c r="R227" s="22" t="str">
        <f t="shared" si="33"/>
        <v/>
      </c>
      <c r="S227" s="19" t="str">
        <f t="shared" si="34"/>
        <v/>
      </c>
      <c r="T227" s="22" t="str">
        <f t="shared" si="35"/>
        <v/>
      </c>
      <c r="U227" s="19" t="str">
        <f t="shared" si="36"/>
        <v/>
      </c>
      <c r="V227" s="7"/>
      <c r="Y227" s="19" t="str">
        <f>IF('Supplier selection'!AQ227="","",'Supplier selection'!AQ227)</f>
        <v/>
      </c>
      <c r="Z227" s="19" t="str">
        <f>IF('Supplier selection'!AR227="","",'Supplier selection'!AR227)</f>
        <v/>
      </c>
      <c r="AA227" s="19" t="str">
        <f t="shared" si="37"/>
        <v/>
      </c>
      <c r="AD227" s="26" t="str">
        <f>IF(AND('Supplier selection'!X227="",'Supplier selection'!AE227=""),"",IF('Supplier selection'!X227="",'Supplier selection'!AE227,'Supplier selection'!X227))</f>
        <v/>
      </c>
      <c r="AE227" s="19" t="str">
        <f t="shared" si="38"/>
        <v/>
      </c>
      <c r="AF227" s="19" t="str">
        <f t="shared" si="39"/>
        <v/>
      </c>
      <c r="AG227" s="27" t="str">
        <f>IF(AND('Supplier selection'!AB227="",'Supplier selection'!AI227=""),"",IF('Supplier selection'!AB227="",'Supplier selection'!AI227,'Supplier selection'!AB227))</f>
        <v/>
      </c>
      <c r="AH227" s="28" t="str">
        <f t="shared" si="40"/>
        <v/>
      </c>
      <c r="AI227" s="7" t="str">
        <f t="shared" si="41"/>
        <v/>
      </c>
      <c r="AJ227" s="22" t="str">
        <f t="shared" si="42"/>
        <v/>
      </c>
      <c r="AK227" s="29" t="str">
        <f t="shared" si="43"/>
        <v/>
      </c>
      <c r="AL227" s="10"/>
    </row>
    <row r="228" spans="1:38">
      <c r="A228" s="19">
        <f>IF('Supplier selection'!A228="","",'Supplier selection'!A228)</f>
        <v>224</v>
      </c>
      <c r="B228" s="19" t="str">
        <f>IF('Supplier selection'!B228="","",'Supplier selection'!B228)</f>
        <v/>
      </c>
      <c r="C228" s="19" t="str">
        <f>IF('Supplier selection'!C228="","",'Supplier selection'!C228)</f>
        <v/>
      </c>
      <c r="D228" s="19" t="str">
        <f>IF('Supplier selection'!D228="","",'Supplier selection'!D228)</f>
        <v/>
      </c>
      <c r="E228" s="19" t="str">
        <f>IF('Supplier selection'!E228="","",'Supplier selection'!E228)</f>
        <v/>
      </c>
      <c r="F228" s="19" t="str">
        <f>IF('Supplier selection'!F228="","",'Supplier selection'!F228)</f>
        <v/>
      </c>
      <c r="G228" s="19" t="str">
        <f>IF('Supplier selection'!G228="","",'Supplier selection'!G228)</f>
        <v/>
      </c>
      <c r="H228" s="19" t="str">
        <f>IF('Supplier selection'!H228="","",'Supplier selection'!H228)</f>
        <v/>
      </c>
      <c r="I228" s="19" t="str">
        <f>IF('Supplier selection'!I228="","",'Supplier selection'!I228)</f>
        <v/>
      </c>
      <c r="J228" s="19" t="str">
        <f>IF('Supplier selection'!J228="","",'Supplier selection'!J228)</f>
        <v/>
      </c>
      <c r="K228" s="19" t="str">
        <f>IF('Supplier selection'!K228="","",'Supplier selection'!K228)</f>
        <v/>
      </c>
      <c r="L228" s="19" t="str">
        <f>IF('Supplier selection'!L228="","",'Supplier selection'!L228)</f>
        <v/>
      </c>
      <c r="M228" s="19" t="str">
        <f>IF('Supplier selection'!M228="","",'Supplier selection'!M228)</f>
        <v/>
      </c>
      <c r="N228" s="19" t="str">
        <f>IF('Supplier selection'!N228="","",'Supplier selection'!N228)</f>
        <v/>
      </c>
      <c r="O228" s="19" t="str">
        <f>IF('Supplier selection'!O228="","",'Supplier selection'!O228)</f>
        <v/>
      </c>
      <c r="Q228" s="19" t="str">
        <f>HLOOKUP($Q$3,'Supplier selection'!$AW$4:'Supplier selection'!$CT$1000,$A229,FALSE)</f>
        <v/>
      </c>
      <c r="R228" s="22" t="str">
        <f t="shared" si="33"/>
        <v/>
      </c>
      <c r="S228" s="19" t="str">
        <f t="shared" si="34"/>
        <v/>
      </c>
      <c r="T228" s="22" t="str">
        <f t="shared" si="35"/>
        <v/>
      </c>
      <c r="U228" s="19" t="str">
        <f t="shared" si="36"/>
        <v/>
      </c>
      <c r="V228" s="7"/>
      <c r="Y228" s="19" t="str">
        <f>IF('Supplier selection'!AQ228="","",'Supplier selection'!AQ228)</f>
        <v/>
      </c>
      <c r="Z228" s="19" t="str">
        <f>IF('Supplier selection'!AR228="","",'Supplier selection'!AR228)</f>
        <v/>
      </c>
      <c r="AA228" s="19" t="str">
        <f t="shared" si="37"/>
        <v/>
      </c>
      <c r="AD228" s="26" t="str">
        <f>IF(AND('Supplier selection'!X228="",'Supplier selection'!AE228=""),"",IF('Supplier selection'!X228="",'Supplier selection'!AE228,'Supplier selection'!X228))</f>
        <v/>
      </c>
      <c r="AE228" s="19" t="str">
        <f t="shared" si="38"/>
        <v/>
      </c>
      <c r="AF228" s="19" t="str">
        <f t="shared" si="39"/>
        <v/>
      </c>
      <c r="AG228" s="27" t="str">
        <f>IF(AND('Supplier selection'!AB228="",'Supplier selection'!AI228=""),"",IF('Supplier selection'!AB228="",'Supplier selection'!AI228,'Supplier selection'!AB228))</f>
        <v/>
      </c>
      <c r="AH228" s="28" t="str">
        <f t="shared" si="40"/>
        <v/>
      </c>
      <c r="AI228" s="7" t="str">
        <f t="shared" si="41"/>
        <v/>
      </c>
      <c r="AJ228" s="22" t="str">
        <f t="shared" si="42"/>
        <v/>
      </c>
      <c r="AK228" s="29" t="str">
        <f t="shared" si="43"/>
        <v/>
      </c>
      <c r="AL228" s="10"/>
    </row>
    <row r="229" spans="1:38">
      <c r="A229" s="19">
        <f>IF('Supplier selection'!A229="","",'Supplier selection'!A229)</f>
        <v>225</v>
      </c>
      <c r="B229" s="19" t="str">
        <f>IF('Supplier selection'!B229="","",'Supplier selection'!B229)</f>
        <v/>
      </c>
      <c r="C229" s="19" t="str">
        <f>IF('Supplier selection'!C229="","",'Supplier selection'!C229)</f>
        <v/>
      </c>
      <c r="D229" s="19" t="str">
        <f>IF('Supplier selection'!D229="","",'Supplier selection'!D229)</f>
        <v/>
      </c>
      <c r="E229" s="19" t="str">
        <f>IF('Supplier selection'!E229="","",'Supplier selection'!E229)</f>
        <v/>
      </c>
      <c r="F229" s="19" t="str">
        <f>IF('Supplier selection'!F229="","",'Supplier selection'!F229)</f>
        <v/>
      </c>
      <c r="G229" s="19" t="str">
        <f>IF('Supplier selection'!G229="","",'Supplier selection'!G229)</f>
        <v/>
      </c>
      <c r="H229" s="19" t="str">
        <f>IF('Supplier selection'!H229="","",'Supplier selection'!H229)</f>
        <v/>
      </c>
      <c r="I229" s="19" t="str">
        <f>IF('Supplier selection'!I229="","",'Supplier selection'!I229)</f>
        <v/>
      </c>
      <c r="J229" s="19" t="str">
        <f>IF('Supplier selection'!J229="","",'Supplier selection'!J229)</f>
        <v/>
      </c>
      <c r="K229" s="19" t="str">
        <f>IF('Supplier selection'!K229="","",'Supplier selection'!K229)</f>
        <v/>
      </c>
      <c r="L229" s="19" t="str">
        <f>IF('Supplier selection'!L229="","",'Supplier selection'!L229)</f>
        <v/>
      </c>
      <c r="M229" s="19" t="str">
        <f>IF('Supplier selection'!M229="","",'Supplier selection'!M229)</f>
        <v/>
      </c>
      <c r="N229" s="19" t="str">
        <f>IF('Supplier selection'!N229="","",'Supplier selection'!N229)</f>
        <v/>
      </c>
      <c r="O229" s="19" t="str">
        <f>IF('Supplier selection'!O229="","",'Supplier selection'!O229)</f>
        <v/>
      </c>
      <c r="Q229" s="19" t="str">
        <f>HLOOKUP($Q$3,'Supplier selection'!$AW$4:'Supplier selection'!$CT$1000,$A230,FALSE)</f>
        <v/>
      </c>
      <c r="R229" s="22" t="str">
        <f t="shared" si="33"/>
        <v/>
      </c>
      <c r="S229" s="19" t="str">
        <f t="shared" si="34"/>
        <v/>
      </c>
      <c r="T229" s="22" t="str">
        <f t="shared" si="35"/>
        <v/>
      </c>
      <c r="U229" s="19" t="str">
        <f t="shared" si="36"/>
        <v/>
      </c>
      <c r="V229" s="7"/>
      <c r="Y229" s="19" t="str">
        <f>IF('Supplier selection'!AQ229="","",'Supplier selection'!AQ229)</f>
        <v/>
      </c>
      <c r="Z229" s="19" t="str">
        <f>IF('Supplier selection'!AR229="","",'Supplier selection'!AR229)</f>
        <v/>
      </c>
      <c r="AA229" s="19" t="str">
        <f t="shared" si="37"/>
        <v/>
      </c>
      <c r="AD229" s="26" t="str">
        <f>IF(AND('Supplier selection'!X229="",'Supplier selection'!AE229=""),"",IF('Supplier selection'!X229="",'Supplier selection'!AE229,'Supplier selection'!X229))</f>
        <v/>
      </c>
      <c r="AE229" s="19" t="str">
        <f t="shared" si="38"/>
        <v/>
      </c>
      <c r="AF229" s="19" t="str">
        <f t="shared" si="39"/>
        <v/>
      </c>
      <c r="AG229" s="27" t="str">
        <f>IF(AND('Supplier selection'!AB229="",'Supplier selection'!AI229=""),"",IF('Supplier selection'!AB229="",'Supplier selection'!AI229,'Supplier selection'!AB229))</f>
        <v/>
      </c>
      <c r="AH229" s="28" t="str">
        <f t="shared" si="40"/>
        <v/>
      </c>
      <c r="AI229" s="7" t="str">
        <f t="shared" si="41"/>
        <v/>
      </c>
      <c r="AJ229" s="22" t="str">
        <f t="shared" si="42"/>
        <v/>
      </c>
      <c r="AK229" s="29" t="str">
        <f t="shared" si="43"/>
        <v/>
      </c>
      <c r="AL229" s="10"/>
    </row>
    <row r="230" spans="1:38">
      <c r="A230" s="19">
        <f>IF('Supplier selection'!A230="","",'Supplier selection'!A230)</f>
        <v>226</v>
      </c>
      <c r="B230" s="19" t="str">
        <f>IF('Supplier selection'!B230="","",'Supplier selection'!B230)</f>
        <v/>
      </c>
      <c r="C230" s="19" t="str">
        <f>IF('Supplier selection'!C230="","",'Supplier selection'!C230)</f>
        <v/>
      </c>
      <c r="D230" s="19" t="str">
        <f>IF('Supplier selection'!D230="","",'Supplier selection'!D230)</f>
        <v/>
      </c>
      <c r="E230" s="19" t="str">
        <f>IF('Supplier selection'!E230="","",'Supplier selection'!E230)</f>
        <v/>
      </c>
      <c r="F230" s="19" t="str">
        <f>IF('Supplier selection'!F230="","",'Supplier selection'!F230)</f>
        <v/>
      </c>
      <c r="G230" s="19" t="str">
        <f>IF('Supplier selection'!G230="","",'Supplier selection'!G230)</f>
        <v/>
      </c>
      <c r="H230" s="19" t="str">
        <f>IF('Supplier selection'!H230="","",'Supplier selection'!H230)</f>
        <v/>
      </c>
      <c r="I230" s="19" t="str">
        <f>IF('Supplier selection'!I230="","",'Supplier selection'!I230)</f>
        <v/>
      </c>
      <c r="J230" s="19" t="str">
        <f>IF('Supplier selection'!J230="","",'Supplier selection'!J230)</f>
        <v/>
      </c>
      <c r="K230" s="19" t="str">
        <f>IF('Supplier selection'!K230="","",'Supplier selection'!K230)</f>
        <v/>
      </c>
      <c r="L230" s="19" t="str">
        <f>IF('Supplier selection'!L230="","",'Supplier selection'!L230)</f>
        <v/>
      </c>
      <c r="M230" s="19" t="str">
        <f>IF('Supplier selection'!M230="","",'Supplier selection'!M230)</f>
        <v/>
      </c>
      <c r="N230" s="19" t="str">
        <f>IF('Supplier selection'!N230="","",'Supplier selection'!N230)</f>
        <v/>
      </c>
      <c r="O230" s="19" t="str">
        <f>IF('Supplier selection'!O230="","",'Supplier selection'!O230)</f>
        <v/>
      </c>
      <c r="Q230" s="19" t="str">
        <f>HLOOKUP($Q$3,'Supplier selection'!$AW$4:'Supplier selection'!$CT$1000,$A231,FALSE)</f>
        <v/>
      </c>
      <c r="R230" s="22" t="str">
        <f t="shared" si="33"/>
        <v/>
      </c>
      <c r="S230" s="19" t="str">
        <f t="shared" si="34"/>
        <v/>
      </c>
      <c r="T230" s="22" t="str">
        <f t="shared" si="35"/>
        <v/>
      </c>
      <c r="U230" s="19" t="str">
        <f t="shared" si="36"/>
        <v/>
      </c>
      <c r="V230" s="7"/>
      <c r="Y230" s="19" t="str">
        <f>IF('Supplier selection'!AQ230="","",'Supplier selection'!AQ230)</f>
        <v/>
      </c>
      <c r="Z230" s="19" t="str">
        <f>IF('Supplier selection'!AR230="","",'Supplier selection'!AR230)</f>
        <v/>
      </c>
      <c r="AA230" s="19" t="str">
        <f t="shared" si="37"/>
        <v/>
      </c>
      <c r="AD230" s="26" t="str">
        <f>IF(AND('Supplier selection'!X230="",'Supplier selection'!AE230=""),"",IF('Supplier selection'!X230="",'Supplier selection'!AE230,'Supplier selection'!X230))</f>
        <v/>
      </c>
      <c r="AE230" s="19" t="str">
        <f t="shared" si="38"/>
        <v/>
      </c>
      <c r="AF230" s="19" t="str">
        <f t="shared" si="39"/>
        <v/>
      </c>
      <c r="AG230" s="27" t="str">
        <f>IF(AND('Supplier selection'!AB230="",'Supplier selection'!AI230=""),"",IF('Supplier selection'!AB230="",'Supplier selection'!AI230,'Supplier selection'!AB230))</f>
        <v/>
      </c>
      <c r="AH230" s="28" t="str">
        <f t="shared" si="40"/>
        <v/>
      </c>
      <c r="AI230" s="7" t="str">
        <f t="shared" si="41"/>
        <v/>
      </c>
      <c r="AJ230" s="22" t="str">
        <f t="shared" si="42"/>
        <v/>
      </c>
      <c r="AK230" s="29" t="str">
        <f t="shared" si="43"/>
        <v/>
      </c>
      <c r="AL230" s="10"/>
    </row>
    <row r="231" spans="1:38">
      <c r="A231" s="19">
        <f>IF('Supplier selection'!A231="","",'Supplier selection'!A231)</f>
        <v>227</v>
      </c>
      <c r="B231" s="19" t="str">
        <f>IF('Supplier selection'!B231="","",'Supplier selection'!B231)</f>
        <v/>
      </c>
      <c r="C231" s="19" t="str">
        <f>IF('Supplier selection'!C231="","",'Supplier selection'!C231)</f>
        <v/>
      </c>
      <c r="D231" s="19" t="str">
        <f>IF('Supplier selection'!D231="","",'Supplier selection'!D231)</f>
        <v/>
      </c>
      <c r="E231" s="19" t="str">
        <f>IF('Supplier selection'!E231="","",'Supplier selection'!E231)</f>
        <v/>
      </c>
      <c r="F231" s="19" t="str">
        <f>IF('Supplier selection'!F231="","",'Supplier selection'!F231)</f>
        <v/>
      </c>
      <c r="G231" s="19" t="str">
        <f>IF('Supplier selection'!G231="","",'Supplier selection'!G231)</f>
        <v/>
      </c>
      <c r="H231" s="19" t="str">
        <f>IF('Supplier selection'!H231="","",'Supplier selection'!H231)</f>
        <v/>
      </c>
      <c r="I231" s="19" t="str">
        <f>IF('Supplier selection'!I231="","",'Supplier selection'!I231)</f>
        <v/>
      </c>
      <c r="J231" s="19" t="str">
        <f>IF('Supplier selection'!J231="","",'Supplier selection'!J231)</f>
        <v/>
      </c>
      <c r="K231" s="19" t="str">
        <f>IF('Supplier selection'!K231="","",'Supplier selection'!K231)</f>
        <v/>
      </c>
      <c r="L231" s="19" t="str">
        <f>IF('Supplier selection'!L231="","",'Supplier selection'!L231)</f>
        <v/>
      </c>
      <c r="M231" s="19" t="str">
        <f>IF('Supplier selection'!M231="","",'Supplier selection'!M231)</f>
        <v/>
      </c>
      <c r="N231" s="19" t="str">
        <f>IF('Supplier selection'!N231="","",'Supplier selection'!N231)</f>
        <v/>
      </c>
      <c r="O231" s="19" t="str">
        <f>IF('Supplier selection'!O231="","",'Supplier selection'!O231)</f>
        <v/>
      </c>
      <c r="Q231" s="19" t="str">
        <f>HLOOKUP($Q$3,'Supplier selection'!$AW$4:'Supplier selection'!$CT$1000,$A232,FALSE)</f>
        <v/>
      </c>
      <c r="R231" s="22" t="str">
        <f t="shared" si="33"/>
        <v/>
      </c>
      <c r="S231" s="19" t="str">
        <f t="shared" si="34"/>
        <v/>
      </c>
      <c r="T231" s="22" t="str">
        <f t="shared" si="35"/>
        <v/>
      </c>
      <c r="U231" s="19" t="str">
        <f t="shared" si="36"/>
        <v/>
      </c>
      <c r="V231" s="7"/>
      <c r="Y231" s="19" t="str">
        <f>IF('Supplier selection'!AQ231="","",'Supplier selection'!AQ231)</f>
        <v/>
      </c>
      <c r="Z231" s="19" t="str">
        <f>IF('Supplier selection'!AR231="","",'Supplier selection'!AR231)</f>
        <v/>
      </c>
      <c r="AA231" s="19" t="str">
        <f t="shared" si="37"/>
        <v/>
      </c>
      <c r="AD231" s="26" t="str">
        <f>IF(AND('Supplier selection'!X231="",'Supplier selection'!AE231=""),"",IF('Supplier selection'!X231="",'Supplier selection'!AE231,'Supplier selection'!X231))</f>
        <v/>
      </c>
      <c r="AE231" s="19" t="str">
        <f t="shared" si="38"/>
        <v/>
      </c>
      <c r="AF231" s="19" t="str">
        <f t="shared" si="39"/>
        <v/>
      </c>
      <c r="AG231" s="27" t="str">
        <f>IF(AND('Supplier selection'!AB231="",'Supplier selection'!AI231=""),"",IF('Supplier selection'!AB231="",'Supplier selection'!AI231,'Supplier selection'!AB231))</f>
        <v/>
      </c>
      <c r="AH231" s="28" t="str">
        <f t="shared" si="40"/>
        <v/>
      </c>
      <c r="AI231" s="7" t="str">
        <f t="shared" si="41"/>
        <v/>
      </c>
      <c r="AJ231" s="22" t="str">
        <f t="shared" si="42"/>
        <v/>
      </c>
      <c r="AK231" s="29" t="str">
        <f t="shared" si="43"/>
        <v/>
      </c>
      <c r="AL231" s="10"/>
    </row>
    <row r="232" spans="1:38">
      <c r="A232" s="19">
        <f>IF('Supplier selection'!A232="","",'Supplier selection'!A232)</f>
        <v>228</v>
      </c>
      <c r="B232" s="19" t="str">
        <f>IF('Supplier selection'!B232="","",'Supplier selection'!B232)</f>
        <v/>
      </c>
      <c r="C232" s="19" t="str">
        <f>IF('Supplier selection'!C232="","",'Supplier selection'!C232)</f>
        <v/>
      </c>
      <c r="D232" s="19" t="str">
        <f>IF('Supplier selection'!D232="","",'Supplier selection'!D232)</f>
        <v/>
      </c>
      <c r="E232" s="19" t="str">
        <f>IF('Supplier selection'!E232="","",'Supplier selection'!E232)</f>
        <v/>
      </c>
      <c r="F232" s="19" t="str">
        <f>IF('Supplier selection'!F232="","",'Supplier selection'!F232)</f>
        <v/>
      </c>
      <c r="G232" s="19" t="str">
        <f>IF('Supplier selection'!G232="","",'Supplier selection'!G232)</f>
        <v/>
      </c>
      <c r="H232" s="19" t="str">
        <f>IF('Supplier selection'!H232="","",'Supplier selection'!H232)</f>
        <v/>
      </c>
      <c r="I232" s="19" t="str">
        <f>IF('Supplier selection'!I232="","",'Supplier selection'!I232)</f>
        <v/>
      </c>
      <c r="J232" s="19" t="str">
        <f>IF('Supplier selection'!J232="","",'Supplier selection'!J232)</f>
        <v/>
      </c>
      <c r="K232" s="19" t="str">
        <f>IF('Supplier selection'!K232="","",'Supplier selection'!K232)</f>
        <v/>
      </c>
      <c r="L232" s="19" t="str">
        <f>IF('Supplier selection'!L232="","",'Supplier selection'!L232)</f>
        <v/>
      </c>
      <c r="M232" s="19" t="str">
        <f>IF('Supplier selection'!M232="","",'Supplier selection'!M232)</f>
        <v/>
      </c>
      <c r="N232" s="19" t="str">
        <f>IF('Supplier selection'!N232="","",'Supplier selection'!N232)</f>
        <v/>
      </c>
      <c r="O232" s="19" t="str">
        <f>IF('Supplier selection'!O232="","",'Supplier selection'!O232)</f>
        <v/>
      </c>
      <c r="Q232" s="19" t="str">
        <f>HLOOKUP($Q$3,'Supplier selection'!$AW$4:'Supplier selection'!$CT$1000,$A233,FALSE)</f>
        <v/>
      </c>
      <c r="R232" s="22" t="str">
        <f t="shared" si="33"/>
        <v/>
      </c>
      <c r="S232" s="19" t="str">
        <f t="shared" si="34"/>
        <v/>
      </c>
      <c r="T232" s="22" t="str">
        <f t="shared" si="35"/>
        <v/>
      </c>
      <c r="U232" s="19" t="str">
        <f t="shared" si="36"/>
        <v/>
      </c>
      <c r="V232" s="7"/>
      <c r="Y232" s="19" t="str">
        <f>IF('Supplier selection'!AQ232="","",'Supplier selection'!AQ232)</f>
        <v/>
      </c>
      <c r="Z232" s="19" t="str">
        <f>IF('Supplier selection'!AR232="","",'Supplier selection'!AR232)</f>
        <v/>
      </c>
      <c r="AA232" s="19" t="str">
        <f t="shared" si="37"/>
        <v/>
      </c>
      <c r="AD232" s="26" t="str">
        <f>IF(AND('Supplier selection'!X232="",'Supplier selection'!AE232=""),"",IF('Supplier selection'!X232="",'Supplier selection'!AE232,'Supplier selection'!X232))</f>
        <v/>
      </c>
      <c r="AE232" s="19" t="str">
        <f t="shared" si="38"/>
        <v/>
      </c>
      <c r="AF232" s="19" t="str">
        <f t="shared" si="39"/>
        <v/>
      </c>
      <c r="AG232" s="27" t="str">
        <f>IF(AND('Supplier selection'!AB232="",'Supplier selection'!AI232=""),"",IF('Supplier selection'!AB232="",'Supplier selection'!AI232,'Supplier selection'!AB232))</f>
        <v/>
      </c>
      <c r="AH232" s="28" t="str">
        <f t="shared" si="40"/>
        <v/>
      </c>
      <c r="AI232" s="7" t="str">
        <f t="shared" si="41"/>
        <v/>
      </c>
      <c r="AJ232" s="22" t="str">
        <f t="shared" si="42"/>
        <v/>
      </c>
      <c r="AK232" s="29" t="str">
        <f t="shared" si="43"/>
        <v/>
      </c>
      <c r="AL232" s="10"/>
    </row>
    <row r="233" spans="1:38">
      <c r="A233" s="19">
        <f>IF('Supplier selection'!A233="","",'Supplier selection'!A233)</f>
        <v>229</v>
      </c>
      <c r="B233" s="19" t="str">
        <f>IF('Supplier selection'!B233="","",'Supplier selection'!B233)</f>
        <v/>
      </c>
      <c r="C233" s="19" t="str">
        <f>IF('Supplier selection'!C233="","",'Supplier selection'!C233)</f>
        <v/>
      </c>
      <c r="D233" s="19" t="str">
        <f>IF('Supplier selection'!D233="","",'Supplier selection'!D233)</f>
        <v/>
      </c>
      <c r="E233" s="19" t="str">
        <f>IF('Supplier selection'!E233="","",'Supplier selection'!E233)</f>
        <v/>
      </c>
      <c r="F233" s="19" t="str">
        <f>IF('Supplier selection'!F233="","",'Supplier selection'!F233)</f>
        <v/>
      </c>
      <c r="G233" s="19" t="str">
        <f>IF('Supplier selection'!G233="","",'Supplier selection'!G233)</f>
        <v/>
      </c>
      <c r="H233" s="19" t="str">
        <f>IF('Supplier selection'!H233="","",'Supplier selection'!H233)</f>
        <v/>
      </c>
      <c r="I233" s="19" t="str">
        <f>IF('Supplier selection'!I233="","",'Supplier selection'!I233)</f>
        <v/>
      </c>
      <c r="J233" s="19" t="str">
        <f>IF('Supplier selection'!J233="","",'Supplier selection'!J233)</f>
        <v/>
      </c>
      <c r="K233" s="19" t="str">
        <f>IF('Supplier selection'!K233="","",'Supplier selection'!K233)</f>
        <v/>
      </c>
      <c r="L233" s="19" t="str">
        <f>IF('Supplier selection'!L233="","",'Supplier selection'!L233)</f>
        <v/>
      </c>
      <c r="M233" s="19" t="str">
        <f>IF('Supplier selection'!M233="","",'Supplier selection'!M233)</f>
        <v/>
      </c>
      <c r="N233" s="19" t="str">
        <f>IF('Supplier selection'!N233="","",'Supplier selection'!N233)</f>
        <v/>
      </c>
      <c r="O233" s="19" t="str">
        <f>IF('Supplier selection'!O233="","",'Supplier selection'!O233)</f>
        <v/>
      </c>
      <c r="Q233" s="19" t="str">
        <f>HLOOKUP($Q$3,'Supplier selection'!$AW$4:'Supplier selection'!$CT$1000,$A234,FALSE)</f>
        <v/>
      </c>
      <c r="R233" s="22" t="str">
        <f t="shared" si="33"/>
        <v/>
      </c>
      <c r="S233" s="19" t="str">
        <f t="shared" si="34"/>
        <v/>
      </c>
      <c r="T233" s="22" t="str">
        <f t="shared" si="35"/>
        <v/>
      </c>
      <c r="U233" s="19" t="str">
        <f t="shared" si="36"/>
        <v/>
      </c>
      <c r="V233" s="7"/>
      <c r="Y233" s="19" t="str">
        <f>IF('Supplier selection'!AQ233="","",'Supplier selection'!AQ233)</f>
        <v/>
      </c>
      <c r="Z233" s="19" t="str">
        <f>IF('Supplier selection'!AR233="","",'Supplier selection'!AR233)</f>
        <v/>
      </c>
      <c r="AA233" s="19" t="str">
        <f t="shared" si="37"/>
        <v/>
      </c>
      <c r="AD233" s="26" t="str">
        <f>IF(AND('Supplier selection'!X233="",'Supplier selection'!AE233=""),"",IF('Supplier selection'!X233="",'Supplier selection'!AE233,'Supplier selection'!X233))</f>
        <v/>
      </c>
      <c r="AE233" s="19" t="str">
        <f t="shared" si="38"/>
        <v/>
      </c>
      <c r="AF233" s="19" t="str">
        <f t="shared" si="39"/>
        <v/>
      </c>
      <c r="AG233" s="27" t="str">
        <f>IF(AND('Supplier selection'!AB233="",'Supplier selection'!AI233=""),"",IF('Supplier selection'!AB233="",'Supplier selection'!AI233,'Supplier selection'!AB233))</f>
        <v/>
      </c>
      <c r="AH233" s="28" t="str">
        <f t="shared" si="40"/>
        <v/>
      </c>
      <c r="AI233" s="7" t="str">
        <f t="shared" si="41"/>
        <v/>
      </c>
      <c r="AJ233" s="22" t="str">
        <f t="shared" si="42"/>
        <v/>
      </c>
      <c r="AK233" s="29" t="str">
        <f t="shared" si="43"/>
        <v/>
      </c>
      <c r="AL233" s="10"/>
    </row>
    <row r="234" spans="1:38">
      <c r="A234" s="19">
        <f>IF('Supplier selection'!A234="","",'Supplier selection'!A234)</f>
        <v>230</v>
      </c>
      <c r="B234" s="19" t="str">
        <f>IF('Supplier selection'!B234="","",'Supplier selection'!B234)</f>
        <v/>
      </c>
      <c r="C234" s="19" t="str">
        <f>IF('Supplier selection'!C234="","",'Supplier selection'!C234)</f>
        <v/>
      </c>
      <c r="D234" s="19" t="str">
        <f>IF('Supplier selection'!D234="","",'Supplier selection'!D234)</f>
        <v/>
      </c>
      <c r="E234" s="19" t="str">
        <f>IF('Supplier selection'!E234="","",'Supplier selection'!E234)</f>
        <v/>
      </c>
      <c r="F234" s="19" t="str">
        <f>IF('Supplier selection'!F234="","",'Supplier selection'!F234)</f>
        <v/>
      </c>
      <c r="G234" s="19" t="str">
        <f>IF('Supplier selection'!G234="","",'Supplier selection'!G234)</f>
        <v/>
      </c>
      <c r="H234" s="19" t="str">
        <f>IF('Supplier selection'!H234="","",'Supplier selection'!H234)</f>
        <v/>
      </c>
      <c r="I234" s="19" t="str">
        <f>IF('Supplier selection'!I234="","",'Supplier selection'!I234)</f>
        <v/>
      </c>
      <c r="J234" s="19" t="str">
        <f>IF('Supplier selection'!J234="","",'Supplier selection'!J234)</f>
        <v/>
      </c>
      <c r="K234" s="19" t="str">
        <f>IF('Supplier selection'!K234="","",'Supplier selection'!K234)</f>
        <v/>
      </c>
      <c r="L234" s="19" t="str">
        <f>IF('Supplier selection'!L234="","",'Supplier selection'!L234)</f>
        <v/>
      </c>
      <c r="M234" s="19" t="str">
        <f>IF('Supplier selection'!M234="","",'Supplier selection'!M234)</f>
        <v/>
      </c>
      <c r="N234" s="19" t="str">
        <f>IF('Supplier selection'!N234="","",'Supplier selection'!N234)</f>
        <v/>
      </c>
      <c r="O234" s="19" t="str">
        <f>IF('Supplier selection'!O234="","",'Supplier selection'!O234)</f>
        <v/>
      </c>
      <c r="Q234" s="19" t="str">
        <f>HLOOKUP($Q$3,'Supplier selection'!$AW$4:'Supplier selection'!$CT$1000,$A235,FALSE)</f>
        <v/>
      </c>
      <c r="R234" s="22" t="str">
        <f t="shared" si="33"/>
        <v/>
      </c>
      <c r="S234" s="19" t="str">
        <f t="shared" si="34"/>
        <v/>
      </c>
      <c r="T234" s="22" t="str">
        <f t="shared" si="35"/>
        <v/>
      </c>
      <c r="U234" s="19" t="str">
        <f t="shared" si="36"/>
        <v/>
      </c>
      <c r="V234" s="7"/>
      <c r="Y234" s="19" t="str">
        <f>IF('Supplier selection'!AQ234="","",'Supplier selection'!AQ234)</f>
        <v/>
      </c>
      <c r="Z234" s="19" t="str">
        <f>IF('Supplier selection'!AR234="","",'Supplier selection'!AR234)</f>
        <v/>
      </c>
      <c r="AA234" s="19" t="str">
        <f t="shared" si="37"/>
        <v/>
      </c>
      <c r="AD234" s="26" t="str">
        <f>IF(AND('Supplier selection'!X234="",'Supplier selection'!AE234=""),"",IF('Supplier selection'!X234="",'Supplier selection'!AE234,'Supplier selection'!X234))</f>
        <v/>
      </c>
      <c r="AE234" s="19" t="str">
        <f t="shared" si="38"/>
        <v/>
      </c>
      <c r="AF234" s="19" t="str">
        <f t="shared" si="39"/>
        <v/>
      </c>
      <c r="AG234" s="27" t="str">
        <f>IF(AND('Supplier selection'!AB234="",'Supplier selection'!AI234=""),"",IF('Supplier selection'!AB234="",'Supplier selection'!AI234,'Supplier selection'!AB234))</f>
        <v/>
      </c>
      <c r="AH234" s="28" t="str">
        <f t="shared" si="40"/>
        <v/>
      </c>
      <c r="AI234" s="7" t="str">
        <f t="shared" si="41"/>
        <v/>
      </c>
      <c r="AJ234" s="22" t="str">
        <f t="shared" si="42"/>
        <v/>
      </c>
      <c r="AK234" s="29" t="str">
        <f t="shared" si="43"/>
        <v/>
      </c>
      <c r="AL234" s="10"/>
    </row>
    <row r="235" spans="1:38">
      <c r="A235" s="19">
        <f>IF('Supplier selection'!A235="","",'Supplier selection'!A235)</f>
        <v>231</v>
      </c>
      <c r="B235" s="19" t="str">
        <f>IF('Supplier selection'!B235="","",'Supplier selection'!B235)</f>
        <v/>
      </c>
      <c r="C235" s="19" t="str">
        <f>IF('Supplier selection'!C235="","",'Supplier selection'!C235)</f>
        <v/>
      </c>
      <c r="D235" s="19" t="str">
        <f>IF('Supplier selection'!D235="","",'Supplier selection'!D235)</f>
        <v/>
      </c>
      <c r="E235" s="19" t="str">
        <f>IF('Supplier selection'!E235="","",'Supplier selection'!E235)</f>
        <v/>
      </c>
      <c r="F235" s="19" t="str">
        <f>IF('Supplier selection'!F235="","",'Supplier selection'!F235)</f>
        <v/>
      </c>
      <c r="G235" s="19" t="str">
        <f>IF('Supplier selection'!G235="","",'Supplier selection'!G235)</f>
        <v/>
      </c>
      <c r="H235" s="19" t="str">
        <f>IF('Supplier selection'!H235="","",'Supplier selection'!H235)</f>
        <v/>
      </c>
      <c r="I235" s="19" t="str">
        <f>IF('Supplier selection'!I235="","",'Supplier selection'!I235)</f>
        <v/>
      </c>
      <c r="J235" s="19" t="str">
        <f>IF('Supplier selection'!J235="","",'Supplier selection'!J235)</f>
        <v/>
      </c>
      <c r="K235" s="19" t="str">
        <f>IF('Supplier selection'!K235="","",'Supplier selection'!K235)</f>
        <v/>
      </c>
      <c r="L235" s="19" t="str">
        <f>IF('Supplier selection'!L235="","",'Supplier selection'!L235)</f>
        <v/>
      </c>
      <c r="M235" s="19" t="str">
        <f>IF('Supplier selection'!M235="","",'Supplier selection'!M235)</f>
        <v/>
      </c>
      <c r="N235" s="19" t="str">
        <f>IF('Supplier selection'!N235="","",'Supplier selection'!N235)</f>
        <v/>
      </c>
      <c r="O235" s="19" t="str">
        <f>IF('Supplier selection'!O235="","",'Supplier selection'!O235)</f>
        <v/>
      </c>
      <c r="Q235" s="19" t="str">
        <f>HLOOKUP($Q$3,'Supplier selection'!$AW$4:'Supplier selection'!$CT$1000,$A236,FALSE)</f>
        <v/>
      </c>
      <c r="R235" s="22" t="str">
        <f t="shared" si="33"/>
        <v/>
      </c>
      <c r="S235" s="19" t="str">
        <f t="shared" si="34"/>
        <v/>
      </c>
      <c r="T235" s="22" t="str">
        <f t="shared" si="35"/>
        <v/>
      </c>
      <c r="U235" s="19" t="str">
        <f t="shared" si="36"/>
        <v/>
      </c>
      <c r="V235" s="7"/>
      <c r="Y235" s="19" t="str">
        <f>IF('Supplier selection'!AQ235="","",'Supplier selection'!AQ235)</f>
        <v/>
      </c>
      <c r="Z235" s="19" t="str">
        <f>IF('Supplier selection'!AR235="","",'Supplier selection'!AR235)</f>
        <v/>
      </c>
      <c r="AA235" s="19" t="str">
        <f t="shared" si="37"/>
        <v/>
      </c>
      <c r="AD235" s="26" t="str">
        <f>IF(AND('Supplier selection'!X235="",'Supplier selection'!AE235=""),"",IF('Supplier selection'!X235="",'Supplier selection'!AE235,'Supplier selection'!X235))</f>
        <v/>
      </c>
      <c r="AE235" s="19" t="str">
        <f t="shared" si="38"/>
        <v/>
      </c>
      <c r="AF235" s="19" t="str">
        <f t="shared" si="39"/>
        <v/>
      </c>
      <c r="AG235" s="27" t="str">
        <f>IF(AND('Supplier selection'!AB235="",'Supplier selection'!AI235=""),"",IF('Supplier selection'!AB235="",'Supplier selection'!AI235,'Supplier selection'!AB235))</f>
        <v/>
      </c>
      <c r="AH235" s="28" t="str">
        <f t="shared" si="40"/>
        <v/>
      </c>
      <c r="AI235" s="7" t="str">
        <f t="shared" si="41"/>
        <v/>
      </c>
      <c r="AJ235" s="22" t="str">
        <f t="shared" si="42"/>
        <v/>
      </c>
      <c r="AK235" s="29" t="str">
        <f t="shared" si="43"/>
        <v/>
      </c>
      <c r="AL235" s="10"/>
    </row>
    <row r="236" spans="1:38">
      <c r="A236" s="19">
        <f>IF('Supplier selection'!A236="","",'Supplier selection'!A236)</f>
        <v>232</v>
      </c>
      <c r="B236" s="19" t="str">
        <f>IF('Supplier selection'!B236="","",'Supplier selection'!B236)</f>
        <v/>
      </c>
      <c r="C236" s="19" t="str">
        <f>IF('Supplier selection'!C236="","",'Supplier selection'!C236)</f>
        <v/>
      </c>
      <c r="D236" s="19" t="str">
        <f>IF('Supplier selection'!D236="","",'Supplier selection'!D236)</f>
        <v/>
      </c>
      <c r="E236" s="19" t="str">
        <f>IF('Supplier selection'!E236="","",'Supplier selection'!E236)</f>
        <v/>
      </c>
      <c r="F236" s="19" t="str">
        <f>IF('Supplier selection'!F236="","",'Supplier selection'!F236)</f>
        <v/>
      </c>
      <c r="G236" s="19" t="str">
        <f>IF('Supplier selection'!G236="","",'Supplier selection'!G236)</f>
        <v/>
      </c>
      <c r="H236" s="19" t="str">
        <f>IF('Supplier selection'!H236="","",'Supplier selection'!H236)</f>
        <v/>
      </c>
      <c r="I236" s="19" t="str">
        <f>IF('Supplier selection'!I236="","",'Supplier selection'!I236)</f>
        <v/>
      </c>
      <c r="J236" s="19" t="str">
        <f>IF('Supplier selection'!J236="","",'Supplier selection'!J236)</f>
        <v/>
      </c>
      <c r="K236" s="19" t="str">
        <f>IF('Supplier selection'!K236="","",'Supplier selection'!K236)</f>
        <v/>
      </c>
      <c r="L236" s="19" t="str">
        <f>IF('Supplier selection'!L236="","",'Supplier selection'!L236)</f>
        <v/>
      </c>
      <c r="M236" s="19" t="str">
        <f>IF('Supplier selection'!M236="","",'Supplier selection'!M236)</f>
        <v/>
      </c>
      <c r="N236" s="19" t="str">
        <f>IF('Supplier selection'!N236="","",'Supplier selection'!N236)</f>
        <v/>
      </c>
      <c r="O236" s="19" t="str">
        <f>IF('Supplier selection'!O236="","",'Supplier selection'!O236)</f>
        <v/>
      </c>
      <c r="Q236" s="19" t="str">
        <f>HLOOKUP($Q$3,'Supplier selection'!$AW$4:'Supplier selection'!$CT$1000,$A237,FALSE)</f>
        <v/>
      </c>
      <c r="R236" s="22" t="str">
        <f t="shared" si="33"/>
        <v/>
      </c>
      <c r="S236" s="19" t="str">
        <f t="shared" si="34"/>
        <v/>
      </c>
      <c r="T236" s="22" t="str">
        <f t="shared" si="35"/>
        <v/>
      </c>
      <c r="U236" s="19" t="str">
        <f t="shared" si="36"/>
        <v/>
      </c>
      <c r="V236" s="7"/>
      <c r="Y236" s="19" t="str">
        <f>IF('Supplier selection'!AQ236="","",'Supplier selection'!AQ236)</f>
        <v/>
      </c>
      <c r="Z236" s="19" t="str">
        <f>IF('Supplier selection'!AR236="","",'Supplier selection'!AR236)</f>
        <v/>
      </c>
      <c r="AA236" s="19" t="str">
        <f t="shared" si="37"/>
        <v/>
      </c>
      <c r="AD236" s="26" t="str">
        <f>IF(AND('Supplier selection'!X236="",'Supplier selection'!AE236=""),"",IF('Supplier selection'!X236="",'Supplier selection'!AE236,'Supplier selection'!X236))</f>
        <v/>
      </c>
      <c r="AE236" s="19" t="str">
        <f t="shared" si="38"/>
        <v/>
      </c>
      <c r="AF236" s="19" t="str">
        <f t="shared" si="39"/>
        <v/>
      </c>
      <c r="AG236" s="27" t="str">
        <f>IF(AND('Supplier selection'!AB236="",'Supplier selection'!AI236=""),"",IF('Supplier selection'!AB236="",'Supplier selection'!AI236,'Supplier selection'!AB236))</f>
        <v/>
      </c>
      <c r="AH236" s="28" t="str">
        <f t="shared" si="40"/>
        <v/>
      </c>
      <c r="AI236" s="7" t="str">
        <f t="shared" si="41"/>
        <v/>
      </c>
      <c r="AJ236" s="22" t="str">
        <f t="shared" si="42"/>
        <v/>
      </c>
      <c r="AK236" s="29" t="str">
        <f t="shared" si="43"/>
        <v/>
      </c>
      <c r="AL236" s="10"/>
    </row>
    <row r="237" spans="1:38">
      <c r="A237" s="19">
        <f>IF('Supplier selection'!A237="","",'Supplier selection'!A237)</f>
        <v>233</v>
      </c>
      <c r="B237" s="19" t="str">
        <f>IF('Supplier selection'!B237="","",'Supplier selection'!B237)</f>
        <v/>
      </c>
      <c r="C237" s="19" t="str">
        <f>IF('Supplier selection'!C237="","",'Supplier selection'!C237)</f>
        <v/>
      </c>
      <c r="D237" s="19" t="str">
        <f>IF('Supplier selection'!D237="","",'Supplier selection'!D237)</f>
        <v/>
      </c>
      <c r="E237" s="19" t="str">
        <f>IF('Supplier selection'!E237="","",'Supplier selection'!E237)</f>
        <v/>
      </c>
      <c r="F237" s="19" t="str">
        <f>IF('Supplier selection'!F237="","",'Supplier selection'!F237)</f>
        <v/>
      </c>
      <c r="G237" s="19" t="str">
        <f>IF('Supplier selection'!G237="","",'Supplier selection'!G237)</f>
        <v/>
      </c>
      <c r="H237" s="19" t="str">
        <f>IF('Supplier selection'!H237="","",'Supplier selection'!H237)</f>
        <v/>
      </c>
      <c r="I237" s="19" t="str">
        <f>IF('Supplier selection'!I237="","",'Supplier selection'!I237)</f>
        <v/>
      </c>
      <c r="J237" s="19" t="str">
        <f>IF('Supplier selection'!J237="","",'Supplier selection'!J237)</f>
        <v/>
      </c>
      <c r="K237" s="19" t="str">
        <f>IF('Supplier selection'!K237="","",'Supplier selection'!K237)</f>
        <v/>
      </c>
      <c r="L237" s="19" t="str">
        <f>IF('Supplier selection'!L237="","",'Supplier selection'!L237)</f>
        <v/>
      </c>
      <c r="M237" s="19" t="str">
        <f>IF('Supplier selection'!M237="","",'Supplier selection'!M237)</f>
        <v/>
      </c>
      <c r="N237" s="19" t="str">
        <f>IF('Supplier selection'!N237="","",'Supplier selection'!N237)</f>
        <v/>
      </c>
      <c r="O237" s="19" t="str">
        <f>IF('Supplier selection'!O237="","",'Supplier selection'!O237)</f>
        <v/>
      </c>
      <c r="Q237" s="19" t="str">
        <f>HLOOKUP($Q$3,'Supplier selection'!$AW$4:'Supplier selection'!$CT$1000,$A238,FALSE)</f>
        <v/>
      </c>
      <c r="R237" s="22" t="str">
        <f t="shared" si="33"/>
        <v/>
      </c>
      <c r="S237" s="19" t="str">
        <f t="shared" si="34"/>
        <v/>
      </c>
      <c r="T237" s="22" t="str">
        <f t="shared" si="35"/>
        <v/>
      </c>
      <c r="U237" s="19" t="str">
        <f t="shared" si="36"/>
        <v/>
      </c>
      <c r="V237" s="7"/>
      <c r="Y237" s="19" t="str">
        <f>IF('Supplier selection'!AQ237="","",'Supplier selection'!AQ237)</f>
        <v/>
      </c>
      <c r="Z237" s="19" t="str">
        <f>IF('Supplier selection'!AR237="","",'Supplier selection'!AR237)</f>
        <v/>
      </c>
      <c r="AA237" s="19" t="str">
        <f t="shared" si="37"/>
        <v/>
      </c>
      <c r="AD237" s="26" t="str">
        <f>IF(AND('Supplier selection'!X237="",'Supplier selection'!AE237=""),"",IF('Supplier selection'!X237="",'Supplier selection'!AE237,'Supplier selection'!X237))</f>
        <v/>
      </c>
      <c r="AE237" s="19" t="str">
        <f t="shared" si="38"/>
        <v/>
      </c>
      <c r="AF237" s="19" t="str">
        <f t="shared" si="39"/>
        <v/>
      </c>
      <c r="AG237" s="27" t="str">
        <f>IF(AND('Supplier selection'!AB237="",'Supplier selection'!AI237=""),"",IF('Supplier selection'!AB237="",'Supplier selection'!AI237,'Supplier selection'!AB237))</f>
        <v/>
      </c>
      <c r="AH237" s="28" t="str">
        <f t="shared" si="40"/>
        <v/>
      </c>
      <c r="AI237" s="7" t="str">
        <f t="shared" si="41"/>
        <v/>
      </c>
      <c r="AJ237" s="22" t="str">
        <f t="shared" si="42"/>
        <v/>
      </c>
      <c r="AK237" s="29" t="str">
        <f t="shared" si="43"/>
        <v/>
      </c>
      <c r="AL237" s="10"/>
    </row>
    <row r="238" spans="1:38">
      <c r="A238" s="19">
        <f>IF('Supplier selection'!A238="","",'Supplier selection'!A238)</f>
        <v>234</v>
      </c>
      <c r="B238" s="19" t="str">
        <f>IF('Supplier selection'!B238="","",'Supplier selection'!B238)</f>
        <v/>
      </c>
      <c r="C238" s="19" t="str">
        <f>IF('Supplier selection'!C238="","",'Supplier selection'!C238)</f>
        <v/>
      </c>
      <c r="D238" s="19" t="str">
        <f>IF('Supplier selection'!D238="","",'Supplier selection'!D238)</f>
        <v/>
      </c>
      <c r="E238" s="19" t="str">
        <f>IF('Supplier selection'!E238="","",'Supplier selection'!E238)</f>
        <v/>
      </c>
      <c r="F238" s="19" t="str">
        <f>IF('Supplier selection'!F238="","",'Supplier selection'!F238)</f>
        <v/>
      </c>
      <c r="G238" s="19" t="str">
        <f>IF('Supplier selection'!G238="","",'Supplier selection'!G238)</f>
        <v/>
      </c>
      <c r="H238" s="19" t="str">
        <f>IF('Supplier selection'!H238="","",'Supplier selection'!H238)</f>
        <v/>
      </c>
      <c r="I238" s="19" t="str">
        <f>IF('Supplier selection'!I238="","",'Supplier selection'!I238)</f>
        <v/>
      </c>
      <c r="J238" s="19" t="str">
        <f>IF('Supplier selection'!J238="","",'Supplier selection'!J238)</f>
        <v/>
      </c>
      <c r="K238" s="19" t="str">
        <f>IF('Supplier selection'!K238="","",'Supplier selection'!K238)</f>
        <v/>
      </c>
      <c r="L238" s="19" t="str">
        <f>IF('Supplier selection'!L238="","",'Supplier selection'!L238)</f>
        <v/>
      </c>
      <c r="M238" s="19" t="str">
        <f>IF('Supplier selection'!M238="","",'Supplier selection'!M238)</f>
        <v/>
      </c>
      <c r="N238" s="19" t="str">
        <f>IF('Supplier selection'!N238="","",'Supplier selection'!N238)</f>
        <v/>
      </c>
      <c r="O238" s="19" t="str">
        <f>IF('Supplier selection'!O238="","",'Supplier selection'!O238)</f>
        <v/>
      </c>
      <c r="Q238" s="19" t="str">
        <f>HLOOKUP($Q$3,'Supplier selection'!$AW$4:'Supplier selection'!$CT$1000,$A239,FALSE)</f>
        <v/>
      </c>
      <c r="R238" s="22" t="str">
        <f t="shared" si="33"/>
        <v/>
      </c>
      <c r="S238" s="19" t="str">
        <f t="shared" si="34"/>
        <v/>
      </c>
      <c r="T238" s="22" t="str">
        <f t="shared" si="35"/>
        <v/>
      </c>
      <c r="U238" s="19" t="str">
        <f t="shared" si="36"/>
        <v/>
      </c>
      <c r="V238" s="7"/>
      <c r="Y238" s="19" t="str">
        <f>IF('Supplier selection'!AQ238="","",'Supplier selection'!AQ238)</f>
        <v/>
      </c>
      <c r="Z238" s="19" t="str">
        <f>IF('Supplier selection'!AR238="","",'Supplier selection'!AR238)</f>
        <v/>
      </c>
      <c r="AA238" s="19" t="str">
        <f t="shared" si="37"/>
        <v/>
      </c>
      <c r="AD238" s="26" t="str">
        <f>IF(AND('Supplier selection'!X238="",'Supplier selection'!AE238=""),"",IF('Supplier selection'!X238="",'Supplier selection'!AE238,'Supplier selection'!X238))</f>
        <v/>
      </c>
      <c r="AE238" s="19" t="str">
        <f t="shared" si="38"/>
        <v/>
      </c>
      <c r="AF238" s="19" t="str">
        <f t="shared" si="39"/>
        <v/>
      </c>
      <c r="AG238" s="27" t="str">
        <f>IF(AND('Supplier selection'!AB238="",'Supplier selection'!AI238=""),"",IF('Supplier selection'!AB238="",'Supplier selection'!AI238,'Supplier selection'!AB238))</f>
        <v/>
      </c>
      <c r="AH238" s="28" t="str">
        <f t="shared" si="40"/>
        <v/>
      </c>
      <c r="AI238" s="7" t="str">
        <f t="shared" si="41"/>
        <v/>
      </c>
      <c r="AJ238" s="22" t="str">
        <f t="shared" si="42"/>
        <v/>
      </c>
      <c r="AK238" s="29" t="str">
        <f t="shared" si="43"/>
        <v/>
      </c>
      <c r="AL238" s="10"/>
    </row>
    <row r="239" spans="1:38">
      <c r="A239" s="19">
        <f>IF('Supplier selection'!A239="","",'Supplier selection'!A239)</f>
        <v>235</v>
      </c>
      <c r="B239" s="19" t="str">
        <f>IF('Supplier selection'!B239="","",'Supplier selection'!B239)</f>
        <v/>
      </c>
      <c r="C239" s="19" t="str">
        <f>IF('Supplier selection'!C239="","",'Supplier selection'!C239)</f>
        <v/>
      </c>
      <c r="D239" s="19" t="str">
        <f>IF('Supplier selection'!D239="","",'Supplier selection'!D239)</f>
        <v/>
      </c>
      <c r="E239" s="19" t="str">
        <f>IF('Supplier selection'!E239="","",'Supplier selection'!E239)</f>
        <v/>
      </c>
      <c r="F239" s="19" t="str">
        <f>IF('Supplier selection'!F239="","",'Supplier selection'!F239)</f>
        <v/>
      </c>
      <c r="G239" s="19" t="str">
        <f>IF('Supplier selection'!G239="","",'Supplier selection'!G239)</f>
        <v/>
      </c>
      <c r="H239" s="19" t="str">
        <f>IF('Supplier selection'!H239="","",'Supplier selection'!H239)</f>
        <v/>
      </c>
      <c r="I239" s="19" t="str">
        <f>IF('Supplier selection'!I239="","",'Supplier selection'!I239)</f>
        <v/>
      </c>
      <c r="J239" s="19" t="str">
        <f>IF('Supplier selection'!J239="","",'Supplier selection'!J239)</f>
        <v/>
      </c>
      <c r="K239" s="19" t="str">
        <f>IF('Supplier selection'!K239="","",'Supplier selection'!K239)</f>
        <v/>
      </c>
      <c r="L239" s="19" t="str">
        <f>IF('Supplier selection'!L239="","",'Supplier selection'!L239)</f>
        <v/>
      </c>
      <c r="M239" s="19" t="str">
        <f>IF('Supplier selection'!M239="","",'Supplier selection'!M239)</f>
        <v/>
      </c>
      <c r="N239" s="19" t="str">
        <f>IF('Supplier selection'!N239="","",'Supplier selection'!N239)</f>
        <v/>
      </c>
      <c r="O239" s="19" t="str">
        <f>IF('Supplier selection'!O239="","",'Supplier selection'!O239)</f>
        <v/>
      </c>
      <c r="Q239" s="19" t="str">
        <f>HLOOKUP($Q$3,'Supplier selection'!$AW$4:'Supplier selection'!$CT$1000,$A240,FALSE)</f>
        <v/>
      </c>
      <c r="R239" s="22" t="str">
        <f t="shared" si="33"/>
        <v/>
      </c>
      <c r="S239" s="19" t="str">
        <f t="shared" si="34"/>
        <v/>
      </c>
      <c r="T239" s="22" t="str">
        <f t="shared" si="35"/>
        <v/>
      </c>
      <c r="U239" s="19" t="str">
        <f t="shared" si="36"/>
        <v/>
      </c>
      <c r="V239" s="7"/>
      <c r="Y239" s="19" t="str">
        <f>IF('Supplier selection'!AQ239="","",'Supplier selection'!AQ239)</f>
        <v/>
      </c>
      <c r="Z239" s="19" t="str">
        <f>IF('Supplier selection'!AR239="","",'Supplier selection'!AR239)</f>
        <v/>
      </c>
      <c r="AA239" s="19" t="str">
        <f t="shared" si="37"/>
        <v/>
      </c>
      <c r="AD239" s="26" t="str">
        <f>IF(AND('Supplier selection'!X239="",'Supplier selection'!AE239=""),"",IF('Supplier selection'!X239="",'Supplier selection'!AE239,'Supplier selection'!X239))</f>
        <v/>
      </c>
      <c r="AE239" s="19" t="str">
        <f t="shared" si="38"/>
        <v/>
      </c>
      <c r="AF239" s="19" t="str">
        <f t="shared" si="39"/>
        <v/>
      </c>
      <c r="AG239" s="27" t="str">
        <f>IF(AND('Supplier selection'!AB239="",'Supplier selection'!AI239=""),"",IF('Supplier selection'!AB239="",'Supplier selection'!AI239,'Supplier selection'!AB239))</f>
        <v/>
      </c>
      <c r="AH239" s="28" t="str">
        <f t="shared" si="40"/>
        <v/>
      </c>
      <c r="AI239" s="7" t="str">
        <f t="shared" si="41"/>
        <v/>
      </c>
      <c r="AJ239" s="22" t="str">
        <f t="shared" si="42"/>
        <v/>
      </c>
      <c r="AK239" s="29" t="str">
        <f t="shared" si="43"/>
        <v/>
      </c>
      <c r="AL239" s="10"/>
    </row>
    <row r="240" spans="1:38">
      <c r="A240" s="19">
        <f>IF('Supplier selection'!A240="","",'Supplier selection'!A240)</f>
        <v>236</v>
      </c>
      <c r="B240" s="19" t="str">
        <f>IF('Supplier selection'!B240="","",'Supplier selection'!B240)</f>
        <v/>
      </c>
      <c r="C240" s="19" t="str">
        <f>IF('Supplier selection'!C240="","",'Supplier selection'!C240)</f>
        <v/>
      </c>
      <c r="D240" s="19" t="str">
        <f>IF('Supplier selection'!D240="","",'Supplier selection'!D240)</f>
        <v/>
      </c>
      <c r="E240" s="19" t="str">
        <f>IF('Supplier selection'!E240="","",'Supplier selection'!E240)</f>
        <v/>
      </c>
      <c r="F240" s="19" t="str">
        <f>IF('Supplier selection'!F240="","",'Supplier selection'!F240)</f>
        <v/>
      </c>
      <c r="G240" s="19" t="str">
        <f>IF('Supplier selection'!G240="","",'Supplier selection'!G240)</f>
        <v/>
      </c>
      <c r="H240" s="19" t="str">
        <f>IF('Supplier selection'!H240="","",'Supplier selection'!H240)</f>
        <v/>
      </c>
      <c r="I240" s="19" t="str">
        <f>IF('Supplier selection'!I240="","",'Supplier selection'!I240)</f>
        <v/>
      </c>
      <c r="J240" s="19" t="str">
        <f>IF('Supplier selection'!J240="","",'Supplier selection'!J240)</f>
        <v/>
      </c>
      <c r="K240" s="19" t="str">
        <f>IF('Supplier selection'!K240="","",'Supplier selection'!K240)</f>
        <v/>
      </c>
      <c r="L240" s="19" t="str">
        <f>IF('Supplier selection'!L240="","",'Supplier selection'!L240)</f>
        <v/>
      </c>
      <c r="M240" s="19" t="str">
        <f>IF('Supplier selection'!M240="","",'Supplier selection'!M240)</f>
        <v/>
      </c>
      <c r="N240" s="19" t="str">
        <f>IF('Supplier selection'!N240="","",'Supplier selection'!N240)</f>
        <v/>
      </c>
      <c r="O240" s="19" t="str">
        <f>IF('Supplier selection'!O240="","",'Supplier selection'!O240)</f>
        <v/>
      </c>
      <c r="Q240" s="19" t="str">
        <f>HLOOKUP($Q$3,'Supplier selection'!$AW$4:'Supplier selection'!$CT$1000,$A241,FALSE)</f>
        <v/>
      </c>
      <c r="R240" s="22" t="str">
        <f t="shared" si="33"/>
        <v/>
      </c>
      <c r="S240" s="19" t="str">
        <f t="shared" si="34"/>
        <v/>
      </c>
      <c r="T240" s="22" t="str">
        <f t="shared" si="35"/>
        <v/>
      </c>
      <c r="U240" s="19" t="str">
        <f t="shared" si="36"/>
        <v/>
      </c>
      <c r="V240" s="7"/>
      <c r="Y240" s="19" t="str">
        <f>IF('Supplier selection'!AQ240="","",'Supplier selection'!AQ240)</f>
        <v/>
      </c>
      <c r="Z240" s="19" t="str">
        <f>IF('Supplier selection'!AR240="","",'Supplier selection'!AR240)</f>
        <v/>
      </c>
      <c r="AA240" s="19" t="str">
        <f t="shared" si="37"/>
        <v/>
      </c>
      <c r="AD240" s="26" t="str">
        <f>IF(AND('Supplier selection'!X240="",'Supplier selection'!AE240=""),"",IF('Supplier selection'!X240="",'Supplier selection'!AE240,'Supplier selection'!X240))</f>
        <v/>
      </c>
      <c r="AE240" s="19" t="str">
        <f t="shared" si="38"/>
        <v/>
      </c>
      <c r="AF240" s="19" t="str">
        <f t="shared" si="39"/>
        <v/>
      </c>
      <c r="AG240" s="27" t="str">
        <f>IF(AND('Supplier selection'!AB240="",'Supplier selection'!AI240=""),"",IF('Supplier selection'!AB240="",'Supplier selection'!AI240,'Supplier selection'!AB240))</f>
        <v/>
      </c>
      <c r="AH240" s="28" t="str">
        <f t="shared" si="40"/>
        <v/>
      </c>
      <c r="AI240" s="7" t="str">
        <f t="shared" si="41"/>
        <v/>
      </c>
      <c r="AJ240" s="22" t="str">
        <f t="shared" si="42"/>
        <v/>
      </c>
      <c r="AK240" s="29" t="str">
        <f t="shared" si="43"/>
        <v/>
      </c>
      <c r="AL240" s="10"/>
    </row>
    <row r="241" spans="1:38">
      <c r="A241" s="19">
        <f>IF('Supplier selection'!A241="","",'Supplier selection'!A241)</f>
        <v>237</v>
      </c>
      <c r="B241" s="19" t="str">
        <f>IF('Supplier selection'!B241="","",'Supplier selection'!B241)</f>
        <v/>
      </c>
      <c r="C241" s="19" t="str">
        <f>IF('Supplier selection'!C241="","",'Supplier selection'!C241)</f>
        <v/>
      </c>
      <c r="D241" s="19" t="str">
        <f>IF('Supplier selection'!D241="","",'Supplier selection'!D241)</f>
        <v/>
      </c>
      <c r="E241" s="19" t="str">
        <f>IF('Supplier selection'!E241="","",'Supplier selection'!E241)</f>
        <v/>
      </c>
      <c r="F241" s="19" t="str">
        <f>IF('Supplier selection'!F241="","",'Supplier selection'!F241)</f>
        <v/>
      </c>
      <c r="G241" s="19" t="str">
        <f>IF('Supplier selection'!G241="","",'Supplier selection'!G241)</f>
        <v/>
      </c>
      <c r="H241" s="19" t="str">
        <f>IF('Supplier selection'!H241="","",'Supplier selection'!H241)</f>
        <v/>
      </c>
      <c r="I241" s="19" t="str">
        <f>IF('Supplier selection'!I241="","",'Supplier selection'!I241)</f>
        <v/>
      </c>
      <c r="J241" s="19" t="str">
        <f>IF('Supplier selection'!J241="","",'Supplier selection'!J241)</f>
        <v/>
      </c>
      <c r="K241" s="19" t="str">
        <f>IF('Supplier selection'!K241="","",'Supplier selection'!K241)</f>
        <v/>
      </c>
      <c r="L241" s="19" t="str">
        <f>IF('Supplier selection'!L241="","",'Supplier selection'!L241)</f>
        <v/>
      </c>
      <c r="M241" s="19" t="str">
        <f>IF('Supplier selection'!M241="","",'Supplier selection'!M241)</f>
        <v/>
      </c>
      <c r="N241" s="19" t="str">
        <f>IF('Supplier selection'!N241="","",'Supplier selection'!N241)</f>
        <v/>
      </c>
      <c r="O241" s="19" t="str">
        <f>IF('Supplier selection'!O241="","",'Supplier selection'!O241)</f>
        <v/>
      </c>
      <c r="Q241" s="19" t="str">
        <f>HLOOKUP($Q$3,'Supplier selection'!$AW$4:'Supplier selection'!$CT$1000,$A242,FALSE)</f>
        <v/>
      </c>
      <c r="R241" s="22" t="str">
        <f t="shared" si="33"/>
        <v/>
      </c>
      <c r="S241" s="19" t="str">
        <f t="shared" si="34"/>
        <v/>
      </c>
      <c r="T241" s="22" t="str">
        <f t="shared" si="35"/>
        <v/>
      </c>
      <c r="U241" s="19" t="str">
        <f t="shared" si="36"/>
        <v/>
      </c>
      <c r="V241" s="7"/>
      <c r="Y241" s="19" t="str">
        <f>IF('Supplier selection'!AQ241="","",'Supplier selection'!AQ241)</f>
        <v/>
      </c>
      <c r="Z241" s="19" t="str">
        <f>IF('Supplier selection'!AR241="","",'Supplier selection'!AR241)</f>
        <v/>
      </c>
      <c r="AA241" s="19" t="str">
        <f t="shared" si="37"/>
        <v/>
      </c>
      <c r="AD241" s="26" t="str">
        <f>IF(AND('Supplier selection'!X241="",'Supplier selection'!AE241=""),"",IF('Supplier selection'!X241="",'Supplier selection'!AE241,'Supplier selection'!X241))</f>
        <v/>
      </c>
      <c r="AE241" s="19" t="str">
        <f t="shared" si="38"/>
        <v/>
      </c>
      <c r="AF241" s="19" t="str">
        <f t="shared" si="39"/>
        <v/>
      </c>
      <c r="AG241" s="27" t="str">
        <f>IF(AND('Supplier selection'!AB241="",'Supplier selection'!AI241=""),"",IF('Supplier selection'!AB241="",'Supplier selection'!AI241,'Supplier selection'!AB241))</f>
        <v/>
      </c>
      <c r="AH241" s="28" t="str">
        <f t="shared" si="40"/>
        <v/>
      </c>
      <c r="AI241" s="7" t="str">
        <f t="shared" si="41"/>
        <v/>
      </c>
      <c r="AJ241" s="22" t="str">
        <f t="shared" si="42"/>
        <v/>
      </c>
      <c r="AK241" s="29" t="str">
        <f t="shared" si="43"/>
        <v/>
      </c>
      <c r="AL241" s="10"/>
    </row>
    <row r="242" spans="1:38">
      <c r="A242" s="19">
        <f>IF('Supplier selection'!A242="","",'Supplier selection'!A242)</f>
        <v>238</v>
      </c>
      <c r="B242" s="19" t="str">
        <f>IF('Supplier selection'!B242="","",'Supplier selection'!B242)</f>
        <v/>
      </c>
      <c r="C242" s="19" t="str">
        <f>IF('Supplier selection'!C242="","",'Supplier selection'!C242)</f>
        <v/>
      </c>
      <c r="D242" s="19" t="str">
        <f>IF('Supplier selection'!D242="","",'Supplier selection'!D242)</f>
        <v/>
      </c>
      <c r="E242" s="19" t="str">
        <f>IF('Supplier selection'!E242="","",'Supplier selection'!E242)</f>
        <v/>
      </c>
      <c r="F242" s="19" t="str">
        <f>IF('Supplier selection'!F242="","",'Supplier selection'!F242)</f>
        <v/>
      </c>
      <c r="G242" s="19" t="str">
        <f>IF('Supplier selection'!G242="","",'Supplier selection'!G242)</f>
        <v/>
      </c>
      <c r="H242" s="19" t="str">
        <f>IF('Supplier selection'!H242="","",'Supplier selection'!H242)</f>
        <v/>
      </c>
      <c r="I242" s="19" t="str">
        <f>IF('Supplier selection'!I242="","",'Supplier selection'!I242)</f>
        <v/>
      </c>
      <c r="J242" s="19" t="str">
        <f>IF('Supplier selection'!J242="","",'Supplier selection'!J242)</f>
        <v/>
      </c>
      <c r="K242" s="19" t="str">
        <f>IF('Supplier selection'!K242="","",'Supplier selection'!K242)</f>
        <v/>
      </c>
      <c r="L242" s="19" t="str">
        <f>IF('Supplier selection'!L242="","",'Supplier selection'!L242)</f>
        <v/>
      </c>
      <c r="M242" s="19" t="str">
        <f>IF('Supplier selection'!M242="","",'Supplier selection'!M242)</f>
        <v/>
      </c>
      <c r="N242" s="19" t="str">
        <f>IF('Supplier selection'!N242="","",'Supplier selection'!N242)</f>
        <v/>
      </c>
      <c r="O242" s="19" t="str">
        <f>IF('Supplier selection'!O242="","",'Supplier selection'!O242)</f>
        <v/>
      </c>
      <c r="Q242" s="19" t="str">
        <f>HLOOKUP($Q$3,'Supplier selection'!$AW$4:'Supplier selection'!$CT$1000,$A243,FALSE)</f>
        <v/>
      </c>
      <c r="R242" s="22" t="str">
        <f t="shared" si="33"/>
        <v/>
      </c>
      <c r="S242" s="19" t="str">
        <f t="shared" si="34"/>
        <v/>
      </c>
      <c r="T242" s="22" t="str">
        <f t="shared" si="35"/>
        <v/>
      </c>
      <c r="U242" s="19" t="str">
        <f t="shared" si="36"/>
        <v/>
      </c>
      <c r="V242" s="7"/>
      <c r="Y242" s="19" t="str">
        <f>IF('Supplier selection'!AQ242="","",'Supplier selection'!AQ242)</f>
        <v/>
      </c>
      <c r="Z242" s="19" t="str">
        <f>IF('Supplier selection'!AR242="","",'Supplier selection'!AR242)</f>
        <v/>
      </c>
      <c r="AA242" s="19" t="str">
        <f t="shared" si="37"/>
        <v/>
      </c>
      <c r="AD242" s="26" t="str">
        <f>IF(AND('Supplier selection'!X242="",'Supplier selection'!AE242=""),"",IF('Supplier selection'!X242="",'Supplier selection'!AE242,'Supplier selection'!X242))</f>
        <v/>
      </c>
      <c r="AE242" s="19" t="str">
        <f t="shared" si="38"/>
        <v/>
      </c>
      <c r="AF242" s="19" t="str">
        <f t="shared" si="39"/>
        <v/>
      </c>
      <c r="AG242" s="27" t="str">
        <f>IF(AND('Supplier selection'!AB242="",'Supplier selection'!AI242=""),"",IF('Supplier selection'!AB242="",'Supplier selection'!AI242,'Supplier selection'!AB242))</f>
        <v/>
      </c>
      <c r="AH242" s="28" t="str">
        <f t="shared" si="40"/>
        <v/>
      </c>
      <c r="AI242" s="7" t="str">
        <f t="shared" si="41"/>
        <v/>
      </c>
      <c r="AJ242" s="22" t="str">
        <f t="shared" si="42"/>
        <v/>
      </c>
      <c r="AK242" s="29" t="str">
        <f t="shared" si="43"/>
        <v/>
      </c>
      <c r="AL242" s="10"/>
    </row>
    <row r="243" spans="1:38">
      <c r="A243" s="19">
        <f>IF('Supplier selection'!A243="","",'Supplier selection'!A243)</f>
        <v>239</v>
      </c>
      <c r="B243" s="19" t="str">
        <f>IF('Supplier selection'!B243="","",'Supplier selection'!B243)</f>
        <v/>
      </c>
      <c r="C243" s="19" t="str">
        <f>IF('Supplier selection'!C243="","",'Supplier selection'!C243)</f>
        <v/>
      </c>
      <c r="D243" s="19" t="str">
        <f>IF('Supplier selection'!D243="","",'Supplier selection'!D243)</f>
        <v/>
      </c>
      <c r="E243" s="19" t="str">
        <f>IF('Supplier selection'!E243="","",'Supplier selection'!E243)</f>
        <v/>
      </c>
      <c r="F243" s="19" t="str">
        <f>IF('Supplier selection'!F243="","",'Supplier selection'!F243)</f>
        <v/>
      </c>
      <c r="G243" s="19" t="str">
        <f>IF('Supplier selection'!G243="","",'Supplier selection'!G243)</f>
        <v/>
      </c>
      <c r="H243" s="19" t="str">
        <f>IF('Supplier selection'!H243="","",'Supplier selection'!H243)</f>
        <v/>
      </c>
      <c r="I243" s="19" t="str">
        <f>IF('Supplier selection'!I243="","",'Supplier selection'!I243)</f>
        <v/>
      </c>
      <c r="J243" s="19" t="str">
        <f>IF('Supplier selection'!J243="","",'Supplier selection'!J243)</f>
        <v/>
      </c>
      <c r="K243" s="19" t="str">
        <f>IF('Supplier selection'!K243="","",'Supplier selection'!K243)</f>
        <v/>
      </c>
      <c r="L243" s="19" t="str">
        <f>IF('Supplier selection'!L243="","",'Supplier selection'!L243)</f>
        <v/>
      </c>
      <c r="M243" s="19" t="str">
        <f>IF('Supplier selection'!M243="","",'Supplier selection'!M243)</f>
        <v/>
      </c>
      <c r="N243" s="19" t="str">
        <f>IF('Supplier selection'!N243="","",'Supplier selection'!N243)</f>
        <v/>
      </c>
      <c r="O243" s="19" t="str">
        <f>IF('Supplier selection'!O243="","",'Supplier selection'!O243)</f>
        <v/>
      </c>
      <c r="Q243" s="19" t="str">
        <f>HLOOKUP($Q$3,'Supplier selection'!$AW$4:'Supplier selection'!$CT$1000,$A244,FALSE)</f>
        <v/>
      </c>
      <c r="R243" s="22" t="str">
        <f t="shared" si="33"/>
        <v/>
      </c>
      <c r="S243" s="19" t="str">
        <f t="shared" si="34"/>
        <v/>
      </c>
      <c r="T243" s="22" t="str">
        <f t="shared" si="35"/>
        <v/>
      </c>
      <c r="U243" s="19" t="str">
        <f t="shared" si="36"/>
        <v/>
      </c>
      <c r="V243" s="7"/>
      <c r="Y243" s="19" t="str">
        <f>IF('Supplier selection'!AQ243="","",'Supplier selection'!AQ243)</f>
        <v/>
      </c>
      <c r="Z243" s="19" t="str">
        <f>IF('Supplier selection'!AR243="","",'Supplier selection'!AR243)</f>
        <v/>
      </c>
      <c r="AA243" s="19" t="str">
        <f t="shared" si="37"/>
        <v/>
      </c>
      <c r="AD243" s="26" t="str">
        <f>IF(AND('Supplier selection'!X243="",'Supplier selection'!AE243=""),"",IF('Supplier selection'!X243="",'Supplier selection'!AE243,'Supplier selection'!X243))</f>
        <v/>
      </c>
      <c r="AE243" s="19" t="str">
        <f t="shared" si="38"/>
        <v/>
      </c>
      <c r="AF243" s="19" t="str">
        <f t="shared" si="39"/>
        <v/>
      </c>
      <c r="AG243" s="27" t="str">
        <f>IF(AND('Supplier selection'!AB243="",'Supplier selection'!AI243=""),"",IF('Supplier selection'!AB243="",'Supplier selection'!AI243,'Supplier selection'!AB243))</f>
        <v/>
      </c>
      <c r="AH243" s="28" t="str">
        <f t="shared" si="40"/>
        <v/>
      </c>
      <c r="AI243" s="7" t="str">
        <f t="shared" si="41"/>
        <v/>
      </c>
      <c r="AJ243" s="22" t="str">
        <f t="shared" si="42"/>
        <v/>
      </c>
      <c r="AK243" s="29" t="str">
        <f t="shared" si="43"/>
        <v/>
      </c>
      <c r="AL243" s="10"/>
    </row>
    <row r="244" spans="1:38">
      <c r="A244" s="19">
        <f>IF('Supplier selection'!A244="","",'Supplier selection'!A244)</f>
        <v>240</v>
      </c>
      <c r="B244" s="19" t="str">
        <f>IF('Supplier selection'!B244="","",'Supplier selection'!B244)</f>
        <v/>
      </c>
      <c r="C244" s="19" t="str">
        <f>IF('Supplier selection'!C244="","",'Supplier selection'!C244)</f>
        <v/>
      </c>
      <c r="D244" s="19" t="str">
        <f>IF('Supplier selection'!D244="","",'Supplier selection'!D244)</f>
        <v/>
      </c>
      <c r="E244" s="19" t="str">
        <f>IF('Supplier selection'!E244="","",'Supplier selection'!E244)</f>
        <v/>
      </c>
      <c r="F244" s="19" t="str">
        <f>IF('Supplier selection'!F244="","",'Supplier selection'!F244)</f>
        <v/>
      </c>
      <c r="G244" s="19" t="str">
        <f>IF('Supplier selection'!G244="","",'Supplier selection'!G244)</f>
        <v/>
      </c>
      <c r="H244" s="19" t="str">
        <f>IF('Supplier selection'!H244="","",'Supplier selection'!H244)</f>
        <v/>
      </c>
      <c r="I244" s="19" t="str">
        <f>IF('Supplier selection'!I244="","",'Supplier selection'!I244)</f>
        <v/>
      </c>
      <c r="J244" s="19" t="str">
        <f>IF('Supplier selection'!J244="","",'Supplier selection'!J244)</f>
        <v/>
      </c>
      <c r="K244" s="19" t="str">
        <f>IF('Supplier selection'!K244="","",'Supplier selection'!K244)</f>
        <v/>
      </c>
      <c r="L244" s="19" t="str">
        <f>IF('Supplier selection'!L244="","",'Supplier selection'!L244)</f>
        <v/>
      </c>
      <c r="M244" s="19" t="str">
        <f>IF('Supplier selection'!M244="","",'Supplier selection'!M244)</f>
        <v/>
      </c>
      <c r="N244" s="19" t="str">
        <f>IF('Supplier selection'!N244="","",'Supplier selection'!N244)</f>
        <v/>
      </c>
      <c r="O244" s="19" t="str">
        <f>IF('Supplier selection'!O244="","",'Supplier selection'!O244)</f>
        <v/>
      </c>
      <c r="Q244" s="19" t="str">
        <f>HLOOKUP($Q$3,'Supplier selection'!$AW$4:'Supplier selection'!$CT$1000,$A245,FALSE)</f>
        <v/>
      </c>
      <c r="R244" s="22" t="str">
        <f t="shared" si="33"/>
        <v/>
      </c>
      <c r="S244" s="19" t="str">
        <f t="shared" si="34"/>
        <v/>
      </c>
      <c r="T244" s="22" t="str">
        <f t="shared" si="35"/>
        <v/>
      </c>
      <c r="U244" s="19" t="str">
        <f t="shared" si="36"/>
        <v/>
      </c>
      <c r="V244" s="7"/>
      <c r="Y244" s="19" t="str">
        <f>IF('Supplier selection'!AQ244="","",'Supplier selection'!AQ244)</f>
        <v/>
      </c>
      <c r="Z244" s="19" t="str">
        <f>IF('Supplier selection'!AR244="","",'Supplier selection'!AR244)</f>
        <v/>
      </c>
      <c r="AA244" s="19" t="str">
        <f t="shared" si="37"/>
        <v/>
      </c>
      <c r="AD244" s="26" t="str">
        <f>IF(AND('Supplier selection'!X244="",'Supplier selection'!AE244=""),"",IF('Supplier selection'!X244="",'Supplier selection'!AE244,'Supplier selection'!X244))</f>
        <v/>
      </c>
      <c r="AE244" s="19" t="str">
        <f t="shared" si="38"/>
        <v/>
      </c>
      <c r="AF244" s="19" t="str">
        <f t="shared" si="39"/>
        <v/>
      </c>
      <c r="AG244" s="27" t="str">
        <f>IF(AND('Supplier selection'!AB244="",'Supplier selection'!AI244=""),"",IF('Supplier selection'!AB244="",'Supplier selection'!AI244,'Supplier selection'!AB244))</f>
        <v/>
      </c>
      <c r="AH244" s="28" t="str">
        <f t="shared" si="40"/>
        <v/>
      </c>
      <c r="AI244" s="7" t="str">
        <f t="shared" si="41"/>
        <v/>
      </c>
      <c r="AJ244" s="22" t="str">
        <f t="shared" si="42"/>
        <v/>
      </c>
      <c r="AK244" s="29" t="str">
        <f t="shared" si="43"/>
        <v/>
      </c>
      <c r="AL244" s="10"/>
    </row>
    <row r="245" spans="1:38">
      <c r="A245" s="19">
        <f>IF('Supplier selection'!A245="","",'Supplier selection'!A245)</f>
        <v>241</v>
      </c>
      <c r="B245" s="19" t="str">
        <f>IF('Supplier selection'!B245="","",'Supplier selection'!B245)</f>
        <v/>
      </c>
      <c r="C245" s="19" t="str">
        <f>IF('Supplier selection'!C245="","",'Supplier selection'!C245)</f>
        <v/>
      </c>
      <c r="D245" s="19" t="str">
        <f>IF('Supplier selection'!D245="","",'Supplier selection'!D245)</f>
        <v/>
      </c>
      <c r="E245" s="19" t="str">
        <f>IF('Supplier selection'!E245="","",'Supplier selection'!E245)</f>
        <v/>
      </c>
      <c r="F245" s="19" t="str">
        <f>IF('Supplier selection'!F245="","",'Supplier selection'!F245)</f>
        <v/>
      </c>
      <c r="G245" s="19" t="str">
        <f>IF('Supplier selection'!G245="","",'Supplier selection'!G245)</f>
        <v/>
      </c>
      <c r="H245" s="19" t="str">
        <f>IF('Supplier selection'!H245="","",'Supplier selection'!H245)</f>
        <v/>
      </c>
      <c r="I245" s="19" t="str">
        <f>IF('Supplier selection'!I245="","",'Supplier selection'!I245)</f>
        <v/>
      </c>
      <c r="J245" s="19" t="str">
        <f>IF('Supplier selection'!J245="","",'Supplier selection'!J245)</f>
        <v/>
      </c>
      <c r="K245" s="19" t="str">
        <f>IF('Supplier selection'!K245="","",'Supplier selection'!K245)</f>
        <v/>
      </c>
      <c r="L245" s="19" t="str">
        <f>IF('Supplier selection'!L245="","",'Supplier selection'!L245)</f>
        <v/>
      </c>
      <c r="M245" s="19" t="str">
        <f>IF('Supplier selection'!M245="","",'Supplier selection'!M245)</f>
        <v/>
      </c>
      <c r="N245" s="19" t="str">
        <f>IF('Supplier selection'!N245="","",'Supplier selection'!N245)</f>
        <v/>
      </c>
      <c r="O245" s="19" t="str">
        <f>IF('Supplier selection'!O245="","",'Supplier selection'!O245)</f>
        <v/>
      </c>
      <c r="Q245" s="19" t="str">
        <f>HLOOKUP($Q$3,'Supplier selection'!$AW$4:'Supplier selection'!$CT$1000,$A246,FALSE)</f>
        <v/>
      </c>
      <c r="R245" s="22" t="str">
        <f t="shared" si="33"/>
        <v/>
      </c>
      <c r="S245" s="19" t="str">
        <f t="shared" si="34"/>
        <v/>
      </c>
      <c r="T245" s="22" t="str">
        <f t="shared" si="35"/>
        <v/>
      </c>
      <c r="U245" s="19" t="str">
        <f t="shared" si="36"/>
        <v/>
      </c>
      <c r="V245" s="7"/>
      <c r="Y245" s="19" t="str">
        <f>IF('Supplier selection'!AQ245="","",'Supplier selection'!AQ245)</f>
        <v/>
      </c>
      <c r="Z245" s="19" t="str">
        <f>IF('Supplier selection'!AR245="","",'Supplier selection'!AR245)</f>
        <v/>
      </c>
      <c r="AA245" s="19" t="str">
        <f t="shared" si="37"/>
        <v/>
      </c>
      <c r="AD245" s="26" t="str">
        <f>IF(AND('Supplier selection'!X245="",'Supplier selection'!AE245=""),"",IF('Supplier selection'!X245="",'Supplier selection'!AE245,'Supplier selection'!X245))</f>
        <v/>
      </c>
      <c r="AE245" s="19" t="str">
        <f t="shared" si="38"/>
        <v/>
      </c>
      <c r="AF245" s="19" t="str">
        <f t="shared" si="39"/>
        <v/>
      </c>
      <c r="AG245" s="27" t="str">
        <f>IF(AND('Supplier selection'!AB245="",'Supplier selection'!AI245=""),"",IF('Supplier selection'!AB245="",'Supplier selection'!AI245,'Supplier selection'!AB245))</f>
        <v/>
      </c>
      <c r="AH245" s="28" t="str">
        <f t="shared" si="40"/>
        <v/>
      </c>
      <c r="AI245" s="7" t="str">
        <f t="shared" si="41"/>
        <v/>
      </c>
      <c r="AJ245" s="22" t="str">
        <f t="shared" si="42"/>
        <v/>
      </c>
      <c r="AK245" s="29" t="str">
        <f t="shared" si="43"/>
        <v/>
      </c>
      <c r="AL245" s="10"/>
    </row>
    <row r="246" spans="1:38">
      <c r="A246" s="19">
        <f>IF('Supplier selection'!A246="","",'Supplier selection'!A246)</f>
        <v>242</v>
      </c>
      <c r="B246" s="19" t="str">
        <f>IF('Supplier selection'!B246="","",'Supplier selection'!B246)</f>
        <v/>
      </c>
      <c r="C246" s="19" t="str">
        <f>IF('Supplier selection'!C246="","",'Supplier selection'!C246)</f>
        <v/>
      </c>
      <c r="D246" s="19" t="str">
        <f>IF('Supplier selection'!D246="","",'Supplier selection'!D246)</f>
        <v/>
      </c>
      <c r="E246" s="19" t="str">
        <f>IF('Supplier selection'!E246="","",'Supplier selection'!E246)</f>
        <v/>
      </c>
      <c r="F246" s="19" t="str">
        <f>IF('Supplier selection'!F246="","",'Supplier selection'!F246)</f>
        <v/>
      </c>
      <c r="G246" s="19" t="str">
        <f>IF('Supplier selection'!G246="","",'Supplier selection'!G246)</f>
        <v/>
      </c>
      <c r="H246" s="19" t="str">
        <f>IF('Supplier selection'!H246="","",'Supplier selection'!H246)</f>
        <v/>
      </c>
      <c r="I246" s="19" t="str">
        <f>IF('Supplier selection'!I246="","",'Supplier selection'!I246)</f>
        <v/>
      </c>
      <c r="J246" s="19" t="str">
        <f>IF('Supplier selection'!J246="","",'Supplier selection'!J246)</f>
        <v/>
      </c>
      <c r="K246" s="19" t="str">
        <f>IF('Supplier selection'!K246="","",'Supplier selection'!K246)</f>
        <v/>
      </c>
      <c r="L246" s="19" t="str">
        <f>IF('Supplier selection'!L246="","",'Supplier selection'!L246)</f>
        <v/>
      </c>
      <c r="M246" s="19" t="str">
        <f>IF('Supplier selection'!M246="","",'Supplier selection'!M246)</f>
        <v/>
      </c>
      <c r="N246" s="19" t="str">
        <f>IF('Supplier selection'!N246="","",'Supplier selection'!N246)</f>
        <v/>
      </c>
      <c r="O246" s="19" t="str">
        <f>IF('Supplier selection'!O246="","",'Supplier selection'!O246)</f>
        <v/>
      </c>
      <c r="Q246" s="19" t="str">
        <f>HLOOKUP($Q$3,'Supplier selection'!$AW$4:'Supplier selection'!$CT$1000,$A247,FALSE)</f>
        <v/>
      </c>
      <c r="R246" s="22" t="str">
        <f t="shared" si="33"/>
        <v/>
      </c>
      <c r="S246" s="19" t="str">
        <f t="shared" si="34"/>
        <v/>
      </c>
      <c r="T246" s="22" t="str">
        <f t="shared" si="35"/>
        <v/>
      </c>
      <c r="U246" s="19" t="str">
        <f t="shared" si="36"/>
        <v/>
      </c>
      <c r="V246" s="7"/>
      <c r="Y246" s="19" t="str">
        <f>IF('Supplier selection'!AQ246="","",'Supplier selection'!AQ246)</f>
        <v/>
      </c>
      <c r="Z246" s="19" t="str">
        <f>IF('Supplier selection'!AR246="","",'Supplier selection'!AR246)</f>
        <v/>
      </c>
      <c r="AA246" s="19" t="str">
        <f t="shared" si="37"/>
        <v/>
      </c>
      <c r="AD246" s="26" t="str">
        <f>IF(AND('Supplier selection'!X246="",'Supplier selection'!AE246=""),"",IF('Supplier selection'!X246="",'Supplier selection'!AE246,'Supplier selection'!X246))</f>
        <v/>
      </c>
      <c r="AE246" s="19" t="str">
        <f t="shared" si="38"/>
        <v/>
      </c>
      <c r="AF246" s="19" t="str">
        <f t="shared" si="39"/>
        <v/>
      </c>
      <c r="AG246" s="27" t="str">
        <f>IF(AND('Supplier selection'!AB246="",'Supplier selection'!AI246=""),"",IF('Supplier selection'!AB246="",'Supplier selection'!AI246,'Supplier selection'!AB246))</f>
        <v/>
      </c>
      <c r="AH246" s="28" t="str">
        <f t="shared" si="40"/>
        <v/>
      </c>
      <c r="AI246" s="7" t="str">
        <f t="shared" si="41"/>
        <v/>
      </c>
      <c r="AJ246" s="22" t="str">
        <f t="shared" si="42"/>
        <v/>
      </c>
      <c r="AK246" s="29" t="str">
        <f t="shared" si="43"/>
        <v/>
      </c>
      <c r="AL246" s="10"/>
    </row>
    <row r="247" spans="1:38">
      <c r="A247" s="19">
        <f>IF('Supplier selection'!A247="","",'Supplier selection'!A247)</f>
        <v>243</v>
      </c>
      <c r="B247" s="19" t="str">
        <f>IF('Supplier selection'!B247="","",'Supplier selection'!B247)</f>
        <v/>
      </c>
      <c r="C247" s="19" t="str">
        <f>IF('Supplier selection'!C247="","",'Supplier selection'!C247)</f>
        <v/>
      </c>
      <c r="D247" s="19" t="str">
        <f>IF('Supplier selection'!D247="","",'Supplier selection'!D247)</f>
        <v/>
      </c>
      <c r="E247" s="19" t="str">
        <f>IF('Supplier selection'!E247="","",'Supplier selection'!E247)</f>
        <v/>
      </c>
      <c r="F247" s="19" t="str">
        <f>IF('Supplier selection'!F247="","",'Supplier selection'!F247)</f>
        <v/>
      </c>
      <c r="G247" s="19" t="str">
        <f>IF('Supplier selection'!G247="","",'Supplier selection'!G247)</f>
        <v/>
      </c>
      <c r="H247" s="19" t="str">
        <f>IF('Supplier selection'!H247="","",'Supplier selection'!H247)</f>
        <v/>
      </c>
      <c r="I247" s="19" t="str">
        <f>IF('Supplier selection'!I247="","",'Supplier selection'!I247)</f>
        <v/>
      </c>
      <c r="J247" s="19" t="str">
        <f>IF('Supplier selection'!J247="","",'Supplier selection'!J247)</f>
        <v/>
      </c>
      <c r="K247" s="19" t="str">
        <f>IF('Supplier selection'!K247="","",'Supplier selection'!K247)</f>
        <v/>
      </c>
      <c r="L247" s="19" t="str">
        <f>IF('Supplier selection'!L247="","",'Supplier selection'!L247)</f>
        <v/>
      </c>
      <c r="M247" s="19" t="str">
        <f>IF('Supplier selection'!M247="","",'Supplier selection'!M247)</f>
        <v/>
      </c>
      <c r="N247" s="19" t="str">
        <f>IF('Supplier selection'!N247="","",'Supplier selection'!N247)</f>
        <v/>
      </c>
      <c r="O247" s="19" t="str">
        <f>IF('Supplier selection'!O247="","",'Supplier selection'!O247)</f>
        <v/>
      </c>
      <c r="Q247" s="19" t="str">
        <f>HLOOKUP($Q$3,'Supplier selection'!$AW$4:'Supplier selection'!$CT$1000,$A248,FALSE)</f>
        <v/>
      </c>
      <c r="R247" s="22" t="str">
        <f t="shared" si="33"/>
        <v/>
      </c>
      <c r="S247" s="19" t="str">
        <f t="shared" si="34"/>
        <v/>
      </c>
      <c r="T247" s="22" t="str">
        <f t="shared" si="35"/>
        <v/>
      </c>
      <c r="U247" s="19" t="str">
        <f t="shared" si="36"/>
        <v/>
      </c>
      <c r="V247" s="7"/>
      <c r="Y247" s="19" t="str">
        <f>IF('Supplier selection'!AQ247="","",'Supplier selection'!AQ247)</f>
        <v/>
      </c>
      <c r="Z247" s="19" t="str">
        <f>IF('Supplier selection'!AR247="","",'Supplier selection'!AR247)</f>
        <v/>
      </c>
      <c r="AA247" s="19" t="str">
        <f t="shared" si="37"/>
        <v/>
      </c>
      <c r="AD247" s="26" t="str">
        <f>IF(AND('Supplier selection'!X247="",'Supplier selection'!AE247=""),"",IF('Supplier selection'!X247="",'Supplier selection'!AE247,'Supplier selection'!X247))</f>
        <v/>
      </c>
      <c r="AE247" s="19" t="str">
        <f t="shared" si="38"/>
        <v/>
      </c>
      <c r="AF247" s="19" t="str">
        <f t="shared" si="39"/>
        <v/>
      </c>
      <c r="AG247" s="27" t="str">
        <f>IF(AND('Supplier selection'!AB247="",'Supplier selection'!AI247=""),"",IF('Supplier selection'!AB247="",'Supplier selection'!AI247,'Supplier selection'!AB247))</f>
        <v/>
      </c>
      <c r="AH247" s="28" t="str">
        <f t="shared" si="40"/>
        <v/>
      </c>
      <c r="AI247" s="7" t="str">
        <f t="shared" si="41"/>
        <v/>
      </c>
      <c r="AJ247" s="22" t="str">
        <f t="shared" si="42"/>
        <v/>
      </c>
      <c r="AK247" s="29" t="str">
        <f t="shared" si="43"/>
        <v/>
      </c>
      <c r="AL247" s="10"/>
    </row>
    <row r="248" spans="1:38">
      <c r="A248" s="19">
        <f>IF('Supplier selection'!A248="","",'Supplier selection'!A248)</f>
        <v>244</v>
      </c>
      <c r="B248" s="19" t="str">
        <f>IF('Supplier selection'!B248="","",'Supplier selection'!B248)</f>
        <v/>
      </c>
      <c r="C248" s="19" t="str">
        <f>IF('Supplier selection'!C248="","",'Supplier selection'!C248)</f>
        <v/>
      </c>
      <c r="D248" s="19" t="str">
        <f>IF('Supplier selection'!D248="","",'Supplier selection'!D248)</f>
        <v/>
      </c>
      <c r="E248" s="19" t="str">
        <f>IF('Supplier selection'!E248="","",'Supplier selection'!E248)</f>
        <v/>
      </c>
      <c r="F248" s="19" t="str">
        <f>IF('Supplier selection'!F248="","",'Supplier selection'!F248)</f>
        <v/>
      </c>
      <c r="G248" s="19" t="str">
        <f>IF('Supplier selection'!G248="","",'Supplier selection'!G248)</f>
        <v/>
      </c>
      <c r="H248" s="19" t="str">
        <f>IF('Supplier selection'!H248="","",'Supplier selection'!H248)</f>
        <v/>
      </c>
      <c r="I248" s="19" t="str">
        <f>IF('Supplier selection'!I248="","",'Supplier selection'!I248)</f>
        <v/>
      </c>
      <c r="J248" s="19" t="str">
        <f>IF('Supplier selection'!J248="","",'Supplier selection'!J248)</f>
        <v/>
      </c>
      <c r="K248" s="19" t="str">
        <f>IF('Supplier selection'!K248="","",'Supplier selection'!K248)</f>
        <v/>
      </c>
      <c r="L248" s="19" t="str">
        <f>IF('Supplier selection'!L248="","",'Supplier selection'!L248)</f>
        <v/>
      </c>
      <c r="M248" s="19" t="str">
        <f>IF('Supplier selection'!M248="","",'Supplier selection'!M248)</f>
        <v/>
      </c>
      <c r="N248" s="19" t="str">
        <f>IF('Supplier selection'!N248="","",'Supplier selection'!N248)</f>
        <v/>
      </c>
      <c r="O248" s="19" t="str">
        <f>IF('Supplier selection'!O248="","",'Supplier selection'!O248)</f>
        <v/>
      </c>
      <c r="Q248" s="19" t="str">
        <f>HLOOKUP($Q$3,'Supplier selection'!$AW$4:'Supplier selection'!$CT$1000,$A249,FALSE)</f>
        <v/>
      </c>
      <c r="R248" s="22" t="str">
        <f t="shared" si="33"/>
        <v/>
      </c>
      <c r="S248" s="19" t="str">
        <f t="shared" si="34"/>
        <v/>
      </c>
      <c r="T248" s="22" t="str">
        <f t="shared" si="35"/>
        <v/>
      </c>
      <c r="U248" s="19" t="str">
        <f t="shared" si="36"/>
        <v/>
      </c>
      <c r="V248" s="7"/>
      <c r="Y248" s="19" t="str">
        <f>IF('Supplier selection'!AQ248="","",'Supplier selection'!AQ248)</f>
        <v/>
      </c>
      <c r="Z248" s="19" t="str">
        <f>IF('Supplier selection'!AR248="","",'Supplier selection'!AR248)</f>
        <v/>
      </c>
      <c r="AA248" s="19" t="str">
        <f t="shared" si="37"/>
        <v/>
      </c>
      <c r="AD248" s="26" t="str">
        <f>IF(AND('Supplier selection'!X248="",'Supplier selection'!AE248=""),"",IF('Supplier selection'!X248="",'Supplier selection'!AE248,'Supplier selection'!X248))</f>
        <v/>
      </c>
      <c r="AE248" s="19" t="str">
        <f t="shared" si="38"/>
        <v/>
      </c>
      <c r="AF248" s="19" t="str">
        <f t="shared" si="39"/>
        <v/>
      </c>
      <c r="AG248" s="27" t="str">
        <f>IF(AND('Supplier selection'!AB248="",'Supplier selection'!AI248=""),"",IF('Supplier selection'!AB248="",'Supplier selection'!AI248,'Supplier selection'!AB248))</f>
        <v/>
      </c>
      <c r="AH248" s="28" t="str">
        <f t="shared" si="40"/>
        <v/>
      </c>
      <c r="AI248" s="7" t="str">
        <f t="shared" si="41"/>
        <v/>
      </c>
      <c r="AJ248" s="22" t="str">
        <f t="shared" si="42"/>
        <v/>
      </c>
      <c r="AK248" s="29" t="str">
        <f t="shared" si="43"/>
        <v/>
      </c>
      <c r="AL248" s="10"/>
    </row>
    <row r="249" spans="1:38">
      <c r="A249" s="19">
        <f>IF('Supplier selection'!A249="","",'Supplier selection'!A249)</f>
        <v>245</v>
      </c>
      <c r="B249" s="19" t="str">
        <f>IF('Supplier selection'!B249="","",'Supplier selection'!B249)</f>
        <v/>
      </c>
      <c r="C249" s="19" t="str">
        <f>IF('Supplier selection'!C249="","",'Supplier selection'!C249)</f>
        <v/>
      </c>
      <c r="D249" s="19" t="str">
        <f>IF('Supplier selection'!D249="","",'Supplier selection'!D249)</f>
        <v/>
      </c>
      <c r="E249" s="19" t="str">
        <f>IF('Supplier selection'!E249="","",'Supplier selection'!E249)</f>
        <v/>
      </c>
      <c r="F249" s="19" t="str">
        <f>IF('Supplier selection'!F249="","",'Supplier selection'!F249)</f>
        <v/>
      </c>
      <c r="G249" s="19" t="str">
        <f>IF('Supplier selection'!G249="","",'Supplier selection'!G249)</f>
        <v/>
      </c>
      <c r="H249" s="19" t="str">
        <f>IF('Supplier selection'!H249="","",'Supplier selection'!H249)</f>
        <v/>
      </c>
      <c r="I249" s="19" t="str">
        <f>IF('Supplier selection'!I249="","",'Supplier selection'!I249)</f>
        <v/>
      </c>
      <c r="J249" s="19" t="str">
        <f>IF('Supplier selection'!J249="","",'Supplier selection'!J249)</f>
        <v/>
      </c>
      <c r="K249" s="19" t="str">
        <f>IF('Supplier selection'!K249="","",'Supplier selection'!K249)</f>
        <v/>
      </c>
      <c r="L249" s="19" t="str">
        <f>IF('Supplier selection'!L249="","",'Supplier selection'!L249)</f>
        <v/>
      </c>
      <c r="M249" s="19" t="str">
        <f>IF('Supplier selection'!M249="","",'Supplier selection'!M249)</f>
        <v/>
      </c>
      <c r="N249" s="19" t="str">
        <f>IF('Supplier selection'!N249="","",'Supplier selection'!N249)</f>
        <v/>
      </c>
      <c r="O249" s="19" t="str">
        <f>IF('Supplier selection'!O249="","",'Supplier selection'!O249)</f>
        <v/>
      </c>
      <c r="Q249" s="19" t="str">
        <f>HLOOKUP($Q$3,'Supplier selection'!$AW$4:'Supplier selection'!$CT$1000,$A250,FALSE)</f>
        <v/>
      </c>
      <c r="R249" s="22" t="str">
        <f t="shared" si="33"/>
        <v/>
      </c>
      <c r="S249" s="19" t="str">
        <f t="shared" si="34"/>
        <v/>
      </c>
      <c r="T249" s="22" t="str">
        <f t="shared" si="35"/>
        <v/>
      </c>
      <c r="U249" s="19" t="str">
        <f t="shared" si="36"/>
        <v/>
      </c>
      <c r="V249" s="7"/>
      <c r="Y249" s="19" t="str">
        <f>IF('Supplier selection'!AQ249="","",'Supplier selection'!AQ249)</f>
        <v/>
      </c>
      <c r="Z249" s="19" t="str">
        <f>IF('Supplier selection'!AR249="","",'Supplier selection'!AR249)</f>
        <v/>
      </c>
      <c r="AA249" s="19" t="str">
        <f t="shared" si="37"/>
        <v/>
      </c>
      <c r="AD249" s="26" t="str">
        <f>IF(AND('Supplier selection'!X249="",'Supplier selection'!AE249=""),"",IF('Supplier selection'!X249="",'Supplier selection'!AE249,'Supplier selection'!X249))</f>
        <v/>
      </c>
      <c r="AE249" s="19" t="str">
        <f t="shared" si="38"/>
        <v/>
      </c>
      <c r="AF249" s="19" t="str">
        <f t="shared" si="39"/>
        <v/>
      </c>
      <c r="AG249" s="27" t="str">
        <f>IF(AND('Supplier selection'!AB249="",'Supplier selection'!AI249=""),"",IF('Supplier selection'!AB249="",'Supplier selection'!AI249,'Supplier selection'!AB249))</f>
        <v/>
      </c>
      <c r="AH249" s="28" t="str">
        <f t="shared" si="40"/>
        <v/>
      </c>
      <c r="AI249" s="7" t="str">
        <f t="shared" si="41"/>
        <v/>
      </c>
      <c r="AJ249" s="22" t="str">
        <f t="shared" si="42"/>
        <v/>
      </c>
      <c r="AK249" s="29" t="str">
        <f t="shared" si="43"/>
        <v/>
      </c>
      <c r="AL249" s="10"/>
    </row>
    <row r="250" spans="1:38">
      <c r="A250" s="19">
        <f>IF('Supplier selection'!A250="","",'Supplier selection'!A250)</f>
        <v>246</v>
      </c>
      <c r="B250" s="19" t="str">
        <f>IF('Supplier selection'!B250="","",'Supplier selection'!B250)</f>
        <v/>
      </c>
      <c r="C250" s="19" t="str">
        <f>IF('Supplier selection'!C250="","",'Supplier selection'!C250)</f>
        <v/>
      </c>
      <c r="D250" s="19" t="str">
        <f>IF('Supplier selection'!D250="","",'Supplier selection'!D250)</f>
        <v/>
      </c>
      <c r="E250" s="19" t="str">
        <f>IF('Supplier selection'!E250="","",'Supplier selection'!E250)</f>
        <v/>
      </c>
      <c r="F250" s="19" t="str">
        <f>IF('Supplier selection'!F250="","",'Supplier selection'!F250)</f>
        <v/>
      </c>
      <c r="G250" s="19" t="str">
        <f>IF('Supplier selection'!G250="","",'Supplier selection'!G250)</f>
        <v/>
      </c>
      <c r="H250" s="19" t="str">
        <f>IF('Supplier selection'!H250="","",'Supplier selection'!H250)</f>
        <v/>
      </c>
      <c r="I250" s="19" t="str">
        <f>IF('Supplier selection'!I250="","",'Supplier selection'!I250)</f>
        <v/>
      </c>
      <c r="J250" s="19" t="str">
        <f>IF('Supplier selection'!J250="","",'Supplier selection'!J250)</f>
        <v/>
      </c>
      <c r="K250" s="19" t="str">
        <f>IF('Supplier selection'!K250="","",'Supplier selection'!K250)</f>
        <v/>
      </c>
      <c r="L250" s="19" t="str">
        <f>IF('Supplier selection'!L250="","",'Supplier selection'!L250)</f>
        <v/>
      </c>
      <c r="M250" s="19" t="str">
        <f>IF('Supplier selection'!M250="","",'Supplier selection'!M250)</f>
        <v/>
      </c>
      <c r="N250" s="19" t="str">
        <f>IF('Supplier selection'!N250="","",'Supplier selection'!N250)</f>
        <v/>
      </c>
      <c r="O250" s="19" t="str">
        <f>IF('Supplier selection'!O250="","",'Supplier selection'!O250)</f>
        <v/>
      </c>
      <c r="Q250" s="19" t="str">
        <f>HLOOKUP($Q$3,'Supplier selection'!$AW$4:'Supplier selection'!$CT$1000,$A251,FALSE)</f>
        <v/>
      </c>
      <c r="R250" s="22" t="str">
        <f t="shared" si="33"/>
        <v/>
      </c>
      <c r="S250" s="19" t="str">
        <f t="shared" si="34"/>
        <v/>
      </c>
      <c r="T250" s="22" t="str">
        <f t="shared" si="35"/>
        <v/>
      </c>
      <c r="U250" s="19" t="str">
        <f t="shared" si="36"/>
        <v/>
      </c>
      <c r="V250" s="7"/>
      <c r="Y250" s="19" t="str">
        <f>IF('Supplier selection'!AQ250="","",'Supplier selection'!AQ250)</f>
        <v/>
      </c>
      <c r="Z250" s="19" t="str">
        <f>IF('Supplier selection'!AR250="","",'Supplier selection'!AR250)</f>
        <v/>
      </c>
      <c r="AA250" s="19" t="str">
        <f t="shared" si="37"/>
        <v/>
      </c>
      <c r="AD250" s="26" t="str">
        <f>IF(AND('Supplier selection'!X250="",'Supplier selection'!AE250=""),"",IF('Supplier selection'!X250="",'Supplier selection'!AE250,'Supplier selection'!X250))</f>
        <v/>
      </c>
      <c r="AE250" s="19" t="str">
        <f t="shared" si="38"/>
        <v/>
      </c>
      <c r="AF250" s="19" t="str">
        <f t="shared" si="39"/>
        <v/>
      </c>
      <c r="AG250" s="27" t="str">
        <f>IF(AND('Supplier selection'!AB250="",'Supplier selection'!AI250=""),"",IF('Supplier selection'!AB250="",'Supplier selection'!AI250,'Supplier selection'!AB250))</f>
        <v/>
      </c>
      <c r="AH250" s="28" t="str">
        <f t="shared" si="40"/>
        <v/>
      </c>
      <c r="AI250" s="7" t="str">
        <f t="shared" si="41"/>
        <v/>
      </c>
      <c r="AJ250" s="22" t="str">
        <f t="shared" si="42"/>
        <v/>
      </c>
      <c r="AK250" s="29" t="str">
        <f t="shared" si="43"/>
        <v/>
      </c>
      <c r="AL250" s="10"/>
    </row>
    <row r="251" spans="1:38">
      <c r="A251" s="19">
        <f>IF('Supplier selection'!A251="","",'Supplier selection'!A251)</f>
        <v>247</v>
      </c>
      <c r="B251" s="19" t="str">
        <f>IF('Supplier selection'!B251="","",'Supplier selection'!B251)</f>
        <v/>
      </c>
      <c r="C251" s="19" t="str">
        <f>IF('Supplier selection'!C251="","",'Supplier selection'!C251)</f>
        <v/>
      </c>
      <c r="D251" s="19" t="str">
        <f>IF('Supplier selection'!D251="","",'Supplier selection'!D251)</f>
        <v/>
      </c>
      <c r="E251" s="19" t="str">
        <f>IF('Supplier selection'!E251="","",'Supplier selection'!E251)</f>
        <v/>
      </c>
      <c r="F251" s="19" t="str">
        <f>IF('Supplier selection'!F251="","",'Supplier selection'!F251)</f>
        <v/>
      </c>
      <c r="G251" s="19" t="str">
        <f>IF('Supplier selection'!G251="","",'Supplier selection'!G251)</f>
        <v/>
      </c>
      <c r="H251" s="19" t="str">
        <f>IF('Supplier selection'!H251="","",'Supplier selection'!H251)</f>
        <v/>
      </c>
      <c r="I251" s="19" t="str">
        <f>IF('Supplier selection'!I251="","",'Supplier selection'!I251)</f>
        <v/>
      </c>
      <c r="J251" s="19" t="str">
        <f>IF('Supplier selection'!J251="","",'Supplier selection'!J251)</f>
        <v/>
      </c>
      <c r="K251" s="19" t="str">
        <f>IF('Supplier selection'!K251="","",'Supplier selection'!K251)</f>
        <v/>
      </c>
      <c r="L251" s="19" t="str">
        <f>IF('Supplier selection'!L251="","",'Supplier selection'!L251)</f>
        <v/>
      </c>
      <c r="M251" s="19" t="str">
        <f>IF('Supplier selection'!M251="","",'Supplier selection'!M251)</f>
        <v/>
      </c>
      <c r="N251" s="19" t="str">
        <f>IF('Supplier selection'!N251="","",'Supplier selection'!N251)</f>
        <v/>
      </c>
      <c r="O251" s="19" t="str">
        <f>IF('Supplier selection'!O251="","",'Supplier selection'!O251)</f>
        <v/>
      </c>
      <c r="Q251" s="19" t="str">
        <f>HLOOKUP($Q$3,'Supplier selection'!$AW$4:'Supplier selection'!$CT$1000,$A252,FALSE)</f>
        <v/>
      </c>
      <c r="R251" s="22" t="str">
        <f t="shared" si="33"/>
        <v/>
      </c>
      <c r="S251" s="19" t="str">
        <f t="shared" si="34"/>
        <v/>
      </c>
      <c r="T251" s="22" t="str">
        <f t="shared" si="35"/>
        <v/>
      </c>
      <c r="U251" s="19" t="str">
        <f t="shared" si="36"/>
        <v/>
      </c>
      <c r="V251" s="7"/>
      <c r="Y251" s="19" t="str">
        <f>IF('Supplier selection'!AQ251="","",'Supplier selection'!AQ251)</f>
        <v/>
      </c>
      <c r="Z251" s="19" t="str">
        <f>IF('Supplier selection'!AR251="","",'Supplier selection'!AR251)</f>
        <v/>
      </c>
      <c r="AA251" s="19" t="str">
        <f t="shared" si="37"/>
        <v/>
      </c>
      <c r="AD251" s="26" t="str">
        <f>IF(AND('Supplier selection'!X251="",'Supplier selection'!AE251=""),"",IF('Supplier selection'!X251="",'Supplier selection'!AE251,'Supplier selection'!X251))</f>
        <v/>
      </c>
      <c r="AE251" s="19" t="str">
        <f t="shared" si="38"/>
        <v/>
      </c>
      <c r="AF251" s="19" t="str">
        <f t="shared" si="39"/>
        <v/>
      </c>
      <c r="AG251" s="27" t="str">
        <f>IF(AND('Supplier selection'!AB251="",'Supplier selection'!AI251=""),"",IF('Supplier selection'!AB251="",'Supplier selection'!AI251,'Supplier selection'!AB251))</f>
        <v/>
      </c>
      <c r="AH251" s="28" t="str">
        <f t="shared" si="40"/>
        <v/>
      </c>
      <c r="AI251" s="7" t="str">
        <f t="shared" si="41"/>
        <v/>
      </c>
      <c r="AJ251" s="22" t="str">
        <f t="shared" si="42"/>
        <v/>
      </c>
      <c r="AK251" s="29" t="str">
        <f t="shared" si="43"/>
        <v/>
      </c>
      <c r="AL251" s="10"/>
    </row>
    <row r="252" spans="1:38">
      <c r="A252" s="19">
        <f>IF('Supplier selection'!A252="","",'Supplier selection'!A252)</f>
        <v>248</v>
      </c>
      <c r="B252" s="19" t="str">
        <f>IF('Supplier selection'!B252="","",'Supplier selection'!B252)</f>
        <v/>
      </c>
      <c r="C252" s="19" t="str">
        <f>IF('Supplier selection'!C252="","",'Supplier selection'!C252)</f>
        <v/>
      </c>
      <c r="D252" s="19" t="str">
        <f>IF('Supplier selection'!D252="","",'Supplier selection'!D252)</f>
        <v/>
      </c>
      <c r="E252" s="19" t="str">
        <f>IF('Supplier selection'!E252="","",'Supplier selection'!E252)</f>
        <v/>
      </c>
      <c r="F252" s="19" t="str">
        <f>IF('Supplier selection'!F252="","",'Supplier selection'!F252)</f>
        <v/>
      </c>
      <c r="G252" s="19" t="str">
        <f>IF('Supplier selection'!G252="","",'Supplier selection'!G252)</f>
        <v/>
      </c>
      <c r="H252" s="19" t="str">
        <f>IF('Supplier selection'!H252="","",'Supplier selection'!H252)</f>
        <v/>
      </c>
      <c r="I252" s="19" t="str">
        <f>IF('Supplier selection'!I252="","",'Supplier selection'!I252)</f>
        <v/>
      </c>
      <c r="J252" s="19" t="str">
        <f>IF('Supplier selection'!J252="","",'Supplier selection'!J252)</f>
        <v/>
      </c>
      <c r="K252" s="19" t="str">
        <f>IF('Supplier selection'!K252="","",'Supplier selection'!K252)</f>
        <v/>
      </c>
      <c r="L252" s="19" t="str">
        <f>IF('Supplier selection'!L252="","",'Supplier selection'!L252)</f>
        <v/>
      </c>
      <c r="M252" s="19" t="str">
        <f>IF('Supplier selection'!M252="","",'Supplier selection'!M252)</f>
        <v/>
      </c>
      <c r="N252" s="19" t="str">
        <f>IF('Supplier selection'!N252="","",'Supplier selection'!N252)</f>
        <v/>
      </c>
      <c r="O252" s="19" t="str">
        <f>IF('Supplier selection'!O252="","",'Supplier selection'!O252)</f>
        <v/>
      </c>
      <c r="Q252" s="19" t="str">
        <f>HLOOKUP($Q$3,'Supplier selection'!$AW$4:'Supplier selection'!$CT$1000,$A253,FALSE)</f>
        <v/>
      </c>
      <c r="R252" s="22" t="str">
        <f t="shared" si="33"/>
        <v/>
      </c>
      <c r="S252" s="19" t="str">
        <f t="shared" si="34"/>
        <v/>
      </c>
      <c r="T252" s="22" t="str">
        <f t="shared" si="35"/>
        <v/>
      </c>
      <c r="U252" s="19" t="str">
        <f t="shared" si="36"/>
        <v/>
      </c>
      <c r="V252" s="7"/>
      <c r="Y252" s="19" t="str">
        <f>IF('Supplier selection'!AQ252="","",'Supplier selection'!AQ252)</f>
        <v/>
      </c>
      <c r="Z252" s="19" t="str">
        <f>IF('Supplier selection'!AR252="","",'Supplier selection'!AR252)</f>
        <v/>
      </c>
      <c r="AA252" s="19" t="str">
        <f t="shared" si="37"/>
        <v/>
      </c>
      <c r="AD252" s="26" t="str">
        <f>IF(AND('Supplier selection'!X252="",'Supplier selection'!AE252=""),"",IF('Supplier selection'!X252="",'Supplier selection'!AE252,'Supplier selection'!X252))</f>
        <v/>
      </c>
      <c r="AE252" s="19" t="str">
        <f t="shared" si="38"/>
        <v/>
      </c>
      <c r="AF252" s="19" t="str">
        <f t="shared" si="39"/>
        <v/>
      </c>
      <c r="AG252" s="27" t="str">
        <f>IF(AND('Supplier selection'!AB252="",'Supplier selection'!AI252=""),"",IF('Supplier selection'!AB252="",'Supplier selection'!AI252,'Supplier selection'!AB252))</f>
        <v/>
      </c>
      <c r="AH252" s="28" t="str">
        <f t="shared" si="40"/>
        <v/>
      </c>
      <c r="AI252" s="7" t="str">
        <f t="shared" si="41"/>
        <v/>
      </c>
      <c r="AJ252" s="22" t="str">
        <f t="shared" si="42"/>
        <v/>
      </c>
      <c r="AK252" s="29" t="str">
        <f t="shared" si="43"/>
        <v/>
      </c>
      <c r="AL252" s="10"/>
    </row>
    <row r="253" spans="1:38">
      <c r="A253" s="19">
        <f>IF('Supplier selection'!A253="","",'Supplier selection'!A253)</f>
        <v>249</v>
      </c>
      <c r="B253" s="19" t="str">
        <f>IF('Supplier selection'!B253="","",'Supplier selection'!B253)</f>
        <v/>
      </c>
      <c r="C253" s="19" t="str">
        <f>IF('Supplier selection'!C253="","",'Supplier selection'!C253)</f>
        <v/>
      </c>
      <c r="D253" s="19" t="str">
        <f>IF('Supplier selection'!D253="","",'Supplier selection'!D253)</f>
        <v/>
      </c>
      <c r="E253" s="19" t="str">
        <f>IF('Supplier selection'!E253="","",'Supplier selection'!E253)</f>
        <v/>
      </c>
      <c r="F253" s="19" t="str">
        <f>IF('Supplier selection'!F253="","",'Supplier selection'!F253)</f>
        <v/>
      </c>
      <c r="G253" s="19" t="str">
        <f>IF('Supplier selection'!G253="","",'Supplier selection'!G253)</f>
        <v/>
      </c>
      <c r="H253" s="19" t="str">
        <f>IF('Supplier selection'!H253="","",'Supplier selection'!H253)</f>
        <v/>
      </c>
      <c r="I253" s="19" t="str">
        <f>IF('Supplier selection'!I253="","",'Supplier selection'!I253)</f>
        <v/>
      </c>
      <c r="J253" s="19" t="str">
        <f>IF('Supplier selection'!J253="","",'Supplier selection'!J253)</f>
        <v/>
      </c>
      <c r="K253" s="19" t="str">
        <f>IF('Supplier selection'!K253="","",'Supplier selection'!K253)</f>
        <v/>
      </c>
      <c r="L253" s="19" t="str">
        <f>IF('Supplier selection'!L253="","",'Supplier selection'!L253)</f>
        <v/>
      </c>
      <c r="M253" s="19" t="str">
        <f>IF('Supplier selection'!M253="","",'Supplier selection'!M253)</f>
        <v/>
      </c>
      <c r="N253" s="19" t="str">
        <f>IF('Supplier selection'!N253="","",'Supplier selection'!N253)</f>
        <v/>
      </c>
      <c r="O253" s="19" t="str">
        <f>IF('Supplier selection'!O253="","",'Supplier selection'!O253)</f>
        <v/>
      </c>
      <c r="Q253" s="19" t="str">
        <f>HLOOKUP($Q$3,'Supplier selection'!$AW$4:'Supplier selection'!$CT$1000,$A254,FALSE)</f>
        <v/>
      </c>
      <c r="R253" s="22" t="str">
        <f t="shared" si="33"/>
        <v/>
      </c>
      <c r="S253" s="19" t="str">
        <f t="shared" si="34"/>
        <v/>
      </c>
      <c r="T253" s="22" t="str">
        <f t="shared" si="35"/>
        <v/>
      </c>
      <c r="U253" s="19" t="str">
        <f t="shared" si="36"/>
        <v/>
      </c>
      <c r="V253" s="7"/>
      <c r="Y253" s="19" t="str">
        <f>IF('Supplier selection'!AQ253="","",'Supplier selection'!AQ253)</f>
        <v/>
      </c>
      <c r="Z253" s="19" t="str">
        <f>IF('Supplier selection'!AR253="","",'Supplier selection'!AR253)</f>
        <v/>
      </c>
      <c r="AA253" s="19" t="str">
        <f t="shared" si="37"/>
        <v/>
      </c>
      <c r="AD253" s="26" t="str">
        <f>IF(AND('Supplier selection'!X253="",'Supplier selection'!AE253=""),"",IF('Supplier selection'!X253="",'Supplier selection'!AE253,'Supplier selection'!X253))</f>
        <v/>
      </c>
      <c r="AE253" s="19" t="str">
        <f t="shared" si="38"/>
        <v/>
      </c>
      <c r="AF253" s="19" t="str">
        <f t="shared" si="39"/>
        <v/>
      </c>
      <c r="AG253" s="27" t="str">
        <f>IF(AND('Supplier selection'!AB253="",'Supplier selection'!AI253=""),"",IF('Supplier selection'!AB253="",'Supplier selection'!AI253,'Supplier selection'!AB253))</f>
        <v/>
      </c>
      <c r="AH253" s="28" t="str">
        <f t="shared" si="40"/>
        <v/>
      </c>
      <c r="AI253" s="7" t="str">
        <f t="shared" si="41"/>
        <v/>
      </c>
      <c r="AJ253" s="22" t="str">
        <f t="shared" si="42"/>
        <v/>
      </c>
      <c r="AK253" s="29" t="str">
        <f t="shared" si="43"/>
        <v/>
      </c>
      <c r="AL253" s="10"/>
    </row>
    <row r="254" spans="1:38">
      <c r="A254" s="19">
        <f>IF('Supplier selection'!A254="","",'Supplier selection'!A254)</f>
        <v>250</v>
      </c>
      <c r="B254" s="19" t="str">
        <f>IF('Supplier selection'!B254="","",'Supplier selection'!B254)</f>
        <v/>
      </c>
      <c r="C254" s="19" t="str">
        <f>IF('Supplier selection'!C254="","",'Supplier selection'!C254)</f>
        <v/>
      </c>
      <c r="D254" s="19" t="str">
        <f>IF('Supplier selection'!D254="","",'Supplier selection'!D254)</f>
        <v/>
      </c>
      <c r="E254" s="19" t="str">
        <f>IF('Supplier selection'!E254="","",'Supplier selection'!E254)</f>
        <v/>
      </c>
      <c r="F254" s="19" t="str">
        <f>IF('Supplier selection'!F254="","",'Supplier selection'!F254)</f>
        <v/>
      </c>
      <c r="G254" s="19" t="str">
        <f>IF('Supplier selection'!G254="","",'Supplier selection'!G254)</f>
        <v/>
      </c>
      <c r="H254" s="19" t="str">
        <f>IF('Supplier selection'!H254="","",'Supplier selection'!H254)</f>
        <v/>
      </c>
      <c r="I254" s="19" t="str">
        <f>IF('Supplier selection'!I254="","",'Supplier selection'!I254)</f>
        <v/>
      </c>
      <c r="J254" s="19" t="str">
        <f>IF('Supplier selection'!J254="","",'Supplier selection'!J254)</f>
        <v/>
      </c>
      <c r="K254" s="19" t="str">
        <f>IF('Supplier selection'!K254="","",'Supplier selection'!K254)</f>
        <v/>
      </c>
      <c r="L254" s="19" t="str">
        <f>IF('Supplier selection'!L254="","",'Supplier selection'!L254)</f>
        <v/>
      </c>
      <c r="M254" s="19" t="str">
        <f>IF('Supplier selection'!M254="","",'Supplier selection'!M254)</f>
        <v/>
      </c>
      <c r="N254" s="19" t="str">
        <f>IF('Supplier selection'!N254="","",'Supplier selection'!N254)</f>
        <v/>
      </c>
      <c r="O254" s="19" t="str">
        <f>IF('Supplier selection'!O254="","",'Supplier selection'!O254)</f>
        <v/>
      </c>
      <c r="Q254" s="19" t="str">
        <f>HLOOKUP($Q$3,'Supplier selection'!$AW$4:'Supplier selection'!$CT$1000,$A255,FALSE)</f>
        <v/>
      </c>
      <c r="R254" s="22" t="str">
        <f t="shared" si="33"/>
        <v/>
      </c>
      <c r="S254" s="19" t="str">
        <f t="shared" si="34"/>
        <v/>
      </c>
      <c r="T254" s="22" t="str">
        <f t="shared" si="35"/>
        <v/>
      </c>
      <c r="U254" s="19" t="str">
        <f t="shared" si="36"/>
        <v/>
      </c>
      <c r="V254" s="7"/>
      <c r="Y254" s="19" t="str">
        <f>IF('Supplier selection'!AQ254="","",'Supplier selection'!AQ254)</f>
        <v/>
      </c>
      <c r="Z254" s="19" t="str">
        <f>IF('Supplier selection'!AR254="","",'Supplier selection'!AR254)</f>
        <v/>
      </c>
      <c r="AA254" s="19" t="str">
        <f t="shared" si="37"/>
        <v/>
      </c>
      <c r="AD254" s="26" t="str">
        <f>IF(AND('Supplier selection'!X254="",'Supplier selection'!AE254=""),"",IF('Supplier selection'!X254="",'Supplier selection'!AE254,'Supplier selection'!X254))</f>
        <v/>
      </c>
      <c r="AE254" s="19" t="str">
        <f t="shared" si="38"/>
        <v/>
      </c>
      <c r="AF254" s="19" t="str">
        <f t="shared" si="39"/>
        <v/>
      </c>
      <c r="AG254" s="27" t="str">
        <f>IF(AND('Supplier selection'!AB254="",'Supplier selection'!AI254=""),"",IF('Supplier selection'!AB254="",'Supplier selection'!AI254,'Supplier selection'!AB254))</f>
        <v/>
      </c>
      <c r="AH254" s="28" t="str">
        <f t="shared" si="40"/>
        <v/>
      </c>
      <c r="AI254" s="7" t="str">
        <f t="shared" si="41"/>
        <v/>
      </c>
      <c r="AJ254" s="22" t="str">
        <f t="shared" si="42"/>
        <v/>
      </c>
      <c r="AK254" s="29" t="str">
        <f t="shared" si="43"/>
        <v/>
      </c>
      <c r="AL254" s="10"/>
    </row>
    <row r="255" spans="1:38">
      <c r="A255" s="19">
        <f>IF('Supplier selection'!A255="","",'Supplier selection'!A255)</f>
        <v>251</v>
      </c>
      <c r="B255" s="19" t="str">
        <f>IF('Supplier selection'!B255="","",'Supplier selection'!B255)</f>
        <v/>
      </c>
      <c r="C255" s="19" t="str">
        <f>IF('Supplier selection'!C255="","",'Supplier selection'!C255)</f>
        <v/>
      </c>
      <c r="D255" s="19" t="str">
        <f>IF('Supplier selection'!D255="","",'Supplier selection'!D255)</f>
        <v/>
      </c>
      <c r="E255" s="19" t="str">
        <f>IF('Supplier selection'!E255="","",'Supplier selection'!E255)</f>
        <v/>
      </c>
      <c r="F255" s="19" t="str">
        <f>IF('Supplier selection'!F255="","",'Supplier selection'!F255)</f>
        <v/>
      </c>
      <c r="G255" s="19" t="str">
        <f>IF('Supplier selection'!G255="","",'Supplier selection'!G255)</f>
        <v/>
      </c>
      <c r="H255" s="19" t="str">
        <f>IF('Supplier selection'!H255="","",'Supplier selection'!H255)</f>
        <v/>
      </c>
      <c r="I255" s="19" t="str">
        <f>IF('Supplier selection'!I255="","",'Supplier selection'!I255)</f>
        <v/>
      </c>
      <c r="J255" s="19" t="str">
        <f>IF('Supplier selection'!J255="","",'Supplier selection'!J255)</f>
        <v/>
      </c>
      <c r="K255" s="19" t="str">
        <f>IF('Supplier selection'!K255="","",'Supplier selection'!K255)</f>
        <v/>
      </c>
      <c r="L255" s="19" t="str">
        <f>IF('Supplier selection'!L255="","",'Supplier selection'!L255)</f>
        <v/>
      </c>
      <c r="M255" s="19" t="str">
        <f>IF('Supplier selection'!M255="","",'Supplier selection'!M255)</f>
        <v/>
      </c>
      <c r="N255" s="19" t="str">
        <f>IF('Supplier selection'!N255="","",'Supplier selection'!N255)</f>
        <v/>
      </c>
      <c r="O255" s="19" t="str">
        <f>IF('Supplier selection'!O255="","",'Supplier selection'!O255)</f>
        <v/>
      </c>
      <c r="Q255" s="19" t="str">
        <f>HLOOKUP($Q$3,'Supplier selection'!$AW$4:'Supplier selection'!$CT$1000,$A256,FALSE)</f>
        <v/>
      </c>
      <c r="R255" s="22" t="str">
        <f t="shared" si="33"/>
        <v/>
      </c>
      <c r="S255" s="19" t="str">
        <f t="shared" si="34"/>
        <v/>
      </c>
      <c r="T255" s="22" t="str">
        <f t="shared" si="35"/>
        <v/>
      </c>
      <c r="U255" s="19" t="str">
        <f t="shared" si="36"/>
        <v/>
      </c>
      <c r="V255" s="7"/>
      <c r="Y255" s="19" t="str">
        <f>IF('Supplier selection'!AQ255="","",'Supplier selection'!AQ255)</f>
        <v/>
      </c>
      <c r="Z255" s="19" t="str">
        <f>IF('Supplier selection'!AR255="","",'Supplier selection'!AR255)</f>
        <v/>
      </c>
      <c r="AA255" s="19" t="str">
        <f t="shared" si="37"/>
        <v/>
      </c>
      <c r="AD255" s="26" t="str">
        <f>IF(AND('Supplier selection'!X255="",'Supplier selection'!AE255=""),"",IF('Supplier selection'!X255="",'Supplier selection'!AE255,'Supplier selection'!X255))</f>
        <v/>
      </c>
      <c r="AE255" s="19" t="str">
        <f t="shared" si="38"/>
        <v/>
      </c>
      <c r="AF255" s="19" t="str">
        <f t="shared" si="39"/>
        <v/>
      </c>
      <c r="AG255" s="27" t="str">
        <f>IF(AND('Supplier selection'!AB255="",'Supplier selection'!AI255=""),"",IF('Supplier selection'!AB255="",'Supplier selection'!AI255,'Supplier selection'!AB255))</f>
        <v/>
      </c>
      <c r="AH255" s="28" t="str">
        <f t="shared" si="40"/>
        <v/>
      </c>
      <c r="AI255" s="7" t="str">
        <f t="shared" si="41"/>
        <v/>
      </c>
      <c r="AJ255" s="22" t="str">
        <f t="shared" si="42"/>
        <v/>
      </c>
      <c r="AK255" s="29" t="str">
        <f t="shared" si="43"/>
        <v/>
      </c>
      <c r="AL255" s="10"/>
    </row>
    <row r="256" spans="1:38">
      <c r="A256" s="19">
        <f>IF('Supplier selection'!A256="","",'Supplier selection'!A256)</f>
        <v>252</v>
      </c>
      <c r="B256" s="19" t="str">
        <f>IF('Supplier selection'!B256="","",'Supplier selection'!B256)</f>
        <v/>
      </c>
      <c r="C256" s="19" t="str">
        <f>IF('Supplier selection'!C256="","",'Supplier selection'!C256)</f>
        <v/>
      </c>
      <c r="D256" s="19" t="str">
        <f>IF('Supplier selection'!D256="","",'Supplier selection'!D256)</f>
        <v/>
      </c>
      <c r="E256" s="19" t="str">
        <f>IF('Supplier selection'!E256="","",'Supplier selection'!E256)</f>
        <v/>
      </c>
      <c r="F256" s="19" t="str">
        <f>IF('Supplier selection'!F256="","",'Supplier selection'!F256)</f>
        <v/>
      </c>
      <c r="G256" s="19" t="str">
        <f>IF('Supplier selection'!G256="","",'Supplier selection'!G256)</f>
        <v/>
      </c>
      <c r="H256" s="19" t="str">
        <f>IF('Supplier selection'!H256="","",'Supplier selection'!H256)</f>
        <v/>
      </c>
      <c r="I256" s="19" t="str">
        <f>IF('Supplier selection'!I256="","",'Supplier selection'!I256)</f>
        <v/>
      </c>
      <c r="J256" s="19" t="str">
        <f>IF('Supplier selection'!J256="","",'Supplier selection'!J256)</f>
        <v/>
      </c>
      <c r="K256" s="19" t="str">
        <f>IF('Supplier selection'!K256="","",'Supplier selection'!K256)</f>
        <v/>
      </c>
      <c r="L256" s="19" t="str">
        <f>IF('Supplier selection'!L256="","",'Supplier selection'!L256)</f>
        <v/>
      </c>
      <c r="M256" s="19" t="str">
        <f>IF('Supplier selection'!M256="","",'Supplier selection'!M256)</f>
        <v/>
      </c>
      <c r="N256" s="19" t="str">
        <f>IF('Supplier selection'!N256="","",'Supplier selection'!N256)</f>
        <v/>
      </c>
      <c r="O256" s="19" t="str">
        <f>IF('Supplier selection'!O256="","",'Supplier selection'!O256)</f>
        <v/>
      </c>
      <c r="Q256" s="19" t="str">
        <f>HLOOKUP($Q$3,'Supplier selection'!$AW$4:'Supplier selection'!$CT$1000,$A257,FALSE)</f>
        <v/>
      </c>
      <c r="R256" s="22" t="str">
        <f t="shared" si="33"/>
        <v/>
      </c>
      <c r="S256" s="19" t="str">
        <f t="shared" si="34"/>
        <v/>
      </c>
      <c r="T256" s="22" t="str">
        <f t="shared" si="35"/>
        <v/>
      </c>
      <c r="U256" s="19" t="str">
        <f t="shared" si="36"/>
        <v/>
      </c>
      <c r="V256" s="7"/>
      <c r="Y256" s="19" t="str">
        <f>IF('Supplier selection'!AQ256="","",'Supplier selection'!AQ256)</f>
        <v/>
      </c>
      <c r="Z256" s="19" t="str">
        <f>IF('Supplier selection'!AR256="","",'Supplier selection'!AR256)</f>
        <v/>
      </c>
      <c r="AA256" s="19" t="str">
        <f t="shared" si="37"/>
        <v/>
      </c>
      <c r="AD256" s="26" t="str">
        <f>IF(AND('Supplier selection'!X256="",'Supplier selection'!AE256=""),"",IF('Supplier selection'!X256="",'Supplier selection'!AE256,'Supplier selection'!X256))</f>
        <v/>
      </c>
      <c r="AE256" s="19" t="str">
        <f t="shared" si="38"/>
        <v/>
      </c>
      <c r="AF256" s="19" t="str">
        <f t="shared" si="39"/>
        <v/>
      </c>
      <c r="AG256" s="27" t="str">
        <f>IF(AND('Supplier selection'!AB256="",'Supplier selection'!AI256=""),"",IF('Supplier selection'!AB256="",'Supplier selection'!AI256,'Supplier selection'!AB256))</f>
        <v/>
      </c>
      <c r="AH256" s="28" t="str">
        <f t="shared" si="40"/>
        <v/>
      </c>
      <c r="AI256" s="7" t="str">
        <f t="shared" si="41"/>
        <v/>
      </c>
      <c r="AJ256" s="22" t="str">
        <f t="shared" si="42"/>
        <v/>
      </c>
      <c r="AK256" s="29" t="str">
        <f t="shared" si="43"/>
        <v/>
      </c>
      <c r="AL256" s="10"/>
    </row>
    <row r="257" spans="1:38">
      <c r="A257" s="19">
        <f>IF('Supplier selection'!A257="","",'Supplier selection'!A257)</f>
        <v>253</v>
      </c>
      <c r="B257" s="19" t="str">
        <f>IF('Supplier selection'!B257="","",'Supplier selection'!B257)</f>
        <v/>
      </c>
      <c r="C257" s="19" t="str">
        <f>IF('Supplier selection'!C257="","",'Supplier selection'!C257)</f>
        <v/>
      </c>
      <c r="D257" s="19" t="str">
        <f>IF('Supplier selection'!D257="","",'Supplier selection'!D257)</f>
        <v/>
      </c>
      <c r="E257" s="19" t="str">
        <f>IF('Supplier selection'!E257="","",'Supplier selection'!E257)</f>
        <v/>
      </c>
      <c r="F257" s="19" t="str">
        <f>IF('Supplier selection'!F257="","",'Supplier selection'!F257)</f>
        <v/>
      </c>
      <c r="G257" s="19" t="str">
        <f>IF('Supplier selection'!G257="","",'Supplier selection'!G257)</f>
        <v/>
      </c>
      <c r="H257" s="19" t="str">
        <f>IF('Supplier selection'!H257="","",'Supplier selection'!H257)</f>
        <v/>
      </c>
      <c r="I257" s="19" t="str">
        <f>IF('Supplier selection'!I257="","",'Supplier selection'!I257)</f>
        <v/>
      </c>
      <c r="J257" s="19" t="str">
        <f>IF('Supplier selection'!J257="","",'Supplier selection'!J257)</f>
        <v/>
      </c>
      <c r="K257" s="19" t="str">
        <f>IF('Supplier selection'!K257="","",'Supplier selection'!K257)</f>
        <v/>
      </c>
      <c r="L257" s="19" t="str">
        <f>IF('Supplier selection'!L257="","",'Supplier selection'!L257)</f>
        <v/>
      </c>
      <c r="M257" s="19" t="str">
        <f>IF('Supplier selection'!M257="","",'Supplier selection'!M257)</f>
        <v/>
      </c>
      <c r="N257" s="19" t="str">
        <f>IF('Supplier selection'!N257="","",'Supplier selection'!N257)</f>
        <v/>
      </c>
      <c r="O257" s="19" t="str">
        <f>IF('Supplier selection'!O257="","",'Supplier selection'!O257)</f>
        <v/>
      </c>
      <c r="Q257" s="19" t="str">
        <f>HLOOKUP($Q$3,'Supplier selection'!$AW$4:'Supplier selection'!$CT$1000,$A258,FALSE)</f>
        <v/>
      </c>
      <c r="R257" s="22" t="str">
        <f t="shared" si="33"/>
        <v/>
      </c>
      <c r="S257" s="19" t="str">
        <f t="shared" si="34"/>
        <v/>
      </c>
      <c r="T257" s="22" t="str">
        <f t="shared" si="35"/>
        <v/>
      </c>
      <c r="U257" s="19" t="str">
        <f t="shared" si="36"/>
        <v/>
      </c>
      <c r="V257" s="7"/>
      <c r="Y257" s="19" t="str">
        <f>IF('Supplier selection'!AQ257="","",'Supplier selection'!AQ257)</f>
        <v/>
      </c>
      <c r="Z257" s="19" t="str">
        <f>IF('Supplier selection'!AR257="","",'Supplier selection'!AR257)</f>
        <v/>
      </c>
      <c r="AA257" s="19" t="str">
        <f t="shared" si="37"/>
        <v/>
      </c>
      <c r="AD257" s="26" t="str">
        <f>IF(AND('Supplier selection'!X257="",'Supplier selection'!AE257=""),"",IF('Supplier selection'!X257="",'Supplier selection'!AE257,'Supplier selection'!X257))</f>
        <v/>
      </c>
      <c r="AE257" s="19" t="str">
        <f t="shared" si="38"/>
        <v/>
      </c>
      <c r="AF257" s="19" t="str">
        <f t="shared" si="39"/>
        <v/>
      </c>
      <c r="AG257" s="27" t="str">
        <f>IF(AND('Supplier selection'!AB257="",'Supplier selection'!AI257=""),"",IF('Supplier selection'!AB257="",'Supplier selection'!AI257,'Supplier selection'!AB257))</f>
        <v/>
      </c>
      <c r="AH257" s="28" t="str">
        <f t="shared" si="40"/>
        <v/>
      </c>
      <c r="AI257" s="7" t="str">
        <f t="shared" si="41"/>
        <v/>
      </c>
      <c r="AJ257" s="22" t="str">
        <f t="shared" si="42"/>
        <v/>
      </c>
      <c r="AK257" s="29" t="str">
        <f t="shared" si="43"/>
        <v/>
      </c>
      <c r="AL257" s="10"/>
    </row>
    <row r="258" spans="1:38">
      <c r="A258" s="19">
        <f>IF('Supplier selection'!A258="","",'Supplier selection'!A258)</f>
        <v>254</v>
      </c>
      <c r="B258" s="19" t="str">
        <f>IF('Supplier selection'!B258="","",'Supplier selection'!B258)</f>
        <v/>
      </c>
      <c r="C258" s="19" t="str">
        <f>IF('Supplier selection'!C258="","",'Supplier selection'!C258)</f>
        <v/>
      </c>
      <c r="D258" s="19" t="str">
        <f>IF('Supplier selection'!D258="","",'Supplier selection'!D258)</f>
        <v/>
      </c>
      <c r="E258" s="19" t="str">
        <f>IF('Supplier selection'!E258="","",'Supplier selection'!E258)</f>
        <v/>
      </c>
      <c r="F258" s="19" t="str">
        <f>IF('Supplier selection'!F258="","",'Supplier selection'!F258)</f>
        <v/>
      </c>
      <c r="G258" s="19" t="str">
        <f>IF('Supplier selection'!G258="","",'Supplier selection'!G258)</f>
        <v/>
      </c>
      <c r="H258" s="19" t="str">
        <f>IF('Supplier selection'!H258="","",'Supplier selection'!H258)</f>
        <v/>
      </c>
      <c r="I258" s="19" t="str">
        <f>IF('Supplier selection'!I258="","",'Supplier selection'!I258)</f>
        <v/>
      </c>
      <c r="J258" s="19" t="str">
        <f>IF('Supplier selection'!J258="","",'Supplier selection'!J258)</f>
        <v/>
      </c>
      <c r="K258" s="19" t="str">
        <f>IF('Supplier selection'!K258="","",'Supplier selection'!K258)</f>
        <v/>
      </c>
      <c r="L258" s="19" t="str">
        <f>IF('Supplier selection'!L258="","",'Supplier selection'!L258)</f>
        <v/>
      </c>
      <c r="M258" s="19" t="str">
        <f>IF('Supplier selection'!M258="","",'Supplier selection'!M258)</f>
        <v/>
      </c>
      <c r="N258" s="19" t="str">
        <f>IF('Supplier selection'!N258="","",'Supplier selection'!N258)</f>
        <v/>
      </c>
      <c r="O258" s="19" t="str">
        <f>IF('Supplier selection'!O258="","",'Supplier selection'!O258)</f>
        <v/>
      </c>
      <c r="Q258" s="19" t="str">
        <f>HLOOKUP($Q$3,'Supplier selection'!$AW$4:'Supplier selection'!$CT$1000,$A259,FALSE)</f>
        <v/>
      </c>
      <c r="R258" s="22" t="str">
        <f t="shared" si="33"/>
        <v/>
      </c>
      <c r="S258" s="19" t="str">
        <f t="shared" si="34"/>
        <v/>
      </c>
      <c r="T258" s="22" t="str">
        <f t="shared" si="35"/>
        <v/>
      </c>
      <c r="U258" s="19" t="str">
        <f t="shared" si="36"/>
        <v/>
      </c>
      <c r="V258" s="7"/>
      <c r="Y258" s="19" t="str">
        <f>IF('Supplier selection'!AQ258="","",'Supplier selection'!AQ258)</f>
        <v/>
      </c>
      <c r="Z258" s="19" t="str">
        <f>IF('Supplier selection'!AR258="","",'Supplier selection'!AR258)</f>
        <v/>
      </c>
      <c r="AA258" s="19" t="str">
        <f t="shared" si="37"/>
        <v/>
      </c>
      <c r="AD258" s="26" t="str">
        <f>IF(AND('Supplier selection'!X258="",'Supplier selection'!AE258=""),"",IF('Supplier selection'!X258="",'Supplier selection'!AE258,'Supplier selection'!X258))</f>
        <v/>
      </c>
      <c r="AE258" s="19" t="str">
        <f t="shared" si="38"/>
        <v/>
      </c>
      <c r="AF258" s="19" t="str">
        <f t="shared" si="39"/>
        <v/>
      </c>
      <c r="AG258" s="27" t="str">
        <f>IF(AND('Supplier selection'!AB258="",'Supplier selection'!AI258=""),"",IF('Supplier selection'!AB258="",'Supplier selection'!AI258,'Supplier selection'!AB258))</f>
        <v/>
      </c>
      <c r="AH258" s="28" t="str">
        <f t="shared" si="40"/>
        <v/>
      </c>
      <c r="AI258" s="7" t="str">
        <f t="shared" si="41"/>
        <v/>
      </c>
      <c r="AJ258" s="22" t="str">
        <f t="shared" si="42"/>
        <v/>
      </c>
      <c r="AK258" s="29" t="str">
        <f t="shared" si="43"/>
        <v/>
      </c>
      <c r="AL258" s="10"/>
    </row>
    <row r="259" spans="1:38">
      <c r="A259" s="19">
        <f>IF('Supplier selection'!A259="","",'Supplier selection'!A259)</f>
        <v>255</v>
      </c>
      <c r="B259" s="19" t="str">
        <f>IF('Supplier selection'!B259="","",'Supplier selection'!B259)</f>
        <v/>
      </c>
      <c r="C259" s="19" t="str">
        <f>IF('Supplier selection'!C259="","",'Supplier selection'!C259)</f>
        <v/>
      </c>
      <c r="D259" s="19" t="str">
        <f>IF('Supplier selection'!D259="","",'Supplier selection'!D259)</f>
        <v/>
      </c>
      <c r="E259" s="19" t="str">
        <f>IF('Supplier selection'!E259="","",'Supplier selection'!E259)</f>
        <v/>
      </c>
      <c r="F259" s="19" t="str">
        <f>IF('Supplier selection'!F259="","",'Supplier selection'!F259)</f>
        <v/>
      </c>
      <c r="G259" s="19" t="str">
        <f>IF('Supplier selection'!G259="","",'Supplier selection'!G259)</f>
        <v/>
      </c>
      <c r="H259" s="19" t="str">
        <f>IF('Supplier selection'!H259="","",'Supplier selection'!H259)</f>
        <v/>
      </c>
      <c r="I259" s="19" t="str">
        <f>IF('Supplier selection'!I259="","",'Supplier selection'!I259)</f>
        <v/>
      </c>
      <c r="J259" s="19" t="str">
        <f>IF('Supplier selection'!J259="","",'Supplier selection'!J259)</f>
        <v/>
      </c>
      <c r="K259" s="19" t="str">
        <f>IF('Supplier selection'!K259="","",'Supplier selection'!K259)</f>
        <v/>
      </c>
      <c r="L259" s="19" t="str">
        <f>IF('Supplier selection'!L259="","",'Supplier selection'!L259)</f>
        <v/>
      </c>
      <c r="M259" s="19" t="str">
        <f>IF('Supplier selection'!M259="","",'Supplier selection'!M259)</f>
        <v/>
      </c>
      <c r="N259" s="19" t="str">
        <f>IF('Supplier selection'!N259="","",'Supplier selection'!N259)</f>
        <v/>
      </c>
      <c r="O259" s="19" t="str">
        <f>IF('Supplier selection'!O259="","",'Supplier selection'!O259)</f>
        <v/>
      </c>
      <c r="Q259" s="19" t="str">
        <f>HLOOKUP($Q$3,'Supplier selection'!$AW$4:'Supplier selection'!$CT$1000,$A260,FALSE)</f>
        <v/>
      </c>
      <c r="R259" s="22" t="str">
        <f t="shared" si="33"/>
        <v/>
      </c>
      <c r="S259" s="19" t="str">
        <f t="shared" si="34"/>
        <v/>
      </c>
      <c r="T259" s="22" t="str">
        <f t="shared" si="35"/>
        <v/>
      </c>
      <c r="U259" s="19" t="str">
        <f t="shared" si="36"/>
        <v/>
      </c>
      <c r="V259" s="7"/>
      <c r="Y259" s="19" t="str">
        <f>IF('Supplier selection'!AQ259="","",'Supplier selection'!AQ259)</f>
        <v/>
      </c>
      <c r="Z259" s="19" t="str">
        <f>IF('Supplier selection'!AR259="","",'Supplier selection'!AR259)</f>
        <v/>
      </c>
      <c r="AA259" s="19" t="str">
        <f t="shared" si="37"/>
        <v/>
      </c>
      <c r="AD259" s="26" t="str">
        <f>IF(AND('Supplier selection'!X259="",'Supplier selection'!AE259=""),"",IF('Supplier selection'!X259="",'Supplier selection'!AE259,'Supplier selection'!X259))</f>
        <v/>
      </c>
      <c r="AE259" s="19" t="str">
        <f t="shared" si="38"/>
        <v/>
      </c>
      <c r="AF259" s="19" t="str">
        <f t="shared" si="39"/>
        <v/>
      </c>
      <c r="AG259" s="27" t="str">
        <f>IF(AND('Supplier selection'!AB259="",'Supplier selection'!AI259=""),"",IF('Supplier selection'!AB259="",'Supplier selection'!AI259,'Supplier selection'!AB259))</f>
        <v/>
      </c>
      <c r="AH259" s="28" t="str">
        <f t="shared" si="40"/>
        <v/>
      </c>
      <c r="AI259" s="7" t="str">
        <f t="shared" si="41"/>
        <v/>
      </c>
      <c r="AJ259" s="22" t="str">
        <f t="shared" si="42"/>
        <v/>
      </c>
      <c r="AK259" s="29" t="str">
        <f t="shared" si="43"/>
        <v/>
      </c>
      <c r="AL259" s="10"/>
    </row>
    <row r="260" spans="1:38">
      <c r="A260" s="19">
        <f>IF('Supplier selection'!A260="","",'Supplier selection'!A260)</f>
        <v>256</v>
      </c>
      <c r="B260" s="19" t="str">
        <f>IF('Supplier selection'!B260="","",'Supplier selection'!B260)</f>
        <v/>
      </c>
      <c r="C260" s="19" t="str">
        <f>IF('Supplier selection'!C260="","",'Supplier selection'!C260)</f>
        <v/>
      </c>
      <c r="D260" s="19" t="str">
        <f>IF('Supplier selection'!D260="","",'Supplier selection'!D260)</f>
        <v/>
      </c>
      <c r="E260" s="19" t="str">
        <f>IF('Supplier selection'!E260="","",'Supplier selection'!E260)</f>
        <v/>
      </c>
      <c r="F260" s="19" t="str">
        <f>IF('Supplier selection'!F260="","",'Supplier selection'!F260)</f>
        <v/>
      </c>
      <c r="G260" s="19" t="str">
        <f>IF('Supplier selection'!G260="","",'Supplier selection'!G260)</f>
        <v/>
      </c>
      <c r="H260" s="19" t="str">
        <f>IF('Supplier selection'!H260="","",'Supplier selection'!H260)</f>
        <v/>
      </c>
      <c r="I260" s="19" t="str">
        <f>IF('Supplier selection'!I260="","",'Supplier selection'!I260)</f>
        <v/>
      </c>
      <c r="J260" s="19" t="str">
        <f>IF('Supplier selection'!J260="","",'Supplier selection'!J260)</f>
        <v/>
      </c>
      <c r="K260" s="19" t="str">
        <f>IF('Supplier selection'!K260="","",'Supplier selection'!K260)</f>
        <v/>
      </c>
      <c r="L260" s="19" t="str">
        <f>IF('Supplier selection'!L260="","",'Supplier selection'!L260)</f>
        <v/>
      </c>
      <c r="M260" s="19" t="str">
        <f>IF('Supplier selection'!M260="","",'Supplier selection'!M260)</f>
        <v/>
      </c>
      <c r="N260" s="19" t="str">
        <f>IF('Supplier selection'!N260="","",'Supplier selection'!N260)</f>
        <v/>
      </c>
      <c r="O260" s="19" t="str">
        <f>IF('Supplier selection'!O260="","",'Supplier selection'!O260)</f>
        <v/>
      </c>
      <c r="Q260" s="19" t="str">
        <f>HLOOKUP($Q$3,'Supplier selection'!$AW$4:'Supplier selection'!$CT$1000,$A261,FALSE)</f>
        <v/>
      </c>
      <c r="R260" s="22" t="str">
        <f t="shared" si="33"/>
        <v/>
      </c>
      <c r="S260" s="19" t="str">
        <f t="shared" si="34"/>
        <v/>
      </c>
      <c r="T260" s="22" t="str">
        <f t="shared" si="35"/>
        <v/>
      </c>
      <c r="U260" s="19" t="str">
        <f t="shared" si="36"/>
        <v/>
      </c>
      <c r="V260" s="7"/>
      <c r="Y260" s="19" t="str">
        <f>IF('Supplier selection'!AQ260="","",'Supplier selection'!AQ260)</f>
        <v/>
      </c>
      <c r="Z260" s="19" t="str">
        <f>IF('Supplier selection'!AR260="","",'Supplier selection'!AR260)</f>
        <v/>
      </c>
      <c r="AA260" s="19" t="str">
        <f t="shared" si="37"/>
        <v/>
      </c>
      <c r="AD260" s="26" t="str">
        <f>IF(AND('Supplier selection'!X260="",'Supplier selection'!AE260=""),"",IF('Supplier selection'!X260="",'Supplier selection'!AE260,'Supplier selection'!X260))</f>
        <v/>
      </c>
      <c r="AE260" s="19" t="str">
        <f t="shared" si="38"/>
        <v/>
      </c>
      <c r="AF260" s="19" t="str">
        <f t="shared" si="39"/>
        <v/>
      </c>
      <c r="AG260" s="27" t="str">
        <f>IF(AND('Supplier selection'!AB260="",'Supplier selection'!AI260=""),"",IF('Supplier selection'!AB260="",'Supplier selection'!AI260,'Supplier selection'!AB260))</f>
        <v/>
      </c>
      <c r="AH260" s="28" t="str">
        <f t="shared" si="40"/>
        <v/>
      </c>
      <c r="AI260" s="7" t="str">
        <f t="shared" si="41"/>
        <v/>
      </c>
      <c r="AJ260" s="22" t="str">
        <f t="shared" si="42"/>
        <v/>
      </c>
      <c r="AK260" s="29" t="str">
        <f t="shared" si="43"/>
        <v/>
      </c>
      <c r="AL260" s="10"/>
    </row>
    <row r="261" spans="1:38">
      <c r="A261" s="19">
        <f>IF('Supplier selection'!A261="","",'Supplier selection'!A261)</f>
        <v>257</v>
      </c>
      <c r="B261" s="19" t="str">
        <f>IF('Supplier selection'!B261="","",'Supplier selection'!B261)</f>
        <v/>
      </c>
      <c r="C261" s="19" t="str">
        <f>IF('Supplier selection'!C261="","",'Supplier selection'!C261)</f>
        <v/>
      </c>
      <c r="D261" s="19" t="str">
        <f>IF('Supplier selection'!D261="","",'Supplier selection'!D261)</f>
        <v/>
      </c>
      <c r="E261" s="19" t="str">
        <f>IF('Supplier selection'!E261="","",'Supplier selection'!E261)</f>
        <v/>
      </c>
      <c r="F261" s="19" t="str">
        <f>IF('Supplier selection'!F261="","",'Supplier selection'!F261)</f>
        <v/>
      </c>
      <c r="G261" s="19" t="str">
        <f>IF('Supplier selection'!G261="","",'Supplier selection'!G261)</f>
        <v/>
      </c>
      <c r="H261" s="19" t="str">
        <f>IF('Supplier selection'!H261="","",'Supplier selection'!H261)</f>
        <v/>
      </c>
      <c r="I261" s="19" t="str">
        <f>IF('Supplier selection'!I261="","",'Supplier selection'!I261)</f>
        <v/>
      </c>
      <c r="J261" s="19" t="str">
        <f>IF('Supplier selection'!J261="","",'Supplier selection'!J261)</f>
        <v/>
      </c>
      <c r="K261" s="19" t="str">
        <f>IF('Supplier selection'!K261="","",'Supplier selection'!K261)</f>
        <v/>
      </c>
      <c r="L261" s="19" t="str">
        <f>IF('Supplier selection'!L261="","",'Supplier selection'!L261)</f>
        <v/>
      </c>
      <c r="M261" s="19" t="str">
        <f>IF('Supplier selection'!M261="","",'Supplier selection'!M261)</f>
        <v/>
      </c>
      <c r="N261" s="19" t="str">
        <f>IF('Supplier selection'!N261="","",'Supplier selection'!N261)</f>
        <v/>
      </c>
      <c r="O261" s="19" t="str">
        <f>IF('Supplier selection'!O261="","",'Supplier selection'!O261)</f>
        <v/>
      </c>
      <c r="Q261" s="19" t="str">
        <f>HLOOKUP($Q$3,'Supplier selection'!$AW$4:'Supplier selection'!$CT$1000,$A262,FALSE)</f>
        <v/>
      </c>
      <c r="R261" s="22" t="str">
        <f t="shared" si="33"/>
        <v/>
      </c>
      <c r="S261" s="19" t="str">
        <f t="shared" si="34"/>
        <v/>
      </c>
      <c r="T261" s="22" t="str">
        <f t="shared" si="35"/>
        <v/>
      </c>
      <c r="U261" s="19" t="str">
        <f t="shared" si="36"/>
        <v/>
      </c>
      <c r="V261" s="7"/>
      <c r="Y261" s="19" t="str">
        <f>IF('Supplier selection'!AQ261="","",'Supplier selection'!AQ261)</f>
        <v/>
      </c>
      <c r="Z261" s="19" t="str">
        <f>IF('Supplier selection'!AR261="","",'Supplier selection'!AR261)</f>
        <v/>
      </c>
      <c r="AA261" s="19" t="str">
        <f t="shared" si="37"/>
        <v/>
      </c>
      <c r="AD261" s="26" t="str">
        <f>IF(AND('Supplier selection'!X261="",'Supplier selection'!AE261=""),"",IF('Supplier selection'!X261="",'Supplier selection'!AE261,'Supplier selection'!X261))</f>
        <v/>
      </c>
      <c r="AE261" s="19" t="str">
        <f t="shared" si="38"/>
        <v/>
      </c>
      <c r="AF261" s="19" t="str">
        <f t="shared" si="39"/>
        <v/>
      </c>
      <c r="AG261" s="27" t="str">
        <f>IF(AND('Supplier selection'!AB261="",'Supplier selection'!AI261=""),"",IF('Supplier selection'!AB261="",'Supplier selection'!AI261,'Supplier selection'!AB261))</f>
        <v/>
      </c>
      <c r="AH261" s="28" t="str">
        <f t="shared" si="40"/>
        <v/>
      </c>
      <c r="AI261" s="7" t="str">
        <f t="shared" si="41"/>
        <v/>
      </c>
      <c r="AJ261" s="22" t="str">
        <f t="shared" si="42"/>
        <v/>
      </c>
      <c r="AK261" s="29" t="str">
        <f t="shared" si="43"/>
        <v/>
      </c>
      <c r="AL261" s="10"/>
    </row>
    <row r="262" spans="1:38">
      <c r="A262" s="19">
        <f>IF('Supplier selection'!A262="","",'Supplier selection'!A262)</f>
        <v>258</v>
      </c>
      <c r="B262" s="19" t="str">
        <f>IF('Supplier selection'!B262="","",'Supplier selection'!B262)</f>
        <v/>
      </c>
      <c r="C262" s="19" t="str">
        <f>IF('Supplier selection'!C262="","",'Supplier selection'!C262)</f>
        <v/>
      </c>
      <c r="D262" s="19" t="str">
        <f>IF('Supplier selection'!D262="","",'Supplier selection'!D262)</f>
        <v/>
      </c>
      <c r="E262" s="19" t="str">
        <f>IF('Supplier selection'!E262="","",'Supplier selection'!E262)</f>
        <v/>
      </c>
      <c r="F262" s="19" t="str">
        <f>IF('Supplier selection'!F262="","",'Supplier selection'!F262)</f>
        <v/>
      </c>
      <c r="G262" s="19" t="str">
        <f>IF('Supplier selection'!G262="","",'Supplier selection'!G262)</f>
        <v/>
      </c>
      <c r="H262" s="19" t="str">
        <f>IF('Supplier selection'!H262="","",'Supplier selection'!H262)</f>
        <v/>
      </c>
      <c r="I262" s="19" t="str">
        <f>IF('Supplier selection'!I262="","",'Supplier selection'!I262)</f>
        <v/>
      </c>
      <c r="J262" s="19" t="str">
        <f>IF('Supplier selection'!J262="","",'Supplier selection'!J262)</f>
        <v/>
      </c>
      <c r="K262" s="19" t="str">
        <f>IF('Supplier selection'!K262="","",'Supplier selection'!K262)</f>
        <v/>
      </c>
      <c r="L262" s="19" t="str">
        <f>IF('Supplier selection'!L262="","",'Supplier selection'!L262)</f>
        <v/>
      </c>
      <c r="M262" s="19" t="str">
        <f>IF('Supplier selection'!M262="","",'Supplier selection'!M262)</f>
        <v/>
      </c>
      <c r="N262" s="19" t="str">
        <f>IF('Supplier selection'!N262="","",'Supplier selection'!N262)</f>
        <v/>
      </c>
      <c r="O262" s="19" t="str">
        <f>IF('Supplier selection'!O262="","",'Supplier selection'!O262)</f>
        <v/>
      </c>
      <c r="Q262" s="19" t="str">
        <f>HLOOKUP($Q$3,'Supplier selection'!$AW$4:'Supplier selection'!$CT$1000,$A263,FALSE)</f>
        <v/>
      </c>
      <c r="R262" s="22" t="str">
        <f t="shared" ref="R262:R325" si="44">IF(OR(Q262="",O262=""),"",(Q262-O262)/O262)</f>
        <v/>
      </c>
      <c r="S262" s="19" t="str">
        <f t="shared" ref="S262:S325" si="45">IF(OR(H262="",O262="",Q262=""),"",(Q262*H262)-(H262*O262))</f>
        <v/>
      </c>
      <c r="T262" s="22" t="str">
        <f t="shared" ref="T262:T325" si="46">IF(OR(Y262="",Q262=""),"",(Q262-Y262)/Y262)</f>
        <v/>
      </c>
      <c r="U262" s="19" t="str">
        <f t="shared" ref="U262:U325" si="47">IF(OR(Y262="",Q262="",H262=""),"",(Q262*H262)-(Y262*H262))</f>
        <v/>
      </c>
      <c r="V262" s="7"/>
      <c r="Y262" s="19" t="str">
        <f>IF('Supplier selection'!AQ262="","",'Supplier selection'!AQ262)</f>
        <v/>
      </c>
      <c r="Z262" s="19" t="str">
        <f>IF('Supplier selection'!AR262="","",'Supplier selection'!AR262)</f>
        <v/>
      </c>
      <c r="AA262" s="19" t="str">
        <f t="shared" ref="AA262:AA325" si="48">IF(OR(Y262="",O262="",H262=""),"",((H262*Y262)-(H262*O262)))</f>
        <v/>
      </c>
      <c r="AD262" s="26" t="str">
        <f>IF(AND('Supplier selection'!X262="",'Supplier selection'!AE262=""),"",IF('Supplier selection'!X262="",'Supplier selection'!AE262,'Supplier selection'!X262))</f>
        <v/>
      </c>
      <c r="AE262" s="19" t="str">
        <f t="shared" ref="AE262:AE325" si="49">IF(AD262="","",J262)</f>
        <v/>
      </c>
      <c r="AF262" s="19" t="str">
        <f t="shared" ref="AF262:AF325" si="50">IF(AD262="","",L262)</f>
        <v/>
      </c>
      <c r="AG262" s="27" t="str">
        <f>IF(AND('Supplier selection'!AB262="",'Supplier selection'!AI262=""),"",IF('Supplier selection'!AB262="",'Supplier selection'!AI262,'Supplier selection'!AB262))</f>
        <v/>
      </c>
      <c r="AH262" s="28" t="str">
        <f t="shared" ref="AH262:AH325" si="51">IF(OR(AG262="",O262=""),"",(AG262-O262)/O262)</f>
        <v/>
      </c>
      <c r="AI262" s="7" t="str">
        <f t="shared" ref="AI262:AI325" si="52">IF(OR(H262="",O262="",AG262=""),"",(AG262*H262)-(H262*O262))</f>
        <v/>
      </c>
      <c r="AJ262" s="22" t="str">
        <f t="shared" ref="AJ262:AJ325" si="53">IF(OR(AG262="",Y262=""),"",(AG262-Y262)/Y262)</f>
        <v/>
      </c>
      <c r="AK262" s="29" t="str">
        <f t="shared" ref="AK262:AK325" si="54">IF(OR(H262="",Y262="",AG262=""),"",(AG262*H262)-(H262*Y262))</f>
        <v/>
      </c>
      <c r="AL262" s="10"/>
    </row>
    <row r="263" spans="1:38">
      <c r="A263" s="19">
        <f>IF('Supplier selection'!A263="","",'Supplier selection'!A263)</f>
        <v>259</v>
      </c>
      <c r="B263" s="19" t="str">
        <f>IF('Supplier selection'!B263="","",'Supplier selection'!B263)</f>
        <v/>
      </c>
      <c r="C263" s="19" t="str">
        <f>IF('Supplier selection'!C263="","",'Supplier selection'!C263)</f>
        <v/>
      </c>
      <c r="D263" s="19" t="str">
        <f>IF('Supplier selection'!D263="","",'Supplier selection'!D263)</f>
        <v/>
      </c>
      <c r="E263" s="19" t="str">
        <f>IF('Supplier selection'!E263="","",'Supplier selection'!E263)</f>
        <v/>
      </c>
      <c r="F263" s="19" t="str">
        <f>IF('Supplier selection'!F263="","",'Supplier selection'!F263)</f>
        <v/>
      </c>
      <c r="G263" s="19" t="str">
        <f>IF('Supplier selection'!G263="","",'Supplier selection'!G263)</f>
        <v/>
      </c>
      <c r="H263" s="19" t="str">
        <f>IF('Supplier selection'!H263="","",'Supplier selection'!H263)</f>
        <v/>
      </c>
      <c r="I263" s="19" t="str">
        <f>IF('Supplier selection'!I263="","",'Supplier selection'!I263)</f>
        <v/>
      </c>
      <c r="J263" s="19" t="str">
        <f>IF('Supplier selection'!J263="","",'Supplier selection'!J263)</f>
        <v/>
      </c>
      <c r="K263" s="19" t="str">
        <f>IF('Supplier selection'!K263="","",'Supplier selection'!K263)</f>
        <v/>
      </c>
      <c r="L263" s="19" t="str">
        <f>IF('Supplier selection'!L263="","",'Supplier selection'!L263)</f>
        <v/>
      </c>
      <c r="M263" s="19" t="str">
        <f>IF('Supplier selection'!M263="","",'Supplier selection'!M263)</f>
        <v/>
      </c>
      <c r="N263" s="19" t="str">
        <f>IF('Supplier selection'!N263="","",'Supplier selection'!N263)</f>
        <v/>
      </c>
      <c r="O263" s="19" t="str">
        <f>IF('Supplier selection'!O263="","",'Supplier selection'!O263)</f>
        <v/>
      </c>
      <c r="Q263" s="19" t="str">
        <f>HLOOKUP($Q$3,'Supplier selection'!$AW$4:'Supplier selection'!$CT$1000,$A264,FALSE)</f>
        <v/>
      </c>
      <c r="R263" s="22" t="str">
        <f t="shared" si="44"/>
        <v/>
      </c>
      <c r="S263" s="19" t="str">
        <f t="shared" si="45"/>
        <v/>
      </c>
      <c r="T263" s="22" t="str">
        <f t="shared" si="46"/>
        <v/>
      </c>
      <c r="U263" s="19" t="str">
        <f t="shared" si="47"/>
        <v/>
      </c>
      <c r="V263" s="7"/>
      <c r="Y263" s="19" t="str">
        <f>IF('Supplier selection'!AQ263="","",'Supplier selection'!AQ263)</f>
        <v/>
      </c>
      <c r="Z263" s="19" t="str">
        <f>IF('Supplier selection'!AR263="","",'Supplier selection'!AR263)</f>
        <v/>
      </c>
      <c r="AA263" s="19" t="str">
        <f t="shared" si="48"/>
        <v/>
      </c>
      <c r="AD263" s="26" t="str">
        <f>IF(AND('Supplier selection'!X263="",'Supplier selection'!AE263=""),"",IF('Supplier selection'!X263="",'Supplier selection'!AE263,'Supplier selection'!X263))</f>
        <v/>
      </c>
      <c r="AE263" s="19" t="str">
        <f t="shared" si="49"/>
        <v/>
      </c>
      <c r="AF263" s="19" t="str">
        <f t="shared" si="50"/>
        <v/>
      </c>
      <c r="AG263" s="27" t="str">
        <f>IF(AND('Supplier selection'!AB263="",'Supplier selection'!AI263=""),"",IF('Supplier selection'!AB263="",'Supplier selection'!AI263,'Supplier selection'!AB263))</f>
        <v/>
      </c>
      <c r="AH263" s="28" t="str">
        <f t="shared" si="51"/>
        <v/>
      </c>
      <c r="AI263" s="7" t="str">
        <f t="shared" si="52"/>
        <v/>
      </c>
      <c r="AJ263" s="22" t="str">
        <f t="shared" si="53"/>
        <v/>
      </c>
      <c r="AK263" s="29" t="str">
        <f t="shared" si="54"/>
        <v/>
      </c>
      <c r="AL263" s="10"/>
    </row>
    <row r="264" spans="1:38">
      <c r="A264" s="19">
        <f>IF('Supplier selection'!A264="","",'Supplier selection'!A264)</f>
        <v>260</v>
      </c>
      <c r="B264" s="19" t="str">
        <f>IF('Supplier selection'!B264="","",'Supplier selection'!B264)</f>
        <v/>
      </c>
      <c r="C264" s="19" t="str">
        <f>IF('Supplier selection'!C264="","",'Supplier selection'!C264)</f>
        <v/>
      </c>
      <c r="D264" s="19" t="str">
        <f>IF('Supplier selection'!D264="","",'Supplier selection'!D264)</f>
        <v/>
      </c>
      <c r="E264" s="19" t="str">
        <f>IF('Supplier selection'!E264="","",'Supplier selection'!E264)</f>
        <v/>
      </c>
      <c r="F264" s="19" t="str">
        <f>IF('Supplier selection'!F264="","",'Supplier selection'!F264)</f>
        <v/>
      </c>
      <c r="G264" s="19" t="str">
        <f>IF('Supplier selection'!G264="","",'Supplier selection'!G264)</f>
        <v/>
      </c>
      <c r="H264" s="19" t="str">
        <f>IF('Supplier selection'!H264="","",'Supplier selection'!H264)</f>
        <v/>
      </c>
      <c r="I264" s="19" t="str">
        <f>IF('Supplier selection'!I264="","",'Supplier selection'!I264)</f>
        <v/>
      </c>
      <c r="J264" s="19" t="str">
        <f>IF('Supplier selection'!J264="","",'Supplier selection'!J264)</f>
        <v/>
      </c>
      <c r="K264" s="19" t="str">
        <f>IF('Supplier selection'!K264="","",'Supplier selection'!K264)</f>
        <v/>
      </c>
      <c r="L264" s="19" t="str">
        <f>IF('Supplier selection'!L264="","",'Supplier selection'!L264)</f>
        <v/>
      </c>
      <c r="M264" s="19" t="str">
        <f>IF('Supplier selection'!M264="","",'Supplier selection'!M264)</f>
        <v/>
      </c>
      <c r="N264" s="19" t="str">
        <f>IF('Supplier selection'!N264="","",'Supplier selection'!N264)</f>
        <v/>
      </c>
      <c r="O264" s="19" t="str">
        <f>IF('Supplier selection'!O264="","",'Supplier selection'!O264)</f>
        <v/>
      </c>
      <c r="Q264" s="19" t="str">
        <f>HLOOKUP($Q$3,'Supplier selection'!$AW$4:'Supplier selection'!$CT$1000,$A265,FALSE)</f>
        <v/>
      </c>
      <c r="R264" s="22" t="str">
        <f t="shared" si="44"/>
        <v/>
      </c>
      <c r="S264" s="19" t="str">
        <f t="shared" si="45"/>
        <v/>
      </c>
      <c r="T264" s="22" t="str">
        <f t="shared" si="46"/>
        <v/>
      </c>
      <c r="U264" s="19" t="str">
        <f t="shared" si="47"/>
        <v/>
      </c>
      <c r="V264" s="7"/>
      <c r="Y264" s="19" t="str">
        <f>IF('Supplier selection'!AQ264="","",'Supplier selection'!AQ264)</f>
        <v/>
      </c>
      <c r="Z264" s="19" t="str">
        <f>IF('Supplier selection'!AR264="","",'Supplier selection'!AR264)</f>
        <v/>
      </c>
      <c r="AA264" s="19" t="str">
        <f t="shared" si="48"/>
        <v/>
      </c>
      <c r="AD264" s="26" t="str">
        <f>IF(AND('Supplier selection'!X264="",'Supplier selection'!AE264=""),"",IF('Supplier selection'!X264="",'Supplier selection'!AE264,'Supplier selection'!X264))</f>
        <v/>
      </c>
      <c r="AE264" s="19" t="str">
        <f t="shared" si="49"/>
        <v/>
      </c>
      <c r="AF264" s="19" t="str">
        <f t="shared" si="50"/>
        <v/>
      </c>
      <c r="AG264" s="27" t="str">
        <f>IF(AND('Supplier selection'!AB264="",'Supplier selection'!AI264=""),"",IF('Supplier selection'!AB264="",'Supplier selection'!AI264,'Supplier selection'!AB264))</f>
        <v/>
      </c>
      <c r="AH264" s="28" t="str">
        <f t="shared" si="51"/>
        <v/>
      </c>
      <c r="AI264" s="7" t="str">
        <f t="shared" si="52"/>
        <v/>
      </c>
      <c r="AJ264" s="22" t="str">
        <f t="shared" si="53"/>
        <v/>
      </c>
      <c r="AK264" s="29" t="str">
        <f t="shared" si="54"/>
        <v/>
      </c>
      <c r="AL264" s="10"/>
    </row>
    <row r="265" spans="1:38">
      <c r="A265" s="19">
        <f>IF('Supplier selection'!A265="","",'Supplier selection'!A265)</f>
        <v>261</v>
      </c>
      <c r="B265" s="19" t="str">
        <f>IF('Supplier selection'!B265="","",'Supplier selection'!B265)</f>
        <v/>
      </c>
      <c r="C265" s="19" t="str">
        <f>IF('Supplier selection'!C265="","",'Supplier selection'!C265)</f>
        <v/>
      </c>
      <c r="D265" s="19" t="str">
        <f>IF('Supplier selection'!D265="","",'Supplier selection'!D265)</f>
        <v/>
      </c>
      <c r="E265" s="19" t="str">
        <f>IF('Supplier selection'!E265="","",'Supplier selection'!E265)</f>
        <v/>
      </c>
      <c r="F265" s="19" t="str">
        <f>IF('Supplier selection'!F265="","",'Supplier selection'!F265)</f>
        <v/>
      </c>
      <c r="G265" s="19" t="str">
        <f>IF('Supplier selection'!G265="","",'Supplier selection'!G265)</f>
        <v/>
      </c>
      <c r="H265" s="19" t="str">
        <f>IF('Supplier selection'!H265="","",'Supplier selection'!H265)</f>
        <v/>
      </c>
      <c r="I265" s="19" t="str">
        <f>IF('Supplier selection'!I265="","",'Supplier selection'!I265)</f>
        <v/>
      </c>
      <c r="J265" s="19" t="str">
        <f>IF('Supplier selection'!J265="","",'Supplier selection'!J265)</f>
        <v/>
      </c>
      <c r="K265" s="19" t="str">
        <f>IF('Supplier selection'!K265="","",'Supplier selection'!K265)</f>
        <v/>
      </c>
      <c r="L265" s="19" t="str">
        <f>IF('Supplier selection'!L265="","",'Supplier selection'!L265)</f>
        <v/>
      </c>
      <c r="M265" s="19" t="str">
        <f>IF('Supplier selection'!M265="","",'Supplier selection'!M265)</f>
        <v/>
      </c>
      <c r="N265" s="19" t="str">
        <f>IF('Supplier selection'!N265="","",'Supplier selection'!N265)</f>
        <v/>
      </c>
      <c r="O265" s="19" t="str">
        <f>IF('Supplier selection'!O265="","",'Supplier selection'!O265)</f>
        <v/>
      </c>
      <c r="Q265" s="19" t="str">
        <f>HLOOKUP($Q$3,'Supplier selection'!$AW$4:'Supplier selection'!$CT$1000,$A266,FALSE)</f>
        <v/>
      </c>
      <c r="R265" s="22" t="str">
        <f t="shared" si="44"/>
        <v/>
      </c>
      <c r="S265" s="19" t="str">
        <f t="shared" si="45"/>
        <v/>
      </c>
      <c r="T265" s="22" t="str">
        <f t="shared" si="46"/>
        <v/>
      </c>
      <c r="U265" s="19" t="str">
        <f t="shared" si="47"/>
        <v/>
      </c>
      <c r="V265" s="7"/>
      <c r="Y265" s="19" t="str">
        <f>IF('Supplier selection'!AQ265="","",'Supplier selection'!AQ265)</f>
        <v/>
      </c>
      <c r="Z265" s="19" t="str">
        <f>IF('Supplier selection'!AR265="","",'Supplier selection'!AR265)</f>
        <v/>
      </c>
      <c r="AA265" s="19" t="str">
        <f t="shared" si="48"/>
        <v/>
      </c>
      <c r="AD265" s="26" t="str">
        <f>IF(AND('Supplier selection'!X265="",'Supplier selection'!AE265=""),"",IF('Supplier selection'!X265="",'Supplier selection'!AE265,'Supplier selection'!X265))</f>
        <v/>
      </c>
      <c r="AE265" s="19" t="str">
        <f t="shared" si="49"/>
        <v/>
      </c>
      <c r="AF265" s="19" t="str">
        <f t="shared" si="50"/>
        <v/>
      </c>
      <c r="AG265" s="27" t="str">
        <f>IF(AND('Supplier selection'!AB265="",'Supplier selection'!AI265=""),"",IF('Supplier selection'!AB265="",'Supplier selection'!AI265,'Supplier selection'!AB265))</f>
        <v/>
      </c>
      <c r="AH265" s="28" t="str">
        <f t="shared" si="51"/>
        <v/>
      </c>
      <c r="AI265" s="7" t="str">
        <f t="shared" si="52"/>
        <v/>
      </c>
      <c r="AJ265" s="22" t="str">
        <f t="shared" si="53"/>
        <v/>
      </c>
      <c r="AK265" s="29" t="str">
        <f t="shared" si="54"/>
        <v/>
      </c>
      <c r="AL265" s="10"/>
    </row>
    <row r="266" spans="1:38">
      <c r="A266" s="19">
        <f>IF('Supplier selection'!A266="","",'Supplier selection'!A266)</f>
        <v>262</v>
      </c>
      <c r="B266" s="19" t="str">
        <f>IF('Supplier selection'!B266="","",'Supplier selection'!B266)</f>
        <v/>
      </c>
      <c r="C266" s="19" t="str">
        <f>IF('Supplier selection'!C266="","",'Supplier selection'!C266)</f>
        <v/>
      </c>
      <c r="D266" s="19" t="str">
        <f>IF('Supplier selection'!D266="","",'Supplier selection'!D266)</f>
        <v/>
      </c>
      <c r="E266" s="19" t="str">
        <f>IF('Supplier selection'!E266="","",'Supplier selection'!E266)</f>
        <v/>
      </c>
      <c r="F266" s="19" t="str">
        <f>IF('Supplier selection'!F266="","",'Supplier selection'!F266)</f>
        <v/>
      </c>
      <c r="G266" s="19" t="str">
        <f>IF('Supplier selection'!G266="","",'Supplier selection'!G266)</f>
        <v/>
      </c>
      <c r="H266" s="19" t="str">
        <f>IF('Supplier selection'!H266="","",'Supplier selection'!H266)</f>
        <v/>
      </c>
      <c r="I266" s="19" t="str">
        <f>IF('Supplier selection'!I266="","",'Supplier selection'!I266)</f>
        <v/>
      </c>
      <c r="J266" s="19" t="str">
        <f>IF('Supplier selection'!J266="","",'Supplier selection'!J266)</f>
        <v/>
      </c>
      <c r="K266" s="19" t="str">
        <f>IF('Supplier selection'!K266="","",'Supplier selection'!K266)</f>
        <v/>
      </c>
      <c r="L266" s="19" t="str">
        <f>IF('Supplier selection'!L266="","",'Supplier selection'!L266)</f>
        <v/>
      </c>
      <c r="M266" s="19" t="str">
        <f>IF('Supplier selection'!M266="","",'Supplier selection'!M266)</f>
        <v/>
      </c>
      <c r="N266" s="19" t="str">
        <f>IF('Supplier selection'!N266="","",'Supplier selection'!N266)</f>
        <v/>
      </c>
      <c r="O266" s="19" t="str">
        <f>IF('Supplier selection'!O266="","",'Supplier selection'!O266)</f>
        <v/>
      </c>
      <c r="Q266" s="19" t="str">
        <f>HLOOKUP($Q$3,'Supplier selection'!$AW$4:'Supplier selection'!$CT$1000,$A267,FALSE)</f>
        <v/>
      </c>
      <c r="R266" s="22" t="str">
        <f t="shared" si="44"/>
        <v/>
      </c>
      <c r="S266" s="19" t="str">
        <f t="shared" si="45"/>
        <v/>
      </c>
      <c r="T266" s="22" t="str">
        <f t="shared" si="46"/>
        <v/>
      </c>
      <c r="U266" s="19" t="str">
        <f t="shared" si="47"/>
        <v/>
      </c>
      <c r="V266" s="7"/>
      <c r="Y266" s="19" t="str">
        <f>IF('Supplier selection'!AQ266="","",'Supplier selection'!AQ266)</f>
        <v/>
      </c>
      <c r="Z266" s="19" t="str">
        <f>IF('Supplier selection'!AR266="","",'Supplier selection'!AR266)</f>
        <v/>
      </c>
      <c r="AA266" s="19" t="str">
        <f t="shared" si="48"/>
        <v/>
      </c>
      <c r="AD266" s="26" t="str">
        <f>IF(AND('Supplier selection'!X266="",'Supplier selection'!AE266=""),"",IF('Supplier selection'!X266="",'Supplier selection'!AE266,'Supplier selection'!X266))</f>
        <v/>
      </c>
      <c r="AE266" s="19" t="str">
        <f t="shared" si="49"/>
        <v/>
      </c>
      <c r="AF266" s="19" t="str">
        <f t="shared" si="50"/>
        <v/>
      </c>
      <c r="AG266" s="27" t="str">
        <f>IF(AND('Supplier selection'!AB266="",'Supplier selection'!AI266=""),"",IF('Supplier selection'!AB266="",'Supplier selection'!AI266,'Supplier selection'!AB266))</f>
        <v/>
      </c>
      <c r="AH266" s="28" t="str">
        <f t="shared" si="51"/>
        <v/>
      </c>
      <c r="AI266" s="7" t="str">
        <f t="shared" si="52"/>
        <v/>
      </c>
      <c r="AJ266" s="22" t="str">
        <f t="shared" si="53"/>
        <v/>
      </c>
      <c r="AK266" s="29" t="str">
        <f t="shared" si="54"/>
        <v/>
      </c>
      <c r="AL266" s="10"/>
    </row>
    <row r="267" spans="1:38">
      <c r="A267" s="19">
        <f>IF('Supplier selection'!A267="","",'Supplier selection'!A267)</f>
        <v>263</v>
      </c>
      <c r="B267" s="19" t="str">
        <f>IF('Supplier selection'!B267="","",'Supplier selection'!B267)</f>
        <v/>
      </c>
      <c r="C267" s="19" t="str">
        <f>IF('Supplier selection'!C267="","",'Supplier selection'!C267)</f>
        <v/>
      </c>
      <c r="D267" s="19" t="str">
        <f>IF('Supplier selection'!D267="","",'Supplier selection'!D267)</f>
        <v/>
      </c>
      <c r="E267" s="19" t="str">
        <f>IF('Supplier selection'!E267="","",'Supplier selection'!E267)</f>
        <v/>
      </c>
      <c r="F267" s="19" t="str">
        <f>IF('Supplier selection'!F267="","",'Supplier selection'!F267)</f>
        <v/>
      </c>
      <c r="G267" s="19" t="str">
        <f>IF('Supplier selection'!G267="","",'Supplier selection'!G267)</f>
        <v/>
      </c>
      <c r="H267" s="19" t="str">
        <f>IF('Supplier selection'!H267="","",'Supplier selection'!H267)</f>
        <v/>
      </c>
      <c r="I267" s="19" t="str">
        <f>IF('Supplier selection'!I267="","",'Supplier selection'!I267)</f>
        <v/>
      </c>
      <c r="J267" s="19" t="str">
        <f>IF('Supplier selection'!J267="","",'Supplier selection'!J267)</f>
        <v/>
      </c>
      <c r="K267" s="19" t="str">
        <f>IF('Supplier selection'!K267="","",'Supplier selection'!K267)</f>
        <v/>
      </c>
      <c r="L267" s="19" t="str">
        <f>IF('Supplier selection'!L267="","",'Supplier selection'!L267)</f>
        <v/>
      </c>
      <c r="M267" s="19" t="str">
        <f>IF('Supplier selection'!M267="","",'Supplier selection'!M267)</f>
        <v/>
      </c>
      <c r="N267" s="19" t="str">
        <f>IF('Supplier selection'!N267="","",'Supplier selection'!N267)</f>
        <v/>
      </c>
      <c r="O267" s="19" t="str">
        <f>IF('Supplier selection'!O267="","",'Supplier selection'!O267)</f>
        <v/>
      </c>
      <c r="Q267" s="19" t="str">
        <f>HLOOKUP($Q$3,'Supplier selection'!$AW$4:'Supplier selection'!$CT$1000,$A268,FALSE)</f>
        <v/>
      </c>
      <c r="R267" s="22" t="str">
        <f t="shared" si="44"/>
        <v/>
      </c>
      <c r="S267" s="19" t="str">
        <f t="shared" si="45"/>
        <v/>
      </c>
      <c r="T267" s="22" t="str">
        <f t="shared" si="46"/>
        <v/>
      </c>
      <c r="U267" s="19" t="str">
        <f t="shared" si="47"/>
        <v/>
      </c>
      <c r="V267" s="7"/>
      <c r="Y267" s="19" t="str">
        <f>IF('Supplier selection'!AQ267="","",'Supplier selection'!AQ267)</f>
        <v/>
      </c>
      <c r="Z267" s="19" t="str">
        <f>IF('Supplier selection'!AR267="","",'Supplier selection'!AR267)</f>
        <v/>
      </c>
      <c r="AA267" s="19" t="str">
        <f t="shared" si="48"/>
        <v/>
      </c>
      <c r="AD267" s="26" t="str">
        <f>IF(AND('Supplier selection'!X267="",'Supplier selection'!AE267=""),"",IF('Supplier selection'!X267="",'Supplier selection'!AE267,'Supplier selection'!X267))</f>
        <v/>
      </c>
      <c r="AE267" s="19" t="str">
        <f t="shared" si="49"/>
        <v/>
      </c>
      <c r="AF267" s="19" t="str">
        <f t="shared" si="50"/>
        <v/>
      </c>
      <c r="AG267" s="27" t="str">
        <f>IF(AND('Supplier selection'!AB267="",'Supplier selection'!AI267=""),"",IF('Supplier selection'!AB267="",'Supplier selection'!AI267,'Supplier selection'!AB267))</f>
        <v/>
      </c>
      <c r="AH267" s="28" t="str">
        <f t="shared" si="51"/>
        <v/>
      </c>
      <c r="AI267" s="7" t="str">
        <f t="shared" si="52"/>
        <v/>
      </c>
      <c r="AJ267" s="22" t="str">
        <f t="shared" si="53"/>
        <v/>
      </c>
      <c r="AK267" s="29" t="str">
        <f t="shared" si="54"/>
        <v/>
      </c>
      <c r="AL267" s="10"/>
    </row>
    <row r="268" spans="1:38">
      <c r="A268" s="19">
        <f>IF('Supplier selection'!A268="","",'Supplier selection'!A268)</f>
        <v>264</v>
      </c>
      <c r="B268" s="19" t="str">
        <f>IF('Supplier selection'!B268="","",'Supplier selection'!B268)</f>
        <v/>
      </c>
      <c r="C268" s="19" t="str">
        <f>IF('Supplier selection'!C268="","",'Supplier selection'!C268)</f>
        <v/>
      </c>
      <c r="D268" s="19" t="str">
        <f>IF('Supplier selection'!D268="","",'Supplier selection'!D268)</f>
        <v/>
      </c>
      <c r="E268" s="19" t="str">
        <f>IF('Supplier selection'!E268="","",'Supplier selection'!E268)</f>
        <v/>
      </c>
      <c r="F268" s="19" t="str">
        <f>IF('Supplier selection'!F268="","",'Supplier selection'!F268)</f>
        <v/>
      </c>
      <c r="G268" s="19" t="str">
        <f>IF('Supplier selection'!G268="","",'Supplier selection'!G268)</f>
        <v/>
      </c>
      <c r="H268" s="19" t="str">
        <f>IF('Supplier selection'!H268="","",'Supplier selection'!H268)</f>
        <v/>
      </c>
      <c r="I268" s="19" t="str">
        <f>IF('Supplier selection'!I268="","",'Supplier selection'!I268)</f>
        <v/>
      </c>
      <c r="J268" s="19" t="str">
        <f>IF('Supplier selection'!J268="","",'Supplier selection'!J268)</f>
        <v/>
      </c>
      <c r="K268" s="19" t="str">
        <f>IF('Supplier selection'!K268="","",'Supplier selection'!K268)</f>
        <v/>
      </c>
      <c r="L268" s="19" t="str">
        <f>IF('Supplier selection'!L268="","",'Supplier selection'!L268)</f>
        <v/>
      </c>
      <c r="M268" s="19" t="str">
        <f>IF('Supplier selection'!M268="","",'Supplier selection'!M268)</f>
        <v/>
      </c>
      <c r="N268" s="19" t="str">
        <f>IF('Supplier selection'!N268="","",'Supplier selection'!N268)</f>
        <v/>
      </c>
      <c r="O268" s="19" t="str">
        <f>IF('Supplier selection'!O268="","",'Supplier selection'!O268)</f>
        <v/>
      </c>
      <c r="Q268" s="19" t="str">
        <f>HLOOKUP($Q$3,'Supplier selection'!$AW$4:'Supplier selection'!$CT$1000,$A269,FALSE)</f>
        <v/>
      </c>
      <c r="R268" s="22" t="str">
        <f t="shared" si="44"/>
        <v/>
      </c>
      <c r="S268" s="19" t="str">
        <f t="shared" si="45"/>
        <v/>
      </c>
      <c r="T268" s="22" t="str">
        <f t="shared" si="46"/>
        <v/>
      </c>
      <c r="U268" s="19" t="str">
        <f t="shared" si="47"/>
        <v/>
      </c>
      <c r="V268" s="7"/>
      <c r="Y268" s="19" t="str">
        <f>IF('Supplier selection'!AQ268="","",'Supplier selection'!AQ268)</f>
        <v/>
      </c>
      <c r="Z268" s="19" t="str">
        <f>IF('Supplier selection'!AR268="","",'Supplier selection'!AR268)</f>
        <v/>
      </c>
      <c r="AA268" s="19" t="str">
        <f t="shared" si="48"/>
        <v/>
      </c>
      <c r="AD268" s="26" t="str">
        <f>IF(AND('Supplier selection'!X268="",'Supplier selection'!AE268=""),"",IF('Supplier selection'!X268="",'Supplier selection'!AE268,'Supplier selection'!X268))</f>
        <v/>
      </c>
      <c r="AE268" s="19" t="str">
        <f t="shared" si="49"/>
        <v/>
      </c>
      <c r="AF268" s="19" t="str">
        <f t="shared" si="50"/>
        <v/>
      </c>
      <c r="AG268" s="27" t="str">
        <f>IF(AND('Supplier selection'!AB268="",'Supplier selection'!AI268=""),"",IF('Supplier selection'!AB268="",'Supplier selection'!AI268,'Supplier selection'!AB268))</f>
        <v/>
      </c>
      <c r="AH268" s="28" t="str">
        <f t="shared" si="51"/>
        <v/>
      </c>
      <c r="AI268" s="7" t="str">
        <f t="shared" si="52"/>
        <v/>
      </c>
      <c r="AJ268" s="22" t="str">
        <f t="shared" si="53"/>
        <v/>
      </c>
      <c r="AK268" s="29" t="str">
        <f t="shared" si="54"/>
        <v/>
      </c>
      <c r="AL268" s="10"/>
    </row>
    <row r="269" spans="1:38">
      <c r="A269" s="19">
        <f>IF('Supplier selection'!A269="","",'Supplier selection'!A269)</f>
        <v>265</v>
      </c>
      <c r="B269" s="19" t="str">
        <f>IF('Supplier selection'!B269="","",'Supplier selection'!B269)</f>
        <v/>
      </c>
      <c r="C269" s="19" t="str">
        <f>IF('Supplier selection'!C269="","",'Supplier selection'!C269)</f>
        <v/>
      </c>
      <c r="D269" s="19" t="str">
        <f>IF('Supplier selection'!D269="","",'Supplier selection'!D269)</f>
        <v/>
      </c>
      <c r="E269" s="19" t="str">
        <f>IF('Supplier selection'!E269="","",'Supplier selection'!E269)</f>
        <v/>
      </c>
      <c r="F269" s="19" t="str">
        <f>IF('Supplier selection'!F269="","",'Supplier selection'!F269)</f>
        <v/>
      </c>
      <c r="G269" s="19" t="str">
        <f>IF('Supplier selection'!G269="","",'Supplier selection'!G269)</f>
        <v/>
      </c>
      <c r="H269" s="19" t="str">
        <f>IF('Supplier selection'!H269="","",'Supplier selection'!H269)</f>
        <v/>
      </c>
      <c r="I269" s="19" t="str">
        <f>IF('Supplier selection'!I269="","",'Supplier selection'!I269)</f>
        <v/>
      </c>
      <c r="J269" s="19" t="str">
        <f>IF('Supplier selection'!J269="","",'Supplier selection'!J269)</f>
        <v/>
      </c>
      <c r="K269" s="19" t="str">
        <f>IF('Supplier selection'!K269="","",'Supplier selection'!K269)</f>
        <v/>
      </c>
      <c r="L269" s="19" t="str">
        <f>IF('Supplier selection'!L269="","",'Supplier selection'!L269)</f>
        <v/>
      </c>
      <c r="M269" s="19" t="str">
        <f>IF('Supplier selection'!M269="","",'Supplier selection'!M269)</f>
        <v/>
      </c>
      <c r="N269" s="19" t="str">
        <f>IF('Supplier selection'!N269="","",'Supplier selection'!N269)</f>
        <v/>
      </c>
      <c r="O269" s="19" t="str">
        <f>IF('Supplier selection'!O269="","",'Supplier selection'!O269)</f>
        <v/>
      </c>
      <c r="Q269" s="19" t="str">
        <f>HLOOKUP($Q$3,'Supplier selection'!$AW$4:'Supplier selection'!$CT$1000,$A270,FALSE)</f>
        <v/>
      </c>
      <c r="R269" s="22" t="str">
        <f t="shared" si="44"/>
        <v/>
      </c>
      <c r="S269" s="19" t="str">
        <f t="shared" si="45"/>
        <v/>
      </c>
      <c r="T269" s="22" t="str">
        <f t="shared" si="46"/>
        <v/>
      </c>
      <c r="U269" s="19" t="str">
        <f t="shared" si="47"/>
        <v/>
      </c>
      <c r="V269" s="7"/>
      <c r="Y269" s="19" t="str">
        <f>IF('Supplier selection'!AQ269="","",'Supplier selection'!AQ269)</f>
        <v/>
      </c>
      <c r="Z269" s="19" t="str">
        <f>IF('Supplier selection'!AR269="","",'Supplier selection'!AR269)</f>
        <v/>
      </c>
      <c r="AA269" s="19" t="str">
        <f t="shared" si="48"/>
        <v/>
      </c>
      <c r="AD269" s="26" t="str">
        <f>IF(AND('Supplier selection'!X269="",'Supplier selection'!AE269=""),"",IF('Supplier selection'!X269="",'Supplier selection'!AE269,'Supplier selection'!X269))</f>
        <v/>
      </c>
      <c r="AE269" s="19" t="str">
        <f t="shared" si="49"/>
        <v/>
      </c>
      <c r="AF269" s="19" t="str">
        <f t="shared" si="50"/>
        <v/>
      </c>
      <c r="AG269" s="27" t="str">
        <f>IF(AND('Supplier selection'!AB269="",'Supplier selection'!AI269=""),"",IF('Supplier selection'!AB269="",'Supplier selection'!AI269,'Supplier selection'!AB269))</f>
        <v/>
      </c>
      <c r="AH269" s="28" t="str">
        <f t="shared" si="51"/>
        <v/>
      </c>
      <c r="AI269" s="7" t="str">
        <f t="shared" si="52"/>
        <v/>
      </c>
      <c r="AJ269" s="22" t="str">
        <f t="shared" si="53"/>
        <v/>
      </c>
      <c r="AK269" s="29" t="str">
        <f t="shared" si="54"/>
        <v/>
      </c>
      <c r="AL269" s="10"/>
    </row>
    <row r="270" spans="1:38">
      <c r="A270" s="19">
        <f>IF('Supplier selection'!A270="","",'Supplier selection'!A270)</f>
        <v>266</v>
      </c>
      <c r="B270" s="19" t="str">
        <f>IF('Supplier selection'!B270="","",'Supplier selection'!B270)</f>
        <v/>
      </c>
      <c r="C270" s="19" t="str">
        <f>IF('Supplier selection'!C270="","",'Supplier selection'!C270)</f>
        <v/>
      </c>
      <c r="D270" s="19" t="str">
        <f>IF('Supplier selection'!D270="","",'Supplier selection'!D270)</f>
        <v/>
      </c>
      <c r="E270" s="19" t="str">
        <f>IF('Supplier selection'!E270="","",'Supplier selection'!E270)</f>
        <v/>
      </c>
      <c r="F270" s="19" t="str">
        <f>IF('Supplier selection'!F270="","",'Supplier selection'!F270)</f>
        <v/>
      </c>
      <c r="G270" s="19" t="str">
        <f>IF('Supplier selection'!G270="","",'Supplier selection'!G270)</f>
        <v/>
      </c>
      <c r="H270" s="19" t="str">
        <f>IF('Supplier selection'!H270="","",'Supplier selection'!H270)</f>
        <v/>
      </c>
      <c r="I270" s="19" t="str">
        <f>IF('Supplier selection'!I270="","",'Supplier selection'!I270)</f>
        <v/>
      </c>
      <c r="J270" s="19" t="str">
        <f>IF('Supplier selection'!J270="","",'Supplier selection'!J270)</f>
        <v/>
      </c>
      <c r="K270" s="19" t="str">
        <f>IF('Supplier selection'!K270="","",'Supplier selection'!K270)</f>
        <v/>
      </c>
      <c r="L270" s="19" t="str">
        <f>IF('Supplier selection'!L270="","",'Supplier selection'!L270)</f>
        <v/>
      </c>
      <c r="M270" s="19" t="str">
        <f>IF('Supplier selection'!M270="","",'Supplier selection'!M270)</f>
        <v/>
      </c>
      <c r="N270" s="19" t="str">
        <f>IF('Supplier selection'!N270="","",'Supplier selection'!N270)</f>
        <v/>
      </c>
      <c r="O270" s="19" t="str">
        <f>IF('Supplier selection'!O270="","",'Supplier selection'!O270)</f>
        <v/>
      </c>
      <c r="Q270" s="19" t="str">
        <f>HLOOKUP($Q$3,'Supplier selection'!$AW$4:'Supplier selection'!$CT$1000,$A271,FALSE)</f>
        <v/>
      </c>
      <c r="R270" s="22" t="str">
        <f t="shared" si="44"/>
        <v/>
      </c>
      <c r="S270" s="19" t="str">
        <f t="shared" si="45"/>
        <v/>
      </c>
      <c r="T270" s="22" t="str">
        <f t="shared" si="46"/>
        <v/>
      </c>
      <c r="U270" s="19" t="str">
        <f t="shared" si="47"/>
        <v/>
      </c>
      <c r="V270" s="7"/>
      <c r="Y270" s="19" t="str">
        <f>IF('Supplier selection'!AQ270="","",'Supplier selection'!AQ270)</f>
        <v/>
      </c>
      <c r="Z270" s="19" t="str">
        <f>IF('Supplier selection'!AR270="","",'Supplier selection'!AR270)</f>
        <v/>
      </c>
      <c r="AA270" s="19" t="str">
        <f t="shared" si="48"/>
        <v/>
      </c>
      <c r="AD270" s="26" t="str">
        <f>IF(AND('Supplier selection'!X270="",'Supplier selection'!AE270=""),"",IF('Supplier selection'!X270="",'Supplier selection'!AE270,'Supplier selection'!X270))</f>
        <v/>
      </c>
      <c r="AE270" s="19" t="str">
        <f t="shared" si="49"/>
        <v/>
      </c>
      <c r="AF270" s="19" t="str">
        <f t="shared" si="50"/>
        <v/>
      </c>
      <c r="AG270" s="27" t="str">
        <f>IF(AND('Supplier selection'!AB270="",'Supplier selection'!AI270=""),"",IF('Supplier selection'!AB270="",'Supplier selection'!AI270,'Supplier selection'!AB270))</f>
        <v/>
      </c>
      <c r="AH270" s="28" t="str">
        <f t="shared" si="51"/>
        <v/>
      </c>
      <c r="AI270" s="7" t="str">
        <f t="shared" si="52"/>
        <v/>
      </c>
      <c r="AJ270" s="22" t="str">
        <f t="shared" si="53"/>
        <v/>
      </c>
      <c r="AK270" s="29" t="str">
        <f t="shared" si="54"/>
        <v/>
      </c>
      <c r="AL270" s="10"/>
    </row>
    <row r="271" spans="1:38">
      <c r="A271" s="19">
        <f>IF('Supplier selection'!A271="","",'Supplier selection'!A271)</f>
        <v>267</v>
      </c>
      <c r="B271" s="19" t="str">
        <f>IF('Supplier selection'!B271="","",'Supplier selection'!B271)</f>
        <v/>
      </c>
      <c r="C271" s="19" t="str">
        <f>IF('Supplier selection'!C271="","",'Supplier selection'!C271)</f>
        <v/>
      </c>
      <c r="D271" s="19" t="str">
        <f>IF('Supplier selection'!D271="","",'Supplier selection'!D271)</f>
        <v/>
      </c>
      <c r="E271" s="19" t="str">
        <f>IF('Supplier selection'!E271="","",'Supplier selection'!E271)</f>
        <v/>
      </c>
      <c r="F271" s="19" t="str">
        <f>IF('Supplier selection'!F271="","",'Supplier selection'!F271)</f>
        <v/>
      </c>
      <c r="G271" s="19" t="str">
        <f>IF('Supplier selection'!G271="","",'Supplier selection'!G271)</f>
        <v/>
      </c>
      <c r="H271" s="19" t="str">
        <f>IF('Supplier selection'!H271="","",'Supplier selection'!H271)</f>
        <v/>
      </c>
      <c r="I271" s="19" t="str">
        <f>IF('Supplier selection'!I271="","",'Supplier selection'!I271)</f>
        <v/>
      </c>
      <c r="J271" s="19" t="str">
        <f>IF('Supplier selection'!J271="","",'Supplier selection'!J271)</f>
        <v/>
      </c>
      <c r="K271" s="19" t="str">
        <f>IF('Supplier selection'!K271="","",'Supplier selection'!K271)</f>
        <v/>
      </c>
      <c r="L271" s="19" t="str">
        <f>IF('Supplier selection'!L271="","",'Supplier selection'!L271)</f>
        <v/>
      </c>
      <c r="M271" s="19" t="str">
        <f>IF('Supplier selection'!M271="","",'Supplier selection'!M271)</f>
        <v/>
      </c>
      <c r="N271" s="19" t="str">
        <f>IF('Supplier selection'!N271="","",'Supplier selection'!N271)</f>
        <v/>
      </c>
      <c r="O271" s="19" t="str">
        <f>IF('Supplier selection'!O271="","",'Supplier selection'!O271)</f>
        <v/>
      </c>
      <c r="Q271" s="19" t="str">
        <f>HLOOKUP($Q$3,'Supplier selection'!$AW$4:'Supplier selection'!$CT$1000,$A272,FALSE)</f>
        <v/>
      </c>
      <c r="R271" s="22" t="str">
        <f t="shared" si="44"/>
        <v/>
      </c>
      <c r="S271" s="19" t="str">
        <f t="shared" si="45"/>
        <v/>
      </c>
      <c r="T271" s="22" t="str">
        <f t="shared" si="46"/>
        <v/>
      </c>
      <c r="U271" s="19" t="str">
        <f t="shared" si="47"/>
        <v/>
      </c>
      <c r="V271" s="7"/>
      <c r="Y271" s="19" t="str">
        <f>IF('Supplier selection'!AQ271="","",'Supplier selection'!AQ271)</f>
        <v/>
      </c>
      <c r="Z271" s="19" t="str">
        <f>IF('Supplier selection'!AR271="","",'Supplier selection'!AR271)</f>
        <v/>
      </c>
      <c r="AA271" s="19" t="str">
        <f t="shared" si="48"/>
        <v/>
      </c>
      <c r="AD271" s="26" t="str">
        <f>IF(AND('Supplier selection'!X271="",'Supplier selection'!AE271=""),"",IF('Supplier selection'!X271="",'Supplier selection'!AE271,'Supplier selection'!X271))</f>
        <v/>
      </c>
      <c r="AE271" s="19" t="str">
        <f t="shared" si="49"/>
        <v/>
      </c>
      <c r="AF271" s="19" t="str">
        <f t="shared" si="50"/>
        <v/>
      </c>
      <c r="AG271" s="27" t="str">
        <f>IF(AND('Supplier selection'!AB271="",'Supplier selection'!AI271=""),"",IF('Supplier selection'!AB271="",'Supplier selection'!AI271,'Supplier selection'!AB271))</f>
        <v/>
      </c>
      <c r="AH271" s="28" t="str">
        <f t="shared" si="51"/>
        <v/>
      </c>
      <c r="AI271" s="7" t="str">
        <f t="shared" si="52"/>
        <v/>
      </c>
      <c r="AJ271" s="22" t="str">
        <f t="shared" si="53"/>
        <v/>
      </c>
      <c r="AK271" s="29" t="str">
        <f t="shared" si="54"/>
        <v/>
      </c>
      <c r="AL271" s="10"/>
    </row>
    <row r="272" spans="1:38">
      <c r="A272" s="19">
        <f>IF('Supplier selection'!A272="","",'Supplier selection'!A272)</f>
        <v>268</v>
      </c>
      <c r="B272" s="19" t="str">
        <f>IF('Supplier selection'!B272="","",'Supplier selection'!B272)</f>
        <v/>
      </c>
      <c r="C272" s="19" t="str">
        <f>IF('Supplier selection'!C272="","",'Supplier selection'!C272)</f>
        <v/>
      </c>
      <c r="D272" s="19" t="str">
        <f>IF('Supplier selection'!D272="","",'Supplier selection'!D272)</f>
        <v/>
      </c>
      <c r="E272" s="19" t="str">
        <f>IF('Supplier selection'!E272="","",'Supplier selection'!E272)</f>
        <v/>
      </c>
      <c r="F272" s="19" t="str">
        <f>IF('Supplier selection'!F272="","",'Supplier selection'!F272)</f>
        <v/>
      </c>
      <c r="G272" s="19" t="str">
        <f>IF('Supplier selection'!G272="","",'Supplier selection'!G272)</f>
        <v/>
      </c>
      <c r="H272" s="19" t="str">
        <f>IF('Supplier selection'!H272="","",'Supplier selection'!H272)</f>
        <v/>
      </c>
      <c r="I272" s="19" t="str">
        <f>IF('Supplier selection'!I272="","",'Supplier selection'!I272)</f>
        <v/>
      </c>
      <c r="J272" s="19" t="str">
        <f>IF('Supplier selection'!J272="","",'Supplier selection'!J272)</f>
        <v/>
      </c>
      <c r="K272" s="19" t="str">
        <f>IF('Supplier selection'!K272="","",'Supplier selection'!K272)</f>
        <v/>
      </c>
      <c r="L272" s="19" t="str">
        <f>IF('Supplier selection'!L272="","",'Supplier selection'!L272)</f>
        <v/>
      </c>
      <c r="M272" s="19" t="str">
        <f>IF('Supplier selection'!M272="","",'Supplier selection'!M272)</f>
        <v/>
      </c>
      <c r="N272" s="19" t="str">
        <f>IF('Supplier selection'!N272="","",'Supplier selection'!N272)</f>
        <v/>
      </c>
      <c r="O272" s="19" t="str">
        <f>IF('Supplier selection'!O272="","",'Supplier selection'!O272)</f>
        <v/>
      </c>
      <c r="Q272" s="19" t="str">
        <f>HLOOKUP($Q$3,'Supplier selection'!$AW$4:'Supplier selection'!$CT$1000,$A273,FALSE)</f>
        <v/>
      </c>
      <c r="R272" s="22" t="str">
        <f t="shared" si="44"/>
        <v/>
      </c>
      <c r="S272" s="19" t="str">
        <f t="shared" si="45"/>
        <v/>
      </c>
      <c r="T272" s="22" t="str">
        <f t="shared" si="46"/>
        <v/>
      </c>
      <c r="U272" s="19" t="str">
        <f t="shared" si="47"/>
        <v/>
      </c>
      <c r="V272" s="7"/>
      <c r="Y272" s="19" t="str">
        <f>IF('Supplier selection'!AQ272="","",'Supplier selection'!AQ272)</f>
        <v/>
      </c>
      <c r="Z272" s="19" t="str">
        <f>IF('Supplier selection'!AR272="","",'Supplier selection'!AR272)</f>
        <v/>
      </c>
      <c r="AA272" s="19" t="str">
        <f t="shared" si="48"/>
        <v/>
      </c>
      <c r="AD272" s="26" t="str">
        <f>IF(AND('Supplier selection'!X272="",'Supplier selection'!AE272=""),"",IF('Supplier selection'!X272="",'Supplier selection'!AE272,'Supplier selection'!X272))</f>
        <v/>
      </c>
      <c r="AE272" s="19" t="str">
        <f t="shared" si="49"/>
        <v/>
      </c>
      <c r="AF272" s="19" t="str">
        <f t="shared" si="50"/>
        <v/>
      </c>
      <c r="AG272" s="27" t="str">
        <f>IF(AND('Supplier selection'!AB272="",'Supplier selection'!AI272=""),"",IF('Supplier selection'!AB272="",'Supplier selection'!AI272,'Supplier selection'!AB272))</f>
        <v/>
      </c>
      <c r="AH272" s="28" t="str">
        <f t="shared" si="51"/>
        <v/>
      </c>
      <c r="AI272" s="7" t="str">
        <f t="shared" si="52"/>
        <v/>
      </c>
      <c r="AJ272" s="22" t="str">
        <f t="shared" si="53"/>
        <v/>
      </c>
      <c r="AK272" s="29" t="str">
        <f t="shared" si="54"/>
        <v/>
      </c>
      <c r="AL272" s="10"/>
    </row>
    <row r="273" spans="1:38">
      <c r="A273" s="19">
        <f>IF('Supplier selection'!A273="","",'Supplier selection'!A273)</f>
        <v>269</v>
      </c>
      <c r="B273" s="19" t="str">
        <f>IF('Supplier selection'!B273="","",'Supplier selection'!B273)</f>
        <v/>
      </c>
      <c r="C273" s="19" t="str">
        <f>IF('Supplier selection'!C273="","",'Supplier selection'!C273)</f>
        <v/>
      </c>
      <c r="D273" s="19" t="str">
        <f>IF('Supplier selection'!D273="","",'Supplier selection'!D273)</f>
        <v/>
      </c>
      <c r="E273" s="19" t="str">
        <f>IF('Supplier selection'!E273="","",'Supplier selection'!E273)</f>
        <v/>
      </c>
      <c r="F273" s="19" t="str">
        <f>IF('Supplier selection'!F273="","",'Supplier selection'!F273)</f>
        <v/>
      </c>
      <c r="G273" s="19" t="str">
        <f>IF('Supplier selection'!G273="","",'Supplier selection'!G273)</f>
        <v/>
      </c>
      <c r="H273" s="19" t="str">
        <f>IF('Supplier selection'!H273="","",'Supplier selection'!H273)</f>
        <v/>
      </c>
      <c r="I273" s="19" t="str">
        <f>IF('Supplier selection'!I273="","",'Supplier selection'!I273)</f>
        <v/>
      </c>
      <c r="J273" s="19" t="str">
        <f>IF('Supplier selection'!J273="","",'Supplier selection'!J273)</f>
        <v/>
      </c>
      <c r="K273" s="19" t="str">
        <f>IF('Supplier selection'!K273="","",'Supplier selection'!K273)</f>
        <v/>
      </c>
      <c r="L273" s="19" t="str">
        <f>IF('Supplier selection'!L273="","",'Supplier selection'!L273)</f>
        <v/>
      </c>
      <c r="M273" s="19" t="str">
        <f>IF('Supplier selection'!M273="","",'Supplier selection'!M273)</f>
        <v/>
      </c>
      <c r="N273" s="19" t="str">
        <f>IF('Supplier selection'!N273="","",'Supplier selection'!N273)</f>
        <v/>
      </c>
      <c r="O273" s="19" t="str">
        <f>IF('Supplier selection'!O273="","",'Supplier selection'!O273)</f>
        <v/>
      </c>
      <c r="Q273" s="19" t="str">
        <f>HLOOKUP($Q$3,'Supplier selection'!$AW$4:'Supplier selection'!$CT$1000,$A274,FALSE)</f>
        <v/>
      </c>
      <c r="R273" s="22" t="str">
        <f t="shared" si="44"/>
        <v/>
      </c>
      <c r="S273" s="19" t="str">
        <f t="shared" si="45"/>
        <v/>
      </c>
      <c r="T273" s="22" t="str">
        <f t="shared" si="46"/>
        <v/>
      </c>
      <c r="U273" s="19" t="str">
        <f t="shared" si="47"/>
        <v/>
      </c>
      <c r="V273" s="7"/>
      <c r="Y273" s="19" t="str">
        <f>IF('Supplier selection'!AQ273="","",'Supplier selection'!AQ273)</f>
        <v/>
      </c>
      <c r="Z273" s="19" t="str">
        <f>IF('Supplier selection'!AR273="","",'Supplier selection'!AR273)</f>
        <v/>
      </c>
      <c r="AA273" s="19" t="str">
        <f t="shared" si="48"/>
        <v/>
      </c>
      <c r="AD273" s="26" t="str">
        <f>IF(AND('Supplier selection'!X273="",'Supplier selection'!AE273=""),"",IF('Supplier selection'!X273="",'Supplier selection'!AE273,'Supplier selection'!X273))</f>
        <v/>
      </c>
      <c r="AE273" s="19" t="str">
        <f t="shared" si="49"/>
        <v/>
      </c>
      <c r="AF273" s="19" t="str">
        <f t="shared" si="50"/>
        <v/>
      </c>
      <c r="AG273" s="27" t="str">
        <f>IF(AND('Supplier selection'!AB273="",'Supplier selection'!AI273=""),"",IF('Supplier selection'!AB273="",'Supplier selection'!AI273,'Supplier selection'!AB273))</f>
        <v/>
      </c>
      <c r="AH273" s="28" t="str">
        <f t="shared" si="51"/>
        <v/>
      </c>
      <c r="AI273" s="7" t="str">
        <f t="shared" si="52"/>
        <v/>
      </c>
      <c r="AJ273" s="22" t="str">
        <f t="shared" si="53"/>
        <v/>
      </c>
      <c r="AK273" s="29" t="str">
        <f t="shared" si="54"/>
        <v/>
      </c>
      <c r="AL273" s="10"/>
    </row>
    <row r="274" spans="1:38">
      <c r="A274" s="19">
        <f>IF('Supplier selection'!A274="","",'Supplier selection'!A274)</f>
        <v>270</v>
      </c>
      <c r="B274" s="19" t="str">
        <f>IF('Supplier selection'!B274="","",'Supplier selection'!B274)</f>
        <v/>
      </c>
      <c r="C274" s="19" t="str">
        <f>IF('Supplier selection'!C274="","",'Supplier selection'!C274)</f>
        <v/>
      </c>
      <c r="D274" s="19" t="str">
        <f>IF('Supplier selection'!D274="","",'Supplier selection'!D274)</f>
        <v/>
      </c>
      <c r="E274" s="19" t="str">
        <f>IF('Supplier selection'!E274="","",'Supplier selection'!E274)</f>
        <v/>
      </c>
      <c r="F274" s="19" t="str">
        <f>IF('Supplier selection'!F274="","",'Supplier selection'!F274)</f>
        <v/>
      </c>
      <c r="G274" s="19" t="str">
        <f>IF('Supplier selection'!G274="","",'Supplier selection'!G274)</f>
        <v/>
      </c>
      <c r="H274" s="19" t="str">
        <f>IF('Supplier selection'!H274="","",'Supplier selection'!H274)</f>
        <v/>
      </c>
      <c r="I274" s="19" t="str">
        <f>IF('Supplier selection'!I274="","",'Supplier selection'!I274)</f>
        <v/>
      </c>
      <c r="J274" s="19" t="str">
        <f>IF('Supplier selection'!J274="","",'Supplier selection'!J274)</f>
        <v/>
      </c>
      <c r="K274" s="19" t="str">
        <f>IF('Supplier selection'!K274="","",'Supplier selection'!K274)</f>
        <v/>
      </c>
      <c r="L274" s="19" t="str">
        <f>IF('Supplier selection'!L274="","",'Supplier selection'!L274)</f>
        <v/>
      </c>
      <c r="M274" s="19" t="str">
        <f>IF('Supplier selection'!M274="","",'Supplier selection'!M274)</f>
        <v/>
      </c>
      <c r="N274" s="19" t="str">
        <f>IF('Supplier selection'!N274="","",'Supplier selection'!N274)</f>
        <v/>
      </c>
      <c r="O274" s="19" t="str">
        <f>IF('Supplier selection'!O274="","",'Supplier selection'!O274)</f>
        <v/>
      </c>
      <c r="Q274" s="19" t="str">
        <f>HLOOKUP($Q$3,'Supplier selection'!$AW$4:'Supplier selection'!$CT$1000,$A275,FALSE)</f>
        <v/>
      </c>
      <c r="R274" s="22" t="str">
        <f t="shared" si="44"/>
        <v/>
      </c>
      <c r="S274" s="19" t="str">
        <f t="shared" si="45"/>
        <v/>
      </c>
      <c r="T274" s="22" t="str">
        <f t="shared" si="46"/>
        <v/>
      </c>
      <c r="U274" s="19" t="str">
        <f t="shared" si="47"/>
        <v/>
      </c>
      <c r="V274" s="7"/>
      <c r="Y274" s="19" t="str">
        <f>IF('Supplier selection'!AQ274="","",'Supplier selection'!AQ274)</f>
        <v/>
      </c>
      <c r="Z274" s="19" t="str">
        <f>IF('Supplier selection'!AR274="","",'Supplier selection'!AR274)</f>
        <v/>
      </c>
      <c r="AA274" s="19" t="str">
        <f t="shared" si="48"/>
        <v/>
      </c>
      <c r="AD274" s="26" t="str">
        <f>IF(AND('Supplier selection'!X274="",'Supplier selection'!AE274=""),"",IF('Supplier selection'!X274="",'Supplier selection'!AE274,'Supplier selection'!X274))</f>
        <v/>
      </c>
      <c r="AE274" s="19" t="str">
        <f t="shared" si="49"/>
        <v/>
      </c>
      <c r="AF274" s="19" t="str">
        <f t="shared" si="50"/>
        <v/>
      </c>
      <c r="AG274" s="27" t="str">
        <f>IF(AND('Supplier selection'!AB274="",'Supplier selection'!AI274=""),"",IF('Supplier selection'!AB274="",'Supplier selection'!AI274,'Supplier selection'!AB274))</f>
        <v/>
      </c>
      <c r="AH274" s="28" t="str">
        <f t="shared" si="51"/>
        <v/>
      </c>
      <c r="AI274" s="7" t="str">
        <f t="shared" si="52"/>
        <v/>
      </c>
      <c r="AJ274" s="22" t="str">
        <f t="shared" si="53"/>
        <v/>
      </c>
      <c r="AK274" s="29" t="str">
        <f t="shared" si="54"/>
        <v/>
      </c>
      <c r="AL274" s="10"/>
    </row>
    <row r="275" spans="1:38">
      <c r="A275" s="19">
        <f>IF('Supplier selection'!A275="","",'Supplier selection'!A275)</f>
        <v>271</v>
      </c>
      <c r="B275" s="19" t="str">
        <f>IF('Supplier selection'!B275="","",'Supplier selection'!B275)</f>
        <v/>
      </c>
      <c r="C275" s="19" t="str">
        <f>IF('Supplier selection'!C275="","",'Supplier selection'!C275)</f>
        <v/>
      </c>
      <c r="D275" s="19" t="str">
        <f>IF('Supplier selection'!D275="","",'Supplier selection'!D275)</f>
        <v/>
      </c>
      <c r="E275" s="19" t="str">
        <f>IF('Supplier selection'!E275="","",'Supplier selection'!E275)</f>
        <v/>
      </c>
      <c r="F275" s="19" t="str">
        <f>IF('Supplier selection'!F275="","",'Supplier selection'!F275)</f>
        <v/>
      </c>
      <c r="G275" s="19" t="str">
        <f>IF('Supplier selection'!G275="","",'Supplier selection'!G275)</f>
        <v/>
      </c>
      <c r="H275" s="19" t="str">
        <f>IF('Supplier selection'!H275="","",'Supplier selection'!H275)</f>
        <v/>
      </c>
      <c r="I275" s="19" t="str">
        <f>IF('Supplier selection'!I275="","",'Supplier selection'!I275)</f>
        <v/>
      </c>
      <c r="J275" s="19" t="str">
        <f>IF('Supplier selection'!J275="","",'Supplier selection'!J275)</f>
        <v/>
      </c>
      <c r="K275" s="19" t="str">
        <f>IF('Supplier selection'!K275="","",'Supplier selection'!K275)</f>
        <v/>
      </c>
      <c r="L275" s="19" t="str">
        <f>IF('Supplier selection'!L275="","",'Supplier selection'!L275)</f>
        <v/>
      </c>
      <c r="M275" s="19" t="str">
        <f>IF('Supplier selection'!M275="","",'Supplier selection'!M275)</f>
        <v/>
      </c>
      <c r="N275" s="19" t="str">
        <f>IF('Supplier selection'!N275="","",'Supplier selection'!N275)</f>
        <v/>
      </c>
      <c r="O275" s="19" t="str">
        <f>IF('Supplier selection'!O275="","",'Supplier selection'!O275)</f>
        <v/>
      </c>
      <c r="Q275" s="19" t="str">
        <f>HLOOKUP($Q$3,'Supplier selection'!$AW$4:'Supplier selection'!$CT$1000,$A276,FALSE)</f>
        <v/>
      </c>
      <c r="R275" s="22" t="str">
        <f t="shared" si="44"/>
        <v/>
      </c>
      <c r="S275" s="19" t="str">
        <f t="shared" si="45"/>
        <v/>
      </c>
      <c r="T275" s="22" t="str">
        <f t="shared" si="46"/>
        <v/>
      </c>
      <c r="U275" s="19" t="str">
        <f t="shared" si="47"/>
        <v/>
      </c>
      <c r="V275" s="7"/>
      <c r="Y275" s="19" t="str">
        <f>IF('Supplier selection'!AQ275="","",'Supplier selection'!AQ275)</f>
        <v/>
      </c>
      <c r="Z275" s="19" t="str">
        <f>IF('Supplier selection'!AR275="","",'Supplier selection'!AR275)</f>
        <v/>
      </c>
      <c r="AA275" s="19" t="str">
        <f t="shared" si="48"/>
        <v/>
      </c>
      <c r="AD275" s="26" t="str">
        <f>IF(AND('Supplier selection'!X275="",'Supplier selection'!AE275=""),"",IF('Supplier selection'!X275="",'Supplier selection'!AE275,'Supplier selection'!X275))</f>
        <v/>
      </c>
      <c r="AE275" s="19" t="str">
        <f t="shared" si="49"/>
        <v/>
      </c>
      <c r="AF275" s="19" t="str">
        <f t="shared" si="50"/>
        <v/>
      </c>
      <c r="AG275" s="27" t="str">
        <f>IF(AND('Supplier selection'!AB275="",'Supplier selection'!AI275=""),"",IF('Supplier selection'!AB275="",'Supplier selection'!AI275,'Supplier selection'!AB275))</f>
        <v/>
      </c>
      <c r="AH275" s="28" t="str">
        <f t="shared" si="51"/>
        <v/>
      </c>
      <c r="AI275" s="7" t="str">
        <f t="shared" si="52"/>
        <v/>
      </c>
      <c r="AJ275" s="22" t="str">
        <f t="shared" si="53"/>
        <v/>
      </c>
      <c r="AK275" s="29" t="str">
        <f t="shared" si="54"/>
        <v/>
      </c>
      <c r="AL275" s="10"/>
    </row>
    <row r="276" spans="1:38">
      <c r="A276" s="19">
        <f>IF('Supplier selection'!A276="","",'Supplier selection'!A276)</f>
        <v>272</v>
      </c>
      <c r="B276" s="19" t="str">
        <f>IF('Supplier selection'!B276="","",'Supplier selection'!B276)</f>
        <v/>
      </c>
      <c r="C276" s="19" t="str">
        <f>IF('Supplier selection'!C276="","",'Supplier selection'!C276)</f>
        <v/>
      </c>
      <c r="D276" s="19" t="str">
        <f>IF('Supplier selection'!D276="","",'Supplier selection'!D276)</f>
        <v/>
      </c>
      <c r="E276" s="19" t="str">
        <f>IF('Supplier selection'!E276="","",'Supplier selection'!E276)</f>
        <v/>
      </c>
      <c r="F276" s="19" t="str">
        <f>IF('Supplier selection'!F276="","",'Supplier selection'!F276)</f>
        <v/>
      </c>
      <c r="G276" s="19" t="str">
        <f>IF('Supplier selection'!G276="","",'Supplier selection'!G276)</f>
        <v/>
      </c>
      <c r="H276" s="19" t="str">
        <f>IF('Supplier selection'!H276="","",'Supplier selection'!H276)</f>
        <v/>
      </c>
      <c r="I276" s="19" t="str">
        <f>IF('Supplier selection'!I276="","",'Supplier selection'!I276)</f>
        <v/>
      </c>
      <c r="J276" s="19" t="str">
        <f>IF('Supplier selection'!J276="","",'Supplier selection'!J276)</f>
        <v/>
      </c>
      <c r="K276" s="19" t="str">
        <f>IF('Supplier selection'!K276="","",'Supplier selection'!K276)</f>
        <v/>
      </c>
      <c r="L276" s="19" t="str">
        <f>IF('Supplier selection'!L276="","",'Supplier selection'!L276)</f>
        <v/>
      </c>
      <c r="M276" s="19" t="str">
        <f>IF('Supplier selection'!M276="","",'Supplier selection'!M276)</f>
        <v/>
      </c>
      <c r="N276" s="19" t="str">
        <f>IF('Supplier selection'!N276="","",'Supplier selection'!N276)</f>
        <v/>
      </c>
      <c r="O276" s="19" t="str">
        <f>IF('Supplier selection'!O276="","",'Supplier selection'!O276)</f>
        <v/>
      </c>
      <c r="Q276" s="19" t="str">
        <f>HLOOKUP($Q$3,'Supplier selection'!$AW$4:'Supplier selection'!$CT$1000,$A277,FALSE)</f>
        <v/>
      </c>
      <c r="R276" s="22" t="str">
        <f t="shared" si="44"/>
        <v/>
      </c>
      <c r="S276" s="19" t="str">
        <f t="shared" si="45"/>
        <v/>
      </c>
      <c r="T276" s="22" t="str">
        <f t="shared" si="46"/>
        <v/>
      </c>
      <c r="U276" s="19" t="str">
        <f t="shared" si="47"/>
        <v/>
      </c>
      <c r="V276" s="7"/>
      <c r="Y276" s="19" t="str">
        <f>IF('Supplier selection'!AQ276="","",'Supplier selection'!AQ276)</f>
        <v/>
      </c>
      <c r="Z276" s="19" t="str">
        <f>IF('Supplier selection'!AR276="","",'Supplier selection'!AR276)</f>
        <v/>
      </c>
      <c r="AA276" s="19" t="str">
        <f t="shared" si="48"/>
        <v/>
      </c>
      <c r="AD276" s="26" t="str">
        <f>IF(AND('Supplier selection'!X276="",'Supplier selection'!AE276=""),"",IF('Supplier selection'!X276="",'Supplier selection'!AE276,'Supplier selection'!X276))</f>
        <v/>
      </c>
      <c r="AE276" s="19" t="str">
        <f t="shared" si="49"/>
        <v/>
      </c>
      <c r="AF276" s="19" t="str">
        <f t="shared" si="50"/>
        <v/>
      </c>
      <c r="AG276" s="27" t="str">
        <f>IF(AND('Supplier selection'!AB276="",'Supplier selection'!AI276=""),"",IF('Supplier selection'!AB276="",'Supplier selection'!AI276,'Supplier selection'!AB276))</f>
        <v/>
      </c>
      <c r="AH276" s="28" t="str">
        <f t="shared" si="51"/>
        <v/>
      </c>
      <c r="AI276" s="7" t="str">
        <f t="shared" si="52"/>
        <v/>
      </c>
      <c r="AJ276" s="22" t="str">
        <f t="shared" si="53"/>
        <v/>
      </c>
      <c r="AK276" s="29" t="str">
        <f t="shared" si="54"/>
        <v/>
      </c>
      <c r="AL276" s="10"/>
    </row>
    <row r="277" spans="1:38">
      <c r="A277" s="19">
        <f>IF('Supplier selection'!A277="","",'Supplier selection'!A277)</f>
        <v>273</v>
      </c>
      <c r="B277" s="19" t="str">
        <f>IF('Supplier selection'!B277="","",'Supplier selection'!B277)</f>
        <v/>
      </c>
      <c r="C277" s="19" t="str">
        <f>IF('Supplier selection'!C277="","",'Supplier selection'!C277)</f>
        <v/>
      </c>
      <c r="D277" s="19" t="str">
        <f>IF('Supplier selection'!D277="","",'Supplier selection'!D277)</f>
        <v/>
      </c>
      <c r="E277" s="19" t="str">
        <f>IF('Supplier selection'!E277="","",'Supplier selection'!E277)</f>
        <v/>
      </c>
      <c r="F277" s="19" t="str">
        <f>IF('Supplier selection'!F277="","",'Supplier selection'!F277)</f>
        <v/>
      </c>
      <c r="G277" s="19" t="str">
        <f>IF('Supplier selection'!G277="","",'Supplier selection'!G277)</f>
        <v/>
      </c>
      <c r="H277" s="19" t="str">
        <f>IF('Supplier selection'!H277="","",'Supplier selection'!H277)</f>
        <v/>
      </c>
      <c r="I277" s="19" t="str">
        <f>IF('Supplier selection'!I277="","",'Supplier selection'!I277)</f>
        <v/>
      </c>
      <c r="J277" s="19" t="str">
        <f>IF('Supplier selection'!J277="","",'Supplier selection'!J277)</f>
        <v/>
      </c>
      <c r="K277" s="19" t="str">
        <f>IF('Supplier selection'!K277="","",'Supplier selection'!K277)</f>
        <v/>
      </c>
      <c r="L277" s="19" t="str">
        <f>IF('Supplier selection'!L277="","",'Supplier selection'!L277)</f>
        <v/>
      </c>
      <c r="M277" s="19" t="str">
        <f>IF('Supplier selection'!M277="","",'Supplier selection'!M277)</f>
        <v/>
      </c>
      <c r="N277" s="19" t="str">
        <f>IF('Supplier selection'!N277="","",'Supplier selection'!N277)</f>
        <v/>
      </c>
      <c r="O277" s="19" t="str">
        <f>IF('Supplier selection'!O277="","",'Supplier selection'!O277)</f>
        <v/>
      </c>
      <c r="Q277" s="19" t="str">
        <f>HLOOKUP($Q$3,'Supplier selection'!$AW$4:'Supplier selection'!$CT$1000,$A278,FALSE)</f>
        <v/>
      </c>
      <c r="R277" s="22" t="str">
        <f t="shared" si="44"/>
        <v/>
      </c>
      <c r="S277" s="19" t="str">
        <f t="shared" si="45"/>
        <v/>
      </c>
      <c r="T277" s="22" t="str">
        <f t="shared" si="46"/>
        <v/>
      </c>
      <c r="U277" s="19" t="str">
        <f t="shared" si="47"/>
        <v/>
      </c>
      <c r="V277" s="7"/>
      <c r="Y277" s="19" t="str">
        <f>IF('Supplier selection'!AQ277="","",'Supplier selection'!AQ277)</f>
        <v/>
      </c>
      <c r="Z277" s="19" t="str">
        <f>IF('Supplier selection'!AR277="","",'Supplier selection'!AR277)</f>
        <v/>
      </c>
      <c r="AA277" s="19" t="str">
        <f t="shared" si="48"/>
        <v/>
      </c>
      <c r="AD277" s="26" t="str">
        <f>IF(AND('Supplier selection'!X277="",'Supplier selection'!AE277=""),"",IF('Supplier selection'!X277="",'Supplier selection'!AE277,'Supplier selection'!X277))</f>
        <v/>
      </c>
      <c r="AE277" s="19" t="str">
        <f t="shared" si="49"/>
        <v/>
      </c>
      <c r="AF277" s="19" t="str">
        <f t="shared" si="50"/>
        <v/>
      </c>
      <c r="AG277" s="27" t="str">
        <f>IF(AND('Supplier selection'!AB277="",'Supplier selection'!AI277=""),"",IF('Supplier selection'!AB277="",'Supplier selection'!AI277,'Supplier selection'!AB277))</f>
        <v/>
      </c>
      <c r="AH277" s="28" t="str">
        <f t="shared" si="51"/>
        <v/>
      </c>
      <c r="AI277" s="7" t="str">
        <f t="shared" si="52"/>
        <v/>
      </c>
      <c r="AJ277" s="22" t="str">
        <f t="shared" si="53"/>
        <v/>
      </c>
      <c r="AK277" s="29" t="str">
        <f t="shared" si="54"/>
        <v/>
      </c>
      <c r="AL277" s="10"/>
    </row>
    <row r="278" spans="1:38">
      <c r="A278" s="19">
        <f>IF('Supplier selection'!A278="","",'Supplier selection'!A278)</f>
        <v>274</v>
      </c>
      <c r="B278" s="19" t="str">
        <f>IF('Supplier selection'!B278="","",'Supplier selection'!B278)</f>
        <v/>
      </c>
      <c r="C278" s="19" t="str">
        <f>IF('Supplier selection'!C278="","",'Supplier selection'!C278)</f>
        <v/>
      </c>
      <c r="D278" s="19" t="str">
        <f>IF('Supplier selection'!D278="","",'Supplier selection'!D278)</f>
        <v/>
      </c>
      <c r="E278" s="19" t="str">
        <f>IF('Supplier selection'!E278="","",'Supplier selection'!E278)</f>
        <v/>
      </c>
      <c r="F278" s="19" t="str">
        <f>IF('Supplier selection'!F278="","",'Supplier selection'!F278)</f>
        <v/>
      </c>
      <c r="G278" s="19" t="str">
        <f>IF('Supplier selection'!G278="","",'Supplier selection'!G278)</f>
        <v/>
      </c>
      <c r="H278" s="19" t="str">
        <f>IF('Supplier selection'!H278="","",'Supplier selection'!H278)</f>
        <v/>
      </c>
      <c r="I278" s="19" t="str">
        <f>IF('Supplier selection'!I278="","",'Supplier selection'!I278)</f>
        <v/>
      </c>
      <c r="J278" s="19" t="str">
        <f>IF('Supplier selection'!J278="","",'Supplier selection'!J278)</f>
        <v/>
      </c>
      <c r="K278" s="19" t="str">
        <f>IF('Supplier selection'!K278="","",'Supplier selection'!K278)</f>
        <v/>
      </c>
      <c r="L278" s="19" t="str">
        <f>IF('Supplier selection'!L278="","",'Supplier selection'!L278)</f>
        <v/>
      </c>
      <c r="M278" s="19" t="str">
        <f>IF('Supplier selection'!M278="","",'Supplier selection'!M278)</f>
        <v/>
      </c>
      <c r="N278" s="19" t="str">
        <f>IF('Supplier selection'!N278="","",'Supplier selection'!N278)</f>
        <v/>
      </c>
      <c r="O278" s="19" t="str">
        <f>IF('Supplier selection'!O278="","",'Supplier selection'!O278)</f>
        <v/>
      </c>
      <c r="Q278" s="19" t="str">
        <f>HLOOKUP($Q$3,'Supplier selection'!$AW$4:'Supplier selection'!$CT$1000,$A279,FALSE)</f>
        <v/>
      </c>
      <c r="R278" s="22" t="str">
        <f t="shared" si="44"/>
        <v/>
      </c>
      <c r="S278" s="19" t="str">
        <f t="shared" si="45"/>
        <v/>
      </c>
      <c r="T278" s="22" t="str">
        <f t="shared" si="46"/>
        <v/>
      </c>
      <c r="U278" s="19" t="str">
        <f t="shared" si="47"/>
        <v/>
      </c>
      <c r="V278" s="7"/>
      <c r="Y278" s="19" t="str">
        <f>IF('Supplier selection'!AQ278="","",'Supplier selection'!AQ278)</f>
        <v/>
      </c>
      <c r="Z278" s="19" t="str">
        <f>IF('Supplier selection'!AR278="","",'Supplier selection'!AR278)</f>
        <v/>
      </c>
      <c r="AA278" s="19" t="str">
        <f t="shared" si="48"/>
        <v/>
      </c>
      <c r="AD278" s="26" t="str">
        <f>IF(AND('Supplier selection'!X278="",'Supplier selection'!AE278=""),"",IF('Supplier selection'!X278="",'Supplier selection'!AE278,'Supplier selection'!X278))</f>
        <v/>
      </c>
      <c r="AE278" s="19" t="str">
        <f t="shared" si="49"/>
        <v/>
      </c>
      <c r="AF278" s="19" t="str">
        <f t="shared" si="50"/>
        <v/>
      </c>
      <c r="AG278" s="27" t="str">
        <f>IF(AND('Supplier selection'!AB278="",'Supplier selection'!AI278=""),"",IF('Supplier selection'!AB278="",'Supplier selection'!AI278,'Supplier selection'!AB278))</f>
        <v/>
      </c>
      <c r="AH278" s="28" t="str">
        <f t="shared" si="51"/>
        <v/>
      </c>
      <c r="AI278" s="7" t="str">
        <f t="shared" si="52"/>
        <v/>
      </c>
      <c r="AJ278" s="22" t="str">
        <f t="shared" si="53"/>
        <v/>
      </c>
      <c r="AK278" s="29" t="str">
        <f t="shared" si="54"/>
        <v/>
      </c>
      <c r="AL278" s="10"/>
    </row>
    <row r="279" spans="1:38">
      <c r="A279" s="19">
        <f>IF('Supplier selection'!A279="","",'Supplier selection'!A279)</f>
        <v>275</v>
      </c>
      <c r="B279" s="19" t="str">
        <f>IF('Supplier selection'!B279="","",'Supplier selection'!B279)</f>
        <v/>
      </c>
      <c r="C279" s="19" t="str">
        <f>IF('Supplier selection'!C279="","",'Supplier selection'!C279)</f>
        <v/>
      </c>
      <c r="D279" s="19" t="str">
        <f>IF('Supplier selection'!D279="","",'Supplier selection'!D279)</f>
        <v/>
      </c>
      <c r="E279" s="19" t="str">
        <f>IF('Supplier selection'!E279="","",'Supplier selection'!E279)</f>
        <v/>
      </c>
      <c r="F279" s="19" t="str">
        <f>IF('Supplier selection'!F279="","",'Supplier selection'!F279)</f>
        <v/>
      </c>
      <c r="G279" s="19" t="str">
        <f>IF('Supplier selection'!G279="","",'Supplier selection'!G279)</f>
        <v/>
      </c>
      <c r="H279" s="19" t="str">
        <f>IF('Supplier selection'!H279="","",'Supplier selection'!H279)</f>
        <v/>
      </c>
      <c r="I279" s="19" t="str">
        <f>IF('Supplier selection'!I279="","",'Supplier selection'!I279)</f>
        <v/>
      </c>
      <c r="J279" s="19" t="str">
        <f>IF('Supplier selection'!J279="","",'Supplier selection'!J279)</f>
        <v/>
      </c>
      <c r="K279" s="19" t="str">
        <f>IF('Supplier selection'!K279="","",'Supplier selection'!K279)</f>
        <v/>
      </c>
      <c r="L279" s="19" t="str">
        <f>IF('Supplier selection'!L279="","",'Supplier selection'!L279)</f>
        <v/>
      </c>
      <c r="M279" s="19" t="str">
        <f>IF('Supplier selection'!M279="","",'Supplier selection'!M279)</f>
        <v/>
      </c>
      <c r="N279" s="19" t="str">
        <f>IF('Supplier selection'!N279="","",'Supplier selection'!N279)</f>
        <v/>
      </c>
      <c r="O279" s="19" t="str">
        <f>IF('Supplier selection'!O279="","",'Supplier selection'!O279)</f>
        <v/>
      </c>
      <c r="Q279" s="19" t="str">
        <f>HLOOKUP($Q$3,'Supplier selection'!$AW$4:'Supplier selection'!$CT$1000,$A280,FALSE)</f>
        <v/>
      </c>
      <c r="R279" s="22" t="str">
        <f t="shared" si="44"/>
        <v/>
      </c>
      <c r="S279" s="19" t="str">
        <f t="shared" si="45"/>
        <v/>
      </c>
      <c r="T279" s="22" t="str">
        <f t="shared" si="46"/>
        <v/>
      </c>
      <c r="U279" s="19" t="str">
        <f t="shared" si="47"/>
        <v/>
      </c>
      <c r="V279" s="7"/>
      <c r="Y279" s="19" t="str">
        <f>IF('Supplier selection'!AQ279="","",'Supplier selection'!AQ279)</f>
        <v/>
      </c>
      <c r="Z279" s="19" t="str">
        <f>IF('Supplier selection'!AR279="","",'Supplier selection'!AR279)</f>
        <v/>
      </c>
      <c r="AA279" s="19" t="str">
        <f t="shared" si="48"/>
        <v/>
      </c>
      <c r="AD279" s="26" t="str">
        <f>IF(AND('Supplier selection'!X279="",'Supplier selection'!AE279=""),"",IF('Supplier selection'!X279="",'Supplier selection'!AE279,'Supplier selection'!X279))</f>
        <v/>
      </c>
      <c r="AE279" s="19" t="str">
        <f t="shared" si="49"/>
        <v/>
      </c>
      <c r="AF279" s="19" t="str">
        <f t="shared" si="50"/>
        <v/>
      </c>
      <c r="AG279" s="27" t="str">
        <f>IF(AND('Supplier selection'!AB279="",'Supplier selection'!AI279=""),"",IF('Supplier selection'!AB279="",'Supplier selection'!AI279,'Supplier selection'!AB279))</f>
        <v/>
      </c>
      <c r="AH279" s="28" t="str">
        <f t="shared" si="51"/>
        <v/>
      </c>
      <c r="AI279" s="7" t="str">
        <f t="shared" si="52"/>
        <v/>
      </c>
      <c r="AJ279" s="22" t="str">
        <f t="shared" si="53"/>
        <v/>
      </c>
      <c r="AK279" s="29" t="str">
        <f t="shared" si="54"/>
        <v/>
      </c>
      <c r="AL279" s="10"/>
    </row>
    <row r="280" spans="1:38">
      <c r="A280" s="19">
        <f>IF('Supplier selection'!A280="","",'Supplier selection'!A280)</f>
        <v>276</v>
      </c>
      <c r="B280" s="19" t="str">
        <f>IF('Supplier selection'!B280="","",'Supplier selection'!B280)</f>
        <v/>
      </c>
      <c r="C280" s="19" t="str">
        <f>IF('Supplier selection'!C280="","",'Supplier selection'!C280)</f>
        <v/>
      </c>
      <c r="D280" s="19" t="str">
        <f>IF('Supplier selection'!D280="","",'Supplier selection'!D280)</f>
        <v/>
      </c>
      <c r="E280" s="19" t="str">
        <f>IF('Supplier selection'!E280="","",'Supplier selection'!E280)</f>
        <v/>
      </c>
      <c r="F280" s="19" t="str">
        <f>IF('Supplier selection'!F280="","",'Supplier selection'!F280)</f>
        <v/>
      </c>
      <c r="G280" s="19" t="str">
        <f>IF('Supplier selection'!G280="","",'Supplier selection'!G280)</f>
        <v/>
      </c>
      <c r="H280" s="19" t="str">
        <f>IF('Supplier selection'!H280="","",'Supplier selection'!H280)</f>
        <v/>
      </c>
      <c r="I280" s="19" t="str">
        <f>IF('Supplier selection'!I280="","",'Supplier selection'!I280)</f>
        <v/>
      </c>
      <c r="J280" s="19" t="str">
        <f>IF('Supplier selection'!J280="","",'Supplier selection'!J280)</f>
        <v/>
      </c>
      <c r="K280" s="19" t="str">
        <f>IF('Supplier selection'!K280="","",'Supplier selection'!K280)</f>
        <v/>
      </c>
      <c r="L280" s="19" t="str">
        <f>IF('Supplier selection'!L280="","",'Supplier selection'!L280)</f>
        <v/>
      </c>
      <c r="M280" s="19" t="str">
        <f>IF('Supplier selection'!M280="","",'Supplier selection'!M280)</f>
        <v/>
      </c>
      <c r="N280" s="19" t="str">
        <f>IF('Supplier selection'!N280="","",'Supplier selection'!N280)</f>
        <v/>
      </c>
      <c r="O280" s="19" t="str">
        <f>IF('Supplier selection'!O280="","",'Supplier selection'!O280)</f>
        <v/>
      </c>
      <c r="Q280" s="19" t="str">
        <f>HLOOKUP($Q$3,'Supplier selection'!$AW$4:'Supplier selection'!$CT$1000,$A281,FALSE)</f>
        <v/>
      </c>
      <c r="R280" s="22" t="str">
        <f t="shared" si="44"/>
        <v/>
      </c>
      <c r="S280" s="19" t="str">
        <f t="shared" si="45"/>
        <v/>
      </c>
      <c r="T280" s="22" t="str">
        <f t="shared" si="46"/>
        <v/>
      </c>
      <c r="U280" s="19" t="str">
        <f t="shared" si="47"/>
        <v/>
      </c>
      <c r="V280" s="7"/>
      <c r="Y280" s="19" t="str">
        <f>IF('Supplier selection'!AQ280="","",'Supplier selection'!AQ280)</f>
        <v/>
      </c>
      <c r="Z280" s="19" t="str">
        <f>IF('Supplier selection'!AR280="","",'Supplier selection'!AR280)</f>
        <v/>
      </c>
      <c r="AA280" s="19" t="str">
        <f t="shared" si="48"/>
        <v/>
      </c>
      <c r="AD280" s="26" t="str">
        <f>IF(AND('Supplier selection'!X280="",'Supplier selection'!AE280=""),"",IF('Supplier selection'!X280="",'Supplier selection'!AE280,'Supplier selection'!X280))</f>
        <v/>
      </c>
      <c r="AE280" s="19" t="str">
        <f t="shared" si="49"/>
        <v/>
      </c>
      <c r="AF280" s="19" t="str">
        <f t="shared" si="50"/>
        <v/>
      </c>
      <c r="AG280" s="27" t="str">
        <f>IF(AND('Supplier selection'!AB280="",'Supplier selection'!AI280=""),"",IF('Supplier selection'!AB280="",'Supplier selection'!AI280,'Supplier selection'!AB280))</f>
        <v/>
      </c>
      <c r="AH280" s="28" t="str">
        <f t="shared" si="51"/>
        <v/>
      </c>
      <c r="AI280" s="7" t="str">
        <f t="shared" si="52"/>
        <v/>
      </c>
      <c r="AJ280" s="22" t="str">
        <f t="shared" si="53"/>
        <v/>
      </c>
      <c r="AK280" s="29" t="str">
        <f t="shared" si="54"/>
        <v/>
      </c>
      <c r="AL280" s="10"/>
    </row>
    <row r="281" spans="1:38">
      <c r="A281" s="19">
        <f>IF('Supplier selection'!A281="","",'Supplier selection'!A281)</f>
        <v>277</v>
      </c>
      <c r="B281" s="19" t="str">
        <f>IF('Supplier selection'!B281="","",'Supplier selection'!B281)</f>
        <v/>
      </c>
      <c r="C281" s="19" t="str">
        <f>IF('Supplier selection'!C281="","",'Supplier selection'!C281)</f>
        <v/>
      </c>
      <c r="D281" s="19" t="str">
        <f>IF('Supplier selection'!D281="","",'Supplier selection'!D281)</f>
        <v/>
      </c>
      <c r="E281" s="19" t="str">
        <f>IF('Supplier selection'!E281="","",'Supplier selection'!E281)</f>
        <v/>
      </c>
      <c r="F281" s="19" t="str">
        <f>IF('Supplier selection'!F281="","",'Supplier selection'!F281)</f>
        <v/>
      </c>
      <c r="G281" s="19" t="str">
        <f>IF('Supplier selection'!G281="","",'Supplier selection'!G281)</f>
        <v/>
      </c>
      <c r="H281" s="19" t="str">
        <f>IF('Supplier selection'!H281="","",'Supplier selection'!H281)</f>
        <v/>
      </c>
      <c r="I281" s="19" t="str">
        <f>IF('Supplier selection'!I281="","",'Supplier selection'!I281)</f>
        <v/>
      </c>
      <c r="J281" s="19" t="str">
        <f>IF('Supplier selection'!J281="","",'Supplier selection'!J281)</f>
        <v/>
      </c>
      <c r="K281" s="19" t="str">
        <f>IF('Supplier selection'!K281="","",'Supplier selection'!K281)</f>
        <v/>
      </c>
      <c r="L281" s="19" t="str">
        <f>IF('Supplier selection'!L281="","",'Supplier selection'!L281)</f>
        <v/>
      </c>
      <c r="M281" s="19" t="str">
        <f>IF('Supplier selection'!M281="","",'Supplier selection'!M281)</f>
        <v/>
      </c>
      <c r="N281" s="19" t="str">
        <f>IF('Supplier selection'!N281="","",'Supplier selection'!N281)</f>
        <v/>
      </c>
      <c r="O281" s="19" t="str">
        <f>IF('Supplier selection'!O281="","",'Supplier selection'!O281)</f>
        <v/>
      </c>
      <c r="Q281" s="19" t="str">
        <f>HLOOKUP($Q$3,'Supplier selection'!$AW$4:'Supplier selection'!$CT$1000,$A282,FALSE)</f>
        <v/>
      </c>
      <c r="R281" s="22" t="str">
        <f t="shared" si="44"/>
        <v/>
      </c>
      <c r="S281" s="19" t="str">
        <f t="shared" si="45"/>
        <v/>
      </c>
      <c r="T281" s="22" t="str">
        <f t="shared" si="46"/>
        <v/>
      </c>
      <c r="U281" s="19" t="str">
        <f t="shared" si="47"/>
        <v/>
      </c>
      <c r="V281" s="7"/>
      <c r="Y281" s="19" t="str">
        <f>IF('Supplier selection'!AQ281="","",'Supplier selection'!AQ281)</f>
        <v/>
      </c>
      <c r="Z281" s="19" t="str">
        <f>IF('Supplier selection'!AR281="","",'Supplier selection'!AR281)</f>
        <v/>
      </c>
      <c r="AA281" s="19" t="str">
        <f t="shared" si="48"/>
        <v/>
      </c>
      <c r="AD281" s="26" t="str">
        <f>IF(AND('Supplier selection'!X281="",'Supplier selection'!AE281=""),"",IF('Supplier selection'!X281="",'Supplier selection'!AE281,'Supplier selection'!X281))</f>
        <v/>
      </c>
      <c r="AE281" s="19" t="str">
        <f t="shared" si="49"/>
        <v/>
      </c>
      <c r="AF281" s="19" t="str">
        <f t="shared" si="50"/>
        <v/>
      </c>
      <c r="AG281" s="27" t="str">
        <f>IF(AND('Supplier selection'!AB281="",'Supplier selection'!AI281=""),"",IF('Supplier selection'!AB281="",'Supplier selection'!AI281,'Supplier selection'!AB281))</f>
        <v/>
      </c>
      <c r="AH281" s="28" t="str">
        <f t="shared" si="51"/>
        <v/>
      </c>
      <c r="AI281" s="7" t="str">
        <f t="shared" si="52"/>
        <v/>
      </c>
      <c r="AJ281" s="22" t="str">
        <f t="shared" si="53"/>
        <v/>
      </c>
      <c r="AK281" s="29" t="str">
        <f t="shared" si="54"/>
        <v/>
      </c>
      <c r="AL281" s="10"/>
    </row>
    <row r="282" spans="1:38">
      <c r="A282" s="19">
        <f>IF('Supplier selection'!A282="","",'Supplier selection'!A282)</f>
        <v>278</v>
      </c>
      <c r="B282" s="19" t="str">
        <f>IF('Supplier selection'!B282="","",'Supplier selection'!B282)</f>
        <v/>
      </c>
      <c r="C282" s="19" t="str">
        <f>IF('Supplier selection'!C282="","",'Supplier selection'!C282)</f>
        <v/>
      </c>
      <c r="D282" s="19" t="str">
        <f>IF('Supplier selection'!D282="","",'Supplier selection'!D282)</f>
        <v/>
      </c>
      <c r="E282" s="19" t="str">
        <f>IF('Supplier selection'!E282="","",'Supplier selection'!E282)</f>
        <v/>
      </c>
      <c r="F282" s="19" t="str">
        <f>IF('Supplier selection'!F282="","",'Supplier selection'!F282)</f>
        <v/>
      </c>
      <c r="G282" s="19" t="str">
        <f>IF('Supplier selection'!G282="","",'Supplier selection'!G282)</f>
        <v/>
      </c>
      <c r="H282" s="19" t="str">
        <f>IF('Supplier selection'!H282="","",'Supplier selection'!H282)</f>
        <v/>
      </c>
      <c r="I282" s="19" t="str">
        <f>IF('Supplier selection'!I282="","",'Supplier selection'!I282)</f>
        <v/>
      </c>
      <c r="J282" s="19" t="str">
        <f>IF('Supplier selection'!J282="","",'Supplier selection'!J282)</f>
        <v/>
      </c>
      <c r="K282" s="19" t="str">
        <f>IF('Supplier selection'!K282="","",'Supplier selection'!K282)</f>
        <v/>
      </c>
      <c r="L282" s="19" t="str">
        <f>IF('Supplier selection'!L282="","",'Supplier selection'!L282)</f>
        <v/>
      </c>
      <c r="M282" s="19" t="str">
        <f>IF('Supplier selection'!M282="","",'Supplier selection'!M282)</f>
        <v/>
      </c>
      <c r="N282" s="19" t="str">
        <f>IF('Supplier selection'!N282="","",'Supplier selection'!N282)</f>
        <v/>
      </c>
      <c r="O282" s="19" t="str">
        <f>IF('Supplier selection'!O282="","",'Supplier selection'!O282)</f>
        <v/>
      </c>
      <c r="Q282" s="19" t="str">
        <f>HLOOKUP($Q$3,'Supplier selection'!$AW$4:'Supplier selection'!$CT$1000,$A283,FALSE)</f>
        <v/>
      </c>
      <c r="R282" s="22" t="str">
        <f t="shared" si="44"/>
        <v/>
      </c>
      <c r="S282" s="19" t="str">
        <f t="shared" si="45"/>
        <v/>
      </c>
      <c r="T282" s="22" t="str">
        <f t="shared" si="46"/>
        <v/>
      </c>
      <c r="U282" s="19" t="str">
        <f t="shared" si="47"/>
        <v/>
      </c>
      <c r="V282" s="7"/>
      <c r="Y282" s="19" t="str">
        <f>IF('Supplier selection'!AQ282="","",'Supplier selection'!AQ282)</f>
        <v/>
      </c>
      <c r="Z282" s="19" t="str">
        <f>IF('Supplier selection'!AR282="","",'Supplier selection'!AR282)</f>
        <v/>
      </c>
      <c r="AA282" s="19" t="str">
        <f t="shared" si="48"/>
        <v/>
      </c>
      <c r="AD282" s="26" t="str">
        <f>IF(AND('Supplier selection'!X282="",'Supplier selection'!AE282=""),"",IF('Supplier selection'!X282="",'Supplier selection'!AE282,'Supplier selection'!X282))</f>
        <v/>
      </c>
      <c r="AE282" s="19" t="str">
        <f t="shared" si="49"/>
        <v/>
      </c>
      <c r="AF282" s="19" t="str">
        <f t="shared" si="50"/>
        <v/>
      </c>
      <c r="AG282" s="27" t="str">
        <f>IF(AND('Supplier selection'!AB282="",'Supplier selection'!AI282=""),"",IF('Supplier selection'!AB282="",'Supplier selection'!AI282,'Supplier selection'!AB282))</f>
        <v/>
      </c>
      <c r="AH282" s="28" t="str">
        <f t="shared" si="51"/>
        <v/>
      </c>
      <c r="AI282" s="7" t="str">
        <f t="shared" si="52"/>
        <v/>
      </c>
      <c r="AJ282" s="22" t="str">
        <f t="shared" si="53"/>
        <v/>
      </c>
      <c r="AK282" s="29" t="str">
        <f t="shared" si="54"/>
        <v/>
      </c>
      <c r="AL282" s="10"/>
    </row>
    <row r="283" spans="1:38">
      <c r="A283" s="19">
        <f>IF('Supplier selection'!A283="","",'Supplier selection'!A283)</f>
        <v>279</v>
      </c>
      <c r="B283" s="19" t="str">
        <f>IF('Supplier selection'!B283="","",'Supplier selection'!B283)</f>
        <v/>
      </c>
      <c r="C283" s="19" t="str">
        <f>IF('Supplier selection'!C283="","",'Supplier selection'!C283)</f>
        <v/>
      </c>
      <c r="D283" s="19" t="str">
        <f>IF('Supplier selection'!D283="","",'Supplier selection'!D283)</f>
        <v/>
      </c>
      <c r="E283" s="19" t="str">
        <f>IF('Supplier selection'!E283="","",'Supplier selection'!E283)</f>
        <v/>
      </c>
      <c r="F283" s="19" t="str">
        <f>IF('Supplier selection'!F283="","",'Supplier selection'!F283)</f>
        <v/>
      </c>
      <c r="G283" s="19" t="str">
        <f>IF('Supplier selection'!G283="","",'Supplier selection'!G283)</f>
        <v/>
      </c>
      <c r="H283" s="19" t="str">
        <f>IF('Supplier selection'!H283="","",'Supplier selection'!H283)</f>
        <v/>
      </c>
      <c r="I283" s="19" t="str">
        <f>IF('Supplier selection'!I283="","",'Supplier selection'!I283)</f>
        <v/>
      </c>
      <c r="J283" s="19" t="str">
        <f>IF('Supplier selection'!J283="","",'Supplier selection'!J283)</f>
        <v/>
      </c>
      <c r="K283" s="19" t="str">
        <f>IF('Supplier selection'!K283="","",'Supplier selection'!K283)</f>
        <v/>
      </c>
      <c r="L283" s="19" t="str">
        <f>IF('Supplier selection'!L283="","",'Supplier selection'!L283)</f>
        <v/>
      </c>
      <c r="M283" s="19" t="str">
        <f>IF('Supplier selection'!M283="","",'Supplier selection'!M283)</f>
        <v/>
      </c>
      <c r="N283" s="19" t="str">
        <f>IF('Supplier selection'!N283="","",'Supplier selection'!N283)</f>
        <v/>
      </c>
      <c r="O283" s="19" t="str">
        <f>IF('Supplier selection'!O283="","",'Supplier selection'!O283)</f>
        <v/>
      </c>
      <c r="Q283" s="19" t="str">
        <f>HLOOKUP($Q$3,'Supplier selection'!$AW$4:'Supplier selection'!$CT$1000,$A284,FALSE)</f>
        <v/>
      </c>
      <c r="R283" s="22" t="str">
        <f t="shared" si="44"/>
        <v/>
      </c>
      <c r="S283" s="19" t="str">
        <f t="shared" si="45"/>
        <v/>
      </c>
      <c r="T283" s="22" t="str">
        <f t="shared" si="46"/>
        <v/>
      </c>
      <c r="U283" s="19" t="str">
        <f t="shared" si="47"/>
        <v/>
      </c>
      <c r="V283" s="7"/>
      <c r="Y283" s="19" t="str">
        <f>IF('Supplier selection'!AQ283="","",'Supplier selection'!AQ283)</f>
        <v/>
      </c>
      <c r="Z283" s="19" t="str">
        <f>IF('Supplier selection'!AR283="","",'Supplier selection'!AR283)</f>
        <v/>
      </c>
      <c r="AA283" s="19" t="str">
        <f t="shared" si="48"/>
        <v/>
      </c>
      <c r="AD283" s="26" t="str">
        <f>IF(AND('Supplier selection'!X283="",'Supplier selection'!AE283=""),"",IF('Supplier selection'!X283="",'Supplier selection'!AE283,'Supplier selection'!X283))</f>
        <v/>
      </c>
      <c r="AE283" s="19" t="str">
        <f t="shared" si="49"/>
        <v/>
      </c>
      <c r="AF283" s="19" t="str">
        <f t="shared" si="50"/>
        <v/>
      </c>
      <c r="AG283" s="27" t="str">
        <f>IF(AND('Supplier selection'!AB283="",'Supplier selection'!AI283=""),"",IF('Supplier selection'!AB283="",'Supplier selection'!AI283,'Supplier selection'!AB283))</f>
        <v/>
      </c>
      <c r="AH283" s="28" t="str">
        <f t="shared" si="51"/>
        <v/>
      </c>
      <c r="AI283" s="7" t="str">
        <f t="shared" si="52"/>
        <v/>
      </c>
      <c r="AJ283" s="22" t="str">
        <f t="shared" si="53"/>
        <v/>
      </c>
      <c r="AK283" s="29" t="str">
        <f t="shared" si="54"/>
        <v/>
      </c>
      <c r="AL283" s="10"/>
    </row>
    <row r="284" spans="1:38">
      <c r="A284" s="19">
        <f>IF('Supplier selection'!A284="","",'Supplier selection'!A284)</f>
        <v>280</v>
      </c>
      <c r="B284" s="19" t="str">
        <f>IF('Supplier selection'!B284="","",'Supplier selection'!B284)</f>
        <v/>
      </c>
      <c r="C284" s="19" t="str">
        <f>IF('Supplier selection'!C284="","",'Supplier selection'!C284)</f>
        <v/>
      </c>
      <c r="D284" s="19" t="str">
        <f>IF('Supplier selection'!D284="","",'Supplier selection'!D284)</f>
        <v/>
      </c>
      <c r="E284" s="19" t="str">
        <f>IF('Supplier selection'!E284="","",'Supplier selection'!E284)</f>
        <v/>
      </c>
      <c r="F284" s="19" t="str">
        <f>IF('Supplier selection'!F284="","",'Supplier selection'!F284)</f>
        <v/>
      </c>
      <c r="G284" s="19" t="str">
        <f>IF('Supplier selection'!G284="","",'Supplier selection'!G284)</f>
        <v/>
      </c>
      <c r="H284" s="19" t="str">
        <f>IF('Supplier selection'!H284="","",'Supplier selection'!H284)</f>
        <v/>
      </c>
      <c r="I284" s="19" t="str">
        <f>IF('Supplier selection'!I284="","",'Supplier selection'!I284)</f>
        <v/>
      </c>
      <c r="J284" s="19" t="str">
        <f>IF('Supplier selection'!J284="","",'Supplier selection'!J284)</f>
        <v/>
      </c>
      <c r="K284" s="19" t="str">
        <f>IF('Supplier selection'!K284="","",'Supplier selection'!K284)</f>
        <v/>
      </c>
      <c r="L284" s="19" t="str">
        <f>IF('Supplier selection'!L284="","",'Supplier selection'!L284)</f>
        <v/>
      </c>
      <c r="M284" s="19" t="str">
        <f>IF('Supplier selection'!M284="","",'Supplier selection'!M284)</f>
        <v/>
      </c>
      <c r="N284" s="19" t="str">
        <f>IF('Supplier selection'!N284="","",'Supplier selection'!N284)</f>
        <v/>
      </c>
      <c r="O284" s="19" t="str">
        <f>IF('Supplier selection'!O284="","",'Supplier selection'!O284)</f>
        <v/>
      </c>
      <c r="Q284" s="19" t="str">
        <f>HLOOKUP($Q$3,'Supplier selection'!$AW$4:'Supplier selection'!$CT$1000,$A285,FALSE)</f>
        <v/>
      </c>
      <c r="R284" s="22" t="str">
        <f t="shared" si="44"/>
        <v/>
      </c>
      <c r="S284" s="19" t="str">
        <f t="shared" si="45"/>
        <v/>
      </c>
      <c r="T284" s="22" t="str">
        <f t="shared" si="46"/>
        <v/>
      </c>
      <c r="U284" s="19" t="str">
        <f t="shared" si="47"/>
        <v/>
      </c>
      <c r="V284" s="7"/>
      <c r="Y284" s="19" t="str">
        <f>IF('Supplier selection'!AQ284="","",'Supplier selection'!AQ284)</f>
        <v/>
      </c>
      <c r="Z284" s="19" t="str">
        <f>IF('Supplier selection'!AR284="","",'Supplier selection'!AR284)</f>
        <v/>
      </c>
      <c r="AA284" s="19" t="str">
        <f t="shared" si="48"/>
        <v/>
      </c>
      <c r="AD284" s="26" t="str">
        <f>IF(AND('Supplier selection'!X284="",'Supplier selection'!AE284=""),"",IF('Supplier selection'!X284="",'Supplier selection'!AE284,'Supplier selection'!X284))</f>
        <v/>
      </c>
      <c r="AE284" s="19" t="str">
        <f t="shared" si="49"/>
        <v/>
      </c>
      <c r="AF284" s="19" t="str">
        <f t="shared" si="50"/>
        <v/>
      </c>
      <c r="AG284" s="27" t="str">
        <f>IF(AND('Supplier selection'!AB284="",'Supplier selection'!AI284=""),"",IF('Supplier selection'!AB284="",'Supplier selection'!AI284,'Supplier selection'!AB284))</f>
        <v/>
      </c>
      <c r="AH284" s="28" t="str">
        <f t="shared" si="51"/>
        <v/>
      </c>
      <c r="AI284" s="7" t="str">
        <f t="shared" si="52"/>
        <v/>
      </c>
      <c r="AJ284" s="22" t="str">
        <f t="shared" si="53"/>
        <v/>
      </c>
      <c r="AK284" s="29" t="str">
        <f t="shared" si="54"/>
        <v/>
      </c>
      <c r="AL284" s="10"/>
    </row>
    <row r="285" spans="1:38">
      <c r="A285" s="19">
        <f>IF('Supplier selection'!A285="","",'Supplier selection'!A285)</f>
        <v>281</v>
      </c>
      <c r="B285" s="19" t="str">
        <f>IF('Supplier selection'!B285="","",'Supplier selection'!B285)</f>
        <v/>
      </c>
      <c r="C285" s="19" t="str">
        <f>IF('Supplier selection'!C285="","",'Supplier selection'!C285)</f>
        <v/>
      </c>
      <c r="D285" s="19" t="str">
        <f>IF('Supplier selection'!D285="","",'Supplier selection'!D285)</f>
        <v/>
      </c>
      <c r="E285" s="19" t="str">
        <f>IF('Supplier selection'!E285="","",'Supplier selection'!E285)</f>
        <v/>
      </c>
      <c r="F285" s="19" t="str">
        <f>IF('Supplier selection'!F285="","",'Supplier selection'!F285)</f>
        <v/>
      </c>
      <c r="G285" s="19" t="str">
        <f>IF('Supplier selection'!G285="","",'Supplier selection'!G285)</f>
        <v/>
      </c>
      <c r="H285" s="19" t="str">
        <f>IF('Supplier selection'!H285="","",'Supplier selection'!H285)</f>
        <v/>
      </c>
      <c r="I285" s="19" t="str">
        <f>IF('Supplier selection'!I285="","",'Supplier selection'!I285)</f>
        <v/>
      </c>
      <c r="J285" s="19" t="str">
        <f>IF('Supplier selection'!J285="","",'Supplier selection'!J285)</f>
        <v/>
      </c>
      <c r="K285" s="19" t="str">
        <f>IF('Supplier selection'!K285="","",'Supplier selection'!K285)</f>
        <v/>
      </c>
      <c r="L285" s="19" t="str">
        <f>IF('Supplier selection'!L285="","",'Supplier selection'!L285)</f>
        <v/>
      </c>
      <c r="M285" s="19" t="str">
        <f>IF('Supplier selection'!M285="","",'Supplier selection'!M285)</f>
        <v/>
      </c>
      <c r="N285" s="19" t="str">
        <f>IF('Supplier selection'!N285="","",'Supplier selection'!N285)</f>
        <v/>
      </c>
      <c r="O285" s="19" t="str">
        <f>IF('Supplier selection'!O285="","",'Supplier selection'!O285)</f>
        <v/>
      </c>
      <c r="Q285" s="19" t="str">
        <f>HLOOKUP($Q$3,'Supplier selection'!$AW$4:'Supplier selection'!$CT$1000,$A286,FALSE)</f>
        <v/>
      </c>
      <c r="R285" s="22" t="str">
        <f t="shared" si="44"/>
        <v/>
      </c>
      <c r="S285" s="19" t="str">
        <f t="shared" si="45"/>
        <v/>
      </c>
      <c r="T285" s="22" t="str">
        <f t="shared" si="46"/>
        <v/>
      </c>
      <c r="U285" s="19" t="str">
        <f t="shared" si="47"/>
        <v/>
      </c>
      <c r="V285" s="7"/>
      <c r="Y285" s="19" t="str">
        <f>IF('Supplier selection'!AQ285="","",'Supplier selection'!AQ285)</f>
        <v/>
      </c>
      <c r="Z285" s="19" t="str">
        <f>IF('Supplier selection'!AR285="","",'Supplier selection'!AR285)</f>
        <v/>
      </c>
      <c r="AA285" s="19" t="str">
        <f t="shared" si="48"/>
        <v/>
      </c>
      <c r="AD285" s="26" t="str">
        <f>IF(AND('Supplier selection'!X285="",'Supplier selection'!AE285=""),"",IF('Supplier selection'!X285="",'Supplier selection'!AE285,'Supplier selection'!X285))</f>
        <v/>
      </c>
      <c r="AE285" s="19" t="str">
        <f t="shared" si="49"/>
        <v/>
      </c>
      <c r="AF285" s="19" t="str">
        <f t="shared" si="50"/>
        <v/>
      </c>
      <c r="AG285" s="27" t="str">
        <f>IF(AND('Supplier selection'!AB285="",'Supplier selection'!AI285=""),"",IF('Supplier selection'!AB285="",'Supplier selection'!AI285,'Supplier selection'!AB285))</f>
        <v/>
      </c>
      <c r="AH285" s="28" t="str">
        <f t="shared" si="51"/>
        <v/>
      </c>
      <c r="AI285" s="7" t="str">
        <f t="shared" si="52"/>
        <v/>
      </c>
      <c r="AJ285" s="22" t="str">
        <f t="shared" si="53"/>
        <v/>
      </c>
      <c r="AK285" s="29" t="str">
        <f t="shared" si="54"/>
        <v/>
      </c>
      <c r="AL285" s="10"/>
    </row>
    <row r="286" spans="1:38">
      <c r="A286" s="19">
        <f>IF('Supplier selection'!A286="","",'Supplier selection'!A286)</f>
        <v>282</v>
      </c>
      <c r="B286" s="19" t="str">
        <f>IF('Supplier selection'!B286="","",'Supplier selection'!B286)</f>
        <v/>
      </c>
      <c r="C286" s="19" t="str">
        <f>IF('Supplier selection'!C286="","",'Supplier selection'!C286)</f>
        <v/>
      </c>
      <c r="D286" s="19" t="str">
        <f>IF('Supplier selection'!D286="","",'Supplier selection'!D286)</f>
        <v/>
      </c>
      <c r="E286" s="19" t="str">
        <f>IF('Supplier selection'!E286="","",'Supplier selection'!E286)</f>
        <v/>
      </c>
      <c r="F286" s="19" t="str">
        <f>IF('Supplier selection'!F286="","",'Supplier selection'!F286)</f>
        <v/>
      </c>
      <c r="G286" s="19" t="str">
        <f>IF('Supplier selection'!G286="","",'Supplier selection'!G286)</f>
        <v/>
      </c>
      <c r="H286" s="19" t="str">
        <f>IF('Supplier selection'!H286="","",'Supplier selection'!H286)</f>
        <v/>
      </c>
      <c r="I286" s="19" t="str">
        <f>IF('Supplier selection'!I286="","",'Supplier selection'!I286)</f>
        <v/>
      </c>
      <c r="J286" s="19" t="str">
        <f>IF('Supplier selection'!J286="","",'Supplier selection'!J286)</f>
        <v/>
      </c>
      <c r="K286" s="19" t="str">
        <f>IF('Supplier selection'!K286="","",'Supplier selection'!K286)</f>
        <v/>
      </c>
      <c r="L286" s="19" t="str">
        <f>IF('Supplier selection'!L286="","",'Supplier selection'!L286)</f>
        <v/>
      </c>
      <c r="M286" s="19" t="str">
        <f>IF('Supplier selection'!M286="","",'Supplier selection'!M286)</f>
        <v/>
      </c>
      <c r="N286" s="19" t="str">
        <f>IF('Supplier selection'!N286="","",'Supplier selection'!N286)</f>
        <v/>
      </c>
      <c r="O286" s="19" t="str">
        <f>IF('Supplier selection'!O286="","",'Supplier selection'!O286)</f>
        <v/>
      </c>
      <c r="Q286" s="19" t="str">
        <f>HLOOKUP($Q$3,'Supplier selection'!$AW$4:'Supplier selection'!$CT$1000,$A287,FALSE)</f>
        <v/>
      </c>
      <c r="R286" s="22" t="str">
        <f t="shared" si="44"/>
        <v/>
      </c>
      <c r="S286" s="19" t="str">
        <f t="shared" si="45"/>
        <v/>
      </c>
      <c r="T286" s="22" t="str">
        <f t="shared" si="46"/>
        <v/>
      </c>
      <c r="U286" s="19" t="str">
        <f t="shared" si="47"/>
        <v/>
      </c>
      <c r="V286" s="7"/>
      <c r="Y286" s="19" t="str">
        <f>IF('Supplier selection'!AQ286="","",'Supplier selection'!AQ286)</f>
        <v/>
      </c>
      <c r="Z286" s="19" t="str">
        <f>IF('Supplier selection'!AR286="","",'Supplier selection'!AR286)</f>
        <v/>
      </c>
      <c r="AA286" s="19" t="str">
        <f t="shared" si="48"/>
        <v/>
      </c>
      <c r="AD286" s="26" t="str">
        <f>IF(AND('Supplier selection'!X286="",'Supplier selection'!AE286=""),"",IF('Supplier selection'!X286="",'Supplier selection'!AE286,'Supplier selection'!X286))</f>
        <v/>
      </c>
      <c r="AE286" s="19" t="str">
        <f t="shared" si="49"/>
        <v/>
      </c>
      <c r="AF286" s="19" t="str">
        <f t="shared" si="50"/>
        <v/>
      </c>
      <c r="AG286" s="27" t="str">
        <f>IF(AND('Supplier selection'!AB286="",'Supplier selection'!AI286=""),"",IF('Supplier selection'!AB286="",'Supplier selection'!AI286,'Supplier selection'!AB286))</f>
        <v/>
      </c>
      <c r="AH286" s="28" t="str">
        <f t="shared" si="51"/>
        <v/>
      </c>
      <c r="AI286" s="7" t="str">
        <f t="shared" si="52"/>
        <v/>
      </c>
      <c r="AJ286" s="22" t="str">
        <f t="shared" si="53"/>
        <v/>
      </c>
      <c r="AK286" s="29" t="str">
        <f t="shared" si="54"/>
        <v/>
      </c>
      <c r="AL286" s="10"/>
    </row>
    <row r="287" spans="1:38">
      <c r="A287" s="19">
        <f>IF('Supplier selection'!A287="","",'Supplier selection'!A287)</f>
        <v>283</v>
      </c>
      <c r="B287" s="19" t="str">
        <f>IF('Supplier selection'!B287="","",'Supplier selection'!B287)</f>
        <v/>
      </c>
      <c r="C287" s="19" t="str">
        <f>IF('Supplier selection'!C287="","",'Supplier selection'!C287)</f>
        <v/>
      </c>
      <c r="D287" s="19" t="str">
        <f>IF('Supplier selection'!D287="","",'Supplier selection'!D287)</f>
        <v/>
      </c>
      <c r="E287" s="19" t="str">
        <f>IF('Supplier selection'!E287="","",'Supplier selection'!E287)</f>
        <v/>
      </c>
      <c r="F287" s="19" t="str">
        <f>IF('Supplier selection'!F287="","",'Supplier selection'!F287)</f>
        <v/>
      </c>
      <c r="G287" s="19" t="str">
        <f>IF('Supplier selection'!G287="","",'Supplier selection'!G287)</f>
        <v/>
      </c>
      <c r="H287" s="19" t="str">
        <f>IF('Supplier selection'!H287="","",'Supplier selection'!H287)</f>
        <v/>
      </c>
      <c r="I287" s="19" t="str">
        <f>IF('Supplier selection'!I287="","",'Supplier selection'!I287)</f>
        <v/>
      </c>
      <c r="J287" s="19" t="str">
        <f>IF('Supplier selection'!J287="","",'Supplier selection'!J287)</f>
        <v/>
      </c>
      <c r="K287" s="19" t="str">
        <f>IF('Supplier selection'!K287="","",'Supplier selection'!K287)</f>
        <v/>
      </c>
      <c r="L287" s="19" t="str">
        <f>IF('Supplier selection'!L287="","",'Supplier selection'!L287)</f>
        <v/>
      </c>
      <c r="M287" s="19" t="str">
        <f>IF('Supplier selection'!M287="","",'Supplier selection'!M287)</f>
        <v/>
      </c>
      <c r="N287" s="19" t="str">
        <f>IF('Supplier selection'!N287="","",'Supplier selection'!N287)</f>
        <v/>
      </c>
      <c r="O287" s="19" t="str">
        <f>IF('Supplier selection'!O287="","",'Supplier selection'!O287)</f>
        <v/>
      </c>
      <c r="Q287" s="19" t="str">
        <f>HLOOKUP($Q$3,'Supplier selection'!$AW$4:'Supplier selection'!$CT$1000,$A288,FALSE)</f>
        <v/>
      </c>
      <c r="R287" s="22" t="str">
        <f t="shared" si="44"/>
        <v/>
      </c>
      <c r="S287" s="19" t="str">
        <f t="shared" si="45"/>
        <v/>
      </c>
      <c r="T287" s="22" t="str">
        <f t="shared" si="46"/>
        <v/>
      </c>
      <c r="U287" s="19" t="str">
        <f t="shared" si="47"/>
        <v/>
      </c>
      <c r="V287" s="7"/>
      <c r="Y287" s="19" t="str">
        <f>IF('Supplier selection'!AQ287="","",'Supplier selection'!AQ287)</f>
        <v/>
      </c>
      <c r="Z287" s="19" t="str">
        <f>IF('Supplier selection'!AR287="","",'Supplier selection'!AR287)</f>
        <v/>
      </c>
      <c r="AA287" s="19" t="str">
        <f t="shared" si="48"/>
        <v/>
      </c>
      <c r="AD287" s="26" t="str">
        <f>IF(AND('Supplier selection'!X287="",'Supplier selection'!AE287=""),"",IF('Supplier selection'!X287="",'Supplier selection'!AE287,'Supplier selection'!X287))</f>
        <v/>
      </c>
      <c r="AE287" s="19" t="str">
        <f t="shared" si="49"/>
        <v/>
      </c>
      <c r="AF287" s="19" t="str">
        <f t="shared" si="50"/>
        <v/>
      </c>
      <c r="AG287" s="27" t="str">
        <f>IF(AND('Supplier selection'!AB287="",'Supplier selection'!AI287=""),"",IF('Supplier selection'!AB287="",'Supplier selection'!AI287,'Supplier selection'!AB287))</f>
        <v/>
      </c>
      <c r="AH287" s="28" t="str">
        <f t="shared" si="51"/>
        <v/>
      </c>
      <c r="AI287" s="7" t="str">
        <f t="shared" si="52"/>
        <v/>
      </c>
      <c r="AJ287" s="22" t="str">
        <f t="shared" si="53"/>
        <v/>
      </c>
      <c r="AK287" s="29" t="str">
        <f t="shared" si="54"/>
        <v/>
      </c>
      <c r="AL287" s="10"/>
    </row>
    <row r="288" spans="1:38">
      <c r="A288" s="19">
        <f>IF('Supplier selection'!A288="","",'Supplier selection'!A288)</f>
        <v>284</v>
      </c>
      <c r="B288" s="19" t="str">
        <f>IF('Supplier selection'!B288="","",'Supplier selection'!B288)</f>
        <v/>
      </c>
      <c r="C288" s="19" t="str">
        <f>IF('Supplier selection'!C288="","",'Supplier selection'!C288)</f>
        <v/>
      </c>
      <c r="D288" s="19" t="str">
        <f>IF('Supplier selection'!D288="","",'Supplier selection'!D288)</f>
        <v/>
      </c>
      <c r="E288" s="19" t="str">
        <f>IF('Supplier selection'!E288="","",'Supplier selection'!E288)</f>
        <v/>
      </c>
      <c r="F288" s="19" t="str">
        <f>IF('Supplier selection'!F288="","",'Supplier selection'!F288)</f>
        <v/>
      </c>
      <c r="G288" s="19" t="str">
        <f>IF('Supplier selection'!G288="","",'Supplier selection'!G288)</f>
        <v/>
      </c>
      <c r="H288" s="19" t="str">
        <f>IF('Supplier selection'!H288="","",'Supplier selection'!H288)</f>
        <v/>
      </c>
      <c r="I288" s="19" t="str">
        <f>IF('Supplier selection'!I288="","",'Supplier selection'!I288)</f>
        <v/>
      </c>
      <c r="J288" s="19" t="str">
        <f>IF('Supplier selection'!J288="","",'Supplier selection'!J288)</f>
        <v/>
      </c>
      <c r="K288" s="19" t="str">
        <f>IF('Supplier selection'!K288="","",'Supplier selection'!K288)</f>
        <v/>
      </c>
      <c r="L288" s="19" t="str">
        <f>IF('Supplier selection'!L288="","",'Supplier selection'!L288)</f>
        <v/>
      </c>
      <c r="M288" s="19" t="str">
        <f>IF('Supplier selection'!M288="","",'Supplier selection'!M288)</f>
        <v/>
      </c>
      <c r="N288" s="19" t="str">
        <f>IF('Supplier selection'!N288="","",'Supplier selection'!N288)</f>
        <v/>
      </c>
      <c r="O288" s="19" t="str">
        <f>IF('Supplier selection'!O288="","",'Supplier selection'!O288)</f>
        <v/>
      </c>
      <c r="Q288" s="19" t="str">
        <f>HLOOKUP($Q$3,'Supplier selection'!$AW$4:'Supplier selection'!$CT$1000,$A289,FALSE)</f>
        <v/>
      </c>
      <c r="R288" s="22" t="str">
        <f t="shared" si="44"/>
        <v/>
      </c>
      <c r="S288" s="19" t="str">
        <f t="shared" si="45"/>
        <v/>
      </c>
      <c r="T288" s="22" t="str">
        <f t="shared" si="46"/>
        <v/>
      </c>
      <c r="U288" s="19" t="str">
        <f t="shared" si="47"/>
        <v/>
      </c>
      <c r="V288" s="7"/>
      <c r="Y288" s="19" t="str">
        <f>IF('Supplier selection'!AQ288="","",'Supplier selection'!AQ288)</f>
        <v/>
      </c>
      <c r="Z288" s="19" t="str">
        <f>IF('Supplier selection'!AR288="","",'Supplier selection'!AR288)</f>
        <v/>
      </c>
      <c r="AA288" s="19" t="str">
        <f t="shared" si="48"/>
        <v/>
      </c>
      <c r="AD288" s="26" t="str">
        <f>IF(AND('Supplier selection'!X288="",'Supplier selection'!AE288=""),"",IF('Supplier selection'!X288="",'Supplier selection'!AE288,'Supplier selection'!X288))</f>
        <v/>
      </c>
      <c r="AE288" s="19" t="str">
        <f t="shared" si="49"/>
        <v/>
      </c>
      <c r="AF288" s="19" t="str">
        <f t="shared" si="50"/>
        <v/>
      </c>
      <c r="AG288" s="27" t="str">
        <f>IF(AND('Supplier selection'!AB288="",'Supplier selection'!AI288=""),"",IF('Supplier selection'!AB288="",'Supplier selection'!AI288,'Supplier selection'!AB288))</f>
        <v/>
      </c>
      <c r="AH288" s="28" t="str">
        <f t="shared" si="51"/>
        <v/>
      </c>
      <c r="AI288" s="7" t="str">
        <f t="shared" si="52"/>
        <v/>
      </c>
      <c r="AJ288" s="22" t="str">
        <f t="shared" si="53"/>
        <v/>
      </c>
      <c r="AK288" s="29" t="str">
        <f t="shared" si="54"/>
        <v/>
      </c>
      <c r="AL288" s="10"/>
    </row>
    <row r="289" spans="1:38">
      <c r="A289" s="19">
        <f>IF('Supplier selection'!A289="","",'Supplier selection'!A289)</f>
        <v>285</v>
      </c>
      <c r="B289" s="19" t="str">
        <f>IF('Supplier selection'!B289="","",'Supplier selection'!B289)</f>
        <v/>
      </c>
      <c r="C289" s="19" t="str">
        <f>IF('Supplier selection'!C289="","",'Supplier selection'!C289)</f>
        <v/>
      </c>
      <c r="D289" s="19" t="str">
        <f>IF('Supplier selection'!D289="","",'Supplier selection'!D289)</f>
        <v/>
      </c>
      <c r="E289" s="19" t="str">
        <f>IF('Supplier selection'!E289="","",'Supplier selection'!E289)</f>
        <v/>
      </c>
      <c r="F289" s="19" t="str">
        <f>IF('Supplier selection'!F289="","",'Supplier selection'!F289)</f>
        <v/>
      </c>
      <c r="G289" s="19" t="str">
        <f>IF('Supplier selection'!G289="","",'Supplier selection'!G289)</f>
        <v/>
      </c>
      <c r="H289" s="19" t="str">
        <f>IF('Supplier selection'!H289="","",'Supplier selection'!H289)</f>
        <v/>
      </c>
      <c r="I289" s="19" t="str">
        <f>IF('Supplier selection'!I289="","",'Supplier selection'!I289)</f>
        <v/>
      </c>
      <c r="J289" s="19" t="str">
        <f>IF('Supplier selection'!J289="","",'Supplier selection'!J289)</f>
        <v/>
      </c>
      <c r="K289" s="19" t="str">
        <f>IF('Supplier selection'!K289="","",'Supplier selection'!K289)</f>
        <v/>
      </c>
      <c r="L289" s="19" t="str">
        <f>IF('Supplier selection'!L289="","",'Supplier selection'!L289)</f>
        <v/>
      </c>
      <c r="M289" s="19" t="str">
        <f>IF('Supplier selection'!M289="","",'Supplier selection'!M289)</f>
        <v/>
      </c>
      <c r="N289" s="19" t="str">
        <f>IF('Supplier selection'!N289="","",'Supplier selection'!N289)</f>
        <v/>
      </c>
      <c r="O289" s="19" t="str">
        <f>IF('Supplier selection'!O289="","",'Supplier selection'!O289)</f>
        <v/>
      </c>
      <c r="Q289" s="19" t="str">
        <f>HLOOKUP($Q$3,'Supplier selection'!$AW$4:'Supplier selection'!$CT$1000,$A290,FALSE)</f>
        <v/>
      </c>
      <c r="R289" s="22" t="str">
        <f t="shared" si="44"/>
        <v/>
      </c>
      <c r="S289" s="19" t="str">
        <f t="shared" si="45"/>
        <v/>
      </c>
      <c r="T289" s="22" t="str">
        <f t="shared" si="46"/>
        <v/>
      </c>
      <c r="U289" s="19" t="str">
        <f t="shared" si="47"/>
        <v/>
      </c>
      <c r="V289" s="7"/>
      <c r="Y289" s="19" t="str">
        <f>IF('Supplier selection'!AQ289="","",'Supplier selection'!AQ289)</f>
        <v/>
      </c>
      <c r="Z289" s="19" t="str">
        <f>IF('Supplier selection'!AR289="","",'Supplier selection'!AR289)</f>
        <v/>
      </c>
      <c r="AA289" s="19" t="str">
        <f t="shared" si="48"/>
        <v/>
      </c>
      <c r="AD289" s="26" t="str">
        <f>IF(AND('Supplier selection'!X289="",'Supplier selection'!AE289=""),"",IF('Supplier selection'!X289="",'Supplier selection'!AE289,'Supplier selection'!X289))</f>
        <v/>
      </c>
      <c r="AE289" s="19" t="str">
        <f t="shared" si="49"/>
        <v/>
      </c>
      <c r="AF289" s="19" t="str">
        <f t="shared" si="50"/>
        <v/>
      </c>
      <c r="AG289" s="27" t="str">
        <f>IF(AND('Supplier selection'!AB289="",'Supplier selection'!AI289=""),"",IF('Supplier selection'!AB289="",'Supplier selection'!AI289,'Supplier selection'!AB289))</f>
        <v/>
      </c>
      <c r="AH289" s="28" t="str">
        <f t="shared" si="51"/>
        <v/>
      </c>
      <c r="AI289" s="7" t="str">
        <f t="shared" si="52"/>
        <v/>
      </c>
      <c r="AJ289" s="22" t="str">
        <f t="shared" si="53"/>
        <v/>
      </c>
      <c r="AK289" s="29" t="str">
        <f t="shared" si="54"/>
        <v/>
      </c>
      <c r="AL289" s="10"/>
    </row>
    <row r="290" spans="1:38">
      <c r="A290" s="19">
        <f>IF('Supplier selection'!A290="","",'Supplier selection'!A290)</f>
        <v>286</v>
      </c>
      <c r="B290" s="19" t="str">
        <f>IF('Supplier selection'!B290="","",'Supplier selection'!B290)</f>
        <v/>
      </c>
      <c r="C290" s="19" t="str">
        <f>IF('Supplier selection'!C290="","",'Supplier selection'!C290)</f>
        <v/>
      </c>
      <c r="D290" s="19" t="str">
        <f>IF('Supplier selection'!D290="","",'Supplier selection'!D290)</f>
        <v/>
      </c>
      <c r="E290" s="19" t="str">
        <f>IF('Supplier selection'!E290="","",'Supplier selection'!E290)</f>
        <v/>
      </c>
      <c r="F290" s="19" t="str">
        <f>IF('Supplier selection'!F290="","",'Supplier selection'!F290)</f>
        <v/>
      </c>
      <c r="G290" s="19" t="str">
        <f>IF('Supplier selection'!G290="","",'Supplier selection'!G290)</f>
        <v/>
      </c>
      <c r="H290" s="19" t="str">
        <f>IF('Supplier selection'!H290="","",'Supplier selection'!H290)</f>
        <v/>
      </c>
      <c r="I290" s="19" t="str">
        <f>IF('Supplier selection'!I290="","",'Supplier selection'!I290)</f>
        <v/>
      </c>
      <c r="J290" s="19" t="str">
        <f>IF('Supplier selection'!J290="","",'Supplier selection'!J290)</f>
        <v/>
      </c>
      <c r="K290" s="19" t="str">
        <f>IF('Supplier selection'!K290="","",'Supplier selection'!K290)</f>
        <v/>
      </c>
      <c r="L290" s="19" t="str">
        <f>IF('Supplier selection'!L290="","",'Supplier selection'!L290)</f>
        <v/>
      </c>
      <c r="M290" s="19" t="str">
        <f>IF('Supplier selection'!M290="","",'Supplier selection'!M290)</f>
        <v/>
      </c>
      <c r="N290" s="19" t="str">
        <f>IF('Supplier selection'!N290="","",'Supplier selection'!N290)</f>
        <v/>
      </c>
      <c r="O290" s="19" t="str">
        <f>IF('Supplier selection'!O290="","",'Supplier selection'!O290)</f>
        <v/>
      </c>
      <c r="Q290" s="19" t="str">
        <f>HLOOKUP($Q$3,'Supplier selection'!$AW$4:'Supplier selection'!$CT$1000,$A291,FALSE)</f>
        <v/>
      </c>
      <c r="R290" s="22" t="str">
        <f t="shared" si="44"/>
        <v/>
      </c>
      <c r="S290" s="19" t="str">
        <f t="shared" si="45"/>
        <v/>
      </c>
      <c r="T290" s="22" t="str">
        <f t="shared" si="46"/>
        <v/>
      </c>
      <c r="U290" s="19" t="str">
        <f t="shared" si="47"/>
        <v/>
      </c>
      <c r="V290" s="7"/>
      <c r="Y290" s="19" t="str">
        <f>IF('Supplier selection'!AQ290="","",'Supplier selection'!AQ290)</f>
        <v/>
      </c>
      <c r="Z290" s="19" t="str">
        <f>IF('Supplier selection'!AR290="","",'Supplier selection'!AR290)</f>
        <v/>
      </c>
      <c r="AA290" s="19" t="str">
        <f t="shared" si="48"/>
        <v/>
      </c>
      <c r="AD290" s="26" t="str">
        <f>IF(AND('Supplier selection'!X290="",'Supplier selection'!AE290=""),"",IF('Supplier selection'!X290="",'Supplier selection'!AE290,'Supplier selection'!X290))</f>
        <v/>
      </c>
      <c r="AE290" s="19" t="str">
        <f t="shared" si="49"/>
        <v/>
      </c>
      <c r="AF290" s="19" t="str">
        <f t="shared" si="50"/>
        <v/>
      </c>
      <c r="AG290" s="27" t="str">
        <f>IF(AND('Supplier selection'!AB290="",'Supplier selection'!AI290=""),"",IF('Supplier selection'!AB290="",'Supplier selection'!AI290,'Supplier selection'!AB290))</f>
        <v/>
      </c>
      <c r="AH290" s="28" t="str">
        <f t="shared" si="51"/>
        <v/>
      </c>
      <c r="AI290" s="7" t="str">
        <f t="shared" si="52"/>
        <v/>
      </c>
      <c r="AJ290" s="22" t="str">
        <f t="shared" si="53"/>
        <v/>
      </c>
      <c r="AK290" s="29" t="str">
        <f t="shared" si="54"/>
        <v/>
      </c>
      <c r="AL290" s="10"/>
    </row>
    <row r="291" spans="1:38">
      <c r="A291" s="19">
        <f>IF('Supplier selection'!A291="","",'Supplier selection'!A291)</f>
        <v>287</v>
      </c>
      <c r="B291" s="19" t="str">
        <f>IF('Supplier selection'!B291="","",'Supplier selection'!B291)</f>
        <v/>
      </c>
      <c r="C291" s="19" t="str">
        <f>IF('Supplier selection'!C291="","",'Supplier selection'!C291)</f>
        <v/>
      </c>
      <c r="D291" s="19" t="str">
        <f>IF('Supplier selection'!D291="","",'Supplier selection'!D291)</f>
        <v/>
      </c>
      <c r="E291" s="19" t="str">
        <f>IF('Supplier selection'!E291="","",'Supplier selection'!E291)</f>
        <v/>
      </c>
      <c r="F291" s="19" t="str">
        <f>IF('Supplier selection'!F291="","",'Supplier selection'!F291)</f>
        <v/>
      </c>
      <c r="G291" s="19" t="str">
        <f>IF('Supplier selection'!G291="","",'Supplier selection'!G291)</f>
        <v/>
      </c>
      <c r="H291" s="19" t="str">
        <f>IF('Supplier selection'!H291="","",'Supplier selection'!H291)</f>
        <v/>
      </c>
      <c r="I291" s="19" t="str">
        <f>IF('Supplier selection'!I291="","",'Supplier selection'!I291)</f>
        <v/>
      </c>
      <c r="J291" s="19" t="str">
        <f>IF('Supplier selection'!J291="","",'Supplier selection'!J291)</f>
        <v/>
      </c>
      <c r="K291" s="19" t="str">
        <f>IF('Supplier selection'!K291="","",'Supplier selection'!K291)</f>
        <v/>
      </c>
      <c r="L291" s="19" t="str">
        <f>IF('Supplier selection'!L291="","",'Supplier selection'!L291)</f>
        <v/>
      </c>
      <c r="M291" s="19" t="str">
        <f>IF('Supplier selection'!M291="","",'Supplier selection'!M291)</f>
        <v/>
      </c>
      <c r="N291" s="19" t="str">
        <f>IF('Supplier selection'!N291="","",'Supplier selection'!N291)</f>
        <v/>
      </c>
      <c r="O291" s="19" t="str">
        <f>IF('Supplier selection'!O291="","",'Supplier selection'!O291)</f>
        <v/>
      </c>
      <c r="Q291" s="19" t="str">
        <f>HLOOKUP($Q$3,'Supplier selection'!$AW$4:'Supplier selection'!$CT$1000,$A292,FALSE)</f>
        <v/>
      </c>
      <c r="R291" s="22" t="str">
        <f t="shared" si="44"/>
        <v/>
      </c>
      <c r="S291" s="19" t="str">
        <f t="shared" si="45"/>
        <v/>
      </c>
      <c r="T291" s="22" t="str">
        <f t="shared" si="46"/>
        <v/>
      </c>
      <c r="U291" s="19" t="str">
        <f t="shared" si="47"/>
        <v/>
      </c>
      <c r="V291" s="7"/>
      <c r="Y291" s="19" t="str">
        <f>IF('Supplier selection'!AQ291="","",'Supplier selection'!AQ291)</f>
        <v/>
      </c>
      <c r="Z291" s="19" t="str">
        <f>IF('Supplier selection'!AR291="","",'Supplier selection'!AR291)</f>
        <v/>
      </c>
      <c r="AA291" s="19" t="str">
        <f t="shared" si="48"/>
        <v/>
      </c>
      <c r="AD291" s="26" t="str">
        <f>IF(AND('Supplier selection'!X291="",'Supplier selection'!AE291=""),"",IF('Supplier selection'!X291="",'Supplier selection'!AE291,'Supplier selection'!X291))</f>
        <v/>
      </c>
      <c r="AE291" s="19" t="str">
        <f t="shared" si="49"/>
        <v/>
      </c>
      <c r="AF291" s="19" t="str">
        <f t="shared" si="50"/>
        <v/>
      </c>
      <c r="AG291" s="27" t="str">
        <f>IF(AND('Supplier selection'!AB291="",'Supplier selection'!AI291=""),"",IF('Supplier selection'!AB291="",'Supplier selection'!AI291,'Supplier selection'!AB291))</f>
        <v/>
      </c>
      <c r="AH291" s="28" t="str">
        <f t="shared" si="51"/>
        <v/>
      </c>
      <c r="AI291" s="7" t="str">
        <f t="shared" si="52"/>
        <v/>
      </c>
      <c r="AJ291" s="22" t="str">
        <f t="shared" si="53"/>
        <v/>
      </c>
      <c r="AK291" s="29" t="str">
        <f t="shared" si="54"/>
        <v/>
      </c>
      <c r="AL291" s="10"/>
    </row>
    <row r="292" spans="1:38">
      <c r="A292" s="19">
        <f>IF('Supplier selection'!A292="","",'Supplier selection'!A292)</f>
        <v>288</v>
      </c>
      <c r="B292" s="19" t="str">
        <f>IF('Supplier selection'!B292="","",'Supplier selection'!B292)</f>
        <v/>
      </c>
      <c r="C292" s="19" t="str">
        <f>IF('Supplier selection'!C292="","",'Supplier selection'!C292)</f>
        <v/>
      </c>
      <c r="D292" s="19" t="str">
        <f>IF('Supplier selection'!D292="","",'Supplier selection'!D292)</f>
        <v/>
      </c>
      <c r="E292" s="19" t="str">
        <f>IF('Supplier selection'!E292="","",'Supplier selection'!E292)</f>
        <v/>
      </c>
      <c r="F292" s="19" t="str">
        <f>IF('Supplier selection'!F292="","",'Supplier selection'!F292)</f>
        <v/>
      </c>
      <c r="G292" s="19" t="str">
        <f>IF('Supplier selection'!G292="","",'Supplier selection'!G292)</f>
        <v/>
      </c>
      <c r="H292" s="19" t="str">
        <f>IF('Supplier selection'!H292="","",'Supplier selection'!H292)</f>
        <v/>
      </c>
      <c r="I292" s="19" t="str">
        <f>IF('Supplier selection'!I292="","",'Supplier selection'!I292)</f>
        <v/>
      </c>
      <c r="J292" s="19" t="str">
        <f>IF('Supplier selection'!J292="","",'Supplier selection'!J292)</f>
        <v/>
      </c>
      <c r="K292" s="19" t="str">
        <f>IF('Supplier selection'!K292="","",'Supplier selection'!K292)</f>
        <v/>
      </c>
      <c r="L292" s="19" t="str">
        <f>IF('Supplier selection'!L292="","",'Supplier selection'!L292)</f>
        <v/>
      </c>
      <c r="M292" s="19" t="str">
        <f>IF('Supplier selection'!M292="","",'Supplier selection'!M292)</f>
        <v/>
      </c>
      <c r="N292" s="19" t="str">
        <f>IF('Supplier selection'!N292="","",'Supplier selection'!N292)</f>
        <v/>
      </c>
      <c r="O292" s="19" t="str">
        <f>IF('Supplier selection'!O292="","",'Supplier selection'!O292)</f>
        <v/>
      </c>
      <c r="Q292" s="19" t="str">
        <f>HLOOKUP($Q$3,'Supplier selection'!$AW$4:'Supplier selection'!$CT$1000,$A293,FALSE)</f>
        <v/>
      </c>
      <c r="R292" s="22" t="str">
        <f t="shared" si="44"/>
        <v/>
      </c>
      <c r="S292" s="19" t="str">
        <f t="shared" si="45"/>
        <v/>
      </c>
      <c r="T292" s="22" t="str">
        <f t="shared" si="46"/>
        <v/>
      </c>
      <c r="U292" s="19" t="str">
        <f t="shared" si="47"/>
        <v/>
      </c>
      <c r="V292" s="7"/>
      <c r="Y292" s="19" t="str">
        <f>IF('Supplier selection'!AQ292="","",'Supplier selection'!AQ292)</f>
        <v/>
      </c>
      <c r="Z292" s="19" t="str">
        <f>IF('Supplier selection'!AR292="","",'Supplier selection'!AR292)</f>
        <v/>
      </c>
      <c r="AA292" s="19" t="str">
        <f t="shared" si="48"/>
        <v/>
      </c>
      <c r="AD292" s="26" t="str">
        <f>IF(AND('Supplier selection'!X292="",'Supplier selection'!AE292=""),"",IF('Supplier selection'!X292="",'Supplier selection'!AE292,'Supplier selection'!X292))</f>
        <v/>
      </c>
      <c r="AE292" s="19" t="str">
        <f t="shared" si="49"/>
        <v/>
      </c>
      <c r="AF292" s="19" t="str">
        <f t="shared" si="50"/>
        <v/>
      </c>
      <c r="AG292" s="27" t="str">
        <f>IF(AND('Supplier selection'!AB292="",'Supplier selection'!AI292=""),"",IF('Supplier selection'!AB292="",'Supplier selection'!AI292,'Supplier selection'!AB292))</f>
        <v/>
      </c>
      <c r="AH292" s="28" t="str">
        <f t="shared" si="51"/>
        <v/>
      </c>
      <c r="AI292" s="7" t="str">
        <f t="shared" si="52"/>
        <v/>
      </c>
      <c r="AJ292" s="22" t="str">
        <f t="shared" si="53"/>
        <v/>
      </c>
      <c r="AK292" s="29" t="str">
        <f t="shared" si="54"/>
        <v/>
      </c>
      <c r="AL292" s="10"/>
    </row>
    <row r="293" spans="1:38">
      <c r="A293" s="19">
        <f>IF('Supplier selection'!A293="","",'Supplier selection'!A293)</f>
        <v>289</v>
      </c>
      <c r="B293" s="19" t="str">
        <f>IF('Supplier selection'!B293="","",'Supplier selection'!B293)</f>
        <v/>
      </c>
      <c r="C293" s="19" t="str">
        <f>IF('Supplier selection'!C293="","",'Supplier selection'!C293)</f>
        <v/>
      </c>
      <c r="D293" s="19" t="str">
        <f>IF('Supplier selection'!D293="","",'Supplier selection'!D293)</f>
        <v/>
      </c>
      <c r="E293" s="19" t="str">
        <f>IF('Supplier selection'!E293="","",'Supplier selection'!E293)</f>
        <v/>
      </c>
      <c r="F293" s="19" t="str">
        <f>IF('Supplier selection'!F293="","",'Supplier selection'!F293)</f>
        <v/>
      </c>
      <c r="G293" s="19" t="str">
        <f>IF('Supplier selection'!G293="","",'Supplier selection'!G293)</f>
        <v/>
      </c>
      <c r="H293" s="19" t="str">
        <f>IF('Supplier selection'!H293="","",'Supplier selection'!H293)</f>
        <v/>
      </c>
      <c r="I293" s="19" t="str">
        <f>IF('Supplier selection'!I293="","",'Supplier selection'!I293)</f>
        <v/>
      </c>
      <c r="J293" s="19" t="str">
        <f>IF('Supplier selection'!J293="","",'Supplier selection'!J293)</f>
        <v/>
      </c>
      <c r="K293" s="19" t="str">
        <f>IF('Supplier selection'!K293="","",'Supplier selection'!K293)</f>
        <v/>
      </c>
      <c r="L293" s="19" t="str">
        <f>IF('Supplier selection'!L293="","",'Supplier selection'!L293)</f>
        <v/>
      </c>
      <c r="M293" s="19" t="str">
        <f>IF('Supplier selection'!M293="","",'Supplier selection'!M293)</f>
        <v/>
      </c>
      <c r="N293" s="19" t="str">
        <f>IF('Supplier selection'!N293="","",'Supplier selection'!N293)</f>
        <v/>
      </c>
      <c r="O293" s="19" t="str">
        <f>IF('Supplier selection'!O293="","",'Supplier selection'!O293)</f>
        <v/>
      </c>
      <c r="Q293" s="19" t="str">
        <f>HLOOKUP($Q$3,'Supplier selection'!$AW$4:'Supplier selection'!$CT$1000,$A294,FALSE)</f>
        <v/>
      </c>
      <c r="R293" s="22" t="str">
        <f t="shared" si="44"/>
        <v/>
      </c>
      <c r="S293" s="19" t="str">
        <f t="shared" si="45"/>
        <v/>
      </c>
      <c r="T293" s="22" t="str">
        <f t="shared" si="46"/>
        <v/>
      </c>
      <c r="U293" s="19" t="str">
        <f t="shared" si="47"/>
        <v/>
      </c>
      <c r="V293" s="7"/>
      <c r="Y293" s="19" t="str">
        <f>IF('Supplier selection'!AQ293="","",'Supplier selection'!AQ293)</f>
        <v/>
      </c>
      <c r="Z293" s="19" t="str">
        <f>IF('Supplier selection'!AR293="","",'Supplier selection'!AR293)</f>
        <v/>
      </c>
      <c r="AA293" s="19" t="str">
        <f t="shared" si="48"/>
        <v/>
      </c>
      <c r="AD293" s="26" t="str">
        <f>IF(AND('Supplier selection'!X293="",'Supplier selection'!AE293=""),"",IF('Supplier selection'!X293="",'Supplier selection'!AE293,'Supplier selection'!X293))</f>
        <v/>
      </c>
      <c r="AE293" s="19" t="str">
        <f t="shared" si="49"/>
        <v/>
      </c>
      <c r="AF293" s="19" t="str">
        <f t="shared" si="50"/>
        <v/>
      </c>
      <c r="AG293" s="27" t="str">
        <f>IF(AND('Supplier selection'!AB293="",'Supplier selection'!AI293=""),"",IF('Supplier selection'!AB293="",'Supplier selection'!AI293,'Supplier selection'!AB293))</f>
        <v/>
      </c>
      <c r="AH293" s="28" t="str">
        <f t="shared" si="51"/>
        <v/>
      </c>
      <c r="AI293" s="7" t="str">
        <f t="shared" si="52"/>
        <v/>
      </c>
      <c r="AJ293" s="22" t="str">
        <f t="shared" si="53"/>
        <v/>
      </c>
      <c r="AK293" s="29" t="str">
        <f t="shared" si="54"/>
        <v/>
      </c>
      <c r="AL293" s="10"/>
    </row>
    <row r="294" spans="1:38">
      <c r="A294" s="19">
        <f>IF('Supplier selection'!A294="","",'Supplier selection'!A294)</f>
        <v>290</v>
      </c>
      <c r="B294" s="19" t="str">
        <f>IF('Supplier selection'!B294="","",'Supplier selection'!B294)</f>
        <v/>
      </c>
      <c r="C294" s="19" t="str">
        <f>IF('Supplier selection'!C294="","",'Supplier selection'!C294)</f>
        <v/>
      </c>
      <c r="D294" s="19" t="str">
        <f>IF('Supplier selection'!D294="","",'Supplier selection'!D294)</f>
        <v/>
      </c>
      <c r="E294" s="19" t="str">
        <f>IF('Supplier selection'!E294="","",'Supplier selection'!E294)</f>
        <v/>
      </c>
      <c r="F294" s="19" t="str">
        <f>IF('Supplier selection'!F294="","",'Supplier selection'!F294)</f>
        <v/>
      </c>
      <c r="G294" s="19" t="str">
        <f>IF('Supplier selection'!G294="","",'Supplier selection'!G294)</f>
        <v/>
      </c>
      <c r="H294" s="19" t="str">
        <f>IF('Supplier selection'!H294="","",'Supplier selection'!H294)</f>
        <v/>
      </c>
      <c r="I294" s="19" t="str">
        <f>IF('Supplier selection'!I294="","",'Supplier selection'!I294)</f>
        <v/>
      </c>
      <c r="J294" s="19" t="str">
        <f>IF('Supplier selection'!J294="","",'Supplier selection'!J294)</f>
        <v/>
      </c>
      <c r="K294" s="19" t="str">
        <f>IF('Supplier selection'!K294="","",'Supplier selection'!K294)</f>
        <v/>
      </c>
      <c r="L294" s="19" t="str">
        <f>IF('Supplier selection'!L294="","",'Supplier selection'!L294)</f>
        <v/>
      </c>
      <c r="M294" s="19" t="str">
        <f>IF('Supplier selection'!M294="","",'Supplier selection'!M294)</f>
        <v/>
      </c>
      <c r="N294" s="19" t="str">
        <f>IF('Supplier selection'!N294="","",'Supplier selection'!N294)</f>
        <v/>
      </c>
      <c r="O294" s="19" t="str">
        <f>IF('Supplier selection'!O294="","",'Supplier selection'!O294)</f>
        <v/>
      </c>
      <c r="Q294" s="19" t="str">
        <f>HLOOKUP($Q$3,'Supplier selection'!$AW$4:'Supplier selection'!$CT$1000,$A295,FALSE)</f>
        <v/>
      </c>
      <c r="R294" s="22" t="str">
        <f t="shared" si="44"/>
        <v/>
      </c>
      <c r="S294" s="19" t="str">
        <f t="shared" si="45"/>
        <v/>
      </c>
      <c r="T294" s="22" t="str">
        <f t="shared" si="46"/>
        <v/>
      </c>
      <c r="U294" s="19" t="str">
        <f t="shared" si="47"/>
        <v/>
      </c>
      <c r="V294" s="7"/>
      <c r="Y294" s="19" t="str">
        <f>IF('Supplier selection'!AQ294="","",'Supplier selection'!AQ294)</f>
        <v/>
      </c>
      <c r="Z294" s="19" t="str">
        <f>IF('Supplier selection'!AR294="","",'Supplier selection'!AR294)</f>
        <v/>
      </c>
      <c r="AA294" s="19" t="str">
        <f t="shared" si="48"/>
        <v/>
      </c>
      <c r="AD294" s="26" t="str">
        <f>IF(AND('Supplier selection'!X294="",'Supplier selection'!AE294=""),"",IF('Supplier selection'!X294="",'Supplier selection'!AE294,'Supplier selection'!X294))</f>
        <v/>
      </c>
      <c r="AE294" s="19" t="str">
        <f t="shared" si="49"/>
        <v/>
      </c>
      <c r="AF294" s="19" t="str">
        <f t="shared" si="50"/>
        <v/>
      </c>
      <c r="AG294" s="27" t="str">
        <f>IF(AND('Supplier selection'!AB294="",'Supplier selection'!AI294=""),"",IF('Supplier selection'!AB294="",'Supplier selection'!AI294,'Supplier selection'!AB294))</f>
        <v/>
      </c>
      <c r="AH294" s="28" t="str">
        <f t="shared" si="51"/>
        <v/>
      </c>
      <c r="AI294" s="7" t="str">
        <f t="shared" si="52"/>
        <v/>
      </c>
      <c r="AJ294" s="22" t="str">
        <f t="shared" si="53"/>
        <v/>
      </c>
      <c r="AK294" s="29" t="str">
        <f t="shared" si="54"/>
        <v/>
      </c>
      <c r="AL294" s="10"/>
    </row>
    <row r="295" spans="1:38">
      <c r="A295" s="19">
        <f>IF('Supplier selection'!A295="","",'Supplier selection'!A295)</f>
        <v>291</v>
      </c>
      <c r="B295" s="19" t="str">
        <f>IF('Supplier selection'!B295="","",'Supplier selection'!B295)</f>
        <v/>
      </c>
      <c r="C295" s="19" t="str">
        <f>IF('Supplier selection'!C295="","",'Supplier selection'!C295)</f>
        <v/>
      </c>
      <c r="D295" s="19" t="str">
        <f>IF('Supplier selection'!D295="","",'Supplier selection'!D295)</f>
        <v/>
      </c>
      <c r="E295" s="19" t="str">
        <f>IF('Supplier selection'!E295="","",'Supplier selection'!E295)</f>
        <v/>
      </c>
      <c r="F295" s="19" t="str">
        <f>IF('Supplier selection'!F295="","",'Supplier selection'!F295)</f>
        <v/>
      </c>
      <c r="G295" s="19" t="str">
        <f>IF('Supplier selection'!G295="","",'Supplier selection'!G295)</f>
        <v/>
      </c>
      <c r="H295" s="19" t="str">
        <f>IF('Supplier selection'!H295="","",'Supplier selection'!H295)</f>
        <v/>
      </c>
      <c r="I295" s="19" t="str">
        <f>IF('Supplier selection'!I295="","",'Supplier selection'!I295)</f>
        <v/>
      </c>
      <c r="J295" s="19" t="str">
        <f>IF('Supplier selection'!J295="","",'Supplier selection'!J295)</f>
        <v/>
      </c>
      <c r="K295" s="19" t="str">
        <f>IF('Supplier selection'!K295="","",'Supplier selection'!K295)</f>
        <v/>
      </c>
      <c r="L295" s="19" t="str">
        <f>IF('Supplier selection'!L295="","",'Supplier selection'!L295)</f>
        <v/>
      </c>
      <c r="M295" s="19" t="str">
        <f>IF('Supplier selection'!M295="","",'Supplier selection'!M295)</f>
        <v/>
      </c>
      <c r="N295" s="19" t="str">
        <f>IF('Supplier selection'!N295="","",'Supplier selection'!N295)</f>
        <v/>
      </c>
      <c r="O295" s="19" t="str">
        <f>IF('Supplier selection'!O295="","",'Supplier selection'!O295)</f>
        <v/>
      </c>
      <c r="Q295" s="19" t="str">
        <f>HLOOKUP($Q$3,'Supplier selection'!$AW$4:'Supplier selection'!$CT$1000,$A296,FALSE)</f>
        <v/>
      </c>
      <c r="R295" s="22" t="str">
        <f t="shared" si="44"/>
        <v/>
      </c>
      <c r="S295" s="19" t="str">
        <f t="shared" si="45"/>
        <v/>
      </c>
      <c r="T295" s="22" t="str">
        <f t="shared" si="46"/>
        <v/>
      </c>
      <c r="U295" s="19" t="str">
        <f t="shared" si="47"/>
        <v/>
      </c>
      <c r="V295" s="7"/>
      <c r="Y295" s="19" t="str">
        <f>IF('Supplier selection'!AQ295="","",'Supplier selection'!AQ295)</f>
        <v/>
      </c>
      <c r="Z295" s="19" t="str">
        <f>IF('Supplier selection'!AR295="","",'Supplier selection'!AR295)</f>
        <v/>
      </c>
      <c r="AA295" s="19" t="str">
        <f t="shared" si="48"/>
        <v/>
      </c>
      <c r="AD295" s="26" t="str">
        <f>IF(AND('Supplier selection'!X295="",'Supplier selection'!AE295=""),"",IF('Supplier selection'!X295="",'Supplier selection'!AE295,'Supplier selection'!X295))</f>
        <v/>
      </c>
      <c r="AE295" s="19" t="str">
        <f t="shared" si="49"/>
        <v/>
      </c>
      <c r="AF295" s="19" t="str">
        <f t="shared" si="50"/>
        <v/>
      </c>
      <c r="AG295" s="27" t="str">
        <f>IF(AND('Supplier selection'!AB295="",'Supplier selection'!AI295=""),"",IF('Supplier selection'!AB295="",'Supplier selection'!AI295,'Supplier selection'!AB295))</f>
        <v/>
      </c>
      <c r="AH295" s="28" t="str">
        <f t="shared" si="51"/>
        <v/>
      </c>
      <c r="AI295" s="7" t="str">
        <f t="shared" si="52"/>
        <v/>
      </c>
      <c r="AJ295" s="22" t="str">
        <f t="shared" si="53"/>
        <v/>
      </c>
      <c r="AK295" s="29" t="str">
        <f t="shared" si="54"/>
        <v/>
      </c>
      <c r="AL295" s="10"/>
    </row>
    <row r="296" spans="1:38">
      <c r="A296" s="19">
        <f>IF('Supplier selection'!A296="","",'Supplier selection'!A296)</f>
        <v>292</v>
      </c>
      <c r="B296" s="19" t="str">
        <f>IF('Supplier selection'!B296="","",'Supplier selection'!B296)</f>
        <v/>
      </c>
      <c r="C296" s="19" t="str">
        <f>IF('Supplier selection'!C296="","",'Supplier selection'!C296)</f>
        <v/>
      </c>
      <c r="D296" s="19" t="str">
        <f>IF('Supplier selection'!D296="","",'Supplier selection'!D296)</f>
        <v/>
      </c>
      <c r="E296" s="19" t="str">
        <f>IF('Supplier selection'!E296="","",'Supplier selection'!E296)</f>
        <v/>
      </c>
      <c r="F296" s="19" t="str">
        <f>IF('Supplier selection'!F296="","",'Supplier selection'!F296)</f>
        <v/>
      </c>
      <c r="G296" s="19" t="str">
        <f>IF('Supplier selection'!G296="","",'Supplier selection'!G296)</f>
        <v/>
      </c>
      <c r="H296" s="19" t="str">
        <f>IF('Supplier selection'!H296="","",'Supplier selection'!H296)</f>
        <v/>
      </c>
      <c r="I296" s="19" t="str">
        <f>IF('Supplier selection'!I296="","",'Supplier selection'!I296)</f>
        <v/>
      </c>
      <c r="J296" s="19" t="str">
        <f>IF('Supplier selection'!J296="","",'Supplier selection'!J296)</f>
        <v/>
      </c>
      <c r="K296" s="19" t="str">
        <f>IF('Supplier selection'!K296="","",'Supplier selection'!K296)</f>
        <v/>
      </c>
      <c r="L296" s="19" t="str">
        <f>IF('Supplier selection'!L296="","",'Supplier selection'!L296)</f>
        <v/>
      </c>
      <c r="M296" s="19" t="str">
        <f>IF('Supplier selection'!M296="","",'Supplier selection'!M296)</f>
        <v/>
      </c>
      <c r="N296" s="19" t="str">
        <f>IF('Supplier selection'!N296="","",'Supplier selection'!N296)</f>
        <v/>
      </c>
      <c r="O296" s="19" t="str">
        <f>IF('Supplier selection'!O296="","",'Supplier selection'!O296)</f>
        <v/>
      </c>
      <c r="Q296" s="19" t="str">
        <f>HLOOKUP($Q$3,'Supplier selection'!$AW$4:'Supplier selection'!$CT$1000,$A297,FALSE)</f>
        <v/>
      </c>
      <c r="R296" s="22" t="str">
        <f t="shared" si="44"/>
        <v/>
      </c>
      <c r="S296" s="19" t="str">
        <f t="shared" si="45"/>
        <v/>
      </c>
      <c r="T296" s="22" t="str">
        <f t="shared" si="46"/>
        <v/>
      </c>
      <c r="U296" s="19" t="str">
        <f t="shared" si="47"/>
        <v/>
      </c>
      <c r="V296" s="7"/>
      <c r="Y296" s="19" t="str">
        <f>IF('Supplier selection'!AQ296="","",'Supplier selection'!AQ296)</f>
        <v/>
      </c>
      <c r="Z296" s="19" t="str">
        <f>IF('Supplier selection'!AR296="","",'Supplier selection'!AR296)</f>
        <v/>
      </c>
      <c r="AA296" s="19" t="str">
        <f t="shared" si="48"/>
        <v/>
      </c>
      <c r="AD296" s="26" t="str">
        <f>IF(AND('Supplier selection'!X296="",'Supplier selection'!AE296=""),"",IF('Supplier selection'!X296="",'Supplier selection'!AE296,'Supplier selection'!X296))</f>
        <v/>
      </c>
      <c r="AE296" s="19" t="str">
        <f t="shared" si="49"/>
        <v/>
      </c>
      <c r="AF296" s="19" t="str">
        <f t="shared" si="50"/>
        <v/>
      </c>
      <c r="AG296" s="27" t="str">
        <f>IF(AND('Supplier selection'!AB296="",'Supplier selection'!AI296=""),"",IF('Supplier selection'!AB296="",'Supplier selection'!AI296,'Supplier selection'!AB296))</f>
        <v/>
      </c>
      <c r="AH296" s="28" t="str">
        <f t="shared" si="51"/>
        <v/>
      </c>
      <c r="AI296" s="7" t="str">
        <f t="shared" si="52"/>
        <v/>
      </c>
      <c r="AJ296" s="22" t="str">
        <f t="shared" si="53"/>
        <v/>
      </c>
      <c r="AK296" s="29" t="str">
        <f t="shared" si="54"/>
        <v/>
      </c>
      <c r="AL296" s="10"/>
    </row>
    <row r="297" spans="1:38">
      <c r="A297" s="19">
        <f>IF('Supplier selection'!A297="","",'Supplier selection'!A297)</f>
        <v>293</v>
      </c>
      <c r="B297" s="19" t="str">
        <f>IF('Supplier selection'!B297="","",'Supplier selection'!B297)</f>
        <v/>
      </c>
      <c r="C297" s="19" t="str">
        <f>IF('Supplier selection'!C297="","",'Supplier selection'!C297)</f>
        <v/>
      </c>
      <c r="D297" s="19" t="str">
        <f>IF('Supplier selection'!D297="","",'Supplier selection'!D297)</f>
        <v/>
      </c>
      <c r="E297" s="19" t="str">
        <f>IF('Supplier selection'!E297="","",'Supplier selection'!E297)</f>
        <v/>
      </c>
      <c r="F297" s="19" t="str">
        <f>IF('Supplier selection'!F297="","",'Supplier selection'!F297)</f>
        <v/>
      </c>
      <c r="G297" s="19" t="str">
        <f>IF('Supplier selection'!G297="","",'Supplier selection'!G297)</f>
        <v/>
      </c>
      <c r="H297" s="19" t="str">
        <f>IF('Supplier selection'!H297="","",'Supplier selection'!H297)</f>
        <v/>
      </c>
      <c r="I297" s="19" t="str">
        <f>IF('Supplier selection'!I297="","",'Supplier selection'!I297)</f>
        <v/>
      </c>
      <c r="J297" s="19" t="str">
        <f>IF('Supplier selection'!J297="","",'Supplier selection'!J297)</f>
        <v/>
      </c>
      <c r="K297" s="19" t="str">
        <f>IF('Supplier selection'!K297="","",'Supplier selection'!K297)</f>
        <v/>
      </c>
      <c r="L297" s="19" t="str">
        <f>IF('Supplier selection'!L297="","",'Supplier selection'!L297)</f>
        <v/>
      </c>
      <c r="M297" s="19" t="str">
        <f>IF('Supplier selection'!M297="","",'Supplier selection'!M297)</f>
        <v/>
      </c>
      <c r="N297" s="19" t="str">
        <f>IF('Supplier selection'!N297="","",'Supplier selection'!N297)</f>
        <v/>
      </c>
      <c r="O297" s="19" t="str">
        <f>IF('Supplier selection'!O297="","",'Supplier selection'!O297)</f>
        <v/>
      </c>
      <c r="Q297" s="19" t="str">
        <f>HLOOKUP($Q$3,'Supplier selection'!$AW$4:'Supplier selection'!$CT$1000,$A298,FALSE)</f>
        <v/>
      </c>
      <c r="R297" s="22" t="str">
        <f t="shared" si="44"/>
        <v/>
      </c>
      <c r="S297" s="19" t="str">
        <f t="shared" si="45"/>
        <v/>
      </c>
      <c r="T297" s="22" t="str">
        <f t="shared" si="46"/>
        <v/>
      </c>
      <c r="U297" s="19" t="str">
        <f t="shared" si="47"/>
        <v/>
      </c>
      <c r="V297" s="7"/>
      <c r="Y297" s="19" t="str">
        <f>IF('Supplier selection'!AQ297="","",'Supplier selection'!AQ297)</f>
        <v/>
      </c>
      <c r="Z297" s="19" t="str">
        <f>IF('Supplier selection'!AR297="","",'Supplier selection'!AR297)</f>
        <v/>
      </c>
      <c r="AA297" s="19" t="str">
        <f t="shared" si="48"/>
        <v/>
      </c>
      <c r="AD297" s="26" t="str">
        <f>IF(AND('Supplier selection'!X297="",'Supplier selection'!AE297=""),"",IF('Supplier selection'!X297="",'Supplier selection'!AE297,'Supplier selection'!X297))</f>
        <v/>
      </c>
      <c r="AE297" s="19" t="str">
        <f t="shared" si="49"/>
        <v/>
      </c>
      <c r="AF297" s="19" t="str">
        <f t="shared" si="50"/>
        <v/>
      </c>
      <c r="AG297" s="27" t="str">
        <f>IF(AND('Supplier selection'!AB297="",'Supplier selection'!AI297=""),"",IF('Supplier selection'!AB297="",'Supplier selection'!AI297,'Supplier selection'!AB297))</f>
        <v/>
      </c>
      <c r="AH297" s="28" t="str">
        <f t="shared" si="51"/>
        <v/>
      </c>
      <c r="AI297" s="7" t="str">
        <f t="shared" si="52"/>
        <v/>
      </c>
      <c r="AJ297" s="22" t="str">
        <f t="shared" si="53"/>
        <v/>
      </c>
      <c r="AK297" s="29" t="str">
        <f t="shared" si="54"/>
        <v/>
      </c>
      <c r="AL297" s="10"/>
    </row>
    <row r="298" spans="1:38">
      <c r="A298" s="19">
        <f>IF('Supplier selection'!A298="","",'Supplier selection'!A298)</f>
        <v>294</v>
      </c>
      <c r="B298" s="19" t="str">
        <f>IF('Supplier selection'!B298="","",'Supplier selection'!B298)</f>
        <v/>
      </c>
      <c r="C298" s="19" t="str">
        <f>IF('Supplier selection'!C298="","",'Supplier selection'!C298)</f>
        <v/>
      </c>
      <c r="D298" s="19" t="str">
        <f>IF('Supplier selection'!D298="","",'Supplier selection'!D298)</f>
        <v/>
      </c>
      <c r="E298" s="19" t="str">
        <f>IF('Supplier selection'!E298="","",'Supplier selection'!E298)</f>
        <v/>
      </c>
      <c r="F298" s="19" t="str">
        <f>IF('Supplier selection'!F298="","",'Supplier selection'!F298)</f>
        <v/>
      </c>
      <c r="G298" s="19" t="str">
        <f>IF('Supplier selection'!G298="","",'Supplier selection'!G298)</f>
        <v/>
      </c>
      <c r="H298" s="19" t="str">
        <f>IF('Supplier selection'!H298="","",'Supplier selection'!H298)</f>
        <v/>
      </c>
      <c r="I298" s="19" t="str">
        <f>IF('Supplier selection'!I298="","",'Supplier selection'!I298)</f>
        <v/>
      </c>
      <c r="J298" s="19" t="str">
        <f>IF('Supplier selection'!J298="","",'Supplier selection'!J298)</f>
        <v/>
      </c>
      <c r="K298" s="19" t="str">
        <f>IF('Supplier selection'!K298="","",'Supplier selection'!K298)</f>
        <v/>
      </c>
      <c r="L298" s="19" t="str">
        <f>IF('Supplier selection'!L298="","",'Supplier selection'!L298)</f>
        <v/>
      </c>
      <c r="M298" s="19" t="str">
        <f>IF('Supplier selection'!M298="","",'Supplier selection'!M298)</f>
        <v/>
      </c>
      <c r="N298" s="19" t="str">
        <f>IF('Supplier selection'!N298="","",'Supplier selection'!N298)</f>
        <v/>
      </c>
      <c r="O298" s="19" t="str">
        <f>IF('Supplier selection'!O298="","",'Supplier selection'!O298)</f>
        <v/>
      </c>
      <c r="Q298" s="19" t="str">
        <f>HLOOKUP($Q$3,'Supplier selection'!$AW$4:'Supplier selection'!$CT$1000,$A299,FALSE)</f>
        <v/>
      </c>
      <c r="R298" s="22" t="str">
        <f t="shared" si="44"/>
        <v/>
      </c>
      <c r="S298" s="19" t="str">
        <f t="shared" si="45"/>
        <v/>
      </c>
      <c r="T298" s="22" t="str">
        <f t="shared" si="46"/>
        <v/>
      </c>
      <c r="U298" s="19" t="str">
        <f t="shared" si="47"/>
        <v/>
      </c>
      <c r="V298" s="7"/>
      <c r="Y298" s="19" t="str">
        <f>IF('Supplier selection'!AQ298="","",'Supplier selection'!AQ298)</f>
        <v/>
      </c>
      <c r="Z298" s="19" t="str">
        <f>IF('Supplier selection'!AR298="","",'Supplier selection'!AR298)</f>
        <v/>
      </c>
      <c r="AA298" s="19" t="str">
        <f t="shared" si="48"/>
        <v/>
      </c>
      <c r="AD298" s="26" t="str">
        <f>IF(AND('Supplier selection'!X298="",'Supplier selection'!AE298=""),"",IF('Supplier selection'!X298="",'Supplier selection'!AE298,'Supplier selection'!X298))</f>
        <v/>
      </c>
      <c r="AE298" s="19" t="str">
        <f t="shared" si="49"/>
        <v/>
      </c>
      <c r="AF298" s="19" t="str">
        <f t="shared" si="50"/>
        <v/>
      </c>
      <c r="AG298" s="27" t="str">
        <f>IF(AND('Supplier selection'!AB298="",'Supplier selection'!AI298=""),"",IF('Supplier selection'!AB298="",'Supplier selection'!AI298,'Supplier selection'!AB298))</f>
        <v/>
      </c>
      <c r="AH298" s="28" t="str">
        <f t="shared" si="51"/>
        <v/>
      </c>
      <c r="AI298" s="7" t="str">
        <f t="shared" si="52"/>
        <v/>
      </c>
      <c r="AJ298" s="22" t="str">
        <f t="shared" si="53"/>
        <v/>
      </c>
      <c r="AK298" s="29" t="str">
        <f t="shared" si="54"/>
        <v/>
      </c>
      <c r="AL298" s="10"/>
    </row>
    <row r="299" spans="1:38">
      <c r="A299" s="19">
        <f>IF('Supplier selection'!A299="","",'Supplier selection'!A299)</f>
        <v>295</v>
      </c>
      <c r="B299" s="19" t="str">
        <f>IF('Supplier selection'!B299="","",'Supplier selection'!B299)</f>
        <v/>
      </c>
      <c r="C299" s="19" t="str">
        <f>IF('Supplier selection'!C299="","",'Supplier selection'!C299)</f>
        <v/>
      </c>
      <c r="D299" s="19" t="str">
        <f>IF('Supplier selection'!D299="","",'Supplier selection'!D299)</f>
        <v/>
      </c>
      <c r="E299" s="19" t="str">
        <f>IF('Supplier selection'!E299="","",'Supplier selection'!E299)</f>
        <v/>
      </c>
      <c r="F299" s="19" t="str">
        <f>IF('Supplier selection'!F299="","",'Supplier selection'!F299)</f>
        <v/>
      </c>
      <c r="G299" s="19" t="str">
        <f>IF('Supplier selection'!G299="","",'Supplier selection'!G299)</f>
        <v/>
      </c>
      <c r="H299" s="19" t="str">
        <f>IF('Supplier selection'!H299="","",'Supplier selection'!H299)</f>
        <v/>
      </c>
      <c r="I299" s="19" t="str">
        <f>IF('Supplier selection'!I299="","",'Supplier selection'!I299)</f>
        <v/>
      </c>
      <c r="J299" s="19" t="str">
        <f>IF('Supplier selection'!J299="","",'Supplier selection'!J299)</f>
        <v/>
      </c>
      <c r="K299" s="19" t="str">
        <f>IF('Supplier selection'!K299="","",'Supplier selection'!K299)</f>
        <v/>
      </c>
      <c r="L299" s="19" t="str">
        <f>IF('Supplier selection'!L299="","",'Supplier selection'!L299)</f>
        <v/>
      </c>
      <c r="M299" s="19" t="str">
        <f>IF('Supplier selection'!M299="","",'Supplier selection'!M299)</f>
        <v/>
      </c>
      <c r="N299" s="19" t="str">
        <f>IF('Supplier selection'!N299="","",'Supplier selection'!N299)</f>
        <v/>
      </c>
      <c r="O299" s="19" t="str">
        <f>IF('Supplier selection'!O299="","",'Supplier selection'!O299)</f>
        <v/>
      </c>
      <c r="Q299" s="19" t="str">
        <f>HLOOKUP($Q$3,'Supplier selection'!$AW$4:'Supplier selection'!$CT$1000,$A300,FALSE)</f>
        <v/>
      </c>
      <c r="R299" s="22" t="str">
        <f t="shared" si="44"/>
        <v/>
      </c>
      <c r="S299" s="19" t="str">
        <f t="shared" si="45"/>
        <v/>
      </c>
      <c r="T299" s="22" t="str">
        <f t="shared" si="46"/>
        <v/>
      </c>
      <c r="U299" s="19" t="str">
        <f t="shared" si="47"/>
        <v/>
      </c>
      <c r="V299" s="7"/>
      <c r="Y299" s="19" t="str">
        <f>IF('Supplier selection'!AQ299="","",'Supplier selection'!AQ299)</f>
        <v/>
      </c>
      <c r="Z299" s="19" t="str">
        <f>IF('Supplier selection'!AR299="","",'Supplier selection'!AR299)</f>
        <v/>
      </c>
      <c r="AA299" s="19" t="str">
        <f t="shared" si="48"/>
        <v/>
      </c>
      <c r="AD299" s="26" t="str">
        <f>IF(AND('Supplier selection'!X299="",'Supplier selection'!AE299=""),"",IF('Supplier selection'!X299="",'Supplier selection'!AE299,'Supplier selection'!X299))</f>
        <v/>
      </c>
      <c r="AE299" s="19" t="str">
        <f t="shared" si="49"/>
        <v/>
      </c>
      <c r="AF299" s="19" t="str">
        <f t="shared" si="50"/>
        <v/>
      </c>
      <c r="AG299" s="27" t="str">
        <f>IF(AND('Supplier selection'!AB299="",'Supplier selection'!AI299=""),"",IF('Supplier selection'!AB299="",'Supplier selection'!AI299,'Supplier selection'!AB299))</f>
        <v/>
      </c>
      <c r="AH299" s="28" t="str">
        <f t="shared" si="51"/>
        <v/>
      </c>
      <c r="AI299" s="7" t="str">
        <f t="shared" si="52"/>
        <v/>
      </c>
      <c r="AJ299" s="22" t="str">
        <f t="shared" si="53"/>
        <v/>
      </c>
      <c r="AK299" s="29" t="str">
        <f t="shared" si="54"/>
        <v/>
      </c>
      <c r="AL299" s="10"/>
    </row>
    <row r="300" spans="1:38">
      <c r="A300" s="19">
        <f>IF('Supplier selection'!A300="","",'Supplier selection'!A300)</f>
        <v>296</v>
      </c>
      <c r="B300" s="19" t="str">
        <f>IF('Supplier selection'!B300="","",'Supplier selection'!B300)</f>
        <v/>
      </c>
      <c r="C300" s="19" t="str">
        <f>IF('Supplier selection'!C300="","",'Supplier selection'!C300)</f>
        <v/>
      </c>
      <c r="D300" s="19" t="str">
        <f>IF('Supplier selection'!D300="","",'Supplier selection'!D300)</f>
        <v/>
      </c>
      <c r="E300" s="19" t="str">
        <f>IF('Supplier selection'!E300="","",'Supplier selection'!E300)</f>
        <v/>
      </c>
      <c r="F300" s="19" t="str">
        <f>IF('Supplier selection'!F300="","",'Supplier selection'!F300)</f>
        <v/>
      </c>
      <c r="G300" s="19" t="str">
        <f>IF('Supplier selection'!G300="","",'Supplier selection'!G300)</f>
        <v/>
      </c>
      <c r="H300" s="19" t="str">
        <f>IF('Supplier selection'!H300="","",'Supplier selection'!H300)</f>
        <v/>
      </c>
      <c r="I300" s="19" t="str">
        <f>IF('Supplier selection'!I300="","",'Supplier selection'!I300)</f>
        <v/>
      </c>
      <c r="J300" s="19" t="str">
        <f>IF('Supplier selection'!J300="","",'Supplier selection'!J300)</f>
        <v/>
      </c>
      <c r="K300" s="19" t="str">
        <f>IF('Supplier selection'!K300="","",'Supplier selection'!K300)</f>
        <v/>
      </c>
      <c r="L300" s="19" t="str">
        <f>IF('Supplier selection'!L300="","",'Supplier selection'!L300)</f>
        <v/>
      </c>
      <c r="M300" s="19" t="str">
        <f>IF('Supplier selection'!M300="","",'Supplier selection'!M300)</f>
        <v/>
      </c>
      <c r="N300" s="19" t="str">
        <f>IF('Supplier selection'!N300="","",'Supplier selection'!N300)</f>
        <v/>
      </c>
      <c r="O300" s="19" t="str">
        <f>IF('Supplier selection'!O300="","",'Supplier selection'!O300)</f>
        <v/>
      </c>
      <c r="Q300" s="19" t="str">
        <f>HLOOKUP($Q$3,'Supplier selection'!$AW$4:'Supplier selection'!$CT$1000,$A301,FALSE)</f>
        <v/>
      </c>
      <c r="R300" s="22" t="str">
        <f t="shared" si="44"/>
        <v/>
      </c>
      <c r="S300" s="19" t="str">
        <f t="shared" si="45"/>
        <v/>
      </c>
      <c r="T300" s="22" t="str">
        <f t="shared" si="46"/>
        <v/>
      </c>
      <c r="U300" s="19" t="str">
        <f t="shared" si="47"/>
        <v/>
      </c>
      <c r="V300" s="7"/>
      <c r="Y300" s="19" t="str">
        <f>IF('Supplier selection'!AQ300="","",'Supplier selection'!AQ300)</f>
        <v/>
      </c>
      <c r="Z300" s="19" t="str">
        <f>IF('Supplier selection'!AR300="","",'Supplier selection'!AR300)</f>
        <v/>
      </c>
      <c r="AA300" s="19" t="str">
        <f t="shared" si="48"/>
        <v/>
      </c>
      <c r="AD300" s="26" t="str">
        <f>IF(AND('Supplier selection'!X300="",'Supplier selection'!AE300=""),"",IF('Supplier selection'!X300="",'Supplier selection'!AE300,'Supplier selection'!X300))</f>
        <v/>
      </c>
      <c r="AE300" s="19" t="str">
        <f t="shared" si="49"/>
        <v/>
      </c>
      <c r="AF300" s="19" t="str">
        <f t="shared" si="50"/>
        <v/>
      </c>
      <c r="AG300" s="27" t="str">
        <f>IF(AND('Supplier selection'!AB300="",'Supplier selection'!AI300=""),"",IF('Supplier selection'!AB300="",'Supplier selection'!AI300,'Supplier selection'!AB300))</f>
        <v/>
      </c>
      <c r="AH300" s="28" t="str">
        <f t="shared" si="51"/>
        <v/>
      </c>
      <c r="AI300" s="7" t="str">
        <f t="shared" si="52"/>
        <v/>
      </c>
      <c r="AJ300" s="22" t="str">
        <f t="shared" si="53"/>
        <v/>
      </c>
      <c r="AK300" s="29" t="str">
        <f t="shared" si="54"/>
        <v/>
      </c>
      <c r="AL300" s="10"/>
    </row>
    <row r="301" spans="1:38">
      <c r="A301" s="19">
        <f>IF('Supplier selection'!A301="","",'Supplier selection'!A301)</f>
        <v>297</v>
      </c>
      <c r="B301" s="19" t="str">
        <f>IF('Supplier selection'!B301="","",'Supplier selection'!B301)</f>
        <v/>
      </c>
      <c r="C301" s="19" t="str">
        <f>IF('Supplier selection'!C301="","",'Supplier selection'!C301)</f>
        <v/>
      </c>
      <c r="D301" s="19" t="str">
        <f>IF('Supplier selection'!D301="","",'Supplier selection'!D301)</f>
        <v/>
      </c>
      <c r="E301" s="19" t="str">
        <f>IF('Supplier selection'!E301="","",'Supplier selection'!E301)</f>
        <v/>
      </c>
      <c r="F301" s="19" t="str">
        <f>IF('Supplier selection'!F301="","",'Supplier selection'!F301)</f>
        <v/>
      </c>
      <c r="G301" s="19" t="str">
        <f>IF('Supplier selection'!G301="","",'Supplier selection'!G301)</f>
        <v/>
      </c>
      <c r="H301" s="19" t="str">
        <f>IF('Supplier selection'!H301="","",'Supplier selection'!H301)</f>
        <v/>
      </c>
      <c r="I301" s="19" t="str">
        <f>IF('Supplier selection'!I301="","",'Supplier selection'!I301)</f>
        <v/>
      </c>
      <c r="J301" s="19" t="str">
        <f>IF('Supplier selection'!J301="","",'Supplier selection'!J301)</f>
        <v/>
      </c>
      <c r="K301" s="19" t="str">
        <f>IF('Supplier selection'!K301="","",'Supplier selection'!K301)</f>
        <v/>
      </c>
      <c r="L301" s="19" t="str">
        <f>IF('Supplier selection'!L301="","",'Supplier selection'!L301)</f>
        <v/>
      </c>
      <c r="M301" s="19" t="str">
        <f>IF('Supplier selection'!M301="","",'Supplier selection'!M301)</f>
        <v/>
      </c>
      <c r="N301" s="19" t="str">
        <f>IF('Supplier selection'!N301="","",'Supplier selection'!N301)</f>
        <v/>
      </c>
      <c r="O301" s="19" t="str">
        <f>IF('Supplier selection'!O301="","",'Supplier selection'!O301)</f>
        <v/>
      </c>
      <c r="Q301" s="19" t="str">
        <f>HLOOKUP($Q$3,'Supplier selection'!$AW$4:'Supplier selection'!$CT$1000,$A302,FALSE)</f>
        <v/>
      </c>
      <c r="R301" s="22" t="str">
        <f t="shared" si="44"/>
        <v/>
      </c>
      <c r="S301" s="19" t="str">
        <f t="shared" si="45"/>
        <v/>
      </c>
      <c r="T301" s="22" t="str">
        <f t="shared" si="46"/>
        <v/>
      </c>
      <c r="U301" s="19" t="str">
        <f t="shared" si="47"/>
        <v/>
      </c>
      <c r="V301" s="7"/>
      <c r="Y301" s="19" t="str">
        <f>IF('Supplier selection'!AQ301="","",'Supplier selection'!AQ301)</f>
        <v/>
      </c>
      <c r="Z301" s="19" t="str">
        <f>IF('Supplier selection'!AR301="","",'Supplier selection'!AR301)</f>
        <v/>
      </c>
      <c r="AA301" s="19" t="str">
        <f t="shared" si="48"/>
        <v/>
      </c>
      <c r="AD301" s="26" t="str">
        <f>IF(AND('Supplier selection'!X301="",'Supplier selection'!AE301=""),"",IF('Supplier selection'!X301="",'Supplier selection'!AE301,'Supplier selection'!X301))</f>
        <v/>
      </c>
      <c r="AE301" s="19" t="str">
        <f t="shared" si="49"/>
        <v/>
      </c>
      <c r="AF301" s="19" t="str">
        <f t="shared" si="50"/>
        <v/>
      </c>
      <c r="AG301" s="27" t="str">
        <f>IF(AND('Supplier selection'!AB301="",'Supplier selection'!AI301=""),"",IF('Supplier selection'!AB301="",'Supplier selection'!AI301,'Supplier selection'!AB301))</f>
        <v/>
      </c>
      <c r="AH301" s="28" t="str">
        <f t="shared" si="51"/>
        <v/>
      </c>
      <c r="AI301" s="7" t="str">
        <f t="shared" si="52"/>
        <v/>
      </c>
      <c r="AJ301" s="22" t="str">
        <f t="shared" si="53"/>
        <v/>
      </c>
      <c r="AK301" s="29" t="str">
        <f t="shared" si="54"/>
        <v/>
      </c>
      <c r="AL301" s="10"/>
    </row>
    <row r="302" spans="1:38">
      <c r="A302" s="19">
        <f>IF('Supplier selection'!A302="","",'Supplier selection'!A302)</f>
        <v>298</v>
      </c>
      <c r="B302" s="19" t="str">
        <f>IF('Supplier selection'!B302="","",'Supplier selection'!B302)</f>
        <v/>
      </c>
      <c r="C302" s="19" t="str">
        <f>IF('Supplier selection'!C302="","",'Supplier selection'!C302)</f>
        <v/>
      </c>
      <c r="D302" s="19" t="str">
        <f>IF('Supplier selection'!D302="","",'Supplier selection'!D302)</f>
        <v/>
      </c>
      <c r="E302" s="19" t="str">
        <f>IF('Supplier selection'!E302="","",'Supplier selection'!E302)</f>
        <v/>
      </c>
      <c r="F302" s="19" t="str">
        <f>IF('Supplier selection'!F302="","",'Supplier selection'!F302)</f>
        <v/>
      </c>
      <c r="G302" s="19" t="str">
        <f>IF('Supplier selection'!G302="","",'Supplier selection'!G302)</f>
        <v/>
      </c>
      <c r="H302" s="19" t="str">
        <f>IF('Supplier selection'!H302="","",'Supplier selection'!H302)</f>
        <v/>
      </c>
      <c r="I302" s="19" t="str">
        <f>IF('Supplier selection'!I302="","",'Supplier selection'!I302)</f>
        <v/>
      </c>
      <c r="J302" s="19" t="str">
        <f>IF('Supplier selection'!J302="","",'Supplier selection'!J302)</f>
        <v/>
      </c>
      <c r="K302" s="19" t="str">
        <f>IF('Supplier selection'!K302="","",'Supplier selection'!K302)</f>
        <v/>
      </c>
      <c r="L302" s="19" t="str">
        <f>IF('Supplier selection'!L302="","",'Supplier selection'!L302)</f>
        <v/>
      </c>
      <c r="M302" s="19" t="str">
        <f>IF('Supplier selection'!M302="","",'Supplier selection'!M302)</f>
        <v/>
      </c>
      <c r="N302" s="19" t="str">
        <f>IF('Supplier selection'!N302="","",'Supplier selection'!N302)</f>
        <v/>
      </c>
      <c r="O302" s="19" t="str">
        <f>IF('Supplier selection'!O302="","",'Supplier selection'!O302)</f>
        <v/>
      </c>
      <c r="Q302" s="19" t="str">
        <f>HLOOKUP($Q$3,'Supplier selection'!$AW$4:'Supplier selection'!$CT$1000,$A303,FALSE)</f>
        <v/>
      </c>
      <c r="R302" s="22" t="str">
        <f t="shared" si="44"/>
        <v/>
      </c>
      <c r="S302" s="19" t="str">
        <f t="shared" si="45"/>
        <v/>
      </c>
      <c r="T302" s="22" t="str">
        <f t="shared" si="46"/>
        <v/>
      </c>
      <c r="U302" s="19" t="str">
        <f t="shared" si="47"/>
        <v/>
      </c>
      <c r="V302" s="7"/>
      <c r="Y302" s="19" t="str">
        <f>IF('Supplier selection'!AQ302="","",'Supplier selection'!AQ302)</f>
        <v/>
      </c>
      <c r="Z302" s="19" t="str">
        <f>IF('Supplier selection'!AR302="","",'Supplier selection'!AR302)</f>
        <v/>
      </c>
      <c r="AA302" s="19" t="str">
        <f t="shared" si="48"/>
        <v/>
      </c>
      <c r="AD302" s="26" t="str">
        <f>IF(AND('Supplier selection'!X302="",'Supplier selection'!AE302=""),"",IF('Supplier selection'!X302="",'Supplier selection'!AE302,'Supplier selection'!X302))</f>
        <v/>
      </c>
      <c r="AE302" s="19" t="str">
        <f t="shared" si="49"/>
        <v/>
      </c>
      <c r="AF302" s="19" t="str">
        <f t="shared" si="50"/>
        <v/>
      </c>
      <c r="AG302" s="27" t="str">
        <f>IF(AND('Supplier selection'!AB302="",'Supplier selection'!AI302=""),"",IF('Supplier selection'!AB302="",'Supplier selection'!AI302,'Supplier selection'!AB302))</f>
        <v/>
      </c>
      <c r="AH302" s="28" t="str">
        <f t="shared" si="51"/>
        <v/>
      </c>
      <c r="AI302" s="7" t="str">
        <f t="shared" si="52"/>
        <v/>
      </c>
      <c r="AJ302" s="22" t="str">
        <f t="shared" si="53"/>
        <v/>
      </c>
      <c r="AK302" s="29" t="str">
        <f t="shared" si="54"/>
        <v/>
      </c>
      <c r="AL302" s="10"/>
    </row>
    <row r="303" spans="1:38">
      <c r="A303" s="19">
        <f>IF('Supplier selection'!A303="","",'Supplier selection'!A303)</f>
        <v>299</v>
      </c>
      <c r="B303" s="19" t="str">
        <f>IF('Supplier selection'!B303="","",'Supplier selection'!B303)</f>
        <v/>
      </c>
      <c r="C303" s="19" t="str">
        <f>IF('Supplier selection'!C303="","",'Supplier selection'!C303)</f>
        <v/>
      </c>
      <c r="D303" s="19" t="str">
        <f>IF('Supplier selection'!D303="","",'Supplier selection'!D303)</f>
        <v/>
      </c>
      <c r="E303" s="19" t="str">
        <f>IF('Supplier selection'!E303="","",'Supplier selection'!E303)</f>
        <v/>
      </c>
      <c r="F303" s="19" t="str">
        <f>IF('Supplier selection'!F303="","",'Supplier selection'!F303)</f>
        <v/>
      </c>
      <c r="G303" s="19" t="str">
        <f>IF('Supplier selection'!G303="","",'Supplier selection'!G303)</f>
        <v/>
      </c>
      <c r="H303" s="19" t="str">
        <f>IF('Supplier selection'!H303="","",'Supplier selection'!H303)</f>
        <v/>
      </c>
      <c r="I303" s="19" t="str">
        <f>IF('Supplier selection'!I303="","",'Supplier selection'!I303)</f>
        <v/>
      </c>
      <c r="J303" s="19" t="str">
        <f>IF('Supplier selection'!J303="","",'Supplier selection'!J303)</f>
        <v/>
      </c>
      <c r="K303" s="19" t="str">
        <f>IF('Supplier selection'!K303="","",'Supplier selection'!K303)</f>
        <v/>
      </c>
      <c r="L303" s="19" t="str">
        <f>IF('Supplier selection'!L303="","",'Supplier selection'!L303)</f>
        <v/>
      </c>
      <c r="M303" s="19" t="str">
        <f>IF('Supplier selection'!M303="","",'Supplier selection'!M303)</f>
        <v/>
      </c>
      <c r="N303" s="19" t="str">
        <f>IF('Supplier selection'!N303="","",'Supplier selection'!N303)</f>
        <v/>
      </c>
      <c r="O303" s="19" t="str">
        <f>IF('Supplier selection'!O303="","",'Supplier selection'!O303)</f>
        <v/>
      </c>
      <c r="Q303" s="19" t="str">
        <f>HLOOKUP($Q$3,'Supplier selection'!$AW$4:'Supplier selection'!$CT$1000,$A304,FALSE)</f>
        <v/>
      </c>
      <c r="R303" s="22" t="str">
        <f t="shared" si="44"/>
        <v/>
      </c>
      <c r="S303" s="19" t="str">
        <f t="shared" si="45"/>
        <v/>
      </c>
      <c r="T303" s="22" t="str">
        <f t="shared" si="46"/>
        <v/>
      </c>
      <c r="U303" s="19" t="str">
        <f t="shared" si="47"/>
        <v/>
      </c>
      <c r="V303" s="7"/>
      <c r="Y303" s="19" t="str">
        <f>IF('Supplier selection'!AQ303="","",'Supplier selection'!AQ303)</f>
        <v/>
      </c>
      <c r="Z303" s="19" t="str">
        <f>IF('Supplier selection'!AR303="","",'Supplier selection'!AR303)</f>
        <v/>
      </c>
      <c r="AA303" s="19" t="str">
        <f t="shared" si="48"/>
        <v/>
      </c>
      <c r="AD303" s="26" t="str">
        <f>IF(AND('Supplier selection'!X303="",'Supplier selection'!AE303=""),"",IF('Supplier selection'!X303="",'Supplier selection'!AE303,'Supplier selection'!X303))</f>
        <v/>
      </c>
      <c r="AE303" s="19" t="str">
        <f t="shared" si="49"/>
        <v/>
      </c>
      <c r="AF303" s="19" t="str">
        <f t="shared" si="50"/>
        <v/>
      </c>
      <c r="AG303" s="27" t="str">
        <f>IF(AND('Supplier selection'!AB303="",'Supplier selection'!AI303=""),"",IF('Supplier selection'!AB303="",'Supplier selection'!AI303,'Supplier selection'!AB303))</f>
        <v/>
      </c>
      <c r="AH303" s="28" t="str">
        <f t="shared" si="51"/>
        <v/>
      </c>
      <c r="AI303" s="7" t="str">
        <f t="shared" si="52"/>
        <v/>
      </c>
      <c r="AJ303" s="22" t="str">
        <f t="shared" si="53"/>
        <v/>
      </c>
      <c r="AK303" s="29" t="str">
        <f t="shared" si="54"/>
        <v/>
      </c>
      <c r="AL303" s="10"/>
    </row>
    <row r="304" spans="1:38">
      <c r="A304" s="19">
        <f>IF('Supplier selection'!A304="","",'Supplier selection'!A304)</f>
        <v>300</v>
      </c>
      <c r="B304" s="19" t="str">
        <f>IF('Supplier selection'!B304="","",'Supplier selection'!B304)</f>
        <v/>
      </c>
      <c r="C304" s="19" t="str">
        <f>IF('Supplier selection'!C304="","",'Supplier selection'!C304)</f>
        <v/>
      </c>
      <c r="D304" s="19" t="str">
        <f>IF('Supplier selection'!D304="","",'Supplier selection'!D304)</f>
        <v/>
      </c>
      <c r="E304" s="19" t="str">
        <f>IF('Supplier selection'!E304="","",'Supplier selection'!E304)</f>
        <v/>
      </c>
      <c r="F304" s="19" t="str">
        <f>IF('Supplier selection'!F304="","",'Supplier selection'!F304)</f>
        <v/>
      </c>
      <c r="G304" s="19" t="str">
        <f>IF('Supplier selection'!G304="","",'Supplier selection'!G304)</f>
        <v/>
      </c>
      <c r="H304" s="19" t="str">
        <f>IF('Supplier selection'!H304="","",'Supplier selection'!H304)</f>
        <v/>
      </c>
      <c r="I304" s="19" t="str">
        <f>IF('Supplier selection'!I304="","",'Supplier selection'!I304)</f>
        <v/>
      </c>
      <c r="J304" s="19" t="str">
        <f>IF('Supplier selection'!J304="","",'Supplier selection'!J304)</f>
        <v/>
      </c>
      <c r="K304" s="19" t="str">
        <f>IF('Supplier selection'!K304="","",'Supplier selection'!K304)</f>
        <v/>
      </c>
      <c r="L304" s="19" t="str">
        <f>IF('Supplier selection'!L304="","",'Supplier selection'!L304)</f>
        <v/>
      </c>
      <c r="M304" s="19" t="str">
        <f>IF('Supplier selection'!M304="","",'Supplier selection'!M304)</f>
        <v/>
      </c>
      <c r="N304" s="19" t="str">
        <f>IF('Supplier selection'!N304="","",'Supplier selection'!N304)</f>
        <v/>
      </c>
      <c r="O304" s="19" t="str">
        <f>IF('Supplier selection'!O304="","",'Supplier selection'!O304)</f>
        <v/>
      </c>
      <c r="Q304" s="19" t="str">
        <f>HLOOKUP($Q$3,'Supplier selection'!$AW$4:'Supplier selection'!$CT$1000,$A305,FALSE)</f>
        <v/>
      </c>
      <c r="R304" s="22" t="str">
        <f t="shared" si="44"/>
        <v/>
      </c>
      <c r="S304" s="19" t="str">
        <f t="shared" si="45"/>
        <v/>
      </c>
      <c r="T304" s="22" t="str">
        <f t="shared" si="46"/>
        <v/>
      </c>
      <c r="U304" s="19" t="str">
        <f t="shared" si="47"/>
        <v/>
      </c>
      <c r="V304" s="7"/>
      <c r="Y304" s="19" t="str">
        <f>IF('Supplier selection'!AQ304="","",'Supplier selection'!AQ304)</f>
        <v/>
      </c>
      <c r="Z304" s="19" t="str">
        <f>IF('Supplier selection'!AR304="","",'Supplier selection'!AR304)</f>
        <v/>
      </c>
      <c r="AA304" s="19" t="str">
        <f t="shared" si="48"/>
        <v/>
      </c>
      <c r="AD304" s="26" t="str">
        <f>IF(AND('Supplier selection'!X304="",'Supplier selection'!AE304=""),"",IF('Supplier selection'!X304="",'Supplier selection'!AE304,'Supplier selection'!X304))</f>
        <v/>
      </c>
      <c r="AE304" s="19" t="str">
        <f t="shared" si="49"/>
        <v/>
      </c>
      <c r="AF304" s="19" t="str">
        <f t="shared" si="50"/>
        <v/>
      </c>
      <c r="AG304" s="27" t="str">
        <f>IF(AND('Supplier selection'!AB304="",'Supplier selection'!AI304=""),"",IF('Supplier selection'!AB304="",'Supplier selection'!AI304,'Supplier selection'!AB304))</f>
        <v/>
      </c>
      <c r="AH304" s="28" t="str">
        <f t="shared" si="51"/>
        <v/>
      </c>
      <c r="AI304" s="7" t="str">
        <f t="shared" si="52"/>
        <v/>
      </c>
      <c r="AJ304" s="22" t="str">
        <f t="shared" si="53"/>
        <v/>
      </c>
      <c r="AK304" s="29" t="str">
        <f t="shared" si="54"/>
        <v/>
      </c>
      <c r="AL304" s="10"/>
    </row>
    <row r="305" spans="1:38">
      <c r="A305" s="19">
        <f>IF('Supplier selection'!A305="","",'Supplier selection'!A305)</f>
        <v>301</v>
      </c>
      <c r="B305" s="19" t="str">
        <f>IF('Supplier selection'!B305="","",'Supplier selection'!B305)</f>
        <v/>
      </c>
      <c r="C305" s="19" t="str">
        <f>IF('Supplier selection'!C305="","",'Supplier selection'!C305)</f>
        <v/>
      </c>
      <c r="D305" s="19" t="str">
        <f>IF('Supplier selection'!D305="","",'Supplier selection'!D305)</f>
        <v/>
      </c>
      <c r="E305" s="19" t="str">
        <f>IF('Supplier selection'!E305="","",'Supplier selection'!E305)</f>
        <v/>
      </c>
      <c r="F305" s="19" t="str">
        <f>IF('Supplier selection'!F305="","",'Supplier selection'!F305)</f>
        <v/>
      </c>
      <c r="G305" s="19" t="str">
        <f>IF('Supplier selection'!G305="","",'Supplier selection'!G305)</f>
        <v/>
      </c>
      <c r="H305" s="19" t="str">
        <f>IF('Supplier selection'!H305="","",'Supplier selection'!H305)</f>
        <v/>
      </c>
      <c r="I305" s="19" t="str">
        <f>IF('Supplier selection'!I305="","",'Supplier selection'!I305)</f>
        <v/>
      </c>
      <c r="J305" s="19" t="str">
        <f>IF('Supplier selection'!J305="","",'Supplier selection'!J305)</f>
        <v/>
      </c>
      <c r="K305" s="19" t="str">
        <f>IF('Supplier selection'!K305="","",'Supplier selection'!K305)</f>
        <v/>
      </c>
      <c r="L305" s="19" t="str">
        <f>IF('Supplier selection'!L305="","",'Supplier selection'!L305)</f>
        <v/>
      </c>
      <c r="M305" s="19" t="str">
        <f>IF('Supplier selection'!M305="","",'Supplier selection'!M305)</f>
        <v/>
      </c>
      <c r="N305" s="19" t="str">
        <f>IF('Supplier selection'!N305="","",'Supplier selection'!N305)</f>
        <v/>
      </c>
      <c r="O305" s="19" t="str">
        <f>IF('Supplier selection'!O305="","",'Supplier selection'!O305)</f>
        <v/>
      </c>
      <c r="Q305" s="19" t="str">
        <f>HLOOKUP($Q$3,'Supplier selection'!$AW$4:'Supplier selection'!$CT$1000,$A306,FALSE)</f>
        <v/>
      </c>
      <c r="R305" s="22" t="str">
        <f t="shared" si="44"/>
        <v/>
      </c>
      <c r="S305" s="19" t="str">
        <f t="shared" si="45"/>
        <v/>
      </c>
      <c r="T305" s="22" t="str">
        <f t="shared" si="46"/>
        <v/>
      </c>
      <c r="U305" s="19" t="str">
        <f t="shared" si="47"/>
        <v/>
      </c>
      <c r="V305" s="7"/>
      <c r="Y305" s="19" t="str">
        <f>IF('Supplier selection'!AQ305="","",'Supplier selection'!AQ305)</f>
        <v/>
      </c>
      <c r="Z305" s="19" t="str">
        <f>IF('Supplier selection'!AR305="","",'Supplier selection'!AR305)</f>
        <v/>
      </c>
      <c r="AA305" s="19" t="str">
        <f t="shared" si="48"/>
        <v/>
      </c>
      <c r="AD305" s="26" t="str">
        <f>IF(AND('Supplier selection'!X305="",'Supplier selection'!AE305=""),"",IF('Supplier selection'!X305="",'Supplier selection'!AE305,'Supplier selection'!X305))</f>
        <v/>
      </c>
      <c r="AE305" s="19" t="str">
        <f t="shared" si="49"/>
        <v/>
      </c>
      <c r="AF305" s="19" t="str">
        <f t="shared" si="50"/>
        <v/>
      </c>
      <c r="AG305" s="27" t="str">
        <f>IF(AND('Supplier selection'!AB305="",'Supplier selection'!AI305=""),"",IF('Supplier selection'!AB305="",'Supplier selection'!AI305,'Supplier selection'!AB305))</f>
        <v/>
      </c>
      <c r="AH305" s="28" t="str">
        <f t="shared" si="51"/>
        <v/>
      </c>
      <c r="AI305" s="7" t="str">
        <f t="shared" si="52"/>
        <v/>
      </c>
      <c r="AJ305" s="22" t="str">
        <f t="shared" si="53"/>
        <v/>
      </c>
      <c r="AK305" s="29" t="str">
        <f t="shared" si="54"/>
        <v/>
      </c>
      <c r="AL305" s="10"/>
    </row>
    <row r="306" spans="1:38">
      <c r="A306" s="19">
        <f>IF('Supplier selection'!A306="","",'Supplier selection'!A306)</f>
        <v>302</v>
      </c>
      <c r="B306" s="19" t="str">
        <f>IF('Supplier selection'!B306="","",'Supplier selection'!B306)</f>
        <v/>
      </c>
      <c r="C306" s="19" t="str">
        <f>IF('Supplier selection'!C306="","",'Supplier selection'!C306)</f>
        <v/>
      </c>
      <c r="D306" s="19" t="str">
        <f>IF('Supplier selection'!D306="","",'Supplier selection'!D306)</f>
        <v/>
      </c>
      <c r="E306" s="19" t="str">
        <f>IF('Supplier selection'!E306="","",'Supplier selection'!E306)</f>
        <v/>
      </c>
      <c r="F306" s="19" t="str">
        <f>IF('Supplier selection'!F306="","",'Supplier selection'!F306)</f>
        <v/>
      </c>
      <c r="G306" s="19" t="str">
        <f>IF('Supplier selection'!G306="","",'Supplier selection'!G306)</f>
        <v/>
      </c>
      <c r="H306" s="19" t="str">
        <f>IF('Supplier selection'!H306="","",'Supplier selection'!H306)</f>
        <v/>
      </c>
      <c r="I306" s="19" t="str">
        <f>IF('Supplier selection'!I306="","",'Supplier selection'!I306)</f>
        <v/>
      </c>
      <c r="J306" s="19" t="str">
        <f>IF('Supplier selection'!J306="","",'Supplier selection'!J306)</f>
        <v/>
      </c>
      <c r="K306" s="19" t="str">
        <f>IF('Supplier selection'!K306="","",'Supplier selection'!K306)</f>
        <v/>
      </c>
      <c r="L306" s="19" t="str">
        <f>IF('Supplier selection'!L306="","",'Supplier selection'!L306)</f>
        <v/>
      </c>
      <c r="M306" s="19" t="str">
        <f>IF('Supplier selection'!M306="","",'Supplier selection'!M306)</f>
        <v/>
      </c>
      <c r="N306" s="19" t="str">
        <f>IF('Supplier selection'!N306="","",'Supplier selection'!N306)</f>
        <v/>
      </c>
      <c r="O306" s="19" t="str">
        <f>IF('Supplier selection'!O306="","",'Supplier selection'!O306)</f>
        <v/>
      </c>
      <c r="Q306" s="19" t="str">
        <f>HLOOKUP($Q$3,'Supplier selection'!$AW$4:'Supplier selection'!$CT$1000,$A307,FALSE)</f>
        <v/>
      </c>
      <c r="R306" s="22" t="str">
        <f t="shared" si="44"/>
        <v/>
      </c>
      <c r="S306" s="19" t="str">
        <f t="shared" si="45"/>
        <v/>
      </c>
      <c r="T306" s="22" t="str">
        <f t="shared" si="46"/>
        <v/>
      </c>
      <c r="U306" s="19" t="str">
        <f t="shared" si="47"/>
        <v/>
      </c>
      <c r="V306" s="7"/>
      <c r="Y306" s="19" t="str">
        <f>IF('Supplier selection'!AQ306="","",'Supplier selection'!AQ306)</f>
        <v/>
      </c>
      <c r="Z306" s="19" t="str">
        <f>IF('Supplier selection'!AR306="","",'Supplier selection'!AR306)</f>
        <v/>
      </c>
      <c r="AA306" s="19" t="str">
        <f t="shared" si="48"/>
        <v/>
      </c>
      <c r="AD306" s="26" t="str">
        <f>IF(AND('Supplier selection'!X306="",'Supplier selection'!AE306=""),"",IF('Supplier selection'!X306="",'Supplier selection'!AE306,'Supplier selection'!X306))</f>
        <v/>
      </c>
      <c r="AE306" s="19" t="str">
        <f t="shared" si="49"/>
        <v/>
      </c>
      <c r="AF306" s="19" t="str">
        <f t="shared" si="50"/>
        <v/>
      </c>
      <c r="AG306" s="27" t="str">
        <f>IF(AND('Supplier selection'!AB306="",'Supplier selection'!AI306=""),"",IF('Supplier selection'!AB306="",'Supplier selection'!AI306,'Supplier selection'!AB306))</f>
        <v/>
      </c>
      <c r="AH306" s="28" t="str">
        <f t="shared" si="51"/>
        <v/>
      </c>
      <c r="AI306" s="7" t="str">
        <f t="shared" si="52"/>
        <v/>
      </c>
      <c r="AJ306" s="22" t="str">
        <f t="shared" si="53"/>
        <v/>
      </c>
      <c r="AK306" s="29" t="str">
        <f t="shared" si="54"/>
        <v/>
      </c>
      <c r="AL306" s="10"/>
    </row>
    <row r="307" spans="1:38">
      <c r="A307" s="19">
        <f>IF('Supplier selection'!A307="","",'Supplier selection'!A307)</f>
        <v>303</v>
      </c>
      <c r="B307" s="19" t="str">
        <f>IF('Supplier selection'!B307="","",'Supplier selection'!B307)</f>
        <v/>
      </c>
      <c r="C307" s="19" t="str">
        <f>IF('Supplier selection'!C307="","",'Supplier selection'!C307)</f>
        <v/>
      </c>
      <c r="D307" s="19" t="str">
        <f>IF('Supplier selection'!D307="","",'Supplier selection'!D307)</f>
        <v/>
      </c>
      <c r="E307" s="19" t="str">
        <f>IF('Supplier selection'!E307="","",'Supplier selection'!E307)</f>
        <v/>
      </c>
      <c r="F307" s="19" t="str">
        <f>IF('Supplier selection'!F307="","",'Supplier selection'!F307)</f>
        <v/>
      </c>
      <c r="G307" s="19" t="str">
        <f>IF('Supplier selection'!G307="","",'Supplier selection'!G307)</f>
        <v/>
      </c>
      <c r="H307" s="19" t="str">
        <f>IF('Supplier selection'!H307="","",'Supplier selection'!H307)</f>
        <v/>
      </c>
      <c r="I307" s="19" t="str">
        <f>IF('Supplier selection'!I307="","",'Supplier selection'!I307)</f>
        <v/>
      </c>
      <c r="J307" s="19" t="str">
        <f>IF('Supplier selection'!J307="","",'Supplier selection'!J307)</f>
        <v/>
      </c>
      <c r="K307" s="19" t="str">
        <f>IF('Supplier selection'!K307="","",'Supplier selection'!K307)</f>
        <v/>
      </c>
      <c r="L307" s="19" t="str">
        <f>IF('Supplier selection'!L307="","",'Supplier selection'!L307)</f>
        <v/>
      </c>
      <c r="M307" s="19" t="str">
        <f>IF('Supplier selection'!M307="","",'Supplier selection'!M307)</f>
        <v/>
      </c>
      <c r="N307" s="19" t="str">
        <f>IF('Supplier selection'!N307="","",'Supplier selection'!N307)</f>
        <v/>
      </c>
      <c r="O307" s="19" t="str">
        <f>IF('Supplier selection'!O307="","",'Supplier selection'!O307)</f>
        <v/>
      </c>
      <c r="Q307" s="19" t="str">
        <f>HLOOKUP($Q$3,'Supplier selection'!$AW$4:'Supplier selection'!$CT$1000,$A308,FALSE)</f>
        <v/>
      </c>
      <c r="R307" s="22" t="str">
        <f t="shared" si="44"/>
        <v/>
      </c>
      <c r="S307" s="19" t="str">
        <f t="shared" si="45"/>
        <v/>
      </c>
      <c r="T307" s="22" t="str">
        <f t="shared" si="46"/>
        <v/>
      </c>
      <c r="U307" s="19" t="str">
        <f t="shared" si="47"/>
        <v/>
      </c>
      <c r="V307" s="7"/>
      <c r="Y307" s="19" t="str">
        <f>IF('Supplier selection'!AQ307="","",'Supplier selection'!AQ307)</f>
        <v/>
      </c>
      <c r="Z307" s="19" t="str">
        <f>IF('Supplier selection'!AR307="","",'Supplier selection'!AR307)</f>
        <v/>
      </c>
      <c r="AA307" s="19" t="str">
        <f t="shared" si="48"/>
        <v/>
      </c>
      <c r="AD307" s="26" t="str">
        <f>IF(AND('Supplier selection'!X307="",'Supplier selection'!AE307=""),"",IF('Supplier selection'!X307="",'Supplier selection'!AE307,'Supplier selection'!X307))</f>
        <v/>
      </c>
      <c r="AE307" s="19" t="str">
        <f t="shared" si="49"/>
        <v/>
      </c>
      <c r="AF307" s="19" t="str">
        <f t="shared" si="50"/>
        <v/>
      </c>
      <c r="AG307" s="27" t="str">
        <f>IF(AND('Supplier selection'!AB307="",'Supplier selection'!AI307=""),"",IF('Supplier selection'!AB307="",'Supplier selection'!AI307,'Supplier selection'!AB307))</f>
        <v/>
      </c>
      <c r="AH307" s="28" t="str">
        <f t="shared" si="51"/>
        <v/>
      </c>
      <c r="AI307" s="7" t="str">
        <f t="shared" si="52"/>
        <v/>
      </c>
      <c r="AJ307" s="22" t="str">
        <f t="shared" si="53"/>
        <v/>
      </c>
      <c r="AK307" s="29" t="str">
        <f t="shared" si="54"/>
        <v/>
      </c>
      <c r="AL307" s="10"/>
    </row>
    <row r="308" spans="1:38">
      <c r="A308" s="19">
        <f>IF('Supplier selection'!A308="","",'Supplier selection'!A308)</f>
        <v>304</v>
      </c>
      <c r="B308" s="19" t="str">
        <f>IF('Supplier selection'!B308="","",'Supplier selection'!B308)</f>
        <v/>
      </c>
      <c r="C308" s="19" t="str">
        <f>IF('Supplier selection'!C308="","",'Supplier selection'!C308)</f>
        <v/>
      </c>
      <c r="D308" s="19" t="str">
        <f>IF('Supplier selection'!D308="","",'Supplier selection'!D308)</f>
        <v/>
      </c>
      <c r="E308" s="19" t="str">
        <f>IF('Supplier selection'!E308="","",'Supplier selection'!E308)</f>
        <v/>
      </c>
      <c r="F308" s="19" t="str">
        <f>IF('Supplier selection'!F308="","",'Supplier selection'!F308)</f>
        <v/>
      </c>
      <c r="G308" s="19" t="str">
        <f>IF('Supplier selection'!G308="","",'Supplier selection'!G308)</f>
        <v/>
      </c>
      <c r="H308" s="19" t="str">
        <f>IF('Supplier selection'!H308="","",'Supplier selection'!H308)</f>
        <v/>
      </c>
      <c r="I308" s="19" t="str">
        <f>IF('Supplier selection'!I308="","",'Supplier selection'!I308)</f>
        <v/>
      </c>
      <c r="J308" s="19" t="str">
        <f>IF('Supplier selection'!J308="","",'Supplier selection'!J308)</f>
        <v/>
      </c>
      <c r="K308" s="19" t="str">
        <f>IF('Supplier selection'!K308="","",'Supplier selection'!K308)</f>
        <v/>
      </c>
      <c r="L308" s="19" t="str">
        <f>IF('Supplier selection'!L308="","",'Supplier selection'!L308)</f>
        <v/>
      </c>
      <c r="M308" s="19" t="str">
        <f>IF('Supplier selection'!M308="","",'Supplier selection'!M308)</f>
        <v/>
      </c>
      <c r="N308" s="19" t="str">
        <f>IF('Supplier selection'!N308="","",'Supplier selection'!N308)</f>
        <v/>
      </c>
      <c r="O308" s="19" t="str">
        <f>IF('Supplier selection'!O308="","",'Supplier selection'!O308)</f>
        <v/>
      </c>
      <c r="Q308" s="19" t="str">
        <f>HLOOKUP($Q$3,'Supplier selection'!$AW$4:'Supplier selection'!$CT$1000,$A309,FALSE)</f>
        <v/>
      </c>
      <c r="R308" s="22" t="str">
        <f t="shared" si="44"/>
        <v/>
      </c>
      <c r="S308" s="19" t="str">
        <f t="shared" si="45"/>
        <v/>
      </c>
      <c r="T308" s="22" t="str">
        <f t="shared" si="46"/>
        <v/>
      </c>
      <c r="U308" s="19" t="str">
        <f t="shared" si="47"/>
        <v/>
      </c>
      <c r="V308" s="7"/>
      <c r="Y308" s="19" t="str">
        <f>IF('Supplier selection'!AQ308="","",'Supplier selection'!AQ308)</f>
        <v/>
      </c>
      <c r="Z308" s="19" t="str">
        <f>IF('Supplier selection'!AR308="","",'Supplier selection'!AR308)</f>
        <v/>
      </c>
      <c r="AA308" s="19" t="str">
        <f t="shared" si="48"/>
        <v/>
      </c>
      <c r="AD308" s="26" t="str">
        <f>IF(AND('Supplier selection'!X308="",'Supplier selection'!AE308=""),"",IF('Supplier selection'!X308="",'Supplier selection'!AE308,'Supplier selection'!X308))</f>
        <v/>
      </c>
      <c r="AE308" s="19" t="str">
        <f t="shared" si="49"/>
        <v/>
      </c>
      <c r="AF308" s="19" t="str">
        <f t="shared" si="50"/>
        <v/>
      </c>
      <c r="AG308" s="27" t="str">
        <f>IF(AND('Supplier selection'!AB308="",'Supplier selection'!AI308=""),"",IF('Supplier selection'!AB308="",'Supplier selection'!AI308,'Supplier selection'!AB308))</f>
        <v/>
      </c>
      <c r="AH308" s="28" t="str">
        <f t="shared" si="51"/>
        <v/>
      </c>
      <c r="AI308" s="7" t="str">
        <f t="shared" si="52"/>
        <v/>
      </c>
      <c r="AJ308" s="22" t="str">
        <f t="shared" si="53"/>
        <v/>
      </c>
      <c r="AK308" s="29" t="str">
        <f t="shared" si="54"/>
        <v/>
      </c>
      <c r="AL308" s="10"/>
    </row>
    <row r="309" spans="1:38">
      <c r="A309" s="19">
        <f>IF('Supplier selection'!A309="","",'Supplier selection'!A309)</f>
        <v>305</v>
      </c>
      <c r="B309" s="19" t="str">
        <f>IF('Supplier selection'!B309="","",'Supplier selection'!B309)</f>
        <v/>
      </c>
      <c r="C309" s="19" t="str">
        <f>IF('Supplier selection'!C309="","",'Supplier selection'!C309)</f>
        <v/>
      </c>
      <c r="D309" s="19" t="str">
        <f>IF('Supplier selection'!D309="","",'Supplier selection'!D309)</f>
        <v/>
      </c>
      <c r="E309" s="19" t="str">
        <f>IF('Supplier selection'!E309="","",'Supplier selection'!E309)</f>
        <v/>
      </c>
      <c r="F309" s="19" t="str">
        <f>IF('Supplier selection'!F309="","",'Supplier selection'!F309)</f>
        <v/>
      </c>
      <c r="G309" s="19" t="str">
        <f>IF('Supplier selection'!G309="","",'Supplier selection'!G309)</f>
        <v/>
      </c>
      <c r="H309" s="19" t="str">
        <f>IF('Supplier selection'!H309="","",'Supplier selection'!H309)</f>
        <v/>
      </c>
      <c r="I309" s="19" t="str">
        <f>IF('Supplier selection'!I309="","",'Supplier selection'!I309)</f>
        <v/>
      </c>
      <c r="J309" s="19" t="str">
        <f>IF('Supplier selection'!J309="","",'Supplier selection'!J309)</f>
        <v/>
      </c>
      <c r="K309" s="19" t="str">
        <f>IF('Supplier selection'!K309="","",'Supplier selection'!K309)</f>
        <v/>
      </c>
      <c r="L309" s="19" t="str">
        <f>IF('Supplier selection'!L309="","",'Supplier selection'!L309)</f>
        <v/>
      </c>
      <c r="M309" s="19" t="str">
        <f>IF('Supplier selection'!M309="","",'Supplier selection'!M309)</f>
        <v/>
      </c>
      <c r="N309" s="19" t="str">
        <f>IF('Supplier selection'!N309="","",'Supplier selection'!N309)</f>
        <v/>
      </c>
      <c r="O309" s="19" t="str">
        <f>IF('Supplier selection'!O309="","",'Supplier selection'!O309)</f>
        <v/>
      </c>
      <c r="Q309" s="19" t="str">
        <f>HLOOKUP($Q$3,'Supplier selection'!$AW$4:'Supplier selection'!$CT$1000,$A310,FALSE)</f>
        <v/>
      </c>
      <c r="R309" s="22" t="str">
        <f t="shared" si="44"/>
        <v/>
      </c>
      <c r="S309" s="19" t="str">
        <f t="shared" si="45"/>
        <v/>
      </c>
      <c r="T309" s="22" t="str">
        <f t="shared" si="46"/>
        <v/>
      </c>
      <c r="U309" s="19" t="str">
        <f t="shared" si="47"/>
        <v/>
      </c>
      <c r="V309" s="7"/>
      <c r="Y309" s="19" t="str">
        <f>IF('Supplier selection'!AQ309="","",'Supplier selection'!AQ309)</f>
        <v/>
      </c>
      <c r="Z309" s="19" t="str">
        <f>IF('Supplier selection'!AR309="","",'Supplier selection'!AR309)</f>
        <v/>
      </c>
      <c r="AA309" s="19" t="str">
        <f t="shared" si="48"/>
        <v/>
      </c>
      <c r="AD309" s="26" t="str">
        <f>IF(AND('Supplier selection'!X309="",'Supplier selection'!AE309=""),"",IF('Supplier selection'!X309="",'Supplier selection'!AE309,'Supplier selection'!X309))</f>
        <v/>
      </c>
      <c r="AE309" s="19" t="str">
        <f t="shared" si="49"/>
        <v/>
      </c>
      <c r="AF309" s="19" t="str">
        <f t="shared" si="50"/>
        <v/>
      </c>
      <c r="AG309" s="27" t="str">
        <f>IF(AND('Supplier selection'!AB309="",'Supplier selection'!AI309=""),"",IF('Supplier selection'!AB309="",'Supplier selection'!AI309,'Supplier selection'!AB309))</f>
        <v/>
      </c>
      <c r="AH309" s="28" t="str">
        <f t="shared" si="51"/>
        <v/>
      </c>
      <c r="AI309" s="7" t="str">
        <f t="shared" si="52"/>
        <v/>
      </c>
      <c r="AJ309" s="22" t="str">
        <f t="shared" si="53"/>
        <v/>
      </c>
      <c r="AK309" s="29" t="str">
        <f t="shared" si="54"/>
        <v/>
      </c>
      <c r="AL309" s="10"/>
    </row>
    <row r="310" spans="1:38">
      <c r="A310" s="19">
        <f>IF('Supplier selection'!A310="","",'Supplier selection'!A310)</f>
        <v>306</v>
      </c>
      <c r="B310" s="19" t="str">
        <f>IF('Supplier selection'!B310="","",'Supplier selection'!B310)</f>
        <v/>
      </c>
      <c r="C310" s="19" t="str">
        <f>IF('Supplier selection'!C310="","",'Supplier selection'!C310)</f>
        <v/>
      </c>
      <c r="D310" s="19" t="str">
        <f>IF('Supplier selection'!D310="","",'Supplier selection'!D310)</f>
        <v/>
      </c>
      <c r="E310" s="19" t="str">
        <f>IF('Supplier selection'!E310="","",'Supplier selection'!E310)</f>
        <v/>
      </c>
      <c r="F310" s="19" t="str">
        <f>IF('Supplier selection'!F310="","",'Supplier selection'!F310)</f>
        <v/>
      </c>
      <c r="G310" s="19" t="str">
        <f>IF('Supplier selection'!G310="","",'Supplier selection'!G310)</f>
        <v/>
      </c>
      <c r="H310" s="19" t="str">
        <f>IF('Supplier selection'!H310="","",'Supplier selection'!H310)</f>
        <v/>
      </c>
      <c r="I310" s="19" t="str">
        <f>IF('Supplier selection'!I310="","",'Supplier selection'!I310)</f>
        <v/>
      </c>
      <c r="J310" s="19" t="str">
        <f>IF('Supplier selection'!J310="","",'Supplier selection'!J310)</f>
        <v/>
      </c>
      <c r="K310" s="19" t="str">
        <f>IF('Supplier selection'!K310="","",'Supplier selection'!K310)</f>
        <v/>
      </c>
      <c r="L310" s="19" t="str">
        <f>IF('Supplier selection'!L310="","",'Supplier selection'!L310)</f>
        <v/>
      </c>
      <c r="M310" s="19" t="str">
        <f>IF('Supplier selection'!M310="","",'Supplier selection'!M310)</f>
        <v/>
      </c>
      <c r="N310" s="19" t="str">
        <f>IF('Supplier selection'!N310="","",'Supplier selection'!N310)</f>
        <v/>
      </c>
      <c r="O310" s="19" t="str">
        <f>IF('Supplier selection'!O310="","",'Supplier selection'!O310)</f>
        <v/>
      </c>
      <c r="Q310" s="19" t="str">
        <f>HLOOKUP($Q$3,'Supplier selection'!$AW$4:'Supplier selection'!$CT$1000,$A311,FALSE)</f>
        <v/>
      </c>
      <c r="R310" s="22" t="str">
        <f t="shared" si="44"/>
        <v/>
      </c>
      <c r="S310" s="19" t="str">
        <f t="shared" si="45"/>
        <v/>
      </c>
      <c r="T310" s="22" t="str">
        <f t="shared" si="46"/>
        <v/>
      </c>
      <c r="U310" s="19" t="str">
        <f t="shared" si="47"/>
        <v/>
      </c>
      <c r="V310" s="7"/>
      <c r="Y310" s="19" t="str">
        <f>IF('Supplier selection'!AQ310="","",'Supplier selection'!AQ310)</f>
        <v/>
      </c>
      <c r="Z310" s="19" t="str">
        <f>IF('Supplier selection'!AR310="","",'Supplier selection'!AR310)</f>
        <v/>
      </c>
      <c r="AA310" s="19" t="str">
        <f t="shared" si="48"/>
        <v/>
      </c>
      <c r="AD310" s="26" t="str">
        <f>IF(AND('Supplier selection'!X310="",'Supplier selection'!AE310=""),"",IF('Supplier selection'!X310="",'Supplier selection'!AE310,'Supplier selection'!X310))</f>
        <v/>
      </c>
      <c r="AE310" s="19" t="str">
        <f t="shared" si="49"/>
        <v/>
      </c>
      <c r="AF310" s="19" t="str">
        <f t="shared" si="50"/>
        <v/>
      </c>
      <c r="AG310" s="27" t="str">
        <f>IF(AND('Supplier selection'!AB310="",'Supplier selection'!AI310=""),"",IF('Supplier selection'!AB310="",'Supplier selection'!AI310,'Supplier selection'!AB310))</f>
        <v/>
      </c>
      <c r="AH310" s="28" t="str">
        <f t="shared" si="51"/>
        <v/>
      </c>
      <c r="AI310" s="7" t="str">
        <f t="shared" si="52"/>
        <v/>
      </c>
      <c r="AJ310" s="22" t="str">
        <f t="shared" si="53"/>
        <v/>
      </c>
      <c r="AK310" s="29" t="str">
        <f t="shared" si="54"/>
        <v/>
      </c>
      <c r="AL310" s="10"/>
    </row>
    <row r="311" spans="1:38">
      <c r="A311" s="19">
        <f>IF('Supplier selection'!A311="","",'Supplier selection'!A311)</f>
        <v>307</v>
      </c>
      <c r="B311" s="19" t="str">
        <f>IF('Supplier selection'!B311="","",'Supplier selection'!B311)</f>
        <v/>
      </c>
      <c r="C311" s="19" t="str">
        <f>IF('Supplier selection'!C311="","",'Supplier selection'!C311)</f>
        <v/>
      </c>
      <c r="D311" s="19" t="str">
        <f>IF('Supplier selection'!D311="","",'Supplier selection'!D311)</f>
        <v/>
      </c>
      <c r="E311" s="19" t="str">
        <f>IF('Supplier selection'!E311="","",'Supplier selection'!E311)</f>
        <v/>
      </c>
      <c r="F311" s="19" t="str">
        <f>IF('Supplier selection'!F311="","",'Supplier selection'!F311)</f>
        <v/>
      </c>
      <c r="G311" s="19" t="str">
        <f>IF('Supplier selection'!G311="","",'Supplier selection'!G311)</f>
        <v/>
      </c>
      <c r="H311" s="19" t="str">
        <f>IF('Supplier selection'!H311="","",'Supplier selection'!H311)</f>
        <v/>
      </c>
      <c r="I311" s="19" t="str">
        <f>IF('Supplier selection'!I311="","",'Supplier selection'!I311)</f>
        <v/>
      </c>
      <c r="J311" s="19" t="str">
        <f>IF('Supplier selection'!J311="","",'Supplier selection'!J311)</f>
        <v/>
      </c>
      <c r="K311" s="19" t="str">
        <f>IF('Supplier selection'!K311="","",'Supplier selection'!K311)</f>
        <v/>
      </c>
      <c r="L311" s="19" t="str">
        <f>IF('Supplier selection'!L311="","",'Supplier selection'!L311)</f>
        <v/>
      </c>
      <c r="M311" s="19" t="str">
        <f>IF('Supplier selection'!M311="","",'Supplier selection'!M311)</f>
        <v/>
      </c>
      <c r="N311" s="19" t="str">
        <f>IF('Supplier selection'!N311="","",'Supplier selection'!N311)</f>
        <v/>
      </c>
      <c r="O311" s="19" t="str">
        <f>IF('Supplier selection'!O311="","",'Supplier selection'!O311)</f>
        <v/>
      </c>
      <c r="Q311" s="19" t="str">
        <f>HLOOKUP($Q$3,'Supplier selection'!$AW$4:'Supplier selection'!$CT$1000,$A312,FALSE)</f>
        <v/>
      </c>
      <c r="R311" s="22" t="str">
        <f t="shared" si="44"/>
        <v/>
      </c>
      <c r="S311" s="19" t="str">
        <f t="shared" si="45"/>
        <v/>
      </c>
      <c r="T311" s="22" t="str">
        <f t="shared" si="46"/>
        <v/>
      </c>
      <c r="U311" s="19" t="str">
        <f t="shared" si="47"/>
        <v/>
      </c>
      <c r="V311" s="7"/>
      <c r="Y311" s="19" t="str">
        <f>IF('Supplier selection'!AQ311="","",'Supplier selection'!AQ311)</f>
        <v/>
      </c>
      <c r="Z311" s="19" t="str">
        <f>IF('Supplier selection'!AR311="","",'Supplier selection'!AR311)</f>
        <v/>
      </c>
      <c r="AA311" s="19" t="str">
        <f t="shared" si="48"/>
        <v/>
      </c>
      <c r="AD311" s="26" t="str">
        <f>IF(AND('Supplier selection'!X311="",'Supplier selection'!AE311=""),"",IF('Supplier selection'!X311="",'Supplier selection'!AE311,'Supplier selection'!X311))</f>
        <v/>
      </c>
      <c r="AE311" s="19" t="str">
        <f t="shared" si="49"/>
        <v/>
      </c>
      <c r="AF311" s="19" t="str">
        <f t="shared" si="50"/>
        <v/>
      </c>
      <c r="AG311" s="27" t="str">
        <f>IF(AND('Supplier selection'!AB311="",'Supplier selection'!AI311=""),"",IF('Supplier selection'!AB311="",'Supplier selection'!AI311,'Supplier selection'!AB311))</f>
        <v/>
      </c>
      <c r="AH311" s="28" t="str">
        <f t="shared" si="51"/>
        <v/>
      </c>
      <c r="AI311" s="7" t="str">
        <f t="shared" si="52"/>
        <v/>
      </c>
      <c r="AJ311" s="22" t="str">
        <f t="shared" si="53"/>
        <v/>
      </c>
      <c r="AK311" s="29" t="str">
        <f t="shared" si="54"/>
        <v/>
      </c>
      <c r="AL311" s="10"/>
    </row>
    <row r="312" spans="1:38">
      <c r="A312" s="19">
        <f>IF('Supplier selection'!A312="","",'Supplier selection'!A312)</f>
        <v>308</v>
      </c>
      <c r="B312" s="19" t="str">
        <f>IF('Supplier selection'!B312="","",'Supplier selection'!B312)</f>
        <v/>
      </c>
      <c r="C312" s="19" t="str">
        <f>IF('Supplier selection'!C312="","",'Supplier selection'!C312)</f>
        <v/>
      </c>
      <c r="D312" s="19" t="str">
        <f>IF('Supplier selection'!D312="","",'Supplier selection'!D312)</f>
        <v/>
      </c>
      <c r="E312" s="19" t="str">
        <f>IF('Supplier selection'!E312="","",'Supplier selection'!E312)</f>
        <v/>
      </c>
      <c r="F312" s="19" t="str">
        <f>IF('Supplier selection'!F312="","",'Supplier selection'!F312)</f>
        <v/>
      </c>
      <c r="G312" s="19" t="str">
        <f>IF('Supplier selection'!G312="","",'Supplier selection'!G312)</f>
        <v/>
      </c>
      <c r="H312" s="19" t="str">
        <f>IF('Supplier selection'!H312="","",'Supplier selection'!H312)</f>
        <v/>
      </c>
      <c r="I312" s="19" t="str">
        <f>IF('Supplier selection'!I312="","",'Supplier selection'!I312)</f>
        <v/>
      </c>
      <c r="J312" s="19" t="str">
        <f>IF('Supplier selection'!J312="","",'Supplier selection'!J312)</f>
        <v/>
      </c>
      <c r="K312" s="19" t="str">
        <f>IF('Supplier selection'!K312="","",'Supplier selection'!K312)</f>
        <v/>
      </c>
      <c r="L312" s="19" t="str">
        <f>IF('Supplier selection'!L312="","",'Supplier selection'!L312)</f>
        <v/>
      </c>
      <c r="M312" s="19" t="str">
        <f>IF('Supplier selection'!M312="","",'Supplier selection'!M312)</f>
        <v/>
      </c>
      <c r="N312" s="19" t="str">
        <f>IF('Supplier selection'!N312="","",'Supplier selection'!N312)</f>
        <v/>
      </c>
      <c r="O312" s="19" t="str">
        <f>IF('Supplier selection'!O312="","",'Supplier selection'!O312)</f>
        <v/>
      </c>
      <c r="Q312" s="19" t="str">
        <f>HLOOKUP($Q$3,'Supplier selection'!$AW$4:'Supplier selection'!$CT$1000,$A313,FALSE)</f>
        <v/>
      </c>
      <c r="R312" s="22" t="str">
        <f t="shared" si="44"/>
        <v/>
      </c>
      <c r="S312" s="19" t="str">
        <f t="shared" si="45"/>
        <v/>
      </c>
      <c r="T312" s="22" t="str">
        <f t="shared" si="46"/>
        <v/>
      </c>
      <c r="U312" s="19" t="str">
        <f t="shared" si="47"/>
        <v/>
      </c>
      <c r="V312" s="7"/>
      <c r="Y312" s="19" t="str">
        <f>IF('Supplier selection'!AQ312="","",'Supplier selection'!AQ312)</f>
        <v/>
      </c>
      <c r="Z312" s="19" t="str">
        <f>IF('Supplier selection'!AR312="","",'Supplier selection'!AR312)</f>
        <v/>
      </c>
      <c r="AA312" s="19" t="str">
        <f t="shared" si="48"/>
        <v/>
      </c>
      <c r="AD312" s="26" t="str">
        <f>IF(AND('Supplier selection'!X312="",'Supplier selection'!AE312=""),"",IF('Supplier selection'!X312="",'Supplier selection'!AE312,'Supplier selection'!X312))</f>
        <v/>
      </c>
      <c r="AE312" s="19" t="str">
        <f t="shared" si="49"/>
        <v/>
      </c>
      <c r="AF312" s="19" t="str">
        <f t="shared" si="50"/>
        <v/>
      </c>
      <c r="AG312" s="27" t="str">
        <f>IF(AND('Supplier selection'!AB312="",'Supplier selection'!AI312=""),"",IF('Supplier selection'!AB312="",'Supplier selection'!AI312,'Supplier selection'!AB312))</f>
        <v/>
      </c>
      <c r="AH312" s="28" t="str">
        <f t="shared" si="51"/>
        <v/>
      </c>
      <c r="AI312" s="7" t="str">
        <f t="shared" si="52"/>
        <v/>
      </c>
      <c r="AJ312" s="22" t="str">
        <f t="shared" si="53"/>
        <v/>
      </c>
      <c r="AK312" s="29" t="str">
        <f t="shared" si="54"/>
        <v/>
      </c>
      <c r="AL312" s="10"/>
    </row>
    <row r="313" spans="1:38">
      <c r="A313" s="19">
        <f>IF('Supplier selection'!A313="","",'Supplier selection'!A313)</f>
        <v>309</v>
      </c>
      <c r="B313" s="19" t="str">
        <f>IF('Supplier selection'!B313="","",'Supplier selection'!B313)</f>
        <v/>
      </c>
      <c r="C313" s="19" t="str">
        <f>IF('Supplier selection'!C313="","",'Supplier selection'!C313)</f>
        <v/>
      </c>
      <c r="D313" s="19" t="str">
        <f>IF('Supplier selection'!D313="","",'Supplier selection'!D313)</f>
        <v/>
      </c>
      <c r="E313" s="19" t="str">
        <f>IF('Supplier selection'!E313="","",'Supplier selection'!E313)</f>
        <v/>
      </c>
      <c r="F313" s="19" t="str">
        <f>IF('Supplier selection'!F313="","",'Supplier selection'!F313)</f>
        <v/>
      </c>
      <c r="G313" s="19" t="str">
        <f>IF('Supplier selection'!G313="","",'Supplier selection'!G313)</f>
        <v/>
      </c>
      <c r="H313" s="19" t="str">
        <f>IF('Supplier selection'!H313="","",'Supplier selection'!H313)</f>
        <v/>
      </c>
      <c r="I313" s="19" t="str">
        <f>IF('Supplier selection'!I313="","",'Supplier selection'!I313)</f>
        <v/>
      </c>
      <c r="J313" s="19" t="str">
        <f>IF('Supplier selection'!J313="","",'Supplier selection'!J313)</f>
        <v/>
      </c>
      <c r="K313" s="19" t="str">
        <f>IF('Supplier selection'!K313="","",'Supplier selection'!K313)</f>
        <v/>
      </c>
      <c r="L313" s="19" t="str">
        <f>IF('Supplier selection'!L313="","",'Supplier selection'!L313)</f>
        <v/>
      </c>
      <c r="M313" s="19" t="str">
        <f>IF('Supplier selection'!M313="","",'Supplier selection'!M313)</f>
        <v/>
      </c>
      <c r="N313" s="19" t="str">
        <f>IF('Supplier selection'!N313="","",'Supplier selection'!N313)</f>
        <v/>
      </c>
      <c r="O313" s="19" t="str">
        <f>IF('Supplier selection'!O313="","",'Supplier selection'!O313)</f>
        <v/>
      </c>
      <c r="Q313" s="19" t="str">
        <f>HLOOKUP($Q$3,'Supplier selection'!$AW$4:'Supplier selection'!$CT$1000,$A314,FALSE)</f>
        <v/>
      </c>
      <c r="R313" s="22" t="str">
        <f t="shared" si="44"/>
        <v/>
      </c>
      <c r="S313" s="19" t="str">
        <f t="shared" si="45"/>
        <v/>
      </c>
      <c r="T313" s="22" t="str">
        <f t="shared" si="46"/>
        <v/>
      </c>
      <c r="U313" s="19" t="str">
        <f t="shared" si="47"/>
        <v/>
      </c>
      <c r="V313" s="7"/>
      <c r="Y313" s="19" t="str">
        <f>IF('Supplier selection'!AQ313="","",'Supplier selection'!AQ313)</f>
        <v/>
      </c>
      <c r="Z313" s="19" t="str">
        <f>IF('Supplier selection'!AR313="","",'Supplier selection'!AR313)</f>
        <v/>
      </c>
      <c r="AA313" s="19" t="str">
        <f t="shared" si="48"/>
        <v/>
      </c>
      <c r="AD313" s="26" t="str">
        <f>IF(AND('Supplier selection'!X313="",'Supplier selection'!AE313=""),"",IF('Supplier selection'!X313="",'Supplier selection'!AE313,'Supplier selection'!X313))</f>
        <v/>
      </c>
      <c r="AE313" s="19" t="str">
        <f t="shared" si="49"/>
        <v/>
      </c>
      <c r="AF313" s="19" t="str">
        <f t="shared" si="50"/>
        <v/>
      </c>
      <c r="AG313" s="27" t="str">
        <f>IF(AND('Supplier selection'!AB313="",'Supplier selection'!AI313=""),"",IF('Supplier selection'!AB313="",'Supplier selection'!AI313,'Supplier selection'!AB313))</f>
        <v/>
      </c>
      <c r="AH313" s="28" t="str">
        <f t="shared" si="51"/>
        <v/>
      </c>
      <c r="AI313" s="7" t="str">
        <f t="shared" si="52"/>
        <v/>
      </c>
      <c r="AJ313" s="22" t="str">
        <f t="shared" si="53"/>
        <v/>
      </c>
      <c r="AK313" s="29" t="str">
        <f t="shared" si="54"/>
        <v/>
      </c>
      <c r="AL313" s="10"/>
    </row>
    <row r="314" spans="1:38">
      <c r="A314" s="19">
        <f>IF('Supplier selection'!A314="","",'Supplier selection'!A314)</f>
        <v>310</v>
      </c>
      <c r="B314" s="19" t="str">
        <f>IF('Supplier selection'!B314="","",'Supplier selection'!B314)</f>
        <v/>
      </c>
      <c r="C314" s="19" t="str">
        <f>IF('Supplier selection'!C314="","",'Supplier selection'!C314)</f>
        <v/>
      </c>
      <c r="D314" s="19" t="str">
        <f>IF('Supplier selection'!D314="","",'Supplier selection'!D314)</f>
        <v/>
      </c>
      <c r="E314" s="19" t="str">
        <f>IF('Supplier selection'!E314="","",'Supplier selection'!E314)</f>
        <v/>
      </c>
      <c r="F314" s="19" t="str">
        <f>IF('Supplier selection'!F314="","",'Supplier selection'!F314)</f>
        <v/>
      </c>
      <c r="G314" s="19" t="str">
        <f>IF('Supplier selection'!G314="","",'Supplier selection'!G314)</f>
        <v/>
      </c>
      <c r="H314" s="19" t="str">
        <f>IF('Supplier selection'!H314="","",'Supplier selection'!H314)</f>
        <v/>
      </c>
      <c r="I314" s="19" t="str">
        <f>IF('Supplier selection'!I314="","",'Supplier selection'!I314)</f>
        <v/>
      </c>
      <c r="J314" s="19" t="str">
        <f>IF('Supplier selection'!J314="","",'Supplier selection'!J314)</f>
        <v/>
      </c>
      <c r="K314" s="19" t="str">
        <f>IF('Supplier selection'!K314="","",'Supplier selection'!K314)</f>
        <v/>
      </c>
      <c r="L314" s="19" t="str">
        <f>IF('Supplier selection'!L314="","",'Supplier selection'!L314)</f>
        <v/>
      </c>
      <c r="M314" s="19" t="str">
        <f>IF('Supplier selection'!M314="","",'Supplier selection'!M314)</f>
        <v/>
      </c>
      <c r="N314" s="19" t="str">
        <f>IF('Supplier selection'!N314="","",'Supplier selection'!N314)</f>
        <v/>
      </c>
      <c r="O314" s="19" t="str">
        <f>IF('Supplier selection'!O314="","",'Supplier selection'!O314)</f>
        <v/>
      </c>
      <c r="Q314" s="19" t="str">
        <f>HLOOKUP($Q$3,'Supplier selection'!$AW$4:'Supplier selection'!$CT$1000,$A315,FALSE)</f>
        <v/>
      </c>
      <c r="R314" s="22" t="str">
        <f t="shared" si="44"/>
        <v/>
      </c>
      <c r="S314" s="19" t="str">
        <f t="shared" si="45"/>
        <v/>
      </c>
      <c r="T314" s="22" t="str">
        <f t="shared" si="46"/>
        <v/>
      </c>
      <c r="U314" s="19" t="str">
        <f t="shared" si="47"/>
        <v/>
      </c>
      <c r="V314" s="7"/>
      <c r="Y314" s="19" t="str">
        <f>IF('Supplier selection'!AQ314="","",'Supplier selection'!AQ314)</f>
        <v/>
      </c>
      <c r="Z314" s="19" t="str">
        <f>IF('Supplier selection'!AR314="","",'Supplier selection'!AR314)</f>
        <v/>
      </c>
      <c r="AA314" s="19" t="str">
        <f t="shared" si="48"/>
        <v/>
      </c>
      <c r="AD314" s="26" t="str">
        <f>IF(AND('Supplier selection'!X314="",'Supplier selection'!AE314=""),"",IF('Supplier selection'!X314="",'Supplier selection'!AE314,'Supplier selection'!X314))</f>
        <v/>
      </c>
      <c r="AE314" s="19" t="str">
        <f t="shared" si="49"/>
        <v/>
      </c>
      <c r="AF314" s="19" t="str">
        <f t="shared" si="50"/>
        <v/>
      </c>
      <c r="AG314" s="27" t="str">
        <f>IF(AND('Supplier selection'!AB314="",'Supplier selection'!AI314=""),"",IF('Supplier selection'!AB314="",'Supplier selection'!AI314,'Supplier selection'!AB314))</f>
        <v/>
      </c>
      <c r="AH314" s="28" t="str">
        <f t="shared" si="51"/>
        <v/>
      </c>
      <c r="AI314" s="7" t="str">
        <f t="shared" si="52"/>
        <v/>
      </c>
      <c r="AJ314" s="22" t="str">
        <f t="shared" si="53"/>
        <v/>
      </c>
      <c r="AK314" s="29" t="str">
        <f t="shared" si="54"/>
        <v/>
      </c>
      <c r="AL314" s="10"/>
    </row>
    <row r="315" spans="1:38">
      <c r="A315" s="19">
        <f>IF('Supplier selection'!A315="","",'Supplier selection'!A315)</f>
        <v>311</v>
      </c>
      <c r="B315" s="19" t="str">
        <f>IF('Supplier selection'!B315="","",'Supplier selection'!B315)</f>
        <v/>
      </c>
      <c r="C315" s="19" t="str">
        <f>IF('Supplier selection'!C315="","",'Supplier selection'!C315)</f>
        <v/>
      </c>
      <c r="D315" s="19" t="str">
        <f>IF('Supplier selection'!D315="","",'Supplier selection'!D315)</f>
        <v/>
      </c>
      <c r="E315" s="19" t="str">
        <f>IF('Supplier selection'!E315="","",'Supplier selection'!E315)</f>
        <v/>
      </c>
      <c r="F315" s="19" t="str">
        <f>IF('Supplier selection'!F315="","",'Supplier selection'!F315)</f>
        <v/>
      </c>
      <c r="G315" s="19" t="str">
        <f>IF('Supplier selection'!G315="","",'Supplier selection'!G315)</f>
        <v/>
      </c>
      <c r="H315" s="19" t="str">
        <f>IF('Supplier selection'!H315="","",'Supplier selection'!H315)</f>
        <v/>
      </c>
      <c r="I315" s="19" t="str">
        <f>IF('Supplier selection'!I315="","",'Supplier selection'!I315)</f>
        <v/>
      </c>
      <c r="J315" s="19" t="str">
        <f>IF('Supplier selection'!J315="","",'Supplier selection'!J315)</f>
        <v/>
      </c>
      <c r="K315" s="19" t="str">
        <f>IF('Supplier selection'!K315="","",'Supplier selection'!K315)</f>
        <v/>
      </c>
      <c r="L315" s="19" t="str">
        <f>IF('Supplier selection'!L315="","",'Supplier selection'!L315)</f>
        <v/>
      </c>
      <c r="M315" s="19" t="str">
        <f>IF('Supplier selection'!M315="","",'Supplier selection'!M315)</f>
        <v/>
      </c>
      <c r="N315" s="19" t="str">
        <f>IF('Supplier selection'!N315="","",'Supplier selection'!N315)</f>
        <v/>
      </c>
      <c r="O315" s="19" t="str">
        <f>IF('Supplier selection'!O315="","",'Supplier selection'!O315)</f>
        <v/>
      </c>
      <c r="Q315" s="19" t="str">
        <f>HLOOKUP($Q$3,'Supplier selection'!$AW$4:'Supplier selection'!$CT$1000,$A316,FALSE)</f>
        <v/>
      </c>
      <c r="R315" s="22" t="str">
        <f t="shared" si="44"/>
        <v/>
      </c>
      <c r="S315" s="19" t="str">
        <f t="shared" si="45"/>
        <v/>
      </c>
      <c r="T315" s="22" t="str">
        <f t="shared" si="46"/>
        <v/>
      </c>
      <c r="U315" s="19" t="str">
        <f t="shared" si="47"/>
        <v/>
      </c>
      <c r="V315" s="7"/>
      <c r="Y315" s="19" t="str">
        <f>IF('Supplier selection'!AQ315="","",'Supplier selection'!AQ315)</f>
        <v/>
      </c>
      <c r="Z315" s="19" t="str">
        <f>IF('Supplier selection'!AR315="","",'Supplier selection'!AR315)</f>
        <v/>
      </c>
      <c r="AA315" s="19" t="str">
        <f t="shared" si="48"/>
        <v/>
      </c>
      <c r="AD315" s="26" t="str">
        <f>IF(AND('Supplier selection'!X315="",'Supplier selection'!AE315=""),"",IF('Supplier selection'!X315="",'Supplier selection'!AE315,'Supplier selection'!X315))</f>
        <v/>
      </c>
      <c r="AE315" s="19" t="str">
        <f t="shared" si="49"/>
        <v/>
      </c>
      <c r="AF315" s="19" t="str">
        <f t="shared" si="50"/>
        <v/>
      </c>
      <c r="AG315" s="27" t="str">
        <f>IF(AND('Supplier selection'!AB315="",'Supplier selection'!AI315=""),"",IF('Supplier selection'!AB315="",'Supplier selection'!AI315,'Supplier selection'!AB315))</f>
        <v/>
      </c>
      <c r="AH315" s="28" t="str">
        <f t="shared" si="51"/>
        <v/>
      </c>
      <c r="AI315" s="7" t="str">
        <f t="shared" si="52"/>
        <v/>
      </c>
      <c r="AJ315" s="22" t="str">
        <f t="shared" si="53"/>
        <v/>
      </c>
      <c r="AK315" s="29" t="str">
        <f t="shared" si="54"/>
        <v/>
      </c>
      <c r="AL315" s="10"/>
    </row>
    <row r="316" spans="1:38">
      <c r="A316" s="19">
        <f>IF('Supplier selection'!A316="","",'Supplier selection'!A316)</f>
        <v>312</v>
      </c>
      <c r="B316" s="19" t="str">
        <f>IF('Supplier selection'!B316="","",'Supplier selection'!B316)</f>
        <v/>
      </c>
      <c r="C316" s="19" t="str">
        <f>IF('Supplier selection'!C316="","",'Supplier selection'!C316)</f>
        <v/>
      </c>
      <c r="D316" s="19" t="str">
        <f>IF('Supplier selection'!D316="","",'Supplier selection'!D316)</f>
        <v/>
      </c>
      <c r="E316" s="19" t="str">
        <f>IF('Supplier selection'!E316="","",'Supplier selection'!E316)</f>
        <v/>
      </c>
      <c r="F316" s="19" t="str">
        <f>IF('Supplier selection'!F316="","",'Supplier selection'!F316)</f>
        <v/>
      </c>
      <c r="G316" s="19" t="str">
        <f>IF('Supplier selection'!G316="","",'Supplier selection'!G316)</f>
        <v/>
      </c>
      <c r="H316" s="19" t="str">
        <f>IF('Supplier selection'!H316="","",'Supplier selection'!H316)</f>
        <v/>
      </c>
      <c r="I316" s="19" t="str">
        <f>IF('Supplier selection'!I316="","",'Supplier selection'!I316)</f>
        <v/>
      </c>
      <c r="J316" s="19" t="str">
        <f>IF('Supplier selection'!J316="","",'Supplier selection'!J316)</f>
        <v/>
      </c>
      <c r="K316" s="19" t="str">
        <f>IF('Supplier selection'!K316="","",'Supplier selection'!K316)</f>
        <v/>
      </c>
      <c r="L316" s="19" t="str">
        <f>IF('Supplier selection'!L316="","",'Supplier selection'!L316)</f>
        <v/>
      </c>
      <c r="M316" s="19" t="str">
        <f>IF('Supplier selection'!M316="","",'Supplier selection'!M316)</f>
        <v/>
      </c>
      <c r="N316" s="19" t="str">
        <f>IF('Supplier selection'!N316="","",'Supplier selection'!N316)</f>
        <v/>
      </c>
      <c r="O316" s="19" t="str">
        <f>IF('Supplier selection'!O316="","",'Supplier selection'!O316)</f>
        <v/>
      </c>
      <c r="Q316" s="19" t="str">
        <f>HLOOKUP($Q$3,'Supplier selection'!$AW$4:'Supplier selection'!$CT$1000,$A317,FALSE)</f>
        <v/>
      </c>
      <c r="R316" s="22" t="str">
        <f t="shared" si="44"/>
        <v/>
      </c>
      <c r="S316" s="19" t="str">
        <f t="shared" si="45"/>
        <v/>
      </c>
      <c r="T316" s="22" t="str">
        <f t="shared" si="46"/>
        <v/>
      </c>
      <c r="U316" s="19" t="str">
        <f t="shared" si="47"/>
        <v/>
      </c>
      <c r="V316" s="7"/>
      <c r="Y316" s="19" t="str">
        <f>IF('Supplier selection'!AQ316="","",'Supplier selection'!AQ316)</f>
        <v/>
      </c>
      <c r="Z316" s="19" t="str">
        <f>IF('Supplier selection'!AR316="","",'Supplier selection'!AR316)</f>
        <v/>
      </c>
      <c r="AA316" s="19" t="str">
        <f t="shared" si="48"/>
        <v/>
      </c>
      <c r="AD316" s="26" t="str">
        <f>IF(AND('Supplier selection'!X316="",'Supplier selection'!AE316=""),"",IF('Supplier selection'!X316="",'Supplier selection'!AE316,'Supplier selection'!X316))</f>
        <v/>
      </c>
      <c r="AE316" s="19" t="str">
        <f t="shared" si="49"/>
        <v/>
      </c>
      <c r="AF316" s="19" t="str">
        <f t="shared" si="50"/>
        <v/>
      </c>
      <c r="AG316" s="27" t="str">
        <f>IF(AND('Supplier selection'!AB316="",'Supplier selection'!AI316=""),"",IF('Supplier selection'!AB316="",'Supplier selection'!AI316,'Supplier selection'!AB316))</f>
        <v/>
      </c>
      <c r="AH316" s="28" t="str">
        <f t="shared" si="51"/>
        <v/>
      </c>
      <c r="AI316" s="7" t="str">
        <f t="shared" si="52"/>
        <v/>
      </c>
      <c r="AJ316" s="22" t="str">
        <f t="shared" si="53"/>
        <v/>
      </c>
      <c r="AK316" s="29" t="str">
        <f t="shared" si="54"/>
        <v/>
      </c>
      <c r="AL316" s="10"/>
    </row>
    <row r="317" spans="1:38">
      <c r="A317" s="19">
        <f>IF('Supplier selection'!A317="","",'Supplier selection'!A317)</f>
        <v>313</v>
      </c>
      <c r="B317" s="19" t="str">
        <f>IF('Supplier selection'!B317="","",'Supplier selection'!B317)</f>
        <v/>
      </c>
      <c r="C317" s="19" t="str">
        <f>IF('Supplier selection'!C317="","",'Supplier selection'!C317)</f>
        <v/>
      </c>
      <c r="D317" s="19" t="str">
        <f>IF('Supplier selection'!D317="","",'Supplier selection'!D317)</f>
        <v/>
      </c>
      <c r="E317" s="19" t="str">
        <f>IF('Supplier selection'!E317="","",'Supplier selection'!E317)</f>
        <v/>
      </c>
      <c r="F317" s="19" t="str">
        <f>IF('Supplier selection'!F317="","",'Supplier selection'!F317)</f>
        <v/>
      </c>
      <c r="G317" s="19" t="str">
        <f>IF('Supplier selection'!G317="","",'Supplier selection'!G317)</f>
        <v/>
      </c>
      <c r="H317" s="19" t="str">
        <f>IF('Supplier selection'!H317="","",'Supplier selection'!H317)</f>
        <v/>
      </c>
      <c r="I317" s="19" t="str">
        <f>IF('Supplier selection'!I317="","",'Supplier selection'!I317)</f>
        <v/>
      </c>
      <c r="J317" s="19" t="str">
        <f>IF('Supplier selection'!J317="","",'Supplier selection'!J317)</f>
        <v/>
      </c>
      <c r="K317" s="19" t="str">
        <f>IF('Supplier selection'!K317="","",'Supplier selection'!K317)</f>
        <v/>
      </c>
      <c r="L317" s="19" t="str">
        <f>IF('Supplier selection'!L317="","",'Supplier selection'!L317)</f>
        <v/>
      </c>
      <c r="M317" s="19" t="str">
        <f>IF('Supplier selection'!M317="","",'Supplier selection'!M317)</f>
        <v/>
      </c>
      <c r="N317" s="19" t="str">
        <f>IF('Supplier selection'!N317="","",'Supplier selection'!N317)</f>
        <v/>
      </c>
      <c r="O317" s="19" t="str">
        <f>IF('Supplier selection'!O317="","",'Supplier selection'!O317)</f>
        <v/>
      </c>
      <c r="Q317" s="19" t="str">
        <f>HLOOKUP($Q$3,'Supplier selection'!$AW$4:'Supplier selection'!$CT$1000,$A318,FALSE)</f>
        <v/>
      </c>
      <c r="R317" s="22" t="str">
        <f t="shared" si="44"/>
        <v/>
      </c>
      <c r="S317" s="19" t="str">
        <f t="shared" si="45"/>
        <v/>
      </c>
      <c r="T317" s="22" t="str">
        <f t="shared" si="46"/>
        <v/>
      </c>
      <c r="U317" s="19" t="str">
        <f t="shared" si="47"/>
        <v/>
      </c>
      <c r="V317" s="7"/>
      <c r="Y317" s="19" t="str">
        <f>IF('Supplier selection'!AQ317="","",'Supplier selection'!AQ317)</f>
        <v/>
      </c>
      <c r="Z317" s="19" t="str">
        <f>IF('Supplier selection'!AR317="","",'Supplier selection'!AR317)</f>
        <v/>
      </c>
      <c r="AA317" s="19" t="str">
        <f t="shared" si="48"/>
        <v/>
      </c>
      <c r="AD317" s="26" t="str">
        <f>IF(AND('Supplier selection'!X317="",'Supplier selection'!AE317=""),"",IF('Supplier selection'!X317="",'Supplier selection'!AE317,'Supplier selection'!X317))</f>
        <v/>
      </c>
      <c r="AE317" s="19" t="str">
        <f t="shared" si="49"/>
        <v/>
      </c>
      <c r="AF317" s="19" t="str">
        <f t="shared" si="50"/>
        <v/>
      </c>
      <c r="AG317" s="27" t="str">
        <f>IF(AND('Supplier selection'!AB317="",'Supplier selection'!AI317=""),"",IF('Supplier selection'!AB317="",'Supplier selection'!AI317,'Supplier selection'!AB317))</f>
        <v/>
      </c>
      <c r="AH317" s="28" t="str">
        <f t="shared" si="51"/>
        <v/>
      </c>
      <c r="AI317" s="7" t="str">
        <f t="shared" si="52"/>
        <v/>
      </c>
      <c r="AJ317" s="22" t="str">
        <f t="shared" si="53"/>
        <v/>
      </c>
      <c r="AK317" s="29" t="str">
        <f t="shared" si="54"/>
        <v/>
      </c>
      <c r="AL317" s="10"/>
    </row>
    <row r="318" spans="1:38">
      <c r="A318" s="19">
        <f>IF('Supplier selection'!A318="","",'Supplier selection'!A318)</f>
        <v>314</v>
      </c>
      <c r="B318" s="19" t="str">
        <f>IF('Supplier selection'!B318="","",'Supplier selection'!B318)</f>
        <v/>
      </c>
      <c r="C318" s="19" t="str">
        <f>IF('Supplier selection'!C318="","",'Supplier selection'!C318)</f>
        <v/>
      </c>
      <c r="D318" s="19" t="str">
        <f>IF('Supplier selection'!D318="","",'Supplier selection'!D318)</f>
        <v/>
      </c>
      <c r="E318" s="19" t="str">
        <f>IF('Supplier selection'!E318="","",'Supplier selection'!E318)</f>
        <v/>
      </c>
      <c r="F318" s="19" t="str">
        <f>IF('Supplier selection'!F318="","",'Supplier selection'!F318)</f>
        <v/>
      </c>
      <c r="G318" s="19" t="str">
        <f>IF('Supplier selection'!G318="","",'Supplier selection'!G318)</f>
        <v/>
      </c>
      <c r="H318" s="19" t="str">
        <f>IF('Supplier selection'!H318="","",'Supplier selection'!H318)</f>
        <v/>
      </c>
      <c r="I318" s="19" t="str">
        <f>IF('Supplier selection'!I318="","",'Supplier selection'!I318)</f>
        <v/>
      </c>
      <c r="J318" s="19" t="str">
        <f>IF('Supplier selection'!J318="","",'Supplier selection'!J318)</f>
        <v/>
      </c>
      <c r="K318" s="19" t="str">
        <f>IF('Supplier selection'!K318="","",'Supplier selection'!K318)</f>
        <v/>
      </c>
      <c r="L318" s="19" t="str">
        <f>IF('Supplier selection'!L318="","",'Supplier selection'!L318)</f>
        <v/>
      </c>
      <c r="M318" s="19" t="str">
        <f>IF('Supplier selection'!M318="","",'Supplier selection'!M318)</f>
        <v/>
      </c>
      <c r="N318" s="19" t="str">
        <f>IF('Supplier selection'!N318="","",'Supplier selection'!N318)</f>
        <v/>
      </c>
      <c r="O318" s="19" t="str">
        <f>IF('Supplier selection'!O318="","",'Supplier selection'!O318)</f>
        <v/>
      </c>
      <c r="Q318" s="19" t="str">
        <f>HLOOKUP($Q$3,'Supplier selection'!$AW$4:'Supplier selection'!$CT$1000,$A319,FALSE)</f>
        <v/>
      </c>
      <c r="R318" s="22" t="str">
        <f t="shared" si="44"/>
        <v/>
      </c>
      <c r="S318" s="19" t="str">
        <f t="shared" si="45"/>
        <v/>
      </c>
      <c r="T318" s="22" t="str">
        <f t="shared" si="46"/>
        <v/>
      </c>
      <c r="U318" s="19" t="str">
        <f t="shared" si="47"/>
        <v/>
      </c>
      <c r="V318" s="7"/>
      <c r="Y318" s="19" t="str">
        <f>IF('Supplier selection'!AQ318="","",'Supplier selection'!AQ318)</f>
        <v/>
      </c>
      <c r="Z318" s="19" t="str">
        <f>IF('Supplier selection'!AR318="","",'Supplier selection'!AR318)</f>
        <v/>
      </c>
      <c r="AA318" s="19" t="str">
        <f t="shared" si="48"/>
        <v/>
      </c>
      <c r="AD318" s="26" t="str">
        <f>IF(AND('Supplier selection'!X318="",'Supplier selection'!AE318=""),"",IF('Supplier selection'!X318="",'Supplier selection'!AE318,'Supplier selection'!X318))</f>
        <v/>
      </c>
      <c r="AE318" s="19" t="str">
        <f t="shared" si="49"/>
        <v/>
      </c>
      <c r="AF318" s="19" t="str">
        <f t="shared" si="50"/>
        <v/>
      </c>
      <c r="AG318" s="27" t="str">
        <f>IF(AND('Supplier selection'!AB318="",'Supplier selection'!AI318=""),"",IF('Supplier selection'!AB318="",'Supplier selection'!AI318,'Supplier selection'!AB318))</f>
        <v/>
      </c>
      <c r="AH318" s="28" t="str">
        <f t="shared" si="51"/>
        <v/>
      </c>
      <c r="AI318" s="7" t="str">
        <f t="shared" si="52"/>
        <v/>
      </c>
      <c r="AJ318" s="22" t="str">
        <f t="shared" si="53"/>
        <v/>
      </c>
      <c r="AK318" s="29" t="str">
        <f t="shared" si="54"/>
        <v/>
      </c>
      <c r="AL318" s="10"/>
    </row>
    <row r="319" spans="1:38">
      <c r="A319" s="19">
        <f>IF('Supplier selection'!A319="","",'Supplier selection'!A319)</f>
        <v>315</v>
      </c>
      <c r="B319" s="19" t="str">
        <f>IF('Supplier selection'!B319="","",'Supplier selection'!B319)</f>
        <v/>
      </c>
      <c r="C319" s="19" t="str">
        <f>IF('Supplier selection'!C319="","",'Supplier selection'!C319)</f>
        <v/>
      </c>
      <c r="D319" s="19" t="str">
        <f>IF('Supplier selection'!D319="","",'Supplier selection'!D319)</f>
        <v/>
      </c>
      <c r="E319" s="19" t="str">
        <f>IF('Supplier selection'!E319="","",'Supplier selection'!E319)</f>
        <v/>
      </c>
      <c r="F319" s="19" t="str">
        <f>IF('Supplier selection'!F319="","",'Supplier selection'!F319)</f>
        <v/>
      </c>
      <c r="G319" s="19" t="str">
        <f>IF('Supplier selection'!G319="","",'Supplier selection'!G319)</f>
        <v/>
      </c>
      <c r="H319" s="19" t="str">
        <f>IF('Supplier selection'!H319="","",'Supplier selection'!H319)</f>
        <v/>
      </c>
      <c r="I319" s="19" t="str">
        <f>IF('Supplier selection'!I319="","",'Supplier selection'!I319)</f>
        <v/>
      </c>
      <c r="J319" s="19" t="str">
        <f>IF('Supplier selection'!J319="","",'Supplier selection'!J319)</f>
        <v/>
      </c>
      <c r="K319" s="19" t="str">
        <f>IF('Supplier selection'!K319="","",'Supplier selection'!K319)</f>
        <v/>
      </c>
      <c r="L319" s="19" t="str">
        <f>IF('Supplier selection'!L319="","",'Supplier selection'!L319)</f>
        <v/>
      </c>
      <c r="M319" s="19" t="str">
        <f>IF('Supplier selection'!M319="","",'Supplier selection'!M319)</f>
        <v/>
      </c>
      <c r="N319" s="19" t="str">
        <f>IF('Supplier selection'!N319="","",'Supplier selection'!N319)</f>
        <v/>
      </c>
      <c r="O319" s="19" t="str">
        <f>IF('Supplier selection'!O319="","",'Supplier selection'!O319)</f>
        <v/>
      </c>
      <c r="Q319" s="19" t="str">
        <f>HLOOKUP($Q$3,'Supplier selection'!$AW$4:'Supplier selection'!$CT$1000,$A320,FALSE)</f>
        <v/>
      </c>
      <c r="R319" s="22" t="str">
        <f t="shared" si="44"/>
        <v/>
      </c>
      <c r="S319" s="19" t="str">
        <f t="shared" si="45"/>
        <v/>
      </c>
      <c r="T319" s="22" t="str">
        <f t="shared" si="46"/>
        <v/>
      </c>
      <c r="U319" s="19" t="str">
        <f t="shared" si="47"/>
        <v/>
      </c>
      <c r="V319" s="7"/>
      <c r="Y319" s="19" t="str">
        <f>IF('Supplier selection'!AQ319="","",'Supplier selection'!AQ319)</f>
        <v/>
      </c>
      <c r="Z319" s="19" t="str">
        <f>IF('Supplier selection'!AR319="","",'Supplier selection'!AR319)</f>
        <v/>
      </c>
      <c r="AA319" s="19" t="str">
        <f t="shared" si="48"/>
        <v/>
      </c>
      <c r="AD319" s="26" t="str">
        <f>IF(AND('Supplier selection'!X319="",'Supplier selection'!AE319=""),"",IF('Supplier selection'!X319="",'Supplier selection'!AE319,'Supplier selection'!X319))</f>
        <v/>
      </c>
      <c r="AE319" s="19" t="str">
        <f t="shared" si="49"/>
        <v/>
      </c>
      <c r="AF319" s="19" t="str">
        <f t="shared" si="50"/>
        <v/>
      </c>
      <c r="AG319" s="27" t="str">
        <f>IF(AND('Supplier selection'!AB319="",'Supplier selection'!AI319=""),"",IF('Supplier selection'!AB319="",'Supplier selection'!AI319,'Supplier selection'!AB319))</f>
        <v/>
      </c>
      <c r="AH319" s="28" t="str">
        <f t="shared" si="51"/>
        <v/>
      </c>
      <c r="AI319" s="7" t="str">
        <f t="shared" si="52"/>
        <v/>
      </c>
      <c r="AJ319" s="22" t="str">
        <f t="shared" si="53"/>
        <v/>
      </c>
      <c r="AK319" s="29" t="str">
        <f t="shared" si="54"/>
        <v/>
      </c>
      <c r="AL319" s="10"/>
    </row>
    <row r="320" spans="1:38">
      <c r="A320" s="19">
        <f>IF('Supplier selection'!A320="","",'Supplier selection'!A320)</f>
        <v>316</v>
      </c>
      <c r="B320" s="19" t="str">
        <f>IF('Supplier selection'!B320="","",'Supplier selection'!B320)</f>
        <v/>
      </c>
      <c r="C320" s="19" t="str">
        <f>IF('Supplier selection'!C320="","",'Supplier selection'!C320)</f>
        <v/>
      </c>
      <c r="D320" s="19" t="str">
        <f>IF('Supplier selection'!D320="","",'Supplier selection'!D320)</f>
        <v/>
      </c>
      <c r="E320" s="19" t="str">
        <f>IF('Supplier selection'!E320="","",'Supplier selection'!E320)</f>
        <v/>
      </c>
      <c r="F320" s="19" t="str">
        <f>IF('Supplier selection'!F320="","",'Supplier selection'!F320)</f>
        <v/>
      </c>
      <c r="G320" s="19" t="str">
        <f>IF('Supplier selection'!G320="","",'Supplier selection'!G320)</f>
        <v/>
      </c>
      <c r="H320" s="19" t="str">
        <f>IF('Supplier selection'!H320="","",'Supplier selection'!H320)</f>
        <v/>
      </c>
      <c r="I320" s="19" t="str">
        <f>IF('Supplier selection'!I320="","",'Supplier selection'!I320)</f>
        <v/>
      </c>
      <c r="J320" s="19" t="str">
        <f>IF('Supplier selection'!J320="","",'Supplier selection'!J320)</f>
        <v/>
      </c>
      <c r="K320" s="19" t="str">
        <f>IF('Supplier selection'!K320="","",'Supplier selection'!K320)</f>
        <v/>
      </c>
      <c r="L320" s="19" t="str">
        <f>IF('Supplier selection'!L320="","",'Supplier selection'!L320)</f>
        <v/>
      </c>
      <c r="M320" s="19" t="str">
        <f>IF('Supplier selection'!M320="","",'Supplier selection'!M320)</f>
        <v/>
      </c>
      <c r="N320" s="19" t="str">
        <f>IF('Supplier selection'!N320="","",'Supplier selection'!N320)</f>
        <v/>
      </c>
      <c r="O320" s="19" t="str">
        <f>IF('Supplier selection'!O320="","",'Supplier selection'!O320)</f>
        <v/>
      </c>
      <c r="Q320" s="19" t="str">
        <f>HLOOKUP($Q$3,'Supplier selection'!$AW$4:'Supplier selection'!$CT$1000,$A321,FALSE)</f>
        <v/>
      </c>
      <c r="R320" s="22" t="str">
        <f t="shared" si="44"/>
        <v/>
      </c>
      <c r="S320" s="19" t="str">
        <f t="shared" si="45"/>
        <v/>
      </c>
      <c r="T320" s="22" t="str">
        <f t="shared" si="46"/>
        <v/>
      </c>
      <c r="U320" s="19" t="str">
        <f t="shared" si="47"/>
        <v/>
      </c>
      <c r="V320" s="7"/>
      <c r="Y320" s="19" t="str">
        <f>IF('Supplier selection'!AQ320="","",'Supplier selection'!AQ320)</f>
        <v/>
      </c>
      <c r="Z320" s="19" t="str">
        <f>IF('Supplier selection'!AR320="","",'Supplier selection'!AR320)</f>
        <v/>
      </c>
      <c r="AA320" s="19" t="str">
        <f t="shared" si="48"/>
        <v/>
      </c>
      <c r="AD320" s="26" t="str">
        <f>IF(AND('Supplier selection'!X320="",'Supplier selection'!AE320=""),"",IF('Supplier selection'!X320="",'Supplier selection'!AE320,'Supplier selection'!X320))</f>
        <v/>
      </c>
      <c r="AE320" s="19" t="str">
        <f t="shared" si="49"/>
        <v/>
      </c>
      <c r="AF320" s="19" t="str">
        <f t="shared" si="50"/>
        <v/>
      </c>
      <c r="AG320" s="27" t="str">
        <f>IF(AND('Supplier selection'!AB320="",'Supplier selection'!AI320=""),"",IF('Supplier selection'!AB320="",'Supplier selection'!AI320,'Supplier selection'!AB320))</f>
        <v/>
      </c>
      <c r="AH320" s="28" t="str">
        <f t="shared" si="51"/>
        <v/>
      </c>
      <c r="AI320" s="7" t="str">
        <f t="shared" si="52"/>
        <v/>
      </c>
      <c r="AJ320" s="22" t="str">
        <f t="shared" si="53"/>
        <v/>
      </c>
      <c r="AK320" s="29" t="str">
        <f t="shared" si="54"/>
        <v/>
      </c>
      <c r="AL320" s="10"/>
    </row>
    <row r="321" spans="1:38">
      <c r="A321" s="19">
        <f>IF('Supplier selection'!A321="","",'Supplier selection'!A321)</f>
        <v>317</v>
      </c>
      <c r="B321" s="19" t="str">
        <f>IF('Supplier selection'!B321="","",'Supplier selection'!B321)</f>
        <v/>
      </c>
      <c r="C321" s="19" t="str">
        <f>IF('Supplier selection'!C321="","",'Supplier selection'!C321)</f>
        <v/>
      </c>
      <c r="D321" s="19" t="str">
        <f>IF('Supplier selection'!D321="","",'Supplier selection'!D321)</f>
        <v/>
      </c>
      <c r="E321" s="19" t="str">
        <f>IF('Supplier selection'!E321="","",'Supplier selection'!E321)</f>
        <v/>
      </c>
      <c r="F321" s="19" t="str">
        <f>IF('Supplier selection'!F321="","",'Supplier selection'!F321)</f>
        <v/>
      </c>
      <c r="G321" s="19" t="str">
        <f>IF('Supplier selection'!G321="","",'Supplier selection'!G321)</f>
        <v/>
      </c>
      <c r="H321" s="19" t="str">
        <f>IF('Supplier selection'!H321="","",'Supplier selection'!H321)</f>
        <v/>
      </c>
      <c r="I321" s="19" t="str">
        <f>IF('Supplier selection'!I321="","",'Supplier selection'!I321)</f>
        <v/>
      </c>
      <c r="J321" s="19" t="str">
        <f>IF('Supplier selection'!J321="","",'Supplier selection'!J321)</f>
        <v/>
      </c>
      <c r="K321" s="19" t="str">
        <f>IF('Supplier selection'!K321="","",'Supplier selection'!K321)</f>
        <v/>
      </c>
      <c r="L321" s="19" t="str">
        <f>IF('Supplier selection'!L321="","",'Supplier selection'!L321)</f>
        <v/>
      </c>
      <c r="M321" s="19" t="str">
        <f>IF('Supplier selection'!M321="","",'Supplier selection'!M321)</f>
        <v/>
      </c>
      <c r="N321" s="19" t="str">
        <f>IF('Supplier selection'!N321="","",'Supplier selection'!N321)</f>
        <v/>
      </c>
      <c r="O321" s="19" t="str">
        <f>IF('Supplier selection'!O321="","",'Supplier selection'!O321)</f>
        <v/>
      </c>
      <c r="Q321" s="19" t="str">
        <f>HLOOKUP($Q$3,'Supplier selection'!$AW$4:'Supplier selection'!$CT$1000,$A322,FALSE)</f>
        <v/>
      </c>
      <c r="R321" s="22" t="str">
        <f t="shared" si="44"/>
        <v/>
      </c>
      <c r="S321" s="19" t="str">
        <f t="shared" si="45"/>
        <v/>
      </c>
      <c r="T321" s="22" t="str">
        <f t="shared" si="46"/>
        <v/>
      </c>
      <c r="U321" s="19" t="str">
        <f t="shared" si="47"/>
        <v/>
      </c>
      <c r="V321" s="7"/>
      <c r="Y321" s="19" t="str">
        <f>IF('Supplier selection'!AQ321="","",'Supplier selection'!AQ321)</f>
        <v/>
      </c>
      <c r="Z321" s="19" t="str">
        <f>IF('Supplier selection'!AR321="","",'Supplier selection'!AR321)</f>
        <v/>
      </c>
      <c r="AA321" s="19" t="str">
        <f t="shared" si="48"/>
        <v/>
      </c>
      <c r="AD321" s="26" t="str">
        <f>IF(AND('Supplier selection'!X321="",'Supplier selection'!AE321=""),"",IF('Supplier selection'!X321="",'Supplier selection'!AE321,'Supplier selection'!X321))</f>
        <v/>
      </c>
      <c r="AE321" s="19" t="str">
        <f t="shared" si="49"/>
        <v/>
      </c>
      <c r="AF321" s="19" t="str">
        <f t="shared" si="50"/>
        <v/>
      </c>
      <c r="AG321" s="27" t="str">
        <f>IF(AND('Supplier selection'!AB321="",'Supplier selection'!AI321=""),"",IF('Supplier selection'!AB321="",'Supplier selection'!AI321,'Supplier selection'!AB321))</f>
        <v/>
      </c>
      <c r="AH321" s="28" t="str">
        <f t="shared" si="51"/>
        <v/>
      </c>
      <c r="AI321" s="7" t="str">
        <f t="shared" si="52"/>
        <v/>
      </c>
      <c r="AJ321" s="22" t="str">
        <f t="shared" si="53"/>
        <v/>
      </c>
      <c r="AK321" s="29" t="str">
        <f t="shared" si="54"/>
        <v/>
      </c>
      <c r="AL321" s="10"/>
    </row>
    <row r="322" spans="1:38">
      <c r="A322" s="19">
        <f>IF('Supplier selection'!A322="","",'Supplier selection'!A322)</f>
        <v>318</v>
      </c>
      <c r="B322" s="19" t="str">
        <f>IF('Supplier selection'!B322="","",'Supplier selection'!B322)</f>
        <v/>
      </c>
      <c r="C322" s="19" t="str">
        <f>IF('Supplier selection'!C322="","",'Supplier selection'!C322)</f>
        <v/>
      </c>
      <c r="D322" s="19" t="str">
        <f>IF('Supplier selection'!D322="","",'Supplier selection'!D322)</f>
        <v/>
      </c>
      <c r="E322" s="19" t="str">
        <f>IF('Supplier selection'!E322="","",'Supplier selection'!E322)</f>
        <v/>
      </c>
      <c r="F322" s="19" t="str">
        <f>IF('Supplier selection'!F322="","",'Supplier selection'!F322)</f>
        <v/>
      </c>
      <c r="G322" s="19" t="str">
        <f>IF('Supplier selection'!G322="","",'Supplier selection'!G322)</f>
        <v/>
      </c>
      <c r="H322" s="19" t="str">
        <f>IF('Supplier selection'!H322="","",'Supplier selection'!H322)</f>
        <v/>
      </c>
      <c r="I322" s="19" t="str">
        <f>IF('Supplier selection'!I322="","",'Supplier selection'!I322)</f>
        <v/>
      </c>
      <c r="J322" s="19" t="str">
        <f>IF('Supplier selection'!J322="","",'Supplier selection'!J322)</f>
        <v/>
      </c>
      <c r="K322" s="19" t="str">
        <f>IF('Supplier selection'!K322="","",'Supplier selection'!K322)</f>
        <v/>
      </c>
      <c r="L322" s="19" t="str">
        <f>IF('Supplier selection'!L322="","",'Supplier selection'!L322)</f>
        <v/>
      </c>
      <c r="M322" s="19" t="str">
        <f>IF('Supplier selection'!M322="","",'Supplier selection'!M322)</f>
        <v/>
      </c>
      <c r="N322" s="19" t="str">
        <f>IF('Supplier selection'!N322="","",'Supplier selection'!N322)</f>
        <v/>
      </c>
      <c r="O322" s="19" t="str">
        <f>IF('Supplier selection'!O322="","",'Supplier selection'!O322)</f>
        <v/>
      </c>
      <c r="Q322" s="19" t="str">
        <f>HLOOKUP($Q$3,'Supplier selection'!$AW$4:'Supplier selection'!$CT$1000,$A323,FALSE)</f>
        <v/>
      </c>
      <c r="R322" s="22" t="str">
        <f t="shared" si="44"/>
        <v/>
      </c>
      <c r="S322" s="19" t="str">
        <f t="shared" si="45"/>
        <v/>
      </c>
      <c r="T322" s="22" t="str">
        <f t="shared" si="46"/>
        <v/>
      </c>
      <c r="U322" s="19" t="str">
        <f t="shared" si="47"/>
        <v/>
      </c>
      <c r="V322" s="7"/>
      <c r="Y322" s="19" t="str">
        <f>IF('Supplier selection'!AQ322="","",'Supplier selection'!AQ322)</f>
        <v/>
      </c>
      <c r="Z322" s="19" t="str">
        <f>IF('Supplier selection'!AR322="","",'Supplier selection'!AR322)</f>
        <v/>
      </c>
      <c r="AA322" s="19" t="str">
        <f t="shared" si="48"/>
        <v/>
      </c>
      <c r="AD322" s="26" t="str">
        <f>IF(AND('Supplier selection'!X322="",'Supplier selection'!AE322=""),"",IF('Supplier selection'!X322="",'Supplier selection'!AE322,'Supplier selection'!X322))</f>
        <v/>
      </c>
      <c r="AE322" s="19" t="str">
        <f t="shared" si="49"/>
        <v/>
      </c>
      <c r="AF322" s="19" t="str">
        <f t="shared" si="50"/>
        <v/>
      </c>
      <c r="AG322" s="27" t="str">
        <f>IF(AND('Supplier selection'!AB322="",'Supplier selection'!AI322=""),"",IF('Supplier selection'!AB322="",'Supplier selection'!AI322,'Supplier selection'!AB322))</f>
        <v/>
      </c>
      <c r="AH322" s="28" t="str">
        <f t="shared" si="51"/>
        <v/>
      </c>
      <c r="AI322" s="7" t="str">
        <f t="shared" si="52"/>
        <v/>
      </c>
      <c r="AJ322" s="22" t="str">
        <f t="shared" si="53"/>
        <v/>
      </c>
      <c r="AK322" s="29" t="str">
        <f t="shared" si="54"/>
        <v/>
      </c>
      <c r="AL322" s="10"/>
    </row>
    <row r="323" spans="1:38">
      <c r="A323" s="19">
        <f>IF('Supplier selection'!A323="","",'Supplier selection'!A323)</f>
        <v>319</v>
      </c>
      <c r="B323" s="19" t="str">
        <f>IF('Supplier selection'!B323="","",'Supplier selection'!B323)</f>
        <v/>
      </c>
      <c r="C323" s="19" t="str">
        <f>IF('Supplier selection'!C323="","",'Supplier selection'!C323)</f>
        <v/>
      </c>
      <c r="D323" s="19" t="str">
        <f>IF('Supplier selection'!D323="","",'Supplier selection'!D323)</f>
        <v/>
      </c>
      <c r="E323" s="19" t="str">
        <f>IF('Supplier selection'!E323="","",'Supplier selection'!E323)</f>
        <v/>
      </c>
      <c r="F323" s="19" t="str">
        <f>IF('Supplier selection'!F323="","",'Supplier selection'!F323)</f>
        <v/>
      </c>
      <c r="G323" s="19" t="str">
        <f>IF('Supplier selection'!G323="","",'Supplier selection'!G323)</f>
        <v/>
      </c>
      <c r="H323" s="19" t="str">
        <f>IF('Supplier selection'!H323="","",'Supplier selection'!H323)</f>
        <v/>
      </c>
      <c r="I323" s="19" t="str">
        <f>IF('Supplier selection'!I323="","",'Supplier selection'!I323)</f>
        <v/>
      </c>
      <c r="J323" s="19" t="str">
        <f>IF('Supplier selection'!J323="","",'Supplier selection'!J323)</f>
        <v/>
      </c>
      <c r="K323" s="19" t="str">
        <f>IF('Supplier selection'!K323="","",'Supplier selection'!K323)</f>
        <v/>
      </c>
      <c r="L323" s="19" t="str">
        <f>IF('Supplier selection'!L323="","",'Supplier selection'!L323)</f>
        <v/>
      </c>
      <c r="M323" s="19" t="str">
        <f>IF('Supplier selection'!M323="","",'Supplier selection'!M323)</f>
        <v/>
      </c>
      <c r="N323" s="19" t="str">
        <f>IF('Supplier selection'!N323="","",'Supplier selection'!N323)</f>
        <v/>
      </c>
      <c r="O323" s="19" t="str">
        <f>IF('Supplier selection'!O323="","",'Supplier selection'!O323)</f>
        <v/>
      </c>
      <c r="Q323" s="19" t="str">
        <f>HLOOKUP($Q$3,'Supplier selection'!$AW$4:'Supplier selection'!$CT$1000,$A324,FALSE)</f>
        <v/>
      </c>
      <c r="R323" s="22" t="str">
        <f t="shared" si="44"/>
        <v/>
      </c>
      <c r="S323" s="19" t="str">
        <f t="shared" si="45"/>
        <v/>
      </c>
      <c r="T323" s="22" t="str">
        <f t="shared" si="46"/>
        <v/>
      </c>
      <c r="U323" s="19" t="str">
        <f t="shared" si="47"/>
        <v/>
      </c>
      <c r="V323" s="7"/>
      <c r="Y323" s="19" t="str">
        <f>IF('Supplier selection'!AQ323="","",'Supplier selection'!AQ323)</f>
        <v/>
      </c>
      <c r="Z323" s="19" t="str">
        <f>IF('Supplier selection'!AR323="","",'Supplier selection'!AR323)</f>
        <v/>
      </c>
      <c r="AA323" s="19" t="str">
        <f t="shared" si="48"/>
        <v/>
      </c>
      <c r="AD323" s="26" t="str">
        <f>IF(AND('Supplier selection'!X323="",'Supplier selection'!AE323=""),"",IF('Supplier selection'!X323="",'Supplier selection'!AE323,'Supplier selection'!X323))</f>
        <v/>
      </c>
      <c r="AE323" s="19" t="str">
        <f t="shared" si="49"/>
        <v/>
      </c>
      <c r="AF323" s="19" t="str">
        <f t="shared" si="50"/>
        <v/>
      </c>
      <c r="AG323" s="27" t="str">
        <f>IF(AND('Supplier selection'!AB323="",'Supplier selection'!AI323=""),"",IF('Supplier selection'!AB323="",'Supplier selection'!AI323,'Supplier selection'!AB323))</f>
        <v/>
      </c>
      <c r="AH323" s="28" t="str">
        <f t="shared" si="51"/>
        <v/>
      </c>
      <c r="AI323" s="7" t="str">
        <f t="shared" si="52"/>
        <v/>
      </c>
      <c r="AJ323" s="22" t="str">
        <f t="shared" si="53"/>
        <v/>
      </c>
      <c r="AK323" s="29" t="str">
        <f t="shared" si="54"/>
        <v/>
      </c>
      <c r="AL323" s="10"/>
    </row>
    <row r="324" spans="1:38">
      <c r="A324" s="19">
        <f>IF('Supplier selection'!A324="","",'Supplier selection'!A324)</f>
        <v>320</v>
      </c>
      <c r="B324" s="19" t="str">
        <f>IF('Supplier selection'!B324="","",'Supplier selection'!B324)</f>
        <v/>
      </c>
      <c r="C324" s="19" t="str">
        <f>IF('Supplier selection'!C324="","",'Supplier selection'!C324)</f>
        <v/>
      </c>
      <c r="D324" s="19" t="str">
        <f>IF('Supplier selection'!D324="","",'Supplier selection'!D324)</f>
        <v/>
      </c>
      <c r="E324" s="19" t="str">
        <f>IF('Supplier selection'!E324="","",'Supplier selection'!E324)</f>
        <v/>
      </c>
      <c r="F324" s="19" t="str">
        <f>IF('Supplier selection'!F324="","",'Supplier selection'!F324)</f>
        <v/>
      </c>
      <c r="G324" s="19" t="str">
        <f>IF('Supplier selection'!G324="","",'Supplier selection'!G324)</f>
        <v/>
      </c>
      <c r="H324" s="19" t="str">
        <f>IF('Supplier selection'!H324="","",'Supplier selection'!H324)</f>
        <v/>
      </c>
      <c r="I324" s="19" t="str">
        <f>IF('Supplier selection'!I324="","",'Supplier selection'!I324)</f>
        <v/>
      </c>
      <c r="J324" s="19" t="str">
        <f>IF('Supplier selection'!J324="","",'Supplier selection'!J324)</f>
        <v/>
      </c>
      <c r="K324" s="19" t="str">
        <f>IF('Supplier selection'!K324="","",'Supplier selection'!K324)</f>
        <v/>
      </c>
      <c r="L324" s="19" t="str">
        <f>IF('Supplier selection'!L324="","",'Supplier selection'!L324)</f>
        <v/>
      </c>
      <c r="M324" s="19" t="str">
        <f>IF('Supplier selection'!M324="","",'Supplier selection'!M324)</f>
        <v/>
      </c>
      <c r="N324" s="19" t="str">
        <f>IF('Supplier selection'!N324="","",'Supplier selection'!N324)</f>
        <v/>
      </c>
      <c r="O324" s="19" t="str">
        <f>IF('Supplier selection'!O324="","",'Supplier selection'!O324)</f>
        <v/>
      </c>
      <c r="Q324" s="19" t="str">
        <f>HLOOKUP($Q$3,'Supplier selection'!$AW$4:'Supplier selection'!$CT$1000,$A325,FALSE)</f>
        <v/>
      </c>
      <c r="R324" s="22" t="str">
        <f t="shared" si="44"/>
        <v/>
      </c>
      <c r="S324" s="19" t="str">
        <f t="shared" si="45"/>
        <v/>
      </c>
      <c r="T324" s="22" t="str">
        <f t="shared" si="46"/>
        <v/>
      </c>
      <c r="U324" s="19" t="str">
        <f t="shared" si="47"/>
        <v/>
      </c>
      <c r="V324" s="7"/>
      <c r="Y324" s="19" t="str">
        <f>IF('Supplier selection'!AQ324="","",'Supplier selection'!AQ324)</f>
        <v/>
      </c>
      <c r="Z324" s="19" t="str">
        <f>IF('Supplier selection'!AR324="","",'Supplier selection'!AR324)</f>
        <v/>
      </c>
      <c r="AA324" s="19" t="str">
        <f t="shared" si="48"/>
        <v/>
      </c>
      <c r="AD324" s="26" t="str">
        <f>IF(AND('Supplier selection'!X324="",'Supplier selection'!AE324=""),"",IF('Supplier selection'!X324="",'Supplier selection'!AE324,'Supplier selection'!X324))</f>
        <v/>
      </c>
      <c r="AE324" s="19" t="str">
        <f t="shared" si="49"/>
        <v/>
      </c>
      <c r="AF324" s="19" t="str">
        <f t="shared" si="50"/>
        <v/>
      </c>
      <c r="AG324" s="27" t="str">
        <f>IF(AND('Supplier selection'!AB324="",'Supplier selection'!AI324=""),"",IF('Supplier selection'!AB324="",'Supplier selection'!AI324,'Supplier selection'!AB324))</f>
        <v/>
      </c>
      <c r="AH324" s="28" t="str">
        <f t="shared" si="51"/>
        <v/>
      </c>
      <c r="AI324" s="7" t="str">
        <f t="shared" si="52"/>
        <v/>
      </c>
      <c r="AJ324" s="22" t="str">
        <f t="shared" si="53"/>
        <v/>
      </c>
      <c r="AK324" s="29" t="str">
        <f t="shared" si="54"/>
        <v/>
      </c>
      <c r="AL324" s="10"/>
    </row>
    <row r="325" spans="1:38">
      <c r="A325" s="19">
        <f>IF('Supplier selection'!A325="","",'Supplier selection'!A325)</f>
        <v>321</v>
      </c>
      <c r="B325" s="19" t="str">
        <f>IF('Supplier selection'!B325="","",'Supplier selection'!B325)</f>
        <v/>
      </c>
      <c r="C325" s="19" t="str">
        <f>IF('Supplier selection'!C325="","",'Supplier selection'!C325)</f>
        <v/>
      </c>
      <c r="D325" s="19" t="str">
        <f>IF('Supplier selection'!D325="","",'Supplier selection'!D325)</f>
        <v/>
      </c>
      <c r="E325" s="19" t="str">
        <f>IF('Supplier selection'!E325="","",'Supplier selection'!E325)</f>
        <v/>
      </c>
      <c r="F325" s="19" t="str">
        <f>IF('Supplier selection'!F325="","",'Supplier selection'!F325)</f>
        <v/>
      </c>
      <c r="G325" s="19" t="str">
        <f>IF('Supplier selection'!G325="","",'Supplier selection'!G325)</f>
        <v/>
      </c>
      <c r="H325" s="19" t="str">
        <f>IF('Supplier selection'!H325="","",'Supplier selection'!H325)</f>
        <v/>
      </c>
      <c r="I325" s="19" t="str">
        <f>IF('Supplier selection'!I325="","",'Supplier selection'!I325)</f>
        <v/>
      </c>
      <c r="J325" s="19" t="str">
        <f>IF('Supplier selection'!J325="","",'Supplier selection'!J325)</f>
        <v/>
      </c>
      <c r="K325" s="19" t="str">
        <f>IF('Supplier selection'!K325="","",'Supplier selection'!K325)</f>
        <v/>
      </c>
      <c r="L325" s="19" t="str">
        <f>IF('Supplier selection'!L325="","",'Supplier selection'!L325)</f>
        <v/>
      </c>
      <c r="M325" s="19" t="str">
        <f>IF('Supplier selection'!M325="","",'Supplier selection'!M325)</f>
        <v/>
      </c>
      <c r="N325" s="19" t="str">
        <f>IF('Supplier selection'!N325="","",'Supplier selection'!N325)</f>
        <v/>
      </c>
      <c r="O325" s="19" t="str">
        <f>IF('Supplier selection'!O325="","",'Supplier selection'!O325)</f>
        <v/>
      </c>
      <c r="Q325" s="19" t="str">
        <f>HLOOKUP($Q$3,'Supplier selection'!$AW$4:'Supplier selection'!$CT$1000,$A326,FALSE)</f>
        <v/>
      </c>
      <c r="R325" s="22" t="str">
        <f t="shared" si="44"/>
        <v/>
      </c>
      <c r="S325" s="19" t="str">
        <f t="shared" si="45"/>
        <v/>
      </c>
      <c r="T325" s="22" t="str">
        <f t="shared" si="46"/>
        <v/>
      </c>
      <c r="U325" s="19" t="str">
        <f t="shared" si="47"/>
        <v/>
      </c>
      <c r="V325" s="7"/>
      <c r="Y325" s="19" t="str">
        <f>IF('Supplier selection'!AQ325="","",'Supplier selection'!AQ325)</f>
        <v/>
      </c>
      <c r="Z325" s="19" t="str">
        <f>IF('Supplier selection'!AR325="","",'Supplier selection'!AR325)</f>
        <v/>
      </c>
      <c r="AA325" s="19" t="str">
        <f t="shared" si="48"/>
        <v/>
      </c>
      <c r="AD325" s="26" t="str">
        <f>IF(AND('Supplier selection'!X325="",'Supplier selection'!AE325=""),"",IF('Supplier selection'!X325="",'Supplier selection'!AE325,'Supplier selection'!X325))</f>
        <v/>
      </c>
      <c r="AE325" s="19" t="str">
        <f t="shared" si="49"/>
        <v/>
      </c>
      <c r="AF325" s="19" t="str">
        <f t="shared" si="50"/>
        <v/>
      </c>
      <c r="AG325" s="27" t="str">
        <f>IF(AND('Supplier selection'!AB325="",'Supplier selection'!AI325=""),"",IF('Supplier selection'!AB325="",'Supplier selection'!AI325,'Supplier selection'!AB325))</f>
        <v/>
      </c>
      <c r="AH325" s="28" t="str">
        <f t="shared" si="51"/>
        <v/>
      </c>
      <c r="AI325" s="7" t="str">
        <f t="shared" si="52"/>
        <v/>
      </c>
      <c r="AJ325" s="22" t="str">
        <f t="shared" si="53"/>
        <v/>
      </c>
      <c r="AK325" s="29" t="str">
        <f t="shared" si="54"/>
        <v/>
      </c>
      <c r="AL325" s="10"/>
    </row>
    <row r="326" spans="1:38">
      <c r="A326" s="19">
        <f>IF('Supplier selection'!A326="","",'Supplier selection'!A326)</f>
        <v>322</v>
      </c>
      <c r="B326" s="19" t="str">
        <f>IF('Supplier selection'!B326="","",'Supplier selection'!B326)</f>
        <v/>
      </c>
      <c r="C326" s="19" t="str">
        <f>IF('Supplier selection'!C326="","",'Supplier selection'!C326)</f>
        <v/>
      </c>
      <c r="D326" s="19" t="str">
        <f>IF('Supplier selection'!D326="","",'Supplier selection'!D326)</f>
        <v/>
      </c>
      <c r="E326" s="19" t="str">
        <f>IF('Supplier selection'!E326="","",'Supplier selection'!E326)</f>
        <v/>
      </c>
      <c r="F326" s="19" t="str">
        <f>IF('Supplier selection'!F326="","",'Supplier selection'!F326)</f>
        <v/>
      </c>
      <c r="G326" s="19" t="str">
        <f>IF('Supplier selection'!G326="","",'Supplier selection'!G326)</f>
        <v/>
      </c>
      <c r="H326" s="19" t="str">
        <f>IF('Supplier selection'!H326="","",'Supplier selection'!H326)</f>
        <v/>
      </c>
      <c r="I326" s="19" t="str">
        <f>IF('Supplier selection'!I326="","",'Supplier selection'!I326)</f>
        <v/>
      </c>
      <c r="J326" s="19" t="str">
        <f>IF('Supplier selection'!J326="","",'Supplier selection'!J326)</f>
        <v/>
      </c>
      <c r="K326" s="19" t="str">
        <f>IF('Supplier selection'!K326="","",'Supplier selection'!K326)</f>
        <v/>
      </c>
      <c r="L326" s="19" t="str">
        <f>IF('Supplier selection'!L326="","",'Supplier selection'!L326)</f>
        <v/>
      </c>
      <c r="M326" s="19" t="str">
        <f>IF('Supplier selection'!M326="","",'Supplier selection'!M326)</f>
        <v/>
      </c>
      <c r="N326" s="19" t="str">
        <f>IF('Supplier selection'!N326="","",'Supplier selection'!N326)</f>
        <v/>
      </c>
      <c r="O326" s="19" t="str">
        <f>IF('Supplier selection'!O326="","",'Supplier selection'!O326)</f>
        <v/>
      </c>
      <c r="Q326" s="19" t="str">
        <f>HLOOKUP($Q$3,'Supplier selection'!$AW$4:'Supplier selection'!$CT$1000,$A327,FALSE)</f>
        <v/>
      </c>
      <c r="R326" s="22" t="str">
        <f t="shared" ref="R326:R389" si="55">IF(OR(Q326="",O326=""),"",(Q326-O326)/O326)</f>
        <v/>
      </c>
      <c r="S326" s="19" t="str">
        <f t="shared" ref="S326:S389" si="56">IF(OR(H326="",O326="",Q326=""),"",(Q326*H326)-(H326*O326))</f>
        <v/>
      </c>
      <c r="T326" s="22" t="str">
        <f t="shared" ref="T326:T389" si="57">IF(OR(Y326="",Q326=""),"",(Q326-Y326)/Y326)</f>
        <v/>
      </c>
      <c r="U326" s="19" t="str">
        <f t="shared" ref="U326:U389" si="58">IF(OR(Y326="",Q326="",H326=""),"",(Q326*H326)-(Y326*H326))</f>
        <v/>
      </c>
      <c r="V326" s="7"/>
      <c r="Y326" s="19" t="str">
        <f>IF('Supplier selection'!AQ326="","",'Supplier selection'!AQ326)</f>
        <v/>
      </c>
      <c r="Z326" s="19" t="str">
        <f>IF('Supplier selection'!AR326="","",'Supplier selection'!AR326)</f>
        <v/>
      </c>
      <c r="AA326" s="19" t="str">
        <f t="shared" ref="AA326:AA389" si="59">IF(OR(Y326="",O326="",H326=""),"",((H326*Y326)-(H326*O326)))</f>
        <v/>
      </c>
      <c r="AD326" s="26" t="str">
        <f>IF(AND('Supplier selection'!X326="",'Supplier selection'!AE326=""),"",IF('Supplier selection'!X326="",'Supplier selection'!AE326,'Supplier selection'!X326))</f>
        <v/>
      </c>
      <c r="AE326" s="19" t="str">
        <f t="shared" ref="AE326:AE389" si="60">IF(AD326="","",J326)</f>
        <v/>
      </c>
      <c r="AF326" s="19" t="str">
        <f t="shared" ref="AF326:AF389" si="61">IF(AD326="","",L326)</f>
        <v/>
      </c>
      <c r="AG326" s="27" t="str">
        <f>IF(AND('Supplier selection'!AB326="",'Supplier selection'!AI326=""),"",IF('Supplier selection'!AB326="",'Supplier selection'!AI326,'Supplier selection'!AB326))</f>
        <v/>
      </c>
      <c r="AH326" s="28" t="str">
        <f t="shared" ref="AH326:AH389" si="62">IF(OR(AG326="",O326=""),"",(AG326-O326)/O326)</f>
        <v/>
      </c>
      <c r="AI326" s="7" t="str">
        <f t="shared" ref="AI326:AI389" si="63">IF(OR(H326="",O326="",AG326=""),"",(AG326*H326)-(H326*O326))</f>
        <v/>
      </c>
      <c r="AJ326" s="22" t="str">
        <f t="shared" ref="AJ326:AJ389" si="64">IF(OR(AG326="",Y326=""),"",(AG326-Y326)/Y326)</f>
        <v/>
      </c>
      <c r="AK326" s="29" t="str">
        <f t="shared" ref="AK326:AK389" si="65">IF(OR(H326="",Y326="",AG326=""),"",(AG326*H326)-(H326*Y326))</f>
        <v/>
      </c>
      <c r="AL326" s="10"/>
    </row>
    <row r="327" spans="1:38">
      <c r="A327" s="19">
        <f>IF('Supplier selection'!A327="","",'Supplier selection'!A327)</f>
        <v>323</v>
      </c>
      <c r="B327" s="19" t="str">
        <f>IF('Supplier selection'!B327="","",'Supplier selection'!B327)</f>
        <v/>
      </c>
      <c r="C327" s="19" t="str">
        <f>IF('Supplier selection'!C327="","",'Supplier selection'!C327)</f>
        <v/>
      </c>
      <c r="D327" s="19" t="str">
        <f>IF('Supplier selection'!D327="","",'Supplier selection'!D327)</f>
        <v/>
      </c>
      <c r="E327" s="19" t="str">
        <f>IF('Supplier selection'!E327="","",'Supplier selection'!E327)</f>
        <v/>
      </c>
      <c r="F327" s="19" t="str">
        <f>IF('Supplier selection'!F327="","",'Supplier selection'!F327)</f>
        <v/>
      </c>
      <c r="G327" s="19" t="str">
        <f>IF('Supplier selection'!G327="","",'Supplier selection'!G327)</f>
        <v/>
      </c>
      <c r="H327" s="19" t="str">
        <f>IF('Supplier selection'!H327="","",'Supplier selection'!H327)</f>
        <v/>
      </c>
      <c r="I327" s="19" t="str">
        <f>IF('Supplier selection'!I327="","",'Supplier selection'!I327)</f>
        <v/>
      </c>
      <c r="J327" s="19" t="str">
        <f>IF('Supplier selection'!J327="","",'Supplier selection'!J327)</f>
        <v/>
      </c>
      <c r="K327" s="19" t="str">
        <f>IF('Supplier selection'!K327="","",'Supplier selection'!K327)</f>
        <v/>
      </c>
      <c r="L327" s="19" t="str">
        <f>IF('Supplier selection'!L327="","",'Supplier selection'!L327)</f>
        <v/>
      </c>
      <c r="M327" s="19" t="str">
        <f>IF('Supplier selection'!M327="","",'Supplier selection'!M327)</f>
        <v/>
      </c>
      <c r="N327" s="19" t="str">
        <f>IF('Supplier selection'!N327="","",'Supplier selection'!N327)</f>
        <v/>
      </c>
      <c r="O327" s="19" t="str">
        <f>IF('Supplier selection'!O327="","",'Supplier selection'!O327)</f>
        <v/>
      </c>
      <c r="Q327" s="19" t="str">
        <f>HLOOKUP($Q$3,'Supplier selection'!$AW$4:'Supplier selection'!$CT$1000,$A328,FALSE)</f>
        <v/>
      </c>
      <c r="R327" s="22" t="str">
        <f t="shared" si="55"/>
        <v/>
      </c>
      <c r="S327" s="19" t="str">
        <f t="shared" si="56"/>
        <v/>
      </c>
      <c r="T327" s="22" t="str">
        <f t="shared" si="57"/>
        <v/>
      </c>
      <c r="U327" s="19" t="str">
        <f t="shared" si="58"/>
        <v/>
      </c>
      <c r="V327" s="7"/>
      <c r="Y327" s="19" t="str">
        <f>IF('Supplier selection'!AQ327="","",'Supplier selection'!AQ327)</f>
        <v/>
      </c>
      <c r="Z327" s="19" t="str">
        <f>IF('Supplier selection'!AR327="","",'Supplier selection'!AR327)</f>
        <v/>
      </c>
      <c r="AA327" s="19" t="str">
        <f t="shared" si="59"/>
        <v/>
      </c>
      <c r="AD327" s="26" t="str">
        <f>IF(AND('Supplier selection'!X327="",'Supplier selection'!AE327=""),"",IF('Supplier selection'!X327="",'Supplier selection'!AE327,'Supplier selection'!X327))</f>
        <v/>
      </c>
      <c r="AE327" s="19" t="str">
        <f t="shared" si="60"/>
        <v/>
      </c>
      <c r="AF327" s="19" t="str">
        <f t="shared" si="61"/>
        <v/>
      </c>
      <c r="AG327" s="27" t="str">
        <f>IF(AND('Supplier selection'!AB327="",'Supplier selection'!AI327=""),"",IF('Supplier selection'!AB327="",'Supplier selection'!AI327,'Supplier selection'!AB327))</f>
        <v/>
      </c>
      <c r="AH327" s="28" t="str">
        <f t="shared" si="62"/>
        <v/>
      </c>
      <c r="AI327" s="7" t="str">
        <f t="shared" si="63"/>
        <v/>
      </c>
      <c r="AJ327" s="22" t="str">
        <f t="shared" si="64"/>
        <v/>
      </c>
      <c r="AK327" s="29" t="str">
        <f t="shared" si="65"/>
        <v/>
      </c>
      <c r="AL327" s="10"/>
    </row>
    <row r="328" spans="1:38">
      <c r="A328" s="19">
        <f>IF('Supplier selection'!A328="","",'Supplier selection'!A328)</f>
        <v>324</v>
      </c>
      <c r="B328" s="19" t="str">
        <f>IF('Supplier selection'!B328="","",'Supplier selection'!B328)</f>
        <v/>
      </c>
      <c r="C328" s="19" t="str">
        <f>IF('Supplier selection'!C328="","",'Supplier selection'!C328)</f>
        <v/>
      </c>
      <c r="D328" s="19" t="str">
        <f>IF('Supplier selection'!D328="","",'Supplier selection'!D328)</f>
        <v/>
      </c>
      <c r="E328" s="19" t="str">
        <f>IF('Supplier selection'!E328="","",'Supplier selection'!E328)</f>
        <v/>
      </c>
      <c r="F328" s="19" t="str">
        <f>IF('Supplier selection'!F328="","",'Supplier selection'!F328)</f>
        <v/>
      </c>
      <c r="G328" s="19" t="str">
        <f>IF('Supplier selection'!G328="","",'Supplier selection'!G328)</f>
        <v/>
      </c>
      <c r="H328" s="19" t="str">
        <f>IF('Supplier selection'!H328="","",'Supplier selection'!H328)</f>
        <v/>
      </c>
      <c r="I328" s="19" t="str">
        <f>IF('Supplier selection'!I328="","",'Supplier selection'!I328)</f>
        <v/>
      </c>
      <c r="J328" s="19" t="str">
        <f>IF('Supplier selection'!J328="","",'Supplier selection'!J328)</f>
        <v/>
      </c>
      <c r="K328" s="19" t="str">
        <f>IF('Supplier selection'!K328="","",'Supplier selection'!K328)</f>
        <v/>
      </c>
      <c r="L328" s="19" t="str">
        <f>IF('Supplier selection'!L328="","",'Supplier selection'!L328)</f>
        <v/>
      </c>
      <c r="M328" s="19" t="str">
        <f>IF('Supplier selection'!M328="","",'Supplier selection'!M328)</f>
        <v/>
      </c>
      <c r="N328" s="19" t="str">
        <f>IF('Supplier selection'!N328="","",'Supplier selection'!N328)</f>
        <v/>
      </c>
      <c r="O328" s="19" t="str">
        <f>IF('Supplier selection'!O328="","",'Supplier selection'!O328)</f>
        <v/>
      </c>
      <c r="Q328" s="19" t="str">
        <f>HLOOKUP($Q$3,'Supplier selection'!$AW$4:'Supplier selection'!$CT$1000,$A329,FALSE)</f>
        <v/>
      </c>
      <c r="R328" s="22" t="str">
        <f t="shared" si="55"/>
        <v/>
      </c>
      <c r="S328" s="19" t="str">
        <f t="shared" si="56"/>
        <v/>
      </c>
      <c r="T328" s="22" t="str">
        <f t="shared" si="57"/>
        <v/>
      </c>
      <c r="U328" s="19" t="str">
        <f t="shared" si="58"/>
        <v/>
      </c>
      <c r="V328" s="7"/>
      <c r="Y328" s="19" t="str">
        <f>IF('Supplier selection'!AQ328="","",'Supplier selection'!AQ328)</f>
        <v/>
      </c>
      <c r="Z328" s="19" t="str">
        <f>IF('Supplier selection'!AR328="","",'Supplier selection'!AR328)</f>
        <v/>
      </c>
      <c r="AA328" s="19" t="str">
        <f t="shared" si="59"/>
        <v/>
      </c>
      <c r="AD328" s="26" t="str">
        <f>IF(AND('Supplier selection'!X328="",'Supplier selection'!AE328=""),"",IF('Supplier selection'!X328="",'Supplier selection'!AE328,'Supplier selection'!X328))</f>
        <v/>
      </c>
      <c r="AE328" s="19" t="str">
        <f t="shared" si="60"/>
        <v/>
      </c>
      <c r="AF328" s="19" t="str">
        <f t="shared" si="61"/>
        <v/>
      </c>
      <c r="AG328" s="27" t="str">
        <f>IF(AND('Supplier selection'!AB328="",'Supplier selection'!AI328=""),"",IF('Supplier selection'!AB328="",'Supplier selection'!AI328,'Supplier selection'!AB328))</f>
        <v/>
      </c>
      <c r="AH328" s="28" t="str">
        <f t="shared" si="62"/>
        <v/>
      </c>
      <c r="AI328" s="7" t="str">
        <f t="shared" si="63"/>
        <v/>
      </c>
      <c r="AJ328" s="22" t="str">
        <f t="shared" si="64"/>
        <v/>
      </c>
      <c r="AK328" s="29" t="str">
        <f t="shared" si="65"/>
        <v/>
      </c>
      <c r="AL328" s="10"/>
    </row>
    <row r="329" spans="1:38">
      <c r="A329" s="19">
        <f>IF('Supplier selection'!A329="","",'Supplier selection'!A329)</f>
        <v>325</v>
      </c>
      <c r="B329" s="19" t="str">
        <f>IF('Supplier selection'!B329="","",'Supplier selection'!B329)</f>
        <v/>
      </c>
      <c r="C329" s="19" t="str">
        <f>IF('Supplier selection'!C329="","",'Supplier selection'!C329)</f>
        <v/>
      </c>
      <c r="D329" s="19" t="str">
        <f>IF('Supplier selection'!D329="","",'Supplier selection'!D329)</f>
        <v/>
      </c>
      <c r="E329" s="19" t="str">
        <f>IF('Supplier selection'!E329="","",'Supplier selection'!E329)</f>
        <v/>
      </c>
      <c r="F329" s="19" t="str">
        <f>IF('Supplier selection'!F329="","",'Supplier selection'!F329)</f>
        <v/>
      </c>
      <c r="G329" s="19" t="str">
        <f>IF('Supplier selection'!G329="","",'Supplier selection'!G329)</f>
        <v/>
      </c>
      <c r="H329" s="19" t="str">
        <f>IF('Supplier selection'!H329="","",'Supplier selection'!H329)</f>
        <v/>
      </c>
      <c r="I329" s="19" t="str">
        <f>IF('Supplier selection'!I329="","",'Supplier selection'!I329)</f>
        <v/>
      </c>
      <c r="J329" s="19" t="str">
        <f>IF('Supplier selection'!J329="","",'Supplier selection'!J329)</f>
        <v/>
      </c>
      <c r="K329" s="19" t="str">
        <f>IF('Supplier selection'!K329="","",'Supplier selection'!K329)</f>
        <v/>
      </c>
      <c r="L329" s="19" t="str">
        <f>IF('Supplier selection'!L329="","",'Supplier selection'!L329)</f>
        <v/>
      </c>
      <c r="M329" s="19" t="str">
        <f>IF('Supplier selection'!M329="","",'Supplier selection'!M329)</f>
        <v/>
      </c>
      <c r="N329" s="19" t="str">
        <f>IF('Supplier selection'!N329="","",'Supplier selection'!N329)</f>
        <v/>
      </c>
      <c r="O329" s="19" t="str">
        <f>IF('Supplier selection'!O329="","",'Supplier selection'!O329)</f>
        <v/>
      </c>
      <c r="Q329" s="19" t="str">
        <f>HLOOKUP($Q$3,'Supplier selection'!$AW$4:'Supplier selection'!$CT$1000,$A330,FALSE)</f>
        <v/>
      </c>
      <c r="R329" s="22" t="str">
        <f t="shared" si="55"/>
        <v/>
      </c>
      <c r="S329" s="19" t="str">
        <f t="shared" si="56"/>
        <v/>
      </c>
      <c r="T329" s="22" t="str">
        <f t="shared" si="57"/>
        <v/>
      </c>
      <c r="U329" s="19" t="str">
        <f t="shared" si="58"/>
        <v/>
      </c>
      <c r="V329" s="7"/>
      <c r="Y329" s="19" t="str">
        <f>IF('Supplier selection'!AQ329="","",'Supplier selection'!AQ329)</f>
        <v/>
      </c>
      <c r="Z329" s="19" t="str">
        <f>IF('Supplier selection'!AR329="","",'Supplier selection'!AR329)</f>
        <v/>
      </c>
      <c r="AA329" s="19" t="str">
        <f t="shared" si="59"/>
        <v/>
      </c>
      <c r="AD329" s="26" t="str">
        <f>IF(AND('Supplier selection'!X329="",'Supplier selection'!AE329=""),"",IF('Supplier selection'!X329="",'Supplier selection'!AE329,'Supplier selection'!X329))</f>
        <v/>
      </c>
      <c r="AE329" s="19" t="str">
        <f t="shared" si="60"/>
        <v/>
      </c>
      <c r="AF329" s="19" t="str">
        <f t="shared" si="61"/>
        <v/>
      </c>
      <c r="AG329" s="27" t="str">
        <f>IF(AND('Supplier selection'!AB329="",'Supplier selection'!AI329=""),"",IF('Supplier selection'!AB329="",'Supplier selection'!AI329,'Supplier selection'!AB329))</f>
        <v/>
      </c>
      <c r="AH329" s="28" t="str">
        <f t="shared" si="62"/>
        <v/>
      </c>
      <c r="AI329" s="7" t="str">
        <f t="shared" si="63"/>
        <v/>
      </c>
      <c r="AJ329" s="22" t="str">
        <f t="shared" si="64"/>
        <v/>
      </c>
      <c r="AK329" s="29" t="str">
        <f t="shared" si="65"/>
        <v/>
      </c>
      <c r="AL329" s="10"/>
    </row>
    <row r="330" spans="1:38">
      <c r="A330" s="19">
        <f>IF('Supplier selection'!A330="","",'Supplier selection'!A330)</f>
        <v>326</v>
      </c>
      <c r="B330" s="19" t="str">
        <f>IF('Supplier selection'!B330="","",'Supplier selection'!B330)</f>
        <v/>
      </c>
      <c r="C330" s="19" t="str">
        <f>IF('Supplier selection'!C330="","",'Supplier selection'!C330)</f>
        <v/>
      </c>
      <c r="D330" s="19" t="str">
        <f>IF('Supplier selection'!D330="","",'Supplier selection'!D330)</f>
        <v/>
      </c>
      <c r="E330" s="19" t="str">
        <f>IF('Supplier selection'!E330="","",'Supplier selection'!E330)</f>
        <v/>
      </c>
      <c r="F330" s="19" t="str">
        <f>IF('Supplier selection'!F330="","",'Supplier selection'!F330)</f>
        <v/>
      </c>
      <c r="G330" s="19" t="str">
        <f>IF('Supplier selection'!G330="","",'Supplier selection'!G330)</f>
        <v/>
      </c>
      <c r="H330" s="19" t="str">
        <f>IF('Supplier selection'!H330="","",'Supplier selection'!H330)</f>
        <v/>
      </c>
      <c r="I330" s="19" t="str">
        <f>IF('Supplier selection'!I330="","",'Supplier selection'!I330)</f>
        <v/>
      </c>
      <c r="J330" s="19" t="str">
        <f>IF('Supplier selection'!J330="","",'Supplier selection'!J330)</f>
        <v/>
      </c>
      <c r="K330" s="19" t="str">
        <f>IF('Supplier selection'!K330="","",'Supplier selection'!K330)</f>
        <v/>
      </c>
      <c r="L330" s="19" t="str">
        <f>IF('Supplier selection'!L330="","",'Supplier selection'!L330)</f>
        <v/>
      </c>
      <c r="M330" s="19" t="str">
        <f>IF('Supplier selection'!M330="","",'Supplier selection'!M330)</f>
        <v/>
      </c>
      <c r="N330" s="19" t="str">
        <f>IF('Supplier selection'!N330="","",'Supplier selection'!N330)</f>
        <v/>
      </c>
      <c r="O330" s="19" t="str">
        <f>IF('Supplier selection'!O330="","",'Supplier selection'!O330)</f>
        <v/>
      </c>
      <c r="Q330" s="19" t="str">
        <f>HLOOKUP($Q$3,'Supplier selection'!$AW$4:'Supplier selection'!$CT$1000,$A331,FALSE)</f>
        <v/>
      </c>
      <c r="R330" s="22" t="str">
        <f t="shared" si="55"/>
        <v/>
      </c>
      <c r="S330" s="19" t="str">
        <f t="shared" si="56"/>
        <v/>
      </c>
      <c r="T330" s="22" t="str">
        <f t="shared" si="57"/>
        <v/>
      </c>
      <c r="U330" s="19" t="str">
        <f t="shared" si="58"/>
        <v/>
      </c>
      <c r="V330" s="7"/>
      <c r="Y330" s="19" t="str">
        <f>IF('Supplier selection'!AQ330="","",'Supplier selection'!AQ330)</f>
        <v/>
      </c>
      <c r="Z330" s="19" t="str">
        <f>IF('Supplier selection'!AR330="","",'Supplier selection'!AR330)</f>
        <v/>
      </c>
      <c r="AA330" s="19" t="str">
        <f t="shared" si="59"/>
        <v/>
      </c>
      <c r="AD330" s="26" t="str">
        <f>IF(AND('Supplier selection'!X330="",'Supplier selection'!AE330=""),"",IF('Supplier selection'!X330="",'Supplier selection'!AE330,'Supplier selection'!X330))</f>
        <v/>
      </c>
      <c r="AE330" s="19" t="str">
        <f t="shared" si="60"/>
        <v/>
      </c>
      <c r="AF330" s="19" t="str">
        <f t="shared" si="61"/>
        <v/>
      </c>
      <c r="AG330" s="27" t="str">
        <f>IF(AND('Supplier selection'!AB330="",'Supplier selection'!AI330=""),"",IF('Supplier selection'!AB330="",'Supplier selection'!AI330,'Supplier selection'!AB330))</f>
        <v/>
      </c>
      <c r="AH330" s="28" t="str">
        <f t="shared" si="62"/>
        <v/>
      </c>
      <c r="AI330" s="7" t="str">
        <f t="shared" si="63"/>
        <v/>
      </c>
      <c r="AJ330" s="22" t="str">
        <f t="shared" si="64"/>
        <v/>
      </c>
      <c r="AK330" s="29" t="str">
        <f t="shared" si="65"/>
        <v/>
      </c>
      <c r="AL330" s="10"/>
    </row>
    <row r="331" spans="1:38">
      <c r="A331" s="19">
        <f>IF('Supplier selection'!A331="","",'Supplier selection'!A331)</f>
        <v>327</v>
      </c>
      <c r="B331" s="19" t="str">
        <f>IF('Supplier selection'!B331="","",'Supplier selection'!B331)</f>
        <v/>
      </c>
      <c r="C331" s="19" t="str">
        <f>IF('Supplier selection'!C331="","",'Supplier selection'!C331)</f>
        <v/>
      </c>
      <c r="D331" s="19" t="str">
        <f>IF('Supplier selection'!D331="","",'Supplier selection'!D331)</f>
        <v/>
      </c>
      <c r="E331" s="19" t="str">
        <f>IF('Supplier selection'!E331="","",'Supplier selection'!E331)</f>
        <v/>
      </c>
      <c r="F331" s="19" t="str">
        <f>IF('Supplier selection'!F331="","",'Supplier selection'!F331)</f>
        <v/>
      </c>
      <c r="G331" s="19" t="str">
        <f>IF('Supplier selection'!G331="","",'Supplier selection'!G331)</f>
        <v/>
      </c>
      <c r="H331" s="19" t="str">
        <f>IF('Supplier selection'!H331="","",'Supplier selection'!H331)</f>
        <v/>
      </c>
      <c r="I331" s="19" t="str">
        <f>IF('Supplier selection'!I331="","",'Supplier selection'!I331)</f>
        <v/>
      </c>
      <c r="J331" s="19" t="str">
        <f>IF('Supplier selection'!J331="","",'Supplier selection'!J331)</f>
        <v/>
      </c>
      <c r="K331" s="19" t="str">
        <f>IF('Supplier selection'!K331="","",'Supplier selection'!K331)</f>
        <v/>
      </c>
      <c r="L331" s="19" t="str">
        <f>IF('Supplier selection'!L331="","",'Supplier selection'!L331)</f>
        <v/>
      </c>
      <c r="M331" s="19" t="str">
        <f>IF('Supplier selection'!M331="","",'Supplier selection'!M331)</f>
        <v/>
      </c>
      <c r="N331" s="19" t="str">
        <f>IF('Supplier selection'!N331="","",'Supplier selection'!N331)</f>
        <v/>
      </c>
      <c r="O331" s="19" t="str">
        <f>IF('Supplier selection'!O331="","",'Supplier selection'!O331)</f>
        <v/>
      </c>
      <c r="Q331" s="19" t="str">
        <f>HLOOKUP($Q$3,'Supplier selection'!$AW$4:'Supplier selection'!$CT$1000,$A332,FALSE)</f>
        <v/>
      </c>
      <c r="R331" s="22" t="str">
        <f t="shared" si="55"/>
        <v/>
      </c>
      <c r="S331" s="19" t="str">
        <f t="shared" si="56"/>
        <v/>
      </c>
      <c r="T331" s="22" t="str">
        <f t="shared" si="57"/>
        <v/>
      </c>
      <c r="U331" s="19" t="str">
        <f t="shared" si="58"/>
        <v/>
      </c>
      <c r="V331" s="7"/>
      <c r="Y331" s="19" t="str">
        <f>IF('Supplier selection'!AQ331="","",'Supplier selection'!AQ331)</f>
        <v/>
      </c>
      <c r="Z331" s="19" t="str">
        <f>IF('Supplier selection'!AR331="","",'Supplier selection'!AR331)</f>
        <v/>
      </c>
      <c r="AA331" s="19" t="str">
        <f t="shared" si="59"/>
        <v/>
      </c>
      <c r="AD331" s="26" t="str">
        <f>IF(AND('Supplier selection'!X331="",'Supplier selection'!AE331=""),"",IF('Supplier selection'!X331="",'Supplier selection'!AE331,'Supplier selection'!X331))</f>
        <v/>
      </c>
      <c r="AE331" s="19" t="str">
        <f t="shared" si="60"/>
        <v/>
      </c>
      <c r="AF331" s="19" t="str">
        <f t="shared" si="61"/>
        <v/>
      </c>
      <c r="AG331" s="27" t="str">
        <f>IF(AND('Supplier selection'!AB331="",'Supplier selection'!AI331=""),"",IF('Supplier selection'!AB331="",'Supplier selection'!AI331,'Supplier selection'!AB331))</f>
        <v/>
      </c>
      <c r="AH331" s="28" t="str">
        <f t="shared" si="62"/>
        <v/>
      </c>
      <c r="AI331" s="7" t="str">
        <f t="shared" si="63"/>
        <v/>
      </c>
      <c r="AJ331" s="22" t="str">
        <f t="shared" si="64"/>
        <v/>
      </c>
      <c r="AK331" s="29" t="str">
        <f t="shared" si="65"/>
        <v/>
      </c>
      <c r="AL331" s="10"/>
    </row>
    <row r="332" spans="1:38">
      <c r="A332" s="19">
        <f>IF('Supplier selection'!A332="","",'Supplier selection'!A332)</f>
        <v>328</v>
      </c>
      <c r="B332" s="19" t="str">
        <f>IF('Supplier selection'!B332="","",'Supplier selection'!B332)</f>
        <v/>
      </c>
      <c r="C332" s="19" t="str">
        <f>IF('Supplier selection'!C332="","",'Supplier selection'!C332)</f>
        <v/>
      </c>
      <c r="D332" s="19" t="str">
        <f>IF('Supplier selection'!D332="","",'Supplier selection'!D332)</f>
        <v/>
      </c>
      <c r="E332" s="19" t="str">
        <f>IF('Supplier selection'!E332="","",'Supplier selection'!E332)</f>
        <v/>
      </c>
      <c r="F332" s="19" t="str">
        <f>IF('Supplier selection'!F332="","",'Supplier selection'!F332)</f>
        <v/>
      </c>
      <c r="G332" s="19" t="str">
        <f>IF('Supplier selection'!G332="","",'Supplier selection'!G332)</f>
        <v/>
      </c>
      <c r="H332" s="19" t="str">
        <f>IF('Supplier selection'!H332="","",'Supplier selection'!H332)</f>
        <v/>
      </c>
      <c r="I332" s="19" t="str">
        <f>IF('Supplier selection'!I332="","",'Supplier selection'!I332)</f>
        <v/>
      </c>
      <c r="J332" s="19" t="str">
        <f>IF('Supplier selection'!J332="","",'Supplier selection'!J332)</f>
        <v/>
      </c>
      <c r="K332" s="19" t="str">
        <f>IF('Supplier selection'!K332="","",'Supplier selection'!K332)</f>
        <v/>
      </c>
      <c r="L332" s="19" t="str">
        <f>IF('Supplier selection'!L332="","",'Supplier selection'!L332)</f>
        <v/>
      </c>
      <c r="M332" s="19" t="str">
        <f>IF('Supplier selection'!M332="","",'Supplier selection'!M332)</f>
        <v/>
      </c>
      <c r="N332" s="19" t="str">
        <f>IF('Supplier selection'!N332="","",'Supplier selection'!N332)</f>
        <v/>
      </c>
      <c r="O332" s="19" t="str">
        <f>IF('Supplier selection'!O332="","",'Supplier selection'!O332)</f>
        <v/>
      </c>
      <c r="Q332" s="19" t="str">
        <f>HLOOKUP($Q$3,'Supplier selection'!$AW$4:'Supplier selection'!$CT$1000,$A333,FALSE)</f>
        <v/>
      </c>
      <c r="R332" s="22" t="str">
        <f t="shared" si="55"/>
        <v/>
      </c>
      <c r="S332" s="19" t="str">
        <f t="shared" si="56"/>
        <v/>
      </c>
      <c r="T332" s="22" t="str">
        <f t="shared" si="57"/>
        <v/>
      </c>
      <c r="U332" s="19" t="str">
        <f t="shared" si="58"/>
        <v/>
      </c>
      <c r="V332" s="7"/>
      <c r="Y332" s="19" t="str">
        <f>IF('Supplier selection'!AQ332="","",'Supplier selection'!AQ332)</f>
        <v/>
      </c>
      <c r="Z332" s="19" t="str">
        <f>IF('Supplier selection'!AR332="","",'Supplier selection'!AR332)</f>
        <v/>
      </c>
      <c r="AA332" s="19" t="str">
        <f t="shared" si="59"/>
        <v/>
      </c>
      <c r="AD332" s="26" t="str">
        <f>IF(AND('Supplier selection'!X332="",'Supplier selection'!AE332=""),"",IF('Supplier selection'!X332="",'Supplier selection'!AE332,'Supplier selection'!X332))</f>
        <v/>
      </c>
      <c r="AE332" s="19" t="str">
        <f t="shared" si="60"/>
        <v/>
      </c>
      <c r="AF332" s="19" t="str">
        <f t="shared" si="61"/>
        <v/>
      </c>
      <c r="AG332" s="27" t="str">
        <f>IF(AND('Supplier selection'!AB332="",'Supplier selection'!AI332=""),"",IF('Supplier selection'!AB332="",'Supplier selection'!AI332,'Supplier selection'!AB332))</f>
        <v/>
      </c>
      <c r="AH332" s="28" t="str">
        <f t="shared" si="62"/>
        <v/>
      </c>
      <c r="AI332" s="7" t="str">
        <f t="shared" si="63"/>
        <v/>
      </c>
      <c r="AJ332" s="22" t="str">
        <f t="shared" si="64"/>
        <v/>
      </c>
      <c r="AK332" s="29" t="str">
        <f t="shared" si="65"/>
        <v/>
      </c>
      <c r="AL332" s="10"/>
    </row>
    <row r="333" spans="1:38">
      <c r="A333" s="19">
        <f>IF('Supplier selection'!A333="","",'Supplier selection'!A333)</f>
        <v>329</v>
      </c>
      <c r="B333" s="19" t="str">
        <f>IF('Supplier selection'!B333="","",'Supplier selection'!B333)</f>
        <v/>
      </c>
      <c r="C333" s="19" t="str">
        <f>IF('Supplier selection'!C333="","",'Supplier selection'!C333)</f>
        <v/>
      </c>
      <c r="D333" s="19" t="str">
        <f>IF('Supplier selection'!D333="","",'Supplier selection'!D333)</f>
        <v/>
      </c>
      <c r="E333" s="19" t="str">
        <f>IF('Supplier selection'!E333="","",'Supplier selection'!E333)</f>
        <v/>
      </c>
      <c r="F333" s="19" t="str">
        <f>IF('Supplier selection'!F333="","",'Supplier selection'!F333)</f>
        <v/>
      </c>
      <c r="G333" s="19" t="str">
        <f>IF('Supplier selection'!G333="","",'Supplier selection'!G333)</f>
        <v/>
      </c>
      <c r="H333" s="19" t="str">
        <f>IF('Supplier selection'!H333="","",'Supplier selection'!H333)</f>
        <v/>
      </c>
      <c r="I333" s="19" t="str">
        <f>IF('Supplier selection'!I333="","",'Supplier selection'!I333)</f>
        <v/>
      </c>
      <c r="J333" s="19" t="str">
        <f>IF('Supplier selection'!J333="","",'Supplier selection'!J333)</f>
        <v/>
      </c>
      <c r="K333" s="19" t="str">
        <f>IF('Supplier selection'!K333="","",'Supplier selection'!K333)</f>
        <v/>
      </c>
      <c r="L333" s="19" t="str">
        <f>IF('Supplier selection'!L333="","",'Supplier selection'!L333)</f>
        <v/>
      </c>
      <c r="M333" s="19" t="str">
        <f>IF('Supplier selection'!M333="","",'Supplier selection'!M333)</f>
        <v/>
      </c>
      <c r="N333" s="19" t="str">
        <f>IF('Supplier selection'!N333="","",'Supplier selection'!N333)</f>
        <v/>
      </c>
      <c r="O333" s="19" t="str">
        <f>IF('Supplier selection'!O333="","",'Supplier selection'!O333)</f>
        <v/>
      </c>
      <c r="Q333" s="19" t="str">
        <f>HLOOKUP($Q$3,'Supplier selection'!$AW$4:'Supplier selection'!$CT$1000,$A334,FALSE)</f>
        <v/>
      </c>
      <c r="R333" s="22" t="str">
        <f t="shared" si="55"/>
        <v/>
      </c>
      <c r="S333" s="19" t="str">
        <f t="shared" si="56"/>
        <v/>
      </c>
      <c r="T333" s="22" t="str">
        <f t="shared" si="57"/>
        <v/>
      </c>
      <c r="U333" s="19" t="str">
        <f t="shared" si="58"/>
        <v/>
      </c>
      <c r="V333" s="7"/>
      <c r="Y333" s="19" t="str">
        <f>IF('Supplier selection'!AQ333="","",'Supplier selection'!AQ333)</f>
        <v/>
      </c>
      <c r="Z333" s="19" t="str">
        <f>IF('Supplier selection'!AR333="","",'Supplier selection'!AR333)</f>
        <v/>
      </c>
      <c r="AA333" s="19" t="str">
        <f t="shared" si="59"/>
        <v/>
      </c>
      <c r="AD333" s="26" t="str">
        <f>IF(AND('Supplier selection'!X333="",'Supplier selection'!AE333=""),"",IF('Supplier selection'!X333="",'Supplier selection'!AE333,'Supplier selection'!X333))</f>
        <v/>
      </c>
      <c r="AE333" s="19" t="str">
        <f t="shared" si="60"/>
        <v/>
      </c>
      <c r="AF333" s="19" t="str">
        <f t="shared" si="61"/>
        <v/>
      </c>
      <c r="AG333" s="27" t="str">
        <f>IF(AND('Supplier selection'!AB333="",'Supplier selection'!AI333=""),"",IF('Supplier selection'!AB333="",'Supplier selection'!AI333,'Supplier selection'!AB333))</f>
        <v/>
      </c>
      <c r="AH333" s="28" t="str">
        <f t="shared" si="62"/>
        <v/>
      </c>
      <c r="AI333" s="7" t="str">
        <f t="shared" si="63"/>
        <v/>
      </c>
      <c r="AJ333" s="22" t="str">
        <f t="shared" si="64"/>
        <v/>
      </c>
      <c r="AK333" s="29" t="str">
        <f t="shared" si="65"/>
        <v/>
      </c>
      <c r="AL333" s="10"/>
    </row>
    <row r="334" spans="1:38">
      <c r="A334" s="19">
        <f>IF('Supplier selection'!A334="","",'Supplier selection'!A334)</f>
        <v>330</v>
      </c>
      <c r="B334" s="19" t="str">
        <f>IF('Supplier selection'!B334="","",'Supplier selection'!B334)</f>
        <v/>
      </c>
      <c r="C334" s="19" t="str">
        <f>IF('Supplier selection'!C334="","",'Supplier selection'!C334)</f>
        <v/>
      </c>
      <c r="D334" s="19" t="str">
        <f>IF('Supplier selection'!D334="","",'Supplier selection'!D334)</f>
        <v/>
      </c>
      <c r="E334" s="19" t="str">
        <f>IF('Supplier selection'!E334="","",'Supplier selection'!E334)</f>
        <v/>
      </c>
      <c r="F334" s="19" t="str">
        <f>IF('Supplier selection'!F334="","",'Supplier selection'!F334)</f>
        <v/>
      </c>
      <c r="G334" s="19" t="str">
        <f>IF('Supplier selection'!G334="","",'Supplier selection'!G334)</f>
        <v/>
      </c>
      <c r="H334" s="19" t="str">
        <f>IF('Supplier selection'!H334="","",'Supplier selection'!H334)</f>
        <v/>
      </c>
      <c r="I334" s="19" t="str">
        <f>IF('Supplier selection'!I334="","",'Supplier selection'!I334)</f>
        <v/>
      </c>
      <c r="J334" s="19" t="str">
        <f>IF('Supplier selection'!J334="","",'Supplier selection'!J334)</f>
        <v/>
      </c>
      <c r="K334" s="19" t="str">
        <f>IF('Supplier selection'!K334="","",'Supplier selection'!K334)</f>
        <v/>
      </c>
      <c r="L334" s="19" t="str">
        <f>IF('Supplier selection'!L334="","",'Supplier selection'!L334)</f>
        <v/>
      </c>
      <c r="M334" s="19" t="str">
        <f>IF('Supplier selection'!M334="","",'Supplier selection'!M334)</f>
        <v/>
      </c>
      <c r="N334" s="19" t="str">
        <f>IF('Supplier selection'!N334="","",'Supplier selection'!N334)</f>
        <v/>
      </c>
      <c r="O334" s="19" t="str">
        <f>IF('Supplier selection'!O334="","",'Supplier selection'!O334)</f>
        <v/>
      </c>
      <c r="Q334" s="19" t="str">
        <f>HLOOKUP($Q$3,'Supplier selection'!$AW$4:'Supplier selection'!$CT$1000,$A335,FALSE)</f>
        <v/>
      </c>
      <c r="R334" s="22" t="str">
        <f t="shared" si="55"/>
        <v/>
      </c>
      <c r="S334" s="19" t="str">
        <f t="shared" si="56"/>
        <v/>
      </c>
      <c r="T334" s="22" t="str">
        <f t="shared" si="57"/>
        <v/>
      </c>
      <c r="U334" s="19" t="str">
        <f t="shared" si="58"/>
        <v/>
      </c>
      <c r="V334" s="7"/>
      <c r="Y334" s="19" t="str">
        <f>IF('Supplier selection'!AQ334="","",'Supplier selection'!AQ334)</f>
        <v/>
      </c>
      <c r="Z334" s="19" t="str">
        <f>IF('Supplier selection'!AR334="","",'Supplier selection'!AR334)</f>
        <v/>
      </c>
      <c r="AA334" s="19" t="str">
        <f t="shared" si="59"/>
        <v/>
      </c>
      <c r="AD334" s="26" t="str">
        <f>IF(AND('Supplier selection'!X334="",'Supplier selection'!AE334=""),"",IF('Supplier selection'!X334="",'Supplier selection'!AE334,'Supplier selection'!X334))</f>
        <v/>
      </c>
      <c r="AE334" s="19" t="str">
        <f t="shared" si="60"/>
        <v/>
      </c>
      <c r="AF334" s="19" t="str">
        <f t="shared" si="61"/>
        <v/>
      </c>
      <c r="AG334" s="27" t="str">
        <f>IF(AND('Supplier selection'!AB334="",'Supplier selection'!AI334=""),"",IF('Supplier selection'!AB334="",'Supplier selection'!AI334,'Supplier selection'!AB334))</f>
        <v/>
      </c>
      <c r="AH334" s="28" t="str">
        <f t="shared" si="62"/>
        <v/>
      </c>
      <c r="AI334" s="7" t="str">
        <f t="shared" si="63"/>
        <v/>
      </c>
      <c r="AJ334" s="22" t="str">
        <f t="shared" si="64"/>
        <v/>
      </c>
      <c r="AK334" s="29" t="str">
        <f t="shared" si="65"/>
        <v/>
      </c>
      <c r="AL334" s="10"/>
    </row>
    <row r="335" spans="1:38">
      <c r="A335" s="19">
        <f>IF('Supplier selection'!A335="","",'Supplier selection'!A335)</f>
        <v>331</v>
      </c>
      <c r="B335" s="19" t="str">
        <f>IF('Supplier selection'!B335="","",'Supplier selection'!B335)</f>
        <v/>
      </c>
      <c r="C335" s="19" t="str">
        <f>IF('Supplier selection'!C335="","",'Supplier selection'!C335)</f>
        <v/>
      </c>
      <c r="D335" s="19" t="str">
        <f>IF('Supplier selection'!D335="","",'Supplier selection'!D335)</f>
        <v/>
      </c>
      <c r="E335" s="19" t="str">
        <f>IF('Supplier selection'!E335="","",'Supplier selection'!E335)</f>
        <v/>
      </c>
      <c r="F335" s="19" t="str">
        <f>IF('Supplier selection'!F335="","",'Supplier selection'!F335)</f>
        <v/>
      </c>
      <c r="G335" s="19" t="str">
        <f>IF('Supplier selection'!G335="","",'Supplier selection'!G335)</f>
        <v/>
      </c>
      <c r="H335" s="19" t="str">
        <f>IF('Supplier selection'!H335="","",'Supplier selection'!H335)</f>
        <v/>
      </c>
      <c r="I335" s="19" t="str">
        <f>IF('Supplier selection'!I335="","",'Supplier selection'!I335)</f>
        <v/>
      </c>
      <c r="J335" s="19" t="str">
        <f>IF('Supplier selection'!J335="","",'Supplier selection'!J335)</f>
        <v/>
      </c>
      <c r="K335" s="19" t="str">
        <f>IF('Supplier selection'!K335="","",'Supplier selection'!K335)</f>
        <v/>
      </c>
      <c r="L335" s="19" t="str">
        <f>IF('Supplier selection'!L335="","",'Supplier selection'!L335)</f>
        <v/>
      </c>
      <c r="M335" s="19" t="str">
        <f>IF('Supplier selection'!M335="","",'Supplier selection'!M335)</f>
        <v/>
      </c>
      <c r="N335" s="19" t="str">
        <f>IF('Supplier selection'!N335="","",'Supplier selection'!N335)</f>
        <v/>
      </c>
      <c r="O335" s="19" t="str">
        <f>IF('Supplier selection'!O335="","",'Supplier selection'!O335)</f>
        <v/>
      </c>
      <c r="Q335" s="19" t="str">
        <f>HLOOKUP($Q$3,'Supplier selection'!$AW$4:'Supplier selection'!$CT$1000,$A336,FALSE)</f>
        <v/>
      </c>
      <c r="R335" s="22" t="str">
        <f t="shared" si="55"/>
        <v/>
      </c>
      <c r="S335" s="19" t="str">
        <f t="shared" si="56"/>
        <v/>
      </c>
      <c r="T335" s="22" t="str">
        <f t="shared" si="57"/>
        <v/>
      </c>
      <c r="U335" s="19" t="str">
        <f t="shared" si="58"/>
        <v/>
      </c>
      <c r="V335" s="7"/>
      <c r="Y335" s="19" t="str">
        <f>IF('Supplier selection'!AQ335="","",'Supplier selection'!AQ335)</f>
        <v/>
      </c>
      <c r="Z335" s="19" t="str">
        <f>IF('Supplier selection'!AR335="","",'Supplier selection'!AR335)</f>
        <v/>
      </c>
      <c r="AA335" s="19" t="str">
        <f t="shared" si="59"/>
        <v/>
      </c>
      <c r="AD335" s="26" t="str">
        <f>IF(AND('Supplier selection'!X335="",'Supplier selection'!AE335=""),"",IF('Supplier selection'!X335="",'Supplier selection'!AE335,'Supplier selection'!X335))</f>
        <v/>
      </c>
      <c r="AE335" s="19" t="str">
        <f t="shared" si="60"/>
        <v/>
      </c>
      <c r="AF335" s="19" t="str">
        <f t="shared" si="61"/>
        <v/>
      </c>
      <c r="AG335" s="27" t="str">
        <f>IF(AND('Supplier selection'!AB335="",'Supplier selection'!AI335=""),"",IF('Supplier selection'!AB335="",'Supplier selection'!AI335,'Supplier selection'!AB335))</f>
        <v/>
      </c>
      <c r="AH335" s="28" t="str">
        <f t="shared" si="62"/>
        <v/>
      </c>
      <c r="AI335" s="7" t="str">
        <f t="shared" si="63"/>
        <v/>
      </c>
      <c r="AJ335" s="22" t="str">
        <f t="shared" si="64"/>
        <v/>
      </c>
      <c r="AK335" s="29" t="str">
        <f t="shared" si="65"/>
        <v/>
      </c>
      <c r="AL335" s="10"/>
    </row>
    <row r="336" spans="1:38">
      <c r="A336" s="19">
        <f>IF('Supplier selection'!A336="","",'Supplier selection'!A336)</f>
        <v>332</v>
      </c>
      <c r="B336" s="19" t="str">
        <f>IF('Supplier selection'!B336="","",'Supplier selection'!B336)</f>
        <v/>
      </c>
      <c r="C336" s="19" t="str">
        <f>IF('Supplier selection'!C336="","",'Supplier selection'!C336)</f>
        <v/>
      </c>
      <c r="D336" s="19" t="str">
        <f>IF('Supplier selection'!D336="","",'Supplier selection'!D336)</f>
        <v/>
      </c>
      <c r="E336" s="19" t="str">
        <f>IF('Supplier selection'!E336="","",'Supplier selection'!E336)</f>
        <v/>
      </c>
      <c r="F336" s="19" t="str">
        <f>IF('Supplier selection'!F336="","",'Supplier selection'!F336)</f>
        <v/>
      </c>
      <c r="G336" s="19" t="str">
        <f>IF('Supplier selection'!G336="","",'Supplier selection'!G336)</f>
        <v/>
      </c>
      <c r="H336" s="19" t="str">
        <f>IF('Supplier selection'!H336="","",'Supplier selection'!H336)</f>
        <v/>
      </c>
      <c r="I336" s="19" t="str">
        <f>IF('Supplier selection'!I336="","",'Supplier selection'!I336)</f>
        <v/>
      </c>
      <c r="J336" s="19" t="str">
        <f>IF('Supplier selection'!J336="","",'Supplier selection'!J336)</f>
        <v/>
      </c>
      <c r="K336" s="19" t="str">
        <f>IF('Supplier selection'!K336="","",'Supplier selection'!K336)</f>
        <v/>
      </c>
      <c r="L336" s="19" t="str">
        <f>IF('Supplier selection'!L336="","",'Supplier selection'!L336)</f>
        <v/>
      </c>
      <c r="M336" s="19" t="str">
        <f>IF('Supplier selection'!M336="","",'Supplier selection'!M336)</f>
        <v/>
      </c>
      <c r="N336" s="19" t="str">
        <f>IF('Supplier selection'!N336="","",'Supplier selection'!N336)</f>
        <v/>
      </c>
      <c r="O336" s="19" t="str">
        <f>IF('Supplier selection'!O336="","",'Supplier selection'!O336)</f>
        <v/>
      </c>
      <c r="Q336" s="19" t="str">
        <f>HLOOKUP($Q$3,'Supplier selection'!$AW$4:'Supplier selection'!$CT$1000,$A337,FALSE)</f>
        <v/>
      </c>
      <c r="R336" s="22" t="str">
        <f t="shared" si="55"/>
        <v/>
      </c>
      <c r="S336" s="19" t="str">
        <f t="shared" si="56"/>
        <v/>
      </c>
      <c r="T336" s="22" t="str">
        <f t="shared" si="57"/>
        <v/>
      </c>
      <c r="U336" s="19" t="str">
        <f t="shared" si="58"/>
        <v/>
      </c>
      <c r="V336" s="7"/>
      <c r="Y336" s="19" t="str">
        <f>IF('Supplier selection'!AQ336="","",'Supplier selection'!AQ336)</f>
        <v/>
      </c>
      <c r="Z336" s="19" t="str">
        <f>IF('Supplier selection'!AR336="","",'Supplier selection'!AR336)</f>
        <v/>
      </c>
      <c r="AA336" s="19" t="str">
        <f t="shared" si="59"/>
        <v/>
      </c>
      <c r="AD336" s="26" t="str">
        <f>IF(AND('Supplier selection'!X336="",'Supplier selection'!AE336=""),"",IF('Supplier selection'!X336="",'Supplier selection'!AE336,'Supplier selection'!X336))</f>
        <v/>
      </c>
      <c r="AE336" s="19" t="str">
        <f t="shared" si="60"/>
        <v/>
      </c>
      <c r="AF336" s="19" t="str">
        <f t="shared" si="61"/>
        <v/>
      </c>
      <c r="AG336" s="27" t="str">
        <f>IF(AND('Supplier selection'!AB336="",'Supplier selection'!AI336=""),"",IF('Supplier selection'!AB336="",'Supplier selection'!AI336,'Supplier selection'!AB336))</f>
        <v/>
      </c>
      <c r="AH336" s="28" t="str">
        <f t="shared" si="62"/>
        <v/>
      </c>
      <c r="AI336" s="7" t="str">
        <f t="shared" si="63"/>
        <v/>
      </c>
      <c r="AJ336" s="22" t="str">
        <f t="shared" si="64"/>
        <v/>
      </c>
      <c r="AK336" s="29" t="str">
        <f t="shared" si="65"/>
        <v/>
      </c>
      <c r="AL336" s="10"/>
    </row>
    <row r="337" spans="1:38">
      <c r="A337" s="19">
        <f>IF('Supplier selection'!A337="","",'Supplier selection'!A337)</f>
        <v>333</v>
      </c>
      <c r="B337" s="19" t="str">
        <f>IF('Supplier selection'!B337="","",'Supplier selection'!B337)</f>
        <v/>
      </c>
      <c r="C337" s="19" t="str">
        <f>IF('Supplier selection'!C337="","",'Supplier selection'!C337)</f>
        <v/>
      </c>
      <c r="D337" s="19" t="str">
        <f>IF('Supplier selection'!D337="","",'Supplier selection'!D337)</f>
        <v/>
      </c>
      <c r="E337" s="19" t="str">
        <f>IF('Supplier selection'!E337="","",'Supplier selection'!E337)</f>
        <v/>
      </c>
      <c r="F337" s="19" t="str">
        <f>IF('Supplier selection'!F337="","",'Supplier selection'!F337)</f>
        <v/>
      </c>
      <c r="G337" s="19" t="str">
        <f>IF('Supplier selection'!G337="","",'Supplier selection'!G337)</f>
        <v/>
      </c>
      <c r="H337" s="19" t="str">
        <f>IF('Supplier selection'!H337="","",'Supplier selection'!H337)</f>
        <v/>
      </c>
      <c r="I337" s="19" t="str">
        <f>IF('Supplier selection'!I337="","",'Supplier selection'!I337)</f>
        <v/>
      </c>
      <c r="J337" s="19" t="str">
        <f>IF('Supplier selection'!J337="","",'Supplier selection'!J337)</f>
        <v/>
      </c>
      <c r="K337" s="19" t="str">
        <f>IF('Supplier selection'!K337="","",'Supplier selection'!K337)</f>
        <v/>
      </c>
      <c r="L337" s="19" t="str">
        <f>IF('Supplier selection'!L337="","",'Supplier selection'!L337)</f>
        <v/>
      </c>
      <c r="M337" s="19" t="str">
        <f>IF('Supplier selection'!M337="","",'Supplier selection'!M337)</f>
        <v/>
      </c>
      <c r="N337" s="19" t="str">
        <f>IF('Supplier selection'!N337="","",'Supplier selection'!N337)</f>
        <v/>
      </c>
      <c r="O337" s="19" t="str">
        <f>IF('Supplier selection'!O337="","",'Supplier selection'!O337)</f>
        <v/>
      </c>
      <c r="Q337" s="19" t="str">
        <f>HLOOKUP($Q$3,'Supplier selection'!$AW$4:'Supplier selection'!$CT$1000,$A338,FALSE)</f>
        <v/>
      </c>
      <c r="R337" s="22" t="str">
        <f t="shared" si="55"/>
        <v/>
      </c>
      <c r="S337" s="19" t="str">
        <f t="shared" si="56"/>
        <v/>
      </c>
      <c r="T337" s="22" t="str">
        <f t="shared" si="57"/>
        <v/>
      </c>
      <c r="U337" s="19" t="str">
        <f t="shared" si="58"/>
        <v/>
      </c>
      <c r="V337" s="7"/>
      <c r="Y337" s="19" t="str">
        <f>IF('Supplier selection'!AQ337="","",'Supplier selection'!AQ337)</f>
        <v/>
      </c>
      <c r="Z337" s="19" t="str">
        <f>IF('Supplier selection'!AR337="","",'Supplier selection'!AR337)</f>
        <v/>
      </c>
      <c r="AA337" s="19" t="str">
        <f t="shared" si="59"/>
        <v/>
      </c>
      <c r="AD337" s="26" t="str">
        <f>IF(AND('Supplier selection'!X337="",'Supplier selection'!AE337=""),"",IF('Supplier selection'!X337="",'Supplier selection'!AE337,'Supplier selection'!X337))</f>
        <v/>
      </c>
      <c r="AE337" s="19" t="str">
        <f t="shared" si="60"/>
        <v/>
      </c>
      <c r="AF337" s="19" t="str">
        <f t="shared" si="61"/>
        <v/>
      </c>
      <c r="AG337" s="27" t="str">
        <f>IF(AND('Supplier selection'!AB337="",'Supplier selection'!AI337=""),"",IF('Supplier selection'!AB337="",'Supplier selection'!AI337,'Supplier selection'!AB337))</f>
        <v/>
      </c>
      <c r="AH337" s="28" t="str">
        <f t="shared" si="62"/>
        <v/>
      </c>
      <c r="AI337" s="7" t="str">
        <f t="shared" si="63"/>
        <v/>
      </c>
      <c r="AJ337" s="22" t="str">
        <f t="shared" si="64"/>
        <v/>
      </c>
      <c r="AK337" s="29" t="str">
        <f t="shared" si="65"/>
        <v/>
      </c>
      <c r="AL337" s="10"/>
    </row>
    <row r="338" spans="1:38">
      <c r="A338" s="19">
        <f>IF('Supplier selection'!A338="","",'Supplier selection'!A338)</f>
        <v>334</v>
      </c>
      <c r="B338" s="19" t="str">
        <f>IF('Supplier selection'!B338="","",'Supplier selection'!B338)</f>
        <v/>
      </c>
      <c r="C338" s="19" t="str">
        <f>IF('Supplier selection'!C338="","",'Supplier selection'!C338)</f>
        <v/>
      </c>
      <c r="D338" s="19" t="str">
        <f>IF('Supplier selection'!D338="","",'Supplier selection'!D338)</f>
        <v/>
      </c>
      <c r="E338" s="19" t="str">
        <f>IF('Supplier selection'!E338="","",'Supplier selection'!E338)</f>
        <v/>
      </c>
      <c r="F338" s="19" t="str">
        <f>IF('Supplier selection'!F338="","",'Supplier selection'!F338)</f>
        <v/>
      </c>
      <c r="G338" s="19" t="str">
        <f>IF('Supplier selection'!G338="","",'Supplier selection'!G338)</f>
        <v/>
      </c>
      <c r="H338" s="19" t="str">
        <f>IF('Supplier selection'!H338="","",'Supplier selection'!H338)</f>
        <v/>
      </c>
      <c r="I338" s="19" t="str">
        <f>IF('Supplier selection'!I338="","",'Supplier selection'!I338)</f>
        <v/>
      </c>
      <c r="J338" s="19" t="str">
        <f>IF('Supplier selection'!J338="","",'Supplier selection'!J338)</f>
        <v/>
      </c>
      <c r="K338" s="19" t="str">
        <f>IF('Supplier selection'!K338="","",'Supplier selection'!K338)</f>
        <v/>
      </c>
      <c r="L338" s="19" t="str">
        <f>IF('Supplier selection'!L338="","",'Supplier selection'!L338)</f>
        <v/>
      </c>
      <c r="M338" s="19" t="str">
        <f>IF('Supplier selection'!M338="","",'Supplier selection'!M338)</f>
        <v/>
      </c>
      <c r="N338" s="19" t="str">
        <f>IF('Supplier selection'!N338="","",'Supplier selection'!N338)</f>
        <v/>
      </c>
      <c r="O338" s="19" t="str">
        <f>IF('Supplier selection'!O338="","",'Supplier selection'!O338)</f>
        <v/>
      </c>
      <c r="Q338" s="19" t="str">
        <f>HLOOKUP($Q$3,'Supplier selection'!$AW$4:'Supplier selection'!$CT$1000,$A339,FALSE)</f>
        <v/>
      </c>
      <c r="R338" s="22" t="str">
        <f t="shared" si="55"/>
        <v/>
      </c>
      <c r="S338" s="19" t="str">
        <f t="shared" si="56"/>
        <v/>
      </c>
      <c r="T338" s="22" t="str">
        <f t="shared" si="57"/>
        <v/>
      </c>
      <c r="U338" s="19" t="str">
        <f t="shared" si="58"/>
        <v/>
      </c>
      <c r="V338" s="7"/>
      <c r="Y338" s="19" t="str">
        <f>IF('Supplier selection'!AQ338="","",'Supplier selection'!AQ338)</f>
        <v/>
      </c>
      <c r="Z338" s="19" t="str">
        <f>IF('Supplier selection'!AR338="","",'Supplier selection'!AR338)</f>
        <v/>
      </c>
      <c r="AA338" s="19" t="str">
        <f t="shared" si="59"/>
        <v/>
      </c>
      <c r="AD338" s="26" t="str">
        <f>IF(AND('Supplier selection'!X338="",'Supplier selection'!AE338=""),"",IF('Supplier selection'!X338="",'Supplier selection'!AE338,'Supplier selection'!X338))</f>
        <v/>
      </c>
      <c r="AE338" s="19" t="str">
        <f t="shared" si="60"/>
        <v/>
      </c>
      <c r="AF338" s="19" t="str">
        <f t="shared" si="61"/>
        <v/>
      </c>
      <c r="AG338" s="27" t="str">
        <f>IF(AND('Supplier selection'!AB338="",'Supplier selection'!AI338=""),"",IF('Supplier selection'!AB338="",'Supplier selection'!AI338,'Supplier selection'!AB338))</f>
        <v/>
      </c>
      <c r="AH338" s="28" t="str">
        <f t="shared" si="62"/>
        <v/>
      </c>
      <c r="AI338" s="7" t="str">
        <f t="shared" si="63"/>
        <v/>
      </c>
      <c r="AJ338" s="22" t="str">
        <f t="shared" si="64"/>
        <v/>
      </c>
      <c r="AK338" s="29" t="str">
        <f t="shared" si="65"/>
        <v/>
      </c>
      <c r="AL338" s="10"/>
    </row>
    <row r="339" spans="1:38">
      <c r="A339" s="19">
        <f>IF('Supplier selection'!A339="","",'Supplier selection'!A339)</f>
        <v>335</v>
      </c>
      <c r="B339" s="19" t="str">
        <f>IF('Supplier selection'!B339="","",'Supplier selection'!B339)</f>
        <v/>
      </c>
      <c r="C339" s="19" t="str">
        <f>IF('Supplier selection'!C339="","",'Supplier selection'!C339)</f>
        <v/>
      </c>
      <c r="D339" s="19" t="str">
        <f>IF('Supplier selection'!D339="","",'Supplier selection'!D339)</f>
        <v/>
      </c>
      <c r="E339" s="19" t="str">
        <f>IF('Supplier selection'!E339="","",'Supplier selection'!E339)</f>
        <v/>
      </c>
      <c r="F339" s="19" t="str">
        <f>IF('Supplier selection'!F339="","",'Supplier selection'!F339)</f>
        <v/>
      </c>
      <c r="G339" s="19" t="str">
        <f>IF('Supplier selection'!G339="","",'Supplier selection'!G339)</f>
        <v/>
      </c>
      <c r="H339" s="19" t="str">
        <f>IF('Supplier selection'!H339="","",'Supplier selection'!H339)</f>
        <v/>
      </c>
      <c r="I339" s="19" t="str">
        <f>IF('Supplier selection'!I339="","",'Supplier selection'!I339)</f>
        <v/>
      </c>
      <c r="J339" s="19" t="str">
        <f>IF('Supplier selection'!J339="","",'Supplier selection'!J339)</f>
        <v/>
      </c>
      <c r="K339" s="19" t="str">
        <f>IF('Supplier selection'!K339="","",'Supplier selection'!K339)</f>
        <v/>
      </c>
      <c r="L339" s="19" t="str">
        <f>IF('Supplier selection'!L339="","",'Supplier selection'!L339)</f>
        <v/>
      </c>
      <c r="M339" s="19" t="str">
        <f>IF('Supplier selection'!M339="","",'Supplier selection'!M339)</f>
        <v/>
      </c>
      <c r="N339" s="19" t="str">
        <f>IF('Supplier selection'!N339="","",'Supplier selection'!N339)</f>
        <v/>
      </c>
      <c r="O339" s="19" t="str">
        <f>IF('Supplier selection'!O339="","",'Supplier selection'!O339)</f>
        <v/>
      </c>
      <c r="Q339" s="19" t="str">
        <f>HLOOKUP($Q$3,'Supplier selection'!$AW$4:'Supplier selection'!$CT$1000,$A340,FALSE)</f>
        <v/>
      </c>
      <c r="R339" s="22" t="str">
        <f t="shared" si="55"/>
        <v/>
      </c>
      <c r="S339" s="19" t="str">
        <f t="shared" si="56"/>
        <v/>
      </c>
      <c r="T339" s="22" t="str">
        <f t="shared" si="57"/>
        <v/>
      </c>
      <c r="U339" s="19" t="str">
        <f t="shared" si="58"/>
        <v/>
      </c>
      <c r="V339" s="7"/>
      <c r="Y339" s="19" t="str">
        <f>IF('Supplier selection'!AQ339="","",'Supplier selection'!AQ339)</f>
        <v/>
      </c>
      <c r="Z339" s="19" t="str">
        <f>IF('Supplier selection'!AR339="","",'Supplier selection'!AR339)</f>
        <v/>
      </c>
      <c r="AA339" s="19" t="str">
        <f t="shared" si="59"/>
        <v/>
      </c>
      <c r="AD339" s="26" t="str">
        <f>IF(AND('Supplier selection'!X339="",'Supplier selection'!AE339=""),"",IF('Supplier selection'!X339="",'Supplier selection'!AE339,'Supplier selection'!X339))</f>
        <v/>
      </c>
      <c r="AE339" s="19" t="str">
        <f t="shared" si="60"/>
        <v/>
      </c>
      <c r="AF339" s="19" t="str">
        <f t="shared" si="61"/>
        <v/>
      </c>
      <c r="AG339" s="27" t="str">
        <f>IF(AND('Supplier selection'!AB339="",'Supplier selection'!AI339=""),"",IF('Supplier selection'!AB339="",'Supplier selection'!AI339,'Supplier selection'!AB339))</f>
        <v/>
      </c>
      <c r="AH339" s="28" t="str">
        <f t="shared" si="62"/>
        <v/>
      </c>
      <c r="AI339" s="7" t="str">
        <f t="shared" si="63"/>
        <v/>
      </c>
      <c r="AJ339" s="22" t="str">
        <f t="shared" si="64"/>
        <v/>
      </c>
      <c r="AK339" s="29" t="str">
        <f t="shared" si="65"/>
        <v/>
      </c>
      <c r="AL339" s="10"/>
    </row>
    <row r="340" spans="1:38">
      <c r="A340" s="19">
        <f>IF('Supplier selection'!A340="","",'Supplier selection'!A340)</f>
        <v>336</v>
      </c>
      <c r="B340" s="19" t="str">
        <f>IF('Supplier selection'!B340="","",'Supplier selection'!B340)</f>
        <v/>
      </c>
      <c r="C340" s="19" t="str">
        <f>IF('Supplier selection'!C340="","",'Supplier selection'!C340)</f>
        <v/>
      </c>
      <c r="D340" s="19" t="str">
        <f>IF('Supplier selection'!D340="","",'Supplier selection'!D340)</f>
        <v/>
      </c>
      <c r="E340" s="19" t="str">
        <f>IF('Supplier selection'!E340="","",'Supplier selection'!E340)</f>
        <v/>
      </c>
      <c r="F340" s="19" t="str">
        <f>IF('Supplier selection'!F340="","",'Supplier selection'!F340)</f>
        <v/>
      </c>
      <c r="G340" s="19" t="str">
        <f>IF('Supplier selection'!G340="","",'Supplier selection'!G340)</f>
        <v/>
      </c>
      <c r="H340" s="19" t="str">
        <f>IF('Supplier selection'!H340="","",'Supplier selection'!H340)</f>
        <v/>
      </c>
      <c r="I340" s="19" t="str">
        <f>IF('Supplier selection'!I340="","",'Supplier selection'!I340)</f>
        <v/>
      </c>
      <c r="J340" s="19" t="str">
        <f>IF('Supplier selection'!J340="","",'Supplier selection'!J340)</f>
        <v/>
      </c>
      <c r="K340" s="19" t="str">
        <f>IF('Supplier selection'!K340="","",'Supplier selection'!K340)</f>
        <v/>
      </c>
      <c r="L340" s="19" t="str">
        <f>IF('Supplier selection'!L340="","",'Supplier selection'!L340)</f>
        <v/>
      </c>
      <c r="M340" s="19" t="str">
        <f>IF('Supplier selection'!M340="","",'Supplier selection'!M340)</f>
        <v/>
      </c>
      <c r="N340" s="19" t="str">
        <f>IF('Supplier selection'!N340="","",'Supplier selection'!N340)</f>
        <v/>
      </c>
      <c r="O340" s="19" t="str">
        <f>IF('Supplier selection'!O340="","",'Supplier selection'!O340)</f>
        <v/>
      </c>
      <c r="Q340" s="19" t="str">
        <f>HLOOKUP($Q$3,'Supplier selection'!$AW$4:'Supplier selection'!$CT$1000,$A341,FALSE)</f>
        <v/>
      </c>
      <c r="R340" s="22" t="str">
        <f t="shared" si="55"/>
        <v/>
      </c>
      <c r="S340" s="19" t="str">
        <f t="shared" si="56"/>
        <v/>
      </c>
      <c r="T340" s="22" t="str">
        <f t="shared" si="57"/>
        <v/>
      </c>
      <c r="U340" s="19" t="str">
        <f t="shared" si="58"/>
        <v/>
      </c>
      <c r="V340" s="7"/>
      <c r="Y340" s="19" t="str">
        <f>IF('Supplier selection'!AQ340="","",'Supplier selection'!AQ340)</f>
        <v/>
      </c>
      <c r="Z340" s="19" t="str">
        <f>IF('Supplier selection'!AR340="","",'Supplier selection'!AR340)</f>
        <v/>
      </c>
      <c r="AA340" s="19" t="str">
        <f t="shared" si="59"/>
        <v/>
      </c>
      <c r="AD340" s="26" t="str">
        <f>IF(AND('Supplier selection'!X340="",'Supplier selection'!AE340=""),"",IF('Supplier selection'!X340="",'Supplier selection'!AE340,'Supplier selection'!X340))</f>
        <v/>
      </c>
      <c r="AE340" s="19" t="str">
        <f t="shared" si="60"/>
        <v/>
      </c>
      <c r="AF340" s="19" t="str">
        <f t="shared" si="61"/>
        <v/>
      </c>
      <c r="AG340" s="27" t="str">
        <f>IF(AND('Supplier selection'!AB340="",'Supplier selection'!AI340=""),"",IF('Supplier selection'!AB340="",'Supplier selection'!AI340,'Supplier selection'!AB340))</f>
        <v/>
      </c>
      <c r="AH340" s="28" t="str">
        <f t="shared" si="62"/>
        <v/>
      </c>
      <c r="AI340" s="7" t="str">
        <f t="shared" si="63"/>
        <v/>
      </c>
      <c r="AJ340" s="22" t="str">
        <f t="shared" si="64"/>
        <v/>
      </c>
      <c r="AK340" s="29" t="str">
        <f t="shared" si="65"/>
        <v/>
      </c>
      <c r="AL340" s="10"/>
    </row>
    <row r="341" spans="1:38">
      <c r="A341" s="19">
        <f>IF('Supplier selection'!A341="","",'Supplier selection'!A341)</f>
        <v>337</v>
      </c>
      <c r="B341" s="19" t="str">
        <f>IF('Supplier selection'!B341="","",'Supplier selection'!B341)</f>
        <v/>
      </c>
      <c r="C341" s="19" t="str">
        <f>IF('Supplier selection'!C341="","",'Supplier selection'!C341)</f>
        <v/>
      </c>
      <c r="D341" s="19" t="str">
        <f>IF('Supplier selection'!D341="","",'Supplier selection'!D341)</f>
        <v/>
      </c>
      <c r="E341" s="19" t="str">
        <f>IF('Supplier selection'!E341="","",'Supplier selection'!E341)</f>
        <v/>
      </c>
      <c r="F341" s="19" t="str">
        <f>IF('Supplier selection'!F341="","",'Supplier selection'!F341)</f>
        <v/>
      </c>
      <c r="G341" s="19" t="str">
        <f>IF('Supplier selection'!G341="","",'Supplier selection'!G341)</f>
        <v/>
      </c>
      <c r="H341" s="19" t="str">
        <f>IF('Supplier selection'!H341="","",'Supplier selection'!H341)</f>
        <v/>
      </c>
      <c r="I341" s="19" t="str">
        <f>IF('Supplier selection'!I341="","",'Supplier selection'!I341)</f>
        <v/>
      </c>
      <c r="J341" s="19" t="str">
        <f>IF('Supplier selection'!J341="","",'Supplier selection'!J341)</f>
        <v/>
      </c>
      <c r="K341" s="19" t="str">
        <f>IF('Supplier selection'!K341="","",'Supplier selection'!K341)</f>
        <v/>
      </c>
      <c r="L341" s="19" t="str">
        <f>IF('Supplier selection'!L341="","",'Supplier selection'!L341)</f>
        <v/>
      </c>
      <c r="M341" s="19" t="str">
        <f>IF('Supplier selection'!M341="","",'Supplier selection'!M341)</f>
        <v/>
      </c>
      <c r="N341" s="19" t="str">
        <f>IF('Supplier selection'!N341="","",'Supplier selection'!N341)</f>
        <v/>
      </c>
      <c r="O341" s="19" t="str">
        <f>IF('Supplier selection'!O341="","",'Supplier selection'!O341)</f>
        <v/>
      </c>
      <c r="Q341" s="19" t="str">
        <f>HLOOKUP($Q$3,'Supplier selection'!$AW$4:'Supplier selection'!$CT$1000,$A342,FALSE)</f>
        <v/>
      </c>
      <c r="R341" s="22" t="str">
        <f t="shared" si="55"/>
        <v/>
      </c>
      <c r="S341" s="19" t="str">
        <f t="shared" si="56"/>
        <v/>
      </c>
      <c r="T341" s="22" t="str">
        <f t="shared" si="57"/>
        <v/>
      </c>
      <c r="U341" s="19" t="str">
        <f t="shared" si="58"/>
        <v/>
      </c>
      <c r="V341" s="7"/>
      <c r="Y341" s="19" t="str">
        <f>IF('Supplier selection'!AQ341="","",'Supplier selection'!AQ341)</f>
        <v/>
      </c>
      <c r="Z341" s="19" t="str">
        <f>IF('Supplier selection'!AR341="","",'Supplier selection'!AR341)</f>
        <v/>
      </c>
      <c r="AA341" s="19" t="str">
        <f t="shared" si="59"/>
        <v/>
      </c>
      <c r="AD341" s="26" t="str">
        <f>IF(AND('Supplier selection'!X341="",'Supplier selection'!AE341=""),"",IF('Supplier selection'!X341="",'Supplier selection'!AE341,'Supplier selection'!X341))</f>
        <v/>
      </c>
      <c r="AE341" s="19" t="str">
        <f t="shared" si="60"/>
        <v/>
      </c>
      <c r="AF341" s="19" t="str">
        <f t="shared" si="61"/>
        <v/>
      </c>
      <c r="AG341" s="27" t="str">
        <f>IF(AND('Supplier selection'!AB341="",'Supplier selection'!AI341=""),"",IF('Supplier selection'!AB341="",'Supplier selection'!AI341,'Supplier selection'!AB341))</f>
        <v/>
      </c>
      <c r="AH341" s="28" t="str">
        <f t="shared" si="62"/>
        <v/>
      </c>
      <c r="AI341" s="7" t="str">
        <f t="shared" si="63"/>
        <v/>
      </c>
      <c r="AJ341" s="22" t="str">
        <f t="shared" si="64"/>
        <v/>
      </c>
      <c r="AK341" s="29" t="str">
        <f t="shared" si="65"/>
        <v/>
      </c>
      <c r="AL341" s="10"/>
    </row>
    <row r="342" spans="1:38">
      <c r="A342" s="19">
        <f>IF('Supplier selection'!A342="","",'Supplier selection'!A342)</f>
        <v>338</v>
      </c>
      <c r="B342" s="19" t="str">
        <f>IF('Supplier selection'!B342="","",'Supplier selection'!B342)</f>
        <v/>
      </c>
      <c r="C342" s="19" t="str">
        <f>IF('Supplier selection'!C342="","",'Supplier selection'!C342)</f>
        <v/>
      </c>
      <c r="D342" s="19" t="str">
        <f>IF('Supplier selection'!D342="","",'Supplier selection'!D342)</f>
        <v/>
      </c>
      <c r="E342" s="19" t="str">
        <f>IF('Supplier selection'!E342="","",'Supplier selection'!E342)</f>
        <v/>
      </c>
      <c r="F342" s="19" t="str">
        <f>IF('Supplier selection'!F342="","",'Supplier selection'!F342)</f>
        <v/>
      </c>
      <c r="G342" s="19" t="str">
        <f>IF('Supplier selection'!G342="","",'Supplier selection'!G342)</f>
        <v/>
      </c>
      <c r="H342" s="19" t="str">
        <f>IF('Supplier selection'!H342="","",'Supplier selection'!H342)</f>
        <v/>
      </c>
      <c r="I342" s="19" t="str">
        <f>IF('Supplier selection'!I342="","",'Supplier selection'!I342)</f>
        <v/>
      </c>
      <c r="J342" s="19" t="str">
        <f>IF('Supplier selection'!J342="","",'Supplier selection'!J342)</f>
        <v/>
      </c>
      <c r="K342" s="19" t="str">
        <f>IF('Supplier selection'!K342="","",'Supplier selection'!K342)</f>
        <v/>
      </c>
      <c r="L342" s="19" t="str">
        <f>IF('Supplier selection'!L342="","",'Supplier selection'!L342)</f>
        <v/>
      </c>
      <c r="M342" s="19" t="str">
        <f>IF('Supplier selection'!M342="","",'Supplier selection'!M342)</f>
        <v/>
      </c>
      <c r="N342" s="19" t="str">
        <f>IF('Supplier selection'!N342="","",'Supplier selection'!N342)</f>
        <v/>
      </c>
      <c r="O342" s="19" t="str">
        <f>IF('Supplier selection'!O342="","",'Supplier selection'!O342)</f>
        <v/>
      </c>
      <c r="Q342" s="19" t="str">
        <f>HLOOKUP($Q$3,'Supplier selection'!$AW$4:'Supplier selection'!$CT$1000,$A343,FALSE)</f>
        <v/>
      </c>
      <c r="R342" s="22" t="str">
        <f t="shared" si="55"/>
        <v/>
      </c>
      <c r="S342" s="19" t="str">
        <f t="shared" si="56"/>
        <v/>
      </c>
      <c r="T342" s="22" t="str">
        <f t="shared" si="57"/>
        <v/>
      </c>
      <c r="U342" s="19" t="str">
        <f t="shared" si="58"/>
        <v/>
      </c>
      <c r="V342" s="7"/>
      <c r="Y342" s="19" t="str">
        <f>IF('Supplier selection'!AQ342="","",'Supplier selection'!AQ342)</f>
        <v/>
      </c>
      <c r="Z342" s="19" t="str">
        <f>IF('Supplier selection'!AR342="","",'Supplier selection'!AR342)</f>
        <v/>
      </c>
      <c r="AA342" s="19" t="str">
        <f t="shared" si="59"/>
        <v/>
      </c>
      <c r="AD342" s="26" t="str">
        <f>IF(AND('Supplier selection'!X342="",'Supplier selection'!AE342=""),"",IF('Supplier selection'!X342="",'Supplier selection'!AE342,'Supplier selection'!X342))</f>
        <v/>
      </c>
      <c r="AE342" s="19" t="str">
        <f t="shared" si="60"/>
        <v/>
      </c>
      <c r="AF342" s="19" t="str">
        <f t="shared" si="61"/>
        <v/>
      </c>
      <c r="AG342" s="27" t="str">
        <f>IF(AND('Supplier selection'!AB342="",'Supplier selection'!AI342=""),"",IF('Supplier selection'!AB342="",'Supplier selection'!AI342,'Supplier selection'!AB342))</f>
        <v/>
      </c>
      <c r="AH342" s="28" t="str">
        <f t="shared" si="62"/>
        <v/>
      </c>
      <c r="AI342" s="7" t="str">
        <f t="shared" si="63"/>
        <v/>
      </c>
      <c r="AJ342" s="22" t="str">
        <f t="shared" si="64"/>
        <v/>
      </c>
      <c r="AK342" s="29" t="str">
        <f t="shared" si="65"/>
        <v/>
      </c>
      <c r="AL342" s="10"/>
    </row>
    <row r="343" spans="1:38">
      <c r="A343" s="19">
        <f>IF('Supplier selection'!A343="","",'Supplier selection'!A343)</f>
        <v>339</v>
      </c>
      <c r="B343" s="19" t="str">
        <f>IF('Supplier selection'!B343="","",'Supplier selection'!B343)</f>
        <v/>
      </c>
      <c r="C343" s="19" t="str">
        <f>IF('Supplier selection'!C343="","",'Supplier selection'!C343)</f>
        <v/>
      </c>
      <c r="D343" s="19" t="str">
        <f>IF('Supplier selection'!D343="","",'Supplier selection'!D343)</f>
        <v/>
      </c>
      <c r="E343" s="19" t="str">
        <f>IF('Supplier selection'!E343="","",'Supplier selection'!E343)</f>
        <v/>
      </c>
      <c r="F343" s="19" t="str">
        <f>IF('Supplier selection'!F343="","",'Supplier selection'!F343)</f>
        <v/>
      </c>
      <c r="G343" s="19" t="str">
        <f>IF('Supplier selection'!G343="","",'Supplier selection'!G343)</f>
        <v/>
      </c>
      <c r="H343" s="19" t="str">
        <f>IF('Supplier selection'!H343="","",'Supplier selection'!H343)</f>
        <v/>
      </c>
      <c r="I343" s="19" t="str">
        <f>IF('Supplier selection'!I343="","",'Supplier selection'!I343)</f>
        <v/>
      </c>
      <c r="J343" s="19" t="str">
        <f>IF('Supplier selection'!J343="","",'Supplier selection'!J343)</f>
        <v/>
      </c>
      <c r="K343" s="19" t="str">
        <f>IF('Supplier selection'!K343="","",'Supplier selection'!K343)</f>
        <v/>
      </c>
      <c r="L343" s="19" t="str">
        <f>IF('Supplier selection'!L343="","",'Supplier selection'!L343)</f>
        <v/>
      </c>
      <c r="M343" s="19" t="str">
        <f>IF('Supplier selection'!M343="","",'Supplier selection'!M343)</f>
        <v/>
      </c>
      <c r="N343" s="19" t="str">
        <f>IF('Supplier selection'!N343="","",'Supplier selection'!N343)</f>
        <v/>
      </c>
      <c r="O343" s="19" t="str">
        <f>IF('Supplier selection'!O343="","",'Supplier selection'!O343)</f>
        <v/>
      </c>
      <c r="Q343" s="19" t="str">
        <f>HLOOKUP($Q$3,'Supplier selection'!$AW$4:'Supplier selection'!$CT$1000,$A344,FALSE)</f>
        <v/>
      </c>
      <c r="R343" s="22" t="str">
        <f t="shared" si="55"/>
        <v/>
      </c>
      <c r="S343" s="19" t="str">
        <f t="shared" si="56"/>
        <v/>
      </c>
      <c r="T343" s="22" t="str">
        <f t="shared" si="57"/>
        <v/>
      </c>
      <c r="U343" s="19" t="str">
        <f t="shared" si="58"/>
        <v/>
      </c>
      <c r="V343" s="7"/>
      <c r="Y343" s="19" t="str">
        <f>IF('Supplier selection'!AQ343="","",'Supplier selection'!AQ343)</f>
        <v/>
      </c>
      <c r="Z343" s="19" t="str">
        <f>IF('Supplier selection'!AR343="","",'Supplier selection'!AR343)</f>
        <v/>
      </c>
      <c r="AA343" s="19" t="str">
        <f t="shared" si="59"/>
        <v/>
      </c>
      <c r="AD343" s="26" t="str">
        <f>IF(AND('Supplier selection'!X343="",'Supplier selection'!AE343=""),"",IF('Supplier selection'!X343="",'Supplier selection'!AE343,'Supplier selection'!X343))</f>
        <v/>
      </c>
      <c r="AE343" s="19" t="str">
        <f t="shared" si="60"/>
        <v/>
      </c>
      <c r="AF343" s="19" t="str">
        <f t="shared" si="61"/>
        <v/>
      </c>
      <c r="AG343" s="27" t="str">
        <f>IF(AND('Supplier selection'!AB343="",'Supplier selection'!AI343=""),"",IF('Supplier selection'!AB343="",'Supplier selection'!AI343,'Supplier selection'!AB343))</f>
        <v/>
      </c>
      <c r="AH343" s="28" t="str">
        <f t="shared" si="62"/>
        <v/>
      </c>
      <c r="AI343" s="7" t="str">
        <f t="shared" si="63"/>
        <v/>
      </c>
      <c r="AJ343" s="22" t="str">
        <f t="shared" si="64"/>
        <v/>
      </c>
      <c r="AK343" s="29" t="str">
        <f t="shared" si="65"/>
        <v/>
      </c>
      <c r="AL343" s="10"/>
    </row>
    <row r="344" spans="1:38">
      <c r="A344" s="19">
        <f>IF('Supplier selection'!A344="","",'Supplier selection'!A344)</f>
        <v>340</v>
      </c>
      <c r="B344" s="19" t="str">
        <f>IF('Supplier selection'!B344="","",'Supplier selection'!B344)</f>
        <v/>
      </c>
      <c r="C344" s="19" t="str">
        <f>IF('Supplier selection'!C344="","",'Supplier selection'!C344)</f>
        <v/>
      </c>
      <c r="D344" s="19" t="str">
        <f>IF('Supplier selection'!D344="","",'Supplier selection'!D344)</f>
        <v/>
      </c>
      <c r="E344" s="19" t="str">
        <f>IF('Supplier selection'!E344="","",'Supplier selection'!E344)</f>
        <v/>
      </c>
      <c r="F344" s="19" t="str">
        <f>IF('Supplier selection'!F344="","",'Supplier selection'!F344)</f>
        <v/>
      </c>
      <c r="G344" s="19" t="str">
        <f>IF('Supplier selection'!G344="","",'Supplier selection'!G344)</f>
        <v/>
      </c>
      <c r="H344" s="19" t="str">
        <f>IF('Supplier selection'!H344="","",'Supplier selection'!H344)</f>
        <v/>
      </c>
      <c r="I344" s="19" t="str">
        <f>IF('Supplier selection'!I344="","",'Supplier selection'!I344)</f>
        <v/>
      </c>
      <c r="J344" s="19" t="str">
        <f>IF('Supplier selection'!J344="","",'Supplier selection'!J344)</f>
        <v/>
      </c>
      <c r="K344" s="19" t="str">
        <f>IF('Supplier selection'!K344="","",'Supplier selection'!K344)</f>
        <v/>
      </c>
      <c r="L344" s="19" t="str">
        <f>IF('Supplier selection'!L344="","",'Supplier selection'!L344)</f>
        <v/>
      </c>
      <c r="M344" s="19" t="str">
        <f>IF('Supplier selection'!M344="","",'Supplier selection'!M344)</f>
        <v/>
      </c>
      <c r="N344" s="19" t="str">
        <f>IF('Supplier selection'!N344="","",'Supplier selection'!N344)</f>
        <v/>
      </c>
      <c r="O344" s="19" t="str">
        <f>IF('Supplier selection'!O344="","",'Supplier selection'!O344)</f>
        <v/>
      </c>
      <c r="Q344" s="19" t="str">
        <f>HLOOKUP($Q$3,'Supplier selection'!$AW$4:'Supplier selection'!$CT$1000,$A345,FALSE)</f>
        <v/>
      </c>
      <c r="R344" s="22" t="str">
        <f t="shared" si="55"/>
        <v/>
      </c>
      <c r="S344" s="19" t="str">
        <f t="shared" si="56"/>
        <v/>
      </c>
      <c r="T344" s="22" t="str">
        <f t="shared" si="57"/>
        <v/>
      </c>
      <c r="U344" s="19" t="str">
        <f t="shared" si="58"/>
        <v/>
      </c>
      <c r="V344" s="7"/>
      <c r="Y344" s="19" t="str">
        <f>IF('Supplier selection'!AQ344="","",'Supplier selection'!AQ344)</f>
        <v/>
      </c>
      <c r="Z344" s="19" t="str">
        <f>IF('Supplier selection'!AR344="","",'Supplier selection'!AR344)</f>
        <v/>
      </c>
      <c r="AA344" s="19" t="str">
        <f t="shared" si="59"/>
        <v/>
      </c>
      <c r="AD344" s="26" t="str">
        <f>IF(AND('Supplier selection'!X344="",'Supplier selection'!AE344=""),"",IF('Supplier selection'!X344="",'Supplier selection'!AE344,'Supplier selection'!X344))</f>
        <v/>
      </c>
      <c r="AE344" s="19" t="str">
        <f t="shared" si="60"/>
        <v/>
      </c>
      <c r="AF344" s="19" t="str">
        <f t="shared" si="61"/>
        <v/>
      </c>
      <c r="AG344" s="27" t="str">
        <f>IF(AND('Supplier selection'!AB344="",'Supplier selection'!AI344=""),"",IF('Supplier selection'!AB344="",'Supplier selection'!AI344,'Supplier selection'!AB344))</f>
        <v/>
      </c>
      <c r="AH344" s="28" t="str">
        <f t="shared" si="62"/>
        <v/>
      </c>
      <c r="AI344" s="7" t="str">
        <f t="shared" si="63"/>
        <v/>
      </c>
      <c r="AJ344" s="22" t="str">
        <f t="shared" si="64"/>
        <v/>
      </c>
      <c r="AK344" s="29" t="str">
        <f t="shared" si="65"/>
        <v/>
      </c>
      <c r="AL344" s="10"/>
    </row>
    <row r="345" spans="1:38">
      <c r="A345" s="19">
        <f>IF('Supplier selection'!A345="","",'Supplier selection'!A345)</f>
        <v>341</v>
      </c>
      <c r="B345" s="19" t="str">
        <f>IF('Supplier selection'!B345="","",'Supplier selection'!B345)</f>
        <v/>
      </c>
      <c r="C345" s="19" t="str">
        <f>IF('Supplier selection'!C345="","",'Supplier selection'!C345)</f>
        <v/>
      </c>
      <c r="D345" s="19" t="str">
        <f>IF('Supplier selection'!D345="","",'Supplier selection'!D345)</f>
        <v/>
      </c>
      <c r="E345" s="19" t="str">
        <f>IF('Supplier selection'!E345="","",'Supplier selection'!E345)</f>
        <v/>
      </c>
      <c r="F345" s="19" t="str">
        <f>IF('Supplier selection'!F345="","",'Supplier selection'!F345)</f>
        <v/>
      </c>
      <c r="G345" s="19" t="str">
        <f>IF('Supplier selection'!G345="","",'Supplier selection'!G345)</f>
        <v/>
      </c>
      <c r="H345" s="19" t="str">
        <f>IF('Supplier selection'!H345="","",'Supplier selection'!H345)</f>
        <v/>
      </c>
      <c r="I345" s="19" t="str">
        <f>IF('Supplier selection'!I345="","",'Supplier selection'!I345)</f>
        <v/>
      </c>
      <c r="J345" s="19" t="str">
        <f>IF('Supplier selection'!J345="","",'Supplier selection'!J345)</f>
        <v/>
      </c>
      <c r="K345" s="19" t="str">
        <f>IF('Supplier selection'!K345="","",'Supplier selection'!K345)</f>
        <v/>
      </c>
      <c r="L345" s="19" t="str">
        <f>IF('Supplier selection'!L345="","",'Supplier selection'!L345)</f>
        <v/>
      </c>
      <c r="M345" s="19" t="str">
        <f>IF('Supplier selection'!M345="","",'Supplier selection'!M345)</f>
        <v/>
      </c>
      <c r="N345" s="19" t="str">
        <f>IF('Supplier selection'!N345="","",'Supplier selection'!N345)</f>
        <v/>
      </c>
      <c r="O345" s="19" t="str">
        <f>IF('Supplier selection'!O345="","",'Supplier selection'!O345)</f>
        <v/>
      </c>
      <c r="Q345" s="19" t="str">
        <f>HLOOKUP($Q$3,'Supplier selection'!$AW$4:'Supplier selection'!$CT$1000,$A346,FALSE)</f>
        <v/>
      </c>
      <c r="R345" s="22" t="str">
        <f t="shared" si="55"/>
        <v/>
      </c>
      <c r="S345" s="19" t="str">
        <f t="shared" si="56"/>
        <v/>
      </c>
      <c r="T345" s="22" t="str">
        <f t="shared" si="57"/>
        <v/>
      </c>
      <c r="U345" s="19" t="str">
        <f t="shared" si="58"/>
        <v/>
      </c>
      <c r="V345" s="7"/>
      <c r="Y345" s="19" t="str">
        <f>IF('Supplier selection'!AQ345="","",'Supplier selection'!AQ345)</f>
        <v/>
      </c>
      <c r="Z345" s="19" t="str">
        <f>IF('Supplier selection'!AR345="","",'Supplier selection'!AR345)</f>
        <v/>
      </c>
      <c r="AA345" s="19" t="str">
        <f t="shared" si="59"/>
        <v/>
      </c>
      <c r="AD345" s="26" t="str">
        <f>IF(AND('Supplier selection'!X345="",'Supplier selection'!AE345=""),"",IF('Supplier selection'!X345="",'Supplier selection'!AE345,'Supplier selection'!X345))</f>
        <v/>
      </c>
      <c r="AE345" s="19" t="str">
        <f t="shared" si="60"/>
        <v/>
      </c>
      <c r="AF345" s="19" t="str">
        <f t="shared" si="61"/>
        <v/>
      </c>
      <c r="AG345" s="27" t="str">
        <f>IF(AND('Supplier selection'!AB345="",'Supplier selection'!AI345=""),"",IF('Supplier selection'!AB345="",'Supplier selection'!AI345,'Supplier selection'!AB345))</f>
        <v/>
      </c>
      <c r="AH345" s="28" t="str">
        <f t="shared" si="62"/>
        <v/>
      </c>
      <c r="AI345" s="7" t="str">
        <f t="shared" si="63"/>
        <v/>
      </c>
      <c r="AJ345" s="22" t="str">
        <f t="shared" si="64"/>
        <v/>
      </c>
      <c r="AK345" s="29" t="str">
        <f t="shared" si="65"/>
        <v/>
      </c>
      <c r="AL345" s="10"/>
    </row>
    <row r="346" spans="1:38">
      <c r="A346" s="19">
        <f>IF('Supplier selection'!A346="","",'Supplier selection'!A346)</f>
        <v>342</v>
      </c>
      <c r="B346" s="19" t="str">
        <f>IF('Supplier selection'!B346="","",'Supplier selection'!B346)</f>
        <v/>
      </c>
      <c r="C346" s="19" t="str">
        <f>IF('Supplier selection'!C346="","",'Supplier selection'!C346)</f>
        <v/>
      </c>
      <c r="D346" s="19" t="str">
        <f>IF('Supplier selection'!D346="","",'Supplier selection'!D346)</f>
        <v/>
      </c>
      <c r="E346" s="19" t="str">
        <f>IF('Supplier selection'!E346="","",'Supplier selection'!E346)</f>
        <v/>
      </c>
      <c r="F346" s="19" t="str">
        <f>IF('Supplier selection'!F346="","",'Supplier selection'!F346)</f>
        <v/>
      </c>
      <c r="G346" s="19" t="str">
        <f>IF('Supplier selection'!G346="","",'Supplier selection'!G346)</f>
        <v/>
      </c>
      <c r="H346" s="19" t="str">
        <f>IF('Supplier selection'!H346="","",'Supplier selection'!H346)</f>
        <v/>
      </c>
      <c r="I346" s="19" t="str">
        <f>IF('Supplier selection'!I346="","",'Supplier selection'!I346)</f>
        <v/>
      </c>
      <c r="J346" s="19" t="str">
        <f>IF('Supplier selection'!J346="","",'Supplier selection'!J346)</f>
        <v/>
      </c>
      <c r="K346" s="19" t="str">
        <f>IF('Supplier selection'!K346="","",'Supplier selection'!K346)</f>
        <v/>
      </c>
      <c r="L346" s="19" t="str">
        <f>IF('Supplier selection'!L346="","",'Supplier selection'!L346)</f>
        <v/>
      </c>
      <c r="M346" s="19" t="str">
        <f>IF('Supplier selection'!M346="","",'Supplier selection'!M346)</f>
        <v/>
      </c>
      <c r="N346" s="19" t="str">
        <f>IF('Supplier selection'!N346="","",'Supplier selection'!N346)</f>
        <v/>
      </c>
      <c r="O346" s="19" t="str">
        <f>IF('Supplier selection'!O346="","",'Supplier selection'!O346)</f>
        <v/>
      </c>
      <c r="Q346" s="19" t="str">
        <f>HLOOKUP($Q$3,'Supplier selection'!$AW$4:'Supplier selection'!$CT$1000,$A347,FALSE)</f>
        <v/>
      </c>
      <c r="R346" s="22" t="str">
        <f t="shared" si="55"/>
        <v/>
      </c>
      <c r="S346" s="19" t="str">
        <f t="shared" si="56"/>
        <v/>
      </c>
      <c r="T346" s="22" t="str">
        <f t="shared" si="57"/>
        <v/>
      </c>
      <c r="U346" s="19" t="str">
        <f t="shared" si="58"/>
        <v/>
      </c>
      <c r="V346" s="7"/>
      <c r="Y346" s="19" t="str">
        <f>IF('Supplier selection'!AQ346="","",'Supplier selection'!AQ346)</f>
        <v/>
      </c>
      <c r="Z346" s="19" t="str">
        <f>IF('Supplier selection'!AR346="","",'Supplier selection'!AR346)</f>
        <v/>
      </c>
      <c r="AA346" s="19" t="str">
        <f t="shared" si="59"/>
        <v/>
      </c>
      <c r="AD346" s="26" t="str">
        <f>IF(AND('Supplier selection'!X346="",'Supplier selection'!AE346=""),"",IF('Supplier selection'!X346="",'Supplier selection'!AE346,'Supplier selection'!X346))</f>
        <v/>
      </c>
      <c r="AE346" s="19" t="str">
        <f t="shared" si="60"/>
        <v/>
      </c>
      <c r="AF346" s="19" t="str">
        <f t="shared" si="61"/>
        <v/>
      </c>
      <c r="AG346" s="27" t="str">
        <f>IF(AND('Supplier selection'!AB346="",'Supplier selection'!AI346=""),"",IF('Supplier selection'!AB346="",'Supplier selection'!AI346,'Supplier selection'!AB346))</f>
        <v/>
      </c>
      <c r="AH346" s="28" t="str">
        <f t="shared" si="62"/>
        <v/>
      </c>
      <c r="AI346" s="7" t="str">
        <f t="shared" si="63"/>
        <v/>
      </c>
      <c r="AJ346" s="22" t="str">
        <f t="shared" si="64"/>
        <v/>
      </c>
      <c r="AK346" s="29" t="str">
        <f t="shared" si="65"/>
        <v/>
      </c>
      <c r="AL346" s="10"/>
    </row>
    <row r="347" spans="1:38">
      <c r="A347" s="19">
        <f>IF('Supplier selection'!A347="","",'Supplier selection'!A347)</f>
        <v>343</v>
      </c>
      <c r="B347" s="19" t="str">
        <f>IF('Supplier selection'!B347="","",'Supplier selection'!B347)</f>
        <v/>
      </c>
      <c r="C347" s="19" t="str">
        <f>IF('Supplier selection'!C347="","",'Supplier selection'!C347)</f>
        <v/>
      </c>
      <c r="D347" s="19" t="str">
        <f>IF('Supplier selection'!D347="","",'Supplier selection'!D347)</f>
        <v/>
      </c>
      <c r="E347" s="19" t="str">
        <f>IF('Supplier selection'!E347="","",'Supplier selection'!E347)</f>
        <v/>
      </c>
      <c r="F347" s="19" t="str">
        <f>IF('Supplier selection'!F347="","",'Supplier selection'!F347)</f>
        <v/>
      </c>
      <c r="G347" s="19" t="str">
        <f>IF('Supplier selection'!G347="","",'Supplier selection'!G347)</f>
        <v/>
      </c>
      <c r="H347" s="19" t="str">
        <f>IF('Supplier selection'!H347="","",'Supplier selection'!H347)</f>
        <v/>
      </c>
      <c r="I347" s="19" t="str">
        <f>IF('Supplier selection'!I347="","",'Supplier selection'!I347)</f>
        <v/>
      </c>
      <c r="J347" s="19" t="str">
        <f>IF('Supplier selection'!J347="","",'Supplier selection'!J347)</f>
        <v/>
      </c>
      <c r="K347" s="19" t="str">
        <f>IF('Supplier selection'!K347="","",'Supplier selection'!K347)</f>
        <v/>
      </c>
      <c r="L347" s="19" t="str">
        <f>IF('Supplier selection'!L347="","",'Supplier selection'!L347)</f>
        <v/>
      </c>
      <c r="M347" s="19" t="str">
        <f>IF('Supplier selection'!M347="","",'Supplier selection'!M347)</f>
        <v/>
      </c>
      <c r="N347" s="19" t="str">
        <f>IF('Supplier selection'!N347="","",'Supplier selection'!N347)</f>
        <v/>
      </c>
      <c r="O347" s="19" t="str">
        <f>IF('Supplier selection'!O347="","",'Supplier selection'!O347)</f>
        <v/>
      </c>
      <c r="Q347" s="19" t="str">
        <f>HLOOKUP($Q$3,'Supplier selection'!$AW$4:'Supplier selection'!$CT$1000,$A348,FALSE)</f>
        <v/>
      </c>
      <c r="R347" s="22" t="str">
        <f t="shared" si="55"/>
        <v/>
      </c>
      <c r="S347" s="19" t="str">
        <f t="shared" si="56"/>
        <v/>
      </c>
      <c r="T347" s="22" t="str">
        <f t="shared" si="57"/>
        <v/>
      </c>
      <c r="U347" s="19" t="str">
        <f t="shared" si="58"/>
        <v/>
      </c>
      <c r="V347" s="7"/>
      <c r="Y347" s="19" t="str">
        <f>IF('Supplier selection'!AQ347="","",'Supplier selection'!AQ347)</f>
        <v/>
      </c>
      <c r="Z347" s="19" t="str">
        <f>IF('Supplier selection'!AR347="","",'Supplier selection'!AR347)</f>
        <v/>
      </c>
      <c r="AA347" s="19" t="str">
        <f t="shared" si="59"/>
        <v/>
      </c>
      <c r="AD347" s="26" t="str">
        <f>IF(AND('Supplier selection'!X347="",'Supplier selection'!AE347=""),"",IF('Supplier selection'!X347="",'Supplier selection'!AE347,'Supplier selection'!X347))</f>
        <v/>
      </c>
      <c r="AE347" s="19" t="str">
        <f t="shared" si="60"/>
        <v/>
      </c>
      <c r="AF347" s="19" t="str">
        <f t="shared" si="61"/>
        <v/>
      </c>
      <c r="AG347" s="27" t="str">
        <f>IF(AND('Supplier selection'!AB347="",'Supplier selection'!AI347=""),"",IF('Supplier selection'!AB347="",'Supplier selection'!AI347,'Supplier selection'!AB347))</f>
        <v/>
      </c>
      <c r="AH347" s="28" t="str">
        <f t="shared" si="62"/>
        <v/>
      </c>
      <c r="AI347" s="7" t="str">
        <f t="shared" si="63"/>
        <v/>
      </c>
      <c r="AJ347" s="22" t="str">
        <f t="shared" si="64"/>
        <v/>
      </c>
      <c r="AK347" s="29" t="str">
        <f t="shared" si="65"/>
        <v/>
      </c>
      <c r="AL347" s="10"/>
    </row>
    <row r="348" spans="1:38">
      <c r="A348" s="19">
        <f>IF('Supplier selection'!A348="","",'Supplier selection'!A348)</f>
        <v>344</v>
      </c>
      <c r="B348" s="19" t="str">
        <f>IF('Supplier selection'!B348="","",'Supplier selection'!B348)</f>
        <v/>
      </c>
      <c r="C348" s="19" t="str">
        <f>IF('Supplier selection'!C348="","",'Supplier selection'!C348)</f>
        <v/>
      </c>
      <c r="D348" s="19" t="str">
        <f>IF('Supplier selection'!D348="","",'Supplier selection'!D348)</f>
        <v/>
      </c>
      <c r="E348" s="19" t="str">
        <f>IF('Supplier selection'!E348="","",'Supplier selection'!E348)</f>
        <v/>
      </c>
      <c r="F348" s="19" t="str">
        <f>IF('Supplier selection'!F348="","",'Supplier selection'!F348)</f>
        <v/>
      </c>
      <c r="G348" s="19" t="str">
        <f>IF('Supplier selection'!G348="","",'Supplier selection'!G348)</f>
        <v/>
      </c>
      <c r="H348" s="19" t="str">
        <f>IF('Supplier selection'!H348="","",'Supplier selection'!H348)</f>
        <v/>
      </c>
      <c r="I348" s="19" t="str">
        <f>IF('Supplier selection'!I348="","",'Supplier selection'!I348)</f>
        <v/>
      </c>
      <c r="J348" s="19" t="str">
        <f>IF('Supplier selection'!J348="","",'Supplier selection'!J348)</f>
        <v/>
      </c>
      <c r="K348" s="19" t="str">
        <f>IF('Supplier selection'!K348="","",'Supplier selection'!K348)</f>
        <v/>
      </c>
      <c r="L348" s="19" t="str">
        <f>IF('Supplier selection'!L348="","",'Supplier selection'!L348)</f>
        <v/>
      </c>
      <c r="M348" s="19" t="str">
        <f>IF('Supplier selection'!M348="","",'Supplier selection'!M348)</f>
        <v/>
      </c>
      <c r="N348" s="19" t="str">
        <f>IF('Supplier selection'!N348="","",'Supplier selection'!N348)</f>
        <v/>
      </c>
      <c r="O348" s="19" t="str">
        <f>IF('Supplier selection'!O348="","",'Supplier selection'!O348)</f>
        <v/>
      </c>
      <c r="Q348" s="19" t="str">
        <f>HLOOKUP($Q$3,'Supplier selection'!$AW$4:'Supplier selection'!$CT$1000,$A349,FALSE)</f>
        <v/>
      </c>
      <c r="R348" s="22" t="str">
        <f t="shared" si="55"/>
        <v/>
      </c>
      <c r="S348" s="19" t="str">
        <f t="shared" si="56"/>
        <v/>
      </c>
      <c r="T348" s="22" t="str">
        <f t="shared" si="57"/>
        <v/>
      </c>
      <c r="U348" s="19" t="str">
        <f t="shared" si="58"/>
        <v/>
      </c>
      <c r="V348" s="7"/>
      <c r="Y348" s="19" t="str">
        <f>IF('Supplier selection'!AQ348="","",'Supplier selection'!AQ348)</f>
        <v/>
      </c>
      <c r="Z348" s="19" t="str">
        <f>IF('Supplier selection'!AR348="","",'Supplier selection'!AR348)</f>
        <v/>
      </c>
      <c r="AA348" s="19" t="str">
        <f t="shared" si="59"/>
        <v/>
      </c>
      <c r="AD348" s="26" t="str">
        <f>IF(AND('Supplier selection'!X348="",'Supplier selection'!AE348=""),"",IF('Supplier selection'!X348="",'Supplier selection'!AE348,'Supplier selection'!X348))</f>
        <v/>
      </c>
      <c r="AE348" s="19" t="str">
        <f t="shared" si="60"/>
        <v/>
      </c>
      <c r="AF348" s="19" t="str">
        <f t="shared" si="61"/>
        <v/>
      </c>
      <c r="AG348" s="27" t="str">
        <f>IF(AND('Supplier selection'!AB348="",'Supplier selection'!AI348=""),"",IF('Supplier selection'!AB348="",'Supplier selection'!AI348,'Supplier selection'!AB348))</f>
        <v/>
      </c>
      <c r="AH348" s="28" t="str">
        <f t="shared" si="62"/>
        <v/>
      </c>
      <c r="AI348" s="7" t="str">
        <f t="shared" si="63"/>
        <v/>
      </c>
      <c r="AJ348" s="22" t="str">
        <f t="shared" si="64"/>
        <v/>
      </c>
      <c r="AK348" s="29" t="str">
        <f t="shared" si="65"/>
        <v/>
      </c>
      <c r="AL348" s="10"/>
    </row>
    <row r="349" spans="1:38">
      <c r="A349" s="19">
        <f>IF('Supplier selection'!A349="","",'Supplier selection'!A349)</f>
        <v>345</v>
      </c>
      <c r="B349" s="19" t="str">
        <f>IF('Supplier selection'!B349="","",'Supplier selection'!B349)</f>
        <v/>
      </c>
      <c r="C349" s="19" t="str">
        <f>IF('Supplier selection'!C349="","",'Supplier selection'!C349)</f>
        <v/>
      </c>
      <c r="D349" s="19" t="str">
        <f>IF('Supplier selection'!D349="","",'Supplier selection'!D349)</f>
        <v/>
      </c>
      <c r="E349" s="19" t="str">
        <f>IF('Supplier selection'!E349="","",'Supplier selection'!E349)</f>
        <v/>
      </c>
      <c r="F349" s="19" t="str">
        <f>IF('Supplier selection'!F349="","",'Supplier selection'!F349)</f>
        <v/>
      </c>
      <c r="G349" s="19" t="str">
        <f>IF('Supplier selection'!G349="","",'Supplier selection'!G349)</f>
        <v/>
      </c>
      <c r="H349" s="19" t="str">
        <f>IF('Supplier selection'!H349="","",'Supplier selection'!H349)</f>
        <v/>
      </c>
      <c r="I349" s="19" t="str">
        <f>IF('Supplier selection'!I349="","",'Supplier selection'!I349)</f>
        <v/>
      </c>
      <c r="J349" s="19" t="str">
        <f>IF('Supplier selection'!J349="","",'Supplier selection'!J349)</f>
        <v/>
      </c>
      <c r="K349" s="19" t="str">
        <f>IF('Supplier selection'!K349="","",'Supplier selection'!K349)</f>
        <v/>
      </c>
      <c r="L349" s="19" t="str">
        <f>IF('Supplier selection'!L349="","",'Supplier selection'!L349)</f>
        <v/>
      </c>
      <c r="M349" s="19" t="str">
        <f>IF('Supplier selection'!M349="","",'Supplier selection'!M349)</f>
        <v/>
      </c>
      <c r="N349" s="19" t="str">
        <f>IF('Supplier selection'!N349="","",'Supplier selection'!N349)</f>
        <v/>
      </c>
      <c r="O349" s="19" t="str">
        <f>IF('Supplier selection'!O349="","",'Supplier selection'!O349)</f>
        <v/>
      </c>
      <c r="Q349" s="19" t="str">
        <f>HLOOKUP($Q$3,'Supplier selection'!$AW$4:'Supplier selection'!$CT$1000,$A350,FALSE)</f>
        <v/>
      </c>
      <c r="R349" s="22" t="str">
        <f t="shared" si="55"/>
        <v/>
      </c>
      <c r="S349" s="19" t="str">
        <f t="shared" si="56"/>
        <v/>
      </c>
      <c r="T349" s="22" t="str">
        <f t="shared" si="57"/>
        <v/>
      </c>
      <c r="U349" s="19" t="str">
        <f t="shared" si="58"/>
        <v/>
      </c>
      <c r="V349" s="7"/>
      <c r="Y349" s="19" t="str">
        <f>IF('Supplier selection'!AQ349="","",'Supplier selection'!AQ349)</f>
        <v/>
      </c>
      <c r="Z349" s="19" t="str">
        <f>IF('Supplier selection'!AR349="","",'Supplier selection'!AR349)</f>
        <v/>
      </c>
      <c r="AA349" s="19" t="str">
        <f t="shared" si="59"/>
        <v/>
      </c>
      <c r="AD349" s="26" t="str">
        <f>IF(AND('Supplier selection'!X349="",'Supplier selection'!AE349=""),"",IF('Supplier selection'!X349="",'Supplier selection'!AE349,'Supplier selection'!X349))</f>
        <v/>
      </c>
      <c r="AE349" s="19" t="str">
        <f t="shared" si="60"/>
        <v/>
      </c>
      <c r="AF349" s="19" t="str">
        <f t="shared" si="61"/>
        <v/>
      </c>
      <c r="AG349" s="27" t="str">
        <f>IF(AND('Supplier selection'!AB349="",'Supplier selection'!AI349=""),"",IF('Supplier selection'!AB349="",'Supplier selection'!AI349,'Supplier selection'!AB349))</f>
        <v/>
      </c>
      <c r="AH349" s="28" t="str">
        <f t="shared" si="62"/>
        <v/>
      </c>
      <c r="AI349" s="7" t="str">
        <f t="shared" si="63"/>
        <v/>
      </c>
      <c r="AJ349" s="22" t="str">
        <f t="shared" si="64"/>
        <v/>
      </c>
      <c r="AK349" s="29" t="str">
        <f t="shared" si="65"/>
        <v/>
      </c>
      <c r="AL349" s="10"/>
    </row>
    <row r="350" spans="1:38">
      <c r="A350" s="19">
        <f>IF('Supplier selection'!A350="","",'Supplier selection'!A350)</f>
        <v>346</v>
      </c>
      <c r="B350" s="19" t="str">
        <f>IF('Supplier selection'!B350="","",'Supplier selection'!B350)</f>
        <v/>
      </c>
      <c r="C350" s="19" t="str">
        <f>IF('Supplier selection'!C350="","",'Supplier selection'!C350)</f>
        <v/>
      </c>
      <c r="D350" s="19" t="str">
        <f>IF('Supplier selection'!D350="","",'Supplier selection'!D350)</f>
        <v/>
      </c>
      <c r="E350" s="19" t="str">
        <f>IF('Supplier selection'!E350="","",'Supplier selection'!E350)</f>
        <v/>
      </c>
      <c r="F350" s="19" t="str">
        <f>IF('Supplier selection'!F350="","",'Supplier selection'!F350)</f>
        <v/>
      </c>
      <c r="G350" s="19" t="str">
        <f>IF('Supplier selection'!G350="","",'Supplier selection'!G350)</f>
        <v/>
      </c>
      <c r="H350" s="19" t="str">
        <f>IF('Supplier selection'!H350="","",'Supplier selection'!H350)</f>
        <v/>
      </c>
      <c r="I350" s="19" t="str">
        <f>IF('Supplier selection'!I350="","",'Supplier selection'!I350)</f>
        <v/>
      </c>
      <c r="J350" s="19" t="str">
        <f>IF('Supplier selection'!J350="","",'Supplier selection'!J350)</f>
        <v/>
      </c>
      <c r="K350" s="19" t="str">
        <f>IF('Supplier selection'!K350="","",'Supplier selection'!K350)</f>
        <v/>
      </c>
      <c r="L350" s="19" t="str">
        <f>IF('Supplier selection'!L350="","",'Supplier selection'!L350)</f>
        <v/>
      </c>
      <c r="M350" s="19" t="str">
        <f>IF('Supplier selection'!M350="","",'Supplier selection'!M350)</f>
        <v/>
      </c>
      <c r="N350" s="19" t="str">
        <f>IF('Supplier selection'!N350="","",'Supplier selection'!N350)</f>
        <v/>
      </c>
      <c r="O350" s="19" t="str">
        <f>IF('Supplier selection'!O350="","",'Supplier selection'!O350)</f>
        <v/>
      </c>
      <c r="Q350" s="19" t="str">
        <f>HLOOKUP($Q$3,'Supplier selection'!$AW$4:'Supplier selection'!$CT$1000,$A351,FALSE)</f>
        <v/>
      </c>
      <c r="R350" s="22" t="str">
        <f t="shared" si="55"/>
        <v/>
      </c>
      <c r="S350" s="19" t="str">
        <f t="shared" si="56"/>
        <v/>
      </c>
      <c r="T350" s="22" t="str">
        <f t="shared" si="57"/>
        <v/>
      </c>
      <c r="U350" s="19" t="str">
        <f t="shared" si="58"/>
        <v/>
      </c>
      <c r="V350" s="7"/>
      <c r="Y350" s="19" t="str">
        <f>IF('Supplier selection'!AQ350="","",'Supplier selection'!AQ350)</f>
        <v/>
      </c>
      <c r="Z350" s="19" t="str">
        <f>IF('Supplier selection'!AR350="","",'Supplier selection'!AR350)</f>
        <v/>
      </c>
      <c r="AA350" s="19" t="str">
        <f t="shared" si="59"/>
        <v/>
      </c>
      <c r="AD350" s="26" t="str">
        <f>IF(AND('Supplier selection'!X350="",'Supplier selection'!AE350=""),"",IF('Supplier selection'!X350="",'Supplier selection'!AE350,'Supplier selection'!X350))</f>
        <v/>
      </c>
      <c r="AE350" s="19" t="str">
        <f t="shared" si="60"/>
        <v/>
      </c>
      <c r="AF350" s="19" t="str">
        <f t="shared" si="61"/>
        <v/>
      </c>
      <c r="AG350" s="27" t="str">
        <f>IF(AND('Supplier selection'!AB350="",'Supplier selection'!AI350=""),"",IF('Supplier selection'!AB350="",'Supplier selection'!AI350,'Supplier selection'!AB350))</f>
        <v/>
      </c>
      <c r="AH350" s="28" t="str">
        <f t="shared" si="62"/>
        <v/>
      </c>
      <c r="AI350" s="7" t="str">
        <f t="shared" si="63"/>
        <v/>
      </c>
      <c r="AJ350" s="22" t="str">
        <f t="shared" si="64"/>
        <v/>
      </c>
      <c r="AK350" s="29" t="str">
        <f t="shared" si="65"/>
        <v/>
      </c>
      <c r="AL350" s="10"/>
    </row>
    <row r="351" spans="1:38">
      <c r="A351" s="19">
        <f>IF('Supplier selection'!A351="","",'Supplier selection'!A351)</f>
        <v>347</v>
      </c>
      <c r="B351" s="19" t="str">
        <f>IF('Supplier selection'!B351="","",'Supplier selection'!B351)</f>
        <v/>
      </c>
      <c r="C351" s="19" t="str">
        <f>IF('Supplier selection'!C351="","",'Supplier selection'!C351)</f>
        <v/>
      </c>
      <c r="D351" s="19" t="str">
        <f>IF('Supplier selection'!D351="","",'Supplier selection'!D351)</f>
        <v/>
      </c>
      <c r="E351" s="19" t="str">
        <f>IF('Supplier selection'!E351="","",'Supplier selection'!E351)</f>
        <v/>
      </c>
      <c r="F351" s="19" t="str">
        <f>IF('Supplier selection'!F351="","",'Supplier selection'!F351)</f>
        <v/>
      </c>
      <c r="G351" s="19" t="str">
        <f>IF('Supplier selection'!G351="","",'Supplier selection'!G351)</f>
        <v/>
      </c>
      <c r="H351" s="19" t="str">
        <f>IF('Supplier selection'!H351="","",'Supplier selection'!H351)</f>
        <v/>
      </c>
      <c r="I351" s="19" t="str">
        <f>IF('Supplier selection'!I351="","",'Supplier selection'!I351)</f>
        <v/>
      </c>
      <c r="J351" s="19" t="str">
        <f>IF('Supplier selection'!J351="","",'Supplier selection'!J351)</f>
        <v/>
      </c>
      <c r="K351" s="19" t="str">
        <f>IF('Supplier selection'!K351="","",'Supplier selection'!K351)</f>
        <v/>
      </c>
      <c r="L351" s="19" t="str">
        <f>IF('Supplier selection'!L351="","",'Supplier selection'!L351)</f>
        <v/>
      </c>
      <c r="M351" s="19" t="str">
        <f>IF('Supplier selection'!M351="","",'Supplier selection'!M351)</f>
        <v/>
      </c>
      <c r="N351" s="19" t="str">
        <f>IF('Supplier selection'!N351="","",'Supplier selection'!N351)</f>
        <v/>
      </c>
      <c r="O351" s="19" t="str">
        <f>IF('Supplier selection'!O351="","",'Supplier selection'!O351)</f>
        <v/>
      </c>
      <c r="Q351" s="19" t="str">
        <f>HLOOKUP($Q$3,'Supplier selection'!$AW$4:'Supplier selection'!$CT$1000,$A352,FALSE)</f>
        <v/>
      </c>
      <c r="R351" s="22" t="str">
        <f t="shared" si="55"/>
        <v/>
      </c>
      <c r="S351" s="19" t="str">
        <f t="shared" si="56"/>
        <v/>
      </c>
      <c r="T351" s="22" t="str">
        <f t="shared" si="57"/>
        <v/>
      </c>
      <c r="U351" s="19" t="str">
        <f t="shared" si="58"/>
        <v/>
      </c>
      <c r="V351" s="7"/>
      <c r="Y351" s="19" t="str">
        <f>IF('Supplier selection'!AQ351="","",'Supplier selection'!AQ351)</f>
        <v/>
      </c>
      <c r="Z351" s="19" t="str">
        <f>IF('Supplier selection'!AR351="","",'Supplier selection'!AR351)</f>
        <v/>
      </c>
      <c r="AA351" s="19" t="str">
        <f t="shared" si="59"/>
        <v/>
      </c>
      <c r="AD351" s="26" t="str">
        <f>IF(AND('Supplier selection'!X351="",'Supplier selection'!AE351=""),"",IF('Supplier selection'!X351="",'Supplier selection'!AE351,'Supplier selection'!X351))</f>
        <v/>
      </c>
      <c r="AE351" s="19" t="str">
        <f t="shared" si="60"/>
        <v/>
      </c>
      <c r="AF351" s="19" t="str">
        <f t="shared" si="61"/>
        <v/>
      </c>
      <c r="AG351" s="27" t="str">
        <f>IF(AND('Supplier selection'!AB351="",'Supplier selection'!AI351=""),"",IF('Supplier selection'!AB351="",'Supplier selection'!AI351,'Supplier selection'!AB351))</f>
        <v/>
      </c>
      <c r="AH351" s="28" t="str">
        <f t="shared" si="62"/>
        <v/>
      </c>
      <c r="AI351" s="7" t="str">
        <f t="shared" si="63"/>
        <v/>
      </c>
      <c r="AJ351" s="22" t="str">
        <f t="shared" si="64"/>
        <v/>
      </c>
      <c r="AK351" s="29" t="str">
        <f t="shared" si="65"/>
        <v/>
      </c>
      <c r="AL351" s="10"/>
    </row>
    <row r="352" spans="1:38">
      <c r="A352" s="19">
        <f>IF('Supplier selection'!A352="","",'Supplier selection'!A352)</f>
        <v>348</v>
      </c>
      <c r="B352" s="19" t="str">
        <f>IF('Supplier selection'!B352="","",'Supplier selection'!B352)</f>
        <v/>
      </c>
      <c r="C352" s="19" t="str">
        <f>IF('Supplier selection'!C352="","",'Supplier selection'!C352)</f>
        <v/>
      </c>
      <c r="D352" s="19" t="str">
        <f>IF('Supplier selection'!D352="","",'Supplier selection'!D352)</f>
        <v/>
      </c>
      <c r="E352" s="19" t="str">
        <f>IF('Supplier selection'!E352="","",'Supplier selection'!E352)</f>
        <v/>
      </c>
      <c r="F352" s="19" t="str">
        <f>IF('Supplier selection'!F352="","",'Supplier selection'!F352)</f>
        <v/>
      </c>
      <c r="G352" s="19" t="str">
        <f>IF('Supplier selection'!G352="","",'Supplier selection'!G352)</f>
        <v/>
      </c>
      <c r="H352" s="19" t="str">
        <f>IF('Supplier selection'!H352="","",'Supplier selection'!H352)</f>
        <v/>
      </c>
      <c r="I352" s="19" t="str">
        <f>IF('Supplier selection'!I352="","",'Supplier selection'!I352)</f>
        <v/>
      </c>
      <c r="J352" s="19" t="str">
        <f>IF('Supplier selection'!J352="","",'Supplier selection'!J352)</f>
        <v/>
      </c>
      <c r="K352" s="19" t="str">
        <f>IF('Supplier selection'!K352="","",'Supplier selection'!K352)</f>
        <v/>
      </c>
      <c r="L352" s="19" t="str">
        <f>IF('Supplier selection'!L352="","",'Supplier selection'!L352)</f>
        <v/>
      </c>
      <c r="M352" s="19" t="str">
        <f>IF('Supplier selection'!M352="","",'Supplier selection'!M352)</f>
        <v/>
      </c>
      <c r="N352" s="19" t="str">
        <f>IF('Supplier selection'!N352="","",'Supplier selection'!N352)</f>
        <v/>
      </c>
      <c r="O352" s="19" t="str">
        <f>IF('Supplier selection'!O352="","",'Supplier selection'!O352)</f>
        <v/>
      </c>
      <c r="Q352" s="19" t="str">
        <f>HLOOKUP($Q$3,'Supplier selection'!$AW$4:'Supplier selection'!$CT$1000,$A353,FALSE)</f>
        <v/>
      </c>
      <c r="R352" s="22" t="str">
        <f t="shared" si="55"/>
        <v/>
      </c>
      <c r="S352" s="19" t="str">
        <f t="shared" si="56"/>
        <v/>
      </c>
      <c r="T352" s="22" t="str">
        <f t="shared" si="57"/>
        <v/>
      </c>
      <c r="U352" s="19" t="str">
        <f t="shared" si="58"/>
        <v/>
      </c>
      <c r="V352" s="7"/>
      <c r="Y352" s="19" t="str">
        <f>IF('Supplier selection'!AQ352="","",'Supplier selection'!AQ352)</f>
        <v/>
      </c>
      <c r="Z352" s="19" t="str">
        <f>IF('Supplier selection'!AR352="","",'Supplier selection'!AR352)</f>
        <v/>
      </c>
      <c r="AA352" s="19" t="str">
        <f t="shared" si="59"/>
        <v/>
      </c>
      <c r="AD352" s="26" t="str">
        <f>IF(AND('Supplier selection'!X352="",'Supplier selection'!AE352=""),"",IF('Supplier selection'!X352="",'Supplier selection'!AE352,'Supplier selection'!X352))</f>
        <v/>
      </c>
      <c r="AE352" s="19" t="str">
        <f t="shared" si="60"/>
        <v/>
      </c>
      <c r="AF352" s="19" t="str">
        <f t="shared" si="61"/>
        <v/>
      </c>
      <c r="AG352" s="27" t="str">
        <f>IF(AND('Supplier selection'!AB352="",'Supplier selection'!AI352=""),"",IF('Supplier selection'!AB352="",'Supplier selection'!AI352,'Supplier selection'!AB352))</f>
        <v/>
      </c>
      <c r="AH352" s="28" t="str">
        <f t="shared" si="62"/>
        <v/>
      </c>
      <c r="AI352" s="7" t="str">
        <f t="shared" si="63"/>
        <v/>
      </c>
      <c r="AJ352" s="22" t="str">
        <f t="shared" si="64"/>
        <v/>
      </c>
      <c r="AK352" s="29" t="str">
        <f t="shared" si="65"/>
        <v/>
      </c>
      <c r="AL352" s="10"/>
    </row>
    <row r="353" spans="1:38">
      <c r="A353" s="19">
        <f>IF('Supplier selection'!A353="","",'Supplier selection'!A353)</f>
        <v>349</v>
      </c>
      <c r="B353" s="19" t="str">
        <f>IF('Supplier selection'!B353="","",'Supplier selection'!B353)</f>
        <v/>
      </c>
      <c r="C353" s="19" t="str">
        <f>IF('Supplier selection'!C353="","",'Supplier selection'!C353)</f>
        <v/>
      </c>
      <c r="D353" s="19" t="str">
        <f>IF('Supplier selection'!D353="","",'Supplier selection'!D353)</f>
        <v/>
      </c>
      <c r="E353" s="19" t="str">
        <f>IF('Supplier selection'!E353="","",'Supplier selection'!E353)</f>
        <v/>
      </c>
      <c r="F353" s="19" t="str">
        <f>IF('Supplier selection'!F353="","",'Supplier selection'!F353)</f>
        <v/>
      </c>
      <c r="G353" s="19" t="str">
        <f>IF('Supplier selection'!G353="","",'Supplier selection'!G353)</f>
        <v/>
      </c>
      <c r="H353" s="19" t="str">
        <f>IF('Supplier selection'!H353="","",'Supplier selection'!H353)</f>
        <v/>
      </c>
      <c r="I353" s="19" t="str">
        <f>IF('Supplier selection'!I353="","",'Supplier selection'!I353)</f>
        <v/>
      </c>
      <c r="J353" s="19" t="str">
        <f>IF('Supplier selection'!J353="","",'Supplier selection'!J353)</f>
        <v/>
      </c>
      <c r="K353" s="19" t="str">
        <f>IF('Supplier selection'!K353="","",'Supplier selection'!K353)</f>
        <v/>
      </c>
      <c r="L353" s="19" t="str">
        <f>IF('Supplier selection'!L353="","",'Supplier selection'!L353)</f>
        <v/>
      </c>
      <c r="M353" s="19" t="str">
        <f>IF('Supplier selection'!M353="","",'Supplier selection'!M353)</f>
        <v/>
      </c>
      <c r="N353" s="19" t="str">
        <f>IF('Supplier selection'!N353="","",'Supplier selection'!N353)</f>
        <v/>
      </c>
      <c r="O353" s="19" t="str">
        <f>IF('Supplier selection'!O353="","",'Supplier selection'!O353)</f>
        <v/>
      </c>
      <c r="Q353" s="19" t="str">
        <f>HLOOKUP($Q$3,'Supplier selection'!$AW$4:'Supplier selection'!$CT$1000,$A354,FALSE)</f>
        <v/>
      </c>
      <c r="R353" s="22" t="str">
        <f t="shared" si="55"/>
        <v/>
      </c>
      <c r="S353" s="19" t="str">
        <f t="shared" si="56"/>
        <v/>
      </c>
      <c r="T353" s="22" t="str">
        <f t="shared" si="57"/>
        <v/>
      </c>
      <c r="U353" s="19" t="str">
        <f t="shared" si="58"/>
        <v/>
      </c>
      <c r="V353" s="7"/>
      <c r="Y353" s="19" t="str">
        <f>IF('Supplier selection'!AQ353="","",'Supplier selection'!AQ353)</f>
        <v/>
      </c>
      <c r="Z353" s="19" t="str">
        <f>IF('Supplier selection'!AR353="","",'Supplier selection'!AR353)</f>
        <v/>
      </c>
      <c r="AA353" s="19" t="str">
        <f t="shared" si="59"/>
        <v/>
      </c>
      <c r="AD353" s="26" t="str">
        <f>IF(AND('Supplier selection'!X353="",'Supplier selection'!AE353=""),"",IF('Supplier selection'!X353="",'Supplier selection'!AE353,'Supplier selection'!X353))</f>
        <v/>
      </c>
      <c r="AE353" s="19" t="str">
        <f t="shared" si="60"/>
        <v/>
      </c>
      <c r="AF353" s="19" t="str">
        <f t="shared" si="61"/>
        <v/>
      </c>
      <c r="AG353" s="27" t="str">
        <f>IF(AND('Supplier selection'!AB353="",'Supplier selection'!AI353=""),"",IF('Supplier selection'!AB353="",'Supplier selection'!AI353,'Supplier selection'!AB353))</f>
        <v/>
      </c>
      <c r="AH353" s="28" t="str">
        <f t="shared" si="62"/>
        <v/>
      </c>
      <c r="AI353" s="7" t="str">
        <f t="shared" si="63"/>
        <v/>
      </c>
      <c r="AJ353" s="22" t="str">
        <f t="shared" si="64"/>
        <v/>
      </c>
      <c r="AK353" s="29" t="str">
        <f t="shared" si="65"/>
        <v/>
      </c>
      <c r="AL353" s="10"/>
    </row>
    <row r="354" spans="1:38">
      <c r="A354" s="19">
        <f>IF('Supplier selection'!A354="","",'Supplier selection'!A354)</f>
        <v>350</v>
      </c>
      <c r="B354" s="19" t="str">
        <f>IF('Supplier selection'!B354="","",'Supplier selection'!B354)</f>
        <v/>
      </c>
      <c r="C354" s="19" t="str">
        <f>IF('Supplier selection'!C354="","",'Supplier selection'!C354)</f>
        <v/>
      </c>
      <c r="D354" s="19" t="str">
        <f>IF('Supplier selection'!D354="","",'Supplier selection'!D354)</f>
        <v/>
      </c>
      <c r="E354" s="19" t="str">
        <f>IF('Supplier selection'!E354="","",'Supplier selection'!E354)</f>
        <v/>
      </c>
      <c r="F354" s="19" t="str">
        <f>IF('Supplier selection'!F354="","",'Supplier selection'!F354)</f>
        <v/>
      </c>
      <c r="G354" s="19" t="str">
        <f>IF('Supplier selection'!G354="","",'Supplier selection'!G354)</f>
        <v/>
      </c>
      <c r="H354" s="19" t="str">
        <f>IF('Supplier selection'!H354="","",'Supplier selection'!H354)</f>
        <v/>
      </c>
      <c r="I354" s="19" t="str">
        <f>IF('Supplier selection'!I354="","",'Supplier selection'!I354)</f>
        <v/>
      </c>
      <c r="J354" s="19" t="str">
        <f>IF('Supplier selection'!J354="","",'Supplier selection'!J354)</f>
        <v/>
      </c>
      <c r="K354" s="19" t="str">
        <f>IF('Supplier selection'!K354="","",'Supplier selection'!K354)</f>
        <v/>
      </c>
      <c r="L354" s="19" t="str">
        <f>IF('Supplier selection'!L354="","",'Supplier selection'!L354)</f>
        <v/>
      </c>
      <c r="M354" s="19" t="str">
        <f>IF('Supplier selection'!M354="","",'Supplier selection'!M354)</f>
        <v/>
      </c>
      <c r="N354" s="19" t="str">
        <f>IF('Supplier selection'!N354="","",'Supplier selection'!N354)</f>
        <v/>
      </c>
      <c r="O354" s="19" t="str">
        <f>IF('Supplier selection'!O354="","",'Supplier selection'!O354)</f>
        <v/>
      </c>
      <c r="Q354" s="19" t="str">
        <f>HLOOKUP($Q$3,'Supplier selection'!$AW$4:'Supplier selection'!$CT$1000,$A355,FALSE)</f>
        <v/>
      </c>
      <c r="R354" s="22" t="str">
        <f t="shared" si="55"/>
        <v/>
      </c>
      <c r="S354" s="19" t="str">
        <f t="shared" si="56"/>
        <v/>
      </c>
      <c r="T354" s="22" t="str">
        <f t="shared" si="57"/>
        <v/>
      </c>
      <c r="U354" s="19" t="str">
        <f t="shared" si="58"/>
        <v/>
      </c>
      <c r="V354" s="7"/>
      <c r="Y354" s="19" t="str">
        <f>IF('Supplier selection'!AQ354="","",'Supplier selection'!AQ354)</f>
        <v/>
      </c>
      <c r="Z354" s="19" t="str">
        <f>IF('Supplier selection'!AR354="","",'Supplier selection'!AR354)</f>
        <v/>
      </c>
      <c r="AA354" s="19" t="str">
        <f t="shared" si="59"/>
        <v/>
      </c>
      <c r="AD354" s="26" t="str">
        <f>IF(AND('Supplier selection'!X354="",'Supplier selection'!AE354=""),"",IF('Supplier selection'!X354="",'Supplier selection'!AE354,'Supplier selection'!X354))</f>
        <v/>
      </c>
      <c r="AE354" s="19" t="str">
        <f t="shared" si="60"/>
        <v/>
      </c>
      <c r="AF354" s="19" t="str">
        <f t="shared" si="61"/>
        <v/>
      </c>
      <c r="AG354" s="27" t="str">
        <f>IF(AND('Supplier selection'!AB354="",'Supplier selection'!AI354=""),"",IF('Supplier selection'!AB354="",'Supplier selection'!AI354,'Supplier selection'!AB354))</f>
        <v/>
      </c>
      <c r="AH354" s="28" t="str">
        <f t="shared" si="62"/>
        <v/>
      </c>
      <c r="AI354" s="7" t="str">
        <f t="shared" si="63"/>
        <v/>
      </c>
      <c r="AJ354" s="22" t="str">
        <f t="shared" si="64"/>
        <v/>
      </c>
      <c r="AK354" s="29" t="str">
        <f t="shared" si="65"/>
        <v/>
      </c>
      <c r="AL354" s="10"/>
    </row>
    <row r="355" spans="1:38">
      <c r="A355" s="19">
        <f>IF('Supplier selection'!A355="","",'Supplier selection'!A355)</f>
        <v>351</v>
      </c>
      <c r="B355" s="19" t="str">
        <f>IF('Supplier selection'!B355="","",'Supplier selection'!B355)</f>
        <v/>
      </c>
      <c r="C355" s="19" t="str">
        <f>IF('Supplier selection'!C355="","",'Supplier selection'!C355)</f>
        <v/>
      </c>
      <c r="D355" s="19" t="str">
        <f>IF('Supplier selection'!D355="","",'Supplier selection'!D355)</f>
        <v/>
      </c>
      <c r="E355" s="19" t="str">
        <f>IF('Supplier selection'!E355="","",'Supplier selection'!E355)</f>
        <v/>
      </c>
      <c r="F355" s="19" t="str">
        <f>IF('Supplier selection'!F355="","",'Supplier selection'!F355)</f>
        <v/>
      </c>
      <c r="G355" s="19" t="str">
        <f>IF('Supplier selection'!G355="","",'Supplier selection'!G355)</f>
        <v/>
      </c>
      <c r="H355" s="19" t="str">
        <f>IF('Supplier selection'!H355="","",'Supplier selection'!H355)</f>
        <v/>
      </c>
      <c r="I355" s="19" t="str">
        <f>IF('Supplier selection'!I355="","",'Supplier selection'!I355)</f>
        <v/>
      </c>
      <c r="J355" s="19" t="str">
        <f>IF('Supplier selection'!J355="","",'Supplier selection'!J355)</f>
        <v/>
      </c>
      <c r="K355" s="19" t="str">
        <f>IF('Supplier selection'!K355="","",'Supplier selection'!K355)</f>
        <v/>
      </c>
      <c r="L355" s="19" t="str">
        <f>IF('Supplier selection'!L355="","",'Supplier selection'!L355)</f>
        <v/>
      </c>
      <c r="M355" s="19" t="str">
        <f>IF('Supplier selection'!M355="","",'Supplier selection'!M355)</f>
        <v/>
      </c>
      <c r="N355" s="19" t="str">
        <f>IF('Supplier selection'!N355="","",'Supplier selection'!N355)</f>
        <v/>
      </c>
      <c r="O355" s="19" t="str">
        <f>IF('Supplier selection'!O355="","",'Supplier selection'!O355)</f>
        <v/>
      </c>
      <c r="Q355" s="19" t="str">
        <f>HLOOKUP($Q$3,'Supplier selection'!$AW$4:'Supplier selection'!$CT$1000,$A356,FALSE)</f>
        <v/>
      </c>
      <c r="R355" s="22" t="str">
        <f t="shared" si="55"/>
        <v/>
      </c>
      <c r="S355" s="19" t="str">
        <f t="shared" si="56"/>
        <v/>
      </c>
      <c r="T355" s="22" t="str">
        <f t="shared" si="57"/>
        <v/>
      </c>
      <c r="U355" s="19" t="str">
        <f t="shared" si="58"/>
        <v/>
      </c>
      <c r="V355" s="7"/>
      <c r="Y355" s="19" t="str">
        <f>IF('Supplier selection'!AQ355="","",'Supplier selection'!AQ355)</f>
        <v/>
      </c>
      <c r="Z355" s="19" t="str">
        <f>IF('Supplier selection'!AR355="","",'Supplier selection'!AR355)</f>
        <v/>
      </c>
      <c r="AA355" s="19" t="str">
        <f t="shared" si="59"/>
        <v/>
      </c>
      <c r="AD355" s="26" t="str">
        <f>IF(AND('Supplier selection'!X355="",'Supplier selection'!AE355=""),"",IF('Supplier selection'!X355="",'Supplier selection'!AE355,'Supplier selection'!X355))</f>
        <v/>
      </c>
      <c r="AE355" s="19" t="str">
        <f t="shared" si="60"/>
        <v/>
      </c>
      <c r="AF355" s="19" t="str">
        <f t="shared" si="61"/>
        <v/>
      </c>
      <c r="AG355" s="27" t="str">
        <f>IF(AND('Supplier selection'!AB355="",'Supplier selection'!AI355=""),"",IF('Supplier selection'!AB355="",'Supplier selection'!AI355,'Supplier selection'!AB355))</f>
        <v/>
      </c>
      <c r="AH355" s="28" t="str">
        <f t="shared" si="62"/>
        <v/>
      </c>
      <c r="AI355" s="7" t="str">
        <f t="shared" si="63"/>
        <v/>
      </c>
      <c r="AJ355" s="22" t="str">
        <f t="shared" si="64"/>
        <v/>
      </c>
      <c r="AK355" s="29" t="str">
        <f t="shared" si="65"/>
        <v/>
      </c>
      <c r="AL355" s="10"/>
    </row>
    <row r="356" spans="1:38">
      <c r="A356" s="19">
        <f>IF('Supplier selection'!A356="","",'Supplier selection'!A356)</f>
        <v>352</v>
      </c>
      <c r="B356" s="19" t="str">
        <f>IF('Supplier selection'!B356="","",'Supplier selection'!B356)</f>
        <v/>
      </c>
      <c r="C356" s="19" t="str">
        <f>IF('Supplier selection'!C356="","",'Supplier selection'!C356)</f>
        <v/>
      </c>
      <c r="D356" s="19" t="str">
        <f>IF('Supplier selection'!D356="","",'Supplier selection'!D356)</f>
        <v/>
      </c>
      <c r="E356" s="19" t="str">
        <f>IF('Supplier selection'!E356="","",'Supplier selection'!E356)</f>
        <v/>
      </c>
      <c r="F356" s="19" t="str">
        <f>IF('Supplier selection'!F356="","",'Supplier selection'!F356)</f>
        <v/>
      </c>
      <c r="G356" s="19" t="str">
        <f>IF('Supplier selection'!G356="","",'Supplier selection'!G356)</f>
        <v/>
      </c>
      <c r="H356" s="19" t="str">
        <f>IF('Supplier selection'!H356="","",'Supplier selection'!H356)</f>
        <v/>
      </c>
      <c r="I356" s="19" t="str">
        <f>IF('Supplier selection'!I356="","",'Supplier selection'!I356)</f>
        <v/>
      </c>
      <c r="J356" s="19" t="str">
        <f>IF('Supplier selection'!J356="","",'Supplier selection'!J356)</f>
        <v/>
      </c>
      <c r="K356" s="19" t="str">
        <f>IF('Supplier selection'!K356="","",'Supplier selection'!K356)</f>
        <v/>
      </c>
      <c r="L356" s="19" t="str">
        <f>IF('Supplier selection'!L356="","",'Supplier selection'!L356)</f>
        <v/>
      </c>
      <c r="M356" s="19" t="str">
        <f>IF('Supplier selection'!M356="","",'Supplier selection'!M356)</f>
        <v/>
      </c>
      <c r="N356" s="19" t="str">
        <f>IF('Supplier selection'!N356="","",'Supplier selection'!N356)</f>
        <v/>
      </c>
      <c r="O356" s="19" t="str">
        <f>IF('Supplier selection'!O356="","",'Supplier selection'!O356)</f>
        <v/>
      </c>
      <c r="Q356" s="19" t="str">
        <f>HLOOKUP($Q$3,'Supplier selection'!$AW$4:'Supplier selection'!$CT$1000,$A357,FALSE)</f>
        <v/>
      </c>
      <c r="R356" s="22" t="str">
        <f t="shared" si="55"/>
        <v/>
      </c>
      <c r="S356" s="19" t="str">
        <f t="shared" si="56"/>
        <v/>
      </c>
      <c r="T356" s="22" t="str">
        <f t="shared" si="57"/>
        <v/>
      </c>
      <c r="U356" s="19" t="str">
        <f t="shared" si="58"/>
        <v/>
      </c>
      <c r="V356" s="7"/>
      <c r="Y356" s="19" t="str">
        <f>IF('Supplier selection'!AQ356="","",'Supplier selection'!AQ356)</f>
        <v/>
      </c>
      <c r="Z356" s="19" t="str">
        <f>IF('Supplier selection'!AR356="","",'Supplier selection'!AR356)</f>
        <v/>
      </c>
      <c r="AA356" s="19" t="str">
        <f t="shared" si="59"/>
        <v/>
      </c>
      <c r="AD356" s="26" t="str">
        <f>IF(AND('Supplier selection'!X356="",'Supplier selection'!AE356=""),"",IF('Supplier selection'!X356="",'Supplier selection'!AE356,'Supplier selection'!X356))</f>
        <v/>
      </c>
      <c r="AE356" s="19" t="str">
        <f t="shared" si="60"/>
        <v/>
      </c>
      <c r="AF356" s="19" t="str">
        <f t="shared" si="61"/>
        <v/>
      </c>
      <c r="AG356" s="27" t="str">
        <f>IF(AND('Supplier selection'!AB356="",'Supplier selection'!AI356=""),"",IF('Supplier selection'!AB356="",'Supplier selection'!AI356,'Supplier selection'!AB356))</f>
        <v/>
      </c>
      <c r="AH356" s="28" t="str">
        <f t="shared" si="62"/>
        <v/>
      </c>
      <c r="AI356" s="7" t="str">
        <f t="shared" si="63"/>
        <v/>
      </c>
      <c r="AJ356" s="22" t="str">
        <f t="shared" si="64"/>
        <v/>
      </c>
      <c r="AK356" s="29" t="str">
        <f t="shared" si="65"/>
        <v/>
      </c>
      <c r="AL356" s="10"/>
    </row>
    <row r="357" spans="1:38">
      <c r="A357" s="19">
        <f>IF('Supplier selection'!A357="","",'Supplier selection'!A357)</f>
        <v>353</v>
      </c>
      <c r="B357" s="19" t="str">
        <f>IF('Supplier selection'!B357="","",'Supplier selection'!B357)</f>
        <v/>
      </c>
      <c r="C357" s="19" t="str">
        <f>IF('Supplier selection'!C357="","",'Supplier selection'!C357)</f>
        <v/>
      </c>
      <c r="D357" s="19" t="str">
        <f>IF('Supplier selection'!D357="","",'Supplier selection'!D357)</f>
        <v/>
      </c>
      <c r="E357" s="19" t="str">
        <f>IF('Supplier selection'!E357="","",'Supplier selection'!E357)</f>
        <v/>
      </c>
      <c r="F357" s="19" t="str">
        <f>IF('Supplier selection'!F357="","",'Supplier selection'!F357)</f>
        <v/>
      </c>
      <c r="G357" s="19" t="str">
        <f>IF('Supplier selection'!G357="","",'Supplier selection'!G357)</f>
        <v/>
      </c>
      <c r="H357" s="19" t="str">
        <f>IF('Supplier selection'!H357="","",'Supplier selection'!H357)</f>
        <v/>
      </c>
      <c r="I357" s="19" t="str">
        <f>IF('Supplier selection'!I357="","",'Supplier selection'!I357)</f>
        <v/>
      </c>
      <c r="J357" s="19" t="str">
        <f>IF('Supplier selection'!J357="","",'Supplier selection'!J357)</f>
        <v/>
      </c>
      <c r="K357" s="19" t="str">
        <f>IF('Supplier selection'!K357="","",'Supplier selection'!K357)</f>
        <v/>
      </c>
      <c r="L357" s="19" t="str">
        <f>IF('Supplier selection'!L357="","",'Supplier selection'!L357)</f>
        <v/>
      </c>
      <c r="M357" s="19" t="str">
        <f>IF('Supplier selection'!M357="","",'Supplier selection'!M357)</f>
        <v/>
      </c>
      <c r="N357" s="19" t="str">
        <f>IF('Supplier selection'!N357="","",'Supplier selection'!N357)</f>
        <v/>
      </c>
      <c r="O357" s="19" t="str">
        <f>IF('Supplier selection'!O357="","",'Supplier selection'!O357)</f>
        <v/>
      </c>
      <c r="Q357" s="19" t="str">
        <f>HLOOKUP($Q$3,'Supplier selection'!$AW$4:'Supplier selection'!$CT$1000,$A358,FALSE)</f>
        <v/>
      </c>
      <c r="R357" s="22" t="str">
        <f t="shared" si="55"/>
        <v/>
      </c>
      <c r="S357" s="19" t="str">
        <f t="shared" si="56"/>
        <v/>
      </c>
      <c r="T357" s="22" t="str">
        <f t="shared" si="57"/>
        <v/>
      </c>
      <c r="U357" s="19" t="str">
        <f t="shared" si="58"/>
        <v/>
      </c>
      <c r="V357" s="7"/>
      <c r="Y357" s="19" t="str">
        <f>IF('Supplier selection'!AQ357="","",'Supplier selection'!AQ357)</f>
        <v/>
      </c>
      <c r="Z357" s="19" t="str">
        <f>IF('Supplier selection'!AR357="","",'Supplier selection'!AR357)</f>
        <v/>
      </c>
      <c r="AA357" s="19" t="str">
        <f t="shared" si="59"/>
        <v/>
      </c>
      <c r="AD357" s="26" t="str">
        <f>IF(AND('Supplier selection'!X357="",'Supplier selection'!AE357=""),"",IF('Supplier selection'!X357="",'Supplier selection'!AE357,'Supplier selection'!X357))</f>
        <v/>
      </c>
      <c r="AE357" s="19" t="str">
        <f t="shared" si="60"/>
        <v/>
      </c>
      <c r="AF357" s="19" t="str">
        <f t="shared" si="61"/>
        <v/>
      </c>
      <c r="AG357" s="27" t="str">
        <f>IF(AND('Supplier selection'!AB357="",'Supplier selection'!AI357=""),"",IF('Supplier selection'!AB357="",'Supplier selection'!AI357,'Supplier selection'!AB357))</f>
        <v/>
      </c>
      <c r="AH357" s="28" t="str">
        <f t="shared" si="62"/>
        <v/>
      </c>
      <c r="AI357" s="7" t="str">
        <f t="shared" si="63"/>
        <v/>
      </c>
      <c r="AJ357" s="22" t="str">
        <f t="shared" si="64"/>
        <v/>
      </c>
      <c r="AK357" s="29" t="str">
        <f t="shared" si="65"/>
        <v/>
      </c>
      <c r="AL357" s="10"/>
    </row>
    <row r="358" spans="1:38">
      <c r="A358" s="19">
        <f>IF('Supplier selection'!A358="","",'Supplier selection'!A358)</f>
        <v>354</v>
      </c>
      <c r="B358" s="19" t="str">
        <f>IF('Supplier selection'!B358="","",'Supplier selection'!B358)</f>
        <v/>
      </c>
      <c r="C358" s="19" t="str">
        <f>IF('Supplier selection'!C358="","",'Supplier selection'!C358)</f>
        <v/>
      </c>
      <c r="D358" s="19" t="str">
        <f>IF('Supplier selection'!D358="","",'Supplier selection'!D358)</f>
        <v/>
      </c>
      <c r="E358" s="19" t="str">
        <f>IF('Supplier selection'!E358="","",'Supplier selection'!E358)</f>
        <v/>
      </c>
      <c r="F358" s="19" t="str">
        <f>IF('Supplier selection'!F358="","",'Supplier selection'!F358)</f>
        <v/>
      </c>
      <c r="G358" s="19" t="str">
        <f>IF('Supplier selection'!G358="","",'Supplier selection'!G358)</f>
        <v/>
      </c>
      <c r="H358" s="19" t="str">
        <f>IF('Supplier selection'!H358="","",'Supplier selection'!H358)</f>
        <v/>
      </c>
      <c r="I358" s="19" t="str">
        <f>IF('Supplier selection'!I358="","",'Supplier selection'!I358)</f>
        <v/>
      </c>
      <c r="J358" s="19" t="str">
        <f>IF('Supplier selection'!J358="","",'Supplier selection'!J358)</f>
        <v/>
      </c>
      <c r="K358" s="19" t="str">
        <f>IF('Supplier selection'!K358="","",'Supplier selection'!K358)</f>
        <v/>
      </c>
      <c r="L358" s="19" t="str">
        <f>IF('Supplier selection'!L358="","",'Supplier selection'!L358)</f>
        <v/>
      </c>
      <c r="M358" s="19" t="str">
        <f>IF('Supplier selection'!M358="","",'Supplier selection'!M358)</f>
        <v/>
      </c>
      <c r="N358" s="19" t="str">
        <f>IF('Supplier selection'!N358="","",'Supplier selection'!N358)</f>
        <v/>
      </c>
      <c r="O358" s="19" t="str">
        <f>IF('Supplier selection'!O358="","",'Supplier selection'!O358)</f>
        <v/>
      </c>
      <c r="Q358" s="19" t="str">
        <f>HLOOKUP($Q$3,'Supplier selection'!$AW$4:'Supplier selection'!$CT$1000,$A359,FALSE)</f>
        <v/>
      </c>
      <c r="R358" s="22" t="str">
        <f t="shared" si="55"/>
        <v/>
      </c>
      <c r="S358" s="19" t="str">
        <f t="shared" si="56"/>
        <v/>
      </c>
      <c r="T358" s="22" t="str">
        <f t="shared" si="57"/>
        <v/>
      </c>
      <c r="U358" s="19" t="str">
        <f t="shared" si="58"/>
        <v/>
      </c>
      <c r="V358" s="7"/>
      <c r="Y358" s="19" t="str">
        <f>IF('Supplier selection'!AQ358="","",'Supplier selection'!AQ358)</f>
        <v/>
      </c>
      <c r="Z358" s="19" t="str">
        <f>IF('Supplier selection'!AR358="","",'Supplier selection'!AR358)</f>
        <v/>
      </c>
      <c r="AA358" s="19" t="str">
        <f t="shared" si="59"/>
        <v/>
      </c>
      <c r="AD358" s="26" t="str">
        <f>IF(AND('Supplier selection'!X358="",'Supplier selection'!AE358=""),"",IF('Supplier selection'!X358="",'Supplier selection'!AE358,'Supplier selection'!X358))</f>
        <v/>
      </c>
      <c r="AE358" s="19" t="str">
        <f t="shared" si="60"/>
        <v/>
      </c>
      <c r="AF358" s="19" t="str">
        <f t="shared" si="61"/>
        <v/>
      </c>
      <c r="AG358" s="27" t="str">
        <f>IF(AND('Supplier selection'!AB358="",'Supplier selection'!AI358=""),"",IF('Supplier selection'!AB358="",'Supplier selection'!AI358,'Supplier selection'!AB358))</f>
        <v/>
      </c>
      <c r="AH358" s="28" t="str">
        <f t="shared" si="62"/>
        <v/>
      </c>
      <c r="AI358" s="7" t="str">
        <f t="shared" si="63"/>
        <v/>
      </c>
      <c r="AJ358" s="22" t="str">
        <f t="shared" si="64"/>
        <v/>
      </c>
      <c r="AK358" s="29" t="str">
        <f t="shared" si="65"/>
        <v/>
      </c>
      <c r="AL358" s="10"/>
    </row>
    <row r="359" spans="1:38">
      <c r="A359" s="19">
        <f>IF('Supplier selection'!A359="","",'Supplier selection'!A359)</f>
        <v>355</v>
      </c>
      <c r="B359" s="19" t="str">
        <f>IF('Supplier selection'!B359="","",'Supplier selection'!B359)</f>
        <v/>
      </c>
      <c r="C359" s="19" t="str">
        <f>IF('Supplier selection'!C359="","",'Supplier selection'!C359)</f>
        <v/>
      </c>
      <c r="D359" s="19" t="str">
        <f>IF('Supplier selection'!D359="","",'Supplier selection'!D359)</f>
        <v/>
      </c>
      <c r="E359" s="19" t="str">
        <f>IF('Supplier selection'!E359="","",'Supplier selection'!E359)</f>
        <v/>
      </c>
      <c r="F359" s="19" t="str">
        <f>IF('Supplier selection'!F359="","",'Supplier selection'!F359)</f>
        <v/>
      </c>
      <c r="G359" s="19" t="str">
        <f>IF('Supplier selection'!G359="","",'Supplier selection'!G359)</f>
        <v/>
      </c>
      <c r="H359" s="19" t="str">
        <f>IF('Supplier selection'!H359="","",'Supplier selection'!H359)</f>
        <v/>
      </c>
      <c r="I359" s="19" t="str">
        <f>IF('Supplier selection'!I359="","",'Supplier selection'!I359)</f>
        <v/>
      </c>
      <c r="J359" s="19" t="str">
        <f>IF('Supplier selection'!J359="","",'Supplier selection'!J359)</f>
        <v/>
      </c>
      <c r="K359" s="19" t="str">
        <f>IF('Supplier selection'!K359="","",'Supplier selection'!K359)</f>
        <v/>
      </c>
      <c r="L359" s="19" t="str">
        <f>IF('Supplier selection'!L359="","",'Supplier selection'!L359)</f>
        <v/>
      </c>
      <c r="M359" s="19" t="str">
        <f>IF('Supplier selection'!M359="","",'Supplier selection'!M359)</f>
        <v/>
      </c>
      <c r="N359" s="19" t="str">
        <f>IF('Supplier selection'!N359="","",'Supplier selection'!N359)</f>
        <v/>
      </c>
      <c r="O359" s="19" t="str">
        <f>IF('Supplier selection'!O359="","",'Supplier selection'!O359)</f>
        <v/>
      </c>
      <c r="Q359" s="19" t="str">
        <f>HLOOKUP($Q$3,'Supplier selection'!$AW$4:'Supplier selection'!$CT$1000,$A360,FALSE)</f>
        <v/>
      </c>
      <c r="R359" s="22" t="str">
        <f t="shared" si="55"/>
        <v/>
      </c>
      <c r="S359" s="19" t="str">
        <f t="shared" si="56"/>
        <v/>
      </c>
      <c r="T359" s="22" t="str">
        <f t="shared" si="57"/>
        <v/>
      </c>
      <c r="U359" s="19" t="str">
        <f t="shared" si="58"/>
        <v/>
      </c>
      <c r="V359" s="7"/>
      <c r="Y359" s="19" t="str">
        <f>IF('Supplier selection'!AQ359="","",'Supplier selection'!AQ359)</f>
        <v/>
      </c>
      <c r="Z359" s="19" t="str">
        <f>IF('Supplier selection'!AR359="","",'Supplier selection'!AR359)</f>
        <v/>
      </c>
      <c r="AA359" s="19" t="str">
        <f t="shared" si="59"/>
        <v/>
      </c>
      <c r="AD359" s="26" t="str">
        <f>IF(AND('Supplier selection'!X359="",'Supplier selection'!AE359=""),"",IF('Supplier selection'!X359="",'Supplier selection'!AE359,'Supplier selection'!X359))</f>
        <v/>
      </c>
      <c r="AE359" s="19" t="str">
        <f t="shared" si="60"/>
        <v/>
      </c>
      <c r="AF359" s="19" t="str">
        <f t="shared" si="61"/>
        <v/>
      </c>
      <c r="AG359" s="27" t="str">
        <f>IF(AND('Supplier selection'!AB359="",'Supplier selection'!AI359=""),"",IF('Supplier selection'!AB359="",'Supplier selection'!AI359,'Supplier selection'!AB359))</f>
        <v/>
      </c>
      <c r="AH359" s="28" t="str">
        <f t="shared" si="62"/>
        <v/>
      </c>
      <c r="AI359" s="7" t="str">
        <f t="shared" si="63"/>
        <v/>
      </c>
      <c r="AJ359" s="22" t="str">
        <f t="shared" si="64"/>
        <v/>
      </c>
      <c r="AK359" s="29" t="str">
        <f t="shared" si="65"/>
        <v/>
      </c>
      <c r="AL359" s="10"/>
    </row>
    <row r="360" spans="1:38">
      <c r="A360" s="19">
        <f>IF('Supplier selection'!A360="","",'Supplier selection'!A360)</f>
        <v>356</v>
      </c>
      <c r="B360" s="19" t="str">
        <f>IF('Supplier selection'!B360="","",'Supplier selection'!B360)</f>
        <v/>
      </c>
      <c r="C360" s="19" t="str">
        <f>IF('Supplier selection'!C360="","",'Supplier selection'!C360)</f>
        <v/>
      </c>
      <c r="D360" s="19" t="str">
        <f>IF('Supplier selection'!D360="","",'Supplier selection'!D360)</f>
        <v/>
      </c>
      <c r="E360" s="19" t="str">
        <f>IF('Supplier selection'!E360="","",'Supplier selection'!E360)</f>
        <v/>
      </c>
      <c r="F360" s="19" t="str">
        <f>IF('Supplier selection'!F360="","",'Supplier selection'!F360)</f>
        <v/>
      </c>
      <c r="G360" s="19" t="str">
        <f>IF('Supplier selection'!G360="","",'Supplier selection'!G360)</f>
        <v/>
      </c>
      <c r="H360" s="19" t="str">
        <f>IF('Supplier selection'!H360="","",'Supplier selection'!H360)</f>
        <v/>
      </c>
      <c r="I360" s="19" t="str">
        <f>IF('Supplier selection'!I360="","",'Supplier selection'!I360)</f>
        <v/>
      </c>
      <c r="J360" s="19" t="str">
        <f>IF('Supplier selection'!J360="","",'Supplier selection'!J360)</f>
        <v/>
      </c>
      <c r="K360" s="19" t="str">
        <f>IF('Supplier selection'!K360="","",'Supplier selection'!K360)</f>
        <v/>
      </c>
      <c r="L360" s="19" t="str">
        <f>IF('Supplier selection'!L360="","",'Supplier selection'!L360)</f>
        <v/>
      </c>
      <c r="M360" s="19" t="str">
        <f>IF('Supplier selection'!M360="","",'Supplier selection'!M360)</f>
        <v/>
      </c>
      <c r="N360" s="19" t="str">
        <f>IF('Supplier selection'!N360="","",'Supplier selection'!N360)</f>
        <v/>
      </c>
      <c r="O360" s="19" t="str">
        <f>IF('Supplier selection'!O360="","",'Supplier selection'!O360)</f>
        <v/>
      </c>
      <c r="Q360" s="19" t="str">
        <f>HLOOKUP($Q$3,'Supplier selection'!$AW$4:'Supplier selection'!$CT$1000,$A361,FALSE)</f>
        <v/>
      </c>
      <c r="R360" s="22" t="str">
        <f t="shared" si="55"/>
        <v/>
      </c>
      <c r="S360" s="19" t="str">
        <f t="shared" si="56"/>
        <v/>
      </c>
      <c r="T360" s="22" t="str">
        <f t="shared" si="57"/>
        <v/>
      </c>
      <c r="U360" s="19" t="str">
        <f t="shared" si="58"/>
        <v/>
      </c>
      <c r="V360" s="7"/>
      <c r="Y360" s="19" t="str">
        <f>IF('Supplier selection'!AQ360="","",'Supplier selection'!AQ360)</f>
        <v/>
      </c>
      <c r="Z360" s="19" t="str">
        <f>IF('Supplier selection'!AR360="","",'Supplier selection'!AR360)</f>
        <v/>
      </c>
      <c r="AA360" s="19" t="str">
        <f t="shared" si="59"/>
        <v/>
      </c>
      <c r="AD360" s="26" t="str">
        <f>IF(AND('Supplier selection'!X360="",'Supplier selection'!AE360=""),"",IF('Supplier selection'!X360="",'Supplier selection'!AE360,'Supplier selection'!X360))</f>
        <v/>
      </c>
      <c r="AE360" s="19" t="str">
        <f t="shared" si="60"/>
        <v/>
      </c>
      <c r="AF360" s="19" t="str">
        <f t="shared" si="61"/>
        <v/>
      </c>
      <c r="AG360" s="27" t="str">
        <f>IF(AND('Supplier selection'!AB360="",'Supplier selection'!AI360=""),"",IF('Supplier selection'!AB360="",'Supplier selection'!AI360,'Supplier selection'!AB360))</f>
        <v/>
      </c>
      <c r="AH360" s="28" t="str">
        <f t="shared" si="62"/>
        <v/>
      </c>
      <c r="AI360" s="7" t="str">
        <f t="shared" si="63"/>
        <v/>
      </c>
      <c r="AJ360" s="22" t="str">
        <f t="shared" si="64"/>
        <v/>
      </c>
      <c r="AK360" s="29" t="str">
        <f t="shared" si="65"/>
        <v/>
      </c>
      <c r="AL360" s="10"/>
    </row>
    <row r="361" spans="1:38">
      <c r="A361" s="19">
        <f>IF('Supplier selection'!A361="","",'Supplier selection'!A361)</f>
        <v>357</v>
      </c>
      <c r="B361" s="19" t="str">
        <f>IF('Supplier selection'!B361="","",'Supplier selection'!B361)</f>
        <v/>
      </c>
      <c r="C361" s="19" t="str">
        <f>IF('Supplier selection'!C361="","",'Supplier selection'!C361)</f>
        <v/>
      </c>
      <c r="D361" s="19" t="str">
        <f>IF('Supplier selection'!D361="","",'Supplier selection'!D361)</f>
        <v/>
      </c>
      <c r="E361" s="19" t="str">
        <f>IF('Supplier selection'!E361="","",'Supplier selection'!E361)</f>
        <v/>
      </c>
      <c r="F361" s="19" t="str">
        <f>IF('Supplier selection'!F361="","",'Supplier selection'!F361)</f>
        <v/>
      </c>
      <c r="G361" s="19" t="str">
        <f>IF('Supplier selection'!G361="","",'Supplier selection'!G361)</f>
        <v/>
      </c>
      <c r="H361" s="19" t="str">
        <f>IF('Supplier selection'!H361="","",'Supplier selection'!H361)</f>
        <v/>
      </c>
      <c r="I361" s="19" t="str">
        <f>IF('Supplier selection'!I361="","",'Supplier selection'!I361)</f>
        <v/>
      </c>
      <c r="J361" s="19" t="str">
        <f>IF('Supplier selection'!J361="","",'Supplier selection'!J361)</f>
        <v/>
      </c>
      <c r="K361" s="19" t="str">
        <f>IF('Supplier selection'!K361="","",'Supplier selection'!K361)</f>
        <v/>
      </c>
      <c r="L361" s="19" t="str">
        <f>IF('Supplier selection'!L361="","",'Supplier selection'!L361)</f>
        <v/>
      </c>
      <c r="M361" s="19" t="str">
        <f>IF('Supplier selection'!M361="","",'Supplier selection'!M361)</f>
        <v/>
      </c>
      <c r="N361" s="19" t="str">
        <f>IF('Supplier selection'!N361="","",'Supplier selection'!N361)</f>
        <v/>
      </c>
      <c r="O361" s="19" t="str">
        <f>IF('Supplier selection'!O361="","",'Supplier selection'!O361)</f>
        <v/>
      </c>
      <c r="Q361" s="19" t="str">
        <f>HLOOKUP($Q$3,'Supplier selection'!$AW$4:'Supplier selection'!$CT$1000,$A362,FALSE)</f>
        <v/>
      </c>
      <c r="R361" s="22" t="str">
        <f t="shared" si="55"/>
        <v/>
      </c>
      <c r="S361" s="19" t="str">
        <f t="shared" si="56"/>
        <v/>
      </c>
      <c r="T361" s="22" t="str">
        <f t="shared" si="57"/>
        <v/>
      </c>
      <c r="U361" s="19" t="str">
        <f t="shared" si="58"/>
        <v/>
      </c>
      <c r="V361" s="7"/>
      <c r="Y361" s="19" t="str">
        <f>IF('Supplier selection'!AQ361="","",'Supplier selection'!AQ361)</f>
        <v/>
      </c>
      <c r="Z361" s="19" t="str">
        <f>IF('Supplier selection'!AR361="","",'Supplier selection'!AR361)</f>
        <v/>
      </c>
      <c r="AA361" s="19" t="str">
        <f t="shared" si="59"/>
        <v/>
      </c>
      <c r="AD361" s="26" t="str">
        <f>IF(AND('Supplier selection'!X361="",'Supplier selection'!AE361=""),"",IF('Supplier selection'!X361="",'Supplier selection'!AE361,'Supplier selection'!X361))</f>
        <v/>
      </c>
      <c r="AE361" s="19" t="str">
        <f t="shared" si="60"/>
        <v/>
      </c>
      <c r="AF361" s="19" t="str">
        <f t="shared" si="61"/>
        <v/>
      </c>
      <c r="AG361" s="27" t="str">
        <f>IF(AND('Supplier selection'!AB361="",'Supplier selection'!AI361=""),"",IF('Supplier selection'!AB361="",'Supplier selection'!AI361,'Supplier selection'!AB361))</f>
        <v/>
      </c>
      <c r="AH361" s="28" t="str">
        <f t="shared" si="62"/>
        <v/>
      </c>
      <c r="AI361" s="7" t="str">
        <f t="shared" si="63"/>
        <v/>
      </c>
      <c r="AJ361" s="22" t="str">
        <f t="shared" si="64"/>
        <v/>
      </c>
      <c r="AK361" s="29" t="str">
        <f t="shared" si="65"/>
        <v/>
      </c>
      <c r="AL361" s="10"/>
    </row>
    <row r="362" spans="1:38">
      <c r="A362" s="19">
        <f>IF('Supplier selection'!A362="","",'Supplier selection'!A362)</f>
        <v>358</v>
      </c>
      <c r="B362" s="19" t="str">
        <f>IF('Supplier selection'!B362="","",'Supplier selection'!B362)</f>
        <v/>
      </c>
      <c r="C362" s="19" t="str">
        <f>IF('Supplier selection'!C362="","",'Supplier selection'!C362)</f>
        <v/>
      </c>
      <c r="D362" s="19" t="str">
        <f>IF('Supplier selection'!D362="","",'Supplier selection'!D362)</f>
        <v/>
      </c>
      <c r="E362" s="19" t="str">
        <f>IF('Supplier selection'!E362="","",'Supplier selection'!E362)</f>
        <v/>
      </c>
      <c r="F362" s="19" t="str">
        <f>IF('Supplier selection'!F362="","",'Supplier selection'!F362)</f>
        <v/>
      </c>
      <c r="G362" s="19" t="str">
        <f>IF('Supplier selection'!G362="","",'Supplier selection'!G362)</f>
        <v/>
      </c>
      <c r="H362" s="19" t="str">
        <f>IF('Supplier selection'!H362="","",'Supplier selection'!H362)</f>
        <v/>
      </c>
      <c r="I362" s="19" t="str">
        <f>IF('Supplier selection'!I362="","",'Supplier selection'!I362)</f>
        <v/>
      </c>
      <c r="J362" s="19" t="str">
        <f>IF('Supplier selection'!J362="","",'Supplier selection'!J362)</f>
        <v/>
      </c>
      <c r="K362" s="19" t="str">
        <f>IF('Supplier selection'!K362="","",'Supplier selection'!K362)</f>
        <v/>
      </c>
      <c r="L362" s="19" t="str">
        <f>IF('Supplier selection'!L362="","",'Supplier selection'!L362)</f>
        <v/>
      </c>
      <c r="M362" s="19" t="str">
        <f>IF('Supplier selection'!M362="","",'Supplier selection'!M362)</f>
        <v/>
      </c>
      <c r="N362" s="19" t="str">
        <f>IF('Supplier selection'!N362="","",'Supplier selection'!N362)</f>
        <v/>
      </c>
      <c r="O362" s="19" t="str">
        <f>IF('Supplier selection'!O362="","",'Supplier selection'!O362)</f>
        <v/>
      </c>
      <c r="Q362" s="19" t="str">
        <f>HLOOKUP($Q$3,'Supplier selection'!$AW$4:'Supplier selection'!$CT$1000,$A363,FALSE)</f>
        <v/>
      </c>
      <c r="R362" s="22" t="str">
        <f t="shared" si="55"/>
        <v/>
      </c>
      <c r="S362" s="19" t="str">
        <f t="shared" si="56"/>
        <v/>
      </c>
      <c r="T362" s="22" t="str">
        <f t="shared" si="57"/>
        <v/>
      </c>
      <c r="U362" s="19" t="str">
        <f t="shared" si="58"/>
        <v/>
      </c>
      <c r="V362" s="7"/>
      <c r="Y362" s="19" t="str">
        <f>IF('Supplier selection'!AQ362="","",'Supplier selection'!AQ362)</f>
        <v/>
      </c>
      <c r="Z362" s="19" t="str">
        <f>IF('Supplier selection'!AR362="","",'Supplier selection'!AR362)</f>
        <v/>
      </c>
      <c r="AA362" s="19" t="str">
        <f t="shared" si="59"/>
        <v/>
      </c>
      <c r="AD362" s="26" t="str">
        <f>IF(AND('Supplier selection'!X362="",'Supplier selection'!AE362=""),"",IF('Supplier selection'!X362="",'Supplier selection'!AE362,'Supplier selection'!X362))</f>
        <v/>
      </c>
      <c r="AE362" s="19" t="str">
        <f t="shared" si="60"/>
        <v/>
      </c>
      <c r="AF362" s="19" t="str">
        <f t="shared" si="61"/>
        <v/>
      </c>
      <c r="AG362" s="27" t="str">
        <f>IF(AND('Supplier selection'!AB362="",'Supplier selection'!AI362=""),"",IF('Supplier selection'!AB362="",'Supplier selection'!AI362,'Supplier selection'!AB362))</f>
        <v/>
      </c>
      <c r="AH362" s="28" t="str">
        <f t="shared" si="62"/>
        <v/>
      </c>
      <c r="AI362" s="7" t="str">
        <f t="shared" si="63"/>
        <v/>
      </c>
      <c r="AJ362" s="22" t="str">
        <f t="shared" si="64"/>
        <v/>
      </c>
      <c r="AK362" s="29" t="str">
        <f t="shared" si="65"/>
        <v/>
      </c>
      <c r="AL362" s="10"/>
    </row>
    <row r="363" spans="1:38">
      <c r="A363" s="19">
        <f>IF('Supplier selection'!A363="","",'Supplier selection'!A363)</f>
        <v>359</v>
      </c>
      <c r="B363" s="19" t="str">
        <f>IF('Supplier selection'!B363="","",'Supplier selection'!B363)</f>
        <v/>
      </c>
      <c r="C363" s="19" t="str">
        <f>IF('Supplier selection'!C363="","",'Supplier selection'!C363)</f>
        <v/>
      </c>
      <c r="D363" s="19" t="str">
        <f>IF('Supplier selection'!D363="","",'Supplier selection'!D363)</f>
        <v/>
      </c>
      <c r="E363" s="19" t="str">
        <f>IF('Supplier selection'!E363="","",'Supplier selection'!E363)</f>
        <v/>
      </c>
      <c r="F363" s="19" t="str">
        <f>IF('Supplier selection'!F363="","",'Supplier selection'!F363)</f>
        <v/>
      </c>
      <c r="G363" s="19" t="str">
        <f>IF('Supplier selection'!G363="","",'Supplier selection'!G363)</f>
        <v/>
      </c>
      <c r="H363" s="19" t="str">
        <f>IF('Supplier selection'!H363="","",'Supplier selection'!H363)</f>
        <v/>
      </c>
      <c r="I363" s="19" t="str">
        <f>IF('Supplier selection'!I363="","",'Supplier selection'!I363)</f>
        <v/>
      </c>
      <c r="J363" s="19" t="str">
        <f>IF('Supplier selection'!J363="","",'Supplier selection'!J363)</f>
        <v/>
      </c>
      <c r="K363" s="19" t="str">
        <f>IF('Supplier selection'!K363="","",'Supplier selection'!K363)</f>
        <v/>
      </c>
      <c r="L363" s="19" t="str">
        <f>IF('Supplier selection'!L363="","",'Supplier selection'!L363)</f>
        <v/>
      </c>
      <c r="M363" s="19" t="str">
        <f>IF('Supplier selection'!M363="","",'Supplier selection'!M363)</f>
        <v/>
      </c>
      <c r="N363" s="19" t="str">
        <f>IF('Supplier selection'!N363="","",'Supplier selection'!N363)</f>
        <v/>
      </c>
      <c r="O363" s="19" t="str">
        <f>IF('Supplier selection'!O363="","",'Supplier selection'!O363)</f>
        <v/>
      </c>
      <c r="Q363" s="19" t="str">
        <f>HLOOKUP($Q$3,'Supplier selection'!$AW$4:'Supplier selection'!$CT$1000,$A364,FALSE)</f>
        <v/>
      </c>
      <c r="R363" s="22" t="str">
        <f t="shared" si="55"/>
        <v/>
      </c>
      <c r="S363" s="19" t="str">
        <f t="shared" si="56"/>
        <v/>
      </c>
      <c r="T363" s="22" t="str">
        <f t="shared" si="57"/>
        <v/>
      </c>
      <c r="U363" s="19" t="str">
        <f t="shared" si="58"/>
        <v/>
      </c>
      <c r="V363" s="7"/>
      <c r="Y363" s="19" t="str">
        <f>IF('Supplier selection'!AQ363="","",'Supplier selection'!AQ363)</f>
        <v/>
      </c>
      <c r="Z363" s="19" t="str">
        <f>IF('Supplier selection'!AR363="","",'Supplier selection'!AR363)</f>
        <v/>
      </c>
      <c r="AA363" s="19" t="str">
        <f t="shared" si="59"/>
        <v/>
      </c>
      <c r="AD363" s="26" t="str">
        <f>IF(AND('Supplier selection'!X363="",'Supplier selection'!AE363=""),"",IF('Supplier selection'!X363="",'Supplier selection'!AE363,'Supplier selection'!X363))</f>
        <v/>
      </c>
      <c r="AE363" s="19" t="str">
        <f t="shared" si="60"/>
        <v/>
      </c>
      <c r="AF363" s="19" t="str">
        <f t="shared" si="61"/>
        <v/>
      </c>
      <c r="AG363" s="27" t="str">
        <f>IF(AND('Supplier selection'!AB363="",'Supplier selection'!AI363=""),"",IF('Supplier selection'!AB363="",'Supplier selection'!AI363,'Supplier selection'!AB363))</f>
        <v/>
      </c>
      <c r="AH363" s="28" t="str">
        <f t="shared" si="62"/>
        <v/>
      </c>
      <c r="AI363" s="7" t="str">
        <f t="shared" si="63"/>
        <v/>
      </c>
      <c r="AJ363" s="22" t="str">
        <f t="shared" si="64"/>
        <v/>
      </c>
      <c r="AK363" s="29" t="str">
        <f t="shared" si="65"/>
        <v/>
      </c>
      <c r="AL363" s="10"/>
    </row>
    <row r="364" spans="1:38">
      <c r="A364" s="19">
        <f>IF('Supplier selection'!A364="","",'Supplier selection'!A364)</f>
        <v>360</v>
      </c>
      <c r="B364" s="19" t="str">
        <f>IF('Supplier selection'!B364="","",'Supplier selection'!B364)</f>
        <v/>
      </c>
      <c r="C364" s="19" t="str">
        <f>IF('Supplier selection'!C364="","",'Supplier selection'!C364)</f>
        <v/>
      </c>
      <c r="D364" s="19" t="str">
        <f>IF('Supplier selection'!D364="","",'Supplier selection'!D364)</f>
        <v/>
      </c>
      <c r="E364" s="19" t="str">
        <f>IF('Supplier selection'!E364="","",'Supplier selection'!E364)</f>
        <v/>
      </c>
      <c r="F364" s="19" t="str">
        <f>IF('Supplier selection'!F364="","",'Supplier selection'!F364)</f>
        <v/>
      </c>
      <c r="G364" s="19" t="str">
        <f>IF('Supplier selection'!G364="","",'Supplier selection'!G364)</f>
        <v/>
      </c>
      <c r="H364" s="19" t="str">
        <f>IF('Supplier selection'!H364="","",'Supplier selection'!H364)</f>
        <v/>
      </c>
      <c r="I364" s="19" t="str">
        <f>IF('Supplier selection'!I364="","",'Supplier selection'!I364)</f>
        <v/>
      </c>
      <c r="J364" s="19" t="str">
        <f>IF('Supplier selection'!J364="","",'Supplier selection'!J364)</f>
        <v/>
      </c>
      <c r="K364" s="19" t="str">
        <f>IF('Supplier selection'!K364="","",'Supplier selection'!K364)</f>
        <v/>
      </c>
      <c r="L364" s="19" t="str">
        <f>IF('Supplier selection'!L364="","",'Supplier selection'!L364)</f>
        <v/>
      </c>
      <c r="M364" s="19" t="str">
        <f>IF('Supplier selection'!M364="","",'Supplier selection'!M364)</f>
        <v/>
      </c>
      <c r="N364" s="19" t="str">
        <f>IF('Supplier selection'!N364="","",'Supplier selection'!N364)</f>
        <v/>
      </c>
      <c r="O364" s="19" t="str">
        <f>IF('Supplier selection'!O364="","",'Supplier selection'!O364)</f>
        <v/>
      </c>
      <c r="Q364" s="19" t="str">
        <f>HLOOKUP($Q$3,'Supplier selection'!$AW$4:'Supplier selection'!$CT$1000,$A365,FALSE)</f>
        <v/>
      </c>
      <c r="R364" s="22" t="str">
        <f t="shared" si="55"/>
        <v/>
      </c>
      <c r="S364" s="19" t="str">
        <f t="shared" si="56"/>
        <v/>
      </c>
      <c r="T364" s="22" t="str">
        <f t="shared" si="57"/>
        <v/>
      </c>
      <c r="U364" s="19" t="str">
        <f t="shared" si="58"/>
        <v/>
      </c>
      <c r="V364" s="7"/>
      <c r="Y364" s="19" t="str">
        <f>IF('Supplier selection'!AQ364="","",'Supplier selection'!AQ364)</f>
        <v/>
      </c>
      <c r="Z364" s="19" t="str">
        <f>IF('Supplier selection'!AR364="","",'Supplier selection'!AR364)</f>
        <v/>
      </c>
      <c r="AA364" s="19" t="str">
        <f t="shared" si="59"/>
        <v/>
      </c>
      <c r="AD364" s="26" t="str">
        <f>IF(AND('Supplier selection'!X364="",'Supplier selection'!AE364=""),"",IF('Supplier selection'!X364="",'Supplier selection'!AE364,'Supplier selection'!X364))</f>
        <v/>
      </c>
      <c r="AE364" s="19" t="str">
        <f t="shared" si="60"/>
        <v/>
      </c>
      <c r="AF364" s="19" t="str">
        <f t="shared" si="61"/>
        <v/>
      </c>
      <c r="AG364" s="27" t="str">
        <f>IF(AND('Supplier selection'!AB364="",'Supplier selection'!AI364=""),"",IF('Supplier selection'!AB364="",'Supplier selection'!AI364,'Supplier selection'!AB364))</f>
        <v/>
      </c>
      <c r="AH364" s="28" t="str">
        <f t="shared" si="62"/>
        <v/>
      </c>
      <c r="AI364" s="7" t="str">
        <f t="shared" si="63"/>
        <v/>
      </c>
      <c r="AJ364" s="22" t="str">
        <f t="shared" si="64"/>
        <v/>
      </c>
      <c r="AK364" s="29" t="str">
        <f t="shared" si="65"/>
        <v/>
      </c>
      <c r="AL364" s="10"/>
    </row>
    <row r="365" spans="1:38">
      <c r="A365" s="19">
        <f>IF('Supplier selection'!A365="","",'Supplier selection'!A365)</f>
        <v>361</v>
      </c>
      <c r="B365" s="19" t="str">
        <f>IF('Supplier selection'!B365="","",'Supplier selection'!B365)</f>
        <v/>
      </c>
      <c r="C365" s="19" t="str">
        <f>IF('Supplier selection'!C365="","",'Supplier selection'!C365)</f>
        <v/>
      </c>
      <c r="D365" s="19" t="str">
        <f>IF('Supplier selection'!D365="","",'Supplier selection'!D365)</f>
        <v/>
      </c>
      <c r="E365" s="19" t="str">
        <f>IF('Supplier selection'!E365="","",'Supplier selection'!E365)</f>
        <v/>
      </c>
      <c r="F365" s="19" t="str">
        <f>IF('Supplier selection'!F365="","",'Supplier selection'!F365)</f>
        <v/>
      </c>
      <c r="G365" s="19" t="str">
        <f>IF('Supplier selection'!G365="","",'Supplier selection'!G365)</f>
        <v/>
      </c>
      <c r="H365" s="19" t="str">
        <f>IF('Supplier selection'!H365="","",'Supplier selection'!H365)</f>
        <v/>
      </c>
      <c r="I365" s="19" t="str">
        <f>IF('Supplier selection'!I365="","",'Supplier selection'!I365)</f>
        <v/>
      </c>
      <c r="J365" s="19" t="str">
        <f>IF('Supplier selection'!J365="","",'Supplier selection'!J365)</f>
        <v/>
      </c>
      <c r="K365" s="19" t="str">
        <f>IF('Supplier selection'!K365="","",'Supplier selection'!K365)</f>
        <v/>
      </c>
      <c r="L365" s="19" t="str">
        <f>IF('Supplier selection'!L365="","",'Supplier selection'!L365)</f>
        <v/>
      </c>
      <c r="M365" s="19" t="str">
        <f>IF('Supplier selection'!M365="","",'Supplier selection'!M365)</f>
        <v/>
      </c>
      <c r="N365" s="19" t="str">
        <f>IF('Supplier selection'!N365="","",'Supplier selection'!N365)</f>
        <v/>
      </c>
      <c r="O365" s="19" t="str">
        <f>IF('Supplier selection'!O365="","",'Supplier selection'!O365)</f>
        <v/>
      </c>
      <c r="Q365" s="19" t="str">
        <f>HLOOKUP($Q$3,'Supplier selection'!$AW$4:'Supplier selection'!$CT$1000,$A366,FALSE)</f>
        <v/>
      </c>
      <c r="R365" s="22" t="str">
        <f t="shared" si="55"/>
        <v/>
      </c>
      <c r="S365" s="19" t="str">
        <f t="shared" si="56"/>
        <v/>
      </c>
      <c r="T365" s="22" t="str">
        <f t="shared" si="57"/>
        <v/>
      </c>
      <c r="U365" s="19" t="str">
        <f t="shared" si="58"/>
        <v/>
      </c>
      <c r="V365" s="7"/>
      <c r="Y365" s="19" t="str">
        <f>IF('Supplier selection'!AQ365="","",'Supplier selection'!AQ365)</f>
        <v/>
      </c>
      <c r="Z365" s="19" t="str">
        <f>IF('Supplier selection'!AR365="","",'Supplier selection'!AR365)</f>
        <v/>
      </c>
      <c r="AA365" s="19" t="str">
        <f t="shared" si="59"/>
        <v/>
      </c>
      <c r="AD365" s="26" t="str">
        <f>IF(AND('Supplier selection'!X365="",'Supplier selection'!AE365=""),"",IF('Supplier selection'!X365="",'Supplier selection'!AE365,'Supplier selection'!X365))</f>
        <v/>
      </c>
      <c r="AE365" s="19" t="str">
        <f t="shared" si="60"/>
        <v/>
      </c>
      <c r="AF365" s="19" t="str">
        <f t="shared" si="61"/>
        <v/>
      </c>
      <c r="AG365" s="27" t="str">
        <f>IF(AND('Supplier selection'!AB365="",'Supplier selection'!AI365=""),"",IF('Supplier selection'!AB365="",'Supplier selection'!AI365,'Supplier selection'!AB365))</f>
        <v/>
      </c>
      <c r="AH365" s="28" t="str">
        <f t="shared" si="62"/>
        <v/>
      </c>
      <c r="AI365" s="7" t="str">
        <f t="shared" si="63"/>
        <v/>
      </c>
      <c r="AJ365" s="22" t="str">
        <f t="shared" si="64"/>
        <v/>
      </c>
      <c r="AK365" s="29" t="str">
        <f t="shared" si="65"/>
        <v/>
      </c>
      <c r="AL365" s="10"/>
    </row>
    <row r="366" spans="1:38">
      <c r="A366" s="19">
        <f>IF('Supplier selection'!A366="","",'Supplier selection'!A366)</f>
        <v>362</v>
      </c>
      <c r="B366" s="19" t="str">
        <f>IF('Supplier selection'!B366="","",'Supplier selection'!B366)</f>
        <v/>
      </c>
      <c r="C366" s="19" t="str">
        <f>IF('Supplier selection'!C366="","",'Supplier selection'!C366)</f>
        <v/>
      </c>
      <c r="D366" s="19" t="str">
        <f>IF('Supplier selection'!D366="","",'Supplier selection'!D366)</f>
        <v/>
      </c>
      <c r="E366" s="19" t="str">
        <f>IF('Supplier selection'!E366="","",'Supplier selection'!E366)</f>
        <v/>
      </c>
      <c r="F366" s="19" t="str">
        <f>IF('Supplier selection'!F366="","",'Supplier selection'!F366)</f>
        <v/>
      </c>
      <c r="G366" s="19" t="str">
        <f>IF('Supplier selection'!G366="","",'Supplier selection'!G366)</f>
        <v/>
      </c>
      <c r="H366" s="19" t="str">
        <f>IF('Supplier selection'!H366="","",'Supplier selection'!H366)</f>
        <v/>
      </c>
      <c r="I366" s="19" t="str">
        <f>IF('Supplier selection'!I366="","",'Supplier selection'!I366)</f>
        <v/>
      </c>
      <c r="J366" s="19" t="str">
        <f>IF('Supplier selection'!J366="","",'Supplier selection'!J366)</f>
        <v/>
      </c>
      <c r="K366" s="19" t="str">
        <f>IF('Supplier selection'!K366="","",'Supplier selection'!K366)</f>
        <v/>
      </c>
      <c r="L366" s="19" t="str">
        <f>IF('Supplier selection'!L366="","",'Supplier selection'!L366)</f>
        <v/>
      </c>
      <c r="M366" s="19" t="str">
        <f>IF('Supplier selection'!M366="","",'Supplier selection'!M366)</f>
        <v/>
      </c>
      <c r="N366" s="19" t="str">
        <f>IF('Supplier selection'!N366="","",'Supplier selection'!N366)</f>
        <v/>
      </c>
      <c r="O366" s="19" t="str">
        <f>IF('Supplier selection'!O366="","",'Supplier selection'!O366)</f>
        <v/>
      </c>
      <c r="Q366" s="19" t="str">
        <f>HLOOKUP($Q$3,'Supplier selection'!$AW$4:'Supplier selection'!$CT$1000,$A367,FALSE)</f>
        <v/>
      </c>
      <c r="R366" s="22" t="str">
        <f t="shared" si="55"/>
        <v/>
      </c>
      <c r="S366" s="19" t="str">
        <f t="shared" si="56"/>
        <v/>
      </c>
      <c r="T366" s="22" t="str">
        <f t="shared" si="57"/>
        <v/>
      </c>
      <c r="U366" s="19" t="str">
        <f t="shared" si="58"/>
        <v/>
      </c>
      <c r="V366" s="7"/>
      <c r="Y366" s="19" t="str">
        <f>IF('Supplier selection'!AQ366="","",'Supplier selection'!AQ366)</f>
        <v/>
      </c>
      <c r="Z366" s="19" t="str">
        <f>IF('Supplier selection'!AR366="","",'Supplier selection'!AR366)</f>
        <v/>
      </c>
      <c r="AA366" s="19" t="str">
        <f t="shared" si="59"/>
        <v/>
      </c>
      <c r="AD366" s="26" t="str">
        <f>IF(AND('Supplier selection'!X366="",'Supplier selection'!AE366=""),"",IF('Supplier selection'!X366="",'Supplier selection'!AE366,'Supplier selection'!X366))</f>
        <v/>
      </c>
      <c r="AE366" s="19" t="str">
        <f t="shared" si="60"/>
        <v/>
      </c>
      <c r="AF366" s="19" t="str">
        <f t="shared" si="61"/>
        <v/>
      </c>
      <c r="AG366" s="27" t="str">
        <f>IF(AND('Supplier selection'!AB366="",'Supplier selection'!AI366=""),"",IF('Supplier selection'!AB366="",'Supplier selection'!AI366,'Supplier selection'!AB366))</f>
        <v/>
      </c>
      <c r="AH366" s="28" t="str">
        <f t="shared" si="62"/>
        <v/>
      </c>
      <c r="AI366" s="7" t="str">
        <f t="shared" si="63"/>
        <v/>
      </c>
      <c r="AJ366" s="22" t="str">
        <f t="shared" si="64"/>
        <v/>
      </c>
      <c r="AK366" s="29" t="str">
        <f t="shared" si="65"/>
        <v/>
      </c>
      <c r="AL366" s="10"/>
    </row>
    <row r="367" spans="1:38">
      <c r="A367" s="19">
        <f>IF('Supplier selection'!A367="","",'Supplier selection'!A367)</f>
        <v>363</v>
      </c>
      <c r="B367" s="19" t="str">
        <f>IF('Supplier selection'!B367="","",'Supplier selection'!B367)</f>
        <v/>
      </c>
      <c r="C367" s="19" t="str">
        <f>IF('Supplier selection'!C367="","",'Supplier selection'!C367)</f>
        <v/>
      </c>
      <c r="D367" s="19" t="str">
        <f>IF('Supplier selection'!D367="","",'Supplier selection'!D367)</f>
        <v/>
      </c>
      <c r="E367" s="19" t="str">
        <f>IF('Supplier selection'!E367="","",'Supplier selection'!E367)</f>
        <v/>
      </c>
      <c r="F367" s="19" t="str">
        <f>IF('Supplier selection'!F367="","",'Supplier selection'!F367)</f>
        <v/>
      </c>
      <c r="G367" s="19" t="str">
        <f>IF('Supplier selection'!G367="","",'Supplier selection'!G367)</f>
        <v/>
      </c>
      <c r="H367" s="19" t="str">
        <f>IF('Supplier selection'!H367="","",'Supplier selection'!H367)</f>
        <v/>
      </c>
      <c r="I367" s="19" t="str">
        <f>IF('Supplier selection'!I367="","",'Supplier selection'!I367)</f>
        <v/>
      </c>
      <c r="J367" s="19" t="str">
        <f>IF('Supplier selection'!J367="","",'Supplier selection'!J367)</f>
        <v/>
      </c>
      <c r="K367" s="19" t="str">
        <f>IF('Supplier selection'!K367="","",'Supplier selection'!K367)</f>
        <v/>
      </c>
      <c r="L367" s="19" t="str">
        <f>IF('Supplier selection'!L367="","",'Supplier selection'!L367)</f>
        <v/>
      </c>
      <c r="M367" s="19" t="str">
        <f>IF('Supplier selection'!M367="","",'Supplier selection'!M367)</f>
        <v/>
      </c>
      <c r="N367" s="19" t="str">
        <f>IF('Supplier selection'!N367="","",'Supplier selection'!N367)</f>
        <v/>
      </c>
      <c r="O367" s="19" t="str">
        <f>IF('Supplier selection'!O367="","",'Supplier selection'!O367)</f>
        <v/>
      </c>
      <c r="Q367" s="19" t="str">
        <f>HLOOKUP($Q$3,'Supplier selection'!$AW$4:'Supplier selection'!$CT$1000,$A368,FALSE)</f>
        <v/>
      </c>
      <c r="R367" s="22" t="str">
        <f t="shared" si="55"/>
        <v/>
      </c>
      <c r="S367" s="19" t="str">
        <f t="shared" si="56"/>
        <v/>
      </c>
      <c r="T367" s="22" t="str">
        <f t="shared" si="57"/>
        <v/>
      </c>
      <c r="U367" s="19" t="str">
        <f t="shared" si="58"/>
        <v/>
      </c>
      <c r="V367" s="7"/>
      <c r="Y367" s="19" t="str">
        <f>IF('Supplier selection'!AQ367="","",'Supplier selection'!AQ367)</f>
        <v/>
      </c>
      <c r="Z367" s="19" t="str">
        <f>IF('Supplier selection'!AR367="","",'Supplier selection'!AR367)</f>
        <v/>
      </c>
      <c r="AA367" s="19" t="str">
        <f t="shared" si="59"/>
        <v/>
      </c>
      <c r="AD367" s="26" t="str">
        <f>IF(AND('Supplier selection'!X367="",'Supplier selection'!AE367=""),"",IF('Supplier selection'!X367="",'Supplier selection'!AE367,'Supplier selection'!X367))</f>
        <v/>
      </c>
      <c r="AE367" s="19" t="str">
        <f t="shared" si="60"/>
        <v/>
      </c>
      <c r="AF367" s="19" t="str">
        <f t="shared" si="61"/>
        <v/>
      </c>
      <c r="AG367" s="27" t="str">
        <f>IF(AND('Supplier selection'!AB367="",'Supplier selection'!AI367=""),"",IF('Supplier selection'!AB367="",'Supplier selection'!AI367,'Supplier selection'!AB367))</f>
        <v/>
      </c>
      <c r="AH367" s="28" t="str">
        <f t="shared" si="62"/>
        <v/>
      </c>
      <c r="AI367" s="7" t="str">
        <f t="shared" si="63"/>
        <v/>
      </c>
      <c r="AJ367" s="22" t="str">
        <f t="shared" si="64"/>
        <v/>
      </c>
      <c r="AK367" s="29" t="str">
        <f t="shared" si="65"/>
        <v/>
      </c>
      <c r="AL367" s="10"/>
    </row>
    <row r="368" spans="1:38">
      <c r="A368" s="19">
        <f>IF('Supplier selection'!A368="","",'Supplier selection'!A368)</f>
        <v>364</v>
      </c>
      <c r="B368" s="19" t="str">
        <f>IF('Supplier selection'!B368="","",'Supplier selection'!B368)</f>
        <v/>
      </c>
      <c r="C368" s="19" t="str">
        <f>IF('Supplier selection'!C368="","",'Supplier selection'!C368)</f>
        <v/>
      </c>
      <c r="D368" s="19" t="str">
        <f>IF('Supplier selection'!D368="","",'Supplier selection'!D368)</f>
        <v/>
      </c>
      <c r="E368" s="19" t="str">
        <f>IF('Supplier selection'!E368="","",'Supplier selection'!E368)</f>
        <v/>
      </c>
      <c r="F368" s="19" t="str">
        <f>IF('Supplier selection'!F368="","",'Supplier selection'!F368)</f>
        <v/>
      </c>
      <c r="G368" s="19" t="str">
        <f>IF('Supplier selection'!G368="","",'Supplier selection'!G368)</f>
        <v/>
      </c>
      <c r="H368" s="19" t="str">
        <f>IF('Supplier selection'!H368="","",'Supplier selection'!H368)</f>
        <v/>
      </c>
      <c r="I368" s="19" t="str">
        <f>IF('Supplier selection'!I368="","",'Supplier selection'!I368)</f>
        <v/>
      </c>
      <c r="J368" s="19" t="str">
        <f>IF('Supplier selection'!J368="","",'Supplier selection'!J368)</f>
        <v/>
      </c>
      <c r="K368" s="19" t="str">
        <f>IF('Supplier selection'!K368="","",'Supplier selection'!K368)</f>
        <v/>
      </c>
      <c r="L368" s="19" t="str">
        <f>IF('Supplier selection'!L368="","",'Supplier selection'!L368)</f>
        <v/>
      </c>
      <c r="M368" s="19" t="str">
        <f>IF('Supplier selection'!M368="","",'Supplier selection'!M368)</f>
        <v/>
      </c>
      <c r="N368" s="19" t="str">
        <f>IF('Supplier selection'!N368="","",'Supplier selection'!N368)</f>
        <v/>
      </c>
      <c r="O368" s="19" t="str">
        <f>IF('Supplier selection'!O368="","",'Supplier selection'!O368)</f>
        <v/>
      </c>
      <c r="Q368" s="19" t="str">
        <f>HLOOKUP($Q$3,'Supplier selection'!$AW$4:'Supplier selection'!$CT$1000,$A369,FALSE)</f>
        <v/>
      </c>
      <c r="R368" s="22" t="str">
        <f t="shared" si="55"/>
        <v/>
      </c>
      <c r="S368" s="19" t="str">
        <f t="shared" si="56"/>
        <v/>
      </c>
      <c r="T368" s="22" t="str">
        <f t="shared" si="57"/>
        <v/>
      </c>
      <c r="U368" s="19" t="str">
        <f t="shared" si="58"/>
        <v/>
      </c>
      <c r="V368" s="7"/>
      <c r="Y368" s="19" t="str">
        <f>IF('Supplier selection'!AQ368="","",'Supplier selection'!AQ368)</f>
        <v/>
      </c>
      <c r="Z368" s="19" t="str">
        <f>IF('Supplier selection'!AR368="","",'Supplier selection'!AR368)</f>
        <v/>
      </c>
      <c r="AA368" s="19" t="str">
        <f t="shared" si="59"/>
        <v/>
      </c>
      <c r="AD368" s="26" t="str">
        <f>IF(AND('Supplier selection'!X368="",'Supplier selection'!AE368=""),"",IF('Supplier selection'!X368="",'Supplier selection'!AE368,'Supplier selection'!X368))</f>
        <v/>
      </c>
      <c r="AE368" s="19" t="str">
        <f t="shared" si="60"/>
        <v/>
      </c>
      <c r="AF368" s="19" t="str">
        <f t="shared" si="61"/>
        <v/>
      </c>
      <c r="AG368" s="27" t="str">
        <f>IF(AND('Supplier selection'!AB368="",'Supplier selection'!AI368=""),"",IF('Supplier selection'!AB368="",'Supplier selection'!AI368,'Supplier selection'!AB368))</f>
        <v/>
      </c>
      <c r="AH368" s="28" t="str">
        <f t="shared" si="62"/>
        <v/>
      </c>
      <c r="AI368" s="7" t="str">
        <f t="shared" si="63"/>
        <v/>
      </c>
      <c r="AJ368" s="22" t="str">
        <f t="shared" si="64"/>
        <v/>
      </c>
      <c r="AK368" s="29" t="str">
        <f t="shared" si="65"/>
        <v/>
      </c>
      <c r="AL368" s="10"/>
    </row>
    <row r="369" spans="1:38">
      <c r="A369" s="19">
        <f>IF('Supplier selection'!A369="","",'Supplier selection'!A369)</f>
        <v>365</v>
      </c>
      <c r="B369" s="19" t="str">
        <f>IF('Supplier selection'!B369="","",'Supplier selection'!B369)</f>
        <v/>
      </c>
      <c r="C369" s="19" t="str">
        <f>IF('Supplier selection'!C369="","",'Supplier selection'!C369)</f>
        <v/>
      </c>
      <c r="D369" s="19" t="str">
        <f>IF('Supplier selection'!D369="","",'Supplier selection'!D369)</f>
        <v/>
      </c>
      <c r="E369" s="19" t="str">
        <f>IF('Supplier selection'!E369="","",'Supplier selection'!E369)</f>
        <v/>
      </c>
      <c r="F369" s="19" t="str">
        <f>IF('Supplier selection'!F369="","",'Supplier selection'!F369)</f>
        <v/>
      </c>
      <c r="G369" s="19" t="str">
        <f>IF('Supplier selection'!G369="","",'Supplier selection'!G369)</f>
        <v/>
      </c>
      <c r="H369" s="19" t="str">
        <f>IF('Supplier selection'!H369="","",'Supplier selection'!H369)</f>
        <v/>
      </c>
      <c r="I369" s="19" t="str">
        <f>IF('Supplier selection'!I369="","",'Supplier selection'!I369)</f>
        <v/>
      </c>
      <c r="J369" s="19" t="str">
        <f>IF('Supplier selection'!J369="","",'Supplier selection'!J369)</f>
        <v/>
      </c>
      <c r="K369" s="19" t="str">
        <f>IF('Supplier selection'!K369="","",'Supplier selection'!K369)</f>
        <v/>
      </c>
      <c r="L369" s="19" t="str">
        <f>IF('Supplier selection'!L369="","",'Supplier selection'!L369)</f>
        <v/>
      </c>
      <c r="M369" s="19" t="str">
        <f>IF('Supplier selection'!M369="","",'Supplier selection'!M369)</f>
        <v/>
      </c>
      <c r="N369" s="19" t="str">
        <f>IF('Supplier selection'!N369="","",'Supplier selection'!N369)</f>
        <v/>
      </c>
      <c r="O369" s="19" t="str">
        <f>IF('Supplier selection'!O369="","",'Supplier selection'!O369)</f>
        <v/>
      </c>
      <c r="Q369" s="19" t="str">
        <f>HLOOKUP($Q$3,'Supplier selection'!$AW$4:'Supplier selection'!$CT$1000,$A370,FALSE)</f>
        <v/>
      </c>
      <c r="R369" s="22" t="str">
        <f t="shared" si="55"/>
        <v/>
      </c>
      <c r="S369" s="19" t="str">
        <f t="shared" si="56"/>
        <v/>
      </c>
      <c r="T369" s="22" t="str">
        <f t="shared" si="57"/>
        <v/>
      </c>
      <c r="U369" s="19" t="str">
        <f t="shared" si="58"/>
        <v/>
      </c>
      <c r="V369" s="7"/>
      <c r="Y369" s="19" t="str">
        <f>IF('Supplier selection'!AQ369="","",'Supplier selection'!AQ369)</f>
        <v/>
      </c>
      <c r="Z369" s="19" t="str">
        <f>IF('Supplier selection'!AR369="","",'Supplier selection'!AR369)</f>
        <v/>
      </c>
      <c r="AA369" s="19" t="str">
        <f t="shared" si="59"/>
        <v/>
      </c>
      <c r="AD369" s="26" t="str">
        <f>IF(AND('Supplier selection'!X369="",'Supplier selection'!AE369=""),"",IF('Supplier selection'!X369="",'Supplier selection'!AE369,'Supplier selection'!X369))</f>
        <v/>
      </c>
      <c r="AE369" s="19" t="str">
        <f t="shared" si="60"/>
        <v/>
      </c>
      <c r="AF369" s="19" t="str">
        <f t="shared" si="61"/>
        <v/>
      </c>
      <c r="AG369" s="27" t="str">
        <f>IF(AND('Supplier selection'!AB369="",'Supplier selection'!AI369=""),"",IF('Supplier selection'!AB369="",'Supplier selection'!AI369,'Supplier selection'!AB369))</f>
        <v/>
      </c>
      <c r="AH369" s="28" t="str">
        <f t="shared" si="62"/>
        <v/>
      </c>
      <c r="AI369" s="7" t="str">
        <f t="shared" si="63"/>
        <v/>
      </c>
      <c r="AJ369" s="22" t="str">
        <f t="shared" si="64"/>
        <v/>
      </c>
      <c r="AK369" s="29" t="str">
        <f t="shared" si="65"/>
        <v/>
      </c>
      <c r="AL369" s="10"/>
    </row>
    <row r="370" spans="1:38">
      <c r="A370" s="19">
        <f>IF('Supplier selection'!A370="","",'Supplier selection'!A370)</f>
        <v>366</v>
      </c>
      <c r="B370" s="19" t="str">
        <f>IF('Supplier selection'!B370="","",'Supplier selection'!B370)</f>
        <v/>
      </c>
      <c r="C370" s="19" t="str">
        <f>IF('Supplier selection'!C370="","",'Supplier selection'!C370)</f>
        <v/>
      </c>
      <c r="D370" s="19" t="str">
        <f>IF('Supplier selection'!D370="","",'Supplier selection'!D370)</f>
        <v/>
      </c>
      <c r="E370" s="19" t="str">
        <f>IF('Supplier selection'!E370="","",'Supplier selection'!E370)</f>
        <v/>
      </c>
      <c r="F370" s="19" t="str">
        <f>IF('Supplier selection'!F370="","",'Supplier selection'!F370)</f>
        <v/>
      </c>
      <c r="G370" s="19" t="str">
        <f>IF('Supplier selection'!G370="","",'Supplier selection'!G370)</f>
        <v/>
      </c>
      <c r="H370" s="19" t="str">
        <f>IF('Supplier selection'!H370="","",'Supplier selection'!H370)</f>
        <v/>
      </c>
      <c r="I370" s="19" t="str">
        <f>IF('Supplier selection'!I370="","",'Supplier selection'!I370)</f>
        <v/>
      </c>
      <c r="J370" s="19" t="str">
        <f>IF('Supplier selection'!J370="","",'Supplier selection'!J370)</f>
        <v/>
      </c>
      <c r="K370" s="19" t="str">
        <f>IF('Supplier selection'!K370="","",'Supplier selection'!K370)</f>
        <v/>
      </c>
      <c r="L370" s="19" t="str">
        <f>IF('Supplier selection'!L370="","",'Supplier selection'!L370)</f>
        <v/>
      </c>
      <c r="M370" s="19" t="str">
        <f>IF('Supplier selection'!M370="","",'Supplier selection'!M370)</f>
        <v/>
      </c>
      <c r="N370" s="19" t="str">
        <f>IF('Supplier selection'!N370="","",'Supplier selection'!N370)</f>
        <v/>
      </c>
      <c r="O370" s="19" t="str">
        <f>IF('Supplier selection'!O370="","",'Supplier selection'!O370)</f>
        <v/>
      </c>
      <c r="Q370" s="19" t="str">
        <f>HLOOKUP($Q$3,'Supplier selection'!$AW$4:'Supplier selection'!$CT$1000,$A371,FALSE)</f>
        <v/>
      </c>
      <c r="R370" s="22" t="str">
        <f t="shared" si="55"/>
        <v/>
      </c>
      <c r="S370" s="19" t="str">
        <f t="shared" si="56"/>
        <v/>
      </c>
      <c r="T370" s="22" t="str">
        <f t="shared" si="57"/>
        <v/>
      </c>
      <c r="U370" s="19" t="str">
        <f t="shared" si="58"/>
        <v/>
      </c>
      <c r="V370" s="7"/>
      <c r="Y370" s="19" t="str">
        <f>IF('Supplier selection'!AQ370="","",'Supplier selection'!AQ370)</f>
        <v/>
      </c>
      <c r="Z370" s="19" t="str">
        <f>IF('Supplier selection'!AR370="","",'Supplier selection'!AR370)</f>
        <v/>
      </c>
      <c r="AA370" s="19" t="str">
        <f t="shared" si="59"/>
        <v/>
      </c>
      <c r="AD370" s="26" t="str">
        <f>IF(AND('Supplier selection'!X370="",'Supplier selection'!AE370=""),"",IF('Supplier selection'!X370="",'Supplier selection'!AE370,'Supplier selection'!X370))</f>
        <v/>
      </c>
      <c r="AE370" s="19" t="str">
        <f t="shared" si="60"/>
        <v/>
      </c>
      <c r="AF370" s="19" t="str">
        <f t="shared" si="61"/>
        <v/>
      </c>
      <c r="AG370" s="27" t="str">
        <f>IF(AND('Supplier selection'!AB370="",'Supplier selection'!AI370=""),"",IF('Supplier selection'!AB370="",'Supplier selection'!AI370,'Supplier selection'!AB370))</f>
        <v/>
      </c>
      <c r="AH370" s="28" t="str">
        <f t="shared" si="62"/>
        <v/>
      </c>
      <c r="AI370" s="7" t="str">
        <f t="shared" si="63"/>
        <v/>
      </c>
      <c r="AJ370" s="22" t="str">
        <f t="shared" si="64"/>
        <v/>
      </c>
      <c r="AK370" s="29" t="str">
        <f t="shared" si="65"/>
        <v/>
      </c>
      <c r="AL370" s="10"/>
    </row>
    <row r="371" spans="1:38">
      <c r="A371" s="19">
        <f>IF('Supplier selection'!A371="","",'Supplier selection'!A371)</f>
        <v>367</v>
      </c>
      <c r="B371" s="19" t="str">
        <f>IF('Supplier selection'!B371="","",'Supplier selection'!B371)</f>
        <v/>
      </c>
      <c r="C371" s="19" t="str">
        <f>IF('Supplier selection'!C371="","",'Supplier selection'!C371)</f>
        <v/>
      </c>
      <c r="D371" s="19" t="str">
        <f>IF('Supplier selection'!D371="","",'Supplier selection'!D371)</f>
        <v/>
      </c>
      <c r="E371" s="19" t="str">
        <f>IF('Supplier selection'!E371="","",'Supplier selection'!E371)</f>
        <v/>
      </c>
      <c r="F371" s="19" t="str">
        <f>IF('Supplier selection'!F371="","",'Supplier selection'!F371)</f>
        <v/>
      </c>
      <c r="G371" s="19" t="str">
        <f>IF('Supplier selection'!G371="","",'Supplier selection'!G371)</f>
        <v/>
      </c>
      <c r="H371" s="19" t="str">
        <f>IF('Supplier selection'!H371="","",'Supplier selection'!H371)</f>
        <v/>
      </c>
      <c r="I371" s="19" t="str">
        <f>IF('Supplier selection'!I371="","",'Supplier selection'!I371)</f>
        <v/>
      </c>
      <c r="J371" s="19" t="str">
        <f>IF('Supplier selection'!J371="","",'Supplier selection'!J371)</f>
        <v/>
      </c>
      <c r="K371" s="19" t="str">
        <f>IF('Supplier selection'!K371="","",'Supplier selection'!K371)</f>
        <v/>
      </c>
      <c r="L371" s="19" t="str">
        <f>IF('Supplier selection'!L371="","",'Supplier selection'!L371)</f>
        <v/>
      </c>
      <c r="M371" s="19" t="str">
        <f>IF('Supplier selection'!M371="","",'Supplier selection'!M371)</f>
        <v/>
      </c>
      <c r="N371" s="19" t="str">
        <f>IF('Supplier selection'!N371="","",'Supplier selection'!N371)</f>
        <v/>
      </c>
      <c r="O371" s="19" t="str">
        <f>IF('Supplier selection'!O371="","",'Supplier selection'!O371)</f>
        <v/>
      </c>
      <c r="Q371" s="19" t="str">
        <f>HLOOKUP($Q$3,'Supplier selection'!$AW$4:'Supplier selection'!$CT$1000,$A372,FALSE)</f>
        <v/>
      </c>
      <c r="R371" s="22" t="str">
        <f t="shared" si="55"/>
        <v/>
      </c>
      <c r="S371" s="19" t="str">
        <f t="shared" si="56"/>
        <v/>
      </c>
      <c r="T371" s="22" t="str">
        <f t="shared" si="57"/>
        <v/>
      </c>
      <c r="U371" s="19" t="str">
        <f t="shared" si="58"/>
        <v/>
      </c>
      <c r="V371" s="7"/>
      <c r="Y371" s="19" t="str">
        <f>IF('Supplier selection'!AQ371="","",'Supplier selection'!AQ371)</f>
        <v/>
      </c>
      <c r="Z371" s="19" t="str">
        <f>IF('Supplier selection'!AR371="","",'Supplier selection'!AR371)</f>
        <v/>
      </c>
      <c r="AA371" s="19" t="str">
        <f t="shared" si="59"/>
        <v/>
      </c>
      <c r="AD371" s="26" t="str">
        <f>IF(AND('Supplier selection'!X371="",'Supplier selection'!AE371=""),"",IF('Supplier selection'!X371="",'Supplier selection'!AE371,'Supplier selection'!X371))</f>
        <v/>
      </c>
      <c r="AE371" s="19" t="str">
        <f t="shared" si="60"/>
        <v/>
      </c>
      <c r="AF371" s="19" t="str">
        <f t="shared" si="61"/>
        <v/>
      </c>
      <c r="AG371" s="27" t="str">
        <f>IF(AND('Supplier selection'!AB371="",'Supplier selection'!AI371=""),"",IF('Supplier selection'!AB371="",'Supplier selection'!AI371,'Supplier selection'!AB371))</f>
        <v/>
      </c>
      <c r="AH371" s="28" t="str">
        <f t="shared" si="62"/>
        <v/>
      </c>
      <c r="AI371" s="7" t="str">
        <f t="shared" si="63"/>
        <v/>
      </c>
      <c r="AJ371" s="22" t="str">
        <f t="shared" si="64"/>
        <v/>
      </c>
      <c r="AK371" s="29" t="str">
        <f t="shared" si="65"/>
        <v/>
      </c>
      <c r="AL371" s="10"/>
    </row>
    <row r="372" spans="1:38">
      <c r="A372" s="19">
        <f>IF('Supplier selection'!A372="","",'Supplier selection'!A372)</f>
        <v>368</v>
      </c>
      <c r="B372" s="19" t="str">
        <f>IF('Supplier selection'!B372="","",'Supplier selection'!B372)</f>
        <v/>
      </c>
      <c r="C372" s="19" t="str">
        <f>IF('Supplier selection'!C372="","",'Supplier selection'!C372)</f>
        <v/>
      </c>
      <c r="D372" s="19" t="str">
        <f>IF('Supplier selection'!D372="","",'Supplier selection'!D372)</f>
        <v/>
      </c>
      <c r="E372" s="19" t="str">
        <f>IF('Supplier selection'!E372="","",'Supplier selection'!E372)</f>
        <v/>
      </c>
      <c r="F372" s="19" t="str">
        <f>IF('Supplier selection'!F372="","",'Supplier selection'!F372)</f>
        <v/>
      </c>
      <c r="G372" s="19" t="str">
        <f>IF('Supplier selection'!G372="","",'Supplier selection'!G372)</f>
        <v/>
      </c>
      <c r="H372" s="19" t="str">
        <f>IF('Supplier selection'!H372="","",'Supplier selection'!H372)</f>
        <v/>
      </c>
      <c r="I372" s="19" t="str">
        <f>IF('Supplier selection'!I372="","",'Supplier selection'!I372)</f>
        <v/>
      </c>
      <c r="J372" s="19" t="str">
        <f>IF('Supplier selection'!J372="","",'Supplier selection'!J372)</f>
        <v/>
      </c>
      <c r="K372" s="19" t="str">
        <f>IF('Supplier selection'!K372="","",'Supplier selection'!K372)</f>
        <v/>
      </c>
      <c r="L372" s="19" t="str">
        <f>IF('Supplier selection'!L372="","",'Supplier selection'!L372)</f>
        <v/>
      </c>
      <c r="M372" s="19" t="str">
        <f>IF('Supplier selection'!M372="","",'Supplier selection'!M372)</f>
        <v/>
      </c>
      <c r="N372" s="19" t="str">
        <f>IF('Supplier selection'!N372="","",'Supplier selection'!N372)</f>
        <v/>
      </c>
      <c r="O372" s="19" t="str">
        <f>IF('Supplier selection'!O372="","",'Supplier selection'!O372)</f>
        <v/>
      </c>
      <c r="Q372" s="19" t="str">
        <f>HLOOKUP($Q$3,'Supplier selection'!$AW$4:'Supplier selection'!$CT$1000,$A373,FALSE)</f>
        <v/>
      </c>
      <c r="R372" s="22" t="str">
        <f t="shared" si="55"/>
        <v/>
      </c>
      <c r="S372" s="19" t="str">
        <f t="shared" si="56"/>
        <v/>
      </c>
      <c r="T372" s="22" t="str">
        <f t="shared" si="57"/>
        <v/>
      </c>
      <c r="U372" s="19" t="str">
        <f t="shared" si="58"/>
        <v/>
      </c>
      <c r="V372" s="7"/>
      <c r="Y372" s="19" t="str">
        <f>IF('Supplier selection'!AQ372="","",'Supplier selection'!AQ372)</f>
        <v/>
      </c>
      <c r="Z372" s="19" t="str">
        <f>IF('Supplier selection'!AR372="","",'Supplier selection'!AR372)</f>
        <v/>
      </c>
      <c r="AA372" s="19" t="str">
        <f t="shared" si="59"/>
        <v/>
      </c>
      <c r="AD372" s="26" t="str">
        <f>IF(AND('Supplier selection'!X372="",'Supplier selection'!AE372=""),"",IF('Supplier selection'!X372="",'Supplier selection'!AE372,'Supplier selection'!X372))</f>
        <v/>
      </c>
      <c r="AE372" s="19" t="str">
        <f t="shared" si="60"/>
        <v/>
      </c>
      <c r="AF372" s="19" t="str">
        <f t="shared" si="61"/>
        <v/>
      </c>
      <c r="AG372" s="27" t="str">
        <f>IF(AND('Supplier selection'!AB372="",'Supplier selection'!AI372=""),"",IF('Supplier selection'!AB372="",'Supplier selection'!AI372,'Supplier selection'!AB372))</f>
        <v/>
      </c>
      <c r="AH372" s="28" t="str">
        <f t="shared" si="62"/>
        <v/>
      </c>
      <c r="AI372" s="7" t="str">
        <f t="shared" si="63"/>
        <v/>
      </c>
      <c r="AJ372" s="22" t="str">
        <f t="shared" si="64"/>
        <v/>
      </c>
      <c r="AK372" s="29" t="str">
        <f t="shared" si="65"/>
        <v/>
      </c>
      <c r="AL372" s="10"/>
    </row>
    <row r="373" spans="1:38">
      <c r="A373" s="19">
        <f>IF('Supplier selection'!A373="","",'Supplier selection'!A373)</f>
        <v>369</v>
      </c>
      <c r="B373" s="19" t="str">
        <f>IF('Supplier selection'!B373="","",'Supplier selection'!B373)</f>
        <v/>
      </c>
      <c r="C373" s="19" t="str">
        <f>IF('Supplier selection'!C373="","",'Supplier selection'!C373)</f>
        <v/>
      </c>
      <c r="D373" s="19" t="str">
        <f>IF('Supplier selection'!D373="","",'Supplier selection'!D373)</f>
        <v/>
      </c>
      <c r="E373" s="19" t="str">
        <f>IF('Supplier selection'!E373="","",'Supplier selection'!E373)</f>
        <v/>
      </c>
      <c r="F373" s="19" t="str">
        <f>IF('Supplier selection'!F373="","",'Supplier selection'!F373)</f>
        <v/>
      </c>
      <c r="G373" s="19" t="str">
        <f>IF('Supplier selection'!G373="","",'Supplier selection'!G373)</f>
        <v/>
      </c>
      <c r="H373" s="19" t="str">
        <f>IF('Supplier selection'!H373="","",'Supplier selection'!H373)</f>
        <v/>
      </c>
      <c r="I373" s="19" t="str">
        <f>IF('Supplier selection'!I373="","",'Supplier selection'!I373)</f>
        <v/>
      </c>
      <c r="J373" s="19" t="str">
        <f>IF('Supplier selection'!J373="","",'Supplier selection'!J373)</f>
        <v/>
      </c>
      <c r="K373" s="19" t="str">
        <f>IF('Supplier selection'!K373="","",'Supplier selection'!K373)</f>
        <v/>
      </c>
      <c r="L373" s="19" t="str">
        <f>IF('Supplier selection'!L373="","",'Supplier selection'!L373)</f>
        <v/>
      </c>
      <c r="M373" s="19" t="str">
        <f>IF('Supplier selection'!M373="","",'Supplier selection'!M373)</f>
        <v/>
      </c>
      <c r="N373" s="19" t="str">
        <f>IF('Supplier selection'!N373="","",'Supplier selection'!N373)</f>
        <v/>
      </c>
      <c r="O373" s="19" t="str">
        <f>IF('Supplier selection'!O373="","",'Supplier selection'!O373)</f>
        <v/>
      </c>
      <c r="Q373" s="19" t="str">
        <f>HLOOKUP($Q$3,'Supplier selection'!$AW$4:'Supplier selection'!$CT$1000,$A374,FALSE)</f>
        <v/>
      </c>
      <c r="R373" s="22" t="str">
        <f t="shared" si="55"/>
        <v/>
      </c>
      <c r="S373" s="19" t="str">
        <f t="shared" si="56"/>
        <v/>
      </c>
      <c r="T373" s="22" t="str">
        <f t="shared" si="57"/>
        <v/>
      </c>
      <c r="U373" s="19" t="str">
        <f t="shared" si="58"/>
        <v/>
      </c>
      <c r="V373" s="7"/>
      <c r="Y373" s="19" t="str">
        <f>IF('Supplier selection'!AQ373="","",'Supplier selection'!AQ373)</f>
        <v/>
      </c>
      <c r="Z373" s="19" t="str">
        <f>IF('Supplier selection'!AR373="","",'Supplier selection'!AR373)</f>
        <v/>
      </c>
      <c r="AA373" s="19" t="str">
        <f t="shared" si="59"/>
        <v/>
      </c>
      <c r="AD373" s="26" t="str">
        <f>IF(AND('Supplier selection'!X373="",'Supplier selection'!AE373=""),"",IF('Supplier selection'!X373="",'Supplier selection'!AE373,'Supplier selection'!X373))</f>
        <v/>
      </c>
      <c r="AE373" s="19" t="str">
        <f t="shared" si="60"/>
        <v/>
      </c>
      <c r="AF373" s="19" t="str">
        <f t="shared" si="61"/>
        <v/>
      </c>
      <c r="AG373" s="27" t="str">
        <f>IF(AND('Supplier selection'!AB373="",'Supplier selection'!AI373=""),"",IF('Supplier selection'!AB373="",'Supplier selection'!AI373,'Supplier selection'!AB373))</f>
        <v/>
      </c>
      <c r="AH373" s="28" t="str">
        <f t="shared" si="62"/>
        <v/>
      </c>
      <c r="AI373" s="7" t="str">
        <f t="shared" si="63"/>
        <v/>
      </c>
      <c r="AJ373" s="22" t="str">
        <f t="shared" si="64"/>
        <v/>
      </c>
      <c r="AK373" s="29" t="str">
        <f t="shared" si="65"/>
        <v/>
      </c>
      <c r="AL373" s="10"/>
    </row>
    <row r="374" spans="1:38">
      <c r="A374" s="19">
        <f>IF('Supplier selection'!A374="","",'Supplier selection'!A374)</f>
        <v>370</v>
      </c>
      <c r="B374" s="19" t="str">
        <f>IF('Supplier selection'!B374="","",'Supplier selection'!B374)</f>
        <v/>
      </c>
      <c r="C374" s="19" t="str">
        <f>IF('Supplier selection'!C374="","",'Supplier selection'!C374)</f>
        <v/>
      </c>
      <c r="D374" s="19" t="str">
        <f>IF('Supplier selection'!D374="","",'Supplier selection'!D374)</f>
        <v/>
      </c>
      <c r="E374" s="19" t="str">
        <f>IF('Supplier selection'!E374="","",'Supplier selection'!E374)</f>
        <v/>
      </c>
      <c r="F374" s="19" t="str">
        <f>IF('Supplier selection'!F374="","",'Supplier selection'!F374)</f>
        <v/>
      </c>
      <c r="G374" s="19" t="str">
        <f>IF('Supplier selection'!G374="","",'Supplier selection'!G374)</f>
        <v/>
      </c>
      <c r="H374" s="19" t="str">
        <f>IF('Supplier selection'!H374="","",'Supplier selection'!H374)</f>
        <v/>
      </c>
      <c r="I374" s="19" t="str">
        <f>IF('Supplier selection'!I374="","",'Supplier selection'!I374)</f>
        <v/>
      </c>
      <c r="J374" s="19" t="str">
        <f>IF('Supplier selection'!J374="","",'Supplier selection'!J374)</f>
        <v/>
      </c>
      <c r="K374" s="19" t="str">
        <f>IF('Supplier selection'!K374="","",'Supplier selection'!K374)</f>
        <v/>
      </c>
      <c r="L374" s="19" t="str">
        <f>IF('Supplier selection'!L374="","",'Supplier selection'!L374)</f>
        <v/>
      </c>
      <c r="M374" s="19" t="str">
        <f>IF('Supplier selection'!M374="","",'Supplier selection'!M374)</f>
        <v/>
      </c>
      <c r="N374" s="19" t="str">
        <f>IF('Supplier selection'!N374="","",'Supplier selection'!N374)</f>
        <v/>
      </c>
      <c r="O374" s="19" t="str">
        <f>IF('Supplier selection'!O374="","",'Supplier selection'!O374)</f>
        <v/>
      </c>
      <c r="Q374" s="19" t="str">
        <f>HLOOKUP($Q$3,'Supplier selection'!$AW$4:'Supplier selection'!$CT$1000,$A375,FALSE)</f>
        <v/>
      </c>
      <c r="R374" s="22" t="str">
        <f t="shared" si="55"/>
        <v/>
      </c>
      <c r="S374" s="19" t="str">
        <f t="shared" si="56"/>
        <v/>
      </c>
      <c r="T374" s="22" t="str">
        <f t="shared" si="57"/>
        <v/>
      </c>
      <c r="U374" s="19" t="str">
        <f t="shared" si="58"/>
        <v/>
      </c>
      <c r="V374" s="7"/>
      <c r="Y374" s="19" t="str">
        <f>IF('Supplier selection'!AQ374="","",'Supplier selection'!AQ374)</f>
        <v/>
      </c>
      <c r="Z374" s="19" t="str">
        <f>IF('Supplier selection'!AR374="","",'Supplier selection'!AR374)</f>
        <v/>
      </c>
      <c r="AA374" s="19" t="str">
        <f t="shared" si="59"/>
        <v/>
      </c>
      <c r="AD374" s="26" t="str">
        <f>IF(AND('Supplier selection'!X374="",'Supplier selection'!AE374=""),"",IF('Supplier selection'!X374="",'Supplier selection'!AE374,'Supplier selection'!X374))</f>
        <v/>
      </c>
      <c r="AE374" s="19" t="str">
        <f t="shared" si="60"/>
        <v/>
      </c>
      <c r="AF374" s="19" t="str">
        <f t="shared" si="61"/>
        <v/>
      </c>
      <c r="AG374" s="27" t="str">
        <f>IF(AND('Supplier selection'!AB374="",'Supplier selection'!AI374=""),"",IF('Supplier selection'!AB374="",'Supplier selection'!AI374,'Supplier selection'!AB374))</f>
        <v/>
      </c>
      <c r="AH374" s="28" t="str">
        <f t="shared" si="62"/>
        <v/>
      </c>
      <c r="AI374" s="7" t="str">
        <f t="shared" si="63"/>
        <v/>
      </c>
      <c r="AJ374" s="22" t="str">
        <f t="shared" si="64"/>
        <v/>
      </c>
      <c r="AK374" s="29" t="str">
        <f t="shared" si="65"/>
        <v/>
      </c>
      <c r="AL374" s="10"/>
    </row>
    <row r="375" spans="1:38">
      <c r="A375" s="19">
        <f>IF('Supplier selection'!A375="","",'Supplier selection'!A375)</f>
        <v>371</v>
      </c>
      <c r="B375" s="19" t="str">
        <f>IF('Supplier selection'!B375="","",'Supplier selection'!B375)</f>
        <v/>
      </c>
      <c r="C375" s="19" t="str">
        <f>IF('Supplier selection'!C375="","",'Supplier selection'!C375)</f>
        <v/>
      </c>
      <c r="D375" s="19" t="str">
        <f>IF('Supplier selection'!D375="","",'Supplier selection'!D375)</f>
        <v/>
      </c>
      <c r="E375" s="19" t="str">
        <f>IF('Supplier selection'!E375="","",'Supplier selection'!E375)</f>
        <v/>
      </c>
      <c r="F375" s="19" t="str">
        <f>IF('Supplier selection'!F375="","",'Supplier selection'!F375)</f>
        <v/>
      </c>
      <c r="G375" s="19" t="str">
        <f>IF('Supplier selection'!G375="","",'Supplier selection'!G375)</f>
        <v/>
      </c>
      <c r="H375" s="19" t="str">
        <f>IF('Supplier selection'!H375="","",'Supplier selection'!H375)</f>
        <v/>
      </c>
      <c r="I375" s="19" t="str">
        <f>IF('Supplier selection'!I375="","",'Supplier selection'!I375)</f>
        <v/>
      </c>
      <c r="J375" s="19" t="str">
        <f>IF('Supplier selection'!J375="","",'Supplier selection'!J375)</f>
        <v/>
      </c>
      <c r="K375" s="19" t="str">
        <f>IF('Supplier selection'!K375="","",'Supplier selection'!K375)</f>
        <v/>
      </c>
      <c r="L375" s="19" t="str">
        <f>IF('Supplier selection'!L375="","",'Supplier selection'!L375)</f>
        <v/>
      </c>
      <c r="M375" s="19" t="str">
        <f>IF('Supplier selection'!M375="","",'Supplier selection'!M375)</f>
        <v/>
      </c>
      <c r="N375" s="19" t="str">
        <f>IF('Supplier selection'!N375="","",'Supplier selection'!N375)</f>
        <v/>
      </c>
      <c r="O375" s="19" t="str">
        <f>IF('Supplier selection'!O375="","",'Supplier selection'!O375)</f>
        <v/>
      </c>
      <c r="Q375" s="19" t="str">
        <f>HLOOKUP($Q$3,'Supplier selection'!$AW$4:'Supplier selection'!$CT$1000,$A376,FALSE)</f>
        <v/>
      </c>
      <c r="R375" s="22" t="str">
        <f t="shared" si="55"/>
        <v/>
      </c>
      <c r="S375" s="19" t="str">
        <f t="shared" si="56"/>
        <v/>
      </c>
      <c r="T375" s="22" t="str">
        <f t="shared" si="57"/>
        <v/>
      </c>
      <c r="U375" s="19" t="str">
        <f t="shared" si="58"/>
        <v/>
      </c>
      <c r="V375" s="7"/>
      <c r="Y375" s="19" t="str">
        <f>IF('Supplier selection'!AQ375="","",'Supplier selection'!AQ375)</f>
        <v/>
      </c>
      <c r="Z375" s="19" t="str">
        <f>IF('Supplier selection'!AR375="","",'Supplier selection'!AR375)</f>
        <v/>
      </c>
      <c r="AA375" s="19" t="str">
        <f t="shared" si="59"/>
        <v/>
      </c>
      <c r="AD375" s="26" t="str">
        <f>IF(AND('Supplier selection'!X375="",'Supplier selection'!AE375=""),"",IF('Supplier selection'!X375="",'Supplier selection'!AE375,'Supplier selection'!X375))</f>
        <v/>
      </c>
      <c r="AE375" s="19" t="str">
        <f t="shared" si="60"/>
        <v/>
      </c>
      <c r="AF375" s="19" t="str">
        <f t="shared" si="61"/>
        <v/>
      </c>
      <c r="AG375" s="27" t="str">
        <f>IF(AND('Supplier selection'!AB375="",'Supplier selection'!AI375=""),"",IF('Supplier selection'!AB375="",'Supplier selection'!AI375,'Supplier selection'!AB375))</f>
        <v/>
      </c>
      <c r="AH375" s="28" t="str">
        <f t="shared" si="62"/>
        <v/>
      </c>
      <c r="AI375" s="7" t="str">
        <f t="shared" si="63"/>
        <v/>
      </c>
      <c r="AJ375" s="22" t="str">
        <f t="shared" si="64"/>
        <v/>
      </c>
      <c r="AK375" s="29" t="str">
        <f t="shared" si="65"/>
        <v/>
      </c>
      <c r="AL375" s="10"/>
    </row>
    <row r="376" spans="1:38">
      <c r="A376" s="19">
        <f>IF('Supplier selection'!A376="","",'Supplier selection'!A376)</f>
        <v>372</v>
      </c>
      <c r="B376" s="19" t="str">
        <f>IF('Supplier selection'!B376="","",'Supplier selection'!B376)</f>
        <v/>
      </c>
      <c r="C376" s="19" t="str">
        <f>IF('Supplier selection'!C376="","",'Supplier selection'!C376)</f>
        <v/>
      </c>
      <c r="D376" s="19" t="str">
        <f>IF('Supplier selection'!D376="","",'Supplier selection'!D376)</f>
        <v/>
      </c>
      <c r="E376" s="19" t="str">
        <f>IF('Supplier selection'!E376="","",'Supplier selection'!E376)</f>
        <v/>
      </c>
      <c r="F376" s="19" t="str">
        <f>IF('Supplier selection'!F376="","",'Supplier selection'!F376)</f>
        <v/>
      </c>
      <c r="G376" s="19" t="str">
        <f>IF('Supplier selection'!G376="","",'Supplier selection'!G376)</f>
        <v/>
      </c>
      <c r="H376" s="19" t="str">
        <f>IF('Supplier selection'!H376="","",'Supplier selection'!H376)</f>
        <v/>
      </c>
      <c r="I376" s="19" t="str">
        <f>IF('Supplier selection'!I376="","",'Supplier selection'!I376)</f>
        <v/>
      </c>
      <c r="J376" s="19" t="str">
        <f>IF('Supplier selection'!J376="","",'Supplier selection'!J376)</f>
        <v/>
      </c>
      <c r="K376" s="19" t="str">
        <f>IF('Supplier selection'!K376="","",'Supplier selection'!K376)</f>
        <v/>
      </c>
      <c r="L376" s="19" t="str">
        <f>IF('Supplier selection'!L376="","",'Supplier selection'!L376)</f>
        <v/>
      </c>
      <c r="M376" s="19" t="str">
        <f>IF('Supplier selection'!M376="","",'Supplier selection'!M376)</f>
        <v/>
      </c>
      <c r="N376" s="19" t="str">
        <f>IF('Supplier selection'!N376="","",'Supplier selection'!N376)</f>
        <v/>
      </c>
      <c r="O376" s="19" t="str">
        <f>IF('Supplier selection'!O376="","",'Supplier selection'!O376)</f>
        <v/>
      </c>
      <c r="Q376" s="19" t="str">
        <f>HLOOKUP($Q$3,'Supplier selection'!$AW$4:'Supplier selection'!$CT$1000,$A377,FALSE)</f>
        <v/>
      </c>
      <c r="R376" s="22" t="str">
        <f t="shared" si="55"/>
        <v/>
      </c>
      <c r="S376" s="19" t="str">
        <f t="shared" si="56"/>
        <v/>
      </c>
      <c r="T376" s="22" t="str">
        <f t="shared" si="57"/>
        <v/>
      </c>
      <c r="U376" s="19" t="str">
        <f t="shared" si="58"/>
        <v/>
      </c>
      <c r="V376" s="7"/>
      <c r="Y376" s="19" t="str">
        <f>IF('Supplier selection'!AQ376="","",'Supplier selection'!AQ376)</f>
        <v/>
      </c>
      <c r="Z376" s="19" t="str">
        <f>IF('Supplier selection'!AR376="","",'Supplier selection'!AR376)</f>
        <v/>
      </c>
      <c r="AA376" s="19" t="str">
        <f t="shared" si="59"/>
        <v/>
      </c>
      <c r="AD376" s="26" t="str">
        <f>IF(AND('Supplier selection'!X376="",'Supplier selection'!AE376=""),"",IF('Supplier selection'!X376="",'Supplier selection'!AE376,'Supplier selection'!X376))</f>
        <v/>
      </c>
      <c r="AE376" s="19" t="str">
        <f t="shared" si="60"/>
        <v/>
      </c>
      <c r="AF376" s="19" t="str">
        <f t="shared" si="61"/>
        <v/>
      </c>
      <c r="AG376" s="27" t="str">
        <f>IF(AND('Supplier selection'!AB376="",'Supplier selection'!AI376=""),"",IF('Supplier selection'!AB376="",'Supplier selection'!AI376,'Supplier selection'!AB376))</f>
        <v/>
      </c>
      <c r="AH376" s="28" t="str">
        <f t="shared" si="62"/>
        <v/>
      </c>
      <c r="AI376" s="7" t="str">
        <f t="shared" si="63"/>
        <v/>
      </c>
      <c r="AJ376" s="22" t="str">
        <f t="shared" si="64"/>
        <v/>
      </c>
      <c r="AK376" s="29" t="str">
        <f t="shared" si="65"/>
        <v/>
      </c>
      <c r="AL376" s="10"/>
    </row>
    <row r="377" spans="1:38">
      <c r="A377" s="19">
        <f>IF('Supplier selection'!A377="","",'Supplier selection'!A377)</f>
        <v>373</v>
      </c>
      <c r="B377" s="19" t="str">
        <f>IF('Supplier selection'!B377="","",'Supplier selection'!B377)</f>
        <v/>
      </c>
      <c r="C377" s="19" t="str">
        <f>IF('Supplier selection'!C377="","",'Supplier selection'!C377)</f>
        <v/>
      </c>
      <c r="D377" s="19" t="str">
        <f>IF('Supplier selection'!D377="","",'Supplier selection'!D377)</f>
        <v/>
      </c>
      <c r="E377" s="19" t="str">
        <f>IF('Supplier selection'!E377="","",'Supplier selection'!E377)</f>
        <v/>
      </c>
      <c r="F377" s="19" t="str">
        <f>IF('Supplier selection'!F377="","",'Supplier selection'!F377)</f>
        <v/>
      </c>
      <c r="G377" s="19" t="str">
        <f>IF('Supplier selection'!G377="","",'Supplier selection'!G377)</f>
        <v/>
      </c>
      <c r="H377" s="19" t="str">
        <f>IF('Supplier selection'!H377="","",'Supplier selection'!H377)</f>
        <v/>
      </c>
      <c r="I377" s="19" t="str">
        <f>IF('Supplier selection'!I377="","",'Supplier selection'!I377)</f>
        <v/>
      </c>
      <c r="J377" s="19" t="str">
        <f>IF('Supplier selection'!J377="","",'Supplier selection'!J377)</f>
        <v/>
      </c>
      <c r="K377" s="19" t="str">
        <f>IF('Supplier selection'!K377="","",'Supplier selection'!K377)</f>
        <v/>
      </c>
      <c r="L377" s="19" t="str">
        <f>IF('Supplier selection'!L377="","",'Supplier selection'!L377)</f>
        <v/>
      </c>
      <c r="M377" s="19" t="str">
        <f>IF('Supplier selection'!M377="","",'Supplier selection'!M377)</f>
        <v/>
      </c>
      <c r="N377" s="19" t="str">
        <f>IF('Supplier selection'!N377="","",'Supplier selection'!N377)</f>
        <v/>
      </c>
      <c r="O377" s="19" t="str">
        <f>IF('Supplier selection'!O377="","",'Supplier selection'!O377)</f>
        <v/>
      </c>
      <c r="Q377" s="19" t="str">
        <f>HLOOKUP($Q$3,'Supplier selection'!$AW$4:'Supplier selection'!$CT$1000,$A378,FALSE)</f>
        <v/>
      </c>
      <c r="R377" s="22" t="str">
        <f t="shared" si="55"/>
        <v/>
      </c>
      <c r="S377" s="19" t="str">
        <f t="shared" si="56"/>
        <v/>
      </c>
      <c r="T377" s="22" t="str">
        <f t="shared" si="57"/>
        <v/>
      </c>
      <c r="U377" s="19" t="str">
        <f t="shared" si="58"/>
        <v/>
      </c>
      <c r="V377" s="7"/>
      <c r="Y377" s="19" t="str">
        <f>IF('Supplier selection'!AQ377="","",'Supplier selection'!AQ377)</f>
        <v/>
      </c>
      <c r="Z377" s="19" t="str">
        <f>IF('Supplier selection'!AR377="","",'Supplier selection'!AR377)</f>
        <v/>
      </c>
      <c r="AA377" s="19" t="str">
        <f t="shared" si="59"/>
        <v/>
      </c>
      <c r="AD377" s="26" t="str">
        <f>IF(AND('Supplier selection'!X377="",'Supplier selection'!AE377=""),"",IF('Supplier selection'!X377="",'Supplier selection'!AE377,'Supplier selection'!X377))</f>
        <v/>
      </c>
      <c r="AE377" s="19" t="str">
        <f t="shared" si="60"/>
        <v/>
      </c>
      <c r="AF377" s="19" t="str">
        <f t="shared" si="61"/>
        <v/>
      </c>
      <c r="AG377" s="27" t="str">
        <f>IF(AND('Supplier selection'!AB377="",'Supplier selection'!AI377=""),"",IF('Supplier selection'!AB377="",'Supplier selection'!AI377,'Supplier selection'!AB377))</f>
        <v/>
      </c>
      <c r="AH377" s="28" t="str">
        <f t="shared" si="62"/>
        <v/>
      </c>
      <c r="AI377" s="7" t="str">
        <f t="shared" si="63"/>
        <v/>
      </c>
      <c r="AJ377" s="22" t="str">
        <f t="shared" si="64"/>
        <v/>
      </c>
      <c r="AK377" s="29" t="str">
        <f t="shared" si="65"/>
        <v/>
      </c>
      <c r="AL377" s="10"/>
    </row>
    <row r="378" spans="1:38">
      <c r="A378" s="19">
        <f>IF('Supplier selection'!A378="","",'Supplier selection'!A378)</f>
        <v>374</v>
      </c>
      <c r="B378" s="19" t="str">
        <f>IF('Supplier selection'!B378="","",'Supplier selection'!B378)</f>
        <v/>
      </c>
      <c r="C378" s="19" t="str">
        <f>IF('Supplier selection'!C378="","",'Supplier selection'!C378)</f>
        <v/>
      </c>
      <c r="D378" s="19" t="str">
        <f>IF('Supplier selection'!D378="","",'Supplier selection'!D378)</f>
        <v/>
      </c>
      <c r="E378" s="19" t="str">
        <f>IF('Supplier selection'!E378="","",'Supplier selection'!E378)</f>
        <v/>
      </c>
      <c r="F378" s="19" t="str">
        <f>IF('Supplier selection'!F378="","",'Supplier selection'!F378)</f>
        <v/>
      </c>
      <c r="G378" s="19" t="str">
        <f>IF('Supplier selection'!G378="","",'Supplier selection'!G378)</f>
        <v/>
      </c>
      <c r="H378" s="19" t="str">
        <f>IF('Supplier selection'!H378="","",'Supplier selection'!H378)</f>
        <v/>
      </c>
      <c r="I378" s="19" t="str">
        <f>IF('Supplier selection'!I378="","",'Supplier selection'!I378)</f>
        <v/>
      </c>
      <c r="J378" s="19" t="str">
        <f>IF('Supplier selection'!J378="","",'Supplier selection'!J378)</f>
        <v/>
      </c>
      <c r="K378" s="19" t="str">
        <f>IF('Supplier selection'!K378="","",'Supplier selection'!K378)</f>
        <v/>
      </c>
      <c r="L378" s="19" t="str">
        <f>IF('Supplier selection'!L378="","",'Supplier selection'!L378)</f>
        <v/>
      </c>
      <c r="M378" s="19" t="str">
        <f>IF('Supplier selection'!M378="","",'Supplier selection'!M378)</f>
        <v/>
      </c>
      <c r="N378" s="19" t="str">
        <f>IF('Supplier selection'!N378="","",'Supplier selection'!N378)</f>
        <v/>
      </c>
      <c r="O378" s="19" t="str">
        <f>IF('Supplier selection'!O378="","",'Supplier selection'!O378)</f>
        <v/>
      </c>
      <c r="Q378" s="19" t="str">
        <f>HLOOKUP($Q$3,'Supplier selection'!$AW$4:'Supplier selection'!$CT$1000,$A379,FALSE)</f>
        <v/>
      </c>
      <c r="R378" s="22" t="str">
        <f t="shared" si="55"/>
        <v/>
      </c>
      <c r="S378" s="19" t="str">
        <f t="shared" si="56"/>
        <v/>
      </c>
      <c r="T378" s="22" t="str">
        <f t="shared" si="57"/>
        <v/>
      </c>
      <c r="U378" s="19" t="str">
        <f t="shared" si="58"/>
        <v/>
      </c>
      <c r="V378" s="7"/>
      <c r="Y378" s="19" t="str">
        <f>IF('Supplier selection'!AQ378="","",'Supplier selection'!AQ378)</f>
        <v/>
      </c>
      <c r="Z378" s="19" t="str">
        <f>IF('Supplier selection'!AR378="","",'Supplier selection'!AR378)</f>
        <v/>
      </c>
      <c r="AA378" s="19" t="str">
        <f t="shared" si="59"/>
        <v/>
      </c>
      <c r="AD378" s="26" t="str">
        <f>IF(AND('Supplier selection'!X378="",'Supplier selection'!AE378=""),"",IF('Supplier selection'!X378="",'Supplier selection'!AE378,'Supplier selection'!X378))</f>
        <v/>
      </c>
      <c r="AE378" s="19" t="str">
        <f t="shared" si="60"/>
        <v/>
      </c>
      <c r="AF378" s="19" t="str">
        <f t="shared" si="61"/>
        <v/>
      </c>
      <c r="AG378" s="27" t="str">
        <f>IF(AND('Supplier selection'!AB378="",'Supplier selection'!AI378=""),"",IF('Supplier selection'!AB378="",'Supplier selection'!AI378,'Supplier selection'!AB378))</f>
        <v/>
      </c>
      <c r="AH378" s="28" t="str">
        <f t="shared" si="62"/>
        <v/>
      </c>
      <c r="AI378" s="7" t="str">
        <f t="shared" si="63"/>
        <v/>
      </c>
      <c r="AJ378" s="22" t="str">
        <f t="shared" si="64"/>
        <v/>
      </c>
      <c r="AK378" s="29" t="str">
        <f t="shared" si="65"/>
        <v/>
      </c>
      <c r="AL378" s="10"/>
    </row>
    <row r="379" spans="1:38">
      <c r="A379" s="19">
        <f>IF('Supplier selection'!A379="","",'Supplier selection'!A379)</f>
        <v>375</v>
      </c>
      <c r="B379" s="19" t="str">
        <f>IF('Supplier selection'!B379="","",'Supplier selection'!B379)</f>
        <v/>
      </c>
      <c r="C379" s="19" t="str">
        <f>IF('Supplier selection'!C379="","",'Supplier selection'!C379)</f>
        <v/>
      </c>
      <c r="D379" s="19" t="str">
        <f>IF('Supplier selection'!D379="","",'Supplier selection'!D379)</f>
        <v/>
      </c>
      <c r="E379" s="19" t="str">
        <f>IF('Supplier selection'!E379="","",'Supplier selection'!E379)</f>
        <v/>
      </c>
      <c r="F379" s="19" t="str">
        <f>IF('Supplier selection'!F379="","",'Supplier selection'!F379)</f>
        <v/>
      </c>
      <c r="G379" s="19" t="str">
        <f>IF('Supplier selection'!G379="","",'Supplier selection'!G379)</f>
        <v/>
      </c>
      <c r="H379" s="19" t="str">
        <f>IF('Supplier selection'!H379="","",'Supplier selection'!H379)</f>
        <v/>
      </c>
      <c r="I379" s="19" t="str">
        <f>IF('Supplier selection'!I379="","",'Supplier selection'!I379)</f>
        <v/>
      </c>
      <c r="J379" s="19" t="str">
        <f>IF('Supplier selection'!J379="","",'Supplier selection'!J379)</f>
        <v/>
      </c>
      <c r="K379" s="19" t="str">
        <f>IF('Supplier selection'!K379="","",'Supplier selection'!K379)</f>
        <v/>
      </c>
      <c r="L379" s="19" t="str">
        <f>IF('Supplier selection'!L379="","",'Supplier selection'!L379)</f>
        <v/>
      </c>
      <c r="M379" s="19" t="str">
        <f>IF('Supplier selection'!M379="","",'Supplier selection'!M379)</f>
        <v/>
      </c>
      <c r="N379" s="19" t="str">
        <f>IF('Supplier selection'!N379="","",'Supplier selection'!N379)</f>
        <v/>
      </c>
      <c r="O379" s="19" t="str">
        <f>IF('Supplier selection'!O379="","",'Supplier selection'!O379)</f>
        <v/>
      </c>
      <c r="Q379" s="19" t="str">
        <f>HLOOKUP($Q$3,'Supplier selection'!$AW$4:'Supplier selection'!$CT$1000,$A380,FALSE)</f>
        <v/>
      </c>
      <c r="R379" s="22" t="str">
        <f t="shared" si="55"/>
        <v/>
      </c>
      <c r="S379" s="19" t="str">
        <f t="shared" si="56"/>
        <v/>
      </c>
      <c r="T379" s="22" t="str">
        <f t="shared" si="57"/>
        <v/>
      </c>
      <c r="U379" s="19" t="str">
        <f t="shared" si="58"/>
        <v/>
      </c>
      <c r="V379" s="7"/>
      <c r="Y379" s="19" t="str">
        <f>IF('Supplier selection'!AQ379="","",'Supplier selection'!AQ379)</f>
        <v/>
      </c>
      <c r="Z379" s="19" t="str">
        <f>IF('Supplier selection'!AR379="","",'Supplier selection'!AR379)</f>
        <v/>
      </c>
      <c r="AA379" s="19" t="str">
        <f t="shared" si="59"/>
        <v/>
      </c>
      <c r="AD379" s="26" t="str">
        <f>IF(AND('Supplier selection'!X379="",'Supplier selection'!AE379=""),"",IF('Supplier selection'!X379="",'Supplier selection'!AE379,'Supplier selection'!X379))</f>
        <v/>
      </c>
      <c r="AE379" s="19" t="str">
        <f t="shared" si="60"/>
        <v/>
      </c>
      <c r="AF379" s="19" t="str">
        <f t="shared" si="61"/>
        <v/>
      </c>
      <c r="AG379" s="27" t="str">
        <f>IF(AND('Supplier selection'!AB379="",'Supplier selection'!AI379=""),"",IF('Supplier selection'!AB379="",'Supplier selection'!AI379,'Supplier selection'!AB379))</f>
        <v/>
      </c>
      <c r="AH379" s="28" t="str">
        <f t="shared" si="62"/>
        <v/>
      </c>
      <c r="AI379" s="7" t="str">
        <f t="shared" si="63"/>
        <v/>
      </c>
      <c r="AJ379" s="22" t="str">
        <f t="shared" si="64"/>
        <v/>
      </c>
      <c r="AK379" s="29" t="str">
        <f t="shared" si="65"/>
        <v/>
      </c>
      <c r="AL379" s="10"/>
    </row>
    <row r="380" spans="1:38">
      <c r="A380" s="19">
        <f>IF('Supplier selection'!A380="","",'Supplier selection'!A380)</f>
        <v>376</v>
      </c>
      <c r="B380" s="19" t="str">
        <f>IF('Supplier selection'!B380="","",'Supplier selection'!B380)</f>
        <v/>
      </c>
      <c r="C380" s="19" t="str">
        <f>IF('Supplier selection'!C380="","",'Supplier selection'!C380)</f>
        <v/>
      </c>
      <c r="D380" s="19" t="str">
        <f>IF('Supplier selection'!D380="","",'Supplier selection'!D380)</f>
        <v/>
      </c>
      <c r="E380" s="19" t="str">
        <f>IF('Supplier selection'!E380="","",'Supplier selection'!E380)</f>
        <v/>
      </c>
      <c r="F380" s="19" t="str">
        <f>IF('Supplier selection'!F380="","",'Supplier selection'!F380)</f>
        <v/>
      </c>
      <c r="G380" s="19" t="str">
        <f>IF('Supplier selection'!G380="","",'Supplier selection'!G380)</f>
        <v/>
      </c>
      <c r="H380" s="19" t="str">
        <f>IF('Supplier selection'!H380="","",'Supplier selection'!H380)</f>
        <v/>
      </c>
      <c r="I380" s="19" t="str">
        <f>IF('Supplier selection'!I380="","",'Supplier selection'!I380)</f>
        <v/>
      </c>
      <c r="J380" s="19" t="str">
        <f>IF('Supplier selection'!J380="","",'Supplier selection'!J380)</f>
        <v/>
      </c>
      <c r="K380" s="19" t="str">
        <f>IF('Supplier selection'!K380="","",'Supplier selection'!K380)</f>
        <v/>
      </c>
      <c r="L380" s="19" t="str">
        <f>IF('Supplier selection'!L380="","",'Supplier selection'!L380)</f>
        <v/>
      </c>
      <c r="M380" s="19" t="str">
        <f>IF('Supplier selection'!M380="","",'Supplier selection'!M380)</f>
        <v/>
      </c>
      <c r="N380" s="19" t="str">
        <f>IF('Supplier selection'!N380="","",'Supplier selection'!N380)</f>
        <v/>
      </c>
      <c r="O380" s="19" t="str">
        <f>IF('Supplier selection'!O380="","",'Supplier selection'!O380)</f>
        <v/>
      </c>
      <c r="Q380" s="19" t="str">
        <f>HLOOKUP($Q$3,'Supplier selection'!$AW$4:'Supplier selection'!$CT$1000,$A381,FALSE)</f>
        <v/>
      </c>
      <c r="R380" s="22" t="str">
        <f t="shared" si="55"/>
        <v/>
      </c>
      <c r="S380" s="19" t="str">
        <f t="shared" si="56"/>
        <v/>
      </c>
      <c r="T380" s="22" t="str">
        <f t="shared" si="57"/>
        <v/>
      </c>
      <c r="U380" s="19" t="str">
        <f t="shared" si="58"/>
        <v/>
      </c>
      <c r="V380" s="7"/>
      <c r="Y380" s="19" t="str">
        <f>IF('Supplier selection'!AQ380="","",'Supplier selection'!AQ380)</f>
        <v/>
      </c>
      <c r="Z380" s="19" t="str">
        <f>IF('Supplier selection'!AR380="","",'Supplier selection'!AR380)</f>
        <v/>
      </c>
      <c r="AA380" s="19" t="str">
        <f t="shared" si="59"/>
        <v/>
      </c>
      <c r="AD380" s="26" t="str">
        <f>IF(AND('Supplier selection'!X380="",'Supplier selection'!AE380=""),"",IF('Supplier selection'!X380="",'Supplier selection'!AE380,'Supplier selection'!X380))</f>
        <v/>
      </c>
      <c r="AE380" s="19" t="str">
        <f t="shared" si="60"/>
        <v/>
      </c>
      <c r="AF380" s="19" t="str">
        <f t="shared" si="61"/>
        <v/>
      </c>
      <c r="AG380" s="27" t="str">
        <f>IF(AND('Supplier selection'!AB380="",'Supplier selection'!AI380=""),"",IF('Supplier selection'!AB380="",'Supplier selection'!AI380,'Supplier selection'!AB380))</f>
        <v/>
      </c>
      <c r="AH380" s="28" t="str">
        <f t="shared" si="62"/>
        <v/>
      </c>
      <c r="AI380" s="7" t="str">
        <f t="shared" si="63"/>
        <v/>
      </c>
      <c r="AJ380" s="22" t="str">
        <f t="shared" si="64"/>
        <v/>
      </c>
      <c r="AK380" s="29" t="str">
        <f t="shared" si="65"/>
        <v/>
      </c>
      <c r="AL380" s="10"/>
    </row>
    <row r="381" spans="1:38">
      <c r="A381" s="19">
        <f>IF('Supplier selection'!A381="","",'Supplier selection'!A381)</f>
        <v>377</v>
      </c>
      <c r="B381" s="19" t="str">
        <f>IF('Supplier selection'!B381="","",'Supplier selection'!B381)</f>
        <v/>
      </c>
      <c r="C381" s="19" t="str">
        <f>IF('Supplier selection'!C381="","",'Supplier selection'!C381)</f>
        <v/>
      </c>
      <c r="D381" s="19" t="str">
        <f>IF('Supplier selection'!D381="","",'Supplier selection'!D381)</f>
        <v/>
      </c>
      <c r="E381" s="19" t="str">
        <f>IF('Supplier selection'!E381="","",'Supplier selection'!E381)</f>
        <v/>
      </c>
      <c r="F381" s="19" t="str">
        <f>IF('Supplier selection'!F381="","",'Supplier selection'!F381)</f>
        <v/>
      </c>
      <c r="G381" s="19" t="str">
        <f>IF('Supplier selection'!G381="","",'Supplier selection'!G381)</f>
        <v/>
      </c>
      <c r="H381" s="19" t="str">
        <f>IF('Supplier selection'!H381="","",'Supplier selection'!H381)</f>
        <v/>
      </c>
      <c r="I381" s="19" t="str">
        <f>IF('Supplier selection'!I381="","",'Supplier selection'!I381)</f>
        <v/>
      </c>
      <c r="J381" s="19" t="str">
        <f>IF('Supplier selection'!J381="","",'Supplier selection'!J381)</f>
        <v/>
      </c>
      <c r="K381" s="19" t="str">
        <f>IF('Supplier selection'!K381="","",'Supplier selection'!K381)</f>
        <v/>
      </c>
      <c r="L381" s="19" t="str">
        <f>IF('Supplier selection'!L381="","",'Supplier selection'!L381)</f>
        <v/>
      </c>
      <c r="M381" s="19" t="str">
        <f>IF('Supplier selection'!M381="","",'Supplier selection'!M381)</f>
        <v/>
      </c>
      <c r="N381" s="19" t="str">
        <f>IF('Supplier selection'!N381="","",'Supplier selection'!N381)</f>
        <v/>
      </c>
      <c r="O381" s="19" t="str">
        <f>IF('Supplier selection'!O381="","",'Supplier selection'!O381)</f>
        <v/>
      </c>
      <c r="Q381" s="19" t="str">
        <f>HLOOKUP($Q$3,'Supplier selection'!$AW$4:'Supplier selection'!$CT$1000,$A382,FALSE)</f>
        <v/>
      </c>
      <c r="R381" s="22" t="str">
        <f t="shared" si="55"/>
        <v/>
      </c>
      <c r="S381" s="19" t="str">
        <f t="shared" si="56"/>
        <v/>
      </c>
      <c r="T381" s="22" t="str">
        <f t="shared" si="57"/>
        <v/>
      </c>
      <c r="U381" s="19" t="str">
        <f t="shared" si="58"/>
        <v/>
      </c>
      <c r="V381" s="7"/>
      <c r="Y381" s="19" t="str">
        <f>IF('Supplier selection'!AQ381="","",'Supplier selection'!AQ381)</f>
        <v/>
      </c>
      <c r="Z381" s="19" t="str">
        <f>IF('Supplier selection'!AR381="","",'Supplier selection'!AR381)</f>
        <v/>
      </c>
      <c r="AA381" s="19" t="str">
        <f t="shared" si="59"/>
        <v/>
      </c>
      <c r="AD381" s="26" t="str">
        <f>IF(AND('Supplier selection'!X381="",'Supplier selection'!AE381=""),"",IF('Supplier selection'!X381="",'Supplier selection'!AE381,'Supplier selection'!X381))</f>
        <v/>
      </c>
      <c r="AE381" s="19" t="str">
        <f t="shared" si="60"/>
        <v/>
      </c>
      <c r="AF381" s="19" t="str">
        <f t="shared" si="61"/>
        <v/>
      </c>
      <c r="AG381" s="27" t="str">
        <f>IF(AND('Supplier selection'!AB381="",'Supplier selection'!AI381=""),"",IF('Supplier selection'!AB381="",'Supplier selection'!AI381,'Supplier selection'!AB381))</f>
        <v/>
      </c>
      <c r="AH381" s="28" t="str">
        <f t="shared" si="62"/>
        <v/>
      </c>
      <c r="AI381" s="7" t="str">
        <f t="shared" si="63"/>
        <v/>
      </c>
      <c r="AJ381" s="22" t="str">
        <f t="shared" si="64"/>
        <v/>
      </c>
      <c r="AK381" s="29" t="str">
        <f t="shared" si="65"/>
        <v/>
      </c>
      <c r="AL381" s="10"/>
    </row>
    <row r="382" spans="1:38">
      <c r="A382" s="19">
        <f>IF('Supplier selection'!A382="","",'Supplier selection'!A382)</f>
        <v>378</v>
      </c>
      <c r="B382" s="19" t="str">
        <f>IF('Supplier selection'!B382="","",'Supplier selection'!B382)</f>
        <v/>
      </c>
      <c r="C382" s="19" t="str">
        <f>IF('Supplier selection'!C382="","",'Supplier selection'!C382)</f>
        <v/>
      </c>
      <c r="D382" s="19" t="str">
        <f>IF('Supplier selection'!D382="","",'Supplier selection'!D382)</f>
        <v/>
      </c>
      <c r="E382" s="19" t="str">
        <f>IF('Supplier selection'!E382="","",'Supplier selection'!E382)</f>
        <v/>
      </c>
      <c r="F382" s="19" t="str">
        <f>IF('Supplier selection'!F382="","",'Supplier selection'!F382)</f>
        <v/>
      </c>
      <c r="G382" s="19" t="str">
        <f>IF('Supplier selection'!G382="","",'Supplier selection'!G382)</f>
        <v/>
      </c>
      <c r="H382" s="19" t="str">
        <f>IF('Supplier selection'!H382="","",'Supplier selection'!H382)</f>
        <v/>
      </c>
      <c r="I382" s="19" t="str">
        <f>IF('Supplier selection'!I382="","",'Supplier selection'!I382)</f>
        <v/>
      </c>
      <c r="J382" s="19" t="str">
        <f>IF('Supplier selection'!J382="","",'Supplier selection'!J382)</f>
        <v/>
      </c>
      <c r="K382" s="19" t="str">
        <f>IF('Supplier selection'!K382="","",'Supplier selection'!K382)</f>
        <v/>
      </c>
      <c r="L382" s="19" t="str">
        <f>IF('Supplier selection'!L382="","",'Supplier selection'!L382)</f>
        <v/>
      </c>
      <c r="M382" s="19" t="str">
        <f>IF('Supplier selection'!M382="","",'Supplier selection'!M382)</f>
        <v/>
      </c>
      <c r="N382" s="19" t="str">
        <f>IF('Supplier selection'!N382="","",'Supplier selection'!N382)</f>
        <v/>
      </c>
      <c r="O382" s="19" t="str">
        <f>IF('Supplier selection'!O382="","",'Supplier selection'!O382)</f>
        <v/>
      </c>
      <c r="Q382" s="19" t="str">
        <f>HLOOKUP($Q$3,'Supplier selection'!$AW$4:'Supplier selection'!$CT$1000,$A383,FALSE)</f>
        <v/>
      </c>
      <c r="R382" s="22" t="str">
        <f t="shared" si="55"/>
        <v/>
      </c>
      <c r="S382" s="19" t="str">
        <f t="shared" si="56"/>
        <v/>
      </c>
      <c r="T382" s="22" t="str">
        <f t="shared" si="57"/>
        <v/>
      </c>
      <c r="U382" s="19" t="str">
        <f t="shared" si="58"/>
        <v/>
      </c>
      <c r="V382" s="7"/>
      <c r="Y382" s="19" t="str">
        <f>IF('Supplier selection'!AQ382="","",'Supplier selection'!AQ382)</f>
        <v/>
      </c>
      <c r="Z382" s="19" t="str">
        <f>IF('Supplier selection'!AR382="","",'Supplier selection'!AR382)</f>
        <v/>
      </c>
      <c r="AA382" s="19" t="str">
        <f t="shared" si="59"/>
        <v/>
      </c>
      <c r="AD382" s="26" t="str">
        <f>IF(AND('Supplier selection'!X382="",'Supplier selection'!AE382=""),"",IF('Supplier selection'!X382="",'Supplier selection'!AE382,'Supplier selection'!X382))</f>
        <v/>
      </c>
      <c r="AE382" s="19" t="str">
        <f t="shared" si="60"/>
        <v/>
      </c>
      <c r="AF382" s="19" t="str">
        <f t="shared" si="61"/>
        <v/>
      </c>
      <c r="AG382" s="27" t="str">
        <f>IF(AND('Supplier selection'!AB382="",'Supplier selection'!AI382=""),"",IF('Supplier selection'!AB382="",'Supplier selection'!AI382,'Supplier selection'!AB382))</f>
        <v/>
      </c>
      <c r="AH382" s="28" t="str">
        <f t="shared" si="62"/>
        <v/>
      </c>
      <c r="AI382" s="7" t="str">
        <f t="shared" si="63"/>
        <v/>
      </c>
      <c r="AJ382" s="22" t="str">
        <f t="shared" si="64"/>
        <v/>
      </c>
      <c r="AK382" s="29" t="str">
        <f t="shared" si="65"/>
        <v/>
      </c>
      <c r="AL382" s="10"/>
    </row>
    <row r="383" spans="1:38">
      <c r="A383" s="19">
        <f>IF('Supplier selection'!A383="","",'Supplier selection'!A383)</f>
        <v>379</v>
      </c>
      <c r="B383" s="19" t="str">
        <f>IF('Supplier selection'!B383="","",'Supplier selection'!B383)</f>
        <v/>
      </c>
      <c r="C383" s="19" t="str">
        <f>IF('Supplier selection'!C383="","",'Supplier selection'!C383)</f>
        <v/>
      </c>
      <c r="D383" s="19" t="str">
        <f>IF('Supplier selection'!D383="","",'Supplier selection'!D383)</f>
        <v/>
      </c>
      <c r="E383" s="19" t="str">
        <f>IF('Supplier selection'!E383="","",'Supplier selection'!E383)</f>
        <v/>
      </c>
      <c r="F383" s="19" t="str">
        <f>IF('Supplier selection'!F383="","",'Supplier selection'!F383)</f>
        <v/>
      </c>
      <c r="G383" s="19" t="str">
        <f>IF('Supplier selection'!G383="","",'Supplier selection'!G383)</f>
        <v/>
      </c>
      <c r="H383" s="19" t="str">
        <f>IF('Supplier selection'!H383="","",'Supplier selection'!H383)</f>
        <v/>
      </c>
      <c r="I383" s="19" t="str">
        <f>IF('Supplier selection'!I383="","",'Supplier selection'!I383)</f>
        <v/>
      </c>
      <c r="J383" s="19" t="str">
        <f>IF('Supplier selection'!J383="","",'Supplier selection'!J383)</f>
        <v/>
      </c>
      <c r="K383" s="19" t="str">
        <f>IF('Supplier selection'!K383="","",'Supplier selection'!K383)</f>
        <v/>
      </c>
      <c r="L383" s="19" t="str">
        <f>IF('Supplier selection'!L383="","",'Supplier selection'!L383)</f>
        <v/>
      </c>
      <c r="M383" s="19" t="str">
        <f>IF('Supplier selection'!M383="","",'Supplier selection'!M383)</f>
        <v/>
      </c>
      <c r="N383" s="19" t="str">
        <f>IF('Supplier selection'!N383="","",'Supplier selection'!N383)</f>
        <v/>
      </c>
      <c r="O383" s="19" t="str">
        <f>IF('Supplier selection'!O383="","",'Supplier selection'!O383)</f>
        <v/>
      </c>
      <c r="Q383" s="19" t="str">
        <f>HLOOKUP($Q$3,'Supplier selection'!$AW$4:'Supplier selection'!$CT$1000,$A384,FALSE)</f>
        <v/>
      </c>
      <c r="R383" s="22" t="str">
        <f t="shared" si="55"/>
        <v/>
      </c>
      <c r="S383" s="19" t="str">
        <f t="shared" si="56"/>
        <v/>
      </c>
      <c r="T383" s="22" t="str">
        <f t="shared" si="57"/>
        <v/>
      </c>
      <c r="U383" s="19" t="str">
        <f t="shared" si="58"/>
        <v/>
      </c>
      <c r="V383" s="7"/>
      <c r="Y383" s="19" t="str">
        <f>IF('Supplier selection'!AQ383="","",'Supplier selection'!AQ383)</f>
        <v/>
      </c>
      <c r="Z383" s="19" t="str">
        <f>IF('Supplier selection'!AR383="","",'Supplier selection'!AR383)</f>
        <v/>
      </c>
      <c r="AA383" s="19" t="str">
        <f t="shared" si="59"/>
        <v/>
      </c>
      <c r="AD383" s="26" t="str">
        <f>IF(AND('Supplier selection'!X383="",'Supplier selection'!AE383=""),"",IF('Supplier selection'!X383="",'Supplier selection'!AE383,'Supplier selection'!X383))</f>
        <v/>
      </c>
      <c r="AE383" s="19" t="str">
        <f t="shared" si="60"/>
        <v/>
      </c>
      <c r="AF383" s="19" t="str">
        <f t="shared" si="61"/>
        <v/>
      </c>
      <c r="AG383" s="27" t="str">
        <f>IF(AND('Supplier selection'!AB383="",'Supplier selection'!AI383=""),"",IF('Supplier selection'!AB383="",'Supplier selection'!AI383,'Supplier selection'!AB383))</f>
        <v/>
      </c>
      <c r="AH383" s="28" t="str">
        <f t="shared" si="62"/>
        <v/>
      </c>
      <c r="AI383" s="7" t="str">
        <f t="shared" si="63"/>
        <v/>
      </c>
      <c r="AJ383" s="22" t="str">
        <f t="shared" si="64"/>
        <v/>
      </c>
      <c r="AK383" s="29" t="str">
        <f t="shared" si="65"/>
        <v/>
      </c>
      <c r="AL383" s="10"/>
    </row>
    <row r="384" spans="1:38">
      <c r="A384" s="19">
        <f>IF('Supplier selection'!A384="","",'Supplier selection'!A384)</f>
        <v>380</v>
      </c>
      <c r="B384" s="19" t="str">
        <f>IF('Supplier selection'!B384="","",'Supplier selection'!B384)</f>
        <v/>
      </c>
      <c r="C384" s="19" t="str">
        <f>IF('Supplier selection'!C384="","",'Supplier selection'!C384)</f>
        <v/>
      </c>
      <c r="D384" s="19" t="str">
        <f>IF('Supplier selection'!D384="","",'Supplier selection'!D384)</f>
        <v/>
      </c>
      <c r="E384" s="19" t="str">
        <f>IF('Supplier selection'!E384="","",'Supplier selection'!E384)</f>
        <v/>
      </c>
      <c r="F384" s="19" t="str">
        <f>IF('Supplier selection'!F384="","",'Supplier selection'!F384)</f>
        <v/>
      </c>
      <c r="G384" s="19" t="str">
        <f>IF('Supplier selection'!G384="","",'Supplier selection'!G384)</f>
        <v/>
      </c>
      <c r="H384" s="19" t="str">
        <f>IF('Supplier selection'!H384="","",'Supplier selection'!H384)</f>
        <v/>
      </c>
      <c r="I384" s="19" t="str">
        <f>IF('Supplier selection'!I384="","",'Supplier selection'!I384)</f>
        <v/>
      </c>
      <c r="J384" s="19" t="str">
        <f>IF('Supplier selection'!J384="","",'Supplier selection'!J384)</f>
        <v/>
      </c>
      <c r="K384" s="19" t="str">
        <f>IF('Supplier selection'!K384="","",'Supplier selection'!K384)</f>
        <v/>
      </c>
      <c r="L384" s="19" t="str">
        <f>IF('Supplier selection'!L384="","",'Supplier selection'!L384)</f>
        <v/>
      </c>
      <c r="M384" s="19" t="str">
        <f>IF('Supplier selection'!M384="","",'Supplier selection'!M384)</f>
        <v/>
      </c>
      <c r="N384" s="19" t="str">
        <f>IF('Supplier selection'!N384="","",'Supplier selection'!N384)</f>
        <v/>
      </c>
      <c r="O384" s="19" t="str">
        <f>IF('Supplier selection'!O384="","",'Supplier selection'!O384)</f>
        <v/>
      </c>
      <c r="Q384" s="19" t="str">
        <f>HLOOKUP($Q$3,'Supplier selection'!$AW$4:'Supplier selection'!$CT$1000,$A385,FALSE)</f>
        <v/>
      </c>
      <c r="R384" s="22" t="str">
        <f t="shared" si="55"/>
        <v/>
      </c>
      <c r="S384" s="19" t="str">
        <f t="shared" si="56"/>
        <v/>
      </c>
      <c r="T384" s="22" t="str">
        <f t="shared" si="57"/>
        <v/>
      </c>
      <c r="U384" s="19" t="str">
        <f t="shared" si="58"/>
        <v/>
      </c>
      <c r="V384" s="7"/>
      <c r="Y384" s="19" t="str">
        <f>IF('Supplier selection'!AQ384="","",'Supplier selection'!AQ384)</f>
        <v/>
      </c>
      <c r="Z384" s="19" t="str">
        <f>IF('Supplier selection'!AR384="","",'Supplier selection'!AR384)</f>
        <v/>
      </c>
      <c r="AA384" s="19" t="str">
        <f t="shared" si="59"/>
        <v/>
      </c>
      <c r="AD384" s="26" t="str">
        <f>IF(AND('Supplier selection'!X384="",'Supplier selection'!AE384=""),"",IF('Supplier selection'!X384="",'Supplier selection'!AE384,'Supplier selection'!X384))</f>
        <v/>
      </c>
      <c r="AE384" s="19" t="str">
        <f t="shared" si="60"/>
        <v/>
      </c>
      <c r="AF384" s="19" t="str">
        <f t="shared" si="61"/>
        <v/>
      </c>
      <c r="AG384" s="27" t="str">
        <f>IF(AND('Supplier selection'!AB384="",'Supplier selection'!AI384=""),"",IF('Supplier selection'!AB384="",'Supplier selection'!AI384,'Supplier selection'!AB384))</f>
        <v/>
      </c>
      <c r="AH384" s="28" t="str">
        <f t="shared" si="62"/>
        <v/>
      </c>
      <c r="AI384" s="7" t="str">
        <f t="shared" si="63"/>
        <v/>
      </c>
      <c r="AJ384" s="22" t="str">
        <f t="shared" si="64"/>
        <v/>
      </c>
      <c r="AK384" s="29" t="str">
        <f t="shared" si="65"/>
        <v/>
      </c>
      <c r="AL384" s="10"/>
    </row>
    <row r="385" spans="1:38">
      <c r="A385" s="19">
        <f>IF('Supplier selection'!A385="","",'Supplier selection'!A385)</f>
        <v>381</v>
      </c>
      <c r="B385" s="19" t="str">
        <f>IF('Supplier selection'!B385="","",'Supplier selection'!B385)</f>
        <v/>
      </c>
      <c r="C385" s="19" t="str">
        <f>IF('Supplier selection'!C385="","",'Supplier selection'!C385)</f>
        <v/>
      </c>
      <c r="D385" s="19" t="str">
        <f>IF('Supplier selection'!D385="","",'Supplier selection'!D385)</f>
        <v/>
      </c>
      <c r="E385" s="19" t="str">
        <f>IF('Supplier selection'!E385="","",'Supplier selection'!E385)</f>
        <v/>
      </c>
      <c r="F385" s="19" t="str">
        <f>IF('Supplier selection'!F385="","",'Supplier selection'!F385)</f>
        <v/>
      </c>
      <c r="G385" s="19" t="str">
        <f>IF('Supplier selection'!G385="","",'Supplier selection'!G385)</f>
        <v/>
      </c>
      <c r="H385" s="19" t="str">
        <f>IF('Supplier selection'!H385="","",'Supplier selection'!H385)</f>
        <v/>
      </c>
      <c r="I385" s="19" t="str">
        <f>IF('Supplier selection'!I385="","",'Supplier selection'!I385)</f>
        <v/>
      </c>
      <c r="J385" s="19" t="str">
        <f>IF('Supplier selection'!J385="","",'Supplier selection'!J385)</f>
        <v/>
      </c>
      <c r="K385" s="19" t="str">
        <f>IF('Supplier selection'!K385="","",'Supplier selection'!K385)</f>
        <v/>
      </c>
      <c r="L385" s="19" t="str">
        <f>IF('Supplier selection'!L385="","",'Supplier selection'!L385)</f>
        <v/>
      </c>
      <c r="M385" s="19" t="str">
        <f>IF('Supplier selection'!M385="","",'Supplier selection'!M385)</f>
        <v/>
      </c>
      <c r="N385" s="19" t="str">
        <f>IF('Supplier selection'!N385="","",'Supplier selection'!N385)</f>
        <v/>
      </c>
      <c r="O385" s="19" t="str">
        <f>IF('Supplier selection'!O385="","",'Supplier selection'!O385)</f>
        <v/>
      </c>
      <c r="Q385" s="19" t="str">
        <f>HLOOKUP($Q$3,'Supplier selection'!$AW$4:'Supplier selection'!$CT$1000,$A386,FALSE)</f>
        <v/>
      </c>
      <c r="R385" s="22" t="str">
        <f t="shared" si="55"/>
        <v/>
      </c>
      <c r="S385" s="19" t="str">
        <f t="shared" si="56"/>
        <v/>
      </c>
      <c r="T385" s="22" t="str">
        <f t="shared" si="57"/>
        <v/>
      </c>
      <c r="U385" s="19" t="str">
        <f t="shared" si="58"/>
        <v/>
      </c>
      <c r="V385" s="7"/>
      <c r="Y385" s="19" t="str">
        <f>IF('Supplier selection'!AQ385="","",'Supplier selection'!AQ385)</f>
        <v/>
      </c>
      <c r="Z385" s="19" t="str">
        <f>IF('Supplier selection'!AR385="","",'Supplier selection'!AR385)</f>
        <v/>
      </c>
      <c r="AA385" s="19" t="str">
        <f t="shared" si="59"/>
        <v/>
      </c>
      <c r="AD385" s="26" t="str">
        <f>IF(AND('Supplier selection'!X385="",'Supplier selection'!AE385=""),"",IF('Supplier selection'!X385="",'Supplier selection'!AE385,'Supplier selection'!X385))</f>
        <v/>
      </c>
      <c r="AE385" s="19" t="str">
        <f t="shared" si="60"/>
        <v/>
      </c>
      <c r="AF385" s="19" t="str">
        <f t="shared" si="61"/>
        <v/>
      </c>
      <c r="AG385" s="27" t="str">
        <f>IF(AND('Supplier selection'!AB385="",'Supplier selection'!AI385=""),"",IF('Supplier selection'!AB385="",'Supplier selection'!AI385,'Supplier selection'!AB385))</f>
        <v/>
      </c>
      <c r="AH385" s="28" t="str">
        <f t="shared" si="62"/>
        <v/>
      </c>
      <c r="AI385" s="7" t="str">
        <f t="shared" si="63"/>
        <v/>
      </c>
      <c r="AJ385" s="22" t="str">
        <f t="shared" si="64"/>
        <v/>
      </c>
      <c r="AK385" s="29" t="str">
        <f t="shared" si="65"/>
        <v/>
      </c>
      <c r="AL385" s="10"/>
    </row>
    <row r="386" spans="1:38">
      <c r="A386" s="19">
        <f>IF('Supplier selection'!A386="","",'Supplier selection'!A386)</f>
        <v>382</v>
      </c>
      <c r="B386" s="19" t="str">
        <f>IF('Supplier selection'!B386="","",'Supplier selection'!B386)</f>
        <v/>
      </c>
      <c r="C386" s="19" t="str">
        <f>IF('Supplier selection'!C386="","",'Supplier selection'!C386)</f>
        <v/>
      </c>
      <c r="D386" s="19" t="str">
        <f>IF('Supplier selection'!D386="","",'Supplier selection'!D386)</f>
        <v/>
      </c>
      <c r="E386" s="19" t="str">
        <f>IF('Supplier selection'!E386="","",'Supplier selection'!E386)</f>
        <v/>
      </c>
      <c r="F386" s="19" t="str">
        <f>IF('Supplier selection'!F386="","",'Supplier selection'!F386)</f>
        <v/>
      </c>
      <c r="G386" s="19" t="str">
        <f>IF('Supplier selection'!G386="","",'Supplier selection'!G386)</f>
        <v/>
      </c>
      <c r="H386" s="19" t="str">
        <f>IF('Supplier selection'!H386="","",'Supplier selection'!H386)</f>
        <v/>
      </c>
      <c r="I386" s="19" t="str">
        <f>IF('Supplier selection'!I386="","",'Supplier selection'!I386)</f>
        <v/>
      </c>
      <c r="J386" s="19" t="str">
        <f>IF('Supplier selection'!J386="","",'Supplier selection'!J386)</f>
        <v/>
      </c>
      <c r="K386" s="19" t="str">
        <f>IF('Supplier selection'!K386="","",'Supplier selection'!K386)</f>
        <v/>
      </c>
      <c r="L386" s="19" t="str">
        <f>IF('Supplier selection'!L386="","",'Supplier selection'!L386)</f>
        <v/>
      </c>
      <c r="M386" s="19" t="str">
        <f>IF('Supplier selection'!M386="","",'Supplier selection'!M386)</f>
        <v/>
      </c>
      <c r="N386" s="19" t="str">
        <f>IF('Supplier selection'!N386="","",'Supplier selection'!N386)</f>
        <v/>
      </c>
      <c r="O386" s="19" t="str">
        <f>IF('Supplier selection'!O386="","",'Supplier selection'!O386)</f>
        <v/>
      </c>
      <c r="Q386" s="19" t="str">
        <f>HLOOKUP($Q$3,'Supplier selection'!$AW$4:'Supplier selection'!$CT$1000,$A387,FALSE)</f>
        <v/>
      </c>
      <c r="R386" s="22" t="str">
        <f t="shared" si="55"/>
        <v/>
      </c>
      <c r="S386" s="19" t="str">
        <f t="shared" si="56"/>
        <v/>
      </c>
      <c r="T386" s="22" t="str">
        <f t="shared" si="57"/>
        <v/>
      </c>
      <c r="U386" s="19" t="str">
        <f t="shared" si="58"/>
        <v/>
      </c>
      <c r="V386" s="7"/>
      <c r="Y386" s="19" t="str">
        <f>IF('Supplier selection'!AQ386="","",'Supplier selection'!AQ386)</f>
        <v/>
      </c>
      <c r="Z386" s="19" t="str">
        <f>IF('Supplier selection'!AR386="","",'Supplier selection'!AR386)</f>
        <v/>
      </c>
      <c r="AA386" s="19" t="str">
        <f t="shared" si="59"/>
        <v/>
      </c>
      <c r="AD386" s="26" t="str">
        <f>IF(AND('Supplier selection'!X386="",'Supplier selection'!AE386=""),"",IF('Supplier selection'!X386="",'Supplier selection'!AE386,'Supplier selection'!X386))</f>
        <v/>
      </c>
      <c r="AE386" s="19" t="str">
        <f t="shared" si="60"/>
        <v/>
      </c>
      <c r="AF386" s="19" t="str">
        <f t="shared" si="61"/>
        <v/>
      </c>
      <c r="AG386" s="27" t="str">
        <f>IF(AND('Supplier selection'!AB386="",'Supplier selection'!AI386=""),"",IF('Supplier selection'!AB386="",'Supplier selection'!AI386,'Supplier selection'!AB386))</f>
        <v/>
      </c>
      <c r="AH386" s="28" t="str">
        <f t="shared" si="62"/>
        <v/>
      </c>
      <c r="AI386" s="7" t="str">
        <f t="shared" si="63"/>
        <v/>
      </c>
      <c r="AJ386" s="22" t="str">
        <f t="shared" si="64"/>
        <v/>
      </c>
      <c r="AK386" s="29" t="str">
        <f t="shared" si="65"/>
        <v/>
      </c>
      <c r="AL386" s="10"/>
    </row>
    <row r="387" spans="1:38">
      <c r="A387" s="19">
        <f>IF('Supplier selection'!A387="","",'Supplier selection'!A387)</f>
        <v>383</v>
      </c>
      <c r="B387" s="19" t="str">
        <f>IF('Supplier selection'!B387="","",'Supplier selection'!B387)</f>
        <v/>
      </c>
      <c r="C387" s="19" t="str">
        <f>IF('Supplier selection'!C387="","",'Supplier selection'!C387)</f>
        <v/>
      </c>
      <c r="D387" s="19" t="str">
        <f>IF('Supplier selection'!D387="","",'Supplier selection'!D387)</f>
        <v/>
      </c>
      <c r="E387" s="19" t="str">
        <f>IF('Supplier selection'!E387="","",'Supplier selection'!E387)</f>
        <v/>
      </c>
      <c r="F387" s="19" t="str">
        <f>IF('Supplier selection'!F387="","",'Supplier selection'!F387)</f>
        <v/>
      </c>
      <c r="G387" s="19" t="str">
        <f>IF('Supplier selection'!G387="","",'Supplier selection'!G387)</f>
        <v/>
      </c>
      <c r="H387" s="19" t="str">
        <f>IF('Supplier selection'!H387="","",'Supplier selection'!H387)</f>
        <v/>
      </c>
      <c r="I387" s="19" t="str">
        <f>IF('Supplier selection'!I387="","",'Supplier selection'!I387)</f>
        <v/>
      </c>
      <c r="J387" s="19" t="str">
        <f>IF('Supplier selection'!J387="","",'Supplier selection'!J387)</f>
        <v/>
      </c>
      <c r="K387" s="19" t="str">
        <f>IF('Supplier selection'!K387="","",'Supplier selection'!K387)</f>
        <v/>
      </c>
      <c r="L387" s="19" t="str">
        <f>IF('Supplier selection'!L387="","",'Supplier selection'!L387)</f>
        <v/>
      </c>
      <c r="M387" s="19" t="str">
        <f>IF('Supplier selection'!M387="","",'Supplier selection'!M387)</f>
        <v/>
      </c>
      <c r="N387" s="19" t="str">
        <f>IF('Supplier selection'!N387="","",'Supplier selection'!N387)</f>
        <v/>
      </c>
      <c r="O387" s="19" t="str">
        <f>IF('Supplier selection'!O387="","",'Supplier selection'!O387)</f>
        <v/>
      </c>
      <c r="Q387" s="19" t="str">
        <f>HLOOKUP($Q$3,'Supplier selection'!$AW$4:'Supplier selection'!$CT$1000,$A388,FALSE)</f>
        <v/>
      </c>
      <c r="R387" s="22" t="str">
        <f t="shared" si="55"/>
        <v/>
      </c>
      <c r="S387" s="19" t="str">
        <f t="shared" si="56"/>
        <v/>
      </c>
      <c r="T387" s="22" t="str">
        <f t="shared" si="57"/>
        <v/>
      </c>
      <c r="U387" s="19" t="str">
        <f t="shared" si="58"/>
        <v/>
      </c>
      <c r="V387" s="7"/>
      <c r="Y387" s="19" t="str">
        <f>IF('Supplier selection'!AQ387="","",'Supplier selection'!AQ387)</f>
        <v/>
      </c>
      <c r="Z387" s="19" t="str">
        <f>IF('Supplier selection'!AR387="","",'Supplier selection'!AR387)</f>
        <v/>
      </c>
      <c r="AA387" s="19" t="str">
        <f t="shared" si="59"/>
        <v/>
      </c>
      <c r="AD387" s="26" t="str">
        <f>IF(AND('Supplier selection'!X387="",'Supplier selection'!AE387=""),"",IF('Supplier selection'!X387="",'Supplier selection'!AE387,'Supplier selection'!X387))</f>
        <v/>
      </c>
      <c r="AE387" s="19" t="str">
        <f t="shared" si="60"/>
        <v/>
      </c>
      <c r="AF387" s="19" t="str">
        <f t="shared" si="61"/>
        <v/>
      </c>
      <c r="AG387" s="27" t="str">
        <f>IF(AND('Supplier selection'!AB387="",'Supplier selection'!AI387=""),"",IF('Supplier selection'!AB387="",'Supplier selection'!AI387,'Supplier selection'!AB387))</f>
        <v/>
      </c>
      <c r="AH387" s="28" t="str">
        <f t="shared" si="62"/>
        <v/>
      </c>
      <c r="AI387" s="7" t="str">
        <f t="shared" si="63"/>
        <v/>
      </c>
      <c r="AJ387" s="22" t="str">
        <f t="shared" si="64"/>
        <v/>
      </c>
      <c r="AK387" s="29" t="str">
        <f t="shared" si="65"/>
        <v/>
      </c>
      <c r="AL387" s="10"/>
    </row>
    <row r="388" spans="1:38">
      <c r="A388" s="19">
        <f>IF('Supplier selection'!A388="","",'Supplier selection'!A388)</f>
        <v>384</v>
      </c>
      <c r="B388" s="19" t="str">
        <f>IF('Supplier selection'!B388="","",'Supplier selection'!B388)</f>
        <v/>
      </c>
      <c r="C388" s="19" t="str">
        <f>IF('Supplier selection'!C388="","",'Supplier selection'!C388)</f>
        <v/>
      </c>
      <c r="D388" s="19" t="str">
        <f>IF('Supplier selection'!D388="","",'Supplier selection'!D388)</f>
        <v/>
      </c>
      <c r="E388" s="19" t="str">
        <f>IF('Supplier selection'!E388="","",'Supplier selection'!E388)</f>
        <v/>
      </c>
      <c r="F388" s="19" t="str">
        <f>IF('Supplier selection'!F388="","",'Supplier selection'!F388)</f>
        <v/>
      </c>
      <c r="G388" s="19" t="str">
        <f>IF('Supplier selection'!G388="","",'Supplier selection'!G388)</f>
        <v/>
      </c>
      <c r="H388" s="19" t="str">
        <f>IF('Supplier selection'!H388="","",'Supplier selection'!H388)</f>
        <v/>
      </c>
      <c r="I388" s="19" t="str">
        <f>IF('Supplier selection'!I388="","",'Supplier selection'!I388)</f>
        <v/>
      </c>
      <c r="J388" s="19" t="str">
        <f>IF('Supplier selection'!J388="","",'Supplier selection'!J388)</f>
        <v/>
      </c>
      <c r="K388" s="19" t="str">
        <f>IF('Supplier selection'!K388="","",'Supplier selection'!K388)</f>
        <v/>
      </c>
      <c r="L388" s="19" t="str">
        <f>IF('Supplier selection'!L388="","",'Supplier selection'!L388)</f>
        <v/>
      </c>
      <c r="M388" s="19" t="str">
        <f>IF('Supplier selection'!M388="","",'Supplier selection'!M388)</f>
        <v/>
      </c>
      <c r="N388" s="19" t="str">
        <f>IF('Supplier selection'!N388="","",'Supplier selection'!N388)</f>
        <v/>
      </c>
      <c r="O388" s="19" t="str">
        <f>IF('Supplier selection'!O388="","",'Supplier selection'!O388)</f>
        <v/>
      </c>
      <c r="Q388" s="19" t="str">
        <f>HLOOKUP($Q$3,'Supplier selection'!$AW$4:'Supplier selection'!$CT$1000,$A389,FALSE)</f>
        <v/>
      </c>
      <c r="R388" s="22" t="str">
        <f t="shared" si="55"/>
        <v/>
      </c>
      <c r="S388" s="19" t="str">
        <f t="shared" si="56"/>
        <v/>
      </c>
      <c r="T388" s="22" t="str">
        <f t="shared" si="57"/>
        <v/>
      </c>
      <c r="U388" s="19" t="str">
        <f t="shared" si="58"/>
        <v/>
      </c>
      <c r="V388" s="7"/>
      <c r="Y388" s="19" t="str">
        <f>IF('Supplier selection'!AQ388="","",'Supplier selection'!AQ388)</f>
        <v/>
      </c>
      <c r="Z388" s="19" t="str">
        <f>IF('Supplier selection'!AR388="","",'Supplier selection'!AR388)</f>
        <v/>
      </c>
      <c r="AA388" s="19" t="str">
        <f t="shared" si="59"/>
        <v/>
      </c>
      <c r="AD388" s="26" t="str">
        <f>IF(AND('Supplier selection'!X388="",'Supplier selection'!AE388=""),"",IF('Supplier selection'!X388="",'Supplier selection'!AE388,'Supplier selection'!X388))</f>
        <v/>
      </c>
      <c r="AE388" s="19" t="str">
        <f t="shared" si="60"/>
        <v/>
      </c>
      <c r="AF388" s="19" t="str">
        <f t="shared" si="61"/>
        <v/>
      </c>
      <c r="AG388" s="27" t="str">
        <f>IF(AND('Supplier selection'!AB388="",'Supplier selection'!AI388=""),"",IF('Supplier selection'!AB388="",'Supplier selection'!AI388,'Supplier selection'!AB388))</f>
        <v/>
      </c>
      <c r="AH388" s="28" t="str">
        <f t="shared" si="62"/>
        <v/>
      </c>
      <c r="AI388" s="7" t="str">
        <f t="shared" si="63"/>
        <v/>
      </c>
      <c r="AJ388" s="22" t="str">
        <f t="shared" si="64"/>
        <v/>
      </c>
      <c r="AK388" s="29" t="str">
        <f t="shared" si="65"/>
        <v/>
      </c>
      <c r="AL388" s="10"/>
    </row>
    <row r="389" spans="1:38">
      <c r="A389" s="19">
        <f>IF('Supplier selection'!A389="","",'Supplier selection'!A389)</f>
        <v>385</v>
      </c>
      <c r="B389" s="19" t="str">
        <f>IF('Supplier selection'!B389="","",'Supplier selection'!B389)</f>
        <v/>
      </c>
      <c r="C389" s="19" t="str">
        <f>IF('Supplier selection'!C389="","",'Supplier selection'!C389)</f>
        <v/>
      </c>
      <c r="D389" s="19" t="str">
        <f>IF('Supplier selection'!D389="","",'Supplier selection'!D389)</f>
        <v/>
      </c>
      <c r="E389" s="19" t="str">
        <f>IF('Supplier selection'!E389="","",'Supplier selection'!E389)</f>
        <v/>
      </c>
      <c r="F389" s="19" t="str">
        <f>IF('Supplier selection'!F389="","",'Supplier selection'!F389)</f>
        <v/>
      </c>
      <c r="G389" s="19" t="str">
        <f>IF('Supplier selection'!G389="","",'Supplier selection'!G389)</f>
        <v/>
      </c>
      <c r="H389" s="19" t="str">
        <f>IF('Supplier selection'!H389="","",'Supplier selection'!H389)</f>
        <v/>
      </c>
      <c r="I389" s="19" t="str">
        <f>IF('Supplier selection'!I389="","",'Supplier selection'!I389)</f>
        <v/>
      </c>
      <c r="J389" s="19" t="str">
        <f>IF('Supplier selection'!J389="","",'Supplier selection'!J389)</f>
        <v/>
      </c>
      <c r="K389" s="19" t="str">
        <f>IF('Supplier selection'!K389="","",'Supplier selection'!K389)</f>
        <v/>
      </c>
      <c r="L389" s="19" t="str">
        <f>IF('Supplier selection'!L389="","",'Supplier selection'!L389)</f>
        <v/>
      </c>
      <c r="M389" s="19" t="str">
        <f>IF('Supplier selection'!M389="","",'Supplier selection'!M389)</f>
        <v/>
      </c>
      <c r="N389" s="19" t="str">
        <f>IF('Supplier selection'!N389="","",'Supplier selection'!N389)</f>
        <v/>
      </c>
      <c r="O389" s="19" t="str">
        <f>IF('Supplier selection'!O389="","",'Supplier selection'!O389)</f>
        <v/>
      </c>
      <c r="Q389" s="19" t="str">
        <f>HLOOKUP($Q$3,'Supplier selection'!$AW$4:'Supplier selection'!$CT$1000,$A390,FALSE)</f>
        <v/>
      </c>
      <c r="R389" s="22" t="str">
        <f t="shared" si="55"/>
        <v/>
      </c>
      <c r="S389" s="19" t="str">
        <f t="shared" si="56"/>
        <v/>
      </c>
      <c r="T389" s="22" t="str">
        <f t="shared" si="57"/>
        <v/>
      </c>
      <c r="U389" s="19" t="str">
        <f t="shared" si="58"/>
        <v/>
      </c>
      <c r="V389" s="7"/>
      <c r="Y389" s="19" t="str">
        <f>IF('Supplier selection'!AQ389="","",'Supplier selection'!AQ389)</f>
        <v/>
      </c>
      <c r="Z389" s="19" t="str">
        <f>IF('Supplier selection'!AR389="","",'Supplier selection'!AR389)</f>
        <v/>
      </c>
      <c r="AA389" s="19" t="str">
        <f t="shared" si="59"/>
        <v/>
      </c>
      <c r="AD389" s="26" t="str">
        <f>IF(AND('Supplier selection'!X389="",'Supplier selection'!AE389=""),"",IF('Supplier selection'!X389="",'Supplier selection'!AE389,'Supplier selection'!X389))</f>
        <v/>
      </c>
      <c r="AE389" s="19" t="str">
        <f t="shared" si="60"/>
        <v/>
      </c>
      <c r="AF389" s="19" t="str">
        <f t="shared" si="61"/>
        <v/>
      </c>
      <c r="AG389" s="27" t="str">
        <f>IF(AND('Supplier selection'!AB389="",'Supplier selection'!AI389=""),"",IF('Supplier selection'!AB389="",'Supplier selection'!AI389,'Supplier selection'!AB389))</f>
        <v/>
      </c>
      <c r="AH389" s="28" t="str">
        <f t="shared" si="62"/>
        <v/>
      </c>
      <c r="AI389" s="7" t="str">
        <f t="shared" si="63"/>
        <v/>
      </c>
      <c r="AJ389" s="22" t="str">
        <f t="shared" si="64"/>
        <v/>
      </c>
      <c r="AK389" s="29" t="str">
        <f t="shared" si="65"/>
        <v/>
      </c>
      <c r="AL389" s="10"/>
    </row>
    <row r="390" spans="1:38">
      <c r="A390" s="19">
        <f>IF('Supplier selection'!A390="","",'Supplier selection'!A390)</f>
        <v>386</v>
      </c>
      <c r="B390" s="19" t="str">
        <f>IF('Supplier selection'!B390="","",'Supplier selection'!B390)</f>
        <v/>
      </c>
      <c r="C390" s="19" t="str">
        <f>IF('Supplier selection'!C390="","",'Supplier selection'!C390)</f>
        <v/>
      </c>
      <c r="D390" s="19" t="str">
        <f>IF('Supplier selection'!D390="","",'Supplier selection'!D390)</f>
        <v/>
      </c>
      <c r="E390" s="19" t="str">
        <f>IF('Supplier selection'!E390="","",'Supplier selection'!E390)</f>
        <v/>
      </c>
      <c r="F390" s="19" t="str">
        <f>IF('Supplier selection'!F390="","",'Supplier selection'!F390)</f>
        <v/>
      </c>
      <c r="G390" s="19" t="str">
        <f>IF('Supplier selection'!G390="","",'Supplier selection'!G390)</f>
        <v/>
      </c>
      <c r="H390" s="19" t="str">
        <f>IF('Supplier selection'!H390="","",'Supplier selection'!H390)</f>
        <v/>
      </c>
      <c r="I390" s="19" t="str">
        <f>IF('Supplier selection'!I390="","",'Supplier selection'!I390)</f>
        <v/>
      </c>
      <c r="J390" s="19" t="str">
        <f>IF('Supplier selection'!J390="","",'Supplier selection'!J390)</f>
        <v/>
      </c>
      <c r="K390" s="19" t="str">
        <f>IF('Supplier selection'!K390="","",'Supplier selection'!K390)</f>
        <v/>
      </c>
      <c r="L390" s="19" t="str">
        <f>IF('Supplier selection'!L390="","",'Supplier selection'!L390)</f>
        <v/>
      </c>
      <c r="M390" s="19" t="str">
        <f>IF('Supplier selection'!M390="","",'Supplier selection'!M390)</f>
        <v/>
      </c>
      <c r="N390" s="19" t="str">
        <f>IF('Supplier selection'!N390="","",'Supplier selection'!N390)</f>
        <v/>
      </c>
      <c r="O390" s="19" t="str">
        <f>IF('Supplier selection'!O390="","",'Supplier selection'!O390)</f>
        <v/>
      </c>
      <c r="Q390" s="19" t="str">
        <f>HLOOKUP($Q$3,'Supplier selection'!$AW$4:'Supplier selection'!$CT$1000,$A391,FALSE)</f>
        <v/>
      </c>
      <c r="R390" s="22" t="str">
        <f t="shared" ref="R390:R453" si="66">IF(OR(Q390="",O390=""),"",(Q390-O390)/O390)</f>
        <v/>
      </c>
      <c r="S390" s="19" t="str">
        <f t="shared" ref="S390:S453" si="67">IF(OR(H390="",O390="",Q390=""),"",(Q390*H390)-(H390*O390))</f>
        <v/>
      </c>
      <c r="T390" s="22" t="str">
        <f t="shared" ref="T390:T453" si="68">IF(OR(Y390="",Q390=""),"",(Q390-Y390)/Y390)</f>
        <v/>
      </c>
      <c r="U390" s="19" t="str">
        <f t="shared" ref="U390:U453" si="69">IF(OR(Y390="",Q390="",H390=""),"",(Q390*H390)-(Y390*H390))</f>
        <v/>
      </c>
      <c r="V390" s="7"/>
      <c r="Y390" s="19" t="str">
        <f>IF('Supplier selection'!AQ390="","",'Supplier selection'!AQ390)</f>
        <v/>
      </c>
      <c r="Z390" s="19" t="str">
        <f>IF('Supplier selection'!AR390="","",'Supplier selection'!AR390)</f>
        <v/>
      </c>
      <c r="AA390" s="19" t="str">
        <f t="shared" ref="AA390:AA453" si="70">IF(OR(Y390="",O390="",H390=""),"",((H390*Y390)-(H390*O390)))</f>
        <v/>
      </c>
      <c r="AD390" s="26" t="str">
        <f>IF(AND('Supplier selection'!X390="",'Supplier selection'!AE390=""),"",IF('Supplier selection'!X390="",'Supplier selection'!AE390,'Supplier selection'!X390))</f>
        <v/>
      </c>
      <c r="AE390" s="19" t="str">
        <f t="shared" ref="AE390:AE453" si="71">IF(AD390="","",J390)</f>
        <v/>
      </c>
      <c r="AF390" s="19" t="str">
        <f t="shared" ref="AF390:AF453" si="72">IF(AD390="","",L390)</f>
        <v/>
      </c>
      <c r="AG390" s="27" t="str">
        <f>IF(AND('Supplier selection'!AB390="",'Supplier selection'!AI390=""),"",IF('Supplier selection'!AB390="",'Supplier selection'!AI390,'Supplier selection'!AB390))</f>
        <v/>
      </c>
      <c r="AH390" s="28" t="str">
        <f t="shared" ref="AH390:AH453" si="73">IF(OR(AG390="",O390=""),"",(AG390-O390)/O390)</f>
        <v/>
      </c>
      <c r="AI390" s="7" t="str">
        <f t="shared" ref="AI390:AI453" si="74">IF(OR(H390="",O390="",AG390=""),"",(AG390*H390)-(H390*O390))</f>
        <v/>
      </c>
      <c r="AJ390" s="22" t="str">
        <f t="shared" ref="AJ390:AJ453" si="75">IF(OR(AG390="",Y390=""),"",(AG390-Y390)/Y390)</f>
        <v/>
      </c>
      <c r="AK390" s="29" t="str">
        <f t="shared" ref="AK390:AK453" si="76">IF(OR(H390="",Y390="",AG390=""),"",(AG390*H390)-(H390*Y390))</f>
        <v/>
      </c>
      <c r="AL390" s="10"/>
    </row>
    <row r="391" spans="1:38">
      <c r="A391" s="19">
        <f>IF('Supplier selection'!A391="","",'Supplier selection'!A391)</f>
        <v>387</v>
      </c>
      <c r="B391" s="19" t="str">
        <f>IF('Supplier selection'!B391="","",'Supplier selection'!B391)</f>
        <v/>
      </c>
      <c r="C391" s="19" t="str">
        <f>IF('Supplier selection'!C391="","",'Supplier selection'!C391)</f>
        <v/>
      </c>
      <c r="D391" s="19" t="str">
        <f>IF('Supplier selection'!D391="","",'Supplier selection'!D391)</f>
        <v/>
      </c>
      <c r="E391" s="19" t="str">
        <f>IF('Supplier selection'!E391="","",'Supplier selection'!E391)</f>
        <v/>
      </c>
      <c r="F391" s="19" t="str">
        <f>IF('Supplier selection'!F391="","",'Supplier selection'!F391)</f>
        <v/>
      </c>
      <c r="G391" s="19" t="str">
        <f>IF('Supplier selection'!G391="","",'Supplier selection'!G391)</f>
        <v/>
      </c>
      <c r="H391" s="19" t="str">
        <f>IF('Supplier selection'!H391="","",'Supplier selection'!H391)</f>
        <v/>
      </c>
      <c r="I391" s="19" t="str">
        <f>IF('Supplier selection'!I391="","",'Supplier selection'!I391)</f>
        <v/>
      </c>
      <c r="J391" s="19" t="str">
        <f>IF('Supplier selection'!J391="","",'Supplier selection'!J391)</f>
        <v/>
      </c>
      <c r="K391" s="19" t="str">
        <f>IF('Supplier selection'!K391="","",'Supplier selection'!K391)</f>
        <v/>
      </c>
      <c r="L391" s="19" t="str">
        <f>IF('Supplier selection'!L391="","",'Supplier selection'!L391)</f>
        <v/>
      </c>
      <c r="M391" s="19" t="str">
        <f>IF('Supplier selection'!M391="","",'Supplier selection'!M391)</f>
        <v/>
      </c>
      <c r="N391" s="19" t="str">
        <f>IF('Supplier selection'!N391="","",'Supplier selection'!N391)</f>
        <v/>
      </c>
      <c r="O391" s="19" t="str">
        <f>IF('Supplier selection'!O391="","",'Supplier selection'!O391)</f>
        <v/>
      </c>
      <c r="Q391" s="19" t="str">
        <f>HLOOKUP($Q$3,'Supplier selection'!$AW$4:'Supplier selection'!$CT$1000,$A392,FALSE)</f>
        <v/>
      </c>
      <c r="R391" s="22" t="str">
        <f t="shared" si="66"/>
        <v/>
      </c>
      <c r="S391" s="19" t="str">
        <f t="shared" si="67"/>
        <v/>
      </c>
      <c r="T391" s="22" t="str">
        <f t="shared" si="68"/>
        <v/>
      </c>
      <c r="U391" s="19" t="str">
        <f t="shared" si="69"/>
        <v/>
      </c>
      <c r="V391" s="7"/>
      <c r="Y391" s="19" t="str">
        <f>IF('Supplier selection'!AQ391="","",'Supplier selection'!AQ391)</f>
        <v/>
      </c>
      <c r="Z391" s="19" t="str">
        <f>IF('Supplier selection'!AR391="","",'Supplier selection'!AR391)</f>
        <v/>
      </c>
      <c r="AA391" s="19" t="str">
        <f t="shared" si="70"/>
        <v/>
      </c>
      <c r="AD391" s="26" t="str">
        <f>IF(AND('Supplier selection'!X391="",'Supplier selection'!AE391=""),"",IF('Supplier selection'!X391="",'Supplier selection'!AE391,'Supplier selection'!X391))</f>
        <v/>
      </c>
      <c r="AE391" s="19" t="str">
        <f t="shared" si="71"/>
        <v/>
      </c>
      <c r="AF391" s="19" t="str">
        <f t="shared" si="72"/>
        <v/>
      </c>
      <c r="AG391" s="27" t="str">
        <f>IF(AND('Supplier selection'!AB391="",'Supplier selection'!AI391=""),"",IF('Supplier selection'!AB391="",'Supplier selection'!AI391,'Supplier selection'!AB391))</f>
        <v/>
      </c>
      <c r="AH391" s="28" t="str">
        <f t="shared" si="73"/>
        <v/>
      </c>
      <c r="AI391" s="7" t="str">
        <f t="shared" si="74"/>
        <v/>
      </c>
      <c r="AJ391" s="22" t="str">
        <f t="shared" si="75"/>
        <v/>
      </c>
      <c r="AK391" s="29" t="str">
        <f t="shared" si="76"/>
        <v/>
      </c>
      <c r="AL391" s="10"/>
    </row>
    <row r="392" spans="1:38">
      <c r="A392" s="19">
        <f>IF('Supplier selection'!A392="","",'Supplier selection'!A392)</f>
        <v>388</v>
      </c>
      <c r="B392" s="19" t="str">
        <f>IF('Supplier selection'!B392="","",'Supplier selection'!B392)</f>
        <v/>
      </c>
      <c r="C392" s="19" t="str">
        <f>IF('Supplier selection'!C392="","",'Supplier selection'!C392)</f>
        <v/>
      </c>
      <c r="D392" s="19" t="str">
        <f>IF('Supplier selection'!D392="","",'Supplier selection'!D392)</f>
        <v/>
      </c>
      <c r="E392" s="19" t="str">
        <f>IF('Supplier selection'!E392="","",'Supplier selection'!E392)</f>
        <v/>
      </c>
      <c r="F392" s="19" t="str">
        <f>IF('Supplier selection'!F392="","",'Supplier selection'!F392)</f>
        <v/>
      </c>
      <c r="G392" s="19" t="str">
        <f>IF('Supplier selection'!G392="","",'Supplier selection'!G392)</f>
        <v/>
      </c>
      <c r="H392" s="19" t="str">
        <f>IF('Supplier selection'!H392="","",'Supplier selection'!H392)</f>
        <v/>
      </c>
      <c r="I392" s="19" t="str">
        <f>IF('Supplier selection'!I392="","",'Supplier selection'!I392)</f>
        <v/>
      </c>
      <c r="J392" s="19" t="str">
        <f>IF('Supplier selection'!J392="","",'Supplier selection'!J392)</f>
        <v/>
      </c>
      <c r="K392" s="19" t="str">
        <f>IF('Supplier selection'!K392="","",'Supplier selection'!K392)</f>
        <v/>
      </c>
      <c r="L392" s="19" t="str">
        <f>IF('Supplier selection'!L392="","",'Supplier selection'!L392)</f>
        <v/>
      </c>
      <c r="M392" s="19" t="str">
        <f>IF('Supplier selection'!M392="","",'Supplier selection'!M392)</f>
        <v/>
      </c>
      <c r="N392" s="19" t="str">
        <f>IF('Supplier selection'!N392="","",'Supplier selection'!N392)</f>
        <v/>
      </c>
      <c r="O392" s="19" t="str">
        <f>IF('Supplier selection'!O392="","",'Supplier selection'!O392)</f>
        <v/>
      </c>
      <c r="Q392" s="19" t="str">
        <f>HLOOKUP($Q$3,'Supplier selection'!$AW$4:'Supplier selection'!$CT$1000,$A393,FALSE)</f>
        <v/>
      </c>
      <c r="R392" s="22" t="str">
        <f t="shared" si="66"/>
        <v/>
      </c>
      <c r="S392" s="19" t="str">
        <f t="shared" si="67"/>
        <v/>
      </c>
      <c r="T392" s="22" t="str">
        <f t="shared" si="68"/>
        <v/>
      </c>
      <c r="U392" s="19" t="str">
        <f t="shared" si="69"/>
        <v/>
      </c>
      <c r="V392" s="7"/>
      <c r="Y392" s="19" t="str">
        <f>IF('Supplier selection'!AQ392="","",'Supplier selection'!AQ392)</f>
        <v/>
      </c>
      <c r="Z392" s="19" t="str">
        <f>IF('Supplier selection'!AR392="","",'Supplier selection'!AR392)</f>
        <v/>
      </c>
      <c r="AA392" s="19" t="str">
        <f t="shared" si="70"/>
        <v/>
      </c>
      <c r="AD392" s="26" t="str">
        <f>IF(AND('Supplier selection'!X392="",'Supplier selection'!AE392=""),"",IF('Supplier selection'!X392="",'Supplier selection'!AE392,'Supplier selection'!X392))</f>
        <v/>
      </c>
      <c r="AE392" s="19" t="str">
        <f t="shared" si="71"/>
        <v/>
      </c>
      <c r="AF392" s="19" t="str">
        <f t="shared" si="72"/>
        <v/>
      </c>
      <c r="AG392" s="27" t="str">
        <f>IF(AND('Supplier selection'!AB392="",'Supplier selection'!AI392=""),"",IF('Supplier selection'!AB392="",'Supplier selection'!AI392,'Supplier selection'!AB392))</f>
        <v/>
      </c>
      <c r="AH392" s="28" t="str">
        <f t="shared" si="73"/>
        <v/>
      </c>
      <c r="AI392" s="7" t="str">
        <f t="shared" si="74"/>
        <v/>
      </c>
      <c r="AJ392" s="22" t="str">
        <f t="shared" si="75"/>
        <v/>
      </c>
      <c r="AK392" s="29" t="str">
        <f t="shared" si="76"/>
        <v/>
      </c>
      <c r="AL392" s="10"/>
    </row>
    <row r="393" spans="1:38">
      <c r="A393" s="19">
        <f>IF('Supplier selection'!A393="","",'Supplier selection'!A393)</f>
        <v>389</v>
      </c>
      <c r="B393" s="19" t="str">
        <f>IF('Supplier selection'!B393="","",'Supplier selection'!B393)</f>
        <v/>
      </c>
      <c r="C393" s="19" t="str">
        <f>IF('Supplier selection'!C393="","",'Supplier selection'!C393)</f>
        <v/>
      </c>
      <c r="D393" s="19" t="str">
        <f>IF('Supplier selection'!D393="","",'Supplier selection'!D393)</f>
        <v/>
      </c>
      <c r="E393" s="19" t="str">
        <f>IF('Supplier selection'!E393="","",'Supplier selection'!E393)</f>
        <v/>
      </c>
      <c r="F393" s="19" t="str">
        <f>IF('Supplier selection'!F393="","",'Supplier selection'!F393)</f>
        <v/>
      </c>
      <c r="G393" s="19" t="str">
        <f>IF('Supplier selection'!G393="","",'Supplier selection'!G393)</f>
        <v/>
      </c>
      <c r="H393" s="19" t="str">
        <f>IF('Supplier selection'!H393="","",'Supplier selection'!H393)</f>
        <v/>
      </c>
      <c r="I393" s="19" t="str">
        <f>IF('Supplier selection'!I393="","",'Supplier selection'!I393)</f>
        <v/>
      </c>
      <c r="J393" s="19" t="str">
        <f>IF('Supplier selection'!J393="","",'Supplier selection'!J393)</f>
        <v/>
      </c>
      <c r="K393" s="19" t="str">
        <f>IF('Supplier selection'!K393="","",'Supplier selection'!K393)</f>
        <v/>
      </c>
      <c r="L393" s="19" t="str">
        <f>IF('Supplier selection'!L393="","",'Supplier selection'!L393)</f>
        <v/>
      </c>
      <c r="M393" s="19" t="str">
        <f>IF('Supplier selection'!M393="","",'Supplier selection'!M393)</f>
        <v/>
      </c>
      <c r="N393" s="19" t="str">
        <f>IF('Supplier selection'!N393="","",'Supplier selection'!N393)</f>
        <v/>
      </c>
      <c r="O393" s="19" t="str">
        <f>IF('Supplier selection'!O393="","",'Supplier selection'!O393)</f>
        <v/>
      </c>
      <c r="Q393" s="19" t="str">
        <f>HLOOKUP($Q$3,'Supplier selection'!$AW$4:'Supplier selection'!$CT$1000,$A394,FALSE)</f>
        <v/>
      </c>
      <c r="R393" s="22" t="str">
        <f t="shared" si="66"/>
        <v/>
      </c>
      <c r="S393" s="19" t="str">
        <f t="shared" si="67"/>
        <v/>
      </c>
      <c r="T393" s="22" t="str">
        <f t="shared" si="68"/>
        <v/>
      </c>
      <c r="U393" s="19" t="str">
        <f t="shared" si="69"/>
        <v/>
      </c>
      <c r="V393" s="7"/>
      <c r="Y393" s="19" t="str">
        <f>IF('Supplier selection'!AQ393="","",'Supplier selection'!AQ393)</f>
        <v/>
      </c>
      <c r="Z393" s="19" t="str">
        <f>IF('Supplier selection'!AR393="","",'Supplier selection'!AR393)</f>
        <v/>
      </c>
      <c r="AA393" s="19" t="str">
        <f t="shared" si="70"/>
        <v/>
      </c>
      <c r="AD393" s="26" t="str">
        <f>IF(AND('Supplier selection'!X393="",'Supplier selection'!AE393=""),"",IF('Supplier selection'!X393="",'Supplier selection'!AE393,'Supplier selection'!X393))</f>
        <v/>
      </c>
      <c r="AE393" s="19" t="str">
        <f t="shared" si="71"/>
        <v/>
      </c>
      <c r="AF393" s="19" t="str">
        <f t="shared" si="72"/>
        <v/>
      </c>
      <c r="AG393" s="27" t="str">
        <f>IF(AND('Supplier selection'!AB393="",'Supplier selection'!AI393=""),"",IF('Supplier selection'!AB393="",'Supplier selection'!AI393,'Supplier selection'!AB393))</f>
        <v/>
      </c>
      <c r="AH393" s="28" t="str">
        <f t="shared" si="73"/>
        <v/>
      </c>
      <c r="AI393" s="7" t="str">
        <f t="shared" si="74"/>
        <v/>
      </c>
      <c r="AJ393" s="22" t="str">
        <f t="shared" si="75"/>
        <v/>
      </c>
      <c r="AK393" s="29" t="str">
        <f t="shared" si="76"/>
        <v/>
      </c>
      <c r="AL393" s="10"/>
    </row>
    <row r="394" spans="1:38">
      <c r="A394" s="19">
        <f>IF('Supplier selection'!A394="","",'Supplier selection'!A394)</f>
        <v>390</v>
      </c>
      <c r="B394" s="19" t="str">
        <f>IF('Supplier selection'!B394="","",'Supplier selection'!B394)</f>
        <v/>
      </c>
      <c r="C394" s="19" t="str">
        <f>IF('Supplier selection'!C394="","",'Supplier selection'!C394)</f>
        <v/>
      </c>
      <c r="D394" s="19" t="str">
        <f>IF('Supplier selection'!D394="","",'Supplier selection'!D394)</f>
        <v/>
      </c>
      <c r="E394" s="19" t="str">
        <f>IF('Supplier selection'!E394="","",'Supplier selection'!E394)</f>
        <v/>
      </c>
      <c r="F394" s="19" t="str">
        <f>IF('Supplier selection'!F394="","",'Supplier selection'!F394)</f>
        <v/>
      </c>
      <c r="G394" s="19" t="str">
        <f>IF('Supplier selection'!G394="","",'Supplier selection'!G394)</f>
        <v/>
      </c>
      <c r="H394" s="19" t="str">
        <f>IF('Supplier selection'!H394="","",'Supplier selection'!H394)</f>
        <v/>
      </c>
      <c r="I394" s="19" t="str">
        <f>IF('Supplier selection'!I394="","",'Supplier selection'!I394)</f>
        <v/>
      </c>
      <c r="J394" s="19" t="str">
        <f>IF('Supplier selection'!J394="","",'Supplier selection'!J394)</f>
        <v/>
      </c>
      <c r="K394" s="19" t="str">
        <f>IF('Supplier selection'!K394="","",'Supplier selection'!K394)</f>
        <v/>
      </c>
      <c r="L394" s="19" t="str">
        <f>IF('Supplier selection'!L394="","",'Supplier selection'!L394)</f>
        <v/>
      </c>
      <c r="M394" s="19" t="str">
        <f>IF('Supplier selection'!M394="","",'Supplier selection'!M394)</f>
        <v/>
      </c>
      <c r="N394" s="19" t="str">
        <f>IF('Supplier selection'!N394="","",'Supplier selection'!N394)</f>
        <v/>
      </c>
      <c r="O394" s="19" t="str">
        <f>IF('Supplier selection'!O394="","",'Supplier selection'!O394)</f>
        <v/>
      </c>
      <c r="Q394" s="19" t="str">
        <f>HLOOKUP($Q$3,'Supplier selection'!$AW$4:'Supplier selection'!$CT$1000,$A395,FALSE)</f>
        <v/>
      </c>
      <c r="R394" s="22" t="str">
        <f t="shared" si="66"/>
        <v/>
      </c>
      <c r="S394" s="19" t="str">
        <f t="shared" si="67"/>
        <v/>
      </c>
      <c r="T394" s="22" t="str">
        <f t="shared" si="68"/>
        <v/>
      </c>
      <c r="U394" s="19" t="str">
        <f t="shared" si="69"/>
        <v/>
      </c>
      <c r="V394" s="7"/>
      <c r="Y394" s="19" t="str">
        <f>IF('Supplier selection'!AQ394="","",'Supplier selection'!AQ394)</f>
        <v/>
      </c>
      <c r="Z394" s="19" t="str">
        <f>IF('Supplier selection'!AR394="","",'Supplier selection'!AR394)</f>
        <v/>
      </c>
      <c r="AA394" s="19" t="str">
        <f t="shared" si="70"/>
        <v/>
      </c>
      <c r="AD394" s="26" t="str">
        <f>IF(AND('Supplier selection'!X394="",'Supplier selection'!AE394=""),"",IF('Supplier selection'!X394="",'Supplier selection'!AE394,'Supplier selection'!X394))</f>
        <v/>
      </c>
      <c r="AE394" s="19" t="str">
        <f t="shared" si="71"/>
        <v/>
      </c>
      <c r="AF394" s="19" t="str">
        <f t="shared" si="72"/>
        <v/>
      </c>
      <c r="AG394" s="27" t="str">
        <f>IF(AND('Supplier selection'!AB394="",'Supplier selection'!AI394=""),"",IF('Supplier selection'!AB394="",'Supplier selection'!AI394,'Supplier selection'!AB394))</f>
        <v/>
      </c>
      <c r="AH394" s="28" t="str">
        <f t="shared" si="73"/>
        <v/>
      </c>
      <c r="AI394" s="7" t="str">
        <f t="shared" si="74"/>
        <v/>
      </c>
      <c r="AJ394" s="22" t="str">
        <f t="shared" si="75"/>
        <v/>
      </c>
      <c r="AK394" s="29" t="str">
        <f t="shared" si="76"/>
        <v/>
      </c>
      <c r="AL394" s="10"/>
    </row>
    <row r="395" spans="1:38">
      <c r="A395" s="19">
        <f>IF('Supplier selection'!A395="","",'Supplier selection'!A395)</f>
        <v>391</v>
      </c>
      <c r="B395" s="19" t="str">
        <f>IF('Supplier selection'!B395="","",'Supplier selection'!B395)</f>
        <v/>
      </c>
      <c r="C395" s="19" t="str">
        <f>IF('Supplier selection'!C395="","",'Supplier selection'!C395)</f>
        <v/>
      </c>
      <c r="D395" s="19" t="str">
        <f>IF('Supplier selection'!D395="","",'Supplier selection'!D395)</f>
        <v/>
      </c>
      <c r="E395" s="19" t="str">
        <f>IF('Supplier selection'!E395="","",'Supplier selection'!E395)</f>
        <v/>
      </c>
      <c r="F395" s="19" t="str">
        <f>IF('Supplier selection'!F395="","",'Supplier selection'!F395)</f>
        <v/>
      </c>
      <c r="G395" s="19" t="str">
        <f>IF('Supplier selection'!G395="","",'Supplier selection'!G395)</f>
        <v/>
      </c>
      <c r="H395" s="19" t="str">
        <f>IF('Supplier selection'!H395="","",'Supplier selection'!H395)</f>
        <v/>
      </c>
      <c r="I395" s="19" t="str">
        <f>IF('Supplier selection'!I395="","",'Supplier selection'!I395)</f>
        <v/>
      </c>
      <c r="J395" s="19" t="str">
        <f>IF('Supplier selection'!J395="","",'Supplier selection'!J395)</f>
        <v/>
      </c>
      <c r="K395" s="19" t="str">
        <f>IF('Supplier selection'!K395="","",'Supplier selection'!K395)</f>
        <v/>
      </c>
      <c r="L395" s="19" t="str">
        <f>IF('Supplier selection'!L395="","",'Supplier selection'!L395)</f>
        <v/>
      </c>
      <c r="M395" s="19" t="str">
        <f>IF('Supplier selection'!M395="","",'Supplier selection'!M395)</f>
        <v/>
      </c>
      <c r="N395" s="19" t="str">
        <f>IF('Supplier selection'!N395="","",'Supplier selection'!N395)</f>
        <v/>
      </c>
      <c r="O395" s="19" t="str">
        <f>IF('Supplier selection'!O395="","",'Supplier selection'!O395)</f>
        <v/>
      </c>
      <c r="Q395" s="19" t="str">
        <f>HLOOKUP($Q$3,'Supplier selection'!$AW$4:'Supplier selection'!$CT$1000,$A396,FALSE)</f>
        <v/>
      </c>
      <c r="R395" s="22" t="str">
        <f t="shared" si="66"/>
        <v/>
      </c>
      <c r="S395" s="19" t="str">
        <f t="shared" si="67"/>
        <v/>
      </c>
      <c r="T395" s="22" t="str">
        <f t="shared" si="68"/>
        <v/>
      </c>
      <c r="U395" s="19" t="str">
        <f t="shared" si="69"/>
        <v/>
      </c>
      <c r="V395" s="7"/>
      <c r="Y395" s="19" t="str">
        <f>IF('Supplier selection'!AQ395="","",'Supplier selection'!AQ395)</f>
        <v/>
      </c>
      <c r="Z395" s="19" t="str">
        <f>IF('Supplier selection'!AR395="","",'Supplier selection'!AR395)</f>
        <v/>
      </c>
      <c r="AA395" s="19" t="str">
        <f t="shared" si="70"/>
        <v/>
      </c>
      <c r="AD395" s="26" t="str">
        <f>IF(AND('Supplier selection'!X395="",'Supplier selection'!AE395=""),"",IF('Supplier selection'!X395="",'Supplier selection'!AE395,'Supplier selection'!X395))</f>
        <v/>
      </c>
      <c r="AE395" s="19" t="str">
        <f t="shared" si="71"/>
        <v/>
      </c>
      <c r="AF395" s="19" t="str">
        <f t="shared" si="72"/>
        <v/>
      </c>
      <c r="AG395" s="27" t="str">
        <f>IF(AND('Supplier selection'!AB395="",'Supplier selection'!AI395=""),"",IF('Supplier selection'!AB395="",'Supplier selection'!AI395,'Supplier selection'!AB395))</f>
        <v/>
      </c>
      <c r="AH395" s="28" t="str">
        <f t="shared" si="73"/>
        <v/>
      </c>
      <c r="AI395" s="7" t="str">
        <f t="shared" si="74"/>
        <v/>
      </c>
      <c r="AJ395" s="22" t="str">
        <f t="shared" si="75"/>
        <v/>
      </c>
      <c r="AK395" s="29" t="str">
        <f t="shared" si="76"/>
        <v/>
      </c>
      <c r="AL395" s="10"/>
    </row>
    <row r="396" spans="1:38">
      <c r="A396" s="19">
        <f>IF('Supplier selection'!A396="","",'Supplier selection'!A396)</f>
        <v>392</v>
      </c>
      <c r="B396" s="19" t="str">
        <f>IF('Supplier selection'!B396="","",'Supplier selection'!B396)</f>
        <v/>
      </c>
      <c r="C396" s="19" t="str">
        <f>IF('Supplier selection'!C396="","",'Supplier selection'!C396)</f>
        <v/>
      </c>
      <c r="D396" s="19" t="str">
        <f>IF('Supplier selection'!D396="","",'Supplier selection'!D396)</f>
        <v/>
      </c>
      <c r="E396" s="19" t="str">
        <f>IF('Supplier selection'!E396="","",'Supplier selection'!E396)</f>
        <v/>
      </c>
      <c r="F396" s="19" t="str">
        <f>IF('Supplier selection'!F396="","",'Supplier selection'!F396)</f>
        <v/>
      </c>
      <c r="G396" s="19" t="str">
        <f>IF('Supplier selection'!G396="","",'Supplier selection'!G396)</f>
        <v/>
      </c>
      <c r="H396" s="19" t="str">
        <f>IF('Supplier selection'!H396="","",'Supplier selection'!H396)</f>
        <v/>
      </c>
      <c r="I396" s="19" t="str">
        <f>IF('Supplier selection'!I396="","",'Supplier selection'!I396)</f>
        <v/>
      </c>
      <c r="J396" s="19" t="str">
        <f>IF('Supplier selection'!J396="","",'Supplier selection'!J396)</f>
        <v/>
      </c>
      <c r="K396" s="19" t="str">
        <f>IF('Supplier selection'!K396="","",'Supplier selection'!K396)</f>
        <v/>
      </c>
      <c r="L396" s="19" t="str">
        <f>IF('Supplier selection'!L396="","",'Supplier selection'!L396)</f>
        <v/>
      </c>
      <c r="M396" s="19" t="str">
        <f>IF('Supplier selection'!M396="","",'Supplier selection'!M396)</f>
        <v/>
      </c>
      <c r="N396" s="19" t="str">
        <f>IF('Supplier selection'!N396="","",'Supplier selection'!N396)</f>
        <v/>
      </c>
      <c r="O396" s="19" t="str">
        <f>IF('Supplier selection'!O396="","",'Supplier selection'!O396)</f>
        <v/>
      </c>
      <c r="Q396" s="19" t="str">
        <f>HLOOKUP($Q$3,'Supplier selection'!$AW$4:'Supplier selection'!$CT$1000,$A397,FALSE)</f>
        <v/>
      </c>
      <c r="R396" s="22" t="str">
        <f t="shared" si="66"/>
        <v/>
      </c>
      <c r="S396" s="19" t="str">
        <f t="shared" si="67"/>
        <v/>
      </c>
      <c r="T396" s="22" t="str">
        <f t="shared" si="68"/>
        <v/>
      </c>
      <c r="U396" s="19" t="str">
        <f t="shared" si="69"/>
        <v/>
      </c>
      <c r="V396" s="7"/>
      <c r="Y396" s="19" t="str">
        <f>IF('Supplier selection'!AQ396="","",'Supplier selection'!AQ396)</f>
        <v/>
      </c>
      <c r="Z396" s="19" t="str">
        <f>IF('Supplier selection'!AR396="","",'Supplier selection'!AR396)</f>
        <v/>
      </c>
      <c r="AA396" s="19" t="str">
        <f t="shared" si="70"/>
        <v/>
      </c>
      <c r="AD396" s="26" t="str">
        <f>IF(AND('Supplier selection'!X396="",'Supplier selection'!AE396=""),"",IF('Supplier selection'!X396="",'Supplier selection'!AE396,'Supplier selection'!X396))</f>
        <v/>
      </c>
      <c r="AE396" s="19" t="str">
        <f t="shared" si="71"/>
        <v/>
      </c>
      <c r="AF396" s="19" t="str">
        <f t="shared" si="72"/>
        <v/>
      </c>
      <c r="AG396" s="27" t="str">
        <f>IF(AND('Supplier selection'!AB396="",'Supplier selection'!AI396=""),"",IF('Supplier selection'!AB396="",'Supplier selection'!AI396,'Supplier selection'!AB396))</f>
        <v/>
      </c>
      <c r="AH396" s="28" t="str">
        <f t="shared" si="73"/>
        <v/>
      </c>
      <c r="AI396" s="7" t="str">
        <f t="shared" si="74"/>
        <v/>
      </c>
      <c r="AJ396" s="22" t="str">
        <f t="shared" si="75"/>
        <v/>
      </c>
      <c r="AK396" s="29" t="str">
        <f t="shared" si="76"/>
        <v/>
      </c>
      <c r="AL396" s="10"/>
    </row>
    <row r="397" spans="1:38">
      <c r="A397" s="19">
        <f>IF('Supplier selection'!A397="","",'Supplier selection'!A397)</f>
        <v>393</v>
      </c>
      <c r="B397" s="19" t="str">
        <f>IF('Supplier selection'!B397="","",'Supplier selection'!B397)</f>
        <v/>
      </c>
      <c r="C397" s="19" t="str">
        <f>IF('Supplier selection'!C397="","",'Supplier selection'!C397)</f>
        <v/>
      </c>
      <c r="D397" s="19" t="str">
        <f>IF('Supplier selection'!D397="","",'Supplier selection'!D397)</f>
        <v/>
      </c>
      <c r="E397" s="19" t="str">
        <f>IF('Supplier selection'!E397="","",'Supplier selection'!E397)</f>
        <v/>
      </c>
      <c r="F397" s="19" t="str">
        <f>IF('Supplier selection'!F397="","",'Supplier selection'!F397)</f>
        <v/>
      </c>
      <c r="G397" s="19" t="str">
        <f>IF('Supplier selection'!G397="","",'Supplier selection'!G397)</f>
        <v/>
      </c>
      <c r="H397" s="19" t="str">
        <f>IF('Supplier selection'!H397="","",'Supplier selection'!H397)</f>
        <v/>
      </c>
      <c r="I397" s="19" t="str">
        <f>IF('Supplier selection'!I397="","",'Supplier selection'!I397)</f>
        <v/>
      </c>
      <c r="J397" s="19" t="str">
        <f>IF('Supplier selection'!J397="","",'Supplier selection'!J397)</f>
        <v/>
      </c>
      <c r="K397" s="19" t="str">
        <f>IF('Supplier selection'!K397="","",'Supplier selection'!K397)</f>
        <v/>
      </c>
      <c r="L397" s="19" t="str">
        <f>IF('Supplier selection'!L397="","",'Supplier selection'!L397)</f>
        <v/>
      </c>
      <c r="M397" s="19" t="str">
        <f>IF('Supplier selection'!M397="","",'Supplier selection'!M397)</f>
        <v/>
      </c>
      <c r="N397" s="19" t="str">
        <f>IF('Supplier selection'!N397="","",'Supplier selection'!N397)</f>
        <v/>
      </c>
      <c r="O397" s="19" t="str">
        <f>IF('Supplier selection'!O397="","",'Supplier selection'!O397)</f>
        <v/>
      </c>
      <c r="Q397" s="19" t="str">
        <f>HLOOKUP($Q$3,'Supplier selection'!$AW$4:'Supplier selection'!$CT$1000,$A398,FALSE)</f>
        <v/>
      </c>
      <c r="R397" s="22" t="str">
        <f t="shared" si="66"/>
        <v/>
      </c>
      <c r="S397" s="19" t="str">
        <f t="shared" si="67"/>
        <v/>
      </c>
      <c r="T397" s="22" t="str">
        <f t="shared" si="68"/>
        <v/>
      </c>
      <c r="U397" s="19" t="str">
        <f t="shared" si="69"/>
        <v/>
      </c>
      <c r="V397" s="7"/>
      <c r="Y397" s="19" t="str">
        <f>IF('Supplier selection'!AQ397="","",'Supplier selection'!AQ397)</f>
        <v/>
      </c>
      <c r="Z397" s="19" t="str">
        <f>IF('Supplier selection'!AR397="","",'Supplier selection'!AR397)</f>
        <v/>
      </c>
      <c r="AA397" s="19" t="str">
        <f t="shared" si="70"/>
        <v/>
      </c>
      <c r="AD397" s="26" t="str">
        <f>IF(AND('Supplier selection'!X397="",'Supplier selection'!AE397=""),"",IF('Supplier selection'!X397="",'Supplier selection'!AE397,'Supplier selection'!X397))</f>
        <v/>
      </c>
      <c r="AE397" s="19" t="str">
        <f t="shared" si="71"/>
        <v/>
      </c>
      <c r="AF397" s="19" t="str">
        <f t="shared" si="72"/>
        <v/>
      </c>
      <c r="AG397" s="27" t="str">
        <f>IF(AND('Supplier selection'!AB397="",'Supplier selection'!AI397=""),"",IF('Supplier selection'!AB397="",'Supplier selection'!AI397,'Supplier selection'!AB397))</f>
        <v/>
      </c>
      <c r="AH397" s="28" t="str">
        <f t="shared" si="73"/>
        <v/>
      </c>
      <c r="AI397" s="7" t="str">
        <f t="shared" si="74"/>
        <v/>
      </c>
      <c r="AJ397" s="22" t="str">
        <f t="shared" si="75"/>
        <v/>
      </c>
      <c r="AK397" s="29" t="str">
        <f t="shared" si="76"/>
        <v/>
      </c>
      <c r="AL397" s="10"/>
    </row>
    <row r="398" spans="1:38">
      <c r="A398" s="19">
        <f>IF('Supplier selection'!A398="","",'Supplier selection'!A398)</f>
        <v>394</v>
      </c>
      <c r="B398" s="19" t="str">
        <f>IF('Supplier selection'!B398="","",'Supplier selection'!B398)</f>
        <v/>
      </c>
      <c r="C398" s="19" t="str">
        <f>IF('Supplier selection'!C398="","",'Supplier selection'!C398)</f>
        <v/>
      </c>
      <c r="D398" s="19" t="str">
        <f>IF('Supplier selection'!D398="","",'Supplier selection'!D398)</f>
        <v/>
      </c>
      <c r="E398" s="19" t="str">
        <f>IF('Supplier selection'!E398="","",'Supplier selection'!E398)</f>
        <v/>
      </c>
      <c r="F398" s="19" t="str">
        <f>IF('Supplier selection'!F398="","",'Supplier selection'!F398)</f>
        <v/>
      </c>
      <c r="G398" s="19" t="str">
        <f>IF('Supplier selection'!G398="","",'Supplier selection'!G398)</f>
        <v/>
      </c>
      <c r="H398" s="19" t="str">
        <f>IF('Supplier selection'!H398="","",'Supplier selection'!H398)</f>
        <v/>
      </c>
      <c r="I398" s="19" t="str">
        <f>IF('Supplier selection'!I398="","",'Supplier selection'!I398)</f>
        <v/>
      </c>
      <c r="J398" s="19" t="str">
        <f>IF('Supplier selection'!J398="","",'Supplier selection'!J398)</f>
        <v/>
      </c>
      <c r="K398" s="19" t="str">
        <f>IF('Supplier selection'!K398="","",'Supplier selection'!K398)</f>
        <v/>
      </c>
      <c r="L398" s="19" t="str">
        <f>IF('Supplier selection'!L398="","",'Supplier selection'!L398)</f>
        <v/>
      </c>
      <c r="M398" s="19" t="str">
        <f>IF('Supplier selection'!M398="","",'Supplier selection'!M398)</f>
        <v/>
      </c>
      <c r="N398" s="19" t="str">
        <f>IF('Supplier selection'!N398="","",'Supplier selection'!N398)</f>
        <v/>
      </c>
      <c r="O398" s="19" t="str">
        <f>IF('Supplier selection'!O398="","",'Supplier selection'!O398)</f>
        <v/>
      </c>
      <c r="Q398" s="19" t="str">
        <f>HLOOKUP($Q$3,'Supplier selection'!$AW$4:'Supplier selection'!$CT$1000,$A399,FALSE)</f>
        <v/>
      </c>
      <c r="R398" s="22" t="str">
        <f t="shared" si="66"/>
        <v/>
      </c>
      <c r="S398" s="19" t="str">
        <f t="shared" si="67"/>
        <v/>
      </c>
      <c r="T398" s="22" t="str">
        <f t="shared" si="68"/>
        <v/>
      </c>
      <c r="U398" s="19" t="str">
        <f t="shared" si="69"/>
        <v/>
      </c>
      <c r="V398" s="7"/>
      <c r="Y398" s="19" t="str">
        <f>IF('Supplier selection'!AQ398="","",'Supplier selection'!AQ398)</f>
        <v/>
      </c>
      <c r="Z398" s="19" t="str">
        <f>IF('Supplier selection'!AR398="","",'Supplier selection'!AR398)</f>
        <v/>
      </c>
      <c r="AA398" s="19" t="str">
        <f t="shared" si="70"/>
        <v/>
      </c>
      <c r="AD398" s="26" t="str">
        <f>IF(AND('Supplier selection'!X398="",'Supplier selection'!AE398=""),"",IF('Supplier selection'!X398="",'Supplier selection'!AE398,'Supplier selection'!X398))</f>
        <v/>
      </c>
      <c r="AE398" s="19" t="str">
        <f t="shared" si="71"/>
        <v/>
      </c>
      <c r="AF398" s="19" t="str">
        <f t="shared" si="72"/>
        <v/>
      </c>
      <c r="AG398" s="27" t="str">
        <f>IF(AND('Supplier selection'!AB398="",'Supplier selection'!AI398=""),"",IF('Supplier selection'!AB398="",'Supplier selection'!AI398,'Supplier selection'!AB398))</f>
        <v/>
      </c>
      <c r="AH398" s="28" t="str">
        <f t="shared" si="73"/>
        <v/>
      </c>
      <c r="AI398" s="7" t="str">
        <f t="shared" si="74"/>
        <v/>
      </c>
      <c r="AJ398" s="22" t="str">
        <f t="shared" si="75"/>
        <v/>
      </c>
      <c r="AK398" s="29" t="str">
        <f t="shared" si="76"/>
        <v/>
      </c>
      <c r="AL398" s="10"/>
    </row>
    <row r="399" spans="1:38">
      <c r="A399" s="19">
        <f>IF('Supplier selection'!A399="","",'Supplier selection'!A399)</f>
        <v>395</v>
      </c>
      <c r="B399" s="19" t="str">
        <f>IF('Supplier selection'!B399="","",'Supplier selection'!B399)</f>
        <v/>
      </c>
      <c r="C399" s="19" t="str">
        <f>IF('Supplier selection'!C399="","",'Supplier selection'!C399)</f>
        <v/>
      </c>
      <c r="D399" s="19" t="str">
        <f>IF('Supplier selection'!D399="","",'Supplier selection'!D399)</f>
        <v/>
      </c>
      <c r="E399" s="19" t="str">
        <f>IF('Supplier selection'!E399="","",'Supplier selection'!E399)</f>
        <v/>
      </c>
      <c r="F399" s="19" t="str">
        <f>IF('Supplier selection'!F399="","",'Supplier selection'!F399)</f>
        <v/>
      </c>
      <c r="G399" s="19" t="str">
        <f>IF('Supplier selection'!G399="","",'Supplier selection'!G399)</f>
        <v/>
      </c>
      <c r="H399" s="19" t="str">
        <f>IF('Supplier selection'!H399="","",'Supplier selection'!H399)</f>
        <v/>
      </c>
      <c r="I399" s="19" t="str">
        <f>IF('Supplier selection'!I399="","",'Supplier selection'!I399)</f>
        <v/>
      </c>
      <c r="J399" s="19" t="str">
        <f>IF('Supplier selection'!J399="","",'Supplier selection'!J399)</f>
        <v/>
      </c>
      <c r="K399" s="19" t="str">
        <f>IF('Supplier selection'!K399="","",'Supplier selection'!K399)</f>
        <v/>
      </c>
      <c r="L399" s="19" t="str">
        <f>IF('Supplier selection'!L399="","",'Supplier selection'!L399)</f>
        <v/>
      </c>
      <c r="M399" s="19" t="str">
        <f>IF('Supplier selection'!M399="","",'Supplier selection'!M399)</f>
        <v/>
      </c>
      <c r="N399" s="19" t="str">
        <f>IF('Supplier selection'!N399="","",'Supplier selection'!N399)</f>
        <v/>
      </c>
      <c r="O399" s="19" t="str">
        <f>IF('Supplier selection'!O399="","",'Supplier selection'!O399)</f>
        <v/>
      </c>
      <c r="Q399" s="19" t="str">
        <f>HLOOKUP($Q$3,'Supplier selection'!$AW$4:'Supplier selection'!$CT$1000,$A400,FALSE)</f>
        <v/>
      </c>
      <c r="R399" s="22" t="str">
        <f t="shared" si="66"/>
        <v/>
      </c>
      <c r="S399" s="19" t="str">
        <f t="shared" si="67"/>
        <v/>
      </c>
      <c r="T399" s="22" t="str">
        <f t="shared" si="68"/>
        <v/>
      </c>
      <c r="U399" s="19" t="str">
        <f t="shared" si="69"/>
        <v/>
      </c>
      <c r="V399" s="7"/>
      <c r="Y399" s="19" t="str">
        <f>IF('Supplier selection'!AQ399="","",'Supplier selection'!AQ399)</f>
        <v/>
      </c>
      <c r="Z399" s="19" t="str">
        <f>IF('Supplier selection'!AR399="","",'Supplier selection'!AR399)</f>
        <v/>
      </c>
      <c r="AA399" s="19" t="str">
        <f t="shared" si="70"/>
        <v/>
      </c>
      <c r="AD399" s="26" t="str">
        <f>IF(AND('Supplier selection'!X399="",'Supplier selection'!AE399=""),"",IF('Supplier selection'!X399="",'Supplier selection'!AE399,'Supplier selection'!X399))</f>
        <v/>
      </c>
      <c r="AE399" s="19" t="str">
        <f t="shared" si="71"/>
        <v/>
      </c>
      <c r="AF399" s="19" t="str">
        <f t="shared" si="72"/>
        <v/>
      </c>
      <c r="AG399" s="27" t="str">
        <f>IF(AND('Supplier selection'!AB399="",'Supplier selection'!AI399=""),"",IF('Supplier selection'!AB399="",'Supplier selection'!AI399,'Supplier selection'!AB399))</f>
        <v/>
      </c>
      <c r="AH399" s="28" t="str">
        <f t="shared" si="73"/>
        <v/>
      </c>
      <c r="AI399" s="7" t="str">
        <f t="shared" si="74"/>
        <v/>
      </c>
      <c r="AJ399" s="22" t="str">
        <f t="shared" si="75"/>
        <v/>
      </c>
      <c r="AK399" s="29" t="str">
        <f t="shared" si="76"/>
        <v/>
      </c>
      <c r="AL399" s="10"/>
    </row>
    <row r="400" spans="1:38">
      <c r="A400" s="19">
        <f>IF('Supplier selection'!A400="","",'Supplier selection'!A400)</f>
        <v>396</v>
      </c>
      <c r="B400" s="19" t="str">
        <f>IF('Supplier selection'!B400="","",'Supplier selection'!B400)</f>
        <v/>
      </c>
      <c r="C400" s="19" t="str">
        <f>IF('Supplier selection'!C400="","",'Supplier selection'!C400)</f>
        <v/>
      </c>
      <c r="D400" s="19" t="str">
        <f>IF('Supplier selection'!D400="","",'Supplier selection'!D400)</f>
        <v/>
      </c>
      <c r="E400" s="19" t="str">
        <f>IF('Supplier selection'!E400="","",'Supplier selection'!E400)</f>
        <v/>
      </c>
      <c r="F400" s="19" t="str">
        <f>IF('Supplier selection'!F400="","",'Supplier selection'!F400)</f>
        <v/>
      </c>
      <c r="G400" s="19" t="str">
        <f>IF('Supplier selection'!G400="","",'Supplier selection'!G400)</f>
        <v/>
      </c>
      <c r="H400" s="19" t="str">
        <f>IF('Supplier selection'!H400="","",'Supplier selection'!H400)</f>
        <v/>
      </c>
      <c r="I400" s="19" t="str">
        <f>IF('Supplier selection'!I400="","",'Supplier selection'!I400)</f>
        <v/>
      </c>
      <c r="J400" s="19" t="str">
        <f>IF('Supplier selection'!J400="","",'Supplier selection'!J400)</f>
        <v/>
      </c>
      <c r="K400" s="19" t="str">
        <f>IF('Supplier selection'!K400="","",'Supplier selection'!K400)</f>
        <v/>
      </c>
      <c r="L400" s="19" t="str">
        <f>IF('Supplier selection'!L400="","",'Supplier selection'!L400)</f>
        <v/>
      </c>
      <c r="M400" s="19" t="str">
        <f>IF('Supplier selection'!M400="","",'Supplier selection'!M400)</f>
        <v/>
      </c>
      <c r="N400" s="19" t="str">
        <f>IF('Supplier selection'!N400="","",'Supplier selection'!N400)</f>
        <v/>
      </c>
      <c r="O400" s="19" t="str">
        <f>IF('Supplier selection'!O400="","",'Supplier selection'!O400)</f>
        <v/>
      </c>
      <c r="Q400" s="19" t="str">
        <f>HLOOKUP($Q$3,'Supplier selection'!$AW$4:'Supplier selection'!$CT$1000,$A401,FALSE)</f>
        <v/>
      </c>
      <c r="R400" s="22" t="str">
        <f t="shared" si="66"/>
        <v/>
      </c>
      <c r="S400" s="19" t="str">
        <f t="shared" si="67"/>
        <v/>
      </c>
      <c r="T400" s="22" t="str">
        <f t="shared" si="68"/>
        <v/>
      </c>
      <c r="U400" s="19" t="str">
        <f t="shared" si="69"/>
        <v/>
      </c>
      <c r="V400" s="7"/>
      <c r="Y400" s="19" t="str">
        <f>IF('Supplier selection'!AQ400="","",'Supplier selection'!AQ400)</f>
        <v/>
      </c>
      <c r="Z400" s="19" t="str">
        <f>IF('Supplier selection'!AR400="","",'Supplier selection'!AR400)</f>
        <v/>
      </c>
      <c r="AA400" s="19" t="str">
        <f t="shared" si="70"/>
        <v/>
      </c>
      <c r="AD400" s="26" t="str">
        <f>IF(AND('Supplier selection'!X400="",'Supplier selection'!AE400=""),"",IF('Supplier selection'!X400="",'Supplier selection'!AE400,'Supplier selection'!X400))</f>
        <v/>
      </c>
      <c r="AE400" s="19" t="str">
        <f t="shared" si="71"/>
        <v/>
      </c>
      <c r="AF400" s="19" t="str">
        <f t="shared" si="72"/>
        <v/>
      </c>
      <c r="AG400" s="27" t="str">
        <f>IF(AND('Supplier selection'!AB400="",'Supplier selection'!AI400=""),"",IF('Supplier selection'!AB400="",'Supplier selection'!AI400,'Supplier selection'!AB400))</f>
        <v/>
      </c>
      <c r="AH400" s="28" t="str">
        <f t="shared" si="73"/>
        <v/>
      </c>
      <c r="AI400" s="7" t="str">
        <f t="shared" si="74"/>
        <v/>
      </c>
      <c r="AJ400" s="22" t="str">
        <f t="shared" si="75"/>
        <v/>
      </c>
      <c r="AK400" s="29" t="str">
        <f t="shared" si="76"/>
        <v/>
      </c>
      <c r="AL400" s="10"/>
    </row>
    <row r="401" spans="1:38">
      <c r="A401" s="19">
        <f>IF('Supplier selection'!A401="","",'Supplier selection'!A401)</f>
        <v>397</v>
      </c>
      <c r="B401" s="19" t="str">
        <f>IF('Supplier selection'!B401="","",'Supplier selection'!B401)</f>
        <v/>
      </c>
      <c r="C401" s="19" t="str">
        <f>IF('Supplier selection'!C401="","",'Supplier selection'!C401)</f>
        <v/>
      </c>
      <c r="D401" s="19" t="str">
        <f>IF('Supplier selection'!D401="","",'Supplier selection'!D401)</f>
        <v/>
      </c>
      <c r="E401" s="19" t="str">
        <f>IF('Supplier selection'!E401="","",'Supplier selection'!E401)</f>
        <v/>
      </c>
      <c r="F401" s="19" t="str">
        <f>IF('Supplier selection'!F401="","",'Supplier selection'!F401)</f>
        <v/>
      </c>
      <c r="G401" s="19" t="str">
        <f>IF('Supplier selection'!G401="","",'Supplier selection'!G401)</f>
        <v/>
      </c>
      <c r="H401" s="19" t="str">
        <f>IF('Supplier selection'!H401="","",'Supplier selection'!H401)</f>
        <v/>
      </c>
      <c r="I401" s="19" t="str">
        <f>IF('Supplier selection'!I401="","",'Supplier selection'!I401)</f>
        <v/>
      </c>
      <c r="J401" s="19" t="str">
        <f>IF('Supplier selection'!J401="","",'Supplier selection'!J401)</f>
        <v/>
      </c>
      <c r="K401" s="19" t="str">
        <f>IF('Supplier selection'!K401="","",'Supplier selection'!K401)</f>
        <v/>
      </c>
      <c r="L401" s="19" t="str">
        <f>IF('Supplier selection'!L401="","",'Supplier selection'!L401)</f>
        <v/>
      </c>
      <c r="M401" s="19" t="str">
        <f>IF('Supplier selection'!M401="","",'Supplier selection'!M401)</f>
        <v/>
      </c>
      <c r="N401" s="19" t="str">
        <f>IF('Supplier selection'!N401="","",'Supplier selection'!N401)</f>
        <v/>
      </c>
      <c r="O401" s="19" t="str">
        <f>IF('Supplier selection'!O401="","",'Supplier selection'!O401)</f>
        <v/>
      </c>
      <c r="Q401" s="19" t="str">
        <f>HLOOKUP($Q$3,'Supplier selection'!$AW$4:'Supplier selection'!$CT$1000,$A402,FALSE)</f>
        <v/>
      </c>
      <c r="R401" s="22" t="str">
        <f t="shared" si="66"/>
        <v/>
      </c>
      <c r="S401" s="19" t="str">
        <f t="shared" si="67"/>
        <v/>
      </c>
      <c r="T401" s="22" t="str">
        <f t="shared" si="68"/>
        <v/>
      </c>
      <c r="U401" s="19" t="str">
        <f t="shared" si="69"/>
        <v/>
      </c>
      <c r="V401" s="7"/>
      <c r="Y401" s="19" t="str">
        <f>IF('Supplier selection'!AQ401="","",'Supplier selection'!AQ401)</f>
        <v/>
      </c>
      <c r="Z401" s="19" t="str">
        <f>IF('Supplier selection'!AR401="","",'Supplier selection'!AR401)</f>
        <v/>
      </c>
      <c r="AA401" s="19" t="str">
        <f t="shared" si="70"/>
        <v/>
      </c>
      <c r="AD401" s="26" t="str">
        <f>IF(AND('Supplier selection'!X401="",'Supplier selection'!AE401=""),"",IF('Supplier selection'!X401="",'Supplier selection'!AE401,'Supplier selection'!X401))</f>
        <v/>
      </c>
      <c r="AE401" s="19" t="str">
        <f t="shared" si="71"/>
        <v/>
      </c>
      <c r="AF401" s="19" t="str">
        <f t="shared" si="72"/>
        <v/>
      </c>
      <c r="AG401" s="27" t="str">
        <f>IF(AND('Supplier selection'!AB401="",'Supplier selection'!AI401=""),"",IF('Supplier selection'!AB401="",'Supplier selection'!AI401,'Supplier selection'!AB401))</f>
        <v/>
      </c>
      <c r="AH401" s="28" t="str">
        <f t="shared" si="73"/>
        <v/>
      </c>
      <c r="AI401" s="7" t="str">
        <f t="shared" si="74"/>
        <v/>
      </c>
      <c r="AJ401" s="22" t="str">
        <f t="shared" si="75"/>
        <v/>
      </c>
      <c r="AK401" s="29" t="str">
        <f t="shared" si="76"/>
        <v/>
      </c>
      <c r="AL401" s="10"/>
    </row>
    <row r="402" spans="1:38">
      <c r="A402" s="19">
        <f>IF('Supplier selection'!A402="","",'Supplier selection'!A402)</f>
        <v>398</v>
      </c>
      <c r="B402" s="19" t="str">
        <f>IF('Supplier selection'!B402="","",'Supplier selection'!B402)</f>
        <v/>
      </c>
      <c r="C402" s="19" t="str">
        <f>IF('Supplier selection'!C402="","",'Supplier selection'!C402)</f>
        <v/>
      </c>
      <c r="D402" s="19" t="str">
        <f>IF('Supplier selection'!D402="","",'Supplier selection'!D402)</f>
        <v/>
      </c>
      <c r="E402" s="19" t="str">
        <f>IF('Supplier selection'!E402="","",'Supplier selection'!E402)</f>
        <v/>
      </c>
      <c r="F402" s="19" t="str">
        <f>IF('Supplier selection'!F402="","",'Supplier selection'!F402)</f>
        <v/>
      </c>
      <c r="G402" s="19" t="str">
        <f>IF('Supplier selection'!G402="","",'Supplier selection'!G402)</f>
        <v/>
      </c>
      <c r="H402" s="19" t="str">
        <f>IF('Supplier selection'!H402="","",'Supplier selection'!H402)</f>
        <v/>
      </c>
      <c r="I402" s="19" t="str">
        <f>IF('Supplier selection'!I402="","",'Supplier selection'!I402)</f>
        <v/>
      </c>
      <c r="J402" s="19" t="str">
        <f>IF('Supplier selection'!J402="","",'Supplier selection'!J402)</f>
        <v/>
      </c>
      <c r="K402" s="19" t="str">
        <f>IF('Supplier selection'!K402="","",'Supplier selection'!K402)</f>
        <v/>
      </c>
      <c r="L402" s="19" t="str">
        <f>IF('Supplier selection'!L402="","",'Supplier selection'!L402)</f>
        <v/>
      </c>
      <c r="M402" s="19" t="str">
        <f>IF('Supplier selection'!M402="","",'Supplier selection'!M402)</f>
        <v/>
      </c>
      <c r="N402" s="19" t="str">
        <f>IF('Supplier selection'!N402="","",'Supplier selection'!N402)</f>
        <v/>
      </c>
      <c r="O402" s="19" t="str">
        <f>IF('Supplier selection'!O402="","",'Supplier selection'!O402)</f>
        <v/>
      </c>
      <c r="Q402" s="19" t="str">
        <f>HLOOKUP($Q$3,'Supplier selection'!$AW$4:'Supplier selection'!$CT$1000,$A403,FALSE)</f>
        <v/>
      </c>
      <c r="R402" s="22" t="str">
        <f t="shared" si="66"/>
        <v/>
      </c>
      <c r="S402" s="19" t="str">
        <f t="shared" si="67"/>
        <v/>
      </c>
      <c r="T402" s="22" t="str">
        <f t="shared" si="68"/>
        <v/>
      </c>
      <c r="U402" s="19" t="str">
        <f t="shared" si="69"/>
        <v/>
      </c>
      <c r="V402" s="7"/>
      <c r="Y402" s="19" t="str">
        <f>IF('Supplier selection'!AQ402="","",'Supplier selection'!AQ402)</f>
        <v/>
      </c>
      <c r="Z402" s="19" t="str">
        <f>IF('Supplier selection'!AR402="","",'Supplier selection'!AR402)</f>
        <v/>
      </c>
      <c r="AA402" s="19" t="str">
        <f t="shared" si="70"/>
        <v/>
      </c>
      <c r="AD402" s="26" t="str">
        <f>IF(AND('Supplier selection'!X402="",'Supplier selection'!AE402=""),"",IF('Supplier selection'!X402="",'Supplier selection'!AE402,'Supplier selection'!X402))</f>
        <v/>
      </c>
      <c r="AE402" s="19" t="str">
        <f t="shared" si="71"/>
        <v/>
      </c>
      <c r="AF402" s="19" t="str">
        <f t="shared" si="72"/>
        <v/>
      </c>
      <c r="AG402" s="27" t="str">
        <f>IF(AND('Supplier selection'!AB402="",'Supplier selection'!AI402=""),"",IF('Supplier selection'!AB402="",'Supplier selection'!AI402,'Supplier selection'!AB402))</f>
        <v/>
      </c>
      <c r="AH402" s="28" t="str">
        <f t="shared" si="73"/>
        <v/>
      </c>
      <c r="AI402" s="7" t="str">
        <f t="shared" si="74"/>
        <v/>
      </c>
      <c r="AJ402" s="22" t="str">
        <f t="shared" si="75"/>
        <v/>
      </c>
      <c r="AK402" s="29" t="str">
        <f t="shared" si="76"/>
        <v/>
      </c>
      <c r="AL402" s="10"/>
    </row>
    <row r="403" spans="1:38">
      <c r="A403" s="19">
        <f>IF('Supplier selection'!A403="","",'Supplier selection'!A403)</f>
        <v>399</v>
      </c>
      <c r="B403" s="19" t="str">
        <f>IF('Supplier selection'!B403="","",'Supplier selection'!B403)</f>
        <v/>
      </c>
      <c r="C403" s="19" t="str">
        <f>IF('Supplier selection'!C403="","",'Supplier selection'!C403)</f>
        <v/>
      </c>
      <c r="D403" s="19" t="str">
        <f>IF('Supplier selection'!D403="","",'Supplier selection'!D403)</f>
        <v/>
      </c>
      <c r="E403" s="19" t="str">
        <f>IF('Supplier selection'!E403="","",'Supplier selection'!E403)</f>
        <v/>
      </c>
      <c r="F403" s="19" t="str">
        <f>IF('Supplier selection'!F403="","",'Supplier selection'!F403)</f>
        <v/>
      </c>
      <c r="G403" s="19" t="str">
        <f>IF('Supplier selection'!G403="","",'Supplier selection'!G403)</f>
        <v/>
      </c>
      <c r="H403" s="19" t="str">
        <f>IF('Supplier selection'!H403="","",'Supplier selection'!H403)</f>
        <v/>
      </c>
      <c r="I403" s="19" t="str">
        <f>IF('Supplier selection'!I403="","",'Supplier selection'!I403)</f>
        <v/>
      </c>
      <c r="J403" s="19" t="str">
        <f>IF('Supplier selection'!J403="","",'Supplier selection'!J403)</f>
        <v/>
      </c>
      <c r="K403" s="19" t="str">
        <f>IF('Supplier selection'!K403="","",'Supplier selection'!K403)</f>
        <v/>
      </c>
      <c r="L403" s="19" t="str">
        <f>IF('Supplier selection'!L403="","",'Supplier selection'!L403)</f>
        <v/>
      </c>
      <c r="M403" s="19" t="str">
        <f>IF('Supplier selection'!M403="","",'Supplier selection'!M403)</f>
        <v/>
      </c>
      <c r="N403" s="19" t="str">
        <f>IF('Supplier selection'!N403="","",'Supplier selection'!N403)</f>
        <v/>
      </c>
      <c r="O403" s="19" t="str">
        <f>IF('Supplier selection'!O403="","",'Supplier selection'!O403)</f>
        <v/>
      </c>
      <c r="Q403" s="19" t="str">
        <f>HLOOKUP($Q$3,'Supplier selection'!$AW$4:'Supplier selection'!$CT$1000,$A404,FALSE)</f>
        <v/>
      </c>
      <c r="R403" s="22" t="str">
        <f t="shared" si="66"/>
        <v/>
      </c>
      <c r="S403" s="19" t="str">
        <f t="shared" si="67"/>
        <v/>
      </c>
      <c r="T403" s="22" t="str">
        <f t="shared" si="68"/>
        <v/>
      </c>
      <c r="U403" s="19" t="str">
        <f t="shared" si="69"/>
        <v/>
      </c>
      <c r="V403" s="7"/>
      <c r="Y403" s="19" t="str">
        <f>IF('Supplier selection'!AQ403="","",'Supplier selection'!AQ403)</f>
        <v/>
      </c>
      <c r="Z403" s="19" t="str">
        <f>IF('Supplier selection'!AR403="","",'Supplier selection'!AR403)</f>
        <v/>
      </c>
      <c r="AA403" s="19" t="str">
        <f t="shared" si="70"/>
        <v/>
      </c>
      <c r="AD403" s="26" t="str">
        <f>IF(AND('Supplier selection'!X403="",'Supplier selection'!AE403=""),"",IF('Supplier selection'!X403="",'Supplier selection'!AE403,'Supplier selection'!X403))</f>
        <v/>
      </c>
      <c r="AE403" s="19" t="str">
        <f t="shared" si="71"/>
        <v/>
      </c>
      <c r="AF403" s="19" t="str">
        <f t="shared" si="72"/>
        <v/>
      </c>
      <c r="AG403" s="27" t="str">
        <f>IF(AND('Supplier selection'!AB403="",'Supplier selection'!AI403=""),"",IF('Supplier selection'!AB403="",'Supplier selection'!AI403,'Supplier selection'!AB403))</f>
        <v/>
      </c>
      <c r="AH403" s="28" t="str">
        <f t="shared" si="73"/>
        <v/>
      </c>
      <c r="AI403" s="7" t="str">
        <f t="shared" si="74"/>
        <v/>
      </c>
      <c r="AJ403" s="22" t="str">
        <f t="shared" si="75"/>
        <v/>
      </c>
      <c r="AK403" s="29" t="str">
        <f t="shared" si="76"/>
        <v/>
      </c>
      <c r="AL403" s="10"/>
    </row>
    <row r="404" spans="1:38">
      <c r="A404" s="19">
        <f>IF('Supplier selection'!A404="","",'Supplier selection'!A404)</f>
        <v>400</v>
      </c>
      <c r="B404" s="19" t="str">
        <f>IF('Supplier selection'!B404="","",'Supplier selection'!B404)</f>
        <v/>
      </c>
      <c r="C404" s="19" t="str">
        <f>IF('Supplier selection'!C404="","",'Supplier selection'!C404)</f>
        <v/>
      </c>
      <c r="D404" s="19" t="str">
        <f>IF('Supplier selection'!D404="","",'Supplier selection'!D404)</f>
        <v/>
      </c>
      <c r="E404" s="19" t="str">
        <f>IF('Supplier selection'!E404="","",'Supplier selection'!E404)</f>
        <v/>
      </c>
      <c r="F404" s="19" t="str">
        <f>IF('Supplier selection'!F404="","",'Supplier selection'!F404)</f>
        <v/>
      </c>
      <c r="G404" s="19" t="str">
        <f>IF('Supplier selection'!G404="","",'Supplier selection'!G404)</f>
        <v/>
      </c>
      <c r="H404" s="19" t="str">
        <f>IF('Supplier selection'!H404="","",'Supplier selection'!H404)</f>
        <v/>
      </c>
      <c r="I404" s="19" t="str">
        <f>IF('Supplier selection'!I404="","",'Supplier selection'!I404)</f>
        <v/>
      </c>
      <c r="J404" s="19" t="str">
        <f>IF('Supplier selection'!J404="","",'Supplier selection'!J404)</f>
        <v/>
      </c>
      <c r="K404" s="19" t="str">
        <f>IF('Supplier selection'!K404="","",'Supplier selection'!K404)</f>
        <v/>
      </c>
      <c r="L404" s="19" t="str">
        <f>IF('Supplier selection'!L404="","",'Supplier selection'!L404)</f>
        <v/>
      </c>
      <c r="M404" s="19" t="str">
        <f>IF('Supplier selection'!M404="","",'Supplier selection'!M404)</f>
        <v/>
      </c>
      <c r="N404" s="19" t="str">
        <f>IF('Supplier selection'!N404="","",'Supplier selection'!N404)</f>
        <v/>
      </c>
      <c r="O404" s="19" t="str">
        <f>IF('Supplier selection'!O404="","",'Supplier selection'!O404)</f>
        <v/>
      </c>
      <c r="Q404" s="19" t="str">
        <f>HLOOKUP($Q$3,'Supplier selection'!$AW$4:'Supplier selection'!$CT$1000,$A405,FALSE)</f>
        <v/>
      </c>
      <c r="R404" s="22" t="str">
        <f t="shared" si="66"/>
        <v/>
      </c>
      <c r="S404" s="19" t="str">
        <f t="shared" si="67"/>
        <v/>
      </c>
      <c r="T404" s="22" t="str">
        <f t="shared" si="68"/>
        <v/>
      </c>
      <c r="U404" s="19" t="str">
        <f t="shared" si="69"/>
        <v/>
      </c>
      <c r="V404" s="7"/>
      <c r="Y404" s="19" t="str">
        <f>IF('Supplier selection'!AQ404="","",'Supplier selection'!AQ404)</f>
        <v/>
      </c>
      <c r="Z404" s="19" t="str">
        <f>IF('Supplier selection'!AR404="","",'Supplier selection'!AR404)</f>
        <v/>
      </c>
      <c r="AA404" s="19" t="str">
        <f t="shared" si="70"/>
        <v/>
      </c>
      <c r="AD404" s="26" t="str">
        <f>IF(AND('Supplier selection'!X404="",'Supplier selection'!AE404=""),"",IF('Supplier selection'!X404="",'Supplier selection'!AE404,'Supplier selection'!X404))</f>
        <v/>
      </c>
      <c r="AE404" s="19" t="str">
        <f t="shared" si="71"/>
        <v/>
      </c>
      <c r="AF404" s="19" t="str">
        <f t="shared" si="72"/>
        <v/>
      </c>
      <c r="AG404" s="27" t="str">
        <f>IF(AND('Supplier selection'!AB404="",'Supplier selection'!AI404=""),"",IF('Supplier selection'!AB404="",'Supplier selection'!AI404,'Supplier selection'!AB404))</f>
        <v/>
      </c>
      <c r="AH404" s="28" t="str">
        <f t="shared" si="73"/>
        <v/>
      </c>
      <c r="AI404" s="7" t="str">
        <f t="shared" si="74"/>
        <v/>
      </c>
      <c r="AJ404" s="22" t="str">
        <f t="shared" si="75"/>
        <v/>
      </c>
      <c r="AK404" s="29" t="str">
        <f t="shared" si="76"/>
        <v/>
      </c>
      <c r="AL404" s="10"/>
    </row>
    <row r="405" spans="1:38">
      <c r="A405" s="19">
        <f>IF('Supplier selection'!A405="","",'Supplier selection'!A405)</f>
        <v>401</v>
      </c>
      <c r="B405" s="19" t="str">
        <f>IF('Supplier selection'!B405="","",'Supplier selection'!B405)</f>
        <v/>
      </c>
      <c r="C405" s="19" t="str">
        <f>IF('Supplier selection'!C405="","",'Supplier selection'!C405)</f>
        <v/>
      </c>
      <c r="D405" s="19" t="str">
        <f>IF('Supplier selection'!D405="","",'Supplier selection'!D405)</f>
        <v/>
      </c>
      <c r="E405" s="19" t="str">
        <f>IF('Supplier selection'!E405="","",'Supplier selection'!E405)</f>
        <v/>
      </c>
      <c r="F405" s="19" t="str">
        <f>IF('Supplier selection'!F405="","",'Supplier selection'!F405)</f>
        <v/>
      </c>
      <c r="G405" s="19" t="str">
        <f>IF('Supplier selection'!G405="","",'Supplier selection'!G405)</f>
        <v/>
      </c>
      <c r="H405" s="19" t="str">
        <f>IF('Supplier selection'!H405="","",'Supplier selection'!H405)</f>
        <v/>
      </c>
      <c r="I405" s="19" t="str">
        <f>IF('Supplier selection'!I405="","",'Supplier selection'!I405)</f>
        <v/>
      </c>
      <c r="J405" s="19" t="str">
        <f>IF('Supplier selection'!J405="","",'Supplier selection'!J405)</f>
        <v/>
      </c>
      <c r="K405" s="19" t="str">
        <f>IF('Supplier selection'!K405="","",'Supplier selection'!K405)</f>
        <v/>
      </c>
      <c r="L405" s="19" t="str">
        <f>IF('Supplier selection'!L405="","",'Supplier selection'!L405)</f>
        <v/>
      </c>
      <c r="M405" s="19" t="str">
        <f>IF('Supplier selection'!M405="","",'Supplier selection'!M405)</f>
        <v/>
      </c>
      <c r="N405" s="19" t="str">
        <f>IF('Supplier selection'!N405="","",'Supplier selection'!N405)</f>
        <v/>
      </c>
      <c r="O405" s="19" t="str">
        <f>IF('Supplier selection'!O405="","",'Supplier selection'!O405)</f>
        <v/>
      </c>
      <c r="Q405" s="19" t="str">
        <f>HLOOKUP($Q$3,'Supplier selection'!$AW$4:'Supplier selection'!$CT$1000,$A406,FALSE)</f>
        <v/>
      </c>
      <c r="R405" s="22" t="str">
        <f t="shared" si="66"/>
        <v/>
      </c>
      <c r="S405" s="19" t="str">
        <f t="shared" si="67"/>
        <v/>
      </c>
      <c r="T405" s="22" t="str">
        <f t="shared" si="68"/>
        <v/>
      </c>
      <c r="U405" s="19" t="str">
        <f t="shared" si="69"/>
        <v/>
      </c>
      <c r="V405" s="7"/>
      <c r="Y405" s="19" t="str">
        <f>IF('Supplier selection'!AQ405="","",'Supplier selection'!AQ405)</f>
        <v/>
      </c>
      <c r="Z405" s="19" t="str">
        <f>IF('Supplier selection'!AR405="","",'Supplier selection'!AR405)</f>
        <v/>
      </c>
      <c r="AA405" s="19" t="str">
        <f t="shared" si="70"/>
        <v/>
      </c>
      <c r="AD405" s="26" t="str">
        <f>IF(AND('Supplier selection'!X405="",'Supplier selection'!AE405=""),"",IF('Supplier selection'!X405="",'Supplier selection'!AE405,'Supplier selection'!X405))</f>
        <v/>
      </c>
      <c r="AE405" s="19" t="str">
        <f t="shared" si="71"/>
        <v/>
      </c>
      <c r="AF405" s="19" t="str">
        <f t="shared" si="72"/>
        <v/>
      </c>
      <c r="AG405" s="27" t="str">
        <f>IF(AND('Supplier selection'!AB405="",'Supplier selection'!AI405=""),"",IF('Supplier selection'!AB405="",'Supplier selection'!AI405,'Supplier selection'!AB405))</f>
        <v/>
      </c>
      <c r="AH405" s="28" t="str">
        <f t="shared" si="73"/>
        <v/>
      </c>
      <c r="AI405" s="7" t="str">
        <f t="shared" si="74"/>
        <v/>
      </c>
      <c r="AJ405" s="22" t="str">
        <f t="shared" si="75"/>
        <v/>
      </c>
      <c r="AK405" s="29" t="str">
        <f t="shared" si="76"/>
        <v/>
      </c>
      <c r="AL405" s="10"/>
    </row>
    <row r="406" spans="1:38">
      <c r="A406" s="19">
        <f>IF('Supplier selection'!A406="","",'Supplier selection'!A406)</f>
        <v>402</v>
      </c>
      <c r="B406" s="19" t="str">
        <f>IF('Supplier selection'!B406="","",'Supplier selection'!B406)</f>
        <v/>
      </c>
      <c r="C406" s="19" t="str">
        <f>IF('Supplier selection'!C406="","",'Supplier selection'!C406)</f>
        <v/>
      </c>
      <c r="D406" s="19" t="str">
        <f>IF('Supplier selection'!D406="","",'Supplier selection'!D406)</f>
        <v/>
      </c>
      <c r="E406" s="19" t="str">
        <f>IF('Supplier selection'!E406="","",'Supplier selection'!E406)</f>
        <v/>
      </c>
      <c r="F406" s="19" t="str">
        <f>IF('Supplier selection'!F406="","",'Supplier selection'!F406)</f>
        <v/>
      </c>
      <c r="G406" s="19" t="str">
        <f>IF('Supplier selection'!G406="","",'Supplier selection'!G406)</f>
        <v/>
      </c>
      <c r="H406" s="19" t="str">
        <f>IF('Supplier selection'!H406="","",'Supplier selection'!H406)</f>
        <v/>
      </c>
      <c r="I406" s="19" t="str">
        <f>IF('Supplier selection'!I406="","",'Supplier selection'!I406)</f>
        <v/>
      </c>
      <c r="J406" s="19" t="str">
        <f>IF('Supplier selection'!J406="","",'Supplier selection'!J406)</f>
        <v/>
      </c>
      <c r="K406" s="19" t="str">
        <f>IF('Supplier selection'!K406="","",'Supplier selection'!K406)</f>
        <v/>
      </c>
      <c r="L406" s="19" t="str">
        <f>IF('Supplier selection'!L406="","",'Supplier selection'!L406)</f>
        <v/>
      </c>
      <c r="M406" s="19" t="str">
        <f>IF('Supplier selection'!M406="","",'Supplier selection'!M406)</f>
        <v/>
      </c>
      <c r="N406" s="19" t="str">
        <f>IF('Supplier selection'!N406="","",'Supplier selection'!N406)</f>
        <v/>
      </c>
      <c r="O406" s="19" t="str">
        <f>IF('Supplier selection'!O406="","",'Supplier selection'!O406)</f>
        <v/>
      </c>
      <c r="Q406" s="19" t="str">
        <f>HLOOKUP($Q$3,'Supplier selection'!$AW$4:'Supplier selection'!$CT$1000,$A407,FALSE)</f>
        <v/>
      </c>
      <c r="R406" s="22" t="str">
        <f t="shared" si="66"/>
        <v/>
      </c>
      <c r="S406" s="19" t="str">
        <f t="shared" si="67"/>
        <v/>
      </c>
      <c r="T406" s="22" t="str">
        <f t="shared" si="68"/>
        <v/>
      </c>
      <c r="U406" s="19" t="str">
        <f t="shared" si="69"/>
        <v/>
      </c>
      <c r="V406" s="7"/>
      <c r="Y406" s="19" t="str">
        <f>IF('Supplier selection'!AQ406="","",'Supplier selection'!AQ406)</f>
        <v/>
      </c>
      <c r="Z406" s="19" t="str">
        <f>IF('Supplier selection'!AR406="","",'Supplier selection'!AR406)</f>
        <v/>
      </c>
      <c r="AA406" s="19" t="str">
        <f t="shared" si="70"/>
        <v/>
      </c>
      <c r="AD406" s="26" t="str">
        <f>IF(AND('Supplier selection'!X406="",'Supplier selection'!AE406=""),"",IF('Supplier selection'!X406="",'Supplier selection'!AE406,'Supplier selection'!X406))</f>
        <v/>
      </c>
      <c r="AE406" s="19" t="str">
        <f t="shared" si="71"/>
        <v/>
      </c>
      <c r="AF406" s="19" t="str">
        <f t="shared" si="72"/>
        <v/>
      </c>
      <c r="AG406" s="27" t="str">
        <f>IF(AND('Supplier selection'!AB406="",'Supplier selection'!AI406=""),"",IF('Supplier selection'!AB406="",'Supplier selection'!AI406,'Supplier selection'!AB406))</f>
        <v/>
      </c>
      <c r="AH406" s="28" t="str">
        <f t="shared" si="73"/>
        <v/>
      </c>
      <c r="AI406" s="7" t="str">
        <f t="shared" si="74"/>
        <v/>
      </c>
      <c r="AJ406" s="22" t="str">
        <f t="shared" si="75"/>
        <v/>
      </c>
      <c r="AK406" s="29" t="str">
        <f t="shared" si="76"/>
        <v/>
      </c>
      <c r="AL406" s="10"/>
    </row>
    <row r="407" spans="1:38">
      <c r="A407" s="19">
        <f>IF('Supplier selection'!A407="","",'Supplier selection'!A407)</f>
        <v>403</v>
      </c>
      <c r="B407" s="19" t="str">
        <f>IF('Supplier selection'!B407="","",'Supplier selection'!B407)</f>
        <v/>
      </c>
      <c r="C407" s="19" t="str">
        <f>IF('Supplier selection'!C407="","",'Supplier selection'!C407)</f>
        <v/>
      </c>
      <c r="D407" s="19" t="str">
        <f>IF('Supplier selection'!D407="","",'Supplier selection'!D407)</f>
        <v/>
      </c>
      <c r="E407" s="19" t="str">
        <f>IF('Supplier selection'!E407="","",'Supplier selection'!E407)</f>
        <v/>
      </c>
      <c r="F407" s="19" t="str">
        <f>IF('Supplier selection'!F407="","",'Supplier selection'!F407)</f>
        <v/>
      </c>
      <c r="G407" s="19" t="str">
        <f>IF('Supplier selection'!G407="","",'Supplier selection'!G407)</f>
        <v/>
      </c>
      <c r="H407" s="19" t="str">
        <f>IF('Supplier selection'!H407="","",'Supplier selection'!H407)</f>
        <v/>
      </c>
      <c r="I407" s="19" t="str">
        <f>IF('Supplier selection'!I407="","",'Supplier selection'!I407)</f>
        <v/>
      </c>
      <c r="J407" s="19" t="str">
        <f>IF('Supplier selection'!J407="","",'Supplier selection'!J407)</f>
        <v/>
      </c>
      <c r="K407" s="19" t="str">
        <f>IF('Supplier selection'!K407="","",'Supplier selection'!K407)</f>
        <v/>
      </c>
      <c r="L407" s="19" t="str">
        <f>IF('Supplier selection'!L407="","",'Supplier selection'!L407)</f>
        <v/>
      </c>
      <c r="M407" s="19" t="str">
        <f>IF('Supplier selection'!M407="","",'Supplier selection'!M407)</f>
        <v/>
      </c>
      <c r="N407" s="19" t="str">
        <f>IF('Supplier selection'!N407="","",'Supplier selection'!N407)</f>
        <v/>
      </c>
      <c r="O407" s="19" t="str">
        <f>IF('Supplier selection'!O407="","",'Supplier selection'!O407)</f>
        <v/>
      </c>
      <c r="Q407" s="19" t="str">
        <f>HLOOKUP($Q$3,'Supplier selection'!$AW$4:'Supplier selection'!$CT$1000,$A408,FALSE)</f>
        <v/>
      </c>
      <c r="R407" s="22" t="str">
        <f t="shared" si="66"/>
        <v/>
      </c>
      <c r="S407" s="19" t="str">
        <f t="shared" si="67"/>
        <v/>
      </c>
      <c r="T407" s="22" t="str">
        <f t="shared" si="68"/>
        <v/>
      </c>
      <c r="U407" s="19" t="str">
        <f t="shared" si="69"/>
        <v/>
      </c>
      <c r="V407" s="7"/>
      <c r="Y407" s="19" t="str">
        <f>IF('Supplier selection'!AQ407="","",'Supplier selection'!AQ407)</f>
        <v/>
      </c>
      <c r="Z407" s="19" t="str">
        <f>IF('Supplier selection'!AR407="","",'Supplier selection'!AR407)</f>
        <v/>
      </c>
      <c r="AA407" s="19" t="str">
        <f t="shared" si="70"/>
        <v/>
      </c>
      <c r="AD407" s="26" t="str">
        <f>IF(AND('Supplier selection'!X407="",'Supplier selection'!AE407=""),"",IF('Supplier selection'!X407="",'Supplier selection'!AE407,'Supplier selection'!X407))</f>
        <v/>
      </c>
      <c r="AE407" s="19" t="str">
        <f t="shared" si="71"/>
        <v/>
      </c>
      <c r="AF407" s="19" t="str">
        <f t="shared" si="72"/>
        <v/>
      </c>
      <c r="AG407" s="27" t="str">
        <f>IF(AND('Supplier selection'!AB407="",'Supplier selection'!AI407=""),"",IF('Supplier selection'!AB407="",'Supplier selection'!AI407,'Supplier selection'!AB407))</f>
        <v/>
      </c>
      <c r="AH407" s="28" t="str">
        <f t="shared" si="73"/>
        <v/>
      </c>
      <c r="AI407" s="7" t="str">
        <f t="shared" si="74"/>
        <v/>
      </c>
      <c r="AJ407" s="22" t="str">
        <f t="shared" si="75"/>
        <v/>
      </c>
      <c r="AK407" s="29" t="str">
        <f t="shared" si="76"/>
        <v/>
      </c>
      <c r="AL407" s="10"/>
    </row>
    <row r="408" spans="1:38">
      <c r="A408" s="19">
        <f>IF('Supplier selection'!A408="","",'Supplier selection'!A408)</f>
        <v>404</v>
      </c>
      <c r="B408" s="19" t="str">
        <f>IF('Supplier selection'!B408="","",'Supplier selection'!B408)</f>
        <v/>
      </c>
      <c r="C408" s="19" t="str">
        <f>IF('Supplier selection'!C408="","",'Supplier selection'!C408)</f>
        <v/>
      </c>
      <c r="D408" s="19" t="str">
        <f>IF('Supplier selection'!D408="","",'Supplier selection'!D408)</f>
        <v/>
      </c>
      <c r="E408" s="19" t="str">
        <f>IF('Supplier selection'!E408="","",'Supplier selection'!E408)</f>
        <v/>
      </c>
      <c r="F408" s="19" t="str">
        <f>IF('Supplier selection'!F408="","",'Supplier selection'!F408)</f>
        <v/>
      </c>
      <c r="G408" s="19" t="str">
        <f>IF('Supplier selection'!G408="","",'Supplier selection'!G408)</f>
        <v/>
      </c>
      <c r="H408" s="19" t="str">
        <f>IF('Supplier selection'!H408="","",'Supplier selection'!H408)</f>
        <v/>
      </c>
      <c r="I408" s="19" t="str">
        <f>IF('Supplier selection'!I408="","",'Supplier selection'!I408)</f>
        <v/>
      </c>
      <c r="J408" s="19" t="str">
        <f>IF('Supplier selection'!J408="","",'Supplier selection'!J408)</f>
        <v/>
      </c>
      <c r="K408" s="19" t="str">
        <f>IF('Supplier selection'!K408="","",'Supplier selection'!K408)</f>
        <v/>
      </c>
      <c r="L408" s="19" t="str">
        <f>IF('Supplier selection'!L408="","",'Supplier selection'!L408)</f>
        <v/>
      </c>
      <c r="M408" s="19" t="str">
        <f>IF('Supplier selection'!M408="","",'Supplier selection'!M408)</f>
        <v/>
      </c>
      <c r="N408" s="19" t="str">
        <f>IF('Supplier selection'!N408="","",'Supplier selection'!N408)</f>
        <v/>
      </c>
      <c r="O408" s="19" t="str">
        <f>IF('Supplier selection'!O408="","",'Supplier selection'!O408)</f>
        <v/>
      </c>
      <c r="Q408" s="19" t="str">
        <f>HLOOKUP($Q$3,'Supplier selection'!$AW$4:'Supplier selection'!$CT$1000,$A409,FALSE)</f>
        <v/>
      </c>
      <c r="R408" s="22" t="str">
        <f t="shared" si="66"/>
        <v/>
      </c>
      <c r="S408" s="19" t="str">
        <f t="shared" si="67"/>
        <v/>
      </c>
      <c r="T408" s="22" t="str">
        <f t="shared" si="68"/>
        <v/>
      </c>
      <c r="U408" s="19" t="str">
        <f t="shared" si="69"/>
        <v/>
      </c>
      <c r="V408" s="7"/>
      <c r="Y408" s="19" t="str">
        <f>IF('Supplier selection'!AQ408="","",'Supplier selection'!AQ408)</f>
        <v/>
      </c>
      <c r="Z408" s="19" t="str">
        <f>IF('Supplier selection'!AR408="","",'Supplier selection'!AR408)</f>
        <v/>
      </c>
      <c r="AA408" s="19" t="str">
        <f t="shared" si="70"/>
        <v/>
      </c>
      <c r="AD408" s="26" t="str">
        <f>IF(AND('Supplier selection'!X408="",'Supplier selection'!AE408=""),"",IF('Supplier selection'!X408="",'Supplier selection'!AE408,'Supplier selection'!X408))</f>
        <v/>
      </c>
      <c r="AE408" s="19" t="str">
        <f t="shared" si="71"/>
        <v/>
      </c>
      <c r="AF408" s="19" t="str">
        <f t="shared" si="72"/>
        <v/>
      </c>
      <c r="AG408" s="27" t="str">
        <f>IF(AND('Supplier selection'!AB408="",'Supplier selection'!AI408=""),"",IF('Supplier selection'!AB408="",'Supplier selection'!AI408,'Supplier selection'!AB408))</f>
        <v/>
      </c>
      <c r="AH408" s="28" t="str">
        <f t="shared" si="73"/>
        <v/>
      </c>
      <c r="AI408" s="7" t="str">
        <f t="shared" si="74"/>
        <v/>
      </c>
      <c r="AJ408" s="22" t="str">
        <f t="shared" si="75"/>
        <v/>
      </c>
      <c r="AK408" s="29" t="str">
        <f t="shared" si="76"/>
        <v/>
      </c>
      <c r="AL408" s="10"/>
    </row>
    <row r="409" spans="1:38">
      <c r="A409" s="19">
        <f>IF('Supplier selection'!A409="","",'Supplier selection'!A409)</f>
        <v>405</v>
      </c>
      <c r="B409" s="19" t="str">
        <f>IF('Supplier selection'!B409="","",'Supplier selection'!B409)</f>
        <v/>
      </c>
      <c r="C409" s="19" t="str">
        <f>IF('Supplier selection'!C409="","",'Supplier selection'!C409)</f>
        <v/>
      </c>
      <c r="D409" s="19" t="str">
        <f>IF('Supplier selection'!D409="","",'Supplier selection'!D409)</f>
        <v/>
      </c>
      <c r="E409" s="19" t="str">
        <f>IF('Supplier selection'!E409="","",'Supplier selection'!E409)</f>
        <v/>
      </c>
      <c r="F409" s="19" t="str">
        <f>IF('Supplier selection'!F409="","",'Supplier selection'!F409)</f>
        <v/>
      </c>
      <c r="G409" s="19" t="str">
        <f>IF('Supplier selection'!G409="","",'Supplier selection'!G409)</f>
        <v/>
      </c>
      <c r="H409" s="19" t="str">
        <f>IF('Supplier selection'!H409="","",'Supplier selection'!H409)</f>
        <v/>
      </c>
      <c r="I409" s="19" t="str">
        <f>IF('Supplier selection'!I409="","",'Supplier selection'!I409)</f>
        <v/>
      </c>
      <c r="J409" s="19" t="str">
        <f>IF('Supplier selection'!J409="","",'Supplier selection'!J409)</f>
        <v/>
      </c>
      <c r="K409" s="19" t="str">
        <f>IF('Supplier selection'!K409="","",'Supplier selection'!K409)</f>
        <v/>
      </c>
      <c r="L409" s="19" t="str">
        <f>IF('Supplier selection'!L409="","",'Supplier selection'!L409)</f>
        <v/>
      </c>
      <c r="M409" s="19" t="str">
        <f>IF('Supplier selection'!M409="","",'Supplier selection'!M409)</f>
        <v/>
      </c>
      <c r="N409" s="19" t="str">
        <f>IF('Supplier selection'!N409="","",'Supplier selection'!N409)</f>
        <v/>
      </c>
      <c r="O409" s="19" t="str">
        <f>IF('Supplier selection'!O409="","",'Supplier selection'!O409)</f>
        <v/>
      </c>
      <c r="Q409" s="19" t="str">
        <f>HLOOKUP($Q$3,'Supplier selection'!$AW$4:'Supplier selection'!$CT$1000,$A410,FALSE)</f>
        <v/>
      </c>
      <c r="R409" s="22" t="str">
        <f t="shared" si="66"/>
        <v/>
      </c>
      <c r="S409" s="19" t="str">
        <f t="shared" si="67"/>
        <v/>
      </c>
      <c r="T409" s="22" t="str">
        <f t="shared" si="68"/>
        <v/>
      </c>
      <c r="U409" s="19" t="str">
        <f t="shared" si="69"/>
        <v/>
      </c>
      <c r="V409" s="7"/>
      <c r="Y409" s="19" t="str">
        <f>IF('Supplier selection'!AQ409="","",'Supplier selection'!AQ409)</f>
        <v/>
      </c>
      <c r="Z409" s="19" t="str">
        <f>IF('Supplier selection'!AR409="","",'Supplier selection'!AR409)</f>
        <v/>
      </c>
      <c r="AA409" s="19" t="str">
        <f t="shared" si="70"/>
        <v/>
      </c>
      <c r="AD409" s="26" t="str">
        <f>IF(AND('Supplier selection'!X409="",'Supplier selection'!AE409=""),"",IF('Supplier selection'!X409="",'Supplier selection'!AE409,'Supplier selection'!X409))</f>
        <v/>
      </c>
      <c r="AE409" s="19" t="str">
        <f t="shared" si="71"/>
        <v/>
      </c>
      <c r="AF409" s="19" t="str">
        <f t="shared" si="72"/>
        <v/>
      </c>
      <c r="AG409" s="27" t="str">
        <f>IF(AND('Supplier selection'!AB409="",'Supplier selection'!AI409=""),"",IF('Supplier selection'!AB409="",'Supplier selection'!AI409,'Supplier selection'!AB409))</f>
        <v/>
      </c>
      <c r="AH409" s="28" t="str">
        <f t="shared" si="73"/>
        <v/>
      </c>
      <c r="AI409" s="7" t="str">
        <f t="shared" si="74"/>
        <v/>
      </c>
      <c r="AJ409" s="22" t="str">
        <f t="shared" si="75"/>
        <v/>
      </c>
      <c r="AK409" s="29" t="str">
        <f t="shared" si="76"/>
        <v/>
      </c>
      <c r="AL409" s="10"/>
    </row>
    <row r="410" spans="1:38">
      <c r="A410" s="19">
        <f>IF('Supplier selection'!A410="","",'Supplier selection'!A410)</f>
        <v>406</v>
      </c>
      <c r="B410" s="19" t="str">
        <f>IF('Supplier selection'!B410="","",'Supplier selection'!B410)</f>
        <v/>
      </c>
      <c r="C410" s="19" t="str">
        <f>IF('Supplier selection'!C410="","",'Supplier selection'!C410)</f>
        <v/>
      </c>
      <c r="D410" s="19" t="str">
        <f>IF('Supplier selection'!D410="","",'Supplier selection'!D410)</f>
        <v/>
      </c>
      <c r="E410" s="19" t="str">
        <f>IF('Supplier selection'!E410="","",'Supplier selection'!E410)</f>
        <v/>
      </c>
      <c r="F410" s="19" t="str">
        <f>IF('Supplier selection'!F410="","",'Supplier selection'!F410)</f>
        <v/>
      </c>
      <c r="G410" s="19" t="str">
        <f>IF('Supplier selection'!G410="","",'Supplier selection'!G410)</f>
        <v/>
      </c>
      <c r="H410" s="19" t="str">
        <f>IF('Supplier selection'!H410="","",'Supplier selection'!H410)</f>
        <v/>
      </c>
      <c r="I410" s="19" t="str">
        <f>IF('Supplier selection'!I410="","",'Supplier selection'!I410)</f>
        <v/>
      </c>
      <c r="J410" s="19" t="str">
        <f>IF('Supplier selection'!J410="","",'Supplier selection'!J410)</f>
        <v/>
      </c>
      <c r="K410" s="19" t="str">
        <f>IF('Supplier selection'!K410="","",'Supplier selection'!K410)</f>
        <v/>
      </c>
      <c r="L410" s="19" t="str">
        <f>IF('Supplier selection'!L410="","",'Supplier selection'!L410)</f>
        <v/>
      </c>
      <c r="M410" s="19" t="str">
        <f>IF('Supplier selection'!M410="","",'Supplier selection'!M410)</f>
        <v/>
      </c>
      <c r="N410" s="19" t="str">
        <f>IF('Supplier selection'!N410="","",'Supplier selection'!N410)</f>
        <v/>
      </c>
      <c r="O410" s="19" t="str">
        <f>IF('Supplier selection'!O410="","",'Supplier selection'!O410)</f>
        <v/>
      </c>
      <c r="Q410" s="19" t="str">
        <f>HLOOKUP($Q$3,'Supplier selection'!$AW$4:'Supplier selection'!$CT$1000,$A411,FALSE)</f>
        <v/>
      </c>
      <c r="R410" s="22" t="str">
        <f t="shared" si="66"/>
        <v/>
      </c>
      <c r="S410" s="19" t="str">
        <f t="shared" si="67"/>
        <v/>
      </c>
      <c r="T410" s="22" t="str">
        <f t="shared" si="68"/>
        <v/>
      </c>
      <c r="U410" s="19" t="str">
        <f t="shared" si="69"/>
        <v/>
      </c>
      <c r="V410" s="7"/>
      <c r="Y410" s="19" t="str">
        <f>IF('Supplier selection'!AQ410="","",'Supplier selection'!AQ410)</f>
        <v/>
      </c>
      <c r="Z410" s="19" t="str">
        <f>IF('Supplier selection'!AR410="","",'Supplier selection'!AR410)</f>
        <v/>
      </c>
      <c r="AA410" s="19" t="str">
        <f t="shared" si="70"/>
        <v/>
      </c>
      <c r="AD410" s="26" t="str">
        <f>IF(AND('Supplier selection'!X410="",'Supplier selection'!AE410=""),"",IF('Supplier selection'!X410="",'Supplier selection'!AE410,'Supplier selection'!X410))</f>
        <v/>
      </c>
      <c r="AE410" s="19" t="str">
        <f t="shared" si="71"/>
        <v/>
      </c>
      <c r="AF410" s="19" t="str">
        <f t="shared" si="72"/>
        <v/>
      </c>
      <c r="AG410" s="27" t="str">
        <f>IF(AND('Supplier selection'!AB410="",'Supplier selection'!AI410=""),"",IF('Supplier selection'!AB410="",'Supplier selection'!AI410,'Supplier selection'!AB410))</f>
        <v/>
      </c>
      <c r="AH410" s="28" t="str">
        <f t="shared" si="73"/>
        <v/>
      </c>
      <c r="AI410" s="7" t="str">
        <f t="shared" si="74"/>
        <v/>
      </c>
      <c r="AJ410" s="22" t="str">
        <f t="shared" si="75"/>
        <v/>
      </c>
      <c r="AK410" s="29" t="str">
        <f t="shared" si="76"/>
        <v/>
      </c>
      <c r="AL410" s="10"/>
    </row>
    <row r="411" spans="1:38">
      <c r="A411" s="19">
        <f>IF('Supplier selection'!A411="","",'Supplier selection'!A411)</f>
        <v>407</v>
      </c>
      <c r="B411" s="19" t="str">
        <f>IF('Supplier selection'!B411="","",'Supplier selection'!B411)</f>
        <v/>
      </c>
      <c r="C411" s="19" t="str">
        <f>IF('Supplier selection'!C411="","",'Supplier selection'!C411)</f>
        <v/>
      </c>
      <c r="D411" s="19" t="str">
        <f>IF('Supplier selection'!D411="","",'Supplier selection'!D411)</f>
        <v/>
      </c>
      <c r="E411" s="19" t="str">
        <f>IF('Supplier selection'!E411="","",'Supplier selection'!E411)</f>
        <v/>
      </c>
      <c r="F411" s="19" t="str">
        <f>IF('Supplier selection'!F411="","",'Supplier selection'!F411)</f>
        <v/>
      </c>
      <c r="G411" s="19" t="str">
        <f>IF('Supplier selection'!G411="","",'Supplier selection'!G411)</f>
        <v/>
      </c>
      <c r="H411" s="19" t="str">
        <f>IF('Supplier selection'!H411="","",'Supplier selection'!H411)</f>
        <v/>
      </c>
      <c r="I411" s="19" t="str">
        <f>IF('Supplier selection'!I411="","",'Supplier selection'!I411)</f>
        <v/>
      </c>
      <c r="J411" s="19" t="str">
        <f>IF('Supplier selection'!J411="","",'Supplier selection'!J411)</f>
        <v/>
      </c>
      <c r="K411" s="19" t="str">
        <f>IF('Supplier selection'!K411="","",'Supplier selection'!K411)</f>
        <v/>
      </c>
      <c r="L411" s="19" t="str">
        <f>IF('Supplier selection'!L411="","",'Supplier selection'!L411)</f>
        <v/>
      </c>
      <c r="M411" s="19" t="str">
        <f>IF('Supplier selection'!M411="","",'Supplier selection'!M411)</f>
        <v/>
      </c>
      <c r="N411" s="19" t="str">
        <f>IF('Supplier selection'!N411="","",'Supplier selection'!N411)</f>
        <v/>
      </c>
      <c r="O411" s="19" t="str">
        <f>IF('Supplier selection'!O411="","",'Supplier selection'!O411)</f>
        <v/>
      </c>
      <c r="Q411" s="19" t="str">
        <f>HLOOKUP($Q$3,'Supplier selection'!$AW$4:'Supplier selection'!$CT$1000,$A412,FALSE)</f>
        <v/>
      </c>
      <c r="R411" s="22" t="str">
        <f t="shared" si="66"/>
        <v/>
      </c>
      <c r="S411" s="19" t="str">
        <f t="shared" si="67"/>
        <v/>
      </c>
      <c r="T411" s="22" t="str">
        <f t="shared" si="68"/>
        <v/>
      </c>
      <c r="U411" s="19" t="str">
        <f t="shared" si="69"/>
        <v/>
      </c>
      <c r="V411" s="7"/>
      <c r="Y411" s="19" t="str">
        <f>IF('Supplier selection'!AQ411="","",'Supplier selection'!AQ411)</f>
        <v/>
      </c>
      <c r="Z411" s="19" t="str">
        <f>IF('Supplier selection'!AR411="","",'Supplier selection'!AR411)</f>
        <v/>
      </c>
      <c r="AA411" s="19" t="str">
        <f t="shared" si="70"/>
        <v/>
      </c>
      <c r="AD411" s="26" t="str">
        <f>IF(AND('Supplier selection'!X411="",'Supplier selection'!AE411=""),"",IF('Supplier selection'!X411="",'Supplier selection'!AE411,'Supplier selection'!X411))</f>
        <v/>
      </c>
      <c r="AE411" s="19" t="str">
        <f t="shared" si="71"/>
        <v/>
      </c>
      <c r="AF411" s="19" t="str">
        <f t="shared" si="72"/>
        <v/>
      </c>
      <c r="AG411" s="27" t="str">
        <f>IF(AND('Supplier selection'!AB411="",'Supplier selection'!AI411=""),"",IF('Supplier selection'!AB411="",'Supplier selection'!AI411,'Supplier selection'!AB411))</f>
        <v/>
      </c>
      <c r="AH411" s="28" t="str">
        <f t="shared" si="73"/>
        <v/>
      </c>
      <c r="AI411" s="7" t="str">
        <f t="shared" si="74"/>
        <v/>
      </c>
      <c r="AJ411" s="22" t="str">
        <f t="shared" si="75"/>
        <v/>
      </c>
      <c r="AK411" s="29" t="str">
        <f t="shared" si="76"/>
        <v/>
      </c>
      <c r="AL411" s="10"/>
    </row>
    <row r="412" spans="1:38">
      <c r="A412" s="19">
        <f>IF('Supplier selection'!A412="","",'Supplier selection'!A412)</f>
        <v>408</v>
      </c>
      <c r="B412" s="19" t="str">
        <f>IF('Supplier selection'!B412="","",'Supplier selection'!B412)</f>
        <v/>
      </c>
      <c r="C412" s="19" t="str">
        <f>IF('Supplier selection'!C412="","",'Supplier selection'!C412)</f>
        <v/>
      </c>
      <c r="D412" s="19" t="str">
        <f>IF('Supplier selection'!D412="","",'Supplier selection'!D412)</f>
        <v/>
      </c>
      <c r="E412" s="19" t="str">
        <f>IF('Supplier selection'!E412="","",'Supplier selection'!E412)</f>
        <v/>
      </c>
      <c r="F412" s="19" t="str">
        <f>IF('Supplier selection'!F412="","",'Supplier selection'!F412)</f>
        <v/>
      </c>
      <c r="G412" s="19" t="str">
        <f>IF('Supplier selection'!G412="","",'Supplier selection'!G412)</f>
        <v/>
      </c>
      <c r="H412" s="19" t="str">
        <f>IF('Supplier selection'!H412="","",'Supplier selection'!H412)</f>
        <v/>
      </c>
      <c r="I412" s="19" t="str">
        <f>IF('Supplier selection'!I412="","",'Supplier selection'!I412)</f>
        <v/>
      </c>
      <c r="J412" s="19" t="str">
        <f>IF('Supplier selection'!J412="","",'Supplier selection'!J412)</f>
        <v/>
      </c>
      <c r="K412" s="19" t="str">
        <f>IF('Supplier selection'!K412="","",'Supplier selection'!K412)</f>
        <v/>
      </c>
      <c r="L412" s="19" t="str">
        <f>IF('Supplier selection'!L412="","",'Supplier selection'!L412)</f>
        <v/>
      </c>
      <c r="M412" s="19" t="str">
        <f>IF('Supplier selection'!M412="","",'Supplier selection'!M412)</f>
        <v/>
      </c>
      <c r="N412" s="19" t="str">
        <f>IF('Supplier selection'!N412="","",'Supplier selection'!N412)</f>
        <v/>
      </c>
      <c r="O412" s="19" t="str">
        <f>IF('Supplier selection'!O412="","",'Supplier selection'!O412)</f>
        <v/>
      </c>
      <c r="Q412" s="19" t="str">
        <f>HLOOKUP($Q$3,'Supplier selection'!$AW$4:'Supplier selection'!$CT$1000,$A413,FALSE)</f>
        <v/>
      </c>
      <c r="R412" s="22" t="str">
        <f t="shared" si="66"/>
        <v/>
      </c>
      <c r="S412" s="19" t="str">
        <f t="shared" si="67"/>
        <v/>
      </c>
      <c r="T412" s="22" t="str">
        <f t="shared" si="68"/>
        <v/>
      </c>
      <c r="U412" s="19" t="str">
        <f t="shared" si="69"/>
        <v/>
      </c>
      <c r="V412" s="7"/>
      <c r="Y412" s="19" t="str">
        <f>IF('Supplier selection'!AQ412="","",'Supplier selection'!AQ412)</f>
        <v/>
      </c>
      <c r="Z412" s="19" t="str">
        <f>IF('Supplier selection'!AR412="","",'Supplier selection'!AR412)</f>
        <v/>
      </c>
      <c r="AA412" s="19" t="str">
        <f t="shared" si="70"/>
        <v/>
      </c>
      <c r="AD412" s="26" t="str">
        <f>IF(AND('Supplier selection'!X412="",'Supplier selection'!AE412=""),"",IF('Supplier selection'!X412="",'Supplier selection'!AE412,'Supplier selection'!X412))</f>
        <v/>
      </c>
      <c r="AE412" s="19" t="str">
        <f t="shared" si="71"/>
        <v/>
      </c>
      <c r="AF412" s="19" t="str">
        <f t="shared" si="72"/>
        <v/>
      </c>
      <c r="AG412" s="27" t="str">
        <f>IF(AND('Supplier selection'!AB412="",'Supplier selection'!AI412=""),"",IF('Supplier selection'!AB412="",'Supplier selection'!AI412,'Supplier selection'!AB412))</f>
        <v/>
      </c>
      <c r="AH412" s="28" t="str">
        <f t="shared" si="73"/>
        <v/>
      </c>
      <c r="AI412" s="7" t="str">
        <f t="shared" si="74"/>
        <v/>
      </c>
      <c r="AJ412" s="22" t="str">
        <f t="shared" si="75"/>
        <v/>
      </c>
      <c r="AK412" s="29" t="str">
        <f t="shared" si="76"/>
        <v/>
      </c>
      <c r="AL412" s="10"/>
    </row>
    <row r="413" spans="1:38">
      <c r="A413" s="19">
        <f>IF('Supplier selection'!A413="","",'Supplier selection'!A413)</f>
        <v>409</v>
      </c>
      <c r="B413" s="19" t="str">
        <f>IF('Supplier selection'!B413="","",'Supplier selection'!B413)</f>
        <v/>
      </c>
      <c r="C413" s="19" t="str">
        <f>IF('Supplier selection'!C413="","",'Supplier selection'!C413)</f>
        <v/>
      </c>
      <c r="D413" s="19" t="str">
        <f>IF('Supplier selection'!D413="","",'Supplier selection'!D413)</f>
        <v/>
      </c>
      <c r="E413" s="19" t="str">
        <f>IF('Supplier selection'!E413="","",'Supplier selection'!E413)</f>
        <v/>
      </c>
      <c r="F413" s="19" t="str">
        <f>IF('Supplier selection'!F413="","",'Supplier selection'!F413)</f>
        <v/>
      </c>
      <c r="G413" s="19" t="str">
        <f>IF('Supplier selection'!G413="","",'Supplier selection'!G413)</f>
        <v/>
      </c>
      <c r="H413" s="19" t="str">
        <f>IF('Supplier selection'!H413="","",'Supplier selection'!H413)</f>
        <v/>
      </c>
      <c r="I413" s="19" t="str">
        <f>IF('Supplier selection'!I413="","",'Supplier selection'!I413)</f>
        <v/>
      </c>
      <c r="J413" s="19" t="str">
        <f>IF('Supplier selection'!J413="","",'Supplier selection'!J413)</f>
        <v/>
      </c>
      <c r="K413" s="19" t="str">
        <f>IF('Supplier selection'!K413="","",'Supplier selection'!K413)</f>
        <v/>
      </c>
      <c r="L413" s="19" t="str">
        <f>IF('Supplier selection'!L413="","",'Supplier selection'!L413)</f>
        <v/>
      </c>
      <c r="M413" s="19" t="str">
        <f>IF('Supplier selection'!M413="","",'Supplier selection'!M413)</f>
        <v/>
      </c>
      <c r="N413" s="19" t="str">
        <f>IF('Supplier selection'!N413="","",'Supplier selection'!N413)</f>
        <v/>
      </c>
      <c r="O413" s="19" t="str">
        <f>IF('Supplier selection'!O413="","",'Supplier selection'!O413)</f>
        <v/>
      </c>
      <c r="Q413" s="19" t="str">
        <f>HLOOKUP($Q$3,'Supplier selection'!$AW$4:'Supplier selection'!$CT$1000,$A414,FALSE)</f>
        <v/>
      </c>
      <c r="R413" s="22" t="str">
        <f t="shared" si="66"/>
        <v/>
      </c>
      <c r="S413" s="19" t="str">
        <f t="shared" si="67"/>
        <v/>
      </c>
      <c r="T413" s="22" t="str">
        <f t="shared" si="68"/>
        <v/>
      </c>
      <c r="U413" s="19" t="str">
        <f t="shared" si="69"/>
        <v/>
      </c>
      <c r="V413" s="7"/>
      <c r="Y413" s="19" t="str">
        <f>IF('Supplier selection'!AQ413="","",'Supplier selection'!AQ413)</f>
        <v/>
      </c>
      <c r="Z413" s="19" t="str">
        <f>IF('Supplier selection'!AR413="","",'Supplier selection'!AR413)</f>
        <v/>
      </c>
      <c r="AA413" s="19" t="str">
        <f t="shared" si="70"/>
        <v/>
      </c>
      <c r="AD413" s="26" t="str">
        <f>IF(AND('Supplier selection'!X413="",'Supplier selection'!AE413=""),"",IF('Supplier selection'!X413="",'Supplier selection'!AE413,'Supplier selection'!X413))</f>
        <v/>
      </c>
      <c r="AE413" s="19" t="str">
        <f t="shared" si="71"/>
        <v/>
      </c>
      <c r="AF413" s="19" t="str">
        <f t="shared" si="72"/>
        <v/>
      </c>
      <c r="AG413" s="27" t="str">
        <f>IF(AND('Supplier selection'!AB413="",'Supplier selection'!AI413=""),"",IF('Supplier selection'!AB413="",'Supplier selection'!AI413,'Supplier selection'!AB413))</f>
        <v/>
      </c>
      <c r="AH413" s="28" t="str">
        <f t="shared" si="73"/>
        <v/>
      </c>
      <c r="AI413" s="7" t="str">
        <f t="shared" si="74"/>
        <v/>
      </c>
      <c r="AJ413" s="22" t="str">
        <f t="shared" si="75"/>
        <v/>
      </c>
      <c r="AK413" s="29" t="str">
        <f t="shared" si="76"/>
        <v/>
      </c>
      <c r="AL413" s="10"/>
    </row>
    <row r="414" spans="1:38">
      <c r="A414" s="19">
        <f>IF('Supplier selection'!A414="","",'Supplier selection'!A414)</f>
        <v>410</v>
      </c>
      <c r="B414" s="19" t="str">
        <f>IF('Supplier selection'!B414="","",'Supplier selection'!B414)</f>
        <v/>
      </c>
      <c r="C414" s="19" t="str">
        <f>IF('Supplier selection'!C414="","",'Supplier selection'!C414)</f>
        <v/>
      </c>
      <c r="D414" s="19" t="str">
        <f>IF('Supplier selection'!D414="","",'Supplier selection'!D414)</f>
        <v/>
      </c>
      <c r="E414" s="19" t="str">
        <f>IF('Supplier selection'!E414="","",'Supplier selection'!E414)</f>
        <v/>
      </c>
      <c r="F414" s="19" t="str">
        <f>IF('Supplier selection'!F414="","",'Supplier selection'!F414)</f>
        <v/>
      </c>
      <c r="G414" s="19" t="str">
        <f>IF('Supplier selection'!G414="","",'Supplier selection'!G414)</f>
        <v/>
      </c>
      <c r="H414" s="19" t="str">
        <f>IF('Supplier selection'!H414="","",'Supplier selection'!H414)</f>
        <v/>
      </c>
      <c r="I414" s="19" t="str">
        <f>IF('Supplier selection'!I414="","",'Supplier selection'!I414)</f>
        <v/>
      </c>
      <c r="J414" s="19" t="str">
        <f>IF('Supplier selection'!J414="","",'Supplier selection'!J414)</f>
        <v/>
      </c>
      <c r="K414" s="19" t="str">
        <f>IF('Supplier selection'!K414="","",'Supplier selection'!K414)</f>
        <v/>
      </c>
      <c r="L414" s="19" t="str">
        <f>IF('Supplier selection'!L414="","",'Supplier selection'!L414)</f>
        <v/>
      </c>
      <c r="M414" s="19" t="str">
        <f>IF('Supplier selection'!M414="","",'Supplier selection'!M414)</f>
        <v/>
      </c>
      <c r="N414" s="19" t="str">
        <f>IF('Supplier selection'!N414="","",'Supplier selection'!N414)</f>
        <v/>
      </c>
      <c r="O414" s="19" t="str">
        <f>IF('Supplier selection'!O414="","",'Supplier selection'!O414)</f>
        <v/>
      </c>
      <c r="Q414" s="19" t="str">
        <f>HLOOKUP($Q$3,'Supplier selection'!$AW$4:'Supplier selection'!$CT$1000,$A415,FALSE)</f>
        <v/>
      </c>
      <c r="R414" s="22" t="str">
        <f t="shared" si="66"/>
        <v/>
      </c>
      <c r="S414" s="19" t="str">
        <f t="shared" si="67"/>
        <v/>
      </c>
      <c r="T414" s="22" t="str">
        <f t="shared" si="68"/>
        <v/>
      </c>
      <c r="U414" s="19" t="str">
        <f t="shared" si="69"/>
        <v/>
      </c>
      <c r="V414" s="7"/>
      <c r="Y414" s="19" t="str">
        <f>IF('Supplier selection'!AQ414="","",'Supplier selection'!AQ414)</f>
        <v/>
      </c>
      <c r="Z414" s="19" t="str">
        <f>IF('Supplier selection'!AR414="","",'Supplier selection'!AR414)</f>
        <v/>
      </c>
      <c r="AA414" s="19" t="str">
        <f t="shared" si="70"/>
        <v/>
      </c>
      <c r="AD414" s="26" t="str">
        <f>IF(AND('Supplier selection'!X414="",'Supplier selection'!AE414=""),"",IF('Supplier selection'!X414="",'Supplier selection'!AE414,'Supplier selection'!X414))</f>
        <v/>
      </c>
      <c r="AE414" s="19" t="str">
        <f t="shared" si="71"/>
        <v/>
      </c>
      <c r="AF414" s="19" t="str">
        <f t="shared" si="72"/>
        <v/>
      </c>
      <c r="AG414" s="27" t="str">
        <f>IF(AND('Supplier selection'!AB414="",'Supplier selection'!AI414=""),"",IF('Supplier selection'!AB414="",'Supplier selection'!AI414,'Supplier selection'!AB414))</f>
        <v/>
      </c>
      <c r="AH414" s="28" t="str">
        <f t="shared" si="73"/>
        <v/>
      </c>
      <c r="AI414" s="7" t="str">
        <f t="shared" si="74"/>
        <v/>
      </c>
      <c r="AJ414" s="22" t="str">
        <f t="shared" si="75"/>
        <v/>
      </c>
      <c r="AK414" s="29" t="str">
        <f t="shared" si="76"/>
        <v/>
      </c>
      <c r="AL414" s="10"/>
    </row>
    <row r="415" spans="1:38">
      <c r="A415" s="19">
        <f>IF('Supplier selection'!A415="","",'Supplier selection'!A415)</f>
        <v>411</v>
      </c>
      <c r="B415" s="19" t="str">
        <f>IF('Supplier selection'!B415="","",'Supplier selection'!B415)</f>
        <v/>
      </c>
      <c r="C415" s="19" t="str">
        <f>IF('Supplier selection'!C415="","",'Supplier selection'!C415)</f>
        <v/>
      </c>
      <c r="D415" s="19" t="str">
        <f>IF('Supplier selection'!D415="","",'Supplier selection'!D415)</f>
        <v/>
      </c>
      <c r="E415" s="19" t="str">
        <f>IF('Supplier selection'!E415="","",'Supplier selection'!E415)</f>
        <v/>
      </c>
      <c r="F415" s="19" t="str">
        <f>IF('Supplier selection'!F415="","",'Supplier selection'!F415)</f>
        <v/>
      </c>
      <c r="G415" s="19" t="str">
        <f>IF('Supplier selection'!G415="","",'Supplier selection'!G415)</f>
        <v/>
      </c>
      <c r="H415" s="19" t="str">
        <f>IF('Supplier selection'!H415="","",'Supplier selection'!H415)</f>
        <v/>
      </c>
      <c r="I415" s="19" t="str">
        <f>IF('Supplier selection'!I415="","",'Supplier selection'!I415)</f>
        <v/>
      </c>
      <c r="J415" s="19" t="str">
        <f>IF('Supplier selection'!J415="","",'Supplier selection'!J415)</f>
        <v/>
      </c>
      <c r="K415" s="19" t="str">
        <f>IF('Supplier selection'!K415="","",'Supplier selection'!K415)</f>
        <v/>
      </c>
      <c r="L415" s="19" t="str">
        <f>IF('Supplier selection'!L415="","",'Supplier selection'!L415)</f>
        <v/>
      </c>
      <c r="M415" s="19" t="str">
        <f>IF('Supplier selection'!M415="","",'Supplier selection'!M415)</f>
        <v/>
      </c>
      <c r="N415" s="19" t="str">
        <f>IF('Supplier selection'!N415="","",'Supplier selection'!N415)</f>
        <v/>
      </c>
      <c r="O415" s="19" t="str">
        <f>IF('Supplier selection'!O415="","",'Supplier selection'!O415)</f>
        <v/>
      </c>
      <c r="Q415" s="19" t="str">
        <f>HLOOKUP($Q$3,'Supplier selection'!$AW$4:'Supplier selection'!$CT$1000,$A416,FALSE)</f>
        <v/>
      </c>
      <c r="R415" s="22" t="str">
        <f t="shared" si="66"/>
        <v/>
      </c>
      <c r="S415" s="19" t="str">
        <f t="shared" si="67"/>
        <v/>
      </c>
      <c r="T415" s="22" t="str">
        <f t="shared" si="68"/>
        <v/>
      </c>
      <c r="U415" s="19" t="str">
        <f t="shared" si="69"/>
        <v/>
      </c>
      <c r="V415" s="7"/>
      <c r="Y415" s="19" t="str">
        <f>IF('Supplier selection'!AQ415="","",'Supplier selection'!AQ415)</f>
        <v/>
      </c>
      <c r="Z415" s="19" t="str">
        <f>IF('Supplier selection'!AR415="","",'Supplier selection'!AR415)</f>
        <v/>
      </c>
      <c r="AA415" s="19" t="str">
        <f t="shared" si="70"/>
        <v/>
      </c>
      <c r="AD415" s="26" t="str">
        <f>IF(AND('Supplier selection'!X415="",'Supplier selection'!AE415=""),"",IF('Supplier selection'!X415="",'Supplier selection'!AE415,'Supplier selection'!X415))</f>
        <v/>
      </c>
      <c r="AE415" s="19" t="str">
        <f t="shared" si="71"/>
        <v/>
      </c>
      <c r="AF415" s="19" t="str">
        <f t="shared" si="72"/>
        <v/>
      </c>
      <c r="AG415" s="27" t="str">
        <f>IF(AND('Supplier selection'!AB415="",'Supplier selection'!AI415=""),"",IF('Supplier selection'!AB415="",'Supplier selection'!AI415,'Supplier selection'!AB415))</f>
        <v/>
      </c>
      <c r="AH415" s="28" t="str">
        <f t="shared" si="73"/>
        <v/>
      </c>
      <c r="AI415" s="7" t="str">
        <f t="shared" si="74"/>
        <v/>
      </c>
      <c r="AJ415" s="22" t="str">
        <f t="shared" si="75"/>
        <v/>
      </c>
      <c r="AK415" s="29" t="str">
        <f t="shared" si="76"/>
        <v/>
      </c>
      <c r="AL415" s="10"/>
    </row>
    <row r="416" spans="1:38">
      <c r="A416" s="19">
        <f>IF('Supplier selection'!A416="","",'Supplier selection'!A416)</f>
        <v>412</v>
      </c>
      <c r="B416" s="19" t="str">
        <f>IF('Supplier selection'!B416="","",'Supplier selection'!B416)</f>
        <v/>
      </c>
      <c r="C416" s="19" t="str">
        <f>IF('Supplier selection'!C416="","",'Supplier selection'!C416)</f>
        <v/>
      </c>
      <c r="D416" s="19" t="str">
        <f>IF('Supplier selection'!D416="","",'Supplier selection'!D416)</f>
        <v/>
      </c>
      <c r="E416" s="19" t="str">
        <f>IF('Supplier selection'!E416="","",'Supplier selection'!E416)</f>
        <v/>
      </c>
      <c r="F416" s="19" t="str">
        <f>IF('Supplier selection'!F416="","",'Supplier selection'!F416)</f>
        <v/>
      </c>
      <c r="G416" s="19" t="str">
        <f>IF('Supplier selection'!G416="","",'Supplier selection'!G416)</f>
        <v/>
      </c>
      <c r="H416" s="19" t="str">
        <f>IF('Supplier selection'!H416="","",'Supplier selection'!H416)</f>
        <v/>
      </c>
      <c r="I416" s="19" t="str">
        <f>IF('Supplier selection'!I416="","",'Supplier selection'!I416)</f>
        <v/>
      </c>
      <c r="J416" s="19" t="str">
        <f>IF('Supplier selection'!J416="","",'Supplier selection'!J416)</f>
        <v/>
      </c>
      <c r="K416" s="19" t="str">
        <f>IF('Supplier selection'!K416="","",'Supplier selection'!K416)</f>
        <v/>
      </c>
      <c r="L416" s="19" t="str">
        <f>IF('Supplier selection'!L416="","",'Supplier selection'!L416)</f>
        <v/>
      </c>
      <c r="M416" s="19" t="str">
        <f>IF('Supplier selection'!M416="","",'Supplier selection'!M416)</f>
        <v/>
      </c>
      <c r="N416" s="19" t="str">
        <f>IF('Supplier selection'!N416="","",'Supplier selection'!N416)</f>
        <v/>
      </c>
      <c r="O416" s="19" t="str">
        <f>IF('Supplier selection'!O416="","",'Supplier selection'!O416)</f>
        <v/>
      </c>
      <c r="Q416" s="19" t="str">
        <f>HLOOKUP($Q$3,'Supplier selection'!$AW$4:'Supplier selection'!$CT$1000,$A417,FALSE)</f>
        <v/>
      </c>
      <c r="R416" s="22" t="str">
        <f t="shared" si="66"/>
        <v/>
      </c>
      <c r="S416" s="19" t="str">
        <f t="shared" si="67"/>
        <v/>
      </c>
      <c r="T416" s="22" t="str">
        <f t="shared" si="68"/>
        <v/>
      </c>
      <c r="U416" s="19" t="str">
        <f t="shared" si="69"/>
        <v/>
      </c>
      <c r="V416" s="7"/>
      <c r="Y416" s="19" t="str">
        <f>IF('Supplier selection'!AQ416="","",'Supplier selection'!AQ416)</f>
        <v/>
      </c>
      <c r="Z416" s="19" t="str">
        <f>IF('Supplier selection'!AR416="","",'Supplier selection'!AR416)</f>
        <v/>
      </c>
      <c r="AA416" s="19" t="str">
        <f t="shared" si="70"/>
        <v/>
      </c>
      <c r="AD416" s="26" t="str">
        <f>IF(AND('Supplier selection'!X416="",'Supplier selection'!AE416=""),"",IF('Supplier selection'!X416="",'Supplier selection'!AE416,'Supplier selection'!X416))</f>
        <v/>
      </c>
      <c r="AE416" s="19" t="str">
        <f t="shared" si="71"/>
        <v/>
      </c>
      <c r="AF416" s="19" t="str">
        <f t="shared" si="72"/>
        <v/>
      </c>
      <c r="AG416" s="27" t="str">
        <f>IF(AND('Supplier selection'!AB416="",'Supplier selection'!AI416=""),"",IF('Supplier selection'!AB416="",'Supplier selection'!AI416,'Supplier selection'!AB416))</f>
        <v/>
      </c>
      <c r="AH416" s="28" t="str">
        <f t="shared" si="73"/>
        <v/>
      </c>
      <c r="AI416" s="7" t="str">
        <f t="shared" si="74"/>
        <v/>
      </c>
      <c r="AJ416" s="22" t="str">
        <f t="shared" si="75"/>
        <v/>
      </c>
      <c r="AK416" s="29" t="str">
        <f t="shared" si="76"/>
        <v/>
      </c>
      <c r="AL416" s="10"/>
    </row>
    <row r="417" spans="1:38">
      <c r="A417" s="19">
        <f>IF('Supplier selection'!A417="","",'Supplier selection'!A417)</f>
        <v>413</v>
      </c>
      <c r="B417" s="19" t="str">
        <f>IF('Supplier selection'!B417="","",'Supplier selection'!B417)</f>
        <v/>
      </c>
      <c r="C417" s="19" t="str">
        <f>IF('Supplier selection'!C417="","",'Supplier selection'!C417)</f>
        <v/>
      </c>
      <c r="D417" s="19" t="str">
        <f>IF('Supplier selection'!D417="","",'Supplier selection'!D417)</f>
        <v/>
      </c>
      <c r="E417" s="19" t="str">
        <f>IF('Supplier selection'!E417="","",'Supplier selection'!E417)</f>
        <v/>
      </c>
      <c r="F417" s="19" t="str">
        <f>IF('Supplier selection'!F417="","",'Supplier selection'!F417)</f>
        <v/>
      </c>
      <c r="G417" s="19" t="str">
        <f>IF('Supplier selection'!G417="","",'Supplier selection'!G417)</f>
        <v/>
      </c>
      <c r="H417" s="19" t="str">
        <f>IF('Supplier selection'!H417="","",'Supplier selection'!H417)</f>
        <v/>
      </c>
      <c r="I417" s="19" t="str">
        <f>IF('Supplier selection'!I417="","",'Supplier selection'!I417)</f>
        <v/>
      </c>
      <c r="J417" s="19" t="str">
        <f>IF('Supplier selection'!J417="","",'Supplier selection'!J417)</f>
        <v/>
      </c>
      <c r="K417" s="19" t="str">
        <f>IF('Supplier selection'!K417="","",'Supplier selection'!K417)</f>
        <v/>
      </c>
      <c r="L417" s="19" t="str">
        <f>IF('Supplier selection'!L417="","",'Supplier selection'!L417)</f>
        <v/>
      </c>
      <c r="M417" s="19" t="str">
        <f>IF('Supplier selection'!M417="","",'Supplier selection'!M417)</f>
        <v/>
      </c>
      <c r="N417" s="19" t="str">
        <f>IF('Supplier selection'!N417="","",'Supplier selection'!N417)</f>
        <v/>
      </c>
      <c r="O417" s="19" t="str">
        <f>IF('Supplier selection'!O417="","",'Supplier selection'!O417)</f>
        <v/>
      </c>
      <c r="Q417" s="19" t="str">
        <f>HLOOKUP($Q$3,'Supplier selection'!$AW$4:'Supplier selection'!$CT$1000,$A418,FALSE)</f>
        <v/>
      </c>
      <c r="R417" s="22" t="str">
        <f t="shared" si="66"/>
        <v/>
      </c>
      <c r="S417" s="19" t="str">
        <f t="shared" si="67"/>
        <v/>
      </c>
      <c r="T417" s="22" t="str">
        <f t="shared" si="68"/>
        <v/>
      </c>
      <c r="U417" s="19" t="str">
        <f t="shared" si="69"/>
        <v/>
      </c>
      <c r="V417" s="7"/>
      <c r="Y417" s="19" t="str">
        <f>IF('Supplier selection'!AQ417="","",'Supplier selection'!AQ417)</f>
        <v/>
      </c>
      <c r="Z417" s="19" t="str">
        <f>IF('Supplier selection'!AR417="","",'Supplier selection'!AR417)</f>
        <v/>
      </c>
      <c r="AA417" s="19" t="str">
        <f t="shared" si="70"/>
        <v/>
      </c>
      <c r="AD417" s="26" t="str">
        <f>IF(AND('Supplier selection'!X417="",'Supplier selection'!AE417=""),"",IF('Supplier selection'!X417="",'Supplier selection'!AE417,'Supplier selection'!X417))</f>
        <v/>
      </c>
      <c r="AE417" s="19" t="str">
        <f t="shared" si="71"/>
        <v/>
      </c>
      <c r="AF417" s="19" t="str">
        <f t="shared" si="72"/>
        <v/>
      </c>
      <c r="AG417" s="27" t="str">
        <f>IF(AND('Supplier selection'!AB417="",'Supplier selection'!AI417=""),"",IF('Supplier selection'!AB417="",'Supplier selection'!AI417,'Supplier selection'!AB417))</f>
        <v/>
      </c>
      <c r="AH417" s="28" t="str">
        <f t="shared" si="73"/>
        <v/>
      </c>
      <c r="AI417" s="7" t="str">
        <f t="shared" si="74"/>
        <v/>
      </c>
      <c r="AJ417" s="22" t="str">
        <f t="shared" si="75"/>
        <v/>
      </c>
      <c r="AK417" s="29" t="str">
        <f t="shared" si="76"/>
        <v/>
      </c>
      <c r="AL417" s="10"/>
    </row>
    <row r="418" spans="1:38">
      <c r="A418" s="19">
        <f>IF('Supplier selection'!A418="","",'Supplier selection'!A418)</f>
        <v>414</v>
      </c>
      <c r="B418" s="19" t="str">
        <f>IF('Supplier selection'!B418="","",'Supplier selection'!B418)</f>
        <v/>
      </c>
      <c r="C418" s="19" t="str">
        <f>IF('Supplier selection'!C418="","",'Supplier selection'!C418)</f>
        <v/>
      </c>
      <c r="D418" s="19" t="str">
        <f>IF('Supplier selection'!D418="","",'Supplier selection'!D418)</f>
        <v/>
      </c>
      <c r="E418" s="19" t="str">
        <f>IF('Supplier selection'!E418="","",'Supplier selection'!E418)</f>
        <v/>
      </c>
      <c r="F418" s="19" t="str">
        <f>IF('Supplier selection'!F418="","",'Supplier selection'!F418)</f>
        <v/>
      </c>
      <c r="G418" s="19" t="str">
        <f>IF('Supplier selection'!G418="","",'Supplier selection'!G418)</f>
        <v/>
      </c>
      <c r="H418" s="19" t="str">
        <f>IF('Supplier selection'!H418="","",'Supplier selection'!H418)</f>
        <v/>
      </c>
      <c r="I418" s="19" t="str">
        <f>IF('Supplier selection'!I418="","",'Supplier selection'!I418)</f>
        <v/>
      </c>
      <c r="J418" s="19" t="str">
        <f>IF('Supplier selection'!J418="","",'Supplier selection'!J418)</f>
        <v/>
      </c>
      <c r="K418" s="19" t="str">
        <f>IF('Supplier selection'!K418="","",'Supplier selection'!K418)</f>
        <v/>
      </c>
      <c r="L418" s="19" t="str">
        <f>IF('Supplier selection'!L418="","",'Supplier selection'!L418)</f>
        <v/>
      </c>
      <c r="M418" s="19" t="str">
        <f>IF('Supplier selection'!M418="","",'Supplier selection'!M418)</f>
        <v/>
      </c>
      <c r="N418" s="19" t="str">
        <f>IF('Supplier selection'!N418="","",'Supplier selection'!N418)</f>
        <v/>
      </c>
      <c r="O418" s="19" t="str">
        <f>IF('Supplier selection'!O418="","",'Supplier selection'!O418)</f>
        <v/>
      </c>
      <c r="Q418" s="19" t="str">
        <f>HLOOKUP($Q$3,'Supplier selection'!$AW$4:'Supplier selection'!$CT$1000,$A419,FALSE)</f>
        <v/>
      </c>
      <c r="R418" s="22" t="str">
        <f t="shared" si="66"/>
        <v/>
      </c>
      <c r="S418" s="19" t="str">
        <f t="shared" si="67"/>
        <v/>
      </c>
      <c r="T418" s="22" t="str">
        <f t="shared" si="68"/>
        <v/>
      </c>
      <c r="U418" s="19" t="str">
        <f t="shared" si="69"/>
        <v/>
      </c>
      <c r="V418" s="7"/>
      <c r="Y418" s="19" t="str">
        <f>IF('Supplier selection'!AQ418="","",'Supplier selection'!AQ418)</f>
        <v/>
      </c>
      <c r="Z418" s="19" t="str">
        <f>IF('Supplier selection'!AR418="","",'Supplier selection'!AR418)</f>
        <v/>
      </c>
      <c r="AA418" s="19" t="str">
        <f t="shared" si="70"/>
        <v/>
      </c>
      <c r="AD418" s="26" t="str">
        <f>IF(AND('Supplier selection'!X418="",'Supplier selection'!AE418=""),"",IF('Supplier selection'!X418="",'Supplier selection'!AE418,'Supplier selection'!X418))</f>
        <v/>
      </c>
      <c r="AE418" s="19" t="str">
        <f t="shared" si="71"/>
        <v/>
      </c>
      <c r="AF418" s="19" t="str">
        <f t="shared" si="72"/>
        <v/>
      </c>
      <c r="AG418" s="27" t="str">
        <f>IF(AND('Supplier selection'!AB418="",'Supplier selection'!AI418=""),"",IF('Supplier selection'!AB418="",'Supplier selection'!AI418,'Supplier selection'!AB418))</f>
        <v/>
      </c>
      <c r="AH418" s="28" t="str">
        <f t="shared" si="73"/>
        <v/>
      </c>
      <c r="AI418" s="7" t="str">
        <f t="shared" si="74"/>
        <v/>
      </c>
      <c r="AJ418" s="22" t="str">
        <f t="shared" si="75"/>
        <v/>
      </c>
      <c r="AK418" s="29" t="str">
        <f t="shared" si="76"/>
        <v/>
      </c>
      <c r="AL418" s="10"/>
    </row>
    <row r="419" spans="1:38">
      <c r="A419" s="19">
        <f>IF('Supplier selection'!A419="","",'Supplier selection'!A419)</f>
        <v>415</v>
      </c>
      <c r="B419" s="19" t="str">
        <f>IF('Supplier selection'!B419="","",'Supplier selection'!B419)</f>
        <v/>
      </c>
      <c r="C419" s="19" t="str">
        <f>IF('Supplier selection'!C419="","",'Supplier selection'!C419)</f>
        <v/>
      </c>
      <c r="D419" s="19" t="str">
        <f>IF('Supplier selection'!D419="","",'Supplier selection'!D419)</f>
        <v/>
      </c>
      <c r="E419" s="19" t="str">
        <f>IF('Supplier selection'!E419="","",'Supplier selection'!E419)</f>
        <v/>
      </c>
      <c r="F419" s="19" t="str">
        <f>IF('Supplier selection'!F419="","",'Supplier selection'!F419)</f>
        <v/>
      </c>
      <c r="G419" s="19" t="str">
        <f>IF('Supplier selection'!G419="","",'Supplier selection'!G419)</f>
        <v/>
      </c>
      <c r="H419" s="19" t="str">
        <f>IF('Supplier selection'!H419="","",'Supplier selection'!H419)</f>
        <v/>
      </c>
      <c r="I419" s="19" t="str">
        <f>IF('Supplier selection'!I419="","",'Supplier selection'!I419)</f>
        <v/>
      </c>
      <c r="J419" s="19" t="str">
        <f>IF('Supplier selection'!J419="","",'Supplier selection'!J419)</f>
        <v/>
      </c>
      <c r="K419" s="19" t="str">
        <f>IF('Supplier selection'!K419="","",'Supplier selection'!K419)</f>
        <v/>
      </c>
      <c r="L419" s="19" t="str">
        <f>IF('Supplier selection'!L419="","",'Supplier selection'!L419)</f>
        <v/>
      </c>
      <c r="M419" s="19" t="str">
        <f>IF('Supplier selection'!M419="","",'Supplier selection'!M419)</f>
        <v/>
      </c>
      <c r="N419" s="19" t="str">
        <f>IF('Supplier selection'!N419="","",'Supplier selection'!N419)</f>
        <v/>
      </c>
      <c r="O419" s="19" t="str">
        <f>IF('Supplier selection'!O419="","",'Supplier selection'!O419)</f>
        <v/>
      </c>
      <c r="Q419" s="19" t="str">
        <f>HLOOKUP($Q$3,'Supplier selection'!$AW$4:'Supplier selection'!$CT$1000,$A420,FALSE)</f>
        <v/>
      </c>
      <c r="R419" s="22" t="str">
        <f t="shared" si="66"/>
        <v/>
      </c>
      <c r="S419" s="19" t="str">
        <f t="shared" si="67"/>
        <v/>
      </c>
      <c r="T419" s="22" t="str">
        <f t="shared" si="68"/>
        <v/>
      </c>
      <c r="U419" s="19" t="str">
        <f t="shared" si="69"/>
        <v/>
      </c>
      <c r="V419" s="7"/>
      <c r="Y419" s="19" t="str">
        <f>IF('Supplier selection'!AQ419="","",'Supplier selection'!AQ419)</f>
        <v/>
      </c>
      <c r="Z419" s="19" t="str">
        <f>IF('Supplier selection'!AR419="","",'Supplier selection'!AR419)</f>
        <v/>
      </c>
      <c r="AA419" s="19" t="str">
        <f t="shared" si="70"/>
        <v/>
      </c>
      <c r="AD419" s="26" t="str">
        <f>IF(AND('Supplier selection'!X419="",'Supplier selection'!AE419=""),"",IF('Supplier selection'!X419="",'Supplier selection'!AE419,'Supplier selection'!X419))</f>
        <v/>
      </c>
      <c r="AE419" s="19" t="str">
        <f t="shared" si="71"/>
        <v/>
      </c>
      <c r="AF419" s="19" t="str">
        <f t="shared" si="72"/>
        <v/>
      </c>
      <c r="AG419" s="27" t="str">
        <f>IF(AND('Supplier selection'!AB419="",'Supplier selection'!AI419=""),"",IF('Supplier selection'!AB419="",'Supplier selection'!AI419,'Supplier selection'!AB419))</f>
        <v/>
      </c>
      <c r="AH419" s="28" t="str">
        <f t="shared" si="73"/>
        <v/>
      </c>
      <c r="AI419" s="7" t="str">
        <f t="shared" si="74"/>
        <v/>
      </c>
      <c r="AJ419" s="22" t="str">
        <f t="shared" si="75"/>
        <v/>
      </c>
      <c r="AK419" s="29" t="str">
        <f t="shared" si="76"/>
        <v/>
      </c>
      <c r="AL419" s="10"/>
    </row>
    <row r="420" spans="1:38">
      <c r="A420" s="19">
        <f>IF('Supplier selection'!A420="","",'Supplier selection'!A420)</f>
        <v>416</v>
      </c>
      <c r="B420" s="19" t="str">
        <f>IF('Supplier selection'!B420="","",'Supplier selection'!B420)</f>
        <v/>
      </c>
      <c r="C420" s="19" t="str">
        <f>IF('Supplier selection'!C420="","",'Supplier selection'!C420)</f>
        <v/>
      </c>
      <c r="D420" s="19" t="str">
        <f>IF('Supplier selection'!D420="","",'Supplier selection'!D420)</f>
        <v/>
      </c>
      <c r="E420" s="19" t="str">
        <f>IF('Supplier selection'!E420="","",'Supplier selection'!E420)</f>
        <v/>
      </c>
      <c r="F420" s="19" t="str">
        <f>IF('Supplier selection'!F420="","",'Supplier selection'!F420)</f>
        <v/>
      </c>
      <c r="G420" s="19" t="str">
        <f>IF('Supplier selection'!G420="","",'Supplier selection'!G420)</f>
        <v/>
      </c>
      <c r="H420" s="19" t="str">
        <f>IF('Supplier selection'!H420="","",'Supplier selection'!H420)</f>
        <v/>
      </c>
      <c r="I420" s="19" t="str">
        <f>IF('Supplier selection'!I420="","",'Supplier selection'!I420)</f>
        <v/>
      </c>
      <c r="J420" s="19" t="str">
        <f>IF('Supplier selection'!J420="","",'Supplier selection'!J420)</f>
        <v/>
      </c>
      <c r="K420" s="19" t="str">
        <f>IF('Supplier selection'!K420="","",'Supplier selection'!K420)</f>
        <v/>
      </c>
      <c r="L420" s="19" t="str">
        <f>IF('Supplier selection'!L420="","",'Supplier selection'!L420)</f>
        <v/>
      </c>
      <c r="M420" s="19" t="str">
        <f>IF('Supplier selection'!M420="","",'Supplier selection'!M420)</f>
        <v/>
      </c>
      <c r="N420" s="19" t="str">
        <f>IF('Supplier selection'!N420="","",'Supplier selection'!N420)</f>
        <v/>
      </c>
      <c r="O420" s="19" t="str">
        <f>IF('Supplier selection'!O420="","",'Supplier selection'!O420)</f>
        <v/>
      </c>
      <c r="Q420" s="19" t="str">
        <f>HLOOKUP($Q$3,'Supplier selection'!$AW$4:'Supplier selection'!$CT$1000,$A421,FALSE)</f>
        <v/>
      </c>
      <c r="R420" s="22" t="str">
        <f t="shared" si="66"/>
        <v/>
      </c>
      <c r="S420" s="19" t="str">
        <f t="shared" si="67"/>
        <v/>
      </c>
      <c r="T420" s="22" t="str">
        <f t="shared" si="68"/>
        <v/>
      </c>
      <c r="U420" s="19" t="str">
        <f t="shared" si="69"/>
        <v/>
      </c>
      <c r="V420" s="7"/>
      <c r="Y420" s="19" t="str">
        <f>IF('Supplier selection'!AQ420="","",'Supplier selection'!AQ420)</f>
        <v/>
      </c>
      <c r="Z420" s="19" t="str">
        <f>IF('Supplier selection'!AR420="","",'Supplier selection'!AR420)</f>
        <v/>
      </c>
      <c r="AA420" s="19" t="str">
        <f t="shared" si="70"/>
        <v/>
      </c>
      <c r="AD420" s="26" t="str">
        <f>IF(AND('Supplier selection'!X420="",'Supplier selection'!AE420=""),"",IF('Supplier selection'!X420="",'Supplier selection'!AE420,'Supplier selection'!X420))</f>
        <v/>
      </c>
      <c r="AE420" s="19" t="str">
        <f t="shared" si="71"/>
        <v/>
      </c>
      <c r="AF420" s="19" t="str">
        <f t="shared" si="72"/>
        <v/>
      </c>
      <c r="AG420" s="27" t="str">
        <f>IF(AND('Supplier selection'!AB420="",'Supplier selection'!AI420=""),"",IF('Supplier selection'!AB420="",'Supplier selection'!AI420,'Supplier selection'!AB420))</f>
        <v/>
      </c>
      <c r="AH420" s="28" t="str">
        <f t="shared" si="73"/>
        <v/>
      </c>
      <c r="AI420" s="7" t="str">
        <f t="shared" si="74"/>
        <v/>
      </c>
      <c r="AJ420" s="22" t="str">
        <f t="shared" si="75"/>
        <v/>
      </c>
      <c r="AK420" s="29" t="str">
        <f t="shared" si="76"/>
        <v/>
      </c>
      <c r="AL420" s="10"/>
    </row>
    <row r="421" spans="1:38">
      <c r="A421" s="19">
        <f>IF('Supplier selection'!A421="","",'Supplier selection'!A421)</f>
        <v>417</v>
      </c>
      <c r="B421" s="19" t="str">
        <f>IF('Supplier selection'!B421="","",'Supplier selection'!B421)</f>
        <v/>
      </c>
      <c r="C421" s="19" t="str">
        <f>IF('Supplier selection'!C421="","",'Supplier selection'!C421)</f>
        <v/>
      </c>
      <c r="D421" s="19" t="str">
        <f>IF('Supplier selection'!D421="","",'Supplier selection'!D421)</f>
        <v/>
      </c>
      <c r="E421" s="19" t="str">
        <f>IF('Supplier selection'!E421="","",'Supplier selection'!E421)</f>
        <v/>
      </c>
      <c r="F421" s="19" t="str">
        <f>IF('Supplier selection'!F421="","",'Supplier selection'!F421)</f>
        <v/>
      </c>
      <c r="G421" s="19" t="str">
        <f>IF('Supplier selection'!G421="","",'Supplier selection'!G421)</f>
        <v/>
      </c>
      <c r="H421" s="19" t="str">
        <f>IF('Supplier selection'!H421="","",'Supplier selection'!H421)</f>
        <v/>
      </c>
      <c r="I421" s="19" t="str">
        <f>IF('Supplier selection'!I421="","",'Supplier selection'!I421)</f>
        <v/>
      </c>
      <c r="J421" s="19" t="str">
        <f>IF('Supplier selection'!J421="","",'Supplier selection'!J421)</f>
        <v/>
      </c>
      <c r="K421" s="19" t="str">
        <f>IF('Supplier selection'!K421="","",'Supplier selection'!K421)</f>
        <v/>
      </c>
      <c r="L421" s="19" t="str">
        <f>IF('Supplier selection'!L421="","",'Supplier selection'!L421)</f>
        <v/>
      </c>
      <c r="M421" s="19" t="str">
        <f>IF('Supplier selection'!M421="","",'Supplier selection'!M421)</f>
        <v/>
      </c>
      <c r="N421" s="19" t="str">
        <f>IF('Supplier selection'!N421="","",'Supplier selection'!N421)</f>
        <v/>
      </c>
      <c r="O421" s="19" t="str">
        <f>IF('Supplier selection'!O421="","",'Supplier selection'!O421)</f>
        <v/>
      </c>
      <c r="Q421" s="19" t="str">
        <f>HLOOKUP($Q$3,'Supplier selection'!$AW$4:'Supplier selection'!$CT$1000,$A422,FALSE)</f>
        <v/>
      </c>
      <c r="R421" s="22" t="str">
        <f t="shared" si="66"/>
        <v/>
      </c>
      <c r="S421" s="19" t="str">
        <f t="shared" si="67"/>
        <v/>
      </c>
      <c r="T421" s="22" t="str">
        <f t="shared" si="68"/>
        <v/>
      </c>
      <c r="U421" s="19" t="str">
        <f t="shared" si="69"/>
        <v/>
      </c>
      <c r="V421" s="7"/>
      <c r="Y421" s="19" t="str">
        <f>IF('Supplier selection'!AQ421="","",'Supplier selection'!AQ421)</f>
        <v/>
      </c>
      <c r="Z421" s="19" t="str">
        <f>IF('Supplier selection'!AR421="","",'Supplier selection'!AR421)</f>
        <v/>
      </c>
      <c r="AA421" s="19" t="str">
        <f t="shared" si="70"/>
        <v/>
      </c>
      <c r="AD421" s="26" t="str">
        <f>IF(AND('Supplier selection'!X421="",'Supplier selection'!AE421=""),"",IF('Supplier selection'!X421="",'Supplier selection'!AE421,'Supplier selection'!X421))</f>
        <v/>
      </c>
      <c r="AE421" s="19" t="str">
        <f t="shared" si="71"/>
        <v/>
      </c>
      <c r="AF421" s="19" t="str">
        <f t="shared" si="72"/>
        <v/>
      </c>
      <c r="AG421" s="27" t="str">
        <f>IF(AND('Supplier selection'!AB421="",'Supplier selection'!AI421=""),"",IF('Supplier selection'!AB421="",'Supplier selection'!AI421,'Supplier selection'!AB421))</f>
        <v/>
      </c>
      <c r="AH421" s="28" t="str">
        <f t="shared" si="73"/>
        <v/>
      </c>
      <c r="AI421" s="7" t="str">
        <f t="shared" si="74"/>
        <v/>
      </c>
      <c r="AJ421" s="22" t="str">
        <f t="shared" si="75"/>
        <v/>
      </c>
      <c r="AK421" s="29" t="str">
        <f t="shared" si="76"/>
        <v/>
      </c>
      <c r="AL421" s="10"/>
    </row>
    <row r="422" spans="1:38">
      <c r="A422" s="19">
        <f>IF('Supplier selection'!A422="","",'Supplier selection'!A422)</f>
        <v>418</v>
      </c>
      <c r="B422" s="19" t="str">
        <f>IF('Supplier selection'!B422="","",'Supplier selection'!B422)</f>
        <v/>
      </c>
      <c r="C422" s="19" t="str">
        <f>IF('Supplier selection'!C422="","",'Supplier selection'!C422)</f>
        <v/>
      </c>
      <c r="D422" s="19" t="str">
        <f>IF('Supplier selection'!D422="","",'Supplier selection'!D422)</f>
        <v/>
      </c>
      <c r="E422" s="19" t="str">
        <f>IF('Supplier selection'!E422="","",'Supplier selection'!E422)</f>
        <v/>
      </c>
      <c r="F422" s="19" t="str">
        <f>IF('Supplier selection'!F422="","",'Supplier selection'!F422)</f>
        <v/>
      </c>
      <c r="G422" s="19" t="str">
        <f>IF('Supplier selection'!G422="","",'Supplier selection'!G422)</f>
        <v/>
      </c>
      <c r="H422" s="19" t="str">
        <f>IF('Supplier selection'!H422="","",'Supplier selection'!H422)</f>
        <v/>
      </c>
      <c r="I422" s="19" t="str">
        <f>IF('Supplier selection'!I422="","",'Supplier selection'!I422)</f>
        <v/>
      </c>
      <c r="J422" s="19" t="str">
        <f>IF('Supplier selection'!J422="","",'Supplier selection'!J422)</f>
        <v/>
      </c>
      <c r="K422" s="19" t="str">
        <f>IF('Supplier selection'!K422="","",'Supplier selection'!K422)</f>
        <v/>
      </c>
      <c r="L422" s="19" t="str">
        <f>IF('Supplier selection'!L422="","",'Supplier selection'!L422)</f>
        <v/>
      </c>
      <c r="M422" s="19" t="str">
        <f>IF('Supplier selection'!M422="","",'Supplier selection'!M422)</f>
        <v/>
      </c>
      <c r="N422" s="19" t="str">
        <f>IF('Supplier selection'!N422="","",'Supplier selection'!N422)</f>
        <v/>
      </c>
      <c r="O422" s="19" t="str">
        <f>IF('Supplier selection'!O422="","",'Supplier selection'!O422)</f>
        <v/>
      </c>
      <c r="Q422" s="19" t="str">
        <f>HLOOKUP($Q$3,'Supplier selection'!$AW$4:'Supplier selection'!$CT$1000,$A423,FALSE)</f>
        <v/>
      </c>
      <c r="R422" s="22" t="str">
        <f t="shared" si="66"/>
        <v/>
      </c>
      <c r="S422" s="19" t="str">
        <f t="shared" si="67"/>
        <v/>
      </c>
      <c r="T422" s="22" t="str">
        <f t="shared" si="68"/>
        <v/>
      </c>
      <c r="U422" s="19" t="str">
        <f t="shared" si="69"/>
        <v/>
      </c>
      <c r="V422" s="7"/>
      <c r="Y422" s="19" t="str">
        <f>IF('Supplier selection'!AQ422="","",'Supplier selection'!AQ422)</f>
        <v/>
      </c>
      <c r="Z422" s="19" t="str">
        <f>IF('Supplier selection'!AR422="","",'Supplier selection'!AR422)</f>
        <v/>
      </c>
      <c r="AA422" s="19" t="str">
        <f t="shared" si="70"/>
        <v/>
      </c>
      <c r="AD422" s="26" t="str">
        <f>IF(AND('Supplier selection'!X422="",'Supplier selection'!AE422=""),"",IF('Supplier selection'!X422="",'Supplier selection'!AE422,'Supplier selection'!X422))</f>
        <v/>
      </c>
      <c r="AE422" s="19" t="str">
        <f t="shared" si="71"/>
        <v/>
      </c>
      <c r="AF422" s="19" t="str">
        <f t="shared" si="72"/>
        <v/>
      </c>
      <c r="AG422" s="27" t="str">
        <f>IF(AND('Supplier selection'!AB422="",'Supplier selection'!AI422=""),"",IF('Supplier selection'!AB422="",'Supplier selection'!AI422,'Supplier selection'!AB422))</f>
        <v/>
      </c>
      <c r="AH422" s="28" t="str">
        <f t="shared" si="73"/>
        <v/>
      </c>
      <c r="AI422" s="7" t="str">
        <f t="shared" si="74"/>
        <v/>
      </c>
      <c r="AJ422" s="22" t="str">
        <f t="shared" si="75"/>
        <v/>
      </c>
      <c r="AK422" s="29" t="str">
        <f t="shared" si="76"/>
        <v/>
      </c>
      <c r="AL422" s="10"/>
    </row>
    <row r="423" spans="1:38">
      <c r="A423" s="19">
        <f>IF('Supplier selection'!A423="","",'Supplier selection'!A423)</f>
        <v>419</v>
      </c>
      <c r="B423" s="19" t="str">
        <f>IF('Supplier selection'!B423="","",'Supplier selection'!B423)</f>
        <v/>
      </c>
      <c r="C423" s="19" t="str">
        <f>IF('Supplier selection'!C423="","",'Supplier selection'!C423)</f>
        <v/>
      </c>
      <c r="D423" s="19" t="str">
        <f>IF('Supplier selection'!D423="","",'Supplier selection'!D423)</f>
        <v/>
      </c>
      <c r="E423" s="19" t="str">
        <f>IF('Supplier selection'!E423="","",'Supplier selection'!E423)</f>
        <v/>
      </c>
      <c r="F423" s="19" t="str">
        <f>IF('Supplier selection'!F423="","",'Supplier selection'!F423)</f>
        <v/>
      </c>
      <c r="G423" s="19" t="str">
        <f>IF('Supplier selection'!G423="","",'Supplier selection'!G423)</f>
        <v/>
      </c>
      <c r="H423" s="19" t="str">
        <f>IF('Supplier selection'!H423="","",'Supplier selection'!H423)</f>
        <v/>
      </c>
      <c r="I423" s="19" t="str">
        <f>IF('Supplier selection'!I423="","",'Supplier selection'!I423)</f>
        <v/>
      </c>
      <c r="J423" s="19" t="str">
        <f>IF('Supplier selection'!J423="","",'Supplier selection'!J423)</f>
        <v/>
      </c>
      <c r="K423" s="19" t="str">
        <f>IF('Supplier selection'!K423="","",'Supplier selection'!K423)</f>
        <v/>
      </c>
      <c r="L423" s="19" t="str">
        <f>IF('Supplier selection'!L423="","",'Supplier selection'!L423)</f>
        <v/>
      </c>
      <c r="M423" s="19" t="str">
        <f>IF('Supplier selection'!M423="","",'Supplier selection'!M423)</f>
        <v/>
      </c>
      <c r="N423" s="19" t="str">
        <f>IF('Supplier selection'!N423="","",'Supplier selection'!N423)</f>
        <v/>
      </c>
      <c r="O423" s="19" t="str">
        <f>IF('Supplier selection'!O423="","",'Supplier selection'!O423)</f>
        <v/>
      </c>
      <c r="Q423" s="19" t="str">
        <f>HLOOKUP($Q$3,'Supplier selection'!$AW$4:'Supplier selection'!$CT$1000,$A424,FALSE)</f>
        <v/>
      </c>
      <c r="R423" s="22" t="str">
        <f t="shared" si="66"/>
        <v/>
      </c>
      <c r="S423" s="19" t="str">
        <f t="shared" si="67"/>
        <v/>
      </c>
      <c r="T423" s="22" t="str">
        <f t="shared" si="68"/>
        <v/>
      </c>
      <c r="U423" s="19" t="str">
        <f t="shared" si="69"/>
        <v/>
      </c>
      <c r="V423" s="7"/>
      <c r="Y423" s="19" t="str">
        <f>IF('Supplier selection'!AQ423="","",'Supplier selection'!AQ423)</f>
        <v/>
      </c>
      <c r="Z423" s="19" t="str">
        <f>IF('Supplier selection'!AR423="","",'Supplier selection'!AR423)</f>
        <v/>
      </c>
      <c r="AA423" s="19" t="str">
        <f t="shared" si="70"/>
        <v/>
      </c>
      <c r="AD423" s="26" t="str">
        <f>IF(AND('Supplier selection'!X423="",'Supplier selection'!AE423=""),"",IF('Supplier selection'!X423="",'Supplier selection'!AE423,'Supplier selection'!X423))</f>
        <v/>
      </c>
      <c r="AE423" s="19" t="str">
        <f t="shared" si="71"/>
        <v/>
      </c>
      <c r="AF423" s="19" t="str">
        <f t="shared" si="72"/>
        <v/>
      </c>
      <c r="AG423" s="27" t="str">
        <f>IF(AND('Supplier selection'!AB423="",'Supplier selection'!AI423=""),"",IF('Supplier selection'!AB423="",'Supplier selection'!AI423,'Supplier selection'!AB423))</f>
        <v/>
      </c>
      <c r="AH423" s="28" t="str">
        <f t="shared" si="73"/>
        <v/>
      </c>
      <c r="AI423" s="7" t="str">
        <f t="shared" si="74"/>
        <v/>
      </c>
      <c r="AJ423" s="22" t="str">
        <f t="shared" si="75"/>
        <v/>
      </c>
      <c r="AK423" s="29" t="str">
        <f t="shared" si="76"/>
        <v/>
      </c>
      <c r="AL423" s="10"/>
    </row>
    <row r="424" spans="1:38">
      <c r="A424" s="19">
        <f>IF('Supplier selection'!A424="","",'Supplier selection'!A424)</f>
        <v>420</v>
      </c>
      <c r="B424" s="19" t="str">
        <f>IF('Supplier selection'!B424="","",'Supplier selection'!B424)</f>
        <v/>
      </c>
      <c r="C424" s="19" t="str">
        <f>IF('Supplier selection'!C424="","",'Supplier selection'!C424)</f>
        <v/>
      </c>
      <c r="D424" s="19" t="str">
        <f>IF('Supplier selection'!D424="","",'Supplier selection'!D424)</f>
        <v/>
      </c>
      <c r="E424" s="19" t="str">
        <f>IF('Supplier selection'!E424="","",'Supplier selection'!E424)</f>
        <v/>
      </c>
      <c r="F424" s="19" t="str">
        <f>IF('Supplier selection'!F424="","",'Supplier selection'!F424)</f>
        <v/>
      </c>
      <c r="G424" s="19" t="str">
        <f>IF('Supplier selection'!G424="","",'Supplier selection'!G424)</f>
        <v/>
      </c>
      <c r="H424" s="19" t="str">
        <f>IF('Supplier selection'!H424="","",'Supplier selection'!H424)</f>
        <v/>
      </c>
      <c r="I424" s="19" t="str">
        <f>IF('Supplier selection'!I424="","",'Supplier selection'!I424)</f>
        <v/>
      </c>
      <c r="J424" s="19" t="str">
        <f>IF('Supplier selection'!J424="","",'Supplier selection'!J424)</f>
        <v/>
      </c>
      <c r="K424" s="19" t="str">
        <f>IF('Supplier selection'!K424="","",'Supplier selection'!K424)</f>
        <v/>
      </c>
      <c r="L424" s="19" t="str">
        <f>IF('Supplier selection'!L424="","",'Supplier selection'!L424)</f>
        <v/>
      </c>
      <c r="M424" s="19" t="str">
        <f>IF('Supplier selection'!M424="","",'Supplier selection'!M424)</f>
        <v/>
      </c>
      <c r="N424" s="19" t="str">
        <f>IF('Supplier selection'!N424="","",'Supplier selection'!N424)</f>
        <v/>
      </c>
      <c r="O424" s="19" t="str">
        <f>IF('Supplier selection'!O424="","",'Supplier selection'!O424)</f>
        <v/>
      </c>
      <c r="Q424" s="19" t="str">
        <f>HLOOKUP($Q$3,'Supplier selection'!$AW$4:'Supplier selection'!$CT$1000,$A425,FALSE)</f>
        <v/>
      </c>
      <c r="R424" s="22" t="str">
        <f t="shared" si="66"/>
        <v/>
      </c>
      <c r="S424" s="19" t="str">
        <f t="shared" si="67"/>
        <v/>
      </c>
      <c r="T424" s="22" t="str">
        <f t="shared" si="68"/>
        <v/>
      </c>
      <c r="U424" s="19" t="str">
        <f t="shared" si="69"/>
        <v/>
      </c>
      <c r="V424" s="7"/>
      <c r="Y424" s="19" t="str">
        <f>IF('Supplier selection'!AQ424="","",'Supplier selection'!AQ424)</f>
        <v/>
      </c>
      <c r="Z424" s="19" t="str">
        <f>IF('Supplier selection'!AR424="","",'Supplier selection'!AR424)</f>
        <v/>
      </c>
      <c r="AA424" s="19" t="str">
        <f t="shared" si="70"/>
        <v/>
      </c>
      <c r="AD424" s="26" t="str">
        <f>IF(AND('Supplier selection'!X424="",'Supplier selection'!AE424=""),"",IF('Supplier selection'!X424="",'Supplier selection'!AE424,'Supplier selection'!X424))</f>
        <v/>
      </c>
      <c r="AE424" s="19" t="str">
        <f t="shared" si="71"/>
        <v/>
      </c>
      <c r="AF424" s="19" t="str">
        <f t="shared" si="72"/>
        <v/>
      </c>
      <c r="AG424" s="27" t="str">
        <f>IF(AND('Supplier selection'!AB424="",'Supplier selection'!AI424=""),"",IF('Supplier selection'!AB424="",'Supplier selection'!AI424,'Supplier selection'!AB424))</f>
        <v/>
      </c>
      <c r="AH424" s="28" t="str">
        <f t="shared" si="73"/>
        <v/>
      </c>
      <c r="AI424" s="7" t="str">
        <f t="shared" si="74"/>
        <v/>
      </c>
      <c r="AJ424" s="22" t="str">
        <f t="shared" si="75"/>
        <v/>
      </c>
      <c r="AK424" s="29" t="str">
        <f t="shared" si="76"/>
        <v/>
      </c>
      <c r="AL424" s="10"/>
    </row>
    <row r="425" spans="1:38">
      <c r="A425" s="19">
        <f>IF('Supplier selection'!A425="","",'Supplier selection'!A425)</f>
        <v>421</v>
      </c>
      <c r="B425" s="19" t="str">
        <f>IF('Supplier selection'!B425="","",'Supplier selection'!B425)</f>
        <v/>
      </c>
      <c r="C425" s="19" t="str">
        <f>IF('Supplier selection'!C425="","",'Supplier selection'!C425)</f>
        <v/>
      </c>
      <c r="D425" s="19" t="str">
        <f>IF('Supplier selection'!D425="","",'Supplier selection'!D425)</f>
        <v/>
      </c>
      <c r="E425" s="19" t="str">
        <f>IF('Supplier selection'!E425="","",'Supplier selection'!E425)</f>
        <v/>
      </c>
      <c r="F425" s="19" t="str">
        <f>IF('Supplier selection'!F425="","",'Supplier selection'!F425)</f>
        <v/>
      </c>
      <c r="G425" s="19" t="str">
        <f>IF('Supplier selection'!G425="","",'Supplier selection'!G425)</f>
        <v/>
      </c>
      <c r="H425" s="19" t="str">
        <f>IF('Supplier selection'!H425="","",'Supplier selection'!H425)</f>
        <v/>
      </c>
      <c r="I425" s="19" t="str">
        <f>IF('Supplier selection'!I425="","",'Supplier selection'!I425)</f>
        <v/>
      </c>
      <c r="J425" s="19" t="str">
        <f>IF('Supplier selection'!J425="","",'Supplier selection'!J425)</f>
        <v/>
      </c>
      <c r="K425" s="19" t="str">
        <f>IF('Supplier selection'!K425="","",'Supplier selection'!K425)</f>
        <v/>
      </c>
      <c r="L425" s="19" t="str">
        <f>IF('Supplier selection'!L425="","",'Supplier selection'!L425)</f>
        <v/>
      </c>
      <c r="M425" s="19" t="str">
        <f>IF('Supplier selection'!M425="","",'Supplier selection'!M425)</f>
        <v/>
      </c>
      <c r="N425" s="19" t="str">
        <f>IF('Supplier selection'!N425="","",'Supplier selection'!N425)</f>
        <v/>
      </c>
      <c r="O425" s="19" t="str">
        <f>IF('Supplier selection'!O425="","",'Supplier selection'!O425)</f>
        <v/>
      </c>
      <c r="Q425" s="19" t="str">
        <f>HLOOKUP($Q$3,'Supplier selection'!$AW$4:'Supplier selection'!$CT$1000,$A426,FALSE)</f>
        <v/>
      </c>
      <c r="R425" s="22" t="str">
        <f t="shared" si="66"/>
        <v/>
      </c>
      <c r="S425" s="19" t="str">
        <f t="shared" si="67"/>
        <v/>
      </c>
      <c r="T425" s="22" t="str">
        <f t="shared" si="68"/>
        <v/>
      </c>
      <c r="U425" s="19" t="str">
        <f t="shared" si="69"/>
        <v/>
      </c>
      <c r="V425" s="7"/>
      <c r="Y425" s="19" t="str">
        <f>IF('Supplier selection'!AQ425="","",'Supplier selection'!AQ425)</f>
        <v/>
      </c>
      <c r="Z425" s="19" t="str">
        <f>IF('Supplier selection'!AR425="","",'Supplier selection'!AR425)</f>
        <v/>
      </c>
      <c r="AA425" s="19" t="str">
        <f t="shared" si="70"/>
        <v/>
      </c>
      <c r="AD425" s="26" t="str">
        <f>IF(AND('Supplier selection'!X425="",'Supplier selection'!AE425=""),"",IF('Supplier selection'!X425="",'Supplier selection'!AE425,'Supplier selection'!X425))</f>
        <v/>
      </c>
      <c r="AE425" s="19" t="str">
        <f t="shared" si="71"/>
        <v/>
      </c>
      <c r="AF425" s="19" t="str">
        <f t="shared" si="72"/>
        <v/>
      </c>
      <c r="AG425" s="27" t="str">
        <f>IF(AND('Supplier selection'!AB425="",'Supplier selection'!AI425=""),"",IF('Supplier selection'!AB425="",'Supplier selection'!AI425,'Supplier selection'!AB425))</f>
        <v/>
      </c>
      <c r="AH425" s="28" t="str">
        <f t="shared" si="73"/>
        <v/>
      </c>
      <c r="AI425" s="7" t="str">
        <f t="shared" si="74"/>
        <v/>
      </c>
      <c r="AJ425" s="22" t="str">
        <f t="shared" si="75"/>
        <v/>
      </c>
      <c r="AK425" s="29" t="str">
        <f t="shared" si="76"/>
        <v/>
      </c>
      <c r="AL425" s="10"/>
    </row>
    <row r="426" spans="1:38">
      <c r="A426" s="19">
        <f>IF('Supplier selection'!A426="","",'Supplier selection'!A426)</f>
        <v>422</v>
      </c>
      <c r="B426" s="19" t="str">
        <f>IF('Supplier selection'!B426="","",'Supplier selection'!B426)</f>
        <v/>
      </c>
      <c r="C426" s="19" t="str">
        <f>IF('Supplier selection'!C426="","",'Supplier selection'!C426)</f>
        <v/>
      </c>
      <c r="D426" s="19" t="str">
        <f>IF('Supplier selection'!D426="","",'Supplier selection'!D426)</f>
        <v/>
      </c>
      <c r="E426" s="19" t="str">
        <f>IF('Supplier selection'!E426="","",'Supplier selection'!E426)</f>
        <v/>
      </c>
      <c r="F426" s="19" t="str">
        <f>IF('Supplier selection'!F426="","",'Supplier selection'!F426)</f>
        <v/>
      </c>
      <c r="G426" s="19" t="str">
        <f>IF('Supplier selection'!G426="","",'Supplier selection'!G426)</f>
        <v/>
      </c>
      <c r="H426" s="19" t="str">
        <f>IF('Supplier selection'!H426="","",'Supplier selection'!H426)</f>
        <v/>
      </c>
      <c r="I426" s="19" t="str">
        <f>IF('Supplier selection'!I426="","",'Supplier selection'!I426)</f>
        <v/>
      </c>
      <c r="J426" s="19" t="str">
        <f>IF('Supplier selection'!J426="","",'Supplier selection'!J426)</f>
        <v/>
      </c>
      <c r="K426" s="19" t="str">
        <f>IF('Supplier selection'!K426="","",'Supplier selection'!K426)</f>
        <v/>
      </c>
      <c r="L426" s="19" t="str">
        <f>IF('Supplier selection'!L426="","",'Supplier selection'!L426)</f>
        <v/>
      </c>
      <c r="M426" s="19" t="str">
        <f>IF('Supplier selection'!M426="","",'Supplier selection'!M426)</f>
        <v/>
      </c>
      <c r="N426" s="19" t="str">
        <f>IF('Supplier selection'!N426="","",'Supplier selection'!N426)</f>
        <v/>
      </c>
      <c r="O426" s="19" t="str">
        <f>IF('Supplier selection'!O426="","",'Supplier selection'!O426)</f>
        <v/>
      </c>
      <c r="Q426" s="19" t="str">
        <f>HLOOKUP($Q$3,'Supplier selection'!$AW$4:'Supplier selection'!$CT$1000,$A427,FALSE)</f>
        <v/>
      </c>
      <c r="R426" s="22" t="str">
        <f t="shared" si="66"/>
        <v/>
      </c>
      <c r="S426" s="19" t="str">
        <f t="shared" si="67"/>
        <v/>
      </c>
      <c r="T426" s="22" t="str">
        <f t="shared" si="68"/>
        <v/>
      </c>
      <c r="U426" s="19" t="str">
        <f t="shared" si="69"/>
        <v/>
      </c>
      <c r="V426" s="7"/>
      <c r="Y426" s="19" t="str">
        <f>IF('Supplier selection'!AQ426="","",'Supplier selection'!AQ426)</f>
        <v/>
      </c>
      <c r="Z426" s="19" t="str">
        <f>IF('Supplier selection'!AR426="","",'Supplier selection'!AR426)</f>
        <v/>
      </c>
      <c r="AA426" s="19" t="str">
        <f t="shared" si="70"/>
        <v/>
      </c>
      <c r="AD426" s="26" t="str">
        <f>IF(AND('Supplier selection'!X426="",'Supplier selection'!AE426=""),"",IF('Supplier selection'!X426="",'Supplier selection'!AE426,'Supplier selection'!X426))</f>
        <v/>
      </c>
      <c r="AE426" s="19" t="str">
        <f t="shared" si="71"/>
        <v/>
      </c>
      <c r="AF426" s="19" t="str">
        <f t="shared" si="72"/>
        <v/>
      </c>
      <c r="AG426" s="27" t="str">
        <f>IF(AND('Supplier selection'!AB426="",'Supplier selection'!AI426=""),"",IF('Supplier selection'!AB426="",'Supplier selection'!AI426,'Supplier selection'!AB426))</f>
        <v/>
      </c>
      <c r="AH426" s="28" t="str">
        <f t="shared" si="73"/>
        <v/>
      </c>
      <c r="AI426" s="7" t="str">
        <f t="shared" si="74"/>
        <v/>
      </c>
      <c r="AJ426" s="22" t="str">
        <f t="shared" si="75"/>
        <v/>
      </c>
      <c r="AK426" s="29" t="str">
        <f t="shared" si="76"/>
        <v/>
      </c>
      <c r="AL426" s="10"/>
    </row>
    <row r="427" spans="1:38">
      <c r="A427" s="19">
        <f>IF('Supplier selection'!A427="","",'Supplier selection'!A427)</f>
        <v>423</v>
      </c>
      <c r="B427" s="19" t="str">
        <f>IF('Supplier selection'!B427="","",'Supplier selection'!B427)</f>
        <v/>
      </c>
      <c r="C427" s="19" t="str">
        <f>IF('Supplier selection'!C427="","",'Supplier selection'!C427)</f>
        <v/>
      </c>
      <c r="D427" s="19" t="str">
        <f>IF('Supplier selection'!D427="","",'Supplier selection'!D427)</f>
        <v/>
      </c>
      <c r="E427" s="19" t="str">
        <f>IF('Supplier selection'!E427="","",'Supplier selection'!E427)</f>
        <v/>
      </c>
      <c r="F427" s="19" t="str">
        <f>IF('Supplier selection'!F427="","",'Supplier selection'!F427)</f>
        <v/>
      </c>
      <c r="G427" s="19" t="str">
        <f>IF('Supplier selection'!G427="","",'Supplier selection'!G427)</f>
        <v/>
      </c>
      <c r="H427" s="19" t="str">
        <f>IF('Supplier selection'!H427="","",'Supplier selection'!H427)</f>
        <v/>
      </c>
      <c r="I427" s="19" t="str">
        <f>IF('Supplier selection'!I427="","",'Supplier selection'!I427)</f>
        <v/>
      </c>
      <c r="J427" s="19" t="str">
        <f>IF('Supplier selection'!J427="","",'Supplier selection'!J427)</f>
        <v/>
      </c>
      <c r="K427" s="19" t="str">
        <f>IF('Supplier selection'!K427="","",'Supplier selection'!K427)</f>
        <v/>
      </c>
      <c r="L427" s="19" t="str">
        <f>IF('Supplier selection'!L427="","",'Supplier selection'!L427)</f>
        <v/>
      </c>
      <c r="M427" s="19" t="str">
        <f>IF('Supplier selection'!M427="","",'Supplier selection'!M427)</f>
        <v/>
      </c>
      <c r="N427" s="19" t="str">
        <f>IF('Supplier selection'!N427="","",'Supplier selection'!N427)</f>
        <v/>
      </c>
      <c r="O427" s="19" t="str">
        <f>IF('Supplier selection'!O427="","",'Supplier selection'!O427)</f>
        <v/>
      </c>
      <c r="Q427" s="19" t="str">
        <f>HLOOKUP($Q$3,'Supplier selection'!$AW$4:'Supplier selection'!$CT$1000,$A428,FALSE)</f>
        <v/>
      </c>
      <c r="R427" s="22" t="str">
        <f t="shared" si="66"/>
        <v/>
      </c>
      <c r="S427" s="19" t="str">
        <f t="shared" si="67"/>
        <v/>
      </c>
      <c r="T427" s="22" t="str">
        <f t="shared" si="68"/>
        <v/>
      </c>
      <c r="U427" s="19" t="str">
        <f t="shared" si="69"/>
        <v/>
      </c>
      <c r="V427" s="7"/>
      <c r="Y427" s="19" t="str">
        <f>IF('Supplier selection'!AQ427="","",'Supplier selection'!AQ427)</f>
        <v/>
      </c>
      <c r="Z427" s="19" t="str">
        <f>IF('Supplier selection'!AR427="","",'Supplier selection'!AR427)</f>
        <v/>
      </c>
      <c r="AA427" s="19" t="str">
        <f t="shared" si="70"/>
        <v/>
      </c>
      <c r="AD427" s="26" t="str">
        <f>IF(AND('Supplier selection'!X427="",'Supplier selection'!AE427=""),"",IF('Supplier selection'!X427="",'Supplier selection'!AE427,'Supplier selection'!X427))</f>
        <v/>
      </c>
      <c r="AE427" s="19" t="str">
        <f t="shared" si="71"/>
        <v/>
      </c>
      <c r="AF427" s="19" t="str">
        <f t="shared" si="72"/>
        <v/>
      </c>
      <c r="AG427" s="27" t="str">
        <f>IF(AND('Supplier selection'!AB427="",'Supplier selection'!AI427=""),"",IF('Supplier selection'!AB427="",'Supplier selection'!AI427,'Supplier selection'!AB427))</f>
        <v/>
      </c>
      <c r="AH427" s="28" t="str">
        <f t="shared" si="73"/>
        <v/>
      </c>
      <c r="AI427" s="7" t="str">
        <f t="shared" si="74"/>
        <v/>
      </c>
      <c r="AJ427" s="22" t="str">
        <f t="shared" si="75"/>
        <v/>
      </c>
      <c r="AK427" s="29" t="str">
        <f t="shared" si="76"/>
        <v/>
      </c>
      <c r="AL427" s="10"/>
    </row>
    <row r="428" spans="1:38">
      <c r="A428" s="19">
        <f>IF('Supplier selection'!A428="","",'Supplier selection'!A428)</f>
        <v>424</v>
      </c>
      <c r="B428" s="19" t="str">
        <f>IF('Supplier selection'!B428="","",'Supplier selection'!B428)</f>
        <v/>
      </c>
      <c r="C428" s="19" t="str">
        <f>IF('Supplier selection'!C428="","",'Supplier selection'!C428)</f>
        <v/>
      </c>
      <c r="D428" s="19" t="str">
        <f>IF('Supplier selection'!D428="","",'Supplier selection'!D428)</f>
        <v/>
      </c>
      <c r="E428" s="19" t="str">
        <f>IF('Supplier selection'!E428="","",'Supplier selection'!E428)</f>
        <v/>
      </c>
      <c r="F428" s="19" t="str">
        <f>IF('Supplier selection'!F428="","",'Supplier selection'!F428)</f>
        <v/>
      </c>
      <c r="G428" s="19" t="str">
        <f>IF('Supplier selection'!G428="","",'Supplier selection'!G428)</f>
        <v/>
      </c>
      <c r="H428" s="19" t="str">
        <f>IF('Supplier selection'!H428="","",'Supplier selection'!H428)</f>
        <v/>
      </c>
      <c r="I428" s="19" t="str">
        <f>IF('Supplier selection'!I428="","",'Supplier selection'!I428)</f>
        <v/>
      </c>
      <c r="J428" s="19" t="str">
        <f>IF('Supplier selection'!J428="","",'Supplier selection'!J428)</f>
        <v/>
      </c>
      <c r="K428" s="19" t="str">
        <f>IF('Supplier selection'!K428="","",'Supplier selection'!K428)</f>
        <v/>
      </c>
      <c r="L428" s="19" t="str">
        <f>IF('Supplier selection'!L428="","",'Supplier selection'!L428)</f>
        <v/>
      </c>
      <c r="M428" s="19" t="str">
        <f>IF('Supplier selection'!M428="","",'Supplier selection'!M428)</f>
        <v/>
      </c>
      <c r="N428" s="19" t="str">
        <f>IF('Supplier selection'!N428="","",'Supplier selection'!N428)</f>
        <v/>
      </c>
      <c r="O428" s="19" t="str">
        <f>IF('Supplier selection'!O428="","",'Supplier selection'!O428)</f>
        <v/>
      </c>
      <c r="Q428" s="19" t="str">
        <f>HLOOKUP($Q$3,'Supplier selection'!$AW$4:'Supplier selection'!$CT$1000,$A429,FALSE)</f>
        <v/>
      </c>
      <c r="R428" s="22" t="str">
        <f t="shared" si="66"/>
        <v/>
      </c>
      <c r="S428" s="19" t="str">
        <f t="shared" si="67"/>
        <v/>
      </c>
      <c r="T428" s="22" t="str">
        <f t="shared" si="68"/>
        <v/>
      </c>
      <c r="U428" s="19" t="str">
        <f t="shared" si="69"/>
        <v/>
      </c>
      <c r="V428" s="7"/>
      <c r="Y428" s="19" t="str">
        <f>IF('Supplier selection'!AQ428="","",'Supplier selection'!AQ428)</f>
        <v/>
      </c>
      <c r="Z428" s="19" t="str">
        <f>IF('Supplier selection'!AR428="","",'Supplier selection'!AR428)</f>
        <v/>
      </c>
      <c r="AA428" s="19" t="str">
        <f t="shared" si="70"/>
        <v/>
      </c>
      <c r="AD428" s="26" t="str">
        <f>IF(AND('Supplier selection'!X428="",'Supplier selection'!AE428=""),"",IF('Supplier selection'!X428="",'Supplier selection'!AE428,'Supplier selection'!X428))</f>
        <v/>
      </c>
      <c r="AE428" s="19" t="str">
        <f t="shared" si="71"/>
        <v/>
      </c>
      <c r="AF428" s="19" t="str">
        <f t="shared" si="72"/>
        <v/>
      </c>
      <c r="AG428" s="27" t="str">
        <f>IF(AND('Supplier selection'!AB428="",'Supplier selection'!AI428=""),"",IF('Supplier selection'!AB428="",'Supplier selection'!AI428,'Supplier selection'!AB428))</f>
        <v/>
      </c>
      <c r="AH428" s="28" t="str">
        <f t="shared" si="73"/>
        <v/>
      </c>
      <c r="AI428" s="7" t="str">
        <f t="shared" si="74"/>
        <v/>
      </c>
      <c r="AJ428" s="22" t="str">
        <f t="shared" si="75"/>
        <v/>
      </c>
      <c r="AK428" s="29" t="str">
        <f t="shared" si="76"/>
        <v/>
      </c>
      <c r="AL428" s="10"/>
    </row>
    <row r="429" spans="1:38">
      <c r="A429" s="19">
        <f>IF('Supplier selection'!A429="","",'Supplier selection'!A429)</f>
        <v>425</v>
      </c>
      <c r="B429" s="19" t="str">
        <f>IF('Supplier selection'!B429="","",'Supplier selection'!B429)</f>
        <v/>
      </c>
      <c r="C429" s="19" t="str">
        <f>IF('Supplier selection'!C429="","",'Supplier selection'!C429)</f>
        <v/>
      </c>
      <c r="D429" s="19" t="str">
        <f>IF('Supplier selection'!D429="","",'Supplier selection'!D429)</f>
        <v/>
      </c>
      <c r="E429" s="19" t="str">
        <f>IF('Supplier selection'!E429="","",'Supplier selection'!E429)</f>
        <v/>
      </c>
      <c r="F429" s="19" t="str">
        <f>IF('Supplier selection'!F429="","",'Supplier selection'!F429)</f>
        <v/>
      </c>
      <c r="G429" s="19" t="str">
        <f>IF('Supplier selection'!G429="","",'Supplier selection'!G429)</f>
        <v/>
      </c>
      <c r="H429" s="19" t="str">
        <f>IF('Supplier selection'!H429="","",'Supplier selection'!H429)</f>
        <v/>
      </c>
      <c r="I429" s="19" t="str">
        <f>IF('Supplier selection'!I429="","",'Supplier selection'!I429)</f>
        <v/>
      </c>
      <c r="J429" s="19" t="str">
        <f>IF('Supplier selection'!J429="","",'Supplier selection'!J429)</f>
        <v/>
      </c>
      <c r="K429" s="19" t="str">
        <f>IF('Supplier selection'!K429="","",'Supplier selection'!K429)</f>
        <v/>
      </c>
      <c r="L429" s="19" t="str">
        <f>IF('Supplier selection'!L429="","",'Supplier selection'!L429)</f>
        <v/>
      </c>
      <c r="M429" s="19" t="str">
        <f>IF('Supplier selection'!M429="","",'Supplier selection'!M429)</f>
        <v/>
      </c>
      <c r="N429" s="19" t="str">
        <f>IF('Supplier selection'!N429="","",'Supplier selection'!N429)</f>
        <v/>
      </c>
      <c r="O429" s="19" t="str">
        <f>IF('Supplier selection'!O429="","",'Supplier selection'!O429)</f>
        <v/>
      </c>
      <c r="Q429" s="19" t="str">
        <f>HLOOKUP($Q$3,'Supplier selection'!$AW$4:'Supplier selection'!$CT$1000,$A430,FALSE)</f>
        <v/>
      </c>
      <c r="R429" s="22" t="str">
        <f t="shared" si="66"/>
        <v/>
      </c>
      <c r="S429" s="19" t="str">
        <f t="shared" si="67"/>
        <v/>
      </c>
      <c r="T429" s="22" t="str">
        <f t="shared" si="68"/>
        <v/>
      </c>
      <c r="U429" s="19" t="str">
        <f t="shared" si="69"/>
        <v/>
      </c>
      <c r="V429" s="7"/>
      <c r="Y429" s="19" t="str">
        <f>IF('Supplier selection'!AQ429="","",'Supplier selection'!AQ429)</f>
        <v/>
      </c>
      <c r="Z429" s="19" t="str">
        <f>IF('Supplier selection'!AR429="","",'Supplier selection'!AR429)</f>
        <v/>
      </c>
      <c r="AA429" s="19" t="str">
        <f t="shared" si="70"/>
        <v/>
      </c>
      <c r="AD429" s="26" t="str">
        <f>IF(AND('Supplier selection'!X429="",'Supplier selection'!AE429=""),"",IF('Supplier selection'!X429="",'Supplier selection'!AE429,'Supplier selection'!X429))</f>
        <v/>
      </c>
      <c r="AE429" s="19" t="str">
        <f t="shared" si="71"/>
        <v/>
      </c>
      <c r="AF429" s="19" t="str">
        <f t="shared" si="72"/>
        <v/>
      </c>
      <c r="AG429" s="27" t="str">
        <f>IF(AND('Supplier selection'!AB429="",'Supplier selection'!AI429=""),"",IF('Supplier selection'!AB429="",'Supplier selection'!AI429,'Supplier selection'!AB429))</f>
        <v/>
      </c>
      <c r="AH429" s="28" t="str">
        <f t="shared" si="73"/>
        <v/>
      </c>
      <c r="AI429" s="7" t="str">
        <f t="shared" si="74"/>
        <v/>
      </c>
      <c r="AJ429" s="22" t="str">
        <f t="shared" si="75"/>
        <v/>
      </c>
      <c r="AK429" s="29" t="str">
        <f t="shared" si="76"/>
        <v/>
      </c>
      <c r="AL429" s="10"/>
    </row>
    <row r="430" spans="1:38">
      <c r="A430" s="19">
        <f>IF('Supplier selection'!A430="","",'Supplier selection'!A430)</f>
        <v>426</v>
      </c>
      <c r="B430" s="19" t="str">
        <f>IF('Supplier selection'!B430="","",'Supplier selection'!B430)</f>
        <v/>
      </c>
      <c r="C430" s="19" t="str">
        <f>IF('Supplier selection'!C430="","",'Supplier selection'!C430)</f>
        <v/>
      </c>
      <c r="D430" s="19" t="str">
        <f>IF('Supplier selection'!D430="","",'Supplier selection'!D430)</f>
        <v/>
      </c>
      <c r="E430" s="19" t="str">
        <f>IF('Supplier selection'!E430="","",'Supplier selection'!E430)</f>
        <v/>
      </c>
      <c r="F430" s="19" t="str">
        <f>IF('Supplier selection'!F430="","",'Supplier selection'!F430)</f>
        <v/>
      </c>
      <c r="G430" s="19" t="str">
        <f>IF('Supplier selection'!G430="","",'Supplier selection'!G430)</f>
        <v/>
      </c>
      <c r="H430" s="19" t="str">
        <f>IF('Supplier selection'!H430="","",'Supplier selection'!H430)</f>
        <v/>
      </c>
      <c r="I430" s="19" t="str">
        <f>IF('Supplier selection'!I430="","",'Supplier selection'!I430)</f>
        <v/>
      </c>
      <c r="J430" s="19" t="str">
        <f>IF('Supplier selection'!J430="","",'Supplier selection'!J430)</f>
        <v/>
      </c>
      <c r="K430" s="19" t="str">
        <f>IF('Supplier selection'!K430="","",'Supplier selection'!K430)</f>
        <v/>
      </c>
      <c r="L430" s="19" t="str">
        <f>IF('Supplier selection'!L430="","",'Supplier selection'!L430)</f>
        <v/>
      </c>
      <c r="M430" s="19" t="str">
        <f>IF('Supplier selection'!M430="","",'Supplier selection'!M430)</f>
        <v/>
      </c>
      <c r="N430" s="19" t="str">
        <f>IF('Supplier selection'!N430="","",'Supplier selection'!N430)</f>
        <v/>
      </c>
      <c r="O430" s="19" t="str">
        <f>IF('Supplier selection'!O430="","",'Supplier selection'!O430)</f>
        <v/>
      </c>
      <c r="Q430" s="19" t="str">
        <f>HLOOKUP($Q$3,'Supplier selection'!$AW$4:'Supplier selection'!$CT$1000,$A431,FALSE)</f>
        <v/>
      </c>
      <c r="R430" s="22" t="str">
        <f t="shared" si="66"/>
        <v/>
      </c>
      <c r="S430" s="19" t="str">
        <f t="shared" si="67"/>
        <v/>
      </c>
      <c r="T430" s="22" t="str">
        <f t="shared" si="68"/>
        <v/>
      </c>
      <c r="U430" s="19" t="str">
        <f t="shared" si="69"/>
        <v/>
      </c>
      <c r="V430" s="7"/>
      <c r="Y430" s="19" t="str">
        <f>IF('Supplier selection'!AQ430="","",'Supplier selection'!AQ430)</f>
        <v/>
      </c>
      <c r="Z430" s="19" t="str">
        <f>IF('Supplier selection'!AR430="","",'Supplier selection'!AR430)</f>
        <v/>
      </c>
      <c r="AA430" s="19" t="str">
        <f t="shared" si="70"/>
        <v/>
      </c>
      <c r="AD430" s="26" t="str">
        <f>IF(AND('Supplier selection'!X430="",'Supplier selection'!AE430=""),"",IF('Supplier selection'!X430="",'Supplier selection'!AE430,'Supplier selection'!X430))</f>
        <v/>
      </c>
      <c r="AE430" s="19" t="str">
        <f t="shared" si="71"/>
        <v/>
      </c>
      <c r="AF430" s="19" t="str">
        <f t="shared" si="72"/>
        <v/>
      </c>
      <c r="AG430" s="27" t="str">
        <f>IF(AND('Supplier selection'!AB430="",'Supplier selection'!AI430=""),"",IF('Supplier selection'!AB430="",'Supplier selection'!AI430,'Supplier selection'!AB430))</f>
        <v/>
      </c>
      <c r="AH430" s="28" t="str">
        <f t="shared" si="73"/>
        <v/>
      </c>
      <c r="AI430" s="7" t="str">
        <f t="shared" si="74"/>
        <v/>
      </c>
      <c r="AJ430" s="22" t="str">
        <f t="shared" si="75"/>
        <v/>
      </c>
      <c r="AK430" s="29" t="str">
        <f t="shared" si="76"/>
        <v/>
      </c>
      <c r="AL430" s="10"/>
    </row>
    <row r="431" spans="1:38">
      <c r="A431" s="19">
        <f>IF('Supplier selection'!A431="","",'Supplier selection'!A431)</f>
        <v>427</v>
      </c>
      <c r="B431" s="19" t="str">
        <f>IF('Supplier selection'!B431="","",'Supplier selection'!B431)</f>
        <v/>
      </c>
      <c r="C431" s="19" t="str">
        <f>IF('Supplier selection'!C431="","",'Supplier selection'!C431)</f>
        <v/>
      </c>
      <c r="D431" s="19" t="str">
        <f>IF('Supplier selection'!D431="","",'Supplier selection'!D431)</f>
        <v/>
      </c>
      <c r="E431" s="19" t="str">
        <f>IF('Supplier selection'!E431="","",'Supplier selection'!E431)</f>
        <v/>
      </c>
      <c r="F431" s="19" t="str">
        <f>IF('Supplier selection'!F431="","",'Supplier selection'!F431)</f>
        <v/>
      </c>
      <c r="G431" s="19" t="str">
        <f>IF('Supplier selection'!G431="","",'Supplier selection'!G431)</f>
        <v/>
      </c>
      <c r="H431" s="19" t="str">
        <f>IF('Supplier selection'!H431="","",'Supplier selection'!H431)</f>
        <v/>
      </c>
      <c r="I431" s="19" t="str">
        <f>IF('Supplier selection'!I431="","",'Supplier selection'!I431)</f>
        <v/>
      </c>
      <c r="J431" s="19" t="str">
        <f>IF('Supplier selection'!J431="","",'Supplier selection'!J431)</f>
        <v/>
      </c>
      <c r="K431" s="19" t="str">
        <f>IF('Supplier selection'!K431="","",'Supplier selection'!K431)</f>
        <v/>
      </c>
      <c r="L431" s="19" t="str">
        <f>IF('Supplier selection'!L431="","",'Supplier selection'!L431)</f>
        <v/>
      </c>
      <c r="M431" s="19" t="str">
        <f>IF('Supplier selection'!M431="","",'Supplier selection'!M431)</f>
        <v/>
      </c>
      <c r="N431" s="19" t="str">
        <f>IF('Supplier selection'!N431="","",'Supplier selection'!N431)</f>
        <v/>
      </c>
      <c r="O431" s="19" t="str">
        <f>IF('Supplier selection'!O431="","",'Supplier selection'!O431)</f>
        <v/>
      </c>
      <c r="Q431" s="19" t="str">
        <f>HLOOKUP($Q$3,'Supplier selection'!$AW$4:'Supplier selection'!$CT$1000,$A432,FALSE)</f>
        <v/>
      </c>
      <c r="R431" s="22" t="str">
        <f t="shared" si="66"/>
        <v/>
      </c>
      <c r="S431" s="19" t="str">
        <f t="shared" si="67"/>
        <v/>
      </c>
      <c r="T431" s="22" t="str">
        <f t="shared" si="68"/>
        <v/>
      </c>
      <c r="U431" s="19" t="str">
        <f t="shared" si="69"/>
        <v/>
      </c>
      <c r="V431" s="7"/>
      <c r="Y431" s="19" t="str">
        <f>IF('Supplier selection'!AQ431="","",'Supplier selection'!AQ431)</f>
        <v/>
      </c>
      <c r="Z431" s="19" t="str">
        <f>IF('Supplier selection'!AR431="","",'Supplier selection'!AR431)</f>
        <v/>
      </c>
      <c r="AA431" s="19" t="str">
        <f t="shared" si="70"/>
        <v/>
      </c>
      <c r="AD431" s="26" t="str">
        <f>IF(AND('Supplier selection'!X431="",'Supplier selection'!AE431=""),"",IF('Supplier selection'!X431="",'Supplier selection'!AE431,'Supplier selection'!X431))</f>
        <v/>
      </c>
      <c r="AE431" s="19" t="str">
        <f t="shared" si="71"/>
        <v/>
      </c>
      <c r="AF431" s="19" t="str">
        <f t="shared" si="72"/>
        <v/>
      </c>
      <c r="AG431" s="27" t="str">
        <f>IF(AND('Supplier selection'!AB431="",'Supplier selection'!AI431=""),"",IF('Supplier selection'!AB431="",'Supplier selection'!AI431,'Supplier selection'!AB431))</f>
        <v/>
      </c>
      <c r="AH431" s="28" t="str">
        <f t="shared" si="73"/>
        <v/>
      </c>
      <c r="AI431" s="7" t="str">
        <f t="shared" si="74"/>
        <v/>
      </c>
      <c r="AJ431" s="22" t="str">
        <f t="shared" si="75"/>
        <v/>
      </c>
      <c r="AK431" s="29" t="str">
        <f t="shared" si="76"/>
        <v/>
      </c>
      <c r="AL431" s="10"/>
    </row>
    <row r="432" spans="1:38">
      <c r="A432" s="19">
        <f>IF('Supplier selection'!A432="","",'Supplier selection'!A432)</f>
        <v>428</v>
      </c>
      <c r="B432" s="19" t="str">
        <f>IF('Supplier selection'!B432="","",'Supplier selection'!B432)</f>
        <v/>
      </c>
      <c r="C432" s="19" t="str">
        <f>IF('Supplier selection'!C432="","",'Supplier selection'!C432)</f>
        <v/>
      </c>
      <c r="D432" s="19" t="str">
        <f>IF('Supplier selection'!D432="","",'Supplier selection'!D432)</f>
        <v/>
      </c>
      <c r="E432" s="19" t="str">
        <f>IF('Supplier selection'!E432="","",'Supplier selection'!E432)</f>
        <v/>
      </c>
      <c r="F432" s="19" t="str">
        <f>IF('Supplier selection'!F432="","",'Supplier selection'!F432)</f>
        <v/>
      </c>
      <c r="G432" s="19" t="str">
        <f>IF('Supplier selection'!G432="","",'Supplier selection'!G432)</f>
        <v/>
      </c>
      <c r="H432" s="19" t="str">
        <f>IF('Supplier selection'!H432="","",'Supplier selection'!H432)</f>
        <v/>
      </c>
      <c r="I432" s="19" t="str">
        <f>IF('Supplier selection'!I432="","",'Supplier selection'!I432)</f>
        <v/>
      </c>
      <c r="J432" s="19" t="str">
        <f>IF('Supplier selection'!J432="","",'Supplier selection'!J432)</f>
        <v/>
      </c>
      <c r="K432" s="19" t="str">
        <f>IF('Supplier selection'!K432="","",'Supplier selection'!K432)</f>
        <v/>
      </c>
      <c r="L432" s="19" t="str">
        <f>IF('Supplier selection'!L432="","",'Supplier selection'!L432)</f>
        <v/>
      </c>
      <c r="M432" s="19" t="str">
        <f>IF('Supplier selection'!M432="","",'Supplier selection'!M432)</f>
        <v/>
      </c>
      <c r="N432" s="19" t="str">
        <f>IF('Supplier selection'!N432="","",'Supplier selection'!N432)</f>
        <v/>
      </c>
      <c r="O432" s="19" t="str">
        <f>IF('Supplier selection'!O432="","",'Supplier selection'!O432)</f>
        <v/>
      </c>
      <c r="Q432" s="19" t="str">
        <f>HLOOKUP($Q$3,'Supplier selection'!$AW$4:'Supplier selection'!$CT$1000,$A433,FALSE)</f>
        <v/>
      </c>
      <c r="R432" s="22" t="str">
        <f t="shared" si="66"/>
        <v/>
      </c>
      <c r="S432" s="19" t="str">
        <f t="shared" si="67"/>
        <v/>
      </c>
      <c r="T432" s="22" t="str">
        <f t="shared" si="68"/>
        <v/>
      </c>
      <c r="U432" s="19" t="str">
        <f t="shared" si="69"/>
        <v/>
      </c>
      <c r="V432" s="7"/>
      <c r="Y432" s="19" t="str">
        <f>IF('Supplier selection'!AQ432="","",'Supplier selection'!AQ432)</f>
        <v/>
      </c>
      <c r="Z432" s="19" t="str">
        <f>IF('Supplier selection'!AR432="","",'Supplier selection'!AR432)</f>
        <v/>
      </c>
      <c r="AA432" s="19" t="str">
        <f t="shared" si="70"/>
        <v/>
      </c>
      <c r="AD432" s="26" t="str">
        <f>IF(AND('Supplier selection'!X432="",'Supplier selection'!AE432=""),"",IF('Supplier selection'!X432="",'Supplier selection'!AE432,'Supplier selection'!X432))</f>
        <v/>
      </c>
      <c r="AE432" s="19" t="str">
        <f t="shared" si="71"/>
        <v/>
      </c>
      <c r="AF432" s="19" t="str">
        <f t="shared" si="72"/>
        <v/>
      </c>
      <c r="AG432" s="27" t="str">
        <f>IF(AND('Supplier selection'!AB432="",'Supplier selection'!AI432=""),"",IF('Supplier selection'!AB432="",'Supplier selection'!AI432,'Supplier selection'!AB432))</f>
        <v/>
      </c>
      <c r="AH432" s="28" t="str">
        <f t="shared" si="73"/>
        <v/>
      </c>
      <c r="AI432" s="7" t="str">
        <f t="shared" si="74"/>
        <v/>
      </c>
      <c r="AJ432" s="22" t="str">
        <f t="shared" si="75"/>
        <v/>
      </c>
      <c r="AK432" s="29" t="str">
        <f t="shared" si="76"/>
        <v/>
      </c>
      <c r="AL432" s="10"/>
    </row>
    <row r="433" spans="1:38">
      <c r="A433" s="19">
        <f>IF('Supplier selection'!A433="","",'Supplier selection'!A433)</f>
        <v>429</v>
      </c>
      <c r="B433" s="19" t="str">
        <f>IF('Supplier selection'!B433="","",'Supplier selection'!B433)</f>
        <v/>
      </c>
      <c r="C433" s="19" t="str">
        <f>IF('Supplier selection'!C433="","",'Supplier selection'!C433)</f>
        <v/>
      </c>
      <c r="D433" s="19" t="str">
        <f>IF('Supplier selection'!D433="","",'Supplier selection'!D433)</f>
        <v/>
      </c>
      <c r="E433" s="19" t="str">
        <f>IF('Supplier selection'!E433="","",'Supplier selection'!E433)</f>
        <v/>
      </c>
      <c r="F433" s="19" t="str">
        <f>IF('Supplier selection'!F433="","",'Supplier selection'!F433)</f>
        <v/>
      </c>
      <c r="G433" s="19" t="str">
        <f>IF('Supplier selection'!G433="","",'Supplier selection'!G433)</f>
        <v/>
      </c>
      <c r="H433" s="19" t="str">
        <f>IF('Supplier selection'!H433="","",'Supplier selection'!H433)</f>
        <v/>
      </c>
      <c r="I433" s="19" t="str">
        <f>IF('Supplier selection'!I433="","",'Supplier selection'!I433)</f>
        <v/>
      </c>
      <c r="J433" s="19" t="str">
        <f>IF('Supplier selection'!J433="","",'Supplier selection'!J433)</f>
        <v/>
      </c>
      <c r="K433" s="19" t="str">
        <f>IF('Supplier selection'!K433="","",'Supplier selection'!K433)</f>
        <v/>
      </c>
      <c r="L433" s="19" t="str">
        <f>IF('Supplier selection'!L433="","",'Supplier selection'!L433)</f>
        <v/>
      </c>
      <c r="M433" s="19" t="str">
        <f>IF('Supplier selection'!M433="","",'Supplier selection'!M433)</f>
        <v/>
      </c>
      <c r="N433" s="19" t="str">
        <f>IF('Supplier selection'!N433="","",'Supplier selection'!N433)</f>
        <v/>
      </c>
      <c r="O433" s="19" t="str">
        <f>IF('Supplier selection'!O433="","",'Supplier selection'!O433)</f>
        <v/>
      </c>
      <c r="Q433" s="19" t="str">
        <f>HLOOKUP($Q$3,'Supplier selection'!$AW$4:'Supplier selection'!$CT$1000,$A434,FALSE)</f>
        <v/>
      </c>
      <c r="R433" s="22" t="str">
        <f t="shared" si="66"/>
        <v/>
      </c>
      <c r="S433" s="19" t="str">
        <f t="shared" si="67"/>
        <v/>
      </c>
      <c r="T433" s="22" t="str">
        <f t="shared" si="68"/>
        <v/>
      </c>
      <c r="U433" s="19" t="str">
        <f t="shared" si="69"/>
        <v/>
      </c>
      <c r="V433" s="7"/>
      <c r="Y433" s="19" t="str">
        <f>IF('Supplier selection'!AQ433="","",'Supplier selection'!AQ433)</f>
        <v/>
      </c>
      <c r="Z433" s="19" t="str">
        <f>IF('Supplier selection'!AR433="","",'Supplier selection'!AR433)</f>
        <v/>
      </c>
      <c r="AA433" s="19" t="str">
        <f t="shared" si="70"/>
        <v/>
      </c>
      <c r="AD433" s="26" t="str">
        <f>IF(AND('Supplier selection'!X433="",'Supplier selection'!AE433=""),"",IF('Supplier selection'!X433="",'Supplier selection'!AE433,'Supplier selection'!X433))</f>
        <v/>
      </c>
      <c r="AE433" s="19" t="str">
        <f t="shared" si="71"/>
        <v/>
      </c>
      <c r="AF433" s="19" t="str">
        <f t="shared" si="72"/>
        <v/>
      </c>
      <c r="AG433" s="27" t="str">
        <f>IF(AND('Supplier selection'!AB433="",'Supplier selection'!AI433=""),"",IF('Supplier selection'!AB433="",'Supplier selection'!AI433,'Supplier selection'!AB433))</f>
        <v/>
      </c>
      <c r="AH433" s="28" t="str">
        <f t="shared" si="73"/>
        <v/>
      </c>
      <c r="AI433" s="7" t="str">
        <f t="shared" si="74"/>
        <v/>
      </c>
      <c r="AJ433" s="22" t="str">
        <f t="shared" si="75"/>
        <v/>
      </c>
      <c r="AK433" s="29" t="str">
        <f t="shared" si="76"/>
        <v/>
      </c>
      <c r="AL433" s="10"/>
    </row>
    <row r="434" spans="1:38">
      <c r="A434" s="19">
        <f>IF('Supplier selection'!A434="","",'Supplier selection'!A434)</f>
        <v>430</v>
      </c>
      <c r="B434" s="19" t="str">
        <f>IF('Supplier selection'!B434="","",'Supplier selection'!B434)</f>
        <v/>
      </c>
      <c r="C434" s="19" t="str">
        <f>IF('Supplier selection'!C434="","",'Supplier selection'!C434)</f>
        <v/>
      </c>
      <c r="D434" s="19" t="str">
        <f>IF('Supplier selection'!D434="","",'Supplier selection'!D434)</f>
        <v/>
      </c>
      <c r="E434" s="19" t="str">
        <f>IF('Supplier selection'!E434="","",'Supplier selection'!E434)</f>
        <v/>
      </c>
      <c r="F434" s="19" t="str">
        <f>IF('Supplier selection'!F434="","",'Supplier selection'!F434)</f>
        <v/>
      </c>
      <c r="G434" s="19" t="str">
        <f>IF('Supplier selection'!G434="","",'Supplier selection'!G434)</f>
        <v/>
      </c>
      <c r="H434" s="19" t="str">
        <f>IF('Supplier selection'!H434="","",'Supplier selection'!H434)</f>
        <v/>
      </c>
      <c r="I434" s="19" t="str">
        <f>IF('Supplier selection'!I434="","",'Supplier selection'!I434)</f>
        <v/>
      </c>
      <c r="J434" s="19" t="str">
        <f>IF('Supplier selection'!J434="","",'Supplier selection'!J434)</f>
        <v/>
      </c>
      <c r="K434" s="19" t="str">
        <f>IF('Supplier selection'!K434="","",'Supplier selection'!K434)</f>
        <v/>
      </c>
      <c r="L434" s="19" t="str">
        <f>IF('Supplier selection'!L434="","",'Supplier selection'!L434)</f>
        <v/>
      </c>
      <c r="M434" s="19" t="str">
        <f>IF('Supplier selection'!M434="","",'Supplier selection'!M434)</f>
        <v/>
      </c>
      <c r="N434" s="19" t="str">
        <f>IF('Supplier selection'!N434="","",'Supplier selection'!N434)</f>
        <v/>
      </c>
      <c r="O434" s="19" t="str">
        <f>IF('Supplier selection'!O434="","",'Supplier selection'!O434)</f>
        <v/>
      </c>
      <c r="Q434" s="19" t="str">
        <f>HLOOKUP($Q$3,'Supplier selection'!$AW$4:'Supplier selection'!$CT$1000,$A435,FALSE)</f>
        <v/>
      </c>
      <c r="R434" s="22" t="str">
        <f t="shared" si="66"/>
        <v/>
      </c>
      <c r="S434" s="19" t="str">
        <f t="shared" si="67"/>
        <v/>
      </c>
      <c r="T434" s="22" t="str">
        <f t="shared" si="68"/>
        <v/>
      </c>
      <c r="U434" s="19" t="str">
        <f t="shared" si="69"/>
        <v/>
      </c>
      <c r="V434" s="7"/>
      <c r="Y434" s="19" t="str">
        <f>IF('Supplier selection'!AQ434="","",'Supplier selection'!AQ434)</f>
        <v/>
      </c>
      <c r="Z434" s="19" t="str">
        <f>IF('Supplier selection'!AR434="","",'Supplier selection'!AR434)</f>
        <v/>
      </c>
      <c r="AA434" s="19" t="str">
        <f t="shared" si="70"/>
        <v/>
      </c>
      <c r="AD434" s="26" t="str">
        <f>IF(AND('Supplier selection'!X434="",'Supplier selection'!AE434=""),"",IF('Supplier selection'!X434="",'Supplier selection'!AE434,'Supplier selection'!X434))</f>
        <v/>
      </c>
      <c r="AE434" s="19" t="str">
        <f t="shared" si="71"/>
        <v/>
      </c>
      <c r="AF434" s="19" t="str">
        <f t="shared" si="72"/>
        <v/>
      </c>
      <c r="AG434" s="27" t="str">
        <f>IF(AND('Supplier selection'!AB434="",'Supplier selection'!AI434=""),"",IF('Supplier selection'!AB434="",'Supplier selection'!AI434,'Supplier selection'!AB434))</f>
        <v/>
      </c>
      <c r="AH434" s="28" t="str">
        <f t="shared" si="73"/>
        <v/>
      </c>
      <c r="AI434" s="7" t="str">
        <f t="shared" si="74"/>
        <v/>
      </c>
      <c r="AJ434" s="22" t="str">
        <f t="shared" si="75"/>
        <v/>
      </c>
      <c r="AK434" s="29" t="str">
        <f t="shared" si="76"/>
        <v/>
      </c>
      <c r="AL434" s="10"/>
    </row>
    <row r="435" spans="1:38">
      <c r="A435" s="19">
        <f>IF('Supplier selection'!A435="","",'Supplier selection'!A435)</f>
        <v>431</v>
      </c>
      <c r="B435" s="19" t="str">
        <f>IF('Supplier selection'!B435="","",'Supplier selection'!B435)</f>
        <v/>
      </c>
      <c r="C435" s="19" t="str">
        <f>IF('Supplier selection'!C435="","",'Supplier selection'!C435)</f>
        <v/>
      </c>
      <c r="D435" s="19" t="str">
        <f>IF('Supplier selection'!D435="","",'Supplier selection'!D435)</f>
        <v/>
      </c>
      <c r="E435" s="19" t="str">
        <f>IF('Supplier selection'!E435="","",'Supplier selection'!E435)</f>
        <v/>
      </c>
      <c r="F435" s="19" t="str">
        <f>IF('Supplier selection'!F435="","",'Supplier selection'!F435)</f>
        <v/>
      </c>
      <c r="G435" s="19" t="str">
        <f>IF('Supplier selection'!G435="","",'Supplier selection'!G435)</f>
        <v/>
      </c>
      <c r="H435" s="19" t="str">
        <f>IF('Supplier selection'!H435="","",'Supplier selection'!H435)</f>
        <v/>
      </c>
      <c r="I435" s="19" t="str">
        <f>IF('Supplier selection'!I435="","",'Supplier selection'!I435)</f>
        <v/>
      </c>
      <c r="J435" s="19" t="str">
        <f>IF('Supplier selection'!J435="","",'Supplier selection'!J435)</f>
        <v/>
      </c>
      <c r="K435" s="19" t="str">
        <f>IF('Supplier selection'!K435="","",'Supplier selection'!K435)</f>
        <v/>
      </c>
      <c r="L435" s="19" t="str">
        <f>IF('Supplier selection'!L435="","",'Supplier selection'!L435)</f>
        <v/>
      </c>
      <c r="M435" s="19" t="str">
        <f>IF('Supplier selection'!M435="","",'Supplier selection'!M435)</f>
        <v/>
      </c>
      <c r="N435" s="19" t="str">
        <f>IF('Supplier selection'!N435="","",'Supplier selection'!N435)</f>
        <v/>
      </c>
      <c r="O435" s="19" t="str">
        <f>IF('Supplier selection'!O435="","",'Supplier selection'!O435)</f>
        <v/>
      </c>
      <c r="Q435" s="19" t="str">
        <f>HLOOKUP($Q$3,'Supplier selection'!$AW$4:'Supplier selection'!$CT$1000,$A436,FALSE)</f>
        <v/>
      </c>
      <c r="R435" s="22" t="str">
        <f t="shared" si="66"/>
        <v/>
      </c>
      <c r="S435" s="19" t="str">
        <f t="shared" si="67"/>
        <v/>
      </c>
      <c r="T435" s="22" t="str">
        <f t="shared" si="68"/>
        <v/>
      </c>
      <c r="U435" s="19" t="str">
        <f t="shared" si="69"/>
        <v/>
      </c>
      <c r="V435" s="7"/>
      <c r="Y435" s="19" t="str">
        <f>IF('Supplier selection'!AQ435="","",'Supplier selection'!AQ435)</f>
        <v/>
      </c>
      <c r="Z435" s="19" t="str">
        <f>IF('Supplier selection'!AR435="","",'Supplier selection'!AR435)</f>
        <v/>
      </c>
      <c r="AA435" s="19" t="str">
        <f t="shared" si="70"/>
        <v/>
      </c>
      <c r="AD435" s="26" t="str">
        <f>IF(AND('Supplier selection'!X435="",'Supplier selection'!AE435=""),"",IF('Supplier selection'!X435="",'Supplier selection'!AE435,'Supplier selection'!X435))</f>
        <v/>
      </c>
      <c r="AE435" s="19" t="str">
        <f t="shared" si="71"/>
        <v/>
      </c>
      <c r="AF435" s="19" t="str">
        <f t="shared" si="72"/>
        <v/>
      </c>
      <c r="AG435" s="27" t="str">
        <f>IF(AND('Supplier selection'!AB435="",'Supplier selection'!AI435=""),"",IF('Supplier selection'!AB435="",'Supplier selection'!AI435,'Supplier selection'!AB435))</f>
        <v/>
      </c>
      <c r="AH435" s="28" t="str">
        <f t="shared" si="73"/>
        <v/>
      </c>
      <c r="AI435" s="7" t="str">
        <f t="shared" si="74"/>
        <v/>
      </c>
      <c r="AJ435" s="22" t="str">
        <f t="shared" si="75"/>
        <v/>
      </c>
      <c r="AK435" s="29" t="str">
        <f t="shared" si="76"/>
        <v/>
      </c>
      <c r="AL435" s="10"/>
    </row>
    <row r="436" spans="1:38">
      <c r="A436" s="19">
        <f>IF('Supplier selection'!A436="","",'Supplier selection'!A436)</f>
        <v>432</v>
      </c>
      <c r="B436" s="19" t="str">
        <f>IF('Supplier selection'!B436="","",'Supplier selection'!B436)</f>
        <v/>
      </c>
      <c r="C436" s="19" t="str">
        <f>IF('Supplier selection'!C436="","",'Supplier selection'!C436)</f>
        <v/>
      </c>
      <c r="D436" s="19" t="str">
        <f>IF('Supplier selection'!D436="","",'Supplier selection'!D436)</f>
        <v/>
      </c>
      <c r="E436" s="19" t="str">
        <f>IF('Supplier selection'!E436="","",'Supplier selection'!E436)</f>
        <v/>
      </c>
      <c r="F436" s="19" t="str">
        <f>IF('Supplier selection'!F436="","",'Supplier selection'!F436)</f>
        <v/>
      </c>
      <c r="G436" s="19" t="str">
        <f>IF('Supplier selection'!G436="","",'Supplier selection'!G436)</f>
        <v/>
      </c>
      <c r="H436" s="19" t="str">
        <f>IF('Supplier selection'!H436="","",'Supplier selection'!H436)</f>
        <v/>
      </c>
      <c r="I436" s="19" t="str">
        <f>IF('Supplier selection'!I436="","",'Supplier selection'!I436)</f>
        <v/>
      </c>
      <c r="J436" s="19" t="str">
        <f>IF('Supplier selection'!J436="","",'Supplier selection'!J436)</f>
        <v/>
      </c>
      <c r="K436" s="19" t="str">
        <f>IF('Supplier selection'!K436="","",'Supplier selection'!K436)</f>
        <v/>
      </c>
      <c r="L436" s="19" t="str">
        <f>IF('Supplier selection'!L436="","",'Supplier selection'!L436)</f>
        <v/>
      </c>
      <c r="M436" s="19" t="str">
        <f>IF('Supplier selection'!M436="","",'Supplier selection'!M436)</f>
        <v/>
      </c>
      <c r="N436" s="19" t="str">
        <f>IF('Supplier selection'!N436="","",'Supplier selection'!N436)</f>
        <v/>
      </c>
      <c r="O436" s="19" t="str">
        <f>IF('Supplier selection'!O436="","",'Supplier selection'!O436)</f>
        <v/>
      </c>
      <c r="Q436" s="19" t="str">
        <f>HLOOKUP($Q$3,'Supplier selection'!$AW$4:'Supplier selection'!$CT$1000,$A437,FALSE)</f>
        <v/>
      </c>
      <c r="R436" s="22" t="str">
        <f t="shared" si="66"/>
        <v/>
      </c>
      <c r="S436" s="19" t="str">
        <f t="shared" si="67"/>
        <v/>
      </c>
      <c r="T436" s="22" t="str">
        <f t="shared" si="68"/>
        <v/>
      </c>
      <c r="U436" s="19" t="str">
        <f t="shared" si="69"/>
        <v/>
      </c>
      <c r="V436" s="7"/>
      <c r="Y436" s="19" t="str">
        <f>IF('Supplier selection'!AQ436="","",'Supplier selection'!AQ436)</f>
        <v/>
      </c>
      <c r="Z436" s="19" t="str">
        <f>IF('Supplier selection'!AR436="","",'Supplier selection'!AR436)</f>
        <v/>
      </c>
      <c r="AA436" s="19" t="str">
        <f t="shared" si="70"/>
        <v/>
      </c>
      <c r="AD436" s="26" t="str">
        <f>IF(AND('Supplier selection'!X436="",'Supplier selection'!AE436=""),"",IF('Supplier selection'!X436="",'Supplier selection'!AE436,'Supplier selection'!X436))</f>
        <v/>
      </c>
      <c r="AE436" s="19" t="str">
        <f t="shared" si="71"/>
        <v/>
      </c>
      <c r="AF436" s="19" t="str">
        <f t="shared" si="72"/>
        <v/>
      </c>
      <c r="AG436" s="27" t="str">
        <f>IF(AND('Supplier selection'!AB436="",'Supplier selection'!AI436=""),"",IF('Supplier selection'!AB436="",'Supplier selection'!AI436,'Supplier selection'!AB436))</f>
        <v/>
      </c>
      <c r="AH436" s="28" t="str">
        <f t="shared" si="73"/>
        <v/>
      </c>
      <c r="AI436" s="7" t="str">
        <f t="shared" si="74"/>
        <v/>
      </c>
      <c r="AJ436" s="22" t="str">
        <f t="shared" si="75"/>
        <v/>
      </c>
      <c r="AK436" s="29" t="str">
        <f t="shared" si="76"/>
        <v/>
      </c>
      <c r="AL436" s="10"/>
    </row>
    <row r="437" spans="1:38">
      <c r="A437" s="19">
        <f>IF('Supplier selection'!A437="","",'Supplier selection'!A437)</f>
        <v>433</v>
      </c>
      <c r="B437" s="19" t="str">
        <f>IF('Supplier selection'!B437="","",'Supplier selection'!B437)</f>
        <v/>
      </c>
      <c r="C437" s="19" t="str">
        <f>IF('Supplier selection'!C437="","",'Supplier selection'!C437)</f>
        <v/>
      </c>
      <c r="D437" s="19" t="str">
        <f>IF('Supplier selection'!D437="","",'Supplier selection'!D437)</f>
        <v/>
      </c>
      <c r="E437" s="19" t="str">
        <f>IF('Supplier selection'!E437="","",'Supplier selection'!E437)</f>
        <v/>
      </c>
      <c r="F437" s="19" t="str">
        <f>IF('Supplier selection'!F437="","",'Supplier selection'!F437)</f>
        <v/>
      </c>
      <c r="G437" s="19" t="str">
        <f>IF('Supplier selection'!G437="","",'Supplier selection'!G437)</f>
        <v/>
      </c>
      <c r="H437" s="19" t="str">
        <f>IF('Supplier selection'!H437="","",'Supplier selection'!H437)</f>
        <v/>
      </c>
      <c r="I437" s="19" t="str">
        <f>IF('Supplier selection'!I437="","",'Supplier selection'!I437)</f>
        <v/>
      </c>
      <c r="J437" s="19" t="str">
        <f>IF('Supplier selection'!J437="","",'Supplier selection'!J437)</f>
        <v/>
      </c>
      <c r="K437" s="19" t="str">
        <f>IF('Supplier selection'!K437="","",'Supplier selection'!K437)</f>
        <v/>
      </c>
      <c r="L437" s="19" t="str">
        <f>IF('Supplier selection'!L437="","",'Supplier selection'!L437)</f>
        <v/>
      </c>
      <c r="M437" s="19" t="str">
        <f>IF('Supplier selection'!M437="","",'Supplier selection'!M437)</f>
        <v/>
      </c>
      <c r="N437" s="19" t="str">
        <f>IF('Supplier selection'!N437="","",'Supplier selection'!N437)</f>
        <v/>
      </c>
      <c r="O437" s="19" t="str">
        <f>IF('Supplier selection'!O437="","",'Supplier selection'!O437)</f>
        <v/>
      </c>
      <c r="Q437" s="19" t="str">
        <f>HLOOKUP($Q$3,'Supplier selection'!$AW$4:'Supplier selection'!$CT$1000,$A438,FALSE)</f>
        <v/>
      </c>
      <c r="R437" s="22" t="str">
        <f t="shared" si="66"/>
        <v/>
      </c>
      <c r="S437" s="19" t="str">
        <f t="shared" si="67"/>
        <v/>
      </c>
      <c r="T437" s="22" t="str">
        <f t="shared" si="68"/>
        <v/>
      </c>
      <c r="U437" s="19" t="str">
        <f t="shared" si="69"/>
        <v/>
      </c>
      <c r="V437" s="7"/>
      <c r="Y437" s="19" t="str">
        <f>IF('Supplier selection'!AQ437="","",'Supplier selection'!AQ437)</f>
        <v/>
      </c>
      <c r="Z437" s="19" t="str">
        <f>IF('Supplier selection'!AR437="","",'Supplier selection'!AR437)</f>
        <v/>
      </c>
      <c r="AA437" s="19" t="str">
        <f t="shared" si="70"/>
        <v/>
      </c>
      <c r="AD437" s="26" t="str">
        <f>IF(AND('Supplier selection'!X437="",'Supplier selection'!AE437=""),"",IF('Supplier selection'!X437="",'Supplier selection'!AE437,'Supplier selection'!X437))</f>
        <v/>
      </c>
      <c r="AE437" s="19" t="str">
        <f t="shared" si="71"/>
        <v/>
      </c>
      <c r="AF437" s="19" t="str">
        <f t="shared" si="72"/>
        <v/>
      </c>
      <c r="AG437" s="27" t="str">
        <f>IF(AND('Supplier selection'!AB437="",'Supplier selection'!AI437=""),"",IF('Supplier selection'!AB437="",'Supplier selection'!AI437,'Supplier selection'!AB437))</f>
        <v/>
      </c>
      <c r="AH437" s="28" t="str">
        <f t="shared" si="73"/>
        <v/>
      </c>
      <c r="AI437" s="7" t="str">
        <f t="shared" si="74"/>
        <v/>
      </c>
      <c r="AJ437" s="22" t="str">
        <f t="shared" si="75"/>
        <v/>
      </c>
      <c r="AK437" s="29" t="str">
        <f t="shared" si="76"/>
        <v/>
      </c>
      <c r="AL437" s="10"/>
    </row>
    <row r="438" spans="1:38">
      <c r="A438" s="19">
        <f>IF('Supplier selection'!A438="","",'Supplier selection'!A438)</f>
        <v>434</v>
      </c>
      <c r="B438" s="19" t="str">
        <f>IF('Supplier selection'!B438="","",'Supplier selection'!B438)</f>
        <v/>
      </c>
      <c r="C438" s="19" t="str">
        <f>IF('Supplier selection'!C438="","",'Supplier selection'!C438)</f>
        <v/>
      </c>
      <c r="D438" s="19" t="str">
        <f>IF('Supplier selection'!D438="","",'Supplier selection'!D438)</f>
        <v/>
      </c>
      <c r="E438" s="19" t="str">
        <f>IF('Supplier selection'!E438="","",'Supplier selection'!E438)</f>
        <v/>
      </c>
      <c r="F438" s="19" t="str">
        <f>IF('Supplier selection'!F438="","",'Supplier selection'!F438)</f>
        <v/>
      </c>
      <c r="G438" s="19" t="str">
        <f>IF('Supplier selection'!G438="","",'Supplier selection'!G438)</f>
        <v/>
      </c>
      <c r="H438" s="19" t="str">
        <f>IF('Supplier selection'!H438="","",'Supplier selection'!H438)</f>
        <v/>
      </c>
      <c r="I438" s="19" t="str">
        <f>IF('Supplier selection'!I438="","",'Supplier selection'!I438)</f>
        <v/>
      </c>
      <c r="J438" s="19" t="str">
        <f>IF('Supplier selection'!J438="","",'Supplier selection'!J438)</f>
        <v/>
      </c>
      <c r="K438" s="19" t="str">
        <f>IF('Supplier selection'!K438="","",'Supplier selection'!K438)</f>
        <v/>
      </c>
      <c r="L438" s="19" t="str">
        <f>IF('Supplier selection'!L438="","",'Supplier selection'!L438)</f>
        <v/>
      </c>
      <c r="M438" s="19" t="str">
        <f>IF('Supplier selection'!M438="","",'Supplier selection'!M438)</f>
        <v/>
      </c>
      <c r="N438" s="19" t="str">
        <f>IF('Supplier selection'!N438="","",'Supplier selection'!N438)</f>
        <v/>
      </c>
      <c r="O438" s="19" t="str">
        <f>IF('Supplier selection'!O438="","",'Supplier selection'!O438)</f>
        <v/>
      </c>
      <c r="Q438" s="19" t="str">
        <f>HLOOKUP($Q$3,'Supplier selection'!$AW$4:'Supplier selection'!$CT$1000,$A439,FALSE)</f>
        <v/>
      </c>
      <c r="R438" s="22" t="str">
        <f t="shared" si="66"/>
        <v/>
      </c>
      <c r="S438" s="19" t="str">
        <f t="shared" si="67"/>
        <v/>
      </c>
      <c r="T438" s="22" t="str">
        <f t="shared" si="68"/>
        <v/>
      </c>
      <c r="U438" s="19" t="str">
        <f t="shared" si="69"/>
        <v/>
      </c>
      <c r="V438" s="7"/>
      <c r="Y438" s="19" t="str">
        <f>IF('Supplier selection'!AQ438="","",'Supplier selection'!AQ438)</f>
        <v/>
      </c>
      <c r="Z438" s="19" t="str">
        <f>IF('Supplier selection'!AR438="","",'Supplier selection'!AR438)</f>
        <v/>
      </c>
      <c r="AA438" s="19" t="str">
        <f t="shared" si="70"/>
        <v/>
      </c>
      <c r="AD438" s="26" t="str">
        <f>IF(AND('Supplier selection'!X438="",'Supplier selection'!AE438=""),"",IF('Supplier selection'!X438="",'Supplier selection'!AE438,'Supplier selection'!X438))</f>
        <v/>
      </c>
      <c r="AE438" s="19" t="str">
        <f t="shared" si="71"/>
        <v/>
      </c>
      <c r="AF438" s="19" t="str">
        <f t="shared" si="72"/>
        <v/>
      </c>
      <c r="AG438" s="27" t="str">
        <f>IF(AND('Supplier selection'!AB438="",'Supplier selection'!AI438=""),"",IF('Supplier selection'!AB438="",'Supplier selection'!AI438,'Supplier selection'!AB438))</f>
        <v/>
      </c>
      <c r="AH438" s="28" t="str">
        <f t="shared" si="73"/>
        <v/>
      </c>
      <c r="AI438" s="7" t="str">
        <f t="shared" si="74"/>
        <v/>
      </c>
      <c r="AJ438" s="22" t="str">
        <f t="shared" si="75"/>
        <v/>
      </c>
      <c r="AK438" s="29" t="str">
        <f t="shared" si="76"/>
        <v/>
      </c>
      <c r="AL438" s="10"/>
    </row>
    <row r="439" spans="1:38">
      <c r="A439" s="19">
        <f>IF('Supplier selection'!A439="","",'Supplier selection'!A439)</f>
        <v>435</v>
      </c>
      <c r="B439" s="19" t="str">
        <f>IF('Supplier selection'!B439="","",'Supplier selection'!B439)</f>
        <v/>
      </c>
      <c r="C439" s="19" t="str">
        <f>IF('Supplier selection'!C439="","",'Supplier selection'!C439)</f>
        <v/>
      </c>
      <c r="D439" s="19" t="str">
        <f>IF('Supplier selection'!D439="","",'Supplier selection'!D439)</f>
        <v/>
      </c>
      <c r="E439" s="19" t="str">
        <f>IF('Supplier selection'!E439="","",'Supplier selection'!E439)</f>
        <v/>
      </c>
      <c r="F439" s="19" t="str">
        <f>IF('Supplier selection'!F439="","",'Supplier selection'!F439)</f>
        <v/>
      </c>
      <c r="G439" s="19" t="str">
        <f>IF('Supplier selection'!G439="","",'Supplier selection'!G439)</f>
        <v/>
      </c>
      <c r="H439" s="19" t="str">
        <f>IF('Supplier selection'!H439="","",'Supplier selection'!H439)</f>
        <v/>
      </c>
      <c r="I439" s="19" t="str">
        <f>IF('Supplier selection'!I439="","",'Supplier selection'!I439)</f>
        <v/>
      </c>
      <c r="J439" s="19" t="str">
        <f>IF('Supplier selection'!J439="","",'Supplier selection'!J439)</f>
        <v/>
      </c>
      <c r="K439" s="19" t="str">
        <f>IF('Supplier selection'!K439="","",'Supplier selection'!K439)</f>
        <v/>
      </c>
      <c r="L439" s="19" t="str">
        <f>IF('Supplier selection'!L439="","",'Supplier selection'!L439)</f>
        <v/>
      </c>
      <c r="M439" s="19" t="str">
        <f>IF('Supplier selection'!M439="","",'Supplier selection'!M439)</f>
        <v/>
      </c>
      <c r="N439" s="19" t="str">
        <f>IF('Supplier selection'!N439="","",'Supplier selection'!N439)</f>
        <v/>
      </c>
      <c r="O439" s="19" t="str">
        <f>IF('Supplier selection'!O439="","",'Supplier selection'!O439)</f>
        <v/>
      </c>
      <c r="Q439" s="19" t="str">
        <f>HLOOKUP($Q$3,'Supplier selection'!$AW$4:'Supplier selection'!$CT$1000,$A440,FALSE)</f>
        <v/>
      </c>
      <c r="R439" s="22" t="str">
        <f t="shared" si="66"/>
        <v/>
      </c>
      <c r="S439" s="19" t="str">
        <f t="shared" si="67"/>
        <v/>
      </c>
      <c r="T439" s="22" t="str">
        <f t="shared" si="68"/>
        <v/>
      </c>
      <c r="U439" s="19" t="str">
        <f t="shared" si="69"/>
        <v/>
      </c>
      <c r="V439" s="7"/>
      <c r="Y439" s="19" t="str">
        <f>IF('Supplier selection'!AQ439="","",'Supplier selection'!AQ439)</f>
        <v/>
      </c>
      <c r="Z439" s="19" t="str">
        <f>IF('Supplier selection'!AR439="","",'Supplier selection'!AR439)</f>
        <v/>
      </c>
      <c r="AA439" s="19" t="str">
        <f t="shared" si="70"/>
        <v/>
      </c>
      <c r="AD439" s="26" t="str">
        <f>IF(AND('Supplier selection'!X439="",'Supplier selection'!AE439=""),"",IF('Supplier selection'!X439="",'Supplier selection'!AE439,'Supplier selection'!X439))</f>
        <v/>
      </c>
      <c r="AE439" s="19" t="str">
        <f t="shared" si="71"/>
        <v/>
      </c>
      <c r="AF439" s="19" t="str">
        <f t="shared" si="72"/>
        <v/>
      </c>
      <c r="AG439" s="27" t="str">
        <f>IF(AND('Supplier selection'!AB439="",'Supplier selection'!AI439=""),"",IF('Supplier selection'!AB439="",'Supplier selection'!AI439,'Supplier selection'!AB439))</f>
        <v/>
      </c>
      <c r="AH439" s="28" t="str">
        <f t="shared" si="73"/>
        <v/>
      </c>
      <c r="AI439" s="7" t="str">
        <f t="shared" si="74"/>
        <v/>
      </c>
      <c r="AJ439" s="22" t="str">
        <f t="shared" si="75"/>
        <v/>
      </c>
      <c r="AK439" s="29" t="str">
        <f t="shared" si="76"/>
        <v/>
      </c>
      <c r="AL439" s="10"/>
    </row>
    <row r="440" spans="1:38">
      <c r="A440" s="19">
        <f>IF('Supplier selection'!A440="","",'Supplier selection'!A440)</f>
        <v>436</v>
      </c>
      <c r="B440" s="19" t="str">
        <f>IF('Supplier selection'!B440="","",'Supplier selection'!B440)</f>
        <v/>
      </c>
      <c r="C440" s="19" t="str">
        <f>IF('Supplier selection'!C440="","",'Supplier selection'!C440)</f>
        <v/>
      </c>
      <c r="D440" s="19" t="str">
        <f>IF('Supplier selection'!D440="","",'Supplier selection'!D440)</f>
        <v/>
      </c>
      <c r="E440" s="19" t="str">
        <f>IF('Supplier selection'!E440="","",'Supplier selection'!E440)</f>
        <v/>
      </c>
      <c r="F440" s="19" t="str">
        <f>IF('Supplier selection'!F440="","",'Supplier selection'!F440)</f>
        <v/>
      </c>
      <c r="G440" s="19" t="str">
        <f>IF('Supplier selection'!G440="","",'Supplier selection'!G440)</f>
        <v/>
      </c>
      <c r="H440" s="19" t="str">
        <f>IF('Supplier selection'!H440="","",'Supplier selection'!H440)</f>
        <v/>
      </c>
      <c r="I440" s="19" t="str">
        <f>IF('Supplier selection'!I440="","",'Supplier selection'!I440)</f>
        <v/>
      </c>
      <c r="J440" s="19" t="str">
        <f>IF('Supplier selection'!J440="","",'Supplier selection'!J440)</f>
        <v/>
      </c>
      <c r="K440" s="19" t="str">
        <f>IF('Supplier selection'!K440="","",'Supplier selection'!K440)</f>
        <v/>
      </c>
      <c r="L440" s="19" t="str">
        <f>IF('Supplier selection'!L440="","",'Supplier selection'!L440)</f>
        <v/>
      </c>
      <c r="M440" s="19" t="str">
        <f>IF('Supplier selection'!M440="","",'Supplier selection'!M440)</f>
        <v/>
      </c>
      <c r="N440" s="19" t="str">
        <f>IF('Supplier selection'!N440="","",'Supplier selection'!N440)</f>
        <v/>
      </c>
      <c r="O440" s="19" t="str">
        <f>IF('Supplier selection'!O440="","",'Supplier selection'!O440)</f>
        <v/>
      </c>
      <c r="Q440" s="19" t="str">
        <f>HLOOKUP($Q$3,'Supplier selection'!$AW$4:'Supplier selection'!$CT$1000,$A441,FALSE)</f>
        <v/>
      </c>
      <c r="R440" s="22" t="str">
        <f t="shared" si="66"/>
        <v/>
      </c>
      <c r="S440" s="19" t="str">
        <f t="shared" si="67"/>
        <v/>
      </c>
      <c r="T440" s="22" t="str">
        <f t="shared" si="68"/>
        <v/>
      </c>
      <c r="U440" s="19" t="str">
        <f t="shared" si="69"/>
        <v/>
      </c>
      <c r="V440" s="7"/>
      <c r="Y440" s="19" t="str">
        <f>IF('Supplier selection'!AQ440="","",'Supplier selection'!AQ440)</f>
        <v/>
      </c>
      <c r="Z440" s="19" t="str">
        <f>IF('Supplier selection'!AR440="","",'Supplier selection'!AR440)</f>
        <v/>
      </c>
      <c r="AA440" s="19" t="str">
        <f t="shared" si="70"/>
        <v/>
      </c>
      <c r="AD440" s="26" t="str">
        <f>IF(AND('Supplier selection'!X440="",'Supplier selection'!AE440=""),"",IF('Supplier selection'!X440="",'Supplier selection'!AE440,'Supplier selection'!X440))</f>
        <v/>
      </c>
      <c r="AE440" s="19" t="str">
        <f t="shared" si="71"/>
        <v/>
      </c>
      <c r="AF440" s="19" t="str">
        <f t="shared" si="72"/>
        <v/>
      </c>
      <c r="AG440" s="27" t="str">
        <f>IF(AND('Supplier selection'!AB440="",'Supplier selection'!AI440=""),"",IF('Supplier selection'!AB440="",'Supplier selection'!AI440,'Supplier selection'!AB440))</f>
        <v/>
      </c>
      <c r="AH440" s="28" t="str">
        <f t="shared" si="73"/>
        <v/>
      </c>
      <c r="AI440" s="7" t="str">
        <f t="shared" si="74"/>
        <v/>
      </c>
      <c r="AJ440" s="22" t="str">
        <f t="shared" si="75"/>
        <v/>
      </c>
      <c r="AK440" s="29" t="str">
        <f t="shared" si="76"/>
        <v/>
      </c>
      <c r="AL440" s="10"/>
    </row>
    <row r="441" spans="1:38">
      <c r="A441" s="19">
        <f>IF('Supplier selection'!A441="","",'Supplier selection'!A441)</f>
        <v>437</v>
      </c>
      <c r="B441" s="19" t="str">
        <f>IF('Supplier selection'!B441="","",'Supplier selection'!B441)</f>
        <v/>
      </c>
      <c r="C441" s="19" t="str">
        <f>IF('Supplier selection'!C441="","",'Supplier selection'!C441)</f>
        <v/>
      </c>
      <c r="D441" s="19" t="str">
        <f>IF('Supplier selection'!D441="","",'Supplier selection'!D441)</f>
        <v/>
      </c>
      <c r="E441" s="19" t="str">
        <f>IF('Supplier selection'!E441="","",'Supplier selection'!E441)</f>
        <v/>
      </c>
      <c r="F441" s="19" t="str">
        <f>IF('Supplier selection'!F441="","",'Supplier selection'!F441)</f>
        <v/>
      </c>
      <c r="G441" s="19" t="str">
        <f>IF('Supplier selection'!G441="","",'Supplier selection'!G441)</f>
        <v/>
      </c>
      <c r="H441" s="19" t="str">
        <f>IF('Supplier selection'!H441="","",'Supplier selection'!H441)</f>
        <v/>
      </c>
      <c r="I441" s="19" t="str">
        <f>IF('Supplier selection'!I441="","",'Supplier selection'!I441)</f>
        <v/>
      </c>
      <c r="J441" s="19" t="str">
        <f>IF('Supplier selection'!J441="","",'Supplier selection'!J441)</f>
        <v/>
      </c>
      <c r="K441" s="19" t="str">
        <f>IF('Supplier selection'!K441="","",'Supplier selection'!K441)</f>
        <v/>
      </c>
      <c r="L441" s="19" t="str">
        <f>IF('Supplier selection'!L441="","",'Supplier selection'!L441)</f>
        <v/>
      </c>
      <c r="M441" s="19" t="str">
        <f>IF('Supplier selection'!M441="","",'Supplier selection'!M441)</f>
        <v/>
      </c>
      <c r="N441" s="19" t="str">
        <f>IF('Supplier selection'!N441="","",'Supplier selection'!N441)</f>
        <v/>
      </c>
      <c r="O441" s="19" t="str">
        <f>IF('Supplier selection'!O441="","",'Supplier selection'!O441)</f>
        <v/>
      </c>
      <c r="Q441" s="19" t="str">
        <f>HLOOKUP($Q$3,'Supplier selection'!$AW$4:'Supplier selection'!$CT$1000,$A442,FALSE)</f>
        <v/>
      </c>
      <c r="R441" s="22" t="str">
        <f t="shared" si="66"/>
        <v/>
      </c>
      <c r="S441" s="19" t="str">
        <f t="shared" si="67"/>
        <v/>
      </c>
      <c r="T441" s="22" t="str">
        <f t="shared" si="68"/>
        <v/>
      </c>
      <c r="U441" s="19" t="str">
        <f t="shared" si="69"/>
        <v/>
      </c>
      <c r="V441" s="7"/>
      <c r="Y441" s="19" t="str">
        <f>IF('Supplier selection'!AQ441="","",'Supplier selection'!AQ441)</f>
        <v/>
      </c>
      <c r="Z441" s="19" t="str">
        <f>IF('Supplier selection'!AR441="","",'Supplier selection'!AR441)</f>
        <v/>
      </c>
      <c r="AA441" s="19" t="str">
        <f t="shared" si="70"/>
        <v/>
      </c>
      <c r="AD441" s="26" t="str">
        <f>IF(AND('Supplier selection'!X441="",'Supplier selection'!AE441=""),"",IF('Supplier selection'!X441="",'Supplier selection'!AE441,'Supplier selection'!X441))</f>
        <v/>
      </c>
      <c r="AE441" s="19" t="str">
        <f t="shared" si="71"/>
        <v/>
      </c>
      <c r="AF441" s="19" t="str">
        <f t="shared" si="72"/>
        <v/>
      </c>
      <c r="AG441" s="27" t="str">
        <f>IF(AND('Supplier selection'!AB441="",'Supplier selection'!AI441=""),"",IF('Supplier selection'!AB441="",'Supplier selection'!AI441,'Supplier selection'!AB441))</f>
        <v/>
      </c>
      <c r="AH441" s="28" t="str">
        <f t="shared" si="73"/>
        <v/>
      </c>
      <c r="AI441" s="7" t="str">
        <f t="shared" si="74"/>
        <v/>
      </c>
      <c r="AJ441" s="22" t="str">
        <f t="shared" si="75"/>
        <v/>
      </c>
      <c r="AK441" s="29" t="str">
        <f t="shared" si="76"/>
        <v/>
      </c>
      <c r="AL441" s="10"/>
    </row>
    <row r="442" spans="1:38">
      <c r="A442" s="19">
        <f>IF('Supplier selection'!A442="","",'Supplier selection'!A442)</f>
        <v>438</v>
      </c>
      <c r="B442" s="19" t="str">
        <f>IF('Supplier selection'!B442="","",'Supplier selection'!B442)</f>
        <v/>
      </c>
      <c r="C442" s="19" t="str">
        <f>IF('Supplier selection'!C442="","",'Supplier selection'!C442)</f>
        <v/>
      </c>
      <c r="D442" s="19" t="str">
        <f>IF('Supplier selection'!D442="","",'Supplier selection'!D442)</f>
        <v/>
      </c>
      <c r="E442" s="19" t="str">
        <f>IF('Supplier selection'!E442="","",'Supplier selection'!E442)</f>
        <v/>
      </c>
      <c r="F442" s="19" t="str">
        <f>IF('Supplier selection'!F442="","",'Supplier selection'!F442)</f>
        <v/>
      </c>
      <c r="G442" s="19" t="str">
        <f>IF('Supplier selection'!G442="","",'Supplier selection'!G442)</f>
        <v/>
      </c>
      <c r="H442" s="19" t="str">
        <f>IF('Supplier selection'!H442="","",'Supplier selection'!H442)</f>
        <v/>
      </c>
      <c r="I442" s="19" t="str">
        <f>IF('Supplier selection'!I442="","",'Supplier selection'!I442)</f>
        <v/>
      </c>
      <c r="J442" s="19" t="str">
        <f>IF('Supplier selection'!J442="","",'Supplier selection'!J442)</f>
        <v/>
      </c>
      <c r="K442" s="19" t="str">
        <f>IF('Supplier selection'!K442="","",'Supplier selection'!K442)</f>
        <v/>
      </c>
      <c r="L442" s="19" t="str">
        <f>IF('Supplier selection'!L442="","",'Supplier selection'!L442)</f>
        <v/>
      </c>
      <c r="M442" s="19" t="str">
        <f>IF('Supplier selection'!M442="","",'Supplier selection'!M442)</f>
        <v/>
      </c>
      <c r="N442" s="19" t="str">
        <f>IF('Supplier selection'!N442="","",'Supplier selection'!N442)</f>
        <v/>
      </c>
      <c r="O442" s="19" t="str">
        <f>IF('Supplier selection'!O442="","",'Supplier selection'!O442)</f>
        <v/>
      </c>
      <c r="Q442" s="19" t="str">
        <f>HLOOKUP($Q$3,'Supplier selection'!$AW$4:'Supplier selection'!$CT$1000,$A443,FALSE)</f>
        <v/>
      </c>
      <c r="R442" s="22" t="str">
        <f t="shared" si="66"/>
        <v/>
      </c>
      <c r="S442" s="19" t="str">
        <f t="shared" si="67"/>
        <v/>
      </c>
      <c r="T442" s="22" t="str">
        <f t="shared" si="68"/>
        <v/>
      </c>
      <c r="U442" s="19" t="str">
        <f t="shared" si="69"/>
        <v/>
      </c>
      <c r="V442" s="7"/>
      <c r="Y442" s="19" t="str">
        <f>IF('Supplier selection'!AQ442="","",'Supplier selection'!AQ442)</f>
        <v/>
      </c>
      <c r="Z442" s="19" t="str">
        <f>IF('Supplier selection'!AR442="","",'Supplier selection'!AR442)</f>
        <v/>
      </c>
      <c r="AA442" s="19" t="str">
        <f t="shared" si="70"/>
        <v/>
      </c>
      <c r="AD442" s="26" t="str">
        <f>IF(AND('Supplier selection'!X442="",'Supplier selection'!AE442=""),"",IF('Supplier selection'!X442="",'Supplier selection'!AE442,'Supplier selection'!X442))</f>
        <v/>
      </c>
      <c r="AE442" s="19" t="str">
        <f t="shared" si="71"/>
        <v/>
      </c>
      <c r="AF442" s="19" t="str">
        <f t="shared" si="72"/>
        <v/>
      </c>
      <c r="AG442" s="27" t="str">
        <f>IF(AND('Supplier selection'!AB442="",'Supplier selection'!AI442=""),"",IF('Supplier selection'!AB442="",'Supplier selection'!AI442,'Supplier selection'!AB442))</f>
        <v/>
      </c>
      <c r="AH442" s="28" t="str">
        <f t="shared" si="73"/>
        <v/>
      </c>
      <c r="AI442" s="7" t="str">
        <f t="shared" si="74"/>
        <v/>
      </c>
      <c r="AJ442" s="22" t="str">
        <f t="shared" si="75"/>
        <v/>
      </c>
      <c r="AK442" s="29" t="str">
        <f t="shared" si="76"/>
        <v/>
      </c>
      <c r="AL442" s="10"/>
    </row>
    <row r="443" spans="1:38">
      <c r="A443" s="19">
        <f>IF('Supplier selection'!A443="","",'Supplier selection'!A443)</f>
        <v>439</v>
      </c>
      <c r="B443" s="19" t="str">
        <f>IF('Supplier selection'!B443="","",'Supplier selection'!B443)</f>
        <v/>
      </c>
      <c r="C443" s="19" t="str">
        <f>IF('Supplier selection'!C443="","",'Supplier selection'!C443)</f>
        <v/>
      </c>
      <c r="D443" s="19" t="str">
        <f>IF('Supplier selection'!D443="","",'Supplier selection'!D443)</f>
        <v/>
      </c>
      <c r="E443" s="19" t="str">
        <f>IF('Supplier selection'!E443="","",'Supplier selection'!E443)</f>
        <v/>
      </c>
      <c r="F443" s="19" t="str">
        <f>IF('Supplier selection'!F443="","",'Supplier selection'!F443)</f>
        <v/>
      </c>
      <c r="G443" s="19" t="str">
        <f>IF('Supplier selection'!G443="","",'Supplier selection'!G443)</f>
        <v/>
      </c>
      <c r="H443" s="19" t="str">
        <f>IF('Supplier selection'!H443="","",'Supplier selection'!H443)</f>
        <v/>
      </c>
      <c r="I443" s="19" t="str">
        <f>IF('Supplier selection'!I443="","",'Supplier selection'!I443)</f>
        <v/>
      </c>
      <c r="J443" s="19" t="str">
        <f>IF('Supplier selection'!J443="","",'Supplier selection'!J443)</f>
        <v/>
      </c>
      <c r="K443" s="19" t="str">
        <f>IF('Supplier selection'!K443="","",'Supplier selection'!K443)</f>
        <v/>
      </c>
      <c r="L443" s="19" t="str">
        <f>IF('Supplier selection'!L443="","",'Supplier selection'!L443)</f>
        <v/>
      </c>
      <c r="M443" s="19" t="str">
        <f>IF('Supplier selection'!M443="","",'Supplier selection'!M443)</f>
        <v/>
      </c>
      <c r="N443" s="19" t="str">
        <f>IF('Supplier selection'!N443="","",'Supplier selection'!N443)</f>
        <v/>
      </c>
      <c r="O443" s="19" t="str">
        <f>IF('Supplier selection'!O443="","",'Supplier selection'!O443)</f>
        <v/>
      </c>
      <c r="Q443" s="19" t="str">
        <f>HLOOKUP($Q$3,'Supplier selection'!$AW$4:'Supplier selection'!$CT$1000,$A444,FALSE)</f>
        <v/>
      </c>
      <c r="R443" s="22" t="str">
        <f t="shared" si="66"/>
        <v/>
      </c>
      <c r="S443" s="19" t="str">
        <f t="shared" si="67"/>
        <v/>
      </c>
      <c r="T443" s="22" t="str">
        <f t="shared" si="68"/>
        <v/>
      </c>
      <c r="U443" s="19" t="str">
        <f t="shared" si="69"/>
        <v/>
      </c>
      <c r="V443" s="7"/>
      <c r="Y443" s="19" t="str">
        <f>IF('Supplier selection'!AQ443="","",'Supplier selection'!AQ443)</f>
        <v/>
      </c>
      <c r="Z443" s="19" t="str">
        <f>IF('Supplier selection'!AR443="","",'Supplier selection'!AR443)</f>
        <v/>
      </c>
      <c r="AA443" s="19" t="str">
        <f t="shared" si="70"/>
        <v/>
      </c>
      <c r="AD443" s="26" t="str">
        <f>IF(AND('Supplier selection'!X443="",'Supplier selection'!AE443=""),"",IF('Supplier selection'!X443="",'Supplier selection'!AE443,'Supplier selection'!X443))</f>
        <v/>
      </c>
      <c r="AE443" s="19" t="str">
        <f t="shared" si="71"/>
        <v/>
      </c>
      <c r="AF443" s="19" t="str">
        <f t="shared" si="72"/>
        <v/>
      </c>
      <c r="AG443" s="27" t="str">
        <f>IF(AND('Supplier selection'!AB443="",'Supplier selection'!AI443=""),"",IF('Supplier selection'!AB443="",'Supplier selection'!AI443,'Supplier selection'!AB443))</f>
        <v/>
      </c>
      <c r="AH443" s="28" t="str">
        <f t="shared" si="73"/>
        <v/>
      </c>
      <c r="AI443" s="7" t="str">
        <f t="shared" si="74"/>
        <v/>
      </c>
      <c r="AJ443" s="22" t="str">
        <f t="shared" si="75"/>
        <v/>
      </c>
      <c r="AK443" s="29" t="str">
        <f t="shared" si="76"/>
        <v/>
      </c>
      <c r="AL443" s="10"/>
    </row>
    <row r="444" spans="1:38">
      <c r="A444" s="19">
        <f>IF('Supplier selection'!A444="","",'Supplier selection'!A444)</f>
        <v>440</v>
      </c>
      <c r="B444" s="19" t="str">
        <f>IF('Supplier selection'!B444="","",'Supplier selection'!B444)</f>
        <v/>
      </c>
      <c r="C444" s="19" t="str">
        <f>IF('Supplier selection'!C444="","",'Supplier selection'!C444)</f>
        <v/>
      </c>
      <c r="D444" s="19" t="str">
        <f>IF('Supplier selection'!D444="","",'Supplier selection'!D444)</f>
        <v/>
      </c>
      <c r="E444" s="19" t="str">
        <f>IF('Supplier selection'!E444="","",'Supplier selection'!E444)</f>
        <v/>
      </c>
      <c r="F444" s="19" t="str">
        <f>IF('Supplier selection'!F444="","",'Supplier selection'!F444)</f>
        <v/>
      </c>
      <c r="G444" s="19" t="str">
        <f>IF('Supplier selection'!G444="","",'Supplier selection'!G444)</f>
        <v/>
      </c>
      <c r="H444" s="19" t="str">
        <f>IF('Supplier selection'!H444="","",'Supplier selection'!H444)</f>
        <v/>
      </c>
      <c r="I444" s="19" t="str">
        <f>IF('Supplier selection'!I444="","",'Supplier selection'!I444)</f>
        <v/>
      </c>
      <c r="J444" s="19" t="str">
        <f>IF('Supplier selection'!J444="","",'Supplier selection'!J444)</f>
        <v/>
      </c>
      <c r="K444" s="19" t="str">
        <f>IF('Supplier selection'!K444="","",'Supplier selection'!K444)</f>
        <v/>
      </c>
      <c r="L444" s="19" t="str">
        <f>IF('Supplier selection'!L444="","",'Supplier selection'!L444)</f>
        <v/>
      </c>
      <c r="M444" s="19" t="str">
        <f>IF('Supplier selection'!M444="","",'Supplier selection'!M444)</f>
        <v/>
      </c>
      <c r="N444" s="19" t="str">
        <f>IF('Supplier selection'!N444="","",'Supplier selection'!N444)</f>
        <v/>
      </c>
      <c r="O444" s="19" t="str">
        <f>IF('Supplier selection'!O444="","",'Supplier selection'!O444)</f>
        <v/>
      </c>
      <c r="Q444" s="19" t="str">
        <f>HLOOKUP($Q$3,'Supplier selection'!$AW$4:'Supplier selection'!$CT$1000,$A445,FALSE)</f>
        <v/>
      </c>
      <c r="R444" s="22" t="str">
        <f t="shared" si="66"/>
        <v/>
      </c>
      <c r="S444" s="19" t="str">
        <f t="shared" si="67"/>
        <v/>
      </c>
      <c r="T444" s="22" t="str">
        <f t="shared" si="68"/>
        <v/>
      </c>
      <c r="U444" s="19" t="str">
        <f t="shared" si="69"/>
        <v/>
      </c>
      <c r="V444" s="7"/>
      <c r="Y444" s="19" t="str">
        <f>IF('Supplier selection'!AQ444="","",'Supplier selection'!AQ444)</f>
        <v/>
      </c>
      <c r="Z444" s="19" t="str">
        <f>IF('Supplier selection'!AR444="","",'Supplier selection'!AR444)</f>
        <v/>
      </c>
      <c r="AA444" s="19" t="str">
        <f t="shared" si="70"/>
        <v/>
      </c>
      <c r="AD444" s="26" t="str">
        <f>IF(AND('Supplier selection'!X444="",'Supplier selection'!AE444=""),"",IF('Supplier selection'!X444="",'Supplier selection'!AE444,'Supplier selection'!X444))</f>
        <v/>
      </c>
      <c r="AE444" s="19" t="str">
        <f t="shared" si="71"/>
        <v/>
      </c>
      <c r="AF444" s="19" t="str">
        <f t="shared" si="72"/>
        <v/>
      </c>
      <c r="AG444" s="27" t="str">
        <f>IF(AND('Supplier selection'!AB444="",'Supplier selection'!AI444=""),"",IF('Supplier selection'!AB444="",'Supplier selection'!AI444,'Supplier selection'!AB444))</f>
        <v/>
      </c>
      <c r="AH444" s="28" t="str">
        <f t="shared" si="73"/>
        <v/>
      </c>
      <c r="AI444" s="7" t="str">
        <f t="shared" si="74"/>
        <v/>
      </c>
      <c r="AJ444" s="22" t="str">
        <f t="shared" si="75"/>
        <v/>
      </c>
      <c r="AK444" s="29" t="str">
        <f t="shared" si="76"/>
        <v/>
      </c>
      <c r="AL444" s="10"/>
    </row>
    <row r="445" spans="1:38">
      <c r="A445" s="19">
        <f>IF('Supplier selection'!A445="","",'Supplier selection'!A445)</f>
        <v>441</v>
      </c>
      <c r="B445" s="19" t="str">
        <f>IF('Supplier selection'!B445="","",'Supplier selection'!B445)</f>
        <v/>
      </c>
      <c r="C445" s="19" t="str">
        <f>IF('Supplier selection'!C445="","",'Supplier selection'!C445)</f>
        <v/>
      </c>
      <c r="D445" s="19" t="str">
        <f>IF('Supplier selection'!D445="","",'Supplier selection'!D445)</f>
        <v/>
      </c>
      <c r="E445" s="19" t="str">
        <f>IF('Supplier selection'!E445="","",'Supplier selection'!E445)</f>
        <v/>
      </c>
      <c r="F445" s="19" t="str">
        <f>IF('Supplier selection'!F445="","",'Supplier selection'!F445)</f>
        <v/>
      </c>
      <c r="G445" s="19" t="str">
        <f>IF('Supplier selection'!G445="","",'Supplier selection'!G445)</f>
        <v/>
      </c>
      <c r="H445" s="19" t="str">
        <f>IF('Supplier selection'!H445="","",'Supplier selection'!H445)</f>
        <v/>
      </c>
      <c r="I445" s="19" t="str">
        <f>IF('Supplier selection'!I445="","",'Supplier selection'!I445)</f>
        <v/>
      </c>
      <c r="J445" s="19" t="str">
        <f>IF('Supplier selection'!J445="","",'Supplier selection'!J445)</f>
        <v/>
      </c>
      <c r="K445" s="19" t="str">
        <f>IF('Supplier selection'!K445="","",'Supplier selection'!K445)</f>
        <v/>
      </c>
      <c r="L445" s="19" t="str">
        <f>IF('Supplier selection'!L445="","",'Supplier selection'!L445)</f>
        <v/>
      </c>
      <c r="M445" s="19" t="str">
        <f>IF('Supplier selection'!M445="","",'Supplier selection'!M445)</f>
        <v/>
      </c>
      <c r="N445" s="19" t="str">
        <f>IF('Supplier selection'!N445="","",'Supplier selection'!N445)</f>
        <v/>
      </c>
      <c r="O445" s="19" t="str">
        <f>IF('Supplier selection'!O445="","",'Supplier selection'!O445)</f>
        <v/>
      </c>
      <c r="Q445" s="19" t="str">
        <f>HLOOKUP($Q$3,'Supplier selection'!$AW$4:'Supplier selection'!$CT$1000,$A446,FALSE)</f>
        <v/>
      </c>
      <c r="R445" s="22" t="str">
        <f t="shared" si="66"/>
        <v/>
      </c>
      <c r="S445" s="19" t="str">
        <f t="shared" si="67"/>
        <v/>
      </c>
      <c r="T445" s="22" t="str">
        <f t="shared" si="68"/>
        <v/>
      </c>
      <c r="U445" s="19" t="str">
        <f t="shared" si="69"/>
        <v/>
      </c>
      <c r="V445" s="7"/>
      <c r="Y445" s="19" t="str">
        <f>IF('Supplier selection'!AQ445="","",'Supplier selection'!AQ445)</f>
        <v/>
      </c>
      <c r="Z445" s="19" t="str">
        <f>IF('Supplier selection'!AR445="","",'Supplier selection'!AR445)</f>
        <v/>
      </c>
      <c r="AA445" s="19" t="str">
        <f t="shared" si="70"/>
        <v/>
      </c>
      <c r="AD445" s="26" t="str">
        <f>IF(AND('Supplier selection'!X445="",'Supplier selection'!AE445=""),"",IF('Supplier selection'!X445="",'Supplier selection'!AE445,'Supplier selection'!X445))</f>
        <v/>
      </c>
      <c r="AE445" s="19" t="str">
        <f t="shared" si="71"/>
        <v/>
      </c>
      <c r="AF445" s="19" t="str">
        <f t="shared" si="72"/>
        <v/>
      </c>
      <c r="AG445" s="27" t="str">
        <f>IF(AND('Supplier selection'!AB445="",'Supplier selection'!AI445=""),"",IF('Supplier selection'!AB445="",'Supplier selection'!AI445,'Supplier selection'!AB445))</f>
        <v/>
      </c>
      <c r="AH445" s="28" t="str">
        <f t="shared" si="73"/>
        <v/>
      </c>
      <c r="AI445" s="7" t="str">
        <f t="shared" si="74"/>
        <v/>
      </c>
      <c r="AJ445" s="22" t="str">
        <f t="shared" si="75"/>
        <v/>
      </c>
      <c r="AK445" s="29" t="str">
        <f t="shared" si="76"/>
        <v/>
      </c>
      <c r="AL445" s="10"/>
    </row>
    <row r="446" spans="1:38">
      <c r="A446" s="19">
        <f>IF('Supplier selection'!A446="","",'Supplier selection'!A446)</f>
        <v>442</v>
      </c>
      <c r="B446" s="19" t="str">
        <f>IF('Supplier selection'!B446="","",'Supplier selection'!B446)</f>
        <v/>
      </c>
      <c r="C446" s="19" t="str">
        <f>IF('Supplier selection'!C446="","",'Supplier selection'!C446)</f>
        <v/>
      </c>
      <c r="D446" s="19" t="str">
        <f>IF('Supplier selection'!D446="","",'Supplier selection'!D446)</f>
        <v/>
      </c>
      <c r="E446" s="19" t="str">
        <f>IF('Supplier selection'!E446="","",'Supplier selection'!E446)</f>
        <v/>
      </c>
      <c r="F446" s="19" t="str">
        <f>IF('Supplier selection'!F446="","",'Supplier selection'!F446)</f>
        <v/>
      </c>
      <c r="G446" s="19" t="str">
        <f>IF('Supplier selection'!G446="","",'Supplier selection'!G446)</f>
        <v/>
      </c>
      <c r="H446" s="19" t="str">
        <f>IF('Supplier selection'!H446="","",'Supplier selection'!H446)</f>
        <v/>
      </c>
      <c r="I446" s="19" t="str">
        <f>IF('Supplier selection'!I446="","",'Supplier selection'!I446)</f>
        <v/>
      </c>
      <c r="J446" s="19" t="str">
        <f>IF('Supplier selection'!J446="","",'Supplier selection'!J446)</f>
        <v/>
      </c>
      <c r="K446" s="19" t="str">
        <f>IF('Supplier selection'!K446="","",'Supplier selection'!K446)</f>
        <v/>
      </c>
      <c r="L446" s="19" t="str">
        <f>IF('Supplier selection'!L446="","",'Supplier selection'!L446)</f>
        <v/>
      </c>
      <c r="M446" s="19" t="str">
        <f>IF('Supplier selection'!M446="","",'Supplier selection'!M446)</f>
        <v/>
      </c>
      <c r="N446" s="19" t="str">
        <f>IF('Supplier selection'!N446="","",'Supplier selection'!N446)</f>
        <v/>
      </c>
      <c r="O446" s="19" t="str">
        <f>IF('Supplier selection'!O446="","",'Supplier selection'!O446)</f>
        <v/>
      </c>
      <c r="Q446" s="19" t="str">
        <f>HLOOKUP($Q$3,'Supplier selection'!$AW$4:'Supplier selection'!$CT$1000,$A447,FALSE)</f>
        <v/>
      </c>
      <c r="R446" s="22" t="str">
        <f t="shared" si="66"/>
        <v/>
      </c>
      <c r="S446" s="19" t="str">
        <f t="shared" si="67"/>
        <v/>
      </c>
      <c r="T446" s="22" t="str">
        <f t="shared" si="68"/>
        <v/>
      </c>
      <c r="U446" s="19" t="str">
        <f t="shared" si="69"/>
        <v/>
      </c>
      <c r="V446" s="7"/>
      <c r="Y446" s="19" t="str">
        <f>IF('Supplier selection'!AQ446="","",'Supplier selection'!AQ446)</f>
        <v/>
      </c>
      <c r="Z446" s="19" t="str">
        <f>IF('Supplier selection'!AR446="","",'Supplier selection'!AR446)</f>
        <v/>
      </c>
      <c r="AA446" s="19" t="str">
        <f t="shared" si="70"/>
        <v/>
      </c>
      <c r="AD446" s="26" t="str">
        <f>IF(AND('Supplier selection'!X446="",'Supplier selection'!AE446=""),"",IF('Supplier selection'!X446="",'Supplier selection'!AE446,'Supplier selection'!X446))</f>
        <v/>
      </c>
      <c r="AE446" s="19" t="str">
        <f t="shared" si="71"/>
        <v/>
      </c>
      <c r="AF446" s="19" t="str">
        <f t="shared" si="72"/>
        <v/>
      </c>
      <c r="AG446" s="27" t="str">
        <f>IF(AND('Supplier selection'!AB446="",'Supplier selection'!AI446=""),"",IF('Supplier selection'!AB446="",'Supplier selection'!AI446,'Supplier selection'!AB446))</f>
        <v/>
      </c>
      <c r="AH446" s="28" t="str">
        <f t="shared" si="73"/>
        <v/>
      </c>
      <c r="AI446" s="7" t="str">
        <f t="shared" si="74"/>
        <v/>
      </c>
      <c r="AJ446" s="22" t="str">
        <f t="shared" si="75"/>
        <v/>
      </c>
      <c r="AK446" s="29" t="str">
        <f t="shared" si="76"/>
        <v/>
      </c>
      <c r="AL446" s="10"/>
    </row>
    <row r="447" spans="1:38">
      <c r="A447" s="19">
        <f>IF('Supplier selection'!A447="","",'Supplier selection'!A447)</f>
        <v>443</v>
      </c>
      <c r="B447" s="19" t="str">
        <f>IF('Supplier selection'!B447="","",'Supplier selection'!B447)</f>
        <v/>
      </c>
      <c r="C447" s="19" t="str">
        <f>IF('Supplier selection'!C447="","",'Supplier selection'!C447)</f>
        <v/>
      </c>
      <c r="D447" s="19" t="str">
        <f>IF('Supplier selection'!D447="","",'Supplier selection'!D447)</f>
        <v/>
      </c>
      <c r="E447" s="19" t="str">
        <f>IF('Supplier selection'!E447="","",'Supplier selection'!E447)</f>
        <v/>
      </c>
      <c r="F447" s="19" t="str">
        <f>IF('Supplier selection'!F447="","",'Supplier selection'!F447)</f>
        <v/>
      </c>
      <c r="G447" s="19" t="str">
        <f>IF('Supplier selection'!G447="","",'Supplier selection'!G447)</f>
        <v/>
      </c>
      <c r="H447" s="19" t="str">
        <f>IF('Supplier selection'!H447="","",'Supplier selection'!H447)</f>
        <v/>
      </c>
      <c r="I447" s="19" t="str">
        <f>IF('Supplier selection'!I447="","",'Supplier selection'!I447)</f>
        <v/>
      </c>
      <c r="J447" s="19" t="str">
        <f>IF('Supplier selection'!J447="","",'Supplier selection'!J447)</f>
        <v/>
      </c>
      <c r="K447" s="19" t="str">
        <f>IF('Supplier selection'!K447="","",'Supplier selection'!K447)</f>
        <v/>
      </c>
      <c r="L447" s="19" t="str">
        <f>IF('Supplier selection'!L447="","",'Supplier selection'!L447)</f>
        <v/>
      </c>
      <c r="M447" s="19" t="str">
        <f>IF('Supplier selection'!M447="","",'Supplier selection'!M447)</f>
        <v/>
      </c>
      <c r="N447" s="19" t="str">
        <f>IF('Supplier selection'!N447="","",'Supplier selection'!N447)</f>
        <v/>
      </c>
      <c r="O447" s="19" t="str">
        <f>IF('Supplier selection'!O447="","",'Supplier selection'!O447)</f>
        <v/>
      </c>
      <c r="Q447" s="19" t="str">
        <f>HLOOKUP($Q$3,'Supplier selection'!$AW$4:'Supplier selection'!$CT$1000,$A448,FALSE)</f>
        <v/>
      </c>
      <c r="R447" s="22" t="str">
        <f t="shared" si="66"/>
        <v/>
      </c>
      <c r="S447" s="19" t="str">
        <f t="shared" si="67"/>
        <v/>
      </c>
      <c r="T447" s="22" t="str">
        <f t="shared" si="68"/>
        <v/>
      </c>
      <c r="U447" s="19" t="str">
        <f t="shared" si="69"/>
        <v/>
      </c>
      <c r="V447" s="7"/>
      <c r="Y447" s="19" t="str">
        <f>IF('Supplier selection'!AQ447="","",'Supplier selection'!AQ447)</f>
        <v/>
      </c>
      <c r="Z447" s="19" t="str">
        <f>IF('Supplier selection'!AR447="","",'Supplier selection'!AR447)</f>
        <v/>
      </c>
      <c r="AA447" s="19" t="str">
        <f t="shared" si="70"/>
        <v/>
      </c>
      <c r="AD447" s="26" t="str">
        <f>IF(AND('Supplier selection'!X447="",'Supplier selection'!AE447=""),"",IF('Supplier selection'!X447="",'Supplier selection'!AE447,'Supplier selection'!X447))</f>
        <v/>
      </c>
      <c r="AE447" s="19" t="str">
        <f t="shared" si="71"/>
        <v/>
      </c>
      <c r="AF447" s="19" t="str">
        <f t="shared" si="72"/>
        <v/>
      </c>
      <c r="AG447" s="27" t="str">
        <f>IF(AND('Supplier selection'!AB447="",'Supplier selection'!AI447=""),"",IF('Supplier selection'!AB447="",'Supplier selection'!AI447,'Supplier selection'!AB447))</f>
        <v/>
      </c>
      <c r="AH447" s="28" t="str">
        <f t="shared" si="73"/>
        <v/>
      </c>
      <c r="AI447" s="7" t="str">
        <f t="shared" si="74"/>
        <v/>
      </c>
      <c r="AJ447" s="22" t="str">
        <f t="shared" si="75"/>
        <v/>
      </c>
      <c r="AK447" s="29" t="str">
        <f t="shared" si="76"/>
        <v/>
      </c>
      <c r="AL447" s="10"/>
    </row>
    <row r="448" spans="1:38">
      <c r="A448" s="19">
        <f>IF('Supplier selection'!A448="","",'Supplier selection'!A448)</f>
        <v>444</v>
      </c>
      <c r="B448" s="19" t="str">
        <f>IF('Supplier selection'!B448="","",'Supplier selection'!B448)</f>
        <v/>
      </c>
      <c r="C448" s="19" t="str">
        <f>IF('Supplier selection'!C448="","",'Supplier selection'!C448)</f>
        <v/>
      </c>
      <c r="D448" s="19" t="str">
        <f>IF('Supplier selection'!D448="","",'Supplier selection'!D448)</f>
        <v/>
      </c>
      <c r="E448" s="19" t="str">
        <f>IF('Supplier selection'!E448="","",'Supplier selection'!E448)</f>
        <v/>
      </c>
      <c r="F448" s="19" t="str">
        <f>IF('Supplier selection'!F448="","",'Supplier selection'!F448)</f>
        <v/>
      </c>
      <c r="G448" s="19" t="str">
        <f>IF('Supplier selection'!G448="","",'Supplier selection'!G448)</f>
        <v/>
      </c>
      <c r="H448" s="19" t="str">
        <f>IF('Supplier selection'!H448="","",'Supplier selection'!H448)</f>
        <v/>
      </c>
      <c r="I448" s="19" t="str">
        <f>IF('Supplier selection'!I448="","",'Supplier selection'!I448)</f>
        <v/>
      </c>
      <c r="J448" s="19" t="str">
        <f>IF('Supplier selection'!J448="","",'Supplier selection'!J448)</f>
        <v/>
      </c>
      <c r="K448" s="19" t="str">
        <f>IF('Supplier selection'!K448="","",'Supplier selection'!K448)</f>
        <v/>
      </c>
      <c r="L448" s="19" t="str">
        <f>IF('Supplier selection'!L448="","",'Supplier selection'!L448)</f>
        <v/>
      </c>
      <c r="M448" s="19" t="str">
        <f>IF('Supplier selection'!M448="","",'Supplier selection'!M448)</f>
        <v/>
      </c>
      <c r="N448" s="19" t="str">
        <f>IF('Supplier selection'!N448="","",'Supplier selection'!N448)</f>
        <v/>
      </c>
      <c r="O448" s="19" t="str">
        <f>IF('Supplier selection'!O448="","",'Supplier selection'!O448)</f>
        <v/>
      </c>
      <c r="Q448" s="19" t="str">
        <f>HLOOKUP($Q$3,'Supplier selection'!$AW$4:'Supplier selection'!$CT$1000,$A449,FALSE)</f>
        <v/>
      </c>
      <c r="R448" s="22" t="str">
        <f t="shared" si="66"/>
        <v/>
      </c>
      <c r="S448" s="19" t="str">
        <f t="shared" si="67"/>
        <v/>
      </c>
      <c r="T448" s="22" t="str">
        <f t="shared" si="68"/>
        <v/>
      </c>
      <c r="U448" s="19" t="str">
        <f t="shared" si="69"/>
        <v/>
      </c>
      <c r="V448" s="7"/>
      <c r="Y448" s="19" t="str">
        <f>IF('Supplier selection'!AQ448="","",'Supplier selection'!AQ448)</f>
        <v/>
      </c>
      <c r="Z448" s="19" t="str">
        <f>IF('Supplier selection'!AR448="","",'Supplier selection'!AR448)</f>
        <v/>
      </c>
      <c r="AA448" s="19" t="str">
        <f t="shared" si="70"/>
        <v/>
      </c>
      <c r="AD448" s="26" t="str">
        <f>IF(AND('Supplier selection'!X448="",'Supplier selection'!AE448=""),"",IF('Supplier selection'!X448="",'Supplier selection'!AE448,'Supplier selection'!X448))</f>
        <v/>
      </c>
      <c r="AE448" s="19" t="str">
        <f t="shared" si="71"/>
        <v/>
      </c>
      <c r="AF448" s="19" t="str">
        <f t="shared" si="72"/>
        <v/>
      </c>
      <c r="AG448" s="27" t="str">
        <f>IF(AND('Supplier selection'!AB448="",'Supplier selection'!AI448=""),"",IF('Supplier selection'!AB448="",'Supplier selection'!AI448,'Supplier selection'!AB448))</f>
        <v/>
      </c>
      <c r="AH448" s="28" t="str">
        <f t="shared" si="73"/>
        <v/>
      </c>
      <c r="AI448" s="7" t="str">
        <f t="shared" si="74"/>
        <v/>
      </c>
      <c r="AJ448" s="22" t="str">
        <f t="shared" si="75"/>
        <v/>
      </c>
      <c r="AK448" s="29" t="str">
        <f t="shared" si="76"/>
        <v/>
      </c>
      <c r="AL448" s="10"/>
    </row>
    <row r="449" spans="1:38">
      <c r="A449" s="19">
        <f>IF('Supplier selection'!A449="","",'Supplier selection'!A449)</f>
        <v>445</v>
      </c>
      <c r="B449" s="19" t="str">
        <f>IF('Supplier selection'!B449="","",'Supplier selection'!B449)</f>
        <v/>
      </c>
      <c r="C449" s="19" t="str">
        <f>IF('Supplier selection'!C449="","",'Supplier selection'!C449)</f>
        <v/>
      </c>
      <c r="D449" s="19" t="str">
        <f>IF('Supplier selection'!D449="","",'Supplier selection'!D449)</f>
        <v/>
      </c>
      <c r="E449" s="19" t="str">
        <f>IF('Supplier selection'!E449="","",'Supplier selection'!E449)</f>
        <v/>
      </c>
      <c r="F449" s="19" t="str">
        <f>IF('Supplier selection'!F449="","",'Supplier selection'!F449)</f>
        <v/>
      </c>
      <c r="G449" s="19" t="str">
        <f>IF('Supplier selection'!G449="","",'Supplier selection'!G449)</f>
        <v/>
      </c>
      <c r="H449" s="19" t="str">
        <f>IF('Supplier selection'!H449="","",'Supplier selection'!H449)</f>
        <v/>
      </c>
      <c r="I449" s="19" t="str">
        <f>IF('Supplier selection'!I449="","",'Supplier selection'!I449)</f>
        <v/>
      </c>
      <c r="J449" s="19" t="str">
        <f>IF('Supplier selection'!J449="","",'Supplier selection'!J449)</f>
        <v/>
      </c>
      <c r="K449" s="19" t="str">
        <f>IF('Supplier selection'!K449="","",'Supplier selection'!K449)</f>
        <v/>
      </c>
      <c r="L449" s="19" t="str">
        <f>IF('Supplier selection'!L449="","",'Supplier selection'!L449)</f>
        <v/>
      </c>
      <c r="M449" s="19" t="str">
        <f>IF('Supplier selection'!M449="","",'Supplier selection'!M449)</f>
        <v/>
      </c>
      <c r="N449" s="19" t="str">
        <f>IF('Supplier selection'!N449="","",'Supplier selection'!N449)</f>
        <v/>
      </c>
      <c r="O449" s="19" t="str">
        <f>IF('Supplier selection'!O449="","",'Supplier selection'!O449)</f>
        <v/>
      </c>
      <c r="Q449" s="19" t="str">
        <f>HLOOKUP($Q$3,'Supplier selection'!$AW$4:'Supplier selection'!$CT$1000,$A450,FALSE)</f>
        <v/>
      </c>
      <c r="R449" s="22" t="str">
        <f t="shared" si="66"/>
        <v/>
      </c>
      <c r="S449" s="19" t="str">
        <f t="shared" si="67"/>
        <v/>
      </c>
      <c r="T449" s="22" t="str">
        <f t="shared" si="68"/>
        <v/>
      </c>
      <c r="U449" s="19" t="str">
        <f t="shared" si="69"/>
        <v/>
      </c>
      <c r="V449" s="7"/>
      <c r="Y449" s="19" t="str">
        <f>IF('Supplier selection'!AQ449="","",'Supplier selection'!AQ449)</f>
        <v/>
      </c>
      <c r="Z449" s="19" t="str">
        <f>IF('Supplier selection'!AR449="","",'Supplier selection'!AR449)</f>
        <v/>
      </c>
      <c r="AA449" s="19" t="str">
        <f t="shared" si="70"/>
        <v/>
      </c>
      <c r="AD449" s="26" t="str">
        <f>IF(AND('Supplier selection'!X449="",'Supplier selection'!AE449=""),"",IF('Supplier selection'!X449="",'Supplier selection'!AE449,'Supplier selection'!X449))</f>
        <v/>
      </c>
      <c r="AE449" s="19" t="str">
        <f t="shared" si="71"/>
        <v/>
      </c>
      <c r="AF449" s="19" t="str">
        <f t="shared" si="72"/>
        <v/>
      </c>
      <c r="AG449" s="27" t="str">
        <f>IF(AND('Supplier selection'!AB449="",'Supplier selection'!AI449=""),"",IF('Supplier selection'!AB449="",'Supplier selection'!AI449,'Supplier selection'!AB449))</f>
        <v/>
      </c>
      <c r="AH449" s="28" t="str">
        <f t="shared" si="73"/>
        <v/>
      </c>
      <c r="AI449" s="7" t="str">
        <f t="shared" si="74"/>
        <v/>
      </c>
      <c r="AJ449" s="22" t="str">
        <f t="shared" si="75"/>
        <v/>
      </c>
      <c r="AK449" s="29" t="str">
        <f t="shared" si="76"/>
        <v/>
      </c>
      <c r="AL449" s="10"/>
    </row>
    <row r="450" spans="1:38">
      <c r="A450" s="19">
        <f>IF('Supplier selection'!A450="","",'Supplier selection'!A450)</f>
        <v>446</v>
      </c>
      <c r="B450" s="19" t="str">
        <f>IF('Supplier selection'!B450="","",'Supplier selection'!B450)</f>
        <v/>
      </c>
      <c r="C450" s="19" t="str">
        <f>IF('Supplier selection'!C450="","",'Supplier selection'!C450)</f>
        <v/>
      </c>
      <c r="D450" s="19" t="str">
        <f>IF('Supplier selection'!D450="","",'Supplier selection'!D450)</f>
        <v/>
      </c>
      <c r="E450" s="19" t="str">
        <f>IF('Supplier selection'!E450="","",'Supplier selection'!E450)</f>
        <v/>
      </c>
      <c r="F450" s="19" t="str">
        <f>IF('Supplier selection'!F450="","",'Supplier selection'!F450)</f>
        <v/>
      </c>
      <c r="G450" s="19" t="str">
        <f>IF('Supplier selection'!G450="","",'Supplier selection'!G450)</f>
        <v/>
      </c>
      <c r="H450" s="19" t="str">
        <f>IF('Supplier selection'!H450="","",'Supplier selection'!H450)</f>
        <v/>
      </c>
      <c r="I450" s="19" t="str">
        <f>IF('Supplier selection'!I450="","",'Supplier selection'!I450)</f>
        <v/>
      </c>
      <c r="J450" s="19" t="str">
        <f>IF('Supplier selection'!J450="","",'Supplier selection'!J450)</f>
        <v/>
      </c>
      <c r="K450" s="19" t="str">
        <f>IF('Supplier selection'!K450="","",'Supplier selection'!K450)</f>
        <v/>
      </c>
      <c r="L450" s="19" t="str">
        <f>IF('Supplier selection'!L450="","",'Supplier selection'!L450)</f>
        <v/>
      </c>
      <c r="M450" s="19" t="str">
        <f>IF('Supplier selection'!M450="","",'Supplier selection'!M450)</f>
        <v/>
      </c>
      <c r="N450" s="19" t="str">
        <f>IF('Supplier selection'!N450="","",'Supplier selection'!N450)</f>
        <v/>
      </c>
      <c r="O450" s="19" t="str">
        <f>IF('Supplier selection'!O450="","",'Supplier selection'!O450)</f>
        <v/>
      </c>
      <c r="Q450" s="19" t="str">
        <f>HLOOKUP($Q$3,'Supplier selection'!$AW$4:'Supplier selection'!$CT$1000,$A451,FALSE)</f>
        <v/>
      </c>
      <c r="R450" s="22" t="str">
        <f t="shared" si="66"/>
        <v/>
      </c>
      <c r="S450" s="19" t="str">
        <f t="shared" si="67"/>
        <v/>
      </c>
      <c r="T450" s="22" t="str">
        <f t="shared" si="68"/>
        <v/>
      </c>
      <c r="U450" s="19" t="str">
        <f t="shared" si="69"/>
        <v/>
      </c>
      <c r="V450" s="7"/>
      <c r="Y450" s="19" t="str">
        <f>IF('Supplier selection'!AQ450="","",'Supplier selection'!AQ450)</f>
        <v/>
      </c>
      <c r="Z450" s="19" t="str">
        <f>IF('Supplier selection'!AR450="","",'Supplier selection'!AR450)</f>
        <v/>
      </c>
      <c r="AA450" s="19" t="str">
        <f t="shared" si="70"/>
        <v/>
      </c>
      <c r="AD450" s="26" t="str">
        <f>IF(AND('Supplier selection'!X450="",'Supplier selection'!AE450=""),"",IF('Supplier selection'!X450="",'Supplier selection'!AE450,'Supplier selection'!X450))</f>
        <v/>
      </c>
      <c r="AE450" s="19" t="str">
        <f t="shared" si="71"/>
        <v/>
      </c>
      <c r="AF450" s="19" t="str">
        <f t="shared" si="72"/>
        <v/>
      </c>
      <c r="AG450" s="27" t="str">
        <f>IF(AND('Supplier selection'!AB450="",'Supplier selection'!AI450=""),"",IF('Supplier selection'!AB450="",'Supplier selection'!AI450,'Supplier selection'!AB450))</f>
        <v/>
      </c>
      <c r="AH450" s="28" t="str">
        <f t="shared" si="73"/>
        <v/>
      </c>
      <c r="AI450" s="7" t="str">
        <f t="shared" si="74"/>
        <v/>
      </c>
      <c r="AJ450" s="22" t="str">
        <f t="shared" si="75"/>
        <v/>
      </c>
      <c r="AK450" s="29" t="str">
        <f t="shared" si="76"/>
        <v/>
      </c>
      <c r="AL450" s="10"/>
    </row>
    <row r="451" spans="1:38">
      <c r="A451" s="19">
        <f>IF('Supplier selection'!A451="","",'Supplier selection'!A451)</f>
        <v>447</v>
      </c>
      <c r="B451" s="19" t="str">
        <f>IF('Supplier selection'!B451="","",'Supplier selection'!B451)</f>
        <v/>
      </c>
      <c r="C451" s="19" t="str">
        <f>IF('Supplier selection'!C451="","",'Supplier selection'!C451)</f>
        <v/>
      </c>
      <c r="D451" s="19" t="str">
        <f>IF('Supplier selection'!D451="","",'Supplier selection'!D451)</f>
        <v/>
      </c>
      <c r="E451" s="19" t="str">
        <f>IF('Supplier selection'!E451="","",'Supplier selection'!E451)</f>
        <v/>
      </c>
      <c r="F451" s="19" t="str">
        <f>IF('Supplier selection'!F451="","",'Supplier selection'!F451)</f>
        <v/>
      </c>
      <c r="G451" s="19" t="str">
        <f>IF('Supplier selection'!G451="","",'Supplier selection'!G451)</f>
        <v/>
      </c>
      <c r="H451" s="19" t="str">
        <f>IF('Supplier selection'!H451="","",'Supplier selection'!H451)</f>
        <v/>
      </c>
      <c r="I451" s="19" t="str">
        <f>IF('Supplier selection'!I451="","",'Supplier selection'!I451)</f>
        <v/>
      </c>
      <c r="J451" s="19" t="str">
        <f>IF('Supplier selection'!J451="","",'Supplier selection'!J451)</f>
        <v/>
      </c>
      <c r="K451" s="19" t="str">
        <f>IF('Supplier selection'!K451="","",'Supplier selection'!K451)</f>
        <v/>
      </c>
      <c r="L451" s="19" t="str">
        <f>IF('Supplier selection'!L451="","",'Supplier selection'!L451)</f>
        <v/>
      </c>
      <c r="M451" s="19" t="str">
        <f>IF('Supplier selection'!M451="","",'Supplier selection'!M451)</f>
        <v/>
      </c>
      <c r="N451" s="19" t="str">
        <f>IF('Supplier selection'!N451="","",'Supplier selection'!N451)</f>
        <v/>
      </c>
      <c r="O451" s="19" t="str">
        <f>IF('Supplier selection'!O451="","",'Supplier selection'!O451)</f>
        <v/>
      </c>
      <c r="Q451" s="19" t="str">
        <f>HLOOKUP($Q$3,'Supplier selection'!$AW$4:'Supplier selection'!$CT$1000,$A452,FALSE)</f>
        <v/>
      </c>
      <c r="R451" s="22" t="str">
        <f t="shared" si="66"/>
        <v/>
      </c>
      <c r="S451" s="19" t="str">
        <f t="shared" si="67"/>
        <v/>
      </c>
      <c r="T451" s="22" t="str">
        <f t="shared" si="68"/>
        <v/>
      </c>
      <c r="U451" s="19" t="str">
        <f t="shared" si="69"/>
        <v/>
      </c>
      <c r="V451" s="7"/>
      <c r="Y451" s="19" t="str">
        <f>IF('Supplier selection'!AQ451="","",'Supplier selection'!AQ451)</f>
        <v/>
      </c>
      <c r="Z451" s="19" t="str">
        <f>IF('Supplier selection'!AR451="","",'Supplier selection'!AR451)</f>
        <v/>
      </c>
      <c r="AA451" s="19" t="str">
        <f t="shared" si="70"/>
        <v/>
      </c>
      <c r="AD451" s="26" t="str">
        <f>IF(AND('Supplier selection'!X451="",'Supplier selection'!AE451=""),"",IF('Supplier selection'!X451="",'Supplier selection'!AE451,'Supplier selection'!X451))</f>
        <v/>
      </c>
      <c r="AE451" s="19" t="str">
        <f t="shared" si="71"/>
        <v/>
      </c>
      <c r="AF451" s="19" t="str">
        <f t="shared" si="72"/>
        <v/>
      </c>
      <c r="AG451" s="27" t="str">
        <f>IF(AND('Supplier selection'!AB451="",'Supplier selection'!AI451=""),"",IF('Supplier selection'!AB451="",'Supplier selection'!AI451,'Supplier selection'!AB451))</f>
        <v/>
      </c>
      <c r="AH451" s="28" t="str">
        <f t="shared" si="73"/>
        <v/>
      </c>
      <c r="AI451" s="7" t="str">
        <f t="shared" si="74"/>
        <v/>
      </c>
      <c r="AJ451" s="22" t="str">
        <f t="shared" si="75"/>
        <v/>
      </c>
      <c r="AK451" s="29" t="str">
        <f t="shared" si="76"/>
        <v/>
      </c>
      <c r="AL451" s="10"/>
    </row>
    <row r="452" spans="1:38">
      <c r="A452" s="19">
        <f>IF('Supplier selection'!A452="","",'Supplier selection'!A452)</f>
        <v>448</v>
      </c>
      <c r="B452" s="19" t="str">
        <f>IF('Supplier selection'!B452="","",'Supplier selection'!B452)</f>
        <v/>
      </c>
      <c r="C452" s="19" t="str">
        <f>IF('Supplier selection'!C452="","",'Supplier selection'!C452)</f>
        <v/>
      </c>
      <c r="D452" s="19" t="str">
        <f>IF('Supplier selection'!D452="","",'Supplier selection'!D452)</f>
        <v/>
      </c>
      <c r="E452" s="19" t="str">
        <f>IF('Supplier selection'!E452="","",'Supplier selection'!E452)</f>
        <v/>
      </c>
      <c r="F452" s="19" t="str">
        <f>IF('Supplier selection'!F452="","",'Supplier selection'!F452)</f>
        <v/>
      </c>
      <c r="G452" s="19" t="str">
        <f>IF('Supplier selection'!G452="","",'Supplier selection'!G452)</f>
        <v/>
      </c>
      <c r="H452" s="19" t="str">
        <f>IF('Supplier selection'!H452="","",'Supplier selection'!H452)</f>
        <v/>
      </c>
      <c r="I452" s="19" t="str">
        <f>IF('Supplier selection'!I452="","",'Supplier selection'!I452)</f>
        <v/>
      </c>
      <c r="J452" s="19" t="str">
        <f>IF('Supplier selection'!J452="","",'Supplier selection'!J452)</f>
        <v/>
      </c>
      <c r="K452" s="19" t="str">
        <f>IF('Supplier selection'!K452="","",'Supplier selection'!K452)</f>
        <v/>
      </c>
      <c r="L452" s="19" t="str">
        <f>IF('Supplier selection'!L452="","",'Supplier selection'!L452)</f>
        <v/>
      </c>
      <c r="M452" s="19" t="str">
        <f>IF('Supplier selection'!M452="","",'Supplier selection'!M452)</f>
        <v/>
      </c>
      <c r="N452" s="19" t="str">
        <f>IF('Supplier selection'!N452="","",'Supplier selection'!N452)</f>
        <v/>
      </c>
      <c r="O452" s="19" t="str">
        <f>IF('Supplier selection'!O452="","",'Supplier selection'!O452)</f>
        <v/>
      </c>
      <c r="Q452" s="19" t="str">
        <f>HLOOKUP($Q$3,'Supplier selection'!$AW$4:'Supplier selection'!$CT$1000,$A453,FALSE)</f>
        <v/>
      </c>
      <c r="R452" s="22" t="str">
        <f t="shared" si="66"/>
        <v/>
      </c>
      <c r="S452" s="19" t="str">
        <f t="shared" si="67"/>
        <v/>
      </c>
      <c r="T452" s="22" t="str">
        <f t="shared" si="68"/>
        <v/>
      </c>
      <c r="U452" s="19" t="str">
        <f t="shared" si="69"/>
        <v/>
      </c>
      <c r="V452" s="7"/>
      <c r="Y452" s="19" t="str">
        <f>IF('Supplier selection'!AQ452="","",'Supplier selection'!AQ452)</f>
        <v/>
      </c>
      <c r="Z452" s="19" t="str">
        <f>IF('Supplier selection'!AR452="","",'Supplier selection'!AR452)</f>
        <v/>
      </c>
      <c r="AA452" s="19" t="str">
        <f t="shared" si="70"/>
        <v/>
      </c>
      <c r="AD452" s="26" t="str">
        <f>IF(AND('Supplier selection'!X452="",'Supplier selection'!AE452=""),"",IF('Supplier selection'!X452="",'Supplier selection'!AE452,'Supplier selection'!X452))</f>
        <v/>
      </c>
      <c r="AE452" s="19" t="str">
        <f t="shared" si="71"/>
        <v/>
      </c>
      <c r="AF452" s="19" t="str">
        <f t="shared" si="72"/>
        <v/>
      </c>
      <c r="AG452" s="27" t="str">
        <f>IF(AND('Supplier selection'!AB452="",'Supplier selection'!AI452=""),"",IF('Supplier selection'!AB452="",'Supplier selection'!AI452,'Supplier selection'!AB452))</f>
        <v/>
      </c>
      <c r="AH452" s="28" t="str">
        <f t="shared" si="73"/>
        <v/>
      </c>
      <c r="AI452" s="7" t="str">
        <f t="shared" si="74"/>
        <v/>
      </c>
      <c r="AJ452" s="22" t="str">
        <f t="shared" si="75"/>
        <v/>
      </c>
      <c r="AK452" s="29" t="str">
        <f t="shared" si="76"/>
        <v/>
      </c>
      <c r="AL452" s="10"/>
    </row>
    <row r="453" spans="1:38">
      <c r="A453" s="19">
        <f>IF('Supplier selection'!A453="","",'Supplier selection'!A453)</f>
        <v>449</v>
      </c>
      <c r="B453" s="19" t="str">
        <f>IF('Supplier selection'!B453="","",'Supplier selection'!B453)</f>
        <v/>
      </c>
      <c r="C453" s="19" t="str">
        <f>IF('Supplier selection'!C453="","",'Supplier selection'!C453)</f>
        <v/>
      </c>
      <c r="D453" s="19" t="str">
        <f>IF('Supplier selection'!D453="","",'Supplier selection'!D453)</f>
        <v/>
      </c>
      <c r="E453" s="19" t="str">
        <f>IF('Supplier selection'!E453="","",'Supplier selection'!E453)</f>
        <v/>
      </c>
      <c r="F453" s="19" t="str">
        <f>IF('Supplier selection'!F453="","",'Supplier selection'!F453)</f>
        <v/>
      </c>
      <c r="G453" s="19" t="str">
        <f>IF('Supplier selection'!G453="","",'Supplier selection'!G453)</f>
        <v/>
      </c>
      <c r="H453" s="19" t="str">
        <f>IF('Supplier selection'!H453="","",'Supplier selection'!H453)</f>
        <v/>
      </c>
      <c r="I453" s="19" t="str">
        <f>IF('Supplier selection'!I453="","",'Supplier selection'!I453)</f>
        <v/>
      </c>
      <c r="J453" s="19" t="str">
        <f>IF('Supplier selection'!J453="","",'Supplier selection'!J453)</f>
        <v/>
      </c>
      <c r="K453" s="19" t="str">
        <f>IF('Supplier selection'!K453="","",'Supplier selection'!K453)</f>
        <v/>
      </c>
      <c r="L453" s="19" t="str">
        <f>IF('Supplier selection'!L453="","",'Supplier selection'!L453)</f>
        <v/>
      </c>
      <c r="M453" s="19" t="str">
        <f>IF('Supplier selection'!M453="","",'Supplier selection'!M453)</f>
        <v/>
      </c>
      <c r="N453" s="19" t="str">
        <f>IF('Supplier selection'!N453="","",'Supplier selection'!N453)</f>
        <v/>
      </c>
      <c r="O453" s="19" t="str">
        <f>IF('Supplier selection'!O453="","",'Supplier selection'!O453)</f>
        <v/>
      </c>
      <c r="Q453" s="19" t="str">
        <f>HLOOKUP($Q$3,'Supplier selection'!$AW$4:'Supplier selection'!$CT$1000,$A454,FALSE)</f>
        <v/>
      </c>
      <c r="R453" s="22" t="str">
        <f t="shared" si="66"/>
        <v/>
      </c>
      <c r="S453" s="19" t="str">
        <f t="shared" si="67"/>
        <v/>
      </c>
      <c r="T453" s="22" t="str">
        <f t="shared" si="68"/>
        <v/>
      </c>
      <c r="U453" s="19" t="str">
        <f t="shared" si="69"/>
        <v/>
      </c>
      <c r="V453" s="7"/>
      <c r="Y453" s="19" t="str">
        <f>IF('Supplier selection'!AQ453="","",'Supplier selection'!AQ453)</f>
        <v/>
      </c>
      <c r="Z453" s="19" t="str">
        <f>IF('Supplier selection'!AR453="","",'Supplier selection'!AR453)</f>
        <v/>
      </c>
      <c r="AA453" s="19" t="str">
        <f t="shared" si="70"/>
        <v/>
      </c>
      <c r="AD453" s="26" t="str">
        <f>IF(AND('Supplier selection'!X453="",'Supplier selection'!AE453=""),"",IF('Supplier selection'!X453="",'Supplier selection'!AE453,'Supplier selection'!X453))</f>
        <v/>
      </c>
      <c r="AE453" s="19" t="str">
        <f t="shared" si="71"/>
        <v/>
      </c>
      <c r="AF453" s="19" t="str">
        <f t="shared" si="72"/>
        <v/>
      </c>
      <c r="AG453" s="27" t="str">
        <f>IF(AND('Supplier selection'!AB453="",'Supplier selection'!AI453=""),"",IF('Supplier selection'!AB453="",'Supplier selection'!AI453,'Supplier selection'!AB453))</f>
        <v/>
      </c>
      <c r="AH453" s="28" t="str">
        <f t="shared" si="73"/>
        <v/>
      </c>
      <c r="AI453" s="7" t="str">
        <f t="shared" si="74"/>
        <v/>
      </c>
      <c r="AJ453" s="22" t="str">
        <f t="shared" si="75"/>
        <v/>
      </c>
      <c r="AK453" s="29" t="str">
        <f t="shared" si="76"/>
        <v/>
      </c>
      <c r="AL453" s="10"/>
    </row>
    <row r="454" spans="1:38">
      <c r="A454" s="19">
        <f>IF('Supplier selection'!A454="","",'Supplier selection'!A454)</f>
        <v>450</v>
      </c>
      <c r="B454" s="19" t="str">
        <f>IF('Supplier selection'!B454="","",'Supplier selection'!B454)</f>
        <v/>
      </c>
      <c r="C454" s="19" t="str">
        <f>IF('Supplier selection'!C454="","",'Supplier selection'!C454)</f>
        <v/>
      </c>
      <c r="D454" s="19" t="str">
        <f>IF('Supplier selection'!D454="","",'Supplier selection'!D454)</f>
        <v/>
      </c>
      <c r="E454" s="19" t="str">
        <f>IF('Supplier selection'!E454="","",'Supplier selection'!E454)</f>
        <v/>
      </c>
      <c r="F454" s="19" t="str">
        <f>IF('Supplier selection'!F454="","",'Supplier selection'!F454)</f>
        <v/>
      </c>
      <c r="G454" s="19" t="str">
        <f>IF('Supplier selection'!G454="","",'Supplier selection'!G454)</f>
        <v/>
      </c>
      <c r="H454" s="19" t="str">
        <f>IF('Supplier selection'!H454="","",'Supplier selection'!H454)</f>
        <v/>
      </c>
      <c r="I454" s="19" t="str">
        <f>IF('Supplier selection'!I454="","",'Supplier selection'!I454)</f>
        <v/>
      </c>
      <c r="J454" s="19" t="str">
        <f>IF('Supplier selection'!J454="","",'Supplier selection'!J454)</f>
        <v/>
      </c>
      <c r="K454" s="19" t="str">
        <f>IF('Supplier selection'!K454="","",'Supplier selection'!K454)</f>
        <v/>
      </c>
      <c r="L454" s="19" t="str">
        <f>IF('Supplier selection'!L454="","",'Supplier selection'!L454)</f>
        <v/>
      </c>
      <c r="M454" s="19" t="str">
        <f>IF('Supplier selection'!M454="","",'Supplier selection'!M454)</f>
        <v/>
      </c>
      <c r="N454" s="19" t="str">
        <f>IF('Supplier selection'!N454="","",'Supplier selection'!N454)</f>
        <v/>
      </c>
      <c r="O454" s="19" t="str">
        <f>IF('Supplier selection'!O454="","",'Supplier selection'!O454)</f>
        <v/>
      </c>
      <c r="Q454" s="19" t="str">
        <f>HLOOKUP($Q$3,'Supplier selection'!$AW$4:'Supplier selection'!$CT$1000,$A455,FALSE)</f>
        <v/>
      </c>
      <c r="R454" s="22" t="str">
        <f t="shared" ref="R454:R517" si="77">IF(OR(Q454="",O454=""),"",(Q454-O454)/O454)</f>
        <v/>
      </c>
      <c r="S454" s="19" t="str">
        <f t="shared" ref="S454:S517" si="78">IF(OR(H454="",O454="",Q454=""),"",(Q454*H454)-(H454*O454))</f>
        <v/>
      </c>
      <c r="T454" s="22" t="str">
        <f t="shared" ref="T454:T517" si="79">IF(OR(Y454="",Q454=""),"",(Q454-Y454)/Y454)</f>
        <v/>
      </c>
      <c r="U454" s="19" t="str">
        <f t="shared" ref="U454:U517" si="80">IF(OR(Y454="",Q454="",H454=""),"",(Q454*H454)-(Y454*H454))</f>
        <v/>
      </c>
      <c r="V454" s="7"/>
      <c r="Y454" s="19" t="str">
        <f>IF('Supplier selection'!AQ454="","",'Supplier selection'!AQ454)</f>
        <v/>
      </c>
      <c r="Z454" s="19" t="str">
        <f>IF('Supplier selection'!AR454="","",'Supplier selection'!AR454)</f>
        <v/>
      </c>
      <c r="AA454" s="19" t="str">
        <f t="shared" ref="AA454:AA517" si="81">IF(OR(Y454="",O454="",H454=""),"",((H454*Y454)-(H454*O454)))</f>
        <v/>
      </c>
      <c r="AD454" s="26" t="str">
        <f>IF(AND('Supplier selection'!X454="",'Supplier selection'!AE454=""),"",IF('Supplier selection'!X454="",'Supplier selection'!AE454,'Supplier selection'!X454))</f>
        <v/>
      </c>
      <c r="AE454" s="19" t="str">
        <f t="shared" ref="AE454:AE517" si="82">IF(AD454="","",J454)</f>
        <v/>
      </c>
      <c r="AF454" s="19" t="str">
        <f t="shared" ref="AF454:AF517" si="83">IF(AD454="","",L454)</f>
        <v/>
      </c>
      <c r="AG454" s="27" t="str">
        <f>IF(AND('Supplier selection'!AB454="",'Supplier selection'!AI454=""),"",IF('Supplier selection'!AB454="",'Supplier selection'!AI454,'Supplier selection'!AB454))</f>
        <v/>
      </c>
      <c r="AH454" s="28" t="str">
        <f t="shared" ref="AH454:AH517" si="84">IF(OR(AG454="",O454=""),"",(AG454-O454)/O454)</f>
        <v/>
      </c>
      <c r="AI454" s="7" t="str">
        <f t="shared" ref="AI454:AI517" si="85">IF(OR(H454="",O454="",AG454=""),"",(AG454*H454)-(H454*O454))</f>
        <v/>
      </c>
      <c r="AJ454" s="22" t="str">
        <f t="shared" ref="AJ454:AJ517" si="86">IF(OR(AG454="",Y454=""),"",(AG454-Y454)/Y454)</f>
        <v/>
      </c>
      <c r="AK454" s="29" t="str">
        <f t="shared" ref="AK454:AK517" si="87">IF(OR(H454="",Y454="",AG454=""),"",(AG454*H454)-(H454*Y454))</f>
        <v/>
      </c>
      <c r="AL454" s="10"/>
    </row>
    <row r="455" spans="1:38">
      <c r="A455" s="19">
        <f>IF('Supplier selection'!A455="","",'Supplier selection'!A455)</f>
        <v>451</v>
      </c>
      <c r="B455" s="19" t="str">
        <f>IF('Supplier selection'!B455="","",'Supplier selection'!B455)</f>
        <v/>
      </c>
      <c r="C455" s="19" t="str">
        <f>IF('Supplier selection'!C455="","",'Supplier selection'!C455)</f>
        <v/>
      </c>
      <c r="D455" s="19" t="str">
        <f>IF('Supplier selection'!D455="","",'Supplier selection'!D455)</f>
        <v/>
      </c>
      <c r="E455" s="19" t="str">
        <f>IF('Supplier selection'!E455="","",'Supplier selection'!E455)</f>
        <v/>
      </c>
      <c r="F455" s="19" t="str">
        <f>IF('Supplier selection'!F455="","",'Supplier selection'!F455)</f>
        <v/>
      </c>
      <c r="G455" s="19" t="str">
        <f>IF('Supplier selection'!G455="","",'Supplier selection'!G455)</f>
        <v/>
      </c>
      <c r="H455" s="19" t="str">
        <f>IF('Supplier selection'!H455="","",'Supplier selection'!H455)</f>
        <v/>
      </c>
      <c r="I455" s="19" t="str">
        <f>IF('Supplier selection'!I455="","",'Supplier selection'!I455)</f>
        <v/>
      </c>
      <c r="J455" s="19" t="str">
        <f>IF('Supplier selection'!J455="","",'Supplier selection'!J455)</f>
        <v/>
      </c>
      <c r="K455" s="19" t="str">
        <f>IF('Supplier selection'!K455="","",'Supplier selection'!K455)</f>
        <v/>
      </c>
      <c r="L455" s="19" t="str">
        <f>IF('Supplier selection'!L455="","",'Supplier selection'!L455)</f>
        <v/>
      </c>
      <c r="M455" s="19" t="str">
        <f>IF('Supplier selection'!M455="","",'Supplier selection'!M455)</f>
        <v/>
      </c>
      <c r="N455" s="19" t="str">
        <f>IF('Supplier selection'!N455="","",'Supplier selection'!N455)</f>
        <v/>
      </c>
      <c r="O455" s="19" t="str">
        <f>IF('Supplier selection'!O455="","",'Supplier selection'!O455)</f>
        <v/>
      </c>
      <c r="Q455" s="19" t="str">
        <f>HLOOKUP($Q$3,'Supplier selection'!$AW$4:'Supplier selection'!$CT$1000,$A456,FALSE)</f>
        <v/>
      </c>
      <c r="R455" s="22" t="str">
        <f t="shared" si="77"/>
        <v/>
      </c>
      <c r="S455" s="19" t="str">
        <f t="shared" si="78"/>
        <v/>
      </c>
      <c r="T455" s="22" t="str">
        <f t="shared" si="79"/>
        <v/>
      </c>
      <c r="U455" s="19" t="str">
        <f t="shared" si="80"/>
        <v/>
      </c>
      <c r="V455" s="7"/>
      <c r="Y455" s="19" t="str">
        <f>IF('Supplier selection'!AQ455="","",'Supplier selection'!AQ455)</f>
        <v/>
      </c>
      <c r="Z455" s="19" t="str">
        <f>IF('Supplier selection'!AR455="","",'Supplier selection'!AR455)</f>
        <v/>
      </c>
      <c r="AA455" s="19" t="str">
        <f t="shared" si="81"/>
        <v/>
      </c>
      <c r="AD455" s="26" t="str">
        <f>IF(AND('Supplier selection'!X455="",'Supplier selection'!AE455=""),"",IF('Supplier selection'!X455="",'Supplier selection'!AE455,'Supplier selection'!X455))</f>
        <v/>
      </c>
      <c r="AE455" s="19" t="str">
        <f t="shared" si="82"/>
        <v/>
      </c>
      <c r="AF455" s="19" t="str">
        <f t="shared" si="83"/>
        <v/>
      </c>
      <c r="AG455" s="27" t="str">
        <f>IF(AND('Supplier selection'!AB455="",'Supplier selection'!AI455=""),"",IF('Supplier selection'!AB455="",'Supplier selection'!AI455,'Supplier selection'!AB455))</f>
        <v/>
      </c>
      <c r="AH455" s="28" t="str">
        <f t="shared" si="84"/>
        <v/>
      </c>
      <c r="AI455" s="7" t="str">
        <f t="shared" si="85"/>
        <v/>
      </c>
      <c r="AJ455" s="22" t="str">
        <f t="shared" si="86"/>
        <v/>
      </c>
      <c r="AK455" s="29" t="str">
        <f t="shared" si="87"/>
        <v/>
      </c>
      <c r="AL455" s="10"/>
    </row>
    <row r="456" spans="1:38">
      <c r="A456" s="19">
        <f>IF('Supplier selection'!A456="","",'Supplier selection'!A456)</f>
        <v>452</v>
      </c>
      <c r="B456" s="19" t="str">
        <f>IF('Supplier selection'!B456="","",'Supplier selection'!B456)</f>
        <v/>
      </c>
      <c r="C456" s="19" t="str">
        <f>IF('Supplier selection'!C456="","",'Supplier selection'!C456)</f>
        <v/>
      </c>
      <c r="D456" s="19" t="str">
        <f>IF('Supplier selection'!D456="","",'Supplier selection'!D456)</f>
        <v/>
      </c>
      <c r="E456" s="19" t="str">
        <f>IF('Supplier selection'!E456="","",'Supplier selection'!E456)</f>
        <v/>
      </c>
      <c r="F456" s="19" t="str">
        <f>IF('Supplier selection'!F456="","",'Supplier selection'!F456)</f>
        <v/>
      </c>
      <c r="G456" s="19" t="str">
        <f>IF('Supplier selection'!G456="","",'Supplier selection'!G456)</f>
        <v/>
      </c>
      <c r="H456" s="19" t="str">
        <f>IF('Supplier selection'!H456="","",'Supplier selection'!H456)</f>
        <v/>
      </c>
      <c r="I456" s="19" t="str">
        <f>IF('Supplier selection'!I456="","",'Supplier selection'!I456)</f>
        <v/>
      </c>
      <c r="J456" s="19" t="str">
        <f>IF('Supplier selection'!J456="","",'Supplier selection'!J456)</f>
        <v/>
      </c>
      <c r="K456" s="19" t="str">
        <f>IF('Supplier selection'!K456="","",'Supplier selection'!K456)</f>
        <v/>
      </c>
      <c r="L456" s="19" t="str">
        <f>IF('Supplier selection'!L456="","",'Supplier selection'!L456)</f>
        <v/>
      </c>
      <c r="M456" s="19" t="str">
        <f>IF('Supplier selection'!M456="","",'Supplier selection'!M456)</f>
        <v/>
      </c>
      <c r="N456" s="19" t="str">
        <f>IF('Supplier selection'!N456="","",'Supplier selection'!N456)</f>
        <v/>
      </c>
      <c r="O456" s="19" t="str">
        <f>IF('Supplier selection'!O456="","",'Supplier selection'!O456)</f>
        <v/>
      </c>
      <c r="Q456" s="19" t="str">
        <f>HLOOKUP($Q$3,'Supplier selection'!$AW$4:'Supplier selection'!$CT$1000,$A457,FALSE)</f>
        <v/>
      </c>
      <c r="R456" s="22" t="str">
        <f t="shared" si="77"/>
        <v/>
      </c>
      <c r="S456" s="19" t="str">
        <f t="shared" si="78"/>
        <v/>
      </c>
      <c r="T456" s="22" t="str">
        <f t="shared" si="79"/>
        <v/>
      </c>
      <c r="U456" s="19" t="str">
        <f t="shared" si="80"/>
        <v/>
      </c>
      <c r="V456" s="7"/>
      <c r="Y456" s="19" t="str">
        <f>IF('Supplier selection'!AQ456="","",'Supplier selection'!AQ456)</f>
        <v/>
      </c>
      <c r="Z456" s="19" t="str">
        <f>IF('Supplier selection'!AR456="","",'Supplier selection'!AR456)</f>
        <v/>
      </c>
      <c r="AA456" s="19" t="str">
        <f t="shared" si="81"/>
        <v/>
      </c>
      <c r="AD456" s="26" t="str">
        <f>IF(AND('Supplier selection'!X456="",'Supplier selection'!AE456=""),"",IF('Supplier selection'!X456="",'Supplier selection'!AE456,'Supplier selection'!X456))</f>
        <v/>
      </c>
      <c r="AE456" s="19" t="str">
        <f t="shared" si="82"/>
        <v/>
      </c>
      <c r="AF456" s="19" t="str">
        <f t="shared" si="83"/>
        <v/>
      </c>
      <c r="AG456" s="27" t="str">
        <f>IF(AND('Supplier selection'!AB456="",'Supplier selection'!AI456=""),"",IF('Supplier selection'!AB456="",'Supplier selection'!AI456,'Supplier selection'!AB456))</f>
        <v/>
      </c>
      <c r="AH456" s="28" t="str">
        <f t="shared" si="84"/>
        <v/>
      </c>
      <c r="AI456" s="7" t="str">
        <f t="shared" si="85"/>
        <v/>
      </c>
      <c r="AJ456" s="22" t="str">
        <f t="shared" si="86"/>
        <v/>
      </c>
      <c r="AK456" s="29" t="str">
        <f t="shared" si="87"/>
        <v/>
      </c>
      <c r="AL456" s="10"/>
    </row>
    <row r="457" spans="1:38">
      <c r="A457" s="19">
        <f>IF('Supplier selection'!A457="","",'Supplier selection'!A457)</f>
        <v>453</v>
      </c>
      <c r="B457" s="19" t="str">
        <f>IF('Supplier selection'!B457="","",'Supplier selection'!B457)</f>
        <v/>
      </c>
      <c r="C457" s="19" t="str">
        <f>IF('Supplier selection'!C457="","",'Supplier selection'!C457)</f>
        <v/>
      </c>
      <c r="D457" s="19" t="str">
        <f>IF('Supplier selection'!D457="","",'Supplier selection'!D457)</f>
        <v/>
      </c>
      <c r="E457" s="19" t="str">
        <f>IF('Supplier selection'!E457="","",'Supplier selection'!E457)</f>
        <v/>
      </c>
      <c r="F457" s="19" t="str">
        <f>IF('Supplier selection'!F457="","",'Supplier selection'!F457)</f>
        <v/>
      </c>
      <c r="G457" s="19" t="str">
        <f>IF('Supplier selection'!G457="","",'Supplier selection'!G457)</f>
        <v/>
      </c>
      <c r="H457" s="19" t="str">
        <f>IF('Supplier selection'!H457="","",'Supplier selection'!H457)</f>
        <v/>
      </c>
      <c r="I457" s="19" t="str">
        <f>IF('Supplier selection'!I457="","",'Supplier selection'!I457)</f>
        <v/>
      </c>
      <c r="J457" s="19" t="str">
        <f>IF('Supplier selection'!J457="","",'Supplier selection'!J457)</f>
        <v/>
      </c>
      <c r="K457" s="19" t="str">
        <f>IF('Supplier selection'!K457="","",'Supplier selection'!K457)</f>
        <v/>
      </c>
      <c r="L457" s="19" t="str">
        <f>IF('Supplier selection'!L457="","",'Supplier selection'!L457)</f>
        <v/>
      </c>
      <c r="M457" s="19" t="str">
        <f>IF('Supplier selection'!M457="","",'Supplier selection'!M457)</f>
        <v/>
      </c>
      <c r="N457" s="19" t="str">
        <f>IF('Supplier selection'!N457="","",'Supplier selection'!N457)</f>
        <v/>
      </c>
      <c r="O457" s="19" t="str">
        <f>IF('Supplier selection'!O457="","",'Supplier selection'!O457)</f>
        <v/>
      </c>
      <c r="Q457" s="19" t="str">
        <f>HLOOKUP($Q$3,'Supplier selection'!$AW$4:'Supplier selection'!$CT$1000,$A458,FALSE)</f>
        <v/>
      </c>
      <c r="R457" s="22" t="str">
        <f t="shared" si="77"/>
        <v/>
      </c>
      <c r="S457" s="19" t="str">
        <f t="shared" si="78"/>
        <v/>
      </c>
      <c r="T457" s="22" t="str">
        <f t="shared" si="79"/>
        <v/>
      </c>
      <c r="U457" s="19" t="str">
        <f t="shared" si="80"/>
        <v/>
      </c>
      <c r="V457" s="7"/>
      <c r="Y457" s="19" t="str">
        <f>IF('Supplier selection'!AQ457="","",'Supplier selection'!AQ457)</f>
        <v/>
      </c>
      <c r="Z457" s="19" t="str">
        <f>IF('Supplier selection'!AR457="","",'Supplier selection'!AR457)</f>
        <v/>
      </c>
      <c r="AA457" s="19" t="str">
        <f t="shared" si="81"/>
        <v/>
      </c>
      <c r="AD457" s="26" t="str">
        <f>IF(AND('Supplier selection'!X457="",'Supplier selection'!AE457=""),"",IF('Supplier selection'!X457="",'Supplier selection'!AE457,'Supplier selection'!X457))</f>
        <v/>
      </c>
      <c r="AE457" s="19" t="str">
        <f t="shared" si="82"/>
        <v/>
      </c>
      <c r="AF457" s="19" t="str">
        <f t="shared" si="83"/>
        <v/>
      </c>
      <c r="AG457" s="27" t="str">
        <f>IF(AND('Supplier selection'!AB457="",'Supplier selection'!AI457=""),"",IF('Supplier selection'!AB457="",'Supplier selection'!AI457,'Supplier selection'!AB457))</f>
        <v/>
      </c>
      <c r="AH457" s="28" t="str">
        <f t="shared" si="84"/>
        <v/>
      </c>
      <c r="AI457" s="7" t="str">
        <f t="shared" si="85"/>
        <v/>
      </c>
      <c r="AJ457" s="22" t="str">
        <f t="shared" si="86"/>
        <v/>
      </c>
      <c r="AK457" s="29" t="str">
        <f t="shared" si="87"/>
        <v/>
      </c>
      <c r="AL457" s="10"/>
    </row>
    <row r="458" spans="1:38">
      <c r="A458" s="19">
        <f>IF('Supplier selection'!A458="","",'Supplier selection'!A458)</f>
        <v>454</v>
      </c>
      <c r="B458" s="19" t="str">
        <f>IF('Supplier selection'!B458="","",'Supplier selection'!B458)</f>
        <v/>
      </c>
      <c r="C458" s="19" t="str">
        <f>IF('Supplier selection'!C458="","",'Supplier selection'!C458)</f>
        <v/>
      </c>
      <c r="D458" s="19" t="str">
        <f>IF('Supplier selection'!D458="","",'Supplier selection'!D458)</f>
        <v/>
      </c>
      <c r="E458" s="19" t="str">
        <f>IF('Supplier selection'!E458="","",'Supplier selection'!E458)</f>
        <v/>
      </c>
      <c r="F458" s="19" t="str">
        <f>IF('Supplier selection'!F458="","",'Supplier selection'!F458)</f>
        <v/>
      </c>
      <c r="G458" s="19" t="str">
        <f>IF('Supplier selection'!G458="","",'Supplier selection'!G458)</f>
        <v/>
      </c>
      <c r="H458" s="19" t="str">
        <f>IF('Supplier selection'!H458="","",'Supplier selection'!H458)</f>
        <v/>
      </c>
      <c r="I458" s="19" t="str">
        <f>IF('Supplier selection'!I458="","",'Supplier selection'!I458)</f>
        <v/>
      </c>
      <c r="J458" s="19" t="str">
        <f>IF('Supplier selection'!J458="","",'Supplier selection'!J458)</f>
        <v/>
      </c>
      <c r="K458" s="19" t="str">
        <f>IF('Supplier selection'!K458="","",'Supplier selection'!K458)</f>
        <v/>
      </c>
      <c r="L458" s="19" t="str">
        <f>IF('Supplier selection'!L458="","",'Supplier selection'!L458)</f>
        <v/>
      </c>
      <c r="M458" s="19" t="str">
        <f>IF('Supplier selection'!M458="","",'Supplier selection'!M458)</f>
        <v/>
      </c>
      <c r="N458" s="19" t="str">
        <f>IF('Supplier selection'!N458="","",'Supplier selection'!N458)</f>
        <v/>
      </c>
      <c r="O458" s="19" t="str">
        <f>IF('Supplier selection'!O458="","",'Supplier selection'!O458)</f>
        <v/>
      </c>
      <c r="Q458" s="19" t="str">
        <f>HLOOKUP($Q$3,'Supplier selection'!$AW$4:'Supplier selection'!$CT$1000,$A459,FALSE)</f>
        <v/>
      </c>
      <c r="R458" s="22" t="str">
        <f t="shared" si="77"/>
        <v/>
      </c>
      <c r="S458" s="19" t="str">
        <f t="shared" si="78"/>
        <v/>
      </c>
      <c r="T458" s="22" t="str">
        <f t="shared" si="79"/>
        <v/>
      </c>
      <c r="U458" s="19" t="str">
        <f t="shared" si="80"/>
        <v/>
      </c>
      <c r="V458" s="7"/>
      <c r="Y458" s="19" t="str">
        <f>IF('Supplier selection'!AQ458="","",'Supplier selection'!AQ458)</f>
        <v/>
      </c>
      <c r="Z458" s="19" t="str">
        <f>IF('Supplier selection'!AR458="","",'Supplier selection'!AR458)</f>
        <v/>
      </c>
      <c r="AA458" s="19" t="str">
        <f t="shared" si="81"/>
        <v/>
      </c>
      <c r="AD458" s="26" t="str">
        <f>IF(AND('Supplier selection'!X458="",'Supplier selection'!AE458=""),"",IF('Supplier selection'!X458="",'Supplier selection'!AE458,'Supplier selection'!X458))</f>
        <v/>
      </c>
      <c r="AE458" s="19" t="str">
        <f t="shared" si="82"/>
        <v/>
      </c>
      <c r="AF458" s="19" t="str">
        <f t="shared" si="83"/>
        <v/>
      </c>
      <c r="AG458" s="27" t="str">
        <f>IF(AND('Supplier selection'!AB458="",'Supplier selection'!AI458=""),"",IF('Supplier selection'!AB458="",'Supplier selection'!AI458,'Supplier selection'!AB458))</f>
        <v/>
      </c>
      <c r="AH458" s="28" t="str">
        <f t="shared" si="84"/>
        <v/>
      </c>
      <c r="AI458" s="7" t="str">
        <f t="shared" si="85"/>
        <v/>
      </c>
      <c r="AJ458" s="22" t="str">
        <f t="shared" si="86"/>
        <v/>
      </c>
      <c r="AK458" s="29" t="str">
        <f t="shared" si="87"/>
        <v/>
      </c>
      <c r="AL458" s="10"/>
    </row>
    <row r="459" spans="1:38">
      <c r="A459" s="19">
        <f>IF('Supplier selection'!A459="","",'Supplier selection'!A459)</f>
        <v>455</v>
      </c>
      <c r="B459" s="19" t="str">
        <f>IF('Supplier selection'!B459="","",'Supplier selection'!B459)</f>
        <v/>
      </c>
      <c r="C459" s="19" t="str">
        <f>IF('Supplier selection'!C459="","",'Supplier selection'!C459)</f>
        <v/>
      </c>
      <c r="D459" s="19" t="str">
        <f>IF('Supplier selection'!D459="","",'Supplier selection'!D459)</f>
        <v/>
      </c>
      <c r="E459" s="19" t="str">
        <f>IF('Supplier selection'!E459="","",'Supplier selection'!E459)</f>
        <v/>
      </c>
      <c r="F459" s="19" t="str">
        <f>IF('Supplier selection'!F459="","",'Supplier selection'!F459)</f>
        <v/>
      </c>
      <c r="G459" s="19" t="str">
        <f>IF('Supplier selection'!G459="","",'Supplier selection'!G459)</f>
        <v/>
      </c>
      <c r="H459" s="19" t="str">
        <f>IF('Supplier selection'!H459="","",'Supplier selection'!H459)</f>
        <v/>
      </c>
      <c r="I459" s="19" t="str">
        <f>IF('Supplier selection'!I459="","",'Supplier selection'!I459)</f>
        <v/>
      </c>
      <c r="J459" s="19" t="str">
        <f>IF('Supplier selection'!J459="","",'Supplier selection'!J459)</f>
        <v/>
      </c>
      <c r="K459" s="19" t="str">
        <f>IF('Supplier selection'!K459="","",'Supplier selection'!K459)</f>
        <v/>
      </c>
      <c r="L459" s="19" t="str">
        <f>IF('Supplier selection'!L459="","",'Supplier selection'!L459)</f>
        <v/>
      </c>
      <c r="M459" s="19" t="str">
        <f>IF('Supplier selection'!M459="","",'Supplier selection'!M459)</f>
        <v/>
      </c>
      <c r="N459" s="19" t="str">
        <f>IF('Supplier selection'!N459="","",'Supplier selection'!N459)</f>
        <v/>
      </c>
      <c r="O459" s="19" t="str">
        <f>IF('Supplier selection'!O459="","",'Supplier selection'!O459)</f>
        <v/>
      </c>
      <c r="Q459" s="19" t="str">
        <f>HLOOKUP($Q$3,'Supplier selection'!$AW$4:'Supplier selection'!$CT$1000,$A460,FALSE)</f>
        <v/>
      </c>
      <c r="R459" s="22" t="str">
        <f t="shared" si="77"/>
        <v/>
      </c>
      <c r="S459" s="19" t="str">
        <f t="shared" si="78"/>
        <v/>
      </c>
      <c r="T459" s="22" t="str">
        <f t="shared" si="79"/>
        <v/>
      </c>
      <c r="U459" s="19" t="str">
        <f t="shared" si="80"/>
        <v/>
      </c>
      <c r="V459" s="7"/>
      <c r="Y459" s="19" t="str">
        <f>IF('Supplier selection'!AQ459="","",'Supplier selection'!AQ459)</f>
        <v/>
      </c>
      <c r="Z459" s="19" t="str">
        <f>IF('Supplier selection'!AR459="","",'Supplier selection'!AR459)</f>
        <v/>
      </c>
      <c r="AA459" s="19" t="str">
        <f t="shared" si="81"/>
        <v/>
      </c>
      <c r="AD459" s="26" t="str">
        <f>IF(AND('Supplier selection'!X459="",'Supplier selection'!AE459=""),"",IF('Supplier selection'!X459="",'Supplier selection'!AE459,'Supplier selection'!X459))</f>
        <v/>
      </c>
      <c r="AE459" s="19" t="str">
        <f t="shared" si="82"/>
        <v/>
      </c>
      <c r="AF459" s="19" t="str">
        <f t="shared" si="83"/>
        <v/>
      </c>
      <c r="AG459" s="27" t="str">
        <f>IF(AND('Supplier selection'!AB459="",'Supplier selection'!AI459=""),"",IF('Supplier selection'!AB459="",'Supplier selection'!AI459,'Supplier selection'!AB459))</f>
        <v/>
      </c>
      <c r="AH459" s="28" t="str">
        <f t="shared" si="84"/>
        <v/>
      </c>
      <c r="AI459" s="7" t="str">
        <f t="shared" si="85"/>
        <v/>
      </c>
      <c r="AJ459" s="22" t="str">
        <f t="shared" si="86"/>
        <v/>
      </c>
      <c r="AK459" s="29" t="str">
        <f t="shared" si="87"/>
        <v/>
      </c>
      <c r="AL459" s="10"/>
    </row>
    <row r="460" spans="1:38">
      <c r="A460" s="19">
        <f>IF('Supplier selection'!A460="","",'Supplier selection'!A460)</f>
        <v>456</v>
      </c>
      <c r="B460" s="19" t="str">
        <f>IF('Supplier selection'!B460="","",'Supplier selection'!B460)</f>
        <v/>
      </c>
      <c r="C460" s="19" t="str">
        <f>IF('Supplier selection'!C460="","",'Supplier selection'!C460)</f>
        <v/>
      </c>
      <c r="D460" s="19" t="str">
        <f>IF('Supplier selection'!D460="","",'Supplier selection'!D460)</f>
        <v/>
      </c>
      <c r="E460" s="19" t="str">
        <f>IF('Supplier selection'!E460="","",'Supplier selection'!E460)</f>
        <v/>
      </c>
      <c r="F460" s="19" t="str">
        <f>IF('Supplier selection'!F460="","",'Supplier selection'!F460)</f>
        <v/>
      </c>
      <c r="G460" s="19" t="str">
        <f>IF('Supplier selection'!G460="","",'Supplier selection'!G460)</f>
        <v/>
      </c>
      <c r="H460" s="19" t="str">
        <f>IF('Supplier selection'!H460="","",'Supplier selection'!H460)</f>
        <v/>
      </c>
      <c r="I460" s="19" t="str">
        <f>IF('Supplier selection'!I460="","",'Supplier selection'!I460)</f>
        <v/>
      </c>
      <c r="J460" s="19" t="str">
        <f>IF('Supplier selection'!J460="","",'Supplier selection'!J460)</f>
        <v/>
      </c>
      <c r="K460" s="19" t="str">
        <f>IF('Supplier selection'!K460="","",'Supplier selection'!K460)</f>
        <v/>
      </c>
      <c r="L460" s="19" t="str">
        <f>IF('Supplier selection'!L460="","",'Supplier selection'!L460)</f>
        <v/>
      </c>
      <c r="M460" s="19" t="str">
        <f>IF('Supplier selection'!M460="","",'Supplier selection'!M460)</f>
        <v/>
      </c>
      <c r="N460" s="19" t="str">
        <f>IF('Supplier selection'!N460="","",'Supplier selection'!N460)</f>
        <v/>
      </c>
      <c r="O460" s="19" t="str">
        <f>IF('Supplier selection'!O460="","",'Supplier selection'!O460)</f>
        <v/>
      </c>
      <c r="Q460" s="19" t="str">
        <f>HLOOKUP($Q$3,'Supplier selection'!$AW$4:'Supplier selection'!$CT$1000,$A461,FALSE)</f>
        <v/>
      </c>
      <c r="R460" s="22" t="str">
        <f t="shared" si="77"/>
        <v/>
      </c>
      <c r="S460" s="19" t="str">
        <f t="shared" si="78"/>
        <v/>
      </c>
      <c r="T460" s="22" t="str">
        <f t="shared" si="79"/>
        <v/>
      </c>
      <c r="U460" s="19" t="str">
        <f t="shared" si="80"/>
        <v/>
      </c>
      <c r="V460" s="7"/>
      <c r="Y460" s="19" t="str">
        <f>IF('Supplier selection'!AQ460="","",'Supplier selection'!AQ460)</f>
        <v/>
      </c>
      <c r="Z460" s="19" t="str">
        <f>IF('Supplier selection'!AR460="","",'Supplier selection'!AR460)</f>
        <v/>
      </c>
      <c r="AA460" s="19" t="str">
        <f t="shared" si="81"/>
        <v/>
      </c>
      <c r="AD460" s="26" t="str">
        <f>IF(AND('Supplier selection'!X460="",'Supplier selection'!AE460=""),"",IF('Supplier selection'!X460="",'Supplier selection'!AE460,'Supplier selection'!X460))</f>
        <v/>
      </c>
      <c r="AE460" s="19" t="str">
        <f t="shared" si="82"/>
        <v/>
      </c>
      <c r="AF460" s="19" t="str">
        <f t="shared" si="83"/>
        <v/>
      </c>
      <c r="AG460" s="27" t="str">
        <f>IF(AND('Supplier selection'!AB460="",'Supplier selection'!AI460=""),"",IF('Supplier selection'!AB460="",'Supplier selection'!AI460,'Supplier selection'!AB460))</f>
        <v/>
      </c>
      <c r="AH460" s="28" t="str">
        <f t="shared" si="84"/>
        <v/>
      </c>
      <c r="AI460" s="7" t="str">
        <f t="shared" si="85"/>
        <v/>
      </c>
      <c r="AJ460" s="22" t="str">
        <f t="shared" si="86"/>
        <v/>
      </c>
      <c r="AK460" s="29" t="str">
        <f t="shared" si="87"/>
        <v/>
      </c>
      <c r="AL460" s="10"/>
    </row>
    <row r="461" spans="1:38">
      <c r="A461" s="19">
        <f>IF('Supplier selection'!A461="","",'Supplier selection'!A461)</f>
        <v>457</v>
      </c>
      <c r="B461" s="19" t="str">
        <f>IF('Supplier selection'!B461="","",'Supplier selection'!B461)</f>
        <v/>
      </c>
      <c r="C461" s="19" t="str">
        <f>IF('Supplier selection'!C461="","",'Supplier selection'!C461)</f>
        <v/>
      </c>
      <c r="D461" s="19" t="str">
        <f>IF('Supplier selection'!D461="","",'Supplier selection'!D461)</f>
        <v/>
      </c>
      <c r="E461" s="19" t="str">
        <f>IF('Supplier selection'!E461="","",'Supplier selection'!E461)</f>
        <v/>
      </c>
      <c r="F461" s="19" t="str">
        <f>IF('Supplier selection'!F461="","",'Supplier selection'!F461)</f>
        <v/>
      </c>
      <c r="G461" s="19" t="str">
        <f>IF('Supplier selection'!G461="","",'Supplier selection'!G461)</f>
        <v/>
      </c>
      <c r="H461" s="19" t="str">
        <f>IF('Supplier selection'!H461="","",'Supplier selection'!H461)</f>
        <v/>
      </c>
      <c r="I461" s="19" t="str">
        <f>IF('Supplier selection'!I461="","",'Supplier selection'!I461)</f>
        <v/>
      </c>
      <c r="J461" s="19" t="str">
        <f>IF('Supplier selection'!J461="","",'Supplier selection'!J461)</f>
        <v/>
      </c>
      <c r="K461" s="19" t="str">
        <f>IF('Supplier selection'!K461="","",'Supplier selection'!K461)</f>
        <v/>
      </c>
      <c r="L461" s="19" t="str">
        <f>IF('Supplier selection'!L461="","",'Supplier selection'!L461)</f>
        <v/>
      </c>
      <c r="M461" s="19" t="str">
        <f>IF('Supplier selection'!M461="","",'Supplier selection'!M461)</f>
        <v/>
      </c>
      <c r="N461" s="19" t="str">
        <f>IF('Supplier selection'!N461="","",'Supplier selection'!N461)</f>
        <v/>
      </c>
      <c r="O461" s="19" t="str">
        <f>IF('Supplier selection'!O461="","",'Supplier selection'!O461)</f>
        <v/>
      </c>
      <c r="Q461" s="19" t="str">
        <f>HLOOKUP($Q$3,'Supplier selection'!$AW$4:'Supplier selection'!$CT$1000,$A462,FALSE)</f>
        <v/>
      </c>
      <c r="R461" s="22" t="str">
        <f t="shared" si="77"/>
        <v/>
      </c>
      <c r="S461" s="19" t="str">
        <f t="shared" si="78"/>
        <v/>
      </c>
      <c r="T461" s="22" t="str">
        <f t="shared" si="79"/>
        <v/>
      </c>
      <c r="U461" s="19" t="str">
        <f t="shared" si="80"/>
        <v/>
      </c>
      <c r="V461" s="7"/>
      <c r="Y461" s="19" t="str">
        <f>IF('Supplier selection'!AQ461="","",'Supplier selection'!AQ461)</f>
        <v/>
      </c>
      <c r="Z461" s="19" t="str">
        <f>IF('Supplier selection'!AR461="","",'Supplier selection'!AR461)</f>
        <v/>
      </c>
      <c r="AA461" s="19" t="str">
        <f t="shared" si="81"/>
        <v/>
      </c>
      <c r="AD461" s="26" t="str">
        <f>IF(AND('Supplier selection'!X461="",'Supplier selection'!AE461=""),"",IF('Supplier selection'!X461="",'Supplier selection'!AE461,'Supplier selection'!X461))</f>
        <v/>
      </c>
      <c r="AE461" s="19" t="str">
        <f t="shared" si="82"/>
        <v/>
      </c>
      <c r="AF461" s="19" t="str">
        <f t="shared" si="83"/>
        <v/>
      </c>
      <c r="AG461" s="27" t="str">
        <f>IF(AND('Supplier selection'!AB461="",'Supplier selection'!AI461=""),"",IF('Supplier selection'!AB461="",'Supplier selection'!AI461,'Supplier selection'!AB461))</f>
        <v/>
      </c>
      <c r="AH461" s="28" t="str">
        <f t="shared" si="84"/>
        <v/>
      </c>
      <c r="AI461" s="7" t="str">
        <f t="shared" si="85"/>
        <v/>
      </c>
      <c r="AJ461" s="22" t="str">
        <f t="shared" si="86"/>
        <v/>
      </c>
      <c r="AK461" s="29" t="str">
        <f t="shared" si="87"/>
        <v/>
      </c>
      <c r="AL461" s="10"/>
    </row>
    <row r="462" spans="1:38">
      <c r="A462" s="19">
        <f>IF('Supplier selection'!A462="","",'Supplier selection'!A462)</f>
        <v>458</v>
      </c>
      <c r="B462" s="19" t="str">
        <f>IF('Supplier selection'!B462="","",'Supplier selection'!B462)</f>
        <v/>
      </c>
      <c r="C462" s="19" t="str">
        <f>IF('Supplier selection'!C462="","",'Supplier selection'!C462)</f>
        <v/>
      </c>
      <c r="D462" s="19" t="str">
        <f>IF('Supplier selection'!D462="","",'Supplier selection'!D462)</f>
        <v/>
      </c>
      <c r="E462" s="19" t="str">
        <f>IF('Supplier selection'!E462="","",'Supplier selection'!E462)</f>
        <v/>
      </c>
      <c r="F462" s="19" t="str">
        <f>IF('Supplier selection'!F462="","",'Supplier selection'!F462)</f>
        <v/>
      </c>
      <c r="G462" s="19" t="str">
        <f>IF('Supplier selection'!G462="","",'Supplier selection'!G462)</f>
        <v/>
      </c>
      <c r="H462" s="19" t="str">
        <f>IF('Supplier selection'!H462="","",'Supplier selection'!H462)</f>
        <v/>
      </c>
      <c r="I462" s="19" t="str">
        <f>IF('Supplier selection'!I462="","",'Supplier selection'!I462)</f>
        <v/>
      </c>
      <c r="J462" s="19" t="str">
        <f>IF('Supplier selection'!J462="","",'Supplier selection'!J462)</f>
        <v/>
      </c>
      <c r="K462" s="19" t="str">
        <f>IF('Supplier selection'!K462="","",'Supplier selection'!K462)</f>
        <v/>
      </c>
      <c r="L462" s="19" t="str">
        <f>IF('Supplier selection'!L462="","",'Supplier selection'!L462)</f>
        <v/>
      </c>
      <c r="M462" s="19" t="str">
        <f>IF('Supplier selection'!M462="","",'Supplier selection'!M462)</f>
        <v/>
      </c>
      <c r="N462" s="19" t="str">
        <f>IF('Supplier selection'!N462="","",'Supplier selection'!N462)</f>
        <v/>
      </c>
      <c r="O462" s="19" t="str">
        <f>IF('Supplier selection'!O462="","",'Supplier selection'!O462)</f>
        <v/>
      </c>
      <c r="Q462" s="19" t="str">
        <f>HLOOKUP($Q$3,'Supplier selection'!$AW$4:'Supplier selection'!$CT$1000,$A463,FALSE)</f>
        <v/>
      </c>
      <c r="R462" s="22" t="str">
        <f t="shared" si="77"/>
        <v/>
      </c>
      <c r="S462" s="19" t="str">
        <f t="shared" si="78"/>
        <v/>
      </c>
      <c r="T462" s="22" t="str">
        <f t="shared" si="79"/>
        <v/>
      </c>
      <c r="U462" s="19" t="str">
        <f t="shared" si="80"/>
        <v/>
      </c>
      <c r="V462" s="7"/>
      <c r="Y462" s="19" t="str">
        <f>IF('Supplier selection'!AQ462="","",'Supplier selection'!AQ462)</f>
        <v/>
      </c>
      <c r="Z462" s="19" t="str">
        <f>IF('Supplier selection'!AR462="","",'Supplier selection'!AR462)</f>
        <v/>
      </c>
      <c r="AA462" s="19" t="str">
        <f t="shared" si="81"/>
        <v/>
      </c>
      <c r="AD462" s="26" t="str">
        <f>IF(AND('Supplier selection'!X462="",'Supplier selection'!AE462=""),"",IF('Supplier selection'!X462="",'Supplier selection'!AE462,'Supplier selection'!X462))</f>
        <v/>
      </c>
      <c r="AE462" s="19" t="str">
        <f t="shared" si="82"/>
        <v/>
      </c>
      <c r="AF462" s="19" t="str">
        <f t="shared" si="83"/>
        <v/>
      </c>
      <c r="AG462" s="27" t="str">
        <f>IF(AND('Supplier selection'!AB462="",'Supplier selection'!AI462=""),"",IF('Supplier selection'!AB462="",'Supplier selection'!AI462,'Supplier selection'!AB462))</f>
        <v/>
      </c>
      <c r="AH462" s="28" t="str">
        <f t="shared" si="84"/>
        <v/>
      </c>
      <c r="AI462" s="7" t="str">
        <f t="shared" si="85"/>
        <v/>
      </c>
      <c r="AJ462" s="22" t="str">
        <f t="shared" si="86"/>
        <v/>
      </c>
      <c r="AK462" s="29" t="str">
        <f t="shared" si="87"/>
        <v/>
      </c>
      <c r="AL462" s="10"/>
    </row>
    <row r="463" spans="1:38">
      <c r="A463" s="19">
        <f>IF('Supplier selection'!A463="","",'Supplier selection'!A463)</f>
        <v>459</v>
      </c>
      <c r="B463" s="19" t="str">
        <f>IF('Supplier selection'!B463="","",'Supplier selection'!B463)</f>
        <v/>
      </c>
      <c r="C463" s="19" t="str">
        <f>IF('Supplier selection'!C463="","",'Supplier selection'!C463)</f>
        <v/>
      </c>
      <c r="D463" s="19" t="str">
        <f>IF('Supplier selection'!D463="","",'Supplier selection'!D463)</f>
        <v/>
      </c>
      <c r="E463" s="19" t="str">
        <f>IF('Supplier selection'!E463="","",'Supplier selection'!E463)</f>
        <v/>
      </c>
      <c r="F463" s="19" t="str">
        <f>IF('Supplier selection'!F463="","",'Supplier selection'!F463)</f>
        <v/>
      </c>
      <c r="G463" s="19" t="str">
        <f>IF('Supplier selection'!G463="","",'Supplier selection'!G463)</f>
        <v/>
      </c>
      <c r="H463" s="19" t="str">
        <f>IF('Supplier selection'!H463="","",'Supplier selection'!H463)</f>
        <v/>
      </c>
      <c r="I463" s="19" t="str">
        <f>IF('Supplier selection'!I463="","",'Supplier selection'!I463)</f>
        <v/>
      </c>
      <c r="J463" s="19" t="str">
        <f>IF('Supplier selection'!J463="","",'Supplier selection'!J463)</f>
        <v/>
      </c>
      <c r="K463" s="19" t="str">
        <f>IF('Supplier selection'!K463="","",'Supplier selection'!K463)</f>
        <v/>
      </c>
      <c r="L463" s="19" t="str">
        <f>IF('Supplier selection'!L463="","",'Supplier selection'!L463)</f>
        <v/>
      </c>
      <c r="M463" s="19" t="str">
        <f>IF('Supplier selection'!M463="","",'Supplier selection'!M463)</f>
        <v/>
      </c>
      <c r="N463" s="19" t="str">
        <f>IF('Supplier selection'!N463="","",'Supplier selection'!N463)</f>
        <v/>
      </c>
      <c r="O463" s="19" t="str">
        <f>IF('Supplier selection'!O463="","",'Supplier selection'!O463)</f>
        <v/>
      </c>
      <c r="Q463" s="19" t="str">
        <f>HLOOKUP($Q$3,'Supplier selection'!$AW$4:'Supplier selection'!$CT$1000,$A464,FALSE)</f>
        <v/>
      </c>
      <c r="R463" s="22" t="str">
        <f t="shared" si="77"/>
        <v/>
      </c>
      <c r="S463" s="19" t="str">
        <f t="shared" si="78"/>
        <v/>
      </c>
      <c r="T463" s="22" t="str">
        <f t="shared" si="79"/>
        <v/>
      </c>
      <c r="U463" s="19" t="str">
        <f t="shared" si="80"/>
        <v/>
      </c>
      <c r="V463" s="7"/>
      <c r="Y463" s="19" t="str">
        <f>IF('Supplier selection'!AQ463="","",'Supplier selection'!AQ463)</f>
        <v/>
      </c>
      <c r="Z463" s="19" t="str">
        <f>IF('Supplier selection'!AR463="","",'Supplier selection'!AR463)</f>
        <v/>
      </c>
      <c r="AA463" s="19" t="str">
        <f t="shared" si="81"/>
        <v/>
      </c>
      <c r="AD463" s="26" t="str">
        <f>IF(AND('Supplier selection'!X463="",'Supplier selection'!AE463=""),"",IF('Supplier selection'!X463="",'Supplier selection'!AE463,'Supplier selection'!X463))</f>
        <v/>
      </c>
      <c r="AE463" s="19" t="str">
        <f t="shared" si="82"/>
        <v/>
      </c>
      <c r="AF463" s="19" t="str">
        <f t="shared" si="83"/>
        <v/>
      </c>
      <c r="AG463" s="27" t="str">
        <f>IF(AND('Supplier selection'!AB463="",'Supplier selection'!AI463=""),"",IF('Supplier selection'!AB463="",'Supplier selection'!AI463,'Supplier selection'!AB463))</f>
        <v/>
      </c>
      <c r="AH463" s="28" t="str">
        <f t="shared" si="84"/>
        <v/>
      </c>
      <c r="AI463" s="7" t="str">
        <f t="shared" si="85"/>
        <v/>
      </c>
      <c r="AJ463" s="22" t="str">
        <f t="shared" si="86"/>
        <v/>
      </c>
      <c r="AK463" s="29" t="str">
        <f t="shared" si="87"/>
        <v/>
      </c>
      <c r="AL463" s="10"/>
    </row>
    <row r="464" spans="1:38">
      <c r="A464" s="19">
        <f>IF('Supplier selection'!A464="","",'Supplier selection'!A464)</f>
        <v>460</v>
      </c>
      <c r="B464" s="19" t="str">
        <f>IF('Supplier selection'!B464="","",'Supplier selection'!B464)</f>
        <v/>
      </c>
      <c r="C464" s="19" t="str">
        <f>IF('Supplier selection'!C464="","",'Supplier selection'!C464)</f>
        <v/>
      </c>
      <c r="D464" s="19" t="str">
        <f>IF('Supplier selection'!D464="","",'Supplier selection'!D464)</f>
        <v/>
      </c>
      <c r="E464" s="19" t="str">
        <f>IF('Supplier selection'!E464="","",'Supplier selection'!E464)</f>
        <v/>
      </c>
      <c r="F464" s="19" t="str">
        <f>IF('Supplier selection'!F464="","",'Supplier selection'!F464)</f>
        <v/>
      </c>
      <c r="G464" s="19" t="str">
        <f>IF('Supplier selection'!G464="","",'Supplier selection'!G464)</f>
        <v/>
      </c>
      <c r="H464" s="19" t="str">
        <f>IF('Supplier selection'!H464="","",'Supplier selection'!H464)</f>
        <v/>
      </c>
      <c r="I464" s="19" t="str">
        <f>IF('Supplier selection'!I464="","",'Supplier selection'!I464)</f>
        <v/>
      </c>
      <c r="J464" s="19" t="str">
        <f>IF('Supplier selection'!J464="","",'Supplier selection'!J464)</f>
        <v/>
      </c>
      <c r="K464" s="19" t="str">
        <f>IF('Supplier selection'!K464="","",'Supplier selection'!K464)</f>
        <v/>
      </c>
      <c r="L464" s="19" t="str">
        <f>IF('Supplier selection'!L464="","",'Supplier selection'!L464)</f>
        <v/>
      </c>
      <c r="M464" s="19" t="str">
        <f>IF('Supplier selection'!M464="","",'Supplier selection'!M464)</f>
        <v/>
      </c>
      <c r="N464" s="19" t="str">
        <f>IF('Supplier selection'!N464="","",'Supplier selection'!N464)</f>
        <v/>
      </c>
      <c r="O464" s="19" t="str">
        <f>IF('Supplier selection'!O464="","",'Supplier selection'!O464)</f>
        <v/>
      </c>
      <c r="Q464" s="19" t="str">
        <f>HLOOKUP($Q$3,'Supplier selection'!$AW$4:'Supplier selection'!$CT$1000,$A465,FALSE)</f>
        <v/>
      </c>
      <c r="R464" s="22" t="str">
        <f t="shared" si="77"/>
        <v/>
      </c>
      <c r="S464" s="19" t="str">
        <f t="shared" si="78"/>
        <v/>
      </c>
      <c r="T464" s="22" t="str">
        <f t="shared" si="79"/>
        <v/>
      </c>
      <c r="U464" s="19" t="str">
        <f t="shared" si="80"/>
        <v/>
      </c>
      <c r="V464" s="7"/>
      <c r="Y464" s="19" t="str">
        <f>IF('Supplier selection'!AQ464="","",'Supplier selection'!AQ464)</f>
        <v/>
      </c>
      <c r="Z464" s="19" t="str">
        <f>IF('Supplier selection'!AR464="","",'Supplier selection'!AR464)</f>
        <v/>
      </c>
      <c r="AA464" s="19" t="str">
        <f t="shared" si="81"/>
        <v/>
      </c>
      <c r="AD464" s="26" t="str">
        <f>IF(AND('Supplier selection'!X464="",'Supplier selection'!AE464=""),"",IF('Supplier selection'!X464="",'Supplier selection'!AE464,'Supplier selection'!X464))</f>
        <v/>
      </c>
      <c r="AE464" s="19" t="str">
        <f t="shared" si="82"/>
        <v/>
      </c>
      <c r="AF464" s="19" t="str">
        <f t="shared" si="83"/>
        <v/>
      </c>
      <c r="AG464" s="27" t="str">
        <f>IF(AND('Supplier selection'!AB464="",'Supplier selection'!AI464=""),"",IF('Supplier selection'!AB464="",'Supplier selection'!AI464,'Supplier selection'!AB464))</f>
        <v/>
      </c>
      <c r="AH464" s="28" t="str">
        <f t="shared" si="84"/>
        <v/>
      </c>
      <c r="AI464" s="7" t="str">
        <f t="shared" si="85"/>
        <v/>
      </c>
      <c r="AJ464" s="22" t="str">
        <f t="shared" si="86"/>
        <v/>
      </c>
      <c r="AK464" s="29" t="str">
        <f t="shared" si="87"/>
        <v/>
      </c>
      <c r="AL464" s="10"/>
    </row>
    <row r="465" spans="1:38">
      <c r="A465" s="19">
        <f>IF('Supplier selection'!A465="","",'Supplier selection'!A465)</f>
        <v>461</v>
      </c>
      <c r="B465" s="19" t="str">
        <f>IF('Supplier selection'!B465="","",'Supplier selection'!B465)</f>
        <v/>
      </c>
      <c r="C465" s="19" t="str">
        <f>IF('Supplier selection'!C465="","",'Supplier selection'!C465)</f>
        <v/>
      </c>
      <c r="D465" s="19" t="str">
        <f>IF('Supplier selection'!D465="","",'Supplier selection'!D465)</f>
        <v/>
      </c>
      <c r="E465" s="19" t="str">
        <f>IF('Supplier selection'!E465="","",'Supplier selection'!E465)</f>
        <v/>
      </c>
      <c r="F465" s="19" t="str">
        <f>IF('Supplier selection'!F465="","",'Supplier selection'!F465)</f>
        <v/>
      </c>
      <c r="G465" s="19" t="str">
        <f>IF('Supplier selection'!G465="","",'Supplier selection'!G465)</f>
        <v/>
      </c>
      <c r="H465" s="19" t="str">
        <f>IF('Supplier selection'!H465="","",'Supplier selection'!H465)</f>
        <v/>
      </c>
      <c r="I465" s="19" t="str">
        <f>IF('Supplier selection'!I465="","",'Supplier selection'!I465)</f>
        <v/>
      </c>
      <c r="J465" s="19" t="str">
        <f>IF('Supplier selection'!J465="","",'Supplier selection'!J465)</f>
        <v/>
      </c>
      <c r="K465" s="19" t="str">
        <f>IF('Supplier selection'!K465="","",'Supplier selection'!K465)</f>
        <v/>
      </c>
      <c r="L465" s="19" t="str">
        <f>IF('Supplier selection'!L465="","",'Supplier selection'!L465)</f>
        <v/>
      </c>
      <c r="M465" s="19" t="str">
        <f>IF('Supplier selection'!M465="","",'Supplier selection'!M465)</f>
        <v/>
      </c>
      <c r="N465" s="19" t="str">
        <f>IF('Supplier selection'!N465="","",'Supplier selection'!N465)</f>
        <v/>
      </c>
      <c r="O465" s="19" t="str">
        <f>IF('Supplier selection'!O465="","",'Supplier selection'!O465)</f>
        <v/>
      </c>
      <c r="Q465" s="19" t="str">
        <f>HLOOKUP($Q$3,'Supplier selection'!$AW$4:'Supplier selection'!$CT$1000,$A466,FALSE)</f>
        <v/>
      </c>
      <c r="R465" s="22" t="str">
        <f t="shared" si="77"/>
        <v/>
      </c>
      <c r="S465" s="19" t="str">
        <f t="shared" si="78"/>
        <v/>
      </c>
      <c r="T465" s="22" t="str">
        <f t="shared" si="79"/>
        <v/>
      </c>
      <c r="U465" s="19" t="str">
        <f t="shared" si="80"/>
        <v/>
      </c>
      <c r="V465" s="7"/>
      <c r="Y465" s="19" t="str">
        <f>IF('Supplier selection'!AQ465="","",'Supplier selection'!AQ465)</f>
        <v/>
      </c>
      <c r="Z465" s="19" t="str">
        <f>IF('Supplier selection'!AR465="","",'Supplier selection'!AR465)</f>
        <v/>
      </c>
      <c r="AA465" s="19" t="str">
        <f t="shared" si="81"/>
        <v/>
      </c>
      <c r="AD465" s="26" t="str">
        <f>IF(AND('Supplier selection'!X465="",'Supplier selection'!AE465=""),"",IF('Supplier selection'!X465="",'Supplier selection'!AE465,'Supplier selection'!X465))</f>
        <v/>
      </c>
      <c r="AE465" s="19" t="str">
        <f t="shared" si="82"/>
        <v/>
      </c>
      <c r="AF465" s="19" t="str">
        <f t="shared" si="83"/>
        <v/>
      </c>
      <c r="AG465" s="27" t="str">
        <f>IF(AND('Supplier selection'!AB465="",'Supplier selection'!AI465=""),"",IF('Supplier selection'!AB465="",'Supplier selection'!AI465,'Supplier selection'!AB465))</f>
        <v/>
      </c>
      <c r="AH465" s="28" t="str">
        <f t="shared" si="84"/>
        <v/>
      </c>
      <c r="AI465" s="7" t="str">
        <f t="shared" si="85"/>
        <v/>
      </c>
      <c r="AJ465" s="22" t="str">
        <f t="shared" si="86"/>
        <v/>
      </c>
      <c r="AK465" s="29" t="str">
        <f t="shared" si="87"/>
        <v/>
      </c>
      <c r="AL465" s="10"/>
    </row>
    <row r="466" spans="1:38">
      <c r="A466" s="19">
        <f>IF('Supplier selection'!A466="","",'Supplier selection'!A466)</f>
        <v>462</v>
      </c>
      <c r="B466" s="19" t="str">
        <f>IF('Supplier selection'!B466="","",'Supplier selection'!B466)</f>
        <v/>
      </c>
      <c r="C466" s="19" t="str">
        <f>IF('Supplier selection'!C466="","",'Supplier selection'!C466)</f>
        <v/>
      </c>
      <c r="D466" s="19" t="str">
        <f>IF('Supplier selection'!D466="","",'Supplier selection'!D466)</f>
        <v/>
      </c>
      <c r="E466" s="19" t="str">
        <f>IF('Supplier selection'!E466="","",'Supplier selection'!E466)</f>
        <v/>
      </c>
      <c r="F466" s="19" t="str">
        <f>IF('Supplier selection'!F466="","",'Supplier selection'!F466)</f>
        <v/>
      </c>
      <c r="G466" s="19" t="str">
        <f>IF('Supplier selection'!G466="","",'Supplier selection'!G466)</f>
        <v/>
      </c>
      <c r="H466" s="19" t="str">
        <f>IF('Supplier selection'!H466="","",'Supplier selection'!H466)</f>
        <v/>
      </c>
      <c r="I466" s="19" t="str">
        <f>IF('Supplier selection'!I466="","",'Supplier selection'!I466)</f>
        <v/>
      </c>
      <c r="J466" s="19" t="str">
        <f>IF('Supplier selection'!J466="","",'Supplier selection'!J466)</f>
        <v/>
      </c>
      <c r="K466" s="19" t="str">
        <f>IF('Supplier selection'!K466="","",'Supplier selection'!K466)</f>
        <v/>
      </c>
      <c r="L466" s="19" t="str">
        <f>IF('Supplier selection'!L466="","",'Supplier selection'!L466)</f>
        <v/>
      </c>
      <c r="M466" s="19" t="str">
        <f>IF('Supplier selection'!M466="","",'Supplier selection'!M466)</f>
        <v/>
      </c>
      <c r="N466" s="19" t="str">
        <f>IF('Supplier selection'!N466="","",'Supplier selection'!N466)</f>
        <v/>
      </c>
      <c r="O466" s="19" t="str">
        <f>IF('Supplier selection'!O466="","",'Supplier selection'!O466)</f>
        <v/>
      </c>
      <c r="Q466" s="19" t="str">
        <f>HLOOKUP($Q$3,'Supplier selection'!$AW$4:'Supplier selection'!$CT$1000,$A467,FALSE)</f>
        <v/>
      </c>
      <c r="R466" s="22" t="str">
        <f t="shared" si="77"/>
        <v/>
      </c>
      <c r="S466" s="19" t="str">
        <f t="shared" si="78"/>
        <v/>
      </c>
      <c r="T466" s="22" t="str">
        <f t="shared" si="79"/>
        <v/>
      </c>
      <c r="U466" s="19" t="str">
        <f t="shared" si="80"/>
        <v/>
      </c>
      <c r="V466" s="7"/>
      <c r="Y466" s="19" t="str">
        <f>IF('Supplier selection'!AQ466="","",'Supplier selection'!AQ466)</f>
        <v/>
      </c>
      <c r="Z466" s="19" t="str">
        <f>IF('Supplier selection'!AR466="","",'Supplier selection'!AR466)</f>
        <v/>
      </c>
      <c r="AA466" s="19" t="str">
        <f t="shared" si="81"/>
        <v/>
      </c>
      <c r="AD466" s="26" t="str">
        <f>IF(AND('Supplier selection'!X466="",'Supplier selection'!AE466=""),"",IF('Supplier selection'!X466="",'Supplier selection'!AE466,'Supplier selection'!X466))</f>
        <v/>
      </c>
      <c r="AE466" s="19" t="str">
        <f t="shared" si="82"/>
        <v/>
      </c>
      <c r="AF466" s="19" t="str">
        <f t="shared" si="83"/>
        <v/>
      </c>
      <c r="AG466" s="27" t="str">
        <f>IF(AND('Supplier selection'!AB466="",'Supplier selection'!AI466=""),"",IF('Supplier selection'!AB466="",'Supplier selection'!AI466,'Supplier selection'!AB466))</f>
        <v/>
      </c>
      <c r="AH466" s="28" t="str">
        <f t="shared" si="84"/>
        <v/>
      </c>
      <c r="AI466" s="7" t="str">
        <f t="shared" si="85"/>
        <v/>
      </c>
      <c r="AJ466" s="22" t="str">
        <f t="shared" si="86"/>
        <v/>
      </c>
      <c r="AK466" s="29" t="str">
        <f t="shared" si="87"/>
        <v/>
      </c>
      <c r="AL466" s="10"/>
    </row>
    <row r="467" spans="1:38">
      <c r="A467" s="19">
        <f>IF('Supplier selection'!A467="","",'Supplier selection'!A467)</f>
        <v>463</v>
      </c>
      <c r="B467" s="19" t="str">
        <f>IF('Supplier selection'!B467="","",'Supplier selection'!B467)</f>
        <v/>
      </c>
      <c r="C467" s="19" t="str">
        <f>IF('Supplier selection'!C467="","",'Supplier selection'!C467)</f>
        <v/>
      </c>
      <c r="D467" s="19" t="str">
        <f>IF('Supplier selection'!D467="","",'Supplier selection'!D467)</f>
        <v/>
      </c>
      <c r="E467" s="19" t="str">
        <f>IF('Supplier selection'!E467="","",'Supplier selection'!E467)</f>
        <v/>
      </c>
      <c r="F467" s="19" t="str">
        <f>IF('Supplier selection'!F467="","",'Supplier selection'!F467)</f>
        <v/>
      </c>
      <c r="G467" s="19" t="str">
        <f>IF('Supplier selection'!G467="","",'Supplier selection'!G467)</f>
        <v/>
      </c>
      <c r="H467" s="19" t="str">
        <f>IF('Supplier selection'!H467="","",'Supplier selection'!H467)</f>
        <v/>
      </c>
      <c r="I467" s="19" t="str">
        <f>IF('Supplier selection'!I467="","",'Supplier selection'!I467)</f>
        <v/>
      </c>
      <c r="J467" s="19" t="str">
        <f>IF('Supplier selection'!J467="","",'Supplier selection'!J467)</f>
        <v/>
      </c>
      <c r="K467" s="19" t="str">
        <f>IF('Supplier selection'!K467="","",'Supplier selection'!K467)</f>
        <v/>
      </c>
      <c r="L467" s="19" t="str">
        <f>IF('Supplier selection'!L467="","",'Supplier selection'!L467)</f>
        <v/>
      </c>
      <c r="M467" s="19" t="str">
        <f>IF('Supplier selection'!M467="","",'Supplier selection'!M467)</f>
        <v/>
      </c>
      <c r="N467" s="19" t="str">
        <f>IF('Supplier selection'!N467="","",'Supplier selection'!N467)</f>
        <v/>
      </c>
      <c r="O467" s="19" t="str">
        <f>IF('Supplier selection'!O467="","",'Supplier selection'!O467)</f>
        <v/>
      </c>
      <c r="Q467" s="19" t="str">
        <f>HLOOKUP($Q$3,'Supplier selection'!$AW$4:'Supplier selection'!$CT$1000,$A468,FALSE)</f>
        <v/>
      </c>
      <c r="R467" s="22" t="str">
        <f t="shared" si="77"/>
        <v/>
      </c>
      <c r="S467" s="19" t="str">
        <f t="shared" si="78"/>
        <v/>
      </c>
      <c r="T467" s="22" t="str">
        <f t="shared" si="79"/>
        <v/>
      </c>
      <c r="U467" s="19" t="str">
        <f t="shared" si="80"/>
        <v/>
      </c>
      <c r="V467" s="7"/>
      <c r="Y467" s="19" t="str">
        <f>IF('Supplier selection'!AQ467="","",'Supplier selection'!AQ467)</f>
        <v/>
      </c>
      <c r="Z467" s="19" t="str">
        <f>IF('Supplier selection'!AR467="","",'Supplier selection'!AR467)</f>
        <v/>
      </c>
      <c r="AA467" s="19" t="str">
        <f t="shared" si="81"/>
        <v/>
      </c>
      <c r="AD467" s="26" t="str">
        <f>IF(AND('Supplier selection'!X467="",'Supplier selection'!AE467=""),"",IF('Supplier selection'!X467="",'Supplier selection'!AE467,'Supplier selection'!X467))</f>
        <v/>
      </c>
      <c r="AE467" s="19" t="str">
        <f t="shared" si="82"/>
        <v/>
      </c>
      <c r="AF467" s="19" t="str">
        <f t="shared" si="83"/>
        <v/>
      </c>
      <c r="AG467" s="27" t="str">
        <f>IF(AND('Supplier selection'!AB467="",'Supplier selection'!AI467=""),"",IF('Supplier selection'!AB467="",'Supplier selection'!AI467,'Supplier selection'!AB467))</f>
        <v/>
      </c>
      <c r="AH467" s="28" t="str">
        <f t="shared" si="84"/>
        <v/>
      </c>
      <c r="AI467" s="7" t="str">
        <f t="shared" si="85"/>
        <v/>
      </c>
      <c r="AJ467" s="22" t="str">
        <f t="shared" si="86"/>
        <v/>
      </c>
      <c r="AK467" s="29" t="str">
        <f t="shared" si="87"/>
        <v/>
      </c>
      <c r="AL467" s="10"/>
    </row>
    <row r="468" spans="1:38">
      <c r="A468" s="19">
        <f>IF('Supplier selection'!A468="","",'Supplier selection'!A468)</f>
        <v>464</v>
      </c>
      <c r="B468" s="19" t="str">
        <f>IF('Supplier selection'!B468="","",'Supplier selection'!B468)</f>
        <v/>
      </c>
      <c r="C468" s="19" t="str">
        <f>IF('Supplier selection'!C468="","",'Supplier selection'!C468)</f>
        <v/>
      </c>
      <c r="D468" s="19" t="str">
        <f>IF('Supplier selection'!D468="","",'Supplier selection'!D468)</f>
        <v/>
      </c>
      <c r="E468" s="19" t="str">
        <f>IF('Supplier selection'!E468="","",'Supplier selection'!E468)</f>
        <v/>
      </c>
      <c r="F468" s="19" t="str">
        <f>IF('Supplier selection'!F468="","",'Supplier selection'!F468)</f>
        <v/>
      </c>
      <c r="G468" s="19" t="str">
        <f>IF('Supplier selection'!G468="","",'Supplier selection'!G468)</f>
        <v/>
      </c>
      <c r="H468" s="19" t="str">
        <f>IF('Supplier selection'!H468="","",'Supplier selection'!H468)</f>
        <v/>
      </c>
      <c r="I468" s="19" t="str">
        <f>IF('Supplier selection'!I468="","",'Supplier selection'!I468)</f>
        <v/>
      </c>
      <c r="J468" s="19" t="str">
        <f>IF('Supplier selection'!J468="","",'Supplier selection'!J468)</f>
        <v/>
      </c>
      <c r="K468" s="19" t="str">
        <f>IF('Supplier selection'!K468="","",'Supplier selection'!K468)</f>
        <v/>
      </c>
      <c r="L468" s="19" t="str">
        <f>IF('Supplier selection'!L468="","",'Supplier selection'!L468)</f>
        <v/>
      </c>
      <c r="M468" s="19" t="str">
        <f>IF('Supplier selection'!M468="","",'Supplier selection'!M468)</f>
        <v/>
      </c>
      <c r="N468" s="19" t="str">
        <f>IF('Supplier selection'!N468="","",'Supplier selection'!N468)</f>
        <v/>
      </c>
      <c r="O468" s="19" t="str">
        <f>IF('Supplier selection'!O468="","",'Supplier selection'!O468)</f>
        <v/>
      </c>
      <c r="Q468" s="19" t="str">
        <f>HLOOKUP($Q$3,'Supplier selection'!$AW$4:'Supplier selection'!$CT$1000,$A469,FALSE)</f>
        <v/>
      </c>
      <c r="R468" s="22" t="str">
        <f t="shared" si="77"/>
        <v/>
      </c>
      <c r="S468" s="19" t="str">
        <f t="shared" si="78"/>
        <v/>
      </c>
      <c r="T468" s="22" t="str">
        <f t="shared" si="79"/>
        <v/>
      </c>
      <c r="U468" s="19" t="str">
        <f t="shared" si="80"/>
        <v/>
      </c>
      <c r="V468" s="7"/>
      <c r="Y468" s="19" t="str">
        <f>IF('Supplier selection'!AQ468="","",'Supplier selection'!AQ468)</f>
        <v/>
      </c>
      <c r="Z468" s="19" t="str">
        <f>IF('Supplier selection'!AR468="","",'Supplier selection'!AR468)</f>
        <v/>
      </c>
      <c r="AA468" s="19" t="str">
        <f t="shared" si="81"/>
        <v/>
      </c>
      <c r="AD468" s="26" t="str">
        <f>IF(AND('Supplier selection'!X468="",'Supplier selection'!AE468=""),"",IF('Supplier selection'!X468="",'Supplier selection'!AE468,'Supplier selection'!X468))</f>
        <v/>
      </c>
      <c r="AE468" s="19" t="str">
        <f t="shared" si="82"/>
        <v/>
      </c>
      <c r="AF468" s="19" t="str">
        <f t="shared" si="83"/>
        <v/>
      </c>
      <c r="AG468" s="27" t="str">
        <f>IF(AND('Supplier selection'!AB468="",'Supplier selection'!AI468=""),"",IF('Supplier selection'!AB468="",'Supplier selection'!AI468,'Supplier selection'!AB468))</f>
        <v/>
      </c>
      <c r="AH468" s="28" t="str">
        <f t="shared" si="84"/>
        <v/>
      </c>
      <c r="AI468" s="7" t="str">
        <f t="shared" si="85"/>
        <v/>
      </c>
      <c r="AJ468" s="22" t="str">
        <f t="shared" si="86"/>
        <v/>
      </c>
      <c r="AK468" s="29" t="str">
        <f t="shared" si="87"/>
        <v/>
      </c>
      <c r="AL468" s="10"/>
    </row>
    <row r="469" spans="1:38">
      <c r="A469" s="19">
        <f>IF('Supplier selection'!A469="","",'Supplier selection'!A469)</f>
        <v>465</v>
      </c>
      <c r="B469" s="19" t="str">
        <f>IF('Supplier selection'!B469="","",'Supplier selection'!B469)</f>
        <v/>
      </c>
      <c r="C469" s="19" t="str">
        <f>IF('Supplier selection'!C469="","",'Supplier selection'!C469)</f>
        <v/>
      </c>
      <c r="D469" s="19" t="str">
        <f>IF('Supplier selection'!D469="","",'Supplier selection'!D469)</f>
        <v/>
      </c>
      <c r="E469" s="19" t="str">
        <f>IF('Supplier selection'!E469="","",'Supplier selection'!E469)</f>
        <v/>
      </c>
      <c r="F469" s="19" t="str">
        <f>IF('Supplier selection'!F469="","",'Supplier selection'!F469)</f>
        <v/>
      </c>
      <c r="G469" s="19" t="str">
        <f>IF('Supplier selection'!G469="","",'Supplier selection'!G469)</f>
        <v/>
      </c>
      <c r="H469" s="19" t="str">
        <f>IF('Supplier selection'!H469="","",'Supplier selection'!H469)</f>
        <v/>
      </c>
      <c r="I469" s="19" t="str">
        <f>IF('Supplier selection'!I469="","",'Supplier selection'!I469)</f>
        <v/>
      </c>
      <c r="J469" s="19" t="str">
        <f>IF('Supplier selection'!J469="","",'Supplier selection'!J469)</f>
        <v/>
      </c>
      <c r="K469" s="19" t="str">
        <f>IF('Supplier selection'!K469="","",'Supplier selection'!K469)</f>
        <v/>
      </c>
      <c r="L469" s="19" t="str">
        <f>IF('Supplier selection'!L469="","",'Supplier selection'!L469)</f>
        <v/>
      </c>
      <c r="M469" s="19" t="str">
        <f>IF('Supplier selection'!M469="","",'Supplier selection'!M469)</f>
        <v/>
      </c>
      <c r="N469" s="19" t="str">
        <f>IF('Supplier selection'!N469="","",'Supplier selection'!N469)</f>
        <v/>
      </c>
      <c r="O469" s="19" t="str">
        <f>IF('Supplier selection'!O469="","",'Supplier selection'!O469)</f>
        <v/>
      </c>
      <c r="Q469" s="19" t="str">
        <f>HLOOKUP($Q$3,'Supplier selection'!$AW$4:'Supplier selection'!$CT$1000,$A470,FALSE)</f>
        <v/>
      </c>
      <c r="R469" s="22" t="str">
        <f t="shared" si="77"/>
        <v/>
      </c>
      <c r="S469" s="19" t="str">
        <f t="shared" si="78"/>
        <v/>
      </c>
      <c r="T469" s="22" t="str">
        <f t="shared" si="79"/>
        <v/>
      </c>
      <c r="U469" s="19" t="str">
        <f t="shared" si="80"/>
        <v/>
      </c>
      <c r="V469" s="7"/>
      <c r="Y469" s="19" t="str">
        <f>IF('Supplier selection'!AQ469="","",'Supplier selection'!AQ469)</f>
        <v/>
      </c>
      <c r="Z469" s="19" t="str">
        <f>IF('Supplier selection'!AR469="","",'Supplier selection'!AR469)</f>
        <v/>
      </c>
      <c r="AA469" s="19" t="str">
        <f t="shared" si="81"/>
        <v/>
      </c>
      <c r="AD469" s="26" t="str">
        <f>IF(AND('Supplier selection'!X469="",'Supplier selection'!AE469=""),"",IF('Supplier selection'!X469="",'Supplier selection'!AE469,'Supplier selection'!X469))</f>
        <v/>
      </c>
      <c r="AE469" s="19" t="str">
        <f t="shared" si="82"/>
        <v/>
      </c>
      <c r="AF469" s="19" t="str">
        <f t="shared" si="83"/>
        <v/>
      </c>
      <c r="AG469" s="27" t="str">
        <f>IF(AND('Supplier selection'!AB469="",'Supplier selection'!AI469=""),"",IF('Supplier selection'!AB469="",'Supplier selection'!AI469,'Supplier selection'!AB469))</f>
        <v/>
      </c>
      <c r="AH469" s="28" t="str">
        <f t="shared" si="84"/>
        <v/>
      </c>
      <c r="AI469" s="7" t="str">
        <f t="shared" si="85"/>
        <v/>
      </c>
      <c r="AJ469" s="22" t="str">
        <f t="shared" si="86"/>
        <v/>
      </c>
      <c r="AK469" s="29" t="str">
        <f t="shared" si="87"/>
        <v/>
      </c>
      <c r="AL469" s="10"/>
    </row>
    <row r="470" spans="1:38">
      <c r="A470" s="19">
        <f>IF('Supplier selection'!A470="","",'Supplier selection'!A470)</f>
        <v>466</v>
      </c>
      <c r="B470" s="19" t="str">
        <f>IF('Supplier selection'!B470="","",'Supplier selection'!B470)</f>
        <v/>
      </c>
      <c r="C470" s="19" t="str">
        <f>IF('Supplier selection'!C470="","",'Supplier selection'!C470)</f>
        <v/>
      </c>
      <c r="D470" s="19" t="str">
        <f>IF('Supplier selection'!D470="","",'Supplier selection'!D470)</f>
        <v/>
      </c>
      <c r="E470" s="19" t="str">
        <f>IF('Supplier selection'!E470="","",'Supplier selection'!E470)</f>
        <v/>
      </c>
      <c r="F470" s="19" t="str">
        <f>IF('Supplier selection'!F470="","",'Supplier selection'!F470)</f>
        <v/>
      </c>
      <c r="G470" s="19" t="str">
        <f>IF('Supplier selection'!G470="","",'Supplier selection'!G470)</f>
        <v/>
      </c>
      <c r="H470" s="19" t="str">
        <f>IF('Supplier selection'!H470="","",'Supplier selection'!H470)</f>
        <v/>
      </c>
      <c r="I470" s="19" t="str">
        <f>IF('Supplier selection'!I470="","",'Supplier selection'!I470)</f>
        <v/>
      </c>
      <c r="J470" s="19" t="str">
        <f>IF('Supplier selection'!J470="","",'Supplier selection'!J470)</f>
        <v/>
      </c>
      <c r="K470" s="19" t="str">
        <f>IF('Supplier selection'!K470="","",'Supplier selection'!K470)</f>
        <v/>
      </c>
      <c r="L470" s="19" t="str">
        <f>IF('Supplier selection'!L470="","",'Supplier selection'!L470)</f>
        <v/>
      </c>
      <c r="M470" s="19" t="str">
        <f>IF('Supplier selection'!M470="","",'Supplier selection'!M470)</f>
        <v/>
      </c>
      <c r="N470" s="19" t="str">
        <f>IF('Supplier selection'!N470="","",'Supplier selection'!N470)</f>
        <v/>
      </c>
      <c r="O470" s="19" t="str">
        <f>IF('Supplier selection'!O470="","",'Supplier selection'!O470)</f>
        <v/>
      </c>
      <c r="Q470" s="19" t="str">
        <f>HLOOKUP($Q$3,'Supplier selection'!$AW$4:'Supplier selection'!$CT$1000,$A471,FALSE)</f>
        <v/>
      </c>
      <c r="R470" s="22" t="str">
        <f t="shared" si="77"/>
        <v/>
      </c>
      <c r="S470" s="19" t="str">
        <f t="shared" si="78"/>
        <v/>
      </c>
      <c r="T470" s="22" t="str">
        <f t="shared" si="79"/>
        <v/>
      </c>
      <c r="U470" s="19" t="str">
        <f t="shared" si="80"/>
        <v/>
      </c>
      <c r="V470" s="7"/>
      <c r="Y470" s="19" t="str">
        <f>IF('Supplier selection'!AQ470="","",'Supplier selection'!AQ470)</f>
        <v/>
      </c>
      <c r="Z470" s="19" t="str">
        <f>IF('Supplier selection'!AR470="","",'Supplier selection'!AR470)</f>
        <v/>
      </c>
      <c r="AA470" s="19" t="str">
        <f t="shared" si="81"/>
        <v/>
      </c>
      <c r="AD470" s="26" t="str">
        <f>IF(AND('Supplier selection'!X470="",'Supplier selection'!AE470=""),"",IF('Supplier selection'!X470="",'Supplier selection'!AE470,'Supplier selection'!X470))</f>
        <v/>
      </c>
      <c r="AE470" s="19" t="str">
        <f t="shared" si="82"/>
        <v/>
      </c>
      <c r="AF470" s="19" t="str">
        <f t="shared" si="83"/>
        <v/>
      </c>
      <c r="AG470" s="27" t="str">
        <f>IF(AND('Supplier selection'!AB470="",'Supplier selection'!AI470=""),"",IF('Supplier selection'!AB470="",'Supplier selection'!AI470,'Supplier selection'!AB470))</f>
        <v/>
      </c>
      <c r="AH470" s="28" t="str">
        <f t="shared" si="84"/>
        <v/>
      </c>
      <c r="AI470" s="7" t="str">
        <f t="shared" si="85"/>
        <v/>
      </c>
      <c r="AJ470" s="22" t="str">
        <f t="shared" si="86"/>
        <v/>
      </c>
      <c r="AK470" s="29" t="str">
        <f t="shared" si="87"/>
        <v/>
      </c>
      <c r="AL470" s="10"/>
    </row>
    <row r="471" spans="1:38">
      <c r="A471" s="19">
        <f>IF('Supplier selection'!A471="","",'Supplier selection'!A471)</f>
        <v>467</v>
      </c>
      <c r="B471" s="19" t="str">
        <f>IF('Supplier selection'!B471="","",'Supplier selection'!B471)</f>
        <v/>
      </c>
      <c r="C471" s="19" t="str">
        <f>IF('Supplier selection'!C471="","",'Supplier selection'!C471)</f>
        <v/>
      </c>
      <c r="D471" s="19" t="str">
        <f>IF('Supplier selection'!D471="","",'Supplier selection'!D471)</f>
        <v/>
      </c>
      <c r="E471" s="19" t="str">
        <f>IF('Supplier selection'!E471="","",'Supplier selection'!E471)</f>
        <v/>
      </c>
      <c r="F471" s="19" t="str">
        <f>IF('Supplier selection'!F471="","",'Supplier selection'!F471)</f>
        <v/>
      </c>
      <c r="G471" s="19" t="str">
        <f>IF('Supplier selection'!G471="","",'Supplier selection'!G471)</f>
        <v/>
      </c>
      <c r="H471" s="19" t="str">
        <f>IF('Supplier selection'!H471="","",'Supplier selection'!H471)</f>
        <v/>
      </c>
      <c r="I471" s="19" t="str">
        <f>IF('Supplier selection'!I471="","",'Supplier selection'!I471)</f>
        <v/>
      </c>
      <c r="J471" s="19" t="str">
        <f>IF('Supplier selection'!J471="","",'Supplier selection'!J471)</f>
        <v/>
      </c>
      <c r="K471" s="19" t="str">
        <f>IF('Supplier selection'!K471="","",'Supplier selection'!K471)</f>
        <v/>
      </c>
      <c r="L471" s="19" t="str">
        <f>IF('Supplier selection'!L471="","",'Supplier selection'!L471)</f>
        <v/>
      </c>
      <c r="M471" s="19" t="str">
        <f>IF('Supplier selection'!M471="","",'Supplier selection'!M471)</f>
        <v/>
      </c>
      <c r="N471" s="19" t="str">
        <f>IF('Supplier selection'!N471="","",'Supplier selection'!N471)</f>
        <v/>
      </c>
      <c r="O471" s="19" t="str">
        <f>IF('Supplier selection'!O471="","",'Supplier selection'!O471)</f>
        <v/>
      </c>
      <c r="Q471" s="19" t="str">
        <f>HLOOKUP($Q$3,'Supplier selection'!$AW$4:'Supplier selection'!$CT$1000,$A472,FALSE)</f>
        <v/>
      </c>
      <c r="R471" s="22" t="str">
        <f t="shared" si="77"/>
        <v/>
      </c>
      <c r="S471" s="19" t="str">
        <f t="shared" si="78"/>
        <v/>
      </c>
      <c r="T471" s="22" t="str">
        <f t="shared" si="79"/>
        <v/>
      </c>
      <c r="U471" s="19" t="str">
        <f t="shared" si="80"/>
        <v/>
      </c>
      <c r="V471" s="7"/>
      <c r="Y471" s="19" t="str">
        <f>IF('Supplier selection'!AQ471="","",'Supplier selection'!AQ471)</f>
        <v/>
      </c>
      <c r="Z471" s="19" t="str">
        <f>IF('Supplier selection'!AR471="","",'Supplier selection'!AR471)</f>
        <v/>
      </c>
      <c r="AA471" s="19" t="str">
        <f t="shared" si="81"/>
        <v/>
      </c>
      <c r="AD471" s="26" t="str">
        <f>IF(AND('Supplier selection'!X471="",'Supplier selection'!AE471=""),"",IF('Supplier selection'!X471="",'Supplier selection'!AE471,'Supplier selection'!X471))</f>
        <v/>
      </c>
      <c r="AE471" s="19" t="str">
        <f t="shared" si="82"/>
        <v/>
      </c>
      <c r="AF471" s="19" t="str">
        <f t="shared" si="83"/>
        <v/>
      </c>
      <c r="AG471" s="27" t="str">
        <f>IF(AND('Supplier selection'!AB471="",'Supplier selection'!AI471=""),"",IF('Supplier selection'!AB471="",'Supplier selection'!AI471,'Supplier selection'!AB471))</f>
        <v/>
      </c>
      <c r="AH471" s="28" t="str">
        <f t="shared" si="84"/>
        <v/>
      </c>
      <c r="AI471" s="7" t="str">
        <f t="shared" si="85"/>
        <v/>
      </c>
      <c r="AJ471" s="22" t="str">
        <f t="shared" si="86"/>
        <v/>
      </c>
      <c r="AK471" s="29" t="str">
        <f t="shared" si="87"/>
        <v/>
      </c>
      <c r="AL471" s="10"/>
    </row>
    <row r="472" spans="1:38">
      <c r="A472" s="19">
        <f>IF('Supplier selection'!A472="","",'Supplier selection'!A472)</f>
        <v>468</v>
      </c>
      <c r="B472" s="19" t="str">
        <f>IF('Supplier selection'!B472="","",'Supplier selection'!B472)</f>
        <v/>
      </c>
      <c r="C472" s="19" t="str">
        <f>IF('Supplier selection'!C472="","",'Supplier selection'!C472)</f>
        <v/>
      </c>
      <c r="D472" s="19" t="str">
        <f>IF('Supplier selection'!D472="","",'Supplier selection'!D472)</f>
        <v/>
      </c>
      <c r="E472" s="19" t="str">
        <f>IF('Supplier selection'!E472="","",'Supplier selection'!E472)</f>
        <v/>
      </c>
      <c r="F472" s="19" t="str">
        <f>IF('Supplier selection'!F472="","",'Supplier selection'!F472)</f>
        <v/>
      </c>
      <c r="G472" s="19" t="str">
        <f>IF('Supplier selection'!G472="","",'Supplier selection'!G472)</f>
        <v/>
      </c>
      <c r="H472" s="19" t="str">
        <f>IF('Supplier selection'!H472="","",'Supplier selection'!H472)</f>
        <v/>
      </c>
      <c r="I472" s="19" t="str">
        <f>IF('Supplier selection'!I472="","",'Supplier selection'!I472)</f>
        <v/>
      </c>
      <c r="J472" s="19" t="str">
        <f>IF('Supplier selection'!J472="","",'Supplier selection'!J472)</f>
        <v/>
      </c>
      <c r="K472" s="19" t="str">
        <f>IF('Supplier selection'!K472="","",'Supplier selection'!K472)</f>
        <v/>
      </c>
      <c r="L472" s="19" t="str">
        <f>IF('Supplier selection'!L472="","",'Supplier selection'!L472)</f>
        <v/>
      </c>
      <c r="M472" s="19" t="str">
        <f>IF('Supplier selection'!M472="","",'Supplier selection'!M472)</f>
        <v/>
      </c>
      <c r="N472" s="19" t="str">
        <f>IF('Supplier selection'!N472="","",'Supplier selection'!N472)</f>
        <v/>
      </c>
      <c r="O472" s="19" t="str">
        <f>IF('Supplier selection'!O472="","",'Supplier selection'!O472)</f>
        <v/>
      </c>
      <c r="Q472" s="19" t="str">
        <f>HLOOKUP($Q$3,'Supplier selection'!$AW$4:'Supplier selection'!$CT$1000,$A473,FALSE)</f>
        <v/>
      </c>
      <c r="R472" s="22" t="str">
        <f t="shared" si="77"/>
        <v/>
      </c>
      <c r="S472" s="19" t="str">
        <f t="shared" si="78"/>
        <v/>
      </c>
      <c r="T472" s="22" t="str">
        <f t="shared" si="79"/>
        <v/>
      </c>
      <c r="U472" s="19" t="str">
        <f t="shared" si="80"/>
        <v/>
      </c>
      <c r="V472" s="7"/>
      <c r="Y472" s="19" t="str">
        <f>IF('Supplier selection'!AQ472="","",'Supplier selection'!AQ472)</f>
        <v/>
      </c>
      <c r="Z472" s="19" t="str">
        <f>IF('Supplier selection'!AR472="","",'Supplier selection'!AR472)</f>
        <v/>
      </c>
      <c r="AA472" s="19" t="str">
        <f t="shared" si="81"/>
        <v/>
      </c>
      <c r="AD472" s="26" t="str">
        <f>IF(AND('Supplier selection'!X472="",'Supplier selection'!AE472=""),"",IF('Supplier selection'!X472="",'Supplier selection'!AE472,'Supplier selection'!X472))</f>
        <v/>
      </c>
      <c r="AE472" s="19" t="str">
        <f t="shared" si="82"/>
        <v/>
      </c>
      <c r="AF472" s="19" t="str">
        <f t="shared" si="83"/>
        <v/>
      </c>
      <c r="AG472" s="27" t="str">
        <f>IF(AND('Supplier selection'!AB472="",'Supplier selection'!AI472=""),"",IF('Supplier selection'!AB472="",'Supplier selection'!AI472,'Supplier selection'!AB472))</f>
        <v/>
      </c>
      <c r="AH472" s="28" t="str">
        <f t="shared" si="84"/>
        <v/>
      </c>
      <c r="AI472" s="7" t="str">
        <f t="shared" si="85"/>
        <v/>
      </c>
      <c r="AJ472" s="22" t="str">
        <f t="shared" si="86"/>
        <v/>
      </c>
      <c r="AK472" s="29" t="str">
        <f t="shared" si="87"/>
        <v/>
      </c>
      <c r="AL472" s="10"/>
    </row>
    <row r="473" spans="1:38">
      <c r="A473" s="19">
        <f>IF('Supplier selection'!A473="","",'Supplier selection'!A473)</f>
        <v>469</v>
      </c>
      <c r="B473" s="19" t="str">
        <f>IF('Supplier selection'!B473="","",'Supplier selection'!B473)</f>
        <v/>
      </c>
      <c r="C473" s="19" t="str">
        <f>IF('Supplier selection'!C473="","",'Supplier selection'!C473)</f>
        <v/>
      </c>
      <c r="D473" s="19" t="str">
        <f>IF('Supplier selection'!D473="","",'Supplier selection'!D473)</f>
        <v/>
      </c>
      <c r="E473" s="19" t="str">
        <f>IF('Supplier selection'!E473="","",'Supplier selection'!E473)</f>
        <v/>
      </c>
      <c r="F473" s="19" t="str">
        <f>IF('Supplier selection'!F473="","",'Supplier selection'!F473)</f>
        <v/>
      </c>
      <c r="G473" s="19" t="str">
        <f>IF('Supplier selection'!G473="","",'Supplier selection'!G473)</f>
        <v/>
      </c>
      <c r="H473" s="19" t="str">
        <f>IF('Supplier selection'!H473="","",'Supplier selection'!H473)</f>
        <v/>
      </c>
      <c r="I473" s="19" t="str">
        <f>IF('Supplier selection'!I473="","",'Supplier selection'!I473)</f>
        <v/>
      </c>
      <c r="J473" s="19" t="str">
        <f>IF('Supplier selection'!J473="","",'Supplier selection'!J473)</f>
        <v/>
      </c>
      <c r="K473" s="19" t="str">
        <f>IF('Supplier selection'!K473="","",'Supplier selection'!K473)</f>
        <v/>
      </c>
      <c r="L473" s="19" t="str">
        <f>IF('Supplier selection'!L473="","",'Supplier selection'!L473)</f>
        <v/>
      </c>
      <c r="M473" s="19" t="str">
        <f>IF('Supplier selection'!M473="","",'Supplier selection'!M473)</f>
        <v/>
      </c>
      <c r="N473" s="19" t="str">
        <f>IF('Supplier selection'!N473="","",'Supplier selection'!N473)</f>
        <v/>
      </c>
      <c r="O473" s="19" t="str">
        <f>IF('Supplier selection'!O473="","",'Supplier selection'!O473)</f>
        <v/>
      </c>
      <c r="Q473" s="19" t="str">
        <f>HLOOKUP($Q$3,'Supplier selection'!$AW$4:'Supplier selection'!$CT$1000,$A474,FALSE)</f>
        <v/>
      </c>
      <c r="R473" s="22" t="str">
        <f t="shared" si="77"/>
        <v/>
      </c>
      <c r="S473" s="19" t="str">
        <f t="shared" si="78"/>
        <v/>
      </c>
      <c r="T473" s="22" t="str">
        <f t="shared" si="79"/>
        <v/>
      </c>
      <c r="U473" s="19" t="str">
        <f t="shared" si="80"/>
        <v/>
      </c>
      <c r="V473" s="7"/>
      <c r="Y473" s="19" t="str">
        <f>IF('Supplier selection'!AQ473="","",'Supplier selection'!AQ473)</f>
        <v/>
      </c>
      <c r="Z473" s="19" t="str">
        <f>IF('Supplier selection'!AR473="","",'Supplier selection'!AR473)</f>
        <v/>
      </c>
      <c r="AA473" s="19" t="str">
        <f t="shared" si="81"/>
        <v/>
      </c>
      <c r="AD473" s="26" t="str">
        <f>IF(AND('Supplier selection'!X473="",'Supplier selection'!AE473=""),"",IF('Supplier selection'!X473="",'Supplier selection'!AE473,'Supplier selection'!X473))</f>
        <v/>
      </c>
      <c r="AE473" s="19" t="str">
        <f t="shared" si="82"/>
        <v/>
      </c>
      <c r="AF473" s="19" t="str">
        <f t="shared" si="83"/>
        <v/>
      </c>
      <c r="AG473" s="27" t="str">
        <f>IF(AND('Supplier selection'!AB473="",'Supplier selection'!AI473=""),"",IF('Supplier selection'!AB473="",'Supplier selection'!AI473,'Supplier selection'!AB473))</f>
        <v/>
      </c>
      <c r="AH473" s="28" t="str">
        <f t="shared" si="84"/>
        <v/>
      </c>
      <c r="AI473" s="7" t="str">
        <f t="shared" si="85"/>
        <v/>
      </c>
      <c r="AJ473" s="22" t="str">
        <f t="shared" si="86"/>
        <v/>
      </c>
      <c r="AK473" s="29" t="str">
        <f t="shared" si="87"/>
        <v/>
      </c>
      <c r="AL473" s="10"/>
    </row>
    <row r="474" spans="1:38">
      <c r="A474" s="19">
        <f>IF('Supplier selection'!A474="","",'Supplier selection'!A474)</f>
        <v>470</v>
      </c>
      <c r="B474" s="19" t="str">
        <f>IF('Supplier selection'!B474="","",'Supplier selection'!B474)</f>
        <v/>
      </c>
      <c r="C474" s="19" t="str">
        <f>IF('Supplier selection'!C474="","",'Supplier selection'!C474)</f>
        <v/>
      </c>
      <c r="D474" s="19" t="str">
        <f>IF('Supplier selection'!D474="","",'Supplier selection'!D474)</f>
        <v/>
      </c>
      <c r="E474" s="19" t="str">
        <f>IF('Supplier selection'!E474="","",'Supplier selection'!E474)</f>
        <v/>
      </c>
      <c r="F474" s="19" t="str">
        <f>IF('Supplier selection'!F474="","",'Supplier selection'!F474)</f>
        <v/>
      </c>
      <c r="G474" s="19" t="str">
        <f>IF('Supplier selection'!G474="","",'Supplier selection'!G474)</f>
        <v/>
      </c>
      <c r="H474" s="19" t="str">
        <f>IF('Supplier selection'!H474="","",'Supplier selection'!H474)</f>
        <v/>
      </c>
      <c r="I474" s="19" t="str">
        <f>IF('Supplier selection'!I474="","",'Supplier selection'!I474)</f>
        <v/>
      </c>
      <c r="J474" s="19" t="str">
        <f>IF('Supplier selection'!J474="","",'Supplier selection'!J474)</f>
        <v/>
      </c>
      <c r="K474" s="19" t="str">
        <f>IF('Supplier selection'!K474="","",'Supplier selection'!K474)</f>
        <v/>
      </c>
      <c r="L474" s="19" t="str">
        <f>IF('Supplier selection'!L474="","",'Supplier selection'!L474)</f>
        <v/>
      </c>
      <c r="M474" s="19" t="str">
        <f>IF('Supplier selection'!M474="","",'Supplier selection'!M474)</f>
        <v/>
      </c>
      <c r="N474" s="19" t="str">
        <f>IF('Supplier selection'!N474="","",'Supplier selection'!N474)</f>
        <v/>
      </c>
      <c r="O474" s="19" t="str">
        <f>IF('Supplier selection'!O474="","",'Supplier selection'!O474)</f>
        <v/>
      </c>
      <c r="Q474" s="19" t="str">
        <f>HLOOKUP($Q$3,'Supplier selection'!$AW$4:'Supplier selection'!$CT$1000,$A475,FALSE)</f>
        <v/>
      </c>
      <c r="R474" s="22" t="str">
        <f t="shared" si="77"/>
        <v/>
      </c>
      <c r="S474" s="19" t="str">
        <f t="shared" si="78"/>
        <v/>
      </c>
      <c r="T474" s="22" t="str">
        <f t="shared" si="79"/>
        <v/>
      </c>
      <c r="U474" s="19" t="str">
        <f t="shared" si="80"/>
        <v/>
      </c>
      <c r="V474" s="7"/>
      <c r="Y474" s="19" t="str">
        <f>IF('Supplier selection'!AQ474="","",'Supplier selection'!AQ474)</f>
        <v/>
      </c>
      <c r="Z474" s="19" t="str">
        <f>IF('Supplier selection'!AR474="","",'Supplier selection'!AR474)</f>
        <v/>
      </c>
      <c r="AA474" s="19" t="str">
        <f t="shared" si="81"/>
        <v/>
      </c>
      <c r="AD474" s="26" t="str">
        <f>IF(AND('Supplier selection'!X474="",'Supplier selection'!AE474=""),"",IF('Supplier selection'!X474="",'Supplier selection'!AE474,'Supplier selection'!X474))</f>
        <v/>
      </c>
      <c r="AE474" s="19" t="str">
        <f t="shared" si="82"/>
        <v/>
      </c>
      <c r="AF474" s="19" t="str">
        <f t="shared" si="83"/>
        <v/>
      </c>
      <c r="AG474" s="27" t="str">
        <f>IF(AND('Supplier selection'!AB474="",'Supplier selection'!AI474=""),"",IF('Supplier selection'!AB474="",'Supplier selection'!AI474,'Supplier selection'!AB474))</f>
        <v/>
      </c>
      <c r="AH474" s="28" t="str">
        <f t="shared" si="84"/>
        <v/>
      </c>
      <c r="AI474" s="7" t="str">
        <f t="shared" si="85"/>
        <v/>
      </c>
      <c r="AJ474" s="22" t="str">
        <f t="shared" si="86"/>
        <v/>
      </c>
      <c r="AK474" s="29" t="str">
        <f t="shared" si="87"/>
        <v/>
      </c>
      <c r="AL474" s="10"/>
    </row>
    <row r="475" spans="1:38">
      <c r="A475" s="19">
        <f>IF('Supplier selection'!A475="","",'Supplier selection'!A475)</f>
        <v>471</v>
      </c>
      <c r="B475" s="19" t="str">
        <f>IF('Supplier selection'!B475="","",'Supplier selection'!B475)</f>
        <v/>
      </c>
      <c r="C475" s="19" t="str">
        <f>IF('Supplier selection'!C475="","",'Supplier selection'!C475)</f>
        <v/>
      </c>
      <c r="D475" s="19" t="str">
        <f>IF('Supplier selection'!D475="","",'Supplier selection'!D475)</f>
        <v/>
      </c>
      <c r="E475" s="19" t="str">
        <f>IF('Supplier selection'!E475="","",'Supplier selection'!E475)</f>
        <v/>
      </c>
      <c r="F475" s="19" t="str">
        <f>IF('Supplier selection'!F475="","",'Supplier selection'!F475)</f>
        <v/>
      </c>
      <c r="G475" s="19" t="str">
        <f>IF('Supplier selection'!G475="","",'Supplier selection'!G475)</f>
        <v/>
      </c>
      <c r="H475" s="19" t="str">
        <f>IF('Supplier selection'!H475="","",'Supplier selection'!H475)</f>
        <v/>
      </c>
      <c r="I475" s="19" t="str">
        <f>IF('Supplier selection'!I475="","",'Supplier selection'!I475)</f>
        <v/>
      </c>
      <c r="J475" s="19" t="str">
        <f>IF('Supplier selection'!J475="","",'Supplier selection'!J475)</f>
        <v/>
      </c>
      <c r="K475" s="19" t="str">
        <f>IF('Supplier selection'!K475="","",'Supplier selection'!K475)</f>
        <v/>
      </c>
      <c r="L475" s="19" t="str">
        <f>IF('Supplier selection'!L475="","",'Supplier selection'!L475)</f>
        <v/>
      </c>
      <c r="M475" s="19" t="str">
        <f>IF('Supplier selection'!M475="","",'Supplier selection'!M475)</f>
        <v/>
      </c>
      <c r="N475" s="19" t="str">
        <f>IF('Supplier selection'!N475="","",'Supplier selection'!N475)</f>
        <v/>
      </c>
      <c r="O475" s="19" t="str">
        <f>IF('Supplier selection'!O475="","",'Supplier selection'!O475)</f>
        <v/>
      </c>
      <c r="Q475" s="19" t="str">
        <f>HLOOKUP($Q$3,'Supplier selection'!$AW$4:'Supplier selection'!$CT$1000,$A476,FALSE)</f>
        <v/>
      </c>
      <c r="R475" s="22" t="str">
        <f t="shared" si="77"/>
        <v/>
      </c>
      <c r="S475" s="19" t="str">
        <f t="shared" si="78"/>
        <v/>
      </c>
      <c r="T475" s="22" t="str">
        <f t="shared" si="79"/>
        <v/>
      </c>
      <c r="U475" s="19" t="str">
        <f t="shared" si="80"/>
        <v/>
      </c>
      <c r="V475" s="7"/>
      <c r="Y475" s="19" t="str">
        <f>IF('Supplier selection'!AQ475="","",'Supplier selection'!AQ475)</f>
        <v/>
      </c>
      <c r="Z475" s="19" t="str">
        <f>IF('Supplier selection'!AR475="","",'Supplier selection'!AR475)</f>
        <v/>
      </c>
      <c r="AA475" s="19" t="str">
        <f t="shared" si="81"/>
        <v/>
      </c>
      <c r="AD475" s="26" t="str">
        <f>IF(AND('Supplier selection'!X475="",'Supplier selection'!AE475=""),"",IF('Supplier selection'!X475="",'Supplier selection'!AE475,'Supplier selection'!X475))</f>
        <v/>
      </c>
      <c r="AE475" s="19" t="str">
        <f t="shared" si="82"/>
        <v/>
      </c>
      <c r="AF475" s="19" t="str">
        <f t="shared" si="83"/>
        <v/>
      </c>
      <c r="AG475" s="27" t="str">
        <f>IF(AND('Supplier selection'!AB475="",'Supplier selection'!AI475=""),"",IF('Supplier selection'!AB475="",'Supplier selection'!AI475,'Supplier selection'!AB475))</f>
        <v/>
      </c>
      <c r="AH475" s="28" t="str">
        <f t="shared" si="84"/>
        <v/>
      </c>
      <c r="AI475" s="7" t="str">
        <f t="shared" si="85"/>
        <v/>
      </c>
      <c r="AJ475" s="22" t="str">
        <f t="shared" si="86"/>
        <v/>
      </c>
      <c r="AK475" s="29" t="str">
        <f t="shared" si="87"/>
        <v/>
      </c>
      <c r="AL475" s="10"/>
    </row>
    <row r="476" spans="1:38">
      <c r="A476" s="19">
        <f>IF('Supplier selection'!A476="","",'Supplier selection'!A476)</f>
        <v>472</v>
      </c>
      <c r="B476" s="19" t="str">
        <f>IF('Supplier selection'!B476="","",'Supplier selection'!B476)</f>
        <v/>
      </c>
      <c r="C476" s="19" t="str">
        <f>IF('Supplier selection'!C476="","",'Supplier selection'!C476)</f>
        <v/>
      </c>
      <c r="D476" s="19" t="str">
        <f>IF('Supplier selection'!D476="","",'Supplier selection'!D476)</f>
        <v/>
      </c>
      <c r="E476" s="19" t="str">
        <f>IF('Supplier selection'!E476="","",'Supplier selection'!E476)</f>
        <v/>
      </c>
      <c r="F476" s="19" t="str">
        <f>IF('Supplier selection'!F476="","",'Supplier selection'!F476)</f>
        <v/>
      </c>
      <c r="G476" s="19" t="str">
        <f>IF('Supplier selection'!G476="","",'Supplier selection'!G476)</f>
        <v/>
      </c>
      <c r="H476" s="19" t="str">
        <f>IF('Supplier selection'!H476="","",'Supplier selection'!H476)</f>
        <v/>
      </c>
      <c r="I476" s="19" t="str">
        <f>IF('Supplier selection'!I476="","",'Supplier selection'!I476)</f>
        <v/>
      </c>
      <c r="J476" s="19" t="str">
        <f>IF('Supplier selection'!J476="","",'Supplier selection'!J476)</f>
        <v/>
      </c>
      <c r="K476" s="19" t="str">
        <f>IF('Supplier selection'!K476="","",'Supplier selection'!K476)</f>
        <v/>
      </c>
      <c r="L476" s="19" t="str">
        <f>IF('Supplier selection'!L476="","",'Supplier selection'!L476)</f>
        <v/>
      </c>
      <c r="M476" s="19" t="str">
        <f>IF('Supplier selection'!M476="","",'Supplier selection'!M476)</f>
        <v/>
      </c>
      <c r="N476" s="19" t="str">
        <f>IF('Supplier selection'!N476="","",'Supplier selection'!N476)</f>
        <v/>
      </c>
      <c r="O476" s="19" t="str">
        <f>IF('Supplier selection'!O476="","",'Supplier selection'!O476)</f>
        <v/>
      </c>
      <c r="Q476" s="19" t="str">
        <f>HLOOKUP($Q$3,'Supplier selection'!$AW$4:'Supplier selection'!$CT$1000,$A477,FALSE)</f>
        <v/>
      </c>
      <c r="R476" s="22" t="str">
        <f t="shared" si="77"/>
        <v/>
      </c>
      <c r="S476" s="19" t="str">
        <f t="shared" si="78"/>
        <v/>
      </c>
      <c r="T476" s="22" t="str">
        <f t="shared" si="79"/>
        <v/>
      </c>
      <c r="U476" s="19" t="str">
        <f t="shared" si="80"/>
        <v/>
      </c>
      <c r="V476" s="7"/>
      <c r="Y476" s="19" t="str">
        <f>IF('Supplier selection'!AQ476="","",'Supplier selection'!AQ476)</f>
        <v/>
      </c>
      <c r="Z476" s="19" t="str">
        <f>IF('Supplier selection'!AR476="","",'Supplier selection'!AR476)</f>
        <v/>
      </c>
      <c r="AA476" s="19" t="str">
        <f t="shared" si="81"/>
        <v/>
      </c>
      <c r="AD476" s="26" t="str">
        <f>IF(AND('Supplier selection'!X476="",'Supplier selection'!AE476=""),"",IF('Supplier selection'!X476="",'Supplier selection'!AE476,'Supplier selection'!X476))</f>
        <v/>
      </c>
      <c r="AE476" s="19" t="str">
        <f t="shared" si="82"/>
        <v/>
      </c>
      <c r="AF476" s="19" t="str">
        <f t="shared" si="83"/>
        <v/>
      </c>
      <c r="AG476" s="27" t="str">
        <f>IF(AND('Supplier selection'!AB476="",'Supplier selection'!AI476=""),"",IF('Supplier selection'!AB476="",'Supplier selection'!AI476,'Supplier selection'!AB476))</f>
        <v/>
      </c>
      <c r="AH476" s="28" t="str">
        <f t="shared" si="84"/>
        <v/>
      </c>
      <c r="AI476" s="7" t="str">
        <f t="shared" si="85"/>
        <v/>
      </c>
      <c r="AJ476" s="22" t="str">
        <f t="shared" si="86"/>
        <v/>
      </c>
      <c r="AK476" s="29" t="str">
        <f t="shared" si="87"/>
        <v/>
      </c>
      <c r="AL476" s="10"/>
    </row>
    <row r="477" spans="1:38">
      <c r="A477" s="19">
        <f>IF('Supplier selection'!A477="","",'Supplier selection'!A477)</f>
        <v>473</v>
      </c>
      <c r="B477" s="19" t="str">
        <f>IF('Supplier selection'!B477="","",'Supplier selection'!B477)</f>
        <v/>
      </c>
      <c r="C477" s="19" t="str">
        <f>IF('Supplier selection'!C477="","",'Supplier selection'!C477)</f>
        <v/>
      </c>
      <c r="D477" s="19" t="str">
        <f>IF('Supplier selection'!D477="","",'Supplier selection'!D477)</f>
        <v/>
      </c>
      <c r="E477" s="19" t="str">
        <f>IF('Supplier selection'!E477="","",'Supplier selection'!E477)</f>
        <v/>
      </c>
      <c r="F477" s="19" t="str">
        <f>IF('Supplier selection'!F477="","",'Supplier selection'!F477)</f>
        <v/>
      </c>
      <c r="G477" s="19" t="str">
        <f>IF('Supplier selection'!G477="","",'Supplier selection'!G477)</f>
        <v/>
      </c>
      <c r="H477" s="19" t="str">
        <f>IF('Supplier selection'!H477="","",'Supplier selection'!H477)</f>
        <v/>
      </c>
      <c r="I477" s="19" t="str">
        <f>IF('Supplier selection'!I477="","",'Supplier selection'!I477)</f>
        <v/>
      </c>
      <c r="J477" s="19" t="str">
        <f>IF('Supplier selection'!J477="","",'Supplier selection'!J477)</f>
        <v/>
      </c>
      <c r="K477" s="19" t="str">
        <f>IF('Supplier selection'!K477="","",'Supplier selection'!K477)</f>
        <v/>
      </c>
      <c r="L477" s="19" t="str">
        <f>IF('Supplier selection'!L477="","",'Supplier selection'!L477)</f>
        <v/>
      </c>
      <c r="M477" s="19" t="str">
        <f>IF('Supplier selection'!M477="","",'Supplier selection'!M477)</f>
        <v/>
      </c>
      <c r="N477" s="19" t="str">
        <f>IF('Supplier selection'!N477="","",'Supplier selection'!N477)</f>
        <v/>
      </c>
      <c r="O477" s="19" t="str">
        <f>IF('Supplier selection'!O477="","",'Supplier selection'!O477)</f>
        <v/>
      </c>
      <c r="Q477" s="19" t="str">
        <f>HLOOKUP($Q$3,'Supplier selection'!$AW$4:'Supplier selection'!$CT$1000,$A478,FALSE)</f>
        <v/>
      </c>
      <c r="R477" s="22" t="str">
        <f t="shared" si="77"/>
        <v/>
      </c>
      <c r="S477" s="19" t="str">
        <f t="shared" si="78"/>
        <v/>
      </c>
      <c r="T477" s="22" t="str">
        <f t="shared" si="79"/>
        <v/>
      </c>
      <c r="U477" s="19" t="str">
        <f t="shared" si="80"/>
        <v/>
      </c>
      <c r="V477" s="7"/>
      <c r="Y477" s="19" t="str">
        <f>IF('Supplier selection'!AQ477="","",'Supplier selection'!AQ477)</f>
        <v/>
      </c>
      <c r="Z477" s="19" t="str">
        <f>IF('Supplier selection'!AR477="","",'Supplier selection'!AR477)</f>
        <v/>
      </c>
      <c r="AA477" s="19" t="str">
        <f t="shared" si="81"/>
        <v/>
      </c>
      <c r="AD477" s="26" t="str">
        <f>IF(AND('Supplier selection'!X477="",'Supplier selection'!AE477=""),"",IF('Supplier selection'!X477="",'Supplier selection'!AE477,'Supplier selection'!X477))</f>
        <v/>
      </c>
      <c r="AE477" s="19" t="str">
        <f t="shared" si="82"/>
        <v/>
      </c>
      <c r="AF477" s="19" t="str">
        <f t="shared" si="83"/>
        <v/>
      </c>
      <c r="AG477" s="27" t="str">
        <f>IF(AND('Supplier selection'!AB477="",'Supplier selection'!AI477=""),"",IF('Supplier selection'!AB477="",'Supplier selection'!AI477,'Supplier selection'!AB477))</f>
        <v/>
      </c>
      <c r="AH477" s="28" t="str">
        <f t="shared" si="84"/>
        <v/>
      </c>
      <c r="AI477" s="7" t="str">
        <f t="shared" si="85"/>
        <v/>
      </c>
      <c r="AJ477" s="22" t="str">
        <f t="shared" si="86"/>
        <v/>
      </c>
      <c r="AK477" s="29" t="str">
        <f t="shared" si="87"/>
        <v/>
      </c>
      <c r="AL477" s="10"/>
    </row>
    <row r="478" spans="1:38">
      <c r="A478" s="19">
        <f>IF('Supplier selection'!A478="","",'Supplier selection'!A478)</f>
        <v>474</v>
      </c>
      <c r="B478" s="19" t="str">
        <f>IF('Supplier selection'!B478="","",'Supplier selection'!B478)</f>
        <v/>
      </c>
      <c r="C478" s="19" t="str">
        <f>IF('Supplier selection'!C478="","",'Supplier selection'!C478)</f>
        <v/>
      </c>
      <c r="D478" s="19" t="str">
        <f>IF('Supplier selection'!D478="","",'Supplier selection'!D478)</f>
        <v/>
      </c>
      <c r="E478" s="19" t="str">
        <f>IF('Supplier selection'!E478="","",'Supplier selection'!E478)</f>
        <v/>
      </c>
      <c r="F478" s="19" t="str">
        <f>IF('Supplier selection'!F478="","",'Supplier selection'!F478)</f>
        <v/>
      </c>
      <c r="G478" s="19" t="str">
        <f>IF('Supplier selection'!G478="","",'Supplier selection'!G478)</f>
        <v/>
      </c>
      <c r="H478" s="19" t="str">
        <f>IF('Supplier selection'!H478="","",'Supplier selection'!H478)</f>
        <v/>
      </c>
      <c r="I478" s="19" t="str">
        <f>IF('Supplier selection'!I478="","",'Supplier selection'!I478)</f>
        <v/>
      </c>
      <c r="J478" s="19" t="str">
        <f>IF('Supplier selection'!J478="","",'Supplier selection'!J478)</f>
        <v/>
      </c>
      <c r="K478" s="19" t="str">
        <f>IF('Supplier selection'!K478="","",'Supplier selection'!K478)</f>
        <v/>
      </c>
      <c r="L478" s="19" t="str">
        <f>IF('Supplier selection'!L478="","",'Supplier selection'!L478)</f>
        <v/>
      </c>
      <c r="M478" s="19" t="str">
        <f>IF('Supplier selection'!M478="","",'Supplier selection'!M478)</f>
        <v/>
      </c>
      <c r="N478" s="19" t="str">
        <f>IF('Supplier selection'!N478="","",'Supplier selection'!N478)</f>
        <v/>
      </c>
      <c r="O478" s="19" t="str">
        <f>IF('Supplier selection'!O478="","",'Supplier selection'!O478)</f>
        <v/>
      </c>
      <c r="Q478" s="19" t="str">
        <f>HLOOKUP($Q$3,'Supplier selection'!$AW$4:'Supplier selection'!$CT$1000,$A479,FALSE)</f>
        <v/>
      </c>
      <c r="R478" s="22" t="str">
        <f t="shared" si="77"/>
        <v/>
      </c>
      <c r="S478" s="19" t="str">
        <f t="shared" si="78"/>
        <v/>
      </c>
      <c r="T478" s="22" t="str">
        <f t="shared" si="79"/>
        <v/>
      </c>
      <c r="U478" s="19" t="str">
        <f t="shared" si="80"/>
        <v/>
      </c>
      <c r="V478" s="7"/>
      <c r="Y478" s="19" t="str">
        <f>IF('Supplier selection'!AQ478="","",'Supplier selection'!AQ478)</f>
        <v/>
      </c>
      <c r="Z478" s="19" t="str">
        <f>IF('Supplier selection'!AR478="","",'Supplier selection'!AR478)</f>
        <v/>
      </c>
      <c r="AA478" s="19" t="str">
        <f t="shared" si="81"/>
        <v/>
      </c>
      <c r="AD478" s="26" t="str">
        <f>IF(AND('Supplier selection'!X478="",'Supplier selection'!AE478=""),"",IF('Supplier selection'!X478="",'Supplier selection'!AE478,'Supplier selection'!X478))</f>
        <v/>
      </c>
      <c r="AE478" s="19" t="str">
        <f t="shared" si="82"/>
        <v/>
      </c>
      <c r="AF478" s="19" t="str">
        <f t="shared" si="83"/>
        <v/>
      </c>
      <c r="AG478" s="27" t="str">
        <f>IF(AND('Supplier selection'!AB478="",'Supplier selection'!AI478=""),"",IF('Supplier selection'!AB478="",'Supplier selection'!AI478,'Supplier selection'!AB478))</f>
        <v/>
      </c>
      <c r="AH478" s="28" t="str">
        <f t="shared" si="84"/>
        <v/>
      </c>
      <c r="AI478" s="7" t="str">
        <f t="shared" si="85"/>
        <v/>
      </c>
      <c r="AJ478" s="22" t="str">
        <f t="shared" si="86"/>
        <v/>
      </c>
      <c r="AK478" s="29" t="str">
        <f t="shared" si="87"/>
        <v/>
      </c>
      <c r="AL478" s="10"/>
    </row>
    <row r="479" spans="1:38">
      <c r="A479" s="19">
        <f>IF('Supplier selection'!A479="","",'Supplier selection'!A479)</f>
        <v>475</v>
      </c>
      <c r="B479" s="19" t="str">
        <f>IF('Supplier selection'!B479="","",'Supplier selection'!B479)</f>
        <v/>
      </c>
      <c r="C479" s="19" t="str">
        <f>IF('Supplier selection'!C479="","",'Supplier selection'!C479)</f>
        <v/>
      </c>
      <c r="D479" s="19" t="str">
        <f>IF('Supplier selection'!D479="","",'Supplier selection'!D479)</f>
        <v/>
      </c>
      <c r="E479" s="19" t="str">
        <f>IF('Supplier selection'!E479="","",'Supplier selection'!E479)</f>
        <v/>
      </c>
      <c r="F479" s="19" t="str">
        <f>IF('Supplier selection'!F479="","",'Supplier selection'!F479)</f>
        <v/>
      </c>
      <c r="G479" s="19" t="str">
        <f>IF('Supplier selection'!G479="","",'Supplier selection'!G479)</f>
        <v/>
      </c>
      <c r="H479" s="19" t="str">
        <f>IF('Supplier selection'!H479="","",'Supplier selection'!H479)</f>
        <v/>
      </c>
      <c r="I479" s="19" t="str">
        <f>IF('Supplier selection'!I479="","",'Supplier selection'!I479)</f>
        <v/>
      </c>
      <c r="J479" s="19" t="str">
        <f>IF('Supplier selection'!J479="","",'Supplier selection'!J479)</f>
        <v/>
      </c>
      <c r="K479" s="19" t="str">
        <f>IF('Supplier selection'!K479="","",'Supplier selection'!K479)</f>
        <v/>
      </c>
      <c r="L479" s="19" t="str">
        <f>IF('Supplier selection'!L479="","",'Supplier selection'!L479)</f>
        <v/>
      </c>
      <c r="M479" s="19" t="str">
        <f>IF('Supplier selection'!M479="","",'Supplier selection'!M479)</f>
        <v/>
      </c>
      <c r="N479" s="19" t="str">
        <f>IF('Supplier selection'!N479="","",'Supplier selection'!N479)</f>
        <v/>
      </c>
      <c r="O479" s="19" t="str">
        <f>IF('Supplier selection'!O479="","",'Supplier selection'!O479)</f>
        <v/>
      </c>
      <c r="Q479" s="19" t="str">
        <f>HLOOKUP($Q$3,'Supplier selection'!$AW$4:'Supplier selection'!$CT$1000,$A480,FALSE)</f>
        <v/>
      </c>
      <c r="R479" s="22" t="str">
        <f t="shared" si="77"/>
        <v/>
      </c>
      <c r="S479" s="19" t="str">
        <f t="shared" si="78"/>
        <v/>
      </c>
      <c r="T479" s="22" t="str">
        <f t="shared" si="79"/>
        <v/>
      </c>
      <c r="U479" s="19" t="str">
        <f t="shared" si="80"/>
        <v/>
      </c>
      <c r="V479" s="7"/>
      <c r="Y479" s="19" t="str">
        <f>IF('Supplier selection'!AQ479="","",'Supplier selection'!AQ479)</f>
        <v/>
      </c>
      <c r="Z479" s="19" t="str">
        <f>IF('Supplier selection'!AR479="","",'Supplier selection'!AR479)</f>
        <v/>
      </c>
      <c r="AA479" s="19" t="str">
        <f t="shared" si="81"/>
        <v/>
      </c>
      <c r="AD479" s="26" t="str">
        <f>IF(AND('Supplier selection'!X479="",'Supplier selection'!AE479=""),"",IF('Supplier selection'!X479="",'Supplier selection'!AE479,'Supplier selection'!X479))</f>
        <v/>
      </c>
      <c r="AE479" s="19" t="str">
        <f t="shared" si="82"/>
        <v/>
      </c>
      <c r="AF479" s="19" t="str">
        <f t="shared" si="83"/>
        <v/>
      </c>
      <c r="AG479" s="27" t="str">
        <f>IF(AND('Supplier selection'!AB479="",'Supplier selection'!AI479=""),"",IF('Supplier selection'!AB479="",'Supplier selection'!AI479,'Supplier selection'!AB479))</f>
        <v/>
      </c>
      <c r="AH479" s="28" t="str">
        <f t="shared" si="84"/>
        <v/>
      </c>
      <c r="AI479" s="7" t="str">
        <f t="shared" si="85"/>
        <v/>
      </c>
      <c r="AJ479" s="22" t="str">
        <f t="shared" si="86"/>
        <v/>
      </c>
      <c r="AK479" s="29" t="str">
        <f t="shared" si="87"/>
        <v/>
      </c>
      <c r="AL479" s="10"/>
    </row>
    <row r="480" spans="1:38">
      <c r="A480" s="19">
        <f>IF('Supplier selection'!A480="","",'Supplier selection'!A480)</f>
        <v>476</v>
      </c>
      <c r="B480" s="19" t="str">
        <f>IF('Supplier selection'!B480="","",'Supplier selection'!B480)</f>
        <v/>
      </c>
      <c r="C480" s="19" t="str">
        <f>IF('Supplier selection'!C480="","",'Supplier selection'!C480)</f>
        <v/>
      </c>
      <c r="D480" s="19" t="str">
        <f>IF('Supplier selection'!D480="","",'Supplier selection'!D480)</f>
        <v/>
      </c>
      <c r="E480" s="19" t="str">
        <f>IF('Supplier selection'!E480="","",'Supplier selection'!E480)</f>
        <v/>
      </c>
      <c r="F480" s="19" t="str">
        <f>IF('Supplier selection'!F480="","",'Supplier selection'!F480)</f>
        <v/>
      </c>
      <c r="G480" s="19" t="str">
        <f>IF('Supplier selection'!G480="","",'Supplier selection'!G480)</f>
        <v/>
      </c>
      <c r="H480" s="19" t="str">
        <f>IF('Supplier selection'!H480="","",'Supplier selection'!H480)</f>
        <v/>
      </c>
      <c r="I480" s="19" t="str">
        <f>IF('Supplier selection'!I480="","",'Supplier selection'!I480)</f>
        <v/>
      </c>
      <c r="J480" s="19" t="str">
        <f>IF('Supplier selection'!J480="","",'Supplier selection'!J480)</f>
        <v/>
      </c>
      <c r="K480" s="19" t="str">
        <f>IF('Supplier selection'!K480="","",'Supplier selection'!K480)</f>
        <v/>
      </c>
      <c r="L480" s="19" t="str">
        <f>IF('Supplier selection'!L480="","",'Supplier selection'!L480)</f>
        <v/>
      </c>
      <c r="M480" s="19" t="str">
        <f>IF('Supplier selection'!M480="","",'Supplier selection'!M480)</f>
        <v/>
      </c>
      <c r="N480" s="19" t="str">
        <f>IF('Supplier selection'!N480="","",'Supplier selection'!N480)</f>
        <v/>
      </c>
      <c r="O480" s="19" t="str">
        <f>IF('Supplier selection'!O480="","",'Supplier selection'!O480)</f>
        <v/>
      </c>
      <c r="Q480" s="19" t="str">
        <f>HLOOKUP($Q$3,'Supplier selection'!$AW$4:'Supplier selection'!$CT$1000,$A481,FALSE)</f>
        <v/>
      </c>
      <c r="R480" s="22" t="str">
        <f t="shared" si="77"/>
        <v/>
      </c>
      <c r="S480" s="19" t="str">
        <f t="shared" si="78"/>
        <v/>
      </c>
      <c r="T480" s="22" t="str">
        <f t="shared" si="79"/>
        <v/>
      </c>
      <c r="U480" s="19" t="str">
        <f t="shared" si="80"/>
        <v/>
      </c>
      <c r="V480" s="7"/>
      <c r="Y480" s="19" t="str">
        <f>IF('Supplier selection'!AQ480="","",'Supplier selection'!AQ480)</f>
        <v/>
      </c>
      <c r="Z480" s="19" t="str">
        <f>IF('Supplier selection'!AR480="","",'Supplier selection'!AR480)</f>
        <v/>
      </c>
      <c r="AA480" s="19" t="str">
        <f t="shared" si="81"/>
        <v/>
      </c>
      <c r="AD480" s="26" t="str">
        <f>IF(AND('Supplier selection'!X480="",'Supplier selection'!AE480=""),"",IF('Supplier selection'!X480="",'Supplier selection'!AE480,'Supplier selection'!X480))</f>
        <v/>
      </c>
      <c r="AE480" s="19" t="str">
        <f t="shared" si="82"/>
        <v/>
      </c>
      <c r="AF480" s="19" t="str">
        <f t="shared" si="83"/>
        <v/>
      </c>
      <c r="AG480" s="27" t="str">
        <f>IF(AND('Supplier selection'!AB480="",'Supplier selection'!AI480=""),"",IF('Supplier selection'!AB480="",'Supplier selection'!AI480,'Supplier selection'!AB480))</f>
        <v/>
      </c>
      <c r="AH480" s="28" t="str">
        <f t="shared" si="84"/>
        <v/>
      </c>
      <c r="AI480" s="7" t="str">
        <f t="shared" si="85"/>
        <v/>
      </c>
      <c r="AJ480" s="22" t="str">
        <f t="shared" si="86"/>
        <v/>
      </c>
      <c r="AK480" s="29" t="str">
        <f t="shared" si="87"/>
        <v/>
      </c>
      <c r="AL480" s="10"/>
    </row>
    <row r="481" spans="1:38">
      <c r="A481" s="19">
        <f>IF('Supplier selection'!A481="","",'Supplier selection'!A481)</f>
        <v>477</v>
      </c>
      <c r="B481" s="19" t="str">
        <f>IF('Supplier selection'!B481="","",'Supplier selection'!B481)</f>
        <v/>
      </c>
      <c r="C481" s="19" t="str">
        <f>IF('Supplier selection'!C481="","",'Supplier selection'!C481)</f>
        <v/>
      </c>
      <c r="D481" s="19" t="str">
        <f>IF('Supplier selection'!D481="","",'Supplier selection'!D481)</f>
        <v/>
      </c>
      <c r="E481" s="19" t="str">
        <f>IF('Supplier selection'!E481="","",'Supplier selection'!E481)</f>
        <v/>
      </c>
      <c r="F481" s="19" t="str">
        <f>IF('Supplier selection'!F481="","",'Supplier selection'!F481)</f>
        <v/>
      </c>
      <c r="G481" s="19" t="str">
        <f>IF('Supplier selection'!G481="","",'Supplier selection'!G481)</f>
        <v/>
      </c>
      <c r="H481" s="19" t="str">
        <f>IF('Supplier selection'!H481="","",'Supplier selection'!H481)</f>
        <v/>
      </c>
      <c r="I481" s="19" t="str">
        <f>IF('Supplier selection'!I481="","",'Supplier selection'!I481)</f>
        <v/>
      </c>
      <c r="J481" s="19" t="str">
        <f>IF('Supplier selection'!J481="","",'Supplier selection'!J481)</f>
        <v/>
      </c>
      <c r="K481" s="19" t="str">
        <f>IF('Supplier selection'!K481="","",'Supplier selection'!K481)</f>
        <v/>
      </c>
      <c r="L481" s="19" t="str">
        <f>IF('Supplier selection'!L481="","",'Supplier selection'!L481)</f>
        <v/>
      </c>
      <c r="M481" s="19" t="str">
        <f>IF('Supplier selection'!M481="","",'Supplier selection'!M481)</f>
        <v/>
      </c>
      <c r="N481" s="19" t="str">
        <f>IF('Supplier selection'!N481="","",'Supplier selection'!N481)</f>
        <v/>
      </c>
      <c r="O481" s="19" t="str">
        <f>IF('Supplier selection'!O481="","",'Supplier selection'!O481)</f>
        <v/>
      </c>
      <c r="Q481" s="19" t="str">
        <f>HLOOKUP($Q$3,'Supplier selection'!$AW$4:'Supplier selection'!$CT$1000,$A482,FALSE)</f>
        <v/>
      </c>
      <c r="R481" s="22" t="str">
        <f t="shared" si="77"/>
        <v/>
      </c>
      <c r="S481" s="19" t="str">
        <f t="shared" si="78"/>
        <v/>
      </c>
      <c r="T481" s="22" t="str">
        <f t="shared" si="79"/>
        <v/>
      </c>
      <c r="U481" s="19" t="str">
        <f t="shared" si="80"/>
        <v/>
      </c>
      <c r="V481" s="7"/>
      <c r="Y481" s="19" t="str">
        <f>IF('Supplier selection'!AQ481="","",'Supplier selection'!AQ481)</f>
        <v/>
      </c>
      <c r="Z481" s="19" t="str">
        <f>IF('Supplier selection'!AR481="","",'Supplier selection'!AR481)</f>
        <v/>
      </c>
      <c r="AA481" s="19" t="str">
        <f t="shared" si="81"/>
        <v/>
      </c>
      <c r="AD481" s="26" t="str">
        <f>IF(AND('Supplier selection'!X481="",'Supplier selection'!AE481=""),"",IF('Supplier selection'!X481="",'Supplier selection'!AE481,'Supplier selection'!X481))</f>
        <v/>
      </c>
      <c r="AE481" s="19" t="str">
        <f t="shared" si="82"/>
        <v/>
      </c>
      <c r="AF481" s="19" t="str">
        <f t="shared" si="83"/>
        <v/>
      </c>
      <c r="AG481" s="27" t="str">
        <f>IF(AND('Supplier selection'!AB481="",'Supplier selection'!AI481=""),"",IF('Supplier selection'!AB481="",'Supplier selection'!AI481,'Supplier selection'!AB481))</f>
        <v/>
      </c>
      <c r="AH481" s="28" t="str">
        <f t="shared" si="84"/>
        <v/>
      </c>
      <c r="AI481" s="7" t="str">
        <f t="shared" si="85"/>
        <v/>
      </c>
      <c r="AJ481" s="22" t="str">
        <f t="shared" si="86"/>
        <v/>
      </c>
      <c r="AK481" s="29" t="str">
        <f t="shared" si="87"/>
        <v/>
      </c>
      <c r="AL481" s="10"/>
    </row>
    <row r="482" spans="1:38">
      <c r="A482" s="19">
        <f>IF('Supplier selection'!A482="","",'Supplier selection'!A482)</f>
        <v>478</v>
      </c>
      <c r="B482" s="19" t="str">
        <f>IF('Supplier selection'!B482="","",'Supplier selection'!B482)</f>
        <v/>
      </c>
      <c r="C482" s="19" t="str">
        <f>IF('Supplier selection'!C482="","",'Supplier selection'!C482)</f>
        <v/>
      </c>
      <c r="D482" s="19" t="str">
        <f>IF('Supplier selection'!D482="","",'Supplier selection'!D482)</f>
        <v/>
      </c>
      <c r="E482" s="19" t="str">
        <f>IF('Supplier selection'!E482="","",'Supplier selection'!E482)</f>
        <v/>
      </c>
      <c r="F482" s="19" t="str">
        <f>IF('Supplier selection'!F482="","",'Supplier selection'!F482)</f>
        <v/>
      </c>
      <c r="G482" s="19" t="str">
        <f>IF('Supplier selection'!G482="","",'Supplier selection'!G482)</f>
        <v/>
      </c>
      <c r="H482" s="19" t="str">
        <f>IF('Supplier selection'!H482="","",'Supplier selection'!H482)</f>
        <v/>
      </c>
      <c r="I482" s="19" t="str">
        <f>IF('Supplier selection'!I482="","",'Supplier selection'!I482)</f>
        <v/>
      </c>
      <c r="J482" s="19" t="str">
        <f>IF('Supplier selection'!J482="","",'Supplier selection'!J482)</f>
        <v/>
      </c>
      <c r="K482" s="19" t="str">
        <f>IF('Supplier selection'!K482="","",'Supplier selection'!K482)</f>
        <v/>
      </c>
      <c r="L482" s="19" t="str">
        <f>IF('Supplier selection'!L482="","",'Supplier selection'!L482)</f>
        <v/>
      </c>
      <c r="M482" s="19" t="str">
        <f>IF('Supplier selection'!M482="","",'Supplier selection'!M482)</f>
        <v/>
      </c>
      <c r="N482" s="19" t="str">
        <f>IF('Supplier selection'!N482="","",'Supplier selection'!N482)</f>
        <v/>
      </c>
      <c r="O482" s="19" t="str">
        <f>IF('Supplier selection'!O482="","",'Supplier selection'!O482)</f>
        <v/>
      </c>
      <c r="Q482" s="19" t="str">
        <f>HLOOKUP($Q$3,'Supplier selection'!$AW$4:'Supplier selection'!$CT$1000,$A483,FALSE)</f>
        <v/>
      </c>
      <c r="R482" s="22" t="str">
        <f t="shared" si="77"/>
        <v/>
      </c>
      <c r="S482" s="19" t="str">
        <f t="shared" si="78"/>
        <v/>
      </c>
      <c r="T482" s="22" t="str">
        <f t="shared" si="79"/>
        <v/>
      </c>
      <c r="U482" s="19" t="str">
        <f t="shared" si="80"/>
        <v/>
      </c>
      <c r="V482" s="7"/>
      <c r="Y482" s="19" t="str">
        <f>IF('Supplier selection'!AQ482="","",'Supplier selection'!AQ482)</f>
        <v/>
      </c>
      <c r="Z482" s="19" t="str">
        <f>IF('Supplier selection'!AR482="","",'Supplier selection'!AR482)</f>
        <v/>
      </c>
      <c r="AA482" s="19" t="str">
        <f t="shared" si="81"/>
        <v/>
      </c>
      <c r="AD482" s="26" t="str">
        <f>IF(AND('Supplier selection'!X482="",'Supplier selection'!AE482=""),"",IF('Supplier selection'!X482="",'Supplier selection'!AE482,'Supplier selection'!X482))</f>
        <v/>
      </c>
      <c r="AE482" s="19" t="str">
        <f t="shared" si="82"/>
        <v/>
      </c>
      <c r="AF482" s="19" t="str">
        <f t="shared" si="83"/>
        <v/>
      </c>
      <c r="AG482" s="27" t="str">
        <f>IF(AND('Supplier selection'!AB482="",'Supplier selection'!AI482=""),"",IF('Supplier selection'!AB482="",'Supplier selection'!AI482,'Supplier selection'!AB482))</f>
        <v/>
      </c>
      <c r="AH482" s="28" t="str">
        <f t="shared" si="84"/>
        <v/>
      </c>
      <c r="AI482" s="7" t="str">
        <f t="shared" si="85"/>
        <v/>
      </c>
      <c r="AJ482" s="22" t="str">
        <f t="shared" si="86"/>
        <v/>
      </c>
      <c r="AK482" s="29" t="str">
        <f t="shared" si="87"/>
        <v/>
      </c>
      <c r="AL482" s="10"/>
    </row>
    <row r="483" spans="1:38">
      <c r="A483" s="19">
        <f>IF('Supplier selection'!A483="","",'Supplier selection'!A483)</f>
        <v>479</v>
      </c>
      <c r="B483" s="19" t="str">
        <f>IF('Supplier selection'!B483="","",'Supplier selection'!B483)</f>
        <v/>
      </c>
      <c r="C483" s="19" t="str">
        <f>IF('Supplier selection'!C483="","",'Supplier selection'!C483)</f>
        <v/>
      </c>
      <c r="D483" s="19" t="str">
        <f>IF('Supplier selection'!D483="","",'Supplier selection'!D483)</f>
        <v/>
      </c>
      <c r="E483" s="19" t="str">
        <f>IF('Supplier selection'!E483="","",'Supplier selection'!E483)</f>
        <v/>
      </c>
      <c r="F483" s="19" t="str">
        <f>IF('Supplier selection'!F483="","",'Supplier selection'!F483)</f>
        <v/>
      </c>
      <c r="G483" s="19" t="str">
        <f>IF('Supplier selection'!G483="","",'Supplier selection'!G483)</f>
        <v/>
      </c>
      <c r="H483" s="19" t="str">
        <f>IF('Supplier selection'!H483="","",'Supplier selection'!H483)</f>
        <v/>
      </c>
      <c r="I483" s="19" t="str">
        <f>IF('Supplier selection'!I483="","",'Supplier selection'!I483)</f>
        <v/>
      </c>
      <c r="J483" s="19" t="str">
        <f>IF('Supplier selection'!J483="","",'Supplier selection'!J483)</f>
        <v/>
      </c>
      <c r="K483" s="19" t="str">
        <f>IF('Supplier selection'!K483="","",'Supplier selection'!K483)</f>
        <v/>
      </c>
      <c r="L483" s="19" t="str">
        <f>IF('Supplier selection'!L483="","",'Supplier selection'!L483)</f>
        <v/>
      </c>
      <c r="M483" s="19" t="str">
        <f>IF('Supplier selection'!M483="","",'Supplier selection'!M483)</f>
        <v/>
      </c>
      <c r="N483" s="19" t="str">
        <f>IF('Supplier selection'!N483="","",'Supplier selection'!N483)</f>
        <v/>
      </c>
      <c r="O483" s="19" t="str">
        <f>IF('Supplier selection'!O483="","",'Supplier selection'!O483)</f>
        <v/>
      </c>
      <c r="Q483" s="19" t="str">
        <f>HLOOKUP($Q$3,'Supplier selection'!$AW$4:'Supplier selection'!$CT$1000,$A484,FALSE)</f>
        <v/>
      </c>
      <c r="R483" s="22" t="str">
        <f t="shared" si="77"/>
        <v/>
      </c>
      <c r="S483" s="19" t="str">
        <f t="shared" si="78"/>
        <v/>
      </c>
      <c r="T483" s="22" t="str">
        <f t="shared" si="79"/>
        <v/>
      </c>
      <c r="U483" s="19" t="str">
        <f t="shared" si="80"/>
        <v/>
      </c>
      <c r="V483" s="7"/>
      <c r="Y483" s="19" t="str">
        <f>IF('Supplier selection'!AQ483="","",'Supplier selection'!AQ483)</f>
        <v/>
      </c>
      <c r="Z483" s="19" t="str">
        <f>IF('Supplier selection'!AR483="","",'Supplier selection'!AR483)</f>
        <v/>
      </c>
      <c r="AA483" s="19" t="str">
        <f t="shared" si="81"/>
        <v/>
      </c>
      <c r="AD483" s="26" t="str">
        <f>IF(AND('Supplier selection'!X483="",'Supplier selection'!AE483=""),"",IF('Supplier selection'!X483="",'Supplier selection'!AE483,'Supplier selection'!X483))</f>
        <v/>
      </c>
      <c r="AE483" s="19" t="str">
        <f t="shared" si="82"/>
        <v/>
      </c>
      <c r="AF483" s="19" t="str">
        <f t="shared" si="83"/>
        <v/>
      </c>
      <c r="AG483" s="27" t="str">
        <f>IF(AND('Supplier selection'!AB483="",'Supplier selection'!AI483=""),"",IF('Supplier selection'!AB483="",'Supplier selection'!AI483,'Supplier selection'!AB483))</f>
        <v/>
      </c>
      <c r="AH483" s="28" t="str">
        <f t="shared" si="84"/>
        <v/>
      </c>
      <c r="AI483" s="7" t="str">
        <f t="shared" si="85"/>
        <v/>
      </c>
      <c r="AJ483" s="22" t="str">
        <f t="shared" si="86"/>
        <v/>
      </c>
      <c r="AK483" s="29" t="str">
        <f t="shared" si="87"/>
        <v/>
      </c>
      <c r="AL483" s="10"/>
    </row>
    <row r="484" spans="1:38">
      <c r="A484" s="19">
        <f>IF('Supplier selection'!A484="","",'Supplier selection'!A484)</f>
        <v>480</v>
      </c>
      <c r="B484" s="19" t="str">
        <f>IF('Supplier selection'!B484="","",'Supplier selection'!B484)</f>
        <v/>
      </c>
      <c r="C484" s="19" t="str">
        <f>IF('Supplier selection'!C484="","",'Supplier selection'!C484)</f>
        <v/>
      </c>
      <c r="D484" s="19" t="str">
        <f>IF('Supplier selection'!D484="","",'Supplier selection'!D484)</f>
        <v/>
      </c>
      <c r="E484" s="19" t="str">
        <f>IF('Supplier selection'!E484="","",'Supplier selection'!E484)</f>
        <v/>
      </c>
      <c r="F484" s="19" t="str">
        <f>IF('Supplier selection'!F484="","",'Supplier selection'!F484)</f>
        <v/>
      </c>
      <c r="G484" s="19" t="str">
        <f>IF('Supplier selection'!G484="","",'Supplier selection'!G484)</f>
        <v/>
      </c>
      <c r="H484" s="19" t="str">
        <f>IF('Supplier selection'!H484="","",'Supplier selection'!H484)</f>
        <v/>
      </c>
      <c r="I484" s="19" t="str">
        <f>IF('Supplier selection'!I484="","",'Supplier selection'!I484)</f>
        <v/>
      </c>
      <c r="J484" s="19" t="str">
        <f>IF('Supplier selection'!J484="","",'Supplier selection'!J484)</f>
        <v/>
      </c>
      <c r="K484" s="19" t="str">
        <f>IF('Supplier selection'!K484="","",'Supplier selection'!K484)</f>
        <v/>
      </c>
      <c r="L484" s="19" t="str">
        <f>IF('Supplier selection'!L484="","",'Supplier selection'!L484)</f>
        <v/>
      </c>
      <c r="M484" s="19" t="str">
        <f>IF('Supplier selection'!M484="","",'Supplier selection'!M484)</f>
        <v/>
      </c>
      <c r="N484" s="19" t="str">
        <f>IF('Supplier selection'!N484="","",'Supplier selection'!N484)</f>
        <v/>
      </c>
      <c r="O484" s="19" t="str">
        <f>IF('Supplier selection'!O484="","",'Supplier selection'!O484)</f>
        <v/>
      </c>
      <c r="Q484" s="19" t="str">
        <f>HLOOKUP($Q$3,'Supplier selection'!$AW$4:'Supplier selection'!$CT$1000,$A485,FALSE)</f>
        <v/>
      </c>
      <c r="R484" s="22" t="str">
        <f t="shared" si="77"/>
        <v/>
      </c>
      <c r="S484" s="19" t="str">
        <f t="shared" si="78"/>
        <v/>
      </c>
      <c r="T484" s="22" t="str">
        <f t="shared" si="79"/>
        <v/>
      </c>
      <c r="U484" s="19" t="str">
        <f t="shared" si="80"/>
        <v/>
      </c>
      <c r="V484" s="7"/>
      <c r="Y484" s="19" t="str">
        <f>IF('Supplier selection'!AQ484="","",'Supplier selection'!AQ484)</f>
        <v/>
      </c>
      <c r="Z484" s="19" t="str">
        <f>IF('Supplier selection'!AR484="","",'Supplier selection'!AR484)</f>
        <v/>
      </c>
      <c r="AA484" s="19" t="str">
        <f t="shared" si="81"/>
        <v/>
      </c>
      <c r="AD484" s="26" t="str">
        <f>IF(AND('Supplier selection'!X484="",'Supplier selection'!AE484=""),"",IF('Supplier selection'!X484="",'Supplier selection'!AE484,'Supplier selection'!X484))</f>
        <v/>
      </c>
      <c r="AE484" s="19" t="str">
        <f t="shared" si="82"/>
        <v/>
      </c>
      <c r="AF484" s="19" t="str">
        <f t="shared" si="83"/>
        <v/>
      </c>
      <c r="AG484" s="27" t="str">
        <f>IF(AND('Supplier selection'!AB484="",'Supplier selection'!AI484=""),"",IF('Supplier selection'!AB484="",'Supplier selection'!AI484,'Supplier selection'!AB484))</f>
        <v/>
      </c>
      <c r="AH484" s="28" t="str">
        <f t="shared" si="84"/>
        <v/>
      </c>
      <c r="AI484" s="7" t="str">
        <f t="shared" si="85"/>
        <v/>
      </c>
      <c r="AJ484" s="22" t="str">
        <f t="shared" si="86"/>
        <v/>
      </c>
      <c r="AK484" s="29" t="str">
        <f t="shared" si="87"/>
        <v/>
      </c>
      <c r="AL484" s="10"/>
    </row>
    <row r="485" spans="1:38">
      <c r="A485" s="19">
        <f>IF('Supplier selection'!A485="","",'Supplier selection'!A485)</f>
        <v>481</v>
      </c>
      <c r="B485" s="19" t="str">
        <f>IF('Supplier selection'!B485="","",'Supplier selection'!B485)</f>
        <v/>
      </c>
      <c r="C485" s="19" t="str">
        <f>IF('Supplier selection'!C485="","",'Supplier selection'!C485)</f>
        <v/>
      </c>
      <c r="D485" s="19" t="str">
        <f>IF('Supplier selection'!D485="","",'Supplier selection'!D485)</f>
        <v/>
      </c>
      <c r="E485" s="19" t="str">
        <f>IF('Supplier selection'!E485="","",'Supplier selection'!E485)</f>
        <v/>
      </c>
      <c r="F485" s="19" t="str">
        <f>IF('Supplier selection'!F485="","",'Supplier selection'!F485)</f>
        <v/>
      </c>
      <c r="G485" s="19" t="str">
        <f>IF('Supplier selection'!G485="","",'Supplier selection'!G485)</f>
        <v/>
      </c>
      <c r="H485" s="19" t="str">
        <f>IF('Supplier selection'!H485="","",'Supplier selection'!H485)</f>
        <v/>
      </c>
      <c r="I485" s="19" t="str">
        <f>IF('Supplier selection'!I485="","",'Supplier selection'!I485)</f>
        <v/>
      </c>
      <c r="J485" s="19" t="str">
        <f>IF('Supplier selection'!J485="","",'Supplier selection'!J485)</f>
        <v/>
      </c>
      <c r="K485" s="19" t="str">
        <f>IF('Supplier selection'!K485="","",'Supplier selection'!K485)</f>
        <v/>
      </c>
      <c r="L485" s="19" t="str">
        <f>IF('Supplier selection'!L485="","",'Supplier selection'!L485)</f>
        <v/>
      </c>
      <c r="M485" s="19" t="str">
        <f>IF('Supplier selection'!M485="","",'Supplier selection'!M485)</f>
        <v/>
      </c>
      <c r="N485" s="19" t="str">
        <f>IF('Supplier selection'!N485="","",'Supplier selection'!N485)</f>
        <v/>
      </c>
      <c r="O485" s="19" t="str">
        <f>IF('Supplier selection'!O485="","",'Supplier selection'!O485)</f>
        <v/>
      </c>
      <c r="Q485" s="19" t="str">
        <f>HLOOKUP($Q$3,'Supplier selection'!$AW$4:'Supplier selection'!$CT$1000,$A486,FALSE)</f>
        <v/>
      </c>
      <c r="R485" s="22" t="str">
        <f t="shared" si="77"/>
        <v/>
      </c>
      <c r="S485" s="19" t="str">
        <f t="shared" si="78"/>
        <v/>
      </c>
      <c r="T485" s="22" t="str">
        <f t="shared" si="79"/>
        <v/>
      </c>
      <c r="U485" s="19" t="str">
        <f t="shared" si="80"/>
        <v/>
      </c>
      <c r="V485" s="7"/>
      <c r="Y485" s="19" t="str">
        <f>IF('Supplier selection'!AQ485="","",'Supplier selection'!AQ485)</f>
        <v/>
      </c>
      <c r="Z485" s="19" t="str">
        <f>IF('Supplier selection'!AR485="","",'Supplier selection'!AR485)</f>
        <v/>
      </c>
      <c r="AA485" s="19" t="str">
        <f t="shared" si="81"/>
        <v/>
      </c>
      <c r="AD485" s="26" t="str">
        <f>IF(AND('Supplier selection'!X485="",'Supplier selection'!AE485=""),"",IF('Supplier selection'!X485="",'Supplier selection'!AE485,'Supplier selection'!X485))</f>
        <v/>
      </c>
      <c r="AE485" s="19" t="str">
        <f t="shared" si="82"/>
        <v/>
      </c>
      <c r="AF485" s="19" t="str">
        <f t="shared" si="83"/>
        <v/>
      </c>
      <c r="AG485" s="27" t="str">
        <f>IF(AND('Supplier selection'!AB485="",'Supplier selection'!AI485=""),"",IF('Supplier selection'!AB485="",'Supplier selection'!AI485,'Supplier selection'!AB485))</f>
        <v/>
      </c>
      <c r="AH485" s="28" t="str">
        <f t="shared" si="84"/>
        <v/>
      </c>
      <c r="AI485" s="7" t="str">
        <f t="shared" si="85"/>
        <v/>
      </c>
      <c r="AJ485" s="22" t="str">
        <f t="shared" si="86"/>
        <v/>
      </c>
      <c r="AK485" s="29" t="str">
        <f t="shared" si="87"/>
        <v/>
      </c>
      <c r="AL485" s="10"/>
    </row>
    <row r="486" spans="1:38">
      <c r="A486" s="19">
        <f>IF('Supplier selection'!A486="","",'Supplier selection'!A486)</f>
        <v>482</v>
      </c>
      <c r="B486" s="19" t="str">
        <f>IF('Supplier selection'!B486="","",'Supplier selection'!B486)</f>
        <v/>
      </c>
      <c r="C486" s="19" t="str">
        <f>IF('Supplier selection'!C486="","",'Supplier selection'!C486)</f>
        <v/>
      </c>
      <c r="D486" s="19" t="str">
        <f>IF('Supplier selection'!D486="","",'Supplier selection'!D486)</f>
        <v/>
      </c>
      <c r="E486" s="19" t="str">
        <f>IF('Supplier selection'!E486="","",'Supplier selection'!E486)</f>
        <v/>
      </c>
      <c r="F486" s="19" t="str">
        <f>IF('Supplier selection'!F486="","",'Supplier selection'!F486)</f>
        <v/>
      </c>
      <c r="G486" s="19" t="str">
        <f>IF('Supplier selection'!G486="","",'Supplier selection'!G486)</f>
        <v/>
      </c>
      <c r="H486" s="19" t="str">
        <f>IF('Supplier selection'!H486="","",'Supplier selection'!H486)</f>
        <v/>
      </c>
      <c r="I486" s="19" t="str">
        <f>IF('Supplier selection'!I486="","",'Supplier selection'!I486)</f>
        <v/>
      </c>
      <c r="J486" s="19" t="str">
        <f>IF('Supplier selection'!J486="","",'Supplier selection'!J486)</f>
        <v/>
      </c>
      <c r="K486" s="19" t="str">
        <f>IF('Supplier selection'!K486="","",'Supplier selection'!K486)</f>
        <v/>
      </c>
      <c r="L486" s="19" t="str">
        <f>IF('Supplier selection'!L486="","",'Supplier selection'!L486)</f>
        <v/>
      </c>
      <c r="M486" s="19" t="str">
        <f>IF('Supplier selection'!M486="","",'Supplier selection'!M486)</f>
        <v/>
      </c>
      <c r="N486" s="19" t="str">
        <f>IF('Supplier selection'!N486="","",'Supplier selection'!N486)</f>
        <v/>
      </c>
      <c r="O486" s="19" t="str">
        <f>IF('Supplier selection'!O486="","",'Supplier selection'!O486)</f>
        <v/>
      </c>
      <c r="Q486" s="19" t="str">
        <f>HLOOKUP($Q$3,'Supplier selection'!$AW$4:'Supplier selection'!$CT$1000,$A487,FALSE)</f>
        <v/>
      </c>
      <c r="R486" s="22" t="str">
        <f t="shared" si="77"/>
        <v/>
      </c>
      <c r="S486" s="19" t="str">
        <f t="shared" si="78"/>
        <v/>
      </c>
      <c r="T486" s="22" t="str">
        <f t="shared" si="79"/>
        <v/>
      </c>
      <c r="U486" s="19" t="str">
        <f t="shared" si="80"/>
        <v/>
      </c>
      <c r="V486" s="7"/>
      <c r="Y486" s="19" t="str">
        <f>IF('Supplier selection'!AQ486="","",'Supplier selection'!AQ486)</f>
        <v/>
      </c>
      <c r="Z486" s="19" t="str">
        <f>IF('Supplier selection'!AR486="","",'Supplier selection'!AR486)</f>
        <v/>
      </c>
      <c r="AA486" s="19" t="str">
        <f t="shared" si="81"/>
        <v/>
      </c>
      <c r="AD486" s="26" t="str">
        <f>IF(AND('Supplier selection'!X486="",'Supplier selection'!AE486=""),"",IF('Supplier selection'!X486="",'Supplier selection'!AE486,'Supplier selection'!X486))</f>
        <v/>
      </c>
      <c r="AE486" s="19" t="str">
        <f t="shared" si="82"/>
        <v/>
      </c>
      <c r="AF486" s="19" t="str">
        <f t="shared" si="83"/>
        <v/>
      </c>
      <c r="AG486" s="27" t="str">
        <f>IF(AND('Supplier selection'!AB486="",'Supplier selection'!AI486=""),"",IF('Supplier selection'!AB486="",'Supplier selection'!AI486,'Supplier selection'!AB486))</f>
        <v/>
      </c>
      <c r="AH486" s="28" t="str">
        <f t="shared" si="84"/>
        <v/>
      </c>
      <c r="AI486" s="7" t="str">
        <f t="shared" si="85"/>
        <v/>
      </c>
      <c r="AJ486" s="22" t="str">
        <f t="shared" si="86"/>
        <v/>
      </c>
      <c r="AK486" s="29" t="str">
        <f t="shared" si="87"/>
        <v/>
      </c>
      <c r="AL486" s="10"/>
    </row>
    <row r="487" spans="1:38">
      <c r="A487" s="19">
        <f>IF('Supplier selection'!A487="","",'Supplier selection'!A487)</f>
        <v>483</v>
      </c>
      <c r="B487" s="19" t="str">
        <f>IF('Supplier selection'!B487="","",'Supplier selection'!B487)</f>
        <v/>
      </c>
      <c r="C487" s="19" t="str">
        <f>IF('Supplier selection'!C487="","",'Supplier selection'!C487)</f>
        <v/>
      </c>
      <c r="D487" s="19" t="str">
        <f>IF('Supplier selection'!D487="","",'Supplier selection'!D487)</f>
        <v/>
      </c>
      <c r="E487" s="19" t="str">
        <f>IF('Supplier selection'!E487="","",'Supplier selection'!E487)</f>
        <v/>
      </c>
      <c r="F487" s="19" t="str">
        <f>IF('Supplier selection'!F487="","",'Supplier selection'!F487)</f>
        <v/>
      </c>
      <c r="G487" s="19" t="str">
        <f>IF('Supplier selection'!G487="","",'Supplier selection'!G487)</f>
        <v/>
      </c>
      <c r="H487" s="19" t="str">
        <f>IF('Supplier selection'!H487="","",'Supplier selection'!H487)</f>
        <v/>
      </c>
      <c r="I487" s="19" t="str">
        <f>IF('Supplier selection'!I487="","",'Supplier selection'!I487)</f>
        <v/>
      </c>
      <c r="J487" s="19" t="str">
        <f>IF('Supplier selection'!J487="","",'Supplier selection'!J487)</f>
        <v/>
      </c>
      <c r="K487" s="19" t="str">
        <f>IF('Supplier selection'!K487="","",'Supplier selection'!K487)</f>
        <v/>
      </c>
      <c r="L487" s="19" t="str">
        <f>IF('Supplier selection'!L487="","",'Supplier selection'!L487)</f>
        <v/>
      </c>
      <c r="M487" s="19" t="str">
        <f>IF('Supplier selection'!M487="","",'Supplier selection'!M487)</f>
        <v/>
      </c>
      <c r="N487" s="19" t="str">
        <f>IF('Supplier selection'!N487="","",'Supplier selection'!N487)</f>
        <v/>
      </c>
      <c r="O487" s="19" t="str">
        <f>IF('Supplier selection'!O487="","",'Supplier selection'!O487)</f>
        <v/>
      </c>
      <c r="Q487" s="19" t="str">
        <f>HLOOKUP($Q$3,'Supplier selection'!$AW$4:'Supplier selection'!$CT$1000,$A488,FALSE)</f>
        <v/>
      </c>
      <c r="R487" s="22" t="str">
        <f t="shared" si="77"/>
        <v/>
      </c>
      <c r="S487" s="19" t="str">
        <f t="shared" si="78"/>
        <v/>
      </c>
      <c r="T487" s="22" t="str">
        <f t="shared" si="79"/>
        <v/>
      </c>
      <c r="U487" s="19" t="str">
        <f t="shared" si="80"/>
        <v/>
      </c>
      <c r="V487" s="7"/>
      <c r="Y487" s="19" t="str">
        <f>IF('Supplier selection'!AQ487="","",'Supplier selection'!AQ487)</f>
        <v/>
      </c>
      <c r="Z487" s="19" t="str">
        <f>IF('Supplier selection'!AR487="","",'Supplier selection'!AR487)</f>
        <v/>
      </c>
      <c r="AA487" s="19" t="str">
        <f t="shared" si="81"/>
        <v/>
      </c>
      <c r="AD487" s="26" t="str">
        <f>IF(AND('Supplier selection'!X487="",'Supplier selection'!AE487=""),"",IF('Supplier selection'!X487="",'Supplier selection'!AE487,'Supplier selection'!X487))</f>
        <v/>
      </c>
      <c r="AE487" s="19" t="str">
        <f t="shared" si="82"/>
        <v/>
      </c>
      <c r="AF487" s="19" t="str">
        <f t="shared" si="83"/>
        <v/>
      </c>
      <c r="AG487" s="27" t="str">
        <f>IF(AND('Supplier selection'!AB487="",'Supplier selection'!AI487=""),"",IF('Supplier selection'!AB487="",'Supplier selection'!AI487,'Supplier selection'!AB487))</f>
        <v/>
      </c>
      <c r="AH487" s="28" t="str">
        <f t="shared" si="84"/>
        <v/>
      </c>
      <c r="AI487" s="7" t="str">
        <f t="shared" si="85"/>
        <v/>
      </c>
      <c r="AJ487" s="22" t="str">
        <f t="shared" si="86"/>
        <v/>
      </c>
      <c r="AK487" s="29" t="str">
        <f t="shared" si="87"/>
        <v/>
      </c>
      <c r="AL487" s="10"/>
    </row>
    <row r="488" spans="1:38">
      <c r="A488" s="19">
        <f>IF('Supplier selection'!A488="","",'Supplier selection'!A488)</f>
        <v>484</v>
      </c>
      <c r="B488" s="19" t="str">
        <f>IF('Supplier selection'!B488="","",'Supplier selection'!B488)</f>
        <v/>
      </c>
      <c r="C488" s="19" t="str">
        <f>IF('Supplier selection'!C488="","",'Supplier selection'!C488)</f>
        <v/>
      </c>
      <c r="D488" s="19" t="str">
        <f>IF('Supplier selection'!D488="","",'Supplier selection'!D488)</f>
        <v/>
      </c>
      <c r="E488" s="19" t="str">
        <f>IF('Supplier selection'!E488="","",'Supplier selection'!E488)</f>
        <v/>
      </c>
      <c r="F488" s="19" t="str">
        <f>IF('Supplier selection'!F488="","",'Supplier selection'!F488)</f>
        <v/>
      </c>
      <c r="G488" s="19" t="str">
        <f>IF('Supplier selection'!G488="","",'Supplier selection'!G488)</f>
        <v/>
      </c>
      <c r="H488" s="19" t="str">
        <f>IF('Supplier selection'!H488="","",'Supplier selection'!H488)</f>
        <v/>
      </c>
      <c r="I488" s="19" t="str">
        <f>IF('Supplier selection'!I488="","",'Supplier selection'!I488)</f>
        <v/>
      </c>
      <c r="J488" s="19" t="str">
        <f>IF('Supplier selection'!J488="","",'Supplier selection'!J488)</f>
        <v/>
      </c>
      <c r="K488" s="19" t="str">
        <f>IF('Supplier selection'!K488="","",'Supplier selection'!K488)</f>
        <v/>
      </c>
      <c r="L488" s="19" t="str">
        <f>IF('Supplier selection'!L488="","",'Supplier selection'!L488)</f>
        <v/>
      </c>
      <c r="M488" s="19" t="str">
        <f>IF('Supplier selection'!M488="","",'Supplier selection'!M488)</f>
        <v/>
      </c>
      <c r="N488" s="19" t="str">
        <f>IF('Supplier selection'!N488="","",'Supplier selection'!N488)</f>
        <v/>
      </c>
      <c r="O488" s="19" t="str">
        <f>IF('Supplier selection'!O488="","",'Supplier selection'!O488)</f>
        <v/>
      </c>
      <c r="Q488" s="19" t="str">
        <f>HLOOKUP($Q$3,'Supplier selection'!$AW$4:'Supplier selection'!$CT$1000,$A489,FALSE)</f>
        <v/>
      </c>
      <c r="R488" s="22" t="str">
        <f t="shared" si="77"/>
        <v/>
      </c>
      <c r="S488" s="19" t="str">
        <f t="shared" si="78"/>
        <v/>
      </c>
      <c r="T488" s="22" t="str">
        <f t="shared" si="79"/>
        <v/>
      </c>
      <c r="U488" s="19" t="str">
        <f t="shared" si="80"/>
        <v/>
      </c>
      <c r="V488" s="7"/>
      <c r="Y488" s="19" t="str">
        <f>IF('Supplier selection'!AQ488="","",'Supplier selection'!AQ488)</f>
        <v/>
      </c>
      <c r="Z488" s="19" t="str">
        <f>IF('Supplier selection'!AR488="","",'Supplier selection'!AR488)</f>
        <v/>
      </c>
      <c r="AA488" s="19" t="str">
        <f t="shared" si="81"/>
        <v/>
      </c>
      <c r="AD488" s="26" t="str">
        <f>IF(AND('Supplier selection'!X488="",'Supplier selection'!AE488=""),"",IF('Supplier selection'!X488="",'Supplier selection'!AE488,'Supplier selection'!X488))</f>
        <v/>
      </c>
      <c r="AE488" s="19" t="str">
        <f t="shared" si="82"/>
        <v/>
      </c>
      <c r="AF488" s="19" t="str">
        <f t="shared" si="83"/>
        <v/>
      </c>
      <c r="AG488" s="27" t="str">
        <f>IF(AND('Supplier selection'!AB488="",'Supplier selection'!AI488=""),"",IF('Supplier selection'!AB488="",'Supplier selection'!AI488,'Supplier selection'!AB488))</f>
        <v/>
      </c>
      <c r="AH488" s="28" t="str">
        <f t="shared" si="84"/>
        <v/>
      </c>
      <c r="AI488" s="7" t="str">
        <f t="shared" si="85"/>
        <v/>
      </c>
      <c r="AJ488" s="22" t="str">
        <f t="shared" si="86"/>
        <v/>
      </c>
      <c r="AK488" s="29" t="str">
        <f t="shared" si="87"/>
        <v/>
      </c>
      <c r="AL488" s="10"/>
    </row>
    <row r="489" spans="1:38">
      <c r="A489" s="19">
        <f>IF('Supplier selection'!A489="","",'Supplier selection'!A489)</f>
        <v>485</v>
      </c>
      <c r="B489" s="19" t="str">
        <f>IF('Supplier selection'!B489="","",'Supplier selection'!B489)</f>
        <v/>
      </c>
      <c r="C489" s="19" t="str">
        <f>IF('Supplier selection'!C489="","",'Supplier selection'!C489)</f>
        <v/>
      </c>
      <c r="D489" s="19" t="str">
        <f>IF('Supplier selection'!D489="","",'Supplier selection'!D489)</f>
        <v/>
      </c>
      <c r="E489" s="19" t="str">
        <f>IF('Supplier selection'!E489="","",'Supplier selection'!E489)</f>
        <v/>
      </c>
      <c r="F489" s="19" t="str">
        <f>IF('Supplier selection'!F489="","",'Supplier selection'!F489)</f>
        <v/>
      </c>
      <c r="G489" s="19" t="str">
        <f>IF('Supplier selection'!G489="","",'Supplier selection'!G489)</f>
        <v/>
      </c>
      <c r="H489" s="19" t="str">
        <f>IF('Supplier selection'!H489="","",'Supplier selection'!H489)</f>
        <v/>
      </c>
      <c r="I489" s="19" t="str">
        <f>IF('Supplier selection'!I489="","",'Supplier selection'!I489)</f>
        <v/>
      </c>
      <c r="J489" s="19" t="str">
        <f>IF('Supplier selection'!J489="","",'Supplier selection'!J489)</f>
        <v/>
      </c>
      <c r="K489" s="19" t="str">
        <f>IF('Supplier selection'!K489="","",'Supplier selection'!K489)</f>
        <v/>
      </c>
      <c r="L489" s="19" t="str">
        <f>IF('Supplier selection'!L489="","",'Supplier selection'!L489)</f>
        <v/>
      </c>
      <c r="M489" s="19" t="str">
        <f>IF('Supplier selection'!M489="","",'Supplier selection'!M489)</f>
        <v/>
      </c>
      <c r="N489" s="19" t="str">
        <f>IF('Supplier selection'!N489="","",'Supplier selection'!N489)</f>
        <v/>
      </c>
      <c r="O489" s="19" t="str">
        <f>IF('Supplier selection'!O489="","",'Supplier selection'!O489)</f>
        <v/>
      </c>
      <c r="Q489" s="19" t="str">
        <f>HLOOKUP($Q$3,'Supplier selection'!$AW$4:'Supplier selection'!$CT$1000,$A490,FALSE)</f>
        <v/>
      </c>
      <c r="R489" s="22" t="str">
        <f t="shared" si="77"/>
        <v/>
      </c>
      <c r="S489" s="19" t="str">
        <f t="shared" si="78"/>
        <v/>
      </c>
      <c r="T489" s="22" t="str">
        <f t="shared" si="79"/>
        <v/>
      </c>
      <c r="U489" s="19" t="str">
        <f t="shared" si="80"/>
        <v/>
      </c>
      <c r="V489" s="7"/>
      <c r="Y489" s="19" t="str">
        <f>IF('Supplier selection'!AQ489="","",'Supplier selection'!AQ489)</f>
        <v/>
      </c>
      <c r="Z489" s="19" t="str">
        <f>IF('Supplier selection'!AR489="","",'Supplier selection'!AR489)</f>
        <v/>
      </c>
      <c r="AA489" s="19" t="str">
        <f t="shared" si="81"/>
        <v/>
      </c>
      <c r="AD489" s="26" t="str">
        <f>IF(AND('Supplier selection'!X489="",'Supplier selection'!AE489=""),"",IF('Supplier selection'!X489="",'Supplier selection'!AE489,'Supplier selection'!X489))</f>
        <v/>
      </c>
      <c r="AE489" s="19" t="str">
        <f t="shared" si="82"/>
        <v/>
      </c>
      <c r="AF489" s="19" t="str">
        <f t="shared" si="83"/>
        <v/>
      </c>
      <c r="AG489" s="27" t="str">
        <f>IF(AND('Supplier selection'!AB489="",'Supplier selection'!AI489=""),"",IF('Supplier selection'!AB489="",'Supplier selection'!AI489,'Supplier selection'!AB489))</f>
        <v/>
      </c>
      <c r="AH489" s="28" t="str">
        <f t="shared" si="84"/>
        <v/>
      </c>
      <c r="AI489" s="7" t="str">
        <f t="shared" si="85"/>
        <v/>
      </c>
      <c r="AJ489" s="22" t="str">
        <f t="shared" si="86"/>
        <v/>
      </c>
      <c r="AK489" s="29" t="str">
        <f t="shared" si="87"/>
        <v/>
      </c>
      <c r="AL489" s="10"/>
    </row>
    <row r="490" spans="1:38">
      <c r="A490" s="19">
        <f>IF('Supplier selection'!A490="","",'Supplier selection'!A490)</f>
        <v>486</v>
      </c>
      <c r="B490" s="19" t="str">
        <f>IF('Supplier selection'!B490="","",'Supplier selection'!B490)</f>
        <v/>
      </c>
      <c r="C490" s="19" t="str">
        <f>IF('Supplier selection'!C490="","",'Supplier selection'!C490)</f>
        <v/>
      </c>
      <c r="D490" s="19" t="str">
        <f>IF('Supplier selection'!D490="","",'Supplier selection'!D490)</f>
        <v/>
      </c>
      <c r="E490" s="19" t="str">
        <f>IF('Supplier selection'!E490="","",'Supplier selection'!E490)</f>
        <v/>
      </c>
      <c r="F490" s="19" t="str">
        <f>IF('Supplier selection'!F490="","",'Supplier selection'!F490)</f>
        <v/>
      </c>
      <c r="G490" s="19" t="str">
        <f>IF('Supplier selection'!G490="","",'Supplier selection'!G490)</f>
        <v/>
      </c>
      <c r="H490" s="19" t="str">
        <f>IF('Supplier selection'!H490="","",'Supplier selection'!H490)</f>
        <v/>
      </c>
      <c r="I490" s="19" t="str">
        <f>IF('Supplier selection'!I490="","",'Supplier selection'!I490)</f>
        <v/>
      </c>
      <c r="J490" s="19" t="str">
        <f>IF('Supplier selection'!J490="","",'Supplier selection'!J490)</f>
        <v/>
      </c>
      <c r="K490" s="19" t="str">
        <f>IF('Supplier selection'!K490="","",'Supplier selection'!K490)</f>
        <v/>
      </c>
      <c r="L490" s="19" t="str">
        <f>IF('Supplier selection'!L490="","",'Supplier selection'!L490)</f>
        <v/>
      </c>
      <c r="M490" s="19" t="str">
        <f>IF('Supplier selection'!M490="","",'Supplier selection'!M490)</f>
        <v/>
      </c>
      <c r="N490" s="19" t="str">
        <f>IF('Supplier selection'!N490="","",'Supplier selection'!N490)</f>
        <v/>
      </c>
      <c r="O490" s="19" t="str">
        <f>IF('Supplier selection'!O490="","",'Supplier selection'!O490)</f>
        <v/>
      </c>
      <c r="Q490" s="19" t="str">
        <f>HLOOKUP($Q$3,'Supplier selection'!$AW$4:'Supplier selection'!$CT$1000,$A491,FALSE)</f>
        <v/>
      </c>
      <c r="R490" s="22" t="str">
        <f t="shared" si="77"/>
        <v/>
      </c>
      <c r="S490" s="19" t="str">
        <f t="shared" si="78"/>
        <v/>
      </c>
      <c r="T490" s="22" t="str">
        <f t="shared" si="79"/>
        <v/>
      </c>
      <c r="U490" s="19" t="str">
        <f t="shared" si="80"/>
        <v/>
      </c>
      <c r="V490" s="7"/>
      <c r="Y490" s="19" t="str">
        <f>IF('Supplier selection'!AQ490="","",'Supplier selection'!AQ490)</f>
        <v/>
      </c>
      <c r="Z490" s="19" t="str">
        <f>IF('Supplier selection'!AR490="","",'Supplier selection'!AR490)</f>
        <v/>
      </c>
      <c r="AA490" s="19" t="str">
        <f t="shared" si="81"/>
        <v/>
      </c>
      <c r="AD490" s="26" t="str">
        <f>IF(AND('Supplier selection'!X490="",'Supplier selection'!AE490=""),"",IF('Supplier selection'!X490="",'Supplier selection'!AE490,'Supplier selection'!X490))</f>
        <v/>
      </c>
      <c r="AE490" s="19" t="str">
        <f t="shared" si="82"/>
        <v/>
      </c>
      <c r="AF490" s="19" t="str">
        <f t="shared" si="83"/>
        <v/>
      </c>
      <c r="AG490" s="27" t="str">
        <f>IF(AND('Supplier selection'!AB490="",'Supplier selection'!AI490=""),"",IF('Supplier selection'!AB490="",'Supplier selection'!AI490,'Supplier selection'!AB490))</f>
        <v/>
      </c>
      <c r="AH490" s="28" t="str">
        <f t="shared" si="84"/>
        <v/>
      </c>
      <c r="AI490" s="7" t="str">
        <f t="shared" si="85"/>
        <v/>
      </c>
      <c r="AJ490" s="22" t="str">
        <f t="shared" si="86"/>
        <v/>
      </c>
      <c r="AK490" s="29" t="str">
        <f t="shared" si="87"/>
        <v/>
      </c>
      <c r="AL490" s="10"/>
    </row>
    <row r="491" spans="1:38">
      <c r="A491" s="19">
        <f>IF('Supplier selection'!A491="","",'Supplier selection'!A491)</f>
        <v>487</v>
      </c>
      <c r="B491" s="19" t="str">
        <f>IF('Supplier selection'!B491="","",'Supplier selection'!B491)</f>
        <v/>
      </c>
      <c r="C491" s="19" t="str">
        <f>IF('Supplier selection'!C491="","",'Supplier selection'!C491)</f>
        <v/>
      </c>
      <c r="D491" s="19" t="str">
        <f>IF('Supplier selection'!D491="","",'Supplier selection'!D491)</f>
        <v/>
      </c>
      <c r="E491" s="19" t="str">
        <f>IF('Supplier selection'!E491="","",'Supplier selection'!E491)</f>
        <v/>
      </c>
      <c r="F491" s="19" t="str">
        <f>IF('Supplier selection'!F491="","",'Supplier selection'!F491)</f>
        <v/>
      </c>
      <c r="G491" s="19" t="str">
        <f>IF('Supplier selection'!G491="","",'Supplier selection'!G491)</f>
        <v/>
      </c>
      <c r="H491" s="19" t="str">
        <f>IF('Supplier selection'!H491="","",'Supplier selection'!H491)</f>
        <v/>
      </c>
      <c r="I491" s="19" t="str">
        <f>IF('Supplier selection'!I491="","",'Supplier selection'!I491)</f>
        <v/>
      </c>
      <c r="J491" s="19" t="str">
        <f>IF('Supplier selection'!J491="","",'Supplier selection'!J491)</f>
        <v/>
      </c>
      <c r="K491" s="19" t="str">
        <f>IF('Supplier selection'!K491="","",'Supplier selection'!K491)</f>
        <v/>
      </c>
      <c r="L491" s="19" t="str">
        <f>IF('Supplier selection'!L491="","",'Supplier selection'!L491)</f>
        <v/>
      </c>
      <c r="M491" s="19" t="str">
        <f>IF('Supplier selection'!M491="","",'Supplier selection'!M491)</f>
        <v/>
      </c>
      <c r="N491" s="19" t="str">
        <f>IF('Supplier selection'!N491="","",'Supplier selection'!N491)</f>
        <v/>
      </c>
      <c r="O491" s="19" t="str">
        <f>IF('Supplier selection'!O491="","",'Supplier selection'!O491)</f>
        <v/>
      </c>
      <c r="Q491" s="19" t="str">
        <f>HLOOKUP($Q$3,'Supplier selection'!$AW$4:'Supplier selection'!$CT$1000,$A492,FALSE)</f>
        <v/>
      </c>
      <c r="R491" s="22" t="str">
        <f t="shared" si="77"/>
        <v/>
      </c>
      <c r="S491" s="19" t="str">
        <f t="shared" si="78"/>
        <v/>
      </c>
      <c r="T491" s="22" t="str">
        <f t="shared" si="79"/>
        <v/>
      </c>
      <c r="U491" s="19" t="str">
        <f t="shared" si="80"/>
        <v/>
      </c>
      <c r="V491" s="7"/>
      <c r="Y491" s="19" t="str">
        <f>IF('Supplier selection'!AQ491="","",'Supplier selection'!AQ491)</f>
        <v/>
      </c>
      <c r="Z491" s="19" t="str">
        <f>IF('Supplier selection'!AR491="","",'Supplier selection'!AR491)</f>
        <v/>
      </c>
      <c r="AA491" s="19" t="str">
        <f t="shared" si="81"/>
        <v/>
      </c>
      <c r="AD491" s="26" t="str">
        <f>IF(AND('Supplier selection'!X491="",'Supplier selection'!AE491=""),"",IF('Supplier selection'!X491="",'Supplier selection'!AE491,'Supplier selection'!X491))</f>
        <v/>
      </c>
      <c r="AE491" s="19" t="str">
        <f t="shared" si="82"/>
        <v/>
      </c>
      <c r="AF491" s="19" t="str">
        <f t="shared" si="83"/>
        <v/>
      </c>
      <c r="AG491" s="27" t="str">
        <f>IF(AND('Supplier selection'!AB491="",'Supplier selection'!AI491=""),"",IF('Supplier selection'!AB491="",'Supplier selection'!AI491,'Supplier selection'!AB491))</f>
        <v/>
      </c>
      <c r="AH491" s="28" t="str">
        <f t="shared" si="84"/>
        <v/>
      </c>
      <c r="AI491" s="7" t="str">
        <f t="shared" si="85"/>
        <v/>
      </c>
      <c r="AJ491" s="22" t="str">
        <f t="shared" si="86"/>
        <v/>
      </c>
      <c r="AK491" s="29" t="str">
        <f t="shared" si="87"/>
        <v/>
      </c>
      <c r="AL491" s="10"/>
    </row>
    <row r="492" spans="1:38">
      <c r="A492" s="19">
        <f>IF('Supplier selection'!A492="","",'Supplier selection'!A492)</f>
        <v>488</v>
      </c>
      <c r="B492" s="19" t="str">
        <f>IF('Supplier selection'!B492="","",'Supplier selection'!B492)</f>
        <v/>
      </c>
      <c r="C492" s="19" t="str">
        <f>IF('Supplier selection'!C492="","",'Supplier selection'!C492)</f>
        <v/>
      </c>
      <c r="D492" s="19" t="str">
        <f>IF('Supplier selection'!D492="","",'Supplier selection'!D492)</f>
        <v/>
      </c>
      <c r="E492" s="19" t="str">
        <f>IF('Supplier selection'!E492="","",'Supplier selection'!E492)</f>
        <v/>
      </c>
      <c r="F492" s="19" t="str">
        <f>IF('Supplier selection'!F492="","",'Supplier selection'!F492)</f>
        <v/>
      </c>
      <c r="G492" s="19" t="str">
        <f>IF('Supplier selection'!G492="","",'Supplier selection'!G492)</f>
        <v/>
      </c>
      <c r="H492" s="19" t="str">
        <f>IF('Supplier selection'!H492="","",'Supplier selection'!H492)</f>
        <v/>
      </c>
      <c r="I492" s="19" t="str">
        <f>IF('Supplier selection'!I492="","",'Supplier selection'!I492)</f>
        <v/>
      </c>
      <c r="J492" s="19" t="str">
        <f>IF('Supplier selection'!J492="","",'Supplier selection'!J492)</f>
        <v/>
      </c>
      <c r="K492" s="19" t="str">
        <f>IF('Supplier selection'!K492="","",'Supplier selection'!K492)</f>
        <v/>
      </c>
      <c r="L492" s="19" t="str">
        <f>IF('Supplier selection'!L492="","",'Supplier selection'!L492)</f>
        <v/>
      </c>
      <c r="M492" s="19" t="str">
        <f>IF('Supplier selection'!M492="","",'Supplier selection'!M492)</f>
        <v/>
      </c>
      <c r="N492" s="19" t="str">
        <f>IF('Supplier selection'!N492="","",'Supplier selection'!N492)</f>
        <v/>
      </c>
      <c r="O492" s="19" t="str">
        <f>IF('Supplier selection'!O492="","",'Supplier selection'!O492)</f>
        <v/>
      </c>
      <c r="Q492" s="19" t="str">
        <f>HLOOKUP($Q$3,'Supplier selection'!$AW$4:'Supplier selection'!$CT$1000,$A493,FALSE)</f>
        <v/>
      </c>
      <c r="R492" s="22" t="str">
        <f t="shared" si="77"/>
        <v/>
      </c>
      <c r="S492" s="19" t="str">
        <f t="shared" si="78"/>
        <v/>
      </c>
      <c r="T492" s="22" t="str">
        <f t="shared" si="79"/>
        <v/>
      </c>
      <c r="U492" s="19" t="str">
        <f t="shared" si="80"/>
        <v/>
      </c>
      <c r="V492" s="7"/>
      <c r="Y492" s="19" t="str">
        <f>IF('Supplier selection'!AQ492="","",'Supplier selection'!AQ492)</f>
        <v/>
      </c>
      <c r="Z492" s="19" t="str">
        <f>IF('Supplier selection'!AR492="","",'Supplier selection'!AR492)</f>
        <v/>
      </c>
      <c r="AA492" s="19" t="str">
        <f t="shared" si="81"/>
        <v/>
      </c>
      <c r="AD492" s="26" t="str">
        <f>IF(AND('Supplier selection'!X492="",'Supplier selection'!AE492=""),"",IF('Supplier selection'!X492="",'Supplier selection'!AE492,'Supplier selection'!X492))</f>
        <v/>
      </c>
      <c r="AE492" s="19" t="str">
        <f t="shared" si="82"/>
        <v/>
      </c>
      <c r="AF492" s="19" t="str">
        <f t="shared" si="83"/>
        <v/>
      </c>
      <c r="AG492" s="27" t="str">
        <f>IF(AND('Supplier selection'!AB492="",'Supplier selection'!AI492=""),"",IF('Supplier selection'!AB492="",'Supplier selection'!AI492,'Supplier selection'!AB492))</f>
        <v/>
      </c>
      <c r="AH492" s="28" t="str">
        <f t="shared" si="84"/>
        <v/>
      </c>
      <c r="AI492" s="7" t="str">
        <f t="shared" si="85"/>
        <v/>
      </c>
      <c r="AJ492" s="22" t="str">
        <f t="shared" si="86"/>
        <v/>
      </c>
      <c r="AK492" s="29" t="str">
        <f t="shared" si="87"/>
        <v/>
      </c>
      <c r="AL492" s="10"/>
    </row>
    <row r="493" spans="1:38">
      <c r="A493" s="19">
        <f>IF('Supplier selection'!A493="","",'Supplier selection'!A493)</f>
        <v>489</v>
      </c>
      <c r="B493" s="19" t="str">
        <f>IF('Supplier selection'!B493="","",'Supplier selection'!B493)</f>
        <v/>
      </c>
      <c r="C493" s="19" t="str">
        <f>IF('Supplier selection'!C493="","",'Supplier selection'!C493)</f>
        <v/>
      </c>
      <c r="D493" s="19" t="str">
        <f>IF('Supplier selection'!D493="","",'Supplier selection'!D493)</f>
        <v/>
      </c>
      <c r="E493" s="19" t="str">
        <f>IF('Supplier selection'!E493="","",'Supplier selection'!E493)</f>
        <v/>
      </c>
      <c r="F493" s="19" t="str">
        <f>IF('Supplier selection'!F493="","",'Supplier selection'!F493)</f>
        <v/>
      </c>
      <c r="G493" s="19" t="str">
        <f>IF('Supplier selection'!G493="","",'Supplier selection'!G493)</f>
        <v/>
      </c>
      <c r="H493" s="19" t="str">
        <f>IF('Supplier selection'!H493="","",'Supplier selection'!H493)</f>
        <v/>
      </c>
      <c r="I493" s="19" t="str">
        <f>IF('Supplier selection'!I493="","",'Supplier selection'!I493)</f>
        <v/>
      </c>
      <c r="J493" s="19" t="str">
        <f>IF('Supplier selection'!J493="","",'Supplier selection'!J493)</f>
        <v/>
      </c>
      <c r="K493" s="19" t="str">
        <f>IF('Supplier selection'!K493="","",'Supplier selection'!K493)</f>
        <v/>
      </c>
      <c r="L493" s="19" t="str">
        <f>IF('Supplier selection'!L493="","",'Supplier selection'!L493)</f>
        <v/>
      </c>
      <c r="M493" s="19" t="str">
        <f>IF('Supplier selection'!M493="","",'Supplier selection'!M493)</f>
        <v/>
      </c>
      <c r="N493" s="19" t="str">
        <f>IF('Supplier selection'!N493="","",'Supplier selection'!N493)</f>
        <v/>
      </c>
      <c r="O493" s="19" t="str">
        <f>IF('Supplier selection'!O493="","",'Supplier selection'!O493)</f>
        <v/>
      </c>
      <c r="Q493" s="19" t="str">
        <f>HLOOKUP($Q$3,'Supplier selection'!$AW$4:'Supplier selection'!$CT$1000,$A494,FALSE)</f>
        <v/>
      </c>
      <c r="R493" s="22" t="str">
        <f t="shared" si="77"/>
        <v/>
      </c>
      <c r="S493" s="19" t="str">
        <f t="shared" si="78"/>
        <v/>
      </c>
      <c r="T493" s="22" t="str">
        <f t="shared" si="79"/>
        <v/>
      </c>
      <c r="U493" s="19" t="str">
        <f t="shared" si="80"/>
        <v/>
      </c>
      <c r="V493" s="7"/>
      <c r="Y493" s="19" t="str">
        <f>IF('Supplier selection'!AQ493="","",'Supplier selection'!AQ493)</f>
        <v/>
      </c>
      <c r="Z493" s="19" t="str">
        <f>IF('Supplier selection'!AR493="","",'Supplier selection'!AR493)</f>
        <v/>
      </c>
      <c r="AA493" s="19" t="str">
        <f t="shared" si="81"/>
        <v/>
      </c>
      <c r="AD493" s="26" t="str">
        <f>IF(AND('Supplier selection'!X493="",'Supplier selection'!AE493=""),"",IF('Supplier selection'!X493="",'Supplier selection'!AE493,'Supplier selection'!X493))</f>
        <v/>
      </c>
      <c r="AE493" s="19" t="str">
        <f t="shared" si="82"/>
        <v/>
      </c>
      <c r="AF493" s="19" t="str">
        <f t="shared" si="83"/>
        <v/>
      </c>
      <c r="AG493" s="27" t="str">
        <f>IF(AND('Supplier selection'!AB493="",'Supplier selection'!AI493=""),"",IF('Supplier selection'!AB493="",'Supplier selection'!AI493,'Supplier selection'!AB493))</f>
        <v/>
      </c>
      <c r="AH493" s="28" t="str">
        <f t="shared" si="84"/>
        <v/>
      </c>
      <c r="AI493" s="7" t="str">
        <f t="shared" si="85"/>
        <v/>
      </c>
      <c r="AJ493" s="22" t="str">
        <f t="shared" si="86"/>
        <v/>
      </c>
      <c r="AK493" s="29" t="str">
        <f t="shared" si="87"/>
        <v/>
      </c>
      <c r="AL493" s="10"/>
    </row>
    <row r="494" spans="1:38">
      <c r="A494" s="19">
        <f>IF('Supplier selection'!A494="","",'Supplier selection'!A494)</f>
        <v>490</v>
      </c>
      <c r="B494" s="19" t="str">
        <f>IF('Supplier selection'!B494="","",'Supplier selection'!B494)</f>
        <v/>
      </c>
      <c r="C494" s="19" t="str">
        <f>IF('Supplier selection'!C494="","",'Supplier selection'!C494)</f>
        <v/>
      </c>
      <c r="D494" s="19" t="str">
        <f>IF('Supplier selection'!D494="","",'Supplier selection'!D494)</f>
        <v/>
      </c>
      <c r="E494" s="19" t="str">
        <f>IF('Supplier selection'!E494="","",'Supplier selection'!E494)</f>
        <v/>
      </c>
      <c r="F494" s="19" t="str">
        <f>IF('Supplier selection'!F494="","",'Supplier selection'!F494)</f>
        <v/>
      </c>
      <c r="G494" s="19" t="str">
        <f>IF('Supplier selection'!G494="","",'Supplier selection'!G494)</f>
        <v/>
      </c>
      <c r="H494" s="19" t="str">
        <f>IF('Supplier selection'!H494="","",'Supplier selection'!H494)</f>
        <v/>
      </c>
      <c r="I494" s="19" t="str">
        <f>IF('Supplier selection'!I494="","",'Supplier selection'!I494)</f>
        <v/>
      </c>
      <c r="J494" s="19" t="str">
        <f>IF('Supplier selection'!J494="","",'Supplier selection'!J494)</f>
        <v/>
      </c>
      <c r="K494" s="19" t="str">
        <f>IF('Supplier selection'!K494="","",'Supplier selection'!K494)</f>
        <v/>
      </c>
      <c r="L494" s="19" t="str">
        <f>IF('Supplier selection'!L494="","",'Supplier selection'!L494)</f>
        <v/>
      </c>
      <c r="M494" s="19" t="str">
        <f>IF('Supplier selection'!M494="","",'Supplier selection'!M494)</f>
        <v/>
      </c>
      <c r="N494" s="19" t="str">
        <f>IF('Supplier selection'!N494="","",'Supplier selection'!N494)</f>
        <v/>
      </c>
      <c r="O494" s="19" t="str">
        <f>IF('Supplier selection'!O494="","",'Supplier selection'!O494)</f>
        <v/>
      </c>
      <c r="Q494" s="19" t="str">
        <f>HLOOKUP($Q$3,'Supplier selection'!$AW$4:'Supplier selection'!$CT$1000,$A495,FALSE)</f>
        <v/>
      </c>
      <c r="R494" s="22" t="str">
        <f t="shared" si="77"/>
        <v/>
      </c>
      <c r="S494" s="19" t="str">
        <f t="shared" si="78"/>
        <v/>
      </c>
      <c r="T494" s="22" t="str">
        <f t="shared" si="79"/>
        <v/>
      </c>
      <c r="U494" s="19" t="str">
        <f t="shared" si="80"/>
        <v/>
      </c>
      <c r="V494" s="7"/>
      <c r="Y494" s="19" t="str">
        <f>IF('Supplier selection'!AQ494="","",'Supplier selection'!AQ494)</f>
        <v/>
      </c>
      <c r="Z494" s="19" t="str">
        <f>IF('Supplier selection'!AR494="","",'Supplier selection'!AR494)</f>
        <v/>
      </c>
      <c r="AA494" s="19" t="str">
        <f t="shared" si="81"/>
        <v/>
      </c>
      <c r="AD494" s="26" t="str">
        <f>IF(AND('Supplier selection'!X494="",'Supplier selection'!AE494=""),"",IF('Supplier selection'!X494="",'Supplier selection'!AE494,'Supplier selection'!X494))</f>
        <v/>
      </c>
      <c r="AE494" s="19" t="str">
        <f t="shared" si="82"/>
        <v/>
      </c>
      <c r="AF494" s="19" t="str">
        <f t="shared" si="83"/>
        <v/>
      </c>
      <c r="AG494" s="27" t="str">
        <f>IF(AND('Supplier selection'!AB494="",'Supplier selection'!AI494=""),"",IF('Supplier selection'!AB494="",'Supplier selection'!AI494,'Supplier selection'!AB494))</f>
        <v/>
      </c>
      <c r="AH494" s="28" t="str">
        <f t="shared" si="84"/>
        <v/>
      </c>
      <c r="AI494" s="7" t="str">
        <f t="shared" si="85"/>
        <v/>
      </c>
      <c r="AJ494" s="22" t="str">
        <f t="shared" si="86"/>
        <v/>
      </c>
      <c r="AK494" s="29" t="str">
        <f t="shared" si="87"/>
        <v/>
      </c>
      <c r="AL494" s="10"/>
    </row>
    <row r="495" spans="1:38">
      <c r="A495" s="19">
        <f>IF('Supplier selection'!A495="","",'Supplier selection'!A495)</f>
        <v>491</v>
      </c>
      <c r="B495" s="19" t="str">
        <f>IF('Supplier selection'!B495="","",'Supplier selection'!B495)</f>
        <v/>
      </c>
      <c r="C495" s="19" t="str">
        <f>IF('Supplier selection'!C495="","",'Supplier selection'!C495)</f>
        <v/>
      </c>
      <c r="D495" s="19" t="str">
        <f>IF('Supplier selection'!D495="","",'Supplier selection'!D495)</f>
        <v/>
      </c>
      <c r="E495" s="19" t="str">
        <f>IF('Supplier selection'!E495="","",'Supplier selection'!E495)</f>
        <v/>
      </c>
      <c r="F495" s="19" t="str">
        <f>IF('Supplier selection'!F495="","",'Supplier selection'!F495)</f>
        <v/>
      </c>
      <c r="G495" s="19" t="str">
        <f>IF('Supplier selection'!G495="","",'Supplier selection'!G495)</f>
        <v/>
      </c>
      <c r="H495" s="19" t="str">
        <f>IF('Supplier selection'!H495="","",'Supplier selection'!H495)</f>
        <v/>
      </c>
      <c r="I495" s="19" t="str">
        <f>IF('Supplier selection'!I495="","",'Supplier selection'!I495)</f>
        <v/>
      </c>
      <c r="J495" s="19" t="str">
        <f>IF('Supplier selection'!J495="","",'Supplier selection'!J495)</f>
        <v/>
      </c>
      <c r="K495" s="19" t="str">
        <f>IF('Supplier selection'!K495="","",'Supplier selection'!K495)</f>
        <v/>
      </c>
      <c r="L495" s="19" t="str">
        <f>IF('Supplier selection'!L495="","",'Supplier selection'!L495)</f>
        <v/>
      </c>
      <c r="M495" s="19" t="str">
        <f>IF('Supplier selection'!M495="","",'Supplier selection'!M495)</f>
        <v/>
      </c>
      <c r="N495" s="19" t="str">
        <f>IF('Supplier selection'!N495="","",'Supplier selection'!N495)</f>
        <v/>
      </c>
      <c r="O495" s="19" t="str">
        <f>IF('Supplier selection'!O495="","",'Supplier selection'!O495)</f>
        <v/>
      </c>
      <c r="Q495" s="19" t="str">
        <f>HLOOKUP($Q$3,'Supplier selection'!$AW$4:'Supplier selection'!$CT$1000,$A496,FALSE)</f>
        <v/>
      </c>
      <c r="R495" s="22" t="str">
        <f t="shared" si="77"/>
        <v/>
      </c>
      <c r="S495" s="19" t="str">
        <f t="shared" si="78"/>
        <v/>
      </c>
      <c r="T495" s="22" t="str">
        <f t="shared" si="79"/>
        <v/>
      </c>
      <c r="U495" s="19" t="str">
        <f t="shared" si="80"/>
        <v/>
      </c>
      <c r="V495" s="7"/>
      <c r="Y495" s="19" t="str">
        <f>IF('Supplier selection'!AQ495="","",'Supplier selection'!AQ495)</f>
        <v/>
      </c>
      <c r="Z495" s="19" t="str">
        <f>IF('Supplier selection'!AR495="","",'Supplier selection'!AR495)</f>
        <v/>
      </c>
      <c r="AA495" s="19" t="str">
        <f t="shared" si="81"/>
        <v/>
      </c>
      <c r="AD495" s="26" t="str">
        <f>IF(AND('Supplier selection'!X495="",'Supplier selection'!AE495=""),"",IF('Supplier selection'!X495="",'Supplier selection'!AE495,'Supplier selection'!X495))</f>
        <v/>
      </c>
      <c r="AE495" s="19" t="str">
        <f t="shared" si="82"/>
        <v/>
      </c>
      <c r="AF495" s="19" t="str">
        <f t="shared" si="83"/>
        <v/>
      </c>
      <c r="AG495" s="27" t="str">
        <f>IF(AND('Supplier selection'!AB495="",'Supplier selection'!AI495=""),"",IF('Supplier selection'!AB495="",'Supplier selection'!AI495,'Supplier selection'!AB495))</f>
        <v/>
      </c>
      <c r="AH495" s="28" t="str">
        <f t="shared" si="84"/>
        <v/>
      </c>
      <c r="AI495" s="7" t="str">
        <f t="shared" si="85"/>
        <v/>
      </c>
      <c r="AJ495" s="22" t="str">
        <f t="shared" si="86"/>
        <v/>
      </c>
      <c r="AK495" s="29" t="str">
        <f t="shared" si="87"/>
        <v/>
      </c>
      <c r="AL495" s="10"/>
    </row>
    <row r="496" spans="1:38">
      <c r="A496" s="19">
        <f>IF('Supplier selection'!A496="","",'Supplier selection'!A496)</f>
        <v>492</v>
      </c>
      <c r="B496" s="19" t="str">
        <f>IF('Supplier selection'!B496="","",'Supplier selection'!B496)</f>
        <v/>
      </c>
      <c r="C496" s="19" t="str">
        <f>IF('Supplier selection'!C496="","",'Supplier selection'!C496)</f>
        <v/>
      </c>
      <c r="D496" s="19" t="str">
        <f>IF('Supplier selection'!D496="","",'Supplier selection'!D496)</f>
        <v/>
      </c>
      <c r="E496" s="19" t="str">
        <f>IF('Supplier selection'!E496="","",'Supplier selection'!E496)</f>
        <v/>
      </c>
      <c r="F496" s="19" t="str">
        <f>IF('Supplier selection'!F496="","",'Supplier selection'!F496)</f>
        <v/>
      </c>
      <c r="G496" s="19" t="str">
        <f>IF('Supplier selection'!G496="","",'Supplier selection'!G496)</f>
        <v/>
      </c>
      <c r="H496" s="19" t="str">
        <f>IF('Supplier selection'!H496="","",'Supplier selection'!H496)</f>
        <v/>
      </c>
      <c r="I496" s="19" t="str">
        <f>IF('Supplier selection'!I496="","",'Supplier selection'!I496)</f>
        <v/>
      </c>
      <c r="J496" s="19" t="str">
        <f>IF('Supplier selection'!J496="","",'Supplier selection'!J496)</f>
        <v/>
      </c>
      <c r="K496" s="19" t="str">
        <f>IF('Supplier selection'!K496="","",'Supplier selection'!K496)</f>
        <v/>
      </c>
      <c r="L496" s="19" t="str">
        <f>IF('Supplier selection'!L496="","",'Supplier selection'!L496)</f>
        <v/>
      </c>
      <c r="M496" s="19" t="str">
        <f>IF('Supplier selection'!M496="","",'Supplier selection'!M496)</f>
        <v/>
      </c>
      <c r="N496" s="19" t="str">
        <f>IF('Supplier selection'!N496="","",'Supplier selection'!N496)</f>
        <v/>
      </c>
      <c r="O496" s="19" t="str">
        <f>IF('Supplier selection'!O496="","",'Supplier selection'!O496)</f>
        <v/>
      </c>
      <c r="Q496" s="19" t="str">
        <f>HLOOKUP($Q$3,'Supplier selection'!$AW$4:'Supplier selection'!$CT$1000,$A497,FALSE)</f>
        <v/>
      </c>
      <c r="R496" s="22" t="str">
        <f t="shared" si="77"/>
        <v/>
      </c>
      <c r="S496" s="19" t="str">
        <f t="shared" si="78"/>
        <v/>
      </c>
      <c r="T496" s="22" t="str">
        <f t="shared" si="79"/>
        <v/>
      </c>
      <c r="U496" s="19" t="str">
        <f t="shared" si="80"/>
        <v/>
      </c>
      <c r="V496" s="7"/>
      <c r="Y496" s="19" t="str">
        <f>IF('Supplier selection'!AQ496="","",'Supplier selection'!AQ496)</f>
        <v/>
      </c>
      <c r="Z496" s="19" t="str">
        <f>IF('Supplier selection'!AR496="","",'Supplier selection'!AR496)</f>
        <v/>
      </c>
      <c r="AA496" s="19" t="str">
        <f t="shared" si="81"/>
        <v/>
      </c>
      <c r="AD496" s="26" t="str">
        <f>IF(AND('Supplier selection'!X496="",'Supplier selection'!AE496=""),"",IF('Supplier selection'!X496="",'Supplier selection'!AE496,'Supplier selection'!X496))</f>
        <v/>
      </c>
      <c r="AE496" s="19" t="str">
        <f t="shared" si="82"/>
        <v/>
      </c>
      <c r="AF496" s="19" t="str">
        <f t="shared" si="83"/>
        <v/>
      </c>
      <c r="AG496" s="27" t="str">
        <f>IF(AND('Supplier selection'!AB496="",'Supplier selection'!AI496=""),"",IF('Supplier selection'!AB496="",'Supplier selection'!AI496,'Supplier selection'!AB496))</f>
        <v/>
      </c>
      <c r="AH496" s="28" t="str">
        <f t="shared" si="84"/>
        <v/>
      </c>
      <c r="AI496" s="7" t="str">
        <f t="shared" si="85"/>
        <v/>
      </c>
      <c r="AJ496" s="22" t="str">
        <f t="shared" si="86"/>
        <v/>
      </c>
      <c r="AK496" s="29" t="str">
        <f t="shared" si="87"/>
        <v/>
      </c>
      <c r="AL496" s="10"/>
    </row>
    <row r="497" spans="1:38">
      <c r="A497" s="19">
        <f>IF('Supplier selection'!A497="","",'Supplier selection'!A497)</f>
        <v>493</v>
      </c>
      <c r="B497" s="19" t="str">
        <f>IF('Supplier selection'!B497="","",'Supplier selection'!B497)</f>
        <v/>
      </c>
      <c r="C497" s="19" t="str">
        <f>IF('Supplier selection'!C497="","",'Supplier selection'!C497)</f>
        <v/>
      </c>
      <c r="D497" s="19" t="str">
        <f>IF('Supplier selection'!D497="","",'Supplier selection'!D497)</f>
        <v/>
      </c>
      <c r="E497" s="19" t="str">
        <f>IF('Supplier selection'!E497="","",'Supplier selection'!E497)</f>
        <v/>
      </c>
      <c r="F497" s="19" t="str">
        <f>IF('Supplier selection'!F497="","",'Supplier selection'!F497)</f>
        <v/>
      </c>
      <c r="G497" s="19" t="str">
        <f>IF('Supplier selection'!G497="","",'Supplier selection'!G497)</f>
        <v/>
      </c>
      <c r="H497" s="19" t="str">
        <f>IF('Supplier selection'!H497="","",'Supplier selection'!H497)</f>
        <v/>
      </c>
      <c r="I497" s="19" t="str">
        <f>IF('Supplier selection'!I497="","",'Supplier selection'!I497)</f>
        <v/>
      </c>
      <c r="J497" s="19" t="str">
        <f>IF('Supplier selection'!J497="","",'Supplier selection'!J497)</f>
        <v/>
      </c>
      <c r="K497" s="19" t="str">
        <f>IF('Supplier selection'!K497="","",'Supplier selection'!K497)</f>
        <v/>
      </c>
      <c r="L497" s="19" t="str">
        <f>IF('Supplier selection'!L497="","",'Supplier selection'!L497)</f>
        <v/>
      </c>
      <c r="M497" s="19" t="str">
        <f>IF('Supplier selection'!M497="","",'Supplier selection'!M497)</f>
        <v/>
      </c>
      <c r="N497" s="19" t="str">
        <f>IF('Supplier selection'!N497="","",'Supplier selection'!N497)</f>
        <v/>
      </c>
      <c r="O497" s="19" t="str">
        <f>IF('Supplier selection'!O497="","",'Supplier selection'!O497)</f>
        <v/>
      </c>
      <c r="Q497" s="19" t="str">
        <f>HLOOKUP($Q$3,'Supplier selection'!$AW$4:'Supplier selection'!$CT$1000,$A498,FALSE)</f>
        <v/>
      </c>
      <c r="R497" s="22" t="str">
        <f t="shared" si="77"/>
        <v/>
      </c>
      <c r="S497" s="19" t="str">
        <f t="shared" si="78"/>
        <v/>
      </c>
      <c r="T497" s="22" t="str">
        <f t="shared" si="79"/>
        <v/>
      </c>
      <c r="U497" s="19" t="str">
        <f t="shared" si="80"/>
        <v/>
      </c>
      <c r="V497" s="7"/>
      <c r="Y497" s="19" t="str">
        <f>IF('Supplier selection'!AQ497="","",'Supplier selection'!AQ497)</f>
        <v/>
      </c>
      <c r="Z497" s="19" t="str">
        <f>IF('Supplier selection'!AR497="","",'Supplier selection'!AR497)</f>
        <v/>
      </c>
      <c r="AA497" s="19" t="str">
        <f t="shared" si="81"/>
        <v/>
      </c>
      <c r="AD497" s="26" t="str">
        <f>IF(AND('Supplier selection'!X497="",'Supplier selection'!AE497=""),"",IF('Supplier selection'!X497="",'Supplier selection'!AE497,'Supplier selection'!X497))</f>
        <v/>
      </c>
      <c r="AE497" s="19" t="str">
        <f t="shared" si="82"/>
        <v/>
      </c>
      <c r="AF497" s="19" t="str">
        <f t="shared" si="83"/>
        <v/>
      </c>
      <c r="AG497" s="27" t="str">
        <f>IF(AND('Supplier selection'!AB497="",'Supplier selection'!AI497=""),"",IF('Supplier selection'!AB497="",'Supplier selection'!AI497,'Supplier selection'!AB497))</f>
        <v/>
      </c>
      <c r="AH497" s="28" t="str">
        <f t="shared" si="84"/>
        <v/>
      </c>
      <c r="AI497" s="7" t="str">
        <f t="shared" si="85"/>
        <v/>
      </c>
      <c r="AJ497" s="22" t="str">
        <f t="shared" si="86"/>
        <v/>
      </c>
      <c r="AK497" s="29" t="str">
        <f t="shared" si="87"/>
        <v/>
      </c>
      <c r="AL497" s="10"/>
    </row>
    <row r="498" spans="1:38">
      <c r="A498" s="19">
        <f>IF('Supplier selection'!A498="","",'Supplier selection'!A498)</f>
        <v>494</v>
      </c>
      <c r="B498" s="19" t="str">
        <f>IF('Supplier selection'!B498="","",'Supplier selection'!B498)</f>
        <v/>
      </c>
      <c r="C498" s="19" t="str">
        <f>IF('Supplier selection'!C498="","",'Supplier selection'!C498)</f>
        <v/>
      </c>
      <c r="D498" s="19" t="str">
        <f>IF('Supplier selection'!D498="","",'Supplier selection'!D498)</f>
        <v/>
      </c>
      <c r="E498" s="19" t="str">
        <f>IF('Supplier selection'!E498="","",'Supplier selection'!E498)</f>
        <v/>
      </c>
      <c r="F498" s="19" t="str">
        <f>IF('Supplier selection'!F498="","",'Supplier selection'!F498)</f>
        <v/>
      </c>
      <c r="G498" s="19" t="str">
        <f>IF('Supplier selection'!G498="","",'Supplier selection'!G498)</f>
        <v/>
      </c>
      <c r="H498" s="19" t="str">
        <f>IF('Supplier selection'!H498="","",'Supplier selection'!H498)</f>
        <v/>
      </c>
      <c r="I498" s="19" t="str">
        <f>IF('Supplier selection'!I498="","",'Supplier selection'!I498)</f>
        <v/>
      </c>
      <c r="J498" s="19" t="str">
        <f>IF('Supplier selection'!J498="","",'Supplier selection'!J498)</f>
        <v/>
      </c>
      <c r="K498" s="19" t="str">
        <f>IF('Supplier selection'!K498="","",'Supplier selection'!K498)</f>
        <v/>
      </c>
      <c r="L498" s="19" t="str">
        <f>IF('Supplier selection'!L498="","",'Supplier selection'!L498)</f>
        <v/>
      </c>
      <c r="M498" s="19" t="str">
        <f>IF('Supplier selection'!M498="","",'Supplier selection'!M498)</f>
        <v/>
      </c>
      <c r="N498" s="19" t="str">
        <f>IF('Supplier selection'!N498="","",'Supplier selection'!N498)</f>
        <v/>
      </c>
      <c r="O498" s="19" t="str">
        <f>IF('Supplier selection'!O498="","",'Supplier selection'!O498)</f>
        <v/>
      </c>
      <c r="Q498" s="19" t="str">
        <f>HLOOKUP($Q$3,'Supplier selection'!$AW$4:'Supplier selection'!$CT$1000,$A499,FALSE)</f>
        <v/>
      </c>
      <c r="R498" s="22" t="str">
        <f t="shared" si="77"/>
        <v/>
      </c>
      <c r="S498" s="19" t="str">
        <f t="shared" si="78"/>
        <v/>
      </c>
      <c r="T498" s="22" t="str">
        <f t="shared" si="79"/>
        <v/>
      </c>
      <c r="U498" s="19" t="str">
        <f t="shared" si="80"/>
        <v/>
      </c>
      <c r="V498" s="7"/>
      <c r="Y498" s="19" t="str">
        <f>IF('Supplier selection'!AQ498="","",'Supplier selection'!AQ498)</f>
        <v/>
      </c>
      <c r="Z498" s="19" t="str">
        <f>IF('Supplier selection'!AR498="","",'Supplier selection'!AR498)</f>
        <v/>
      </c>
      <c r="AA498" s="19" t="str">
        <f t="shared" si="81"/>
        <v/>
      </c>
      <c r="AD498" s="26" t="str">
        <f>IF(AND('Supplier selection'!X498="",'Supplier selection'!AE498=""),"",IF('Supplier selection'!X498="",'Supplier selection'!AE498,'Supplier selection'!X498))</f>
        <v/>
      </c>
      <c r="AE498" s="19" t="str">
        <f t="shared" si="82"/>
        <v/>
      </c>
      <c r="AF498" s="19" t="str">
        <f t="shared" si="83"/>
        <v/>
      </c>
      <c r="AG498" s="27" t="str">
        <f>IF(AND('Supplier selection'!AB498="",'Supplier selection'!AI498=""),"",IF('Supplier selection'!AB498="",'Supplier selection'!AI498,'Supplier selection'!AB498))</f>
        <v/>
      </c>
      <c r="AH498" s="28" t="str">
        <f t="shared" si="84"/>
        <v/>
      </c>
      <c r="AI498" s="7" t="str">
        <f t="shared" si="85"/>
        <v/>
      </c>
      <c r="AJ498" s="22" t="str">
        <f t="shared" si="86"/>
        <v/>
      </c>
      <c r="AK498" s="29" t="str">
        <f t="shared" si="87"/>
        <v/>
      </c>
      <c r="AL498" s="10"/>
    </row>
    <row r="499" spans="1:38">
      <c r="A499" s="19">
        <f>IF('Supplier selection'!A499="","",'Supplier selection'!A499)</f>
        <v>495</v>
      </c>
      <c r="B499" s="19" t="str">
        <f>IF('Supplier selection'!B499="","",'Supplier selection'!B499)</f>
        <v/>
      </c>
      <c r="C499" s="19" t="str">
        <f>IF('Supplier selection'!C499="","",'Supplier selection'!C499)</f>
        <v/>
      </c>
      <c r="D499" s="19" t="str">
        <f>IF('Supplier selection'!D499="","",'Supplier selection'!D499)</f>
        <v/>
      </c>
      <c r="E499" s="19" t="str">
        <f>IF('Supplier selection'!E499="","",'Supplier selection'!E499)</f>
        <v/>
      </c>
      <c r="F499" s="19" t="str">
        <f>IF('Supplier selection'!F499="","",'Supplier selection'!F499)</f>
        <v/>
      </c>
      <c r="G499" s="19" t="str">
        <f>IF('Supplier selection'!G499="","",'Supplier selection'!G499)</f>
        <v/>
      </c>
      <c r="H499" s="19" t="str">
        <f>IF('Supplier selection'!H499="","",'Supplier selection'!H499)</f>
        <v/>
      </c>
      <c r="I499" s="19" t="str">
        <f>IF('Supplier selection'!I499="","",'Supplier selection'!I499)</f>
        <v/>
      </c>
      <c r="J499" s="19" t="str">
        <f>IF('Supplier selection'!J499="","",'Supplier selection'!J499)</f>
        <v/>
      </c>
      <c r="K499" s="19" t="str">
        <f>IF('Supplier selection'!K499="","",'Supplier selection'!K499)</f>
        <v/>
      </c>
      <c r="L499" s="19" t="str">
        <f>IF('Supplier selection'!L499="","",'Supplier selection'!L499)</f>
        <v/>
      </c>
      <c r="M499" s="19" t="str">
        <f>IF('Supplier selection'!M499="","",'Supplier selection'!M499)</f>
        <v/>
      </c>
      <c r="N499" s="19" t="str">
        <f>IF('Supplier selection'!N499="","",'Supplier selection'!N499)</f>
        <v/>
      </c>
      <c r="O499" s="19" t="str">
        <f>IF('Supplier selection'!O499="","",'Supplier selection'!O499)</f>
        <v/>
      </c>
      <c r="Q499" s="19" t="str">
        <f>HLOOKUP($Q$3,'Supplier selection'!$AW$4:'Supplier selection'!$CT$1000,$A500,FALSE)</f>
        <v/>
      </c>
      <c r="R499" s="22" t="str">
        <f t="shared" si="77"/>
        <v/>
      </c>
      <c r="S499" s="19" t="str">
        <f t="shared" si="78"/>
        <v/>
      </c>
      <c r="T499" s="22" t="str">
        <f t="shared" si="79"/>
        <v/>
      </c>
      <c r="U499" s="19" t="str">
        <f t="shared" si="80"/>
        <v/>
      </c>
      <c r="V499" s="7"/>
      <c r="Y499" s="19" t="str">
        <f>IF('Supplier selection'!AQ499="","",'Supplier selection'!AQ499)</f>
        <v/>
      </c>
      <c r="Z499" s="19" t="str">
        <f>IF('Supplier selection'!AR499="","",'Supplier selection'!AR499)</f>
        <v/>
      </c>
      <c r="AA499" s="19" t="str">
        <f t="shared" si="81"/>
        <v/>
      </c>
      <c r="AD499" s="26" t="str">
        <f>IF(AND('Supplier selection'!X499="",'Supplier selection'!AE499=""),"",IF('Supplier selection'!X499="",'Supplier selection'!AE499,'Supplier selection'!X499))</f>
        <v/>
      </c>
      <c r="AE499" s="19" t="str">
        <f t="shared" si="82"/>
        <v/>
      </c>
      <c r="AF499" s="19" t="str">
        <f t="shared" si="83"/>
        <v/>
      </c>
      <c r="AG499" s="27" t="str">
        <f>IF(AND('Supplier selection'!AB499="",'Supplier selection'!AI499=""),"",IF('Supplier selection'!AB499="",'Supplier selection'!AI499,'Supplier selection'!AB499))</f>
        <v/>
      </c>
      <c r="AH499" s="28" t="str">
        <f t="shared" si="84"/>
        <v/>
      </c>
      <c r="AI499" s="7" t="str">
        <f t="shared" si="85"/>
        <v/>
      </c>
      <c r="AJ499" s="22" t="str">
        <f t="shared" si="86"/>
        <v/>
      </c>
      <c r="AK499" s="29" t="str">
        <f t="shared" si="87"/>
        <v/>
      </c>
      <c r="AL499" s="10"/>
    </row>
    <row r="500" spans="1:38">
      <c r="A500" s="19">
        <f>IF('Supplier selection'!A500="","",'Supplier selection'!A500)</f>
        <v>496</v>
      </c>
      <c r="B500" s="19" t="str">
        <f>IF('Supplier selection'!B500="","",'Supplier selection'!B500)</f>
        <v/>
      </c>
      <c r="C500" s="19" t="str">
        <f>IF('Supplier selection'!C500="","",'Supplier selection'!C500)</f>
        <v/>
      </c>
      <c r="D500" s="19" t="str">
        <f>IF('Supplier selection'!D500="","",'Supplier selection'!D500)</f>
        <v/>
      </c>
      <c r="E500" s="19" t="str">
        <f>IF('Supplier selection'!E500="","",'Supplier selection'!E500)</f>
        <v/>
      </c>
      <c r="F500" s="19" t="str">
        <f>IF('Supplier selection'!F500="","",'Supplier selection'!F500)</f>
        <v/>
      </c>
      <c r="G500" s="19" t="str">
        <f>IF('Supplier selection'!G500="","",'Supplier selection'!G500)</f>
        <v/>
      </c>
      <c r="H500" s="19" t="str">
        <f>IF('Supplier selection'!H500="","",'Supplier selection'!H500)</f>
        <v/>
      </c>
      <c r="I500" s="19" t="str">
        <f>IF('Supplier selection'!I500="","",'Supplier selection'!I500)</f>
        <v/>
      </c>
      <c r="J500" s="19" t="str">
        <f>IF('Supplier selection'!J500="","",'Supplier selection'!J500)</f>
        <v/>
      </c>
      <c r="K500" s="19" t="str">
        <f>IF('Supplier selection'!K500="","",'Supplier selection'!K500)</f>
        <v/>
      </c>
      <c r="L500" s="19" t="str">
        <f>IF('Supplier selection'!L500="","",'Supplier selection'!L500)</f>
        <v/>
      </c>
      <c r="M500" s="19" t="str">
        <f>IF('Supplier selection'!M500="","",'Supplier selection'!M500)</f>
        <v/>
      </c>
      <c r="N500" s="19" t="str">
        <f>IF('Supplier selection'!N500="","",'Supplier selection'!N500)</f>
        <v/>
      </c>
      <c r="O500" s="19" t="str">
        <f>IF('Supplier selection'!O500="","",'Supplier selection'!O500)</f>
        <v/>
      </c>
      <c r="Q500" s="19" t="str">
        <f>HLOOKUP($Q$3,'Supplier selection'!$AW$4:'Supplier selection'!$CT$1000,$A501,FALSE)</f>
        <v/>
      </c>
      <c r="R500" s="22" t="str">
        <f t="shared" si="77"/>
        <v/>
      </c>
      <c r="S500" s="19" t="str">
        <f t="shared" si="78"/>
        <v/>
      </c>
      <c r="T500" s="22" t="str">
        <f t="shared" si="79"/>
        <v/>
      </c>
      <c r="U500" s="19" t="str">
        <f t="shared" si="80"/>
        <v/>
      </c>
      <c r="V500" s="7"/>
      <c r="Y500" s="19" t="str">
        <f>IF('Supplier selection'!AQ500="","",'Supplier selection'!AQ500)</f>
        <v/>
      </c>
      <c r="Z500" s="19" t="str">
        <f>IF('Supplier selection'!AR500="","",'Supplier selection'!AR500)</f>
        <v/>
      </c>
      <c r="AA500" s="19" t="str">
        <f t="shared" si="81"/>
        <v/>
      </c>
      <c r="AD500" s="26" t="str">
        <f>IF(AND('Supplier selection'!X500="",'Supplier selection'!AE500=""),"",IF('Supplier selection'!X500="",'Supplier selection'!AE500,'Supplier selection'!X500))</f>
        <v/>
      </c>
      <c r="AE500" s="19" t="str">
        <f t="shared" si="82"/>
        <v/>
      </c>
      <c r="AF500" s="19" t="str">
        <f t="shared" si="83"/>
        <v/>
      </c>
      <c r="AG500" s="27" t="str">
        <f>IF(AND('Supplier selection'!AB500="",'Supplier selection'!AI500=""),"",IF('Supplier selection'!AB500="",'Supplier selection'!AI500,'Supplier selection'!AB500))</f>
        <v/>
      </c>
      <c r="AH500" s="28" t="str">
        <f t="shared" si="84"/>
        <v/>
      </c>
      <c r="AI500" s="7" t="str">
        <f t="shared" si="85"/>
        <v/>
      </c>
      <c r="AJ500" s="22" t="str">
        <f t="shared" si="86"/>
        <v/>
      </c>
      <c r="AK500" s="29" t="str">
        <f t="shared" si="87"/>
        <v/>
      </c>
      <c r="AL500" s="10"/>
    </row>
    <row r="501" spans="1:38">
      <c r="A501" s="19">
        <f>IF('Supplier selection'!A501="","",'Supplier selection'!A501)</f>
        <v>497</v>
      </c>
      <c r="B501" s="19" t="str">
        <f>IF('Supplier selection'!B501="","",'Supplier selection'!B501)</f>
        <v/>
      </c>
      <c r="C501" s="19" t="str">
        <f>IF('Supplier selection'!C501="","",'Supplier selection'!C501)</f>
        <v/>
      </c>
      <c r="D501" s="19" t="str">
        <f>IF('Supplier selection'!D501="","",'Supplier selection'!D501)</f>
        <v/>
      </c>
      <c r="E501" s="19" t="str">
        <f>IF('Supplier selection'!E501="","",'Supplier selection'!E501)</f>
        <v/>
      </c>
      <c r="F501" s="19" t="str">
        <f>IF('Supplier selection'!F501="","",'Supplier selection'!F501)</f>
        <v/>
      </c>
      <c r="G501" s="19" t="str">
        <f>IF('Supplier selection'!G501="","",'Supplier selection'!G501)</f>
        <v/>
      </c>
      <c r="H501" s="19" t="str">
        <f>IF('Supplier selection'!H501="","",'Supplier selection'!H501)</f>
        <v/>
      </c>
      <c r="I501" s="19" t="str">
        <f>IF('Supplier selection'!I501="","",'Supplier selection'!I501)</f>
        <v/>
      </c>
      <c r="J501" s="19" t="str">
        <f>IF('Supplier selection'!J501="","",'Supplier selection'!J501)</f>
        <v/>
      </c>
      <c r="K501" s="19" t="str">
        <f>IF('Supplier selection'!K501="","",'Supplier selection'!K501)</f>
        <v/>
      </c>
      <c r="L501" s="19" t="str">
        <f>IF('Supplier selection'!L501="","",'Supplier selection'!L501)</f>
        <v/>
      </c>
      <c r="M501" s="19" t="str">
        <f>IF('Supplier selection'!M501="","",'Supplier selection'!M501)</f>
        <v/>
      </c>
      <c r="N501" s="19" t="str">
        <f>IF('Supplier selection'!N501="","",'Supplier selection'!N501)</f>
        <v/>
      </c>
      <c r="O501" s="19" t="str">
        <f>IF('Supplier selection'!O501="","",'Supplier selection'!O501)</f>
        <v/>
      </c>
      <c r="Q501" s="19" t="str">
        <f>HLOOKUP($Q$3,'Supplier selection'!$AW$4:'Supplier selection'!$CT$1000,$A502,FALSE)</f>
        <v/>
      </c>
      <c r="R501" s="22" t="str">
        <f t="shared" si="77"/>
        <v/>
      </c>
      <c r="S501" s="19" t="str">
        <f t="shared" si="78"/>
        <v/>
      </c>
      <c r="T501" s="22" t="str">
        <f t="shared" si="79"/>
        <v/>
      </c>
      <c r="U501" s="19" t="str">
        <f t="shared" si="80"/>
        <v/>
      </c>
      <c r="V501" s="7"/>
      <c r="Y501" s="19" t="str">
        <f>IF('Supplier selection'!AQ501="","",'Supplier selection'!AQ501)</f>
        <v/>
      </c>
      <c r="Z501" s="19" t="str">
        <f>IF('Supplier selection'!AR501="","",'Supplier selection'!AR501)</f>
        <v/>
      </c>
      <c r="AA501" s="19" t="str">
        <f t="shared" si="81"/>
        <v/>
      </c>
      <c r="AD501" s="26" t="str">
        <f>IF(AND('Supplier selection'!X501="",'Supplier selection'!AE501=""),"",IF('Supplier selection'!X501="",'Supplier selection'!AE501,'Supplier selection'!X501))</f>
        <v/>
      </c>
      <c r="AE501" s="19" t="str">
        <f t="shared" si="82"/>
        <v/>
      </c>
      <c r="AF501" s="19" t="str">
        <f t="shared" si="83"/>
        <v/>
      </c>
      <c r="AG501" s="27" t="str">
        <f>IF(AND('Supplier selection'!AB501="",'Supplier selection'!AI501=""),"",IF('Supplier selection'!AB501="",'Supplier selection'!AI501,'Supplier selection'!AB501))</f>
        <v/>
      </c>
      <c r="AH501" s="28" t="str">
        <f t="shared" si="84"/>
        <v/>
      </c>
      <c r="AI501" s="7" t="str">
        <f t="shared" si="85"/>
        <v/>
      </c>
      <c r="AJ501" s="22" t="str">
        <f t="shared" si="86"/>
        <v/>
      </c>
      <c r="AK501" s="29" t="str">
        <f t="shared" si="87"/>
        <v/>
      </c>
      <c r="AL501" s="10"/>
    </row>
    <row r="502" spans="1:38">
      <c r="A502" s="19">
        <f>IF('Supplier selection'!A502="","",'Supplier selection'!A502)</f>
        <v>498</v>
      </c>
      <c r="B502" s="19" t="str">
        <f>IF('Supplier selection'!B502="","",'Supplier selection'!B502)</f>
        <v/>
      </c>
      <c r="C502" s="19" t="str">
        <f>IF('Supplier selection'!C502="","",'Supplier selection'!C502)</f>
        <v/>
      </c>
      <c r="D502" s="19" t="str">
        <f>IF('Supplier selection'!D502="","",'Supplier selection'!D502)</f>
        <v/>
      </c>
      <c r="E502" s="19" t="str">
        <f>IF('Supplier selection'!E502="","",'Supplier selection'!E502)</f>
        <v/>
      </c>
      <c r="F502" s="19" t="str">
        <f>IF('Supplier selection'!F502="","",'Supplier selection'!F502)</f>
        <v/>
      </c>
      <c r="G502" s="19" t="str">
        <f>IF('Supplier selection'!G502="","",'Supplier selection'!G502)</f>
        <v/>
      </c>
      <c r="H502" s="19" t="str">
        <f>IF('Supplier selection'!H502="","",'Supplier selection'!H502)</f>
        <v/>
      </c>
      <c r="I502" s="19" t="str">
        <f>IF('Supplier selection'!I502="","",'Supplier selection'!I502)</f>
        <v/>
      </c>
      <c r="J502" s="19" t="str">
        <f>IF('Supplier selection'!J502="","",'Supplier selection'!J502)</f>
        <v/>
      </c>
      <c r="K502" s="19" t="str">
        <f>IF('Supplier selection'!K502="","",'Supplier selection'!K502)</f>
        <v/>
      </c>
      <c r="L502" s="19" t="str">
        <f>IF('Supplier selection'!L502="","",'Supplier selection'!L502)</f>
        <v/>
      </c>
      <c r="M502" s="19" t="str">
        <f>IF('Supplier selection'!M502="","",'Supplier selection'!M502)</f>
        <v/>
      </c>
      <c r="N502" s="19" t="str">
        <f>IF('Supplier selection'!N502="","",'Supplier selection'!N502)</f>
        <v/>
      </c>
      <c r="O502" s="19" t="str">
        <f>IF('Supplier selection'!O502="","",'Supplier selection'!O502)</f>
        <v/>
      </c>
      <c r="Q502" s="19" t="str">
        <f>HLOOKUP($Q$3,'Supplier selection'!$AW$4:'Supplier selection'!$CT$1000,$A503,FALSE)</f>
        <v/>
      </c>
      <c r="R502" s="22" t="str">
        <f t="shared" si="77"/>
        <v/>
      </c>
      <c r="S502" s="19" t="str">
        <f t="shared" si="78"/>
        <v/>
      </c>
      <c r="T502" s="22" t="str">
        <f t="shared" si="79"/>
        <v/>
      </c>
      <c r="U502" s="19" t="str">
        <f t="shared" si="80"/>
        <v/>
      </c>
      <c r="V502" s="7"/>
      <c r="Y502" s="19" t="str">
        <f>IF('Supplier selection'!AQ502="","",'Supplier selection'!AQ502)</f>
        <v/>
      </c>
      <c r="Z502" s="19" t="str">
        <f>IF('Supplier selection'!AR502="","",'Supplier selection'!AR502)</f>
        <v/>
      </c>
      <c r="AA502" s="19" t="str">
        <f t="shared" si="81"/>
        <v/>
      </c>
      <c r="AD502" s="26" t="str">
        <f>IF(AND('Supplier selection'!X502="",'Supplier selection'!AE502=""),"",IF('Supplier selection'!X502="",'Supplier selection'!AE502,'Supplier selection'!X502))</f>
        <v/>
      </c>
      <c r="AE502" s="19" t="str">
        <f t="shared" si="82"/>
        <v/>
      </c>
      <c r="AF502" s="19" t="str">
        <f t="shared" si="83"/>
        <v/>
      </c>
      <c r="AG502" s="27" t="str">
        <f>IF(AND('Supplier selection'!AB502="",'Supplier selection'!AI502=""),"",IF('Supplier selection'!AB502="",'Supplier selection'!AI502,'Supplier selection'!AB502))</f>
        <v/>
      </c>
      <c r="AH502" s="28" t="str">
        <f t="shared" si="84"/>
        <v/>
      </c>
      <c r="AI502" s="7" t="str">
        <f t="shared" si="85"/>
        <v/>
      </c>
      <c r="AJ502" s="22" t="str">
        <f t="shared" si="86"/>
        <v/>
      </c>
      <c r="AK502" s="29" t="str">
        <f t="shared" si="87"/>
        <v/>
      </c>
      <c r="AL502" s="10"/>
    </row>
    <row r="503" spans="1:38">
      <c r="A503" s="19">
        <f>IF('Supplier selection'!A503="","",'Supplier selection'!A503)</f>
        <v>499</v>
      </c>
      <c r="B503" s="19" t="str">
        <f>IF('Supplier selection'!B503="","",'Supplier selection'!B503)</f>
        <v/>
      </c>
      <c r="C503" s="19" t="str">
        <f>IF('Supplier selection'!C503="","",'Supplier selection'!C503)</f>
        <v/>
      </c>
      <c r="D503" s="19" t="str">
        <f>IF('Supplier selection'!D503="","",'Supplier selection'!D503)</f>
        <v/>
      </c>
      <c r="E503" s="19" t="str">
        <f>IF('Supplier selection'!E503="","",'Supplier selection'!E503)</f>
        <v/>
      </c>
      <c r="F503" s="19" t="str">
        <f>IF('Supplier selection'!F503="","",'Supplier selection'!F503)</f>
        <v/>
      </c>
      <c r="G503" s="19" t="str">
        <f>IF('Supplier selection'!G503="","",'Supplier selection'!G503)</f>
        <v/>
      </c>
      <c r="H503" s="19" t="str">
        <f>IF('Supplier selection'!H503="","",'Supplier selection'!H503)</f>
        <v/>
      </c>
      <c r="I503" s="19" t="str">
        <f>IF('Supplier selection'!I503="","",'Supplier selection'!I503)</f>
        <v/>
      </c>
      <c r="J503" s="19" t="str">
        <f>IF('Supplier selection'!J503="","",'Supplier selection'!J503)</f>
        <v/>
      </c>
      <c r="K503" s="19" t="str">
        <f>IF('Supplier selection'!K503="","",'Supplier selection'!K503)</f>
        <v/>
      </c>
      <c r="L503" s="19" t="str">
        <f>IF('Supplier selection'!L503="","",'Supplier selection'!L503)</f>
        <v/>
      </c>
      <c r="M503" s="19" t="str">
        <f>IF('Supplier selection'!M503="","",'Supplier selection'!M503)</f>
        <v/>
      </c>
      <c r="N503" s="19" t="str">
        <f>IF('Supplier selection'!N503="","",'Supplier selection'!N503)</f>
        <v/>
      </c>
      <c r="O503" s="19" t="str">
        <f>IF('Supplier selection'!O503="","",'Supplier selection'!O503)</f>
        <v/>
      </c>
      <c r="Q503" s="19" t="str">
        <f>HLOOKUP($Q$3,'Supplier selection'!$AW$4:'Supplier selection'!$CT$1000,$A504,FALSE)</f>
        <v/>
      </c>
      <c r="R503" s="22" t="str">
        <f t="shared" si="77"/>
        <v/>
      </c>
      <c r="S503" s="19" t="str">
        <f t="shared" si="78"/>
        <v/>
      </c>
      <c r="T503" s="22" t="str">
        <f t="shared" si="79"/>
        <v/>
      </c>
      <c r="U503" s="19" t="str">
        <f t="shared" si="80"/>
        <v/>
      </c>
      <c r="V503" s="7"/>
      <c r="Y503" s="19" t="str">
        <f>IF('Supplier selection'!AQ503="","",'Supplier selection'!AQ503)</f>
        <v/>
      </c>
      <c r="Z503" s="19" t="str">
        <f>IF('Supplier selection'!AR503="","",'Supplier selection'!AR503)</f>
        <v/>
      </c>
      <c r="AA503" s="19" t="str">
        <f t="shared" si="81"/>
        <v/>
      </c>
      <c r="AD503" s="26" t="str">
        <f>IF(AND('Supplier selection'!X503="",'Supplier selection'!AE503=""),"",IF('Supplier selection'!X503="",'Supplier selection'!AE503,'Supplier selection'!X503))</f>
        <v/>
      </c>
      <c r="AE503" s="19" t="str">
        <f t="shared" si="82"/>
        <v/>
      </c>
      <c r="AF503" s="19" t="str">
        <f t="shared" si="83"/>
        <v/>
      </c>
      <c r="AG503" s="27" t="str">
        <f>IF(AND('Supplier selection'!AB503="",'Supplier selection'!AI503=""),"",IF('Supplier selection'!AB503="",'Supplier selection'!AI503,'Supplier selection'!AB503))</f>
        <v/>
      </c>
      <c r="AH503" s="28" t="str">
        <f t="shared" si="84"/>
        <v/>
      </c>
      <c r="AI503" s="7" t="str">
        <f t="shared" si="85"/>
        <v/>
      </c>
      <c r="AJ503" s="22" t="str">
        <f t="shared" si="86"/>
        <v/>
      </c>
      <c r="AK503" s="29" t="str">
        <f t="shared" si="87"/>
        <v/>
      </c>
      <c r="AL503" s="10"/>
    </row>
    <row r="504" spans="1:38">
      <c r="A504" s="19">
        <f>IF('Supplier selection'!A504="","",'Supplier selection'!A504)</f>
        <v>500</v>
      </c>
      <c r="B504" s="19" t="str">
        <f>IF('Supplier selection'!B504="","",'Supplier selection'!B504)</f>
        <v/>
      </c>
      <c r="C504" s="19" t="str">
        <f>IF('Supplier selection'!C504="","",'Supplier selection'!C504)</f>
        <v/>
      </c>
      <c r="D504" s="19" t="str">
        <f>IF('Supplier selection'!D504="","",'Supplier selection'!D504)</f>
        <v/>
      </c>
      <c r="E504" s="19" t="str">
        <f>IF('Supplier selection'!E504="","",'Supplier selection'!E504)</f>
        <v/>
      </c>
      <c r="F504" s="19" t="str">
        <f>IF('Supplier selection'!F504="","",'Supplier selection'!F504)</f>
        <v/>
      </c>
      <c r="G504" s="19" t="str">
        <f>IF('Supplier selection'!G504="","",'Supplier selection'!G504)</f>
        <v/>
      </c>
      <c r="H504" s="19" t="str">
        <f>IF('Supplier selection'!H504="","",'Supplier selection'!H504)</f>
        <v/>
      </c>
      <c r="I504" s="19" t="str">
        <f>IF('Supplier selection'!I504="","",'Supplier selection'!I504)</f>
        <v/>
      </c>
      <c r="J504" s="19" t="str">
        <f>IF('Supplier selection'!J504="","",'Supplier selection'!J504)</f>
        <v/>
      </c>
      <c r="K504" s="19" t="str">
        <f>IF('Supplier selection'!K504="","",'Supplier selection'!K504)</f>
        <v/>
      </c>
      <c r="L504" s="19" t="str">
        <f>IF('Supplier selection'!L504="","",'Supplier selection'!L504)</f>
        <v/>
      </c>
      <c r="M504" s="19" t="str">
        <f>IF('Supplier selection'!M504="","",'Supplier selection'!M504)</f>
        <v/>
      </c>
      <c r="N504" s="19" t="str">
        <f>IF('Supplier selection'!N504="","",'Supplier selection'!N504)</f>
        <v/>
      </c>
      <c r="O504" s="19" t="str">
        <f>IF('Supplier selection'!O504="","",'Supplier selection'!O504)</f>
        <v/>
      </c>
      <c r="Q504" s="19" t="str">
        <f>HLOOKUP($Q$3,'Supplier selection'!$AW$4:'Supplier selection'!$CT$1000,$A505,FALSE)</f>
        <v/>
      </c>
      <c r="R504" s="22" t="str">
        <f t="shared" si="77"/>
        <v/>
      </c>
      <c r="S504" s="19" t="str">
        <f t="shared" si="78"/>
        <v/>
      </c>
      <c r="T504" s="22" t="str">
        <f t="shared" si="79"/>
        <v/>
      </c>
      <c r="U504" s="19" t="str">
        <f t="shared" si="80"/>
        <v/>
      </c>
      <c r="V504" s="7"/>
      <c r="Y504" s="19" t="str">
        <f>IF('Supplier selection'!AQ504="","",'Supplier selection'!AQ504)</f>
        <v/>
      </c>
      <c r="Z504" s="19" t="str">
        <f>IF('Supplier selection'!AR504="","",'Supplier selection'!AR504)</f>
        <v/>
      </c>
      <c r="AA504" s="19" t="str">
        <f t="shared" si="81"/>
        <v/>
      </c>
      <c r="AD504" s="26" t="str">
        <f>IF(AND('Supplier selection'!X504="",'Supplier selection'!AE504=""),"",IF('Supplier selection'!X504="",'Supplier selection'!AE504,'Supplier selection'!X504))</f>
        <v/>
      </c>
      <c r="AE504" s="19" t="str">
        <f t="shared" si="82"/>
        <v/>
      </c>
      <c r="AF504" s="19" t="str">
        <f t="shared" si="83"/>
        <v/>
      </c>
      <c r="AG504" s="27" t="str">
        <f>IF(AND('Supplier selection'!AB504="",'Supplier selection'!AI504=""),"",IF('Supplier selection'!AB504="",'Supplier selection'!AI504,'Supplier selection'!AB504))</f>
        <v/>
      </c>
      <c r="AH504" s="28" t="str">
        <f t="shared" si="84"/>
        <v/>
      </c>
      <c r="AI504" s="7" t="str">
        <f t="shared" si="85"/>
        <v/>
      </c>
      <c r="AJ504" s="22" t="str">
        <f t="shared" si="86"/>
        <v/>
      </c>
      <c r="AK504" s="29" t="str">
        <f t="shared" si="87"/>
        <v/>
      </c>
      <c r="AL504" s="10"/>
    </row>
    <row r="505" spans="1:38">
      <c r="A505" s="19">
        <f>IF('Supplier selection'!A505="","",'Supplier selection'!A505)</f>
        <v>501</v>
      </c>
      <c r="B505" s="19" t="str">
        <f>IF('Supplier selection'!B505="","",'Supplier selection'!B505)</f>
        <v/>
      </c>
      <c r="C505" s="19" t="str">
        <f>IF('Supplier selection'!C505="","",'Supplier selection'!C505)</f>
        <v/>
      </c>
      <c r="D505" s="19" t="str">
        <f>IF('Supplier selection'!D505="","",'Supplier selection'!D505)</f>
        <v/>
      </c>
      <c r="E505" s="19" t="str">
        <f>IF('Supplier selection'!E505="","",'Supplier selection'!E505)</f>
        <v/>
      </c>
      <c r="F505" s="19" t="str">
        <f>IF('Supplier selection'!F505="","",'Supplier selection'!F505)</f>
        <v/>
      </c>
      <c r="G505" s="19" t="str">
        <f>IF('Supplier selection'!G505="","",'Supplier selection'!G505)</f>
        <v/>
      </c>
      <c r="H505" s="19" t="str">
        <f>IF('Supplier selection'!H505="","",'Supplier selection'!H505)</f>
        <v/>
      </c>
      <c r="I505" s="19" t="str">
        <f>IF('Supplier selection'!I505="","",'Supplier selection'!I505)</f>
        <v/>
      </c>
      <c r="J505" s="19" t="str">
        <f>IF('Supplier selection'!J505="","",'Supplier selection'!J505)</f>
        <v/>
      </c>
      <c r="K505" s="19" t="str">
        <f>IF('Supplier selection'!K505="","",'Supplier selection'!K505)</f>
        <v/>
      </c>
      <c r="L505" s="19" t="str">
        <f>IF('Supplier selection'!L505="","",'Supplier selection'!L505)</f>
        <v/>
      </c>
      <c r="M505" s="19" t="str">
        <f>IF('Supplier selection'!M505="","",'Supplier selection'!M505)</f>
        <v/>
      </c>
      <c r="N505" s="19" t="str">
        <f>IF('Supplier selection'!N505="","",'Supplier selection'!N505)</f>
        <v/>
      </c>
      <c r="O505" s="19" t="str">
        <f>IF('Supplier selection'!O505="","",'Supplier selection'!O505)</f>
        <v/>
      </c>
      <c r="Q505" s="19" t="str">
        <f>HLOOKUP($Q$3,'Supplier selection'!$AW$4:'Supplier selection'!$CT$1000,$A506,FALSE)</f>
        <v/>
      </c>
      <c r="R505" s="22" t="str">
        <f t="shared" si="77"/>
        <v/>
      </c>
      <c r="S505" s="19" t="str">
        <f t="shared" si="78"/>
        <v/>
      </c>
      <c r="T505" s="22" t="str">
        <f t="shared" si="79"/>
        <v/>
      </c>
      <c r="U505" s="19" t="str">
        <f t="shared" si="80"/>
        <v/>
      </c>
      <c r="V505" s="7"/>
      <c r="Y505" s="19" t="str">
        <f>IF('Supplier selection'!AQ505="","",'Supplier selection'!AQ505)</f>
        <v/>
      </c>
      <c r="Z505" s="19" t="str">
        <f>IF('Supplier selection'!AR505="","",'Supplier selection'!AR505)</f>
        <v/>
      </c>
      <c r="AA505" s="19" t="str">
        <f t="shared" si="81"/>
        <v/>
      </c>
      <c r="AD505" s="26" t="str">
        <f>IF(AND('Supplier selection'!X505="",'Supplier selection'!AE505=""),"",IF('Supplier selection'!X505="",'Supplier selection'!AE505,'Supplier selection'!X505))</f>
        <v/>
      </c>
      <c r="AE505" s="19" t="str">
        <f t="shared" si="82"/>
        <v/>
      </c>
      <c r="AF505" s="19" t="str">
        <f t="shared" si="83"/>
        <v/>
      </c>
      <c r="AG505" s="27" t="str">
        <f>IF(AND('Supplier selection'!AB505="",'Supplier selection'!AI505=""),"",IF('Supplier selection'!AB505="",'Supplier selection'!AI505,'Supplier selection'!AB505))</f>
        <v/>
      </c>
      <c r="AH505" s="28" t="str">
        <f t="shared" si="84"/>
        <v/>
      </c>
      <c r="AI505" s="7" t="str">
        <f t="shared" si="85"/>
        <v/>
      </c>
      <c r="AJ505" s="22" t="str">
        <f t="shared" si="86"/>
        <v/>
      </c>
      <c r="AK505" s="29" t="str">
        <f t="shared" si="87"/>
        <v/>
      </c>
      <c r="AL505" s="10"/>
    </row>
    <row r="506" spans="1:38">
      <c r="A506" s="19">
        <f>IF('Supplier selection'!A506="","",'Supplier selection'!A506)</f>
        <v>502</v>
      </c>
      <c r="B506" s="19" t="str">
        <f>IF('Supplier selection'!B506="","",'Supplier selection'!B506)</f>
        <v/>
      </c>
      <c r="C506" s="19" t="str">
        <f>IF('Supplier selection'!C506="","",'Supplier selection'!C506)</f>
        <v/>
      </c>
      <c r="D506" s="19" t="str">
        <f>IF('Supplier selection'!D506="","",'Supplier selection'!D506)</f>
        <v/>
      </c>
      <c r="E506" s="19" t="str">
        <f>IF('Supplier selection'!E506="","",'Supplier selection'!E506)</f>
        <v/>
      </c>
      <c r="F506" s="19" t="str">
        <f>IF('Supplier selection'!F506="","",'Supplier selection'!F506)</f>
        <v/>
      </c>
      <c r="G506" s="19" t="str">
        <f>IF('Supplier selection'!G506="","",'Supplier selection'!G506)</f>
        <v/>
      </c>
      <c r="H506" s="19" t="str">
        <f>IF('Supplier selection'!H506="","",'Supplier selection'!H506)</f>
        <v/>
      </c>
      <c r="I506" s="19" t="str">
        <f>IF('Supplier selection'!I506="","",'Supplier selection'!I506)</f>
        <v/>
      </c>
      <c r="J506" s="19" t="str">
        <f>IF('Supplier selection'!J506="","",'Supplier selection'!J506)</f>
        <v/>
      </c>
      <c r="K506" s="19" t="str">
        <f>IF('Supplier selection'!K506="","",'Supplier selection'!K506)</f>
        <v/>
      </c>
      <c r="L506" s="19" t="str">
        <f>IF('Supplier selection'!L506="","",'Supplier selection'!L506)</f>
        <v/>
      </c>
      <c r="M506" s="19" t="str">
        <f>IF('Supplier selection'!M506="","",'Supplier selection'!M506)</f>
        <v/>
      </c>
      <c r="N506" s="19" t="str">
        <f>IF('Supplier selection'!N506="","",'Supplier selection'!N506)</f>
        <v/>
      </c>
      <c r="O506" s="19" t="str">
        <f>IF('Supplier selection'!O506="","",'Supplier selection'!O506)</f>
        <v/>
      </c>
      <c r="Q506" s="19" t="str">
        <f>HLOOKUP($Q$3,'Supplier selection'!$AW$4:'Supplier selection'!$CT$1000,$A507,FALSE)</f>
        <v/>
      </c>
      <c r="R506" s="22" t="str">
        <f t="shared" si="77"/>
        <v/>
      </c>
      <c r="S506" s="19" t="str">
        <f t="shared" si="78"/>
        <v/>
      </c>
      <c r="T506" s="22" t="str">
        <f t="shared" si="79"/>
        <v/>
      </c>
      <c r="U506" s="19" t="str">
        <f t="shared" si="80"/>
        <v/>
      </c>
      <c r="V506" s="7"/>
      <c r="Y506" s="19" t="str">
        <f>IF('Supplier selection'!AQ506="","",'Supplier selection'!AQ506)</f>
        <v/>
      </c>
      <c r="Z506" s="19" t="str">
        <f>IF('Supplier selection'!AR506="","",'Supplier selection'!AR506)</f>
        <v/>
      </c>
      <c r="AA506" s="19" t="str">
        <f t="shared" si="81"/>
        <v/>
      </c>
      <c r="AD506" s="26" t="str">
        <f>IF(AND('Supplier selection'!X506="",'Supplier selection'!AE506=""),"",IF('Supplier selection'!X506="",'Supplier selection'!AE506,'Supplier selection'!X506))</f>
        <v/>
      </c>
      <c r="AE506" s="19" t="str">
        <f t="shared" si="82"/>
        <v/>
      </c>
      <c r="AF506" s="19" t="str">
        <f t="shared" si="83"/>
        <v/>
      </c>
      <c r="AG506" s="27" t="str">
        <f>IF(AND('Supplier selection'!AB506="",'Supplier selection'!AI506=""),"",IF('Supplier selection'!AB506="",'Supplier selection'!AI506,'Supplier selection'!AB506))</f>
        <v/>
      </c>
      <c r="AH506" s="28" t="str">
        <f t="shared" si="84"/>
        <v/>
      </c>
      <c r="AI506" s="7" t="str">
        <f t="shared" si="85"/>
        <v/>
      </c>
      <c r="AJ506" s="22" t="str">
        <f t="shared" si="86"/>
        <v/>
      </c>
      <c r="AK506" s="29" t="str">
        <f t="shared" si="87"/>
        <v/>
      </c>
      <c r="AL506" s="10"/>
    </row>
    <row r="507" spans="1:38">
      <c r="A507" s="19">
        <f>IF('Supplier selection'!A507="","",'Supplier selection'!A507)</f>
        <v>503</v>
      </c>
      <c r="B507" s="19" t="str">
        <f>IF('Supplier selection'!B507="","",'Supplier selection'!B507)</f>
        <v/>
      </c>
      <c r="C507" s="19" t="str">
        <f>IF('Supplier selection'!C507="","",'Supplier selection'!C507)</f>
        <v/>
      </c>
      <c r="D507" s="19" t="str">
        <f>IF('Supplier selection'!D507="","",'Supplier selection'!D507)</f>
        <v/>
      </c>
      <c r="E507" s="19" t="str">
        <f>IF('Supplier selection'!E507="","",'Supplier selection'!E507)</f>
        <v/>
      </c>
      <c r="F507" s="19" t="str">
        <f>IF('Supplier selection'!F507="","",'Supplier selection'!F507)</f>
        <v/>
      </c>
      <c r="G507" s="19" t="str">
        <f>IF('Supplier selection'!G507="","",'Supplier selection'!G507)</f>
        <v/>
      </c>
      <c r="H507" s="19" t="str">
        <f>IF('Supplier selection'!H507="","",'Supplier selection'!H507)</f>
        <v/>
      </c>
      <c r="I507" s="19" t="str">
        <f>IF('Supplier selection'!I507="","",'Supplier selection'!I507)</f>
        <v/>
      </c>
      <c r="J507" s="19" t="str">
        <f>IF('Supplier selection'!J507="","",'Supplier selection'!J507)</f>
        <v/>
      </c>
      <c r="K507" s="19" t="str">
        <f>IF('Supplier selection'!K507="","",'Supplier selection'!K507)</f>
        <v/>
      </c>
      <c r="L507" s="19" t="str">
        <f>IF('Supplier selection'!L507="","",'Supplier selection'!L507)</f>
        <v/>
      </c>
      <c r="M507" s="19" t="str">
        <f>IF('Supplier selection'!M507="","",'Supplier selection'!M507)</f>
        <v/>
      </c>
      <c r="N507" s="19" t="str">
        <f>IF('Supplier selection'!N507="","",'Supplier selection'!N507)</f>
        <v/>
      </c>
      <c r="O507" s="19" t="str">
        <f>IF('Supplier selection'!O507="","",'Supplier selection'!O507)</f>
        <v/>
      </c>
      <c r="Q507" s="19" t="str">
        <f>HLOOKUP($Q$3,'Supplier selection'!$AW$4:'Supplier selection'!$CT$1000,$A508,FALSE)</f>
        <v/>
      </c>
      <c r="R507" s="22" t="str">
        <f t="shared" si="77"/>
        <v/>
      </c>
      <c r="S507" s="19" t="str">
        <f t="shared" si="78"/>
        <v/>
      </c>
      <c r="T507" s="22" t="str">
        <f t="shared" si="79"/>
        <v/>
      </c>
      <c r="U507" s="19" t="str">
        <f t="shared" si="80"/>
        <v/>
      </c>
      <c r="V507" s="7"/>
      <c r="Y507" s="19" t="str">
        <f>IF('Supplier selection'!AQ507="","",'Supplier selection'!AQ507)</f>
        <v/>
      </c>
      <c r="Z507" s="19" t="str">
        <f>IF('Supplier selection'!AR507="","",'Supplier selection'!AR507)</f>
        <v/>
      </c>
      <c r="AA507" s="19" t="str">
        <f t="shared" si="81"/>
        <v/>
      </c>
      <c r="AD507" s="26" t="str">
        <f>IF(AND('Supplier selection'!X507="",'Supplier selection'!AE507=""),"",IF('Supplier selection'!X507="",'Supplier selection'!AE507,'Supplier selection'!X507))</f>
        <v/>
      </c>
      <c r="AE507" s="19" t="str">
        <f t="shared" si="82"/>
        <v/>
      </c>
      <c r="AF507" s="19" t="str">
        <f t="shared" si="83"/>
        <v/>
      </c>
      <c r="AG507" s="27" t="str">
        <f>IF(AND('Supplier selection'!AB507="",'Supplier selection'!AI507=""),"",IF('Supplier selection'!AB507="",'Supplier selection'!AI507,'Supplier selection'!AB507))</f>
        <v/>
      </c>
      <c r="AH507" s="28" t="str">
        <f t="shared" si="84"/>
        <v/>
      </c>
      <c r="AI507" s="7" t="str">
        <f t="shared" si="85"/>
        <v/>
      </c>
      <c r="AJ507" s="22" t="str">
        <f t="shared" si="86"/>
        <v/>
      </c>
      <c r="AK507" s="29" t="str">
        <f t="shared" si="87"/>
        <v/>
      </c>
      <c r="AL507" s="10"/>
    </row>
    <row r="508" spans="1:38">
      <c r="A508" s="19">
        <f>IF('Supplier selection'!A508="","",'Supplier selection'!A508)</f>
        <v>504</v>
      </c>
      <c r="B508" s="19" t="str">
        <f>IF('Supplier selection'!B508="","",'Supplier selection'!B508)</f>
        <v/>
      </c>
      <c r="C508" s="19" t="str">
        <f>IF('Supplier selection'!C508="","",'Supplier selection'!C508)</f>
        <v/>
      </c>
      <c r="D508" s="19" t="str">
        <f>IF('Supplier selection'!D508="","",'Supplier selection'!D508)</f>
        <v/>
      </c>
      <c r="E508" s="19" t="str">
        <f>IF('Supplier selection'!E508="","",'Supplier selection'!E508)</f>
        <v/>
      </c>
      <c r="F508" s="19" t="str">
        <f>IF('Supplier selection'!F508="","",'Supplier selection'!F508)</f>
        <v/>
      </c>
      <c r="G508" s="19" t="str">
        <f>IF('Supplier selection'!G508="","",'Supplier selection'!G508)</f>
        <v/>
      </c>
      <c r="H508" s="19" t="str">
        <f>IF('Supplier selection'!H508="","",'Supplier selection'!H508)</f>
        <v/>
      </c>
      <c r="I508" s="19" t="str">
        <f>IF('Supplier selection'!I508="","",'Supplier selection'!I508)</f>
        <v/>
      </c>
      <c r="J508" s="19" t="str">
        <f>IF('Supplier selection'!J508="","",'Supplier selection'!J508)</f>
        <v/>
      </c>
      <c r="K508" s="19" t="str">
        <f>IF('Supplier selection'!K508="","",'Supplier selection'!K508)</f>
        <v/>
      </c>
      <c r="L508" s="19" t="str">
        <f>IF('Supplier selection'!L508="","",'Supplier selection'!L508)</f>
        <v/>
      </c>
      <c r="M508" s="19" t="str">
        <f>IF('Supplier selection'!M508="","",'Supplier selection'!M508)</f>
        <v/>
      </c>
      <c r="N508" s="19" t="str">
        <f>IF('Supplier selection'!N508="","",'Supplier selection'!N508)</f>
        <v/>
      </c>
      <c r="O508" s="19" t="str">
        <f>IF('Supplier selection'!O508="","",'Supplier selection'!O508)</f>
        <v/>
      </c>
      <c r="Q508" s="19" t="str">
        <f>HLOOKUP($Q$3,'Supplier selection'!$AW$4:'Supplier selection'!$CT$1000,$A509,FALSE)</f>
        <v/>
      </c>
      <c r="R508" s="22" t="str">
        <f t="shared" si="77"/>
        <v/>
      </c>
      <c r="S508" s="19" t="str">
        <f t="shared" si="78"/>
        <v/>
      </c>
      <c r="T508" s="22" t="str">
        <f t="shared" si="79"/>
        <v/>
      </c>
      <c r="U508" s="19" t="str">
        <f t="shared" si="80"/>
        <v/>
      </c>
      <c r="V508" s="7"/>
      <c r="Y508" s="19" t="str">
        <f>IF('Supplier selection'!AQ508="","",'Supplier selection'!AQ508)</f>
        <v/>
      </c>
      <c r="Z508" s="19" t="str">
        <f>IF('Supplier selection'!AR508="","",'Supplier selection'!AR508)</f>
        <v/>
      </c>
      <c r="AA508" s="19" t="str">
        <f t="shared" si="81"/>
        <v/>
      </c>
      <c r="AD508" s="26" t="str">
        <f>IF(AND('Supplier selection'!X508="",'Supplier selection'!AE508=""),"",IF('Supplier selection'!X508="",'Supplier selection'!AE508,'Supplier selection'!X508))</f>
        <v/>
      </c>
      <c r="AE508" s="19" t="str">
        <f t="shared" si="82"/>
        <v/>
      </c>
      <c r="AF508" s="19" t="str">
        <f t="shared" si="83"/>
        <v/>
      </c>
      <c r="AG508" s="27" t="str">
        <f>IF(AND('Supplier selection'!AB508="",'Supplier selection'!AI508=""),"",IF('Supplier selection'!AB508="",'Supplier selection'!AI508,'Supplier selection'!AB508))</f>
        <v/>
      </c>
      <c r="AH508" s="28" t="str">
        <f t="shared" si="84"/>
        <v/>
      </c>
      <c r="AI508" s="7" t="str">
        <f t="shared" si="85"/>
        <v/>
      </c>
      <c r="AJ508" s="22" t="str">
        <f t="shared" si="86"/>
        <v/>
      </c>
      <c r="AK508" s="29" t="str">
        <f t="shared" si="87"/>
        <v/>
      </c>
      <c r="AL508" s="10"/>
    </row>
    <row r="509" spans="1:38">
      <c r="A509" s="19">
        <f>IF('Supplier selection'!A509="","",'Supplier selection'!A509)</f>
        <v>505</v>
      </c>
      <c r="B509" s="19" t="str">
        <f>IF('Supplier selection'!B509="","",'Supplier selection'!B509)</f>
        <v/>
      </c>
      <c r="C509" s="19" t="str">
        <f>IF('Supplier selection'!C509="","",'Supplier selection'!C509)</f>
        <v/>
      </c>
      <c r="D509" s="19" t="str">
        <f>IF('Supplier selection'!D509="","",'Supplier selection'!D509)</f>
        <v/>
      </c>
      <c r="E509" s="19" t="str">
        <f>IF('Supplier selection'!E509="","",'Supplier selection'!E509)</f>
        <v/>
      </c>
      <c r="F509" s="19" t="str">
        <f>IF('Supplier selection'!F509="","",'Supplier selection'!F509)</f>
        <v/>
      </c>
      <c r="G509" s="19" t="str">
        <f>IF('Supplier selection'!G509="","",'Supplier selection'!G509)</f>
        <v/>
      </c>
      <c r="H509" s="19" t="str">
        <f>IF('Supplier selection'!H509="","",'Supplier selection'!H509)</f>
        <v/>
      </c>
      <c r="I509" s="19" t="str">
        <f>IF('Supplier selection'!I509="","",'Supplier selection'!I509)</f>
        <v/>
      </c>
      <c r="J509" s="19" t="str">
        <f>IF('Supplier selection'!J509="","",'Supplier selection'!J509)</f>
        <v/>
      </c>
      <c r="K509" s="19" t="str">
        <f>IF('Supplier selection'!K509="","",'Supplier selection'!K509)</f>
        <v/>
      </c>
      <c r="L509" s="19" t="str">
        <f>IF('Supplier selection'!L509="","",'Supplier selection'!L509)</f>
        <v/>
      </c>
      <c r="M509" s="19" t="str">
        <f>IF('Supplier selection'!M509="","",'Supplier selection'!M509)</f>
        <v/>
      </c>
      <c r="N509" s="19" t="str">
        <f>IF('Supplier selection'!N509="","",'Supplier selection'!N509)</f>
        <v/>
      </c>
      <c r="O509" s="19" t="str">
        <f>IF('Supplier selection'!O509="","",'Supplier selection'!O509)</f>
        <v/>
      </c>
      <c r="Q509" s="19" t="str">
        <f>HLOOKUP($Q$3,'Supplier selection'!$AW$4:'Supplier selection'!$CT$1000,$A510,FALSE)</f>
        <v/>
      </c>
      <c r="R509" s="22" t="str">
        <f t="shared" si="77"/>
        <v/>
      </c>
      <c r="S509" s="19" t="str">
        <f t="shared" si="78"/>
        <v/>
      </c>
      <c r="T509" s="22" t="str">
        <f t="shared" si="79"/>
        <v/>
      </c>
      <c r="U509" s="19" t="str">
        <f t="shared" si="80"/>
        <v/>
      </c>
      <c r="V509" s="7"/>
      <c r="Y509" s="19" t="str">
        <f>IF('Supplier selection'!AQ509="","",'Supplier selection'!AQ509)</f>
        <v/>
      </c>
      <c r="Z509" s="19" t="str">
        <f>IF('Supplier selection'!AR509="","",'Supplier selection'!AR509)</f>
        <v/>
      </c>
      <c r="AA509" s="19" t="str">
        <f t="shared" si="81"/>
        <v/>
      </c>
      <c r="AD509" s="26" t="str">
        <f>IF(AND('Supplier selection'!X509="",'Supplier selection'!AE509=""),"",IF('Supplier selection'!X509="",'Supplier selection'!AE509,'Supplier selection'!X509))</f>
        <v/>
      </c>
      <c r="AE509" s="19" t="str">
        <f t="shared" si="82"/>
        <v/>
      </c>
      <c r="AF509" s="19" t="str">
        <f t="shared" si="83"/>
        <v/>
      </c>
      <c r="AG509" s="27" t="str">
        <f>IF(AND('Supplier selection'!AB509="",'Supplier selection'!AI509=""),"",IF('Supplier selection'!AB509="",'Supplier selection'!AI509,'Supplier selection'!AB509))</f>
        <v/>
      </c>
      <c r="AH509" s="28" t="str">
        <f t="shared" si="84"/>
        <v/>
      </c>
      <c r="AI509" s="7" t="str">
        <f t="shared" si="85"/>
        <v/>
      </c>
      <c r="AJ509" s="22" t="str">
        <f t="shared" si="86"/>
        <v/>
      </c>
      <c r="AK509" s="29" t="str">
        <f t="shared" si="87"/>
        <v/>
      </c>
      <c r="AL509" s="10"/>
    </row>
    <row r="510" spans="1:38">
      <c r="A510" s="19">
        <f>IF('Supplier selection'!A510="","",'Supplier selection'!A510)</f>
        <v>506</v>
      </c>
      <c r="B510" s="19" t="str">
        <f>IF('Supplier selection'!B510="","",'Supplier selection'!B510)</f>
        <v/>
      </c>
      <c r="C510" s="19" t="str">
        <f>IF('Supplier selection'!C510="","",'Supplier selection'!C510)</f>
        <v/>
      </c>
      <c r="D510" s="19" t="str">
        <f>IF('Supplier selection'!D510="","",'Supplier selection'!D510)</f>
        <v/>
      </c>
      <c r="E510" s="19" t="str">
        <f>IF('Supplier selection'!E510="","",'Supplier selection'!E510)</f>
        <v/>
      </c>
      <c r="F510" s="19" t="str">
        <f>IF('Supplier selection'!F510="","",'Supplier selection'!F510)</f>
        <v/>
      </c>
      <c r="G510" s="19" t="str">
        <f>IF('Supplier selection'!G510="","",'Supplier selection'!G510)</f>
        <v/>
      </c>
      <c r="H510" s="19" t="str">
        <f>IF('Supplier selection'!H510="","",'Supplier selection'!H510)</f>
        <v/>
      </c>
      <c r="I510" s="19" t="str">
        <f>IF('Supplier selection'!I510="","",'Supplier selection'!I510)</f>
        <v/>
      </c>
      <c r="J510" s="19" t="str">
        <f>IF('Supplier selection'!J510="","",'Supplier selection'!J510)</f>
        <v/>
      </c>
      <c r="K510" s="19" t="str">
        <f>IF('Supplier selection'!K510="","",'Supplier selection'!K510)</f>
        <v/>
      </c>
      <c r="L510" s="19" t="str">
        <f>IF('Supplier selection'!L510="","",'Supplier selection'!L510)</f>
        <v/>
      </c>
      <c r="M510" s="19" t="str">
        <f>IF('Supplier selection'!M510="","",'Supplier selection'!M510)</f>
        <v/>
      </c>
      <c r="N510" s="19" t="str">
        <f>IF('Supplier selection'!N510="","",'Supplier selection'!N510)</f>
        <v/>
      </c>
      <c r="O510" s="19" t="str">
        <f>IF('Supplier selection'!O510="","",'Supplier selection'!O510)</f>
        <v/>
      </c>
      <c r="Q510" s="19" t="str">
        <f>HLOOKUP($Q$3,'Supplier selection'!$AW$4:'Supplier selection'!$CT$1000,$A511,FALSE)</f>
        <v/>
      </c>
      <c r="R510" s="22" t="str">
        <f t="shared" si="77"/>
        <v/>
      </c>
      <c r="S510" s="19" t="str">
        <f t="shared" si="78"/>
        <v/>
      </c>
      <c r="T510" s="22" t="str">
        <f t="shared" si="79"/>
        <v/>
      </c>
      <c r="U510" s="19" t="str">
        <f t="shared" si="80"/>
        <v/>
      </c>
      <c r="V510" s="7"/>
      <c r="Y510" s="19" t="str">
        <f>IF('Supplier selection'!AQ510="","",'Supplier selection'!AQ510)</f>
        <v/>
      </c>
      <c r="Z510" s="19" t="str">
        <f>IF('Supplier selection'!AR510="","",'Supplier selection'!AR510)</f>
        <v/>
      </c>
      <c r="AA510" s="19" t="str">
        <f t="shared" si="81"/>
        <v/>
      </c>
      <c r="AD510" s="26" t="str">
        <f>IF(AND('Supplier selection'!X510="",'Supplier selection'!AE510=""),"",IF('Supplier selection'!X510="",'Supplier selection'!AE510,'Supplier selection'!X510))</f>
        <v/>
      </c>
      <c r="AE510" s="19" t="str">
        <f t="shared" si="82"/>
        <v/>
      </c>
      <c r="AF510" s="19" t="str">
        <f t="shared" si="83"/>
        <v/>
      </c>
      <c r="AG510" s="27" t="str">
        <f>IF(AND('Supplier selection'!AB510="",'Supplier selection'!AI510=""),"",IF('Supplier selection'!AB510="",'Supplier selection'!AI510,'Supplier selection'!AB510))</f>
        <v/>
      </c>
      <c r="AH510" s="28" t="str">
        <f t="shared" si="84"/>
        <v/>
      </c>
      <c r="AI510" s="7" t="str">
        <f t="shared" si="85"/>
        <v/>
      </c>
      <c r="AJ510" s="22" t="str">
        <f t="shared" si="86"/>
        <v/>
      </c>
      <c r="AK510" s="29" t="str">
        <f t="shared" si="87"/>
        <v/>
      </c>
      <c r="AL510" s="10"/>
    </row>
    <row r="511" spans="1:38">
      <c r="A511" s="19">
        <f>IF('Supplier selection'!A511="","",'Supplier selection'!A511)</f>
        <v>507</v>
      </c>
      <c r="B511" s="19" t="str">
        <f>IF('Supplier selection'!B511="","",'Supplier selection'!B511)</f>
        <v/>
      </c>
      <c r="C511" s="19" t="str">
        <f>IF('Supplier selection'!C511="","",'Supplier selection'!C511)</f>
        <v/>
      </c>
      <c r="D511" s="19" t="str">
        <f>IF('Supplier selection'!D511="","",'Supplier selection'!D511)</f>
        <v/>
      </c>
      <c r="E511" s="19" t="str">
        <f>IF('Supplier selection'!E511="","",'Supplier selection'!E511)</f>
        <v/>
      </c>
      <c r="F511" s="19" t="str">
        <f>IF('Supplier selection'!F511="","",'Supplier selection'!F511)</f>
        <v/>
      </c>
      <c r="G511" s="19" t="str">
        <f>IF('Supplier selection'!G511="","",'Supplier selection'!G511)</f>
        <v/>
      </c>
      <c r="H511" s="19" t="str">
        <f>IF('Supplier selection'!H511="","",'Supplier selection'!H511)</f>
        <v/>
      </c>
      <c r="I511" s="19" t="str">
        <f>IF('Supplier selection'!I511="","",'Supplier selection'!I511)</f>
        <v/>
      </c>
      <c r="J511" s="19" t="str">
        <f>IF('Supplier selection'!J511="","",'Supplier selection'!J511)</f>
        <v/>
      </c>
      <c r="K511" s="19" t="str">
        <f>IF('Supplier selection'!K511="","",'Supplier selection'!K511)</f>
        <v/>
      </c>
      <c r="L511" s="19" t="str">
        <f>IF('Supplier selection'!L511="","",'Supplier selection'!L511)</f>
        <v/>
      </c>
      <c r="M511" s="19" t="str">
        <f>IF('Supplier selection'!M511="","",'Supplier selection'!M511)</f>
        <v/>
      </c>
      <c r="N511" s="19" t="str">
        <f>IF('Supplier selection'!N511="","",'Supplier selection'!N511)</f>
        <v/>
      </c>
      <c r="O511" s="19" t="str">
        <f>IF('Supplier selection'!O511="","",'Supplier selection'!O511)</f>
        <v/>
      </c>
      <c r="Q511" s="19" t="str">
        <f>HLOOKUP($Q$3,'Supplier selection'!$AW$4:'Supplier selection'!$CT$1000,$A512,FALSE)</f>
        <v/>
      </c>
      <c r="R511" s="22" t="str">
        <f t="shared" si="77"/>
        <v/>
      </c>
      <c r="S511" s="19" t="str">
        <f t="shared" si="78"/>
        <v/>
      </c>
      <c r="T511" s="22" t="str">
        <f t="shared" si="79"/>
        <v/>
      </c>
      <c r="U511" s="19" t="str">
        <f t="shared" si="80"/>
        <v/>
      </c>
      <c r="V511" s="7"/>
      <c r="Y511" s="19" t="str">
        <f>IF('Supplier selection'!AQ511="","",'Supplier selection'!AQ511)</f>
        <v/>
      </c>
      <c r="Z511" s="19" t="str">
        <f>IF('Supplier selection'!AR511="","",'Supplier selection'!AR511)</f>
        <v/>
      </c>
      <c r="AA511" s="19" t="str">
        <f t="shared" si="81"/>
        <v/>
      </c>
      <c r="AD511" s="26" t="str">
        <f>IF(AND('Supplier selection'!X511="",'Supplier selection'!AE511=""),"",IF('Supplier selection'!X511="",'Supplier selection'!AE511,'Supplier selection'!X511))</f>
        <v/>
      </c>
      <c r="AE511" s="19" t="str">
        <f t="shared" si="82"/>
        <v/>
      </c>
      <c r="AF511" s="19" t="str">
        <f t="shared" si="83"/>
        <v/>
      </c>
      <c r="AG511" s="27" t="str">
        <f>IF(AND('Supplier selection'!AB511="",'Supplier selection'!AI511=""),"",IF('Supplier selection'!AB511="",'Supplier selection'!AI511,'Supplier selection'!AB511))</f>
        <v/>
      </c>
      <c r="AH511" s="28" t="str">
        <f t="shared" si="84"/>
        <v/>
      </c>
      <c r="AI511" s="7" t="str">
        <f t="shared" si="85"/>
        <v/>
      </c>
      <c r="AJ511" s="22" t="str">
        <f t="shared" si="86"/>
        <v/>
      </c>
      <c r="AK511" s="29" t="str">
        <f t="shared" si="87"/>
        <v/>
      </c>
      <c r="AL511" s="10"/>
    </row>
    <row r="512" spans="1:38">
      <c r="A512" s="19">
        <f>IF('Supplier selection'!A512="","",'Supplier selection'!A512)</f>
        <v>508</v>
      </c>
      <c r="B512" s="19" t="str">
        <f>IF('Supplier selection'!B512="","",'Supplier selection'!B512)</f>
        <v/>
      </c>
      <c r="C512" s="19" t="str">
        <f>IF('Supplier selection'!C512="","",'Supplier selection'!C512)</f>
        <v/>
      </c>
      <c r="D512" s="19" t="str">
        <f>IF('Supplier selection'!D512="","",'Supplier selection'!D512)</f>
        <v/>
      </c>
      <c r="E512" s="19" t="str">
        <f>IF('Supplier selection'!E512="","",'Supplier selection'!E512)</f>
        <v/>
      </c>
      <c r="F512" s="19" t="str">
        <f>IF('Supplier selection'!F512="","",'Supplier selection'!F512)</f>
        <v/>
      </c>
      <c r="G512" s="19" t="str">
        <f>IF('Supplier selection'!G512="","",'Supplier selection'!G512)</f>
        <v/>
      </c>
      <c r="H512" s="19" t="str">
        <f>IF('Supplier selection'!H512="","",'Supplier selection'!H512)</f>
        <v/>
      </c>
      <c r="I512" s="19" t="str">
        <f>IF('Supplier selection'!I512="","",'Supplier selection'!I512)</f>
        <v/>
      </c>
      <c r="J512" s="19" t="str">
        <f>IF('Supplier selection'!J512="","",'Supplier selection'!J512)</f>
        <v/>
      </c>
      <c r="K512" s="19" t="str">
        <f>IF('Supplier selection'!K512="","",'Supplier selection'!K512)</f>
        <v/>
      </c>
      <c r="L512" s="19" t="str">
        <f>IF('Supplier selection'!L512="","",'Supplier selection'!L512)</f>
        <v/>
      </c>
      <c r="M512" s="19" t="str">
        <f>IF('Supplier selection'!M512="","",'Supplier selection'!M512)</f>
        <v/>
      </c>
      <c r="N512" s="19" t="str">
        <f>IF('Supplier selection'!N512="","",'Supplier selection'!N512)</f>
        <v/>
      </c>
      <c r="O512" s="19" t="str">
        <f>IF('Supplier selection'!O512="","",'Supplier selection'!O512)</f>
        <v/>
      </c>
      <c r="Q512" s="19" t="str">
        <f>HLOOKUP($Q$3,'Supplier selection'!$AW$4:'Supplier selection'!$CT$1000,$A513,FALSE)</f>
        <v/>
      </c>
      <c r="R512" s="22" t="str">
        <f t="shared" si="77"/>
        <v/>
      </c>
      <c r="S512" s="19" t="str">
        <f t="shared" si="78"/>
        <v/>
      </c>
      <c r="T512" s="22" t="str">
        <f t="shared" si="79"/>
        <v/>
      </c>
      <c r="U512" s="19" t="str">
        <f t="shared" si="80"/>
        <v/>
      </c>
      <c r="V512" s="7"/>
      <c r="Y512" s="19" t="str">
        <f>IF('Supplier selection'!AQ512="","",'Supplier selection'!AQ512)</f>
        <v/>
      </c>
      <c r="Z512" s="19" t="str">
        <f>IF('Supplier selection'!AR512="","",'Supplier selection'!AR512)</f>
        <v/>
      </c>
      <c r="AA512" s="19" t="str">
        <f t="shared" si="81"/>
        <v/>
      </c>
      <c r="AD512" s="26" t="str">
        <f>IF(AND('Supplier selection'!X512="",'Supplier selection'!AE512=""),"",IF('Supplier selection'!X512="",'Supplier selection'!AE512,'Supplier selection'!X512))</f>
        <v/>
      </c>
      <c r="AE512" s="19" t="str">
        <f t="shared" si="82"/>
        <v/>
      </c>
      <c r="AF512" s="19" t="str">
        <f t="shared" si="83"/>
        <v/>
      </c>
      <c r="AG512" s="27" t="str">
        <f>IF(AND('Supplier selection'!AB512="",'Supplier selection'!AI512=""),"",IF('Supplier selection'!AB512="",'Supplier selection'!AI512,'Supplier selection'!AB512))</f>
        <v/>
      </c>
      <c r="AH512" s="28" t="str">
        <f t="shared" si="84"/>
        <v/>
      </c>
      <c r="AI512" s="7" t="str">
        <f t="shared" si="85"/>
        <v/>
      </c>
      <c r="AJ512" s="22" t="str">
        <f t="shared" si="86"/>
        <v/>
      </c>
      <c r="AK512" s="29" t="str">
        <f t="shared" si="87"/>
        <v/>
      </c>
      <c r="AL512" s="10"/>
    </row>
    <row r="513" spans="1:38">
      <c r="A513" s="19">
        <f>IF('Supplier selection'!A513="","",'Supplier selection'!A513)</f>
        <v>509</v>
      </c>
      <c r="B513" s="19" t="str">
        <f>IF('Supplier selection'!B513="","",'Supplier selection'!B513)</f>
        <v/>
      </c>
      <c r="C513" s="19" t="str">
        <f>IF('Supplier selection'!C513="","",'Supplier selection'!C513)</f>
        <v/>
      </c>
      <c r="D513" s="19" t="str">
        <f>IF('Supplier selection'!D513="","",'Supplier selection'!D513)</f>
        <v/>
      </c>
      <c r="E513" s="19" t="str">
        <f>IF('Supplier selection'!E513="","",'Supplier selection'!E513)</f>
        <v/>
      </c>
      <c r="F513" s="19" t="str">
        <f>IF('Supplier selection'!F513="","",'Supplier selection'!F513)</f>
        <v/>
      </c>
      <c r="G513" s="19" t="str">
        <f>IF('Supplier selection'!G513="","",'Supplier selection'!G513)</f>
        <v/>
      </c>
      <c r="H513" s="19" t="str">
        <f>IF('Supplier selection'!H513="","",'Supplier selection'!H513)</f>
        <v/>
      </c>
      <c r="I513" s="19" t="str">
        <f>IF('Supplier selection'!I513="","",'Supplier selection'!I513)</f>
        <v/>
      </c>
      <c r="J513" s="19" t="str">
        <f>IF('Supplier selection'!J513="","",'Supplier selection'!J513)</f>
        <v/>
      </c>
      <c r="K513" s="19" t="str">
        <f>IF('Supplier selection'!K513="","",'Supplier selection'!K513)</f>
        <v/>
      </c>
      <c r="L513" s="19" t="str">
        <f>IF('Supplier selection'!L513="","",'Supplier selection'!L513)</f>
        <v/>
      </c>
      <c r="M513" s="19" t="str">
        <f>IF('Supplier selection'!M513="","",'Supplier selection'!M513)</f>
        <v/>
      </c>
      <c r="N513" s="19" t="str">
        <f>IF('Supplier selection'!N513="","",'Supplier selection'!N513)</f>
        <v/>
      </c>
      <c r="O513" s="19" t="str">
        <f>IF('Supplier selection'!O513="","",'Supplier selection'!O513)</f>
        <v/>
      </c>
      <c r="Q513" s="19" t="str">
        <f>HLOOKUP($Q$3,'Supplier selection'!$AW$4:'Supplier selection'!$CT$1000,$A514,FALSE)</f>
        <v/>
      </c>
      <c r="R513" s="22" t="str">
        <f t="shared" si="77"/>
        <v/>
      </c>
      <c r="S513" s="19" t="str">
        <f t="shared" si="78"/>
        <v/>
      </c>
      <c r="T513" s="22" t="str">
        <f t="shared" si="79"/>
        <v/>
      </c>
      <c r="U513" s="19" t="str">
        <f t="shared" si="80"/>
        <v/>
      </c>
      <c r="V513" s="7"/>
      <c r="Y513" s="19" t="str">
        <f>IF('Supplier selection'!AQ513="","",'Supplier selection'!AQ513)</f>
        <v/>
      </c>
      <c r="Z513" s="19" t="str">
        <f>IF('Supplier selection'!AR513="","",'Supplier selection'!AR513)</f>
        <v/>
      </c>
      <c r="AA513" s="19" t="str">
        <f t="shared" si="81"/>
        <v/>
      </c>
      <c r="AD513" s="26" t="str">
        <f>IF(AND('Supplier selection'!X513="",'Supplier selection'!AE513=""),"",IF('Supplier selection'!X513="",'Supplier selection'!AE513,'Supplier selection'!X513))</f>
        <v/>
      </c>
      <c r="AE513" s="19" t="str">
        <f t="shared" si="82"/>
        <v/>
      </c>
      <c r="AF513" s="19" t="str">
        <f t="shared" si="83"/>
        <v/>
      </c>
      <c r="AG513" s="27" t="str">
        <f>IF(AND('Supplier selection'!AB513="",'Supplier selection'!AI513=""),"",IF('Supplier selection'!AB513="",'Supplier selection'!AI513,'Supplier selection'!AB513))</f>
        <v/>
      </c>
      <c r="AH513" s="28" t="str">
        <f t="shared" si="84"/>
        <v/>
      </c>
      <c r="AI513" s="7" t="str">
        <f t="shared" si="85"/>
        <v/>
      </c>
      <c r="AJ513" s="22" t="str">
        <f t="shared" si="86"/>
        <v/>
      </c>
      <c r="AK513" s="29" t="str">
        <f t="shared" si="87"/>
        <v/>
      </c>
      <c r="AL513" s="10"/>
    </row>
    <row r="514" spans="1:38">
      <c r="A514" s="19">
        <f>IF('Supplier selection'!A514="","",'Supplier selection'!A514)</f>
        <v>510</v>
      </c>
      <c r="B514" s="19" t="str">
        <f>IF('Supplier selection'!B514="","",'Supplier selection'!B514)</f>
        <v/>
      </c>
      <c r="C514" s="19" t="str">
        <f>IF('Supplier selection'!C514="","",'Supplier selection'!C514)</f>
        <v/>
      </c>
      <c r="D514" s="19" t="str">
        <f>IF('Supplier selection'!D514="","",'Supplier selection'!D514)</f>
        <v/>
      </c>
      <c r="E514" s="19" t="str">
        <f>IF('Supplier selection'!E514="","",'Supplier selection'!E514)</f>
        <v/>
      </c>
      <c r="F514" s="19" t="str">
        <f>IF('Supplier selection'!F514="","",'Supplier selection'!F514)</f>
        <v/>
      </c>
      <c r="G514" s="19" t="str">
        <f>IF('Supplier selection'!G514="","",'Supplier selection'!G514)</f>
        <v/>
      </c>
      <c r="H514" s="19" t="str">
        <f>IF('Supplier selection'!H514="","",'Supplier selection'!H514)</f>
        <v/>
      </c>
      <c r="I514" s="19" t="str">
        <f>IF('Supplier selection'!I514="","",'Supplier selection'!I514)</f>
        <v/>
      </c>
      <c r="J514" s="19" t="str">
        <f>IF('Supplier selection'!J514="","",'Supplier selection'!J514)</f>
        <v/>
      </c>
      <c r="K514" s="19" t="str">
        <f>IF('Supplier selection'!K514="","",'Supplier selection'!K514)</f>
        <v/>
      </c>
      <c r="L514" s="19" t="str">
        <f>IF('Supplier selection'!L514="","",'Supplier selection'!L514)</f>
        <v/>
      </c>
      <c r="M514" s="19" t="str">
        <f>IF('Supplier selection'!M514="","",'Supplier selection'!M514)</f>
        <v/>
      </c>
      <c r="N514" s="19" t="str">
        <f>IF('Supplier selection'!N514="","",'Supplier selection'!N514)</f>
        <v/>
      </c>
      <c r="O514" s="19" t="str">
        <f>IF('Supplier selection'!O514="","",'Supplier selection'!O514)</f>
        <v/>
      </c>
      <c r="Q514" s="19" t="str">
        <f>HLOOKUP($Q$3,'Supplier selection'!$AW$4:'Supplier selection'!$CT$1000,$A515,FALSE)</f>
        <v/>
      </c>
      <c r="R514" s="22" t="str">
        <f t="shared" si="77"/>
        <v/>
      </c>
      <c r="S514" s="19" t="str">
        <f t="shared" si="78"/>
        <v/>
      </c>
      <c r="T514" s="22" t="str">
        <f t="shared" si="79"/>
        <v/>
      </c>
      <c r="U514" s="19" t="str">
        <f t="shared" si="80"/>
        <v/>
      </c>
      <c r="V514" s="7"/>
      <c r="Y514" s="19" t="str">
        <f>IF('Supplier selection'!AQ514="","",'Supplier selection'!AQ514)</f>
        <v/>
      </c>
      <c r="Z514" s="19" t="str">
        <f>IF('Supplier selection'!AR514="","",'Supplier selection'!AR514)</f>
        <v/>
      </c>
      <c r="AA514" s="19" t="str">
        <f t="shared" si="81"/>
        <v/>
      </c>
      <c r="AD514" s="26" t="str">
        <f>IF(AND('Supplier selection'!X514="",'Supplier selection'!AE514=""),"",IF('Supplier selection'!X514="",'Supplier selection'!AE514,'Supplier selection'!X514))</f>
        <v/>
      </c>
      <c r="AE514" s="19" t="str">
        <f t="shared" si="82"/>
        <v/>
      </c>
      <c r="AF514" s="19" t="str">
        <f t="shared" si="83"/>
        <v/>
      </c>
      <c r="AG514" s="27" t="str">
        <f>IF(AND('Supplier selection'!AB514="",'Supplier selection'!AI514=""),"",IF('Supplier selection'!AB514="",'Supplier selection'!AI514,'Supplier selection'!AB514))</f>
        <v/>
      </c>
      <c r="AH514" s="28" t="str">
        <f t="shared" si="84"/>
        <v/>
      </c>
      <c r="AI514" s="7" t="str">
        <f t="shared" si="85"/>
        <v/>
      </c>
      <c r="AJ514" s="22" t="str">
        <f t="shared" si="86"/>
        <v/>
      </c>
      <c r="AK514" s="29" t="str">
        <f t="shared" si="87"/>
        <v/>
      </c>
      <c r="AL514" s="10"/>
    </row>
    <row r="515" spans="1:38">
      <c r="A515" s="19">
        <f>IF('Supplier selection'!A515="","",'Supplier selection'!A515)</f>
        <v>511</v>
      </c>
      <c r="B515" s="19" t="str">
        <f>IF('Supplier selection'!B515="","",'Supplier selection'!B515)</f>
        <v/>
      </c>
      <c r="C515" s="19" t="str">
        <f>IF('Supplier selection'!C515="","",'Supplier selection'!C515)</f>
        <v/>
      </c>
      <c r="D515" s="19" t="str">
        <f>IF('Supplier selection'!D515="","",'Supplier selection'!D515)</f>
        <v/>
      </c>
      <c r="E515" s="19" t="str">
        <f>IF('Supplier selection'!E515="","",'Supplier selection'!E515)</f>
        <v/>
      </c>
      <c r="F515" s="19" t="str">
        <f>IF('Supplier selection'!F515="","",'Supplier selection'!F515)</f>
        <v/>
      </c>
      <c r="G515" s="19" t="str">
        <f>IF('Supplier selection'!G515="","",'Supplier selection'!G515)</f>
        <v/>
      </c>
      <c r="H515" s="19" t="str">
        <f>IF('Supplier selection'!H515="","",'Supplier selection'!H515)</f>
        <v/>
      </c>
      <c r="I515" s="19" t="str">
        <f>IF('Supplier selection'!I515="","",'Supplier selection'!I515)</f>
        <v/>
      </c>
      <c r="J515" s="19" t="str">
        <f>IF('Supplier selection'!J515="","",'Supplier selection'!J515)</f>
        <v/>
      </c>
      <c r="K515" s="19" t="str">
        <f>IF('Supplier selection'!K515="","",'Supplier selection'!K515)</f>
        <v/>
      </c>
      <c r="L515" s="19" t="str">
        <f>IF('Supplier selection'!L515="","",'Supplier selection'!L515)</f>
        <v/>
      </c>
      <c r="M515" s="19" t="str">
        <f>IF('Supplier selection'!M515="","",'Supplier selection'!M515)</f>
        <v/>
      </c>
      <c r="N515" s="19" t="str">
        <f>IF('Supplier selection'!N515="","",'Supplier selection'!N515)</f>
        <v/>
      </c>
      <c r="O515" s="19" t="str">
        <f>IF('Supplier selection'!O515="","",'Supplier selection'!O515)</f>
        <v/>
      </c>
      <c r="Q515" s="19" t="str">
        <f>HLOOKUP($Q$3,'Supplier selection'!$AW$4:'Supplier selection'!$CT$1000,$A516,FALSE)</f>
        <v/>
      </c>
      <c r="R515" s="22" t="str">
        <f t="shared" si="77"/>
        <v/>
      </c>
      <c r="S515" s="19" t="str">
        <f t="shared" si="78"/>
        <v/>
      </c>
      <c r="T515" s="22" t="str">
        <f t="shared" si="79"/>
        <v/>
      </c>
      <c r="U515" s="19" t="str">
        <f t="shared" si="80"/>
        <v/>
      </c>
      <c r="V515" s="7"/>
      <c r="Y515" s="19" t="str">
        <f>IF('Supplier selection'!AQ515="","",'Supplier selection'!AQ515)</f>
        <v/>
      </c>
      <c r="Z515" s="19" t="str">
        <f>IF('Supplier selection'!AR515="","",'Supplier selection'!AR515)</f>
        <v/>
      </c>
      <c r="AA515" s="19" t="str">
        <f t="shared" si="81"/>
        <v/>
      </c>
      <c r="AD515" s="26" t="str">
        <f>IF(AND('Supplier selection'!X515="",'Supplier selection'!AE515=""),"",IF('Supplier selection'!X515="",'Supplier selection'!AE515,'Supplier selection'!X515))</f>
        <v/>
      </c>
      <c r="AE515" s="19" t="str">
        <f t="shared" si="82"/>
        <v/>
      </c>
      <c r="AF515" s="19" t="str">
        <f t="shared" si="83"/>
        <v/>
      </c>
      <c r="AG515" s="27" t="str">
        <f>IF(AND('Supplier selection'!AB515="",'Supplier selection'!AI515=""),"",IF('Supplier selection'!AB515="",'Supplier selection'!AI515,'Supplier selection'!AB515))</f>
        <v/>
      </c>
      <c r="AH515" s="28" t="str">
        <f t="shared" si="84"/>
        <v/>
      </c>
      <c r="AI515" s="7" t="str">
        <f t="shared" si="85"/>
        <v/>
      </c>
      <c r="AJ515" s="22" t="str">
        <f t="shared" si="86"/>
        <v/>
      </c>
      <c r="AK515" s="29" t="str">
        <f t="shared" si="87"/>
        <v/>
      </c>
      <c r="AL515" s="10"/>
    </row>
    <row r="516" spans="1:38">
      <c r="A516" s="19">
        <f>IF('Supplier selection'!A516="","",'Supplier selection'!A516)</f>
        <v>512</v>
      </c>
      <c r="B516" s="19" t="str">
        <f>IF('Supplier selection'!B516="","",'Supplier selection'!B516)</f>
        <v/>
      </c>
      <c r="C516" s="19" t="str">
        <f>IF('Supplier selection'!C516="","",'Supplier selection'!C516)</f>
        <v/>
      </c>
      <c r="D516" s="19" t="str">
        <f>IF('Supplier selection'!D516="","",'Supplier selection'!D516)</f>
        <v/>
      </c>
      <c r="E516" s="19" t="str">
        <f>IF('Supplier selection'!E516="","",'Supplier selection'!E516)</f>
        <v/>
      </c>
      <c r="F516" s="19" t="str">
        <f>IF('Supplier selection'!F516="","",'Supplier selection'!F516)</f>
        <v/>
      </c>
      <c r="G516" s="19" t="str">
        <f>IF('Supplier selection'!G516="","",'Supplier selection'!G516)</f>
        <v/>
      </c>
      <c r="H516" s="19" t="str">
        <f>IF('Supplier selection'!H516="","",'Supplier selection'!H516)</f>
        <v/>
      </c>
      <c r="I516" s="19" t="str">
        <f>IF('Supplier selection'!I516="","",'Supplier selection'!I516)</f>
        <v/>
      </c>
      <c r="J516" s="19" t="str">
        <f>IF('Supplier selection'!J516="","",'Supplier selection'!J516)</f>
        <v/>
      </c>
      <c r="K516" s="19" t="str">
        <f>IF('Supplier selection'!K516="","",'Supplier selection'!K516)</f>
        <v/>
      </c>
      <c r="L516" s="19" t="str">
        <f>IF('Supplier selection'!L516="","",'Supplier selection'!L516)</f>
        <v/>
      </c>
      <c r="M516" s="19" t="str">
        <f>IF('Supplier selection'!M516="","",'Supplier selection'!M516)</f>
        <v/>
      </c>
      <c r="N516" s="19" t="str">
        <f>IF('Supplier selection'!N516="","",'Supplier selection'!N516)</f>
        <v/>
      </c>
      <c r="O516" s="19" t="str">
        <f>IF('Supplier selection'!O516="","",'Supplier selection'!O516)</f>
        <v/>
      </c>
      <c r="Q516" s="19" t="str">
        <f>HLOOKUP($Q$3,'Supplier selection'!$AW$4:'Supplier selection'!$CT$1000,$A517,FALSE)</f>
        <v/>
      </c>
      <c r="R516" s="22" t="str">
        <f t="shared" si="77"/>
        <v/>
      </c>
      <c r="S516" s="19" t="str">
        <f t="shared" si="78"/>
        <v/>
      </c>
      <c r="T516" s="22" t="str">
        <f t="shared" si="79"/>
        <v/>
      </c>
      <c r="U516" s="19" t="str">
        <f t="shared" si="80"/>
        <v/>
      </c>
      <c r="V516" s="7"/>
      <c r="Y516" s="19" t="str">
        <f>IF('Supplier selection'!AQ516="","",'Supplier selection'!AQ516)</f>
        <v/>
      </c>
      <c r="Z516" s="19" t="str">
        <f>IF('Supplier selection'!AR516="","",'Supplier selection'!AR516)</f>
        <v/>
      </c>
      <c r="AA516" s="19" t="str">
        <f t="shared" si="81"/>
        <v/>
      </c>
      <c r="AD516" s="26" t="str">
        <f>IF(AND('Supplier selection'!X516="",'Supplier selection'!AE516=""),"",IF('Supplier selection'!X516="",'Supplier selection'!AE516,'Supplier selection'!X516))</f>
        <v/>
      </c>
      <c r="AE516" s="19" t="str">
        <f t="shared" si="82"/>
        <v/>
      </c>
      <c r="AF516" s="19" t="str">
        <f t="shared" si="83"/>
        <v/>
      </c>
      <c r="AG516" s="27" t="str">
        <f>IF(AND('Supplier selection'!AB516="",'Supplier selection'!AI516=""),"",IF('Supplier selection'!AB516="",'Supplier selection'!AI516,'Supplier selection'!AB516))</f>
        <v/>
      </c>
      <c r="AH516" s="28" t="str">
        <f t="shared" si="84"/>
        <v/>
      </c>
      <c r="AI516" s="7" t="str">
        <f t="shared" si="85"/>
        <v/>
      </c>
      <c r="AJ516" s="22" t="str">
        <f t="shared" si="86"/>
        <v/>
      </c>
      <c r="AK516" s="29" t="str">
        <f t="shared" si="87"/>
        <v/>
      </c>
      <c r="AL516" s="10"/>
    </row>
    <row r="517" spans="1:38">
      <c r="A517" s="19">
        <f>IF('Supplier selection'!A517="","",'Supplier selection'!A517)</f>
        <v>513</v>
      </c>
      <c r="B517" s="19" t="str">
        <f>IF('Supplier selection'!B517="","",'Supplier selection'!B517)</f>
        <v/>
      </c>
      <c r="C517" s="19" t="str">
        <f>IF('Supplier selection'!C517="","",'Supplier selection'!C517)</f>
        <v/>
      </c>
      <c r="D517" s="19" t="str">
        <f>IF('Supplier selection'!D517="","",'Supplier selection'!D517)</f>
        <v/>
      </c>
      <c r="E517" s="19" t="str">
        <f>IF('Supplier selection'!E517="","",'Supplier selection'!E517)</f>
        <v/>
      </c>
      <c r="F517" s="19" t="str">
        <f>IF('Supplier selection'!F517="","",'Supplier selection'!F517)</f>
        <v/>
      </c>
      <c r="G517" s="19" t="str">
        <f>IF('Supplier selection'!G517="","",'Supplier selection'!G517)</f>
        <v/>
      </c>
      <c r="H517" s="19" t="str">
        <f>IF('Supplier selection'!H517="","",'Supplier selection'!H517)</f>
        <v/>
      </c>
      <c r="I517" s="19" t="str">
        <f>IF('Supplier selection'!I517="","",'Supplier selection'!I517)</f>
        <v/>
      </c>
      <c r="J517" s="19" t="str">
        <f>IF('Supplier selection'!J517="","",'Supplier selection'!J517)</f>
        <v/>
      </c>
      <c r="K517" s="19" t="str">
        <f>IF('Supplier selection'!K517="","",'Supplier selection'!K517)</f>
        <v/>
      </c>
      <c r="L517" s="19" t="str">
        <f>IF('Supplier selection'!L517="","",'Supplier selection'!L517)</f>
        <v/>
      </c>
      <c r="M517" s="19" t="str">
        <f>IF('Supplier selection'!M517="","",'Supplier selection'!M517)</f>
        <v/>
      </c>
      <c r="N517" s="19" t="str">
        <f>IF('Supplier selection'!N517="","",'Supplier selection'!N517)</f>
        <v/>
      </c>
      <c r="O517" s="19" t="str">
        <f>IF('Supplier selection'!O517="","",'Supplier selection'!O517)</f>
        <v/>
      </c>
      <c r="Q517" s="19" t="str">
        <f>HLOOKUP($Q$3,'Supplier selection'!$AW$4:'Supplier selection'!$CT$1000,$A518,FALSE)</f>
        <v/>
      </c>
      <c r="R517" s="22" t="str">
        <f t="shared" si="77"/>
        <v/>
      </c>
      <c r="S517" s="19" t="str">
        <f t="shared" si="78"/>
        <v/>
      </c>
      <c r="T517" s="22" t="str">
        <f t="shared" si="79"/>
        <v/>
      </c>
      <c r="U517" s="19" t="str">
        <f t="shared" si="80"/>
        <v/>
      </c>
      <c r="V517" s="7"/>
      <c r="Y517" s="19" t="str">
        <f>IF('Supplier selection'!AQ517="","",'Supplier selection'!AQ517)</f>
        <v/>
      </c>
      <c r="Z517" s="19" t="str">
        <f>IF('Supplier selection'!AR517="","",'Supplier selection'!AR517)</f>
        <v/>
      </c>
      <c r="AA517" s="19" t="str">
        <f t="shared" si="81"/>
        <v/>
      </c>
      <c r="AD517" s="26" t="str">
        <f>IF(AND('Supplier selection'!X517="",'Supplier selection'!AE517=""),"",IF('Supplier selection'!X517="",'Supplier selection'!AE517,'Supplier selection'!X517))</f>
        <v/>
      </c>
      <c r="AE517" s="19" t="str">
        <f t="shared" si="82"/>
        <v/>
      </c>
      <c r="AF517" s="19" t="str">
        <f t="shared" si="83"/>
        <v/>
      </c>
      <c r="AG517" s="27" t="str">
        <f>IF(AND('Supplier selection'!AB517="",'Supplier selection'!AI517=""),"",IF('Supplier selection'!AB517="",'Supplier selection'!AI517,'Supplier selection'!AB517))</f>
        <v/>
      </c>
      <c r="AH517" s="28" t="str">
        <f t="shared" si="84"/>
        <v/>
      </c>
      <c r="AI517" s="7" t="str">
        <f t="shared" si="85"/>
        <v/>
      </c>
      <c r="AJ517" s="22" t="str">
        <f t="shared" si="86"/>
        <v/>
      </c>
      <c r="AK517" s="29" t="str">
        <f t="shared" si="87"/>
        <v/>
      </c>
      <c r="AL517" s="10"/>
    </row>
    <row r="518" spans="1:38">
      <c r="A518" s="19">
        <f>IF('Supplier selection'!A518="","",'Supplier selection'!A518)</f>
        <v>514</v>
      </c>
      <c r="B518" s="19" t="str">
        <f>IF('Supplier selection'!B518="","",'Supplier selection'!B518)</f>
        <v/>
      </c>
      <c r="C518" s="19" t="str">
        <f>IF('Supplier selection'!C518="","",'Supplier selection'!C518)</f>
        <v/>
      </c>
      <c r="D518" s="19" t="str">
        <f>IF('Supplier selection'!D518="","",'Supplier selection'!D518)</f>
        <v/>
      </c>
      <c r="E518" s="19" t="str">
        <f>IF('Supplier selection'!E518="","",'Supplier selection'!E518)</f>
        <v/>
      </c>
      <c r="F518" s="19" t="str">
        <f>IF('Supplier selection'!F518="","",'Supplier selection'!F518)</f>
        <v/>
      </c>
      <c r="G518" s="19" t="str">
        <f>IF('Supplier selection'!G518="","",'Supplier selection'!G518)</f>
        <v/>
      </c>
      <c r="H518" s="19" t="str">
        <f>IF('Supplier selection'!H518="","",'Supplier selection'!H518)</f>
        <v/>
      </c>
      <c r="I518" s="19" t="str">
        <f>IF('Supplier selection'!I518="","",'Supplier selection'!I518)</f>
        <v/>
      </c>
      <c r="J518" s="19" t="str">
        <f>IF('Supplier selection'!J518="","",'Supplier selection'!J518)</f>
        <v/>
      </c>
      <c r="K518" s="19" t="str">
        <f>IF('Supplier selection'!K518="","",'Supplier selection'!K518)</f>
        <v/>
      </c>
      <c r="L518" s="19" t="str">
        <f>IF('Supplier selection'!L518="","",'Supplier selection'!L518)</f>
        <v/>
      </c>
      <c r="M518" s="19" t="str">
        <f>IF('Supplier selection'!M518="","",'Supplier selection'!M518)</f>
        <v/>
      </c>
      <c r="N518" s="19" t="str">
        <f>IF('Supplier selection'!N518="","",'Supplier selection'!N518)</f>
        <v/>
      </c>
      <c r="O518" s="19" t="str">
        <f>IF('Supplier selection'!O518="","",'Supplier selection'!O518)</f>
        <v/>
      </c>
      <c r="Q518" s="19" t="str">
        <f>HLOOKUP($Q$3,'Supplier selection'!$AW$4:'Supplier selection'!$CT$1000,$A519,FALSE)</f>
        <v/>
      </c>
      <c r="R518" s="22" t="str">
        <f t="shared" ref="R518:R581" si="88">IF(OR(Q518="",O518=""),"",(Q518-O518)/O518)</f>
        <v/>
      </c>
      <c r="S518" s="19" t="str">
        <f t="shared" ref="S518:S581" si="89">IF(OR(H518="",O518="",Q518=""),"",(Q518*H518)-(H518*O518))</f>
        <v/>
      </c>
      <c r="T518" s="22" t="str">
        <f t="shared" ref="T518:T581" si="90">IF(OR(Y518="",Q518=""),"",(Q518-Y518)/Y518)</f>
        <v/>
      </c>
      <c r="U518" s="19" t="str">
        <f t="shared" ref="U518:U581" si="91">IF(OR(Y518="",Q518="",H518=""),"",(Q518*H518)-(Y518*H518))</f>
        <v/>
      </c>
      <c r="V518" s="7"/>
      <c r="Y518" s="19" t="str">
        <f>IF('Supplier selection'!AQ518="","",'Supplier selection'!AQ518)</f>
        <v/>
      </c>
      <c r="Z518" s="19" t="str">
        <f>IF('Supplier selection'!AR518="","",'Supplier selection'!AR518)</f>
        <v/>
      </c>
      <c r="AA518" s="19" t="str">
        <f t="shared" ref="AA518:AA581" si="92">IF(OR(Y518="",O518="",H518=""),"",((H518*Y518)-(H518*O518)))</f>
        <v/>
      </c>
      <c r="AD518" s="26" t="str">
        <f>IF(AND('Supplier selection'!X518="",'Supplier selection'!AE518=""),"",IF('Supplier selection'!X518="",'Supplier selection'!AE518,'Supplier selection'!X518))</f>
        <v/>
      </c>
      <c r="AE518" s="19" t="str">
        <f t="shared" ref="AE518:AE581" si="93">IF(AD518="","",J518)</f>
        <v/>
      </c>
      <c r="AF518" s="19" t="str">
        <f t="shared" ref="AF518:AF581" si="94">IF(AD518="","",L518)</f>
        <v/>
      </c>
      <c r="AG518" s="27" t="str">
        <f>IF(AND('Supplier selection'!AB518="",'Supplier selection'!AI518=""),"",IF('Supplier selection'!AB518="",'Supplier selection'!AI518,'Supplier selection'!AB518))</f>
        <v/>
      </c>
      <c r="AH518" s="28" t="str">
        <f t="shared" ref="AH518:AH581" si="95">IF(OR(AG518="",O518=""),"",(AG518-O518)/O518)</f>
        <v/>
      </c>
      <c r="AI518" s="7" t="str">
        <f t="shared" ref="AI518:AI581" si="96">IF(OR(H518="",O518="",AG518=""),"",(AG518*H518)-(H518*O518))</f>
        <v/>
      </c>
      <c r="AJ518" s="22" t="str">
        <f t="shared" ref="AJ518:AJ581" si="97">IF(OR(AG518="",Y518=""),"",(AG518-Y518)/Y518)</f>
        <v/>
      </c>
      <c r="AK518" s="29" t="str">
        <f t="shared" ref="AK518:AK581" si="98">IF(OR(H518="",Y518="",AG518=""),"",(AG518*H518)-(H518*Y518))</f>
        <v/>
      </c>
      <c r="AL518" s="10"/>
    </row>
    <row r="519" spans="1:38">
      <c r="A519" s="19">
        <f>IF('Supplier selection'!A519="","",'Supplier selection'!A519)</f>
        <v>515</v>
      </c>
      <c r="B519" s="19" t="str">
        <f>IF('Supplier selection'!B519="","",'Supplier selection'!B519)</f>
        <v/>
      </c>
      <c r="C519" s="19" t="str">
        <f>IF('Supplier selection'!C519="","",'Supplier selection'!C519)</f>
        <v/>
      </c>
      <c r="D519" s="19" t="str">
        <f>IF('Supplier selection'!D519="","",'Supplier selection'!D519)</f>
        <v/>
      </c>
      <c r="E519" s="19" t="str">
        <f>IF('Supplier selection'!E519="","",'Supplier selection'!E519)</f>
        <v/>
      </c>
      <c r="F519" s="19" t="str">
        <f>IF('Supplier selection'!F519="","",'Supplier selection'!F519)</f>
        <v/>
      </c>
      <c r="G519" s="19" t="str">
        <f>IF('Supplier selection'!G519="","",'Supplier selection'!G519)</f>
        <v/>
      </c>
      <c r="H519" s="19" t="str">
        <f>IF('Supplier selection'!H519="","",'Supplier selection'!H519)</f>
        <v/>
      </c>
      <c r="I519" s="19" t="str">
        <f>IF('Supplier selection'!I519="","",'Supplier selection'!I519)</f>
        <v/>
      </c>
      <c r="J519" s="19" t="str">
        <f>IF('Supplier selection'!J519="","",'Supplier selection'!J519)</f>
        <v/>
      </c>
      <c r="K519" s="19" t="str">
        <f>IF('Supplier selection'!K519="","",'Supplier selection'!K519)</f>
        <v/>
      </c>
      <c r="L519" s="19" t="str">
        <f>IF('Supplier selection'!L519="","",'Supplier selection'!L519)</f>
        <v/>
      </c>
      <c r="M519" s="19" t="str">
        <f>IF('Supplier selection'!M519="","",'Supplier selection'!M519)</f>
        <v/>
      </c>
      <c r="N519" s="19" t="str">
        <f>IF('Supplier selection'!N519="","",'Supplier selection'!N519)</f>
        <v/>
      </c>
      <c r="O519" s="19" t="str">
        <f>IF('Supplier selection'!O519="","",'Supplier selection'!O519)</f>
        <v/>
      </c>
      <c r="Q519" s="19" t="str">
        <f>HLOOKUP($Q$3,'Supplier selection'!$AW$4:'Supplier selection'!$CT$1000,$A520,FALSE)</f>
        <v/>
      </c>
      <c r="R519" s="22" t="str">
        <f t="shared" si="88"/>
        <v/>
      </c>
      <c r="S519" s="19" t="str">
        <f t="shared" si="89"/>
        <v/>
      </c>
      <c r="T519" s="22" t="str">
        <f t="shared" si="90"/>
        <v/>
      </c>
      <c r="U519" s="19" t="str">
        <f t="shared" si="91"/>
        <v/>
      </c>
      <c r="V519" s="7"/>
      <c r="Y519" s="19" t="str">
        <f>IF('Supplier selection'!AQ519="","",'Supplier selection'!AQ519)</f>
        <v/>
      </c>
      <c r="Z519" s="19" t="str">
        <f>IF('Supplier selection'!AR519="","",'Supplier selection'!AR519)</f>
        <v/>
      </c>
      <c r="AA519" s="19" t="str">
        <f t="shared" si="92"/>
        <v/>
      </c>
      <c r="AD519" s="26" t="str">
        <f>IF(AND('Supplier selection'!X519="",'Supplier selection'!AE519=""),"",IF('Supplier selection'!X519="",'Supplier selection'!AE519,'Supplier selection'!X519))</f>
        <v/>
      </c>
      <c r="AE519" s="19" t="str">
        <f t="shared" si="93"/>
        <v/>
      </c>
      <c r="AF519" s="19" t="str">
        <f t="shared" si="94"/>
        <v/>
      </c>
      <c r="AG519" s="27" t="str">
        <f>IF(AND('Supplier selection'!AB519="",'Supplier selection'!AI519=""),"",IF('Supplier selection'!AB519="",'Supplier selection'!AI519,'Supplier selection'!AB519))</f>
        <v/>
      </c>
      <c r="AH519" s="28" t="str">
        <f t="shared" si="95"/>
        <v/>
      </c>
      <c r="AI519" s="7" t="str">
        <f t="shared" si="96"/>
        <v/>
      </c>
      <c r="AJ519" s="22" t="str">
        <f t="shared" si="97"/>
        <v/>
      </c>
      <c r="AK519" s="29" t="str">
        <f t="shared" si="98"/>
        <v/>
      </c>
      <c r="AL519" s="10"/>
    </row>
    <row r="520" spans="1:38">
      <c r="A520" s="19">
        <f>IF('Supplier selection'!A520="","",'Supplier selection'!A520)</f>
        <v>516</v>
      </c>
      <c r="B520" s="19" t="str">
        <f>IF('Supplier selection'!B520="","",'Supplier selection'!B520)</f>
        <v/>
      </c>
      <c r="C520" s="19" t="str">
        <f>IF('Supplier selection'!C520="","",'Supplier selection'!C520)</f>
        <v/>
      </c>
      <c r="D520" s="19" t="str">
        <f>IF('Supplier selection'!D520="","",'Supplier selection'!D520)</f>
        <v/>
      </c>
      <c r="E520" s="19" t="str">
        <f>IF('Supplier selection'!E520="","",'Supplier selection'!E520)</f>
        <v/>
      </c>
      <c r="F520" s="19" t="str">
        <f>IF('Supplier selection'!F520="","",'Supplier selection'!F520)</f>
        <v/>
      </c>
      <c r="G520" s="19" t="str">
        <f>IF('Supplier selection'!G520="","",'Supplier selection'!G520)</f>
        <v/>
      </c>
      <c r="H520" s="19" t="str">
        <f>IF('Supplier selection'!H520="","",'Supplier selection'!H520)</f>
        <v/>
      </c>
      <c r="I520" s="19" t="str">
        <f>IF('Supplier selection'!I520="","",'Supplier selection'!I520)</f>
        <v/>
      </c>
      <c r="J520" s="19" t="str">
        <f>IF('Supplier selection'!J520="","",'Supplier selection'!J520)</f>
        <v/>
      </c>
      <c r="K520" s="19" t="str">
        <f>IF('Supplier selection'!K520="","",'Supplier selection'!K520)</f>
        <v/>
      </c>
      <c r="L520" s="19" t="str">
        <f>IF('Supplier selection'!L520="","",'Supplier selection'!L520)</f>
        <v/>
      </c>
      <c r="M520" s="19" t="str">
        <f>IF('Supplier selection'!M520="","",'Supplier selection'!M520)</f>
        <v/>
      </c>
      <c r="N520" s="19" t="str">
        <f>IF('Supplier selection'!N520="","",'Supplier selection'!N520)</f>
        <v/>
      </c>
      <c r="O520" s="19" t="str">
        <f>IF('Supplier selection'!O520="","",'Supplier selection'!O520)</f>
        <v/>
      </c>
      <c r="Q520" s="19" t="str">
        <f>HLOOKUP($Q$3,'Supplier selection'!$AW$4:'Supplier selection'!$CT$1000,$A521,FALSE)</f>
        <v/>
      </c>
      <c r="R520" s="22" t="str">
        <f t="shared" si="88"/>
        <v/>
      </c>
      <c r="S520" s="19" t="str">
        <f t="shared" si="89"/>
        <v/>
      </c>
      <c r="T520" s="22" t="str">
        <f t="shared" si="90"/>
        <v/>
      </c>
      <c r="U520" s="19" t="str">
        <f t="shared" si="91"/>
        <v/>
      </c>
      <c r="V520" s="7"/>
      <c r="Y520" s="19" t="str">
        <f>IF('Supplier selection'!AQ520="","",'Supplier selection'!AQ520)</f>
        <v/>
      </c>
      <c r="Z520" s="19" t="str">
        <f>IF('Supplier selection'!AR520="","",'Supplier selection'!AR520)</f>
        <v/>
      </c>
      <c r="AA520" s="19" t="str">
        <f t="shared" si="92"/>
        <v/>
      </c>
      <c r="AD520" s="26" t="str">
        <f>IF(AND('Supplier selection'!X520="",'Supplier selection'!AE520=""),"",IF('Supplier selection'!X520="",'Supplier selection'!AE520,'Supplier selection'!X520))</f>
        <v/>
      </c>
      <c r="AE520" s="19" t="str">
        <f t="shared" si="93"/>
        <v/>
      </c>
      <c r="AF520" s="19" t="str">
        <f t="shared" si="94"/>
        <v/>
      </c>
      <c r="AG520" s="27" t="str">
        <f>IF(AND('Supplier selection'!AB520="",'Supplier selection'!AI520=""),"",IF('Supplier selection'!AB520="",'Supplier selection'!AI520,'Supplier selection'!AB520))</f>
        <v/>
      </c>
      <c r="AH520" s="28" t="str">
        <f t="shared" si="95"/>
        <v/>
      </c>
      <c r="AI520" s="7" t="str">
        <f t="shared" si="96"/>
        <v/>
      </c>
      <c r="AJ520" s="22" t="str">
        <f t="shared" si="97"/>
        <v/>
      </c>
      <c r="AK520" s="29" t="str">
        <f t="shared" si="98"/>
        <v/>
      </c>
      <c r="AL520" s="10"/>
    </row>
    <row r="521" spans="1:38">
      <c r="A521" s="19">
        <f>IF('Supplier selection'!A521="","",'Supplier selection'!A521)</f>
        <v>517</v>
      </c>
      <c r="B521" s="19" t="str">
        <f>IF('Supplier selection'!B521="","",'Supplier selection'!B521)</f>
        <v/>
      </c>
      <c r="C521" s="19" t="str">
        <f>IF('Supplier selection'!C521="","",'Supplier selection'!C521)</f>
        <v/>
      </c>
      <c r="D521" s="19" t="str">
        <f>IF('Supplier selection'!D521="","",'Supplier selection'!D521)</f>
        <v/>
      </c>
      <c r="E521" s="19" t="str">
        <f>IF('Supplier selection'!E521="","",'Supplier selection'!E521)</f>
        <v/>
      </c>
      <c r="F521" s="19" t="str">
        <f>IF('Supplier selection'!F521="","",'Supplier selection'!F521)</f>
        <v/>
      </c>
      <c r="G521" s="19" t="str">
        <f>IF('Supplier selection'!G521="","",'Supplier selection'!G521)</f>
        <v/>
      </c>
      <c r="H521" s="19" t="str">
        <f>IF('Supplier selection'!H521="","",'Supplier selection'!H521)</f>
        <v/>
      </c>
      <c r="I521" s="19" t="str">
        <f>IF('Supplier selection'!I521="","",'Supplier selection'!I521)</f>
        <v/>
      </c>
      <c r="J521" s="19" t="str">
        <f>IF('Supplier selection'!J521="","",'Supplier selection'!J521)</f>
        <v/>
      </c>
      <c r="K521" s="19" t="str">
        <f>IF('Supplier selection'!K521="","",'Supplier selection'!K521)</f>
        <v/>
      </c>
      <c r="L521" s="19" t="str">
        <f>IF('Supplier selection'!L521="","",'Supplier selection'!L521)</f>
        <v/>
      </c>
      <c r="M521" s="19" t="str">
        <f>IF('Supplier selection'!M521="","",'Supplier selection'!M521)</f>
        <v/>
      </c>
      <c r="N521" s="19" t="str">
        <f>IF('Supplier selection'!N521="","",'Supplier selection'!N521)</f>
        <v/>
      </c>
      <c r="O521" s="19" t="str">
        <f>IF('Supplier selection'!O521="","",'Supplier selection'!O521)</f>
        <v/>
      </c>
      <c r="Q521" s="19" t="str">
        <f>HLOOKUP($Q$3,'Supplier selection'!$AW$4:'Supplier selection'!$CT$1000,$A522,FALSE)</f>
        <v/>
      </c>
      <c r="R521" s="22" t="str">
        <f t="shared" si="88"/>
        <v/>
      </c>
      <c r="S521" s="19" t="str">
        <f t="shared" si="89"/>
        <v/>
      </c>
      <c r="T521" s="22" t="str">
        <f t="shared" si="90"/>
        <v/>
      </c>
      <c r="U521" s="19" t="str">
        <f t="shared" si="91"/>
        <v/>
      </c>
      <c r="V521" s="7"/>
      <c r="Y521" s="19" t="str">
        <f>IF('Supplier selection'!AQ521="","",'Supplier selection'!AQ521)</f>
        <v/>
      </c>
      <c r="Z521" s="19" t="str">
        <f>IF('Supplier selection'!AR521="","",'Supplier selection'!AR521)</f>
        <v/>
      </c>
      <c r="AA521" s="19" t="str">
        <f t="shared" si="92"/>
        <v/>
      </c>
      <c r="AD521" s="26" t="str">
        <f>IF(AND('Supplier selection'!X521="",'Supplier selection'!AE521=""),"",IF('Supplier selection'!X521="",'Supplier selection'!AE521,'Supplier selection'!X521))</f>
        <v/>
      </c>
      <c r="AE521" s="19" t="str">
        <f t="shared" si="93"/>
        <v/>
      </c>
      <c r="AF521" s="19" t="str">
        <f t="shared" si="94"/>
        <v/>
      </c>
      <c r="AG521" s="27" t="str">
        <f>IF(AND('Supplier selection'!AB521="",'Supplier selection'!AI521=""),"",IF('Supplier selection'!AB521="",'Supplier selection'!AI521,'Supplier selection'!AB521))</f>
        <v/>
      </c>
      <c r="AH521" s="28" t="str">
        <f t="shared" si="95"/>
        <v/>
      </c>
      <c r="AI521" s="7" t="str">
        <f t="shared" si="96"/>
        <v/>
      </c>
      <c r="AJ521" s="22" t="str">
        <f t="shared" si="97"/>
        <v/>
      </c>
      <c r="AK521" s="29" t="str">
        <f t="shared" si="98"/>
        <v/>
      </c>
      <c r="AL521" s="10"/>
    </row>
    <row r="522" spans="1:38">
      <c r="A522" s="19">
        <f>IF('Supplier selection'!A522="","",'Supplier selection'!A522)</f>
        <v>518</v>
      </c>
      <c r="B522" s="19" t="str">
        <f>IF('Supplier selection'!B522="","",'Supplier selection'!B522)</f>
        <v/>
      </c>
      <c r="C522" s="19" t="str">
        <f>IF('Supplier selection'!C522="","",'Supplier selection'!C522)</f>
        <v/>
      </c>
      <c r="D522" s="19" t="str">
        <f>IF('Supplier selection'!D522="","",'Supplier selection'!D522)</f>
        <v/>
      </c>
      <c r="E522" s="19" t="str">
        <f>IF('Supplier selection'!E522="","",'Supplier selection'!E522)</f>
        <v/>
      </c>
      <c r="F522" s="19" t="str">
        <f>IF('Supplier selection'!F522="","",'Supplier selection'!F522)</f>
        <v/>
      </c>
      <c r="G522" s="19" t="str">
        <f>IF('Supplier selection'!G522="","",'Supplier selection'!G522)</f>
        <v/>
      </c>
      <c r="H522" s="19" t="str">
        <f>IF('Supplier selection'!H522="","",'Supplier selection'!H522)</f>
        <v/>
      </c>
      <c r="I522" s="19" t="str">
        <f>IF('Supplier selection'!I522="","",'Supplier selection'!I522)</f>
        <v/>
      </c>
      <c r="J522" s="19" t="str">
        <f>IF('Supplier selection'!J522="","",'Supplier selection'!J522)</f>
        <v/>
      </c>
      <c r="K522" s="19" t="str">
        <f>IF('Supplier selection'!K522="","",'Supplier selection'!K522)</f>
        <v/>
      </c>
      <c r="L522" s="19" t="str">
        <f>IF('Supplier selection'!L522="","",'Supplier selection'!L522)</f>
        <v/>
      </c>
      <c r="M522" s="19" t="str">
        <f>IF('Supplier selection'!M522="","",'Supplier selection'!M522)</f>
        <v/>
      </c>
      <c r="N522" s="19" t="str">
        <f>IF('Supplier selection'!N522="","",'Supplier selection'!N522)</f>
        <v/>
      </c>
      <c r="O522" s="19" t="str">
        <f>IF('Supplier selection'!O522="","",'Supplier selection'!O522)</f>
        <v/>
      </c>
      <c r="Q522" s="19" t="str">
        <f>HLOOKUP($Q$3,'Supplier selection'!$AW$4:'Supplier selection'!$CT$1000,$A523,FALSE)</f>
        <v/>
      </c>
      <c r="R522" s="22" t="str">
        <f t="shared" si="88"/>
        <v/>
      </c>
      <c r="S522" s="19" t="str">
        <f t="shared" si="89"/>
        <v/>
      </c>
      <c r="T522" s="22" t="str">
        <f t="shared" si="90"/>
        <v/>
      </c>
      <c r="U522" s="19" t="str">
        <f t="shared" si="91"/>
        <v/>
      </c>
      <c r="V522" s="7"/>
      <c r="Y522" s="19" t="str">
        <f>IF('Supplier selection'!AQ522="","",'Supplier selection'!AQ522)</f>
        <v/>
      </c>
      <c r="Z522" s="19" t="str">
        <f>IF('Supplier selection'!AR522="","",'Supplier selection'!AR522)</f>
        <v/>
      </c>
      <c r="AA522" s="19" t="str">
        <f t="shared" si="92"/>
        <v/>
      </c>
      <c r="AD522" s="26" t="str">
        <f>IF(AND('Supplier selection'!X522="",'Supplier selection'!AE522=""),"",IF('Supplier selection'!X522="",'Supplier selection'!AE522,'Supplier selection'!X522))</f>
        <v/>
      </c>
      <c r="AE522" s="19" t="str">
        <f t="shared" si="93"/>
        <v/>
      </c>
      <c r="AF522" s="19" t="str">
        <f t="shared" si="94"/>
        <v/>
      </c>
      <c r="AG522" s="27" t="str">
        <f>IF(AND('Supplier selection'!AB522="",'Supplier selection'!AI522=""),"",IF('Supplier selection'!AB522="",'Supplier selection'!AI522,'Supplier selection'!AB522))</f>
        <v/>
      </c>
      <c r="AH522" s="28" t="str">
        <f t="shared" si="95"/>
        <v/>
      </c>
      <c r="AI522" s="7" t="str">
        <f t="shared" si="96"/>
        <v/>
      </c>
      <c r="AJ522" s="22" t="str">
        <f t="shared" si="97"/>
        <v/>
      </c>
      <c r="AK522" s="29" t="str">
        <f t="shared" si="98"/>
        <v/>
      </c>
      <c r="AL522" s="10"/>
    </row>
    <row r="523" spans="1:38">
      <c r="A523" s="19">
        <f>IF('Supplier selection'!A523="","",'Supplier selection'!A523)</f>
        <v>519</v>
      </c>
      <c r="B523" s="19" t="str">
        <f>IF('Supplier selection'!B523="","",'Supplier selection'!B523)</f>
        <v/>
      </c>
      <c r="C523" s="19" t="str">
        <f>IF('Supplier selection'!C523="","",'Supplier selection'!C523)</f>
        <v/>
      </c>
      <c r="D523" s="19" t="str">
        <f>IF('Supplier selection'!D523="","",'Supplier selection'!D523)</f>
        <v/>
      </c>
      <c r="E523" s="19" t="str">
        <f>IF('Supplier selection'!E523="","",'Supplier selection'!E523)</f>
        <v/>
      </c>
      <c r="F523" s="19" t="str">
        <f>IF('Supplier selection'!F523="","",'Supplier selection'!F523)</f>
        <v/>
      </c>
      <c r="G523" s="19" t="str">
        <f>IF('Supplier selection'!G523="","",'Supplier selection'!G523)</f>
        <v/>
      </c>
      <c r="H523" s="19" t="str">
        <f>IF('Supplier selection'!H523="","",'Supplier selection'!H523)</f>
        <v/>
      </c>
      <c r="I523" s="19" t="str">
        <f>IF('Supplier selection'!I523="","",'Supplier selection'!I523)</f>
        <v/>
      </c>
      <c r="J523" s="19" t="str">
        <f>IF('Supplier selection'!J523="","",'Supplier selection'!J523)</f>
        <v/>
      </c>
      <c r="K523" s="19" t="str">
        <f>IF('Supplier selection'!K523="","",'Supplier selection'!K523)</f>
        <v/>
      </c>
      <c r="L523" s="19" t="str">
        <f>IF('Supplier selection'!L523="","",'Supplier selection'!L523)</f>
        <v/>
      </c>
      <c r="M523" s="19" t="str">
        <f>IF('Supplier selection'!M523="","",'Supplier selection'!M523)</f>
        <v/>
      </c>
      <c r="N523" s="19" t="str">
        <f>IF('Supplier selection'!N523="","",'Supplier selection'!N523)</f>
        <v/>
      </c>
      <c r="O523" s="19" t="str">
        <f>IF('Supplier selection'!O523="","",'Supplier selection'!O523)</f>
        <v/>
      </c>
      <c r="Q523" s="19" t="str">
        <f>HLOOKUP($Q$3,'Supplier selection'!$AW$4:'Supplier selection'!$CT$1000,$A524,FALSE)</f>
        <v/>
      </c>
      <c r="R523" s="22" t="str">
        <f t="shared" si="88"/>
        <v/>
      </c>
      <c r="S523" s="19" t="str">
        <f t="shared" si="89"/>
        <v/>
      </c>
      <c r="T523" s="22" t="str">
        <f t="shared" si="90"/>
        <v/>
      </c>
      <c r="U523" s="19" t="str">
        <f t="shared" si="91"/>
        <v/>
      </c>
      <c r="V523" s="7"/>
      <c r="Y523" s="19" t="str">
        <f>IF('Supplier selection'!AQ523="","",'Supplier selection'!AQ523)</f>
        <v/>
      </c>
      <c r="Z523" s="19" t="str">
        <f>IF('Supplier selection'!AR523="","",'Supplier selection'!AR523)</f>
        <v/>
      </c>
      <c r="AA523" s="19" t="str">
        <f t="shared" si="92"/>
        <v/>
      </c>
      <c r="AD523" s="26" t="str">
        <f>IF(AND('Supplier selection'!X523="",'Supplier selection'!AE523=""),"",IF('Supplier selection'!X523="",'Supplier selection'!AE523,'Supplier selection'!X523))</f>
        <v/>
      </c>
      <c r="AE523" s="19" t="str">
        <f t="shared" si="93"/>
        <v/>
      </c>
      <c r="AF523" s="19" t="str">
        <f t="shared" si="94"/>
        <v/>
      </c>
      <c r="AG523" s="27" t="str">
        <f>IF(AND('Supplier selection'!AB523="",'Supplier selection'!AI523=""),"",IF('Supplier selection'!AB523="",'Supplier selection'!AI523,'Supplier selection'!AB523))</f>
        <v/>
      </c>
      <c r="AH523" s="28" t="str">
        <f t="shared" si="95"/>
        <v/>
      </c>
      <c r="AI523" s="7" t="str">
        <f t="shared" si="96"/>
        <v/>
      </c>
      <c r="AJ523" s="22" t="str">
        <f t="shared" si="97"/>
        <v/>
      </c>
      <c r="AK523" s="29" t="str">
        <f t="shared" si="98"/>
        <v/>
      </c>
      <c r="AL523" s="10"/>
    </row>
    <row r="524" spans="1:38">
      <c r="A524" s="19">
        <f>IF('Supplier selection'!A524="","",'Supplier selection'!A524)</f>
        <v>520</v>
      </c>
      <c r="B524" s="19" t="str">
        <f>IF('Supplier selection'!B524="","",'Supplier selection'!B524)</f>
        <v/>
      </c>
      <c r="C524" s="19" t="str">
        <f>IF('Supplier selection'!C524="","",'Supplier selection'!C524)</f>
        <v/>
      </c>
      <c r="D524" s="19" t="str">
        <f>IF('Supplier selection'!D524="","",'Supplier selection'!D524)</f>
        <v/>
      </c>
      <c r="E524" s="19" t="str">
        <f>IF('Supplier selection'!E524="","",'Supplier selection'!E524)</f>
        <v/>
      </c>
      <c r="F524" s="19" t="str">
        <f>IF('Supplier selection'!F524="","",'Supplier selection'!F524)</f>
        <v/>
      </c>
      <c r="G524" s="19" t="str">
        <f>IF('Supplier selection'!G524="","",'Supplier selection'!G524)</f>
        <v/>
      </c>
      <c r="H524" s="19" t="str">
        <f>IF('Supplier selection'!H524="","",'Supplier selection'!H524)</f>
        <v/>
      </c>
      <c r="I524" s="19" t="str">
        <f>IF('Supplier selection'!I524="","",'Supplier selection'!I524)</f>
        <v/>
      </c>
      <c r="J524" s="19" t="str">
        <f>IF('Supplier selection'!J524="","",'Supplier selection'!J524)</f>
        <v/>
      </c>
      <c r="K524" s="19" t="str">
        <f>IF('Supplier selection'!K524="","",'Supplier selection'!K524)</f>
        <v/>
      </c>
      <c r="L524" s="19" t="str">
        <f>IF('Supplier selection'!L524="","",'Supplier selection'!L524)</f>
        <v/>
      </c>
      <c r="M524" s="19" t="str">
        <f>IF('Supplier selection'!M524="","",'Supplier selection'!M524)</f>
        <v/>
      </c>
      <c r="N524" s="19" t="str">
        <f>IF('Supplier selection'!N524="","",'Supplier selection'!N524)</f>
        <v/>
      </c>
      <c r="O524" s="19" t="str">
        <f>IF('Supplier selection'!O524="","",'Supplier selection'!O524)</f>
        <v/>
      </c>
      <c r="Q524" s="19" t="str">
        <f>HLOOKUP($Q$3,'Supplier selection'!$AW$4:'Supplier selection'!$CT$1000,$A525,FALSE)</f>
        <v/>
      </c>
      <c r="R524" s="22" t="str">
        <f t="shared" si="88"/>
        <v/>
      </c>
      <c r="S524" s="19" t="str">
        <f t="shared" si="89"/>
        <v/>
      </c>
      <c r="T524" s="22" t="str">
        <f t="shared" si="90"/>
        <v/>
      </c>
      <c r="U524" s="19" t="str">
        <f t="shared" si="91"/>
        <v/>
      </c>
      <c r="V524" s="7"/>
      <c r="Y524" s="19" t="str">
        <f>IF('Supplier selection'!AQ524="","",'Supplier selection'!AQ524)</f>
        <v/>
      </c>
      <c r="Z524" s="19" t="str">
        <f>IF('Supplier selection'!AR524="","",'Supplier selection'!AR524)</f>
        <v/>
      </c>
      <c r="AA524" s="19" t="str">
        <f t="shared" si="92"/>
        <v/>
      </c>
      <c r="AD524" s="26" t="str">
        <f>IF(AND('Supplier selection'!X524="",'Supplier selection'!AE524=""),"",IF('Supplier selection'!X524="",'Supplier selection'!AE524,'Supplier selection'!X524))</f>
        <v/>
      </c>
      <c r="AE524" s="19" t="str">
        <f t="shared" si="93"/>
        <v/>
      </c>
      <c r="AF524" s="19" t="str">
        <f t="shared" si="94"/>
        <v/>
      </c>
      <c r="AG524" s="27" t="str">
        <f>IF(AND('Supplier selection'!AB524="",'Supplier selection'!AI524=""),"",IF('Supplier selection'!AB524="",'Supplier selection'!AI524,'Supplier selection'!AB524))</f>
        <v/>
      </c>
      <c r="AH524" s="28" t="str">
        <f t="shared" si="95"/>
        <v/>
      </c>
      <c r="AI524" s="7" t="str">
        <f t="shared" si="96"/>
        <v/>
      </c>
      <c r="AJ524" s="22" t="str">
        <f t="shared" si="97"/>
        <v/>
      </c>
      <c r="AK524" s="29" t="str">
        <f t="shared" si="98"/>
        <v/>
      </c>
      <c r="AL524" s="10"/>
    </row>
    <row r="525" spans="1:38">
      <c r="A525" s="19">
        <f>IF('Supplier selection'!A525="","",'Supplier selection'!A525)</f>
        <v>521</v>
      </c>
      <c r="B525" s="19" t="str">
        <f>IF('Supplier selection'!B525="","",'Supplier selection'!B525)</f>
        <v/>
      </c>
      <c r="C525" s="19" t="str">
        <f>IF('Supplier selection'!C525="","",'Supplier selection'!C525)</f>
        <v/>
      </c>
      <c r="D525" s="19" t="str">
        <f>IF('Supplier selection'!D525="","",'Supplier selection'!D525)</f>
        <v/>
      </c>
      <c r="E525" s="19" t="str">
        <f>IF('Supplier selection'!E525="","",'Supplier selection'!E525)</f>
        <v/>
      </c>
      <c r="F525" s="19" t="str">
        <f>IF('Supplier selection'!F525="","",'Supplier selection'!F525)</f>
        <v/>
      </c>
      <c r="G525" s="19" t="str">
        <f>IF('Supplier selection'!G525="","",'Supplier selection'!G525)</f>
        <v/>
      </c>
      <c r="H525" s="19" t="str">
        <f>IF('Supplier selection'!H525="","",'Supplier selection'!H525)</f>
        <v/>
      </c>
      <c r="I525" s="19" t="str">
        <f>IF('Supplier selection'!I525="","",'Supplier selection'!I525)</f>
        <v/>
      </c>
      <c r="J525" s="19" t="str">
        <f>IF('Supplier selection'!J525="","",'Supplier selection'!J525)</f>
        <v/>
      </c>
      <c r="K525" s="19" t="str">
        <f>IF('Supplier selection'!K525="","",'Supplier selection'!K525)</f>
        <v/>
      </c>
      <c r="L525" s="19" t="str">
        <f>IF('Supplier selection'!L525="","",'Supplier selection'!L525)</f>
        <v/>
      </c>
      <c r="M525" s="19" t="str">
        <f>IF('Supplier selection'!M525="","",'Supplier selection'!M525)</f>
        <v/>
      </c>
      <c r="N525" s="19" t="str">
        <f>IF('Supplier selection'!N525="","",'Supplier selection'!N525)</f>
        <v/>
      </c>
      <c r="O525" s="19" t="str">
        <f>IF('Supplier selection'!O525="","",'Supplier selection'!O525)</f>
        <v/>
      </c>
      <c r="Q525" s="19" t="str">
        <f>HLOOKUP($Q$3,'Supplier selection'!$AW$4:'Supplier selection'!$CT$1000,$A526,FALSE)</f>
        <v/>
      </c>
      <c r="R525" s="22" t="str">
        <f t="shared" si="88"/>
        <v/>
      </c>
      <c r="S525" s="19" t="str">
        <f t="shared" si="89"/>
        <v/>
      </c>
      <c r="T525" s="22" t="str">
        <f t="shared" si="90"/>
        <v/>
      </c>
      <c r="U525" s="19" t="str">
        <f t="shared" si="91"/>
        <v/>
      </c>
      <c r="V525" s="7"/>
      <c r="Y525" s="19" t="str">
        <f>IF('Supplier selection'!AQ525="","",'Supplier selection'!AQ525)</f>
        <v/>
      </c>
      <c r="Z525" s="19" t="str">
        <f>IF('Supplier selection'!AR525="","",'Supplier selection'!AR525)</f>
        <v/>
      </c>
      <c r="AA525" s="19" t="str">
        <f t="shared" si="92"/>
        <v/>
      </c>
      <c r="AD525" s="26" t="str">
        <f>IF(AND('Supplier selection'!X525="",'Supplier selection'!AE525=""),"",IF('Supplier selection'!X525="",'Supplier selection'!AE525,'Supplier selection'!X525))</f>
        <v/>
      </c>
      <c r="AE525" s="19" t="str">
        <f t="shared" si="93"/>
        <v/>
      </c>
      <c r="AF525" s="19" t="str">
        <f t="shared" si="94"/>
        <v/>
      </c>
      <c r="AG525" s="27" t="str">
        <f>IF(AND('Supplier selection'!AB525="",'Supplier selection'!AI525=""),"",IF('Supplier selection'!AB525="",'Supplier selection'!AI525,'Supplier selection'!AB525))</f>
        <v/>
      </c>
      <c r="AH525" s="28" t="str">
        <f t="shared" si="95"/>
        <v/>
      </c>
      <c r="AI525" s="7" t="str">
        <f t="shared" si="96"/>
        <v/>
      </c>
      <c r="AJ525" s="22" t="str">
        <f t="shared" si="97"/>
        <v/>
      </c>
      <c r="AK525" s="29" t="str">
        <f t="shared" si="98"/>
        <v/>
      </c>
      <c r="AL525" s="10"/>
    </row>
    <row r="526" spans="1:38">
      <c r="A526" s="19">
        <f>IF('Supplier selection'!A526="","",'Supplier selection'!A526)</f>
        <v>522</v>
      </c>
      <c r="B526" s="19" t="str">
        <f>IF('Supplier selection'!B526="","",'Supplier selection'!B526)</f>
        <v/>
      </c>
      <c r="C526" s="19" t="str">
        <f>IF('Supplier selection'!C526="","",'Supplier selection'!C526)</f>
        <v/>
      </c>
      <c r="D526" s="19" t="str">
        <f>IF('Supplier selection'!D526="","",'Supplier selection'!D526)</f>
        <v/>
      </c>
      <c r="E526" s="19" t="str">
        <f>IF('Supplier selection'!E526="","",'Supplier selection'!E526)</f>
        <v/>
      </c>
      <c r="F526" s="19" t="str">
        <f>IF('Supplier selection'!F526="","",'Supplier selection'!F526)</f>
        <v/>
      </c>
      <c r="G526" s="19" t="str">
        <f>IF('Supplier selection'!G526="","",'Supplier selection'!G526)</f>
        <v/>
      </c>
      <c r="H526" s="19" t="str">
        <f>IF('Supplier selection'!H526="","",'Supplier selection'!H526)</f>
        <v/>
      </c>
      <c r="I526" s="19" t="str">
        <f>IF('Supplier selection'!I526="","",'Supplier selection'!I526)</f>
        <v/>
      </c>
      <c r="J526" s="19" t="str">
        <f>IF('Supplier selection'!J526="","",'Supplier selection'!J526)</f>
        <v/>
      </c>
      <c r="K526" s="19" t="str">
        <f>IF('Supplier selection'!K526="","",'Supplier selection'!K526)</f>
        <v/>
      </c>
      <c r="L526" s="19" t="str">
        <f>IF('Supplier selection'!L526="","",'Supplier selection'!L526)</f>
        <v/>
      </c>
      <c r="M526" s="19" t="str">
        <f>IF('Supplier selection'!M526="","",'Supplier selection'!M526)</f>
        <v/>
      </c>
      <c r="N526" s="19" t="str">
        <f>IF('Supplier selection'!N526="","",'Supplier selection'!N526)</f>
        <v/>
      </c>
      <c r="O526" s="19" t="str">
        <f>IF('Supplier selection'!O526="","",'Supplier selection'!O526)</f>
        <v/>
      </c>
      <c r="Q526" s="19" t="str">
        <f>HLOOKUP($Q$3,'Supplier selection'!$AW$4:'Supplier selection'!$CT$1000,$A527,FALSE)</f>
        <v/>
      </c>
      <c r="R526" s="22" t="str">
        <f t="shared" si="88"/>
        <v/>
      </c>
      <c r="S526" s="19" t="str">
        <f t="shared" si="89"/>
        <v/>
      </c>
      <c r="T526" s="22" t="str">
        <f t="shared" si="90"/>
        <v/>
      </c>
      <c r="U526" s="19" t="str">
        <f t="shared" si="91"/>
        <v/>
      </c>
      <c r="V526" s="7"/>
      <c r="Y526" s="19" t="str">
        <f>IF('Supplier selection'!AQ526="","",'Supplier selection'!AQ526)</f>
        <v/>
      </c>
      <c r="Z526" s="19" t="str">
        <f>IF('Supplier selection'!AR526="","",'Supplier selection'!AR526)</f>
        <v/>
      </c>
      <c r="AA526" s="19" t="str">
        <f t="shared" si="92"/>
        <v/>
      </c>
      <c r="AD526" s="26" t="str">
        <f>IF(AND('Supplier selection'!X526="",'Supplier selection'!AE526=""),"",IF('Supplier selection'!X526="",'Supplier selection'!AE526,'Supplier selection'!X526))</f>
        <v/>
      </c>
      <c r="AE526" s="19" t="str">
        <f t="shared" si="93"/>
        <v/>
      </c>
      <c r="AF526" s="19" t="str">
        <f t="shared" si="94"/>
        <v/>
      </c>
      <c r="AG526" s="27" t="str">
        <f>IF(AND('Supplier selection'!AB526="",'Supplier selection'!AI526=""),"",IF('Supplier selection'!AB526="",'Supplier selection'!AI526,'Supplier selection'!AB526))</f>
        <v/>
      </c>
      <c r="AH526" s="28" t="str">
        <f t="shared" si="95"/>
        <v/>
      </c>
      <c r="AI526" s="7" t="str">
        <f t="shared" si="96"/>
        <v/>
      </c>
      <c r="AJ526" s="22" t="str">
        <f t="shared" si="97"/>
        <v/>
      </c>
      <c r="AK526" s="29" t="str">
        <f t="shared" si="98"/>
        <v/>
      </c>
      <c r="AL526" s="10"/>
    </row>
    <row r="527" spans="1:38">
      <c r="A527" s="19">
        <f>IF('Supplier selection'!A527="","",'Supplier selection'!A527)</f>
        <v>523</v>
      </c>
      <c r="B527" s="19" t="str">
        <f>IF('Supplier selection'!B527="","",'Supplier selection'!B527)</f>
        <v/>
      </c>
      <c r="C527" s="19" t="str">
        <f>IF('Supplier selection'!C527="","",'Supplier selection'!C527)</f>
        <v/>
      </c>
      <c r="D527" s="19" t="str">
        <f>IF('Supplier selection'!D527="","",'Supplier selection'!D527)</f>
        <v/>
      </c>
      <c r="E527" s="19" t="str">
        <f>IF('Supplier selection'!E527="","",'Supplier selection'!E527)</f>
        <v/>
      </c>
      <c r="F527" s="19" t="str">
        <f>IF('Supplier selection'!F527="","",'Supplier selection'!F527)</f>
        <v/>
      </c>
      <c r="G527" s="19" t="str">
        <f>IF('Supplier selection'!G527="","",'Supplier selection'!G527)</f>
        <v/>
      </c>
      <c r="H527" s="19" t="str">
        <f>IF('Supplier selection'!H527="","",'Supplier selection'!H527)</f>
        <v/>
      </c>
      <c r="I527" s="19" t="str">
        <f>IF('Supplier selection'!I527="","",'Supplier selection'!I527)</f>
        <v/>
      </c>
      <c r="J527" s="19" t="str">
        <f>IF('Supplier selection'!J527="","",'Supplier selection'!J527)</f>
        <v/>
      </c>
      <c r="K527" s="19" t="str">
        <f>IF('Supplier selection'!K527="","",'Supplier selection'!K527)</f>
        <v/>
      </c>
      <c r="L527" s="19" t="str">
        <f>IF('Supplier selection'!L527="","",'Supplier selection'!L527)</f>
        <v/>
      </c>
      <c r="M527" s="19" t="str">
        <f>IF('Supplier selection'!M527="","",'Supplier selection'!M527)</f>
        <v/>
      </c>
      <c r="N527" s="19" t="str">
        <f>IF('Supplier selection'!N527="","",'Supplier selection'!N527)</f>
        <v/>
      </c>
      <c r="O527" s="19" t="str">
        <f>IF('Supplier selection'!O527="","",'Supplier selection'!O527)</f>
        <v/>
      </c>
      <c r="Q527" s="19" t="str">
        <f>HLOOKUP($Q$3,'Supplier selection'!$AW$4:'Supplier selection'!$CT$1000,$A528,FALSE)</f>
        <v/>
      </c>
      <c r="R527" s="22" t="str">
        <f t="shared" si="88"/>
        <v/>
      </c>
      <c r="S527" s="19" t="str">
        <f t="shared" si="89"/>
        <v/>
      </c>
      <c r="T527" s="22" t="str">
        <f t="shared" si="90"/>
        <v/>
      </c>
      <c r="U527" s="19" t="str">
        <f t="shared" si="91"/>
        <v/>
      </c>
      <c r="V527" s="7"/>
      <c r="Y527" s="19" t="str">
        <f>IF('Supplier selection'!AQ527="","",'Supplier selection'!AQ527)</f>
        <v/>
      </c>
      <c r="Z527" s="19" t="str">
        <f>IF('Supplier selection'!AR527="","",'Supplier selection'!AR527)</f>
        <v/>
      </c>
      <c r="AA527" s="19" t="str">
        <f t="shared" si="92"/>
        <v/>
      </c>
      <c r="AD527" s="26" t="str">
        <f>IF(AND('Supplier selection'!X527="",'Supplier selection'!AE527=""),"",IF('Supplier selection'!X527="",'Supplier selection'!AE527,'Supplier selection'!X527))</f>
        <v/>
      </c>
      <c r="AE527" s="19" t="str">
        <f t="shared" si="93"/>
        <v/>
      </c>
      <c r="AF527" s="19" t="str">
        <f t="shared" si="94"/>
        <v/>
      </c>
      <c r="AG527" s="27" t="str">
        <f>IF(AND('Supplier selection'!AB527="",'Supplier selection'!AI527=""),"",IF('Supplier selection'!AB527="",'Supplier selection'!AI527,'Supplier selection'!AB527))</f>
        <v/>
      </c>
      <c r="AH527" s="28" t="str">
        <f t="shared" si="95"/>
        <v/>
      </c>
      <c r="AI527" s="7" t="str">
        <f t="shared" si="96"/>
        <v/>
      </c>
      <c r="AJ527" s="22" t="str">
        <f t="shared" si="97"/>
        <v/>
      </c>
      <c r="AK527" s="29" t="str">
        <f t="shared" si="98"/>
        <v/>
      </c>
      <c r="AL527" s="10"/>
    </row>
    <row r="528" spans="1:38">
      <c r="A528" s="19">
        <f>IF('Supplier selection'!A528="","",'Supplier selection'!A528)</f>
        <v>524</v>
      </c>
      <c r="B528" s="19" t="str">
        <f>IF('Supplier selection'!B528="","",'Supplier selection'!B528)</f>
        <v/>
      </c>
      <c r="C528" s="19" t="str">
        <f>IF('Supplier selection'!C528="","",'Supplier selection'!C528)</f>
        <v/>
      </c>
      <c r="D528" s="19" t="str">
        <f>IF('Supplier selection'!D528="","",'Supplier selection'!D528)</f>
        <v/>
      </c>
      <c r="E528" s="19" t="str">
        <f>IF('Supplier selection'!E528="","",'Supplier selection'!E528)</f>
        <v/>
      </c>
      <c r="F528" s="19" t="str">
        <f>IF('Supplier selection'!F528="","",'Supplier selection'!F528)</f>
        <v/>
      </c>
      <c r="G528" s="19" t="str">
        <f>IF('Supplier selection'!G528="","",'Supplier selection'!G528)</f>
        <v/>
      </c>
      <c r="H528" s="19" t="str">
        <f>IF('Supplier selection'!H528="","",'Supplier selection'!H528)</f>
        <v/>
      </c>
      <c r="I528" s="19" t="str">
        <f>IF('Supplier selection'!I528="","",'Supplier selection'!I528)</f>
        <v/>
      </c>
      <c r="J528" s="19" t="str">
        <f>IF('Supplier selection'!J528="","",'Supplier selection'!J528)</f>
        <v/>
      </c>
      <c r="K528" s="19" t="str">
        <f>IF('Supplier selection'!K528="","",'Supplier selection'!K528)</f>
        <v/>
      </c>
      <c r="L528" s="19" t="str">
        <f>IF('Supplier selection'!L528="","",'Supplier selection'!L528)</f>
        <v/>
      </c>
      <c r="M528" s="19" t="str">
        <f>IF('Supplier selection'!M528="","",'Supplier selection'!M528)</f>
        <v/>
      </c>
      <c r="N528" s="19" t="str">
        <f>IF('Supplier selection'!N528="","",'Supplier selection'!N528)</f>
        <v/>
      </c>
      <c r="O528" s="19" t="str">
        <f>IF('Supplier selection'!O528="","",'Supplier selection'!O528)</f>
        <v/>
      </c>
      <c r="Q528" s="19" t="str">
        <f>HLOOKUP($Q$3,'Supplier selection'!$AW$4:'Supplier selection'!$CT$1000,$A529,FALSE)</f>
        <v/>
      </c>
      <c r="R528" s="22" t="str">
        <f t="shared" si="88"/>
        <v/>
      </c>
      <c r="S528" s="19" t="str">
        <f t="shared" si="89"/>
        <v/>
      </c>
      <c r="T528" s="22" t="str">
        <f t="shared" si="90"/>
        <v/>
      </c>
      <c r="U528" s="19" t="str">
        <f t="shared" si="91"/>
        <v/>
      </c>
      <c r="V528" s="7"/>
      <c r="Y528" s="19" t="str">
        <f>IF('Supplier selection'!AQ528="","",'Supplier selection'!AQ528)</f>
        <v/>
      </c>
      <c r="Z528" s="19" t="str">
        <f>IF('Supplier selection'!AR528="","",'Supplier selection'!AR528)</f>
        <v/>
      </c>
      <c r="AA528" s="19" t="str">
        <f t="shared" si="92"/>
        <v/>
      </c>
      <c r="AD528" s="26" t="str">
        <f>IF(AND('Supplier selection'!X528="",'Supplier selection'!AE528=""),"",IF('Supplier selection'!X528="",'Supplier selection'!AE528,'Supplier selection'!X528))</f>
        <v/>
      </c>
      <c r="AE528" s="19" t="str">
        <f t="shared" si="93"/>
        <v/>
      </c>
      <c r="AF528" s="19" t="str">
        <f t="shared" si="94"/>
        <v/>
      </c>
      <c r="AG528" s="27" t="str">
        <f>IF(AND('Supplier selection'!AB528="",'Supplier selection'!AI528=""),"",IF('Supplier selection'!AB528="",'Supplier selection'!AI528,'Supplier selection'!AB528))</f>
        <v/>
      </c>
      <c r="AH528" s="28" t="str">
        <f t="shared" si="95"/>
        <v/>
      </c>
      <c r="AI528" s="7" t="str">
        <f t="shared" si="96"/>
        <v/>
      </c>
      <c r="AJ528" s="22" t="str">
        <f t="shared" si="97"/>
        <v/>
      </c>
      <c r="AK528" s="29" t="str">
        <f t="shared" si="98"/>
        <v/>
      </c>
      <c r="AL528" s="10"/>
    </row>
    <row r="529" spans="1:38">
      <c r="A529" s="19">
        <f>IF('Supplier selection'!A529="","",'Supplier selection'!A529)</f>
        <v>525</v>
      </c>
      <c r="B529" s="19" t="str">
        <f>IF('Supplier selection'!B529="","",'Supplier selection'!B529)</f>
        <v/>
      </c>
      <c r="C529" s="19" t="str">
        <f>IF('Supplier selection'!C529="","",'Supplier selection'!C529)</f>
        <v/>
      </c>
      <c r="D529" s="19" t="str">
        <f>IF('Supplier selection'!D529="","",'Supplier selection'!D529)</f>
        <v/>
      </c>
      <c r="E529" s="19" t="str">
        <f>IF('Supplier selection'!E529="","",'Supplier selection'!E529)</f>
        <v/>
      </c>
      <c r="F529" s="19" t="str">
        <f>IF('Supplier selection'!F529="","",'Supplier selection'!F529)</f>
        <v/>
      </c>
      <c r="G529" s="19" t="str">
        <f>IF('Supplier selection'!G529="","",'Supplier selection'!G529)</f>
        <v/>
      </c>
      <c r="H529" s="19" t="str">
        <f>IF('Supplier selection'!H529="","",'Supplier selection'!H529)</f>
        <v/>
      </c>
      <c r="I529" s="19" t="str">
        <f>IF('Supplier selection'!I529="","",'Supplier selection'!I529)</f>
        <v/>
      </c>
      <c r="J529" s="19" t="str">
        <f>IF('Supplier selection'!J529="","",'Supplier selection'!J529)</f>
        <v/>
      </c>
      <c r="K529" s="19" t="str">
        <f>IF('Supplier selection'!K529="","",'Supplier selection'!K529)</f>
        <v/>
      </c>
      <c r="L529" s="19" t="str">
        <f>IF('Supplier selection'!L529="","",'Supplier selection'!L529)</f>
        <v/>
      </c>
      <c r="M529" s="19" t="str">
        <f>IF('Supplier selection'!M529="","",'Supplier selection'!M529)</f>
        <v/>
      </c>
      <c r="N529" s="19" t="str">
        <f>IF('Supplier selection'!N529="","",'Supplier selection'!N529)</f>
        <v/>
      </c>
      <c r="O529" s="19" t="str">
        <f>IF('Supplier selection'!O529="","",'Supplier selection'!O529)</f>
        <v/>
      </c>
      <c r="Q529" s="19" t="str">
        <f>HLOOKUP($Q$3,'Supplier selection'!$AW$4:'Supplier selection'!$CT$1000,$A530,FALSE)</f>
        <v/>
      </c>
      <c r="R529" s="22" t="str">
        <f t="shared" si="88"/>
        <v/>
      </c>
      <c r="S529" s="19" t="str">
        <f t="shared" si="89"/>
        <v/>
      </c>
      <c r="T529" s="22" t="str">
        <f t="shared" si="90"/>
        <v/>
      </c>
      <c r="U529" s="19" t="str">
        <f t="shared" si="91"/>
        <v/>
      </c>
      <c r="V529" s="7"/>
      <c r="Y529" s="19" t="str">
        <f>IF('Supplier selection'!AQ529="","",'Supplier selection'!AQ529)</f>
        <v/>
      </c>
      <c r="Z529" s="19" t="str">
        <f>IF('Supplier selection'!AR529="","",'Supplier selection'!AR529)</f>
        <v/>
      </c>
      <c r="AA529" s="19" t="str">
        <f t="shared" si="92"/>
        <v/>
      </c>
      <c r="AD529" s="26" t="str">
        <f>IF(AND('Supplier selection'!X529="",'Supplier selection'!AE529=""),"",IF('Supplier selection'!X529="",'Supplier selection'!AE529,'Supplier selection'!X529))</f>
        <v/>
      </c>
      <c r="AE529" s="19" t="str">
        <f t="shared" si="93"/>
        <v/>
      </c>
      <c r="AF529" s="19" t="str">
        <f t="shared" si="94"/>
        <v/>
      </c>
      <c r="AG529" s="27" t="str">
        <f>IF(AND('Supplier selection'!AB529="",'Supplier selection'!AI529=""),"",IF('Supplier selection'!AB529="",'Supplier selection'!AI529,'Supplier selection'!AB529))</f>
        <v/>
      </c>
      <c r="AH529" s="28" t="str">
        <f t="shared" si="95"/>
        <v/>
      </c>
      <c r="AI529" s="7" t="str">
        <f t="shared" si="96"/>
        <v/>
      </c>
      <c r="AJ529" s="22" t="str">
        <f t="shared" si="97"/>
        <v/>
      </c>
      <c r="AK529" s="29" t="str">
        <f t="shared" si="98"/>
        <v/>
      </c>
      <c r="AL529" s="10"/>
    </row>
    <row r="530" spans="1:38">
      <c r="A530" s="19">
        <f>IF('Supplier selection'!A530="","",'Supplier selection'!A530)</f>
        <v>526</v>
      </c>
      <c r="B530" s="19" t="str">
        <f>IF('Supplier selection'!B530="","",'Supplier selection'!B530)</f>
        <v/>
      </c>
      <c r="C530" s="19" t="str">
        <f>IF('Supplier selection'!C530="","",'Supplier selection'!C530)</f>
        <v/>
      </c>
      <c r="D530" s="19" t="str">
        <f>IF('Supplier selection'!D530="","",'Supplier selection'!D530)</f>
        <v/>
      </c>
      <c r="E530" s="19" t="str">
        <f>IF('Supplier selection'!E530="","",'Supplier selection'!E530)</f>
        <v/>
      </c>
      <c r="F530" s="19" t="str">
        <f>IF('Supplier selection'!F530="","",'Supplier selection'!F530)</f>
        <v/>
      </c>
      <c r="G530" s="19" t="str">
        <f>IF('Supplier selection'!G530="","",'Supplier selection'!G530)</f>
        <v/>
      </c>
      <c r="H530" s="19" t="str">
        <f>IF('Supplier selection'!H530="","",'Supplier selection'!H530)</f>
        <v/>
      </c>
      <c r="I530" s="19" t="str">
        <f>IF('Supplier selection'!I530="","",'Supplier selection'!I530)</f>
        <v/>
      </c>
      <c r="J530" s="19" t="str">
        <f>IF('Supplier selection'!J530="","",'Supplier selection'!J530)</f>
        <v/>
      </c>
      <c r="K530" s="19" t="str">
        <f>IF('Supplier selection'!K530="","",'Supplier selection'!K530)</f>
        <v/>
      </c>
      <c r="L530" s="19" t="str">
        <f>IF('Supplier selection'!L530="","",'Supplier selection'!L530)</f>
        <v/>
      </c>
      <c r="M530" s="19" t="str">
        <f>IF('Supplier selection'!M530="","",'Supplier selection'!M530)</f>
        <v/>
      </c>
      <c r="N530" s="19" t="str">
        <f>IF('Supplier selection'!N530="","",'Supplier selection'!N530)</f>
        <v/>
      </c>
      <c r="O530" s="19" t="str">
        <f>IF('Supplier selection'!O530="","",'Supplier selection'!O530)</f>
        <v/>
      </c>
      <c r="Q530" s="19" t="str">
        <f>HLOOKUP($Q$3,'Supplier selection'!$AW$4:'Supplier selection'!$CT$1000,$A531,FALSE)</f>
        <v/>
      </c>
      <c r="R530" s="22" t="str">
        <f t="shared" si="88"/>
        <v/>
      </c>
      <c r="S530" s="19" t="str">
        <f t="shared" si="89"/>
        <v/>
      </c>
      <c r="T530" s="22" t="str">
        <f t="shared" si="90"/>
        <v/>
      </c>
      <c r="U530" s="19" t="str">
        <f t="shared" si="91"/>
        <v/>
      </c>
      <c r="V530" s="7"/>
      <c r="Y530" s="19" t="str">
        <f>IF('Supplier selection'!AQ530="","",'Supplier selection'!AQ530)</f>
        <v/>
      </c>
      <c r="Z530" s="19" t="str">
        <f>IF('Supplier selection'!AR530="","",'Supplier selection'!AR530)</f>
        <v/>
      </c>
      <c r="AA530" s="19" t="str">
        <f t="shared" si="92"/>
        <v/>
      </c>
      <c r="AD530" s="26" t="str">
        <f>IF(AND('Supplier selection'!X530="",'Supplier selection'!AE530=""),"",IF('Supplier selection'!X530="",'Supplier selection'!AE530,'Supplier selection'!X530))</f>
        <v/>
      </c>
      <c r="AE530" s="19" t="str">
        <f t="shared" si="93"/>
        <v/>
      </c>
      <c r="AF530" s="19" t="str">
        <f t="shared" si="94"/>
        <v/>
      </c>
      <c r="AG530" s="27" t="str">
        <f>IF(AND('Supplier selection'!AB530="",'Supplier selection'!AI530=""),"",IF('Supplier selection'!AB530="",'Supplier selection'!AI530,'Supplier selection'!AB530))</f>
        <v/>
      </c>
      <c r="AH530" s="28" t="str">
        <f t="shared" si="95"/>
        <v/>
      </c>
      <c r="AI530" s="7" t="str">
        <f t="shared" si="96"/>
        <v/>
      </c>
      <c r="AJ530" s="22" t="str">
        <f t="shared" si="97"/>
        <v/>
      </c>
      <c r="AK530" s="29" t="str">
        <f t="shared" si="98"/>
        <v/>
      </c>
      <c r="AL530" s="10"/>
    </row>
    <row r="531" spans="1:38">
      <c r="A531" s="19">
        <f>IF('Supplier selection'!A531="","",'Supplier selection'!A531)</f>
        <v>527</v>
      </c>
      <c r="B531" s="19" t="str">
        <f>IF('Supplier selection'!B531="","",'Supplier selection'!B531)</f>
        <v/>
      </c>
      <c r="C531" s="19" t="str">
        <f>IF('Supplier selection'!C531="","",'Supplier selection'!C531)</f>
        <v/>
      </c>
      <c r="D531" s="19" t="str">
        <f>IF('Supplier selection'!D531="","",'Supplier selection'!D531)</f>
        <v/>
      </c>
      <c r="E531" s="19" t="str">
        <f>IF('Supplier selection'!E531="","",'Supplier selection'!E531)</f>
        <v/>
      </c>
      <c r="F531" s="19" t="str">
        <f>IF('Supplier selection'!F531="","",'Supplier selection'!F531)</f>
        <v/>
      </c>
      <c r="G531" s="19" t="str">
        <f>IF('Supplier selection'!G531="","",'Supplier selection'!G531)</f>
        <v/>
      </c>
      <c r="H531" s="19" t="str">
        <f>IF('Supplier selection'!H531="","",'Supplier selection'!H531)</f>
        <v/>
      </c>
      <c r="I531" s="19" t="str">
        <f>IF('Supplier selection'!I531="","",'Supplier selection'!I531)</f>
        <v/>
      </c>
      <c r="J531" s="19" t="str">
        <f>IF('Supplier selection'!J531="","",'Supplier selection'!J531)</f>
        <v/>
      </c>
      <c r="K531" s="19" t="str">
        <f>IF('Supplier selection'!K531="","",'Supplier selection'!K531)</f>
        <v/>
      </c>
      <c r="L531" s="19" t="str">
        <f>IF('Supplier selection'!L531="","",'Supplier selection'!L531)</f>
        <v/>
      </c>
      <c r="M531" s="19" t="str">
        <f>IF('Supplier selection'!M531="","",'Supplier selection'!M531)</f>
        <v/>
      </c>
      <c r="N531" s="19" t="str">
        <f>IF('Supplier selection'!N531="","",'Supplier selection'!N531)</f>
        <v/>
      </c>
      <c r="O531" s="19" t="str">
        <f>IF('Supplier selection'!O531="","",'Supplier selection'!O531)</f>
        <v/>
      </c>
      <c r="Q531" s="19" t="str">
        <f>HLOOKUP($Q$3,'Supplier selection'!$AW$4:'Supplier selection'!$CT$1000,$A532,FALSE)</f>
        <v/>
      </c>
      <c r="R531" s="22" t="str">
        <f t="shared" si="88"/>
        <v/>
      </c>
      <c r="S531" s="19" t="str">
        <f t="shared" si="89"/>
        <v/>
      </c>
      <c r="T531" s="22" t="str">
        <f t="shared" si="90"/>
        <v/>
      </c>
      <c r="U531" s="19" t="str">
        <f t="shared" si="91"/>
        <v/>
      </c>
      <c r="V531" s="7"/>
      <c r="Y531" s="19" t="str">
        <f>IF('Supplier selection'!AQ531="","",'Supplier selection'!AQ531)</f>
        <v/>
      </c>
      <c r="Z531" s="19" t="str">
        <f>IF('Supplier selection'!AR531="","",'Supplier selection'!AR531)</f>
        <v/>
      </c>
      <c r="AA531" s="19" t="str">
        <f t="shared" si="92"/>
        <v/>
      </c>
      <c r="AD531" s="26" t="str">
        <f>IF(AND('Supplier selection'!X531="",'Supplier selection'!AE531=""),"",IF('Supplier selection'!X531="",'Supplier selection'!AE531,'Supplier selection'!X531))</f>
        <v/>
      </c>
      <c r="AE531" s="19" t="str">
        <f t="shared" si="93"/>
        <v/>
      </c>
      <c r="AF531" s="19" t="str">
        <f t="shared" si="94"/>
        <v/>
      </c>
      <c r="AG531" s="27" t="str">
        <f>IF(AND('Supplier selection'!AB531="",'Supplier selection'!AI531=""),"",IF('Supplier selection'!AB531="",'Supplier selection'!AI531,'Supplier selection'!AB531))</f>
        <v/>
      </c>
      <c r="AH531" s="28" t="str">
        <f t="shared" si="95"/>
        <v/>
      </c>
      <c r="AI531" s="7" t="str">
        <f t="shared" si="96"/>
        <v/>
      </c>
      <c r="AJ531" s="22" t="str">
        <f t="shared" si="97"/>
        <v/>
      </c>
      <c r="AK531" s="29" t="str">
        <f t="shared" si="98"/>
        <v/>
      </c>
      <c r="AL531" s="10"/>
    </row>
    <row r="532" spans="1:38">
      <c r="A532" s="19">
        <f>IF('Supplier selection'!A532="","",'Supplier selection'!A532)</f>
        <v>528</v>
      </c>
      <c r="B532" s="19" t="str">
        <f>IF('Supplier selection'!B532="","",'Supplier selection'!B532)</f>
        <v/>
      </c>
      <c r="C532" s="19" t="str">
        <f>IF('Supplier selection'!C532="","",'Supplier selection'!C532)</f>
        <v/>
      </c>
      <c r="D532" s="19" t="str">
        <f>IF('Supplier selection'!D532="","",'Supplier selection'!D532)</f>
        <v/>
      </c>
      <c r="E532" s="19" t="str">
        <f>IF('Supplier selection'!E532="","",'Supplier selection'!E532)</f>
        <v/>
      </c>
      <c r="F532" s="19" t="str">
        <f>IF('Supplier selection'!F532="","",'Supplier selection'!F532)</f>
        <v/>
      </c>
      <c r="G532" s="19" t="str">
        <f>IF('Supplier selection'!G532="","",'Supplier selection'!G532)</f>
        <v/>
      </c>
      <c r="H532" s="19" t="str">
        <f>IF('Supplier selection'!H532="","",'Supplier selection'!H532)</f>
        <v/>
      </c>
      <c r="I532" s="19" t="str">
        <f>IF('Supplier selection'!I532="","",'Supplier selection'!I532)</f>
        <v/>
      </c>
      <c r="J532" s="19" t="str">
        <f>IF('Supplier selection'!J532="","",'Supplier selection'!J532)</f>
        <v/>
      </c>
      <c r="K532" s="19" t="str">
        <f>IF('Supplier selection'!K532="","",'Supplier selection'!K532)</f>
        <v/>
      </c>
      <c r="L532" s="19" t="str">
        <f>IF('Supplier selection'!L532="","",'Supplier selection'!L532)</f>
        <v/>
      </c>
      <c r="M532" s="19" t="str">
        <f>IF('Supplier selection'!M532="","",'Supplier selection'!M532)</f>
        <v/>
      </c>
      <c r="N532" s="19" t="str">
        <f>IF('Supplier selection'!N532="","",'Supplier selection'!N532)</f>
        <v/>
      </c>
      <c r="O532" s="19" t="str">
        <f>IF('Supplier selection'!O532="","",'Supplier selection'!O532)</f>
        <v/>
      </c>
      <c r="Q532" s="19" t="str">
        <f>HLOOKUP($Q$3,'Supplier selection'!$AW$4:'Supplier selection'!$CT$1000,$A533,FALSE)</f>
        <v/>
      </c>
      <c r="R532" s="22" t="str">
        <f t="shared" si="88"/>
        <v/>
      </c>
      <c r="S532" s="19" t="str">
        <f t="shared" si="89"/>
        <v/>
      </c>
      <c r="T532" s="22" t="str">
        <f t="shared" si="90"/>
        <v/>
      </c>
      <c r="U532" s="19" t="str">
        <f t="shared" si="91"/>
        <v/>
      </c>
      <c r="V532" s="7"/>
      <c r="Y532" s="19" t="str">
        <f>IF('Supplier selection'!AQ532="","",'Supplier selection'!AQ532)</f>
        <v/>
      </c>
      <c r="Z532" s="19" t="str">
        <f>IF('Supplier selection'!AR532="","",'Supplier selection'!AR532)</f>
        <v/>
      </c>
      <c r="AA532" s="19" t="str">
        <f t="shared" si="92"/>
        <v/>
      </c>
      <c r="AD532" s="26" t="str">
        <f>IF(AND('Supplier selection'!X532="",'Supplier selection'!AE532=""),"",IF('Supplier selection'!X532="",'Supplier selection'!AE532,'Supplier selection'!X532))</f>
        <v/>
      </c>
      <c r="AE532" s="19" t="str">
        <f t="shared" si="93"/>
        <v/>
      </c>
      <c r="AF532" s="19" t="str">
        <f t="shared" si="94"/>
        <v/>
      </c>
      <c r="AG532" s="27" t="str">
        <f>IF(AND('Supplier selection'!AB532="",'Supplier selection'!AI532=""),"",IF('Supplier selection'!AB532="",'Supplier selection'!AI532,'Supplier selection'!AB532))</f>
        <v/>
      </c>
      <c r="AH532" s="28" t="str">
        <f t="shared" si="95"/>
        <v/>
      </c>
      <c r="AI532" s="7" t="str">
        <f t="shared" si="96"/>
        <v/>
      </c>
      <c r="AJ532" s="22" t="str">
        <f t="shared" si="97"/>
        <v/>
      </c>
      <c r="AK532" s="29" t="str">
        <f t="shared" si="98"/>
        <v/>
      </c>
      <c r="AL532" s="10"/>
    </row>
    <row r="533" spans="1:38">
      <c r="A533" s="19">
        <f>IF('Supplier selection'!A533="","",'Supplier selection'!A533)</f>
        <v>529</v>
      </c>
      <c r="B533" s="19" t="str">
        <f>IF('Supplier selection'!B533="","",'Supplier selection'!B533)</f>
        <v/>
      </c>
      <c r="C533" s="19" t="str">
        <f>IF('Supplier selection'!C533="","",'Supplier selection'!C533)</f>
        <v/>
      </c>
      <c r="D533" s="19" t="str">
        <f>IF('Supplier selection'!D533="","",'Supplier selection'!D533)</f>
        <v/>
      </c>
      <c r="E533" s="19" t="str">
        <f>IF('Supplier selection'!E533="","",'Supplier selection'!E533)</f>
        <v/>
      </c>
      <c r="F533" s="19" t="str">
        <f>IF('Supplier selection'!F533="","",'Supplier selection'!F533)</f>
        <v/>
      </c>
      <c r="G533" s="19" t="str">
        <f>IF('Supplier selection'!G533="","",'Supplier selection'!G533)</f>
        <v/>
      </c>
      <c r="H533" s="19" t="str">
        <f>IF('Supplier selection'!H533="","",'Supplier selection'!H533)</f>
        <v/>
      </c>
      <c r="I533" s="19" t="str">
        <f>IF('Supplier selection'!I533="","",'Supplier selection'!I533)</f>
        <v/>
      </c>
      <c r="J533" s="19" t="str">
        <f>IF('Supplier selection'!J533="","",'Supplier selection'!J533)</f>
        <v/>
      </c>
      <c r="K533" s="19" t="str">
        <f>IF('Supplier selection'!K533="","",'Supplier selection'!K533)</f>
        <v/>
      </c>
      <c r="L533" s="19" t="str">
        <f>IF('Supplier selection'!L533="","",'Supplier selection'!L533)</f>
        <v/>
      </c>
      <c r="M533" s="19" t="str">
        <f>IF('Supplier selection'!M533="","",'Supplier selection'!M533)</f>
        <v/>
      </c>
      <c r="N533" s="19" t="str">
        <f>IF('Supplier selection'!N533="","",'Supplier selection'!N533)</f>
        <v/>
      </c>
      <c r="O533" s="19" t="str">
        <f>IF('Supplier selection'!O533="","",'Supplier selection'!O533)</f>
        <v/>
      </c>
      <c r="Q533" s="19" t="str">
        <f>HLOOKUP($Q$3,'Supplier selection'!$AW$4:'Supplier selection'!$CT$1000,$A534,FALSE)</f>
        <v/>
      </c>
      <c r="R533" s="22" t="str">
        <f t="shared" si="88"/>
        <v/>
      </c>
      <c r="S533" s="19" t="str">
        <f t="shared" si="89"/>
        <v/>
      </c>
      <c r="T533" s="22" t="str">
        <f t="shared" si="90"/>
        <v/>
      </c>
      <c r="U533" s="19" t="str">
        <f t="shared" si="91"/>
        <v/>
      </c>
      <c r="V533" s="7"/>
      <c r="Y533" s="19" t="str">
        <f>IF('Supplier selection'!AQ533="","",'Supplier selection'!AQ533)</f>
        <v/>
      </c>
      <c r="Z533" s="19" t="str">
        <f>IF('Supplier selection'!AR533="","",'Supplier selection'!AR533)</f>
        <v/>
      </c>
      <c r="AA533" s="19" t="str">
        <f t="shared" si="92"/>
        <v/>
      </c>
      <c r="AD533" s="26" t="str">
        <f>IF(AND('Supplier selection'!X533="",'Supplier selection'!AE533=""),"",IF('Supplier selection'!X533="",'Supplier selection'!AE533,'Supplier selection'!X533))</f>
        <v/>
      </c>
      <c r="AE533" s="19" t="str">
        <f t="shared" si="93"/>
        <v/>
      </c>
      <c r="AF533" s="19" t="str">
        <f t="shared" si="94"/>
        <v/>
      </c>
      <c r="AG533" s="27" t="str">
        <f>IF(AND('Supplier selection'!AB533="",'Supplier selection'!AI533=""),"",IF('Supplier selection'!AB533="",'Supplier selection'!AI533,'Supplier selection'!AB533))</f>
        <v/>
      </c>
      <c r="AH533" s="28" t="str">
        <f t="shared" si="95"/>
        <v/>
      </c>
      <c r="AI533" s="7" t="str">
        <f t="shared" si="96"/>
        <v/>
      </c>
      <c r="AJ533" s="22" t="str">
        <f t="shared" si="97"/>
        <v/>
      </c>
      <c r="AK533" s="29" t="str">
        <f t="shared" si="98"/>
        <v/>
      </c>
      <c r="AL533" s="10"/>
    </row>
    <row r="534" spans="1:38">
      <c r="A534" s="19">
        <f>IF('Supplier selection'!A534="","",'Supplier selection'!A534)</f>
        <v>530</v>
      </c>
      <c r="B534" s="19" t="str">
        <f>IF('Supplier selection'!B534="","",'Supplier selection'!B534)</f>
        <v/>
      </c>
      <c r="C534" s="19" t="str">
        <f>IF('Supplier selection'!C534="","",'Supplier selection'!C534)</f>
        <v/>
      </c>
      <c r="D534" s="19" t="str">
        <f>IF('Supplier selection'!D534="","",'Supplier selection'!D534)</f>
        <v/>
      </c>
      <c r="E534" s="19" t="str">
        <f>IF('Supplier selection'!E534="","",'Supplier selection'!E534)</f>
        <v/>
      </c>
      <c r="F534" s="19" t="str">
        <f>IF('Supplier selection'!F534="","",'Supplier selection'!F534)</f>
        <v/>
      </c>
      <c r="G534" s="19" t="str">
        <f>IF('Supplier selection'!G534="","",'Supplier selection'!G534)</f>
        <v/>
      </c>
      <c r="H534" s="19" t="str">
        <f>IF('Supplier selection'!H534="","",'Supplier selection'!H534)</f>
        <v/>
      </c>
      <c r="I534" s="19" t="str">
        <f>IF('Supplier selection'!I534="","",'Supplier selection'!I534)</f>
        <v/>
      </c>
      <c r="J534" s="19" t="str">
        <f>IF('Supplier selection'!J534="","",'Supplier selection'!J534)</f>
        <v/>
      </c>
      <c r="K534" s="19" t="str">
        <f>IF('Supplier selection'!K534="","",'Supplier selection'!K534)</f>
        <v/>
      </c>
      <c r="L534" s="19" t="str">
        <f>IF('Supplier selection'!L534="","",'Supplier selection'!L534)</f>
        <v/>
      </c>
      <c r="M534" s="19" t="str">
        <f>IF('Supplier selection'!M534="","",'Supplier selection'!M534)</f>
        <v/>
      </c>
      <c r="N534" s="19" t="str">
        <f>IF('Supplier selection'!N534="","",'Supplier selection'!N534)</f>
        <v/>
      </c>
      <c r="O534" s="19" t="str">
        <f>IF('Supplier selection'!O534="","",'Supplier selection'!O534)</f>
        <v/>
      </c>
      <c r="Q534" s="19" t="str">
        <f>HLOOKUP($Q$3,'Supplier selection'!$AW$4:'Supplier selection'!$CT$1000,$A535,FALSE)</f>
        <v/>
      </c>
      <c r="R534" s="22" t="str">
        <f t="shared" si="88"/>
        <v/>
      </c>
      <c r="S534" s="19" t="str">
        <f t="shared" si="89"/>
        <v/>
      </c>
      <c r="T534" s="22" t="str">
        <f t="shared" si="90"/>
        <v/>
      </c>
      <c r="U534" s="19" t="str">
        <f t="shared" si="91"/>
        <v/>
      </c>
      <c r="V534" s="7"/>
      <c r="Y534" s="19" t="str">
        <f>IF('Supplier selection'!AQ534="","",'Supplier selection'!AQ534)</f>
        <v/>
      </c>
      <c r="Z534" s="19" t="str">
        <f>IF('Supplier selection'!AR534="","",'Supplier selection'!AR534)</f>
        <v/>
      </c>
      <c r="AA534" s="19" t="str">
        <f t="shared" si="92"/>
        <v/>
      </c>
      <c r="AD534" s="26" t="str">
        <f>IF(AND('Supplier selection'!X534="",'Supplier selection'!AE534=""),"",IF('Supplier selection'!X534="",'Supplier selection'!AE534,'Supplier selection'!X534))</f>
        <v/>
      </c>
      <c r="AE534" s="19" t="str">
        <f t="shared" si="93"/>
        <v/>
      </c>
      <c r="AF534" s="19" t="str">
        <f t="shared" si="94"/>
        <v/>
      </c>
      <c r="AG534" s="27" t="str">
        <f>IF(AND('Supplier selection'!AB534="",'Supplier selection'!AI534=""),"",IF('Supplier selection'!AB534="",'Supplier selection'!AI534,'Supplier selection'!AB534))</f>
        <v/>
      </c>
      <c r="AH534" s="28" t="str">
        <f t="shared" si="95"/>
        <v/>
      </c>
      <c r="AI534" s="7" t="str">
        <f t="shared" si="96"/>
        <v/>
      </c>
      <c r="AJ534" s="22" t="str">
        <f t="shared" si="97"/>
        <v/>
      </c>
      <c r="AK534" s="29" t="str">
        <f t="shared" si="98"/>
        <v/>
      </c>
      <c r="AL534" s="10"/>
    </row>
    <row r="535" spans="1:38">
      <c r="A535" s="19">
        <f>IF('Supplier selection'!A535="","",'Supplier selection'!A535)</f>
        <v>531</v>
      </c>
      <c r="B535" s="19" t="str">
        <f>IF('Supplier selection'!B535="","",'Supplier selection'!B535)</f>
        <v/>
      </c>
      <c r="C535" s="19" t="str">
        <f>IF('Supplier selection'!C535="","",'Supplier selection'!C535)</f>
        <v/>
      </c>
      <c r="D535" s="19" t="str">
        <f>IF('Supplier selection'!D535="","",'Supplier selection'!D535)</f>
        <v/>
      </c>
      <c r="E535" s="19" t="str">
        <f>IF('Supplier selection'!E535="","",'Supplier selection'!E535)</f>
        <v/>
      </c>
      <c r="F535" s="19" t="str">
        <f>IF('Supplier selection'!F535="","",'Supplier selection'!F535)</f>
        <v/>
      </c>
      <c r="G535" s="19" t="str">
        <f>IF('Supplier selection'!G535="","",'Supplier selection'!G535)</f>
        <v/>
      </c>
      <c r="H535" s="19" t="str">
        <f>IF('Supplier selection'!H535="","",'Supplier selection'!H535)</f>
        <v/>
      </c>
      <c r="I535" s="19" t="str">
        <f>IF('Supplier selection'!I535="","",'Supplier selection'!I535)</f>
        <v/>
      </c>
      <c r="J535" s="19" t="str">
        <f>IF('Supplier selection'!J535="","",'Supplier selection'!J535)</f>
        <v/>
      </c>
      <c r="K535" s="19" t="str">
        <f>IF('Supplier selection'!K535="","",'Supplier selection'!K535)</f>
        <v/>
      </c>
      <c r="L535" s="19" t="str">
        <f>IF('Supplier selection'!L535="","",'Supplier selection'!L535)</f>
        <v/>
      </c>
      <c r="M535" s="19" t="str">
        <f>IF('Supplier selection'!M535="","",'Supplier selection'!M535)</f>
        <v/>
      </c>
      <c r="N535" s="19" t="str">
        <f>IF('Supplier selection'!N535="","",'Supplier selection'!N535)</f>
        <v/>
      </c>
      <c r="O535" s="19" t="str">
        <f>IF('Supplier selection'!O535="","",'Supplier selection'!O535)</f>
        <v/>
      </c>
      <c r="Q535" s="19" t="str">
        <f>HLOOKUP($Q$3,'Supplier selection'!$AW$4:'Supplier selection'!$CT$1000,$A536,FALSE)</f>
        <v/>
      </c>
      <c r="R535" s="22" t="str">
        <f t="shared" si="88"/>
        <v/>
      </c>
      <c r="S535" s="19" t="str">
        <f t="shared" si="89"/>
        <v/>
      </c>
      <c r="T535" s="22" t="str">
        <f t="shared" si="90"/>
        <v/>
      </c>
      <c r="U535" s="19" t="str">
        <f t="shared" si="91"/>
        <v/>
      </c>
      <c r="V535" s="7"/>
      <c r="Y535" s="19" t="str">
        <f>IF('Supplier selection'!AQ535="","",'Supplier selection'!AQ535)</f>
        <v/>
      </c>
      <c r="Z535" s="19" t="str">
        <f>IF('Supplier selection'!AR535="","",'Supplier selection'!AR535)</f>
        <v/>
      </c>
      <c r="AA535" s="19" t="str">
        <f t="shared" si="92"/>
        <v/>
      </c>
      <c r="AD535" s="26" t="str">
        <f>IF(AND('Supplier selection'!X535="",'Supplier selection'!AE535=""),"",IF('Supplier selection'!X535="",'Supplier selection'!AE535,'Supplier selection'!X535))</f>
        <v/>
      </c>
      <c r="AE535" s="19" t="str">
        <f t="shared" si="93"/>
        <v/>
      </c>
      <c r="AF535" s="19" t="str">
        <f t="shared" si="94"/>
        <v/>
      </c>
      <c r="AG535" s="27" t="str">
        <f>IF(AND('Supplier selection'!AB535="",'Supplier selection'!AI535=""),"",IF('Supplier selection'!AB535="",'Supplier selection'!AI535,'Supplier selection'!AB535))</f>
        <v/>
      </c>
      <c r="AH535" s="28" t="str">
        <f t="shared" si="95"/>
        <v/>
      </c>
      <c r="AI535" s="7" t="str">
        <f t="shared" si="96"/>
        <v/>
      </c>
      <c r="AJ535" s="22" t="str">
        <f t="shared" si="97"/>
        <v/>
      </c>
      <c r="AK535" s="29" t="str">
        <f t="shared" si="98"/>
        <v/>
      </c>
      <c r="AL535" s="10"/>
    </row>
    <row r="536" spans="1:38">
      <c r="A536" s="19">
        <f>IF('Supplier selection'!A536="","",'Supplier selection'!A536)</f>
        <v>532</v>
      </c>
      <c r="B536" s="19" t="str">
        <f>IF('Supplier selection'!B536="","",'Supplier selection'!B536)</f>
        <v/>
      </c>
      <c r="C536" s="19" t="str">
        <f>IF('Supplier selection'!C536="","",'Supplier selection'!C536)</f>
        <v/>
      </c>
      <c r="D536" s="19" t="str">
        <f>IF('Supplier selection'!D536="","",'Supplier selection'!D536)</f>
        <v/>
      </c>
      <c r="E536" s="19" t="str">
        <f>IF('Supplier selection'!E536="","",'Supplier selection'!E536)</f>
        <v/>
      </c>
      <c r="F536" s="19" t="str">
        <f>IF('Supplier selection'!F536="","",'Supplier selection'!F536)</f>
        <v/>
      </c>
      <c r="G536" s="19" t="str">
        <f>IF('Supplier selection'!G536="","",'Supplier selection'!G536)</f>
        <v/>
      </c>
      <c r="H536" s="19" t="str">
        <f>IF('Supplier selection'!H536="","",'Supplier selection'!H536)</f>
        <v/>
      </c>
      <c r="I536" s="19" t="str">
        <f>IF('Supplier selection'!I536="","",'Supplier selection'!I536)</f>
        <v/>
      </c>
      <c r="J536" s="19" t="str">
        <f>IF('Supplier selection'!J536="","",'Supplier selection'!J536)</f>
        <v/>
      </c>
      <c r="K536" s="19" t="str">
        <f>IF('Supplier selection'!K536="","",'Supplier selection'!K536)</f>
        <v/>
      </c>
      <c r="L536" s="19" t="str">
        <f>IF('Supplier selection'!L536="","",'Supplier selection'!L536)</f>
        <v/>
      </c>
      <c r="M536" s="19" t="str">
        <f>IF('Supplier selection'!M536="","",'Supplier selection'!M536)</f>
        <v/>
      </c>
      <c r="N536" s="19" t="str">
        <f>IF('Supplier selection'!N536="","",'Supplier selection'!N536)</f>
        <v/>
      </c>
      <c r="O536" s="19" t="str">
        <f>IF('Supplier selection'!O536="","",'Supplier selection'!O536)</f>
        <v/>
      </c>
      <c r="Q536" s="19" t="str">
        <f>HLOOKUP($Q$3,'Supplier selection'!$AW$4:'Supplier selection'!$CT$1000,$A537,FALSE)</f>
        <v/>
      </c>
      <c r="R536" s="22" t="str">
        <f t="shared" si="88"/>
        <v/>
      </c>
      <c r="S536" s="19" t="str">
        <f t="shared" si="89"/>
        <v/>
      </c>
      <c r="T536" s="22" t="str">
        <f t="shared" si="90"/>
        <v/>
      </c>
      <c r="U536" s="19" t="str">
        <f t="shared" si="91"/>
        <v/>
      </c>
      <c r="V536" s="7"/>
      <c r="Y536" s="19" t="str">
        <f>IF('Supplier selection'!AQ536="","",'Supplier selection'!AQ536)</f>
        <v/>
      </c>
      <c r="Z536" s="19" t="str">
        <f>IF('Supplier selection'!AR536="","",'Supplier selection'!AR536)</f>
        <v/>
      </c>
      <c r="AA536" s="19" t="str">
        <f t="shared" si="92"/>
        <v/>
      </c>
      <c r="AD536" s="26" t="str">
        <f>IF(AND('Supplier selection'!X536="",'Supplier selection'!AE536=""),"",IF('Supplier selection'!X536="",'Supplier selection'!AE536,'Supplier selection'!X536))</f>
        <v/>
      </c>
      <c r="AE536" s="19" t="str">
        <f t="shared" si="93"/>
        <v/>
      </c>
      <c r="AF536" s="19" t="str">
        <f t="shared" si="94"/>
        <v/>
      </c>
      <c r="AG536" s="27" t="str">
        <f>IF(AND('Supplier selection'!AB536="",'Supplier selection'!AI536=""),"",IF('Supplier selection'!AB536="",'Supplier selection'!AI536,'Supplier selection'!AB536))</f>
        <v/>
      </c>
      <c r="AH536" s="28" t="str">
        <f t="shared" si="95"/>
        <v/>
      </c>
      <c r="AI536" s="7" t="str">
        <f t="shared" si="96"/>
        <v/>
      </c>
      <c r="AJ536" s="22" t="str">
        <f t="shared" si="97"/>
        <v/>
      </c>
      <c r="AK536" s="29" t="str">
        <f t="shared" si="98"/>
        <v/>
      </c>
      <c r="AL536" s="10"/>
    </row>
    <row r="537" spans="1:38">
      <c r="A537" s="19">
        <f>IF('Supplier selection'!A537="","",'Supplier selection'!A537)</f>
        <v>533</v>
      </c>
      <c r="B537" s="19" t="str">
        <f>IF('Supplier selection'!B537="","",'Supplier selection'!B537)</f>
        <v/>
      </c>
      <c r="C537" s="19" t="str">
        <f>IF('Supplier selection'!C537="","",'Supplier selection'!C537)</f>
        <v/>
      </c>
      <c r="D537" s="19" t="str">
        <f>IF('Supplier selection'!D537="","",'Supplier selection'!D537)</f>
        <v/>
      </c>
      <c r="E537" s="19" t="str">
        <f>IF('Supplier selection'!E537="","",'Supplier selection'!E537)</f>
        <v/>
      </c>
      <c r="F537" s="19" t="str">
        <f>IF('Supplier selection'!F537="","",'Supplier selection'!F537)</f>
        <v/>
      </c>
      <c r="G537" s="19" t="str">
        <f>IF('Supplier selection'!G537="","",'Supplier selection'!G537)</f>
        <v/>
      </c>
      <c r="H537" s="19" t="str">
        <f>IF('Supplier selection'!H537="","",'Supplier selection'!H537)</f>
        <v/>
      </c>
      <c r="I537" s="19" t="str">
        <f>IF('Supplier selection'!I537="","",'Supplier selection'!I537)</f>
        <v/>
      </c>
      <c r="J537" s="19" t="str">
        <f>IF('Supplier selection'!J537="","",'Supplier selection'!J537)</f>
        <v/>
      </c>
      <c r="K537" s="19" t="str">
        <f>IF('Supplier selection'!K537="","",'Supplier selection'!K537)</f>
        <v/>
      </c>
      <c r="L537" s="19" t="str">
        <f>IF('Supplier selection'!L537="","",'Supplier selection'!L537)</f>
        <v/>
      </c>
      <c r="M537" s="19" t="str">
        <f>IF('Supplier selection'!M537="","",'Supplier selection'!M537)</f>
        <v/>
      </c>
      <c r="N537" s="19" t="str">
        <f>IF('Supplier selection'!N537="","",'Supplier selection'!N537)</f>
        <v/>
      </c>
      <c r="O537" s="19" t="str">
        <f>IF('Supplier selection'!O537="","",'Supplier selection'!O537)</f>
        <v/>
      </c>
      <c r="Q537" s="19" t="str">
        <f>HLOOKUP($Q$3,'Supplier selection'!$AW$4:'Supplier selection'!$CT$1000,$A538,FALSE)</f>
        <v/>
      </c>
      <c r="R537" s="22" t="str">
        <f t="shared" si="88"/>
        <v/>
      </c>
      <c r="S537" s="19" t="str">
        <f t="shared" si="89"/>
        <v/>
      </c>
      <c r="T537" s="22" t="str">
        <f t="shared" si="90"/>
        <v/>
      </c>
      <c r="U537" s="19" t="str">
        <f t="shared" si="91"/>
        <v/>
      </c>
      <c r="V537" s="7"/>
      <c r="Y537" s="19" t="str">
        <f>IF('Supplier selection'!AQ537="","",'Supplier selection'!AQ537)</f>
        <v/>
      </c>
      <c r="Z537" s="19" t="str">
        <f>IF('Supplier selection'!AR537="","",'Supplier selection'!AR537)</f>
        <v/>
      </c>
      <c r="AA537" s="19" t="str">
        <f t="shared" si="92"/>
        <v/>
      </c>
      <c r="AD537" s="26" t="str">
        <f>IF(AND('Supplier selection'!X537="",'Supplier selection'!AE537=""),"",IF('Supplier selection'!X537="",'Supplier selection'!AE537,'Supplier selection'!X537))</f>
        <v/>
      </c>
      <c r="AE537" s="19" t="str">
        <f t="shared" si="93"/>
        <v/>
      </c>
      <c r="AF537" s="19" t="str">
        <f t="shared" si="94"/>
        <v/>
      </c>
      <c r="AG537" s="27" t="str">
        <f>IF(AND('Supplier selection'!AB537="",'Supplier selection'!AI537=""),"",IF('Supplier selection'!AB537="",'Supplier selection'!AI537,'Supplier selection'!AB537))</f>
        <v/>
      </c>
      <c r="AH537" s="28" t="str">
        <f t="shared" si="95"/>
        <v/>
      </c>
      <c r="AI537" s="7" t="str">
        <f t="shared" si="96"/>
        <v/>
      </c>
      <c r="AJ537" s="22" t="str">
        <f t="shared" si="97"/>
        <v/>
      </c>
      <c r="AK537" s="29" t="str">
        <f t="shared" si="98"/>
        <v/>
      </c>
      <c r="AL537" s="10"/>
    </row>
    <row r="538" spans="1:38">
      <c r="A538" s="19">
        <f>IF('Supplier selection'!A538="","",'Supplier selection'!A538)</f>
        <v>534</v>
      </c>
      <c r="B538" s="19" t="str">
        <f>IF('Supplier selection'!B538="","",'Supplier selection'!B538)</f>
        <v/>
      </c>
      <c r="C538" s="19" t="str">
        <f>IF('Supplier selection'!C538="","",'Supplier selection'!C538)</f>
        <v/>
      </c>
      <c r="D538" s="19" t="str">
        <f>IF('Supplier selection'!D538="","",'Supplier selection'!D538)</f>
        <v/>
      </c>
      <c r="E538" s="19" t="str">
        <f>IF('Supplier selection'!E538="","",'Supplier selection'!E538)</f>
        <v/>
      </c>
      <c r="F538" s="19" t="str">
        <f>IF('Supplier selection'!F538="","",'Supplier selection'!F538)</f>
        <v/>
      </c>
      <c r="G538" s="19" t="str">
        <f>IF('Supplier selection'!G538="","",'Supplier selection'!G538)</f>
        <v/>
      </c>
      <c r="H538" s="19" t="str">
        <f>IF('Supplier selection'!H538="","",'Supplier selection'!H538)</f>
        <v/>
      </c>
      <c r="I538" s="19" t="str">
        <f>IF('Supplier selection'!I538="","",'Supplier selection'!I538)</f>
        <v/>
      </c>
      <c r="J538" s="19" t="str">
        <f>IF('Supplier selection'!J538="","",'Supplier selection'!J538)</f>
        <v/>
      </c>
      <c r="K538" s="19" t="str">
        <f>IF('Supplier selection'!K538="","",'Supplier selection'!K538)</f>
        <v/>
      </c>
      <c r="L538" s="19" t="str">
        <f>IF('Supplier selection'!L538="","",'Supplier selection'!L538)</f>
        <v/>
      </c>
      <c r="M538" s="19" t="str">
        <f>IF('Supplier selection'!M538="","",'Supplier selection'!M538)</f>
        <v/>
      </c>
      <c r="N538" s="19" t="str">
        <f>IF('Supplier selection'!N538="","",'Supplier selection'!N538)</f>
        <v/>
      </c>
      <c r="O538" s="19" t="str">
        <f>IF('Supplier selection'!O538="","",'Supplier selection'!O538)</f>
        <v/>
      </c>
      <c r="Q538" s="19" t="str">
        <f>HLOOKUP($Q$3,'Supplier selection'!$AW$4:'Supplier selection'!$CT$1000,$A539,FALSE)</f>
        <v/>
      </c>
      <c r="R538" s="22" t="str">
        <f t="shared" si="88"/>
        <v/>
      </c>
      <c r="S538" s="19" t="str">
        <f t="shared" si="89"/>
        <v/>
      </c>
      <c r="T538" s="22" t="str">
        <f t="shared" si="90"/>
        <v/>
      </c>
      <c r="U538" s="19" t="str">
        <f t="shared" si="91"/>
        <v/>
      </c>
      <c r="V538" s="7"/>
      <c r="Y538" s="19" t="str">
        <f>IF('Supplier selection'!AQ538="","",'Supplier selection'!AQ538)</f>
        <v/>
      </c>
      <c r="Z538" s="19" t="str">
        <f>IF('Supplier selection'!AR538="","",'Supplier selection'!AR538)</f>
        <v/>
      </c>
      <c r="AA538" s="19" t="str">
        <f t="shared" si="92"/>
        <v/>
      </c>
      <c r="AD538" s="26" t="str">
        <f>IF(AND('Supplier selection'!X538="",'Supplier selection'!AE538=""),"",IF('Supplier selection'!X538="",'Supplier selection'!AE538,'Supplier selection'!X538))</f>
        <v/>
      </c>
      <c r="AE538" s="19" t="str">
        <f t="shared" si="93"/>
        <v/>
      </c>
      <c r="AF538" s="19" t="str">
        <f t="shared" si="94"/>
        <v/>
      </c>
      <c r="AG538" s="27" t="str">
        <f>IF(AND('Supplier selection'!AB538="",'Supplier selection'!AI538=""),"",IF('Supplier selection'!AB538="",'Supplier selection'!AI538,'Supplier selection'!AB538))</f>
        <v/>
      </c>
      <c r="AH538" s="28" t="str">
        <f t="shared" si="95"/>
        <v/>
      </c>
      <c r="AI538" s="7" t="str">
        <f t="shared" si="96"/>
        <v/>
      </c>
      <c r="AJ538" s="22" t="str">
        <f t="shared" si="97"/>
        <v/>
      </c>
      <c r="AK538" s="29" t="str">
        <f t="shared" si="98"/>
        <v/>
      </c>
      <c r="AL538" s="10"/>
    </row>
    <row r="539" spans="1:38">
      <c r="A539" s="19">
        <f>IF('Supplier selection'!A539="","",'Supplier selection'!A539)</f>
        <v>535</v>
      </c>
      <c r="B539" s="19" t="str">
        <f>IF('Supplier selection'!B539="","",'Supplier selection'!B539)</f>
        <v/>
      </c>
      <c r="C539" s="19" t="str">
        <f>IF('Supplier selection'!C539="","",'Supplier selection'!C539)</f>
        <v/>
      </c>
      <c r="D539" s="19" t="str">
        <f>IF('Supplier selection'!D539="","",'Supplier selection'!D539)</f>
        <v/>
      </c>
      <c r="E539" s="19" t="str">
        <f>IF('Supplier selection'!E539="","",'Supplier selection'!E539)</f>
        <v/>
      </c>
      <c r="F539" s="19" t="str">
        <f>IF('Supplier selection'!F539="","",'Supplier selection'!F539)</f>
        <v/>
      </c>
      <c r="G539" s="19" t="str">
        <f>IF('Supplier selection'!G539="","",'Supplier selection'!G539)</f>
        <v/>
      </c>
      <c r="H539" s="19" t="str">
        <f>IF('Supplier selection'!H539="","",'Supplier selection'!H539)</f>
        <v/>
      </c>
      <c r="I539" s="19" t="str">
        <f>IF('Supplier selection'!I539="","",'Supplier selection'!I539)</f>
        <v/>
      </c>
      <c r="J539" s="19" t="str">
        <f>IF('Supplier selection'!J539="","",'Supplier selection'!J539)</f>
        <v/>
      </c>
      <c r="K539" s="19" t="str">
        <f>IF('Supplier selection'!K539="","",'Supplier selection'!K539)</f>
        <v/>
      </c>
      <c r="L539" s="19" t="str">
        <f>IF('Supplier selection'!L539="","",'Supplier selection'!L539)</f>
        <v/>
      </c>
      <c r="M539" s="19" t="str">
        <f>IF('Supplier selection'!M539="","",'Supplier selection'!M539)</f>
        <v/>
      </c>
      <c r="N539" s="19" t="str">
        <f>IF('Supplier selection'!N539="","",'Supplier selection'!N539)</f>
        <v/>
      </c>
      <c r="O539" s="19" t="str">
        <f>IF('Supplier selection'!O539="","",'Supplier selection'!O539)</f>
        <v/>
      </c>
      <c r="Q539" s="19" t="str">
        <f>HLOOKUP($Q$3,'Supplier selection'!$AW$4:'Supplier selection'!$CT$1000,$A540,FALSE)</f>
        <v/>
      </c>
      <c r="R539" s="22" t="str">
        <f t="shared" si="88"/>
        <v/>
      </c>
      <c r="S539" s="19" t="str">
        <f t="shared" si="89"/>
        <v/>
      </c>
      <c r="T539" s="22" t="str">
        <f t="shared" si="90"/>
        <v/>
      </c>
      <c r="U539" s="19" t="str">
        <f t="shared" si="91"/>
        <v/>
      </c>
      <c r="V539" s="7"/>
      <c r="Y539" s="19" t="str">
        <f>IF('Supplier selection'!AQ539="","",'Supplier selection'!AQ539)</f>
        <v/>
      </c>
      <c r="Z539" s="19" t="str">
        <f>IF('Supplier selection'!AR539="","",'Supplier selection'!AR539)</f>
        <v/>
      </c>
      <c r="AA539" s="19" t="str">
        <f t="shared" si="92"/>
        <v/>
      </c>
      <c r="AD539" s="26" t="str">
        <f>IF(AND('Supplier selection'!X539="",'Supplier selection'!AE539=""),"",IF('Supplier selection'!X539="",'Supplier selection'!AE539,'Supplier selection'!X539))</f>
        <v/>
      </c>
      <c r="AE539" s="19" t="str">
        <f t="shared" si="93"/>
        <v/>
      </c>
      <c r="AF539" s="19" t="str">
        <f t="shared" si="94"/>
        <v/>
      </c>
      <c r="AG539" s="27" t="str">
        <f>IF(AND('Supplier selection'!AB539="",'Supplier selection'!AI539=""),"",IF('Supplier selection'!AB539="",'Supplier selection'!AI539,'Supplier selection'!AB539))</f>
        <v/>
      </c>
      <c r="AH539" s="28" t="str">
        <f t="shared" si="95"/>
        <v/>
      </c>
      <c r="AI539" s="7" t="str">
        <f t="shared" si="96"/>
        <v/>
      </c>
      <c r="AJ539" s="22" t="str">
        <f t="shared" si="97"/>
        <v/>
      </c>
      <c r="AK539" s="29" t="str">
        <f t="shared" si="98"/>
        <v/>
      </c>
      <c r="AL539" s="10"/>
    </row>
    <row r="540" spans="1:38">
      <c r="A540" s="19">
        <f>IF('Supplier selection'!A540="","",'Supplier selection'!A540)</f>
        <v>536</v>
      </c>
      <c r="B540" s="19" t="str">
        <f>IF('Supplier selection'!B540="","",'Supplier selection'!B540)</f>
        <v/>
      </c>
      <c r="C540" s="19" t="str">
        <f>IF('Supplier selection'!C540="","",'Supplier selection'!C540)</f>
        <v/>
      </c>
      <c r="D540" s="19" t="str">
        <f>IF('Supplier selection'!D540="","",'Supplier selection'!D540)</f>
        <v/>
      </c>
      <c r="E540" s="19" t="str">
        <f>IF('Supplier selection'!E540="","",'Supplier selection'!E540)</f>
        <v/>
      </c>
      <c r="F540" s="19" t="str">
        <f>IF('Supplier selection'!F540="","",'Supplier selection'!F540)</f>
        <v/>
      </c>
      <c r="G540" s="19" t="str">
        <f>IF('Supplier selection'!G540="","",'Supplier selection'!G540)</f>
        <v/>
      </c>
      <c r="H540" s="19" t="str">
        <f>IF('Supplier selection'!H540="","",'Supplier selection'!H540)</f>
        <v/>
      </c>
      <c r="I540" s="19" t="str">
        <f>IF('Supplier selection'!I540="","",'Supplier selection'!I540)</f>
        <v/>
      </c>
      <c r="J540" s="19" t="str">
        <f>IF('Supplier selection'!J540="","",'Supplier selection'!J540)</f>
        <v/>
      </c>
      <c r="K540" s="19" t="str">
        <f>IF('Supplier selection'!K540="","",'Supplier selection'!K540)</f>
        <v/>
      </c>
      <c r="L540" s="19" t="str">
        <f>IF('Supplier selection'!L540="","",'Supplier selection'!L540)</f>
        <v/>
      </c>
      <c r="M540" s="19" t="str">
        <f>IF('Supplier selection'!M540="","",'Supplier selection'!M540)</f>
        <v/>
      </c>
      <c r="N540" s="19" t="str">
        <f>IF('Supplier selection'!N540="","",'Supplier selection'!N540)</f>
        <v/>
      </c>
      <c r="O540" s="19" t="str">
        <f>IF('Supplier selection'!O540="","",'Supplier selection'!O540)</f>
        <v/>
      </c>
      <c r="Q540" s="19" t="str">
        <f>HLOOKUP($Q$3,'Supplier selection'!$AW$4:'Supplier selection'!$CT$1000,$A541,FALSE)</f>
        <v/>
      </c>
      <c r="R540" s="22" t="str">
        <f t="shared" si="88"/>
        <v/>
      </c>
      <c r="S540" s="19" t="str">
        <f t="shared" si="89"/>
        <v/>
      </c>
      <c r="T540" s="22" t="str">
        <f t="shared" si="90"/>
        <v/>
      </c>
      <c r="U540" s="19" t="str">
        <f t="shared" si="91"/>
        <v/>
      </c>
      <c r="V540" s="7"/>
      <c r="Y540" s="19" t="str">
        <f>IF('Supplier selection'!AQ540="","",'Supplier selection'!AQ540)</f>
        <v/>
      </c>
      <c r="Z540" s="19" t="str">
        <f>IF('Supplier selection'!AR540="","",'Supplier selection'!AR540)</f>
        <v/>
      </c>
      <c r="AA540" s="19" t="str">
        <f t="shared" si="92"/>
        <v/>
      </c>
      <c r="AD540" s="26" t="str">
        <f>IF(AND('Supplier selection'!X540="",'Supplier selection'!AE540=""),"",IF('Supplier selection'!X540="",'Supplier selection'!AE540,'Supplier selection'!X540))</f>
        <v/>
      </c>
      <c r="AE540" s="19" t="str">
        <f t="shared" si="93"/>
        <v/>
      </c>
      <c r="AF540" s="19" t="str">
        <f t="shared" si="94"/>
        <v/>
      </c>
      <c r="AG540" s="27" t="str">
        <f>IF(AND('Supplier selection'!AB540="",'Supplier selection'!AI540=""),"",IF('Supplier selection'!AB540="",'Supplier selection'!AI540,'Supplier selection'!AB540))</f>
        <v/>
      </c>
      <c r="AH540" s="28" t="str">
        <f t="shared" si="95"/>
        <v/>
      </c>
      <c r="AI540" s="7" t="str">
        <f t="shared" si="96"/>
        <v/>
      </c>
      <c r="AJ540" s="22" t="str">
        <f t="shared" si="97"/>
        <v/>
      </c>
      <c r="AK540" s="29" t="str">
        <f t="shared" si="98"/>
        <v/>
      </c>
      <c r="AL540" s="10"/>
    </row>
    <row r="541" spans="1:38">
      <c r="A541" s="19">
        <f>IF('Supplier selection'!A541="","",'Supplier selection'!A541)</f>
        <v>537</v>
      </c>
      <c r="B541" s="19" t="str">
        <f>IF('Supplier selection'!B541="","",'Supplier selection'!B541)</f>
        <v/>
      </c>
      <c r="C541" s="19" t="str">
        <f>IF('Supplier selection'!C541="","",'Supplier selection'!C541)</f>
        <v/>
      </c>
      <c r="D541" s="19" t="str">
        <f>IF('Supplier selection'!D541="","",'Supplier selection'!D541)</f>
        <v/>
      </c>
      <c r="E541" s="19" t="str">
        <f>IF('Supplier selection'!E541="","",'Supplier selection'!E541)</f>
        <v/>
      </c>
      <c r="F541" s="19" t="str">
        <f>IF('Supplier selection'!F541="","",'Supplier selection'!F541)</f>
        <v/>
      </c>
      <c r="G541" s="19" t="str">
        <f>IF('Supplier selection'!G541="","",'Supplier selection'!G541)</f>
        <v/>
      </c>
      <c r="H541" s="19" t="str">
        <f>IF('Supplier selection'!H541="","",'Supplier selection'!H541)</f>
        <v/>
      </c>
      <c r="I541" s="19" t="str">
        <f>IF('Supplier selection'!I541="","",'Supplier selection'!I541)</f>
        <v/>
      </c>
      <c r="J541" s="19" t="str">
        <f>IF('Supplier selection'!J541="","",'Supplier selection'!J541)</f>
        <v/>
      </c>
      <c r="K541" s="19" t="str">
        <f>IF('Supplier selection'!K541="","",'Supplier selection'!K541)</f>
        <v/>
      </c>
      <c r="L541" s="19" t="str">
        <f>IF('Supplier selection'!L541="","",'Supplier selection'!L541)</f>
        <v/>
      </c>
      <c r="M541" s="19" t="str">
        <f>IF('Supplier selection'!M541="","",'Supplier selection'!M541)</f>
        <v/>
      </c>
      <c r="N541" s="19" t="str">
        <f>IF('Supplier selection'!N541="","",'Supplier selection'!N541)</f>
        <v/>
      </c>
      <c r="O541" s="19" t="str">
        <f>IF('Supplier selection'!O541="","",'Supplier selection'!O541)</f>
        <v/>
      </c>
      <c r="Q541" s="19" t="str">
        <f>HLOOKUP($Q$3,'Supplier selection'!$AW$4:'Supplier selection'!$CT$1000,$A542,FALSE)</f>
        <v/>
      </c>
      <c r="R541" s="22" t="str">
        <f t="shared" si="88"/>
        <v/>
      </c>
      <c r="S541" s="19" t="str">
        <f t="shared" si="89"/>
        <v/>
      </c>
      <c r="T541" s="22" t="str">
        <f t="shared" si="90"/>
        <v/>
      </c>
      <c r="U541" s="19" t="str">
        <f t="shared" si="91"/>
        <v/>
      </c>
      <c r="V541" s="7"/>
      <c r="Y541" s="19" t="str">
        <f>IF('Supplier selection'!AQ541="","",'Supplier selection'!AQ541)</f>
        <v/>
      </c>
      <c r="Z541" s="19" t="str">
        <f>IF('Supplier selection'!AR541="","",'Supplier selection'!AR541)</f>
        <v/>
      </c>
      <c r="AA541" s="19" t="str">
        <f t="shared" si="92"/>
        <v/>
      </c>
      <c r="AD541" s="26" t="str">
        <f>IF(AND('Supplier selection'!X541="",'Supplier selection'!AE541=""),"",IF('Supplier selection'!X541="",'Supplier selection'!AE541,'Supplier selection'!X541))</f>
        <v/>
      </c>
      <c r="AE541" s="19" t="str">
        <f t="shared" si="93"/>
        <v/>
      </c>
      <c r="AF541" s="19" t="str">
        <f t="shared" si="94"/>
        <v/>
      </c>
      <c r="AG541" s="27" t="str">
        <f>IF(AND('Supplier selection'!AB541="",'Supplier selection'!AI541=""),"",IF('Supplier selection'!AB541="",'Supplier selection'!AI541,'Supplier selection'!AB541))</f>
        <v/>
      </c>
      <c r="AH541" s="28" t="str">
        <f t="shared" si="95"/>
        <v/>
      </c>
      <c r="AI541" s="7" t="str">
        <f t="shared" si="96"/>
        <v/>
      </c>
      <c r="AJ541" s="22" t="str">
        <f t="shared" si="97"/>
        <v/>
      </c>
      <c r="AK541" s="29" t="str">
        <f t="shared" si="98"/>
        <v/>
      </c>
      <c r="AL541" s="10"/>
    </row>
    <row r="542" spans="1:38">
      <c r="A542" s="19">
        <f>IF('Supplier selection'!A542="","",'Supplier selection'!A542)</f>
        <v>538</v>
      </c>
      <c r="B542" s="19" t="str">
        <f>IF('Supplier selection'!B542="","",'Supplier selection'!B542)</f>
        <v/>
      </c>
      <c r="C542" s="19" t="str">
        <f>IF('Supplier selection'!C542="","",'Supplier selection'!C542)</f>
        <v/>
      </c>
      <c r="D542" s="19" t="str">
        <f>IF('Supplier selection'!D542="","",'Supplier selection'!D542)</f>
        <v/>
      </c>
      <c r="E542" s="19" t="str">
        <f>IF('Supplier selection'!E542="","",'Supplier selection'!E542)</f>
        <v/>
      </c>
      <c r="F542" s="19" t="str">
        <f>IF('Supplier selection'!F542="","",'Supplier selection'!F542)</f>
        <v/>
      </c>
      <c r="G542" s="19" t="str">
        <f>IF('Supplier selection'!G542="","",'Supplier selection'!G542)</f>
        <v/>
      </c>
      <c r="H542" s="19" t="str">
        <f>IF('Supplier selection'!H542="","",'Supplier selection'!H542)</f>
        <v/>
      </c>
      <c r="I542" s="19" t="str">
        <f>IF('Supplier selection'!I542="","",'Supplier selection'!I542)</f>
        <v/>
      </c>
      <c r="J542" s="19" t="str">
        <f>IF('Supplier selection'!J542="","",'Supplier selection'!J542)</f>
        <v/>
      </c>
      <c r="K542" s="19" t="str">
        <f>IF('Supplier selection'!K542="","",'Supplier selection'!K542)</f>
        <v/>
      </c>
      <c r="L542" s="19" t="str">
        <f>IF('Supplier selection'!L542="","",'Supplier selection'!L542)</f>
        <v/>
      </c>
      <c r="M542" s="19" t="str">
        <f>IF('Supplier selection'!M542="","",'Supplier selection'!M542)</f>
        <v/>
      </c>
      <c r="N542" s="19" t="str">
        <f>IF('Supplier selection'!N542="","",'Supplier selection'!N542)</f>
        <v/>
      </c>
      <c r="O542" s="19" t="str">
        <f>IF('Supplier selection'!O542="","",'Supplier selection'!O542)</f>
        <v/>
      </c>
      <c r="Q542" s="19" t="str">
        <f>HLOOKUP($Q$3,'Supplier selection'!$AW$4:'Supplier selection'!$CT$1000,$A543,FALSE)</f>
        <v/>
      </c>
      <c r="R542" s="22" t="str">
        <f t="shared" si="88"/>
        <v/>
      </c>
      <c r="S542" s="19" t="str">
        <f t="shared" si="89"/>
        <v/>
      </c>
      <c r="T542" s="22" t="str">
        <f t="shared" si="90"/>
        <v/>
      </c>
      <c r="U542" s="19" t="str">
        <f t="shared" si="91"/>
        <v/>
      </c>
      <c r="V542" s="7"/>
      <c r="Y542" s="19" t="str">
        <f>IF('Supplier selection'!AQ542="","",'Supplier selection'!AQ542)</f>
        <v/>
      </c>
      <c r="Z542" s="19" t="str">
        <f>IF('Supplier selection'!AR542="","",'Supplier selection'!AR542)</f>
        <v/>
      </c>
      <c r="AA542" s="19" t="str">
        <f t="shared" si="92"/>
        <v/>
      </c>
      <c r="AD542" s="26" t="str">
        <f>IF(AND('Supplier selection'!X542="",'Supplier selection'!AE542=""),"",IF('Supplier selection'!X542="",'Supplier selection'!AE542,'Supplier selection'!X542))</f>
        <v/>
      </c>
      <c r="AE542" s="19" t="str">
        <f t="shared" si="93"/>
        <v/>
      </c>
      <c r="AF542" s="19" t="str">
        <f t="shared" si="94"/>
        <v/>
      </c>
      <c r="AG542" s="27" t="str">
        <f>IF(AND('Supplier selection'!AB542="",'Supplier selection'!AI542=""),"",IF('Supplier selection'!AB542="",'Supplier selection'!AI542,'Supplier selection'!AB542))</f>
        <v/>
      </c>
      <c r="AH542" s="28" t="str">
        <f t="shared" si="95"/>
        <v/>
      </c>
      <c r="AI542" s="7" t="str">
        <f t="shared" si="96"/>
        <v/>
      </c>
      <c r="AJ542" s="22" t="str">
        <f t="shared" si="97"/>
        <v/>
      </c>
      <c r="AK542" s="29" t="str">
        <f t="shared" si="98"/>
        <v/>
      </c>
      <c r="AL542" s="10"/>
    </row>
    <row r="543" spans="1:38">
      <c r="A543" s="19">
        <f>IF('Supplier selection'!A543="","",'Supplier selection'!A543)</f>
        <v>539</v>
      </c>
      <c r="B543" s="19" t="str">
        <f>IF('Supplier selection'!B543="","",'Supplier selection'!B543)</f>
        <v/>
      </c>
      <c r="C543" s="19" t="str">
        <f>IF('Supplier selection'!C543="","",'Supplier selection'!C543)</f>
        <v/>
      </c>
      <c r="D543" s="19" t="str">
        <f>IF('Supplier selection'!D543="","",'Supplier selection'!D543)</f>
        <v/>
      </c>
      <c r="E543" s="19" t="str">
        <f>IF('Supplier selection'!E543="","",'Supplier selection'!E543)</f>
        <v/>
      </c>
      <c r="F543" s="19" t="str">
        <f>IF('Supplier selection'!F543="","",'Supplier selection'!F543)</f>
        <v/>
      </c>
      <c r="G543" s="19" t="str">
        <f>IF('Supplier selection'!G543="","",'Supplier selection'!G543)</f>
        <v/>
      </c>
      <c r="H543" s="19" t="str">
        <f>IF('Supplier selection'!H543="","",'Supplier selection'!H543)</f>
        <v/>
      </c>
      <c r="I543" s="19" t="str">
        <f>IF('Supplier selection'!I543="","",'Supplier selection'!I543)</f>
        <v/>
      </c>
      <c r="J543" s="19" t="str">
        <f>IF('Supplier selection'!J543="","",'Supplier selection'!J543)</f>
        <v/>
      </c>
      <c r="K543" s="19" t="str">
        <f>IF('Supplier selection'!K543="","",'Supplier selection'!K543)</f>
        <v/>
      </c>
      <c r="L543" s="19" t="str">
        <f>IF('Supplier selection'!L543="","",'Supplier selection'!L543)</f>
        <v/>
      </c>
      <c r="M543" s="19" t="str">
        <f>IF('Supplier selection'!M543="","",'Supplier selection'!M543)</f>
        <v/>
      </c>
      <c r="N543" s="19" t="str">
        <f>IF('Supplier selection'!N543="","",'Supplier selection'!N543)</f>
        <v/>
      </c>
      <c r="O543" s="19" t="str">
        <f>IF('Supplier selection'!O543="","",'Supplier selection'!O543)</f>
        <v/>
      </c>
      <c r="Q543" s="19" t="str">
        <f>HLOOKUP($Q$3,'Supplier selection'!$AW$4:'Supplier selection'!$CT$1000,$A544,FALSE)</f>
        <v/>
      </c>
      <c r="R543" s="22" t="str">
        <f t="shared" si="88"/>
        <v/>
      </c>
      <c r="S543" s="19" t="str">
        <f t="shared" si="89"/>
        <v/>
      </c>
      <c r="T543" s="22" t="str">
        <f t="shared" si="90"/>
        <v/>
      </c>
      <c r="U543" s="19" t="str">
        <f t="shared" si="91"/>
        <v/>
      </c>
      <c r="V543" s="7"/>
      <c r="Y543" s="19" t="str">
        <f>IF('Supplier selection'!AQ543="","",'Supplier selection'!AQ543)</f>
        <v/>
      </c>
      <c r="Z543" s="19" t="str">
        <f>IF('Supplier selection'!AR543="","",'Supplier selection'!AR543)</f>
        <v/>
      </c>
      <c r="AA543" s="19" t="str">
        <f t="shared" si="92"/>
        <v/>
      </c>
      <c r="AD543" s="26" t="str">
        <f>IF(AND('Supplier selection'!X543="",'Supplier selection'!AE543=""),"",IF('Supplier selection'!X543="",'Supplier selection'!AE543,'Supplier selection'!X543))</f>
        <v/>
      </c>
      <c r="AE543" s="19" t="str">
        <f t="shared" si="93"/>
        <v/>
      </c>
      <c r="AF543" s="19" t="str">
        <f t="shared" si="94"/>
        <v/>
      </c>
      <c r="AG543" s="27" t="str">
        <f>IF(AND('Supplier selection'!AB543="",'Supplier selection'!AI543=""),"",IF('Supplier selection'!AB543="",'Supplier selection'!AI543,'Supplier selection'!AB543))</f>
        <v/>
      </c>
      <c r="AH543" s="28" t="str">
        <f t="shared" si="95"/>
        <v/>
      </c>
      <c r="AI543" s="7" t="str">
        <f t="shared" si="96"/>
        <v/>
      </c>
      <c r="AJ543" s="22" t="str">
        <f t="shared" si="97"/>
        <v/>
      </c>
      <c r="AK543" s="29" t="str">
        <f t="shared" si="98"/>
        <v/>
      </c>
      <c r="AL543" s="10"/>
    </row>
    <row r="544" spans="1:38">
      <c r="A544" s="19">
        <f>IF('Supplier selection'!A544="","",'Supplier selection'!A544)</f>
        <v>540</v>
      </c>
      <c r="B544" s="19" t="str">
        <f>IF('Supplier selection'!B544="","",'Supplier selection'!B544)</f>
        <v/>
      </c>
      <c r="C544" s="19" t="str">
        <f>IF('Supplier selection'!C544="","",'Supplier selection'!C544)</f>
        <v/>
      </c>
      <c r="D544" s="19" t="str">
        <f>IF('Supplier selection'!D544="","",'Supplier selection'!D544)</f>
        <v/>
      </c>
      <c r="E544" s="19" t="str">
        <f>IF('Supplier selection'!E544="","",'Supplier selection'!E544)</f>
        <v/>
      </c>
      <c r="F544" s="19" t="str">
        <f>IF('Supplier selection'!F544="","",'Supplier selection'!F544)</f>
        <v/>
      </c>
      <c r="G544" s="19" t="str">
        <f>IF('Supplier selection'!G544="","",'Supplier selection'!G544)</f>
        <v/>
      </c>
      <c r="H544" s="19" t="str">
        <f>IF('Supplier selection'!H544="","",'Supplier selection'!H544)</f>
        <v/>
      </c>
      <c r="I544" s="19" t="str">
        <f>IF('Supplier selection'!I544="","",'Supplier selection'!I544)</f>
        <v/>
      </c>
      <c r="J544" s="19" t="str">
        <f>IF('Supplier selection'!J544="","",'Supplier selection'!J544)</f>
        <v/>
      </c>
      <c r="K544" s="19" t="str">
        <f>IF('Supplier selection'!K544="","",'Supplier selection'!K544)</f>
        <v/>
      </c>
      <c r="L544" s="19" t="str">
        <f>IF('Supplier selection'!L544="","",'Supplier selection'!L544)</f>
        <v/>
      </c>
      <c r="M544" s="19" t="str">
        <f>IF('Supplier selection'!M544="","",'Supplier selection'!M544)</f>
        <v/>
      </c>
      <c r="N544" s="19" t="str">
        <f>IF('Supplier selection'!N544="","",'Supplier selection'!N544)</f>
        <v/>
      </c>
      <c r="O544" s="19" t="str">
        <f>IF('Supplier selection'!O544="","",'Supplier selection'!O544)</f>
        <v/>
      </c>
      <c r="Q544" s="19" t="str">
        <f>HLOOKUP($Q$3,'Supplier selection'!$AW$4:'Supplier selection'!$CT$1000,$A545,FALSE)</f>
        <v/>
      </c>
      <c r="R544" s="22" t="str">
        <f t="shared" si="88"/>
        <v/>
      </c>
      <c r="S544" s="19" t="str">
        <f t="shared" si="89"/>
        <v/>
      </c>
      <c r="T544" s="22" t="str">
        <f t="shared" si="90"/>
        <v/>
      </c>
      <c r="U544" s="19" t="str">
        <f t="shared" si="91"/>
        <v/>
      </c>
      <c r="V544" s="7"/>
      <c r="Y544" s="19" t="str">
        <f>IF('Supplier selection'!AQ544="","",'Supplier selection'!AQ544)</f>
        <v/>
      </c>
      <c r="Z544" s="19" t="str">
        <f>IF('Supplier selection'!AR544="","",'Supplier selection'!AR544)</f>
        <v/>
      </c>
      <c r="AA544" s="19" t="str">
        <f t="shared" si="92"/>
        <v/>
      </c>
      <c r="AD544" s="26" t="str">
        <f>IF(AND('Supplier selection'!X544="",'Supplier selection'!AE544=""),"",IF('Supplier selection'!X544="",'Supplier selection'!AE544,'Supplier selection'!X544))</f>
        <v/>
      </c>
      <c r="AE544" s="19" t="str">
        <f t="shared" si="93"/>
        <v/>
      </c>
      <c r="AF544" s="19" t="str">
        <f t="shared" si="94"/>
        <v/>
      </c>
      <c r="AG544" s="27" t="str">
        <f>IF(AND('Supplier selection'!AB544="",'Supplier selection'!AI544=""),"",IF('Supplier selection'!AB544="",'Supplier selection'!AI544,'Supplier selection'!AB544))</f>
        <v/>
      </c>
      <c r="AH544" s="28" t="str">
        <f t="shared" si="95"/>
        <v/>
      </c>
      <c r="AI544" s="7" t="str">
        <f t="shared" si="96"/>
        <v/>
      </c>
      <c r="AJ544" s="22" t="str">
        <f t="shared" si="97"/>
        <v/>
      </c>
      <c r="AK544" s="29" t="str">
        <f t="shared" si="98"/>
        <v/>
      </c>
      <c r="AL544" s="10"/>
    </row>
    <row r="545" spans="1:38">
      <c r="A545" s="19">
        <f>IF('Supplier selection'!A545="","",'Supplier selection'!A545)</f>
        <v>541</v>
      </c>
      <c r="B545" s="19" t="str">
        <f>IF('Supplier selection'!B545="","",'Supplier selection'!B545)</f>
        <v/>
      </c>
      <c r="C545" s="19" t="str">
        <f>IF('Supplier selection'!C545="","",'Supplier selection'!C545)</f>
        <v/>
      </c>
      <c r="D545" s="19" t="str">
        <f>IF('Supplier selection'!D545="","",'Supplier selection'!D545)</f>
        <v/>
      </c>
      <c r="E545" s="19" t="str">
        <f>IF('Supplier selection'!E545="","",'Supplier selection'!E545)</f>
        <v/>
      </c>
      <c r="F545" s="19" t="str">
        <f>IF('Supplier selection'!F545="","",'Supplier selection'!F545)</f>
        <v/>
      </c>
      <c r="G545" s="19" t="str">
        <f>IF('Supplier selection'!G545="","",'Supplier selection'!G545)</f>
        <v/>
      </c>
      <c r="H545" s="19" t="str">
        <f>IF('Supplier selection'!H545="","",'Supplier selection'!H545)</f>
        <v/>
      </c>
      <c r="I545" s="19" t="str">
        <f>IF('Supplier selection'!I545="","",'Supplier selection'!I545)</f>
        <v/>
      </c>
      <c r="J545" s="19" t="str">
        <f>IF('Supplier selection'!J545="","",'Supplier selection'!J545)</f>
        <v/>
      </c>
      <c r="K545" s="19" t="str">
        <f>IF('Supplier selection'!K545="","",'Supplier selection'!K545)</f>
        <v/>
      </c>
      <c r="L545" s="19" t="str">
        <f>IF('Supplier selection'!L545="","",'Supplier selection'!L545)</f>
        <v/>
      </c>
      <c r="M545" s="19" t="str">
        <f>IF('Supplier selection'!M545="","",'Supplier selection'!M545)</f>
        <v/>
      </c>
      <c r="N545" s="19" t="str">
        <f>IF('Supplier selection'!N545="","",'Supplier selection'!N545)</f>
        <v/>
      </c>
      <c r="O545" s="19" t="str">
        <f>IF('Supplier selection'!O545="","",'Supplier selection'!O545)</f>
        <v/>
      </c>
      <c r="Q545" s="19" t="str">
        <f>HLOOKUP($Q$3,'Supplier selection'!$AW$4:'Supplier selection'!$CT$1000,$A546,FALSE)</f>
        <v/>
      </c>
      <c r="R545" s="22" t="str">
        <f t="shared" si="88"/>
        <v/>
      </c>
      <c r="S545" s="19" t="str">
        <f t="shared" si="89"/>
        <v/>
      </c>
      <c r="T545" s="22" t="str">
        <f t="shared" si="90"/>
        <v/>
      </c>
      <c r="U545" s="19" t="str">
        <f t="shared" si="91"/>
        <v/>
      </c>
      <c r="V545" s="7"/>
      <c r="Y545" s="19" t="str">
        <f>IF('Supplier selection'!AQ545="","",'Supplier selection'!AQ545)</f>
        <v/>
      </c>
      <c r="Z545" s="19" t="str">
        <f>IF('Supplier selection'!AR545="","",'Supplier selection'!AR545)</f>
        <v/>
      </c>
      <c r="AA545" s="19" t="str">
        <f t="shared" si="92"/>
        <v/>
      </c>
      <c r="AD545" s="26" t="str">
        <f>IF(AND('Supplier selection'!X545="",'Supplier selection'!AE545=""),"",IF('Supplier selection'!X545="",'Supplier selection'!AE545,'Supplier selection'!X545))</f>
        <v/>
      </c>
      <c r="AE545" s="19" t="str">
        <f t="shared" si="93"/>
        <v/>
      </c>
      <c r="AF545" s="19" t="str">
        <f t="shared" si="94"/>
        <v/>
      </c>
      <c r="AG545" s="27" t="str">
        <f>IF(AND('Supplier selection'!AB545="",'Supplier selection'!AI545=""),"",IF('Supplier selection'!AB545="",'Supplier selection'!AI545,'Supplier selection'!AB545))</f>
        <v/>
      </c>
      <c r="AH545" s="28" t="str">
        <f t="shared" si="95"/>
        <v/>
      </c>
      <c r="AI545" s="7" t="str">
        <f t="shared" si="96"/>
        <v/>
      </c>
      <c r="AJ545" s="22" t="str">
        <f t="shared" si="97"/>
        <v/>
      </c>
      <c r="AK545" s="29" t="str">
        <f t="shared" si="98"/>
        <v/>
      </c>
      <c r="AL545" s="10"/>
    </row>
    <row r="546" spans="1:38">
      <c r="A546" s="19">
        <f>IF('Supplier selection'!A546="","",'Supplier selection'!A546)</f>
        <v>542</v>
      </c>
      <c r="B546" s="19" t="str">
        <f>IF('Supplier selection'!B546="","",'Supplier selection'!B546)</f>
        <v/>
      </c>
      <c r="C546" s="19" t="str">
        <f>IF('Supplier selection'!C546="","",'Supplier selection'!C546)</f>
        <v/>
      </c>
      <c r="D546" s="19" t="str">
        <f>IF('Supplier selection'!D546="","",'Supplier selection'!D546)</f>
        <v/>
      </c>
      <c r="E546" s="19" t="str">
        <f>IF('Supplier selection'!E546="","",'Supplier selection'!E546)</f>
        <v/>
      </c>
      <c r="F546" s="19" t="str">
        <f>IF('Supplier selection'!F546="","",'Supplier selection'!F546)</f>
        <v/>
      </c>
      <c r="G546" s="19" t="str">
        <f>IF('Supplier selection'!G546="","",'Supplier selection'!G546)</f>
        <v/>
      </c>
      <c r="H546" s="19" t="str">
        <f>IF('Supplier selection'!H546="","",'Supplier selection'!H546)</f>
        <v/>
      </c>
      <c r="I546" s="19" t="str">
        <f>IF('Supplier selection'!I546="","",'Supplier selection'!I546)</f>
        <v/>
      </c>
      <c r="J546" s="19" t="str">
        <f>IF('Supplier selection'!J546="","",'Supplier selection'!J546)</f>
        <v/>
      </c>
      <c r="K546" s="19" t="str">
        <f>IF('Supplier selection'!K546="","",'Supplier selection'!K546)</f>
        <v/>
      </c>
      <c r="L546" s="19" t="str">
        <f>IF('Supplier selection'!L546="","",'Supplier selection'!L546)</f>
        <v/>
      </c>
      <c r="M546" s="19" t="str">
        <f>IF('Supplier selection'!M546="","",'Supplier selection'!M546)</f>
        <v/>
      </c>
      <c r="N546" s="19" t="str">
        <f>IF('Supplier selection'!N546="","",'Supplier selection'!N546)</f>
        <v/>
      </c>
      <c r="O546" s="19" t="str">
        <f>IF('Supplier selection'!O546="","",'Supplier selection'!O546)</f>
        <v/>
      </c>
      <c r="Q546" s="19" t="str">
        <f>HLOOKUP($Q$3,'Supplier selection'!$AW$4:'Supplier selection'!$CT$1000,$A547,FALSE)</f>
        <v/>
      </c>
      <c r="R546" s="22" t="str">
        <f t="shared" si="88"/>
        <v/>
      </c>
      <c r="S546" s="19" t="str">
        <f t="shared" si="89"/>
        <v/>
      </c>
      <c r="T546" s="22" t="str">
        <f t="shared" si="90"/>
        <v/>
      </c>
      <c r="U546" s="19" t="str">
        <f t="shared" si="91"/>
        <v/>
      </c>
      <c r="V546" s="7"/>
      <c r="Y546" s="19" t="str">
        <f>IF('Supplier selection'!AQ546="","",'Supplier selection'!AQ546)</f>
        <v/>
      </c>
      <c r="Z546" s="19" t="str">
        <f>IF('Supplier selection'!AR546="","",'Supplier selection'!AR546)</f>
        <v/>
      </c>
      <c r="AA546" s="19" t="str">
        <f t="shared" si="92"/>
        <v/>
      </c>
      <c r="AD546" s="26" t="str">
        <f>IF(AND('Supplier selection'!X546="",'Supplier selection'!AE546=""),"",IF('Supplier selection'!X546="",'Supplier selection'!AE546,'Supplier selection'!X546))</f>
        <v/>
      </c>
      <c r="AE546" s="19" t="str">
        <f t="shared" si="93"/>
        <v/>
      </c>
      <c r="AF546" s="19" t="str">
        <f t="shared" si="94"/>
        <v/>
      </c>
      <c r="AG546" s="27" t="str">
        <f>IF(AND('Supplier selection'!AB546="",'Supplier selection'!AI546=""),"",IF('Supplier selection'!AB546="",'Supplier selection'!AI546,'Supplier selection'!AB546))</f>
        <v/>
      </c>
      <c r="AH546" s="28" t="str">
        <f t="shared" si="95"/>
        <v/>
      </c>
      <c r="AI546" s="7" t="str">
        <f t="shared" si="96"/>
        <v/>
      </c>
      <c r="AJ546" s="22" t="str">
        <f t="shared" si="97"/>
        <v/>
      </c>
      <c r="AK546" s="29" t="str">
        <f t="shared" si="98"/>
        <v/>
      </c>
      <c r="AL546" s="10"/>
    </row>
    <row r="547" spans="1:38">
      <c r="A547" s="19">
        <f>IF('Supplier selection'!A547="","",'Supplier selection'!A547)</f>
        <v>543</v>
      </c>
      <c r="B547" s="19" t="str">
        <f>IF('Supplier selection'!B547="","",'Supplier selection'!B547)</f>
        <v/>
      </c>
      <c r="C547" s="19" t="str">
        <f>IF('Supplier selection'!C547="","",'Supplier selection'!C547)</f>
        <v/>
      </c>
      <c r="D547" s="19" t="str">
        <f>IF('Supplier selection'!D547="","",'Supplier selection'!D547)</f>
        <v/>
      </c>
      <c r="E547" s="19" t="str">
        <f>IF('Supplier selection'!E547="","",'Supplier selection'!E547)</f>
        <v/>
      </c>
      <c r="F547" s="19" t="str">
        <f>IF('Supplier selection'!F547="","",'Supplier selection'!F547)</f>
        <v/>
      </c>
      <c r="G547" s="19" t="str">
        <f>IF('Supplier selection'!G547="","",'Supplier selection'!G547)</f>
        <v/>
      </c>
      <c r="H547" s="19" t="str">
        <f>IF('Supplier selection'!H547="","",'Supplier selection'!H547)</f>
        <v/>
      </c>
      <c r="I547" s="19" t="str">
        <f>IF('Supplier selection'!I547="","",'Supplier selection'!I547)</f>
        <v/>
      </c>
      <c r="J547" s="19" t="str">
        <f>IF('Supplier selection'!J547="","",'Supplier selection'!J547)</f>
        <v/>
      </c>
      <c r="K547" s="19" t="str">
        <f>IF('Supplier selection'!K547="","",'Supplier selection'!K547)</f>
        <v/>
      </c>
      <c r="L547" s="19" t="str">
        <f>IF('Supplier selection'!L547="","",'Supplier selection'!L547)</f>
        <v/>
      </c>
      <c r="M547" s="19" t="str">
        <f>IF('Supplier selection'!M547="","",'Supplier selection'!M547)</f>
        <v/>
      </c>
      <c r="N547" s="19" t="str">
        <f>IF('Supplier selection'!N547="","",'Supplier selection'!N547)</f>
        <v/>
      </c>
      <c r="O547" s="19" t="str">
        <f>IF('Supplier selection'!O547="","",'Supplier selection'!O547)</f>
        <v/>
      </c>
      <c r="Q547" s="19" t="str">
        <f>HLOOKUP($Q$3,'Supplier selection'!$AW$4:'Supplier selection'!$CT$1000,$A548,FALSE)</f>
        <v/>
      </c>
      <c r="R547" s="22" t="str">
        <f t="shared" si="88"/>
        <v/>
      </c>
      <c r="S547" s="19" t="str">
        <f t="shared" si="89"/>
        <v/>
      </c>
      <c r="T547" s="22" t="str">
        <f t="shared" si="90"/>
        <v/>
      </c>
      <c r="U547" s="19" t="str">
        <f t="shared" si="91"/>
        <v/>
      </c>
      <c r="V547" s="7"/>
      <c r="Y547" s="19" t="str">
        <f>IF('Supplier selection'!AQ547="","",'Supplier selection'!AQ547)</f>
        <v/>
      </c>
      <c r="Z547" s="19" t="str">
        <f>IF('Supplier selection'!AR547="","",'Supplier selection'!AR547)</f>
        <v/>
      </c>
      <c r="AA547" s="19" t="str">
        <f t="shared" si="92"/>
        <v/>
      </c>
      <c r="AD547" s="26" t="str">
        <f>IF(AND('Supplier selection'!X547="",'Supplier selection'!AE547=""),"",IF('Supplier selection'!X547="",'Supplier selection'!AE547,'Supplier selection'!X547))</f>
        <v/>
      </c>
      <c r="AE547" s="19" t="str">
        <f t="shared" si="93"/>
        <v/>
      </c>
      <c r="AF547" s="19" t="str">
        <f t="shared" si="94"/>
        <v/>
      </c>
      <c r="AG547" s="27" t="str">
        <f>IF(AND('Supplier selection'!AB547="",'Supplier selection'!AI547=""),"",IF('Supplier selection'!AB547="",'Supplier selection'!AI547,'Supplier selection'!AB547))</f>
        <v/>
      </c>
      <c r="AH547" s="28" t="str">
        <f t="shared" si="95"/>
        <v/>
      </c>
      <c r="AI547" s="7" t="str">
        <f t="shared" si="96"/>
        <v/>
      </c>
      <c r="AJ547" s="22" t="str">
        <f t="shared" si="97"/>
        <v/>
      </c>
      <c r="AK547" s="29" t="str">
        <f t="shared" si="98"/>
        <v/>
      </c>
      <c r="AL547" s="10"/>
    </row>
    <row r="548" spans="1:38">
      <c r="A548" s="19">
        <f>IF('Supplier selection'!A548="","",'Supplier selection'!A548)</f>
        <v>544</v>
      </c>
      <c r="B548" s="19" t="str">
        <f>IF('Supplier selection'!B548="","",'Supplier selection'!B548)</f>
        <v/>
      </c>
      <c r="C548" s="19" t="str">
        <f>IF('Supplier selection'!C548="","",'Supplier selection'!C548)</f>
        <v/>
      </c>
      <c r="D548" s="19" t="str">
        <f>IF('Supplier selection'!D548="","",'Supplier selection'!D548)</f>
        <v/>
      </c>
      <c r="E548" s="19" t="str">
        <f>IF('Supplier selection'!E548="","",'Supplier selection'!E548)</f>
        <v/>
      </c>
      <c r="F548" s="19" t="str">
        <f>IF('Supplier selection'!F548="","",'Supplier selection'!F548)</f>
        <v/>
      </c>
      <c r="G548" s="19" t="str">
        <f>IF('Supplier selection'!G548="","",'Supplier selection'!G548)</f>
        <v/>
      </c>
      <c r="H548" s="19" t="str">
        <f>IF('Supplier selection'!H548="","",'Supplier selection'!H548)</f>
        <v/>
      </c>
      <c r="I548" s="19" t="str">
        <f>IF('Supplier selection'!I548="","",'Supplier selection'!I548)</f>
        <v/>
      </c>
      <c r="J548" s="19" t="str">
        <f>IF('Supplier selection'!J548="","",'Supplier selection'!J548)</f>
        <v/>
      </c>
      <c r="K548" s="19" t="str">
        <f>IF('Supplier selection'!K548="","",'Supplier selection'!K548)</f>
        <v/>
      </c>
      <c r="L548" s="19" t="str">
        <f>IF('Supplier selection'!L548="","",'Supplier selection'!L548)</f>
        <v/>
      </c>
      <c r="M548" s="19" t="str">
        <f>IF('Supplier selection'!M548="","",'Supplier selection'!M548)</f>
        <v/>
      </c>
      <c r="N548" s="19" t="str">
        <f>IF('Supplier selection'!N548="","",'Supplier selection'!N548)</f>
        <v/>
      </c>
      <c r="O548" s="19" t="str">
        <f>IF('Supplier selection'!O548="","",'Supplier selection'!O548)</f>
        <v/>
      </c>
      <c r="Q548" s="19" t="str">
        <f>HLOOKUP($Q$3,'Supplier selection'!$AW$4:'Supplier selection'!$CT$1000,$A549,FALSE)</f>
        <v/>
      </c>
      <c r="R548" s="22" t="str">
        <f t="shared" si="88"/>
        <v/>
      </c>
      <c r="S548" s="19" t="str">
        <f t="shared" si="89"/>
        <v/>
      </c>
      <c r="T548" s="22" t="str">
        <f t="shared" si="90"/>
        <v/>
      </c>
      <c r="U548" s="19" t="str">
        <f t="shared" si="91"/>
        <v/>
      </c>
      <c r="V548" s="7"/>
      <c r="Y548" s="19" t="str">
        <f>IF('Supplier selection'!AQ548="","",'Supplier selection'!AQ548)</f>
        <v/>
      </c>
      <c r="Z548" s="19" t="str">
        <f>IF('Supplier selection'!AR548="","",'Supplier selection'!AR548)</f>
        <v/>
      </c>
      <c r="AA548" s="19" t="str">
        <f t="shared" si="92"/>
        <v/>
      </c>
      <c r="AD548" s="26" t="str">
        <f>IF(AND('Supplier selection'!X548="",'Supplier selection'!AE548=""),"",IF('Supplier selection'!X548="",'Supplier selection'!AE548,'Supplier selection'!X548))</f>
        <v/>
      </c>
      <c r="AE548" s="19" t="str">
        <f t="shared" si="93"/>
        <v/>
      </c>
      <c r="AF548" s="19" t="str">
        <f t="shared" si="94"/>
        <v/>
      </c>
      <c r="AG548" s="27" t="str">
        <f>IF(AND('Supplier selection'!AB548="",'Supplier selection'!AI548=""),"",IF('Supplier selection'!AB548="",'Supplier selection'!AI548,'Supplier selection'!AB548))</f>
        <v/>
      </c>
      <c r="AH548" s="28" t="str">
        <f t="shared" si="95"/>
        <v/>
      </c>
      <c r="AI548" s="7" t="str">
        <f t="shared" si="96"/>
        <v/>
      </c>
      <c r="AJ548" s="22" t="str">
        <f t="shared" si="97"/>
        <v/>
      </c>
      <c r="AK548" s="29" t="str">
        <f t="shared" si="98"/>
        <v/>
      </c>
      <c r="AL548" s="10"/>
    </row>
    <row r="549" spans="1:38">
      <c r="A549" s="19">
        <f>IF('Supplier selection'!A549="","",'Supplier selection'!A549)</f>
        <v>545</v>
      </c>
      <c r="B549" s="19" t="str">
        <f>IF('Supplier selection'!B549="","",'Supplier selection'!B549)</f>
        <v/>
      </c>
      <c r="C549" s="19" t="str">
        <f>IF('Supplier selection'!C549="","",'Supplier selection'!C549)</f>
        <v/>
      </c>
      <c r="D549" s="19" t="str">
        <f>IF('Supplier selection'!D549="","",'Supplier selection'!D549)</f>
        <v/>
      </c>
      <c r="E549" s="19" t="str">
        <f>IF('Supplier selection'!E549="","",'Supplier selection'!E549)</f>
        <v/>
      </c>
      <c r="F549" s="19" t="str">
        <f>IF('Supplier selection'!F549="","",'Supplier selection'!F549)</f>
        <v/>
      </c>
      <c r="G549" s="19" t="str">
        <f>IF('Supplier selection'!G549="","",'Supplier selection'!G549)</f>
        <v/>
      </c>
      <c r="H549" s="19" t="str">
        <f>IF('Supplier selection'!H549="","",'Supplier selection'!H549)</f>
        <v/>
      </c>
      <c r="I549" s="19" t="str">
        <f>IF('Supplier selection'!I549="","",'Supplier selection'!I549)</f>
        <v/>
      </c>
      <c r="J549" s="19" t="str">
        <f>IF('Supplier selection'!J549="","",'Supplier selection'!J549)</f>
        <v/>
      </c>
      <c r="K549" s="19" t="str">
        <f>IF('Supplier selection'!K549="","",'Supplier selection'!K549)</f>
        <v/>
      </c>
      <c r="L549" s="19" t="str">
        <f>IF('Supplier selection'!L549="","",'Supplier selection'!L549)</f>
        <v/>
      </c>
      <c r="M549" s="19" t="str">
        <f>IF('Supplier selection'!M549="","",'Supplier selection'!M549)</f>
        <v/>
      </c>
      <c r="N549" s="19" t="str">
        <f>IF('Supplier selection'!N549="","",'Supplier selection'!N549)</f>
        <v/>
      </c>
      <c r="O549" s="19" t="str">
        <f>IF('Supplier selection'!O549="","",'Supplier selection'!O549)</f>
        <v/>
      </c>
      <c r="Q549" s="19" t="str">
        <f>HLOOKUP($Q$3,'Supplier selection'!$AW$4:'Supplier selection'!$CT$1000,$A550,FALSE)</f>
        <v/>
      </c>
      <c r="R549" s="22" t="str">
        <f t="shared" si="88"/>
        <v/>
      </c>
      <c r="S549" s="19" t="str">
        <f t="shared" si="89"/>
        <v/>
      </c>
      <c r="T549" s="22" t="str">
        <f t="shared" si="90"/>
        <v/>
      </c>
      <c r="U549" s="19" t="str">
        <f t="shared" si="91"/>
        <v/>
      </c>
      <c r="V549" s="7"/>
      <c r="Y549" s="19" t="str">
        <f>IF('Supplier selection'!AQ549="","",'Supplier selection'!AQ549)</f>
        <v/>
      </c>
      <c r="Z549" s="19" t="str">
        <f>IF('Supplier selection'!AR549="","",'Supplier selection'!AR549)</f>
        <v/>
      </c>
      <c r="AA549" s="19" t="str">
        <f t="shared" si="92"/>
        <v/>
      </c>
      <c r="AD549" s="26" t="str">
        <f>IF(AND('Supplier selection'!X549="",'Supplier selection'!AE549=""),"",IF('Supplier selection'!X549="",'Supplier selection'!AE549,'Supplier selection'!X549))</f>
        <v/>
      </c>
      <c r="AE549" s="19" t="str">
        <f t="shared" si="93"/>
        <v/>
      </c>
      <c r="AF549" s="19" t="str">
        <f t="shared" si="94"/>
        <v/>
      </c>
      <c r="AG549" s="27" t="str">
        <f>IF(AND('Supplier selection'!AB549="",'Supplier selection'!AI549=""),"",IF('Supplier selection'!AB549="",'Supplier selection'!AI549,'Supplier selection'!AB549))</f>
        <v/>
      </c>
      <c r="AH549" s="28" t="str">
        <f t="shared" si="95"/>
        <v/>
      </c>
      <c r="AI549" s="7" t="str">
        <f t="shared" si="96"/>
        <v/>
      </c>
      <c r="AJ549" s="22" t="str">
        <f t="shared" si="97"/>
        <v/>
      </c>
      <c r="AK549" s="29" t="str">
        <f t="shared" si="98"/>
        <v/>
      </c>
      <c r="AL549" s="10"/>
    </row>
    <row r="550" spans="1:38">
      <c r="A550" s="19">
        <f>IF('Supplier selection'!A550="","",'Supplier selection'!A550)</f>
        <v>546</v>
      </c>
      <c r="B550" s="19" t="str">
        <f>IF('Supplier selection'!B550="","",'Supplier selection'!B550)</f>
        <v/>
      </c>
      <c r="C550" s="19" t="str">
        <f>IF('Supplier selection'!C550="","",'Supplier selection'!C550)</f>
        <v/>
      </c>
      <c r="D550" s="19" t="str">
        <f>IF('Supplier selection'!D550="","",'Supplier selection'!D550)</f>
        <v/>
      </c>
      <c r="E550" s="19" t="str">
        <f>IF('Supplier selection'!E550="","",'Supplier selection'!E550)</f>
        <v/>
      </c>
      <c r="F550" s="19" t="str">
        <f>IF('Supplier selection'!F550="","",'Supplier selection'!F550)</f>
        <v/>
      </c>
      <c r="G550" s="19" t="str">
        <f>IF('Supplier selection'!G550="","",'Supplier selection'!G550)</f>
        <v/>
      </c>
      <c r="H550" s="19" t="str">
        <f>IF('Supplier selection'!H550="","",'Supplier selection'!H550)</f>
        <v/>
      </c>
      <c r="I550" s="19" t="str">
        <f>IF('Supplier selection'!I550="","",'Supplier selection'!I550)</f>
        <v/>
      </c>
      <c r="J550" s="19" t="str">
        <f>IF('Supplier selection'!J550="","",'Supplier selection'!J550)</f>
        <v/>
      </c>
      <c r="K550" s="19" t="str">
        <f>IF('Supplier selection'!K550="","",'Supplier selection'!K550)</f>
        <v/>
      </c>
      <c r="L550" s="19" t="str">
        <f>IF('Supplier selection'!L550="","",'Supplier selection'!L550)</f>
        <v/>
      </c>
      <c r="M550" s="19" t="str">
        <f>IF('Supplier selection'!M550="","",'Supplier selection'!M550)</f>
        <v/>
      </c>
      <c r="N550" s="19" t="str">
        <f>IF('Supplier selection'!N550="","",'Supplier selection'!N550)</f>
        <v/>
      </c>
      <c r="O550" s="19" t="str">
        <f>IF('Supplier selection'!O550="","",'Supplier selection'!O550)</f>
        <v/>
      </c>
      <c r="Q550" s="19" t="str">
        <f>HLOOKUP($Q$3,'Supplier selection'!$AW$4:'Supplier selection'!$CT$1000,$A551,FALSE)</f>
        <v/>
      </c>
      <c r="R550" s="22" t="str">
        <f t="shared" si="88"/>
        <v/>
      </c>
      <c r="S550" s="19" t="str">
        <f t="shared" si="89"/>
        <v/>
      </c>
      <c r="T550" s="22" t="str">
        <f t="shared" si="90"/>
        <v/>
      </c>
      <c r="U550" s="19" t="str">
        <f t="shared" si="91"/>
        <v/>
      </c>
      <c r="V550" s="7"/>
      <c r="Y550" s="19" t="str">
        <f>IF('Supplier selection'!AQ550="","",'Supplier selection'!AQ550)</f>
        <v/>
      </c>
      <c r="Z550" s="19" t="str">
        <f>IF('Supplier selection'!AR550="","",'Supplier selection'!AR550)</f>
        <v/>
      </c>
      <c r="AA550" s="19" t="str">
        <f t="shared" si="92"/>
        <v/>
      </c>
      <c r="AD550" s="26" t="str">
        <f>IF(AND('Supplier selection'!X550="",'Supplier selection'!AE550=""),"",IF('Supplier selection'!X550="",'Supplier selection'!AE550,'Supplier selection'!X550))</f>
        <v/>
      </c>
      <c r="AE550" s="19" t="str">
        <f t="shared" si="93"/>
        <v/>
      </c>
      <c r="AF550" s="19" t="str">
        <f t="shared" si="94"/>
        <v/>
      </c>
      <c r="AG550" s="27" t="str">
        <f>IF(AND('Supplier selection'!AB550="",'Supplier selection'!AI550=""),"",IF('Supplier selection'!AB550="",'Supplier selection'!AI550,'Supplier selection'!AB550))</f>
        <v/>
      </c>
      <c r="AH550" s="28" t="str">
        <f t="shared" si="95"/>
        <v/>
      </c>
      <c r="AI550" s="7" t="str">
        <f t="shared" si="96"/>
        <v/>
      </c>
      <c r="AJ550" s="22" t="str">
        <f t="shared" si="97"/>
        <v/>
      </c>
      <c r="AK550" s="29" t="str">
        <f t="shared" si="98"/>
        <v/>
      </c>
      <c r="AL550" s="10"/>
    </row>
    <row r="551" spans="1:38">
      <c r="A551" s="19">
        <f>IF('Supplier selection'!A551="","",'Supplier selection'!A551)</f>
        <v>547</v>
      </c>
      <c r="B551" s="19" t="str">
        <f>IF('Supplier selection'!B551="","",'Supplier selection'!B551)</f>
        <v/>
      </c>
      <c r="C551" s="19" t="str">
        <f>IF('Supplier selection'!C551="","",'Supplier selection'!C551)</f>
        <v/>
      </c>
      <c r="D551" s="19" t="str">
        <f>IF('Supplier selection'!D551="","",'Supplier selection'!D551)</f>
        <v/>
      </c>
      <c r="E551" s="19" t="str">
        <f>IF('Supplier selection'!E551="","",'Supplier selection'!E551)</f>
        <v/>
      </c>
      <c r="F551" s="19" t="str">
        <f>IF('Supplier selection'!F551="","",'Supplier selection'!F551)</f>
        <v/>
      </c>
      <c r="G551" s="19" t="str">
        <f>IF('Supplier selection'!G551="","",'Supplier selection'!G551)</f>
        <v/>
      </c>
      <c r="H551" s="19" t="str">
        <f>IF('Supplier selection'!H551="","",'Supplier selection'!H551)</f>
        <v/>
      </c>
      <c r="I551" s="19" t="str">
        <f>IF('Supplier selection'!I551="","",'Supplier selection'!I551)</f>
        <v/>
      </c>
      <c r="J551" s="19" t="str">
        <f>IF('Supplier selection'!J551="","",'Supplier selection'!J551)</f>
        <v/>
      </c>
      <c r="K551" s="19" t="str">
        <f>IF('Supplier selection'!K551="","",'Supplier selection'!K551)</f>
        <v/>
      </c>
      <c r="L551" s="19" t="str">
        <f>IF('Supplier selection'!L551="","",'Supplier selection'!L551)</f>
        <v/>
      </c>
      <c r="M551" s="19" t="str">
        <f>IF('Supplier selection'!M551="","",'Supplier selection'!M551)</f>
        <v/>
      </c>
      <c r="N551" s="19" t="str">
        <f>IF('Supplier selection'!N551="","",'Supplier selection'!N551)</f>
        <v/>
      </c>
      <c r="O551" s="19" t="str">
        <f>IF('Supplier selection'!O551="","",'Supplier selection'!O551)</f>
        <v/>
      </c>
      <c r="Q551" s="19" t="str">
        <f>HLOOKUP($Q$3,'Supplier selection'!$AW$4:'Supplier selection'!$CT$1000,$A552,FALSE)</f>
        <v/>
      </c>
      <c r="R551" s="22" t="str">
        <f t="shared" si="88"/>
        <v/>
      </c>
      <c r="S551" s="19" t="str">
        <f t="shared" si="89"/>
        <v/>
      </c>
      <c r="T551" s="22" t="str">
        <f t="shared" si="90"/>
        <v/>
      </c>
      <c r="U551" s="19" t="str">
        <f t="shared" si="91"/>
        <v/>
      </c>
      <c r="V551" s="7"/>
      <c r="Y551" s="19" t="str">
        <f>IF('Supplier selection'!AQ551="","",'Supplier selection'!AQ551)</f>
        <v/>
      </c>
      <c r="Z551" s="19" t="str">
        <f>IF('Supplier selection'!AR551="","",'Supplier selection'!AR551)</f>
        <v/>
      </c>
      <c r="AA551" s="19" t="str">
        <f t="shared" si="92"/>
        <v/>
      </c>
      <c r="AD551" s="26" t="str">
        <f>IF(AND('Supplier selection'!X551="",'Supplier selection'!AE551=""),"",IF('Supplier selection'!X551="",'Supplier selection'!AE551,'Supplier selection'!X551))</f>
        <v/>
      </c>
      <c r="AE551" s="19" t="str">
        <f t="shared" si="93"/>
        <v/>
      </c>
      <c r="AF551" s="19" t="str">
        <f t="shared" si="94"/>
        <v/>
      </c>
      <c r="AG551" s="27" t="str">
        <f>IF(AND('Supplier selection'!AB551="",'Supplier selection'!AI551=""),"",IF('Supplier selection'!AB551="",'Supplier selection'!AI551,'Supplier selection'!AB551))</f>
        <v/>
      </c>
      <c r="AH551" s="28" t="str">
        <f t="shared" si="95"/>
        <v/>
      </c>
      <c r="AI551" s="7" t="str">
        <f t="shared" si="96"/>
        <v/>
      </c>
      <c r="AJ551" s="22" t="str">
        <f t="shared" si="97"/>
        <v/>
      </c>
      <c r="AK551" s="29" t="str">
        <f t="shared" si="98"/>
        <v/>
      </c>
      <c r="AL551" s="10"/>
    </row>
    <row r="552" spans="1:38">
      <c r="A552" s="19">
        <f>IF('Supplier selection'!A552="","",'Supplier selection'!A552)</f>
        <v>548</v>
      </c>
      <c r="B552" s="19" t="str">
        <f>IF('Supplier selection'!B552="","",'Supplier selection'!B552)</f>
        <v/>
      </c>
      <c r="C552" s="19" t="str">
        <f>IF('Supplier selection'!C552="","",'Supplier selection'!C552)</f>
        <v/>
      </c>
      <c r="D552" s="19" t="str">
        <f>IF('Supplier selection'!D552="","",'Supplier selection'!D552)</f>
        <v/>
      </c>
      <c r="E552" s="19" t="str">
        <f>IF('Supplier selection'!E552="","",'Supplier selection'!E552)</f>
        <v/>
      </c>
      <c r="F552" s="19" t="str">
        <f>IF('Supplier selection'!F552="","",'Supplier selection'!F552)</f>
        <v/>
      </c>
      <c r="G552" s="19" t="str">
        <f>IF('Supplier selection'!G552="","",'Supplier selection'!G552)</f>
        <v/>
      </c>
      <c r="H552" s="19" t="str">
        <f>IF('Supplier selection'!H552="","",'Supplier selection'!H552)</f>
        <v/>
      </c>
      <c r="I552" s="19" t="str">
        <f>IF('Supplier selection'!I552="","",'Supplier selection'!I552)</f>
        <v/>
      </c>
      <c r="J552" s="19" t="str">
        <f>IF('Supplier selection'!J552="","",'Supplier selection'!J552)</f>
        <v/>
      </c>
      <c r="K552" s="19" t="str">
        <f>IF('Supplier selection'!K552="","",'Supplier selection'!K552)</f>
        <v/>
      </c>
      <c r="L552" s="19" t="str">
        <f>IF('Supplier selection'!L552="","",'Supplier selection'!L552)</f>
        <v/>
      </c>
      <c r="M552" s="19" t="str">
        <f>IF('Supplier selection'!M552="","",'Supplier selection'!M552)</f>
        <v/>
      </c>
      <c r="N552" s="19" t="str">
        <f>IF('Supplier selection'!N552="","",'Supplier selection'!N552)</f>
        <v/>
      </c>
      <c r="O552" s="19" t="str">
        <f>IF('Supplier selection'!O552="","",'Supplier selection'!O552)</f>
        <v/>
      </c>
      <c r="Q552" s="19" t="str">
        <f>HLOOKUP($Q$3,'Supplier selection'!$AW$4:'Supplier selection'!$CT$1000,$A553,FALSE)</f>
        <v/>
      </c>
      <c r="R552" s="22" t="str">
        <f t="shared" si="88"/>
        <v/>
      </c>
      <c r="S552" s="19" t="str">
        <f t="shared" si="89"/>
        <v/>
      </c>
      <c r="T552" s="22" t="str">
        <f t="shared" si="90"/>
        <v/>
      </c>
      <c r="U552" s="19" t="str">
        <f t="shared" si="91"/>
        <v/>
      </c>
      <c r="V552" s="7"/>
      <c r="Y552" s="19" t="str">
        <f>IF('Supplier selection'!AQ552="","",'Supplier selection'!AQ552)</f>
        <v/>
      </c>
      <c r="Z552" s="19" t="str">
        <f>IF('Supplier selection'!AR552="","",'Supplier selection'!AR552)</f>
        <v/>
      </c>
      <c r="AA552" s="19" t="str">
        <f t="shared" si="92"/>
        <v/>
      </c>
      <c r="AD552" s="26" t="str">
        <f>IF(AND('Supplier selection'!X552="",'Supplier selection'!AE552=""),"",IF('Supplier selection'!X552="",'Supplier selection'!AE552,'Supplier selection'!X552))</f>
        <v/>
      </c>
      <c r="AE552" s="19" t="str">
        <f t="shared" si="93"/>
        <v/>
      </c>
      <c r="AF552" s="19" t="str">
        <f t="shared" si="94"/>
        <v/>
      </c>
      <c r="AG552" s="27" t="str">
        <f>IF(AND('Supplier selection'!AB552="",'Supplier selection'!AI552=""),"",IF('Supplier selection'!AB552="",'Supplier selection'!AI552,'Supplier selection'!AB552))</f>
        <v/>
      </c>
      <c r="AH552" s="28" t="str">
        <f t="shared" si="95"/>
        <v/>
      </c>
      <c r="AI552" s="7" t="str">
        <f t="shared" si="96"/>
        <v/>
      </c>
      <c r="AJ552" s="22" t="str">
        <f t="shared" si="97"/>
        <v/>
      </c>
      <c r="AK552" s="29" t="str">
        <f t="shared" si="98"/>
        <v/>
      </c>
      <c r="AL552" s="10"/>
    </row>
    <row r="553" spans="1:38">
      <c r="A553" s="19">
        <f>IF('Supplier selection'!A553="","",'Supplier selection'!A553)</f>
        <v>549</v>
      </c>
      <c r="B553" s="19" t="str">
        <f>IF('Supplier selection'!B553="","",'Supplier selection'!B553)</f>
        <v/>
      </c>
      <c r="C553" s="19" t="str">
        <f>IF('Supplier selection'!C553="","",'Supplier selection'!C553)</f>
        <v/>
      </c>
      <c r="D553" s="19" t="str">
        <f>IF('Supplier selection'!D553="","",'Supplier selection'!D553)</f>
        <v/>
      </c>
      <c r="E553" s="19" t="str">
        <f>IF('Supplier selection'!E553="","",'Supplier selection'!E553)</f>
        <v/>
      </c>
      <c r="F553" s="19" t="str">
        <f>IF('Supplier selection'!F553="","",'Supplier selection'!F553)</f>
        <v/>
      </c>
      <c r="G553" s="19" t="str">
        <f>IF('Supplier selection'!G553="","",'Supplier selection'!G553)</f>
        <v/>
      </c>
      <c r="H553" s="19" t="str">
        <f>IF('Supplier selection'!H553="","",'Supplier selection'!H553)</f>
        <v/>
      </c>
      <c r="I553" s="19" t="str">
        <f>IF('Supplier selection'!I553="","",'Supplier selection'!I553)</f>
        <v/>
      </c>
      <c r="J553" s="19" t="str">
        <f>IF('Supplier selection'!J553="","",'Supplier selection'!J553)</f>
        <v/>
      </c>
      <c r="K553" s="19" t="str">
        <f>IF('Supplier selection'!K553="","",'Supplier selection'!K553)</f>
        <v/>
      </c>
      <c r="L553" s="19" t="str">
        <f>IF('Supplier selection'!L553="","",'Supplier selection'!L553)</f>
        <v/>
      </c>
      <c r="M553" s="19" t="str">
        <f>IF('Supplier selection'!M553="","",'Supplier selection'!M553)</f>
        <v/>
      </c>
      <c r="N553" s="19" t="str">
        <f>IF('Supplier selection'!N553="","",'Supplier selection'!N553)</f>
        <v/>
      </c>
      <c r="O553" s="19" t="str">
        <f>IF('Supplier selection'!O553="","",'Supplier selection'!O553)</f>
        <v/>
      </c>
      <c r="Q553" s="19" t="str">
        <f>HLOOKUP($Q$3,'Supplier selection'!$AW$4:'Supplier selection'!$CT$1000,$A554,FALSE)</f>
        <v/>
      </c>
      <c r="R553" s="22" t="str">
        <f t="shared" si="88"/>
        <v/>
      </c>
      <c r="S553" s="19" t="str">
        <f t="shared" si="89"/>
        <v/>
      </c>
      <c r="T553" s="22" t="str">
        <f t="shared" si="90"/>
        <v/>
      </c>
      <c r="U553" s="19" t="str">
        <f t="shared" si="91"/>
        <v/>
      </c>
      <c r="V553" s="7"/>
      <c r="Y553" s="19" t="str">
        <f>IF('Supplier selection'!AQ553="","",'Supplier selection'!AQ553)</f>
        <v/>
      </c>
      <c r="Z553" s="19" t="str">
        <f>IF('Supplier selection'!AR553="","",'Supplier selection'!AR553)</f>
        <v/>
      </c>
      <c r="AA553" s="19" t="str">
        <f t="shared" si="92"/>
        <v/>
      </c>
      <c r="AD553" s="26" t="str">
        <f>IF(AND('Supplier selection'!X553="",'Supplier selection'!AE553=""),"",IF('Supplier selection'!X553="",'Supplier selection'!AE553,'Supplier selection'!X553))</f>
        <v/>
      </c>
      <c r="AE553" s="19" t="str">
        <f t="shared" si="93"/>
        <v/>
      </c>
      <c r="AF553" s="19" t="str">
        <f t="shared" si="94"/>
        <v/>
      </c>
      <c r="AG553" s="27" t="str">
        <f>IF(AND('Supplier selection'!AB553="",'Supplier selection'!AI553=""),"",IF('Supplier selection'!AB553="",'Supplier selection'!AI553,'Supplier selection'!AB553))</f>
        <v/>
      </c>
      <c r="AH553" s="28" t="str">
        <f t="shared" si="95"/>
        <v/>
      </c>
      <c r="AI553" s="7" t="str">
        <f t="shared" si="96"/>
        <v/>
      </c>
      <c r="AJ553" s="22" t="str">
        <f t="shared" si="97"/>
        <v/>
      </c>
      <c r="AK553" s="29" t="str">
        <f t="shared" si="98"/>
        <v/>
      </c>
      <c r="AL553" s="10"/>
    </row>
    <row r="554" spans="1:38">
      <c r="A554" s="19">
        <f>IF('Supplier selection'!A554="","",'Supplier selection'!A554)</f>
        <v>550</v>
      </c>
      <c r="B554" s="19" t="str">
        <f>IF('Supplier selection'!B554="","",'Supplier selection'!B554)</f>
        <v/>
      </c>
      <c r="C554" s="19" t="str">
        <f>IF('Supplier selection'!C554="","",'Supplier selection'!C554)</f>
        <v/>
      </c>
      <c r="D554" s="19" t="str">
        <f>IF('Supplier selection'!D554="","",'Supplier selection'!D554)</f>
        <v/>
      </c>
      <c r="E554" s="19" t="str">
        <f>IF('Supplier selection'!E554="","",'Supplier selection'!E554)</f>
        <v/>
      </c>
      <c r="F554" s="19" t="str">
        <f>IF('Supplier selection'!F554="","",'Supplier selection'!F554)</f>
        <v/>
      </c>
      <c r="G554" s="19" t="str">
        <f>IF('Supplier selection'!G554="","",'Supplier selection'!G554)</f>
        <v/>
      </c>
      <c r="H554" s="19" t="str">
        <f>IF('Supplier selection'!H554="","",'Supplier selection'!H554)</f>
        <v/>
      </c>
      <c r="I554" s="19" t="str">
        <f>IF('Supplier selection'!I554="","",'Supplier selection'!I554)</f>
        <v/>
      </c>
      <c r="J554" s="19" t="str">
        <f>IF('Supplier selection'!J554="","",'Supplier selection'!J554)</f>
        <v/>
      </c>
      <c r="K554" s="19" t="str">
        <f>IF('Supplier selection'!K554="","",'Supplier selection'!K554)</f>
        <v/>
      </c>
      <c r="L554" s="19" t="str">
        <f>IF('Supplier selection'!L554="","",'Supplier selection'!L554)</f>
        <v/>
      </c>
      <c r="M554" s="19" t="str">
        <f>IF('Supplier selection'!M554="","",'Supplier selection'!M554)</f>
        <v/>
      </c>
      <c r="N554" s="19" t="str">
        <f>IF('Supplier selection'!N554="","",'Supplier selection'!N554)</f>
        <v/>
      </c>
      <c r="O554" s="19" t="str">
        <f>IF('Supplier selection'!O554="","",'Supplier selection'!O554)</f>
        <v/>
      </c>
      <c r="Q554" s="19" t="str">
        <f>HLOOKUP($Q$3,'Supplier selection'!$AW$4:'Supplier selection'!$CT$1000,$A555,FALSE)</f>
        <v/>
      </c>
      <c r="R554" s="22" t="str">
        <f t="shared" si="88"/>
        <v/>
      </c>
      <c r="S554" s="19" t="str">
        <f t="shared" si="89"/>
        <v/>
      </c>
      <c r="T554" s="22" t="str">
        <f t="shared" si="90"/>
        <v/>
      </c>
      <c r="U554" s="19" t="str">
        <f t="shared" si="91"/>
        <v/>
      </c>
      <c r="V554" s="7"/>
      <c r="Y554" s="19" t="str">
        <f>IF('Supplier selection'!AQ554="","",'Supplier selection'!AQ554)</f>
        <v/>
      </c>
      <c r="Z554" s="19" t="str">
        <f>IF('Supplier selection'!AR554="","",'Supplier selection'!AR554)</f>
        <v/>
      </c>
      <c r="AA554" s="19" t="str">
        <f t="shared" si="92"/>
        <v/>
      </c>
      <c r="AD554" s="26" t="str">
        <f>IF(AND('Supplier selection'!X554="",'Supplier selection'!AE554=""),"",IF('Supplier selection'!X554="",'Supplier selection'!AE554,'Supplier selection'!X554))</f>
        <v/>
      </c>
      <c r="AE554" s="19" t="str">
        <f t="shared" si="93"/>
        <v/>
      </c>
      <c r="AF554" s="19" t="str">
        <f t="shared" si="94"/>
        <v/>
      </c>
      <c r="AG554" s="27" t="str">
        <f>IF(AND('Supplier selection'!AB554="",'Supplier selection'!AI554=""),"",IF('Supplier selection'!AB554="",'Supplier selection'!AI554,'Supplier selection'!AB554))</f>
        <v/>
      </c>
      <c r="AH554" s="28" t="str">
        <f t="shared" si="95"/>
        <v/>
      </c>
      <c r="AI554" s="7" t="str">
        <f t="shared" si="96"/>
        <v/>
      </c>
      <c r="AJ554" s="22" t="str">
        <f t="shared" si="97"/>
        <v/>
      </c>
      <c r="AK554" s="29" t="str">
        <f t="shared" si="98"/>
        <v/>
      </c>
      <c r="AL554" s="10"/>
    </row>
    <row r="555" spans="1:38">
      <c r="A555" s="19">
        <f>IF('Supplier selection'!A555="","",'Supplier selection'!A555)</f>
        <v>551</v>
      </c>
      <c r="B555" s="19" t="str">
        <f>IF('Supplier selection'!B555="","",'Supplier selection'!B555)</f>
        <v/>
      </c>
      <c r="C555" s="19" t="str">
        <f>IF('Supplier selection'!C555="","",'Supplier selection'!C555)</f>
        <v/>
      </c>
      <c r="D555" s="19" t="str">
        <f>IF('Supplier selection'!D555="","",'Supplier selection'!D555)</f>
        <v/>
      </c>
      <c r="E555" s="19" t="str">
        <f>IF('Supplier selection'!E555="","",'Supplier selection'!E555)</f>
        <v/>
      </c>
      <c r="F555" s="19" t="str">
        <f>IF('Supplier selection'!F555="","",'Supplier selection'!F555)</f>
        <v/>
      </c>
      <c r="G555" s="19" t="str">
        <f>IF('Supplier selection'!G555="","",'Supplier selection'!G555)</f>
        <v/>
      </c>
      <c r="H555" s="19" t="str">
        <f>IF('Supplier selection'!H555="","",'Supplier selection'!H555)</f>
        <v/>
      </c>
      <c r="I555" s="19" t="str">
        <f>IF('Supplier selection'!I555="","",'Supplier selection'!I555)</f>
        <v/>
      </c>
      <c r="J555" s="19" t="str">
        <f>IF('Supplier selection'!J555="","",'Supplier selection'!J555)</f>
        <v/>
      </c>
      <c r="K555" s="19" t="str">
        <f>IF('Supplier selection'!K555="","",'Supplier selection'!K555)</f>
        <v/>
      </c>
      <c r="L555" s="19" t="str">
        <f>IF('Supplier selection'!L555="","",'Supplier selection'!L555)</f>
        <v/>
      </c>
      <c r="M555" s="19" t="str">
        <f>IF('Supplier selection'!M555="","",'Supplier selection'!M555)</f>
        <v/>
      </c>
      <c r="N555" s="19" t="str">
        <f>IF('Supplier selection'!N555="","",'Supplier selection'!N555)</f>
        <v/>
      </c>
      <c r="O555" s="19" t="str">
        <f>IF('Supplier selection'!O555="","",'Supplier selection'!O555)</f>
        <v/>
      </c>
      <c r="Q555" s="19" t="str">
        <f>HLOOKUP($Q$3,'Supplier selection'!$AW$4:'Supplier selection'!$CT$1000,$A556,FALSE)</f>
        <v/>
      </c>
      <c r="R555" s="22" t="str">
        <f t="shared" si="88"/>
        <v/>
      </c>
      <c r="S555" s="19" t="str">
        <f t="shared" si="89"/>
        <v/>
      </c>
      <c r="T555" s="22" t="str">
        <f t="shared" si="90"/>
        <v/>
      </c>
      <c r="U555" s="19" t="str">
        <f t="shared" si="91"/>
        <v/>
      </c>
      <c r="V555" s="7"/>
      <c r="Y555" s="19" t="str">
        <f>IF('Supplier selection'!AQ555="","",'Supplier selection'!AQ555)</f>
        <v/>
      </c>
      <c r="Z555" s="19" t="str">
        <f>IF('Supplier selection'!AR555="","",'Supplier selection'!AR555)</f>
        <v/>
      </c>
      <c r="AA555" s="19" t="str">
        <f t="shared" si="92"/>
        <v/>
      </c>
      <c r="AD555" s="26" t="str">
        <f>IF(AND('Supplier selection'!X555="",'Supplier selection'!AE555=""),"",IF('Supplier selection'!X555="",'Supplier selection'!AE555,'Supplier selection'!X555))</f>
        <v/>
      </c>
      <c r="AE555" s="19" t="str">
        <f t="shared" si="93"/>
        <v/>
      </c>
      <c r="AF555" s="19" t="str">
        <f t="shared" si="94"/>
        <v/>
      </c>
      <c r="AG555" s="27" t="str">
        <f>IF(AND('Supplier selection'!AB555="",'Supplier selection'!AI555=""),"",IF('Supplier selection'!AB555="",'Supplier selection'!AI555,'Supplier selection'!AB555))</f>
        <v/>
      </c>
      <c r="AH555" s="28" t="str">
        <f t="shared" si="95"/>
        <v/>
      </c>
      <c r="AI555" s="7" t="str">
        <f t="shared" si="96"/>
        <v/>
      </c>
      <c r="AJ555" s="22" t="str">
        <f t="shared" si="97"/>
        <v/>
      </c>
      <c r="AK555" s="29" t="str">
        <f t="shared" si="98"/>
        <v/>
      </c>
      <c r="AL555" s="10"/>
    </row>
    <row r="556" spans="1:38">
      <c r="A556" s="19">
        <f>IF('Supplier selection'!A556="","",'Supplier selection'!A556)</f>
        <v>552</v>
      </c>
      <c r="B556" s="19" t="str">
        <f>IF('Supplier selection'!B556="","",'Supplier selection'!B556)</f>
        <v/>
      </c>
      <c r="C556" s="19" t="str">
        <f>IF('Supplier selection'!C556="","",'Supplier selection'!C556)</f>
        <v/>
      </c>
      <c r="D556" s="19" t="str">
        <f>IF('Supplier selection'!D556="","",'Supplier selection'!D556)</f>
        <v/>
      </c>
      <c r="E556" s="19" t="str">
        <f>IF('Supplier selection'!E556="","",'Supplier selection'!E556)</f>
        <v/>
      </c>
      <c r="F556" s="19" t="str">
        <f>IF('Supplier selection'!F556="","",'Supplier selection'!F556)</f>
        <v/>
      </c>
      <c r="G556" s="19" t="str">
        <f>IF('Supplier selection'!G556="","",'Supplier selection'!G556)</f>
        <v/>
      </c>
      <c r="H556" s="19" t="str">
        <f>IF('Supplier selection'!H556="","",'Supplier selection'!H556)</f>
        <v/>
      </c>
      <c r="I556" s="19" t="str">
        <f>IF('Supplier selection'!I556="","",'Supplier selection'!I556)</f>
        <v/>
      </c>
      <c r="J556" s="19" t="str">
        <f>IF('Supplier selection'!J556="","",'Supplier selection'!J556)</f>
        <v/>
      </c>
      <c r="K556" s="19" t="str">
        <f>IF('Supplier selection'!K556="","",'Supplier selection'!K556)</f>
        <v/>
      </c>
      <c r="L556" s="19" t="str">
        <f>IF('Supplier selection'!L556="","",'Supplier selection'!L556)</f>
        <v/>
      </c>
      <c r="M556" s="19" t="str">
        <f>IF('Supplier selection'!M556="","",'Supplier selection'!M556)</f>
        <v/>
      </c>
      <c r="N556" s="19" t="str">
        <f>IF('Supplier selection'!N556="","",'Supplier selection'!N556)</f>
        <v/>
      </c>
      <c r="O556" s="19" t="str">
        <f>IF('Supplier selection'!O556="","",'Supplier selection'!O556)</f>
        <v/>
      </c>
      <c r="Q556" s="19" t="str">
        <f>HLOOKUP($Q$3,'Supplier selection'!$AW$4:'Supplier selection'!$CT$1000,$A557,FALSE)</f>
        <v/>
      </c>
      <c r="R556" s="22" t="str">
        <f t="shared" si="88"/>
        <v/>
      </c>
      <c r="S556" s="19" t="str">
        <f t="shared" si="89"/>
        <v/>
      </c>
      <c r="T556" s="22" t="str">
        <f t="shared" si="90"/>
        <v/>
      </c>
      <c r="U556" s="19" t="str">
        <f t="shared" si="91"/>
        <v/>
      </c>
      <c r="V556" s="7"/>
      <c r="Y556" s="19" t="str">
        <f>IF('Supplier selection'!AQ556="","",'Supplier selection'!AQ556)</f>
        <v/>
      </c>
      <c r="Z556" s="19" t="str">
        <f>IF('Supplier selection'!AR556="","",'Supplier selection'!AR556)</f>
        <v/>
      </c>
      <c r="AA556" s="19" t="str">
        <f t="shared" si="92"/>
        <v/>
      </c>
      <c r="AD556" s="26" t="str">
        <f>IF(AND('Supplier selection'!X556="",'Supplier selection'!AE556=""),"",IF('Supplier selection'!X556="",'Supplier selection'!AE556,'Supplier selection'!X556))</f>
        <v/>
      </c>
      <c r="AE556" s="19" t="str">
        <f t="shared" si="93"/>
        <v/>
      </c>
      <c r="AF556" s="19" t="str">
        <f t="shared" si="94"/>
        <v/>
      </c>
      <c r="AG556" s="27" t="str">
        <f>IF(AND('Supplier selection'!AB556="",'Supplier selection'!AI556=""),"",IF('Supplier selection'!AB556="",'Supplier selection'!AI556,'Supplier selection'!AB556))</f>
        <v/>
      </c>
      <c r="AH556" s="28" t="str">
        <f t="shared" si="95"/>
        <v/>
      </c>
      <c r="AI556" s="7" t="str">
        <f t="shared" si="96"/>
        <v/>
      </c>
      <c r="AJ556" s="22" t="str">
        <f t="shared" si="97"/>
        <v/>
      </c>
      <c r="AK556" s="29" t="str">
        <f t="shared" si="98"/>
        <v/>
      </c>
      <c r="AL556" s="10"/>
    </row>
    <row r="557" spans="1:38">
      <c r="A557" s="19">
        <f>IF('Supplier selection'!A557="","",'Supplier selection'!A557)</f>
        <v>553</v>
      </c>
      <c r="B557" s="19" t="str">
        <f>IF('Supplier selection'!B557="","",'Supplier selection'!B557)</f>
        <v/>
      </c>
      <c r="C557" s="19" t="str">
        <f>IF('Supplier selection'!C557="","",'Supplier selection'!C557)</f>
        <v/>
      </c>
      <c r="D557" s="19" t="str">
        <f>IF('Supplier selection'!D557="","",'Supplier selection'!D557)</f>
        <v/>
      </c>
      <c r="E557" s="19" t="str">
        <f>IF('Supplier selection'!E557="","",'Supplier selection'!E557)</f>
        <v/>
      </c>
      <c r="F557" s="19" t="str">
        <f>IF('Supplier selection'!F557="","",'Supplier selection'!F557)</f>
        <v/>
      </c>
      <c r="G557" s="19" t="str">
        <f>IF('Supplier selection'!G557="","",'Supplier selection'!G557)</f>
        <v/>
      </c>
      <c r="H557" s="19" t="str">
        <f>IF('Supplier selection'!H557="","",'Supplier selection'!H557)</f>
        <v/>
      </c>
      <c r="I557" s="19" t="str">
        <f>IF('Supplier selection'!I557="","",'Supplier selection'!I557)</f>
        <v/>
      </c>
      <c r="J557" s="19" t="str">
        <f>IF('Supplier selection'!J557="","",'Supplier selection'!J557)</f>
        <v/>
      </c>
      <c r="K557" s="19" t="str">
        <f>IF('Supplier selection'!K557="","",'Supplier selection'!K557)</f>
        <v/>
      </c>
      <c r="L557" s="19" t="str">
        <f>IF('Supplier selection'!L557="","",'Supplier selection'!L557)</f>
        <v/>
      </c>
      <c r="M557" s="19" t="str">
        <f>IF('Supplier selection'!M557="","",'Supplier selection'!M557)</f>
        <v/>
      </c>
      <c r="N557" s="19" t="str">
        <f>IF('Supplier selection'!N557="","",'Supplier selection'!N557)</f>
        <v/>
      </c>
      <c r="O557" s="19" t="str">
        <f>IF('Supplier selection'!O557="","",'Supplier selection'!O557)</f>
        <v/>
      </c>
      <c r="Q557" s="19" t="str">
        <f>HLOOKUP($Q$3,'Supplier selection'!$AW$4:'Supplier selection'!$CT$1000,$A558,FALSE)</f>
        <v/>
      </c>
      <c r="R557" s="22" t="str">
        <f t="shared" si="88"/>
        <v/>
      </c>
      <c r="S557" s="19" t="str">
        <f t="shared" si="89"/>
        <v/>
      </c>
      <c r="T557" s="22" t="str">
        <f t="shared" si="90"/>
        <v/>
      </c>
      <c r="U557" s="19" t="str">
        <f t="shared" si="91"/>
        <v/>
      </c>
      <c r="V557" s="7"/>
      <c r="Y557" s="19" t="str">
        <f>IF('Supplier selection'!AQ557="","",'Supplier selection'!AQ557)</f>
        <v/>
      </c>
      <c r="Z557" s="19" t="str">
        <f>IF('Supplier selection'!AR557="","",'Supplier selection'!AR557)</f>
        <v/>
      </c>
      <c r="AA557" s="19" t="str">
        <f t="shared" si="92"/>
        <v/>
      </c>
      <c r="AD557" s="26" t="str">
        <f>IF(AND('Supplier selection'!X557="",'Supplier selection'!AE557=""),"",IF('Supplier selection'!X557="",'Supplier selection'!AE557,'Supplier selection'!X557))</f>
        <v/>
      </c>
      <c r="AE557" s="19" t="str">
        <f t="shared" si="93"/>
        <v/>
      </c>
      <c r="AF557" s="19" t="str">
        <f t="shared" si="94"/>
        <v/>
      </c>
      <c r="AG557" s="27" t="str">
        <f>IF(AND('Supplier selection'!AB557="",'Supplier selection'!AI557=""),"",IF('Supplier selection'!AB557="",'Supplier selection'!AI557,'Supplier selection'!AB557))</f>
        <v/>
      </c>
      <c r="AH557" s="28" t="str">
        <f t="shared" si="95"/>
        <v/>
      </c>
      <c r="AI557" s="7" t="str">
        <f t="shared" si="96"/>
        <v/>
      </c>
      <c r="AJ557" s="22" t="str">
        <f t="shared" si="97"/>
        <v/>
      </c>
      <c r="AK557" s="29" t="str">
        <f t="shared" si="98"/>
        <v/>
      </c>
      <c r="AL557" s="10"/>
    </row>
    <row r="558" spans="1:38">
      <c r="A558" s="19">
        <f>IF('Supplier selection'!A558="","",'Supplier selection'!A558)</f>
        <v>554</v>
      </c>
      <c r="B558" s="19" t="str">
        <f>IF('Supplier selection'!B558="","",'Supplier selection'!B558)</f>
        <v/>
      </c>
      <c r="C558" s="19" t="str">
        <f>IF('Supplier selection'!C558="","",'Supplier selection'!C558)</f>
        <v/>
      </c>
      <c r="D558" s="19" t="str">
        <f>IF('Supplier selection'!D558="","",'Supplier selection'!D558)</f>
        <v/>
      </c>
      <c r="E558" s="19" t="str">
        <f>IF('Supplier selection'!E558="","",'Supplier selection'!E558)</f>
        <v/>
      </c>
      <c r="F558" s="19" t="str">
        <f>IF('Supplier selection'!F558="","",'Supplier selection'!F558)</f>
        <v/>
      </c>
      <c r="G558" s="19" t="str">
        <f>IF('Supplier selection'!G558="","",'Supplier selection'!G558)</f>
        <v/>
      </c>
      <c r="H558" s="19" t="str">
        <f>IF('Supplier selection'!H558="","",'Supplier selection'!H558)</f>
        <v/>
      </c>
      <c r="I558" s="19" t="str">
        <f>IF('Supplier selection'!I558="","",'Supplier selection'!I558)</f>
        <v/>
      </c>
      <c r="J558" s="19" t="str">
        <f>IF('Supplier selection'!J558="","",'Supplier selection'!J558)</f>
        <v/>
      </c>
      <c r="K558" s="19" t="str">
        <f>IF('Supplier selection'!K558="","",'Supplier selection'!K558)</f>
        <v/>
      </c>
      <c r="L558" s="19" t="str">
        <f>IF('Supplier selection'!L558="","",'Supplier selection'!L558)</f>
        <v/>
      </c>
      <c r="M558" s="19" t="str">
        <f>IF('Supplier selection'!M558="","",'Supplier selection'!M558)</f>
        <v/>
      </c>
      <c r="N558" s="19" t="str">
        <f>IF('Supplier selection'!N558="","",'Supplier selection'!N558)</f>
        <v/>
      </c>
      <c r="O558" s="19" t="str">
        <f>IF('Supplier selection'!O558="","",'Supplier selection'!O558)</f>
        <v/>
      </c>
      <c r="Q558" s="19" t="str">
        <f>HLOOKUP($Q$3,'Supplier selection'!$AW$4:'Supplier selection'!$CT$1000,$A559,FALSE)</f>
        <v/>
      </c>
      <c r="R558" s="22" t="str">
        <f t="shared" si="88"/>
        <v/>
      </c>
      <c r="S558" s="19" t="str">
        <f t="shared" si="89"/>
        <v/>
      </c>
      <c r="T558" s="22" t="str">
        <f t="shared" si="90"/>
        <v/>
      </c>
      <c r="U558" s="19" t="str">
        <f t="shared" si="91"/>
        <v/>
      </c>
      <c r="V558" s="7"/>
      <c r="Y558" s="19" t="str">
        <f>IF('Supplier selection'!AQ558="","",'Supplier selection'!AQ558)</f>
        <v/>
      </c>
      <c r="Z558" s="19" t="str">
        <f>IF('Supplier selection'!AR558="","",'Supplier selection'!AR558)</f>
        <v/>
      </c>
      <c r="AA558" s="19" t="str">
        <f t="shared" si="92"/>
        <v/>
      </c>
      <c r="AD558" s="26" t="str">
        <f>IF(AND('Supplier selection'!X558="",'Supplier selection'!AE558=""),"",IF('Supplier selection'!X558="",'Supplier selection'!AE558,'Supplier selection'!X558))</f>
        <v/>
      </c>
      <c r="AE558" s="19" t="str">
        <f t="shared" si="93"/>
        <v/>
      </c>
      <c r="AF558" s="19" t="str">
        <f t="shared" si="94"/>
        <v/>
      </c>
      <c r="AG558" s="27" t="str">
        <f>IF(AND('Supplier selection'!AB558="",'Supplier selection'!AI558=""),"",IF('Supplier selection'!AB558="",'Supplier selection'!AI558,'Supplier selection'!AB558))</f>
        <v/>
      </c>
      <c r="AH558" s="28" t="str">
        <f t="shared" si="95"/>
        <v/>
      </c>
      <c r="AI558" s="7" t="str">
        <f t="shared" si="96"/>
        <v/>
      </c>
      <c r="AJ558" s="22" t="str">
        <f t="shared" si="97"/>
        <v/>
      </c>
      <c r="AK558" s="29" t="str">
        <f t="shared" si="98"/>
        <v/>
      </c>
      <c r="AL558" s="10"/>
    </row>
    <row r="559" spans="1:38">
      <c r="A559" s="19">
        <f>IF('Supplier selection'!A559="","",'Supplier selection'!A559)</f>
        <v>555</v>
      </c>
      <c r="B559" s="19" t="str">
        <f>IF('Supplier selection'!B559="","",'Supplier selection'!B559)</f>
        <v/>
      </c>
      <c r="C559" s="19" t="str">
        <f>IF('Supplier selection'!C559="","",'Supplier selection'!C559)</f>
        <v/>
      </c>
      <c r="D559" s="19" t="str">
        <f>IF('Supplier selection'!D559="","",'Supplier selection'!D559)</f>
        <v/>
      </c>
      <c r="E559" s="19" t="str">
        <f>IF('Supplier selection'!E559="","",'Supplier selection'!E559)</f>
        <v/>
      </c>
      <c r="F559" s="19" t="str">
        <f>IF('Supplier selection'!F559="","",'Supplier selection'!F559)</f>
        <v/>
      </c>
      <c r="G559" s="19" t="str">
        <f>IF('Supplier selection'!G559="","",'Supplier selection'!G559)</f>
        <v/>
      </c>
      <c r="H559" s="19" t="str">
        <f>IF('Supplier selection'!H559="","",'Supplier selection'!H559)</f>
        <v/>
      </c>
      <c r="I559" s="19" t="str">
        <f>IF('Supplier selection'!I559="","",'Supplier selection'!I559)</f>
        <v/>
      </c>
      <c r="J559" s="19" t="str">
        <f>IF('Supplier selection'!J559="","",'Supplier selection'!J559)</f>
        <v/>
      </c>
      <c r="K559" s="19" t="str">
        <f>IF('Supplier selection'!K559="","",'Supplier selection'!K559)</f>
        <v/>
      </c>
      <c r="L559" s="19" t="str">
        <f>IF('Supplier selection'!L559="","",'Supplier selection'!L559)</f>
        <v/>
      </c>
      <c r="M559" s="19" t="str">
        <f>IF('Supplier selection'!M559="","",'Supplier selection'!M559)</f>
        <v/>
      </c>
      <c r="N559" s="19" t="str">
        <f>IF('Supplier selection'!N559="","",'Supplier selection'!N559)</f>
        <v/>
      </c>
      <c r="O559" s="19" t="str">
        <f>IF('Supplier selection'!O559="","",'Supplier selection'!O559)</f>
        <v/>
      </c>
      <c r="Q559" s="19" t="str">
        <f>HLOOKUP($Q$3,'Supplier selection'!$AW$4:'Supplier selection'!$CT$1000,$A560,FALSE)</f>
        <v/>
      </c>
      <c r="R559" s="22" t="str">
        <f t="shared" si="88"/>
        <v/>
      </c>
      <c r="S559" s="19" t="str">
        <f t="shared" si="89"/>
        <v/>
      </c>
      <c r="T559" s="22" t="str">
        <f t="shared" si="90"/>
        <v/>
      </c>
      <c r="U559" s="19" t="str">
        <f t="shared" si="91"/>
        <v/>
      </c>
      <c r="V559" s="7"/>
      <c r="Y559" s="19" t="str">
        <f>IF('Supplier selection'!AQ559="","",'Supplier selection'!AQ559)</f>
        <v/>
      </c>
      <c r="Z559" s="19" t="str">
        <f>IF('Supplier selection'!AR559="","",'Supplier selection'!AR559)</f>
        <v/>
      </c>
      <c r="AA559" s="19" t="str">
        <f t="shared" si="92"/>
        <v/>
      </c>
      <c r="AD559" s="26" t="str">
        <f>IF(AND('Supplier selection'!X559="",'Supplier selection'!AE559=""),"",IF('Supplier selection'!X559="",'Supplier selection'!AE559,'Supplier selection'!X559))</f>
        <v/>
      </c>
      <c r="AE559" s="19" t="str">
        <f t="shared" si="93"/>
        <v/>
      </c>
      <c r="AF559" s="19" t="str">
        <f t="shared" si="94"/>
        <v/>
      </c>
      <c r="AG559" s="27" t="str">
        <f>IF(AND('Supplier selection'!AB559="",'Supplier selection'!AI559=""),"",IF('Supplier selection'!AB559="",'Supplier selection'!AI559,'Supplier selection'!AB559))</f>
        <v/>
      </c>
      <c r="AH559" s="28" t="str">
        <f t="shared" si="95"/>
        <v/>
      </c>
      <c r="AI559" s="7" t="str">
        <f t="shared" si="96"/>
        <v/>
      </c>
      <c r="AJ559" s="22" t="str">
        <f t="shared" si="97"/>
        <v/>
      </c>
      <c r="AK559" s="29" t="str">
        <f t="shared" si="98"/>
        <v/>
      </c>
      <c r="AL559" s="10"/>
    </row>
    <row r="560" spans="1:38">
      <c r="A560" s="19">
        <f>IF('Supplier selection'!A560="","",'Supplier selection'!A560)</f>
        <v>556</v>
      </c>
      <c r="B560" s="19" t="str">
        <f>IF('Supplier selection'!B560="","",'Supplier selection'!B560)</f>
        <v/>
      </c>
      <c r="C560" s="19" t="str">
        <f>IF('Supplier selection'!C560="","",'Supplier selection'!C560)</f>
        <v/>
      </c>
      <c r="D560" s="19" t="str">
        <f>IF('Supplier selection'!D560="","",'Supplier selection'!D560)</f>
        <v/>
      </c>
      <c r="E560" s="19" t="str">
        <f>IF('Supplier selection'!E560="","",'Supplier selection'!E560)</f>
        <v/>
      </c>
      <c r="F560" s="19" t="str">
        <f>IF('Supplier selection'!F560="","",'Supplier selection'!F560)</f>
        <v/>
      </c>
      <c r="G560" s="19" t="str">
        <f>IF('Supplier selection'!G560="","",'Supplier selection'!G560)</f>
        <v/>
      </c>
      <c r="H560" s="19" t="str">
        <f>IF('Supplier selection'!H560="","",'Supplier selection'!H560)</f>
        <v/>
      </c>
      <c r="I560" s="19" t="str">
        <f>IF('Supplier selection'!I560="","",'Supplier selection'!I560)</f>
        <v/>
      </c>
      <c r="J560" s="19" t="str">
        <f>IF('Supplier selection'!J560="","",'Supplier selection'!J560)</f>
        <v/>
      </c>
      <c r="K560" s="19" t="str">
        <f>IF('Supplier selection'!K560="","",'Supplier selection'!K560)</f>
        <v/>
      </c>
      <c r="L560" s="19" t="str">
        <f>IF('Supplier selection'!L560="","",'Supplier selection'!L560)</f>
        <v/>
      </c>
      <c r="M560" s="19" t="str">
        <f>IF('Supplier selection'!M560="","",'Supplier selection'!M560)</f>
        <v/>
      </c>
      <c r="N560" s="19" t="str">
        <f>IF('Supplier selection'!N560="","",'Supplier selection'!N560)</f>
        <v/>
      </c>
      <c r="O560" s="19" t="str">
        <f>IF('Supplier selection'!O560="","",'Supplier selection'!O560)</f>
        <v/>
      </c>
      <c r="Q560" s="19" t="str">
        <f>HLOOKUP($Q$3,'Supplier selection'!$AW$4:'Supplier selection'!$CT$1000,$A561,FALSE)</f>
        <v/>
      </c>
      <c r="R560" s="22" t="str">
        <f t="shared" si="88"/>
        <v/>
      </c>
      <c r="S560" s="19" t="str">
        <f t="shared" si="89"/>
        <v/>
      </c>
      <c r="T560" s="22" t="str">
        <f t="shared" si="90"/>
        <v/>
      </c>
      <c r="U560" s="19" t="str">
        <f t="shared" si="91"/>
        <v/>
      </c>
      <c r="V560" s="7"/>
      <c r="Y560" s="19" t="str">
        <f>IF('Supplier selection'!AQ560="","",'Supplier selection'!AQ560)</f>
        <v/>
      </c>
      <c r="Z560" s="19" t="str">
        <f>IF('Supplier selection'!AR560="","",'Supplier selection'!AR560)</f>
        <v/>
      </c>
      <c r="AA560" s="19" t="str">
        <f t="shared" si="92"/>
        <v/>
      </c>
      <c r="AD560" s="26" t="str">
        <f>IF(AND('Supplier selection'!X560="",'Supplier selection'!AE560=""),"",IF('Supplier selection'!X560="",'Supplier selection'!AE560,'Supplier selection'!X560))</f>
        <v/>
      </c>
      <c r="AE560" s="19" t="str">
        <f t="shared" si="93"/>
        <v/>
      </c>
      <c r="AF560" s="19" t="str">
        <f t="shared" si="94"/>
        <v/>
      </c>
      <c r="AG560" s="27" t="str">
        <f>IF(AND('Supplier selection'!AB560="",'Supplier selection'!AI560=""),"",IF('Supplier selection'!AB560="",'Supplier selection'!AI560,'Supplier selection'!AB560))</f>
        <v/>
      </c>
      <c r="AH560" s="28" t="str">
        <f t="shared" si="95"/>
        <v/>
      </c>
      <c r="AI560" s="7" t="str">
        <f t="shared" si="96"/>
        <v/>
      </c>
      <c r="AJ560" s="22" t="str">
        <f t="shared" si="97"/>
        <v/>
      </c>
      <c r="AK560" s="29" t="str">
        <f t="shared" si="98"/>
        <v/>
      </c>
      <c r="AL560" s="10"/>
    </row>
    <row r="561" spans="1:38">
      <c r="A561" s="19">
        <f>IF('Supplier selection'!A561="","",'Supplier selection'!A561)</f>
        <v>557</v>
      </c>
      <c r="B561" s="19" t="str">
        <f>IF('Supplier selection'!B561="","",'Supplier selection'!B561)</f>
        <v/>
      </c>
      <c r="C561" s="19" t="str">
        <f>IF('Supplier selection'!C561="","",'Supplier selection'!C561)</f>
        <v/>
      </c>
      <c r="D561" s="19" t="str">
        <f>IF('Supplier selection'!D561="","",'Supplier selection'!D561)</f>
        <v/>
      </c>
      <c r="E561" s="19" t="str">
        <f>IF('Supplier selection'!E561="","",'Supplier selection'!E561)</f>
        <v/>
      </c>
      <c r="F561" s="19" t="str">
        <f>IF('Supplier selection'!F561="","",'Supplier selection'!F561)</f>
        <v/>
      </c>
      <c r="G561" s="19" t="str">
        <f>IF('Supplier selection'!G561="","",'Supplier selection'!G561)</f>
        <v/>
      </c>
      <c r="H561" s="19" t="str">
        <f>IF('Supplier selection'!H561="","",'Supplier selection'!H561)</f>
        <v/>
      </c>
      <c r="I561" s="19" t="str">
        <f>IF('Supplier selection'!I561="","",'Supplier selection'!I561)</f>
        <v/>
      </c>
      <c r="J561" s="19" t="str">
        <f>IF('Supplier selection'!J561="","",'Supplier selection'!J561)</f>
        <v/>
      </c>
      <c r="K561" s="19" t="str">
        <f>IF('Supplier selection'!K561="","",'Supplier selection'!K561)</f>
        <v/>
      </c>
      <c r="L561" s="19" t="str">
        <f>IF('Supplier selection'!L561="","",'Supplier selection'!L561)</f>
        <v/>
      </c>
      <c r="M561" s="19" t="str">
        <f>IF('Supplier selection'!M561="","",'Supplier selection'!M561)</f>
        <v/>
      </c>
      <c r="N561" s="19" t="str">
        <f>IF('Supplier selection'!N561="","",'Supplier selection'!N561)</f>
        <v/>
      </c>
      <c r="O561" s="19" t="str">
        <f>IF('Supplier selection'!O561="","",'Supplier selection'!O561)</f>
        <v/>
      </c>
      <c r="Q561" s="19" t="str">
        <f>HLOOKUP($Q$3,'Supplier selection'!$AW$4:'Supplier selection'!$CT$1000,$A562,FALSE)</f>
        <v/>
      </c>
      <c r="R561" s="22" t="str">
        <f t="shared" si="88"/>
        <v/>
      </c>
      <c r="S561" s="19" t="str">
        <f t="shared" si="89"/>
        <v/>
      </c>
      <c r="T561" s="22" t="str">
        <f t="shared" si="90"/>
        <v/>
      </c>
      <c r="U561" s="19" t="str">
        <f t="shared" si="91"/>
        <v/>
      </c>
      <c r="V561" s="7"/>
      <c r="Y561" s="19" t="str">
        <f>IF('Supplier selection'!AQ561="","",'Supplier selection'!AQ561)</f>
        <v/>
      </c>
      <c r="Z561" s="19" t="str">
        <f>IF('Supplier selection'!AR561="","",'Supplier selection'!AR561)</f>
        <v/>
      </c>
      <c r="AA561" s="19" t="str">
        <f t="shared" si="92"/>
        <v/>
      </c>
      <c r="AD561" s="26" t="str">
        <f>IF(AND('Supplier selection'!X561="",'Supplier selection'!AE561=""),"",IF('Supplier selection'!X561="",'Supplier selection'!AE561,'Supplier selection'!X561))</f>
        <v/>
      </c>
      <c r="AE561" s="19" t="str">
        <f t="shared" si="93"/>
        <v/>
      </c>
      <c r="AF561" s="19" t="str">
        <f t="shared" si="94"/>
        <v/>
      </c>
      <c r="AG561" s="27" t="str">
        <f>IF(AND('Supplier selection'!AB561="",'Supplier selection'!AI561=""),"",IF('Supplier selection'!AB561="",'Supplier selection'!AI561,'Supplier selection'!AB561))</f>
        <v/>
      </c>
      <c r="AH561" s="28" t="str">
        <f t="shared" si="95"/>
        <v/>
      </c>
      <c r="AI561" s="7" t="str">
        <f t="shared" si="96"/>
        <v/>
      </c>
      <c r="AJ561" s="22" t="str">
        <f t="shared" si="97"/>
        <v/>
      </c>
      <c r="AK561" s="29" t="str">
        <f t="shared" si="98"/>
        <v/>
      </c>
      <c r="AL561" s="10"/>
    </row>
    <row r="562" spans="1:38">
      <c r="A562" s="19">
        <f>IF('Supplier selection'!A562="","",'Supplier selection'!A562)</f>
        <v>558</v>
      </c>
      <c r="B562" s="19" t="str">
        <f>IF('Supplier selection'!B562="","",'Supplier selection'!B562)</f>
        <v/>
      </c>
      <c r="C562" s="19" t="str">
        <f>IF('Supplier selection'!C562="","",'Supplier selection'!C562)</f>
        <v/>
      </c>
      <c r="D562" s="19" t="str">
        <f>IF('Supplier selection'!D562="","",'Supplier selection'!D562)</f>
        <v/>
      </c>
      <c r="E562" s="19" t="str">
        <f>IF('Supplier selection'!E562="","",'Supplier selection'!E562)</f>
        <v/>
      </c>
      <c r="F562" s="19" t="str">
        <f>IF('Supplier selection'!F562="","",'Supplier selection'!F562)</f>
        <v/>
      </c>
      <c r="G562" s="19" t="str">
        <f>IF('Supplier selection'!G562="","",'Supplier selection'!G562)</f>
        <v/>
      </c>
      <c r="H562" s="19" t="str">
        <f>IF('Supplier selection'!H562="","",'Supplier selection'!H562)</f>
        <v/>
      </c>
      <c r="I562" s="19" t="str">
        <f>IF('Supplier selection'!I562="","",'Supplier selection'!I562)</f>
        <v/>
      </c>
      <c r="J562" s="19" t="str">
        <f>IF('Supplier selection'!J562="","",'Supplier selection'!J562)</f>
        <v/>
      </c>
      <c r="K562" s="19" t="str">
        <f>IF('Supplier selection'!K562="","",'Supplier selection'!K562)</f>
        <v/>
      </c>
      <c r="L562" s="19" t="str">
        <f>IF('Supplier selection'!L562="","",'Supplier selection'!L562)</f>
        <v/>
      </c>
      <c r="M562" s="19" t="str">
        <f>IF('Supplier selection'!M562="","",'Supplier selection'!M562)</f>
        <v/>
      </c>
      <c r="N562" s="19" t="str">
        <f>IF('Supplier selection'!N562="","",'Supplier selection'!N562)</f>
        <v/>
      </c>
      <c r="O562" s="19" t="str">
        <f>IF('Supplier selection'!O562="","",'Supplier selection'!O562)</f>
        <v/>
      </c>
      <c r="Q562" s="19" t="str">
        <f>HLOOKUP($Q$3,'Supplier selection'!$AW$4:'Supplier selection'!$CT$1000,$A563,FALSE)</f>
        <v/>
      </c>
      <c r="R562" s="22" t="str">
        <f t="shared" si="88"/>
        <v/>
      </c>
      <c r="S562" s="19" t="str">
        <f t="shared" si="89"/>
        <v/>
      </c>
      <c r="T562" s="22" t="str">
        <f t="shared" si="90"/>
        <v/>
      </c>
      <c r="U562" s="19" t="str">
        <f t="shared" si="91"/>
        <v/>
      </c>
      <c r="V562" s="7"/>
      <c r="Y562" s="19" t="str">
        <f>IF('Supplier selection'!AQ562="","",'Supplier selection'!AQ562)</f>
        <v/>
      </c>
      <c r="Z562" s="19" t="str">
        <f>IF('Supplier selection'!AR562="","",'Supplier selection'!AR562)</f>
        <v/>
      </c>
      <c r="AA562" s="19" t="str">
        <f t="shared" si="92"/>
        <v/>
      </c>
      <c r="AD562" s="26" t="str">
        <f>IF(AND('Supplier selection'!X562="",'Supplier selection'!AE562=""),"",IF('Supplier selection'!X562="",'Supplier selection'!AE562,'Supplier selection'!X562))</f>
        <v/>
      </c>
      <c r="AE562" s="19" t="str">
        <f t="shared" si="93"/>
        <v/>
      </c>
      <c r="AF562" s="19" t="str">
        <f t="shared" si="94"/>
        <v/>
      </c>
      <c r="AG562" s="27" t="str">
        <f>IF(AND('Supplier selection'!AB562="",'Supplier selection'!AI562=""),"",IF('Supplier selection'!AB562="",'Supplier selection'!AI562,'Supplier selection'!AB562))</f>
        <v/>
      </c>
      <c r="AH562" s="28" t="str">
        <f t="shared" si="95"/>
        <v/>
      </c>
      <c r="AI562" s="7" t="str">
        <f t="shared" si="96"/>
        <v/>
      </c>
      <c r="AJ562" s="22" t="str">
        <f t="shared" si="97"/>
        <v/>
      </c>
      <c r="AK562" s="29" t="str">
        <f t="shared" si="98"/>
        <v/>
      </c>
      <c r="AL562" s="10"/>
    </row>
    <row r="563" spans="1:38">
      <c r="A563" s="19">
        <f>IF('Supplier selection'!A563="","",'Supplier selection'!A563)</f>
        <v>559</v>
      </c>
      <c r="B563" s="19" t="str">
        <f>IF('Supplier selection'!B563="","",'Supplier selection'!B563)</f>
        <v/>
      </c>
      <c r="C563" s="19" t="str">
        <f>IF('Supplier selection'!C563="","",'Supplier selection'!C563)</f>
        <v/>
      </c>
      <c r="D563" s="19" t="str">
        <f>IF('Supplier selection'!D563="","",'Supplier selection'!D563)</f>
        <v/>
      </c>
      <c r="E563" s="19" t="str">
        <f>IF('Supplier selection'!E563="","",'Supplier selection'!E563)</f>
        <v/>
      </c>
      <c r="F563" s="19" t="str">
        <f>IF('Supplier selection'!F563="","",'Supplier selection'!F563)</f>
        <v/>
      </c>
      <c r="G563" s="19" t="str">
        <f>IF('Supplier selection'!G563="","",'Supplier selection'!G563)</f>
        <v/>
      </c>
      <c r="H563" s="19" t="str">
        <f>IF('Supplier selection'!H563="","",'Supplier selection'!H563)</f>
        <v/>
      </c>
      <c r="I563" s="19" t="str">
        <f>IF('Supplier selection'!I563="","",'Supplier selection'!I563)</f>
        <v/>
      </c>
      <c r="J563" s="19" t="str">
        <f>IF('Supplier selection'!J563="","",'Supplier selection'!J563)</f>
        <v/>
      </c>
      <c r="K563" s="19" t="str">
        <f>IF('Supplier selection'!K563="","",'Supplier selection'!K563)</f>
        <v/>
      </c>
      <c r="L563" s="19" t="str">
        <f>IF('Supplier selection'!L563="","",'Supplier selection'!L563)</f>
        <v/>
      </c>
      <c r="M563" s="19" t="str">
        <f>IF('Supplier selection'!M563="","",'Supplier selection'!M563)</f>
        <v/>
      </c>
      <c r="N563" s="19" t="str">
        <f>IF('Supplier selection'!N563="","",'Supplier selection'!N563)</f>
        <v/>
      </c>
      <c r="O563" s="19" t="str">
        <f>IF('Supplier selection'!O563="","",'Supplier selection'!O563)</f>
        <v/>
      </c>
      <c r="Q563" s="19" t="str">
        <f>HLOOKUP($Q$3,'Supplier selection'!$AW$4:'Supplier selection'!$CT$1000,$A564,FALSE)</f>
        <v/>
      </c>
      <c r="R563" s="22" t="str">
        <f t="shared" si="88"/>
        <v/>
      </c>
      <c r="S563" s="19" t="str">
        <f t="shared" si="89"/>
        <v/>
      </c>
      <c r="T563" s="22" t="str">
        <f t="shared" si="90"/>
        <v/>
      </c>
      <c r="U563" s="19" t="str">
        <f t="shared" si="91"/>
        <v/>
      </c>
      <c r="V563" s="7"/>
      <c r="Y563" s="19" t="str">
        <f>IF('Supplier selection'!AQ563="","",'Supplier selection'!AQ563)</f>
        <v/>
      </c>
      <c r="Z563" s="19" t="str">
        <f>IF('Supplier selection'!AR563="","",'Supplier selection'!AR563)</f>
        <v/>
      </c>
      <c r="AA563" s="19" t="str">
        <f t="shared" si="92"/>
        <v/>
      </c>
      <c r="AD563" s="26" t="str">
        <f>IF(AND('Supplier selection'!X563="",'Supplier selection'!AE563=""),"",IF('Supplier selection'!X563="",'Supplier selection'!AE563,'Supplier selection'!X563))</f>
        <v/>
      </c>
      <c r="AE563" s="19" t="str">
        <f t="shared" si="93"/>
        <v/>
      </c>
      <c r="AF563" s="19" t="str">
        <f t="shared" si="94"/>
        <v/>
      </c>
      <c r="AG563" s="27" t="str">
        <f>IF(AND('Supplier selection'!AB563="",'Supplier selection'!AI563=""),"",IF('Supplier selection'!AB563="",'Supplier selection'!AI563,'Supplier selection'!AB563))</f>
        <v/>
      </c>
      <c r="AH563" s="28" t="str">
        <f t="shared" si="95"/>
        <v/>
      </c>
      <c r="AI563" s="7" t="str">
        <f t="shared" si="96"/>
        <v/>
      </c>
      <c r="AJ563" s="22" t="str">
        <f t="shared" si="97"/>
        <v/>
      </c>
      <c r="AK563" s="29" t="str">
        <f t="shared" si="98"/>
        <v/>
      </c>
      <c r="AL563" s="10"/>
    </row>
    <row r="564" spans="1:38">
      <c r="A564" s="19">
        <f>IF('Supplier selection'!A564="","",'Supplier selection'!A564)</f>
        <v>560</v>
      </c>
      <c r="B564" s="19" t="str">
        <f>IF('Supplier selection'!B564="","",'Supplier selection'!B564)</f>
        <v/>
      </c>
      <c r="C564" s="19" t="str">
        <f>IF('Supplier selection'!C564="","",'Supplier selection'!C564)</f>
        <v/>
      </c>
      <c r="D564" s="19" t="str">
        <f>IF('Supplier selection'!D564="","",'Supplier selection'!D564)</f>
        <v/>
      </c>
      <c r="E564" s="19" t="str">
        <f>IF('Supplier selection'!E564="","",'Supplier selection'!E564)</f>
        <v/>
      </c>
      <c r="F564" s="19" t="str">
        <f>IF('Supplier selection'!F564="","",'Supplier selection'!F564)</f>
        <v/>
      </c>
      <c r="G564" s="19" t="str">
        <f>IF('Supplier selection'!G564="","",'Supplier selection'!G564)</f>
        <v/>
      </c>
      <c r="H564" s="19" t="str">
        <f>IF('Supplier selection'!H564="","",'Supplier selection'!H564)</f>
        <v/>
      </c>
      <c r="I564" s="19" t="str">
        <f>IF('Supplier selection'!I564="","",'Supplier selection'!I564)</f>
        <v/>
      </c>
      <c r="J564" s="19" t="str">
        <f>IF('Supplier selection'!J564="","",'Supplier selection'!J564)</f>
        <v/>
      </c>
      <c r="K564" s="19" t="str">
        <f>IF('Supplier selection'!K564="","",'Supplier selection'!K564)</f>
        <v/>
      </c>
      <c r="L564" s="19" t="str">
        <f>IF('Supplier selection'!L564="","",'Supplier selection'!L564)</f>
        <v/>
      </c>
      <c r="M564" s="19" t="str">
        <f>IF('Supplier selection'!M564="","",'Supplier selection'!M564)</f>
        <v/>
      </c>
      <c r="N564" s="19" t="str">
        <f>IF('Supplier selection'!N564="","",'Supplier selection'!N564)</f>
        <v/>
      </c>
      <c r="O564" s="19" t="str">
        <f>IF('Supplier selection'!O564="","",'Supplier selection'!O564)</f>
        <v/>
      </c>
      <c r="Q564" s="19" t="str">
        <f>HLOOKUP($Q$3,'Supplier selection'!$AW$4:'Supplier selection'!$CT$1000,$A565,FALSE)</f>
        <v/>
      </c>
      <c r="R564" s="22" t="str">
        <f t="shared" si="88"/>
        <v/>
      </c>
      <c r="S564" s="19" t="str">
        <f t="shared" si="89"/>
        <v/>
      </c>
      <c r="T564" s="22" t="str">
        <f t="shared" si="90"/>
        <v/>
      </c>
      <c r="U564" s="19" t="str">
        <f t="shared" si="91"/>
        <v/>
      </c>
      <c r="V564" s="7"/>
      <c r="Y564" s="19" t="str">
        <f>IF('Supplier selection'!AQ564="","",'Supplier selection'!AQ564)</f>
        <v/>
      </c>
      <c r="Z564" s="19" t="str">
        <f>IF('Supplier selection'!AR564="","",'Supplier selection'!AR564)</f>
        <v/>
      </c>
      <c r="AA564" s="19" t="str">
        <f t="shared" si="92"/>
        <v/>
      </c>
      <c r="AD564" s="26" t="str">
        <f>IF(AND('Supplier selection'!X564="",'Supplier selection'!AE564=""),"",IF('Supplier selection'!X564="",'Supplier selection'!AE564,'Supplier selection'!X564))</f>
        <v/>
      </c>
      <c r="AE564" s="19" t="str">
        <f t="shared" si="93"/>
        <v/>
      </c>
      <c r="AF564" s="19" t="str">
        <f t="shared" si="94"/>
        <v/>
      </c>
      <c r="AG564" s="27" t="str">
        <f>IF(AND('Supplier selection'!AB564="",'Supplier selection'!AI564=""),"",IF('Supplier selection'!AB564="",'Supplier selection'!AI564,'Supplier selection'!AB564))</f>
        <v/>
      </c>
      <c r="AH564" s="28" t="str">
        <f t="shared" si="95"/>
        <v/>
      </c>
      <c r="AI564" s="7" t="str">
        <f t="shared" si="96"/>
        <v/>
      </c>
      <c r="AJ564" s="22" t="str">
        <f t="shared" si="97"/>
        <v/>
      </c>
      <c r="AK564" s="29" t="str">
        <f t="shared" si="98"/>
        <v/>
      </c>
      <c r="AL564" s="10"/>
    </row>
    <row r="565" spans="1:38">
      <c r="A565" s="19">
        <f>IF('Supplier selection'!A565="","",'Supplier selection'!A565)</f>
        <v>561</v>
      </c>
      <c r="B565" s="19" t="str">
        <f>IF('Supplier selection'!B565="","",'Supplier selection'!B565)</f>
        <v/>
      </c>
      <c r="C565" s="19" t="str">
        <f>IF('Supplier selection'!C565="","",'Supplier selection'!C565)</f>
        <v/>
      </c>
      <c r="D565" s="19" t="str">
        <f>IF('Supplier selection'!D565="","",'Supplier selection'!D565)</f>
        <v/>
      </c>
      <c r="E565" s="19" t="str">
        <f>IF('Supplier selection'!E565="","",'Supplier selection'!E565)</f>
        <v/>
      </c>
      <c r="F565" s="19" t="str">
        <f>IF('Supplier selection'!F565="","",'Supplier selection'!F565)</f>
        <v/>
      </c>
      <c r="G565" s="19" t="str">
        <f>IF('Supplier selection'!G565="","",'Supplier selection'!G565)</f>
        <v/>
      </c>
      <c r="H565" s="19" t="str">
        <f>IF('Supplier selection'!H565="","",'Supplier selection'!H565)</f>
        <v/>
      </c>
      <c r="I565" s="19" t="str">
        <f>IF('Supplier selection'!I565="","",'Supplier selection'!I565)</f>
        <v/>
      </c>
      <c r="J565" s="19" t="str">
        <f>IF('Supplier selection'!J565="","",'Supplier selection'!J565)</f>
        <v/>
      </c>
      <c r="K565" s="19" t="str">
        <f>IF('Supplier selection'!K565="","",'Supplier selection'!K565)</f>
        <v/>
      </c>
      <c r="L565" s="19" t="str">
        <f>IF('Supplier selection'!L565="","",'Supplier selection'!L565)</f>
        <v/>
      </c>
      <c r="M565" s="19" t="str">
        <f>IF('Supplier selection'!M565="","",'Supplier selection'!M565)</f>
        <v/>
      </c>
      <c r="N565" s="19" t="str">
        <f>IF('Supplier selection'!N565="","",'Supplier selection'!N565)</f>
        <v/>
      </c>
      <c r="O565" s="19" t="str">
        <f>IF('Supplier selection'!O565="","",'Supplier selection'!O565)</f>
        <v/>
      </c>
      <c r="Q565" s="19" t="str">
        <f>HLOOKUP($Q$3,'Supplier selection'!$AW$4:'Supplier selection'!$CT$1000,$A566,FALSE)</f>
        <v/>
      </c>
      <c r="R565" s="22" t="str">
        <f t="shared" si="88"/>
        <v/>
      </c>
      <c r="S565" s="19" t="str">
        <f t="shared" si="89"/>
        <v/>
      </c>
      <c r="T565" s="22" t="str">
        <f t="shared" si="90"/>
        <v/>
      </c>
      <c r="U565" s="19" t="str">
        <f t="shared" si="91"/>
        <v/>
      </c>
      <c r="V565" s="7"/>
      <c r="Y565" s="19" t="str">
        <f>IF('Supplier selection'!AQ565="","",'Supplier selection'!AQ565)</f>
        <v/>
      </c>
      <c r="Z565" s="19" t="str">
        <f>IF('Supplier selection'!AR565="","",'Supplier selection'!AR565)</f>
        <v/>
      </c>
      <c r="AA565" s="19" t="str">
        <f t="shared" si="92"/>
        <v/>
      </c>
      <c r="AD565" s="26" t="str">
        <f>IF(AND('Supplier selection'!X565="",'Supplier selection'!AE565=""),"",IF('Supplier selection'!X565="",'Supplier selection'!AE565,'Supplier selection'!X565))</f>
        <v/>
      </c>
      <c r="AE565" s="19" t="str">
        <f t="shared" si="93"/>
        <v/>
      </c>
      <c r="AF565" s="19" t="str">
        <f t="shared" si="94"/>
        <v/>
      </c>
      <c r="AG565" s="27" t="str">
        <f>IF(AND('Supplier selection'!AB565="",'Supplier selection'!AI565=""),"",IF('Supplier selection'!AB565="",'Supplier selection'!AI565,'Supplier selection'!AB565))</f>
        <v/>
      </c>
      <c r="AH565" s="28" t="str">
        <f t="shared" si="95"/>
        <v/>
      </c>
      <c r="AI565" s="7" t="str">
        <f t="shared" si="96"/>
        <v/>
      </c>
      <c r="AJ565" s="22" t="str">
        <f t="shared" si="97"/>
        <v/>
      </c>
      <c r="AK565" s="29" t="str">
        <f t="shared" si="98"/>
        <v/>
      </c>
      <c r="AL565" s="10"/>
    </row>
    <row r="566" spans="1:38">
      <c r="A566" s="19">
        <f>IF('Supplier selection'!A566="","",'Supplier selection'!A566)</f>
        <v>562</v>
      </c>
      <c r="B566" s="19" t="str">
        <f>IF('Supplier selection'!B566="","",'Supplier selection'!B566)</f>
        <v/>
      </c>
      <c r="C566" s="19" t="str">
        <f>IF('Supplier selection'!C566="","",'Supplier selection'!C566)</f>
        <v/>
      </c>
      <c r="D566" s="19" t="str">
        <f>IF('Supplier selection'!D566="","",'Supplier selection'!D566)</f>
        <v/>
      </c>
      <c r="E566" s="19" t="str">
        <f>IF('Supplier selection'!E566="","",'Supplier selection'!E566)</f>
        <v/>
      </c>
      <c r="F566" s="19" t="str">
        <f>IF('Supplier selection'!F566="","",'Supplier selection'!F566)</f>
        <v/>
      </c>
      <c r="G566" s="19" t="str">
        <f>IF('Supplier selection'!G566="","",'Supplier selection'!G566)</f>
        <v/>
      </c>
      <c r="H566" s="19" t="str">
        <f>IF('Supplier selection'!H566="","",'Supplier selection'!H566)</f>
        <v/>
      </c>
      <c r="I566" s="19" t="str">
        <f>IF('Supplier selection'!I566="","",'Supplier selection'!I566)</f>
        <v/>
      </c>
      <c r="J566" s="19" t="str">
        <f>IF('Supplier selection'!J566="","",'Supplier selection'!J566)</f>
        <v/>
      </c>
      <c r="K566" s="19" t="str">
        <f>IF('Supplier selection'!K566="","",'Supplier selection'!K566)</f>
        <v/>
      </c>
      <c r="L566" s="19" t="str">
        <f>IF('Supplier selection'!L566="","",'Supplier selection'!L566)</f>
        <v/>
      </c>
      <c r="M566" s="19" t="str">
        <f>IF('Supplier selection'!M566="","",'Supplier selection'!M566)</f>
        <v/>
      </c>
      <c r="N566" s="19" t="str">
        <f>IF('Supplier selection'!N566="","",'Supplier selection'!N566)</f>
        <v/>
      </c>
      <c r="O566" s="19" t="str">
        <f>IF('Supplier selection'!O566="","",'Supplier selection'!O566)</f>
        <v/>
      </c>
      <c r="Q566" s="19" t="str">
        <f>HLOOKUP($Q$3,'Supplier selection'!$AW$4:'Supplier selection'!$CT$1000,$A567,FALSE)</f>
        <v/>
      </c>
      <c r="R566" s="22" t="str">
        <f t="shared" si="88"/>
        <v/>
      </c>
      <c r="S566" s="19" t="str">
        <f t="shared" si="89"/>
        <v/>
      </c>
      <c r="T566" s="22" t="str">
        <f t="shared" si="90"/>
        <v/>
      </c>
      <c r="U566" s="19" t="str">
        <f t="shared" si="91"/>
        <v/>
      </c>
      <c r="V566" s="7"/>
      <c r="Y566" s="19" t="str">
        <f>IF('Supplier selection'!AQ566="","",'Supplier selection'!AQ566)</f>
        <v/>
      </c>
      <c r="Z566" s="19" t="str">
        <f>IF('Supplier selection'!AR566="","",'Supplier selection'!AR566)</f>
        <v/>
      </c>
      <c r="AA566" s="19" t="str">
        <f t="shared" si="92"/>
        <v/>
      </c>
      <c r="AD566" s="26" t="str">
        <f>IF(AND('Supplier selection'!X566="",'Supplier selection'!AE566=""),"",IF('Supplier selection'!X566="",'Supplier selection'!AE566,'Supplier selection'!X566))</f>
        <v/>
      </c>
      <c r="AE566" s="19" t="str">
        <f t="shared" si="93"/>
        <v/>
      </c>
      <c r="AF566" s="19" t="str">
        <f t="shared" si="94"/>
        <v/>
      </c>
      <c r="AG566" s="27" t="str">
        <f>IF(AND('Supplier selection'!AB566="",'Supplier selection'!AI566=""),"",IF('Supplier selection'!AB566="",'Supplier selection'!AI566,'Supplier selection'!AB566))</f>
        <v/>
      </c>
      <c r="AH566" s="28" t="str">
        <f t="shared" si="95"/>
        <v/>
      </c>
      <c r="AI566" s="7" t="str">
        <f t="shared" si="96"/>
        <v/>
      </c>
      <c r="AJ566" s="22" t="str">
        <f t="shared" si="97"/>
        <v/>
      </c>
      <c r="AK566" s="29" t="str">
        <f t="shared" si="98"/>
        <v/>
      </c>
      <c r="AL566" s="10"/>
    </row>
    <row r="567" spans="1:38">
      <c r="A567" s="19">
        <f>IF('Supplier selection'!A567="","",'Supplier selection'!A567)</f>
        <v>563</v>
      </c>
      <c r="B567" s="19" t="str">
        <f>IF('Supplier selection'!B567="","",'Supplier selection'!B567)</f>
        <v/>
      </c>
      <c r="C567" s="19" t="str">
        <f>IF('Supplier selection'!C567="","",'Supplier selection'!C567)</f>
        <v/>
      </c>
      <c r="D567" s="19" t="str">
        <f>IF('Supplier selection'!D567="","",'Supplier selection'!D567)</f>
        <v/>
      </c>
      <c r="E567" s="19" t="str">
        <f>IF('Supplier selection'!E567="","",'Supplier selection'!E567)</f>
        <v/>
      </c>
      <c r="F567" s="19" t="str">
        <f>IF('Supplier selection'!F567="","",'Supplier selection'!F567)</f>
        <v/>
      </c>
      <c r="G567" s="19" t="str">
        <f>IF('Supplier selection'!G567="","",'Supplier selection'!G567)</f>
        <v/>
      </c>
      <c r="H567" s="19" t="str">
        <f>IF('Supplier selection'!H567="","",'Supplier selection'!H567)</f>
        <v/>
      </c>
      <c r="I567" s="19" t="str">
        <f>IF('Supplier selection'!I567="","",'Supplier selection'!I567)</f>
        <v/>
      </c>
      <c r="J567" s="19" t="str">
        <f>IF('Supplier selection'!J567="","",'Supplier selection'!J567)</f>
        <v/>
      </c>
      <c r="K567" s="19" t="str">
        <f>IF('Supplier selection'!K567="","",'Supplier selection'!K567)</f>
        <v/>
      </c>
      <c r="L567" s="19" t="str">
        <f>IF('Supplier selection'!L567="","",'Supplier selection'!L567)</f>
        <v/>
      </c>
      <c r="M567" s="19" t="str">
        <f>IF('Supplier selection'!M567="","",'Supplier selection'!M567)</f>
        <v/>
      </c>
      <c r="N567" s="19" t="str">
        <f>IF('Supplier selection'!N567="","",'Supplier selection'!N567)</f>
        <v/>
      </c>
      <c r="O567" s="19" t="str">
        <f>IF('Supplier selection'!O567="","",'Supplier selection'!O567)</f>
        <v/>
      </c>
      <c r="Q567" s="19" t="str">
        <f>HLOOKUP($Q$3,'Supplier selection'!$AW$4:'Supplier selection'!$CT$1000,$A568,FALSE)</f>
        <v/>
      </c>
      <c r="R567" s="22" t="str">
        <f t="shared" si="88"/>
        <v/>
      </c>
      <c r="S567" s="19" t="str">
        <f t="shared" si="89"/>
        <v/>
      </c>
      <c r="T567" s="22" t="str">
        <f t="shared" si="90"/>
        <v/>
      </c>
      <c r="U567" s="19" t="str">
        <f t="shared" si="91"/>
        <v/>
      </c>
      <c r="V567" s="7"/>
      <c r="Y567" s="19" t="str">
        <f>IF('Supplier selection'!AQ567="","",'Supplier selection'!AQ567)</f>
        <v/>
      </c>
      <c r="Z567" s="19" t="str">
        <f>IF('Supplier selection'!AR567="","",'Supplier selection'!AR567)</f>
        <v/>
      </c>
      <c r="AA567" s="19" t="str">
        <f t="shared" si="92"/>
        <v/>
      </c>
      <c r="AD567" s="26" t="str">
        <f>IF(AND('Supplier selection'!X567="",'Supplier selection'!AE567=""),"",IF('Supplier selection'!X567="",'Supplier selection'!AE567,'Supplier selection'!X567))</f>
        <v/>
      </c>
      <c r="AE567" s="19" t="str">
        <f t="shared" si="93"/>
        <v/>
      </c>
      <c r="AF567" s="19" t="str">
        <f t="shared" si="94"/>
        <v/>
      </c>
      <c r="AG567" s="27" t="str">
        <f>IF(AND('Supplier selection'!AB567="",'Supplier selection'!AI567=""),"",IF('Supplier selection'!AB567="",'Supplier selection'!AI567,'Supplier selection'!AB567))</f>
        <v/>
      </c>
      <c r="AH567" s="28" t="str">
        <f t="shared" si="95"/>
        <v/>
      </c>
      <c r="AI567" s="7" t="str">
        <f t="shared" si="96"/>
        <v/>
      </c>
      <c r="AJ567" s="22" t="str">
        <f t="shared" si="97"/>
        <v/>
      </c>
      <c r="AK567" s="29" t="str">
        <f t="shared" si="98"/>
        <v/>
      </c>
      <c r="AL567" s="10"/>
    </row>
    <row r="568" spans="1:38">
      <c r="A568" s="19">
        <f>IF('Supplier selection'!A568="","",'Supplier selection'!A568)</f>
        <v>564</v>
      </c>
      <c r="B568" s="19" t="str">
        <f>IF('Supplier selection'!B568="","",'Supplier selection'!B568)</f>
        <v/>
      </c>
      <c r="C568" s="19" t="str">
        <f>IF('Supplier selection'!C568="","",'Supplier selection'!C568)</f>
        <v/>
      </c>
      <c r="D568" s="19" t="str">
        <f>IF('Supplier selection'!D568="","",'Supplier selection'!D568)</f>
        <v/>
      </c>
      <c r="E568" s="19" t="str">
        <f>IF('Supplier selection'!E568="","",'Supplier selection'!E568)</f>
        <v/>
      </c>
      <c r="F568" s="19" t="str">
        <f>IF('Supplier selection'!F568="","",'Supplier selection'!F568)</f>
        <v/>
      </c>
      <c r="G568" s="19" t="str">
        <f>IF('Supplier selection'!G568="","",'Supplier selection'!G568)</f>
        <v/>
      </c>
      <c r="H568" s="19" t="str">
        <f>IF('Supplier selection'!H568="","",'Supplier selection'!H568)</f>
        <v/>
      </c>
      <c r="I568" s="19" t="str">
        <f>IF('Supplier selection'!I568="","",'Supplier selection'!I568)</f>
        <v/>
      </c>
      <c r="J568" s="19" t="str">
        <f>IF('Supplier selection'!J568="","",'Supplier selection'!J568)</f>
        <v/>
      </c>
      <c r="K568" s="19" t="str">
        <f>IF('Supplier selection'!K568="","",'Supplier selection'!K568)</f>
        <v/>
      </c>
      <c r="L568" s="19" t="str">
        <f>IF('Supplier selection'!L568="","",'Supplier selection'!L568)</f>
        <v/>
      </c>
      <c r="M568" s="19" t="str">
        <f>IF('Supplier selection'!M568="","",'Supplier selection'!M568)</f>
        <v/>
      </c>
      <c r="N568" s="19" t="str">
        <f>IF('Supplier selection'!N568="","",'Supplier selection'!N568)</f>
        <v/>
      </c>
      <c r="O568" s="19" t="str">
        <f>IF('Supplier selection'!O568="","",'Supplier selection'!O568)</f>
        <v/>
      </c>
      <c r="Q568" s="19" t="str">
        <f>HLOOKUP($Q$3,'Supplier selection'!$AW$4:'Supplier selection'!$CT$1000,$A569,FALSE)</f>
        <v/>
      </c>
      <c r="R568" s="22" t="str">
        <f t="shared" si="88"/>
        <v/>
      </c>
      <c r="S568" s="19" t="str">
        <f t="shared" si="89"/>
        <v/>
      </c>
      <c r="T568" s="22" t="str">
        <f t="shared" si="90"/>
        <v/>
      </c>
      <c r="U568" s="19" t="str">
        <f t="shared" si="91"/>
        <v/>
      </c>
      <c r="V568" s="7"/>
      <c r="Y568" s="19" t="str">
        <f>IF('Supplier selection'!AQ568="","",'Supplier selection'!AQ568)</f>
        <v/>
      </c>
      <c r="Z568" s="19" t="str">
        <f>IF('Supplier selection'!AR568="","",'Supplier selection'!AR568)</f>
        <v/>
      </c>
      <c r="AA568" s="19" t="str">
        <f t="shared" si="92"/>
        <v/>
      </c>
      <c r="AD568" s="26" t="str">
        <f>IF(AND('Supplier selection'!X568="",'Supplier selection'!AE568=""),"",IF('Supplier selection'!X568="",'Supplier selection'!AE568,'Supplier selection'!X568))</f>
        <v/>
      </c>
      <c r="AE568" s="19" t="str">
        <f t="shared" si="93"/>
        <v/>
      </c>
      <c r="AF568" s="19" t="str">
        <f t="shared" si="94"/>
        <v/>
      </c>
      <c r="AG568" s="27" t="str">
        <f>IF(AND('Supplier selection'!AB568="",'Supplier selection'!AI568=""),"",IF('Supplier selection'!AB568="",'Supplier selection'!AI568,'Supplier selection'!AB568))</f>
        <v/>
      </c>
      <c r="AH568" s="28" t="str">
        <f t="shared" si="95"/>
        <v/>
      </c>
      <c r="AI568" s="7" t="str">
        <f t="shared" si="96"/>
        <v/>
      </c>
      <c r="AJ568" s="22" t="str">
        <f t="shared" si="97"/>
        <v/>
      </c>
      <c r="AK568" s="29" t="str">
        <f t="shared" si="98"/>
        <v/>
      </c>
      <c r="AL568" s="10"/>
    </row>
    <row r="569" spans="1:38">
      <c r="A569" s="19">
        <f>IF('Supplier selection'!A569="","",'Supplier selection'!A569)</f>
        <v>565</v>
      </c>
      <c r="B569" s="19" t="str">
        <f>IF('Supplier selection'!B569="","",'Supplier selection'!B569)</f>
        <v/>
      </c>
      <c r="C569" s="19" t="str">
        <f>IF('Supplier selection'!C569="","",'Supplier selection'!C569)</f>
        <v/>
      </c>
      <c r="D569" s="19" t="str">
        <f>IF('Supplier selection'!D569="","",'Supplier selection'!D569)</f>
        <v/>
      </c>
      <c r="E569" s="19" t="str">
        <f>IF('Supplier selection'!E569="","",'Supplier selection'!E569)</f>
        <v/>
      </c>
      <c r="F569" s="19" t="str">
        <f>IF('Supplier selection'!F569="","",'Supplier selection'!F569)</f>
        <v/>
      </c>
      <c r="G569" s="19" t="str">
        <f>IF('Supplier selection'!G569="","",'Supplier selection'!G569)</f>
        <v/>
      </c>
      <c r="H569" s="19" t="str">
        <f>IF('Supplier selection'!H569="","",'Supplier selection'!H569)</f>
        <v/>
      </c>
      <c r="I569" s="19" t="str">
        <f>IF('Supplier selection'!I569="","",'Supplier selection'!I569)</f>
        <v/>
      </c>
      <c r="J569" s="19" t="str">
        <f>IF('Supplier selection'!J569="","",'Supplier selection'!J569)</f>
        <v/>
      </c>
      <c r="K569" s="19" t="str">
        <f>IF('Supplier selection'!K569="","",'Supplier selection'!K569)</f>
        <v/>
      </c>
      <c r="L569" s="19" t="str">
        <f>IF('Supplier selection'!L569="","",'Supplier selection'!L569)</f>
        <v/>
      </c>
      <c r="M569" s="19" t="str">
        <f>IF('Supplier selection'!M569="","",'Supplier selection'!M569)</f>
        <v/>
      </c>
      <c r="N569" s="19" t="str">
        <f>IF('Supplier selection'!N569="","",'Supplier selection'!N569)</f>
        <v/>
      </c>
      <c r="O569" s="19" t="str">
        <f>IF('Supplier selection'!O569="","",'Supplier selection'!O569)</f>
        <v/>
      </c>
      <c r="Q569" s="19" t="str">
        <f>HLOOKUP($Q$3,'Supplier selection'!$AW$4:'Supplier selection'!$CT$1000,$A570,FALSE)</f>
        <v/>
      </c>
      <c r="R569" s="22" t="str">
        <f t="shared" si="88"/>
        <v/>
      </c>
      <c r="S569" s="19" t="str">
        <f t="shared" si="89"/>
        <v/>
      </c>
      <c r="T569" s="22" t="str">
        <f t="shared" si="90"/>
        <v/>
      </c>
      <c r="U569" s="19" t="str">
        <f t="shared" si="91"/>
        <v/>
      </c>
      <c r="V569" s="7"/>
      <c r="Y569" s="19" t="str">
        <f>IF('Supplier selection'!AQ569="","",'Supplier selection'!AQ569)</f>
        <v/>
      </c>
      <c r="Z569" s="19" t="str">
        <f>IF('Supplier selection'!AR569="","",'Supplier selection'!AR569)</f>
        <v/>
      </c>
      <c r="AA569" s="19" t="str">
        <f t="shared" si="92"/>
        <v/>
      </c>
      <c r="AD569" s="26" t="str">
        <f>IF(AND('Supplier selection'!X569="",'Supplier selection'!AE569=""),"",IF('Supplier selection'!X569="",'Supplier selection'!AE569,'Supplier selection'!X569))</f>
        <v/>
      </c>
      <c r="AE569" s="19" t="str">
        <f t="shared" si="93"/>
        <v/>
      </c>
      <c r="AF569" s="19" t="str">
        <f t="shared" si="94"/>
        <v/>
      </c>
      <c r="AG569" s="27" t="str">
        <f>IF(AND('Supplier selection'!AB569="",'Supplier selection'!AI569=""),"",IF('Supplier selection'!AB569="",'Supplier selection'!AI569,'Supplier selection'!AB569))</f>
        <v/>
      </c>
      <c r="AH569" s="28" t="str">
        <f t="shared" si="95"/>
        <v/>
      </c>
      <c r="AI569" s="7" t="str">
        <f t="shared" si="96"/>
        <v/>
      </c>
      <c r="AJ569" s="22" t="str">
        <f t="shared" si="97"/>
        <v/>
      </c>
      <c r="AK569" s="29" t="str">
        <f t="shared" si="98"/>
        <v/>
      </c>
      <c r="AL569" s="10"/>
    </row>
    <row r="570" spans="1:38">
      <c r="A570" s="19">
        <f>IF('Supplier selection'!A570="","",'Supplier selection'!A570)</f>
        <v>566</v>
      </c>
      <c r="B570" s="19" t="str">
        <f>IF('Supplier selection'!B570="","",'Supplier selection'!B570)</f>
        <v/>
      </c>
      <c r="C570" s="19" t="str">
        <f>IF('Supplier selection'!C570="","",'Supplier selection'!C570)</f>
        <v/>
      </c>
      <c r="D570" s="19" t="str">
        <f>IF('Supplier selection'!D570="","",'Supplier selection'!D570)</f>
        <v/>
      </c>
      <c r="E570" s="19" t="str">
        <f>IF('Supplier selection'!E570="","",'Supplier selection'!E570)</f>
        <v/>
      </c>
      <c r="F570" s="19" t="str">
        <f>IF('Supplier selection'!F570="","",'Supplier selection'!F570)</f>
        <v/>
      </c>
      <c r="G570" s="19" t="str">
        <f>IF('Supplier selection'!G570="","",'Supplier selection'!G570)</f>
        <v/>
      </c>
      <c r="H570" s="19" t="str">
        <f>IF('Supplier selection'!H570="","",'Supplier selection'!H570)</f>
        <v/>
      </c>
      <c r="I570" s="19" t="str">
        <f>IF('Supplier selection'!I570="","",'Supplier selection'!I570)</f>
        <v/>
      </c>
      <c r="J570" s="19" t="str">
        <f>IF('Supplier selection'!J570="","",'Supplier selection'!J570)</f>
        <v/>
      </c>
      <c r="K570" s="19" t="str">
        <f>IF('Supplier selection'!K570="","",'Supplier selection'!K570)</f>
        <v/>
      </c>
      <c r="L570" s="19" t="str">
        <f>IF('Supplier selection'!L570="","",'Supplier selection'!L570)</f>
        <v/>
      </c>
      <c r="M570" s="19" t="str">
        <f>IF('Supplier selection'!M570="","",'Supplier selection'!M570)</f>
        <v/>
      </c>
      <c r="N570" s="19" t="str">
        <f>IF('Supplier selection'!N570="","",'Supplier selection'!N570)</f>
        <v/>
      </c>
      <c r="O570" s="19" t="str">
        <f>IF('Supplier selection'!O570="","",'Supplier selection'!O570)</f>
        <v/>
      </c>
      <c r="Q570" s="19" t="str">
        <f>HLOOKUP($Q$3,'Supplier selection'!$AW$4:'Supplier selection'!$CT$1000,$A571,FALSE)</f>
        <v/>
      </c>
      <c r="R570" s="22" t="str">
        <f t="shared" si="88"/>
        <v/>
      </c>
      <c r="S570" s="19" t="str">
        <f t="shared" si="89"/>
        <v/>
      </c>
      <c r="T570" s="22" t="str">
        <f t="shared" si="90"/>
        <v/>
      </c>
      <c r="U570" s="19" t="str">
        <f t="shared" si="91"/>
        <v/>
      </c>
      <c r="V570" s="7"/>
      <c r="Y570" s="19" t="str">
        <f>IF('Supplier selection'!AQ570="","",'Supplier selection'!AQ570)</f>
        <v/>
      </c>
      <c r="Z570" s="19" t="str">
        <f>IF('Supplier selection'!AR570="","",'Supplier selection'!AR570)</f>
        <v/>
      </c>
      <c r="AA570" s="19" t="str">
        <f t="shared" si="92"/>
        <v/>
      </c>
      <c r="AD570" s="26" t="str">
        <f>IF(AND('Supplier selection'!X570="",'Supplier selection'!AE570=""),"",IF('Supplier selection'!X570="",'Supplier selection'!AE570,'Supplier selection'!X570))</f>
        <v/>
      </c>
      <c r="AE570" s="19" t="str">
        <f t="shared" si="93"/>
        <v/>
      </c>
      <c r="AF570" s="19" t="str">
        <f t="shared" si="94"/>
        <v/>
      </c>
      <c r="AG570" s="27" t="str">
        <f>IF(AND('Supplier selection'!AB570="",'Supplier selection'!AI570=""),"",IF('Supplier selection'!AB570="",'Supplier selection'!AI570,'Supplier selection'!AB570))</f>
        <v/>
      </c>
      <c r="AH570" s="28" t="str">
        <f t="shared" si="95"/>
        <v/>
      </c>
      <c r="AI570" s="7" t="str">
        <f t="shared" si="96"/>
        <v/>
      </c>
      <c r="AJ570" s="22" t="str">
        <f t="shared" si="97"/>
        <v/>
      </c>
      <c r="AK570" s="29" t="str">
        <f t="shared" si="98"/>
        <v/>
      </c>
      <c r="AL570" s="10"/>
    </row>
    <row r="571" spans="1:38">
      <c r="A571" s="19">
        <f>IF('Supplier selection'!A571="","",'Supplier selection'!A571)</f>
        <v>567</v>
      </c>
      <c r="B571" s="19" t="str">
        <f>IF('Supplier selection'!B571="","",'Supplier selection'!B571)</f>
        <v/>
      </c>
      <c r="C571" s="19" t="str">
        <f>IF('Supplier selection'!C571="","",'Supplier selection'!C571)</f>
        <v/>
      </c>
      <c r="D571" s="19" t="str">
        <f>IF('Supplier selection'!D571="","",'Supplier selection'!D571)</f>
        <v/>
      </c>
      <c r="E571" s="19" t="str">
        <f>IF('Supplier selection'!E571="","",'Supplier selection'!E571)</f>
        <v/>
      </c>
      <c r="F571" s="19" t="str">
        <f>IF('Supplier selection'!F571="","",'Supplier selection'!F571)</f>
        <v/>
      </c>
      <c r="G571" s="19" t="str">
        <f>IF('Supplier selection'!G571="","",'Supplier selection'!G571)</f>
        <v/>
      </c>
      <c r="H571" s="19" t="str">
        <f>IF('Supplier selection'!H571="","",'Supplier selection'!H571)</f>
        <v/>
      </c>
      <c r="I571" s="19" t="str">
        <f>IF('Supplier selection'!I571="","",'Supplier selection'!I571)</f>
        <v/>
      </c>
      <c r="J571" s="19" t="str">
        <f>IF('Supplier selection'!J571="","",'Supplier selection'!J571)</f>
        <v/>
      </c>
      <c r="K571" s="19" t="str">
        <f>IF('Supplier selection'!K571="","",'Supplier selection'!K571)</f>
        <v/>
      </c>
      <c r="L571" s="19" t="str">
        <f>IF('Supplier selection'!L571="","",'Supplier selection'!L571)</f>
        <v/>
      </c>
      <c r="M571" s="19" t="str">
        <f>IF('Supplier selection'!M571="","",'Supplier selection'!M571)</f>
        <v/>
      </c>
      <c r="N571" s="19" t="str">
        <f>IF('Supplier selection'!N571="","",'Supplier selection'!N571)</f>
        <v/>
      </c>
      <c r="O571" s="19" t="str">
        <f>IF('Supplier selection'!O571="","",'Supplier selection'!O571)</f>
        <v/>
      </c>
      <c r="Q571" s="19" t="str">
        <f>HLOOKUP($Q$3,'Supplier selection'!$AW$4:'Supplier selection'!$CT$1000,$A572,FALSE)</f>
        <v/>
      </c>
      <c r="R571" s="22" t="str">
        <f t="shared" si="88"/>
        <v/>
      </c>
      <c r="S571" s="19" t="str">
        <f t="shared" si="89"/>
        <v/>
      </c>
      <c r="T571" s="22" t="str">
        <f t="shared" si="90"/>
        <v/>
      </c>
      <c r="U571" s="19" t="str">
        <f t="shared" si="91"/>
        <v/>
      </c>
      <c r="V571" s="7"/>
      <c r="Y571" s="19" t="str">
        <f>IF('Supplier selection'!AQ571="","",'Supplier selection'!AQ571)</f>
        <v/>
      </c>
      <c r="Z571" s="19" t="str">
        <f>IF('Supplier selection'!AR571="","",'Supplier selection'!AR571)</f>
        <v/>
      </c>
      <c r="AA571" s="19" t="str">
        <f t="shared" si="92"/>
        <v/>
      </c>
      <c r="AD571" s="26" t="str">
        <f>IF(AND('Supplier selection'!X571="",'Supplier selection'!AE571=""),"",IF('Supplier selection'!X571="",'Supplier selection'!AE571,'Supplier selection'!X571))</f>
        <v/>
      </c>
      <c r="AE571" s="19" t="str">
        <f t="shared" si="93"/>
        <v/>
      </c>
      <c r="AF571" s="19" t="str">
        <f t="shared" si="94"/>
        <v/>
      </c>
      <c r="AG571" s="27" t="str">
        <f>IF(AND('Supplier selection'!AB571="",'Supplier selection'!AI571=""),"",IF('Supplier selection'!AB571="",'Supplier selection'!AI571,'Supplier selection'!AB571))</f>
        <v/>
      </c>
      <c r="AH571" s="28" t="str">
        <f t="shared" si="95"/>
        <v/>
      </c>
      <c r="AI571" s="7" t="str">
        <f t="shared" si="96"/>
        <v/>
      </c>
      <c r="AJ571" s="22" t="str">
        <f t="shared" si="97"/>
        <v/>
      </c>
      <c r="AK571" s="29" t="str">
        <f t="shared" si="98"/>
        <v/>
      </c>
      <c r="AL571" s="10"/>
    </row>
    <row r="572" spans="1:38">
      <c r="A572" s="19">
        <f>IF('Supplier selection'!A572="","",'Supplier selection'!A572)</f>
        <v>568</v>
      </c>
      <c r="B572" s="19" t="str">
        <f>IF('Supplier selection'!B572="","",'Supplier selection'!B572)</f>
        <v/>
      </c>
      <c r="C572" s="19" t="str">
        <f>IF('Supplier selection'!C572="","",'Supplier selection'!C572)</f>
        <v/>
      </c>
      <c r="D572" s="19" t="str">
        <f>IF('Supplier selection'!D572="","",'Supplier selection'!D572)</f>
        <v/>
      </c>
      <c r="E572" s="19" t="str">
        <f>IF('Supplier selection'!E572="","",'Supplier selection'!E572)</f>
        <v/>
      </c>
      <c r="F572" s="19" t="str">
        <f>IF('Supplier selection'!F572="","",'Supplier selection'!F572)</f>
        <v/>
      </c>
      <c r="G572" s="19" t="str">
        <f>IF('Supplier selection'!G572="","",'Supplier selection'!G572)</f>
        <v/>
      </c>
      <c r="H572" s="19" t="str">
        <f>IF('Supplier selection'!H572="","",'Supplier selection'!H572)</f>
        <v/>
      </c>
      <c r="I572" s="19" t="str">
        <f>IF('Supplier selection'!I572="","",'Supplier selection'!I572)</f>
        <v/>
      </c>
      <c r="J572" s="19" t="str">
        <f>IF('Supplier selection'!J572="","",'Supplier selection'!J572)</f>
        <v/>
      </c>
      <c r="K572" s="19" t="str">
        <f>IF('Supplier selection'!K572="","",'Supplier selection'!K572)</f>
        <v/>
      </c>
      <c r="L572" s="19" t="str">
        <f>IF('Supplier selection'!L572="","",'Supplier selection'!L572)</f>
        <v/>
      </c>
      <c r="M572" s="19" t="str">
        <f>IF('Supplier selection'!M572="","",'Supplier selection'!M572)</f>
        <v/>
      </c>
      <c r="N572" s="19" t="str">
        <f>IF('Supplier selection'!N572="","",'Supplier selection'!N572)</f>
        <v/>
      </c>
      <c r="O572" s="19" t="str">
        <f>IF('Supplier selection'!O572="","",'Supplier selection'!O572)</f>
        <v/>
      </c>
      <c r="Q572" s="19" t="str">
        <f>HLOOKUP($Q$3,'Supplier selection'!$AW$4:'Supplier selection'!$CT$1000,$A573,FALSE)</f>
        <v/>
      </c>
      <c r="R572" s="22" t="str">
        <f t="shared" si="88"/>
        <v/>
      </c>
      <c r="S572" s="19" t="str">
        <f t="shared" si="89"/>
        <v/>
      </c>
      <c r="T572" s="22" t="str">
        <f t="shared" si="90"/>
        <v/>
      </c>
      <c r="U572" s="19" t="str">
        <f t="shared" si="91"/>
        <v/>
      </c>
      <c r="V572" s="7"/>
      <c r="Y572" s="19" t="str">
        <f>IF('Supplier selection'!AQ572="","",'Supplier selection'!AQ572)</f>
        <v/>
      </c>
      <c r="Z572" s="19" t="str">
        <f>IF('Supplier selection'!AR572="","",'Supplier selection'!AR572)</f>
        <v/>
      </c>
      <c r="AA572" s="19" t="str">
        <f t="shared" si="92"/>
        <v/>
      </c>
      <c r="AD572" s="26" t="str">
        <f>IF(AND('Supplier selection'!X572="",'Supplier selection'!AE572=""),"",IF('Supplier selection'!X572="",'Supplier selection'!AE572,'Supplier selection'!X572))</f>
        <v/>
      </c>
      <c r="AE572" s="19" t="str">
        <f t="shared" si="93"/>
        <v/>
      </c>
      <c r="AF572" s="19" t="str">
        <f t="shared" si="94"/>
        <v/>
      </c>
      <c r="AG572" s="27" t="str">
        <f>IF(AND('Supplier selection'!AB572="",'Supplier selection'!AI572=""),"",IF('Supplier selection'!AB572="",'Supplier selection'!AI572,'Supplier selection'!AB572))</f>
        <v/>
      </c>
      <c r="AH572" s="28" t="str">
        <f t="shared" si="95"/>
        <v/>
      </c>
      <c r="AI572" s="7" t="str">
        <f t="shared" si="96"/>
        <v/>
      </c>
      <c r="AJ572" s="22" t="str">
        <f t="shared" si="97"/>
        <v/>
      </c>
      <c r="AK572" s="29" t="str">
        <f t="shared" si="98"/>
        <v/>
      </c>
      <c r="AL572" s="10"/>
    </row>
    <row r="573" spans="1:38">
      <c r="A573" s="19">
        <f>IF('Supplier selection'!A573="","",'Supplier selection'!A573)</f>
        <v>569</v>
      </c>
      <c r="B573" s="19" t="str">
        <f>IF('Supplier selection'!B573="","",'Supplier selection'!B573)</f>
        <v/>
      </c>
      <c r="C573" s="19" t="str">
        <f>IF('Supplier selection'!C573="","",'Supplier selection'!C573)</f>
        <v/>
      </c>
      <c r="D573" s="19" t="str">
        <f>IF('Supplier selection'!D573="","",'Supplier selection'!D573)</f>
        <v/>
      </c>
      <c r="E573" s="19" t="str">
        <f>IF('Supplier selection'!E573="","",'Supplier selection'!E573)</f>
        <v/>
      </c>
      <c r="F573" s="19" t="str">
        <f>IF('Supplier selection'!F573="","",'Supplier selection'!F573)</f>
        <v/>
      </c>
      <c r="G573" s="19" t="str">
        <f>IF('Supplier selection'!G573="","",'Supplier selection'!G573)</f>
        <v/>
      </c>
      <c r="H573" s="19" t="str">
        <f>IF('Supplier selection'!H573="","",'Supplier selection'!H573)</f>
        <v/>
      </c>
      <c r="I573" s="19" t="str">
        <f>IF('Supplier selection'!I573="","",'Supplier selection'!I573)</f>
        <v/>
      </c>
      <c r="J573" s="19" t="str">
        <f>IF('Supplier selection'!J573="","",'Supplier selection'!J573)</f>
        <v/>
      </c>
      <c r="K573" s="19" t="str">
        <f>IF('Supplier selection'!K573="","",'Supplier selection'!K573)</f>
        <v/>
      </c>
      <c r="L573" s="19" t="str">
        <f>IF('Supplier selection'!L573="","",'Supplier selection'!L573)</f>
        <v/>
      </c>
      <c r="M573" s="19" t="str">
        <f>IF('Supplier selection'!M573="","",'Supplier selection'!M573)</f>
        <v/>
      </c>
      <c r="N573" s="19" t="str">
        <f>IF('Supplier selection'!N573="","",'Supplier selection'!N573)</f>
        <v/>
      </c>
      <c r="O573" s="19" t="str">
        <f>IF('Supplier selection'!O573="","",'Supplier selection'!O573)</f>
        <v/>
      </c>
      <c r="Q573" s="19" t="str">
        <f>HLOOKUP($Q$3,'Supplier selection'!$AW$4:'Supplier selection'!$CT$1000,$A574,FALSE)</f>
        <v/>
      </c>
      <c r="R573" s="22" t="str">
        <f t="shared" si="88"/>
        <v/>
      </c>
      <c r="S573" s="19" t="str">
        <f t="shared" si="89"/>
        <v/>
      </c>
      <c r="T573" s="22" t="str">
        <f t="shared" si="90"/>
        <v/>
      </c>
      <c r="U573" s="19" t="str">
        <f t="shared" si="91"/>
        <v/>
      </c>
      <c r="V573" s="7"/>
      <c r="Y573" s="19" t="str">
        <f>IF('Supplier selection'!AQ573="","",'Supplier selection'!AQ573)</f>
        <v/>
      </c>
      <c r="Z573" s="19" t="str">
        <f>IF('Supplier selection'!AR573="","",'Supplier selection'!AR573)</f>
        <v/>
      </c>
      <c r="AA573" s="19" t="str">
        <f t="shared" si="92"/>
        <v/>
      </c>
      <c r="AD573" s="26" t="str">
        <f>IF(AND('Supplier selection'!X573="",'Supplier selection'!AE573=""),"",IF('Supplier selection'!X573="",'Supplier selection'!AE573,'Supplier selection'!X573))</f>
        <v/>
      </c>
      <c r="AE573" s="19" t="str">
        <f t="shared" si="93"/>
        <v/>
      </c>
      <c r="AF573" s="19" t="str">
        <f t="shared" si="94"/>
        <v/>
      </c>
      <c r="AG573" s="27" t="str">
        <f>IF(AND('Supplier selection'!AB573="",'Supplier selection'!AI573=""),"",IF('Supplier selection'!AB573="",'Supplier selection'!AI573,'Supplier selection'!AB573))</f>
        <v/>
      </c>
      <c r="AH573" s="28" t="str">
        <f t="shared" si="95"/>
        <v/>
      </c>
      <c r="AI573" s="7" t="str">
        <f t="shared" si="96"/>
        <v/>
      </c>
      <c r="AJ573" s="22" t="str">
        <f t="shared" si="97"/>
        <v/>
      </c>
      <c r="AK573" s="29" t="str">
        <f t="shared" si="98"/>
        <v/>
      </c>
      <c r="AL573" s="10"/>
    </row>
    <row r="574" spans="1:38">
      <c r="A574" s="19">
        <f>IF('Supplier selection'!A574="","",'Supplier selection'!A574)</f>
        <v>570</v>
      </c>
      <c r="B574" s="19" t="str">
        <f>IF('Supplier selection'!B574="","",'Supplier selection'!B574)</f>
        <v/>
      </c>
      <c r="C574" s="19" t="str">
        <f>IF('Supplier selection'!C574="","",'Supplier selection'!C574)</f>
        <v/>
      </c>
      <c r="D574" s="19" t="str">
        <f>IF('Supplier selection'!D574="","",'Supplier selection'!D574)</f>
        <v/>
      </c>
      <c r="E574" s="19" t="str">
        <f>IF('Supplier selection'!E574="","",'Supplier selection'!E574)</f>
        <v/>
      </c>
      <c r="F574" s="19" t="str">
        <f>IF('Supplier selection'!F574="","",'Supplier selection'!F574)</f>
        <v/>
      </c>
      <c r="G574" s="19" t="str">
        <f>IF('Supplier selection'!G574="","",'Supplier selection'!G574)</f>
        <v/>
      </c>
      <c r="H574" s="19" t="str">
        <f>IF('Supplier selection'!H574="","",'Supplier selection'!H574)</f>
        <v/>
      </c>
      <c r="I574" s="19" t="str">
        <f>IF('Supplier selection'!I574="","",'Supplier selection'!I574)</f>
        <v/>
      </c>
      <c r="J574" s="19" t="str">
        <f>IF('Supplier selection'!J574="","",'Supplier selection'!J574)</f>
        <v/>
      </c>
      <c r="K574" s="19" t="str">
        <f>IF('Supplier selection'!K574="","",'Supplier selection'!K574)</f>
        <v/>
      </c>
      <c r="L574" s="19" t="str">
        <f>IF('Supplier selection'!L574="","",'Supplier selection'!L574)</f>
        <v/>
      </c>
      <c r="M574" s="19" t="str">
        <f>IF('Supplier selection'!M574="","",'Supplier selection'!M574)</f>
        <v/>
      </c>
      <c r="N574" s="19" t="str">
        <f>IF('Supplier selection'!N574="","",'Supplier selection'!N574)</f>
        <v/>
      </c>
      <c r="O574" s="19" t="str">
        <f>IF('Supplier selection'!O574="","",'Supplier selection'!O574)</f>
        <v/>
      </c>
      <c r="Q574" s="19" t="str">
        <f>HLOOKUP($Q$3,'Supplier selection'!$AW$4:'Supplier selection'!$CT$1000,$A575,FALSE)</f>
        <v/>
      </c>
      <c r="R574" s="22" t="str">
        <f t="shared" si="88"/>
        <v/>
      </c>
      <c r="S574" s="19" t="str">
        <f t="shared" si="89"/>
        <v/>
      </c>
      <c r="T574" s="22" t="str">
        <f t="shared" si="90"/>
        <v/>
      </c>
      <c r="U574" s="19" t="str">
        <f t="shared" si="91"/>
        <v/>
      </c>
      <c r="V574" s="7"/>
      <c r="Y574" s="19" t="str">
        <f>IF('Supplier selection'!AQ574="","",'Supplier selection'!AQ574)</f>
        <v/>
      </c>
      <c r="Z574" s="19" t="str">
        <f>IF('Supplier selection'!AR574="","",'Supplier selection'!AR574)</f>
        <v/>
      </c>
      <c r="AA574" s="19" t="str">
        <f t="shared" si="92"/>
        <v/>
      </c>
      <c r="AD574" s="26" t="str">
        <f>IF(AND('Supplier selection'!X574="",'Supplier selection'!AE574=""),"",IF('Supplier selection'!X574="",'Supplier selection'!AE574,'Supplier selection'!X574))</f>
        <v/>
      </c>
      <c r="AE574" s="19" t="str">
        <f t="shared" si="93"/>
        <v/>
      </c>
      <c r="AF574" s="19" t="str">
        <f t="shared" si="94"/>
        <v/>
      </c>
      <c r="AG574" s="27" t="str">
        <f>IF(AND('Supplier selection'!AB574="",'Supplier selection'!AI574=""),"",IF('Supplier selection'!AB574="",'Supplier selection'!AI574,'Supplier selection'!AB574))</f>
        <v/>
      </c>
      <c r="AH574" s="28" t="str">
        <f t="shared" si="95"/>
        <v/>
      </c>
      <c r="AI574" s="7" t="str">
        <f t="shared" si="96"/>
        <v/>
      </c>
      <c r="AJ574" s="22" t="str">
        <f t="shared" si="97"/>
        <v/>
      </c>
      <c r="AK574" s="29" t="str">
        <f t="shared" si="98"/>
        <v/>
      </c>
      <c r="AL574" s="10"/>
    </row>
    <row r="575" spans="1:38">
      <c r="A575" s="19">
        <f>IF('Supplier selection'!A575="","",'Supplier selection'!A575)</f>
        <v>571</v>
      </c>
      <c r="B575" s="19" t="str">
        <f>IF('Supplier selection'!B575="","",'Supplier selection'!B575)</f>
        <v/>
      </c>
      <c r="C575" s="19" t="str">
        <f>IF('Supplier selection'!C575="","",'Supplier selection'!C575)</f>
        <v/>
      </c>
      <c r="D575" s="19" t="str">
        <f>IF('Supplier selection'!D575="","",'Supplier selection'!D575)</f>
        <v/>
      </c>
      <c r="E575" s="19" t="str">
        <f>IF('Supplier selection'!E575="","",'Supplier selection'!E575)</f>
        <v/>
      </c>
      <c r="F575" s="19" t="str">
        <f>IF('Supplier selection'!F575="","",'Supplier selection'!F575)</f>
        <v/>
      </c>
      <c r="G575" s="19" t="str">
        <f>IF('Supplier selection'!G575="","",'Supplier selection'!G575)</f>
        <v/>
      </c>
      <c r="H575" s="19" t="str">
        <f>IF('Supplier selection'!H575="","",'Supplier selection'!H575)</f>
        <v/>
      </c>
      <c r="I575" s="19" t="str">
        <f>IF('Supplier selection'!I575="","",'Supplier selection'!I575)</f>
        <v/>
      </c>
      <c r="J575" s="19" t="str">
        <f>IF('Supplier selection'!J575="","",'Supplier selection'!J575)</f>
        <v/>
      </c>
      <c r="K575" s="19" t="str">
        <f>IF('Supplier selection'!K575="","",'Supplier selection'!K575)</f>
        <v/>
      </c>
      <c r="L575" s="19" t="str">
        <f>IF('Supplier selection'!L575="","",'Supplier selection'!L575)</f>
        <v/>
      </c>
      <c r="M575" s="19" t="str">
        <f>IF('Supplier selection'!M575="","",'Supplier selection'!M575)</f>
        <v/>
      </c>
      <c r="N575" s="19" t="str">
        <f>IF('Supplier selection'!N575="","",'Supplier selection'!N575)</f>
        <v/>
      </c>
      <c r="O575" s="19" t="str">
        <f>IF('Supplier selection'!O575="","",'Supplier selection'!O575)</f>
        <v/>
      </c>
      <c r="Q575" s="19" t="str">
        <f>HLOOKUP($Q$3,'Supplier selection'!$AW$4:'Supplier selection'!$CT$1000,$A576,FALSE)</f>
        <v/>
      </c>
      <c r="R575" s="22" t="str">
        <f t="shared" si="88"/>
        <v/>
      </c>
      <c r="S575" s="19" t="str">
        <f t="shared" si="89"/>
        <v/>
      </c>
      <c r="T575" s="22" t="str">
        <f t="shared" si="90"/>
        <v/>
      </c>
      <c r="U575" s="19" t="str">
        <f t="shared" si="91"/>
        <v/>
      </c>
      <c r="V575" s="7"/>
      <c r="Y575" s="19" t="str">
        <f>IF('Supplier selection'!AQ575="","",'Supplier selection'!AQ575)</f>
        <v/>
      </c>
      <c r="Z575" s="19" t="str">
        <f>IF('Supplier selection'!AR575="","",'Supplier selection'!AR575)</f>
        <v/>
      </c>
      <c r="AA575" s="19" t="str">
        <f t="shared" si="92"/>
        <v/>
      </c>
      <c r="AD575" s="26" t="str">
        <f>IF(AND('Supplier selection'!X575="",'Supplier selection'!AE575=""),"",IF('Supplier selection'!X575="",'Supplier selection'!AE575,'Supplier selection'!X575))</f>
        <v/>
      </c>
      <c r="AE575" s="19" t="str">
        <f t="shared" si="93"/>
        <v/>
      </c>
      <c r="AF575" s="19" t="str">
        <f t="shared" si="94"/>
        <v/>
      </c>
      <c r="AG575" s="27" t="str">
        <f>IF(AND('Supplier selection'!AB575="",'Supplier selection'!AI575=""),"",IF('Supplier selection'!AB575="",'Supplier selection'!AI575,'Supplier selection'!AB575))</f>
        <v/>
      </c>
      <c r="AH575" s="28" t="str">
        <f t="shared" si="95"/>
        <v/>
      </c>
      <c r="AI575" s="7" t="str">
        <f t="shared" si="96"/>
        <v/>
      </c>
      <c r="AJ575" s="22" t="str">
        <f t="shared" si="97"/>
        <v/>
      </c>
      <c r="AK575" s="29" t="str">
        <f t="shared" si="98"/>
        <v/>
      </c>
      <c r="AL575" s="10"/>
    </row>
    <row r="576" spans="1:38">
      <c r="A576" s="19">
        <f>IF('Supplier selection'!A576="","",'Supplier selection'!A576)</f>
        <v>572</v>
      </c>
      <c r="B576" s="19" t="str">
        <f>IF('Supplier selection'!B576="","",'Supplier selection'!B576)</f>
        <v/>
      </c>
      <c r="C576" s="19" t="str">
        <f>IF('Supplier selection'!C576="","",'Supplier selection'!C576)</f>
        <v/>
      </c>
      <c r="D576" s="19" t="str">
        <f>IF('Supplier selection'!D576="","",'Supplier selection'!D576)</f>
        <v/>
      </c>
      <c r="E576" s="19" t="str">
        <f>IF('Supplier selection'!E576="","",'Supplier selection'!E576)</f>
        <v/>
      </c>
      <c r="F576" s="19" t="str">
        <f>IF('Supplier selection'!F576="","",'Supplier selection'!F576)</f>
        <v/>
      </c>
      <c r="G576" s="19" t="str">
        <f>IF('Supplier selection'!G576="","",'Supplier selection'!G576)</f>
        <v/>
      </c>
      <c r="H576" s="19" t="str">
        <f>IF('Supplier selection'!H576="","",'Supplier selection'!H576)</f>
        <v/>
      </c>
      <c r="I576" s="19" t="str">
        <f>IF('Supplier selection'!I576="","",'Supplier selection'!I576)</f>
        <v/>
      </c>
      <c r="J576" s="19" t="str">
        <f>IF('Supplier selection'!J576="","",'Supplier selection'!J576)</f>
        <v/>
      </c>
      <c r="K576" s="19" t="str">
        <f>IF('Supplier selection'!K576="","",'Supplier selection'!K576)</f>
        <v/>
      </c>
      <c r="L576" s="19" t="str">
        <f>IF('Supplier selection'!L576="","",'Supplier selection'!L576)</f>
        <v/>
      </c>
      <c r="M576" s="19" t="str">
        <f>IF('Supplier selection'!M576="","",'Supplier selection'!M576)</f>
        <v/>
      </c>
      <c r="N576" s="19" t="str">
        <f>IF('Supplier selection'!N576="","",'Supplier selection'!N576)</f>
        <v/>
      </c>
      <c r="O576" s="19" t="str">
        <f>IF('Supplier selection'!O576="","",'Supplier selection'!O576)</f>
        <v/>
      </c>
      <c r="Q576" s="19" t="str">
        <f>HLOOKUP($Q$3,'Supplier selection'!$AW$4:'Supplier selection'!$CT$1000,$A577,FALSE)</f>
        <v/>
      </c>
      <c r="R576" s="22" t="str">
        <f t="shared" si="88"/>
        <v/>
      </c>
      <c r="S576" s="19" t="str">
        <f t="shared" si="89"/>
        <v/>
      </c>
      <c r="T576" s="22" t="str">
        <f t="shared" si="90"/>
        <v/>
      </c>
      <c r="U576" s="19" t="str">
        <f t="shared" si="91"/>
        <v/>
      </c>
      <c r="V576" s="7"/>
      <c r="Y576" s="19" t="str">
        <f>IF('Supplier selection'!AQ576="","",'Supplier selection'!AQ576)</f>
        <v/>
      </c>
      <c r="Z576" s="19" t="str">
        <f>IF('Supplier selection'!AR576="","",'Supplier selection'!AR576)</f>
        <v/>
      </c>
      <c r="AA576" s="19" t="str">
        <f t="shared" si="92"/>
        <v/>
      </c>
      <c r="AD576" s="26" t="str">
        <f>IF(AND('Supplier selection'!X576="",'Supplier selection'!AE576=""),"",IF('Supplier selection'!X576="",'Supplier selection'!AE576,'Supplier selection'!X576))</f>
        <v/>
      </c>
      <c r="AE576" s="19" t="str">
        <f t="shared" si="93"/>
        <v/>
      </c>
      <c r="AF576" s="19" t="str">
        <f t="shared" si="94"/>
        <v/>
      </c>
      <c r="AG576" s="27" t="str">
        <f>IF(AND('Supplier selection'!AB576="",'Supplier selection'!AI576=""),"",IF('Supplier selection'!AB576="",'Supplier selection'!AI576,'Supplier selection'!AB576))</f>
        <v/>
      </c>
      <c r="AH576" s="28" t="str">
        <f t="shared" si="95"/>
        <v/>
      </c>
      <c r="AI576" s="7" t="str">
        <f t="shared" si="96"/>
        <v/>
      </c>
      <c r="AJ576" s="22" t="str">
        <f t="shared" si="97"/>
        <v/>
      </c>
      <c r="AK576" s="29" t="str">
        <f t="shared" si="98"/>
        <v/>
      </c>
      <c r="AL576" s="10"/>
    </row>
    <row r="577" spans="1:38">
      <c r="A577" s="19">
        <f>IF('Supplier selection'!A577="","",'Supplier selection'!A577)</f>
        <v>573</v>
      </c>
      <c r="B577" s="19" t="str">
        <f>IF('Supplier selection'!B577="","",'Supplier selection'!B577)</f>
        <v/>
      </c>
      <c r="C577" s="19" t="str">
        <f>IF('Supplier selection'!C577="","",'Supplier selection'!C577)</f>
        <v/>
      </c>
      <c r="D577" s="19" t="str">
        <f>IF('Supplier selection'!D577="","",'Supplier selection'!D577)</f>
        <v/>
      </c>
      <c r="E577" s="19" t="str">
        <f>IF('Supplier selection'!E577="","",'Supplier selection'!E577)</f>
        <v/>
      </c>
      <c r="F577" s="19" t="str">
        <f>IF('Supplier selection'!F577="","",'Supplier selection'!F577)</f>
        <v/>
      </c>
      <c r="G577" s="19" t="str">
        <f>IF('Supplier selection'!G577="","",'Supplier selection'!G577)</f>
        <v/>
      </c>
      <c r="H577" s="19" t="str">
        <f>IF('Supplier selection'!H577="","",'Supplier selection'!H577)</f>
        <v/>
      </c>
      <c r="I577" s="19" t="str">
        <f>IF('Supplier selection'!I577="","",'Supplier selection'!I577)</f>
        <v/>
      </c>
      <c r="J577" s="19" t="str">
        <f>IF('Supplier selection'!J577="","",'Supplier selection'!J577)</f>
        <v/>
      </c>
      <c r="K577" s="19" t="str">
        <f>IF('Supplier selection'!K577="","",'Supplier selection'!K577)</f>
        <v/>
      </c>
      <c r="L577" s="19" t="str">
        <f>IF('Supplier selection'!L577="","",'Supplier selection'!L577)</f>
        <v/>
      </c>
      <c r="M577" s="19" t="str">
        <f>IF('Supplier selection'!M577="","",'Supplier selection'!M577)</f>
        <v/>
      </c>
      <c r="N577" s="19" t="str">
        <f>IF('Supplier selection'!N577="","",'Supplier selection'!N577)</f>
        <v/>
      </c>
      <c r="O577" s="19" t="str">
        <f>IF('Supplier selection'!O577="","",'Supplier selection'!O577)</f>
        <v/>
      </c>
      <c r="Q577" s="19" t="str">
        <f>HLOOKUP($Q$3,'Supplier selection'!$AW$4:'Supplier selection'!$CT$1000,$A578,FALSE)</f>
        <v/>
      </c>
      <c r="R577" s="22" t="str">
        <f t="shared" si="88"/>
        <v/>
      </c>
      <c r="S577" s="19" t="str">
        <f t="shared" si="89"/>
        <v/>
      </c>
      <c r="T577" s="22" t="str">
        <f t="shared" si="90"/>
        <v/>
      </c>
      <c r="U577" s="19" t="str">
        <f t="shared" si="91"/>
        <v/>
      </c>
      <c r="V577" s="7"/>
      <c r="Y577" s="19" t="str">
        <f>IF('Supplier selection'!AQ577="","",'Supplier selection'!AQ577)</f>
        <v/>
      </c>
      <c r="Z577" s="19" t="str">
        <f>IF('Supplier selection'!AR577="","",'Supplier selection'!AR577)</f>
        <v/>
      </c>
      <c r="AA577" s="19" t="str">
        <f t="shared" si="92"/>
        <v/>
      </c>
      <c r="AD577" s="26" t="str">
        <f>IF(AND('Supplier selection'!X577="",'Supplier selection'!AE577=""),"",IF('Supplier selection'!X577="",'Supplier selection'!AE577,'Supplier selection'!X577))</f>
        <v/>
      </c>
      <c r="AE577" s="19" t="str">
        <f t="shared" si="93"/>
        <v/>
      </c>
      <c r="AF577" s="19" t="str">
        <f t="shared" si="94"/>
        <v/>
      </c>
      <c r="AG577" s="27" t="str">
        <f>IF(AND('Supplier selection'!AB577="",'Supplier selection'!AI577=""),"",IF('Supplier selection'!AB577="",'Supplier selection'!AI577,'Supplier selection'!AB577))</f>
        <v/>
      </c>
      <c r="AH577" s="28" t="str">
        <f t="shared" si="95"/>
        <v/>
      </c>
      <c r="AI577" s="7" t="str">
        <f t="shared" si="96"/>
        <v/>
      </c>
      <c r="AJ577" s="22" t="str">
        <f t="shared" si="97"/>
        <v/>
      </c>
      <c r="AK577" s="29" t="str">
        <f t="shared" si="98"/>
        <v/>
      </c>
      <c r="AL577" s="10"/>
    </row>
    <row r="578" spans="1:38">
      <c r="A578" s="19">
        <f>IF('Supplier selection'!A578="","",'Supplier selection'!A578)</f>
        <v>574</v>
      </c>
      <c r="B578" s="19" t="str">
        <f>IF('Supplier selection'!B578="","",'Supplier selection'!B578)</f>
        <v/>
      </c>
      <c r="C578" s="19" t="str">
        <f>IF('Supplier selection'!C578="","",'Supplier selection'!C578)</f>
        <v/>
      </c>
      <c r="D578" s="19" t="str">
        <f>IF('Supplier selection'!D578="","",'Supplier selection'!D578)</f>
        <v/>
      </c>
      <c r="E578" s="19" t="str">
        <f>IF('Supplier selection'!E578="","",'Supplier selection'!E578)</f>
        <v/>
      </c>
      <c r="F578" s="19" t="str">
        <f>IF('Supplier selection'!F578="","",'Supplier selection'!F578)</f>
        <v/>
      </c>
      <c r="G578" s="19" t="str">
        <f>IF('Supplier selection'!G578="","",'Supplier selection'!G578)</f>
        <v/>
      </c>
      <c r="H578" s="19" t="str">
        <f>IF('Supplier selection'!H578="","",'Supplier selection'!H578)</f>
        <v/>
      </c>
      <c r="I578" s="19" t="str">
        <f>IF('Supplier selection'!I578="","",'Supplier selection'!I578)</f>
        <v/>
      </c>
      <c r="J578" s="19" t="str">
        <f>IF('Supplier selection'!J578="","",'Supplier selection'!J578)</f>
        <v/>
      </c>
      <c r="K578" s="19" t="str">
        <f>IF('Supplier selection'!K578="","",'Supplier selection'!K578)</f>
        <v/>
      </c>
      <c r="L578" s="19" t="str">
        <f>IF('Supplier selection'!L578="","",'Supplier selection'!L578)</f>
        <v/>
      </c>
      <c r="M578" s="19" t="str">
        <f>IF('Supplier selection'!M578="","",'Supplier selection'!M578)</f>
        <v/>
      </c>
      <c r="N578" s="19" t="str">
        <f>IF('Supplier selection'!N578="","",'Supplier selection'!N578)</f>
        <v/>
      </c>
      <c r="O578" s="19" t="str">
        <f>IF('Supplier selection'!O578="","",'Supplier selection'!O578)</f>
        <v/>
      </c>
      <c r="Q578" s="19" t="str">
        <f>HLOOKUP($Q$3,'Supplier selection'!$AW$4:'Supplier selection'!$CT$1000,$A579,FALSE)</f>
        <v/>
      </c>
      <c r="R578" s="22" t="str">
        <f t="shared" si="88"/>
        <v/>
      </c>
      <c r="S578" s="19" t="str">
        <f t="shared" si="89"/>
        <v/>
      </c>
      <c r="T578" s="22" t="str">
        <f t="shared" si="90"/>
        <v/>
      </c>
      <c r="U578" s="19" t="str">
        <f t="shared" si="91"/>
        <v/>
      </c>
      <c r="V578" s="7"/>
      <c r="Y578" s="19" t="str">
        <f>IF('Supplier selection'!AQ578="","",'Supplier selection'!AQ578)</f>
        <v/>
      </c>
      <c r="Z578" s="19" t="str">
        <f>IF('Supplier selection'!AR578="","",'Supplier selection'!AR578)</f>
        <v/>
      </c>
      <c r="AA578" s="19" t="str">
        <f t="shared" si="92"/>
        <v/>
      </c>
      <c r="AD578" s="26" t="str">
        <f>IF(AND('Supplier selection'!X578="",'Supplier selection'!AE578=""),"",IF('Supplier selection'!X578="",'Supplier selection'!AE578,'Supplier selection'!X578))</f>
        <v/>
      </c>
      <c r="AE578" s="19" t="str">
        <f t="shared" si="93"/>
        <v/>
      </c>
      <c r="AF578" s="19" t="str">
        <f t="shared" si="94"/>
        <v/>
      </c>
      <c r="AG578" s="27" t="str">
        <f>IF(AND('Supplier selection'!AB578="",'Supplier selection'!AI578=""),"",IF('Supplier selection'!AB578="",'Supplier selection'!AI578,'Supplier selection'!AB578))</f>
        <v/>
      </c>
      <c r="AH578" s="28" t="str">
        <f t="shared" si="95"/>
        <v/>
      </c>
      <c r="AI578" s="7" t="str">
        <f t="shared" si="96"/>
        <v/>
      </c>
      <c r="AJ578" s="22" t="str">
        <f t="shared" si="97"/>
        <v/>
      </c>
      <c r="AK578" s="29" t="str">
        <f t="shared" si="98"/>
        <v/>
      </c>
      <c r="AL578" s="10"/>
    </row>
    <row r="579" spans="1:38">
      <c r="A579" s="19">
        <f>IF('Supplier selection'!A579="","",'Supplier selection'!A579)</f>
        <v>575</v>
      </c>
      <c r="B579" s="19" t="str">
        <f>IF('Supplier selection'!B579="","",'Supplier selection'!B579)</f>
        <v/>
      </c>
      <c r="C579" s="19" t="str">
        <f>IF('Supplier selection'!C579="","",'Supplier selection'!C579)</f>
        <v/>
      </c>
      <c r="D579" s="19" t="str">
        <f>IF('Supplier selection'!D579="","",'Supplier selection'!D579)</f>
        <v/>
      </c>
      <c r="E579" s="19" t="str">
        <f>IF('Supplier selection'!E579="","",'Supplier selection'!E579)</f>
        <v/>
      </c>
      <c r="F579" s="19" t="str">
        <f>IF('Supplier selection'!F579="","",'Supplier selection'!F579)</f>
        <v/>
      </c>
      <c r="G579" s="19" t="str">
        <f>IF('Supplier selection'!G579="","",'Supplier selection'!G579)</f>
        <v/>
      </c>
      <c r="H579" s="19" t="str">
        <f>IF('Supplier selection'!H579="","",'Supplier selection'!H579)</f>
        <v/>
      </c>
      <c r="I579" s="19" t="str">
        <f>IF('Supplier selection'!I579="","",'Supplier selection'!I579)</f>
        <v/>
      </c>
      <c r="J579" s="19" t="str">
        <f>IF('Supplier selection'!J579="","",'Supplier selection'!J579)</f>
        <v/>
      </c>
      <c r="K579" s="19" t="str">
        <f>IF('Supplier selection'!K579="","",'Supplier selection'!K579)</f>
        <v/>
      </c>
      <c r="L579" s="19" t="str">
        <f>IF('Supplier selection'!L579="","",'Supplier selection'!L579)</f>
        <v/>
      </c>
      <c r="M579" s="19" t="str">
        <f>IF('Supplier selection'!M579="","",'Supplier selection'!M579)</f>
        <v/>
      </c>
      <c r="N579" s="19" t="str">
        <f>IF('Supplier selection'!N579="","",'Supplier selection'!N579)</f>
        <v/>
      </c>
      <c r="O579" s="19" t="str">
        <f>IF('Supplier selection'!O579="","",'Supplier selection'!O579)</f>
        <v/>
      </c>
      <c r="Q579" s="19" t="str">
        <f>HLOOKUP($Q$3,'Supplier selection'!$AW$4:'Supplier selection'!$CT$1000,$A580,FALSE)</f>
        <v/>
      </c>
      <c r="R579" s="22" t="str">
        <f t="shared" si="88"/>
        <v/>
      </c>
      <c r="S579" s="19" t="str">
        <f t="shared" si="89"/>
        <v/>
      </c>
      <c r="T579" s="22" t="str">
        <f t="shared" si="90"/>
        <v/>
      </c>
      <c r="U579" s="19" t="str">
        <f t="shared" si="91"/>
        <v/>
      </c>
      <c r="V579" s="7"/>
      <c r="Y579" s="19" t="str">
        <f>IF('Supplier selection'!AQ579="","",'Supplier selection'!AQ579)</f>
        <v/>
      </c>
      <c r="Z579" s="19" t="str">
        <f>IF('Supplier selection'!AR579="","",'Supplier selection'!AR579)</f>
        <v/>
      </c>
      <c r="AA579" s="19" t="str">
        <f t="shared" si="92"/>
        <v/>
      </c>
      <c r="AD579" s="26" t="str">
        <f>IF(AND('Supplier selection'!X579="",'Supplier selection'!AE579=""),"",IF('Supplier selection'!X579="",'Supplier selection'!AE579,'Supplier selection'!X579))</f>
        <v/>
      </c>
      <c r="AE579" s="19" t="str">
        <f t="shared" si="93"/>
        <v/>
      </c>
      <c r="AF579" s="19" t="str">
        <f t="shared" si="94"/>
        <v/>
      </c>
      <c r="AG579" s="27" t="str">
        <f>IF(AND('Supplier selection'!AB579="",'Supplier selection'!AI579=""),"",IF('Supplier selection'!AB579="",'Supplier selection'!AI579,'Supplier selection'!AB579))</f>
        <v/>
      </c>
      <c r="AH579" s="28" t="str">
        <f t="shared" si="95"/>
        <v/>
      </c>
      <c r="AI579" s="7" t="str">
        <f t="shared" si="96"/>
        <v/>
      </c>
      <c r="AJ579" s="22" t="str">
        <f t="shared" si="97"/>
        <v/>
      </c>
      <c r="AK579" s="29" t="str">
        <f t="shared" si="98"/>
        <v/>
      </c>
      <c r="AL579" s="10"/>
    </row>
    <row r="580" spans="1:38">
      <c r="A580" s="19">
        <f>IF('Supplier selection'!A580="","",'Supplier selection'!A580)</f>
        <v>576</v>
      </c>
      <c r="B580" s="19" t="str">
        <f>IF('Supplier selection'!B580="","",'Supplier selection'!B580)</f>
        <v/>
      </c>
      <c r="C580" s="19" t="str">
        <f>IF('Supplier selection'!C580="","",'Supplier selection'!C580)</f>
        <v/>
      </c>
      <c r="D580" s="19" t="str">
        <f>IF('Supplier selection'!D580="","",'Supplier selection'!D580)</f>
        <v/>
      </c>
      <c r="E580" s="19" t="str">
        <f>IF('Supplier selection'!E580="","",'Supplier selection'!E580)</f>
        <v/>
      </c>
      <c r="F580" s="19" t="str">
        <f>IF('Supplier selection'!F580="","",'Supplier selection'!F580)</f>
        <v/>
      </c>
      <c r="G580" s="19" t="str">
        <f>IF('Supplier selection'!G580="","",'Supplier selection'!G580)</f>
        <v/>
      </c>
      <c r="H580" s="19" t="str">
        <f>IF('Supplier selection'!H580="","",'Supplier selection'!H580)</f>
        <v/>
      </c>
      <c r="I580" s="19" t="str">
        <f>IF('Supplier selection'!I580="","",'Supplier selection'!I580)</f>
        <v/>
      </c>
      <c r="J580" s="19" t="str">
        <f>IF('Supplier selection'!J580="","",'Supplier selection'!J580)</f>
        <v/>
      </c>
      <c r="K580" s="19" t="str">
        <f>IF('Supplier selection'!K580="","",'Supplier selection'!K580)</f>
        <v/>
      </c>
      <c r="L580" s="19" t="str">
        <f>IF('Supplier selection'!L580="","",'Supplier selection'!L580)</f>
        <v/>
      </c>
      <c r="M580" s="19" t="str">
        <f>IF('Supplier selection'!M580="","",'Supplier selection'!M580)</f>
        <v/>
      </c>
      <c r="N580" s="19" t="str">
        <f>IF('Supplier selection'!N580="","",'Supplier selection'!N580)</f>
        <v/>
      </c>
      <c r="O580" s="19" t="str">
        <f>IF('Supplier selection'!O580="","",'Supplier selection'!O580)</f>
        <v/>
      </c>
      <c r="Q580" s="19" t="str">
        <f>HLOOKUP($Q$3,'Supplier selection'!$AW$4:'Supplier selection'!$CT$1000,$A581,FALSE)</f>
        <v/>
      </c>
      <c r="R580" s="22" t="str">
        <f t="shared" si="88"/>
        <v/>
      </c>
      <c r="S580" s="19" t="str">
        <f t="shared" si="89"/>
        <v/>
      </c>
      <c r="T580" s="22" t="str">
        <f t="shared" si="90"/>
        <v/>
      </c>
      <c r="U580" s="19" t="str">
        <f t="shared" si="91"/>
        <v/>
      </c>
      <c r="V580" s="7"/>
      <c r="Y580" s="19" t="str">
        <f>IF('Supplier selection'!AQ580="","",'Supplier selection'!AQ580)</f>
        <v/>
      </c>
      <c r="Z580" s="19" t="str">
        <f>IF('Supplier selection'!AR580="","",'Supplier selection'!AR580)</f>
        <v/>
      </c>
      <c r="AA580" s="19" t="str">
        <f t="shared" si="92"/>
        <v/>
      </c>
      <c r="AD580" s="26" t="str">
        <f>IF(AND('Supplier selection'!X580="",'Supplier selection'!AE580=""),"",IF('Supplier selection'!X580="",'Supplier selection'!AE580,'Supplier selection'!X580))</f>
        <v/>
      </c>
      <c r="AE580" s="19" t="str">
        <f t="shared" si="93"/>
        <v/>
      </c>
      <c r="AF580" s="19" t="str">
        <f t="shared" si="94"/>
        <v/>
      </c>
      <c r="AG580" s="27" t="str">
        <f>IF(AND('Supplier selection'!AB580="",'Supplier selection'!AI580=""),"",IF('Supplier selection'!AB580="",'Supplier selection'!AI580,'Supplier selection'!AB580))</f>
        <v/>
      </c>
      <c r="AH580" s="28" t="str">
        <f t="shared" si="95"/>
        <v/>
      </c>
      <c r="AI580" s="7" t="str">
        <f t="shared" si="96"/>
        <v/>
      </c>
      <c r="AJ580" s="22" t="str">
        <f t="shared" si="97"/>
        <v/>
      </c>
      <c r="AK580" s="29" t="str">
        <f t="shared" si="98"/>
        <v/>
      </c>
      <c r="AL580" s="10"/>
    </row>
    <row r="581" spans="1:38">
      <c r="A581" s="19">
        <f>IF('Supplier selection'!A581="","",'Supplier selection'!A581)</f>
        <v>577</v>
      </c>
      <c r="B581" s="19" t="str">
        <f>IF('Supplier selection'!B581="","",'Supplier selection'!B581)</f>
        <v/>
      </c>
      <c r="C581" s="19" t="str">
        <f>IF('Supplier selection'!C581="","",'Supplier selection'!C581)</f>
        <v/>
      </c>
      <c r="D581" s="19" t="str">
        <f>IF('Supplier selection'!D581="","",'Supplier selection'!D581)</f>
        <v/>
      </c>
      <c r="E581" s="19" t="str">
        <f>IF('Supplier selection'!E581="","",'Supplier selection'!E581)</f>
        <v/>
      </c>
      <c r="F581" s="19" t="str">
        <f>IF('Supplier selection'!F581="","",'Supplier selection'!F581)</f>
        <v/>
      </c>
      <c r="G581" s="19" t="str">
        <f>IF('Supplier selection'!G581="","",'Supplier selection'!G581)</f>
        <v/>
      </c>
      <c r="H581" s="19" t="str">
        <f>IF('Supplier selection'!H581="","",'Supplier selection'!H581)</f>
        <v/>
      </c>
      <c r="I581" s="19" t="str">
        <f>IF('Supplier selection'!I581="","",'Supplier selection'!I581)</f>
        <v/>
      </c>
      <c r="J581" s="19" t="str">
        <f>IF('Supplier selection'!J581="","",'Supplier selection'!J581)</f>
        <v/>
      </c>
      <c r="K581" s="19" t="str">
        <f>IF('Supplier selection'!K581="","",'Supplier selection'!K581)</f>
        <v/>
      </c>
      <c r="L581" s="19" t="str">
        <f>IF('Supplier selection'!L581="","",'Supplier selection'!L581)</f>
        <v/>
      </c>
      <c r="M581" s="19" t="str">
        <f>IF('Supplier selection'!M581="","",'Supplier selection'!M581)</f>
        <v/>
      </c>
      <c r="N581" s="19" t="str">
        <f>IF('Supplier selection'!N581="","",'Supplier selection'!N581)</f>
        <v/>
      </c>
      <c r="O581" s="19" t="str">
        <f>IF('Supplier selection'!O581="","",'Supplier selection'!O581)</f>
        <v/>
      </c>
      <c r="Q581" s="19" t="str">
        <f>HLOOKUP($Q$3,'Supplier selection'!$AW$4:'Supplier selection'!$CT$1000,$A582,FALSE)</f>
        <v/>
      </c>
      <c r="R581" s="22" t="str">
        <f t="shared" si="88"/>
        <v/>
      </c>
      <c r="S581" s="19" t="str">
        <f t="shared" si="89"/>
        <v/>
      </c>
      <c r="T581" s="22" t="str">
        <f t="shared" si="90"/>
        <v/>
      </c>
      <c r="U581" s="19" t="str">
        <f t="shared" si="91"/>
        <v/>
      </c>
      <c r="V581" s="7"/>
      <c r="Y581" s="19" t="str">
        <f>IF('Supplier selection'!AQ581="","",'Supplier selection'!AQ581)</f>
        <v/>
      </c>
      <c r="Z581" s="19" t="str">
        <f>IF('Supplier selection'!AR581="","",'Supplier selection'!AR581)</f>
        <v/>
      </c>
      <c r="AA581" s="19" t="str">
        <f t="shared" si="92"/>
        <v/>
      </c>
      <c r="AD581" s="26" t="str">
        <f>IF(AND('Supplier selection'!X581="",'Supplier selection'!AE581=""),"",IF('Supplier selection'!X581="",'Supplier selection'!AE581,'Supplier selection'!X581))</f>
        <v/>
      </c>
      <c r="AE581" s="19" t="str">
        <f t="shared" si="93"/>
        <v/>
      </c>
      <c r="AF581" s="19" t="str">
        <f t="shared" si="94"/>
        <v/>
      </c>
      <c r="AG581" s="27" t="str">
        <f>IF(AND('Supplier selection'!AB581="",'Supplier selection'!AI581=""),"",IF('Supplier selection'!AB581="",'Supplier selection'!AI581,'Supplier selection'!AB581))</f>
        <v/>
      </c>
      <c r="AH581" s="28" t="str">
        <f t="shared" si="95"/>
        <v/>
      </c>
      <c r="AI581" s="7" t="str">
        <f t="shared" si="96"/>
        <v/>
      </c>
      <c r="AJ581" s="22" t="str">
        <f t="shared" si="97"/>
        <v/>
      </c>
      <c r="AK581" s="29" t="str">
        <f t="shared" si="98"/>
        <v/>
      </c>
      <c r="AL581" s="10"/>
    </row>
    <row r="582" spans="1:38">
      <c r="A582" s="19">
        <f>IF('Supplier selection'!A582="","",'Supplier selection'!A582)</f>
        <v>578</v>
      </c>
      <c r="B582" s="19" t="str">
        <f>IF('Supplier selection'!B582="","",'Supplier selection'!B582)</f>
        <v/>
      </c>
      <c r="C582" s="19" t="str">
        <f>IF('Supplier selection'!C582="","",'Supplier selection'!C582)</f>
        <v/>
      </c>
      <c r="D582" s="19" t="str">
        <f>IF('Supplier selection'!D582="","",'Supplier selection'!D582)</f>
        <v/>
      </c>
      <c r="E582" s="19" t="str">
        <f>IF('Supplier selection'!E582="","",'Supplier selection'!E582)</f>
        <v/>
      </c>
      <c r="F582" s="19" t="str">
        <f>IF('Supplier selection'!F582="","",'Supplier selection'!F582)</f>
        <v/>
      </c>
      <c r="G582" s="19" t="str">
        <f>IF('Supplier selection'!G582="","",'Supplier selection'!G582)</f>
        <v/>
      </c>
      <c r="H582" s="19" t="str">
        <f>IF('Supplier selection'!H582="","",'Supplier selection'!H582)</f>
        <v/>
      </c>
      <c r="I582" s="19" t="str">
        <f>IF('Supplier selection'!I582="","",'Supplier selection'!I582)</f>
        <v/>
      </c>
      <c r="J582" s="19" t="str">
        <f>IF('Supplier selection'!J582="","",'Supplier selection'!J582)</f>
        <v/>
      </c>
      <c r="K582" s="19" t="str">
        <f>IF('Supplier selection'!K582="","",'Supplier selection'!K582)</f>
        <v/>
      </c>
      <c r="L582" s="19" t="str">
        <f>IF('Supplier selection'!L582="","",'Supplier selection'!L582)</f>
        <v/>
      </c>
      <c r="M582" s="19" t="str">
        <f>IF('Supplier selection'!M582="","",'Supplier selection'!M582)</f>
        <v/>
      </c>
      <c r="N582" s="19" t="str">
        <f>IF('Supplier selection'!N582="","",'Supplier selection'!N582)</f>
        <v/>
      </c>
      <c r="O582" s="19" t="str">
        <f>IF('Supplier selection'!O582="","",'Supplier selection'!O582)</f>
        <v/>
      </c>
      <c r="Q582" s="19" t="str">
        <f>HLOOKUP($Q$3,'Supplier selection'!$AW$4:'Supplier selection'!$CT$1000,$A583,FALSE)</f>
        <v/>
      </c>
      <c r="R582" s="22" t="str">
        <f t="shared" ref="R582:R645" si="99">IF(OR(Q582="",O582=""),"",(Q582-O582)/O582)</f>
        <v/>
      </c>
      <c r="S582" s="19" t="str">
        <f t="shared" ref="S582:S645" si="100">IF(OR(H582="",O582="",Q582=""),"",(Q582*H582)-(H582*O582))</f>
        <v/>
      </c>
      <c r="T582" s="22" t="str">
        <f t="shared" ref="T582:T645" si="101">IF(OR(Y582="",Q582=""),"",(Q582-Y582)/Y582)</f>
        <v/>
      </c>
      <c r="U582" s="19" t="str">
        <f t="shared" ref="U582:U645" si="102">IF(OR(Y582="",Q582="",H582=""),"",(Q582*H582)-(Y582*H582))</f>
        <v/>
      </c>
      <c r="V582" s="7"/>
      <c r="Y582" s="19" t="str">
        <f>IF('Supplier selection'!AQ582="","",'Supplier selection'!AQ582)</f>
        <v/>
      </c>
      <c r="Z582" s="19" t="str">
        <f>IF('Supplier selection'!AR582="","",'Supplier selection'!AR582)</f>
        <v/>
      </c>
      <c r="AA582" s="19" t="str">
        <f t="shared" ref="AA582:AA645" si="103">IF(OR(Y582="",O582="",H582=""),"",((H582*Y582)-(H582*O582)))</f>
        <v/>
      </c>
      <c r="AD582" s="26" t="str">
        <f>IF(AND('Supplier selection'!X582="",'Supplier selection'!AE582=""),"",IF('Supplier selection'!X582="",'Supplier selection'!AE582,'Supplier selection'!X582))</f>
        <v/>
      </c>
      <c r="AE582" s="19" t="str">
        <f t="shared" ref="AE582:AE645" si="104">IF(AD582="","",J582)</f>
        <v/>
      </c>
      <c r="AF582" s="19" t="str">
        <f t="shared" ref="AF582:AF645" si="105">IF(AD582="","",L582)</f>
        <v/>
      </c>
      <c r="AG582" s="27" t="str">
        <f>IF(AND('Supplier selection'!AB582="",'Supplier selection'!AI582=""),"",IF('Supplier selection'!AB582="",'Supplier selection'!AI582,'Supplier selection'!AB582))</f>
        <v/>
      </c>
      <c r="AH582" s="28" t="str">
        <f t="shared" ref="AH582:AH645" si="106">IF(OR(AG582="",O582=""),"",(AG582-O582)/O582)</f>
        <v/>
      </c>
      <c r="AI582" s="7" t="str">
        <f t="shared" ref="AI582:AI645" si="107">IF(OR(H582="",O582="",AG582=""),"",(AG582*H582)-(H582*O582))</f>
        <v/>
      </c>
      <c r="AJ582" s="22" t="str">
        <f t="shared" ref="AJ582:AJ645" si="108">IF(OR(AG582="",Y582=""),"",(AG582-Y582)/Y582)</f>
        <v/>
      </c>
      <c r="AK582" s="29" t="str">
        <f t="shared" ref="AK582:AK645" si="109">IF(OR(H582="",Y582="",AG582=""),"",(AG582*H582)-(H582*Y582))</f>
        <v/>
      </c>
      <c r="AL582" s="10"/>
    </row>
    <row r="583" spans="1:38">
      <c r="A583" s="19">
        <f>IF('Supplier selection'!A583="","",'Supplier selection'!A583)</f>
        <v>579</v>
      </c>
      <c r="B583" s="19" t="str">
        <f>IF('Supplier selection'!B583="","",'Supplier selection'!B583)</f>
        <v/>
      </c>
      <c r="C583" s="19" t="str">
        <f>IF('Supplier selection'!C583="","",'Supplier selection'!C583)</f>
        <v/>
      </c>
      <c r="D583" s="19" t="str">
        <f>IF('Supplier selection'!D583="","",'Supplier selection'!D583)</f>
        <v/>
      </c>
      <c r="E583" s="19" t="str">
        <f>IF('Supplier selection'!E583="","",'Supplier selection'!E583)</f>
        <v/>
      </c>
      <c r="F583" s="19" t="str">
        <f>IF('Supplier selection'!F583="","",'Supplier selection'!F583)</f>
        <v/>
      </c>
      <c r="G583" s="19" t="str">
        <f>IF('Supplier selection'!G583="","",'Supplier selection'!G583)</f>
        <v/>
      </c>
      <c r="H583" s="19" t="str">
        <f>IF('Supplier selection'!H583="","",'Supplier selection'!H583)</f>
        <v/>
      </c>
      <c r="I583" s="19" t="str">
        <f>IF('Supplier selection'!I583="","",'Supplier selection'!I583)</f>
        <v/>
      </c>
      <c r="J583" s="19" t="str">
        <f>IF('Supplier selection'!J583="","",'Supplier selection'!J583)</f>
        <v/>
      </c>
      <c r="K583" s="19" t="str">
        <f>IF('Supplier selection'!K583="","",'Supplier selection'!K583)</f>
        <v/>
      </c>
      <c r="L583" s="19" t="str">
        <f>IF('Supplier selection'!L583="","",'Supplier selection'!L583)</f>
        <v/>
      </c>
      <c r="M583" s="19" t="str">
        <f>IF('Supplier selection'!M583="","",'Supplier selection'!M583)</f>
        <v/>
      </c>
      <c r="N583" s="19" t="str">
        <f>IF('Supplier selection'!N583="","",'Supplier selection'!N583)</f>
        <v/>
      </c>
      <c r="O583" s="19" t="str">
        <f>IF('Supplier selection'!O583="","",'Supplier selection'!O583)</f>
        <v/>
      </c>
      <c r="Q583" s="19" t="str">
        <f>HLOOKUP($Q$3,'Supplier selection'!$AW$4:'Supplier selection'!$CT$1000,$A584,FALSE)</f>
        <v/>
      </c>
      <c r="R583" s="22" t="str">
        <f t="shared" si="99"/>
        <v/>
      </c>
      <c r="S583" s="19" t="str">
        <f t="shared" si="100"/>
        <v/>
      </c>
      <c r="T583" s="22" t="str">
        <f t="shared" si="101"/>
        <v/>
      </c>
      <c r="U583" s="19" t="str">
        <f t="shared" si="102"/>
        <v/>
      </c>
      <c r="V583" s="7"/>
      <c r="Y583" s="19" t="str">
        <f>IF('Supplier selection'!AQ583="","",'Supplier selection'!AQ583)</f>
        <v/>
      </c>
      <c r="Z583" s="19" t="str">
        <f>IF('Supplier selection'!AR583="","",'Supplier selection'!AR583)</f>
        <v/>
      </c>
      <c r="AA583" s="19" t="str">
        <f t="shared" si="103"/>
        <v/>
      </c>
      <c r="AD583" s="26" t="str">
        <f>IF(AND('Supplier selection'!X583="",'Supplier selection'!AE583=""),"",IF('Supplier selection'!X583="",'Supplier selection'!AE583,'Supplier selection'!X583))</f>
        <v/>
      </c>
      <c r="AE583" s="19" t="str">
        <f t="shared" si="104"/>
        <v/>
      </c>
      <c r="AF583" s="19" t="str">
        <f t="shared" si="105"/>
        <v/>
      </c>
      <c r="AG583" s="27" t="str">
        <f>IF(AND('Supplier selection'!AB583="",'Supplier selection'!AI583=""),"",IF('Supplier selection'!AB583="",'Supplier selection'!AI583,'Supplier selection'!AB583))</f>
        <v/>
      </c>
      <c r="AH583" s="28" t="str">
        <f t="shared" si="106"/>
        <v/>
      </c>
      <c r="AI583" s="7" t="str">
        <f t="shared" si="107"/>
        <v/>
      </c>
      <c r="AJ583" s="22" t="str">
        <f t="shared" si="108"/>
        <v/>
      </c>
      <c r="AK583" s="29" t="str">
        <f t="shared" si="109"/>
        <v/>
      </c>
      <c r="AL583" s="10"/>
    </row>
    <row r="584" spans="1:38">
      <c r="A584" s="19">
        <f>IF('Supplier selection'!A584="","",'Supplier selection'!A584)</f>
        <v>580</v>
      </c>
      <c r="B584" s="19" t="str">
        <f>IF('Supplier selection'!B584="","",'Supplier selection'!B584)</f>
        <v/>
      </c>
      <c r="C584" s="19" t="str">
        <f>IF('Supplier selection'!C584="","",'Supplier selection'!C584)</f>
        <v/>
      </c>
      <c r="D584" s="19" t="str">
        <f>IF('Supplier selection'!D584="","",'Supplier selection'!D584)</f>
        <v/>
      </c>
      <c r="E584" s="19" t="str">
        <f>IF('Supplier selection'!E584="","",'Supplier selection'!E584)</f>
        <v/>
      </c>
      <c r="F584" s="19" t="str">
        <f>IF('Supplier selection'!F584="","",'Supplier selection'!F584)</f>
        <v/>
      </c>
      <c r="G584" s="19" t="str">
        <f>IF('Supplier selection'!G584="","",'Supplier selection'!G584)</f>
        <v/>
      </c>
      <c r="H584" s="19" t="str">
        <f>IF('Supplier selection'!H584="","",'Supplier selection'!H584)</f>
        <v/>
      </c>
      <c r="I584" s="19" t="str">
        <f>IF('Supplier selection'!I584="","",'Supplier selection'!I584)</f>
        <v/>
      </c>
      <c r="J584" s="19" t="str">
        <f>IF('Supplier selection'!J584="","",'Supplier selection'!J584)</f>
        <v/>
      </c>
      <c r="K584" s="19" t="str">
        <f>IF('Supplier selection'!K584="","",'Supplier selection'!K584)</f>
        <v/>
      </c>
      <c r="L584" s="19" t="str">
        <f>IF('Supplier selection'!L584="","",'Supplier selection'!L584)</f>
        <v/>
      </c>
      <c r="M584" s="19" t="str">
        <f>IF('Supplier selection'!M584="","",'Supplier selection'!M584)</f>
        <v/>
      </c>
      <c r="N584" s="19" t="str">
        <f>IF('Supplier selection'!N584="","",'Supplier selection'!N584)</f>
        <v/>
      </c>
      <c r="O584" s="19" t="str">
        <f>IF('Supplier selection'!O584="","",'Supplier selection'!O584)</f>
        <v/>
      </c>
      <c r="Q584" s="19" t="str">
        <f>HLOOKUP($Q$3,'Supplier selection'!$AW$4:'Supplier selection'!$CT$1000,$A585,FALSE)</f>
        <v/>
      </c>
      <c r="R584" s="22" t="str">
        <f t="shared" si="99"/>
        <v/>
      </c>
      <c r="S584" s="19" t="str">
        <f t="shared" si="100"/>
        <v/>
      </c>
      <c r="T584" s="22" t="str">
        <f t="shared" si="101"/>
        <v/>
      </c>
      <c r="U584" s="19" t="str">
        <f t="shared" si="102"/>
        <v/>
      </c>
      <c r="V584" s="7"/>
      <c r="Y584" s="19" t="str">
        <f>IF('Supplier selection'!AQ584="","",'Supplier selection'!AQ584)</f>
        <v/>
      </c>
      <c r="Z584" s="19" t="str">
        <f>IF('Supplier selection'!AR584="","",'Supplier selection'!AR584)</f>
        <v/>
      </c>
      <c r="AA584" s="19" t="str">
        <f t="shared" si="103"/>
        <v/>
      </c>
      <c r="AD584" s="26" t="str">
        <f>IF(AND('Supplier selection'!X584="",'Supplier selection'!AE584=""),"",IF('Supplier selection'!X584="",'Supplier selection'!AE584,'Supplier selection'!X584))</f>
        <v/>
      </c>
      <c r="AE584" s="19" t="str">
        <f t="shared" si="104"/>
        <v/>
      </c>
      <c r="AF584" s="19" t="str">
        <f t="shared" si="105"/>
        <v/>
      </c>
      <c r="AG584" s="27" t="str">
        <f>IF(AND('Supplier selection'!AB584="",'Supplier selection'!AI584=""),"",IF('Supplier selection'!AB584="",'Supplier selection'!AI584,'Supplier selection'!AB584))</f>
        <v/>
      </c>
      <c r="AH584" s="28" t="str">
        <f t="shared" si="106"/>
        <v/>
      </c>
      <c r="AI584" s="7" t="str">
        <f t="shared" si="107"/>
        <v/>
      </c>
      <c r="AJ584" s="22" t="str">
        <f t="shared" si="108"/>
        <v/>
      </c>
      <c r="AK584" s="29" t="str">
        <f t="shared" si="109"/>
        <v/>
      </c>
      <c r="AL584" s="10"/>
    </row>
    <row r="585" spans="1:38">
      <c r="A585" s="19">
        <f>IF('Supplier selection'!A585="","",'Supplier selection'!A585)</f>
        <v>581</v>
      </c>
      <c r="B585" s="19" t="str">
        <f>IF('Supplier selection'!B585="","",'Supplier selection'!B585)</f>
        <v/>
      </c>
      <c r="C585" s="19" t="str">
        <f>IF('Supplier selection'!C585="","",'Supplier selection'!C585)</f>
        <v/>
      </c>
      <c r="D585" s="19" t="str">
        <f>IF('Supplier selection'!D585="","",'Supplier selection'!D585)</f>
        <v/>
      </c>
      <c r="E585" s="19" t="str">
        <f>IF('Supplier selection'!E585="","",'Supplier selection'!E585)</f>
        <v/>
      </c>
      <c r="F585" s="19" t="str">
        <f>IF('Supplier selection'!F585="","",'Supplier selection'!F585)</f>
        <v/>
      </c>
      <c r="G585" s="19" t="str">
        <f>IF('Supplier selection'!G585="","",'Supplier selection'!G585)</f>
        <v/>
      </c>
      <c r="H585" s="19" t="str">
        <f>IF('Supplier selection'!H585="","",'Supplier selection'!H585)</f>
        <v/>
      </c>
      <c r="I585" s="19" t="str">
        <f>IF('Supplier selection'!I585="","",'Supplier selection'!I585)</f>
        <v/>
      </c>
      <c r="J585" s="19" t="str">
        <f>IF('Supplier selection'!J585="","",'Supplier selection'!J585)</f>
        <v/>
      </c>
      <c r="K585" s="19" t="str">
        <f>IF('Supplier selection'!K585="","",'Supplier selection'!K585)</f>
        <v/>
      </c>
      <c r="L585" s="19" t="str">
        <f>IF('Supplier selection'!L585="","",'Supplier selection'!L585)</f>
        <v/>
      </c>
      <c r="M585" s="19" t="str">
        <f>IF('Supplier selection'!M585="","",'Supplier selection'!M585)</f>
        <v/>
      </c>
      <c r="N585" s="19" t="str">
        <f>IF('Supplier selection'!N585="","",'Supplier selection'!N585)</f>
        <v/>
      </c>
      <c r="O585" s="19" t="str">
        <f>IF('Supplier selection'!O585="","",'Supplier selection'!O585)</f>
        <v/>
      </c>
      <c r="Q585" s="19" t="str">
        <f>HLOOKUP($Q$3,'Supplier selection'!$AW$4:'Supplier selection'!$CT$1000,$A586,FALSE)</f>
        <v/>
      </c>
      <c r="R585" s="22" t="str">
        <f t="shared" si="99"/>
        <v/>
      </c>
      <c r="S585" s="19" t="str">
        <f t="shared" si="100"/>
        <v/>
      </c>
      <c r="T585" s="22" t="str">
        <f t="shared" si="101"/>
        <v/>
      </c>
      <c r="U585" s="19" t="str">
        <f t="shared" si="102"/>
        <v/>
      </c>
      <c r="V585" s="7"/>
      <c r="Y585" s="19" t="str">
        <f>IF('Supplier selection'!AQ585="","",'Supplier selection'!AQ585)</f>
        <v/>
      </c>
      <c r="Z585" s="19" t="str">
        <f>IF('Supplier selection'!AR585="","",'Supplier selection'!AR585)</f>
        <v/>
      </c>
      <c r="AA585" s="19" t="str">
        <f t="shared" si="103"/>
        <v/>
      </c>
      <c r="AD585" s="26" t="str">
        <f>IF(AND('Supplier selection'!X585="",'Supplier selection'!AE585=""),"",IF('Supplier selection'!X585="",'Supplier selection'!AE585,'Supplier selection'!X585))</f>
        <v/>
      </c>
      <c r="AE585" s="19" t="str">
        <f t="shared" si="104"/>
        <v/>
      </c>
      <c r="AF585" s="19" t="str">
        <f t="shared" si="105"/>
        <v/>
      </c>
      <c r="AG585" s="27" t="str">
        <f>IF(AND('Supplier selection'!AB585="",'Supplier selection'!AI585=""),"",IF('Supplier selection'!AB585="",'Supplier selection'!AI585,'Supplier selection'!AB585))</f>
        <v/>
      </c>
      <c r="AH585" s="28" t="str">
        <f t="shared" si="106"/>
        <v/>
      </c>
      <c r="AI585" s="7" t="str">
        <f t="shared" si="107"/>
        <v/>
      </c>
      <c r="AJ585" s="22" t="str">
        <f t="shared" si="108"/>
        <v/>
      </c>
      <c r="AK585" s="29" t="str">
        <f t="shared" si="109"/>
        <v/>
      </c>
      <c r="AL585" s="10"/>
    </row>
    <row r="586" spans="1:38">
      <c r="A586" s="19">
        <f>IF('Supplier selection'!A586="","",'Supplier selection'!A586)</f>
        <v>582</v>
      </c>
      <c r="B586" s="19" t="str">
        <f>IF('Supplier selection'!B586="","",'Supplier selection'!B586)</f>
        <v/>
      </c>
      <c r="C586" s="19" t="str">
        <f>IF('Supplier selection'!C586="","",'Supplier selection'!C586)</f>
        <v/>
      </c>
      <c r="D586" s="19" t="str">
        <f>IF('Supplier selection'!D586="","",'Supplier selection'!D586)</f>
        <v/>
      </c>
      <c r="E586" s="19" t="str">
        <f>IF('Supplier selection'!E586="","",'Supplier selection'!E586)</f>
        <v/>
      </c>
      <c r="F586" s="19" t="str">
        <f>IF('Supplier selection'!F586="","",'Supplier selection'!F586)</f>
        <v/>
      </c>
      <c r="G586" s="19" t="str">
        <f>IF('Supplier selection'!G586="","",'Supplier selection'!G586)</f>
        <v/>
      </c>
      <c r="H586" s="19" t="str">
        <f>IF('Supplier selection'!H586="","",'Supplier selection'!H586)</f>
        <v/>
      </c>
      <c r="I586" s="19" t="str">
        <f>IF('Supplier selection'!I586="","",'Supplier selection'!I586)</f>
        <v/>
      </c>
      <c r="J586" s="19" t="str">
        <f>IF('Supplier selection'!J586="","",'Supplier selection'!J586)</f>
        <v/>
      </c>
      <c r="K586" s="19" t="str">
        <f>IF('Supplier selection'!K586="","",'Supplier selection'!K586)</f>
        <v/>
      </c>
      <c r="L586" s="19" t="str">
        <f>IF('Supplier selection'!L586="","",'Supplier selection'!L586)</f>
        <v/>
      </c>
      <c r="M586" s="19" t="str">
        <f>IF('Supplier selection'!M586="","",'Supplier selection'!M586)</f>
        <v/>
      </c>
      <c r="N586" s="19" t="str">
        <f>IF('Supplier selection'!N586="","",'Supplier selection'!N586)</f>
        <v/>
      </c>
      <c r="O586" s="19" t="str">
        <f>IF('Supplier selection'!O586="","",'Supplier selection'!O586)</f>
        <v/>
      </c>
      <c r="Q586" s="19" t="str">
        <f>HLOOKUP($Q$3,'Supplier selection'!$AW$4:'Supplier selection'!$CT$1000,$A587,FALSE)</f>
        <v/>
      </c>
      <c r="R586" s="22" t="str">
        <f t="shared" si="99"/>
        <v/>
      </c>
      <c r="S586" s="19" t="str">
        <f t="shared" si="100"/>
        <v/>
      </c>
      <c r="T586" s="22" t="str">
        <f t="shared" si="101"/>
        <v/>
      </c>
      <c r="U586" s="19" t="str">
        <f t="shared" si="102"/>
        <v/>
      </c>
      <c r="V586" s="7"/>
      <c r="Y586" s="19" t="str">
        <f>IF('Supplier selection'!AQ586="","",'Supplier selection'!AQ586)</f>
        <v/>
      </c>
      <c r="Z586" s="19" t="str">
        <f>IF('Supplier selection'!AR586="","",'Supplier selection'!AR586)</f>
        <v/>
      </c>
      <c r="AA586" s="19" t="str">
        <f t="shared" si="103"/>
        <v/>
      </c>
      <c r="AD586" s="26" t="str">
        <f>IF(AND('Supplier selection'!X586="",'Supplier selection'!AE586=""),"",IF('Supplier selection'!X586="",'Supplier selection'!AE586,'Supplier selection'!X586))</f>
        <v/>
      </c>
      <c r="AE586" s="19" t="str">
        <f t="shared" si="104"/>
        <v/>
      </c>
      <c r="AF586" s="19" t="str">
        <f t="shared" si="105"/>
        <v/>
      </c>
      <c r="AG586" s="27" t="str">
        <f>IF(AND('Supplier selection'!AB586="",'Supplier selection'!AI586=""),"",IF('Supplier selection'!AB586="",'Supplier selection'!AI586,'Supplier selection'!AB586))</f>
        <v/>
      </c>
      <c r="AH586" s="28" t="str">
        <f t="shared" si="106"/>
        <v/>
      </c>
      <c r="AI586" s="7" t="str">
        <f t="shared" si="107"/>
        <v/>
      </c>
      <c r="AJ586" s="22" t="str">
        <f t="shared" si="108"/>
        <v/>
      </c>
      <c r="AK586" s="29" t="str">
        <f t="shared" si="109"/>
        <v/>
      </c>
      <c r="AL586" s="10"/>
    </row>
    <row r="587" spans="1:38">
      <c r="A587" s="19">
        <f>IF('Supplier selection'!A587="","",'Supplier selection'!A587)</f>
        <v>583</v>
      </c>
      <c r="B587" s="19" t="str">
        <f>IF('Supplier selection'!B587="","",'Supplier selection'!B587)</f>
        <v/>
      </c>
      <c r="C587" s="19" t="str">
        <f>IF('Supplier selection'!C587="","",'Supplier selection'!C587)</f>
        <v/>
      </c>
      <c r="D587" s="19" t="str">
        <f>IF('Supplier selection'!D587="","",'Supplier selection'!D587)</f>
        <v/>
      </c>
      <c r="E587" s="19" t="str">
        <f>IF('Supplier selection'!E587="","",'Supplier selection'!E587)</f>
        <v/>
      </c>
      <c r="F587" s="19" t="str">
        <f>IF('Supplier selection'!F587="","",'Supplier selection'!F587)</f>
        <v/>
      </c>
      <c r="G587" s="19" t="str">
        <f>IF('Supplier selection'!G587="","",'Supplier selection'!G587)</f>
        <v/>
      </c>
      <c r="H587" s="19" t="str">
        <f>IF('Supplier selection'!H587="","",'Supplier selection'!H587)</f>
        <v/>
      </c>
      <c r="I587" s="19" t="str">
        <f>IF('Supplier selection'!I587="","",'Supplier selection'!I587)</f>
        <v/>
      </c>
      <c r="J587" s="19" t="str">
        <f>IF('Supplier selection'!J587="","",'Supplier selection'!J587)</f>
        <v/>
      </c>
      <c r="K587" s="19" t="str">
        <f>IF('Supplier selection'!K587="","",'Supplier selection'!K587)</f>
        <v/>
      </c>
      <c r="L587" s="19" t="str">
        <f>IF('Supplier selection'!L587="","",'Supplier selection'!L587)</f>
        <v/>
      </c>
      <c r="M587" s="19" t="str">
        <f>IF('Supplier selection'!M587="","",'Supplier selection'!M587)</f>
        <v/>
      </c>
      <c r="N587" s="19" t="str">
        <f>IF('Supplier selection'!N587="","",'Supplier selection'!N587)</f>
        <v/>
      </c>
      <c r="O587" s="19" t="str">
        <f>IF('Supplier selection'!O587="","",'Supplier selection'!O587)</f>
        <v/>
      </c>
      <c r="Q587" s="19" t="str">
        <f>HLOOKUP($Q$3,'Supplier selection'!$AW$4:'Supplier selection'!$CT$1000,$A588,FALSE)</f>
        <v/>
      </c>
      <c r="R587" s="22" t="str">
        <f t="shared" si="99"/>
        <v/>
      </c>
      <c r="S587" s="19" t="str">
        <f t="shared" si="100"/>
        <v/>
      </c>
      <c r="T587" s="22" t="str">
        <f t="shared" si="101"/>
        <v/>
      </c>
      <c r="U587" s="19" t="str">
        <f t="shared" si="102"/>
        <v/>
      </c>
      <c r="V587" s="7"/>
      <c r="Y587" s="19" t="str">
        <f>IF('Supplier selection'!AQ587="","",'Supplier selection'!AQ587)</f>
        <v/>
      </c>
      <c r="Z587" s="19" t="str">
        <f>IF('Supplier selection'!AR587="","",'Supplier selection'!AR587)</f>
        <v/>
      </c>
      <c r="AA587" s="19" t="str">
        <f t="shared" si="103"/>
        <v/>
      </c>
      <c r="AD587" s="26" t="str">
        <f>IF(AND('Supplier selection'!X587="",'Supplier selection'!AE587=""),"",IF('Supplier selection'!X587="",'Supplier selection'!AE587,'Supplier selection'!X587))</f>
        <v/>
      </c>
      <c r="AE587" s="19" t="str">
        <f t="shared" si="104"/>
        <v/>
      </c>
      <c r="AF587" s="19" t="str">
        <f t="shared" si="105"/>
        <v/>
      </c>
      <c r="AG587" s="27" t="str">
        <f>IF(AND('Supplier selection'!AB587="",'Supplier selection'!AI587=""),"",IF('Supplier selection'!AB587="",'Supplier selection'!AI587,'Supplier selection'!AB587))</f>
        <v/>
      </c>
      <c r="AH587" s="28" t="str">
        <f t="shared" si="106"/>
        <v/>
      </c>
      <c r="AI587" s="7" t="str">
        <f t="shared" si="107"/>
        <v/>
      </c>
      <c r="AJ587" s="22" t="str">
        <f t="shared" si="108"/>
        <v/>
      </c>
      <c r="AK587" s="29" t="str">
        <f t="shared" si="109"/>
        <v/>
      </c>
      <c r="AL587" s="10"/>
    </row>
    <row r="588" spans="1:38">
      <c r="A588" s="19">
        <f>IF('Supplier selection'!A588="","",'Supplier selection'!A588)</f>
        <v>584</v>
      </c>
      <c r="B588" s="19" t="str">
        <f>IF('Supplier selection'!B588="","",'Supplier selection'!B588)</f>
        <v/>
      </c>
      <c r="C588" s="19" t="str">
        <f>IF('Supplier selection'!C588="","",'Supplier selection'!C588)</f>
        <v/>
      </c>
      <c r="D588" s="19" t="str">
        <f>IF('Supplier selection'!D588="","",'Supplier selection'!D588)</f>
        <v/>
      </c>
      <c r="E588" s="19" t="str">
        <f>IF('Supplier selection'!E588="","",'Supplier selection'!E588)</f>
        <v/>
      </c>
      <c r="F588" s="19" t="str">
        <f>IF('Supplier selection'!F588="","",'Supplier selection'!F588)</f>
        <v/>
      </c>
      <c r="G588" s="19" t="str">
        <f>IF('Supplier selection'!G588="","",'Supplier selection'!G588)</f>
        <v/>
      </c>
      <c r="H588" s="19" t="str">
        <f>IF('Supplier selection'!H588="","",'Supplier selection'!H588)</f>
        <v/>
      </c>
      <c r="I588" s="19" t="str">
        <f>IF('Supplier selection'!I588="","",'Supplier selection'!I588)</f>
        <v/>
      </c>
      <c r="J588" s="19" t="str">
        <f>IF('Supplier selection'!J588="","",'Supplier selection'!J588)</f>
        <v/>
      </c>
      <c r="K588" s="19" t="str">
        <f>IF('Supplier selection'!K588="","",'Supplier selection'!K588)</f>
        <v/>
      </c>
      <c r="L588" s="19" t="str">
        <f>IF('Supplier selection'!L588="","",'Supplier selection'!L588)</f>
        <v/>
      </c>
      <c r="M588" s="19" t="str">
        <f>IF('Supplier selection'!M588="","",'Supplier selection'!M588)</f>
        <v/>
      </c>
      <c r="N588" s="19" t="str">
        <f>IF('Supplier selection'!N588="","",'Supplier selection'!N588)</f>
        <v/>
      </c>
      <c r="O588" s="19" t="str">
        <f>IF('Supplier selection'!O588="","",'Supplier selection'!O588)</f>
        <v/>
      </c>
      <c r="Q588" s="19" t="str">
        <f>HLOOKUP($Q$3,'Supplier selection'!$AW$4:'Supplier selection'!$CT$1000,$A589,FALSE)</f>
        <v/>
      </c>
      <c r="R588" s="22" t="str">
        <f t="shared" si="99"/>
        <v/>
      </c>
      <c r="S588" s="19" t="str">
        <f t="shared" si="100"/>
        <v/>
      </c>
      <c r="T588" s="22" t="str">
        <f t="shared" si="101"/>
        <v/>
      </c>
      <c r="U588" s="19" t="str">
        <f t="shared" si="102"/>
        <v/>
      </c>
      <c r="V588" s="7"/>
      <c r="Y588" s="19" t="str">
        <f>IF('Supplier selection'!AQ588="","",'Supplier selection'!AQ588)</f>
        <v/>
      </c>
      <c r="Z588" s="19" t="str">
        <f>IF('Supplier selection'!AR588="","",'Supplier selection'!AR588)</f>
        <v/>
      </c>
      <c r="AA588" s="19" t="str">
        <f t="shared" si="103"/>
        <v/>
      </c>
      <c r="AD588" s="26" t="str">
        <f>IF(AND('Supplier selection'!X588="",'Supplier selection'!AE588=""),"",IF('Supplier selection'!X588="",'Supplier selection'!AE588,'Supplier selection'!X588))</f>
        <v/>
      </c>
      <c r="AE588" s="19" t="str">
        <f t="shared" si="104"/>
        <v/>
      </c>
      <c r="AF588" s="19" t="str">
        <f t="shared" si="105"/>
        <v/>
      </c>
      <c r="AG588" s="27" t="str">
        <f>IF(AND('Supplier selection'!AB588="",'Supplier selection'!AI588=""),"",IF('Supplier selection'!AB588="",'Supplier selection'!AI588,'Supplier selection'!AB588))</f>
        <v/>
      </c>
      <c r="AH588" s="28" t="str">
        <f t="shared" si="106"/>
        <v/>
      </c>
      <c r="AI588" s="7" t="str">
        <f t="shared" si="107"/>
        <v/>
      </c>
      <c r="AJ588" s="22" t="str">
        <f t="shared" si="108"/>
        <v/>
      </c>
      <c r="AK588" s="29" t="str">
        <f t="shared" si="109"/>
        <v/>
      </c>
      <c r="AL588" s="10"/>
    </row>
    <row r="589" spans="1:38">
      <c r="A589" s="19">
        <f>IF('Supplier selection'!A589="","",'Supplier selection'!A589)</f>
        <v>585</v>
      </c>
      <c r="B589" s="19" t="str">
        <f>IF('Supplier selection'!B589="","",'Supplier selection'!B589)</f>
        <v/>
      </c>
      <c r="C589" s="19" t="str">
        <f>IF('Supplier selection'!C589="","",'Supplier selection'!C589)</f>
        <v/>
      </c>
      <c r="D589" s="19" t="str">
        <f>IF('Supplier selection'!D589="","",'Supplier selection'!D589)</f>
        <v/>
      </c>
      <c r="E589" s="19" t="str">
        <f>IF('Supplier selection'!E589="","",'Supplier selection'!E589)</f>
        <v/>
      </c>
      <c r="F589" s="19" t="str">
        <f>IF('Supplier selection'!F589="","",'Supplier selection'!F589)</f>
        <v/>
      </c>
      <c r="G589" s="19" t="str">
        <f>IF('Supplier selection'!G589="","",'Supplier selection'!G589)</f>
        <v/>
      </c>
      <c r="H589" s="19" t="str">
        <f>IF('Supplier selection'!H589="","",'Supplier selection'!H589)</f>
        <v/>
      </c>
      <c r="I589" s="19" t="str">
        <f>IF('Supplier selection'!I589="","",'Supplier selection'!I589)</f>
        <v/>
      </c>
      <c r="J589" s="19" t="str">
        <f>IF('Supplier selection'!J589="","",'Supplier selection'!J589)</f>
        <v/>
      </c>
      <c r="K589" s="19" t="str">
        <f>IF('Supplier selection'!K589="","",'Supplier selection'!K589)</f>
        <v/>
      </c>
      <c r="L589" s="19" t="str">
        <f>IF('Supplier selection'!L589="","",'Supplier selection'!L589)</f>
        <v/>
      </c>
      <c r="M589" s="19" t="str">
        <f>IF('Supplier selection'!M589="","",'Supplier selection'!M589)</f>
        <v/>
      </c>
      <c r="N589" s="19" t="str">
        <f>IF('Supplier selection'!N589="","",'Supplier selection'!N589)</f>
        <v/>
      </c>
      <c r="O589" s="19" t="str">
        <f>IF('Supplier selection'!O589="","",'Supplier selection'!O589)</f>
        <v/>
      </c>
      <c r="Q589" s="19" t="str">
        <f>HLOOKUP($Q$3,'Supplier selection'!$AW$4:'Supplier selection'!$CT$1000,$A590,FALSE)</f>
        <v/>
      </c>
      <c r="R589" s="22" t="str">
        <f t="shared" si="99"/>
        <v/>
      </c>
      <c r="S589" s="19" t="str">
        <f t="shared" si="100"/>
        <v/>
      </c>
      <c r="T589" s="22" t="str">
        <f t="shared" si="101"/>
        <v/>
      </c>
      <c r="U589" s="19" t="str">
        <f t="shared" si="102"/>
        <v/>
      </c>
      <c r="V589" s="7"/>
      <c r="Y589" s="19" t="str">
        <f>IF('Supplier selection'!AQ589="","",'Supplier selection'!AQ589)</f>
        <v/>
      </c>
      <c r="Z589" s="19" t="str">
        <f>IF('Supplier selection'!AR589="","",'Supplier selection'!AR589)</f>
        <v/>
      </c>
      <c r="AA589" s="19" t="str">
        <f t="shared" si="103"/>
        <v/>
      </c>
      <c r="AD589" s="26" t="str">
        <f>IF(AND('Supplier selection'!X589="",'Supplier selection'!AE589=""),"",IF('Supplier selection'!X589="",'Supplier selection'!AE589,'Supplier selection'!X589))</f>
        <v/>
      </c>
      <c r="AE589" s="19" t="str">
        <f t="shared" si="104"/>
        <v/>
      </c>
      <c r="AF589" s="19" t="str">
        <f t="shared" si="105"/>
        <v/>
      </c>
      <c r="AG589" s="27" t="str">
        <f>IF(AND('Supplier selection'!AB589="",'Supplier selection'!AI589=""),"",IF('Supplier selection'!AB589="",'Supplier selection'!AI589,'Supplier selection'!AB589))</f>
        <v/>
      </c>
      <c r="AH589" s="28" t="str">
        <f t="shared" si="106"/>
        <v/>
      </c>
      <c r="AI589" s="7" t="str">
        <f t="shared" si="107"/>
        <v/>
      </c>
      <c r="AJ589" s="22" t="str">
        <f t="shared" si="108"/>
        <v/>
      </c>
      <c r="AK589" s="29" t="str">
        <f t="shared" si="109"/>
        <v/>
      </c>
      <c r="AL589" s="10"/>
    </row>
    <row r="590" spans="1:38">
      <c r="A590" s="19">
        <f>IF('Supplier selection'!A590="","",'Supplier selection'!A590)</f>
        <v>586</v>
      </c>
      <c r="B590" s="19" t="str">
        <f>IF('Supplier selection'!B590="","",'Supplier selection'!B590)</f>
        <v/>
      </c>
      <c r="C590" s="19" t="str">
        <f>IF('Supplier selection'!C590="","",'Supplier selection'!C590)</f>
        <v/>
      </c>
      <c r="D590" s="19" t="str">
        <f>IF('Supplier selection'!D590="","",'Supplier selection'!D590)</f>
        <v/>
      </c>
      <c r="E590" s="19" t="str">
        <f>IF('Supplier selection'!E590="","",'Supplier selection'!E590)</f>
        <v/>
      </c>
      <c r="F590" s="19" t="str">
        <f>IF('Supplier selection'!F590="","",'Supplier selection'!F590)</f>
        <v/>
      </c>
      <c r="G590" s="19" t="str">
        <f>IF('Supplier selection'!G590="","",'Supplier selection'!G590)</f>
        <v/>
      </c>
      <c r="H590" s="19" t="str">
        <f>IF('Supplier selection'!H590="","",'Supplier selection'!H590)</f>
        <v/>
      </c>
      <c r="I590" s="19" t="str">
        <f>IF('Supplier selection'!I590="","",'Supplier selection'!I590)</f>
        <v/>
      </c>
      <c r="J590" s="19" t="str">
        <f>IF('Supplier selection'!J590="","",'Supplier selection'!J590)</f>
        <v/>
      </c>
      <c r="K590" s="19" t="str">
        <f>IF('Supplier selection'!K590="","",'Supplier selection'!K590)</f>
        <v/>
      </c>
      <c r="L590" s="19" t="str">
        <f>IF('Supplier selection'!L590="","",'Supplier selection'!L590)</f>
        <v/>
      </c>
      <c r="M590" s="19" t="str">
        <f>IF('Supplier selection'!M590="","",'Supplier selection'!M590)</f>
        <v/>
      </c>
      <c r="N590" s="19" t="str">
        <f>IF('Supplier selection'!N590="","",'Supplier selection'!N590)</f>
        <v/>
      </c>
      <c r="O590" s="19" t="str">
        <f>IF('Supplier selection'!O590="","",'Supplier selection'!O590)</f>
        <v/>
      </c>
      <c r="Q590" s="19" t="str">
        <f>HLOOKUP($Q$3,'Supplier selection'!$AW$4:'Supplier selection'!$CT$1000,$A591,FALSE)</f>
        <v/>
      </c>
      <c r="R590" s="22" t="str">
        <f t="shared" si="99"/>
        <v/>
      </c>
      <c r="S590" s="19" t="str">
        <f t="shared" si="100"/>
        <v/>
      </c>
      <c r="T590" s="22" t="str">
        <f t="shared" si="101"/>
        <v/>
      </c>
      <c r="U590" s="19" t="str">
        <f t="shared" si="102"/>
        <v/>
      </c>
      <c r="V590" s="7"/>
      <c r="Y590" s="19" t="str">
        <f>IF('Supplier selection'!AQ590="","",'Supplier selection'!AQ590)</f>
        <v/>
      </c>
      <c r="Z590" s="19" t="str">
        <f>IF('Supplier selection'!AR590="","",'Supplier selection'!AR590)</f>
        <v/>
      </c>
      <c r="AA590" s="19" t="str">
        <f t="shared" si="103"/>
        <v/>
      </c>
      <c r="AD590" s="26" t="str">
        <f>IF(AND('Supplier selection'!X590="",'Supplier selection'!AE590=""),"",IF('Supplier selection'!X590="",'Supplier selection'!AE590,'Supplier selection'!X590))</f>
        <v/>
      </c>
      <c r="AE590" s="19" t="str">
        <f t="shared" si="104"/>
        <v/>
      </c>
      <c r="AF590" s="19" t="str">
        <f t="shared" si="105"/>
        <v/>
      </c>
      <c r="AG590" s="27" t="str">
        <f>IF(AND('Supplier selection'!AB590="",'Supplier selection'!AI590=""),"",IF('Supplier selection'!AB590="",'Supplier selection'!AI590,'Supplier selection'!AB590))</f>
        <v/>
      </c>
      <c r="AH590" s="28" t="str">
        <f t="shared" si="106"/>
        <v/>
      </c>
      <c r="AI590" s="7" t="str">
        <f t="shared" si="107"/>
        <v/>
      </c>
      <c r="AJ590" s="22" t="str">
        <f t="shared" si="108"/>
        <v/>
      </c>
      <c r="AK590" s="29" t="str">
        <f t="shared" si="109"/>
        <v/>
      </c>
      <c r="AL590" s="10"/>
    </row>
    <row r="591" spans="1:38">
      <c r="A591" s="19">
        <f>IF('Supplier selection'!A591="","",'Supplier selection'!A591)</f>
        <v>587</v>
      </c>
      <c r="B591" s="19" t="str">
        <f>IF('Supplier selection'!B591="","",'Supplier selection'!B591)</f>
        <v/>
      </c>
      <c r="C591" s="19" t="str">
        <f>IF('Supplier selection'!C591="","",'Supplier selection'!C591)</f>
        <v/>
      </c>
      <c r="D591" s="19" t="str">
        <f>IF('Supplier selection'!D591="","",'Supplier selection'!D591)</f>
        <v/>
      </c>
      <c r="E591" s="19" t="str">
        <f>IF('Supplier selection'!E591="","",'Supplier selection'!E591)</f>
        <v/>
      </c>
      <c r="F591" s="19" t="str">
        <f>IF('Supplier selection'!F591="","",'Supplier selection'!F591)</f>
        <v/>
      </c>
      <c r="G591" s="19" t="str">
        <f>IF('Supplier selection'!G591="","",'Supplier selection'!G591)</f>
        <v/>
      </c>
      <c r="H591" s="19" t="str">
        <f>IF('Supplier selection'!H591="","",'Supplier selection'!H591)</f>
        <v/>
      </c>
      <c r="I591" s="19" t="str">
        <f>IF('Supplier selection'!I591="","",'Supplier selection'!I591)</f>
        <v/>
      </c>
      <c r="J591" s="19" t="str">
        <f>IF('Supplier selection'!J591="","",'Supplier selection'!J591)</f>
        <v/>
      </c>
      <c r="K591" s="19" t="str">
        <f>IF('Supplier selection'!K591="","",'Supplier selection'!K591)</f>
        <v/>
      </c>
      <c r="L591" s="19" t="str">
        <f>IF('Supplier selection'!L591="","",'Supplier selection'!L591)</f>
        <v/>
      </c>
      <c r="M591" s="19" t="str">
        <f>IF('Supplier selection'!M591="","",'Supplier selection'!M591)</f>
        <v/>
      </c>
      <c r="N591" s="19" t="str">
        <f>IF('Supplier selection'!N591="","",'Supplier selection'!N591)</f>
        <v/>
      </c>
      <c r="O591" s="19" t="str">
        <f>IF('Supplier selection'!O591="","",'Supplier selection'!O591)</f>
        <v/>
      </c>
      <c r="Q591" s="19" t="str">
        <f>HLOOKUP($Q$3,'Supplier selection'!$AW$4:'Supplier selection'!$CT$1000,$A592,FALSE)</f>
        <v/>
      </c>
      <c r="R591" s="22" t="str">
        <f t="shared" si="99"/>
        <v/>
      </c>
      <c r="S591" s="19" t="str">
        <f t="shared" si="100"/>
        <v/>
      </c>
      <c r="T591" s="22" t="str">
        <f t="shared" si="101"/>
        <v/>
      </c>
      <c r="U591" s="19" t="str">
        <f t="shared" si="102"/>
        <v/>
      </c>
      <c r="V591" s="7"/>
      <c r="Y591" s="19" t="str">
        <f>IF('Supplier selection'!AQ591="","",'Supplier selection'!AQ591)</f>
        <v/>
      </c>
      <c r="Z591" s="19" t="str">
        <f>IF('Supplier selection'!AR591="","",'Supplier selection'!AR591)</f>
        <v/>
      </c>
      <c r="AA591" s="19" t="str">
        <f t="shared" si="103"/>
        <v/>
      </c>
      <c r="AD591" s="26" t="str">
        <f>IF(AND('Supplier selection'!X591="",'Supplier selection'!AE591=""),"",IF('Supplier selection'!X591="",'Supplier selection'!AE591,'Supplier selection'!X591))</f>
        <v/>
      </c>
      <c r="AE591" s="19" t="str">
        <f t="shared" si="104"/>
        <v/>
      </c>
      <c r="AF591" s="19" t="str">
        <f t="shared" si="105"/>
        <v/>
      </c>
      <c r="AG591" s="27" t="str">
        <f>IF(AND('Supplier selection'!AB591="",'Supplier selection'!AI591=""),"",IF('Supplier selection'!AB591="",'Supplier selection'!AI591,'Supplier selection'!AB591))</f>
        <v/>
      </c>
      <c r="AH591" s="28" t="str">
        <f t="shared" si="106"/>
        <v/>
      </c>
      <c r="AI591" s="7" t="str">
        <f t="shared" si="107"/>
        <v/>
      </c>
      <c r="AJ591" s="22" t="str">
        <f t="shared" si="108"/>
        <v/>
      </c>
      <c r="AK591" s="29" t="str">
        <f t="shared" si="109"/>
        <v/>
      </c>
      <c r="AL591" s="10"/>
    </row>
    <row r="592" spans="1:38">
      <c r="A592" s="19">
        <f>IF('Supplier selection'!A592="","",'Supplier selection'!A592)</f>
        <v>588</v>
      </c>
      <c r="B592" s="19" t="str">
        <f>IF('Supplier selection'!B592="","",'Supplier selection'!B592)</f>
        <v/>
      </c>
      <c r="C592" s="19" t="str">
        <f>IF('Supplier selection'!C592="","",'Supplier selection'!C592)</f>
        <v/>
      </c>
      <c r="D592" s="19" t="str">
        <f>IF('Supplier selection'!D592="","",'Supplier selection'!D592)</f>
        <v/>
      </c>
      <c r="E592" s="19" t="str">
        <f>IF('Supplier selection'!E592="","",'Supplier selection'!E592)</f>
        <v/>
      </c>
      <c r="F592" s="19" t="str">
        <f>IF('Supplier selection'!F592="","",'Supplier selection'!F592)</f>
        <v/>
      </c>
      <c r="G592" s="19" t="str">
        <f>IF('Supplier selection'!G592="","",'Supplier selection'!G592)</f>
        <v/>
      </c>
      <c r="H592" s="19" t="str">
        <f>IF('Supplier selection'!H592="","",'Supplier selection'!H592)</f>
        <v/>
      </c>
      <c r="I592" s="19" t="str">
        <f>IF('Supplier selection'!I592="","",'Supplier selection'!I592)</f>
        <v/>
      </c>
      <c r="J592" s="19" t="str">
        <f>IF('Supplier selection'!J592="","",'Supplier selection'!J592)</f>
        <v/>
      </c>
      <c r="K592" s="19" t="str">
        <f>IF('Supplier selection'!K592="","",'Supplier selection'!K592)</f>
        <v/>
      </c>
      <c r="L592" s="19" t="str">
        <f>IF('Supplier selection'!L592="","",'Supplier selection'!L592)</f>
        <v/>
      </c>
      <c r="M592" s="19" t="str">
        <f>IF('Supplier selection'!M592="","",'Supplier selection'!M592)</f>
        <v/>
      </c>
      <c r="N592" s="19" t="str">
        <f>IF('Supplier selection'!N592="","",'Supplier selection'!N592)</f>
        <v/>
      </c>
      <c r="O592" s="19" t="str">
        <f>IF('Supplier selection'!O592="","",'Supplier selection'!O592)</f>
        <v/>
      </c>
      <c r="Q592" s="19" t="str">
        <f>HLOOKUP($Q$3,'Supplier selection'!$AW$4:'Supplier selection'!$CT$1000,$A593,FALSE)</f>
        <v/>
      </c>
      <c r="R592" s="22" t="str">
        <f t="shared" si="99"/>
        <v/>
      </c>
      <c r="S592" s="19" t="str">
        <f t="shared" si="100"/>
        <v/>
      </c>
      <c r="T592" s="22" t="str">
        <f t="shared" si="101"/>
        <v/>
      </c>
      <c r="U592" s="19" t="str">
        <f t="shared" si="102"/>
        <v/>
      </c>
      <c r="V592" s="7"/>
      <c r="Y592" s="19" t="str">
        <f>IF('Supplier selection'!AQ592="","",'Supplier selection'!AQ592)</f>
        <v/>
      </c>
      <c r="Z592" s="19" t="str">
        <f>IF('Supplier selection'!AR592="","",'Supplier selection'!AR592)</f>
        <v/>
      </c>
      <c r="AA592" s="19" t="str">
        <f t="shared" si="103"/>
        <v/>
      </c>
      <c r="AD592" s="26" t="str">
        <f>IF(AND('Supplier selection'!X592="",'Supplier selection'!AE592=""),"",IF('Supplier selection'!X592="",'Supplier selection'!AE592,'Supplier selection'!X592))</f>
        <v/>
      </c>
      <c r="AE592" s="19" t="str">
        <f t="shared" si="104"/>
        <v/>
      </c>
      <c r="AF592" s="19" t="str">
        <f t="shared" si="105"/>
        <v/>
      </c>
      <c r="AG592" s="27" t="str">
        <f>IF(AND('Supplier selection'!AB592="",'Supplier selection'!AI592=""),"",IF('Supplier selection'!AB592="",'Supplier selection'!AI592,'Supplier selection'!AB592))</f>
        <v/>
      </c>
      <c r="AH592" s="28" t="str">
        <f t="shared" si="106"/>
        <v/>
      </c>
      <c r="AI592" s="7" t="str">
        <f t="shared" si="107"/>
        <v/>
      </c>
      <c r="AJ592" s="22" t="str">
        <f t="shared" si="108"/>
        <v/>
      </c>
      <c r="AK592" s="29" t="str">
        <f t="shared" si="109"/>
        <v/>
      </c>
      <c r="AL592" s="10"/>
    </row>
    <row r="593" spans="1:38">
      <c r="A593" s="19">
        <f>IF('Supplier selection'!A593="","",'Supplier selection'!A593)</f>
        <v>589</v>
      </c>
      <c r="B593" s="19" t="str">
        <f>IF('Supplier selection'!B593="","",'Supplier selection'!B593)</f>
        <v/>
      </c>
      <c r="C593" s="19" t="str">
        <f>IF('Supplier selection'!C593="","",'Supplier selection'!C593)</f>
        <v/>
      </c>
      <c r="D593" s="19" t="str">
        <f>IF('Supplier selection'!D593="","",'Supplier selection'!D593)</f>
        <v/>
      </c>
      <c r="E593" s="19" t="str">
        <f>IF('Supplier selection'!E593="","",'Supplier selection'!E593)</f>
        <v/>
      </c>
      <c r="F593" s="19" t="str">
        <f>IF('Supplier selection'!F593="","",'Supplier selection'!F593)</f>
        <v/>
      </c>
      <c r="G593" s="19" t="str">
        <f>IF('Supplier selection'!G593="","",'Supplier selection'!G593)</f>
        <v/>
      </c>
      <c r="H593" s="19" t="str">
        <f>IF('Supplier selection'!H593="","",'Supplier selection'!H593)</f>
        <v/>
      </c>
      <c r="I593" s="19" t="str">
        <f>IF('Supplier selection'!I593="","",'Supplier selection'!I593)</f>
        <v/>
      </c>
      <c r="J593" s="19" t="str">
        <f>IF('Supplier selection'!J593="","",'Supplier selection'!J593)</f>
        <v/>
      </c>
      <c r="K593" s="19" t="str">
        <f>IF('Supplier selection'!K593="","",'Supplier selection'!K593)</f>
        <v/>
      </c>
      <c r="L593" s="19" t="str">
        <f>IF('Supplier selection'!L593="","",'Supplier selection'!L593)</f>
        <v/>
      </c>
      <c r="M593" s="19" t="str">
        <f>IF('Supplier selection'!M593="","",'Supplier selection'!M593)</f>
        <v/>
      </c>
      <c r="N593" s="19" t="str">
        <f>IF('Supplier selection'!N593="","",'Supplier selection'!N593)</f>
        <v/>
      </c>
      <c r="O593" s="19" t="str">
        <f>IF('Supplier selection'!O593="","",'Supplier selection'!O593)</f>
        <v/>
      </c>
      <c r="Q593" s="19" t="str">
        <f>HLOOKUP($Q$3,'Supplier selection'!$AW$4:'Supplier selection'!$CT$1000,$A594,FALSE)</f>
        <v/>
      </c>
      <c r="R593" s="22" t="str">
        <f t="shared" si="99"/>
        <v/>
      </c>
      <c r="S593" s="19" t="str">
        <f t="shared" si="100"/>
        <v/>
      </c>
      <c r="T593" s="22" t="str">
        <f t="shared" si="101"/>
        <v/>
      </c>
      <c r="U593" s="19" t="str">
        <f t="shared" si="102"/>
        <v/>
      </c>
      <c r="V593" s="7"/>
      <c r="Y593" s="19" t="str">
        <f>IF('Supplier selection'!AQ593="","",'Supplier selection'!AQ593)</f>
        <v/>
      </c>
      <c r="Z593" s="19" t="str">
        <f>IF('Supplier selection'!AR593="","",'Supplier selection'!AR593)</f>
        <v/>
      </c>
      <c r="AA593" s="19" t="str">
        <f t="shared" si="103"/>
        <v/>
      </c>
      <c r="AD593" s="26" t="str">
        <f>IF(AND('Supplier selection'!X593="",'Supplier selection'!AE593=""),"",IF('Supplier selection'!X593="",'Supplier selection'!AE593,'Supplier selection'!X593))</f>
        <v/>
      </c>
      <c r="AE593" s="19" t="str">
        <f t="shared" si="104"/>
        <v/>
      </c>
      <c r="AF593" s="19" t="str">
        <f t="shared" si="105"/>
        <v/>
      </c>
      <c r="AG593" s="27" t="str">
        <f>IF(AND('Supplier selection'!AB593="",'Supplier selection'!AI593=""),"",IF('Supplier selection'!AB593="",'Supplier selection'!AI593,'Supplier selection'!AB593))</f>
        <v/>
      </c>
      <c r="AH593" s="28" t="str">
        <f t="shared" si="106"/>
        <v/>
      </c>
      <c r="AI593" s="7" t="str">
        <f t="shared" si="107"/>
        <v/>
      </c>
      <c r="AJ593" s="22" t="str">
        <f t="shared" si="108"/>
        <v/>
      </c>
      <c r="AK593" s="29" t="str">
        <f t="shared" si="109"/>
        <v/>
      </c>
      <c r="AL593" s="10"/>
    </row>
    <row r="594" spans="1:38">
      <c r="A594" s="19">
        <f>IF('Supplier selection'!A594="","",'Supplier selection'!A594)</f>
        <v>590</v>
      </c>
      <c r="B594" s="19" t="str">
        <f>IF('Supplier selection'!B594="","",'Supplier selection'!B594)</f>
        <v/>
      </c>
      <c r="C594" s="19" t="str">
        <f>IF('Supplier selection'!C594="","",'Supplier selection'!C594)</f>
        <v/>
      </c>
      <c r="D594" s="19" t="str">
        <f>IF('Supplier selection'!D594="","",'Supplier selection'!D594)</f>
        <v/>
      </c>
      <c r="E594" s="19" t="str">
        <f>IF('Supplier selection'!E594="","",'Supplier selection'!E594)</f>
        <v/>
      </c>
      <c r="F594" s="19" t="str">
        <f>IF('Supplier selection'!F594="","",'Supplier selection'!F594)</f>
        <v/>
      </c>
      <c r="G594" s="19" t="str">
        <f>IF('Supplier selection'!G594="","",'Supplier selection'!G594)</f>
        <v/>
      </c>
      <c r="H594" s="19" t="str">
        <f>IF('Supplier selection'!H594="","",'Supplier selection'!H594)</f>
        <v/>
      </c>
      <c r="I594" s="19" t="str">
        <f>IF('Supplier selection'!I594="","",'Supplier selection'!I594)</f>
        <v/>
      </c>
      <c r="J594" s="19" t="str">
        <f>IF('Supplier selection'!J594="","",'Supplier selection'!J594)</f>
        <v/>
      </c>
      <c r="K594" s="19" t="str">
        <f>IF('Supplier selection'!K594="","",'Supplier selection'!K594)</f>
        <v/>
      </c>
      <c r="L594" s="19" t="str">
        <f>IF('Supplier selection'!L594="","",'Supplier selection'!L594)</f>
        <v/>
      </c>
      <c r="M594" s="19" t="str">
        <f>IF('Supplier selection'!M594="","",'Supplier selection'!M594)</f>
        <v/>
      </c>
      <c r="N594" s="19" t="str">
        <f>IF('Supplier selection'!N594="","",'Supplier selection'!N594)</f>
        <v/>
      </c>
      <c r="O594" s="19" t="str">
        <f>IF('Supplier selection'!O594="","",'Supplier selection'!O594)</f>
        <v/>
      </c>
      <c r="Q594" s="19" t="str">
        <f>HLOOKUP($Q$3,'Supplier selection'!$AW$4:'Supplier selection'!$CT$1000,$A595,FALSE)</f>
        <v/>
      </c>
      <c r="R594" s="22" t="str">
        <f t="shared" si="99"/>
        <v/>
      </c>
      <c r="S594" s="19" t="str">
        <f t="shared" si="100"/>
        <v/>
      </c>
      <c r="T594" s="22" t="str">
        <f t="shared" si="101"/>
        <v/>
      </c>
      <c r="U594" s="19" t="str">
        <f t="shared" si="102"/>
        <v/>
      </c>
      <c r="V594" s="7"/>
      <c r="Y594" s="19" t="str">
        <f>IF('Supplier selection'!AQ594="","",'Supplier selection'!AQ594)</f>
        <v/>
      </c>
      <c r="Z594" s="19" t="str">
        <f>IF('Supplier selection'!AR594="","",'Supplier selection'!AR594)</f>
        <v/>
      </c>
      <c r="AA594" s="19" t="str">
        <f t="shared" si="103"/>
        <v/>
      </c>
      <c r="AD594" s="26" t="str">
        <f>IF(AND('Supplier selection'!X594="",'Supplier selection'!AE594=""),"",IF('Supplier selection'!X594="",'Supplier selection'!AE594,'Supplier selection'!X594))</f>
        <v/>
      </c>
      <c r="AE594" s="19" t="str">
        <f t="shared" si="104"/>
        <v/>
      </c>
      <c r="AF594" s="19" t="str">
        <f t="shared" si="105"/>
        <v/>
      </c>
      <c r="AG594" s="27" t="str">
        <f>IF(AND('Supplier selection'!AB594="",'Supplier selection'!AI594=""),"",IF('Supplier selection'!AB594="",'Supplier selection'!AI594,'Supplier selection'!AB594))</f>
        <v/>
      </c>
      <c r="AH594" s="28" t="str">
        <f t="shared" si="106"/>
        <v/>
      </c>
      <c r="AI594" s="7" t="str">
        <f t="shared" si="107"/>
        <v/>
      </c>
      <c r="AJ594" s="22" t="str">
        <f t="shared" si="108"/>
        <v/>
      </c>
      <c r="AK594" s="29" t="str">
        <f t="shared" si="109"/>
        <v/>
      </c>
      <c r="AL594" s="10"/>
    </row>
    <row r="595" spans="1:38">
      <c r="A595" s="19">
        <f>IF('Supplier selection'!A595="","",'Supplier selection'!A595)</f>
        <v>591</v>
      </c>
      <c r="B595" s="19" t="str">
        <f>IF('Supplier selection'!B595="","",'Supplier selection'!B595)</f>
        <v/>
      </c>
      <c r="C595" s="19" t="str">
        <f>IF('Supplier selection'!C595="","",'Supplier selection'!C595)</f>
        <v/>
      </c>
      <c r="D595" s="19" t="str">
        <f>IF('Supplier selection'!D595="","",'Supplier selection'!D595)</f>
        <v/>
      </c>
      <c r="E595" s="19" t="str">
        <f>IF('Supplier selection'!E595="","",'Supplier selection'!E595)</f>
        <v/>
      </c>
      <c r="F595" s="19" t="str">
        <f>IF('Supplier selection'!F595="","",'Supplier selection'!F595)</f>
        <v/>
      </c>
      <c r="G595" s="19" t="str">
        <f>IF('Supplier selection'!G595="","",'Supplier selection'!G595)</f>
        <v/>
      </c>
      <c r="H595" s="19" t="str">
        <f>IF('Supplier selection'!H595="","",'Supplier selection'!H595)</f>
        <v/>
      </c>
      <c r="I595" s="19" t="str">
        <f>IF('Supplier selection'!I595="","",'Supplier selection'!I595)</f>
        <v/>
      </c>
      <c r="J595" s="19" t="str">
        <f>IF('Supplier selection'!J595="","",'Supplier selection'!J595)</f>
        <v/>
      </c>
      <c r="K595" s="19" t="str">
        <f>IF('Supplier selection'!K595="","",'Supplier selection'!K595)</f>
        <v/>
      </c>
      <c r="L595" s="19" t="str">
        <f>IF('Supplier selection'!L595="","",'Supplier selection'!L595)</f>
        <v/>
      </c>
      <c r="M595" s="19" t="str">
        <f>IF('Supplier selection'!M595="","",'Supplier selection'!M595)</f>
        <v/>
      </c>
      <c r="N595" s="19" t="str">
        <f>IF('Supplier selection'!N595="","",'Supplier selection'!N595)</f>
        <v/>
      </c>
      <c r="O595" s="19" t="str">
        <f>IF('Supplier selection'!O595="","",'Supplier selection'!O595)</f>
        <v/>
      </c>
      <c r="Q595" s="19" t="str">
        <f>HLOOKUP($Q$3,'Supplier selection'!$AW$4:'Supplier selection'!$CT$1000,$A596,FALSE)</f>
        <v/>
      </c>
      <c r="R595" s="22" t="str">
        <f t="shared" si="99"/>
        <v/>
      </c>
      <c r="S595" s="19" t="str">
        <f t="shared" si="100"/>
        <v/>
      </c>
      <c r="T595" s="22" t="str">
        <f t="shared" si="101"/>
        <v/>
      </c>
      <c r="U595" s="19" t="str">
        <f t="shared" si="102"/>
        <v/>
      </c>
      <c r="V595" s="7"/>
      <c r="Y595" s="19" t="str">
        <f>IF('Supplier selection'!AQ595="","",'Supplier selection'!AQ595)</f>
        <v/>
      </c>
      <c r="Z595" s="19" t="str">
        <f>IF('Supplier selection'!AR595="","",'Supplier selection'!AR595)</f>
        <v/>
      </c>
      <c r="AA595" s="19" t="str">
        <f t="shared" si="103"/>
        <v/>
      </c>
      <c r="AD595" s="26" t="str">
        <f>IF(AND('Supplier selection'!X595="",'Supplier selection'!AE595=""),"",IF('Supplier selection'!X595="",'Supplier selection'!AE595,'Supplier selection'!X595))</f>
        <v/>
      </c>
      <c r="AE595" s="19" t="str">
        <f t="shared" si="104"/>
        <v/>
      </c>
      <c r="AF595" s="19" t="str">
        <f t="shared" si="105"/>
        <v/>
      </c>
      <c r="AG595" s="27" t="str">
        <f>IF(AND('Supplier selection'!AB595="",'Supplier selection'!AI595=""),"",IF('Supplier selection'!AB595="",'Supplier selection'!AI595,'Supplier selection'!AB595))</f>
        <v/>
      </c>
      <c r="AH595" s="28" t="str">
        <f t="shared" si="106"/>
        <v/>
      </c>
      <c r="AI595" s="7" t="str">
        <f t="shared" si="107"/>
        <v/>
      </c>
      <c r="AJ595" s="22" t="str">
        <f t="shared" si="108"/>
        <v/>
      </c>
      <c r="AK595" s="29" t="str">
        <f t="shared" si="109"/>
        <v/>
      </c>
      <c r="AL595" s="10"/>
    </row>
    <row r="596" spans="1:38">
      <c r="A596" s="19">
        <f>IF('Supplier selection'!A596="","",'Supplier selection'!A596)</f>
        <v>592</v>
      </c>
      <c r="B596" s="19" t="str">
        <f>IF('Supplier selection'!B596="","",'Supplier selection'!B596)</f>
        <v/>
      </c>
      <c r="C596" s="19" t="str">
        <f>IF('Supplier selection'!C596="","",'Supplier selection'!C596)</f>
        <v/>
      </c>
      <c r="D596" s="19" t="str">
        <f>IF('Supplier selection'!D596="","",'Supplier selection'!D596)</f>
        <v/>
      </c>
      <c r="E596" s="19" t="str">
        <f>IF('Supplier selection'!E596="","",'Supplier selection'!E596)</f>
        <v/>
      </c>
      <c r="F596" s="19" t="str">
        <f>IF('Supplier selection'!F596="","",'Supplier selection'!F596)</f>
        <v/>
      </c>
      <c r="G596" s="19" t="str">
        <f>IF('Supplier selection'!G596="","",'Supplier selection'!G596)</f>
        <v/>
      </c>
      <c r="H596" s="19" t="str">
        <f>IF('Supplier selection'!H596="","",'Supplier selection'!H596)</f>
        <v/>
      </c>
      <c r="I596" s="19" t="str">
        <f>IF('Supplier selection'!I596="","",'Supplier selection'!I596)</f>
        <v/>
      </c>
      <c r="J596" s="19" t="str">
        <f>IF('Supplier selection'!J596="","",'Supplier selection'!J596)</f>
        <v/>
      </c>
      <c r="K596" s="19" t="str">
        <f>IF('Supplier selection'!K596="","",'Supplier selection'!K596)</f>
        <v/>
      </c>
      <c r="L596" s="19" t="str">
        <f>IF('Supplier selection'!L596="","",'Supplier selection'!L596)</f>
        <v/>
      </c>
      <c r="M596" s="19" t="str">
        <f>IF('Supplier selection'!M596="","",'Supplier selection'!M596)</f>
        <v/>
      </c>
      <c r="N596" s="19" t="str">
        <f>IF('Supplier selection'!N596="","",'Supplier selection'!N596)</f>
        <v/>
      </c>
      <c r="O596" s="19" t="str">
        <f>IF('Supplier selection'!O596="","",'Supplier selection'!O596)</f>
        <v/>
      </c>
      <c r="Q596" s="19" t="str">
        <f>HLOOKUP($Q$3,'Supplier selection'!$AW$4:'Supplier selection'!$CT$1000,$A597,FALSE)</f>
        <v/>
      </c>
      <c r="R596" s="22" t="str">
        <f t="shared" si="99"/>
        <v/>
      </c>
      <c r="S596" s="19" t="str">
        <f t="shared" si="100"/>
        <v/>
      </c>
      <c r="T596" s="22" t="str">
        <f t="shared" si="101"/>
        <v/>
      </c>
      <c r="U596" s="19" t="str">
        <f t="shared" si="102"/>
        <v/>
      </c>
      <c r="V596" s="7"/>
      <c r="Y596" s="19" t="str">
        <f>IF('Supplier selection'!AQ596="","",'Supplier selection'!AQ596)</f>
        <v/>
      </c>
      <c r="Z596" s="19" t="str">
        <f>IF('Supplier selection'!AR596="","",'Supplier selection'!AR596)</f>
        <v/>
      </c>
      <c r="AA596" s="19" t="str">
        <f t="shared" si="103"/>
        <v/>
      </c>
      <c r="AD596" s="26" t="str">
        <f>IF(AND('Supplier selection'!X596="",'Supplier selection'!AE596=""),"",IF('Supplier selection'!X596="",'Supplier selection'!AE596,'Supplier selection'!X596))</f>
        <v/>
      </c>
      <c r="AE596" s="19" t="str">
        <f t="shared" si="104"/>
        <v/>
      </c>
      <c r="AF596" s="19" t="str">
        <f t="shared" si="105"/>
        <v/>
      </c>
      <c r="AG596" s="27" t="str">
        <f>IF(AND('Supplier selection'!AB596="",'Supplier selection'!AI596=""),"",IF('Supplier selection'!AB596="",'Supplier selection'!AI596,'Supplier selection'!AB596))</f>
        <v/>
      </c>
      <c r="AH596" s="28" t="str">
        <f t="shared" si="106"/>
        <v/>
      </c>
      <c r="AI596" s="7" t="str">
        <f t="shared" si="107"/>
        <v/>
      </c>
      <c r="AJ596" s="22" t="str">
        <f t="shared" si="108"/>
        <v/>
      </c>
      <c r="AK596" s="29" t="str">
        <f t="shared" si="109"/>
        <v/>
      </c>
      <c r="AL596" s="10"/>
    </row>
    <row r="597" spans="1:38">
      <c r="A597" s="19">
        <f>IF('Supplier selection'!A597="","",'Supplier selection'!A597)</f>
        <v>593</v>
      </c>
      <c r="B597" s="19" t="str">
        <f>IF('Supplier selection'!B597="","",'Supplier selection'!B597)</f>
        <v/>
      </c>
      <c r="C597" s="19" t="str">
        <f>IF('Supplier selection'!C597="","",'Supplier selection'!C597)</f>
        <v/>
      </c>
      <c r="D597" s="19" t="str">
        <f>IF('Supplier selection'!D597="","",'Supplier selection'!D597)</f>
        <v/>
      </c>
      <c r="E597" s="19" t="str">
        <f>IF('Supplier selection'!E597="","",'Supplier selection'!E597)</f>
        <v/>
      </c>
      <c r="F597" s="19" t="str">
        <f>IF('Supplier selection'!F597="","",'Supplier selection'!F597)</f>
        <v/>
      </c>
      <c r="G597" s="19" t="str">
        <f>IF('Supplier selection'!G597="","",'Supplier selection'!G597)</f>
        <v/>
      </c>
      <c r="H597" s="19" t="str">
        <f>IF('Supplier selection'!H597="","",'Supplier selection'!H597)</f>
        <v/>
      </c>
      <c r="I597" s="19" t="str">
        <f>IF('Supplier selection'!I597="","",'Supplier selection'!I597)</f>
        <v/>
      </c>
      <c r="J597" s="19" t="str">
        <f>IF('Supplier selection'!J597="","",'Supplier selection'!J597)</f>
        <v/>
      </c>
      <c r="K597" s="19" t="str">
        <f>IF('Supplier selection'!K597="","",'Supplier selection'!K597)</f>
        <v/>
      </c>
      <c r="L597" s="19" t="str">
        <f>IF('Supplier selection'!L597="","",'Supplier selection'!L597)</f>
        <v/>
      </c>
      <c r="M597" s="19" t="str">
        <f>IF('Supplier selection'!M597="","",'Supplier selection'!M597)</f>
        <v/>
      </c>
      <c r="N597" s="19" t="str">
        <f>IF('Supplier selection'!N597="","",'Supplier selection'!N597)</f>
        <v/>
      </c>
      <c r="O597" s="19" t="str">
        <f>IF('Supplier selection'!O597="","",'Supplier selection'!O597)</f>
        <v/>
      </c>
      <c r="Q597" s="19" t="str">
        <f>HLOOKUP($Q$3,'Supplier selection'!$AW$4:'Supplier selection'!$CT$1000,$A598,FALSE)</f>
        <v/>
      </c>
      <c r="R597" s="22" t="str">
        <f t="shared" si="99"/>
        <v/>
      </c>
      <c r="S597" s="19" t="str">
        <f t="shared" si="100"/>
        <v/>
      </c>
      <c r="T597" s="22" t="str">
        <f t="shared" si="101"/>
        <v/>
      </c>
      <c r="U597" s="19" t="str">
        <f t="shared" si="102"/>
        <v/>
      </c>
      <c r="V597" s="7"/>
      <c r="Y597" s="19" t="str">
        <f>IF('Supplier selection'!AQ597="","",'Supplier selection'!AQ597)</f>
        <v/>
      </c>
      <c r="Z597" s="19" t="str">
        <f>IF('Supplier selection'!AR597="","",'Supplier selection'!AR597)</f>
        <v/>
      </c>
      <c r="AA597" s="19" t="str">
        <f t="shared" si="103"/>
        <v/>
      </c>
      <c r="AD597" s="26" t="str">
        <f>IF(AND('Supplier selection'!X597="",'Supplier selection'!AE597=""),"",IF('Supplier selection'!X597="",'Supplier selection'!AE597,'Supplier selection'!X597))</f>
        <v/>
      </c>
      <c r="AE597" s="19" t="str">
        <f t="shared" si="104"/>
        <v/>
      </c>
      <c r="AF597" s="19" t="str">
        <f t="shared" si="105"/>
        <v/>
      </c>
      <c r="AG597" s="27" t="str">
        <f>IF(AND('Supplier selection'!AB597="",'Supplier selection'!AI597=""),"",IF('Supplier selection'!AB597="",'Supplier selection'!AI597,'Supplier selection'!AB597))</f>
        <v/>
      </c>
      <c r="AH597" s="28" t="str">
        <f t="shared" si="106"/>
        <v/>
      </c>
      <c r="AI597" s="7" t="str">
        <f t="shared" si="107"/>
        <v/>
      </c>
      <c r="AJ597" s="22" t="str">
        <f t="shared" si="108"/>
        <v/>
      </c>
      <c r="AK597" s="29" t="str">
        <f t="shared" si="109"/>
        <v/>
      </c>
      <c r="AL597" s="10"/>
    </row>
    <row r="598" spans="1:38">
      <c r="A598" s="19">
        <f>IF('Supplier selection'!A598="","",'Supplier selection'!A598)</f>
        <v>594</v>
      </c>
      <c r="B598" s="19" t="str">
        <f>IF('Supplier selection'!B598="","",'Supplier selection'!B598)</f>
        <v/>
      </c>
      <c r="C598" s="19" t="str">
        <f>IF('Supplier selection'!C598="","",'Supplier selection'!C598)</f>
        <v/>
      </c>
      <c r="D598" s="19" t="str">
        <f>IF('Supplier selection'!D598="","",'Supplier selection'!D598)</f>
        <v/>
      </c>
      <c r="E598" s="19" t="str">
        <f>IF('Supplier selection'!E598="","",'Supplier selection'!E598)</f>
        <v/>
      </c>
      <c r="F598" s="19" t="str">
        <f>IF('Supplier selection'!F598="","",'Supplier selection'!F598)</f>
        <v/>
      </c>
      <c r="G598" s="19" t="str">
        <f>IF('Supplier selection'!G598="","",'Supplier selection'!G598)</f>
        <v/>
      </c>
      <c r="H598" s="19" t="str">
        <f>IF('Supplier selection'!H598="","",'Supplier selection'!H598)</f>
        <v/>
      </c>
      <c r="I598" s="19" t="str">
        <f>IF('Supplier selection'!I598="","",'Supplier selection'!I598)</f>
        <v/>
      </c>
      <c r="J598" s="19" t="str">
        <f>IF('Supplier selection'!J598="","",'Supplier selection'!J598)</f>
        <v/>
      </c>
      <c r="K598" s="19" t="str">
        <f>IF('Supplier selection'!K598="","",'Supplier selection'!K598)</f>
        <v/>
      </c>
      <c r="L598" s="19" t="str">
        <f>IF('Supplier selection'!L598="","",'Supplier selection'!L598)</f>
        <v/>
      </c>
      <c r="M598" s="19" t="str">
        <f>IF('Supplier selection'!M598="","",'Supplier selection'!M598)</f>
        <v/>
      </c>
      <c r="N598" s="19" t="str">
        <f>IF('Supplier selection'!N598="","",'Supplier selection'!N598)</f>
        <v/>
      </c>
      <c r="O598" s="19" t="str">
        <f>IF('Supplier selection'!O598="","",'Supplier selection'!O598)</f>
        <v/>
      </c>
      <c r="Q598" s="19" t="str">
        <f>HLOOKUP($Q$3,'Supplier selection'!$AW$4:'Supplier selection'!$CT$1000,$A599,FALSE)</f>
        <v/>
      </c>
      <c r="R598" s="22" t="str">
        <f t="shared" si="99"/>
        <v/>
      </c>
      <c r="S598" s="19" t="str">
        <f t="shared" si="100"/>
        <v/>
      </c>
      <c r="T598" s="22" t="str">
        <f t="shared" si="101"/>
        <v/>
      </c>
      <c r="U598" s="19" t="str">
        <f t="shared" si="102"/>
        <v/>
      </c>
      <c r="V598" s="7"/>
      <c r="Y598" s="19" t="str">
        <f>IF('Supplier selection'!AQ598="","",'Supplier selection'!AQ598)</f>
        <v/>
      </c>
      <c r="Z598" s="19" t="str">
        <f>IF('Supplier selection'!AR598="","",'Supplier selection'!AR598)</f>
        <v/>
      </c>
      <c r="AA598" s="19" t="str">
        <f t="shared" si="103"/>
        <v/>
      </c>
      <c r="AD598" s="26" t="str">
        <f>IF(AND('Supplier selection'!X598="",'Supplier selection'!AE598=""),"",IF('Supplier selection'!X598="",'Supplier selection'!AE598,'Supplier selection'!X598))</f>
        <v/>
      </c>
      <c r="AE598" s="19" t="str">
        <f t="shared" si="104"/>
        <v/>
      </c>
      <c r="AF598" s="19" t="str">
        <f t="shared" si="105"/>
        <v/>
      </c>
      <c r="AG598" s="27" t="str">
        <f>IF(AND('Supplier selection'!AB598="",'Supplier selection'!AI598=""),"",IF('Supplier selection'!AB598="",'Supplier selection'!AI598,'Supplier selection'!AB598))</f>
        <v/>
      </c>
      <c r="AH598" s="28" t="str">
        <f t="shared" si="106"/>
        <v/>
      </c>
      <c r="AI598" s="7" t="str">
        <f t="shared" si="107"/>
        <v/>
      </c>
      <c r="AJ598" s="22" t="str">
        <f t="shared" si="108"/>
        <v/>
      </c>
      <c r="AK598" s="29" t="str">
        <f t="shared" si="109"/>
        <v/>
      </c>
      <c r="AL598" s="10"/>
    </row>
    <row r="599" spans="1:38">
      <c r="A599" s="19">
        <f>IF('Supplier selection'!A599="","",'Supplier selection'!A599)</f>
        <v>595</v>
      </c>
      <c r="B599" s="19" t="str">
        <f>IF('Supplier selection'!B599="","",'Supplier selection'!B599)</f>
        <v/>
      </c>
      <c r="C599" s="19" t="str">
        <f>IF('Supplier selection'!C599="","",'Supplier selection'!C599)</f>
        <v/>
      </c>
      <c r="D599" s="19" t="str">
        <f>IF('Supplier selection'!D599="","",'Supplier selection'!D599)</f>
        <v/>
      </c>
      <c r="E599" s="19" t="str">
        <f>IF('Supplier selection'!E599="","",'Supplier selection'!E599)</f>
        <v/>
      </c>
      <c r="F599" s="19" t="str">
        <f>IF('Supplier selection'!F599="","",'Supplier selection'!F599)</f>
        <v/>
      </c>
      <c r="G599" s="19" t="str">
        <f>IF('Supplier selection'!G599="","",'Supplier selection'!G599)</f>
        <v/>
      </c>
      <c r="H599" s="19" t="str">
        <f>IF('Supplier selection'!H599="","",'Supplier selection'!H599)</f>
        <v/>
      </c>
      <c r="I599" s="19" t="str">
        <f>IF('Supplier selection'!I599="","",'Supplier selection'!I599)</f>
        <v/>
      </c>
      <c r="J599" s="19" t="str">
        <f>IF('Supplier selection'!J599="","",'Supplier selection'!J599)</f>
        <v/>
      </c>
      <c r="K599" s="19" t="str">
        <f>IF('Supplier selection'!K599="","",'Supplier selection'!K599)</f>
        <v/>
      </c>
      <c r="L599" s="19" t="str">
        <f>IF('Supplier selection'!L599="","",'Supplier selection'!L599)</f>
        <v/>
      </c>
      <c r="M599" s="19" t="str">
        <f>IF('Supplier selection'!M599="","",'Supplier selection'!M599)</f>
        <v/>
      </c>
      <c r="N599" s="19" t="str">
        <f>IF('Supplier selection'!N599="","",'Supplier selection'!N599)</f>
        <v/>
      </c>
      <c r="O599" s="19" t="str">
        <f>IF('Supplier selection'!O599="","",'Supplier selection'!O599)</f>
        <v/>
      </c>
      <c r="Q599" s="19" t="str">
        <f>HLOOKUP($Q$3,'Supplier selection'!$AW$4:'Supplier selection'!$CT$1000,$A600,FALSE)</f>
        <v/>
      </c>
      <c r="R599" s="22" t="str">
        <f t="shared" si="99"/>
        <v/>
      </c>
      <c r="S599" s="19" t="str">
        <f t="shared" si="100"/>
        <v/>
      </c>
      <c r="T599" s="22" t="str">
        <f t="shared" si="101"/>
        <v/>
      </c>
      <c r="U599" s="19" t="str">
        <f t="shared" si="102"/>
        <v/>
      </c>
      <c r="V599" s="7"/>
      <c r="Y599" s="19" t="str">
        <f>IF('Supplier selection'!AQ599="","",'Supplier selection'!AQ599)</f>
        <v/>
      </c>
      <c r="Z599" s="19" t="str">
        <f>IF('Supplier selection'!AR599="","",'Supplier selection'!AR599)</f>
        <v/>
      </c>
      <c r="AA599" s="19" t="str">
        <f t="shared" si="103"/>
        <v/>
      </c>
      <c r="AD599" s="26" t="str">
        <f>IF(AND('Supplier selection'!X599="",'Supplier selection'!AE599=""),"",IF('Supplier selection'!X599="",'Supplier selection'!AE599,'Supplier selection'!X599))</f>
        <v/>
      </c>
      <c r="AE599" s="19" t="str">
        <f t="shared" si="104"/>
        <v/>
      </c>
      <c r="AF599" s="19" t="str">
        <f t="shared" si="105"/>
        <v/>
      </c>
      <c r="AG599" s="27" t="str">
        <f>IF(AND('Supplier selection'!AB599="",'Supplier selection'!AI599=""),"",IF('Supplier selection'!AB599="",'Supplier selection'!AI599,'Supplier selection'!AB599))</f>
        <v/>
      </c>
      <c r="AH599" s="28" t="str">
        <f t="shared" si="106"/>
        <v/>
      </c>
      <c r="AI599" s="7" t="str">
        <f t="shared" si="107"/>
        <v/>
      </c>
      <c r="AJ599" s="22" t="str">
        <f t="shared" si="108"/>
        <v/>
      </c>
      <c r="AK599" s="29" t="str">
        <f t="shared" si="109"/>
        <v/>
      </c>
      <c r="AL599" s="10"/>
    </row>
    <row r="600" spans="1:38">
      <c r="A600" s="19">
        <f>IF('Supplier selection'!A600="","",'Supplier selection'!A600)</f>
        <v>596</v>
      </c>
      <c r="B600" s="19" t="str">
        <f>IF('Supplier selection'!B600="","",'Supplier selection'!B600)</f>
        <v/>
      </c>
      <c r="C600" s="19" t="str">
        <f>IF('Supplier selection'!C600="","",'Supplier selection'!C600)</f>
        <v/>
      </c>
      <c r="D600" s="19" t="str">
        <f>IF('Supplier selection'!D600="","",'Supplier selection'!D600)</f>
        <v/>
      </c>
      <c r="E600" s="19" t="str">
        <f>IF('Supplier selection'!E600="","",'Supplier selection'!E600)</f>
        <v/>
      </c>
      <c r="F600" s="19" t="str">
        <f>IF('Supplier selection'!F600="","",'Supplier selection'!F600)</f>
        <v/>
      </c>
      <c r="G600" s="19" t="str">
        <f>IF('Supplier selection'!G600="","",'Supplier selection'!G600)</f>
        <v/>
      </c>
      <c r="H600" s="19" t="str">
        <f>IF('Supplier selection'!H600="","",'Supplier selection'!H600)</f>
        <v/>
      </c>
      <c r="I600" s="19" t="str">
        <f>IF('Supplier selection'!I600="","",'Supplier selection'!I600)</f>
        <v/>
      </c>
      <c r="J600" s="19" t="str">
        <f>IF('Supplier selection'!J600="","",'Supplier selection'!J600)</f>
        <v/>
      </c>
      <c r="K600" s="19" t="str">
        <f>IF('Supplier selection'!K600="","",'Supplier selection'!K600)</f>
        <v/>
      </c>
      <c r="L600" s="19" t="str">
        <f>IF('Supplier selection'!L600="","",'Supplier selection'!L600)</f>
        <v/>
      </c>
      <c r="M600" s="19" t="str">
        <f>IF('Supplier selection'!M600="","",'Supplier selection'!M600)</f>
        <v/>
      </c>
      <c r="N600" s="19" t="str">
        <f>IF('Supplier selection'!N600="","",'Supplier selection'!N600)</f>
        <v/>
      </c>
      <c r="O600" s="19" t="str">
        <f>IF('Supplier selection'!O600="","",'Supplier selection'!O600)</f>
        <v/>
      </c>
      <c r="Q600" s="19" t="str">
        <f>HLOOKUP($Q$3,'Supplier selection'!$AW$4:'Supplier selection'!$CT$1000,$A601,FALSE)</f>
        <v/>
      </c>
      <c r="R600" s="22" t="str">
        <f t="shared" si="99"/>
        <v/>
      </c>
      <c r="S600" s="19" t="str">
        <f t="shared" si="100"/>
        <v/>
      </c>
      <c r="T600" s="22" t="str">
        <f t="shared" si="101"/>
        <v/>
      </c>
      <c r="U600" s="19" t="str">
        <f t="shared" si="102"/>
        <v/>
      </c>
      <c r="V600" s="7"/>
      <c r="Y600" s="19" t="str">
        <f>IF('Supplier selection'!AQ600="","",'Supplier selection'!AQ600)</f>
        <v/>
      </c>
      <c r="Z600" s="19" t="str">
        <f>IF('Supplier selection'!AR600="","",'Supplier selection'!AR600)</f>
        <v/>
      </c>
      <c r="AA600" s="19" t="str">
        <f t="shared" si="103"/>
        <v/>
      </c>
      <c r="AD600" s="26" t="str">
        <f>IF(AND('Supplier selection'!X600="",'Supplier selection'!AE600=""),"",IF('Supplier selection'!X600="",'Supplier selection'!AE600,'Supplier selection'!X600))</f>
        <v/>
      </c>
      <c r="AE600" s="19" t="str">
        <f t="shared" si="104"/>
        <v/>
      </c>
      <c r="AF600" s="19" t="str">
        <f t="shared" si="105"/>
        <v/>
      </c>
      <c r="AG600" s="27" t="str">
        <f>IF(AND('Supplier selection'!AB600="",'Supplier selection'!AI600=""),"",IF('Supplier selection'!AB600="",'Supplier selection'!AI600,'Supplier selection'!AB600))</f>
        <v/>
      </c>
      <c r="AH600" s="28" t="str">
        <f t="shared" si="106"/>
        <v/>
      </c>
      <c r="AI600" s="7" t="str">
        <f t="shared" si="107"/>
        <v/>
      </c>
      <c r="AJ600" s="22" t="str">
        <f t="shared" si="108"/>
        <v/>
      </c>
      <c r="AK600" s="29" t="str">
        <f t="shared" si="109"/>
        <v/>
      </c>
      <c r="AL600" s="10"/>
    </row>
    <row r="601" spans="1:38">
      <c r="A601" s="19">
        <f>IF('Supplier selection'!A601="","",'Supplier selection'!A601)</f>
        <v>597</v>
      </c>
      <c r="B601" s="19" t="str">
        <f>IF('Supplier selection'!B601="","",'Supplier selection'!B601)</f>
        <v/>
      </c>
      <c r="C601" s="19" t="str">
        <f>IF('Supplier selection'!C601="","",'Supplier selection'!C601)</f>
        <v/>
      </c>
      <c r="D601" s="19" t="str">
        <f>IF('Supplier selection'!D601="","",'Supplier selection'!D601)</f>
        <v/>
      </c>
      <c r="E601" s="19" t="str">
        <f>IF('Supplier selection'!E601="","",'Supplier selection'!E601)</f>
        <v/>
      </c>
      <c r="F601" s="19" t="str">
        <f>IF('Supplier selection'!F601="","",'Supplier selection'!F601)</f>
        <v/>
      </c>
      <c r="G601" s="19" t="str">
        <f>IF('Supplier selection'!G601="","",'Supplier selection'!G601)</f>
        <v/>
      </c>
      <c r="H601" s="19" t="str">
        <f>IF('Supplier selection'!H601="","",'Supplier selection'!H601)</f>
        <v/>
      </c>
      <c r="I601" s="19" t="str">
        <f>IF('Supplier selection'!I601="","",'Supplier selection'!I601)</f>
        <v/>
      </c>
      <c r="J601" s="19" t="str">
        <f>IF('Supplier selection'!J601="","",'Supplier selection'!J601)</f>
        <v/>
      </c>
      <c r="K601" s="19" t="str">
        <f>IF('Supplier selection'!K601="","",'Supplier selection'!K601)</f>
        <v/>
      </c>
      <c r="L601" s="19" t="str">
        <f>IF('Supplier selection'!L601="","",'Supplier selection'!L601)</f>
        <v/>
      </c>
      <c r="M601" s="19" t="str">
        <f>IF('Supplier selection'!M601="","",'Supplier selection'!M601)</f>
        <v/>
      </c>
      <c r="N601" s="19" t="str">
        <f>IF('Supplier selection'!N601="","",'Supplier selection'!N601)</f>
        <v/>
      </c>
      <c r="O601" s="19" t="str">
        <f>IF('Supplier selection'!O601="","",'Supplier selection'!O601)</f>
        <v/>
      </c>
      <c r="Q601" s="19" t="str">
        <f>HLOOKUP($Q$3,'Supplier selection'!$AW$4:'Supplier selection'!$CT$1000,$A602,FALSE)</f>
        <v/>
      </c>
      <c r="R601" s="22" t="str">
        <f t="shared" si="99"/>
        <v/>
      </c>
      <c r="S601" s="19" t="str">
        <f t="shared" si="100"/>
        <v/>
      </c>
      <c r="T601" s="22" t="str">
        <f t="shared" si="101"/>
        <v/>
      </c>
      <c r="U601" s="19" t="str">
        <f t="shared" si="102"/>
        <v/>
      </c>
      <c r="V601" s="7"/>
      <c r="Y601" s="19" t="str">
        <f>IF('Supplier selection'!AQ601="","",'Supplier selection'!AQ601)</f>
        <v/>
      </c>
      <c r="Z601" s="19" t="str">
        <f>IF('Supplier selection'!AR601="","",'Supplier selection'!AR601)</f>
        <v/>
      </c>
      <c r="AA601" s="19" t="str">
        <f t="shared" si="103"/>
        <v/>
      </c>
      <c r="AD601" s="26" t="str">
        <f>IF(AND('Supplier selection'!X601="",'Supplier selection'!AE601=""),"",IF('Supplier selection'!X601="",'Supplier selection'!AE601,'Supplier selection'!X601))</f>
        <v/>
      </c>
      <c r="AE601" s="19" t="str">
        <f t="shared" si="104"/>
        <v/>
      </c>
      <c r="AF601" s="19" t="str">
        <f t="shared" si="105"/>
        <v/>
      </c>
      <c r="AG601" s="27" t="str">
        <f>IF(AND('Supplier selection'!AB601="",'Supplier selection'!AI601=""),"",IF('Supplier selection'!AB601="",'Supplier selection'!AI601,'Supplier selection'!AB601))</f>
        <v/>
      </c>
      <c r="AH601" s="28" t="str">
        <f t="shared" si="106"/>
        <v/>
      </c>
      <c r="AI601" s="7" t="str">
        <f t="shared" si="107"/>
        <v/>
      </c>
      <c r="AJ601" s="22" t="str">
        <f t="shared" si="108"/>
        <v/>
      </c>
      <c r="AK601" s="29" t="str">
        <f t="shared" si="109"/>
        <v/>
      </c>
      <c r="AL601" s="10"/>
    </row>
    <row r="602" spans="1:38">
      <c r="A602" s="19">
        <f>IF('Supplier selection'!A602="","",'Supplier selection'!A602)</f>
        <v>598</v>
      </c>
      <c r="B602" s="19" t="str">
        <f>IF('Supplier selection'!B602="","",'Supplier selection'!B602)</f>
        <v/>
      </c>
      <c r="C602" s="19" t="str">
        <f>IF('Supplier selection'!C602="","",'Supplier selection'!C602)</f>
        <v/>
      </c>
      <c r="D602" s="19" t="str">
        <f>IF('Supplier selection'!D602="","",'Supplier selection'!D602)</f>
        <v/>
      </c>
      <c r="E602" s="19" t="str">
        <f>IF('Supplier selection'!E602="","",'Supplier selection'!E602)</f>
        <v/>
      </c>
      <c r="F602" s="19" t="str">
        <f>IF('Supplier selection'!F602="","",'Supplier selection'!F602)</f>
        <v/>
      </c>
      <c r="G602" s="19" t="str">
        <f>IF('Supplier selection'!G602="","",'Supplier selection'!G602)</f>
        <v/>
      </c>
      <c r="H602" s="19" t="str">
        <f>IF('Supplier selection'!H602="","",'Supplier selection'!H602)</f>
        <v/>
      </c>
      <c r="I602" s="19" t="str">
        <f>IF('Supplier selection'!I602="","",'Supplier selection'!I602)</f>
        <v/>
      </c>
      <c r="J602" s="19" t="str">
        <f>IF('Supplier selection'!J602="","",'Supplier selection'!J602)</f>
        <v/>
      </c>
      <c r="K602" s="19" t="str">
        <f>IF('Supplier selection'!K602="","",'Supplier selection'!K602)</f>
        <v/>
      </c>
      <c r="L602" s="19" t="str">
        <f>IF('Supplier selection'!L602="","",'Supplier selection'!L602)</f>
        <v/>
      </c>
      <c r="M602" s="19" t="str">
        <f>IF('Supplier selection'!M602="","",'Supplier selection'!M602)</f>
        <v/>
      </c>
      <c r="N602" s="19" t="str">
        <f>IF('Supplier selection'!N602="","",'Supplier selection'!N602)</f>
        <v/>
      </c>
      <c r="O602" s="19" t="str">
        <f>IF('Supplier selection'!O602="","",'Supplier selection'!O602)</f>
        <v/>
      </c>
      <c r="Q602" s="19" t="str">
        <f>HLOOKUP($Q$3,'Supplier selection'!$AW$4:'Supplier selection'!$CT$1000,$A603,FALSE)</f>
        <v/>
      </c>
      <c r="R602" s="22" t="str">
        <f t="shared" si="99"/>
        <v/>
      </c>
      <c r="S602" s="19" t="str">
        <f t="shared" si="100"/>
        <v/>
      </c>
      <c r="T602" s="22" t="str">
        <f t="shared" si="101"/>
        <v/>
      </c>
      <c r="U602" s="19" t="str">
        <f t="shared" si="102"/>
        <v/>
      </c>
      <c r="V602" s="7"/>
      <c r="Y602" s="19" t="str">
        <f>IF('Supplier selection'!AQ602="","",'Supplier selection'!AQ602)</f>
        <v/>
      </c>
      <c r="Z602" s="19" t="str">
        <f>IF('Supplier selection'!AR602="","",'Supplier selection'!AR602)</f>
        <v/>
      </c>
      <c r="AA602" s="19" t="str">
        <f t="shared" si="103"/>
        <v/>
      </c>
      <c r="AD602" s="26" t="str">
        <f>IF(AND('Supplier selection'!X602="",'Supplier selection'!AE602=""),"",IF('Supplier selection'!X602="",'Supplier selection'!AE602,'Supplier selection'!X602))</f>
        <v/>
      </c>
      <c r="AE602" s="19" t="str">
        <f t="shared" si="104"/>
        <v/>
      </c>
      <c r="AF602" s="19" t="str">
        <f t="shared" si="105"/>
        <v/>
      </c>
      <c r="AG602" s="27" t="str">
        <f>IF(AND('Supplier selection'!AB602="",'Supplier selection'!AI602=""),"",IF('Supplier selection'!AB602="",'Supplier selection'!AI602,'Supplier selection'!AB602))</f>
        <v/>
      </c>
      <c r="AH602" s="28" t="str">
        <f t="shared" si="106"/>
        <v/>
      </c>
      <c r="AI602" s="7" t="str">
        <f t="shared" si="107"/>
        <v/>
      </c>
      <c r="AJ602" s="22" t="str">
        <f t="shared" si="108"/>
        <v/>
      </c>
      <c r="AK602" s="29" t="str">
        <f t="shared" si="109"/>
        <v/>
      </c>
      <c r="AL602" s="10"/>
    </row>
    <row r="603" spans="1:38">
      <c r="A603" s="19">
        <f>IF('Supplier selection'!A603="","",'Supplier selection'!A603)</f>
        <v>599</v>
      </c>
      <c r="B603" s="19" t="str">
        <f>IF('Supplier selection'!B603="","",'Supplier selection'!B603)</f>
        <v/>
      </c>
      <c r="C603" s="19" t="str">
        <f>IF('Supplier selection'!C603="","",'Supplier selection'!C603)</f>
        <v/>
      </c>
      <c r="D603" s="19" t="str">
        <f>IF('Supplier selection'!D603="","",'Supplier selection'!D603)</f>
        <v/>
      </c>
      <c r="E603" s="19" t="str">
        <f>IF('Supplier selection'!E603="","",'Supplier selection'!E603)</f>
        <v/>
      </c>
      <c r="F603" s="19" t="str">
        <f>IF('Supplier selection'!F603="","",'Supplier selection'!F603)</f>
        <v/>
      </c>
      <c r="G603" s="19" t="str">
        <f>IF('Supplier selection'!G603="","",'Supplier selection'!G603)</f>
        <v/>
      </c>
      <c r="H603" s="19" t="str">
        <f>IF('Supplier selection'!H603="","",'Supplier selection'!H603)</f>
        <v/>
      </c>
      <c r="I603" s="19" t="str">
        <f>IF('Supplier selection'!I603="","",'Supplier selection'!I603)</f>
        <v/>
      </c>
      <c r="J603" s="19" t="str">
        <f>IF('Supplier selection'!J603="","",'Supplier selection'!J603)</f>
        <v/>
      </c>
      <c r="K603" s="19" t="str">
        <f>IF('Supplier selection'!K603="","",'Supplier selection'!K603)</f>
        <v/>
      </c>
      <c r="L603" s="19" t="str">
        <f>IF('Supplier selection'!L603="","",'Supplier selection'!L603)</f>
        <v/>
      </c>
      <c r="M603" s="19" t="str">
        <f>IF('Supplier selection'!M603="","",'Supplier selection'!M603)</f>
        <v/>
      </c>
      <c r="N603" s="19" t="str">
        <f>IF('Supplier selection'!N603="","",'Supplier selection'!N603)</f>
        <v/>
      </c>
      <c r="O603" s="19" t="str">
        <f>IF('Supplier selection'!O603="","",'Supplier selection'!O603)</f>
        <v/>
      </c>
      <c r="Q603" s="19" t="str">
        <f>HLOOKUP($Q$3,'Supplier selection'!$AW$4:'Supplier selection'!$CT$1000,$A604,FALSE)</f>
        <v/>
      </c>
      <c r="R603" s="22" t="str">
        <f t="shared" si="99"/>
        <v/>
      </c>
      <c r="S603" s="19" t="str">
        <f t="shared" si="100"/>
        <v/>
      </c>
      <c r="T603" s="22" t="str">
        <f t="shared" si="101"/>
        <v/>
      </c>
      <c r="U603" s="19" t="str">
        <f t="shared" si="102"/>
        <v/>
      </c>
      <c r="V603" s="7"/>
      <c r="Y603" s="19" t="str">
        <f>IF('Supplier selection'!AQ603="","",'Supplier selection'!AQ603)</f>
        <v/>
      </c>
      <c r="Z603" s="19" t="str">
        <f>IF('Supplier selection'!AR603="","",'Supplier selection'!AR603)</f>
        <v/>
      </c>
      <c r="AA603" s="19" t="str">
        <f t="shared" si="103"/>
        <v/>
      </c>
      <c r="AD603" s="26" t="str">
        <f>IF(AND('Supplier selection'!X603="",'Supplier selection'!AE603=""),"",IF('Supplier selection'!X603="",'Supplier selection'!AE603,'Supplier selection'!X603))</f>
        <v/>
      </c>
      <c r="AE603" s="19" t="str">
        <f t="shared" si="104"/>
        <v/>
      </c>
      <c r="AF603" s="19" t="str">
        <f t="shared" si="105"/>
        <v/>
      </c>
      <c r="AG603" s="27" t="str">
        <f>IF(AND('Supplier selection'!AB603="",'Supplier selection'!AI603=""),"",IF('Supplier selection'!AB603="",'Supplier selection'!AI603,'Supplier selection'!AB603))</f>
        <v/>
      </c>
      <c r="AH603" s="28" t="str">
        <f t="shared" si="106"/>
        <v/>
      </c>
      <c r="AI603" s="7" t="str">
        <f t="shared" si="107"/>
        <v/>
      </c>
      <c r="AJ603" s="22" t="str">
        <f t="shared" si="108"/>
        <v/>
      </c>
      <c r="AK603" s="29" t="str">
        <f t="shared" si="109"/>
        <v/>
      </c>
      <c r="AL603" s="10"/>
    </row>
    <row r="604" spans="1:38">
      <c r="A604" s="19">
        <f>IF('Supplier selection'!A604="","",'Supplier selection'!A604)</f>
        <v>600</v>
      </c>
      <c r="B604" s="19" t="str">
        <f>IF('Supplier selection'!B604="","",'Supplier selection'!B604)</f>
        <v/>
      </c>
      <c r="C604" s="19" t="str">
        <f>IF('Supplier selection'!C604="","",'Supplier selection'!C604)</f>
        <v/>
      </c>
      <c r="D604" s="19" t="str">
        <f>IF('Supplier selection'!D604="","",'Supplier selection'!D604)</f>
        <v/>
      </c>
      <c r="E604" s="19" t="str">
        <f>IF('Supplier selection'!E604="","",'Supplier selection'!E604)</f>
        <v/>
      </c>
      <c r="F604" s="19" t="str">
        <f>IF('Supplier selection'!F604="","",'Supplier selection'!F604)</f>
        <v/>
      </c>
      <c r="G604" s="19" t="str">
        <f>IF('Supplier selection'!G604="","",'Supplier selection'!G604)</f>
        <v/>
      </c>
      <c r="H604" s="19" t="str">
        <f>IF('Supplier selection'!H604="","",'Supplier selection'!H604)</f>
        <v/>
      </c>
      <c r="I604" s="19" t="str">
        <f>IF('Supplier selection'!I604="","",'Supplier selection'!I604)</f>
        <v/>
      </c>
      <c r="J604" s="19" t="str">
        <f>IF('Supplier selection'!J604="","",'Supplier selection'!J604)</f>
        <v/>
      </c>
      <c r="K604" s="19" t="str">
        <f>IF('Supplier selection'!K604="","",'Supplier selection'!K604)</f>
        <v/>
      </c>
      <c r="L604" s="19" t="str">
        <f>IF('Supplier selection'!L604="","",'Supplier selection'!L604)</f>
        <v/>
      </c>
      <c r="M604" s="19" t="str">
        <f>IF('Supplier selection'!M604="","",'Supplier selection'!M604)</f>
        <v/>
      </c>
      <c r="N604" s="19" t="str">
        <f>IF('Supplier selection'!N604="","",'Supplier selection'!N604)</f>
        <v/>
      </c>
      <c r="O604" s="19" t="str">
        <f>IF('Supplier selection'!O604="","",'Supplier selection'!O604)</f>
        <v/>
      </c>
      <c r="Q604" s="19" t="str">
        <f>HLOOKUP($Q$3,'Supplier selection'!$AW$4:'Supplier selection'!$CT$1000,$A605,FALSE)</f>
        <v/>
      </c>
      <c r="R604" s="22" t="str">
        <f t="shared" si="99"/>
        <v/>
      </c>
      <c r="S604" s="19" t="str">
        <f t="shared" si="100"/>
        <v/>
      </c>
      <c r="T604" s="22" t="str">
        <f t="shared" si="101"/>
        <v/>
      </c>
      <c r="U604" s="19" t="str">
        <f t="shared" si="102"/>
        <v/>
      </c>
      <c r="V604" s="7"/>
      <c r="Y604" s="19" t="str">
        <f>IF('Supplier selection'!AQ604="","",'Supplier selection'!AQ604)</f>
        <v/>
      </c>
      <c r="Z604" s="19" t="str">
        <f>IF('Supplier selection'!AR604="","",'Supplier selection'!AR604)</f>
        <v/>
      </c>
      <c r="AA604" s="19" t="str">
        <f t="shared" si="103"/>
        <v/>
      </c>
      <c r="AD604" s="26" t="str">
        <f>IF(AND('Supplier selection'!X604="",'Supplier selection'!AE604=""),"",IF('Supplier selection'!X604="",'Supplier selection'!AE604,'Supplier selection'!X604))</f>
        <v/>
      </c>
      <c r="AE604" s="19" t="str">
        <f t="shared" si="104"/>
        <v/>
      </c>
      <c r="AF604" s="19" t="str">
        <f t="shared" si="105"/>
        <v/>
      </c>
      <c r="AG604" s="27" t="str">
        <f>IF(AND('Supplier selection'!AB604="",'Supplier selection'!AI604=""),"",IF('Supplier selection'!AB604="",'Supplier selection'!AI604,'Supplier selection'!AB604))</f>
        <v/>
      </c>
      <c r="AH604" s="28" t="str">
        <f t="shared" si="106"/>
        <v/>
      </c>
      <c r="AI604" s="7" t="str">
        <f t="shared" si="107"/>
        <v/>
      </c>
      <c r="AJ604" s="22" t="str">
        <f t="shared" si="108"/>
        <v/>
      </c>
      <c r="AK604" s="29" t="str">
        <f t="shared" si="109"/>
        <v/>
      </c>
      <c r="AL604" s="10"/>
    </row>
    <row r="605" spans="1:38">
      <c r="A605" s="19">
        <f>IF('Supplier selection'!A605="","",'Supplier selection'!A605)</f>
        <v>601</v>
      </c>
      <c r="B605" s="19" t="str">
        <f>IF('Supplier selection'!B605="","",'Supplier selection'!B605)</f>
        <v/>
      </c>
      <c r="C605" s="19" t="str">
        <f>IF('Supplier selection'!C605="","",'Supplier selection'!C605)</f>
        <v/>
      </c>
      <c r="D605" s="19" t="str">
        <f>IF('Supplier selection'!D605="","",'Supplier selection'!D605)</f>
        <v/>
      </c>
      <c r="E605" s="19" t="str">
        <f>IF('Supplier selection'!E605="","",'Supplier selection'!E605)</f>
        <v/>
      </c>
      <c r="F605" s="19" t="str">
        <f>IF('Supplier selection'!F605="","",'Supplier selection'!F605)</f>
        <v/>
      </c>
      <c r="G605" s="19" t="str">
        <f>IF('Supplier selection'!G605="","",'Supplier selection'!G605)</f>
        <v/>
      </c>
      <c r="H605" s="19" t="str">
        <f>IF('Supplier selection'!H605="","",'Supplier selection'!H605)</f>
        <v/>
      </c>
      <c r="I605" s="19" t="str">
        <f>IF('Supplier selection'!I605="","",'Supplier selection'!I605)</f>
        <v/>
      </c>
      <c r="J605" s="19" t="str">
        <f>IF('Supplier selection'!J605="","",'Supplier selection'!J605)</f>
        <v/>
      </c>
      <c r="K605" s="19" t="str">
        <f>IF('Supplier selection'!K605="","",'Supplier selection'!K605)</f>
        <v/>
      </c>
      <c r="L605" s="19" t="str">
        <f>IF('Supplier selection'!L605="","",'Supplier selection'!L605)</f>
        <v/>
      </c>
      <c r="M605" s="19" t="str">
        <f>IF('Supplier selection'!M605="","",'Supplier selection'!M605)</f>
        <v/>
      </c>
      <c r="N605" s="19" t="str">
        <f>IF('Supplier selection'!N605="","",'Supplier selection'!N605)</f>
        <v/>
      </c>
      <c r="O605" s="19" t="str">
        <f>IF('Supplier selection'!O605="","",'Supplier selection'!O605)</f>
        <v/>
      </c>
      <c r="Q605" s="19" t="str">
        <f>HLOOKUP($Q$3,'Supplier selection'!$AW$4:'Supplier selection'!$CT$1000,$A606,FALSE)</f>
        <v/>
      </c>
      <c r="R605" s="22" t="str">
        <f t="shared" si="99"/>
        <v/>
      </c>
      <c r="S605" s="19" t="str">
        <f t="shared" si="100"/>
        <v/>
      </c>
      <c r="T605" s="22" t="str">
        <f t="shared" si="101"/>
        <v/>
      </c>
      <c r="U605" s="19" t="str">
        <f t="shared" si="102"/>
        <v/>
      </c>
      <c r="V605" s="7"/>
      <c r="Y605" s="19" t="str">
        <f>IF('Supplier selection'!AQ605="","",'Supplier selection'!AQ605)</f>
        <v/>
      </c>
      <c r="Z605" s="19" t="str">
        <f>IF('Supplier selection'!AR605="","",'Supplier selection'!AR605)</f>
        <v/>
      </c>
      <c r="AA605" s="19" t="str">
        <f t="shared" si="103"/>
        <v/>
      </c>
      <c r="AD605" s="26" t="str">
        <f>IF(AND('Supplier selection'!X605="",'Supplier selection'!AE605=""),"",IF('Supplier selection'!X605="",'Supplier selection'!AE605,'Supplier selection'!X605))</f>
        <v/>
      </c>
      <c r="AE605" s="19" t="str">
        <f t="shared" si="104"/>
        <v/>
      </c>
      <c r="AF605" s="19" t="str">
        <f t="shared" si="105"/>
        <v/>
      </c>
      <c r="AG605" s="27" t="str">
        <f>IF(AND('Supplier selection'!AB605="",'Supplier selection'!AI605=""),"",IF('Supplier selection'!AB605="",'Supplier selection'!AI605,'Supplier selection'!AB605))</f>
        <v/>
      </c>
      <c r="AH605" s="28" t="str">
        <f t="shared" si="106"/>
        <v/>
      </c>
      <c r="AI605" s="7" t="str">
        <f t="shared" si="107"/>
        <v/>
      </c>
      <c r="AJ605" s="22" t="str">
        <f t="shared" si="108"/>
        <v/>
      </c>
      <c r="AK605" s="29" t="str">
        <f t="shared" si="109"/>
        <v/>
      </c>
      <c r="AL605" s="10"/>
    </row>
    <row r="606" spans="1:38">
      <c r="A606" s="19">
        <f>IF('Supplier selection'!A606="","",'Supplier selection'!A606)</f>
        <v>602</v>
      </c>
      <c r="B606" s="19" t="str">
        <f>IF('Supplier selection'!B606="","",'Supplier selection'!B606)</f>
        <v/>
      </c>
      <c r="C606" s="19" t="str">
        <f>IF('Supplier selection'!C606="","",'Supplier selection'!C606)</f>
        <v/>
      </c>
      <c r="D606" s="19" t="str">
        <f>IF('Supplier selection'!D606="","",'Supplier selection'!D606)</f>
        <v/>
      </c>
      <c r="E606" s="19" t="str">
        <f>IF('Supplier selection'!E606="","",'Supplier selection'!E606)</f>
        <v/>
      </c>
      <c r="F606" s="19" t="str">
        <f>IF('Supplier selection'!F606="","",'Supplier selection'!F606)</f>
        <v/>
      </c>
      <c r="G606" s="19" t="str">
        <f>IF('Supplier selection'!G606="","",'Supplier selection'!G606)</f>
        <v/>
      </c>
      <c r="H606" s="19" t="str">
        <f>IF('Supplier selection'!H606="","",'Supplier selection'!H606)</f>
        <v/>
      </c>
      <c r="I606" s="19" t="str">
        <f>IF('Supplier selection'!I606="","",'Supplier selection'!I606)</f>
        <v/>
      </c>
      <c r="J606" s="19" t="str">
        <f>IF('Supplier selection'!J606="","",'Supplier selection'!J606)</f>
        <v/>
      </c>
      <c r="K606" s="19" t="str">
        <f>IF('Supplier selection'!K606="","",'Supplier selection'!K606)</f>
        <v/>
      </c>
      <c r="L606" s="19" t="str">
        <f>IF('Supplier selection'!L606="","",'Supplier selection'!L606)</f>
        <v/>
      </c>
      <c r="M606" s="19" t="str">
        <f>IF('Supplier selection'!M606="","",'Supplier selection'!M606)</f>
        <v/>
      </c>
      <c r="N606" s="19" t="str">
        <f>IF('Supplier selection'!N606="","",'Supplier selection'!N606)</f>
        <v/>
      </c>
      <c r="O606" s="19" t="str">
        <f>IF('Supplier selection'!O606="","",'Supplier selection'!O606)</f>
        <v/>
      </c>
      <c r="Q606" s="19" t="str">
        <f>HLOOKUP($Q$3,'Supplier selection'!$AW$4:'Supplier selection'!$CT$1000,$A607,FALSE)</f>
        <v/>
      </c>
      <c r="R606" s="22" t="str">
        <f t="shared" si="99"/>
        <v/>
      </c>
      <c r="S606" s="19" t="str">
        <f t="shared" si="100"/>
        <v/>
      </c>
      <c r="T606" s="22" t="str">
        <f t="shared" si="101"/>
        <v/>
      </c>
      <c r="U606" s="19" t="str">
        <f t="shared" si="102"/>
        <v/>
      </c>
      <c r="V606" s="7"/>
      <c r="Y606" s="19" t="str">
        <f>IF('Supplier selection'!AQ606="","",'Supplier selection'!AQ606)</f>
        <v/>
      </c>
      <c r="Z606" s="19" t="str">
        <f>IF('Supplier selection'!AR606="","",'Supplier selection'!AR606)</f>
        <v/>
      </c>
      <c r="AA606" s="19" t="str">
        <f t="shared" si="103"/>
        <v/>
      </c>
      <c r="AD606" s="26" t="str">
        <f>IF(AND('Supplier selection'!X606="",'Supplier selection'!AE606=""),"",IF('Supplier selection'!X606="",'Supplier selection'!AE606,'Supplier selection'!X606))</f>
        <v/>
      </c>
      <c r="AE606" s="19" t="str">
        <f t="shared" si="104"/>
        <v/>
      </c>
      <c r="AF606" s="19" t="str">
        <f t="shared" si="105"/>
        <v/>
      </c>
      <c r="AG606" s="27" t="str">
        <f>IF(AND('Supplier selection'!AB606="",'Supplier selection'!AI606=""),"",IF('Supplier selection'!AB606="",'Supplier selection'!AI606,'Supplier selection'!AB606))</f>
        <v/>
      </c>
      <c r="AH606" s="28" t="str">
        <f t="shared" si="106"/>
        <v/>
      </c>
      <c r="AI606" s="7" t="str">
        <f t="shared" si="107"/>
        <v/>
      </c>
      <c r="AJ606" s="22" t="str">
        <f t="shared" si="108"/>
        <v/>
      </c>
      <c r="AK606" s="29" t="str">
        <f t="shared" si="109"/>
        <v/>
      </c>
      <c r="AL606" s="10"/>
    </row>
    <row r="607" spans="1:38">
      <c r="A607" s="19">
        <f>IF('Supplier selection'!A607="","",'Supplier selection'!A607)</f>
        <v>603</v>
      </c>
      <c r="B607" s="19" t="str">
        <f>IF('Supplier selection'!B607="","",'Supplier selection'!B607)</f>
        <v/>
      </c>
      <c r="C607" s="19" t="str">
        <f>IF('Supplier selection'!C607="","",'Supplier selection'!C607)</f>
        <v/>
      </c>
      <c r="D607" s="19" t="str">
        <f>IF('Supplier selection'!D607="","",'Supplier selection'!D607)</f>
        <v/>
      </c>
      <c r="E607" s="19" t="str">
        <f>IF('Supplier selection'!E607="","",'Supplier selection'!E607)</f>
        <v/>
      </c>
      <c r="F607" s="19" t="str">
        <f>IF('Supplier selection'!F607="","",'Supplier selection'!F607)</f>
        <v/>
      </c>
      <c r="G607" s="19" t="str">
        <f>IF('Supplier selection'!G607="","",'Supplier selection'!G607)</f>
        <v/>
      </c>
      <c r="H607" s="19" t="str">
        <f>IF('Supplier selection'!H607="","",'Supplier selection'!H607)</f>
        <v/>
      </c>
      <c r="I607" s="19" t="str">
        <f>IF('Supplier selection'!I607="","",'Supplier selection'!I607)</f>
        <v/>
      </c>
      <c r="J607" s="19" t="str">
        <f>IF('Supplier selection'!J607="","",'Supplier selection'!J607)</f>
        <v/>
      </c>
      <c r="K607" s="19" t="str">
        <f>IF('Supplier selection'!K607="","",'Supplier selection'!K607)</f>
        <v/>
      </c>
      <c r="L607" s="19" t="str">
        <f>IF('Supplier selection'!L607="","",'Supplier selection'!L607)</f>
        <v/>
      </c>
      <c r="M607" s="19" t="str">
        <f>IF('Supplier selection'!M607="","",'Supplier selection'!M607)</f>
        <v/>
      </c>
      <c r="N607" s="19" t="str">
        <f>IF('Supplier selection'!N607="","",'Supplier selection'!N607)</f>
        <v/>
      </c>
      <c r="O607" s="19" t="str">
        <f>IF('Supplier selection'!O607="","",'Supplier selection'!O607)</f>
        <v/>
      </c>
      <c r="Q607" s="19" t="str">
        <f>HLOOKUP($Q$3,'Supplier selection'!$AW$4:'Supplier selection'!$CT$1000,$A608,FALSE)</f>
        <v/>
      </c>
      <c r="R607" s="22" t="str">
        <f t="shared" si="99"/>
        <v/>
      </c>
      <c r="S607" s="19" t="str">
        <f t="shared" si="100"/>
        <v/>
      </c>
      <c r="T607" s="22" t="str">
        <f t="shared" si="101"/>
        <v/>
      </c>
      <c r="U607" s="19" t="str">
        <f t="shared" si="102"/>
        <v/>
      </c>
      <c r="V607" s="7"/>
      <c r="Y607" s="19" t="str">
        <f>IF('Supplier selection'!AQ607="","",'Supplier selection'!AQ607)</f>
        <v/>
      </c>
      <c r="Z607" s="19" t="str">
        <f>IF('Supplier selection'!AR607="","",'Supplier selection'!AR607)</f>
        <v/>
      </c>
      <c r="AA607" s="19" t="str">
        <f t="shared" si="103"/>
        <v/>
      </c>
      <c r="AD607" s="26" t="str">
        <f>IF(AND('Supplier selection'!X607="",'Supplier selection'!AE607=""),"",IF('Supplier selection'!X607="",'Supplier selection'!AE607,'Supplier selection'!X607))</f>
        <v/>
      </c>
      <c r="AE607" s="19" t="str">
        <f t="shared" si="104"/>
        <v/>
      </c>
      <c r="AF607" s="19" t="str">
        <f t="shared" si="105"/>
        <v/>
      </c>
      <c r="AG607" s="27" t="str">
        <f>IF(AND('Supplier selection'!AB607="",'Supplier selection'!AI607=""),"",IF('Supplier selection'!AB607="",'Supplier selection'!AI607,'Supplier selection'!AB607))</f>
        <v/>
      </c>
      <c r="AH607" s="28" t="str">
        <f t="shared" si="106"/>
        <v/>
      </c>
      <c r="AI607" s="7" t="str">
        <f t="shared" si="107"/>
        <v/>
      </c>
      <c r="AJ607" s="22" t="str">
        <f t="shared" si="108"/>
        <v/>
      </c>
      <c r="AK607" s="29" t="str">
        <f t="shared" si="109"/>
        <v/>
      </c>
      <c r="AL607" s="10"/>
    </row>
    <row r="608" spans="1:38">
      <c r="A608" s="19">
        <f>IF('Supplier selection'!A608="","",'Supplier selection'!A608)</f>
        <v>604</v>
      </c>
      <c r="B608" s="19" t="str">
        <f>IF('Supplier selection'!B608="","",'Supplier selection'!B608)</f>
        <v/>
      </c>
      <c r="C608" s="19" t="str">
        <f>IF('Supplier selection'!C608="","",'Supplier selection'!C608)</f>
        <v/>
      </c>
      <c r="D608" s="19" t="str">
        <f>IF('Supplier selection'!D608="","",'Supplier selection'!D608)</f>
        <v/>
      </c>
      <c r="E608" s="19" t="str">
        <f>IF('Supplier selection'!E608="","",'Supplier selection'!E608)</f>
        <v/>
      </c>
      <c r="F608" s="19" t="str">
        <f>IF('Supplier selection'!F608="","",'Supplier selection'!F608)</f>
        <v/>
      </c>
      <c r="G608" s="19" t="str">
        <f>IF('Supplier selection'!G608="","",'Supplier selection'!G608)</f>
        <v/>
      </c>
      <c r="H608" s="19" t="str">
        <f>IF('Supplier selection'!H608="","",'Supplier selection'!H608)</f>
        <v/>
      </c>
      <c r="I608" s="19" t="str">
        <f>IF('Supplier selection'!I608="","",'Supplier selection'!I608)</f>
        <v/>
      </c>
      <c r="J608" s="19" t="str">
        <f>IF('Supplier selection'!J608="","",'Supplier selection'!J608)</f>
        <v/>
      </c>
      <c r="K608" s="19" t="str">
        <f>IF('Supplier selection'!K608="","",'Supplier selection'!K608)</f>
        <v/>
      </c>
      <c r="L608" s="19" t="str">
        <f>IF('Supplier selection'!L608="","",'Supplier selection'!L608)</f>
        <v/>
      </c>
      <c r="M608" s="19" t="str">
        <f>IF('Supplier selection'!M608="","",'Supplier selection'!M608)</f>
        <v/>
      </c>
      <c r="N608" s="19" t="str">
        <f>IF('Supplier selection'!N608="","",'Supplier selection'!N608)</f>
        <v/>
      </c>
      <c r="O608" s="19" t="str">
        <f>IF('Supplier selection'!O608="","",'Supplier selection'!O608)</f>
        <v/>
      </c>
      <c r="Q608" s="19" t="str">
        <f>HLOOKUP($Q$3,'Supplier selection'!$AW$4:'Supplier selection'!$CT$1000,$A609,FALSE)</f>
        <v/>
      </c>
      <c r="R608" s="22" t="str">
        <f t="shared" si="99"/>
        <v/>
      </c>
      <c r="S608" s="19" t="str">
        <f t="shared" si="100"/>
        <v/>
      </c>
      <c r="T608" s="22" t="str">
        <f t="shared" si="101"/>
        <v/>
      </c>
      <c r="U608" s="19" t="str">
        <f t="shared" si="102"/>
        <v/>
      </c>
      <c r="V608" s="7"/>
      <c r="Y608" s="19" t="str">
        <f>IF('Supplier selection'!AQ608="","",'Supplier selection'!AQ608)</f>
        <v/>
      </c>
      <c r="Z608" s="19" t="str">
        <f>IF('Supplier selection'!AR608="","",'Supplier selection'!AR608)</f>
        <v/>
      </c>
      <c r="AA608" s="19" t="str">
        <f t="shared" si="103"/>
        <v/>
      </c>
      <c r="AD608" s="26" t="str">
        <f>IF(AND('Supplier selection'!X608="",'Supplier selection'!AE608=""),"",IF('Supplier selection'!X608="",'Supplier selection'!AE608,'Supplier selection'!X608))</f>
        <v/>
      </c>
      <c r="AE608" s="19" t="str">
        <f t="shared" si="104"/>
        <v/>
      </c>
      <c r="AF608" s="19" t="str">
        <f t="shared" si="105"/>
        <v/>
      </c>
      <c r="AG608" s="27" t="str">
        <f>IF(AND('Supplier selection'!AB608="",'Supplier selection'!AI608=""),"",IF('Supplier selection'!AB608="",'Supplier selection'!AI608,'Supplier selection'!AB608))</f>
        <v/>
      </c>
      <c r="AH608" s="28" t="str">
        <f t="shared" si="106"/>
        <v/>
      </c>
      <c r="AI608" s="7" t="str">
        <f t="shared" si="107"/>
        <v/>
      </c>
      <c r="AJ608" s="22" t="str">
        <f t="shared" si="108"/>
        <v/>
      </c>
      <c r="AK608" s="29" t="str">
        <f t="shared" si="109"/>
        <v/>
      </c>
      <c r="AL608" s="10"/>
    </row>
    <row r="609" spans="1:38">
      <c r="A609" s="19">
        <f>IF('Supplier selection'!A609="","",'Supplier selection'!A609)</f>
        <v>605</v>
      </c>
      <c r="B609" s="19" t="str">
        <f>IF('Supplier selection'!B609="","",'Supplier selection'!B609)</f>
        <v/>
      </c>
      <c r="C609" s="19" t="str">
        <f>IF('Supplier selection'!C609="","",'Supplier selection'!C609)</f>
        <v/>
      </c>
      <c r="D609" s="19" t="str">
        <f>IF('Supplier selection'!D609="","",'Supplier selection'!D609)</f>
        <v/>
      </c>
      <c r="E609" s="19" t="str">
        <f>IF('Supplier selection'!E609="","",'Supplier selection'!E609)</f>
        <v/>
      </c>
      <c r="F609" s="19" t="str">
        <f>IF('Supplier selection'!F609="","",'Supplier selection'!F609)</f>
        <v/>
      </c>
      <c r="G609" s="19" t="str">
        <f>IF('Supplier selection'!G609="","",'Supplier selection'!G609)</f>
        <v/>
      </c>
      <c r="H609" s="19" t="str">
        <f>IF('Supplier selection'!H609="","",'Supplier selection'!H609)</f>
        <v/>
      </c>
      <c r="I609" s="19" t="str">
        <f>IF('Supplier selection'!I609="","",'Supplier selection'!I609)</f>
        <v/>
      </c>
      <c r="J609" s="19" t="str">
        <f>IF('Supplier selection'!J609="","",'Supplier selection'!J609)</f>
        <v/>
      </c>
      <c r="K609" s="19" t="str">
        <f>IF('Supplier selection'!K609="","",'Supplier selection'!K609)</f>
        <v/>
      </c>
      <c r="L609" s="19" t="str">
        <f>IF('Supplier selection'!L609="","",'Supplier selection'!L609)</f>
        <v/>
      </c>
      <c r="M609" s="19" t="str">
        <f>IF('Supplier selection'!M609="","",'Supplier selection'!M609)</f>
        <v/>
      </c>
      <c r="N609" s="19" t="str">
        <f>IF('Supplier selection'!N609="","",'Supplier selection'!N609)</f>
        <v/>
      </c>
      <c r="O609" s="19" t="str">
        <f>IF('Supplier selection'!O609="","",'Supplier selection'!O609)</f>
        <v/>
      </c>
      <c r="Q609" s="19" t="str">
        <f>HLOOKUP($Q$3,'Supplier selection'!$AW$4:'Supplier selection'!$CT$1000,$A610,FALSE)</f>
        <v/>
      </c>
      <c r="R609" s="22" t="str">
        <f t="shared" si="99"/>
        <v/>
      </c>
      <c r="S609" s="19" t="str">
        <f t="shared" si="100"/>
        <v/>
      </c>
      <c r="T609" s="22" t="str">
        <f t="shared" si="101"/>
        <v/>
      </c>
      <c r="U609" s="19" t="str">
        <f t="shared" si="102"/>
        <v/>
      </c>
      <c r="V609" s="7"/>
      <c r="Y609" s="19" t="str">
        <f>IF('Supplier selection'!AQ609="","",'Supplier selection'!AQ609)</f>
        <v/>
      </c>
      <c r="Z609" s="19" t="str">
        <f>IF('Supplier selection'!AR609="","",'Supplier selection'!AR609)</f>
        <v/>
      </c>
      <c r="AA609" s="19" t="str">
        <f t="shared" si="103"/>
        <v/>
      </c>
      <c r="AD609" s="26" t="str">
        <f>IF(AND('Supplier selection'!X609="",'Supplier selection'!AE609=""),"",IF('Supplier selection'!X609="",'Supplier selection'!AE609,'Supplier selection'!X609))</f>
        <v/>
      </c>
      <c r="AE609" s="19" t="str">
        <f t="shared" si="104"/>
        <v/>
      </c>
      <c r="AF609" s="19" t="str">
        <f t="shared" si="105"/>
        <v/>
      </c>
      <c r="AG609" s="27" t="str">
        <f>IF(AND('Supplier selection'!AB609="",'Supplier selection'!AI609=""),"",IF('Supplier selection'!AB609="",'Supplier selection'!AI609,'Supplier selection'!AB609))</f>
        <v/>
      </c>
      <c r="AH609" s="28" t="str">
        <f t="shared" si="106"/>
        <v/>
      </c>
      <c r="AI609" s="7" t="str">
        <f t="shared" si="107"/>
        <v/>
      </c>
      <c r="AJ609" s="22" t="str">
        <f t="shared" si="108"/>
        <v/>
      </c>
      <c r="AK609" s="29" t="str">
        <f t="shared" si="109"/>
        <v/>
      </c>
      <c r="AL609" s="10"/>
    </row>
    <row r="610" spans="1:38">
      <c r="A610" s="19">
        <f>IF('Supplier selection'!A610="","",'Supplier selection'!A610)</f>
        <v>606</v>
      </c>
      <c r="B610" s="19" t="str">
        <f>IF('Supplier selection'!B610="","",'Supplier selection'!B610)</f>
        <v/>
      </c>
      <c r="C610" s="19" t="str">
        <f>IF('Supplier selection'!C610="","",'Supplier selection'!C610)</f>
        <v/>
      </c>
      <c r="D610" s="19" t="str">
        <f>IF('Supplier selection'!D610="","",'Supplier selection'!D610)</f>
        <v/>
      </c>
      <c r="E610" s="19" t="str">
        <f>IF('Supplier selection'!E610="","",'Supplier selection'!E610)</f>
        <v/>
      </c>
      <c r="F610" s="19" t="str">
        <f>IF('Supplier selection'!F610="","",'Supplier selection'!F610)</f>
        <v/>
      </c>
      <c r="G610" s="19" t="str">
        <f>IF('Supplier selection'!G610="","",'Supplier selection'!G610)</f>
        <v/>
      </c>
      <c r="H610" s="19" t="str">
        <f>IF('Supplier selection'!H610="","",'Supplier selection'!H610)</f>
        <v/>
      </c>
      <c r="I610" s="19" t="str">
        <f>IF('Supplier selection'!I610="","",'Supplier selection'!I610)</f>
        <v/>
      </c>
      <c r="J610" s="19" t="str">
        <f>IF('Supplier selection'!J610="","",'Supplier selection'!J610)</f>
        <v/>
      </c>
      <c r="K610" s="19" t="str">
        <f>IF('Supplier selection'!K610="","",'Supplier selection'!K610)</f>
        <v/>
      </c>
      <c r="L610" s="19" t="str">
        <f>IF('Supplier selection'!L610="","",'Supplier selection'!L610)</f>
        <v/>
      </c>
      <c r="M610" s="19" t="str">
        <f>IF('Supplier selection'!M610="","",'Supplier selection'!M610)</f>
        <v/>
      </c>
      <c r="N610" s="19" t="str">
        <f>IF('Supplier selection'!N610="","",'Supplier selection'!N610)</f>
        <v/>
      </c>
      <c r="O610" s="19" t="str">
        <f>IF('Supplier selection'!O610="","",'Supplier selection'!O610)</f>
        <v/>
      </c>
      <c r="Q610" s="19" t="str">
        <f>HLOOKUP($Q$3,'Supplier selection'!$AW$4:'Supplier selection'!$CT$1000,$A611,FALSE)</f>
        <v/>
      </c>
      <c r="R610" s="22" t="str">
        <f t="shared" si="99"/>
        <v/>
      </c>
      <c r="S610" s="19" t="str">
        <f t="shared" si="100"/>
        <v/>
      </c>
      <c r="T610" s="22" t="str">
        <f t="shared" si="101"/>
        <v/>
      </c>
      <c r="U610" s="19" t="str">
        <f t="shared" si="102"/>
        <v/>
      </c>
      <c r="V610" s="7"/>
      <c r="Y610" s="19" t="str">
        <f>IF('Supplier selection'!AQ610="","",'Supplier selection'!AQ610)</f>
        <v/>
      </c>
      <c r="Z610" s="19" t="str">
        <f>IF('Supplier selection'!AR610="","",'Supplier selection'!AR610)</f>
        <v/>
      </c>
      <c r="AA610" s="19" t="str">
        <f t="shared" si="103"/>
        <v/>
      </c>
      <c r="AD610" s="26" t="str">
        <f>IF(AND('Supplier selection'!X610="",'Supplier selection'!AE610=""),"",IF('Supplier selection'!X610="",'Supplier selection'!AE610,'Supplier selection'!X610))</f>
        <v/>
      </c>
      <c r="AE610" s="19" t="str">
        <f t="shared" si="104"/>
        <v/>
      </c>
      <c r="AF610" s="19" t="str">
        <f t="shared" si="105"/>
        <v/>
      </c>
      <c r="AG610" s="27" t="str">
        <f>IF(AND('Supplier selection'!AB610="",'Supplier selection'!AI610=""),"",IF('Supplier selection'!AB610="",'Supplier selection'!AI610,'Supplier selection'!AB610))</f>
        <v/>
      </c>
      <c r="AH610" s="28" t="str">
        <f t="shared" si="106"/>
        <v/>
      </c>
      <c r="AI610" s="7" t="str">
        <f t="shared" si="107"/>
        <v/>
      </c>
      <c r="AJ610" s="22" t="str">
        <f t="shared" si="108"/>
        <v/>
      </c>
      <c r="AK610" s="29" t="str">
        <f t="shared" si="109"/>
        <v/>
      </c>
      <c r="AL610" s="10"/>
    </row>
    <row r="611" spans="1:38">
      <c r="A611" s="19">
        <f>IF('Supplier selection'!A611="","",'Supplier selection'!A611)</f>
        <v>607</v>
      </c>
      <c r="B611" s="19" t="str">
        <f>IF('Supplier selection'!B611="","",'Supplier selection'!B611)</f>
        <v/>
      </c>
      <c r="C611" s="19" t="str">
        <f>IF('Supplier selection'!C611="","",'Supplier selection'!C611)</f>
        <v/>
      </c>
      <c r="D611" s="19" t="str">
        <f>IF('Supplier selection'!D611="","",'Supplier selection'!D611)</f>
        <v/>
      </c>
      <c r="E611" s="19" t="str">
        <f>IF('Supplier selection'!E611="","",'Supplier selection'!E611)</f>
        <v/>
      </c>
      <c r="F611" s="19" t="str">
        <f>IF('Supplier selection'!F611="","",'Supplier selection'!F611)</f>
        <v/>
      </c>
      <c r="G611" s="19" t="str">
        <f>IF('Supplier selection'!G611="","",'Supplier selection'!G611)</f>
        <v/>
      </c>
      <c r="H611" s="19" t="str">
        <f>IF('Supplier selection'!H611="","",'Supplier selection'!H611)</f>
        <v/>
      </c>
      <c r="I611" s="19" t="str">
        <f>IF('Supplier selection'!I611="","",'Supplier selection'!I611)</f>
        <v/>
      </c>
      <c r="J611" s="19" t="str">
        <f>IF('Supplier selection'!J611="","",'Supplier selection'!J611)</f>
        <v/>
      </c>
      <c r="K611" s="19" t="str">
        <f>IF('Supplier selection'!K611="","",'Supplier selection'!K611)</f>
        <v/>
      </c>
      <c r="L611" s="19" t="str">
        <f>IF('Supplier selection'!L611="","",'Supplier selection'!L611)</f>
        <v/>
      </c>
      <c r="M611" s="19" t="str">
        <f>IF('Supplier selection'!M611="","",'Supplier selection'!M611)</f>
        <v/>
      </c>
      <c r="N611" s="19" t="str">
        <f>IF('Supplier selection'!N611="","",'Supplier selection'!N611)</f>
        <v/>
      </c>
      <c r="O611" s="19" t="str">
        <f>IF('Supplier selection'!O611="","",'Supplier selection'!O611)</f>
        <v/>
      </c>
      <c r="Q611" s="19" t="str">
        <f>HLOOKUP($Q$3,'Supplier selection'!$AW$4:'Supplier selection'!$CT$1000,$A612,FALSE)</f>
        <v/>
      </c>
      <c r="R611" s="22" t="str">
        <f t="shared" si="99"/>
        <v/>
      </c>
      <c r="S611" s="19" t="str">
        <f t="shared" si="100"/>
        <v/>
      </c>
      <c r="T611" s="22" t="str">
        <f t="shared" si="101"/>
        <v/>
      </c>
      <c r="U611" s="19" t="str">
        <f t="shared" si="102"/>
        <v/>
      </c>
      <c r="V611" s="7"/>
      <c r="Y611" s="19" t="str">
        <f>IF('Supplier selection'!AQ611="","",'Supplier selection'!AQ611)</f>
        <v/>
      </c>
      <c r="Z611" s="19" t="str">
        <f>IF('Supplier selection'!AR611="","",'Supplier selection'!AR611)</f>
        <v/>
      </c>
      <c r="AA611" s="19" t="str">
        <f t="shared" si="103"/>
        <v/>
      </c>
      <c r="AD611" s="26" t="str">
        <f>IF(AND('Supplier selection'!X611="",'Supplier selection'!AE611=""),"",IF('Supplier selection'!X611="",'Supplier selection'!AE611,'Supplier selection'!X611))</f>
        <v/>
      </c>
      <c r="AE611" s="19" t="str">
        <f t="shared" si="104"/>
        <v/>
      </c>
      <c r="AF611" s="19" t="str">
        <f t="shared" si="105"/>
        <v/>
      </c>
      <c r="AG611" s="27" t="str">
        <f>IF(AND('Supplier selection'!AB611="",'Supplier selection'!AI611=""),"",IF('Supplier selection'!AB611="",'Supplier selection'!AI611,'Supplier selection'!AB611))</f>
        <v/>
      </c>
      <c r="AH611" s="28" t="str">
        <f t="shared" si="106"/>
        <v/>
      </c>
      <c r="AI611" s="7" t="str">
        <f t="shared" si="107"/>
        <v/>
      </c>
      <c r="AJ611" s="22" t="str">
        <f t="shared" si="108"/>
        <v/>
      </c>
      <c r="AK611" s="29" t="str">
        <f t="shared" si="109"/>
        <v/>
      </c>
      <c r="AL611" s="10"/>
    </row>
    <row r="612" spans="1:38">
      <c r="A612" s="19">
        <f>IF('Supplier selection'!A612="","",'Supplier selection'!A612)</f>
        <v>608</v>
      </c>
      <c r="B612" s="19" t="str">
        <f>IF('Supplier selection'!B612="","",'Supplier selection'!B612)</f>
        <v/>
      </c>
      <c r="C612" s="19" t="str">
        <f>IF('Supplier selection'!C612="","",'Supplier selection'!C612)</f>
        <v/>
      </c>
      <c r="D612" s="19" t="str">
        <f>IF('Supplier selection'!D612="","",'Supplier selection'!D612)</f>
        <v/>
      </c>
      <c r="E612" s="19" t="str">
        <f>IF('Supplier selection'!E612="","",'Supplier selection'!E612)</f>
        <v/>
      </c>
      <c r="F612" s="19" t="str">
        <f>IF('Supplier selection'!F612="","",'Supplier selection'!F612)</f>
        <v/>
      </c>
      <c r="G612" s="19" t="str">
        <f>IF('Supplier selection'!G612="","",'Supplier selection'!G612)</f>
        <v/>
      </c>
      <c r="H612" s="19" t="str">
        <f>IF('Supplier selection'!H612="","",'Supplier selection'!H612)</f>
        <v/>
      </c>
      <c r="I612" s="19" t="str">
        <f>IF('Supplier selection'!I612="","",'Supplier selection'!I612)</f>
        <v/>
      </c>
      <c r="J612" s="19" t="str">
        <f>IF('Supplier selection'!J612="","",'Supplier selection'!J612)</f>
        <v/>
      </c>
      <c r="K612" s="19" t="str">
        <f>IF('Supplier selection'!K612="","",'Supplier selection'!K612)</f>
        <v/>
      </c>
      <c r="L612" s="19" t="str">
        <f>IF('Supplier selection'!L612="","",'Supplier selection'!L612)</f>
        <v/>
      </c>
      <c r="M612" s="19" t="str">
        <f>IF('Supplier selection'!M612="","",'Supplier selection'!M612)</f>
        <v/>
      </c>
      <c r="N612" s="19" t="str">
        <f>IF('Supplier selection'!N612="","",'Supplier selection'!N612)</f>
        <v/>
      </c>
      <c r="O612" s="19" t="str">
        <f>IF('Supplier selection'!O612="","",'Supplier selection'!O612)</f>
        <v/>
      </c>
      <c r="Q612" s="19" t="str">
        <f>HLOOKUP($Q$3,'Supplier selection'!$AW$4:'Supplier selection'!$CT$1000,$A613,FALSE)</f>
        <v/>
      </c>
      <c r="R612" s="22" t="str">
        <f t="shared" si="99"/>
        <v/>
      </c>
      <c r="S612" s="19" t="str">
        <f t="shared" si="100"/>
        <v/>
      </c>
      <c r="T612" s="22" t="str">
        <f t="shared" si="101"/>
        <v/>
      </c>
      <c r="U612" s="19" t="str">
        <f t="shared" si="102"/>
        <v/>
      </c>
      <c r="V612" s="7"/>
      <c r="Y612" s="19" t="str">
        <f>IF('Supplier selection'!AQ612="","",'Supplier selection'!AQ612)</f>
        <v/>
      </c>
      <c r="Z612" s="19" t="str">
        <f>IF('Supplier selection'!AR612="","",'Supplier selection'!AR612)</f>
        <v/>
      </c>
      <c r="AA612" s="19" t="str">
        <f t="shared" si="103"/>
        <v/>
      </c>
      <c r="AD612" s="26" t="str">
        <f>IF(AND('Supplier selection'!X612="",'Supplier selection'!AE612=""),"",IF('Supplier selection'!X612="",'Supplier selection'!AE612,'Supplier selection'!X612))</f>
        <v/>
      </c>
      <c r="AE612" s="19" t="str">
        <f t="shared" si="104"/>
        <v/>
      </c>
      <c r="AF612" s="19" t="str">
        <f t="shared" si="105"/>
        <v/>
      </c>
      <c r="AG612" s="27" t="str">
        <f>IF(AND('Supplier selection'!AB612="",'Supplier selection'!AI612=""),"",IF('Supplier selection'!AB612="",'Supplier selection'!AI612,'Supplier selection'!AB612))</f>
        <v/>
      </c>
      <c r="AH612" s="28" t="str">
        <f t="shared" si="106"/>
        <v/>
      </c>
      <c r="AI612" s="7" t="str">
        <f t="shared" si="107"/>
        <v/>
      </c>
      <c r="AJ612" s="22" t="str">
        <f t="shared" si="108"/>
        <v/>
      </c>
      <c r="AK612" s="29" t="str">
        <f t="shared" si="109"/>
        <v/>
      </c>
      <c r="AL612" s="10"/>
    </row>
    <row r="613" spans="1:38">
      <c r="A613" s="19">
        <f>IF('Supplier selection'!A613="","",'Supplier selection'!A613)</f>
        <v>609</v>
      </c>
      <c r="B613" s="19" t="str">
        <f>IF('Supplier selection'!B613="","",'Supplier selection'!B613)</f>
        <v/>
      </c>
      <c r="C613" s="19" t="str">
        <f>IF('Supplier selection'!C613="","",'Supplier selection'!C613)</f>
        <v/>
      </c>
      <c r="D613" s="19" t="str">
        <f>IF('Supplier selection'!D613="","",'Supplier selection'!D613)</f>
        <v/>
      </c>
      <c r="E613" s="19" t="str">
        <f>IF('Supplier selection'!E613="","",'Supplier selection'!E613)</f>
        <v/>
      </c>
      <c r="F613" s="19" t="str">
        <f>IF('Supplier selection'!F613="","",'Supplier selection'!F613)</f>
        <v/>
      </c>
      <c r="G613" s="19" t="str">
        <f>IF('Supplier selection'!G613="","",'Supplier selection'!G613)</f>
        <v/>
      </c>
      <c r="H613" s="19" t="str">
        <f>IF('Supplier selection'!H613="","",'Supplier selection'!H613)</f>
        <v/>
      </c>
      <c r="I613" s="19" t="str">
        <f>IF('Supplier selection'!I613="","",'Supplier selection'!I613)</f>
        <v/>
      </c>
      <c r="J613" s="19" t="str">
        <f>IF('Supplier selection'!J613="","",'Supplier selection'!J613)</f>
        <v/>
      </c>
      <c r="K613" s="19" t="str">
        <f>IF('Supplier selection'!K613="","",'Supplier selection'!K613)</f>
        <v/>
      </c>
      <c r="L613" s="19" t="str">
        <f>IF('Supplier selection'!L613="","",'Supplier selection'!L613)</f>
        <v/>
      </c>
      <c r="M613" s="19" t="str">
        <f>IF('Supplier selection'!M613="","",'Supplier selection'!M613)</f>
        <v/>
      </c>
      <c r="N613" s="19" t="str">
        <f>IF('Supplier selection'!N613="","",'Supplier selection'!N613)</f>
        <v/>
      </c>
      <c r="O613" s="19" t="str">
        <f>IF('Supplier selection'!O613="","",'Supplier selection'!O613)</f>
        <v/>
      </c>
      <c r="Q613" s="19" t="str">
        <f>HLOOKUP($Q$3,'Supplier selection'!$AW$4:'Supplier selection'!$CT$1000,$A614,FALSE)</f>
        <v/>
      </c>
      <c r="R613" s="22" t="str">
        <f t="shared" si="99"/>
        <v/>
      </c>
      <c r="S613" s="19" t="str">
        <f t="shared" si="100"/>
        <v/>
      </c>
      <c r="T613" s="22" t="str">
        <f t="shared" si="101"/>
        <v/>
      </c>
      <c r="U613" s="19" t="str">
        <f t="shared" si="102"/>
        <v/>
      </c>
      <c r="V613" s="7"/>
      <c r="Y613" s="19" t="str">
        <f>IF('Supplier selection'!AQ613="","",'Supplier selection'!AQ613)</f>
        <v/>
      </c>
      <c r="Z613" s="19" t="str">
        <f>IF('Supplier selection'!AR613="","",'Supplier selection'!AR613)</f>
        <v/>
      </c>
      <c r="AA613" s="19" t="str">
        <f t="shared" si="103"/>
        <v/>
      </c>
      <c r="AD613" s="26" t="str">
        <f>IF(AND('Supplier selection'!X613="",'Supplier selection'!AE613=""),"",IF('Supplier selection'!X613="",'Supplier selection'!AE613,'Supplier selection'!X613))</f>
        <v/>
      </c>
      <c r="AE613" s="19" t="str">
        <f t="shared" si="104"/>
        <v/>
      </c>
      <c r="AF613" s="19" t="str">
        <f t="shared" si="105"/>
        <v/>
      </c>
      <c r="AG613" s="27" t="str">
        <f>IF(AND('Supplier selection'!AB613="",'Supplier selection'!AI613=""),"",IF('Supplier selection'!AB613="",'Supplier selection'!AI613,'Supplier selection'!AB613))</f>
        <v/>
      </c>
      <c r="AH613" s="28" t="str">
        <f t="shared" si="106"/>
        <v/>
      </c>
      <c r="AI613" s="7" t="str">
        <f t="shared" si="107"/>
        <v/>
      </c>
      <c r="AJ613" s="22" t="str">
        <f t="shared" si="108"/>
        <v/>
      </c>
      <c r="AK613" s="29" t="str">
        <f t="shared" si="109"/>
        <v/>
      </c>
      <c r="AL613" s="10"/>
    </row>
    <row r="614" spans="1:38">
      <c r="A614" s="19">
        <f>IF('Supplier selection'!A614="","",'Supplier selection'!A614)</f>
        <v>610</v>
      </c>
      <c r="B614" s="19" t="str">
        <f>IF('Supplier selection'!B614="","",'Supplier selection'!B614)</f>
        <v/>
      </c>
      <c r="C614" s="19" t="str">
        <f>IF('Supplier selection'!C614="","",'Supplier selection'!C614)</f>
        <v/>
      </c>
      <c r="D614" s="19" t="str">
        <f>IF('Supplier selection'!D614="","",'Supplier selection'!D614)</f>
        <v/>
      </c>
      <c r="E614" s="19" t="str">
        <f>IF('Supplier selection'!E614="","",'Supplier selection'!E614)</f>
        <v/>
      </c>
      <c r="F614" s="19" t="str">
        <f>IF('Supplier selection'!F614="","",'Supplier selection'!F614)</f>
        <v/>
      </c>
      <c r="G614" s="19" t="str">
        <f>IF('Supplier selection'!G614="","",'Supplier selection'!G614)</f>
        <v/>
      </c>
      <c r="H614" s="19" t="str">
        <f>IF('Supplier selection'!H614="","",'Supplier selection'!H614)</f>
        <v/>
      </c>
      <c r="I614" s="19" t="str">
        <f>IF('Supplier selection'!I614="","",'Supplier selection'!I614)</f>
        <v/>
      </c>
      <c r="J614" s="19" t="str">
        <f>IF('Supplier selection'!J614="","",'Supplier selection'!J614)</f>
        <v/>
      </c>
      <c r="K614" s="19" t="str">
        <f>IF('Supplier selection'!K614="","",'Supplier selection'!K614)</f>
        <v/>
      </c>
      <c r="L614" s="19" t="str">
        <f>IF('Supplier selection'!L614="","",'Supplier selection'!L614)</f>
        <v/>
      </c>
      <c r="M614" s="19" t="str">
        <f>IF('Supplier selection'!M614="","",'Supplier selection'!M614)</f>
        <v/>
      </c>
      <c r="N614" s="19" t="str">
        <f>IF('Supplier selection'!N614="","",'Supplier selection'!N614)</f>
        <v/>
      </c>
      <c r="O614" s="19" t="str">
        <f>IF('Supplier selection'!O614="","",'Supplier selection'!O614)</f>
        <v/>
      </c>
      <c r="Q614" s="19" t="str">
        <f>HLOOKUP($Q$3,'Supplier selection'!$AW$4:'Supplier selection'!$CT$1000,$A615,FALSE)</f>
        <v/>
      </c>
      <c r="R614" s="22" t="str">
        <f t="shared" si="99"/>
        <v/>
      </c>
      <c r="S614" s="19" t="str">
        <f t="shared" si="100"/>
        <v/>
      </c>
      <c r="T614" s="22" t="str">
        <f t="shared" si="101"/>
        <v/>
      </c>
      <c r="U614" s="19" t="str">
        <f t="shared" si="102"/>
        <v/>
      </c>
      <c r="V614" s="7"/>
      <c r="Y614" s="19" t="str">
        <f>IF('Supplier selection'!AQ614="","",'Supplier selection'!AQ614)</f>
        <v/>
      </c>
      <c r="Z614" s="19" t="str">
        <f>IF('Supplier selection'!AR614="","",'Supplier selection'!AR614)</f>
        <v/>
      </c>
      <c r="AA614" s="19" t="str">
        <f t="shared" si="103"/>
        <v/>
      </c>
      <c r="AD614" s="26" t="str">
        <f>IF(AND('Supplier selection'!X614="",'Supplier selection'!AE614=""),"",IF('Supplier selection'!X614="",'Supplier selection'!AE614,'Supplier selection'!X614))</f>
        <v/>
      </c>
      <c r="AE614" s="19" t="str">
        <f t="shared" si="104"/>
        <v/>
      </c>
      <c r="AF614" s="19" t="str">
        <f t="shared" si="105"/>
        <v/>
      </c>
      <c r="AG614" s="27" t="str">
        <f>IF(AND('Supplier selection'!AB614="",'Supplier selection'!AI614=""),"",IF('Supplier selection'!AB614="",'Supplier selection'!AI614,'Supplier selection'!AB614))</f>
        <v/>
      </c>
      <c r="AH614" s="28" t="str">
        <f t="shared" si="106"/>
        <v/>
      </c>
      <c r="AI614" s="7" t="str">
        <f t="shared" si="107"/>
        <v/>
      </c>
      <c r="AJ614" s="22" t="str">
        <f t="shared" si="108"/>
        <v/>
      </c>
      <c r="AK614" s="29" t="str">
        <f t="shared" si="109"/>
        <v/>
      </c>
      <c r="AL614" s="10"/>
    </row>
    <row r="615" spans="1:38">
      <c r="A615" s="19">
        <f>IF('Supplier selection'!A615="","",'Supplier selection'!A615)</f>
        <v>611</v>
      </c>
      <c r="B615" s="19" t="str">
        <f>IF('Supplier selection'!B615="","",'Supplier selection'!B615)</f>
        <v/>
      </c>
      <c r="C615" s="19" t="str">
        <f>IF('Supplier selection'!C615="","",'Supplier selection'!C615)</f>
        <v/>
      </c>
      <c r="D615" s="19" t="str">
        <f>IF('Supplier selection'!D615="","",'Supplier selection'!D615)</f>
        <v/>
      </c>
      <c r="E615" s="19" t="str">
        <f>IF('Supplier selection'!E615="","",'Supplier selection'!E615)</f>
        <v/>
      </c>
      <c r="F615" s="19" t="str">
        <f>IF('Supplier selection'!F615="","",'Supplier selection'!F615)</f>
        <v/>
      </c>
      <c r="G615" s="19" t="str">
        <f>IF('Supplier selection'!G615="","",'Supplier selection'!G615)</f>
        <v/>
      </c>
      <c r="H615" s="19" t="str">
        <f>IF('Supplier selection'!H615="","",'Supplier selection'!H615)</f>
        <v/>
      </c>
      <c r="I615" s="19" t="str">
        <f>IF('Supplier selection'!I615="","",'Supplier selection'!I615)</f>
        <v/>
      </c>
      <c r="J615" s="19" t="str">
        <f>IF('Supplier selection'!J615="","",'Supplier selection'!J615)</f>
        <v/>
      </c>
      <c r="K615" s="19" t="str">
        <f>IF('Supplier selection'!K615="","",'Supplier selection'!K615)</f>
        <v/>
      </c>
      <c r="L615" s="19" t="str">
        <f>IF('Supplier selection'!L615="","",'Supplier selection'!L615)</f>
        <v/>
      </c>
      <c r="M615" s="19" t="str">
        <f>IF('Supplier selection'!M615="","",'Supplier selection'!M615)</f>
        <v/>
      </c>
      <c r="N615" s="19" t="str">
        <f>IF('Supplier selection'!N615="","",'Supplier selection'!N615)</f>
        <v/>
      </c>
      <c r="O615" s="19" t="str">
        <f>IF('Supplier selection'!O615="","",'Supplier selection'!O615)</f>
        <v/>
      </c>
      <c r="Q615" s="19" t="str">
        <f>HLOOKUP($Q$3,'Supplier selection'!$AW$4:'Supplier selection'!$CT$1000,$A616,FALSE)</f>
        <v/>
      </c>
      <c r="R615" s="22" t="str">
        <f t="shared" si="99"/>
        <v/>
      </c>
      <c r="S615" s="19" t="str">
        <f t="shared" si="100"/>
        <v/>
      </c>
      <c r="T615" s="22" t="str">
        <f t="shared" si="101"/>
        <v/>
      </c>
      <c r="U615" s="19" t="str">
        <f t="shared" si="102"/>
        <v/>
      </c>
      <c r="V615" s="7"/>
      <c r="Y615" s="19" t="str">
        <f>IF('Supplier selection'!AQ615="","",'Supplier selection'!AQ615)</f>
        <v/>
      </c>
      <c r="Z615" s="19" t="str">
        <f>IF('Supplier selection'!AR615="","",'Supplier selection'!AR615)</f>
        <v/>
      </c>
      <c r="AA615" s="19" t="str">
        <f t="shared" si="103"/>
        <v/>
      </c>
      <c r="AD615" s="26" t="str">
        <f>IF(AND('Supplier selection'!X615="",'Supplier selection'!AE615=""),"",IF('Supplier selection'!X615="",'Supplier selection'!AE615,'Supplier selection'!X615))</f>
        <v/>
      </c>
      <c r="AE615" s="19" t="str">
        <f t="shared" si="104"/>
        <v/>
      </c>
      <c r="AF615" s="19" t="str">
        <f t="shared" si="105"/>
        <v/>
      </c>
      <c r="AG615" s="27" t="str">
        <f>IF(AND('Supplier selection'!AB615="",'Supplier selection'!AI615=""),"",IF('Supplier selection'!AB615="",'Supplier selection'!AI615,'Supplier selection'!AB615))</f>
        <v/>
      </c>
      <c r="AH615" s="28" t="str">
        <f t="shared" si="106"/>
        <v/>
      </c>
      <c r="AI615" s="7" t="str">
        <f t="shared" si="107"/>
        <v/>
      </c>
      <c r="AJ615" s="22" t="str">
        <f t="shared" si="108"/>
        <v/>
      </c>
      <c r="AK615" s="29" t="str">
        <f t="shared" si="109"/>
        <v/>
      </c>
      <c r="AL615" s="10"/>
    </row>
    <row r="616" spans="1:38">
      <c r="A616" s="19">
        <f>IF('Supplier selection'!A616="","",'Supplier selection'!A616)</f>
        <v>612</v>
      </c>
      <c r="B616" s="19" t="str">
        <f>IF('Supplier selection'!B616="","",'Supplier selection'!B616)</f>
        <v/>
      </c>
      <c r="C616" s="19" t="str">
        <f>IF('Supplier selection'!C616="","",'Supplier selection'!C616)</f>
        <v/>
      </c>
      <c r="D616" s="19" t="str">
        <f>IF('Supplier selection'!D616="","",'Supplier selection'!D616)</f>
        <v/>
      </c>
      <c r="E616" s="19" t="str">
        <f>IF('Supplier selection'!E616="","",'Supplier selection'!E616)</f>
        <v/>
      </c>
      <c r="F616" s="19" t="str">
        <f>IF('Supplier selection'!F616="","",'Supplier selection'!F616)</f>
        <v/>
      </c>
      <c r="G616" s="19" t="str">
        <f>IF('Supplier selection'!G616="","",'Supplier selection'!G616)</f>
        <v/>
      </c>
      <c r="H616" s="19" t="str">
        <f>IF('Supplier selection'!H616="","",'Supplier selection'!H616)</f>
        <v/>
      </c>
      <c r="I616" s="19" t="str">
        <f>IF('Supplier selection'!I616="","",'Supplier selection'!I616)</f>
        <v/>
      </c>
      <c r="J616" s="19" t="str">
        <f>IF('Supplier selection'!J616="","",'Supplier selection'!J616)</f>
        <v/>
      </c>
      <c r="K616" s="19" t="str">
        <f>IF('Supplier selection'!K616="","",'Supplier selection'!K616)</f>
        <v/>
      </c>
      <c r="L616" s="19" t="str">
        <f>IF('Supplier selection'!L616="","",'Supplier selection'!L616)</f>
        <v/>
      </c>
      <c r="M616" s="19" t="str">
        <f>IF('Supplier selection'!M616="","",'Supplier selection'!M616)</f>
        <v/>
      </c>
      <c r="N616" s="19" t="str">
        <f>IF('Supplier selection'!N616="","",'Supplier selection'!N616)</f>
        <v/>
      </c>
      <c r="O616" s="19" t="str">
        <f>IF('Supplier selection'!O616="","",'Supplier selection'!O616)</f>
        <v/>
      </c>
      <c r="Q616" s="19" t="str">
        <f>HLOOKUP($Q$3,'Supplier selection'!$AW$4:'Supplier selection'!$CT$1000,$A617,FALSE)</f>
        <v/>
      </c>
      <c r="R616" s="22" t="str">
        <f t="shared" si="99"/>
        <v/>
      </c>
      <c r="S616" s="19" t="str">
        <f t="shared" si="100"/>
        <v/>
      </c>
      <c r="T616" s="22" t="str">
        <f t="shared" si="101"/>
        <v/>
      </c>
      <c r="U616" s="19" t="str">
        <f t="shared" si="102"/>
        <v/>
      </c>
      <c r="V616" s="7"/>
      <c r="Y616" s="19" t="str">
        <f>IF('Supplier selection'!AQ616="","",'Supplier selection'!AQ616)</f>
        <v/>
      </c>
      <c r="Z616" s="19" t="str">
        <f>IF('Supplier selection'!AR616="","",'Supplier selection'!AR616)</f>
        <v/>
      </c>
      <c r="AA616" s="19" t="str">
        <f t="shared" si="103"/>
        <v/>
      </c>
      <c r="AD616" s="26" t="str">
        <f>IF(AND('Supplier selection'!X616="",'Supplier selection'!AE616=""),"",IF('Supplier selection'!X616="",'Supplier selection'!AE616,'Supplier selection'!X616))</f>
        <v/>
      </c>
      <c r="AE616" s="19" t="str">
        <f t="shared" si="104"/>
        <v/>
      </c>
      <c r="AF616" s="19" t="str">
        <f t="shared" si="105"/>
        <v/>
      </c>
      <c r="AG616" s="27" t="str">
        <f>IF(AND('Supplier selection'!AB616="",'Supplier selection'!AI616=""),"",IF('Supplier selection'!AB616="",'Supplier selection'!AI616,'Supplier selection'!AB616))</f>
        <v/>
      </c>
      <c r="AH616" s="28" t="str">
        <f t="shared" si="106"/>
        <v/>
      </c>
      <c r="AI616" s="7" t="str">
        <f t="shared" si="107"/>
        <v/>
      </c>
      <c r="AJ616" s="22" t="str">
        <f t="shared" si="108"/>
        <v/>
      </c>
      <c r="AK616" s="29" t="str">
        <f t="shared" si="109"/>
        <v/>
      </c>
      <c r="AL616" s="10"/>
    </row>
    <row r="617" spans="1:38">
      <c r="A617" s="19">
        <f>IF('Supplier selection'!A617="","",'Supplier selection'!A617)</f>
        <v>613</v>
      </c>
      <c r="B617" s="19" t="str">
        <f>IF('Supplier selection'!B617="","",'Supplier selection'!B617)</f>
        <v/>
      </c>
      <c r="C617" s="19" t="str">
        <f>IF('Supplier selection'!C617="","",'Supplier selection'!C617)</f>
        <v/>
      </c>
      <c r="D617" s="19" t="str">
        <f>IF('Supplier selection'!D617="","",'Supplier selection'!D617)</f>
        <v/>
      </c>
      <c r="E617" s="19" t="str">
        <f>IF('Supplier selection'!E617="","",'Supplier selection'!E617)</f>
        <v/>
      </c>
      <c r="F617" s="19" t="str">
        <f>IF('Supplier selection'!F617="","",'Supplier selection'!F617)</f>
        <v/>
      </c>
      <c r="G617" s="19" t="str">
        <f>IF('Supplier selection'!G617="","",'Supplier selection'!G617)</f>
        <v/>
      </c>
      <c r="H617" s="19" t="str">
        <f>IF('Supplier selection'!H617="","",'Supplier selection'!H617)</f>
        <v/>
      </c>
      <c r="I617" s="19" t="str">
        <f>IF('Supplier selection'!I617="","",'Supplier selection'!I617)</f>
        <v/>
      </c>
      <c r="J617" s="19" t="str">
        <f>IF('Supplier selection'!J617="","",'Supplier selection'!J617)</f>
        <v/>
      </c>
      <c r="K617" s="19" t="str">
        <f>IF('Supplier selection'!K617="","",'Supplier selection'!K617)</f>
        <v/>
      </c>
      <c r="L617" s="19" t="str">
        <f>IF('Supplier selection'!L617="","",'Supplier selection'!L617)</f>
        <v/>
      </c>
      <c r="M617" s="19" t="str">
        <f>IF('Supplier selection'!M617="","",'Supplier selection'!M617)</f>
        <v/>
      </c>
      <c r="N617" s="19" t="str">
        <f>IF('Supplier selection'!N617="","",'Supplier selection'!N617)</f>
        <v/>
      </c>
      <c r="O617" s="19" t="str">
        <f>IF('Supplier selection'!O617="","",'Supplier selection'!O617)</f>
        <v/>
      </c>
      <c r="Q617" s="19" t="str">
        <f>HLOOKUP($Q$3,'Supplier selection'!$AW$4:'Supplier selection'!$CT$1000,$A618,FALSE)</f>
        <v/>
      </c>
      <c r="R617" s="22" t="str">
        <f t="shared" si="99"/>
        <v/>
      </c>
      <c r="S617" s="19" t="str">
        <f t="shared" si="100"/>
        <v/>
      </c>
      <c r="T617" s="22" t="str">
        <f t="shared" si="101"/>
        <v/>
      </c>
      <c r="U617" s="19" t="str">
        <f t="shared" si="102"/>
        <v/>
      </c>
      <c r="V617" s="7"/>
      <c r="Y617" s="19" t="str">
        <f>IF('Supplier selection'!AQ617="","",'Supplier selection'!AQ617)</f>
        <v/>
      </c>
      <c r="Z617" s="19" t="str">
        <f>IF('Supplier selection'!AR617="","",'Supplier selection'!AR617)</f>
        <v/>
      </c>
      <c r="AA617" s="19" t="str">
        <f t="shared" si="103"/>
        <v/>
      </c>
      <c r="AD617" s="26" t="str">
        <f>IF(AND('Supplier selection'!X617="",'Supplier selection'!AE617=""),"",IF('Supplier selection'!X617="",'Supplier selection'!AE617,'Supplier selection'!X617))</f>
        <v/>
      </c>
      <c r="AE617" s="19" t="str">
        <f t="shared" si="104"/>
        <v/>
      </c>
      <c r="AF617" s="19" t="str">
        <f t="shared" si="105"/>
        <v/>
      </c>
      <c r="AG617" s="27" t="str">
        <f>IF(AND('Supplier selection'!AB617="",'Supplier selection'!AI617=""),"",IF('Supplier selection'!AB617="",'Supplier selection'!AI617,'Supplier selection'!AB617))</f>
        <v/>
      </c>
      <c r="AH617" s="28" t="str">
        <f t="shared" si="106"/>
        <v/>
      </c>
      <c r="AI617" s="7" t="str">
        <f t="shared" si="107"/>
        <v/>
      </c>
      <c r="AJ617" s="22" t="str">
        <f t="shared" si="108"/>
        <v/>
      </c>
      <c r="AK617" s="29" t="str">
        <f t="shared" si="109"/>
        <v/>
      </c>
      <c r="AL617" s="10"/>
    </row>
    <row r="618" spans="1:38">
      <c r="A618" s="19">
        <f>IF('Supplier selection'!A618="","",'Supplier selection'!A618)</f>
        <v>614</v>
      </c>
      <c r="B618" s="19" t="str">
        <f>IF('Supplier selection'!B618="","",'Supplier selection'!B618)</f>
        <v/>
      </c>
      <c r="C618" s="19" t="str">
        <f>IF('Supplier selection'!C618="","",'Supplier selection'!C618)</f>
        <v/>
      </c>
      <c r="D618" s="19" t="str">
        <f>IF('Supplier selection'!D618="","",'Supplier selection'!D618)</f>
        <v/>
      </c>
      <c r="E618" s="19" t="str">
        <f>IF('Supplier selection'!E618="","",'Supplier selection'!E618)</f>
        <v/>
      </c>
      <c r="F618" s="19" t="str">
        <f>IF('Supplier selection'!F618="","",'Supplier selection'!F618)</f>
        <v/>
      </c>
      <c r="G618" s="19" t="str">
        <f>IF('Supplier selection'!G618="","",'Supplier selection'!G618)</f>
        <v/>
      </c>
      <c r="H618" s="19" t="str">
        <f>IF('Supplier selection'!H618="","",'Supplier selection'!H618)</f>
        <v/>
      </c>
      <c r="I618" s="19" t="str">
        <f>IF('Supplier selection'!I618="","",'Supplier selection'!I618)</f>
        <v/>
      </c>
      <c r="J618" s="19" t="str">
        <f>IF('Supplier selection'!J618="","",'Supplier selection'!J618)</f>
        <v/>
      </c>
      <c r="K618" s="19" t="str">
        <f>IF('Supplier selection'!K618="","",'Supplier selection'!K618)</f>
        <v/>
      </c>
      <c r="L618" s="19" t="str">
        <f>IF('Supplier selection'!L618="","",'Supplier selection'!L618)</f>
        <v/>
      </c>
      <c r="M618" s="19" t="str">
        <f>IF('Supplier selection'!M618="","",'Supplier selection'!M618)</f>
        <v/>
      </c>
      <c r="N618" s="19" t="str">
        <f>IF('Supplier selection'!N618="","",'Supplier selection'!N618)</f>
        <v/>
      </c>
      <c r="O618" s="19" t="str">
        <f>IF('Supplier selection'!O618="","",'Supplier selection'!O618)</f>
        <v/>
      </c>
      <c r="Q618" s="19" t="str">
        <f>HLOOKUP($Q$3,'Supplier selection'!$AW$4:'Supplier selection'!$CT$1000,$A619,FALSE)</f>
        <v/>
      </c>
      <c r="R618" s="22" t="str">
        <f t="shared" si="99"/>
        <v/>
      </c>
      <c r="S618" s="19" t="str">
        <f t="shared" si="100"/>
        <v/>
      </c>
      <c r="T618" s="22" t="str">
        <f t="shared" si="101"/>
        <v/>
      </c>
      <c r="U618" s="19" t="str">
        <f t="shared" si="102"/>
        <v/>
      </c>
      <c r="V618" s="7"/>
      <c r="Y618" s="19" t="str">
        <f>IF('Supplier selection'!AQ618="","",'Supplier selection'!AQ618)</f>
        <v/>
      </c>
      <c r="Z618" s="19" t="str">
        <f>IF('Supplier selection'!AR618="","",'Supplier selection'!AR618)</f>
        <v/>
      </c>
      <c r="AA618" s="19" t="str">
        <f t="shared" si="103"/>
        <v/>
      </c>
      <c r="AD618" s="26" t="str">
        <f>IF(AND('Supplier selection'!X618="",'Supplier selection'!AE618=""),"",IF('Supplier selection'!X618="",'Supplier selection'!AE618,'Supplier selection'!X618))</f>
        <v/>
      </c>
      <c r="AE618" s="19" t="str">
        <f t="shared" si="104"/>
        <v/>
      </c>
      <c r="AF618" s="19" t="str">
        <f t="shared" si="105"/>
        <v/>
      </c>
      <c r="AG618" s="27" t="str">
        <f>IF(AND('Supplier selection'!AB618="",'Supplier selection'!AI618=""),"",IF('Supplier selection'!AB618="",'Supplier selection'!AI618,'Supplier selection'!AB618))</f>
        <v/>
      </c>
      <c r="AH618" s="28" t="str">
        <f t="shared" si="106"/>
        <v/>
      </c>
      <c r="AI618" s="7" t="str">
        <f t="shared" si="107"/>
        <v/>
      </c>
      <c r="AJ618" s="22" t="str">
        <f t="shared" si="108"/>
        <v/>
      </c>
      <c r="AK618" s="29" t="str">
        <f t="shared" si="109"/>
        <v/>
      </c>
      <c r="AL618" s="10"/>
    </row>
    <row r="619" spans="1:38">
      <c r="A619" s="19">
        <f>IF('Supplier selection'!A619="","",'Supplier selection'!A619)</f>
        <v>615</v>
      </c>
      <c r="B619" s="19" t="str">
        <f>IF('Supplier selection'!B619="","",'Supplier selection'!B619)</f>
        <v/>
      </c>
      <c r="C619" s="19" t="str">
        <f>IF('Supplier selection'!C619="","",'Supplier selection'!C619)</f>
        <v/>
      </c>
      <c r="D619" s="19" t="str">
        <f>IF('Supplier selection'!D619="","",'Supplier selection'!D619)</f>
        <v/>
      </c>
      <c r="E619" s="19" t="str">
        <f>IF('Supplier selection'!E619="","",'Supplier selection'!E619)</f>
        <v/>
      </c>
      <c r="F619" s="19" t="str">
        <f>IF('Supplier selection'!F619="","",'Supplier selection'!F619)</f>
        <v/>
      </c>
      <c r="G619" s="19" t="str">
        <f>IF('Supplier selection'!G619="","",'Supplier selection'!G619)</f>
        <v/>
      </c>
      <c r="H619" s="19" t="str">
        <f>IF('Supplier selection'!H619="","",'Supplier selection'!H619)</f>
        <v/>
      </c>
      <c r="I619" s="19" t="str">
        <f>IF('Supplier selection'!I619="","",'Supplier selection'!I619)</f>
        <v/>
      </c>
      <c r="J619" s="19" t="str">
        <f>IF('Supplier selection'!J619="","",'Supplier selection'!J619)</f>
        <v/>
      </c>
      <c r="K619" s="19" t="str">
        <f>IF('Supplier selection'!K619="","",'Supplier selection'!K619)</f>
        <v/>
      </c>
      <c r="L619" s="19" t="str">
        <f>IF('Supplier selection'!L619="","",'Supplier selection'!L619)</f>
        <v/>
      </c>
      <c r="M619" s="19" t="str">
        <f>IF('Supplier selection'!M619="","",'Supplier selection'!M619)</f>
        <v/>
      </c>
      <c r="N619" s="19" t="str">
        <f>IF('Supplier selection'!N619="","",'Supplier selection'!N619)</f>
        <v/>
      </c>
      <c r="O619" s="19" t="str">
        <f>IF('Supplier selection'!O619="","",'Supplier selection'!O619)</f>
        <v/>
      </c>
      <c r="Q619" s="19" t="str">
        <f>HLOOKUP($Q$3,'Supplier selection'!$AW$4:'Supplier selection'!$CT$1000,$A620,FALSE)</f>
        <v/>
      </c>
      <c r="R619" s="22" t="str">
        <f t="shared" si="99"/>
        <v/>
      </c>
      <c r="S619" s="19" t="str">
        <f t="shared" si="100"/>
        <v/>
      </c>
      <c r="T619" s="22" t="str">
        <f t="shared" si="101"/>
        <v/>
      </c>
      <c r="U619" s="19" t="str">
        <f t="shared" si="102"/>
        <v/>
      </c>
      <c r="V619" s="7"/>
      <c r="Y619" s="19" t="str">
        <f>IF('Supplier selection'!AQ619="","",'Supplier selection'!AQ619)</f>
        <v/>
      </c>
      <c r="Z619" s="19" t="str">
        <f>IF('Supplier selection'!AR619="","",'Supplier selection'!AR619)</f>
        <v/>
      </c>
      <c r="AA619" s="19" t="str">
        <f t="shared" si="103"/>
        <v/>
      </c>
      <c r="AD619" s="26" t="str">
        <f>IF(AND('Supplier selection'!X619="",'Supplier selection'!AE619=""),"",IF('Supplier selection'!X619="",'Supplier selection'!AE619,'Supplier selection'!X619))</f>
        <v/>
      </c>
      <c r="AE619" s="19" t="str">
        <f t="shared" si="104"/>
        <v/>
      </c>
      <c r="AF619" s="19" t="str">
        <f t="shared" si="105"/>
        <v/>
      </c>
      <c r="AG619" s="27" t="str">
        <f>IF(AND('Supplier selection'!AB619="",'Supplier selection'!AI619=""),"",IF('Supplier selection'!AB619="",'Supplier selection'!AI619,'Supplier selection'!AB619))</f>
        <v/>
      </c>
      <c r="AH619" s="28" t="str">
        <f t="shared" si="106"/>
        <v/>
      </c>
      <c r="AI619" s="7" t="str">
        <f t="shared" si="107"/>
        <v/>
      </c>
      <c r="AJ619" s="22" t="str">
        <f t="shared" si="108"/>
        <v/>
      </c>
      <c r="AK619" s="29" t="str">
        <f t="shared" si="109"/>
        <v/>
      </c>
      <c r="AL619" s="10"/>
    </row>
    <row r="620" spans="1:38">
      <c r="A620" s="19">
        <f>IF('Supplier selection'!A620="","",'Supplier selection'!A620)</f>
        <v>616</v>
      </c>
      <c r="B620" s="19" t="str">
        <f>IF('Supplier selection'!B620="","",'Supplier selection'!B620)</f>
        <v/>
      </c>
      <c r="C620" s="19" t="str">
        <f>IF('Supplier selection'!C620="","",'Supplier selection'!C620)</f>
        <v/>
      </c>
      <c r="D620" s="19" t="str">
        <f>IF('Supplier selection'!D620="","",'Supplier selection'!D620)</f>
        <v/>
      </c>
      <c r="E620" s="19" t="str">
        <f>IF('Supplier selection'!E620="","",'Supplier selection'!E620)</f>
        <v/>
      </c>
      <c r="F620" s="19" t="str">
        <f>IF('Supplier selection'!F620="","",'Supplier selection'!F620)</f>
        <v/>
      </c>
      <c r="G620" s="19" t="str">
        <f>IF('Supplier selection'!G620="","",'Supplier selection'!G620)</f>
        <v/>
      </c>
      <c r="H620" s="19" t="str">
        <f>IF('Supplier selection'!H620="","",'Supplier selection'!H620)</f>
        <v/>
      </c>
      <c r="I620" s="19" t="str">
        <f>IF('Supplier selection'!I620="","",'Supplier selection'!I620)</f>
        <v/>
      </c>
      <c r="J620" s="19" t="str">
        <f>IF('Supplier selection'!J620="","",'Supplier selection'!J620)</f>
        <v/>
      </c>
      <c r="K620" s="19" t="str">
        <f>IF('Supplier selection'!K620="","",'Supplier selection'!K620)</f>
        <v/>
      </c>
      <c r="L620" s="19" t="str">
        <f>IF('Supplier selection'!L620="","",'Supplier selection'!L620)</f>
        <v/>
      </c>
      <c r="M620" s="19" t="str">
        <f>IF('Supplier selection'!M620="","",'Supplier selection'!M620)</f>
        <v/>
      </c>
      <c r="N620" s="19" t="str">
        <f>IF('Supplier selection'!N620="","",'Supplier selection'!N620)</f>
        <v/>
      </c>
      <c r="O620" s="19" t="str">
        <f>IF('Supplier selection'!O620="","",'Supplier selection'!O620)</f>
        <v/>
      </c>
      <c r="Q620" s="19" t="str">
        <f>HLOOKUP($Q$3,'Supplier selection'!$AW$4:'Supplier selection'!$CT$1000,$A621,FALSE)</f>
        <v/>
      </c>
      <c r="R620" s="22" t="str">
        <f t="shared" si="99"/>
        <v/>
      </c>
      <c r="S620" s="19" t="str">
        <f t="shared" si="100"/>
        <v/>
      </c>
      <c r="T620" s="22" t="str">
        <f t="shared" si="101"/>
        <v/>
      </c>
      <c r="U620" s="19" t="str">
        <f t="shared" si="102"/>
        <v/>
      </c>
      <c r="V620" s="7"/>
      <c r="Y620" s="19" t="str">
        <f>IF('Supplier selection'!AQ620="","",'Supplier selection'!AQ620)</f>
        <v/>
      </c>
      <c r="Z620" s="19" t="str">
        <f>IF('Supplier selection'!AR620="","",'Supplier selection'!AR620)</f>
        <v/>
      </c>
      <c r="AA620" s="19" t="str">
        <f t="shared" si="103"/>
        <v/>
      </c>
      <c r="AD620" s="26" t="str">
        <f>IF(AND('Supplier selection'!X620="",'Supplier selection'!AE620=""),"",IF('Supplier selection'!X620="",'Supplier selection'!AE620,'Supplier selection'!X620))</f>
        <v/>
      </c>
      <c r="AE620" s="19" t="str">
        <f t="shared" si="104"/>
        <v/>
      </c>
      <c r="AF620" s="19" t="str">
        <f t="shared" si="105"/>
        <v/>
      </c>
      <c r="AG620" s="27" t="str">
        <f>IF(AND('Supplier selection'!AB620="",'Supplier selection'!AI620=""),"",IF('Supplier selection'!AB620="",'Supplier selection'!AI620,'Supplier selection'!AB620))</f>
        <v/>
      </c>
      <c r="AH620" s="28" t="str">
        <f t="shared" si="106"/>
        <v/>
      </c>
      <c r="AI620" s="7" t="str">
        <f t="shared" si="107"/>
        <v/>
      </c>
      <c r="AJ620" s="22" t="str">
        <f t="shared" si="108"/>
        <v/>
      </c>
      <c r="AK620" s="29" t="str">
        <f t="shared" si="109"/>
        <v/>
      </c>
      <c r="AL620" s="10"/>
    </row>
    <row r="621" spans="1:38">
      <c r="A621" s="19">
        <f>IF('Supplier selection'!A621="","",'Supplier selection'!A621)</f>
        <v>617</v>
      </c>
      <c r="B621" s="19" t="str">
        <f>IF('Supplier selection'!B621="","",'Supplier selection'!B621)</f>
        <v/>
      </c>
      <c r="C621" s="19" t="str">
        <f>IF('Supplier selection'!C621="","",'Supplier selection'!C621)</f>
        <v/>
      </c>
      <c r="D621" s="19" t="str">
        <f>IF('Supplier selection'!D621="","",'Supplier selection'!D621)</f>
        <v/>
      </c>
      <c r="E621" s="19" t="str">
        <f>IF('Supplier selection'!E621="","",'Supplier selection'!E621)</f>
        <v/>
      </c>
      <c r="F621" s="19" t="str">
        <f>IF('Supplier selection'!F621="","",'Supplier selection'!F621)</f>
        <v/>
      </c>
      <c r="G621" s="19" t="str">
        <f>IF('Supplier selection'!G621="","",'Supplier selection'!G621)</f>
        <v/>
      </c>
      <c r="H621" s="19" t="str">
        <f>IF('Supplier selection'!H621="","",'Supplier selection'!H621)</f>
        <v/>
      </c>
      <c r="I621" s="19" t="str">
        <f>IF('Supplier selection'!I621="","",'Supplier selection'!I621)</f>
        <v/>
      </c>
      <c r="J621" s="19" t="str">
        <f>IF('Supplier selection'!J621="","",'Supplier selection'!J621)</f>
        <v/>
      </c>
      <c r="K621" s="19" t="str">
        <f>IF('Supplier selection'!K621="","",'Supplier selection'!K621)</f>
        <v/>
      </c>
      <c r="L621" s="19" t="str">
        <f>IF('Supplier selection'!L621="","",'Supplier selection'!L621)</f>
        <v/>
      </c>
      <c r="M621" s="19" t="str">
        <f>IF('Supplier selection'!M621="","",'Supplier selection'!M621)</f>
        <v/>
      </c>
      <c r="N621" s="19" t="str">
        <f>IF('Supplier selection'!N621="","",'Supplier selection'!N621)</f>
        <v/>
      </c>
      <c r="O621" s="19" t="str">
        <f>IF('Supplier selection'!O621="","",'Supplier selection'!O621)</f>
        <v/>
      </c>
      <c r="Q621" s="19" t="str">
        <f>HLOOKUP($Q$3,'Supplier selection'!$AW$4:'Supplier selection'!$CT$1000,$A622,FALSE)</f>
        <v/>
      </c>
      <c r="R621" s="22" t="str">
        <f t="shared" si="99"/>
        <v/>
      </c>
      <c r="S621" s="19" t="str">
        <f t="shared" si="100"/>
        <v/>
      </c>
      <c r="T621" s="22" t="str">
        <f t="shared" si="101"/>
        <v/>
      </c>
      <c r="U621" s="19" t="str">
        <f t="shared" si="102"/>
        <v/>
      </c>
      <c r="V621" s="7"/>
      <c r="Y621" s="19" t="str">
        <f>IF('Supplier selection'!AQ621="","",'Supplier selection'!AQ621)</f>
        <v/>
      </c>
      <c r="Z621" s="19" t="str">
        <f>IF('Supplier selection'!AR621="","",'Supplier selection'!AR621)</f>
        <v/>
      </c>
      <c r="AA621" s="19" t="str">
        <f t="shared" si="103"/>
        <v/>
      </c>
      <c r="AD621" s="26" t="str">
        <f>IF(AND('Supplier selection'!X621="",'Supplier selection'!AE621=""),"",IF('Supplier selection'!X621="",'Supplier selection'!AE621,'Supplier selection'!X621))</f>
        <v/>
      </c>
      <c r="AE621" s="19" t="str">
        <f t="shared" si="104"/>
        <v/>
      </c>
      <c r="AF621" s="19" t="str">
        <f t="shared" si="105"/>
        <v/>
      </c>
      <c r="AG621" s="27" t="str">
        <f>IF(AND('Supplier selection'!AB621="",'Supplier selection'!AI621=""),"",IF('Supplier selection'!AB621="",'Supplier selection'!AI621,'Supplier selection'!AB621))</f>
        <v/>
      </c>
      <c r="AH621" s="28" t="str">
        <f t="shared" si="106"/>
        <v/>
      </c>
      <c r="AI621" s="7" t="str">
        <f t="shared" si="107"/>
        <v/>
      </c>
      <c r="AJ621" s="22" t="str">
        <f t="shared" si="108"/>
        <v/>
      </c>
      <c r="AK621" s="29" t="str">
        <f t="shared" si="109"/>
        <v/>
      </c>
      <c r="AL621" s="10"/>
    </row>
    <row r="622" spans="1:38">
      <c r="A622" s="19">
        <f>IF('Supplier selection'!A622="","",'Supplier selection'!A622)</f>
        <v>618</v>
      </c>
      <c r="B622" s="19" t="str">
        <f>IF('Supplier selection'!B622="","",'Supplier selection'!B622)</f>
        <v/>
      </c>
      <c r="C622" s="19" t="str">
        <f>IF('Supplier selection'!C622="","",'Supplier selection'!C622)</f>
        <v/>
      </c>
      <c r="D622" s="19" t="str">
        <f>IF('Supplier selection'!D622="","",'Supplier selection'!D622)</f>
        <v/>
      </c>
      <c r="E622" s="19" t="str">
        <f>IF('Supplier selection'!E622="","",'Supplier selection'!E622)</f>
        <v/>
      </c>
      <c r="F622" s="19" t="str">
        <f>IF('Supplier selection'!F622="","",'Supplier selection'!F622)</f>
        <v/>
      </c>
      <c r="G622" s="19" t="str">
        <f>IF('Supplier selection'!G622="","",'Supplier selection'!G622)</f>
        <v/>
      </c>
      <c r="H622" s="19" t="str">
        <f>IF('Supplier selection'!H622="","",'Supplier selection'!H622)</f>
        <v/>
      </c>
      <c r="I622" s="19" t="str">
        <f>IF('Supplier selection'!I622="","",'Supplier selection'!I622)</f>
        <v/>
      </c>
      <c r="J622" s="19" t="str">
        <f>IF('Supplier selection'!J622="","",'Supplier selection'!J622)</f>
        <v/>
      </c>
      <c r="K622" s="19" t="str">
        <f>IF('Supplier selection'!K622="","",'Supplier selection'!K622)</f>
        <v/>
      </c>
      <c r="L622" s="19" t="str">
        <f>IF('Supplier selection'!L622="","",'Supplier selection'!L622)</f>
        <v/>
      </c>
      <c r="M622" s="19" t="str">
        <f>IF('Supplier selection'!M622="","",'Supplier selection'!M622)</f>
        <v/>
      </c>
      <c r="N622" s="19" t="str">
        <f>IF('Supplier selection'!N622="","",'Supplier selection'!N622)</f>
        <v/>
      </c>
      <c r="O622" s="19" t="str">
        <f>IF('Supplier selection'!O622="","",'Supplier selection'!O622)</f>
        <v/>
      </c>
      <c r="Q622" s="19" t="str">
        <f>HLOOKUP($Q$3,'Supplier selection'!$AW$4:'Supplier selection'!$CT$1000,$A623,FALSE)</f>
        <v/>
      </c>
      <c r="R622" s="22" t="str">
        <f t="shared" si="99"/>
        <v/>
      </c>
      <c r="S622" s="19" t="str">
        <f t="shared" si="100"/>
        <v/>
      </c>
      <c r="T622" s="22" t="str">
        <f t="shared" si="101"/>
        <v/>
      </c>
      <c r="U622" s="19" t="str">
        <f t="shared" si="102"/>
        <v/>
      </c>
      <c r="V622" s="7"/>
      <c r="Y622" s="19" t="str">
        <f>IF('Supplier selection'!AQ622="","",'Supplier selection'!AQ622)</f>
        <v/>
      </c>
      <c r="Z622" s="19" t="str">
        <f>IF('Supplier selection'!AR622="","",'Supplier selection'!AR622)</f>
        <v/>
      </c>
      <c r="AA622" s="19" t="str">
        <f t="shared" si="103"/>
        <v/>
      </c>
      <c r="AD622" s="26" t="str">
        <f>IF(AND('Supplier selection'!X622="",'Supplier selection'!AE622=""),"",IF('Supplier selection'!X622="",'Supplier selection'!AE622,'Supplier selection'!X622))</f>
        <v/>
      </c>
      <c r="AE622" s="19" t="str">
        <f t="shared" si="104"/>
        <v/>
      </c>
      <c r="AF622" s="19" t="str">
        <f t="shared" si="105"/>
        <v/>
      </c>
      <c r="AG622" s="27" t="str">
        <f>IF(AND('Supplier selection'!AB622="",'Supplier selection'!AI622=""),"",IF('Supplier selection'!AB622="",'Supplier selection'!AI622,'Supplier selection'!AB622))</f>
        <v/>
      </c>
      <c r="AH622" s="28" t="str">
        <f t="shared" si="106"/>
        <v/>
      </c>
      <c r="AI622" s="7" t="str">
        <f t="shared" si="107"/>
        <v/>
      </c>
      <c r="AJ622" s="22" t="str">
        <f t="shared" si="108"/>
        <v/>
      </c>
      <c r="AK622" s="29" t="str">
        <f t="shared" si="109"/>
        <v/>
      </c>
      <c r="AL622" s="10"/>
    </row>
    <row r="623" spans="1:38">
      <c r="A623" s="19">
        <f>IF('Supplier selection'!A623="","",'Supplier selection'!A623)</f>
        <v>619</v>
      </c>
      <c r="B623" s="19" t="str">
        <f>IF('Supplier selection'!B623="","",'Supplier selection'!B623)</f>
        <v/>
      </c>
      <c r="C623" s="19" t="str">
        <f>IF('Supplier selection'!C623="","",'Supplier selection'!C623)</f>
        <v/>
      </c>
      <c r="D623" s="19" t="str">
        <f>IF('Supplier selection'!D623="","",'Supplier selection'!D623)</f>
        <v/>
      </c>
      <c r="E623" s="19" t="str">
        <f>IF('Supplier selection'!E623="","",'Supplier selection'!E623)</f>
        <v/>
      </c>
      <c r="F623" s="19" t="str">
        <f>IF('Supplier selection'!F623="","",'Supplier selection'!F623)</f>
        <v/>
      </c>
      <c r="G623" s="19" t="str">
        <f>IF('Supplier selection'!G623="","",'Supplier selection'!G623)</f>
        <v/>
      </c>
      <c r="H623" s="19" t="str">
        <f>IF('Supplier selection'!H623="","",'Supplier selection'!H623)</f>
        <v/>
      </c>
      <c r="I623" s="19" t="str">
        <f>IF('Supplier selection'!I623="","",'Supplier selection'!I623)</f>
        <v/>
      </c>
      <c r="J623" s="19" t="str">
        <f>IF('Supplier selection'!J623="","",'Supplier selection'!J623)</f>
        <v/>
      </c>
      <c r="K623" s="19" t="str">
        <f>IF('Supplier selection'!K623="","",'Supplier selection'!K623)</f>
        <v/>
      </c>
      <c r="L623" s="19" t="str">
        <f>IF('Supplier selection'!L623="","",'Supplier selection'!L623)</f>
        <v/>
      </c>
      <c r="M623" s="19" t="str">
        <f>IF('Supplier selection'!M623="","",'Supplier selection'!M623)</f>
        <v/>
      </c>
      <c r="N623" s="19" t="str">
        <f>IF('Supplier selection'!N623="","",'Supplier selection'!N623)</f>
        <v/>
      </c>
      <c r="O623" s="19" t="str">
        <f>IF('Supplier selection'!O623="","",'Supplier selection'!O623)</f>
        <v/>
      </c>
      <c r="Q623" s="19" t="str">
        <f>HLOOKUP($Q$3,'Supplier selection'!$AW$4:'Supplier selection'!$CT$1000,$A624,FALSE)</f>
        <v/>
      </c>
      <c r="R623" s="22" t="str">
        <f t="shared" si="99"/>
        <v/>
      </c>
      <c r="S623" s="19" t="str">
        <f t="shared" si="100"/>
        <v/>
      </c>
      <c r="T623" s="22" t="str">
        <f t="shared" si="101"/>
        <v/>
      </c>
      <c r="U623" s="19" t="str">
        <f t="shared" si="102"/>
        <v/>
      </c>
      <c r="V623" s="7"/>
      <c r="Y623" s="19" t="str">
        <f>IF('Supplier selection'!AQ623="","",'Supplier selection'!AQ623)</f>
        <v/>
      </c>
      <c r="Z623" s="19" t="str">
        <f>IF('Supplier selection'!AR623="","",'Supplier selection'!AR623)</f>
        <v/>
      </c>
      <c r="AA623" s="19" t="str">
        <f t="shared" si="103"/>
        <v/>
      </c>
      <c r="AD623" s="26" t="str">
        <f>IF(AND('Supplier selection'!X623="",'Supplier selection'!AE623=""),"",IF('Supplier selection'!X623="",'Supplier selection'!AE623,'Supplier selection'!X623))</f>
        <v/>
      </c>
      <c r="AE623" s="19" t="str">
        <f t="shared" si="104"/>
        <v/>
      </c>
      <c r="AF623" s="19" t="str">
        <f t="shared" si="105"/>
        <v/>
      </c>
      <c r="AG623" s="27" t="str">
        <f>IF(AND('Supplier selection'!AB623="",'Supplier selection'!AI623=""),"",IF('Supplier selection'!AB623="",'Supplier selection'!AI623,'Supplier selection'!AB623))</f>
        <v/>
      </c>
      <c r="AH623" s="28" t="str">
        <f t="shared" si="106"/>
        <v/>
      </c>
      <c r="AI623" s="7" t="str">
        <f t="shared" si="107"/>
        <v/>
      </c>
      <c r="AJ623" s="22" t="str">
        <f t="shared" si="108"/>
        <v/>
      </c>
      <c r="AK623" s="29" t="str">
        <f t="shared" si="109"/>
        <v/>
      </c>
      <c r="AL623" s="10"/>
    </row>
    <row r="624" spans="1:38">
      <c r="A624" s="19">
        <f>IF('Supplier selection'!A624="","",'Supplier selection'!A624)</f>
        <v>620</v>
      </c>
      <c r="B624" s="19" t="str">
        <f>IF('Supplier selection'!B624="","",'Supplier selection'!B624)</f>
        <v/>
      </c>
      <c r="C624" s="19" t="str">
        <f>IF('Supplier selection'!C624="","",'Supplier selection'!C624)</f>
        <v/>
      </c>
      <c r="D624" s="19" t="str">
        <f>IF('Supplier selection'!D624="","",'Supplier selection'!D624)</f>
        <v/>
      </c>
      <c r="E624" s="19" t="str">
        <f>IF('Supplier selection'!E624="","",'Supplier selection'!E624)</f>
        <v/>
      </c>
      <c r="F624" s="19" t="str">
        <f>IF('Supplier selection'!F624="","",'Supplier selection'!F624)</f>
        <v/>
      </c>
      <c r="G624" s="19" t="str">
        <f>IF('Supplier selection'!G624="","",'Supplier selection'!G624)</f>
        <v/>
      </c>
      <c r="H624" s="19" t="str">
        <f>IF('Supplier selection'!H624="","",'Supplier selection'!H624)</f>
        <v/>
      </c>
      <c r="I624" s="19" t="str">
        <f>IF('Supplier selection'!I624="","",'Supplier selection'!I624)</f>
        <v/>
      </c>
      <c r="J624" s="19" t="str">
        <f>IF('Supplier selection'!J624="","",'Supplier selection'!J624)</f>
        <v/>
      </c>
      <c r="K624" s="19" t="str">
        <f>IF('Supplier selection'!K624="","",'Supplier selection'!K624)</f>
        <v/>
      </c>
      <c r="L624" s="19" t="str">
        <f>IF('Supplier selection'!L624="","",'Supplier selection'!L624)</f>
        <v/>
      </c>
      <c r="M624" s="19" t="str">
        <f>IF('Supplier selection'!M624="","",'Supplier selection'!M624)</f>
        <v/>
      </c>
      <c r="N624" s="19" t="str">
        <f>IF('Supplier selection'!N624="","",'Supplier selection'!N624)</f>
        <v/>
      </c>
      <c r="O624" s="19" t="str">
        <f>IF('Supplier selection'!O624="","",'Supplier selection'!O624)</f>
        <v/>
      </c>
      <c r="Q624" s="19" t="str">
        <f>HLOOKUP($Q$3,'Supplier selection'!$AW$4:'Supplier selection'!$CT$1000,$A625,FALSE)</f>
        <v/>
      </c>
      <c r="R624" s="22" t="str">
        <f t="shared" si="99"/>
        <v/>
      </c>
      <c r="S624" s="19" t="str">
        <f t="shared" si="100"/>
        <v/>
      </c>
      <c r="T624" s="22" t="str">
        <f t="shared" si="101"/>
        <v/>
      </c>
      <c r="U624" s="19" t="str">
        <f t="shared" si="102"/>
        <v/>
      </c>
      <c r="V624" s="7"/>
      <c r="Y624" s="19" t="str">
        <f>IF('Supplier selection'!AQ624="","",'Supplier selection'!AQ624)</f>
        <v/>
      </c>
      <c r="Z624" s="19" t="str">
        <f>IF('Supplier selection'!AR624="","",'Supplier selection'!AR624)</f>
        <v/>
      </c>
      <c r="AA624" s="19" t="str">
        <f t="shared" si="103"/>
        <v/>
      </c>
      <c r="AD624" s="26" t="str">
        <f>IF(AND('Supplier selection'!X624="",'Supplier selection'!AE624=""),"",IF('Supplier selection'!X624="",'Supplier selection'!AE624,'Supplier selection'!X624))</f>
        <v/>
      </c>
      <c r="AE624" s="19" t="str">
        <f t="shared" si="104"/>
        <v/>
      </c>
      <c r="AF624" s="19" t="str">
        <f t="shared" si="105"/>
        <v/>
      </c>
      <c r="AG624" s="27" t="str">
        <f>IF(AND('Supplier selection'!AB624="",'Supplier selection'!AI624=""),"",IF('Supplier selection'!AB624="",'Supplier selection'!AI624,'Supplier selection'!AB624))</f>
        <v/>
      </c>
      <c r="AH624" s="28" t="str">
        <f t="shared" si="106"/>
        <v/>
      </c>
      <c r="AI624" s="7" t="str">
        <f t="shared" si="107"/>
        <v/>
      </c>
      <c r="AJ624" s="22" t="str">
        <f t="shared" si="108"/>
        <v/>
      </c>
      <c r="AK624" s="29" t="str">
        <f t="shared" si="109"/>
        <v/>
      </c>
      <c r="AL624" s="10"/>
    </row>
    <row r="625" spans="1:38">
      <c r="A625" s="19">
        <f>IF('Supplier selection'!A625="","",'Supplier selection'!A625)</f>
        <v>621</v>
      </c>
      <c r="B625" s="19" t="str">
        <f>IF('Supplier selection'!B625="","",'Supplier selection'!B625)</f>
        <v/>
      </c>
      <c r="C625" s="19" t="str">
        <f>IF('Supplier selection'!C625="","",'Supplier selection'!C625)</f>
        <v/>
      </c>
      <c r="D625" s="19" t="str">
        <f>IF('Supplier selection'!D625="","",'Supplier selection'!D625)</f>
        <v/>
      </c>
      <c r="E625" s="19" t="str">
        <f>IF('Supplier selection'!E625="","",'Supplier selection'!E625)</f>
        <v/>
      </c>
      <c r="F625" s="19" t="str">
        <f>IF('Supplier selection'!F625="","",'Supplier selection'!F625)</f>
        <v/>
      </c>
      <c r="G625" s="19" t="str">
        <f>IF('Supplier selection'!G625="","",'Supplier selection'!G625)</f>
        <v/>
      </c>
      <c r="H625" s="19" t="str">
        <f>IF('Supplier selection'!H625="","",'Supplier selection'!H625)</f>
        <v/>
      </c>
      <c r="I625" s="19" t="str">
        <f>IF('Supplier selection'!I625="","",'Supplier selection'!I625)</f>
        <v/>
      </c>
      <c r="J625" s="19" t="str">
        <f>IF('Supplier selection'!J625="","",'Supplier selection'!J625)</f>
        <v/>
      </c>
      <c r="K625" s="19" t="str">
        <f>IF('Supplier selection'!K625="","",'Supplier selection'!K625)</f>
        <v/>
      </c>
      <c r="L625" s="19" t="str">
        <f>IF('Supplier selection'!L625="","",'Supplier selection'!L625)</f>
        <v/>
      </c>
      <c r="M625" s="19" t="str">
        <f>IF('Supplier selection'!M625="","",'Supplier selection'!M625)</f>
        <v/>
      </c>
      <c r="N625" s="19" t="str">
        <f>IF('Supplier selection'!N625="","",'Supplier selection'!N625)</f>
        <v/>
      </c>
      <c r="O625" s="19" t="str">
        <f>IF('Supplier selection'!O625="","",'Supplier selection'!O625)</f>
        <v/>
      </c>
      <c r="Q625" s="19" t="str">
        <f>HLOOKUP($Q$3,'Supplier selection'!$AW$4:'Supplier selection'!$CT$1000,$A626,FALSE)</f>
        <v/>
      </c>
      <c r="R625" s="22" t="str">
        <f t="shared" si="99"/>
        <v/>
      </c>
      <c r="S625" s="19" t="str">
        <f t="shared" si="100"/>
        <v/>
      </c>
      <c r="T625" s="22" t="str">
        <f t="shared" si="101"/>
        <v/>
      </c>
      <c r="U625" s="19" t="str">
        <f t="shared" si="102"/>
        <v/>
      </c>
      <c r="V625" s="7"/>
      <c r="Y625" s="19" t="str">
        <f>IF('Supplier selection'!AQ625="","",'Supplier selection'!AQ625)</f>
        <v/>
      </c>
      <c r="Z625" s="19" t="str">
        <f>IF('Supplier selection'!AR625="","",'Supplier selection'!AR625)</f>
        <v/>
      </c>
      <c r="AA625" s="19" t="str">
        <f t="shared" si="103"/>
        <v/>
      </c>
      <c r="AD625" s="26" t="str">
        <f>IF(AND('Supplier selection'!X625="",'Supplier selection'!AE625=""),"",IF('Supplier selection'!X625="",'Supplier selection'!AE625,'Supplier selection'!X625))</f>
        <v/>
      </c>
      <c r="AE625" s="19" t="str">
        <f t="shared" si="104"/>
        <v/>
      </c>
      <c r="AF625" s="19" t="str">
        <f t="shared" si="105"/>
        <v/>
      </c>
      <c r="AG625" s="27" t="str">
        <f>IF(AND('Supplier selection'!AB625="",'Supplier selection'!AI625=""),"",IF('Supplier selection'!AB625="",'Supplier selection'!AI625,'Supplier selection'!AB625))</f>
        <v/>
      </c>
      <c r="AH625" s="28" t="str">
        <f t="shared" si="106"/>
        <v/>
      </c>
      <c r="AI625" s="7" t="str">
        <f t="shared" si="107"/>
        <v/>
      </c>
      <c r="AJ625" s="22" t="str">
        <f t="shared" si="108"/>
        <v/>
      </c>
      <c r="AK625" s="29" t="str">
        <f t="shared" si="109"/>
        <v/>
      </c>
      <c r="AL625" s="10"/>
    </row>
    <row r="626" spans="1:38">
      <c r="A626" s="19">
        <f>IF('Supplier selection'!A626="","",'Supplier selection'!A626)</f>
        <v>622</v>
      </c>
      <c r="B626" s="19" t="str">
        <f>IF('Supplier selection'!B626="","",'Supplier selection'!B626)</f>
        <v/>
      </c>
      <c r="C626" s="19" t="str">
        <f>IF('Supplier selection'!C626="","",'Supplier selection'!C626)</f>
        <v/>
      </c>
      <c r="D626" s="19" t="str">
        <f>IF('Supplier selection'!D626="","",'Supplier selection'!D626)</f>
        <v/>
      </c>
      <c r="E626" s="19" t="str">
        <f>IF('Supplier selection'!E626="","",'Supplier selection'!E626)</f>
        <v/>
      </c>
      <c r="F626" s="19" t="str">
        <f>IF('Supplier selection'!F626="","",'Supplier selection'!F626)</f>
        <v/>
      </c>
      <c r="G626" s="19" t="str">
        <f>IF('Supplier selection'!G626="","",'Supplier selection'!G626)</f>
        <v/>
      </c>
      <c r="H626" s="19" t="str">
        <f>IF('Supplier selection'!H626="","",'Supplier selection'!H626)</f>
        <v/>
      </c>
      <c r="I626" s="19" t="str">
        <f>IF('Supplier selection'!I626="","",'Supplier selection'!I626)</f>
        <v/>
      </c>
      <c r="J626" s="19" t="str">
        <f>IF('Supplier selection'!J626="","",'Supplier selection'!J626)</f>
        <v/>
      </c>
      <c r="K626" s="19" t="str">
        <f>IF('Supplier selection'!K626="","",'Supplier selection'!K626)</f>
        <v/>
      </c>
      <c r="L626" s="19" t="str">
        <f>IF('Supplier selection'!L626="","",'Supplier selection'!L626)</f>
        <v/>
      </c>
      <c r="M626" s="19" t="str">
        <f>IF('Supplier selection'!M626="","",'Supplier selection'!M626)</f>
        <v/>
      </c>
      <c r="N626" s="19" t="str">
        <f>IF('Supplier selection'!N626="","",'Supplier selection'!N626)</f>
        <v/>
      </c>
      <c r="O626" s="19" t="str">
        <f>IF('Supplier selection'!O626="","",'Supplier selection'!O626)</f>
        <v/>
      </c>
      <c r="Q626" s="19" t="str">
        <f>HLOOKUP($Q$3,'Supplier selection'!$AW$4:'Supplier selection'!$CT$1000,$A627,FALSE)</f>
        <v/>
      </c>
      <c r="R626" s="22" t="str">
        <f t="shared" si="99"/>
        <v/>
      </c>
      <c r="S626" s="19" t="str">
        <f t="shared" si="100"/>
        <v/>
      </c>
      <c r="T626" s="22" t="str">
        <f t="shared" si="101"/>
        <v/>
      </c>
      <c r="U626" s="19" t="str">
        <f t="shared" si="102"/>
        <v/>
      </c>
      <c r="V626" s="7"/>
      <c r="Y626" s="19" t="str">
        <f>IF('Supplier selection'!AQ626="","",'Supplier selection'!AQ626)</f>
        <v/>
      </c>
      <c r="Z626" s="19" t="str">
        <f>IF('Supplier selection'!AR626="","",'Supplier selection'!AR626)</f>
        <v/>
      </c>
      <c r="AA626" s="19" t="str">
        <f t="shared" si="103"/>
        <v/>
      </c>
      <c r="AD626" s="26" t="str">
        <f>IF(AND('Supplier selection'!X626="",'Supplier selection'!AE626=""),"",IF('Supplier selection'!X626="",'Supplier selection'!AE626,'Supplier selection'!X626))</f>
        <v/>
      </c>
      <c r="AE626" s="19" t="str">
        <f t="shared" si="104"/>
        <v/>
      </c>
      <c r="AF626" s="19" t="str">
        <f t="shared" si="105"/>
        <v/>
      </c>
      <c r="AG626" s="27" t="str">
        <f>IF(AND('Supplier selection'!AB626="",'Supplier selection'!AI626=""),"",IF('Supplier selection'!AB626="",'Supplier selection'!AI626,'Supplier selection'!AB626))</f>
        <v/>
      </c>
      <c r="AH626" s="28" t="str">
        <f t="shared" si="106"/>
        <v/>
      </c>
      <c r="AI626" s="7" t="str">
        <f t="shared" si="107"/>
        <v/>
      </c>
      <c r="AJ626" s="22" t="str">
        <f t="shared" si="108"/>
        <v/>
      </c>
      <c r="AK626" s="29" t="str">
        <f t="shared" si="109"/>
        <v/>
      </c>
      <c r="AL626" s="10"/>
    </row>
    <row r="627" spans="1:38">
      <c r="A627" s="19">
        <f>IF('Supplier selection'!A627="","",'Supplier selection'!A627)</f>
        <v>623</v>
      </c>
      <c r="B627" s="19" t="str">
        <f>IF('Supplier selection'!B627="","",'Supplier selection'!B627)</f>
        <v/>
      </c>
      <c r="C627" s="19" t="str">
        <f>IF('Supplier selection'!C627="","",'Supplier selection'!C627)</f>
        <v/>
      </c>
      <c r="D627" s="19" t="str">
        <f>IF('Supplier selection'!D627="","",'Supplier selection'!D627)</f>
        <v/>
      </c>
      <c r="E627" s="19" t="str">
        <f>IF('Supplier selection'!E627="","",'Supplier selection'!E627)</f>
        <v/>
      </c>
      <c r="F627" s="19" t="str">
        <f>IF('Supplier selection'!F627="","",'Supplier selection'!F627)</f>
        <v/>
      </c>
      <c r="G627" s="19" t="str">
        <f>IF('Supplier selection'!G627="","",'Supplier selection'!G627)</f>
        <v/>
      </c>
      <c r="H627" s="19" t="str">
        <f>IF('Supplier selection'!H627="","",'Supplier selection'!H627)</f>
        <v/>
      </c>
      <c r="I627" s="19" t="str">
        <f>IF('Supplier selection'!I627="","",'Supplier selection'!I627)</f>
        <v/>
      </c>
      <c r="J627" s="19" t="str">
        <f>IF('Supplier selection'!J627="","",'Supplier selection'!J627)</f>
        <v/>
      </c>
      <c r="K627" s="19" t="str">
        <f>IF('Supplier selection'!K627="","",'Supplier selection'!K627)</f>
        <v/>
      </c>
      <c r="L627" s="19" t="str">
        <f>IF('Supplier selection'!L627="","",'Supplier selection'!L627)</f>
        <v/>
      </c>
      <c r="M627" s="19" t="str">
        <f>IF('Supplier selection'!M627="","",'Supplier selection'!M627)</f>
        <v/>
      </c>
      <c r="N627" s="19" t="str">
        <f>IF('Supplier selection'!N627="","",'Supplier selection'!N627)</f>
        <v/>
      </c>
      <c r="O627" s="19" t="str">
        <f>IF('Supplier selection'!O627="","",'Supplier selection'!O627)</f>
        <v/>
      </c>
      <c r="Q627" s="19" t="str">
        <f>HLOOKUP($Q$3,'Supplier selection'!$AW$4:'Supplier selection'!$CT$1000,$A628,FALSE)</f>
        <v/>
      </c>
      <c r="R627" s="22" t="str">
        <f t="shared" si="99"/>
        <v/>
      </c>
      <c r="S627" s="19" t="str">
        <f t="shared" si="100"/>
        <v/>
      </c>
      <c r="T627" s="22" t="str">
        <f t="shared" si="101"/>
        <v/>
      </c>
      <c r="U627" s="19" t="str">
        <f t="shared" si="102"/>
        <v/>
      </c>
      <c r="V627" s="7"/>
      <c r="Y627" s="19" t="str">
        <f>IF('Supplier selection'!AQ627="","",'Supplier selection'!AQ627)</f>
        <v/>
      </c>
      <c r="Z627" s="19" t="str">
        <f>IF('Supplier selection'!AR627="","",'Supplier selection'!AR627)</f>
        <v/>
      </c>
      <c r="AA627" s="19" t="str">
        <f t="shared" si="103"/>
        <v/>
      </c>
      <c r="AD627" s="26" t="str">
        <f>IF(AND('Supplier selection'!X627="",'Supplier selection'!AE627=""),"",IF('Supplier selection'!X627="",'Supplier selection'!AE627,'Supplier selection'!X627))</f>
        <v/>
      </c>
      <c r="AE627" s="19" t="str">
        <f t="shared" si="104"/>
        <v/>
      </c>
      <c r="AF627" s="19" t="str">
        <f t="shared" si="105"/>
        <v/>
      </c>
      <c r="AG627" s="27" t="str">
        <f>IF(AND('Supplier selection'!AB627="",'Supplier selection'!AI627=""),"",IF('Supplier selection'!AB627="",'Supplier selection'!AI627,'Supplier selection'!AB627))</f>
        <v/>
      </c>
      <c r="AH627" s="28" t="str">
        <f t="shared" si="106"/>
        <v/>
      </c>
      <c r="AI627" s="7" t="str">
        <f t="shared" si="107"/>
        <v/>
      </c>
      <c r="AJ627" s="22" t="str">
        <f t="shared" si="108"/>
        <v/>
      </c>
      <c r="AK627" s="29" t="str">
        <f t="shared" si="109"/>
        <v/>
      </c>
      <c r="AL627" s="10"/>
    </row>
    <row r="628" spans="1:38">
      <c r="A628" s="19">
        <f>IF('Supplier selection'!A628="","",'Supplier selection'!A628)</f>
        <v>624</v>
      </c>
      <c r="B628" s="19" t="str">
        <f>IF('Supplier selection'!B628="","",'Supplier selection'!B628)</f>
        <v/>
      </c>
      <c r="C628" s="19" t="str">
        <f>IF('Supplier selection'!C628="","",'Supplier selection'!C628)</f>
        <v/>
      </c>
      <c r="D628" s="19" t="str">
        <f>IF('Supplier selection'!D628="","",'Supplier selection'!D628)</f>
        <v/>
      </c>
      <c r="E628" s="19" t="str">
        <f>IF('Supplier selection'!E628="","",'Supplier selection'!E628)</f>
        <v/>
      </c>
      <c r="F628" s="19" t="str">
        <f>IF('Supplier selection'!F628="","",'Supplier selection'!F628)</f>
        <v/>
      </c>
      <c r="G628" s="19" t="str">
        <f>IF('Supplier selection'!G628="","",'Supplier selection'!G628)</f>
        <v/>
      </c>
      <c r="H628" s="19" t="str">
        <f>IF('Supplier selection'!H628="","",'Supplier selection'!H628)</f>
        <v/>
      </c>
      <c r="I628" s="19" t="str">
        <f>IF('Supplier selection'!I628="","",'Supplier selection'!I628)</f>
        <v/>
      </c>
      <c r="J628" s="19" t="str">
        <f>IF('Supplier selection'!J628="","",'Supplier selection'!J628)</f>
        <v/>
      </c>
      <c r="K628" s="19" t="str">
        <f>IF('Supplier selection'!K628="","",'Supplier selection'!K628)</f>
        <v/>
      </c>
      <c r="L628" s="19" t="str">
        <f>IF('Supplier selection'!L628="","",'Supplier selection'!L628)</f>
        <v/>
      </c>
      <c r="M628" s="19" t="str">
        <f>IF('Supplier selection'!M628="","",'Supplier selection'!M628)</f>
        <v/>
      </c>
      <c r="N628" s="19" t="str">
        <f>IF('Supplier selection'!N628="","",'Supplier selection'!N628)</f>
        <v/>
      </c>
      <c r="O628" s="19" t="str">
        <f>IF('Supplier selection'!O628="","",'Supplier selection'!O628)</f>
        <v/>
      </c>
      <c r="Q628" s="19" t="str">
        <f>HLOOKUP($Q$3,'Supplier selection'!$AW$4:'Supplier selection'!$CT$1000,$A629,FALSE)</f>
        <v/>
      </c>
      <c r="R628" s="22" t="str">
        <f t="shared" si="99"/>
        <v/>
      </c>
      <c r="S628" s="19" t="str">
        <f t="shared" si="100"/>
        <v/>
      </c>
      <c r="T628" s="22" t="str">
        <f t="shared" si="101"/>
        <v/>
      </c>
      <c r="U628" s="19" t="str">
        <f t="shared" si="102"/>
        <v/>
      </c>
      <c r="V628" s="7"/>
      <c r="Y628" s="19" t="str">
        <f>IF('Supplier selection'!AQ628="","",'Supplier selection'!AQ628)</f>
        <v/>
      </c>
      <c r="Z628" s="19" t="str">
        <f>IF('Supplier selection'!AR628="","",'Supplier selection'!AR628)</f>
        <v/>
      </c>
      <c r="AA628" s="19" t="str">
        <f t="shared" si="103"/>
        <v/>
      </c>
      <c r="AD628" s="26" t="str">
        <f>IF(AND('Supplier selection'!X628="",'Supplier selection'!AE628=""),"",IF('Supplier selection'!X628="",'Supplier selection'!AE628,'Supplier selection'!X628))</f>
        <v/>
      </c>
      <c r="AE628" s="19" t="str">
        <f t="shared" si="104"/>
        <v/>
      </c>
      <c r="AF628" s="19" t="str">
        <f t="shared" si="105"/>
        <v/>
      </c>
      <c r="AG628" s="27" t="str">
        <f>IF(AND('Supplier selection'!AB628="",'Supplier selection'!AI628=""),"",IF('Supplier selection'!AB628="",'Supplier selection'!AI628,'Supplier selection'!AB628))</f>
        <v/>
      </c>
      <c r="AH628" s="28" t="str">
        <f t="shared" si="106"/>
        <v/>
      </c>
      <c r="AI628" s="7" t="str">
        <f t="shared" si="107"/>
        <v/>
      </c>
      <c r="AJ628" s="22" t="str">
        <f t="shared" si="108"/>
        <v/>
      </c>
      <c r="AK628" s="29" t="str">
        <f t="shared" si="109"/>
        <v/>
      </c>
      <c r="AL628" s="10"/>
    </row>
    <row r="629" spans="1:38">
      <c r="A629" s="19">
        <f>IF('Supplier selection'!A629="","",'Supplier selection'!A629)</f>
        <v>625</v>
      </c>
      <c r="B629" s="19" t="str">
        <f>IF('Supplier selection'!B629="","",'Supplier selection'!B629)</f>
        <v/>
      </c>
      <c r="C629" s="19" t="str">
        <f>IF('Supplier selection'!C629="","",'Supplier selection'!C629)</f>
        <v/>
      </c>
      <c r="D629" s="19" t="str">
        <f>IF('Supplier selection'!D629="","",'Supplier selection'!D629)</f>
        <v/>
      </c>
      <c r="E629" s="19" t="str">
        <f>IF('Supplier selection'!E629="","",'Supplier selection'!E629)</f>
        <v/>
      </c>
      <c r="F629" s="19" t="str">
        <f>IF('Supplier selection'!F629="","",'Supplier selection'!F629)</f>
        <v/>
      </c>
      <c r="G629" s="19" t="str">
        <f>IF('Supplier selection'!G629="","",'Supplier selection'!G629)</f>
        <v/>
      </c>
      <c r="H629" s="19" t="str">
        <f>IF('Supplier selection'!H629="","",'Supplier selection'!H629)</f>
        <v/>
      </c>
      <c r="I629" s="19" t="str">
        <f>IF('Supplier selection'!I629="","",'Supplier selection'!I629)</f>
        <v/>
      </c>
      <c r="J629" s="19" t="str">
        <f>IF('Supplier selection'!J629="","",'Supplier selection'!J629)</f>
        <v/>
      </c>
      <c r="K629" s="19" t="str">
        <f>IF('Supplier selection'!K629="","",'Supplier selection'!K629)</f>
        <v/>
      </c>
      <c r="L629" s="19" t="str">
        <f>IF('Supplier selection'!L629="","",'Supplier selection'!L629)</f>
        <v/>
      </c>
      <c r="M629" s="19" t="str">
        <f>IF('Supplier selection'!M629="","",'Supplier selection'!M629)</f>
        <v/>
      </c>
      <c r="N629" s="19" t="str">
        <f>IF('Supplier selection'!N629="","",'Supplier selection'!N629)</f>
        <v/>
      </c>
      <c r="O629" s="19" t="str">
        <f>IF('Supplier selection'!O629="","",'Supplier selection'!O629)</f>
        <v/>
      </c>
      <c r="Q629" s="19" t="str">
        <f>HLOOKUP($Q$3,'Supplier selection'!$AW$4:'Supplier selection'!$CT$1000,$A630,FALSE)</f>
        <v/>
      </c>
      <c r="R629" s="22" t="str">
        <f t="shared" si="99"/>
        <v/>
      </c>
      <c r="S629" s="19" t="str">
        <f t="shared" si="100"/>
        <v/>
      </c>
      <c r="T629" s="22" t="str">
        <f t="shared" si="101"/>
        <v/>
      </c>
      <c r="U629" s="19" t="str">
        <f t="shared" si="102"/>
        <v/>
      </c>
      <c r="V629" s="7"/>
      <c r="Y629" s="19" t="str">
        <f>IF('Supplier selection'!AQ629="","",'Supplier selection'!AQ629)</f>
        <v/>
      </c>
      <c r="Z629" s="19" t="str">
        <f>IF('Supplier selection'!AR629="","",'Supplier selection'!AR629)</f>
        <v/>
      </c>
      <c r="AA629" s="19" t="str">
        <f t="shared" si="103"/>
        <v/>
      </c>
      <c r="AD629" s="26" t="str">
        <f>IF(AND('Supplier selection'!X629="",'Supplier selection'!AE629=""),"",IF('Supplier selection'!X629="",'Supplier selection'!AE629,'Supplier selection'!X629))</f>
        <v/>
      </c>
      <c r="AE629" s="19" t="str">
        <f t="shared" si="104"/>
        <v/>
      </c>
      <c r="AF629" s="19" t="str">
        <f t="shared" si="105"/>
        <v/>
      </c>
      <c r="AG629" s="27" t="str">
        <f>IF(AND('Supplier selection'!AB629="",'Supplier selection'!AI629=""),"",IF('Supplier selection'!AB629="",'Supplier selection'!AI629,'Supplier selection'!AB629))</f>
        <v/>
      </c>
      <c r="AH629" s="28" t="str">
        <f t="shared" si="106"/>
        <v/>
      </c>
      <c r="AI629" s="7" t="str">
        <f t="shared" si="107"/>
        <v/>
      </c>
      <c r="AJ629" s="22" t="str">
        <f t="shared" si="108"/>
        <v/>
      </c>
      <c r="AK629" s="29" t="str">
        <f t="shared" si="109"/>
        <v/>
      </c>
      <c r="AL629" s="10"/>
    </row>
    <row r="630" spans="1:38">
      <c r="A630" s="19">
        <f>IF('Supplier selection'!A630="","",'Supplier selection'!A630)</f>
        <v>626</v>
      </c>
      <c r="B630" s="19" t="str">
        <f>IF('Supplier selection'!B630="","",'Supplier selection'!B630)</f>
        <v/>
      </c>
      <c r="C630" s="19" t="str">
        <f>IF('Supplier selection'!C630="","",'Supplier selection'!C630)</f>
        <v/>
      </c>
      <c r="D630" s="19" t="str">
        <f>IF('Supplier selection'!D630="","",'Supplier selection'!D630)</f>
        <v/>
      </c>
      <c r="E630" s="19" t="str">
        <f>IF('Supplier selection'!E630="","",'Supplier selection'!E630)</f>
        <v/>
      </c>
      <c r="F630" s="19" t="str">
        <f>IF('Supplier selection'!F630="","",'Supplier selection'!F630)</f>
        <v/>
      </c>
      <c r="G630" s="19" t="str">
        <f>IF('Supplier selection'!G630="","",'Supplier selection'!G630)</f>
        <v/>
      </c>
      <c r="H630" s="19" t="str">
        <f>IF('Supplier selection'!H630="","",'Supplier selection'!H630)</f>
        <v/>
      </c>
      <c r="I630" s="19" t="str">
        <f>IF('Supplier selection'!I630="","",'Supplier selection'!I630)</f>
        <v/>
      </c>
      <c r="J630" s="19" t="str">
        <f>IF('Supplier selection'!J630="","",'Supplier selection'!J630)</f>
        <v/>
      </c>
      <c r="K630" s="19" t="str">
        <f>IF('Supplier selection'!K630="","",'Supplier selection'!K630)</f>
        <v/>
      </c>
      <c r="L630" s="19" t="str">
        <f>IF('Supplier selection'!L630="","",'Supplier selection'!L630)</f>
        <v/>
      </c>
      <c r="M630" s="19" t="str">
        <f>IF('Supplier selection'!M630="","",'Supplier selection'!M630)</f>
        <v/>
      </c>
      <c r="N630" s="19" t="str">
        <f>IF('Supplier selection'!N630="","",'Supplier selection'!N630)</f>
        <v/>
      </c>
      <c r="O630" s="19" t="str">
        <f>IF('Supplier selection'!O630="","",'Supplier selection'!O630)</f>
        <v/>
      </c>
      <c r="Q630" s="19" t="str">
        <f>HLOOKUP($Q$3,'Supplier selection'!$AW$4:'Supplier selection'!$CT$1000,$A631,FALSE)</f>
        <v/>
      </c>
      <c r="R630" s="22" t="str">
        <f t="shared" si="99"/>
        <v/>
      </c>
      <c r="S630" s="19" t="str">
        <f t="shared" si="100"/>
        <v/>
      </c>
      <c r="T630" s="22" t="str">
        <f t="shared" si="101"/>
        <v/>
      </c>
      <c r="U630" s="19" t="str">
        <f t="shared" si="102"/>
        <v/>
      </c>
      <c r="V630" s="7"/>
      <c r="Y630" s="19" t="str">
        <f>IF('Supplier selection'!AQ630="","",'Supplier selection'!AQ630)</f>
        <v/>
      </c>
      <c r="Z630" s="19" t="str">
        <f>IF('Supplier selection'!AR630="","",'Supplier selection'!AR630)</f>
        <v/>
      </c>
      <c r="AA630" s="19" t="str">
        <f t="shared" si="103"/>
        <v/>
      </c>
      <c r="AD630" s="26" t="str">
        <f>IF(AND('Supplier selection'!X630="",'Supplier selection'!AE630=""),"",IF('Supplier selection'!X630="",'Supplier selection'!AE630,'Supplier selection'!X630))</f>
        <v/>
      </c>
      <c r="AE630" s="19" t="str">
        <f t="shared" si="104"/>
        <v/>
      </c>
      <c r="AF630" s="19" t="str">
        <f t="shared" si="105"/>
        <v/>
      </c>
      <c r="AG630" s="27" t="str">
        <f>IF(AND('Supplier selection'!AB630="",'Supplier selection'!AI630=""),"",IF('Supplier selection'!AB630="",'Supplier selection'!AI630,'Supplier selection'!AB630))</f>
        <v/>
      </c>
      <c r="AH630" s="28" t="str">
        <f t="shared" si="106"/>
        <v/>
      </c>
      <c r="AI630" s="7" t="str">
        <f t="shared" si="107"/>
        <v/>
      </c>
      <c r="AJ630" s="22" t="str">
        <f t="shared" si="108"/>
        <v/>
      </c>
      <c r="AK630" s="29" t="str">
        <f t="shared" si="109"/>
        <v/>
      </c>
      <c r="AL630" s="10"/>
    </row>
    <row r="631" spans="1:38">
      <c r="A631" s="19">
        <f>IF('Supplier selection'!A631="","",'Supplier selection'!A631)</f>
        <v>627</v>
      </c>
      <c r="B631" s="19" t="str">
        <f>IF('Supplier selection'!B631="","",'Supplier selection'!B631)</f>
        <v/>
      </c>
      <c r="C631" s="19" t="str">
        <f>IF('Supplier selection'!C631="","",'Supplier selection'!C631)</f>
        <v/>
      </c>
      <c r="D631" s="19" t="str">
        <f>IF('Supplier selection'!D631="","",'Supplier selection'!D631)</f>
        <v/>
      </c>
      <c r="E631" s="19" t="str">
        <f>IF('Supplier selection'!E631="","",'Supplier selection'!E631)</f>
        <v/>
      </c>
      <c r="F631" s="19" t="str">
        <f>IF('Supplier selection'!F631="","",'Supplier selection'!F631)</f>
        <v/>
      </c>
      <c r="G631" s="19" t="str">
        <f>IF('Supplier selection'!G631="","",'Supplier selection'!G631)</f>
        <v/>
      </c>
      <c r="H631" s="19" t="str">
        <f>IF('Supplier selection'!H631="","",'Supplier selection'!H631)</f>
        <v/>
      </c>
      <c r="I631" s="19" t="str">
        <f>IF('Supplier selection'!I631="","",'Supplier selection'!I631)</f>
        <v/>
      </c>
      <c r="J631" s="19" t="str">
        <f>IF('Supplier selection'!J631="","",'Supplier selection'!J631)</f>
        <v/>
      </c>
      <c r="K631" s="19" t="str">
        <f>IF('Supplier selection'!K631="","",'Supplier selection'!K631)</f>
        <v/>
      </c>
      <c r="L631" s="19" t="str">
        <f>IF('Supplier selection'!L631="","",'Supplier selection'!L631)</f>
        <v/>
      </c>
      <c r="M631" s="19" t="str">
        <f>IF('Supplier selection'!M631="","",'Supplier selection'!M631)</f>
        <v/>
      </c>
      <c r="N631" s="19" t="str">
        <f>IF('Supplier selection'!N631="","",'Supplier selection'!N631)</f>
        <v/>
      </c>
      <c r="O631" s="19" t="str">
        <f>IF('Supplier selection'!O631="","",'Supplier selection'!O631)</f>
        <v/>
      </c>
      <c r="Q631" s="19" t="str">
        <f>HLOOKUP($Q$3,'Supplier selection'!$AW$4:'Supplier selection'!$CT$1000,$A632,FALSE)</f>
        <v/>
      </c>
      <c r="R631" s="22" t="str">
        <f t="shared" si="99"/>
        <v/>
      </c>
      <c r="S631" s="19" t="str">
        <f t="shared" si="100"/>
        <v/>
      </c>
      <c r="T631" s="22" t="str">
        <f t="shared" si="101"/>
        <v/>
      </c>
      <c r="U631" s="19" t="str">
        <f t="shared" si="102"/>
        <v/>
      </c>
      <c r="V631" s="7"/>
      <c r="Y631" s="19" t="str">
        <f>IF('Supplier selection'!AQ631="","",'Supplier selection'!AQ631)</f>
        <v/>
      </c>
      <c r="Z631" s="19" t="str">
        <f>IF('Supplier selection'!AR631="","",'Supplier selection'!AR631)</f>
        <v/>
      </c>
      <c r="AA631" s="19" t="str">
        <f t="shared" si="103"/>
        <v/>
      </c>
      <c r="AD631" s="26" t="str">
        <f>IF(AND('Supplier selection'!X631="",'Supplier selection'!AE631=""),"",IF('Supplier selection'!X631="",'Supplier selection'!AE631,'Supplier selection'!X631))</f>
        <v/>
      </c>
      <c r="AE631" s="19" t="str">
        <f t="shared" si="104"/>
        <v/>
      </c>
      <c r="AF631" s="19" t="str">
        <f t="shared" si="105"/>
        <v/>
      </c>
      <c r="AG631" s="27" t="str">
        <f>IF(AND('Supplier selection'!AB631="",'Supplier selection'!AI631=""),"",IF('Supplier selection'!AB631="",'Supplier selection'!AI631,'Supplier selection'!AB631))</f>
        <v/>
      </c>
      <c r="AH631" s="28" t="str">
        <f t="shared" si="106"/>
        <v/>
      </c>
      <c r="AI631" s="7" t="str">
        <f t="shared" si="107"/>
        <v/>
      </c>
      <c r="AJ631" s="22" t="str">
        <f t="shared" si="108"/>
        <v/>
      </c>
      <c r="AK631" s="29" t="str">
        <f t="shared" si="109"/>
        <v/>
      </c>
      <c r="AL631" s="10"/>
    </row>
    <row r="632" spans="1:38">
      <c r="A632" s="19">
        <f>IF('Supplier selection'!A632="","",'Supplier selection'!A632)</f>
        <v>628</v>
      </c>
      <c r="B632" s="19" t="str">
        <f>IF('Supplier selection'!B632="","",'Supplier selection'!B632)</f>
        <v/>
      </c>
      <c r="C632" s="19" t="str">
        <f>IF('Supplier selection'!C632="","",'Supplier selection'!C632)</f>
        <v/>
      </c>
      <c r="D632" s="19" t="str">
        <f>IF('Supplier selection'!D632="","",'Supplier selection'!D632)</f>
        <v/>
      </c>
      <c r="E632" s="19" t="str">
        <f>IF('Supplier selection'!E632="","",'Supplier selection'!E632)</f>
        <v/>
      </c>
      <c r="F632" s="19" t="str">
        <f>IF('Supplier selection'!F632="","",'Supplier selection'!F632)</f>
        <v/>
      </c>
      <c r="G632" s="19" t="str">
        <f>IF('Supplier selection'!G632="","",'Supplier selection'!G632)</f>
        <v/>
      </c>
      <c r="H632" s="19" t="str">
        <f>IF('Supplier selection'!H632="","",'Supplier selection'!H632)</f>
        <v/>
      </c>
      <c r="I632" s="19" t="str">
        <f>IF('Supplier selection'!I632="","",'Supplier selection'!I632)</f>
        <v/>
      </c>
      <c r="J632" s="19" t="str">
        <f>IF('Supplier selection'!J632="","",'Supplier selection'!J632)</f>
        <v/>
      </c>
      <c r="K632" s="19" t="str">
        <f>IF('Supplier selection'!K632="","",'Supplier selection'!K632)</f>
        <v/>
      </c>
      <c r="L632" s="19" t="str">
        <f>IF('Supplier selection'!L632="","",'Supplier selection'!L632)</f>
        <v/>
      </c>
      <c r="M632" s="19" t="str">
        <f>IF('Supplier selection'!M632="","",'Supplier selection'!M632)</f>
        <v/>
      </c>
      <c r="N632" s="19" t="str">
        <f>IF('Supplier selection'!N632="","",'Supplier selection'!N632)</f>
        <v/>
      </c>
      <c r="O632" s="19" t="str">
        <f>IF('Supplier selection'!O632="","",'Supplier selection'!O632)</f>
        <v/>
      </c>
      <c r="Q632" s="19" t="str">
        <f>HLOOKUP($Q$3,'Supplier selection'!$AW$4:'Supplier selection'!$CT$1000,$A633,FALSE)</f>
        <v/>
      </c>
      <c r="R632" s="22" t="str">
        <f t="shared" si="99"/>
        <v/>
      </c>
      <c r="S632" s="19" t="str">
        <f t="shared" si="100"/>
        <v/>
      </c>
      <c r="T632" s="22" t="str">
        <f t="shared" si="101"/>
        <v/>
      </c>
      <c r="U632" s="19" t="str">
        <f t="shared" si="102"/>
        <v/>
      </c>
      <c r="V632" s="7"/>
      <c r="Y632" s="19" t="str">
        <f>IF('Supplier selection'!AQ632="","",'Supplier selection'!AQ632)</f>
        <v/>
      </c>
      <c r="Z632" s="19" t="str">
        <f>IF('Supplier selection'!AR632="","",'Supplier selection'!AR632)</f>
        <v/>
      </c>
      <c r="AA632" s="19" t="str">
        <f t="shared" si="103"/>
        <v/>
      </c>
      <c r="AD632" s="26" t="str">
        <f>IF(AND('Supplier selection'!X632="",'Supplier selection'!AE632=""),"",IF('Supplier selection'!X632="",'Supplier selection'!AE632,'Supplier selection'!X632))</f>
        <v/>
      </c>
      <c r="AE632" s="19" t="str">
        <f t="shared" si="104"/>
        <v/>
      </c>
      <c r="AF632" s="19" t="str">
        <f t="shared" si="105"/>
        <v/>
      </c>
      <c r="AG632" s="27" t="str">
        <f>IF(AND('Supplier selection'!AB632="",'Supplier selection'!AI632=""),"",IF('Supplier selection'!AB632="",'Supplier selection'!AI632,'Supplier selection'!AB632))</f>
        <v/>
      </c>
      <c r="AH632" s="28" t="str">
        <f t="shared" si="106"/>
        <v/>
      </c>
      <c r="AI632" s="7" t="str">
        <f t="shared" si="107"/>
        <v/>
      </c>
      <c r="AJ632" s="22" t="str">
        <f t="shared" si="108"/>
        <v/>
      </c>
      <c r="AK632" s="29" t="str">
        <f t="shared" si="109"/>
        <v/>
      </c>
      <c r="AL632" s="10"/>
    </row>
    <row r="633" spans="1:38">
      <c r="A633" s="19">
        <f>IF('Supplier selection'!A633="","",'Supplier selection'!A633)</f>
        <v>629</v>
      </c>
      <c r="B633" s="19" t="str">
        <f>IF('Supplier selection'!B633="","",'Supplier selection'!B633)</f>
        <v/>
      </c>
      <c r="C633" s="19" t="str">
        <f>IF('Supplier selection'!C633="","",'Supplier selection'!C633)</f>
        <v/>
      </c>
      <c r="D633" s="19" t="str">
        <f>IF('Supplier selection'!D633="","",'Supplier selection'!D633)</f>
        <v/>
      </c>
      <c r="E633" s="19" t="str">
        <f>IF('Supplier selection'!E633="","",'Supplier selection'!E633)</f>
        <v/>
      </c>
      <c r="F633" s="19" t="str">
        <f>IF('Supplier selection'!F633="","",'Supplier selection'!F633)</f>
        <v/>
      </c>
      <c r="G633" s="19" t="str">
        <f>IF('Supplier selection'!G633="","",'Supplier selection'!G633)</f>
        <v/>
      </c>
      <c r="H633" s="19" t="str">
        <f>IF('Supplier selection'!H633="","",'Supplier selection'!H633)</f>
        <v/>
      </c>
      <c r="I633" s="19" t="str">
        <f>IF('Supplier selection'!I633="","",'Supplier selection'!I633)</f>
        <v/>
      </c>
      <c r="J633" s="19" t="str">
        <f>IF('Supplier selection'!J633="","",'Supplier selection'!J633)</f>
        <v/>
      </c>
      <c r="K633" s="19" t="str">
        <f>IF('Supplier selection'!K633="","",'Supplier selection'!K633)</f>
        <v/>
      </c>
      <c r="L633" s="19" t="str">
        <f>IF('Supplier selection'!L633="","",'Supplier selection'!L633)</f>
        <v/>
      </c>
      <c r="M633" s="19" t="str">
        <f>IF('Supplier selection'!M633="","",'Supplier selection'!M633)</f>
        <v/>
      </c>
      <c r="N633" s="19" t="str">
        <f>IF('Supplier selection'!N633="","",'Supplier selection'!N633)</f>
        <v/>
      </c>
      <c r="O633" s="19" t="str">
        <f>IF('Supplier selection'!O633="","",'Supplier selection'!O633)</f>
        <v/>
      </c>
      <c r="Q633" s="19" t="str">
        <f>HLOOKUP($Q$3,'Supplier selection'!$AW$4:'Supplier selection'!$CT$1000,$A634,FALSE)</f>
        <v/>
      </c>
      <c r="R633" s="22" t="str">
        <f t="shared" si="99"/>
        <v/>
      </c>
      <c r="S633" s="19" t="str">
        <f t="shared" si="100"/>
        <v/>
      </c>
      <c r="T633" s="22" t="str">
        <f t="shared" si="101"/>
        <v/>
      </c>
      <c r="U633" s="19" t="str">
        <f t="shared" si="102"/>
        <v/>
      </c>
      <c r="V633" s="7"/>
      <c r="Y633" s="19" t="str">
        <f>IF('Supplier selection'!AQ633="","",'Supplier selection'!AQ633)</f>
        <v/>
      </c>
      <c r="Z633" s="19" t="str">
        <f>IF('Supplier selection'!AR633="","",'Supplier selection'!AR633)</f>
        <v/>
      </c>
      <c r="AA633" s="19" t="str">
        <f t="shared" si="103"/>
        <v/>
      </c>
      <c r="AD633" s="26" t="str">
        <f>IF(AND('Supplier selection'!X633="",'Supplier selection'!AE633=""),"",IF('Supplier selection'!X633="",'Supplier selection'!AE633,'Supplier selection'!X633))</f>
        <v/>
      </c>
      <c r="AE633" s="19" t="str">
        <f t="shared" si="104"/>
        <v/>
      </c>
      <c r="AF633" s="19" t="str">
        <f t="shared" si="105"/>
        <v/>
      </c>
      <c r="AG633" s="27" t="str">
        <f>IF(AND('Supplier selection'!AB633="",'Supplier selection'!AI633=""),"",IF('Supplier selection'!AB633="",'Supplier selection'!AI633,'Supplier selection'!AB633))</f>
        <v/>
      </c>
      <c r="AH633" s="28" t="str">
        <f t="shared" si="106"/>
        <v/>
      </c>
      <c r="AI633" s="7" t="str">
        <f t="shared" si="107"/>
        <v/>
      </c>
      <c r="AJ633" s="22" t="str">
        <f t="shared" si="108"/>
        <v/>
      </c>
      <c r="AK633" s="29" t="str">
        <f t="shared" si="109"/>
        <v/>
      </c>
      <c r="AL633" s="10"/>
    </row>
    <row r="634" spans="1:38">
      <c r="A634" s="19">
        <f>IF('Supplier selection'!A634="","",'Supplier selection'!A634)</f>
        <v>630</v>
      </c>
      <c r="B634" s="19" t="str">
        <f>IF('Supplier selection'!B634="","",'Supplier selection'!B634)</f>
        <v/>
      </c>
      <c r="C634" s="19" t="str">
        <f>IF('Supplier selection'!C634="","",'Supplier selection'!C634)</f>
        <v/>
      </c>
      <c r="D634" s="19" t="str">
        <f>IF('Supplier selection'!D634="","",'Supplier selection'!D634)</f>
        <v/>
      </c>
      <c r="E634" s="19" t="str">
        <f>IF('Supplier selection'!E634="","",'Supplier selection'!E634)</f>
        <v/>
      </c>
      <c r="F634" s="19" t="str">
        <f>IF('Supplier selection'!F634="","",'Supplier selection'!F634)</f>
        <v/>
      </c>
      <c r="G634" s="19" t="str">
        <f>IF('Supplier selection'!G634="","",'Supplier selection'!G634)</f>
        <v/>
      </c>
      <c r="H634" s="19" t="str">
        <f>IF('Supplier selection'!H634="","",'Supplier selection'!H634)</f>
        <v/>
      </c>
      <c r="I634" s="19" t="str">
        <f>IF('Supplier selection'!I634="","",'Supplier selection'!I634)</f>
        <v/>
      </c>
      <c r="J634" s="19" t="str">
        <f>IF('Supplier selection'!J634="","",'Supplier selection'!J634)</f>
        <v/>
      </c>
      <c r="K634" s="19" t="str">
        <f>IF('Supplier selection'!K634="","",'Supplier selection'!K634)</f>
        <v/>
      </c>
      <c r="L634" s="19" t="str">
        <f>IF('Supplier selection'!L634="","",'Supplier selection'!L634)</f>
        <v/>
      </c>
      <c r="M634" s="19" t="str">
        <f>IF('Supplier selection'!M634="","",'Supplier selection'!M634)</f>
        <v/>
      </c>
      <c r="N634" s="19" t="str">
        <f>IF('Supplier selection'!N634="","",'Supplier selection'!N634)</f>
        <v/>
      </c>
      <c r="O634" s="19" t="str">
        <f>IF('Supplier selection'!O634="","",'Supplier selection'!O634)</f>
        <v/>
      </c>
      <c r="Q634" s="19" t="str">
        <f>HLOOKUP($Q$3,'Supplier selection'!$AW$4:'Supplier selection'!$CT$1000,$A635,FALSE)</f>
        <v/>
      </c>
      <c r="R634" s="22" t="str">
        <f t="shared" si="99"/>
        <v/>
      </c>
      <c r="S634" s="19" t="str">
        <f t="shared" si="100"/>
        <v/>
      </c>
      <c r="T634" s="22" t="str">
        <f t="shared" si="101"/>
        <v/>
      </c>
      <c r="U634" s="19" t="str">
        <f t="shared" si="102"/>
        <v/>
      </c>
      <c r="V634" s="7"/>
      <c r="Y634" s="19" t="str">
        <f>IF('Supplier selection'!AQ634="","",'Supplier selection'!AQ634)</f>
        <v/>
      </c>
      <c r="Z634" s="19" t="str">
        <f>IF('Supplier selection'!AR634="","",'Supplier selection'!AR634)</f>
        <v/>
      </c>
      <c r="AA634" s="19" t="str">
        <f t="shared" si="103"/>
        <v/>
      </c>
      <c r="AD634" s="26" t="str">
        <f>IF(AND('Supplier selection'!X634="",'Supplier selection'!AE634=""),"",IF('Supplier selection'!X634="",'Supplier selection'!AE634,'Supplier selection'!X634))</f>
        <v/>
      </c>
      <c r="AE634" s="19" t="str">
        <f t="shared" si="104"/>
        <v/>
      </c>
      <c r="AF634" s="19" t="str">
        <f t="shared" si="105"/>
        <v/>
      </c>
      <c r="AG634" s="27" t="str">
        <f>IF(AND('Supplier selection'!AB634="",'Supplier selection'!AI634=""),"",IF('Supplier selection'!AB634="",'Supplier selection'!AI634,'Supplier selection'!AB634))</f>
        <v/>
      </c>
      <c r="AH634" s="28" t="str">
        <f t="shared" si="106"/>
        <v/>
      </c>
      <c r="AI634" s="7" t="str">
        <f t="shared" si="107"/>
        <v/>
      </c>
      <c r="AJ634" s="22" t="str">
        <f t="shared" si="108"/>
        <v/>
      </c>
      <c r="AK634" s="29" t="str">
        <f t="shared" si="109"/>
        <v/>
      </c>
      <c r="AL634" s="10"/>
    </row>
    <row r="635" spans="1:38">
      <c r="A635" s="19">
        <f>IF('Supplier selection'!A635="","",'Supplier selection'!A635)</f>
        <v>631</v>
      </c>
      <c r="B635" s="19" t="str">
        <f>IF('Supplier selection'!B635="","",'Supplier selection'!B635)</f>
        <v/>
      </c>
      <c r="C635" s="19" t="str">
        <f>IF('Supplier selection'!C635="","",'Supplier selection'!C635)</f>
        <v/>
      </c>
      <c r="D635" s="19" t="str">
        <f>IF('Supplier selection'!D635="","",'Supplier selection'!D635)</f>
        <v/>
      </c>
      <c r="E635" s="19" t="str">
        <f>IF('Supplier selection'!E635="","",'Supplier selection'!E635)</f>
        <v/>
      </c>
      <c r="F635" s="19" t="str">
        <f>IF('Supplier selection'!F635="","",'Supplier selection'!F635)</f>
        <v/>
      </c>
      <c r="G635" s="19" t="str">
        <f>IF('Supplier selection'!G635="","",'Supplier selection'!G635)</f>
        <v/>
      </c>
      <c r="H635" s="19" t="str">
        <f>IF('Supplier selection'!H635="","",'Supplier selection'!H635)</f>
        <v/>
      </c>
      <c r="I635" s="19" t="str">
        <f>IF('Supplier selection'!I635="","",'Supplier selection'!I635)</f>
        <v/>
      </c>
      <c r="J635" s="19" t="str">
        <f>IF('Supplier selection'!J635="","",'Supplier selection'!J635)</f>
        <v/>
      </c>
      <c r="K635" s="19" t="str">
        <f>IF('Supplier selection'!K635="","",'Supplier selection'!K635)</f>
        <v/>
      </c>
      <c r="L635" s="19" t="str">
        <f>IF('Supplier selection'!L635="","",'Supplier selection'!L635)</f>
        <v/>
      </c>
      <c r="M635" s="19" t="str">
        <f>IF('Supplier selection'!M635="","",'Supplier selection'!M635)</f>
        <v/>
      </c>
      <c r="N635" s="19" t="str">
        <f>IF('Supplier selection'!N635="","",'Supplier selection'!N635)</f>
        <v/>
      </c>
      <c r="O635" s="19" t="str">
        <f>IF('Supplier selection'!O635="","",'Supplier selection'!O635)</f>
        <v/>
      </c>
      <c r="Q635" s="19" t="str">
        <f>HLOOKUP($Q$3,'Supplier selection'!$AW$4:'Supplier selection'!$CT$1000,$A636,FALSE)</f>
        <v/>
      </c>
      <c r="R635" s="22" t="str">
        <f t="shared" si="99"/>
        <v/>
      </c>
      <c r="S635" s="19" t="str">
        <f t="shared" si="100"/>
        <v/>
      </c>
      <c r="T635" s="22" t="str">
        <f t="shared" si="101"/>
        <v/>
      </c>
      <c r="U635" s="19" t="str">
        <f t="shared" si="102"/>
        <v/>
      </c>
      <c r="V635" s="7"/>
      <c r="Y635" s="19" t="str">
        <f>IF('Supplier selection'!AQ635="","",'Supplier selection'!AQ635)</f>
        <v/>
      </c>
      <c r="Z635" s="19" t="str">
        <f>IF('Supplier selection'!AR635="","",'Supplier selection'!AR635)</f>
        <v/>
      </c>
      <c r="AA635" s="19" t="str">
        <f t="shared" si="103"/>
        <v/>
      </c>
      <c r="AD635" s="26" t="str">
        <f>IF(AND('Supplier selection'!X635="",'Supplier selection'!AE635=""),"",IF('Supplier selection'!X635="",'Supplier selection'!AE635,'Supplier selection'!X635))</f>
        <v/>
      </c>
      <c r="AE635" s="19" t="str">
        <f t="shared" si="104"/>
        <v/>
      </c>
      <c r="AF635" s="19" t="str">
        <f t="shared" si="105"/>
        <v/>
      </c>
      <c r="AG635" s="27" t="str">
        <f>IF(AND('Supplier selection'!AB635="",'Supplier selection'!AI635=""),"",IF('Supplier selection'!AB635="",'Supplier selection'!AI635,'Supplier selection'!AB635))</f>
        <v/>
      </c>
      <c r="AH635" s="28" t="str">
        <f t="shared" si="106"/>
        <v/>
      </c>
      <c r="AI635" s="7" t="str">
        <f t="shared" si="107"/>
        <v/>
      </c>
      <c r="AJ635" s="22" t="str">
        <f t="shared" si="108"/>
        <v/>
      </c>
      <c r="AK635" s="29" t="str">
        <f t="shared" si="109"/>
        <v/>
      </c>
      <c r="AL635" s="10"/>
    </row>
    <row r="636" spans="1:38">
      <c r="A636" s="19">
        <f>IF('Supplier selection'!A636="","",'Supplier selection'!A636)</f>
        <v>632</v>
      </c>
      <c r="B636" s="19" t="str">
        <f>IF('Supplier selection'!B636="","",'Supplier selection'!B636)</f>
        <v/>
      </c>
      <c r="C636" s="19" t="str">
        <f>IF('Supplier selection'!C636="","",'Supplier selection'!C636)</f>
        <v/>
      </c>
      <c r="D636" s="19" t="str">
        <f>IF('Supplier selection'!D636="","",'Supplier selection'!D636)</f>
        <v/>
      </c>
      <c r="E636" s="19" t="str">
        <f>IF('Supplier selection'!E636="","",'Supplier selection'!E636)</f>
        <v/>
      </c>
      <c r="F636" s="19" t="str">
        <f>IF('Supplier selection'!F636="","",'Supplier selection'!F636)</f>
        <v/>
      </c>
      <c r="G636" s="19" t="str">
        <f>IF('Supplier selection'!G636="","",'Supplier selection'!G636)</f>
        <v/>
      </c>
      <c r="H636" s="19" t="str">
        <f>IF('Supplier selection'!H636="","",'Supplier selection'!H636)</f>
        <v/>
      </c>
      <c r="I636" s="19" t="str">
        <f>IF('Supplier selection'!I636="","",'Supplier selection'!I636)</f>
        <v/>
      </c>
      <c r="J636" s="19" t="str">
        <f>IF('Supplier selection'!J636="","",'Supplier selection'!J636)</f>
        <v/>
      </c>
      <c r="K636" s="19" t="str">
        <f>IF('Supplier selection'!K636="","",'Supplier selection'!K636)</f>
        <v/>
      </c>
      <c r="L636" s="19" t="str">
        <f>IF('Supplier selection'!L636="","",'Supplier selection'!L636)</f>
        <v/>
      </c>
      <c r="M636" s="19" t="str">
        <f>IF('Supplier selection'!M636="","",'Supplier selection'!M636)</f>
        <v/>
      </c>
      <c r="N636" s="19" t="str">
        <f>IF('Supplier selection'!N636="","",'Supplier selection'!N636)</f>
        <v/>
      </c>
      <c r="O636" s="19" t="str">
        <f>IF('Supplier selection'!O636="","",'Supplier selection'!O636)</f>
        <v/>
      </c>
      <c r="Q636" s="19" t="str">
        <f>HLOOKUP($Q$3,'Supplier selection'!$AW$4:'Supplier selection'!$CT$1000,$A637,FALSE)</f>
        <v/>
      </c>
      <c r="R636" s="22" t="str">
        <f t="shared" si="99"/>
        <v/>
      </c>
      <c r="S636" s="19" t="str">
        <f t="shared" si="100"/>
        <v/>
      </c>
      <c r="T636" s="22" t="str">
        <f t="shared" si="101"/>
        <v/>
      </c>
      <c r="U636" s="19" t="str">
        <f t="shared" si="102"/>
        <v/>
      </c>
      <c r="V636" s="7"/>
      <c r="Y636" s="19" t="str">
        <f>IF('Supplier selection'!AQ636="","",'Supplier selection'!AQ636)</f>
        <v/>
      </c>
      <c r="Z636" s="19" t="str">
        <f>IF('Supplier selection'!AR636="","",'Supplier selection'!AR636)</f>
        <v/>
      </c>
      <c r="AA636" s="19" t="str">
        <f t="shared" si="103"/>
        <v/>
      </c>
      <c r="AD636" s="26" t="str">
        <f>IF(AND('Supplier selection'!X636="",'Supplier selection'!AE636=""),"",IF('Supplier selection'!X636="",'Supplier selection'!AE636,'Supplier selection'!X636))</f>
        <v/>
      </c>
      <c r="AE636" s="19" t="str">
        <f t="shared" si="104"/>
        <v/>
      </c>
      <c r="AF636" s="19" t="str">
        <f t="shared" si="105"/>
        <v/>
      </c>
      <c r="AG636" s="27" t="str">
        <f>IF(AND('Supplier selection'!AB636="",'Supplier selection'!AI636=""),"",IF('Supplier selection'!AB636="",'Supplier selection'!AI636,'Supplier selection'!AB636))</f>
        <v/>
      </c>
      <c r="AH636" s="28" t="str">
        <f t="shared" si="106"/>
        <v/>
      </c>
      <c r="AI636" s="7" t="str">
        <f t="shared" si="107"/>
        <v/>
      </c>
      <c r="AJ636" s="22" t="str">
        <f t="shared" si="108"/>
        <v/>
      </c>
      <c r="AK636" s="29" t="str">
        <f t="shared" si="109"/>
        <v/>
      </c>
      <c r="AL636" s="10"/>
    </row>
    <row r="637" spans="1:38">
      <c r="A637" s="19">
        <f>IF('Supplier selection'!A637="","",'Supplier selection'!A637)</f>
        <v>633</v>
      </c>
      <c r="B637" s="19" t="str">
        <f>IF('Supplier selection'!B637="","",'Supplier selection'!B637)</f>
        <v/>
      </c>
      <c r="C637" s="19" t="str">
        <f>IF('Supplier selection'!C637="","",'Supplier selection'!C637)</f>
        <v/>
      </c>
      <c r="D637" s="19" t="str">
        <f>IF('Supplier selection'!D637="","",'Supplier selection'!D637)</f>
        <v/>
      </c>
      <c r="E637" s="19" t="str">
        <f>IF('Supplier selection'!E637="","",'Supplier selection'!E637)</f>
        <v/>
      </c>
      <c r="F637" s="19" t="str">
        <f>IF('Supplier selection'!F637="","",'Supplier selection'!F637)</f>
        <v/>
      </c>
      <c r="G637" s="19" t="str">
        <f>IF('Supplier selection'!G637="","",'Supplier selection'!G637)</f>
        <v/>
      </c>
      <c r="H637" s="19" t="str">
        <f>IF('Supplier selection'!H637="","",'Supplier selection'!H637)</f>
        <v/>
      </c>
      <c r="I637" s="19" t="str">
        <f>IF('Supplier selection'!I637="","",'Supplier selection'!I637)</f>
        <v/>
      </c>
      <c r="J637" s="19" t="str">
        <f>IF('Supplier selection'!J637="","",'Supplier selection'!J637)</f>
        <v/>
      </c>
      <c r="K637" s="19" t="str">
        <f>IF('Supplier selection'!K637="","",'Supplier selection'!K637)</f>
        <v/>
      </c>
      <c r="L637" s="19" t="str">
        <f>IF('Supplier selection'!L637="","",'Supplier selection'!L637)</f>
        <v/>
      </c>
      <c r="M637" s="19" t="str">
        <f>IF('Supplier selection'!M637="","",'Supplier selection'!M637)</f>
        <v/>
      </c>
      <c r="N637" s="19" t="str">
        <f>IF('Supplier selection'!N637="","",'Supplier selection'!N637)</f>
        <v/>
      </c>
      <c r="O637" s="19" t="str">
        <f>IF('Supplier selection'!O637="","",'Supplier selection'!O637)</f>
        <v/>
      </c>
      <c r="Q637" s="19" t="str">
        <f>HLOOKUP($Q$3,'Supplier selection'!$AW$4:'Supplier selection'!$CT$1000,$A638,FALSE)</f>
        <v/>
      </c>
      <c r="R637" s="22" t="str">
        <f t="shared" si="99"/>
        <v/>
      </c>
      <c r="S637" s="19" t="str">
        <f t="shared" si="100"/>
        <v/>
      </c>
      <c r="T637" s="22" t="str">
        <f t="shared" si="101"/>
        <v/>
      </c>
      <c r="U637" s="19" t="str">
        <f t="shared" si="102"/>
        <v/>
      </c>
      <c r="V637" s="7"/>
      <c r="Y637" s="19" t="str">
        <f>IF('Supplier selection'!AQ637="","",'Supplier selection'!AQ637)</f>
        <v/>
      </c>
      <c r="Z637" s="19" t="str">
        <f>IF('Supplier selection'!AR637="","",'Supplier selection'!AR637)</f>
        <v/>
      </c>
      <c r="AA637" s="19" t="str">
        <f t="shared" si="103"/>
        <v/>
      </c>
      <c r="AD637" s="26" t="str">
        <f>IF(AND('Supplier selection'!X637="",'Supplier selection'!AE637=""),"",IF('Supplier selection'!X637="",'Supplier selection'!AE637,'Supplier selection'!X637))</f>
        <v/>
      </c>
      <c r="AE637" s="19" t="str">
        <f t="shared" si="104"/>
        <v/>
      </c>
      <c r="AF637" s="19" t="str">
        <f t="shared" si="105"/>
        <v/>
      </c>
      <c r="AG637" s="27" t="str">
        <f>IF(AND('Supplier selection'!AB637="",'Supplier selection'!AI637=""),"",IF('Supplier selection'!AB637="",'Supplier selection'!AI637,'Supplier selection'!AB637))</f>
        <v/>
      </c>
      <c r="AH637" s="28" t="str">
        <f t="shared" si="106"/>
        <v/>
      </c>
      <c r="AI637" s="7" t="str">
        <f t="shared" si="107"/>
        <v/>
      </c>
      <c r="AJ637" s="22" t="str">
        <f t="shared" si="108"/>
        <v/>
      </c>
      <c r="AK637" s="29" t="str">
        <f t="shared" si="109"/>
        <v/>
      </c>
      <c r="AL637" s="10"/>
    </row>
    <row r="638" spans="1:38">
      <c r="A638" s="19">
        <f>IF('Supplier selection'!A638="","",'Supplier selection'!A638)</f>
        <v>634</v>
      </c>
      <c r="B638" s="19" t="str">
        <f>IF('Supplier selection'!B638="","",'Supplier selection'!B638)</f>
        <v/>
      </c>
      <c r="C638" s="19" t="str">
        <f>IF('Supplier selection'!C638="","",'Supplier selection'!C638)</f>
        <v/>
      </c>
      <c r="D638" s="19" t="str">
        <f>IF('Supplier selection'!D638="","",'Supplier selection'!D638)</f>
        <v/>
      </c>
      <c r="E638" s="19" t="str">
        <f>IF('Supplier selection'!E638="","",'Supplier selection'!E638)</f>
        <v/>
      </c>
      <c r="F638" s="19" t="str">
        <f>IF('Supplier selection'!F638="","",'Supplier selection'!F638)</f>
        <v/>
      </c>
      <c r="G638" s="19" t="str">
        <f>IF('Supplier selection'!G638="","",'Supplier selection'!G638)</f>
        <v/>
      </c>
      <c r="H638" s="19" t="str">
        <f>IF('Supplier selection'!H638="","",'Supplier selection'!H638)</f>
        <v/>
      </c>
      <c r="I638" s="19" t="str">
        <f>IF('Supplier selection'!I638="","",'Supplier selection'!I638)</f>
        <v/>
      </c>
      <c r="J638" s="19" t="str">
        <f>IF('Supplier selection'!J638="","",'Supplier selection'!J638)</f>
        <v/>
      </c>
      <c r="K638" s="19" t="str">
        <f>IF('Supplier selection'!K638="","",'Supplier selection'!K638)</f>
        <v/>
      </c>
      <c r="L638" s="19" t="str">
        <f>IF('Supplier selection'!L638="","",'Supplier selection'!L638)</f>
        <v/>
      </c>
      <c r="M638" s="19" t="str">
        <f>IF('Supplier selection'!M638="","",'Supplier selection'!M638)</f>
        <v/>
      </c>
      <c r="N638" s="19" t="str">
        <f>IF('Supplier selection'!N638="","",'Supplier selection'!N638)</f>
        <v/>
      </c>
      <c r="O638" s="19" t="str">
        <f>IF('Supplier selection'!O638="","",'Supplier selection'!O638)</f>
        <v/>
      </c>
      <c r="Q638" s="19" t="str">
        <f>HLOOKUP($Q$3,'Supplier selection'!$AW$4:'Supplier selection'!$CT$1000,$A639,FALSE)</f>
        <v/>
      </c>
      <c r="R638" s="22" t="str">
        <f t="shared" si="99"/>
        <v/>
      </c>
      <c r="S638" s="19" t="str">
        <f t="shared" si="100"/>
        <v/>
      </c>
      <c r="T638" s="22" t="str">
        <f t="shared" si="101"/>
        <v/>
      </c>
      <c r="U638" s="19" t="str">
        <f t="shared" si="102"/>
        <v/>
      </c>
      <c r="V638" s="7"/>
      <c r="Y638" s="19" t="str">
        <f>IF('Supplier selection'!AQ638="","",'Supplier selection'!AQ638)</f>
        <v/>
      </c>
      <c r="Z638" s="19" t="str">
        <f>IF('Supplier selection'!AR638="","",'Supplier selection'!AR638)</f>
        <v/>
      </c>
      <c r="AA638" s="19" t="str">
        <f t="shared" si="103"/>
        <v/>
      </c>
      <c r="AD638" s="26" t="str">
        <f>IF(AND('Supplier selection'!X638="",'Supplier selection'!AE638=""),"",IF('Supplier selection'!X638="",'Supplier selection'!AE638,'Supplier selection'!X638))</f>
        <v/>
      </c>
      <c r="AE638" s="19" t="str">
        <f t="shared" si="104"/>
        <v/>
      </c>
      <c r="AF638" s="19" t="str">
        <f t="shared" si="105"/>
        <v/>
      </c>
      <c r="AG638" s="27" t="str">
        <f>IF(AND('Supplier selection'!AB638="",'Supplier selection'!AI638=""),"",IF('Supplier selection'!AB638="",'Supplier selection'!AI638,'Supplier selection'!AB638))</f>
        <v/>
      </c>
      <c r="AH638" s="28" t="str">
        <f t="shared" si="106"/>
        <v/>
      </c>
      <c r="AI638" s="7" t="str">
        <f t="shared" si="107"/>
        <v/>
      </c>
      <c r="AJ638" s="22" t="str">
        <f t="shared" si="108"/>
        <v/>
      </c>
      <c r="AK638" s="29" t="str">
        <f t="shared" si="109"/>
        <v/>
      </c>
      <c r="AL638" s="10"/>
    </row>
    <row r="639" spans="1:38">
      <c r="A639" s="19">
        <f>IF('Supplier selection'!A639="","",'Supplier selection'!A639)</f>
        <v>635</v>
      </c>
      <c r="B639" s="19" t="str">
        <f>IF('Supplier selection'!B639="","",'Supplier selection'!B639)</f>
        <v/>
      </c>
      <c r="C639" s="19" t="str">
        <f>IF('Supplier selection'!C639="","",'Supplier selection'!C639)</f>
        <v/>
      </c>
      <c r="D639" s="19" t="str">
        <f>IF('Supplier selection'!D639="","",'Supplier selection'!D639)</f>
        <v/>
      </c>
      <c r="E639" s="19" t="str">
        <f>IF('Supplier selection'!E639="","",'Supplier selection'!E639)</f>
        <v/>
      </c>
      <c r="F639" s="19" t="str">
        <f>IF('Supplier selection'!F639="","",'Supplier selection'!F639)</f>
        <v/>
      </c>
      <c r="G639" s="19" t="str">
        <f>IF('Supplier selection'!G639="","",'Supplier selection'!G639)</f>
        <v/>
      </c>
      <c r="H639" s="19" t="str">
        <f>IF('Supplier selection'!H639="","",'Supplier selection'!H639)</f>
        <v/>
      </c>
      <c r="I639" s="19" t="str">
        <f>IF('Supplier selection'!I639="","",'Supplier selection'!I639)</f>
        <v/>
      </c>
      <c r="J639" s="19" t="str">
        <f>IF('Supplier selection'!J639="","",'Supplier selection'!J639)</f>
        <v/>
      </c>
      <c r="K639" s="19" t="str">
        <f>IF('Supplier selection'!K639="","",'Supplier selection'!K639)</f>
        <v/>
      </c>
      <c r="L639" s="19" t="str">
        <f>IF('Supplier selection'!L639="","",'Supplier selection'!L639)</f>
        <v/>
      </c>
      <c r="M639" s="19" t="str">
        <f>IF('Supplier selection'!M639="","",'Supplier selection'!M639)</f>
        <v/>
      </c>
      <c r="N639" s="19" t="str">
        <f>IF('Supplier selection'!N639="","",'Supplier selection'!N639)</f>
        <v/>
      </c>
      <c r="O639" s="19" t="str">
        <f>IF('Supplier selection'!O639="","",'Supplier selection'!O639)</f>
        <v/>
      </c>
      <c r="Q639" s="19" t="str">
        <f>HLOOKUP($Q$3,'Supplier selection'!$AW$4:'Supplier selection'!$CT$1000,$A640,FALSE)</f>
        <v/>
      </c>
      <c r="R639" s="22" t="str">
        <f t="shared" si="99"/>
        <v/>
      </c>
      <c r="S639" s="19" t="str">
        <f t="shared" si="100"/>
        <v/>
      </c>
      <c r="T639" s="22" t="str">
        <f t="shared" si="101"/>
        <v/>
      </c>
      <c r="U639" s="19" t="str">
        <f t="shared" si="102"/>
        <v/>
      </c>
      <c r="V639" s="7"/>
      <c r="Y639" s="19" t="str">
        <f>IF('Supplier selection'!AQ639="","",'Supplier selection'!AQ639)</f>
        <v/>
      </c>
      <c r="Z639" s="19" t="str">
        <f>IF('Supplier selection'!AR639="","",'Supplier selection'!AR639)</f>
        <v/>
      </c>
      <c r="AA639" s="19" t="str">
        <f t="shared" si="103"/>
        <v/>
      </c>
      <c r="AD639" s="26" t="str">
        <f>IF(AND('Supplier selection'!X639="",'Supplier selection'!AE639=""),"",IF('Supplier selection'!X639="",'Supplier selection'!AE639,'Supplier selection'!X639))</f>
        <v/>
      </c>
      <c r="AE639" s="19" t="str">
        <f t="shared" si="104"/>
        <v/>
      </c>
      <c r="AF639" s="19" t="str">
        <f t="shared" si="105"/>
        <v/>
      </c>
      <c r="AG639" s="27" t="str">
        <f>IF(AND('Supplier selection'!AB639="",'Supplier selection'!AI639=""),"",IF('Supplier selection'!AB639="",'Supplier selection'!AI639,'Supplier selection'!AB639))</f>
        <v/>
      </c>
      <c r="AH639" s="28" t="str">
        <f t="shared" si="106"/>
        <v/>
      </c>
      <c r="AI639" s="7" t="str">
        <f t="shared" si="107"/>
        <v/>
      </c>
      <c r="AJ639" s="22" t="str">
        <f t="shared" si="108"/>
        <v/>
      </c>
      <c r="AK639" s="29" t="str">
        <f t="shared" si="109"/>
        <v/>
      </c>
      <c r="AL639" s="10"/>
    </row>
    <row r="640" spans="1:38">
      <c r="A640" s="19">
        <f>IF('Supplier selection'!A640="","",'Supplier selection'!A640)</f>
        <v>636</v>
      </c>
      <c r="B640" s="19" t="str">
        <f>IF('Supplier selection'!B640="","",'Supplier selection'!B640)</f>
        <v/>
      </c>
      <c r="C640" s="19" t="str">
        <f>IF('Supplier selection'!C640="","",'Supplier selection'!C640)</f>
        <v/>
      </c>
      <c r="D640" s="19" t="str">
        <f>IF('Supplier selection'!D640="","",'Supplier selection'!D640)</f>
        <v/>
      </c>
      <c r="E640" s="19" t="str">
        <f>IF('Supplier selection'!E640="","",'Supplier selection'!E640)</f>
        <v/>
      </c>
      <c r="F640" s="19" t="str">
        <f>IF('Supplier selection'!F640="","",'Supplier selection'!F640)</f>
        <v/>
      </c>
      <c r="G640" s="19" t="str">
        <f>IF('Supplier selection'!G640="","",'Supplier selection'!G640)</f>
        <v/>
      </c>
      <c r="H640" s="19" t="str">
        <f>IF('Supplier selection'!H640="","",'Supplier selection'!H640)</f>
        <v/>
      </c>
      <c r="I640" s="19" t="str">
        <f>IF('Supplier selection'!I640="","",'Supplier selection'!I640)</f>
        <v/>
      </c>
      <c r="J640" s="19" t="str">
        <f>IF('Supplier selection'!J640="","",'Supplier selection'!J640)</f>
        <v/>
      </c>
      <c r="K640" s="19" t="str">
        <f>IF('Supplier selection'!K640="","",'Supplier selection'!K640)</f>
        <v/>
      </c>
      <c r="L640" s="19" t="str">
        <f>IF('Supplier selection'!L640="","",'Supplier selection'!L640)</f>
        <v/>
      </c>
      <c r="M640" s="19" t="str">
        <f>IF('Supplier selection'!M640="","",'Supplier selection'!M640)</f>
        <v/>
      </c>
      <c r="N640" s="19" t="str">
        <f>IF('Supplier selection'!N640="","",'Supplier selection'!N640)</f>
        <v/>
      </c>
      <c r="O640" s="19" t="str">
        <f>IF('Supplier selection'!O640="","",'Supplier selection'!O640)</f>
        <v/>
      </c>
      <c r="Q640" s="19" t="str">
        <f>HLOOKUP($Q$3,'Supplier selection'!$AW$4:'Supplier selection'!$CT$1000,$A641,FALSE)</f>
        <v/>
      </c>
      <c r="R640" s="22" t="str">
        <f t="shared" si="99"/>
        <v/>
      </c>
      <c r="S640" s="19" t="str">
        <f t="shared" si="100"/>
        <v/>
      </c>
      <c r="T640" s="22" t="str">
        <f t="shared" si="101"/>
        <v/>
      </c>
      <c r="U640" s="19" t="str">
        <f t="shared" si="102"/>
        <v/>
      </c>
      <c r="V640" s="7"/>
      <c r="Y640" s="19" t="str">
        <f>IF('Supplier selection'!AQ640="","",'Supplier selection'!AQ640)</f>
        <v/>
      </c>
      <c r="Z640" s="19" t="str">
        <f>IF('Supplier selection'!AR640="","",'Supplier selection'!AR640)</f>
        <v/>
      </c>
      <c r="AA640" s="19" t="str">
        <f t="shared" si="103"/>
        <v/>
      </c>
      <c r="AD640" s="26" t="str">
        <f>IF(AND('Supplier selection'!X640="",'Supplier selection'!AE640=""),"",IF('Supplier selection'!X640="",'Supplier selection'!AE640,'Supplier selection'!X640))</f>
        <v/>
      </c>
      <c r="AE640" s="19" t="str">
        <f t="shared" si="104"/>
        <v/>
      </c>
      <c r="AF640" s="19" t="str">
        <f t="shared" si="105"/>
        <v/>
      </c>
      <c r="AG640" s="27" t="str">
        <f>IF(AND('Supplier selection'!AB640="",'Supplier selection'!AI640=""),"",IF('Supplier selection'!AB640="",'Supplier selection'!AI640,'Supplier selection'!AB640))</f>
        <v/>
      </c>
      <c r="AH640" s="28" t="str">
        <f t="shared" si="106"/>
        <v/>
      </c>
      <c r="AI640" s="7" t="str">
        <f t="shared" si="107"/>
        <v/>
      </c>
      <c r="AJ640" s="22" t="str">
        <f t="shared" si="108"/>
        <v/>
      </c>
      <c r="AK640" s="29" t="str">
        <f t="shared" si="109"/>
        <v/>
      </c>
      <c r="AL640" s="10"/>
    </row>
    <row r="641" spans="1:38">
      <c r="A641" s="19">
        <f>IF('Supplier selection'!A641="","",'Supplier selection'!A641)</f>
        <v>637</v>
      </c>
      <c r="B641" s="19" t="str">
        <f>IF('Supplier selection'!B641="","",'Supplier selection'!B641)</f>
        <v/>
      </c>
      <c r="C641" s="19" t="str">
        <f>IF('Supplier selection'!C641="","",'Supplier selection'!C641)</f>
        <v/>
      </c>
      <c r="D641" s="19" t="str">
        <f>IF('Supplier selection'!D641="","",'Supplier selection'!D641)</f>
        <v/>
      </c>
      <c r="E641" s="19" t="str">
        <f>IF('Supplier selection'!E641="","",'Supplier selection'!E641)</f>
        <v/>
      </c>
      <c r="F641" s="19" t="str">
        <f>IF('Supplier selection'!F641="","",'Supplier selection'!F641)</f>
        <v/>
      </c>
      <c r="G641" s="19" t="str">
        <f>IF('Supplier selection'!G641="","",'Supplier selection'!G641)</f>
        <v/>
      </c>
      <c r="H641" s="19" t="str">
        <f>IF('Supplier selection'!H641="","",'Supplier selection'!H641)</f>
        <v/>
      </c>
      <c r="I641" s="19" t="str">
        <f>IF('Supplier selection'!I641="","",'Supplier selection'!I641)</f>
        <v/>
      </c>
      <c r="J641" s="19" t="str">
        <f>IF('Supplier selection'!J641="","",'Supplier selection'!J641)</f>
        <v/>
      </c>
      <c r="K641" s="19" t="str">
        <f>IF('Supplier selection'!K641="","",'Supplier selection'!K641)</f>
        <v/>
      </c>
      <c r="L641" s="19" t="str">
        <f>IF('Supplier selection'!L641="","",'Supplier selection'!L641)</f>
        <v/>
      </c>
      <c r="M641" s="19" t="str">
        <f>IF('Supplier selection'!M641="","",'Supplier selection'!M641)</f>
        <v/>
      </c>
      <c r="N641" s="19" t="str">
        <f>IF('Supplier selection'!N641="","",'Supplier selection'!N641)</f>
        <v/>
      </c>
      <c r="O641" s="19" t="str">
        <f>IF('Supplier selection'!O641="","",'Supplier selection'!O641)</f>
        <v/>
      </c>
      <c r="Q641" s="19" t="str">
        <f>HLOOKUP($Q$3,'Supplier selection'!$AW$4:'Supplier selection'!$CT$1000,$A642,FALSE)</f>
        <v/>
      </c>
      <c r="R641" s="22" t="str">
        <f t="shared" si="99"/>
        <v/>
      </c>
      <c r="S641" s="19" t="str">
        <f t="shared" si="100"/>
        <v/>
      </c>
      <c r="T641" s="22" t="str">
        <f t="shared" si="101"/>
        <v/>
      </c>
      <c r="U641" s="19" t="str">
        <f t="shared" si="102"/>
        <v/>
      </c>
      <c r="V641" s="7"/>
      <c r="Y641" s="19" t="str">
        <f>IF('Supplier selection'!AQ641="","",'Supplier selection'!AQ641)</f>
        <v/>
      </c>
      <c r="Z641" s="19" t="str">
        <f>IF('Supplier selection'!AR641="","",'Supplier selection'!AR641)</f>
        <v/>
      </c>
      <c r="AA641" s="19" t="str">
        <f t="shared" si="103"/>
        <v/>
      </c>
      <c r="AD641" s="26" t="str">
        <f>IF(AND('Supplier selection'!X641="",'Supplier selection'!AE641=""),"",IF('Supplier selection'!X641="",'Supplier selection'!AE641,'Supplier selection'!X641))</f>
        <v/>
      </c>
      <c r="AE641" s="19" t="str">
        <f t="shared" si="104"/>
        <v/>
      </c>
      <c r="AF641" s="19" t="str">
        <f t="shared" si="105"/>
        <v/>
      </c>
      <c r="AG641" s="27" t="str">
        <f>IF(AND('Supplier selection'!AB641="",'Supplier selection'!AI641=""),"",IF('Supplier selection'!AB641="",'Supplier selection'!AI641,'Supplier selection'!AB641))</f>
        <v/>
      </c>
      <c r="AH641" s="28" t="str">
        <f t="shared" si="106"/>
        <v/>
      </c>
      <c r="AI641" s="7" t="str">
        <f t="shared" si="107"/>
        <v/>
      </c>
      <c r="AJ641" s="22" t="str">
        <f t="shared" si="108"/>
        <v/>
      </c>
      <c r="AK641" s="29" t="str">
        <f t="shared" si="109"/>
        <v/>
      </c>
      <c r="AL641" s="10"/>
    </row>
    <row r="642" spans="1:38">
      <c r="A642" s="19">
        <f>IF('Supplier selection'!A642="","",'Supplier selection'!A642)</f>
        <v>638</v>
      </c>
      <c r="B642" s="19" t="str">
        <f>IF('Supplier selection'!B642="","",'Supplier selection'!B642)</f>
        <v/>
      </c>
      <c r="C642" s="19" t="str">
        <f>IF('Supplier selection'!C642="","",'Supplier selection'!C642)</f>
        <v/>
      </c>
      <c r="D642" s="19" t="str">
        <f>IF('Supplier selection'!D642="","",'Supplier selection'!D642)</f>
        <v/>
      </c>
      <c r="E642" s="19" t="str">
        <f>IF('Supplier selection'!E642="","",'Supplier selection'!E642)</f>
        <v/>
      </c>
      <c r="F642" s="19" t="str">
        <f>IF('Supplier selection'!F642="","",'Supplier selection'!F642)</f>
        <v/>
      </c>
      <c r="G642" s="19" t="str">
        <f>IF('Supplier selection'!G642="","",'Supplier selection'!G642)</f>
        <v/>
      </c>
      <c r="H642" s="19" t="str">
        <f>IF('Supplier selection'!H642="","",'Supplier selection'!H642)</f>
        <v/>
      </c>
      <c r="I642" s="19" t="str">
        <f>IF('Supplier selection'!I642="","",'Supplier selection'!I642)</f>
        <v/>
      </c>
      <c r="J642" s="19" t="str">
        <f>IF('Supplier selection'!J642="","",'Supplier selection'!J642)</f>
        <v/>
      </c>
      <c r="K642" s="19" t="str">
        <f>IF('Supplier selection'!K642="","",'Supplier selection'!K642)</f>
        <v/>
      </c>
      <c r="L642" s="19" t="str">
        <f>IF('Supplier selection'!L642="","",'Supplier selection'!L642)</f>
        <v/>
      </c>
      <c r="M642" s="19" t="str">
        <f>IF('Supplier selection'!M642="","",'Supplier selection'!M642)</f>
        <v/>
      </c>
      <c r="N642" s="19" t="str">
        <f>IF('Supplier selection'!N642="","",'Supplier selection'!N642)</f>
        <v/>
      </c>
      <c r="O642" s="19" t="str">
        <f>IF('Supplier selection'!O642="","",'Supplier selection'!O642)</f>
        <v/>
      </c>
      <c r="Q642" s="19" t="str">
        <f>HLOOKUP($Q$3,'Supplier selection'!$AW$4:'Supplier selection'!$CT$1000,$A643,FALSE)</f>
        <v/>
      </c>
      <c r="R642" s="22" t="str">
        <f t="shared" si="99"/>
        <v/>
      </c>
      <c r="S642" s="19" t="str">
        <f t="shared" si="100"/>
        <v/>
      </c>
      <c r="T642" s="22" t="str">
        <f t="shared" si="101"/>
        <v/>
      </c>
      <c r="U642" s="19" t="str">
        <f t="shared" si="102"/>
        <v/>
      </c>
      <c r="V642" s="7"/>
      <c r="Y642" s="19" t="str">
        <f>IF('Supplier selection'!AQ642="","",'Supplier selection'!AQ642)</f>
        <v/>
      </c>
      <c r="Z642" s="19" t="str">
        <f>IF('Supplier selection'!AR642="","",'Supplier selection'!AR642)</f>
        <v/>
      </c>
      <c r="AA642" s="19" t="str">
        <f t="shared" si="103"/>
        <v/>
      </c>
      <c r="AD642" s="26" t="str">
        <f>IF(AND('Supplier selection'!X642="",'Supplier selection'!AE642=""),"",IF('Supplier selection'!X642="",'Supplier selection'!AE642,'Supplier selection'!X642))</f>
        <v/>
      </c>
      <c r="AE642" s="19" t="str">
        <f t="shared" si="104"/>
        <v/>
      </c>
      <c r="AF642" s="19" t="str">
        <f t="shared" si="105"/>
        <v/>
      </c>
      <c r="AG642" s="27" t="str">
        <f>IF(AND('Supplier selection'!AB642="",'Supplier selection'!AI642=""),"",IF('Supplier selection'!AB642="",'Supplier selection'!AI642,'Supplier selection'!AB642))</f>
        <v/>
      </c>
      <c r="AH642" s="28" t="str">
        <f t="shared" si="106"/>
        <v/>
      </c>
      <c r="AI642" s="7" t="str">
        <f t="shared" si="107"/>
        <v/>
      </c>
      <c r="AJ642" s="22" t="str">
        <f t="shared" si="108"/>
        <v/>
      </c>
      <c r="AK642" s="29" t="str">
        <f t="shared" si="109"/>
        <v/>
      </c>
      <c r="AL642" s="10"/>
    </row>
    <row r="643" spans="1:38">
      <c r="A643" s="19">
        <f>IF('Supplier selection'!A643="","",'Supplier selection'!A643)</f>
        <v>639</v>
      </c>
      <c r="B643" s="19" t="str">
        <f>IF('Supplier selection'!B643="","",'Supplier selection'!B643)</f>
        <v/>
      </c>
      <c r="C643" s="19" t="str">
        <f>IF('Supplier selection'!C643="","",'Supplier selection'!C643)</f>
        <v/>
      </c>
      <c r="D643" s="19" t="str">
        <f>IF('Supplier selection'!D643="","",'Supplier selection'!D643)</f>
        <v/>
      </c>
      <c r="E643" s="19" t="str">
        <f>IF('Supplier selection'!E643="","",'Supplier selection'!E643)</f>
        <v/>
      </c>
      <c r="F643" s="19" t="str">
        <f>IF('Supplier selection'!F643="","",'Supplier selection'!F643)</f>
        <v/>
      </c>
      <c r="G643" s="19" t="str">
        <f>IF('Supplier selection'!G643="","",'Supplier selection'!G643)</f>
        <v/>
      </c>
      <c r="H643" s="19" t="str">
        <f>IF('Supplier selection'!H643="","",'Supplier selection'!H643)</f>
        <v/>
      </c>
      <c r="I643" s="19" t="str">
        <f>IF('Supplier selection'!I643="","",'Supplier selection'!I643)</f>
        <v/>
      </c>
      <c r="J643" s="19" t="str">
        <f>IF('Supplier selection'!J643="","",'Supplier selection'!J643)</f>
        <v/>
      </c>
      <c r="K643" s="19" t="str">
        <f>IF('Supplier selection'!K643="","",'Supplier selection'!K643)</f>
        <v/>
      </c>
      <c r="L643" s="19" t="str">
        <f>IF('Supplier selection'!L643="","",'Supplier selection'!L643)</f>
        <v/>
      </c>
      <c r="M643" s="19" t="str">
        <f>IF('Supplier selection'!M643="","",'Supplier selection'!M643)</f>
        <v/>
      </c>
      <c r="N643" s="19" t="str">
        <f>IF('Supplier selection'!N643="","",'Supplier selection'!N643)</f>
        <v/>
      </c>
      <c r="O643" s="19" t="str">
        <f>IF('Supplier selection'!O643="","",'Supplier selection'!O643)</f>
        <v/>
      </c>
      <c r="Q643" s="19" t="str">
        <f>HLOOKUP($Q$3,'Supplier selection'!$AW$4:'Supplier selection'!$CT$1000,$A644,FALSE)</f>
        <v/>
      </c>
      <c r="R643" s="22" t="str">
        <f t="shared" si="99"/>
        <v/>
      </c>
      <c r="S643" s="19" t="str">
        <f t="shared" si="100"/>
        <v/>
      </c>
      <c r="T643" s="22" t="str">
        <f t="shared" si="101"/>
        <v/>
      </c>
      <c r="U643" s="19" t="str">
        <f t="shared" si="102"/>
        <v/>
      </c>
      <c r="V643" s="7"/>
      <c r="Y643" s="19" t="str">
        <f>IF('Supplier selection'!AQ643="","",'Supplier selection'!AQ643)</f>
        <v/>
      </c>
      <c r="Z643" s="19" t="str">
        <f>IF('Supplier selection'!AR643="","",'Supplier selection'!AR643)</f>
        <v/>
      </c>
      <c r="AA643" s="19" t="str">
        <f t="shared" si="103"/>
        <v/>
      </c>
      <c r="AD643" s="26" t="str">
        <f>IF(AND('Supplier selection'!X643="",'Supplier selection'!AE643=""),"",IF('Supplier selection'!X643="",'Supplier selection'!AE643,'Supplier selection'!X643))</f>
        <v/>
      </c>
      <c r="AE643" s="19" t="str">
        <f t="shared" si="104"/>
        <v/>
      </c>
      <c r="AF643" s="19" t="str">
        <f t="shared" si="105"/>
        <v/>
      </c>
      <c r="AG643" s="27" t="str">
        <f>IF(AND('Supplier selection'!AB643="",'Supplier selection'!AI643=""),"",IF('Supplier selection'!AB643="",'Supplier selection'!AI643,'Supplier selection'!AB643))</f>
        <v/>
      </c>
      <c r="AH643" s="28" t="str">
        <f t="shared" si="106"/>
        <v/>
      </c>
      <c r="AI643" s="7" t="str">
        <f t="shared" si="107"/>
        <v/>
      </c>
      <c r="AJ643" s="22" t="str">
        <f t="shared" si="108"/>
        <v/>
      </c>
      <c r="AK643" s="29" t="str">
        <f t="shared" si="109"/>
        <v/>
      </c>
      <c r="AL643" s="10"/>
    </row>
    <row r="644" spans="1:38">
      <c r="A644" s="19">
        <f>IF('Supplier selection'!A644="","",'Supplier selection'!A644)</f>
        <v>640</v>
      </c>
      <c r="B644" s="19" t="str">
        <f>IF('Supplier selection'!B644="","",'Supplier selection'!B644)</f>
        <v/>
      </c>
      <c r="C644" s="19" t="str">
        <f>IF('Supplier selection'!C644="","",'Supplier selection'!C644)</f>
        <v/>
      </c>
      <c r="D644" s="19" t="str">
        <f>IF('Supplier selection'!D644="","",'Supplier selection'!D644)</f>
        <v/>
      </c>
      <c r="E644" s="19" t="str">
        <f>IF('Supplier selection'!E644="","",'Supplier selection'!E644)</f>
        <v/>
      </c>
      <c r="F644" s="19" t="str">
        <f>IF('Supplier selection'!F644="","",'Supplier selection'!F644)</f>
        <v/>
      </c>
      <c r="G644" s="19" t="str">
        <f>IF('Supplier selection'!G644="","",'Supplier selection'!G644)</f>
        <v/>
      </c>
      <c r="H644" s="19" t="str">
        <f>IF('Supplier selection'!H644="","",'Supplier selection'!H644)</f>
        <v/>
      </c>
      <c r="I644" s="19" t="str">
        <f>IF('Supplier selection'!I644="","",'Supplier selection'!I644)</f>
        <v/>
      </c>
      <c r="J644" s="19" t="str">
        <f>IF('Supplier selection'!J644="","",'Supplier selection'!J644)</f>
        <v/>
      </c>
      <c r="K644" s="19" t="str">
        <f>IF('Supplier selection'!K644="","",'Supplier selection'!K644)</f>
        <v/>
      </c>
      <c r="L644" s="19" t="str">
        <f>IF('Supplier selection'!L644="","",'Supplier selection'!L644)</f>
        <v/>
      </c>
      <c r="M644" s="19" t="str">
        <f>IF('Supplier selection'!M644="","",'Supplier selection'!M644)</f>
        <v/>
      </c>
      <c r="N644" s="19" t="str">
        <f>IF('Supplier selection'!N644="","",'Supplier selection'!N644)</f>
        <v/>
      </c>
      <c r="O644" s="19" t="str">
        <f>IF('Supplier selection'!O644="","",'Supplier selection'!O644)</f>
        <v/>
      </c>
      <c r="Q644" s="19" t="str">
        <f>HLOOKUP($Q$3,'Supplier selection'!$AW$4:'Supplier selection'!$CT$1000,$A645,FALSE)</f>
        <v/>
      </c>
      <c r="R644" s="22" t="str">
        <f t="shared" si="99"/>
        <v/>
      </c>
      <c r="S644" s="19" t="str">
        <f t="shared" si="100"/>
        <v/>
      </c>
      <c r="T644" s="22" t="str">
        <f t="shared" si="101"/>
        <v/>
      </c>
      <c r="U644" s="19" t="str">
        <f t="shared" si="102"/>
        <v/>
      </c>
      <c r="V644" s="7"/>
      <c r="Y644" s="19" t="str">
        <f>IF('Supplier selection'!AQ644="","",'Supplier selection'!AQ644)</f>
        <v/>
      </c>
      <c r="Z644" s="19" t="str">
        <f>IF('Supplier selection'!AR644="","",'Supplier selection'!AR644)</f>
        <v/>
      </c>
      <c r="AA644" s="19" t="str">
        <f t="shared" si="103"/>
        <v/>
      </c>
      <c r="AD644" s="26" t="str">
        <f>IF(AND('Supplier selection'!X644="",'Supplier selection'!AE644=""),"",IF('Supplier selection'!X644="",'Supplier selection'!AE644,'Supplier selection'!X644))</f>
        <v/>
      </c>
      <c r="AE644" s="19" t="str">
        <f t="shared" si="104"/>
        <v/>
      </c>
      <c r="AF644" s="19" t="str">
        <f t="shared" si="105"/>
        <v/>
      </c>
      <c r="AG644" s="27" t="str">
        <f>IF(AND('Supplier selection'!AB644="",'Supplier selection'!AI644=""),"",IF('Supplier selection'!AB644="",'Supplier selection'!AI644,'Supplier selection'!AB644))</f>
        <v/>
      </c>
      <c r="AH644" s="28" t="str">
        <f t="shared" si="106"/>
        <v/>
      </c>
      <c r="AI644" s="7" t="str">
        <f t="shared" si="107"/>
        <v/>
      </c>
      <c r="AJ644" s="22" t="str">
        <f t="shared" si="108"/>
        <v/>
      </c>
      <c r="AK644" s="29" t="str">
        <f t="shared" si="109"/>
        <v/>
      </c>
      <c r="AL644" s="10"/>
    </row>
    <row r="645" spans="1:38">
      <c r="A645" s="19">
        <f>IF('Supplier selection'!A645="","",'Supplier selection'!A645)</f>
        <v>641</v>
      </c>
      <c r="B645" s="19" t="str">
        <f>IF('Supplier selection'!B645="","",'Supplier selection'!B645)</f>
        <v/>
      </c>
      <c r="C645" s="19" t="str">
        <f>IF('Supplier selection'!C645="","",'Supplier selection'!C645)</f>
        <v/>
      </c>
      <c r="D645" s="19" t="str">
        <f>IF('Supplier selection'!D645="","",'Supplier selection'!D645)</f>
        <v/>
      </c>
      <c r="E645" s="19" t="str">
        <f>IF('Supplier selection'!E645="","",'Supplier selection'!E645)</f>
        <v/>
      </c>
      <c r="F645" s="19" t="str">
        <f>IF('Supplier selection'!F645="","",'Supplier selection'!F645)</f>
        <v/>
      </c>
      <c r="G645" s="19" t="str">
        <f>IF('Supplier selection'!G645="","",'Supplier selection'!G645)</f>
        <v/>
      </c>
      <c r="H645" s="19" t="str">
        <f>IF('Supplier selection'!H645="","",'Supplier selection'!H645)</f>
        <v/>
      </c>
      <c r="I645" s="19" t="str">
        <f>IF('Supplier selection'!I645="","",'Supplier selection'!I645)</f>
        <v/>
      </c>
      <c r="J645" s="19" t="str">
        <f>IF('Supplier selection'!J645="","",'Supplier selection'!J645)</f>
        <v/>
      </c>
      <c r="K645" s="19" t="str">
        <f>IF('Supplier selection'!K645="","",'Supplier selection'!K645)</f>
        <v/>
      </c>
      <c r="L645" s="19" t="str">
        <f>IF('Supplier selection'!L645="","",'Supplier selection'!L645)</f>
        <v/>
      </c>
      <c r="M645" s="19" t="str">
        <f>IF('Supplier selection'!M645="","",'Supplier selection'!M645)</f>
        <v/>
      </c>
      <c r="N645" s="19" t="str">
        <f>IF('Supplier selection'!N645="","",'Supplier selection'!N645)</f>
        <v/>
      </c>
      <c r="O645" s="19" t="str">
        <f>IF('Supplier selection'!O645="","",'Supplier selection'!O645)</f>
        <v/>
      </c>
      <c r="Q645" s="19" t="str">
        <f>HLOOKUP($Q$3,'Supplier selection'!$AW$4:'Supplier selection'!$CT$1000,$A646,FALSE)</f>
        <v/>
      </c>
      <c r="R645" s="22" t="str">
        <f t="shared" si="99"/>
        <v/>
      </c>
      <c r="S645" s="19" t="str">
        <f t="shared" si="100"/>
        <v/>
      </c>
      <c r="T645" s="22" t="str">
        <f t="shared" si="101"/>
        <v/>
      </c>
      <c r="U645" s="19" t="str">
        <f t="shared" si="102"/>
        <v/>
      </c>
      <c r="V645" s="7"/>
      <c r="Y645" s="19" t="str">
        <f>IF('Supplier selection'!AQ645="","",'Supplier selection'!AQ645)</f>
        <v/>
      </c>
      <c r="Z645" s="19" t="str">
        <f>IF('Supplier selection'!AR645="","",'Supplier selection'!AR645)</f>
        <v/>
      </c>
      <c r="AA645" s="19" t="str">
        <f t="shared" si="103"/>
        <v/>
      </c>
      <c r="AD645" s="26" t="str">
        <f>IF(AND('Supplier selection'!X645="",'Supplier selection'!AE645=""),"",IF('Supplier selection'!X645="",'Supplier selection'!AE645,'Supplier selection'!X645))</f>
        <v/>
      </c>
      <c r="AE645" s="19" t="str">
        <f t="shared" si="104"/>
        <v/>
      </c>
      <c r="AF645" s="19" t="str">
        <f t="shared" si="105"/>
        <v/>
      </c>
      <c r="AG645" s="27" t="str">
        <f>IF(AND('Supplier selection'!AB645="",'Supplier selection'!AI645=""),"",IF('Supplier selection'!AB645="",'Supplier selection'!AI645,'Supplier selection'!AB645))</f>
        <v/>
      </c>
      <c r="AH645" s="28" t="str">
        <f t="shared" si="106"/>
        <v/>
      </c>
      <c r="AI645" s="7" t="str">
        <f t="shared" si="107"/>
        <v/>
      </c>
      <c r="AJ645" s="22" t="str">
        <f t="shared" si="108"/>
        <v/>
      </c>
      <c r="AK645" s="29" t="str">
        <f t="shared" si="109"/>
        <v/>
      </c>
      <c r="AL645" s="10"/>
    </row>
    <row r="646" spans="1:38">
      <c r="A646" s="19">
        <f>IF('Supplier selection'!A646="","",'Supplier selection'!A646)</f>
        <v>642</v>
      </c>
      <c r="B646" s="19" t="str">
        <f>IF('Supplier selection'!B646="","",'Supplier selection'!B646)</f>
        <v/>
      </c>
      <c r="C646" s="19" t="str">
        <f>IF('Supplier selection'!C646="","",'Supplier selection'!C646)</f>
        <v/>
      </c>
      <c r="D646" s="19" t="str">
        <f>IF('Supplier selection'!D646="","",'Supplier selection'!D646)</f>
        <v/>
      </c>
      <c r="E646" s="19" t="str">
        <f>IF('Supplier selection'!E646="","",'Supplier selection'!E646)</f>
        <v/>
      </c>
      <c r="F646" s="19" t="str">
        <f>IF('Supplier selection'!F646="","",'Supplier selection'!F646)</f>
        <v/>
      </c>
      <c r="G646" s="19" t="str">
        <f>IF('Supplier selection'!G646="","",'Supplier selection'!G646)</f>
        <v/>
      </c>
      <c r="H646" s="19" t="str">
        <f>IF('Supplier selection'!H646="","",'Supplier selection'!H646)</f>
        <v/>
      </c>
      <c r="I646" s="19" t="str">
        <f>IF('Supplier selection'!I646="","",'Supplier selection'!I646)</f>
        <v/>
      </c>
      <c r="J646" s="19" t="str">
        <f>IF('Supplier selection'!J646="","",'Supplier selection'!J646)</f>
        <v/>
      </c>
      <c r="K646" s="19" t="str">
        <f>IF('Supplier selection'!K646="","",'Supplier selection'!K646)</f>
        <v/>
      </c>
      <c r="L646" s="19" t="str">
        <f>IF('Supplier selection'!L646="","",'Supplier selection'!L646)</f>
        <v/>
      </c>
      <c r="M646" s="19" t="str">
        <f>IF('Supplier selection'!M646="","",'Supplier selection'!M646)</f>
        <v/>
      </c>
      <c r="N646" s="19" t="str">
        <f>IF('Supplier selection'!N646="","",'Supplier selection'!N646)</f>
        <v/>
      </c>
      <c r="O646" s="19" t="str">
        <f>IF('Supplier selection'!O646="","",'Supplier selection'!O646)</f>
        <v/>
      </c>
      <c r="Q646" s="19" t="str">
        <f>HLOOKUP($Q$3,'Supplier selection'!$AW$4:'Supplier selection'!$CT$1000,$A647,FALSE)</f>
        <v/>
      </c>
      <c r="R646" s="22" t="str">
        <f t="shared" ref="R646:R709" si="110">IF(OR(Q646="",O646=""),"",(Q646-O646)/O646)</f>
        <v/>
      </c>
      <c r="S646" s="19" t="str">
        <f t="shared" ref="S646:S709" si="111">IF(OR(H646="",O646="",Q646=""),"",(Q646*H646)-(H646*O646))</f>
        <v/>
      </c>
      <c r="T646" s="22" t="str">
        <f t="shared" ref="T646:T709" si="112">IF(OR(Y646="",Q646=""),"",(Q646-Y646)/Y646)</f>
        <v/>
      </c>
      <c r="U646" s="19" t="str">
        <f t="shared" ref="U646:U709" si="113">IF(OR(Y646="",Q646="",H646=""),"",(Q646*H646)-(Y646*H646))</f>
        <v/>
      </c>
      <c r="V646" s="7"/>
      <c r="Y646" s="19" t="str">
        <f>IF('Supplier selection'!AQ646="","",'Supplier selection'!AQ646)</f>
        <v/>
      </c>
      <c r="Z646" s="19" t="str">
        <f>IF('Supplier selection'!AR646="","",'Supplier selection'!AR646)</f>
        <v/>
      </c>
      <c r="AA646" s="19" t="str">
        <f t="shared" ref="AA646:AA709" si="114">IF(OR(Y646="",O646="",H646=""),"",((H646*Y646)-(H646*O646)))</f>
        <v/>
      </c>
      <c r="AD646" s="26" t="str">
        <f>IF(AND('Supplier selection'!X646="",'Supplier selection'!AE646=""),"",IF('Supplier selection'!X646="",'Supplier selection'!AE646,'Supplier selection'!X646))</f>
        <v/>
      </c>
      <c r="AE646" s="19" t="str">
        <f t="shared" ref="AE646:AE709" si="115">IF(AD646="","",J646)</f>
        <v/>
      </c>
      <c r="AF646" s="19" t="str">
        <f t="shared" ref="AF646:AF709" si="116">IF(AD646="","",L646)</f>
        <v/>
      </c>
      <c r="AG646" s="27" t="str">
        <f>IF(AND('Supplier selection'!AB646="",'Supplier selection'!AI646=""),"",IF('Supplier selection'!AB646="",'Supplier selection'!AI646,'Supplier selection'!AB646))</f>
        <v/>
      </c>
      <c r="AH646" s="28" t="str">
        <f t="shared" ref="AH646:AH709" si="117">IF(OR(AG646="",O646=""),"",(AG646-O646)/O646)</f>
        <v/>
      </c>
      <c r="AI646" s="7" t="str">
        <f t="shared" ref="AI646:AI709" si="118">IF(OR(H646="",O646="",AG646=""),"",(AG646*H646)-(H646*O646))</f>
        <v/>
      </c>
      <c r="AJ646" s="22" t="str">
        <f t="shared" ref="AJ646:AJ709" si="119">IF(OR(AG646="",Y646=""),"",(AG646-Y646)/Y646)</f>
        <v/>
      </c>
      <c r="AK646" s="29" t="str">
        <f t="shared" ref="AK646:AK709" si="120">IF(OR(H646="",Y646="",AG646=""),"",(AG646*H646)-(H646*Y646))</f>
        <v/>
      </c>
      <c r="AL646" s="10"/>
    </row>
    <row r="647" spans="1:38">
      <c r="A647" s="19">
        <f>IF('Supplier selection'!A647="","",'Supplier selection'!A647)</f>
        <v>643</v>
      </c>
      <c r="B647" s="19" t="str">
        <f>IF('Supplier selection'!B647="","",'Supplier selection'!B647)</f>
        <v/>
      </c>
      <c r="C647" s="19" t="str">
        <f>IF('Supplier selection'!C647="","",'Supplier selection'!C647)</f>
        <v/>
      </c>
      <c r="D647" s="19" t="str">
        <f>IF('Supplier selection'!D647="","",'Supplier selection'!D647)</f>
        <v/>
      </c>
      <c r="E647" s="19" t="str">
        <f>IF('Supplier selection'!E647="","",'Supplier selection'!E647)</f>
        <v/>
      </c>
      <c r="F647" s="19" t="str">
        <f>IF('Supplier selection'!F647="","",'Supplier selection'!F647)</f>
        <v/>
      </c>
      <c r="G647" s="19" t="str">
        <f>IF('Supplier selection'!G647="","",'Supplier selection'!G647)</f>
        <v/>
      </c>
      <c r="H647" s="19" t="str">
        <f>IF('Supplier selection'!H647="","",'Supplier selection'!H647)</f>
        <v/>
      </c>
      <c r="I647" s="19" t="str">
        <f>IF('Supplier selection'!I647="","",'Supplier selection'!I647)</f>
        <v/>
      </c>
      <c r="J647" s="19" t="str">
        <f>IF('Supplier selection'!J647="","",'Supplier selection'!J647)</f>
        <v/>
      </c>
      <c r="K647" s="19" t="str">
        <f>IF('Supplier selection'!K647="","",'Supplier selection'!K647)</f>
        <v/>
      </c>
      <c r="L647" s="19" t="str">
        <f>IF('Supplier selection'!L647="","",'Supplier selection'!L647)</f>
        <v/>
      </c>
      <c r="M647" s="19" t="str">
        <f>IF('Supplier selection'!M647="","",'Supplier selection'!M647)</f>
        <v/>
      </c>
      <c r="N647" s="19" t="str">
        <f>IF('Supplier selection'!N647="","",'Supplier selection'!N647)</f>
        <v/>
      </c>
      <c r="O647" s="19" t="str">
        <f>IF('Supplier selection'!O647="","",'Supplier selection'!O647)</f>
        <v/>
      </c>
      <c r="Q647" s="19" t="str">
        <f>HLOOKUP($Q$3,'Supplier selection'!$AW$4:'Supplier selection'!$CT$1000,$A648,FALSE)</f>
        <v/>
      </c>
      <c r="R647" s="22" t="str">
        <f t="shared" si="110"/>
        <v/>
      </c>
      <c r="S647" s="19" t="str">
        <f t="shared" si="111"/>
        <v/>
      </c>
      <c r="T647" s="22" t="str">
        <f t="shared" si="112"/>
        <v/>
      </c>
      <c r="U647" s="19" t="str">
        <f t="shared" si="113"/>
        <v/>
      </c>
      <c r="V647" s="7"/>
      <c r="Y647" s="19" t="str">
        <f>IF('Supplier selection'!AQ647="","",'Supplier selection'!AQ647)</f>
        <v/>
      </c>
      <c r="Z647" s="19" t="str">
        <f>IF('Supplier selection'!AR647="","",'Supplier selection'!AR647)</f>
        <v/>
      </c>
      <c r="AA647" s="19" t="str">
        <f t="shared" si="114"/>
        <v/>
      </c>
      <c r="AD647" s="26" t="str">
        <f>IF(AND('Supplier selection'!X647="",'Supplier selection'!AE647=""),"",IF('Supplier selection'!X647="",'Supplier selection'!AE647,'Supplier selection'!X647))</f>
        <v/>
      </c>
      <c r="AE647" s="19" t="str">
        <f t="shared" si="115"/>
        <v/>
      </c>
      <c r="AF647" s="19" t="str">
        <f t="shared" si="116"/>
        <v/>
      </c>
      <c r="AG647" s="27" t="str">
        <f>IF(AND('Supplier selection'!AB647="",'Supplier selection'!AI647=""),"",IF('Supplier selection'!AB647="",'Supplier selection'!AI647,'Supplier selection'!AB647))</f>
        <v/>
      </c>
      <c r="AH647" s="28" t="str">
        <f t="shared" si="117"/>
        <v/>
      </c>
      <c r="AI647" s="7" t="str">
        <f t="shared" si="118"/>
        <v/>
      </c>
      <c r="AJ647" s="22" t="str">
        <f t="shared" si="119"/>
        <v/>
      </c>
      <c r="AK647" s="29" t="str">
        <f t="shared" si="120"/>
        <v/>
      </c>
      <c r="AL647" s="10"/>
    </row>
    <row r="648" spans="1:38">
      <c r="A648" s="19">
        <f>IF('Supplier selection'!A648="","",'Supplier selection'!A648)</f>
        <v>644</v>
      </c>
      <c r="B648" s="19" t="str">
        <f>IF('Supplier selection'!B648="","",'Supplier selection'!B648)</f>
        <v/>
      </c>
      <c r="C648" s="19" t="str">
        <f>IF('Supplier selection'!C648="","",'Supplier selection'!C648)</f>
        <v/>
      </c>
      <c r="D648" s="19" t="str">
        <f>IF('Supplier selection'!D648="","",'Supplier selection'!D648)</f>
        <v/>
      </c>
      <c r="E648" s="19" t="str">
        <f>IF('Supplier selection'!E648="","",'Supplier selection'!E648)</f>
        <v/>
      </c>
      <c r="F648" s="19" t="str">
        <f>IF('Supplier selection'!F648="","",'Supplier selection'!F648)</f>
        <v/>
      </c>
      <c r="G648" s="19" t="str">
        <f>IF('Supplier selection'!G648="","",'Supplier selection'!G648)</f>
        <v/>
      </c>
      <c r="H648" s="19" t="str">
        <f>IF('Supplier selection'!H648="","",'Supplier selection'!H648)</f>
        <v/>
      </c>
      <c r="I648" s="19" t="str">
        <f>IF('Supplier selection'!I648="","",'Supplier selection'!I648)</f>
        <v/>
      </c>
      <c r="J648" s="19" t="str">
        <f>IF('Supplier selection'!J648="","",'Supplier selection'!J648)</f>
        <v/>
      </c>
      <c r="K648" s="19" t="str">
        <f>IF('Supplier selection'!K648="","",'Supplier selection'!K648)</f>
        <v/>
      </c>
      <c r="L648" s="19" t="str">
        <f>IF('Supplier selection'!L648="","",'Supplier selection'!L648)</f>
        <v/>
      </c>
      <c r="M648" s="19" t="str">
        <f>IF('Supplier selection'!M648="","",'Supplier selection'!M648)</f>
        <v/>
      </c>
      <c r="N648" s="19" t="str">
        <f>IF('Supplier selection'!N648="","",'Supplier selection'!N648)</f>
        <v/>
      </c>
      <c r="O648" s="19" t="str">
        <f>IF('Supplier selection'!O648="","",'Supplier selection'!O648)</f>
        <v/>
      </c>
      <c r="Q648" s="19" t="str">
        <f>HLOOKUP($Q$3,'Supplier selection'!$AW$4:'Supplier selection'!$CT$1000,$A649,FALSE)</f>
        <v/>
      </c>
      <c r="R648" s="22" t="str">
        <f t="shared" si="110"/>
        <v/>
      </c>
      <c r="S648" s="19" t="str">
        <f t="shared" si="111"/>
        <v/>
      </c>
      <c r="T648" s="22" t="str">
        <f t="shared" si="112"/>
        <v/>
      </c>
      <c r="U648" s="19" t="str">
        <f t="shared" si="113"/>
        <v/>
      </c>
      <c r="V648" s="7"/>
      <c r="Y648" s="19" t="str">
        <f>IF('Supplier selection'!AQ648="","",'Supplier selection'!AQ648)</f>
        <v/>
      </c>
      <c r="Z648" s="19" t="str">
        <f>IF('Supplier selection'!AR648="","",'Supplier selection'!AR648)</f>
        <v/>
      </c>
      <c r="AA648" s="19" t="str">
        <f t="shared" si="114"/>
        <v/>
      </c>
      <c r="AD648" s="26" t="str">
        <f>IF(AND('Supplier selection'!X648="",'Supplier selection'!AE648=""),"",IF('Supplier selection'!X648="",'Supplier selection'!AE648,'Supplier selection'!X648))</f>
        <v/>
      </c>
      <c r="AE648" s="19" t="str">
        <f t="shared" si="115"/>
        <v/>
      </c>
      <c r="AF648" s="19" t="str">
        <f t="shared" si="116"/>
        <v/>
      </c>
      <c r="AG648" s="27" t="str">
        <f>IF(AND('Supplier selection'!AB648="",'Supplier selection'!AI648=""),"",IF('Supplier selection'!AB648="",'Supplier selection'!AI648,'Supplier selection'!AB648))</f>
        <v/>
      </c>
      <c r="AH648" s="28" t="str">
        <f t="shared" si="117"/>
        <v/>
      </c>
      <c r="AI648" s="7" t="str">
        <f t="shared" si="118"/>
        <v/>
      </c>
      <c r="AJ648" s="22" t="str">
        <f t="shared" si="119"/>
        <v/>
      </c>
      <c r="AK648" s="29" t="str">
        <f t="shared" si="120"/>
        <v/>
      </c>
      <c r="AL648" s="10"/>
    </row>
    <row r="649" spans="1:38">
      <c r="A649" s="19">
        <f>IF('Supplier selection'!A649="","",'Supplier selection'!A649)</f>
        <v>645</v>
      </c>
      <c r="B649" s="19" t="str">
        <f>IF('Supplier selection'!B649="","",'Supplier selection'!B649)</f>
        <v/>
      </c>
      <c r="C649" s="19" t="str">
        <f>IF('Supplier selection'!C649="","",'Supplier selection'!C649)</f>
        <v/>
      </c>
      <c r="D649" s="19" t="str">
        <f>IF('Supplier selection'!D649="","",'Supplier selection'!D649)</f>
        <v/>
      </c>
      <c r="E649" s="19" t="str">
        <f>IF('Supplier selection'!E649="","",'Supplier selection'!E649)</f>
        <v/>
      </c>
      <c r="F649" s="19" t="str">
        <f>IF('Supplier selection'!F649="","",'Supplier selection'!F649)</f>
        <v/>
      </c>
      <c r="G649" s="19" t="str">
        <f>IF('Supplier selection'!G649="","",'Supplier selection'!G649)</f>
        <v/>
      </c>
      <c r="H649" s="19" t="str">
        <f>IF('Supplier selection'!H649="","",'Supplier selection'!H649)</f>
        <v/>
      </c>
      <c r="I649" s="19" t="str">
        <f>IF('Supplier selection'!I649="","",'Supplier selection'!I649)</f>
        <v/>
      </c>
      <c r="J649" s="19" t="str">
        <f>IF('Supplier selection'!J649="","",'Supplier selection'!J649)</f>
        <v/>
      </c>
      <c r="K649" s="19" t="str">
        <f>IF('Supplier selection'!K649="","",'Supplier selection'!K649)</f>
        <v/>
      </c>
      <c r="L649" s="19" t="str">
        <f>IF('Supplier selection'!L649="","",'Supplier selection'!L649)</f>
        <v/>
      </c>
      <c r="M649" s="19" t="str">
        <f>IF('Supplier selection'!M649="","",'Supplier selection'!M649)</f>
        <v/>
      </c>
      <c r="N649" s="19" t="str">
        <f>IF('Supplier selection'!N649="","",'Supplier selection'!N649)</f>
        <v/>
      </c>
      <c r="O649" s="19" t="str">
        <f>IF('Supplier selection'!O649="","",'Supplier selection'!O649)</f>
        <v/>
      </c>
      <c r="Q649" s="19" t="str">
        <f>HLOOKUP($Q$3,'Supplier selection'!$AW$4:'Supplier selection'!$CT$1000,$A650,FALSE)</f>
        <v/>
      </c>
      <c r="R649" s="22" t="str">
        <f t="shared" si="110"/>
        <v/>
      </c>
      <c r="S649" s="19" t="str">
        <f t="shared" si="111"/>
        <v/>
      </c>
      <c r="T649" s="22" t="str">
        <f t="shared" si="112"/>
        <v/>
      </c>
      <c r="U649" s="19" t="str">
        <f t="shared" si="113"/>
        <v/>
      </c>
      <c r="V649" s="7"/>
      <c r="Y649" s="19" t="str">
        <f>IF('Supplier selection'!AQ649="","",'Supplier selection'!AQ649)</f>
        <v/>
      </c>
      <c r="Z649" s="19" t="str">
        <f>IF('Supplier selection'!AR649="","",'Supplier selection'!AR649)</f>
        <v/>
      </c>
      <c r="AA649" s="19" t="str">
        <f t="shared" si="114"/>
        <v/>
      </c>
      <c r="AD649" s="26" t="str">
        <f>IF(AND('Supplier selection'!X649="",'Supplier selection'!AE649=""),"",IF('Supplier selection'!X649="",'Supplier selection'!AE649,'Supplier selection'!X649))</f>
        <v/>
      </c>
      <c r="AE649" s="19" t="str">
        <f t="shared" si="115"/>
        <v/>
      </c>
      <c r="AF649" s="19" t="str">
        <f t="shared" si="116"/>
        <v/>
      </c>
      <c r="AG649" s="27" t="str">
        <f>IF(AND('Supplier selection'!AB649="",'Supplier selection'!AI649=""),"",IF('Supplier selection'!AB649="",'Supplier selection'!AI649,'Supplier selection'!AB649))</f>
        <v/>
      </c>
      <c r="AH649" s="28" t="str">
        <f t="shared" si="117"/>
        <v/>
      </c>
      <c r="AI649" s="7" t="str">
        <f t="shared" si="118"/>
        <v/>
      </c>
      <c r="AJ649" s="22" t="str">
        <f t="shared" si="119"/>
        <v/>
      </c>
      <c r="AK649" s="29" t="str">
        <f t="shared" si="120"/>
        <v/>
      </c>
      <c r="AL649" s="10"/>
    </row>
    <row r="650" spans="1:38">
      <c r="A650" s="19">
        <f>IF('Supplier selection'!A650="","",'Supplier selection'!A650)</f>
        <v>646</v>
      </c>
      <c r="B650" s="19" t="str">
        <f>IF('Supplier selection'!B650="","",'Supplier selection'!B650)</f>
        <v/>
      </c>
      <c r="C650" s="19" t="str">
        <f>IF('Supplier selection'!C650="","",'Supplier selection'!C650)</f>
        <v/>
      </c>
      <c r="D650" s="19" t="str">
        <f>IF('Supplier selection'!D650="","",'Supplier selection'!D650)</f>
        <v/>
      </c>
      <c r="E650" s="19" t="str">
        <f>IF('Supplier selection'!E650="","",'Supplier selection'!E650)</f>
        <v/>
      </c>
      <c r="F650" s="19" t="str">
        <f>IF('Supplier selection'!F650="","",'Supplier selection'!F650)</f>
        <v/>
      </c>
      <c r="G650" s="19" t="str">
        <f>IF('Supplier selection'!G650="","",'Supplier selection'!G650)</f>
        <v/>
      </c>
      <c r="H650" s="19" t="str">
        <f>IF('Supplier selection'!H650="","",'Supplier selection'!H650)</f>
        <v/>
      </c>
      <c r="I650" s="19" t="str">
        <f>IF('Supplier selection'!I650="","",'Supplier selection'!I650)</f>
        <v/>
      </c>
      <c r="J650" s="19" t="str">
        <f>IF('Supplier selection'!J650="","",'Supplier selection'!J650)</f>
        <v/>
      </c>
      <c r="K650" s="19" t="str">
        <f>IF('Supplier selection'!K650="","",'Supplier selection'!K650)</f>
        <v/>
      </c>
      <c r="L650" s="19" t="str">
        <f>IF('Supplier selection'!L650="","",'Supplier selection'!L650)</f>
        <v/>
      </c>
      <c r="M650" s="19" t="str">
        <f>IF('Supplier selection'!M650="","",'Supplier selection'!M650)</f>
        <v/>
      </c>
      <c r="N650" s="19" t="str">
        <f>IF('Supplier selection'!N650="","",'Supplier selection'!N650)</f>
        <v/>
      </c>
      <c r="O650" s="19" t="str">
        <f>IF('Supplier selection'!O650="","",'Supplier selection'!O650)</f>
        <v/>
      </c>
      <c r="Q650" s="19" t="str">
        <f>HLOOKUP($Q$3,'Supplier selection'!$AW$4:'Supplier selection'!$CT$1000,$A651,FALSE)</f>
        <v/>
      </c>
      <c r="R650" s="22" t="str">
        <f t="shared" si="110"/>
        <v/>
      </c>
      <c r="S650" s="19" t="str">
        <f t="shared" si="111"/>
        <v/>
      </c>
      <c r="T650" s="22" t="str">
        <f t="shared" si="112"/>
        <v/>
      </c>
      <c r="U650" s="19" t="str">
        <f t="shared" si="113"/>
        <v/>
      </c>
      <c r="V650" s="7"/>
      <c r="Y650" s="19" t="str">
        <f>IF('Supplier selection'!AQ650="","",'Supplier selection'!AQ650)</f>
        <v/>
      </c>
      <c r="Z650" s="19" t="str">
        <f>IF('Supplier selection'!AR650="","",'Supplier selection'!AR650)</f>
        <v/>
      </c>
      <c r="AA650" s="19" t="str">
        <f t="shared" si="114"/>
        <v/>
      </c>
      <c r="AD650" s="26" t="str">
        <f>IF(AND('Supplier selection'!X650="",'Supplier selection'!AE650=""),"",IF('Supplier selection'!X650="",'Supplier selection'!AE650,'Supplier selection'!X650))</f>
        <v/>
      </c>
      <c r="AE650" s="19" t="str">
        <f t="shared" si="115"/>
        <v/>
      </c>
      <c r="AF650" s="19" t="str">
        <f t="shared" si="116"/>
        <v/>
      </c>
      <c r="AG650" s="27" t="str">
        <f>IF(AND('Supplier selection'!AB650="",'Supplier selection'!AI650=""),"",IF('Supplier selection'!AB650="",'Supplier selection'!AI650,'Supplier selection'!AB650))</f>
        <v/>
      </c>
      <c r="AH650" s="28" t="str">
        <f t="shared" si="117"/>
        <v/>
      </c>
      <c r="AI650" s="7" t="str">
        <f t="shared" si="118"/>
        <v/>
      </c>
      <c r="AJ650" s="22" t="str">
        <f t="shared" si="119"/>
        <v/>
      </c>
      <c r="AK650" s="29" t="str">
        <f t="shared" si="120"/>
        <v/>
      </c>
      <c r="AL650" s="10"/>
    </row>
    <row r="651" spans="1:38">
      <c r="A651" s="19">
        <f>IF('Supplier selection'!A651="","",'Supplier selection'!A651)</f>
        <v>647</v>
      </c>
      <c r="B651" s="19" t="str">
        <f>IF('Supplier selection'!B651="","",'Supplier selection'!B651)</f>
        <v/>
      </c>
      <c r="C651" s="19" t="str">
        <f>IF('Supplier selection'!C651="","",'Supplier selection'!C651)</f>
        <v/>
      </c>
      <c r="D651" s="19" t="str">
        <f>IF('Supplier selection'!D651="","",'Supplier selection'!D651)</f>
        <v/>
      </c>
      <c r="E651" s="19" t="str">
        <f>IF('Supplier selection'!E651="","",'Supplier selection'!E651)</f>
        <v/>
      </c>
      <c r="F651" s="19" t="str">
        <f>IF('Supplier selection'!F651="","",'Supplier selection'!F651)</f>
        <v/>
      </c>
      <c r="G651" s="19" t="str">
        <f>IF('Supplier selection'!G651="","",'Supplier selection'!G651)</f>
        <v/>
      </c>
      <c r="H651" s="19" t="str">
        <f>IF('Supplier selection'!H651="","",'Supplier selection'!H651)</f>
        <v/>
      </c>
      <c r="I651" s="19" t="str">
        <f>IF('Supplier selection'!I651="","",'Supplier selection'!I651)</f>
        <v/>
      </c>
      <c r="J651" s="19" t="str">
        <f>IF('Supplier selection'!J651="","",'Supplier selection'!J651)</f>
        <v/>
      </c>
      <c r="K651" s="19" t="str">
        <f>IF('Supplier selection'!K651="","",'Supplier selection'!K651)</f>
        <v/>
      </c>
      <c r="L651" s="19" t="str">
        <f>IF('Supplier selection'!L651="","",'Supplier selection'!L651)</f>
        <v/>
      </c>
      <c r="M651" s="19" t="str">
        <f>IF('Supplier selection'!M651="","",'Supplier selection'!M651)</f>
        <v/>
      </c>
      <c r="N651" s="19" t="str">
        <f>IF('Supplier selection'!N651="","",'Supplier selection'!N651)</f>
        <v/>
      </c>
      <c r="O651" s="19" t="str">
        <f>IF('Supplier selection'!O651="","",'Supplier selection'!O651)</f>
        <v/>
      </c>
      <c r="Q651" s="19" t="str">
        <f>HLOOKUP($Q$3,'Supplier selection'!$AW$4:'Supplier selection'!$CT$1000,$A652,FALSE)</f>
        <v/>
      </c>
      <c r="R651" s="22" t="str">
        <f t="shared" si="110"/>
        <v/>
      </c>
      <c r="S651" s="19" t="str">
        <f t="shared" si="111"/>
        <v/>
      </c>
      <c r="T651" s="22" t="str">
        <f t="shared" si="112"/>
        <v/>
      </c>
      <c r="U651" s="19" t="str">
        <f t="shared" si="113"/>
        <v/>
      </c>
      <c r="V651" s="7"/>
      <c r="Y651" s="19" t="str">
        <f>IF('Supplier selection'!AQ651="","",'Supplier selection'!AQ651)</f>
        <v/>
      </c>
      <c r="Z651" s="19" t="str">
        <f>IF('Supplier selection'!AR651="","",'Supplier selection'!AR651)</f>
        <v/>
      </c>
      <c r="AA651" s="19" t="str">
        <f t="shared" si="114"/>
        <v/>
      </c>
      <c r="AD651" s="26" t="str">
        <f>IF(AND('Supplier selection'!X651="",'Supplier selection'!AE651=""),"",IF('Supplier selection'!X651="",'Supplier selection'!AE651,'Supplier selection'!X651))</f>
        <v/>
      </c>
      <c r="AE651" s="19" t="str">
        <f t="shared" si="115"/>
        <v/>
      </c>
      <c r="AF651" s="19" t="str">
        <f t="shared" si="116"/>
        <v/>
      </c>
      <c r="AG651" s="27" t="str">
        <f>IF(AND('Supplier selection'!AB651="",'Supplier selection'!AI651=""),"",IF('Supplier selection'!AB651="",'Supplier selection'!AI651,'Supplier selection'!AB651))</f>
        <v/>
      </c>
      <c r="AH651" s="28" t="str">
        <f t="shared" si="117"/>
        <v/>
      </c>
      <c r="AI651" s="7" t="str">
        <f t="shared" si="118"/>
        <v/>
      </c>
      <c r="AJ651" s="22" t="str">
        <f t="shared" si="119"/>
        <v/>
      </c>
      <c r="AK651" s="29" t="str">
        <f t="shared" si="120"/>
        <v/>
      </c>
      <c r="AL651" s="10"/>
    </row>
    <row r="652" spans="1:38">
      <c r="A652" s="19">
        <f>IF('Supplier selection'!A652="","",'Supplier selection'!A652)</f>
        <v>648</v>
      </c>
      <c r="B652" s="19" t="str">
        <f>IF('Supplier selection'!B652="","",'Supplier selection'!B652)</f>
        <v/>
      </c>
      <c r="C652" s="19" t="str">
        <f>IF('Supplier selection'!C652="","",'Supplier selection'!C652)</f>
        <v/>
      </c>
      <c r="D652" s="19" t="str">
        <f>IF('Supplier selection'!D652="","",'Supplier selection'!D652)</f>
        <v/>
      </c>
      <c r="E652" s="19" t="str">
        <f>IF('Supplier selection'!E652="","",'Supplier selection'!E652)</f>
        <v/>
      </c>
      <c r="F652" s="19" t="str">
        <f>IF('Supplier selection'!F652="","",'Supplier selection'!F652)</f>
        <v/>
      </c>
      <c r="G652" s="19" t="str">
        <f>IF('Supplier selection'!G652="","",'Supplier selection'!G652)</f>
        <v/>
      </c>
      <c r="H652" s="19" t="str">
        <f>IF('Supplier selection'!H652="","",'Supplier selection'!H652)</f>
        <v/>
      </c>
      <c r="I652" s="19" t="str">
        <f>IF('Supplier selection'!I652="","",'Supplier selection'!I652)</f>
        <v/>
      </c>
      <c r="J652" s="19" t="str">
        <f>IF('Supplier selection'!J652="","",'Supplier selection'!J652)</f>
        <v/>
      </c>
      <c r="K652" s="19" t="str">
        <f>IF('Supplier selection'!K652="","",'Supplier selection'!K652)</f>
        <v/>
      </c>
      <c r="L652" s="19" t="str">
        <f>IF('Supplier selection'!L652="","",'Supplier selection'!L652)</f>
        <v/>
      </c>
      <c r="M652" s="19" t="str">
        <f>IF('Supplier selection'!M652="","",'Supplier selection'!M652)</f>
        <v/>
      </c>
      <c r="N652" s="19" t="str">
        <f>IF('Supplier selection'!N652="","",'Supplier selection'!N652)</f>
        <v/>
      </c>
      <c r="O652" s="19" t="str">
        <f>IF('Supplier selection'!O652="","",'Supplier selection'!O652)</f>
        <v/>
      </c>
      <c r="Q652" s="19" t="str">
        <f>HLOOKUP($Q$3,'Supplier selection'!$AW$4:'Supplier selection'!$CT$1000,$A653,FALSE)</f>
        <v/>
      </c>
      <c r="R652" s="22" t="str">
        <f t="shared" si="110"/>
        <v/>
      </c>
      <c r="S652" s="19" t="str">
        <f t="shared" si="111"/>
        <v/>
      </c>
      <c r="T652" s="22" t="str">
        <f t="shared" si="112"/>
        <v/>
      </c>
      <c r="U652" s="19" t="str">
        <f t="shared" si="113"/>
        <v/>
      </c>
      <c r="V652" s="7"/>
      <c r="Y652" s="19" t="str">
        <f>IF('Supplier selection'!AQ652="","",'Supplier selection'!AQ652)</f>
        <v/>
      </c>
      <c r="Z652" s="19" t="str">
        <f>IF('Supplier selection'!AR652="","",'Supplier selection'!AR652)</f>
        <v/>
      </c>
      <c r="AA652" s="19" t="str">
        <f t="shared" si="114"/>
        <v/>
      </c>
      <c r="AD652" s="26" t="str">
        <f>IF(AND('Supplier selection'!X652="",'Supplier selection'!AE652=""),"",IF('Supplier selection'!X652="",'Supplier selection'!AE652,'Supplier selection'!X652))</f>
        <v/>
      </c>
      <c r="AE652" s="19" t="str">
        <f t="shared" si="115"/>
        <v/>
      </c>
      <c r="AF652" s="19" t="str">
        <f t="shared" si="116"/>
        <v/>
      </c>
      <c r="AG652" s="27" t="str">
        <f>IF(AND('Supplier selection'!AB652="",'Supplier selection'!AI652=""),"",IF('Supplier selection'!AB652="",'Supplier selection'!AI652,'Supplier selection'!AB652))</f>
        <v/>
      </c>
      <c r="AH652" s="28" t="str">
        <f t="shared" si="117"/>
        <v/>
      </c>
      <c r="AI652" s="7" t="str">
        <f t="shared" si="118"/>
        <v/>
      </c>
      <c r="AJ652" s="22" t="str">
        <f t="shared" si="119"/>
        <v/>
      </c>
      <c r="AK652" s="29" t="str">
        <f t="shared" si="120"/>
        <v/>
      </c>
      <c r="AL652" s="10"/>
    </row>
    <row r="653" spans="1:38">
      <c r="A653" s="19">
        <f>IF('Supplier selection'!A653="","",'Supplier selection'!A653)</f>
        <v>649</v>
      </c>
      <c r="B653" s="19" t="str">
        <f>IF('Supplier selection'!B653="","",'Supplier selection'!B653)</f>
        <v/>
      </c>
      <c r="C653" s="19" t="str">
        <f>IF('Supplier selection'!C653="","",'Supplier selection'!C653)</f>
        <v/>
      </c>
      <c r="D653" s="19" t="str">
        <f>IF('Supplier selection'!D653="","",'Supplier selection'!D653)</f>
        <v/>
      </c>
      <c r="E653" s="19" t="str">
        <f>IF('Supplier selection'!E653="","",'Supplier selection'!E653)</f>
        <v/>
      </c>
      <c r="F653" s="19" t="str">
        <f>IF('Supplier selection'!F653="","",'Supplier selection'!F653)</f>
        <v/>
      </c>
      <c r="G653" s="19" t="str">
        <f>IF('Supplier selection'!G653="","",'Supplier selection'!G653)</f>
        <v/>
      </c>
      <c r="H653" s="19" t="str">
        <f>IF('Supplier selection'!H653="","",'Supplier selection'!H653)</f>
        <v/>
      </c>
      <c r="I653" s="19" t="str">
        <f>IF('Supplier selection'!I653="","",'Supplier selection'!I653)</f>
        <v/>
      </c>
      <c r="J653" s="19" t="str">
        <f>IF('Supplier selection'!J653="","",'Supplier selection'!J653)</f>
        <v/>
      </c>
      <c r="K653" s="19" t="str">
        <f>IF('Supplier selection'!K653="","",'Supplier selection'!K653)</f>
        <v/>
      </c>
      <c r="L653" s="19" t="str">
        <f>IF('Supplier selection'!L653="","",'Supplier selection'!L653)</f>
        <v/>
      </c>
      <c r="M653" s="19" t="str">
        <f>IF('Supplier selection'!M653="","",'Supplier selection'!M653)</f>
        <v/>
      </c>
      <c r="N653" s="19" t="str">
        <f>IF('Supplier selection'!N653="","",'Supplier selection'!N653)</f>
        <v/>
      </c>
      <c r="O653" s="19" t="str">
        <f>IF('Supplier selection'!O653="","",'Supplier selection'!O653)</f>
        <v/>
      </c>
      <c r="Q653" s="19" t="str">
        <f>HLOOKUP($Q$3,'Supplier selection'!$AW$4:'Supplier selection'!$CT$1000,$A654,FALSE)</f>
        <v/>
      </c>
      <c r="R653" s="22" t="str">
        <f t="shared" si="110"/>
        <v/>
      </c>
      <c r="S653" s="19" t="str">
        <f t="shared" si="111"/>
        <v/>
      </c>
      <c r="T653" s="22" t="str">
        <f t="shared" si="112"/>
        <v/>
      </c>
      <c r="U653" s="19" t="str">
        <f t="shared" si="113"/>
        <v/>
      </c>
      <c r="V653" s="7"/>
      <c r="Y653" s="19" t="str">
        <f>IF('Supplier selection'!AQ653="","",'Supplier selection'!AQ653)</f>
        <v/>
      </c>
      <c r="Z653" s="19" t="str">
        <f>IF('Supplier selection'!AR653="","",'Supplier selection'!AR653)</f>
        <v/>
      </c>
      <c r="AA653" s="19" t="str">
        <f t="shared" si="114"/>
        <v/>
      </c>
      <c r="AD653" s="26" t="str">
        <f>IF(AND('Supplier selection'!X653="",'Supplier selection'!AE653=""),"",IF('Supplier selection'!X653="",'Supplier selection'!AE653,'Supplier selection'!X653))</f>
        <v/>
      </c>
      <c r="AE653" s="19" t="str">
        <f t="shared" si="115"/>
        <v/>
      </c>
      <c r="AF653" s="19" t="str">
        <f t="shared" si="116"/>
        <v/>
      </c>
      <c r="AG653" s="27" t="str">
        <f>IF(AND('Supplier selection'!AB653="",'Supplier selection'!AI653=""),"",IF('Supplier selection'!AB653="",'Supplier selection'!AI653,'Supplier selection'!AB653))</f>
        <v/>
      </c>
      <c r="AH653" s="28" t="str">
        <f t="shared" si="117"/>
        <v/>
      </c>
      <c r="AI653" s="7" t="str">
        <f t="shared" si="118"/>
        <v/>
      </c>
      <c r="AJ653" s="22" t="str">
        <f t="shared" si="119"/>
        <v/>
      </c>
      <c r="AK653" s="29" t="str">
        <f t="shared" si="120"/>
        <v/>
      </c>
      <c r="AL653" s="10"/>
    </row>
    <row r="654" spans="1:38">
      <c r="A654" s="19">
        <f>IF('Supplier selection'!A654="","",'Supplier selection'!A654)</f>
        <v>650</v>
      </c>
      <c r="B654" s="19" t="str">
        <f>IF('Supplier selection'!B654="","",'Supplier selection'!B654)</f>
        <v/>
      </c>
      <c r="C654" s="19" t="str">
        <f>IF('Supplier selection'!C654="","",'Supplier selection'!C654)</f>
        <v/>
      </c>
      <c r="D654" s="19" t="str">
        <f>IF('Supplier selection'!D654="","",'Supplier selection'!D654)</f>
        <v/>
      </c>
      <c r="E654" s="19" t="str">
        <f>IF('Supplier selection'!E654="","",'Supplier selection'!E654)</f>
        <v/>
      </c>
      <c r="F654" s="19" t="str">
        <f>IF('Supplier selection'!F654="","",'Supplier selection'!F654)</f>
        <v/>
      </c>
      <c r="G654" s="19" t="str">
        <f>IF('Supplier selection'!G654="","",'Supplier selection'!G654)</f>
        <v/>
      </c>
      <c r="H654" s="19" t="str">
        <f>IF('Supplier selection'!H654="","",'Supplier selection'!H654)</f>
        <v/>
      </c>
      <c r="I654" s="19" t="str">
        <f>IF('Supplier selection'!I654="","",'Supplier selection'!I654)</f>
        <v/>
      </c>
      <c r="J654" s="19" t="str">
        <f>IF('Supplier selection'!J654="","",'Supplier selection'!J654)</f>
        <v/>
      </c>
      <c r="K654" s="19" t="str">
        <f>IF('Supplier selection'!K654="","",'Supplier selection'!K654)</f>
        <v/>
      </c>
      <c r="L654" s="19" t="str">
        <f>IF('Supplier selection'!L654="","",'Supplier selection'!L654)</f>
        <v/>
      </c>
      <c r="M654" s="19" t="str">
        <f>IF('Supplier selection'!M654="","",'Supplier selection'!M654)</f>
        <v/>
      </c>
      <c r="N654" s="19" t="str">
        <f>IF('Supplier selection'!N654="","",'Supplier selection'!N654)</f>
        <v/>
      </c>
      <c r="O654" s="19" t="str">
        <f>IF('Supplier selection'!O654="","",'Supplier selection'!O654)</f>
        <v/>
      </c>
      <c r="Q654" s="19" t="str">
        <f>HLOOKUP($Q$3,'Supplier selection'!$AW$4:'Supplier selection'!$CT$1000,$A655,FALSE)</f>
        <v/>
      </c>
      <c r="R654" s="22" t="str">
        <f t="shared" si="110"/>
        <v/>
      </c>
      <c r="S654" s="19" t="str">
        <f t="shared" si="111"/>
        <v/>
      </c>
      <c r="T654" s="22" t="str">
        <f t="shared" si="112"/>
        <v/>
      </c>
      <c r="U654" s="19" t="str">
        <f t="shared" si="113"/>
        <v/>
      </c>
      <c r="V654" s="7"/>
      <c r="Y654" s="19" t="str">
        <f>IF('Supplier selection'!AQ654="","",'Supplier selection'!AQ654)</f>
        <v/>
      </c>
      <c r="Z654" s="19" t="str">
        <f>IF('Supplier selection'!AR654="","",'Supplier selection'!AR654)</f>
        <v/>
      </c>
      <c r="AA654" s="19" t="str">
        <f t="shared" si="114"/>
        <v/>
      </c>
      <c r="AD654" s="26" t="str">
        <f>IF(AND('Supplier selection'!X654="",'Supplier selection'!AE654=""),"",IF('Supplier selection'!X654="",'Supplier selection'!AE654,'Supplier selection'!X654))</f>
        <v/>
      </c>
      <c r="AE654" s="19" t="str">
        <f t="shared" si="115"/>
        <v/>
      </c>
      <c r="AF654" s="19" t="str">
        <f t="shared" si="116"/>
        <v/>
      </c>
      <c r="AG654" s="27" t="str">
        <f>IF(AND('Supplier selection'!AB654="",'Supplier selection'!AI654=""),"",IF('Supplier selection'!AB654="",'Supplier selection'!AI654,'Supplier selection'!AB654))</f>
        <v/>
      </c>
      <c r="AH654" s="28" t="str">
        <f t="shared" si="117"/>
        <v/>
      </c>
      <c r="AI654" s="7" t="str">
        <f t="shared" si="118"/>
        <v/>
      </c>
      <c r="AJ654" s="22" t="str">
        <f t="shared" si="119"/>
        <v/>
      </c>
      <c r="AK654" s="29" t="str">
        <f t="shared" si="120"/>
        <v/>
      </c>
      <c r="AL654" s="10"/>
    </row>
    <row r="655" spans="1:38">
      <c r="A655" s="19">
        <f>IF('Supplier selection'!A655="","",'Supplier selection'!A655)</f>
        <v>651</v>
      </c>
      <c r="B655" s="19" t="str">
        <f>IF('Supplier selection'!B655="","",'Supplier selection'!B655)</f>
        <v/>
      </c>
      <c r="C655" s="19" t="str">
        <f>IF('Supplier selection'!C655="","",'Supplier selection'!C655)</f>
        <v/>
      </c>
      <c r="D655" s="19" t="str">
        <f>IF('Supplier selection'!D655="","",'Supplier selection'!D655)</f>
        <v/>
      </c>
      <c r="E655" s="19" t="str">
        <f>IF('Supplier selection'!E655="","",'Supplier selection'!E655)</f>
        <v/>
      </c>
      <c r="F655" s="19" t="str">
        <f>IF('Supplier selection'!F655="","",'Supplier selection'!F655)</f>
        <v/>
      </c>
      <c r="G655" s="19" t="str">
        <f>IF('Supplier selection'!G655="","",'Supplier selection'!G655)</f>
        <v/>
      </c>
      <c r="H655" s="19" t="str">
        <f>IF('Supplier selection'!H655="","",'Supplier selection'!H655)</f>
        <v/>
      </c>
      <c r="I655" s="19" t="str">
        <f>IF('Supplier selection'!I655="","",'Supplier selection'!I655)</f>
        <v/>
      </c>
      <c r="J655" s="19" t="str">
        <f>IF('Supplier selection'!J655="","",'Supplier selection'!J655)</f>
        <v/>
      </c>
      <c r="K655" s="19" t="str">
        <f>IF('Supplier selection'!K655="","",'Supplier selection'!K655)</f>
        <v/>
      </c>
      <c r="L655" s="19" t="str">
        <f>IF('Supplier selection'!L655="","",'Supplier selection'!L655)</f>
        <v/>
      </c>
      <c r="M655" s="19" t="str">
        <f>IF('Supplier selection'!M655="","",'Supplier selection'!M655)</f>
        <v/>
      </c>
      <c r="N655" s="19" t="str">
        <f>IF('Supplier selection'!N655="","",'Supplier selection'!N655)</f>
        <v/>
      </c>
      <c r="O655" s="19" t="str">
        <f>IF('Supplier selection'!O655="","",'Supplier selection'!O655)</f>
        <v/>
      </c>
      <c r="Q655" s="19" t="str">
        <f>HLOOKUP($Q$3,'Supplier selection'!$AW$4:'Supplier selection'!$CT$1000,$A656,FALSE)</f>
        <v/>
      </c>
      <c r="R655" s="22" t="str">
        <f t="shared" si="110"/>
        <v/>
      </c>
      <c r="S655" s="19" t="str">
        <f t="shared" si="111"/>
        <v/>
      </c>
      <c r="T655" s="22" t="str">
        <f t="shared" si="112"/>
        <v/>
      </c>
      <c r="U655" s="19" t="str">
        <f t="shared" si="113"/>
        <v/>
      </c>
      <c r="V655" s="7"/>
      <c r="Y655" s="19" t="str">
        <f>IF('Supplier selection'!AQ655="","",'Supplier selection'!AQ655)</f>
        <v/>
      </c>
      <c r="Z655" s="19" t="str">
        <f>IF('Supplier selection'!AR655="","",'Supplier selection'!AR655)</f>
        <v/>
      </c>
      <c r="AA655" s="19" t="str">
        <f t="shared" si="114"/>
        <v/>
      </c>
      <c r="AD655" s="26" t="str">
        <f>IF(AND('Supplier selection'!X655="",'Supplier selection'!AE655=""),"",IF('Supplier selection'!X655="",'Supplier selection'!AE655,'Supplier selection'!X655))</f>
        <v/>
      </c>
      <c r="AE655" s="19" t="str">
        <f t="shared" si="115"/>
        <v/>
      </c>
      <c r="AF655" s="19" t="str">
        <f t="shared" si="116"/>
        <v/>
      </c>
      <c r="AG655" s="27" t="str">
        <f>IF(AND('Supplier selection'!AB655="",'Supplier selection'!AI655=""),"",IF('Supplier selection'!AB655="",'Supplier selection'!AI655,'Supplier selection'!AB655))</f>
        <v/>
      </c>
      <c r="AH655" s="28" t="str">
        <f t="shared" si="117"/>
        <v/>
      </c>
      <c r="AI655" s="7" t="str">
        <f t="shared" si="118"/>
        <v/>
      </c>
      <c r="AJ655" s="22" t="str">
        <f t="shared" si="119"/>
        <v/>
      </c>
      <c r="AK655" s="29" t="str">
        <f t="shared" si="120"/>
        <v/>
      </c>
      <c r="AL655" s="10"/>
    </row>
    <row r="656" spans="1:38">
      <c r="A656" s="19">
        <f>IF('Supplier selection'!A656="","",'Supplier selection'!A656)</f>
        <v>652</v>
      </c>
      <c r="B656" s="19" t="str">
        <f>IF('Supplier selection'!B656="","",'Supplier selection'!B656)</f>
        <v/>
      </c>
      <c r="C656" s="19" t="str">
        <f>IF('Supplier selection'!C656="","",'Supplier selection'!C656)</f>
        <v/>
      </c>
      <c r="D656" s="19" t="str">
        <f>IF('Supplier selection'!D656="","",'Supplier selection'!D656)</f>
        <v/>
      </c>
      <c r="E656" s="19" t="str">
        <f>IF('Supplier selection'!E656="","",'Supplier selection'!E656)</f>
        <v/>
      </c>
      <c r="F656" s="19" t="str">
        <f>IF('Supplier selection'!F656="","",'Supplier selection'!F656)</f>
        <v/>
      </c>
      <c r="G656" s="19" t="str">
        <f>IF('Supplier selection'!G656="","",'Supplier selection'!G656)</f>
        <v/>
      </c>
      <c r="H656" s="19" t="str">
        <f>IF('Supplier selection'!H656="","",'Supplier selection'!H656)</f>
        <v/>
      </c>
      <c r="I656" s="19" t="str">
        <f>IF('Supplier selection'!I656="","",'Supplier selection'!I656)</f>
        <v/>
      </c>
      <c r="J656" s="19" t="str">
        <f>IF('Supplier selection'!J656="","",'Supplier selection'!J656)</f>
        <v/>
      </c>
      <c r="K656" s="19" t="str">
        <f>IF('Supplier selection'!K656="","",'Supplier selection'!K656)</f>
        <v/>
      </c>
      <c r="L656" s="19" t="str">
        <f>IF('Supplier selection'!L656="","",'Supplier selection'!L656)</f>
        <v/>
      </c>
      <c r="M656" s="19" t="str">
        <f>IF('Supplier selection'!M656="","",'Supplier selection'!M656)</f>
        <v/>
      </c>
      <c r="N656" s="19" t="str">
        <f>IF('Supplier selection'!N656="","",'Supplier selection'!N656)</f>
        <v/>
      </c>
      <c r="O656" s="19" t="str">
        <f>IF('Supplier selection'!O656="","",'Supplier selection'!O656)</f>
        <v/>
      </c>
      <c r="Q656" s="19" t="str">
        <f>HLOOKUP($Q$3,'Supplier selection'!$AW$4:'Supplier selection'!$CT$1000,$A657,FALSE)</f>
        <v/>
      </c>
      <c r="R656" s="22" t="str">
        <f t="shared" si="110"/>
        <v/>
      </c>
      <c r="S656" s="19" t="str">
        <f t="shared" si="111"/>
        <v/>
      </c>
      <c r="T656" s="22" t="str">
        <f t="shared" si="112"/>
        <v/>
      </c>
      <c r="U656" s="19" t="str">
        <f t="shared" si="113"/>
        <v/>
      </c>
      <c r="V656" s="7"/>
      <c r="Y656" s="19" t="str">
        <f>IF('Supplier selection'!AQ656="","",'Supplier selection'!AQ656)</f>
        <v/>
      </c>
      <c r="Z656" s="19" t="str">
        <f>IF('Supplier selection'!AR656="","",'Supplier selection'!AR656)</f>
        <v/>
      </c>
      <c r="AA656" s="19" t="str">
        <f t="shared" si="114"/>
        <v/>
      </c>
      <c r="AD656" s="26" t="str">
        <f>IF(AND('Supplier selection'!X656="",'Supplier selection'!AE656=""),"",IF('Supplier selection'!X656="",'Supplier selection'!AE656,'Supplier selection'!X656))</f>
        <v/>
      </c>
      <c r="AE656" s="19" t="str">
        <f t="shared" si="115"/>
        <v/>
      </c>
      <c r="AF656" s="19" t="str">
        <f t="shared" si="116"/>
        <v/>
      </c>
      <c r="AG656" s="27" t="str">
        <f>IF(AND('Supplier selection'!AB656="",'Supplier selection'!AI656=""),"",IF('Supplier selection'!AB656="",'Supplier selection'!AI656,'Supplier selection'!AB656))</f>
        <v/>
      </c>
      <c r="AH656" s="28" t="str">
        <f t="shared" si="117"/>
        <v/>
      </c>
      <c r="AI656" s="7" t="str">
        <f t="shared" si="118"/>
        <v/>
      </c>
      <c r="AJ656" s="22" t="str">
        <f t="shared" si="119"/>
        <v/>
      </c>
      <c r="AK656" s="29" t="str">
        <f t="shared" si="120"/>
        <v/>
      </c>
      <c r="AL656" s="10"/>
    </row>
    <row r="657" spans="1:38">
      <c r="A657" s="19">
        <f>IF('Supplier selection'!A657="","",'Supplier selection'!A657)</f>
        <v>653</v>
      </c>
      <c r="B657" s="19" t="str">
        <f>IF('Supplier selection'!B657="","",'Supplier selection'!B657)</f>
        <v/>
      </c>
      <c r="C657" s="19" t="str">
        <f>IF('Supplier selection'!C657="","",'Supplier selection'!C657)</f>
        <v/>
      </c>
      <c r="D657" s="19" t="str">
        <f>IF('Supplier selection'!D657="","",'Supplier selection'!D657)</f>
        <v/>
      </c>
      <c r="E657" s="19" t="str">
        <f>IF('Supplier selection'!E657="","",'Supplier selection'!E657)</f>
        <v/>
      </c>
      <c r="F657" s="19" t="str">
        <f>IF('Supplier selection'!F657="","",'Supplier selection'!F657)</f>
        <v/>
      </c>
      <c r="G657" s="19" t="str">
        <f>IF('Supplier selection'!G657="","",'Supplier selection'!G657)</f>
        <v/>
      </c>
      <c r="H657" s="19" t="str">
        <f>IF('Supplier selection'!H657="","",'Supplier selection'!H657)</f>
        <v/>
      </c>
      <c r="I657" s="19" t="str">
        <f>IF('Supplier selection'!I657="","",'Supplier selection'!I657)</f>
        <v/>
      </c>
      <c r="J657" s="19" t="str">
        <f>IF('Supplier selection'!J657="","",'Supplier selection'!J657)</f>
        <v/>
      </c>
      <c r="K657" s="19" t="str">
        <f>IF('Supplier selection'!K657="","",'Supplier selection'!K657)</f>
        <v/>
      </c>
      <c r="L657" s="19" t="str">
        <f>IF('Supplier selection'!L657="","",'Supplier selection'!L657)</f>
        <v/>
      </c>
      <c r="M657" s="19" t="str">
        <f>IF('Supplier selection'!M657="","",'Supplier selection'!M657)</f>
        <v/>
      </c>
      <c r="N657" s="19" t="str">
        <f>IF('Supplier selection'!N657="","",'Supplier selection'!N657)</f>
        <v/>
      </c>
      <c r="O657" s="19" t="str">
        <f>IF('Supplier selection'!O657="","",'Supplier selection'!O657)</f>
        <v/>
      </c>
      <c r="Q657" s="19" t="str">
        <f>HLOOKUP($Q$3,'Supplier selection'!$AW$4:'Supplier selection'!$CT$1000,$A658,FALSE)</f>
        <v/>
      </c>
      <c r="R657" s="22" t="str">
        <f t="shared" si="110"/>
        <v/>
      </c>
      <c r="S657" s="19" t="str">
        <f t="shared" si="111"/>
        <v/>
      </c>
      <c r="T657" s="22" t="str">
        <f t="shared" si="112"/>
        <v/>
      </c>
      <c r="U657" s="19" t="str">
        <f t="shared" si="113"/>
        <v/>
      </c>
      <c r="V657" s="7"/>
      <c r="Y657" s="19" t="str">
        <f>IF('Supplier selection'!AQ657="","",'Supplier selection'!AQ657)</f>
        <v/>
      </c>
      <c r="Z657" s="19" t="str">
        <f>IF('Supplier selection'!AR657="","",'Supplier selection'!AR657)</f>
        <v/>
      </c>
      <c r="AA657" s="19" t="str">
        <f t="shared" si="114"/>
        <v/>
      </c>
      <c r="AD657" s="26" t="str">
        <f>IF(AND('Supplier selection'!X657="",'Supplier selection'!AE657=""),"",IF('Supplier selection'!X657="",'Supplier selection'!AE657,'Supplier selection'!X657))</f>
        <v/>
      </c>
      <c r="AE657" s="19" t="str">
        <f t="shared" si="115"/>
        <v/>
      </c>
      <c r="AF657" s="19" t="str">
        <f t="shared" si="116"/>
        <v/>
      </c>
      <c r="AG657" s="27" t="str">
        <f>IF(AND('Supplier selection'!AB657="",'Supplier selection'!AI657=""),"",IF('Supplier selection'!AB657="",'Supplier selection'!AI657,'Supplier selection'!AB657))</f>
        <v/>
      </c>
      <c r="AH657" s="28" t="str">
        <f t="shared" si="117"/>
        <v/>
      </c>
      <c r="AI657" s="7" t="str">
        <f t="shared" si="118"/>
        <v/>
      </c>
      <c r="AJ657" s="22" t="str">
        <f t="shared" si="119"/>
        <v/>
      </c>
      <c r="AK657" s="29" t="str">
        <f t="shared" si="120"/>
        <v/>
      </c>
      <c r="AL657" s="10"/>
    </row>
    <row r="658" spans="1:38">
      <c r="A658" s="19">
        <f>IF('Supplier selection'!A658="","",'Supplier selection'!A658)</f>
        <v>654</v>
      </c>
      <c r="B658" s="19" t="str">
        <f>IF('Supplier selection'!B658="","",'Supplier selection'!B658)</f>
        <v/>
      </c>
      <c r="C658" s="19" t="str">
        <f>IF('Supplier selection'!C658="","",'Supplier selection'!C658)</f>
        <v/>
      </c>
      <c r="D658" s="19" t="str">
        <f>IF('Supplier selection'!D658="","",'Supplier selection'!D658)</f>
        <v/>
      </c>
      <c r="E658" s="19" t="str">
        <f>IF('Supplier selection'!E658="","",'Supplier selection'!E658)</f>
        <v/>
      </c>
      <c r="F658" s="19" t="str">
        <f>IF('Supplier selection'!F658="","",'Supplier selection'!F658)</f>
        <v/>
      </c>
      <c r="G658" s="19" t="str">
        <f>IF('Supplier selection'!G658="","",'Supplier selection'!G658)</f>
        <v/>
      </c>
      <c r="H658" s="19" t="str">
        <f>IF('Supplier selection'!H658="","",'Supplier selection'!H658)</f>
        <v/>
      </c>
      <c r="I658" s="19" t="str">
        <f>IF('Supplier selection'!I658="","",'Supplier selection'!I658)</f>
        <v/>
      </c>
      <c r="J658" s="19" t="str">
        <f>IF('Supplier selection'!J658="","",'Supplier selection'!J658)</f>
        <v/>
      </c>
      <c r="K658" s="19" t="str">
        <f>IF('Supplier selection'!K658="","",'Supplier selection'!K658)</f>
        <v/>
      </c>
      <c r="L658" s="19" t="str">
        <f>IF('Supplier selection'!L658="","",'Supplier selection'!L658)</f>
        <v/>
      </c>
      <c r="M658" s="19" t="str">
        <f>IF('Supplier selection'!M658="","",'Supplier selection'!M658)</f>
        <v/>
      </c>
      <c r="N658" s="19" t="str">
        <f>IF('Supplier selection'!N658="","",'Supplier selection'!N658)</f>
        <v/>
      </c>
      <c r="O658" s="19" t="str">
        <f>IF('Supplier selection'!O658="","",'Supplier selection'!O658)</f>
        <v/>
      </c>
      <c r="Q658" s="19" t="str">
        <f>HLOOKUP($Q$3,'Supplier selection'!$AW$4:'Supplier selection'!$CT$1000,$A659,FALSE)</f>
        <v/>
      </c>
      <c r="R658" s="22" t="str">
        <f t="shared" si="110"/>
        <v/>
      </c>
      <c r="S658" s="19" t="str">
        <f t="shared" si="111"/>
        <v/>
      </c>
      <c r="T658" s="22" t="str">
        <f t="shared" si="112"/>
        <v/>
      </c>
      <c r="U658" s="19" t="str">
        <f t="shared" si="113"/>
        <v/>
      </c>
      <c r="V658" s="7"/>
      <c r="Y658" s="19" t="str">
        <f>IF('Supplier selection'!AQ658="","",'Supplier selection'!AQ658)</f>
        <v/>
      </c>
      <c r="Z658" s="19" t="str">
        <f>IF('Supplier selection'!AR658="","",'Supplier selection'!AR658)</f>
        <v/>
      </c>
      <c r="AA658" s="19" t="str">
        <f t="shared" si="114"/>
        <v/>
      </c>
      <c r="AD658" s="26" t="str">
        <f>IF(AND('Supplier selection'!X658="",'Supplier selection'!AE658=""),"",IF('Supplier selection'!X658="",'Supplier selection'!AE658,'Supplier selection'!X658))</f>
        <v/>
      </c>
      <c r="AE658" s="19" t="str">
        <f t="shared" si="115"/>
        <v/>
      </c>
      <c r="AF658" s="19" t="str">
        <f t="shared" si="116"/>
        <v/>
      </c>
      <c r="AG658" s="27" t="str">
        <f>IF(AND('Supplier selection'!AB658="",'Supplier selection'!AI658=""),"",IF('Supplier selection'!AB658="",'Supplier selection'!AI658,'Supplier selection'!AB658))</f>
        <v/>
      </c>
      <c r="AH658" s="28" t="str">
        <f t="shared" si="117"/>
        <v/>
      </c>
      <c r="AI658" s="7" t="str">
        <f t="shared" si="118"/>
        <v/>
      </c>
      <c r="AJ658" s="22" t="str">
        <f t="shared" si="119"/>
        <v/>
      </c>
      <c r="AK658" s="29" t="str">
        <f t="shared" si="120"/>
        <v/>
      </c>
      <c r="AL658" s="10"/>
    </row>
    <row r="659" spans="1:38">
      <c r="A659" s="19">
        <f>IF('Supplier selection'!A659="","",'Supplier selection'!A659)</f>
        <v>655</v>
      </c>
      <c r="B659" s="19" t="str">
        <f>IF('Supplier selection'!B659="","",'Supplier selection'!B659)</f>
        <v/>
      </c>
      <c r="C659" s="19" t="str">
        <f>IF('Supplier selection'!C659="","",'Supplier selection'!C659)</f>
        <v/>
      </c>
      <c r="D659" s="19" t="str">
        <f>IF('Supplier selection'!D659="","",'Supplier selection'!D659)</f>
        <v/>
      </c>
      <c r="E659" s="19" t="str">
        <f>IF('Supplier selection'!E659="","",'Supplier selection'!E659)</f>
        <v/>
      </c>
      <c r="F659" s="19" t="str">
        <f>IF('Supplier selection'!F659="","",'Supplier selection'!F659)</f>
        <v/>
      </c>
      <c r="G659" s="19" t="str">
        <f>IF('Supplier selection'!G659="","",'Supplier selection'!G659)</f>
        <v/>
      </c>
      <c r="H659" s="19" t="str">
        <f>IF('Supplier selection'!H659="","",'Supplier selection'!H659)</f>
        <v/>
      </c>
      <c r="I659" s="19" t="str">
        <f>IF('Supplier selection'!I659="","",'Supplier selection'!I659)</f>
        <v/>
      </c>
      <c r="J659" s="19" t="str">
        <f>IF('Supplier selection'!J659="","",'Supplier selection'!J659)</f>
        <v/>
      </c>
      <c r="K659" s="19" t="str">
        <f>IF('Supplier selection'!K659="","",'Supplier selection'!K659)</f>
        <v/>
      </c>
      <c r="L659" s="19" t="str">
        <f>IF('Supplier selection'!L659="","",'Supplier selection'!L659)</f>
        <v/>
      </c>
      <c r="M659" s="19" t="str">
        <f>IF('Supplier selection'!M659="","",'Supplier selection'!M659)</f>
        <v/>
      </c>
      <c r="N659" s="19" t="str">
        <f>IF('Supplier selection'!N659="","",'Supplier selection'!N659)</f>
        <v/>
      </c>
      <c r="O659" s="19" t="str">
        <f>IF('Supplier selection'!O659="","",'Supplier selection'!O659)</f>
        <v/>
      </c>
      <c r="Q659" s="19" t="str">
        <f>HLOOKUP($Q$3,'Supplier selection'!$AW$4:'Supplier selection'!$CT$1000,$A660,FALSE)</f>
        <v/>
      </c>
      <c r="R659" s="22" t="str">
        <f t="shared" si="110"/>
        <v/>
      </c>
      <c r="S659" s="19" t="str">
        <f t="shared" si="111"/>
        <v/>
      </c>
      <c r="T659" s="22" t="str">
        <f t="shared" si="112"/>
        <v/>
      </c>
      <c r="U659" s="19" t="str">
        <f t="shared" si="113"/>
        <v/>
      </c>
      <c r="V659" s="7"/>
      <c r="Y659" s="19" t="str">
        <f>IF('Supplier selection'!AQ659="","",'Supplier selection'!AQ659)</f>
        <v/>
      </c>
      <c r="Z659" s="19" t="str">
        <f>IF('Supplier selection'!AR659="","",'Supplier selection'!AR659)</f>
        <v/>
      </c>
      <c r="AA659" s="19" t="str">
        <f t="shared" si="114"/>
        <v/>
      </c>
      <c r="AD659" s="26" t="str">
        <f>IF(AND('Supplier selection'!X659="",'Supplier selection'!AE659=""),"",IF('Supplier selection'!X659="",'Supplier selection'!AE659,'Supplier selection'!X659))</f>
        <v/>
      </c>
      <c r="AE659" s="19" t="str">
        <f t="shared" si="115"/>
        <v/>
      </c>
      <c r="AF659" s="19" t="str">
        <f t="shared" si="116"/>
        <v/>
      </c>
      <c r="AG659" s="27" t="str">
        <f>IF(AND('Supplier selection'!AB659="",'Supplier selection'!AI659=""),"",IF('Supplier selection'!AB659="",'Supplier selection'!AI659,'Supplier selection'!AB659))</f>
        <v/>
      </c>
      <c r="AH659" s="28" t="str">
        <f t="shared" si="117"/>
        <v/>
      </c>
      <c r="AI659" s="7" t="str">
        <f t="shared" si="118"/>
        <v/>
      </c>
      <c r="AJ659" s="22" t="str">
        <f t="shared" si="119"/>
        <v/>
      </c>
      <c r="AK659" s="29" t="str">
        <f t="shared" si="120"/>
        <v/>
      </c>
      <c r="AL659" s="10"/>
    </row>
    <row r="660" spans="1:38">
      <c r="A660" s="19">
        <f>IF('Supplier selection'!A660="","",'Supplier selection'!A660)</f>
        <v>656</v>
      </c>
      <c r="B660" s="19" t="str">
        <f>IF('Supplier selection'!B660="","",'Supplier selection'!B660)</f>
        <v/>
      </c>
      <c r="C660" s="19" t="str">
        <f>IF('Supplier selection'!C660="","",'Supplier selection'!C660)</f>
        <v/>
      </c>
      <c r="D660" s="19" t="str">
        <f>IF('Supplier selection'!D660="","",'Supplier selection'!D660)</f>
        <v/>
      </c>
      <c r="E660" s="19" t="str">
        <f>IF('Supplier selection'!E660="","",'Supplier selection'!E660)</f>
        <v/>
      </c>
      <c r="F660" s="19" t="str">
        <f>IF('Supplier selection'!F660="","",'Supplier selection'!F660)</f>
        <v/>
      </c>
      <c r="G660" s="19" t="str">
        <f>IF('Supplier selection'!G660="","",'Supplier selection'!G660)</f>
        <v/>
      </c>
      <c r="H660" s="19" t="str">
        <f>IF('Supplier selection'!H660="","",'Supplier selection'!H660)</f>
        <v/>
      </c>
      <c r="I660" s="19" t="str">
        <f>IF('Supplier selection'!I660="","",'Supplier selection'!I660)</f>
        <v/>
      </c>
      <c r="J660" s="19" t="str">
        <f>IF('Supplier selection'!J660="","",'Supplier selection'!J660)</f>
        <v/>
      </c>
      <c r="K660" s="19" t="str">
        <f>IF('Supplier selection'!K660="","",'Supplier selection'!K660)</f>
        <v/>
      </c>
      <c r="L660" s="19" t="str">
        <f>IF('Supplier selection'!L660="","",'Supplier selection'!L660)</f>
        <v/>
      </c>
      <c r="M660" s="19" t="str">
        <f>IF('Supplier selection'!M660="","",'Supplier selection'!M660)</f>
        <v/>
      </c>
      <c r="N660" s="19" t="str">
        <f>IF('Supplier selection'!N660="","",'Supplier selection'!N660)</f>
        <v/>
      </c>
      <c r="O660" s="19" t="str">
        <f>IF('Supplier selection'!O660="","",'Supplier selection'!O660)</f>
        <v/>
      </c>
      <c r="Q660" s="19" t="str">
        <f>HLOOKUP($Q$3,'Supplier selection'!$AW$4:'Supplier selection'!$CT$1000,$A661,FALSE)</f>
        <v/>
      </c>
      <c r="R660" s="22" t="str">
        <f t="shared" si="110"/>
        <v/>
      </c>
      <c r="S660" s="19" t="str">
        <f t="shared" si="111"/>
        <v/>
      </c>
      <c r="T660" s="22" t="str">
        <f t="shared" si="112"/>
        <v/>
      </c>
      <c r="U660" s="19" t="str">
        <f t="shared" si="113"/>
        <v/>
      </c>
      <c r="V660" s="7"/>
      <c r="Y660" s="19" t="str">
        <f>IF('Supplier selection'!AQ660="","",'Supplier selection'!AQ660)</f>
        <v/>
      </c>
      <c r="Z660" s="19" t="str">
        <f>IF('Supplier selection'!AR660="","",'Supplier selection'!AR660)</f>
        <v/>
      </c>
      <c r="AA660" s="19" t="str">
        <f t="shared" si="114"/>
        <v/>
      </c>
      <c r="AD660" s="26" t="str">
        <f>IF(AND('Supplier selection'!X660="",'Supplier selection'!AE660=""),"",IF('Supplier selection'!X660="",'Supplier selection'!AE660,'Supplier selection'!X660))</f>
        <v/>
      </c>
      <c r="AE660" s="19" t="str">
        <f t="shared" si="115"/>
        <v/>
      </c>
      <c r="AF660" s="19" t="str">
        <f t="shared" si="116"/>
        <v/>
      </c>
      <c r="AG660" s="27" t="str">
        <f>IF(AND('Supplier selection'!AB660="",'Supplier selection'!AI660=""),"",IF('Supplier selection'!AB660="",'Supplier selection'!AI660,'Supplier selection'!AB660))</f>
        <v/>
      </c>
      <c r="AH660" s="28" t="str">
        <f t="shared" si="117"/>
        <v/>
      </c>
      <c r="AI660" s="7" t="str">
        <f t="shared" si="118"/>
        <v/>
      </c>
      <c r="AJ660" s="22" t="str">
        <f t="shared" si="119"/>
        <v/>
      </c>
      <c r="AK660" s="29" t="str">
        <f t="shared" si="120"/>
        <v/>
      </c>
      <c r="AL660" s="10"/>
    </row>
    <row r="661" spans="1:38">
      <c r="A661" s="19">
        <f>IF('Supplier selection'!A661="","",'Supplier selection'!A661)</f>
        <v>657</v>
      </c>
      <c r="B661" s="19" t="str">
        <f>IF('Supplier selection'!B661="","",'Supplier selection'!B661)</f>
        <v/>
      </c>
      <c r="C661" s="19" t="str">
        <f>IF('Supplier selection'!C661="","",'Supplier selection'!C661)</f>
        <v/>
      </c>
      <c r="D661" s="19" t="str">
        <f>IF('Supplier selection'!D661="","",'Supplier selection'!D661)</f>
        <v/>
      </c>
      <c r="E661" s="19" t="str">
        <f>IF('Supplier selection'!E661="","",'Supplier selection'!E661)</f>
        <v/>
      </c>
      <c r="F661" s="19" t="str">
        <f>IF('Supplier selection'!F661="","",'Supplier selection'!F661)</f>
        <v/>
      </c>
      <c r="G661" s="19" t="str">
        <f>IF('Supplier selection'!G661="","",'Supplier selection'!G661)</f>
        <v/>
      </c>
      <c r="H661" s="19" t="str">
        <f>IF('Supplier selection'!H661="","",'Supplier selection'!H661)</f>
        <v/>
      </c>
      <c r="I661" s="19" t="str">
        <f>IF('Supplier selection'!I661="","",'Supplier selection'!I661)</f>
        <v/>
      </c>
      <c r="J661" s="19" t="str">
        <f>IF('Supplier selection'!J661="","",'Supplier selection'!J661)</f>
        <v/>
      </c>
      <c r="K661" s="19" t="str">
        <f>IF('Supplier selection'!K661="","",'Supplier selection'!K661)</f>
        <v/>
      </c>
      <c r="L661" s="19" t="str">
        <f>IF('Supplier selection'!L661="","",'Supplier selection'!L661)</f>
        <v/>
      </c>
      <c r="M661" s="19" t="str">
        <f>IF('Supplier selection'!M661="","",'Supplier selection'!M661)</f>
        <v/>
      </c>
      <c r="N661" s="19" t="str">
        <f>IF('Supplier selection'!N661="","",'Supplier selection'!N661)</f>
        <v/>
      </c>
      <c r="O661" s="19" t="str">
        <f>IF('Supplier selection'!O661="","",'Supplier selection'!O661)</f>
        <v/>
      </c>
      <c r="Q661" s="19" t="str">
        <f>HLOOKUP($Q$3,'Supplier selection'!$AW$4:'Supplier selection'!$CT$1000,$A662,FALSE)</f>
        <v/>
      </c>
      <c r="R661" s="22" t="str">
        <f t="shared" si="110"/>
        <v/>
      </c>
      <c r="S661" s="19" t="str">
        <f t="shared" si="111"/>
        <v/>
      </c>
      <c r="T661" s="22" t="str">
        <f t="shared" si="112"/>
        <v/>
      </c>
      <c r="U661" s="19" t="str">
        <f t="shared" si="113"/>
        <v/>
      </c>
      <c r="V661" s="7"/>
      <c r="Y661" s="19" t="str">
        <f>IF('Supplier selection'!AQ661="","",'Supplier selection'!AQ661)</f>
        <v/>
      </c>
      <c r="Z661" s="19" t="str">
        <f>IF('Supplier selection'!AR661="","",'Supplier selection'!AR661)</f>
        <v/>
      </c>
      <c r="AA661" s="19" t="str">
        <f t="shared" si="114"/>
        <v/>
      </c>
      <c r="AD661" s="26" t="str">
        <f>IF(AND('Supplier selection'!X661="",'Supplier selection'!AE661=""),"",IF('Supplier selection'!X661="",'Supplier selection'!AE661,'Supplier selection'!X661))</f>
        <v/>
      </c>
      <c r="AE661" s="19" t="str">
        <f t="shared" si="115"/>
        <v/>
      </c>
      <c r="AF661" s="19" t="str">
        <f t="shared" si="116"/>
        <v/>
      </c>
      <c r="AG661" s="27" t="str">
        <f>IF(AND('Supplier selection'!AB661="",'Supplier selection'!AI661=""),"",IF('Supplier selection'!AB661="",'Supplier selection'!AI661,'Supplier selection'!AB661))</f>
        <v/>
      </c>
      <c r="AH661" s="28" t="str">
        <f t="shared" si="117"/>
        <v/>
      </c>
      <c r="AI661" s="7" t="str">
        <f t="shared" si="118"/>
        <v/>
      </c>
      <c r="AJ661" s="22" t="str">
        <f t="shared" si="119"/>
        <v/>
      </c>
      <c r="AK661" s="29" t="str">
        <f t="shared" si="120"/>
        <v/>
      </c>
      <c r="AL661" s="10"/>
    </row>
    <row r="662" spans="1:38">
      <c r="A662" s="19">
        <f>IF('Supplier selection'!A662="","",'Supplier selection'!A662)</f>
        <v>658</v>
      </c>
      <c r="B662" s="19" t="str">
        <f>IF('Supplier selection'!B662="","",'Supplier selection'!B662)</f>
        <v/>
      </c>
      <c r="C662" s="19" t="str">
        <f>IF('Supplier selection'!C662="","",'Supplier selection'!C662)</f>
        <v/>
      </c>
      <c r="D662" s="19" t="str">
        <f>IF('Supplier selection'!D662="","",'Supplier selection'!D662)</f>
        <v/>
      </c>
      <c r="E662" s="19" t="str">
        <f>IF('Supplier selection'!E662="","",'Supplier selection'!E662)</f>
        <v/>
      </c>
      <c r="F662" s="19" t="str">
        <f>IF('Supplier selection'!F662="","",'Supplier selection'!F662)</f>
        <v/>
      </c>
      <c r="G662" s="19" t="str">
        <f>IF('Supplier selection'!G662="","",'Supplier selection'!G662)</f>
        <v/>
      </c>
      <c r="H662" s="19" t="str">
        <f>IF('Supplier selection'!H662="","",'Supplier selection'!H662)</f>
        <v/>
      </c>
      <c r="I662" s="19" t="str">
        <f>IF('Supplier selection'!I662="","",'Supplier selection'!I662)</f>
        <v/>
      </c>
      <c r="J662" s="19" t="str">
        <f>IF('Supplier selection'!J662="","",'Supplier selection'!J662)</f>
        <v/>
      </c>
      <c r="K662" s="19" t="str">
        <f>IF('Supplier selection'!K662="","",'Supplier selection'!K662)</f>
        <v/>
      </c>
      <c r="L662" s="19" t="str">
        <f>IF('Supplier selection'!L662="","",'Supplier selection'!L662)</f>
        <v/>
      </c>
      <c r="M662" s="19" t="str">
        <f>IF('Supplier selection'!M662="","",'Supplier selection'!M662)</f>
        <v/>
      </c>
      <c r="N662" s="19" t="str">
        <f>IF('Supplier selection'!N662="","",'Supplier selection'!N662)</f>
        <v/>
      </c>
      <c r="O662" s="19" t="str">
        <f>IF('Supplier selection'!O662="","",'Supplier selection'!O662)</f>
        <v/>
      </c>
      <c r="Q662" s="19" t="str">
        <f>HLOOKUP($Q$3,'Supplier selection'!$AW$4:'Supplier selection'!$CT$1000,$A663,FALSE)</f>
        <v/>
      </c>
      <c r="R662" s="22" t="str">
        <f t="shared" si="110"/>
        <v/>
      </c>
      <c r="S662" s="19" t="str">
        <f t="shared" si="111"/>
        <v/>
      </c>
      <c r="T662" s="22" t="str">
        <f t="shared" si="112"/>
        <v/>
      </c>
      <c r="U662" s="19" t="str">
        <f t="shared" si="113"/>
        <v/>
      </c>
      <c r="V662" s="7"/>
      <c r="Y662" s="19" t="str">
        <f>IF('Supplier selection'!AQ662="","",'Supplier selection'!AQ662)</f>
        <v/>
      </c>
      <c r="Z662" s="19" t="str">
        <f>IF('Supplier selection'!AR662="","",'Supplier selection'!AR662)</f>
        <v/>
      </c>
      <c r="AA662" s="19" t="str">
        <f t="shared" si="114"/>
        <v/>
      </c>
      <c r="AD662" s="26" t="str">
        <f>IF(AND('Supplier selection'!X662="",'Supplier selection'!AE662=""),"",IF('Supplier selection'!X662="",'Supplier selection'!AE662,'Supplier selection'!X662))</f>
        <v/>
      </c>
      <c r="AE662" s="19" t="str">
        <f t="shared" si="115"/>
        <v/>
      </c>
      <c r="AF662" s="19" t="str">
        <f t="shared" si="116"/>
        <v/>
      </c>
      <c r="AG662" s="27" t="str">
        <f>IF(AND('Supplier selection'!AB662="",'Supplier selection'!AI662=""),"",IF('Supplier selection'!AB662="",'Supplier selection'!AI662,'Supplier selection'!AB662))</f>
        <v/>
      </c>
      <c r="AH662" s="28" t="str">
        <f t="shared" si="117"/>
        <v/>
      </c>
      <c r="AI662" s="7" t="str">
        <f t="shared" si="118"/>
        <v/>
      </c>
      <c r="AJ662" s="22" t="str">
        <f t="shared" si="119"/>
        <v/>
      </c>
      <c r="AK662" s="29" t="str">
        <f t="shared" si="120"/>
        <v/>
      </c>
      <c r="AL662" s="10"/>
    </row>
    <row r="663" spans="1:38">
      <c r="A663" s="19">
        <f>IF('Supplier selection'!A663="","",'Supplier selection'!A663)</f>
        <v>659</v>
      </c>
      <c r="B663" s="19" t="str">
        <f>IF('Supplier selection'!B663="","",'Supplier selection'!B663)</f>
        <v/>
      </c>
      <c r="C663" s="19" t="str">
        <f>IF('Supplier selection'!C663="","",'Supplier selection'!C663)</f>
        <v/>
      </c>
      <c r="D663" s="19" t="str">
        <f>IF('Supplier selection'!D663="","",'Supplier selection'!D663)</f>
        <v/>
      </c>
      <c r="E663" s="19" t="str">
        <f>IF('Supplier selection'!E663="","",'Supplier selection'!E663)</f>
        <v/>
      </c>
      <c r="F663" s="19" t="str">
        <f>IF('Supplier selection'!F663="","",'Supplier selection'!F663)</f>
        <v/>
      </c>
      <c r="G663" s="19" t="str">
        <f>IF('Supplier selection'!G663="","",'Supplier selection'!G663)</f>
        <v/>
      </c>
      <c r="H663" s="19" t="str">
        <f>IF('Supplier selection'!H663="","",'Supplier selection'!H663)</f>
        <v/>
      </c>
      <c r="I663" s="19" t="str">
        <f>IF('Supplier selection'!I663="","",'Supplier selection'!I663)</f>
        <v/>
      </c>
      <c r="J663" s="19" t="str">
        <f>IF('Supplier selection'!J663="","",'Supplier selection'!J663)</f>
        <v/>
      </c>
      <c r="K663" s="19" t="str">
        <f>IF('Supplier selection'!K663="","",'Supplier selection'!K663)</f>
        <v/>
      </c>
      <c r="L663" s="19" t="str">
        <f>IF('Supplier selection'!L663="","",'Supplier selection'!L663)</f>
        <v/>
      </c>
      <c r="M663" s="19" t="str">
        <f>IF('Supplier selection'!M663="","",'Supplier selection'!M663)</f>
        <v/>
      </c>
      <c r="N663" s="19" t="str">
        <f>IF('Supplier selection'!N663="","",'Supplier selection'!N663)</f>
        <v/>
      </c>
      <c r="O663" s="19" t="str">
        <f>IF('Supplier selection'!O663="","",'Supplier selection'!O663)</f>
        <v/>
      </c>
      <c r="Q663" s="19" t="str">
        <f>HLOOKUP($Q$3,'Supplier selection'!$AW$4:'Supplier selection'!$CT$1000,$A664,FALSE)</f>
        <v/>
      </c>
      <c r="R663" s="22" t="str">
        <f t="shared" si="110"/>
        <v/>
      </c>
      <c r="S663" s="19" t="str">
        <f t="shared" si="111"/>
        <v/>
      </c>
      <c r="T663" s="22" t="str">
        <f t="shared" si="112"/>
        <v/>
      </c>
      <c r="U663" s="19" t="str">
        <f t="shared" si="113"/>
        <v/>
      </c>
      <c r="V663" s="7"/>
      <c r="Y663" s="19" t="str">
        <f>IF('Supplier selection'!AQ663="","",'Supplier selection'!AQ663)</f>
        <v/>
      </c>
      <c r="Z663" s="19" t="str">
        <f>IF('Supplier selection'!AR663="","",'Supplier selection'!AR663)</f>
        <v/>
      </c>
      <c r="AA663" s="19" t="str">
        <f t="shared" si="114"/>
        <v/>
      </c>
      <c r="AD663" s="26" t="str">
        <f>IF(AND('Supplier selection'!X663="",'Supplier selection'!AE663=""),"",IF('Supplier selection'!X663="",'Supplier selection'!AE663,'Supplier selection'!X663))</f>
        <v/>
      </c>
      <c r="AE663" s="19" t="str">
        <f t="shared" si="115"/>
        <v/>
      </c>
      <c r="AF663" s="19" t="str">
        <f t="shared" si="116"/>
        <v/>
      </c>
      <c r="AG663" s="27" t="str">
        <f>IF(AND('Supplier selection'!AB663="",'Supplier selection'!AI663=""),"",IF('Supplier selection'!AB663="",'Supplier selection'!AI663,'Supplier selection'!AB663))</f>
        <v/>
      </c>
      <c r="AH663" s="28" t="str">
        <f t="shared" si="117"/>
        <v/>
      </c>
      <c r="AI663" s="7" t="str">
        <f t="shared" si="118"/>
        <v/>
      </c>
      <c r="AJ663" s="22" t="str">
        <f t="shared" si="119"/>
        <v/>
      </c>
      <c r="AK663" s="29" t="str">
        <f t="shared" si="120"/>
        <v/>
      </c>
      <c r="AL663" s="10"/>
    </row>
    <row r="664" spans="1:38">
      <c r="A664" s="19">
        <f>IF('Supplier selection'!A664="","",'Supplier selection'!A664)</f>
        <v>660</v>
      </c>
      <c r="B664" s="19" t="str">
        <f>IF('Supplier selection'!B664="","",'Supplier selection'!B664)</f>
        <v/>
      </c>
      <c r="C664" s="19" t="str">
        <f>IF('Supplier selection'!C664="","",'Supplier selection'!C664)</f>
        <v/>
      </c>
      <c r="D664" s="19" t="str">
        <f>IF('Supplier selection'!D664="","",'Supplier selection'!D664)</f>
        <v/>
      </c>
      <c r="E664" s="19" t="str">
        <f>IF('Supplier selection'!E664="","",'Supplier selection'!E664)</f>
        <v/>
      </c>
      <c r="F664" s="19" t="str">
        <f>IF('Supplier selection'!F664="","",'Supplier selection'!F664)</f>
        <v/>
      </c>
      <c r="G664" s="19" t="str">
        <f>IF('Supplier selection'!G664="","",'Supplier selection'!G664)</f>
        <v/>
      </c>
      <c r="H664" s="19" t="str">
        <f>IF('Supplier selection'!H664="","",'Supplier selection'!H664)</f>
        <v/>
      </c>
      <c r="I664" s="19" t="str">
        <f>IF('Supplier selection'!I664="","",'Supplier selection'!I664)</f>
        <v/>
      </c>
      <c r="J664" s="19" t="str">
        <f>IF('Supplier selection'!J664="","",'Supplier selection'!J664)</f>
        <v/>
      </c>
      <c r="K664" s="19" t="str">
        <f>IF('Supplier selection'!K664="","",'Supplier selection'!K664)</f>
        <v/>
      </c>
      <c r="L664" s="19" t="str">
        <f>IF('Supplier selection'!L664="","",'Supplier selection'!L664)</f>
        <v/>
      </c>
      <c r="M664" s="19" t="str">
        <f>IF('Supplier selection'!M664="","",'Supplier selection'!M664)</f>
        <v/>
      </c>
      <c r="N664" s="19" t="str">
        <f>IF('Supplier selection'!N664="","",'Supplier selection'!N664)</f>
        <v/>
      </c>
      <c r="O664" s="19" t="str">
        <f>IF('Supplier selection'!O664="","",'Supplier selection'!O664)</f>
        <v/>
      </c>
      <c r="Q664" s="19" t="str">
        <f>HLOOKUP($Q$3,'Supplier selection'!$AW$4:'Supplier selection'!$CT$1000,$A665,FALSE)</f>
        <v/>
      </c>
      <c r="R664" s="22" t="str">
        <f t="shared" si="110"/>
        <v/>
      </c>
      <c r="S664" s="19" t="str">
        <f t="shared" si="111"/>
        <v/>
      </c>
      <c r="T664" s="22" t="str">
        <f t="shared" si="112"/>
        <v/>
      </c>
      <c r="U664" s="19" t="str">
        <f t="shared" si="113"/>
        <v/>
      </c>
      <c r="V664" s="7"/>
      <c r="Y664" s="19" t="str">
        <f>IF('Supplier selection'!AQ664="","",'Supplier selection'!AQ664)</f>
        <v/>
      </c>
      <c r="Z664" s="19" t="str">
        <f>IF('Supplier selection'!AR664="","",'Supplier selection'!AR664)</f>
        <v/>
      </c>
      <c r="AA664" s="19" t="str">
        <f t="shared" si="114"/>
        <v/>
      </c>
      <c r="AD664" s="26" t="str">
        <f>IF(AND('Supplier selection'!X664="",'Supplier selection'!AE664=""),"",IF('Supplier selection'!X664="",'Supplier selection'!AE664,'Supplier selection'!X664))</f>
        <v/>
      </c>
      <c r="AE664" s="19" t="str">
        <f t="shared" si="115"/>
        <v/>
      </c>
      <c r="AF664" s="19" t="str">
        <f t="shared" si="116"/>
        <v/>
      </c>
      <c r="AG664" s="27" t="str">
        <f>IF(AND('Supplier selection'!AB664="",'Supplier selection'!AI664=""),"",IF('Supplier selection'!AB664="",'Supplier selection'!AI664,'Supplier selection'!AB664))</f>
        <v/>
      </c>
      <c r="AH664" s="28" t="str">
        <f t="shared" si="117"/>
        <v/>
      </c>
      <c r="AI664" s="7" t="str">
        <f t="shared" si="118"/>
        <v/>
      </c>
      <c r="AJ664" s="22" t="str">
        <f t="shared" si="119"/>
        <v/>
      </c>
      <c r="AK664" s="29" t="str">
        <f t="shared" si="120"/>
        <v/>
      </c>
      <c r="AL664" s="10"/>
    </row>
    <row r="665" spans="1:38">
      <c r="A665" s="19">
        <f>IF('Supplier selection'!A665="","",'Supplier selection'!A665)</f>
        <v>661</v>
      </c>
      <c r="B665" s="19" t="str">
        <f>IF('Supplier selection'!B665="","",'Supplier selection'!B665)</f>
        <v/>
      </c>
      <c r="C665" s="19" t="str">
        <f>IF('Supplier selection'!C665="","",'Supplier selection'!C665)</f>
        <v/>
      </c>
      <c r="D665" s="19" t="str">
        <f>IF('Supplier selection'!D665="","",'Supplier selection'!D665)</f>
        <v/>
      </c>
      <c r="E665" s="19" t="str">
        <f>IF('Supplier selection'!E665="","",'Supplier selection'!E665)</f>
        <v/>
      </c>
      <c r="F665" s="19" t="str">
        <f>IF('Supplier selection'!F665="","",'Supplier selection'!F665)</f>
        <v/>
      </c>
      <c r="G665" s="19" t="str">
        <f>IF('Supplier selection'!G665="","",'Supplier selection'!G665)</f>
        <v/>
      </c>
      <c r="H665" s="19" t="str">
        <f>IF('Supplier selection'!H665="","",'Supplier selection'!H665)</f>
        <v/>
      </c>
      <c r="I665" s="19" t="str">
        <f>IF('Supplier selection'!I665="","",'Supplier selection'!I665)</f>
        <v/>
      </c>
      <c r="J665" s="19" t="str">
        <f>IF('Supplier selection'!J665="","",'Supplier selection'!J665)</f>
        <v/>
      </c>
      <c r="K665" s="19" t="str">
        <f>IF('Supplier selection'!K665="","",'Supplier selection'!K665)</f>
        <v/>
      </c>
      <c r="L665" s="19" t="str">
        <f>IF('Supplier selection'!L665="","",'Supplier selection'!L665)</f>
        <v/>
      </c>
      <c r="M665" s="19" t="str">
        <f>IF('Supplier selection'!M665="","",'Supplier selection'!M665)</f>
        <v/>
      </c>
      <c r="N665" s="19" t="str">
        <f>IF('Supplier selection'!N665="","",'Supplier selection'!N665)</f>
        <v/>
      </c>
      <c r="O665" s="19" t="str">
        <f>IF('Supplier selection'!O665="","",'Supplier selection'!O665)</f>
        <v/>
      </c>
      <c r="Q665" s="19" t="str">
        <f>HLOOKUP($Q$3,'Supplier selection'!$AW$4:'Supplier selection'!$CT$1000,$A666,FALSE)</f>
        <v/>
      </c>
      <c r="R665" s="22" t="str">
        <f t="shared" si="110"/>
        <v/>
      </c>
      <c r="S665" s="19" t="str">
        <f t="shared" si="111"/>
        <v/>
      </c>
      <c r="T665" s="22" t="str">
        <f t="shared" si="112"/>
        <v/>
      </c>
      <c r="U665" s="19" t="str">
        <f t="shared" si="113"/>
        <v/>
      </c>
      <c r="V665" s="7"/>
      <c r="Y665" s="19" t="str">
        <f>IF('Supplier selection'!AQ665="","",'Supplier selection'!AQ665)</f>
        <v/>
      </c>
      <c r="Z665" s="19" t="str">
        <f>IF('Supplier selection'!AR665="","",'Supplier selection'!AR665)</f>
        <v/>
      </c>
      <c r="AA665" s="19" t="str">
        <f t="shared" si="114"/>
        <v/>
      </c>
      <c r="AD665" s="26" t="str">
        <f>IF(AND('Supplier selection'!X665="",'Supplier selection'!AE665=""),"",IF('Supplier selection'!X665="",'Supplier selection'!AE665,'Supplier selection'!X665))</f>
        <v/>
      </c>
      <c r="AE665" s="19" t="str">
        <f t="shared" si="115"/>
        <v/>
      </c>
      <c r="AF665" s="19" t="str">
        <f t="shared" si="116"/>
        <v/>
      </c>
      <c r="AG665" s="27" t="str">
        <f>IF(AND('Supplier selection'!AB665="",'Supplier selection'!AI665=""),"",IF('Supplier selection'!AB665="",'Supplier selection'!AI665,'Supplier selection'!AB665))</f>
        <v/>
      </c>
      <c r="AH665" s="28" t="str">
        <f t="shared" si="117"/>
        <v/>
      </c>
      <c r="AI665" s="7" t="str">
        <f t="shared" si="118"/>
        <v/>
      </c>
      <c r="AJ665" s="22" t="str">
        <f t="shared" si="119"/>
        <v/>
      </c>
      <c r="AK665" s="29" t="str">
        <f t="shared" si="120"/>
        <v/>
      </c>
      <c r="AL665" s="10"/>
    </row>
    <row r="666" spans="1:38">
      <c r="A666" s="19">
        <f>IF('Supplier selection'!A666="","",'Supplier selection'!A666)</f>
        <v>662</v>
      </c>
      <c r="B666" s="19" t="str">
        <f>IF('Supplier selection'!B666="","",'Supplier selection'!B666)</f>
        <v/>
      </c>
      <c r="C666" s="19" t="str">
        <f>IF('Supplier selection'!C666="","",'Supplier selection'!C666)</f>
        <v/>
      </c>
      <c r="D666" s="19" t="str">
        <f>IF('Supplier selection'!D666="","",'Supplier selection'!D666)</f>
        <v/>
      </c>
      <c r="E666" s="19" t="str">
        <f>IF('Supplier selection'!E666="","",'Supplier selection'!E666)</f>
        <v/>
      </c>
      <c r="F666" s="19" t="str">
        <f>IF('Supplier selection'!F666="","",'Supplier selection'!F666)</f>
        <v/>
      </c>
      <c r="G666" s="19" t="str">
        <f>IF('Supplier selection'!G666="","",'Supplier selection'!G666)</f>
        <v/>
      </c>
      <c r="H666" s="19" t="str">
        <f>IF('Supplier selection'!H666="","",'Supplier selection'!H666)</f>
        <v/>
      </c>
      <c r="I666" s="19" t="str">
        <f>IF('Supplier selection'!I666="","",'Supplier selection'!I666)</f>
        <v/>
      </c>
      <c r="J666" s="19" t="str">
        <f>IF('Supplier selection'!J666="","",'Supplier selection'!J666)</f>
        <v/>
      </c>
      <c r="K666" s="19" t="str">
        <f>IF('Supplier selection'!K666="","",'Supplier selection'!K666)</f>
        <v/>
      </c>
      <c r="L666" s="19" t="str">
        <f>IF('Supplier selection'!L666="","",'Supplier selection'!L666)</f>
        <v/>
      </c>
      <c r="M666" s="19" t="str">
        <f>IF('Supplier selection'!M666="","",'Supplier selection'!M666)</f>
        <v/>
      </c>
      <c r="N666" s="19" t="str">
        <f>IF('Supplier selection'!N666="","",'Supplier selection'!N666)</f>
        <v/>
      </c>
      <c r="O666" s="19" t="str">
        <f>IF('Supplier selection'!O666="","",'Supplier selection'!O666)</f>
        <v/>
      </c>
      <c r="Q666" s="19" t="str">
        <f>HLOOKUP($Q$3,'Supplier selection'!$AW$4:'Supplier selection'!$CT$1000,$A667,FALSE)</f>
        <v/>
      </c>
      <c r="R666" s="22" t="str">
        <f t="shared" si="110"/>
        <v/>
      </c>
      <c r="S666" s="19" t="str">
        <f t="shared" si="111"/>
        <v/>
      </c>
      <c r="T666" s="22" t="str">
        <f t="shared" si="112"/>
        <v/>
      </c>
      <c r="U666" s="19" t="str">
        <f t="shared" si="113"/>
        <v/>
      </c>
      <c r="V666" s="7"/>
      <c r="Y666" s="19" t="str">
        <f>IF('Supplier selection'!AQ666="","",'Supplier selection'!AQ666)</f>
        <v/>
      </c>
      <c r="Z666" s="19" t="str">
        <f>IF('Supplier selection'!AR666="","",'Supplier selection'!AR666)</f>
        <v/>
      </c>
      <c r="AA666" s="19" t="str">
        <f t="shared" si="114"/>
        <v/>
      </c>
      <c r="AD666" s="26" t="str">
        <f>IF(AND('Supplier selection'!X666="",'Supplier selection'!AE666=""),"",IF('Supplier selection'!X666="",'Supplier selection'!AE666,'Supplier selection'!X666))</f>
        <v/>
      </c>
      <c r="AE666" s="19" t="str">
        <f t="shared" si="115"/>
        <v/>
      </c>
      <c r="AF666" s="19" t="str">
        <f t="shared" si="116"/>
        <v/>
      </c>
      <c r="AG666" s="27" t="str">
        <f>IF(AND('Supplier selection'!AB666="",'Supplier selection'!AI666=""),"",IF('Supplier selection'!AB666="",'Supplier selection'!AI666,'Supplier selection'!AB666))</f>
        <v/>
      </c>
      <c r="AH666" s="28" t="str">
        <f t="shared" si="117"/>
        <v/>
      </c>
      <c r="AI666" s="7" t="str">
        <f t="shared" si="118"/>
        <v/>
      </c>
      <c r="AJ666" s="22" t="str">
        <f t="shared" si="119"/>
        <v/>
      </c>
      <c r="AK666" s="29" t="str">
        <f t="shared" si="120"/>
        <v/>
      </c>
      <c r="AL666" s="10"/>
    </row>
    <row r="667" spans="1:38">
      <c r="A667" s="19">
        <f>IF('Supplier selection'!A667="","",'Supplier selection'!A667)</f>
        <v>663</v>
      </c>
      <c r="B667" s="19" t="str">
        <f>IF('Supplier selection'!B667="","",'Supplier selection'!B667)</f>
        <v/>
      </c>
      <c r="C667" s="19" t="str">
        <f>IF('Supplier selection'!C667="","",'Supplier selection'!C667)</f>
        <v/>
      </c>
      <c r="D667" s="19" t="str">
        <f>IF('Supplier selection'!D667="","",'Supplier selection'!D667)</f>
        <v/>
      </c>
      <c r="E667" s="19" t="str">
        <f>IF('Supplier selection'!E667="","",'Supplier selection'!E667)</f>
        <v/>
      </c>
      <c r="F667" s="19" t="str">
        <f>IF('Supplier selection'!F667="","",'Supplier selection'!F667)</f>
        <v/>
      </c>
      <c r="G667" s="19" t="str">
        <f>IF('Supplier selection'!G667="","",'Supplier selection'!G667)</f>
        <v/>
      </c>
      <c r="H667" s="19" t="str">
        <f>IF('Supplier selection'!H667="","",'Supplier selection'!H667)</f>
        <v/>
      </c>
      <c r="I667" s="19" t="str">
        <f>IF('Supplier selection'!I667="","",'Supplier selection'!I667)</f>
        <v/>
      </c>
      <c r="J667" s="19" t="str">
        <f>IF('Supplier selection'!J667="","",'Supplier selection'!J667)</f>
        <v/>
      </c>
      <c r="K667" s="19" t="str">
        <f>IF('Supplier selection'!K667="","",'Supplier selection'!K667)</f>
        <v/>
      </c>
      <c r="L667" s="19" t="str">
        <f>IF('Supplier selection'!L667="","",'Supplier selection'!L667)</f>
        <v/>
      </c>
      <c r="M667" s="19" t="str">
        <f>IF('Supplier selection'!M667="","",'Supplier selection'!M667)</f>
        <v/>
      </c>
      <c r="N667" s="19" t="str">
        <f>IF('Supplier selection'!N667="","",'Supplier selection'!N667)</f>
        <v/>
      </c>
      <c r="O667" s="19" t="str">
        <f>IF('Supplier selection'!O667="","",'Supplier selection'!O667)</f>
        <v/>
      </c>
      <c r="Q667" s="19" t="str">
        <f>HLOOKUP($Q$3,'Supplier selection'!$AW$4:'Supplier selection'!$CT$1000,$A668,FALSE)</f>
        <v/>
      </c>
      <c r="R667" s="22" t="str">
        <f t="shared" si="110"/>
        <v/>
      </c>
      <c r="S667" s="19" t="str">
        <f t="shared" si="111"/>
        <v/>
      </c>
      <c r="T667" s="22" t="str">
        <f t="shared" si="112"/>
        <v/>
      </c>
      <c r="U667" s="19" t="str">
        <f t="shared" si="113"/>
        <v/>
      </c>
      <c r="V667" s="7"/>
      <c r="Y667" s="19" t="str">
        <f>IF('Supplier selection'!AQ667="","",'Supplier selection'!AQ667)</f>
        <v/>
      </c>
      <c r="Z667" s="19" t="str">
        <f>IF('Supplier selection'!AR667="","",'Supplier selection'!AR667)</f>
        <v/>
      </c>
      <c r="AA667" s="19" t="str">
        <f t="shared" si="114"/>
        <v/>
      </c>
      <c r="AD667" s="26" t="str">
        <f>IF(AND('Supplier selection'!X667="",'Supplier selection'!AE667=""),"",IF('Supplier selection'!X667="",'Supplier selection'!AE667,'Supplier selection'!X667))</f>
        <v/>
      </c>
      <c r="AE667" s="19" t="str">
        <f t="shared" si="115"/>
        <v/>
      </c>
      <c r="AF667" s="19" t="str">
        <f t="shared" si="116"/>
        <v/>
      </c>
      <c r="AG667" s="27" t="str">
        <f>IF(AND('Supplier selection'!AB667="",'Supplier selection'!AI667=""),"",IF('Supplier selection'!AB667="",'Supplier selection'!AI667,'Supplier selection'!AB667))</f>
        <v/>
      </c>
      <c r="AH667" s="28" t="str">
        <f t="shared" si="117"/>
        <v/>
      </c>
      <c r="AI667" s="7" t="str">
        <f t="shared" si="118"/>
        <v/>
      </c>
      <c r="AJ667" s="22" t="str">
        <f t="shared" si="119"/>
        <v/>
      </c>
      <c r="AK667" s="29" t="str">
        <f t="shared" si="120"/>
        <v/>
      </c>
      <c r="AL667" s="10"/>
    </row>
    <row r="668" spans="1:38">
      <c r="A668" s="19">
        <f>IF('Supplier selection'!A668="","",'Supplier selection'!A668)</f>
        <v>664</v>
      </c>
      <c r="B668" s="19" t="str">
        <f>IF('Supplier selection'!B668="","",'Supplier selection'!B668)</f>
        <v/>
      </c>
      <c r="C668" s="19" t="str">
        <f>IF('Supplier selection'!C668="","",'Supplier selection'!C668)</f>
        <v/>
      </c>
      <c r="D668" s="19" t="str">
        <f>IF('Supplier selection'!D668="","",'Supplier selection'!D668)</f>
        <v/>
      </c>
      <c r="E668" s="19" t="str">
        <f>IF('Supplier selection'!E668="","",'Supplier selection'!E668)</f>
        <v/>
      </c>
      <c r="F668" s="19" t="str">
        <f>IF('Supplier selection'!F668="","",'Supplier selection'!F668)</f>
        <v/>
      </c>
      <c r="G668" s="19" t="str">
        <f>IF('Supplier selection'!G668="","",'Supplier selection'!G668)</f>
        <v/>
      </c>
      <c r="H668" s="19" t="str">
        <f>IF('Supplier selection'!H668="","",'Supplier selection'!H668)</f>
        <v/>
      </c>
      <c r="I668" s="19" t="str">
        <f>IF('Supplier selection'!I668="","",'Supplier selection'!I668)</f>
        <v/>
      </c>
      <c r="J668" s="19" t="str">
        <f>IF('Supplier selection'!J668="","",'Supplier selection'!J668)</f>
        <v/>
      </c>
      <c r="K668" s="19" t="str">
        <f>IF('Supplier selection'!K668="","",'Supplier selection'!K668)</f>
        <v/>
      </c>
      <c r="L668" s="19" t="str">
        <f>IF('Supplier selection'!L668="","",'Supplier selection'!L668)</f>
        <v/>
      </c>
      <c r="M668" s="19" t="str">
        <f>IF('Supplier selection'!M668="","",'Supplier selection'!M668)</f>
        <v/>
      </c>
      <c r="N668" s="19" t="str">
        <f>IF('Supplier selection'!N668="","",'Supplier selection'!N668)</f>
        <v/>
      </c>
      <c r="O668" s="19" t="str">
        <f>IF('Supplier selection'!O668="","",'Supplier selection'!O668)</f>
        <v/>
      </c>
      <c r="Q668" s="19" t="str">
        <f>HLOOKUP($Q$3,'Supplier selection'!$AW$4:'Supplier selection'!$CT$1000,$A669,FALSE)</f>
        <v/>
      </c>
      <c r="R668" s="22" t="str">
        <f t="shared" si="110"/>
        <v/>
      </c>
      <c r="S668" s="19" t="str">
        <f t="shared" si="111"/>
        <v/>
      </c>
      <c r="T668" s="22" t="str">
        <f t="shared" si="112"/>
        <v/>
      </c>
      <c r="U668" s="19" t="str">
        <f t="shared" si="113"/>
        <v/>
      </c>
      <c r="V668" s="7"/>
      <c r="Y668" s="19" t="str">
        <f>IF('Supplier selection'!AQ668="","",'Supplier selection'!AQ668)</f>
        <v/>
      </c>
      <c r="Z668" s="19" t="str">
        <f>IF('Supplier selection'!AR668="","",'Supplier selection'!AR668)</f>
        <v/>
      </c>
      <c r="AA668" s="19" t="str">
        <f t="shared" si="114"/>
        <v/>
      </c>
      <c r="AD668" s="26" t="str">
        <f>IF(AND('Supplier selection'!X668="",'Supplier selection'!AE668=""),"",IF('Supplier selection'!X668="",'Supplier selection'!AE668,'Supplier selection'!X668))</f>
        <v/>
      </c>
      <c r="AE668" s="19" t="str">
        <f t="shared" si="115"/>
        <v/>
      </c>
      <c r="AF668" s="19" t="str">
        <f t="shared" si="116"/>
        <v/>
      </c>
      <c r="AG668" s="27" t="str">
        <f>IF(AND('Supplier selection'!AB668="",'Supplier selection'!AI668=""),"",IF('Supplier selection'!AB668="",'Supplier selection'!AI668,'Supplier selection'!AB668))</f>
        <v/>
      </c>
      <c r="AH668" s="28" t="str">
        <f t="shared" si="117"/>
        <v/>
      </c>
      <c r="AI668" s="7" t="str">
        <f t="shared" si="118"/>
        <v/>
      </c>
      <c r="AJ668" s="22" t="str">
        <f t="shared" si="119"/>
        <v/>
      </c>
      <c r="AK668" s="29" t="str">
        <f t="shared" si="120"/>
        <v/>
      </c>
      <c r="AL668" s="10"/>
    </row>
    <row r="669" spans="1:38">
      <c r="A669" s="19">
        <f>IF('Supplier selection'!A669="","",'Supplier selection'!A669)</f>
        <v>665</v>
      </c>
      <c r="B669" s="19" t="str">
        <f>IF('Supplier selection'!B669="","",'Supplier selection'!B669)</f>
        <v/>
      </c>
      <c r="C669" s="19" t="str">
        <f>IF('Supplier selection'!C669="","",'Supplier selection'!C669)</f>
        <v/>
      </c>
      <c r="D669" s="19" t="str">
        <f>IF('Supplier selection'!D669="","",'Supplier selection'!D669)</f>
        <v/>
      </c>
      <c r="E669" s="19" t="str">
        <f>IF('Supplier selection'!E669="","",'Supplier selection'!E669)</f>
        <v/>
      </c>
      <c r="F669" s="19" t="str">
        <f>IF('Supplier selection'!F669="","",'Supplier selection'!F669)</f>
        <v/>
      </c>
      <c r="G669" s="19" t="str">
        <f>IF('Supplier selection'!G669="","",'Supplier selection'!G669)</f>
        <v/>
      </c>
      <c r="H669" s="19" t="str">
        <f>IF('Supplier selection'!H669="","",'Supplier selection'!H669)</f>
        <v/>
      </c>
      <c r="I669" s="19" t="str">
        <f>IF('Supplier selection'!I669="","",'Supplier selection'!I669)</f>
        <v/>
      </c>
      <c r="J669" s="19" t="str">
        <f>IF('Supplier selection'!J669="","",'Supplier selection'!J669)</f>
        <v/>
      </c>
      <c r="K669" s="19" t="str">
        <f>IF('Supplier selection'!K669="","",'Supplier selection'!K669)</f>
        <v/>
      </c>
      <c r="L669" s="19" t="str">
        <f>IF('Supplier selection'!L669="","",'Supplier selection'!L669)</f>
        <v/>
      </c>
      <c r="M669" s="19" t="str">
        <f>IF('Supplier selection'!M669="","",'Supplier selection'!M669)</f>
        <v/>
      </c>
      <c r="N669" s="19" t="str">
        <f>IF('Supplier selection'!N669="","",'Supplier selection'!N669)</f>
        <v/>
      </c>
      <c r="O669" s="19" t="str">
        <f>IF('Supplier selection'!O669="","",'Supplier selection'!O669)</f>
        <v/>
      </c>
      <c r="Q669" s="19" t="str">
        <f>HLOOKUP($Q$3,'Supplier selection'!$AW$4:'Supplier selection'!$CT$1000,$A670,FALSE)</f>
        <v/>
      </c>
      <c r="R669" s="22" t="str">
        <f t="shared" si="110"/>
        <v/>
      </c>
      <c r="S669" s="19" t="str">
        <f t="shared" si="111"/>
        <v/>
      </c>
      <c r="T669" s="22" t="str">
        <f t="shared" si="112"/>
        <v/>
      </c>
      <c r="U669" s="19" t="str">
        <f t="shared" si="113"/>
        <v/>
      </c>
      <c r="V669" s="7"/>
      <c r="Y669" s="19" t="str">
        <f>IF('Supplier selection'!AQ669="","",'Supplier selection'!AQ669)</f>
        <v/>
      </c>
      <c r="Z669" s="19" t="str">
        <f>IF('Supplier selection'!AR669="","",'Supplier selection'!AR669)</f>
        <v/>
      </c>
      <c r="AA669" s="19" t="str">
        <f t="shared" si="114"/>
        <v/>
      </c>
      <c r="AD669" s="26" t="str">
        <f>IF(AND('Supplier selection'!X669="",'Supplier selection'!AE669=""),"",IF('Supplier selection'!X669="",'Supplier selection'!AE669,'Supplier selection'!X669))</f>
        <v/>
      </c>
      <c r="AE669" s="19" t="str">
        <f t="shared" si="115"/>
        <v/>
      </c>
      <c r="AF669" s="19" t="str">
        <f t="shared" si="116"/>
        <v/>
      </c>
      <c r="AG669" s="27" t="str">
        <f>IF(AND('Supplier selection'!AB669="",'Supplier selection'!AI669=""),"",IF('Supplier selection'!AB669="",'Supplier selection'!AI669,'Supplier selection'!AB669))</f>
        <v/>
      </c>
      <c r="AH669" s="28" t="str">
        <f t="shared" si="117"/>
        <v/>
      </c>
      <c r="AI669" s="7" t="str">
        <f t="shared" si="118"/>
        <v/>
      </c>
      <c r="AJ669" s="22" t="str">
        <f t="shared" si="119"/>
        <v/>
      </c>
      <c r="AK669" s="29" t="str">
        <f t="shared" si="120"/>
        <v/>
      </c>
      <c r="AL669" s="10"/>
    </row>
    <row r="670" spans="1:38">
      <c r="A670" s="19">
        <f>IF('Supplier selection'!A670="","",'Supplier selection'!A670)</f>
        <v>666</v>
      </c>
      <c r="B670" s="19" t="str">
        <f>IF('Supplier selection'!B670="","",'Supplier selection'!B670)</f>
        <v/>
      </c>
      <c r="C670" s="19" t="str">
        <f>IF('Supplier selection'!C670="","",'Supplier selection'!C670)</f>
        <v/>
      </c>
      <c r="D670" s="19" t="str">
        <f>IF('Supplier selection'!D670="","",'Supplier selection'!D670)</f>
        <v/>
      </c>
      <c r="E670" s="19" t="str">
        <f>IF('Supplier selection'!E670="","",'Supplier selection'!E670)</f>
        <v/>
      </c>
      <c r="F670" s="19" t="str">
        <f>IF('Supplier selection'!F670="","",'Supplier selection'!F670)</f>
        <v/>
      </c>
      <c r="G670" s="19" t="str">
        <f>IF('Supplier selection'!G670="","",'Supplier selection'!G670)</f>
        <v/>
      </c>
      <c r="H670" s="19" t="str">
        <f>IF('Supplier selection'!H670="","",'Supplier selection'!H670)</f>
        <v/>
      </c>
      <c r="I670" s="19" t="str">
        <f>IF('Supplier selection'!I670="","",'Supplier selection'!I670)</f>
        <v/>
      </c>
      <c r="J670" s="19" t="str">
        <f>IF('Supplier selection'!J670="","",'Supplier selection'!J670)</f>
        <v/>
      </c>
      <c r="K670" s="19" t="str">
        <f>IF('Supplier selection'!K670="","",'Supplier selection'!K670)</f>
        <v/>
      </c>
      <c r="L670" s="19" t="str">
        <f>IF('Supplier selection'!L670="","",'Supplier selection'!L670)</f>
        <v/>
      </c>
      <c r="M670" s="19" t="str">
        <f>IF('Supplier selection'!M670="","",'Supplier selection'!M670)</f>
        <v/>
      </c>
      <c r="N670" s="19" t="str">
        <f>IF('Supplier selection'!N670="","",'Supplier selection'!N670)</f>
        <v/>
      </c>
      <c r="O670" s="19" t="str">
        <f>IF('Supplier selection'!O670="","",'Supplier selection'!O670)</f>
        <v/>
      </c>
      <c r="Q670" s="19" t="str">
        <f>HLOOKUP($Q$3,'Supplier selection'!$AW$4:'Supplier selection'!$CT$1000,$A671,FALSE)</f>
        <v/>
      </c>
      <c r="R670" s="22" t="str">
        <f t="shared" si="110"/>
        <v/>
      </c>
      <c r="S670" s="19" t="str">
        <f t="shared" si="111"/>
        <v/>
      </c>
      <c r="T670" s="22" t="str">
        <f t="shared" si="112"/>
        <v/>
      </c>
      <c r="U670" s="19" t="str">
        <f t="shared" si="113"/>
        <v/>
      </c>
      <c r="V670" s="7"/>
      <c r="Y670" s="19" t="str">
        <f>IF('Supplier selection'!AQ670="","",'Supplier selection'!AQ670)</f>
        <v/>
      </c>
      <c r="Z670" s="19" t="str">
        <f>IF('Supplier selection'!AR670="","",'Supplier selection'!AR670)</f>
        <v/>
      </c>
      <c r="AA670" s="19" t="str">
        <f t="shared" si="114"/>
        <v/>
      </c>
      <c r="AD670" s="26" t="str">
        <f>IF(AND('Supplier selection'!X670="",'Supplier selection'!AE670=""),"",IF('Supplier selection'!X670="",'Supplier selection'!AE670,'Supplier selection'!X670))</f>
        <v/>
      </c>
      <c r="AE670" s="19" t="str">
        <f t="shared" si="115"/>
        <v/>
      </c>
      <c r="AF670" s="19" t="str">
        <f t="shared" si="116"/>
        <v/>
      </c>
      <c r="AG670" s="27" t="str">
        <f>IF(AND('Supplier selection'!AB670="",'Supplier selection'!AI670=""),"",IF('Supplier selection'!AB670="",'Supplier selection'!AI670,'Supplier selection'!AB670))</f>
        <v/>
      </c>
      <c r="AH670" s="28" t="str">
        <f t="shared" si="117"/>
        <v/>
      </c>
      <c r="AI670" s="7" t="str">
        <f t="shared" si="118"/>
        <v/>
      </c>
      <c r="AJ670" s="22" t="str">
        <f t="shared" si="119"/>
        <v/>
      </c>
      <c r="AK670" s="29" t="str">
        <f t="shared" si="120"/>
        <v/>
      </c>
      <c r="AL670" s="10"/>
    </row>
    <row r="671" spans="1:38">
      <c r="A671" s="19">
        <f>IF('Supplier selection'!A671="","",'Supplier selection'!A671)</f>
        <v>667</v>
      </c>
      <c r="B671" s="19" t="str">
        <f>IF('Supplier selection'!B671="","",'Supplier selection'!B671)</f>
        <v/>
      </c>
      <c r="C671" s="19" t="str">
        <f>IF('Supplier selection'!C671="","",'Supplier selection'!C671)</f>
        <v/>
      </c>
      <c r="D671" s="19" t="str">
        <f>IF('Supplier selection'!D671="","",'Supplier selection'!D671)</f>
        <v/>
      </c>
      <c r="E671" s="19" t="str">
        <f>IF('Supplier selection'!E671="","",'Supplier selection'!E671)</f>
        <v/>
      </c>
      <c r="F671" s="19" t="str">
        <f>IF('Supplier selection'!F671="","",'Supplier selection'!F671)</f>
        <v/>
      </c>
      <c r="G671" s="19" t="str">
        <f>IF('Supplier selection'!G671="","",'Supplier selection'!G671)</f>
        <v/>
      </c>
      <c r="H671" s="19" t="str">
        <f>IF('Supplier selection'!H671="","",'Supplier selection'!H671)</f>
        <v/>
      </c>
      <c r="I671" s="19" t="str">
        <f>IF('Supplier selection'!I671="","",'Supplier selection'!I671)</f>
        <v/>
      </c>
      <c r="J671" s="19" t="str">
        <f>IF('Supplier selection'!J671="","",'Supplier selection'!J671)</f>
        <v/>
      </c>
      <c r="K671" s="19" t="str">
        <f>IF('Supplier selection'!K671="","",'Supplier selection'!K671)</f>
        <v/>
      </c>
      <c r="L671" s="19" t="str">
        <f>IF('Supplier selection'!L671="","",'Supplier selection'!L671)</f>
        <v/>
      </c>
      <c r="M671" s="19" t="str">
        <f>IF('Supplier selection'!M671="","",'Supplier selection'!M671)</f>
        <v/>
      </c>
      <c r="N671" s="19" t="str">
        <f>IF('Supplier selection'!N671="","",'Supplier selection'!N671)</f>
        <v/>
      </c>
      <c r="O671" s="19" t="str">
        <f>IF('Supplier selection'!O671="","",'Supplier selection'!O671)</f>
        <v/>
      </c>
      <c r="Q671" s="19" t="str">
        <f>HLOOKUP($Q$3,'Supplier selection'!$AW$4:'Supplier selection'!$CT$1000,$A672,FALSE)</f>
        <v/>
      </c>
      <c r="R671" s="22" t="str">
        <f t="shared" si="110"/>
        <v/>
      </c>
      <c r="S671" s="19" t="str">
        <f t="shared" si="111"/>
        <v/>
      </c>
      <c r="T671" s="22" t="str">
        <f t="shared" si="112"/>
        <v/>
      </c>
      <c r="U671" s="19" t="str">
        <f t="shared" si="113"/>
        <v/>
      </c>
      <c r="V671" s="7"/>
      <c r="Y671" s="19" t="str">
        <f>IF('Supplier selection'!AQ671="","",'Supplier selection'!AQ671)</f>
        <v/>
      </c>
      <c r="Z671" s="19" t="str">
        <f>IF('Supplier selection'!AR671="","",'Supplier selection'!AR671)</f>
        <v/>
      </c>
      <c r="AA671" s="19" t="str">
        <f t="shared" si="114"/>
        <v/>
      </c>
      <c r="AD671" s="26" t="str">
        <f>IF(AND('Supplier selection'!X671="",'Supplier selection'!AE671=""),"",IF('Supplier selection'!X671="",'Supplier selection'!AE671,'Supplier selection'!X671))</f>
        <v/>
      </c>
      <c r="AE671" s="19" t="str">
        <f t="shared" si="115"/>
        <v/>
      </c>
      <c r="AF671" s="19" t="str">
        <f t="shared" si="116"/>
        <v/>
      </c>
      <c r="AG671" s="27" t="str">
        <f>IF(AND('Supplier selection'!AB671="",'Supplier selection'!AI671=""),"",IF('Supplier selection'!AB671="",'Supplier selection'!AI671,'Supplier selection'!AB671))</f>
        <v/>
      </c>
      <c r="AH671" s="28" t="str">
        <f t="shared" si="117"/>
        <v/>
      </c>
      <c r="AI671" s="7" t="str">
        <f t="shared" si="118"/>
        <v/>
      </c>
      <c r="AJ671" s="22" t="str">
        <f t="shared" si="119"/>
        <v/>
      </c>
      <c r="AK671" s="29" t="str">
        <f t="shared" si="120"/>
        <v/>
      </c>
      <c r="AL671" s="10"/>
    </row>
    <row r="672" spans="1:38">
      <c r="A672" s="19">
        <f>IF('Supplier selection'!A672="","",'Supplier selection'!A672)</f>
        <v>668</v>
      </c>
      <c r="B672" s="19" t="str">
        <f>IF('Supplier selection'!B672="","",'Supplier selection'!B672)</f>
        <v/>
      </c>
      <c r="C672" s="19" t="str">
        <f>IF('Supplier selection'!C672="","",'Supplier selection'!C672)</f>
        <v/>
      </c>
      <c r="D672" s="19" t="str">
        <f>IF('Supplier selection'!D672="","",'Supplier selection'!D672)</f>
        <v/>
      </c>
      <c r="E672" s="19" t="str">
        <f>IF('Supplier selection'!E672="","",'Supplier selection'!E672)</f>
        <v/>
      </c>
      <c r="F672" s="19" t="str">
        <f>IF('Supplier selection'!F672="","",'Supplier selection'!F672)</f>
        <v/>
      </c>
      <c r="G672" s="19" t="str">
        <f>IF('Supplier selection'!G672="","",'Supplier selection'!G672)</f>
        <v/>
      </c>
      <c r="H672" s="19" t="str">
        <f>IF('Supplier selection'!H672="","",'Supplier selection'!H672)</f>
        <v/>
      </c>
      <c r="I672" s="19" t="str">
        <f>IF('Supplier selection'!I672="","",'Supplier selection'!I672)</f>
        <v/>
      </c>
      <c r="J672" s="19" t="str">
        <f>IF('Supplier selection'!J672="","",'Supplier selection'!J672)</f>
        <v/>
      </c>
      <c r="K672" s="19" t="str">
        <f>IF('Supplier selection'!K672="","",'Supplier selection'!K672)</f>
        <v/>
      </c>
      <c r="L672" s="19" t="str">
        <f>IF('Supplier selection'!L672="","",'Supplier selection'!L672)</f>
        <v/>
      </c>
      <c r="M672" s="19" t="str">
        <f>IF('Supplier selection'!M672="","",'Supplier selection'!M672)</f>
        <v/>
      </c>
      <c r="N672" s="19" t="str">
        <f>IF('Supplier selection'!N672="","",'Supplier selection'!N672)</f>
        <v/>
      </c>
      <c r="O672" s="19" t="str">
        <f>IF('Supplier selection'!O672="","",'Supplier selection'!O672)</f>
        <v/>
      </c>
      <c r="Q672" s="19" t="str">
        <f>HLOOKUP($Q$3,'Supplier selection'!$AW$4:'Supplier selection'!$CT$1000,$A673,FALSE)</f>
        <v/>
      </c>
      <c r="R672" s="22" t="str">
        <f t="shared" si="110"/>
        <v/>
      </c>
      <c r="S672" s="19" t="str">
        <f t="shared" si="111"/>
        <v/>
      </c>
      <c r="T672" s="22" t="str">
        <f t="shared" si="112"/>
        <v/>
      </c>
      <c r="U672" s="19" t="str">
        <f t="shared" si="113"/>
        <v/>
      </c>
      <c r="V672" s="7"/>
      <c r="Y672" s="19" t="str">
        <f>IF('Supplier selection'!AQ672="","",'Supplier selection'!AQ672)</f>
        <v/>
      </c>
      <c r="Z672" s="19" t="str">
        <f>IF('Supplier selection'!AR672="","",'Supplier selection'!AR672)</f>
        <v/>
      </c>
      <c r="AA672" s="19" t="str">
        <f t="shared" si="114"/>
        <v/>
      </c>
      <c r="AD672" s="26" t="str">
        <f>IF(AND('Supplier selection'!X672="",'Supplier selection'!AE672=""),"",IF('Supplier selection'!X672="",'Supplier selection'!AE672,'Supplier selection'!X672))</f>
        <v/>
      </c>
      <c r="AE672" s="19" t="str">
        <f t="shared" si="115"/>
        <v/>
      </c>
      <c r="AF672" s="19" t="str">
        <f t="shared" si="116"/>
        <v/>
      </c>
      <c r="AG672" s="27" t="str">
        <f>IF(AND('Supplier selection'!AB672="",'Supplier selection'!AI672=""),"",IF('Supplier selection'!AB672="",'Supplier selection'!AI672,'Supplier selection'!AB672))</f>
        <v/>
      </c>
      <c r="AH672" s="28" t="str">
        <f t="shared" si="117"/>
        <v/>
      </c>
      <c r="AI672" s="7" t="str">
        <f t="shared" si="118"/>
        <v/>
      </c>
      <c r="AJ672" s="22" t="str">
        <f t="shared" si="119"/>
        <v/>
      </c>
      <c r="AK672" s="29" t="str">
        <f t="shared" si="120"/>
        <v/>
      </c>
      <c r="AL672" s="10"/>
    </row>
    <row r="673" spans="1:38">
      <c r="A673" s="19">
        <f>IF('Supplier selection'!A673="","",'Supplier selection'!A673)</f>
        <v>669</v>
      </c>
      <c r="B673" s="19" t="str">
        <f>IF('Supplier selection'!B673="","",'Supplier selection'!B673)</f>
        <v/>
      </c>
      <c r="C673" s="19" t="str">
        <f>IF('Supplier selection'!C673="","",'Supplier selection'!C673)</f>
        <v/>
      </c>
      <c r="D673" s="19" t="str">
        <f>IF('Supplier selection'!D673="","",'Supplier selection'!D673)</f>
        <v/>
      </c>
      <c r="E673" s="19" t="str">
        <f>IF('Supplier selection'!E673="","",'Supplier selection'!E673)</f>
        <v/>
      </c>
      <c r="F673" s="19" t="str">
        <f>IF('Supplier selection'!F673="","",'Supplier selection'!F673)</f>
        <v/>
      </c>
      <c r="G673" s="19" t="str">
        <f>IF('Supplier selection'!G673="","",'Supplier selection'!G673)</f>
        <v/>
      </c>
      <c r="H673" s="19" t="str">
        <f>IF('Supplier selection'!H673="","",'Supplier selection'!H673)</f>
        <v/>
      </c>
      <c r="I673" s="19" t="str">
        <f>IF('Supplier selection'!I673="","",'Supplier selection'!I673)</f>
        <v/>
      </c>
      <c r="J673" s="19" t="str">
        <f>IF('Supplier selection'!J673="","",'Supplier selection'!J673)</f>
        <v/>
      </c>
      <c r="K673" s="19" t="str">
        <f>IF('Supplier selection'!K673="","",'Supplier selection'!K673)</f>
        <v/>
      </c>
      <c r="L673" s="19" t="str">
        <f>IF('Supplier selection'!L673="","",'Supplier selection'!L673)</f>
        <v/>
      </c>
      <c r="M673" s="19" t="str">
        <f>IF('Supplier selection'!M673="","",'Supplier selection'!M673)</f>
        <v/>
      </c>
      <c r="N673" s="19" t="str">
        <f>IF('Supplier selection'!N673="","",'Supplier selection'!N673)</f>
        <v/>
      </c>
      <c r="O673" s="19" t="str">
        <f>IF('Supplier selection'!O673="","",'Supplier selection'!O673)</f>
        <v/>
      </c>
      <c r="Q673" s="19" t="str">
        <f>HLOOKUP($Q$3,'Supplier selection'!$AW$4:'Supplier selection'!$CT$1000,$A674,FALSE)</f>
        <v/>
      </c>
      <c r="R673" s="22" t="str">
        <f t="shared" si="110"/>
        <v/>
      </c>
      <c r="S673" s="19" t="str">
        <f t="shared" si="111"/>
        <v/>
      </c>
      <c r="T673" s="22" t="str">
        <f t="shared" si="112"/>
        <v/>
      </c>
      <c r="U673" s="19" t="str">
        <f t="shared" si="113"/>
        <v/>
      </c>
      <c r="V673" s="7"/>
      <c r="Y673" s="19" t="str">
        <f>IF('Supplier selection'!AQ673="","",'Supplier selection'!AQ673)</f>
        <v/>
      </c>
      <c r="Z673" s="19" t="str">
        <f>IF('Supplier selection'!AR673="","",'Supplier selection'!AR673)</f>
        <v/>
      </c>
      <c r="AA673" s="19" t="str">
        <f t="shared" si="114"/>
        <v/>
      </c>
      <c r="AD673" s="26" t="str">
        <f>IF(AND('Supplier selection'!X673="",'Supplier selection'!AE673=""),"",IF('Supplier selection'!X673="",'Supplier selection'!AE673,'Supplier selection'!X673))</f>
        <v/>
      </c>
      <c r="AE673" s="19" t="str">
        <f t="shared" si="115"/>
        <v/>
      </c>
      <c r="AF673" s="19" t="str">
        <f t="shared" si="116"/>
        <v/>
      </c>
      <c r="AG673" s="27" t="str">
        <f>IF(AND('Supplier selection'!AB673="",'Supplier selection'!AI673=""),"",IF('Supplier selection'!AB673="",'Supplier selection'!AI673,'Supplier selection'!AB673))</f>
        <v/>
      </c>
      <c r="AH673" s="28" t="str">
        <f t="shared" si="117"/>
        <v/>
      </c>
      <c r="AI673" s="7" t="str">
        <f t="shared" si="118"/>
        <v/>
      </c>
      <c r="AJ673" s="22" t="str">
        <f t="shared" si="119"/>
        <v/>
      </c>
      <c r="AK673" s="29" t="str">
        <f t="shared" si="120"/>
        <v/>
      </c>
      <c r="AL673" s="10"/>
    </row>
    <row r="674" spans="1:38">
      <c r="A674" s="19">
        <f>IF('Supplier selection'!A674="","",'Supplier selection'!A674)</f>
        <v>670</v>
      </c>
      <c r="B674" s="19" t="str">
        <f>IF('Supplier selection'!B674="","",'Supplier selection'!B674)</f>
        <v/>
      </c>
      <c r="C674" s="19" t="str">
        <f>IF('Supplier selection'!C674="","",'Supplier selection'!C674)</f>
        <v/>
      </c>
      <c r="D674" s="19" t="str">
        <f>IF('Supplier selection'!D674="","",'Supplier selection'!D674)</f>
        <v/>
      </c>
      <c r="E674" s="19" t="str">
        <f>IF('Supplier selection'!E674="","",'Supplier selection'!E674)</f>
        <v/>
      </c>
      <c r="F674" s="19" t="str">
        <f>IF('Supplier selection'!F674="","",'Supplier selection'!F674)</f>
        <v/>
      </c>
      <c r="G674" s="19" t="str">
        <f>IF('Supplier selection'!G674="","",'Supplier selection'!G674)</f>
        <v/>
      </c>
      <c r="H674" s="19" t="str">
        <f>IF('Supplier selection'!H674="","",'Supplier selection'!H674)</f>
        <v/>
      </c>
      <c r="I674" s="19" t="str">
        <f>IF('Supplier selection'!I674="","",'Supplier selection'!I674)</f>
        <v/>
      </c>
      <c r="J674" s="19" t="str">
        <f>IF('Supplier selection'!J674="","",'Supplier selection'!J674)</f>
        <v/>
      </c>
      <c r="K674" s="19" t="str">
        <f>IF('Supplier selection'!K674="","",'Supplier selection'!K674)</f>
        <v/>
      </c>
      <c r="L674" s="19" t="str">
        <f>IF('Supplier selection'!L674="","",'Supplier selection'!L674)</f>
        <v/>
      </c>
      <c r="M674" s="19" t="str">
        <f>IF('Supplier selection'!M674="","",'Supplier selection'!M674)</f>
        <v/>
      </c>
      <c r="N674" s="19" t="str">
        <f>IF('Supplier selection'!N674="","",'Supplier selection'!N674)</f>
        <v/>
      </c>
      <c r="O674" s="19" t="str">
        <f>IF('Supplier selection'!O674="","",'Supplier selection'!O674)</f>
        <v/>
      </c>
      <c r="Q674" s="19" t="str">
        <f>HLOOKUP($Q$3,'Supplier selection'!$AW$4:'Supplier selection'!$CT$1000,$A675,FALSE)</f>
        <v/>
      </c>
      <c r="R674" s="22" t="str">
        <f t="shared" si="110"/>
        <v/>
      </c>
      <c r="S674" s="19" t="str">
        <f t="shared" si="111"/>
        <v/>
      </c>
      <c r="T674" s="22" t="str">
        <f t="shared" si="112"/>
        <v/>
      </c>
      <c r="U674" s="19" t="str">
        <f t="shared" si="113"/>
        <v/>
      </c>
      <c r="V674" s="7"/>
      <c r="Y674" s="19" t="str">
        <f>IF('Supplier selection'!AQ674="","",'Supplier selection'!AQ674)</f>
        <v/>
      </c>
      <c r="Z674" s="19" t="str">
        <f>IF('Supplier selection'!AR674="","",'Supplier selection'!AR674)</f>
        <v/>
      </c>
      <c r="AA674" s="19" t="str">
        <f t="shared" si="114"/>
        <v/>
      </c>
      <c r="AD674" s="26" t="str">
        <f>IF(AND('Supplier selection'!X674="",'Supplier selection'!AE674=""),"",IF('Supplier selection'!X674="",'Supplier selection'!AE674,'Supplier selection'!X674))</f>
        <v/>
      </c>
      <c r="AE674" s="19" t="str">
        <f t="shared" si="115"/>
        <v/>
      </c>
      <c r="AF674" s="19" t="str">
        <f t="shared" si="116"/>
        <v/>
      </c>
      <c r="AG674" s="27" t="str">
        <f>IF(AND('Supplier selection'!AB674="",'Supplier selection'!AI674=""),"",IF('Supplier selection'!AB674="",'Supplier selection'!AI674,'Supplier selection'!AB674))</f>
        <v/>
      </c>
      <c r="AH674" s="28" t="str">
        <f t="shared" si="117"/>
        <v/>
      </c>
      <c r="AI674" s="7" t="str">
        <f t="shared" si="118"/>
        <v/>
      </c>
      <c r="AJ674" s="22" t="str">
        <f t="shared" si="119"/>
        <v/>
      </c>
      <c r="AK674" s="29" t="str">
        <f t="shared" si="120"/>
        <v/>
      </c>
      <c r="AL674" s="10"/>
    </row>
    <row r="675" spans="1:38">
      <c r="A675" s="19">
        <f>IF('Supplier selection'!A675="","",'Supplier selection'!A675)</f>
        <v>671</v>
      </c>
      <c r="B675" s="19" t="str">
        <f>IF('Supplier selection'!B675="","",'Supplier selection'!B675)</f>
        <v/>
      </c>
      <c r="C675" s="19" t="str">
        <f>IF('Supplier selection'!C675="","",'Supplier selection'!C675)</f>
        <v/>
      </c>
      <c r="D675" s="19" t="str">
        <f>IF('Supplier selection'!D675="","",'Supplier selection'!D675)</f>
        <v/>
      </c>
      <c r="E675" s="19" t="str">
        <f>IF('Supplier selection'!E675="","",'Supplier selection'!E675)</f>
        <v/>
      </c>
      <c r="F675" s="19" t="str">
        <f>IF('Supplier selection'!F675="","",'Supplier selection'!F675)</f>
        <v/>
      </c>
      <c r="G675" s="19" t="str">
        <f>IF('Supplier selection'!G675="","",'Supplier selection'!G675)</f>
        <v/>
      </c>
      <c r="H675" s="19" t="str">
        <f>IF('Supplier selection'!H675="","",'Supplier selection'!H675)</f>
        <v/>
      </c>
      <c r="I675" s="19" t="str">
        <f>IF('Supplier selection'!I675="","",'Supplier selection'!I675)</f>
        <v/>
      </c>
      <c r="J675" s="19" t="str">
        <f>IF('Supplier selection'!J675="","",'Supplier selection'!J675)</f>
        <v/>
      </c>
      <c r="K675" s="19" t="str">
        <f>IF('Supplier selection'!K675="","",'Supplier selection'!K675)</f>
        <v/>
      </c>
      <c r="L675" s="19" t="str">
        <f>IF('Supplier selection'!L675="","",'Supplier selection'!L675)</f>
        <v/>
      </c>
      <c r="M675" s="19" t="str">
        <f>IF('Supplier selection'!M675="","",'Supplier selection'!M675)</f>
        <v/>
      </c>
      <c r="N675" s="19" t="str">
        <f>IF('Supplier selection'!N675="","",'Supplier selection'!N675)</f>
        <v/>
      </c>
      <c r="O675" s="19" t="str">
        <f>IF('Supplier selection'!O675="","",'Supplier selection'!O675)</f>
        <v/>
      </c>
      <c r="Q675" s="19" t="str">
        <f>HLOOKUP($Q$3,'Supplier selection'!$AW$4:'Supplier selection'!$CT$1000,$A676,FALSE)</f>
        <v/>
      </c>
      <c r="R675" s="22" t="str">
        <f t="shared" si="110"/>
        <v/>
      </c>
      <c r="S675" s="19" t="str">
        <f t="shared" si="111"/>
        <v/>
      </c>
      <c r="T675" s="22" t="str">
        <f t="shared" si="112"/>
        <v/>
      </c>
      <c r="U675" s="19" t="str">
        <f t="shared" si="113"/>
        <v/>
      </c>
      <c r="V675" s="7"/>
      <c r="Y675" s="19" t="str">
        <f>IF('Supplier selection'!AQ675="","",'Supplier selection'!AQ675)</f>
        <v/>
      </c>
      <c r="Z675" s="19" t="str">
        <f>IF('Supplier selection'!AR675="","",'Supplier selection'!AR675)</f>
        <v/>
      </c>
      <c r="AA675" s="19" t="str">
        <f t="shared" si="114"/>
        <v/>
      </c>
      <c r="AD675" s="26" t="str">
        <f>IF(AND('Supplier selection'!X675="",'Supplier selection'!AE675=""),"",IF('Supplier selection'!X675="",'Supplier selection'!AE675,'Supplier selection'!X675))</f>
        <v/>
      </c>
      <c r="AE675" s="19" t="str">
        <f t="shared" si="115"/>
        <v/>
      </c>
      <c r="AF675" s="19" t="str">
        <f t="shared" si="116"/>
        <v/>
      </c>
      <c r="AG675" s="27" t="str">
        <f>IF(AND('Supplier selection'!AB675="",'Supplier selection'!AI675=""),"",IF('Supplier selection'!AB675="",'Supplier selection'!AI675,'Supplier selection'!AB675))</f>
        <v/>
      </c>
      <c r="AH675" s="28" t="str">
        <f t="shared" si="117"/>
        <v/>
      </c>
      <c r="AI675" s="7" t="str">
        <f t="shared" si="118"/>
        <v/>
      </c>
      <c r="AJ675" s="22" t="str">
        <f t="shared" si="119"/>
        <v/>
      </c>
      <c r="AK675" s="29" t="str">
        <f t="shared" si="120"/>
        <v/>
      </c>
      <c r="AL675" s="10"/>
    </row>
    <row r="676" spans="1:38">
      <c r="A676" s="19">
        <f>IF('Supplier selection'!A676="","",'Supplier selection'!A676)</f>
        <v>672</v>
      </c>
      <c r="B676" s="19" t="str">
        <f>IF('Supplier selection'!B676="","",'Supplier selection'!B676)</f>
        <v/>
      </c>
      <c r="C676" s="19" t="str">
        <f>IF('Supplier selection'!C676="","",'Supplier selection'!C676)</f>
        <v/>
      </c>
      <c r="D676" s="19" t="str">
        <f>IF('Supplier selection'!D676="","",'Supplier selection'!D676)</f>
        <v/>
      </c>
      <c r="E676" s="19" t="str">
        <f>IF('Supplier selection'!E676="","",'Supplier selection'!E676)</f>
        <v/>
      </c>
      <c r="F676" s="19" t="str">
        <f>IF('Supplier selection'!F676="","",'Supplier selection'!F676)</f>
        <v/>
      </c>
      <c r="G676" s="19" t="str">
        <f>IF('Supplier selection'!G676="","",'Supplier selection'!G676)</f>
        <v/>
      </c>
      <c r="H676" s="19" t="str">
        <f>IF('Supplier selection'!H676="","",'Supplier selection'!H676)</f>
        <v/>
      </c>
      <c r="I676" s="19" t="str">
        <f>IF('Supplier selection'!I676="","",'Supplier selection'!I676)</f>
        <v/>
      </c>
      <c r="J676" s="19" t="str">
        <f>IF('Supplier selection'!J676="","",'Supplier selection'!J676)</f>
        <v/>
      </c>
      <c r="K676" s="19" t="str">
        <f>IF('Supplier selection'!K676="","",'Supplier selection'!K676)</f>
        <v/>
      </c>
      <c r="L676" s="19" t="str">
        <f>IF('Supplier selection'!L676="","",'Supplier selection'!L676)</f>
        <v/>
      </c>
      <c r="M676" s="19" t="str">
        <f>IF('Supplier selection'!M676="","",'Supplier selection'!M676)</f>
        <v/>
      </c>
      <c r="N676" s="19" t="str">
        <f>IF('Supplier selection'!N676="","",'Supplier selection'!N676)</f>
        <v/>
      </c>
      <c r="O676" s="19" t="str">
        <f>IF('Supplier selection'!O676="","",'Supplier selection'!O676)</f>
        <v/>
      </c>
      <c r="Q676" s="19" t="str">
        <f>HLOOKUP($Q$3,'Supplier selection'!$AW$4:'Supplier selection'!$CT$1000,$A677,FALSE)</f>
        <v/>
      </c>
      <c r="R676" s="22" t="str">
        <f t="shared" si="110"/>
        <v/>
      </c>
      <c r="S676" s="19" t="str">
        <f t="shared" si="111"/>
        <v/>
      </c>
      <c r="T676" s="22" t="str">
        <f t="shared" si="112"/>
        <v/>
      </c>
      <c r="U676" s="19" t="str">
        <f t="shared" si="113"/>
        <v/>
      </c>
      <c r="V676" s="7"/>
      <c r="Y676" s="19" t="str">
        <f>IF('Supplier selection'!AQ676="","",'Supplier selection'!AQ676)</f>
        <v/>
      </c>
      <c r="Z676" s="19" t="str">
        <f>IF('Supplier selection'!AR676="","",'Supplier selection'!AR676)</f>
        <v/>
      </c>
      <c r="AA676" s="19" t="str">
        <f t="shared" si="114"/>
        <v/>
      </c>
      <c r="AD676" s="26" t="str">
        <f>IF(AND('Supplier selection'!X676="",'Supplier selection'!AE676=""),"",IF('Supplier selection'!X676="",'Supplier selection'!AE676,'Supplier selection'!X676))</f>
        <v/>
      </c>
      <c r="AE676" s="19" t="str">
        <f t="shared" si="115"/>
        <v/>
      </c>
      <c r="AF676" s="19" t="str">
        <f t="shared" si="116"/>
        <v/>
      </c>
      <c r="AG676" s="27" t="str">
        <f>IF(AND('Supplier selection'!AB676="",'Supplier selection'!AI676=""),"",IF('Supplier selection'!AB676="",'Supplier selection'!AI676,'Supplier selection'!AB676))</f>
        <v/>
      </c>
      <c r="AH676" s="28" t="str">
        <f t="shared" si="117"/>
        <v/>
      </c>
      <c r="AI676" s="7" t="str">
        <f t="shared" si="118"/>
        <v/>
      </c>
      <c r="AJ676" s="22" t="str">
        <f t="shared" si="119"/>
        <v/>
      </c>
      <c r="AK676" s="29" t="str">
        <f t="shared" si="120"/>
        <v/>
      </c>
      <c r="AL676" s="10"/>
    </row>
    <row r="677" spans="1:38">
      <c r="A677" s="19">
        <f>IF('Supplier selection'!A677="","",'Supplier selection'!A677)</f>
        <v>673</v>
      </c>
      <c r="B677" s="19" t="str">
        <f>IF('Supplier selection'!B677="","",'Supplier selection'!B677)</f>
        <v/>
      </c>
      <c r="C677" s="19" t="str">
        <f>IF('Supplier selection'!C677="","",'Supplier selection'!C677)</f>
        <v/>
      </c>
      <c r="D677" s="19" t="str">
        <f>IF('Supplier selection'!D677="","",'Supplier selection'!D677)</f>
        <v/>
      </c>
      <c r="E677" s="19" t="str">
        <f>IF('Supplier selection'!E677="","",'Supplier selection'!E677)</f>
        <v/>
      </c>
      <c r="F677" s="19" t="str">
        <f>IF('Supplier selection'!F677="","",'Supplier selection'!F677)</f>
        <v/>
      </c>
      <c r="G677" s="19" t="str">
        <f>IF('Supplier selection'!G677="","",'Supplier selection'!G677)</f>
        <v/>
      </c>
      <c r="H677" s="19" t="str">
        <f>IF('Supplier selection'!H677="","",'Supplier selection'!H677)</f>
        <v/>
      </c>
      <c r="I677" s="19" t="str">
        <f>IF('Supplier selection'!I677="","",'Supplier selection'!I677)</f>
        <v/>
      </c>
      <c r="J677" s="19" t="str">
        <f>IF('Supplier selection'!J677="","",'Supplier selection'!J677)</f>
        <v/>
      </c>
      <c r="K677" s="19" t="str">
        <f>IF('Supplier selection'!K677="","",'Supplier selection'!K677)</f>
        <v/>
      </c>
      <c r="L677" s="19" t="str">
        <f>IF('Supplier selection'!L677="","",'Supplier selection'!L677)</f>
        <v/>
      </c>
      <c r="M677" s="19" t="str">
        <f>IF('Supplier selection'!M677="","",'Supplier selection'!M677)</f>
        <v/>
      </c>
      <c r="N677" s="19" t="str">
        <f>IF('Supplier selection'!N677="","",'Supplier selection'!N677)</f>
        <v/>
      </c>
      <c r="O677" s="19" t="str">
        <f>IF('Supplier selection'!O677="","",'Supplier selection'!O677)</f>
        <v/>
      </c>
      <c r="Q677" s="19" t="str">
        <f>HLOOKUP($Q$3,'Supplier selection'!$AW$4:'Supplier selection'!$CT$1000,$A678,FALSE)</f>
        <v/>
      </c>
      <c r="R677" s="22" t="str">
        <f t="shared" si="110"/>
        <v/>
      </c>
      <c r="S677" s="19" t="str">
        <f t="shared" si="111"/>
        <v/>
      </c>
      <c r="T677" s="22" t="str">
        <f t="shared" si="112"/>
        <v/>
      </c>
      <c r="U677" s="19" t="str">
        <f t="shared" si="113"/>
        <v/>
      </c>
      <c r="V677" s="7"/>
      <c r="Y677" s="19" t="str">
        <f>IF('Supplier selection'!AQ677="","",'Supplier selection'!AQ677)</f>
        <v/>
      </c>
      <c r="Z677" s="19" t="str">
        <f>IF('Supplier selection'!AR677="","",'Supplier selection'!AR677)</f>
        <v/>
      </c>
      <c r="AA677" s="19" t="str">
        <f t="shared" si="114"/>
        <v/>
      </c>
      <c r="AD677" s="26" t="str">
        <f>IF(AND('Supplier selection'!X677="",'Supplier selection'!AE677=""),"",IF('Supplier selection'!X677="",'Supplier selection'!AE677,'Supplier selection'!X677))</f>
        <v/>
      </c>
      <c r="AE677" s="19" t="str">
        <f t="shared" si="115"/>
        <v/>
      </c>
      <c r="AF677" s="19" t="str">
        <f t="shared" si="116"/>
        <v/>
      </c>
      <c r="AG677" s="27" t="str">
        <f>IF(AND('Supplier selection'!AB677="",'Supplier selection'!AI677=""),"",IF('Supplier selection'!AB677="",'Supplier selection'!AI677,'Supplier selection'!AB677))</f>
        <v/>
      </c>
      <c r="AH677" s="28" t="str">
        <f t="shared" si="117"/>
        <v/>
      </c>
      <c r="AI677" s="7" t="str">
        <f t="shared" si="118"/>
        <v/>
      </c>
      <c r="AJ677" s="22" t="str">
        <f t="shared" si="119"/>
        <v/>
      </c>
      <c r="AK677" s="29" t="str">
        <f t="shared" si="120"/>
        <v/>
      </c>
      <c r="AL677" s="10"/>
    </row>
    <row r="678" spans="1:38">
      <c r="A678" s="19">
        <f>IF('Supplier selection'!A678="","",'Supplier selection'!A678)</f>
        <v>674</v>
      </c>
      <c r="B678" s="19" t="str">
        <f>IF('Supplier selection'!B678="","",'Supplier selection'!B678)</f>
        <v/>
      </c>
      <c r="C678" s="19" t="str">
        <f>IF('Supplier selection'!C678="","",'Supplier selection'!C678)</f>
        <v/>
      </c>
      <c r="D678" s="19" t="str">
        <f>IF('Supplier selection'!D678="","",'Supplier selection'!D678)</f>
        <v/>
      </c>
      <c r="E678" s="19" t="str">
        <f>IF('Supplier selection'!E678="","",'Supplier selection'!E678)</f>
        <v/>
      </c>
      <c r="F678" s="19" t="str">
        <f>IF('Supplier selection'!F678="","",'Supplier selection'!F678)</f>
        <v/>
      </c>
      <c r="G678" s="19" t="str">
        <f>IF('Supplier selection'!G678="","",'Supplier selection'!G678)</f>
        <v/>
      </c>
      <c r="H678" s="19" t="str">
        <f>IF('Supplier selection'!H678="","",'Supplier selection'!H678)</f>
        <v/>
      </c>
      <c r="I678" s="19" t="str">
        <f>IF('Supplier selection'!I678="","",'Supplier selection'!I678)</f>
        <v/>
      </c>
      <c r="J678" s="19" t="str">
        <f>IF('Supplier selection'!J678="","",'Supplier selection'!J678)</f>
        <v/>
      </c>
      <c r="K678" s="19" t="str">
        <f>IF('Supplier selection'!K678="","",'Supplier selection'!K678)</f>
        <v/>
      </c>
      <c r="L678" s="19" t="str">
        <f>IF('Supplier selection'!L678="","",'Supplier selection'!L678)</f>
        <v/>
      </c>
      <c r="M678" s="19" t="str">
        <f>IF('Supplier selection'!M678="","",'Supplier selection'!M678)</f>
        <v/>
      </c>
      <c r="N678" s="19" t="str">
        <f>IF('Supplier selection'!N678="","",'Supplier selection'!N678)</f>
        <v/>
      </c>
      <c r="O678" s="19" t="str">
        <f>IF('Supplier selection'!O678="","",'Supplier selection'!O678)</f>
        <v/>
      </c>
      <c r="Q678" s="19" t="str">
        <f>HLOOKUP($Q$3,'Supplier selection'!$AW$4:'Supplier selection'!$CT$1000,$A679,FALSE)</f>
        <v/>
      </c>
      <c r="R678" s="22" t="str">
        <f t="shared" si="110"/>
        <v/>
      </c>
      <c r="S678" s="19" t="str">
        <f t="shared" si="111"/>
        <v/>
      </c>
      <c r="T678" s="22" t="str">
        <f t="shared" si="112"/>
        <v/>
      </c>
      <c r="U678" s="19" t="str">
        <f t="shared" si="113"/>
        <v/>
      </c>
      <c r="V678" s="7"/>
      <c r="Y678" s="19" t="str">
        <f>IF('Supplier selection'!AQ678="","",'Supplier selection'!AQ678)</f>
        <v/>
      </c>
      <c r="Z678" s="19" t="str">
        <f>IF('Supplier selection'!AR678="","",'Supplier selection'!AR678)</f>
        <v/>
      </c>
      <c r="AA678" s="19" t="str">
        <f t="shared" si="114"/>
        <v/>
      </c>
      <c r="AD678" s="26" t="str">
        <f>IF(AND('Supplier selection'!X678="",'Supplier selection'!AE678=""),"",IF('Supplier selection'!X678="",'Supplier selection'!AE678,'Supplier selection'!X678))</f>
        <v/>
      </c>
      <c r="AE678" s="19" t="str">
        <f t="shared" si="115"/>
        <v/>
      </c>
      <c r="AF678" s="19" t="str">
        <f t="shared" si="116"/>
        <v/>
      </c>
      <c r="AG678" s="27" t="str">
        <f>IF(AND('Supplier selection'!AB678="",'Supplier selection'!AI678=""),"",IF('Supplier selection'!AB678="",'Supplier selection'!AI678,'Supplier selection'!AB678))</f>
        <v/>
      </c>
      <c r="AH678" s="28" t="str">
        <f t="shared" si="117"/>
        <v/>
      </c>
      <c r="AI678" s="7" t="str">
        <f t="shared" si="118"/>
        <v/>
      </c>
      <c r="AJ678" s="22" t="str">
        <f t="shared" si="119"/>
        <v/>
      </c>
      <c r="AK678" s="29" t="str">
        <f t="shared" si="120"/>
        <v/>
      </c>
      <c r="AL678" s="10"/>
    </row>
    <row r="679" spans="1:38">
      <c r="A679" s="19">
        <f>IF('Supplier selection'!A679="","",'Supplier selection'!A679)</f>
        <v>675</v>
      </c>
      <c r="B679" s="19" t="str">
        <f>IF('Supplier selection'!B679="","",'Supplier selection'!B679)</f>
        <v/>
      </c>
      <c r="C679" s="19" t="str">
        <f>IF('Supplier selection'!C679="","",'Supplier selection'!C679)</f>
        <v/>
      </c>
      <c r="D679" s="19" t="str">
        <f>IF('Supplier selection'!D679="","",'Supplier selection'!D679)</f>
        <v/>
      </c>
      <c r="E679" s="19" t="str">
        <f>IF('Supplier selection'!E679="","",'Supplier selection'!E679)</f>
        <v/>
      </c>
      <c r="F679" s="19" t="str">
        <f>IF('Supplier selection'!F679="","",'Supplier selection'!F679)</f>
        <v/>
      </c>
      <c r="G679" s="19" t="str">
        <f>IF('Supplier selection'!G679="","",'Supplier selection'!G679)</f>
        <v/>
      </c>
      <c r="H679" s="19" t="str">
        <f>IF('Supplier selection'!H679="","",'Supplier selection'!H679)</f>
        <v/>
      </c>
      <c r="I679" s="19" t="str">
        <f>IF('Supplier selection'!I679="","",'Supplier selection'!I679)</f>
        <v/>
      </c>
      <c r="J679" s="19" t="str">
        <f>IF('Supplier selection'!J679="","",'Supplier selection'!J679)</f>
        <v/>
      </c>
      <c r="K679" s="19" t="str">
        <f>IF('Supplier selection'!K679="","",'Supplier selection'!K679)</f>
        <v/>
      </c>
      <c r="L679" s="19" t="str">
        <f>IF('Supplier selection'!L679="","",'Supplier selection'!L679)</f>
        <v/>
      </c>
      <c r="M679" s="19" t="str">
        <f>IF('Supplier selection'!M679="","",'Supplier selection'!M679)</f>
        <v/>
      </c>
      <c r="N679" s="19" t="str">
        <f>IF('Supplier selection'!N679="","",'Supplier selection'!N679)</f>
        <v/>
      </c>
      <c r="O679" s="19" t="str">
        <f>IF('Supplier selection'!O679="","",'Supplier selection'!O679)</f>
        <v/>
      </c>
      <c r="Q679" s="19" t="str">
        <f>HLOOKUP($Q$3,'Supplier selection'!$AW$4:'Supplier selection'!$CT$1000,$A680,FALSE)</f>
        <v/>
      </c>
      <c r="R679" s="22" t="str">
        <f t="shared" si="110"/>
        <v/>
      </c>
      <c r="S679" s="19" t="str">
        <f t="shared" si="111"/>
        <v/>
      </c>
      <c r="T679" s="22" t="str">
        <f t="shared" si="112"/>
        <v/>
      </c>
      <c r="U679" s="19" t="str">
        <f t="shared" si="113"/>
        <v/>
      </c>
      <c r="V679" s="7"/>
      <c r="Y679" s="19" t="str">
        <f>IF('Supplier selection'!AQ679="","",'Supplier selection'!AQ679)</f>
        <v/>
      </c>
      <c r="Z679" s="19" t="str">
        <f>IF('Supplier selection'!AR679="","",'Supplier selection'!AR679)</f>
        <v/>
      </c>
      <c r="AA679" s="19" t="str">
        <f t="shared" si="114"/>
        <v/>
      </c>
      <c r="AD679" s="26" t="str">
        <f>IF(AND('Supplier selection'!X679="",'Supplier selection'!AE679=""),"",IF('Supplier selection'!X679="",'Supplier selection'!AE679,'Supplier selection'!X679))</f>
        <v/>
      </c>
      <c r="AE679" s="19" t="str">
        <f t="shared" si="115"/>
        <v/>
      </c>
      <c r="AF679" s="19" t="str">
        <f t="shared" si="116"/>
        <v/>
      </c>
      <c r="AG679" s="27" t="str">
        <f>IF(AND('Supplier selection'!AB679="",'Supplier selection'!AI679=""),"",IF('Supplier selection'!AB679="",'Supplier selection'!AI679,'Supplier selection'!AB679))</f>
        <v/>
      </c>
      <c r="AH679" s="28" t="str">
        <f t="shared" si="117"/>
        <v/>
      </c>
      <c r="AI679" s="7" t="str">
        <f t="shared" si="118"/>
        <v/>
      </c>
      <c r="AJ679" s="22" t="str">
        <f t="shared" si="119"/>
        <v/>
      </c>
      <c r="AK679" s="29" t="str">
        <f t="shared" si="120"/>
        <v/>
      </c>
      <c r="AL679" s="10"/>
    </row>
    <row r="680" spans="1:38">
      <c r="A680" s="19">
        <f>IF('Supplier selection'!A680="","",'Supplier selection'!A680)</f>
        <v>676</v>
      </c>
      <c r="B680" s="19" t="str">
        <f>IF('Supplier selection'!B680="","",'Supplier selection'!B680)</f>
        <v/>
      </c>
      <c r="C680" s="19" t="str">
        <f>IF('Supplier selection'!C680="","",'Supplier selection'!C680)</f>
        <v/>
      </c>
      <c r="D680" s="19" t="str">
        <f>IF('Supplier selection'!D680="","",'Supplier selection'!D680)</f>
        <v/>
      </c>
      <c r="E680" s="19" t="str">
        <f>IF('Supplier selection'!E680="","",'Supplier selection'!E680)</f>
        <v/>
      </c>
      <c r="F680" s="19" t="str">
        <f>IF('Supplier selection'!F680="","",'Supplier selection'!F680)</f>
        <v/>
      </c>
      <c r="G680" s="19" t="str">
        <f>IF('Supplier selection'!G680="","",'Supplier selection'!G680)</f>
        <v/>
      </c>
      <c r="H680" s="19" t="str">
        <f>IF('Supplier selection'!H680="","",'Supplier selection'!H680)</f>
        <v/>
      </c>
      <c r="I680" s="19" t="str">
        <f>IF('Supplier selection'!I680="","",'Supplier selection'!I680)</f>
        <v/>
      </c>
      <c r="J680" s="19" t="str">
        <f>IF('Supplier selection'!J680="","",'Supplier selection'!J680)</f>
        <v/>
      </c>
      <c r="K680" s="19" t="str">
        <f>IF('Supplier selection'!K680="","",'Supplier selection'!K680)</f>
        <v/>
      </c>
      <c r="L680" s="19" t="str">
        <f>IF('Supplier selection'!L680="","",'Supplier selection'!L680)</f>
        <v/>
      </c>
      <c r="M680" s="19" t="str">
        <f>IF('Supplier selection'!M680="","",'Supplier selection'!M680)</f>
        <v/>
      </c>
      <c r="N680" s="19" t="str">
        <f>IF('Supplier selection'!N680="","",'Supplier selection'!N680)</f>
        <v/>
      </c>
      <c r="O680" s="19" t="str">
        <f>IF('Supplier selection'!O680="","",'Supplier selection'!O680)</f>
        <v/>
      </c>
      <c r="Q680" s="19" t="str">
        <f>HLOOKUP($Q$3,'Supplier selection'!$AW$4:'Supplier selection'!$CT$1000,$A681,FALSE)</f>
        <v/>
      </c>
      <c r="R680" s="22" t="str">
        <f t="shared" si="110"/>
        <v/>
      </c>
      <c r="S680" s="19" t="str">
        <f t="shared" si="111"/>
        <v/>
      </c>
      <c r="T680" s="22" t="str">
        <f t="shared" si="112"/>
        <v/>
      </c>
      <c r="U680" s="19" t="str">
        <f t="shared" si="113"/>
        <v/>
      </c>
      <c r="V680" s="7"/>
      <c r="Y680" s="19" t="str">
        <f>IF('Supplier selection'!AQ680="","",'Supplier selection'!AQ680)</f>
        <v/>
      </c>
      <c r="Z680" s="19" t="str">
        <f>IF('Supplier selection'!AR680="","",'Supplier selection'!AR680)</f>
        <v/>
      </c>
      <c r="AA680" s="19" t="str">
        <f t="shared" si="114"/>
        <v/>
      </c>
      <c r="AD680" s="26" t="str">
        <f>IF(AND('Supplier selection'!X680="",'Supplier selection'!AE680=""),"",IF('Supplier selection'!X680="",'Supplier selection'!AE680,'Supplier selection'!X680))</f>
        <v/>
      </c>
      <c r="AE680" s="19" t="str">
        <f t="shared" si="115"/>
        <v/>
      </c>
      <c r="AF680" s="19" t="str">
        <f t="shared" si="116"/>
        <v/>
      </c>
      <c r="AG680" s="27" t="str">
        <f>IF(AND('Supplier selection'!AB680="",'Supplier selection'!AI680=""),"",IF('Supplier selection'!AB680="",'Supplier selection'!AI680,'Supplier selection'!AB680))</f>
        <v/>
      </c>
      <c r="AH680" s="28" t="str">
        <f t="shared" si="117"/>
        <v/>
      </c>
      <c r="AI680" s="7" t="str">
        <f t="shared" si="118"/>
        <v/>
      </c>
      <c r="AJ680" s="22" t="str">
        <f t="shared" si="119"/>
        <v/>
      </c>
      <c r="AK680" s="29" t="str">
        <f t="shared" si="120"/>
        <v/>
      </c>
      <c r="AL680" s="10"/>
    </row>
    <row r="681" spans="1:38">
      <c r="A681" s="19">
        <f>IF('Supplier selection'!A681="","",'Supplier selection'!A681)</f>
        <v>677</v>
      </c>
      <c r="B681" s="19" t="str">
        <f>IF('Supplier selection'!B681="","",'Supplier selection'!B681)</f>
        <v/>
      </c>
      <c r="C681" s="19" t="str">
        <f>IF('Supplier selection'!C681="","",'Supplier selection'!C681)</f>
        <v/>
      </c>
      <c r="D681" s="19" t="str">
        <f>IF('Supplier selection'!D681="","",'Supplier selection'!D681)</f>
        <v/>
      </c>
      <c r="E681" s="19" t="str">
        <f>IF('Supplier selection'!E681="","",'Supplier selection'!E681)</f>
        <v/>
      </c>
      <c r="F681" s="19" t="str">
        <f>IF('Supplier selection'!F681="","",'Supplier selection'!F681)</f>
        <v/>
      </c>
      <c r="G681" s="19" t="str">
        <f>IF('Supplier selection'!G681="","",'Supplier selection'!G681)</f>
        <v/>
      </c>
      <c r="H681" s="19" t="str">
        <f>IF('Supplier selection'!H681="","",'Supplier selection'!H681)</f>
        <v/>
      </c>
      <c r="I681" s="19" t="str">
        <f>IF('Supplier selection'!I681="","",'Supplier selection'!I681)</f>
        <v/>
      </c>
      <c r="J681" s="19" t="str">
        <f>IF('Supplier selection'!J681="","",'Supplier selection'!J681)</f>
        <v/>
      </c>
      <c r="K681" s="19" t="str">
        <f>IF('Supplier selection'!K681="","",'Supplier selection'!K681)</f>
        <v/>
      </c>
      <c r="L681" s="19" t="str">
        <f>IF('Supplier selection'!L681="","",'Supplier selection'!L681)</f>
        <v/>
      </c>
      <c r="M681" s="19" t="str">
        <f>IF('Supplier selection'!M681="","",'Supplier selection'!M681)</f>
        <v/>
      </c>
      <c r="N681" s="19" t="str">
        <f>IF('Supplier selection'!N681="","",'Supplier selection'!N681)</f>
        <v/>
      </c>
      <c r="O681" s="19" t="str">
        <f>IF('Supplier selection'!O681="","",'Supplier selection'!O681)</f>
        <v/>
      </c>
      <c r="Q681" s="19" t="str">
        <f>HLOOKUP($Q$3,'Supplier selection'!$AW$4:'Supplier selection'!$CT$1000,$A682,FALSE)</f>
        <v/>
      </c>
      <c r="R681" s="22" t="str">
        <f t="shared" si="110"/>
        <v/>
      </c>
      <c r="S681" s="19" t="str">
        <f t="shared" si="111"/>
        <v/>
      </c>
      <c r="T681" s="22" t="str">
        <f t="shared" si="112"/>
        <v/>
      </c>
      <c r="U681" s="19" t="str">
        <f t="shared" si="113"/>
        <v/>
      </c>
      <c r="V681" s="7"/>
      <c r="Y681" s="19" t="str">
        <f>IF('Supplier selection'!AQ681="","",'Supplier selection'!AQ681)</f>
        <v/>
      </c>
      <c r="Z681" s="19" t="str">
        <f>IF('Supplier selection'!AR681="","",'Supplier selection'!AR681)</f>
        <v/>
      </c>
      <c r="AA681" s="19" t="str">
        <f t="shared" si="114"/>
        <v/>
      </c>
      <c r="AD681" s="26" t="str">
        <f>IF(AND('Supplier selection'!X681="",'Supplier selection'!AE681=""),"",IF('Supplier selection'!X681="",'Supplier selection'!AE681,'Supplier selection'!X681))</f>
        <v/>
      </c>
      <c r="AE681" s="19" t="str">
        <f t="shared" si="115"/>
        <v/>
      </c>
      <c r="AF681" s="19" t="str">
        <f t="shared" si="116"/>
        <v/>
      </c>
      <c r="AG681" s="27" t="str">
        <f>IF(AND('Supplier selection'!AB681="",'Supplier selection'!AI681=""),"",IF('Supplier selection'!AB681="",'Supplier selection'!AI681,'Supplier selection'!AB681))</f>
        <v/>
      </c>
      <c r="AH681" s="28" t="str">
        <f t="shared" si="117"/>
        <v/>
      </c>
      <c r="AI681" s="7" t="str">
        <f t="shared" si="118"/>
        <v/>
      </c>
      <c r="AJ681" s="22" t="str">
        <f t="shared" si="119"/>
        <v/>
      </c>
      <c r="AK681" s="29" t="str">
        <f t="shared" si="120"/>
        <v/>
      </c>
      <c r="AL681" s="10"/>
    </row>
    <row r="682" spans="1:38">
      <c r="A682" s="19">
        <f>IF('Supplier selection'!A682="","",'Supplier selection'!A682)</f>
        <v>678</v>
      </c>
      <c r="B682" s="19" t="str">
        <f>IF('Supplier selection'!B682="","",'Supplier selection'!B682)</f>
        <v/>
      </c>
      <c r="C682" s="19" t="str">
        <f>IF('Supplier selection'!C682="","",'Supplier selection'!C682)</f>
        <v/>
      </c>
      <c r="D682" s="19" t="str">
        <f>IF('Supplier selection'!D682="","",'Supplier selection'!D682)</f>
        <v/>
      </c>
      <c r="E682" s="19" t="str">
        <f>IF('Supplier selection'!E682="","",'Supplier selection'!E682)</f>
        <v/>
      </c>
      <c r="F682" s="19" t="str">
        <f>IF('Supplier selection'!F682="","",'Supplier selection'!F682)</f>
        <v/>
      </c>
      <c r="G682" s="19" t="str">
        <f>IF('Supplier selection'!G682="","",'Supplier selection'!G682)</f>
        <v/>
      </c>
      <c r="H682" s="19" t="str">
        <f>IF('Supplier selection'!H682="","",'Supplier selection'!H682)</f>
        <v/>
      </c>
      <c r="I682" s="19" t="str">
        <f>IF('Supplier selection'!I682="","",'Supplier selection'!I682)</f>
        <v/>
      </c>
      <c r="J682" s="19" t="str">
        <f>IF('Supplier selection'!J682="","",'Supplier selection'!J682)</f>
        <v/>
      </c>
      <c r="K682" s="19" t="str">
        <f>IF('Supplier selection'!K682="","",'Supplier selection'!K682)</f>
        <v/>
      </c>
      <c r="L682" s="19" t="str">
        <f>IF('Supplier selection'!L682="","",'Supplier selection'!L682)</f>
        <v/>
      </c>
      <c r="M682" s="19" t="str">
        <f>IF('Supplier selection'!M682="","",'Supplier selection'!M682)</f>
        <v/>
      </c>
      <c r="N682" s="19" t="str">
        <f>IF('Supplier selection'!N682="","",'Supplier selection'!N682)</f>
        <v/>
      </c>
      <c r="O682" s="19" t="str">
        <f>IF('Supplier selection'!O682="","",'Supplier selection'!O682)</f>
        <v/>
      </c>
      <c r="Q682" s="19" t="str">
        <f>HLOOKUP($Q$3,'Supplier selection'!$AW$4:'Supplier selection'!$CT$1000,$A683,FALSE)</f>
        <v/>
      </c>
      <c r="R682" s="22" t="str">
        <f t="shared" si="110"/>
        <v/>
      </c>
      <c r="S682" s="19" t="str">
        <f t="shared" si="111"/>
        <v/>
      </c>
      <c r="T682" s="22" t="str">
        <f t="shared" si="112"/>
        <v/>
      </c>
      <c r="U682" s="19" t="str">
        <f t="shared" si="113"/>
        <v/>
      </c>
      <c r="V682" s="7"/>
      <c r="Y682" s="19" t="str">
        <f>IF('Supplier selection'!AQ682="","",'Supplier selection'!AQ682)</f>
        <v/>
      </c>
      <c r="Z682" s="19" t="str">
        <f>IF('Supplier selection'!AR682="","",'Supplier selection'!AR682)</f>
        <v/>
      </c>
      <c r="AA682" s="19" t="str">
        <f t="shared" si="114"/>
        <v/>
      </c>
      <c r="AD682" s="26" t="str">
        <f>IF(AND('Supplier selection'!X682="",'Supplier selection'!AE682=""),"",IF('Supplier selection'!X682="",'Supplier selection'!AE682,'Supplier selection'!X682))</f>
        <v/>
      </c>
      <c r="AE682" s="19" t="str">
        <f t="shared" si="115"/>
        <v/>
      </c>
      <c r="AF682" s="19" t="str">
        <f t="shared" si="116"/>
        <v/>
      </c>
      <c r="AG682" s="27" t="str">
        <f>IF(AND('Supplier selection'!AB682="",'Supplier selection'!AI682=""),"",IF('Supplier selection'!AB682="",'Supplier selection'!AI682,'Supplier selection'!AB682))</f>
        <v/>
      </c>
      <c r="AH682" s="28" t="str">
        <f t="shared" si="117"/>
        <v/>
      </c>
      <c r="AI682" s="7" t="str">
        <f t="shared" si="118"/>
        <v/>
      </c>
      <c r="AJ682" s="22" t="str">
        <f t="shared" si="119"/>
        <v/>
      </c>
      <c r="AK682" s="29" t="str">
        <f t="shared" si="120"/>
        <v/>
      </c>
      <c r="AL682" s="10"/>
    </row>
    <row r="683" spans="1:38">
      <c r="A683" s="19">
        <f>IF('Supplier selection'!A683="","",'Supplier selection'!A683)</f>
        <v>679</v>
      </c>
      <c r="B683" s="19" t="str">
        <f>IF('Supplier selection'!B683="","",'Supplier selection'!B683)</f>
        <v/>
      </c>
      <c r="C683" s="19" t="str">
        <f>IF('Supplier selection'!C683="","",'Supplier selection'!C683)</f>
        <v/>
      </c>
      <c r="D683" s="19" t="str">
        <f>IF('Supplier selection'!D683="","",'Supplier selection'!D683)</f>
        <v/>
      </c>
      <c r="E683" s="19" t="str">
        <f>IF('Supplier selection'!E683="","",'Supplier selection'!E683)</f>
        <v/>
      </c>
      <c r="F683" s="19" t="str">
        <f>IF('Supplier selection'!F683="","",'Supplier selection'!F683)</f>
        <v/>
      </c>
      <c r="G683" s="19" t="str">
        <f>IF('Supplier selection'!G683="","",'Supplier selection'!G683)</f>
        <v/>
      </c>
      <c r="H683" s="19" t="str">
        <f>IF('Supplier selection'!H683="","",'Supplier selection'!H683)</f>
        <v/>
      </c>
      <c r="I683" s="19" t="str">
        <f>IF('Supplier selection'!I683="","",'Supplier selection'!I683)</f>
        <v/>
      </c>
      <c r="J683" s="19" t="str">
        <f>IF('Supplier selection'!J683="","",'Supplier selection'!J683)</f>
        <v/>
      </c>
      <c r="K683" s="19" t="str">
        <f>IF('Supplier selection'!K683="","",'Supplier selection'!K683)</f>
        <v/>
      </c>
      <c r="L683" s="19" t="str">
        <f>IF('Supplier selection'!L683="","",'Supplier selection'!L683)</f>
        <v/>
      </c>
      <c r="M683" s="19" t="str">
        <f>IF('Supplier selection'!M683="","",'Supplier selection'!M683)</f>
        <v/>
      </c>
      <c r="N683" s="19" t="str">
        <f>IF('Supplier selection'!N683="","",'Supplier selection'!N683)</f>
        <v/>
      </c>
      <c r="O683" s="19" t="str">
        <f>IF('Supplier selection'!O683="","",'Supplier selection'!O683)</f>
        <v/>
      </c>
      <c r="Q683" s="19" t="str">
        <f>HLOOKUP($Q$3,'Supplier selection'!$AW$4:'Supplier selection'!$CT$1000,$A684,FALSE)</f>
        <v/>
      </c>
      <c r="R683" s="22" t="str">
        <f t="shared" si="110"/>
        <v/>
      </c>
      <c r="S683" s="19" t="str">
        <f t="shared" si="111"/>
        <v/>
      </c>
      <c r="T683" s="22" t="str">
        <f t="shared" si="112"/>
        <v/>
      </c>
      <c r="U683" s="19" t="str">
        <f t="shared" si="113"/>
        <v/>
      </c>
      <c r="V683" s="7"/>
      <c r="Y683" s="19" t="str">
        <f>IF('Supplier selection'!AQ683="","",'Supplier selection'!AQ683)</f>
        <v/>
      </c>
      <c r="Z683" s="19" t="str">
        <f>IF('Supplier selection'!AR683="","",'Supplier selection'!AR683)</f>
        <v/>
      </c>
      <c r="AA683" s="19" t="str">
        <f t="shared" si="114"/>
        <v/>
      </c>
      <c r="AD683" s="26" t="str">
        <f>IF(AND('Supplier selection'!X683="",'Supplier selection'!AE683=""),"",IF('Supplier selection'!X683="",'Supplier selection'!AE683,'Supplier selection'!X683))</f>
        <v/>
      </c>
      <c r="AE683" s="19" t="str">
        <f t="shared" si="115"/>
        <v/>
      </c>
      <c r="AF683" s="19" t="str">
        <f t="shared" si="116"/>
        <v/>
      </c>
      <c r="AG683" s="27" t="str">
        <f>IF(AND('Supplier selection'!AB683="",'Supplier selection'!AI683=""),"",IF('Supplier selection'!AB683="",'Supplier selection'!AI683,'Supplier selection'!AB683))</f>
        <v/>
      </c>
      <c r="AH683" s="28" t="str">
        <f t="shared" si="117"/>
        <v/>
      </c>
      <c r="AI683" s="7" t="str">
        <f t="shared" si="118"/>
        <v/>
      </c>
      <c r="AJ683" s="22" t="str">
        <f t="shared" si="119"/>
        <v/>
      </c>
      <c r="AK683" s="29" t="str">
        <f t="shared" si="120"/>
        <v/>
      </c>
      <c r="AL683" s="10"/>
    </row>
    <row r="684" spans="1:38">
      <c r="A684" s="19">
        <f>IF('Supplier selection'!A684="","",'Supplier selection'!A684)</f>
        <v>680</v>
      </c>
      <c r="B684" s="19" t="str">
        <f>IF('Supplier selection'!B684="","",'Supplier selection'!B684)</f>
        <v/>
      </c>
      <c r="C684" s="19" t="str">
        <f>IF('Supplier selection'!C684="","",'Supplier selection'!C684)</f>
        <v/>
      </c>
      <c r="D684" s="19" t="str">
        <f>IF('Supplier selection'!D684="","",'Supplier selection'!D684)</f>
        <v/>
      </c>
      <c r="E684" s="19" t="str">
        <f>IF('Supplier selection'!E684="","",'Supplier selection'!E684)</f>
        <v/>
      </c>
      <c r="F684" s="19" t="str">
        <f>IF('Supplier selection'!F684="","",'Supplier selection'!F684)</f>
        <v/>
      </c>
      <c r="G684" s="19" t="str">
        <f>IF('Supplier selection'!G684="","",'Supplier selection'!G684)</f>
        <v/>
      </c>
      <c r="H684" s="19" t="str">
        <f>IF('Supplier selection'!H684="","",'Supplier selection'!H684)</f>
        <v/>
      </c>
      <c r="I684" s="19" t="str">
        <f>IF('Supplier selection'!I684="","",'Supplier selection'!I684)</f>
        <v/>
      </c>
      <c r="J684" s="19" t="str">
        <f>IF('Supplier selection'!J684="","",'Supplier selection'!J684)</f>
        <v/>
      </c>
      <c r="K684" s="19" t="str">
        <f>IF('Supplier selection'!K684="","",'Supplier selection'!K684)</f>
        <v/>
      </c>
      <c r="L684" s="19" t="str">
        <f>IF('Supplier selection'!L684="","",'Supplier selection'!L684)</f>
        <v/>
      </c>
      <c r="M684" s="19" t="str">
        <f>IF('Supplier selection'!M684="","",'Supplier selection'!M684)</f>
        <v/>
      </c>
      <c r="N684" s="19" t="str">
        <f>IF('Supplier selection'!N684="","",'Supplier selection'!N684)</f>
        <v/>
      </c>
      <c r="O684" s="19" t="str">
        <f>IF('Supplier selection'!O684="","",'Supplier selection'!O684)</f>
        <v/>
      </c>
      <c r="Q684" s="19" t="str">
        <f>HLOOKUP($Q$3,'Supplier selection'!$AW$4:'Supplier selection'!$CT$1000,$A685,FALSE)</f>
        <v/>
      </c>
      <c r="R684" s="22" t="str">
        <f t="shared" si="110"/>
        <v/>
      </c>
      <c r="S684" s="19" t="str">
        <f t="shared" si="111"/>
        <v/>
      </c>
      <c r="T684" s="22" t="str">
        <f t="shared" si="112"/>
        <v/>
      </c>
      <c r="U684" s="19" t="str">
        <f t="shared" si="113"/>
        <v/>
      </c>
      <c r="V684" s="7"/>
      <c r="Y684" s="19" t="str">
        <f>IF('Supplier selection'!AQ684="","",'Supplier selection'!AQ684)</f>
        <v/>
      </c>
      <c r="Z684" s="19" t="str">
        <f>IF('Supplier selection'!AR684="","",'Supplier selection'!AR684)</f>
        <v/>
      </c>
      <c r="AA684" s="19" t="str">
        <f t="shared" si="114"/>
        <v/>
      </c>
      <c r="AD684" s="26" t="str">
        <f>IF(AND('Supplier selection'!X684="",'Supplier selection'!AE684=""),"",IF('Supplier selection'!X684="",'Supplier selection'!AE684,'Supplier selection'!X684))</f>
        <v/>
      </c>
      <c r="AE684" s="19" t="str">
        <f t="shared" si="115"/>
        <v/>
      </c>
      <c r="AF684" s="19" t="str">
        <f t="shared" si="116"/>
        <v/>
      </c>
      <c r="AG684" s="27" t="str">
        <f>IF(AND('Supplier selection'!AB684="",'Supplier selection'!AI684=""),"",IF('Supplier selection'!AB684="",'Supplier selection'!AI684,'Supplier selection'!AB684))</f>
        <v/>
      </c>
      <c r="AH684" s="28" t="str">
        <f t="shared" si="117"/>
        <v/>
      </c>
      <c r="AI684" s="7" t="str">
        <f t="shared" si="118"/>
        <v/>
      </c>
      <c r="AJ684" s="22" t="str">
        <f t="shared" si="119"/>
        <v/>
      </c>
      <c r="AK684" s="29" t="str">
        <f t="shared" si="120"/>
        <v/>
      </c>
      <c r="AL684" s="10"/>
    </row>
    <row r="685" spans="1:38">
      <c r="A685" s="19">
        <f>IF('Supplier selection'!A685="","",'Supplier selection'!A685)</f>
        <v>681</v>
      </c>
      <c r="B685" s="19" t="str">
        <f>IF('Supplier selection'!B685="","",'Supplier selection'!B685)</f>
        <v/>
      </c>
      <c r="C685" s="19" t="str">
        <f>IF('Supplier selection'!C685="","",'Supplier selection'!C685)</f>
        <v/>
      </c>
      <c r="D685" s="19" t="str">
        <f>IF('Supplier selection'!D685="","",'Supplier selection'!D685)</f>
        <v/>
      </c>
      <c r="E685" s="19" t="str">
        <f>IF('Supplier selection'!E685="","",'Supplier selection'!E685)</f>
        <v/>
      </c>
      <c r="F685" s="19" t="str">
        <f>IF('Supplier selection'!F685="","",'Supplier selection'!F685)</f>
        <v/>
      </c>
      <c r="G685" s="19" t="str">
        <f>IF('Supplier selection'!G685="","",'Supplier selection'!G685)</f>
        <v/>
      </c>
      <c r="H685" s="19" t="str">
        <f>IF('Supplier selection'!H685="","",'Supplier selection'!H685)</f>
        <v/>
      </c>
      <c r="I685" s="19" t="str">
        <f>IF('Supplier selection'!I685="","",'Supplier selection'!I685)</f>
        <v/>
      </c>
      <c r="J685" s="19" t="str">
        <f>IF('Supplier selection'!J685="","",'Supplier selection'!J685)</f>
        <v/>
      </c>
      <c r="K685" s="19" t="str">
        <f>IF('Supplier selection'!K685="","",'Supplier selection'!K685)</f>
        <v/>
      </c>
      <c r="L685" s="19" t="str">
        <f>IF('Supplier selection'!L685="","",'Supplier selection'!L685)</f>
        <v/>
      </c>
      <c r="M685" s="19" t="str">
        <f>IF('Supplier selection'!M685="","",'Supplier selection'!M685)</f>
        <v/>
      </c>
      <c r="N685" s="19" t="str">
        <f>IF('Supplier selection'!N685="","",'Supplier selection'!N685)</f>
        <v/>
      </c>
      <c r="O685" s="19" t="str">
        <f>IF('Supplier selection'!O685="","",'Supplier selection'!O685)</f>
        <v/>
      </c>
      <c r="Q685" s="19" t="str">
        <f>HLOOKUP($Q$3,'Supplier selection'!$AW$4:'Supplier selection'!$CT$1000,$A686,FALSE)</f>
        <v/>
      </c>
      <c r="R685" s="22" t="str">
        <f t="shared" si="110"/>
        <v/>
      </c>
      <c r="S685" s="19" t="str">
        <f t="shared" si="111"/>
        <v/>
      </c>
      <c r="T685" s="22" t="str">
        <f t="shared" si="112"/>
        <v/>
      </c>
      <c r="U685" s="19" t="str">
        <f t="shared" si="113"/>
        <v/>
      </c>
      <c r="V685" s="7"/>
      <c r="Y685" s="19" t="str">
        <f>IF('Supplier selection'!AQ685="","",'Supplier selection'!AQ685)</f>
        <v/>
      </c>
      <c r="Z685" s="19" t="str">
        <f>IF('Supplier selection'!AR685="","",'Supplier selection'!AR685)</f>
        <v/>
      </c>
      <c r="AA685" s="19" t="str">
        <f t="shared" si="114"/>
        <v/>
      </c>
      <c r="AD685" s="26" t="str">
        <f>IF(AND('Supplier selection'!X685="",'Supplier selection'!AE685=""),"",IF('Supplier selection'!X685="",'Supplier selection'!AE685,'Supplier selection'!X685))</f>
        <v/>
      </c>
      <c r="AE685" s="19" t="str">
        <f t="shared" si="115"/>
        <v/>
      </c>
      <c r="AF685" s="19" t="str">
        <f t="shared" si="116"/>
        <v/>
      </c>
      <c r="AG685" s="27" t="str">
        <f>IF(AND('Supplier selection'!AB685="",'Supplier selection'!AI685=""),"",IF('Supplier selection'!AB685="",'Supplier selection'!AI685,'Supplier selection'!AB685))</f>
        <v/>
      </c>
      <c r="AH685" s="28" t="str">
        <f t="shared" si="117"/>
        <v/>
      </c>
      <c r="AI685" s="7" t="str">
        <f t="shared" si="118"/>
        <v/>
      </c>
      <c r="AJ685" s="22" t="str">
        <f t="shared" si="119"/>
        <v/>
      </c>
      <c r="AK685" s="29" t="str">
        <f t="shared" si="120"/>
        <v/>
      </c>
      <c r="AL685" s="10"/>
    </row>
    <row r="686" spans="1:38">
      <c r="A686" s="19">
        <f>IF('Supplier selection'!A686="","",'Supplier selection'!A686)</f>
        <v>682</v>
      </c>
      <c r="B686" s="19" t="str">
        <f>IF('Supplier selection'!B686="","",'Supplier selection'!B686)</f>
        <v/>
      </c>
      <c r="C686" s="19" t="str">
        <f>IF('Supplier selection'!C686="","",'Supplier selection'!C686)</f>
        <v/>
      </c>
      <c r="D686" s="19" t="str">
        <f>IF('Supplier selection'!D686="","",'Supplier selection'!D686)</f>
        <v/>
      </c>
      <c r="E686" s="19" t="str">
        <f>IF('Supplier selection'!E686="","",'Supplier selection'!E686)</f>
        <v/>
      </c>
      <c r="F686" s="19" t="str">
        <f>IF('Supplier selection'!F686="","",'Supplier selection'!F686)</f>
        <v/>
      </c>
      <c r="G686" s="19" t="str">
        <f>IF('Supplier selection'!G686="","",'Supplier selection'!G686)</f>
        <v/>
      </c>
      <c r="H686" s="19" t="str">
        <f>IF('Supplier selection'!H686="","",'Supplier selection'!H686)</f>
        <v/>
      </c>
      <c r="I686" s="19" t="str">
        <f>IF('Supplier selection'!I686="","",'Supplier selection'!I686)</f>
        <v/>
      </c>
      <c r="J686" s="19" t="str">
        <f>IF('Supplier selection'!J686="","",'Supplier selection'!J686)</f>
        <v/>
      </c>
      <c r="K686" s="19" t="str">
        <f>IF('Supplier selection'!K686="","",'Supplier selection'!K686)</f>
        <v/>
      </c>
      <c r="L686" s="19" t="str">
        <f>IF('Supplier selection'!L686="","",'Supplier selection'!L686)</f>
        <v/>
      </c>
      <c r="M686" s="19" t="str">
        <f>IF('Supplier selection'!M686="","",'Supplier selection'!M686)</f>
        <v/>
      </c>
      <c r="N686" s="19" t="str">
        <f>IF('Supplier selection'!N686="","",'Supplier selection'!N686)</f>
        <v/>
      </c>
      <c r="O686" s="19" t="str">
        <f>IF('Supplier selection'!O686="","",'Supplier selection'!O686)</f>
        <v/>
      </c>
      <c r="Q686" s="19" t="str">
        <f>HLOOKUP($Q$3,'Supplier selection'!$AW$4:'Supplier selection'!$CT$1000,$A687,FALSE)</f>
        <v/>
      </c>
      <c r="R686" s="22" t="str">
        <f t="shared" si="110"/>
        <v/>
      </c>
      <c r="S686" s="19" t="str">
        <f t="shared" si="111"/>
        <v/>
      </c>
      <c r="T686" s="22" t="str">
        <f t="shared" si="112"/>
        <v/>
      </c>
      <c r="U686" s="19" t="str">
        <f t="shared" si="113"/>
        <v/>
      </c>
      <c r="V686" s="7"/>
      <c r="Y686" s="19" t="str">
        <f>IF('Supplier selection'!AQ686="","",'Supplier selection'!AQ686)</f>
        <v/>
      </c>
      <c r="Z686" s="19" t="str">
        <f>IF('Supplier selection'!AR686="","",'Supplier selection'!AR686)</f>
        <v/>
      </c>
      <c r="AA686" s="19" t="str">
        <f t="shared" si="114"/>
        <v/>
      </c>
      <c r="AD686" s="26" t="str">
        <f>IF(AND('Supplier selection'!X686="",'Supplier selection'!AE686=""),"",IF('Supplier selection'!X686="",'Supplier selection'!AE686,'Supplier selection'!X686))</f>
        <v/>
      </c>
      <c r="AE686" s="19" t="str">
        <f t="shared" si="115"/>
        <v/>
      </c>
      <c r="AF686" s="19" t="str">
        <f t="shared" si="116"/>
        <v/>
      </c>
      <c r="AG686" s="27" t="str">
        <f>IF(AND('Supplier selection'!AB686="",'Supplier selection'!AI686=""),"",IF('Supplier selection'!AB686="",'Supplier selection'!AI686,'Supplier selection'!AB686))</f>
        <v/>
      </c>
      <c r="AH686" s="28" t="str">
        <f t="shared" si="117"/>
        <v/>
      </c>
      <c r="AI686" s="7" t="str">
        <f t="shared" si="118"/>
        <v/>
      </c>
      <c r="AJ686" s="22" t="str">
        <f t="shared" si="119"/>
        <v/>
      </c>
      <c r="AK686" s="29" t="str">
        <f t="shared" si="120"/>
        <v/>
      </c>
      <c r="AL686" s="10"/>
    </row>
    <row r="687" spans="1:38">
      <c r="A687" s="19">
        <f>IF('Supplier selection'!A687="","",'Supplier selection'!A687)</f>
        <v>683</v>
      </c>
      <c r="B687" s="19" t="str">
        <f>IF('Supplier selection'!B687="","",'Supplier selection'!B687)</f>
        <v/>
      </c>
      <c r="C687" s="19" t="str">
        <f>IF('Supplier selection'!C687="","",'Supplier selection'!C687)</f>
        <v/>
      </c>
      <c r="D687" s="19" t="str">
        <f>IF('Supplier selection'!D687="","",'Supplier selection'!D687)</f>
        <v/>
      </c>
      <c r="E687" s="19" t="str">
        <f>IF('Supplier selection'!E687="","",'Supplier selection'!E687)</f>
        <v/>
      </c>
      <c r="F687" s="19" t="str">
        <f>IF('Supplier selection'!F687="","",'Supplier selection'!F687)</f>
        <v/>
      </c>
      <c r="G687" s="19" t="str">
        <f>IF('Supplier selection'!G687="","",'Supplier selection'!G687)</f>
        <v/>
      </c>
      <c r="H687" s="19" t="str">
        <f>IF('Supplier selection'!H687="","",'Supplier selection'!H687)</f>
        <v/>
      </c>
      <c r="I687" s="19" t="str">
        <f>IF('Supplier selection'!I687="","",'Supplier selection'!I687)</f>
        <v/>
      </c>
      <c r="J687" s="19" t="str">
        <f>IF('Supplier selection'!J687="","",'Supplier selection'!J687)</f>
        <v/>
      </c>
      <c r="K687" s="19" t="str">
        <f>IF('Supplier selection'!K687="","",'Supplier selection'!K687)</f>
        <v/>
      </c>
      <c r="L687" s="19" t="str">
        <f>IF('Supplier selection'!L687="","",'Supplier selection'!L687)</f>
        <v/>
      </c>
      <c r="M687" s="19" t="str">
        <f>IF('Supplier selection'!M687="","",'Supplier selection'!M687)</f>
        <v/>
      </c>
      <c r="N687" s="19" t="str">
        <f>IF('Supplier selection'!N687="","",'Supplier selection'!N687)</f>
        <v/>
      </c>
      <c r="O687" s="19" t="str">
        <f>IF('Supplier selection'!O687="","",'Supplier selection'!O687)</f>
        <v/>
      </c>
      <c r="Q687" s="19" t="str">
        <f>HLOOKUP($Q$3,'Supplier selection'!$AW$4:'Supplier selection'!$CT$1000,$A688,FALSE)</f>
        <v/>
      </c>
      <c r="R687" s="22" t="str">
        <f t="shared" si="110"/>
        <v/>
      </c>
      <c r="S687" s="19" t="str">
        <f t="shared" si="111"/>
        <v/>
      </c>
      <c r="T687" s="22" t="str">
        <f t="shared" si="112"/>
        <v/>
      </c>
      <c r="U687" s="19" t="str">
        <f t="shared" si="113"/>
        <v/>
      </c>
      <c r="V687" s="7"/>
      <c r="Y687" s="19" t="str">
        <f>IF('Supplier selection'!AQ687="","",'Supplier selection'!AQ687)</f>
        <v/>
      </c>
      <c r="Z687" s="19" t="str">
        <f>IF('Supplier selection'!AR687="","",'Supplier selection'!AR687)</f>
        <v/>
      </c>
      <c r="AA687" s="19" t="str">
        <f t="shared" si="114"/>
        <v/>
      </c>
      <c r="AD687" s="26" t="str">
        <f>IF(AND('Supplier selection'!X687="",'Supplier selection'!AE687=""),"",IF('Supplier selection'!X687="",'Supplier selection'!AE687,'Supplier selection'!X687))</f>
        <v/>
      </c>
      <c r="AE687" s="19" t="str">
        <f t="shared" si="115"/>
        <v/>
      </c>
      <c r="AF687" s="19" t="str">
        <f t="shared" si="116"/>
        <v/>
      </c>
      <c r="AG687" s="27" t="str">
        <f>IF(AND('Supplier selection'!AB687="",'Supplier selection'!AI687=""),"",IF('Supplier selection'!AB687="",'Supplier selection'!AI687,'Supplier selection'!AB687))</f>
        <v/>
      </c>
      <c r="AH687" s="28" t="str">
        <f t="shared" si="117"/>
        <v/>
      </c>
      <c r="AI687" s="7" t="str">
        <f t="shared" si="118"/>
        <v/>
      </c>
      <c r="AJ687" s="22" t="str">
        <f t="shared" si="119"/>
        <v/>
      </c>
      <c r="AK687" s="29" t="str">
        <f t="shared" si="120"/>
        <v/>
      </c>
      <c r="AL687" s="10"/>
    </row>
    <row r="688" spans="1:38">
      <c r="A688" s="19">
        <f>IF('Supplier selection'!A688="","",'Supplier selection'!A688)</f>
        <v>684</v>
      </c>
      <c r="B688" s="19" t="str">
        <f>IF('Supplier selection'!B688="","",'Supplier selection'!B688)</f>
        <v/>
      </c>
      <c r="C688" s="19" t="str">
        <f>IF('Supplier selection'!C688="","",'Supplier selection'!C688)</f>
        <v/>
      </c>
      <c r="D688" s="19" t="str">
        <f>IF('Supplier selection'!D688="","",'Supplier selection'!D688)</f>
        <v/>
      </c>
      <c r="E688" s="19" t="str">
        <f>IF('Supplier selection'!E688="","",'Supplier selection'!E688)</f>
        <v/>
      </c>
      <c r="F688" s="19" t="str">
        <f>IF('Supplier selection'!F688="","",'Supplier selection'!F688)</f>
        <v/>
      </c>
      <c r="G688" s="19" t="str">
        <f>IF('Supplier selection'!G688="","",'Supplier selection'!G688)</f>
        <v/>
      </c>
      <c r="H688" s="19" t="str">
        <f>IF('Supplier selection'!H688="","",'Supplier selection'!H688)</f>
        <v/>
      </c>
      <c r="I688" s="19" t="str">
        <f>IF('Supplier selection'!I688="","",'Supplier selection'!I688)</f>
        <v/>
      </c>
      <c r="J688" s="19" t="str">
        <f>IF('Supplier selection'!J688="","",'Supplier selection'!J688)</f>
        <v/>
      </c>
      <c r="K688" s="19" t="str">
        <f>IF('Supplier selection'!K688="","",'Supplier selection'!K688)</f>
        <v/>
      </c>
      <c r="L688" s="19" t="str">
        <f>IF('Supplier selection'!L688="","",'Supplier selection'!L688)</f>
        <v/>
      </c>
      <c r="M688" s="19" t="str">
        <f>IF('Supplier selection'!M688="","",'Supplier selection'!M688)</f>
        <v/>
      </c>
      <c r="N688" s="19" t="str">
        <f>IF('Supplier selection'!N688="","",'Supplier selection'!N688)</f>
        <v/>
      </c>
      <c r="O688" s="19" t="str">
        <f>IF('Supplier selection'!O688="","",'Supplier selection'!O688)</f>
        <v/>
      </c>
      <c r="Q688" s="19" t="str">
        <f>HLOOKUP($Q$3,'Supplier selection'!$AW$4:'Supplier selection'!$CT$1000,$A689,FALSE)</f>
        <v/>
      </c>
      <c r="R688" s="22" t="str">
        <f t="shared" si="110"/>
        <v/>
      </c>
      <c r="S688" s="19" t="str">
        <f t="shared" si="111"/>
        <v/>
      </c>
      <c r="T688" s="22" t="str">
        <f t="shared" si="112"/>
        <v/>
      </c>
      <c r="U688" s="19" t="str">
        <f t="shared" si="113"/>
        <v/>
      </c>
      <c r="V688" s="7"/>
      <c r="Y688" s="19" t="str">
        <f>IF('Supplier selection'!AQ688="","",'Supplier selection'!AQ688)</f>
        <v/>
      </c>
      <c r="Z688" s="19" t="str">
        <f>IF('Supplier selection'!AR688="","",'Supplier selection'!AR688)</f>
        <v/>
      </c>
      <c r="AA688" s="19" t="str">
        <f t="shared" si="114"/>
        <v/>
      </c>
      <c r="AD688" s="26" t="str">
        <f>IF(AND('Supplier selection'!X688="",'Supplier selection'!AE688=""),"",IF('Supplier selection'!X688="",'Supplier selection'!AE688,'Supplier selection'!X688))</f>
        <v/>
      </c>
      <c r="AE688" s="19" t="str">
        <f t="shared" si="115"/>
        <v/>
      </c>
      <c r="AF688" s="19" t="str">
        <f t="shared" si="116"/>
        <v/>
      </c>
      <c r="AG688" s="27" t="str">
        <f>IF(AND('Supplier selection'!AB688="",'Supplier selection'!AI688=""),"",IF('Supplier selection'!AB688="",'Supplier selection'!AI688,'Supplier selection'!AB688))</f>
        <v/>
      </c>
      <c r="AH688" s="28" t="str">
        <f t="shared" si="117"/>
        <v/>
      </c>
      <c r="AI688" s="7" t="str">
        <f t="shared" si="118"/>
        <v/>
      </c>
      <c r="AJ688" s="22" t="str">
        <f t="shared" si="119"/>
        <v/>
      </c>
      <c r="AK688" s="29" t="str">
        <f t="shared" si="120"/>
        <v/>
      </c>
      <c r="AL688" s="10"/>
    </row>
    <row r="689" spans="1:38">
      <c r="A689" s="19">
        <f>IF('Supplier selection'!A689="","",'Supplier selection'!A689)</f>
        <v>685</v>
      </c>
      <c r="B689" s="19" t="str">
        <f>IF('Supplier selection'!B689="","",'Supplier selection'!B689)</f>
        <v/>
      </c>
      <c r="C689" s="19" t="str">
        <f>IF('Supplier selection'!C689="","",'Supplier selection'!C689)</f>
        <v/>
      </c>
      <c r="D689" s="19" t="str">
        <f>IF('Supplier selection'!D689="","",'Supplier selection'!D689)</f>
        <v/>
      </c>
      <c r="E689" s="19" t="str">
        <f>IF('Supplier selection'!E689="","",'Supplier selection'!E689)</f>
        <v/>
      </c>
      <c r="F689" s="19" t="str">
        <f>IF('Supplier selection'!F689="","",'Supplier selection'!F689)</f>
        <v/>
      </c>
      <c r="G689" s="19" t="str">
        <f>IF('Supplier selection'!G689="","",'Supplier selection'!G689)</f>
        <v/>
      </c>
      <c r="H689" s="19" t="str">
        <f>IF('Supplier selection'!H689="","",'Supplier selection'!H689)</f>
        <v/>
      </c>
      <c r="I689" s="19" t="str">
        <f>IF('Supplier selection'!I689="","",'Supplier selection'!I689)</f>
        <v/>
      </c>
      <c r="J689" s="19" t="str">
        <f>IF('Supplier selection'!J689="","",'Supplier selection'!J689)</f>
        <v/>
      </c>
      <c r="K689" s="19" t="str">
        <f>IF('Supplier selection'!K689="","",'Supplier selection'!K689)</f>
        <v/>
      </c>
      <c r="L689" s="19" t="str">
        <f>IF('Supplier selection'!L689="","",'Supplier selection'!L689)</f>
        <v/>
      </c>
      <c r="M689" s="19" t="str">
        <f>IF('Supplier selection'!M689="","",'Supplier selection'!M689)</f>
        <v/>
      </c>
      <c r="N689" s="19" t="str">
        <f>IF('Supplier selection'!N689="","",'Supplier selection'!N689)</f>
        <v/>
      </c>
      <c r="O689" s="19" t="str">
        <f>IF('Supplier selection'!O689="","",'Supplier selection'!O689)</f>
        <v/>
      </c>
      <c r="Q689" s="19" t="str">
        <f>HLOOKUP($Q$3,'Supplier selection'!$AW$4:'Supplier selection'!$CT$1000,$A690,FALSE)</f>
        <v/>
      </c>
      <c r="R689" s="22" t="str">
        <f t="shared" si="110"/>
        <v/>
      </c>
      <c r="S689" s="19" t="str">
        <f t="shared" si="111"/>
        <v/>
      </c>
      <c r="T689" s="22" t="str">
        <f t="shared" si="112"/>
        <v/>
      </c>
      <c r="U689" s="19" t="str">
        <f t="shared" si="113"/>
        <v/>
      </c>
      <c r="V689" s="7"/>
      <c r="Y689" s="19" t="str">
        <f>IF('Supplier selection'!AQ689="","",'Supplier selection'!AQ689)</f>
        <v/>
      </c>
      <c r="Z689" s="19" t="str">
        <f>IF('Supplier selection'!AR689="","",'Supplier selection'!AR689)</f>
        <v/>
      </c>
      <c r="AA689" s="19" t="str">
        <f t="shared" si="114"/>
        <v/>
      </c>
      <c r="AD689" s="26" t="str">
        <f>IF(AND('Supplier selection'!X689="",'Supplier selection'!AE689=""),"",IF('Supplier selection'!X689="",'Supplier selection'!AE689,'Supplier selection'!X689))</f>
        <v/>
      </c>
      <c r="AE689" s="19" t="str">
        <f t="shared" si="115"/>
        <v/>
      </c>
      <c r="AF689" s="19" t="str">
        <f t="shared" si="116"/>
        <v/>
      </c>
      <c r="AG689" s="27" t="str">
        <f>IF(AND('Supplier selection'!AB689="",'Supplier selection'!AI689=""),"",IF('Supplier selection'!AB689="",'Supplier selection'!AI689,'Supplier selection'!AB689))</f>
        <v/>
      </c>
      <c r="AH689" s="28" t="str">
        <f t="shared" si="117"/>
        <v/>
      </c>
      <c r="AI689" s="7" t="str">
        <f t="shared" si="118"/>
        <v/>
      </c>
      <c r="AJ689" s="22" t="str">
        <f t="shared" si="119"/>
        <v/>
      </c>
      <c r="AK689" s="29" t="str">
        <f t="shared" si="120"/>
        <v/>
      </c>
      <c r="AL689" s="10"/>
    </row>
    <row r="690" spans="1:38">
      <c r="A690" s="19">
        <f>IF('Supplier selection'!A690="","",'Supplier selection'!A690)</f>
        <v>686</v>
      </c>
      <c r="B690" s="19" t="str">
        <f>IF('Supplier selection'!B690="","",'Supplier selection'!B690)</f>
        <v/>
      </c>
      <c r="C690" s="19" t="str">
        <f>IF('Supplier selection'!C690="","",'Supplier selection'!C690)</f>
        <v/>
      </c>
      <c r="D690" s="19" t="str">
        <f>IF('Supplier selection'!D690="","",'Supplier selection'!D690)</f>
        <v/>
      </c>
      <c r="E690" s="19" t="str">
        <f>IF('Supplier selection'!E690="","",'Supplier selection'!E690)</f>
        <v/>
      </c>
      <c r="F690" s="19" t="str">
        <f>IF('Supplier selection'!F690="","",'Supplier selection'!F690)</f>
        <v/>
      </c>
      <c r="G690" s="19" t="str">
        <f>IF('Supplier selection'!G690="","",'Supplier selection'!G690)</f>
        <v/>
      </c>
      <c r="H690" s="19" t="str">
        <f>IF('Supplier selection'!H690="","",'Supplier selection'!H690)</f>
        <v/>
      </c>
      <c r="I690" s="19" t="str">
        <f>IF('Supplier selection'!I690="","",'Supplier selection'!I690)</f>
        <v/>
      </c>
      <c r="J690" s="19" t="str">
        <f>IF('Supplier selection'!J690="","",'Supplier selection'!J690)</f>
        <v/>
      </c>
      <c r="K690" s="19" t="str">
        <f>IF('Supplier selection'!K690="","",'Supplier selection'!K690)</f>
        <v/>
      </c>
      <c r="L690" s="19" t="str">
        <f>IF('Supplier selection'!L690="","",'Supplier selection'!L690)</f>
        <v/>
      </c>
      <c r="M690" s="19" t="str">
        <f>IF('Supplier selection'!M690="","",'Supplier selection'!M690)</f>
        <v/>
      </c>
      <c r="N690" s="19" t="str">
        <f>IF('Supplier selection'!N690="","",'Supplier selection'!N690)</f>
        <v/>
      </c>
      <c r="O690" s="19" t="str">
        <f>IF('Supplier selection'!O690="","",'Supplier selection'!O690)</f>
        <v/>
      </c>
      <c r="Q690" s="19" t="str">
        <f>HLOOKUP($Q$3,'Supplier selection'!$AW$4:'Supplier selection'!$CT$1000,$A691,FALSE)</f>
        <v/>
      </c>
      <c r="R690" s="22" t="str">
        <f t="shared" si="110"/>
        <v/>
      </c>
      <c r="S690" s="19" t="str">
        <f t="shared" si="111"/>
        <v/>
      </c>
      <c r="T690" s="22" t="str">
        <f t="shared" si="112"/>
        <v/>
      </c>
      <c r="U690" s="19" t="str">
        <f t="shared" si="113"/>
        <v/>
      </c>
      <c r="V690" s="7"/>
      <c r="Y690" s="19" t="str">
        <f>IF('Supplier selection'!AQ690="","",'Supplier selection'!AQ690)</f>
        <v/>
      </c>
      <c r="Z690" s="19" t="str">
        <f>IF('Supplier selection'!AR690="","",'Supplier selection'!AR690)</f>
        <v/>
      </c>
      <c r="AA690" s="19" t="str">
        <f t="shared" si="114"/>
        <v/>
      </c>
      <c r="AD690" s="26" t="str">
        <f>IF(AND('Supplier selection'!X690="",'Supplier selection'!AE690=""),"",IF('Supplier selection'!X690="",'Supplier selection'!AE690,'Supplier selection'!X690))</f>
        <v/>
      </c>
      <c r="AE690" s="19" t="str">
        <f t="shared" si="115"/>
        <v/>
      </c>
      <c r="AF690" s="19" t="str">
        <f t="shared" si="116"/>
        <v/>
      </c>
      <c r="AG690" s="27" t="str">
        <f>IF(AND('Supplier selection'!AB690="",'Supplier selection'!AI690=""),"",IF('Supplier selection'!AB690="",'Supplier selection'!AI690,'Supplier selection'!AB690))</f>
        <v/>
      </c>
      <c r="AH690" s="28" t="str">
        <f t="shared" si="117"/>
        <v/>
      </c>
      <c r="AI690" s="7" t="str">
        <f t="shared" si="118"/>
        <v/>
      </c>
      <c r="AJ690" s="22" t="str">
        <f t="shared" si="119"/>
        <v/>
      </c>
      <c r="AK690" s="29" t="str">
        <f t="shared" si="120"/>
        <v/>
      </c>
      <c r="AL690" s="10"/>
    </row>
    <row r="691" spans="1:38">
      <c r="A691" s="19">
        <f>IF('Supplier selection'!A691="","",'Supplier selection'!A691)</f>
        <v>687</v>
      </c>
      <c r="B691" s="19" t="str">
        <f>IF('Supplier selection'!B691="","",'Supplier selection'!B691)</f>
        <v/>
      </c>
      <c r="C691" s="19" t="str">
        <f>IF('Supplier selection'!C691="","",'Supplier selection'!C691)</f>
        <v/>
      </c>
      <c r="D691" s="19" t="str">
        <f>IF('Supplier selection'!D691="","",'Supplier selection'!D691)</f>
        <v/>
      </c>
      <c r="E691" s="19" t="str">
        <f>IF('Supplier selection'!E691="","",'Supplier selection'!E691)</f>
        <v/>
      </c>
      <c r="F691" s="19" t="str">
        <f>IF('Supplier selection'!F691="","",'Supplier selection'!F691)</f>
        <v/>
      </c>
      <c r="G691" s="19" t="str">
        <f>IF('Supplier selection'!G691="","",'Supplier selection'!G691)</f>
        <v/>
      </c>
      <c r="H691" s="19" t="str">
        <f>IF('Supplier selection'!H691="","",'Supplier selection'!H691)</f>
        <v/>
      </c>
      <c r="I691" s="19" t="str">
        <f>IF('Supplier selection'!I691="","",'Supplier selection'!I691)</f>
        <v/>
      </c>
      <c r="J691" s="19" t="str">
        <f>IF('Supplier selection'!J691="","",'Supplier selection'!J691)</f>
        <v/>
      </c>
      <c r="K691" s="19" t="str">
        <f>IF('Supplier selection'!K691="","",'Supplier selection'!K691)</f>
        <v/>
      </c>
      <c r="L691" s="19" t="str">
        <f>IF('Supplier selection'!L691="","",'Supplier selection'!L691)</f>
        <v/>
      </c>
      <c r="M691" s="19" t="str">
        <f>IF('Supplier selection'!M691="","",'Supplier selection'!M691)</f>
        <v/>
      </c>
      <c r="N691" s="19" t="str">
        <f>IF('Supplier selection'!N691="","",'Supplier selection'!N691)</f>
        <v/>
      </c>
      <c r="O691" s="19" t="str">
        <f>IF('Supplier selection'!O691="","",'Supplier selection'!O691)</f>
        <v/>
      </c>
      <c r="Q691" s="19" t="str">
        <f>HLOOKUP($Q$3,'Supplier selection'!$AW$4:'Supplier selection'!$CT$1000,$A692,FALSE)</f>
        <v/>
      </c>
      <c r="R691" s="22" t="str">
        <f t="shared" si="110"/>
        <v/>
      </c>
      <c r="S691" s="19" t="str">
        <f t="shared" si="111"/>
        <v/>
      </c>
      <c r="T691" s="22" t="str">
        <f t="shared" si="112"/>
        <v/>
      </c>
      <c r="U691" s="19" t="str">
        <f t="shared" si="113"/>
        <v/>
      </c>
      <c r="V691" s="7"/>
      <c r="Y691" s="19" t="str">
        <f>IF('Supplier selection'!AQ691="","",'Supplier selection'!AQ691)</f>
        <v/>
      </c>
      <c r="Z691" s="19" t="str">
        <f>IF('Supplier selection'!AR691="","",'Supplier selection'!AR691)</f>
        <v/>
      </c>
      <c r="AA691" s="19" t="str">
        <f t="shared" si="114"/>
        <v/>
      </c>
      <c r="AD691" s="26" t="str">
        <f>IF(AND('Supplier selection'!X691="",'Supplier selection'!AE691=""),"",IF('Supplier selection'!X691="",'Supplier selection'!AE691,'Supplier selection'!X691))</f>
        <v/>
      </c>
      <c r="AE691" s="19" t="str">
        <f t="shared" si="115"/>
        <v/>
      </c>
      <c r="AF691" s="19" t="str">
        <f t="shared" si="116"/>
        <v/>
      </c>
      <c r="AG691" s="27" t="str">
        <f>IF(AND('Supplier selection'!AB691="",'Supplier selection'!AI691=""),"",IF('Supplier selection'!AB691="",'Supplier selection'!AI691,'Supplier selection'!AB691))</f>
        <v/>
      </c>
      <c r="AH691" s="28" t="str">
        <f t="shared" si="117"/>
        <v/>
      </c>
      <c r="AI691" s="7" t="str">
        <f t="shared" si="118"/>
        <v/>
      </c>
      <c r="AJ691" s="22" t="str">
        <f t="shared" si="119"/>
        <v/>
      </c>
      <c r="AK691" s="29" t="str">
        <f t="shared" si="120"/>
        <v/>
      </c>
      <c r="AL691" s="10"/>
    </row>
    <row r="692" spans="1:38">
      <c r="A692" s="19">
        <f>IF('Supplier selection'!A692="","",'Supplier selection'!A692)</f>
        <v>688</v>
      </c>
      <c r="B692" s="19" t="str">
        <f>IF('Supplier selection'!B692="","",'Supplier selection'!B692)</f>
        <v/>
      </c>
      <c r="C692" s="19" t="str">
        <f>IF('Supplier selection'!C692="","",'Supplier selection'!C692)</f>
        <v/>
      </c>
      <c r="D692" s="19" t="str">
        <f>IF('Supplier selection'!D692="","",'Supplier selection'!D692)</f>
        <v/>
      </c>
      <c r="E692" s="19" t="str">
        <f>IF('Supplier selection'!E692="","",'Supplier selection'!E692)</f>
        <v/>
      </c>
      <c r="F692" s="19" t="str">
        <f>IF('Supplier selection'!F692="","",'Supplier selection'!F692)</f>
        <v/>
      </c>
      <c r="G692" s="19" t="str">
        <f>IF('Supplier selection'!G692="","",'Supplier selection'!G692)</f>
        <v/>
      </c>
      <c r="H692" s="19" t="str">
        <f>IF('Supplier selection'!H692="","",'Supplier selection'!H692)</f>
        <v/>
      </c>
      <c r="I692" s="19" t="str">
        <f>IF('Supplier selection'!I692="","",'Supplier selection'!I692)</f>
        <v/>
      </c>
      <c r="J692" s="19" t="str">
        <f>IF('Supplier selection'!J692="","",'Supplier selection'!J692)</f>
        <v/>
      </c>
      <c r="K692" s="19" t="str">
        <f>IF('Supplier selection'!K692="","",'Supplier selection'!K692)</f>
        <v/>
      </c>
      <c r="L692" s="19" t="str">
        <f>IF('Supplier selection'!L692="","",'Supplier selection'!L692)</f>
        <v/>
      </c>
      <c r="M692" s="19" t="str">
        <f>IF('Supplier selection'!M692="","",'Supplier selection'!M692)</f>
        <v/>
      </c>
      <c r="N692" s="19" t="str">
        <f>IF('Supplier selection'!N692="","",'Supplier selection'!N692)</f>
        <v/>
      </c>
      <c r="O692" s="19" t="str">
        <f>IF('Supplier selection'!O692="","",'Supplier selection'!O692)</f>
        <v/>
      </c>
      <c r="Q692" s="19" t="str">
        <f>HLOOKUP($Q$3,'Supplier selection'!$AW$4:'Supplier selection'!$CT$1000,$A693,FALSE)</f>
        <v/>
      </c>
      <c r="R692" s="22" t="str">
        <f t="shared" si="110"/>
        <v/>
      </c>
      <c r="S692" s="19" t="str">
        <f t="shared" si="111"/>
        <v/>
      </c>
      <c r="T692" s="22" t="str">
        <f t="shared" si="112"/>
        <v/>
      </c>
      <c r="U692" s="19" t="str">
        <f t="shared" si="113"/>
        <v/>
      </c>
      <c r="V692" s="7"/>
      <c r="Y692" s="19" t="str">
        <f>IF('Supplier selection'!AQ692="","",'Supplier selection'!AQ692)</f>
        <v/>
      </c>
      <c r="Z692" s="19" t="str">
        <f>IF('Supplier selection'!AR692="","",'Supplier selection'!AR692)</f>
        <v/>
      </c>
      <c r="AA692" s="19" t="str">
        <f t="shared" si="114"/>
        <v/>
      </c>
      <c r="AD692" s="26" t="str">
        <f>IF(AND('Supplier selection'!X692="",'Supplier selection'!AE692=""),"",IF('Supplier selection'!X692="",'Supplier selection'!AE692,'Supplier selection'!X692))</f>
        <v/>
      </c>
      <c r="AE692" s="19" t="str">
        <f t="shared" si="115"/>
        <v/>
      </c>
      <c r="AF692" s="19" t="str">
        <f t="shared" si="116"/>
        <v/>
      </c>
      <c r="AG692" s="27" t="str">
        <f>IF(AND('Supplier selection'!AB692="",'Supplier selection'!AI692=""),"",IF('Supplier selection'!AB692="",'Supplier selection'!AI692,'Supplier selection'!AB692))</f>
        <v/>
      </c>
      <c r="AH692" s="28" t="str">
        <f t="shared" si="117"/>
        <v/>
      </c>
      <c r="AI692" s="7" t="str">
        <f t="shared" si="118"/>
        <v/>
      </c>
      <c r="AJ692" s="22" t="str">
        <f t="shared" si="119"/>
        <v/>
      </c>
      <c r="AK692" s="29" t="str">
        <f t="shared" si="120"/>
        <v/>
      </c>
      <c r="AL692" s="10"/>
    </row>
    <row r="693" spans="1:38">
      <c r="A693" s="19">
        <f>IF('Supplier selection'!A693="","",'Supplier selection'!A693)</f>
        <v>689</v>
      </c>
      <c r="B693" s="19" t="str">
        <f>IF('Supplier selection'!B693="","",'Supplier selection'!B693)</f>
        <v/>
      </c>
      <c r="C693" s="19" t="str">
        <f>IF('Supplier selection'!C693="","",'Supplier selection'!C693)</f>
        <v/>
      </c>
      <c r="D693" s="19" t="str">
        <f>IF('Supplier selection'!D693="","",'Supplier selection'!D693)</f>
        <v/>
      </c>
      <c r="E693" s="19" t="str">
        <f>IF('Supplier selection'!E693="","",'Supplier selection'!E693)</f>
        <v/>
      </c>
      <c r="F693" s="19" t="str">
        <f>IF('Supplier selection'!F693="","",'Supplier selection'!F693)</f>
        <v/>
      </c>
      <c r="G693" s="19" t="str">
        <f>IF('Supplier selection'!G693="","",'Supplier selection'!G693)</f>
        <v/>
      </c>
      <c r="H693" s="19" t="str">
        <f>IF('Supplier selection'!H693="","",'Supplier selection'!H693)</f>
        <v/>
      </c>
      <c r="I693" s="19" t="str">
        <f>IF('Supplier selection'!I693="","",'Supplier selection'!I693)</f>
        <v/>
      </c>
      <c r="J693" s="19" t="str">
        <f>IF('Supplier selection'!J693="","",'Supplier selection'!J693)</f>
        <v/>
      </c>
      <c r="K693" s="19" t="str">
        <f>IF('Supplier selection'!K693="","",'Supplier selection'!K693)</f>
        <v/>
      </c>
      <c r="L693" s="19" t="str">
        <f>IF('Supplier selection'!L693="","",'Supplier selection'!L693)</f>
        <v/>
      </c>
      <c r="M693" s="19" t="str">
        <f>IF('Supplier selection'!M693="","",'Supplier selection'!M693)</f>
        <v/>
      </c>
      <c r="N693" s="19" t="str">
        <f>IF('Supplier selection'!N693="","",'Supplier selection'!N693)</f>
        <v/>
      </c>
      <c r="O693" s="19" t="str">
        <f>IF('Supplier selection'!O693="","",'Supplier selection'!O693)</f>
        <v/>
      </c>
      <c r="Q693" s="19" t="str">
        <f>HLOOKUP($Q$3,'Supplier selection'!$AW$4:'Supplier selection'!$CT$1000,$A694,FALSE)</f>
        <v/>
      </c>
      <c r="R693" s="22" t="str">
        <f t="shared" si="110"/>
        <v/>
      </c>
      <c r="S693" s="19" t="str">
        <f t="shared" si="111"/>
        <v/>
      </c>
      <c r="T693" s="22" t="str">
        <f t="shared" si="112"/>
        <v/>
      </c>
      <c r="U693" s="19" t="str">
        <f t="shared" si="113"/>
        <v/>
      </c>
      <c r="V693" s="7"/>
      <c r="Y693" s="19" t="str">
        <f>IF('Supplier selection'!AQ693="","",'Supplier selection'!AQ693)</f>
        <v/>
      </c>
      <c r="Z693" s="19" t="str">
        <f>IF('Supplier selection'!AR693="","",'Supplier selection'!AR693)</f>
        <v/>
      </c>
      <c r="AA693" s="19" t="str">
        <f t="shared" si="114"/>
        <v/>
      </c>
      <c r="AD693" s="26" t="str">
        <f>IF(AND('Supplier selection'!X693="",'Supplier selection'!AE693=""),"",IF('Supplier selection'!X693="",'Supplier selection'!AE693,'Supplier selection'!X693))</f>
        <v/>
      </c>
      <c r="AE693" s="19" t="str">
        <f t="shared" si="115"/>
        <v/>
      </c>
      <c r="AF693" s="19" t="str">
        <f t="shared" si="116"/>
        <v/>
      </c>
      <c r="AG693" s="27" t="str">
        <f>IF(AND('Supplier selection'!AB693="",'Supplier selection'!AI693=""),"",IF('Supplier selection'!AB693="",'Supplier selection'!AI693,'Supplier selection'!AB693))</f>
        <v/>
      </c>
      <c r="AH693" s="28" t="str">
        <f t="shared" si="117"/>
        <v/>
      </c>
      <c r="AI693" s="7" t="str">
        <f t="shared" si="118"/>
        <v/>
      </c>
      <c r="AJ693" s="22" t="str">
        <f t="shared" si="119"/>
        <v/>
      </c>
      <c r="AK693" s="29" t="str">
        <f t="shared" si="120"/>
        <v/>
      </c>
      <c r="AL693" s="10"/>
    </row>
    <row r="694" spans="1:38">
      <c r="A694" s="19">
        <f>IF('Supplier selection'!A694="","",'Supplier selection'!A694)</f>
        <v>690</v>
      </c>
      <c r="B694" s="19" t="str">
        <f>IF('Supplier selection'!B694="","",'Supplier selection'!B694)</f>
        <v/>
      </c>
      <c r="C694" s="19" t="str">
        <f>IF('Supplier selection'!C694="","",'Supplier selection'!C694)</f>
        <v/>
      </c>
      <c r="D694" s="19" t="str">
        <f>IF('Supplier selection'!D694="","",'Supplier selection'!D694)</f>
        <v/>
      </c>
      <c r="E694" s="19" t="str">
        <f>IF('Supplier selection'!E694="","",'Supplier selection'!E694)</f>
        <v/>
      </c>
      <c r="F694" s="19" t="str">
        <f>IF('Supplier selection'!F694="","",'Supplier selection'!F694)</f>
        <v/>
      </c>
      <c r="G694" s="19" t="str">
        <f>IF('Supplier selection'!G694="","",'Supplier selection'!G694)</f>
        <v/>
      </c>
      <c r="H694" s="19" t="str">
        <f>IF('Supplier selection'!H694="","",'Supplier selection'!H694)</f>
        <v/>
      </c>
      <c r="I694" s="19" t="str">
        <f>IF('Supplier selection'!I694="","",'Supplier selection'!I694)</f>
        <v/>
      </c>
      <c r="J694" s="19" t="str">
        <f>IF('Supplier selection'!J694="","",'Supplier selection'!J694)</f>
        <v/>
      </c>
      <c r="K694" s="19" t="str">
        <f>IF('Supplier selection'!K694="","",'Supplier selection'!K694)</f>
        <v/>
      </c>
      <c r="L694" s="19" t="str">
        <f>IF('Supplier selection'!L694="","",'Supplier selection'!L694)</f>
        <v/>
      </c>
      <c r="M694" s="19" t="str">
        <f>IF('Supplier selection'!M694="","",'Supplier selection'!M694)</f>
        <v/>
      </c>
      <c r="N694" s="19" t="str">
        <f>IF('Supplier selection'!N694="","",'Supplier selection'!N694)</f>
        <v/>
      </c>
      <c r="O694" s="19" t="str">
        <f>IF('Supplier selection'!O694="","",'Supplier selection'!O694)</f>
        <v/>
      </c>
      <c r="Q694" s="19" t="str">
        <f>HLOOKUP($Q$3,'Supplier selection'!$AW$4:'Supplier selection'!$CT$1000,$A695,FALSE)</f>
        <v/>
      </c>
      <c r="R694" s="22" t="str">
        <f t="shared" si="110"/>
        <v/>
      </c>
      <c r="S694" s="19" t="str">
        <f t="shared" si="111"/>
        <v/>
      </c>
      <c r="T694" s="22" t="str">
        <f t="shared" si="112"/>
        <v/>
      </c>
      <c r="U694" s="19" t="str">
        <f t="shared" si="113"/>
        <v/>
      </c>
      <c r="V694" s="7"/>
      <c r="Y694" s="19" t="str">
        <f>IF('Supplier selection'!AQ694="","",'Supplier selection'!AQ694)</f>
        <v/>
      </c>
      <c r="Z694" s="19" t="str">
        <f>IF('Supplier selection'!AR694="","",'Supplier selection'!AR694)</f>
        <v/>
      </c>
      <c r="AA694" s="19" t="str">
        <f t="shared" si="114"/>
        <v/>
      </c>
      <c r="AD694" s="26" t="str">
        <f>IF(AND('Supplier selection'!X694="",'Supplier selection'!AE694=""),"",IF('Supplier selection'!X694="",'Supplier selection'!AE694,'Supplier selection'!X694))</f>
        <v/>
      </c>
      <c r="AE694" s="19" t="str">
        <f t="shared" si="115"/>
        <v/>
      </c>
      <c r="AF694" s="19" t="str">
        <f t="shared" si="116"/>
        <v/>
      </c>
      <c r="AG694" s="27" t="str">
        <f>IF(AND('Supplier selection'!AB694="",'Supplier selection'!AI694=""),"",IF('Supplier selection'!AB694="",'Supplier selection'!AI694,'Supplier selection'!AB694))</f>
        <v/>
      </c>
      <c r="AH694" s="28" t="str">
        <f t="shared" si="117"/>
        <v/>
      </c>
      <c r="AI694" s="7" t="str">
        <f t="shared" si="118"/>
        <v/>
      </c>
      <c r="AJ694" s="22" t="str">
        <f t="shared" si="119"/>
        <v/>
      </c>
      <c r="AK694" s="29" t="str">
        <f t="shared" si="120"/>
        <v/>
      </c>
      <c r="AL694" s="10"/>
    </row>
    <row r="695" spans="1:38">
      <c r="A695" s="19">
        <f>IF('Supplier selection'!A695="","",'Supplier selection'!A695)</f>
        <v>691</v>
      </c>
      <c r="B695" s="19" t="str">
        <f>IF('Supplier selection'!B695="","",'Supplier selection'!B695)</f>
        <v/>
      </c>
      <c r="C695" s="19" t="str">
        <f>IF('Supplier selection'!C695="","",'Supplier selection'!C695)</f>
        <v/>
      </c>
      <c r="D695" s="19" t="str">
        <f>IF('Supplier selection'!D695="","",'Supplier selection'!D695)</f>
        <v/>
      </c>
      <c r="E695" s="19" t="str">
        <f>IF('Supplier selection'!E695="","",'Supplier selection'!E695)</f>
        <v/>
      </c>
      <c r="F695" s="19" t="str">
        <f>IF('Supplier selection'!F695="","",'Supplier selection'!F695)</f>
        <v/>
      </c>
      <c r="G695" s="19" t="str">
        <f>IF('Supplier selection'!G695="","",'Supplier selection'!G695)</f>
        <v/>
      </c>
      <c r="H695" s="19" t="str">
        <f>IF('Supplier selection'!H695="","",'Supplier selection'!H695)</f>
        <v/>
      </c>
      <c r="I695" s="19" t="str">
        <f>IF('Supplier selection'!I695="","",'Supplier selection'!I695)</f>
        <v/>
      </c>
      <c r="J695" s="19" t="str">
        <f>IF('Supplier selection'!J695="","",'Supplier selection'!J695)</f>
        <v/>
      </c>
      <c r="K695" s="19" t="str">
        <f>IF('Supplier selection'!K695="","",'Supplier selection'!K695)</f>
        <v/>
      </c>
      <c r="L695" s="19" t="str">
        <f>IF('Supplier selection'!L695="","",'Supplier selection'!L695)</f>
        <v/>
      </c>
      <c r="M695" s="19" t="str">
        <f>IF('Supplier selection'!M695="","",'Supplier selection'!M695)</f>
        <v/>
      </c>
      <c r="N695" s="19" t="str">
        <f>IF('Supplier selection'!N695="","",'Supplier selection'!N695)</f>
        <v/>
      </c>
      <c r="O695" s="19" t="str">
        <f>IF('Supplier selection'!O695="","",'Supplier selection'!O695)</f>
        <v/>
      </c>
      <c r="Q695" s="19" t="str">
        <f>HLOOKUP($Q$3,'Supplier selection'!$AW$4:'Supplier selection'!$CT$1000,$A696,FALSE)</f>
        <v/>
      </c>
      <c r="R695" s="22" t="str">
        <f t="shared" si="110"/>
        <v/>
      </c>
      <c r="S695" s="19" t="str">
        <f t="shared" si="111"/>
        <v/>
      </c>
      <c r="T695" s="22" t="str">
        <f t="shared" si="112"/>
        <v/>
      </c>
      <c r="U695" s="19" t="str">
        <f t="shared" si="113"/>
        <v/>
      </c>
      <c r="V695" s="7"/>
      <c r="Y695" s="19" t="str">
        <f>IF('Supplier selection'!AQ695="","",'Supplier selection'!AQ695)</f>
        <v/>
      </c>
      <c r="Z695" s="19" t="str">
        <f>IF('Supplier selection'!AR695="","",'Supplier selection'!AR695)</f>
        <v/>
      </c>
      <c r="AA695" s="19" t="str">
        <f t="shared" si="114"/>
        <v/>
      </c>
      <c r="AD695" s="26" t="str">
        <f>IF(AND('Supplier selection'!X695="",'Supplier selection'!AE695=""),"",IF('Supplier selection'!X695="",'Supplier selection'!AE695,'Supplier selection'!X695))</f>
        <v/>
      </c>
      <c r="AE695" s="19" t="str">
        <f t="shared" si="115"/>
        <v/>
      </c>
      <c r="AF695" s="19" t="str">
        <f t="shared" si="116"/>
        <v/>
      </c>
      <c r="AG695" s="27" t="str">
        <f>IF(AND('Supplier selection'!AB695="",'Supplier selection'!AI695=""),"",IF('Supplier selection'!AB695="",'Supplier selection'!AI695,'Supplier selection'!AB695))</f>
        <v/>
      </c>
      <c r="AH695" s="28" t="str">
        <f t="shared" si="117"/>
        <v/>
      </c>
      <c r="AI695" s="7" t="str">
        <f t="shared" si="118"/>
        <v/>
      </c>
      <c r="AJ695" s="22" t="str">
        <f t="shared" si="119"/>
        <v/>
      </c>
      <c r="AK695" s="29" t="str">
        <f t="shared" si="120"/>
        <v/>
      </c>
      <c r="AL695" s="10"/>
    </row>
    <row r="696" spans="1:38">
      <c r="A696" s="19">
        <f>IF('Supplier selection'!A696="","",'Supplier selection'!A696)</f>
        <v>692</v>
      </c>
      <c r="B696" s="19" t="str">
        <f>IF('Supplier selection'!B696="","",'Supplier selection'!B696)</f>
        <v/>
      </c>
      <c r="C696" s="19" t="str">
        <f>IF('Supplier selection'!C696="","",'Supplier selection'!C696)</f>
        <v/>
      </c>
      <c r="D696" s="19" t="str">
        <f>IF('Supplier selection'!D696="","",'Supplier selection'!D696)</f>
        <v/>
      </c>
      <c r="E696" s="19" t="str">
        <f>IF('Supplier selection'!E696="","",'Supplier selection'!E696)</f>
        <v/>
      </c>
      <c r="F696" s="19" t="str">
        <f>IF('Supplier selection'!F696="","",'Supplier selection'!F696)</f>
        <v/>
      </c>
      <c r="G696" s="19" t="str">
        <f>IF('Supplier selection'!G696="","",'Supplier selection'!G696)</f>
        <v/>
      </c>
      <c r="H696" s="19" t="str">
        <f>IF('Supplier selection'!H696="","",'Supplier selection'!H696)</f>
        <v/>
      </c>
      <c r="I696" s="19" t="str">
        <f>IF('Supplier selection'!I696="","",'Supplier selection'!I696)</f>
        <v/>
      </c>
      <c r="J696" s="19" t="str">
        <f>IF('Supplier selection'!J696="","",'Supplier selection'!J696)</f>
        <v/>
      </c>
      <c r="K696" s="19" t="str">
        <f>IF('Supplier selection'!K696="","",'Supplier selection'!K696)</f>
        <v/>
      </c>
      <c r="L696" s="19" t="str">
        <f>IF('Supplier selection'!L696="","",'Supplier selection'!L696)</f>
        <v/>
      </c>
      <c r="M696" s="19" t="str">
        <f>IF('Supplier selection'!M696="","",'Supplier selection'!M696)</f>
        <v/>
      </c>
      <c r="N696" s="19" t="str">
        <f>IF('Supplier selection'!N696="","",'Supplier selection'!N696)</f>
        <v/>
      </c>
      <c r="O696" s="19" t="str">
        <f>IF('Supplier selection'!O696="","",'Supplier selection'!O696)</f>
        <v/>
      </c>
      <c r="Q696" s="19" t="str">
        <f>HLOOKUP($Q$3,'Supplier selection'!$AW$4:'Supplier selection'!$CT$1000,$A697,FALSE)</f>
        <v/>
      </c>
      <c r="R696" s="22" t="str">
        <f t="shared" si="110"/>
        <v/>
      </c>
      <c r="S696" s="19" t="str">
        <f t="shared" si="111"/>
        <v/>
      </c>
      <c r="T696" s="22" t="str">
        <f t="shared" si="112"/>
        <v/>
      </c>
      <c r="U696" s="19" t="str">
        <f t="shared" si="113"/>
        <v/>
      </c>
      <c r="V696" s="7"/>
      <c r="Y696" s="19" t="str">
        <f>IF('Supplier selection'!AQ696="","",'Supplier selection'!AQ696)</f>
        <v/>
      </c>
      <c r="Z696" s="19" t="str">
        <f>IF('Supplier selection'!AR696="","",'Supplier selection'!AR696)</f>
        <v/>
      </c>
      <c r="AA696" s="19" t="str">
        <f t="shared" si="114"/>
        <v/>
      </c>
      <c r="AD696" s="26" t="str">
        <f>IF(AND('Supplier selection'!X696="",'Supplier selection'!AE696=""),"",IF('Supplier selection'!X696="",'Supplier selection'!AE696,'Supplier selection'!X696))</f>
        <v/>
      </c>
      <c r="AE696" s="19" t="str">
        <f t="shared" si="115"/>
        <v/>
      </c>
      <c r="AF696" s="19" t="str">
        <f t="shared" si="116"/>
        <v/>
      </c>
      <c r="AG696" s="27" t="str">
        <f>IF(AND('Supplier selection'!AB696="",'Supplier selection'!AI696=""),"",IF('Supplier selection'!AB696="",'Supplier selection'!AI696,'Supplier selection'!AB696))</f>
        <v/>
      </c>
      <c r="AH696" s="28" t="str">
        <f t="shared" si="117"/>
        <v/>
      </c>
      <c r="AI696" s="7" t="str">
        <f t="shared" si="118"/>
        <v/>
      </c>
      <c r="AJ696" s="22" t="str">
        <f t="shared" si="119"/>
        <v/>
      </c>
      <c r="AK696" s="29" t="str">
        <f t="shared" si="120"/>
        <v/>
      </c>
      <c r="AL696" s="10"/>
    </row>
    <row r="697" spans="1:38">
      <c r="A697" s="19">
        <f>IF('Supplier selection'!A697="","",'Supplier selection'!A697)</f>
        <v>693</v>
      </c>
      <c r="B697" s="19" t="str">
        <f>IF('Supplier selection'!B697="","",'Supplier selection'!B697)</f>
        <v/>
      </c>
      <c r="C697" s="19" t="str">
        <f>IF('Supplier selection'!C697="","",'Supplier selection'!C697)</f>
        <v/>
      </c>
      <c r="D697" s="19" t="str">
        <f>IF('Supplier selection'!D697="","",'Supplier selection'!D697)</f>
        <v/>
      </c>
      <c r="E697" s="19" t="str">
        <f>IF('Supplier selection'!E697="","",'Supplier selection'!E697)</f>
        <v/>
      </c>
      <c r="F697" s="19" t="str">
        <f>IF('Supplier selection'!F697="","",'Supplier selection'!F697)</f>
        <v/>
      </c>
      <c r="G697" s="19" t="str">
        <f>IF('Supplier selection'!G697="","",'Supplier selection'!G697)</f>
        <v/>
      </c>
      <c r="H697" s="19" t="str">
        <f>IF('Supplier selection'!H697="","",'Supplier selection'!H697)</f>
        <v/>
      </c>
      <c r="I697" s="19" t="str">
        <f>IF('Supplier selection'!I697="","",'Supplier selection'!I697)</f>
        <v/>
      </c>
      <c r="J697" s="19" t="str">
        <f>IF('Supplier selection'!J697="","",'Supplier selection'!J697)</f>
        <v/>
      </c>
      <c r="K697" s="19" t="str">
        <f>IF('Supplier selection'!K697="","",'Supplier selection'!K697)</f>
        <v/>
      </c>
      <c r="L697" s="19" t="str">
        <f>IF('Supplier selection'!L697="","",'Supplier selection'!L697)</f>
        <v/>
      </c>
      <c r="M697" s="19" t="str">
        <f>IF('Supplier selection'!M697="","",'Supplier selection'!M697)</f>
        <v/>
      </c>
      <c r="N697" s="19" t="str">
        <f>IF('Supplier selection'!N697="","",'Supplier selection'!N697)</f>
        <v/>
      </c>
      <c r="O697" s="19" t="str">
        <f>IF('Supplier selection'!O697="","",'Supplier selection'!O697)</f>
        <v/>
      </c>
      <c r="Q697" s="19" t="str">
        <f>HLOOKUP($Q$3,'Supplier selection'!$AW$4:'Supplier selection'!$CT$1000,$A698,FALSE)</f>
        <v/>
      </c>
      <c r="R697" s="22" t="str">
        <f t="shared" si="110"/>
        <v/>
      </c>
      <c r="S697" s="19" t="str">
        <f t="shared" si="111"/>
        <v/>
      </c>
      <c r="T697" s="22" t="str">
        <f t="shared" si="112"/>
        <v/>
      </c>
      <c r="U697" s="19" t="str">
        <f t="shared" si="113"/>
        <v/>
      </c>
      <c r="V697" s="7"/>
      <c r="Y697" s="19" t="str">
        <f>IF('Supplier selection'!AQ697="","",'Supplier selection'!AQ697)</f>
        <v/>
      </c>
      <c r="Z697" s="19" t="str">
        <f>IF('Supplier selection'!AR697="","",'Supplier selection'!AR697)</f>
        <v/>
      </c>
      <c r="AA697" s="19" t="str">
        <f t="shared" si="114"/>
        <v/>
      </c>
      <c r="AD697" s="26" t="str">
        <f>IF(AND('Supplier selection'!X697="",'Supplier selection'!AE697=""),"",IF('Supplier selection'!X697="",'Supplier selection'!AE697,'Supplier selection'!X697))</f>
        <v/>
      </c>
      <c r="AE697" s="19" t="str">
        <f t="shared" si="115"/>
        <v/>
      </c>
      <c r="AF697" s="19" t="str">
        <f t="shared" si="116"/>
        <v/>
      </c>
      <c r="AG697" s="27" t="str">
        <f>IF(AND('Supplier selection'!AB697="",'Supplier selection'!AI697=""),"",IF('Supplier selection'!AB697="",'Supplier selection'!AI697,'Supplier selection'!AB697))</f>
        <v/>
      </c>
      <c r="AH697" s="28" t="str">
        <f t="shared" si="117"/>
        <v/>
      </c>
      <c r="AI697" s="7" t="str">
        <f t="shared" si="118"/>
        <v/>
      </c>
      <c r="AJ697" s="22" t="str">
        <f t="shared" si="119"/>
        <v/>
      </c>
      <c r="AK697" s="29" t="str">
        <f t="shared" si="120"/>
        <v/>
      </c>
      <c r="AL697" s="10"/>
    </row>
    <row r="698" spans="1:38">
      <c r="A698" s="19">
        <f>IF('Supplier selection'!A698="","",'Supplier selection'!A698)</f>
        <v>694</v>
      </c>
      <c r="B698" s="19" t="str">
        <f>IF('Supplier selection'!B698="","",'Supplier selection'!B698)</f>
        <v/>
      </c>
      <c r="C698" s="19" t="str">
        <f>IF('Supplier selection'!C698="","",'Supplier selection'!C698)</f>
        <v/>
      </c>
      <c r="D698" s="19" t="str">
        <f>IF('Supplier selection'!D698="","",'Supplier selection'!D698)</f>
        <v/>
      </c>
      <c r="E698" s="19" t="str">
        <f>IF('Supplier selection'!E698="","",'Supplier selection'!E698)</f>
        <v/>
      </c>
      <c r="F698" s="19" t="str">
        <f>IF('Supplier selection'!F698="","",'Supplier selection'!F698)</f>
        <v/>
      </c>
      <c r="G698" s="19" t="str">
        <f>IF('Supplier selection'!G698="","",'Supplier selection'!G698)</f>
        <v/>
      </c>
      <c r="H698" s="19" t="str">
        <f>IF('Supplier selection'!H698="","",'Supplier selection'!H698)</f>
        <v/>
      </c>
      <c r="I698" s="19" t="str">
        <f>IF('Supplier selection'!I698="","",'Supplier selection'!I698)</f>
        <v/>
      </c>
      <c r="J698" s="19" t="str">
        <f>IF('Supplier selection'!J698="","",'Supplier selection'!J698)</f>
        <v/>
      </c>
      <c r="K698" s="19" t="str">
        <f>IF('Supplier selection'!K698="","",'Supplier selection'!K698)</f>
        <v/>
      </c>
      <c r="L698" s="19" t="str">
        <f>IF('Supplier selection'!L698="","",'Supplier selection'!L698)</f>
        <v/>
      </c>
      <c r="M698" s="19" t="str">
        <f>IF('Supplier selection'!M698="","",'Supplier selection'!M698)</f>
        <v/>
      </c>
      <c r="N698" s="19" t="str">
        <f>IF('Supplier selection'!N698="","",'Supplier selection'!N698)</f>
        <v/>
      </c>
      <c r="O698" s="19" t="str">
        <f>IF('Supplier selection'!O698="","",'Supplier selection'!O698)</f>
        <v/>
      </c>
      <c r="Q698" s="19" t="str">
        <f>HLOOKUP($Q$3,'Supplier selection'!$AW$4:'Supplier selection'!$CT$1000,$A699,FALSE)</f>
        <v/>
      </c>
      <c r="R698" s="22" t="str">
        <f t="shared" si="110"/>
        <v/>
      </c>
      <c r="S698" s="19" t="str">
        <f t="shared" si="111"/>
        <v/>
      </c>
      <c r="T698" s="22" t="str">
        <f t="shared" si="112"/>
        <v/>
      </c>
      <c r="U698" s="19" t="str">
        <f t="shared" si="113"/>
        <v/>
      </c>
      <c r="V698" s="7"/>
      <c r="Y698" s="19" t="str">
        <f>IF('Supplier selection'!AQ698="","",'Supplier selection'!AQ698)</f>
        <v/>
      </c>
      <c r="Z698" s="19" t="str">
        <f>IF('Supplier selection'!AR698="","",'Supplier selection'!AR698)</f>
        <v/>
      </c>
      <c r="AA698" s="19" t="str">
        <f t="shared" si="114"/>
        <v/>
      </c>
      <c r="AD698" s="26" t="str">
        <f>IF(AND('Supplier selection'!X698="",'Supplier selection'!AE698=""),"",IF('Supplier selection'!X698="",'Supplier selection'!AE698,'Supplier selection'!X698))</f>
        <v/>
      </c>
      <c r="AE698" s="19" t="str">
        <f t="shared" si="115"/>
        <v/>
      </c>
      <c r="AF698" s="19" t="str">
        <f t="shared" si="116"/>
        <v/>
      </c>
      <c r="AG698" s="27" t="str">
        <f>IF(AND('Supplier selection'!AB698="",'Supplier selection'!AI698=""),"",IF('Supplier selection'!AB698="",'Supplier selection'!AI698,'Supplier selection'!AB698))</f>
        <v/>
      </c>
      <c r="AH698" s="28" t="str">
        <f t="shared" si="117"/>
        <v/>
      </c>
      <c r="AI698" s="7" t="str">
        <f t="shared" si="118"/>
        <v/>
      </c>
      <c r="AJ698" s="22" t="str">
        <f t="shared" si="119"/>
        <v/>
      </c>
      <c r="AK698" s="29" t="str">
        <f t="shared" si="120"/>
        <v/>
      </c>
      <c r="AL698" s="10"/>
    </row>
    <row r="699" spans="1:38">
      <c r="A699" s="19">
        <f>IF('Supplier selection'!A699="","",'Supplier selection'!A699)</f>
        <v>695</v>
      </c>
      <c r="B699" s="19" t="str">
        <f>IF('Supplier selection'!B699="","",'Supplier selection'!B699)</f>
        <v/>
      </c>
      <c r="C699" s="19" t="str">
        <f>IF('Supplier selection'!C699="","",'Supplier selection'!C699)</f>
        <v/>
      </c>
      <c r="D699" s="19" t="str">
        <f>IF('Supplier selection'!D699="","",'Supplier selection'!D699)</f>
        <v/>
      </c>
      <c r="E699" s="19" t="str">
        <f>IF('Supplier selection'!E699="","",'Supplier selection'!E699)</f>
        <v/>
      </c>
      <c r="F699" s="19" t="str">
        <f>IF('Supplier selection'!F699="","",'Supplier selection'!F699)</f>
        <v/>
      </c>
      <c r="G699" s="19" t="str">
        <f>IF('Supplier selection'!G699="","",'Supplier selection'!G699)</f>
        <v/>
      </c>
      <c r="H699" s="19" t="str">
        <f>IF('Supplier selection'!H699="","",'Supplier selection'!H699)</f>
        <v/>
      </c>
      <c r="I699" s="19" t="str">
        <f>IF('Supplier selection'!I699="","",'Supplier selection'!I699)</f>
        <v/>
      </c>
      <c r="J699" s="19" t="str">
        <f>IF('Supplier selection'!J699="","",'Supplier selection'!J699)</f>
        <v/>
      </c>
      <c r="K699" s="19" t="str">
        <f>IF('Supplier selection'!K699="","",'Supplier selection'!K699)</f>
        <v/>
      </c>
      <c r="L699" s="19" t="str">
        <f>IF('Supplier selection'!L699="","",'Supplier selection'!L699)</f>
        <v/>
      </c>
      <c r="M699" s="19" t="str">
        <f>IF('Supplier selection'!M699="","",'Supplier selection'!M699)</f>
        <v/>
      </c>
      <c r="N699" s="19" t="str">
        <f>IF('Supplier selection'!N699="","",'Supplier selection'!N699)</f>
        <v/>
      </c>
      <c r="O699" s="19" t="str">
        <f>IF('Supplier selection'!O699="","",'Supplier selection'!O699)</f>
        <v/>
      </c>
      <c r="Q699" s="19" t="str">
        <f>HLOOKUP($Q$3,'Supplier selection'!$AW$4:'Supplier selection'!$CT$1000,$A700,FALSE)</f>
        <v/>
      </c>
      <c r="R699" s="22" t="str">
        <f t="shared" si="110"/>
        <v/>
      </c>
      <c r="S699" s="19" t="str">
        <f t="shared" si="111"/>
        <v/>
      </c>
      <c r="T699" s="22" t="str">
        <f t="shared" si="112"/>
        <v/>
      </c>
      <c r="U699" s="19" t="str">
        <f t="shared" si="113"/>
        <v/>
      </c>
      <c r="V699" s="7"/>
      <c r="Y699" s="19" t="str">
        <f>IF('Supplier selection'!AQ699="","",'Supplier selection'!AQ699)</f>
        <v/>
      </c>
      <c r="Z699" s="19" t="str">
        <f>IF('Supplier selection'!AR699="","",'Supplier selection'!AR699)</f>
        <v/>
      </c>
      <c r="AA699" s="19" t="str">
        <f t="shared" si="114"/>
        <v/>
      </c>
      <c r="AD699" s="26" t="str">
        <f>IF(AND('Supplier selection'!X699="",'Supplier selection'!AE699=""),"",IF('Supplier selection'!X699="",'Supplier selection'!AE699,'Supplier selection'!X699))</f>
        <v/>
      </c>
      <c r="AE699" s="19" t="str">
        <f t="shared" si="115"/>
        <v/>
      </c>
      <c r="AF699" s="19" t="str">
        <f t="shared" si="116"/>
        <v/>
      </c>
      <c r="AG699" s="27" t="str">
        <f>IF(AND('Supplier selection'!AB699="",'Supplier selection'!AI699=""),"",IF('Supplier selection'!AB699="",'Supplier selection'!AI699,'Supplier selection'!AB699))</f>
        <v/>
      </c>
      <c r="AH699" s="28" t="str">
        <f t="shared" si="117"/>
        <v/>
      </c>
      <c r="AI699" s="7" t="str">
        <f t="shared" si="118"/>
        <v/>
      </c>
      <c r="AJ699" s="22" t="str">
        <f t="shared" si="119"/>
        <v/>
      </c>
      <c r="AK699" s="29" t="str">
        <f t="shared" si="120"/>
        <v/>
      </c>
      <c r="AL699" s="10"/>
    </row>
    <row r="700" spans="1:38">
      <c r="A700" s="19">
        <f>IF('Supplier selection'!A700="","",'Supplier selection'!A700)</f>
        <v>696</v>
      </c>
      <c r="B700" s="19" t="str">
        <f>IF('Supplier selection'!B700="","",'Supplier selection'!B700)</f>
        <v/>
      </c>
      <c r="C700" s="19" t="str">
        <f>IF('Supplier selection'!C700="","",'Supplier selection'!C700)</f>
        <v/>
      </c>
      <c r="D700" s="19" t="str">
        <f>IF('Supplier selection'!D700="","",'Supplier selection'!D700)</f>
        <v/>
      </c>
      <c r="E700" s="19" t="str">
        <f>IF('Supplier selection'!E700="","",'Supplier selection'!E700)</f>
        <v/>
      </c>
      <c r="F700" s="19" t="str">
        <f>IF('Supplier selection'!F700="","",'Supplier selection'!F700)</f>
        <v/>
      </c>
      <c r="G700" s="19" t="str">
        <f>IF('Supplier selection'!G700="","",'Supplier selection'!G700)</f>
        <v/>
      </c>
      <c r="H700" s="19" t="str">
        <f>IF('Supplier selection'!H700="","",'Supplier selection'!H700)</f>
        <v/>
      </c>
      <c r="I700" s="19" t="str">
        <f>IF('Supplier selection'!I700="","",'Supplier selection'!I700)</f>
        <v/>
      </c>
      <c r="J700" s="19" t="str">
        <f>IF('Supplier selection'!J700="","",'Supplier selection'!J700)</f>
        <v/>
      </c>
      <c r="K700" s="19" t="str">
        <f>IF('Supplier selection'!K700="","",'Supplier selection'!K700)</f>
        <v/>
      </c>
      <c r="L700" s="19" t="str">
        <f>IF('Supplier selection'!L700="","",'Supplier selection'!L700)</f>
        <v/>
      </c>
      <c r="M700" s="19" t="str">
        <f>IF('Supplier selection'!M700="","",'Supplier selection'!M700)</f>
        <v/>
      </c>
      <c r="N700" s="19" t="str">
        <f>IF('Supplier selection'!N700="","",'Supplier selection'!N700)</f>
        <v/>
      </c>
      <c r="O700" s="19" t="str">
        <f>IF('Supplier selection'!O700="","",'Supplier selection'!O700)</f>
        <v/>
      </c>
      <c r="Q700" s="19" t="str">
        <f>HLOOKUP($Q$3,'Supplier selection'!$AW$4:'Supplier selection'!$CT$1000,$A701,FALSE)</f>
        <v/>
      </c>
      <c r="R700" s="22" t="str">
        <f t="shared" si="110"/>
        <v/>
      </c>
      <c r="S700" s="19" t="str">
        <f t="shared" si="111"/>
        <v/>
      </c>
      <c r="T700" s="22" t="str">
        <f t="shared" si="112"/>
        <v/>
      </c>
      <c r="U700" s="19" t="str">
        <f t="shared" si="113"/>
        <v/>
      </c>
      <c r="V700" s="7"/>
      <c r="Y700" s="19" t="str">
        <f>IF('Supplier selection'!AQ700="","",'Supplier selection'!AQ700)</f>
        <v/>
      </c>
      <c r="Z700" s="19" t="str">
        <f>IF('Supplier selection'!AR700="","",'Supplier selection'!AR700)</f>
        <v/>
      </c>
      <c r="AA700" s="19" t="str">
        <f t="shared" si="114"/>
        <v/>
      </c>
      <c r="AD700" s="26" t="str">
        <f>IF(AND('Supplier selection'!X700="",'Supplier selection'!AE700=""),"",IF('Supplier selection'!X700="",'Supplier selection'!AE700,'Supplier selection'!X700))</f>
        <v/>
      </c>
      <c r="AE700" s="19" t="str">
        <f t="shared" si="115"/>
        <v/>
      </c>
      <c r="AF700" s="19" t="str">
        <f t="shared" si="116"/>
        <v/>
      </c>
      <c r="AG700" s="27" t="str">
        <f>IF(AND('Supplier selection'!AB700="",'Supplier selection'!AI700=""),"",IF('Supplier selection'!AB700="",'Supplier selection'!AI700,'Supplier selection'!AB700))</f>
        <v/>
      </c>
      <c r="AH700" s="28" t="str">
        <f t="shared" si="117"/>
        <v/>
      </c>
      <c r="AI700" s="7" t="str">
        <f t="shared" si="118"/>
        <v/>
      </c>
      <c r="AJ700" s="22" t="str">
        <f t="shared" si="119"/>
        <v/>
      </c>
      <c r="AK700" s="29" t="str">
        <f t="shared" si="120"/>
        <v/>
      </c>
      <c r="AL700" s="10"/>
    </row>
    <row r="701" spans="1:38">
      <c r="A701" s="19">
        <f>IF('Supplier selection'!A701="","",'Supplier selection'!A701)</f>
        <v>697</v>
      </c>
      <c r="B701" s="19" t="str">
        <f>IF('Supplier selection'!B701="","",'Supplier selection'!B701)</f>
        <v/>
      </c>
      <c r="C701" s="19" t="str">
        <f>IF('Supplier selection'!C701="","",'Supplier selection'!C701)</f>
        <v/>
      </c>
      <c r="D701" s="19" t="str">
        <f>IF('Supplier selection'!D701="","",'Supplier selection'!D701)</f>
        <v/>
      </c>
      <c r="E701" s="19" t="str">
        <f>IF('Supplier selection'!E701="","",'Supplier selection'!E701)</f>
        <v/>
      </c>
      <c r="F701" s="19" t="str">
        <f>IF('Supplier selection'!F701="","",'Supplier selection'!F701)</f>
        <v/>
      </c>
      <c r="G701" s="19" t="str">
        <f>IF('Supplier selection'!G701="","",'Supplier selection'!G701)</f>
        <v/>
      </c>
      <c r="H701" s="19" t="str">
        <f>IF('Supplier selection'!H701="","",'Supplier selection'!H701)</f>
        <v/>
      </c>
      <c r="I701" s="19" t="str">
        <f>IF('Supplier selection'!I701="","",'Supplier selection'!I701)</f>
        <v/>
      </c>
      <c r="J701" s="19" t="str">
        <f>IF('Supplier selection'!J701="","",'Supplier selection'!J701)</f>
        <v/>
      </c>
      <c r="K701" s="19" t="str">
        <f>IF('Supplier selection'!K701="","",'Supplier selection'!K701)</f>
        <v/>
      </c>
      <c r="L701" s="19" t="str">
        <f>IF('Supplier selection'!L701="","",'Supplier selection'!L701)</f>
        <v/>
      </c>
      <c r="M701" s="19" t="str">
        <f>IF('Supplier selection'!M701="","",'Supplier selection'!M701)</f>
        <v/>
      </c>
      <c r="N701" s="19" t="str">
        <f>IF('Supplier selection'!N701="","",'Supplier selection'!N701)</f>
        <v/>
      </c>
      <c r="O701" s="19" t="str">
        <f>IF('Supplier selection'!O701="","",'Supplier selection'!O701)</f>
        <v/>
      </c>
      <c r="Q701" s="19" t="str">
        <f>HLOOKUP($Q$3,'Supplier selection'!$AW$4:'Supplier selection'!$CT$1000,$A702,FALSE)</f>
        <v/>
      </c>
      <c r="R701" s="22" t="str">
        <f t="shared" si="110"/>
        <v/>
      </c>
      <c r="S701" s="19" t="str">
        <f t="shared" si="111"/>
        <v/>
      </c>
      <c r="T701" s="22" t="str">
        <f t="shared" si="112"/>
        <v/>
      </c>
      <c r="U701" s="19" t="str">
        <f t="shared" si="113"/>
        <v/>
      </c>
      <c r="V701" s="7"/>
      <c r="Y701" s="19" t="str">
        <f>IF('Supplier selection'!AQ701="","",'Supplier selection'!AQ701)</f>
        <v/>
      </c>
      <c r="Z701" s="19" t="str">
        <f>IF('Supplier selection'!AR701="","",'Supplier selection'!AR701)</f>
        <v/>
      </c>
      <c r="AA701" s="19" t="str">
        <f t="shared" si="114"/>
        <v/>
      </c>
      <c r="AD701" s="26" t="str">
        <f>IF(AND('Supplier selection'!X701="",'Supplier selection'!AE701=""),"",IF('Supplier selection'!X701="",'Supplier selection'!AE701,'Supplier selection'!X701))</f>
        <v/>
      </c>
      <c r="AE701" s="19" t="str">
        <f t="shared" si="115"/>
        <v/>
      </c>
      <c r="AF701" s="19" t="str">
        <f t="shared" si="116"/>
        <v/>
      </c>
      <c r="AG701" s="27" t="str">
        <f>IF(AND('Supplier selection'!AB701="",'Supplier selection'!AI701=""),"",IF('Supplier selection'!AB701="",'Supplier selection'!AI701,'Supplier selection'!AB701))</f>
        <v/>
      </c>
      <c r="AH701" s="28" t="str">
        <f t="shared" si="117"/>
        <v/>
      </c>
      <c r="AI701" s="7" t="str">
        <f t="shared" si="118"/>
        <v/>
      </c>
      <c r="AJ701" s="22" t="str">
        <f t="shared" si="119"/>
        <v/>
      </c>
      <c r="AK701" s="29" t="str">
        <f t="shared" si="120"/>
        <v/>
      </c>
      <c r="AL701" s="10"/>
    </row>
    <row r="702" spans="1:38">
      <c r="A702" s="19">
        <f>IF('Supplier selection'!A702="","",'Supplier selection'!A702)</f>
        <v>698</v>
      </c>
      <c r="B702" s="19" t="str">
        <f>IF('Supplier selection'!B702="","",'Supplier selection'!B702)</f>
        <v/>
      </c>
      <c r="C702" s="19" t="str">
        <f>IF('Supplier selection'!C702="","",'Supplier selection'!C702)</f>
        <v/>
      </c>
      <c r="D702" s="19" t="str">
        <f>IF('Supplier selection'!D702="","",'Supplier selection'!D702)</f>
        <v/>
      </c>
      <c r="E702" s="19" t="str">
        <f>IF('Supplier selection'!E702="","",'Supplier selection'!E702)</f>
        <v/>
      </c>
      <c r="F702" s="19" t="str">
        <f>IF('Supplier selection'!F702="","",'Supplier selection'!F702)</f>
        <v/>
      </c>
      <c r="G702" s="19" t="str">
        <f>IF('Supplier selection'!G702="","",'Supplier selection'!G702)</f>
        <v/>
      </c>
      <c r="H702" s="19" t="str">
        <f>IF('Supplier selection'!H702="","",'Supplier selection'!H702)</f>
        <v/>
      </c>
      <c r="I702" s="19" t="str">
        <f>IF('Supplier selection'!I702="","",'Supplier selection'!I702)</f>
        <v/>
      </c>
      <c r="J702" s="19" t="str">
        <f>IF('Supplier selection'!J702="","",'Supplier selection'!J702)</f>
        <v/>
      </c>
      <c r="K702" s="19" t="str">
        <f>IF('Supplier selection'!K702="","",'Supplier selection'!K702)</f>
        <v/>
      </c>
      <c r="L702" s="19" t="str">
        <f>IF('Supplier selection'!L702="","",'Supplier selection'!L702)</f>
        <v/>
      </c>
      <c r="M702" s="19" t="str">
        <f>IF('Supplier selection'!M702="","",'Supplier selection'!M702)</f>
        <v/>
      </c>
      <c r="N702" s="19" t="str">
        <f>IF('Supplier selection'!N702="","",'Supplier selection'!N702)</f>
        <v/>
      </c>
      <c r="O702" s="19" t="str">
        <f>IF('Supplier selection'!O702="","",'Supplier selection'!O702)</f>
        <v/>
      </c>
      <c r="Q702" s="19" t="str">
        <f>HLOOKUP($Q$3,'Supplier selection'!$AW$4:'Supplier selection'!$CT$1000,$A703,FALSE)</f>
        <v/>
      </c>
      <c r="R702" s="22" t="str">
        <f t="shared" si="110"/>
        <v/>
      </c>
      <c r="S702" s="19" t="str">
        <f t="shared" si="111"/>
        <v/>
      </c>
      <c r="T702" s="22" t="str">
        <f t="shared" si="112"/>
        <v/>
      </c>
      <c r="U702" s="19" t="str">
        <f t="shared" si="113"/>
        <v/>
      </c>
      <c r="V702" s="7"/>
      <c r="Y702" s="19" t="str">
        <f>IF('Supplier selection'!AQ702="","",'Supplier selection'!AQ702)</f>
        <v/>
      </c>
      <c r="Z702" s="19" t="str">
        <f>IF('Supplier selection'!AR702="","",'Supplier selection'!AR702)</f>
        <v/>
      </c>
      <c r="AA702" s="19" t="str">
        <f t="shared" si="114"/>
        <v/>
      </c>
      <c r="AD702" s="26" t="str">
        <f>IF(AND('Supplier selection'!X702="",'Supplier selection'!AE702=""),"",IF('Supplier selection'!X702="",'Supplier selection'!AE702,'Supplier selection'!X702))</f>
        <v/>
      </c>
      <c r="AE702" s="19" t="str">
        <f t="shared" si="115"/>
        <v/>
      </c>
      <c r="AF702" s="19" t="str">
        <f t="shared" si="116"/>
        <v/>
      </c>
      <c r="AG702" s="27" t="str">
        <f>IF(AND('Supplier selection'!AB702="",'Supplier selection'!AI702=""),"",IF('Supplier selection'!AB702="",'Supplier selection'!AI702,'Supplier selection'!AB702))</f>
        <v/>
      </c>
      <c r="AH702" s="28" t="str">
        <f t="shared" si="117"/>
        <v/>
      </c>
      <c r="AI702" s="7" t="str">
        <f t="shared" si="118"/>
        <v/>
      </c>
      <c r="AJ702" s="22" t="str">
        <f t="shared" si="119"/>
        <v/>
      </c>
      <c r="AK702" s="29" t="str">
        <f t="shared" si="120"/>
        <v/>
      </c>
      <c r="AL702" s="10"/>
    </row>
    <row r="703" spans="1:38">
      <c r="A703" s="19">
        <f>IF('Supplier selection'!A703="","",'Supplier selection'!A703)</f>
        <v>699</v>
      </c>
      <c r="B703" s="19" t="str">
        <f>IF('Supplier selection'!B703="","",'Supplier selection'!B703)</f>
        <v/>
      </c>
      <c r="C703" s="19" t="str">
        <f>IF('Supplier selection'!C703="","",'Supplier selection'!C703)</f>
        <v/>
      </c>
      <c r="D703" s="19" t="str">
        <f>IF('Supplier selection'!D703="","",'Supplier selection'!D703)</f>
        <v/>
      </c>
      <c r="E703" s="19" t="str">
        <f>IF('Supplier selection'!E703="","",'Supplier selection'!E703)</f>
        <v/>
      </c>
      <c r="F703" s="19" t="str">
        <f>IF('Supplier selection'!F703="","",'Supplier selection'!F703)</f>
        <v/>
      </c>
      <c r="G703" s="19" t="str">
        <f>IF('Supplier selection'!G703="","",'Supplier selection'!G703)</f>
        <v/>
      </c>
      <c r="H703" s="19" t="str">
        <f>IF('Supplier selection'!H703="","",'Supplier selection'!H703)</f>
        <v/>
      </c>
      <c r="I703" s="19" t="str">
        <f>IF('Supplier selection'!I703="","",'Supplier selection'!I703)</f>
        <v/>
      </c>
      <c r="J703" s="19" t="str">
        <f>IF('Supplier selection'!J703="","",'Supplier selection'!J703)</f>
        <v/>
      </c>
      <c r="K703" s="19" t="str">
        <f>IF('Supplier selection'!K703="","",'Supplier selection'!K703)</f>
        <v/>
      </c>
      <c r="L703" s="19" t="str">
        <f>IF('Supplier selection'!L703="","",'Supplier selection'!L703)</f>
        <v/>
      </c>
      <c r="M703" s="19" t="str">
        <f>IF('Supplier selection'!M703="","",'Supplier selection'!M703)</f>
        <v/>
      </c>
      <c r="N703" s="19" t="str">
        <f>IF('Supplier selection'!N703="","",'Supplier selection'!N703)</f>
        <v/>
      </c>
      <c r="O703" s="19" t="str">
        <f>IF('Supplier selection'!O703="","",'Supplier selection'!O703)</f>
        <v/>
      </c>
      <c r="Q703" s="19" t="str">
        <f>HLOOKUP($Q$3,'Supplier selection'!$AW$4:'Supplier selection'!$CT$1000,$A704,FALSE)</f>
        <v/>
      </c>
      <c r="R703" s="22" t="str">
        <f t="shared" si="110"/>
        <v/>
      </c>
      <c r="S703" s="19" t="str">
        <f t="shared" si="111"/>
        <v/>
      </c>
      <c r="T703" s="22" t="str">
        <f t="shared" si="112"/>
        <v/>
      </c>
      <c r="U703" s="19" t="str">
        <f t="shared" si="113"/>
        <v/>
      </c>
      <c r="V703" s="7"/>
      <c r="Y703" s="19" t="str">
        <f>IF('Supplier selection'!AQ703="","",'Supplier selection'!AQ703)</f>
        <v/>
      </c>
      <c r="Z703" s="19" t="str">
        <f>IF('Supplier selection'!AR703="","",'Supplier selection'!AR703)</f>
        <v/>
      </c>
      <c r="AA703" s="19" t="str">
        <f t="shared" si="114"/>
        <v/>
      </c>
      <c r="AD703" s="26" t="str">
        <f>IF(AND('Supplier selection'!X703="",'Supplier selection'!AE703=""),"",IF('Supplier selection'!X703="",'Supplier selection'!AE703,'Supplier selection'!X703))</f>
        <v/>
      </c>
      <c r="AE703" s="19" t="str">
        <f t="shared" si="115"/>
        <v/>
      </c>
      <c r="AF703" s="19" t="str">
        <f t="shared" si="116"/>
        <v/>
      </c>
      <c r="AG703" s="27" t="str">
        <f>IF(AND('Supplier selection'!AB703="",'Supplier selection'!AI703=""),"",IF('Supplier selection'!AB703="",'Supplier selection'!AI703,'Supplier selection'!AB703))</f>
        <v/>
      </c>
      <c r="AH703" s="28" t="str">
        <f t="shared" si="117"/>
        <v/>
      </c>
      <c r="AI703" s="7" t="str">
        <f t="shared" si="118"/>
        <v/>
      </c>
      <c r="AJ703" s="22" t="str">
        <f t="shared" si="119"/>
        <v/>
      </c>
      <c r="AK703" s="29" t="str">
        <f t="shared" si="120"/>
        <v/>
      </c>
      <c r="AL703" s="10"/>
    </row>
    <row r="704" spans="1:38">
      <c r="A704" s="19">
        <f>IF('Supplier selection'!A704="","",'Supplier selection'!A704)</f>
        <v>700</v>
      </c>
      <c r="B704" s="19" t="str">
        <f>IF('Supplier selection'!B704="","",'Supplier selection'!B704)</f>
        <v/>
      </c>
      <c r="C704" s="19" t="str">
        <f>IF('Supplier selection'!C704="","",'Supplier selection'!C704)</f>
        <v/>
      </c>
      <c r="D704" s="19" t="str">
        <f>IF('Supplier selection'!D704="","",'Supplier selection'!D704)</f>
        <v/>
      </c>
      <c r="E704" s="19" t="str">
        <f>IF('Supplier selection'!E704="","",'Supplier selection'!E704)</f>
        <v/>
      </c>
      <c r="F704" s="19" t="str">
        <f>IF('Supplier selection'!F704="","",'Supplier selection'!F704)</f>
        <v/>
      </c>
      <c r="G704" s="19" t="str">
        <f>IF('Supplier selection'!G704="","",'Supplier selection'!G704)</f>
        <v/>
      </c>
      <c r="H704" s="19" t="str">
        <f>IF('Supplier selection'!H704="","",'Supplier selection'!H704)</f>
        <v/>
      </c>
      <c r="I704" s="19" t="str">
        <f>IF('Supplier selection'!I704="","",'Supplier selection'!I704)</f>
        <v/>
      </c>
      <c r="J704" s="19" t="str">
        <f>IF('Supplier selection'!J704="","",'Supplier selection'!J704)</f>
        <v/>
      </c>
      <c r="K704" s="19" t="str">
        <f>IF('Supplier selection'!K704="","",'Supplier selection'!K704)</f>
        <v/>
      </c>
      <c r="L704" s="19" t="str">
        <f>IF('Supplier selection'!L704="","",'Supplier selection'!L704)</f>
        <v/>
      </c>
      <c r="M704" s="19" t="str">
        <f>IF('Supplier selection'!M704="","",'Supplier selection'!M704)</f>
        <v/>
      </c>
      <c r="N704" s="19" t="str">
        <f>IF('Supplier selection'!N704="","",'Supplier selection'!N704)</f>
        <v/>
      </c>
      <c r="O704" s="19" t="str">
        <f>IF('Supplier selection'!O704="","",'Supplier selection'!O704)</f>
        <v/>
      </c>
      <c r="Q704" s="19" t="str">
        <f>HLOOKUP($Q$3,'Supplier selection'!$AW$4:'Supplier selection'!$CT$1000,$A705,FALSE)</f>
        <v/>
      </c>
      <c r="R704" s="22" t="str">
        <f t="shared" si="110"/>
        <v/>
      </c>
      <c r="S704" s="19" t="str">
        <f t="shared" si="111"/>
        <v/>
      </c>
      <c r="T704" s="22" t="str">
        <f t="shared" si="112"/>
        <v/>
      </c>
      <c r="U704" s="19" t="str">
        <f t="shared" si="113"/>
        <v/>
      </c>
      <c r="V704" s="7"/>
      <c r="Y704" s="19" t="str">
        <f>IF('Supplier selection'!AQ704="","",'Supplier selection'!AQ704)</f>
        <v/>
      </c>
      <c r="Z704" s="19" t="str">
        <f>IF('Supplier selection'!AR704="","",'Supplier selection'!AR704)</f>
        <v/>
      </c>
      <c r="AA704" s="19" t="str">
        <f t="shared" si="114"/>
        <v/>
      </c>
      <c r="AD704" s="26" t="str">
        <f>IF(AND('Supplier selection'!X704="",'Supplier selection'!AE704=""),"",IF('Supplier selection'!X704="",'Supplier selection'!AE704,'Supplier selection'!X704))</f>
        <v/>
      </c>
      <c r="AE704" s="19" t="str">
        <f t="shared" si="115"/>
        <v/>
      </c>
      <c r="AF704" s="19" t="str">
        <f t="shared" si="116"/>
        <v/>
      </c>
      <c r="AG704" s="27" t="str">
        <f>IF(AND('Supplier selection'!AB704="",'Supplier selection'!AI704=""),"",IF('Supplier selection'!AB704="",'Supplier selection'!AI704,'Supplier selection'!AB704))</f>
        <v/>
      </c>
      <c r="AH704" s="28" t="str">
        <f t="shared" si="117"/>
        <v/>
      </c>
      <c r="AI704" s="7" t="str">
        <f t="shared" si="118"/>
        <v/>
      </c>
      <c r="AJ704" s="22" t="str">
        <f t="shared" si="119"/>
        <v/>
      </c>
      <c r="AK704" s="29" t="str">
        <f t="shared" si="120"/>
        <v/>
      </c>
      <c r="AL704" s="10"/>
    </row>
    <row r="705" spans="1:38">
      <c r="A705" s="19">
        <f>IF('Supplier selection'!A705="","",'Supplier selection'!A705)</f>
        <v>701</v>
      </c>
      <c r="B705" s="19" t="str">
        <f>IF('Supplier selection'!B705="","",'Supplier selection'!B705)</f>
        <v/>
      </c>
      <c r="C705" s="19" t="str">
        <f>IF('Supplier selection'!C705="","",'Supplier selection'!C705)</f>
        <v/>
      </c>
      <c r="D705" s="19" t="str">
        <f>IF('Supplier selection'!D705="","",'Supplier selection'!D705)</f>
        <v/>
      </c>
      <c r="E705" s="19" t="str">
        <f>IF('Supplier selection'!E705="","",'Supplier selection'!E705)</f>
        <v/>
      </c>
      <c r="F705" s="19" t="str">
        <f>IF('Supplier selection'!F705="","",'Supplier selection'!F705)</f>
        <v/>
      </c>
      <c r="G705" s="19" t="str">
        <f>IF('Supplier selection'!G705="","",'Supplier selection'!G705)</f>
        <v/>
      </c>
      <c r="H705" s="19" t="str">
        <f>IF('Supplier selection'!H705="","",'Supplier selection'!H705)</f>
        <v/>
      </c>
      <c r="I705" s="19" t="str">
        <f>IF('Supplier selection'!I705="","",'Supplier selection'!I705)</f>
        <v/>
      </c>
      <c r="J705" s="19" t="str">
        <f>IF('Supplier selection'!J705="","",'Supplier selection'!J705)</f>
        <v/>
      </c>
      <c r="K705" s="19" t="str">
        <f>IF('Supplier selection'!K705="","",'Supplier selection'!K705)</f>
        <v/>
      </c>
      <c r="L705" s="19" t="str">
        <f>IF('Supplier selection'!L705="","",'Supplier selection'!L705)</f>
        <v/>
      </c>
      <c r="M705" s="19" t="str">
        <f>IF('Supplier selection'!M705="","",'Supplier selection'!M705)</f>
        <v/>
      </c>
      <c r="N705" s="19" t="str">
        <f>IF('Supplier selection'!N705="","",'Supplier selection'!N705)</f>
        <v/>
      </c>
      <c r="O705" s="19" t="str">
        <f>IF('Supplier selection'!O705="","",'Supplier selection'!O705)</f>
        <v/>
      </c>
      <c r="Q705" s="19" t="str">
        <f>HLOOKUP($Q$3,'Supplier selection'!$AW$4:'Supplier selection'!$CT$1000,$A706,FALSE)</f>
        <v/>
      </c>
      <c r="R705" s="22" t="str">
        <f t="shared" si="110"/>
        <v/>
      </c>
      <c r="S705" s="19" t="str">
        <f t="shared" si="111"/>
        <v/>
      </c>
      <c r="T705" s="22" t="str">
        <f t="shared" si="112"/>
        <v/>
      </c>
      <c r="U705" s="19" t="str">
        <f t="shared" si="113"/>
        <v/>
      </c>
      <c r="V705" s="7"/>
      <c r="Y705" s="19" t="str">
        <f>IF('Supplier selection'!AQ705="","",'Supplier selection'!AQ705)</f>
        <v/>
      </c>
      <c r="Z705" s="19" t="str">
        <f>IF('Supplier selection'!AR705="","",'Supplier selection'!AR705)</f>
        <v/>
      </c>
      <c r="AA705" s="19" t="str">
        <f t="shared" si="114"/>
        <v/>
      </c>
      <c r="AD705" s="26" t="str">
        <f>IF(AND('Supplier selection'!X705="",'Supplier selection'!AE705=""),"",IF('Supplier selection'!X705="",'Supplier selection'!AE705,'Supplier selection'!X705))</f>
        <v/>
      </c>
      <c r="AE705" s="19" t="str">
        <f t="shared" si="115"/>
        <v/>
      </c>
      <c r="AF705" s="19" t="str">
        <f t="shared" si="116"/>
        <v/>
      </c>
      <c r="AG705" s="27" t="str">
        <f>IF(AND('Supplier selection'!AB705="",'Supplier selection'!AI705=""),"",IF('Supplier selection'!AB705="",'Supplier selection'!AI705,'Supplier selection'!AB705))</f>
        <v/>
      </c>
      <c r="AH705" s="28" t="str">
        <f t="shared" si="117"/>
        <v/>
      </c>
      <c r="AI705" s="7" t="str">
        <f t="shared" si="118"/>
        <v/>
      </c>
      <c r="AJ705" s="22" t="str">
        <f t="shared" si="119"/>
        <v/>
      </c>
      <c r="AK705" s="29" t="str">
        <f t="shared" si="120"/>
        <v/>
      </c>
      <c r="AL705" s="10"/>
    </row>
    <row r="706" spans="1:38">
      <c r="A706" s="19">
        <f>IF('Supplier selection'!A706="","",'Supplier selection'!A706)</f>
        <v>702</v>
      </c>
      <c r="B706" s="19" t="str">
        <f>IF('Supplier selection'!B706="","",'Supplier selection'!B706)</f>
        <v/>
      </c>
      <c r="C706" s="19" t="str">
        <f>IF('Supplier selection'!C706="","",'Supplier selection'!C706)</f>
        <v/>
      </c>
      <c r="D706" s="19" t="str">
        <f>IF('Supplier selection'!D706="","",'Supplier selection'!D706)</f>
        <v/>
      </c>
      <c r="E706" s="19" t="str">
        <f>IF('Supplier selection'!E706="","",'Supplier selection'!E706)</f>
        <v/>
      </c>
      <c r="F706" s="19" t="str">
        <f>IF('Supplier selection'!F706="","",'Supplier selection'!F706)</f>
        <v/>
      </c>
      <c r="G706" s="19" t="str">
        <f>IF('Supplier selection'!G706="","",'Supplier selection'!G706)</f>
        <v/>
      </c>
      <c r="H706" s="19" t="str">
        <f>IF('Supplier selection'!H706="","",'Supplier selection'!H706)</f>
        <v/>
      </c>
      <c r="I706" s="19" t="str">
        <f>IF('Supplier selection'!I706="","",'Supplier selection'!I706)</f>
        <v/>
      </c>
      <c r="J706" s="19" t="str">
        <f>IF('Supplier selection'!J706="","",'Supplier selection'!J706)</f>
        <v/>
      </c>
      <c r="K706" s="19" t="str">
        <f>IF('Supplier selection'!K706="","",'Supplier selection'!K706)</f>
        <v/>
      </c>
      <c r="L706" s="19" t="str">
        <f>IF('Supplier selection'!L706="","",'Supplier selection'!L706)</f>
        <v/>
      </c>
      <c r="M706" s="19" t="str">
        <f>IF('Supplier selection'!M706="","",'Supplier selection'!M706)</f>
        <v/>
      </c>
      <c r="N706" s="19" t="str">
        <f>IF('Supplier selection'!N706="","",'Supplier selection'!N706)</f>
        <v/>
      </c>
      <c r="O706" s="19" t="str">
        <f>IF('Supplier selection'!O706="","",'Supplier selection'!O706)</f>
        <v/>
      </c>
      <c r="Q706" s="19" t="str">
        <f>HLOOKUP($Q$3,'Supplier selection'!$AW$4:'Supplier selection'!$CT$1000,$A707,FALSE)</f>
        <v/>
      </c>
      <c r="R706" s="22" t="str">
        <f t="shared" si="110"/>
        <v/>
      </c>
      <c r="S706" s="19" t="str">
        <f t="shared" si="111"/>
        <v/>
      </c>
      <c r="T706" s="22" t="str">
        <f t="shared" si="112"/>
        <v/>
      </c>
      <c r="U706" s="19" t="str">
        <f t="shared" si="113"/>
        <v/>
      </c>
      <c r="V706" s="7"/>
      <c r="Y706" s="19" t="str">
        <f>IF('Supplier selection'!AQ706="","",'Supplier selection'!AQ706)</f>
        <v/>
      </c>
      <c r="Z706" s="19" t="str">
        <f>IF('Supplier selection'!AR706="","",'Supplier selection'!AR706)</f>
        <v/>
      </c>
      <c r="AA706" s="19" t="str">
        <f t="shared" si="114"/>
        <v/>
      </c>
      <c r="AD706" s="26" t="str">
        <f>IF(AND('Supplier selection'!X706="",'Supplier selection'!AE706=""),"",IF('Supplier selection'!X706="",'Supplier selection'!AE706,'Supplier selection'!X706))</f>
        <v/>
      </c>
      <c r="AE706" s="19" t="str">
        <f t="shared" si="115"/>
        <v/>
      </c>
      <c r="AF706" s="19" t="str">
        <f t="shared" si="116"/>
        <v/>
      </c>
      <c r="AG706" s="27" t="str">
        <f>IF(AND('Supplier selection'!AB706="",'Supplier selection'!AI706=""),"",IF('Supplier selection'!AB706="",'Supplier selection'!AI706,'Supplier selection'!AB706))</f>
        <v/>
      </c>
      <c r="AH706" s="28" t="str">
        <f t="shared" si="117"/>
        <v/>
      </c>
      <c r="AI706" s="7" t="str">
        <f t="shared" si="118"/>
        <v/>
      </c>
      <c r="AJ706" s="22" t="str">
        <f t="shared" si="119"/>
        <v/>
      </c>
      <c r="AK706" s="29" t="str">
        <f t="shared" si="120"/>
        <v/>
      </c>
      <c r="AL706" s="10"/>
    </row>
    <row r="707" spans="1:38">
      <c r="A707" s="19">
        <f>IF('Supplier selection'!A707="","",'Supplier selection'!A707)</f>
        <v>703</v>
      </c>
      <c r="B707" s="19" t="str">
        <f>IF('Supplier selection'!B707="","",'Supplier selection'!B707)</f>
        <v/>
      </c>
      <c r="C707" s="19" t="str">
        <f>IF('Supplier selection'!C707="","",'Supplier selection'!C707)</f>
        <v/>
      </c>
      <c r="D707" s="19" t="str">
        <f>IF('Supplier selection'!D707="","",'Supplier selection'!D707)</f>
        <v/>
      </c>
      <c r="E707" s="19" t="str">
        <f>IF('Supplier selection'!E707="","",'Supplier selection'!E707)</f>
        <v/>
      </c>
      <c r="F707" s="19" t="str">
        <f>IF('Supplier selection'!F707="","",'Supplier selection'!F707)</f>
        <v/>
      </c>
      <c r="G707" s="19" t="str">
        <f>IF('Supplier selection'!G707="","",'Supplier selection'!G707)</f>
        <v/>
      </c>
      <c r="H707" s="19" t="str">
        <f>IF('Supplier selection'!H707="","",'Supplier selection'!H707)</f>
        <v/>
      </c>
      <c r="I707" s="19" t="str">
        <f>IF('Supplier selection'!I707="","",'Supplier selection'!I707)</f>
        <v/>
      </c>
      <c r="J707" s="19" t="str">
        <f>IF('Supplier selection'!J707="","",'Supplier selection'!J707)</f>
        <v/>
      </c>
      <c r="K707" s="19" t="str">
        <f>IF('Supplier selection'!K707="","",'Supplier selection'!K707)</f>
        <v/>
      </c>
      <c r="L707" s="19" t="str">
        <f>IF('Supplier selection'!L707="","",'Supplier selection'!L707)</f>
        <v/>
      </c>
      <c r="M707" s="19" t="str">
        <f>IF('Supplier selection'!M707="","",'Supplier selection'!M707)</f>
        <v/>
      </c>
      <c r="N707" s="19" t="str">
        <f>IF('Supplier selection'!N707="","",'Supplier selection'!N707)</f>
        <v/>
      </c>
      <c r="O707" s="19" t="str">
        <f>IF('Supplier selection'!O707="","",'Supplier selection'!O707)</f>
        <v/>
      </c>
      <c r="Q707" s="19" t="str">
        <f>HLOOKUP($Q$3,'Supplier selection'!$AW$4:'Supplier selection'!$CT$1000,$A708,FALSE)</f>
        <v/>
      </c>
      <c r="R707" s="22" t="str">
        <f t="shared" si="110"/>
        <v/>
      </c>
      <c r="S707" s="19" t="str">
        <f t="shared" si="111"/>
        <v/>
      </c>
      <c r="T707" s="22" t="str">
        <f t="shared" si="112"/>
        <v/>
      </c>
      <c r="U707" s="19" t="str">
        <f t="shared" si="113"/>
        <v/>
      </c>
      <c r="V707" s="7"/>
      <c r="Y707" s="19" t="str">
        <f>IF('Supplier selection'!AQ707="","",'Supplier selection'!AQ707)</f>
        <v/>
      </c>
      <c r="Z707" s="19" t="str">
        <f>IF('Supplier selection'!AR707="","",'Supplier selection'!AR707)</f>
        <v/>
      </c>
      <c r="AA707" s="19" t="str">
        <f t="shared" si="114"/>
        <v/>
      </c>
      <c r="AD707" s="26" t="str">
        <f>IF(AND('Supplier selection'!X707="",'Supplier selection'!AE707=""),"",IF('Supplier selection'!X707="",'Supplier selection'!AE707,'Supplier selection'!X707))</f>
        <v/>
      </c>
      <c r="AE707" s="19" t="str">
        <f t="shared" si="115"/>
        <v/>
      </c>
      <c r="AF707" s="19" t="str">
        <f t="shared" si="116"/>
        <v/>
      </c>
      <c r="AG707" s="27" t="str">
        <f>IF(AND('Supplier selection'!AB707="",'Supplier selection'!AI707=""),"",IF('Supplier selection'!AB707="",'Supplier selection'!AI707,'Supplier selection'!AB707))</f>
        <v/>
      </c>
      <c r="AH707" s="28" t="str">
        <f t="shared" si="117"/>
        <v/>
      </c>
      <c r="AI707" s="7" t="str">
        <f t="shared" si="118"/>
        <v/>
      </c>
      <c r="AJ707" s="22" t="str">
        <f t="shared" si="119"/>
        <v/>
      </c>
      <c r="AK707" s="29" t="str">
        <f t="shared" si="120"/>
        <v/>
      </c>
      <c r="AL707" s="10"/>
    </row>
    <row r="708" spans="1:38">
      <c r="A708" s="19">
        <f>IF('Supplier selection'!A708="","",'Supplier selection'!A708)</f>
        <v>704</v>
      </c>
      <c r="B708" s="19" t="str">
        <f>IF('Supplier selection'!B708="","",'Supplier selection'!B708)</f>
        <v/>
      </c>
      <c r="C708" s="19" t="str">
        <f>IF('Supplier selection'!C708="","",'Supplier selection'!C708)</f>
        <v/>
      </c>
      <c r="D708" s="19" t="str">
        <f>IF('Supplier selection'!D708="","",'Supplier selection'!D708)</f>
        <v/>
      </c>
      <c r="E708" s="19" t="str">
        <f>IF('Supplier selection'!E708="","",'Supplier selection'!E708)</f>
        <v/>
      </c>
      <c r="F708" s="19" t="str">
        <f>IF('Supplier selection'!F708="","",'Supplier selection'!F708)</f>
        <v/>
      </c>
      <c r="G708" s="19" t="str">
        <f>IF('Supplier selection'!G708="","",'Supplier selection'!G708)</f>
        <v/>
      </c>
      <c r="H708" s="19" t="str">
        <f>IF('Supplier selection'!H708="","",'Supplier selection'!H708)</f>
        <v/>
      </c>
      <c r="I708" s="19" t="str">
        <f>IF('Supplier selection'!I708="","",'Supplier selection'!I708)</f>
        <v/>
      </c>
      <c r="J708" s="19" t="str">
        <f>IF('Supplier selection'!J708="","",'Supplier selection'!J708)</f>
        <v/>
      </c>
      <c r="K708" s="19" t="str">
        <f>IF('Supplier selection'!K708="","",'Supplier selection'!K708)</f>
        <v/>
      </c>
      <c r="L708" s="19" t="str">
        <f>IF('Supplier selection'!L708="","",'Supplier selection'!L708)</f>
        <v/>
      </c>
      <c r="M708" s="19" t="str">
        <f>IF('Supplier selection'!M708="","",'Supplier selection'!M708)</f>
        <v/>
      </c>
      <c r="N708" s="19" t="str">
        <f>IF('Supplier selection'!N708="","",'Supplier selection'!N708)</f>
        <v/>
      </c>
      <c r="O708" s="19" t="str">
        <f>IF('Supplier selection'!O708="","",'Supplier selection'!O708)</f>
        <v/>
      </c>
      <c r="Q708" s="19" t="str">
        <f>HLOOKUP($Q$3,'Supplier selection'!$AW$4:'Supplier selection'!$CT$1000,$A709,FALSE)</f>
        <v/>
      </c>
      <c r="R708" s="22" t="str">
        <f t="shared" si="110"/>
        <v/>
      </c>
      <c r="S708" s="19" t="str">
        <f t="shared" si="111"/>
        <v/>
      </c>
      <c r="T708" s="22" t="str">
        <f t="shared" si="112"/>
        <v/>
      </c>
      <c r="U708" s="19" t="str">
        <f t="shared" si="113"/>
        <v/>
      </c>
      <c r="V708" s="7"/>
      <c r="Y708" s="19" t="str">
        <f>IF('Supplier selection'!AQ708="","",'Supplier selection'!AQ708)</f>
        <v/>
      </c>
      <c r="Z708" s="19" t="str">
        <f>IF('Supplier selection'!AR708="","",'Supplier selection'!AR708)</f>
        <v/>
      </c>
      <c r="AA708" s="19" t="str">
        <f t="shared" si="114"/>
        <v/>
      </c>
      <c r="AD708" s="26" t="str">
        <f>IF(AND('Supplier selection'!X708="",'Supplier selection'!AE708=""),"",IF('Supplier selection'!X708="",'Supplier selection'!AE708,'Supplier selection'!X708))</f>
        <v/>
      </c>
      <c r="AE708" s="19" t="str">
        <f t="shared" si="115"/>
        <v/>
      </c>
      <c r="AF708" s="19" t="str">
        <f t="shared" si="116"/>
        <v/>
      </c>
      <c r="AG708" s="27" t="str">
        <f>IF(AND('Supplier selection'!AB708="",'Supplier selection'!AI708=""),"",IF('Supplier selection'!AB708="",'Supplier selection'!AI708,'Supplier selection'!AB708))</f>
        <v/>
      </c>
      <c r="AH708" s="28" t="str">
        <f t="shared" si="117"/>
        <v/>
      </c>
      <c r="AI708" s="7" t="str">
        <f t="shared" si="118"/>
        <v/>
      </c>
      <c r="AJ708" s="22" t="str">
        <f t="shared" si="119"/>
        <v/>
      </c>
      <c r="AK708" s="29" t="str">
        <f t="shared" si="120"/>
        <v/>
      </c>
      <c r="AL708" s="10"/>
    </row>
    <row r="709" spans="1:38">
      <c r="A709" s="19">
        <f>IF('Supplier selection'!A709="","",'Supplier selection'!A709)</f>
        <v>705</v>
      </c>
      <c r="B709" s="19" t="str">
        <f>IF('Supplier selection'!B709="","",'Supplier selection'!B709)</f>
        <v/>
      </c>
      <c r="C709" s="19" t="str">
        <f>IF('Supplier selection'!C709="","",'Supplier selection'!C709)</f>
        <v/>
      </c>
      <c r="D709" s="19" t="str">
        <f>IF('Supplier selection'!D709="","",'Supplier selection'!D709)</f>
        <v/>
      </c>
      <c r="E709" s="19" t="str">
        <f>IF('Supplier selection'!E709="","",'Supplier selection'!E709)</f>
        <v/>
      </c>
      <c r="F709" s="19" t="str">
        <f>IF('Supplier selection'!F709="","",'Supplier selection'!F709)</f>
        <v/>
      </c>
      <c r="G709" s="19" t="str">
        <f>IF('Supplier selection'!G709="","",'Supplier selection'!G709)</f>
        <v/>
      </c>
      <c r="H709" s="19" t="str">
        <f>IF('Supplier selection'!H709="","",'Supplier selection'!H709)</f>
        <v/>
      </c>
      <c r="I709" s="19" t="str">
        <f>IF('Supplier selection'!I709="","",'Supplier selection'!I709)</f>
        <v/>
      </c>
      <c r="J709" s="19" t="str">
        <f>IF('Supplier selection'!J709="","",'Supplier selection'!J709)</f>
        <v/>
      </c>
      <c r="K709" s="19" t="str">
        <f>IF('Supplier selection'!K709="","",'Supplier selection'!K709)</f>
        <v/>
      </c>
      <c r="L709" s="19" t="str">
        <f>IF('Supplier selection'!L709="","",'Supplier selection'!L709)</f>
        <v/>
      </c>
      <c r="M709" s="19" t="str">
        <f>IF('Supplier selection'!M709="","",'Supplier selection'!M709)</f>
        <v/>
      </c>
      <c r="N709" s="19" t="str">
        <f>IF('Supplier selection'!N709="","",'Supplier selection'!N709)</f>
        <v/>
      </c>
      <c r="O709" s="19" t="str">
        <f>IF('Supplier selection'!O709="","",'Supplier selection'!O709)</f>
        <v/>
      </c>
      <c r="Q709" s="19" t="str">
        <f>HLOOKUP($Q$3,'Supplier selection'!$AW$4:'Supplier selection'!$CT$1000,$A710,FALSE)</f>
        <v/>
      </c>
      <c r="R709" s="22" t="str">
        <f t="shared" si="110"/>
        <v/>
      </c>
      <c r="S709" s="19" t="str">
        <f t="shared" si="111"/>
        <v/>
      </c>
      <c r="T709" s="22" t="str">
        <f t="shared" si="112"/>
        <v/>
      </c>
      <c r="U709" s="19" t="str">
        <f t="shared" si="113"/>
        <v/>
      </c>
      <c r="V709" s="7"/>
      <c r="Y709" s="19" t="str">
        <f>IF('Supplier selection'!AQ709="","",'Supplier selection'!AQ709)</f>
        <v/>
      </c>
      <c r="Z709" s="19" t="str">
        <f>IF('Supplier selection'!AR709="","",'Supplier selection'!AR709)</f>
        <v/>
      </c>
      <c r="AA709" s="19" t="str">
        <f t="shared" si="114"/>
        <v/>
      </c>
      <c r="AD709" s="26" t="str">
        <f>IF(AND('Supplier selection'!X709="",'Supplier selection'!AE709=""),"",IF('Supplier selection'!X709="",'Supplier selection'!AE709,'Supplier selection'!X709))</f>
        <v/>
      </c>
      <c r="AE709" s="19" t="str">
        <f t="shared" si="115"/>
        <v/>
      </c>
      <c r="AF709" s="19" t="str">
        <f t="shared" si="116"/>
        <v/>
      </c>
      <c r="AG709" s="27" t="str">
        <f>IF(AND('Supplier selection'!AB709="",'Supplier selection'!AI709=""),"",IF('Supplier selection'!AB709="",'Supplier selection'!AI709,'Supplier selection'!AB709))</f>
        <v/>
      </c>
      <c r="AH709" s="28" t="str">
        <f t="shared" si="117"/>
        <v/>
      </c>
      <c r="AI709" s="7" t="str">
        <f t="shared" si="118"/>
        <v/>
      </c>
      <c r="AJ709" s="22" t="str">
        <f t="shared" si="119"/>
        <v/>
      </c>
      <c r="AK709" s="29" t="str">
        <f t="shared" si="120"/>
        <v/>
      </c>
      <c r="AL709" s="10"/>
    </row>
    <row r="710" spans="1:38">
      <c r="A710" s="19">
        <f>IF('Supplier selection'!A710="","",'Supplier selection'!A710)</f>
        <v>706</v>
      </c>
      <c r="B710" s="19" t="str">
        <f>IF('Supplier selection'!B710="","",'Supplier selection'!B710)</f>
        <v/>
      </c>
      <c r="C710" s="19" t="str">
        <f>IF('Supplier selection'!C710="","",'Supplier selection'!C710)</f>
        <v/>
      </c>
      <c r="D710" s="19" t="str">
        <f>IF('Supplier selection'!D710="","",'Supplier selection'!D710)</f>
        <v/>
      </c>
      <c r="E710" s="19" t="str">
        <f>IF('Supplier selection'!E710="","",'Supplier selection'!E710)</f>
        <v/>
      </c>
      <c r="F710" s="19" t="str">
        <f>IF('Supplier selection'!F710="","",'Supplier selection'!F710)</f>
        <v/>
      </c>
      <c r="G710" s="19" t="str">
        <f>IF('Supplier selection'!G710="","",'Supplier selection'!G710)</f>
        <v/>
      </c>
      <c r="H710" s="19" t="str">
        <f>IF('Supplier selection'!H710="","",'Supplier selection'!H710)</f>
        <v/>
      </c>
      <c r="I710" s="19" t="str">
        <f>IF('Supplier selection'!I710="","",'Supplier selection'!I710)</f>
        <v/>
      </c>
      <c r="J710" s="19" t="str">
        <f>IF('Supplier selection'!J710="","",'Supplier selection'!J710)</f>
        <v/>
      </c>
      <c r="K710" s="19" t="str">
        <f>IF('Supplier selection'!K710="","",'Supplier selection'!K710)</f>
        <v/>
      </c>
      <c r="L710" s="19" t="str">
        <f>IF('Supplier selection'!L710="","",'Supplier selection'!L710)</f>
        <v/>
      </c>
      <c r="M710" s="19" t="str">
        <f>IF('Supplier selection'!M710="","",'Supplier selection'!M710)</f>
        <v/>
      </c>
      <c r="N710" s="19" t="str">
        <f>IF('Supplier selection'!N710="","",'Supplier selection'!N710)</f>
        <v/>
      </c>
      <c r="O710" s="19" t="str">
        <f>IF('Supplier selection'!O710="","",'Supplier selection'!O710)</f>
        <v/>
      </c>
      <c r="Q710" s="19" t="str">
        <f>HLOOKUP($Q$3,'Supplier selection'!$AW$4:'Supplier selection'!$CT$1000,$A711,FALSE)</f>
        <v/>
      </c>
      <c r="R710" s="22" t="str">
        <f t="shared" ref="R710:R773" si="121">IF(OR(Q710="",O710=""),"",(Q710-O710)/O710)</f>
        <v/>
      </c>
      <c r="S710" s="19" t="str">
        <f t="shared" ref="S710:S773" si="122">IF(OR(H710="",O710="",Q710=""),"",(Q710*H710)-(H710*O710))</f>
        <v/>
      </c>
      <c r="T710" s="22" t="str">
        <f t="shared" ref="T710:T773" si="123">IF(OR(Y710="",Q710=""),"",(Q710-Y710)/Y710)</f>
        <v/>
      </c>
      <c r="U710" s="19" t="str">
        <f t="shared" ref="U710:U773" si="124">IF(OR(Y710="",Q710="",H710=""),"",(Q710*H710)-(Y710*H710))</f>
        <v/>
      </c>
      <c r="V710" s="7"/>
      <c r="Y710" s="19" t="str">
        <f>IF('Supplier selection'!AQ710="","",'Supplier selection'!AQ710)</f>
        <v/>
      </c>
      <c r="Z710" s="19" t="str">
        <f>IF('Supplier selection'!AR710="","",'Supplier selection'!AR710)</f>
        <v/>
      </c>
      <c r="AA710" s="19" t="str">
        <f t="shared" ref="AA710:AA773" si="125">IF(OR(Y710="",O710="",H710=""),"",((H710*Y710)-(H710*O710)))</f>
        <v/>
      </c>
      <c r="AD710" s="26" t="str">
        <f>IF(AND('Supplier selection'!X710="",'Supplier selection'!AE710=""),"",IF('Supplier selection'!X710="",'Supplier selection'!AE710,'Supplier selection'!X710))</f>
        <v/>
      </c>
      <c r="AE710" s="19" t="str">
        <f t="shared" ref="AE710:AE773" si="126">IF(AD710="","",J710)</f>
        <v/>
      </c>
      <c r="AF710" s="19" t="str">
        <f t="shared" ref="AF710:AF773" si="127">IF(AD710="","",L710)</f>
        <v/>
      </c>
      <c r="AG710" s="27" t="str">
        <f>IF(AND('Supplier selection'!AB710="",'Supplier selection'!AI710=""),"",IF('Supplier selection'!AB710="",'Supplier selection'!AI710,'Supplier selection'!AB710))</f>
        <v/>
      </c>
      <c r="AH710" s="28" t="str">
        <f t="shared" ref="AH710:AH773" si="128">IF(OR(AG710="",O710=""),"",(AG710-O710)/O710)</f>
        <v/>
      </c>
      <c r="AI710" s="7" t="str">
        <f t="shared" ref="AI710:AI773" si="129">IF(OR(H710="",O710="",AG710=""),"",(AG710*H710)-(H710*O710))</f>
        <v/>
      </c>
      <c r="AJ710" s="22" t="str">
        <f t="shared" ref="AJ710:AJ773" si="130">IF(OR(AG710="",Y710=""),"",(AG710-Y710)/Y710)</f>
        <v/>
      </c>
      <c r="AK710" s="29" t="str">
        <f t="shared" ref="AK710:AK773" si="131">IF(OR(H710="",Y710="",AG710=""),"",(AG710*H710)-(H710*Y710))</f>
        <v/>
      </c>
      <c r="AL710" s="10"/>
    </row>
    <row r="711" spans="1:38">
      <c r="A711" s="19">
        <f>IF('Supplier selection'!A711="","",'Supplier selection'!A711)</f>
        <v>707</v>
      </c>
      <c r="B711" s="19" t="str">
        <f>IF('Supplier selection'!B711="","",'Supplier selection'!B711)</f>
        <v/>
      </c>
      <c r="C711" s="19" t="str">
        <f>IF('Supplier selection'!C711="","",'Supplier selection'!C711)</f>
        <v/>
      </c>
      <c r="D711" s="19" t="str">
        <f>IF('Supplier selection'!D711="","",'Supplier selection'!D711)</f>
        <v/>
      </c>
      <c r="E711" s="19" t="str">
        <f>IF('Supplier selection'!E711="","",'Supplier selection'!E711)</f>
        <v/>
      </c>
      <c r="F711" s="19" t="str">
        <f>IF('Supplier selection'!F711="","",'Supplier selection'!F711)</f>
        <v/>
      </c>
      <c r="G711" s="19" t="str">
        <f>IF('Supplier selection'!G711="","",'Supplier selection'!G711)</f>
        <v/>
      </c>
      <c r="H711" s="19" t="str">
        <f>IF('Supplier selection'!H711="","",'Supplier selection'!H711)</f>
        <v/>
      </c>
      <c r="I711" s="19" t="str">
        <f>IF('Supplier selection'!I711="","",'Supplier selection'!I711)</f>
        <v/>
      </c>
      <c r="J711" s="19" t="str">
        <f>IF('Supplier selection'!J711="","",'Supplier selection'!J711)</f>
        <v/>
      </c>
      <c r="K711" s="19" t="str">
        <f>IF('Supplier selection'!K711="","",'Supplier selection'!K711)</f>
        <v/>
      </c>
      <c r="L711" s="19" t="str">
        <f>IF('Supplier selection'!L711="","",'Supplier selection'!L711)</f>
        <v/>
      </c>
      <c r="M711" s="19" t="str">
        <f>IF('Supplier selection'!M711="","",'Supplier selection'!M711)</f>
        <v/>
      </c>
      <c r="N711" s="19" t="str">
        <f>IF('Supplier selection'!N711="","",'Supplier selection'!N711)</f>
        <v/>
      </c>
      <c r="O711" s="19" t="str">
        <f>IF('Supplier selection'!O711="","",'Supplier selection'!O711)</f>
        <v/>
      </c>
      <c r="Q711" s="19" t="str">
        <f>HLOOKUP($Q$3,'Supplier selection'!$AW$4:'Supplier selection'!$CT$1000,$A712,FALSE)</f>
        <v/>
      </c>
      <c r="R711" s="22" t="str">
        <f t="shared" si="121"/>
        <v/>
      </c>
      <c r="S711" s="19" t="str">
        <f t="shared" si="122"/>
        <v/>
      </c>
      <c r="T711" s="22" t="str">
        <f t="shared" si="123"/>
        <v/>
      </c>
      <c r="U711" s="19" t="str">
        <f t="shared" si="124"/>
        <v/>
      </c>
      <c r="V711" s="7"/>
      <c r="Y711" s="19" t="str">
        <f>IF('Supplier selection'!AQ711="","",'Supplier selection'!AQ711)</f>
        <v/>
      </c>
      <c r="Z711" s="19" t="str">
        <f>IF('Supplier selection'!AR711="","",'Supplier selection'!AR711)</f>
        <v/>
      </c>
      <c r="AA711" s="19" t="str">
        <f t="shared" si="125"/>
        <v/>
      </c>
      <c r="AD711" s="26" t="str">
        <f>IF(AND('Supplier selection'!X711="",'Supplier selection'!AE711=""),"",IF('Supplier selection'!X711="",'Supplier selection'!AE711,'Supplier selection'!X711))</f>
        <v/>
      </c>
      <c r="AE711" s="19" t="str">
        <f t="shared" si="126"/>
        <v/>
      </c>
      <c r="AF711" s="19" t="str">
        <f t="shared" si="127"/>
        <v/>
      </c>
      <c r="AG711" s="27" t="str">
        <f>IF(AND('Supplier selection'!AB711="",'Supplier selection'!AI711=""),"",IF('Supplier selection'!AB711="",'Supplier selection'!AI711,'Supplier selection'!AB711))</f>
        <v/>
      </c>
      <c r="AH711" s="28" t="str">
        <f t="shared" si="128"/>
        <v/>
      </c>
      <c r="AI711" s="7" t="str">
        <f t="shared" si="129"/>
        <v/>
      </c>
      <c r="AJ711" s="22" t="str">
        <f t="shared" si="130"/>
        <v/>
      </c>
      <c r="AK711" s="29" t="str">
        <f t="shared" si="131"/>
        <v/>
      </c>
      <c r="AL711" s="10"/>
    </row>
    <row r="712" spans="1:38">
      <c r="A712" s="19">
        <f>IF('Supplier selection'!A712="","",'Supplier selection'!A712)</f>
        <v>708</v>
      </c>
      <c r="B712" s="19" t="str">
        <f>IF('Supplier selection'!B712="","",'Supplier selection'!B712)</f>
        <v/>
      </c>
      <c r="C712" s="19" t="str">
        <f>IF('Supplier selection'!C712="","",'Supplier selection'!C712)</f>
        <v/>
      </c>
      <c r="D712" s="19" t="str">
        <f>IF('Supplier selection'!D712="","",'Supplier selection'!D712)</f>
        <v/>
      </c>
      <c r="E712" s="19" t="str">
        <f>IF('Supplier selection'!E712="","",'Supplier selection'!E712)</f>
        <v/>
      </c>
      <c r="F712" s="19" t="str">
        <f>IF('Supplier selection'!F712="","",'Supplier selection'!F712)</f>
        <v/>
      </c>
      <c r="G712" s="19" t="str">
        <f>IF('Supplier selection'!G712="","",'Supplier selection'!G712)</f>
        <v/>
      </c>
      <c r="H712" s="19" t="str">
        <f>IF('Supplier selection'!H712="","",'Supplier selection'!H712)</f>
        <v/>
      </c>
      <c r="I712" s="19" t="str">
        <f>IF('Supplier selection'!I712="","",'Supplier selection'!I712)</f>
        <v/>
      </c>
      <c r="J712" s="19" t="str">
        <f>IF('Supplier selection'!J712="","",'Supplier selection'!J712)</f>
        <v/>
      </c>
      <c r="K712" s="19" t="str">
        <f>IF('Supplier selection'!K712="","",'Supplier selection'!K712)</f>
        <v/>
      </c>
      <c r="L712" s="19" t="str">
        <f>IF('Supplier selection'!L712="","",'Supplier selection'!L712)</f>
        <v/>
      </c>
      <c r="M712" s="19" t="str">
        <f>IF('Supplier selection'!M712="","",'Supplier selection'!M712)</f>
        <v/>
      </c>
      <c r="N712" s="19" t="str">
        <f>IF('Supplier selection'!N712="","",'Supplier selection'!N712)</f>
        <v/>
      </c>
      <c r="O712" s="19" t="str">
        <f>IF('Supplier selection'!O712="","",'Supplier selection'!O712)</f>
        <v/>
      </c>
      <c r="Q712" s="19" t="str">
        <f>HLOOKUP($Q$3,'Supplier selection'!$AW$4:'Supplier selection'!$CT$1000,$A713,FALSE)</f>
        <v/>
      </c>
      <c r="R712" s="22" t="str">
        <f t="shared" si="121"/>
        <v/>
      </c>
      <c r="S712" s="19" t="str">
        <f t="shared" si="122"/>
        <v/>
      </c>
      <c r="T712" s="22" t="str">
        <f t="shared" si="123"/>
        <v/>
      </c>
      <c r="U712" s="19" t="str">
        <f t="shared" si="124"/>
        <v/>
      </c>
      <c r="V712" s="7"/>
      <c r="Y712" s="19" t="str">
        <f>IF('Supplier selection'!AQ712="","",'Supplier selection'!AQ712)</f>
        <v/>
      </c>
      <c r="Z712" s="19" t="str">
        <f>IF('Supplier selection'!AR712="","",'Supplier selection'!AR712)</f>
        <v/>
      </c>
      <c r="AA712" s="19" t="str">
        <f t="shared" si="125"/>
        <v/>
      </c>
      <c r="AD712" s="26" t="str">
        <f>IF(AND('Supplier selection'!X712="",'Supplier selection'!AE712=""),"",IF('Supplier selection'!X712="",'Supplier selection'!AE712,'Supplier selection'!X712))</f>
        <v/>
      </c>
      <c r="AE712" s="19" t="str">
        <f t="shared" si="126"/>
        <v/>
      </c>
      <c r="AF712" s="19" t="str">
        <f t="shared" si="127"/>
        <v/>
      </c>
      <c r="AG712" s="27" t="str">
        <f>IF(AND('Supplier selection'!AB712="",'Supplier selection'!AI712=""),"",IF('Supplier selection'!AB712="",'Supplier selection'!AI712,'Supplier selection'!AB712))</f>
        <v/>
      </c>
      <c r="AH712" s="28" t="str">
        <f t="shared" si="128"/>
        <v/>
      </c>
      <c r="AI712" s="7" t="str">
        <f t="shared" si="129"/>
        <v/>
      </c>
      <c r="AJ712" s="22" t="str">
        <f t="shared" si="130"/>
        <v/>
      </c>
      <c r="AK712" s="29" t="str">
        <f t="shared" si="131"/>
        <v/>
      </c>
      <c r="AL712" s="10"/>
    </row>
    <row r="713" spans="1:38">
      <c r="A713" s="19">
        <f>IF('Supplier selection'!A713="","",'Supplier selection'!A713)</f>
        <v>709</v>
      </c>
      <c r="B713" s="19" t="str">
        <f>IF('Supplier selection'!B713="","",'Supplier selection'!B713)</f>
        <v/>
      </c>
      <c r="C713" s="19" t="str">
        <f>IF('Supplier selection'!C713="","",'Supplier selection'!C713)</f>
        <v/>
      </c>
      <c r="D713" s="19" t="str">
        <f>IF('Supplier selection'!D713="","",'Supplier selection'!D713)</f>
        <v/>
      </c>
      <c r="E713" s="19" t="str">
        <f>IF('Supplier selection'!E713="","",'Supplier selection'!E713)</f>
        <v/>
      </c>
      <c r="F713" s="19" t="str">
        <f>IF('Supplier selection'!F713="","",'Supplier selection'!F713)</f>
        <v/>
      </c>
      <c r="G713" s="19" t="str">
        <f>IF('Supplier selection'!G713="","",'Supplier selection'!G713)</f>
        <v/>
      </c>
      <c r="H713" s="19" t="str">
        <f>IF('Supplier selection'!H713="","",'Supplier selection'!H713)</f>
        <v/>
      </c>
      <c r="I713" s="19" t="str">
        <f>IF('Supplier selection'!I713="","",'Supplier selection'!I713)</f>
        <v/>
      </c>
      <c r="J713" s="19" t="str">
        <f>IF('Supplier selection'!J713="","",'Supplier selection'!J713)</f>
        <v/>
      </c>
      <c r="K713" s="19" t="str">
        <f>IF('Supplier selection'!K713="","",'Supplier selection'!K713)</f>
        <v/>
      </c>
      <c r="L713" s="19" t="str">
        <f>IF('Supplier selection'!L713="","",'Supplier selection'!L713)</f>
        <v/>
      </c>
      <c r="M713" s="19" t="str">
        <f>IF('Supplier selection'!M713="","",'Supplier selection'!M713)</f>
        <v/>
      </c>
      <c r="N713" s="19" t="str">
        <f>IF('Supplier selection'!N713="","",'Supplier selection'!N713)</f>
        <v/>
      </c>
      <c r="O713" s="19" t="str">
        <f>IF('Supplier selection'!O713="","",'Supplier selection'!O713)</f>
        <v/>
      </c>
      <c r="Q713" s="19" t="str">
        <f>HLOOKUP($Q$3,'Supplier selection'!$AW$4:'Supplier selection'!$CT$1000,$A714,FALSE)</f>
        <v/>
      </c>
      <c r="R713" s="22" t="str">
        <f t="shared" si="121"/>
        <v/>
      </c>
      <c r="S713" s="19" t="str">
        <f t="shared" si="122"/>
        <v/>
      </c>
      <c r="T713" s="22" t="str">
        <f t="shared" si="123"/>
        <v/>
      </c>
      <c r="U713" s="19" t="str">
        <f t="shared" si="124"/>
        <v/>
      </c>
      <c r="V713" s="7"/>
      <c r="Y713" s="19" t="str">
        <f>IF('Supplier selection'!AQ713="","",'Supplier selection'!AQ713)</f>
        <v/>
      </c>
      <c r="Z713" s="19" t="str">
        <f>IF('Supplier selection'!AR713="","",'Supplier selection'!AR713)</f>
        <v/>
      </c>
      <c r="AA713" s="19" t="str">
        <f t="shared" si="125"/>
        <v/>
      </c>
      <c r="AD713" s="26" t="str">
        <f>IF(AND('Supplier selection'!X713="",'Supplier selection'!AE713=""),"",IF('Supplier selection'!X713="",'Supplier selection'!AE713,'Supplier selection'!X713))</f>
        <v/>
      </c>
      <c r="AE713" s="19" t="str">
        <f t="shared" si="126"/>
        <v/>
      </c>
      <c r="AF713" s="19" t="str">
        <f t="shared" si="127"/>
        <v/>
      </c>
      <c r="AG713" s="27" t="str">
        <f>IF(AND('Supplier selection'!AB713="",'Supplier selection'!AI713=""),"",IF('Supplier selection'!AB713="",'Supplier selection'!AI713,'Supplier selection'!AB713))</f>
        <v/>
      </c>
      <c r="AH713" s="28" t="str">
        <f t="shared" si="128"/>
        <v/>
      </c>
      <c r="AI713" s="7" t="str">
        <f t="shared" si="129"/>
        <v/>
      </c>
      <c r="AJ713" s="22" t="str">
        <f t="shared" si="130"/>
        <v/>
      </c>
      <c r="AK713" s="29" t="str">
        <f t="shared" si="131"/>
        <v/>
      </c>
      <c r="AL713" s="10"/>
    </row>
    <row r="714" spans="1:38">
      <c r="A714" s="19">
        <f>IF('Supplier selection'!A714="","",'Supplier selection'!A714)</f>
        <v>710</v>
      </c>
      <c r="B714" s="19" t="str">
        <f>IF('Supplier selection'!B714="","",'Supplier selection'!B714)</f>
        <v/>
      </c>
      <c r="C714" s="19" t="str">
        <f>IF('Supplier selection'!C714="","",'Supplier selection'!C714)</f>
        <v/>
      </c>
      <c r="D714" s="19" t="str">
        <f>IF('Supplier selection'!D714="","",'Supplier selection'!D714)</f>
        <v/>
      </c>
      <c r="E714" s="19" t="str">
        <f>IF('Supplier selection'!E714="","",'Supplier selection'!E714)</f>
        <v/>
      </c>
      <c r="F714" s="19" t="str">
        <f>IF('Supplier selection'!F714="","",'Supplier selection'!F714)</f>
        <v/>
      </c>
      <c r="G714" s="19" t="str">
        <f>IF('Supplier selection'!G714="","",'Supplier selection'!G714)</f>
        <v/>
      </c>
      <c r="H714" s="19" t="str">
        <f>IF('Supplier selection'!H714="","",'Supplier selection'!H714)</f>
        <v/>
      </c>
      <c r="I714" s="19" t="str">
        <f>IF('Supplier selection'!I714="","",'Supplier selection'!I714)</f>
        <v/>
      </c>
      <c r="J714" s="19" t="str">
        <f>IF('Supplier selection'!J714="","",'Supplier selection'!J714)</f>
        <v/>
      </c>
      <c r="K714" s="19" t="str">
        <f>IF('Supplier selection'!K714="","",'Supplier selection'!K714)</f>
        <v/>
      </c>
      <c r="L714" s="19" t="str">
        <f>IF('Supplier selection'!L714="","",'Supplier selection'!L714)</f>
        <v/>
      </c>
      <c r="M714" s="19" t="str">
        <f>IF('Supplier selection'!M714="","",'Supplier selection'!M714)</f>
        <v/>
      </c>
      <c r="N714" s="19" t="str">
        <f>IF('Supplier selection'!N714="","",'Supplier selection'!N714)</f>
        <v/>
      </c>
      <c r="O714" s="19" t="str">
        <f>IF('Supplier selection'!O714="","",'Supplier selection'!O714)</f>
        <v/>
      </c>
      <c r="Q714" s="19" t="str">
        <f>HLOOKUP($Q$3,'Supplier selection'!$AW$4:'Supplier selection'!$CT$1000,$A715,FALSE)</f>
        <v/>
      </c>
      <c r="R714" s="22" t="str">
        <f t="shared" si="121"/>
        <v/>
      </c>
      <c r="S714" s="19" t="str">
        <f t="shared" si="122"/>
        <v/>
      </c>
      <c r="T714" s="22" t="str">
        <f t="shared" si="123"/>
        <v/>
      </c>
      <c r="U714" s="19" t="str">
        <f t="shared" si="124"/>
        <v/>
      </c>
      <c r="V714" s="7"/>
      <c r="Y714" s="19" t="str">
        <f>IF('Supplier selection'!AQ714="","",'Supplier selection'!AQ714)</f>
        <v/>
      </c>
      <c r="Z714" s="19" t="str">
        <f>IF('Supplier selection'!AR714="","",'Supplier selection'!AR714)</f>
        <v/>
      </c>
      <c r="AA714" s="19" t="str">
        <f t="shared" si="125"/>
        <v/>
      </c>
      <c r="AD714" s="26" t="str">
        <f>IF(AND('Supplier selection'!X714="",'Supplier selection'!AE714=""),"",IF('Supplier selection'!X714="",'Supplier selection'!AE714,'Supplier selection'!X714))</f>
        <v/>
      </c>
      <c r="AE714" s="19" t="str">
        <f t="shared" si="126"/>
        <v/>
      </c>
      <c r="AF714" s="19" t="str">
        <f t="shared" si="127"/>
        <v/>
      </c>
      <c r="AG714" s="27" t="str">
        <f>IF(AND('Supplier selection'!AB714="",'Supplier selection'!AI714=""),"",IF('Supplier selection'!AB714="",'Supplier selection'!AI714,'Supplier selection'!AB714))</f>
        <v/>
      </c>
      <c r="AH714" s="28" t="str">
        <f t="shared" si="128"/>
        <v/>
      </c>
      <c r="AI714" s="7" t="str">
        <f t="shared" si="129"/>
        <v/>
      </c>
      <c r="AJ714" s="22" t="str">
        <f t="shared" si="130"/>
        <v/>
      </c>
      <c r="AK714" s="29" t="str">
        <f t="shared" si="131"/>
        <v/>
      </c>
      <c r="AL714" s="10"/>
    </row>
    <row r="715" spans="1:38">
      <c r="A715" s="19">
        <f>IF('Supplier selection'!A715="","",'Supplier selection'!A715)</f>
        <v>711</v>
      </c>
      <c r="B715" s="19" t="str">
        <f>IF('Supplier selection'!B715="","",'Supplier selection'!B715)</f>
        <v/>
      </c>
      <c r="C715" s="19" t="str">
        <f>IF('Supplier selection'!C715="","",'Supplier selection'!C715)</f>
        <v/>
      </c>
      <c r="D715" s="19" t="str">
        <f>IF('Supplier selection'!D715="","",'Supplier selection'!D715)</f>
        <v/>
      </c>
      <c r="E715" s="19" t="str">
        <f>IF('Supplier selection'!E715="","",'Supplier selection'!E715)</f>
        <v/>
      </c>
      <c r="F715" s="19" t="str">
        <f>IF('Supplier selection'!F715="","",'Supplier selection'!F715)</f>
        <v/>
      </c>
      <c r="G715" s="19" t="str">
        <f>IF('Supplier selection'!G715="","",'Supplier selection'!G715)</f>
        <v/>
      </c>
      <c r="H715" s="19" t="str">
        <f>IF('Supplier selection'!H715="","",'Supplier selection'!H715)</f>
        <v/>
      </c>
      <c r="I715" s="19" t="str">
        <f>IF('Supplier selection'!I715="","",'Supplier selection'!I715)</f>
        <v/>
      </c>
      <c r="J715" s="19" t="str">
        <f>IF('Supplier selection'!J715="","",'Supplier selection'!J715)</f>
        <v/>
      </c>
      <c r="K715" s="19" t="str">
        <f>IF('Supplier selection'!K715="","",'Supplier selection'!K715)</f>
        <v/>
      </c>
      <c r="L715" s="19" t="str">
        <f>IF('Supplier selection'!L715="","",'Supplier selection'!L715)</f>
        <v/>
      </c>
      <c r="M715" s="19" t="str">
        <f>IF('Supplier selection'!M715="","",'Supplier selection'!M715)</f>
        <v/>
      </c>
      <c r="N715" s="19" t="str">
        <f>IF('Supplier selection'!N715="","",'Supplier selection'!N715)</f>
        <v/>
      </c>
      <c r="O715" s="19" t="str">
        <f>IF('Supplier selection'!O715="","",'Supplier selection'!O715)</f>
        <v/>
      </c>
      <c r="Q715" s="19" t="str">
        <f>HLOOKUP($Q$3,'Supplier selection'!$AW$4:'Supplier selection'!$CT$1000,$A716,FALSE)</f>
        <v/>
      </c>
      <c r="R715" s="22" t="str">
        <f t="shared" si="121"/>
        <v/>
      </c>
      <c r="S715" s="19" t="str">
        <f t="shared" si="122"/>
        <v/>
      </c>
      <c r="T715" s="22" t="str">
        <f t="shared" si="123"/>
        <v/>
      </c>
      <c r="U715" s="19" t="str">
        <f t="shared" si="124"/>
        <v/>
      </c>
      <c r="V715" s="7"/>
      <c r="Y715" s="19" t="str">
        <f>IF('Supplier selection'!AQ715="","",'Supplier selection'!AQ715)</f>
        <v/>
      </c>
      <c r="Z715" s="19" t="str">
        <f>IF('Supplier selection'!AR715="","",'Supplier selection'!AR715)</f>
        <v/>
      </c>
      <c r="AA715" s="19" t="str">
        <f t="shared" si="125"/>
        <v/>
      </c>
      <c r="AD715" s="26" t="str">
        <f>IF(AND('Supplier selection'!X715="",'Supplier selection'!AE715=""),"",IF('Supplier selection'!X715="",'Supplier selection'!AE715,'Supplier selection'!X715))</f>
        <v/>
      </c>
      <c r="AE715" s="19" t="str">
        <f t="shared" si="126"/>
        <v/>
      </c>
      <c r="AF715" s="19" t="str">
        <f t="shared" si="127"/>
        <v/>
      </c>
      <c r="AG715" s="27" t="str">
        <f>IF(AND('Supplier selection'!AB715="",'Supplier selection'!AI715=""),"",IF('Supplier selection'!AB715="",'Supplier selection'!AI715,'Supplier selection'!AB715))</f>
        <v/>
      </c>
      <c r="AH715" s="28" t="str">
        <f t="shared" si="128"/>
        <v/>
      </c>
      <c r="AI715" s="7" t="str">
        <f t="shared" si="129"/>
        <v/>
      </c>
      <c r="AJ715" s="22" t="str">
        <f t="shared" si="130"/>
        <v/>
      </c>
      <c r="AK715" s="29" t="str">
        <f t="shared" si="131"/>
        <v/>
      </c>
      <c r="AL715" s="10"/>
    </row>
    <row r="716" spans="1:38">
      <c r="A716" s="19">
        <f>IF('Supplier selection'!A716="","",'Supplier selection'!A716)</f>
        <v>712</v>
      </c>
      <c r="B716" s="19" t="str">
        <f>IF('Supplier selection'!B716="","",'Supplier selection'!B716)</f>
        <v/>
      </c>
      <c r="C716" s="19" t="str">
        <f>IF('Supplier selection'!C716="","",'Supplier selection'!C716)</f>
        <v/>
      </c>
      <c r="D716" s="19" t="str">
        <f>IF('Supplier selection'!D716="","",'Supplier selection'!D716)</f>
        <v/>
      </c>
      <c r="E716" s="19" t="str">
        <f>IF('Supplier selection'!E716="","",'Supplier selection'!E716)</f>
        <v/>
      </c>
      <c r="F716" s="19" t="str">
        <f>IF('Supplier selection'!F716="","",'Supplier selection'!F716)</f>
        <v/>
      </c>
      <c r="G716" s="19" t="str">
        <f>IF('Supplier selection'!G716="","",'Supplier selection'!G716)</f>
        <v/>
      </c>
      <c r="H716" s="19" t="str">
        <f>IF('Supplier selection'!H716="","",'Supplier selection'!H716)</f>
        <v/>
      </c>
      <c r="I716" s="19" t="str">
        <f>IF('Supplier selection'!I716="","",'Supplier selection'!I716)</f>
        <v/>
      </c>
      <c r="J716" s="19" t="str">
        <f>IF('Supplier selection'!J716="","",'Supplier selection'!J716)</f>
        <v/>
      </c>
      <c r="K716" s="19" t="str">
        <f>IF('Supplier selection'!K716="","",'Supplier selection'!K716)</f>
        <v/>
      </c>
      <c r="L716" s="19" t="str">
        <f>IF('Supplier selection'!L716="","",'Supplier selection'!L716)</f>
        <v/>
      </c>
      <c r="M716" s="19" t="str">
        <f>IF('Supplier selection'!M716="","",'Supplier selection'!M716)</f>
        <v/>
      </c>
      <c r="N716" s="19" t="str">
        <f>IF('Supplier selection'!N716="","",'Supplier selection'!N716)</f>
        <v/>
      </c>
      <c r="O716" s="19" t="str">
        <f>IF('Supplier selection'!O716="","",'Supplier selection'!O716)</f>
        <v/>
      </c>
      <c r="Q716" s="19" t="str">
        <f>HLOOKUP($Q$3,'Supplier selection'!$AW$4:'Supplier selection'!$CT$1000,$A717,FALSE)</f>
        <v/>
      </c>
      <c r="R716" s="22" t="str">
        <f t="shared" si="121"/>
        <v/>
      </c>
      <c r="S716" s="19" t="str">
        <f t="shared" si="122"/>
        <v/>
      </c>
      <c r="T716" s="22" t="str">
        <f t="shared" si="123"/>
        <v/>
      </c>
      <c r="U716" s="19" t="str">
        <f t="shared" si="124"/>
        <v/>
      </c>
      <c r="V716" s="7"/>
      <c r="Y716" s="19" t="str">
        <f>IF('Supplier selection'!AQ716="","",'Supplier selection'!AQ716)</f>
        <v/>
      </c>
      <c r="Z716" s="19" t="str">
        <f>IF('Supplier selection'!AR716="","",'Supplier selection'!AR716)</f>
        <v/>
      </c>
      <c r="AA716" s="19" t="str">
        <f t="shared" si="125"/>
        <v/>
      </c>
      <c r="AD716" s="26" t="str">
        <f>IF(AND('Supplier selection'!X716="",'Supplier selection'!AE716=""),"",IF('Supplier selection'!X716="",'Supplier selection'!AE716,'Supplier selection'!X716))</f>
        <v/>
      </c>
      <c r="AE716" s="19" t="str">
        <f t="shared" si="126"/>
        <v/>
      </c>
      <c r="AF716" s="19" t="str">
        <f t="shared" si="127"/>
        <v/>
      </c>
      <c r="AG716" s="27" t="str">
        <f>IF(AND('Supplier selection'!AB716="",'Supplier selection'!AI716=""),"",IF('Supplier selection'!AB716="",'Supplier selection'!AI716,'Supplier selection'!AB716))</f>
        <v/>
      </c>
      <c r="AH716" s="28" t="str">
        <f t="shared" si="128"/>
        <v/>
      </c>
      <c r="AI716" s="7" t="str">
        <f t="shared" si="129"/>
        <v/>
      </c>
      <c r="AJ716" s="22" t="str">
        <f t="shared" si="130"/>
        <v/>
      </c>
      <c r="AK716" s="29" t="str">
        <f t="shared" si="131"/>
        <v/>
      </c>
      <c r="AL716" s="10"/>
    </row>
    <row r="717" spans="1:38">
      <c r="A717" s="19">
        <f>IF('Supplier selection'!A717="","",'Supplier selection'!A717)</f>
        <v>713</v>
      </c>
      <c r="B717" s="19" t="str">
        <f>IF('Supplier selection'!B717="","",'Supplier selection'!B717)</f>
        <v/>
      </c>
      <c r="C717" s="19" t="str">
        <f>IF('Supplier selection'!C717="","",'Supplier selection'!C717)</f>
        <v/>
      </c>
      <c r="D717" s="19" t="str">
        <f>IF('Supplier selection'!D717="","",'Supplier selection'!D717)</f>
        <v/>
      </c>
      <c r="E717" s="19" t="str">
        <f>IF('Supplier selection'!E717="","",'Supplier selection'!E717)</f>
        <v/>
      </c>
      <c r="F717" s="19" t="str">
        <f>IF('Supplier selection'!F717="","",'Supplier selection'!F717)</f>
        <v/>
      </c>
      <c r="G717" s="19" t="str">
        <f>IF('Supplier selection'!G717="","",'Supplier selection'!G717)</f>
        <v/>
      </c>
      <c r="H717" s="19" t="str">
        <f>IF('Supplier selection'!H717="","",'Supplier selection'!H717)</f>
        <v/>
      </c>
      <c r="I717" s="19" t="str">
        <f>IF('Supplier selection'!I717="","",'Supplier selection'!I717)</f>
        <v/>
      </c>
      <c r="J717" s="19" t="str">
        <f>IF('Supplier selection'!J717="","",'Supplier selection'!J717)</f>
        <v/>
      </c>
      <c r="K717" s="19" t="str">
        <f>IF('Supplier selection'!K717="","",'Supplier selection'!K717)</f>
        <v/>
      </c>
      <c r="L717" s="19" t="str">
        <f>IF('Supplier selection'!L717="","",'Supplier selection'!L717)</f>
        <v/>
      </c>
      <c r="M717" s="19" t="str">
        <f>IF('Supplier selection'!M717="","",'Supplier selection'!M717)</f>
        <v/>
      </c>
      <c r="N717" s="19" t="str">
        <f>IF('Supplier selection'!N717="","",'Supplier selection'!N717)</f>
        <v/>
      </c>
      <c r="O717" s="19" t="str">
        <f>IF('Supplier selection'!O717="","",'Supplier selection'!O717)</f>
        <v/>
      </c>
      <c r="Q717" s="19" t="str">
        <f>HLOOKUP($Q$3,'Supplier selection'!$AW$4:'Supplier selection'!$CT$1000,$A718,FALSE)</f>
        <v/>
      </c>
      <c r="R717" s="22" t="str">
        <f t="shared" si="121"/>
        <v/>
      </c>
      <c r="S717" s="19" t="str">
        <f t="shared" si="122"/>
        <v/>
      </c>
      <c r="T717" s="22" t="str">
        <f t="shared" si="123"/>
        <v/>
      </c>
      <c r="U717" s="19" t="str">
        <f t="shared" si="124"/>
        <v/>
      </c>
      <c r="V717" s="7"/>
      <c r="Y717" s="19" t="str">
        <f>IF('Supplier selection'!AQ717="","",'Supplier selection'!AQ717)</f>
        <v/>
      </c>
      <c r="Z717" s="19" t="str">
        <f>IF('Supplier selection'!AR717="","",'Supplier selection'!AR717)</f>
        <v/>
      </c>
      <c r="AA717" s="19" t="str">
        <f t="shared" si="125"/>
        <v/>
      </c>
      <c r="AD717" s="26" t="str">
        <f>IF(AND('Supplier selection'!X717="",'Supplier selection'!AE717=""),"",IF('Supplier selection'!X717="",'Supplier selection'!AE717,'Supplier selection'!X717))</f>
        <v/>
      </c>
      <c r="AE717" s="19" t="str">
        <f t="shared" si="126"/>
        <v/>
      </c>
      <c r="AF717" s="19" t="str">
        <f t="shared" si="127"/>
        <v/>
      </c>
      <c r="AG717" s="27" t="str">
        <f>IF(AND('Supplier selection'!AB717="",'Supplier selection'!AI717=""),"",IF('Supplier selection'!AB717="",'Supplier selection'!AI717,'Supplier selection'!AB717))</f>
        <v/>
      </c>
      <c r="AH717" s="28" t="str">
        <f t="shared" si="128"/>
        <v/>
      </c>
      <c r="AI717" s="7" t="str">
        <f t="shared" si="129"/>
        <v/>
      </c>
      <c r="AJ717" s="22" t="str">
        <f t="shared" si="130"/>
        <v/>
      </c>
      <c r="AK717" s="29" t="str">
        <f t="shared" si="131"/>
        <v/>
      </c>
      <c r="AL717" s="10"/>
    </row>
    <row r="718" spans="1:38">
      <c r="A718" s="19">
        <f>IF('Supplier selection'!A718="","",'Supplier selection'!A718)</f>
        <v>714</v>
      </c>
      <c r="B718" s="19" t="str">
        <f>IF('Supplier selection'!B718="","",'Supplier selection'!B718)</f>
        <v/>
      </c>
      <c r="C718" s="19" t="str">
        <f>IF('Supplier selection'!C718="","",'Supplier selection'!C718)</f>
        <v/>
      </c>
      <c r="D718" s="19" t="str">
        <f>IF('Supplier selection'!D718="","",'Supplier selection'!D718)</f>
        <v/>
      </c>
      <c r="E718" s="19" t="str">
        <f>IF('Supplier selection'!E718="","",'Supplier selection'!E718)</f>
        <v/>
      </c>
      <c r="F718" s="19" t="str">
        <f>IF('Supplier selection'!F718="","",'Supplier selection'!F718)</f>
        <v/>
      </c>
      <c r="G718" s="19" t="str">
        <f>IF('Supplier selection'!G718="","",'Supplier selection'!G718)</f>
        <v/>
      </c>
      <c r="H718" s="19" t="str">
        <f>IF('Supplier selection'!H718="","",'Supplier selection'!H718)</f>
        <v/>
      </c>
      <c r="I718" s="19" t="str">
        <f>IF('Supplier selection'!I718="","",'Supplier selection'!I718)</f>
        <v/>
      </c>
      <c r="J718" s="19" t="str">
        <f>IF('Supplier selection'!J718="","",'Supplier selection'!J718)</f>
        <v/>
      </c>
      <c r="K718" s="19" t="str">
        <f>IF('Supplier selection'!K718="","",'Supplier selection'!K718)</f>
        <v/>
      </c>
      <c r="L718" s="19" t="str">
        <f>IF('Supplier selection'!L718="","",'Supplier selection'!L718)</f>
        <v/>
      </c>
      <c r="M718" s="19" t="str">
        <f>IF('Supplier selection'!M718="","",'Supplier selection'!M718)</f>
        <v/>
      </c>
      <c r="N718" s="19" t="str">
        <f>IF('Supplier selection'!N718="","",'Supplier selection'!N718)</f>
        <v/>
      </c>
      <c r="O718" s="19" t="str">
        <f>IF('Supplier selection'!O718="","",'Supplier selection'!O718)</f>
        <v/>
      </c>
      <c r="Q718" s="19" t="str">
        <f>HLOOKUP($Q$3,'Supplier selection'!$AW$4:'Supplier selection'!$CT$1000,$A719,FALSE)</f>
        <v/>
      </c>
      <c r="R718" s="22" t="str">
        <f t="shared" si="121"/>
        <v/>
      </c>
      <c r="S718" s="19" t="str">
        <f t="shared" si="122"/>
        <v/>
      </c>
      <c r="T718" s="22" t="str">
        <f t="shared" si="123"/>
        <v/>
      </c>
      <c r="U718" s="19" t="str">
        <f t="shared" si="124"/>
        <v/>
      </c>
      <c r="V718" s="7"/>
      <c r="Y718" s="19" t="str">
        <f>IF('Supplier selection'!AQ718="","",'Supplier selection'!AQ718)</f>
        <v/>
      </c>
      <c r="Z718" s="19" t="str">
        <f>IF('Supplier selection'!AR718="","",'Supplier selection'!AR718)</f>
        <v/>
      </c>
      <c r="AA718" s="19" t="str">
        <f t="shared" si="125"/>
        <v/>
      </c>
      <c r="AD718" s="26" t="str">
        <f>IF(AND('Supplier selection'!X718="",'Supplier selection'!AE718=""),"",IF('Supplier selection'!X718="",'Supplier selection'!AE718,'Supplier selection'!X718))</f>
        <v/>
      </c>
      <c r="AE718" s="19" t="str">
        <f t="shared" si="126"/>
        <v/>
      </c>
      <c r="AF718" s="19" t="str">
        <f t="shared" si="127"/>
        <v/>
      </c>
      <c r="AG718" s="27" t="str">
        <f>IF(AND('Supplier selection'!AB718="",'Supplier selection'!AI718=""),"",IF('Supplier selection'!AB718="",'Supplier selection'!AI718,'Supplier selection'!AB718))</f>
        <v/>
      </c>
      <c r="AH718" s="28" t="str">
        <f t="shared" si="128"/>
        <v/>
      </c>
      <c r="AI718" s="7" t="str">
        <f t="shared" si="129"/>
        <v/>
      </c>
      <c r="AJ718" s="22" t="str">
        <f t="shared" si="130"/>
        <v/>
      </c>
      <c r="AK718" s="29" t="str">
        <f t="shared" si="131"/>
        <v/>
      </c>
      <c r="AL718" s="10"/>
    </row>
    <row r="719" spans="1:38">
      <c r="A719" s="19">
        <f>IF('Supplier selection'!A719="","",'Supplier selection'!A719)</f>
        <v>715</v>
      </c>
      <c r="B719" s="19" t="str">
        <f>IF('Supplier selection'!B719="","",'Supplier selection'!B719)</f>
        <v/>
      </c>
      <c r="C719" s="19" t="str">
        <f>IF('Supplier selection'!C719="","",'Supplier selection'!C719)</f>
        <v/>
      </c>
      <c r="D719" s="19" t="str">
        <f>IF('Supplier selection'!D719="","",'Supplier selection'!D719)</f>
        <v/>
      </c>
      <c r="E719" s="19" t="str">
        <f>IF('Supplier selection'!E719="","",'Supplier selection'!E719)</f>
        <v/>
      </c>
      <c r="F719" s="19" t="str">
        <f>IF('Supplier selection'!F719="","",'Supplier selection'!F719)</f>
        <v/>
      </c>
      <c r="G719" s="19" t="str">
        <f>IF('Supplier selection'!G719="","",'Supplier selection'!G719)</f>
        <v/>
      </c>
      <c r="H719" s="19" t="str">
        <f>IF('Supplier selection'!H719="","",'Supplier selection'!H719)</f>
        <v/>
      </c>
      <c r="I719" s="19" t="str">
        <f>IF('Supplier selection'!I719="","",'Supplier selection'!I719)</f>
        <v/>
      </c>
      <c r="J719" s="19" t="str">
        <f>IF('Supplier selection'!J719="","",'Supplier selection'!J719)</f>
        <v/>
      </c>
      <c r="K719" s="19" t="str">
        <f>IF('Supplier selection'!K719="","",'Supplier selection'!K719)</f>
        <v/>
      </c>
      <c r="L719" s="19" t="str">
        <f>IF('Supplier selection'!L719="","",'Supplier selection'!L719)</f>
        <v/>
      </c>
      <c r="M719" s="19" t="str">
        <f>IF('Supplier selection'!M719="","",'Supplier selection'!M719)</f>
        <v/>
      </c>
      <c r="N719" s="19" t="str">
        <f>IF('Supplier selection'!N719="","",'Supplier selection'!N719)</f>
        <v/>
      </c>
      <c r="O719" s="19" t="str">
        <f>IF('Supplier selection'!O719="","",'Supplier selection'!O719)</f>
        <v/>
      </c>
      <c r="Q719" s="19" t="str">
        <f>HLOOKUP($Q$3,'Supplier selection'!$AW$4:'Supplier selection'!$CT$1000,$A720,FALSE)</f>
        <v/>
      </c>
      <c r="R719" s="22" t="str">
        <f t="shared" si="121"/>
        <v/>
      </c>
      <c r="S719" s="19" t="str">
        <f t="shared" si="122"/>
        <v/>
      </c>
      <c r="T719" s="22" t="str">
        <f t="shared" si="123"/>
        <v/>
      </c>
      <c r="U719" s="19" t="str">
        <f t="shared" si="124"/>
        <v/>
      </c>
      <c r="V719" s="7"/>
      <c r="Y719" s="19" t="str">
        <f>IF('Supplier selection'!AQ719="","",'Supplier selection'!AQ719)</f>
        <v/>
      </c>
      <c r="Z719" s="19" t="str">
        <f>IF('Supplier selection'!AR719="","",'Supplier selection'!AR719)</f>
        <v/>
      </c>
      <c r="AA719" s="19" t="str">
        <f t="shared" si="125"/>
        <v/>
      </c>
      <c r="AD719" s="26" t="str">
        <f>IF(AND('Supplier selection'!X719="",'Supplier selection'!AE719=""),"",IF('Supplier selection'!X719="",'Supplier selection'!AE719,'Supplier selection'!X719))</f>
        <v/>
      </c>
      <c r="AE719" s="19" t="str">
        <f t="shared" si="126"/>
        <v/>
      </c>
      <c r="AF719" s="19" t="str">
        <f t="shared" si="127"/>
        <v/>
      </c>
      <c r="AG719" s="27" t="str">
        <f>IF(AND('Supplier selection'!AB719="",'Supplier selection'!AI719=""),"",IF('Supplier selection'!AB719="",'Supplier selection'!AI719,'Supplier selection'!AB719))</f>
        <v/>
      </c>
      <c r="AH719" s="28" t="str">
        <f t="shared" si="128"/>
        <v/>
      </c>
      <c r="AI719" s="7" t="str">
        <f t="shared" si="129"/>
        <v/>
      </c>
      <c r="AJ719" s="22" t="str">
        <f t="shared" si="130"/>
        <v/>
      </c>
      <c r="AK719" s="29" t="str">
        <f t="shared" si="131"/>
        <v/>
      </c>
      <c r="AL719" s="10"/>
    </row>
    <row r="720" spans="1:38">
      <c r="A720" s="19">
        <f>IF('Supplier selection'!A720="","",'Supplier selection'!A720)</f>
        <v>716</v>
      </c>
      <c r="B720" s="19" t="str">
        <f>IF('Supplier selection'!B720="","",'Supplier selection'!B720)</f>
        <v/>
      </c>
      <c r="C720" s="19" t="str">
        <f>IF('Supplier selection'!C720="","",'Supplier selection'!C720)</f>
        <v/>
      </c>
      <c r="D720" s="19" t="str">
        <f>IF('Supplier selection'!D720="","",'Supplier selection'!D720)</f>
        <v/>
      </c>
      <c r="E720" s="19" t="str">
        <f>IF('Supplier selection'!E720="","",'Supplier selection'!E720)</f>
        <v/>
      </c>
      <c r="F720" s="19" t="str">
        <f>IF('Supplier selection'!F720="","",'Supplier selection'!F720)</f>
        <v/>
      </c>
      <c r="G720" s="19" t="str">
        <f>IF('Supplier selection'!G720="","",'Supplier selection'!G720)</f>
        <v/>
      </c>
      <c r="H720" s="19" t="str">
        <f>IF('Supplier selection'!H720="","",'Supplier selection'!H720)</f>
        <v/>
      </c>
      <c r="I720" s="19" t="str">
        <f>IF('Supplier selection'!I720="","",'Supplier selection'!I720)</f>
        <v/>
      </c>
      <c r="J720" s="19" t="str">
        <f>IF('Supplier selection'!J720="","",'Supplier selection'!J720)</f>
        <v/>
      </c>
      <c r="K720" s="19" t="str">
        <f>IF('Supplier selection'!K720="","",'Supplier selection'!K720)</f>
        <v/>
      </c>
      <c r="L720" s="19" t="str">
        <f>IF('Supplier selection'!L720="","",'Supplier selection'!L720)</f>
        <v/>
      </c>
      <c r="M720" s="19" t="str">
        <f>IF('Supplier selection'!M720="","",'Supplier selection'!M720)</f>
        <v/>
      </c>
      <c r="N720" s="19" t="str">
        <f>IF('Supplier selection'!N720="","",'Supplier selection'!N720)</f>
        <v/>
      </c>
      <c r="O720" s="19" t="str">
        <f>IF('Supplier selection'!O720="","",'Supplier selection'!O720)</f>
        <v/>
      </c>
      <c r="Q720" s="19" t="str">
        <f>HLOOKUP($Q$3,'Supplier selection'!$AW$4:'Supplier selection'!$CT$1000,$A721,FALSE)</f>
        <v/>
      </c>
      <c r="R720" s="22" t="str">
        <f t="shared" si="121"/>
        <v/>
      </c>
      <c r="S720" s="19" t="str">
        <f t="shared" si="122"/>
        <v/>
      </c>
      <c r="T720" s="22" t="str">
        <f t="shared" si="123"/>
        <v/>
      </c>
      <c r="U720" s="19" t="str">
        <f t="shared" si="124"/>
        <v/>
      </c>
      <c r="V720" s="7"/>
      <c r="Y720" s="19" t="str">
        <f>IF('Supplier selection'!AQ720="","",'Supplier selection'!AQ720)</f>
        <v/>
      </c>
      <c r="Z720" s="19" t="str">
        <f>IF('Supplier selection'!AR720="","",'Supplier selection'!AR720)</f>
        <v/>
      </c>
      <c r="AA720" s="19" t="str">
        <f t="shared" si="125"/>
        <v/>
      </c>
      <c r="AD720" s="26" t="str">
        <f>IF(AND('Supplier selection'!X720="",'Supplier selection'!AE720=""),"",IF('Supplier selection'!X720="",'Supplier selection'!AE720,'Supplier selection'!X720))</f>
        <v/>
      </c>
      <c r="AE720" s="19" t="str">
        <f t="shared" si="126"/>
        <v/>
      </c>
      <c r="AF720" s="19" t="str">
        <f t="shared" si="127"/>
        <v/>
      </c>
      <c r="AG720" s="27" t="str">
        <f>IF(AND('Supplier selection'!AB720="",'Supplier selection'!AI720=""),"",IF('Supplier selection'!AB720="",'Supplier selection'!AI720,'Supplier selection'!AB720))</f>
        <v/>
      </c>
      <c r="AH720" s="28" t="str">
        <f t="shared" si="128"/>
        <v/>
      </c>
      <c r="AI720" s="7" t="str">
        <f t="shared" si="129"/>
        <v/>
      </c>
      <c r="AJ720" s="22" t="str">
        <f t="shared" si="130"/>
        <v/>
      </c>
      <c r="AK720" s="29" t="str">
        <f t="shared" si="131"/>
        <v/>
      </c>
      <c r="AL720" s="10"/>
    </row>
    <row r="721" spans="1:38">
      <c r="A721" s="19">
        <f>IF('Supplier selection'!A721="","",'Supplier selection'!A721)</f>
        <v>717</v>
      </c>
      <c r="B721" s="19" t="str">
        <f>IF('Supplier selection'!B721="","",'Supplier selection'!B721)</f>
        <v/>
      </c>
      <c r="C721" s="19" t="str">
        <f>IF('Supplier selection'!C721="","",'Supplier selection'!C721)</f>
        <v/>
      </c>
      <c r="D721" s="19" t="str">
        <f>IF('Supplier selection'!D721="","",'Supplier selection'!D721)</f>
        <v/>
      </c>
      <c r="E721" s="19" t="str">
        <f>IF('Supplier selection'!E721="","",'Supplier selection'!E721)</f>
        <v/>
      </c>
      <c r="F721" s="19" t="str">
        <f>IF('Supplier selection'!F721="","",'Supplier selection'!F721)</f>
        <v/>
      </c>
      <c r="G721" s="19" t="str">
        <f>IF('Supplier selection'!G721="","",'Supplier selection'!G721)</f>
        <v/>
      </c>
      <c r="H721" s="19" t="str">
        <f>IF('Supplier selection'!H721="","",'Supplier selection'!H721)</f>
        <v/>
      </c>
      <c r="I721" s="19" t="str">
        <f>IF('Supplier selection'!I721="","",'Supplier selection'!I721)</f>
        <v/>
      </c>
      <c r="J721" s="19" t="str">
        <f>IF('Supplier selection'!J721="","",'Supplier selection'!J721)</f>
        <v/>
      </c>
      <c r="K721" s="19" t="str">
        <f>IF('Supplier selection'!K721="","",'Supplier selection'!K721)</f>
        <v/>
      </c>
      <c r="L721" s="19" t="str">
        <f>IF('Supplier selection'!L721="","",'Supplier selection'!L721)</f>
        <v/>
      </c>
      <c r="M721" s="19" t="str">
        <f>IF('Supplier selection'!M721="","",'Supplier selection'!M721)</f>
        <v/>
      </c>
      <c r="N721" s="19" t="str">
        <f>IF('Supplier selection'!N721="","",'Supplier selection'!N721)</f>
        <v/>
      </c>
      <c r="O721" s="19" t="str">
        <f>IF('Supplier selection'!O721="","",'Supplier selection'!O721)</f>
        <v/>
      </c>
      <c r="Q721" s="19" t="str">
        <f>HLOOKUP($Q$3,'Supplier selection'!$AW$4:'Supplier selection'!$CT$1000,$A722,FALSE)</f>
        <v/>
      </c>
      <c r="R721" s="22" t="str">
        <f t="shared" si="121"/>
        <v/>
      </c>
      <c r="S721" s="19" t="str">
        <f t="shared" si="122"/>
        <v/>
      </c>
      <c r="T721" s="22" t="str">
        <f t="shared" si="123"/>
        <v/>
      </c>
      <c r="U721" s="19" t="str">
        <f t="shared" si="124"/>
        <v/>
      </c>
      <c r="V721" s="7"/>
      <c r="Y721" s="19" t="str">
        <f>IF('Supplier selection'!AQ721="","",'Supplier selection'!AQ721)</f>
        <v/>
      </c>
      <c r="Z721" s="19" t="str">
        <f>IF('Supplier selection'!AR721="","",'Supplier selection'!AR721)</f>
        <v/>
      </c>
      <c r="AA721" s="19" t="str">
        <f t="shared" si="125"/>
        <v/>
      </c>
      <c r="AD721" s="26" t="str">
        <f>IF(AND('Supplier selection'!X721="",'Supplier selection'!AE721=""),"",IF('Supplier selection'!X721="",'Supplier selection'!AE721,'Supplier selection'!X721))</f>
        <v/>
      </c>
      <c r="AE721" s="19" t="str">
        <f t="shared" si="126"/>
        <v/>
      </c>
      <c r="AF721" s="19" t="str">
        <f t="shared" si="127"/>
        <v/>
      </c>
      <c r="AG721" s="27" t="str">
        <f>IF(AND('Supplier selection'!AB721="",'Supplier selection'!AI721=""),"",IF('Supplier selection'!AB721="",'Supplier selection'!AI721,'Supplier selection'!AB721))</f>
        <v/>
      </c>
      <c r="AH721" s="28" t="str">
        <f t="shared" si="128"/>
        <v/>
      </c>
      <c r="AI721" s="7" t="str">
        <f t="shared" si="129"/>
        <v/>
      </c>
      <c r="AJ721" s="22" t="str">
        <f t="shared" si="130"/>
        <v/>
      </c>
      <c r="AK721" s="29" t="str">
        <f t="shared" si="131"/>
        <v/>
      </c>
      <c r="AL721" s="10"/>
    </row>
    <row r="722" spans="1:38">
      <c r="A722" s="19">
        <f>IF('Supplier selection'!A722="","",'Supplier selection'!A722)</f>
        <v>718</v>
      </c>
      <c r="B722" s="19" t="str">
        <f>IF('Supplier selection'!B722="","",'Supplier selection'!B722)</f>
        <v/>
      </c>
      <c r="C722" s="19" t="str">
        <f>IF('Supplier selection'!C722="","",'Supplier selection'!C722)</f>
        <v/>
      </c>
      <c r="D722" s="19" t="str">
        <f>IF('Supplier selection'!D722="","",'Supplier selection'!D722)</f>
        <v/>
      </c>
      <c r="E722" s="19" t="str">
        <f>IF('Supplier selection'!E722="","",'Supplier selection'!E722)</f>
        <v/>
      </c>
      <c r="F722" s="19" t="str">
        <f>IF('Supplier selection'!F722="","",'Supplier selection'!F722)</f>
        <v/>
      </c>
      <c r="G722" s="19" t="str">
        <f>IF('Supplier selection'!G722="","",'Supplier selection'!G722)</f>
        <v/>
      </c>
      <c r="H722" s="19" t="str">
        <f>IF('Supplier selection'!H722="","",'Supplier selection'!H722)</f>
        <v/>
      </c>
      <c r="I722" s="19" t="str">
        <f>IF('Supplier selection'!I722="","",'Supplier selection'!I722)</f>
        <v/>
      </c>
      <c r="J722" s="19" t="str">
        <f>IF('Supplier selection'!J722="","",'Supplier selection'!J722)</f>
        <v/>
      </c>
      <c r="K722" s="19" t="str">
        <f>IF('Supplier selection'!K722="","",'Supplier selection'!K722)</f>
        <v/>
      </c>
      <c r="L722" s="19" t="str">
        <f>IF('Supplier selection'!L722="","",'Supplier selection'!L722)</f>
        <v/>
      </c>
      <c r="M722" s="19" t="str">
        <f>IF('Supplier selection'!M722="","",'Supplier selection'!M722)</f>
        <v/>
      </c>
      <c r="N722" s="19" t="str">
        <f>IF('Supplier selection'!N722="","",'Supplier selection'!N722)</f>
        <v/>
      </c>
      <c r="O722" s="19" t="str">
        <f>IF('Supplier selection'!O722="","",'Supplier selection'!O722)</f>
        <v/>
      </c>
      <c r="Q722" s="19" t="str">
        <f>HLOOKUP($Q$3,'Supplier selection'!$AW$4:'Supplier selection'!$CT$1000,$A723,FALSE)</f>
        <v/>
      </c>
      <c r="R722" s="22" t="str">
        <f t="shared" si="121"/>
        <v/>
      </c>
      <c r="S722" s="19" t="str">
        <f t="shared" si="122"/>
        <v/>
      </c>
      <c r="T722" s="22" t="str">
        <f t="shared" si="123"/>
        <v/>
      </c>
      <c r="U722" s="19" t="str">
        <f t="shared" si="124"/>
        <v/>
      </c>
      <c r="V722" s="7"/>
      <c r="Y722" s="19" t="str">
        <f>IF('Supplier selection'!AQ722="","",'Supplier selection'!AQ722)</f>
        <v/>
      </c>
      <c r="Z722" s="19" t="str">
        <f>IF('Supplier selection'!AR722="","",'Supplier selection'!AR722)</f>
        <v/>
      </c>
      <c r="AA722" s="19" t="str">
        <f t="shared" si="125"/>
        <v/>
      </c>
      <c r="AD722" s="26" t="str">
        <f>IF(AND('Supplier selection'!X722="",'Supplier selection'!AE722=""),"",IF('Supplier selection'!X722="",'Supplier selection'!AE722,'Supplier selection'!X722))</f>
        <v/>
      </c>
      <c r="AE722" s="19" t="str">
        <f t="shared" si="126"/>
        <v/>
      </c>
      <c r="AF722" s="19" t="str">
        <f t="shared" si="127"/>
        <v/>
      </c>
      <c r="AG722" s="27" t="str">
        <f>IF(AND('Supplier selection'!AB722="",'Supplier selection'!AI722=""),"",IF('Supplier selection'!AB722="",'Supplier selection'!AI722,'Supplier selection'!AB722))</f>
        <v/>
      </c>
      <c r="AH722" s="28" t="str">
        <f t="shared" si="128"/>
        <v/>
      </c>
      <c r="AI722" s="7" t="str">
        <f t="shared" si="129"/>
        <v/>
      </c>
      <c r="AJ722" s="22" t="str">
        <f t="shared" si="130"/>
        <v/>
      </c>
      <c r="AK722" s="29" t="str">
        <f t="shared" si="131"/>
        <v/>
      </c>
      <c r="AL722" s="10"/>
    </row>
    <row r="723" spans="1:38">
      <c r="A723" s="19">
        <f>IF('Supplier selection'!A723="","",'Supplier selection'!A723)</f>
        <v>719</v>
      </c>
      <c r="B723" s="19" t="str">
        <f>IF('Supplier selection'!B723="","",'Supplier selection'!B723)</f>
        <v/>
      </c>
      <c r="C723" s="19" t="str">
        <f>IF('Supplier selection'!C723="","",'Supplier selection'!C723)</f>
        <v/>
      </c>
      <c r="D723" s="19" t="str">
        <f>IF('Supplier selection'!D723="","",'Supplier selection'!D723)</f>
        <v/>
      </c>
      <c r="E723" s="19" t="str">
        <f>IF('Supplier selection'!E723="","",'Supplier selection'!E723)</f>
        <v/>
      </c>
      <c r="F723" s="19" t="str">
        <f>IF('Supplier selection'!F723="","",'Supplier selection'!F723)</f>
        <v/>
      </c>
      <c r="G723" s="19" t="str">
        <f>IF('Supplier selection'!G723="","",'Supplier selection'!G723)</f>
        <v/>
      </c>
      <c r="H723" s="19" t="str">
        <f>IF('Supplier selection'!H723="","",'Supplier selection'!H723)</f>
        <v/>
      </c>
      <c r="I723" s="19" t="str">
        <f>IF('Supplier selection'!I723="","",'Supplier selection'!I723)</f>
        <v/>
      </c>
      <c r="J723" s="19" t="str">
        <f>IF('Supplier selection'!J723="","",'Supplier selection'!J723)</f>
        <v/>
      </c>
      <c r="K723" s="19" t="str">
        <f>IF('Supplier selection'!K723="","",'Supplier selection'!K723)</f>
        <v/>
      </c>
      <c r="L723" s="19" t="str">
        <f>IF('Supplier selection'!L723="","",'Supplier selection'!L723)</f>
        <v/>
      </c>
      <c r="M723" s="19" t="str">
        <f>IF('Supplier selection'!M723="","",'Supplier selection'!M723)</f>
        <v/>
      </c>
      <c r="N723" s="19" t="str">
        <f>IF('Supplier selection'!N723="","",'Supplier selection'!N723)</f>
        <v/>
      </c>
      <c r="O723" s="19" t="str">
        <f>IF('Supplier selection'!O723="","",'Supplier selection'!O723)</f>
        <v/>
      </c>
      <c r="Q723" s="19" t="str">
        <f>HLOOKUP($Q$3,'Supplier selection'!$AW$4:'Supplier selection'!$CT$1000,$A724,FALSE)</f>
        <v/>
      </c>
      <c r="R723" s="22" t="str">
        <f t="shared" si="121"/>
        <v/>
      </c>
      <c r="S723" s="19" t="str">
        <f t="shared" si="122"/>
        <v/>
      </c>
      <c r="T723" s="22" t="str">
        <f t="shared" si="123"/>
        <v/>
      </c>
      <c r="U723" s="19" t="str">
        <f t="shared" si="124"/>
        <v/>
      </c>
      <c r="V723" s="7"/>
      <c r="Y723" s="19" t="str">
        <f>IF('Supplier selection'!AQ723="","",'Supplier selection'!AQ723)</f>
        <v/>
      </c>
      <c r="Z723" s="19" t="str">
        <f>IF('Supplier selection'!AR723="","",'Supplier selection'!AR723)</f>
        <v/>
      </c>
      <c r="AA723" s="19" t="str">
        <f t="shared" si="125"/>
        <v/>
      </c>
      <c r="AD723" s="26" t="str">
        <f>IF(AND('Supplier selection'!X723="",'Supplier selection'!AE723=""),"",IF('Supplier selection'!X723="",'Supplier selection'!AE723,'Supplier selection'!X723))</f>
        <v/>
      </c>
      <c r="AE723" s="19" t="str">
        <f t="shared" si="126"/>
        <v/>
      </c>
      <c r="AF723" s="19" t="str">
        <f t="shared" si="127"/>
        <v/>
      </c>
      <c r="AG723" s="27" t="str">
        <f>IF(AND('Supplier selection'!AB723="",'Supplier selection'!AI723=""),"",IF('Supplier selection'!AB723="",'Supplier selection'!AI723,'Supplier selection'!AB723))</f>
        <v/>
      </c>
      <c r="AH723" s="28" t="str">
        <f t="shared" si="128"/>
        <v/>
      </c>
      <c r="AI723" s="7" t="str">
        <f t="shared" si="129"/>
        <v/>
      </c>
      <c r="AJ723" s="22" t="str">
        <f t="shared" si="130"/>
        <v/>
      </c>
      <c r="AK723" s="29" t="str">
        <f t="shared" si="131"/>
        <v/>
      </c>
      <c r="AL723" s="10"/>
    </row>
    <row r="724" spans="1:38">
      <c r="A724" s="19">
        <f>IF('Supplier selection'!A724="","",'Supplier selection'!A724)</f>
        <v>720</v>
      </c>
      <c r="B724" s="19" t="str">
        <f>IF('Supplier selection'!B724="","",'Supplier selection'!B724)</f>
        <v/>
      </c>
      <c r="C724" s="19" t="str">
        <f>IF('Supplier selection'!C724="","",'Supplier selection'!C724)</f>
        <v/>
      </c>
      <c r="D724" s="19" t="str">
        <f>IF('Supplier selection'!D724="","",'Supplier selection'!D724)</f>
        <v/>
      </c>
      <c r="E724" s="19" t="str">
        <f>IF('Supplier selection'!E724="","",'Supplier selection'!E724)</f>
        <v/>
      </c>
      <c r="F724" s="19" t="str">
        <f>IF('Supplier selection'!F724="","",'Supplier selection'!F724)</f>
        <v/>
      </c>
      <c r="G724" s="19" t="str">
        <f>IF('Supplier selection'!G724="","",'Supplier selection'!G724)</f>
        <v/>
      </c>
      <c r="H724" s="19" t="str">
        <f>IF('Supplier selection'!H724="","",'Supplier selection'!H724)</f>
        <v/>
      </c>
      <c r="I724" s="19" t="str">
        <f>IF('Supplier selection'!I724="","",'Supplier selection'!I724)</f>
        <v/>
      </c>
      <c r="J724" s="19" t="str">
        <f>IF('Supplier selection'!J724="","",'Supplier selection'!J724)</f>
        <v/>
      </c>
      <c r="K724" s="19" t="str">
        <f>IF('Supplier selection'!K724="","",'Supplier selection'!K724)</f>
        <v/>
      </c>
      <c r="L724" s="19" t="str">
        <f>IF('Supplier selection'!L724="","",'Supplier selection'!L724)</f>
        <v/>
      </c>
      <c r="M724" s="19" t="str">
        <f>IF('Supplier selection'!M724="","",'Supplier selection'!M724)</f>
        <v/>
      </c>
      <c r="N724" s="19" t="str">
        <f>IF('Supplier selection'!N724="","",'Supplier selection'!N724)</f>
        <v/>
      </c>
      <c r="O724" s="19" t="str">
        <f>IF('Supplier selection'!O724="","",'Supplier selection'!O724)</f>
        <v/>
      </c>
      <c r="Q724" s="19" t="str">
        <f>HLOOKUP($Q$3,'Supplier selection'!$AW$4:'Supplier selection'!$CT$1000,$A725,FALSE)</f>
        <v/>
      </c>
      <c r="R724" s="22" t="str">
        <f t="shared" si="121"/>
        <v/>
      </c>
      <c r="S724" s="19" t="str">
        <f t="shared" si="122"/>
        <v/>
      </c>
      <c r="T724" s="22" t="str">
        <f t="shared" si="123"/>
        <v/>
      </c>
      <c r="U724" s="19" t="str">
        <f t="shared" si="124"/>
        <v/>
      </c>
      <c r="V724" s="7"/>
      <c r="Y724" s="19" t="str">
        <f>IF('Supplier selection'!AQ724="","",'Supplier selection'!AQ724)</f>
        <v/>
      </c>
      <c r="Z724" s="19" t="str">
        <f>IF('Supplier selection'!AR724="","",'Supplier selection'!AR724)</f>
        <v/>
      </c>
      <c r="AA724" s="19" t="str">
        <f t="shared" si="125"/>
        <v/>
      </c>
      <c r="AD724" s="26" t="str">
        <f>IF(AND('Supplier selection'!X724="",'Supplier selection'!AE724=""),"",IF('Supplier selection'!X724="",'Supplier selection'!AE724,'Supplier selection'!X724))</f>
        <v/>
      </c>
      <c r="AE724" s="19" t="str">
        <f t="shared" si="126"/>
        <v/>
      </c>
      <c r="AF724" s="19" t="str">
        <f t="shared" si="127"/>
        <v/>
      </c>
      <c r="AG724" s="27" t="str">
        <f>IF(AND('Supplier selection'!AB724="",'Supplier selection'!AI724=""),"",IF('Supplier selection'!AB724="",'Supplier selection'!AI724,'Supplier selection'!AB724))</f>
        <v/>
      </c>
      <c r="AH724" s="28" t="str">
        <f t="shared" si="128"/>
        <v/>
      </c>
      <c r="AI724" s="7" t="str">
        <f t="shared" si="129"/>
        <v/>
      </c>
      <c r="AJ724" s="22" t="str">
        <f t="shared" si="130"/>
        <v/>
      </c>
      <c r="AK724" s="29" t="str">
        <f t="shared" si="131"/>
        <v/>
      </c>
      <c r="AL724" s="10"/>
    </row>
    <row r="725" spans="1:38">
      <c r="A725" s="19">
        <f>IF('Supplier selection'!A725="","",'Supplier selection'!A725)</f>
        <v>721</v>
      </c>
      <c r="B725" s="19" t="str">
        <f>IF('Supplier selection'!B725="","",'Supplier selection'!B725)</f>
        <v/>
      </c>
      <c r="C725" s="19" t="str">
        <f>IF('Supplier selection'!C725="","",'Supplier selection'!C725)</f>
        <v/>
      </c>
      <c r="D725" s="19" t="str">
        <f>IF('Supplier selection'!D725="","",'Supplier selection'!D725)</f>
        <v/>
      </c>
      <c r="E725" s="19" t="str">
        <f>IF('Supplier selection'!E725="","",'Supplier selection'!E725)</f>
        <v/>
      </c>
      <c r="F725" s="19" t="str">
        <f>IF('Supplier selection'!F725="","",'Supplier selection'!F725)</f>
        <v/>
      </c>
      <c r="G725" s="19" t="str">
        <f>IF('Supplier selection'!G725="","",'Supplier selection'!G725)</f>
        <v/>
      </c>
      <c r="H725" s="19" t="str">
        <f>IF('Supplier selection'!H725="","",'Supplier selection'!H725)</f>
        <v/>
      </c>
      <c r="I725" s="19" t="str">
        <f>IF('Supplier selection'!I725="","",'Supplier selection'!I725)</f>
        <v/>
      </c>
      <c r="J725" s="19" t="str">
        <f>IF('Supplier selection'!J725="","",'Supplier selection'!J725)</f>
        <v/>
      </c>
      <c r="K725" s="19" t="str">
        <f>IF('Supplier selection'!K725="","",'Supplier selection'!K725)</f>
        <v/>
      </c>
      <c r="L725" s="19" t="str">
        <f>IF('Supplier selection'!L725="","",'Supplier selection'!L725)</f>
        <v/>
      </c>
      <c r="M725" s="19" t="str">
        <f>IF('Supplier selection'!M725="","",'Supplier selection'!M725)</f>
        <v/>
      </c>
      <c r="N725" s="19" t="str">
        <f>IF('Supplier selection'!N725="","",'Supplier selection'!N725)</f>
        <v/>
      </c>
      <c r="O725" s="19" t="str">
        <f>IF('Supplier selection'!O725="","",'Supplier selection'!O725)</f>
        <v/>
      </c>
      <c r="Q725" s="19" t="str">
        <f>HLOOKUP($Q$3,'Supplier selection'!$AW$4:'Supplier selection'!$CT$1000,$A726,FALSE)</f>
        <v/>
      </c>
      <c r="R725" s="22" t="str">
        <f t="shared" si="121"/>
        <v/>
      </c>
      <c r="S725" s="19" t="str">
        <f t="shared" si="122"/>
        <v/>
      </c>
      <c r="T725" s="22" t="str">
        <f t="shared" si="123"/>
        <v/>
      </c>
      <c r="U725" s="19" t="str">
        <f t="shared" si="124"/>
        <v/>
      </c>
      <c r="V725" s="7"/>
      <c r="Y725" s="19" t="str">
        <f>IF('Supplier selection'!AQ725="","",'Supplier selection'!AQ725)</f>
        <v/>
      </c>
      <c r="Z725" s="19" t="str">
        <f>IF('Supplier selection'!AR725="","",'Supplier selection'!AR725)</f>
        <v/>
      </c>
      <c r="AA725" s="19" t="str">
        <f t="shared" si="125"/>
        <v/>
      </c>
      <c r="AD725" s="26" t="str">
        <f>IF(AND('Supplier selection'!X725="",'Supplier selection'!AE725=""),"",IF('Supplier selection'!X725="",'Supplier selection'!AE725,'Supplier selection'!X725))</f>
        <v/>
      </c>
      <c r="AE725" s="19" t="str">
        <f t="shared" si="126"/>
        <v/>
      </c>
      <c r="AF725" s="19" t="str">
        <f t="shared" si="127"/>
        <v/>
      </c>
      <c r="AG725" s="27" t="str">
        <f>IF(AND('Supplier selection'!AB725="",'Supplier selection'!AI725=""),"",IF('Supplier selection'!AB725="",'Supplier selection'!AI725,'Supplier selection'!AB725))</f>
        <v/>
      </c>
      <c r="AH725" s="28" t="str">
        <f t="shared" si="128"/>
        <v/>
      </c>
      <c r="AI725" s="7" t="str">
        <f t="shared" si="129"/>
        <v/>
      </c>
      <c r="AJ725" s="22" t="str">
        <f t="shared" si="130"/>
        <v/>
      </c>
      <c r="AK725" s="29" t="str">
        <f t="shared" si="131"/>
        <v/>
      </c>
      <c r="AL725" s="10"/>
    </row>
    <row r="726" spans="1:38">
      <c r="A726" s="19">
        <f>IF('Supplier selection'!A726="","",'Supplier selection'!A726)</f>
        <v>722</v>
      </c>
      <c r="B726" s="19" t="str">
        <f>IF('Supplier selection'!B726="","",'Supplier selection'!B726)</f>
        <v/>
      </c>
      <c r="C726" s="19" t="str">
        <f>IF('Supplier selection'!C726="","",'Supplier selection'!C726)</f>
        <v/>
      </c>
      <c r="D726" s="19" t="str">
        <f>IF('Supplier selection'!D726="","",'Supplier selection'!D726)</f>
        <v/>
      </c>
      <c r="E726" s="19" t="str">
        <f>IF('Supplier selection'!E726="","",'Supplier selection'!E726)</f>
        <v/>
      </c>
      <c r="F726" s="19" t="str">
        <f>IF('Supplier selection'!F726="","",'Supplier selection'!F726)</f>
        <v/>
      </c>
      <c r="G726" s="19" t="str">
        <f>IF('Supplier selection'!G726="","",'Supplier selection'!G726)</f>
        <v/>
      </c>
      <c r="H726" s="19" t="str">
        <f>IF('Supplier selection'!H726="","",'Supplier selection'!H726)</f>
        <v/>
      </c>
      <c r="I726" s="19" t="str">
        <f>IF('Supplier selection'!I726="","",'Supplier selection'!I726)</f>
        <v/>
      </c>
      <c r="J726" s="19" t="str">
        <f>IF('Supplier selection'!J726="","",'Supplier selection'!J726)</f>
        <v/>
      </c>
      <c r="K726" s="19" t="str">
        <f>IF('Supplier selection'!K726="","",'Supplier selection'!K726)</f>
        <v/>
      </c>
      <c r="L726" s="19" t="str">
        <f>IF('Supplier selection'!L726="","",'Supplier selection'!L726)</f>
        <v/>
      </c>
      <c r="M726" s="19" t="str">
        <f>IF('Supplier selection'!M726="","",'Supplier selection'!M726)</f>
        <v/>
      </c>
      <c r="N726" s="19" t="str">
        <f>IF('Supplier selection'!N726="","",'Supplier selection'!N726)</f>
        <v/>
      </c>
      <c r="O726" s="19" t="str">
        <f>IF('Supplier selection'!O726="","",'Supplier selection'!O726)</f>
        <v/>
      </c>
      <c r="Q726" s="19" t="str">
        <f>HLOOKUP($Q$3,'Supplier selection'!$AW$4:'Supplier selection'!$CT$1000,$A727,FALSE)</f>
        <v/>
      </c>
      <c r="R726" s="22" t="str">
        <f t="shared" si="121"/>
        <v/>
      </c>
      <c r="S726" s="19" t="str">
        <f t="shared" si="122"/>
        <v/>
      </c>
      <c r="T726" s="22" t="str">
        <f t="shared" si="123"/>
        <v/>
      </c>
      <c r="U726" s="19" t="str">
        <f t="shared" si="124"/>
        <v/>
      </c>
      <c r="V726" s="7"/>
      <c r="Y726" s="19" t="str">
        <f>IF('Supplier selection'!AQ726="","",'Supplier selection'!AQ726)</f>
        <v/>
      </c>
      <c r="Z726" s="19" t="str">
        <f>IF('Supplier selection'!AR726="","",'Supplier selection'!AR726)</f>
        <v/>
      </c>
      <c r="AA726" s="19" t="str">
        <f t="shared" si="125"/>
        <v/>
      </c>
      <c r="AD726" s="26" t="str">
        <f>IF(AND('Supplier selection'!X726="",'Supplier selection'!AE726=""),"",IF('Supplier selection'!X726="",'Supplier selection'!AE726,'Supplier selection'!X726))</f>
        <v/>
      </c>
      <c r="AE726" s="19" t="str">
        <f t="shared" si="126"/>
        <v/>
      </c>
      <c r="AF726" s="19" t="str">
        <f t="shared" si="127"/>
        <v/>
      </c>
      <c r="AG726" s="27" t="str">
        <f>IF(AND('Supplier selection'!AB726="",'Supplier selection'!AI726=""),"",IF('Supplier selection'!AB726="",'Supplier selection'!AI726,'Supplier selection'!AB726))</f>
        <v/>
      </c>
      <c r="AH726" s="28" t="str">
        <f t="shared" si="128"/>
        <v/>
      </c>
      <c r="AI726" s="7" t="str">
        <f t="shared" si="129"/>
        <v/>
      </c>
      <c r="AJ726" s="22" t="str">
        <f t="shared" si="130"/>
        <v/>
      </c>
      <c r="AK726" s="29" t="str">
        <f t="shared" si="131"/>
        <v/>
      </c>
      <c r="AL726" s="10"/>
    </row>
    <row r="727" spans="1:38">
      <c r="A727" s="19">
        <f>IF('Supplier selection'!A727="","",'Supplier selection'!A727)</f>
        <v>723</v>
      </c>
      <c r="B727" s="19" t="str">
        <f>IF('Supplier selection'!B727="","",'Supplier selection'!B727)</f>
        <v/>
      </c>
      <c r="C727" s="19" t="str">
        <f>IF('Supplier selection'!C727="","",'Supplier selection'!C727)</f>
        <v/>
      </c>
      <c r="D727" s="19" t="str">
        <f>IF('Supplier selection'!D727="","",'Supplier selection'!D727)</f>
        <v/>
      </c>
      <c r="E727" s="19" t="str">
        <f>IF('Supplier selection'!E727="","",'Supplier selection'!E727)</f>
        <v/>
      </c>
      <c r="F727" s="19" t="str">
        <f>IF('Supplier selection'!F727="","",'Supplier selection'!F727)</f>
        <v/>
      </c>
      <c r="G727" s="19" t="str">
        <f>IF('Supplier selection'!G727="","",'Supplier selection'!G727)</f>
        <v/>
      </c>
      <c r="H727" s="19" t="str">
        <f>IF('Supplier selection'!H727="","",'Supplier selection'!H727)</f>
        <v/>
      </c>
      <c r="I727" s="19" t="str">
        <f>IF('Supplier selection'!I727="","",'Supplier selection'!I727)</f>
        <v/>
      </c>
      <c r="J727" s="19" t="str">
        <f>IF('Supplier selection'!J727="","",'Supplier selection'!J727)</f>
        <v/>
      </c>
      <c r="K727" s="19" t="str">
        <f>IF('Supplier selection'!K727="","",'Supplier selection'!K727)</f>
        <v/>
      </c>
      <c r="L727" s="19" t="str">
        <f>IF('Supplier selection'!L727="","",'Supplier selection'!L727)</f>
        <v/>
      </c>
      <c r="M727" s="19" t="str">
        <f>IF('Supplier selection'!M727="","",'Supplier selection'!M727)</f>
        <v/>
      </c>
      <c r="N727" s="19" t="str">
        <f>IF('Supplier selection'!N727="","",'Supplier selection'!N727)</f>
        <v/>
      </c>
      <c r="O727" s="19" t="str">
        <f>IF('Supplier selection'!O727="","",'Supplier selection'!O727)</f>
        <v/>
      </c>
      <c r="Q727" s="19" t="str">
        <f>HLOOKUP($Q$3,'Supplier selection'!$AW$4:'Supplier selection'!$CT$1000,$A728,FALSE)</f>
        <v/>
      </c>
      <c r="R727" s="22" t="str">
        <f t="shared" si="121"/>
        <v/>
      </c>
      <c r="S727" s="19" t="str">
        <f t="shared" si="122"/>
        <v/>
      </c>
      <c r="T727" s="22" t="str">
        <f t="shared" si="123"/>
        <v/>
      </c>
      <c r="U727" s="19" t="str">
        <f t="shared" si="124"/>
        <v/>
      </c>
      <c r="V727" s="7"/>
      <c r="Y727" s="19" t="str">
        <f>IF('Supplier selection'!AQ727="","",'Supplier selection'!AQ727)</f>
        <v/>
      </c>
      <c r="Z727" s="19" t="str">
        <f>IF('Supplier selection'!AR727="","",'Supplier selection'!AR727)</f>
        <v/>
      </c>
      <c r="AA727" s="19" t="str">
        <f t="shared" si="125"/>
        <v/>
      </c>
      <c r="AD727" s="26" t="str">
        <f>IF(AND('Supplier selection'!X727="",'Supplier selection'!AE727=""),"",IF('Supplier selection'!X727="",'Supplier selection'!AE727,'Supplier selection'!X727))</f>
        <v/>
      </c>
      <c r="AE727" s="19" t="str">
        <f t="shared" si="126"/>
        <v/>
      </c>
      <c r="AF727" s="19" t="str">
        <f t="shared" si="127"/>
        <v/>
      </c>
      <c r="AG727" s="27" t="str">
        <f>IF(AND('Supplier selection'!AB727="",'Supplier selection'!AI727=""),"",IF('Supplier selection'!AB727="",'Supplier selection'!AI727,'Supplier selection'!AB727))</f>
        <v/>
      </c>
      <c r="AH727" s="28" t="str">
        <f t="shared" si="128"/>
        <v/>
      </c>
      <c r="AI727" s="7" t="str">
        <f t="shared" si="129"/>
        <v/>
      </c>
      <c r="AJ727" s="22" t="str">
        <f t="shared" si="130"/>
        <v/>
      </c>
      <c r="AK727" s="29" t="str">
        <f t="shared" si="131"/>
        <v/>
      </c>
      <c r="AL727" s="10"/>
    </row>
    <row r="728" spans="1:38">
      <c r="A728" s="19">
        <f>IF('Supplier selection'!A728="","",'Supplier selection'!A728)</f>
        <v>724</v>
      </c>
      <c r="B728" s="19" t="str">
        <f>IF('Supplier selection'!B728="","",'Supplier selection'!B728)</f>
        <v/>
      </c>
      <c r="C728" s="19" t="str">
        <f>IF('Supplier selection'!C728="","",'Supplier selection'!C728)</f>
        <v/>
      </c>
      <c r="D728" s="19" t="str">
        <f>IF('Supplier selection'!D728="","",'Supplier selection'!D728)</f>
        <v/>
      </c>
      <c r="E728" s="19" t="str">
        <f>IF('Supplier selection'!E728="","",'Supplier selection'!E728)</f>
        <v/>
      </c>
      <c r="F728" s="19" t="str">
        <f>IF('Supplier selection'!F728="","",'Supplier selection'!F728)</f>
        <v/>
      </c>
      <c r="G728" s="19" t="str">
        <f>IF('Supplier selection'!G728="","",'Supplier selection'!G728)</f>
        <v/>
      </c>
      <c r="H728" s="19" t="str">
        <f>IF('Supplier selection'!H728="","",'Supplier selection'!H728)</f>
        <v/>
      </c>
      <c r="I728" s="19" t="str">
        <f>IF('Supplier selection'!I728="","",'Supplier selection'!I728)</f>
        <v/>
      </c>
      <c r="J728" s="19" t="str">
        <f>IF('Supplier selection'!J728="","",'Supplier selection'!J728)</f>
        <v/>
      </c>
      <c r="K728" s="19" t="str">
        <f>IF('Supplier selection'!K728="","",'Supplier selection'!K728)</f>
        <v/>
      </c>
      <c r="L728" s="19" t="str">
        <f>IF('Supplier selection'!L728="","",'Supplier selection'!L728)</f>
        <v/>
      </c>
      <c r="M728" s="19" t="str">
        <f>IF('Supplier selection'!M728="","",'Supplier selection'!M728)</f>
        <v/>
      </c>
      <c r="N728" s="19" t="str">
        <f>IF('Supplier selection'!N728="","",'Supplier selection'!N728)</f>
        <v/>
      </c>
      <c r="O728" s="19" t="str">
        <f>IF('Supplier selection'!O728="","",'Supplier selection'!O728)</f>
        <v/>
      </c>
      <c r="Q728" s="19" t="str">
        <f>HLOOKUP($Q$3,'Supplier selection'!$AW$4:'Supplier selection'!$CT$1000,$A729,FALSE)</f>
        <v/>
      </c>
      <c r="R728" s="22" t="str">
        <f t="shared" si="121"/>
        <v/>
      </c>
      <c r="S728" s="19" t="str">
        <f t="shared" si="122"/>
        <v/>
      </c>
      <c r="T728" s="22" t="str">
        <f t="shared" si="123"/>
        <v/>
      </c>
      <c r="U728" s="19" t="str">
        <f t="shared" si="124"/>
        <v/>
      </c>
      <c r="V728" s="7"/>
      <c r="Y728" s="19" t="str">
        <f>IF('Supplier selection'!AQ728="","",'Supplier selection'!AQ728)</f>
        <v/>
      </c>
      <c r="Z728" s="19" t="str">
        <f>IF('Supplier selection'!AR728="","",'Supplier selection'!AR728)</f>
        <v/>
      </c>
      <c r="AA728" s="19" t="str">
        <f t="shared" si="125"/>
        <v/>
      </c>
      <c r="AD728" s="26" t="str">
        <f>IF(AND('Supplier selection'!X728="",'Supplier selection'!AE728=""),"",IF('Supplier selection'!X728="",'Supplier selection'!AE728,'Supplier selection'!X728))</f>
        <v/>
      </c>
      <c r="AE728" s="19" t="str">
        <f t="shared" si="126"/>
        <v/>
      </c>
      <c r="AF728" s="19" t="str">
        <f t="shared" si="127"/>
        <v/>
      </c>
      <c r="AG728" s="27" t="str">
        <f>IF(AND('Supplier selection'!AB728="",'Supplier selection'!AI728=""),"",IF('Supplier selection'!AB728="",'Supplier selection'!AI728,'Supplier selection'!AB728))</f>
        <v/>
      </c>
      <c r="AH728" s="28" t="str">
        <f t="shared" si="128"/>
        <v/>
      </c>
      <c r="AI728" s="7" t="str">
        <f t="shared" si="129"/>
        <v/>
      </c>
      <c r="AJ728" s="22" t="str">
        <f t="shared" si="130"/>
        <v/>
      </c>
      <c r="AK728" s="29" t="str">
        <f t="shared" si="131"/>
        <v/>
      </c>
      <c r="AL728" s="10"/>
    </row>
    <row r="729" spans="1:38">
      <c r="A729" s="19">
        <f>IF('Supplier selection'!A729="","",'Supplier selection'!A729)</f>
        <v>725</v>
      </c>
      <c r="B729" s="19" t="str">
        <f>IF('Supplier selection'!B729="","",'Supplier selection'!B729)</f>
        <v/>
      </c>
      <c r="C729" s="19" t="str">
        <f>IF('Supplier selection'!C729="","",'Supplier selection'!C729)</f>
        <v/>
      </c>
      <c r="D729" s="19" t="str">
        <f>IF('Supplier selection'!D729="","",'Supplier selection'!D729)</f>
        <v/>
      </c>
      <c r="E729" s="19" t="str">
        <f>IF('Supplier selection'!E729="","",'Supplier selection'!E729)</f>
        <v/>
      </c>
      <c r="F729" s="19" t="str">
        <f>IF('Supplier selection'!F729="","",'Supplier selection'!F729)</f>
        <v/>
      </c>
      <c r="G729" s="19" t="str">
        <f>IF('Supplier selection'!G729="","",'Supplier selection'!G729)</f>
        <v/>
      </c>
      <c r="H729" s="19" t="str">
        <f>IF('Supplier selection'!H729="","",'Supplier selection'!H729)</f>
        <v/>
      </c>
      <c r="I729" s="19" t="str">
        <f>IF('Supplier selection'!I729="","",'Supplier selection'!I729)</f>
        <v/>
      </c>
      <c r="J729" s="19" t="str">
        <f>IF('Supplier selection'!J729="","",'Supplier selection'!J729)</f>
        <v/>
      </c>
      <c r="K729" s="19" t="str">
        <f>IF('Supplier selection'!K729="","",'Supplier selection'!K729)</f>
        <v/>
      </c>
      <c r="L729" s="19" t="str">
        <f>IF('Supplier selection'!L729="","",'Supplier selection'!L729)</f>
        <v/>
      </c>
      <c r="M729" s="19" t="str">
        <f>IF('Supplier selection'!M729="","",'Supplier selection'!M729)</f>
        <v/>
      </c>
      <c r="N729" s="19" t="str">
        <f>IF('Supplier selection'!N729="","",'Supplier selection'!N729)</f>
        <v/>
      </c>
      <c r="O729" s="19" t="str">
        <f>IF('Supplier selection'!O729="","",'Supplier selection'!O729)</f>
        <v/>
      </c>
      <c r="Q729" s="19" t="str">
        <f>HLOOKUP($Q$3,'Supplier selection'!$AW$4:'Supplier selection'!$CT$1000,$A730,FALSE)</f>
        <v/>
      </c>
      <c r="R729" s="22" t="str">
        <f t="shared" si="121"/>
        <v/>
      </c>
      <c r="S729" s="19" t="str">
        <f t="shared" si="122"/>
        <v/>
      </c>
      <c r="T729" s="22" t="str">
        <f t="shared" si="123"/>
        <v/>
      </c>
      <c r="U729" s="19" t="str">
        <f t="shared" si="124"/>
        <v/>
      </c>
      <c r="V729" s="7"/>
      <c r="Y729" s="19" t="str">
        <f>IF('Supplier selection'!AQ729="","",'Supplier selection'!AQ729)</f>
        <v/>
      </c>
      <c r="Z729" s="19" t="str">
        <f>IF('Supplier selection'!AR729="","",'Supplier selection'!AR729)</f>
        <v/>
      </c>
      <c r="AA729" s="19" t="str">
        <f t="shared" si="125"/>
        <v/>
      </c>
      <c r="AD729" s="26" t="str">
        <f>IF(AND('Supplier selection'!X729="",'Supplier selection'!AE729=""),"",IF('Supplier selection'!X729="",'Supplier selection'!AE729,'Supplier selection'!X729))</f>
        <v/>
      </c>
      <c r="AE729" s="19" t="str">
        <f t="shared" si="126"/>
        <v/>
      </c>
      <c r="AF729" s="19" t="str">
        <f t="shared" si="127"/>
        <v/>
      </c>
      <c r="AG729" s="27" t="str">
        <f>IF(AND('Supplier selection'!AB729="",'Supplier selection'!AI729=""),"",IF('Supplier selection'!AB729="",'Supplier selection'!AI729,'Supplier selection'!AB729))</f>
        <v/>
      </c>
      <c r="AH729" s="28" t="str">
        <f t="shared" si="128"/>
        <v/>
      </c>
      <c r="AI729" s="7" t="str">
        <f t="shared" si="129"/>
        <v/>
      </c>
      <c r="AJ729" s="22" t="str">
        <f t="shared" si="130"/>
        <v/>
      </c>
      <c r="AK729" s="29" t="str">
        <f t="shared" si="131"/>
        <v/>
      </c>
      <c r="AL729" s="10"/>
    </row>
    <row r="730" spans="1:38">
      <c r="A730" s="19">
        <f>IF('Supplier selection'!A730="","",'Supplier selection'!A730)</f>
        <v>726</v>
      </c>
      <c r="B730" s="19" t="str">
        <f>IF('Supplier selection'!B730="","",'Supplier selection'!B730)</f>
        <v/>
      </c>
      <c r="C730" s="19" t="str">
        <f>IF('Supplier selection'!C730="","",'Supplier selection'!C730)</f>
        <v/>
      </c>
      <c r="D730" s="19" t="str">
        <f>IF('Supplier selection'!D730="","",'Supplier selection'!D730)</f>
        <v/>
      </c>
      <c r="E730" s="19" t="str">
        <f>IF('Supplier selection'!E730="","",'Supplier selection'!E730)</f>
        <v/>
      </c>
      <c r="F730" s="19" t="str">
        <f>IF('Supplier selection'!F730="","",'Supplier selection'!F730)</f>
        <v/>
      </c>
      <c r="G730" s="19" t="str">
        <f>IF('Supplier selection'!G730="","",'Supplier selection'!G730)</f>
        <v/>
      </c>
      <c r="H730" s="19" t="str">
        <f>IF('Supplier selection'!H730="","",'Supplier selection'!H730)</f>
        <v/>
      </c>
      <c r="I730" s="19" t="str">
        <f>IF('Supplier selection'!I730="","",'Supplier selection'!I730)</f>
        <v/>
      </c>
      <c r="J730" s="19" t="str">
        <f>IF('Supplier selection'!J730="","",'Supplier selection'!J730)</f>
        <v/>
      </c>
      <c r="K730" s="19" t="str">
        <f>IF('Supplier selection'!K730="","",'Supplier selection'!K730)</f>
        <v/>
      </c>
      <c r="L730" s="19" t="str">
        <f>IF('Supplier selection'!L730="","",'Supplier selection'!L730)</f>
        <v/>
      </c>
      <c r="M730" s="19" t="str">
        <f>IF('Supplier selection'!M730="","",'Supplier selection'!M730)</f>
        <v/>
      </c>
      <c r="N730" s="19" t="str">
        <f>IF('Supplier selection'!N730="","",'Supplier selection'!N730)</f>
        <v/>
      </c>
      <c r="O730" s="19" t="str">
        <f>IF('Supplier selection'!O730="","",'Supplier selection'!O730)</f>
        <v/>
      </c>
      <c r="Q730" s="19" t="str">
        <f>HLOOKUP($Q$3,'Supplier selection'!$AW$4:'Supplier selection'!$CT$1000,$A731,FALSE)</f>
        <v/>
      </c>
      <c r="R730" s="22" t="str">
        <f t="shared" si="121"/>
        <v/>
      </c>
      <c r="S730" s="19" t="str">
        <f t="shared" si="122"/>
        <v/>
      </c>
      <c r="T730" s="22" t="str">
        <f t="shared" si="123"/>
        <v/>
      </c>
      <c r="U730" s="19" t="str">
        <f t="shared" si="124"/>
        <v/>
      </c>
      <c r="V730" s="7"/>
      <c r="Y730" s="19" t="str">
        <f>IF('Supplier selection'!AQ730="","",'Supplier selection'!AQ730)</f>
        <v/>
      </c>
      <c r="Z730" s="19" t="str">
        <f>IF('Supplier selection'!AR730="","",'Supplier selection'!AR730)</f>
        <v/>
      </c>
      <c r="AA730" s="19" t="str">
        <f t="shared" si="125"/>
        <v/>
      </c>
      <c r="AD730" s="26" t="str">
        <f>IF(AND('Supplier selection'!X730="",'Supplier selection'!AE730=""),"",IF('Supplier selection'!X730="",'Supplier selection'!AE730,'Supplier selection'!X730))</f>
        <v/>
      </c>
      <c r="AE730" s="19" t="str">
        <f t="shared" si="126"/>
        <v/>
      </c>
      <c r="AF730" s="19" t="str">
        <f t="shared" si="127"/>
        <v/>
      </c>
      <c r="AG730" s="27" t="str">
        <f>IF(AND('Supplier selection'!AB730="",'Supplier selection'!AI730=""),"",IF('Supplier selection'!AB730="",'Supplier selection'!AI730,'Supplier selection'!AB730))</f>
        <v/>
      </c>
      <c r="AH730" s="28" t="str">
        <f t="shared" si="128"/>
        <v/>
      </c>
      <c r="AI730" s="7" t="str">
        <f t="shared" si="129"/>
        <v/>
      </c>
      <c r="AJ730" s="22" t="str">
        <f t="shared" si="130"/>
        <v/>
      </c>
      <c r="AK730" s="29" t="str">
        <f t="shared" si="131"/>
        <v/>
      </c>
      <c r="AL730" s="10"/>
    </row>
    <row r="731" spans="1:38">
      <c r="A731" s="19">
        <f>IF('Supplier selection'!A731="","",'Supplier selection'!A731)</f>
        <v>727</v>
      </c>
      <c r="B731" s="19" t="str">
        <f>IF('Supplier selection'!B731="","",'Supplier selection'!B731)</f>
        <v/>
      </c>
      <c r="C731" s="19" t="str">
        <f>IF('Supplier selection'!C731="","",'Supplier selection'!C731)</f>
        <v/>
      </c>
      <c r="D731" s="19" t="str">
        <f>IF('Supplier selection'!D731="","",'Supplier selection'!D731)</f>
        <v/>
      </c>
      <c r="E731" s="19" t="str">
        <f>IF('Supplier selection'!E731="","",'Supplier selection'!E731)</f>
        <v/>
      </c>
      <c r="F731" s="19" t="str">
        <f>IF('Supplier selection'!F731="","",'Supplier selection'!F731)</f>
        <v/>
      </c>
      <c r="G731" s="19" t="str">
        <f>IF('Supplier selection'!G731="","",'Supplier selection'!G731)</f>
        <v/>
      </c>
      <c r="H731" s="19" t="str">
        <f>IF('Supplier selection'!H731="","",'Supplier selection'!H731)</f>
        <v/>
      </c>
      <c r="I731" s="19" t="str">
        <f>IF('Supplier selection'!I731="","",'Supplier selection'!I731)</f>
        <v/>
      </c>
      <c r="J731" s="19" t="str">
        <f>IF('Supplier selection'!J731="","",'Supplier selection'!J731)</f>
        <v/>
      </c>
      <c r="K731" s="19" t="str">
        <f>IF('Supplier selection'!K731="","",'Supplier selection'!K731)</f>
        <v/>
      </c>
      <c r="L731" s="19" t="str">
        <f>IF('Supplier selection'!L731="","",'Supplier selection'!L731)</f>
        <v/>
      </c>
      <c r="M731" s="19" t="str">
        <f>IF('Supplier selection'!M731="","",'Supplier selection'!M731)</f>
        <v/>
      </c>
      <c r="N731" s="19" t="str">
        <f>IF('Supplier selection'!N731="","",'Supplier selection'!N731)</f>
        <v/>
      </c>
      <c r="O731" s="19" t="str">
        <f>IF('Supplier selection'!O731="","",'Supplier selection'!O731)</f>
        <v/>
      </c>
      <c r="Q731" s="19" t="str">
        <f>HLOOKUP($Q$3,'Supplier selection'!$AW$4:'Supplier selection'!$CT$1000,$A732,FALSE)</f>
        <v/>
      </c>
      <c r="R731" s="22" t="str">
        <f t="shared" si="121"/>
        <v/>
      </c>
      <c r="S731" s="19" t="str">
        <f t="shared" si="122"/>
        <v/>
      </c>
      <c r="T731" s="22" t="str">
        <f t="shared" si="123"/>
        <v/>
      </c>
      <c r="U731" s="19" t="str">
        <f t="shared" si="124"/>
        <v/>
      </c>
      <c r="V731" s="7"/>
      <c r="Y731" s="19" t="str">
        <f>IF('Supplier selection'!AQ731="","",'Supplier selection'!AQ731)</f>
        <v/>
      </c>
      <c r="Z731" s="19" t="str">
        <f>IF('Supplier selection'!AR731="","",'Supplier selection'!AR731)</f>
        <v/>
      </c>
      <c r="AA731" s="19" t="str">
        <f t="shared" si="125"/>
        <v/>
      </c>
      <c r="AD731" s="26" t="str">
        <f>IF(AND('Supplier selection'!X731="",'Supplier selection'!AE731=""),"",IF('Supplier selection'!X731="",'Supplier selection'!AE731,'Supplier selection'!X731))</f>
        <v/>
      </c>
      <c r="AE731" s="19" t="str">
        <f t="shared" si="126"/>
        <v/>
      </c>
      <c r="AF731" s="19" t="str">
        <f t="shared" si="127"/>
        <v/>
      </c>
      <c r="AG731" s="27" t="str">
        <f>IF(AND('Supplier selection'!AB731="",'Supplier selection'!AI731=""),"",IF('Supplier selection'!AB731="",'Supplier selection'!AI731,'Supplier selection'!AB731))</f>
        <v/>
      </c>
      <c r="AH731" s="28" t="str">
        <f t="shared" si="128"/>
        <v/>
      </c>
      <c r="AI731" s="7" t="str">
        <f t="shared" si="129"/>
        <v/>
      </c>
      <c r="AJ731" s="22" t="str">
        <f t="shared" si="130"/>
        <v/>
      </c>
      <c r="AK731" s="29" t="str">
        <f t="shared" si="131"/>
        <v/>
      </c>
      <c r="AL731" s="10"/>
    </row>
    <row r="732" spans="1:38">
      <c r="A732" s="19">
        <f>IF('Supplier selection'!A732="","",'Supplier selection'!A732)</f>
        <v>728</v>
      </c>
      <c r="B732" s="19" t="str">
        <f>IF('Supplier selection'!B732="","",'Supplier selection'!B732)</f>
        <v/>
      </c>
      <c r="C732" s="19" t="str">
        <f>IF('Supplier selection'!C732="","",'Supplier selection'!C732)</f>
        <v/>
      </c>
      <c r="D732" s="19" t="str">
        <f>IF('Supplier selection'!D732="","",'Supplier selection'!D732)</f>
        <v/>
      </c>
      <c r="E732" s="19" t="str">
        <f>IF('Supplier selection'!E732="","",'Supplier selection'!E732)</f>
        <v/>
      </c>
      <c r="F732" s="19" t="str">
        <f>IF('Supplier selection'!F732="","",'Supplier selection'!F732)</f>
        <v/>
      </c>
      <c r="G732" s="19" t="str">
        <f>IF('Supplier selection'!G732="","",'Supplier selection'!G732)</f>
        <v/>
      </c>
      <c r="H732" s="19" t="str">
        <f>IF('Supplier selection'!H732="","",'Supplier selection'!H732)</f>
        <v/>
      </c>
      <c r="I732" s="19" t="str">
        <f>IF('Supplier selection'!I732="","",'Supplier selection'!I732)</f>
        <v/>
      </c>
      <c r="J732" s="19" t="str">
        <f>IF('Supplier selection'!J732="","",'Supplier selection'!J732)</f>
        <v/>
      </c>
      <c r="K732" s="19" t="str">
        <f>IF('Supplier selection'!K732="","",'Supplier selection'!K732)</f>
        <v/>
      </c>
      <c r="L732" s="19" t="str">
        <f>IF('Supplier selection'!L732="","",'Supplier selection'!L732)</f>
        <v/>
      </c>
      <c r="M732" s="19" t="str">
        <f>IF('Supplier selection'!M732="","",'Supplier selection'!M732)</f>
        <v/>
      </c>
      <c r="N732" s="19" t="str">
        <f>IF('Supplier selection'!N732="","",'Supplier selection'!N732)</f>
        <v/>
      </c>
      <c r="O732" s="19" t="str">
        <f>IF('Supplier selection'!O732="","",'Supplier selection'!O732)</f>
        <v/>
      </c>
      <c r="Q732" s="19" t="str">
        <f>HLOOKUP($Q$3,'Supplier selection'!$AW$4:'Supplier selection'!$CT$1000,$A733,FALSE)</f>
        <v/>
      </c>
      <c r="R732" s="22" t="str">
        <f t="shared" si="121"/>
        <v/>
      </c>
      <c r="S732" s="19" t="str">
        <f t="shared" si="122"/>
        <v/>
      </c>
      <c r="T732" s="22" t="str">
        <f t="shared" si="123"/>
        <v/>
      </c>
      <c r="U732" s="19" t="str">
        <f t="shared" si="124"/>
        <v/>
      </c>
      <c r="V732" s="7"/>
      <c r="Y732" s="19" t="str">
        <f>IF('Supplier selection'!AQ732="","",'Supplier selection'!AQ732)</f>
        <v/>
      </c>
      <c r="Z732" s="19" t="str">
        <f>IF('Supplier selection'!AR732="","",'Supplier selection'!AR732)</f>
        <v/>
      </c>
      <c r="AA732" s="19" t="str">
        <f t="shared" si="125"/>
        <v/>
      </c>
      <c r="AD732" s="26" t="str">
        <f>IF(AND('Supplier selection'!X732="",'Supplier selection'!AE732=""),"",IF('Supplier selection'!X732="",'Supplier selection'!AE732,'Supplier selection'!X732))</f>
        <v/>
      </c>
      <c r="AE732" s="19" t="str">
        <f t="shared" si="126"/>
        <v/>
      </c>
      <c r="AF732" s="19" t="str">
        <f t="shared" si="127"/>
        <v/>
      </c>
      <c r="AG732" s="27" t="str">
        <f>IF(AND('Supplier selection'!AB732="",'Supplier selection'!AI732=""),"",IF('Supplier selection'!AB732="",'Supplier selection'!AI732,'Supplier selection'!AB732))</f>
        <v/>
      </c>
      <c r="AH732" s="28" t="str">
        <f t="shared" si="128"/>
        <v/>
      </c>
      <c r="AI732" s="7" t="str">
        <f t="shared" si="129"/>
        <v/>
      </c>
      <c r="AJ732" s="22" t="str">
        <f t="shared" si="130"/>
        <v/>
      </c>
      <c r="AK732" s="29" t="str">
        <f t="shared" si="131"/>
        <v/>
      </c>
      <c r="AL732" s="10"/>
    </row>
    <row r="733" spans="1:38">
      <c r="A733" s="19">
        <f>IF('Supplier selection'!A733="","",'Supplier selection'!A733)</f>
        <v>729</v>
      </c>
      <c r="B733" s="19" t="str">
        <f>IF('Supplier selection'!B733="","",'Supplier selection'!B733)</f>
        <v/>
      </c>
      <c r="C733" s="19" t="str">
        <f>IF('Supplier selection'!C733="","",'Supplier selection'!C733)</f>
        <v/>
      </c>
      <c r="D733" s="19" t="str">
        <f>IF('Supplier selection'!D733="","",'Supplier selection'!D733)</f>
        <v/>
      </c>
      <c r="E733" s="19" t="str">
        <f>IF('Supplier selection'!E733="","",'Supplier selection'!E733)</f>
        <v/>
      </c>
      <c r="F733" s="19" t="str">
        <f>IF('Supplier selection'!F733="","",'Supplier selection'!F733)</f>
        <v/>
      </c>
      <c r="G733" s="19" t="str">
        <f>IF('Supplier selection'!G733="","",'Supplier selection'!G733)</f>
        <v/>
      </c>
      <c r="H733" s="19" t="str">
        <f>IF('Supplier selection'!H733="","",'Supplier selection'!H733)</f>
        <v/>
      </c>
      <c r="I733" s="19" t="str">
        <f>IF('Supplier selection'!I733="","",'Supplier selection'!I733)</f>
        <v/>
      </c>
      <c r="J733" s="19" t="str">
        <f>IF('Supplier selection'!J733="","",'Supplier selection'!J733)</f>
        <v/>
      </c>
      <c r="K733" s="19" t="str">
        <f>IF('Supplier selection'!K733="","",'Supplier selection'!K733)</f>
        <v/>
      </c>
      <c r="L733" s="19" t="str">
        <f>IF('Supplier selection'!L733="","",'Supplier selection'!L733)</f>
        <v/>
      </c>
      <c r="M733" s="19" t="str">
        <f>IF('Supplier selection'!M733="","",'Supplier selection'!M733)</f>
        <v/>
      </c>
      <c r="N733" s="19" t="str">
        <f>IF('Supplier selection'!N733="","",'Supplier selection'!N733)</f>
        <v/>
      </c>
      <c r="O733" s="19" t="str">
        <f>IF('Supplier selection'!O733="","",'Supplier selection'!O733)</f>
        <v/>
      </c>
      <c r="Q733" s="19" t="str">
        <f>HLOOKUP($Q$3,'Supplier selection'!$AW$4:'Supplier selection'!$CT$1000,$A734,FALSE)</f>
        <v/>
      </c>
      <c r="R733" s="22" t="str">
        <f t="shared" si="121"/>
        <v/>
      </c>
      <c r="S733" s="19" t="str">
        <f t="shared" si="122"/>
        <v/>
      </c>
      <c r="T733" s="22" t="str">
        <f t="shared" si="123"/>
        <v/>
      </c>
      <c r="U733" s="19" t="str">
        <f t="shared" si="124"/>
        <v/>
      </c>
      <c r="V733" s="7"/>
      <c r="Y733" s="19" t="str">
        <f>IF('Supplier selection'!AQ733="","",'Supplier selection'!AQ733)</f>
        <v/>
      </c>
      <c r="Z733" s="19" t="str">
        <f>IF('Supplier selection'!AR733="","",'Supplier selection'!AR733)</f>
        <v/>
      </c>
      <c r="AA733" s="19" t="str">
        <f t="shared" si="125"/>
        <v/>
      </c>
      <c r="AD733" s="26" t="str">
        <f>IF(AND('Supplier selection'!X733="",'Supplier selection'!AE733=""),"",IF('Supplier selection'!X733="",'Supplier selection'!AE733,'Supplier selection'!X733))</f>
        <v/>
      </c>
      <c r="AE733" s="19" t="str">
        <f t="shared" si="126"/>
        <v/>
      </c>
      <c r="AF733" s="19" t="str">
        <f t="shared" si="127"/>
        <v/>
      </c>
      <c r="AG733" s="27" t="str">
        <f>IF(AND('Supplier selection'!AB733="",'Supplier selection'!AI733=""),"",IF('Supplier selection'!AB733="",'Supplier selection'!AI733,'Supplier selection'!AB733))</f>
        <v/>
      </c>
      <c r="AH733" s="28" t="str">
        <f t="shared" si="128"/>
        <v/>
      </c>
      <c r="AI733" s="7" t="str">
        <f t="shared" si="129"/>
        <v/>
      </c>
      <c r="AJ733" s="22" t="str">
        <f t="shared" si="130"/>
        <v/>
      </c>
      <c r="AK733" s="29" t="str">
        <f t="shared" si="131"/>
        <v/>
      </c>
      <c r="AL733" s="10"/>
    </row>
    <row r="734" spans="1:38">
      <c r="A734" s="19">
        <f>IF('Supplier selection'!A734="","",'Supplier selection'!A734)</f>
        <v>730</v>
      </c>
      <c r="B734" s="19" t="str">
        <f>IF('Supplier selection'!B734="","",'Supplier selection'!B734)</f>
        <v/>
      </c>
      <c r="C734" s="19" t="str">
        <f>IF('Supplier selection'!C734="","",'Supplier selection'!C734)</f>
        <v/>
      </c>
      <c r="D734" s="19" t="str">
        <f>IF('Supplier selection'!D734="","",'Supplier selection'!D734)</f>
        <v/>
      </c>
      <c r="E734" s="19" t="str">
        <f>IF('Supplier selection'!E734="","",'Supplier selection'!E734)</f>
        <v/>
      </c>
      <c r="F734" s="19" t="str">
        <f>IF('Supplier selection'!F734="","",'Supplier selection'!F734)</f>
        <v/>
      </c>
      <c r="G734" s="19" t="str">
        <f>IF('Supplier selection'!G734="","",'Supplier selection'!G734)</f>
        <v/>
      </c>
      <c r="H734" s="19" t="str">
        <f>IF('Supplier selection'!H734="","",'Supplier selection'!H734)</f>
        <v/>
      </c>
      <c r="I734" s="19" t="str">
        <f>IF('Supplier selection'!I734="","",'Supplier selection'!I734)</f>
        <v/>
      </c>
      <c r="J734" s="19" t="str">
        <f>IF('Supplier selection'!J734="","",'Supplier selection'!J734)</f>
        <v/>
      </c>
      <c r="K734" s="19" t="str">
        <f>IF('Supplier selection'!K734="","",'Supplier selection'!K734)</f>
        <v/>
      </c>
      <c r="L734" s="19" t="str">
        <f>IF('Supplier selection'!L734="","",'Supplier selection'!L734)</f>
        <v/>
      </c>
      <c r="M734" s="19" t="str">
        <f>IF('Supplier selection'!M734="","",'Supplier selection'!M734)</f>
        <v/>
      </c>
      <c r="N734" s="19" t="str">
        <f>IF('Supplier selection'!N734="","",'Supplier selection'!N734)</f>
        <v/>
      </c>
      <c r="O734" s="19" t="str">
        <f>IF('Supplier selection'!O734="","",'Supplier selection'!O734)</f>
        <v/>
      </c>
      <c r="Q734" s="19" t="str">
        <f>HLOOKUP($Q$3,'Supplier selection'!$AW$4:'Supplier selection'!$CT$1000,$A735,FALSE)</f>
        <v/>
      </c>
      <c r="R734" s="22" t="str">
        <f t="shared" si="121"/>
        <v/>
      </c>
      <c r="S734" s="19" t="str">
        <f t="shared" si="122"/>
        <v/>
      </c>
      <c r="T734" s="22" t="str">
        <f t="shared" si="123"/>
        <v/>
      </c>
      <c r="U734" s="19" t="str">
        <f t="shared" si="124"/>
        <v/>
      </c>
      <c r="V734" s="7"/>
      <c r="Y734" s="19" t="str">
        <f>IF('Supplier selection'!AQ734="","",'Supplier selection'!AQ734)</f>
        <v/>
      </c>
      <c r="Z734" s="19" t="str">
        <f>IF('Supplier selection'!AR734="","",'Supplier selection'!AR734)</f>
        <v/>
      </c>
      <c r="AA734" s="19" t="str">
        <f t="shared" si="125"/>
        <v/>
      </c>
      <c r="AD734" s="26" t="str">
        <f>IF(AND('Supplier selection'!X734="",'Supplier selection'!AE734=""),"",IF('Supplier selection'!X734="",'Supplier selection'!AE734,'Supplier selection'!X734))</f>
        <v/>
      </c>
      <c r="AE734" s="19" t="str">
        <f t="shared" si="126"/>
        <v/>
      </c>
      <c r="AF734" s="19" t="str">
        <f t="shared" si="127"/>
        <v/>
      </c>
      <c r="AG734" s="27" t="str">
        <f>IF(AND('Supplier selection'!AB734="",'Supplier selection'!AI734=""),"",IF('Supplier selection'!AB734="",'Supplier selection'!AI734,'Supplier selection'!AB734))</f>
        <v/>
      </c>
      <c r="AH734" s="28" t="str">
        <f t="shared" si="128"/>
        <v/>
      </c>
      <c r="AI734" s="7" t="str">
        <f t="shared" si="129"/>
        <v/>
      </c>
      <c r="AJ734" s="22" t="str">
        <f t="shared" si="130"/>
        <v/>
      </c>
      <c r="AK734" s="29" t="str">
        <f t="shared" si="131"/>
        <v/>
      </c>
      <c r="AL734" s="10"/>
    </row>
    <row r="735" spans="1:38">
      <c r="A735" s="19">
        <f>IF('Supplier selection'!A735="","",'Supplier selection'!A735)</f>
        <v>731</v>
      </c>
      <c r="B735" s="19" t="str">
        <f>IF('Supplier selection'!B735="","",'Supplier selection'!B735)</f>
        <v/>
      </c>
      <c r="C735" s="19" t="str">
        <f>IF('Supplier selection'!C735="","",'Supplier selection'!C735)</f>
        <v/>
      </c>
      <c r="D735" s="19" t="str">
        <f>IF('Supplier selection'!D735="","",'Supplier selection'!D735)</f>
        <v/>
      </c>
      <c r="E735" s="19" t="str">
        <f>IF('Supplier selection'!E735="","",'Supplier selection'!E735)</f>
        <v/>
      </c>
      <c r="F735" s="19" t="str">
        <f>IF('Supplier selection'!F735="","",'Supplier selection'!F735)</f>
        <v/>
      </c>
      <c r="G735" s="19" t="str">
        <f>IF('Supplier selection'!G735="","",'Supplier selection'!G735)</f>
        <v/>
      </c>
      <c r="H735" s="19" t="str">
        <f>IF('Supplier selection'!H735="","",'Supplier selection'!H735)</f>
        <v/>
      </c>
      <c r="I735" s="19" t="str">
        <f>IF('Supplier selection'!I735="","",'Supplier selection'!I735)</f>
        <v/>
      </c>
      <c r="J735" s="19" t="str">
        <f>IF('Supplier selection'!J735="","",'Supplier selection'!J735)</f>
        <v/>
      </c>
      <c r="K735" s="19" t="str">
        <f>IF('Supplier selection'!K735="","",'Supplier selection'!K735)</f>
        <v/>
      </c>
      <c r="L735" s="19" t="str">
        <f>IF('Supplier selection'!L735="","",'Supplier selection'!L735)</f>
        <v/>
      </c>
      <c r="M735" s="19" t="str">
        <f>IF('Supplier selection'!M735="","",'Supplier selection'!M735)</f>
        <v/>
      </c>
      <c r="N735" s="19" t="str">
        <f>IF('Supplier selection'!N735="","",'Supplier selection'!N735)</f>
        <v/>
      </c>
      <c r="O735" s="19" t="str">
        <f>IF('Supplier selection'!O735="","",'Supplier selection'!O735)</f>
        <v/>
      </c>
      <c r="Q735" s="19" t="str">
        <f>HLOOKUP($Q$3,'Supplier selection'!$AW$4:'Supplier selection'!$CT$1000,$A736,FALSE)</f>
        <v/>
      </c>
      <c r="R735" s="22" t="str">
        <f t="shared" si="121"/>
        <v/>
      </c>
      <c r="S735" s="19" t="str">
        <f t="shared" si="122"/>
        <v/>
      </c>
      <c r="T735" s="22" t="str">
        <f t="shared" si="123"/>
        <v/>
      </c>
      <c r="U735" s="19" t="str">
        <f t="shared" si="124"/>
        <v/>
      </c>
      <c r="V735" s="7"/>
      <c r="Y735" s="19" t="str">
        <f>IF('Supplier selection'!AQ735="","",'Supplier selection'!AQ735)</f>
        <v/>
      </c>
      <c r="Z735" s="19" t="str">
        <f>IF('Supplier selection'!AR735="","",'Supplier selection'!AR735)</f>
        <v/>
      </c>
      <c r="AA735" s="19" t="str">
        <f t="shared" si="125"/>
        <v/>
      </c>
      <c r="AD735" s="26" t="str">
        <f>IF(AND('Supplier selection'!X735="",'Supplier selection'!AE735=""),"",IF('Supplier selection'!X735="",'Supplier selection'!AE735,'Supplier selection'!X735))</f>
        <v/>
      </c>
      <c r="AE735" s="19" t="str">
        <f t="shared" si="126"/>
        <v/>
      </c>
      <c r="AF735" s="19" t="str">
        <f t="shared" si="127"/>
        <v/>
      </c>
      <c r="AG735" s="27" t="str">
        <f>IF(AND('Supplier selection'!AB735="",'Supplier selection'!AI735=""),"",IF('Supplier selection'!AB735="",'Supplier selection'!AI735,'Supplier selection'!AB735))</f>
        <v/>
      </c>
      <c r="AH735" s="28" t="str">
        <f t="shared" si="128"/>
        <v/>
      </c>
      <c r="AI735" s="7" t="str">
        <f t="shared" si="129"/>
        <v/>
      </c>
      <c r="AJ735" s="22" t="str">
        <f t="shared" si="130"/>
        <v/>
      </c>
      <c r="AK735" s="29" t="str">
        <f t="shared" si="131"/>
        <v/>
      </c>
      <c r="AL735" s="10"/>
    </row>
    <row r="736" spans="1:38">
      <c r="A736" s="19">
        <f>IF('Supplier selection'!A736="","",'Supplier selection'!A736)</f>
        <v>732</v>
      </c>
      <c r="B736" s="19" t="str">
        <f>IF('Supplier selection'!B736="","",'Supplier selection'!B736)</f>
        <v/>
      </c>
      <c r="C736" s="19" t="str">
        <f>IF('Supplier selection'!C736="","",'Supplier selection'!C736)</f>
        <v/>
      </c>
      <c r="D736" s="19" t="str">
        <f>IF('Supplier selection'!D736="","",'Supplier selection'!D736)</f>
        <v/>
      </c>
      <c r="E736" s="19" t="str">
        <f>IF('Supplier selection'!E736="","",'Supplier selection'!E736)</f>
        <v/>
      </c>
      <c r="F736" s="19" t="str">
        <f>IF('Supplier selection'!F736="","",'Supplier selection'!F736)</f>
        <v/>
      </c>
      <c r="G736" s="19" t="str">
        <f>IF('Supplier selection'!G736="","",'Supplier selection'!G736)</f>
        <v/>
      </c>
      <c r="H736" s="19" t="str">
        <f>IF('Supplier selection'!H736="","",'Supplier selection'!H736)</f>
        <v/>
      </c>
      <c r="I736" s="19" t="str">
        <f>IF('Supplier selection'!I736="","",'Supplier selection'!I736)</f>
        <v/>
      </c>
      <c r="J736" s="19" t="str">
        <f>IF('Supplier selection'!J736="","",'Supplier selection'!J736)</f>
        <v/>
      </c>
      <c r="K736" s="19" t="str">
        <f>IF('Supplier selection'!K736="","",'Supplier selection'!K736)</f>
        <v/>
      </c>
      <c r="L736" s="19" t="str">
        <f>IF('Supplier selection'!L736="","",'Supplier selection'!L736)</f>
        <v/>
      </c>
      <c r="M736" s="19" t="str">
        <f>IF('Supplier selection'!M736="","",'Supplier selection'!M736)</f>
        <v/>
      </c>
      <c r="N736" s="19" t="str">
        <f>IF('Supplier selection'!N736="","",'Supplier selection'!N736)</f>
        <v/>
      </c>
      <c r="O736" s="19" t="str">
        <f>IF('Supplier selection'!O736="","",'Supplier selection'!O736)</f>
        <v/>
      </c>
      <c r="Q736" s="19" t="str">
        <f>HLOOKUP($Q$3,'Supplier selection'!$AW$4:'Supplier selection'!$CT$1000,$A737,FALSE)</f>
        <v/>
      </c>
      <c r="R736" s="22" t="str">
        <f t="shared" si="121"/>
        <v/>
      </c>
      <c r="S736" s="19" t="str">
        <f t="shared" si="122"/>
        <v/>
      </c>
      <c r="T736" s="22" t="str">
        <f t="shared" si="123"/>
        <v/>
      </c>
      <c r="U736" s="19" t="str">
        <f t="shared" si="124"/>
        <v/>
      </c>
      <c r="V736" s="7"/>
      <c r="Y736" s="19" t="str">
        <f>IF('Supplier selection'!AQ736="","",'Supplier selection'!AQ736)</f>
        <v/>
      </c>
      <c r="Z736" s="19" t="str">
        <f>IF('Supplier selection'!AR736="","",'Supplier selection'!AR736)</f>
        <v/>
      </c>
      <c r="AA736" s="19" t="str">
        <f t="shared" si="125"/>
        <v/>
      </c>
      <c r="AD736" s="26" t="str">
        <f>IF(AND('Supplier selection'!X736="",'Supplier selection'!AE736=""),"",IF('Supplier selection'!X736="",'Supplier selection'!AE736,'Supplier selection'!X736))</f>
        <v/>
      </c>
      <c r="AE736" s="19" t="str">
        <f t="shared" si="126"/>
        <v/>
      </c>
      <c r="AF736" s="19" t="str">
        <f t="shared" si="127"/>
        <v/>
      </c>
      <c r="AG736" s="27" t="str">
        <f>IF(AND('Supplier selection'!AB736="",'Supplier selection'!AI736=""),"",IF('Supplier selection'!AB736="",'Supplier selection'!AI736,'Supplier selection'!AB736))</f>
        <v/>
      </c>
      <c r="AH736" s="28" t="str">
        <f t="shared" si="128"/>
        <v/>
      </c>
      <c r="AI736" s="7" t="str">
        <f t="shared" si="129"/>
        <v/>
      </c>
      <c r="AJ736" s="22" t="str">
        <f t="shared" si="130"/>
        <v/>
      </c>
      <c r="AK736" s="29" t="str">
        <f t="shared" si="131"/>
        <v/>
      </c>
      <c r="AL736" s="10"/>
    </row>
    <row r="737" spans="1:38">
      <c r="A737" s="19">
        <f>IF('Supplier selection'!A737="","",'Supplier selection'!A737)</f>
        <v>733</v>
      </c>
      <c r="B737" s="19" t="str">
        <f>IF('Supplier selection'!B737="","",'Supplier selection'!B737)</f>
        <v/>
      </c>
      <c r="C737" s="19" t="str">
        <f>IF('Supplier selection'!C737="","",'Supplier selection'!C737)</f>
        <v/>
      </c>
      <c r="D737" s="19" t="str">
        <f>IF('Supplier selection'!D737="","",'Supplier selection'!D737)</f>
        <v/>
      </c>
      <c r="E737" s="19" t="str">
        <f>IF('Supplier selection'!E737="","",'Supplier selection'!E737)</f>
        <v/>
      </c>
      <c r="F737" s="19" t="str">
        <f>IF('Supplier selection'!F737="","",'Supplier selection'!F737)</f>
        <v/>
      </c>
      <c r="G737" s="19" t="str">
        <f>IF('Supplier selection'!G737="","",'Supplier selection'!G737)</f>
        <v/>
      </c>
      <c r="H737" s="19" t="str">
        <f>IF('Supplier selection'!H737="","",'Supplier selection'!H737)</f>
        <v/>
      </c>
      <c r="I737" s="19" t="str">
        <f>IF('Supplier selection'!I737="","",'Supplier selection'!I737)</f>
        <v/>
      </c>
      <c r="J737" s="19" t="str">
        <f>IF('Supplier selection'!J737="","",'Supplier selection'!J737)</f>
        <v/>
      </c>
      <c r="K737" s="19" t="str">
        <f>IF('Supplier selection'!K737="","",'Supplier selection'!K737)</f>
        <v/>
      </c>
      <c r="L737" s="19" t="str">
        <f>IF('Supplier selection'!L737="","",'Supplier selection'!L737)</f>
        <v/>
      </c>
      <c r="M737" s="19" t="str">
        <f>IF('Supplier selection'!M737="","",'Supplier selection'!M737)</f>
        <v/>
      </c>
      <c r="N737" s="19" t="str">
        <f>IF('Supplier selection'!N737="","",'Supplier selection'!N737)</f>
        <v/>
      </c>
      <c r="O737" s="19" t="str">
        <f>IF('Supplier selection'!O737="","",'Supplier selection'!O737)</f>
        <v/>
      </c>
      <c r="Q737" s="19" t="str">
        <f>HLOOKUP($Q$3,'Supplier selection'!$AW$4:'Supplier selection'!$CT$1000,$A738,FALSE)</f>
        <v/>
      </c>
      <c r="R737" s="22" t="str">
        <f t="shared" si="121"/>
        <v/>
      </c>
      <c r="S737" s="19" t="str">
        <f t="shared" si="122"/>
        <v/>
      </c>
      <c r="T737" s="22" t="str">
        <f t="shared" si="123"/>
        <v/>
      </c>
      <c r="U737" s="19" t="str">
        <f t="shared" si="124"/>
        <v/>
      </c>
      <c r="V737" s="7"/>
      <c r="Y737" s="19" t="str">
        <f>IF('Supplier selection'!AQ737="","",'Supplier selection'!AQ737)</f>
        <v/>
      </c>
      <c r="Z737" s="19" t="str">
        <f>IF('Supplier selection'!AR737="","",'Supplier selection'!AR737)</f>
        <v/>
      </c>
      <c r="AA737" s="19" t="str">
        <f t="shared" si="125"/>
        <v/>
      </c>
      <c r="AD737" s="26" t="str">
        <f>IF(AND('Supplier selection'!X737="",'Supplier selection'!AE737=""),"",IF('Supplier selection'!X737="",'Supplier selection'!AE737,'Supplier selection'!X737))</f>
        <v/>
      </c>
      <c r="AE737" s="19" t="str">
        <f t="shared" si="126"/>
        <v/>
      </c>
      <c r="AF737" s="19" t="str">
        <f t="shared" si="127"/>
        <v/>
      </c>
      <c r="AG737" s="27" t="str">
        <f>IF(AND('Supplier selection'!AB737="",'Supplier selection'!AI737=""),"",IF('Supplier selection'!AB737="",'Supplier selection'!AI737,'Supplier selection'!AB737))</f>
        <v/>
      </c>
      <c r="AH737" s="28" t="str">
        <f t="shared" si="128"/>
        <v/>
      </c>
      <c r="AI737" s="7" t="str">
        <f t="shared" si="129"/>
        <v/>
      </c>
      <c r="AJ737" s="22" t="str">
        <f t="shared" si="130"/>
        <v/>
      </c>
      <c r="AK737" s="29" t="str">
        <f t="shared" si="131"/>
        <v/>
      </c>
      <c r="AL737" s="10"/>
    </row>
    <row r="738" spans="1:38">
      <c r="A738" s="19">
        <f>IF('Supplier selection'!A738="","",'Supplier selection'!A738)</f>
        <v>734</v>
      </c>
      <c r="B738" s="19" t="str">
        <f>IF('Supplier selection'!B738="","",'Supplier selection'!B738)</f>
        <v/>
      </c>
      <c r="C738" s="19" t="str">
        <f>IF('Supplier selection'!C738="","",'Supplier selection'!C738)</f>
        <v/>
      </c>
      <c r="D738" s="19" t="str">
        <f>IF('Supplier selection'!D738="","",'Supplier selection'!D738)</f>
        <v/>
      </c>
      <c r="E738" s="19" t="str">
        <f>IF('Supplier selection'!E738="","",'Supplier selection'!E738)</f>
        <v/>
      </c>
      <c r="F738" s="19" t="str">
        <f>IF('Supplier selection'!F738="","",'Supplier selection'!F738)</f>
        <v/>
      </c>
      <c r="G738" s="19" t="str">
        <f>IF('Supplier selection'!G738="","",'Supplier selection'!G738)</f>
        <v/>
      </c>
      <c r="H738" s="19" t="str">
        <f>IF('Supplier selection'!H738="","",'Supplier selection'!H738)</f>
        <v/>
      </c>
      <c r="I738" s="19" t="str">
        <f>IF('Supplier selection'!I738="","",'Supplier selection'!I738)</f>
        <v/>
      </c>
      <c r="J738" s="19" t="str">
        <f>IF('Supplier selection'!J738="","",'Supplier selection'!J738)</f>
        <v/>
      </c>
      <c r="K738" s="19" t="str">
        <f>IF('Supplier selection'!K738="","",'Supplier selection'!K738)</f>
        <v/>
      </c>
      <c r="L738" s="19" t="str">
        <f>IF('Supplier selection'!L738="","",'Supplier selection'!L738)</f>
        <v/>
      </c>
      <c r="M738" s="19" t="str">
        <f>IF('Supplier selection'!M738="","",'Supplier selection'!M738)</f>
        <v/>
      </c>
      <c r="N738" s="19" t="str">
        <f>IF('Supplier selection'!N738="","",'Supplier selection'!N738)</f>
        <v/>
      </c>
      <c r="O738" s="19" t="str">
        <f>IF('Supplier selection'!O738="","",'Supplier selection'!O738)</f>
        <v/>
      </c>
      <c r="Q738" s="19" t="str">
        <f>HLOOKUP($Q$3,'Supplier selection'!$AW$4:'Supplier selection'!$CT$1000,$A739,FALSE)</f>
        <v/>
      </c>
      <c r="R738" s="22" t="str">
        <f t="shared" si="121"/>
        <v/>
      </c>
      <c r="S738" s="19" t="str">
        <f t="shared" si="122"/>
        <v/>
      </c>
      <c r="T738" s="22" t="str">
        <f t="shared" si="123"/>
        <v/>
      </c>
      <c r="U738" s="19" t="str">
        <f t="shared" si="124"/>
        <v/>
      </c>
      <c r="V738" s="7"/>
      <c r="Y738" s="19" t="str">
        <f>IF('Supplier selection'!AQ738="","",'Supplier selection'!AQ738)</f>
        <v/>
      </c>
      <c r="Z738" s="19" t="str">
        <f>IF('Supplier selection'!AR738="","",'Supplier selection'!AR738)</f>
        <v/>
      </c>
      <c r="AA738" s="19" t="str">
        <f t="shared" si="125"/>
        <v/>
      </c>
      <c r="AD738" s="26" t="str">
        <f>IF(AND('Supplier selection'!X738="",'Supplier selection'!AE738=""),"",IF('Supplier selection'!X738="",'Supplier selection'!AE738,'Supplier selection'!X738))</f>
        <v/>
      </c>
      <c r="AE738" s="19" t="str">
        <f t="shared" si="126"/>
        <v/>
      </c>
      <c r="AF738" s="19" t="str">
        <f t="shared" si="127"/>
        <v/>
      </c>
      <c r="AG738" s="27" t="str">
        <f>IF(AND('Supplier selection'!AB738="",'Supplier selection'!AI738=""),"",IF('Supplier selection'!AB738="",'Supplier selection'!AI738,'Supplier selection'!AB738))</f>
        <v/>
      </c>
      <c r="AH738" s="28" t="str">
        <f t="shared" si="128"/>
        <v/>
      </c>
      <c r="AI738" s="7" t="str">
        <f t="shared" si="129"/>
        <v/>
      </c>
      <c r="AJ738" s="22" t="str">
        <f t="shared" si="130"/>
        <v/>
      </c>
      <c r="AK738" s="29" t="str">
        <f t="shared" si="131"/>
        <v/>
      </c>
      <c r="AL738" s="10"/>
    </row>
    <row r="739" spans="1:38">
      <c r="A739" s="19">
        <f>IF('Supplier selection'!A739="","",'Supplier selection'!A739)</f>
        <v>735</v>
      </c>
      <c r="B739" s="19" t="str">
        <f>IF('Supplier selection'!B739="","",'Supplier selection'!B739)</f>
        <v/>
      </c>
      <c r="C739" s="19" t="str">
        <f>IF('Supplier selection'!C739="","",'Supplier selection'!C739)</f>
        <v/>
      </c>
      <c r="D739" s="19" t="str">
        <f>IF('Supplier selection'!D739="","",'Supplier selection'!D739)</f>
        <v/>
      </c>
      <c r="E739" s="19" t="str">
        <f>IF('Supplier selection'!E739="","",'Supplier selection'!E739)</f>
        <v/>
      </c>
      <c r="F739" s="19" t="str">
        <f>IF('Supplier selection'!F739="","",'Supplier selection'!F739)</f>
        <v/>
      </c>
      <c r="G739" s="19" t="str">
        <f>IF('Supplier selection'!G739="","",'Supplier selection'!G739)</f>
        <v/>
      </c>
      <c r="H739" s="19" t="str">
        <f>IF('Supplier selection'!H739="","",'Supplier selection'!H739)</f>
        <v/>
      </c>
      <c r="I739" s="19" t="str">
        <f>IF('Supplier selection'!I739="","",'Supplier selection'!I739)</f>
        <v/>
      </c>
      <c r="J739" s="19" t="str">
        <f>IF('Supplier selection'!J739="","",'Supplier selection'!J739)</f>
        <v/>
      </c>
      <c r="K739" s="19" t="str">
        <f>IF('Supplier selection'!K739="","",'Supplier selection'!K739)</f>
        <v/>
      </c>
      <c r="L739" s="19" t="str">
        <f>IF('Supplier selection'!L739="","",'Supplier selection'!L739)</f>
        <v/>
      </c>
      <c r="M739" s="19" t="str">
        <f>IF('Supplier selection'!M739="","",'Supplier selection'!M739)</f>
        <v/>
      </c>
      <c r="N739" s="19" t="str">
        <f>IF('Supplier selection'!N739="","",'Supplier selection'!N739)</f>
        <v/>
      </c>
      <c r="O739" s="19" t="str">
        <f>IF('Supplier selection'!O739="","",'Supplier selection'!O739)</f>
        <v/>
      </c>
      <c r="Q739" s="19" t="str">
        <f>HLOOKUP($Q$3,'Supplier selection'!$AW$4:'Supplier selection'!$CT$1000,$A740,FALSE)</f>
        <v/>
      </c>
      <c r="R739" s="22" t="str">
        <f t="shared" si="121"/>
        <v/>
      </c>
      <c r="S739" s="19" t="str">
        <f t="shared" si="122"/>
        <v/>
      </c>
      <c r="T739" s="22" t="str">
        <f t="shared" si="123"/>
        <v/>
      </c>
      <c r="U739" s="19" t="str">
        <f t="shared" si="124"/>
        <v/>
      </c>
      <c r="V739" s="7"/>
      <c r="Y739" s="19" t="str">
        <f>IF('Supplier selection'!AQ739="","",'Supplier selection'!AQ739)</f>
        <v/>
      </c>
      <c r="Z739" s="19" t="str">
        <f>IF('Supplier selection'!AR739="","",'Supplier selection'!AR739)</f>
        <v/>
      </c>
      <c r="AA739" s="19" t="str">
        <f t="shared" si="125"/>
        <v/>
      </c>
      <c r="AD739" s="26" t="str">
        <f>IF(AND('Supplier selection'!X739="",'Supplier selection'!AE739=""),"",IF('Supplier selection'!X739="",'Supplier selection'!AE739,'Supplier selection'!X739))</f>
        <v/>
      </c>
      <c r="AE739" s="19" t="str">
        <f t="shared" si="126"/>
        <v/>
      </c>
      <c r="AF739" s="19" t="str">
        <f t="shared" si="127"/>
        <v/>
      </c>
      <c r="AG739" s="27" t="str">
        <f>IF(AND('Supplier selection'!AB739="",'Supplier selection'!AI739=""),"",IF('Supplier selection'!AB739="",'Supplier selection'!AI739,'Supplier selection'!AB739))</f>
        <v/>
      </c>
      <c r="AH739" s="28" t="str">
        <f t="shared" si="128"/>
        <v/>
      </c>
      <c r="AI739" s="7" t="str">
        <f t="shared" si="129"/>
        <v/>
      </c>
      <c r="AJ739" s="22" t="str">
        <f t="shared" si="130"/>
        <v/>
      </c>
      <c r="AK739" s="29" t="str">
        <f t="shared" si="131"/>
        <v/>
      </c>
      <c r="AL739" s="10"/>
    </row>
    <row r="740" spans="1:38">
      <c r="A740" s="19">
        <f>IF('Supplier selection'!A740="","",'Supplier selection'!A740)</f>
        <v>736</v>
      </c>
      <c r="B740" s="19" t="str">
        <f>IF('Supplier selection'!B740="","",'Supplier selection'!B740)</f>
        <v/>
      </c>
      <c r="C740" s="19" t="str">
        <f>IF('Supplier selection'!C740="","",'Supplier selection'!C740)</f>
        <v/>
      </c>
      <c r="D740" s="19" t="str">
        <f>IF('Supplier selection'!D740="","",'Supplier selection'!D740)</f>
        <v/>
      </c>
      <c r="E740" s="19" t="str">
        <f>IF('Supplier selection'!E740="","",'Supplier selection'!E740)</f>
        <v/>
      </c>
      <c r="F740" s="19" t="str">
        <f>IF('Supplier selection'!F740="","",'Supplier selection'!F740)</f>
        <v/>
      </c>
      <c r="G740" s="19" t="str">
        <f>IF('Supplier selection'!G740="","",'Supplier selection'!G740)</f>
        <v/>
      </c>
      <c r="H740" s="19" t="str">
        <f>IF('Supplier selection'!H740="","",'Supplier selection'!H740)</f>
        <v/>
      </c>
      <c r="I740" s="19" t="str">
        <f>IF('Supplier selection'!I740="","",'Supplier selection'!I740)</f>
        <v/>
      </c>
      <c r="J740" s="19" t="str">
        <f>IF('Supplier selection'!J740="","",'Supplier selection'!J740)</f>
        <v/>
      </c>
      <c r="K740" s="19" t="str">
        <f>IF('Supplier selection'!K740="","",'Supplier selection'!K740)</f>
        <v/>
      </c>
      <c r="L740" s="19" t="str">
        <f>IF('Supplier selection'!L740="","",'Supplier selection'!L740)</f>
        <v/>
      </c>
      <c r="M740" s="19" t="str">
        <f>IF('Supplier selection'!M740="","",'Supplier selection'!M740)</f>
        <v/>
      </c>
      <c r="N740" s="19" t="str">
        <f>IF('Supplier selection'!N740="","",'Supplier selection'!N740)</f>
        <v/>
      </c>
      <c r="O740" s="19" t="str">
        <f>IF('Supplier selection'!O740="","",'Supplier selection'!O740)</f>
        <v/>
      </c>
      <c r="Q740" s="19" t="str">
        <f>HLOOKUP($Q$3,'Supplier selection'!$AW$4:'Supplier selection'!$CT$1000,$A741,FALSE)</f>
        <v/>
      </c>
      <c r="R740" s="22" t="str">
        <f t="shared" si="121"/>
        <v/>
      </c>
      <c r="S740" s="19" t="str">
        <f t="shared" si="122"/>
        <v/>
      </c>
      <c r="T740" s="22" t="str">
        <f t="shared" si="123"/>
        <v/>
      </c>
      <c r="U740" s="19" t="str">
        <f t="shared" si="124"/>
        <v/>
      </c>
      <c r="V740" s="7"/>
      <c r="Y740" s="19" t="str">
        <f>IF('Supplier selection'!AQ740="","",'Supplier selection'!AQ740)</f>
        <v/>
      </c>
      <c r="Z740" s="19" t="str">
        <f>IF('Supplier selection'!AR740="","",'Supplier selection'!AR740)</f>
        <v/>
      </c>
      <c r="AA740" s="19" t="str">
        <f t="shared" si="125"/>
        <v/>
      </c>
      <c r="AD740" s="26" t="str">
        <f>IF(AND('Supplier selection'!X740="",'Supplier selection'!AE740=""),"",IF('Supplier selection'!X740="",'Supplier selection'!AE740,'Supplier selection'!X740))</f>
        <v/>
      </c>
      <c r="AE740" s="19" t="str">
        <f t="shared" si="126"/>
        <v/>
      </c>
      <c r="AF740" s="19" t="str">
        <f t="shared" si="127"/>
        <v/>
      </c>
      <c r="AG740" s="27" t="str">
        <f>IF(AND('Supplier selection'!AB740="",'Supplier selection'!AI740=""),"",IF('Supplier selection'!AB740="",'Supplier selection'!AI740,'Supplier selection'!AB740))</f>
        <v/>
      </c>
      <c r="AH740" s="28" t="str">
        <f t="shared" si="128"/>
        <v/>
      </c>
      <c r="AI740" s="7" t="str">
        <f t="shared" si="129"/>
        <v/>
      </c>
      <c r="AJ740" s="22" t="str">
        <f t="shared" si="130"/>
        <v/>
      </c>
      <c r="AK740" s="29" t="str">
        <f t="shared" si="131"/>
        <v/>
      </c>
      <c r="AL740" s="10"/>
    </row>
    <row r="741" spans="1:38">
      <c r="A741" s="19">
        <f>IF('Supplier selection'!A741="","",'Supplier selection'!A741)</f>
        <v>737</v>
      </c>
      <c r="B741" s="19" t="str">
        <f>IF('Supplier selection'!B741="","",'Supplier selection'!B741)</f>
        <v/>
      </c>
      <c r="C741" s="19" t="str">
        <f>IF('Supplier selection'!C741="","",'Supplier selection'!C741)</f>
        <v/>
      </c>
      <c r="D741" s="19" t="str">
        <f>IF('Supplier selection'!D741="","",'Supplier selection'!D741)</f>
        <v/>
      </c>
      <c r="E741" s="19" t="str">
        <f>IF('Supplier selection'!E741="","",'Supplier selection'!E741)</f>
        <v/>
      </c>
      <c r="F741" s="19" t="str">
        <f>IF('Supplier selection'!F741="","",'Supplier selection'!F741)</f>
        <v/>
      </c>
      <c r="G741" s="19" t="str">
        <f>IF('Supplier selection'!G741="","",'Supplier selection'!G741)</f>
        <v/>
      </c>
      <c r="H741" s="19" t="str">
        <f>IF('Supplier selection'!H741="","",'Supplier selection'!H741)</f>
        <v/>
      </c>
      <c r="I741" s="19" t="str">
        <f>IF('Supplier selection'!I741="","",'Supplier selection'!I741)</f>
        <v/>
      </c>
      <c r="J741" s="19" t="str">
        <f>IF('Supplier selection'!J741="","",'Supplier selection'!J741)</f>
        <v/>
      </c>
      <c r="K741" s="19" t="str">
        <f>IF('Supplier selection'!K741="","",'Supplier selection'!K741)</f>
        <v/>
      </c>
      <c r="L741" s="19" t="str">
        <f>IF('Supplier selection'!L741="","",'Supplier selection'!L741)</f>
        <v/>
      </c>
      <c r="M741" s="19" t="str">
        <f>IF('Supplier selection'!M741="","",'Supplier selection'!M741)</f>
        <v/>
      </c>
      <c r="N741" s="19" t="str">
        <f>IF('Supplier selection'!N741="","",'Supplier selection'!N741)</f>
        <v/>
      </c>
      <c r="O741" s="19" t="str">
        <f>IF('Supplier selection'!O741="","",'Supplier selection'!O741)</f>
        <v/>
      </c>
      <c r="Q741" s="19" t="str">
        <f>HLOOKUP($Q$3,'Supplier selection'!$AW$4:'Supplier selection'!$CT$1000,$A742,FALSE)</f>
        <v/>
      </c>
      <c r="R741" s="22" t="str">
        <f t="shared" si="121"/>
        <v/>
      </c>
      <c r="S741" s="19" t="str">
        <f t="shared" si="122"/>
        <v/>
      </c>
      <c r="T741" s="22" t="str">
        <f t="shared" si="123"/>
        <v/>
      </c>
      <c r="U741" s="19" t="str">
        <f t="shared" si="124"/>
        <v/>
      </c>
      <c r="V741" s="7"/>
      <c r="Y741" s="19" t="str">
        <f>IF('Supplier selection'!AQ741="","",'Supplier selection'!AQ741)</f>
        <v/>
      </c>
      <c r="Z741" s="19" t="str">
        <f>IF('Supplier selection'!AR741="","",'Supplier selection'!AR741)</f>
        <v/>
      </c>
      <c r="AA741" s="19" t="str">
        <f t="shared" si="125"/>
        <v/>
      </c>
      <c r="AD741" s="26" t="str">
        <f>IF(AND('Supplier selection'!X741="",'Supplier selection'!AE741=""),"",IF('Supplier selection'!X741="",'Supplier selection'!AE741,'Supplier selection'!X741))</f>
        <v/>
      </c>
      <c r="AE741" s="19" t="str">
        <f t="shared" si="126"/>
        <v/>
      </c>
      <c r="AF741" s="19" t="str">
        <f t="shared" si="127"/>
        <v/>
      </c>
      <c r="AG741" s="27" t="str">
        <f>IF(AND('Supplier selection'!AB741="",'Supplier selection'!AI741=""),"",IF('Supplier selection'!AB741="",'Supplier selection'!AI741,'Supplier selection'!AB741))</f>
        <v/>
      </c>
      <c r="AH741" s="28" t="str">
        <f t="shared" si="128"/>
        <v/>
      </c>
      <c r="AI741" s="7" t="str">
        <f t="shared" si="129"/>
        <v/>
      </c>
      <c r="AJ741" s="22" t="str">
        <f t="shared" si="130"/>
        <v/>
      </c>
      <c r="AK741" s="29" t="str">
        <f t="shared" si="131"/>
        <v/>
      </c>
      <c r="AL741" s="10"/>
    </row>
    <row r="742" spans="1:38">
      <c r="A742" s="19">
        <f>IF('Supplier selection'!A742="","",'Supplier selection'!A742)</f>
        <v>738</v>
      </c>
      <c r="B742" s="19" t="str">
        <f>IF('Supplier selection'!B742="","",'Supplier selection'!B742)</f>
        <v/>
      </c>
      <c r="C742" s="19" t="str">
        <f>IF('Supplier selection'!C742="","",'Supplier selection'!C742)</f>
        <v/>
      </c>
      <c r="D742" s="19" t="str">
        <f>IF('Supplier selection'!D742="","",'Supplier selection'!D742)</f>
        <v/>
      </c>
      <c r="E742" s="19" t="str">
        <f>IF('Supplier selection'!E742="","",'Supplier selection'!E742)</f>
        <v/>
      </c>
      <c r="F742" s="19" t="str">
        <f>IF('Supplier selection'!F742="","",'Supplier selection'!F742)</f>
        <v/>
      </c>
      <c r="G742" s="19" t="str">
        <f>IF('Supplier selection'!G742="","",'Supplier selection'!G742)</f>
        <v/>
      </c>
      <c r="H742" s="19" t="str">
        <f>IF('Supplier selection'!H742="","",'Supplier selection'!H742)</f>
        <v/>
      </c>
      <c r="I742" s="19" t="str">
        <f>IF('Supplier selection'!I742="","",'Supplier selection'!I742)</f>
        <v/>
      </c>
      <c r="J742" s="19" t="str">
        <f>IF('Supplier selection'!J742="","",'Supplier selection'!J742)</f>
        <v/>
      </c>
      <c r="K742" s="19" t="str">
        <f>IF('Supplier selection'!K742="","",'Supplier selection'!K742)</f>
        <v/>
      </c>
      <c r="L742" s="19" t="str">
        <f>IF('Supplier selection'!L742="","",'Supplier selection'!L742)</f>
        <v/>
      </c>
      <c r="M742" s="19" t="str">
        <f>IF('Supplier selection'!M742="","",'Supplier selection'!M742)</f>
        <v/>
      </c>
      <c r="N742" s="19" t="str">
        <f>IF('Supplier selection'!N742="","",'Supplier selection'!N742)</f>
        <v/>
      </c>
      <c r="O742" s="19" t="str">
        <f>IF('Supplier selection'!O742="","",'Supplier selection'!O742)</f>
        <v/>
      </c>
      <c r="Q742" s="19" t="str">
        <f>HLOOKUP($Q$3,'Supplier selection'!$AW$4:'Supplier selection'!$CT$1000,$A743,FALSE)</f>
        <v/>
      </c>
      <c r="R742" s="22" t="str">
        <f t="shared" si="121"/>
        <v/>
      </c>
      <c r="S742" s="19" t="str">
        <f t="shared" si="122"/>
        <v/>
      </c>
      <c r="T742" s="22" t="str">
        <f t="shared" si="123"/>
        <v/>
      </c>
      <c r="U742" s="19" t="str">
        <f t="shared" si="124"/>
        <v/>
      </c>
      <c r="V742" s="7"/>
      <c r="Y742" s="19" t="str">
        <f>IF('Supplier selection'!AQ742="","",'Supplier selection'!AQ742)</f>
        <v/>
      </c>
      <c r="Z742" s="19" t="str">
        <f>IF('Supplier selection'!AR742="","",'Supplier selection'!AR742)</f>
        <v/>
      </c>
      <c r="AA742" s="19" t="str">
        <f t="shared" si="125"/>
        <v/>
      </c>
      <c r="AD742" s="26" t="str">
        <f>IF(AND('Supplier selection'!X742="",'Supplier selection'!AE742=""),"",IF('Supplier selection'!X742="",'Supplier selection'!AE742,'Supplier selection'!X742))</f>
        <v/>
      </c>
      <c r="AE742" s="19" t="str">
        <f t="shared" si="126"/>
        <v/>
      </c>
      <c r="AF742" s="19" t="str">
        <f t="shared" si="127"/>
        <v/>
      </c>
      <c r="AG742" s="27" t="str">
        <f>IF(AND('Supplier selection'!AB742="",'Supplier selection'!AI742=""),"",IF('Supplier selection'!AB742="",'Supplier selection'!AI742,'Supplier selection'!AB742))</f>
        <v/>
      </c>
      <c r="AH742" s="28" t="str">
        <f t="shared" si="128"/>
        <v/>
      </c>
      <c r="AI742" s="7" t="str">
        <f t="shared" si="129"/>
        <v/>
      </c>
      <c r="AJ742" s="22" t="str">
        <f t="shared" si="130"/>
        <v/>
      </c>
      <c r="AK742" s="29" t="str">
        <f t="shared" si="131"/>
        <v/>
      </c>
      <c r="AL742" s="10"/>
    </row>
    <row r="743" spans="1:38">
      <c r="A743" s="19">
        <f>IF('Supplier selection'!A743="","",'Supplier selection'!A743)</f>
        <v>739</v>
      </c>
      <c r="B743" s="19" t="str">
        <f>IF('Supplier selection'!B743="","",'Supplier selection'!B743)</f>
        <v/>
      </c>
      <c r="C743" s="19" t="str">
        <f>IF('Supplier selection'!C743="","",'Supplier selection'!C743)</f>
        <v/>
      </c>
      <c r="D743" s="19" t="str">
        <f>IF('Supplier selection'!D743="","",'Supplier selection'!D743)</f>
        <v/>
      </c>
      <c r="E743" s="19" t="str">
        <f>IF('Supplier selection'!E743="","",'Supplier selection'!E743)</f>
        <v/>
      </c>
      <c r="F743" s="19" t="str">
        <f>IF('Supplier selection'!F743="","",'Supplier selection'!F743)</f>
        <v/>
      </c>
      <c r="G743" s="19" t="str">
        <f>IF('Supplier selection'!G743="","",'Supplier selection'!G743)</f>
        <v/>
      </c>
      <c r="H743" s="19" t="str">
        <f>IF('Supplier selection'!H743="","",'Supplier selection'!H743)</f>
        <v/>
      </c>
      <c r="I743" s="19" t="str">
        <f>IF('Supplier selection'!I743="","",'Supplier selection'!I743)</f>
        <v/>
      </c>
      <c r="J743" s="19" t="str">
        <f>IF('Supplier selection'!J743="","",'Supplier selection'!J743)</f>
        <v/>
      </c>
      <c r="K743" s="19" t="str">
        <f>IF('Supplier selection'!K743="","",'Supplier selection'!K743)</f>
        <v/>
      </c>
      <c r="L743" s="19" t="str">
        <f>IF('Supplier selection'!L743="","",'Supplier selection'!L743)</f>
        <v/>
      </c>
      <c r="M743" s="19" t="str">
        <f>IF('Supplier selection'!M743="","",'Supplier selection'!M743)</f>
        <v/>
      </c>
      <c r="N743" s="19" t="str">
        <f>IF('Supplier selection'!N743="","",'Supplier selection'!N743)</f>
        <v/>
      </c>
      <c r="O743" s="19" t="str">
        <f>IF('Supplier selection'!O743="","",'Supplier selection'!O743)</f>
        <v/>
      </c>
      <c r="Q743" s="19" t="str">
        <f>HLOOKUP($Q$3,'Supplier selection'!$AW$4:'Supplier selection'!$CT$1000,$A744,FALSE)</f>
        <v/>
      </c>
      <c r="R743" s="22" t="str">
        <f t="shared" si="121"/>
        <v/>
      </c>
      <c r="S743" s="19" t="str">
        <f t="shared" si="122"/>
        <v/>
      </c>
      <c r="T743" s="22" t="str">
        <f t="shared" si="123"/>
        <v/>
      </c>
      <c r="U743" s="19" t="str">
        <f t="shared" si="124"/>
        <v/>
      </c>
      <c r="V743" s="7"/>
      <c r="Y743" s="19" t="str">
        <f>IF('Supplier selection'!AQ743="","",'Supplier selection'!AQ743)</f>
        <v/>
      </c>
      <c r="Z743" s="19" t="str">
        <f>IF('Supplier selection'!AR743="","",'Supplier selection'!AR743)</f>
        <v/>
      </c>
      <c r="AA743" s="19" t="str">
        <f t="shared" si="125"/>
        <v/>
      </c>
      <c r="AD743" s="26" t="str">
        <f>IF(AND('Supplier selection'!X743="",'Supplier selection'!AE743=""),"",IF('Supplier selection'!X743="",'Supplier selection'!AE743,'Supplier selection'!X743))</f>
        <v/>
      </c>
      <c r="AE743" s="19" t="str">
        <f t="shared" si="126"/>
        <v/>
      </c>
      <c r="AF743" s="19" t="str">
        <f t="shared" si="127"/>
        <v/>
      </c>
      <c r="AG743" s="27" t="str">
        <f>IF(AND('Supplier selection'!AB743="",'Supplier selection'!AI743=""),"",IF('Supplier selection'!AB743="",'Supplier selection'!AI743,'Supplier selection'!AB743))</f>
        <v/>
      </c>
      <c r="AH743" s="28" t="str">
        <f t="shared" si="128"/>
        <v/>
      </c>
      <c r="AI743" s="7" t="str">
        <f t="shared" si="129"/>
        <v/>
      </c>
      <c r="AJ743" s="22" t="str">
        <f t="shared" si="130"/>
        <v/>
      </c>
      <c r="AK743" s="29" t="str">
        <f t="shared" si="131"/>
        <v/>
      </c>
      <c r="AL743" s="10"/>
    </row>
    <row r="744" spans="1:38">
      <c r="A744" s="19">
        <f>IF('Supplier selection'!A744="","",'Supplier selection'!A744)</f>
        <v>740</v>
      </c>
      <c r="B744" s="19" t="str">
        <f>IF('Supplier selection'!B744="","",'Supplier selection'!B744)</f>
        <v/>
      </c>
      <c r="C744" s="19" t="str">
        <f>IF('Supplier selection'!C744="","",'Supplier selection'!C744)</f>
        <v/>
      </c>
      <c r="D744" s="19" t="str">
        <f>IF('Supplier selection'!D744="","",'Supplier selection'!D744)</f>
        <v/>
      </c>
      <c r="E744" s="19" t="str">
        <f>IF('Supplier selection'!E744="","",'Supplier selection'!E744)</f>
        <v/>
      </c>
      <c r="F744" s="19" t="str">
        <f>IF('Supplier selection'!F744="","",'Supplier selection'!F744)</f>
        <v/>
      </c>
      <c r="G744" s="19" t="str">
        <f>IF('Supplier selection'!G744="","",'Supplier selection'!G744)</f>
        <v/>
      </c>
      <c r="H744" s="19" t="str">
        <f>IF('Supplier selection'!H744="","",'Supplier selection'!H744)</f>
        <v/>
      </c>
      <c r="I744" s="19" t="str">
        <f>IF('Supplier selection'!I744="","",'Supplier selection'!I744)</f>
        <v/>
      </c>
      <c r="J744" s="19" t="str">
        <f>IF('Supplier selection'!J744="","",'Supplier selection'!J744)</f>
        <v/>
      </c>
      <c r="K744" s="19" t="str">
        <f>IF('Supplier selection'!K744="","",'Supplier selection'!K744)</f>
        <v/>
      </c>
      <c r="L744" s="19" t="str">
        <f>IF('Supplier selection'!L744="","",'Supplier selection'!L744)</f>
        <v/>
      </c>
      <c r="M744" s="19" t="str">
        <f>IF('Supplier selection'!M744="","",'Supplier selection'!M744)</f>
        <v/>
      </c>
      <c r="N744" s="19" t="str">
        <f>IF('Supplier selection'!N744="","",'Supplier selection'!N744)</f>
        <v/>
      </c>
      <c r="O744" s="19" t="str">
        <f>IF('Supplier selection'!O744="","",'Supplier selection'!O744)</f>
        <v/>
      </c>
      <c r="Q744" s="19" t="str">
        <f>HLOOKUP($Q$3,'Supplier selection'!$AW$4:'Supplier selection'!$CT$1000,$A745,FALSE)</f>
        <v/>
      </c>
      <c r="R744" s="22" t="str">
        <f t="shared" si="121"/>
        <v/>
      </c>
      <c r="S744" s="19" t="str">
        <f t="shared" si="122"/>
        <v/>
      </c>
      <c r="T744" s="22" t="str">
        <f t="shared" si="123"/>
        <v/>
      </c>
      <c r="U744" s="19" t="str">
        <f t="shared" si="124"/>
        <v/>
      </c>
      <c r="V744" s="7"/>
      <c r="Y744" s="19" t="str">
        <f>IF('Supplier selection'!AQ744="","",'Supplier selection'!AQ744)</f>
        <v/>
      </c>
      <c r="Z744" s="19" t="str">
        <f>IF('Supplier selection'!AR744="","",'Supplier selection'!AR744)</f>
        <v/>
      </c>
      <c r="AA744" s="19" t="str">
        <f t="shared" si="125"/>
        <v/>
      </c>
      <c r="AD744" s="26" t="str">
        <f>IF(AND('Supplier selection'!X744="",'Supplier selection'!AE744=""),"",IF('Supplier selection'!X744="",'Supplier selection'!AE744,'Supplier selection'!X744))</f>
        <v/>
      </c>
      <c r="AE744" s="19" t="str">
        <f t="shared" si="126"/>
        <v/>
      </c>
      <c r="AF744" s="19" t="str">
        <f t="shared" si="127"/>
        <v/>
      </c>
      <c r="AG744" s="27" t="str">
        <f>IF(AND('Supplier selection'!AB744="",'Supplier selection'!AI744=""),"",IF('Supplier selection'!AB744="",'Supplier selection'!AI744,'Supplier selection'!AB744))</f>
        <v/>
      </c>
      <c r="AH744" s="28" t="str">
        <f t="shared" si="128"/>
        <v/>
      </c>
      <c r="AI744" s="7" t="str">
        <f t="shared" si="129"/>
        <v/>
      </c>
      <c r="AJ744" s="22" t="str">
        <f t="shared" si="130"/>
        <v/>
      </c>
      <c r="AK744" s="29" t="str">
        <f t="shared" si="131"/>
        <v/>
      </c>
      <c r="AL744" s="10"/>
    </row>
    <row r="745" spans="1:38">
      <c r="A745" s="19">
        <f>IF('Supplier selection'!A745="","",'Supplier selection'!A745)</f>
        <v>741</v>
      </c>
      <c r="B745" s="19" t="str">
        <f>IF('Supplier selection'!B745="","",'Supplier selection'!B745)</f>
        <v/>
      </c>
      <c r="C745" s="19" t="str">
        <f>IF('Supplier selection'!C745="","",'Supplier selection'!C745)</f>
        <v/>
      </c>
      <c r="D745" s="19" t="str">
        <f>IF('Supplier selection'!D745="","",'Supplier selection'!D745)</f>
        <v/>
      </c>
      <c r="E745" s="19" t="str">
        <f>IF('Supplier selection'!E745="","",'Supplier selection'!E745)</f>
        <v/>
      </c>
      <c r="F745" s="19" t="str">
        <f>IF('Supplier selection'!F745="","",'Supplier selection'!F745)</f>
        <v/>
      </c>
      <c r="G745" s="19" t="str">
        <f>IF('Supplier selection'!G745="","",'Supplier selection'!G745)</f>
        <v/>
      </c>
      <c r="H745" s="19" t="str">
        <f>IF('Supplier selection'!H745="","",'Supplier selection'!H745)</f>
        <v/>
      </c>
      <c r="I745" s="19" t="str">
        <f>IF('Supplier selection'!I745="","",'Supplier selection'!I745)</f>
        <v/>
      </c>
      <c r="J745" s="19" t="str">
        <f>IF('Supplier selection'!J745="","",'Supplier selection'!J745)</f>
        <v/>
      </c>
      <c r="K745" s="19" t="str">
        <f>IF('Supplier selection'!K745="","",'Supplier selection'!K745)</f>
        <v/>
      </c>
      <c r="L745" s="19" t="str">
        <f>IF('Supplier selection'!L745="","",'Supplier selection'!L745)</f>
        <v/>
      </c>
      <c r="M745" s="19" t="str">
        <f>IF('Supplier selection'!M745="","",'Supplier selection'!M745)</f>
        <v/>
      </c>
      <c r="N745" s="19" t="str">
        <f>IF('Supplier selection'!N745="","",'Supplier selection'!N745)</f>
        <v/>
      </c>
      <c r="O745" s="19" t="str">
        <f>IF('Supplier selection'!O745="","",'Supplier selection'!O745)</f>
        <v/>
      </c>
      <c r="Q745" s="19" t="str">
        <f>HLOOKUP($Q$3,'Supplier selection'!$AW$4:'Supplier selection'!$CT$1000,$A746,FALSE)</f>
        <v/>
      </c>
      <c r="R745" s="22" t="str">
        <f t="shared" si="121"/>
        <v/>
      </c>
      <c r="S745" s="19" t="str">
        <f t="shared" si="122"/>
        <v/>
      </c>
      <c r="T745" s="22" t="str">
        <f t="shared" si="123"/>
        <v/>
      </c>
      <c r="U745" s="19" t="str">
        <f t="shared" si="124"/>
        <v/>
      </c>
      <c r="V745" s="7"/>
      <c r="Y745" s="19" t="str">
        <f>IF('Supplier selection'!AQ745="","",'Supplier selection'!AQ745)</f>
        <v/>
      </c>
      <c r="Z745" s="19" t="str">
        <f>IF('Supplier selection'!AR745="","",'Supplier selection'!AR745)</f>
        <v/>
      </c>
      <c r="AA745" s="19" t="str">
        <f t="shared" si="125"/>
        <v/>
      </c>
      <c r="AD745" s="26" t="str">
        <f>IF(AND('Supplier selection'!X745="",'Supplier selection'!AE745=""),"",IF('Supplier selection'!X745="",'Supplier selection'!AE745,'Supplier selection'!X745))</f>
        <v/>
      </c>
      <c r="AE745" s="19" t="str">
        <f t="shared" si="126"/>
        <v/>
      </c>
      <c r="AF745" s="19" t="str">
        <f t="shared" si="127"/>
        <v/>
      </c>
      <c r="AG745" s="27" t="str">
        <f>IF(AND('Supplier selection'!AB745="",'Supplier selection'!AI745=""),"",IF('Supplier selection'!AB745="",'Supplier selection'!AI745,'Supplier selection'!AB745))</f>
        <v/>
      </c>
      <c r="AH745" s="28" t="str">
        <f t="shared" si="128"/>
        <v/>
      </c>
      <c r="AI745" s="7" t="str">
        <f t="shared" si="129"/>
        <v/>
      </c>
      <c r="AJ745" s="22" t="str">
        <f t="shared" si="130"/>
        <v/>
      </c>
      <c r="AK745" s="29" t="str">
        <f t="shared" si="131"/>
        <v/>
      </c>
      <c r="AL745" s="10"/>
    </row>
    <row r="746" spans="1:38">
      <c r="A746" s="19">
        <f>IF('Supplier selection'!A746="","",'Supplier selection'!A746)</f>
        <v>742</v>
      </c>
      <c r="B746" s="19" t="str">
        <f>IF('Supplier selection'!B746="","",'Supplier selection'!B746)</f>
        <v/>
      </c>
      <c r="C746" s="19" t="str">
        <f>IF('Supplier selection'!C746="","",'Supplier selection'!C746)</f>
        <v/>
      </c>
      <c r="D746" s="19" t="str">
        <f>IF('Supplier selection'!D746="","",'Supplier selection'!D746)</f>
        <v/>
      </c>
      <c r="E746" s="19" t="str">
        <f>IF('Supplier selection'!E746="","",'Supplier selection'!E746)</f>
        <v/>
      </c>
      <c r="F746" s="19" t="str">
        <f>IF('Supplier selection'!F746="","",'Supplier selection'!F746)</f>
        <v/>
      </c>
      <c r="G746" s="19" t="str">
        <f>IF('Supplier selection'!G746="","",'Supplier selection'!G746)</f>
        <v/>
      </c>
      <c r="H746" s="19" t="str">
        <f>IF('Supplier selection'!H746="","",'Supplier selection'!H746)</f>
        <v/>
      </c>
      <c r="I746" s="19" t="str">
        <f>IF('Supplier selection'!I746="","",'Supplier selection'!I746)</f>
        <v/>
      </c>
      <c r="J746" s="19" t="str">
        <f>IF('Supplier selection'!J746="","",'Supplier selection'!J746)</f>
        <v/>
      </c>
      <c r="K746" s="19" t="str">
        <f>IF('Supplier selection'!K746="","",'Supplier selection'!K746)</f>
        <v/>
      </c>
      <c r="L746" s="19" t="str">
        <f>IF('Supplier selection'!L746="","",'Supplier selection'!L746)</f>
        <v/>
      </c>
      <c r="M746" s="19" t="str">
        <f>IF('Supplier selection'!M746="","",'Supplier selection'!M746)</f>
        <v/>
      </c>
      <c r="N746" s="19" t="str">
        <f>IF('Supplier selection'!N746="","",'Supplier selection'!N746)</f>
        <v/>
      </c>
      <c r="O746" s="19" t="str">
        <f>IF('Supplier selection'!O746="","",'Supplier selection'!O746)</f>
        <v/>
      </c>
      <c r="Q746" s="19" t="str">
        <f>HLOOKUP($Q$3,'Supplier selection'!$AW$4:'Supplier selection'!$CT$1000,$A747,FALSE)</f>
        <v/>
      </c>
      <c r="R746" s="22" t="str">
        <f t="shared" si="121"/>
        <v/>
      </c>
      <c r="S746" s="19" t="str">
        <f t="shared" si="122"/>
        <v/>
      </c>
      <c r="T746" s="22" t="str">
        <f t="shared" si="123"/>
        <v/>
      </c>
      <c r="U746" s="19" t="str">
        <f t="shared" si="124"/>
        <v/>
      </c>
      <c r="V746" s="7"/>
      <c r="Y746" s="19" t="str">
        <f>IF('Supplier selection'!AQ746="","",'Supplier selection'!AQ746)</f>
        <v/>
      </c>
      <c r="Z746" s="19" t="str">
        <f>IF('Supplier selection'!AR746="","",'Supplier selection'!AR746)</f>
        <v/>
      </c>
      <c r="AA746" s="19" t="str">
        <f t="shared" si="125"/>
        <v/>
      </c>
      <c r="AD746" s="26" t="str">
        <f>IF(AND('Supplier selection'!X746="",'Supplier selection'!AE746=""),"",IF('Supplier selection'!X746="",'Supplier selection'!AE746,'Supplier selection'!X746))</f>
        <v/>
      </c>
      <c r="AE746" s="19" t="str">
        <f t="shared" si="126"/>
        <v/>
      </c>
      <c r="AF746" s="19" t="str">
        <f t="shared" si="127"/>
        <v/>
      </c>
      <c r="AG746" s="27" t="str">
        <f>IF(AND('Supplier selection'!AB746="",'Supplier selection'!AI746=""),"",IF('Supplier selection'!AB746="",'Supplier selection'!AI746,'Supplier selection'!AB746))</f>
        <v/>
      </c>
      <c r="AH746" s="28" t="str">
        <f t="shared" si="128"/>
        <v/>
      </c>
      <c r="AI746" s="7" t="str">
        <f t="shared" si="129"/>
        <v/>
      </c>
      <c r="AJ746" s="22" t="str">
        <f t="shared" si="130"/>
        <v/>
      </c>
      <c r="AK746" s="29" t="str">
        <f t="shared" si="131"/>
        <v/>
      </c>
      <c r="AL746" s="10"/>
    </row>
    <row r="747" spans="1:38">
      <c r="A747" s="19">
        <f>IF('Supplier selection'!A747="","",'Supplier selection'!A747)</f>
        <v>743</v>
      </c>
      <c r="B747" s="19" t="str">
        <f>IF('Supplier selection'!B747="","",'Supplier selection'!B747)</f>
        <v/>
      </c>
      <c r="C747" s="19" t="str">
        <f>IF('Supplier selection'!C747="","",'Supplier selection'!C747)</f>
        <v/>
      </c>
      <c r="D747" s="19" t="str">
        <f>IF('Supplier selection'!D747="","",'Supplier selection'!D747)</f>
        <v/>
      </c>
      <c r="E747" s="19" t="str">
        <f>IF('Supplier selection'!E747="","",'Supplier selection'!E747)</f>
        <v/>
      </c>
      <c r="F747" s="19" t="str">
        <f>IF('Supplier selection'!F747="","",'Supplier selection'!F747)</f>
        <v/>
      </c>
      <c r="G747" s="19" t="str">
        <f>IF('Supplier selection'!G747="","",'Supplier selection'!G747)</f>
        <v/>
      </c>
      <c r="H747" s="19" t="str">
        <f>IF('Supplier selection'!H747="","",'Supplier selection'!H747)</f>
        <v/>
      </c>
      <c r="I747" s="19" t="str">
        <f>IF('Supplier selection'!I747="","",'Supplier selection'!I747)</f>
        <v/>
      </c>
      <c r="J747" s="19" t="str">
        <f>IF('Supplier selection'!J747="","",'Supplier selection'!J747)</f>
        <v/>
      </c>
      <c r="K747" s="19" t="str">
        <f>IF('Supplier selection'!K747="","",'Supplier selection'!K747)</f>
        <v/>
      </c>
      <c r="L747" s="19" t="str">
        <f>IF('Supplier selection'!L747="","",'Supplier selection'!L747)</f>
        <v/>
      </c>
      <c r="M747" s="19" t="str">
        <f>IF('Supplier selection'!M747="","",'Supplier selection'!M747)</f>
        <v/>
      </c>
      <c r="N747" s="19" t="str">
        <f>IF('Supplier selection'!N747="","",'Supplier selection'!N747)</f>
        <v/>
      </c>
      <c r="O747" s="19" t="str">
        <f>IF('Supplier selection'!O747="","",'Supplier selection'!O747)</f>
        <v/>
      </c>
      <c r="Q747" s="19" t="str">
        <f>HLOOKUP($Q$3,'Supplier selection'!$AW$4:'Supplier selection'!$CT$1000,$A748,FALSE)</f>
        <v/>
      </c>
      <c r="R747" s="22" t="str">
        <f t="shared" si="121"/>
        <v/>
      </c>
      <c r="S747" s="19" t="str">
        <f t="shared" si="122"/>
        <v/>
      </c>
      <c r="T747" s="22" t="str">
        <f t="shared" si="123"/>
        <v/>
      </c>
      <c r="U747" s="19" t="str">
        <f t="shared" si="124"/>
        <v/>
      </c>
      <c r="V747" s="7"/>
      <c r="Y747" s="19" t="str">
        <f>IF('Supplier selection'!AQ747="","",'Supplier selection'!AQ747)</f>
        <v/>
      </c>
      <c r="Z747" s="19" t="str">
        <f>IF('Supplier selection'!AR747="","",'Supplier selection'!AR747)</f>
        <v/>
      </c>
      <c r="AA747" s="19" t="str">
        <f t="shared" si="125"/>
        <v/>
      </c>
      <c r="AD747" s="26" t="str">
        <f>IF(AND('Supplier selection'!X747="",'Supplier selection'!AE747=""),"",IF('Supplier selection'!X747="",'Supplier selection'!AE747,'Supplier selection'!X747))</f>
        <v/>
      </c>
      <c r="AE747" s="19" t="str">
        <f t="shared" si="126"/>
        <v/>
      </c>
      <c r="AF747" s="19" t="str">
        <f t="shared" si="127"/>
        <v/>
      </c>
      <c r="AG747" s="27" t="str">
        <f>IF(AND('Supplier selection'!AB747="",'Supplier selection'!AI747=""),"",IF('Supplier selection'!AB747="",'Supplier selection'!AI747,'Supplier selection'!AB747))</f>
        <v/>
      </c>
      <c r="AH747" s="28" t="str">
        <f t="shared" si="128"/>
        <v/>
      </c>
      <c r="AI747" s="7" t="str">
        <f t="shared" si="129"/>
        <v/>
      </c>
      <c r="AJ747" s="22" t="str">
        <f t="shared" si="130"/>
        <v/>
      </c>
      <c r="AK747" s="29" t="str">
        <f t="shared" si="131"/>
        <v/>
      </c>
      <c r="AL747" s="10"/>
    </row>
    <row r="748" spans="1:38">
      <c r="A748" s="19">
        <f>IF('Supplier selection'!A748="","",'Supplier selection'!A748)</f>
        <v>744</v>
      </c>
      <c r="B748" s="19" t="str">
        <f>IF('Supplier selection'!B748="","",'Supplier selection'!B748)</f>
        <v/>
      </c>
      <c r="C748" s="19" t="str">
        <f>IF('Supplier selection'!C748="","",'Supplier selection'!C748)</f>
        <v/>
      </c>
      <c r="D748" s="19" t="str">
        <f>IF('Supplier selection'!D748="","",'Supplier selection'!D748)</f>
        <v/>
      </c>
      <c r="E748" s="19" t="str">
        <f>IF('Supplier selection'!E748="","",'Supplier selection'!E748)</f>
        <v/>
      </c>
      <c r="F748" s="19" t="str">
        <f>IF('Supplier selection'!F748="","",'Supplier selection'!F748)</f>
        <v/>
      </c>
      <c r="G748" s="19" t="str">
        <f>IF('Supplier selection'!G748="","",'Supplier selection'!G748)</f>
        <v/>
      </c>
      <c r="H748" s="19" t="str">
        <f>IF('Supplier selection'!H748="","",'Supplier selection'!H748)</f>
        <v/>
      </c>
      <c r="I748" s="19" t="str">
        <f>IF('Supplier selection'!I748="","",'Supplier selection'!I748)</f>
        <v/>
      </c>
      <c r="J748" s="19" t="str">
        <f>IF('Supplier selection'!J748="","",'Supplier selection'!J748)</f>
        <v/>
      </c>
      <c r="K748" s="19" t="str">
        <f>IF('Supplier selection'!K748="","",'Supplier selection'!K748)</f>
        <v/>
      </c>
      <c r="L748" s="19" t="str">
        <f>IF('Supplier selection'!L748="","",'Supplier selection'!L748)</f>
        <v/>
      </c>
      <c r="M748" s="19" t="str">
        <f>IF('Supplier selection'!M748="","",'Supplier selection'!M748)</f>
        <v/>
      </c>
      <c r="N748" s="19" t="str">
        <f>IF('Supplier selection'!N748="","",'Supplier selection'!N748)</f>
        <v/>
      </c>
      <c r="O748" s="19" t="str">
        <f>IF('Supplier selection'!O748="","",'Supplier selection'!O748)</f>
        <v/>
      </c>
      <c r="Q748" s="19" t="str">
        <f>HLOOKUP($Q$3,'Supplier selection'!$AW$4:'Supplier selection'!$CT$1000,$A749,FALSE)</f>
        <v/>
      </c>
      <c r="R748" s="22" t="str">
        <f t="shared" si="121"/>
        <v/>
      </c>
      <c r="S748" s="19" t="str">
        <f t="shared" si="122"/>
        <v/>
      </c>
      <c r="T748" s="22" t="str">
        <f t="shared" si="123"/>
        <v/>
      </c>
      <c r="U748" s="19" t="str">
        <f t="shared" si="124"/>
        <v/>
      </c>
      <c r="V748" s="7"/>
      <c r="Y748" s="19" t="str">
        <f>IF('Supplier selection'!AQ748="","",'Supplier selection'!AQ748)</f>
        <v/>
      </c>
      <c r="Z748" s="19" t="str">
        <f>IF('Supplier selection'!AR748="","",'Supplier selection'!AR748)</f>
        <v/>
      </c>
      <c r="AA748" s="19" t="str">
        <f t="shared" si="125"/>
        <v/>
      </c>
      <c r="AD748" s="26" t="str">
        <f>IF(AND('Supplier selection'!X748="",'Supplier selection'!AE748=""),"",IF('Supplier selection'!X748="",'Supplier selection'!AE748,'Supplier selection'!X748))</f>
        <v/>
      </c>
      <c r="AE748" s="19" t="str">
        <f t="shared" si="126"/>
        <v/>
      </c>
      <c r="AF748" s="19" t="str">
        <f t="shared" si="127"/>
        <v/>
      </c>
      <c r="AG748" s="27" t="str">
        <f>IF(AND('Supplier selection'!AB748="",'Supplier selection'!AI748=""),"",IF('Supplier selection'!AB748="",'Supplier selection'!AI748,'Supplier selection'!AB748))</f>
        <v/>
      </c>
      <c r="AH748" s="28" t="str">
        <f t="shared" si="128"/>
        <v/>
      </c>
      <c r="AI748" s="7" t="str">
        <f t="shared" si="129"/>
        <v/>
      </c>
      <c r="AJ748" s="22" t="str">
        <f t="shared" si="130"/>
        <v/>
      </c>
      <c r="AK748" s="29" t="str">
        <f t="shared" si="131"/>
        <v/>
      </c>
      <c r="AL748" s="10"/>
    </row>
    <row r="749" spans="1:38">
      <c r="A749" s="19">
        <f>IF('Supplier selection'!A749="","",'Supplier selection'!A749)</f>
        <v>745</v>
      </c>
      <c r="B749" s="19" t="str">
        <f>IF('Supplier selection'!B749="","",'Supplier selection'!B749)</f>
        <v/>
      </c>
      <c r="C749" s="19" t="str">
        <f>IF('Supplier selection'!C749="","",'Supplier selection'!C749)</f>
        <v/>
      </c>
      <c r="D749" s="19" t="str">
        <f>IF('Supplier selection'!D749="","",'Supplier selection'!D749)</f>
        <v/>
      </c>
      <c r="E749" s="19" t="str">
        <f>IF('Supplier selection'!E749="","",'Supplier selection'!E749)</f>
        <v/>
      </c>
      <c r="F749" s="19" t="str">
        <f>IF('Supplier selection'!F749="","",'Supplier selection'!F749)</f>
        <v/>
      </c>
      <c r="G749" s="19" t="str">
        <f>IF('Supplier selection'!G749="","",'Supplier selection'!G749)</f>
        <v/>
      </c>
      <c r="H749" s="19" t="str">
        <f>IF('Supplier selection'!H749="","",'Supplier selection'!H749)</f>
        <v/>
      </c>
      <c r="I749" s="19" t="str">
        <f>IF('Supplier selection'!I749="","",'Supplier selection'!I749)</f>
        <v/>
      </c>
      <c r="J749" s="19" t="str">
        <f>IF('Supplier selection'!J749="","",'Supplier selection'!J749)</f>
        <v/>
      </c>
      <c r="K749" s="19" t="str">
        <f>IF('Supplier selection'!K749="","",'Supplier selection'!K749)</f>
        <v/>
      </c>
      <c r="L749" s="19" t="str">
        <f>IF('Supplier selection'!L749="","",'Supplier selection'!L749)</f>
        <v/>
      </c>
      <c r="M749" s="19" t="str">
        <f>IF('Supplier selection'!M749="","",'Supplier selection'!M749)</f>
        <v/>
      </c>
      <c r="N749" s="19" t="str">
        <f>IF('Supplier selection'!N749="","",'Supplier selection'!N749)</f>
        <v/>
      </c>
      <c r="O749" s="19" t="str">
        <f>IF('Supplier selection'!O749="","",'Supplier selection'!O749)</f>
        <v/>
      </c>
      <c r="Q749" s="19" t="str">
        <f>HLOOKUP($Q$3,'Supplier selection'!$AW$4:'Supplier selection'!$CT$1000,$A750,FALSE)</f>
        <v/>
      </c>
      <c r="R749" s="22" t="str">
        <f t="shared" si="121"/>
        <v/>
      </c>
      <c r="S749" s="19" t="str">
        <f t="shared" si="122"/>
        <v/>
      </c>
      <c r="T749" s="22" t="str">
        <f t="shared" si="123"/>
        <v/>
      </c>
      <c r="U749" s="19" t="str">
        <f t="shared" si="124"/>
        <v/>
      </c>
      <c r="V749" s="7"/>
      <c r="Y749" s="19" t="str">
        <f>IF('Supplier selection'!AQ749="","",'Supplier selection'!AQ749)</f>
        <v/>
      </c>
      <c r="Z749" s="19" t="str">
        <f>IF('Supplier selection'!AR749="","",'Supplier selection'!AR749)</f>
        <v/>
      </c>
      <c r="AA749" s="19" t="str">
        <f t="shared" si="125"/>
        <v/>
      </c>
      <c r="AD749" s="26" t="str">
        <f>IF(AND('Supplier selection'!X749="",'Supplier selection'!AE749=""),"",IF('Supplier selection'!X749="",'Supplier selection'!AE749,'Supplier selection'!X749))</f>
        <v/>
      </c>
      <c r="AE749" s="19" t="str">
        <f t="shared" si="126"/>
        <v/>
      </c>
      <c r="AF749" s="19" t="str">
        <f t="shared" si="127"/>
        <v/>
      </c>
      <c r="AG749" s="27" t="str">
        <f>IF(AND('Supplier selection'!AB749="",'Supplier selection'!AI749=""),"",IF('Supplier selection'!AB749="",'Supplier selection'!AI749,'Supplier selection'!AB749))</f>
        <v/>
      </c>
      <c r="AH749" s="28" t="str">
        <f t="shared" si="128"/>
        <v/>
      </c>
      <c r="AI749" s="7" t="str">
        <f t="shared" si="129"/>
        <v/>
      </c>
      <c r="AJ749" s="22" t="str">
        <f t="shared" si="130"/>
        <v/>
      </c>
      <c r="AK749" s="29" t="str">
        <f t="shared" si="131"/>
        <v/>
      </c>
      <c r="AL749" s="10"/>
    </row>
    <row r="750" spans="1:38">
      <c r="A750" s="19">
        <f>IF('Supplier selection'!A750="","",'Supplier selection'!A750)</f>
        <v>746</v>
      </c>
      <c r="B750" s="19" t="str">
        <f>IF('Supplier selection'!B750="","",'Supplier selection'!B750)</f>
        <v/>
      </c>
      <c r="C750" s="19" t="str">
        <f>IF('Supplier selection'!C750="","",'Supplier selection'!C750)</f>
        <v/>
      </c>
      <c r="D750" s="19" t="str">
        <f>IF('Supplier selection'!D750="","",'Supplier selection'!D750)</f>
        <v/>
      </c>
      <c r="E750" s="19" t="str">
        <f>IF('Supplier selection'!E750="","",'Supplier selection'!E750)</f>
        <v/>
      </c>
      <c r="F750" s="19" t="str">
        <f>IF('Supplier selection'!F750="","",'Supplier selection'!F750)</f>
        <v/>
      </c>
      <c r="G750" s="19" t="str">
        <f>IF('Supplier selection'!G750="","",'Supplier selection'!G750)</f>
        <v/>
      </c>
      <c r="H750" s="19" t="str">
        <f>IF('Supplier selection'!H750="","",'Supplier selection'!H750)</f>
        <v/>
      </c>
      <c r="I750" s="19" t="str">
        <f>IF('Supplier selection'!I750="","",'Supplier selection'!I750)</f>
        <v/>
      </c>
      <c r="J750" s="19" t="str">
        <f>IF('Supplier selection'!J750="","",'Supplier selection'!J750)</f>
        <v/>
      </c>
      <c r="K750" s="19" t="str">
        <f>IF('Supplier selection'!K750="","",'Supplier selection'!K750)</f>
        <v/>
      </c>
      <c r="L750" s="19" t="str">
        <f>IF('Supplier selection'!L750="","",'Supplier selection'!L750)</f>
        <v/>
      </c>
      <c r="M750" s="19" t="str">
        <f>IF('Supplier selection'!M750="","",'Supplier selection'!M750)</f>
        <v/>
      </c>
      <c r="N750" s="19" t="str">
        <f>IF('Supplier selection'!N750="","",'Supplier selection'!N750)</f>
        <v/>
      </c>
      <c r="O750" s="19" t="str">
        <f>IF('Supplier selection'!O750="","",'Supplier selection'!O750)</f>
        <v/>
      </c>
      <c r="Q750" s="19" t="str">
        <f>HLOOKUP($Q$3,'Supplier selection'!$AW$4:'Supplier selection'!$CT$1000,$A751,FALSE)</f>
        <v/>
      </c>
      <c r="R750" s="22" t="str">
        <f t="shared" si="121"/>
        <v/>
      </c>
      <c r="S750" s="19" t="str">
        <f t="shared" si="122"/>
        <v/>
      </c>
      <c r="T750" s="22" t="str">
        <f t="shared" si="123"/>
        <v/>
      </c>
      <c r="U750" s="19" t="str">
        <f t="shared" si="124"/>
        <v/>
      </c>
      <c r="V750" s="7"/>
      <c r="Y750" s="19" t="str">
        <f>IF('Supplier selection'!AQ750="","",'Supplier selection'!AQ750)</f>
        <v/>
      </c>
      <c r="Z750" s="19" t="str">
        <f>IF('Supplier selection'!AR750="","",'Supplier selection'!AR750)</f>
        <v/>
      </c>
      <c r="AA750" s="19" t="str">
        <f t="shared" si="125"/>
        <v/>
      </c>
      <c r="AD750" s="26" t="str">
        <f>IF(AND('Supplier selection'!X750="",'Supplier selection'!AE750=""),"",IF('Supplier selection'!X750="",'Supplier selection'!AE750,'Supplier selection'!X750))</f>
        <v/>
      </c>
      <c r="AE750" s="19" t="str">
        <f t="shared" si="126"/>
        <v/>
      </c>
      <c r="AF750" s="19" t="str">
        <f t="shared" si="127"/>
        <v/>
      </c>
      <c r="AG750" s="27" t="str">
        <f>IF(AND('Supplier selection'!AB750="",'Supplier selection'!AI750=""),"",IF('Supplier selection'!AB750="",'Supplier selection'!AI750,'Supplier selection'!AB750))</f>
        <v/>
      </c>
      <c r="AH750" s="28" t="str">
        <f t="shared" si="128"/>
        <v/>
      </c>
      <c r="AI750" s="7" t="str">
        <f t="shared" si="129"/>
        <v/>
      </c>
      <c r="AJ750" s="22" t="str">
        <f t="shared" si="130"/>
        <v/>
      </c>
      <c r="AK750" s="29" t="str">
        <f t="shared" si="131"/>
        <v/>
      </c>
      <c r="AL750" s="10"/>
    </row>
    <row r="751" spans="1:38">
      <c r="A751" s="19">
        <f>IF('Supplier selection'!A751="","",'Supplier selection'!A751)</f>
        <v>747</v>
      </c>
      <c r="B751" s="19" t="str">
        <f>IF('Supplier selection'!B751="","",'Supplier selection'!B751)</f>
        <v/>
      </c>
      <c r="C751" s="19" t="str">
        <f>IF('Supplier selection'!C751="","",'Supplier selection'!C751)</f>
        <v/>
      </c>
      <c r="D751" s="19" t="str">
        <f>IF('Supplier selection'!D751="","",'Supplier selection'!D751)</f>
        <v/>
      </c>
      <c r="E751" s="19" t="str">
        <f>IF('Supplier selection'!E751="","",'Supplier selection'!E751)</f>
        <v/>
      </c>
      <c r="F751" s="19" t="str">
        <f>IF('Supplier selection'!F751="","",'Supplier selection'!F751)</f>
        <v/>
      </c>
      <c r="G751" s="19" t="str">
        <f>IF('Supplier selection'!G751="","",'Supplier selection'!G751)</f>
        <v/>
      </c>
      <c r="H751" s="19" t="str">
        <f>IF('Supplier selection'!H751="","",'Supplier selection'!H751)</f>
        <v/>
      </c>
      <c r="I751" s="19" t="str">
        <f>IF('Supplier selection'!I751="","",'Supplier selection'!I751)</f>
        <v/>
      </c>
      <c r="J751" s="19" t="str">
        <f>IF('Supplier selection'!J751="","",'Supplier selection'!J751)</f>
        <v/>
      </c>
      <c r="K751" s="19" t="str">
        <f>IF('Supplier selection'!K751="","",'Supplier selection'!K751)</f>
        <v/>
      </c>
      <c r="L751" s="19" t="str">
        <f>IF('Supplier selection'!L751="","",'Supplier selection'!L751)</f>
        <v/>
      </c>
      <c r="M751" s="19" t="str">
        <f>IF('Supplier selection'!M751="","",'Supplier selection'!M751)</f>
        <v/>
      </c>
      <c r="N751" s="19" t="str">
        <f>IF('Supplier selection'!N751="","",'Supplier selection'!N751)</f>
        <v/>
      </c>
      <c r="O751" s="19" t="str">
        <f>IF('Supplier selection'!O751="","",'Supplier selection'!O751)</f>
        <v/>
      </c>
      <c r="Q751" s="19" t="str">
        <f>HLOOKUP($Q$3,'Supplier selection'!$AW$4:'Supplier selection'!$CT$1000,$A752,FALSE)</f>
        <v/>
      </c>
      <c r="R751" s="22" t="str">
        <f t="shared" si="121"/>
        <v/>
      </c>
      <c r="S751" s="19" t="str">
        <f t="shared" si="122"/>
        <v/>
      </c>
      <c r="T751" s="22" t="str">
        <f t="shared" si="123"/>
        <v/>
      </c>
      <c r="U751" s="19" t="str">
        <f t="shared" si="124"/>
        <v/>
      </c>
      <c r="V751" s="7"/>
      <c r="Y751" s="19" t="str">
        <f>IF('Supplier selection'!AQ751="","",'Supplier selection'!AQ751)</f>
        <v/>
      </c>
      <c r="Z751" s="19" t="str">
        <f>IF('Supplier selection'!AR751="","",'Supplier selection'!AR751)</f>
        <v/>
      </c>
      <c r="AA751" s="19" t="str">
        <f t="shared" si="125"/>
        <v/>
      </c>
      <c r="AD751" s="26" t="str">
        <f>IF(AND('Supplier selection'!X751="",'Supplier selection'!AE751=""),"",IF('Supplier selection'!X751="",'Supplier selection'!AE751,'Supplier selection'!X751))</f>
        <v/>
      </c>
      <c r="AE751" s="19" t="str">
        <f t="shared" si="126"/>
        <v/>
      </c>
      <c r="AF751" s="19" t="str">
        <f t="shared" si="127"/>
        <v/>
      </c>
      <c r="AG751" s="27" t="str">
        <f>IF(AND('Supplier selection'!AB751="",'Supplier selection'!AI751=""),"",IF('Supplier selection'!AB751="",'Supplier selection'!AI751,'Supplier selection'!AB751))</f>
        <v/>
      </c>
      <c r="AH751" s="28" t="str">
        <f t="shared" si="128"/>
        <v/>
      </c>
      <c r="AI751" s="7" t="str">
        <f t="shared" si="129"/>
        <v/>
      </c>
      <c r="AJ751" s="22" t="str">
        <f t="shared" si="130"/>
        <v/>
      </c>
      <c r="AK751" s="29" t="str">
        <f t="shared" si="131"/>
        <v/>
      </c>
      <c r="AL751" s="10"/>
    </row>
    <row r="752" spans="1:38">
      <c r="A752" s="19">
        <f>IF('Supplier selection'!A752="","",'Supplier selection'!A752)</f>
        <v>748</v>
      </c>
      <c r="B752" s="19" t="str">
        <f>IF('Supplier selection'!B752="","",'Supplier selection'!B752)</f>
        <v/>
      </c>
      <c r="C752" s="19" t="str">
        <f>IF('Supplier selection'!C752="","",'Supplier selection'!C752)</f>
        <v/>
      </c>
      <c r="D752" s="19" t="str">
        <f>IF('Supplier selection'!D752="","",'Supplier selection'!D752)</f>
        <v/>
      </c>
      <c r="E752" s="19" t="str">
        <f>IF('Supplier selection'!E752="","",'Supplier selection'!E752)</f>
        <v/>
      </c>
      <c r="F752" s="19" t="str">
        <f>IF('Supplier selection'!F752="","",'Supplier selection'!F752)</f>
        <v/>
      </c>
      <c r="G752" s="19" t="str">
        <f>IF('Supplier selection'!G752="","",'Supplier selection'!G752)</f>
        <v/>
      </c>
      <c r="H752" s="19" t="str">
        <f>IF('Supplier selection'!H752="","",'Supplier selection'!H752)</f>
        <v/>
      </c>
      <c r="I752" s="19" t="str">
        <f>IF('Supplier selection'!I752="","",'Supplier selection'!I752)</f>
        <v/>
      </c>
      <c r="J752" s="19" t="str">
        <f>IF('Supplier selection'!J752="","",'Supplier selection'!J752)</f>
        <v/>
      </c>
      <c r="K752" s="19" t="str">
        <f>IF('Supplier selection'!K752="","",'Supplier selection'!K752)</f>
        <v/>
      </c>
      <c r="L752" s="19" t="str">
        <f>IF('Supplier selection'!L752="","",'Supplier selection'!L752)</f>
        <v/>
      </c>
      <c r="M752" s="19" t="str">
        <f>IF('Supplier selection'!M752="","",'Supplier selection'!M752)</f>
        <v/>
      </c>
      <c r="N752" s="19" t="str">
        <f>IF('Supplier selection'!N752="","",'Supplier selection'!N752)</f>
        <v/>
      </c>
      <c r="O752" s="19" t="str">
        <f>IF('Supplier selection'!O752="","",'Supplier selection'!O752)</f>
        <v/>
      </c>
      <c r="Q752" s="19" t="str">
        <f>HLOOKUP($Q$3,'Supplier selection'!$AW$4:'Supplier selection'!$CT$1000,$A753,FALSE)</f>
        <v/>
      </c>
      <c r="R752" s="22" t="str">
        <f t="shared" si="121"/>
        <v/>
      </c>
      <c r="S752" s="19" t="str">
        <f t="shared" si="122"/>
        <v/>
      </c>
      <c r="T752" s="22" t="str">
        <f t="shared" si="123"/>
        <v/>
      </c>
      <c r="U752" s="19" t="str">
        <f t="shared" si="124"/>
        <v/>
      </c>
      <c r="V752" s="7"/>
      <c r="Y752" s="19" t="str">
        <f>IF('Supplier selection'!AQ752="","",'Supplier selection'!AQ752)</f>
        <v/>
      </c>
      <c r="Z752" s="19" t="str">
        <f>IF('Supplier selection'!AR752="","",'Supplier selection'!AR752)</f>
        <v/>
      </c>
      <c r="AA752" s="19" t="str">
        <f t="shared" si="125"/>
        <v/>
      </c>
      <c r="AD752" s="26" t="str">
        <f>IF(AND('Supplier selection'!X752="",'Supplier selection'!AE752=""),"",IF('Supplier selection'!X752="",'Supplier selection'!AE752,'Supplier selection'!X752))</f>
        <v/>
      </c>
      <c r="AE752" s="19" t="str">
        <f t="shared" si="126"/>
        <v/>
      </c>
      <c r="AF752" s="19" t="str">
        <f t="shared" si="127"/>
        <v/>
      </c>
      <c r="AG752" s="27" t="str">
        <f>IF(AND('Supplier selection'!AB752="",'Supplier selection'!AI752=""),"",IF('Supplier selection'!AB752="",'Supplier selection'!AI752,'Supplier selection'!AB752))</f>
        <v/>
      </c>
      <c r="AH752" s="28" t="str">
        <f t="shared" si="128"/>
        <v/>
      </c>
      <c r="AI752" s="7" t="str">
        <f t="shared" si="129"/>
        <v/>
      </c>
      <c r="AJ752" s="22" t="str">
        <f t="shared" si="130"/>
        <v/>
      </c>
      <c r="AK752" s="29" t="str">
        <f t="shared" si="131"/>
        <v/>
      </c>
      <c r="AL752" s="10"/>
    </row>
    <row r="753" spans="1:38">
      <c r="A753" s="19">
        <f>IF('Supplier selection'!A753="","",'Supplier selection'!A753)</f>
        <v>749</v>
      </c>
      <c r="B753" s="19" t="str">
        <f>IF('Supplier selection'!B753="","",'Supplier selection'!B753)</f>
        <v/>
      </c>
      <c r="C753" s="19" t="str">
        <f>IF('Supplier selection'!C753="","",'Supplier selection'!C753)</f>
        <v/>
      </c>
      <c r="D753" s="19" t="str">
        <f>IF('Supplier selection'!D753="","",'Supplier selection'!D753)</f>
        <v/>
      </c>
      <c r="E753" s="19" t="str">
        <f>IF('Supplier selection'!E753="","",'Supplier selection'!E753)</f>
        <v/>
      </c>
      <c r="F753" s="19" t="str">
        <f>IF('Supplier selection'!F753="","",'Supplier selection'!F753)</f>
        <v/>
      </c>
      <c r="G753" s="19" t="str">
        <f>IF('Supplier selection'!G753="","",'Supplier selection'!G753)</f>
        <v/>
      </c>
      <c r="H753" s="19" t="str">
        <f>IF('Supplier selection'!H753="","",'Supplier selection'!H753)</f>
        <v/>
      </c>
      <c r="I753" s="19" t="str">
        <f>IF('Supplier selection'!I753="","",'Supplier selection'!I753)</f>
        <v/>
      </c>
      <c r="J753" s="19" t="str">
        <f>IF('Supplier selection'!J753="","",'Supplier selection'!J753)</f>
        <v/>
      </c>
      <c r="K753" s="19" t="str">
        <f>IF('Supplier selection'!K753="","",'Supplier selection'!K753)</f>
        <v/>
      </c>
      <c r="L753" s="19" t="str">
        <f>IF('Supplier selection'!L753="","",'Supplier selection'!L753)</f>
        <v/>
      </c>
      <c r="M753" s="19" t="str">
        <f>IF('Supplier selection'!M753="","",'Supplier selection'!M753)</f>
        <v/>
      </c>
      <c r="N753" s="19" t="str">
        <f>IF('Supplier selection'!N753="","",'Supplier selection'!N753)</f>
        <v/>
      </c>
      <c r="O753" s="19" t="str">
        <f>IF('Supplier selection'!O753="","",'Supplier selection'!O753)</f>
        <v/>
      </c>
      <c r="Q753" s="19" t="str">
        <f>HLOOKUP($Q$3,'Supplier selection'!$AW$4:'Supplier selection'!$CT$1000,$A754,FALSE)</f>
        <v/>
      </c>
      <c r="R753" s="22" t="str">
        <f t="shared" si="121"/>
        <v/>
      </c>
      <c r="S753" s="19" t="str">
        <f t="shared" si="122"/>
        <v/>
      </c>
      <c r="T753" s="22" t="str">
        <f t="shared" si="123"/>
        <v/>
      </c>
      <c r="U753" s="19" t="str">
        <f t="shared" si="124"/>
        <v/>
      </c>
      <c r="V753" s="7"/>
      <c r="Y753" s="19" t="str">
        <f>IF('Supplier selection'!AQ753="","",'Supplier selection'!AQ753)</f>
        <v/>
      </c>
      <c r="Z753" s="19" t="str">
        <f>IF('Supplier selection'!AR753="","",'Supplier selection'!AR753)</f>
        <v/>
      </c>
      <c r="AA753" s="19" t="str">
        <f t="shared" si="125"/>
        <v/>
      </c>
      <c r="AD753" s="26" t="str">
        <f>IF(AND('Supplier selection'!X753="",'Supplier selection'!AE753=""),"",IF('Supplier selection'!X753="",'Supplier selection'!AE753,'Supplier selection'!X753))</f>
        <v/>
      </c>
      <c r="AE753" s="19" t="str">
        <f t="shared" si="126"/>
        <v/>
      </c>
      <c r="AF753" s="19" t="str">
        <f t="shared" si="127"/>
        <v/>
      </c>
      <c r="AG753" s="27" t="str">
        <f>IF(AND('Supplier selection'!AB753="",'Supplier selection'!AI753=""),"",IF('Supplier selection'!AB753="",'Supplier selection'!AI753,'Supplier selection'!AB753))</f>
        <v/>
      </c>
      <c r="AH753" s="28" t="str">
        <f t="shared" si="128"/>
        <v/>
      </c>
      <c r="AI753" s="7" t="str">
        <f t="shared" si="129"/>
        <v/>
      </c>
      <c r="AJ753" s="22" t="str">
        <f t="shared" si="130"/>
        <v/>
      </c>
      <c r="AK753" s="29" t="str">
        <f t="shared" si="131"/>
        <v/>
      </c>
      <c r="AL753" s="10"/>
    </row>
    <row r="754" spans="1:38">
      <c r="A754" s="19">
        <f>IF('Supplier selection'!A754="","",'Supplier selection'!A754)</f>
        <v>750</v>
      </c>
      <c r="B754" s="19" t="str">
        <f>IF('Supplier selection'!B754="","",'Supplier selection'!B754)</f>
        <v/>
      </c>
      <c r="C754" s="19" t="str">
        <f>IF('Supplier selection'!C754="","",'Supplier selection'!C754)</f>
        <v/>
      </c>
      <c r="D754" s="19" t="str">
        <f>IF('Supplier selection'!D754="","",'Supplier selection'!D754)</f>
        <v/>
      </c>
      <c r="E754" s="19" t="str">
        <f>IF('Supplier selection'!E754="","",'Supplier selection'!E754)</f>
        <v/>
      </c>
      <c r="F754" s="19" t="str">
        <f>IF('Supplier selection'!F754="","",'Supplier selection'!F754)</f>
        <v/>
      </c>
      <c r="G754" s="19" t="str">
        <f>IF('Supplier selection'!G754="","",'Supplier selection'!G754)</f>
        <v/>
      </c>
      <c r="H754" s="19" t="str">
        <f>IF('Supplier selection'!H754="","",'Supplier selection'!H754)</f>
        <v/>
      </c>
      <c r="I754" s="19" t="str">
        <f>IF('Supplier selection'!I754="","",'Supplier selection'!I754)</f>
        <v/>
      </c>
      <c r="J754" s="19" t="str">
        <f>IF('Supplier selection'!J754="","",'Supplier selection'!J754)</f>
        <v/>
      </c>
      <c r="K754" s="19" t="str">
        <f>IF('Supplier selection'!K754="","",'Supplier selection'!K754)</f>
        <v/>
      </c>
      <c r="L754" s="19" t="str">
        <f>IF('Supplier selection'!L754="","",'Supplier selection'!L754)</f>
        <v/>
      </c>
      <c r="M754" s="19" t="str">
        <f>IF('Supplier selection'!M754="","",'Supplier selection'!M754)</f>
        <v/>
      </c>
      <c r="N754" s="19" t="str">
        <f>IF('Supplier selection'!N754="","",'Supplier selection'!N754)</f>
        <v/>
      </c>
      <c r="O754" s="19" t="str">
        <f>IF('Supplier selection'!O754="","",'Supplier selection'!O754)</f>
        <v/>
      </c>
      <c r="Q754" s="19" t="str">
        <f>HLOOKUP($Q$3,'Supplier selection'!$AW$4:'Supplier selection'!$CT$1000,$A755,FALSE)</f>
        <v/>
      </c>
      <c r="R754" s="22" t="str">
        <f t="shared" si="121"/>
        <v/>
      </c>
      <c r="S754" s="19" t="str">
        <f t="shared" si="122"/>
        <v/>
      </c>
      <c r="T754" s="22" t="str">
        <f t="shared" si="123"/>
        <v/>
      </c>
      <c r="U754" s="19" t="str">
        <f t="shared" si="124"/>
        <v/>
      </c>
      <c r="V754" s="7"/>
      <c r="Y754" s="19" t="str">
        <f>IF('Supplier selection'!AQ754="","",'Supplier selection'!AQ754)</f>
        <v/>
      </c>
      <c r="Z754" s="19" t="str">
        <f>IF('Supplier selection'!AR754="","",'Supplier selection'!AR754)</f>
        <v/>
      </c>
      <c r="AA754" s="19" t="str">
        <f t="shared" si="125"/>
        <v/>
      </c>
      <c r="AD754" s="26" t="str">
        <f>IF(AND('Supplier selection'!X754="",'Supplier selection'!AE754=""),"",IF('Supplier selection'!X754="",'Supplier selection'!AE754,'Supplier selection'!X754))</f>
        <v/>
      </c>
      <c r="AE754" s="19" t="str">
        <f t="shared" si="126"/>
        <v/>
      </c>
      <c r="AF754" s="19" t="str">
        <f t="shared" si="127"/>
        <v/>
      </c>
      <c r="AG754" s="27" t="str">
        <f>IF(AND('Supplier selection'!AB754="",'Supplier selection'!AI754=""),"",IF('Supplier selection'!AB754="",'Supplier selection'!AI754,'Supplier selection'!AB754))</f>
        <v/>
      </c>
      <c r="AH754" s="28" t="str">
        <f t="shared" si="128"/>
        <v/>
      </c>
      <c r="AI754" s="7" t="str">
        <f t="shared" si="129"/>
        <v/>
      </c>
      <c r="AJ754" s="22" t="str">
        <f t="shared" si="130"/>
        <v/>
      </c>
      <c r="AK754" s="29" t="str">
        <f t="shared" si="131"/>
        <v/>
      </c>
      <c r="AL754" s="10"/>
    </row>
    <row r="755" spans="1:38">
      <c r="A755" s="19">
        <f>IF('Supplier selection'!A755="","",'Supplier selection'!A755)</f>
        <v>751</v>
      </c>
      <c r="B755" s="19" t="str">
        <f>IF('Supplier selection'!B755="","",'Supplier selection'!B755)</f>
        <v/>
      </c>
      <c r="C755" s="19" t="str">
        <f>IF('Supplier selection'!C755="","",'Supplier selection'!C755)</f>
        <v/>
      </c>
      <c r="D755" s="19" t="str">
        <f>IF('Supplier selection'!D755="","",'Supplier selection'!D755)</f>
        <v/>
      </c>
      <c r="E755" s="19" t="str">
        <f>IF('Supplier selection'!E755="","",'Supplier selection'!E755)</f>
        <v/>
      </c>
      <c r="F755" s="19" t="str">
        <f>IF('Supplier selection'!F755="","",'Supplier selection'!F755)</f>
        <v/>
      </c>
      <c r="G755" s="19" t="str">
        <f>IF('Supplier selection'!G755="","",'Supplier selection'!G755)</f>
        <v/>
      </c>
      <c r="H755" s="19" t="str">
        <f>IF('Supplier selection'!H755="","",'Supplier selection'!H755)</f>
        <v/>
      </c>
      <c r="I755" s="19" t="str">
        <f>IF('Supplier selection'!I755="","",'Supplier selection'!I755)</f>
        <v/>
      </c>
      <c r="J755" s="19" t="str">
        <f>IF('Supplier selection'!J755="","",'Supplier selection'!J755)</f>
        <v/>
      </c>
      <c r="K755" s="19" t="str">
        <f>IF('Supplier selection'!K755="","",'Supplier selection'!K755)</f>
        <v/>
      </c>
      <c r="L755" s="19" t="str">
        <f>IF('Supplier selection'!L755="","",'Supplier selection'!L755)</f>
        <v/>
      </c>
      <c r="M755" s="19" t="str">
        <f>IF('Supplier selection'!M755="","",'Supplier selection'!M755)</f>
        <v/>
      </c>
      <c r="N755" s="19" t="str">
        <f>IF('Supplier selection'!N755="","",'Supplier selection'!N755)</f>
        <v/>
      </c>
      <c r="O755" s="19" t="str">
        <f>IF('Supplier selection'!O755="","",'Supplier selection'!O755)</f>
        <v/>
      </c>
      <c r="Q755" s="19" t="str">
        <f>HLOOKUP($Q$3,'Supplier selection'!$AW$4:'Supplier selection'!$CT$1000,$A756,FALSE)</f>
        <v/>
      </c>
      <c r="R755" s="22" t="str">
        <f t="shared" si="121"/>
        <v/>
      </c>
      <c r="S755" s="19" t="str">
        <f t="shared" si="122"/>
        <v/>
      </c>
      <c r="T755" s="22" t="str">
        <f t="shared" si="123"/>
        <v/>
      </c>
      <c r="U755" s="19" t="str">
        <f t="shared" si="124"/>
        <v/>
      </c>
      <c r="V755" s="7"/>
      <c r="Y755" s="19" t="str">
        <f>IF('Supplier selection'!AQ755="","",'Supplier selection'!AQ755)</f>
        <v/>
      </c>
      <c r="Z755" s="19" t="str">
        <f>IF('Supplier selection'!AR755="","",'Supplier selection'!AR755)</f>
        <v/>
      </c>
      <c r="AA755" s="19" t="str">
        <f t="shared" si="125"/>
        <v/>
      </c>
      <c r="AD755" s="26" t="str">
        <f>IF(AND('Supplier selection'!X755="",'Supplier selection'!AE755=""),"",IF('Supplier selection'!X755="",'Supplier selection'!AE755,'Supplier selection'!X755))</f>
        <v/>
      </c>
      <c r="AE755" s="19" t="str">
        <f t="shared" si="126"/>
        <v/>
      </c>
      <c r="AF755" s="19" t="str">
        <f t="shared" si="127"/>
        <v/>
      </c>
      <c r="AG755" s="27" t="str">
        <f>IF(AND('Supplier selection'!AB755="",'Supplier selection'!AI755=""),"",IF('Supplier selection'!AB755="",'Supplier selection'!AI755,'Supplier selection'!AB755))</f>
        <v/>
      </c>
      <c r="AH755" s="28" t="str">
        <f t="shared" si="128"/>
        <v/>
      </c>
      <c r="AI755" s="7" t="str">
        <f t="shared" si="129"/>
        <v/>
      </c>
      <c r="AJ755" s="22" t="str">
        <f t="shared" si="130"/>
        <v/>
      </c>
      <c r="AK755" s="29" t="str">
        <f t="shared" si="131"/>
        <v/>
      </c>
      <c r="AL755" s="10"/>
    </row>
    <row r="756" spans="1:38">
      <c r="A756" s="19">
        <f>IF('Supplier selection'!A756="","",'Supplier selection'!A756)</f>
        <v>752</v>
      </c>
      <c r="B756" s="19" t="str">
        <f>IF('Supplier selection'!B756="","",'Supplier selection'!B756)</f>
        <v/>
      </c>
      <c r="C756" s="19" t="str">
        <f>IF('Supplier selection'!C756="","",'Supplier selection'!C756)</f>
        <v/>
      </c>
      <c r="D756" s="19" t="str">
        <f>IF('Supplier selection'!D756="","",'Supplier selection'!D756)</f>
        <v/>
      </c>
      <c r="E756" s="19" t="str">
        <f>IF('Supplier selection'!E756="","",'Supplier selection'!E756)</f>
        <v/>
      </c>
      <c r="F756" s="19" t="str">
        <f>IF('Supplier selection'!F756="","",'Supplier selection'!F756)</f>
        <v/>
      </c>
      <c r="G756" s="19" t="str">
        <f>IF('Supplier selection'!G756="","",'Supplier selection'!G756)</f>
        <v/>
      </c>
      <c r="H756" s="19" t="str">
        <f>IF('Supplier selection'!H756="","",'Supplier selection'!H756)</f>
        <v/>
      </c>
      <c r="I756" s="19" t="str">
        <f>IF('Supplier selection'!I756="","",'Supplier selection'!I756)</f>
        <v/>
      </c>
      <c r="J756" s="19" t="str">
        <f>IF('Supplier selection'!J756="","",'Supplier selection'!J756)</f>
        <v/>
      </c>
      <c r="K756" s="19" t="str">
        <f>IF('Supplier selection'!K756="","",'Supplier selection'!K756)</f>
        <v/>
      </c>
      <c r="L756" s="19" t="str">
        <f>IF('Supplier selection'!L756="","",'Supplier selection'!L756)</f>
        <v/>
      </c>
      <c r="M756" s="19" t="str">
        <f>IF('Supplier selection'!M756="","",'Supplier selection'!M756)</f>
        <v/>
      </c>
      <c r="N756" s="19" t="str">
        <f>IF('Supplier selection'!N756="","",'Supplier selection'!N756)</f>
        <v/>
      </c>
      <c r="O756" s="19" t="str">
        <f>IF('Supplier selection'!O756="","",'Supplier selection'!O756)</f>
        <v/>
      </c>
      <c r="Q756" s="19" t="str">
        <f>HLOOKUP($Q$3,'Supplier selection'!$AW$4:'Supplier selection'!$CT$1000,$A757,FALSE)</f>
        <v/>
      </c>
      <c r="R756" s="22" t="str">
        <f t="shared" si="121"/>
        <v/>
      </c>
      <c r="S756" s="19" t="str">
        <f t="shared" si="122"/>
        <v/>
      </c>
      <c r="T756" s="22" t="str">
        <f t="shared" si="123"/>
        <v/>
      </c>
      <c r="U756" s="19" t="str">
        <f t="shared" si="124"/>
        <v/>
      </c>
      <c r="V756" s="7"/>
      <c r="Y756" s="19" t="str">
        <f>IF('Supplier selection'!AQ756="","",'Supplier selection'!AQ756)</f>
        <v/>
      </c>
      <c r="Z756" s="19" t="str">
        <f>IF('Supplier selection'!AR756="","",'Supplier selection'!AR756)</f>
        <v/>
      </c>
      <c r="AA756" s="19" t="str">
        <f t="shared" si="125"/>
        <v/>
      </c>
      <c r="AD756" s="26" t="str">
        <f>IF(AND('Supplier selection'!X756="",'Supplier selection'!AE756=""),"",IF('Supplier selection'!X756="",'Supplier selection'!AE756,'Supplier selection'!X756))</f>
        <v/>
      </c>
      <c r="AE756" s="19" t="str">
        <f t="shared" si="126"/>
        <v/>
      </c>
      <c r="AF756" s="19" t="str">
        <f t="shared" si="127"/>
        <v/>
      </c>
      <c r="AG756" s="27" t="str">
        <f>IF(AND('Supplier selection'!AB756="",'Supplier selection'!AI756=""),"",IF('Supplier selection'!AB756="",'Supplier selection'!AI756,'Supplier selection'!AB756))</f>
        <v/>
      </c>
      <c r="AH756" s="28" t="str">
        <f t="shared" si="128"/>
        <v/>
      </c>
      <c r="AI756" s="7" t="str">
        <f t="shared" si="129"/>
        <v/>
      </c>
      <c r="AJ756" s="22" t="str">
        <f t="shared" si="130"/>
        <v/>
      </c>
      <c r="AK756" s="29" t="str">
        <f t="shared" si="131"/>
        <v/>
      </c>
      <c r="AL756" s="10"/>
    </row>
    <row r="757" spans="1:38">
      <c r="A757" s="19">
        <f>IF('Supplier selection'!A757="","",'Supplier selection'!A757)</f>
        <v>753</v>
      </c>
      <c r="B757" s="19" t="str">
        <f>IF('Supplier selection'!B757="","",'Supplier selection'!B757)</f>
        <v/>
      </c>
      <c r="C757" s="19" t="str">
        <f>IF('Supplier selection'!C757="","",'Supplier selection'!C757)</f>
        <v/>
      </c>
      <c r="D757" s="19" t="str">
        <f>IF('Supplier selection'!D757="","",'Supplier selection'!D757)</f>
        <v/>
      </c>
      <c r="E757" s="19" t="str">
        <f>IF('Supplier selection'!E757="","",'Supplier selection'!E757)</f>
        <v/>
      </c>
      <c r="F757" s="19" t="str">
        <f>IF('Supplier selection'!F757="","",'Supplier selection'!F757)</f>
        <v/>
      </c>
      <c r="G757" s="19" t="str">
        <f>IF('Supplier selection'!G757="","",'Supplier selection'!G757)</f>
        <v/>
      </c>
      <c r="H757" s="19" t="str">
        <f>IF('Supplier selection'!H757="","",'Supplier selection'!H757)</f>
        <v/>
      </c>
      <c r="I757" s="19" t="str">
        <f>IF('Supplier selection'!I757="","",'Supplier selection'!I757)</f>
        <v/>
      </c>
      <c r="J757" s="19" t="str">
        <f>IF('Supplier selection'!J757="","",'Supplier selection'!J757)</f>
        <v/>
      </c>
      <c r="K757" s="19" t="str">
        <f>IF('Supplier selection'!K757="","",'Supplier selection'!K757)</f>
        <v/>
      </c>
      <c r="L757" s="19" t="str">
        <f>IF('Supplier selection'!L757="","",'Supplier selection'!L757)</f>
        <v/>
      </c>
      <c r="M757" s="19" t="str">
        <f>IF('Supplier selection'!M757="","",'Supplier selection'!M757)</f>
        <v/>
      </c>
      <c r="N757" s="19" t="str">
        <f>IF('Supplier selection'!N757="","",'Supplier selection'!N757)</f>
        <v/>
      </c>
      <c r="O757" s="19" t="str">
        <f>IF('Supplier selection'!O757="","",'Supplier selection'!O757)</f>
        <v/>
      </c>
      <c r="Q757" s="19" t="str">
        <f>HLOOKUP($Q$3,'Supplier selection'!$AW$4:'Supplier selection'!$CT$1000,$A758,FALSE)</f>
        <v/>
      </c>
      <c r="R757" s="22" t="str">
        <f t="shared" si="121"/>
        <v/>
      </c>
      <c r="S757" s="19" t="str">
        <f t="shared" si="122"/>
        <v/>
      </c>
      <c r="T757" s="22" t="str">
        <f t="shared" si="123"/>
        <v/>
      </c>
      <c r="U757" s="19" t="str">
        <f t="shared" si="124"/>
        <v/>
      </c>
      <c r="V757" s="7"/>
      <c r="Y757" s="19" t="str">
        <f>IF('Supplier selection'!AQ757="","",'Supplier selection'!AQ757)</f>
        <v/>
      </c>
      <c r="Z757" s="19" t="str">
        <f>IF('Supplier selection'!AR757="","",'Supplier selection'!AR757)</f>
        <v/>
      </c>
      <c r="AA757" s="19" t="str">
        <f t="shared" si="125"/>
        <v/>
      </c>
      <c r="AD757" s="26" t="str">
        <f>IF(AND('Supplier selection'!X757="",'Supplier selection'!AE757=""),"",IF('Supplier selection'!X757="",'Supplier selection'!AE757,'Supplier selection'!X757))</f>
        <v/>
      </c>
      <c r="AE757" s="19" t="str">
        <f t="shared" si="126"/>
        <v/>
      </c>
      <c r="AF757" s="19" t="str">
        <f t="shared" si="127"/>
        <v/>
      </c>
      <c r="AG757" s="27" t="str">
        <f>IF(AND('Supplier selection'!AB757="",'Supplier selection'!AI757=""),"",IF('Supplier selection'!AB757="",'Supplier selection'!AI757,'Supplier selection'!AB757))</f>
        <v/>
      </c>
      <c r="AH757" s="28" t="str">
        <f t="shared" si="128"/>
        <v/>
      </c>
      <c r="AI757" s="7" t="str">
        <f t="shared" si="129"/>
        <v/>
      </c>
      <c r="AJ757" s="22" t="str">
        <f t="shared" si="130"/>
        <v/>
      </c>
      <c r="AK757" s="29" t="str">
        <f t="shared" si="131"/>
        <v/>
      </c>
      <c r="AL757" s="10"/>
    </row>
    <row r="758" spans="1:38">
      <c r="A758" s="19">
        <f>IF('Supplier selection'!A758="","",'Supplier selection'!A758)</f>
        <v>754</v>
      </c>
      <c r="B758" s="19" t="str">
        <f>IF('Supplier selection'!B758="","",'Supplier selection'!B758)</f>
        <v/>
      </c>
      <c r="C758" s="19" t="str">
        <f>IF('Supplier selection'!C758="","",'Supplier selection'!C758)</f>
        <v/>
      </c>
      <c r="D758" s="19" t="str">
        <f>IF('Supplier selection'!D758="","",'Supplier selection'!D758)</f>
        <v/>
      </c>
      <c r="E758" s="19" t="str">
        <f>IF('Supplier selection'!E758="","",'Supplier selection'!E758)</f>
        <v/>
      </c>
      <c r="F758" s="19" t="str">
        <f>IF('Supplier selection'!F758="","",'Supplier selection'!F758)</f>
        <v/>
      </c>
      <c r="G758" s="19" t="str">
        <f>IF('Supplier selection'!G758="","",'Supplier selection'!G758)</f>
        <v/>
      </c>
      <c r="H758" s="19" t="str">
        <f>IF('Supplier selection'!H758="","",'Supplier selection'!H758)</f>
        <v/>
      </c>
      <c r="I758" s="19" t="str">
        <f>IF('Supplier selection'!I758="","",'Supplier selection'!I758)</f>
        <v/>
      </c>
      <c r="J758" s="19" t="str">
        <f>IF('Supplier selection'!J758="","",'Supplier selection'!J758)</f>
        <v/>
      </c>
      <c r="K758" s="19" t="str">
        <f>IF('Supplier selection'!K758="","",'Supplier selection'!K758)</f>
        <v/>
      </c>
      <c r="L758" s="19" t="str">
        <f>IF('Supplier selection'!L758="","",'Supplier selection'!L758)</f>
        <v/>
      </c>
      <c r="M758" s="19" t="str">
        <f>IF('Supplier selection'!M758="","",'Supplier selection'!M758)</f>
        <v/>
      </c>
      <c r="N758" s="19" t="str">
        <f>IF('Supplier selection'!N758="","",'Supplier selection'!N758)</f>
        <v/>
      </c>
      <c r="O758" s="19" t="str">
        <f>IF('Supplier selection'!O758="","",'Supplier selection'!O758)</f>
        <v/>
      </c>
      <c r="Q758" s="19" t="str">
        <f>HLOOKUP($Q$3,'Supplier selection'!$AW$4:'Supplier selection'!$CT$1000,$A759,FALSE)</f>
        <v/>
      </c>
      <c r="R758" s="22" t="str">
        <f t="shared" si="121"/>
        <v/>
      </c>
      <c r="S758" s="19" t="str">
        <f t="shared" si="122"/>
        <v/>
      </c>
      <c r="T758" s="22" t="str">
        <f t="shared" si="123"/>
        <v/>
      </c>
      <c r="U758" s="19" t="str">
        <f t="shared" si="124"/>
        <v/>
      </c>
      <c r="V758" s="7"/>
      <c r="Y758" s="19" t="str">
        <f>IF('Supplier selection'!AQ758="","",'Supplier selection'!AQ758)</f>
        <v/>
      </c>
      <c r="Z758" s="19" t="str">
        <f>IF('Supplier selection'!AR758="","",'Supplier selection'!AR758)</f>
        <v/>
      </c>
      <c r="AA758" s="19" t="str">
        <f t="shared" si="125"/>
        <v/>
      </c>
      <c r="AD758" s="26" t="str">
        <f>IF(AND('Supplier selection'!X758="",'Supplier selection'!AE758=""),"",IF('Supplier selection'!X758="",'Supplier selection'!AE758,'Supplier selection'!X758))</f>
        <v/>
      </c>
      <c r="AE758" s="19" t="str">
        <f t="shared" si="126"/>
        <v/>
      </c>
      <c r="AF758" s="19" t="str">
        <f t="shared" si="127"/>
        <v/>
      </c>
      <c r="AG758" s="27" t="str">
        <f>IF(AND('Supplier selection'!AB758="",'Supplier selection'!AI758=""),"",IF('Supplier selection'!AB758="",'Supplier selection'!AI758,'Supplier selection'!AB758))</f>
        <v/>
      </c>
      <c r="AH758" s="28" t="str">
        <f t="shared" si="128"/>
        <v/>
      </c>
      <c r="AI758" s="7" t="str">
        <f t="shared" si="129"/>
        <v/>
      </c>
      <c r="AJ758" s="22" t="str">
        <f t="shared" si="130"/>
        <v/>
      </c>
      <c r="AK758" s="29" t="str">
        <f t="shared" si="131"/>
        <v/>
      </c>
      <c r="AL758" s="10"/>
    </row>
    <row r="759" spans="1:38">
      <c r="A759" s="19">
        <f>IF('Supplier selection'!A759="","",'Supplier selection'!A759)</f>
        <v>755</v>
      </c>
      <c r="B759" s="19" t="str">
        <f>IF('Supplier selection'!B759="","",'Supplier selection'!B759)</f>
        <v/>
      </c>
      <c r="C759" s="19" t="str">
        <f>IF('Supplier selection'!C759="","",'Supplier selection'!C759)</f>
        <v/>
      </c>
      <c r="D759" s="19" t="str">
        <f>IF('Supplier selection'!D759="","",'Supplier selection'!D759)</f>
        <v/>
      </c>
      <c r="E759" s="19" t="str">
        <f>IF('Supplier selection'!E759="","",'Supplier selection'!E759)</f>
        <v/>
      </c>
      <c r="F759" s="19" t="str">
        <f>IF('Supplier selection'!F759="","",'Supplier selection'!F759)</f>
        <v/>
      </c>
      <c r="G759" s="19" t="str">
        <f>IF('Supplier selection'!G759="","",'Supplier selection'!G759)</f>
        <v/>
      </c>
      <c r="H759" s="19" t="str">
        <f>IF('Supplier selection'!H759="","",'Supplier selection'!H759)</f>
        <v/>
      </c>
      <c r="I759" s="19" t="str">
        <f>IF('Supplier selection'!I759="","",'Supplier selection'!I759)</f>
        <v/>
      </c>
      <c r="J759" s="19" t="str">
        <f>IF('Supplier selection'!J759="","",'Supplier selection'!J759)</f>
        <v/>
      </c>
      <c r="K759" s="19" t="str">
        <f>IF('Supplier selection'!K759="","",'Supplier selection'!K759)</f>
        <v/>
      </c>
      <c r="L759" s="19" t="str">
        <f>IF('Supplier selection'!L759="","",'Supplier selection'!L759)</f>
        <v/>
      </c>
      <c r="M759" s="19" t="str">
        <f>IF('Supplier selection'!M759="","",'Supplier selection'!M759)</f>
        <v/>
      </c>
      <c r="N759" s="19" t="str">
        <f>IF('Supplier selection'!N759="","",'Supplier selection'!N759)</f>
        <v/>
      </c>
      <c r="O759" s="19" t="str">
        <f>IF('Supplier selection'!O759="","",'Supplier selection'!O759)</f>
        <v/>
      </c>
      <c r="Q759" s="19" t="str">
        <f>HLOOKUP($Q$3,'Supplier selection'!$AW$4:'Supplier selection'!$CT$1000,$A760,FALSE)</f>
        <v/>
      </c>
      <c r="R759" s="22" t="str">
        <f t="shared" si="121"/>
        <v/>
      </c>
      <c r="S759" s="19" t="str">
        <f t="shared" si="122"/>
        <v/>
      </c>
      <c r="T759" s="22" t="str">
        <f t="shared" si="123"/>
        <v/>
      </c>
      <c r="U759" s="19" t="str">
        <f t="shared" si="124"/>
        <v/>
      </c>
      <c r="V759" s="7"/>
      <c r="Y759" s="19" t="str">
        <f>IF('Supplier selection'!AQ759="","",'Supplier selection'!AQ759)</f>
        <v/>
      </c>
      <c r="Z759" s="19" t="str">
        <f>IF('Supplier selection'!AR759="","",'Supplier selection'!AR759)</f>
        <v/>
      </c>
      <c r="AA759" s="19" t="str">
        <f t="shared" si="125"/>
        <v/>
      </c>
      <c r="AD759" s="26" t="str">
        <f>IF(AND('Supplier selection'!X759="",'Supplier selection'!AE759=""),"",IF('Supplier selection'!X759="",'Supplier selection'!AE759,'Supplier selection'!X759))</f>
        <v/>
      </c>
      <c r="AE759" s="19" t="str">
        <f t="shared" si="126"/>
        <v/>
      </c>
      <c r="AF759" s="19" t="str">
        <f t="shared" si="127"/>
        <v/>
      </c>
      <c r="AG759" s="27" t="str">
        <f>IF(AND('Supplier selection'!AB759="",'Supplier selection'!AI759=""),"",IF('Supplier selection'!AB759="",'Supplier selection'!AI759,'Supplier selection'!AB759))</f>
        <v/>
      </c>
      <c r="AH759" s="28" t="str">
        <f t="shared" si="128"/>
        <v/>
      </c>
      <c r="AI759" s="7" t="str">
        <f t="shared" si="129"/>
        <v/>
      </c>
      <c r="AJ759" s="22" t="str">
        <f t="shared" si="130"/>
        <v/>
      </c>
      <c r="AK759" s="29" t="str">
        <f t="shared" si="131"/>
        <v/>
      </c>
      <c r="AL759" s="10"/>
    </row>
    <row r="760" spans="1:38">
      <c r="A760" s="19">
        <f>IF('Supplier selection'!A760="","",'Supplier selection'!A760)</f>
        <v>756</v>
      </c>
      <c r="B760" s="19" t="str">
        <f>IF('Supplier selection'!B760="","",'Supplier selection'!B760)</f>
        <v/>
      </c>
      <c r="C760" s="19" t="str">
        <f>IF('Supplier selection'!C760="","",'Supplier selection'!C760)</f>
        <v/>
      </c>
      <c r="D760" s="19" t="str">
        <f>IF('Supplier selection'!D760="","",'Supplier selection'!D760)</f>
        <v/>
      </c>
      <c r="E760" s="19" t="str">
        <f>IF('Supplier selection'!E760="","",'Supplier selection'!E760)</f>
        <v/>
      </c>
      <c r="F760" s="19" t="str">
        <f>IF('Supplier selection'!F760="","",'Supplier selection'!F760)</f>
        <v/>
      </c>
      <c r="G760" s="19" t="str">
        <f>IF('Supplier selection'!G760="","",'Supplier selection'!G760)</f>
        <v/>
      </c>
      <c r="H760" s="19" t="str">
        <f>IF('Supplier selection'!H760="","",'Supplier selection'!H760)</f>
        <v/>
      </c>
      <c r="I760" s="19" t="str">
        <f>IF('Supplier selection'!I760="","",'Supplier selection'!I760)</f>
        <v/>
      </c>
      <c r="J760" s="19" t="str">
        <f>IF('Supplier selection'!J760="","",'Supplier selection'!J760)</f>
        <v/>
      </c>
      <c r="K760" s="19" t="str">
        <f>IF('Supplier selection'!K760="","",'Supplier selection'!K760)</f>
        <v/>
      </c>
      <c r="L760" s="19" t="str">
        <f>IF('Supplier selection'!L760="","",'Supplier selection'!L760)</f>
        <v/>
      </c>
      <c r="M760" s="19" t="str">
        <f>IF('Supplier selection'!M760="","",'Supplier selection'!M760)</f>
        <v/>
      </c>
      <c r="N760" s="19" t="str">
        <f>IF('Supplier selection'!N760="","",'Supplier selection'!N760)</f>
        <v/>
      </c>
      <c r="O760" s="19" t="str">
        <f>IF('Supplier selection'!O760="","",'Supplier selection'!O760)</f>
        <v/>
      </c>
      <c r="Q760" s="19" t="str">
        <f>HLOOKUP($Q$3,'Supplier selection'!$AW$4:'Supplier selection'!$CT$1000,$A761,FALSE)</f>
        <v/>
      </c>
      <c r="R760" s="22" t="str">
        <f t="shared" si="121"/>
        <v/>
      </c>
      <c r="S760" s="19" t="str">
        <f t="shared" si="122"/>
        <v/>
      </c>
      <c r="T760" s="22" t="str">
        <f t="shared" si="123"/>
        <v/>
      </c>
      <c r="U760" s="19" t="str">
        <f t="shared" si="124"/>
        <v/>
      </c>
      <c r="V760" s="7"/>
      <c r="Y760" s="19" t="str">
        <f>IF('Supplier selection'!AQ760="","",'Supplier selection'!AQ760)</f>
        <v/>
      </c>
      <c r="Z760" s="19" t="str">
        <f>IF('Supplier selection'!AR760="","",'Supplier selection'!AR760)</f>
        <v/>
      </c>
      <c r="AA760" s="19" t="str">
        <f t="shared" si="125"/>
        <v/>
      </c>
      <c r="AD760" s="26" t="str">
        <f>IF(AND('Supplier selection'!X760="",'Supplier selection'!AE760=""),"",IF('Supplier selection'!X760="",'Supplier selection'!AE760,'Supplier selection'!X760))</f>
        <v/>
      </c>
      <c r="AE760" s="19" t="str">
        <f t="shared" si="126"/>
        <v/>
      </c>
      <c r="AF760" s="19" t="str">
        <f t="shared" si="127"/>
        <v/>
      </c>
      <c r="AG760" s="27" t="str">
        <f>IF(AND('Supplier selection'!AB760="",'Supplier selection'!AI760=""),"",IF('Supplier selection'!AB760="",'Supplier selection'!AI760,'Supplier selection'!AB760))</f>
        <v/>
      </c>
      <c r="AH760" s="28" t="str">
        <f t="shared" si="128"/>
        <v/>
      </c>
      <c r="AI760" s="7" t="str">
        <f t="shared" si="129"/>
        <v/>
      </c>
      <c r="AJ760" s="22" t="str">
        <f t="shared" si="130"/>
        <v/>
      </c>
      <c r="AK760" s="29" t="str">
        <f t="shared" si="131"/>
        <v/>
      </c>
      <c r="AL760" s="10"/>
    </row>
    <row r="761" spans="1:38">
      <c r="A761" s="19">
        <f>IF('Supplier selection'!A761="","",'Supplier selection'!A761)</f>
        <v>757</v>
      </c>
      <c r="B761" s="19" t="str">
        <f>IF('Supplier selection'!B761="","",'Supplier selection'!B761)</f>
        <v/>
      </c>
      <c r="C761" s="19" t="str">
        <f>IF('Supplier selection'!C761="","",'Supplier selection'!C761)</f>
        <v/>
      </c>
      <c r="D761" s="19" t="str">
        <f>IF('Supplier selection'!D761="","",'Supplier selection'!D761)</f>
        <v/>
      </c>
      <c r="E761" s="19" t="str">
        <f>IF('Supplier selection'!E761="","",'Supplier selection'!E761)</f>
        <v/>
      </c>
      <c r="F761" s="19" t="str">
        <f>IF('Supplier selection'!F761="","",'Supplier selection'!F761)</f>
        <v/>
      </c>
      <c r="G761" s="19" t="str">
        <f>IF('Supplier selection'!G761="","",'Supplier selection'!G761)</f>
        <v/>
      </c>
      <c r="H761" s="19" t="str">
        <f>IF('Supplier selection'!H761="","",'Supplier selection'!H761)</f>
        <v/>
      </c>
      <c r="I761" s="19" t="str">
        <f>IF('Supplier selection'!I761="","",'Supplier selection'!I761)</f>
        <v/>
      </c>
      <c r="J761" s="19" t="str">
        <f>IF('Supplier selection'!J761="","",'Supplier selection'!J761)</f>
        <v/>
      </c>
      <c r="K761" s="19" t="str">
        <f>IF('Supplier selection'!K761="","",'Supplier selection'!K761)</f>
        <v/>
      </c>
      <c r="L761" s="19" t="str">
        <f>IF('Supplier selection'!L761="","",'Supplier selection'!L761)</f>
        <v/>
      </c>
      <c r="M761" s="19" t="str">
        <f>IF('Supplier selection'!M761="","",'Supplier selection'!M761)</f>
        <v/>
      </c>
      <c r="N761" s="19" t="str">
        <f>IF('Supplier selection'!N761="","",'Supplier selection'!N761)</f>
        <v/>
      </c>
      <c r="O761" s="19" t="str">
        <f>IF('Supplier selection'!O761="","",'Supplier selection'!O761)</f>
        <v/>
      </c>
      <c r="Q761" s="19" t="str">
        <f>HLOOKUP($Q$3,'Supplier selection'!$AW$4:'Supplier selection'!$CT$1000,$A762,FALSE)</f>
        <v/>
      </c>
      <c r="R761" s="22" t="str">
        <f t="shared" si="121"/>
        <v/>
      </c>
      <c r="S761" s="19" t="str">
        <f t="shared" si="122"/>
        <v/>
      </c>
      <c r="T761" s="22" t="str">
        <f t="shared" si="123"/>
        <v/>
      </c>
      <c r="U761" s="19" t="str">
        <f t="shared" si="124"/>
        <v/>
      </c>
      <c r="V761" s="7"/>
      <c r="Y761" s="19" t="str">
        <f>IF('Supplier selection'!AQ761="","",'Supplier selection'!AQ761)</f>
        <v/>
      </c>
      <c r="Z761" s="19" t="str">
        <f>IF('Supplier selection'!AR761="","",'Supplier selection'!AR761)</f>
        <v/>
      </c>
      <c r="AA761" s="19" t="str">
        <f t="shared" si="125"/>
        <v/>
      </c>
      <c r="AD761" s="26" t="str">
        <f>IF(AND('Supplier selection'!X761="",'Supplier selection'!AE761=""),"",IF('Supplier selection'!X761="",'Supplier selection'!AE761,'Supplier selection'!X761))</f>
        <v/>
      </c>
      <c r="AE761" s="19" t="str">
        <f t="shared" si="126"/>
        <v/>
      </c>
      <c r="AF761" s="19" t="str">
        <f t="shared" si="127"/>
        <v/>
      </c>
      <c r="AG761" s="27" t="str">
        <f>IF(AND('Supplier selection'!AB761="",'Supplier selection'!AI761=""),"",IF('Supplier selection'!AB761="",'Supplier selection'!AI761,'Supplier selection'!AB761))</f>
        <v/>
      </c>
      <c r="AH761" s="28" t="str">
        <f t="shared" si="128"/>
        <v/>
      </c>
      <c r="AI761" s="7" t="str">
        <f t="shared" si="129"/>
        <v/>
      </c>
      <c r="AJ761" s="22" t="str">
        <f t="shared" si="130"/>
        <v/>
      </c>
      <c r="AK761" s="29" t="str">
        <f t="shared" si="131"/>
        <v/>
      </c>
      <c r="AL761" s="10"/>
    </row>
    <row r="762" spans="1:38">
      <c r="A762" s="19">
        <f>IF('Supplier selection'!A762="","",'Supplier selection'!A762)</f>
        <v>758</v>
      </c>
      <c r="B762" s="19" t="str">
        <f>IF('Supplier selection'!B762="","",'Supplier selection'!B762)</f>
        <v/>
      </c>
      <c r="C762" s="19" t="str">
        <f>IF('Supplier selection'!C762="","",'Supplier selection'!C762)</f>
        <v/>
      </c>
      <c r="D762" s="19" t="str">
        <f>IF('Supplier selection'!D762="","",'Supplier selection'!D762)</f>
        <v/>
      </c>
      <c r="E762" s="19" t="str">
        <f>IF('Supplier selection'!E762="","",'Supplier selection'!E762)</f>
        <v/>
      </c>
      <c r="F762" s="19" t="str">
        <f>IF('Supplier selection'!F762="","",'Supplier selection'!F762)</f>
        <v/>
      </c>
      <c r="G762" s="19" t="str">
        <f>IF('Supplier selection'!G762="","",'Supplier selection'!G762)</f>
        <v/>
      </c>
      <c r="H762" s="19" t="str">
        <f>IF('Supplier selection'!H762="","",'Supplier selection'!H762)</f>
        <v/>
      </c>
      <c r="I762" s="19" t="str">
        <f>IF('Supplier selection'!I762="","",'Supplier selection'!I762)</f>
        <v/>
      </c>
      <c r="J762" s="19" t="str">
        <f>IF('Supplier selection'!J762="","",'Supplier selection'!J762)</f>
        <v/>
      </c>
      <c r="K762" s="19" t="str">
        <f>IF('Supplier selection'!K762="","",'Supplier selection'!K762)</f>
        <v/>
      </c>
      <c r="L762" s="19" t="str">
        <f>IF('Supplier selection'!L762="","",'Supplier selection'!L762)</f>
        <v/>
      </c>
      <c r="M762" s="19" t="str">
        <f>IF('Supplier selection'!M762="","",'Supplier selection'!M762)</f>
        <v/>
      </c>
      <c r="N762" s="19" t="str">
        <f>IF('Supplier selection'!N762="","",'Supplier selection'!N762)</f>
        <v/>
      </c>
      <c r="O762" s="19" t="str">
        <f>IF('Supplier selection'!O762="","",'Supplier selection'!O762)</f>
        <v/>
      </c>
      <c r="Q762" s="19" t="str">
        <f>HLOOKUP($Q$3,'Supplier selection'!$AW$4:'Supplier selection'!$CT$1000,$A763,FALSE)</f>
        <v/>
      </c>
      <c r="R762" s="22" t="str">
        <f t="shared" si="121"/>
        <v/>
      </c>
      <c r="S762" s="19" t="str">
        <f t="shared" si="122"/>
        <v/>
      </c>
      <c r="T762" s="22" t="str">
        <f t="shared" si="123"/>
        <v/>
      </c>
      <c r="U762" s="19" t="str">
        <f t="shared" si="124"/>
        <v/>
      </c>
      <c r="V762" s="7"/>
      <c r="Y762" s="19" t="str">
        <f>IF('Supplier selection'!AQ762="","",'Supplier selection'!AQ762)</f>
        <v/>
      </c>
      <c r="Z762" s="19" t="str">
        <f>IF('Supplier selection'!AR762="","",'Supplier selection'!AR762)</f>
        <v/>
      </c>
      <c r="AA762" s="19" t="str">
        <f t="shared" si="125"/>
        <v/>
      </c>
      <c r="AD762" s="26" t="str">
        <f>IF(AND('Supplier selection'!X762="",'Supplier selection'!AE762=""),"",IF('Supplier selection'!X762="",'Supplier selection'!AE762,'Supplier selection'!X762))</f>
        <v/>
      </c>
      <c r="AE762" s="19" t="str">
        <f t="shared" si="126"/>
        <v/>
      </c>
      <c r="AF762" s="19" t="str">
        <f t="shared" si="127"/>
        <v/>
      </c>
      <c r="AG762" s="27" t="str">
        <f>IF(AND('Supplier selection'!AB762="",'Supplier selection'!AI762=""),"",IF('Supplier selection'!AB762="",'Supplier selection'!AI762,'Supplier selection'!AB762))</f>
        <v/>
      </c>
      <c r="AH762" s="28" t="str">
        <f t="shared" si="128"/>
        <v/>
      </c>
      <c r="AI762" s="7" t="str">
        <f t="shared" si="129"/>
        <v/>
      </c>
      <c r="AJ762" s="22" t="str">
        <f t="shared" si="130"/>
        <v/>
      </c>
      <c r="AK762" s="29" t="str">
        <f t="shared" si="131"/>
        <v/>
      </c>
      <c r="AL762" s="10"/>
    </row>
    <row r="763" spans="1:38">
      <c r="A763" s="19">
        <f>IF('Supplier selection'!A763="","",'Supplier selection'!A763)</f>
        <v>759</v>
      </c>
      <c r="B763" s="19" t="str">
        <f>IF('Supplier selection'!B763="","",'Supplier selection'!B763)</f>
        <v/>
      </c>
      <c r="C763" s="19" t="str">
        <f>IF('Supplier selection'!C763="","",'Supplier selection'!C763)</f>
        <v/>
      </c>
      <c r="D763" s="19" t="str">
        <f>IF('Supplier selection'!D763="","",'Supplier selection'!D763)</f>
        <v/>
      </c>
      <c r="E763" s="19" t="str">
        <f>IF('Supplier selection'!E763="","",'Supplier selection'!E763)</f>
        <v/>
      </c>
      <c r="F763" s="19" t="str">
        <f>IF('Supplier selection'!F763="","",'Supplier selection'!F763)</f>
        <v/>
      </c>
      <c r="G763" s="19" t="str">
        <f>IF('Supplier selection'!G763="","",'Supplier selection'!G763)</f>
        <v/>
      </c>
      <c r="H763" s="19" t="str">
        <f>IF('Supplier selection'!H763="","",'Supplier selection'!H763)</f>
        <v/>
      </c>
      <c r="I763" s="19" t="str">
        <f>IF('Supplier selection'!I763="","",'Supplier selection'!I763)</f>
        <v/>
      </c>
      <c r="J763" s="19" t="str">
        <f>IF('Supplier selection'!J763="","",'Supplier selection'!J763)</f>
        <v/>
      </c>
      <c r="K763" s="19" t="str">
        <f>IF('Supplier selection'!K763="","",'Supplier selection'!K763)</f>
        <v/>
      </c>
      <c r="L763" s="19" t="str">
        <f>IF('Supplier selection'!L763="","",'Supplier selection'!L763)</f>
        <v/>
      </c>
      <c r="M763" s="19" t="str">
        <f>IF('Supplier selection'!M763="","",'Supplier selection'!M763)</f>
        <v/>
      </c>
      <c r="N763" s="19" t="str">
        <f>IF('Supplier selection'!N763="","",'Supplier selection'!N763)</f>
        <v/>
      </c>
      <c r="O763" s="19" t="str">
        <f>IF('Supplier selection'!O763="","",'Supplier selection'!O763)</f>
        <v/>
      </c>
      <c r="Q763" s="19" t="str">
        <f>HLOOKUP($Q$3,'Supplier selection'!$AW$4:'Supplier selection'!$CT$1000,$A764,FALSE)</f>
        <v/>
      </c>
      <c r="R763" s="22" t="str">
        <f t="shared" si="121"/>
        <v/>
      </c>
      <c r="S763" s="19" t="str">
        <f t="shared" si="122"/>
        <v/>
      </c>
      <c r="T763" s="22" t="str">
        <f t="shared" si="123"/>
        <v/>
      </c>
      <c r="U763" s="19" t="str">
        <f t="shared" si="124"/>
        <v/>
      </c>
      <c r="V763" s="7"/>
      <c r="Y763" s="19" t="str">
        <f>IF('Supplier selection'!AQ763="","",'Supplier selection'!AQ763)</f>
        <v/>
      </c>
      <c r="Z763" s="19" t="str">
        <f>IF('Supplier selection'!AR763="","",'Supplier selection'!AR763)</f>
        <v/>
      </c>
      <c r="AA763" s="19" t="str">
        <f t="shared" si="125"/>
        <v/>
      </c>
      <c r="AD763" s="26" t="str">
        <f>IF(AND('Supplier selection'!X763="",'Supplier selection'!AE763=""),"",IF('Supplier selection'!X763="",'Supplier selection'!AE763,'Supplier selection'!X763))</f>
        <v/>
      </c>
      <c r="AE763" s="19" t="str">
        <f t="shared" si="126"/>
        <v/>
      </c>
      <c r="AF763" s="19" t="str">
        <f t="shared" si="127"/>
        <v/>
      </c>
      <c r="AG763" s="27" t="str">
        <f>IF(AND('Supplier selection'!AB763="",'Supplier selection'!AI763=""),"",IF('Supplier selection'!AB763="",'Supplier selection'!AI763,'Supplier selection'!AB763))</f>
        <v/>
      </c>
      <c r="AH763" s="28" t="str">
        <f t="shared" si="128"/>
        <v/>
      </c>
      <c r="AI763" s="7" t="str">
        <f t="shared" si="129"/>
        <v/>
      </c>
      <c r="AJ763" s="22" t="str">
        <f t="shared" si="130"/>
        <v/>
      </c>
      <c r="AK763" s="29" t="str">
        <f t="shared" si="131"/>
        <v/>
      </c>
      <c r="AL763" s="10"/>
    </row>
    <row r="764" spans="1:38">
      <c r="A764" s="19">
        <f>IF('Supplier selection'!A764="","",'Supplier selection'!A764)</f>
        <v>760</v>
      </c>
      <c r="B764" s="19" t="str">
        <f>IF('Supplier selection'!B764="","",'Supplier selection'!B764)</f>
        <v/>
      </c>
      <c r="C764" s="19" t="str">
        <f>IF('Supplier selection'!C764="","",'Supplier selection'!C764)</f>
        <v/>
      </c>
      <c r="D764" s="19" t="str">
        <f>IF('Supplier selection'!D764="","",'Supplier selection'!D764)</f>
        <v/>
      </c>
      <c r="E764" s="19" t="str">
        <f>IF('Supplier selection'!E764="","",'Supplier selection'!E764)</f>
        <v/>
      </c>
      <c r="F764" s="19" t="str">
        <f>IF('Supplier selection'!F764="","",'Supplier selection'!F764)</f>
        <v/>
      </c>
      <c r="G764" s="19" t="str">
        <f>IF('Supplier selection'!G764="","",'Supplier selection'!G764)</f>
        <v/>
      </c>
      <c r="H764" s="19" t="str">
        <f>IF('Supplier selection'!H764="","",'Supplier selection'!H764)</f>
        <v/>
      </c>
      <c r="I764" s="19" t="str">
        <f>IF('Supplier selection'!I764="","",'Supplier selection'!I764)</f>
        <v/>
      </c>
      <c r="J764" s="19" t="str">
        <f>IF('Supplier selection'!J764="","",'Supplier selection'!J764)</f>
        <v/>
      </c>
      <c r="K764" s="19" t="str">
        <f>IF('Supplier selection'!K764="","",'Supplier selection'!K764)</f>
        <v/>
      </c>
      <c r="L764" s="19" t="str">
        <f>IF('Supplier selection'!L764="","",'Supplier selection'!L764)</f>
        <v/>
      </c>
      <c r="M764" s="19" t="str">
        <f>IF('Supplier selection'!M764="","",'Supplier selection'!M764)</f>
        <v/>
      </c>
      <c r="N764" s="19" t="str">
        <f>IF('Supplier selection'!N764="","",'Supplier selection'!N764)</f>
        <v/>
      </c>
      <c r="O764" s="19" t="str">
        <f>IF('Supplier selection'!O764="","",'Supplier selection'!O764)</f>
        <v/>
      </c>
      <c r="Q764" s="19" t="str">
        <f>HLOOKUP($Q$3,'Supplier selection'!$AW$4:'Supplier selection'!$CT$1000,$A765,FALSE)</f>
        <v/>
      </c>
      <c r="R764" s="22" t="str">
        <f t="shared" si="121"/>
        <v/>
      </c>
      <c r="S764" s="19" t="str">
        <f t="shared" si="122"/>
        <v/>
      </c>
      <c r="T764" s="22" t="str">
        <f t="shared" si="123"/>
        <v/>
      </c>
      <c r="U764" s="19" t="str">
        <f t="shared" si="124"/>
        <v/>
      </c>
      <c r="V764" s="7"/>
      <c r="Y764" s="19" t="str">
        <f>IF('Supplier selection'!AQ764="","",'Supplier selection'!AQ764)</f>
        <v/>
      </c>
      <c r="Z764" s="19" t="str">
        <f>IF('Supplier selection'!AR764="","",'Supplier selection'!AR764)</f>
        <v/>
      </c>
      <c r="AA764" s="19" t="str">
        <f t="shared" si="125"/>
        <v/>
      </c>
      <c r="AD764" s="26" t="str">
        <f>IF(AND('Supplier selection'!X764="",'Supplier selection'!AE764=""),"",IF('Supplier selection'!X764="",'Supplier selection'!AE764,'Supplier selection'!X764))</f>
        <v/>
      </c>
      <c r="AE764" s="19" t="str">
        <f t="shared" si="126"/>
        <v/>
      </c>
      <c r="AF764" s="19" t="str">
        <f t="shared" si="127"/>
        <v/>
      </c>
      <c r="AG764" s="27" t="str">
        <f>IF(AND('Supplier selection'!AB764="",'Supplier selection'!AI764=""),"",IF('Supplier selection'!AB764="",'Supplier selection'!AI764,'Supplier selection'!AB764))</f>
        <v/>
      </c>
      <c r="AH764" s="28" t="str">
        <f t="shared" si="128"/>
        <v/>
      </c>
      <c r="AI764" s="7" t="str">
        <f t="shared" si="129"/>
        <v/>
      </c>
      <c r="AJ764" s="22" t="str">
        <f t="shared" si="130"/>
        <v/>
      </c>
      <c r="AK764" s="29" t="str">
        <f t="shared" si="131"/>
        <v/>
      </c>
      <c r="AL764" s="10"/>
    </row>
    <row r="765" spans="1:38">
      <c r="A765" s="19">
        <f>IF('Supplier selection'!A765="","",'Supplier selection'!A765)</f>
        <v>761</v>
      </c>
      <c r="B765" s="19" t="str">
        <f>IF('Supplier selection'!B765="","",'Supplier selection'!B765)</f>
        <v/>
      </c>
      <c r="C765" s="19" t="str">
        <f>IF('Supplier selection'!C765="","",'Supplier selection'!C765)</f>
        <v/>
      </c>
      <c r="D765" s="19" t="str">
        <f>IF('Supplier selection'!D765="","",'Supplier selection'!D765)</f>
        <v/>
      </c>
      <c r="E765" s="19" t="str">
        <f>IF('Supplier selection'!E765="","",'Supplier selection'!E765)</f>
        <v/>
      </c>
      <c r="F765" s="19" t="str">
        <f>IF('Supplier selection'!F765="","",'Supplier selection'!F765)</f>
        <v/>
      </c>
      <c r="G765" s="19" t="str">
        <f>IF('Supplier selection'!G765="","",'Supplier selection'!G765)</f>
        <v/>
      </c>
      <c r="H765" s="19" t="str">
        <f>IF('Supplier selection'!H765="","",'Supplier selection'!H765)</f>
        <v/>
      </c>
      <c r="I765" s="19" t="str">
        <f>IF('Supplier selection'!I765="","",'Supplier selection'!I765)</f>
        <v/>
      </c>
      <c r="J765" s="19" t="str">
        <f>IF('Supplier selection'!J765="","",'Supplier selection'!J765)</f>
        <v/>
      </c>
      <c r="K765" s="19" t="str">
        <f>IF('Supplier selection'!K765="","",'Supplier selection'!K765)</f>
        <v/>
      </c>
      <c r="L765" s="19" t="str">
        <f>IF('Supplier selection'!L765="","",'Supplier selection'!L765)</f>
        <v/>
      </c>
      <c r="M765" s="19" t="str">
        <f>IF('Supplier selection'!M765="","",'Supplier selection'!M765)</f>
        <v/>
      </c>
      <c r="N765" s="19" t="str">
        <f>IF('Supplier selection'!N765="","",'Supplier selection'!N765)</f>
        <v/>
      </c>
      <c r="O765" s="19" t="str">
        <f>IF('Supplier selection'!O765="","",'Supplier selection'!O765)</f>
        <v/>
      </c>
      <c r="Q765" s="19" t="str">
        <f>HLOOKUP($Q$3,'Supplier selection'!$AW$4:'Supplier selection'!$CT$1000,$A766,FALSE)</f>
        <v/>
      </c>
      <c r="R765" s="22" t="str">
        <f t="shared" si="121"/>
        <v/>
      </c>
      <c r="S765" s="19" t="str">
        <f t="shared" si="122"/>
        <v/>
      </c>
      <c r="T765" s="22" t="str">
        <f t="shared" si="123"/>
        <v/>
      </c>
      <c r="U765" s="19" t="str">
        <f t="shared" si="124"/>
        <v/>
      </c>
      <c r="V765" s="7"/>
      <c r="Y765" s="19" t="str">
        <f>IF('Supplier selection'!AQ765="","",'Supplier selection'!AQ765)</f>
        <v/>
      </c>
      <c r="Z765" s="19" t="str">
        <f>IF('Supplier selection'!AR765="","",'Supplier selection'!AR765)</f>
        <v/>
      </c>
      <c r="AA765" s="19" t="str">
        <f t="shared" si="125"/>
        <v/>
      </c>
      <c r="AD765" s="26" t="str">
        <f>IF(AND('Supplier selection'!X765="",'Supplier selection'!AE765=""),"",IF('Supplier selection'!X765="",'Supplier selection'!AE765,'Supplier selection'!X765))</f>
        <v/>
      </c>
      <c r="AE765" s="19" t="str">
        <f t="shared" si="126"/>
        <v/>
      </c>
      <c r="AF765" s="19" t="str">
        <f t="shared" si="127"/>
        <v/>
      </c>
      <c r="AG765" s="27" t="str">
        <f>IF(AND('Supplier selection'!AB765="",'Supplier selection'!AI765=""),"",IF('Supplier selection'!AB765="",'Supplier selection'!AI765,'Supplier selection'!AB765))</f>
        <v/>
      </c>
      <c r="AH765" s="28" t="str">
        <f t="shared" si="128"/>
        <v/>
      </c>
      <c r="AI765" s="7" t="str">
        <f t="shared" si="129"/>
        <v/>
      </c>
      <c r="AJ765" s="22" t="str">
        <f t="shared" si="130"/>
        <v/>
      </c>
      <c r="AK765" s="29" t="str">
        <f t="shared" si="131"/>
        <v/>
      </c>
      <c r="AL765" s="10"/>
    </row>
    <row r="766" spans="1:38">
      <c r="A766" s="19">
        <f>IF('Supplier selection'!A766="","",'Supplier selection'!A766)</f>
        <v>762</v>
      </c>
      <c r="B766" s="19" t="str">
        <f>IF('Supplier selection'!B766="","",'Supplier selection'!B766)</f>
        <v/>
      </c>
      <c r="C766" s="19" t="str">
        <f>IF('Supplier selection'!C766="","",'Supplier selection'!C766)</f>
        <v/>
      </c>
      <c r="D766" s="19" t="str">
        <f>IF('Supplier selection'!D766="","",'Supplier selection'!D766)</f>
        <v/>
      </c>
      <c r="E766" s="19" t="str">
        <f>IF('Supplier selection'!E766="","",'Supplier selection'!E766)</f>
        <v/>
      </c>
      <c r="F766" s="19" t="str">
        <f>IF('Supplier selection'!F766="","",'Supplier selection'!F766)</f>
        <v/>
      </c>
      <c r="G766" s="19" t="str">
        <f>IF('Supplier selection'!G766="","",'Supplier selection'!G766)</f>
        <v/>
      </c>
      <c r="H766" s="19" t="str">
        <f>IF('Supplier selection'!H766="","",'Supplier selection'!H766)</f>
        <v/>
      </c>
      <c r="I766" s="19" t="str">
        <f>IF('Supplier selection'!I766="","",'Supplier selection'!I766)</f>
        <v/>
      </c>
      <c r="J766" s="19" t="str">
        <f>IF('Supplier selection'!J766="","",'Supplier selection'!J766)</f>
        <v/>
      </c>
      <c r="K766" s="19" t="str">
        <f>IF('Supplier selection'!K766="","",'Supplier selection'!K766)</f>
        <v/>
      </c>
      <c r="L766" s="19" t="str">
        <f>IF('Supplier selection'!L766="","",'Supplier selection'!L766)</f>
        <v/>
      </c>
      <c r="M766" s="19" t="str">
        <f>IF('Supplier selection'!M766="","",'Supplier selection'!M766)</f>
        <v/>
      </c>
      <c r="N766" s="19" t="str">
        <f>IF('Supplier selection'!N766="","",'Supplier selection'!N766)</f>
        <v/>
      </c>
      <c r="O766" s="19" t="str">
        <f>IF('Supplier selection'!O766="","",'Supplier selection'!O766)</f>
        <v/>
      </c>
      <c r="Q766" s="19" t="str">
        <f>HLOOKUP($Q$3,'Supplier selection'!$AW$4:'Supplier selection'!$CT$1000,$A767,FALSE)</f>
        <v/>
      </c>
      <c r="R766" s="22" t="str">
        <f t="shared" si="121"/>
        <v/>
      </c>
      <c r="S766" s="19" t="str">
        <f t="shared" si="122"/>
        <v/>
      </c>
      <c r="T766" s="22" t="str">
        <f t="shared" si="123"/>
        <v/>
      </c>
      <c r="U766" s="19" t="str">
        <f t="shared" si="124"/>
        <v/>
      </c>
      <c r="V766" s="7"/>
      <c r="Y766" s="19" t="str">
        <f>IF('Supplier selection'!AQ766="","",'Supplier selection'!AQ766)</f>
        <v/>
      </c>
      <c r="Z766" s="19" t="str">
        <f>IF('Supplier selection'!AR766="","",'Supplier selection'!AR766)</f>
        <v/>
      </c>
      <c r="AA766" s="19" t="str">
        <f t="shared" si="125"/>
        <v/>
      </c>
      <c r="AD766" s="26" t="str">
        <f>IF(AND('Supplier selection'!X766="",'Supplier selection'!AE766=""),"",IF('Supplier selection'!X766="",'Supplier selection'!AE766,'Supplier selection'!X766))</f>
        <v/>
      </c>
      <c r="AE766" s="19" t="str">
        <f t="shared" si="126"/>
        <v/>
      </c>
      <c r="AF766" s="19" t="str">
        <f t="shared" si="127"/>
        <v/>
      </c>
      <c r="AG766" s="27" t="str">
        <f>IF(AND('Supplier selection'!AB766="",'Supplier selection'!AI766=""),"",IF('Supplier selection'!AB766="",'Supplier selection'!AI766,'Supplier selection'!AB766))</f>
        <v/>
      </c>
      <c r="AH766" s="28" t="str">
        <f t="shared" si="128"/>
        <v/>
      </c>
      <c r="AI766" s="7" t="str">
        <f t="shared" si="129"/>
        <v/>
      </c>
      <c r="AJ766" s="22" t="str">
        <f t="shared" si="130"/>
        <v/>
      </c>
      <c r="AK766" s="29" t="str">
        <f t="shared" si="131"/>
        <v/>
      </c>
      <c r="AL766" s="10"/>
    </row>
    <row r="767" spans="1:38">
      <c r="A767" s="19">
        <f>IF('Supplier selection'!A767="","",'Supplier selection'!A767)</f>
        <v>763</v>
      </c>
      <c r="B767" s="19" t="str">
        <f>IF('Supplier selection'!B767="","",'Supplier selection'!B767)</f>
        <v/>
      </c>
      <c r="C767" s="19" t="str">
        <f>IF('Supplier selection'!C767="","",'Supplier selection'!C767)</f>
        <v/>
      </c>
      <c r="D767" s="19" t="str">
        <f>IF('Supplier selection'!D767="","",'Supplier selection'!D767)</f>
        <v/>
      </c>
      <c r="E767" s="19" t="str">
        <f>IF('Supplier selection'!E767="","",'Supplier selection'!E767)</f>
        <v/>
      </c>
      <c r="F767" s="19" t="str">
        <f>IF('Supplier selection'!F767="","",'Supplier selection'!F767)</f>
        <v/>
      </c>
      <c r="G767" s="19" t="str">
        <f>IF('Supplier selection'!G767="","",'Supplier selection'!G767)</f>
        <v/>
      </c>
      <c r="H767" s="19" t="str">
        <f>IF('Supplier selection'!H767="","",'Supplier selection'!H767)</f>
        <v/>
      </c>
      <c r="I767" s="19" t="str">
        <f>IF('Supplier selection'!I767="","",'Supplier selection'!I767)</f>
        <v/>
      </c>
      <c r="J767" s="19" t="str">
        <f>IF('Supplier selection'!J767="","",'Supplier selection'!J767)</f>
        <v/>
      </c>
      <c r="K767" s="19" t="str">
        <f>IF('Supplier selection'!K767="","",'Supplier selection'!K767)</f>
        <v/>
      </c>
      <c r="L767" s="19" t="str">
        <f>IF('Supplier selection'!L767="","",'Supplier selection'!L767)</f>
        <v/>
      </c>
      <c r="M767" s="19" t="str">
        <f>IF('Supplier selection'!M767="","",'Supplier selection'!M767)</f>
        <v/>
      </c>
      <c r="N767" s="19" t="str">
        <f>IF('Supplier selection'!N767="","",'Supplier selection'!N767)</f>
        <v/>
      </c>
      <c r="O767" s="19" t="str">
        <f>IF('Supplier selection'!O767="","",'Supplier selection'!O767)</f>
        <v/>
      </c>
      <c r="Q767" s="19" t="str">
        <f>HLOOKUP($Q$3,'Supplier selection'!$AW$4:'Supplier selection'!$CT$1000,$A768,FALSE)</f>
        <v/>
      </c>
      <c r="R767" s="22" t="str">
        <f t="shared" si="121"/>
        <v/>
      </c>
      <c r="S767" s="19" t="str">
        <f t="shared" si="122"/>
        <v/>
      </c>
      <c r="T767" s="22" t="str">
        <f t="shared" si="123"/>
        <v/>
      </c>
      <c r="U767" s="19" t="str">
        <f t="shared" si="124"/>
        <v/>
      </c>
      <c r="V767" s="7"/>
      <c r="Y767" s="19" t="str">
        <f>IF('Supplier selection'!AQ767="","",'Supplier selection'!AQ767)</f>
        <v/>
      </c>
      <c r="Z767" s="19" t="str">
        <f>IF('Supplier selection'!AR767="","",'Supplier selection'!AR767)</f>
        <v/>
      </c>
      <c r="AA767" s="19" t="str">
        <f t="shared" si="125"/>
        <v/>
      </c>
      <c r="AD767" s="26" t="str">
        <f>IF(AND('Supplier selection'!X767="",'Supplier selection'!AE767=""),"",IF('Supplier selection'!X767="",'Supplier selection'!AE767,'Supplier selection'!X767))</f>
        <v/>
      </c>
      <c r="AE767" s="19" t="str">
        <f t="shared" si="126"/>
        <v/>
      </c>
      <c r="AF767" s="19" t="str">
        <f t="shared" si="127"/>
        <v/>
      </c>
      <c r="AG767" s="27" t="str">
        <f>IF(AND('Supplier selection'!AB767="",'Supplier selection'!AI767=""),"",IF('Supplier selection'!AB767="",'Supplier selection'!AI767,'Supplier selection'!AB767))</f>
        <v/>
      </c>
      <c r="AH767" s="28" t="str">
        <f t="shared" si="128"/>
        <v/>
      </c>
      <c r="AI767" s="7" t="str">
        <f t="shared" si="129"/>
        <v/>
      </c>
      <c r="AJ767" s="22" t="str">
        <f t="shared" si="130"/>
        <v/>
      </c>
      <c r="AK767" s="29" t="str">
        <f t="shared" si="131"/>
        <v/>
      </c>
      <c r="AL767" s="10"/>
    </row>
    <row r="768" spans="1:38">
      <c r="A768" s="19">
        <f>IF('Supplier selection'!A768="","",'Supplier selection'!A768)</f>
        <v>764</v>
      </c>
      <c r="B768" s="19" t="str">
        <f>IF('Supplier selection'!B768="","",'Supplier selection'!B768)</f>
        <v/>
      </c>
      <c r="C768" s="19" t="str">
        <f>IF('Supplier selection'!C768="","",'Supplier selection'!C768)</f>
        <v/>
      </c>
      <c r="D768" s="19" t="str">
        <f>IF('Supplier selection'!D768="","",'Supplier selection'!D768)</f>
        <v/>
      </c>
      <c r="E768" s="19" t="str">
        <f>IF('Supplier selection'!E768="","",'Supplier selection'!E768)</f>
        <v/>
      </c>
      <c r="F768" s="19" t="str">
        <f>IF('Supplier selection'!F768="","",'Supplier selection'!F768)</f>
        <v/>
      </c>
      <c r="G768" s="19" t="str">
        <f>IF('Supplier selection'!G768="","",'Supplier selection'!G768)</f>
        <v/>
      </c>
      <c r="H768" s="19" t="str">
        <f>IF('Supplier selection'!H768="","",'Supplier selection'!H768)</f>
        <v/>
      </c>
      <c r="I768" s="19" t="str">
        <f>IF('Supplier selection'!I768="","",'Supplier selection'!I768)</f>
        <v/>
      </c>
      <c r="J768" s="19" t="str">
        <f>IF('Supplier selection'!J768="","",'Supplier selection'!J768)</f>
        <v/>
      </c>
      <c r="K768" s="19" t="str">
        <f>IF('Supplier selection'!K768="","",'Supplier selection'!K768)</f>
        <v/>
      </c>
      <c r="L768" s="19" t="str">
        <f>IF('Supplier selection'!L768="","",'Supplier selection'!L768)</f>
        <v/>
      </c>
      <c r="M768" s="19" t="str">
        <f>IF('Supplier selection'!M768="","",'Supplier selection'!M768)</f>
        <v/>
      </c>
      <c r="N768" s="19" t="str">
        <f>IF('Supplier selection'!N768="","",'Supplier selection'!N768)</f>
        <v/>
      </c>
      <c r="O768" s="19" t="str">
        <f>IF('Supplier selection'!O768="","",'Supplier selection'!O768)</f>
        <v/>
      </c>
      <c r="Q768" s="19" t="str">
        <f>HLOOKUP($Q$3,'Supplier selection'!$AW$4:'Supplier selection'!$CT$1000,$A769,FALSE)</f>
        <v/>
      </c>
      <c r="R768" s="22" t="str">
        <f t="shared" si="121"/>
        <v/>
      </c>
      <c r="S768" s="19" t="str">
        <f t="shared" si="122"/>
        <v/>
      </c>
      <c r="T768" s="22" t="str">
        <f t="shared" si="123"/>
        <v/>
      </c>
      <c r="U768" s="19" t="str">
        <f t="shared" si="124"/>
        <v/>
      </c>
      <c r="V768" s="7"/>
      <c r="Y768" s="19" t="str">
        <f>IF('Supplier selection'!AQ768="","",'Supplier selection'!AQ768)</f>
        <v/>
      </c>
      <c r="Z768" s="19" t="str">
        <f>IF('Supplier selection'!AR768="","",'Supplier selection'!AR768)</f>
        <v/>
      </c>
      <c r="AA768" s="19" t="str">
        <f t="shared" si="125"/>
        <v/>
      </c>
      <c r="AD768" s="26" t="str">
        <f>IF(AND('Supplier selection'!X768="",'Supplier selection'!AE768=""),"",IF('Supplier selection'!X768="",'Supplier selection'!AE768,'Supplier selection'!X768))</f>
        <v/>
      </c>
      <c r="AE768" s="19" t="str">
        <f t="shared" si="126"/>
        <v/>
      </c>
      <c r="AF768" s="19" t="str">
        <f t="shared" si="127"/>
        <v/>
      </c>
      <c r="AG768" s="27" t="str">
        <f>IF(AND('Supplier selection'!AB768="",'Supplier selection'!AI768=""),"",IF('Supplier selection'!AB768="",'Supplier selection'!AI768,'Supplier selection'!AB768))</f>
        <v/>
      </c>
      <c r="AH768" s="28" t="str">
        <f t="shared" si="128"/>
        <v/>
      </c>
      <c r="AI768" s="7" t="str">
        <f t="shared" si="129"/>
        <v/>
      </c>
      <c r="AJ768" s="22" t="str">
        <f t="shared" si="130"/>
        <v/>
      </c>
      <c r="AK768" s="29" t="str">
        <f t="shared" si="131"/>
        <v/>
      </c>
      <c r="AL768" s="10"/>
    </row>
    <row r="769" spans="1:38">
      <c r="A769" s="19">
        <f>IF('Supplier selection'!A769="","",'Supplier selection'!A769)</f>
        <v>765</v>
      </c>
      <c r="B769" s="19" t="str">
        <f>IF('Supplier selection'!B769="","",'Supplier selection'!B769)</f>
        <v/>
      </c>
      <c r="C769" s="19" t="str">
        <f>IF('Supplier selection'!C769="","",'Supplier selection'!C769)</f>
        <v/>
      </c>
      <c r="D769" s="19" t="str">
        <f>IF('Supplier selection'!D769="","",'Supplier selection'!D769)</f>
        <v/>
      </c>
      <c r="E769" s="19" t="str">
        <f>IF('Supplier selection'!E769="","",'Supplier selection'!E769)</f>
        <v/>
      </c>
      <c r="F769" s="19" t="str">
        <f>IF('Supplier selection'!F769="","",'Supplier selection'!F769)</f>
        <v/>
      </c>
      <c r="G769" s="19" t="str">
        <f>IF('Supplier selection'!G769="","",'Supplier selection'!G769)</f>
        <v/>
      </c>
      <c r="H769" s="19" t="str">
        <f>IF('Supplier selection'!H769="","",'Supplier selection'!H769)</f>
        <v/>
      </c>
      <c r="I769" s="19" t="str">
        <f>IF('Supplier selection'!I769="","",'Supplier selection'!I769)</f>
        <v/>
      </c>
      <c r="J769" s="19" t="str">
        <f>IF('Supplier selection'!J769="","",'Supplier selection'!J769)</f>
        <v/>
      </c>
      <c r="K769" s="19" t="str">
        <f>IF('Supplier selection'!K769="","",'Supplier selection'!K769)</f>
        <v/>
      </c>
      <c r="L769" s="19" t="str">
        <f>IF('Supplier selection'!L769="","",'Supplier selection'!L769)</f>
        <v/>
      </c>
      <c r="M769" s="19" t="str">
        <f>IF('Supplier selection'!M769="","",'Supplier selection'!M769)</f>
        <v/>
      </c>
      <c r="N769" s="19" t="str">
        <f>IF('Supplier selection'!N769="","",'Supplier selection'!N769)</f>
        <v/>
      </c>
      <c r="O769" s="19" t="str">
        <f>IF('Supplier selection'!O769="","",'Supplier selection'!O769)</f>
        <v/>
      </c>
      <c r="Q769" s="19" t="str">
        <f>HLOOKUP($Q$3,'Supplier selection'!$AW$4:'Supplier selection'!$CT$1000,$A770,FALSE)</f>
        <v/>
      </c>
      <c r="R769" s="22" t="str">
        <f t="shared" si="121"/>
        <v/>
      </c>
      <c r="S769" s="19" t="str">
        <f t="shared" si="122"/>
        <v/>
      </c>
      <c r="T769" s="22" t="str">
        <f t="shared" si="123"/>
        <v/>
      </c>
      <c r="U769" s="19" t="str">
        <f t="shared" si="124"/>
        <v/>
      </c>
      <c r="V769" s="7"/>
      <c r="Y769" s="19" t="str">
        <f>IF('Supplier selection'!AQ769="","",'Supplier selection'!AQ769)</f>
        <v/>
      </c>
      <c r="Z769" s="19" t="str">
        <f>IF('Supplier selection'!AR769="","",'Supplier selection'!AR769)</f>
        <v/>
      </c>
      <c r="AA769" s="19" t="str">
        <f t="shared" si="125"/>
        <v/>
      </c>
      <c r="AD769" s="26" t="str">
        <f>IF(AND('Supplier selection'!X769="",'Supplier selection'!AE769=""),"",IF('Supplier selection'!X769="",'Supplier selection'!AE769,'Supplier selection'!X769))</f>
        <v/>
      </c>
      <c r="AE769" s="19" t="str">
        <f t="shared" si="126"/>
        <v/>
      </c>
      <c r="AF769" s="19" t="str">
        <f t="shared" si="127"/>
        <v/>
      </c>
      <c r="AG769" s="27" t="str">
        <f>IF(AND('Supplier selection'!AB769="",'Supplier selection'!AI769=""),"",IF('Supplier selection'!AB769="",'Supplier selection'!AI769,'Supplier selection'!AB769))</f>
        <v/>
      </c>
      <c r="AH769" s="28" t="str">
        <f t="shared" si="128"/>
        <v/>
      </c>
      <c r="AI769" s="7" t="str">
        <f t="shared" si="129"/>
        <v/>
      </c>
      <c r="AJ769" s="22" t="str">
        <f t="shared" si="130"/>
        <v/>
      </c>
      <c r="AK769" s="29" t="str">
        <f t="shared" si="131"/>
        <v/>
      </c>
      <c r="AL769" s="10"/>
    </row>
    <row r="770" spans="1:38">
      <c r="A770" s="19">
        <f>IF('Supplier selection'!A770="","",'Supplier selection'!A770)</f>
        <v>766</v>
      </c>
      <c r="B770" s="19" t="str">
        <f>IF('Supplier selection'!B770="","",'Supplier selection'!B770)</f>
        <v/>
      </c>
      <c r="C770" s="19" t="str">
        <f>IF('Supplier selection'!C770="","",'Supplier selection'!C770)</f>
        <v/>
      </c>
      <c r="D770" s="19" t="str">
        <f>IF('Supplier selection'!D770="","",'Supplier selection'!D770)</f>
        <v/>
      </c>
      <c r="E770" s="19" t="str">
        <f>IF('Supplier selection'!E770="","",'Supplier selection'!E770)</f>
        <v/>
      </c>
      <c r="F770" s="19" t="str">
        <f>IF('Supplier selection'!F770="","",'Supplier selection'!F770)</f>
        <v/>
      </c>
      <c r="G770" s="19" t="str">
        <f>IF('Supplier selection'!G770="","",'Supplier selection'!G770)</f>
        <v/>
      </c>
      <c r="H770" s="19" t="str">
        <f>IF('Supplier selection'!H770="","",'Supplier selection'!H770)</f>
        <v/>
      </c>
      <c r="I770" s="19" t="str">
        <f>IF('Supplier selection'!I770="","",'Supplier selection'!I770)</f>
        <v/>
      </c>
      <c r="J770" s="19" t="str">
        <f>IF('Supplier selection'!J770="","",'Supplier selection'!J770)</f>
        <v/>
      </c>
      <c r="K770" s="19" t="str">
        <f>IF('Supplier selection'!K770="","",'Supplier selection'!K770)</f>
        <v/>
      </c>
      <c r="L770" s="19" t="str">
        <f>IF('Supplier selection'!L770="","",'Supplier selection'!L770)</f>
        <v/>
      </c>
      <c r="M770" s="19" t="str">
        <f>IF('Supplier selection'!M770="","",'Supplier selection'!M770)</f>
        <v/>
      </c>
      <c r="N770" s="19" t="str">
        <f>IF('Supplier selection'!N770="","",'Supplier selection'!N770)</f>
        <v/>
      </c>
      <c r="O770" s="19" t="str">
        <f>IF('Supplier selection'!O770="","",'Supplier selection'!O770)</f>
        <v/>
      </c>
      <c r="Q770" s="19" t="str">
        <f>HLOOKUP($Q$3,'Supplier selection'!$AW$4:'Supplier selection'!$CT$1000,$A771,FALSE)</f>
        <v/>
      </c>
      <c r="R770" s="22" t="str">
        <f t="shared" si="121"/>
        <v/>
      </c>
      <c r="S770" s="19" t="str">
        <f t="shared" si="122"/>
        <v/>
      </c>
      <c r="T770" s="22" t="str">
        <f t="shared" si="123"/>
        <v/>
      </c>
      <c r="U770" s="19" t="str">
        <f t="shared" si="124"/>
        <v/>
      </c>
      <c r="V770" s="7"/>
      <c r="Y770" s="19" t="str">
        <f>IF('Supplier selection'!AQ770="","",'Supplier selection'!AQ770)</f>
        <v/>
      </c>
      <c r="Z770" s="19" t="str">
        <f>IF('Supplier selection'!AR770="","",'Supplier selection'!AR770)</f>
        <v/>
      </c>
      <c r="AA770" s="19" t="str">
        <f t="shared" si="125"/>
        <v/>
      </c>
      <c r="AD770" s="26" t="str">
        <f>IF(AND('Supplier selection'!X770="",'Supplier selection'!AE770=""),"",IF('Supplier selection'!X770="",'Supplier selection'!AE770,'Supplier selection'!X770))</f>
        <v/>
      </c>
      <c r="AE770" s="19" t="str">
        <f t="shared" si="126"/>
        <v/>
      </c>
      <c r="AF770" s="19" t="str">
        <f t="shared" si="127"/>
        <v/>
      </c>
      <c r="AG770" s="27" t="str">
        <f>IF(AND('Supplier selection'!AB770="",'Supplier selection'!AI770=""),"",IF('Supplier selection'!AB770="",'Supplier selection'!AI770,'Supplier selection'!AB770))</f>
        <v/>
      </c>
      <c r="AH770" s="28" t="str">
        <f t="shared" si="128"/>
        <v/>
      </c>
      <c r="AI770" s="7" t="str">
        <f t="shared" si="129"/>
        <v/>
      </c>
      <c r="AJ770" s="22" t="str">
        <f t="shared" si="130"/>
        <v/>
      </c>
      <c r="AK770" s="29" t="str">
        <f t="shared" si="131"/>
        <v/>
      </c>
      <c r="AL770" s="10"/>
    </row>
    <row r="771" spans="1:38">
      <c r="A771" s="19">
        <f>IF('Supplier selection'!A771="","",'Supplier selection'!A771)</f>
        <v>767</v>
      </c>
      <c r="B771" s="19" t="str">
        <f>IF('Supplier selection'!B771="","",'Supplier selection'!B771)</f>
        <v/>
      </c>
      <c r="C771" s="19" t="str">
        <f>IF('Supplier selection'!C771="","",'Supplier selection'!C771)</f>
        <v/>
      </c>
      <c r="D771" s="19" t="str">
        <f>IF('Supplier selection'!D771="","",'Supplier selection'!D771)</f>
        <v/>
      </c>
      <c r="E771" s="19" t="str">
        <f>IF('Supplier selection'!E771="","",'Supplier selection'!E771)</f>
        <v/>
      </c>
      <c r="F771" s="19" t="str">
        <f>IF('Supplier selection'!F771="","",'Supplier selection'!F771)</f>
        <v/>
      </c>
      <c r="G771" s="19" t="str">
        <f>IF('Supplier selection'!G771="","",'Supplier selection'!G771)</f>
        <v/>
      </c>
      <c r="H771" s="19" t="str">
        <f>IF('Supplier selection'!H771="","",'Supplier selection'!H771)</f>
        <v/>
      </c>
      <c r="I771" s="19" t="str">
        <f>IF('Supplier selection'!I771="","",'Supplier selection'!I771)</f>
        <v/>
      </c>
      <c r="J771" s="19" t="str">
        <f>IF('Supplier selection'!J771="","",'Supplier selection'!J771)</f>
        <v/>
      </c>
      <c r="K771" s="19" t="str">
        <f>IF('Supplier selection'!K771="","",'Supplier selection'!K771)</f>
        <v/>
      </c>
      <c r="L771" s="19" t="str">
        <f>IF('Supplier selection'!L771="","",'Supplier selection'!L771)</f>
        <v/>
      </c>
      <c r="M771" s="19" t="str">
        <f>IF('Supplier selection'!M771="","",'Supplier selection'!M771)</f>
        <v/>
      </c>
      <c r="N771" s="19" t="str">
        <f>IF('Supplier selection'!N771="","",'Supplier selection'!N771)</f>
        <v/>
      </c>
      <c r="O771" s="19" t="str">
        <f>IF('Supplier selection'!O771="","",'Supplier selection'!O771)</f>
        <v/>
      </c>
      <c r="Q771" s="19" t="str">
        <f>HLOOKUP($Q$3,'Supplier selection'!$AW$4:'Supplier selection'!$CT$1000,$A772,FALSE)</f>
        <v/>
      </c>
      <c r="R771" s="22" t="str">
        <f t="shared" si="121"/>
        <v/>
      </c>
      <c r="S771" s="19" t="str">
        <f t="shared" si="122"/>
        <v/>
      </c>
      <c r="T771" s="22" t="str">
        <f t="shared" si="123"/>
        <v/>
      </c>
      <c r="U771" s="19" t="str">
        <f t="shared" si="124"/>
        <v/>
      </c>
      <c r="V771" s="7"/>
      <c r="Y771" s="19" t="str">
        <f>IF('Supplier selection'!AQ771="","",'Supplier selection'!AQ771)</f>
        <v/>
      </c>
      <c r="Z771" s="19" t="str">
        <f>IF('Supplier selection'!AR771="","",'Supplier selection'!AR771)</f>
        <v/>
      </c>
      <c r="AA771" s="19" t="str">
        <f t="shared" si="125"/>
        <v/>
      </c>
      <c r="AD771" s="26" t="str">
        <f>IF(AND('Supplier selection'!X771="",'Supplier selection'!AE771=""),"",IF('Supplier selection'!X771="",'Supplier selection'!AE771,'Supplier selection'!X771))</f>
        <v/>
      </c>
      <c r="AE771" s="19" t="str">
        <f t="shared" si="126"/>
        <v/>
      </c>
      <c r="AF771" s="19" t="str">
        <f t="shared" si="127"/>
        <v/>
      </c>
      <c r="AG771" s="27" t="str">
        <f>IF(AND('Supplier selection'!AB771="",'Supplier selection'!AI771=""),"",IF('Supplier selection'!AB771="",'Supplier selection'!AI771,'Supplier selection'!AB771))</f>
        <v/>
      </c>
      <c r="AH771" s="28" t="str">
        <f t="shared" si="128"/>
        <v/>
      </c>
      <c r="AI771" s="7" t="str">
        <f t="shared" si="129"/>
        <v/>
      </c>
      <c r="AJ771" s="22" t="str">
        <f t="shared" si="130"/>
        <v/>
      </c>
      <c r="AK771" s="29" t="str">
        <f t="shared" si="131"/>
        <v/>
      </c>
      <c r="AL771" s="10"/>
    </row>
    <row r="772" spans="1:38">
      <c r="A772" s="19">
        <f>IF('Supplier selection'!A772="","",'Supplier selection'!A772)</f>
        <v>768</v>
      </c>
      <c r="B772" s="19" t="str">
        <f>IF('Supplier selection'!B772="","",'Supplier selection'!B772)</f>
        <v/>
      </c>
      <c r="C772" s="19" t="str">
        <f>IF('Supplier selection'!C772="","",'Supplier selection'!C772)</f>
        <v/>
      </c>
      <c r="D772" s="19" t="str">
        <f>IF('Supplier selection'!D772="","",'Supplier selection'!D772)</f>
        <v/>
      </c>
      <c r="E772" s="19" t="str">
        <f>IF('Supplier selection'!E772="","",'Supplier selection'!E772)</f>
        <v/>
      </c>
      <c r="F772" s="19" t="str">
        <f>IF('Supplier selection'!F772="","",'Supplier selection'!F772)</f>
        <v/>
      </c>
      <c r="G772" s="19" t="str">
        <f>IF('Supplier selection'!G772="","",'Supplier selection'!G772)</f>
        <v/>
      </c>
      <c r="H772" s="19" t="str">
        <f>IF('Supplier selection'!H772="","",'Supplier selection'!H772)</f>
        <v/>
      </c>
      <c r="I772" s="19" t="str">
        <f>IF('Supplier selection'!I772="","",'Supplier selection'!I772)</f>
        <v/>
      </c>
      <c r="J772" s="19" t="str">
        <f>IF('Supplier selection'!J772="","",'Supplier selection'!J772)</f>
        <v/>
      </c>
      <c r="K772" s="19" t="str">
        <f>IF('Supplier selection'!K772="","",'Supplier selection'!K772)</f>
        <v/>
      </c>
      <c r="L772" s="19" t="str">
        <f>IF('Supplier selection'!L772="","",'Supplier selection'!L772)</f>
        <v/>
      </c>
      <c r="M772" s="19" t="str">
        <f>IF('Supplier selection'!M772="","",'Supplier selection'!M772)</f>
        <v/>
      </c>
      <c r="N772" s="19" t="str">
        <f>IF('Supplier selection'!N772="","",'Supplier selection'!N772)</f>
        <v/>
      </c>
      <c r="O772" s="19" t="str">
        <f>IF('Supplier selection'!O772="","",'Supplier selection'!O772)</f>
        <v/>
      </c>
      <c r="Q772" s="19" t="str">
        <f>HLOOKUP($Q$3,'Supplier selection'!$AW$4:'Supplier selection'!$CT$1000,$A773,FALSE)</f>
        <v/>
      </c>
      <c r="R772" s="22" t="str">
        <f t="shared" si="121"/>
        <v/>
      </c>
      <c r="S772" s="19" t="str">
        <f t="shared" si="122"/>
        <v/>
      </c>
      <c r="T772" s="22" t="str">
        <f t="shared" si="123"/>
        <v/>
      </c>
      <c r="U772" s="19" t="str">
        <f t="shared" si="124"/>
        <v/>
      </c>
      <c r="V772" s="7"/>
      <c r="Y772" s="19" t="str">
        <f>IF('Supplier selection'!AQ772="","",'Supplier selection'!AQ772)</f>
        <v/>
      </c>
      <c r="Z772" s="19" t="str">
        <f>IF('Supplier selection'!AR772="","",'Supplier selection'!AR772)</f>
        <v/>
      </c>
      <c r="AA772" s="19" t="str">
        <f t="shared" si="125"/>
        <v/>
      </c>
      <c r="AD772" s="26" t="str">
        <f>IF(AND('Supplier selection'!X772="",'Supplier selection'!AE772=""),"",IF('Supplier selection'!X772="",'Supplier selection'!AE772,'Supplier selection'!X772))</f>
        <v/>
      </c>
      <c r="AE772" s="19" t="str">
        <f t="shared" si="126"/>
        <v/>
      </c>
      <c r="AF772" s="19" t="str">
        <f t="shared" si="127"/>
        <v/>
      </c>
      <c r="AG772" s="27" t="str">
        <f>IF(AND('Supplier selection'!AB772="",'Supplier selection'!AI772=""),"",IF('Supplier selection'!AB772="",'Supplier selection'!AI772,'Supplier selection'!AB772))</f>
        <v/>
      </c>
      <c r="AH772" s="28" t="str">
        <f t="shared" si="128"/>
        <v/>
      </c>
      <c r="AI772" s="7" t="str">
        <f t="shared" si="129"/>
        <v/>
      </c>
      <c r="AJ772" s="22" t="str">
        <f t="shared" si="130"/>
        <v/>
      </c>
      <c r="AK772" s="29" t="str">
        <f t="shared" si="131"/>
        <v/>
      </c>
      <c r="AL772" s="10"/>
    </row>
    <row r="773" spans="1:38">
      <c r="A773" s="19">
        <f>IF('Supplier selection'!A773="","",'Supplier selection'!A773)</f>
        <v>769</v>
      </c>
      <c r="B773" s="19" t="str">
        <f>IF('Supplier selection'!B773="","",'Supplier selection'!B773)</f>
        <v/>
      </c>
      <c r="C773" s="19" t="str">
        <f>IF('Supplier selection'!C773="","",'Supplier selection'!C773)</f>
        <v/>
      </c>
      <c r="D773" s="19" t="str">
        <f>IF('Supplier selection'!D773="","",'Supplier selection'!D773)</f>
        <v/>
      </c>
      <c r="E773" s="19" t="str">
        <f>IF('Supplier selection'!E773="","",'Supplier selection'!E773)</f>
        <v/>
      </c>
      <c r="F773" s="19" t="str">
        <f>IF('Supplier selection'!F773="","",'Supplier selection'!F773)</f>
        <v/>
      </c>
      <c r="G773" s="19" t="str">
        <f>IF('Supplier selection'!G773="","",'Supplier selection'!G773)</f>
        <v/>
      </c>
      <c r="H773" s="19" t="str">
        <f>IF('Supplier selection'!H773="","",'Supplier selection'!H773)</f>
        <v/>
      </c>
      <c r="I773" s="19" t="str">
        <f>IF('Supplier selection'!I773="","",'Supplier selection'!I773)</f>
        <v/>
      </c>
      <c r="J773" s="19" t="str">
        <f>IF('Supplier selection'!J773="","",'Supplier selection'!J773)</f>
        <v/>
      </c>
      <c r="K773" s="19" t="str">
        <f>IF('Supplier selection'!K773="","",'Supplier selection'!K773)</f>
        <v/>
      </c>
      <c r="L773" s="19" t="str">
        <f>IF('Supplier selection'!L773="","",'Supplier selection'!L773)</f>
        <v/>
      </c>
      <c r="M773" s="19" t="str">
        <f>IF('Supplier selection'!M773="","",'Supplier selection'!M773)</f>
        <v/>
      </c>
      <c r="N773" s="19" t="str">
        <f>IF('Supplier selection'!N773="","",'Supplier selection'!N773)</f>
        <v/>
      </c>
      <c r="O773" s="19" t="str">
        <f>IF('Supplier selection'!O773="","",'Supplier selection'!O773)</f>
        <v/>
      </c>
      <c r="Q773" s="19" t="str">
        <f>HLOOKUP($Q$3,'Supplier selection'!$AW$4:'Supplier selection'!$CT$1000,$A774,FALSE)</f>
        <v/>
      </c>
      <c r="R773" s="22" t="str">
        <f t="shared" si="121"/>
        <v/>
      </c>
      <c r="S773" s="19" t="str">
        <f t="shared" si="122"/>
        <v/>
      </c>
      <c r="T773" s="22" t="str">
        <f t="shared" si="123"/>
        <v/>
      </c>
      <c r="U773" s="19" t="str">
        <f t="shared" si="124"/>
        <v/>
      </c>
      <c r="V773" s="7"/>
      <c r="Y773" s="19" t="str">
        <f>IF('Supplier selection'!AQ773="","",'Supplier selection'!AQ773)</f>
        <v/>
      </c>
      <c r="Z773" s="19" t="str">
        <f>IF('Supplier selection'!AR773="","",'Supplier selection'!AR773)</f>
        <v/>
      </c>
      <c r="AA773" s="19" t="str">
        <f t="shared" si="125"/>
        <v/>
      </c>
      <c r="AD773" s="26" t="str">
        <f>IF(AND('Supplier selection'!X773="",'Supplier selection'!AE773=""),"",IF('Supplier selection'!X773="",'Supplier selection'!AE773,'Supplier selection'!X773))</f>
        <v/>
      </c>
      <c r="AE773" s="19" t="str">
        <f t="shared" si="126"/>
        <v/>
      </c>
      <c r="AF773" s="19" t="str">
        <f t="shared" si="127"/>
        <v/>
      </c>
      <c r="AG773" s="27" t="str">
        <f>IF(AND('Supplier selection'!AB773="",'Supplier selection'!AI773=""),"",IF('Supplier selection'!AB773="",'Supplier selection'!AI773,'Supplier selection'!AB773))</f>
        <v/>
      </c>
      <c r="AH773" s="28" t="str">
        <f t="shared" si="128"/>
        <v/>
      </c>
      <c r="AI773" s="7" t="str">
        <f t="shared" si="129"/>
        <v/>
      </c>
      <c r="AJ773" s="22" t="str">
        <f t="shared" si="130"/>
        <v/>
      </c>
      <c r="AK773" s="29" t="str">
        <f t="shared" si="131"/>
        <v/>
      </c>
      <c r="AL773" s="10"/>
    </row>
    <row r="774" spans="1:38">
      <c r="A774" s="19">
        <f>IF('Supplier selection'!A774="","",'Supplier selection'!A774)</f>
        <v>770</v>
      </c>
      <c r="B774" s="19" t="str">
        <f>IF('Supplier selection'!B774="","",'Supplier selection'!B774)</f>
        <v/>
      </c>
      <c r="C774" s="19" t="str">
        <f>IF('Supplier selection'!C774="","",'Supplier selection'!C774)</f>
        <v/>
      </c>
      <c r="D774" s="19" t="str">
        <f>IF('Supplier selection'!D774="","",'Supplier selection'!D774)</f>
        <v/>
      </c>
      <c r="E774" s="19" t="str">
        <f>IF('Supplier selection'!E774="","",'Supplier selection'!E774)</f>
        <v/>
      </c>
      <c r="F774" s="19" t="str">
        <f>IF('Supplier selection'!F774="","",'Supplier selection'!F774)</f>
        <v/>
      </c>
      <c r="G774" s="19" t="str">
        <f>IF('Supplier selection'!G774="","",'Supplier selection'!G774)</f>
        <v/>
      </c>
      <c r="H774" s="19" t="str">
        <f>IF('Supplier selection'!H774="","",'Supplier selection'!H774)</f>
        <v/>
      </c>
      <c r="I774" s="19" t="str">
        <f>IF('Supplier selection'!I774="","",'Supplier selection'!I774)</f>
        <v/>
      </c>
      <c r="J774" s="19" t="str">
        <f>IF('Supplier selection'!J774="","",'Supplier selection'!J774)</f>
        <v/>
      </c>
      <c r="K774" s="19" t="str">
        <f>IF('Supplier selection'!K774="","",'Supplier selection'!K774)</f>
        <v/>
      </c>
      <c r="L774" s="19" t="str">
        <f>IF('Supplier selection'!L774="","",'Supplier selection'!L774)</f>
        <v/>
      </c>
      <c r="M774" s="19" t="str">
        <f>IF('Supplier selection'!M774="","",'Supplier selection'!M774)</f>
        <v/>
      </c>
      <c r="N774" s="19" t="str">
        <f>IF('Supplier selection'!N774="","",'Supplier selection'!N774)</f>
        <v/>
      </c>
      <c r="O774" s="19" t="str">
        <f>IF('Supplier selection'!O774="","",'Supplier selection'!O774)</f>
        <v/>
      </c>
      <c r="Q774" s="19" t="str">
        <f>HLOOKUP($Q$3,'Supplier selection'!$AW$4:'Supplier selection'!$CT$1000,$A775,FALSE)</f>
        <v/>
      </c>
      <c r="R774" s="22" t="str">
        <f t="shared" ref="R774:R837" si="132">IF(OR(Q774="",O774=""),"",(Q774-O774)/O774)</f>
        <v/>
      </c>
      <c r="S774" s="19" t="str">
        <f t="shared" ref="S774:S837" si="133">IF(OR(H774="",O774="",Q774=""),"",(Q774*H774)-(H774*O774))</f>
        <v/>
      </c>
      <c r="T774" s="22" t="str">
        <f t="shared" ref="T774:T837" si="134">IF(OR(Y774="",Q774=""),"",(Q774-Y774)/Y774)</f>
        <v/>
      </c>
      <c r="U774" s="19" t="str">
        <f t="shared" ref="U774:U837" si="135">IF(OR(Y774="",Q774="",H774=""),"",(Q774*H774)-(Y774*H774))</f>
        <v/>
      </c>
      <c r="V774" s="7"/>
      <c r="Y774" s="19" t="str">
        <f>IF('Supplier selection'!AQ774="","",'Supplier selection'!AQ774)</f>
        <v/>
      </c>
      <c r="Z774" s="19" t="str">
        <f>IF('Supplier selection'!AR774="","",'Supplier selection'!AR774)</f>
        <v/>
      </c>
      <c r="AA774" s="19" t="str">
        <f t="shared" ref="AA774:AA837" si="136">IF(OR(Y774="",O774="",H774=""),"",((H774*Y774)-(H774*O774)))</f>
        <v/>
      </c>
      <c r="AD774" s="26" t="str">
        <f>IF(AND('Supplier selection'!X774="",'Supplier selection'!AE774=""),"",IF('Supplier selection'!X774="",'Supplier selection'!AE774,'Supplier selection'!X774))</f>
        <v/>
      </c>
      <c r="AE774" s="19" t="str">
        <f t="shared" ref="AE774:AE837" si="137">IF(AD774="","",J774)</f>
        <v/>
      </c>
      <c r="AF774" s="19" t="str">
        <f t="shared" ref="AF774:AF837" si="138">IF(AD774="","",L774)</f>
        <v/>
      </c>
      <c r="AG774" s="27" t="str">
        <f>IF(AND('Supplier selection'!AB774="",'Supplier selection'!AI774=""),"",IF('Supplier selection'!AB774="",'Supplier selection'!AI774,'Supplier selection'!AB774))</f>
        <v/>
      </c>
      <c r="AH774" s="28" t="str">
        <f t="shared" ref="AH774:AH837" si="139">IF(OR(AG774="",O774=""),"",(AG774-O774)/O774)</f>
        <v/>
      </c>
      <c r="AI774" s="7" t="str">
        <f t="shared" ref="AI774:AI837" si="140">IF(OR(H774="",O774="",AG774=""),"",(AG774*H774)-(H774*O774))</f>
        <v/>
      </c>
      <c r="AJ774" s="22" t="str">
        <f t="shared" ref="AJ774:AJ837" si="141">IF(OR(AG774="",Y774=""),"",(AG774-Y774)/Y774)</f>
        <v/>
      </c>
      <c r="AK774" s="29" t="str">
        <f t="shared" ref="AK774:AK837" si="142">IF(OR(H774="",Y774="",AG774=""),"",(AG774*H774)-(H774*Y774))</f>
        <v/>
      </c>
      <c r="AL774" s="10"/>
    </row>
    <row r="775" spans="1:38">
      <c r="A775" s="19">
        <f>IF('Supplier selection'!A775="","",'Supplier selection'!A775)</f>
        <v>771</v>
      </c>
      <c r="B775" s="19" t="str">
        <f>IF('Supplier selection'!B775="","",'Supplier selection'!B775)</f>
        <v/>
      </c>
      <c r="C775" s="19" t="str">
        <f>IF('Supplier selection'!C775="","",'Supplier selection'!C775)</f>
        <v/>
      </c>
      <c r="D775" s="19" t="str">
        <f>IF('Supplier selection'!D775="","",'Supplier selection'!D775)</f>
        <v/>
      </c>
      <c r="E775" s="19" t="str">
        <f>IF('Supplier selection'!E775="","",'Supplier selection'!E775)</f>
        <v/>
      </c>
      <c r="F775" s="19" t="str">
        <f>IF('Supplier selection'!F775="","",'Supplier selection'!F775)</f>
        <v/>
      </c>
      <c r="G775" s="19" t="str">
        <f>IF('Supplier selection'!G775="","",'Supplier selection'!G775)</f>
        <v/>
      </c>
      <c r="H775" s="19" t="str">
        <f>IF('Supplier selection'!H775="","",'Supplier selection'!H775)</f>
        <v/>
      </c>
      <c r="I775" s="19" t="str">
        <f>IF('Supplier selection'!I775="","",'Supplier selection'!I775)</f>
        <v/>
      </c>
      <c r="J775" s="19" t="str">
        <f>IF('Supplier selection'!J775="","",'Supplier selection'!J775)</f>
        <v/>
      </c>
      <c r="K775" s="19" t="str">
        <f>IF('Supplier selection'!K775="","",'Supplier selection'!K775)</f>
        <v/>
      </c>
      <c r="L775" s="19" t="str">
        <f>IF('Supplier selection'!L775="","",'Supplier selection'!L775)</f>
        <v/>
      </c>
      <c r="M775" s="19" t="str">
        <f>IF('Supplier selection'!M775="","",'Supplier selection'!M775)</f>
        <v/>
      </c>
      <c r="N775" s="19" t="str">
        <f>IF('Supplier selection'!N775="","",'Supplier selection'!N775)</f>
        <v/>
      </c>
      <c r="O775" s="19" t="str">
        <f>IF('Supplier selection'!O775="","",'Supplier selection'!O775)</f>
        <v/>
      </c>
      <c r="Q775" s="19" t="str">
        <f>HLOOKUP($Q$3,'Supplier selection'!$AW$4:'Supplier selection'!$CT$1000,$A776,FALSE)</f>
        <v/>
      </c>
      <c r="R775" s="22" t="str">
        <f t="shared" si="132"/>
        <v/>
      </c>
      <c r="S775" s="19" t="str">
        <f t="shared" si="133"/>
        <v/>
      </c>
      <c r="T775" s="22" t="str">
        <f t="shared" si="134"/>
        <v/>
      </c>
      <c r="U775" s="19" t="str">
        <f t="shared" si="135"/>
        <v/>
      </c>
      <c r="V775" s="7"/>
      <c r="Y775" s="19" t="str">
        <f>IF('Supplier selection'!AQ775="","",'Supplier selection'!AQ775)</f>
        <v/>
      </c>
      <c r="Z775" s="19" t="str">
        <f>IF('Supplier selection'!AR775="","",'Supplier selection'!AR775)</f>
        <v/>
      </c>
      <c r="AA775" s="19" t="str">
        <f t="shared" si="136"/>
        <v/>
      </c>
      <c r="AD775" s="26" t="str">
        <f>IF(AND('Supplier selection'!X775="",'Supplier selection'!AE775=""),"",IF('Supplier selection'!X775="",'Supplier selection'!AE775,'Supplier selection'!X775))</f>
        <v/>
      </c>
      <c r="AE775" s="19" t="str">
        <f t="shared" si="137"/>
        <v/>
      </c>
      <c r="AF775" s="19" t="str">
        <f t="shared" si="138"/>
        <v/>
      </c>
      <c r="AG775" s="27" t="str">
        <f>IF(AND('Supplier selection'!AB775="",'Supplier selection'!AI775=""),"",IF('Supplier selection'!AB775="",'Supplier selection'!AI775,'Supplier selection'!AB775))</f>
        <v/>
      </c>
      <c r="AH775" s="28" t="str">
        <f t="shared" si="139"/>
        <v/>
      </c>
      <c r="AI775" s="7" t="str">
        <f t="shared" si="140"/>
        <v/>
      </c>
      <c r="AJ775" s="22" t="str">
        <f t="shared" si="141"/>
        <v/>
      </c>
      <c r="AK775" s="29" t="str">
        <f t="shared" si="142"/>
        <v/>
      </c>
      <c r="AL775" s="10"/>
    </row>
    <row r="776" spans="1:38">
      <c r="A776" s="19">
        <f>IF('Supplier selection'!A776="","",'Supplier selection'!A776)</f>
        <v>772</v>
      </c>
      <c r="B776" s="19" t="str">
        <f>IF('Supplier selection'!B776="","",'Supplier selection'!B776)</f>
        <v/>
      </c>
      <c r="C776" s="19" t="str">
        <f>IF('Supplier selection'!C776="","",'Supplier selection'!C776)</f>
        <v/>
      </c>
      <c r="D776" s="19" t="str">
        <f>IF('Supplier selection'!D776="","",'Supplier selection'!D776)</f>
        <v/>
      </c>
      <c r="E776" s="19" t="str">
        <f>IF('Supplier selection'!E776="","",'Supplier selection'!E776)</f>
        <v/>
      </c>
      <c r="F776" s="19" t="str">
        <f>IF('Supplier selection'!F776="","",'Supplier selection'!F776)</f>
        <v/>
      </c>
      <c r="G776" s="19" t="str">
        <f>IF('Supplier selection'!G776="","",'Supplier selection'!G776)</f>
        <v/>
      </c>
      <c r="H776" s="19" t="str">
        <f>IF('Supplier selection'!H776="","",'Supplier selection'!H776)</f>
        <v/>
      </c>
      <c r="I776" s="19" t="str">
        <f>IF('Supplier selection'!I776="","",'Supplier selection'!I776)</f>
        <v/>
      </c>
      <c r="J776" s="19" t="str">
        <f>IF('Supplier selection'!J776="","",'Supplier selection'!J776)</f>
        <v/>
      </c>
      <c r="K776" s="19" t="str">
        <f>IF('Supplier selection'!K776="","",'Supplier selection'!K776)</f>
        <v/>
      </c>
      <c r="L776" s="19" t="str">
        <f>IF('Supplier selection'!L776="","",'Supplier selection'!L776)</f>
        <v/>
      </c>
      <c r="M776" s="19" t="str">
        <f>IF('Supplier selection'!M776="","",'Supplier selection'!M776)</f>
        <v/>
      </c>
      <c r="N776" s="19" t="str">
        <f>IF('Supplier selection'!N776="","",'Supplier selection'!N776)</f>
        <v/>
      </c>
      <c r="O776" s="19" t="str">
        <f>IF('Supplier selection'!O776="","",'Supplier selection'!O776)</f>
        <v/>
      </c>
      <c r="Q776" s="19" t="str">
        <f>HLOOKUP($Q$3,'Supplier selection'!$AW$4:'Supplier selection'!$CT$1000,$A777,FALSE)</f>
        <v/>
      </c>
      <c r="R776" s="22" t="str">
        <f t="shared" si="132"/>
        <v/>
      </c>
      <c r="S776" s="19" t="str">
        <f t="shared" si="133"/>
        <v/>
      </c>
      <c r="T776" s="22" t="str">
        <f t="shared" si="134"/>
        <v/>
      </c>
      <c r="U776" s="19" t="str">
        <f t="shared" si="135"/>
        <v/>
      </c>
      <c r="V776" s="7"/>
      <c r="Y776" s="19" t="str">
        <f>IF('Supplier selection'!AQ776="","",'Supplier selection'!AQ776)</f>
        <v/>
      </c>
      <c r="Z776" s="19" t="str">
        <f>IF('Supplier selection'!AR776="","",'Supplier selection'!AR776)</f>
        <v/>
      </c>
      <c r="AA776" s="19" t="str">
        <f t="shared" si="136"/>
        <v/>
      </c>
      <c r="AD776" s="26" t="str">
        <f>IF(AND('Supplier selection'!X776="",'Supplier selection'!AE776=""),"",IF('Supplier selection'!X776="",'Supplier selection'!AE776,'Supplier selection'!X776))</f>
        <v/>
      </c>
      <c r="AE776" s="19" t="str">
        <f t="shared" si="137"/>
        <v/>
      </c>
      <c r="AF776" s="19" t="str">
        <f t="shared" si="138"/>
        <v/>
      </c>
      <c r="AG776" s="27" t="str">
        <f>IF(AND('Supplier selection'!AB776="",'Supplier selection'!AI776=""),"",IF('Supplier selection'!AB776="",'Supplier selection'!AI776,'Supplier selection'!AB776))</f>
        <v/>
      </c>
      <c r="AH776" s="28" t="str">
        <f t="shared" si="139"/>
        <v/>
      </c>
      <c r="AI776" s="7" t="str">
        <f t="shared" si="140"/>
        <v/>
      </c>
      <c r="AJ776" s="22" t="str">
        <f t="shared" si="141"/>
        <v/>
      </c>
      <c r="AK776" s="29" t="str">
        <f t="shared" si="142"/>
        <v/>
      </c>
      <c r="AL776" s="10"/>
    </row>
    <row r="777" spans="1:38">
      <c r="A777" s="19">
        <f>IF('Supplier selection'!A777="","",'Supplier selection'!A777)</f>
        <v>773</v>
      </c>
      <c r="B777" s="19" t="str">
        <f>IF('Supplier selection'!B777="","",'Supplier selection'!B777)</f>
        <v/>
      </c>
      <c r="C777" s="19" t="str">
        <f>IF('Supplier selection'!C777="","",'Supplier selection'!C777)</f>
        <v/>
      </c>
      <c r="D777" s="19" t="str">
        <f>IF('Supplier selection'!D777="","",'Supplier selection'!D777)</f>
        <v/>
      </c>
      <c r="E777" s="19" t="str">
        <f>IF('Supplier selection'!E777="","",'Supplier selection'!E777)</f>
        <v/>
      </c>
      <c r="F777" s="19" t="str">
        <f>IF('Supplier selection'!F777="","",'Supplier selection'!F777)</f>
        <v/>
      </c>
      <c r="G777" s="19" t="str">
        <f>IF('Supplier selection'!G777="","",'Supplier selection'!G777)</f>
        <v/>
      </c>
      <c r="H777" s="19" t="str">
        <f>IF('Supplier selection'!H777="","",'Supplier selection'!H777)</f>
        <v/>
      </c>
      <c r="I777" s="19" t="str">
        <f>IF('Supplier selection'!I777="","",'Supplier selection'!I777)</f>
        <v/>
      </c>
      <c r="J777" s="19" t="str">
        <f>IF('Supplier selection'!J777="","",'Supplier selection'!J777)</f>
        <v/>
      </c>
      <c r="K777" s="19" t="str">
        <f>IF('Supplier selection'!K777="","",'Supplier selection'!K777)</f>
        <v/>
      </c>
      <c r="L777" s="19" t="str">
        <f>IF('Supplier selection'!L777="","",'Supplier selection'!L777)</f>
        <v/>
      </c>
      <c r="M777" s="19" t="str">
        <f>IF('Supplier selection'!M777="","",'Supplier selection'!M777)</f>
        <v/>
      </c>
      <c r="N777" s="19" t="str">
        <f>IF('Supplier selection'!N777="","",'Supplier selection'!N777)</f>
        <v/>
      </c>
      <c r="O777" s="19" t="str">
        <f>IF('Supplier selection'!O777="","",'Supplier selection'!O777)</f>
        <v/>
      </c>
      <c r="Q777" s="19" t="str">
        <f>HLOOKUP($Q$3,'Supplier selection'!$AW$4:'Supplier selection'!$CT$1000,$A778,FALSE)</f>
        <v/>
      </c>
      <c r="R777" s="22" t="str">
        <f t="shared" si="132"/>
        <v/>
      </c>
      <c r="S777" s="19" t="str">
        <f t="shared" si="133"/>
        <v/>
      </c>
      <c r="T777" s="22" t="str">
        <f t="shared" si="134"/>
        <v/>
      </c>
      <c r="U777" s="19" t="str">
        <f t="shared" si="135"/>
        <v/>
      </c>
      <c r="V777" s="7"/>
      <c r="Y777" s="19" t="str">
        <f>IF('Supplier selection'!AQ777="","",'Supplier selection'!AQ777)</f>
        <v/>
      </c>
      <c r="Z777" s="19" t="str">
        <f>IF('Supplier selection'!AR777="","",'Supplier selection'!AR777)</f>
        <v/>
      </c>
      <c r="AA777" s="19" t="str">
        <f t="shared" si="136"/>
        <v/>
      </c>
      <c r="AD777" s="26" t="str">
        <f>IF(AND('Supplier selection'!X777="",'Supplier selection'!AE777=""),"",IF('Supplier selection'!X777="",'Supplier selection'!AE777,'Supplier selection'!X777))</f>
        <v/>
      </c>
      <c r="AE777" s="19" t="str">
        <f t="shared" si="137"/>
        <v/>
      </c>
      <c r="AF777" s="19" t="str">
        <f t="shared" si="138"/>
        <v/>
      </c>
      <c r="AG777" s="27" t="str">
        <f>IF(AND('Supplier selection'!AB777="",'Supplier selection'!AI777=""),"",IF('Supplier selection'!AB777="",'Supplier selection'!AI777,'Supplier selection'!AB777))</f>
        <v/>
      </c>
      <c r="AH777" s="28" t="str">
        <f t="shared" si="139"/>
        <v/>
      </c>
      <c r="AI777" s="7" t="str">
        <f t="shared" si="140"/>
        <v/>
      </c>
      <c r="AJ777" s="22" t="str">
        <f t="shared" si="141"/>
        <v/>
      </c>
      <c r="AK777" s="29" t="str">
        <f t="shared" si="142"/>
        <v/>
      </c>
      <c r="AL777" s="10"/>
    </row>
    <row r="778" spans="1:38">
      <c r="A778" s="19">
        <f>IF('Supplier selection'!A778="","",'Supplier selection'!A778)</f>
        <v>774</v>
      </c>
      <c r="B778" s="19" t="str">
        <f>IF('Supplier selection'!B778="","",'Supplier selection'!B778)</f>
        <v/>
      </c>
      <c r="C778" s="19" t="str">
        <f>IF('Supplier selection'!C778="","",'Supplier selection'!C778)</f>
        <v/>
      </c>
      <c r="D778" s="19" t="str">
        <f>IF('Supplier selection'!D778="","",'Supplier selection'!D778)</f>
        <v/>
      </c>
      <c r="E778" s="19" t="str">
        <f>IF('Supplier selection'!E778="","",'Supplier selection'!E778)</f>
        <v/>
      </c>
      <c r="F778" s="19" t="str">
        <f>IF('Supplier selection'!F778="","",'Supplier selection'!F778)</f>
        <v/>
      </c>
      <c r="G778" s="19" t="str">
        <f>IF('Supplier selection'!G778="","",'Supplier selection'!G778)</f>
        <v/>
      </c>
      <c r="H778" s="19" t="str">
        <f>IF('Supplier selection'!H778="","",'Supplier selection'!H778)</f>
        <v/>
      </c>
      <c r="I778" s="19" t="str">
        <f>IF('Supplier selection'!I778="","",'Supplier selection'!I778)</f>
        <v/>
      </c>
      <c r="J778" s="19" t="str">
        <f>IF('Supplier selection'!J778="","",'Supplier selection'!J778)</f>
        <v/>
      </c>
      <c r="K778" s="19" t="str">
        <f>IF('Supplier selection'!K778="","",'Supplier selection'!K778)</f>
        <v/>
      </c>
      <c r="L778" s="19" t="str">
        <f>IF('Supplier selection'!L778="","",'Supplier selection'!L778)</f>
        <v/>
      </c>
      <c r="M778" s="19" t="str">
        <f>IF('Supplier selection'!M778="","",'Supplier selection'!M778)</f>
        <v/>
      </c>
      <c r="N778" s="19" t="str">
        <f>IF('Supplier selection'!N778="","",'Supplier selection'!N778)</f>
        <v/>
      </c>
      <c r="O778" s="19" t="str">
        <f>IF('Supplier selection'!O778="","",'Supplier selection'!O778)</f>
        <v/>
      </c>
      <c r="Q778" s="19" t="str">
        <f>HLOOKUP($Q$3,'Supplier selection'!$AW$4:'Supplier selection'!$CT$1000,$A779,FALSE)</f>
        <v/>
      </c>
      <c r="R778" s="22" t="str">
        <f t="shared" si="132"/>
        <v/>
      </c>
      <c r="S778" s="19" t="str">
        <f t="shared" si="133"/>
        <v/>
      </c>
      <c r="T778" s="22" t="str">
        <f t="shared" si="134"/>
        <v/>
      </c>
      <c r="U778" s="19" t="str">
        <f t="shared" si="135"/>
        <v/>
      </c>
      <c r="V778" s="7"/>
      <c r="Y778" s="19" t="str">
        <f>IF('Supplier selection'!AQ778="","",'Supplier selection'!AQ778)</f>
        <v/>
      </c>
      <c r="Z778" s="19" t="str">
        <f>IF('Supplier selection'!AR778="","",'Supplier selection'!AR778)</f>
        <v/>
      </c>
      <c r="AA778" s="19" t="str">
        <f t="shared" si="136"/>
        <v/>
      </c>
      <c r="AD778" s="26" t="str">
        <f>IF(AND('Supplier selection'!X778="",'Supplier selection'!AE778=""),"",IF('Supplier selection'!X778="",'Supplier selection'!AE778,'Supplier selection'!X778))</f>
        <v/>
      </c>
      <c r="AE778" s="19" t="str">
        <f t="shared" si="137"/>
        <v/>
      </c>
      <c r="AF778" s="19" t="str">
        <f t="shared" si="138"/>
        <v/>
      </c>
      <c r="AG778" s="27" t="str">
        <f>IF(AND('Supplier selection'!AB778="",'Supplier selection'!AI778=""),"",IF('Supplier selection'!AB778="",'Supplier selection'!AI778,'Supplier selection'!AB778))</f>
        <v/>
      </c>
      <c r="AH778" s="28" t="str">
        <f t="shared" si="139"/>
        <v/>
      </c>
      <c r="AI778" s="7" t="str">
        <f t="shared" si="140"/>
        <v/>
      </c>
      <c r="AJ778" s="22" t="str">
        <f t="shared" si="141"/>
        <v/>
      </c>
      <c r="AK778" s="29" t="str">
        <f t="shared" si="142"/>
        <v/>
      </c>
      <c r="AL778" s="10"/>
    </row>
    <row r="779" spans="1:38">
      <c r="A779" s="19">
        <f>IF('Supplier selection'!A779="","",'Supplier selection'!A779)</f>
        <v>775</v>
      </c>
      <c r="B779" s="19" t="str">
        <f>IF('Supplier selection'!B779="","",'Supplier selection'!B779)</f>
        <v/>
      </c>
      <c r="C779" s="19" t="str">
        <f>IF('Supplier selection'!C779="","",'Supplier selection'!C779)</f>
        <v/>
      </c>
      <c r="D779" s="19" t="str">
        <f>IF('Supplier selection'!D779="","",'Supplier selection'!D779)</f>
        <v/>
      </c>
      <c r="E779" s="19" t="str">
        <f>IF('Supplier selection'!E779="","",'Supplier selection'!E779)</f>
        <v/>
      </c>
      <c r="F779" s="19" t="str">
        <f>IF('Supplier selection'!F779="","",'Supplier selection'!F779)</f>
        <v/>
      </c>
      <c r="G779" s="19" t="str">
        <f>IF('Supplier selection'!G779="","",'Supplier selection'!G779)</f>
        <v/>
      </c>
      <c r="H779" s="19" t="str">
        <f>IF('Supplier selection'!H779="","",'Supplier selection'!H779)</f>
        <v/>
      </c>
      <c r="I779" s="19" t="str">
        <f>IF('Supplier selection'!I779="","",'Supplier selection'!I779)</f>
        <v/>
      </c>
      <c r="J779" s="19" t="str">
        <f>IF('Supplier selection'!J779="","",'Supplier selection'!J779)</f>
        <v/>
      </c>
      <c r="K779" s="19" t="str">
        <f>IF('Supplier selection'!K779="","",'Supplier selection'!K779)</f>
        <v/>
      </c>
      <c r="L779" s="19" t="str">
        <f>IF('Supplier selection'!L779="","",'Supplier selection'!L779)</f>
        <v/>
      </c>
      <c r="M779" s="19" t="str">
        <f>IF('Supplier selection'!M779="","",'Supplier selection'!M779)</f>
        <v/>
      </c>
      <c r="N779" s="19" t="str">
        <f>IF('Supplier selection'!N779="","",'Supplier selection'!N779)</f>
        <v/>
      </c>
      <c r="O779" s="19" t="str">
        <f>IF('Supplier selection'!O779="","",'Supplier selection'!O779)</f>
        <v/>
      </c>
      <c r="Q779" s="19" t="str">
        <f>HLOOKUP($Q$3,'Supplier selection'!$AW$4:'Supplier selection'!$CT$1000,$A780,FALSE)</f>
        <v/>
      </c>
      <c r="R779" s="22" t="str">
        <f t="shared" si="132"/>
        <v/>
      </c>
      <c r="S779" s="19" t="str">
        <f t="shared" si="133"/>
        <v/>
      </c>
      <c r="T779" s="22" t="str">
        <f t="shared" si="134"/>
        <v/>
      </c>
      <c r="U779" s="19" t="str">
        <f t="shared" si="135"/>
        <v/>
      </c>
      <c r="V779" s="7"/>
      <c r="Y779" s="19" t="str">
        <f>IF('Supplier selection'!AQ779="","",'Supplier selection'!AQ779)</f>
        <v/>
      </c>
      <c r="Z779" s="19" t="str">
        <f>IF('Supplier selection'!AR779="","",'Supplier selection'!AR779)</f>
        <v/>
      </c>
      <c r="AA779" s="19" t="str">
        <f t="shared" si="136"/>
        <v/>
      </c>
      <c r="AD779" s="26" t="str">
        <f>IF(AND('Supplier selection'!X779="",'Supplier selection'!AE779=""),"",IF('Supplier selection'!X779="",'Supplier selection'!AE779,'Supplier selection'!X779))</f>
        <v/>
      </c>
      <c r="AE779" s="19" t="str">
        <f t="shared" si="137"/>
        <v/>
      </c>
      <c r="AF779" s="19" t="str">
        <f t="shared" si="138"/>
        <v/>
      </c>
      <c r="AG779" s="27" t="str">
        <f>IF(AND('Supplier selection'!AB779="",'Supplier selection'!AI779=""),"",IF('Supplier selection'!AB779="",'Supplier selection'!AI779,'Supplier selection'!AB779))</f>
        <v/>
      </c>
      <c r="AH779" s="28" t="str">
        <f t="shared" si="139"/>
        <v/>
      </c>
      <c r="AI779" s="7" t="str">
        <f t="shared" si="140"/>
        <v/>
      </c>
      <c r="AJ779" s="22" t="str">
        <f t="shared" si="141"/>
        <v/>
      </c>
      <c r="AK779" s="29" t="str">
        <f t="shared" si="142"/>
        <v/>
      </c>
      <c r="AL779" s="10"/>
    </row>
    <row r="780" spans="1:38">
      <c r="A780" s="19">
        <f>IF('Supplier selection'!A780="","",'Supplier selection'!A780)</f>
        <v>776</v>
      </c>
      <c r="B780" s="19" t="str">
        <f>IF('Supplier selection'!B780="","",'Supplier selection'!B780)</f>
        <v/>
      </c>
      <c r="C780" s="19" t="str">
        <f>IF('Supplier selection'!C780="","",'Supplier selection'!C780)</f>
        <v/>
      </c>
      <c r="D780" s="19" t="str">
        <f>IF('Supplier selection'!D780="","",'Supplier selection'!D780)</f>
        <v/>
      </c>
      <c r="E780" s="19" t="str">
        <f>IF('Supplier selection'!E780="","",'Supplier selection'!E780)</f>
        <v/>
      </c>
      <c r="F780" s="19" t="str">
        <f>IF('Supplier selection'!F780="","",'Supplier selection'!F780)</f>
        <v/>
      </c>
      <c r="G780" s="19" t="str">
        <f>IF('Supplier selection'!G780="","",'Supplier selection'!G780)</f>
        <v/>
      </c>
      <c r="H780" s="19" t="str">
        <f>IF('Supplier selection'!H780="","",'Supplier selection'!H780)</f>
        <v/>
      </c>
      <c r="I780" s="19" t="str">
        <f>IF('Supplier selection'!I780="","",'Supplier selection'!I780)</f>
        <v/>
      </c>
      <c r="J780" s="19" t="str">
        <f>IF('Supplier selection'!J780="","",'Supplier selection'!J780)</f>
        <v/>
      </c>
      <c r="K780" s="19" t="str">
        <f>IF('Supplier selection'!K780="","",'Supplier selection'!K780)</f>
        <v/>
      </c>
      <c r="L780" s="19" t="str">
        <f>IF('Supplier selection'!L780="","",'Supplier selection'!L780)</f>
        <v/>
      </c>
      <c r="M780" s="19" t="str">
        <f>IF('Supplier selection'!M780="","",'Supplier selection'!M780)</f>
        <v/>
      </c>
      <c r="N780" s="19" t="str">
        <f>IF('Supplier selection'!N780="","",'Supplier selection'!N780)</f>
        <v/>
      </c>
      <c r="O780" s="19" t="str">
        <f>IF('Supplier selection'!O780="","",'Supplier selection'!O780)</f>
        <v/>
      </c>
      <c r="Q780" s="19" t="str">
        <f>HLOOKUP($Q$3,'Supplier selection'!$AW$4:'Supplier selection'!$CT$1000,$A781,FALSE)</f>
        <v/>
      </c>
      <c r="R780" s="22" t="str">
        <f t="shared" si="132"/>
        <v/>
      </c>
      <c r="S780" s="19" t="str">
        <f t="shared" si="133"/>
        <v/>
      </c>
      <c r="T780" s="22" t="str">
        <f t="shared" si="134"/>
        <v/>
      </c>
      <c r="U780" s="19" t="str">
        <f t="shared" si="135"/>
        <v/>
      </c>
      <c r="V780" s="7"/>
      <c r="Y780" s="19" t="str">
        <f>IF('Supplier selection'!AQ780="","",'Supplier selection'!AQ780)</f>
        <v/>
      </c>
      <c r="Z780" s="19" t="str">
        <f>IF('Supplier selection'!AR780="","",'Supplier selection'!AR780)</f>
        <v/>
      </c>
      <c r="AA780" s="19" t="str">
        <f t="shared" si="136"/>
        <v/>
      </c>
      <c r="AD780" s="26" t="str">
        <f>IF(AND('Supplier selection'!X780="",'Supplier selection'!AE780=""),"",IF('Supplier selection'!X780="",'Supplier selection'!AE780,'Supplier selection'!X780))</f>
        <v/>
      </c>
      <c r="AE780" s="19" t="str">
        <f t="shared" si="137"/>
        <v/>
      </c>
      <c r="AF780" s="19" t="str">
        <f t="shared" si="138"/>
        <v/>
      </c>
      <c r="AG780" s="27" t="str">
        <f>IF(AND('Supplier selection'!AB780="",'Supplier selection'!AI780=""),"",IF('Supplier selection'!AB780="",'Supplier selection'!AI780,'Supplier selection'!AB780))</f>
        <v/>
      </c>
      <c r="AH780" s="28" t="str">
        <f t="shared" si="139"/>
        <v/>
      </c>
      <c r="AI780" s="7" t="str">
        <f t="shared" si="140"/>
        <v/>
      </c>
      <c r="AJ780" s="22" t="str">
        <f t="shared" si="141"/>
        <v/>
      </c>
      <c r="AK780" s="29" t="str">
        <f t="shared" si="142"/>
        <v/>
      </c>
      <c r="AL780" s="10"/>
    </row>
    <row r="781" spans="1:38">
      <c r="A781" s="19">
        <f>IF('Supplier selection'!A781="","",'Supplier selection'!A781)</f>
        <v>777</v>
      </c>
      <c r="B781" s="19" t="str">
        <f>IF('Supplier selection'!B781="","",'Supplier selection'!B781)</f>
        <v/>
      </c>
      <c r="C781" s="19" t="str">
        <f>IF('Supplier selection'!C781="","",'Supplier selection'!C781)</f>
        <v/>
      </c>
      <c r="D781" s="19" t="str">
        <f>IF('Supplier selection'!D781="","",'Supplier selection'!D781)</f>
        <v/>
      </c>
      <c r="E781" s="19" t="str">
        <f>IF('Supplier selection'!E781="","",'Supplier selection'!E781)</f>
        <v/>
      </c>
      <c r="F781" s="19" t="str">
        <f>IF('Supplier selection'!F781="","",'Supplier selection'!F781)</f>
        <v/>
      </c>
      <c r="G781" s="19" t="str">
        <f>IF('Supplier selection'!G781="","",'Supplier selection'!G781)</f>
        <v/>
      </c>
      <c r="H781" s="19" t="str">
        <f>IF('Supplier selection'!H781="","",'Supplier selection'!H781)</f>
        <v/>
      </c>
      <c r="I781" s="19" t="str">
        <f>IF('Supplier selection'!I781="","",'Supplier selection'!I781)</f>
        <v/>
      </c>
      <c r="J781" s="19" t="str">
        <f>IF('Supplier selection'!J781="","",'Supplier selection'!J781)</f>
        <v/>
      </c>
      <c r="K781" s="19" t="str">
        <f>IF('Supplier selection'!K781="","",'Supplier selection'!K781)</f>
        <v/>
      </c>
      <c r="L781" s="19" t="str">
        <f>IF('Supplier selection'!L781="","",'Supplier selection'!L781)</f>
        <v/>
      </c>
      <c r="M781" s="19" t="str">
        <f>IF('Supplier selection'!M781="","",'Supplier selection'!M781)</f>
        <v/>
      </c>
      <c r="N781" s="19" t="str">
        <f>IF('Supplier selection'!N781="","",'Supplier selection'!N781)</f>
        <v/>
      </c>
      <c r="O781" s="19" t="str">
        <f>IF('Supplier selection'!O781="","",'Supplier selection'!O781)</f>
        <v/>
      </c>
      <c r="Q781" s="19" t="str">
        <f>HLOOKUP($Q$3,'Supplier selection'!$AW$4:'Supplier selection'!$CT$1000,$A782,FALSE)</f>
        <v/>
      </c>
      <c r="R781" s="22" t="str">
        <f t="shared" si="132"/>
        <v/>
      </c>
      <c r="S781" s="19" t="str">
        <f t="shared" si="133"/>
        <v/>
      </c>
      <c r="T781" s="22" t="str">
        <f t="shared" si="134"/>
        <v/>
      </c>
      <c r="U781" s="19" t="str">
        <f t="shared" si="135"/>
        <v/>
      </c>
      <c r="V781" s="7"/>
      <c r="Y781" s="19" t="str">
        <f>IF('Supplier selection'!AQ781="","",'Supplier selection'!AQ781)</f>
        <v/>
      </c>
      <c r="Z781" s="19" t="str">
        <f>IF('Supplier selection'!AR781="","",'Supplier selection'!AR781)</f>
        <v/>
      </c>
      <c r="AA781" s="19" t="str">
        <f t="shared" si="136"/>
        <v/>
      </c>
      <c r="AD781" s="26" t="str">
        <f>IF(AND('Supplier selection'!X781="",'Supplier selection'!AE781=""),"",IF('Supplier selection'!X781="",'Supplier selection'!AE781,'Supplier selection'!X781))</f>
        <v/>
      </c>
      <c r="AE781" s="19" t="str">
        <f t="shared" si="137"/>
        <v/>
      </c>
      <c r="AF781" s="19" t="str">
        <f t="shared" si="138"/>
        <v/>
      </c>
      <c r="AG781" s="27" t="str">
        <f>IF(AND('Supplier selection'!AB781="",'Supplier selection'!AI781=""),"",IF('Supplier selection'!AB781="",'Supplier selection'!AI781,'Supplier selection'!AB781))</f>
        <v/>
      </c>
      <c r="AH781" s="28" t="str">
        <f t="shared" si="139"/>
        <v/>
      </c>
      <c r="AI781" s="7" t="str">
        <f t="shared" si="140"/>
        <v/>
      </c>
      <c r="AJ781" s="22" t="str">
        <f t="shared" si="141"/>
        <v/>
      </c>
      <c r="AK781" s="29" t="str">
        <f t="shared" si="142"/>
        <v/>
      </c>
      <c r="AL781" s="10"/>
    </row>
    <row r="782" spans="1:38">
      <c r="A782" s="19">
        <f>IF('Supplier selection'!A782="","",'Supplier selection'!A782)</f>
        <v>778</v>
      </c>
      <c r="B782" s="19" t="str">
        <f>IF('Supplier selection'!B782="","",'Supplier selection'!B782)</f>
        <v/>
      </c>
      <c r="C782" s="19" t="str">
        <f>IF('Supplier selection'!C782="","",'Supplier selection'!C782)</f>
        <v/>
      </c>
      <c r="D782" s="19" t="str">
        <f>IF('Supplier selection'!D782="","",'Supplier selection'!D782)</f>
        <v/>
      </c>
      <c r="E782" s="19" t="str">
        <f>IF('Supplier selection'!E782="","",'Supplier selection'!E782)</f>
        <v/>
      </c>
      <c r="F782" s="19" t="str">
        <f>IF('Supplier selection'!F782="","",'Supplier selection'!F782)</f>
        <v/>
      </c>
      <c r="G782" s="19" t="str">
        <f>IF('Supplier selection'!G782="","",'Supplier selection'!G782)</f>
        <v/>
      </c>
      <c r="H782" s="19" t="str">
        <f>IF('Supplier selection'!H782="","",'Supplier selection'!H782)</f>
        <v/>
      </c>
      <c r="I782" s="19" t="str">
        <f>IF('Supplier selection'!I782="","",'Supplier selection'!I782)</f>
        <v/>
      </c>
      <c r="J782" s="19" t="str">
        <f>IF('Supplier selection'!J782="","",'Supplier selection'!J782)</f>
        <v/>
      </c>
      <c r="K782" s="19" t="str">
        <f>IF('Supplier selection'!K782="","",'Supplier selection'!K782)</f>
        <v/>
      </c>
      <c r="L782" s="19" t="str">
        <f>IF('Supplier selection'!L782="","",'Supplier selection'!L782)</f>
        <v/>
      </c>
      <c r="M782" s="19" t="str">
        <f>IF('Supplier selection'!M782="","",'Supplier selection'!M782)</f>
        <v/>
      </c>
      <c r="N782" s="19" t="str">
        <f>IF('Supplier selection'!N782="","",'Supplier selection'!N782)</f>
        <v/>
      </c>
      <c r="O782" s="19" t="str">
        <f>IF('Supplier selection'!O782="","",'Supplier selection'!O782)</f>
        <v/>
      </c>
      <c r="Q782" s="19" t="str">
        <f>HLOOKUP($Q$3,'Supplier selection'!$AW$4:'Supplier selection'!$CT$1000,$A783,FALSE)</f>
        <v/>
      </c>
      <c r="R782" s="22" t="str">
        <f t="shared" si="132"/>
        <v/>
      </c>
      <c r="S782" s="19" t="str">
        <f t="shared" si="133"/>
        <v/>
      </c>
      <c r="T782" s="22" t="str">
        <f t="shared" si="134"/>
        <v/>
      </c>
      <c r="U782" s="19" t="str">
        <f t="shared" si="135"/>
        <v/>
      </c>
      <c r="V782" s="7"/>
      <c r="Y782" s="19" t="str">
        <f>IF('Supplier selection'!AQ782="","",'Supplier selection'!AQ782)</f>
        <v/>
      </c>
      <c r="Z782" s="19" t="str">
        <f>IF('Supplier selection'!AR782="","",'Supplier selection'!AR782)</f>
        <v/>
      </c>
      <c r="AA782" s="19" t="str">
        <f t="shared" si="136"/>
        <v/>
      </c>
      <c r="AD782" s="26" t="str">
        <f>IF(AND('Supplier selection'!X782="",'Supplier selection'!AE782=""),"",IF('Supplier selection'!X782="",'Supplier selection'!AE782,'Supplier selection'!X782))</f>
        <v/>
      </c>
      <c r="AE782" s="19" t="str">
        <f t="shared" si="137"/>
        <v/>
      </c>
      <c r="AF782" s="19" t="str">
        <f t="shared" si="138"/>
        <v/>
      </c>
      <c r="AG782" s="27" t="str">
        <f>IF(AND('Supplier selection'!AB782="",'Supplier selection'!AI782=""),"",IF('Supplier selection'!AB782="",'Supplier selection'!AI782,'Supplier selection'!AB782))</f>
        <v/>
      </c>
      <c r="AH782" s="28" t="str">
        <f t="shared" si="139"/>
        <v/>
      </c>
      <c r="AI782" s="7" t="str">
        <f t="shared" si="140"/>
        <v/>
      </c>
      <c r="AJ782" s="22" t="str">
        <f t="shared" si="141"/>
        <v/>
      </c>
      <c r="AK782" s="29" t="str">
        <f t="shared" si="142"/>
        <v/>
      </c>
      <c r="AL782" s="10"/>
    </row>
    <row r="783" spans="1:38">
      <c r="A783" s="19">
        <f>IF('Supplier selection'!A783="","",'Supplier selection'!A783)</f>
        <v>779</v>
      </c>
      <c r="B783" s="19" t="str">
        <f>IF('Supplier selection'!B783="","",'Supplier selection'!B783)</f>
        <v/>
      </c>
      <c r="C783" s="19" t="str">
        <f>IF('Supplier selection'!C783="","",'Supplier selection'!C783)</f>
        <v/>
      </c>
      <c r="D783" s="19" t="str">
        <f>IF('Supplier selection'!D783="","",'Supplier selection'!D783)</f>
        <v/>
      </c>
      <c r="E783" s="19" t="str">
        <f>IF('Supplier selection'!E783="","",'Supplier selection'!E783)</f>
        <v/>
      </c>
      <c r="F783" s="19" t="str">
        <f>IF('Supplier selection'!F783="","",'Supplier selection'!F783)</f>
        <v/>
      </c>
      <c r="G783" s="19" t="str">
        <f>IF('Supplier selection'!G783="","",'Supplier selection'!G783)</f>
        <v/>
      </c>
      <c r="H783" s="19" t="str">
        <f>IF('Supplier selection'!H783="","",'Supplier selection'!H783)</f>
        <v/>
      </c>
      <c r="I783" s="19" t="str">
        <f>IF('Supplier selection'!I783="","",'Supplier selection'!I783)</f>
        <v/>
      </c>
      <c r="J783" s="19" t="str">
        <f>IF('Supplier selection'!J783="","",'Supplier selection'!J783)</f>
        <v/>
      </c>
      <c r="K783" s="19" t="str">
        <f>IF('Supplier selection'!K783="","",'Supplier selection'!K783)</f>
        <v/>
      </c>
      <c r="L783" s="19" t="str">
        <f>IF('Supplier selection'!L783="","",'Supplier selection'!L783)</f>
        <v/>
      </c>
      <c r="M783" s="19" t="str">
        <f>IF('Supplier selection'!M783="","",'Supplier selection'!M783)</f>
        <v/>
      </c>
      <c r="N783" s="19" t="str">
        <f>IF('Supplier selection'!N783="","",'Supplier selection'!N783)</f>
        <v/>
      </c>
      <c r="O783" s="19" t="str">
        <f>IF('Supplier selection'!O783="","",'Supplier selection'!O783)</f>
        <v/>
      </c>
      <c r="Q783" s="19" t="str">
        <f>HLOOKUP($Q$3,'Supplier selection'!$AW$4:'Supplier selection'!$CT$1000,$A784,FALSE)</f>
        <v/>
      </c>
      <c r="R783" s="22" t="str">
        <f t="shared" si="132"/>
        <v/>
      </c>
      <c r="S783" s="19" t="str">
        <f t="shared" si="133"/>
        <v/>
      </c>
      <c r="T783" s="22" t="str">
        <f t="shared" si="134"/>
        <v/>
      </c>
      <c r="U783" s="19" t="str">
        <f t="shared" si="135"/>
        <v/>
      </c>
      <c r="V783" s="7"/>
      <c r="Y783" s="19" t="str">
        <f>IF('Supplier selection'!AQ783="","",'Supplier selection'!AQ783)</f>
        <v/>
      </c>
      <c r="Z783" s="19" t="str">
        <f>IF('Supplier selection'!AR783="","",'Supplier selection'!AR783)</f>
        <v/>
      </c>
      <c r="AA783" s="19" t="str">
        <f t="shared" si="136"/>
        <v/>
      </c>
      <c r="AD783" s="26" t="str">
        <f>IF(AND('Supplier selection'!X783="",'Supplier selection'!AE783=""),"",IF('Supplier selection'!X783="",'Supplier selection'!AE783,'Supplier selection'!X783))</f>
        <v/>
      </c>
      <c r="AE783" s="19" t="str">
        <f t="shared" si="137"/>
        <v/>
      </c>
      <c r="AF783" s="19" t="str">
        <f t="shared" si="138"/>
        <v/>
      </c>
      <c r="AG783" s="27" t="str">
        <f>IF(AND('Supplier selection'!AB783="",'Supplier selection'!AI783=""),"",IF('Supplier selection'!AB783="",'Supplier selection'!AI783,'Supplier selection'!AB783))</f>
        <v/>
      </c>
      <c r="AH783" s="28" t="str">
        <f t="shared" si="139"/>
        <v/>
      </c>
      <c r="AI783" s="7" t="str">
        <f t="shared" si="140"/>
        <v/>
      </c>
      <c r="AJ783" s="22" t="str">
        <f t="shared" si="141"/>
        <v/>
      </c>
      <c r="AK783" s="29" t="str">
        <f t="shared" si="142"/>
        <v/>
      </c>
      <c r="AL783" s="10"/>
    </row>
    <row r="784" spans="1:38">
      <c r="A784" s="19">
        <f>IF('Supplier selection'!A784="","",'Supplier selection'!A784)</f>
        <v>780</v>
      </c>
      <c r="B784" s="19" t="str">
        <f>IF('Supplier selection'!B784="","",'Supplier selection'!B784)</f>
        <v/>
      </c>
      <c r="C784" s="19" t="str">
        <f>IF('Supplier selection'!C784="","",'Supplier selection'!C784)</f>
        <v/>
      </c>
      <c r="D784" s="19" t="str">
        <f>IF('Supplier selection'!D784="","",'Supplier selection'!D784)</f>
        <v/>
      </c>
      <c r="E784" s="19" t="str">
        <f>IF('Supplier selection'!E784="","",'Supplier selection'!E784)</f>
        <v/>
      </c>
      <c r="F784" s="19" t="str">
        <f>IF('Supplier selection'!F784="","",'Supplier selection'!F784)</f>
        <v/>
      </c>
      <c r="G784" s="19" t="str">
        <f>IF('Supplier selection'!G784="","",'Supplier selection'!G784)</f>
        <v/>
      </c>
      <c r="H784" s="19" t="str">
        <f>IF('Supplier selection'!H784="","",'Supplier selection'!H784)</f>
        <v/>
      </c>
      <c r="I784" s="19" t="str">
        <f>IF('Supplier selection'!I784="","",'Supplier selection'!I784)</f>
        <v/>
      </c>
      <c r="J784" s="19" t="str">
        <f>IF('Supplier selection'!J784="","",'Supplier selection'!J784)</f>
        <v/>
      </c>
      <c r="K784" s="19" t="str">
        <f>IF('Supplier selection'!K784="","",'Supplier selection'!K784)</f>
        <v/>
      </c>
      <c r="L784" s="19" t="str">
        <f>IF('Supplier selection'!L784="","",'Supplier selection'!L784)</f>
        <v/>
      </c>
      <c r="M784" s="19" t="str">
        <f>IF('Supplier selection'!M784="","",'Supplier selection'!M784)</f>
        <v/>
      </c>
      <c r="N784" s="19" t="str">
        <f>IF('Supplier selection'!N784="","",'Supplier selection'!N784)</f>
        <v/>
      </c>
      <c r="O784" s="19" t="str">
        <f>IF('Supplier selection'!O784="","",'Supplier selection'!O784)</f>
        <v/>
      </c>
      <c r="Q784" s="19" t="str">
        <f>HLOOKUP($Q$3,'Supplier selection'!$AW$4:'Supplier selection'!$CT$1000,$A785,FALSE)</f>
        <v/>
      </c>
      <c r="R784" s="22" t="str">
        <f t="shared" si="132"/>
        <v/>
      </c>
      <c r="S784" s="19" t="str">
        <f t="shared" si="133"/>
        <v/>
      </c>
      <c r="T784" s="22" t="str">
        <f t="shared" si="134"/>
        <v/>
      </c>
      <c r="U784" s="19" t="str">
        <f t="shared" si="135"/>
        <v/>
      </c>
      <c r="V784" s="7"/>
      <c r="Y784" s="19" t="str">
        <f>IF('Supplier selection'!AQ784="","",'Supplier selection'!AQ784)</f>
        <v/>
      </c>
      <c r="Z784" s="19" t="str">
        <f>IF('Supplier selection'!AR784="","",'Supplier selection'!AR784)</f>
        <v/>
      </c>
      <c r="AA784" s="19" t="str">
        <f t="shared" si="136"/>
        <v/>
      </c>
      <c r="AD784" s="26" t="str">
        <f>IF(AND('Supplier selection'!X784="",'Supplier selection'!AE784=""),"",IF('Supplier selection'!X784="",'Supplier selection'!AE784,'Supplier selection'!X784))</f>
        <v/>
      </c>
      <c r="AE784" s="19" t="str">
        <f t="shared" si="137"/>
        <v/>
      </c>
      <c r="AF784" s="19" t="str">
        <f t="shared" si="138"/>
        <v/>
      </c>
      <c r="AG784" s="27" t="str">
        <f>IF(AND('Supplier selection'!AB784="",'Supplier selection'!AI784=""),"",IF('Supplier selection'!AB784="",'Supplier selection'!AI784,'Supplier selection'!AB784))</f>
        <v/>
      </c>
      <c r="AH784" s="28" t="str">
        <f t="shared" si="139"/>
        <v/>
      </c>
      <c r="AI784" s="7" t="str">
        <f t="shared" si="140"/>
        <v/>
      </c>
      <c r="AJ784" s="22" t="str">
        <f t="shared" si="141"/>
        <v/>
      </c>
      <c r="AK784" s="29" t="str">
        <f t="shared" si="142"/>
        <v/>
      </c>
      <c r="AL784" s="10"/>
    </row>
    <row r="785" spans="1:38">
      <c r="A785" s="19">
        <f>IF('Supplier selection'!A785="","",'Supplier selection'!A785)</f>
        <v>781</v>
      </c>
      <c r="B785" s="19" t="str">
        <f>IF('Supplier selection'!B785="","",'Supplier selection'!B785)</f>
        <v/>
      </c>
      <c r="C785" s="19" t="str">
        <f>IF('Supplier selection'!C785="","",'Supplier selection'!C785)</f>
        <v/>
      </c>
      <c r="D785" s="19" t="str">
        <f>IF('Supplier selection'!D785="","",'Supplier selection'!D785)</f>
        <v/>
      </c>
      <c r="E785" s="19" t="str">
        <f>IF('Supplier selection'!E785="","",'Supplier selection'!E785)</f>
        <v/>
      </c>
      <c r="F785" s="19" t="str">
        <f>IF('Supplier selection'!F785="","",'Supplier selection'!F785)</f>
        <v/>
      </c>
      <c r="G785" s="19" t="str">
        <f>IF('Supplier selection'!G785="","",'Supplier selection'!G785)</f>
        <v/>
      </c>
      <c r="H785" s="19" t="str">
        <f>IF('Supplier selection'!H785="","",'Supplier selection'!H785)</f>
        <v/>
      </c>
      <c r="I785" s="19" t="str">
        <f>IF('Supplier selection'!I785="","",'Supplier selection'!I785)</f>
        <v/>
      </c>
      <c r="J785" s="19" t="str">
        <f>IF('Supplier selection'!J785="","",'Supplier selection'!J785)</f>
        <v/>
      </c>
      <c r="K785" s="19" t="str">
        <f>IF('Supplier selection'!K785="","",'Supplier selection'!K785)</f>
        <v/>
      </c>
      <c r="L785" s="19" t="str">
        <f>IF('Supplier selection'!L785="","",'Supplier selection'!L785)</f>
        <v/>
      </c>
      <c r="M785" s="19" t="str">
        <f>IF('Supplier selection'!M785="","",'Supplier selection'!M785)</f>
        <v/>
      </c>
      <c r="N785" s="19" t="str">
        <f>IF('Supplier selection'!N785="","",'Supplier selection'!N785)</f>
        <v/>
      </c>
      <c r="O785" s="19" t="str">
        <f>IF('Supplier selection'!O785="","",'Supplier selection'!O785)</f>
        <v/>
      </c>
      <c r="Q785" s="19" t="str">
        <f>HLOOKUP($Q$3,'Supplier selection'!$AW$4:'Supplier selection'!$CT$1000,$A786,FALSE)</f>
        <v/>
      </c>
      <c r="R785" s="22" t="str">
        <f t="shared" si="132"/>
        <v/>
      </c>
      <c r="S785" s="19" t="str">
        <f t="shared" si="133"/>
        <v/>
      </c>
      <c r="T785" s="22" t="str">
        <f t="shared" si="134"/>
        <v/>
      </c>
      <c r="U785" s="19" t="str">
        <f t="shared" si="135"/>
        <v/>
      </c>
      <c r="V785" s="7"/>
      <c r="Y785" s="19" t="str">
        <f>IF('Supplier selection'!AQ785="","",'Supplier selection'!AQ785)</f>
        <v/>
      </c>
      <c r="Z785" s="19" t="str">
        <f>IF('Supplier selection'!AR785="","",'Supplier selection'!AR785)</f>
        <v/>
      </c>
      <c r="AA785" s="19" t="str">
        <f t="shared" si="136"/>
        <v/>
      </c>
      <c r="AD785" s="26" t="str">
        <f>IF(AND('Supplier selection'!X785="",'Supplier selection'!AE785=""),"",IF('Supplier selection'!X785="",'Supplier selection'!AE785,'Supplier selection'!X785))</f>
        <v/>
      </c>
      <c r="AE785" s="19" t="str">
        <f t="shared" si="137"/>
        <v/>
      </c>
      <c r="AF785" s="19" t="str">
        <f t="shared" si="138"/>
        <v/>
      </c>
      <c r="AG785" s="27" t="str">
        <f>IF(AND('Supplier selection'!AB785="",'Supplier selection'!AI785=""),"",IF('Supplier selection'!AB785="",'Supplier selection'!AI785,'Supplier selection'!AB785))</f>
        <v/>
      </c>
      <c r="AH785" s="28" t="str">
        <f t="shared" si="139"/>
        <v/>
      </c>
      <c r="AI785" s="7" t="str">
        <f t="shared" si="140"/>
        <v/>
      </c>
      <c r="AJ785" s="22" t="str">
        <f t="shared" si="141"/>
        <v/>
      </c>
      <c r="AK785" s="29" t="str">
        <f t="shared" si="142"/>
        <v/>
      </c>
      <c r="AL785" s="10"/>
    </row>
    <row r="786" spans="1:38">
      <c r="A786" s="19">
        <f>IF('Supplier selection'!A786="","",'Supplier selection'!A786)</f>
        <v>782</v>
      </c>
      <c r="B786" s="19" t="str">
        <f>IF('Supplier selection'!B786="","",'Supplier selection'!B786)</f>
        <v/>
      </c>
      <c r="C786" s="19" t="str">
        <f>IF('Supplier selection'!C786="","",'Supplier selection'!C786)</f>
        <v/>
      </c>
      <c r="D786" s="19" t="str">
        <f>IF('Supplier selection'!D786="","",'Supplier selection'!D786)</f>
        <v/>
      </c>
      <c r="E786" s="19" t="str">
        <f>IF('Supplier selection'!E786="","",'Supplier selection'!E786)</f>
        <v/>
      </c>
      <c r="F786" s="19" t="str">
        <f>IF('Supplier selection'!F786="","",'Supplier selection'!F786)</f>
        <v/>
      </c>
      <c r="G786" s="19" t="str">
        <f>IF('Supplier selection'!G786="","",'Supplier selection'!G786)</f>
        <v/>
      </c>
      <c r="H786" s="19" t="str">
        <f>IF('Supplier selection'!H786="","",'Supplier selection'!H786)</f>
        <v/>
      </c>
      <c r="I786" s="19" t="str">
        <f>IF('Supplier selection'!I786="","",'Supplier selection'!I786)</f>
        <v/>
      </c>
      <c r="J786" s="19" t="str">
        <f>IF('Supplier selection'!J786="","",'Supplier selection'!J786)</f>
        <v/>
      </c>
      <c r="K786" s="19" t="str">
        <f>IF('Supplier selection'!K786="","",'Supplier selection'!K786)</f>
        <v/>
      </c>
      <c r="L786" s="19" t="str">
        <f>IF('Supplier selection'!L786="","",'Supplier selection'!L786)</f>
        <v/>
      </c>
      <c r="M786" s="19" t="str">
        <f>IF('Supplier selection'!M786="","",'Supplier selection'!M786)</f>
        <v/>
      </c>
      <c r="N786" s="19" t="str">
        <f>IF('Supplier selection'!N786="","",'Supplier selection'!N786)</f>
        <v/>
      </c>
      <c r="O786" s="19" t="str">
        <f>IF('Supplier selection'!O786="","",'Supplier selection'!O786)</f>
        <v/>
      </c>
      <c r="Q786" s="19" t="str">
        <f>HLOOKUP($Q$3,'Supplier selection'!$AW$4:'Supplier selection'!$CT$1000,$A787,FALSE)</f>
        <v/>
      </c>
      <c r="R786" s="22" t="str">
        <f t="shared" si="132"/>
        <v/>
      </c>
      <c r="S786" s="19" t="str">
        <f t="shared" si="133"/>
        <v/>
      </c>
      <c r="T786" s="22" t="str">
        <f t="shared" si="134"/>
        <v/>
      </c>
      <c r="U786" s="19" t="str">
        <f t="shared" si="135"/>
        <v/>
      </c>
      <c r="V786" s="7"/>
      <c r="Y786" s="19" t="str">
        <f>IF('Supplier selection'!AQ786="","",'Supplier selection'!AQ786)</f>
        <v/>
      </c>
      <c r="Z786" s="19" t="str">
        <f>IF('Supplier selection'!AR786="","",'Supplier selection'!AR786)</f>
        <v/>
      </c>
      <c r="AA786" s="19" t="str">
        <f t="shared" si="136"/>
        <v/>
      </c>
      <c r="AD786" s="26" t="str">
        <f>IF(AND('Supplier selection'!X786="",'Supplier selection'!AE786=""),"",IF('Supplier selection'!X786="",'Supplier selection'!AE786,'Supplier selection'!X786))</f>
        <v/>
      </c>
      <c r="AE786" s="19" t="str">
        <f t="shared" si="137"/>
        <v/>
      </c>
      <c r="AF786" s="19" t="str">
        <f t="shared" si="138"/>
        <v/>
      </c>
      <c r="AG786" s="27" t="str">
        <f>IF(AND('Supplier selection'!AB786="",'Supplier selection'!AI786=""),"",IF('Supplier selection'!AB786="",'Supplier selection'!AI786,'Supplier selection'!AB786))</f>
        <v/>
      </c>
      <c r="AH786" s="28" t="str">
        <f t="shared" si="139"/>
        <v/>
      </c>
      <c r="AI786" s="7" t="str">
        <f t="shared" si="140"/>
        <v/>
      </c>
      <c r="AJ786" s="22" t="str">
        <f t="shared" si="141"/>
        <v/>
      </c>
      <c r="AK786" s="29" t="str">
        <f t="shared" si="142"/>
        <v/>
      </c>
      <c r="AL786" s="10"/>
    </row>
    <row r="787" spans="1:38">
      <c r="A787" s="19">
        <f>IF('Supplier selection'!A787="","",'Supplier selection'!A787)</f>
        <v>783</v>
      </c>
      <c r="B787" s="19" t="str">
        <f>IF('Supplier selection'!B787="","",'Supplier selection'!B787)</f>
        <v/>
      </c>
      <c r="C787" s="19" t="str">
        <f>IF('Supplier selection'!C787="","",'Supplier selection'!C787)</f>
        <v/>
      </c>
      <c r="D787" s="19" t="str">
        <f>IF('Supplier selection'!D787="","",'Supplier selection'!D787)</f>
        <v/>
      </c>
      <c r="E787" s="19" t="str">
        <f>IF('Supplier selection'!E787="","",'Supplier selection'!E787)</f>
        <v/>
      </c>
      <c r="F787" s="19" t="str">
        <f>IF('Supplier selection'!F787="","",'Supplier selection'!F787)</f>
        <v/>
      </c>
      <c r="G787" s="19" t="str">
        <f>IF('Supplier selection'!G787="","",'Supplier selection'!G787)</f>
        <v/>
      </c>
      <c r="H787" s="19" t="str">
        <f>IF('Supplier selection'!H787="","",'Supplier selection'!H787)</f>
        <v/>
      </c>
      <c r="I787" s="19" t="str">
        <f>IF('Supplier selection'!I787="","",'Supplier selection'!I787)</f>
        <v/>
      </c>
      <c r="J787" s="19" t="str">
        <f>IF('Supplier selection'!J787="","",'Supplier selection'!J787)</f>
        <v/>
      </c>
      <c r="K787" s="19" t="str">
        <f>IF('Supplier selection'!K787="","",'Supplier selection'!K787)</f>
        <v/>
      </c>
      <c r="L787" s="19" t="str">
        <f>IF('Supplier selection'!L787="","",'Supplier selection'!L787)</f>
        <v/>
      </c>
      <c r="M787" s="19" t="str">
        <f>IF('Supplier selection'!M787="","",'Supplier selection'!M787)</f>
        <v/>
      </c>
      <c r="N787" s="19" t="str">
        <f>IF('Supplier selection'!N787="","",'Supplier selection'!N787)</f>
        <v/>
      </c>
      <c r="O787" s="19" t="str">
        <f>IF('Supplier selection'!O787="","",'Supplier selection'!O787)</f>
        <v/>
      </c>
      <c r="Q787" s="19" t="str">
        <f>HLOOKUP($Q$3,'Supplier selection'!$AW$4:'Supplier selection'!$CT$1000,$A788,FALSE)</f>
        <v/>
      </c>
      <c r="R787" s="22" t="str">
        <f t="shared" si="132"/>
        <v/>
      </c>
      <c r="S787" s="19" t="str">
        <f t="shared" si="133"/>
        <v/>
      </c>
      <c r="T787" s="22" t="str">
        <f t="shared" si="134"/>
        <v/>
      </c>
      <c r="U787" s="19" t="str">
        <f t="shared" si="135"/>
        <v/>
      </c>
      <c r="V787" s="7"/>
      <c r="Y787" s="19" t="str">
        <f>IF('Supplier selection'!AQ787="","",'Supplier selection'!AQ787)</f>
        <v/>
      </c>
      <c r="Z787" s="19" t="str">
        <f>IF('Supplier selection'!AR787="","",'Supplier selection'!AR787)</f>
        <v/>
      </c>
      <c r="AA787" s="19" t="str">
        <f t="shared" si="136"/>
        <v/>
      </c>
      <c r="AD787" s="26" t="str">
        <f>IF(AND('Supplier selection'!X787="",'Supplier selection'!AE787=""),"",IF('Supplier selection'!X787="",'Supplier selection'!AE787,'Supplier selection'!X787))</f>
        <v/>
      </c>
      <c r="AE787" s="19" t="str">
        <f t="shared" si="137"/>
        <v/>
      </c>
      <c r="AF787" s="19" t="str">
        <f t="shared" si="138"/>
        <v/>
      </c>
      <c r="AG787" s="27" t="str">
        <f>IF(AND('Supplier selection'!AB787="",'Supplier selection'!AI787=""),"",IF('Supplier selection'!AB787="",'Supplier selection'!AI787,'Supplier selection'!AB787))</f>
        <v/>
      </c>
      <c r="AH787" s="28" t="str">
        <f t="shared" si="139"/>
        <v/>
      </c>
      <c r="AI787" s="7" t="str">
        <f t="shared" si="140"/>
        <v/>
      </c>
      <c r="AJ787" s="22" t="str">
        <f t="shared" si="141"/>
        <v/>
      </c>
      <c r="AK787" s="29" t="str">
        <f t="shared" si="142"/>
        <v/>
      </c>
      <c r="AL787" s="10"/>
    </row>
    <row r="788" spans="1:38">
      <c r="A788" s="19">
        <f>IF('Supplier selection'!A788="","",'Supplier selection'!A788)</f>
        <v>784</v>
      </c>
      <c r="B788" s="19" t="str">
        <f>IF('Supplier selection'!B788="","",'Supplier selection'!B788)</f>
        <v/>
      </c>
      <c r="C788" s="19" t="str">
        <f>IF('Supplier selection'!C788="","",'Supplier selection'!C788)</f>
        <v/>
      </c>
      <c r="D788" s="19" t="str">
        <f>IF('Supplier selection'!D788="","",'Supplier selection'!D788)</f>
        <v/>
      </c>
      <c r="E788" s="19" t="str">
        <f>IF('Supplier selection'!E788="","",'Supplier selection'!E788)</f>
        <v/>
      </c>
      <c r="F788" s="19" t="str">
        <f>IF('Supplier selection'!F788="","",'Supplier selection'!F788)</f>
        <v/>
      </c>
      <c r="G788" s="19" t="str">
        <f>IF('Supplier selection'!G788="","",'Supplier selection'!G788)</f>
        <v/>
      </c>
      <c r="H788" s="19" t="str">
        <f>IF('Supplier selection'!H788="","",'Supplier selection'!H788)</f>
        <v/>
      </c>
      <c r="I788" s="19" t="str">
        <f>IF('Supplier selection'!I788="","",'Supplier selection'!I788)</f>
        <v/>
      </c>
      <c r="J788" s="19" t="str">
        <f>IF('Supplier selection'!J788="","",'Supplier selection'!J788)</f>
        <v/>
      </c>
      <c r="K788" s="19" t="str">
        <f>IF('Supplier selection'!K788="","",'Supplier selection'!K788)</f>
        <v/>
      </c>
      <c r="L788" s="19" t="str">
        <f>IF('Supplier selection'!L788="","",'Supplier selection'!L788)</f>
        <v/>
      </c>
      <c r="M788" s="19" t="str">
        <f>IF('Supplier selection'!M788="","",'Supplier selection'!M788)</f>
        <v/>
      </c>
      <c r="N788" s="19" t="str">
        <f>IF('Supplier selection'!N788="","",'Supplier selection'!N788)</f>
        <v/>
      </c>
      <c r="O788" s="19" t="str">
        <f>IF('Supplier selection'!O788="","",'Supplier selection'!O788)</f>
        <v/>
      </c>
      <c r="Q788" s="19" t="str">
        <f>HLOOKUP($Q$3,'Supplier selection'!$AW$4:'Supplier selection'!$CT$1000,$A789,FALSE)</f>
        <v/>
      </c>
      <c r="R788" s="22" t="str">
        <f t="shared" si="132"/>
        <v/>
      </c>
      <c r="S788" s="19" t="str">
        <f t="shared" si="133"/>
        <v/>
      </c>
      <c r="T788" s="22" t="str">
        <f t="shared" si="134"/>
        <v/>
      </c>
      <c r="U788" s="19" t="str">
        <f t="shared" si="135"/>
        <v/>
      </c>
      <c r="V788" s="7"/>
      <c r="Y788" s="19" t="str">
        <f>IF('Supplier selection'!AQ788="","",'Supplier selection'!AQ788)</f>
        <v/>
      </c>
      <c r="Z788" s="19" t="str">
        <f>IF('Supplier selection'!AR788="","",'Supplier selection'!AR788)</f>
        <v/>
      </c>
      <c r="AA788" s="19" t="str">
        <f t="shared" si="136"/>
        <v/>
      </c>
      <c r="AD788" s="26" t="str">
        <f>IF(AND('Supplier selection'!X788="",'Supplier selection'!AE788=""),"",IF('Supplier selection'!X788="",'Supplier selection'!AE788,'Supplier selection'!X788))</f>
        <v/>
      </c>
      <c r="AE788" s="19" t="str">
        <f t="shared" si="137"/>
        <v/>
      </c>
      <c r="AF788" s="19" t="str">
        <f t="shared" si="138"/>
        <v/>
      </c>
      <c r="AG788" s="27" t="str">
        <f>IF(AND('Supplier selection'!AB788="",'Supplier selection'!AI788=""),"",IF('Supplier selection'!AB788="",'Supplier selection'!AI788,'Supplier selection'!AB788))</f>
        <v/>
      </c>
      <c r="AH788" s="28" t="str">
        <f t="shared" si="139"/>
        <v/>
      </c>
      <c r="AI788" s="7" t="str">
        <f t="shared" si="140"/>
        <v/>
      </c>
      <c r="AJ788" s="22" t="str">
        <f t="shared" si="141"/>
        <v/>
      </c>
      <c r="AK788" s="29" t="str">
        <f t="shared" si="142"/>
        <v/>
      </c>
      <c r="AL788" s="10"/>
    </row>
    <row r="789" spans="1:38">
      <c r="A789" s="19">
        <f>IF('Supplier selection'!A789="","",'Supplier selection'!A789)</f>
        <v>785</v>
      </c>
      <c r="B789" s="19" t="str">
        <f>IF('Supplier selection'!B789="","",'Supplier selection'!B789)</f>
        <v/>
      </c>
      <c r="C789" s="19" t="str">
        <f>IF('Supplier selection'!C789="","",'Supplier selection'!C789)</f>
        <v/>
      </c>
      <c r="D789" s="19" t="str">
        <f>IF('Supplier selection'!D789="","",'Supplier selection'!D789)</f>
        <v/>
      </c>
      <c r="E789" s="19" t="str">
        <f>IF('Supplier selection'!E789="","",'Supplier selection'!E789)</f>
        <v/>
      </c>
      <c r="F789" s="19" t="str">
        <f>IF('Supplier selection'!F789="","",'Supplier selection'!F789)</f>
        <v/>
      </c>
      <c r="G789" s="19" t="str">
        <f>IF('Supplier selection'!G789="","",'Supplier selection'!G789)</f>
        <v/>
      </c>
      <c r="H789" s="19" t="str">
        <f>IF('Supplier selection'!H789="","",'Supplier selection'!H789)</f>
        <v/>
      </c>
      <c r="I789" s="19" t="str">
        <f>IF('Supplier selection'!I789="","",'Supplier selection'!I789)</f>
        <v/>
      </c>
      <c r="J789" s="19" t="str">
        <f>IF('Supplier selection'!J789="","",'Supplier selection'!J789)</f>
        <v/>
      </c>
      <c r="K789" s="19" t="str">
        <f>IF('Supplier selection'!K789="","",'Supplier selection'!K789)</f>
        <v/>
      </c>
      <c r="L789" s="19" t="str">
        <f>IF('Supplier selection'!L789="","",'Supplier selection'!L789)</f>
        <v/>
      </c>
      <c r="M789" s="19" t="str">
        <f>IF('Supplier selection'!M789="","",'Supplier selection'!M789)</f>
        <v/>
      </c>
      <c r="N789" s="19" t="str">
        <f>IF('Supplier selection'!N789="","",'Supplier selection'!N789)</f>
        <v/>
      </c>
      <c r="O789" s="19" t="str">
        <f>IF('Supplier selection'!O789="","",'Supplier selection'!O789)</f>
        <v/>
      </c>
      <c r="Q789" s="19" t="str">
        <f>HLOOKUP($Q$3,'Supplier selection'!$AW$4:'Supplier selection'!$CT$1000,$A790,FALSE)</f>
        <v/>
      </c>
      <c r="R789" s="22" t="str">
        <f t="shared" si="132"/>
        <v/>
      </c>
      <c r="S789" s="19" t="str">
        <f t="shared" si="133"/>
        <v/>
      </c>
      <c r="T789" s="22" t="str">
        <f t="shared" si="134"/>
        <v/>
      </c>
      <c r="U789" s="19" t="str">
        <f t="shared" si="135"/>
        <v/>
      </c>
      <c r="V789" s="7"/>
      <c r="Y789" s="19" t="str">
        <f>IF('Supplier selection'!AQ789="","",'Supplier selection'!AQ789)</f>
        <v/>
      </c>
      <c r="Z789" s="19" t="str">
        <f>IF('Supplier selection'!AR789="","",'Supplier selection'!AR789)</f>
        <v/>
      </c>
      <c r="AA789" s="19" t="str">
        <f t="shared" si="136"/>
        <v/>
      </c>
      <c r="AD789" s="26" t="str">
        <f>IF(AND('Supplier selection'!X789="",'Supplier selection'!AE789=""),"",IF('Supplier selection'!X789="",'Supplier selection'!AE789,'Supplier selection'!X789))</f>
        <v/>
      </c>
      <c r="AE789" s="19" t="str">
        <f t="shared" si="137"/>
        <v/>
      </c>
      <c r="AF789" s="19" t="str">
        <f t="shared" si="138"/>
        <v/>
      </c>
      <c r="AG789" s="27" t="str">
        <f>IF(AND('Supplier selection'!AB789="",'Supplier selection'!AI789=""),"",IF('Supplier selection'!AB789="",'Supplier selection'!AI789,'Supplier selection'!AB789))</f>
        <v/>
      </c>
      <c r="AH789" s="28" t="str">
        <f t="shared" si="139"/>
        <v/>
      </c>
      <c r="AI789" s="7" t="str">
        <f t="shared" si="140"/>
        <v/>
      </c>
      <c r="AJ789" s="22" t="str">
        <f t="shared" si="141"/>
        <v/>
      </c>
      <c r="AK789" s="29" t="str">
        <f t="shared" si="142"/>
        <v/>
      </c>
      <c r="AL789" s="10"/>
    </row>
    <row r="790" spans="1:38">
      <c r="A790" s="19">
        <f>IF('Supplier selection'!A790="","",'Supplier selection'!A790)</f>
        <v>786</v>
      </c>
      <c r="B790" s="19" t="str">
        <f>IF('Supplier selection'!B790="","",'Supplier selection'!B790)</f>
        <v/>
      </c>
      <c r="C790" s="19" t="str">
        <f>IF('Supplier selection'!C790="","",'Supplier selection'!C790)</f>
        <v/>
      </c>
      <c r="D790" s="19" t="str">
        <f>IF('Supplier selection'!D790="","",'Supplier selection'!D790)</f>
        <v/>
      </c>
      <c r="E790" s="19" t="str">
        <f>IF('Supplier selection'!E790="","",'Supplier selection'!E790)</f>
        <v/>
      </c>
      <c r="F790" s="19" t="str">
        <f>IF('Supplier selection'!F790="","",'Supplier selection'!F790)</f>
        <v/>
      </c>
      <c r="G790" s="19" t="str">
        <f>IF('Supplier selection'!G790="","",'Supplier selection'!G790)</f>
        <v/>
      </c>
      <c r="H790" s="19" t="str">
        <f>IF('Supplier selection'!H790="","",'Supplier selection'!H790)</f>
        <v/>
      </c>
      <c r="I790" s="19" t="str">
        <f>IF('Supplier selection'!I790="","",'Supplier selection'!I790)</f>
        <v/>
      </c>
      <c r="J790" s="19" t="str">
        <f>IF('Supplier selection'!J790="","",'Supplier selection'!J790)</f>
        <v/>
      </c>
      <c r="K790" s="19" t="str">
        <f>IF('Supplier selection'!K790="","",'Supplier selection'!K790)</f>
        <v/>
      </c>
      <c r="L790" s="19" t="str">
        <f>IF('Supplier selection'!L790="","",'Supplier selection'!L790)</f>
        <v/>
      </c>
      <c r="M790" s="19" t="str">
        <f>IF('Supplier selection'!M790="","",'Supplier selection'!M790)</f>
        <v/>
      </c>
      <c r="N790" s="19" t="str">
        <f>IF('Supplier selection'!N790="","",'Supplier selection'!N790)</f>
        <v/>
      </c>
      <c r="O790" s="19" t="str">
        <f>IF('Supplier selection'!O790="","",'Supplier selection'!O790)</f>
        <v/>
      </c>
      <c r="Q790" s="19" t="str">
        <f>HLOOKUP($Q$3,'Supplier selection'!$AW$4:'Supplier selection'!$CT$1000,$A791,FALSE)</f>
        <v/>
      </c>
      <c r="R790" s="22" t="str">
        <f t="shared" si="132"/>
        <v/>
      </c>
      <c r="S790" s="19" t="str">
        <f t="shared" si="133"/>
        <v/>
      </c>
      <c r="T790" s="22" t="str">
        <f t="shared" si="134"/>
        <v/>
      </c>
      <c r="U790" s="19" t="str">
        <f t="shared" si="135"/>
        <v/>
      </c>
      <c r="V790" s="7"/>
      <c r="Y790" s="19" t="str">
        <f>IF('Supplier selection'!AQ790="","",'Supplier selection'!AQ790)</f>
        <v/>
      </c>
      <c r="Z790" s="19" t="str">
        <f>IF('Supplier selection'!AR790="","",'Supplier selection'!AR790)</f>
        <v/>
      </c>
      <c r="AA790" s="19" t="str">
        <f t="shared" si="136"/>
        <v/>
      </c>
      <c r="AD790" s="26" t="str">
        <f>IF(AND('Supplier selection'!X790="",'Supplier selection'!AE790=""),"",IF('Supplier selection'!X790="",'Supplier selection'!AE790,'Supplier selection'!X790))</f>
        <v/>
      </c>
      <c r="AE790" s="19" t="str">
        <f t="shared" si="137"/>
        <v/>
      </c>
      <c r="AF790" s="19" t="str">
        <f t="shared" si="138"/>
        <v/>
      </c>
      <c r="AG790" s="27" t="str">
        <f>IF(AND('Supplier selection'!AB790="",'Supplier selection'!AI790=""),"",IF('Supplier selection'!AB790="",'Supplier selection'!AI790,'Supplier selection'!AB790))</f>
        <v/>
      </c>
      <c r="AH790" s="28" t="str">
        <f t="shared" si="139"/>
        <v/>
      </c>
      <c r="AI790" s="7" t="str">
        <f t="shared" si="140"/>
        <v/>
      </c>
      <c r="AJ790" s="22" t="str">
        <f t="shared" si="141"/>
        <v/>
      </c>
      <c r="AK790" s="29" t="str">
        <f t="shared" si="142"/>
        <v/>
      </c>
      <c r="AL790" s="10"/>
    </row>
    <row r="791" spans="1:38">
      <c r="A791" s="19">
        <f>IF('Supplier selection'!A791="","",'Supplier selection'!A791)</f>
        <v>787</v>
      </c>
      <c r="B791" s="19" t="str">
        <f>IF('Supplier selection'!B791="","",'Supplier selection'!B791)</f>
        <v/>
      </c>
      <c r="C791" s="19" t="str">
        <f>IF('Supplier selection'!C791="","",'Supplier selection'!C791)</f>
        <v/>
      </c>
      <c r="D791" s="19" t="str">
        <f>IF('Supplier selection'!D791="","",'Supplier selection'!D791)</f>
        <v/>
      </c>
      <c r="E791" s="19" t="str">
        <f>IF('Supplier selection'!E791="","",'Supplier selection'!E791)</f>
        <v/>
      </c>
      <c r="F791" s="19" t="str">
        <f>IF('Supplier selection'!F791="","",'Supplier selection'!F791)</f>
        <v/>
      </c>
      <c r="G791" s="19" t="str">
        <f>IF('Supplier selection'!G791="","",'Supplier selection'!G791)</f>
        <v/>
      </c>
      <c r="H791" s="19" t="str">
        <f>IF('Supplier selection'!H791="","",'Supplier selection'!H791)</f>
        <v/>
      </c>
      <c r="I791" s="19" t="str">
        <f>IF('Supplier selection'!I791="","",'Supplier selection'!I791)</f>
        <v/>
      </c>
      <c r="J791" s="19" t="str">
        <f>IF('Supplier selection'!J791="","",'Supplier selection'!J791)</f>
        <v/>
      </c>
      <c r="K791" s="19" t="str">
        <f>IF('Supplier selection'!K791="","",'Supplier selection'!K791)</f>
        <v/>
      </c>
      <c r="L791" s="19" t="str">
        <f>IF('Supplier selection'!L791="","",'Supplier selection'!L791)</f>
        <v/>
      </c>
      <c r="M791" s="19" t="str">
        <f>IF('Supplier selection'!M791="","",'Supplier selection'!M791)</f>
        <v/>
      </c>
      <c r="N791" s="19" t="str">
        <f>IF('Supplier selection'!N791="","",'Supplier selection'!N791)</f>
        <v/>
      </c>
      <c r="O791" s="19" t="str">
        <f>IF('Supplier selection'!O791="","",'Supplier selection'!O791)</f>
        <v/>
      </c>
      <c r="Q791" s="19" t="str">
        <f>HLOOKUP($Q$3,'Supplier selection'!$AW$4:'Supplier selection'!$CT$1000,$A792,FALSE)</f>
        <v/>
      </c>
      <c r="R791" s="22" t="str">
        <f t="shared" si="132"/>
        <v/>
      </c>
      <c r="S791" s="19" t="str">
        <f t="shared" si="133"/>
        <v/>
      </c>
      <c r="T791" s="22" t="str">
        <f t="shared" si="134"/>
        <v/>
      </c>
      <c r="U791" s="19" t="str">
        <f t="shared" si="135"/>
        <v/>
      </c>
      <c r="V791" s="7"/>
      <c r="Y791" s="19" t="str">
        <f>IF('Supplier selection'!AQ791="","",'Supplier selection'!AQ791)</f>
        <v/>
      </c>
      <c r="Z791" s="19" t="str">
        <f>IF('Supplier selection'!AR791="","",'Supplier selection'!AR791)</f>
        <v/>
      </c>
      <c r="AA791" s="19" t="str">
        <f t="shared" si="136"/>
        <v/>
      </c>
      <c r="AD791" s="26" t="str">
        <f>IF(AND('Supplier selection'!X791="",'Supplier selection'!AE791=""),"",IF('Supplier selection'!X791="",'Supplier selection'!AE791,'Supplier selection'!X791))</f>
        <v/>
      </c>
      <c r="AE791" s="19" t="str">
        <f t="shared" si="137"/>
        <v/>
      </c>
      <c r="AF791" s="19" t="str">
        <f t="shared" si="138"/>
        <v/>
      </c>
      <c r="AG791" s="27" t="str">
        <f>IF(AND('Supplier selection'!AB791="",'Supplier selection'!AI791=""),"",IF('Supplier selection'!AB791="",'Supplier selection'!AI791,'Supplier selection'!AB791))</f>
        <v/>
      </c>
      <c r="AH791" s="28" t="str">
        <f t="shared" si="139"/>
        <v/>
      </c>
      <c r="AI791" s="7" t="str">
        <f t="shared" si="140"/>
        <v/>
      </c>
      <c r="AJ791" s="22" t="str">
        <f t="shared" si="141"/>
        <v/>
      </c>
      <c r="AK791" s="29" t="str">
        <f t="shared" si="142"/>
        <v/>
      </c>
      <c r="AL791" s="10"/>
    </row>
    <row r="792" spans="1:38">
      <c r="A792" s="19">
        <f>IF('Supplier selection'!A792="","",'Supplier selection'!A792)</f>
        <v>788</v>
      </c>
      <c r="B792" s="19" t="str">
        <f>IF('Supplier selection'!B792="","",'Supplier selection'!B792)</f>
        <v/>
      </c>
      <c r="C792" s="19" t="str">
        <f>IF('Supplier selection'!C792="","",'Supplier selection'!C792)</f>
        <v/>
      </c>
      <c r="D792" s="19" t="str">
        <f>IF('Supplier selection'!D792="","",'Supplier selection'!D792)</f>
        <v/>
      </c>
      <c r="E792" s="19" t="str">
        <f>IF('Supplier selection'!E792="","",'Supplier selection'!E792)</f>
        <v/>
      </c>
      <c r="F792" s="19" t="str">
        <f>IF('Supplier selection'!F792="","",'Supplier selection'!F792)</f>
        <v/>
      </c>
      <c r="G792" s="19" t="str">
        <f>IF('Supplier selection'!G792="","",'Supplier selection'!G792)</f>
        <v/>
      </c>
      <c r="H792" s="19" t="str">
        <f>IF('Supplier selection'!H792="","",'Supplier selection'!H792)</f>
        <v/>
      </c>
      <c r="I792" s="19" t="str">
        <f>IF('Supplier selection'!I792="","",'Supplier selection'!I792)</f>
        <v/>
      </c>
      <c r="J792" s="19" t="str">
        <f>IF('Supplier selection'!J792="","",'Supplier selection'!J792)</f>
        <v/>
      </c>
      <c r="K792" s="19" t="str">
        <f>IF('Supplier selection'!K792="","",'Supplier selection'!K792)</f>
        <v/>
      </c>
      <c r="L792" s="19" t="str">
        <f>IF('Supplier selection'!L792="","",'Supplier selection'!L792)</f>
        <v/>
      </c>
      <c r="M792" s="19" t="str">
        <f>IF('Supplier selection'!M792="","",'Supplier selection'!M792)</f>
        <v/>
      </c>
      <c r="N792" s="19" t="str">
        <f>IF('Supplier selection'!N792="","",'Supplier selection'!N792)</f>
        <v/>
      </c>
      <c r="O792" s="19" t="str">
        <f>IF('Supplier selection'!O792="","",'Supplier selection'!O792)</f>
        <v/>
      </c>
      <c r="Q792" s="19" t="str">
        <f>HLOOKUP($Q$3,'Supplier selection'!$AW$4:'Supplier selection'!$CT$1000,$A793,FALSE)</f>
        <v/>
      </c>
      <c r="R792" s="22" t="str">
        <f t="shared" si="132"/>
        <v/>
      </c>
      <c r="S792" s="19" t="str">
        <f t="shared" si="133"/>
        <v/>
      </c>
      <c r="T792" s="22" t="str">
        <f t="shared" si="134"/>
        <v/>
      </c>
      <c r="U792" s="19" t="str">
        <f t="shared" si="135"/>
        <v/>
      </c>
      <c r="V792" s="7"/>
      <c r="Y792" s="19" t="str">
        <f>IF('Supplier selection'!AQ792="","",'Supplier selection'!AQ792)</f>
        <v/>
      </c>
      <c r="Z792" s="19" t="str">
        <f>IF('Supplier selection'!AR792="","",'Supplier selection'!AR792)</f>
        <v/>
      </c>
      <c r="AA792" s="19" t="str">
        <f t="shared" si="136"/>
        <v/>
      </c>
      <c r="AD792" s="26" t="str">
        <f>IF(AND('Supplier selection'!X792="",'Supplier selection'!AE792=""),"",IF('Supplier selection'!X792="",'Supplier selection'!AE792,'Supplier selection'!X792))</f>
        <v/>
      </c>
      <c r="AE792" s="19" t="str">
        <f t="shared" si="137"/>
        <v/>
      </c>
      <c r="AF792" s="19" t="str">
        <f t="shared" si="138"/>
        <v/>
      </c>
      <c r="AG792" s="27" t="str">
        <f>IF(AND('Supplier selection'!AB792="",'Supplier selection'!AI792=""),"",IF('Supplier selection'!AB792="",'Supplier selection'!AI792,'Supplier selection'!AB792))</f>
        <v/>
      </c>
      <c r="AH792" s="28" t="str">
        <f t="shared" si="139"/>
        <v/>
      </c>
      <c r="AI792" s="7" t="str">
        <f t="shared" si="140"/>
        <v/>
      </c>
      <c r="AJ792" s="22" t="str">
        <f t="shared" si="141"/>
        <v/>
      </c>
      <c r="AK792" s="29" t="str">
        <f t="shared" si="142"/>
        <v/>
      </c>
      <c r="AL792" s="10"/>
    </row>
    <row r="793" spans="1:38">
      <c r="A793" s="19">
        <f>IF('Supplier selection'!A793="","",'Supplier selection'!A793)</f>
        <v>789</v>
      </c>
      <c r="B793" s="19" t="str">
        <f>IF('Supplier selection'!B793="","",'Supplier selection'!B793)</f>
        <v/>
      </c>
      <c r="C793" s="19" t="str">
        <f>IF('Supplier selection'!C793="","",'Supplier selection'!C793)</f>
        <v/>
      </c>
      <c r="D793" s="19" t="str">
        <f>IF('Supplier selection'!D793="","",'Supplier selection'!D793)</f>
        <v/>
      </c>
      <c r="E793" s="19" t="str">
        <f>IF('Supplier selection'!E793="","",'Supplier selection'!E793)</f>
        <v/>
      </c>
      <c r="F793" s="19" t="str">
        <f>IF('Supplier selection'!F793="","",'Supplier selection'!F793)</f>
        <v/>
      </c>
      <c r="G793" s="19" t="str">
        <f>IF('Supplier selection'!G793="","",'Supplier selection'!G793)</f>
        <v/>
      </c>
      <c r="H793" s="19" t="str">
        <f>IF('Supplier selection'!H793="","",'Supplier selection'!H793)</f>
        <v/>
      </c>
      <c r="I793" s="19" t="str">
        <f>IF('Supplier selection'!I793="","",'Supplier selection'!I793)</f>
        <v/>
      </c>
      <c r="J793" s="19" t="str">
        <f>IF('Supplier selection'!J793="","",'Supplier selection'!J793)</f>
        <v/>
      </c>
      <c r="K793" s="19" t="str">
        <f>IF('Supplier selection'!K793="","",'Supplier selection'!K793)</f>
        <v/>
      </c>
      <c r="L793" s="19" t="str">
        <f>IF('Supplier selection'!L793="","",'Supplier selection'!L793)</f>
        <v/>
      </c>
      <c r="M793" s="19" t="str">
        <f>IF('Supplier selection'!M793="","",'Supplier selection'!M793)</f>
        <v/>
      </c>
      <c r="N793" s="19" t="str">
        <f>IF('Supplier selection'!N793="","",'Supplier selection'!N793)</f>
        <v/>
      </c>
      <c r="O793" s="19" t="str">
        <f>IF('Supplier selection'!O793="","",'Supplier selection'!O793)</f>
        <v/>
      </c>
      <c r="Q793" s="19" t="str">
        <f>HLOOKUP($Q$3,'Supplier selection'!$AW$4:'Supplier selection'!$CT$1000,$A794,FALSE)</f>
        <v/>
      </c>
      <c r="R793" s="22" t="str">
        <f t="shared" si="132"/>
        <v/>
      </c>
      <c r="S793" s="19" t="str">
        <f t="shared" si="133"/>
        <v/>
      </c>
      <c r="T793" s="22" t="str">
        <f t="shared" si="134"/>
        <v/>
      </c>
      <c r="U793" s="19" t="str">
        <f t="shared" si="135"/>
        <v/>
      </c>
      <c r="V793" s="7"/>
      <c r="Y793" s="19" t="str">
        <f>IF('Supplier selection'!AQ793="","",'Supplier selection'!AQ793)</f>
        <v/>
      </c>
      <c r="Z793" s="19" t="str">
        <f>IF('Supplier selection'!AR793="","",'Supplier selection'!AR793)</f>
        <v/>
      </c>
      <c r="AA793" s="19" t="str">
        <f t="shared" si="136"/>
        <v/>
      </c>
      <c r="AD793" s="26" t="str">
        <f>IF(AND('Supplier selection'!X793="",'Supplier selection'!AE793=""),"",IF('Supplier selection'!X793="",'Supplier selection'!AE793,'Supplier selection'!X793))</f>
        <v/>
      </c>
      <c r="AE793" s="19" t="str">
        <f t="shared" si="137"/>
        <v/>
      </c>
      <c r="AF793" s="19" t="str">
        <f t="shared" si="138"/>
        <v/>
      </c>
      <c r="AG793" s="27" t="str">
        <f>IF(AND('Supplier selection'!AB793="",'Supplier selection'!AI793=""),"",IF('Supplier selection'!AB793="",'Supplier selection'!AI793,'Supplier selection'!AB793))</f>
        <v/>
      </c>
      <c r="AH793" s="28" t="str">
        <f t="shared" si="139"/>
        <v/>
      </c>
      <c r="AI793" s="7" t="str">
        <f t="shared" si="140"/>
        <v/>
      </c>
      <c r="AJ793" s="22" t="str">
        <f t="shared" si="141"/>
        <v/>
      </c>
      <c r="AK793" s="29" t="str">
        <f t="shared" si="142"/>
        <v/>
      </c>
      <c r="AL793" s="10"/>
    </row>
    <row r="794" spans="1:38">
      <c r="A794" s="19">
        <f>IF('Supplier selection'!A794="","",'Supplier selection'!A794)</f>
        <v>790</v>
      </c>
      <c r="B794" s="19" t="str">
        <f>IF('Supplier selection'!B794="","",'Supplier selection'!B794)</f>
        <v/>
      </c>
      <c r="C794" s="19" t="str">
        <f>IF('Supplier selection'!C794="","",'Supplier selection'!C794)</f>
        <v/>
      </c>
      <c r="D794" s="19" t="str">
        <f>IF('Supplier selection'!D794="","",'Supplier selection'!D794)</f>
        <v/>
      </c>
      <c r="E794" s="19" t="str">
        <f>IF('Supplier selection'!E794="","",'Supplier selection'!E794)</f>
        <v/>
      </c>
      <c r="F794" s="19" t="str">
        <f>IF('Supplier selection'!F794="","",'Supplier selection'!F794)</f>
        <v/>
      </c>
      <c r="G794" s="19" t="str">
        <f>IF('Supplier selection'!G794="","",'Supplier selection'!G794)</f>
        <v/>
      </c>
      <c r="H794" s="19" t="str">
        <f>IF('Supplier selection'!H794="","",'Supplier selection'!H794)</f>
        <v/>
      </c>
      <c r="I794" s="19" t="str">
        <f>IF('Supplier selection'!I794="","",'Supplier selection'!I794)</f>
        <v/>
      </c>
      <c r="J794" s="19" t="str">
        <f>IF('Supplier selection'!J794="","",'Supplier selection'!J794)</f>
        <v/>
      </c>
      <c r="K794" s="19" t="str">
        <f>IF('Supplier selection'!K794="","",'Supplier selection'!K794)</f>
        <v/>
      </c>
      <c r="L794" s="19" t="str">
        <f>IF('Supplier selection'!L794="","",'Supplier selection'!L794)</f>
        <v/>
      </c>
      <c r="M794" s="19" t="str">
        <f>IF('Supplier selection'!M794="","",'Supplier selection'!M794)</f>
        <v/>
      </c>
      <c r="N794" s="19" t="str">
        <f>IF('Supplier selection'!N794="","",'Supplier selection'!N794)</f>
        <v/>
      </c>
      <c r="O794" s="19" t="str">
        <f>IF('Supplier selection'!O794="","",'Supplier selection'!O794)</f>
        <v/>
      </c>
      <c r="Q794" s="19" t="str">
        <f>HLOOKUP($Q$3,'Supplier selection'!$AW$4:'Supplier selection'!$CT$1000,$A795,FALSE)</f>
        <v/>
      </c>
      <c r="R794" s="22" t="str">
        <f t="shared" si="132"/>
        <v/>
      </c>
      <c r="S794" s="19" t="str">
        <f t="shared" si="133"/>
        <v/>
      </c>
      <c r="T794" s="22" t="str">
        <f t="shared" si="134"/>
        <v/>
      </c>
      <c r="U794" s="19" t="str">
        <f t="shared" si="135"/>
        <v/>
      </c>
      <c r="V794" s="7"/>
      <c r="Y794" s="19" t="str">
        <f>IF('Supplier selection'!AQ794="","",'Supplier selection'!AQ794)</f>
        <v/>
      </c>
      <c r="Z794" s="19" t="str">
        <f>IF('Supplier selection'!AR794="","",'Supplier selection'!AR794)</f>
        <v/>
      </c>
      <c r="AA794" s="19" t="str">
        <f t="shared" si="136"/>
        <v/>
      </c>
      <c r="AD794" s="26" t="str">
        <f>IF(AND('Supplier selection'!X794="",'Supplier selection'!AE794=""),"",IF('Supplier selection'!X794="",'Supplier selection'!AE794,'Supplier selection'!X794))</f>
        <v/>
      </c>
      <c r="AE794" s="19" t="str">
        <f t="shared" si="137"/>
        <v/>
      </c>
      <c r="AF794" s="19" t="str">
        <f t="shared" si="138"/>
        <v/>
      </c>
      <c r="AG794" s="27" t="str">
        <f>IF(AND('Supplier selection'!AB794="",'Supplier selection'!AI794=""),"",IF('Supplier selection'!AB794="",'Supplier selection'!AI794,'Supplier selection'!AB794))</f>
        <v/>
      </c>
      <c r="AH794" s="28" t="str">
        <f t="shared" si="139"/>
        <v/>
      </c>
      <c r="AI794" s="7" t="str">
        <f t="shared" si="140"/>
        <v/>
      </c>
      <c r="AJ794" s="22" t="str">
        <f t="shared" si="141"/>
        <v/>
      </c>
      <c r="AK794" s="29" t="str">
        <f t="shared" si="142"/>
        <v/>
      </c>
      <c r="AL794" s="10"/>
    </row>
    <row r="795" spans="1:38">
      <c r="A795" s="19">
        <f>IF('Supplier selection'!A795="","",'Supplier selection'!A795)</f>
        <v>791</v>
      </c>
      <c r="B795" s="19" t="str">
        <f>IF('Supplier selection'!B795="","",'Supplier selection'!B795)</f>
        <v/>
      </c>
      <c r="C795" s="19" t="str">
        <f>IF('Supplier selection'!C795="","",'Supplier selection'!C795)</f>
        <v/>
      </c>
      <c r="D795" s="19" t="str">
        <f>IF('Supplier selection'!D795="","",'Supplier selection'!D795)</f>
        <v/>
      </c>
      <c r="E795" s="19" t="str">
        <f>IF('Supplier selection'!E795="","",'Supplier selection'!E795)</f>
        <v/>
      </c>
      <c r="F795" s="19" t="str">
        <f>IF('Supplier selection'!F795="","",'Supplier selection'!F795)</f>
        <v/>
      </c>
      <c r="G795" s="19" t="str">
        <f>IF('Supplier selection'!G795="","",'Supplier selection'!G795)</f>
        <v/>
      </c>
      <c r="H795" s="19" t="str">
        <f>IF('Supplier selection'!H795="","",'Supplier selection'!H795)</f>
        <v/>
      </c>
      <c r="I795" s="19" t="str">
        <f>IF('Supplier selection'!I795="","",'Supplier selection'!I795)</f>
        <v/>
      </c>
      <c r="J795" s="19" t="str">
        <f>IF('Supplier selection'!J795="","",'Supplier selection'!J795)</f>
        <v/>
      </c>
      <c r="K795" s="19" t="str">
        <f>IF('Supplier selection'!K795="","",'Supplier selection'!K795)</f>
        <v/>
      </c>
      <c r="L795" s="19" t="str">
        <f>IF('Supplier selection'!L795="","",'Supplier selection'!L795)</f>
        <v/>
      </c>
      <c r="M795" s="19" t="str">
        <f>IF('Supplier selection'!M795="","",'Supplier selection'!M795)</f>
        <v/>
      </c>
      <c r="N795" s="19" t="str">
        <f>IF('Supplier selection'!N795="","",'Supplier selection'!N795)</f>
        <v/>
      </c>
      <c r="O795" s="19" t="str">
        <f>IF('Supplier selection'!O795="","",'Supplier selection'!O795)</f>
        <v/>
      </c>
      <c r="Q795" s="19" t="str">
        <f>HLOOKUP($Q$3,'Supplier selection'!$AW$4:'Supplier selection'!$CT$1000,$A796,FALSE)</f>
        <v/>
      </c>
      <c r="R795" s="22" t="str">
        <f t="shared" si="132"/>
        <v/>
      </c>
      <c r="S795" s="19" t="str">
        <f t="shared" si="133"/>
        <v/>
      </c>
      <c r="T795" s="22" t="str">
        <f t="shared" si="134"/>
        <v/>
      </c>
      <c r="U795" s="19" t="str">
        <f t="shared" si="135"/>
        <v/>
      </c>
      <c r="V795" s="7"/>
      <c r="Y795" s="19" t="str">
        <f>IF('Supplier selection'!AQ795="","",'Supplier selection'!AQ795)</f>
        <v/>
      </c>
      <c r="Z795" s="19" t="str">
        <f>IF('Supplier selection'!AR795="","",'Supplier selection'!AR795)</f>
        <v/>
      </c>
      <c r="AA795" s="19" t="str">
        <f t="shared" si="136"/>
        <v/>
      </c>
      <c r="AD795" s="26" t="str">
        <f>IF(AND('Supplier selection'!X795="",'Supplier selection'!AE795=""),"",IF('Supplier selection'!X795="",'Supplier selection'!AE795,'Supplier selection'!X795))</f>
        <v/>
      </c>
      <c r="AE795" s="19" t="str">
        <f t="shared" si="137"/>
        <v/>
      </c>
      <c r="AF795" s="19" t="str">
        <f t="shared" si="138"/>
        <v/>
      </c>
      <c r="AG795" s="27" t="str">
        <f>IF(AND('Supplier selection'!AB795="",'Supplier selection'!AI795=""),"",IF('Supplier selection'!AB795="",'Supplier selection'!AI795,'Supplier selection'!AB795))</f>
        <v/>
      </c>
      <c r="AH795" s="28" t="str">
        <f t="shared" si="139"/>
        <v/>
      </c>
      <c r="AI795" s="7" t="str">
        <f t="shared" si="140"/>
        <v/>
      </c>
      <c r="AJ795" s="22" t="str">
        <f t="shared" si="141"/>
        <v/>
      </c>
      <c r="AK795" s="29" t="str">
        <f t="shared" si="142"/>
        <v/>
      </c>
      <c r="AL795" s="10"/>
    </row>
    <row r="796" spans="1:38">
      <c r="A796" s="19">
        <f>IF('Supplier selection'!A796="","",'Supplier selection'!A796)</f>
        <v>792</v>
      </c>
      <c r="B796" s="19" t="str">
        <f>IF('Supplier selection'!B796="","",'Supplier selection'!B796)</f>
        <v/>
      </c>
      <c r="C796" s="19" t="str">
        <f>IF('Supplier selection'!C796="","",'Supplier selection'!C796)</f>
        <v/>
      </c>
      <c r="D796" s="19" t="str">
        <f>IF('Supplier selection'!D796="","",'Supplier selection'!D796)</f>
        <v/>
      </c>
      <c r="E796" s="19" t="str">
        <f>IF('Supplier selection'!E796="","",'Supplier selection'!E796)</f>
        <v/>
      </c>
      <c r="F796" s="19" t="str">
        <f>IF('Supplier selection'!F796="","",'Supplier selection'!F796)</f>
        <v/>
      </c>
      <c r="G796" s="19" t="str">
        <f>IF('Supplier selection'!G796="","",'Supplier selection'!G796)</f>
        <v/>
      </c>
      <c r="H796" s="19" t="str">
        <f>IF('Supplier selection'!H796="","",'Supplier selection'!H796)</f>
        <v/>
      </c>
      <c r="I796" s="19" t="str">
        <f>IF('Supplier selection'!I796="","",'Supplier selection'!I796)</f>
        <v/>
      </c>
      <c r="J796" s="19" t="str">
        <f>IF('Supplier selection'!J796="","",'Supplier selection'!J796)</f>
        <v/>
      </c>
      <c r="K796" s="19" t="str">
        <f>IF('Supplier selection'!K796="","",'Supplier selection'!K796)</f>
        <v/>
      </c>
      <c r="L796" s="19" t="str">
        <f>IF('Supplier selection'!L796="","",'Supplier selection'!L796)</f>
        <v/>
      </c>
      <c r="M796" s="19" t="str">
        <f>IF('Supplier selection'!M796="","",'Supplier selection'!M796)</f>
        <v/>
      </c>
      <c r="N796" s="19" t="str">
        <f>IF('Supplier selection'!N796="","",'Supplier selection'!N796)</f>
        <v/>
      </c>
      <c r="O796" s="19" t="str">
        <f>IF('Supplier selection'!O796="","",'Supplier selection'!O796)</f>
        <v/>
      </c>
      <c r="Q796" s="19" t="str">
        <f>HLOOKUP($Q$3,'Supplier selection'!$AW$4:'Supplier selection'!$CT$1000,$A797,FALSE)</f>
        <v/>
      </c>
      <c r="R796" s="22" t="str">
        <f t="shared" si="132"/>
        <v/>
      </c>
      <c r="S796" s="19" t="str">
        <f t="shared" si="133"/>
        <v/>
      </c>
      <c r="T796" s="22" t="str">
        <f t="shared" si="134"/>
        <v/>
      </c>
      <c r="U796" s="19" t="str">
        <f t="shared" si="135"/>
        <v/>
      </c>
      <c r="V796" s="7"/>
      <c r="Y796" s="19" t="str">
        <f>IF('Supplier selection'!AQ796="","",'Supplier selection'!AQ796)</f>
        <v/>
      </c>
      <c r="Z796" s="19" t="str">
        <f>IF('Supplier selection'!AR796="","",'Supplier selection'!AR796)</f>
        <v/>
      </c>
      <c r="AA796" s="19" t="str">
        <f t="shared" si="136"/>
        <v/>
      </c>
      <c r="AD796" s="26" t="str">
        <f>IF(AND('Supplier selection'!X796="",'Supplier selection'!AE796=""),"",IF('Supplier selection'!X796="",'Supplier selection'!AE796,'Supplier selection'!X796))</f>
        <v/>
      </c>
      <c r="AE796" s="19" t="str">
        <f t="shared" si="137"/>
        <v/>
      </c>
      <c r="AF796" s="19" t="str">
        <f t="shared" si="138"/>
        <v/>
      </c>
      <c r="AG796" s="27" t="str">
        <f>IF(AND('Supplier selection'!AB796="",'Supplier selection'!AI796=""),"",IF('Supplier selection'!AB796="",'Supplier selection'!AI796,'Supplier selection'!AB796))</f>
        <v/>
      </c>
      <c r="AH796" s="28" t="str">
        <f t="shared" si="139"/>
        <v/>
      </c>
      <c r="AI796" s="7" t="str">
        <f t="shared" si="140"/>
        <v/>
      </c>
      <c r="AJ796" s="22" t="str">
        <f t="shared" si="141"/>
        <v/>
      </c>
      <c r="AK796" s="29" t="str">
        <f t="shared" si="142"/>
        <v/>
      </c>
      <c r="AL796" s="10"/>
    </row>
    <row r="797" spans="1:38">
      <c r="A797" s="19">
        <f>IF('Supplier selection'!A797="","",'Supplier selection'!A797)</f>
        <v>793</v>
      </c>
      <c r="B797" s="19" t="str">
        <f>IF('Supplier selection'!B797="","",'Supplier selection'!B797)</f>
        <v/>
      </c>
      <c r="C797" s="19" t="str">
        <f>IF('Supplier selection'!C797="","",'Supplier selection'!C797)</f>
        <v/>
      </c>
      <c r="D797" s="19" t="str">
        <f>IF('Supplier selection'!D797="","",'Supplier selection'!D797)</f>
        <v/>
      </c>
      <c r="E797" s="19" t="str">
        <f>IF('Supplier selection'!E797="","",'Supplier selection'!E797)</f>
        <v/>
      </c>
      <c r="F797" s="19" t="str">
        <f>IF('Supplier selection'!F797="","",'Supplier selection'!F797)</f>
        <v/>
      </c>
      <c r="G797" s="19" t="str">
        <f>IF('Supplier selection'!G797="","",'Supplier selection'!G797)</f>
        <v/>
      </c>
      <c r="H797" s="19" t="str">
        <f>IF('Supplier selection'!H797="","",'Supplier selection'!H797)</f>
        <v/>
      </c>
      <c r="I797" s="19" t="str">
        <f>IF('Supplier selection'!I797="","",'Supplier selection'!I797)</f>
        <v/>
      </c>
      <c r="J797" s="19" t="str">
        <f>IF('Supplier selection'!J797="","",'Supplier selection'!J797)</f>
        <v/>
      </c>
      <c r="K797" s="19" t="str">
        <f>IF('Supplier selection'!K797="","",'Supplier selection'!K797)</f>
        <v/>
      </c>
      <c r="L797" s="19" t="str">
        <f>IF('Supplier selection'!L797="","",'Supplier selection'!L797)</f>
        <v/>
      </c>
      <c r="M797" s="19" t="str">
        <f>IF('Supplier selection'!M797="","",'Supplier selection'!M797)</f>
        <v/>
      </c>
      <c r="N797" s="19" t="str">
        <f>IF('Supplier selection'!N797="","",'Supplier selection'!N797)</f>
        <v/>
      </c>
      <c r="O797" s="19" t="str">
        <f>IF('Supplier selection'!O797="","",'Supplier selection'!O797)</f>
        <v/>
      </c>
      <c r="Q797" s="19" t="str">
        <f>HLOOKUP($Q$3,'Supplier selection'!$AW$4:'Supplier selection'!$CT$1000,$A798,FALSE)</f>
        <v/>
      </c>
      <c r="R797" s="22" t="str">
        <f t="shared" si="132"/>
        <v/>
      </c>
      <c r="S797" s="19" t="str">
        <f t="shared" si="133"/>
        <v/>
      </c>
      <c r="T797" s="22" t="str">
        <f t="shared" si="134"/>
        <v/>
      </c>
      <c r="U797" s="19" t="str">
        <f t="shared" si="135"/>
        <v/>
      </c>
      <c r="V797" s="7"/>
      <c r="Y797" s="19" t="str">
        <f>IF('Supplier selection'!AQ797="","",'Supplier selection'!AQ797)</f>
        <v/>
      </c>
      <c r="Z797" s="19" t="str">
        <f>IF('Supplier selection'!AR797="","",'Supplier selection'!AR797)</f>
        <v/>
      </c>
      <c r="AA797" s="19" t="str">
        <f t="shared" si="136"/>
        <v/>
      </c>
      <c r="AD797" s="26" t="str">
        <f>IF(AND('Supplier selection'!X797="",'Supplier selection'!AE797=""),"",IF('Supplier selection'!X797="",'Supplier selection'!AE797,'Supplier selection'!X797))</f>
        <v/>
      </c>
      <c r="AE797" s="19" t="str">
        <f t="shared" si="137"/>
        <v/>
      </c>
      <c r="AF797" s="19" t="str">
        <f t="shared" si="138"/>
        <v/>
      </c>
      <c r="AG797" s="27" t="str">
        <f>IF(AND('Supplier selection'!AB797="",'Supplier selection'!AI797=""),"",IF('Supplier selection'!AB797="",'Supplier selection'!AI797,'Supplier selection'!AB797))</f>
        <v/>
      </c>
      <c r="AH797" s="28" t="str">
        <f t="shared" si="139"/>
        <v/>
      </c>
      <c r="AI797" s="7" t="str">
        <f t="shared" si="140"/>
        <v/>
      </c>
      <c r="AJ797" s="22" t="str">
        <f t="shared" si="141"/>
        <v/>
      </c>
      <c r="AK797" s="29" t="str">
        <f t="shared" si="142"/>
        <v/>
      </c>
      <c r="AL797" s="10"/>
    </row>
    <row r="798" spans="1:38">
      <c r="A798" s="19">
        <f>IF('Supplier selection'!A798="","",'Supplier selection'!A798)</f>
        <v>794</v>
      </c>
      <c r="B798" s="19" t="str">
        <f>IF('Supplier selection'!B798="","",'Supplier selection'!B798)</f>
        <v/>
      </c>
      <c r="C798" s="19" t="str">
        <f>IF('Supplier selection'!C798="","",'Supplier selection'!C798)</f>
        <v/>
      </c>
      <c r="D798" s="19" t="str">
        <f>IF('Supplier selection'!D798="","",'Supplier selection'!D798)</f>
        <v/>
      </c>
      <c r="E798" s="19" t="str">
        <f>IF('Supplier selection'!E798="","",'Supplier selection'!E798)</f>
        <v/>
      </c>
      <c r="F798" s="19" t="str">
        <f>IF('Supplier selection'!F798="","",'Supplier selection'!F798)</f>
        <v/>
      </c>
      <c r="G798" s="19" t="str">
        <f>IF('Supplier selection'!G798="","",'Supplier selection'!G798)</f>
        <v/>
      </c>
      <c r="H798" s="19" t="str">
        <f>IF('Supplier selection'!H798="","",'Supplier selection'!H798)</f>
        <v/>
      </c>
      <c r="I798" s="19" t="str">
        <f>IF('Supplier selection'!I798="","",'Supplier selection'!I798)</f>
        <v/>
      </c>
      <c r="J798" s="19" t="str">
        <f>IF('Supplier selection'!J798="","",'Supplier selection'!J798)</f>
        <v/>
      </c>
      <c r="K798" s="19" t="str">
        <f>IF('Supplier selection'!K798="","",'Supplier selection'!K798)</f>
        <v/>
      </c>
      <c r="L798" s="19" t="str">
        <f>IF('Supplier selection'!L798="","",'Supplier selection'!L798)</f>
        <v/>
      </c>
      <c r="M798" s="19" t="str">
        <f>IF('Supplier selection'!M798="","",'Supplier selection'!M798)</f>
        <v/>
      </c>
      <c r="N798" s="19" t="str">
        <f>IF('Supplier selection'!N798="","",'Supplier selection'!N798)</f>
        <v/>
      </c>
      <c r="O798" s="19" t="str">
        <f>IF('Supplier selection'!O798="","",'Supplier selection'!O798)</f>
        <v/>
      </c>
      <c r="Q798" s="19" t="str">
        <f>HLOOKUP($Q$3,'Supplier selection'!$AW$4:'Supplier selection'!$CT$1000,$A799,FALSE)</f>
        <v/>
      </c>
      <c r="R798" s="22" t="str">
        <f t="shared" si="132"/>
        <v/>
      </c>
      <c r="S798" s="19" t="str">
        <f t="shared" si="133"/>
        <v/>
      </c>
      <c r="T798" s="22" t="str">
        <f t="shared" si="134"/>
        <v/>
      </c>
      <c r="U798" s="19" t="str">
        <f t="shared" si="135"/>
        <v/>
      </c>
      <c r="V798" s="7"/>
      <c r="Y798" s="19" t="str">
        <f>IF('Supplier selection'!AQ798="","",'Supplier selection'!AQ798)</f>
        <v/>
      </c>
      <c r="Z798" s="19" t="str">
        <f>IF('Supplier selection'!AR798="","",'Supplier selection'!AR798)</f>
        <v/>
      </c>
      <c r="AA798" s="19" t="str">
        <f t="shared" si="136"/>
        <v/>
      </c>
      <c r="AD798" s="26" t="str">
        <f>IF(AND('Supplier selection'!X798="",'Supplier selection'!AE798=""),"",IF('Supplier selection'!X798="",'Supplier selection'!AE798,'Supplier selection'!X798))</f>
        <v/>
      </c>
      <c r="AE798" s="19" t="str">
        <f t="shared" si="137"/>
        <v/>
      </c>
      <c r="AF798" s="19" t="str">
        <f t="shared" si="138"/>
        <v/>
      </c>
      <c r="AG798" s="27" t="str">
        <f>IF(AND('Supplier selection'!AB798="",'Supplier selection'!AI798=""),"",IF('Supplier selection'!AB798="",'Supplier selection'!AI798,'Supplier selection'!AB798))</f>
        <v/>
      </c>
      <c r="AH798" s="28" t="str">
        <f t="shared" si="139"/>
        <v/>
      </c>
      <c r="AI798" s="7" t="str">
        <f t="shared" si="140"/>
        <v/>
      </c>
      <c r="AJ798" s="22" t="str">
        <f t="shared" si="141"/>
        <v/>
      </c>
      <c r="AK798" s="29" t="str">
        <f t="shared" si="142"/>
        <v/>
      </c>
      <c r="AL798" s="10"/>
    </row>
    <row r="799" spans="1:38">
      <c r="A799" s="19">
        <f>IF('Supplier selection'!A799="","",'Supplier selection'!A799)</f>
        <v>795</v>
      </c>
      <c r="B799" s="19" t="str">
        <f>IF('Supplier selection'!B799="","",'Supplier selection'!B799)</f>
        <v/>
      </c>
      <c r="C799" s="19" t="str">
        <f>IF('Supplier selection'!C799="","",'Supplier selection'!C799)</f>
        <v/>
      </c>
      <c r="D799" s="19" t="str">
        <f>IF('Supplier selection'!D799="","",'Supplier selection'!D799)</f>
        <v/>
      </c>
      <c r="E799" s="19" t="str">
        <f>IF('Supplier selection'!E799="","",'Supplier selection'!E799)</f>
        <v/>
      </c>
      <c r="F799" s="19" t="str">
        <f>IF('Supplier selection'!F799="","",'Supplier selection'!F799)</f>
        <v/>
      </c>
      <c r="G799" s="19" t="str">
        <f>IF('Supplier selection'!G799="","",'Supplier selection'!G799)</f>
        <v/>
      </c>
      <c r="H799" s="19" t="str">
        <f>IF('Supplier selection'!H799="","",'Supplier selection'!H799)</f>
        <v/>
      </c>
      <c r="I799" s="19" t="str">
        <f>IF('Supplier selection'!I799="","",'Supplier selection'!I799)</f>
        <v/>
      </c>
      <c r="J799" s="19" t="str">
        <f>IF('Supplier selection'!J799="","",'Supplier selection'!J799)</f>
        <v/>
      </c>
      <c r="K799" s="19" t="str">
        <f>IF('Supplier selection'!K799="","",'Supplier selection'!K799)</f>
        <v/>
      </c>
      <c r="L799" s="19" t="str">
        <f>IF('Supplier selection'!L799="","",'Supplier selection'!L799)</f>
        <v/>
      </c>
      <c r="M799" s="19" t="str">
        <f>IF('Supplier selection'!M799="","",'Supplier selection'!M799)</f>
        <v/>
      </c>
      <c r="N799" s="19" t="str">
        <f>IF('Supplier selection'!N799="","",'Supplier selection'!N799)</f>
        <v/>
      </c>
      <c r="O799" s="19" t="str">
        <f>IF('Supplier selection'!O799="","",'Supplier selection'!O799)</f>
        <v/>
      </c>
      <c r="Q799" s="19" t="str">
        <f>HLOOKUP($Q$3,'Supplier selection'!$AW$4:'Supplier selection'!$CT$1000,$A800,FALSE)</f>
        <v/>
      </c>
      <c r="R799" s="22" t="str">
        <f t="shared" si="132"/>
        <v/>
      </c>
      <c r="S799" s="19" t="str">
        <f t="shared" si="133"/>
        <v/>
      </c>
      <c r="T799" s="22" t="str">
        <f t="shared" si="134"/>
        <v/>
      </c>
      <c r="U799" s="19" t="str">
        <f t="shared" si="135"/>
        <v/>
      </c>
      <c r="V799" s="7"/>
      <c r="Y799" s="19" t="str">
        <f>IF('Supplier selection'!AQ799="","",'Supplier selection'!AQ799)</f>
        <v/>
      </c>
      <c r="Z799" s="19" t="str">
        <f>IF('Supplier selection'!AR799="","",'Supplier selection'!AR799)</f>
        <v/>
      </c>
      <c r="AA799" s="19" t="str">
        <f t="shared" si="136"/>
        <v/>
      </c>
      <c r="AD799" s="26" t="str">
        <f>IF(AND('Supplier selection'!X799="",'Supplier selection'!AE799=""),"",IF('Supplier selection'!X799="",'Supplier selection'!AE799,'Supplier selection'!X799))</f>
        <v/>
      </c>
      <c r="AE799" s="19" t="str">
        <f t="shared" si="137"/>
        <v/>
      </c>
      <c r="AF799" s="19" t="str">
        <f t="shared" si="138"/>
        <v/>
      </c>
      <c r="AG799" s="27" t="str">
        <f>IF(AND('Supplier selection'!AB799="",'Supplier selection'!AI799=""),"",IF('Supplier selection'!AB799="",'Supplier selection'!AI799,'Supplier selection'!AB799))</f>
        <v/>
      </c>
      <c r="AH799" s="28" t="str">
        <f t="shared" si="139"/>
        <v/>
      </c>
      <c r="AI799" s="7" t="str">
        <f t="shared" si="140"/>
        <v/>
      </c>
      <c r="AJ799" s="22" t="str">
        <f t="shared" si="141"/>
        <v/>
      </c>
      <c r="AK799" s="29" t="str">
        <f t="shared" si="142"/>
        <v/>
      </c>
      <c r="AL799" s="10"/>
    </row>
    <row r="800" spans="1:38">
      <c r="A800" s="19">
        <f>IF('Supplier selection'!A800="","",'Supplier selection'!A800)</f>
        <v>796</v>
      </c>
      <c r="B800" s="19" t="str">
        <f>IF('Supplier selection'!B800="","",'Supplier selection'!B800)</f>
        <v/>
      </c>
      <c r="C800" s="19" t="str">
        <f>IF('Supplier selection'!C800="","",'Supplier selection'!C800)</f>
        <v/>
      </c>
      <c r="D800" s="19" t="str">
        <f>IF('Supplier selection'!D800="","",'Supplier selection'!D800)</f>
        <v/>
      </c>
      <c r="E800" s="19" t="str">
        <f>IF('Supplier selection'!E800="","",'Supplier selection'!E800)</f>
        <v/>
      </c>
      <c r="F800" s="19" t="str">
        <f>IF('Supplier selection'!F800="","",'Supplier selection'!F800)</f>
        <v/>
      </c>
      <c r="G800" s="19" t="str">
        <f>IF('Supplier selection'!G800="","",'Supplier selection'!G800)</f>
        <v/>
      </c>
      <c r="H800" s="19" t="str">
        <f>IF('Supplier selection'!H800="","",'Supplier selection'!H800)</f>
        <v/>
      </c>
      <c r="I800" s="19" t="str">
        <f>IF('Supplier selection'!I800="","",'Supplier selection'!I800)</f>
        <v/>
      </c>
      <c r="J800" s="19" t="str">
        <f>IF('Supplier selection'!J800="","",'Supplier selection'!J800)</f>
        <v/>
      </c>
      <c r="K800" s="19" t="str">
        <f>IF('Supplier selection'!K800="","",'Supplier selection'!K800)</f>
        <v/>
      </c>
      <c r="L800" s="19" t="str">
        <f>IF('Supplier selection'!L800="","",'Supplier selection'!L800)</f>
        <v/>
      </c>
      <c r="M800" s="19" t="str">
        <f>IF('Supplier selection'!M800="","",'Supplier selection'!M800)</f>
        <v/>
      </c>
      <c r="N800" s="19" t="str">
        <f>IF('Supplier selection'!N800="","",'Supplier selection'!N800)</f>
        <v/>
      </c>
      <c r="O800" s="19" t="str">
        <f>IF('Supplier selection'!O800="","",'Supplier selection'!O800)</f>
        <v/>
      </c>
      <c r="Q800" s="19" t="str">
        <f>HLOOKUP($Q$3,'Supplier selection'!$AW$4:'Supplier selection'!$CT$1000,$A801,FALSE)</f>
        <v/>
      </c>
      <c r="R800" s="22" t="str">
        <f t="shared" si="132"/>
        <v/>
      </c>
      <c r="S800" s="19" t="str">
        <f t="shared" si="133"/>
        <v/>
      </c>
      <c r="T800" s="22" t="str">
        <f t="shared" si="134"/>
        <v/>
      </c>
      <c r="U800" s="19" t="str">
        <f t="shared" si="135"/>
        <v/>
      </c>
      <c r="V800" s="7"/>
      <c r="Y800" s="19" t="str">
        <f>IF('Supplier selection'!AQ800="","",'Supplier selection'!AQ800)</f>
        <v/>
      </c>
      <c r="Z800" s="19" t="str">
        <f>IF('Supplier selection'!AR800="","",'Supplier selection'!AR800)</f>
        <v/>
      </c>
      <c r="AA800" s="19" t="str">
        <f t="shared" si="136"/>
        <v/>
      </c>
      <c r="AD800" s="26" t="str">
        <f>IF(AND('Supplier selection'!X800="",'Supplier selection'!AE800=""),"",IF('Supplier selection'!X800="",'Supplier selection'!AE800,'Supplier selection'!X800))</f>
        <v/>
      </c>
      <c r="AE800" s="19" t="str">
        <f t="shared" si="137"/>
        <v/>
      </c>
      <c r="AF800" s="19" t="str">
        <f t="shared" si="138"/>
        <v/>
      </c>
      <c r="AG800" s="27" t="str">
        <f>IF(AND('Supplier selection'!AB800="",'Supplier selection'!AI800=""),"",IF('Supplier selection'!AB800="",'Supplier selection'!AI800,'Supplier selection'!AB800))</f>
        <v/>
      </c>
      <c r="AH800" s="28" t="str">
        <f t="shared" si="139"/>
        <v/>
      </c>
      <c r="AI800" s="7" t="str">
        <f t="shared" si="140"/>
        <v/>
      </c>
      <c r="AJ800" s="22" t="str">
        <f t="shared" si="141"/>
        <v/>
      </c>
      <c r="AK800" s="29" t="str">
        <f t="shared" si="142"/>
        <v/>
      </c>
      <c r="AL800" s="10"/>
    </row>
    <row r="801" spans="1:38">
      <c r="A801" s="19">
        <f>IF('Supplier selection'!A801="","",'Supplier selection'!A801)</f>
        <v>797</v>
      </c>
      <c r="B801" s="19" t="str">
        <f>IF('Supplier selection'!B801="","",'Supplier selection'!B801)</f>
        <v/>
      </c>
      <c r="C801" s="19" t="str">
        <f>IF('Supplier selection'!C801="","",'Supplier selection'!C801)</f>
        <v/>
      </c>
      <c r="D801" s="19" t="str">
        <f>IF('Supplier selection'!D801="","",'Supplier selection'!D801)</f>
        <v/>
      </c>
      <c r="E801" s="19" t="str">
        <f>IF('Supplier selection'!E801="","",'Supplier selection'!E801)</f>
        <v/>
      </c>
      <c r="F801" s="19" t="str">
        <f>IF('Supplier selection'!F801="","",'Supplier selection'!F801)</f>
        <v/>
      </c>
      <c r="G801" s="19" t="str">
        <f>IF('Supplier selection'!G801="","",'Supplier selection'!G801)</f>
        <v/>
      </c>
      <c r="H801" s="19" t="str">
        <f>IF('Supplier selection'!H801="","",'Supplier selection'!H801)</f>
        <v/>
      </c>
      <c r="I801" s="19" t="str">
        <f>IF('Supplier selection'!I801="","",'Supplier selection'!I801)</f>
        <v/>
      </c>
      <c r="J801" s="19" t="str">
        <f>IF('Supplier selection'!J801="","",'Supplier selection'!J801)</f>
        <v/>
      </c>
      <c r="K801" s="19" t="str">
        <f>IF('Supplier selection'!K801="","",'Supplier selection'!K801)</f>
        <v/>
      </c>
      <c r="L801" s="19" t="str">
        <f>IF('Supplier selection'!L801="","",'Supplier selection'!L801)</f>
        <v/>
      </c>
      <c r="M801" s="19" t="str">
        <f>IF('Supplier selection'!M801="","",'Supplier selection'!M801)</f>
        <v/>
      </c>
      <c r="N801" s="19" t="str">
        <f>IF('Supplier selection'!N801="","",'Supplier selection'!N801)</f>
        <v/>
      </c>
      <c r="O801" s="19" t="str">
        <f>IF('Supplier selection'!O801="","",'Supplier selection'!O801)</f>
        <v/>
      </c>
      <c r="Q801" s="19" t="str">
        <f>HLOOKUP($Q$3,'Supplier selection'!$AW$4:'Supplier selection'!$CT$1000,$A802,FALSE)</f>
        <v/>
      </c>
      <c r="R801" s="22" t="str">
        <f t="shared" si="132"/>
        <v/>
      </c>
      <c r="S801" s="19" t="str">
        <f t="shared" si="133"/>
        <v/>
      </c>
      <c r="T801" s="22" t="str">
        <f t="shared" si="134"/>
        <v/>
      </c>
      <c r="U801" s="19" t="str">
        <f t="shared" si="135"/>
        <v/>
      </c>
      <c r="V801" s="7"/>
      <c r="Y801" s="19" t="str">
        <f>IF('Supplier selection'!AQ801="","",'Supplier selection'!AQ801)</f>
        <v/>
      </c>
      <c r="Z801" s="19" t="str">
        <f>IF('Supplier selection'!AR801="","",'Supplier selection'!AR801)</f>
        <v/>
      </c>
      <c r="AA801" s="19" t="str">
        <f t="shared" si="136"/>
        <v/>
      </c>
      <c r="AD801" s="26" t="str">
        <f>IF(AND('Supplier selection'!X801="",'Supplier selection'!AE801=""),"",IF('Supplier selection'!X801="",'Supplier selection'!AE801,'Supplier selection'!X801))</f>
        <v/>
      </c>
      <c r="AE801" s="19" t="str">
        <f t="shared" si="137"/>
        <v/>
      </c>
      <c r="AF801" s="19" t="str">
        <f t="shared" si="138"/>
        <v/>
      </c>
      <c r="AG801" s="27" t="str">
        <f>IF(AND('Supplier selection'!AB801="",'Supplier selection'!AI801=""),"",IF('Supplier selection'!AB801="",'Supplier selection'!AI801,'Supplier selection'!AB801))</f>
        <v/>
      </c>
      <c r="AH801" s="28" t="str">
        <f t="shared" si="139"/>
        <v/>
      </c>
      <c r="AI801" s="7" t="str">
        <f t="shared" si="140"/>
        <v/>
      </c>
      <c r="AJ801" s="22" t="str">
        <f t="shared" si="141"/>
        <v/>
      </c>
      <c r="AK801" s="29" t="str">
        <f t="shared" si="142"/>
        <v/>
      </c>
      <c r="AL801" s="10"/>
    </row>
    <row r="802" spans="1:38">
      <c r="A802" s="19">
        <f>IF('Supplier selection'!A802="","",'Supplier selection'!A802)</f>
        <v>798</v>
      </c>
      <c r="B802" s="19" t="str">
        <f>IF('Supplier selection'!B802="","",'Supplier selection'!B802)</f>
        <v/>
      </c>
      <c r="C802" s="19" t="str">
        <f>IF('Supplier selection'!C802="","",'Supplier selection'!C802)</f>
        <v/>
      </c>
      <c r="D802" s="19" t="str">
        <f>IF('Supplier selection'!D802="","",'Supplier selection'!D802)</f>
        <v/>
      </c>
      <c r="E802" s="19" t="str">
        <f>IF('Supplier selection'!E802="","",'Supplier selection'!E802)</f>
        <v/>
      </c>
      <c r="F802" s="19" t="str">
        <f>IF('Supplier selection'!F802="","",'Supplier selection'!F802)</f>
        <v/>
      </c>
      <c r="G802" s="19" t="str">
        <f>IF('Supplier selection'!G802="","",'Supplier selection'!G802)</f>
        <v/>
      </c>
      <c r="H802" s="19" t="str">
        <f>IF('Supplier selection'!H802="","",'Supplier selection'!H802)</f>
        <v/>
      </c>
      <c r="I802" s="19" t="str">
        <f>IF('Supplier selection'!I802="","",'Supplier selection'!I802)</f>
        <v/>
      </c>
      <c r="J802" s="19" t="str">
        <f>IF('Supplier selection'!J802="","",'Supplier selection'!J802)</f>
        <v/>
      </c>
      <c r="K802" s="19" t="str">
        <f>IF('Supplier selection'!K802="","",'Supplier selection'!K802)</f>
        <v/>
      </c>
      <c r="L802" s="19" t="str">
        <f>IF('Supplier selection'!L802="","",'Supplier selection'!L802)</f>
        <v/>
      </c>
      <c r="M802" s="19" t="str">
        <f>IF('Supplier selection'!M802="","",'Supplier selection'!M802)</f>
        <v/>
      </c>
      <c r="N802" s="19" t="str">
        <f>IF('Supplier selection'!N802="","",'Supplier selection'!N802)</f>
        <v/>
      </c>
      <c r="O802" s="19" t="str">
        <f>IF('Supplier selection'!O802="","",'Supplier selection'!O802)</f>
        <v/>
      </c>
      <c r="Q802" s="19" t="str">
        <f>HLOOKUP($Q$3,'Supplier selection'!$AW$4:'Supplier selection'!$CT$1000,$A803,FALSE)</f>
        <v/>
      </c>
      <c r="R802" s="22" t="str">
        <f t="shared" si="132"/>
        <v/>
      </c>
      <c r="S802" s="19" t="str">
        <f t="shared" si="133"/>
        <v/>
      </c>
      <c r="T802" s="22" t="str">
        <f t="shared" si="134"/>
        <v/>
      </c>
      <c r="U802" s="19" t="str">
        <f t="shared" si="135"/>
        <v/>
      </c>
      <c r="V802" s="7"/>
      <c r="Y802" s="19" t="str">
        <f>IF('Supplier selection'!AQ802="","",'Supplier selection'!AQ802)</f>
        <v/>
      </c>
      <c r="Z802" s="19" t="str">
        <f>IF('Supplier selection'!AR802="","",'Supplier selection'!AR802)</f>
        <v/>
      </c>
      <c r="AA802" s="19" t="str">
        <f t="shared" si="136"/>
        <v/>
      </c>
      <c r="AD802" s="26" t="str">
        <f>IF(AND('Supplier selection'!X802="",'Supplier selection'!AE802=""),"",IF('Supplier selection'!X802="",'Supplier selection'!AE802,'Supplier selection'!X802))</f>
        <v/>
      </c>
      <c r="AE802" s="19" t="str">
        <f t="shared" si="137"/>
        <v/>
      </c>
      <c r="AF802" s="19" t="str">
        <f t="shared" si="138"/>
        <v/>
      </c>
      <c r="AG802" s="27" t="str">
        <f>IF(AND('Supplier selection'!AB802="",'Supplier selection'!AI802=""),"",IF('Supplier selection'!AB802="",'Supplier selection'!AI802,'Supplier selection'!AB802))</f>
        <v/>
      </c>
      <c r="AH802" s="28" t="str">
        <f t="shared" si="139"/>
        <v/>
      </c>
      <c r="AI802" s="7" t="str">
        <f t="shared" si="140"/>
        <v/>
      </c>
      <c r="AJ802" s="22" t="str">
        <f t="shared" si="141"/>
        <v/>
      </c>
      <c r="AK802" s="29" t="str">
        <f t="shared" si="142"/>
        <v/>
      </c>
      <c r="AL802" s="10"/>
    </row>
    <row r="803" spans="1:38">
      <c r="A803" s="19">
        <f>IF('Supplier selection'!A803="","",'Supplier selection'!A803)</f>
        <v>799</v>
      </c>
      <c r="B803" s="19" t="str">
        <f>IF('Supplier selection'!B803="","",'Supplier selection'!B803)</f>
        <v/>
      </c>
      <c r="C803" s="19" t="str">
        <f>IF('Supplier selection'!C803="","",'Supplier selection'!C803)</f>
        <v/>
      </c>
      <c r="D803" s="19" t="str">
        <f>IF('Supplier selection'!D803="","",'Supplier selection'!D803)</f>
        <v/>
      </c>
      <c r="E803" s="19" t="str">
        <f>IF('Supplier selection'!E803="","",'Supplier selection'!E803)</f>
        <v/>
      </c>
      <c r="F803" s="19" t="str">
        <f>IF('Supplier selection'!F803="","",'Supplier selection'!F803)</f>
        <v/>
      </c>
      <c r="G803" s="19" t="str">
        <f>IF('Supplier selection'!G803="","",'Supplier selection'!G803)</f>
        <v/>
      </c>
      <c r="H803" s="19" t="str">
        <f>IF('Supplier selection'!H803="","",'Supplier selection'!H803)</f>
        <v/>
      </c>
      <c r="I803" s="19" t="str">
        <f>IF('Supplier selection'!I803="","",'Supplier selection'!I803)</f>
        <v/>
      </c>
      <c r="J803" s="19" t="str">
        <f>IF('Supplier selection'!J803="","",'Supplier selection'!J803)</f>
        <v/>
      </c>
      <c r="K803" s="19" t="str">
        <f>IF('Supplier selection'!K803="","",'Supplier selection'!K803)</f>
        <v/>
      </c>
      <c r="L803" s="19" t="str">
        <f>IF('Supplier selection'!L803="","",'Supplier selection'!L803)</f>
        <v/>
      </c>
      <c r="M803" s="19" t="str">
        <f>IF('Supplier selection'!M803="","",'Supplier selection'!M803)</f>
        <v/>
      </c>
      <c r="N803" s="19" t="str">
        <f>IF('Supplier selection'!N803="","",'Supplier selection'!N803)</f>
        <v/>
      </c>
      <c r="O803" s="19" t="str">
        <f>IF('Supplier selection'!O803="","",'Supplier selection'!O803)</f>
        <v/>
      </c>
      <c r="Q803" s="19" t="str">
        <f>HLOOKUP($Q$3,'Supplier selection'!$AW$4:'Supplier selection'!$CT$1000,$A804,FALSE)</f>
        <v/>
      </c>
      <c r="R803" s="22" t="str">
        <f t="shared" si="132"/>
        <v/>
      </c>
      <c r="S803" s="19" t="str">
        <f t="shared" si="133"/>
        <v/>
      </c>
      <c r="T803" s="22" t="str">
        <f t="shared" si="134"/>
        <v/>
      </c>
      <c r="U803" s="19" t="str">
        <f t="shared" si="135"/>
        <v/>
      </c>
      <c r="V803" s="7"/>
      <c r="Y803" s="19" t="str">
        <f>IF('Supplier selection'!AQ803="","",'Supplier selection'!AQ803)</f>
        <v/>
      </c>
      <c r="Z803" s="19" t="str">
        <f>IF('Supplier selection'!AR803="","",'Supplier selection'!AR803)</f>
        <v/>
      </c>
      <c r="AA803" s="19" t="str">
        <f t="shared" si="136"/>
        <v/>
      </c>
      <c r="AD803" s="26" t="str">
        <f>IF(AND('Supplier selection'!X803="",'Supplier selection'!AE803=""),"",IF('Supplier selection'!X803="",'Supplier selection'!AE803,'Supplier selection'!X803))</f>
        <v/>
      </c>
      <c r="AE803" s="19" t="str">
        <f t="shared" si="137"/>
        <v/>
      </c>
      <c r="AF803" s="19" t="str">
        <f t="shared" si="138"/>
        <v/>
      </c>
      <c r="AG803" s="27" t="str">
        <f>IF(AND('Supplier selection'!AB803="",'Supplier selection'!AI803=""),"",IF('Supplier selection'!AB803="",'Supplier selection'!AI803,'Supplier selection'!AB803))</f>
        <v/>
      </c>
      <c r="AH803" s="28" t="str">
        <f t="shared" si="139"/>
        <v/>
      </c>
      <c r="AI803" s="7" t="str">
        <f t="shared" si="140"/>
        <v/>
      </c>
      <c r="AJ803" s="22" t="str">
        <f t="shared" si="141"/>
        <v/>
      </c>
      <c r="AK803" s="29" t="str">
        <f t="shared" si="142"/>
        <v/>
      </c>
      <c r="AL803" s="10"/>
    </row>
    <row r="804" spans="1:38">
      <c r="A804" s="19">
        <f>IF('Supplier selection'!A804="","",'Supplier selection'!A804)</f>
        <v>800</v>
      </c>
      <c r="B804" s="19" t="str">
        <f>IF('Supplier selection'!B804="","",'Supplier selection'!B804)</f>
        <v/>
      </c>
      <c r="C804" s="19" t="str">
        <f>IF('Supplier selection'!C804="","",'Supplier selection'!C804)</f>
        <v/>
      </c>
      <c r="D804" s="19" t="str">
        <f>IF('Supplier selection'!D804="","",'Supplier selection'!D804)</f>
        <v/>
      </c>
      <c r="E804" s="19" t="str">
        <f>IF('Supplier selection'!E804="","",'Supplier selection'!E804)</f>
        <v/>
      </c>
      <c r="F804" s="19" t="str">
        <f>IF('Supplier selection'!F804="","",'Supplier selection'!F804)</f>
        <v/>
      </c>
      <c r="G804" s="19" t="str">
        <f>IF('Supplier selection'!G804="","",'Supplier selection'!G804)</f>
        <v/>
      </c>
      <c r="H804" s="19" t="str">
        <f>IF('Supplier selection'!H804="","",'Supplier selection'!H804)</f>
        <v/>
      </c>
      <c r="I804" s="19" t="str">
        <f>IF('Supplier selection'!I804="","",'Supplier selection'!I804)</f>
        <v/>
      </c>
      <c r="J804" s="19" t="str">
        <f>IF('Supplier selection'!J804="","",'Supplier selection'!J804)</f>
        <v/>
      </c>
      <c r="K804" s="19" t="str">
        <f>IF('Supplier selection'!K804="","",'Supplier selection'!K804)</f>
        <v/>
      </c>
      <c r="L804" s="19" t="str">
        <f>IF('Supplier selection'!L804="","",'Supplier selection'!L804)</f>
        <v/>
      </c>
      <c r="M804" s="19" t="str">
        <f>IF('Supplier selection'!M804="","",'Supplier selection'!M804)</f>
        <v/>
      </c>
      <c r="N804" s="19" t="str">
        <f>IF('Supplier selection'!N804="","",'Supplier selection'!N804)</f>
        <v/>
      </c>
      <c r="O804" s="19" t="str">
        <f>IF('Supplier selection'!O804="","",'Supplier selection'!O804)</f>
        <v/>
      </c>
      <c r="Q804" s="19" t="str">
        <f>HLOOKUP($Q$3,'Supplier selection'!$AW$4:'Supplier selection'!$CT$1000,$A805,FALSE)</f>
        <v/>
      </c>
      <c r="R804" s="22" t="str">
        <f t="shared" si="132"/>
        <v/>
      </c>
      <c r="S804" s="19" t="str">
        <f t="shared" si="133"/>
        <v/>
      </c>
      <c r="T804" s="22" t="str">
        <f t="shared" si="134"/>
        <v/>
      </c>
      <c r="U804" s="19" t="str">
        <f t="shared" si="135"/>
        <v/>
      </c>
      <c r="V804" s="7"/>
      <c r="Y804" s="19" t="str">
        <f>IF('Supplier selection'!AQ804="","",'Supplier selection'!AQ804)</f>
        <v/>
      </c>
      <c r="Z804" s="19" t="str">
        <f>IF('Supplier selection'!AR804="","",'Supplier selection'!AR804)</f>
        <v/>
      </c>
      <c r="AA804" s="19" t="str">
        <f t="shared" si="136"/>
        <v/>
      </c>
      <c r="AD804" s="26" t="str">
        <f>IF(AND('Supplier selection'!X804="",'Supplier selection'!AE804=""),"",IF('Supplier selection'!X804="",'Supplier selection'!AE804,'Supplier selection'!X804))</f>
        <v/>
      </c>
      <c r="AE804" s="19" t="str">
        <f t="shared" si="137"/>
        <v/>
      </c>
      <c r="AF804" s="19" t="str">
        <f t="shared" si="138"/>
        <v/>
      </c>
      <c r="AG804" s="27" t="str">
        <f>IF(AND('Supplier selection'!AB804="",'Supplier selection'!AI804=""),"",IF('Supplier selection'!AB804="",'Supplier selection'!AI804,'Supplier selection'!AB804))</f>
        <v/>
      </c>
      <c r="AH804" s="28" t="str">
        <f t="shared" si="139"/>
        <v/>
      </c>
      <c r="AI804" s="7" t="str">
        <f t="shared" si="140"/>
        <v/>
      </c>
      <c r="AJ804" s="22" t="str">
        <f t="shared" si="141"/>
        <v/>
      </c>
      <c r="AK804" s="29" t="str">
        <f t="shared" si="142"/>
        <v/>
      </c>
      <c r="AL804" s="10"/>
    </row>
    <row r="805" spans="1:38">
      <c r="A805" s="19">
        <f>IF('Supplier selection'!A805="","",'Supplier selection'!A805)</f>
        <v>801</v>
      </c>
      <c r="B805" s="19" t="str">
        <f>IF('Supplier selection'!B805="","",'Supplier selection'!B805)</f>
        <v/>
      </c>
      <c r="C805" s="19" t="str">
        <f>IF('Supplier selection'!C805="","",'Supplier selection'!C805)</f>
        <v/>
      </c>
      <c r="D805" s="19" t="str">
        <f>IF('Supplier selection'!D805="","",'Supplier selection'!D805)</f>
        <v/>
      </c>
      <c r="E805" s="19" t="str">
        <f>IF('Supplier selection'!E805="","",'Supplier selection'!E805)</f>
        <v/>
      </c>
      <c r="F805" s="19" t="str">
        <f>IF('Supplier selection'!F805="","",'Supplier selection'!F805)</f>
        <v/>
      </c>
      <c r="G805" s="19" t="str">
        <f>IF('Supplier selection'!G805="","",'Supplier selection'!G805)</f>
        <v/>
      </c>
      <c r="H805" s="19" t="str">
        <f>IF('Supplier selection'!H805="","",'Supplier selection'!H805)</f>
        <v/>
      </c>
      <c r="I805" s="19" t="str">
        <f>IF('Supplier selection'!I805="","",'Supplier selection'!I805)</f>
        <v/>
      </c>
      <c r="J805" s="19" t="str">
        <f>IF('Supplier selection'!J805="","",'Supplier selection'!J805)</f>
        <v/>
      </c>
      <c r="K805" s="19" t="str">
        <f>IF('Supplier selection'!K805="","",'Supplier selection'!K805)</f>
        <v/>
      </c>
      <c r="L805" s="19" t="str">
        <f>IF('Supplier selection'!L805="","",'Supplier selection'!L805)</f>
        <v/>
      </c>
      <c r="M805" s="19" t="str">
        <f>IF('Supplier selection'!M805="","",'Supplier selection'!M805)</f>
        <v/>
      </c>
      <c r="N805" s="19" t="str">
        <f>IF('Supplier selection'!N805="","",'Supplier selection'!N805)</f>
        <v/>
      </c>
      <c r="O805" s="19" t="str">
        <f>IF('Supplier selection'!O805="","",'Supplier selection'!O805)</f>
        <v/>
      </c>
      <c r="Q805" s="19" t="str">
        <f>HLOOKUP($Q$3,'Supplier selection'!$AW$4:'Supplier selection'!$CT$1000,$A806,FALSE)</f>
        <v/>
      </c>
      <c r="R805" s="22" t="str">
        <f t="shared" si="132"/>
        <v/>
      </c>
      <c r="S805" s="19" t="str">
        <f t="shared" si="133"/>
        <v/>
      </c>
      <c r="T805" s="22" t="str">
        <f t="shared" si="134"/>
        <v/>
      </c>
      <c r="U805" s="19" t="str">
        <f t="shared" si="135"/>
        <v/>
      </c>
      <c r="V805" s="7"/>
      <c r="Y805" s="19" t="str">
        <f>IF('Supplier selection'!AQ805="","",'Supplier selection'!AQ805)</f>
        <v/>
      </c>
      <c r="Z805" s="19" t="str">
        <f>IF('Supplier selection'!AR805="","",'Supplier selection'!AR805)</f>
        <v/>
      </c>
      <c r="AA805" s="19" t="str">
        <f t="shared" si="136"/>
        <v/>
      </c>
      <c r="AD805" s="26" t="str">
        <f>IF(AND('Supplier selection'!X805="",'Supplier selection'!AE805=""),"",IF('Supplier selection'!X805="",'Supplier selection'!AE805,'Supplier selection'!X805))</f>
        <v/>
      </c>
      <c r="AE805" s="19" t="str">
        <f t="shared" si="137"/>
        <v/>
      </c>
      <c r="AF805" s="19" t="str">
        <f t="shared" si="138"/>
        <v/>
      </c>
      <c r="AG805" s="27" t="str">
        <f>IF(AND('Supplier selection'!AB805="",'Supplier selection'!AI805=""),"",IF('Supplier selection'!AB805="",'Supplier selection'!AI805,'Supplier selection'!AB805))</f>
        <v/>
      </c>
      <c r="AH805" s="28" t="str">
        <f t="shared" si="139"/>
        <v/>
      </c>
      <c r="AI805" s="7" t="str">
        <f t="shared" si="140"/>
        <v/>
      </c>
      <c r="AJ805" s="22" t="str">
        <f t="shared" si="141"/>
        <v/>
      </c>
      <c r="AK805" s="29" t="str">
        <f t="shared" si="142"/>
        <v/>
      </c>
      <c r="AL805" s="10"/>
    </row>
    <row r="806" spans="1:38">
      <c r="A806" s="19">
        <f>IF('Supplier selection'!A806="","",'Supplier selection'!A806)</f>
        <v>802</v>
      </c>
      <c r="B806" s="19" t="str">
        <f>IF('Supplier selection'!B806="","",'Supplier selection'!B806)</f>
        <v/>
      </c>
      <c r="C806" s="19" t="str">
        <f>IF('Supplier selection'!C806="","",'Supplier selection'!C806)</f>
        <v/>
      </c>
      <c r="D806" s="19" t="str">
        <f>IF('Supplier selection'!D806="","",'Supplier selection'!D806)</f>
        <v/>
      </c>
      <c r="E806" s="19" t="str">
        <f>IF('Supplier selection'!E806="","",'Supplier selection'!E806)</f>
        <v/>
      </c>
      <c r="F806" s="19" t="str">
        <f>IF('Supplier selection'!F806="","",'Supplier selection'!F806)</f>
        <v/>
      </c>
      <c r="G806" s="19" t="str">
        <f>IF('Supplier selection'!G806="","",'Supplier selection'!G806)</f>
        <v/>
      </c>
      <c r="H806" s="19" t="str">
        <f>IF('Supplier selection'!H806="","",'Supplier selection'!H806)</f>
        <v/>
      </c>
      <c r="I806" s="19" t="str">
        <f>IF('Supplier selection'!I806="","",'Supplier selection'!I806)</f>
        <v/>
      </c>
      <c r="J806" s="19" t="str">
        <f>IF('Supplier selection'!J806="","",'Supplier selection'!J806)</f>
        <v/>
      </c>
      <c r="K806" s="19" t="str">
        <f>IF('Supplier selection'!K806="","",'Supplier selection'!K806)</f>
        <v/>
      </c>
      <c r="L806" s="19" t="str">
        <f>IF('Supplier selection'!L806="","",'Supplier selection'!L806)</f>
        <v/>
      </c>
      <c r="M806" s="19" t="str">
        <f>IF('Supplier selection'!M806="","",'Supplier selection'!M806)</f>
        <v/>
      </c>
      <c r="N806" s="19" t="str">
        <f>IF('Supplier selection'!N806="","",'Supplier selection'!N806)</f>
        <v/>
      </c>
      <c r="O806" s="19" t="str">
        <f>IF('Supplier selection'!O806="","",'Supplier selection'!O806)</f>
        <v/>
      </c>
      <c r="Q806" s="19" t="str">
        <f>HLOOKUP($Q$3,'Supplier selection'!$AW$4:'Supplier selection'!$CT$1000,$A807,FALSE)</f>
        <v/>
      </c>
      <c r="R806" s="22" t="str">
        <f t="shared" si="132"/>
        <v/>
      </c>
      <c r="S806" s="19" t="str">
        <f t="shared" si="133"/>
        <v/>
      </c>
      <c r="T806" s="22" t="str">
        <f t="shared" si="134"/>
        <v/>
      </c>
      <c r="U806" s="19" t="str">
        <f t="shared" si="135"/>
        <v/>
      </c>
      <c r="V806" s="7"/>
      <c r="Y806" s="19" t="str">
        <f>IF('Supplier selection'!AQ806="","",'Supplier selection'!AQ806)</f>
        <v/>
      </c>
      <c r="Z806" s="19" t="str">
        <f>IF('Supplier selection'!AR806="","",'Supplier selection'!AR806)</f>
        <v/>
      </c>
      <c r="AA806" s="19" t="str">
        <f t="shared" si="136"/>
        <v/>
      </c>
      <c r="AD806" s="26" t="str">
        <f>IF(AND('Supplier selection'!X806="",'Supplier selection'!AE806=""),"",IF('Supplier selection'!X806="",'Supplier selection'!AE806,'Supplier selection'!X806))</f>
        <v/>
      </c>
      <c r="AE806" s="19" t="str">
        <f t="shared" si="137"/>
        <v/>
      </c>
      <c r="AF806" s="19" t="str">
        <f t="shared" si="138"/>
        <v/>
      </c>
      <c r="AG806" s="27" t="str">
        <f>IF(AND('Supplier selection'!AB806="",'Supplier selection'!AI806=""),"",IF('Supplier selection'!AB806="",'Supplier selection'!AI806,'Supplier selection'!AB806))</f>
        <v/>
      </c>
      <c r="AH806" s="28" t="str">
        <f t="shared" si="139"/>
        <v/>
      </c>
      <c r="AI806" s="7" t="str">
        <f t="shared" si="140"/>
        <v/>
      </c>
      <c r="AJ806" s="22" t="str">
        <f t="shared" si="141"/>
        <v/>
      </c>
      <c r="AK806" s="29" t="str">
        <f t="shared" si="142"/>
        <v/>
      </c>
      <c r="AL806" s="10"/>
    </row>
    <row r="807" spans="1:38">
      <c r="A807" s="19">
        <f>IF('Supplier selection'!A807="","",'Supplier selection'!A807)</f>
        <v>803</v>
      </c>
      <c r="B807" s="19" t="str">
        <f>IF('Supplier selection'!B807="","",'Supplier selection'!B807)</f>
        <v/>
      </c>
      <c r="C807" s="19" t="str">
        <f>IF('Supplier selection'!C807="","",'Supplier selection'!C807)</f>
        <v/>
      </c>
      <c r="D807" s="19" t="str">
        <f>IF('Supplier selection'!D807="","",'Supplier selection'!D807)</f>
        <v/>
      </c>
      <c r="E807" s="19" t="str">
        <f>IF('Supplier selection'!E807="","",'Supplier selection'!E807)</f>
        <v/>
      </c>
      <c r="F807" s="19" t="str">
        <f>IF('Supplier selection'!F807="","",'Supplier selection'!F807)</f>
        <v/>
      </c>
      <c r="G807" s="19" t="str">
        <f>IF('Supplier selection'!G807="","",'Supplier selection'!G807)</f>
        <v/>
      </c>
      <c r="H807" s="19" t="str">
        <f>IF('Supplier selection'!H807="","",'Supplier selection'!H807)</f>
        <v/>
      </c>
      <c r="I807" s="19" t="str">
        <f>IF('Supplier selection'!I807="","",'Supplier selection'!I807)</f>
        <v/>
      </c>
      <c r="J807" s="19" t="str">
        <f>IF('Supplier selection'!J807="","",'Supplier selection'!J807)</f>
        <v/>
      </c>
      <c r="K807" s="19" t="str">
        <f>IF('Supplier selection'!K807="","",'Supplier selection'!K807)</f>
        <v/>
      </c>
      <c r="L807" s="19" t="str">
        <f>IF('Supplier selection'!L807="","",'Supplier selection'!L807)</f>
        <v/>
      </c>
      <c r="M807" s="19" t="str">
        <f>IF('Supplier selection'!M807="","",'Supplier selection'!M807)</f>
        <v/>
      </c>
      <c r="N807" s="19" t="str">
        <f>IF('Supplier selection'!N807="","",'Supplier selection'!N807)</f>
        <v/>
      </c>
      <c r="O807" s="19" t="str">
        <f>IF('Supplier selection'!O807="","",'Supplier selection'!O807)</f>
        <v/>
      </c>
      <c r="Q807" s="19" t="str">
        <f>HLOOKUP($Q$3,'Supplier selection'!$AW$4:'Supplier selection'!$CT$1000,$A808,FALSE)</f>
        <v/>
      </c>
      <c r="R807" s="22" t="str">
        <f t="shared" si="132"/>
        <v/>
      </c>
      <c r="S807" s="19" t="str">
        <f t="shared" si="133"/>
        <v/>
      </c>
      <c r="T807" s="22" t="str">
        <f t="shared" si="134"/>
        <v/>
      </c>
      <c r="U807" s="19" t="str">
        <f t="shared" si="135"/>
        <v/>
      </c>
      <c r="V807" s="7"/>
      <c r="Y807" s="19" t="str">
        <f>IF('Supplier selection'!AQ807="","",'Supplier selection'!AQ807)</f>
        <v/>
      </c>
      <c r="Z807" s="19" t="str">
        <f>IF('Supplier selection'!AR807="","",'Supplier selection'!AR807)</f>
        <v/>
      </c>
      <c r="AA807" s="19" t="str">
        <f t="shared" si="136"/>
        <v/>
      </c>
      <c r="AD807" s="26" t="str">
        <f>IF(AND('Supplier selection'!X807="",'Supplier selection'!AE807=""),"",IF('Supplier selection'!X807="",'Supplier selection'!AE807,'Supplier selection'!X807))</f>
        <v/>
      </c>
      <c r="AE807" s="19" t="str">
        <f t="shared" si="137"/>
        <v/>
      </c>
      <c r="AF807" s="19" t="str">
        <f t="shared" si="138"/>
        <v/>
      </c>
      <c r="AG807" s="27" t="str">
        <f>IF(AND('Supplier selection'!AB807="",'Supplier selection'!AI807=""),"",IF('Supplier selection'!AB807="",'Supplier selection'!AI807,'Supplier selection'!AB807))</f>
        <v/>
      </c>
      <c r="AH807" s="28" t="str">
        <f t="shared" si="139"/>
        <v/>
      </c>
      <c r="AI807" s="7" t="str">
        <f t="shared" si="140"/>
        <v/>
      </c>
      <c r="AJ807" s="22" t="str">
        <f t="shared" si="141"/>
        <v/>
      </c>
      <c r="AK807" s="29" t="str">
        <f t="shared" si="142"/>
        <v/>
      </c>
      <c r="AL807" s="10"/>
    </row>
    <row r="808" spans="1:38">
      <c r="A808" s="19">
        <f>IF('Supplier selection'!A808="","",'Supplier selection'!A808)</f>
        <v>804</v>
      </c>
      <c r="B808" s="19" t="str">
        <f>IF('Supplier selection'!B808="","",'Supplier selection'!B808)</f>
        <v/>
      </c>
      <c r="C808" s="19" t="str">
        <f>IF('Supplier selection'!C808="","",'Supplier selection'!C808)</f>
        <v/>
      </c>
      <c r="D808" s="19" t="str">
        <f>IF('Supplier selection'!D808="","",'Supplier selection'!D808)</f>
        <v/>
      </c>
      <c r="E808" s="19" t="str">
        <f>IF('Supplier selection'!E808="","",'Supplier selection'!E808)</f>
        <v/>
      </c>
      <c r="F808" s="19" t="str">
        <f>IF('Supplier selection'!F808="","",'Supplier selection'!F808)</f>
        <v/>
      </c>
      <c r="G808" s="19" t="str">
        <f>IF('Supplier selection'!G808="","",'Supplier selection'!G808)</f>
        <v/>
      </c>
      <c r="H808" s="19" t="str">
        <f>IF('Supplier selection'!H808="","",'Supplier selection'!H808)</f>
        <v/>
      </c>
      <c r="I808" s="19" t="str">
        <f>IF('Supplier selection'!I808="","",'Supplier selection'!I808)</f>
        <v/>
      </c>
      <c r="J808" s="19" t="str">
        <f>IF('Supplier selection'!J808="","",'Supplier selection'!J808)</f>
        <v/>
      </c>
      <c r="K808" s="19" t="str">
        <f>IF('Supplier selection'!K808="","",'Supplier selection'!K808)</f>
        <v/>
      </c>
      <c r="L808" s="19" t="str">
        <f>IF('Supplier selection'!L808="","",'Supplier selection'!L808)</f>
        <v/>
      </c>
      <c r="M808" s="19" t="str">
        <f>IF('Supplier selection'!M808="","",'Supplier selection'!M808)</f>
        <v/>
      </c>
      <c r="N808" s="19" t="str">
        <f>IF('Supplier selection'!N808="","",'Supplier selection'!N808)</f>
        <v/>
      </c>
      <c r="O808" s="19" t="str">
        <f>IF('Supplier selection'!O808="","",'Supplier selection'!O808)</f>
        <v/>
      </c>
      <c r="Q808" s="19" t="str">
        <f>HLOOKUP($Q$3,'Supplier selection'!$AW$4:'Supplier selection'!$CT$1000,$A809,FALSE)</f>
        <v/>
      </c>
      <c r="R808" s="22" t="str">
        <f t="shared" si="132"/>
        <v/>
      </c>
      <c r="S808" s="19" t="str">
        <f t="shared" si="133"/>
        <v/>
      </c>
      <c r="T808" s="22" t="str">
        <f t="shared" si="134"/>
        <v/>
      </c>
      <c r="U808" s="19" t="str">
        <f t="shared" si="135"/>
        <v/>
      </c>
      <c r="V808" s="7"/>
      <c r="Y808" s="19" t="str">
        <f>IF('Supplier selection'!AQ808="","",'Supplier selection'!AQ808)</f>
        <v/>
      </c>
      <c r="Z808" s="19" t="str">
        <f>IF('Supplier selection'!AR808="","",'Supplier selection'!AR808)</f>
        <v/>
      </c>
      <c r="AA808" s="19" t="str">
        <f t="shared" si="136"/>
        <v/>
      </c>
      <c r="AD808" s="26" t="str">
        <f>IF(AND('Supplier selection'!X808="",'Supplier selection'!AE808=""),"",IF('Supplier selection'!X808="",'Supplier selection'!AE808,'Supplier selection'!X808))</f>
        <v/>
      </c>
      <c r="AE808" s="19" t="str">
        <f t="shared" si="137"/>
        <v/>
      </c>
      <c r="AF808" s="19" t="str">
        <f t="shared" si="138"/>
        <v/>
      </c>
      <c r="AG808" s="27" t="str">
        <f>IF(AND('Supplier selection'!AB808="",'Supplier selection'!AI808=""),"",IF('Supplier selection'!AB808="",'Supplier selection'!AI808,'Supplier selection'!AB808))</f>
        <v/>
      </c>
      <c r="AH808" s="28" t="str">
        <f t="shared" si="139"/>
        <v/>
      </c>
      <c r="AI808" s="7" t="str">
        <f t="shared" si="140"/>
        <v/>
      </c>
      <c r="AJ808" s="22" t="str">
        <f t="shared" si="141"/>
        <v/>
      </c>
      <c r="AK808" s="29" t="str">
        <f t="shared" si="142"/>
        <v/>
      </c>
      <c r="AL808" s="10"/>
    </row>
    <row r="809" spans="1:38">
      <c r="A809" s="19">
        <f>IF('Supplier selection'!A809="","",'Supplier selection'!A809)</f>
        <v>805</v>
      </c>
      <c r="B809" s="19" t="str">
        <f>IF('Supplier selection'!B809="","",'Supplier selection'!B809)</f>
        <v/>
      </c>
      <c r="C809" s="19" t="str">
        <f>IF('Supplier selection'!C809="","",'Supplier selection'!C809)</f>
        <v/>
      </c>
      <c r="D809" s="19" t="str">
        <f>IF('Supplier selection'!D809="","",'Supplier selection'!D809)</f>
        <v/>
      </c>
      <c r="E809" s="19" t="str">
        <f>IF('Supplier selection'!E809="","",'Supplier selection'!E809)</f>
        <v/>
      </c>
      <c r="F809" s="19" t="str">
        <f>IF('Supplier selection'!F809="","",'Supplier selection'!F809)</f>
        <v/>
      </c>
      <c r="G809" s="19" t="str">
        <f>IF('Supplier selection'!G809="","",'Supplier selection'!G809)</f>
        <v/>
      </c>
      <c r="H809" s="19" t="str">
        <f>IF('Supplier selection'!H809="","",'Supplier selection'!H809)</f>
        <v/>
      </c>
      <c r="I809" s="19" t="str">
        <f>IF('Supplier selection'!I809="","",'Supplier selection'!I809)</f>
        <v/>
      </c>
      <c r="J809" s="19" t="str">
        <f>IF('Supplier selection'!J809="","",'Supplier selection'!J809)</f>
        <v/>
      </c>
      <c r="K809" s="19" t="str">
        <f>IF('Supplier selection'!K809="","",'Supplier selection'!K809)</f>
        <v/>
      </c>
      <c r="L809" s="19" t="str">
        <f>IF('Supplier selection'!L809="","",'Supplier selection'!L809)</f>
        <v/>
      </c>
      <c r="M809" s="19" t="str">
        <f>IF('Supplier selection'!M809="","",'Supplier selection'!M809)</f>
        <v/>
      </c>
      <c r="N809" s="19" t="str">
        <f>IF('Supplier selection'!N809="","",'Supplier selection'!N809)</f>
        <v/>
      </c>
      <c r="O809" s="19" t="str">
        <f>IF('Supplier selection'!O809="","",'Supplier selection'!O809)</f>
        <v/>
      </c>
      <c r="Q809" s="19" t="str">
        <f>HLOOKUP($Q$3,'Supplier selection'!$AW$4:'Supplier selection'!$CT$1000,$A810,FALSE)</f>
        <v/>
      </c>
      <c r="R809" s="22" t="str">
        <f t="shared" si="132"/>
        <v/>
      </c>
      <c r="S809" s="19" t="str">
        <f t="shared" si="133"/>
        <v/>
      </c>
      <c r="T809" s="22" t="str">
        <f t="shared" si="134"/>
        <v/>
      </c>
      <c r="U809" s="19" t="str">
        <f t="shared" si="135"/>
        <v/>
      </c>
      <c r="V809" s="7"/>
      <c r="Y809" s="19" t="str">
        <f>IF('Supplier selection'!AQ809="","",'Supplier selection'!AQ809)</f>
        <v/>
      </c>
      <c r="Z809" s="19" t="str">
        <f>IF('Supplier selection'!AR809="","",'Supplier selection'!AR809)</f>
        <v/>
      </c>
      <c r="AA809" s="19" t="str">
        <f t="shared" si="136"/>
        <v/>
      </c>
      <c r="AD809" s="26" t="str">
        <f>IF(AND('Supplier selection'!X809="",'Supplier selection'!AE809=""),"",IF('Supplier selection'!X809="",'Supplier selection'!AE809,'Supplier selection'!X809))</f>
        <v/>
      </c>
      <c r="AE809" s="19" t="str">
        <f t="shared" si="137"/>
        <v/>
      </c>
      <c r="AF809" s="19" t="str">
        <f t="shared" si="138"/>
        <v/>
      </c>
      <c r="AG809" s="27" t="str">
        <f>IF(AND('Supplier selection'!AB809="",'Supplier selection'!AI809=""),"",IF('Supplier selection'!AB809="",'Supplier selection'!AI809,'Supplier selection'!AB809))</f>
        <v/>
      </c>
      <c r="AH809" s="28" t="str">
        <f t="shared" si="139"/>
        <v/>
      </c>
      <c r="AI809" s="7" t="str">
        <f t="shared" si="140"/>
        <v/>
      </c>
      <c r="AJ809" s="22" t="str">
        <f t="shared" si="141"/>
        <v/>
      </c>
      <c r="AK809" s="29" t="str">
        <f t="shared" si="142"/>
        <v/>
      </c>
      <c r="AL809" s="10"/>
    </row>
    <row r="810" spans="1:38">
      <c r="A810" s="19">
        <f>IF('Supplier selection'!A810="","",'Supplier selection'!A810)</f>
        <v>806</v>
      </c>
      <c r="B810" s="19" t="str">
        <f>IF('Supplier selection'!B810="","",'Supplier selection'!B810)</f>
        <v/>
      </c>
      <c r="C810" s="19" t="str">
        <f>IF('Supplier selection'!C810="","",'Supplier selection'!C810)</f>
        <v/>
      </c>
      <c r="D810" s="19" t="str">
        <f>IF('Supplier selection'!D810="","",'Supplier selection'!D810)</f>
        <v/>
      </c>
      <c r="E810" s="19" t="str">
        <f>IF('Supplier selection'!E810="","",'Supplier selection'!E810)</f>
        <v/>
      </c>
      <c r="F810" s="19" t="str">
        <f>IF('Supplier selection'!F810="","",'Supplier selection'!F810)</f>
        <v/>
      </c>
      <c r="G810" s="19" t="str">
        <f>IF('Supplier selection'!G810="","",'Supplier selection'!G810)</f>
        <v/>
      </c>
      <c r="H810" s="19" t="str">
        <f>IF('Supplier selection'!H810="","",'Supplier selection'!H810)</f>
        <v/>
      </c>
      <c r="I810" s="19" t="str">
        <f>IF('Supplier selection'!I810="","",'Supplier selection'!I810)</f>
        <v/>
      </c>
      <c r="J810" s="19" t="str">
        <f>IF('Supplier selection'!J810="","",'Supplier selection'!J810)</f>
        <v/>
      </c>
      <c r="K810" s="19" t="str">
        <f>IF('Supplier selection'!K810="","",'Supplier selection'!K810)</f>
        <v/>
      </c>
      <c r="L810" s="19" t="str">
        <f>IF('Supplier selection'!L810="","",'Supplier selection'!L810)</f>
        <v/>
      </c>
      <c r="M810" s="19" t="str">
        <f>IF('Supplier selection'!M810="","",'Supplier selection'!M810)</f>
        <v/>
      </c>
      <c r="N810" s="19" t="str">
        <f>IF('Supplier selection'!N810="","",'Supplier selection'!N810)</f>
        <v/>
      </c>
      <c r="O810" s="19" t="str">
        <f>IF('Supplier selection'!O810="","",'Supplier selection'!O810)</f>
        <v/>
      </c>
      <c r="Q810" s="19" t="str">
        <f>HLOOKUP($Q$3,'Supplier selection'!$AW$4:'Supplier selection'!$CT$1000,$A811,FALSE)</f>
        <v/>
      </c>
      <c r="R810" s="22" t="str">
        <f t="shared" si="132"/>
        <v/>
      </c>
      <c r="S810" s="19" t="str">
        <f t="shared" si="133"/>
        <v/>
      </c>
      <c r="T810" s="22" t="str">
        <f t="shared" si="134"/>
        <v/>
      </c>
      <c r="U810" s="19" t="str">
        <f t="shared" si="135"/>
        <v/>
      </c>
      <c r="V810" s="7"/>
      <c r="Y810" s="19" t="str">
        <f>IF('Supplier selection'!AQ810="","",'Supplier selection'!AQ810)</f>
        <v/>
      </c>
      <c r="Z810" s="19" t="str">
        <f>IF('Supplier selection'!AR810="","",'Supplier selection'!AR810)</f>
        <v/>
      </c>
      <c r="AA810" s="19" t="str">
        <f t="shared" si="136"/>
        <v/>
      </c>
      <c r="AD810" s="26" t="str">
        <f>IF(AND('Supplier selection'!X810="",'Supplier selection'!AE810=""),"",IF('Supplier selection'!X810="",'Supplier selection'!AE810,'Supplier selection'!X810))</f>
        <v/>
      </c>
      <c r="AE810" s="19" t="str">
        <f t="shared" si="137"/>
        <v/>
      </c>
      <c r="AF810" s="19" t="str">
        <f t="shared" si="138"/>
        <v/>
      </c>
      <c r="AG810" s="27" t="str">
        <f>IF(AND('Supplier selection'!AB810="",'Supplier selection'!AI810=""),"",IF('Supplier selection'!AB810="",'Supplier selection'!AI810,'Supplier selection'!AB810))</f>
        <v/>
      </c>
      <c r="AH810" s="28" t="str">
        <f t="shared" si="139"/>
        <v/>
      </c>
      <c r="AI810" s="7" t="str">
        <f t="shared" si="140"/>
        <v/>
      </c>
      <c r="AJ810" s="22" t="str">
        <f t="shared" si="141"/>
        <v/>
      </c>
      <c r="AK810" s="29" t="str">
        <f t="shared" si="142"/>
        <v/>
      </c>
      <c r="AL810" s="10"/>
    </row>
    <row r="811" spans="1:38">
      <c r="A811" s="19">
        <f>IF('Supplier selection'!A811="","",'Supplier selection'!A811)</f>
        <v>807</v>
      </c>
      <c r="B811" s="19" t="str">
        <f>IF('Supplier selection'!B811="","",'Supplier selection'!B811)</f>
        <v/>
      </c>
      <c r="C811" s="19" t="str">
        <f>IF('Supplier selection'!C811="","",'Supplier selection'!C811)</f>
        <v/>
      </c>
      <c r="D811" s="19" t="str">
        <f>IF('Supplier selection'!D811="","",'Supplier selection'!D811)</f>
        <v/>
      </c>
      <c r="E811" s="19" t="str">
        <f>IF('Supplier selection'!E811="","",'Supplier selection'!E811)</f>
        <v/>
      </c>
      <c r="F811" s="19" t="str">
        <f>IF('Supplier selection'!F811="","",'Supplier selection'!F811)</f>
        <v/>
      </c>
      <c r="G811" s="19" t="str">
        <f>IF('Supplier selection'!G811="","",'Supplier selection'!G811)</f>
        <v/>
      </c>
      <c r="H811" s="19" t="str">
        <f>IF('Supplier selection'!H811="","",'Supplier selection'!H811)</f>
        <v/>
      </c>
      <c r="I811" s="19" t="str">
        <f>IF('Supplier selection'!I811="","",'Supplier selection'!I811)</f>
        <v/>
      </c>
      <c r="J811" s="19" t="str">
        <f>IF('Supplier selection'!J811="","",'Supplier selection'!J811)</f>
        <v/>
      </c>
      <c r="K811" s="19" t="str">
        <f>IF('Supplier selection'!K811="","",'Supplier selection'!K811)</f>
        <v/>
      </c>
      <c r="L811" s="19" t="str">
        <f>IF('Supplier selection'!L811="","",'Supplier selection'!L811)</f>
        <v/>
      </c>
      <c r="M811" s="19" t="str">
        <f>IF('Supplier selection'!M811="","",'Supplier selection'!M811)</f>
        <v/>
      </c>
      <c r="N811" s="19" t="str">
        <f>IF('Supplier selection'!N811="","",'Supplier selection'!N811)</f>
        <v/>
      </c>
      <c r="O811" s="19" t="str">
        <f>IF('Supplier selection'!O811="","",'Supplier selection'!O811)</f>
        <v/>
      </c>
      <c r="Q811" s="19" t="str">
        <f>HLOOKUP($Q$3,'Supplier selection'!$AW$4:'Supplier selection'!$CT$1000,$A812,FALSE)</f>
        <v/>
      </c>
      <c r="R811" s="22" t="str">
        <f t="shared" si="132"/>
        <v/>
      </c>
      <c r="S811" s="19" t="str">
        <f t="shared" si="133"/>
        <v/>
      </c>
      <c r="T811" s="22" t="str">
        <f t="shared" si="134"/>
        <v/>
      </c>
      <c r="U811" s="19" t="str">
        <f t="shared" si="135"/>
        <v/>
      </c>
      <c r="V811" s="7"/>
      <c r="Y811" s="19" t="str">
        <f>IF('Supplier selection'!AQ811="","",'Supplier selection'!AQ811)</f>
        <v/>
      </c>
      <c r="Z811" s="19" t="str">
        <f>IF('Supplier selection'!AR811="","",'Supplier selection'!AR811)</f>
        <v/>
      </c>
      <c r="AA811" s="19" t="str">
        <f t="shared" si="136"/>
        <v/>
      </c>
      <c r="AD811" s="26" t="str">
        <f>IF(AND('Supplier selection'!X811="",'Supplier selection'!AE811=""),"",IF('Supplier selection'!X811="",'Supplier selection'!AE811,'Supplier selection'!X811))</f>
        <v/>
      </c>
      <c r="AE811" s="19" t="str">
        <f t="shared" si="137"/>
        <v/>
      </c>
      <c r="AF811" s="19" t="str">
        <f t="shared" si="138"/>
        <v/>
      </c>
      <c r="AG811" s="27" t="str">
        <f>IF(AND('Supplier selection'!AB811="",'Supplier selection'!AI811=""),"",IF('Supplier selection'!AB811="",'Supplier selection'!AI811,'Supplier selection'!AB811))</f>
        <v/>
      </c>
      <c r="AH811" s="28" t="str">
        <f t="shared" si="139"/>
        <v/>
      </c>
      <c r="AI811" s="7" t="str">
        <f t="shared" si="140"/>
        <v/>
      </c>
      <c r="AJ811" s="22" t="str">
        <f t="shared" si="141"/>
        <v/>
      </c>
      <c r="AK811" s="29" t="str">
        <f t="shared" si="142"/>
        <v/>
      </c>
      <c r="AL811" s="10"/>
    </row>
    <row r="812" spans="1:38">
      <c r="A812" s="19">
        <f>IF('Supplier selection'!A812="","",'Supplier selection'!A812)</f>
        <v>808</v>
      </c>
      <c r="B812" s="19" t="str">
        <f>IF('Supplier selection'!B812="","",'Supplier selection'!B812)</f>
        <v/>
      </c>
      <c r="C812" s="19" t="str">
        <f>IF('Supplier selection'!C812="","",'Supplier selection'!C812)</f>
        <v/>
      </c>
      <c r="D812" s="19" t="str">
        <f>IF('Supplier selection'!D812="","",'Supplier selection'!D812)</f>
        <v/>
      </c>
      <c r="E812" s="19" t="str">
        <f>IF('Supplier selection'!E812="","",'Supplier selection'!E812)</f>
        <v/>
      </c>
      <c r="F812" s="19" t="str">
        <f>IF('Supplier selection'!F812="","",'Supplier selection'!F812)</f>
        <v/>
      </c>
      <c r="G812" s="19" t="str">
        <f>IF('Supplier selection'!G812="","",'Supplier selection'!G812)</f>
        <v/>
      </c>
      <c r="H812" s="19" t="str">
        <f>IF('Supplier selection'!H812="","",'Supplier selection'!H812)</f>
        <v/>
      </c>
      <c r="I812" s="19" t="str">
        <f>IF('Supplier selection'!I812="","",'Supplier selection'!I812)</f>
        <v/>
      </c>
      <c r="J812" s="19" t="str">
        <f>IF('Supplier selection'!J812="","",'Supplier selection'!J812)</f>
        <v/>
      </c>
      <c r="K812" s="19" t="str">
        <f>IF('Supplier selection'!K812="","",'Supplier selection'!K812)</f>
        <v/>
      </c>
      <c r="L812" s="19" t="str">
        <f>IF('Supplier selection'!L812="","",'Supplier selection'!L812)</f>
        <v/>
      </c>
      <c r="M812" s="19" t="str">
        <f>IF('Supplier selection'!M812="","",'Supplier selection'!M812)</f>
        <v/>
      </c>
      <c r="N812" s="19" t="str">
        <f>IF('Supplier selection'!N812="","",'Supplier selection'!N812)</f>
        <v/>
      </c>
      <c r="O812" s="19" t="str">
        <f>IF('Supplier selection'!O812="","",'Supplier selection'!O812)</f>
        <v/>
      </c>
      <c r="Q812" s="19" t="str">
        <f>HLOOKUP($Q$3,'Supplier selection'!$AW$4:'Supplier selection'!$CT$1000,$A813,FALSE)</f>
        <v/>
      </c>
      <c r="R812" s="22" t="str">
        <f t="shared" si="132"/>
        <v/>
      </c>
      <c r="S812" s="19" t="str">
        <f t="shared" si="133"/>
        <v/>
      </c>
      <c r="T812" s="22" t="str">
        <f t="shared" si="134"/>
        <v/>
      </c>
      <c r="U812" s="19" t="str">
        <f t="shared" si="135"/>
        <v/>
      </c>
      <c r="V812" s="7"/>
      <c r="Y812" s="19" t="str">
        <f>IF('Supplier selection'!AQ812="","",'Supplier selection'!AQ812)</f>
        <v/>
      </c>
      <c r="Z812" s="19" t="str">
        <f>IF('Supplier selection'!AR812="","",'Supplier selection'!AR812)</f>
        <v/>
      </c>
      <c r="AA812" s="19" t="str">
        <f t="shared" si="136"/>
        <v/>
      </c>
      <c r="AD812" s="26" t="str">
        <f>IF(AND('Supplier selection'!X812="",'Supplier selection'!AE812=""),"",IF('Supplier selection'!X812="",'Supplier selection'!AE812,'Supplier selection'!X812))</f>
        <v/>
      </c>
      <c r="AE812" s="19" t="str">
        <f t="shared" si="137"/>
        <v/>
      </c>
      <c r="AF812" s="19" t="str">
        <f t="shared" si="138"/>
        <v/>
      </c>
      <c r="AG812" s="27" t="str">
        <f>IF(AND('Supplier selection'!AB812="",'Supplier selection'!AI812=""),"",IF('Supplier selection'!AB812="",'Supplier selection'!AI812,'Supplier selection'!AB812))</f>
        <v/>
      </c>
      <c r="AH812" s="28" t="str">
        <f t="shared" si="139"/>
        <v/>
      </c>
      <c r="AI812" s="7" t="str">
        <f t="shared" si="140"/>
        <v/>
      </c>
      <c r="AJ812" s="22" t="str">
        <f t="shared" si="141"/>
        <v/>
      </c>
      <c r="AK812" s="29" t="str">
        <f t="shared" si="142"/>
        <v/>
      </c>
      <c r="AL812" s="10"/>
    </row>
    <row r="813" spans="1:38">
      <c r="A813" s="19">
        <f>IF('Supplier selection'!A813="","",'Supplier selection'!A813)</f>
        <v>809</v>
      </c>
      <c r="B813" s="19" t="str">
        <f>IF('Supplier selection'!B813="","",'Supplier selection'!B813)</f>
        <v/>
      </c>
      <c r="C813" s="19" t="str">
        <f>IF('Supplier selection'!C813="","",'Supplier selection'!C813)</f>
        <v/>
      </c>
      <c r="D813" s="19" t="str">
        <f>IF('Supplier selection'!D813="","",'Supplier selection'!D813)</f>
        <v/>
      </c>
      <c r="E813" s="19" t="str">
        <f>IF('Supplier selection'!E813="","",'Supplier selection'!E813)</f>
        <v/>
      </c>
      <c r="F813" s="19" t="str">
        <f>IF('Supplier selection'!F813="","",'Supplier selection'!F813)</f>
        <v/>
      </c>
      <c r="G813" s="19" t="str">
        <f>IF('Supplier selection'!G813="","",'Supplier selection'!G813)</f>
        <v/>
      </c>
      <c r="H813" s="19" t="str">
        <f>IF('Supplier selection'!H813="","",'Supplier selection'!H813)</f>
        <v/>
      </c>
      <c r="I813" s="19" t="str">
        <f>IF('Supplier selection'!I813="","",'Supplier selection'!I813)</f>
        <v/>
      </c>
      <c r="J813" s="19" t="str">
        <f>IF('Supplier selection'!J813="","",'Supplier selection'!J813)</f>
        <v/>
      </c>
      <c r="K813" s="19" t="str">
        <f>IF('Supplier selection'!K813="","",'Supplier selection'!K813)</f>
        <v/>
      </c>
      <c r="L813" s="19" t="str">
        <f>IF('Supplier selection'!L813="","",'Supplier selection'!L813)</f>
        <v/>
      </c>
      <c r="M813" s="19" t="str">
        <f>IF('Supplier selection'!M813="","",'Supplier selection'!M813)</f>
        <v/>
      </c>
      <c r="N813" s="19" t="str">
        <f>IF('Supplier selection'!N813="","",'Supplier selection'!N813)</f>
        <v/>
      </c>
      <c r="O813" s="19" t="str">
        <f>IF('Supplier selection'!O813="","",'Supplier selection'!O813)</f>
        <v/>
      </c>
      <c r="Q813" s="19" t="str">
        <f>HLOOKUP($Q$3,'Supplier selection'!$AW$4:'Supplier selection'!$CT$1000,$A814,FALSE)</f>
        <v/>
      </c>
      <c r="R813" s="22" t="str">
        <f t="shared" si="132"/>
        <v/>
      </c>
      <c r="S813" s="19" t="str">
        <f t="shared" si="133"/>
        <v/>
      </c>
      <c r="T813" s="22" t="str">
        <f t="shared" si="134"/>
        <v/>
      </c>
      <c r="U813" s="19" t="str">
        <f t="shared" si="135"/>
        <v/>
      </c>
      <c r="V813" s="7"/>
      <c r="Y813" s="19" t="str">
        <f>IF('Supplier selection'!AQ813="","",'Supplier selection'!AQ813)</f>
        <v/>
      </c>
      <c r="Z813" s="19" t="str">
        <f>IF('Supplier selection'!AR813="","",'Supplier selection'!AR813)</f>
        <v/>
      </c>
      <c r="AA813" s="19" t="str">
        <f t="shared" si="136"/>
        <v/>
      </c>
      <c r="AD813" s="26" t="str">
        <f>IF(AND('Supplier selection'!X813="",'Supplier selection'!AE813=""),"",IF('Supplier selection'!X813="",'Supplier selection'!AE813,'Supplier selection'!X813))</f>
        <v/>
      </c>
      <c r="AE813" s="19" t="str">
        <f t="shared" si="137"/>
        <v/>
      </c>
      <c r="AF813" s="19" t="str">
        <f t="shared" si="138"/>
        <v/>
      </c>
      <c r="AG813" s="27" t="str">
        <f>IF(AND('Supplier selection'!AB813="",'Supplier selection'!AI813=""),"",IF('Supplier selection'!AB813="",'Supplier selection'!AI813,'Supplier selection'!AB813))</f>
        <v/>
      </c>
      <c r="AH813" s="28" t="str">
        <f t="shared" si="139"/>
        <v/>
      </c>
      <c r="AI813" s="7" t="str">
        <f t="shared" si="140"/>
        <v/>
      </c>
      <c r="AJ813" s="22" t="str">
        <f t="shared" si="141"/>
        <v/>
      </c>
      <c r="AK813" s="29" t="str">
        <f t="shared" si="142"/>
        <v/>
      </c>
      <c r="AL813" s="10"/>
    </row>
    <row r="814" spans="1:38">
      <c r="A814" s="19">
        <f>IF('Supplier selection'!A814="","",'Supplier selection'!A814)</f>
        <v>810</v>
      </c>
      <c r="B814" s="19" t="str">
        <f>IF('Supplier selection'!B814="","",'Supplier selection'!B814)</f>
        <v/>
      </c>
      <c r="C814" s="19" t="str">
        <f>IF('Supplier selection'!C814="","",'Supplier selection'!C814)</f>
        <v/>
      </c>
      <c r="D814" s="19" t="str">
        <f>IF('Supplier selection'!D814="","",'Supplier selection'!D814)</f>
        <v/>
      </c>
      <c r="E814" s="19" t="str">
        <f>IF('Supplier selection'!E814="","",'Supplier selection'!E814)</f>
        <v/>
      </c>
      <c r="F814" s="19" t="str">
        <f>IF('Supplier selection'!F814="","",'Supplier selection'!F814)</f>
        <v/>
      </c>
      <c r="G814" s="19" t="str">
        <f>IF('Supplier selection'!G814="","",'Supplier selection'!G814)</f>
        <v/>
      </c>
      <c r="H814" s="19" t="str">
        <f>IF('Supplier selection'!H814="","",'Supplier selection'!H814)</f>
        <v/>
      </c>
      <c r="I814" s="19" t="str">
        <f>IF('Supplier selection'!I814="","",'Supplier selection'!I814)</f>
        <v/>
      </c>
      <c r="J814" s="19" t="str">
        <f>IF('Supplier selection'!J814="","",'Supplier selection'!J814)</f>
        <v/>
      </c>
      <c r="K814" s="19" t="str">
        <f>IF('Supplier selection'!K814="","",'Supplier selection'!K814)</f>
        <v/>
      </c>
      <c r="L814" s="19" t="str">
        <f>IF('Supplier selection'!L814="","",'Supplier selection'!L814)</f>
        <v/>
      </c>
      <c r="M814" s="19" t="str">
        <f>IF('Supplier selection'!M814="","",'Supplier selection'!M814)</f>
        <v/>
      </c>
      <c r="N814" s="19" t="str">
        <f>IF('Supplier selection'!N814="","",'Supplier selection'!N814)</f>
        <v/>
      </c>
      <c r="O814" s="19" t="str">
        <f>IF('Supplier selection'!O814="","",'Supplier selection'!O814)</f>
        <v/>
      </c>
      <c r="Q814" s="19" t="str">
        <f>HLOOKUP($Q$3,'Supplier selection'!$AW$4:'Supplier selection'!$CT$1000,$A815,FALSE)</f>
        <v/>
      </c>
      <c r="R814" s="22" t="str">
        <f t="shared" si="132"/>
        <v/>
      </c>
      <c r="S814" s="19" t="str">
        <f t="shared" si="133"/>
        <v/>
      </c>
      <c r="T814" s="22" t="str">
        <f t="shared" si="134"/>
        <v/>
      </c>
      <c r="U814" s="19" t="str">
        <f t="shared" si="135"/>
        <v/>
      </c>
      <c r="V814" s="7"/>
      <c r="Y814" s="19" t="str">
        <f>IF('Supplier selection'!AQ814="","",'Supplier selection'!AQ814)</f>
        <v/>
      </c>
      <c r="Z814" s="19" t="str">
        <f>IF('Supplier selection'!AR814="","",'Supplier selection'!AR814)</f>
        <v/>
      </c>
      <c r="AA814" s="19" t="str">
        <f t="shared" si="136"/>
        <v/>
      </c>
      <c r="AD814" s="26" t="str">
        <f>IF(AND('Supplier selection'!X814="",'Supplier selection'!AE814=""),"",IF('Supplier selection'!X814="",'Supplier selection'!AE814,'Supplier selection'!X814))</f>
        <v/>
      </c>
      <c r="AE814" s="19" t="str">
        <f t="shared" si="137"/>
        <v/>
      </c>
      <c r="AF814" s="19" t="str">
        <f t="shared" si="138"/>
        <v/>
      </c>
      <c r="AG814" s="27" t="str">
        <f>IF(AND('Supplier selection'!AB814="",'Supplier selection'!AI814=""),"",IF('Supplier selection'!AB814="",'Supplier selection'!AI814,'Supplier selection'!AB814))</f>
        <v/>
      </c>
      <c r="AH814" s="28" t="str">
        <f t="shared" si="139"/>
        <v/>
      </c>
      <c r="AI814" s="7" t="str">
        <f t="shared" si="140"/>
        <v/>
      </c>
      <c r="AJ814" s="22" t="str">
        <f t="shared" si="141"/>
        <v/>
      </c>
      <c r="AK814" s="29" t="str">
        <f t="shared" si="142"/>
        <v/>
      </c>
      <c r="AL814" s="10"/>
    </row>
    <row r="815" spans="1:38">
      <c r="A815" s="19">
        <f>IF('Supplier selection'!A815="","",'Supplier selection'!A815)</f>
        <v>811</v>
      </c>
      <c r="B815" s="19" t="str">
        <f>IF('Supplier selection'!B815="","",'Supplier selection'!B815)</f>
        <v/>
      </c>
      <c r="C815" s="19" t="str">
        <f>IF('Supplier selection'!C815="","",'Supplier selection'!C815)</f>
        <v/>
      </c>
      <c r="D815" s="19" t="str">
        <f>IF('Supplier selection'!D815="","",'Supplier selection'!D815)</f>
        <v/>
      </c>
      <c r="E815" s="19" t="str">
        <f>IF('Supplier selection'!E815="","",'Supplier selection'!E815)</f>
        <v/>
      </c>
      <c r="F815" s="19" t="str">
        <f>IF('Supplier selection'!F815="","",'Supplier selection'!F815)</f>
        <v/>
      </c>
      <c r="G815" s="19" t="str">
        <f>IF('Supplier selection'!G815="","",'Supplier selection'!G815)</f>
        <v/>
      </c>
      <c r="H815" s="19" t="str">
        <f>IF('Supplier selection'!H815="","",'Supplier selection'!H815)</f>
        <v/>
      </c>
      <c r="I815" s="19" t="str">
        <f>IF('Supplier selection'!I815="","",'Supplier selection'!I815)</f>
        <v/>
      </c>
      <c r="J815" s="19" t="str">
        <f>IF('Supplier selection'!J815="","",'Supplier selection'!J815)</f>
        <v/>
      </c>
      <c r="K815" s="19" t="str">
        <f>IF('Supplier selection'!K815="","",'Supplier selection'!K815)</f>
        <v/>
      </c>
      <c r="L815" s="19" t="str">
        <f>IF('Supplier selection'!L815="","",'Supplier selection'!L815)</f>
        <v/>
      </c>
      <c r="M815" s="19" t="str">
        <f>IF('Supplier selection'!M815="","",'Supplier selection'!M815)</f>
        <v/>
      </c>
      <c r="N815" s="19" t="str">
        <f>IF('Supplier selection'!N815="","",'Supplier selection'!N815)</f>
        <v/>
      </c>
      <c r="O815" s="19" t="str">
        <f>IF('Supplier selection'!O815="","",'Supplier selection'!O815)</f>
        <v/>
      </c>
      <c r="Q815" s="19" t="str">
        <f>HLOOKUP($Q$3,'Supplier selection'!$AW$4:'Supplier selection'!$CT$1000,$A816,FALSE)</f>
        <v/>
      </c>
      <c r="R815" s="22" t="str">
        <f t="shared" si="132"/>
        <v/>
      </c>
      <c r="S815" s="19" t="str">
        <f t="shared" si="133"/>
        <v/>
      </c>
      <c r="T815" s="22" t="str">
        <f t="shared" si="134"/>
        <v/>
      </c>
      <c r="U815" s="19" t="str">
        <f t="shared" si="135"/>
        <v/>
      </c>
      <c r="V815" s="7"/>
      <c r="Y815" s="19" t="str">
        <f>IF('Supplier selection'!AQ815="","",'Supplier selection'!AQ815)</f>
        <v/>
      </c>
      <c r="Z815" s="19" t="str">
        <f>IF('Supplier selection'!AR815="","",'Supplier selection'!AR815)</f>
        <v/>
      </c>
      <c r="AA815" s="19" t="str">
        <f t="shared" si="136"/>
        <v/>
      </c>
      <c r="AD815" s="26" t="str">
        <f>IF(AND('Supplier selection'!X815="",'Supplier selection'!AE815=""),"",IF('Supplier selection'!X815="",'Supplier selection'!AE815,'Supplier selection'!X815))</f>
        <v/>
      </c>
      <c r="AE815" s="19" t="str">
        <f t="shared" si="137"/>
        <v/>
      </c>
      <c r="AF815" s="19" t="str">
        <f t="shared" si="138"/>
        <v/>
      </c>
      <c r="AG815" s="27" t="str">
        <f>IF(AND('Supplier selection'!AB815="",'Supplier selection'!AI815=""),"",IF('Supplier selection'!AB815="",'Supplier selection'!AI815,'Supplier selection'!AB815))</f>
        <v/>
      </c>
      <c r="AH815" s="28" t="str">
        <f t="shared" si="139"/>
        <v/>
      </c>
      <c r="AI815" s="7" t="str">
        <f t="shared" si="140"/>
        <v/>
      </c>
      <c r="AJ815" s="22" t="str">
        <f t="shared" si="141"/>
        <v/>
      </c>
      <c r="AK815" s="29" t="str">
        <f t="shared" si="142"/>
        <v/>
      </c>
      <c r="AL815" s="10"/>
    </row>
    <row r="816" spans="1:38">
      <c r="A816" s="19">
        <f>IF('Supplier selection'!A816="","",'Supplier selection'!A816)</f>
        <v>812</v>
      </c>
      <c r="B816" s="19" t="str">
        <f>IF('Supplier selection'!B816="","",'Supplier selection'!B816)</f>
        <v/>
      </c>
      <c r="C816" s="19" t="str">
        <f>IF('Supplier selection'!C816="","",'Supplier selection'!C816)</f>
        <v/>
      </c>
      <c r="D816" s="19" t="str">
        <f>IF('Supplier selection'!D816="","",'Supplier selection'!D816)</f>
        <v/>
      </c>
      <c r="E816" s="19" t="str">
        <f>IF('Supplier selection'!E816="","",'Supplier selection'!E816)</f>
        <v/>
      </c>
      <c r="F816" s="19" t="str">
        <f>IF('Supplier selection'!F816="","",'Supplier selection'!F816)</f>
        <v/>
      </c>
      <c r="G816" s="19" t="str">
        <f>IF('Supplier selection'!G816="","",'Supplier selection'!G816)</f>
        <v/>
      </c>
      <c r="H816" s="19" t="str">
        <f>IF('Supplier selection'!H816="","",'Supplier selection'!H816)</f>
        <v/>
      </c>
      <c r="I816" s="19" t="str">
        <f>IF('Supplier selection'!I816="","",'Supplier selection'!I816)</f>
        <v/>
      </c>
      <c r="J816" s="19" t="str">
        <f>IF('Supplier selection'!J816="","",'Supplier selection'!J816)</f>
        <v/>
      </c>
      <c r="K816" s="19" t="str">
        <f>IF('Supplier selection'!K816="","",'Supplier selection'!K816)</f>
        <v/>
      </c>
      <c r="L816" s="19" t="str">
        <f>IF('Supplier selection'!L816="","",'Supplier selection'!L816)</f>
        <v/>
      </c>
      <c r="M816" s="19" t="str">
        <f>IF('Supplier selection'!M816="","",'Supplier selection'!M816)</f>
        <v/>
      </c>
      <c r="N816" s="19" t="str">
        <f>IF('Supplier selection'!N816="","",'Supplier selection'!N816)</f>
        <v/>
      </c>
      <c r="O816" s="19" t="str">
        <f>IF('Supplier selection'!O816="","",'Supplier selection'!O816)</f>
        <v/>
      </c>
      <c r="Q816" s="19" t="str">
        <f>HLOOKUP($Q$3,'Supplier selection'!$AW$4:'Supplier selection'!$CT$1000,$A817,FALSE)</f>
        <v/>
      </c>
      <c r="R816" s="22" t="str">
        <f t="shared" si="132"/>
        <v/>
      </c>
      <c r="S816" s="19" t="str">
        <f t="shared" si="133"/>
        <v/>
      </c>
      <c r="T816" s="22" t="str">
        <f t="shared" si="134"/>
        <v/>
      </c>
      <c r="U816" s="19" t="str">
        <f t="shared" si="135"/>
        <v/>
      </c>
      <c r="V816" s="7"/>
      <c r="Y816" s="19" t="str">
        <f>IF('Supplier selection'!AQ816="","",'Supplier selection'!AQ816)</f>
        <v/>
      </c>
      <c r="Z816" s="19" t="str">
        <f>IF('Supplier selection'!AR816="","",'Supplier selection'!AR816)</f>
        <v/>
      </c>
      <c r="AA816" s="19" t="str">
        <f t="shared" si="136"/>
        <v/>
      </c>
      <c r="AD816" s="26" t="str">
        <f>IF(AND('Supplier selection'!X816="",'Supplier selection'!AE816=""),"",IF('Supplier selection'!X816="",'Supplier selection'!AE816,'Supplier selection'!X816))</f>
        <v/>
      </c>
      <c r="AE816" s="19" t="str">
        <f t="shared" si="137"/>
        <v/>
      </c>
      <c r="AF816" s="19" t="str">
        <f t="shared" si="138"/>
        <v/>
      </c>
      <c r="AG816" s="27" t="str">
        <f>IF(AND('Supplier selection'!AB816="",'Supplier selection'!AI816=""),"",IF('Supplier selection'!AB816="",'Supplier selection'!AI816,'Supplier selection'!AB816))</f>
        <v/>
      </c>
      <c r="AH816" s="28" t="str">
        <f t="shared" si="139"/>
        <v/>
      </c>
      <c r="AI816" s="7" t="str">
        <f t="shared" si="140"/>
        <v/>
      </c>
      <c r="AJ816" s="22" t="str">
        <f t="shared" si="141"/>
        <v/>
      </c>
      <c r="AK816" s="29" t="str">
        <f t="shared" si="142"/>
        <v/>
      </c>
      <c r="AL816" s="10"/>
    </row>
    <row r="817" spans="1:38">
      <c r="A817" s="19">
        <f>IF('Supplier selection'!A817="","",'Supplier selection'!A817)</f>
        <v>813</v>
      </c>
      <c r="B817" s="19" t="str">
        <f>IF('Supplier selection'!B817="","",'Supplier selection'!B817)</f>
        <v/>
      </c>
      <c r="C817" s="19" t="str">
        <f>IF('Supplier selection'!C817="","",'Supplier selection'!C817)</f>
        <v/>
      </c>
      <c r="D817" s="19" t="str">
        <f>IF('Supplier selection'!D817="","",'Supplier selection'!D817)</f>
        <v/>
      </c>
      <c r="E817" s="19" t="str">
        <f>IF('Supplier selection'!E817="","",'Supplier selection'!E817)</f>
        <v/>
      </c>
      <c r="F817" s="19" t="str">
        <f>IF('Supplier selection'!F817="","",'Supplier selection'!F817)</f>
        <v/>
      </c>
      <c r="G817" s="19" t="str">
        <f>IF('Supplier selection'!G817="","",'Supplier selection'!G817)</f>
        <v/>
      </c>
      <c r="H817" s="19" t="str">
        <f>IF('Supplier selection'!H817="","",'Supplier selection'!H817)</f>
        <v/>
      </c>
      <c r="I817" s="19" t="str">
        <f>IF('Supplier selection'!I817="","",'Supplier selection'!I817)</f>
        <v/>
      </c>
      <c r="J817" s="19" t="str">
        <f>IF('Supplier selection'!J817="","",'Supplier selection'!J817)</f>
        <v/>
      </c>
      <c r="K817" s="19" t="str">
        <f>IF('Supplier selection'!K817="","",'Supplier selection'!K817)</f>
        <v/>
      </c>
      <c r="L817" s="19" t="str">
        <f>IF('Supplier selection'!L817="","",'Supplier selection'!L817)</f>
        <v/>
      </c>
      <c r="M817" s="19" t="str">
        <f>IF('Supplier selection'!M817="","",'Supplier selection'!M817)</f>
        <v/>
      </c>
      <c r="N817" s="19" t="str">
        <f>IF('Supplier selection'!N817="","",'Supplier selection'!N817)</f>
        <v/>
      </c>
      <c r="O817" s="19" t="str">
        <f>IF('Supplier selection'!O817="","",'Supplier selection'!O817)</f>
        <v/>
      </c>
      <c r="Q817" s="19" t="str">
        <f>HLOOKUP($Q$3,'Supplier selection'!$AW$4:'Supplier selection'!$CT$1000,$A818,FALSE)</f>
        <v/>
      </c>
      <c r="R817" s="22" t="str">
        <f t="shared" si="132"/>
        <v/>
      </c>
      <c r="S817" s="19" t="str">
        <f t="shared" si="133"/>
        <v/>
      </c>
      <c r="T817" s="22" t="str">
        <f t="shared" si="134"/>
        <v/>
      </c>
      <c r="U817" s="19" t="str">
        <f t="shared" si="135"/>
        <v/>
      </c>
      <c r="V817" s="7"/>
      <c r="Y817" s="19" t="str">
        <f>IF('Supplier selection'!AQ817="","",'Supplier selection'!AQ817)</f>
        <v/>
      </c>
      <c r="Z817" s="19" t="str">
        <f>IF('Supplier selection'!AR817="","",'Supplier selection'!AR817)</f>
        <v/>
      </c>
      <c r="AA817" s="19" t="str">
        <f t="shared" si="136"/>
        <v/>
      </c>
      <c r="AD817" s="26" t="str">
        <f>IF(AND('Supplier selection'!X817="",'Supplier selection'!AE817=""),"",IF('Supplier selection'!X817="",'Supplier selection'!AE817,'Supplier selection'!X817))</f>
        <v/>
      </c>
      <c r="AE817" s="19" t="str">
        <f t="shared" si="137"/>
        <v/>
      </c>
      <c r="AF817" s="19" t="str">
        <f t="shared" si="138"/>
        <v/>
      </c>
      <c r="AG817" s="27" t="str">
        <f>IF(AND('Supplier selection'!AB817="",'Supplier selection'!AI817=""),"",IF('Supplier selection'!AB817="",'Supplier selection'!AI817,'Supplier selection'!AB817))</f>
        <v/>
      </c>
      <c r="AH817" s="28" t="str">
        <f t="shared" si="139"/>
        <v/>
      </c>
      <c r="AI817" s="7" t="str">
        <f t="shared" si="140"/>
        <v/>
      </c>
      <c r="AJ817" s="22" t="str">
        <f t="shared" si="141"/>
        <v/>
      </c>
      <c r="AK817" s="29" t="str">
        <f t="shared" si="142"/>
        <v/>
      </c>
      <c r="AL817" s="10"/>
    </row>
    <row r="818" spans="1:38">
      <c r="A818" s="19">
        <f>IF('Supplier selection'!A818="","",'Supplier selection'!A818)</f>
        <v>814</v>
      </c>
      <c r="B818" s="19" t="str">
        <f>IF('Supplier selection'!B818="","",'Supplier selection'!B818)</f>
        <v/>
      </c>
      <c r="C818" s="19" t="str">
        <f>IF('Supplier selection'!C818="","",'Supplier selection'!C818)</f>
        <v/>
      </c>
      <c r="D818" s="19" t="str">
        <f>IF('Supplier selection'!D818="","",'Supplier selection'!D818)</f>
        <v/>
      </c>
      <c r="E818" s="19" t="str">
        <f>IF('Supplier selection'!E818="","",'Supplier selection'!E818)</f>
        <v/>
      </c>
      <c r="F818" s="19" t="str">
        <f>IF('Supplier selection'!F818="","",'Supplier selection'!F818)</f>
        <v/>
      </c>
      <c r="G818" s="19" t="str">
        <f>IF('Supplier selection'!G818="","",'Supplier selection'!G818)</f>
        <v/>
      </c>
      <c r="H818" s="19" t="str">
        <f>IF('Supplier selection'!H818="","",'Supplier selection'!H818)</f>
        <v/>
      </c>
      <c r="I818" s="19" t="str">
        <f>IF('Supplier selection'!I818="","",'Supplier selection'!I818)</f>
        <v/>
      </c>
      <c r="J818" s="19" t="str">
        <f>IF('Supplier selection'!J818="","",'Supplier selection'!J818)</f>
        <v/>
      </c>
      <c r="K818" s="19" t="str">
        <f>IF('Supplier selection'!K818="","",'Supplier selection'!K818)</f>
        <v/>
      </c>
      <c r="L818" s="19" t="str">
        <f>IF('Supplier selection'!L818="","",'Supplier selection'!L818)</f>
        <v/>
      </c>
      <c r="M818" s="19" t="str">
        <f>IF('Supplier selection'!M818="","",'Supplier selection'!M818)</f>
        <v/>
      </c>
      <c r="N818" s="19" t="str">
        <f>IF('Supplier selection'!N818="","",'Supplier selection'!N818)</f>
        <v/>
      </c>
      <c r="O818" s="19" t="str">
        <f>IF('Supplier selection'!O818="","",'Supplier selection'!O818)</f>
        <v/>
      </c>
      <c r="Q818" s="19" t="str">
        <f>HLOOKUP($Q$3,'Supplier selection'!$AW$4:'Supplier selection'!$CT$1000,$A819,FALSE)</f>
        <v/>
      </c>
      <c r="R818" s="22" t="str">
        <f t="shared" si="132"/>
        <v/>
      </c>
      <c r="S818" s="19" t="str">
        <f t="shared" si="133"/>
        <v/>
      </c>
      <c r="T818" s="22" t="str">
        <f t="shared" si="134"/>
        <v/>
      </c>
      <c r="U818" s="19" t="str">
        <f t="shared" si="135"/>
        <v/>
      </c>
      <c r="V818" s="7"/>
      <c r="Y818" s="19" t="str">
        <f>IF('Supplier selection'!AQ818="","",'Supplier selection'!AQ818)</f>
        <v/>
      </c>
      <c r="Z818" s="19" t="str">
        <f>IF('Supplier selection'!AR818="","",'Supplier selection'!AR818)</f>
        <v/>
      </c>
      <c r="AA818" s="19" t="str">
        <f t="shared" si="136"/>
        <v/>
      </c>
      <c r="AD818" s="26" t="str">
        <f>IF(AND('Supplier selection'!X818="",'Supplier selection'!AE818=""),"",IF('Supplier selection'!X818="",'Supplier selection'!AE818,'Supplier selection'!X818))</f>
        <v/>
      </c>
      <c r="AE818" s="19" t="str">
        <f t="shared" si="137"/>
        <v/>
      </c>
      <c r="AF818" s="19" t="str">
        <f t="shared" si="138"/>
        <v/>
      </c>
      <c r="AG818" s="27" t="str">
        <f>IF(AND('Supplier selection'!AB818="",'Supplier selection'!AI818=""),"",IF('Supplier selection'!AB818="",'Supplier selection'!AI818,'Supplier selection'!AB818))</f>
        <v/>
      </c>
      <c r="AH818" s="28" t="str">
        <f t="shared" si="139"/>
        <v/>
      </c>
      <c r="AI818" s="7" t="str">
        <f t="shared" si="140"/>
        <v/>
      </c>
      <c r="AJ818" s="22" t="str">
        <f t="shared" si="141"/>
        <v/>
      </c>
      <c r="AK818" s="29" t="str">
        <f t="shared" si="142"/>
        <v/>
      </c>
      <c r="AL818" s="10"/>
    </row>
    <row r="819" spans="1:38">
      <c r="A819" s="19">
        <f>IF('Supplier selection'!A819="","",'Supplier selection'!A819)</f>
        <v>815</v>
      </c>
      <c r="B819" s="19" t="str">
        <f>IF('Supplier selection'!B819="","",'Supplier selection'!B819)</f>
        <v/>
      </c>
      <c r="C819" s="19" t="str">
        <f>IF('Supplier selection'!C819="","",'Supplier selection'!C819)</f>
        <v/>
      </c>
      <c r="D819" s="19" t="str">
        <f>IF('Supplier selection'!D819="","",'Supplier selection'!D819)</f>
        <v/>
      </c>
      <c r="E819" s="19" t="str">
        <f>IF('Supplier selection'!E819="","",'Supplier selection'!E819)</f>
        <v/>
      </c>
      <c r="F819" s="19" t="str">
        <f>IF('Supplier selection'!F819="","",'Supplier selection'!F819)</f>
        <v/>
      </c>
      <c r="G819" s="19" t="str">
        <f>IF('Supplier selection'!G819="","",'Supplier selection'!G819)</f>
        <v/>
      </c>
      <c r="H819" s="19" t="str">
        <f>IF('Supplier selection'!H819="","",'Supplier selection'!H819)</f>
        <v/>
      </c>
      <c r="I819" s="19" t="str">
        <f>IF('Supplier selection'!I819="","",'Supplier selection'!I819)</f>
        <v/>
      </c>
      <c r="J819" s="19" t="str">
        <f>IF('Supplier selection'!J819="","",'Supplier selection'!J819)</f>
        <v/>
      </c>
      <c r="K819" s="19" t="str">
        <f>IF('Supplier selection'!K819="","",'Supplier selection'!K819)</f>
        <v/>
      </c>
      <c r="L819" s="19" t="str">
        <f>IF('Supplier selection'!L819="","",'Supplier selection'!L819)</f>
        <v/>
      </c>
      <c r="M819" s="19" t="str">
        <f>IF('Supplier selection'!M819="","",'Supplier selection'!M819)</f>
        <v/>
      </c>
      <c r="N819" s="19" t="str">
        <f>IF('Supplier selection'!N819="","",'Supplier selection'!N819)</f>
        <v/>
      </c>
      <c r="O819" s="19" t="str">
        <f>IF('Supplier selection'!O819="","",'Supplier selection'!O819)</f>
        <v/>
      </c>
      <c r="Q819" s="19" t="str">
        <f>HLOOKUP($Q$3,'Supplier selection'!$AW$4:'Supplier selection'!$CT$1000,$A820,FALSE)</f>
        <v/>
      </c>
      <c r="R819" s="22" t="str">
        <f t="shared" si="132"/>
        <v/>
      </c>
      <c r="S819" s="19" t="str">
        <f t="shared" si="133"/>
        <v/>
      </c>
      <c r="T819" s="22" t="str">
        <f t="shared" si="134"/>
        <v/>
      </c>
      <c r="U819" s="19" t="str">
        <f t="shared" si="135"/>
        <v/>
      </c>
      <c r="V819" s="7"/>
      <c r="Y819" s="19" t="str">
        <f>IF('Supplier selection'!AQ819="","",'Supplier selection'!AQ819)</f>
        <v/>
      </c>
      <c r="Z819" s="19" t="str">
        <f>IF('Supplier selection'!AR819="","",'Supplier selection'!AR819)</f>
        <v/>
      </c>
      <c r="AA819" s="19" t="str">
        <f t="shared" si="136"/>
        <v/>
      </c>
      <c r="AD819" s="26" t="str">
        <f>IF(AND('Supplier selection'!X819="",'Supplier selection'!AE819=""),"",IF('Supplier selection'!X819="",'Supplier selection'!AE819,'Supplier selection'!X819))</f>
        <v/>
      </c>
      <c r="AE819" s="19" t="str">
        <f t="shared" si="137"/>
        <v/>
      </c>
      <c r="AF819" s="19" t="str">
        <f t="shared" si="138"/>
        <v/>
      </c>
      <c r="AG819" s="27" t="str">
        <f>IF(AND('Supplier selection'!AB819="",'Supplier selection'!AI819=""),"",IF('Supplier selection'!AB819="",'Supplier selection'!AI819,'Supplier selection'!AB819))</f>
        <v/>
      </c>
      <c r="AH819" s="28" t="str">
        <f t="shared" si="139"/>
        <v/>
      </c>
      <c r="AI819" s="7" t="str">
        <f t="shared" si="140"/>
        <v/>
      </c>
      <c r="AJ819" s="22" t="str">
        <f t="shared" si="141"/>
        <v/>
      </c>
      <c r="AK819" s="29" t="str">
        <f t="shared" si="142"/>
        <v/>
      </c>
      <c r="AL819" s="10"/>
    </row>
    <row r="820" spans="1:38">
      <c r="A820" s="19">
        <f>IF('Supplier selection'!A820="","",'Supplier selection'!A820)</f>
        <v>816</v>
      </c>
      <c r="B820" s="19" t="str">
        <f>IF('Supplier selection'!B820="","",'Supplier selection'!B820)</f>
        <v/>
      </c>
      <c r="C820" s="19" t="str">
        <f>IF('Supplier selection'!C820="","",'Supplier selection'!C820)</f>
        <v/>
      </c>
      <c r="D820" s="19" t="str">
        <f>IF('Supplier selection'!D820="","",'Supplier selection'!D820)</f>
        <v/>
      </c>
      <c r="E820" s="19" t="str">
        <f>IF('Supplier selection'!E820="","",'Supplier selection'!E820)</f>
        <v/>
      </c>
      <c r="F820" s="19" t="str">
        <f>IF('Supplier selection'!F820="","",'Supplier selection'!F820)</f>
        <v/>
      </c>
      <c r="G820" s="19" t="str">
        <f>IF('Supplier selection'!G820="","",'Supplier selection'!G820)</f>
        <v/>
      </c>
      <c r="H820" s="19" t="str">
        <f>IF('Supplier selection'!H820="","",'Supplier selection'!H820)</f>
        <v/>
      </c>
      <c r="I820" s="19" t="str">
        <f>IF('Supplier selection'!I820="","",'Supplier selection'!I820)</f>
        <v/>
      </c>
      <c r="J820" s="19" t="str">
        <f>IF('Supplier selection'!J820="","",'Supplier selection'!J820)</f>
        <v/>
      </c>
      <c r="K820" s="19" t="str">
        <f>IF('Supplier selection'!K820="","",'Supplier selection'!K820)</f>
        <v/>
      </c>
      <c r="L820" s="19" t="str">
        <f>IF('Supplier selection'!L820="","",'Supplier selection'!L820)</f>
        <v/>
      </c>
      <c r="M820" s="19" t="str">
        <f>IF('Supplier selection'!M820="","",'Supplier selection'!M820)</f>
        <v/>
      </c>
      <c r="N820" s="19" t="str">
        <f>IF('Supplier selection'!N820="","",'Supplier selection'!N820)</f>
        <v/>
      </c>
      <c r="O820" s="19" t="str">
        <f>IF('Supplier selection'!O820="","",'Supplier selection'!O820)</f>
        <v/>
      </c>
      <c r="Q820" s="19" t="str">
        <f>HLOOKUP($Q$3,'Supplier selection'!$AW$4:'Supplier selection'!$CT$1000,$A821,FALSE)</f>
        <v/>
      </c>
      <c r="R820" s="22" t="str">
        <f t="shared" si="132"/>
        <v/>
      </c>
      <c r="S820" s="19" t="str">
        <f t="shared" si="133"/>
        <v/>
      </c>
      <c r="T820" s="22" t="str">
        <f t="shared" si="134"/>
        <v/>
      </c>
      <c r="U820" s="19" t="str">
        <f t="shared" si="135"/>
        <v/>
      </c>
      <c r="V820" s="7"/>
      <c r="Y820" s="19" t="str">
        <f>IF('Supplier selection'!AQ820="","",'Supplier selection'!AQ820)</f>
        <v/>
      </c>
      <c r="Z820" s="19" t="str">
        <f>IF('Supplier selection'!AR820="","",'Supplier selection'!AR820)</f>
        <v/>
      </c>
      <c r="AA820" s="19" t="str">
        <f t="shared" si="136"/>
        <v/>
      </c>
      <c r="AD820" s="26" t="str">
        <f>IF(AND('Supplier selection'!X820="",'Supplier selection'!AE820=""),"",IF('Supplier selection'!X820="",'Supplier selection'!AE820,'Supplier selection'!X820))</f>
        <v/>
      </c>
      <c r="AE820" s="19" t="str">
        <f t="shared" si="137"/>
        <v/>
      </c>
      <c r="AF820" s="19" t="str">
        <f t="shared" si="138"/>
        <v/>
      </c>
      <c r="AG820" s="27" t="str">
        <f>IF(AND('Supplier selection'!AB820="",'Supplier selection'!AI820=""),"",IF('Supplier selection'!AB820="",'Supplier selection'!AI820,'Supplier selection'!AB820))</f>
        <v/>
      </c>
      <c r="AH820" s="28" t="str">
        <f t="shared" si="139"/>
        <v/>
      </c>
      <c r="AI820" s="7" t="str">
        <f t="shared" si="140"/>
        <v/>
      </c>
      <c r="AJ820" s="22" t="str">
        <f t="shared" si="141"/>
        <v/>
      </c>
      <c r="AK820" s="29" t="str">
        <f t="shared" si="142"/>
        <v/>
      </c>
      <c r="AL820" s="10"/>
    </row>
    <row r="821" spans="1:38">
      <c r="A821" s="19">
        <f>IF('Supplier selection'!A821="","",'Supplier selection'!A821)</f>
        <v>817</v>
      </c>
      <c r="B821" s="19" t="str">
        <f>IF('Supplier selection'!B821="","",'Supplier selection'!B821)</f>
        <v/>
      </c>
      <c r="C821" s="19" t="str">
        <f>IF('Supplier selection'!C821="","",'Supplier selection'!C821)</f>
        <v/>
      </c>
      <c r="D821" s="19" t="str">
        <f>IF('Supplier selection'!D821="","",'Supplier selection'!D821)</f>
        <v/>
      </c>
      <c r="E821" s="19" t="str">
        <f>IF('Supplier selection'!E821="","",'Supplier selection'!E821)</f>
        <v/>
      </c>
      <c r="F821" s="19" t="str">
        <f>IF('Supplier selection'!F821="","",'Supplier selection'!F821)</f>
        <v/>
      </c>
      <c r="G821" s="19" t="str">
        <f>IF('Supplier selection'!G821="","",'Supplier selection'!G821)</f>
        <v/>
      </c>
      <c r="H821" s="19" t="str">
        <f>IF('Supplier selection'!H821="","",'Supplier selection'!H821)</f>
        <v/>
      </c>
      <c r="I821" s="19" t="str">
        <f>IF('Supplier selection'!I821="","",'Supplier selection'!I821)</f>
        <v/>
      </c>
      <c r="J821" s="19" t="str">
        <f>IF('Supplier selection'!J821="","",'Supplier selection'!J821)</f>
        <v/>
      </c>
      <c r="K821" s="19" t="str">
        <f>IF('Supplier selection'!K821="","",'Supplier selection'!K821)</f>
        <v/>
      </c>
      <c r="L821" s="19" t="str">
        <f>IF('Supplier selection'!L821="","",'Supplier selection'!L821)</f>
        <v/>
      </c>
      <c r="M821" s="19" t="str">
        <f>IF('Supplier selection'!M821="","",'Supplier selection'!M821)</f>
        <v/>
      </c>
      <c r="N821" s="19" t="str">
        <f>IF('Supplier selection'!N821="","",'Supplier selection'!N821)</f>
        <v/>
      </c>
      <c r="O821" s="19" t="str">
        <f>IF('Supplier selection'!O821="","",'Supplier selection'!O821)</f>
        <v/>
      </c>
      <c r="Q821" s="19" t="str">
        <f>HLOOKUP($Q$3,'Supplier selection'!$AW$4:'Supplier selection'!$CT$1000,$A822,FALSE)</f>
        <v/>
      </c>
      <c r="R821" s="22" t="str">
        <f t="shared" si="132"/>
        <v/>
      </c>
      <c r="S821" s="19" t="str">
        <f t="shared" si="133"/>
        <v/>
      </c>
      <c r="T821" s="22" t="str">
        <f t="shared" si="134"/>
        <v/>
      </c>
      <c r="U821" s="19" t="str">
        <f t="shared" si="135"/>
        <v/>
      </c>
      <c r="V821" s="7"/>
      <c r="Y821" s="19" t="str">
        <f>IF('Supplier selection'!AQ821="","",'Supplier selection'!AQ821)</f>
        <v/>
      </c>
      <c r="Z821" s="19" t="str">
        <f>IF('Supplier selection'!AR821="","",'Supplier selection'!AR821)</f>
        <v/>
      </c>
      <c r="AA821" s="19" t="str">
        <f t="shared" si="136"/>
        <v/>
      </c>
      <c r="AD821" s="26" t="str">
        <f>IF(AND('Supplier selection'!X821="",'Supplier selection'!AE821=""),"",IF('Supplier selection'!X821="",'Supplier selection'!AE821,'Supplier selection'!X821))</f>
        <v/>
      </c>
      <c r="AE821" s="19" t="str">
        <f t="shared" si="137"/>
        <v/>
      </c>
      <c r="AF821" s="19" t="str">
        <f t="shared" si="138"/>
        <v/>
      </c>
      <c r="AG821" s="27" t="str">
        <f>IF(AND('Supplier selection'!AB821="",'Supplier selection'!AI821=""),"",IF('Supplier selection'!AB821="",'Supplier selection'!AI821,'Supplier selection'!AB821))</f>
        <v/>
      </c>
      <c r="AH821" s="28" t="str">
        <f t="shared" si="139"/>
        <v/>
      </c>
      <c r="AI821" s="7" t="str">
        <f t="shared" si="140"/>
        <v/>
      </c>
      <c r="AJ821" s="22" t="str">
        <f t="shared" si="141"/>
        <v/>
      </c>
      <c r="AK821" s="29" t="str">
        <f t="shared" si="142"/>
        <v/>
      </c>
      <c r="AL821" s="10"/>
    </row>
    <row r="822" spans="1:38">
      <c r="A822" s="19">
        <f>IF('Supplier selection'!A822="","",'Supplier selection'!A822)</f>
        <v>818</v>
      </c>
      <c r="B822" s="19" t="str">
        <f>IF('Supplier selection'!B822="","",'Supplier selection'!B822)</f>
        <v/>
      </c>
      <c r="C822" s="19" t="str">
        <f>IF('Supplier selection'!C822="","",'Supplier selection'!C822)</f>
        <v/>
      </c>
      <c r="D822" s="19" t="str">
        <f>IF('Supplier selection'!D822="","",'Supplier selection'!D822)</f>
        <v/>
      </c>
      <c r="E822" s="19" t="str">
        <f>IF('Supplier selection'!E822="","",'Supplier selection'!E822)</f>
        <v/>
      </c>
      <c r="F822" s="19" t="str">
        <f>IF('Supplier selection'!F822="","",'Supplier selection'!F822)</f>
        <v/>
      </c>
      <c r="G822" s="19" t="str">
        <f>IF('Supplier selection'!G822="","",'Supplier selection'!G822)</f>
        <v/>
      </c>
      <c r="H822" s="19" t="str">
        <f>IF('Supplier selection'!H822="","",'Supplier selection'!H822)</f>
        <v/>
      </c>
      <c r="I822" s="19" t="str">
        <f>IF('Supplier selection'!I822="","",'Supplier selection'!I822)</f>
        <v/>
      </c>
      <c r="J822" s="19" t="str">
        <f>IF('Supplier selection'!J822="","",'Supplier selection'!J822)</f>
        <v/>
      </c>
      <c r="K822" s="19" t="str">
        <f>IF('Supplier selection'!K822="","",'Supplier selection'!K822)</f>
        <v/>
      </c>
      <c r="L822" s="19" t="str">
        <f>IF('Supplier selection'!L822="","",'Supplier selection'!L822)</f>
        <v/>
      </c>
      <c r="M822" s="19" t="str">
        <f>IF('Supplier selection'!M822="","",'Supplier selection'!M822)</f>
        <v/>
      </c>
      <c r="N822" s="19" t="str">
        <f>IF('Supplier selection'!N822="","",'Supplier selection'!N822)</f>
        <v/>
      </c>
      <c r="O822" s="19" t="str">
        <f>IF('Supplier selection'!O822="","",'Supplier selection'!O822)</f>
        <v/>
      </c>
      <c r="Q822" s="19" t="str">
        <f>HLOOKUP($Q$3,'Supplier selection'!$AW$4:'Supplier selection'!$CT$1000,$A823,FALSE)</f>
        <v/>
      </c>
      <c r="R822" s="22" t="str">
        <f t="shared" si="132"/>
        <v/>
      </c>
      <c r="S822" s="19" t="str">
        <f t="shared" si="133"/>
        <v/>
      </c>
      <c r="T822" s="22" t="str">
        <f t="shared" si="134"/>
        <v/>
      </c>
      <c r="U822" s="19" t="str">
        <f t="shared" si="135"/>
        <v/>
      </c>
      <c r="V822" s="7"/>
      <c r="Y822" s="19" t="str">
        <f>IF('Supplier selection'!AQ822="","",'Supplier selection'!AQ822)</f>
        <v/>
      </c>
      <c r="Z822" s="19" t="str">
        <f>IF('Supplier selection'!AR822="","",'Supplier selection'!AR822)</f>
        <v/>
      </c>
      <c r="AA822" s="19" t="str">
        <f t="shared" si="136"/>
        <v/>
      </c>
      <c r="AD822" s="26" t="str">
        <f>IF(AND('Supplier selection'!X822="",'Supplier selection'!AE822=""),"",IF('Supplier selection'!X822="",'Supplier selection'!AE822,'Supplier selection'!X822))</f>
        <v/>
      </c>
      <c r="AE822" s="19" t="str">
        <f t="shared" si="137"/>
        <v/>
      </c>
      <c r="AF822" s="19" t="str">
        <f t="shared" si="138"/>
        <v/>
      </c>
      <c r="AG822" s="27" t="str">
        <f>IF(AND('Supplier selection'!AB822="",'Supplier selection'!AI822=""),"",IF('Supplier selection'!AB822="",'Supplier selection'!AI822,'Supplier selection'!AB822))</f>
        <v/>
      </c>
      <c r="AH822" s="28" t="str">
        <f t="shared" si="139"/>
        <v/>
      </c>
      <c r="AI822" s="7" t="str">
        <f t="shared" si="140"/>
        <v/>
      </c>
      <c r="AJ822" s="22" t="str">
        <f t="shared" si="141"/>
        <v/>
      </c>
      <c r="AK822" s="29" t="str">
        <f t="shared" si="142"/>
        <v/>
      </c>
      <c r="AL822" s="10"/>
    </row>
    <row r="823" spans="1:38">
      <c r="A823" s="19">
        <f>IF('Supplier selection'!A823="","",'Supplier selection'!A823)</f>
        <v>819</v>
      </c>
      <c r="B823" s="19" t="str">
        <f>IF('Supplier selection'!B823="","",'Supplier selection'!B823)</f>
        <v/>
      </c>
      <c r="C823" s="19" t="str">
        <f>IF('Supplier selection'!C823="","",'Supplier selection'!C823)</f>
        <v/>
      </c>
      <c r="D823" s="19" t="str">
        <f>IF('Supplier selection'!D823="","",'Supplier selection'!D823)</f>
        <v/>
      </c>
      <c r="E823" s="19" t="str">
        <f>IF('Supplier selection'!E823="","",'Supplier selection'!E823)</f>
        <v/>
      </c>
      <c r="F823" s="19" t="str">
        <f>IF('Supplier selection'!F823="","",'Supplier selection'!F823)</f>
        <v/>
      </c>
      <c r="G823" s="19" t="str">
        <f>IF('Supplier selection'!G823="","",'Supplier selection'!G823)</f>
        <v/>
      </c>
      <c r="H823" s="19" t="str">
        <f>IF('Supplier selection'!H823="","",'Supplier selection'!H823)</f>
        <v/>
      </c>
      <c r="I823" s="19" t="str">
        <f>IF('Supplier selection'!I823="","",'Supplier selection'!I823)</f>
        <v/>
      </c>
      <c r="J823" s="19" t="str">
        <f>IF('Supplier selection'!J823="","",'Supplier selection'!J823)</f>
        <v/>
      </c>
      <c r="K823" s="19" t="str">
        <f>IF('Supplier selection'!K823="","",'Supplier selection'!K823)</f>
        <v/>
      </c>
      <c r="L823" s="19" t="str">
        <f>IF('Supplier selection'!L823="","",'Supplier selection'!L823)</f>
        <v/>
      </c>
      <c r="M823" s="19" t="str">
        <f>IF('Supplier selection'!M823="","",'Supplier selection'!M823)</f>
        <v/>
      </c>
      <c r="N823" s="19" t="str">
        <f>IF('Supplier selection'!N823="","",'Supplier selection'!N823)</f>
        <v/>
      </c>
      <c r="O823" s="19" t="str">
        <f>IF('Supplier selection'!O823="","",'Supplier selection'!O823)</f>
        <v/>
      </c>
      <c r="Q823" s="19" t="str">
        <f>HLOOKUP($Q$3,'Supplier selection'!$AW$4:'Supplier selection'!$CT$1000,$A824,FALSE)</f>
        <v/>
      </c>
      <c r="R823" s="22" t="str">
        <f t="shared" si="132"/>
        <v/>
      </c>
      <c r="S823" s="19" t="str">
        <f t="shared" si="133"/>
        <v/>
      </c>
      <c r="T823" s="22" t="str">
        <f t="shared" si="134"/>
        <v/>
      </c>
      <c r="U823" s="19" t="str">
        <f t="shared" si="135"/>
        <v/>
      </c>
      <c r="V823" s="7"/>
      <c r="Y823" s="19" t="str">
        <f>IF('Supplier selection'!AQ823="","",'Supplier selection'!AQ823)</f>
        <v/>
      </c>
      <c r="Z823" s="19" t="str">
        <f>IF('Supplier selection'!AR823="","",'Supplier selection'!AR823)</f>
        <v/>
      </c>
      <c r="AA823" s="19" t="str">
        <f t="shared" si="136"/>
        <v/>
      </c>
      <c r="AD823" s="26" t="str">
        <f>IF(AND('Supplier selection'!X823="",'Supplier selection'!AE823=""),"",IF('Supplier selection'!X823="",'Supplier selection'!AE823,'Supplier selection'!X823))</f>
        <v/>
      </c>
      <c r="AE823" s="19" t="str">
        <f t="shared" si="137"/>
        <v/>
      </c>
      <c r="AF823" s="19" t="str">
        <f t="shared" si="138"/>
        <v/>
      </c>
      <c r="AG823" s="27" t="str">
        <f>IF(AND('Supplier selection'!AB823="",'Supplier selection'!AI823=""),"",IF('Supplier selection'!AB823="",'Supplier selection'!AI823,'Supplier selection'!AB823))</f>
        <v/>
      </c>
      <c r="AH823" s="28" t="str">
        <f t="shared" si="139"/>
        <v/>
      </c>
      <c r="AI823" s="7" t="str">
        <f t="shared" si="140"/>
        <v/>
      </c>
      <c r="AJ823" s="22" t="str">
        <f t="shared" si="141"/>
        <v/>
      </c>
      <c r="AK823" s="29" t="str">
        <f t="shared" si="142"/>
        <v/>
      </c>
      <c r="AL823" s="10"/>
    </row>
    <row r="824" spans="1:38">
      <c r="A824" s="19">
        <f>IF('Supplier selection'!A824="","",'Supplier selection'!A824)</f>
        <v>820</v>
      </c>
      <c r="B824" s="19" t="str">
        <f>IF('Supplier selection'!B824="","",'Supplier selection'!B824)</f>
        <v/>
      </c>
      <c r="C824" s="19" t="str">
        <f>IF('Supplier selection'!C824="","",'Supplier selection'!C824)</f>
        <v/>
      </c>
      <c r="D824" s="19" t="str">
        <f>IF('Supplier selection'!D824="","",'Supplier selection'!D824)</f>
        <v/>
      </c>
      <c r="E824" s="19" t="str">
        <f>IF('Supplier selection'!E824="","",'Supplier selection'!E824)</f>
        <v/>
      </c>
      <c r="F824" s="19" t="str">
        <f>IF('Supplier selection'!F824="","",'Supplier selection'!F824)</f>
        <v/>
      </c>
      <c r="G824" s="19" t="str">
        <f>IF('Supplier selection'!G824="","",'Supplier selection'!G824)</f>
        <v/>
      </c>
      <c r="H824" s="19" t="str">
        <f>IF('Supplier selection'!H824="","",'Supplier selection'!H824)</f>
        <v/>
      </c>
      <c r="I824" s="19" t="str">
        <f>IF('Supplier selection'!I824="","",'Supplier selection'!I824)</f>
        <v/>
      </c>
      <c r="J824" s="19" t="str">
        <f>IF('Supplier selection'!J824="","",'Supplier selection'!J824)</f>
        <v/>
      </c>
      <c r="K824" s="19" t="str">
        <f>IF('Supplier selection'!K824="","",'Supplier selection'!K824)</f>
        <v/>
      </c>
      <c r="L824" s="19" t="str">
        <f>IF('Supplier selection'!L824="","",'Supplier selection'!L824)</f>
        <v/>
      </c>
      <c r="M824" s="19" t="str">
        <f>IF('Supplier selection'!M824="","",'Supplier selection'!M824)</f>
        <v/>
      </c>
      <c r="N824" s="19" t="str">
        <f>IF('Supplier selection'!N824="","",'Supplier selection'!N824)</f>
        <v/>
      </c>
      <c r="O824" s="19" t="str">
        <f>IF('Supplier selection'!O824="","",'Supplier selection'!O824)</f>
        <v/>
      </c>
      <c r="Q824" s="19" t="str">
        <f>HLOOKUP($Q$3,'Supplier selection'!$AW$4:'Supplier selection'!$CT$1000,$A825,FALSE)</f>
        <v/>
      </c>
      <c r="R824" s="22" t="str">
        <f t="shared" si="132"/>
        <v/>
      </c>
      <c r="S824" s="19" t="str">
        <f t="shared" si="133"/>
        <v/>
      </c>
      <c r="T824" s="22" t="str">
        <f t="shared" si="134"/>
        <v/>
      </c>
      <c r="U824" s="19" t="str">
        <f t="shared" si="135"/>
        <v/>
      </c>
      <c r="V824" s="7"/>
      <c r="Y824" s="19" t="str">
        <f>IF('Supplier selection'!AQ824="","",'Supplier selection'!AQ824)</f>
        <v/>
      </c>
      <c r="Z824" s="19" t="str">
        <f>IF('Supplier selection'!AR824="","",'Supplier selection'!AR824)</f>
        <v/>
      </c>
      <c r="AA824" s="19" t="str">
        <f t="shared" si="136"/>
        <v/>
      </c>
      <c r="AD824" s="26" t="str">
        <f>IF(AND('Supplier selection'!X824="",'Supplier selection'!AE824=""),"",IF('Supplier selection'!X824="",'Supplier selection'!AE824,'Supplier selection'!X824))</f>
        <v/>
      </c>
      <c r="AE824" s="19" t="str">
        <f t="shared" si="137"/>
        <v/>
      </c>
      <c r="AF824" s="19" t="str">
        <f t="shared" si="138"/>
        <v/>
      </c>
      <c r="AG824" s="27" t="str">
        <f>IF(AND('Supplier selection'!AB824="",'Supplier selection'!AI824=""),"",IF('Supplier selection'!AB824="",'Supplier selection'!AI824,'Supplier selection'!AB824))</f>
        <v/>
      </c>
      <c r="AH824" s="28" t="str">
        <f t="shared" si="139"/>
        <v/>
      </c>
      <c r="AI824" s="7" t="str">
        <f t="shared" si="140"/>
        <v/>
      </c>
      <c r="AJ824" s="22" t="str">
        <f t="shared" si="141"/>
        <v/>
      </c>
      <c r="AK824" s="29" t="str">
        <f t="shared" si="142"/>
        <v/>
      </c>
      <c r="AL824" s="10"/>
    </row>
    <row r="825" spans="1:38">
      <c r="A825" s="19">
        <f>IF('Supplier selection'!A825="","",'Supplier selection'!A825)</f>
        <v>821</v>
      </c>
      <c r="B825" s="19" t="str">
        <f>IF('Supplier selection'!B825="","",'Supplier selection'!B825)</f>
        <v/>
      </c>
      <c r="C825" s="19" t="str">
        <f>IF('Supplier selection'!C825="","",'Supplier selection'!C825)</f>
        <v/>
      </c>
      <c r="D825" s="19" t="str">
        <f>IF('Supplier selection'!D825="","",'Supplier selection'!D825)</f>
        <v/>
      </c>
      <c r="E825" s="19" t="str">
        <f>IF('Supplier selection'!E825="","",'Supplier selection'!E825)</f>
        <v/>
      </c>
      <c r="F825" s="19" t="str">
        <f>IF('Supplier selection'!F825="","",'Supplier selection'!F825)</f>
        <v/>
      </c>
      <c r="G825" s="19" t="str">
        <f>IF('Supplier selection'!G825="","",'Supplier selection'!G825)</f>
        <v/>
      </c>
      <c r="H825" s="19" t="str">
        <f>IF('Supplier selection'!H825="","",'Supplier selection'!H825)</f>
        <v/>
      </c>
      <c r="I825" s="19" t="str">
        <f>IF('Supplier selection'!I825="","",'Supplier selection'!I825)</f>
        <v/>
      </c>
      <c r="J825" s="19" t="str">
        <f>IF('Supplier selection'!J825="","",'Supplier selection'!J825)</f>
        <v/>
      </c>
      <c r="K825" s="19" t="str">
        <f>IF('Supplier selection'!K825="","",'Supplier selection'!K825)</f>
        <v/>
      </c>
      <c r="L825" s="19" t="str">
        <f>IF('Supplier selection'!L825="","",'Supplier selection'!L825)</f>
        <v/>
      </c>
      <c r="M825" s="19" t="str">
        <f>IF('Supplier selection'!M825="","",'Supplier selection'!M825)</f>
        <v/>
      </c>
      <c r="N825" s="19" t="str">
        <f>IF('Supplier selection'!N825="","",'Supplier selection'!N825)</f>
        <v/>
      </c>
      <c r="O825" s="19" t="str">
        <f>IF('Supplier selection'!O825="","",'Supplier selection'!O825)</f>
        <v/>
      </c>
      <c r="Q825" s="19" t="str">
        <f>HLOOKUP($Q$3,'Supplier selection'!$AW$4:'Supplier selection'!$CT$1000,$A826,FALSE)</f>
        <v/>
      </c>
      <c r="R825" s="22" t="str">
        <f t="shared" si="132"/>
        <v/>
      </c>
      <c r="S825" s="19" t="str">
        <f t="shared" si="133"/>
        <v/>
      </c>
      <c r="T825" s="22" t="str">
        <f t="shared" si="134"/>
        <v/>
      </c>
      <c r="U825" s="19" t="str">
        <f t="shared" si="135"/>
        <v/>
      </c>
      <c r="V825" s="7"/>
      <c r="Y825" s="19" t="str">
        <f>IF('Supplier selection'!AQ825="","",'Supplier selection'!AQ825)</f>
        <v/>
      </c>
      <c r="Z825" s="19" t="str">
        <f>IF('Supplier selection'!AR825="","",'Supplier selection'!AR825)</f>
        <v/>
      </c>
      <c r="AA825" s="19" t="str">
        <f t="shared" si="136"/>
        <v/>
      </c>
      <c r="AD825" s="26" t="str">
        <f>IF(AND('Supplier selection'!X825="",'Supplier selection'!AE825=""),"",IF('Supplier selection'!X825="",'Supplier selection'!AE825,'Supplier selection'!X825))</f>
        <v/>
      </c>
      <c r="AE825" s="19" t="str">
        <f t="shared" si="137"/>
        <v/>
      </c>
      <c r="AF825" s="19" t="str">
        <f t="shared" si="138"/>
        <v/>
      </c>
      <c r="AG825" s="27" t="str">
        <f>IF(AND('Supplier selection'!AB825="",'Supplier selection'!AI825=""),"",IF('Supplier selection'!AB825="",'Supplier selection'!AI825,'Supplier selection'!AB825))</f>
        <v/>
      </c>
      <c r="AH825" s="28" t="str">
        <f t="shared" si="139"/>
        <v/>
      </c>
      <c r="AI825" s="7" t="str">
        <f t="shared" si="140"/>
        <v/>
      </c>
      <c r="AJ825" s="22" t="str">
        <f t="shared" si="141"/>
        <v/>
      </c>
      <c r="AK825" s="29" t="str">
        <f t="shared" si="142"/>
        <v/>
      </c>
      <c r="AL825" s="10"/>
    </row>
    <row r="826" spans="1:38">
      <c r="A826" s="19">
        <f>IF('Supplier selection'!A826="","",'Supplier selection'!A826)</f>
        <v>822</v>
      </c>
      <c r="B826" s="19" t="str">
        <f>IF('Supplier selection'!B826="","",'Supplier selection'!B826)</f>
        <v/>
      </c>
      <c r="C826" s="19" t="str">
        <f>IF('Supplier selection'!C826="","",'Supplier selection'!C826)</f>
        <v/>
      </c>
      <c r="D826" s="19" t="str">
        <f>IF('Supplier selection'!D826="","",'Supplier selection'!D826)</f>
        <v/>
      </c>
      <c r="E826" s="19" t="str">
        <f>IF('Supplier selection'!E826="","",'Supplier selection'!E826)</f>
        <v/>
      </c>
      <c r="F826" s="19" t="str">
        <f>IF('Supplier selection'!F826="","",'Supplier selection'!F826)</f>
        <v/>
      </c>
      <c r="G826" s="19" t="str">
        <f>IF('Supplier selection'!G826="","",'Supplier selection'!G826)</f>
        <v/>
      </c>
      <c r="H826" s="19" t="str">
        <f>IF('Supplier selection'!H826="","",'Supplier selection'!H826)</f>
        <v/>
      </c>
      <c r="I826" s="19" t="str">
        <f>IF('Supplier selection'!I826="","",'Supplier selection'!I826)</f>
        <v/>
      </c>
      <c r="J826" s="19" t="str">
        <f>IF('Supplier selection'!J826="","",'Supplier selection'!J826)</f>
        <v/>
      </c>
      <c r="K826" s="19" t="str">
        <f>IF('Supplier selection'!K826="","",'Supplier selection'!K826)</f>
        <v/>
      </c>
      <c r="L826" s="19" t="str">
        <f>IF('Supplier selection'!L826="","",'Supplier selection'!L826)</f>
        <v/>
      </c>
      <c r="M826" s="19" t="str">
        <f>IF('Supplier selection'!M826="","",'Supplier selection'!M826)</f>
        <v/>
      </c>
      <c r="N826" s="19" t="str">
        <f>IF('Supplier selection'!N826="","",'Supplier selection'!N826)</f>
        <v/>
      </c>
      <c r="O826" s="19" t="str">
        <f>IF('Supplier selection'!O826="","",'Supplier selection'!O826)</f>
        <v/>
      </c>
      <c r="Q826" s="19" t="str">
        <f>HLOOKUP($Q$3,'Supplier selection'!$AW$4:'Supplier selection'!$CT$1000,$A827,FALSE)</f>
        <v/>
      </c>
      <c r="R826" s="22" t="str">
        <f t="shared" si="132"/>
        <v/>
      </c>
      <c r="S826" s="19" t="str">
        <f t="shared" si="133"/>
        <v/>
      </c>
      <c r="T826" s="22" t="str">
        <f t="shared" si="134"/>
        <v/>
      </c>
      <c r="U826" s="19" t="str">
        <f t="shared" si="135"/>
        <v/>
      </c>
      <c r="V826" s="7"/>
      <c r="Y826" s="19" t="str">
        <f>IF('Supplier selection'!AQ826="","",'Supplier selection'!AQ826)</f>
        <v/>
      </c>
      <c r="Z826" s="19" t="str">
        <f>IF('Supplier selection'!AR826="","",'Supplier selection'!AR826)</f>
        <v/>
      </c>
      <c r="AA826" s="19" t="str">
        <f t="shared" si="136"/>
        <v/>
      </c>
      <c r="AD826" s="26" t="str">
        <f>IF(AND('Supplier selection'!X826="",'Supplier selection'!AE826=""),"",IF('Supplier selection'!X826="",'Supplier selection'!AE826,'Supplier selection'!X826))</f>
        <v/>
      </c>
      <c r="AE826" s="19" t="str">
        <f t="shared" si="137"/>
        <v/>
      </c>
      <c r="AF826" s="19" t="str">
        <f t="shared" si="138"/>
        <v/>
      </c>
      <c r="AG826" s="27" t="str">
        <f>IF(AND('Supplier selection'!AB826="",'Supplier selection'!AI826=""),"",IF('Supplier selection'!AB826="",'Supplier selection'!AI826,'Supplier selection'!AB826))</f>
        <v/>
      </c>
      <c r="AH826" s="28" t="str">
        <f t="shared" si="139"/>
        <v/>
      </c>
      <c r="AI826" s="7" t="str">
        <f t="shared" si="140"/>
        <v/>
      </c>
      <c r="AJ826" s="22" t="str">
        <f t="shared" si="141"/>
        <v/>
      </c>
      <c r="AK826" s="29" t="str">
        <f t="shared" si="142"/>
        <v/>
      </c>
      <c r="AL826" s="10"/>
    </row>
    <row r="827" spans="1:38">
      <c r="A827" s="19">
        <f>IF('Supplier selection'!A827="","",'Supplier selection'!A827)</f>
        <v>823</v>
      </c>
      <c r="B827" s="19" t="str">
        <f>IF('Supplier selection'!B827="","",'Supplier selection'!B827)</f>
        <v/>
      </c>
      <c r="C827" s="19" t="str">
        <f>IF('Supplier selection'!C827="","",'Supplier selection'!C827)</f>
        <v/>
      </c>
      <c r="D827" s="19" t="str">
        <f>IF('Supplier selection'!D827="","",'Supplier selection'!D827)</f>
        <v/>
      </c>
      <c r="E827" s="19" t="str">
        <f>IF('Supplier selection'!E827="","",'Supplier selection'!E827)</f>
        <v/>
      </c>
      <c r="F827" s="19" t="str">
        <f>IF('Supplier selection'!F827="","",'Supplier selection'!F827)</f>
        <v/>
      </c>
      <c r="G827" s="19" t="str">
        <f>IF('Supplier selection'!G827="","",'Supplier selection'!G827)</f>
        <v/>
      </c>
      <c r="H827" s="19" t="str">
        <f>IF('Supplier selection'!H827="","",'Supplier selection'!H827)</f>
        <v/>
      </c>
      <c r="I827" s="19" t="str">
        <f>IF('Supplier selection'!I827="","",'Supplier selection'!I827)</f>
        <v/>
      </c>
      <c r="J827" s="19" t="str">
        <f>IF('Supplier selection'!J827="","",'Supplier selection'!J827)</f>
        <v/>
      </c>
      <c r="K827" s="19" t="str">
        <f>IF('Supplier selection'!K827="","",'Supplier selection'!K827)</f>
        <v/>
      </c>
      <c r="L827" s="19" t="str">
        <f>IF('Supplier selection'!L827="","",'Supplier selection'!L827)</f>
        <v/>
      </c>
      <c r="M827" s="19" t="str">
        <f>IF('Supplier selection'!M827="","",'Supplier selection'!M827)</f>
        <v/>
      </c>
      <c r="N827" s="19" t="str">
        <f>IF('Supplier selection'!N827="","",'Supplier selection'!N827)</f>
        <v/>
      </c>
      <c r="O827" s="19" t="str">
        <f>IF('Supplier selection'!O827="","",'Supplier selection'!O827)</f>
        <v/>
      </c>
      <c r="Q827" s="19" t="str">
        <f>HLOOKUP($Q$3,'Supplier selection'!$AW$4:'Supplier selection'!$CT$1000,$A828,FALSE)</f>
        <v/>
      </c>
      <c r="R827" s="22" t="str">
        <f t="shared" si="132"/>
        <v/>
      </c>
      <c r="S827" s="19" t="str">
        <f t="shared" si="133"/>
        <v/>
      </c>
      <c r="T827" s="22" t="str">
        <f t="shared" si="134"/>
        <v/>
      </c>
      <c r="U827" s="19" t="str">
        <f t="shared" si="135"/>
        <v/>
      </c>
      <c r="V827" s="7"/>
      <c r="Y827" s="19" t="str">
        <f>IF('Supplier selection'!AQ827="","",'Supplier selection'!AQ827)</f>
        <v/>
      </c>
      <c r="Z827" s="19" t="str">
        <f>IF('Supplier selection'!AR827="","",'Supplier selection'!AR827)</f>
        <v/>
      </c>
      <c r="AA827" s="19" t="str">
        <f t="shared" si="136"/>
        <v/>
      </c>
      <c r="AD827" s="26" t="str">
        <f>IF(AND('Supplier selection'!X827="",'Supplier selection'!AE827=""),"",IF('Supplier selection'!X827="",'Supplier selection'!AE827,'Supplier selection'!X827))</f>
        <v/>
      </c>
      <c r="AE827" s="19" t="str">
        <f t="shared" si="137"/>
        <v/>
      </c>
      <c r="AF827" s="19" t="str">
        <f t="shared" si="138"/>
        <v/>
      </c>
      <c r="AG827" s="27" t="str">
        <f>IF(AND('Supplier selection'!AB827="",'Supplier selection'!AI827=""),"",IF('Supplier selection'!AB827="",'Supplier selection'!AI827,'Supplier selection'!AB827))</f>
        <v/>
      </c>
      <c r="AH827" s="28" t="str">
        <f t="shared" si="139"/>
        <v/>
      </c>
      <c r="AI827" s="7" t="str">
        <f t="shared" si="140"/>
        <v/>
      </c>
      <c r="AJ827" s="22" t="str">
        <f t="shared" si="141"/>
        <v/>
      </c>
      <c r="AK827" s="29" t="str">
        <f t="shared" si="142"/>
        <v/>
      </c>
      <c r="AL827" s="10"/>
    </row>
    <row r="828" spans="1:38">
      <c r="A828" s="19">
        <f>IF('Supplier selection'!A828="","",'Supplier selection'!A828)</f>
        <v>824</v>
      </c>
      <c r="B828" s="19" t="str">
        <f>IF('Supplier selection'!B828="","",'Supplier selection'!B828)</f>
        <v/>
      </c>
      <c r="C828" s="19" t="str">
        <f>IF('Supplier selection'!C828="","",'Supplier selection'!C828)</f>
        <v/>
      </c>
      <c r="D828" s="19" t="str">
        <f>IF('Supplier selection'!D828="","",'Supplier selection'!D828)</f>
        <v/>
      </c>
      <c r="E828" s="19" t="str">
        <f>IF('Supplier selection'!E828="","",'Supplier selection'!E828)</f>
        <v/>
      </c>
      <c r="F828" s="19" t="str">
        <f>IF('Supplier selection'!F828="","",'Supplier selection'!F828)</f>
        <v/>
      </c>
      <c r="G828" s="19" t="str">
        <f>IF('Supplier selection'!G828="","",'Supplier selection'!G828)</f>
        <v/>
      </c>
      <c r="H828" s="19" t="str">
        <f>IF('Supplier selection'!H828="","",'Supplier selection'!H828)</f>
        <v/>
      </c>
      <c r="I828" s="19" t="str">
        <f>IF('Supplier selection'!I828="","",'Supplier selection'!I828)</f>
        <v/>
      </c>
      <c r="J828" s="19" t="str">
        <f>IF('Supplier selection'!J828="","",'Supplier selection'!J828)</f>
        <v/>
      </c>
      <c r="K828" s="19" t="str">
        <f>IF('Supplier selection'!K828="","",'Supplier selection'!K828)</f>
        <v/>
      </c>
      <c r="L828" s="19" t="str">
        <f>IF('Supplier selection'!L828="","",'Supplier selection'!L828)</f>
        <v/>
      </c>
      <c r="M828" s="19" t="str">
        <f>IF('Supplier selection'!M828="","",'Supplier selection'!M828)</f>
        <v/>
      </c>
      <c r="N828" s="19" t="str">
        <f>IF('Supplier selection'!N828="","",'Supplier selection'!N828)</f>
        <v/>
      </c>
      <c r="O828" s="19" t="str">
        <f>IF('Supplier selection'!O828="","",'Supplier selection'!O828)</f>
        <v/>
      </c>
      <c r="Q828" s="19" t="str">
        <f>HLOOKUP($Q$3,'Supplier selection'!$AW$4:'Supplier selection'!$CT$1000,$A829,FALSE)</f>
        <v/>
      </c>
      <c r="R828" s="22" t="str">
        <f t="shared" si="132"/>
        <v/>
      </c>
      <c r="S828" s="19" t="str">
        <f t="shared" si="133"/>
        <v/>
      </c>
      <c r="T828" s="22" t="str">
        <f t="shared" si="134"/>
        <v/>
      </c>
      <c r="U828" s="19" t="str">
        <f t="shared" si="135"/>
        <v/>
      </c>
      <c r="V828" s="7"/>
      <c r="Y828" s="19" t="str">
        <f>IF('Supplier selection'!AQ828="","",'Supplier selection'!AQ828)</f>
        <v/>
      </c>
      <c r="Z828" s="19" t="str">
        <f>IF('Supplier selection'!AR828="","",'Supplier selection'!AR828)</f>
        <v/>
      </c>
      <c r="AA828" s="19" t="str">
        <f t="shared" si="136"/>
        <v/>
      </c>
      <c r="AD828" s="26" t="str">
        <f>IF(AND('Supplier selection'!X828="",'Supplier selection'!AE828=""),"",IF('Supplier selection'!X828="",'Supplier selection'!AE828,'Supplier selection'!X828))</f>
        <v/>
      </c>
      <c r="AE828" s="19" t="str">
        <f t="shared" si="137"/>
        <v/>
      </c>
      <c r="AF828" s="19" t="str">
        <f t="shared" si="138"/>
        <v/>
      </c>
      <c r="AG828" s="27" t="str">
        <f>IF(AND('Supplier selection'!AB828="",'Supplier selection'!AI828=""),"",IF('Supplier selection'!AB828="",'Supplier selection'!AI828,'Supplier selection'!AB828))</f>
        <v/>
      </c>
      <c r="AH828" s="28" t="str">
        <f t="shared" si="139"/>
        <v/>
      </c>
      <c r="AI828" s="7" t="str">
        <f t="shared" si="140"/>
        <v/>
      </c>
      <c r="AJ828" s="22" t="str">
        <f t="shared" si="141"/>
        <v/>
      </c>
      <c r="AK828" s="29" t="str">
        <f t="shared" si="142"/>
        <v/>
      </c>
      <c r="AL828" s="10"/>
    </row>
    <row r="829" spans="1:38">
      <c r="A829" s="19">
        <f>IF('Supplier selection'!A829="","",'Supplier selection'!A829)</f>
        <v>825</v>
      </c>
      <c r="B829" s="19" t="str">
        <f>IF('Supplier selection'!B829="","",'Supplier selection'!B829)</f>
        <v/>
      </c>
      <c r="C829" s="19" t="str">
        <f>IF('Supplier selection'!C829="","",'Supplier selection'!C829)</f>
        <v/>
      </c>
      <c r="D829" s="19" t="str">
        <f>IF('Supplier selection'!D829="","",'Supplier selection'!D829)</f>
        <v/>
      </c>
      <c r="E829" s="19" t="str">
        <f>IF('Supplier selection'!E829="","",'Supplier selection'!E829)</f>
        <v/>
      </c>
      <c r="F829" s="19" t="str">
        <f>IF('Supplier selection'!F829="","",'Supplier selection'!F829)</f>
        <v/>
      </c>
      <c r="G829" s="19" t="str">
        <f>IF('Supplier selection'!G829="","",'Supplier selection'!G829)</f>
        <v/>
      </c>
      <c r="H829" s="19" t="str">
        <f>IF('Supplier selection'!H829="","",'Supplier selection'!H829)</f>
        <v/>
      </c>
      <c r="I829" s="19" t="str">
        <f>IF('Supplier selection'!I829="","",'Supplier selection'!I829)</f>
        <v/>
      </c>
      <c r="J829" s="19" t="str">
        <f>IF('Supplier selection'!J829="","",'Supplier selection'!J829)</f>
        <v/>
      </c>
      <c r="K829" s="19" t="str">
        <f>IF('Supplier selection'!K829="","",'Supplier selection'!K829)</f>
        <v/>
      </c>
      <c r="L829" s="19" t="str">
        <f>IF('Supplier selection'!L829="","",'Supplier selection'!L829)</f>
        <v/>
      </c>
      <c r="M829" s="19" t="str">
        <f>IF('Supplier selection'!M829="","",'Supplier selection'!M829)</f>
        <v/>
      </c>
      <c r="N829" s="19" t="str">
        <f>IF('Supplier selection'!N829="","",'Supplier selection'!N829)</f>
        <v/>
      </c>
      <c r="O829" s="19" t="str">
        <f>IF('Supplier selection'!O829="","",'Supplier selection'!O829)</f>
        <v/>
      </c>
      <c r="Q829" s="19" t="str">
        <f>HLOOKUP($Q$3,'Supplier selection'!$AW$4:'Supplier selection'!$CT$1000,$A830,FALSE)</f>
        <v/>
      </c>
      <c r="R829" s="22" t="str">
        <f t="shared" si="132"/>
        <v/>
      </c>
      <c r="S829" s="19" t="str">
        <f t="shared" si="133"/>
        <v/>
      </c>
      <c r="T829" s="22" t="str">
        <f t="shared" si="134"/>
        <v/>
      </c>
      <c r="U829" s="19" t="str">
        <f t="shared" si="135"/>
        <v/>
      </c>
      <c r="V829" s="7"/>
      <c r="Y829" s="19" t="str">
        <f>IF('Supplier selection'!AQ829="","",'Supplier selection'!AQ829)</f>
        <v/>
      </c>
      <c r="Z829" s="19" t="str">
        <f>IF('Supplier selection'!AR829="","",'Supplier selection'!AR829)</f>
        <v/>
      </c>
      <c r="AA829" s="19" t="str">
        <f t="shared" si="136"/>
        <v/>
      </c>
      <c r="AD829" s="26" t="str">
        <f>IF(AND('Supplier selection'!X829="",'Supplier selection'!AE829=""),"",IF('Supplier selection'!X829="",'Supplier selection'!AE829,'Supplier selection'!X829))</f>
        <v/>
      </c>
      <c r="AE829" s="19" t="str">
        <f t="shared" si="137"/>
        <v/>
      </c>
      <c r="AF829" s="19" t="str">
        <f t="shared" si="138"/>
        <v/>
      </c>
      <c r="AG829" s="27" t="str">
        <f>IF(AND('Supplier selection'!AB829="",'Supplier selection'!AI829=""),"",IF('Supplier selection'!AB829="",'Supplier selection'!AI829,'Supplier selection'!AB829))</f>
        <v/>
      </c>
      <c r="AH829" s="28" t="str">
        <f t="shared" si="139"/>
        <v/>
      </c>
      <c r="AI829" s="7" t="str">
        <f t="shared" si="140"/>
        <v/>
      </c>
      <c r="AJ829" s="22" t="str">
        <f t="shared" si="141"/>
        <v/>
      </c>
      <c r="AK829" s="29" t="str">
        <f t="shared" si="142"/>
        <v/>
      </c>
      <c r="AL829" s="10"/>
    </row>
    <row r="830" spans="1:38">
      <c r="A830" s="19">
        <f>IF('Supplier selection'!A830="","",'Supplier selection'!A830)</f>
        <v>826</v>
      </c>
      <c r="B830" s="19" t="str">
        <f>IF('Supplier selection'!B830="","",'Supplier selection'!B830)</f>
        <v/>
      </c>
      <c r="C830" s="19" t="str">
        <f>IF('Supplier selection'!C830="","",'Supplier selection'!C830)</f>
        <v/>
      </c>
      <c r="D830" s="19" t="str">
        <f>IF('Supplier selection'!D830="","",'Supplier selection'!D830)</f>
        <v/>
      </c>
      <c r="E830" s="19" t="str">
        <f>IF('Supplier selection'!E830="","",'Supplier selection'!E830)</f>
        <v/>
      </c>
      <c r="F830" s="19" t="str">
        <f>IF('Supplier selection'!F830="","",'Supplier selection'!F830)</f>
        <v/>
      </c>
      <c r="G830" s="19" t="str">
        <f>IF('Supplier selection'!G830="","",'Supplier selection'!G830)</f>
        <v/>
      </c>
      <c r="H830" s="19" t="str">
        <f>IF('Supplier selection'!H830="","",'Supplier selection'!H830)</f>
        <v/>
      </c>
      <c r="I830" s="19" t="str">
        <f>IF('Supplier selection'!I830="","",'Supplier selection'!I830)</f>
        <v/>
      </c>
      <c r="J830" s="19" t="str">
        <f>IF('Supplier selection'!J830="","",'Supplier selection'!J830)</f>
        <v/>
      </c>
      <c r="K830" s="19" t="str">
        <f>IF('Supplier selection'!K830="","",'Supplier selection'!K830)</f>
        <v/>
      </c>
      <c r="L830" s="19" t="str">
        <f>IF('Supplier selection'!L830="","",'Supplier selection'!L830)</f>
        <v/>
      </c>
      <c r="M830" s="19" t="str">
        <f>IF('Supplier selection'!M830="","",'Supplier selection'!M830)</f>
        <v/>
      </c>
      <c r="N830" s="19" t="str">
        <f>IF('Supplier selection'!N830="","",'Supplier selection'!N830)</f>
        <v/>
      </c>
      <c r="O830" s="19" t="str">
        <f>IF('Supplier selection'!O830="","",'Supplier selection'!O830)</f>
        <v/>
      </c>
      <c r="Q830" s="19" t="str">
        <f>HLOOKUP($Q$3,'Supplier selection'!$AW$4:'Supplier selection'!$CT$1000,$A831,FALSE)</f>
        <v/>
      </c>
      <c r="R830" s="22" t="str">
        <f t="shared" si="132"/>
        <v/>
      </c>
      <c r="S830" s="19" t="str">
        <f t="shared" si="133"/>
        <v/>
      </c>
      <c r="T830" s="22" t="str">
        <f t="shared" si="134"/>
        <v/>
      </c>
      <c r="U830" s="19" t="str">
        <f t="shared" si="135"/>
        <v/>
      </c>
      <c r="V830" s="7"/>
      <c r="Y830" s="19" t="str">
        <f>IF('Supplier selection'!AQ830="","",'Supplier selection'!AQ830)</f>
        <v/>
      </c>
      <c r="Z830" s="19" t="str">
        <f>IF('Supplier selection'!AR830="","",'Supplier selection'!AR830)</f>
        <v/>
      </c>
      <c r="AA830" s="19" t="str">
        <f t="shared" si="136"/>
        <v/>
      </c>
      <c r="AD830" s="26" t="str">
        <f>IF(AND('Supplier selection'!X830="",'Supplier selection'!AE830=""),"",IF('Supplier selection'!X830="",'Supplier selection'!AE830,'Supplier selection'!X830))</f>
        <v/>
      </c>
      <c r="AE830" s="19" t="str">
        <f t="shared" si="137"/>
        <v/>
      </c>
      <c r="AF830" s="19" t="str">
        <f t="shared" si="138"/>
        <v/>
      </c>
      <c r="AG830" s="27" t="str">
        <f>IF(AND('Supplier selection'!AB830="",'Supplier selection'!AI830=""),"",IF('Supplier selection'!AB830="",'Supplier selection'!AI830,'Supplier selection'!AB830))</f>
        <v/>
      </c>
      <c r="AH830" s="28" t="str">
        <f t="shared" si="139"/>
        <v/>
      </c>
      <c r="AI830" s="7" t="str">
        <f t="shared" si="140"/>
        <v/>
      </c>
      <c r="AJ830" s="22" t="str">
        <f t="shared" si="141"/>
        <v/>
      </c>
      <c r="AK830" s="29" t="str">
        <f t="shared" si="142"/>
        <v/>
      </c>
      <c r="AL830" s="10"/>
    </row>
    <row r="831" spans="1:38">
      <c r="A831" s="19">
        <f>IF('Supplier selection'!A831="","",'Supplier selection'!A831)</f>
        <v>827</v>
      </c>
      <c r="B831" s="19" t="str">
        <f>IF('Supplier selection'!B831="","",'Supplier selection'!B831)</f>
        <v/>
      </c>
      <c r="C831" s="19" t="str">
        <f>IF('Supplier selection'!C831="","",'Supplier selection'!C831)</f>
        <v/>
      </c>
      <c r="D831" s="19" t="str">
        <f>IF('Supplier selection'!D831="","",'Supplier selection'!D831)</f>
        <v/>
      </c>
      <c r="E831" s="19" t="str">
        <f>IF('Supplier selection'!E831="","",'Supplier selection'!E831)</f>
        <v/>
      </c>
      <c r="F831" s="19" t="str">
        <f>IF('Supplier selection'!F831="","",'Supplier selection'!F831)</f>
        <v/>
      </c>
      <c r="G831" s="19" t="str">
        <f>IF('Supplier selection'!G831="","",'Supplier selection'!G831)</f>
        <v/>
      </c>
      <c r="H831" s="19" t="str">
        <f>IF('Supplier selection'!H831="","",'Supplier selection'!H831)</f>
        <v/>
      </c>
      <c r="I831" s="19" t="str">
        <f>IF('Supplier selection'!I831="","",'Supplier selection'!I831)</f>
        <v/>
      </c>
      <c r="J831" s="19" t="str">
        <f>IF('Supplier selection'!J831="","",'Supplier selection'!J831)</f>
        <v/>
      </c>
      <c r="K831" s="19" t="str">
        <f>IF('Supplier selection'!K831="","",'Supplier selection'!K831)</f>
        <v/>
      </c>
      <c r="L831" s="19" t="str">
        <f>IF('Supplier selection'!L831="","",'Supplier selection'!L831)</f>
        <v/>
      </c>
      <c r="M831" s="19" t="str">
        <f>IF('Supplier selection'!M831="","",'Supplier selection'!M831)</f>
        <v/>
      </c>
      <c r="N831" s="19" t="str">
        <f>IF('Supplier selection'!N831="","",'Supplier selection'!N831)</f>
        <v/>
      </c>
      <c r="O831" s="19" t="str">
        <f>IF('Supplier selection'!O831="","",'Supplier selection'!O831)</f>
        <v/>
      </c>
      <c r="Q831" s="19" t="str">
        <f>HLOOKUP($Q$3,'Supplier selection'!$AW$4:'Supplier selection'!$CT$1000,$A832,FALSE)</f>
        <v/>
      </c>
      <c r="R831" s="22" t="str">
        <f t="shared" si="132"/>
        <v/>
      </c>
      <c r="S831" s="19" t="str">
        <f t="shared" si="133"/>
        <v/>
      </c>
      <c r="T831" s="22" t="str">
        <f t="shared" si="134"/>
        <v/>
      </c>
      <c r="U831" s="19" t="str">
        <f t="shared" si="135"/>
        <v/>
      </c>
      <c r="V831" s="7"/>
      <c r="Y831" s="19" t="str">
        <f>IF('Supplier selection'!AQ831="","",'Supplier selection'!AQ831)</f>
        <v/>
      </c>
      <c r="Z831" s="19" t="str">
        <f>IF('Supplier selection'!AR831="","",'Supplier selection'!AR831)</f>
        <v/>
      </c>
      <c r="AA831" s="19" t="str">
        <f t="shared" si="136"/>
        <v/>
      </c>
      <c r="AD831" s="26" t="str">
        <f>IF(AND('Supplier selection'!X831="",'Supplier selection'!AE831=""),"",IF('Supplier selection'!X831="",'Supplier selection'!AE831,'Supplier selection'!X831))</f>
        <v/>
      </c>
      <c r="AE831" s="19" t="str">
        <f t="shared" si="137"/>
        <v/>
      </c>
      <c r="AF831" s="19" t="str">
        <f t="shared" si="138"/>
        <v/>
      </c>
      <c r="AG831" s="27" t="str">
        <f>IF(AND('Supplier selection'!AB831="",'Supplier selection'!AI831=""),"",IF('Supplier selection'!AB831="",'Supplier selection'!AI831,'Supplier selection'!AB831))</f>
        <v/>
      </c>
      <c r="AH831" s="28" t="str">
        <f t="shared" si="139"/>
        <v/>
      </c>
      <c r="AI831" s="7" t="str">
        <f t="shared" si="140"/>
        <v/>
      </c>
      <c r="AJ831" s="22" t="str">
        <f t="shared" si="141"/>
        <v/>
      </c>
      <c r="AK831" s="29" t="str">
        <f t="shared" si="142"/>
        <v/>
      </c>
      <c r="AL831" s="10"/>
    </row>
    <row r="832" spans="1:38">
      <c r="A832" s="19">
        <f>IF('Supplier selection'!A832="","",'Supplier selection'!A832)</f>
        <v>828</v>
      </c>
      <c r="B832" s="19" t="str">
        <f>IF('Supplier selection'!B832="","",'Supplier selection'!B832)</f>
        <v/>
      </c>
      <c r="C832" s="19" t="str">
        <f>IF('Supplier selection'!C832="","",'Supplier selection'!C832)</f>
        <v/>
      </c>
      <c r="D832" s="19" t="str">
        <f>IF('Supplier selection'!D832="","",'Supplier selection'!D832)</f>
        <v/>
      </c>
      <c r="E832" s="19" t="str">
        <f>IF('Supplier selection'!E832="","",'Supplier selection'!E832)</f>
        <v/>
      </c>
      <c r="F832" s="19" t="str">
        <f>IF('Supplier selection'!F832="","",'Supplier selection'!F832)</f>
        <v/>
      </c>
      <c r="G832" s="19" t="str">
        <f>IF('Supplier selection'!G832="","",'Supplier selection'!G832)</f>
        <v/>
      </c>
      <c r="H832" s="19" t="str">
        <f>IF('Supplier selection'!H832="","",'Supplier selection'!H832)</f>
        <v/>
      </c>
      <c r="I832" s="19" t="str">
        <f>IF('Supplier selection'!I832="","",'Supplier selection'!I832)</f>
        <v/>
      </c>
      <c r="J832" s="19" t="str">
        <f>IF('Supplier selection'!J832="","",'Supplier selection'!J832)</f>
        <v/>
      </c>
      <c r="K832" s="19" t="str">
        <f>IF('Supplier selection'!K832="","",'Supplier selection'!K832)</f>
        <v/>
      </c>
      <c r="L832" s="19" t="str">
        <f>IF('Supplier selection'!L832="","",'Supplier selection'!L832)</f>
        <v/>
      </c>
      <c r="M832" s="19" t="str">
        <f>IF('Supplier selection'!M832="","",'Supplier selection'!M832)</f>
        <v/>
      </c>
      <c r="N832" s="19" t="str">
        <f>IF('Supplier selection'!N832="","",'Supplier selection'!N832)</f>
        <v/>
      </c>
      <c r="O832" s="19" t="str">
        <f>IF('Supplier selection'!O832="","",'Supplier selection'!O832)</f>
        <v/>
      </c>
      <c r="Q832" s="19" t="str">
        <f>HLOOKUP($Q$3,'Supplier selection'!$AW$4:'Supplier selection'!$CT$1000,$A833,FALSE)</f>
        <v/>
      </c>
      <c r="R832" s="22" t="str">
        <f t="shared" si="132"/>
        <v/>
      </c>
      <c r="S832" s="19" t="str">
        <f t="shared" si="133"/>
        <v/>
      </c>
      <c r="T832" s="22" t="str">
        <f t="shared" si="134"/>
        <v/>
      </c>
      <c r="U832" s="19" t="str">
        <f t="shared" si="135"/>
        <v/>
      </c>
      <c r="V832" s="7"/>
      <c r="Y832" s="19" t="str">
        <f>IF('Supplier selection'!AQ832="","",'Supplier selection'!AQ832)</f>
        <v/>
      </c>
      <c r="Z832" s="19" t="str">
        <f>IF('Supplier selection'!AR832="","",'Supplier selection'!AR832)</f>
        <v/>
      </c>
      <c r="AA832" s="19" t="str">
        <f t="shared" si="136"/>
        <v/>
      </c>
      <c r="AD832" s="26" t="str">
        <f>IF(AND('Supplier selection'!X832="",'Supplier selection'!AE832=""),"",IF('Supplier selection'!X832="",'Supplier selection'!AE832,'Supplier selection'!X832))</f>
        <v/>
      </c>
      <c r="AE832" s="19" t="str">
        <f t="shared" si="137"/>
        <v/>
      </c>
      <c r="AF832" s="19" t="str">
        <f t="shared" si="138"/>
        <v/>
      </c>
      <c r="AG832" s="27" t="str">
        <f>IF(AND('Supplier selection'!AB832="",'Supplier selection'!AI832=""),"",IF('Supplier selection'!AB832="",'Supplier selection'!AI832,'Supplier selection'!AB832))</f>
        <v/>
      </c>
      <c r="AH832" s="28" t="str">
        <f t="shared" si="139"/>
        <v/>
      </c>
      <c r="AI832" s="7" t="str">
        <f t="shared" si="140"/>
        <v/>
      </c>
      <c r="AJ832" s="22" t="str">
        <f t="shared" si="141"/>
        <v/>
      </c>
      <c r="AK832" s="29" t="str">
        <f t="shared" si="142"/>
        <v/>
      </c>
      <c r="AL832" s="10"/>
    </row>
    <row r="833" spans="1:38">
      <c r="A833" s="19">
        <f>IF('Supplier selection'!A833="","",'Supplier selection'!A833)</f>
        <v>829</v>
      </c>
      <c r="B833" s="19" t="str">
        <f>IF('Supplier selection'!B833="","",'Supplier selection'!B833)</f>
        <v/>
      </c>
      <c r="C833" s="19" t="str">
        <f>IF('Supplier selection'!C833="","",'Supplier selection'!C833)</f>
        <v/>
      </c>
      <c r="D833" s="19" t="str">
        <f>IF('Supplier selection'!D833="","",'Supplier selection'!D833)</f>
        <v/>
      </c>
      <c r="E833" s="19" t="str">
        <f>IF('Supplier selection'!E833="","",'Supplier selection'!E833)</f>
        <v/>
      </c>
      <c r="F833" s="19" t="str">
        <f>IF('Supplier selection'!F833="","",'Supplier selection'!F833)</f>
        <v/>
      </c>
      <c r="G833" s="19" t="str">
        <f>IF('Supplier selection'!G833="","",'Supplier selection'!G833)</f>
        <v/>
      </c>
      <c r="H833" s="19" t="str">
        <f>IF('Supplier selection'!H833="","",'Supplier selection'!H833)</f>
        <v/>
      </c>
      <c r="I833" s="19" t="str">
        <f>IF('Supplier selection'!I833="","",'Supplier selection'!I833)</f>
        <v/>
      </c>
      <c r="J833" s="19" t="str">
        <f>IF('Supplier selection'!J833="","",'Supplier selection'!J833)</f>
        <v/>
      </c>
      <c r="K833" s="19" t="str">
        <f>IF('Supplier selection'!K833="","",'Supplier selection'!K833)</f>
        <v/>
      </c>
      <c r="L833" s="19" t="str">
        <f>IF('Supplier selection'!L833="","",'Supplier selection'!L833)</f>
        <v/>
      </c>
      <c r="M833" s="19" t="str">
        <f>IF('Supplier selection'!M833="","",'Supplier selection'!M833)</f>
        <v/>
      </c>
      <c r="N833" s="19" t="str">
        <f>IF('Supplier selection'!N833="","",'Supplier selection'!N833)</f>
        <v/>
      </c>
      <c r="O833" s="19" t="str">
        <f>IF('Supplier selection'!O833="","",'Supplier selection'!O833)</f>
        <v/>
      </c>
      <c r="Q833" s="19" t="str">
        <f>HLOOKUP($Q$3,'Supplier selection'!$AW$4:'Supplier selection'!$CT$1000,$A834,FALSE)</f>
        <v/>
      </c>
      <c r="R833" s="22" t="str">
        <f t="shared" si="132"/>
        <v/>
      </c>
      <c r="S833" s="19" t="str">
        <f t="shared" si="133"/>
        <v/>
      </c>
      <c r="T833" s="22" t="str">
        <f t="shared" si="134"/>
        <v/>
      </c>
      <c r="U833" s="19" t="str">
        <f t="shared" si="135"/>
        <v/>
      </c>
      <c r="V833" s="7"/>
      <c r="Y833" s="19" t="str">
        <f>IF('Supplier selection'!AQ833="","",'Supplier selection'!AQ833)</f>
        <v/>
      </c>
      <c r="Z833" s="19" t="str">
        <f>IF('Supplier selection'!AR833="","",'Supplier selection'!AR833)</f>
        <v/>
      </c>
      <c r="AA833" s="19" t="str">
        <f t="shared" si="136"/>
        <v/>
      </c>
      <c r="AD833" s="26" t="str">
        <f>IF(AND('Supplier selection'!X833="",'Supplier selection'!AE833=""),"",IF('Supplier selection'!X833="",'Supplier selection'!AE833,'Supplier selection'!X833))</f>
        <v/>
      </c>
      <c r="AE833" s="19" t="str">
        <f t="shared" si="137"/>
        <v/>
      </c>
      <c r="AF833" s="19" t="str">
        <f t="shared" si="138"/>
        <v/>
      </c>
      <c r="AG833" s="27" t="str">
        <f>IF(AND('Supplier selection'!AB833="",'Supplier selection'!AI833=""),"",IF('Supplier selection'!AB833="",'Supplier selection'!AI833,'Supplier selection'!AB833))</f>
        <v/>
      </c>
      <c r="AH833" s="28" t="str">
        <f t="shared" si="139"/>
        <v/>
      </c>
      <c r="AI833" s="7" t="str">
        <f t="shared" si="140"/>
        <v/>
      </c>
      <c r="AJ833" s="22" t="str">
        <f t="shared" si="141"/>
        <v/>
      </c>
      <c r="AK833" s="29" t="str">
        <f t="shared" si="142"/>
        <v/>
      </c>
      <c r="AL833" s="10"/>
    </row>
    <row r="834" spans="1:38">
      <c r="A834" s="19">
        <f>IF('Supplier selection'!A834="","",'Supplier selection'!A834)</f>
        <v>830</v>
      </c>
      <c r="B834" s="19" t="str">
        <f>IF('Supplier selection'!B834="","",'Supplier selection'!B834)</f>
        <v/>
      </c>
      <c r="C834" s="19" t="str">
        <f>IF('Supplier selection'!C834="","",'Supplier selection'!C834)</f>
        <v/>
      </c>
      <c r="D834" s="19" t="str">
        <f>IF('Supplier selection'!D834="","",'Supplier selection'!D834)</f>
        <v/>
      </c>
      <c r="E834" s="19" t="str">
        <f>IF('Supplier selection'!E834="","",'Supplier selection'!E834)</f>
        <v/>
      </c>
      <c r="F834" s="19" t="str">
        <f>IF('Supplier selection'!F834="","",'Supplier selection'!F834)</f>
        <v/>
      </c>
      <c r="G834" s="19" t="str">
        <f>IF('Supplier selection'!G834="","",'Supplier selection'!G834)</f>
        <v/>
      </c>
      <c r="H834" s="19" t="str">
        <f>IF('Supplier selection'!H834="","",'Supplier selection'!H834)</f>
        <v/>
      </c>
      <c r="I834" s="19" t="str">
        <f>IF('Supplier selection'!I834="","",'Supplier selection'!I834)</f>
        <v/>
      </c>
      <c r="J834" s="19" t="str">
        <f>IF('Supplier selection'!J834="","",'Supplier selection'!J834)</f>
        <v/>
      </c>
      <c r="K834" s="19" t="str">
        <f>IF('Supplier selection'!K834="","",'Supplier selection'!K834)</f>
        <v/>
      </c>
      <c r="L834" s="19" t="str">
        <f>IF('Supplier selection'!L834="","",'Supplier selection'!L834)</f>
        <v/>
      </c>
      <c r="M834" s="19" t="str">
        <f>IF('Supplier selection'!M834="","",'Supplier selection'!M834)</f>
        <v/>
      </c>
      <c r="N834" s="19" t="str">
        <f>IF('Supplier selection'!N834="","",'Supplier selection'!N834)</f>
        <v/>
      </c>
      <c r="O834" s="19" t="str">
        <f>IF('Supplier selection'!O834="","",'Supplier selection'!O834)</f>
        <v/>
      </c>
      <c r="Q834" s="19" t="str">
        <f>HLOOKUP($Q$3,'Supplier selection'!$AW$4:'Supplier selection'!$CT$1000,$A835,FALSE)</f>
        <v/>
      </c>
      <c r="R834" s="22" t="str">
        <f t="shared" si="132"/>
        <v/>
      </c>
      <c r="S834" s="19" t="str">
        <f t="shared" si="133"/>
        <v/>
      </c>
      <c r="T834" s="22" t="str">
        <f t="shared" si="134"/>
        <v/>
      </c>
      <c r="U834" s="19" t="str">
        <f t="shared" si="135"/>
        <v/>
      </c>
      <c r="V834" s="7"/>
      <c r="Y834" s="19" t="str">
        <f>IF('Supplier selection'!AQ834="","",'Supplier selection'!AQ834)</f>
        <v/>
      </c>
      <c r="Z834" s="19" t="str">
        <f>IF('Supplier selection'!AR834="","",'Supplier selection'!AR834)</f>
        <v/>
      </c>
      <c r="AA834" s="19" t="str">
        <f t="shared" si="136"/>
        <v/>
      </c>
      <c r="AD834" s="26" t="str">
        <f>IF(AND('Supplier selection'!X834="",'Supplier selection'!AE834=""),"",IF('Supplier selection'!X834="",'Supplier selection'!AE834,'Supplier selection'!X834))</f>
        <v/>
      </c>
      <c r="AE834" s="19" t="str">
        <f t="shared" si="137"/>
        <v/>
      </c>
      <c r="AF834" s="19" t="str">
        <f t="shared" si="138"/>
        <v/>
      </c>
      <c r="AG834" s="27" t="str">
        <f>IF(AND('Supplier selection'!AB834="",'Supplier selection'!AI834=""),"",IF('Supplier selection'!AB834="",'Supplier selection'!AI834,'Supplier selection'!AB834))</f>
        <v/>
      </c>
      <c r="AH834" s="28" t="str">
        <f t="shared" si="139"/>
        <v/>
      </c>
      <c r="AI834" s="7" t="str">
        <f t="shared" si="140"/>
        <v/>
      </c>
      <c r="AJ834" s="22" t="str">
        <f t="shared" si="141"/>
        <v/>
      </c>
      <c r="AK834" s="29" t="str">
        <f t="shared" si="142"/>
        <v/>
      </c>
      <c r="AL834" s="10"/>
    </row>
    <row r="835" spans="1:38">
      <c r="A835" s="19">
        <f>IF('Supplier selection'!A835="","",'Supplier selection'!A835)</f>
        <v>831</v>
      </c>
      <c r="B835" s="19" t="str">
        <f>IF('Supplier selection'!B835="","",'Supplier selection'!B835)</f>
        <v/>
      </c>
      <c r="C835" s="19" t="str">
        <f>IF('Supplier selection'!C835="","",'Supplier selection'!C835)</f>
        <v/>
      </c>
      <c r="D835" s="19" t="str">
        <f>IF('Supplier selection'!D835="","",'Supplier selection'!D835)</f>
        <v/>
      </c>
      <c r="E835" s="19" t="str">
        <f>IF('Supplier selection'!E835="","",'Supplier selection'!E835)</f>
        <v/>
      </c>
      <c r="F835" s="19" t="str">
        <f>IF('Supplier selection'!F835="","",'Supplier selection'!F835)</f>
        <v/>
      </c>
      <c r="G835" s="19" t="str">
        <f>IF('Supplier selection'!G835="","",'Supplier selection'!G835)</f>
        <v/>
      </c>
      <c r="H835" s="19" t="str">
        <f>IF('Supplier selection'!H835="","",'Supplier selection'!H835)</f>
        <v/>
      </c>
      <c r="I835" s="19" t="str">
        <f>IF('Supplier selection'!I835="","",'Supplier selection'!I835)</f>
        <v/>
      </c>
      <c r="J835" s="19" t="str">
        <f>IF('Supplier selection'!J835="","",'Supplier selection'!J835)</f>
        <v/>
      </c>
      <c r="K835" s="19" t="str">
        <f>IF('Supplier selection'!K835="","",'Supplier selection'!K835)</f>
        <v/>
      </c>
      <c r="L835" s="19" t="str">
        <f>IF('Supplier selection'!L835="","",'Supplier selection'!L835)</f>
        <v/>
      </c>
      <c r="M835" s="19" t="str">
        <f>IF('Supplier selection'!M835="","",'Supplier selection'!M835)</f>
        <v/>
      </c>
      <c r="N835" s="19" t="str">
        <f>IF('Supplier selection'!N835="","",'Supplier selection'!N835)</f>
        <v/>
      </c>
      <c r="O835" s="19" t="str">
        <f>IF('Supplier selection'!O835="","",'Supplier selection'!O835)</f>
        <v/>
      </c>
      <c r="Q835" s="19" t="str">
        <f>HLOOKUP($Q$3,'Supplier selection'!$AW$4:'Supplier selection'!$CT$1000,$A836,FALSE)</f>
        <v/>
      </c>
      <c r="R835" s="22" t="str">
        <f t="shared" si="132"/>
        <v/>
      </c>
      <c r="S835" s="19" t="str">
        <f t="shared" si="133"/>
        <v/>
      </c>
      <c r="T835" s="22" t="str">
        <f t="shared" si="134"/>
        <v/>
      </c>
      <c r="U835" s="19" t="str">
        <f t="shared" si="135"/>
        <v/>
      </c>
      <c r="V835" s="7"/>
      <c r="Y835" s="19" t="str">
        <f>IF('Supplier selection'!AQ835="","",'Supplier selection'!AQ835)</f>
        <v/>
      </c>
      <c r="Z835" s="19" t="str">
        <f>IF('Supplier selection'!AR835="","",'Supplier selection'!AR835)</f>
        <v/>
      </c>
      <c r="AA835" s="19" t="str">
        <f t="shared" si="136"/>
        <v/>
      </c>
      <c r="AD835" s="26" t="str">
        <f>IF(AND('Supplier selection'!X835="",'Supplier selection'!AE835=""),"",IF('Supplier selection'!X835="",'Supplier selection'!AE835,'Supplier selection'!X835))</f>
        <v/>
      </c>
      <c r="AE835" s="19" t="str">
        <f t="shared" si="137"/>
        <v/>
      </c>
      <c r="AF835" s="19" t="str">
        <f t="shared" si="138"/>
        <v/>
      </c>
      <c r="AG835" s="27" t="str">
        <f>IF(AND('Supplier selection'!AB835="",'Supplier selection'!AI835=""),"",IF('Supplier selection'!AB835="",'Supplier selection'!AI835,'Supplier selection'!AB835))</f>
        <v/>
      </c>
      <c r="AH835" s="28" t="str">
        <f t="shared" si="139"/>
        <v/>
      </c>
      <c r="AI835" s="7" t="str">
        <f t="shared" si="140"/>
        <v/>
      </c>
      <c r="AJ835" s="22" t="str">
        <f t="shared" si="141"/>
        <v/>
      </c>
      <c r="AK835" s="29" t="str">
        <f t="shared" si="142"/>
        <v/>
      </c>
      <c r="AL835" s="10"/>
    </row>
    <row r="836" spans="1:38">
      <c r="A836" s="19">
        <f>IF('Supplier selection'!A836="","",'Supplier selection'!A836)</f>
        <v>832</v>
      </c>
      <c r="B836" s="19" t="str">
        <f>IF('Supplier selection'!B836="","",'Supplier selection'!B836)</f>
        <v/>
      </c>
      <c r="C836" s="19" t="str">
        <f>IF('Supplier selection'!C836="","",'Supplier selection'!C836)</f>
        <v/>
      </c>
      <c r="D836" s="19" t="str">
        <f>IF('Supplier selection'!D836="","",'Supplier selection'!D836)</f>
        <v/>
      </c>
      <c r="E836" s="19" t="str">
        <f>IF('Supplier selection'!E836="","",'Supplier selection'!E836)</f>
        <v/>
      </c>
      <c r="F836" s="19" t="str">
        <f>IF('Supplier selection'!F836="","",'Supplier selection'!F836)</f>
        <v/>
      </c>
      <c r="G836" s="19" t="str">
        <f>IF('Supplier selection'!G836="","",'Supplier selection'!G836)</f>
        <v/>
      </c>
      <c r="H836" s="19" t="str">
        <f>IF('Supplier selection'!H836="","",'Supplier selection'!H836)</f>
        <v/>
      </c>
      <c r="I836" s="19" t="str">
        <f>IF('Supplier selection'!I836="","",'Supplier selection'!I836)</f>
        <v/>
      </c>
      <c r="J836" s="19" t="str">
        <f>IF('Supplier selection'!J836="","",'Supplier selection'!J836)</f>
        <v/>
      </c>
      <c r="K836" s="19" t="str">
        <f>IF('Supplier selection'!K836="","",'Supplier selection'!K836)</f>
        <v/>
      </c>
      <c r="L836" s="19" t="str">
        <f>IF('Supplier selection'!L836="","",'Supplier selection'!L836)</f>
        <v/>
      </c>
      <c r="M836" s="19" t="str">
        <f>IF('Supplier selection'!M836="","",'Supplier selection'!M836)</f>
        <v/>
      </c>
      <c r="N836" s="19" t="str">
        <f>IF('Supplier selection'!N836="","",'Supplier selection'!N836)</f>
        <v/>
      </c>
      <c r="O836" s="19" t="str">
        <f>IF('Supplier selection'!O836="","",'Supplier selection'!O836)</f>
        <v/>
      </c>
      <c r="Q836" s="19" t="str">
        <f>HLOOKUP($Q$3,'Supplier selection'!$AW$4:'Supplier selection'!$CT$1000,$A837,FALSE)</f>
        <v/>
      </c>
      <c r="R836" s="22" t="str">
        <f t="shared" si="132"/>
        <v/>
      </c>
      <c r="S836" s="19" t="str">
        <f t="shared" si="133"/>
        <v/>
      </c>
      <c r="T836" s="22" t="str">
        <f t="shared" si="134"/>
        <v/>
      </c>
      <c r="U836" s="19" t="str">
        <f t="shared" si="135"/>
        <v/>
      </c>
      <c r="V836" s="7"/>
      <c r="Y836" s="19" t="str">
        <f>IF('Supplier selection'!AQ836="","",'Supplier selection'!AQ836)</f>
        <v/>
      </c>
      <c r="Z836" s="19" t="str">
        <f>IF('Supplier selection'!AR836="","",'Supplier selection'!AR836)</f>
        <v/>
      </c>
      <c r="AA836" s="19" t="str">
        <f t="shared" si="136"/>
        <v/>
      </c>
      <c r="AD836" s="26" t="str">
        <f>IF(AND('Supplier selection'!X836="",'Supplier selection'!AE836=""),"",IF('Supplier selection'!X836="",'Supplier selection'!AE836,'Supplier selection'!X836))</f>
        <v/>
      </c>
      <c r="AE836" s="19" t="str">
        <f t="shared" si="137"/>
        <v/>
      </c>
      <c r="AF836" s="19" t="str">
        <f t="shared" si="138"/>
        <v/>
      </c>
      <c r="AG836" s="27" t="str">
        <f>IF(AND('Supplier selection'!AB836="",'Supplier selection'!AI836=""),"",IF('Supplier selection'!AB836="",'Supplier selection'!AI836,'Supplier selection'!AB836))</f>
        <v/>
      </c>
      <c r="AH836" s="28" t="str">
        <f t="shared" si="139"/>
        <v/>
      </c>
      <c r="AI836" s="7" t="str">
        <f t="shared" si="140"/>
        <v/>
      </c>
      <c r="AJ836" s="22" t="str">
        <f t="shared" si="141"/>
        <v/>
      </c>
      <c r="AK836" s="29" t="str">
        <f t="shared" si="142"/>
        <v/>
      </c>
      <c r="AL836" s="10"/>
    </row>
    <row r="837" spans="1:38">
      <c r="A837" s="19">
        <f>IF('Supplier selection'!A837="","",'Supplier selection'!A837)</f>
        <v>833</v>
      </c>
      <c r="B837" s="19" t="str">
        <f>IF('Supplier selection'!B837="","",'Supplier selection'!B837)</f>
        <v/>
      </c>
      <c r="C837" s="19" t="str">
        <f>IF('Supplier selection'!C837="","",'Supplier selection'!C837)</f>
        <v/>
      </c>
      <c r="D837" s="19" t="str">
        <f>IF('Supplier selection'!D837="","",'Supplier selection'!D837)</f>
        <v/>
      </c>
      <c r="E837" s="19" t="str">
        <f>IF('Supplier selection'!E837="","",'Supplier selection'!E837)</f>
        <v/>
      </c>
      <c r="F837" s="19" t="str">
        <f>IF('Supplier selection'!F837="","",'Supplier selection'!F837)</f>
        <v/>
      </c>
      <c r="G837" s="19" t="str">
        <f>IF('Supplier selection'!G837="","",'Supplier selection'!G837)</f>
        <v/>
      </c>
      <c r="H837" s="19" t="str">
        <f>IF('Supplier selection'!H837="","",'Supplier selection'!H837)</f>
        <v/>
      </c>
      <c r="I837" s="19" t="str">
        <f>IF('Supplier selection'!I837="","",'Supplier selection'!I837)</f>
        <v/>
      </c>
      <c r="J837" s="19" t="str">
        <f>IF('Supplier selection'!J837="","",'Supplier selection'!J837)</f>
        <v/>
      </c>
      <c r="K837" s="19" t="str">
        <f>IF('Supplier selection'!K837="","",'Supplier selection'!K837)</f>
        <v/>
      </c>
      <c r="L837" s="19" t="str">
        <f>IF('Supplier selection'!L837="","",'Supplier selection'!L837)</f>
        <v/>
      </c>
      <c r="M837" s="19" t="str">
        <f>IF('Supplier selection'!M837="","",'Supplier selection'!M837)</f>
        <v/>
      </c>
      <c r="N837" s="19" t="str">
        <f>IF('Supplier selection'!N837="","",'Supplier selection'!N837)</f>
        <v/>
      </c>
      <c r="O837" s="19" t="str">
        <f>IF('Supplier selection'!O837="","",'Supplier selection'!O837)</f>
        <v/>
      </c>
      <c r="Q837" s="19" t="str">
        <f>HLOOKUP($Q$3,'Supplier selection'!$AW$4:'Supplier selection'!$CT$1000,$A838,FALSE)</f>
        <v/>
      </c>
      <c r="R837" s="22" t="str">
        <f t="shared" si="132"/>
        <v/>
      </c>
      <c r="S837" s="19" t="str">
        <f t="shared" si="133"/>
        <v/>
      </c>
      <c r="T837" s="22" t="str">
        <f t="shared" si="134"/>
        <v/>
      </c>
      <c r="U837" s="19" t="str">
        <f t="shared" si="135"/>
        <v/>
      </c>
      <c r="V837" s="7"/>
      <c r="Y837" s="19" t="str">
        <f>IF('Supplier selection'!AQ837="","",'Supplier selection'!AQ837)</f>
        <v/>
      </c>
      <c r="Z837" s="19" t="str">
        <f>IF('Supplier selection'!AR837="","",'Supplier selection'!AR837)</f>
        <v/>
      </c>
      <c r="AA837" s="19" t="str">
        <f t="shared" si="136"/>
        <v/>
      </c>
      <c r="AD837" s="26" t="str">
        <f>IF(AND('Supplier selection'!X837="",'Supplier selection'!AE837=""),"",IF('Supplier selection'!X837="",'Supplier selection'!AE837,'Supplier selection'!X837))</f>
        <v/>
      </c>
      <c r="AE837" s="19" t="str">
        <f t="shared" si="137"/>
        <v/>
      </c>
      <c r="AF837" s="19" t="str">
        <f t="shared" si="138"/>
        <v/>
      </c>
      <c r="AG837" s="27" t="str">
        <f>IF(AND('Supplier selection'!AB837="",'Supplier selection'!AI837=""),"",IF('Supplier selection'!AB837="",'Supplier selection'!AI837,'Supplier selection'!AB837))</f>
        <v/>
      </c>
      <c r="AH837" s="28" t="str">
        <f t="shared" si="139"/>
        <v/>
      </c>
      <c r="AI837" s="7" t="str">
        <f t="shared" si="140"/>
        <v/>
      </c>
      <c r="AJ837" s="22" t="str">
        <f t="shared" si="141"/>
        <v/>
      </c>
      <c r="AK837" s="29" t="str">
        <f t="shared" si="142"/>
        <v/>
      </c>
      <c r="AL837" s="10"/>
    </row>
    <row r="838" spans="1:38">
      <c r="A838" s="19">
        <f>IF('Supplier selection'!A838="","",'Supplier selection'!A838)</f>
        <v>834</v>
      </c>
      <c r="B838" s="19" t="str">
        <f>IF('Supplier selection'!B838="","",'Supplier selection'!B838)</f>
        <v/>
      </c>
      <c r="C838" s="19" t="str">
        <f>IF('Supplier selection'!C838="","",'Supplier selection'!C838)</f>
        <v/>
      </c>
      <c r="D838" s="19" t="str">
        <f>IF('Supplier selection'!D838="","",'Supplier selection'!D838)</f>
        <v/>
      </c>
      <c r="E838" s="19" t="str">
        <f>IF('Supplier selection'!E838="","",'Supplier selection'!E838)</f>
        <v/>
      </c>
      <c r="F838" s="19" t="str">
        <f>IF('Supplier selection'!F838="","",'Supplier selection'!F838)</f>
        <v/>
      </c>
      <c r="G838" s="19" t="str">
        <f>IF('Supplier selection'!G838="","",'Supplier selection'!G838)</f>
        <v/>
      </c>
      <c r="H838" s="19" t="str">
        <f>IF('Supplier selection'!H838="","",'Supplier selection'!H838)</f>
        <v/>
      </c>
      <c r="I838" s="19" t="str">
        <f>IF('Supplier selection'!I838="","",'Supplier selection'!I838)</f>
        <v/>
      </c>
      <c r="J838" s="19" t="str">
        <f>IF('Supplier selection'!J838="","",'Supplier selection'!J838)</f>
        <v/>
      </c>
      <c r="K838" s="19" t="str">
        <f>IF('Supplier selection'!K838="","",'Supplier selection'!K838)</f>
        <v/>
      </c>
      <c r="L838" s="19" t="str">
        <f>IF('Supplier selection'!L838="","",'Supplier selection'!L838)</f>
        <v/>
      </c>
      <c r="M838" s="19" t="str">
        <f>IF('Supplier selection'!M838="","",'Supplier selection'!M838)</f>
        <v/>
      </c>
      <c r="N838" s="19" t="str">
        <f>IF('Supplier selection'!N838="","",'Supplier selection'!N838)</f>
        <v/>
      </c>
      <c r="O838" s="19" t="str">
        <f>IF('Supplier selection'!O838="","",'Supplier selection'!O838)</f>
        <v/>
      </c>
      <c r="Q838" s="19" t="str">
        <f>HLOOKUP($Q$3,'Supplier selection'!$AW$4:'Supplier selection'!$CT$1000,$A839,FALSE)</f>
        <v/>
      </c>
      <c r="R838" s="22" t="str">
        <f t="shared" ref="R838:R901" si="143">IF(OR(Q838="",O838=""),"",(Q838-O838)/O838)</f>
        <v/>
      </c>
      <c r="S838" s="19" t="str">
        <f t="shared" ref="S838:S901" si="144">IF(OR(H838="",O838="",Q838=""),"",(Q838*H838)-(H838*O838))</f>
        <v/>
      </c>
      <c r="T838" s="22" t="str">
        <f t="shared" ref="T838:T901" si="145">IF(OR(Y838="",Q838=""),"",(Q838-Y838)/Y838)</f>
        <v/>
      </c>
      <c r="U838" s="19" t="str">
        <f t="shared" ref="U838:U901" si="146">IF(OR(Y838="",Q838="",H838=""),"",(Q838*H838)-(Y838*H838))</f>
        <v/>
      </c>
      <c r="V838" s="7"/>
      <c r="Y838" s="19" t="str">
        <f>IF('Supplier selection'!AQ838="","",'Supplier selection'!AQ838)</f>
        <v/>
      </c>
      <c r="Z838" s="19" t="str">
        <f>IF('Supplier selection'!AR838="","",'Supplier selection'!AR838)</f>
        <v/>
      </c>
      <c r="AA838" s="19" t="str">
        <f t="shared" ref="AA838:AA901" si="147">IF(OR(Y838="",O838="",H838=""),"",((H838*Y838)-(H838*O838)))</f>
        <v/>
      </c>
      <c r="AD838" s="26" t="str">
        <f>IF(AND('Supplier selection'!X838="",'Supplier selection'!AE838=""),"",IF('Supplier selection'!X838="",'Supplier selection'!AE838,'Supplier selection'!X838))</f>
        <v/>
      </c>
      <c r="AE838" s="19" t="str">
        <f t="shared" ref="AE838:AE901" si="148">IF(AD838="","",J838)</f>
        <v/>
      </c>
      <c r="AF838" s="19" t="str">
        <f t="shared" ref="AF838:AF901" si="149">IF(AD838="","",L838)</f>
        <v/>
      </c>
      <c r="AG838" s="27" t="str">
        <f>IF(AND('Supplier selection'!AB838="",'Supplier selection'!AI838=""),"",IF('Supplier selection'!AB838="",'Supplier selection'!AI838,'Supplier selection'!AB838))</f>
        <v/>
      </c>
      <c r="AH838" s="28" t="str">
        <f t="shared" ref="AH838:AH901" si="150">IF(OR(AG838="",O838=""),"",(AG838-O838)/O838)</f>
        <v/>
      </c>
      <c r="AI838" s="7" t="str">
        <f t="shared" ref="AI838:AI901" si="151">IF(OR(H838="",O838="",AG838=""),"",(AG838*H838)-(H838*O838))</f>
        <v/>
      </c>
      <c r="AJ838" s="22" t="str">
        <f t="shared" ref="AJ838:AJ901" si="152">IF(OR(AG838="",Y838=""),"",(AG838-Y838)/Y838)</f>
        <v/>
      </c>
      <c r="AK838" s="29" t="str">
        <f t="shared" ref="AK838:AK901" si="153">IF(OR(H838="",Y838="",AG838=""),"",(AG838*H838)-(H838*Y838))</f>
        <v/>
      </c>
      <c r="AL838" s="10"/>
    </row>
    <row r="839" spans="1:38">
      <c r="A839" s="19">
        <f>IF('Supplier selection'!A839="","",'Supplier selection'!A839)</f>
        <v>835</v>
      </c>
      <c r="B839" s="19" t="str">
        <f>IF('Supplier selection'!B839="","",'Supplier selection'!B839)</f>
        <v/>
      </c>
      <c r="C839" s="19" t="str">
        <f>IF('Supplier selection'!C839="","",'Supplier selection'!C839)</f>
        <v/>
      </c>
      <c r="D839" s="19" t="str">
        <f>IF('Supplier selection'!D839="","",'Supplier selection'!D839)</f>
        <v/>
      </c>
      <c r="E839" s="19" t="str">
        <f>IF('Supplier selection'!E839="","",'Supplier selection'!E839)</f>
        <v/>
      </c>
      <c r="F839" s="19" t="str">
        <f>IF('Supplier selection'!F839="","",'Supplier selection'!F839)</f>
        <v/>
      </c>
      <c r="G839" s="19" t="str">
        <f>IF('Supplier selection'!G839="","",'Supplier selection'!G839)</f>
        <v/>
      </c>
      <c r="H839" s="19" t="str">
        <f>IF('Supplier selection'!H839="","",'Supplier selection'!H839)</f>
        <v/>
      </c>
      <c r="I839" s="19" t="str">
        <f>IF('Supplier selection'!I839="","",'Supplier selection'!I839)</f>
        <v/>
      </c>
      <c r="J839" s="19" t="str">
        <f>IF('Supplier selection'!J839="","",'Supplier selection'!J839)</f>
        <v/>
      </c>
      <c r="K839" s="19" t="str">
        <f>IF('Supplier selection'!K839="","",'Supplier selection'!K839)</f>
        <v/>
      </c>
      <c r="L839" s="19" t="str">
        <f>IF('Supplier selection'!L839="","",'Supplier selection'!L839)</f>
        <v/>
      </c>
      <c r="M839" s="19" t="str">
        <f>IF('Supplier selection'!M839="","",'Supplier selection'!M839)</f>
        <v/>
      </c>
      <c r="N839" s="19" t="str">
        <f>IF('Supplier selection'!N839="","",'Supplier selection'!N839)</f>
        <v/>
      </c>
      <c r="O839" s="19" t="str">
        <f>IF('Supplier selection'!O839="","",'Supplier selection'!O839)</f>
        <v/>
      </c>
      <c r="Q839" s="19" t="str">
        <f>HLOOKUP($Q$3,'Supplier selection'!$AW$4:'Supplier selection'!$CT$1000,$A840,FALSE)</f>
        <v/>
      </c>
      <c r="R839" s="22" t="str">
        <f t="shared" si="143"/>
        <v/>
      </c>
      <c r="S839" s="19" t="str">
        <f t="shared" si="144"/>
        <v/>
      </c>
      <c r="T839" s="22" t="str">
        <f t="shared" si="145"/>
        <v/>
      </c>
      <c r="U839" s="19" t="str">
        <f t="shared" si="146"/>
        <v/>
      </c>
      <c r="V839" s="7"/>
      <c r="Y839" s="19" t="str">
        <f>IF('Supplier selection'!AQ839="","",'Supplier selection'!AQ839)</f>
        <v/>
      </c>
      <c r="Z839" s="19" t="str">
        <f>IF('Supplier selection'!AR839="","",'Supplier selection'!AR839)</f>
        <v/>
      </c>
      <c r="AA839" s="19" t="str">
        <f t="shared" si="147"/>
        <v/>
      </c>
      <c r="AD839" s="26" t="str">
        <f>IF(AND('Supplier selection'!X839="",'Supplier selection'!AE839=""),"",IF('Supplier selection'!X839="",'Supplier selection'!AE839,'Supplier selection'!X839))</f>
        <v/>
      </c>
      <c r="AE839" s="19" t="str">
        <f t="shared" si="148"/>
        <v/>
      </c>
      <c r="AF839" s="19" t="str">
        <f t="shared" si="149"/>
        <v/>
      </c>
      <c r="AG839" s="27" t="str">
        <f>IF(AND('Supplier selection'!AB839="",'Supplier selection'!AI839=""),"",IF('Supplier selection'!AB839="",'Supplier selection'!AI839,'Supplier selection'!AB839))</f>
        <v/>
      </c>
      <c r="AH839" s="28" t="str">
        <f t="shared" si="150"/>
        <v/>
      </c>
      <c r="AI839" s="7" t="str">
        <f t="shared" si="151"/>
        <v/>
      </c>
      <c r="AJ839" s="22" t="str">
        <f t="shared" si="152"/>
        <v/>
      </c>
      <c r="AK839" s="29" t="str">
        <f t="shared" si="153"/>
        <v/>
      </c>
      <c r="AL839" s="10"/>
    </row>
    <row r="840" spans="1:38">
      <c r="A840" s="19">
        <f>IF('Supplier selection'!A840="","",'Supplier selection'!A840)</f>
        <v>836</v>
      </c>
      <c r="B840" s="19" t="str">
        <f>IF('Supplier selection'!B840="","",'Supplier selection'!B840)</f>
        <v/>
      </c>
      <c r="C840" s="19" t="str">
        <f>IF('Supplier selection'!C840="","",'Supplier selection'!C840)</f>
        <v/>
      </c>
      <c r="D840" s="19" t="str">
        <f>IF('Supplier selection'!D840="","",'Supplier selection'!D840)</f>
        <v/>
      </c>
      <c r="E840" s="19" t="str">
        <f>IF('Supplier selection'!E840="","",'Supplier selection'!E840)</f>
        <v/>
      </c>
      <c r="F840" s="19" t="str">
        <f>IF('Supplier selection'!F840="","",'Supplier selection'!F840)</f>
        <v/>
      </c>
      <c r="G840" s="19" t="str">
        <f>IF('Supplier selection'!G840="","",'Supplier selection'!G840)</f>
        <v/>
      </c>
      <c r="H840" s="19" t="str">
        <f>IF('Supplier selection'!H840="","",'Supplier selection'!H840)</f>
        <v/>
      </c>
      <c r="I840" s="19" t="str">
        <f>IF('Supplier selection'!I840="","",'Supplier selection'!I840)</f>
        <v/>
      </c>
      <c r="J840" s="19" t="str">
        <f>IF('Supplier selection'!J840="","",'Supplier selection'!J840)</f>
        <v/>
      </c>
      <c r="K840" s="19" t="str">
        <f>IF('Supplier selection'!K840="","",'Supplier selection'!K840)</f>
        <v/>
      </c>
      <c r="L840" s="19" t="str">
        <f>IF('Supplier selection'!L840="","",'Supplier selection'!L840)</f>
        <v/>
      </c>
      <c r="M840" s="19" t="str">
        <f>IF('Supplier selection'!M840="","",'Supplier selection'!M840)</f>
        <v/>
      </c>
      <c r="N840" s="19" t="str">
        <f>IF('Supplier selection'!N840="","",'Supplier selection'!N840)</f>
        <v/>
      </c>
      <c r="O840" s="19" t="str">
        <f>IF('Supplier selection'!O840="","",'Supplier selection'!O840)</f>
        <v/>
      </c>
      <c r="Q840" s="19" t="str">
        <f>HLOOKUP($Q$3,'Supplier selection'!$AW$4:'Supplier selection'!$CT$1000,$A841,FALSE)</f>
        <v/>
      </c>
      <c r="R840" s="22" t="str">
        <f t="shared" si="143"/>
        <v/>
      </c>
      <c r="S840" s="19" t="str">
        <f t="shared" si="144"/>
        <v/>
      </c>
      <c r="T840" s="22" t="str">
        <f t="shared" si="145"/>
        <v/>
      </c>
      <c r="U840" s="19" t="str">
        <f t="shared" si="146"/>
        <v/>
      </c>
      <c r="V840" s="7"/>
      <c r="Y840" s="19" t="str">
        <f>IF('Supplier selection'!AQ840="","",'Supplier selection'!AQ840)</f>
        <v/>
      </c>
      <c r="Z840" s="19" t="str">
        <f>IF('Supplier selection'!AR840="","",'Supplier selection'!AR840)</f>
        <v/>
      </c>
      <c r="AA840" s="19" t="str">
        <f t="shared" si="147"/>
        <v/>
      </c>
      <c r="AD840" s="26" t="str">
        <f>IF(AND('Supplier selection'!X840="",'Supplier selection'!AE840=""),"",IF('Supplier selection'!X840="",'Supplier selection'!AE840,'Supplier selection'!X840))</f>
        <v/>
      </c>
      <c r="AE840" s="19" t="str">
        <f t="shared" si="148"/>
        <v/>
      </c>
      <c r="AF840" s="19" t="str">
        <f t="shared" si="149"/>
        <v/>
      </c>
      <c r="AG840" s="27" t="str">
        <f>IF(AND('Supplier selection'!AB840="",'Supplier selection'!AI840=""),"",IF('Supplier selection'!AB840="",'Supplier selection'!AI840,'Supplier selection'!AB840))</f>
        <v/>
      </c>
      <c r="AH840" s="28" t="str">
        <f t="shared" si="150"/>
        <v/>
      </c>
      <c r="AI840" s="7" t="str">
        <f t="shared" si="151"/>
        <v/>
      </c>
      <c r="AJ840" s="22" t="str">
        <f t="shared" si="152"/>
        <v/>
      </c>
      <c r="AK840" s="29" t="str">
        <f t="shared" si="153"/>
        <v/>
      </c>
      <c r="AL840" s="10"/>
    </row>
    <row r="841" spans="1:38">
      <c r="A841" s="19">
        <f>IF('Supplier selection'!A841="","",'Supplier selection'!A841)</f>
        <v>837</v>
      </c>
      <c r="B841" s="19" t="str">
        <f>IF('Supplier selection'!B841="","",'Supplier selection'!B841)</f>
        <v/>
      </c>
      <c r="C841" s="19" t="str">
        <f>IF('Supplier selection'!C841="","",'Supplier selection'!C841)</f>
        <v/>
      </c>
      <c r="D841" s="19" t="str">
        <f>IF('Supplier selection'!D841="","",'Supplier selection'!D841)</f>
        <v/>
      </c>
      <c r="E841" s="19" t="str">
        <f>IF('Supplier selection'!E841="","",'Supplier selection'!E841)</f>
        <v/>
      </c>
      <c r="F841" s="19" t="str">
        <f>IF('Supplier selection'!F841="","",'Supplier selection'!F841)</f>
        <v/>
      </c>
      <c r="G841" s="19" t="str">
        <f>IF('Supplier selection'!G841="","",'Supplier selection'!G841)</f>
        <v/>
      </c>
      <c r="H841" s="19" t="str">
        <f>IF('Supplier selection'!H841="","",'Supplier selection'!H841)</f>
        <v/>
      </c>
      <c r="I841" s="19" t="str">
        <f>IF('Supplier selection'!I841="","",'Supplier selection'!I841)</f>
        <v/>
      </c>
      <c r="J841" s="19" t="str">
        <f>IF('Supplier selection'!J841="","",'Supplier selection'!J841)</f>
        <v/>
      </c>
      <c r="K841" s="19" t="str">
        <f>IF('Supplier selection'!K841="","",'Supplier selection'!K841)</f>
        <v/>
      </c>
      <c r="L841" s="19" t="str">
        <f>IF('Supplier selection'!L841="","",'Supplier selection'!L841)</f>
        <v/>
      </c>
      <c r="M841" s="19" t="str">
        <f>IF('Supplier selection'!M841="","",'Supplier selection'!M841)</f>
        <v/>
      </c>
      <c r="N841" s="19" t="str">
        <f>IF('Supplier selection'!N841="","",'Supplier selection'!N841)</f>
        <v/>
      </c>
      <c r="O841" s="19" t="str">
        <f>IF('Supplier selection'!O841="","",'Supplier selection'!O841)</f>
        <v/>
      </c>
      <c r="Q841" s="19" t="str">
        <f>HLOOKUP($Q$3,'Supplier selection'!$AW$4:'Supplier selection'!$CT$1000,$A842,FALSE)</f>
        <v/>
      </c>
      <c r="R841" s="22" t="str">
        <f t="shared" si="143"/>
        <v/>
      </c>
      <c r="S841" s="19" t="str">
        <f t="shared" si="144"/>
        <v/>
      </c>
      <c r="T841" s="22" t="str">
        <f t="shared" si="145"/>
        <v/>
      </c>
      <c r="U841" s="19" t="str">
        <f t="shared" si="146"/>
        <v/>
      </c>
      <c r="V841" s="7"/>
      <c r="Y841" s="19" t="str">
        <f>IF('Supplier selection'!AQ841="","",'Supplier selection'!AQ841)</f>
        <v/>
      </c>
      <c r="Z841" s="19" t="str">
        <f>IF('Supplier selection'!AR841="","",'Supplier selection'!AR841)</f>
        <v/>
      </c>
      <c r="AA841" s="19" t="str">
        <f t="shared" si="147"/>
        <v/>
      </c>
      <c r="AD841" s="26" t="str">
        <f>IF(AND('Supplier selection'!X841="",'Supplier selection'!AE841=""),"",IF('Supplier selection'!X841="",'Supplier selection'!AE841,'Supplier selection'!X841))</f>
        <v/>
      </c>
      <c r="AE841" s="19" t="str">
        <f t="shared" si="148"/>
        <v/>
      </c>
      <c r="AF841" s="19" t="str">
        <f t="shared" si="149"/>
        <v/>
      </c>
      <c r="AG841" s="27" t="str">
        <f>IF(AND('Supplier selection'!AB841="",'Supplier selection'!AI841=""),"",IF('Supplier selection'!AB841="",'Supplier selection'!AI841,'Supplier selection'!AB841))</f>
        <v/>
      </c>
      <c r="AH841" s="28" t="str">
        <f t="shared" si="150"/>
        <v/>
      </c>
      <c r="AI841" s="7" t="str">
        <f t="shared" si="151"/>
        <v/>
      </c>
      <c r="AJ841" s="22" t="str">
        <f t="shared" si="152"/>
        <v/>
      </c>
      <c r="AK841" s="29" t="str">
        <f t="shared" si="153"/>
        <v/>
      </c>
      <c r="AL841" s="10"/>
    </row>
    <row r="842" spans="1:38">
      <c r="A842" s="19">
        <f>IF('Supplier selection'!A842="","",'Supplier selection'!A842)</f>
        <v>838</v>
      </c>
      <c r="B842" s="19" t="str">
        <f>IF('Supplier selection'!B842="","",'Supplier selection'!B842)</f>
        <v/>
      </c>
      <c r="C842" s="19" t="str">
        <f>IF('Supplier selection'!C842="","",'Supplier selection'!C842)</f>
        <v/>
      </c>
      <c r="D842" s="19" t="str">
        <f>IF('Supplier selection'!D842="","",'Supplier selection'!D842)</f>
        <v/>
      </c>
      <c r="E842" s="19" t="str">
        <f>IF('Supplier selection'!E842="","",'Supplier selection'!E842)</f>
        <v/>
      </c>
      <c r="F842" s="19" t="str">
        <f>IF('Supplier selection'!F842="","",'Supplier selection'!F842)</f>
        <v/>
      </c>
      <c r="G842" s="19" t="str">
        <f>IF('Supplier selection'!G842="","",'Supplier selection'!G842)</f>
        <v/>
      </c>
      <c r="H842" s="19" t="str">
        <f>IF('Supplier selection'!H842="","",'Supplier selection'!H842)</f>
        <v/>
      </c>
      <c r="I842" s="19" t="str">
        <f>IF('Supplier selection'!I842="","",'Supplier selection'!I842)</f>
        <v/>
      </c>
      <c r="J842" s="19" t="str">
        <f>IF('Supplier selection'!J842="","",'Supplier selection'!J842)</f>
        <v/>
      </c>
      <c r="K842" s="19" t="str">
        <f>IF('Supplier selection'!K842="","",'Supplier selection'!K842)</f>
        <v/>
      </c>
      <c r="L842" s="19" t="str">
        <f>IF('Supplier selection'!L842="","",'Supplier selection'!L842)</f>
        <v/>
      </c>
      <c r="M842" s="19" t="str">
        <f>IF('Supplier selection'!M842="","",'Supplier selection'!M842)</f>
        <v/>
      </c>
      <c r="N842" s="19" t="str">
        <f>IF('Supplier selection'!N842="","",'Supplier selection'!N842)</f>
        <v/>
      </c>
      <c r="O842" s="19" t="str">
        <f>IF('Supplier selection'!O842="","",'Supplier selection'!O842)</f>
        <v/>
      </c>
      <c r="Q842" s="19" t="str">
        <f>HLOOKUP($Q$3,'Supplier selection'!$AW$4:'Supplier selection'!$CT$1000,$A843,FALSE)</f>
        <v/>
      </c>
      <c r="R842" s="22" t="str">
        <f t="shared" si="143"/>
        <v/>
      </c>
      <c r="S842" s="19" t="str">
        <f t="shared" si="144"/>
        <v/>
      </c>
      <c r="T842" s="22" t="str">
        <f t="shared" si="145"/>
        <v/>
      </c>
      <c r="U842" s="19" t="str">
        <f t="shared" si="146"/>
        <v/>
      </c>
      <c r="V842" s="7"/>
      <c r="Y842" s="19" t="str">
        <f>IF('Supplier selection'!AQ842="","",'Supplier selection'!AQ842)</f>
        <v/>
      </c>
      <c r="Z842" s="19" t="str">
        <f>IF('Supplier selection'!AR842="","",'Supplier selection'!AR842)</f>
        <v/>
      </c>
      <c r="AA842" s="19" t="str">
        <f t="shared" si="147"/>
        <v/>
      </c>
      <c r="AD842" s="26" t="str">
        <f>IF(AND('Supplier selection'!X842="",'Supplier selection'!AE842=""),"",IF('Supplier selection'!X842="",'Supplier selection'!AE842,'Supplier selection'!X842))</f>
        <v/>
      </c>
      <c r="AE842" s="19" t="str">
        <f t="shared" si="148"/>
        <v/>
      </c>
      <c r="AF842" s="19" t="str">
        <f t="shared" si="149"/>
        <v/>
      </c>
      <c r="AG842" s="27" t="str">
        <f>IF(AND('Supplier selection'!AB842="",'Supplier selection'!AI842=""),"",IF('Supplier selection'!AB842="",'Supplier selection'!AI842,'Supplier selection'!AB842))</f>
        <v/>
      </c>
      <c r="AH842" s="28" t="str">
        <f t="shared" si="150"/>
        <v/>
      </c>
      <c r="AI842" s="7" t="str">
        <f t="shared" si="151"/>
        <v/>
      </c>
      <c r="AJ842" s="22" t="str">
        <f t="shared" si="152"/>
        <v/>
      </c>
      <c r="AK842" s="29" t="str">
        <f t="shared" si="153"/>
        <v/>
      </c>
      <c r="AL842" s="10"/>
    </row>
    <row r="843" spans="1:38">
      <c r="A843" s="19">
        <f>IF('Supplier selection'!A843="","",'Supplier selection'!A843)</f>
        <v>839</v>
      </c>
      <c r="B843" s="19" t="str">
        <f>IF('Supplier selection'!B843="","",'Supplier selection'!B843)</f>
        <v/>
      </c>
      <c r="C843" s="19" t="str">
        <f>IF('Supplier selection'!C843="","",'Supplier selection'!C843)</f>
        <v/>
      </c>
      <c r="D843" s="19" t="str">
        <f>IF('Supplier selection'!D843="","",'Supplier selection'!D843)</f>
        <v/>
      </c>
      <c r="E843" s="19" t="str">
        <f>IF('Supplier selection'!E843="","",'Supplier selection'!E843)</f>
        <v/>
      </c>
      <c r="F843" s="19" t="str">
        <f>IF('Supplier selection'!F843="","",'Supplier selection'!F843)</f>
        <v/>
      </c>
      <c r="G843" s="19" t="str">
        <f>IF('Supplier selection'!G843="","",'Supplier selection'!G843)</f>
        <v/>
      </c>
      <c r="H843" s="19" t="str">
        <f>IF('Supplier selection'!H843="","",'Supplier selection'!H843)</f>
        <v/>
      </c>
      <c r="I843" s="19" t="str">
        <f>IF('Supplier selection'!I843="","",'Supplier selection'!I843)</f>
        <v/>
      </c>
      <c r="J843" s="19" t="str">
        <f>IF('Supplier selection'!J843="","",'Supplier selection'!J843)</f>
        <v/>
      </c>
      <c r="K843" s="19" t="str">
        <f>IF('Supplier selection'!K843="","",'Supplier selection'!K843)</f>
        <v/>
      </c>
      <c r="L843" s="19" t="str">
        <f>IF('Supplier selection'!L843="","",'Supplier selection'!L843)</f>
        <v/>
      </c>
      <c r="M843" s="19" t="str">
        <f>IF('Supplier selection'!M843="","",'Supplier selection'!M843)</f>
        <v/>
      </c>
      <c r="N843" s="19" t="str">
        <f>IF('Supplier selection'!N843="","",'Supplier selection'!N843)</f>
        <v/>
      </c>
      <c r="O843" s="19" t="str">
        <f>IF('Supplier selection'!O843="","",'Supplier selection'!O843)</f>
        <v/>
      </c>
      <c r="Q843" s="19" t="str">
        <f>HLOOKUP($Q$3,'Supplier selection'!$AW$4:'Supplier selection'!$CT$1000,$A844,FALSE)</f>
        <v/>
      </c>
      <c r="R843" s="22" t="str">
        <f t="shared" si="143"/>
        <v/>
      </c>
      <c r="S843" s="19" t="str">
        <f t="shared" si="144"/>
        <v/>
      </c>
      <c r="T843" s="22" t="str">
        <f t="shared" si="145"/>
        <v/>
      </c>
      <c r="U843" s="19" t="str">
        <f t="shared" si="146"/>
        <v/>
      </c>
      <c r="V843" s="7"/>
      <c r="Y843" s="19" t="str">
        <f>IF('Supplier selection'!AQ843="","",'Supplier selection'!AQ843)</f>
        <v/>
      </c>
      <c r="Z843" s="19" t="str">
        <f>IF('Supplier selection'!AR843="","",'Supplier selection'!AR843)</f>
        <v/>
      </c>
      <c r="AA843" s="19" t="str">
        <f t="shared" si="147"/>
        <v/>
      </c>
      <c r="AD843" s="26" t="str">
        <f>IF(AND('Supplier selection'!X843="",'Supplier selection'!AE843=""),"",IF('Supplier selection'!X843="",'Supplier selection'!AE843,'Supplier selection'!X843))</f>
        <v/>
      </c>
      <c r="AE843" s="19" t="str">
        <f t="shared" si="148"/>
        <v/>
      </c>
      <c r="AF843" s="19" t="str">
        <f t="shared" si="149"/>
        <v/>
      </c>
      <c r="AG843" s="27" t="str">
        <f>IF(AND('Supplier selection'!AB843="",'Supplier selection'!AI843=""),"",IF('Supplier selection'!AB843="",'Supplier selection'!AI843,'Supplier selection'!AB843))</f>
        <v/>
      </c>
      <c r="AH843" s="28" t="str">
        <f t="shared" si="150"/>
        <v/>
      </c>
      <c r="AI843" s="7" t="str">
        <f t="shared" si="151"/>
        <v/>
      </c>
      <c r="AJ843" s="22" t="str">
        <f t="shared" si="152"/>
        <v/>
      </c>
      <c r="AK843" s="29" t="str">
        <f t="shared" si="153"/>
        <v/>
      </c>
      <c r="AL843" s="10"/>
    </row>
    <row r="844" spans="1:38">
      <c r="A844" s="19">
        <f>IF('Supplier selection'!A844="","",'Supplier selection'!A844)</f>
        <v>840</v>
      </c>
      <c r="B844" s="19" t="str">
        <f>IF('Supplier selection'!B844="","",'Supplier selection'!B844)</f>
        <v/>
      </c>
      <c r="C844" s="19" t="str">
        <f>IF('Supplier selection'!C844="","",'Supplier selection'!C844)</f>
        <v/>
      </c>
      <c r="D844" s="19" t="str">
        <f>IF('Supplier selection'!D844="","",'Supplier selection'!D844)</f>
        <v/>
      </c>
      <c r="E844" s="19" t="str">
        <f>IF('Supplier selection'!E844="","",'Supplier selection'!E844)</f>
        <v/>
      </c>
      <c r="F844" s="19" t="str">
        <f>IF('Supplier selection'!F844="","",'Supplier selection'!F844)</f>
        <v/>
      </c>
      <c r="G844" s="19" t="str">
        <f>IF('Supplier selection'!G844="","",'Supplier selection'!G844)</f>
        <v/>
      </c>
      <c r="H844" s="19" t="str">
        <f>IF('Supplier selection'!H844="","",'Supplier selection'!H844)</f>
        <v/>
      </c>
      <c r="I844" s="19" t="str">
        <f>IF('Supplier selection'!I844="","",'Supplier selection'!I844)</f>
        <v/>
      </c>
      <c r="J844" s="19" t="str">
        <f>IF('Supplier selection'!J844="","",'Supplier selection'!J844)</f>
        <v/>
      </c>
      <c r="K844" s="19" t="str">
        <f>IF('Supplier selection'!K844="","",'Supplier selection'!K844)</f>
        <v/>
      </c>
      <c r="L844" s="19" t="str">
        <f>IF('Supplier selection'!L844="","",'Supplier selection'!L844)</f>
        <v/>
      </c>
      <c r="M844" s="19" t="str">
        <f>IF('Supplier selection'!M844="","",'Supplier selection'!M844)</f>
        <v/>
      </c>
      <c r="N844" s="19" t="str">
        <f>IF('Supplier selection'!N844="","",'Supplier selection'!N844)</f>
        <v/>
      </c>
      <c r="O844" s="19" t="str">
        <f>IF('Supplier selection'!O844="","",'Supplier selection'!O844)</f>
        <v/>
      </c>
      <c r="Q844" s="19" t="str">
        <f>HLOOKUP($Q$3,'Supplier selection'!$AW$4:'Supplier selection'!$CT$1000,$A845,FALSE)</f>
        <v/>
      </c>
      <c r="R844" s="22" t="str">
        <f t="shared" si="143"/>
        <v/>
      </c>
      <c r="S844" s="19" t="str">
        <f t="shared" si="144"/>
        <v/>
      </c>
      <c r="T844" s="22" t="str">
        <f t="shared" si="145"/>
        <v/>
      </c>
      <c r="U844" s="19" t="str">
        <f t="shared" si="146"/>
        <v/>
      </c>
      <c r="V844" s="7"/>
      <c r="Y844" s="19" t="str">
        <f>IF('Supplier selection'!AQ844="","",'Supplier selection'!AQ844)</f>
        <v/>
      </c>
      <c r="Z844" s="19" t="str">
        <f>IF('Supplier selection'!AR844="","",'Supplier selection'!AR844)</f>
        <v/>
      </c>
      <c r="AA844" s="19" t="str">
        <f t="shared" si="147"/>
        <v/>
      </c>
      <c r="AD844" s="26" t="str">
        <f>IF(AND('Supplier selection'!X844="",'Supplier selection'!AE844=""),"",IF('Supplier selection'!X844="",'Supplier selection'!AE844,'Supplier selection'!X844))</f>
        <v/>
      </c>
      <c r="AE844" s="19" t="str">
        <f t="shared" si="148"/>
        <v/>
      </c>
      <c r="AF844" s="19" t="str">
        <f t="shared" si="149"/>
        <v/>
      </c>
      <c r="AG844" s="27" t="str">
        <f>IF(AND('Supplier selection'!AB844="",'Supplier selection'!AI844=""),"",IF('Supplier selection'!AB844="",'Supplier selection'!AI844,'Supplier selection'!AB844))</f>
        <v/>
      </c>
      <c r="AH844" s="28" t="str">
        <f t="shared" si="150"/>
        <v/>
      </c>
      <c r="AI844" s="7" t="str">
        <f t="shared" si="151"/>
        <v/>
      </c>
      <c r="AJ844" s="22" t="str">
        <f t="shared" si="152"/>
        <v/>
      </c>
      <c r="AK844" s="29" t="str">
        <f t="shared" si="153"/>
        <v/>
      </c>
      <c r="AL844" s="10"/>
    </row>
    <row r="845" spans="1:38">
      <c r="A845" s="19">
        <f>IF('Supplier selection'!A845="","",'Supplier selection'!A845)</f>
        <v>841</v>
      </c>
      <c r="B845" s="19" t="str">
        <f>IF('Supplier selection'!B845="","",'Supplier selection'!B845)</f>
        <v/>
      </c>
      <c r="C845" s="19" t="str">
        <f>IF('Supplier selection'!C845="","",'Supplier selection'!C845)</f>
        <v/>
      </c>
      <c r="D845" s="19" t="str">
        <f>IF('Supplier selection'!D845="","",'Supplier selection'!D845)</f>
        <v/>
      </c>
      <c r="E845" s="19" t="str">
        <f>IF('Supplier selection'!E845="","",'Supplier selection'!E845)</f>
        <v/>
      </c>
      <c r="F845" s="19" t="str">
        <f>IF('Supplier selection'!F845="","",'Supplier selection'!F845)</f>
        <v/>
      </c>
      <c r="G845" s="19" t="str">
        <f>IF('Supplier selection'!G845="","",'Supplier selection'!G845)</f>
        <v/>
      </c>
      <c r="H845" s="19" t="str">
        <f>IF('Supplier selection'!H845="","",'Supplier selection'!H845)</f>
        <v/>
      </c>
      <c r="I845" s="19" t="str">
        <f>IF('Supplier selection'!I845="","",'Supplier selection'!I845)</f>
        <v/>
      </c>
      <c r="J845" s="19" t="str">
        <f>IF('Supplier selection'!J845="","",'Supplier selection'!J845)</f>
        <v/>
      </c>
      <c r="K845" s="19" t="str">
        <f>IF('Supplier selection'!K845="","",'Supplier selection'!K845)</f>
        <v/>
      </c>
      <c r="L845" s="19" t="str">
        <f>IF('Supplier selection'!L845="","",'Supplier selection'!L845)</f>
        <v/>
      </c>
      <c r="M845" s="19" t="str">
        <f>IF('Supplier selection'!M845="","",'Supplier selection'!M845)</f>
        <v/>
      </c>
      <c r="N845" s="19" t="str">
        <f>IF('Supplier selection'!N845="","",'Supplier selection'!N845)</f>
        <v/>
      </c>
      <c r="O845" s="19" t="str">
        <f>IF('Supplier selection'!O845="","",'Supplier selection'!O845)</f>
        <v/>
      </c>
      <c r="Q845" s="19" t="str">
        <f>HLOOKUP($Q$3,'Supplier selection'!$AW$4:'Supplier selection'!$CT$1000,$A846,FALSE)</f>
        <v/>
      </c>
      <c r="R845" s="22" t="str">
        <f t="shared" si="143"/>
        <v/>
      </c>
      <c r="S845" s="19" t="str">
        <f t="shared" si="144"/>
        <v/>
      </c>
      <c r="T845" s="22" t="str">
        <f t="shared" si="145"/>
        <v/>
      </c>
      <c r="U845" s="19" t="str">
        <f t="shared" si="146"/>
        <v/>
      </c>
      <c r="V845" s="7"/>
      <c r="Y845" s="19" t="str">
        <f>IF('Supplier selection'!AQ845="","",'Supplier selection'!AQ845)</f>
        <v/>
      </c>
      <c r="Z845" s="19" t="str">
        <f>IF('Supplier selection'!AR845="","",'Supplier selection'!AR845)</f>
        <v/>
      </c>
      <c r="AA845" s="19" t="str">
        <f t="shared" si="147"/>
        <v/>
      </c>
      <c r="AD845" s="26" t="str">
        <f>IF(AND('Supplier selection'!X845="",'Supplier selection'!AE845=""),"",IF('Supplier selection'!X845="",'Supplier selection'!AE845,'Supplier selection'!X845))</f>
        <v/>
      </c>
      <c r="AE845" s="19" t="str">
        <f t="shared" si="148"/>
        <v/>
      </c>
      <c r="AF845" s="19" t="str">
        <f t="shared" si="149"/>
        <v/>
      </c>
      <c r="AG845" s="27" t="str">
        <f>IF(AND('Supplier selection'!AB845="",'Supplier selection'!AI845=""),"",IF('Supplier selection'!AB845="",'Supplier selection'!AI845,'Supplier selection'!AB845))</f>
        <v/>
      </c>
      <c r="AH845" s="28" t="str">
        <f t="shared" si="150"/>
        <v/>
      </c>
      <c r="AI845" s="7" t="str">
        <f t="shared" si="151"/>
        <v/>
      </c>
      <c r="AJ845" s="22" t="str">
        <f t="shared" si="152"/>
        <v/>
      </c>
      <c r="AK845" s="29" t="str">
        <f t="shared" si="153"/>
        <v/>
      </c>
      <c r="AL845" s="10"/>
    </row>
    <row r="846" spans="1:38">
      <c r="A846" s="19">
        <f>IF('Supplier selection'!A846="","",'Supplier selection'!A846)</f>
        <v>842</v>
      </c>
      <c r="B846" s="19" t="str">
        <f>IF('Supplier selection'!B846="","",'Supplier selection'!B846)</f>
        <v/>
      </c>
      <c r="C846" s="19" t="str">
        <f>IF('Supplier selection'!C846="","",'Supplier selection'!C846)</f>
        <v/>
      </c>
      <c r="D846" s="19" t="str">
        <f>IF('Supplier selection'!D846="","",'Supplier selection'!D846)</f>
        <v/>
      </c>
      <c r="E846" s="19" t="str">
        <f>IF('Supplier selection'!E846="","",'Supplier selection'!E846)</f>
        <v/>
      </c>
      <c r="F846" s="19" t="str">
        <f>IF('Supplier selection'!F846="","",'Supplier selection'!F846)</f>
        <v/>
      </c>
      <c r="G846" s="19" t="str">
        <f>IF('Supplier selection'!G846="","",'Supplier selection'!G846)</f>
        <v/>
      </c>
      <c r="H846" s="19" t="str">
        <f>IF('Supplier selection'!H846="","",'Supplier selection'!H846)</f>
        <v/>
      </c>
      <c r="I846" s="19" t="str">
        <f>IF('Supplier selection'!I846="","",'Supplier selection'!I846)</f>
        <v/>
      </c>
      <c r="J846" s="19" t="str">
        <f>IF('Supplier selection'!J846="","",'Supplier selection'!J846)</f>
        <v/>
      </c>
      <c r="K846" s="19" t="str">
        <f>IF('Supplier selection'!K846="","",'Supplier selection'!K846)</f>
        <v/>
      </c>
      <c r="L846" s="19" t="str">
        <f>IF('Supplier selection'!L846="","",'Supplier selection'!L846)</f>
        <v/>
      </c>
      <c r="M846" s="19" t="str">
        <f>IF('Supplier selection'!M846="","",'Supplier selection'!M846)</f>
        <v/>
      </c>
      <c r="N846" s="19" t="str">
        <f>IF('Supplier selection'!N846="","",'Supplier selection'!N846)</f>
        <v/>
      </c>
      <c r="O846" s="19" t="str">
        <f>IF('Supplier selection'!O846="","",'Supplier selection'!O846)</f>
        <v/>
      </c>
      <c r="Q846" s="19" t="str">
        <f>HLOOKUP($Q$3,'Supplier selection'!$AW$4:'Supplier selection'!$CT$1000,$A847,FALSE)</f>
        <v/>
      </c>
      <c r="R846" s="22" t="str">
        <f t="shared" si="143"/>
        <v/>
      </c>
      <c r="S846" s="19" t="str">
        <f t="shared" si="144"/>
        <v/>
      </c>
      <c r="T846" s="22" t="str">
        <f t="shared" si="145"/>
        <v/>
      </c>
      <c r="U846" s="19" t="str">
        <f t="shared" si="146"/>
        <v/>
      </c>
      <c r="V846" s="7"/>
      <c r="Y846" s="19" t="str">
        <f>IF('Supplier selection'!AQ846="","",'Supplier selection'!AQ846)</f>
        <v/>
      </c>
      <c r="Z846" s="19" t="str">
        <f>IF('Supplier selection'!AR846="","",'Supplier selection'!AR846)</f>
        <v/>
      </c>
      <c r="AA846" s="19" t="str">
        <f t="shared" si="147"/>
        <v/>
      </c>
      <c r="AD846" s="26" t="str">
        <f>IF(AND('Supplier selection'!X846="",'Supplier selection'!AE846=""),"",IF('Supplier selection'!X846="",'Supplier selection'!AE846,'Supplier selection'!X846))</f>
        <v/>
      </c>
      <c r="AE846" s="19" t="str">
        <f t="shared" si="148"/>
        <v/>
      </c>
      <c r="AF846" s="19" t="str">
        <f t="shared" si="149"/>
        <v/>
      </c>
      <c r="AG846" s="27" t="str">
        <f>IF(AND('Supplier selection'!AB846="",'Supplier selection'!AI846=""),"",IF('Supplier selection'!AB846="",'Supplier selection'!AI846,'Supplier selection'!AB846))</f>
        <v/>
      </c>
      <c r="AH846" s="28" t="str">
        <f t="shared" si="150"/>
        <v/>
      </c>
      <c r="AI846" s="7" t="str">
        <f t="shared" si="151"/>
        <v/>
      </c>
      <c r="AJ846" s="22" t="str">
        <f t="shared" si="152"/>
        <v/>
      </c>
      <c r="AK846" s="29" t="str">
        <f t="shared" si="153"/>
        <v/>
      </c>
      <c r="AL846" s="10"/>
    </row>
    <row r="847" spans="1:38">
      <c r="A847" s="19">
        <f>IF('Supplier selection'!A847="","",'Supplier selection'!A847)</f>
        <v>843</v>
      </c>
      <c r="B847" s="19" t="str">
        <f>IF('Supplier selection'!B847="","",'Supplier selection'!B847)</f>
        <v/>
      </c>
      <c r="C847" s="19" t="str">
        <f>IF('Supplier selection'!C847="","",'Supplier selection'!C847)</f>
        <v/>
      </c>
      <c r="D847" s="19" t="str">
        <f>IF('Supplier selection'!D847="","",'Supplier selection'!D847)</f>
        <v/>
      </c>
      <c r="E847" s="19" t="str">
        <f>IF('Supplier selection'!E847="","",'Supplier selection'!E847)</f>
        <v/>
      </c>
      <c r="F847" s="19" t="str">
        <f>IF('Supplier selection'!F847="","",'Supplier selection'!F847)</f>
        <v/>
      </c>
      <c r="G847" s="19" t="str">
        <f>IF('Supplier selection'!G847="","",'Supplier selection'!G847)</f>
        <v/>
      </c>
      <c r="H847" s="19" t="str">
        <f>IF('Supplier selection'!H847="","",'Supplier selection'!H847)</f>
        <v/>
      </c>
      <c r="I847" s="19" t="str">
        <f>IF('Supplier selection'!I847="","",'Supplier selection'!I847)</f>
        <v/>
      </c>
      <c r="J847" s="19" t="str">
        <f>IF('Supplier selection'!J847="","",'Supplier selection'!J847)</f>
        <v/>
      </c>
      <c r="K847" s="19" t="str">
        <f>IF('Supplier selection'!K847="","",'Supplier selection'!K847)</f>
        <v/>
      </c>
      <c r="L847" s="19" t="str">
        <f>IF('Supplier selection'!L847="","",'Supplier selection'!L847)</f>
        <v/>
      </c>
      <c r="M847" s="19" t="str">
        <f>IF('Supplier selection'!M847="","",'Supplier selection'!M847)</f>
        <v/>
      </c>
      <c r="N847" s="19" t="str">
        <f>IF('Supplier selection'!N847="","",'Supplier selection'!N847)</f>
        <v/>
      </c>
      <c r="O847" s="19" t="str">
        <f>IF('Supplier selection'!O847="","",'Supplier selection'!O847)</f>
        <v/>
      </c>
      <c r="Q847" s="19" t="str">
        <f>HLOOKUP($Q$3,'Supplier selection'!$AW$4:'Supplier selection'!$CT$1000,$A848,FALSE)</f>
        <v/>
      </c>
      <c r="R847" s="22" t="str">
        <f t="shared" si="143"/>
        <v/>
      </c>
      <c r="S847" s="19" t="str">
        <f t="shared" si="144"/>
        <v/>
      </c>
      <c r="T847" s="22" t="str">
        <f t="shared" si="145"/>
        <v/>
      </c>
      <c r="U847" s="19" t="str">
        <f t="shared" si="146"/>
        <v/>
      </c>
      <c r="V847" s="7"/>
      <c r="Y847" s="19" t="str">
        <f>IF('Supplier selection'!AQ847="","",'Supplier selection'!AQ847)</f>
        <v/>
      </c>
      <c r="Z847" s="19" t="str">
        <f>IF('Supplier selection'!AR847="","",'Supplier selection'!AR847)</f>
        <v/>
      </c>
      <c r="AA847" s="19" t="str">
        <f t="shared" si="147"/>
        <v/>
      </c>
      <c r="AD847" s="26" t="str">
        <f>IF(AND('Supplier selection'!X847="",'Supplier selection'!AE847=""),"",IF('Supplier selection'!X847="",'Supplier selection'!AE847,'Supplier selection'!X847))</f>
        <v/>
      </c>
      <c r="AE847" s="19" t="str">
        <f t="shared" si="148"/>
        <v/>
      </c>
      <c r="AF847" s="19" t="str">
        <f t="shared" si="149"/>
        <v/>
      </c>
      <c r="AG847" s="27" t="str">
        <f>IF(AND('Supplier selection'!AB847="",'Supplier selection'!AI847=""),"",IF('Supplier selection'!AB847="",'Supplier selection'!AI847,'Supplier selection'!AB847))</f>
        <v/>
      </c>
      <c r="AH847" s="28" t="str">
        <f t="shared" si="150"/>
        <v/>
      </c>
      <c r="AI847" s="7" t="str">
        <f t="shared" si="151"/>
        <v/>
      </c>
      <c r="AJ847" s="22" t="str">
        <f t="shared" si="152"/>
        <v/>
      </c>
      <c r="AK847" s="29" t="str">
        <f t="shared" si="153"/>
        <v/>
      </c>
      <c r="AL847" s="10"/>
    </row>
    <row r="848" spans="1:38">
      <c r="A848" s="19">
        <f>IF('Supplier selection'!A848="","",'Supplier selection'!A848)</f>
        <v>844</v>
      </c>
      <c r="B848" s="19" t="str">
        <f>IF('Supplier selection'!B848="","",'Supplier selection'!B848)</f>
        <v/>
      </c>
      <c r="C848" s="19" t="str">
        <f>IF('Supplier selection'!C848="","",'Supplier selection'!C848)</f>
        <v/>
      </c>
      <c r="D848" s="19" t="str">
        <f>IF('Supplier selection'!D848="","",'Supplier selection'!D848)</f>
        <v/>
      </c>
      <c r="E848" s="19" t="str">
        <f>IF('Supplier selection'!E848="","",'Supplier selection'!E848)</f>
        <v/>
      </c>
      <c r="F848" s="19" t="str">
        <f>IF('Supplier selection'!F848="","",'Supplier selection'!F848)</f>
        <v/>
      </c>
      <c r="G848" s="19" t="str">
        <f>IF('Supplier selection'!G848="","",'Supplier selection'!G848)</f>
        <v/>
      </c>
      <c r="H848" s="19" t="str">
        <f>IF('Supplier selection'!H848="","",'Supplier selection'!H848)</f>
        <v/>
      </c>
      <c r="I848" s="19" t="str">
        <f>IF('Supplier selection'!I848="","",'Supplier selection'!I848)</f>
        <v/>
      </c>
      <c r="J848" s="19" t="str">
        <f>IF('Supplier selection'!J848="","",'Supplier selection'!J848)</f>
        <v/>
      </c>
      <c r="K848" s="19" t="str">
        <f>IF('Supplier selection'!K848="","",'Supplier selection'!K848)</f>
        <v/>
      </c>
      <c r="L848" s="19" t="str">
        <f>IF('Supplier selection'!L848="","",'Supplier selection'!L848)</f>
        <v/>
      </c>
      <c r="M848" s="19" t="str">
        <f>IF('Supplier selection'!M848="","",'Supplier selection'!M848)</f>
        <v/>
      </c>
      <c r="N848" s="19" t="str">
        <f>IF('Supplier selection'!N848="","",'Supplier selection'!N848)</f>
        <v/>
      </c>
      <c r="O848" s="19" t="str">
        <f>IF('Supplier selection'!O848="","",'Supplier selection'!O848)</f>
        <v/>
      </c>
      <c r="Q848" s="19" t="str">
        <f>HLOOKUP($Q$3,'Supplier selection'!$AW$4:'Supplier selection'!$CT$1000,$A849,FALSE)</f>
        <v/>
      </c>
      <c r="R848" s="22" t="str">
        <f t="shared" si="143"/>
        <v/>
      </c>
      <c r="S848" s="19" t="str">
        <f t="shared" si="144"/>
        <v/>
      </c>
      <c r="T848" s="22" t="str">
        <f t="shared" si="145"/>
        <v/>
      </c>
      <c r="U848" s="19" t="str">
        <f t="shared" si="146"/>
        <v/>
      </c>
      <c r="V848" s="7"/>
      <c r="Y848" s="19" t="str">
        <f>IF('Supplier selection'!AQ848="","",'Supplier selection'!AQ848)</f>
        <v/>
      </c>
      <c r="Z848" s="19" t="str">
        <f>IF('Supplier selection'!AR848="","",'Supplier selection'!AR848)</f>
        <v/>
      </c>
      <c r="AA848" s="19" t="str">
        <f t="shared" si="147"/>
        <v/>
      </c>
      <c r="AD848" s="26" t="str">
        <f>IF(AND('Supplier selection'!X848="",'Supplier selection'!AE848=""),"",IF('Supplier selection'!X848="",'Supplier selection'!AE848,'Supplier selection'!X848))</f>
        <v/>
      </c>
      <c r="AE848" s="19" t="str">
        <f t="shared" si="148"/>
        <v/>
      </c>
      <c r="AF848" s="19" t="str">
        <f t="shared" si="149"/>
        <v/>
      </c>
      <c r="AG848" s="27" t="str">
        <f>IF(AND('Supplier selection'!AB848="",'Supplier selection'!AI848=""),"",IF('Supplier selection'!AB848="",'Supplier selection'!AI848,'Supplier selection'!AB848))</f>
        <v/>
      </c>
      <c r="AH848" s="28" t="str">
        <f t="shared" si="150"/>
        <v/>
      </c>
      <c r="AI848" s="7" t="str">
        <f t="shared" si="151"/>
        <v/>
      </c>
      <c r="AJ848" s="22" t="str">
        <f t="shared" si="152"/>
        <v/>
      </c>
      <c r="AK848" s="29" t="str">
        <f t="shared" si="153"/>
        <v/>
      </c>
      <c r="AL848" s="10"/>
    </row>
    <row r="849" spans="1:38">
      <c r="A849" s="19">
        <f>IF('Supplier selection'!A849="","",'Supplier selection'!A849)</f>
        <v>845</v>
      </c>
      <c r="B849" s="19" t="str">
        <f>IF('Supplier selection'!B849="","",'Supplier selection'!B849)</f>
        <v/>
      </c>
      <c r="C849" s="19" t="str">
        <f>IF('Supplier selection'!C849="","",'Supplier selection'!C849)</f>
        <v/>
      </c>
      <c r="D849" s="19" t="str">
        <f>IF('Supplier selection'!D849="","",'Supplier selection'!D849)</f>
        <v/>
      </c>
      <c r="E849" s="19" t="str">
        <f>IF('Supplier selection'!E849="","",'Supplier selection'!E849)</f>
        <v/>
      </c>
      <c r="F849" s="19" t="str">
        <f>IF('Supplier selection'!F849="","",'Supplier selection'!F849)</f>
        <v/>
      </c>
      <c r="G849" s="19" t="str">
        <f>IF('Supplier selection'!G849="","",'Supplier selection'!G849)</f>
        <v/>
      </c>
      <c r="H849" s="19" t="str">
        <f>IF('Supplier selection'!H849="","",'Supplier selection'!H849)</f>
        <v/>
      </c>
      <c r="I849" s="19" t="str">
        <f>IF('Supplier selection'!I849="","",'Supplier selection'!I849)</f>
        <v/>
      </c>
      <c r="J849" s="19" t="str">
        <f>IF('Supplier selection'!J849="","",'Supplier selection'!J849)</f>
        <v/>
      </c>
      <c r="K849" s="19" t="str">
        <f>IF('Supplier selection'!K849="","",'Supplier selection'!K849)</f>
        <v/>
      </c>
      <c r="L849" s="19" t="str">
        <f>IF('Supplier selection'!L849="","",'Supplier selection'!L849)</f>
        <v/>
      </c>
      <c r="M849" s="19" t="str">
        <f>IF('Supplier selection'!M849="","",'Supplier selection'!M849)</f>
        <v/>
      </c>
      <c r="N849" s="19" t="str">
        <f>IF('Supplier selection'!N849="","",'Supplier selection'!N849)</f>
        <v/>
      </c>
      <c r="O849" s="19" t="str">
        <f>IF('Supplier selection'!O849="","",'Supplier selection'!O849)</f>
        <v/>
      </c>
      <c r="Q849" s="19" t="str">
        <f>HLOOKUP($Q$3,'Supplier selection'!$AW$4:'Supplier selection'!$CT$1000,$A850,FALSE)</f>
        <v/>
      </c>
      <c r="R849" s="22" t="str">
        <f t="shared" si="143"/>
        <v/>
      </c>
      <c r="S849" s="19" t="str">
        <f t="shared" si="144"/>
        <v/>
      </c>
      <c r="T849" s="22" t="str">
        <f t="shared" si="145"/>
        <v/>
      </c>
      <c r="U849" s="19" t="str">
        <f t="shared" si="146"/>
        <v/>
      </c>
      <c r="V849" s="7"/>
      <c r="Y849" s="19" t="str">
        <f>IF('Supplier selection'!AQ849="","",'Supplier selection'!AQ849)</f>
        <v/>
      </c>
      <c r="Z849" s="19" t="str">
        <f>IF('Supplier selection'!AR849="","",'Supplier selection'!AR849)</f>
        <v/>
      </c>
      <c r="AA849" s="19" t="str">
        <f t="shared" si="147"/>
        <v/>
      </c>
      <c r="AD849" s="26" t="str">
        <f>IF(AND('Supplier selection'!X849="",'Supplier selection'!AE849=""),"",IF('Supplier selection'!X849="",'Supplier selection'!AE849,'Supplier selection'!X849))</f>
        <v/>
      </c>
      <c r="AE849" s="19" t="str">
        <f t="shared" si="148"/>
        <v/>
      </c>
      <c r="AF849" s="19" t="str">
        <f t="shared" si="149"/>
        <v/>
      </c>
      <c r="AG849" s="27" t="str">
        <f>IF(AND('Supplier selection'!AB849="",'Supplier selection'!AI849=""),"",IF('Supplier selection'!AB849="",'Supplier selection'!AI849,'Supplier selection'!AB849))</f>
        <v/>
      </c>
      <c r="AH849" s="28" t="str">
        <f t="shared" si="150"/>
        <v/>
      </c>
      <c r="AI849" s="7" t="str">
        <f t="shared" si="151"/>
        <v/>
      </c>
      <c r="AJ849" s="22" t="str">
        <f t="shared" si="152"/>
        <v/>
      </c>
      <c r="AK849" s="29" t="str">
        <f t="shared" si="153"/>
        <v/>
      </c>
      <c r="AL849" s="10"/>
    </row>
    <row r="850" spans="1:38">
      <c r="A850" s="19">
        <f>IF('Supplier selection'!A850="","",'Supplier selection'!A850)</f>
        <v>846</v>
      </c>
      <c r="B850" s="19" t="str">
        <f>IF('Supplier selection'!B850="","",'Supplier selection'!B850)</f>
        <v/>
      </c>
      <c r="C850" s="19" t="str">
        <f>IF('Supplier selection'!C850="","",'Supplier selection'!C850)</f>
        <v/>
      </c>
      <c r="D850" s="19" t="str">
        <f>IF('Supplier selection'!D850="","",'Supplier selection'!D850)</f>
        <v/>
      </c>
      <c r="E850" s="19" t="str">
        <f>IF('Supplier selection'!E850="","",'Supplier selection'!E850)</f>
        <v/>
      </c>
      <c r="F850" s="19" t="str">
        <f>IF('Supplier selection'!F850="","",'Supplier selection'!F850)</f>
        <v/>
      </c>
      <c r="G850" s="19" t="str">
        <f>IF('Supplier selection'!G850="","",'Supplier selection'!G850)</f>
        <v/>
      </c>
      <c r="H850" s="19" t="str">
        <f>IF('Supplier selection'!H850="","",'Supplier selection'!H850)</f>
        <v/>
      </c>
      <c r="I850" s="19" t="str">
        <f>IF('Supplier selection'!I850="","",'Supplier selection'!I850)</f>
        <v/>
      </c>
      <c r="J850" s="19" t="str">
        <f>IF('Supplier selection'!J850="","",'Supplier selection'!J850)</f>
        <v/>
      </c>
      <c r="K850" s="19" t="str">
        <f>IF('Supplier selection'!K850="","",'Supplier selection'!K850)</f>
        <v/>
      </c>
      <c r="L850" s="19" t="str">
        <f>IF('Supplier selection'!L850="","",'Supplier selection'!L850)</f>
        <v/>
      </c>
      <c r="M850" s="19" t="str">
        <f>IF('Supplier selection'!M850="","",'Supplier selection'!M850)</f>
        <v/>
      </c>
      <c r="N850" s="19" t="str">
        <f>IF('Supplier selection'!N850="","",'Supplier selection'!N850)</f>
        <v/>
      </c>
      <c r="O850" s="19" t="str">
        <f>IF('Supplier selection'!O850="","",'Supplier selection'!O850)</f>
        <v/>
      </c>
      <c r="Q850" s="19" t="str">
        <f>HLOOKUP($Q$3,'Supplier selection'!$AW$4:'Supplier selection'!$CT$1000,$A851,FALSE)</f>
        <v/>
      </c>
      <c r="R850" s="22" t="str">
        <f t="shared" si="143"/>
        <v/>
      </c>
      <c r="S850" s="19" t="str">
        <f t="shared" si="144"/>
        <v/>
      </c>
      <c r="T850" s="22" t="str">
        <f t="shared" si="145"/>
        <v/>
      </c>
      <c r="U850" s="19" t="str">
        <f t="shared" si="146"/>
        <v/>
      </c>
      <c r="V850" s="7"/>
      <c r="Y850" s="19" t="str">
        <f>IF('Supplier selection'!AQ850="","",'Supplier selection'!AQ850)</f>
        <v/>
      </c>
      <c r="Z850" s="19" t="str">
        <f>IF('Supplier selection'!AR850="","",'Supplier selection'!AR850)</f>
        <v/>
      </c>
      <c r="AA850" s="19" t="str">
        <f t="shared" si="147"/>
        <v/>
      </c>
      <c r="AD850" s="26" t="str">
        <f>IF(AND('Supplier selection'!X850="",'Supplier selection'!AE850=""),"",IF('Supplier selection'!X850="",'Supplier selection'!AE850,'Supplier selection'!X850))</f>
        <v/>
      </c>
      <c r="AE850" s="19" t="str">
        <f t="shared" si="148"/>
        <v/>
      </c>
      <c r="AF850" s="19" t="str">
        <f t="shared" si="149"/>
        <v/>
      </c>
      <c r="AG850" s="27" t="str">
        <f>IF(AND('Supplier selection'!AB850="",'Supplier selection'!AI850=""),"",IF('Supplier selection'!AB850="",'Supplier selection'!AI850,'Supplier selection'!AB850))</f>
        <v/>
      </c>
      <c r="AH850" s="28" t="str">
        <f t="shared" si="150"/>
        <v/>
      </c>
      <c r="AI850" s="7" t="str">
        <f t="shared" si="151"/>
        <v/>
      </c>
      <c r="AJ850" s="22" t="str">
        <f t="shared" si="152"/>
        <v/>
      </c>
      <c r="AK850" s="29" t="str">
        <f t="shared" si="153"/>
        <v/>
      </c>
      <c r="AL850" s="10"/>
    </row>
    <row r="851" spans="1:38">
      <c r="A851" s="19">
        <f>IF('Supplier selection'!A851="","",'Supplier selection'!A851)</f>
        <v>847</v>
      </c>
      <c r="B851" s="19" t="str">
        <f>IF('Supplier selection'!B851="","",'Supplier selection'!B851)</f>
        <v/>
      </c>
      <c r="C851" s="19" t="str">
        <f>IF('Supplier selection'!C851="","",'Supplier selection'!C851)</f>
        <v/>
      </c>
      <c r="D851" s="19" t="str">
        <f>IF('Supplier selection'!D851="","",'Supplier selection'!D851)</f>
        <v/>
      </c>
      <c r="E851" s="19" t="str">
        <f>IF('Supplier selection'!E851="","",'Supplier selection'!E851)</f>
        <v/>
      </c>
      <c r="F851" s="19" t="str">
        <f>IF('Supplier selection'!F851="","",'Supplier selection'!F851)</f>
        <v/>
      </c>
      <c r="G851" s="19" t="str">
        <f>IF('Supplier selection'!G851="","",'Supplier selection'!G851)</f>
        <v/>
      </c>
      <c r="H851" s="19" t="str">
        <f>IF('Supplier selection'!H851="","",'Supplier selection'!H851)</f>
        <v/>
      </c>
      <c r="I851" s="19" t="str">
        <f>IF('Supplier selection'!I851="","",'Supplier selection'!I851)</f>
        <v/>
      </c>
      <c r="J851" s="19" t="str">
        <f>IF('Supplier selection'!J851="","",'Supplier selection'!J851)</f>
        <v/>
      </c>
      <c r="K851" s="19" t="str">
        <f>IF('Supplier selection'!K851="","",'Supplier selection'!K851)</f>
        <v/>
      </c>
      <c r="L851" s="19" t="str">
        <f>IF('Supplier selection'!L851="","",'Supplier selection'!L851)</f>
        <v/>
      </c>
      <c r="M851" s="19" t="str">
        <f>IF('Supplier selection'!M851="","",'Supplier selection'!M851)</f>
        <v/>
      </c>
      <c r="N851" s="19" t="str">
        <f>IF('Supplier selection'!N851="","",'Supplier selection'!N851)</f>
        <v/>
      </c>
      <c r="O851" s="19" t="str">
        <f>IF('Supplier selection'!O851="","",'Supplier selection'!O851)</f>
        <v/>
      </c>
      <c r="Q851" s="19" t="str">
        <f>HLOOKUP($Q$3,'Supplier selection'!$AW$4:'Supplier selection'!$CT$1000,$A852,FALSE)</f>
        <v/>
      </c>
      <c r="R851" s="22" t="str">
        <f t="shared" si="143"/>
        <v/>
      </c>
      <c r="S851" s="19" t="str">
        <f t="shared" si="144"/>
        <v/>
      </c>
      <c r="T851" s="22" t="str">
        <f t="shared" si="145"/>
        <v/>
      </c>
      <c r="U851" s="19" t="str">
        <f t="shared" si="146"/>
        <v/>
      </c>
      <c r="V851" s="7"/>
      <c r="Y851" s="19" t="str">
        <f>IF('Supplier selection'!AQ851="","",'Supplier selection'!AQ851)</f>
        <v/>
      </c>
      <c r="Z851" s="19" t="str">
        <f>IF('Supplier selection'!AR851="","",'Supplier selection'!AR851)</f>
        <v/>
      </c>
      <c r="AA851" s="19" t="str">
        <f t="shared" si="147"/>
        <v/>
      </c>
      <c r="AD851" s="26" t="str">
        <f>IF(AND('Supplier selection'!X851="",'Supplier selection'!AE851=""),"",IF('Supplier selection'!X851="",'Supplier selection'!AE851,'Supplier selection'!X851))</f>
        <v/>
      </c>
      <c r="AE851" s="19" t="str">
        <f t="shared" si="148"/>
        <v/>
      </c>
      <c r="AF851" s="19" t="str">
        <f t="shared" si="149"/>
        <v/>
      </c>
      <c r="AG851" s="27" t="str">
        <f>IF(AND('Supplier selection'!AB851="",'Supplier selection'!AI851=""),"",IF('Supplier selection'!AB851="",'Supplier selection'!AI851,'Supplier selection'!AB851))</f>
        <v/>
      </c>
      <c r="AH851" s="28" t="str">
        <f t="shared" si="150"/>
        <v/>
      </c>
      <c r="AI851" s="7" t="str">
        <f t="shared" si="151"/>
        <v/>
      </c>
      <c r="AJ851" s="22" t="str">
        <f t="shared" si="152"/>
        <v/>
      </c>
      <c r="AK851" s="29" t="str">
        <f t="shared" si="153"/>
        <v/>
      </c>
      <c r="AL851" s="10"/>
    </row>
    <row r="852" spans="1:38">
      <c r="A852" s="19">
        <f>IF('Supplier selection'!A852="","",'Supplier selection'!A852)</f>
        <v>848</v>
      </c>
      <c r="B852" s="19" t="str">
        <f>IF('Supplier selection'!B852="","",'Supplier selection'!B852)</f>
        <v/>
      </c>
      <c r="C852" s="19" t="str">
        <f>IF('Supplier selection'!C852="","",'Supplier selection'!C852)</f>
        <v/>
      </c>
      <c r="D852" s="19" t="str">
        <f>IF('Supplier selection'!D852="","",'Supplier selection'!D852)</f>
        <v/>
      </c>
      <c r="E852" s="19" t="str">
        <f>IF('Supplier selection'!E852="","",'Supplier selection'!E852)</f>
        <v/>
      </c>
      <c r="F852" s="19" t="str">
        <f>IF('Supplier selection'!F852="","",'Supplier selection'!F852)</f>
        <v/>
      </c>
      <c r="G852" s="19" t="str">
        <f>IF('Supplier selection'!G852="","",'Supplier selection'!G852)</f>
        <v/>
      </c>
      <c r="H852" s="19" t="str">
        <f>IF('Supplier selection'!H852="","",'Supplier selection'!H852)</f>
        <v/>
      </c>
      <c r="I852" s="19" t="str">
        <f>IF('Supplier selection'!I852="","",'Supplier selection'!I852)</f>
        <v/>
      </c>
      <c r="J852" s="19" t="str">
        <f>IF('Supplier selection'!J852="","",'Supplier selection'!J852)</f>
        <v/>
      </c>
      <c r="K852" s="19" t="str">
        <f>IF('Supplier selection'!K852="","",'Supplier selection'!K852)</f>
        <v/>
      </c>
      <c r="L852" s="19" t="str">
        <f>IF('Supplier selection'!L852="","",'Supplier selection'!L852)</f>
        <v/>
      </c>
      <c r="M852" s="19" t="str">
        <f>IF('Supplier selection'!M852="","",'Supplier selection'!M852)</f>
        <v/>
      </c>
      <c r="N852" s="19" t="str">
        <f>IF('Supplier selection'!N852="","",'Supplier selection'!N852)</f>
        <v/>
      </c>
      <c r="O852" s="19" t="str">
        <f>IF('Supplier selection'!O852="","",'Supplier selection'!O852)</f>
        <v/>
      </c>
      <c r="Q852" s="19" t="str">
        <f>HLOOKUP($Q$3,'Supplier selection'!$AW$4:'Supplier selection'!$CT$1000,$A853,FALSE)</f>
        <v/>
      </c>
      <c r="R852" s="22" t="str">
        <f t="shared" si="143"/>
        <v/>
      </c>
      <c r="S852" s="19" t="str">
        <f t="shared" si="144"/>
        <v/>
      </c>
      <c r="T852" s="22" t="str">
        <f t="shared" si="145"/>
        <v/>
      </c>
      <c r="U852" s="19" t="str">
        <f t="shared" si="146"/>
        <v/>
      </c>
      <c r="V852" s="7"/>
      <c r="Y852" s="19" t="str">
        <f>IF('Supplier selection'!AQ852="","",'Supplier selection'!AQ852)</f>
        <v/>
      </c>
      <c r="Z852" s="19" t="str">
        <f>IF('Supplier selection'!AR852="","",'Supplier selection'!AR852)</f>
        <v/>
      </c>
      <c r="AA852" s="19" t="str">
        <f t="shared" si="147"/>
        <v/>
      </c>
      <c r="AD852" s="26" t="str">
        <f>IF(AND('Supplier selection'!X852="",'Supplier selection'!AE852=""),"",IF('Supplier selection'!X852="",'Supplier selection'!AE852,'Supplier selection'!X852))</f>
        <v/>
      </c>
      <c r="AE852" s="19" t="str">
        <f t="shared" si="148"/>
        <v/>
      </c>
      <c r="AF852" s="19" t="str">
        <f t="shared" si="149"/>
        <v/>
      </c>
      <c r="AG852" s="27" t="str">
        <f>IF(AND('Supplier selection'!AB852="",'Supplier selection'!AI852=""),"",IF('Supplier selection'!AB852="",'Supplier selection'!AI852,'Supplier selection'!AB852))</f>
        <v/>
      </c>
      <c r="AH852" s="28" t="str">
        <f t="shared" si="150"/>
        <v/>
      </c>
      <c r="AI852" s="7" t="str">
        <f t="shared" si="151"/>
        <v/>
      </c>
      <c r="AJ852" s="22" t="str">
        <f t="shared" si="152"/>
        <v/>
      </c>
      <c r="AK852" s="29" t="str">
        <f t="shared" si="153"/>
        <v/>
      </c>
      <c r="AL852" s="10"/>
    </row>
    <row r="853" spans="1:38">
      <c r="A853" s="19">
        <f>IF('Supplier selection'!A853="","",'Supplier selection'!A853)</f>
        <v>849</v>
      </c>
      <c r="B853" s="19" t="str">
        <f>IF('Supplier selection'!B853="","",'Supplier selection'!B853)</f>
        <v/>
      </c>
      <c r="C853" s="19" t="str">
        <f>IF('Supplier selection'!C853="","",'Supplier selection'!C853)</f>
        <v/>
      </c>
      <c r="D853" s="19" t="str">
        <f>IF('Supplier selection'!D853="","",'Supplier selection'!D853)</f>
        <v/>
      </c>
      <c r="E853" s="19" t="str">
        <f>IF('Supplier selection'!E853="","",'Supplier selection'!E853)</f>
        <v/>
      </c>
      <c r="F853" s="19" t="str">
        <f>IF('Supplier selection'!F853="","",'Supplier selection'!F853)</f>
        <v/>
      </c>
      <c r="G853" s="19" t="str">
        <f>IF('Supplier selection'!G853="","",'Supplier selection'!G853)</f>
        <v/>
      </c>
      <c r="H853" s="19" t="str">
        <f>IF('Supplier selection'!H853="","",'Supplier selection'!H853)</f>
        <v/>
      </c>
      <c r="I853" s="19" t="str">
        <f>IF('Supplier selection'!I853="","",'Supplier selection'!I853)</f>
        <v/>
      </c>
      <c r="J853" s="19" t="str">
        <f>IF('Supplier selection'!J853="","",'Supplier selection'!J853)</f>
        <v/>
      </c>
      <c r="K853" s="19" t="str">
        <f>IF('Supplier selection'!K853="","",'Supplier selection'!K853)</f>
        <v/>
      </c>
      <c r="L853" s="19" t="str">
        <f>IF('Supplier selection'!L853="","",'Supplier selection'!L853)</f>
        <v/>
      </c>
      <c r="M853" s="19" t="str">
        <f>IF('Supplier selection'!M853="","",'Supplier selection'!M853)</f>
        <v/>
      </c>
      <c r="N853" s="19" t="str">
        <f>IF('Supplier selection'!N853="","",'Supplier selection'!N853)</f>
        <v/>
      </c>
      <c r="O853" s="19" t="str">
        <f>IF('Supplier selection'!O853="","",'Supplier selection'!O853)</f>
        <v/>
      </c>
      <c r="Q853" s="19" t="str">
        <f>HLOOKUP($Q$3,'Supplier selection'!$AW$4:'Supplier selection'!$CT$1000,$A854,FALSE)</f>
        <v/>
      </c>
      <c r="R853" s="22" t="str">
        <f t="shared" si="143"/>
        <v/>
      </c>
      <c r="S853" s="19" t="str">
        <f t="shared" si="144"/>
        <v/>
      </c>
      <c r="T853" s="22" t="str">
        <f t="shared" si="145"/>
        <v/>
      </c>
      <c r="U853" s="19" t="str">
        <f t="shared" si="146"/>
        <v/>
      </c>
      <c r="V853" s="7"/>
      <c r="Y853" s="19" t="str">
        <f>IF('Supplier selection'!AQ853="","",'Supplier selection'!AQ853)</f>
        <v/>
      </c>
      <c r="Z853" s="19" t="str">
        <f>IF('Supplier selection'!AR853="","",'Supplier selection'!AR853)</f>
        <v/>
      </c>
      <c r="AA853" s="19" t="str">
        <f t="shared" si="147"/>
        <v/>
      </c>
      <c r="AD853" s="26" t="str">
        <f>IF(AND('Supplier selection'!X853="",'Supplier selection'!AE853=""),"",IF('Supplier selection'!X853="",'Supplier selection'!AE853,'Supplier selection'!X853))</f>
        <v/>
      </c>
      <c r="AE853" s="19" t="str">
        <f t="shared" si="148"/>
        <v/>
      </c>
      <c r="AF853" s="19" t="str">
        <f t="shared" si="149"/>
        <v/>
      </c>
      <c r="AG853" s="27" t="str">
        <f>IF(AND('Supplier selection'!AB853="",'Supplier selection'!AI853=""),"",IF('Supplier selection'!AB853="",'Supplier selection'!AI853,'Supplier selection'!AB853))</f>
        <v/>
      </c>
      <c r="AH853" s="28" t="str">
        <f t="shared" si="150"/>
        <v/>
      </c>
      <c r="AI853" s="7" t="str">
        <f t="shared" si="151"/>
        <v/>
      </c>
      <c r="AJ853" s="22" t="str">
        <f t="shared" si="152"/>
        <v/>
      </c>
      <c r="AK853" s="29" t="str">
        <f t="shared" si="153"/>
        <v/>
      </c>
      <c r="AL853" s="10"/>
    </row>
    <row r="854" spans="1:38">
      <c r="A854" s="19">
        <f>IF('Supplier selection'!A854="","",'Supplier selection'!A854)</f>
        <v>850</v>
      </c>
      <c r="B854" s="19" t="str">
        <f>IF('Supplier selection'!B854="","",'Supplier selection'!B854)</f>
        <v/>
      </c>
      <c r="C854" s="19" t="str">
        <f>IF('Supplier selection'!C854="","",'Supplier selection'!C854)</f>
        <v/>
      </c>
      <c r="D854" s="19" t="str">
        <f>IF('Supplier selection'!D854="","",'Supplier selection'!D854)</f>
        <v/>
      </c>
      <c r="E854" s="19" t="str">
        <f>IF('Supplier selection'!E854="","",'Supplier selection'!E854)</f>
        <v/>
      </c>
      <c r="F854" s="19" t="str">
        <f>IF('Supplier selection'!F854="","",'Supplier selection'!F854)</f>
        <v/>
      </c>
      <c r="G854" s="19" t="str">
        <f>IF('Supplier selection'!G854="","",'Supplier selection'!G854)</f>
        <v/>
      </c>
      <c r="H854" s="19" t="str">
        <f>IF('Supplier selection'!H854="","",'Supplier selection'!H854)</f>
        <v/>
      </c>
      <c r="I854" s="19" t="str">
        <f>IF('Supplier selection'!I854="","",'Supplier selection'!I854)</f>
        <v/>
      </c>
      <c r="J854" s="19" t="str">
        <f>IF('Supplier selection'!J854="","",'Supplier selection'!J854)</f>
        <v/>
      </c>
      <c r="K854" s="19" t="str">
        <f>IF('Supplier selection'!K854="","",'Supplier selection'!K854)</f>
        <v/>
      </c>
      <c r="L854" s="19" t="str">
        <f>IF('Supplier selection'!L854="","",'Supplier selection'!L854)</f>
        <v/>
      </c>
      <c r="M854" s="19" t="str">
        <f>IF('Supplier selection'!M854="","",'Supplier selection'!M854)</f>
        <v/>
      </c>
      <c r="N854" s="19" t="str">
        <f>IF('Supplier selection'!N854="","",'Supplier selection'!N854)</f>
        <v/>
      </c>
      <c r="O854" s="19" t="str">
        <f>IF('Supplier selection'!O854="","",'Supplier selection'!O854)</f>
        <v/>
      </c>
      <c r="Q854" s="19" t="str">
        <f>HLOOKUP($Q$3,'Supplier selection'!$AW$4:'Supplier selection'!$CT$1000,$A855,FALSE)</f>
        <v/>
      </c>
      <c r="R854" s="22" t="str">
        <f t="shared" si="143"/>
        <v/>
      </c>
      <c r="S854" s="19" t="str">
        <f t="shared" si="144"/>
        <v/>
      </c>
      <c r="T854" s="22" t="str">
        <f t="shared" si="145"/>
        <v/>
      </c>
      <c r="U854" s="19" t="str">
        <f t="shared" si="146"/>
        <v/>
      </c>
      <c r="V854" s="7"/>
      <c r="Y854" s="19" t="str">
        <f>IF('Supplier selection'!AQ854="","",'Supplier selection'!AQ854)</f>
        <v/>
      </c>
      <c r="Z854" s="19" t="str">
        <f>IF('Supplier selection'!AR854="","",'Supplier selection'!AR854)</f>
        <v/>
      </c>
      <c r="AA854" s="19" t="str">
        <f t="shared" si="147"/>
        <v/>
      </c>
      <c r="AD854" s="26" t="str">
        <f>IF(AND('Supplier selection'!X854="",'Supplier selection'!AE854=""),"",IF('Supplier selection'!X854="",'Supplier selection'!AE854,'Supplier selection'!X854))</f>
        <v/>
      </c>
      <c r="AE854" s="19" t="str">
        <f t="shared" si="148"/>
        <v/>
      </c>
      <c r="AF854" s="19" t="str">
        <f t="shared" si="149"/>
        <v/>
      </c>
      <c r="AG854" s="27" t="str">
        <f>IF(AND('Supplier selection'!AB854="",'Supplier selection'!AI854=""),"",IF('Supplier selection'!AB854="",'Supplier selection'!AI854,'Supplier selection'!AB854))</f>
        <v/>
      </c>
      <c r="AH854" s="28" t="str">
        <f t="shared" si="150"/>
        <v/>
      </c>
      <c r="AI854" s="7" t="str">
        <f t="shared" si="151"/>
        <v/>
      </c>
      <c r="AJ854" s="22" t="str">
        <f t="shared" si="152"/>
        <v/>
      </c>
      <c r="AK854" s="29" t="str">
        <f t="shared" si="153"/>
        <v/>
      </c>
      <c r="AL854" s="10"/>
    </row>
    <row r="855" spans="1:38">
      <c r="A855" s="19">
        <f>IF('Supplier selection'!A855="","",'Supplier selection'!A855)</f>
        <v>851</v>
      </c>
      <c r="B855" s="19" t="str">
        <f>IF('Supplier selection'!B855="","",'Supplier selection'!B855)</f>
        <v/>
      </c>
      <c r="C855" s="19" t="str">
        <f>IF('Supplier selection'!C855="","",'Supplier selection'!C855)</f>
        <v/>
      </c>
      <c r="D855" s="19" t="str">
        <f>IF('Supplier selection'!D855="","",'Supplier selection'!D855)</f>
        <v/>
      </c>
      <c r="E855" s="19" t="str">
        <f>IF('Supplier selection'!E855="","",'Supplier selection'!E855)</f>
        <v/>
      </c>
      <c r="F855" s="19" t="str">
        <f>IF('Supplier selection'!F855="","",'Supplier selection'!F855)</f>
        <v/>
      </c>
      <c r="G855" s="19" t="str">
        <f>IF('Supplier selection'!G855="","",'Supplier selection'!G855)</f>
        <v/>
      </c>
      <c r="H855" s="19" t="str">
        <f>IF('Supplier selection'!H855="","",'Supplier selection'!H855)</f>
        <v/>
      </c>
      <c r="I855" s="19" t="str">
        <f>IF('Supplier selection'!I855="","",'Supplier selection'!I855)</f>
        <v/>
      </c>
      <c r="J855" s="19" t="str">
        <f>IF('Supplier selection'!J855="","",'Supplier selection'!J855)</f>
        <v/>
      </c>
      <c r="K855" s="19" t="str">
        <f>IF('Supplier selection'!K855="","",'Supplier selection'!K855)</f>
        <v/>
      </c>
      <c r="L855" s="19" t="str">
        <f>IF('Supplier selection'!L855="","",'Supplier selection'!L855)</f>
        <v/>
      </c>
      <c r="M855" s="19" t="str">
        <f>IF('Supplier selection'!M855="","",'Supplier selection'!M855)</f>
        <v/>
      </c>
      <c r="N855" s="19" t="str">
        <f>IF('Supplier selection'!N855="","",'Supplier selection'!N855)</f>
        <v/>
      </c>
      <c r="O855" s="19" t="str">
        <f>IF('Supplier selection'!O855="","",'Supplier selection'!O855)</f>
        <v/>
      </c>
      <c r="Q855" s="19" t="str">
        <f>HLOOKUP($Q$3,'Supplier selection'!$AW$4:'Supplier selection'!$CT$1000,$A856,FALSE)</f>
        <v/>
      </c>
      <c r="R855" s="22" t="str">
        <f t="shared" si="143"/>
        <v/>
      </c>
      <c r="S855" s="19" t="str">
        <f t="shared" si="144"/>
        <v/>
      </c>
      <c r="T855" s="22" t="str">
        <f t="shared" si="145"/>
        <v/>
      </c>
      <c r="U855" s="19" t="str">
        <f t="shared" si="146"/>
        <v/>
      </c>
      <c r="V855" s="7"/>
      <c r="Y855" s="19" t="str">
        <f>IF('Supplier selection'!AQ855="","",'Supplier selection'!AQ855)</f>
        <v/>
      </c>
      <c r="Z855" s="19" t="str">
        <f>IF('Supplier selection'!AR855="","",'Supplier selection'!AR855)</f>
        <v/>
      </c>
      <c r="AA855" s="19" t="str">
        <f t="shared" si="147"/>
        <v/>
      </c>
      <c r="AD855" s="26" t="str">
        <f>IF(AND('Supplier selection'!X855="",'Supplier selection'!AE855=""),"",IF('Supplier selection'!X855="",'Supplier selection'!AE855,'Supplier selection'!X855))</f>
        <v/>
      </c>
      <c r="AE855" s="19" t="str">
        <f t="shared" si="148"/>
        <v/>
      </c>
      <c r="AF855" s="19" t="str">
        <f t="shared" si="149"/>
        <v/>
      </c>
      <c r="AG855" s="27" t="str">
        <f>IF(AND('Supplier selection'!AB855="",'Supplier selection'!AI855=""),"",IF('Supplier selection'!AB855="",'Supplier selection'!AI855,'Supplier selection'!AB855))</f>
        <v/>
      </c>
      <c r="AH855" s="28" t="str">
        <f t="shared" si="150"/>
        <v/>
      </c>
      <c r="AI855" s="7" t="str">
        <f t="shared" si="151"/>
        <v/>
      </c>
      <c r="AJ855" s="22" t="str">
        <f t="shared" si="152"/>
        <v/>
      </c>
      <c r="AK855" s="29" t="str">
        <f t="shared" si="153"/>
        <v/>
      </c>
      <c r="AL855" s="10"/>
    </row>
    <row r="856" spans="1:38">
      <c r="A856" s="19">
        <f>IF('Supplier selection'!A856="","",'Supplier selection'!A856)</f>
        <v>852</v>
      </c>
      <c r="B856" s="19" t="str">
        <f>IF('Supplier selection'!B856="","",'Supplier selection'!B856)</f>
        <v/>
      </c>
      <c r="C856" s="19" t="str">
        <f>IF('Supplier selection'!C856="","",'Supplier selection'!C856)</f>
        <v/>
      </c>
      <c r="D856" s="19" t="str">
        <f>IF('Supplier selection'!D856="","",'Supplier selection'!D856)</f>
        <v/>
      </c>
      <c r="E856" s="19" t="str">
        <f>IF('Supplier selection'!E856="","",'Supplier selection'!E856)</f>
        <v/>
      </c>
      <c r="F856" s="19" t="str">
        <f>IF('Supplier selection'!F856="","",'Supplier selection'!F856)</f>
        <v/>
      </c>
      <c r="G856" s="19" t="str">
        <f>IF('Supplier selection'!G856="","",'Supplier selection'!G856)</f>
        <v/>
      </c>
      <c r="H856" s="19" t="str">
        <f>IF('Supplier selection'!H856="","",'Supplier selection'!H856)</f>
        <v/>
      </c>
      <c r="I856" s="19" t="str">
        <f>IF('Supplier selection'!I856="","",'Supplier selection'!I856)</f>
        <v/>
      </c>
      <c r="J856" s="19" t="str">
        <f>IF('Supplier selection'!J856="","",'Supplier selection'!J856)</f>
        <v/>
      </c>
      <c r="K856" s="19" t="str">
        <f>IF('Supplier selection'!K856="","",'Supplier selection'!K856)</f>
        <v/>
      </c>
      <c r="L856" s="19" t="str">
        <f>IF('Supplier selection'!L856="","",'Supplier selection'!L856)</f>
        <v/>
      </c>
      <c r="M856" s="19" t="str">
        <f>IF('Supplier selection'!M856="","",'Supplier selection'!M856)</f>
        <v/>
      </c>
      <c r="N856" s="19" t="str">
        <f>IF('Supplier selection'!N856="","",'Supplier selection'!N856)</f>
        <v/>
      </c>
      <c r="O856" s="19" t="str">
        <f>IF('Supplier selection'!O856="","",'Supplier selection'!O856)</f>
        <v/>
      </c>
      <c r="Q856" s="19" t="str">
        <f>HLOOKUP($Q$3,'Supplier selection'!$AW$4:'Supplier selection'!$CT$1000,$A857,FALSE)</f>
        <v/>
      </c>
      <c r="R856" s="22" t="str">
        <f t="shared" si="143"/>
        <v/>
      </c>
      <c r="S856" s="19" t="str">
        <f t="shared" si="144"/>
        <v/>
      </c>
      <c r="T856" s="22" t="str">
        <f t="shared" si="145"/>
        <v/>
      </c>
      <c r="U856" s="19" t="str">
        <f t="shared" si="146"/>
        <v/>
      </c>
      <c r="V856" s="7"/>
      <c r="Y856" s="19" t="str">
        <f>IF('Supplier selection'!AQ856="","",'Supplier selection'!AQ856)</f>
        <v/>
      </c>
      <c r="Z856" s="19" t="str">
        <f>IF('Supplier selection'!AR856="","",'Supplier selection'!AR856)</f>
        <v/>
      </c>
      <c r="AA856" s="19" t="str">
        <f t="shared" si="147"/>
        <v/>
      </c>
      <c r="AD856" s="26" t="str">
        <f>IF(AND('Supplier selection'!X856="",'Supplier selection'!AE856=""),"",IF('Supplier selection'!X856="",'Supplier selection'!AE856,'Supplier selection'!X856))</f>
        <v/>
      </c>
      <c r="AE856" s="19" t="str">
        <f t="shared" si="148"/>
        <v/>
      </c>
      <c r="AF856" s="19" t="str">
        <f t="shared" si="149"/>
        <v/>
      </c>
      <c r="AG856" s="27" t="str">
        <f>IF(AND('Supplier selection'!AB856="",'Supplier selection'!AI856=""),"",IF('Supplier selection'!AB856="",'Supplier selection'!AI856,'Supplier selection'!AB856))</f>
        <v/>
      </c>
      <c r="AH856" s="28" t="str">
        <f t="shared" si="150"/>
        <v/>
      </c>
      <c r="AI856" s="7" t="str">
        <f t="shared" si="151"/>
        <v/>
      </c>
      <c r="AJ856" s="22" t="str">
        <f t="shared" si="152"/>
        <v/>
      </c>
      <c r="AK856" s="29" t="str">
        <f t="shared" si="153"/>
        <v/>
      </c>
      <c r="AL856" s="10"/>
    </row>
    <row r="857" spans="1:38">
      <c r="A857" s="19">
        <f>IF('Supplier selection'!A857="","",'Supplier selection'!A857)</f>
        <v>853</v>
      </c>
      <c r="B857" s="19" t="str">
        <f>IF('Supplier selection'!B857="","",'Supplier selection'!B857)</f>
        <v/>
      </c>
      <c r="C857" s="19" t="str">
        <f>IF('Supplier selection'!C857="","",'Supplier selection'!C857)</f>
        <v/>
      </c>
      <c r="D857" s="19" t="str">
        <f>IF('Supplier selection'!D857="","",'Supplier selection'!D857)</f>
        <v/>
      </c>
      <c r="E857" s="19" t="str">
        <f>IF('Supplier selection'!E857="","",'Supplier selection'!E857)</f>
        <v/>
      </c>
      <c r="F857" s="19" t="str">
        <f>IF('Supplier selection'!F857="","",'Supplier selection'!F857)</f>
        <v/>
      </c>
      <c r="G857" s="19" t="str">
        <f>IF('Supplier selection'!G857="","",'Supplier selection'!G857)</f>
        <v/>
      </c>
      <c r="H857" s="19" t="str">
        <f>IF('Supplier selection'!H857="","",'Supplier selection'!H857)</f>
        <v/>
      </c>
      <c r="I857" s="19" t="str">
        <f>IF('Supplier selection'!I857="","",'Supplier selection'!I857)</f>
        <v/>
      </c>
      <c r="J857" s="19" t="str">
        <f>IF('Supplier selection'!J857="","",'Supplier selection'!J857)</f>
        <v/>
      </c>
      <c r="K857" s="19" t="str">
        <f>IF('Supplier selection'!K857="","",'Supplier selection'!K857)</f>
        <v/>
      </c>
      <c r="L857" s="19" t="str">
        <f>IF('Supplier selection'!L857="","",'Supplier selection'!L857)</f>
        <v/>
      </c>
      <c r="M857" s="19" t="str">
        <f>IF('Supplier selection'!M857="","",'Supplier selection'!M857)</f>
        <v/>
      </c>
      <c r="N857" s="19" t="str">
        <f>IF('Supplier selection'!N857="","",'Supplier selection'!N857)</f>
        <v/>
      </c>
      <c r="O857" s="19" t="str">
        <f>IF('Supplier selection'!O857="","",'Supplier selection'!O857)</f>
        <v/>
      </c>
      <c r="Q857" s="19" t="str">
        <f>HLOOKUP($Q$3,'Supplier selection'!$AW$4:'Supplier selection'!$CT$1000,$A858,FALSE)</f>
        <v/>
      </c>
      <c r="R857" s="22" t="str">
        <f t="shared" si="143"/>
        <v/>
      </c>
      <c r="S857" s="19" t="str">
        <f t="shared" si="144"/>
        <v/>
      </c>
      <c r="T857" s="22" t="str">
        <f t="shared" si="145"/>
        <v/>
      </c>
      <c r="U857" s="19" t="str">
        <f t="shared" si="146"/>
        <v/>
      </c>
      <c r="V857" s="7"/>
      <c r="Y857" s="19" t="str">
        <f>IF('Supplier selection'!AQ857="","",'Supplier selection'!AQ857)</f>
        <v/>
      </c>
      <c r="Z857" s="19" t="str">
        <f>IF('Supplier selection'!AR857="","",'Supplier selection'!AR857)</f>
        <v/>
      </c>
      <c r="AA857" s="19" t="str">
        <f t="shared" si="147"/>
        <v/>
      </c>
      <c r="AD857" s="26" t="str">
        <f>IF(AND('Supplier selection'!X857="",'Supplier selection'!AE857=""),"",IF('Supplier selection'!X857="",'Supplier selection'!AE857,'Supplier selection'!X857))</f>
        <v/>
      </c>
      <c r="AE857" s="19" t="str">
        <f t="shared" si="148"/>
        <v/>
      </c>
      <c r="AF857" s="19" t="str">
        <f t="shared" si="149"/>
        <v/>
      </c>
      <c r="AG857" s="27" t="str">
        <f>IF(AND('Supplier selection'!AB857="",'Supplier selection'!AI857=""),"",IF('Supplier selection'!AB857="",'Supplier selection'!AI857,'Supplier selection'!AB857))</f>
        <v/>
      </c>
      <c r="AH857" s="28" t="str">
        <f t="shared" si="150"/>
        <v/>
      </c>
      <c r="AI857" s="7" t="str">
        <f t="shared" si="151"/>
        <v/>
      </c>
      <c r="AJ857" s="22" t="str">
        <f t="shared" si="152"/>
        <v/>
      </c>
      <c r="AK857" s="29" t="str">
        <f t="shared" si="153"/>
        <v/>
      </c>
      <c r="AL857" s="10"/>
    </row>
    <row r="858" spans="1:38">
      <c r="A858" s="19">
        <f>IF('Supplier selection'!A858="","",'Supplier selection'!A858)</f>
        <v>854</v>
      </c>
      <c r="B858" s="19" t="str">
        <f>IF('Supplier selection'!B858="","",'Supplier selection'!B858)</f>
        <v/>
      </c>
      <c r="C858" s="19" t="str">
        <f>IF('Supplier selection'!C858="","",'Supplier selection'!C858)</f>
        <v/>
      </c>
      <c r="D858" s="19" t="str">
        <f>IF('Supplier selection'!D858="","",'Supplier selection'!D858)</f>
        <v/>
      </c>
      <c r="E858" s="19" t="str">
        <f>IF('Supplier selection'!E858="","",'Supplier selection'!E858)</f>
        <v/>
      </c>
      <c r="F858" s="19" t="str">
        <f>IF('Supplier selection'!F858="","",'Supplier selection'!F858)</f>
        <v/>
      </c>
      <c r="G858" s="19" t="str">
        <f>IF('Supplier selection'!G858="","",'Supplier selection'!G858)</f>
        <v/>
      </c>
      <c r="H858" s="19" t="str">
        <f>IF('Supplier selection'!H858="","",'Supplier selection'!H858)</f>
        <v/>
      </c>
      <c r="I858" s="19" t="str">
        <f>IF('Supplier selection'!I858="","",'Supplier selection'!I858)</f>
        <v/>
      </c>
      <c r="J858" s="19" t="str">
        <f>IF('Supplier selection'!J858="","",'Supplier selection'!J858)</f>
        <v/>
      </c>
      <c r="K858" s="19" t="str">
        <f>IF('Supplier selection'!K858="","",'Supplier selection'!K858)</f>
        <v/>
      </c>
      <c r="L858" s="19" t="str">
        <f>IF('Supplier selection'!L858="","",'Supplier selection'!L858)</f>
        <v/>
      </c>
      <c r="M858" s="19" t="str">
        <f>IF('Supplier selection'!M858="","",'Supplier selection'!M858)</f>
        <v/>
      </c>
      <c r="N858" s="19" t="str">
        <f>IF('Supplier selection'!N858="","",'Supplier selection'!N858)</f>
        <v/>
      </c>
      <c r="O858" s="19" t="str">
        <f>IF('Supplier selection'!O858="","",'Supplier selection'!O858)</f>
        <v/>
      </c>
      <c r="Q858" s="19" t="str">
        <f>HLOOKUP($Q$3,'Supplier selection'!$AW$4:'Supplier selection'!$CT$1000,$A859,FALSE)</f>
        <v/>
      </c>
      <c r="R858" s="22" t="str">
        <f t="shared" si="143"/>
        <v/>
      </c>
      <c r="S858" s="19" t="str">
        <f t="shared" si="144"/>
        <v/>
      </c>
      <c r="T858" s="22" t="str">
        <f t="shared" si="145"/>
        <v/>
      </c>
      <c r="U858" s="19" t="str">
        <f t="shared" si="146"/>
        <v/>
      </c>
      <c r="V858" s="7"/>
      <c r="Y858" s="19" t="str">
        <f>IF('Supplier selection'!AQ858="","",'Supplier selection'!AQ858)</f>
        <v/>
      </c>
      <c r="Z858" s="19" t="str">
        <f>IF('Supplier selection'!AR858="","",'Supplier selection'!AR858)</f>
        <v/>
      </c>
      <c r="AA858" s="19" t="str">
        <f t="shared" si="147"/>
        <v/>
      </c>
      <c r="AD858" s="26" t="str">
        <f>IF(AND('Supplier selection'!X858="",'Supplier selection'!AE858=""),"",IF('Supplier selection'!X858="",'Supplier selection'!AE858,'Supplier selection'!X858))</f>
        <v/>
      </c>
      <c r="AE858" s="19" t="str">
        <f t="shared" si="148"/>
        <v/>
      </c>
      <c r="AF858" s="19" t="str">
        <f t="shared" si="149"/>
        <v/>
      </c>
      <c r="AG858" s="27" t="str">
        <f>IF(AND('Supplier selection'!AB858="",'Supplier selection'!AI858=""),"",IF('Supplier selection'!AB858="",'Supplier selection'!AI858,'Supplier selection'!AB858))</f>
        <v/>
      </c>
      <c r="AH858" s="28" t="str">
        <f t="shared" si="150"/>
        <v/>
      </c>
      <c r="AI858" s="7" t="str">
        <f t="shared" si="151"/>
        <v/>
      </c>
      <c r="AJ858" s="22" t="str">
        <f t="shared" si="152"/>
        <v/>
      </c>
      <c r="AK858" s="29" t="str">
        <f t="shared" si="153"/>
        <v/>
      </c>
      <c r="AL858" s="10"/>
    </row>
    <row r="859" spans="1:38">
      <c r="A859" s="19">
        <f>IF('Supplier selection'!A859="","",'Supplier selection'!A859)</f>
        <v>855</v>
      </c>
      <c r="B859" s="19" t="str">
        <f>IF('Supplier selection'!B859="","",'Supplier selection'!B859)</f>
        <v/>
      </c>
      <c r="C859" s="19" t="str">
        <f>IF('Supplier selection'!C859="","",'Supplier selection'!C859)</f>
        <v/>
      </c>
      <c r="D859" s="19" t="str">
        <f>IF('Supplier selection'!D859="","",'Supplier selection'!D859)</f>
        <v/>
      </c>
      <c r="E859" s="19" t="str">
        <f>IF('Supplier selection'!E859="","",'Supplier selection'!E859)</f>
        <v/>
      </c>
      <c r="F859" s="19" t="str">
        <f>IF('Supplier selection'!F859="","",'Supplier selection'!F859)</f>
        <v/>
      </c>
      <c r="G859" s="19" t="str">
        <f>IF('Supplier selection'!G859="","",'Supplier selection'!G859)</f>
        <v/>
      </c>
      <c r="H859" s="19" t="str">
        <f>IF('Supplier selection'!H859="","",'Supplier selection'!H859)</f>
        <v/>
      </c>
      <c r="I859" s="19" t="str">
        <f>IF('Supplier selection'!I859="","",'Supplier selection'!I859)</f>
        <v/>
      </c>
      <c r="J859" s="19" t="str">
        <f>IF('Supplier selection'!J859="","",'Supplier selection'!J859)</f>
        <v/>
      </c>
      <c r="K859" s="19" t="str">
        <f>IF('Supplier selection'!K859="","",'Supplier selection'!K859)</f>
        <v/>
      </c>
      <c r="L859" s="19" t="str">
        <f>IF('Supplier selection'!L859="","",'Supplier selection'!L859)</f>
        <v/>
      </c>
      <c r="M859" s="19" t="str">
        <f>IF('Supplier selection'!M859="","",'Supplier selection'!M859)</f>
        <v/>
      </c>
      <c r="N859" s="19" t="str">
        <f>IF('Supplier selection'!N859="","",'Supplier selection'!N859)</f>
        <v/>
      </c>
      <c r="O859" s="19" t="str">
        <f>IF('Supplier selection'!O859="","",'Supplier selection'!O859)</f>
        <v/>
      </c>
      <c r="Q859" s="19" t="str">
        <f>HLOOKUP($Q$3,'Supplier selection'!$AW$4:'Supplier selection'!$CT$1000,$A860,FALSE)</f>
        <v/>
      </c>
      <c r="R859" s="22" t="str">
        <f t="shared" si="143"/>
        <v/>
      </c>
      <c r="S859" s="19" t="str">
        <f t="shared" si="144"/>
        <v/>
      </c>
      <c r="T859" s="22" t="str">
        <f t="shared" si="145"/>
        <v/>
      </c>
      <c r="U859" s="19" t="str">
        <f t="shared" si="146"/>
        <v/>
      </c>
      <c r="V859" s="7"/>
      <c r="Y859" s="19" t="str">
        <f>IF('Supplier selection'!AQ859="","",'Supplier selection'!AQ859)</f>
        <v/>
      </c>
      <c r="Z859" s="19" t="str">
        <f>IF('Supplier selection'!AR859="","",'Supplier selection'!AR859)</f>
        <v/>
      </c>
      <c r="AA859" s="19" t="str">
        <f t="shared" si="147"/>
        <v/>
      </c>
      <c r="AD859" s="26" t="str">
        <f>IF(AND('Supplier selection'!X859="",'Supplier selection'!AE859=""),"",IF('Supplier selection'!X859="",'Supplier selection'!AE859,'Supplier selection'!X859))</f>
        <v/>
      </c>
      <c r="AE859" s="19" t="str">
        <f t="shared" si="148"/>
        <v/>
      </c>
      <c r="AF859" s="19" t="str">
        <f t="shared" si="149"/>
        <v/>
      </c>
      <c r="AG859" s="27" t="str">
        <f>IF(AND('Supplier selection'!AB859="",'Supplier selection'!AI859=""),"",IF('Supplier selection'!AB859="",'Supplier selection'!AI859,'Supplier selection'!AB859))</f>
        <v/>
      </c>
      <c r="AH859" s="28" t="str">
        <f t="shared" si="150"/>
        <v/>
      </c>
      <c r="AI859" s="7" t="str">
        <f t="shared" si="151"/>
        <v/>
      </c>
      <c r="AJ859" s="22" t="str">
        <f t="shared" si="152"/>
        <v/>
      </c>
      <c r="AK859" s="29" t="str">
        <f t="shared" si="153"/>
        <v/>
      </c>
      <c r="AL859" s="10"/>
    </row>
    <row r="860" spans="1:38">
      <c r="A860" s="19">
        <f>IF('Supplier selection'!A860="","",'Supplier selection'!A860)</f>
        <v>856</v>
      </c>
      <c r="B860" s="19" t="str">
        <f>IF('Supplier selection'!B860="","",'Supplier selection'!B860)</f>
        <v/>
      </c>
      <c r="C860" s="19" t="str">
        <f>IF('Supplier selection'!C860="","",'Supplier selection'!C860)</f>
        <v/>
      </c>
      <c r="D860" s="19" t="str">
        <f>IF('Supplier selection'!D860="","",'Supplier selection'!D860)</f>
        <v/>
      </c>
      <c r="E860" s="19" t="str">
        <f>IF('Supplier selection'!E860="","",'Supplier selection'!E860)</f>
        <v/>
      </c>
      <c r="F860" s="19" t="str">
        <f>IF('Supplier selection'!F860="","",'Supplier selection'!F860)</f>
        <v/>
      </c>
      <c r="G860" s="19" t="str">
        <f>IF('Supplier selection'!G860="","",'Supplier selection'!G860)</f>
        <v/>
      </c>
      <c r="H860" s="19" t="str">
        <f>IF('Supplier selection'!H860="","",'Supplier selection'!H860)</f>
        <v/>
      </c>
      <c r="I860" s="19" t="str">
        <f>IF('Supplier selection'!I860="","",'Supplier selection'!I860)</f>
        <v/>
      </c>
      <c r="J860" s="19" t="str">
        <f>IF('Supplier selection'!J860="","",'Supplier selection'!J860)</f>
        <v/>
      </c>
      <c r="K860" s="19" t="str">
        <f>IF('Supplier selection'!K860="","",'Supplier selection'!K860)</f>
        <v/>
      </c>
      <c r="L860" s="19" t="str">
        <f>IF('Supplier selection'!L860="","",'Supplier selection'!L860)</f>
        <v/>
      </c>
      <c r="M860" s="19" t="str">
        <f>IF('Supplier selection'!M860="","",'Supplier selection'!M860)</f>
        <v/>
      </c>
      <c r="N860" s="19" t="str">
        <f>IF('Supplier selection'!N860="","",'Supplier selection'!N860)</f>
        <v/>
      </c>
      <c r="O860" s="19" t="str">
        <f>IF('Supplier selection'!O860="","",'Supplier selection'!O860)</f>
        <v/>
      </c>
      <c r="Q860" s="19" t="str">
        <f>HLOOKUP($Q$3,'Supplier selection'!$AW$4:'Supplier selection'!$CT$1000,$A861,FALSE)</f>
        <v/>
      </c>
      <c r="R860" s="22" t="str">
        <f t="shared" si="143"/>
        <v/>
      </c>
      <c r="S860" s="19" t="str">
        <f t="shared" si="144"/>
        <v/>
      </c>
      <c r="T860" s="22" t="str">
        <f t="shared" si="145"/>
        <v/>
      </c>
      <c r="U860" s="19" t="str">
        <f t="shared" si="146"/>
        <v/>
      </c>
      <c r="V860" s="7"/>
      <c r="Y860" s="19" t="str">
        <f>IF('Supplier selection'!AQ860="","",'Supplier selection'!AQ860)</f>
        <v/>
      </c>
      <c r="Z860" s="19" t="str">
        <f>IF('Supplier selection'!AR860="","",'Supplier selection'!AR860)</f>
        <v/>
      </c>
      <c r="AA860" s="19" t="str">
        <f t="shared" si="147"/>
        <v/>
      </c>
      <c r="AD860" s="26" t="str">
        <f>IF(AND('Supplier selection'!X860="",'Supplier selection'!AE860=""),"",IF('Supplier selection'!X860="",'Supplier selection'!AE860,'Supplier selection'!X860))</f>
        <v/>
      </c>
      <c r="AE860" s="19" t="str">
        <f t="shared" si="148"/>
        <v/>
      </c>
      <c r="AF860" s="19" t="str">
        <f t="shared" si="149"/>
        <v/>
      </c>
      <c r="AG860" s="27" t="str">
        <f>IF(AND('Supplier selection'!AB860="",'Supplier selection'!AI860=""),"",IF('Supplier selection'!AB860="",'Supplier selection'!AI860,'Supplier selection'!AB860))</f>
        <v/>
      </c>
      <c r="AH860" s="28" t="str">
        <f t="shared" si="150"/>
        <v/>
      </c>
      <c r="AI860" s="7" t="str">
        <f t="shared" si="151"/>
        <v/>
      </c>
      <c r="AJ860" s="22" t="str">
        <f t="shared" si="152"/>
        <v/>
      </c>
      <c r="AK860" s="29" t="str">
        <f t="shared" si="153"/>
        <v/>
      </c>
      <c r="AL860" s="10"/>
    </row>
    <row r="861" spans="1:38">
      <c r="A861" s="19">
        <f>IF('Supplier selection'!A861="","",'Supplier selection'!A861)</f>
        <v>857</v>
      </c>
      <c r="B861" s="19" t="str">
        <f>IF('Supplier selection'!B861="","",'Supplier selection'!B861)</f>
        <v/>
      </c>
      <c r="C861" s="19" t="str">
        <f>IF('Supplier selection'!C861="","",'Supplier selection'!C861)</f>
        <v/>
      </c>
      <c r="D861" s="19" t="str">
        <f>IF('Supplier selection'!D861="","",'Supplier selection'!D861)</f>
        <v/>
      </c>
      <c r="E861" s="19" t="str">
        <f>IF('Supplier selection'!E861="","",'Supplier selection'!E861)</f>
        <v/>
      </c>
      <c r="F861" s="19" t="str">
        <f>IF('Supplier selection'!F861="","",'Supplier selection'!F861)</f>
        <v/>
      </c>
      <c r="G861" s="19" t="str">
        <f>IF('Supplier selection'!G861="","",'Supplier selection'!G861)</f>
        <v/>
      </c>
      <c r="H861" s="19" t="str">
        <f>IF('Supplier selection'!H861="","",'Supplier selection'!H861)</f>
        <v/>
      </c>
      <c r="I861" s="19" t="str">
        <f>IF('Supplier selection'!I861="","",'Supplier selection'!I861)</f>
        <v/>
      </c>
      <c r="J861" s="19" t="str">
        <f>IF('Supplier selection'!J861="","",'Supplier selection'!J861)</f>
        <v/>
      </c>
      <c r="K861" s="19" t="str">
        <f>IF('Supplier selection'!K861="","",'Supplier selection'!K861)</f>
        <v/>
      </c>
      <c r="L861" s="19" t="str">
        <f>IF('Supplier selection'!L861="","",'Supplier selection'!L861)</f>
        <v/>
      </c>
      <c r="M861" s="19" t="str">
        <f>IF('Supplier selection'!M861="","",'Supplier selection'!M861)</f>
        <v/>
      </c>
      <c r="N861" s="19" t="str">
        <f>IF('Supplier selection'!N861="","",'Supplier selection'!N861)</f>
        <v/>
      </c>
      <c r="O861" s="19" t="str">
        <f>IF('Supplier selection'!O861="","",'Supplier selection'!O861)</f>
        <v/>
      </c>
      <c r="Q861" s="19" t="str">
        <f>HLOOKUP($Q$3,'Supplier selection'!$AW$4:'Supplier selection'!$CT$1000,$A862,FALSE)</f>
        <v/>
      </c>
      <c r="R861" s="22" t="str">
        <f t="shared" si="143"/>
        <v/>
      </c>
      <c r="S861" s="19" t="str">
        <f t="shared" si="144"/>
        <v/>
      </c>
      <c r="T861" s="22" t="str">
        <f t="shared" si="145"/>
        <v/>
      </c>
      <c r="U861" s="19" t="str">
        <f t="shared" si="146"/>
        <v/>
      </c>
      <c r="V861" s="7"/>
      <c r="Y861" s="19" t="str">
        <f>IF('Supplier selection'!AQ861="","",'Supplier selection'!AQ861)</f>
        <v/>
      </c>
      <c r="Z861" s="19" t="str">
        <f>IF('Supplier selection'!AR861="","",'Supplier selection'!AR861)</f>
        <v/>
      </c>
      <c r="AA861" s="19" t="str">
        <f t="shared" si="147"/>
        <v/>
      </c>
      <c r="AD861" s="26" t="str">
        <f>IF(AND('Supplier selection'!X861="",'Supplier selection'!AE861=""),"",IF('Supplier selection'!X861="",'Supplier selection'!AE861,'Supplier selection'!X861))</f>
        <v/>
      </c>
      <c r="AE861" s="19" t="str">
        <f t="shared" si="148"/>
        <v/>
      </c>
      <c r="AF861" s="19" t="str">
        <f t="shared" si="149"/>
        <v/>
      </c>
      <c r="AG861" s="27" t="str">
        <f>IF(AND('Supplier selection'!AB861="",'Supplier selection'!AI861=""),"",IF('Supplier selection'!AB861="",'Supplier selection'!AI861,'Supplier selection'!AB861))</f>
        <v/>
      </c>
      <c r="AH861" s="28" t="str">
        <f t="shared" si="150"/>
        <v/>
      </c>
      <c r="AI861" s="7" t="str">
        <f t="shared" si="151"/>
        <v/>
      </c>
      <c r="AJ861" s="22" t="str">
        <f t="shared" si="152"/>
        <v/>
      </c>
      <c r="AK861" s="29" t="str">
        <f t="shared" si="153"/>
        <v/>
      </c>
      <c r="AL861" s="10"/>
    </row>
    <row r="862" spans="1:38">
      <c r="A862" s="19">
        <f>IF('Supplier selection'!A862="","",'Supplier selection'!A862)</f>
        <v>858</v>
      </c>
      <c r="B862" s="19" t="str">
        <f>IF('Supplier selection'!B862="","",'Supplier selection'!B862)</f>
        <v/>
      </c>
      <c r="C862" s="19" t="str">
        <f>IF('Supplier selection'!C862="","",'Supplier selection'!C862)</f>
        <v/>
      </c>
      <c r="D862" s="19" t="str">
        <f>IF('Supplier selection'!D862="","",'Supplier selection'!D862)</f>
        <v/>
      </c>
      <c r="E862" s="19" t="str">
        <f>IF('Supplier selection'!E862="","",'Supplier selection'!E862)</f>
        <v/>
      </c>
      <c r="F862" s="19" t="str">
        <f>IF('Supplier selection'!F862="","",'Supplier selection'!F862)</f>
        <v/>
      </c>
      <c r="G862" s="19" t="str">
        <f>IF('Supplier selection'!G862="","",'Supplier selection'!G862)</f>
        <v/>
      </c>
      <c r="H862" s="19" t="str">
        <f>IF('Supplier selection'!H862="","",'Supplier selection'!H862)</f>
        <v/>
      </c>
      <c r="I862" s="19" t="str">
        <f>IF('Supplier selection'!I862="","",'Supplier selection'!I862)</f>
        <v/>
      </c>
      <c r="J862" s="19" t="str">
        <f>IF('Supplier selection'!J862="","",'Supplier selection'!J862)</f>
        <v/>
      </c>
      <c r="K862" s="19" t="str">
        <f>IF('Supplier selection'!K862="","",'Supplier selection'!K862)</f>
        <v/>
      </c>
      <c r="L862" s="19" t="str">
        <f>IF('Supplier selection'!L862="","",'Supplier selection'!L862)</f>
        <v/>
      </c>
      <c r="M862" s="19" t="str">
        <f>IF('Supplier selection'!M862="","",'Supplier selection'!M862)</f>
        <v/>
      </c>
      <c r="N862" s="19" t="str">
        <f>IF('Supplier selection'!N862="","",'Supplier selection'!N862)</f>
        <v/>
      </c>
      <c r="O862" s="19" t="str">
        <f>IF('Supplier selection'!O862="","",'Supplier selection'!O862)</f>
        <v/>
      </c>
      <c r="Q862" s="19" t="str">
        <f>HLOOKUP($Q$3,'Supplier selection'!$AW$4:'Supplier selection'!$CT$1000,$A863,FALSE)</f>
        <v/>
      </c>
      <c r="R862" s="22" t="str">
        <f t="shared" si="143"/>
        <v/>
      </c>
      <c r="S862" s="19" t="str">
        <f t="shared" si="144"/>
        <v/>
      </c>
      <c r="T862" s="22" t="str">
        <f t="shared" si="145"/>
        <v/>
      </c>
      <c r="U862" s="19" t="str">
        <f t="shared" si="146"/>
        <v/>
      </c>
      <c r="V862" s="7"/>
      <c r="Y862" s="19" t="str">
        <f>IF('Supplier selection'!AQ862="","",'Supplier selection'!AQ862)</f>
        <v/>
      </c>
      <c r="Z862" s="19" t="str">
        <f>IF('Supplier selection'!AR862="","",'Supplier selection'!AR862)</f>
        <v/>
      </c>
      <c r="AA862" s="19" t="str">
        <f t="shared" si="147"/>
        <v/>
      </c>
      <c r="AD862" s="26" t="str">
        <f>IF(AND('Supplier selection'!X862="",'Supplier selection'!AE862=""),"",IF('Supplier selection'!X862="",'Supplier selection'!AE862,'Supplier selection'!X862))</f>
        <v/>
      </c>
      <c r="AE862" s="19" t="str">
        <f t="shared" si="148"/>
        <v/>
      </c>
      <c r="AF862" s="19" t="str">
        <f t="shared" si="149"/>
        <v/>
      </c>
      <c r="AG862" s="27" t="str">
        <f>IF(AND('Supplier selection'!AB862="",'Supplier selection'!AI862=""),"",IF('Supplier selection'!AB862="",'Supplier selection'!AI862,'Supplier selection'!AB862))</f>
        <v/>
      </c>
      <c r="AH862" s="28" t="str">
        <f t="shared" si="150"/>
        <v/>
      </c>
      <c r="AI862" s="7" t="str">
        <f t="shared" si="151"/>
        <v/>
      </c>
      <c r="AJ862" s="22" t="str">
        <f t="shared" si="152"/>
        <v/>
      </c>
      <c r="AK862" s="29" t="str">
        <f t="shared" si="153"/>
        <v/>
      </c>
      <c r="AL862" s="10"/>
    </row>
    <row r="863" spans="1:38">
      <c r="A863" s="19">
        <f>IF('Supplier selection'!A863="","",'Supplier selection'!A863)</f>
        <v>859</v>
      </c>
      <c r="B863" s="19" t="str">
        <f>IF('Supplier selection'!B863="","",'Supplier selection'!B863)</f>
        <v/>
      </c>
      <c r="C863" s="19" t="str">
        <f>IF('Supplier selection'!C863="","",'Supplier selection'!C863)</f>
        <v/>
      </c>
      <c r="D863" s="19" t="str">
        <f>IF('Supplier selection'!D863="","",'Supplier selection'!D863)</f>
        <v/>
      </c>
      <c r="E863" s="19" t="str">
        <f>IF('Supplier selection'!E863="","",'Supplier selection'!E863)</f>
        <v/>
      </c>
      <c r="F863" s="19" t="str">
        <f>IF('Supplier selection'!F863="","",'Supplier selection'!F863)</f>
        <v/>
      </c>
      <c r="G863" s="19" t="str">
        <f>IF('Supplier selection'!G863="","",'Supplier selection'!G863)</f>
        <v/>
      </c>
      <c r="H863" s="19" t="str">
        <f>IF('Supplier selection'!H863="","",'Supplier selection'!H863)</f>
        <v/>
      </c>
      <c r="I863" s="19" t="str">
        <f>IF('Supplier selection'!I863="","",'Supplier selection'!I863)</f>
        <v/>
      </c>
      <c r="J863" s="19" t="str">
        <f>IF('Supplier selection'!J863="","",'Supplier selection'!J863)</f>
        <v/>
      </c>
      <c r="K863" s="19" t="str">
        <f>IF('Supplier selection'!K863="","",'Supplier selection'!K863)</f>
        <v/>
      </c>
      <c r="L863" s="19" t="str">
        <f>IF('Supplier selection'!L863="","",'Supplier selection'!L863)</f>
        <v/>
      </c>
      <c r="M863" s="19" t="str">
        <f>IF('Supplier selection'!M863="","",'Supplier selection'!M863)</f>
        <v/>
      </c>
      <c r="N863" s="19" t="str">
        <f>IF('Supplier selection'!N863="","",'Supplier selection'!N863)</f>
        <v/>
      </c>
      <c r="O863" s="19" t="str">
        <f>IF('Supplier selection'!O863="","",'Supplier selection'!O863)</f>
        <v/>
      </c>
      <c r="Q863" s="19" t="str">
        <f>HLOOKUP($Q$3,'Supplier selection'!$AW$4:'Supplier selection'!$CT$1000,$A864,FALSE)</f>
        <v/>
      </c>
      <c r="R863" s="22" t="str">
        <f t="shared" si="143"/>
        <v/>
      </c>
      <c r="S863" s="19" t="str">
        <f t="shared" si="144"/>
        <v/>
      </c>
      <c r="T863" s="22" t="str">
        <f t="shared" si="145"/>
        <v/>
      </c>
      <c r="U863" s="19" t="str">
        <f t="shared" si="146"/>
        <v/>
      </c>
      <c r="V863" s="7"/>
      <c r="Y863" s="19" t="str">
        <f>IF('Supplier selection'!AQ863="","",'Supplier selection'!AQ863)</f>
        <v/>
      </c>
      <c r="Z863" s="19" t="str">
        <f>IF('Supplier selection'!AR863="","",'Supplier selection'!AR863)</f>
        <v/>
      </c>
      <c r="AA863" s="19" t="str">
        <f t="shared" si="147"/>
        <v/>
      </c>
      <c r="AD863" s="26" t="str">
        <f>IF(AND('Supplier selection'!X863="",'Supplier selection'!AE863=""),"",IF('Supplier selection'!X863="",'Supplier selection'!AE863,'Supplier selection'!X863))</f>
        <v/>
      </c>
      <c r="AE863" s="19" t="str">
        <f t="shared" si="148"/>
        <v/>
      </c>
      <c r="AF863" s="19" t="str">
        <f t="shared" si="149"/>
        <v/>
      </c>
      <c r="AG863" s="27" t="str">
        <f>IF(AND('Supplier selection'!AB863="",'Supplier selection'!AI863=""),"",IF('Supplier selection'!AB863="",'Supplier selection'!AI863,'Supplier selection'!AB863))</f>
        <v/>
      </c>
      <c r="AH863" s="28" t="str">
        <f t="shared" si="150"/>
        <v/>
      </c>
      <c r="AI863" s="7" t="str">
        <f t="shared" si="151"/>
        <v/>
      </c>
      <c r="AJ863" s="22" t="str">
        <f t="shared" si="152"/>
        <v/>
      </c>
      <c r="AK863" s="29" t="str">
        <f t="shared" si="153"/>
        <v/>
      </c>
      <c r="AL863" s="10"/>
    </row>
    <row r="864" spans="1:38">
      <c r="A864" s="19">
        <f>IF('Supplier selection'!A864="","",'Supplier selection'!A864)</f>
        <v>860</v>
      </c>
      <c r="B864" s="19" t="str">
        <f>IF('Supplier selection'!B864="","",'Supplier selection'!B864)</f>
        <v/>
      </c>
      <c r="C864" s="19" t="str">
        <f>IF('Supplier selection'!C864="","",'Supplier selection'!C864)</f>
        <v/>
      </c>
      <c r="D864" s="19" t="str">
        <f>IF('Supplier selection'!D864="","",'Supplier selection'!D864)</f>
        <v/>
      </c>
      <c r="E864" s="19" t="str">
        <f>IF('Supplier selection'!E864="","",'Supplier selection'!E864)</f>
        <v/>
      </c>
      <c r="F864" s="19" t="str">
        <f>IF('Supplier selection'!F864="","",'Supplier selection'!F864)</f>
        <v/>
      </c>
      <c r="G864" s="19" t="str">
        <f>IF('Supplier selection'!G864="","",'Supplier selection'!G864)</f>
        <v/>
      </c>
      <c r="H864" s="19" t="str">
        <f>IF('Supplier selection'!H864="","",'Supplier selection'!H864)</f>
        <v/>
      </c>
      <c r="I864" s="19" t="str">
        <f>IF('Supplier selection'!I864="","",'Supplier selection'!I864)</f>
        <v/>
      </c>
      <c r="J864" s="19" t="str">
        <f>IF('Supplier selection'!J864="","",'Supplier selection'!J864)</f>
        <v/>
      </c>
      <c r="K864" s="19" t="str">
        <f>IF('Supplier selection'!K864="","",'Supplier selection'!K864)</f>
        <v/>
      </c>
      <c r="L864" s="19" t="str">
        <f>IF('Supplier selection'!L864="","",'Supplier selection'!L864)</f>
        <v/>
      </c>
      <c r="M864" s="19" t="str">
        <f>IF('Supplier selection'!M864="","",'Supplier selection'!M864)</f>
        <v/>
      </c>
      <c r="N864" s="19" t="str">
        <f>IF('Supplier selection'!N864="","",'Supplier selection'!N864)</f>
        <v/>
      </c>
      <c r="O864" s="19" t="str">
        <f>IF('Supplier selection'!O864="","",'Supplier selection'!O864)</f>
        <v/>
      </c>
      <c r="Q864" s="19" t="str">
        <f>HLOOKUP($Q$3,'Supplier selection'!$AW$4:'Supplier selection'!$CT$1000,$A865,FALSE)</f>
        <v/>
      </c>
      <c r="R864" s="22" t="str">
        <f t="shared" si="143"/>
        <v/>
      </c>
      <c r="S864" s="19" t="str">
        <f t="shared" si="144"/>
        <v/>
      </c>
      <c r="T864" s="22" t="str">
        <f t="shared" si="145"/>
        <v/>
      </c>
      <c r="U864" s="19" t="str">
        <f t="shared" si="146"/>
        <v/>
      </c>
      <c r="V864" s="7"/>
      <c r="Y864" s="19" t="str">
        <f>IF('Supplier selection'!AQ864="","",'Supplier selection'!AQ864)</f>
        <v/>
      </c>
      <c r="Z864" s="19" t="str">
        <f>IF('Supplier selection'!AR864="","",'Supplier selection'!AR864)</f>
        <v/>
      </c>
      <c r="AA864" s="19" t="str">
        <f t="shared" si="147"/>
        <v/>
      </c>
      <c r="AD864" s="26" t="str">
        <f>IF(AND('Supplier selection'!X864="",'Supplier selection'!AE864=""),"",IF('Supplier selection'!X864="",'Supplier selection'!AE864,'Supplier selection'!X864))</f>
        <v/>
      </c>
      <c r="AE864" s="19" t="str">
        <f t="shared" si="148"/>
        <v/>
      </c>
      <c r="AF864" s="19" t="str">
        <f t="shared" si="149"/>
        <v/>
      </c>
      <c r="AG864" s="27" t="str">
        <f>IF(AND('Supplier selection'!AB864="",'Supplier selection'!AI864=""),"",IF('Supplier selection'!AB864="",'Supplier selection'!AI864,'Supplier selection'!AB864))</f>
        <v/>
      </c>
      <c r="AH864" s="28" t="str">
        <f t="shared" si="150"/>
        <v/>
      </c>
      <c r="AI864" s="7" t="str">
        <f t="shared" si="151"/>
        <v/>
      </c>
      <c r="AJ864" s="22" t="str">
        <f t="shared" si="152"/>
        <v/>
      </c>
      <c r="AK864" s="29" t="str">
        <f t="shared" si="153"/>
        <v/>
      </c>
      <c r="AL864" s="10"/>
    </row>
    <row r="865" spans="1:38">
      <c r="A865" s="19">
        <f>IF('Supplier selection'!A865="","",'Supplier selection'!A865)</f>
        <v>861</v>
      </c>
      <c r="B865" s="19" t="str">
        <f>IF('Supplier selection'!B865="","",'Supplier selection'!B865)</f>
        <v/>
      </c>
      <c r="C865" s="19" t="str">
        <f>IF('Supplier selection'!C865="","",'Supplier selection'!C865)</f>
        <v/>
      </c>
      <c r="D865" s="19" t="str">
        <f>IF('Supplier selection'!D865="","",'Supplier selection'!D865)</f>
        <v/>
      </c>
      <c r="E865" s="19" t="str">
        <f>IF('Supplier selection'!E865="","",'Supplier selection'!E865)</f>
        <v/>
      </c>
      <c r="F865" s="19" t="str">
        <f>IF('Supplier selection'!F865="","",'Supplier selection'!F865)</f>
        <v/>
      </c>
      <c r="G865" s="19" t="str">
        <f>IF('Supplier selection'!G865="","",'Supplier selection'!G865)</f>
        <v/>
      </c>
      <c r="H865" s="19" t="str">
        <f>IF('Supplier selection'!H865="","",'Supplier selection'!H865)</f>
        <v/>
      </c>
      <c r="I865" s="19" t="str">
        <f>IF('Supplier selection'!I865="","",'Supplier selection'!I865)</f>
        <v/>
      </c>
      <c r="J865" s="19" t="str">
        <f>IF('Supplier selection'!J865="","",'Supplier selection'!J865)</f>
        <v/>
      </c>
      <c r="K865" s="19" t="str">
        <f>IF('Supplier selection'!K865="","",'Supplier selection'!K865)</f>
        <v/>
      </c>
      <c r="L865" s="19" t="str">
        <f>IF('Supplier selection'!L865="","",'Supplier selection'!L865)</f>
        <v/>
      </c>
      <c r="M865" s="19" t="str">
        <f>IF('Supplier selection'!M865="","",'Supplier selection'!M865)</f>
        <v/>
      </c>
      <c r="N865" s="19" t="str">
        <f>IF('Supplier selection'!N865="","",'Supplier selection'!N865)</f>
        <v/>
      </c>
      <c r="O865" s="19" t="str">
        <f>IF('Supplier selection'!O865="","",'Supplier selection'!O865)</f>
        <v/>
      </c>
      <c r="Q865" s="19" t="str">
        <f>HLOOKUP($Q$3,'Supplier selection'!$AW$4:'Supplier selection'!$CT$1000,$A866,FALSE)</f>
        <v/>
      </c>
      <c r="R865" s="22" t="str">
        <f t="shared" si="143"/>
        <v/>
      </c>
      <c r="S865" s="19" t="str">
        <f t="shared" si="144"/>
        <v/>
      </c>
      <c r="T865" s="22" t="str">
        <f t="shared" si="145"/>
        <v/>
      </c>
      <c r="U865" s="19" t="str">
        <f t="shared" si="146"/>
        <v/>
      </c>
      <c r="V865" s="7"/>
      <c r="Y865" s="19" t="str">
        <f>IF('Supplier selection'!AQ865="","",'Supplier selection'!AQ865)</f>
        <v/>
      </c>
      <c r="Z865" s="19" t="str">
        <f>IF('Supplier selection'!AR865="","",'Supplier selection'!AR865)</f>
        <v/>
      </c>
      <c r="AA865" s="19" t="str">
        <f t="shared" si="147"/>
        <v/>
      </c>
      <c r="AD865" s="26" t="str">
        <f>IF(AND('Supplier selection'!X865="",'Supplier selection'!AE865=""),"",IF('Supplier selection'!X865="",'Supplier selection'!AE865,'Supplier selection'!X865))</f>
        <v/>
      </c>
      <c r="AE865" s="19" t="str">
        <f t="shared" si="148"/>
        <v/>
      </c>
      <c r="AF865" s="19" t="str">
        <f t="shared" si="149"/>
        <v/>
      </c>
      <c r="AG865" s="27" t="str">
        <f>IF(AND('Supplier selection'!AB865="",'Supplier selection'!AI865=""),"",IF('Supplier selection'!AB865="",'Supplier selection'!AI865,'Supplier selection'!AB865))</f>
        <v/>
      </c>
      <c r="AH865" s="28" t="str">
        <f t="shared" si="150"/>
        <v/>
      </c>
      <c r="AI865" s="7" t="str">
        <f t="shared" si="151"/>
        <v/>
      </c>
      <c r="AJ865" s="22" t="str">
        <f t="shared" si="152"/>
        <v/>
      </c>
      <c r="AK865" s="29" t="str">
        <f t="shared" si="153"/>
        <v/>
      </c>
      <c r="AL865" s="10"/>
    </row>
    <row r="866" spans="1:38">
      <c r="A866" s="19">
        <f>IF('Supplier selection'!A866="","",'Supplier selection'!A866)</f>
        <v>862</v>
      </c>
      <c r="B866" s="19" t="str">
        <f>IF('Supplier selection'!B866="","",'Supplier selection'!B866)</f>
        <v/>
      </c>
      <c r="C866" s="19" t="str">
        <f>IF('Supplier selection'!C866="","",'Supplier selection'!C866)</f>
        <v/>
      </c>
      <c r="D866" s="19" t="str">
        <f>IF('Supplier selection'!D866="","",'Supplier selection'!D866)</f>
        <v/>
      </c>
      <c r="E866" s="19" t="str">
        <f>IF('Supplier selection'!E866="","",'Supplier selection'!E866)</f>
        <v/>
      </c>
      <c r="F866" s="19" t="str">
        <f>IF('Supplier selection'!F866="","",'Supplier selection'!F866)</f>
        <v/>
      </c>
      <c r="G866" s="19" t="str">
        <f>IF('Supplier selection'!G866="","",'Supplier selection'!G866)</f>
        <v/>
      </c>
      <c r="H866" s="19" t="str">
        <f>IF('Supplier selection'!H866="","",'Supplier selection'!H866)</f>
        <v/>
      </c>
      <c r="I866" s="19" t="str">
        <f>IF('Supplier selection'!I866="","",'Supplier selection'!I866)</f>
        <v/>
      </c>
      <c r="J866" s="19" t="str">
        <f>IF('Supplier selection'!J866="","",'Supplier selection'!J866)</f>
        <v/>
      </c>
      <c r="K866" s="19" t="str">
        <f>IF('Supplier selection'!K866="","",'Supplier selection'!K866)</f>
        <v/>
      </c>
      <c r="L866" s="19" t="str">
        <f>IF('Supplier selection'!L866="","",'Supplier selection'!L866)</f>
        <v/>
      </c>
      <c r="M866" s="19" t="str">
        <f>IF('Supplier selection'!M866="","",'Supplier selection'!M866)</f>
        <v/>
      </c>
      <c r="N866" s="19" t="str">
        <f>IF('Supplier selection'!N866="","",'Supplier selection'!N866)</f>
        <v/>
      </c>
      <c r="O866" s="19" t="str">
        <f>IF('Supplier selection'!O866="","",'Supplier selection'!O866)</f>
        <v/>
      </c>
      <c r="Q866" s="19" t="str">
        <f>HLOOKUP($Q$3,'Supplier selection'!$AW$4:'Supplier selection'!$CT$1000,$A867,FALSE)</f>
        <v/>
      </c>
      <c r="R866" s="22" t="str">
        <f t="shared" si="143"/>
        <v/>
      </c>
      <c r="S866" s="19" t="str">
        <f t="shared" si="144"/>
        <v/>
      </c>
      <c r="T866" s="22" t="str">
        <f t="shared" si="145"/>
        <v/>
      </c>
      <c r="U866" s="19" t="str">
        <f t="shared" si="146"/>
        <v/>
      </c>
      <c r="V866" s="7"/>
      <c r="Y866" s="19" t="str">
        <f>IF('Supplier selection'!AQ866="","",'Supplier selection'!AQ866)</f>
        <v/>
      </c>
      <c r="Z866" s="19" t="str">
        <f>IF('Supplier selection'!AR866="","",'Supplier selection'!AR866)</f>
        <v/>
      </c>
      <c r="AA866" s="19" t="str">
        <f t="shared" si="147"/>
        <v/>
      </c>
      <c r="AD866" s="26" t="str">
        <f>IF(AND('Supplier selection'!X866="",'Supplier selection'!AE866=""),"",IF('Supplier selection'!X866="",'Supplier selection'!AE866,'Supplier selection'!X866))</f>
        <v/>
      </c>
      <c r="AE866" s="19" t="str">
        <f t="shared" si="148"/>
        <v/>
      </c>
      <c r="AF866" s="19" t="str">
        <f t="shared" si="149"/>
        <v/>
      </c>
      <c r="AG866" s="27" t="str">
        <f>IF(AND('Supplier selection'!AB866="",'Supplier selection'!AI866=""),"",IF('Supplier selection'!AB866="",'Supplier selection'!AI866,'Supplier selection'!AB866))</f>
        <v/>
      </c>
      <c r="AH866" s="28" t="str">
        <f t="shared" si="150"/>
        <v/>
      </c>
      <c r="AI866" s="7" t="str">
        <f t="shared" si="151"/>
        <v/>
      </c>
      <c r="AJ866" s="22" t="str">
        <f t="shared" si="152"/>
        <v/>
      </c>
      <c r="AK866" s="29" t="str">
        <f t="shared" si="153"/>
        <v/>
      </c>
      <c r="AL866" s="10"/>
    </row>
    <row r="867" spans="1:38">
      <c r="A867" s="19">
        <f>IF('Supplier selection'!A867="","",'Supplier selection'!A867)</f>
        <v>863</v>
      </c>
      <c r="B867" s="19" t="str">
        <f>IF('Supplier selection'!B867="","",'Supplier selection'!B867)</f>
        <v/>
      </c>
      <c r="C867" s="19" t="str">
        <f>IF('Supplier selection'!C867="","",'Supplier selection'!C867)</f>
        <v/>
      </c>
      <c r="D867" s="19" t="str">
        <f>IF('Supplier selection'!D867="","",'Supplier selection'!D867)</f>
        <v/>
      </c>
      <c r="E867" s="19" t="str">
        <f>IF('Supplier selection'!E867="","",'Supplier selection'!E867)</f>
        <v/>
      </c>
      <c r="F867" s="19" t="str">
        <f>IF('Supplier selection'!F867="","",'Supplier selection'!F867)</f>
        <v/>
      </c>
      <c r="G867" s="19" t="str">
        <f>IF('Supplier selection'!G867="","",'Supplier selection'!G867)</f>
        <v/>
      </c>
      <c r="H867" s="19" t="str">
        <f>IF('Supplier selection'!H867="","",'Supplier selection'!H867)</f>
        <v/>
      </c>
      <c r="I867" s="19" t="str">
        <f>IF('Supplier selection'!I867="","",'Supplier selection'!I867)</f>
        <v/>
      </c>
      <c r="J867" s="19" t="str">
        <f>IF('Supplier selection'!J867="","",'Supplier selection'!J867)</f>
        <v/>
      </c>
      <c r="K867" s="19" t="str">
        <f>IF('Supplier selection'!K867="","",'Supplier selection'!K867)</f>
        <v/>
      </c>
      <c r="L867" s="19" t="str">
        <f>IF('Supplier selection'!L867="","",'Supplier selection'!L867)</f>
        <v/>
      </c>
      <c r="M867" s="19" t="str">
        <f>IF('Supplier selection'!M867="","",'Supplier selection'!M867)</f>
        <v/>
      </c>
      <c r="N867" s="19" t="str">
        <f>IF('Supplier selection'!N867="","",'Supplier selection'!N867)</f>
        <v/>
      </c>
      <c r="O867" s="19" t="str">
        <f>IF('Supplier selection'!O867="","",'Supplier selection'!O867)</f>
        <v/>
      </c>
      <c r="Q867" s="19" t="str">
        <f>HLOOKUP($Q$3,'Supplier selection'!$AW$4:'Supplier selection'!$CT$1000,$A868,FALSE)</f>
        <v/>
      </c>
      <c r="R867" s="22" t="str">
        <f t="shared" si="143"/>
        <v/>
      </c>
      <c r="S867" s="19" t="str">
        <f t="shared" si="144"/>
        <v/>
      </c>
      <c r="T867" s="22" t="str">
        <f t="shared" si="145"/>
        <v/>
      </c>
      <c r="U867" s="19" t="str">
        <f t="shared" si="146"/>
        <v/>
      </c>
      <c r="V867" s="7"/>
      <c r="Y867" s="19" t="str">
        <f>IF('Supplier selection'!AQ867="","",'Supplier selection'!AQ867)</f>
        <v/>
      </c>
      <c r="Z867" s="19" t="str">
        <f>IF('Supplier selection'!AR867="","",'Supplier selection'!AR867)</f>
        <v/>
      </c>
      <c r="AA867" s="19" t="str">
        <f t="shared" si="147"/>
        <v/>
      </c>
      <c r="AD867" s="26" t="str">
        <f>IF(AND('Supplier selection'!X867="",'Supplier selection'!AE867=""),"",IF('Supplier selection'!X867="",'Supplier selection'!AE867,'Supplier selection'!X867))</f>
        <v/>
      </c>
      <c r="AE867" s="19" t="str">
        <f t="shared" si="148"/>
        <v/>
      </c>
      <c r="AF867" s="19" t="str">
        <f t="shared" si="149"/>
        <v/>
      </c>
      <c r="AG867" s="27" t="str">
        <f>IF(AND('Supplier selection'!AB867="",'Supplier selection'!AI867=""),"",IF('Supplier selection'!AB867="",'Supplier selection'!AI867,'Supplier selection'!AB867))</f>
        <v/>
      </c>
      <c r="AH867" s="28" t="str">
        <f t="shared" si="150"/>
        <v/>
      </c>
      <c r="AI867" s="7" t="str">
        <f t="shared" si="151"/>
        <v/>
      </c>
      <c r="AJ867" s="22" t="str">
        <f t="shared" si="152"/>
        <v/>
      </c>
      <c r="AK867" s="29" t="str">
        <f t="shared" si="153"/>
        <v/>
      </c>
      <c r="AL867" s="10"/>
    </row>
    <row r="868" spans="1:38">
      <c r="A868" s="19">
        <f>IF('Supplier selection'!A868="","",'Supplier selection'!A868)</f>
        <v>864</v>
      </c>
      <c r="B868" s="19" t="str">
        <f>IF('Supplier selection'!B868="","",'Supplier selection'!B868)</f>
        <v/>
      </c>
      <c r="C868" s="19" t="str">
        <f>IF('Supplier selection'!C868="","",'Supplier selection'!C868)</f>
        <v/>
      </c>
      <c r="D868" s="19" t="str">
        <f>IF('Supplier selection'!D868="","",'Supplier selection'!D868)</f>
        <v/>
      </c>
      <c r="E868" s="19" t="str">
        <f>IF('Supplier selection'!E868="","",'Supplier selection'!E868)</f>
        <v/>
      </c>
      <c r="F868" s="19" t="str">
        <f>IF('Supplier selection'!F868="","",'Supplier selection'!F868)</f>
        <v/>
      </c>
      <c r="G868" s="19" t="str">
        <f>IF('Supplier selection'!G868="","",'Supplier selection'!G868)</f>
        <v/>
      </c>
      <c r="H868" s="19" t="str">
        <f>IF('Supplier selection'!H868="","",'Supplier selection'!H868)</f>
        <v/>
      </c>
      <c r="I868" s="19" t="str">
        <f>IF('Supplier selection'!I868="","",'Supplier selection'!I868)</f>
        <v/>
      </c>
      <c r="J868" s="19" t="str">
        <f>IF('Supplier selection'!J868="","",'Supplier selection'!J868)</f>
        <v/>
      </c>
      <c r="K868" s="19" t="str">
        <f>IF('Supplier selection'!K868="","",'Supplier selection'!K868)</f>
        <v/>
      </c>
      <c r="L868" s="19" t="str">
        <f>IF('Supplier selection'!L868="","",'Supplier selection'!L868)</f>
        <v/>
      </c>
      <c r="M868" s="19" t="str">
        <f>IF('Supplier selection'!M868="","",'Supplier selection'!M868)</f>
        <v/>
      </c>
      <c r="N868" s="19" t="str">
        <f>IF('Supplier selection'!N868="","",'Supplier selection'!N868)</f>
        <v/>
      </c>
      <c r="O868" s="19" t="str">
        <f>IF('Supplier selection'!O868="","",'Supplier selection'!O868)</f>
        <v/>
      </c>
      <c r="Q868" s="19" t="str">
        <f>HLOOKUP($Q$3,'Supplier selection'!$AW$4:'Supplier selection'!$CT$1000,$A869,FALSE)</f>
        <v/>
      </c>
      <c r="R868" s="22" t="str">
        <f t="shared" si="143"/>
        <v/>
      </c>
      <c r="S868" s="19" t="str">
        <f t="shared" si="144"/>
        <v/>
      </c>
      <c r="T868" s="22" t="str">
        <f t="shared" si="145"/>
        <v/>
      </c>
      <c r="U868" s="19" t="str">
        <f t="shared" si="146"/>
        <v/>
      </c>
      <c r="V868" s="7"/>
      <c r="Y868" s="19" t="str">
        <f>IF('Supplier selection'!AQ868="","",'Supplier selection'!AQ868)</f>
        <v/>
      </c>
      <c r="Z868" s="19" t="str">
        <f>IF('Supplier selection'!AR868="","",'Supplier selection'!AR868)</f>
        <v/>
      </c>
      <c r="AA868" s="19" t="str">
        <f t="shared" si="147"/>
        <v/>
      </c>
      <c r="AD868" s="26" t="str">
        <f>IF(AND('Supplier selection'!X868="",'Supplier selection'!AE868=""),"",IF('Supplier selection'!X868="",'Supplier selection'!AE868,'Supplier selection'!X868))</f>
        <v/>
      </c>
      <c r="AE868" s="19" t="str">
        <f t="shared" si="148"/>
        <v/>
      </c>
      <c r="AF868" s="19" t="str">
        <f t="shared" si="149"/>
        <v/>
      </c>
      <c r="AG868" s="27" t="str">
        <f>IF(AND('Supplier selection'!AB868="",'Supplier selection'!AI868=""),"",IF('Supplier selection'!AB868="",'Supplier selection'!AI868,'Supplier selection'!AB868))</f>
        <v/>
      </c>
      <c r="AH868" s="28" t="str">
        <f t="shared" si="150"/>
        <v/>
      </c>
      <c r="AI868" s="7" t="str">
        <f t="shared" si="151"/>
        <v/>
      </c>
      <c r="AJ868" s="22" t="str">
        <f t="shared" si="152"/>
        <v/>
      </c>
      <c r="AK868" s="29" t="str">
        <f t="shared" si="153"/>
        <v/>
      </c>
      <c r="AL868" s="10"/>
    </row>
    <row r="869" spans="1:38">
      <c r="A869" s="19">
        <f>IF('Supplier selection'!A869="","",'Supplier selection'!A869)</f>
        <v>865</v>
      </c>
      <c r="B869" s="19" t="str">
        <f>IF('Supplier selection'!B869="","",'Supplier selection'!B869)</f>
        <v/>
      </c>
      <c r="C869" s="19" t="str">
        <f>IF('Supplier selection'!C869="","",'Supplier selection'!C869)</f>
        <v/>
      </c>
      <c r="D869" s="19" t="str">
        <f>IF('Supplier selection'!D869="","",'Supplier selection'!D869)</f>
        <v/>
      </c>
      <c r="E869" s="19" t="str">
        <f>IF('Supplier selection'!E869="","",'Supplier selection'!E869)</f>
        <v/>
      </c>
      <c r="F869" s="19" t="str">
        <f>IF('Supplier selection'!F869="","",'Supplier selection'!F869)</f>
        <v/>
      </c>
      <c r="G869" s="19" t="str">
        <f>IF('Supplier selection'!G869="","",'Supplier selection'!G869)</f>
        <v/>
      </c>
      <c r="H869" s="19" t="str">
        <f>IF('Supplier selection'!H869="","",'Supplier selection'!H869)</f>
        <v/>
      </c>
      <c r="I869" s="19" t="str">
        <f>IF('Supplier selection'!I869="","",'Supplier selection'!I869)</f>
        <v/>
      </c>
      <c r="J869" s="19" t="str">
        <f>IF('Supplier selection'!J869="","",'Supplier selection'!J869)</f>
        <v/>
      </c>
      <c r="K869" s="19" t="str">
        <f>IF('Supplier selection'!K869="","",'Supplier selection'!K869)</f>
        <v/>
      </c>
      <c r="L869" s="19" t="str">
        <f>IF('Supplier selection'!L869="","",'Supplier selection'!L869)</f>
        <v/>
      </c>
      <c r="M869" s="19" t="str">
        <f>IF('Supplier selection'!M869="","",'Supplier selection'!M869)</f>
        <v/>
      </c>
      <c r="N869" s="19" t="str">
        <f>IF('Supplier selection'!N869="","",'Supplier selection'!N869)</f>
        <v/>
      </c>
      <c r="O869" s="19" t="str">
        <f>IF('Supplier selection'!O869="","",'Supplier selection'!O869)</f>
        <v/>
      </c>
      <c r="Q869" s="19" t="str">
        <f>HLOOKUP($Q$3,'Supplier selection'!$AW$4:'Supplier selection'!$CT$1000,$A870,FALSE)</f>
        <v/>
      </c>
      <c r="R869" s="22" t="str">
        <f t="shared" si="143"/>
        <v/>
      </c>
      <c r="S869" s="19" t="str">
        <f t="shared" si="144"/>
        <v/>
      </c>
      <c r="T869" s="22" t="str">
        <f t="shared" si="145"/>
        <v/>
      </c>
      <c r="U869" s="19" t="str">
        <f t="shared" si="146"/>
        <v/>
      </c>
      <c r="V869" s="7"/>
      <c r="Y869" s="19" t="str">
        <f>IF('Supplier selection'!AQ869="","",'Supplier selection'!AQ869)</f>
        <v/>
      </c>
      <c r="Z869" s="19" t="str">
        <f>IF('Supplier selection'!AR869="","",'Supplier selection'!AR869)</f>
        <v/>
      </c>
      <c r="AA869" s="19" t="str">
        <f t="shared" si="147"/>
        <v/>
      </c>
      <c r="AD869" s="26" t="str">
        <f>IF(AND('Supplier selection'!X869="",'Supplier selection'!AE869=""),"",IF('Supplier selection'!X869="",'Supplier selection'!AE869,'Supplier selection'!X869))</f>
        <v/>
      </c>
      <c r="AE869" s="19" t="str">
        <f t="shared" si="148"/>
        <v/>
      </c>
      <c r="AF869" s="19" t="str">
        <f t="shared" si="149"/>
        <v/>
      </c>
      <c r="AG869" s="27" t="str">
        <f>IF(AND('Supplier selection'!AB869="",'Supplier selection'!AI869=""),"",IF('Supplier selection'!AB869="",'Supplier selection'!AI869,'Supplier selection'!AB869))</f>
        <v/>
      </c>
      <c r="AH869" s="28" t="str">
        <f t="shared" si="150"/>
        <v/>
      </c>
      <c r="AI869" s="7" t="str">
        <f t="shared" si="151"/>
        <v/>
      </c>
      <c r="AJ869" s="22" t="str">
        <f t="shared" si="152"/>
        <v/>
      </c>
      <c r="AK869" s="29" t="str">
        <f t="shared" si="153"/>
        <v/>
      </c>
      <c r="AL869" s="10"/>
    </row>
    <row r="870" spans="1:38">
      <c r="A870" s="19">
        <f>IF('Supplier selection'!A870="","",'Supplier selection'!A870)</f>
        <v>866</v>
      </c>
      <c r="B870" s="19" t="str">
        <f>IF('Supplier selection'!B870="","",'Supplier selection'!B870)</f>
        <v/>
      </c>
      <c r="C870" s="19" t="str">
        <f>IF('Supplier selection'!C870="","",'Supplier selection'!C870)</f>
        <v/>
      </c>
      <c r="D870" s="19" t="str">
        <f>IF('Supplier selection'!D870="","",'Supplier selection'!D870)</f>
        <v/>
      </c>
      <c r="E870" s="19" t="str">
        <f>IF('Supplier selection'!E870="","",'Supplier selection'!E870)</f>
        <v/>
      </c>
      <c r="F870" s="19" t="str">
        <f>IF('Supplier selection'!F870="","",'Supplier selection'!F870)</f>
        <v/>
      </c>
      <c r="G870" s="19" t="str">
        <f>IF('Supplier selection'!G870="","",'Supplier selection'!G870)</f>
        <v/>
      </c>
      <c r="H870" s="19" t="str">
        <f>IF('Supplier selection'!H870="","",'Supplier selection'!H870)</f>
        <v/>
      </c>
      <c r="I870" s="19" t="str">
        <f>IF('Supplier selection'!I870="","",'Supplier selection'!I870)</f>
        <v/>
      </c>
      <c r="J870" s="19" t="str">
        <f>IF('Supplier selection'!J870="","",'Supplier selection'!J870)</f>
        <v/>
      </c>
      <c r="K870" s="19" t="str">
        <f>IF('Supplier selection'!K870="","",'Supplier selection'!K870)</f>
        <v/>
      </c>
      <c r="L870" s="19" t="str">
        <f>IF('Supplier selection'!L870="","",'Supplier selection'!L870)</f>
        <v/>
      </c>
      <c r="M870" s="19" t="str">
        <f>IF('Supplier selection'!M870="","",'Supplier selection'!M870)</f>
        <v/>
      </c>
      <c r="N870" s="19" t="str">
        <f>IF('Supplier selection'!N870="","",'Supplier selection'!N870)</f>
        <v/>
      </c>
      <c r="O870" s="19" t="str">
        <f>IF('Supplier selection'!O870="","",'Supplier selection'!O870)</f>
        <v/>
      </c>
      <c r="Q870" s="19" t="str">
        <f>HLOOKUP($Q$3,'Supplier selection'!$AW$4:'Supplier selection'!$CT$1000,$A871,FALSE)</f>
        <v/>
      </c>
      <c r="R870" s="22" t="str">
        <f t="shared" si="143"/>
        <v/>
      </c>
      <c r="S870" s="19" t="str">
        <f t="shared" si="144"/>
        <v/>
      </c>
      <c r="T870" s="22" t="str">
        <f t="shared" si="145"/>
        <v/>
      </c>
      <c r="U870" s="19" t="str">
        <f t="shared" si="146"/>
        <v/>
      </c>
      <c r="V870" s="7"/>
      <c r="Y870" s="19" t="str">
        <f>IF('Supplier selection'!AQ870="","",'Supplier selection'!AQ870)</f>
        <v/>
      </c>
      <c r="Z870" s="19" t="str">
        <f>IF('Supplier selection'!AR870="","",'Supplier selection'!AR870)</f>
        <v/>
      </c>
      <c r="AA870" s="19" t="str">
        <f t="shared" si="147"/>
        <v/>
      </c>
      <c r="AD870" s="26" t="str">
        <f>IF(AND('Supplier selection'!X870="",'Supplier selection'!AE870=""),"",IF('Supplier selection'!X870="",'Supplier selection'!AE870,'Supplier selection'!X870))</f>
        <v/>
      </c>
      <c r="AE870" s="19" t="str">
        <f t="shared" si="148"/>
        <v/>
      </c>
      <c r="AF870" s="19" t="str">
        <f t="shared" si="149"/>
        <v/>
      </c>
      <c r="AG870" s="27" t="str">
        <f>IF(AND('Supplier selection'!AB870="",'Supplier selection'!AI870=""),"",IF('Supplier selection'!AB870="",'Supplier selection'!AI870,'Supplier selection'!AB870))</f>
        <v/>
      </c>
      <c r="AH870" s="28" t="str">
        <f t="shared" si="150"/>
        <v/>
      </c>
      <c r="AI870" s="7" t="str">
        <f t="shared" si="151"/>
        <v/>
      </c>
      <c r="AJ870" s="22" t="str">
        <f t="shared" si="152"/>
        <v/>
      </c>
      <c r="AK870" s="29" t="str">
        <f t="shared" si="153"/>
        <v/>
      </c>
      <c r="AL870" s="10"/>
    </row>
    <row r="871" spans="1:38">
      <c r="A871" s="19">
        <f>IF('Supplier selection'!A871="","",'Supplier selection'!A871)</f>
        <v>867</v>
      </c>
      <c r="B871" s="19" t="str">
        <f>IF('Supplier selection'!B871="","",'Supplier selection'!B871)</f>
        <v/>
      </c>
      <c r="C871" s="19" t="str">
        <f>IF('Supplier selection'!C871="","",'Supplier selection'!C871)</f>
        <v/>
      </c>
      <c r="D871" s="19" t="str">
        <f>IF('Supplier selection'!D871="","",'Supplier selection'!D871)</f>
        <v/>
      </c>
      <c r="E871" s="19" t="str">
        <f>IF('Supplier selection'!E871="","",'Supplier selection'!E871)</f>
        <v/>
      </c>
      <c r="F871" s="19" t="str">
        <f>IF('Supplier selection'!F871="","",'Supplier selection'!F871)</f>
        <v/>
      </c>
      <c r="G871" s="19" t="str">
        <f>IF('Supplier selection'!G871="","",'Supplier selection'!G871)</f>
        <v/>
      </c>
      <c r="H871" s="19" t="str">
        <f>IF('Supplier selection'!H871="","",'Supplier selection'!H871)</f>
        <v/>
      </c>
      <c r="I871" s="19" t="str">
        <f>IF('Supplier selection'!I871="","",'Supplier selection'!I871)</f>
        <v/>
      </c>
      <c r="J871" s="19" t="str">
        <f>IF('Supplier selection'!J871="","",'Supplier selection'!J871)</f>
        <v/>
      </c>
      <c r="K871" s="19" t="str">
        <f>IF('Supplier selection'!K871="","",'Supplier selection'!K871)</f>
        <v/>
      </c>
      <c r="L871" s="19" t="str">
        <f>IF('Supplier selection'!L871="","",'Supplier selection'!L871)</f>
        <v/>
      </c>
      <c r="M871" s="19" t="str">
        <f>IF('Supplier selection'!M871="","",'Supplier selection'!M871)</f>
        <v/>
      </c>
      <c r="N871" s="19" t="str">
        <f>IF('Supplier selection'!N871="","",'Supplier selection'!N871)</f>
        <v/>
      </c>
      <c r="O871" s="19" t="str">
        <f>IF('Supplier selection'!O871="","",'Supplier selection'!O871)</f>
        <v/>
      </c>
      <c r="Q871" s="19" t="str">
        <f>HLOOKUP($Q$3,'Supplier selection'!$AW$4:'Supplier selection'!$CT$1000,$A872,FALSE)</f>
        <v/>
      </c>
      <c r="R871" s="22" t="str">
        <f t="shared" si="143"/>
        <v/>
      </c>
      <c r="S871" s="19" t="str">
        <f t="shared" si="144"/>
        <v/>
      </c>
      <c r="T871" s="22" t="str">
        <f t="shared" si="145"/>
        <v/>
      </c>
      <c r="U871" s="19" t="str">
        <f t="shared" si="146"/>
        <v/>
      </c>
      <c r="V871" s="7"/>
      <c r="Y871" s="19" t="str">
        <f>IF('Supplier selection'!AQ871="","",'Supplier selection'!AQ871)</f>
        <v/>
      </c>
      <c r="Z871" s="19" t="str">
        <f>IF('Supplier selection'!AR871="","",'Supplier selection'!AR871)</f>
        <v/>
      </c>
      <c r="AA871" s="19" t="str">
        <f t="shared" si="147"/>
        <v/>
      </c>
      <c r="AD871" s="26" t="str">
        <f>IF(AND('Supplier selection'!X871="",'Supplier selection'!AE871=""),"",IF('Supplier selection'!X871="",'Supplier selection'!AE871,'Supplier selection'!X871))</f>
        <v/>
      </c>
      <c r="AE871" s="19" t="str">
        <f t="shared" si="148"/>
        <v/>
      </c>
      <c r="AF871" s="19" t="str">
        <f t="shared" si="149"/>
        <v/>
      </c>
      <c r="AG871" s="27" t="str">
        <f>IF(AND('Supplier selection'!AB871="",'Supplier selection'!AI871=""),"",IF('Supplier selection'!AB871="",'Supplier selection'!AI871,'Supplier selection'!AB871))</f>
        <v/>
      </c>
      <c r="AH871" s="28" t="str">
        <f t="shared" si="150"/>
        <v/>
      </c>
      <c r="AI871" s="7" t="str">
        <f t="shared" si="151"/>
        <v/>
      </c>
      <c r="AJ871" s="22" t="str">
        <f t="shared" si="152"/>
        <v/>
      </c>
      <c r="AK871" s="29" t="str">
        <f t="shared" si="153"/>
        <v/>
      </c>
      <c r="AL871" s="10"/>
    </row>
    <row r="872" spans="1:38">
      <c r="A872" s="19">
        <f>IF('Supplier selection'!A872="","",'Supplier selection'!A872)</f>
        <v>868</v>
      </c>
      <c r="B872" s="19" t="str">
        <f>IF('Supplier selection'!B872="","",'Supplier selection'!B872)</f>
        <v/>
      </c>
      <c r="C872" s="19" t="str">
        <f>IF('Supplier selection'!C872="","",'Supplier selection'!C872)</f>
        <v/>
      </c>
      <c r="D872" s="19" t="str">
        <f>IF('Supplier selection'!D872="","",'Supplier selection'!D872)</f>
        <v/>
      </c>
      <c r="E872" s="19" t="str">
        <f>IF('Supplier selection'!E872="","",'Supplier selection'!E872)</f>
        <v/>
      </c>
      <c r="F872" s="19" t="str">
        <f>IF('Supplier selection'!F872="","",'Supplier selection'!F872)</f>
        <v/>
      </c>
      <c r="G872" s="19" t="str">
        <f>IF('Supplier selection'!G872="","",'Supplier selection'!G872)</f>
        <v/>
      </c>
      <c r="H872" s="19" t="str">
        <f>IF('Supplier selection'!H872="","",'Supplier selection'!H872)</f>
        <v/>
      </c>
      <c r="I872" s="19" t="str">
        <f>IF('Supplier selection'!I872="","",'Supplier selection'!I872)</f>
        <v/>
      </c>
      <c r="J872" s="19" t="str">
        <f>IF('Supplier selection'!J872="","",'Supplier selection'!J872)</f>
        <v/>
      </c>
      <c r="K872" s="19" t="str">
        <f>IF('Supplier selection'!K872="","",'Supplier selection'!K872)</f>
        <v/>
      </c>
      <c r="L872" s="19" t="str">
        <f>IF('Supplier selection'!L872="","",'Supplier selection'!L872)</f>
        <v/>
      </c>
      <c r="M872" s="19" t="str">
        <f>IF('Supplier selection'!M872="","",'Supplier selection'!M872)</f>
        <v/>
      </c>
      <c r="N872" s="19" t="str">
        <f>IF('Supplier selection'!N872="","",'Supplier selection'!N872)</f>
        <v/>
      </c>
      <c r="O872" s="19" t="str">
        <f>IF('Supplier selection'!O872="","",'Supplier selection'!O872)</f>
        <v/>
      </c>
      <c r="Q872" s="19" t="str">
        <f>HLOOKUP($Q$3,'Supplier selection'!$AW$4:'Supplier selection'!$CT$1000,$A873,FALSE)</f>
        <v/>
      </c>
      <c r="R872" s="22" t="str">
        <f t="shared" si="143"/>
        <v/>
      </c>
      <c r="S872" s="19" t="str">
        <f t="shared" si="144"/>
        <v/>
      </c>
      <c r="T872" s="22" t="str">
        <f t="shared" si="145"/>
        <v/>
      </c>
      <c r="U872" s="19" t="str">
        <f t="shared" si="146"/>
        <v/>
      </c>
      <c r="V872" s="7"/>
      <c r="Y872" s="19" t="str">
        <f>IF('Supplier selection'!AQ872="","",'Supplier selection'!AQ872)</f>
        <v/>
      </c>
      <c r="Z872" s="19" t="str">
        <f>IF('Supplier selection'!AR872="","",'Supplier selection'!AR872)</f>
        <v/>
      </c>
      <c r="AA872" s="19" t="str">
        <f t="shared" si="147"/>
        <v/>
      </c>
      <c r="AD872" s="26" t="str">
        <f>IF(AND('Supplier selection'!X872="",'Supplier selection'!AE872=""),"",IF('Supplier selection'!X872="",'Supplier selection'!AE872,'Supplier selection'!X872))</f>
        <v/>
      </c>
      <c r="AE872" s="19" t="str">
        <f t="shared" si="148"/>
        <v/>
      </c>
      <c r="AF872" s="19" t="str">
        <f t="shared" si="149"/>
        <v/>
      </c>
      <c r="AG872" s="27" t="str">
        <f>IF(AND('Supplier selection'!AB872="",'Supplier selection'!AI872=""),"",IF('Supplier selection'!AB872="",'Supplier selection'!AI872,'Supplier selection'!AB872))</f>
        <v/>
      </c>
      <c r="AH872" s="28" t="str">
        <f t="shared" si="150"/>
        <v/>
      </c>
      <c r="AI872" s="7" t="str">
        <f t="shared" si="151"/>
        <v/>
      </c>
      <c r="AJ872" s="22" t="str">
        <f t="shared" si="152"/>
        <v/>
      </c>
      <c r="AK872" s="29" t="str">
        <f t="shared" si="153"/>
        <v/>
      </c>
      <c r="AL872" s="10"/>
    </row>
    <row r="873" spans="1:38">
      <c r="A873" s="19">
        <f>IF('Supplier selection'!A873="","",'Supplier selection'!A873)</f>
        <v>869</v>
      </c>
      <c r="B873" s="19" t="str">
        <f>IF('Supplier selection'!B873="","",'Supplier selection'!B873)</f>
        <v/>
      </c>
      <c r="C873" s="19" t="str">
        <f>IF('Supplier selection'!C873="","",'Supplier selection'!C873)</f>
        <v/>
      </c>
      <c r="D873" s="19" t="str">
        <f>IF('Supplier selection'!D873="","",'Supplier selection'!D873)</f>
        <v/>
      </c>
      <c r="E873" s="19" t="str">
        <f>IF('Supplier selection'!E873="","",'Supplier selection'!E873)</f>
        <v/>
      </c>
      <c r="F873" s="19" t="str">
        <f>IF('Supplier selection'!F873="","",'Supplier selection'!F873)</f>
        <v/>
      </c>
      <c r="G873" s="19" t="str">
        <f>IF('Supplier selection'!G873="","",'Supplier selection'!G873)</f>
        <v/>
      </c>
      <c r="H873" s="19" t="str">
        <f>IF('Supplier selection'!H873="","",'Supplier selection'!H873)</f>
        <v/>
      </c>
      <c r="I873" s="19" t="str">
        <f>IF('Supplier selection'!I873="","",'Supplier selection'!I873)</f>
        <v/>
      </c>
      <c r="J873" s="19" t="str">
        <f>IF('Supplier selection'!J873="","",'Supplier selection'!J873)</f>
        <v/>
      </c>
      <c r="K873" s="19" t="str">
        <f>IF('Supplier selection'!K873="","",'Supplier selection'!K873)</f>
        <v/>
      </c>
      <c r="L873" s="19" t="str">
        <f>IF('Supplier selection'!L873="","",'Supplier selection'!L873)</f>
        <v/>
      </c>
      <c r="M873" s="19" t="str">
        <f>IF('Supplier selection'!M873="","",'Supplier selection'!M873)</f>
        <v/>
      </c>
      <c r="N873" s="19" t="str">
        <f>IF('Supplier selection'!N873="","",'Supplier selection'!N873)</f>
        <v/>
      </c>
      <c r="O873" s="19" t="str">
        <f>IF('Supplier selection'!O873="","",'Supplier selection'!O873)</f>
        <v/>
      </c>
      <c r="Q873" s="19" t="str">
        <f>HLOOKUP($Q$3,'Supplier selection'!$AW$4:'Supplier selection'!$CT$1000,$A874,FALSE)</f>
        <v/>
      </c>
      <c r="R873" s="22" t="str">
        <f t="shared" si="143"/>
        <v/>
      </c>
      <c r="S873" s="19" t="str">
        <f t="shared" si="144"/>
        <v/>
      </c>
      <c r="T873" s="22" t="str">
        <f t="shared" si="145"/>
        <v/>
      </c>
      <c r="U873" s="19" t="str">
        <f t="shared" si="146"/>
        <v/>
      </c>
      <c r="V873" s="7"/>
      <c r="Y873" s="19" t="str">
        <f>IF('Supplier selection'!AQ873="","",'Supplier selection'!AQ873)</f>
        <v/>
      </c>
      <c r="Z873" s="19" t="str">
        <f>IF('Supplier selection'!AR873="","",'Supplier selection'!AR873)</f>
        <v/>
      </c>
      <c r="AA873" s="19" t="str">
        <f t="shared" si="147"/>
        <v/>
      </c>
      <c r="AD873" s="26" t="str">
        <f>IF(AND('Supplier selection'!X873="",'Supplier selection'!AE873=""),"",IF('Supplier selection'!X873="",'Supplier selection'!AE873,'Supplier selection'!X873))</f>
        <v/>
      </c>
      <c r="AE873" s="19" t="str">
        <f t="shared" si="148"/>
        <v/>
      </c>
      <c r="AF873" s="19" t="str">
        <f t="shared" si="149"/>
        <v/>
      </c>
      <c r="AG873" s="27" t="str">
        <f>IF(AND('Supplier selection'!AB873="",'Supplier selection'!AI873=""),"",IF('Supplier selection'!AB873="",'Supplier selection'!AI873,'Supplier selection'!AB873))</f>
        <v/>
      </c>
      <c r="AH873" s="28" t="str">
        <f t="shared" si="150"/>
        <v/>
      </c>
      <c r="AI873" s="7" t="str">
        <f t="shared" si="151"/>
        <v/>
      </c>
      <c r="AJ873" s="22" t="str">
        <f t="shared" si="152"/>
        <v/>
      </c>
      <c r="AK873" s="29" t="str">
        <f t="shared" si="153"/>
        <v/>
      </c>
      <c r="AL873" s="10"/>
    </row>
    <row r="874" spans="1:38">
      <c r="A874" s="19">
        <f>IF('Supplier selection'!A874="","",'Supplier selection'!A874)</f>
        <v>870</v>
      </c>
      <c r="B874" s="19" t="str">
        <f>IF('Supplier selection'!B874="","",'Supplier selection'!B874)</f>
        <v/>
      </c>
      <c r="C874" s="19" t="str">
        <f>IF('Supplier selection'!C874="","",'Supplier selection'!C874)</f>
        <v/>
      </c>
      <c r="D874" s="19" t="str">
        <f>IF('Supplier selection'!D874="","",'Supplier selection'!D874)</f>
        <v/>
      </c>
      <c r="E874" s="19" t="str">
        <f>IF('Supplier selection'!E874="","",'Supplier selection'!E874)</f>
        <v/>
      </c>
      <c r="F874" s="19" t="str">
        <f>IF('Supplier selection'!F874="","",'Supplier selection'!F874)</f>
        <v/>
      </c>
      <c r="G874" s="19" t="str">
        <f>IF('Supplier selection'!G874="","",'Supplier selection'!G874)</f>
        <v/>
      </c>
      <c r="H874" s="19" t="str">
        <f>IF('Supplier selection'!H874="","",'Supplier selection'!H874)</f>
        <v/>
      </c>
      <c r="I874" s="19" t="str">
        <f>IF('Supplier selection'!I874="","",'Supplier selection'!I874)</f>
        <v/>
      </c>
      <c r="J874" s="19" t="str">
        <f>IF('Supplier selection'!J874="","",'Supplier selection'!J874)</f>
        <v/>
      </c>
      <c r="K874" s="19" t="str">
        <f>IF('Supplier selection'!K874="","",'Supplier selection'!K874)</f>
        <v/>
      </c>
      <c r="L874" s="19" t="str">
        <f>IF('Supplier selection'!L874="","",'Supplier selection'!L874)</f>
        <v/>
      </c>
      <c r="M874" s="19" t="str">
        <f>IF('Supplier selection'!M874="","",'Supplier selection'!M874)</f>
        <v/>
      </c>
      <c r="N874" s="19" t="str">
        <f>IF('Supplier selection'!N874="","",'Supplier selection'!N874)</f>
        <v/>
      </c>
      <c r="O874" s="19" t="str">
        <f>IF('Supplier selection'!O874="","",'Supplier selection'!O874)</f>
        <v/>
      </c>
      <c r="Q874" s="19" t="str">
        <f>HLOOKUP($Q$3,'Supplier selection'!$AW$4:'Supplier selection'!$CT$1000,$A875,FALSE)</f>
        <v/>
      </c>
      <c r="R874" s="22" t="str">
        <f t="shared" si="143"/>
        <v/>
      </c>
      <c r="S874" s="19" t="str">
        <f t="shared" si="144"/>
        <v/>
      </c>
      <c r="T874" s="22" t="str">
        <f t="shared" si="145"/>
        <v/>
      </c>
      <c r="U874" s="19" t="str">
        <f t="shared" si="146"/>
        <v/>
      </c>
      <c r="V874" s="7"/>
      <c r="Y874" s="19" t="str">
        <f>IF('Supplier selection'!AQ874="","",'Supplier selection'!AQ874)</f>
        <v/>
      </c>
      <c r="Z874" s="19" t="str">
        <f>IF('Supplier selection'!AR874="","",'Supplier selection'!AR874)</f>
        <v/>
      </c>
      <c r="AA874" s="19" t="str">
        <f t="shared" si="147"/>
        <v/>
      </c>
      <c r="AD874" s="26" t="str">
        <f>IF(AND('Supplier selection'!X874="",'Supplier selection'!AE874=""),"",IF('Supplier selection'!X874="",'Supplier selection'!AE874,'Supplier selection'!X874))</f>
        <v/>
      </c>
      <c r="AE874" s="19" t="str">
        <f t="shared" si="148"/>
        <v/>
      </c>
      <c r="AF874" s="19" t="str">
        <f t="shared" si="149"/>
        <v/>
      </c>
      <c r="AG874" s="27" t="str">
        <f>IF(AND('Supplier selection'!AB874="",'Supplier selection'!AI874=""),"",IF('Supplier selection'!AB874="",'Supplier selection'!AI874,'Supplier selection'!AB874))</f>
        <v/>
      </c>
      <c r="AH874" s="28" t="str">
        <f t="shared" si="150"/>
        <v/>
      </c>
      <c r="AI874" s="7" t="str">
        <f t="shared" si="151"/>
        <v/>
      </c>
      <c r="AJ874" s="22" t="str">
        <f t="shared" si="152"/>
        <v/>
      </c>
      <c r="AK874" s="29" t="str">
        <f t="shared" si="153"/>
        <v/>
      </c>
      <c r="AL874" s="10"/>
    </row>
    <row r="875" spans="1:38">
      <c r="A875" s="19">
        <f>IF('Supplier selection'!A875="","",'Supplier selection'!A875)</f>
        <v>871</v>
      </c>
      <c r="B875" s="19" t="str">
        <f>IF('Supplier selection'!B875="","",'Supplier selection'!B875)</f>
        <v/>
      </c>
      <c r="C875" s="19" t="str">
        <f>IF('Supplier selection'!C875="","",'Supplier selection'!C875)</f>
        <v/>
      </c>
      <c r="D875" s="19" t="str">
        <f>IF('Supplier selection'!D875="","",'Supplier selection'!D875)</f>
        <v/>
      </c>
      <c r="E875" s="19" t="str">
        <f>IF('Supplier selection'!E875="","",'Supplier selection'!E875)</f>
        <v/>
      </c>
      <c r="F875" s="19" t="str">
        <f>IF('Supplier selection'!F875="","",'Supplier selection'!F875)</f>
        <v/>
      </c>
      <c r="G875" s="19" t="str">
        <f>IF('Supplier selection'!G875="","",'Supplier selection'!G875)</f>
        <v/>
      </c>
      <c r="H875" s="19" t="str">
        <f>IF('Supplier selection'!H875="","",'Supplier selection'!H875)</f>
        <v/>
      </c>
      <c r="I875" s="19" t="str">
        <f>IF('Supplier selection'!I875="","",'Supplier selection'!I875)</f>
        <v/>
      </c>
      <c r="J875" s="19" t="str">
        <f>IF('Supplier selection'!J875="","",'Supplier selection'!J875)</f>
        <v/>
      </c>
      <c r="K875" s="19" t="str">
        <f>IF('Supplier selection'!K875="","",'Supplier selection'!K875)</f>
        <v/>
      </c>
      <c r="L875" s="19" t="str">
        <f>IF('Supplier selection'!L875="","",'Supplier selection'!L875)</f>
        <v/>
      </c>
      <c r="M875" s="19" t="str">
        <f>IF('Supplier selection'!M875="","",'Supplier selection'!M875)</f>
        <v/>
      </c>
      <c r="N875" s="19" t="str">
        <f>IF('Supplier selection'!N875="","",'Supplier selection'!N875)</f>
        <v/>
      </c>
      <c r="O875" s="19" t="str">
        <f>IF('Supplier selection'!O875="","",'Supplier selection'!O875)</f>
        <v/>
      </c>
      <c r="Q875" s="19" t="str">
        <f>HLOOKUP($Q$3,'Supplier selection'!$AW$4:'Supplier selection'!$CT$1000,$A876,FALSE)</f>
        <v/>
      </c>
      <c r="R875" s="22" t="str">
        <f t="shared" si="143"/>
        <v/>
      </c>
      <c r="S875" s="19" t="str">
        <f t="shared" si="144"/>
        <v/>
      </c>
      <c r="T875" s="22" t="str">
        <f t="shared" si="145"/>
        <v/>
      </c>
      <c r="U875" s="19" t="str">
        <f t="shared" si="146"/>
        <v/>
      </c>
      <c r="V875" s="7"/>
      <c r="Y875" s="19" t="str">
        <f>IF('Supplier selection'!AQ875="","",'Supplier selection'!AQ875)</f>
        <v/>
      </c>
      <c r="Z875" s="19" t="str">
        <f>IF('Supplier selection'!AR875="","",'Supplier selection'!AR875)</f>
        <v/>
      </c>
      <c r="AA875" s="19" t="str">
        <f t="shared" si="147"/>
        <v/>
      </c>
      <c r="AD875" s="26" t="str">
        <f>IF(AND('Supplier selection'!X875="",'Supplier selection'!AE875=""),"",IF('Supplier selection'!X875="",'Supplier selection'!AE875,'Supplier selection'!X875))</f>
        <v/>
      </c>
      <c r="AE875" s="19" t="str">
        <f t="shared" si="148"/>
        <v/>
      </c>
      <c r="AF875" s="19" t="str">
        <f t="shared" si="149"/>
        <v/>
      </c>
      <c r="AG875" s="27" t="str">
        <f>IF(AND('Supplier selection'!AB875="",'Supplier selection'!AI875=""),"",IF('Supplier selection'!AB875="",'Supplier selection'!AI875,'Supplier selection'!AB875))</f>
        <v/>
      </c>
      <c r="AH875" s="28" t="str">
        <f t="shared" si="150"/>
        <v/>
      </c>
      <c r="AI875" s="7" t="str">
        <f t="shared" si="151"/>
        <v/>
      </c>
      <c r="AJ875" s="22" t="str">
        <f t="shared" si="152"/>
        <v/>
      </c>
      <c r="AK875" s="29" t="str">
        <f t="shared" si="153"/>
        <v/>
      </c>
      <c r="AL875" s="10"/>
    </row>
    <row r="876" spans="1:38">
      <c r="A876" s="19">
        <f>IF('Supplier selection'!A876="","",'Supplier selection'!A876)</f>
        <v>872</v>
      </c>
      <c r="B876" s="19" t="str">
        <f>IF('Supplier selection'!B876="","",'Supplier selection'!B876)</f>
        <v/>
      </c>
      <c r="C876" s="19" t="str">
        <f>IF('Supplier selection'!C876="","",'Supplier selection'!C876)</f>
        <v/>
      </c>
      <c r="D876" s="19" t="str">
        <f>IF('Supplier selection'!D876="","",'Supplier selection'!D876)</f>
        <v/>
      </c>
      <c r="E876" s="19" t="str">
        <f>IF('Supplier selection'!E876="","",'Supplier selection'!E876)</f>
        <v/>
      </c>
      <c r="F876" s="19" t="str">
        <f>IF('Supplier selection'!F876="","",'Supplier selection'!F876)</f>
        <v/>
      </c>
      <c r="G876" s="19" t="str">
        <f>IF('Supplier selection'!G876="","",'Supplier selection'!G876)</f>
        <v/>
      </c>
      <c r="H876" s="19" t="str">
        <f>IF('Supplier selection'!H876="","",'Supplier selection'!H876)</f>
        <v/>
      </c>
      <c r="I876" s="19" t="str">
        <f>IF('Supplier selection'!I876="","",'Supplier selection'!I876)</f>
        <v/>
      </c>
      <c r="J876" s="19" t="str">
        <f>IF('Supplier selection'!J876="","",'Supplier selection'!J876)</f>
        <v/>
      </c>
      <c r="K876" s="19" t="str">
        <f>IF('Supplier selection'!K876="","",'Supplier selection'!K876)</f>
        <v/>
      </c>
      <c r="L876" s="19" t="str">
        <f>IF('Supplier selection'!L876="","",'Supplier selection'!L876)</f>
        <v/>
      </c>
      <c r="M876" s="19" t="str">
        <f>IF('Supplier selection'!M876="","",'Supplier selection'!M876)</f>
        <v/>
      </c>
      <c r="N876" s="19" t="str">
        <f>IF('Supplier selection'!N876="","",'Supplier selection'!N876)</f>
        <v/>
      </c>
      <c r="O876" s="19" t="str">
        <f>IF('Supplier selection'!O876="","",'Supplier selection'!O876)</f>
        <v/>
      </c>
      <c r="Q876" s="19" t="str">
        <f>HLOOKUP($Q$3,'Supplier selection'!$AW$4:'Supplier selection'!$CT$1000,$A877,FALSE)</f>
        <v/>
      </c>
      <c r="R876" s="22" t="str">
        <f t="shared" si="143"/>
        <v/>
      </c>
      <c r="S876" s="19" t="str">
        <f t="shared" si="144"/>
        <v/>
      </c>
      <c r="T876" s="22" t="str">
        <f t="shared" si="145"/>
        <v/>
      </c>
      <c r="U876" s="19" t="str">
        <f t="shared" si="146"/>
        <v/>
      </c>
      <c r="V876" s="7"/>
      <c r="Y876" s="19" t="str">
        <f>IF('Supplier selection'!AQ876="","",'Supplier selection'!AQ876)</f>
        <v/>
      </c>
      <c r="Z876" s="19" t="str">
        <f>IF('Supplier selection'!AR876="","",'Supplier selection'!AR876)</f>
        <v/>
      </c>
      <c r="AA876" s="19" t="str">
        <f t="shared" si="147"/>
        <v/>
      </c>
      <c r="AD876" s="26" t="str">
        <f>IF(AND('Supplier selection'!X876="",'Supplier selection'!AE876=""),"",IF('Supplier selection'!X876="",'Supplier selection'!AE876,'Supplier selection'!X876))</f>
        <v/>
      </c>
      <c r="AE876" s="19" t="str">
        <f t="shared" si="148"/>
        <v/>
      </c>
      <c r="AF876" s="19" t="str">
        <f t="shared" si="149"/>
        <v/>
      </c>
      <c r="AG876" s="27" t="str">
        <f>IF(AND('Supplier selection'!AB876="",'Supplier selection'!AI876=""),"",IF('Supplier selection'!AB876="",'Supplier selection'!AI876,'Supplier selection'!AB876))</f>
        <v/>
      </c>
      <c r="AH876" s="28" t="str">
        <f t="shared" si="150"/>
        <v/>
      </c>
      <c r="AI876" s="7" t="str">
        <f t="shared" si="151"/>
        <v/>
      </c>
      <c r="AJ876" s="22" t="str">
        <f t="shared" si="152"/>
        <v/>
      </c>
      <c r="AK876" s="29" t="str">
        <f t="shared" si="153"/>
        <v/>
      </c>
      <c r="AL876" s="10"/>
    </row>
    <row r="877" spans="1:38">
      <c r="A877" s="19">
        <f>IF('Supplier selection'!A877="","",'Supplier selection'!A877)</f>
        <v>873</v>
      </c>
      <c r="B877" s="19" t="str">
        <f>IF('Supplier selection'!B877="","",'Supplier selection'!B877)</f>
        <v/>
      </c>
      <c r="C877" s="19" t="str">
        <f>IF('Supplier selection'!C877="","",'Supplier selection'!C877)</f>
        <v/>
      </c>
      <c r="D877" s="19" t="str">
        <f>IF('Supplier selection'!D877="","",'Supplier selection'!D877)</f>
        <v/>
      </c>
      <c r="E877" s="19" t="str">
        <f>IF('Supplier selection'!E877="","",'Supplier selection'!E877)</f>
        <v/>
      </c>
      <c r="F877" s="19" t="str">
        <f>IF('Supplier selection'!F877="","",'Supplier selection'!F877)</f>
        <v/>
      </c>
      <c r="G877" s="19" t="str">
        <f>IF('Supplier selection'!G877="","",'Supplier selection'!G877)</f>
        <v/>
      </c>
      <c r="H877" s="19" t="str">
        <f>IF('Supplier selection'!H877="","",'Supplier selection'!H877)</f>
        <v/>
      </c>
      <c r="I877" s="19" t="str">
        <f>IF('Supplier selection'!I877="","",'Supplier selection'!I877)</f>
        <v/>
      </c>
      <c r="J877" s="19" t="str">
        <f>IF('Supplier selection'!J877="","",'Supplier selection'!J877)</f>
        <v/>
      </c>
      <c r="K877" s="19" t="str">
        <f>IF('Supplier selection'!K877="","",'Supplier selection'!K877)</f>
        <v/>
      </c>
      <c r="L877" s="19" t="str">
        <f>IF('Supplier selection'!L877="","",'Supplier selection'!L877)</f>
        <v/>
      </c>
      <c r="M877" s="19" t="str">
        <f>IF('Supplier selection'!M877="","",'Supplier selection'!M877)</f>
        <v/>
      </c>
      <c r="N877" s="19" t="str">
        <f>IF('Supplier selection'!N877="","",'Supplier selection'!N877)</f>
        <v/>
      </c>
      <c r="O877" s="19" t="str">
        <f>IF('Supplier selection'!O877="","",'Supplier selection'!O877)</f>
        <v/>
      </c>
      <c r="Q877" s="19" t="str">
        <f>HLOOKUP($Q$3,'Supplier selection'!$AW$4:'Supplier selection'!$CT$1000,$A878,FALSE)</f>
        <v/>
      </c>
      <c r="R877" s="22" t="str">
        <f t="shared" si="143"/>
        <v/>
      </c>
      <c r="S877" s="19" t="str">
        <f t="shared" si="144"/>
        <v/>
      </c>
      <c r="T877" s="22" t="str">
        <f t="shared" si="145"/>
        <v/>
      </c>
      <c r="U877" s="19" t="str">
        <f t="shared" si="146"/>
        <v/>
      </c>
      <c r="V877" s="7"/>
      <c r="Y877" s="19" t="str">
        <f>IF('Supplier selection'!AQ877="","",'Supplier selection'!AQ877)</f>
        <v/>
      </c>
      <c r="Z877" s="19" t="str">
        <f>IF('Supplier selection'!AR877="","",'Supplier selection'!AR877)</f>
        <v/>
      </c>
      <c r="AA877" s="19" t="str">
        <f t="shared" si="147"/>
        <v/>
      </c>
      <c r="AD877" s="26" t="str">
        <f>IF(AND('Supplier selection'!X877="",'Supplier selection'!AE877=""),"",IF('Supplier selection'!X877="",'Supplier selection'!AE877,'Supplier selection'!X877))</f>
        <v/>
      </c>
      <c r="AE877" s="19" t="str">
        <f t="shared" si="148"/>
        <v/>
      </c>
      <c r="AF877" s="19" t="str">
        <f t="shared" si="149"/>
        <v/>
      </c>
      <c r="AG877" s="27" t="str">
        <f>IF(AND('Supplier selection'!AB877="",'Supplier selection'!AI877=""),"",IF('Supplier selection'!AB877="",'Supplier selection'!AI877,'Supplier selection'!AB877))</f>
        <v/>
      </c>
      <c r="AH877" s="28" t="str">
        <f t="shared" si="150"/>
        <v/>
      </c>
      <c r="AI877" s="7" t="str">
        <f t="shared" si="151"/>
        <v/>
      </c>
      <c r="AJ877" s="22" t="str">
        <f t="shared" si="152"/>
        <v/>
      </c>
      <c r="AK877" s="29" t="str">
        <f t="shared" si="153"/>
        <v/>
      </c>
      <c r="AL877" s="10"/>
    </row>
    <row r="878" spans="1:38">
      <c r="A878" s="19">
        <f>IF('Supplier selection'!A878="","",'Supplier selection'!A878)</f>
        <v>874</v>
      </c>
      <c r="B878" s="19" t="str">
        <f>IF('Supplier selection'!B878="","",'Supplier selection'!B878)</f>
        <v/>
      </c>
      <c r="C878" s="19" t="str">
        <f>IF('Supplier selection'!C878="","",'Supplier selection'!C878)</f>
        <v/>
      </c>
      <c r="D878" s="19" t="str">
        <f>IF('Supplier selection'!D878="","",'Supplier selection'!D878)</f>
        <v/>
      </c>
      <c r="E878" s="19" t="str">
        <f>IF('Supplier selection'!E878="","",'Supplier selection'!E878)</f>
        <v/>
      </c>
      <c r="F878" s="19" t="str">
        <f>IF('Supplier selection'!F878="","",'Supplier selection'!F878)</f>
        <v/>
      </c>
      <c r="G878" s="19" t="str">
        <f>IF('Supplier selection'!G878="","",'Supplier selection'!G878)</f>
        <v/>
      </c>
      <c r="H878" s="19" t="str">
        <f>IF('Supplier selection'!H878="","",'Supplier selection'!H878)</f>
        <v/>
      </c>
      <c r="I878" s="19" t="str">
        <f>IF('Supplier selection'!I878="","",'Supplier selection'!I878)</f>
        <v/>
      </c>
      <c r="J878" s="19" t="str">
        <f>IF('Supplier selection'!J878="","",'Supplier selection'!J878)</f>
        <v/>
      </c>
      <c r="K878" s="19" t="str">
        <f>IF('Supplier selection'!K878="","",'Supplier selection'!K878)</f>
        <v/>
      </c>
      <c r="L878" s="19" t="str">
        <f>IF('Supplier selection'!L878="","",'Supplier selection'!L878)</f>
        <v/>
      </c>
      <c r="M878" s="19" t="str">
        <f>IF('Supplier selection'!M878="","",'Supplier selection'!M878)</f>
        <v/>
      </c>
      <c r="N878" s="19" t="str">
        <f>IF('Supplier selection'!N878="","",'Supplier selection'!N878)</f>
        <v/>
      </c>
      <c r="O878" s="19" t="str">
        <f>IF('Supplier selection'!O878="","",'Supplier selection'!O878)</f>
        <v/>
      </c>
      <c r="Q878" s="19" t="str">
        <f>HLOOKUP($Q$3,'Supplier selection'!$AW$4:'Supplier selection'!$CT$1000,$A879,FALSE)</f>
        <v/>
      </c>
      <c r="R878" s="22" t="str">
        <f t="shared" si="143"/>
        <v/>
      </c>
      <c r="S878" s="19" t="str">
        <f t="shared" si="144"/>
        <v/>
      </c>
      <c r="T878" s="22" t="str">
        <f t="shared" si="145"/>
        <v/>
      </c>
      <c r="U878" s="19" t="str">
        <f t="shared" si="146"/>
        <v/>
      </c>
      <c r="V878" s="7"/>
      <c r="Y878" s="19" t="str">
        <f>IF('Supplier selection'!AQ878="","",'Supplier selection'!AQ878)</f>
        <v/>
      </c>
      <c r="Z878" s="19" t="str">
        <f>IF('Supplier selection'!AR878="","",'Supplier selection'!AR878)</f>
        <v/>
      </c>
      <c r="AA878" s="19" t="str">
        <f t="shared" si="147"/>
        <v/>
      </c>
      <c r="AD878" s="26" t="str">
        <f>IF(AND('Supplier selection'!X878="",'Supplier selection'!AE878=""),"",IF('Supplier selection'!X878="",'Supplier selection'!AE878,'Supplier selection'!X878))</f>
        <v/>
      </c>
      <c r="AE878" s="19" t="str">
        <f t="shared" si="148"/>
        <v/>
      </c>
      <c r="AF878" s="19" t="str">
        <f t="shared" si="149"/>
        <v/>
      </c>
      <c r="AG878" s="27" t="str">
        <f>IF(AND('Supplier selection'!AB878="",'Supplier selection'!AI878=""),"",IF('Supplier selection'!AB878="",'Supplier selection'!AI878,'Supplier selection'!AB878))</f>
        <v/>
      </c>
      <c r="AH878" s="28" t="str">
        <f t="shared" si="150"/>
        <v/>
      </c>
      <c r="AI878" s="7" t="str">
        <f t="shared" si="151"/>
        <v/>
      </c>
      <c r="AJ878" s="22" t="str">
        <f t="shared" si="152"/>
        <v/>
      </c>
      <c r="AK878" s="29" t="str">
        <f t="shared" si="153"/>
        <v/>
      </c>
      <c r="AL878" s="10"/>
    </row>
    <row r="879" spans="1:38">
      <c r="A879" s="19">
        <f>IF('Supplier selection'!A879="","",'Supplier selection'!A879)</f>
        <v>875</v>
      </c>
      <c r="B879" s="19" t="str">
        <f>IF('Supplier selection'!B879="","",'Supplier selection'!B879)</f>
        <v/>
      </c>
      <c r="C879" s="19" t="str">
        <f>IF('Supplier selection'!C879="","",'Supplier selection'!C879)</f>
        <v/>
      </c>
      <c r="D879" s="19" t="str">
        <f>IF('Supplier selection'!D879="","",'Supplier selection'!D879)</f>
        <v/>
      </c>
      <c r="E879" s="19" t="str">
        <f>IF('Supplier selection'!E879="","",'Supplier selection'!E879)</f>
        <v/>
      </c>
      <c r="F879" s="19" t="str">
        <f>IF('Supplier selection'!F879="","",'Supplier selection'!F879)</f>
        <v/>
      </c>
      <c r="G879" s="19" t="str">
        <f>IF('Supplier selection'!G879="","",'Supplier selection'!G879)</f>
        <v/>
      </c>
      <c r="H879" s="19" t="str">
        <f>IF('Supplier selection'!H879="","",'Supplier selection'!H879)</f>
        <v/>
      </c>
      <c r="I879" s="19" t="str">
        <f>IF('Supplier selection'!I879="","",'Supplier selection'!I879)</f>
        <v/>
      </c>
      <c r="J879" s="19" t="str">
        <f>IF('Supplier selection'!J879="","",'Supplier selection'!J879)</f>
        <v/>
      </c>
      <c r="K879" s="19" t="str">
        <f>IF('Supplier selection'!K879="","",'Supplier selection'!K879)</f>
        <v/>
      </c>
      <c r="L879" s="19" t="str">
        <f>IF('Supplier selection'!L879="","",'Supplier selection'!L879)</f>
        <v/>
      </c>
      <c r="M879" s="19" t="str">
        <f>IF('Supplier selection'!M879="","",'Supplier selection'!M879)</f>
        <v/>
      </c>
      <c r="N879" s="19" t="str">
        <f>IF('Supplier selection'!N879="","",'Supplier selection'!N879)</f>
        <v/>
      </c>
      <c r="O879" s="19" t="str">
        <f>IF('Supplier selection'!O879="","",'Supplier selection'!O879)</f>
        <v/>
      </c>
      <c r="Q879" s="19" t="str">
        <f>HLOOKUP($Q$3,'Supplier selection'!$AW$4:'Supplier selection'!$CT$1000,$A880,FALSE)</f>
        <v/>
      </c>
      <c r="R879" s="22" t="str">
        <f t="shared" si="143"/>
        <v/>
      </c>
      <c r="S879" s="19" t="str">
        <f t="shared" si="144"/>
        <v/>
      </c>
      <c r="T879" s="22" t="str">
        <f t="shared" si="145"/>
        <v/>
      </c>
      <c r="U879" s="19" t="str">
        <f t="shared" si="146"/>
        <v/>
      </c>
      <c r="V879" s="7"/>
      <c r="Y879" s="19" t="str">
        <f>IF('Supplier selection'!AQ879="","",'Supplier selection'!AQ879)</f>
        <v/>
      </c>
      <c r="Z879" s="19" t="str">
        <f>IF('Supplier selection'!AR879="","",'Supplier selection'!AR879)</f>
        <v/>
      </c>
      <c r="AA879" s="19" t="str">
        <f t="shared" si="147"/>
        <v/>
      </c>
      <c r="AD879" s="26" t="str">
        <f>IF(AND('Supplier selection'!X879="",'Supplier selection'!AE879=""),"",IF('Supplier selection'!X879="",'Supplier selection'!AE879,'Supplier selection'!X879))</f>
        <v/>
      </c>
      <c r="AE879" s="19" t="str">
        <f t="shared" si="148"/>
        <v/>
      </c>
      <c r="AF879" s="19" t="str">
        <f t="shared" si="149"/>
        <v/>
      </c>
      <c r="AG879" s="27" t="str">
        <f>IF(AND('Supplier selection'!AB879="",'Supplier selection'!AI879=""),"",IF('Supplier selection'!AB879="",'Supplier selection'!AI879,'Supplier selection'!AB879))</f>
        <v/>
      </c>
      <c r="AH879" s="28" t="str">
        <f t="shared" si="150"/>
        <v/>
      </c>
      <c r="AI879" s="7" t="str">
        <f t="shared" si="151"/>
        <v/>
      </c>
      <c r="AJ879" s="22" t="str">
        <f t="shared" si="152"/>
        <v/>
      </c>
      <c r="AK879" s="29" t="str">
        <f t="shared" si="153"/>
        <v/>
      </c>
      <c r="AL879" s="10"/>
    </row>
    <row r="880" spans="1:38">
      <c r="A880" s="19">
        <f>IF('Supplier selection'!A880="","",'Supplier selection'!A880)</f>
        <v>876</v>
      </c>
      <c r="B880" s="19" t="str">
        <f>IF('Supplier selection'!B880="","",'Supplier selection'!B880)</f>
        <v/>
      </c>
      <c r="C880" s="19" t="str">
        <f>IF('Supplier selection'!C880="","",'Supplier selection'!C880)</f>
        <v/>
      </c>
      <c r="D880" s="19" t="str">
        <f>IF('Supplier selection'!D880="","",'Supplier selection'!D880)</f>
        <v/>
      </c>
      <c r="E880" s="19" t="str">
        <f>IF('Supplier selection'!E880="","",'Supplier selection'!E880)</f>
        <v/>
      </c>
      <c r="F880" s="19" t="str">
        <f>IF('Supplier selection'!F880="","",'Supplier selection'!F880)</f>
        <v/>
      </c>
      <c r="G880" s="19" t="str">
        <f>IF('Supplier selection'!G880="","",'Supplier selection'!G880)</f>
        <v/>
      </c>
      <c r="H880" s="19" t="str">
        <f>IF('Supplier selection'!H880="","",'Supplier selection'!H880)</f>
        <v/>
      </c>
      <c r="I880" s="19" t="str">
        <f>IF('Supplier selection'!I880="","",'Supplier selection'!I880)</f>
        <v/>
      </c>
      <c r="J880" s="19" t="str">
        <f>IF('Supplier selection'!J880="","",'Supplier selection'!J880)</f>
        <v/>
      </c>
      <c r="K880" s="19" t="str">
        <f>IF('Supplier selection'!K880="","",'Supplier selection'!K880)</f>
        <v/>
      </c>
      <c r="L880" s="19" t="str">
        <f>IF('Supplier selection'!L880="","",'Supplier selection'!L880)</f>
        <v/>
      </c>
      <c r="M880" s="19" t="str">
        <f>IF('Supplier selection'!M880="","",'Supplier selection'!M880)</f>
        <v/>
      </c>
      <c r="N880" s="19" t="str">
        <f>IF('Supplier selection'!N880="","",'Supplier selection'!N880)</f>
        <v/>
      </c>
      <c r="O880" s="19" t="str">
        <f>IF('Supplier selection'!O880="","",'Supplier selection'!O880)</f>
        <v/>
      </c>
      <c r="Q880" s="19" t="str">
        <f>HLOOKUP($Q$3,'Supplier selection'!$AW$4:'Supplier selection'!$CT$1000,$A881,FALSE)</f>
        <v/>
      </c>
      <c r="R880" s="22" t="str">
        <f t="shared" si="143"/>
        <v/>
      </c>
      <c r="S880" s="19" t="str">
        <f t="shared" si="144"/>
        <v/>
      </c>
      <c r="T880" s="22" t="str">
        <f t="shared" si="145"/>
        <v/>
      </c>
      <c r="U880" s="19" t="str">
        <f t="shared" si="146"/>
        <v/>
      </c>
      <c r="V880" s="7"/>
      <c r="Y880" s="19" t="str">
        <f>IF('Supplier selection'!AQ880="","",'Supplier selection'!AQ880)</f>
        <v/>
      </c>
      <c r="Z880" s="19" t="str">
        <f>IF('Supplier selection'!AR880="","",'Supplier selection'!AR880)</f>
        <v/>
      </c>
      <c r="AA880" s="19" t="str">
        <f t="shared" si="147"/>
        <v/>
      </c>
      <c r="AD880" s="26" t="str">
        <f>IF(AND('Supplier selection'!X880="",'Supplier selection'!AE880=""),"",IF('Supplier selection'!X880="",'Supplier selection'!AE880,'Supplier selection'!X880))</f>
        <v/>
      </c>
      <c r="AE880" s="19" t="str">
        <f t="shared" si="148"/>
        <v/>
      </c>
      <c r="AF880" s="19" t="str">
        <f t="shared" si="149"/>
        <v/>
      </c>
      <c r="AG880" s="27" t="str">
        <f>IF(AND('Supplier selection'!AB880="",'Supplier selection'!AI880=""),"",IF('Supplier selection'!AB880="",'Supplier selection'!AI880,'Supplier selection'!AB880))</f>
        <v/>
      </c>
      <c r="AH880" s="28" t="str">
        <f t="shared" si="150"/>
        <v/>
      </c>
      <c r="AI880" s="7" t="str">
        <f t="shared" si="151"/>
        <v/>
      </c>
      <c r="AJ880" s="22" t="str">
        <f t="shared" si="152"/>
        <v/>
      </c>
      <c r="AK880" s="29" t="str">
        <f t="shared" si="153"/>
        <v/>
      </c>
      <c r="AL880" s="10"/>
    </row>
    <row r="881" spans="1:38">
      <c r="A881" s="19">
        <f>IF('Supplier selection'!A881="","",'Supplier selection'!A881)</f>
        <v>877</v>
      </c>
      <c r="B881" s="19" t="str">
        <f>IF('Supplier selection'!B881="","",'Supplier selection'!B881)</f>
        <v/>
      </c>
      <c r="C881" s="19" t="str">
        <f>IF('Supplier selection'!C881="","",'Supplier selection'!C881)</f>
        <v/>
      </c>
      <c r="D881" s="19" t="str">
        <f>IF('Supplier selection'!D881="","",'Supplier selection'!D881)</f>
        <v/>
      </c>
      <c r="E881" s="19" t="str">
        <f>IF('Supplier selection'!E881="","",'Supplier selection'!E881)</f>
        <v/>
      </c>
      <c r="F881" s="19" t="str">
        <f>IF('Supplier selection'!F881="","",'Supplier selection'!F881)</f>
        <v/>
      </c>
      <c r="G881" s="19" t="str">
        <f>IF('Supplier selection'!G881="","",'Supplier selection'!G881)</f>
        <v/>
      </c>
      <c r="H881" s="19" t="str">
        <f>IF('Supplier selection'!H881="","",'Supplier selection'!H881)</f>
        <v/>
      </c>
      <c r="I881" s="19" t="str">
        <f>IF('Supplier selection'!I881="","",'Supplier selection'!I881)</f>
        <v/>
      </c>
      <c r="J881" s="19" t="str">
        <f>IF('Supplier selection'!J881="","",'Supplier selection'!J881)</f>
        <v/>
      </c>
      <c r="K881" s="19" t="str">
        <f>IF('Supplier selection'!K881="","",'Supplier selection'!K881)</f>
        <v/>
      </c>
      <c r="L881" s="19" t="str">
        <f>IF('Supplier selection'!L881="","",'Supplier selection'!L881)</f>
        <v/>
      </c>
      <c r="M881" s="19" t="str">
        <f>IF('Supplier selection'!M881="","",'Supplier selection'!M881)</f>
        <v/>
      </c>
      <c r="N881" s="19" t="str">
        <f>IF('Supplier selection'!N881="","",'Supplier selection'!N881)</f>
        <v/>
      </c>
      <c r="O881" s="19" t="str">
        <f>IF('Supplier selection'!O881="","",'Supplier selection'!O881)</f>
        <v/>
      </c>
      <c r="Q881" s="19" t="str">
        <f>HLOOKUP($Q$3,'Supplier selection'!$AW$4:'Supplier selection'!$CT$1000,$A882,FALSE)</f>
        <v/>
      </c>
      <c r="R881" s="22" t="str">
        <f t="shared" si="143"/>
        <v/>
      </c>
      <c r="S881" s="19" t="str">
        <f t="shared" si="144"/>
        <v/>
      </c>
      <c r="T881" s="22" t="str">
        <f t="shared" si="145"/>
        <v/>
      </c>
      <c r="U881" s="19" t="str">
        <f t="shared" si="146"/>
        <v/>
      </c>
      <c r="V881" s="7"/>
      <c r="Y881" s="19" t="str">
        <f>IF('Supplier selection'!AQ881="","",'Supplier selection'!AQ881)</f>
        <v/>
      </c>
      <c r="Z881" s="19" t="str">
        <f>IF('Supplier selection'!AR881="","",'Supplier selection'!AR881)</f>
        <v/>
      </c>
      <c r="AA881" s="19" t="str">
        <f t="shared" si="147"/>
        <v/>
      </c>
      <c r="AD881" s="26" t="str">
        <f>IF(AND('Supplier selection'!X881="",'Supplier selection'!AE881=""),"",IF('Supplier selection'!X881="",'Supplier selection'!AE881,'Supplier selection'!X881))</f>
        <v/>
      </c>
      <c r="AE881" s="19" t="str">
        <f t="shared" si="148"/>
        <v/>
      </c>
      <c r="AF881" s="19" t="str">
        <f t="shared" si="149"/>
        <v/>
      </c>
      <c r="AG881" s="27" t="str">
        <f>IF(AND('Supplier selection'!AB881="",'Supplier selection'!AI881=""),"",IF('Supplier selection'!AB881="",'Supplier selection'!AI881,'Supplier selection'!AB881))</f>
        <v/>
      </c>
      <c r="AH881" s="28" t="str">
        <f t="shared" si="150"/>
        <v/>
      </c>
      <c r="AI881" s="7" t="str">
        <f t="shared" si="151"/>
        <v/>
      </c>
      <c r="AJ881" s="22" t="str">
        <f t="shared" si="152"/>
        <v/>
      </c>
      <c r="AK881" s="29" t="str">
        <f t="shared" si="153"/>
        <v/>
      </c>
      <c r="AL881" s="10"/>
    </row>
    <row r="882" spans="1:38">
      <c r="A882" s="19">
        <f>IF('Supplier selection'!A882="","",'Supplier selection'!A882)</f>
        <v>878</v>
      </c>
      <c r="B882" s="19" t="str">
        <f>IF('Supplier selection'!B882="","",'Supplier selection'!B882)</f>
        <v/>
      </c>
      <c r="C882" s="19" t="str">
        <f>IF('Supplier selection'!C882="","",'Supplier selection'!C882)</f>
        <v/>
      </c>
      <c r="D882" s="19" t="str">
        <f>IF('Supplier selection'!D882="","",'Supplier selection'!D882)</f>
        <v/>
      </c>
      <c r="E882" s="19" t="str">
        <f>IF('Supplier selection'!E882="","",'Supplier selection'!E882)</f>
        <v/>
      </c>
      <c r="F882" s="19" t="str">
        <f>IF('Supplier selection'!F882="","",'Supplier selection'!F882)</f>
        <v/>
      </c>
      <c r="G882" s="19" t="str">
        <f>IF('Supplier selection'!G882="","",'Supplier selection'!G882)</f>
        <v/>
      </c>
      <c r="H882" s="19" t="str">
        <f>IF('Supplier selection'!H882="","",'Supplier selection'!H882)</f>
        <v/>
      </c>
      <c r="I882" s="19" t="str">
        <f>IF('Supplier selection'!I882="","",'Supplier selection'!I882)</f>
        <v/>
      </c>
      <c r="J882" s="19" t="str">
        <f>IF('Supplier selection'!J882="","",'Supplier selection'!J882)</f>
        <v/>
      </c>
      <c r="K882" s="19" t="str">
        <f>IF('Supplier selection'!K882="","",'Supplier selection'!K882)</f>
        <v/>
      </c>
      <c r="L882" s="19" t="str">
        <f>IF('Supplier selection'!L882="","",'Supplier selection'!L882)</f>
        <v/>
      </c>
      <c r="M882" s="19" t="str">
        <f>IF('Supplier selection'!M882="","",'Supplier selection'!M882)</f>
        <v/>
      </c>
      <c r="N882" s="19" t="str">
        <f>IF('Supplier selection'!N882="","",'Supplier selection'!N882)</f>
        <v/>
      </c>
      <c r="O882" s="19" t="str">
        <f>IF('Supplier selection'!O882="","",'Supplier selection'!O882)</f>
        <v/>
      </c>
      <c r="Q882" s="19" t="str">
        <f>HLOOKUP($Q$3,'Supplier selection'!$AW$4:'Supplier selection'!$CT$1000,$A883,FALSE)</f>
        <v/>
      </c>
      <c r="R882" s="22" t="str">
        <f t="shared" si="143"/>
        <v/>
      </c>
      <c r="S882" s="19" t="str">
        <f t="shared" si="144"/>
        <v/>
      </c>
      <c r="T882" s="22" t="str">
        <f t="shared" si="145"/>
        <v/>
      </c>
      <c r="U882" s="19" t="str">
        <f t="shared" si="146"/>
        <v/>
      </c>
      <c r="V882" s="7"/>
      <c r="Y882" s="19" t="str">
        <f>IF('Supplier selection'!AQ882="","",'Supplier selection'!AQ882)</f>
        <v/>
      </c>
      <c r="Z882" s="19" t="str">
        <f>IF('Supplier selection'!AR882="","",'Supplier selection'!AR882)</f>
        <v/>
      </c>
      <c r="AA882" s="19" t="str">
        <f t="shared" si="147"/>
        <v/>
      </c>
      <c r="AD882" s="26" t="str">
        <f>IF(AND('Supplier selection'!X882="",'Supplier selection'!AE882=""),"",IF('Supplier selection'!X882="",'Supplier selection'!AE882,'Supplier selection'!X882))</f>
        <v/>
      </c>
      <c r="AE882" s="19" t="str">
        <f t="shared" si="148"/>
        <v/>
      </c>
      <c r="AF882" s="19" t="str">
        <f t="shared" si="149"/>
        <v/>
      </c>
      <c r="AG882" s="27" t="str">
        <f>IF(AND('Supplier selection'!AB882="",'Supplier selection'!AI882=""),"",IF('Supplier selection'!AB882="",'Supplier selection'!AI882,'Supplier selection'!AB882))</f>
        <v/>
      </c>
      <c r="AH882" s="28" t="str">
        <f t="shared" si="150"/>
        <v/>
      </c>
      <c r="AI882" s="7" t="str">
        <f t="shared" si="151"/>
        <v/>
      </c>
      <c r="AJ882" s="22" t="str">
        <f t="shared" si="152"/>
        <v/>
      </c>
      <c r="AK882" s="29" t="str">
        <f t="shared" si="153"/>
        <v/>
      </c>
      <c r="AL882" s="10"/>
    </row>
    <row r="883" spans="1:38">
      <c r="A883" s="19">
        <f>IF('Supplier selection'!A883="","",'Supplier selection'!A883)</f>
        <v>879</v>
      </c>
      <c r="B883" s="19" t="str">
        <f>IF('Supplier selection'!B883="","",'Supplier selection'!B883)</f>
        <v/>
      </c>
      <c r="C883" s="19" t="str">
        <f>IF('Supplier selection'!C883="","",'Supplier selection'!C883)</f>
        <v/>
      </c>
      <c r="D883" s="19" t="str">
        <f>IF('Supplier selection'!D883="","",'Supplier selection'!D883)</f>
        <v/>
      </c>
      <c r="E883" s="19" t="str">
        <f>IF('Supplier selection'!E883="","",'Supplier selection'!E883)</f>
        <v/>
      </c>
      <c r="F883" s="19" t="str">
        <f>IF('Supplier selection'!F883="","",'Supplier selection'!F883)</f>
        <v/>
      </c>
      <c r="G883" s="19" t="str">
        <f>IF('Supplier selection'!G883="","",'Supplier selection'!G883)</f>
        <v/>
      </c>
      <c r="H883" s="19" t="str">
        <f>IF('Supplier selection'!H883="","",'Supplier selection'!H883)</f>
        <v/>
      </c>
      <c r="I883" s="19" t="str">
        <f>IF('Supplier selection'!I883="","",'Supplier selection'!I883)</f>
        <v/>
      </c>
      <c r="J883" s="19" t="str">
        <f>IF('Supplier selection'!J883="","",'Supplier selection'!J883)</f>
        <v/>
      </c>
      <c r="K883" s="19" t="str">
        <f>IF('Supplier selection'!K883="","",'Supplier selection'!K883)</f>
        <v/>
      </c>
      <c r="L883" s="19" t="str">
        <f>IF('Supplier selection'!L883="","",'Supplier selection'!L883)</f>
        <v/>
      </c>
      <c r="M883" s="19" t="str">
        <f>IF('Supplier selection'!M883="","",'Supplier selection'!M883)</f>
        <v/>
      </c>
      <c r="N883" s="19" t="str">
        <f>IF('Supplier selection'!N883="","",'Supplier selection'!N883)</f>
        <v/>
      </c>
      <c r="O883" s="19" t="str">
        <f>IF('Supplier selection'!O883="","",'Supplier selection'!O883)</f>
        <v/>
      </c>
      <c r="Q883" s="19" t="str">
        <f>HLOOKUP($Q$3,'Supplier selection'!$AW$4:'Supplier selection'!$CT$1000,$A884,FALSE)</f>
        <v/>
      </c>
      <c r="R883" s="22" t="str">
        <f t="shared" si="143"/>
        <v/>
      </c>
      <c r="S883" s="19" t="str">
        <f t="shared" si="144"/>
        <v/>
      </c>
      <c r="T883" s="22" t="str">
        <f t="shared" si="145"/>
        <v/>
      </c>
      <c r="U883" s="19" t="str">
        <f t="shared" si="146"/>
        <v/>
      </c>
      <c r="V883" s="7"/>
      <c r="Y883" s="19" t="str">
        <f>IF('Supplier selection'!AQ883="","",'Supplier selection'!AQ883)</f>
        <v/>
      </c>
      <c r="Z883" s="19" t="str">
        <f>IF('Supplier selection'!AR883="","",'Supplier selection'!AR883)</f>
        <v/>
      </c>
      <c r="AA883" s="19" t="str">
        <f t="shared" si="147"/>
        <v/>
      </c>
      <c r="AD883" s="26" t="str">
        <f>IF(AND('Supplier selection'!X883="",'Supplier selection'!AE883=""),"",IF('Supplier selection'!X883="",'Supplier selection'!AE883,'Supplier selection'!X883))</f>
        <v/>
      </c>
      <c r="AE883" s="19" t="str">
        <f t="shared" si="148"/>
        <v/>
      </c>
      <c r="AF883" s="19" t="str">
        <f t="shared" si="149"/>
        <v/>
      </c>
      <c r="AG883" s="27" t="str">
        <f>IF(AND('Supplier selection'!AB883="",'Supplier selection'!AI883=""),"",IF('Supplier selection'!AB883="",'Supplier selection'!AI883,'Supplier selection'!AB883))</f>
        <v/>
      </c>
      <c r="AH883" s="28" t="str">
        <f t="shared" si="150"/>
        <v/>
      </c>
      <c r="AI883" s="7" t="str">
        <f t="shared" si="151"/>
        <v/>
      </c>
      <c r="AJ883" s="22" t="str">
        <f t="shared" si="152"/>
        <v/>
      </c>
      <c r="AK883" s="29" t="str">
        <f t="shared" si="153"/>
        <v/>
      </c>
      <c r="AL883" s="10"/>
    </row>
    <row r="884" spans="1:38">
      <c r="A884" s="19">
        <f>IF('Supplier selection'!A884="","",'Supplier selection'!A884)</f>
        <v>880</v>
      </c>
      <c r="B884" s="19" t="str">
        <f>IF('Supplier selection'!B884="","",'Supplier selection'!B884)</f>
        <v/>
      </c>
      <c r="C884" s="19" t="str">
        <f>IF('Supplier selection'!C884="","",'Supplier selection'!C884)</f>
        <v/>
      </c>
      <c r="D884" s="19" t="str">
        <f>IF('Supplier selection'!D884="","",'Supplier selection'!D884)</f>
        <v/>
      </c>
      <c r="E884" s="19" t="str">
        <f>IF('Supplier selection'!E884="","",'Supplier selection'!E884)</f>
        <v/>
      </c>
      <c r="F884" s="19" t="str">
        <f>IF('Supplier selection'!F884="","",'Supplier selection'!F884)</f>
        <v/>
      </c>
      <c r="G884" s="19" t="str">
        <f>IF('Supplier selection'!G884="","",'Supplier selection'!G884)</f>
        <v/>
      </c>
      <c r="H884" s="19" t="str">
        <f>IF('Supplier selection'!H884="","",'Supplier selection'!H884)</f>
        <v/>
      </c>
      <c r="I884" s="19" t="str">
        <f>IF('Supplier selection'!I884="","",'Supplier selection'!I884)</f>
        <v/>
      </c>
      <c r="J884" s="19" t="str">
        <f>IF('Supplier selection'!J884="","",'Supplier selection'!J884)</f>
        <v/>
      </c>
      <c r="K884" s="19" t="str">
        <f>IF('Supplier selection'!K884="","",'Supplier selection'!K884)</f>
        <v/>
      </c>
      <c r="L884" s="19" t="str">
        <f>IF('Supplier selection'!L884="","",'Supplier selection'!L884)</f>
        <v/>
      </c>
      <c r="M884" s="19" t="str">
        <f>IF('Supplier selection'!M884="","",'Supplier selection'!M884)</f>
        <v/>
      </c>
      <c r="N884" s="19" t="str">
        <f>IF('Supplier selection'!N884="","",'Supplier selection'!N884)</f>
        <v/>
      </c>
      <c r="O884" s="19" t="str">
        <f>IF('Supplier selection'!O884="","",'Supplier selection'!O884)</f>
        <v/>
      </c>
      <c r="Q884" s="19" t="str">
        <f>HLOOKUP($Q$3,'Supplier selection'!$AW$4:'Supplier selection'!$CT$1000,$A885,FALSE)</f>
        <v/>
      </c>
      <c r="R884" s="22" t="str">
        <f t="shared" si="143"/>
        <v/>
      </c>
      <c r="S884" s="19" t="str">
        <f t="shared" si="144"/>
        <v/>
      </c>
      <c r="T884" s="22" t="str">
        <f t="shared" si="145"/>
        <v/>
      </c>
      <c r="U884" s="19" t="str">
        <f t="shared" si="146"/>
        <v/>
      </c>
      <c r="V884" s="7"/>
      <c r="Y884" s="19" t="str">
        <f>IF('Supplier selection'!AQ884="","",'Supplier selection'!AQ884)</f>
        <v/>
      </c>
      <c r="Z884" s="19" t="str">
        <f>IF('Supplier selection'!AR884="","",'Supplier selection'!AR884)</f>
        <v/>
      </c>
      <c r="AA884" s="19" t="str">
        <f t="shared" si="147"/>
        <v/>
      </c>
      <c r="AD884" s="26" t="str">
        <f>IF(AND('Supplier selection'!X884="",'Supplier selection'!AE884=""),"",IF('Supplier selection'!X884="",'Supplier selection'!AE884,'Supplier selection'!X884))</f>
        <v/>
      </c>
      <c r="AE884" s="19" t="str">
        <f t="shared" si="148"/>
        <v/>
      </c>
      <c r="AF884" s="19" t="str">
        <f t="shared" si="149"/>
        <v/>
      </c>
      <c r="AG884" s="27" t="str">
        <f>IF(AND('Supplier selection'!AB884="",'Supplier selection'!AI884=""),"",IF('Supplier selection'!AB884="",'Supplier selection'!AI884,'Supplier selection'!AB884))</f>
        <v/>
      </c>
      <c r="AH884" s="28" t="str">
        <f t="shared" si="150"/>
        <v/>
      </c>
      <c r="AI884" s="7" t="str">
        <f t="shared" si="151"/>
        <v/>
      </c>
      <c r="AJ884" s="22" t="str">
        <f t="shared" si="152"/>
        <v/>
      </c>
      <c r="AK884" s="29" t="str">
        <f t="shared" si="153"/>
        <v/>
      </c>
      <c r="AL884" s="10"/>
    </row>
    <row r="885" spans="1:38">
      <c r="A885" s="19">
        <f>IF('Supplier selection'!A885="","",'Supplier selection'!A885)</f>
        <v>881</v>
      </c>
      <c r="B885" s="19" t="str">
        <f>IF('Supplier selection'!B885="","",'Supplier selection'!B885)</f>
        <v/>
      </c>
      <c r="C885" s="19" t="str">
        <f>IF('Supplier selection'!C885="","",'Supplier selection'!C885)</f>
        <v/>
      </c>
      <c r="D885" s="19" t="str">
        <f>IF('Supplier selection'!D885="","",'Supplier selection'!D885)</f>
        <v/>
      </c>
      <c r="E885" s="19" t="str">
        <f>IF('Supplier selection'!E885="","",'Supplier selection'!E885)</f>
        <v/>
      </c>
      <c r="F885" s="19" t="str">
        <f>IF('Supplier selection'!F885="","",'Supplier selection'!F885)</f>
        <v/>
      </c>
      <c r="G885" s="19" t="str">
        <f>IF('Supplier selection'!G885="","",'Supplier selection'!G885)</f>
        <v/>
      </c>
      <c r="H885" s="19" t="str">
        <f>IF('Supplier selection'!H885="","",'Supplier selection'!H885)</f>
        <v/>
      </c>
      <c r="I885" s="19" t="str">
        <f>IF('Supplier selection'!I885="","",'Supplier selection'!I885)</f>
        <v/>
      </c>
      <c r="J885" s="19" t="str">
        <f>IF('Supplier selection'!J885="","",'Supplier selection'!J885)</f>
        <v/>
      </c>
      <c r="K885" s="19" t="str">
        <f>IF('Supplier selection'!K885="","",'Supplier selection'!K885)</f>
        <v/>
      </c>
      <c r="L885" s="19" t="str">
        <f>IF('Supplier selection'!L885="","",'Supplier selection'!L885)</f>
        <v/>
      </c>
      <c r="M885" s="19" t="str">
        <f>IF('Supplier selection'!M885="","",'Supplier selection'!M885)</f>
        <v/>
      </c>
      <c r="N885" s="19" t="str">
        <f>IF('Supplier selection'!N885="","",'Supplier selection'!N885)</f>
        <v/>
      </c>
      <c r="O885" s="19" t="str">
        <f>IF('Supplier selection'!O885="","",'Supplier selection'!O885)</f>
        <v/>
      </c>
      <c r="Q885" s="19" t="str">
        <f>HLOOKUP($Q$3,'Supplier selection'!$AW$4:'Supplier selection'!$CT$1000,$A886,FALSE)</f>
        <v/>
      </c>
      <c r="R885" s="22" t="str">
        <f t="shared" si="143"/>
        <v/>
      </c>
      <c r="S885" s="19" t="str">
        <f t="shared" si="144"/>
        <v/>
      </c>
      <c r="T885" s="22" t="str">
        <f t="shared" si="145"/>
        <v/>
      </c>
      <c r="U885" s="19" t="str">
        <f t="shared" si="146"/>
        <v/>
      </c>
      <c r="V885" s="7"/>
      <c r="Y885" s="19" t="str">
        <f>IF('Supplier selection'!AQ885="","",'Supplier selection'!AQ885)</f>
        <v/>
      </c>
      <c r="Z885" s="19" t="str">
        <f>IF('Supplier selection'!AR885="","",'Supplier selection'!AR885)</f>
        <v/>
      </c>
      <c r="AA885" s="19" t="str">
        <f t="shared" si="147"/>
        <v/>
      </c>
      <c r="AD885" s="26" t="str">
        <f>IF(AND('Supplier selection'!X885="",'Supplier selection'!AE885=""),"",IF('Supplier selection'!X885="",'Supplier selection'!AE885,'Supplier selection'!X885))</f>
        <v/>
      </c>
      <c r="AE885" s="19" t="str">
        <f t="shared" si="148"/>
        <v/>
      </c>
      <c r="AF885" s="19" t="str">
        <f t="shared" si="149"/>
        <v/>
      </c>
      <c r="AG885" s="27" t="str">
        <f>IF(AND('Supplier selection'!AB885="",'Supplier selection'!AI885=""),"",IF('Supplier selection'!AB885="",'Supplier selection'!AI885,'Supplier selection'!AB885))</f>
        <v/>
      </c>
      <c r="AH885" s="28" t="str">
        <f t="shared" si="150"/>
        <v/>
      </c>
      <c r="AI885" s="7" t="str">
        <f t="shared" si="151"/>
        <v/>
      </c>
      <c r="AJ885" s="22" t="str">
        <f t="shared" si="152"/>
        <v/>
      </c>
      <c r="AK885" s="29" t="str">
        <f t="shared" si="153"/>
        <v/>
      </c>
      <c r="AL885" s="10"/>
    </row>
    <row r="886" spans="1:38">
      <c r="A886" s="19">
        <f>IF('Supplier selection'!A886="","",'Supplier selection'!A886)</f>
        <v>882</v>
      </c>
      <c r="B886" s="19" t="str">
        <f>IF('Supplier selection'!B886="","",'Supplier selection'!B886)</f>
        <v/>
      </c>
      <c r="C886" s="19" t="str">
        <f>IF('Supplier selection'!C886="","",'Supplier selection'!C886)</f>
        <v/>
      </c>
      <c r="D886" s="19" t="str">
        <f>IF('Supplier selection'!D886="","",'Supplier selection'!D886)</f>
        <v/>
      </c>
      <c r="E886" s="19" t="str">
        <f>IF('Supplier selection'!E886="","",'Supplier selection'!E886)</f>
        <v/>
      </c>
      <c r="F886" s="19" t="str">
        <f>IF('Supplier selection'!F886="","",'Supplier selection'!F886)</f>
        <v/>
      </c>
      <c r="G886" s="19" t="str">
        <f>IF('Supplier selection'!G886="","",'Supplier selection'!G886)</f>
        <v/>
      </c>
      <c r="H886" s="19" t="str">
        <f>IF('Supplier selection'!H886="","",'Supplier selection'!H886)</f>
        <v/>
      </c>
      <c r="I886" s="19" t="str">
        <f>IF('Supplier selection'!I886="","",'Supplier selection'!I886)</f>
        <v/>
      </c>
      <c r="J886" s="19" t="str">
        <f>IF('Supplier selection'!J886="","",'Supplier selection'!J886)</f>
        <v/>
      </c>
      <c r="K886" s="19" t="str">
        <f>IF('Supplier selection'!K886="","",'Supplier selection'!K886)</f>
        <v/>
      </c>
      <c r="L886" s="19" t="str">
        <f>IF('Supplier selection'!L886="","",'Supplier selection'!L886)</f>
        <v/>
      </c>
      <c r="M886" s="19" t="str">
        <f>IF('Supplier selection'!M886="","",'Supplier selection'!M886)</f>
        <v/>
      </c>
      <c r="N886" s="19" t="str">
        <f>IF('Supplier selection'!N886="","",'Supplier selection'!N886)</f>
        <v/>
      </c>
      <c r="O886" s="19" t="str">
        <f>IF('Supplier selection'!O886="","",'Supplier selection'!O886)</f>
        <v/>
      </c>
      <c r="Q886" s="19" t="str">
        <f>HLOOKUP($Q$3,'Supplier selection'!$AW$4:'Supplier selection'!$CT$1000,$A887,FALSE)</f>
        <v/>
      </c>
      <c r="R886" s="22" t="str">
        <f t="shared" si="143"/>
        <v/>
      </c>
      <c r="S886" s="19" t="str">
        <f t="shared" si="144"/>
        <v/>
      </c>
      <c r="T886" s="22" t="str">
        <f t="shared" si="145"/>
        <v/>
      </c>
      <c r="U886" s="19" t="str">
        <f t="shared" si="146"/>
        <v/>
      </c>
      <c r="V886" s="7"/>
      <c r="Y886" s="19" t="str">
        <f>IF('Supplier selection'!AQ886="","",'Supplier selection'!AQ886)</f>
        <v/>
      </c>
      <c r="Z886" s="19" t="str">
        <f>IF('Supplier selection'!AR886="","",'Supplier selection'!AR886)</f>
        <v/>
      </c>
      <c r="AA886" s="19" t="str">
        <f t="shared" si="147"/>
        <v/>
      </c>
      <c r="AD886" s="26" t="str">
        <f>IF(AND('Supplier selection'!X886="",'Supplier selection'!AE886=""),"",IF('Supplier selection'!X886="",'Supplier selection'!AE886,'Supplier selection'!X886))</f>
        <v/>
      </c>
      <c r="AE886" s="19" t="str">
        <f t="shared" si="148"/>
        <v/>
      </c>
      <c r="AF886" s="19" t="str">
        <f t="shared" si="149"/>
        <v/>
      </c>
      <c r="AG886" s="27" t="str">
        <f>IF(AND('Supplier selection'!AB886="",'Supplier selection'!AI886=""),"",IF('Supplier selection'!AB886="",'Supplier selection'!AI886,'Supplier selection'!AB886))</f>
        <v/>
      </c>
      <c r="AH886" s="28" t="str">
        <f t="shared" si="150"/>
        <v/>
      </c>
      <c r="AI886" s="7" t="str">
        <f t="shared" si="151"/>
        <v/>
      </c>
      <c r="AJ886" s="22" t="str">
        <f t="shared" si="152"/>
        <v/>
      </c>
      <c r="AK886" s="29" t="str">
        <f t="shared" si="153"/>
        <v/>
      </c>
      <c r="AL886" s="10"/>
    </row>
    <row r="887" spans="1:38">
      <c r="A887" s="19">
        <f>IF('Supplier selection'!A887="","",'Supplier selection'!A887)</f>
        <v>883</v>
      </c>
      <c r="B887" s="19" t="str">
        <f>IF('Supplier selection'!B887="","",'Supplier selection'!B887)</f>
        <v/>
      </c>
      <c r="C887" s="19" t="str">
        <f>IF('Supplier selection'!C887="","",'Supplier selection'!C887)</f>
        <v/>
      </c>
      <c r="D887" s="19" t="str">
        <f>IF('Supplier selection'!D887="","",'Supplier selection'!D887)</f>
        <v/>
      </c>
      <c r="E887" s="19" t="str">
        <f>IF('Supplier selection'!E887="","",'Supplier selection'!E887)</f>
        <v/>
      </c>
      <c r="F887" s="19" t="str">
        <f>IF('Supplier selection'!F887="","",'Supplier selection'!F887)</f>
        <v/>
      </c>
      <c r="G887" s="19" t="str">
        <f>IF('Supplier selection'!G887="","",'Supplier selection'!G887)</f>
        <v/>
      </c>
      <c r="H887" s="19" t="str">
        <f>IF('Supplier selection'!H887="","",'Supplier selection'!H887)</f>
        <v/>
      </c>
      <c r="I887" s="19" t="str">
        <f>IF('Supplier selection'!I887="","",'Supplier selection'!I887)</f>
        <v/>
      </c>
      <c r="J887" s="19" t="str">
        <f>IF('Supplier selection'!J887="","",'Supplier selection'!J887)</f>
        <v/>
      </c>
      <c r="K887" s="19" t="str">
        <f>IF('Supplier selection'!K887="","",'Supplier selection'!K887)</f>
        <v/>
      </c>
      <c r="L887" s="19" t="str">
        <f>IF('Supplier selection'!L887="","",'Supplier selection'!L887)</f>
        <v/>
      </c>
      <c r="M887" s="19" t="str">
        <f>IF('Supplier selection'!M887="","",'Supplier selection'!M887)</f>
        <v/>
      </c>
      <c r="N887" s="19" t="str">
        <f>IF('Supplier selection'!N887="","",'Supplier selection'!N887)</f>
        <v/>
      </c>
      <c r="O887" s="19" t="str">
        <f>IF('Supplier selection'!O887="","",'Supplier selection'!O887)</f>
        <v/>
      </c>
      <c r="Q887" s="19" t="str">
        <f>HLOOKUP($Q$3,'Supplier selection'!$AW$4:'Supplier selection'!$CT$1000,$A888,FALSE)</f>
        <v/>
      </c>
      <c r="R887" s="22" t="str">
        <f t="shared" si="143"/>
        <v/>
      </c>
      <c r="S887" s="19" t="str">
        <f t="shared" si="144"/>
        <v/>
      </c>
      <c r="T887" s="22" t="str">
        <f t="shared" si="145"/>
        <v/>
      </c>
      <c r="U887" s="19" t="str">
        <f t="shared" si="146"/>
        <v/>
      </c>
      <c r="V887" s="7"/>
      <c r="Y887" s="19" t="str">
        <f>IF('Supplier selection'!AQ887="","",'Supplier selection'!AQ887)</f>
        <v/>
      </c>
      <c r="Z887" s="19" t="str">
        <f>IF('Supplier selection'!AR887="","",'Supplier selection'!AR887)</f>
        <v/>
      </c>
      <c r="AA887" s="19" t="str">
        <f t="shared" si="147"/>
        <v/>
      </c>
      <c r="AD887" s="26" t="str">
        <f>IF(AND('Supplier selection'!X887="",'Supplier selection'!AE887=""),"",IF('Supplier selection'!X887="",'Supplier selection'!AE887,'Supplier selection'!X887))</f>
        <v/>
      </c>
      <c r="AE887" s="19" t="str">
        <f t="shared" si="148"/>
        <v/>
      </c>
      <c r="AF887" s="19" t="str">
        <f t="shared" si="149"/>
        <v/>
      </c>
      <c r="AG887" s="27" t="str">
        <f>IF(AND('Supplier selection'!AB887="",'Supplier selection'!AI887=""),"",IF('Supplier selection'!AB887="",'Supplier selection'!AI887,'Supplier selection'!AB887))</f>
        <v/>
      </c>
      <c r="AH887" s="28" t="str">
        <f t="shared" si="150"/>
        <v/>
      </c>
      <c r="AI887" s="7" t="str">
        <f t="shared" si="151"/>
        <v/>
      </c>
      <c r="AJ887" s="22" t="str">
        <f t="shared" si="152"/>
        <v/>
      </c>
      <c r="AK887" s="29" t="str">
        <f t="shared" si="153"/>
        <v/>
      </c>
      <c r="AL887" s="10"/>
    </row>
    <row r="888" spans="1:38">
      <c r="A888" s="19">
        <f>IF('Supplier selection'!A888="","",'Supplier selection'!A888)</f>
        <v>884</v>
      </c>
      <c r="B888" s="19" t="str">
        <f>IF('Supplier selection'!B888="","",'Supplier selection'!B888)</f>
        <v/>
      </c>
      <c r="C888" s="19" t="str">
        <f>IF('Supplier selection'!C888="","",'Supplier selection'!C888)</f>
        <v/>
      </c>
      <c r="D888" s="19" t="str">
        <f>IF('Supplier selection'!D888="","",'Supplier selection'!D888)</f>
        <v/>
      </c>
      <c r="E888" s="19" t="str">
        <f>IF('Supplier selection'!E888="","",'Supplier selection'!E888)</f>
        <v/>
      </c>
      <c r="F888" s="19" t="str">
        <f>IF('Supplier selection'!F888="","",'Supplier selection'!F888)</f>
        <v/>
      </c>
      <c r="G888" s="19" t="str">
        <f>IF('Supplier selection'!G888="","",'Supplier selection'!G888)</f>
        <v/>
      </c>
      <c r="H888" s="19" t="str">
        <f>IF('Supplier selection'!H888="","",'Supplier selection'!H888)</f>
        <v/>
      </c>
      <c r="I888" s="19" t="str">
        <f>IF('Supplier selection'!I888="","",'Supplier selection'!I888)</f>
        <v/>
      </c>
      <c r="J888" s="19" t="str">
        <f>IF('Supplier selection'!J888="","",'Supplier selection'!J888)</f>
        <v/>
      </c>
      <c r="K888" s="19" t="str">
        <f>IF('Supplier selection'!K888="","",'Supplier selection'!K888)</f>
        <v/>
      </c>
      <c r="L888" s="19" t="str">
        <f>IF('Supplier selection'!L888="","",'Supplier selection'!L888)</f>
        <v/>
      </c>
      <c r="M888" s="19" t="str">
        <f>IF('Supplier selection'!M888="","",'Supplier selection'!M888)</f>
        <v/>
      </c>
      <c r="N888" s="19" t="str">
        <f>IF('Supplier selection'!N888="","",'Supplier selection'!N888)</f>
        <v/>
      </c>
      <c r="O888" s="19" t="str">
        <f>IF('Supplier selection'!O888="","",'Supplier selection'!O888)</f>
        <v/>
      </c>
      <c r="Q888" s="19" t="str">
        <f>HLOOKUP($Q$3,'Supplier selection'!$AW$4:'Supplier selection'!$CT$1000,$A889,FALSE)</f>
        <v/>
      </c>
      <c r="R888" s="22" t="str">
        <f t="shared" si="143"/>
        <v/>
      </c>
      <c r="S888" s="19" t="str">
        <f t="shared" si="144"/>
        <v/>
      </c>
      <c r="T888" s="22" t="str">
        <f t="shared" si="145"/>
        <v/>
      </c>
      <c r="U888" s="19" t="str">
        <f t="shared" si="146"/>
        <v/>
      </c>
      <c r="V888" s="7"/>
      <c r="Y888" s="19" t="str">
        <f>IF('Supplier selection'!AQ888="","",'Supplier selection'!AQ888)</f>
        <v/>
      </c>
      <c r="Z888" s="19" t="str">
        <f>IF('Supplier selection'!AR888="","",'Supplier selection'!AR888)</f>
        <v/>
      </c>
      <c r="AA888" s="19" t="str">
        <f t="shared" si="147"/>
        <v/>
      </c>
      <c r="AD888" s="26" t="str">
        <f>IF(AND('Supplier selection'!X888="",'Supplier selection'!AE888=""),"",IF('Supplier selection'!X888="",'Supplier selection'!AE888,'Supplier selection'!X888))</f>
        <v/>
      </c>
      <c r="AE888" s="19" t="str">
        <f t="shared" si="148"/>
        <v/>
      </c>
      <c r="AF888" s="19" t="str">
        <f t="shared" si="149"/>
        <v/>
      </c>
      <c r="AG888" s="27" t="str">
        <f>IF(AND('Supplier selection'!AB888="",'Supplier selection'!AI888=""),"",IF('Supplier selection'!AB888="",'Supplier selection'!AI888,'Supplier selection'!AB888))</f>
        <v/>
      </c>
      <c r="AH888" s="28" t="str">
        <f t="shared" si="150"/>
        <v/>
      </c>
      <c r="AI888" s="7" t="str">
        <f t="shared" si="151"/>
        <v/>
      </c>
      <c r="AJ888" s="22" t="str">
        <f t="shared" si="152"/>
        <v/>
      </c>
      <c r="AK888" s="29" t="str">
        <f t="shared" si="153"/>
        <v/>
      </c>
      <c r="AL888" s="10"/>
    </row>
    <row r="889" spans="1:38">
      <c r="A889" s="19">
        <f>IF('Supplier selection'!A889="","",'Supplier selection'!A889)</f>
        <v>885</v>
      </c>
      <c r="B889" s="19" t="str">
        <f>IF('Supplier selection'!B889="","",'Supplier selection'!B889)</f>
        <v/>
      </c>
      <c r="C889" s="19" t="str">
        <f>IF('Supplier selection'!C889="","",'Supplier selection'!C889)</f>
        <v/>
      </c>
      <c r="D889" s="19" t="str">
        <f>IF('Supplier selection'!D889="","",'Supplier selection'!D889)</f>
        <v/>
      </c>
      <c r="E889" s="19" t="str">
        <f>IF('Supplier selection'!E889="","",'Supplier selection'!E889)</f>
        <v/>
      </c>
      <c r="F889" s="19" t="str">
        <f>IF('Supplier selection'!F889="","",'Supplier selection'!F889)</f>
        <v/>
      </c>
      <c r="G889" s="19" t="str">
        <f>IF('Supplier selection'!G889="","",'Supplier selection'!G889)</f>
        <v/>
      </c>
      <c r="H889" s="19" t="str">
        <f>IF('Supplier selection'!H889="","",'Supplier selection'!H889)</f>
        <v/>
      </c>
      <c r="I889" s="19" t="str">
        <f>IF('Supplier selection'!I889="","",'Supplier selection'!I889)</f>
        <v/>
      </c>
      <c r="J889" s="19" t="str">
        <f>IF('Supplier selection'!J889="","",'Supplier selection'!J889)</f>
        <v/>
      </c>
      <c r="K889" s="19" t="str">
        <f>IF('Supplier selection'!K889="","",'Supplier selection'!K889)</f>
        <v/>
      </c>
      <c r="L889" s="19" t="str">
        <f>IF('Supplier selection'!L889="","",'Supplier selection'!L889)</f>
        <v/>
      </c>
      <c r="M889" s="19" t="str">
        <f>IF('Supplier selection'!M889="","",'Supplier selection'!M889)</f>
        <v/>
      </c>
      <c r="N889" s="19" t="str">
        <f>IF('Supplier selection'!N889="","",'Supplier selection'!N889)</f>
        <v/>
      </c>
      <c r="O889" s="19" t="str">
        <f>IF('Supplier selection'!O889="","",'Supplier selection'!O889)</f>
        <v/>
      </c>
      <c r="Q889" s="19" t="str">
        <f>HLOOKUP($Q$3,'Supplier selection'!$AW$4:'Supplier selection'!$CT$1000,$A890,FALSE)</f>
        <v/>
      </c>
      <c r="R889" s="22" t="str">
        <f t="shared" si="143"/>
        <v/>
      </c>
      <c r="S889" s="19" t="str">
        <f t="shared" si="144"/>
        <v/>
      </c>
      <c r="T889" s="22" t="str">
        <f t="shared" si="145"/>
        <v/>
      </c>
      <c r="U889" s="19" t="str">
        <f t="shared" si="146"/>
        <v/>
      </c>
      <c r="V889" s="7"/>
      <c r="Y889" s="19" t="str">
        <f>IF('Supplier selection'!AQ889="","",'Supplier selection'!AQ889)</f>
        <v/>
      </c>
      <c r="Z889" s="19" t="str">
        <f>IF('Supplier selection'!AR889="","",'Supplier selection'!AR889)</f>
        <v/>
      </c>
      <c r="AA889" s="19" t="str">
        <f t="shared" si="147"/>
        <v/>
      </c>
      <c r="AD889" s="26" t="str">
        <f>IF(AND('Supplier selection'!X889="",'Supplier selection'!AE889=""),"",IF('Supplier selection'!X889="",'Supplier selection'!AE889,'Supplier selection'!X889))</f>
        <v/>
      </c>
      <c r="AE889" s="19" t="str">
        <f t="shared" si="148"/>
        <v/>
      </c>
      <c r="AF889" s="19" t="str">
        <f t="shared" si="149"/>
        <v/>
      </c>
      <c r="AG889" s="27" t="str">
        <f>IF(AND('Supplier selection'!AB889="",'Supplier selection'!AI889=""),"",IF('Supplier selection'!AB889="",'Supplier selection'!AI889,'Supplier selection'!AB889))</f>
        <v/>
      </c>
      <c r="AH889" s="28" t="str">
        <f t="shared" si="150"/>
        <v/>
      </c>
      <c r="AI889" s="7" t="str">
        <f t="shared" si="151"/>
        <v/>
      </c>
      <c r="AJ889" s="22" t="str">
        <f t="shared" si="152"/>
        <v/>
      </c>
      <c r="AK889" s="29" t="str">
        <f t="shared" si="153"/>
        <v/>
      </c>
      <c r="AL889" s="10"/>
    </row>
    <row r="890" spans="1:38">
      <c r="A890" s="19">
        <f>IF('Supplier selection'!A890="","",'Supplier selection'!A890)</f>
        <v>886</v>
      </c>
      <c r="B890" s="19" t="str">
        <f>IF('Supplier selection'!B890="","",'Supplier selection'!B890)</f>
        <v/>
      </c>
      <c r="C890" s="19" t="str">
        <f>IF('Supplier selection'!C890="","",'Supplier selection'!C890)</f>
        <v/>
      </c>
      <c r="D890" s="19" t="str">
        <f>IF('Supplier selection'!D890="","",'Supplier selection'!D890)</f>
        <v/>
      </c>
      <c r="E890" s="19" t="str">
        <f>IF('Supplier selection'!E890="","",'Supplier selection'!E890)</f>
        <v/>
      </c>
      <c r="F890" s="19" t="str">
        <f>IF('Supplier selection'!F890="","",'Supplier selection'!F890)</f>
        <v/>
      </c>
      <c r="G890" s="19" t="str">
        <f>IF('Supplier selection'!G890="","",'Supplier selection'!G890)</f>
        <v/>
      </c>
      <c r="H890" s="19" t="str">
        <f>IF('Supplier selection'!H890="","",'Supplier selection'!H890)</f>
        <v/>
      </c>
      <c r="I890" s="19" t="str">
        <f>IF('Supplier selection'!I890="","",'Supplier selection'!I890)</f>
        <v/>
      </c>
      <c r="J890" s="19" t="str">
        <f>IF('Supplier selection'!J890="","",'Supplier selection'!J890)</f>
        <v/>
      </c>
      <c r="K890" s="19" t="str">
        <f>IF('Supplier selection'!K890="","",'Supplier selection'!K890)</f>
        <v/>
      </c>
      <c r="L890" s="19" t="str">
        <f>IF('Supplier selection'!L890="","",'Supplier selection'!L890)</f>
        <v/>
      </c>
      <c r="M890" s="19" t="str">
        <f>IF('Supplier selection'!M890="","",'Supplier selection'!M890)</f>
        <v/>
      </c>
      <c r="N890" s="19" t="str">
        <f>IF('Supplier selection'!N890="","",'Supplier selection'!N890)</f>
        <v/>
      </c>
      <c r="O890" s="19" t="str">
        <f>IF('Supplier selection'!O890="","",'Supplier selection'!O890)</f>
        <v/>
      </c>
      <c r="Q890" s="19" t="str">
        <f>HLOOKUP($Q$3,'Supplier selection'!$AW$4:'Supplier selection'!$CT$1000,$A891,FALSE)</f>
        <v/>
      </c>
      <c r="R890" s="22" t="str">
        <f t="shared" si="143"/>
        <v/>
      </c>
      <c r="S890" s="19" t="str">
        <f t="shared" si="144"/>
        <v/>
      </c>
      <c r="T890" s="22" t="str">
        <f t="shared" si="145"/>
        <v/>
      </c>
      <c r="U890" s="19" t="str">
        <f t="shared" si="146"/>
        <v/>
      </c>
      <c r="V890" s="7"/>
      <c r="Y890" s="19" t="str">
        <f>IF('Supplier selection'!AQ890="","",'Supplier selection'!AQ890)</f>
        <v/>
      </c>
      <c r="Z890" s="19" t="str">
        <f>IF('Supplier selection'!AR890="","",'Supplier selection'!AR890)</f>
        <v/>
      </c>
      <c r="AA890" s="19" t="str">
        <f t="shared" si="147"/>
        <v/>
      </c>
      <c r="AD890" s="26" t="str">
        <f>IF(AND('Supplier selection'!X890="",'Supplier selection'!AE890=""),"",IF('Supplier selection'!X890="",'Supplier selection'!AE890,'Supplier selection'!X890))</f>
        <v/>
      </c>
      <c r="AE890" s="19" t="str">
        <f t="shared" si="148"/>
        <v/>
      </c>
      <c r="AF890" s="19" t="str">
        <f t="shared" si="149"/>
        <v/>
      </c>
      <c r="AG890" s="27" t="str">
        <f>IF(AND('Supplier selection'!AB890="",'Supplier selection'!AI890=""),"",IF('Supplier selection'!AB890="",'Supplier selection'!AI890,'Supplier selection'!AB890))</f>
        <v/>
      </c>
      <c r="AH890" s="28" t="str">
        <f t="shared" si="150"/>
        <v/>
      </c>
      <c r="AI890" s="7" t="str">
        <f t="shared" si="151"/>
        <v/>
      </c>
      <c r="AJ890" s="22" t="str">
        <f t="shared" si="152"/>
        <v/>
      </c>
      <c r="AK890" s="29" t="str">
        <f t="shared" si="153"/>
        <v/>
      </c>
      <c r="AL890" s="10"/>
    </row>
    <row r="891" spans="1:38">
      <c r="A891" s="19">
        <f>IF('Supplier selection'!A891="","",'Supplier selection'!A891)</f>
        <v>887</v>
      </c>
      <c r="B891" s="19" t="str">
        <f>IF('Supplier selection'!B891="","",'Supplier selection'!B891)</f>
        <v/>
      </c>
      <c r="C891" s="19" t="str">
        <f>IF('Supplier selection'!C891="","",'Supplier selection'!C891)</f>
        <v/>
      </c>
      <c r="D891" s="19" t="str">
        <f>IF('Supplier selection'!D891="","",'Supplier selection'!D891)</f>
        <v/>
      </c>
      <c r="E891" s="19" t="str">
        <f>IF('Supplier selection'!E891="","",'Supplier selection'!E891)</f>
        <v/>
      </c>
      <c r="F891" s="19" t="str">
        <f>IF('Supplier selection'!F891="","",'Supplier selection'!F891)</f>
        <v/>
      </c>
      <c r="G891" s="19" t="str">
        <f>IF('Supplier selection'!G891="","",'Supplier selection'!G891)</f>
        <v/>
      </c>
      <c r="H891" s="19" t="str">
        <f>IF('Supplier selection'!H891="","",'Supplier selection'!H891)</f>
        <v/>
      </c>
      <c r="I891" s="19" t="str">
        <f>IF('Supplier selection'!I891="","",'Supplier selection'!I891)</f>
        <v/>
      </c>
      <c r="J891" s="19" t="str">
        <f>IF('Supplier selection'!J891="","",'Supplier selection'!J891)</f>
        <v/>
      </c>
      <c r="K891" s="19" t="str">
        <f>IF('Supplier selection'!K891="","",'Supplier selection'!K891)</f>
        <v/>
      </c>
      <c r="L891" s="19" t="str">
        <f>IF('Supplier selection'!L891="","",'Supplier selection'!L891)</f>
        <v/>
      </c>
      <c r="M891" s="19" t="str">
        <f>IF('Supplier selection'!M891="","",'Supplier selection'!M891)</f>
        <v/>
      </c>
      <c r="N891" s="19" t="str">
        <f>IF('Supplier selection'!N891="","",'Supplier selection'!N891)</f>
        <v/>
      </c>
      <c r="O891" s="19" t="str">
        <f>IF('Supplier selection'!O891="","",'Supplier selection'!O891)</f>
        <v/>
      </c>
      <c r="Q891" s="19" t="str">
        <f>HLOOKUP($Q$3,'Supplier selection'!$AW$4:'Supplier selection'!$CT$1000,$A892,FALSE)</f>
        <v/>
      </c>
      <c r="R891" s="22" t="str">
        <f t="shared" si="143"/>
        <v/>
      </c>
      <c r="S891" s="19" t="str">
        <f t="shared" si="144"/>
        <v/>
      </c>
      <c r="T891" s="22" t="str">
        <f t="shared" si="145"/>
        <v/>
      </c>
      <c r="U891" s="19" t="str">
        <f t="shared" si="146"/>
        <v/>
      </c>
      <c r="V891" s="7"/>
      <c r="Y891" s="19" t="str">
        <f>IF('Supplier selection'!AQ891="","",'Supplier selection'!AQ891)</f>
        <v/>
      </c>
      <c r="Z891" s="19" t="str">
        <f>IF('Supplier selection'!AR891="","",'Supplier selection'!AR891)</f>
        <v/>
      </c>
      <c r="AA891" s="19" t="str">
        <f t="shared" si="147"/>
        <v/>
      </c>
      <c r="AD891" s="26" t="str">
        <f>IF(AND('Supplier selection'!X891="",'Supplier selection'!AE891=""),"",IF('Supplier selection'!X891="",'Supplier selection'!AE891,'Supplier selection'!X891))</f>
        <v/>
      </c>
      <c r="AE891" s="19" t="str">
        <f t="shared" si="148"/>
        <v/>
      </c>
      <c r="AF891" s="19" t="str">
        <f t="shared" si="149"/>
        <v/>
      </c>
      <c r="AG891" s="27" t="str">
        <f>IF(AND('Supplier selection'!AB891="",'Supplier selection'!AI891=""),"",IF('Supplier selection'!AB891="",'Supplier selection'!AI891,'Supplier selection'!AB891))</f>
        <v/>
      </c>
      <c r="AH891" s="28" t="str">
        <f t="shared" si="150"/>
        <v/>
      </c>
      <c r="AI891" s="7" t="str">
        <f t="shared" si="151"/>
        <v/>
      </c>
      <c r="AJ891" s="22" t="str">
        <f t="shared" si="152"/>
        <v/>
      </c>
      <c r="AK891" s="29" t="str">
        <f t="shared" si="153"/>
        <v/>
      </c>
      <c r="AL891" s="10"/>
    </row>
    <row r="892" spans="1:38">
      <c r="A892" s="19">
        <f>IF('Supplier selection'!A892="","",'Supplier selection'!A892)</f>
        <v>888</v>
      </c>
      <c r="B892" s="19" t="str">
        <f>IF('Supplier selection'!B892="","",'Supplier selection'!B892)</f>
        <v/>
      </c>
      <c r="C892" s="19" t="str">
        <f>IF('Supplier selection'!C892="","",'Supplier selection'!C892)</f>
        <v/>
      </c>
      <c r="D892" s="19" t="str">
        <f>IF('Supplier selection'!D892="","",'Supplier selection'!D892)</f>
        <v/>
      </c>
      <c r="E892" s="19" t="str">
        <f>IF('Supplier selection'!E892="","",'Supplier selection'!E892)</f>
        <v/>
      </c>
      <c r="F892" s="19" t="str">
        <f>IF('Supplier selection'!F892="","",'Supplier selection'!F892)</f>
        <v/>
      </c>
      <c r="G892" s="19" t="str">
        <f>IF('Supplier selection'!G892="","",'Supplier selection'!G892)</f>
        <v/>
      </c>
      <c r="H892" s="19" t="str">
        <f>IF('Supplier selection'!H892="","",'Supplier selection'!H892)</f>
        <v/>
      </c>
      <c r="I892" s="19" t="str">
        <f>IF('Supplier selection'!I892="","",'Supplier selection'!I892)</f>
        <v/>
      </c>
      <c r="J892" s="19" t="str">
        <f>IF('Supplier selection'!J892="","",'Supplier selection'!J892)</f>
        <v/>
      </c>
      <c r="K892" s="19" t="str">
        <f>IF('Supplier selection'!K892="","",'Supplier selection'!K892)</f>
        <v/>
      </c>
      <c r="L892" s="19" t="str">
        <f>IF('Supplier selection'!L892="","",'Supplier selection'!L892)</f>
        <v/>
      </c>
      <c r="M892" s="19" t="str">
        <f>IF('Supplier selection'!M892="","",'Supplier selection'!M892)</f>
        <v/>
      </c>
      <c r="N892" s="19" t="str">
        <f>IF('Supplier selection'!N892="","",'Supplier selection'!N892)</f>
        <v/>
      </c>
      <c r="O892" s="19" t="str">
        <f>IF('Supplier selection'!O892="","",'Supplier selection'!O892)</f>
        <v/>
      </c>
      <c r="Q892" s="19" t="str">
        <f>HLOOKUP($Q$3,'Supplier selection'!$AW$4:'Supplier selection'!$CT$1000,$A893,FALSE)</f>
        <v/>
      </c>
      <c r="R892" s="22" t="str">
        <f t="shared" si="143"/>
        <v/>
      </c>
      <c r="S892" s="19" t="str">
        <f t="shared" si="144"/>
        <v/>
      </c>
      <c r="T892" s="22" t="str">
        <f t="shared" si="145"/>
        <v/>
      </c>
      <c r="U892" s="19" t="str">
        <f t="shared" si="146"/>
        <v/>
      </c>
      <c r="V892" s="7"/>
      <c r="Y892" s="19" t="str">
        <f>IF('Supplier selection'!AQ892="","",'Supplier selection'!AQ892)</f>
        <v/>
      </c>
      <c r="Z892" s="19" t="str">
        <f>IF('Supplier selection'!AR892="","",'Supplier selection'!AR892)</f>
        <v/>
      </c>
      <c r="AA892" s="19" t="str">
        <f t="shared" si="147"/>
        <v/>
      </c>
      <c r="AD892" s="26" t="str">
        <f>IF(AND('Supplier selection'!X892="",'Supplier selection'!AE892=""),"",IF('Supplier selection'!X892="",'Supplier selection'!AE892,'Supplier selection'!X892))</f>
        <v/>
      </c>
      <c r="AE892" s="19" t="str">
        <f t="shared" si="148"/>
        <v/>
      </c>
      <c r="AF892" s="19" t="str">
        <f t="shared" si="149"/>
        <v/>
      </c>
      <c r="AG892" s="27" t="str">
        <f>IF(AND('Supplier selection'!AB892="",'Supplier selection'!AI892=""),"",IF('Supplier selection'!AB892="",'Supplier selection'!AI892,'Supplier selection'!AB892))</f>
        <v/>
      </c>
      <c r="AH892" s="28" t="str">
        <f t="shared" si="150"/>
        <v/>
      </c>
      <c r="AI892" s="7" t="str">
        <f t="shared" si="151"/>
        <v/>
      </c>
      <c r="AJ892" s="22" t="str">
        <f t="shared" si="152"/>
        <v/>
      </c>
      <c r="AK892" s="29" t="str">
        <f t="shared" si="153"/>
        <v/>
      </c>
      <c r="AL892" s="10"/>
    </row>
    <row r="893" spans="1:38">
      <c r="A893" s="19">
        <f>IF('Supplier selection'!A893="","",'Supplier selection'!A893)</f>
        <v>889</v>
      </c>
      <c r="B893" s="19" t="str">
        <f>IF('Supplier selection'!B893="","",'Supplier selection'!B893)</f>
        <v/>
      </c>
      <c r="C893" s="19" t="str">
        <f>IF('Supplier selection'!C893="","",'Supplier selection'!C893)</f>
        <v/>
      </c>
      <c r="D893" s="19" t="str">
        <f>IF('Supplier selection'!D893="","",'Supplier selection'!D893)</f>
        <v/>
      </c>
      <c r="E893" s="19" t="str">
        <f>IF('Supplier selection'!E893="","",'Supplier selection'!E893)</f>
        <v/>
      </c>
      <c r="F893" s="19" t="str">
        <f>IF('Supplier selection'!F893="","",'Supplier selection'!F893)</f>
        <v/>
      </c>
      <c r="G893" s="19" t="str">
        <f>IF('Supplier selection'!G893="","",'Supplier selection'!G893)</f>
        <v/>
      </c>
      <c r="H893" s="19" t="str">
        <f>IF('Supplier selection'!H893="","",'Supplier selection'!H893)</f>
        <v/>
      </c>
      <c r="I893" s="19" t="str">
        <f>IF('Supplier selection'!I893="","",'Supplier selection'!I893)</f>
        <v/>
      </c>
      <c r="J893" s="19" t="str">
        <f>IF('Supplier selection'!J893="","",'Supplier selection'!J893)</f>
        <v/>
      </c>
      <c r="K893" s="19" t="str">
        <f>IF('Supplier selection'!K893="","",'Supplier selection'!K893)</f>
        <v/>
      </c>
      <c r="L893" s="19" t="str">
        <f>IF('Supplier selection'!L893="","",'Supplier selection'!L893)</f>
        <v/>
      </c>
      <c r="M893" s="19" t="str">
        <f>IF('Supplier selection'!M893="","",'Supplier selection'!M893)</f>
        <v/>
      </c>
      <c r="N893" s="19" t="str">
        <f>IF('Supplier selection'!N893="","",'Supplier selection'!N893)</f>
        <v/>
      </c>
      <c r="O893" s="19" t="str">
        <f>IF('Supplier selection'!O893="","",'Supplier selection'!O893)</f>
        <v/>
      </c>
      <c r="Q893" s="19" t="str">
        <f>HLOOKUP($Q$3,'Supplier selection'!$AW$4:'Supplier selection'!$CT$1000,$A894,FALSE)</f>
        <v/>
      </c>
      <c r="R893" s="22" t="str">
        <f t="shared" si="143"/>
        <v/>
      </c>
      <c r="S893" s="19" t="str">
        <f t="shared" si="144"/>
        <v/>
      </c>
      <c r="T893" s="22" t="str">
        <f t="shared" si="145"/>
        <v/>
      </c>
      <c r="U893" s="19" t="str">
        <f t="shared" si="146"/>
        <v/>
      </c>
      <c r="V893" s="7"/>
      <c r="Y893" s="19" t="str">
        <f>IF('Supplier selection'!AQ893="","",'Supplier selection'!AQ893)</f>
        <v/>
      </c>
      <c r="Z893" s="19" t="str">
        <f>IF('Supplier selection'!AR893="","",'Supplier selection'!AR893)</f>
        <v/>
      </c>
      <c r="AA893" s="19" t="str">
        <f t="shared" si="147"/>
        <v/>
      </c>
      <c r="AD893" s="26" t="str">
        <f>IF(AND('Supplier selection'!X893="",'Supplier selection'!AE893=""),"",IF('Supplier selection'!X893="",'Supplier selection'!AE893,'Supplier selection'!X893))</f>
        <v/>
      </c>
      <c r="AE893" s="19" t="str">
        <f t="shared" si="148"/>
        <v/>
      </c>
      <c r="AF893" s="19" t="str">
        <f t="shared" si="149"/>
        <v/>
      </c>
      <c r="AG893" s="27" t="str">
        <f>IF(AND('Supplier selection'!AB893="",'Supplier selection'!AI893=""),"",IF('Supplier selection'!AB893="",'Supplier selection'!AI893,'Supplier selection'!AB893))</f>
        <v/>
      </c>
      <c r="AH893" s="28" t="str">
        <f t="shared" si="150"/>
        <v/>
      </c>
      <c r="AI893" s="7" t="str">
        <f t="shared" si="151"/>
        <v/>
      </c>
      <c r="AJ893" s="22" t="str">
        <f t="shared" si="152"/>
        <v/>
      </c>
      <c r="AK893" s="29" t="str">
        <f t="shared" si="153"/>
        <v/>
      </c>
      <c r="AL893" s="10"/>
    </row>
    <row r="894" spans="1:38">
      <c r="A894" s="19">
        <f>IF('Supplier selection'!A894="","",'Supplier selection'!A894)</f>
        <v>890</v>
      </c>
      <c r="B894" s="19" t="str">
        <f>IF('Supplier selection'!B894="","",'Supplier selection'!B894)</f>
        <v/>
      </c>
      <c r="C894" s="19" t="str">
        <f>IF('Supplier selection'!C894="","",'Supplier selection'!C894)</f>
        <v/>
      </c>
      <c r="D894" s="19" t="str">
        <f>IF('Supplier selection'!D894="","",'Supplier selection'!D894)</f>
        <v/>
      </c>
      <c r="E894" s="19" t="str">
        <f>IF('Supplier selection'!E894="","",'Supplier selection'!E894)</f>
        <v/>
      </c>
      <c r="F894" s="19" t="str">
        <f>IF('Supplier selection'!F894="","",'Supplier selection'!F894)</f>
        <v/>
      </c>
      <c r="G894" s="19" t="str">
        <f>IF('Supplier selection'!G894="","",'Supplier selection'!G894)</f>
        <v/>
      </c>
      <c r="H894" s="19" t="str">
        <f>IF('Supplier selection'!H894="","",'Supplier selection'!H894)</f>
        <v/>
      </c>
      <c r="I894" s="19" t="str">
        <f>IF('Supplier selection'!I894="","",'Supplier selection'!I894)</f>
        <v/>
      </c>
      <c r="J894" s="19" t="str">
        <f>IF('Supplier selection'!J894="","",'Supplier selection'!J894)</f>
        <v/>
      </c>
      <c r="K894" s="19" t="str">
        <f>IF('Supplier selection'!K894="","",'Supplier selection'!K894)</f>
        <v/>
      </c>
      <c r="L894" s="19" t="str">
        <f>IF('Supplier selection'!L894="","",'Supplier selection'!L894)</f>
        <v/>
      </c>
      <c r="M894" s="19" t="str">
        <f>IF('Supplier selection'!M894="","",'Supplier selection'!M894)</f>
        <v/>
      </c>
      <c r="N894" s="19" t="str">
        <f>IF('Supplier selection'!N894="","",'Supplier selection'!N894)</f>
        <v/>
      </c>
      <c r="O894" s="19" t="str">
        <f>IF('Supplier selection'!O894="","",'Supplier selection'!O894)</f>
        <v/>
      </c>
      <c r="Q894" s="19" t="str">
        <f>HLOOKUP($Q$3,'Supplier selection'!$AW$4:'Supplier selection'!$CT$1000,$A895,FALSE)</f>
        <v/>
      </c>
      <c r="R894" s="22" t="str">
        <f t="shared" si="143"/>
        <v/>
      </c>
      <c r="S894" s="19" t="str">
        <f t="shared" si="144"/>
        <v/>
      </c>
      <c r="T894" s="22" t="str">
        <f t="shared" si="145"/>
        <v/>
      </c>
      <c r="U894" s="19" t="str">
        <f t="shared" si="146"/>
        <v/>
      </c>
      <c r="V894" s="7"/>
      <c r="Y894" s="19" t="str">
        <f>IF('Supplier selection'!AQ894="","",'Supplier selection'!AQ894)</f>
        <v/>
      </c>
      <c r="Z894" s="19" t="str">
        <f>IF('Supplier selection'!AR894="","",'Supplier selection'!AR894)</f>
        <v/>
      </c>
      <c r="AA894" s="19" t="str">
        <f t="shared" si="147"/>
        <v/>
      </c>
      <c r="AD894" s="26" t="str">
        <f>IF(AND('Supplier selection'!X894="",'Supplier selection'!AE894=""),"",IF('Supplier selection'!X894="",'Supplier selection'!AE894,'Supplier selection'!X894))</f>
        <v/>
      </c>
      <c r="AE894" s="19" t="str">
        <f t="shared" si="148"/>
        <v/>
      </c>
      <c r="AF894" s="19" t="str">
        <f t="shared" si="149"/>
        <v/>
      </c>
      <c r="AG894" s="27" t="str">
        <f>IF(AND('Supplier selection'!AB894="",'Supplier selection'!AI894=""),"",IF('Supplier selection'!AB894="",'Supplier selection'!AI894,'Supplier selection'!AB894))</f>
        <v/>
      </c>
      <c r="AH894" s="28" t="str">
        <f t="shared" si="150"/>
        <v/>
      </c>
      <c r="AI894" s="7" t="str">
        <f t="shared" si="151"/>
        <v/>
      </c>
      <c r="AJ894" s="22" t="str">
        <f t="shared" si="152"/>
        <v/>
      </c>
      <c r="AK894" s="29" t="str">
        <f t="shared" si="153"/>
        <v/>
      </c>
      <c r="AL894" s="10"/>
    </row>
    <row r="895" spans="1:38">
      <c r="A895" s="19">
        <f>IF('Supplier selection'!A895="","",'Supplier selection'!A895)</f>
        <v>891</v>
      </c>
      <c r="B895" s="19" t="str">
        <f>IF('Supplier selection'!B895="","",'Supplier selection'!B895)</f>
        <v/>
      </c>
      <c r="C895" s="19" t="str">
        <f>IF('Supplier selection'!C895="","",'Supplier selection'!C895)</f>
        <v/>
      </c>
      <c r="D895" s="19" t="str">
        <f>IF('Supplier selection'!D895="","",'Supplier selection'!D895)</f>
        <v/>
      </c>
      <c r="E895" s="19" t="str">
        <f>IF('Supplier selection'!E895="","",'Supplier selection'!E895)</f>
        <v/>
      </c>
      <c r="F895" s="19" t="str">
        <f>IF('Supplier selection'!F895="","",'Supplier selection'!F895)</f>
        <v/>
      </c>
      <c r="G895" s="19" t="str">
        <f>IF('Supplier selection'!G895="","",'Supplier selection'!G895)</f>
        <v/>
      </c>
      <c r="H895" s="19" t="str">
        <f>IF('Supplier selection'!H895="","",'Supplier selection'!H895)</f>
        <v/>
      </c>
      <c r="I895" s="19" t="str">
        <f>IF('Supplier selection'!I895="","",'Supplier selection'!I895)</f>
        <v/>
      </c>
      <c r="J895" s="19" t="str">
        <f>IF('Supplier selection'!J895="","",'Supplier selection'!J895)</f>
        <v/>
      </c>
      <c r="K895" s="19" t="str">
        <f>IF('Supplier selection'!K895="","",'Supplier selection'!K895)</f>
        <v/>
      </c>
      <c r="L895" s="19" t="str">
        <f>IF('Supplier selection'!L895="","",'Supplier selection'!L895)</f>
        <v/>
      </c>
      <c r="M895" s="19" t="str">
        <f>IF('Supplier selection'!M895="","",'Supplier selection'!M895)</f>
        <v/>
      </c>
      <c r="N895" s="19" t="str">
        <f>IF('Supplier selection'!N895="","",'Supplier selection'!N895)</f>
        <v/>
      </c>
      <c r="O895" s="19" t="str">
        <f>IF('Supplier selection'!O895="","",'Supplier selection'!O895)</f>
        <v/>
      </c>
      <c r="Q895" s="19" t="str">
        <f>HLOOKUP($Q$3,'Supplier selection'!$AW$4:'Supplier selection'!$CT$1000,$A896,FALSE)</f>
        <v/>
      </c>
      <c r="R895" s="22" t="str">
        <f t="shared" si="143"/>
        <v/>
      </c>
      <c r="S895" s="19" t="str">
        <f t="shared" si="144"/>
        <v/>
      </c>
      <c r="T895" s="22" t="str">
        <f t="shared" si="145"/>
        <v/>
      </c>
      <c r="U895" s="19" t="str">
        <f t="shared" si="146"/>
        <v/>
      </c>
      <c r="V895" s="7"/>
      <c r="Y895" s="19" t="str">
        <f>IF('Supplier selection'!AQ895="","",'Supplier selection'!AQ895)</f>
        <v/>
      </c>
      <c r="Z895" s="19" t="str">
        <f>IF('Supplier selection'!AR895="","",'Supplier selection'!AR895)</f>
        <v/>
      </c>
      <c r="AA895" s="19" t="str">
        <f t="shared" si="147"/>
        <v/>
      </c>
      <c r="AD895" s="26" t="str">
        <f>IF(AND('Supplier selection'!X895="",'Supplier selection'!AE895=""),"",IF('Supplier selection'!X895="",'Supplier selection'!AE895,'Supplier selection'!X895))</f>
        <v/>
      </c>
      <c r="AE895" s="19" t="str">
        <f t="shared" si="148"/>
        <v/>
      </c>
      <c r="AF895" s="19" t="str">
        <f t="shared" si="149"/>
        <v/>
      </c>
      <c r="AG895" s="27" t="str">
        <f>IF(AND('Supplier selection'!AB895="",'Supplier selection'!AI895=""),"",IF('Supplier selection'!AB895="",'Supplier selection'!AI895,'Supplier selection'!AB895))</f>
        <v/>
      </c>
      <c r="AH895" s="28" t="str">
        <f t="shared" si="150"/>
        <v/>
      </c>
      <c r="AI895" s="7" t="str">
        <f t="shared" si="151"/>
        <v/>
      </c>
      <c r="AJ895" s="22" t="str">
        <f t="shared" si="152"/>
        <v/>
      </c>
      <c r="AK895" s="29" t="str">
        <f t="shared" si="153"/>
        <v/>
      </c>
      <c r="AL895" s="10"/>
    </row>
    <row r="896" spans="1:38">
      <c r="A896" s="19">
        <f>IF('Supplier selection'!A896="","",'Supplier selection'!A896)</f>
        <v>892</v>
      </c>
      <c r="B896" s="19" t="str">
        <f>IF('Supplier selection'!B896="","",'Supplier selection'!B896)</f>
        <v/>
      </c>
      <c r="C896" s="19" t="str">
        <f>IF('Supplier selection'!C896="","",'Supplier selection'!C896)</f>
        <v/>
      </c>
      <c r="D896" s="19" t="str">
        <f>IF('Supplier selection'!D896="","",'Supplier selection'!D896)</f>
        <v/>
      </c>
      <c r="E896" s="19" t="str">
        <f>IF('Supplier selection'!E896="","",'Supplier selection'!E896)</f>
        <v/>
      </c>
      <c r="F896" s="19" t="str">
        <f>IF('Supplier selection'!F896="","",'Supplier selection'!F896)</f>
        <v/>
      </c>
      <c r="G896" s="19" t="str">
        <f>IF('Supplier selection'!G896="","",'Supplier selection'!G896)</f>
        <v/>
      </c>
      <c r="H896" s="19" t="str">
        <f>IF('Supplier selection'!H896="","",'Supplier selection'!H896)</f>
        <v/>
      </c>
      <c r="I896" s="19" t="str">
        <f>IF('Supplier selection'!I896="","",'Supplier selection'!I896)</f>
        <v/>
      </c>
      <c r="J896" s="19" t="str">
        <f>IF('Supplier selection'!J896="","",'Supplier selection'!J896)</f>
        <v/>
      </c>
      <c r="K896" s="19" t="str">
        <f>IF('Supplier selection'!K896="","",'Supplier selection'!K896)</f>
        <v/>
      </c>
      <c r="L896" s="19" t="str">
        <f>IF('Supplier selection'!L896="","",'Supplier selection'!L896)</f>
        <v/>
      </c>
      <c r="M896" s="19" t="str">
        <f>IF('Supplier selection'!M896="","",'Supplier selection'!M896)</f>
        <v/>
      </c>
      <c r="N896" s="19" t="str">
        <f>IF('Supplier selection'!N896="","",'Supplier selection'!N896)</f>
        <v/>
      </c>
      <c r="O896" s="19" t="str">
        <f>IF('Supplier selection'!O896="","",'Supplier selection'!O896)</f>
        <v/>
      </c>
      <c r="Q896" s="19" t="str">
        <f>HLOOKUP($Q$3,'Supplier selection'!$AW$4:'Supplier selection'!$CT$1000,$A897,FALSE)</f>
        <v/>
      </c>
      <c r="R896" s="22" t="str">
        <f t="shared" si="143"/>
        <v/>
      </c>
      <c r="S896" s="19" t="str">
        <f t="shared" si="144"/>
        <v/>
      </c>
      <c r="T896" s="22" t="str">
        <f t="shared" si="145"/>
        <v/>
      </c>
      <c r="U896" s="19" t="str">
        <f t="shared" si="146"/>
        <v/>
      </c>
      <c r="V896" s="7"/>
      <c r="Y896" s="19" t="str">
        <f>IF('Supplier selection'!AQ896="","",'Supplier selection'!AQ896)</f>
        <v/>
      </c>
      <c r="Z896" s="19" t="str">
        <f>IF('Supplier selection'!AR896="","",'Supplier selection'!AR896)</f>
        <v/>
      </c>
      <c r="AA896" s="19" t="str">
        <f t="shared" si="147"/>
        <v/>
      </c>
      <c r="AD896" s="26" t="str">
        <f>IF(AND('Supplier selection'!X896="",'Supplier selection'!AE896=""),"",IF('Supplier selection'!X896="",'Supplier selection'!AE896,'Supplier selection'!X896))</f>
        <v/>
      </c>
      <c r="AE896" s="19" t="str">
        <f t="shared" si="148"/>
        <v/>
      </c>
      <c r="AF896" s="19" t="str">
        <f t="shared" si="149"/>
        <v/>
      </c>
      <c r="AG896" s="27" t="str">
        <f>IF(AND('Supplier selection'!AB896="",'Supplier selection'!AI896=""),"",IF('Supplier selection'!AB896="",'Supplier selection'!AI896,'Supplier selection'!AB896))</f>
        <v/>
      </c>
      <c r="AH896" s="28" t="str">
        <f t="shared" si="150"/>
        <v/>
      </c>
      <c r="AI896" s="7" t="str">
        <f t="shared" si="151"/>
        <v/>
      </c>
      <c r="AJ896" s="22" t="str">
        <f t="shared" si="152"/>
        <v/>
      </c>
      <c r="AK896" s="29" t="str">
        <f t="shared" si="153"/>
        <v/>
      </c>
      <c r="AL896" s="10"/>
    </row>
    <row r="897" spans="1:38">
      <c r="A897" s="19">
        <f>IF('Supplier selection'!A897="","",'Supplier selection'!A897)</f>
        <v>893</v>
      </c>
      <c r="B897" s="19" t="str">
        <f>IF('Supplier selection'!B897="","",'Supplier selection'!B897)</f>
        <v/>
      </c>
      <c r="C897" s="19" t="str">
        <f>IF('Supplier selection'!C897="","",'Supplier selection'!C897)</f>
        <v/>
      </c>
      <c r="D897" s="19" t="str">
        <f>IF('Supplier selection'!D897="","",'Supplier selection'!D897)</f>
        <v/>
      </c>
      <c r="E897" s="19" t="str">
        <f>IF('Supplier selection'!E897="","",'Supplier selection'!E897)</f>
        <v/>
      </c>
      <c r="F897" s="19" t="str">
        <f>IF('Supplier selection'!F897="","",'Supplier selection'!F897)</f>
        <v/>
      </c>
      <c r="G897" s="19" t="str">
        <f>IF('Supplier selection'!G897="","",'Supplier selection'!G897)</f>
        <v/>
      </c>
      <c r="H897" s="19" t="str">
        <f>IF('Supplier selection'!H897="","",'Supplier selection'!H897)</f>
        <v/>
      </c>
      <c r="I897" s="19" t="str">
        <f>IF('Supplier selection'!I897="","",'Supplier selection'!I897)</f>
        <v/>
      </c>
      <c r="J897" s="19" t="str">
        <f>IF('Supplier selection'!J897="","",'Supplier selection'!J897)</f>
        <v/>
      </c>
      <c r="K897" s="19" t="str">
        <f>IF('Supplier selection'!K897="","",'Supplier selection'!K897)</f>
        <v/>
      </c>
      <c r="L897" s="19" t="str">
        <f>IF('Supplier selection'!L897="","",'Supplier selection'!L897)</f>
        <v/>
      </c>
      <c r="M897" s="19" t="str">
        <f>IF('Supplier selection'!M897="","",'Supplier selection'!M897)</f>
        <v/>
      </c>
      <c r="N897" s="19" t="str">
        <f>IF('Supplier selection'!N897="","",'Supplier selection'!N897)</f>
        <v/>
      </c>
      <c r="O897" s="19" t="str">
        <f>IF('Supplier selection'!O897="","",'Supplier selection'!O897)</f>
        <v/>
      </c>
      <c r="Q897" s="19" t="str">
        <f>HLOOKUP($Q$3,'Supplier selection'!$AW$4:'Supplier selection'!$CT$1000,$A898,FALSE)</f>
        <v/>
      </c>
      <c r="R897" s="22" t="str">
        <f t="shared" si="143"/>
        <v/>
      </c>
      <c r="S897" s="19" t="str">
        <f t="shared" si="144"/>
        <v/>
      </c>
      <c r="T897" s="22" t="str">
        <f t="shared" si="145"/>
        <v/>
      </c>
      <c r="U897" s="19" t="str">
        <f t="shared" si="146"/>
        <v/>
      </c>
      <c r="V897" s="7"/>
      <c r="Y897" s="19" t="str">
        <f>IF('Supplier selection'!AQ897="","",'Supplier selection'!AQ897)</f>
        <v/>
      </c>
      <c r="Z897" s="19" t="str">
        <f>IF('Supplier selection'!AR897="","",'Supplier selection'!AR897)</f>
        <v/>
      </c>
      <c r="AA897" s="19" t="str">
        <f t="shared" si="147"/>
        <v/>
      </c>
      <c r="AD897" s="26" t="str">
        <f>IF(AND('Supplier selection'!X897="",'Supplier selection'!AE897=""),"",IF('Supplier selection'!X897="",'Supplier selection'!AE897,'Supplier selection'!X897))</f>
        <v/>
      </c>
      <c r="AE897" s="19" t="str">
        <f t="shared" si="148"/>
        <v/>
      </c>
      <c r="AF897" s="19" t="str">
        <f t="shared" si="149"/>
        <v/>
      </c>
      <c r="AG897" s="27" t="str">
        <f>IF(AND('Supplier selection'!AB897="",'Supplier selection'!AI897=""),"",IF('Supplier selection'!AB897="",'Supplier selection'!AI897,'Supplier selection'!AB897))</f>
        <v/>
      </c>
      <c r="AH897" s="28" t="str">
        <f t="shared" si="150"/>
        <v/>
      </c>
      <c r="AI897" s="7" t="str">
        <f t="shared" si="151"/>
        <v/>
      </c>
      <c r="AJ897" s="22" t="str">
        <f t="shared" si="152"/>
        <v/>
      </c>
      <c r="AK897" s="29" t="str">
        <f t="shared" si="153"/>
        <v/>
      </c>
      <c r="AL897" s="10"/>
    </row>
    <row r="898" spans="1:38">
      <c r="A898" s="19">
        <f>IF('Supplier selection'!A898="","",'Supplier selection'!A898)</f>
        <v>894</v>
      </c>
      <c r="B898" s="19" t="str">
        <f>IF('Supplier selection'!B898="","",'Supplier selection'!B898)</f>
        <v/>
      </c>
      <c r="C898" s="19" t="str">
        <f>IF('Supplier selection'!C898="","",'Supplier selection'!C898)</f>
        <v/>
      </c>
      <c r="D898" s="19" t="str">
        <f>IF('Supplier selection'!D898="","",'Supplier selection'!D898)</f>
        <v/>
      </c>
      <c r="E898" s="19" t="str">
        <f>IF('Supplier selection'!E898="","",'Supplier selection'!E898)</f>
        <v/>
      </c>
      <c r="F898" s="19" t="str">
        <f>IF('Supplier selection'!F898="","",'Supplier selection'!F898)</f>
        <v/>
      </c>
      <c r="G898" s="19" t="str">
        <f>IF('Supplier selection'!G898="","",'Supplier selection'!G898)</f>
        <v/>
      </c>
      <c r="H898" s="19" t="str">
        <f>IF('Supplier selection'!H898="","",'Supplier selection'!H898)</f>
        <v/>
      </c>
      <c r="I898" s="19" t="str">
        <f>IF('Supplier selection'!I898="","",'Supplier selection'!I898)</f>
        <v/>
      </c>
      <c r="J898" s="19" t="str">
        <f>IF('Supplier selection'!J898="","",'Supplier selection'!J898)</f>
        <v/>
      </c>
      <c r="K898" s="19" t="str">
        <f>IF('Supplier selection'!K898="","",'Supplier selection'!K898)</f>
        <v/>
      </c>
      <c r="L898" s="19" t="str">
        <f>IF('Supplier selection'!L898="","",'Supplier selection'!L898)</f>
        <v/>
      </c>
      <c r="M898" s="19" t="str">
        <f>IF('Supplier selection'!M898="","",'Supplier selection'!M898)</f>
        <v/>
      </c>
      <c r="N898" s="19" t="str">
        <f>IF('Supplier selection'!N898="","",'Supplier selection'!N898)</f>
        <v/>
      </c>
      <c r="O898" s="19" t="str">
        <f>IF('Supplier selection'!O898="","",'Supplier selection'!O898)</f>
        <v/>
      </c>
      <c r="Q898" s="19" t="str">
        <f>HLOOKUP($Q$3,'Supplier selection'!$AW$4:'Supplier selection'!$CT$1000,$A899,FALSE)</f>
        <v/>
      </c>
      <c r="R898" s="22" t="str">
        <f t="shared" si="143"/>
        <v/>
      </c>
      <c r="S898" s="19" t="str">
        <f t="shared" si="144"/>
        <v/>
      </c>
      <c r="T898" s="22" t="str">
        <f t="shared" si="145"/>
        <v/>
      </c>
      <c r="U898" s="19" t="str">
        <f t="shared" si="146"/>
        <v/>
      </c>
      <c r="V898" s="7"/>
      <c r="Y898" s="19" t="str">
        <f>IF('Supplier selection'!AQ898="","",'Supplier selection'!AQ898)</f>
        <v/>
      </c>
      <c r="Z898" s="19" t="str">
        <f>IF('Supplier selection'!AR898="","",'Supplier selection'!AR898)</f>
        <v/>
      </c>
      <c r="AA898" s="19" t="str">
        <f t="shared" si="147"/>
        <v/>
      </c>
      <c r="AD898" s="26" t="str">
        <f>IF(AND('Supplier selection'!X898="",'Supplier selection'!AE898=""),"",IF('Supplier selection'!X898="",'Supplier selection'!AE898,'Supplier selection'!X898))</f>
        <v/>
      </c>
      <c r="AE898" s="19" t="str">
        <f t="shared" si="148"/>
        <v/>
      </c>
      <c r="AF898" s="19" t="str">
        <f t="shared" si="149"/>
        <v/>
      </c>
      <c r="AG898" s="27" t="str">
        <f>IF(AND('Supplier selection'!AB898="",'Supplier selection'!AI898=""),"",IF('Supplier selection'!AB898="",'Supplier selection'!AI898,'Supplier selection'!AB898))</f>
        <v/>
      </c>
      <c r="AH898" s="28" t="str">
        <f t="shared" si="150"/>
        <v/>
      </c>
      <c r="AI898" s="7" t="str">
        <f t="shared" si="151"/>
        <v/>
      </c>
      <c r="AJ898" s="22" t="str">
        <f t="shared" si="152"/>
        <v/>
      </c>
      <c r="AK898" s="29" t="str">
        <f t="shared" si="153"/>
        <v/>
      </c>
      <c r="AL898" s="10"/>
    </row>
    <row r="899" spans="1:38">
      <c r="A899" s="19">
        <f>IF('Supplier selection'!A899="","",'Supplier selection'!A899)</f>
        <v>895</v>
      </c>
      <c r="B899" s="19" t="str">
        <f>IF('Supplier selection'!B899="","",'Supplier selection'!B899)</f>
        <v/>
      </c>
      <c r="C899" s="19" t="str">
        <f>IF('Supplier selection'!C899="","",'Supplier selection'!C899)</f>
        <v/>
      </c>
      <c r="D899" s="19" t="str">
        <f>IF('Supplier selection'!D899="","",'Supplier selection'!D899)</f>
        <v/>
      </c>
      <c r="E899" s="19" t="str">
        <f>IF('Supplier selection'!E899="","",'Supplier selection'!E899)</f>
        <v/>
      </c>
      <c r="F899" s="19" t="str">
        <f>IF('Supplier selection'!F899="","",'Supplier selection'!F899)</f>
        <v/>
      </c>
      <c r="G899" s="19" t="str">
        <f>IF('Supplier selection'!G899="","",'Supplier selection'!G899)</f>
        <v/>
      </c>
      <c r="H899" s="19" t="str">
        <f>IF('Supplier selection'!H899="","",'Supplier selection'!H899)</f>
        <v/>
      </c>
      <c r="I899" s="19" t="str">
        <f>IF('Supplier selection'!I899="","",'Supplier selection'!I899)</f>
        <v/>
      </c>
      <c r="J899" s="19" t="str">
        <f>IF('Supplier selection'!J899="","",'Supplier selection'!J899)</f>
        <v/>
      </c>
      <c r="K899" s="19" t="str">
        <f>IF('Supplier selection'!K899="","",'Supplier selection'!K899)</f>
        <v/>
      </c>
      <c r="L899" s="19" t="str">
        <f>IF('Supplier selection'!L899="","",'Supplier selection'!L899)</f>
        <v/>
      </c>
      <c r="M899" s="19" t="str">
        <f>IF('Supplier selection'!M899="","",'Supplier selection'!M899)</f>
        <v/>
      </c>
      <c r="N899" s="19" t="str">
        <f>IF('Supplier selection'!N899="","",'Supplier selection'!N899)</f>
        <v/>
      </c>
      <c r="O899" s="19" t="str">
        <f>IF('Supplier selection'!O899="","",'Supplier selection'!O899)</f>
        <v/>
      </c>
      <c r="Q899" s="19" t="str">
        <f>HLOOKUP($Q$3,'Supplier selection'!$AW$4:'Supplier selection'!$CT$1000,$A900,FALSE)</f>
        <v/>
      </c>
      <c r="R899" s="22" t="str">
        <f t="shared" si="143"/>
        <v/>
      </c>
      <c r="S899" s="19" t="str">
        <f t="shared" si="144"/>
        <v/>
      </c>
      <c r="T899" s="22" t="str">
        <f t="shared" si="145"/>
        <v/>
      </c>
      <c r="U899" s="19" t="str">
        <f t="shared" si="146"/>
        <v/>
      </c>
      <c r="V899" s="7"/>
      <c r="Y899" s="19" t="str">
        <f>IF('Supplier selection'!AQ899="","",'Supplier selection'!AQ899)</f>
        <v/>
      </c>
      <c r="Z899" s="19" t="str">
        <f>IF('Supplier selection'!AR899="","",'Supplier selection'!AR899)</f>
        <v/>
      </c>
      <c r="AA899" s="19" t="str">
        <f t="shared" si="147"/>
        <v/>
      </c>
      <c r="AD899" s="26" t="str">
        <f>IF(AND('Supplier selection'!X899="",'Supplier selection'!AE899=""),"",IF('Supplier selection'!X899="",'Supplier selection'!AE899,'Supplier selection'!X899))</f>
        <v/>
      </c>
      <c r="AE899" s="19" t="str">
        <f t="shared" si="148"/>
        <v/>
      </c>
      <c r="AF899" s="19" t="str">
        <f t="shared" si="149"/>
        <v/>
      </c>
      <c r="AG899" s="27" t="str">
        <f>IF(AND('Supplier selection'!AB899="",'Supplier selection'!AI899=""),"",IF('Supplier selection'!AB899="",'Supplier selection'!AI899,'Supplier selection'!AB899))</f>
        <v/>
      </c>
      <c r="AH899" s="28" t="str">
        <f t="shared" si="150"/>
        <v/>
      </c>
      <c r="AI899" s="7" t="str">
        <f t="shared" si="151"/>
        <v/>
      </c>
      <c r="AJ899" s="22" t="str">
        <f t="shared" si="152"/>
        <v/>
      </c>
      <c r="AK899" s="29" t="str">
        <f t="shared" si="153"/>
        <v/>
      </c>
      <c r="AL899" s="10"/>
    </row>
    <row r="900" spans="1:38">
      <c r="A900" s="19">
        <f>IF('Supplier selection'!A900="","",'Supplier selection'!A900)</f>
        <v>896</v>
      </c>
      <c r="B900" s="19" t="str">
        <f>IF('Supplier selection'!B900="","",'Supplier selection'!B900)</f>
        <v/>
      </c>
      <c r="C900" s="19" t="str">
        <f>IF('Supplier selection'!C900="","",'Supplier selection'!C900)</f>
        <v/>
      </c>
      <c r="D900" s="19" t="str">
        <f>IF('Supplier selection'!D900="","",'Supplier selection'!D900)</f>
        <v/>
      </c>
      <c r="E900" s="19" t="str">
        <f>IF('Supplier selection'!E900="","",'Supplier selection'!E900)</f>
        <v/>
      </c>
      <c r="F900" s="19" t="str">
        <f>IF('Supplier selection'!F900="","",'Supplier selection'!F900)</f>
        <v/>
      </c>
      <c r="G900" s="19" t="str">
        <f>IF('Supplier selection'!G900="","",'Supplier selection'!G900)</f>
        <v/>
      </c>
      <c r="H900" s="19" t="str">
        <f>IF('Supplier selection'!H900="","",'Supplier selection'!H900)</f>
        <v/>
      </c>
      <c r="I900" s="19" t="str">
        <f>IF('Supplier selection'!I900="","",'Supplier selection'!I900)</f>
        <v/>
      </c>
      <c r="J900" s="19" t="str">
        <f>IF('Supplier selection'!J900="","",'Supplier selection'!J900)</f>
        <v/>
      </c>
      <c r="K900" s="19" t="str">
        <f>IF('Supplier selection'!K900="","",'Supplier selection'!K900)</f>
        <v/>
      </c>
      <c r="L900" s="19" t="str">
        <f>IF('Supplier selection'!L900="","",'Supplier selection'!L900)</f>
        <v/>
      </c>
      <c r="M900" s="19" t="str">
        <f>IF('Supplier selection'!M900="","",'Supplier selection'!M900)</f>
        <v/>
      </c>
      <c r="N900" s="19" t="str">
        <f>IF('Supplier selection'!N900="","",'Supplier selection'!N900)</f>
        <v/>
      </c>
      <c r="O900" s="19" t="str">
        <f>IF('Supplier selection'!O900="","",'Supplier selection'!O900)</f>
        <v/>
      </c>
      <c r="Q900" s="19" t="str">
        <f>HLOOKUP($Q$3,'Supplier selection'!$AW$4:'Supplier selection'!$CT$1000,$A901,FALSE)</f>
        <v/>
      </c>
      <c r="R900" s="22" t="str">
        <f t="shared" si="143"/>
        <v/>
      </c>
      <c r="S900" s="19" t="str">
        <f t="shared" si="144"/>
        <v/>
      </c>
      <c r="T900" s="22" t="str">
        <f t="shared" si="145"/>
        <v/>
      </c>
      <c r="U900" s="19" t="str">
        <f t="shared" si="146"/>
        <v/>
      </c>
      <c r="V900" s="7"/>
      <c r="Y900" s="19" t="str">
        <f>IF('Supplier selection'!AQ900="","",'Supplier selection'!AQ900)</f>
        <v/>
      </c>
      <c r="Z900" s="19" t="str">
        <f>IF('Supplier selection'!AR900="","",'Supplier selection'!AR900)</f>
        <v/>
      </c>
      <c r="AA900" s="19" t="str">
        <f t="shared" si="147"/>
        <v/>
      </c>
      <c r="AD900" s="26" t="str">
        <f>IF(AND('Supplier selection'!X900="",'Supplier selection'!AE900=""),"",IF('Supplier selection'!X900="",'Supplier selection'!AE900,'Supplier selection'!X900))</f>
        <v/>
      </c>
      <c r="AE900" s="19" t="str">
        <f t="shared" si="148"/>
        <v/>
      </c>
      <c r="AF900" s="19" t="str">
        <f t="shared" si="149"/>
        <v/>
      </c>
      <c r="AG900" s="27" t="str">
        <f>IF(AND('Supplier selection'!AB900="",'Supplier selection'!AI900=""),"",IF('Supplier selection'!AB900="",'Supplier selection'!AI900,'Supplier selection'!AB900))</f>
        <v/>
      </c>
      <c r="AH900" s="28" t="str">
        <f t="shared" si="150"/>
        <v/>
      </c>
      <c r="AI900" s="7" t="str">
        <f t="shared" si="151"/>
        <v/>
      </c>
      <c r="AJ900" s="22" t="str">
        <f t="shared" si="152"/>
        <v/>
      </c>
      <c r="AK900" s="29" t="str">
        <f t="shared" si="153"/>
        <v/>
      </c>
      <c r="AL900" s="10"/>
    </row>
    <row r="901" spans="1:38">
      <c r="A901" s="19">
        <f>IF('Supplier selection'!A901="","",'Supplier selection'!A901)</f>
        <v>897</v>
      </c>
      <c r="B901" s="19" t="str">
        <f>IF('Supplier selection'!B901="","",'Supplier selection'!B901)</f>
        <v/>
      </c>
      <c r="C901" s="19" t="str">
        <f>IF('Supplier selection'!C901="","",'Supplier selection'!C901)</f>
        <v/>
      </c>
      <c r="D901" s="19" t="str">
        <f>IF('Supplier selection'!D901="","",'Supplier selection'!D901)</f>
        <v/>
      </c>
      <c r="E901" s="19" t="str">
        <f>IF('Supplier selection'!E901="","",'Supplier selection'!E901)</f>
        <v/>
      </c>
      <c r="F901" s="19" t="str">
        <f>IF('Supplier selection'!F901="","",'Supplier selection'!F901)</f>
        <v/>
      </c>
      <c r="G901" s="19" t="str">
        <f>IF('Supplier selection'!G901="","",'Supplier selection'!G901)</f>
        <v/>
      </c>
      <c r="H901" s="19" t="str">
        <f>IF('Supplier selection'!H901="","",'Supplier selection'!H901)</f>
        <v/>
      </c>
      <c r="I901" s="19" t="str">
        <f>IF('Supplier selection'!I901="","",'Supplier selection'!I901)</f>
        <v/>
      </c>
      <c r="J901" s="19" t="str">
        <f>IF('Supplier selection'!J901="","",'Supplier selection'!J901)</f>
        <v/>
      </c>
      <c r="K901" s="19" t="str">
        <f>IF('Supplier selection'!K901="","",'Supplier selection'!K901)</f>
        <v/>
      </c>
      <c r="L901" s="19" t="str">
        <f>IF('Supplier selection'!L901="","",'Supplier selection'!L901)</f>
        <v/>
      </c>
      <c r="M901" s="19" t="str">
        <f>IF('Supplier selection'!M901="","",'Supplier selection'!M901)</f>
        <v/>
      </c>
      <c r="N901" s="19" t="str">
        <f>IF('Supplier selection'!N901="","",'Supplier selection'!N901)</f>
        <v/>
      </c>
      <c r="O901" s="19" t="str">
        <f>IF('Supplier selection'!O901="","",'Supplier selection'!O901)</f>
        <v/>
      </c>
      <c r="Q901" s="19" t="str">
        <f>HLOOKUP($Q$3,'Supplier selection'!$AW$4:'Supplier selection'!$CT$1000,$A902,FALSE)</f>
        <v/>
      </c>
      <c r="R901" s="22" t="str">
        <f t="shared" si="143"/>
        <v/>
      </c>
      <c r="S901" s="19" t="str">
        <f t="shared" si="144"/>
        <v/>
      </c>
      <c r="T901" s="22" t="str">
        <f t="shared" si="145"/>
        <v/>
      </c>
      <c r="U901" s="19" t="str">
        <f t="shared" si="146"/>
        <v/>
      </c>
      <c r="V901" s="7"/>
      <c r="Y901" s="19" t="str">
        <f>IF('Supplier selection'!AQ901="","",'Supplier selection'!AQ901)</f>
        <v/>
      </c>
      <c r="Z901" s="19" t="str">
        <f>IF('Supplier selection'!AR901="","",'Supplier selection'!AR901)</f>
        <v/>
      </c>
      <c r="AA901" s="19" t="str">
        <f t="shared" si="147"/>
        <v/>
      </c>
      <c r="AD901" s="26" t="str">
        <f>IF(AND('Supplier selection'!X901="",'Supplier selection'!AE901=""),"",IF('Supplier selection'!X901="",'Supplier selection'!AE901,'Supplier selection'!X901))</f>
        <v/>
      </c>
      <c r="AE901" s="19" t="str">
        <f t="shared" si="148"/>
        <v/>
      </c>
      <c r="AF901" s="19" t="str">
        <f t="shared" si="149"/>
        <v/>
      </c>
      <c r="AG901" s="27" t="str">
        <f>IF(AND('Supplier selection'!AB901="",'Supplier selection'!AI901=""),"",IF('Supplier selection'!AB901="",'Supplier selection'!AI901,'Supplier selection'!AB901))</f>
        <v/>
      </c>
      <c r="AH901" s="28" t="str">
        <f t="shared" si="150"/>
        <v/>
      </c>
      <c r="AI901" s="7" t="str">
        <f t="shared" si="151"/>
        <v/>
      </c>
      <c r="AJ901" s="22" t="str">
        <f t="shared" si="152"/>
        <v/>
      </c>
      <c r="AK901" s="29" t="str">
        <f t="shared" si="153"/>
        <v/>
      </c>
      <c r="AL901" s="10"/>
    </row>
    <row r="902" spans="1:38">
      <c r="A902" s="19">
        <f>IF('Supplier selection'!A902="","",'Supplier selection'!A902)</f>
        <v>898</v>
      </c>
      <c r="B902" s="19" t="str">
        <f>IF('Supplier selection'!B902="","",'Supplier selection'!B902)</f>
        <v/>
      </c>
      <c r="C902" s="19" t="str">
        <f>IF('Supplier selection'!C902="","",'Supplier selection'!C902)</f>
        <v/>
      </c>
      <c r="D902" s="19" t="str">
        <f>IF('Supplier selection'!D902="","",'Supplier selection'!D902)</f>
        <v/>
      </c>
      <c r="E902" s="19" t="str">
        <f>IF('Supplier selection'!E902="","",'Supplier selection'!E902)</f>
        <v/>
      </c>
      <c r="F902" s="19" t="str">
        <f>IF('Supplier selection'!F902="","",'Supplier selection'!F902)</f>
        <v/>
      </c>
      <c r="G902" s="19" t="str">
        <f>IF('Supplier selection'!G902="","",'Supplier selection'!G902)</f>
        <v/>
      </c>
      <c r="H902" s="19" t="str">
        <f>IF('Supplier selection'!H902="","",'Supplier selection'!H902)</f>
        <v/>
      </c>
      <c r="I902" s="19" t="str">
        <f>IF('Supplier selection'!I902="","",'Supplier selection'!I902)</f>
        <v/>
      </c>
      <c r="J902" s="19" t="str">
        <f>IF('Supplier selection'!J902="","",'Supplier selection'!J902)</f>
        <v/>
      </c>
      <c r="K902" s="19" t="str">
        <f>IF('Supplier selection'!K902="","",'Supplier selection'!K902)</f>
        <v/>
      </c>
      <c r="L902" s="19" t="str">
        <f>IF('Supplier selection'!L902="","",'Supplier selection'!L902)</f>
        <v/>
      </c>
      <c r="M902" s="19" t="str">
        <f>IF('Supplier selection'!M902="","",'Supplier selection'!M902)</f>
        <v/>
      </c>
      <c r="N902" s="19" t="str">
        <f>IF('Supplier selection'!N902="","",'Supplier selection'!N902)</f>
        <v/>
      </c>
      <c r="O902" s="19" t="str">
        <f>IF('Supplier selection'!O902="","",'Supplier selection'!O902)</f>
        <v/>
      </c>
      <c r="Q902" s="19" t="str">
        <f>HLOOKUP($Q$3,'Supplier selection'!$AW$4:'Supplier selection'!$CT$1000,$A903,FALSE)</f>
        <v/>
      </c>
      <c r="R902" s="22" t="str">
        <f t="shared" ref="R902:R965" si="154">IF(OR(Q902="",O902=""),"",(Q902-O902)/O902)</f>
        <v/>
      </c>
      <c r="S902" s="19" t="str">
        <f t="shared" ref="S902:S965" si="155">IF(OR(H902="",O902="",Q902=""),"",(Q902*H902)-(H902*O902))</f>
        <v/>
      </c>
      <c r="T902" s="22" t="str">
        <f t="shared" ref="T902:T965" si="156">IF(OR(Y902="",Q902=""),"",(Q902-Y902)/Y902)</f>
        <v/>
      </c>
      <c r="U902" s="19" t="str">
        <f t="shared" ref="U902:U965" si="157">IF(OR(Y902="",Q902="",H902=""),"",(Q902*H902)-(Y902*H902))</f>
        <v/>
      </c>
      <c r="V902" s="7"/>
      <c r="Y902" s="19" t="str">
        <f>IF('Supplier selection'!AQ902="","",'Supplier selection'!AQ902)</f>
        <v/>
      </c>
      <c r="Z902" s="19" t="str">
        <f>IF('Supplier selection'!AR902="","",'Supplier selection'!AR902)</f>
        <v/>
      </c>
      <c r="AA902" s="19" t="str">
        <f t="shared" ref="AA902:AA965" si="158">IF(OR(Y902="",O902="",H902=""),"",((H902*Y902)-(H902*O902)))</f>
        <v/>
      </c>
      <c r="AD902" s="26" t="str">
        <f>IF(AND('Supplier selection'!X902="",'Supplier selection'!AE902=""),"",IF('Supplier selection'!X902="",'Supplier selection'!AE902,'Supplier selection'!X902))</f>
        <v/>
      </c>
      <c r="AE902" s="19" t="str">
        <f t="shared" ref="AE902:AE965" si="159">IF(AD902="","",J902)</f>
        <v/>
      </c>
      <c r="AF902" s="19" t="str">
        <f t="shared" ref="AF902:AF965" si="160">IF(AD902="","",L902)</f>
        <v/>
      </c>
      <c r="AG902" s="27" t="str">
        <f>IF(AND('Supplier selection'!AB902="",'Supplier selection'!AI902=""),"",IF('Supplier selection'!AB902="",'Supplier selection'!AI902,'Supplier selection'!AB902))</f>
        <v/>
      </c>
      <c r="AH902" s="28" t="str">
        <f t="shared" ref="AH902:AH965" si="161">IF(OR(AG902="",O902=""),"",(AG902-O902)/O902)</f>
        <v/>
      </c>
      <c r="AI902" s="7" t="str">
        <f t="shared" ref="AI902:AI965" si="162">IF(OR(H902="",O902="",AG902=""),"",(AG902*H902)-(H902*O902))</f>
        <v/>
      </c>
      <c r="AJ902" s="22" t="str">
        <f t="shared" ref="AJ902:AJ965" si="163">IF(OR(AG902="",Y902=""),"",(AG902-Y902)/Y902)</f>
        <v/>
      </c>
      <c r="AK902" s="29" t="str">
        <f t="shared" ref="AK902:AK965" si="164">IF(OR(H902="",Y902="",AG902=""),"",(AG902*H902)-(H902*Y902))</f>
        <v/>
      </c>
      <c r="AL902" s="10"/>
    </row>
    <row r="903" spans="1:38">
      <c r="A903" s="19">
        <f>IF('Supplier selection'!A903="","",'Supplier selection'!A903)</f>
        <v>899</v>
      </c>
      <c r="B903" s="19" t="str">
        <f>IF('Supplier selection'!B903="","",'Supplier selection'!B903)</f>
        <v/>
      </c>
      <c r="C903" s="19" t="str">
        <f>IF('Supplier selection'!C903="","",'Supplier selection'!C903)</f>
        <v/>
      </c>
      <c r="D903" s="19" t="str">
        <f>IF('Supplier selection'!D903="","",'Supplier selection'!D903)</f>
        <v/>
      </c>
      <c r="E903" s="19" t="str">
        <f>IF('Supplier selection'!E903="","",'Supplier selection'!E903)</f>
        <v/>
      </c>
      <c r="F903" s="19" t="str">
        <f>IF('Supplier selection'!F903="","",'Supplier selection'!F903)</f>
        <v/>
      </c>
      <c r="G903" s="19" t="str">
        <f>IF('Supplier selection'!G903="","",'Supplier selection'!G903)</f>
        <v/>
      </c>
      <c r="H903" s="19" t="str">
        <f>IF('Supplier selection'!H903="","",'Supplier selection'!H903)</f>
        <v/>
      </c>
      <c r="I903" s="19" t="str">
        <f>IF('Supplier selection'!I903="","",'Supplier selection'!I903)</f>
        <v/>
      </c>
      <c r="J903" s="19" t="str">
        <f>IF('Supplier selection'!J903="","",'Supplier selection'!J903)</f>
        <v/>
      </c>
      <c r="K903" s="19" t="str">
        <f>IF('Supplier selection'!K903="","",'Supplier selection'!K903)</f>
        <v/>
      </c>
      <c r="L903" s="19" t="str">
        <f>IF('Supplier selection'!L903="","",'Supplier selection'!L903)</f>
        <v/>
      </c>
      <c r="M903" s="19" t="str">
        <f>IF('Supplier selection'!M903="","",'Supplier selection'!M903)</f>
        <v/>
      </c>
      <c r="N903" s="19" t="str">
        <f>IF('Supplier selection'!N903="","",'Supplier selection'!N903)</f>
        <v/>
      </c>
      <c r="O903" s="19" t="str">
        <f>IF('Supplier selection'!O903="","",'Supplier selection'!O903)</f>
        <v/>
      </c>
      <c r="Q903" s="19" t="str">
        <f>HLOOKUP($Q$3,'Supplier selection'!$AW$4:'Supplier selection'!$CT$1000,$A904,FALSE)</f>
        <v/>
      </c>
      <c r="R903" s="22" t="str">
        <f t="shared" si="154"/>
        <v/>
      </c>
      <c r="S903" s="19" t="str">
        <f t="shared" si="155"/>
        <v/>
      </c>
      <c r="T903" s="22" t="str">
        <f t="shared" si="156"/>
        <v/>
      </c>
      <c r="U903" s="19" t="str">
        <f t="shared" si="157"/>
        <v/>
      </c>
      <c r="V903" s="7"/>
      <c r="Y903" s="19" t="str">
        <f>IF('Supplier selection'!AQ903="","",'Supplier selection'!AQ903)</f>
        <v/>
      </c>
      <c r="Z903" s="19" t="str">
        <f>IF('Supplier selection'!AR903="","",'Supplier selection'!AR903)</f>
        <v/>
      </c>
      <c r="AA903" s="19" t="str">
        <f t="shared" si="158"/>
        <v/>
      </c>
      <c r="AD903" s="26" t="str">
        <f>IF(AND('Supplier selection'!X903="",'Supplier selection'!AE903=""),"",IF('Supplier selection'!X903="",'Supplier selection'!AE903,'Supplier selection'!X903))</f>
        <v/>
      </c>
      <c r="AE903" s="19" t="str">
        <f t="shared" si="159"/>
        <v/>
      </c>
      <c r="AF903" s="19" t="str">
        <f t="shared" si="160"/>
        <v/>
      </c>
      <c r="AG903" s="27" t="str">
        <f>IF(AND('Supplier selection'!AB903="",'Supplier selection'!AI903=""),"",IF('Supplier selection'!AB903="",'Supplier selection'!AI903,'Supplier selection'!AB903))</f>
        <v/>
      </c>
      <c r="AH903" s="28" t="str">
        <f t="shared" si="161"/>
        <v/>
      </c>
      <c r="AI903" s="7" t="str">
        <f t="shared" si="162"/>
        <v/>
      </c>
      <c r="AJ903" s="22" t="str">
        <f t="shared" si="163"/>
        <v/>
      </c>
      <c r="AK903" s="29" t="str">
        <f t="shared" si="164"/>
        <v/>
      </c>
      <c r="AL903" s="10"/>
    </row>
    <row r="904" spans="1:38">
      <c r="A904" s="19">
        <f>IF('Supplier selection'!A904="","",'Supplier selection'!A904)</f>
        <v>900</v>
      </c>
      <c r="B904" s="19" t="str">
        <f>IF('Supplier selection'!B904="","",'Supplier selection'!B904)</f>
        <v/>
      </c>
      <c r="C904" s="19" t="str">
        <f>IF('Supplier selection'!C904="","",'Supplier selection'!C904)</f>
        <v/>
      </c>
      <c r="D904" s="19" t="str">
        <f>IF('Supplier selection'!D904="","",'Supplier selection'!D904)</f>
        <v/>
      </c>
      <c r="E904" s="19" t="str">
        <f>IF('Supplier selection'!E904="","",'Supplier selection'!E904)</f>
        <v/>
      </c>
      <c r="F904" s="19" t="str">
        <f>IF('Supplier selection'!F904="","",'Supplier selection'!F904)</f>
        <v/>
      </c>
      <c r="G904" s="19" t="str">
        <f>IF('Supplier selection'!G904="","",'Supplier selection'!G904)</f>
        <v/>
      </c>
      <c r="H904" s="19" t="str">
        <f>IF('Supplier selection'!H904="","",'Supplier selection'!H904)</f>
        <v/>
      </c>
      <c r="I904" s="19" t="str">
        <f>IF('Supplier selection'!I904="","",'Supplier selection'!I904)</f>
        <v/>
      </c>
      <c r="J904" s="19" t="str">
        <f>IF('Supplier selection'!J904="","",'Supplier selection'!J904)</f>
        <v/>
      </c>
      <c r="K904" s="19" t="str">
        <f>IF('Supplier selection'!K904="","",'Supplier selection'!K904)</f>
        <v/>
      </c>
      <c r="L904" s="19" t="str">
        <f>IF('Supplier selection'!L904="","",'Supplier selection'!L904)</f>
        <v/>
      </c>
      <c r="M904" s="19" t="str">
        <f>IF('Supplier selection'!M904="","",'Supplier selection'!M904)</f>
        <v/>
      </c>
      <c r="N904" s="19" t="str">
        <f>IF('Supplier selection'!N904="","",'Supplier selection'!N904)</f>
        <v/>
      </c>
      <c r="O904" s="19" t="str">
        <f>IF('Supplier selection'!O904="","",'Supplier selection'!O904)</f>
        <v/>
      </c>
      <c r="Q904" s="19" t="str">
        <f>HLOOKUP($Q$3,'Supplier selection'!$AW$4:'Supplier selection'!$CT$1000,$A905,FALSE)</f>
        <v/>
      </c>
      <c r="R904" s="22" t="str">
        <f t="shared" si="154"/>
        <v/>
      </c>
      <c r="S904" s="19" t="str">
        <f t="shared" si="155"/>
        <v/>
      </c>
      <c r="T904" s="22" t="str">
        <f t="shared" si="156"/>
        <v/>
      </c>
      <c r="U904" s="19" t="str">
        <f t="shared" si="157"/>
        <v/>
      </c>
      <c r="V904" s="7"/>
      <c r="Y904" s="19" t="str">
        <f>IF('Supplier selection'!AQ904="","",'Supplier selection'!AQ904)</f>
        <v/>
      </c>
      <c r="Z904" s="19" t="str">
        <f>IF('Supplier selection'!AR904="","",'Supplier selection'!AR904)</f>
        <v/>
      </c>
      <c r="AA904" s="19" t="str">
        <f t="shared" si="158"/>
        <v/>
      </c>
      <c r="AD904" s="26" t="str">
        <f>IF(AND('Supplier selection'!X904="",'Supplier selection'!AE904=""),"",IF('Supplier selection'!X904="",'Supplier selection'!AE904,'Supplier selection'!X904))</f>
        <v/>
      </c>
      <c r="AE904" s="19" t="str">
        <f t="shared" si="159"/>
        <v/>
      </c>
      <c r="AF904" s="19" t="str">
        <f t="shared" si="160"/>
        <v/>
      </c>
      <c r="AG904" s="27" t="str">
        <f>IF(AND('Supplier selection'!AB904="",'Supplier selection'!AI904=""),"",IF('Supplier selection'!AB904="",'Supplier selection'!AI904,'Supplier selection'!AB904))</f>
        <v/>
      </c>
      <c r="AH904" s="28" t="str">
        <f t="shared" si="161"/>
        <v/>
      </c>
      <c r="AI904" s="7" t="str">
        <f t="shared" si="162"/>
        <v/>
      </c>
      <c r="AJ904" s="22" t="str">
        <f t="shared" si="163"/>
        <v/>
      </c>
      <c r="AK904" s="29" t="str">
        <f t="shared" si="164"/>
        <v/>
      </c>
      <c r="AL904" s="10"/>
    </row>
    <row r="905" spans="1:38">
      <c r="A905" s="19">
        <f>IF('Supplier selection'!A905="","",'Supplier selection'!A905)</f>
        <v>901</v>
      </c>
      <c r="B905" s="19" t="str">
        <f>IF('Supplier selection'!B905="","",'Supplier selection'!B905)</f>
        <v/>
      </c>
      <c r="C905" s="19" t="str">
        <f>IF('Supplier selection'!C905="","",'Supplier selection'!C905)</f>
        <v/>
      </c>
      <c r="D905" s="19" t="str">
        <f>IF('Supplier selection'!D905="","",'Supplier selection'!D905)</f>
        <v/>
      </c>
      <c r="E905" s="19" t="str">
        <f>IF('Supplier selection'!E905="","",'Supplier selection'!E905)</f>
        <v/>
      </c>
      <c r="F905" s="19" t="str">
        <f>IF('Supplier selection'!F905="","",'Supplier selection'!F905)</f>
        <v/>
      </c>
      <c r="G905" s="19" t="str">
        <f>IF('Supplier selection'!G905="","",'Supplier selection'!G905)</f>
        <v/>
      </c>
      <c r="H905" s="19" t="str">
        <f>IF('Supplier selection'!H905="","",'Supplier selection'!H905)</f>
        <v/>
      </c>
      <c r="I905" s="19" t="str">
        <f>IF('Supplier selection'!I905="","",'Supplier selection'!I905)</f>
        <v/>
      </c>
      <c r="J905" s="19" t="str">
        <f>IF('Supplier selection'!J905="","",'Supplier selection'!J905)</f>
        <v/>
      </c>
      <c r="K905" s="19" t="str">
        <f>IF('Supplier selection'!K905="","",'Supplier selection'!K905)</f>
        <v/>
      </c>
      <c r="L905" s="19" t="str">
        <f>IF('Supplier selection'!L905="","",'Supplier selection'!L905)</f>
        <v/>
      </c>
      <c r="M905" s="19" t="str">
        <f>IF('Supplier selection'!M905="","",'Supplier selection'!M905)</f>
        <v/>
      </c>
      <c r="N905" s="19" t="str">
        <f>IF('Supplier selection'!N905="","",'Supplier selection'!N905)</f>
        <v/>
      </c>
      <c r="O905" s="19" t="str">
        <f>IF('Supplier selection'!O905="","",'Supplier selection'!O905)</f>
        <v/>
      </c>
      <c r="Q905" s="19" t="str">
        <f>HLOOKUP($Q$3,'Supplier selection'!$AW$4:'Supplier selection'!$CT$1000,$A906,FALSE)</f>
        <v/>
      </c>
      <c r="R905" s="22" t="str">
        <f t="shared" si="154"/>
        <v/>
      </c>
      <c r="S905" s="19" t="str">
        <f t="shared" si="155"/>
        <v/>
      </c>
      <c r="T905" s="22" t="str">
        <f t="shared" si="156"/>
        <v/>
      </c>
      <c r="U905" s="19" t="str">
        <f t="shared" si="157"/>
        <v/>
      </c>
      <c r="V905" s="7"/>
      <c r="Y905" s="19" t="str">
        <f>IF('Supplier selection'!AQ905="","",'Supplier selection'!AQ905)</f>
        <v/>
      </c>
      <c r="Z905" s="19" t="str">
        <f>IF('Supplier selection'!AR905="","",'Supplier selection'!AR905)</f>
        <v/>
      </c>
      <c r="AA905" s="19" t="str">
        <f t="shared" si="158"/>
        <v/>
      </c>
      <c r="AD905" s="26" t="str">
        <f>IF(AND('Supplier selection'!X905="",'Supplier selection'!AE905=""),"",IF('Supplier selection'!X905="",'Supplier selection'!AE905,'Supplier selection'!X905))</f>
        <v/>
      </c>
      <c r="AE905" s="19" t="str">
        <f t="shared" si="159"/>
        <v/>
      </c>
      <c r="AF905" s="19" t="str">
        <f t="shared" si="160"/>
        <v/>
      </c>
      <c r="AG905" s="27" t="str">
        <f>IF(AND('Supplier selection'!AB905="",'Supplier selection'!AI905=""),"",IF('Supplier selection'!AB905="",'Supplier selection'!AI905,'Supplier selection'!AB905))</f>
        <v/>
      </c>
      <c r="AH905" s="28" t="str">
        <f t="shared" si="161"/>
        <v/>
      </c>
      <c r="AI905" s="7" t="str">
        <f t="shared" si="162"/>
        <v/>
      </c>
      <c r="AJ905" s="22" t="str">
        <f t="shared" si="163"/>
        <v/>
      </c>
      <c r="AK905" s="29" t="str">
        <f t="shared" si="164"/>
        <v/>
      </c>
      <c r="AL905" s="10"/>
    </row>
    <row r="906" spans="1:38">
      <c r="A906" s="19">
        <f>IF('Supplier selection'!A906="","",'Supplier selection'!A906)</f>
        <v>902</v>
      </c>
      <c r="B906" s="19" t="str">
        <f>IF('Supplier selection'!B906="","",'Supplier selection'!B906)</f>
        <v/>
      </c>
      <c r="C906" s="19" t="str">
        <f>IF('Supplier selection'!C906="","",'Supplier selection'!C906)</f>
        <v/>
      </c>
      <c r="D906" s="19" t="str">
        <f>IF('Supplier selection'!D906="","",'Supplier selection'!D906)</f>
        <v/>
      </c>
      <c r="E906" s="19" t="str">
        <f>IF('Supplier selection'!E906="","",'Supplier selection'!E906)</f>
        <v/>
      </c>
      <c r="F906" s="19" t="str">
        <f>IF('Supplier selection'!F906="","",'Supplier selection'!F906)</f>
        <v/>
      </c>
      <c r="G906" s="19" t="str">
        <f>IF('Supplier selection'!G906="","",'Supplier selection'!G906)</f>
        <v/>
      </c>
      <c r="H906" s="19" t="str">
        <f>IF('Supplier selection'!H906="","",'Supplier selection'!H906)</f>
        <v/>
      </c>
      <c r="I906" s="19" t="str">
        <f>IF('Supplier selection'!I906="","",'Supplier selection'!I906)</f>
        <v/>
      </c>
      <c r="J906" s="19" t="str">
        <f>IF('Supplier selection'!J906="","",'Supplier selection'!J906)</f>
        <v/>
      </c>
      <c r="K906" s="19" t="str">
        <f>IF('Supplier selection'!K906="","",'Supplier selection'!K906)</f>
        <v/>
      </c>
      <c r="L906" s="19" t="str">
        <f>IF('Supplier selection'!L906="","",'Supplier selection'!L906)</f>
        <v/>
      </c>
      <c r="M906" s="19" t="str">
        <f>IF('Supplier selection'!M906="","",'Supplier selection'!M906)</f>
        <v/>
      </c>
      <c r="N906" s="19" t="str">
        <f>IF('Supplier selection'!N906="","",'Supplier selection'!N906)</f>
        <v/>
      </c>
      <c r="O906" s="19" t="str">
        <f>IF('Supplier selection'!O906="","",'Supplier selection'!O906)</f>
        <v/>
      </c>
      <c r="Q906" s="19" t="str">
        <f>HLOOKUP($Q$3,'Supplier selection'!$AW$4:'Supplier selection'!$CT$1000,$A907,FALSE)</f>
        <v/>
      </c>
      <c r="R906" s="22" t="str">
        <f t="shared" si="154"/>
        <v/>
      </c>
      <c r="S906" s="19" t="str">
        <f t="shared" si="155"/>
        <v/>
      </c>
      <c r="T906" s="22" t="str">
        <f t="shared" si="156"/>
        <v/>
      </c>
      <c r="U906" s="19" t="str">
        <f t="shared" si="157"/>
        <v/>
      </c>
      <c r="V906" s="7"/>
      <c r="Y906" s="19" t="str">
        <f>IF('Supplier selection'!AQ906="","",'Supplier selection'!AQ906)</f>
        <v/>
      </c>
      <c r="Z906" s="19" t="str">
        <f>IF('Supplier selection'!AR906="","",'Supplier selection'!AR906)</f>
        <v/>
      </c>
      <c r="AA906" s="19" t="str">
        <f t="shared" si="158"/>
        <v/>
      </c>
      <c r="AD906" s="26" t="str">
        <f>IF(AND('Supplier selection'!X906="",'Supplier selection'!AE906=""),"",IF('Supplier selection'!X906="",'Supplier selection'!AE906,'Supplier selection'!X906))</f>
        <v/>
      </c>
      <c r="AE906" s="19" t="str">
        <f t="shared" si="159"/>
        <v/>
      </c>
      <c r="AF906" s="19" t="str">
        <f t="shared" si="160"/>
        <v/>
      </c>
      <c r="AG906" s="27" t="str">
        <f>IF(AND('Supplier selection'!AB906="",'Supplier selection'!AI906=""),"",IF('Supplier selection'!AB906="",'Supplier selection'!AI906,'Supplier selection'!AB906))</f>
        <v/>
      </c>
      <c r="AH906" s="28" t="str">
        <f t="shared" si="161"/>
        <v/>
      </c>
      <c r="AI906" s="7" t="str">
        <f t="shared" si="162"/>
        <v/>
      </c>
      <c r="AJ906" s="22" t="str">
        <f t="shared" si="163"/>
        <v/>
      </c>
      <c r="AK906" s="29" t="str">
        <f t="shared" si="164"/>
        <v/>
      </c>
      <c r="AL906" s="10"/>
    </row>
    <row r="907" spans="1:38">
      <c r="A907" s="19">
        <f>IF('Supplier selection'!A907="","",'Supplier selection'!A907)</f>
        <v>903</v>
      </c>
      <c r="B907" s="19" t="str">
        <f>IF('Supplier selection'!B907="","",'Supplier selection'!B907)</f>
        <v/>
      </c>
      <c r="C907" s="19" t="str">
        <f>IF('Supplier selection'!C907="","",'Supplier selection'!C907)</f>
        <v/>
      </c>
      <c r="D907" s="19" t="str">
        <f>IF('Supplier selection'!D907="","",'Supplier selection'!D907)</f>
        <v/>
      </c>
      <c r="E907" s="19" t="str">
        <f>IF('Supplier selection'!E907="","",'Supplier selection'!E907)</f>
        <v/>
      </c>
      <c r="F907" s="19" t="str">
        <f>IF('Supplier selection'!F907="","",'Supplier selection'!F907)</f>
        <v/>
      </c>
      <c r="G907" s="19" t="str">
        <f>IF('Supplier selection'!G907="","",'Supplier selection'!G907)</f>
        <v/>
      </c>
      <c r="H907" s="19" t="str">
        <f>IF('Supplier selection'!H907="","",'Supplier selection'!H907)</f>
        <v/>
      </c>
      <c r="I907" s="19" t="str">
        <f>IF('Supplier selection'!I907="","",'Supplier selection'!I907)</f>
        <v/>
      </c>
      <c r="J907" s="19" t="str">
        <f>IF('Supplier selection'!J907="","",'Supplier selection'!J907)</f>
        <v/>
      </c>
      <c r="K907" s="19" t="str">
        <f>IF('Supplier selection'!K907="","",'Supplier selection'!K907)</f>
        <v/>
      </c>
      <c r="L907" s="19" t="str">
        <f>IF('Supplier selection'!L907="","",'Supplier selection'!L907)</f>
        <v/>
      </c>
      <c r="M907" s="19" t="str">
        <f>IF('Supplier selection'!M907="","",'Supplier selection'!M907)</f>
        <v/>
      </c>
      <c r="N907" s="19" t="str">
        <f>IF('Supplier selection'!N907="","",'Supplier selection'!N907)</f>
        <v/>
      </c>
      <c r="O907" s="19" t="str">
        <f>IF('Supplier selection'!O907="","",'Supplier selection'!O907)</f>
        <v/>
      </c>
      <c r="Q907" s="19" t="str">
        <f>HLOOKUP($Q$3,'Supplier selection'!$AW$4:'Supplier selection'!$CT$1000,$A908,FALSE)</f>
        <v/>
      </c>
      <c r="R907" s="22" t="str">
        <f t="shared" si="154"/>
        <v/>
      </c>
      <c r="S907" s="19" t="str">
        <f t="shared" si="155"/>
        <v/>
      </c>
      <c r="T907" s="22" t="str">
        <f t="shared" si="156"/>
        <v/>
      </c>
      <c r="U907" s="19" t="str">
        <f t="shared" si="157"/>
        <v/>
      </c>
      <c r="V907" s="7"/>
      <c r="Y907" s="19" t="str">
        <f>IF('Supplier selection'!AQ907="","",'Supplier selection'!AQ907)</f>
        <v/>
      </c>
      <c r="Z907" s="19" t="str">
        <f>IF('Supplier selection'!AR907="","",'Supplier selection'!AR907)</f>
        <v/>
      </c>
      <c r="AA907" s="19" t="str">
        <f t="shared" si="158"/>
        <v/>
      </c>
      <c r="AD907" s="26" t="str">
        <f>IF(AND('Supplier selection'!X907="",'Supplier selection'!AE907=""),"",IF('Supplier selection'!X907="",'Supplier selection'!AE907,'Supplier selection'!X907))</f>
        <v/>
      </c>
      <c r="AE907" s="19" t="str">
        <f t="shared" si="159"/>
        <v/>
      </c>
      <c r="AF907" s="19" t="str">
        <f t="shared" si="160"/>
        <v/>
      </c>
      <c r="AG907" s="27" t="str">
        <f>IF(AND('Supplier selection'!AB907="",'Supplier selection'!AI907=""),"",IF('Supplier selection'!AB907="",'Supplier selection'!AI907,'Supplier selection'!AB907))</f>
        <v/>
      </c>
      <c r="AH907" s="28" t="str">
        <f t="shared" si="161"/>
        <v/>
      </c>
      <c r="AI907" s="7" t="str">
        <f t="shared" si="162"/>
        <v/>
      </c>
      <c r="AJ907" s="22" t="str">
        <f t="shared" si="163"/>
        <v/>
      </c>
      <c r="AK907" s="29" t="str">
        <f t="shared" si="164"/>
        <v/>
      </c>
      <c r="AL907" s="10"/>
    </row>
    <row r="908" spans="1:38">
      <c r="A908" s="19">
        <f>IF('Supplier selection'!A908="","",'Supplier selection'!A908)</f>
        <v>904</v>
      </c>
      <c r="B908" s="19" t="str">
        <f>IF('Supplier selection'!B908="","",'Supplier selection'!B908)</f>
        <v/>
      </c>
      <c r="C908" s="19" t="str">
        <f>IF('Supplier selection'!C908="","",'Supplier selection'!C908)</f>
        <v/>
      </c>
      <c r="D908" s="19" t="str">
        <f>IF('Supplier selection'!D908="","",'Supplier selection'!D908)</f>
        <v/>
      </c>
      <c r="E908" s="19" t="str">
        <f>IF('Supplier selection'!E908="","",'Supplier selection'!E908)</f>
        <v/>
      </c>
      <c r="F908" s="19" t="str">
        <f>IF('Supplier selection'!F908="","",'Supplier selection'!F908)</f>
        <v/>
      </c>
      <c r="G908" s="19" t="str">
        <f>IF('Supplier selection'!G908="","",'Supplier selection'!G908)</f>
        <v/>
      </c>
      <c r="H908" s="19" t="str">
        <f>IF('Supplier selection'!H908="","",'Supplier selection'!H908)</f>
        <v/>
      </c>
      <c r="I908" s="19" t="str">
        <f>IF('Supplier selection'!I908="","",'Supplier selection'!I908)</f>
        <v/>
      </c>
      <c r="J908" s="19" t="str">
        <f>IF('Supplier selection'!J908="","",'Supplier selection'!J908)</f>
        <v/>
      </c>
      <c r="K908" s="19" t="str">
        <f>IF('Supplier selection'!K908="","",'Supplier selection'!K908)</f>
        <v/>
      </c>
      <c r="L908" s="19" t="str">
        <f>IF('Supplier selection'!L908="","",'Supplier selection'!L908)</f>
        <v/>
      </c>
      <c r="M908" s="19" t="str">
        <f>IF('Supplier selection'!M908="","",'Supplier selection'!M908)</f>
        <v/>
      </c>
      <c r="N908" s="19" t="str">
        <f>IF('Supplier selection'!N908="","",'Supplier selection'!N908)</f>
        <v/>
      </c>
      <c r="O908" s="19" t="str">
        <f>IF('Supplier selection'!O908="","",'Supplier selection'!O908)</f>
        <v/>
      </c>
      <c r="Q908" s="19" t="str">
        <f>HLOOKUP($Q$3,'Supplier selection'!$AW$4:'Supplier selection'!$CT$1000,$A909,FALSE)</f>
        <v/>
      </c>
      <c r="R908" s="22" t="str">
        <f t="shared" si="154"/>
        <v/>
      </c>
      <c r="S908" s="19" t="str">
        <f t="shared" si="155"/>
        <v/>
      </c>
      <c r="T908" s="22" t="str">
        <f t="shared" si="156"/>
        <v/>
      </c>
      <c r="U908" s="19" t="str">
        <f t="shared" si="157"/>
        <v/>
      </c>
      <c r="V908" s="7"/>
      <c r="Y908" s="19" t="str">
        <f>IF('Supplier selection'!AQ908="","",'Supplier selection'!AQ908)</f>
        <v/>
      </c>
      <c r="Z908" s="19" t="str">
        <f>IF('Supplier selection'!AR908="","",'Supplier selection'!AR908)</f>
        <v/>
      </c>
      <c r="AA908" s="19" t="str">
        <f t="shared" si="158"/>
        <v/>
      </c>
      <c r="AD908" s="26" t="str">
        <f>IF(AND('Supplier selection'!X908="",'Supplier selection'!AE908=""),"",IF('Supplier selection'!X908="",'Supplier selection'!AE908,'Supplier selection'!X908))</f>
        <v/>
      </c>
      <c r="AE908" s="19" t="str">
        <f t="shared" si="159"/>
        <v/>
      </c>
      <c r="AF908" s="19" t="str">
        <f t="shared" si="160"/>
        <v/>
      </c>
      <c r="AG908" s="27" t="str">
        <f>IF(AND('Supplier selection'!AB908="",'Supplier selection'!AI908=""),"",IF('Supplier selection'!AB908="",'Supplier selection'!AI908,'Supplier selection'!AB908))</f>
        <v/>
      </c>
      <c r="AH908" s="28" t="str">
        <f t="shared" si="161"/>
        <v/>
      </c>
      <c r="AI908" s="7" t="str">
        <f t="shared" si="162"/>
        <v/>
      </c>
      <c r="AJ908" s="22" t="str">
        <f t="shared" si="163"/>
        <v/>
      </c>
      <c r="AK908" s="29" t="str">
        <f t="shared" si="164"/>
        <v/>
      </c>
      <c r="AL908" s="10"/>
    </row>
    <row r="909" spans="1:38">
      <c r="A909" s="19">
        <f>IF('Supplier selection'!A909="","",'Supplier selection'!A909)</f>
        <v>905</v>
      </c>
      <c r="B909" s="19" t="str">
        <f>IF('Supplier selection'!B909="","",'Supplier selection'!B909)</f>
        <v/>
      </c>
      <c r="C909" s="19" t="str">
        <f>IF('Supplier selection'!C909="","",'Supplier selection'!C909)</f>
        <v/>
      </c>
      <c r="D909" s="19" t="str">
        <f>IF('Supplier selection'!D909="","",'Supplier selection'!D909)</f>
        <v/>
      </c>
      <c r="E909" s="19" t="str">
        <f>IF('Supplier selection'!E909="","",'Supplier selection'!E909)</f>
        <v/>
      </c>
      <c r="F909" s="19" t="str">
        <f>IF('Supplier selection'!F909="","",'Supplier selection'!F909)</f>
        <v/>
      </c>
      <c r="G909" s="19" t="str">
        <f>IF('Supplier selection'!G909="","",'Supplier selection'!G909)</f>
        <v/>
      </c>
      <c r="H909" s="19" t="str">
        <f>IF('Supplier selection'!H909="","",'Supplier selection'!H909)</f>
        <v/>
      </c>
      <c r="I909" s="19" t="str">
        <f>IF('Supplier selection'!I909="","",'Supplier selection'!I909)</f>
        <v/>
      </c>
      <c r="J909" s="19" t="str">
        <f>IF('Supplier selection'!J909="","",'Supplier selection'!J909)</f>
        <v/>
      </c>
      <c r="K909" s="19" t="str">
        <f>IF('Supplier selection'!K909="","",'Supplier selection'!K909)</f>
        <v/>
      </c>
      <c r="L909" s="19" t="str">
        <f>IF('Supplier selection'!L909="","",'Supplier selection'!L909)</f>
        <v/>
      </c>
      <c r="M909" s="19" t="str">
        <f>IF('Supplier selection'!M909="","",'Supplier selection'!M909)</f>
        <v/>
      </c>
      <c r="N909" s="19" t="str">
        <f>IF('Supplier selection'!N909="","",'Supplier selection'!N909)</f>
        <v/>
      </c>
      <c r="O909" s="19" t="str">
        <f>IF('Supplier selection'!O909="","",'Supplier selection'!O909)</f>
        <v/>
      </c>
      <c r="Q909" s="19" t="str">
        <f>HLOOKUP($Q$3,'Supplier selection'!$AW$4:'Supplier selection'!$CT$1000,$A910,FALSE)</f>
        <v/>
      </c>
      <c r="R909" s="22" t="str">
        <f t="shared" si="154"/>
        <v/>
      </c>
      <c r="S909" s="19" t="str">
        <f t="shared" si="155"/>
        <v/>
      </c>
      <c r="T909" s="22" t="str">
        <f t="shared" si="156"/>
        <v/>
      </c>
      <c r="U909" s="19" t="str">
        <f t="shared" si="157"/>
        <v/>
      </c>
      <c r="V909" s="7"/>
      <c r="Y909" s="19" t="str">
        <f>IF('Supplier selection'!AQ909="","",'Supplier selection'!AQ909)</f>
        <v/>
      </c>
      <c r="Z909" s="19" t="str">
        <f>IF('Supplier selection'!AR909="","",'Supplier selection'!AR909)</f>
        <v/>
      </c>
      <c r="AA909" s="19" t="str">
        <f t="shared" si="158"/>
        <v/>
      </c>
      <c r="AD909" s="26" t="str">
        <f>IF(AND('Supplier selection'!X909="",'Supplier selection'!AE909=""),"",IF('Supplier selection'!X909="",'Supplier selection'!AE909,'Supplier selection'!X909))</f>
        <v/>
      </c>
      <c r="AE909" s="19" t="str">
        <f t="shared" si="159"/>
        <v/>
      </c>
      <c r="AF909" s="19" t="str">
        <f t="shared" si="160"/>
        <v/>
      </c>
      <c r="AG909" s="27" t="str">
        <f>IF(AND('Supplier selection'!AB909="",'Supplier selection'!AI909=""),"",IF('Supplier selection'!AB909="",'Supplier selection'!AI909,'Supplier selection'!AB909))</f>
        <v/>
      </c>
      <c r="AH909" s="28" t="str">
        <f t="shared" si="161"/>
        <v/>
      </c>
      <c r="AI909" s="7" t="str">
        <f t="shared" si="162"/>
        <v/>
      </c>
      <c r="AJ909" s="22" t="str">
        <f t="shared" si="163"/>
        <v/>
      </c>
      <c r="AK909" s="29" t="str">
        <f t="shared" si="164"/>
        <v/>
      </c>
      <c r="AL909" s="10"/>
    </row>
    <row r="910" spans="1:38">
      <c r="A910" s="19">
        <f>IF('Supplier selection'!A910="","",'Supplier selection'!A910)</f>
        <v>906</v>
      </c>
      <c r="B910" s="19" t="str">
        <f>IF('Supplier selection'!B910="","",'Supplier selection'!B910)</f>
        <v/>
      </c>
      <c r="C910" s="19" t="str">
        <f>IF('Supplier selection'!C910="","",'Supplier selection'!C910)</f>
        <v/>
      </c>
      <c r="D910" s="19" t="str">
        <f>IF('Supplier selection'!D910="","",'Supplier selection'!D910)</f>
        <v/>
      </c>
      <c r="E910" s="19" t="str">
        <f>IF('Supplier selection'!E910="","",'Supplier selection'!E910)</f>
        <v/>
      </c>
      <c r="F910" s="19" t="str">
        <f>IF('Supplier selection'!F910="","",'Supplier selection'!F910)</f>
        <v/>
      </c>
      <c r="G910" s="19" t="str">
        <f>IF('Supplier selection'!G910="","",'Supplier selection'!G910)</f>
        <v/>
      </c>
      <c r="H910" s="19" t="str">
        <f>IF('Supplier selection'!H910="","",'Supplier selection'!H910)</f>
        <v/>
      </c>
      <c r="I910" s="19" t="str">
        <f>IF('Supplier selection'!I910="","",'Supplier selection'!I910)</f>
        <v/>
      </c>
      <c r="J910" s="19" t="str">
        <f>IF('Supplier selection'!J910="","",'Supplier selection'!J910)</f>
        <v/>
      </c>
      <c r="K910" s="19" t="str">
        <f>IF('Supplier selection'!K910="","",'Supplier selection'!K910)</f>
        <v/>
      </c>
      <c r="L910" s="19" t="str">
        <f>IF('Supplier selection'!L910="","",'Supplier selection'!L910)</f>
        <v/>
      </c>
      <c r="M910" s="19" t="str">
        <f>IF('Supplier selection'!M910="","",'Supplier selection'!M910)</f>
        <v/>
      </c>
      <c r="N910" s="19" t="str">
        <f>IF('Supplier selection'!N910="","",'Supplier selection'!N910)</f>
        <v/>
      </c>
      <c r="O910" s="19" t="str">
        <f>IF('Supplier selection'!O910="","",'Supplier selection'!O910)</f>
        <v/>
      </c>
      <c r="Q910" s="19" t="str">
        <f>HLOOKUP($Q$3,'Supplier selection'!$AW$4:'Supplier selection'!$CT$1000,$A911,FALSE)</f>
        <v/>
      </c>
      <c r="R910" s="22" t="str">
        <f t="shared" si="154"/>
        <v/>
      </c>
      <c r="S910" s="19" t="str">
        <f t="shared" si="155"/>
        <v/>
      </c>
      <c r="T910" s="22" t="str">
        <f t="shared" si="156"/>
        <v/>
      </c>
      <c r="U910" s="19" t="str">
        <f t="shared" si="157"/>
        <v/>
      </c>
      <c r="V910" s="7"/>
      <c r="Y910" s="19" t="str">
        <f>IF('Supplier selection'!AQ910="","",'Supplier selection'!AQ910)</f>
        <v/>
      </c>
      <c r="Z910" s="19" t="str">
        <f>IF('Supplier selection'!AR910="","",'Supplier selection'!AR910)</f>
        <v/>
      </c>
      <c r="AA910" s="19" t="str">
        <f t="shared" si="158"/>
        <v/>
      </c>
      <c r="AD910" s="26" t="str">
        <f>IF(AND('Supplier selection'!X910="",'Supplier selection'!AE910=""),"",IF('Supplier selection'!X910="",'Supplier selection'!AE910,'Supplier selection'!X910))</f>
        <v/>
      </c>
      <c r="AE910" s="19" t="str">
        <f t="shared" si="159"/>
        <v/>
      </c>
      <c r="AF910" s="19" t="str">
        <f t="shared" si="160"/>
        <v/>
      </c>
      <c r="AG910" s="27" t="str">
        <f>IF(AND('Supplier selection'!AB910="",'Supplier selection'!AI910=""),"",IF('Supplier selection'!AB910="",'Supplier selection'!AI910,'Supplier selection'!AB910))</f>
        <v/>
      </c>
      <c r="AH910" s="28" t="str">
        <f t="shared" si="161"/>
        <v/>
      </c>
      <c r="AI910" s="7" t="str">
        <f t="shared" si="162"/>
        <v/>
      </c>
      <c r="AJ910" s="22" t="str">
        <f t="shared" si="163"/>
        <v/>
      </c>
      <c r="AK910" s="29" t="str">
        <f t="shared" si="164"/>
        <v/>
      </c>
      <c r="AL910" s="10"/>
    </row>
    <row r="911" spans="1:38">
      <c r="A911" s="19">
        <f>IF('Supplier selection'!A911="","",'Supplier selection'!A911)</f>
        <v>907</v>
      </c>
      <c r="B911" s="19" t="str">
        <f>IF('Supplier selection'!B911="","",'Supplier selection'!B911)</f>
        <v/>
      </c>
      <c r="C911" s="19" t="str">
        <f>IF('Supplier selection'!C911="","",'Supplier selection'!C911)</f>
        <v/>
      </c>
      <c r="D911" s="19" t="str">
        <f>IF('Supplier selection'!D911="","",'Supplier selection'!D911)</f>
        <v/>
      </c>
      <c r="E911" s="19" t="str">
        <f>IF('Supplier selection'!E911="","",'Supplier selection'!E911)</f>
        <v/>
      </c>
      <c r="F911" s="19" t="str">
        <f>IF('Supplier selection'!F911="","",'Supplier selection'!F911)</f>
        <v/>
      </c>
      <c r="G911" s="19" t="str">
        <f>IF('Supplier selection'!G911="","",'Supplier selection'!G911)</f>
        <v/>
      </c>
      <c r="H911" s="19" t="str">
        <f>IF('Supplier selection'!H911="","",'Supplier selection'!H911)</f>
        <v/>
      </c>
      <c r="I911" s="19" t="str">
        <f>IF('Supplier selection'!I911="","",'Supplier selection'!I911)</f>
        <v/>
      </c>
      <c r="J911" s="19" t="str">
        <f>IF('Supplier selection'!J911="","",'Supplier selection'!J911)</f>
        <v/>
      </c>
      <c r="K911" s="19" t="str">
        <f>IF('Supplier selection'!K911="","",'Supplier selection'!K911)</f>
        <v/>
      </c>
      <c r="L911" s="19" t="str">
        <f>IF('Supplier selection'!L911="","",'Supplier selection'!L911)</f>
        <v/>
      </c>
      <c r="M911" s="19" t="str">
        <f>IF('Supplier selection'!M911="","",'Supplier selection'!M911)</f>
        <v/>
      </c>
      <c r="N911" s="19" t="str">
        <f>IF('Supplier selection'!N911="","",'Supplier selection'!N911)</f>
        <v/>
      </c>
      <c r="O911" s="19" t="str">
        <f>IF('Supplier selection'!O911="","",'Supplier selection'!O911)</f>
        <v/>
      </c>
      <c r="Q911" s="19" t="str">
        <f>HLOOKUP($Q$3,'Supplier selection'!$AW$4:'Supplier selection'!$CT$1000,$A912,FALSE)</f>
        <v/>
      </c>
      <c r="R911" s="22" t="str">
        <f t="shared" si="154"/>
        <v/>
      </c>
      <c r="S911" s="19" t="str">
        <f t="shared" si="155"/>
        <v/>
      </c>
      <c r="T911" s="22" t="str">
        <f t="shared" si="156"/>
        <v/>
      </c>
      <c r="U911" s="19" t="str">
        <f t="shared" si="157"/>
        <v/>
      </c>
      <c r="V911" s="7"/>
      <c r="Y911" s="19" t="str">
        <f>IF('Supplier selection'!AQ911="","",'Supplier selection'!AQ911)</f>
        <v/>
      </c>
      <c r="Z911" s="19" t="str">
        <f>IF('Supplier selection'!AR911="","",'Supplier selection'!AR911)</f>
        <v/>
      </c>
      <c r="AA911" s="19" t="str">
        <f t="shared" si="158"/>
        <v/>
      </c>
      <c r="AD911" s="26" t="str">
        <f>IF(AND('Supplier selection'!X911="",'Supplier selection'!AE911=""),"",IF('Supplier selection'!X911="",'Supplier selection'!AE911,'Supplier selection'!X911))</f>
        <v/>
      </c>
      <c r="AE911" s="19" t="str">
        <f t="shared" si="159"/>
        <v/>
      </c>
      <c r="AF911" s="19" t="str">
        <f t="shared" si="160"/>
        <v/>
      </c>
      <c r="AG911" s="27" t="str">
        <f>IF(AND('Supplier selection'!AB911="",'Supplier selection'!AI911=""),"",IF('Supplier selection'!AB911="",'Supplier selection'!AI911,'Supplier selection'!AB911))</f>
        <v/>
      </c>
      <c r="AH911" s="28" t="str">
        <f t="shared" si="161"/>
        <v/>
      </c>
      <c r="AI911" s="7" t="str">
        <f t="shared" si="162"/>
        <v/>
      </c>
      <c r="AJ911" s="22" t="str">
        <f t="shared" si="163"/>
        <v/>
      </c>
      <c r="AK911" s="29" t="str">
        <f t="shared" si="164"/>
        <v/>
      </c>
      <c r="AL911" s="10"/>
    </row>
    <row r="912" spans="1:38">
      <c r="A912" s="19">
        <f>IF('Supplier selection'!A912="","",'Supplier selection'!A912)</f>
        <v>908</v>
      </c>
      <c r="B912" s="19" t="str">
        <f>IF('Supplier selection'!B912="","",'Supplier selection'!B912)</f>
        <v/>
      </c>
      <c r="C912" s="19" t="str">
        <f>IF('Supplier selection'!C912="","",'Supplier selection'!C912)</f>
        <v/>
      </c>
      <c r="D912" s="19" t="str">
        <f>IF('Supplier selection'!D912="","",'Supplier selection'!D912)</f>
        <v/>
      </c>
      <c r="E912" s="19" t="str">
        <f>IF('Supplier selection'!E912="","",'Supplier selection'!E912)</f>
        <v/>
      </c>
      <c r="F912" s="19" t="str">
        <f>IF('Supplier selection'!F912="","",'Supplier selection'!F912)</f>
        <v/>
      </c>
      <c r="G912" s="19" t="str">
        <f>IF('Supplier selection'!G912="","",'Supplier selection'!G912)</f>
        <v/>
      </c>
      <c r="H912" s="19" t="str">
        <f>IF('Supplier selection'!H912="","",'Supplier selection'!H912)</f>
        <v/>
      </c>
      <c r="I912" s="19" t="str">
        <f>IF('Supplier selection'!I912="","",'Supplier selection'!I912)</f>
        <v/>
      </c>
      <c r="J912" s="19" t="str">
        <f>IF('Supplier selection'!J912="","",'Supplier selection'!J912)</f>
        <v/>
      </c>
      <c r="K912" s="19" t="str">
        <f>IF('Supplier selection'!K912="","",'Supplier selection'!K912)</f>
        <v/>
      </c>
      <c r="L912" s="19" t="str">
        <f>IF('Supplier selection'!L912="","",'Supplier selection'!L912)</f>
        <v/>
      </c>
      <c r="M912" s="19" t="str">
        <f>IF('Supplier selection'!M912="","",'Supplier selection'!M912)</f>
        <v/>
      </c>
      <c r="N912" s="19" t="str">
        <f>IF('Supplier selection'!N912="","",'Supplier selection'!N912)</f>
        <v/>
      </c>
      <c r="O912" s="19" t="str">
        <f>IF('Supplier selection'!O912="","",'Supplier selection'!O912)</f>
        <v/>
      </c>
      <c r="Q912" s="19" t="str">
        <f>HLOOKUP($Q$3,'Supplier selection'!$AW$4:'Supplier selection'!$CT$1000,$A913,FALSE)</f>
        <v/>
      </c>
      <c r="R912" s="22" t="str">
        <f t="shared" si="154"/>
        <v/>
      </c>
      <c r="S912" s="19" t="str">
        <f t="shared" si="155"/>
        <v/>
      </c>
      <c r="T912" s="22" t="str">
        <f t="shared" si="156"/>
        <v/>
      </c>
      <c r="U912" s="19" t="str">
        <f t="shared" si="157"/>
        <v/>
      </c>
      <c r="V912" s="7"/>
      <c r="Y912" s="19" t="str">
        <f>IF('Supplier selection'!AQ912="","",'Supplier selection'!AQ912)</f>
        <v/>
      </c>
      <c r="Z912" s="19" t="str">
        <f>IF('Supplier selection'!AR912="","",'Supplier selection'!AR912)</f>
        <v/>
      </c>
      <c r="AA912" s="19" t="str">
        <f t="shared" si="158"/>
        <v/>
      </c>
      <c r="AD912" s="26" t="str">
        <f>IF(AND('Supplier selection'!X912="",'Supplier selection'!AE912=""),"",IF('Supplier selection'!X912="",'Supplier selection'!AE912,'Supplier selection'!X912))</f>
        <v/>
      </c>
      <c r="AE912" s="19" t="str">
        <f t="shared" si="159"/>
        <v/>
      </c>
      <c r="AF912" s="19" t="str">
        <f t="shared" si="160"/>
        <v/>
      </c>
      <c r="AG912" s="27" t="str">
        <f>IF(AND('Supplier selection'!AB912="",'Supplier selection'!AI912=""),"",IF('Supplier selection'!AB912="",'Supplier selection'!AI912,'Supplier selection'!AB912))</f>
        <v/>
      </c>
      <c r="AH912" s="28" t="str">
        <f t="shared" si="161"/>
        <v/>
      </c>
      <c r="AI912" s="7" t="str">
        <f t="shared" si="162"/>
        <v/>
      </c>
      <c r="AJ912" s="22" t="str">
        <f t="shared" si="163"/>
        <v/>
      </c>
      <c r="AK912" s="29" t="str">
        <f t="shared" si="164"/>
        <v/>
      </c>
      <c r="AL912" s="10"/>
    </row>
    <row r="913" spans="1:38">
      <c r="A913" s="19">
        <f>IF('Supplier selection'!A913="","",'Supplier selection'!A913)</f>
        <v>909</v>
      </c>
      <c r="B913" s="19" t="str">
        <f>IF('Supplier selection'!B913="","",'Supplier selection'!B913)</f>
        <v/>
      </c>
      <c r="C913" s="19" t="str">
        <f>IF('Supplier selection'!C913="","",'Supplier selection'!C913)</f>
        <v/>
      </c>
      <c r="D913" s="19" t="str">
        <f>IF('Supplier selection'!D913="","",'Supplier selection'!D913)</f>
        <v/>
      </c>
      <c r="E913" s="19" t="str">
        <f>IF('Supplier selection'!E913="","",'Supplier selection'!E913)</f>
        <v/>
      </c>
      <c r="F913" s="19" t="str">
        <f>IF('Supplier selection'!F913="","",'Supplier selection'!F913)</f>
        <v/>
      </c>
      <c r="G913" s="19" t="str">
        <f>IF('Supplier selection'!G913="","",'Supplier selection'!G913)</f>
        <v/>
      </c>
      <c r="H913" s="19" t="str">
        <f>IF('Supplier selection'!H913="","",'Supplier selection'!H913)</f>
        <v/>
      </c>
      <c r="I913" s="19" t="str">
        <f>IF('Supplier selection'!I913="","",'Supplier selection'!I913)</f>
        <v/>
      </c>
      <c r="J913" s="19" t="str">
        <f>IF('Supplier selection'!J913="","",'Supplier selection'!J913)</f>
        <v/>
      </c>
      <c r="K913" s="19" t="str">
        <f>IF('Supplier selection'!K913="","",'Supplier selection'!K913)</f>
        <v/>
      </c>
      <c r="L913" s="19" t="str">
        <f>IF('Supplier selection'!L913="","",'Supplier selection'!L913)</f>
        <v/>
      </c>
      <c r="M913" s="19" t="str">
        <f>IF('Supplier selection'!M913="","",'Supplier selection'!M913)</f>
        <v/>
      </c>
      <c r="N913" s="19" t="str">
        <f>IF('Supplier selection'!N913="","",'Supplier selection'!N913)</f>
        <v/>
      </c>
      <c r="O913" s="19" t="str">
        <f>IF('Supplier selection'!O913="","",'Supplier selection'!O913)</f>
        <v/>
      </c>
      <c r="Q913" s="19" t="str">
        <f>HLOOKUP($Q$3,'Supplier selection'!$AW$4:'Supplier selection'!$CT$1000,$A914,FALSE)</f>
        <v/>
      </c>
      <c r="R913" s="22" t="str">
        <f t="shared" si="154"/>
        <v/>
      </c>
      <c r="S913" s="19" t="str">
        <f t="shared" si="155"/>
        <v/>
      </c>
      <c r="T913" s="22" t="str">
        <f t="shared" si="156"/>
        <v/>
      </c>
      <c r="U913" s="19" t="str">
        <f t="shared" si="157"/>
        <v/>
      </c>
      <c r="V913" s="7"/>
      <c r="Y913" s="19" t="str">
        <f>IF('Supplier selection'!AQ913="","",'Supplier selection'!AQ913)</f>
        <v/>
      </c>
      <c r="Z913" s="19" t="str">
        <f>IF('Supplier selection'!AR913="","",'Supplier selection'!AR913)</f>
        <v/>
      </c>
      <c r="AA913" s="19" t="str">
        <f t="shared" si="158"/>
        <v/>
      </c>
      <c r="AD913" s="26" t="str">
        <f>IF(AND('Supplier selection'!X913="",'Supplier selection'!AE913=""),"",IF('Supplier selection'!X913="",'Supplier selection'!AE913,'Supplier selection'!X913))</f>
        <v/>
      </c>
      <c r="AE913" s="19" t="str">
        <f t="shared" si="159"/>
        <v/>
      </c>
      <c r="AF913" s="19" t="str">
        <f t="shared" si="160"/>
        <v/>
      </c>
      <c r="AG913" s="27" t="str">
        <f>IF(AND('Supplier selection'!AB913="",'Supplier selection'!AI913=""),"",IF('Supplier selection'!AB913="",'Supplier selection'!AI913,'Supplier selection'!AB913))</f>
        <v/>
      </c>
      <c r="AH913" s="28" t="str">
        <f t="shared" si="161"/>
        <v/>
      </c>
      <c r="AI913" s="7" t="str">
        <f t="shared" si="162"/>
        <v/>
      </c>
      <c r="AJ913" s="22" t="str">
        <f t="shared" si="163"/>
        <v/>
      </c>
      <c r="AK913" s="29" t="str">
        <f t="shared" si="164"/>
        <v/>
      </c>
      <c r="AL913" s="10"/>
    </row>
    <row r="914" spans="1:38">
      <c r="A914" s="19">
        <f>IF('Supplier selection'!A914="","",'Supplier selection'!A914)</f>
        <v>910</v>
      </c>
      <c r="B914" s="19" t="str">
        <f>IF('Supplier selection'!B914="","",'Supplier selection'!B914)</f>
        <v/>
      </c>
      <c r="C914" s="19" t="str">
        <f>IF('Supplier selection'!C914="","",'Supplier selection'!C914)</f>
        <v/>
      </c>
      <c r="D914" s="19" t="str">
        <f>IF('Supplier selection'!D914="","",'Supplier selection'!D914)</f>
        <v/>
      </c>
      <c r="E914" s="19" t="str">
        <f>IF('Supplier selection'!E914="","",'Supplier selection'!E914)</f>
        <v/>
      </c>
      <c r="F914" s="19" t="str">
        <f>IF('Supplier selection'!F914="","",'Supplier selection'!F914)</f>
        <v/>
      </c>
      <c r="G914" s="19" t="str">
        <f>IF('Supplier selection'!G914="","",'Supplier selection'!G914)</f>
        <v/>
      </c>
      <c r="H914" s="19" t="str">
        <f>IF('Supplier selection'!H914="","",'Supplier selection'!H914)</f>
        <v/>
      </c>
      <c r="I914" s="19" t="str">
        <f>IF('Supplier selection'!I914="","",'Supplier selection'!I914)</f>
        <v/>
      </c>
      <c r="J914" s="19" t="str">
        <f>IF('Supplier selection'!J914="","",'Supplier selection'!J914)</f>
        <v/>
      </c>
      <c r="K914" s="19" t="str">
        <f>IF('Supplier selection'!K914="","",'Supplier selection'!K914)</f>
        <v/>
      </c>
      <c r="L914" s="19" t="str">
        <f>IF('Supplier selection'!L914="","",'Supplier selection'!L914)</f>
        <v/>
      </c>
      <c r="M914" s="19" t="str">
        <f>IF('Supplier selection'!M914="","",'Supplier selection'!M914)</f>
        <v/>
      </c>
      <c r="N914" s="19" t="str">
        <f>IF('Supplier selection'!N914="","",'Supplier selection'!N914)</f>
        <v/>
      </c>
      <c r="O914" s="19" t="str">
        <f>IF('Supplier selection'!O914="","",'Supplier selection'!O914)</f>
        <v/>
      </c>
      <c r="Q914" s="19" t="str">
        <f>HLOOKUP($Q$3,'Supplier selection'!$AW$4:'Supplier selection'!$CT$1000,$A915,FALSE)</f>
        <v/>
      </c>
      <c r="R914" s="22" t="str">
        <f t="shared" si="154"/>
        <v/>
      </c>
      <c r="S914" s="19" t="str">
        <f t="shared" si="155"/>
        <v/>
      </c>
      <c r="T914" s="22" t="str">
        <f t="shared" si="156"/>
        <v/>
      </c>
      <c r="U914" s="19" t="str">
        <f t="shared" si="157"/>
        <v/>
      </c>
      <c r="V914" s="7"/>
      <c r="Y914" s="19" t="str">
        <f>IF('Supplier selection'!AQ914="","",'Supplier selection'!AQ914)</f>
        <v/>
      </c>
      <c r="Z914" s="19" t="str">
        <f>IF('Supplier selection'!AR914="","",'Supplier selection'!AR914)</f>
        <v/>
      </c>
      <c r="AA914" s="19" t="str">
        <f t="shared" si="158"/>
        <v/>
      </c>
      <c r="AD914" s="26" t="str">
        <f>IF(AND('Supplier selection'!X914="",'Supplier selection'!AE914=""),"",IF('Supplier selection'!X914="",'Supplier selection'!AE914,'Supplier selection'!X914))</f>
        <v/>
      </c>
      <c r="AE914" s="19" t="str">
        <f t="shared" si="159"/>
        <v/>
      </c>
      <c r="AF914" s="19" t="str">
        <f t="shared" si="160"/>
        <v/>
      </c>
      <c r="AG914" s="27" t="str">
        <f>IF(AND('Supplier selection'!AB914="",'Supplier selection'!AI914=""),"",IF('Supplier selection'!AB914="",'Supplier selection'!AI914,'Supplier selection'!AB914))</f>
        <v/>
      </c>
      <c r="AH914" s="28" t="str">
        <f t="shared" si="161"/>
        <v/>
      </c>
      <c r="AI914" s="7" t="str">
        <f t="shared" si="162"/>
        <v/>
      </c>
      <c r="AJ914" s="22" t="str">
        <f t="shared" si="163"/>
        <v/>
      </c>
      <c r="AK914" s="29" t="str">
        <f t="shared" si="164"/>
        <v/>
      </c>
      <c r="AL914" s="10"/>
    </row>
    <row r="915" spans="1:38">
      <c r="A915" s="19">
        <f>IF('Supplier selection'!A915="","",'Supplier selection'!A915)</f>
        <v>911</v>
      </c>
      <c r="B915" s="19" t="str">
        <f>IF('Supplier selection'!B915="","",'Supplier selection'!B915)</f>
        <v/>
      </c>
      <c r="C915" s="19" t="str">
        <f>IF('Supplier selection'!C915="","",'Supplier selection'!C915)</f>
        <v/>
      </c>
      <c r="D915" s="19" t="str">
        <f>IF('Supplier selection'!D915="","",'Supplier selection'!D915)</f>
        <v/>
      </c>
      <c r="E915" s="19" t="str">
        <f>IF('Supplier selection'!E915="","",'Supplier selection'!E915)</f>
        <v/>
      </c>
      <c r="F915" s="19" t="str">
        <f>IF('Supplier selection'!F915="","",'Supplier selection'!F915)</f>
        <v/>
      </c>
      <c r="G915" s="19" t="str">
        <f>IF('Supplier selection'!G915="","",'Supplier selection'!G915)</f>
        <v/>
      </c>
      <c r="H915" s="19" t="str">
        <f>IF('Supplier selection'!H915="","",'Supplier selection'!H915)</f>
        <v/>
      </c>
      <c r="I915" s="19" t="str">
        <f>IF('Supplier selection'!I915="","",'Supplier selection'!I915)</f>
        <v/>
      </c>
      <c r="J915" s="19" t="str">
        <f>IF('Supplier selection'!J915="","",'Supplier selection'!J915)</f>
        <v/>
      </c>
      <c r="K915" s="19" t="str">
        <f>IF('Supplier selection'!K915="","",'Supplier selection'!K915)</f>
        <v/>
      </c>
      <c r="L915" s="19" t="str">
        <f>IF('Supplier selection'!L915="","",'Supplier selection'!L915)</f>
        <v/>
      </c>
      <c r="M915" s="19" t="str">
        <f>IF('Supplier selection'!M915="","",'Supplier selection'!M915)</f>
        <v/>
      </c>
      <c r="N915" s="19" t="str">
        <f>IF('Supplier selection'!N915="","",'Supplier selection'!N915)</f>
        <v/>
      </c>
      <c r="O915" s="19" t="str">
        <f>IF('Supplier selection'!O915="","",'Supplier selection'!O915)</f>
        <v/>
      </c>
      <c r="Q915" s="19" t="str">
        <f>HLOOKUP($Q$3,'Supplier selection'!$AW$4:'Supplier selection'!$CT$1000,$A916,FALSE)</f>
        <v/>
      </c>
      <c r="R915" s="22" t="str">
        <f t="shared" si="154"/>
        <v/>
      </c>
      <c r="S915" s="19" t="str">
        <f t="shared" si="155"/>
        <v/>
      </c>
      <c r="T915" s="22" t="str">
        <f t="shared" si="156"/>
        <v/>
      </c>
      <c r="U915" s="19" t="str">
        <f t="shared" si="157"/>
        <v/>
      </c>
      <c r="V915" s="7"/>
      <c r="Y915" s="19" t="str">
        <f>IF('Supplier selection'!AQ915="","",'Supplier selection'!AQ915)</f>
        <v/>
      </c>
      <c r="Z915" s="19" t="str">
        <f>IF('Supplier selection'!AR915="","",'Supplier selection'!AR915)</f>
        <v/>
      </c>
      <c r="AA915" s="19" t="str">
        <f t="shared" si="158"/>
        <v/>
      </c>
      <c r="AD915" s="26" t="str">
        <f>IF(AND('Supplier selection'!X915="",'Supplier selection'!AE915=""),"",IF('Supplier selection'!X915="",'Supplier selection'!AE915,'Supplier selection'!X915))</f>
        <v/>
      </c>
      <c r="AE915" s="19" t="str">
        <f t="shared" si="159"/>
        <v/>
      </c>
      <c r="AF915" s="19" t="str">
        <f t="shared" si="160"/>
        <v/>
      </c>
      <c r="AG915" s="27" t="str">
        <f>IF(AND('Supplier selection'!AB915="",'Supplier selection'!AI915=""),"",IF('Supplier selection'!AB915="",'Supplier selection'!AI915,'Supplier selection'!AB915))</f>
        <v/>
      </c>
      <c r="AH915" s="28" t="str">
        <f t="shared" si="161"/>
        <v/>
      </c>
      <c r="AI915" s="7" t="str">
        <f t="shared" si="162"/>
        <v/>
      </c>
      <c r="AJ915" s="22" t="str">
        <f t="shared" si="163"/>
        <v/>
      </c>
      <c r="AK915" s="29" t="str">
        <f t="shared" si="164"/>
        <v/>
      </c>
      <c r="AL915" s="10"/>
    </row>
    <row r="916" spans="1:38">
      <c r="A916" s="19">
        <f>IF('Supplier selection'!A916="","",'Supplier selection'!A916)</f>
        <v>912</v>
      </c>
      <c r="B916" s="19" t="str">
        <f>IF('Supplier selection'!B916="","",'Supplier selection'!B916)</f>
        <v/>
      </c>
      <c r="C916" s="19" t="str">
        <f>IF('Supplier selection'!C916="","",'Supplier selection'!C916)</f>
        <v/>
      </c>
      <c r="D916" s="19" t="str">
        <f>IF('Supplier selection'!D916="","",'Supplier selection'!D916)</f>
        <v/>
      </c>
      <c r="E916" s="19" t="str">
        <f>IF('Supplier selection'!E916="","",'Supplier selection'!E916)</f>
        <v/>
      </c>
      <c r="F916" s="19" t="str">
        <f>IF('Supplier selection'!F916="","",'Supplier selection'!F916)</f>
        <v/>
      </c>
      <c r="G916" s="19" t="str">
        <f>IF('Supplier selection'!G916="","",'Supplier selection'!G916)</f>
        <v/>
      </c>
      <c r="H916" s="19" t="str">
        <f>IF('Supplier selection'!H916="","",'Supplier selection'!H916)</f>
        <v/>
      </c>
      <c r="I916" s="19" t="str">
        <f>IF('Supplier selection'!I916="","",'Supplier selection'!I916)</f>
        <v/>
      </c>
      <c r="J916" s="19" t="str">
        <f>IF('Supplier selection'!J916="","",'Supplier selection'!J916)</f>
        <v/>
      </c>
      <c r="K916" s="19" t="str">
        <f>IF('Supplier selection'!K916="","",'Supplier selection'!K916)</f>
        <v/>
      </c>
      <c r="L916" s="19" t="str">
        <f>IF('Supplier selection'!L916="","",'Supplier selection'!L916)</f>
        <v/>
      </c>
      <c r="M916" s="19" t="str">
        <f>IF('Supplier selection'!M916="","",'Supplier selection'!M916)</f>
        <v/>
      </c>
      <c r="N916" s="19" t="str">
        <f>IF('Supplier selection'!N916="","",'Supplier selection'!N916)</f>
        <v/>
      </c>
      <c r="O916" s="19" t="str">
        <f>IF('Supplier selection'!O916="","",'Supplier selection'!O916)</f>
        <v/>
      </c>
      <c r="Q916" s="19" t="str">
        <f>HLOOKUP($Q$3,'Supplier selection'!$AW$4:'Supplier selection'!$CT$1000,$A917,FALSE)</f>
        <v/>
      </c>
      <c r="R916" s="22" t="str">
        <f t="shared" si="154"/>
        <v/>
      </c>
      <c r="S916" s="19" t="str">
        <f t="shared" si="155"/>
        <v/>
      </c>
      <c r="T916" s="22" t="str">
        <f t="shared" si="156"/>
        <v/>
      </c>
      <c r="U916" s="19" t="str">
        <f t="shared" si="157"/>
        <v/>
      </c>
      <c r="V916" s="7"/>
      <c r="Y916" s="19" t="str">
        <f>IF('Supplier selection'!AQ916="","",'Supplier selection'!AQ916)</f>
        <v/>
      </c>
      <c r="Z916" s="19" t="str">
        <f>IF('Supplier selection'!AR916="","",'Supplier selection'!AR916)</f>
        <v/>
      </c>
      <c r="AA916" s="19" t="str">
        <f t="shared" si="158"/>
        <v/>
      </c>
      <c r="AD916" s="26" t="str">
        <f>IF(AND('Supplier selection'!X916="",'Supplier selection'!AE916=""),"",IF('Supplier selection'!X916="",'Supplier selection'!AE916,'Supplier selection'!X916))</f>
        <v/>
      </c>
      <c r="AE916" s="19" t="str">
        <f t="shared" si="159"/>
        <v/>
      </c>
      <c r="AF916" s="19" t="str">
        <f t="shared" si="160"/>
        <v/>
      </c>
      <c r="AG916" s="27" t="str">
        <f>IF(AND('Supplier selection'!AB916="",'Supplier selection'!AI916=""),"",IF('Supplier selection'!AB916="",'Supplier selection'!AI916,'Supplier selection'!AB916))</f>
        <v/>
      </c>
      <c r="AH916" s="28" t="str">
        <f t="shared" si="161"/>
        <v/>
      </c>
      <c r="AI916" s="7" t="str">
        <f t="shared" si="162"/>
        <v/>
      </c>
      <c r="AJ916" s="22" t="str">
        <f t="shared" si="163"/>
        <v/>
      </c>
      <c r="AK916" s="29" t="str">
        <f t="shared" si="164"/>
        <v/>
      </c>
      <c r="AL916" s="10"/>
    </row>
    <row r="917" spans="1:38">
      <c r="A917" s="19">
        <f>IF('Supplier selection'!A917="","",'Supplier selection'!A917)</f>
        <v>913</v>
      </c>
      <c r="B917" s="19" t="str">
        <f>IF('Supplier selection'!B917="","",'Supplier selection'!B917)</f>
        <v/>
      </c>
      <c r="C917" s="19" t="str">
        <f>IF('Supplier selection'!C917="","",'Supplier selection'!C917)</f>
        <v/>
      </c>
      <c r="D917" s="19" t="str">
        <f>IF('Supplier selection'!D917="","",'Supplier selection'!D917)</f>
        <v/>
      </c>
      <c r="E917" s="19" t="str">
        <f>IF('Supplier selection'!E917="","",'Supplier selection'!E917)</f>
        <v/>
      </c>
      <c r="F917" s="19" t="str">
        <f>IF('Supplier selection'!F917="","",'Supplier selection'!F917)</f>
        <v/>
      </c>
      <c r="G917" s="19" t="str">
        <f>IF('Supplier selection'!G917="","",'Supplier selection'!G917)</f>
        <v/>
      </c>
      <c r="H917" s="19" t="str">
        <f>IF('Supplier selection'!H917="","",'Supplier selection'!H917)</f>
        <v/>
      </c>
      <c r="I917" s="19" t="str">
        <f>IF('Supplier selection'!I917="","",'Supplier selection'!I917)</f>
        <v/>
      </c>
      <c r="J917" s="19" t="str">
        <f>IF('Supplier selection'!J917="","",'Supplier selection'!J917)</f>
        <v/>
      </c>
      <c r="K917" s="19" t="str">
        <f>IF('Supplier selection'!K917="","",'Supplier selection'!K917)</f>
        <v/>
      </c>
      <c r="L917" s="19" t="str">
        <f>IF('Supplier selection'!L917="","",'Supplier selection'!L917)</f>
        <v/>
      </c>
      <c r="M917" s="19" t="str">
        <f>IF('Supplier selection'!M917="","",'Supplier selection'!M917)</f>
        <v/>
      </c>
      <c r="N917" s="19" t="str">
        <f>IF('Supplier selection'!N917="","",'Supplier selection'!N917)</f>
        <v/>
      </c>
      <c r="O917" s="19" t="str">
        <f>IF('Supplier selection'!O917="","",'Supplier selection'!O917)</f>
        <v/>
      </c>
      <c r="Q917" s="19" t="str">
        <f>HLOOKUP($Q$3,'Supplier selection'!$AW$4:'Supplier selection'!$CT$1000,$A918,FALSE)</f>
        <v/>
      </c>
      <c r="R917" s="22" t="str">
        <f t="shared" si="154"/>
        <v/>
      </c>
      <c r="S917" s="19" t="str">
        <f t="shared" si="155"/>
        <v/>
      </c>
      <c r="T917" s="22" t="str">
        <f t="shared" si="156"/>
        <v/>
      </c>
      <c r="U917" s="19" t="str">
        <f t="shared" si="157"/>
        <v/>
      </c>
      <c r="V917" s="7"/>
      <c r="Y917" s="19" t="str">
        <f>IF('Supplier selection'!AQ917="","",'Supplier selection'!AQ917)</f>
        <v/>
      </c>
      <c r="Z917" s="19" t="str">
        <f>IF('Supplier selection'!AR917="","",'Supplier selection'!AR917)</f>
        <v/>
      </c>
      <c r="AA917" s="19" t="str">
        <f t="shared" si="158"/>
        <v/>
      </c>
      <c r="AD917" s="26" t="str">
        <f>IF(AND('Supplier selection'!X917="",'Supplier selection'!AE917=""),"",IF('Supplier selection'!X917="",'Supplier selection'!AE917,'Supplier selection'!X917))</f>
        <v/>
      </c>
      <c r="AE917" s="19" t="str">
        <f t="shared" si="159"/>
        <v/>
      </c>
      <c r="AF917" s="19" t="str">
        <f t="shared" si="160"/>
        <v/>
      </c>
      <c r="AG917" s="27" t="str">
        <f>IF(AND('Supplier selection'!AB917="",'Supplier selection'!AI917=""),"",IF('Supplier selection'!AB917="",'Supplier selection'!AI917,'Supplier selection'!AB917))</f>
        <v/>
      </c>
      <c r="AH917" s="28" t="str">
        <f t="shared" si="161"/>
        <v/>
      </c>
      <c r="AI917" s="7" t="str">
        <f t="shared" si="162"/>
        <v/>
      </c>
      <c r="AJ917" s="22" t="str">
        <f t="shared" si="163"/>
        <v/>
      </c>
      <c r="AK917" s="29" t="str">
        <f t="shared" si="164"/>
        <v/>
      </c>
      <c r="AL917" s="10"/>
    </row>
    <row r="918" spans="1:38">
      <c r="A918" s="19">
        <f>IF('Supplier selection'!A918="","",'Supplier selection'!A918)</f>
        <v>914</v>
      </c>
      <c r="B918" s="19" t="str">
        <f>IF('Supplier selection'!B918="","",'Supplier selection'!B918)</f>
        <v/>
      </c>
      <c r="C918" s="19" t="str">
        <f>IF('Supplier selection'!C918="","",'Supplier selection'!C918)</f>
        <v/>
      </c>
      <c r="D918" s="19" t="str">
        <f>IF('Supplier selection'!D918="","",'Supplier selection'!D918)</f>
        <v/>
      </c>
      <c r="E918" s="19" t="str">
        <f>IF('Supplier selection'!E918="","",'Supplier selection'!E918)</f>
        <v/>
      </c>
      <c r="F918" s="19" t="str">
        <f>IF('Supplier selection'!F918="","",'Supplier selection'!F918)</f>
        <v/>
      </c>
      <c r="G918" s="19" t="str">
        <f>IF('Supplier selection'!G918="","",'Supplier selection'!G918)</f>
        <v/>
      </c>
      <c r="H918" s="19" t="str">
        <f>IF('Supplier selection'!H918="","",'Supplier selection'!H918)</f>
        <v/>
      </c>
      <c r="I918" s="19" t="str">
        <f>IF('Supplier selection'!I918="","",'Supplier selection'!I918)</f>
        <v/>
      </c>
      <c r="J918" s="19" t="str">
        <f>IF('Supplier selection'!J918="","",'Supplier selection'!J918)</f>
        <v/>
      </c>
      <c r="K918" s="19" t="str">
        <f>IF('Supplier selection'!K918="","",'Supplier selection'!K918)</f>
        <v/>
      </c>
      <c r="L918" s="19" t="str">
        <f>IF('Supplier selection'!L918="","",'Supplier selection'!L918)</f>
        <v/>
      </c>
      <c r="M918" s="19" t="str">
        <f>IF('Supplier selection'!M918="","",'Supplier selection'!M918)</f>
        <v/>
      </c>
      <c r="N918" s="19" t="str">
        <f>IF('Supplier selection'!N918="","",'Supplier selection'!N918)</f>
        <v/>
      </c>
      <c r="O918" s="19" t="str">
        <f>IF('Supplier selection'!O918="","",'Supplier selection'!O918)</f>
        <v/>
      </c>
      <c r="Q918" s="19" t="str">
        <f>HLOOKUP($Q$3,'Supplier selection'!$AW$4:'Supplier selection'!$CT$1000,$A919,FALSE)</f>
        <v/>
      </c>
      <c r="R918" s="22" t="str">
        <f t="shared" si="154"/>
        <v/>
      </c>
      <c r="S918" s="19" t="str">
        <f t="shared" si="155"/>
        <v/>
      </c>
      <c r="T918" s="22" t="str">
        <f t="shared" si="156"/>
        <v/>
      </c>
      <c r="U918" s="19" t="str">
        <f t="shared" si="157"/>
        <v/>
      </c>
      <c r="V918" s="7"/>
      <c r="Y918" s="19" t="str">
        <f>IF('Supplier selection'!AQ918="","",'Supplier selection'!AQ918)</f>
        <v/>
      </c>
      <c r="Z918" s="19" t="str">
        <f>IF('Supplier selection'!AR918="","",'Supplier selection'!AR918)</f>
        <v/>
      </c>
      <c r="AA918" s="19" t="str">
        <f t="shared" si="158"/>
        <v/>
      </c>
      <c r="AD918" s="26" t="str">
        <f>IF(AND('Supplier selection'!X918="",'Supplier selection'!AE918=""),"",IF('Supplier selection'!X918="",'Supplier selection'!AE918,'Supplier selection'!X918))</f>
        <v/>
      </c>
      <c r="AE918" s="19" t="str">
        <f t="shared" si="159"/>
        <v/>
      </c>
      <c r="AF918" s="19" t="str">
        <f t="shared" si="160"/>
        <v/>
      </c>
      <c r="AG918" s="27" t="str">
        <f>IF(AND('Supplier selection'!AB918="",'Supplier selection'!AI918=""),"",IF('Supplier selection'!AB918="",'Supplier selection'!AI918,'Supplier selection'!AB918))</f>
        <v/>
      </c>
      <c r="AH918" s="28" t="str">
        <f t="shared" si="161"/>
        <v/>
      </c>
      <c r="AI918" s="7" t="str">
        <f t="shared" si="162"/>
        <v/>
      </c>
      <c r="AJ918" s="22" t="str">
        <f t="shared" si="163"/>
        <v/>
      </c>
      <c r="AK918" s="29" t="str">
        <f t="shared" si="164"/>
        <v/>
      </c>
      <c r="AL918" s="10"/>
    </row>
    <row r="919" spans="1:38">
      <c r="A919" s="19">
        <f>IF('Supplier selection'!A919="","",'Supplier selection'!A919)</f>
        <v>915</v>
      </c>
      <c r="B919" s="19" t="str">
        <f>IF('Supplier selection'!B919="","",'Supplier selection'!B919)</f>
        <v/>
      </c>
      <c r="C919" s="19" t="str">
        <f>IF('Supplier selection'!C919="","",'Supplier selection'!C919)</f>
        <v/>
      </c>
      <c r="D919" s="19" t="str">
        <f>IF('Supplier selection'!D919="","",'Supplier selection'!D919)</f>
        <v/>
      </c>
      <c r="E919" s="19" t="str">
        <f>IF('Supplier selection'!E919="","",'Supplier selection'!E919)</f>
        <v/>
      </c>
      <c r="F919" s="19" t="str">
        <f>IF('Supplier selection'!F919="","",'Supplier selection'!F919)</f>
        <v/>
      </c>
      <c r="G919" s="19" t="str">
        <f>IF('Supplier selection'!G919="","",'Supplier selection'!G919)</f>
        <v/>
      </c>
      <c r="H919" s="19" t="str">
        <f>IF('Supplier selection'!H919="","",'Supplier selection'!H919)</f>
        <v/>
      </c>
      <c r="I919" s="19" t="str">
        <f>IF('Supplier selection'!I919="","",'Supplier selection'!I919)</f>
        <v/>
      </c>
      <c r="J919" s="19" t="str">
        <f>IF('Supplier selection'!J919="","",'Supplier selection'!J919)</f>
        <v/>
      </c>
      <c r="K919" s="19" t="str">
        <f>IF('Supplier selection'!K919="","",'Supplier selection'!K919)</f>
        <v/>
      </c>
      <c r="L919" s="19" t="str">
        <f>IF('Supplier selection'!L919="","",'Supplier selection'!L919)</f>
        <v/>
      </c>
      <c r="M919" s="19" t="str">
        <f>IF('Supplier selection'!M919="","",'Supplier selection'!M919)</f>
        <v/>
      </c>
      <c r="N919" s="19" t="str">
        <f>IF('Supplier selection'!N919="","",'Supplier selection'!N919)</f>
        <v/>
      </c>
      <c r="O919" s="19" t="str">
        <f>IF('Supplier selection'!O919="","",'Supplier selection'!O919)</f>
        <v/>
      </c>
      <c r="Q919" s="19" t="str">
        <f>HLOOKUP($Q$3,'Supplier selection'!$AW$4:'Supplier selection'!$CT$1000,$A920,FALSE)</f>
        <v/>
      </c>
      <c r="R919" s="22" t="str">
        <f t="shared" si="154"/>
        <v/>
      </c>
      <c r="S919" s="19" t="str">
        <f t="shared" si="155"/>
        <v/>
      </c>
      <c r="T919" s="22" t="str">
        <f t="shared" si="156"/>
        <v/>
      </c>
      <c r="U919" s="19" t="str">
        <f t="shared" si="157"/>
        <v/>
      </c>
      <c r="V919" s="7"/>
      <c r="Y919" s="19" t="str">
        <f>IF('Supplier selection'!AQ919="","",'Supplier selection'!AQ919)</f>
        <v/>
      </c>
      <c r="Z919" s="19" t="str">
        <f>IF('Supplier selection'!AR919="","",'Supplier selection'!AR919)</f>
        <v/>
      </c>
      <c r="AA919" s="19" t="str">
        <f t="shared" si="158"/>
        <v/>
      </c>
      <c r="AD919" s="26" t="str">
        <f>IF(AND('Supplier selection'!X919="",'Supplier selection'!AE919=""),"",IF('Supplier selection'!X919="",'Supplier selection'!AE919,'Supplier selection'!X919))</f>
        <v/>
      </c>
      <c r="AE919" s="19" t="str">
        <f t="shared" si="159"/>
        <v/>
      </c>
      <c r="AF919" s="19" t="str">
        <f t="shared" si="160"/>
        <v/>
      </c>
      <c r="AG919" s="27" t="str">
        <f>IF(AND('Supplier selection'!AB919="",'Supplier selection'!AI919=""),"",IF('Supplier selection'!AB919="",'Supplier selection'!AI919,'Supplier selection'!AB919))</f>
        <v/>
      </c>
      <c r="AH919" s="28" t="str">
        <f t="shared" si="161"/>
        <v/>
      </c>
      <c r="AI919" s="7" t="str">
        <f t="shared" si="162"/>
        <v/>
      </c>
      <c r="AJ919" s="22" t="str">
        <f t="shared" si="163"/>
        <v/>
      </c>
      <c r="AK919" s="29" t="str">
        <f t="shared" si="164"/>
        <v/>
      </c>
      <c r="AL919" s="10"/>
    </row>
    <row r="920" spans="1:38">
      <c r="A920" s="19">
        <f>IF('Supplier selection'!A920="","",'Supplier selection'!A920)</f>
        <v>916</v>
      </c>
      <c r="B920" s="19" t="str">
        <f>IF('Supplier selection'!B920="","",'Supplier selection'!B920)</f>
        <v/>
      </c>
      <c r="C920" s="19" t="str">
        <f>IF('Supplier selection'!C920="","",'Supplier selection'!C920)</f>
        <v/>
      </c>
      <c r="D920" s="19" t="str">
        <f>IF('Supplier selection'!D920="","",'Supplier selection'!D920)</f>
        <v/>
      </c>
      <c r="E920" s="19" t="str">
        <f>IF('Supplier selection'!E920="","",'Supplier selection'!E920)</f>
        <v/>
      </c>
      <c r="F920" s="19" t="str">
        <f>IF('Supplier selection'!F920="","",'Supplier selection'!F920)</f>
        <v/>
      </c>
      <c r="G920" s="19" t="str">
        <f>IF('Supplier selection'!G920="","",'Supplier selection'!G920)</f>
        <v/>
      </c>
      <c r="H920" s="19" t="str">
        <f>IF('Supplier selection'!H920="","",'Supplier selection'!H920)</f>
        <v/>
      </c>
      <c r="I920" s="19" t="str">
        <f>IF('Supplier selection'!I920="","",'Supplier selection'!I920)</f>
        <v/>
      </c>
      <c r="J920" s="19" t="str">
        <f>IF('Supplier selection'!J920="","",'Supplier selection'!J920)</f>
        <v/>
      </c>
      <c r="K920" s="19" t="str">
        <f>IF('Supplier selection'!K920="","",'Supplier selection'!K920)</f>
        <v/>
      </c>
      <c r="L920" s="19" t="str">
        <f>IF('Supplier selection'!L920="","",'Supplier selection'!L920)</f>
        <v/>
      </c>
      <c r="M920" s="19" t="str">
        <f>IF('Supplier selection'!M920="","",'Supplier selection'!M920)</f>
        <v/>
      </c>
      <c r="N920" s="19" t="str">
        <f>IF('Supplier selection'!N920="","",'Supplier selection'!N920)</f>
        <v/>
      </c>
      <c r="O920" s="19" t="str">
        <f>IF('Supplier selection'!O920="","",'Supplier selection'!O920)</f>
        <v/>
      </c>
      <c r="Q920" s="19" t="str">
        <f>HLOOKUP($Q$3,'Supplier selection'!$AW$4:'Supplier selection'!$CT$1000,$A921,FALSE)</f>
        <v/>
      </c>
      <c r="R920" s="22" t="str">
        <f t="shared" si="154"/>
        <v/>
      </c>
      <c r="S920" s="19" t="str">
        <f t="shared" si="155"/>
        <v/>
      </c>
      <c r="T920" s="22" t="str">
        <f t="shared" si="156"/>
        <v/>
      </c>
      <c r="U920" s="19" t="str">
        <f t="shared" si="157"/>
        <v/>
      </c>
      <c r="V920" s="7"/>
      <c r="Y920" s="19" t="str">
        <f>IF('Supplier selection'!AQ920="","",'Supplier selection'!AQ920)</f>
        <v/>
      </c>
      <c r="Z920" s="19" t="str">
        <f>IF('Supplier selection'!AR920="","",'Supplier selection'!AR920)</f>
        <v/>
      </c>
      <c r="AA920" s="19" t="str">
        <f t="shared" si="158"/>
        <v/>
      </c>
      <c r="AD920" s="26" t="str">
        <f>IF(AND('Supplier selection'!X920="",'Supplier selection'!AE920=""),"",IF('Supplier selection'!X920="",'Supplier selection'!AE920,'Supplier selection'!X920))</f>
        <v/>
      </c>
      <c r="AE920" s="19" t="str">
        <f t="shared" si="159"/>
        <v/>
      </c>
      <c r="AF920" s="19" t="str">
        <f t="shared" si="160"/>
        <v/>
      </c>
      <c r="AG920" s="27" t="str">
        <f>IF(AND('Supplier selection'!AB920="",'Supplier selection'!AI920=""),"",IF('Supplier selection'!AB920="",'Supplier selection'!AI920,'Supplier selection'!AB920))</f>
        <v/>
      </c>
      <c r="AH920" s="28" t="str">
        <f t="shared" si="161"/>
        <v/>
      </c>
      <c r="AI920" s="7" t="str">
        <f t="shared" si="162"/>
        <v/>
      </c>
      <c r="AJ920" s="22" t="str">
        <f t="shared" si="163"/>
        <v/>
      </c>
      <c r="AK920" s="29" t="str">
        <f t="shared" si="164"/>
        <v/>
      </c>
      <c r="AL920" s="10"/>
    </row>
    <row r="921" spans="1:38">
      <c r="A921" s="19">
        <f>IF('Supplier selection'!A921="","",'Supplier selection'!A921)</f>
        <v>917</v>
      </c>
      <c r="B921" s="19" t="str">
        <f>IF('Supplier selection'!B921="","",'Supplier selection'!B921)</f>
        <v/>
      </c>
      <c r="C921" s="19" t="str">
        <f>IF('Supplier selection'!C921="","",'Supplier selection'!C921)</f>
        <v/>
      </c>
      <c r="D921" s="19" t="str">
        <f>IF('Supplier selection'!D921="","",'Supplier selection'!D921)</f>
        <v/>
      </c>
      <c r="E921" s="19" t="str">
        <f>IF('Supplier selection'!E921="","",'Supplier selection'!E921)</f>
        <v/>
      </c>
      <c r="F921" s="19" t="str">
        <f>IF('Supplier selection'!F921="","",'Supplier selection'!F921)</f>
        <v/>
      </c>
      <c r="G921" s="19" t="str">
        <f>IF('Supplier selection'!G921="","",'Supplier selection'!G921)</f>
        <v/>
      </c>
      <c r="H921" s="19" t="str">
        <f>IF('Supplier selection'!H921="","",'Supplier selection'!H921)</f>
        <v/>
      </c>
      <c r="I921" s="19" t="str">
        <f>IF('Supplier selection'!I921="","",'Supplier selection'!I921)</f>
        <v/>
      </c>
      <c r="J921" s="19" t="str">
        <f>IF('Supplier selection'!J921="","",'Supplier selection'!J921)</f>
        <v/>
      </c>
      <c r="K921" s="19" t="str">
        <f>IF('Supplier selection'!K921="","",'Supplier selection'!K921)</f>
        <v/>
      </c>
      <c r="L921" s="19" t="str">
        <f>IF('Supplier selection'!L921="","",'Supplier selection'!L921)</f>
        <v/>
      </c>
      <c r="M921" s="19" t="str">
        <f>IF('Supplier selection'!M921="","",'Supplier selection'!M921)</f>
        <v/>
      </c>
      <c r="N921" s="19" t="str">
        <f>IF('Supplier selection'!N921="","",'Supplier selection'!N921)</f>
        <v/>
      </c>
      <c r="O921" s="19" t="str">
        <f>IF('Supplier selection'!O921="","",'Supplier selection'!O921)</f>
        <v/>
      </c>
      <c r="Q921" s="19" t="str">
        <f>HLOOKUP($Q$3,'Supplier selection'!$AW$4:'Supplier selection'!$CT$1000,$A922,FALSE)</f>
        <v/>
      </c>
      <c r="R921" s="22" t="str">
        <f t="shared" si="154"/>
        <v/>
      </c>
      <c r="S921" s="19" t="str">
        <f t="shared" si="155"/>
        <v/>
      </c>
      <c r="T921" s="22" t="str">
        <f t="shared" si="156"/>
        <v/>
      </c>
      <c r="U921" s="19" t="str">
        <f t="shared" si="157"/>
        <v/>
      </c>
      <c r="V921" s="7"/>
      <c r="Y921" s="19" t="str">
        <f>IF('Supplier selection'!AQ921="","",'Supplier selection'!AQ921)</f>
        <v/>
      </c>
      <c r="Z921" s="19" t="str">
        <f>IF('Supplier selection'!AR921="","",'Supplier selection'!AR921)</f>
        <v/>
      </c>
      <c r="AA921" s="19" t="str">
        <f t="shared" si="158"/>
        <v/>
      </c>
      <c r="AD921" s="26" t="str">
        <f>IF(AND('Supplier selection'!X921="",'Supplier selection'!AE921=""),"",IF('Supplier selection'!X921="",'Supplier selection'!AE921,'Supplier selection'!X921))</f>
        <v/>
      </c>
      <c r="AE921" s="19" t="str">
        <f t="shared" si="159"/>
        <v/>
      </c>
      <c r="AF921" s="19" t="str">
        <f t="shared" si="160"/>
        <v/>
      </c>
      <c r="AG921" s="27" t="str">
        <f>IF(AND('Supplier selection'!AB921="",'Supplier selection'!AI921=""),"",IF('Supplier selection'!AB921="",'Supplier selection'!AI921,'Supplier selection'!AB921))</f>
        <v/>
      </c>
      <c r="AH921" s="28" t="str">
        <f t="shared" si="161"/>
        <v/>
      </c>
      <c r="AI921" s="7" t="str">
        <f t="shared" si="162"/>
        <v/>
      </c>
      <c r="AJ921" s="22" t="str">
        <f t="shared" si="163"/>
        <v/>
      </c>
      <c r="AK921" s="29" t="str">
        <f t="shared" si="164"/>
        <v/>
      </c>
      <c r="AL921" s="10"/>
    </row>
    <row r="922" spans="1:38">
      <c r="A922" s="19">
        <f>IF('Supplier selection'!A922="","",'Supplier selection'!A922)</f>
        <v>918</v>
      </c>
      <c r="B922" s="19" t="str">
        <f>IF('Supplier selection'!B922="","",'Supplier selection'!B922)</f>
        <v/>
      </c>
      <c r="C922" s="19" t="str">
        <f>IF('Supplier selection'!C922="","",'Supplier selection'!C922)</f>
        <v/>
      </c>
      <c r="D922" s="19" t="str">
        <f>IF('Supplier selection'!D922="","",'Supplier selection'!D922)</f>
        <v/>
      </c>
      <c r="E922" s="19" t="str">
        <f>IF('Supplier selection'!E922="","",'Supplier selection'!E922)</f>
        <v/>
      </c>
      <c r="F922" s="19" t="str">
        <f>IF('Supplier selection'!F922="","",'Supplier selection'!F922)</f>
        <v/>
      </c>
      <c r="G922" s="19" t="str">
        <f>IF('Supplier selection'!G922="","",'Supplier selection'!G922)</f>
        <v/>
      </c>
      <c r="H922" s="19" t="str">
        <f>IF('Supplier selection'!H922="","",'Supplier selection'!H922)</f>
        <v/>
      </c>
      <c r="I922" s="19" t="str">
        <f>IF('Supplier selection'!I922="","",'Supplier selection'!I922)</f>
        <v/>
      </c>
      <c r="J922" s="19" t="str">
        <f>IF('Supplier selection'!J922="","",'Supplier selection'!J922)</f>
        <v/>
      </c>
      <c r="K922" s="19" t="str">
        <f>IF('Supplier selection'!K922="","",'Supplier selection'!K922)</f>
        <v/>
      </c>
      <c r="L922" s="19" t="str">
        <f>IF('Supplier selection'!L922="","",'Supplier selection'!L922)</f>
        <v/>
      </c>
      <c r="M922" s="19" t="str">
        <f>IF('Supplier selection'!M922="","",'Supplier selection'!M922)</f>
        <v/>
      </c>
      <c r="N922" s="19" t="str">
        <f>IF('Supplier selection'!N922="","",'Supplier selection'!N922)</f>
        <v/>
      </c>
      <c r="O922" s="19" t="str">
        <f>IF('Supplier selection'!O922="","",'Supplier selection'!O922)</f>
        <v/>
      </c>
      <c r="Q922" s="19" t="str">
        <f>HLOOKUP($Q$3,'Supplier selection'!$AW$4:'Supplier selection'!$CT$1000,$A923,FALSE)</f>
        <v/>
      </c>
      <c r="R922" s="22" t="str">
        <f t="shared" si="154"/>
        <v/>
      </c>
      <c r="S922" s="19" t="str">
        <f t="shared" si="155"/>
        <v/>
      </c>
      <c r="T922" s="22" t="str">
        <f t="shared" si="156"/>
        <v/>
      </c>
      <c r="U922" s="19" t="str">
        <f t="shared" si="157"/>
        <v/>
      </c>
      <c r="V922" s="7"/>
      <c r="Y922" s="19" t="str">
        <f>IF('Supplier selection'!AQ922="","",'Supplier selection'!AQ922)</f>
        <v/>
      </c>
      <c r="Z922" s="19" t="str">
        <f>IF('Supplier selection'!AR922="","",'Supplier selection'!AR922)</f>
        <v/>
      </c>
      <c r="AA922" s="19" t="str">
        <f t="shared" si="158"/>
        <v/>
      </c>
      <c r="AD922" s="26" t="str">
        <f>IF(AND('Supplier selection'!X922="",'Supplier selection'!AE922=""),"",IF('Supplier selection'!X922="",'Supplier selection'!AE922,'Supplier selection'!X922))</f>
        <v/>
      </c>
      <c r="AE922" s="19" t="str">
        <f t="shared" si="159"/>
        <v/>
      </c>
      <c r="AF922" s="19" t="str">
        <f t="shared" si="160"/>
        <v/>
      </c>
      <c r="AG922" s="27" t="str">
        <f>IF(AND('Supplier selection'!AB922="",'Supplier selection'!AI922=""),"",IF('Supplier selection'!AB922="",'Supplier selection'!AI922,'Supplier selection'!AB922))</f>
        <v/>
      </c>
      <c r="AH922" s="28" t="str">
        <f t="shared" si="161"/>
        <v/>
      </c>
      <c r="AI922" s="7" t="str">
        <f t="shared" si="162"/>
        <v/>
      </c>
      <c r="AJ922" s="22" t="str">
        <f t="shared" si="163"/>
        <v/>
      </c>
      <c r="AK922" s="29" t="str">
        <f t="shared" si="164"/>
        <v/>
      </c>
      <c r="AL922" s="10"/>
    </row>
    <row r="923" spans="1:38">
      <c r="A923" s="19">
        <f>IF('Supplier selection'!A923="","",'Supplier selection'!A923)</f>
        <v>919</v>
      </c>
      <c r="B923" s="19" t="str">
        <f>IF('Supplier selection'!B923="","",'Supplier selection'!B923)</f>
        <v/>
      </c>
      <c r="C923" s="19" t="str">
        <f>IF('Supplier selection'!C923="","",'Supplier selection'!C923)</f>
        <v/>
      </c>
      <c r="D923" s="19" t="str">
        <f>IF('Supplier selection'!D923="","",'Supplier selection'!D923)</f>
        <v/>
      </c>
      <c r="E923" s="19" t="str">
        <f>IF('Supplier selection'!E923="","",'Supplier selection'!E923)</f>
        <v/>
      </c>
      <c r="F923" s="19" t="str">
        <f>IF('Supplier selection'!F923="","",'Supplier selection'!F923)</f>
        <v/>
      </c>
      <c r="G923" s="19" t="str">
        <f>IF('Supplier selection'!G923="","",'Supplier selection'!G923)</f>
        <v/>
      </c>
      <c r="H923" s="19" t="str">
        <f>IF('Supplier selection'!H923="","",'Supplier selection'!H923)</f>
        <v/>
      </c>
      <c r="I923" s="19" t="str">
        <f>IF('Supplier selection'!I923="","",'Supplier selection'!I923)</f>
        <v/>
      </c>
      <c r="J923" s="19" t="str">
        <f>IF('Supplier selection'!J923="","",'Supplier selection'!J923)</f>
        <v/>
      </c>
      <c r="K923" s="19" t="str">
        <f>IF('Supplier selection'!K923="","",'Supplier selection'!K923)</f>
        <v/>
      </c>
      <c r="L923" s="19" t="str">
        <f>IF('Supplier selection'!L923="","",'Supplier selection'!L923)</f>
        <v/>
      </c>
      <c r="M923" s="19" t="str">
        <f>IF('Supplier selection'!M923="","",'Supplier selection'!M923)</f>
        <v/>
      </c>
      <c r="N923" s="19" t="str">
        <f>IF('Supplier selection'!N923="","",'Supplier selection'!N923)</f>
        <v/>
      </c>
      <c r="O923" s="19" t="str">
        <f>IF('Supplier selection'!O923="","",'Supplier selection'!O923)</f>
        <v/>
      </c>
      <c r="Q923" s="19" t="str">
        <f>HLOOKUP($Q$3,'Supplier selection'!$AW$4:'Supplier selection'!$CT$1000,$A924,FALSE)</f>
        <v/>
      </c>
      <c r="R923" s="22" t="str">
        <f t="shared" si="154"/>
        <v/>
      </c>
      <c r="S923" s="19" t="str">
        <f t="shared" si="155"/>
        <v/>
      </c>
      <c r="T923" s="22" t="str">
        <f t="shared" si="156"/>
        <v/>
      </c>
      <c r="U923" s="19" t="str">
        <f t="shared" si="157"/>
        <v/>
      </c>
      <c r="V923" s="7"/>
      <c r="Y923" s="19" t="str">
        <f>IF('Supplier selection'!AQ923="","",'Supplier selection'!AQ923)</f>
        <v/>
      </c>
      <c r="Z923" s="19" t="str">
        <f>IF('Supplier selection'!AR923="","",'Supplier selection'!AR923)</f>
        <v/>
      </c>
      <c r="AA923" s="19" t="str">
        <f t="shared" si="158"/>
        <v/>
      </c>
      <c r="AD923" s="26" t="str">
        <f>IF(AND('Supplier selection'!X923="",'Supplier selection'!AE923=""),"",IF('Supplier selection'!X923="",'Supplier selection'!AE923,'Supplier selection'!X923))</f>
        <v/>
      </c>
      <c r="AE923" s="19" t="str">
        <f t="shared" si="159"/>
        <v/>
      </c>
      <c r="AF923" s="19" t="str">
        <f t="shared" si="160"/>
        <v/>
      </c>
      <c r="AG923" s="27" t="str">
        <f>IF(AND('Supplier selection'!AB923="",'Supplier selection'!AI923=""),"",IF('Supplier selection'!AB923="",'Supplier selection'!AI923,'Supplier selection'!AB923))</f>
        <v/>
      </c>
      <c r="AH923" s="28" t="str">
        <f t="shared" si="161"/>
        <v/>
      </c>
      <c r="AI923" s="7" t="str">
        <f t="shared" si="162"/>
        <v/>
      </c>
      <c r="AJ923" s="22" t="str">
        <f t="shared" si="163"/>
        <v/>
      </c>
      <c r="AK923" s="29" t="str">
        <f t="shared" si="164"/>
        <v/>
      </c>
      <c r="AL923" s="10"/>
    </row>
    <row r="924" spans="1:38">
      <c r="A924" s="19">
        <f>IF('Supplier selection'!A924="","",'Supplier selection'!A924)</f>
        <v>920</v>
      </c>
      <c r="B924" s="19" t="str">
        <f>IF('Supplier selection'!B924="","",'Supplier selection'!B924)</f>
        <v/>
      </c>
      <c r="C924" s="19" t="str">
        <f>IF('Supplier selection'!C924="","",'Supplier selection'!C924)</f>
        <v/>
      </c>
      <c r="D924" s="19" t="str">
        <f>IF('Supplier selection'!D924="","",'Supplier selection'!D924)</f>
        <v/>
      </c>
      <c r="E924" s="19" t="str">
        <f>IF('Supplier selection'!E924="","",'Supplier selection'!E924)</f>
        <v/>
      </c>
      <c r="F924" s="19" t="str">
        <f>IF('Supplier selection'!F924="","",'Supplier selection'!F924)</f>
        <v/>
      </c>
      <c r="G924" s="19" t="str">
        <f>IF('Supplier selection'!G924="","",'Supplier selection'!G924)</f>
        <v/>
      </c>
      <c r="H924" s="19" t="str">
        <f>IF('Supplier selection'!H924="","",'Supplier selection'!H924)</f>
        <v/>
      </c>
      <c r="I924" s="19" t="str">
        <f>IF('Supplier selection'!I924="","",'Supplier selection'!I924)</f>
        <v/>
      </c>
      <c r="J924" s="19" t="str">
        <f>IF('Supplier selection'!J924="","",'Supplier selection'!J924)</f>
        <v/>
      </c>
      <c r="K924" s="19" t="str">
        <f>IF('Supplier selection'!K924="","",'Supplier selection'!K924)</f>
        <v/>
      </c>
      <c r="L924" s="19" t="str">
        <f>IF('Supplier selection'!L924="","",'Supplier selection'!L924)</f>
        <v/>
      </c>
      <c r="M924" s="19" t="str">
        <f>IF('Supplier selection'!M924="","",'Supplier selection'!M924)</f>
        <v/>
      </c>
      <c r="N924" s="19" t="str">
        <f>IF('Supplier selection'!N924="","",'Supplier selection'!N924)</f>
        <v/>
      </c>
      <c r="O924" s="19" t="str">
        <f>IF('Supplier selection'!O924="","",'Supplier selection'!O924)</f>
        <v/>
      </c>
      <c r="Q924" s="19" t="str">
        <f>HLOOKUP($Q$3,'Supplier selection'!$AW$4:'Supplier selection'!$CT$1000,$A925,FALSE)</f>
        <v/>
      </c>
      <c r="R924" s="22" t="str">
        <f t="shared" si="154"/>
        <v/>
      </c>
      <c r="S924" s="19" t="str">
        <f t="shared" si="155"/>
        <v/>
      </c>
      <c r="T924" s="22" t="str">
        <f t="shared" si="156"/>
        <v/>
      </c>
      <c r="U924" s="19" t="str">
        <f t="shared" si="157"/>
        <v/>
      </c>
      <c r="V924" s="7"/>
      <c r="Y924" s="19" t="str">
        <f>IF('Supplier selection'!AQ924="","",'Supplier selection'!AQ924)</f>
        <v/>
      </c>
      <c r="Z924" s="19" t="str">
        <f>IF('Supplier selection'!AR924="","",'Supplier selection'!AR924)</f>
        <v/>
      </c>
      <c r="AA924" s="19" t="str">
        <f t="shared" si="158"/>
        <v/>
      </c>
      <c r="AD924" s="26" t="str">
        <f>IF(AND('Supplier selection'!X924="",'Supplier selection'!AE924=""),"",IF('Supplier selection'!X924="",'Supplier selection'!AE924,'Supplier selection'!X924))</f>
        <v/>
      </c>
      <c r="AE924" s="19" t="str">
        <f t="shared" si="159"/>
        <v/>
      </c>
      <c r="AF924" s="19" t="str">
        <f t="shared" si="160"/>
        <v/>
      </c>
      <c r="AG924" s="27" t="str">
        <f>IF(AND('Supplier selection'!AB924="",'Supplier selection'!AI924=""),"",IF('Supplier selection'!AB924="",'Supplier selection'!AI924,'Supplier selection'!AB924))</f>
        <v/>
      </c>
      <c r="AH924" s="28" t="str">
        <f t="shared" si="161"/>
        <v/>
      </c>
      <c r="AI924" s="7" t="str">
        <f t="shared" si="162"/>
        <v/>
      </c>
      <c r="AJ924" s="22" t="str">
        <f t="shared" si="163"/>
        <v/>
      </c>
      <c r="AK924" s="29" t="str">
        <f t="shared" si="164"/>
        <v/>
      </c>
      <c r="AL924" s="10"/>
    </row>
    <row r="925" spans="1:38">
      <c r="A925" s="19">
        <f>IF('Supplier selection'!A925="","",'Supplier selection'!A925)</f>
        <v>921</v>
      </c>
      <c r="B925" s="19" t="str">
        <f>IF('Supplier selection'!B925="","",'Supplier selection'!B925)</f>
        <v/>
      </c>
      <c r="C925" s="19" t="str">
        <f>IF('Supplier selection'!C925="","",'Supplier selection'!C925)</f>
        <v/>
      </c>
      <c r="D925" s="19" t="str">
        <f>IF('Supplier selection'!D925="","",'Supplier selection'!D925)</f>
        <v/>
      </c>
      <c r="E925" s="19" t="str">
        <f>IF('Supplier selection'!E925="","",'Supplier selection'!E925)</f>
        <v/>
      </c>
      <c r="F925" s="19" t="str">
        <f>IF('Supplier selection'!F925="","",'Supplier selection'!F925)</f>
        <v/>
      </c>
      <c r="G925" s="19" t="str">
        <f>IF('Supplier selection'!G925="","",'Supplier selection'!G925)</f>
        <v/>
      </c>
      <c r="H925" s="19" t="str">
        <f>IF('Supplier selection'!H925="","",'Supplier selection'!H925)</f>
        <v/>
      </c>
      <c r="I925" s="19" t="str">
        <f>IF('Supplier selection'!I925="","",'Supplier selection'!I925)</f>
        <v/>
      </c>
      <c r="J925" s="19" t="str">
        <f>IF('Supplier selection'!J925="","",'Supplier selection'!J925)</f>
        <v/>
      </c>
      <c r="K925" s="19" t="str">
        <f>IF('Supplier selection'!K925="","",'Supplier selection'!K925)</f>
        <v/>
      </c>
      <c r="L925" s="19" t="str">
        <f>IF('Supplier selection'!L925="","",'Supplier selection'!L925)</f>
        <v/>
      </c>
      <c r="M925" s="19" t="str">
        <f>IF('Supplier selection'!M925="","",'Supplier selection'!M925)</f>
        <v/>
      </c>
      <c r="N925" s="19" t="str">
        <f>IF('Supplier selection'!N925="","",'Supplier selection'!N925)</f>
        <v/>
      </c>
      <c r="O925" s="19" t="str">
        <f>IF('Supplier selection'!O925="","",'Supplier selection'!O925)</f>
        <v/>
      </c>
      <c r="Q925" s="19" t="str">
        <f>HLOOKUP($Q$3,'Supplier selection'!$AW$4:'Supplier selection'!$CT$1000,$A926,FALSE)</f>
        <v/>
      </c>
      <c r="R925" s="22" t="str">
        <f t="shared" si="154"/>
        <v/>
      </c>
      <c r="S925" s="19" t="str">
        <f t="shared" si="155"/>
        <v/>
      </c>
      <c r="T925" s="22" t="str">
        <f t="shared" si="156"/>
        <v/>
      </c>
      <c r="U925" s="19" t="str">
        <f t="shared" si="157"/>
        <v/>
      </c>
      <c r="V925" s="7"/>
      <c r="Y925" s="19" t="str">
        <f>IF('Supplier selection'!AQ925="","",'Supplier selection'!AQ925)</f>
        <v/>
      </c>
      <c r="Z925" s="19" t="str">
        <f>IF('Supplier selection'!AR925="","",'Supplier selection'!AR925)</f>
        <v/>
      </c>
      <c r="AA925" s="19" t="str">
        <f t="shared" si="158"/>
        <v/>
      </c>
      <c r="AD925" s="26" t="str">
        <f>IF(AND('Supplier selection'!X925="",'Supplier selection'!AE925=""),"",IF('Supplier selection'!X925="",'Supplier selection'!AE925,'Supplier selection'!X925))</f>
        <v/>
      </c>
      <c r="AE925" s="19" t="str">
        <f t="shared" si="159"/>
        <v/>
      </c>
      <c r="AF925" s="19" t="str">
        <f t="shared" si="160"/>
        <v/>
      </c>
      <c r="AG925" s="27" t="str">
        <f>IF(AND('Supplier selection'!AB925="",'Supplier selection'!AI925=""),"",IF('Supplier selection'!AB925="",'Supplier selection'!AI925,'Supplier selection'!AB925))</f>
        <v/>
      </c>
      <c r="AH925" s="28" t="str">
        <f t="shared" si="161"/>
        <v/>
      </c>
      <c r="AI925" s="7" t="str">
        <f t="shared" si="162"/>
        <v/>
      </c>
      <c r="AJ925" s="22" t="str">
        <f t="shared" si="163"/>
        <v/>
      </c>
      <c r="AK925" s="29" t="str">
        <f t="shared" si="164"/>
        <v/>
      </c>
      <c r="AL925" s="10"/>
    </row>
    <row r="926" spans="1:38">
      <c r="A926" s="19">
        <f>IF('Supplier selection'!A926="","",'Supplier selection'!A926)</f>
        <v>922</v>
      </c>
      <c r="B926" s="19" t="str">
        <f>IF('Supplier selection'!B926="","",'Supplier selection'!B926)</f>
        <v/>
      </c>
      <c r="C926" s="19" t="str">
        <f>IF('Supplier selection'!C926="","",'Supplier selection'!C926)</f>
        <v/>
      </c>
      <c r="D926" s="19" t="str">
        <f>IF('Supplier selection'!D926="","",'Supplier selection'!D926)</f>
        <v/>
      </c>
      <c r="E926" s="19" t="str">
        <f>IF('Supplier selection'!E926="","",'Supplier selection'!E926)</f>
        <v/>
      </c>
      <c r="F926" s="19" t="str">
        <f>IF('Supplier selection'!F926="","",'Supplier selection'!F926)</f>
        <v/>
      </c>
      <c r="G926" s="19" t="str">
        <f>IF('Supplier selection'!G926="","",'Supplier selection'!G926)</f>
        <v/>
      </c>
      <c r="H926" s="19" t="str">
        <f>IF('Supplier selection'!H926="","",'Supplier selection'!H926)</f>
        <v/>
      </c>
      <c r="I926" s="19" t="str">
        <f>IF('Supplier selection'!I926="","",'Supplier selection'!I926)</f>
        <v/>
      </c>
      <c r="J926" s="19" t="str">
        <f>IF('Supplier selection'!J926="","",'Supplier selection'!J926)</f>
        <v/>
      </c>
      <c r="K926" s="19" t="str">
        <f>IF('Supplier selection'!K926="","",'Supplier selection'!K926)</f>
        <v/>
      </c>
      <c r="L926" s="19" t="str">
        <f>IF('Supplier selection'!L926="","",'Supplier selection'!L926)</f>
        <v/>
      </c>
      <c r="M926" s="19" t="str">
        <f>IF('Supplier selection'!M926="","",'Supplier selection'!M926)</f>
        <v/>
      </c>
      <c r="N926" s="19" t="str">
        <f>IF('Supplier selection'!N926="","",'Supplier selection'!N926)</f>
        <v/>
      </c>
      <c r="O926" s="19" t="str">
        <f>IF('Supplier selection'!O926="","",'Supplier selection'!O926)</f>
        <v/>
      </c>
      <c r="Q926" s="19" t="str">
        <f>HLOOKUP($Q$3,'Supplier selection'!$AW$4:'Supplier selection'!$CT$1000,$A927,FALSE)</f>
        <v/>
      </c>
      <c r="R926" s="22" t="str">
        <f t="shared" si="154"/>
        <v/>
      </c>
      <c r="S926" s="19" t="str">
        <f t="shared" si="155"/>
        <v/>
      </c>
      <c r="T926" s="22" t="str">
        <f t="shared" si="156"/>
        <v/>
      </c>
      <c r="U926" s="19" t="str">
        <f t="shared" si="157"/>
        <v/>
      </c>
      <c r="V926" s="7"/>
      <c r="Y926" s="19" t="str">
        <f>IF('Supplier selection'!AQ926="","",'Supplier selection'!AQ926)</f>
        <v/>
      </c>
      <c r="Z926" s="19" t="str">
        <f>IF('Supplier selection'!AR926="","",'Supplier selection'!AR926)</f>
        <v/>
      </c>
      <c r="AA926" s="19" t="str">
        <f t="shared" si="158"/>
        <v/>
      </c>
      <c r="AD926" s="26" t="str">
        <f>IF(AND('Supplier selection'!X926="",'Supplier selection'!AE926=""),"",IF('Supplier selection'!X926="",'Supplier selection'!AE926,'Supplier selection'!X926))</f>
        <v/>
      </c>
      <c r="AE926" s="19" t="str">
        <f t="shared" si="159"/>
        <v/>
      </c>
      <c r="AF926" s="19" t="str">
        <f t="shared" si="160"/>
        <v/>
      </c>
      <c r="AG926" s="27" t="str">
        <f>IF(AND('Supplier selection'!AB926="",'Supplier selection'!AI926=""),"",IF('Supplier selection'!AB926="",'Supplier selection'!AI926,'Supplier selection'!AB926))</f>
        <v/>
      </c>
      <c r="AH926" s="28" t="str">
        <f t="shared" si="161"/>
        <v/>
      </c>
      <c r="AI926" s="7" t="str">
        <f t="shared" si="162"/>
        <v/>
      </c>
      <c r="AJ926" s="22" t="str">
        <f t="shared" si="163"/>
        <v/>
      </c>
      <c r="AK926" s="29" t="str">
        <f t="shared" si="164"/>
        <v/>
      </c>
      <c r="AL926" s="10"/>
    </row>
    <row r="927" spans="1:38">
      <c r="A927" s="19">
        <f>IF('Supplier selection'!A927="","",'Supplier selection'!A927)</f>
        <v>923</v>
      </c>
      <c r="B927" s="19" t="str">
        <f>IF('Supplier selection'!B927="","",'Supplier selection'!B927)</f>
        <v/>
      </c>
      <c r="C927" s="19" t="str">
        <f>IF('Supplier selection'!C927="","",'Supplier selection'!C927)</f>
        <v/>
      </c>
      <c r="D927" s="19" t="str">
        <f>IF('Supplier selection'!D927="","",'Supplier selection'!D927)</f>
        <v/>
      </c>
      <c r="E927" s="19" t="str">
        <f>IF('Supplier selection'!E927="","",'Supplier selection'!E927)</f>
        <v/>
      </c>
      <c r="F927" s="19" t="str">
        <f>IF('Supplier selection'!F927="","",'Supplier selection'!F927)</f>
        <v/>
      </c>
      <c r="G927" s="19" t="str">
        <f>IF('Supplier selection'!G927="","",'Supplier selection'!G927)</f>
        <v/>
      </c>
      <c r="H927" s="19" t="str">
        <f>IF('Supplier selection'!H927="","",'Supplier selection'!H927)</f>
        <v/>
      </c>
      <c r="I927" s="19" t="str">
        <f>IF('Supplier selection'!I927="","",'Supplier selection'!I927)</f>
        <v/>
      </c>
      <c r="J927" s="19" t="str">
        <f>IF('Supplier selection'!J927="","",'Supplier selection'!J927)</f>
        <v/>
      </c>
      <c r="K927" s="19" t="str">
        <f>IF('Supplier selection'!K927="","",'Supplier selection'!K927)</f>
        <v/>
      </c>
      <c r="L927" s="19" t="str">
        <f>IF('Supplier selection'!L927="","",'Supplier selection'!L927)</f>
        <v/>
      </c>
      <c r="M927" s="19" t="str">
        <f>IF('Supplier selection'!M927="","",'Supplier selection'!M927)</f>
        <v/>
      </c>
      <c r="N927" s="19" t="str">
        <f>IF('Supplier selection'!N927="","",'Supplier selection'!N927)</f>
        <v/>
      </c>
      <c r="O927" s="19" t="str">
        <f>IF('Supplier selection'!O927="","",'Supplier selection'!O927)</f>
        <v/>
      </c>
      <c r="Q927" s="19" t="str">
        <f>HLOOKUP($Q$3,'Supplier selection'!$AW$4:'Supplier selection'!$CT$1000,$A928,FALSE)</f>
        <v/>
      </c>
      <c r="R927" s="22" t="str">
        <f t="shared" si="154"/>
        <v/>
      </c>
      <c r="S927" s="19" t="str">
        <f t="shared" si="155"/>
        <v/>
      </c>
      <c r="T927" s="22" t="str">
        <f t="shared" si="156"/>
        <v/>
      </c>
      <c r="U927" s="19" t="str">
        <f t="shared" si="157"/>
        <v/>
      </c>
      <c r="V927" s="7"/>
      <c r="Y927" s="19" t="str">
        <f>IF('Supplier selection'!AQ927="","",'Supplier selection'!AQ927)</f>
        <v/>
      </c>
      <c r="Z927" s="19" t="str">
        <f>IF('Supplier selection'!AR927="","",'Supplier selection'!AR927)</f>
        <v/>
      </c>
      <c r="AA927" s="19" t="str">
        <f t="shared" si="158"/>
        <v/>
      </c>
      <c r="AD927" s="26" t="str">
        <f>IF(AND('Supplier selection'!X927="",'Supplier selection'!AE927=""),"",IF('Supplier selection'!X927="",'Supplier selection'!AE927,'Supplier selection'!X927))</f>
        <v/>
      </c>
      <c r="AE927" s="19" t="str">
        <f t="shared" si="159"/>
        <v/>
      </c>
      <c r="AF927" s="19" t="str">
        <f t="shared" si="160"/>
        <v/>
      </c>
      <c r="AG927" s="27" t="str">
        <f>IF(AND('Supplier selection'!AB927="",'Supplier selection'!AI927=""),"",IF('Supplier selection'!AB927="",'Supplier selection'!AI927,'Supplier selection'!AB927))</f>
        <v/>
      </c>
      <c r="AH927" s="28" t="str">
        <f t="shared" si="161"/>
        <v/>
      </c>
      <c r="AI927" s="7" t="str">
        <f t="shared" si="162"/>
        <v/>
      </c>
      <c r="AJ927" s="22" t="str">
        <f t="shared" si="163"/>
        <v/>
      </c>
      <c r="AK927" s="29" t="str">
        <f t="shared" si="164"/>
        <v/>
      </c>
      <c r="AL927" s="10"/>
    </row>
    <row r="928" spans="1:38">
      <c r="A928" s="19">
        <f>IF('Supplier selection'!A928="","",'Supplier selection'!A928)</f>
        <v>924</v>
      </c>
      <c r="B928" s="19" t="str">
        <f>IF('Supplier selection'!B928="","",'Supplier selection'!B928)</f>
        <v/>
      </c>
      <c r="C928" s="19" t="str">
        <f>IF('Supplier selection'!C928="","",'Supplier selection'!C928)</f>
        <v/>
      </c>
      <c r="D928" s="19" t="str">
        <f>IF('Supplier selection'!D928="","",'Supplier selection'!D928)</f>
        <v/>
      </c>
      <c r="E928" s="19" t="str">
        <f>IF('Supplier selection'!E928="","",'Supplier selection'!E928)</f>
        <v/>
      </c>
      <c r="F928" s="19" t="str">
        <f>IF('Supplier selection'!F928="","",'Supplier selection'!F928)</f>
        <v/>
      </c>
      <c r="G928" s="19" t="str">
        <f>IF('Supplier selection'!G928="","",'Supplier selection'!G928)</f>
        <v/>
      </c>
      <c r="H928" s="19" t="str">
        <f>IF('Supplier selection'!H928="","",'Supplier selection'!H928)</f>
        <v/>
      </c>
      <c r="I928" s="19" t="str">
        <f>IF('Supplier selection'!I928="","",'Supplier selection'!I928)</f>
        <v/>
      </c>
      <c r="J928" s="19" t="str">
        <f>IF('Supplier selection'!J928="","",'Supplier selection'!J928)</f>
        <v/>
      </c>
      <c r="K928" s="19" t="str">
        <f>IF('Supplier selection'!K928="","",'Supplier selection'!K928)</f>
        <v/>
      </c>
      <c r="L928" s="19" t="str">
        <f>IF('Supplier selection'!L928="","",'Supplier selection'!L928)</f>
        <v/>
      </c>
      <c r="M928" s="19" t="str">
        <f>IF('Supplier selection'!M928="","",'Supplier selection'!M928)</f>
        <v/>
      </c>
      <c r="N928" s="19" t="str">
        <f>IF('Supplier selection'!N928="","",'Supplier selection'!N928)</f>
        <v/>
      </c>
      <c r="O928" s="19" t="str">
        <f>IF('Supplier selection'!O928="","",'Supplier selection'!O928)</f>
        <v/>
      </c>
      <c r="Q928" s="19" t="str">
        <f>HLOOKUP($Q$3,'Supplier selection'!$AW$4:'Supplier selection'!$CT$1000,$A929,FALSE)</f>
        <v/>
      </c>
      <c r="R928" s="22" t="str">
        <f t="shared" si="154"/>
        <v/>
      </c>
      <c r="S928" s="19" t="str">
        <f t="shared" si="155"/>
        <v/>
      </c>
      <c r="T928" s="22" t="str">
        <f t="shared" si="156"/>
        <v/>
      </c>
      <c r="U928" s="19" t="str">
        <f t="shared" si="157"/>
        <v/>
      </c>
      <c r="V928" s="7"/>
      <c r="Y928" s="19" t="str">
        <f>IF('Supplier selection'!AQ928="","",'Supplier selection'!AQ928)</f>
        <v/>
      </c>
      <c r="Z928" s="19" t="str">
        <f>IF('Supplier selection'!AR928="","",'Supplier selection'!AR928)</f>
        <v/>
      </c>
      <c r="AA928" s="19" t="str">
        <f t="shared" si="158"/>
        <v/>
      </c>
      <c r="AD928" s="26" t="str">
        <f>IF(AND('Supplier selection'!X928="",'Supplier selection'!AE928=""),"",IF('Supplier selection'!X928="",'Supplier selection'!AE928,'Supplier selection'!X928))</f>
        <v/>
      </c>
      <c r="AE928" s="19" t="str">
        <f t="shared" si="159"/>
        <v/>
      </c>
      <c r="AF928" s="19" t="str">
        <f t="shared" si="160"/>
        <v/>
      </c>
      <c r="AG928" s="27" t="str">
        <f>IF(AND('Supplier selection'!AB928="",'Supplier selection'!AI928=""),"",IF('Supplier selection'!AB928="",'Supplier selection'!AI928,'Supplier selection'!AB928))</f>
        <v/>
      </c>
      <c r="AH928" s="28" t="str">
        <f t="shared" si="161"/>
        <v/>
      </c>
      <c r="AI928" s="7" t="str">
        <f t="shared" si="162"/>
        <v/>
      </c>
      <c r="AJ928" s="22" t="str">
        <f t="shared" si="163"/>
        <v/>
      </c>
      <c r="AK928" s="29" t="str">
        <f t="shared" si="164"/>
        <v/>
      </c>
      <c r="AL928" s="10"/>
    </row>
    <row r="929" spans="1:38">
      <c r="A929" s="19">
        <f>IF('Supplier selection'!A929="","",'Supplier selection'!A929)</f>
        <v>925</v>
      </c>
      <c r="B929" s="19" t="str">
        <f>IF('Supplier selection'!B929="","",'Supplier selection'!B929)</f>
        <v/>
      </c>
      <c r="C929" s="19" t="str">
        <f>IF('Supplier selection'!C929="","",'Supplier selection'!C929)</f>
        <v/>
      </c>
      <c r="D929" s="19" t="str">
        <f>IF('Supplier selection'!D929="","",'Supplier selection'!D929)</f>
        <v/>
      </c>
      <c r="E929" s="19" t="str">
        <f>IF('Supplier selection'!E929="","",'Supplier selection'!E929)</f>
        <v/>
      </c>
      <c r="F929" s="19" t="str">
        <f>IF('Supplier selection'!F929="","",'Supplier selection'!F929)</f>
        <v/>
      </c>
      <c r="G929" s="19" t="str">
        <f>IF('Supplier selection'!G929="","",'Supplier selection'!G929)</f>
        <v/>
      </c>
      <c r="H929" s="19" t="str">
        <f>IF('Supplier selection'!H929="","",'Supplier selection'!H929)</f>
        <v/>
      </c>
      <c r="I929" s="19" t="str">
        <f>IF('Supplier selection'!I929="","",'Supplier selection'!I929)</f>
        <v/>
      </c>
      <c r="J929" s="19" t="str">
        <f>IF('Supplier selection'!J929="","",'Supplier selection'!J929)</f>
        <v/>
      </c>
      <c r="K929" s="19" t="str">
        <f>IF('Supplier selection'!K929="","",'Supplier selection'!K929)</f>
        <v/>
      </c>
      <c r="L929" s="19" t="str">
        <f>IF('Supplier selection'!L929="","",'Supplier selection'!L929)</f>
        <v/>
      </c>
      <c r="M929" s="19" t="str">
        <f>IF('Supplier selection'!M929="","",'Supplier selection'!M929)</f>
        <v/>
      </c>
      <c r="N929" s="19" t="str">
        <f>IF('Supplier selection'!N929="","",'Supplier selection'!N929)</f>
        <v/>
      </c>
      <c r="O929" s="19" t="str">
        <f>IF('Supplier selection'!O929="","",'Supplier selection'!O929)</f>
        <v/>
      </c>
      <c r="Q929" s="19" t="str">
        <f>HLOOKUP($Q$3,'Supplier selection'!$AW$4:'Supplier selection'!$CT$1000,$A930,FALSE)</f>
        <v/>
      </c>
      <c r="R929" s="22" t="str">
        <f t="shared" si="154"/>
        <v/>
      </c>
      <c r="S929" s="19" t="str">
        <f t="shared" si="155"/>
        <v/>
      </c>
      <c r="T929" s="22" t="str">
        <f t="shared" si="156"/>
        <v/>
      </c>
      <c r="U929" s="19" t="str">
        <f t="shared" si="157"/>
        <v/>
      </c>
      <c r="V929" s="7"/>
      <c r="Y929" s="19" t="str">
        <f>IF('Supplier selection'!AQ929="","",'Supplier selection'!AQ929)</f>
        <v/>
      </c>
      <c r="Z929" s="19" t="str">
        <f>IF('Supplier selection'!AR929="","",'Supplier selection'!AR929)</f>
        <v/>
      </c>
      <c r="AA929" s="19" t="str">
        <f t="shared" si="158"/>
        <v/>
      </c>
      <c r="AD929" s="26" t="str">
        <f>IF(AND('Supplier selection'!X929="",'Supplier selection'!AE929=""),"",IF('Supplier selection'!X929="",'Supplier selection'!AE929,'Supplier selection'!X929))</f>
        <v/>
      </c>
      <c r="AE929" s="19" t="str">
        <f t="shared" si="159"/>
        <v/>
      </c>
      <c r="AF929" s="19" t="str">
        <f t="shared" si="160"/>
        <v/>
      </c>
      <c r="AG929" s="27" t="str">
        <f>IF(AND('Supplier selection'!AB929="",'Supplier selection'!AI929=""),"",IF('Supplier selection'!AB929="",'Supplier selection'!AI929,'Supplier selection'!AB929))</f>
        <v/>
      </c>
      <c r="AH929" s="28" t="str">
        <f t="shared" si="161"/>
        <v/>
      </c>
      <c r="AI929" s="7" t="str">
        <f t="shared" si="162"/>
        <v/>
      </c>
      <c r="AJ929" s="22" t="str">
        <f t="shared" si="163"/>
        <v/>
      </c>
      <c r="AK929" s="29" t="str">
        <f t="shared" si="164"/>
        <v/>
      </c>
      <c r="AL929" s="10"/>
    </row>
    <row r="930" spans="1:38">
      <c r="A930" s="19">
        <f>IF('Supplier selection'!A930="","",'Supplier selection'!A930)</f>
        <v>926</v>
      </c>
      <c r="B930" s="19" t="str">
        <f>IF('Supplier selection'!B930="","",'Supplier selection'!B930)</f>
        <v/>
      </c>
      <c r="C930" s="19" t="str">
        <f>IF('Supplier selection'!C930="","",'Supplier selection'!C930)</f>
        <v/>
      </c>
      <c r="D930" s="19" t="str">
        <f>IF('Supplier selection'!D930="","",'Supplier selection'!D930)</f>
        <v/>
      </c>
      <c r="E930" s="19" t="str">
        <f>IF('Supplier selection'!E930="","",'Supplier selection'!E930)</f>
        <v/>
      </c>
      <c r="F930" s="19" t="str">
        <f>IF('Supplier selection'!F930="","",'Supplier selection'!F930)</f>
        <v/>
      </c>
      <c r="G930" s="19" t="str">
        <f>IF('Supplier selection'!G930="","",'Supplier selection'!G930)</f>
        <v/>
      </c>
      <c r="H930" s="19" t="str">
        <f>IF('Supplier selection'!H930="","",'Supplier selection'!H930)</f>
        <v/>
      </c>
      <c r="I930" s="19" t="str">
        <f>IF('Supplier selection'!I930="","",'Supplier selection'!I930)</f>
        <v/>
      </c>
      <c r="J930" s="19" t="str">
        <f>IF('Supplier selection'!J930="","",'Supplier selection'!J930)</f>
        <v/>
      </c>
      <c r="K930" s="19" t="str">
        <f>IF('Supplier selection'!K930="","",'Supplier selection'!K930)</f>
        <v/>
      </c>
      <c r="L930" s="19" t="str">
        <f>IF('Supplier selection'!L930="","",'Supplier selection'!L930)</f>
        <v/>
      </c>
      <c r="M930" s="19" t="str">
        <f>IF('Supplier selection'!M930="","",'Supplier selection'!M930)</f>
        <v/>
      </c>
      <c r="N930" s="19" t="str">
        <f>IF('Supplier selection'!N930="","",'Supplier selection'!N930)</f>
        <v/>
      </c>
      <c r="O930" s="19" t="str">
        <f>IF('Supplier selection'!O930="","",'Supplier selection'!O930)</f>
        <v/>
      </c>
      <c r="Q930" s="19" t="str">
        <f>HLOOKUP($Q$3,'Supplier selection'!$AW$4:'Supplier selection'!$CT$1000,$A931,FALSE)</f>
        <v/>
      </c>
      <c r="R930" s="22" t="str">
        <f t="shared" si="154"/>
        <v/>
      </c>
      <c r="S930" s="19" t="str">
        <f t="shared" si="155"/>
        <v/>
      </c>
      <c r="T930" s="22" t="str">
        <f t="shared" si="156"/>
        <v/>
      </c>
      <c r="U930" s="19" t="str">
        <f t="shared" si="157"/>
        <v/>
      </c>
      <c r="V930" s="7"/>
      <c r="Y930" s="19" t="str">
        <f>IF('Supplier selection'!AQ930="","",'Supplier selection'!AQ930)</f>
        <v/>
      </c>
      <c r="Z930" s="19" t="str">
        <f>IF('Supplier selection'!AR930="","",'Supplier selection'!AR930)</f>
        <v/>
      </c>
      <c r="AA930" s="19" t="str">
        <f t="shared" si="158"/>
        <v/>
      </c>
      <c r="AD930" s="26" t="str">
        <f>IF(AND('Supplier selection'!X930="",'Supplier selection'!AE930=""),"",IF('Supplier selection'!X930="",'Supplier selection'!AE930,'Supplier selection'!X930))</f>
        <v/>
      </c>
      <c r="AE930" s="19" t="str">
        <f t="shared" si="159"/>
        <v/>
      </c>
      <c r="AF930" s="19" t="str">
        <f t="shared" si="160"/>
        <v/>
      </c>
      <c r="AG930" s="27" t="str">
        <f>IF(AND('Supplier selection'!AB930="",'Supplier selection'!AI930=""),"",IF('Supplier selection'!AB930="",'Supplier selection'!AI930,'Supplier selection'!AB930))</f>
        <v/>
      </c>
      <c r="AH930" s="28" t="str">
        <f t="shared" si="161"/>
        <v/>
      </c>
      <c r="AI930" s="7" t="str">
        <f t="shared" si="162"/>
        <v/>
      </c>
      <c r="AJ930" s="22" t="str">
        <f t="shared" si="163"/>
        <v/>
      </c>
      <c r="AK930" s="29" t="str">
        <f t="shared" si="164"/>
        <v/>
      </c>
      <c r="AL930" s="10"/>
    </row>
    <row r="931" spans="1:38">
      <c r="A931" s="19">
        <f>IF('Supplier selection'!A931="","",'Supplier selection'!A931)</f>
        <v>927</v>
      </c>
      <c r="B931" s="19" t="str">
        <f>IF('Supplier selection'!B931="","",'Supplier selection'!B931)</f>
        <v/>
      </c>
      <c r="C931" s="19" t="str">
        <f>IF('Supplier selection'!C931="","",'Supplier selection'!C931)</f>
        <v/>
      </c>
      <c r="D931" s="19" t="str">
        <f>IF('Supplier selection'!D931="","",'Supplier selection'!D931)</f>
        <v/>
      </c>
      <c r="E931" s="19" t="str">
        <f>IF('Supplier selection'!E931="","",'Supplier selection'!E931)</f>
        <v/>
      </c>
      <c r="F931" s="19" t="str">
        <f>IF('Supplier selection'!F931="","",'Supplier selection'!F931)</f>
        <v/>
      </c>
      <c r="G931" s="19" t="str">
        <f>IF('Supplier selection'!G931="","",'Supplier selection'!G931)</f>
        <v/>
      </c>
      <c r="H931" s="19" t="str">
        <f>IF('Supplier selection'!H931="","",'Supplier selection'!H931)</f>
        <v/>
      </c>
      <c r="I931" s="19" t="str">
        <f>IF('Supplier selection'!I931="","",'Supplier selection'!I931)</f>
        <v/>
      </c>
      <c r="J931" s="19" t="str">
        <f>IF('Supplier selection'!J931="","",'Supplier selection'!J931)</f>
        <v/>
      </c>
      <c r="K931" s="19" t="str">
        <f>IF('Supplier selection'!K931="","",'Supplier selection'!K931)</f>
        <v/>
      </c>
      <c r="L931" s="19" t="str">
        <f>IF('Supplier selection'!L931="","",'Supplier selection'!L931)</f>
        <v/>
      </c>
      <c r="M931" s="19" t="str">
        <f>IF('Supplier selection'!M931="","",'Supplier selection'!M931)</f>
        <v/>
      </c>
      <c r="N931" s="19" t="str">
        <f>IF('Supplier selection'!N931="","",'Supplier selection'!N931)</f>
        <v/>
      </c>
      <c r="O931" s="19" t="str">
        <f>IF('Supplier selection'!O931="","",'Supplier selection'!O931)</f>
        <v/>
      </c>
      <c r="Q931" s="19" t="str">
        <f>HLOOKUP($Q$3,'Supplier selection'!$AW$4:'Supplier selection'!$CT$1000,$A932,FALSE)</f>
        <v/>
      </c>
      <c r="R931" s="22" t="str">
        <f t="shared" si="154"/>
        <v/>
      </c>
      <c r="S931" s="19" t="str">
        <f t="shared" si="155"/>
        <v/>
      </c>
      <c r="T931" s="22" t="str">
        <f t="shared" si="156"/>
        <v/>
      </c>
      <c r="U931" s="19" t="str">
        <f t="shared" si="157"/>
        <v/>
      </c>
      <c r="V931" s="7"/>
      <c r="Y931" s="19" t="str">
        <f>IF('Supplier selection'!AQ931="","",'Supplier selection'!AQ931)</f>
        <v/>
      </c>
      <c r="Z931" s="19" t="str">
        <f>IF('Supplier selection'!AR931="","",'Supplier selection'!AR931)</f>
        <v/>
      </c>
      <c r="AA931" s="19" t="str">
        <f t="shared" si="158"/>
        <v/>
      </c>
      <c r="AD931" s="26" t="str">
        <f>IF(AND('Supplier selection'!X931="",'Supplier selection'!AE931=""),"",IF('Supplier selection'!X931="",'Supplier selection'!AE931,'Supplier selection'!X931))</f>
        <v/>
      </c>
      <c r="AE931" s="19" t="str">
        <f t="shared" si="159"/>
        <v/>
      </c>
      <c r="AF931" s="19" t="str">
        <f t="shared" si="160"/>
        <v/>
      </c>
      <c r="AG931" s="27" t="str">
        <f>IF(AND('Supplier selection'!AB931="",'Supplier selection'!AI931=""),"",IF('Supplier selection'!AB931="",'Supplier selection'!AI931,'Supplier selection'!AB931))</f>
        <v/>
      </c>
      <c r="AH931" s="28" t="str">
        <f t="shared" si="161"/>
        <v/>
      </c>
      <c r="AI931" s="7" t="str">
        <f t="shared" si="162"/>
        <v/>
      </c>
      <c r="AJ931" s="22" t="str">
        <f t="shared" si="163"/>
        <v/>
      </c>
      <c r="AK931" s="29" t="str">
        <f t="shared" si="164"/>
        <v/>
      </c>
      <c r="AL931" s="10"/>
    </row>
    <row r="932" spans="1:38">
      <c r="A932" s="19">
        <f>IF('Supplier selection'!A932="","",'Supplier selection'!A932)</f>
        <v>928</v>
      </c>
      <c r="B932" s="19" t="str">
        <f>IF('Supplier selection'!B932="","",'Supplier selection'!B932)</f>
        <v/>
      </c>
      <c r="C932" s="19" t="str">
        <f>IF('Supplier selection'!C932="","",'Supplier selection'!C932)</f>
        <v/>
      </c>
      <c r="D932" s="19" t="str">
        <f>IF('Supplier selection'!D932="","",'Supplier selection'!D932)</f>
        <v/>
      </c>
      <c r="E932" s="19" t="str">
        <f>IF('Supplier selection'!E932="","",'Supplier selection'!E932)</f>
        <v/>
      </c>
      <c r="F932" s="19" t="str">
        <f>IF('Supplier selection'!F932="","",'Supplier selection'!F932)</f>
        <v/>
      </c>
      <c r="G932" s="19" t="str">
        <f>IF('Supplier selection'!G932="","",'Supplier selection'!G932)</f>
        <v/>
      </c>
      <c r="H932" s="19" t="str">
        <f>IF('Supplier selection'!H932="","",'Supplier selection'!H932)</f>
        <v/>
      </c>
      <c r="I932" s="19" t="str">
        <f>IF('Supplier selection'!I932="","",'Supplier selection'!I932)</f>
        <v/>
      </c>
      <c r="J932" s="19" t="str">
        <f>IF('Supplier selection'!J932="","",'Supplier selection'!J932)</f>
        <v/>
      </c>
      <c r="K932" s="19" t="str">
        <f>IF('Supplier selection'!K932="","",'Supplier selection'!K932)</f>
        <v/>
      </c>
      <c r="L932" s="19" t="str">
        <f>IF('Supplier selection'!L932="","",'Supplier selection'!L932)</f>
        <v/>
      </c>
      <c r="M932" s="19" t="str">
        <f>IF('Supplier selection'!M932="","",'Supplier selection'!M932)</f>
        <v/>
      </c>
      <c r="N932" s="19" t="str">
        <f>IF('Supplier selection'!N932="","",'Supplier selection'!N932)</f>
        <v/>
      </c>
      <c r="O932" s="19" t="str">
        <f>IF('Supplier selection'!O932="","",'Supplier selection'!O932)</f>
        <v/>
      </c>
      <c r="Q932" s="19" t="str">
        <f>HLOOKUP($Q$3,'Supplier selection'!$AW$4:'Supplier selection'!$CT$1000,$A933,FALSE)</f>
        <v/>
      </c>
      <c r="R932" s="22" t="str">
        <f t="shared" si="154"/>
        <v/>
      </c>
      <c r="S932" s="19" t="str">
        <f t="shared" si="155"/>
        <v/>
      </c>
      <c r="T932" s="22" t="str">
        <f t="shared" si="156"/>
        <v/>
      </c>
      <c r="U932" s="19" t="str">
        <f t="shared" si="157"/>
        <v/>
      </c>
      <c r="V932" s="7"/>
      <c r="Y932" s="19" t="str">
        <f>IF('Supplier selection'!AQ932="","",'Supplier selection'!AQ932)</f>
        <v/>
      </c>
      <c r="Z932" s="19" t="str">
        <f>IF('Supplier selection'!AR932="","",'Supplier selection'!AR932)</f>
        <v/>
      </c>
      <c r="AA932" s="19" t="str">
        <f t="shared" si="158"/>
        <v/>
      </c>
      <c r="AD932" s="26" t="str">
        <f>IF(AND('Supplier selection'!X932="",'Supplier selection'!AE932=""),"",IF('Supplier selection'!X932="",'Supplier selection'!AE932,'Supplier selection'!X932))</f>
        <v/>
      </c>
      <c r="AE932" s="19" t="str">
        <f t="shared" si="159"/>
        <v/>
      </c>
      <c r="AF932" s="19" t="str">
        <f t="shared" si="160"/>
        <v/>
      </c>
      <c r="AG932" s="27" t="str">
        <f>IF(AND('Supplier selection'!AB932="",'Supplier selection'!AI932=""),"",IF('Supplier selection'!AB932="",'Supplier selection'!AI932,'Supplier selection'!AB932))</f>
        <v/>
      </c>
      <c r="AH932" s="28" t="str">
        <f t="shared" si="161"/>
        <v/>
      </c>
      <c r="AI932" s="7" t="str">
        <f t="shared" si="162"/>
        <v/>
      </c>
      <c r="AJ932" s="22" t="str">
        <f t="shared" si="163"/>
        <v/>
      </c>
      <c r="AK932" s="29" t="str">
        <f t="shared" si="164"/>
        <v/>
      </c>
      <c r="AL932" s="10"/>
    </row>
    <row r="933" spans="1:38">
      <c r="A933" s="19">
        <f>IF('Supplier selection'!A933="","",'Supplier selection'!A933)</f>
        <v>929</v>
      </c>
      <c r="B933" s="19" t="str">
        <f>IF('Supplier selection'!B933="","",'Supplier selection'!B933)</f>
        <v/>
      </c>
      <c r="C933" s="19" t="str">
        <f>IF('Supplier selection'!C933="","",'Supplier selection'!C933)</f>
        <v/>
      </c>
      <c r="D933" s="19" t="str">
        <f>IF('Supplier selection'!D933="","",'Supplier selection'!D933)</f>
        <v/>
      </c>
      <c r="E933" s="19" t="str">
        <f>IF('Supplier selection'!E933="","",'Supplier selection'!E933)</f>
        <v/>
      </c>
      <c r="F933" s="19" t="str">
        <f>IF('Supplier selection'!F933="","",'Supplier selection'!F933)</f>
        <v/>
      </c>
      <c r="G933" s="19" t="str">
        <f>IF('Supplier selection'!G933="","",'Supplier selection'!G933)</f>
        <v/>
      </c>
      <c r="H933" s="19" t="str">
        <f>IF('Supplier selection'!H933="","",'Supplier selection'!H933)</f>
        <v/>
      </c>
      <c r="I933" s="19" t="str">
        <f>IF('Supplier selection'!I933="","",'Supplier selection'!I933)</f>
        <v/>
      </c>
      <c r="J933" s="19" t="str">
        <f>IF('Supplier selection'!J933="","",'Supplier selection'!J933)</f>
        <v/>
      </c>
      <c r="K933" s="19" t="str">
        <f>IF('Supplier selection'!K933="","",'Supplier selection'!K933)</f>
        <v/>
      </c>
      <c r="L933" s="19" t="str">
        <f>IF('Supplier selection'!L933="","",'Supplier selection'!L933)</f>
        <v/>
      </c>
      <c r="M933" s="19" t="str">
        <f>IF('Supplier selection'!M933="","",'Supplier selection'!M933)</f>
        <v/>
      </c>
      <c r="N933" s="19" t="str">
        <f>IF('Supplier selection'!N933="","",'Supplier selection'!N933)</f>
        <v/>
      </c>
      <c r="O933" s="19" t="str">
        <f>IF('Supplier selection'!O933="","",'Supplier selection'!O933)</f>
        <v/>
      </c>
      <c r="Q933" s="19" t="str">
        <f>HLOOKUP($Q$3,'Supplier selection'!$AW$4:'Supplier selection'!$CT$1000,$A934,FALSE)</f>
        <v/>
      </c>
      <c r="R933" s="22" t="str">
        <f t="shared" si="154"/>
        <v/>
      </c>
      <c r="S933" s="19" t="str">
        <f t="shared" si="155"/>
        <v/>
      </c>
      <c r="T933" s="22" t="str">
        <f t="shared" si="156"/>
        <v/>
      </c>
      <c r="U933" s="19" t="str">
        <f t="shared" si="157"/>
        <v/>
      </c>
      <c r="V933" s="7"/>
      <c r="Y933" s="19" t="str">
        <f>IF('Supplier selection'!AQ933="","",'Supplier selection'!AQ933)</f>
        <v/>
      </c>
      <c r="Z933" s="19" t="str">
        <f>IF('Supplier selection'!AR933="","",'Supplier selection'!AR933)</f>
        <v/>
      </c>
      <c r="AA933" s="19" t="str">
        <f t="shared" si="158"/>
        <v/>
      </c>
      <c r="AD933" s="26" t="str">
        <f>IF(AND('Supplier selection'!X933="",'Supplier selection'!AE933=""),"",IF('Supplier selection'!X933="",'Supplier selection'!AE933,'Supplier selection'!X933))</f>
        <v/>
      </c>
      <c r="AE933" s="19" t="str">
        <f t="shared" si="159"/>
        <v/>
      </c>
      <c r="AF933" s="19" t="str">
        <f t="shared" si="160"/>
        <v/>
      </c>
      <c r="AG933" s="27" t="str">
        <f>IF(AND('Supplier selection'!AB933="",'Supplier selection'!AI933=""),"",IF('Supplier selection'!AB933="",'Supplier selection'!AI933,'Supplier selection'!AB933))</f>
        <v/>
      </c>
      <c r="AH933" s="28" t="str">
        <f t="shared" si="161"/>
        <v/>
      </c>
      <c r="AI933" s="7" t="str">
        <f t="shared" si="162"/>
        <v/>
      </c>
      <c r="AJ933" s="22" t="str">
        <f t="shared" si="163"/>
        <v/>
      </c>
      <c r="AK933" s="29" t="str">
        <f t="shared" si="164"/>
        <v/>
      </c>
      <c r="AL933" s="10"/>
    </row>
    <row r="934" spans="1:38">
      <c r="A934" s="19">
        <f>IF('Supplier selection'!A934="","",'Supplier selection'!A934)</f>
        <v>930</v>
      </c>
      <c r="B934" s="19" t="str">
        <f>IF('Supplier selection'!B934="","",'Supplier selection'!B934)</f>
        <v/>
      </c>
      <c r="C934" s="19" t="str">
        <f>IF('Supplier selection'!C934="","",'Supplier selection'!C934)</f>
        <v/>
      </c>
      <c r="D934" s="19" t="str">
        <f>IF('Supplier selection'!D934="","",'Supplier selection'!D934)</f>
        <v/>
      </c>
      <c r="E934" s="19" t="str">
        <f>IF('Supplier selection'!E934="","",'Supplier selection'!E934)</f>
        <v/>
      </c>
      <c r="F934" s="19" t="str">
        <f>IF('Supplier selection'!F934="","",'Supplier selection'!F934)</f>
        <v/>
      </c>
      <c r="G934" s="19" t="str">
        <f>IF('Supplier selection'!G934="","",'Supplier selection'!G934)</f>
        <v/>
      </c>
      <c r="H934" s="19" t="str">
        <f>IF('Supplier selection'!H934="","",'Supplier selection'!H934)</f>
        <v/>
      </c>
      <c r="I934" s="19" t="str">
        <f>IF('Supplier selection'!I934="","",'Supplier selection'!I934)</f>
        <v/>
      </c>
      <c r="J934" s="19" t="str">
        <f>IF('Supplier selection'!J934="","",'Supplier selection'!J934)</f>
        <v/>
      </c>
      <c r="K934" s="19" t="str">
        <f>IF('Supplier selection'!K934="","",'Supplier selection'!K934)</f>
        <v/>
      </c>
      <c r="L934" s="19" t="str">
        <f>IF('Supplier selection'!L934="","",'Supplier selection'!L934)</f>
        <v/>
      </c>
      <c r="M934" s="19" t="str">
        <f>IF('Supplier selection'!M934="","",'Supplier selection'!M934)</f>
        <v/>
      </c>
      <c r="N934" s="19" t="str">
        <f>IF('Supplier selection'!N934="","",'Supplier selection'!N934)</f>
        <v/>
      </c>
      <c r="O934" s="19" t="str">
        <f>IF('Supplier selection'!O934="","",'Supplier selection'!O934)</f>
        <v/>
      </c>
      <c r="Q934" s="19" t="str">
        <f>HLOOKUP($Q$3,'Supplier selection'!$AW$4:'Supplier selection'!$CT$1000,$A935,FALSE)</f>
        <v/>
      </c>
      <c r="R934" s="22" t="str">
        <f t="shared" si="154"/>
        <v/>
      </c>
      <c r="S934" s="19" t="str">
        <f t="shared" si="155"/>
        <v/>
      </c>
      <c r="T934" s="22" t="str">
        <f t="shared" si="156"/>
        <v/>
      </c>
      <c r="U934" s="19" t="str">
        <f t="shared" si="157"/>
        <v/>
      </c>
      <c r="V934" s="7"/>
      <c r="Y934" s="19" t="str">
        <f>IF('Supplier selection'!AQ934="","",'Supplier selection'!AQ934)</f>
        <v/>
      </c>
      <c r="Z934" s="19" t="str">
        <f>IF('Supplier selection'!AR934="","",'Supplier selection'!AR934)</f>
        <v/>
      </c>
      <c r="AA934" s="19" t="str">
        <f t="shared" si="158"/>
        <v/>
      </c>
      <c r="AD934" s="26" t="str">
        <f>IF(AND('Supplier selection'!X934="",'Supplier selection'!AE934=""),"",IF('Supplier selection'!X934="",'Supplier selection'!AE934,'Supplier selection'!X934))</f>
        <v/>
      </c>
      <c r="AE934" s="19" t="str">
        <f t="shared" si="159"/>
        <v/>
      </c>
      <c r="AF934" s="19" t="str">
        <f t="shared" si="160"/>
        <v/>
      </c>
      <c r="AG934" s="27" t="str">
        <f>IF(AND('Supplier selection'!AB934="",'Supplier selection'!AI934=""),"",IF('Supplier selection'!AB934="",'Supplier selection'!AI934,'Supplier selection'!AB934))</f>
        <v/>
      </c>
      <c r="AH934" s="28" t="str">
        <f t="shared" si="161"/>
        <v/>
      </c>
      <c r="AI934" s="7" t="str">
        <f t="shared" si="162"/>
        <v/>
      </c>
      <c r="AJ934" s="22" t="str">
        <f t="shared" si="163"/>
        <v/>
      </c>
      <c r="AK934" s="29" t="str">
        <f t="shared" si="164"/>
        <v/>
      </c>
      <c r="AL934" s="10"/>
    </row>
    <row r="935" spans="1:38">
      <c r="A935" s="19">
        <f>IF('Supplier selection'!A935="","",'Supplier selection'!A935)</f>
        <v>931</v>
      </c>
      <c r="B935" s="19" t="str">
        <f>IF('Supplier selection'!B935="","",'Supplier selection'!B935)</f>
        <v/>
      </c>
      <c r="C935" s="19" t="str">
        <f>IF('Supplier selection'!C935="","",'Supplier selection'!C935)</f>
        <v/>
      </c>
      <c r="D935" s="19" t="str">
        <f>IF('Supplier selection'!D935="","",'Supplier selection'!D935)</f>
        <v/>
      </c>
      <c r="E935" s="19" t="str">
        <f>IF('Supplier selection'!E935="","",'Supplier selection'!E935)</f>
        <v/>
      </c>
      <c r="F935" s="19" t="str">
        <f>IF('Supplier selection'!F935="","",'Supplier selection'!F935)</f>
        <v/>
      </c>
      <c r="G935" s="19" t="str">
        <f>IF('Supplier selection'!G935="","",'Supplier selection'!G935)</f>
        <v/>
      </c>
      <c r="H935" s="19" t="str">
        <f>IF('Supplier selection'!H935="","",'Supplier selection'!H935)</f>
        <v/>
      </c>
      <c r="I935" s="19" t="str">
        <f>IF('Supplier selection'!I935="","",'Supplier selection'!I935)</f>
        <v/>
      </c>
      <c r="J935" s="19" t="str">
        <f>IF('Supplier selection'!J935="","",'Supplier selection'!J935)</f>
        <v/>
      </c>
      <c r="K935" s="19" t="str">
        <f>IF('Supplier selection'!K935="","",'Supplier selection'!K935)</f>
        <v/>
      </c>
      <c r="L935" s="19" t="str">
        <f>IF('Supplier selection'!L935="","",'Supplier selection'!L935)</f>
        <v/>
      </c>
      <c r="M935" s="19" t="str">
        <f>IF('Supplier selection'!M935="","",'Supplier selection'!M935)</f>
        <v/>
      </c>
      <c r="N935" s="19" t="str">
        <f>IF('Supplier selection'!N935="","",'Supplier selection'!N935)</f>
        <v/>
      </c>
      <c r="O935" s="19" t="str">
        <f>IF('Supplier selection'!O935="","",'Supplier selection'!O935)</f>
        <v/>
      </c>
      <c r="Q935" s="19" t="str">
        <f>HLOOKUP($Q$3,'Supplier selection'!$AW$4:'Supplier selection'!$CT$1000,$A936,FALSE)</f>
        <v/>
      </c>
      <c r="R935" s="22" t="str">
        <f t="shared" si="154"/>
        <v/>
      </c>
      <c r="S935" s="19" t="str">
        <f t="shared" si="155"/>
        <v/>
      </c>
      <c r="T935" s="22" t="str">
        <f t="shared" si="156"/>
        <v/>
      </c>
      <c r="U935" s="19" t="str">
        <f t="shared" si="157"/>
        <v/>
      </c>
      <c r="V935" s="7"/>
      <c r="Y935" s="19" t="str">
        <f>IF('Supplier selection'!AQ935="","",'Supplier selection'!AQ935)</f>
        <v/>
      </c>
      <c r="Z935" s="19" t="str">
        <f>IF('Supplier selection'!AR935="","",'Supplier selection'!AR935)</f>
        <v/>
      </c>
      <c r="AA935" s="19" t="str">
        <f t="shared" si="158"/>
        <v/>
      </c>
      <c r="AD935" s="26" t="str">
        <f>IF(AND('Supplier selection'!X935="",'Supplier selection'!AE935=""),"",IF('Supplier selection'!X935="",'Supplier selection'!AE935,'Supplier selection'!X935))</f>
        <v/>
      </c>
      <c r="AE935" s="19" t="str">
        <f t="shared" si="159"/>
        <v/>
      </c>
      <c r="AF935" s="19" t="str">
        <f t="shared" si="160"/>
        <v/>
      </c>
      <c r="AG935" s="27" t="str">
        <f>IF(AND('Supplier selection'!AB935="",'Supplier selection'!AI935=""),"",IF('Supplier selection'!AB935="",'Supplier selection'!AI935,'Supplier selection'!AB935))</f>
        <v/>
      </c>
      <c r="AH935" s="28" t="str">
        <f t="shared" si="161"/>
        <v/>
      </c>
      <c r="AI935" s="7" t="str">
        <f t="shared" si="162"/>
        <v/>
      </c>
      <c r="AJ935" s="22" t="str">
        <f t="shared" si="163"/>
        <v/>
      </c>
      <c r="AK935" s="29" t="str">
        <f t="shared" si="164"/>
        <v/>
      </c>
      <c r="AL935" s="10"/>
    </row>
    <row r="936" spans="1:38">
      <c r="A936" s="19">
        <f>IF('Supplier selection'!A936="","",'Supplier selection'!A936)</f>
        <v>932</v>
      </c>
      <c r="B936" s="19" t="str">
        <f>IF('Supplier selection'!B936="","",'Supplier selection'!B936)</f>
        <v/>
      </c>
      <c r="C936" s="19" t="str">
        <f>IF('Supplier selection'!C936="","",'Supplier selection'!C936)</f>
        <v/>
      </c>
      <c r="D936" s="19" t="str">
        <f>IF('Supplier selection'!D936="","",'Supplier selection'!D936)</f>
        <v/>
      </c>
      <c r="E936" s="19" t="str">
        <f>IF('Supplier selection'!E936="","",'Supplier selection'!E936)</f>
        <v/>
      </c>
      <c r="F936" s="19" t="str">
        <f>IF('Supplier selection'!F936="","",'Supplier selection'!F936)</f>
        <v/>
      </c>
      <c r="G936" s="19" t="str">
        <f>IF('Supplier selection'!G936="","",'Supplier selection'!G936)</f>
        <v/>
      </c>
      <c r="H936" s="19" t="str">
        <f>IF('Supplier selection'!H936="","",'Supplier selection'!H936)</f>
        <v/>
      </c>
      <c r="I936" s="19" t="str">
        <f>IF('Supplier selection'!I936="","",'Supplier selection'!I936)</f>
        <v/>
      </c>
      <c r="J936" s="19" t="str">
        <f>IF('Supplier selection'!J936="","",'Supplier selection'!J936)</f>
        <v/>
      </c>
      <c r="K936" s="19" t="str">
        <f>IF('Supplier selection'!K936="","",'Supplier selection'!K936)</f>
        <v/>
      </c>
      <c r="L936" s="19" t="str">
        <f>IF('Supplier selection'!L936="","",'Supplier selection'!L936)</f>
        <v/>
      </c>
      <c r="M936" s="19" t="str">
        <f>IF('Supplier selection'!M936="","",'Supplier selection'!M936)</f>
        <v/>
      </c>
      <c r="N936" s="19" t="str">
        <f>IF('Supplier selection'!N936="","",'Supplier selection'!N936)</f>
        <v/>
      </c>
      <c r="O936" s="19" t="str">
        <f>IF('Supplier selection'!O936="","",'Supplier selection'!O936)</f>
        <v/>
      </c>
      <c r="Q936" s="19" t="str">
        <f>HLOOKUP($Q$3,'Supplier selection'!$AW$4:'Supplier selection'!$CT$1000,$A937,FALSE)</f>
        <v/>
      </c>
      <c r="R936" s="22" t="str">
        <f t="shared" si="154"/>
        <v/>
      </c>
      <c r="S936" s="19" t="str">
        <f t="shared" si="155"/>
        <v/>
      </c>
      <c r="T936" s="22" t="str">
        <f t="shared" si="156"/>
        <v/>
      </c>
      <c r="U936" s="19" t="str">
        <f t="shared" si="157"/>
        <v/>
      </c>
      <c r="V936" s="7"/>
      <c r="Y936" s="19" t="str">
        <f>IF('Supplier selection'!AQ936="","",'Supplier selection'!AQ936)</f>
        <v/>
      </c>
      <c r="Z936" s="19" t="str">
        <f>IF('Supplier selection'!AR936="","",'Supplier selection'!AR936)</f>
        <v/>
      </c>
      <c r="AA936" s="19" t="str">
        <f t="shared" si="158"/>
        <v/>
      </c>
      <c r="AD936" s="26" t="str">
        <f>IF(AND('Supplier selection'!X936="",'Supplier selection'!AE936=""),"",IF('Supplier selection'!X936="",'Supplier selection'!AE936,'Supplier selection'!X936))</f>
        <v/>
      </c>
      <c r="AE936" s="19" t="str">
        <f t="shared" si="159"/>
        <v/>
      </c>
      <c r="AF936" s="19" t="str">
        <f t="shared" si="160"/>
        <v/>
      </c>
      <c r="AG936" s="27" t="str">
        <f>IF(AND('Supplier selection'!AB936="",'Supplier selection'!AI936=""),"",IF('Supplier selection'!AB936="",'Supplier selection'!AI936,'Supplier selection'!AB936))</f>
        <v/>
      </c>
      <c r="AH936" s="28" t="str">
        <f t="shared" si="161"/>
        <v/>
      </c>
      <c r="AI936" s="7" t="str">
        <f t="shared" si="162"/>
        <v/>
      </c>
      <c r="AJ936" s="22" t="str">
        <f t="shared" si="163"/>
        <v/>
      </c>
      <c r="AK936" s="29" t="str">
        <f t="shared" si="164"/>
        <v/>
      </c>
      <c r="AL936" s="10"/>
    </row>
    <row r="937" spans="1:38">
      <c r="A937" s="19">
        <f>IF('Supplier selection'!A937="","",'Supplier selection'!A937)</f>
        <v>933</v>
      </c>
      <c r="B937" s="19" t="str">
        <f>IF('Supplier selection'!B937="","",'Supplier selection'!B937)</f>
        <v/>
      </c>
      <c r="C937" s="19" t="str">
        <f>IF('Supplier selection'!C937="","",'Supplier selection'!C937)</f>
        <v/>
      </c>
      <c r="D937" s="19" t="str">
        <f>IF('Supplier selection'!D937="","",'Supplier selection'!D937)</f>
        <v/>
      </c>
      <c r="E937" s="19" t="str">
        <f>IF('Supplier selection'!E937="","",'Supplier selection'!E937)</f>
        <v/>
      </c>
      <c r="F937" s="19" t="str">
        <f>IF('Supplier selection'!F937="","",'Supplier selection'!F937)</f>
        <v/>
      </c>
      <c r="G937" s="19" t="str">
        <f>IF('Supplier selection'!G937="","",'Supplier selection'!G937)</f>
        <v/>
      </c>
      <c r="H937" s="19" t="str">
        <f>IF('Supplier selection'!H937="","",'Supplier selection'!H937)</f>
        <v/>
      </c>
      <c r="I937" s="19" t="str">
        <f>IF('Supplier selection'!I937="","",'Supplier selection'!I937)</f>
        <v/>
      </c>
      <c r="J937" s="19" t="str">
        <f>IF('Supplier selection'!J937="","",'Supplier selection'!J937)</f>
        <v/>
      </c>
      <c r="K937" s="19" t="str">
        <f>IF('Supplier selection'!K937="","",'Supplier selection'!K937)</f>
        <v/>
      </c>
      <c r="L937" s="19" t="str">
        <f>IF('Supplier selection'!L937="","",'Supplier selection'!L937)</f>
        <v/>
      </c>
      <c r="M937" s="19" t="str">
        <f>IF('Supplier selection'!M937="","",'Supplier selection'!M937)</f>
        <v/>
      </c>
      <c r="N937" s="19" t="str">
        <f>IF('Supplier selection'!N937="","",'Supplier selection'!N937)</f>
        <v/>
      </c>
      <c r="O937" s="19" t="str">
        <f>IF('Supplier selection'!O937="","",'Supplier selection'!O937)</f>
        <v/>
      </c>
      <c r="Q937" s="19" t="str">
        <f>HLOOKUP($Q$3,'Supplier selection'!$AW$4:'Supplier selection'!$CT$1000,$A938,FALSE)</f>
        <v/>
      </c>
      <c r="R937" s="22" t="str">
        <f t="shared" si="154"/>
        <v/>
      </c>
      <c r="S937" s="19" t="str">
        <f t="shared" si="155"/>
        <v/>
      </c>
      <c r="T937" s="22" t="str">
        <f t="shared" si="156"/>
        <v/>
      </c>
      <c r="U937" s="19" t="str">
        <f t="shared" si="157"/>
        <v/>
      </c>
      <c r="V937" s="7"/>
      <c r="Y937" s="19" t="str">
        <f>IF('Supplier selection'!AQ937="","",'Supplier selection'!AQ937)</f>
        <v/>
      </c>
      <c r="Z937" s="19" t="str">
        <f>IF('Supplier selection'!AR937="","",'Supplier selection'!AR937)</f>
        <v/>
      </c>
      <c r="AA937" s="19" t="str">
        <f t="shared" si="158"/>
        <v/>
      </c>
      <c r="AD937" s="26" t="str">
        <f>IF(AND('Supplier selection'!X937="",'Supplier selection'!AE937=""),"",IF('Supplier selection'!X937="",'Supplier selection'!AE937,'Supplier selection'!X937))</f>
        <v/>
      </c>
      <c r="AE937" s="19" t="str">
        <f t="shared" si="159"/>
        <v/>
      </c>
      <c r="AF937" s="19" t="str">
        <f t="shared" si="160"/>
        <v/>
      </c>
      <c r="AG937" s="27" t="str">
        <f>IF(AND('Supplier selection'!AB937="",'Supplier selection'!AI937=""),"",IF('Supplier selection'!AB937="",'Supplier selection'!AI937,'Supplier selection'!AB937))</f>
        <v/>
      </c>
      <c r="AH937" s="28" t="str">
        <f t="shared" si="161"/>
        <v/>
      </c>
      <c r="AI937" s="7" t="str">
        <f t="shared" si="162"/>
        <v/>
      </c>
      <c r="AJ937" s="22" t="str">
        <f t="shared" si="163"/>
        <v/>
      </c>
      <c r="AK937" s="29" t="str">
        <f t="shared" si="164"/>
        <v/>
      </c>
      <c r="AL937" s="10"/>
    </row>
    <row r="938" spans="1:38">
      <c r="A938" s="19">
        <f>IF('Supplier selection'!A938="","",'Supplier selection'!A938)</f>
        <v>934</v>
      </c>
      <c r="B938" s="19" t="str">
        <f>IF('Supplier selection'!B938="","",'Supplier selection'!B938)</f>
        <v/>
      </c>
      <c r="C938" s="19" t="str">
        <f>IF('Supplier selection'!C938="","",'Supplier selection'!C938)</f>
        <v/>
      </c>
      <c r="D938" s="19" t="str">
        <f>IF('Supplier selection'!D938="","",'Supplier selection'!D938)</f>
        <v/>
      </c>
      <c r="E938" s="19" t="str">
        <f>IF('Supplier selection'!E938="","",'Supplier selection'!E938)</f>
        <v/>
      </c>
      <c r="F938" s="19" t="str">
        <f>IF('Supplier selection'!F938="","",'Supplier selection'!F938)</f>
        <v/>
      </c>
      <c r="G938" s="19" t="str">
        <f>IF('Supplier selection'!G938="","",'Supplier selection'!G938)</f>
        <v/>
      </c>
      <c r="H938" s="19" t="str">
        <f>IF('Supplier selection'!H938="","",'Supplier selection'!H938)</f>
        <v/>
      </c>
      <c r="I938" s="19" t="str">
        <f>IF('Supplier selection'!I938="","",'Supplier selection'!I938)</f>
        <v/>
      </c>
      <c r="J938" s="19" t="str">
        <f>IF('Supplier selection'!J938="","",'Supplier selection'!J938)</f>
        <v/>
      </c>
      <c r="K938" s="19" t="str">
        <f>IF('Supplier selection'!K938="","",'Supplier selection'!K938)</f>
        <v/>
      </c>
      <c r="L938" s="19" t="str">
        <f>IF('Supplier selection'!L938="","",'Supplier selection'!L938)</f>
        <v/>
      </c>
      <c r="M938" s="19" t="str">
        <f>IF('Supplier selection'!M938="","",'Supplier selection'!M938)</f>
        <v/>
      </c>
      <c r="N938" s="19" t="str">
        <f>IF('Supplier selection'!N938="","",'Supplier selection'!N938)</f>
        <v/>
      </c>
      <c r="O938" s="19" t="str">
        <f>IF('Supplier selection'!O938="","",'Supplier selection'!O938)</f>
        <v/>
      </c>
      <c r="Q938" s="19" t="str">
        <f>HLOOKUP($Q$3,'Supplier selection'!$AW$4:'Supplier selection'!$CT$1000,$A939,FALSE)</f>
        <v/>
      </c>
      <c r="R938" s="22" t="str">
        <f t="shared" si="154"/>
        <v/>
      </c>
      <c r="S938" s="19" t="str">
        <f t="shared" si="155"/>
        <v/>
      </c>
      <c r="T938" s="22" t="str">
        <f t="shared" si="156"/>
        <v/>
      </c>
      <c r="U938" s="19" t="str">
        <f t="shared" si="157"/>
        <v/>
      </c>
      <c r="V938" s="7"/>
      <c r="Y938" s="19" t="str">
        <f>IF('Supplier selection'!AQ938="","",'Supplier selection'!AQ938)</f>
        <v/>
      </c>
      <c r="Z938" s="19" t="str">
        <f>IF('Supplier selection'!AR938="","",'Supplier selection'!AR938)</f>
        <v/>
      </c>
      <c r="AA938" s="19" t="str">
        <f t="shared" si="158"/>
        <v/>
      </c>
      <c r="AD938" s="26" t="str">
        <f>IF(AND('Supplier selection'!X938="",'Supplier selection'!AE938=""),"",IF('Supplier selection'!X938="",'Supplier selection'!AE938,'Supplier selection'!X938))</f>
        <v/>
      </c>
      <c r="AE938" s="19" t="str">
        <f t="shared" si="159"/>
        <v/>
      </c>
      <c r="AF938" s="19" t="str">
        <f t="shared" si="160"/>
        <v/>
      </c>
      <c r="AG938" s="27" t="str">
        <f>IF(AND('Supplier selection'!AB938="",'Supplier selection'!AI938=""),"",IF('Supplier selection'!AB938="",'Supplier selection'!AI938,'Supplier selection'!AB938))</f>
        <v/>
      </c>
      <c r="AH938" s="28" t="str">
        <f t="shared" si="161"/>
        <v/>
      </c>
      <c r="AI938" s="7" t="str">
        <f t="shared" si="162"/>
        <v/>
      </c>
      <c r="AJ938" s="22" t="str">
        <f t="shared" si="163"/>
        <v/>
      </c>
      <c r="AK938" s="29" t="str">
        <f t="shared" si="164"/>
        <v/>
      </c>
      <c r="AL938" s="10"/>
    </row>
    <row r="939" spans="1:38">
      <c r="A939" s="19">
        <f>IF('Supplier selection'!A939="","",'Supplier selection'!A939)</f>
        <v>935</v>
      </c>
      <c r="B939" s="19" t="str">
        <f>IF('Supplier selection'!B939="","",'Supplier selection'!B939)</f>
        <v/>
      </c>
      <c r="C939" s="19" t="str">
        <f>IF('Supplier selection'!C939="","",'Supplier selection'!C939)</f>
        <v/>
      </c>
      <c r="D939" s="19" t="str">
        <f>IF('Supplier selection'!D939="","",'Supplier selection'!D939)</f>
        <v/>
      </c>
      <c r="E939" s="19" t="str">
        <f>IF('Supplier selection'!E939="","",'Supplier selection'!E939)</f>
        <v/>
      </c>
      <c r="F939" s="19" t="str">
        <f>IF('Supplier selection'!F939="","",'Supplier selection'!F939)</f>
        <v/>
      </c>
      <c r="G939" s="19" t="str">
        <f>IF('Supplier selection'!G939="","",'Supplier selection'!G939)</f>
        <v/>
      </c>
      <c r="H939" s="19" t="str">
        <f>IF('Supplier selection'!H939="","",'Supplier selection'!H939)</f>
        <v/>
      </c>
      <c r="I939" s="19" t="str">
        <f>IF('Supplier selection'!I939="","",'Supplier selection'!I939)</f>
        <v/>
      </c>
      <c r="J939" s="19" t="str">
        <f>IF('Supplier selection'!J939="","",'Supplier selection'!J939)</f>
        <v/>
      </c>
      <c r="K939" s="19" t="str">
        <f>IF('Supplier selection'!K939="","",'Supplier selection'!K939)</f>
        <v/>
      </c>
      <c r="L939" s="19" t="str">
        <f>IF('Supplier selection'!L939="","",'Supplier selection'!L939)</f>
        <v/>
      </c>
      <c r="M939" s="19" t="str">
        <f>IF('Supplier selection'!M939="","",'Supplier selection'!M939)</f>
        <v/>
      </c>
      <c r="N939" s="19" t="str">
        <f>IF('Supplier selection'!N939="","",'Supplier selection'!N939)</f>
        <v/>
      </c>
      <c r="O939" s="19" t="str">
        <f>IF('Supplier selection'!O939="","",'Supplier selection'!O939)</f>
        <v/>
      </c>
      <c r="Q939" s="19" t="str">
        <f>HLOOKUP($Q$3,'Supplier selection'!$AW$4:'Supplier selection'!$CT$1000,$A940,FALSE)</f>
        <v/>
      </c>
      <c r="R939" s="22" t="str">
        <f t="shared" si="154"/>
        <v/>
      </c>
      <c r="S939" s="19" t="str">
        <f t="shared" si="155"/>
        <v/>
      </c>
      <c r="T939" s="22" t="str">
        <f t="shared" si="156"/>
        <v/>
      </c>
      <c r="U939" s="19" t="str">
        <f t="shared" si="157"/>
        <v/>
      </c>
      <c r="V939" s="7"/>
      <c r="Y939" s="19" t="str">
        <f>IF('Supplier selection'!AQ939="","",'Supplier selection'!AQ939)</f>
        <v/>
      </c>
      <c r="Z939" s="19" t="str">
        <f>IF('Supplier selection'!AR939="","",'Supplier selection'!AR939)</f>
        <v/>
      </c>
      <c r="AA939" s="19" t="str">
        <f t="shared" si="158"/>
        <v/>
      </c>
      <c r="AD939" s="26" t="str">
        <f>IF(AND('Supplier selection'!X939="",'Supplier selection'!AE939=""),"",IF('Supplier selection'!X939="",'Supplier selection'!AE939,'Supplier selection'!X939))</f>
        <v/>
      </c>
      <c r="AE939" s="19" t="str">
        <f t="shared" si="159"/>
        <v/>
      </c>
      <c r="AF939" s="19" t="str">
        <f t="shared" si="160"/>
        <v/>
      </c>
      <c r="AG939" s="27" t="str">
        <f>IF(AND('Supplier selection'!AB939="",'Supplier selection'!AI939=""),"",IF('Supplier selection'!AB939="",'Supplier selection'!AI939,'Supplier selection'!AB939))</f>
        <v/>
      </c>
      <c r="AH939" s="28" t="str">
        <f t="shared" si="161"/>
        <v/>
      </c>
      <c r="AI939" s="7" t="str">
        <f t="shared" si="162"/>
        <v/>
      </c>
      <c r="AJ939" s="22" t="str">
        <f t="shared" si="163"/>
        <v/>
      </c>
      <c r="AK939" s="29" t="str">
        <f t="shared" si="164"/>
        <v/>
      </c>
      <c r="AL939" s="10"/>
    </row>
    <row r="940" spans="1:38">
      <c r="A940" s="19">
        <f>IF('Supplier selection'!A940="","",'Supplier selection'!A940)</f>
        <v>936</v>
      </c>
      <c r="B940" s="19" t="str">
        <f>IF('Supplier selection'!B940="","",'Supplier selection'!B940)</f>
        <v/>
      </c>
      <c r="C940" s="19" t="str">
        <f>IF('Supplier selection'!C940="","",'Supplier selection'!C940)</f>
        <v/>
      </c>
      <c r="D940" s="19" t="str">
        <f>IF('Supplier selection'!D940="","",'Supplier selection'!D940)</f>
        <v/>
      </c>
      <c r="E940" s="19" t="str">
        <f>IF('Supplier selection'!E940="","",'Supplier selection'!E940)</f>
        <v/>
      </c>
      <c r="F940" s="19" t="str">
        <f>IF('Supplier selection'!F940="","",'Supplier selection'!F940)</f>
        <v/>
      </c>
      <c r="G940" s="19" t="str">
        <f>IF('Supplier selection'!G940="","",'Supplier selection'!G940)</f>
        <v/>
      </c>
      <c r="H940" s="19" t="str">
        <f>IF('Supplier selection'!H940="","",'Supplier selection'!H940)</f>
        <v/>
      </c>
      <c r="I940" s="19" t="str">
        <f>IF('Supplier selection'!I940="","",'Supplier selection'!I940)</f>
        <v/>
      </c>
      <c r="J940" s="19" t="str">
        <f>IF('Supplier selection'!J940="","",'Supplier selection'!J940)</f>
        <v/>
      </c>
      <c r="K940" s="19" t="str">
        <f>IF('Supplier selection'!K940="","",'Supplier selection'!K940)</f>
        <v/>
      </c>
      <c r="L940" s="19" t="str">
        <f>IF('Supplier selection'!L940="","",'Supplier selection'!L940)</f>
        <v/>
      </c>
      <c r="M940" s="19" t="str">
        <f>IF('Supplier selection'!M940="","",'Supplier selection'!M940)</f>
        <v/>
      </c>
      <c r="N940" s="19" t="str">
        <f>IF('Supplier selection'!N940="","",'Supplier selection'!N940)</f>
        <v/>
      </c>
      <c r="O940" s="19" t="str">
        <f>IF('Supplier selection'!O940="","",'Supplier selection'!O940)</f>
        <v/>
      </c>
      <c r="Q940" s="19" t="str">
        <f>HLOOKUP($Q$3,'Supplier selection'!$AW$4:'Supplier selection'!$CT$1000,$A941,FALSE)</f>
        <v/>
      </c>
      <c r="R940" s="22" t="str">
        <f t="shared" si="154"/>
        <v/>
      </c>
      <c r="S940" s="19" t="str">
        <f t="shared" si="155"/>
        <v/>
      </c>
      <c r="T940" s="22" t="str">
        <f t="shared" si="156"/>
        <v/>
      </c>
      <c r="U940" s="19" t="str">
        <f t="shared" si="157"/>
        <v/>
      </c>
      <c r="V940" s="7"/>
      <c r="Y940" s="19" t="str">
        <f>IF('Supplier selection'!AQ940="","",'Supplier selection'!AQ940)</f>
        <v/>
      </c>
      <c r="Z940" s="19" t="str">
        <f>IF('Supplier selection'!AR940="","",'Supplier selection'!AR940)</f>
        <v/>
      </c>
      <c r="AA940" s="19" t="str">
        <f t="shared" si="158"/>
        <v/>
      </c>
      <c r="AD940" s="26" t="str">
        <f>IF(AND('Supplier selection'!X940="",'Supplier selection'!AE940=""),"",IF('Supplier selection'!X940="",'Supplier selection'!AE940,'Supplier selection'!X940))</f>
        <v/>
      </c>
      <c r="AE940" s="19" t="str">
        <f t="shared" si="159"/>
        <v/>
      </c>
      <c r="AF940" s="19" t="str">
        <f t="shared" si="160"/>
        <v/>
      </c>
      <c r="AG940" s="27" t="str">
        <f>IF(AND('Supplier selection'!AB940="",'Supplier selection'!AI940=""),"",IF('Supplier selection'!AB940="",'Supplier selection'!AI940,'Supplier selection'!AB940))</f>
        <v/>
      </c>
      <c r="AH940" s="28" t="str">
        <f t="shared" si="161"/>
        <v/>
      </c>
      <c r="AI940" s="7" t="str">
        <f t="shared" si="162"/>
        <v/>
      </c>
      <c r="AJ940" s="22" t="str">
        <f t="shared" si="163"/>
        <v/>
      </c>
      <c r="AK940" s="29" t="str">
        <f t="shared" si="164"/>
        <v/>
      </c>
      <c r="AL940" s="10"/>
    </row>
    <row r="941" spans="1:38">
      <c r="A941" s="19">
        <f>IF('Supplier selection'!A941="","",'Supplier selection'!A941)</f>
        <v>937</v>
      </c>
      <c r="B941" s="19" t="str">
        <f>IF('Supplier selection'!B941="","",'Supplier selection'!B941)</f>
        <v/>
      </c>
      <c r="C941" s="19" t="str">
        <f>IF('Supplier selection'!C941="","",'Supplier selection'!C941)</f>
        <v/>
      </c>
      <c r="D941" s="19" t="str">
        <f>IF('Supplier selection'!D941="","",'Supplier selection'!D941)</f>
        <v/>
      </c>
      <c r="E941" s="19" t="str">
        <f>IF('Supplier selection'!E941="","",'Supplier selection'!E941)</f>
        <v/>
      </c>
      <c r="F941" s="19" t="str">
        <f>IF('Supplier selection'!F941="","",'Supplier selection'!F941)</f>
        <v/>
      </c>
      <c r="G941" s="19" t="str">
        <f>IF('Supplier selection'!G941="","",'Supplier selection'!G941)</f>
        <v/>
      </c>
      <c r="H941" s="19" t="str">
        <f>IF('Supplier selection'!H941="","",'Supplier selection'!H941)</f>
        <v/>
      </c>
      <c r="I941" s="19" t="str">
        <f>IF('Supplier selection'!I941="","",'Supplier selection'!I941)</f>
        <v/>
      </c>
      <c r="J941" s="19" t="str">
        <f>IF('Supplier selection'!J941="","",'Supplier selection'!J941)</f>
        <v/>
      </c>
      <c r="K941" s="19" t="str">
        <f>IF('Supplier selection'!K941="","",'Supplier selection'!K941)</f>
        <v/>
      </c>
      <c r="L941" s="19" t="str">
        <f>IF('Supplier selection'!L941="","",'Supplier selection'!L941)</f>
        <v/>
      </c>
      <c r="M941" s="19" t="str">
        <f>IF('Supplier selection'!M941="","",'Supplier selection'!M941)</f>
        <v/>
      </c>
      <c r="N941" s="19" t="str">
        <f>IF('Supplier selection'!N941="","",'Supplier selection'!N941)</f>
        <v/>
      </c>
      <c r="O941" s="19" t="str">
        <f>IF('Supplier selection'!O941="","",'Supplier selection'!O941)</f>
        <v/>
      </c>
      <c r="Q941" s="19" t="str">
        <f>HLOOKUP($Q$3,'Supplier selection'!$AW$4:'Supplier selection'!$CT$1000,$A942,FALSE)</f>
        <v/>
      </c>
      <c r="R941" s="22" t="str">
        <f t="shared" si="154"/>
        <v/>
      </c>
      <c r="S941" s="19" t="str">
        <f t="shared" si="155"/>
        <v/>
      </c>
      <c r="T941" s="22" t="str">
        <f t="shared" si="156"/>
        <v/>
      </c>
      <c r="U941" s="19" t="str">
        <f t="shared" si="157"/>
        <v/>
      </c>
      <c r="V941" s="7"/>
      <c r="Y941" s="19" t="str">
        <f>IF('Supplier selection'!AQ941="","",'Supplier selection'!AQ941)</f>
        <v/>
      </c>
      <c r="Z941" s="19" t="str">
        <f>IF('Supplier selection'!AR941="","",'Supplier selection'!AR941)</f>
        <v/>
      </c>
      <c r="AA941" s="19" t="str">
        <f t="shared" si="158"/>
        <v/>
      </c>
      <c r="AD941" s="26" t="str">
        <f>IF(AND('Supplier selection'!X941="",'Supplier selection'!AE941=""),"",IF('Supplier selection'!X941="",'Supplier selection'!AE941,'Supplier selection'!X941))</f>
        <v/>
      </c>
      <c r="AE941" s="19" t="str">
        <f t="shared" si="159"/>
        <v/>
      </c>
      <c r="AF941" s="19" t="str">
        <f t="shared" si="160"/>
        <v/>
      </c>
      <c r="AG941" s="27" t="str">
        <f>IF(AND('Supplier selection'!AB941="",'Supplier selection'!AI941=""),"",IF('Supplier selection'!AB941="",'Supplier selection'!AI941,'Supplier selection'!AB941))</f>
        <v/>
      </c>
      <c r="AH941" s="28" t="str">
        <f t="shared" si="161"/>
        <v/>
      </c>
      <c r="AI941" s="7" t="str">
        <f t="shared" si="162"/>
        <v/>
      </c>
      <c r="AJ941" s="22" t="str">
        <f t="shared" si="163"/>
        <v/>
      </c>
      <c r="AK941" s="29" t="str">
        <f t="shared" si="164"/>
        <v/>
      </c>
      <c r="AL941" s="10"/>
    </row>
    <row r="942" spans="1:38">
      <c r="A942" s="19">
        <f>IF('Supplier selection'!A942="","",'Supplier selection'!A942)</f>
        <v>938</v>
      </c>
      <c r="B942" s="19" t="str">
        <f>IF('Supplier selection'!B942="","",'Supplier selection'!B942)</f>
        <v/>
      </c>
      <c r="C942" s="19" t="str">
        <f>IF('Supplier selection'!C942="","",'Supplier selection'!C942)</f>
        <v/>
      </c>
      <c r="D942" s="19" t="str">
        <f>IF('Supplier selection'!D942="","",'Supplier selection'!D942)</f>
        <v/>
      </c>
      <c r="E942" s="19" t="str">
        <f>IF('Supplier selection'!E942="","",'Supplier selection'!E942)</f>
        <v/>
      </c>
      <c r="F942" s="19" t="str">
        <f>IF('Supplier selection'!F942="","",'Supplier selection'!F942)</f>
        <v/>
      </c>
      <c r="G942" s="19" t="str">
        <f>IF('Supplier selection'!G942="","",'Supplier selection'!G942)</f>
        <v/>
      </c>
      <c r="H942" s="19" t="str">
        <f>IF('Supplier selection'!H942="","",'Supplier selection'!H942)</f>
        <v/>
      </c>
      <c r="I942" s="19" t="str">
        <f>IF('Supplier selection'!I942="","",'Supplier selection'!I942)</f>
        <v/>
      </c>
      <c r="J942" s="19" t="str">
        <f>IF('Supplier selection'!J942="","",'Supplier selection'!J942)</f>
        <v/>
      </c>
      <c r="K942" s="19" t="str">
        <f>IF('Supplier selection'!K942="","",'Supplier selection'!K942)</f>
        <v/>
      </c>
      <c r="L942" s="19" t="str">
        <f>IF('Supplier selection'!L942="","",'Supplier selection'!L942)</f>
        <v/>
      </c>
      <c r="M942" s="19" t="str">
        <f>IF('Supplier selection'!M942="","",'Supplier selection'!M942)</f>
        <v/>
      </c>
      <c r="N942" s="19" t="str">
        <f>IF('Supplier selection'!N942="","",'Supplier selection'!N942)</f>
        <v/>
      </c>
      <c r="O942" s="19" t="str">
        <f>IF('Supplier selection'!O942="","",'Supplier selection'!O942)</f>
        <v/>
      </c>
      <c r="Q942" s="19" t="str">
        <f>HLOOKUP($Q$3,'Supplier selection'!$AW$4:'Supplier selection'!$CT$1000,$A943,FALSE)</f>
        <v/>
      </c>
      <c r="R942" s="22" t="str">
        <f t="shared" si="154"/>
        <v/>
      </c>
      <c r="S942" s="19" t="str">
        <f t="shared" si="155"/>
        <v/>
      </c>
      <c r="T942" s="22" t="str">
        <f t="shared" si="156"/>
        <v/>
      </c>
      <c r="U942" s="19" t="str">
        <f t="shared" si="157"/>
        <v/>
      </c>
      <c r="V942" s="7"/>
      <c r="Y942" s="19" t="str">
        <f>IF('Supplier selection'!AQ942="","",'Supplier selection'!AQ942)</f>
        <v/>
      </c>
      <c r="Z942" s="19" t="str">
        <f>IF('Supplier selection'!AR942="","",'Supplier selection'!AR942)</f>
        <v/>
      </c>
      <c r="AA942" s="19" t="str">
        <f t="shared" si="158"/>
        <v/>
      </c>
      <c r="AD942" s="26" t="str">
        <f>IF(AND('Supplier selection'!X942="",'Supplier selection'!AE942=""),"",IF('Supplier selection'!X942="",'Supplier selection'!AE942,'Supplier selection'!X942))</f>
        <v/>
      </c>
      <c r="AE942" s="19" t="str">
        <f t="shared" si="159"/>
        <v/>
      </c>
      <c r="AF942" s="19" t="str">
        <f t="shared" si="160"/>
        <v/>
      </c>
      <c r="AG942" s="27" t="str">
        <f>IF(AND('Supplier selection'!AB942="",'Supplier selection'!AI942=""),"",IF('Supplier selection'!AB942="",'Supplier selection'!AI942,'Supplier selection'!AB942))</f>
        <v/>
      </c>
      <c r="AH942" s="28" t="str">
        <f t="shared" si="161"/>
        <v/>
      </c>
      <c r="AI942" s="7" t="str">
        <f t="shared" si="162"/>
        <v/>
      </c>
      <c r="AJ942" s="22" t="str">
        <f t="shared" si="163"/>
        <v/>
      </c>
      <c r="AK942" s="29" t="str">
        <f t="shared" si="164"/>
        <v/>
      </c>
      <c r="AL942" s="10"/>
    </row>
    <row r="943" spans="1:38">
      <c r="A943" s="19">
        <f>IF('Supplier selection'!A943="","",'Supplier selection'!A943)</f>
        <v>939</v>
      </c>
      <c r="B943" s="19" t="str">
        <f>IF('Supplier selection'!B943="","",'Supplier selection'!B943)</f>
        <v/>
      </c>
      <c r="C943" s="19" t="str">
        <f>IF('Supplier selection'!C943="","",'Supplier selection'!C943)</f>
        <v/>
      </c>
      <c r="D943" s="19" t="str">
        <f>IF('Supplier selection'!D943="","",'Supplier selection'!D943)</f>
        <v/>
      </c>
      <c r="E943" s="19" t="str">
        <f>IF('Supplier selection'!E943="","",'Supplier selection'!E943)</f>
        <v/>
      </c>
      <c r="F943" s="19" t="str">
        <f>IF('Supplier selection'!F943="","",'Supplier selection'!F943)</f>
        <v/>
      </c>
      <c r="G943" s="19" t="str">
        <f>IF('Supplier selection'!G943="","",'Supplier selection'!G943)</f>
        <v/>
      </c>
      <c r="H943" s="19" t="str">
        <f>IF('Supplier selection'!H943="","",'Supplier selection'!H943)</f>
        <v/>
      </c>
      <c r="I943" s="19" t="str">
        <f>IF('Supplier selection'!I943="","",'Supplier selection'!I943)</f>
        <v/>
      </c>
      <c r="J943" s="19" t="str">
        <f>IF('Supplier selection'!J943="","",'Supplier selection'!J943)</f>
        <v/>
      </c>
      <c r="K943" s="19" t="str">
        <f>IF('Supplier selection'!K943="","",'Supplier selection'!K943)</f>
        <v/>
      </c>
      <c r="L943" s="19" t="str">
        <f>IF('Supplier selection'!L943="","",'Supplier selection'!L943)</f>
        <v/>
      </c>
      <c r="M943" s="19" t="str">
        <f>IF('Supplier selection'!M943="","",'Supplier selection'!M943)</f>
        <v/>
      </c>
      <c r="N943" s="19" t="str">
        <f>IF('Supplier selection'!N943="","",'Supplier selection'!N943)</f>
        <v/>
      </c>
      <c r="O943" s="19" t="str">
        <f>IF('Supplier selection'!O943="","",'Supplier selection'!O943)</f>
        <v/>
      </c>
      <c r="Q943" s="19" t="str">
        <f>HLOOKUP($Q$3,'Supplier selection'!$AW$4:'Supplier selection'!$CT$1000,$A944,FALSE)</f>
        <v/>
      </c>
      <c r="R943" s="22" t="str">
        <f t="shared" si="154"/>
        <v/>
      </c>
      <c r="S943" s="19" t="str">
        <f t="shared" si="155"/>
        <v/>
      </c>
      <c r="T943" s="22" t="str">
        <f t="shared" si="156"/>
        <v/>
      </c>
      <c r="U943" s="19" t="str">
        <f t="shared" si="157"/>
        <v/>
      </c>
      <c r="V943" s="7"/>
      <c r="Y943" s="19" t="str">
        <f>IF('Supplier selection'!AQ943="","",'Supplier selection'!AQ943)</f>
        <v/>
      </c>
      <c r="Z943" s="19" t="str">
        <f>IF('Supplier selection'!AR943="","",'Supplier selection'!AR943)</f>
        <v/>
      </c>
      <c r="AA943" s="19" t="str">
        <f t="shared" si="158"/>
        <v/>
      </c>
      <c r="AD943" s="26" t="str">
        <f>IF(AND('Supplier selection'!X943="",'Supplier selection'!AE943=""),"",IF('Supplier selection'!X943="",'Supplier selection'!AE943,'Supplier selection'!X943))</f>
        <v/>
      </c>
      <c r="AE943" s="19" t="str">
        <f t="shared" si="159"/>
        <v/>
      </c>
      <c r="AF943" s="19" t="str">
        <f t="shared" si="160"/>
        <v/>
      </c>
      <c r="AG943" s="27" t="str">
        <f>IF(AND('Supplier selection'!AB943="",'Supplier selection'!AI943=""),"",IF('Supplier selection'!AB943="",'Supplier selection'!AI943,'Supplier selection'!AB943))</f>
        <v/>
      </c>
      <c r="AH943" s="28" t="str">
        <f t="shared" si="161"/>
        <v/>
      </c>
      <c r="AI943" s="7" t="str">
        <f t="shared" si="162"/>
        <v/>
      </c>
      <c r="AJ943" s="22" t="str">
        <f t="shared" si="163"/>
        <v/>
      </c>
      <c r="AK943" s="29" t="str">
        <f t="shared" si="164"/>
        <v/>
      </c>
      <c r="AL943" s="10"/>
    </row>
    <row r="944" spans="1:38">
      <c r="A944" s="19">
        <f>IF('Supplier selection'!A944="","",'Supplier selection'!A944)</f>
        <v>940</v>
      </c>
      <c r="B944" s="19" t="str">
        <f>IF('Supplier selection'!B944="","",'Supplier selection'!B944)</f>
        <v/>
      </c>
      <c r="C944" s="19" t="str">
        <f>IF('Supplier selection'!C944="","",'Supplier selection'!C944)</f>
        <v/>
      </c>
      <c r="D944" s="19" t="str">
        <f>IF('Supplier selection'!D944="","",'Supplier selection'!D944)</f>
        <v/>
      </c>
      <c r="E944" s="19" t="str">
        <f>IF('Supplier selection'!E944="","",'Supplier selection'!E944)</f>
        <v/>
      </c>
      <c r="F944" s="19" t="str">
        <f>IF('Supplier selection'!F944="","",'Supplier selection'!F944)</f>
        <v/>
      </c>
      <c r="G944" s="19" t="str">
        <f>IF('Supplier selection'!G944="","",'Supplier selection'!G944)</f>
        <v/>
      </c>
      <c r="H944" s="19" t="str">
        <f>IF('Supplier selection'!H944="","",'Supplier selection'!H944)</f>
        <v/>
      </c>
      <c r="I944" s="19" t="str">
        <f>IF('Supplier selection'!I944="","",'Supplier selection'!I944)</f>
        <v/>
      </c>
      <c r="J944" s="19" t="str">
        <f>IF('Supplier selection'!J944="","",'Supplier selection'!J944)</f>
        <v/>
      </c>
      <c r="K944" s="19" t="str">
        <f>IF('Supplier selection'!K944="","",'Supplier selection'!K944)</f>
        <v/>
      </c>
      <c r="L944" s="19" t="str">
        <f>IF('Supplier selection'!L944="","",'Supplier selection'!L944)</f>
        <v/>
      </c>
      <c r="M944" s="19" t="str">
        <f>IF('Supplier selection'!M944="","",'Supplier selection'!M944)</f>
        <v/>
      </c>
      <c r="N944" s="19" t="str">
        <f>IF('Supplier selection'!N944="","",'Supplier selection'!N944)</f>
        <v/>
      </c>
      <c r="O944" s="19" t="str">
        <f>IF('Supplier selection'!O944="","",'Supplier selection'!O944)</f>
        <v/>
      </c>
      <c r="Q944" s="19" t="str">
        <f>HLOOKUP($Q$3,'Supplier selection'!$AW$4:'Supplier selection'!$CT$1000,$A945,FALSE)</f>
        <v/>
      </c>
      <c r="R944" s="22" t="str">
        <f t="shared" si="154"/>
        <v/>
      </c>
      <c r="S944" s="19" t="str">
        <f t="shared" si="155"/>
        <v/>
      </c>
      <c r="T944" s="22" t="str">
        <f t="shared" si="156"/>
        <v/>
      </c>
      <c r="U944" s="19" t="str">
        <f t="shared" si="157"/>
        <v/>
      </c>
      <c r="V944" s="7"/>
      <c r="Y944" s="19" t="str">
        <f>IF('Supplier selection'!AQ944="","",'Supplier selection'!AQ944)</f>
        <v/>
      </c>
      <c r="Z944" s="19" t="str">
        <f>IF('Supplier selection'!AR944="","",'Supplier selection'!AR944)</f>
        <v/>
      </c>
      <c r="AA944" s="19" t="str">
        <f t="shared" si="158"/>
        <v/>
      </c>
      <c r="AD944" s="26" t="str">
        <f>IF(AND('Supplier selection'!X944="",'Supplier selection'!AE944=""),"",IF('Supplier selection'!X944="",'Supplier selection'!AE944,'Supplier selection'!X944))</f>
        <v/>
      </c>
      <c r="AE944" s="19" t="str">
        <f t="shared" si="159"/>
        <v/>
      </c>
      <c r="AF944" s="19" t="str">
        <f t="shared" si="160"/>
        <v/>
      </c>
      <c r="AG944" s="27" t="str">
        <f>IF(AND('Supplier selection'!AB944="",'Supplier selection'!AI944=""),"",IF('Supplier selection'!AB944="",'Supplier selection'!AI944,'Supplier selection'!AB944))</f>
        <v/>
      </c>
      <c r="AH944" s="28" t="str">
        <f t="shared" si="161"/>
        <v/>
      </c>
      <c r="AI944" s="7" t="str">
        <f t="shared" si="162"/>
        <v/>
      </c>
      <c r="AJ944" s="22" t="str">
        <f t="shared" si="163"/>
        <v/>
      </c>
      <c r="AK944" s="29" t="str">
        <f t="shared" si="164"/>
        <v/>
      </c>
      <c r="AL944" s="10"/>
    </row>
    <row r="945" spans="1:38">
      <c r="A945" s="19">
        <f>IF('Supplier selection'!A945="","",'Supplier selection'!A945)</f>
        <v>941</v>
      </c>
      <c r="B945" s="19" t="str">
        <f>IF('Supplier selection'!B945="","",'Supplier selection'!B945)</f>
        <v/>
      </c>
      <c r="C945" s="19" t="str">
        <f>IF('Supplier selection'!C945="","",'Supplier selection'!C945)</f>
        <v/>
      </c>
      <c r="D945" s="19" t="str">
        <f>IF('Supplier selection'!D945="","",'Supplier selection'!D945)</f>
        <v/>
      </c>
      <c r="E945" s="19" t="str">
        <f>IF('Supplier selection'!E945="","",'Supplier selection'!E945)</f>
        <v/>
      </c>
      <c r="F945" s="19" t="str">
        <f>IF('Supplier selection'!F945="","",'Supplier selection'!F945)</f>
        <v/>
      </c>
      <c r="G945" s="19" t="str">
        <f>IF('Supplier selection'!G945="","",'Supplier selection'!G945)</f>
        <v/>
      </c>
      <c r="H945" s="19" t="str">
        <f>IF('Supplier selection'!H945="","",'Supplier selection'!H945)</f>
        <v/>
      </c>
      <c r="I945" s="19" t="str">
        <f>IF('Supplier selection'!I945="","",'Supplier selection'!I945)</f>
        <v/>
      </c>
      <c r="J945" s="19" t="str">
        <f>IF('Supplier selection'!J945="","",'Supplier selection'!J945)</f>
        <v/>
      </c>
      <c r="K945" s="19" t="str">
        <f>IF('Supplier selection'!K945="","",'Supplier selection'!K945)</f>
        <v/>
      </c>
      <c r="L945" s="19" t="str">
        <f>IF('Supplier selection'!L945="","",'Supplier selection'!L945)</f>
        <v/>
      </c>
      <c r="M945" s="19" t="str">
        <f>IF('Supplier selection'!M945="","",'Supplier selection'!M945)</f>
        <v/>
      </c>
      <c r="N945" s="19" t="str">
        <f>IF('Supplier selection'!N945="","",'Supplier selection'!N945)</f>
        <v/>
      </c>
      <c r="O945" s="19" t="str">
        <f>IF('Supplier selection'!O945="","",'Supplier selection'!O945)</f>
        <v/>
      </c>
      <c r="Q945" s="19" t="str">
        <f>HLOOKUP($Q$3,'Supplier selection'!$AW$4:'Supplier selection'!$CT$1000,$A946,FALSE)</f>
        <v/>
      </c>
      <c r="R945" s="22" t="str">
        <f t="shared" si="154"/>
        <v/>
      </c>
      <c r="S945" s="19" t="str">
        <f t="shared" si="155"/>
        <v/>
      </c>
      <c r="T945" s="22" t="str">
        <f t="shared" si="156"/>
        <v/>
      </c>
      <c r="U945" s="19" t="str">
        <f t="shared" si="157"/>
        <v/>
      </c>
      <c r="V945" s="7"/>
      <c r="Y945" s="19" t="str">
        <f>IF('Supplier selection'!AQ945="","",'Supplier selection'!AQ945)</f>
        <v/>
      </c>
      <c r="Z945" s="19" t="str">
        <f>IF('Supplier selection'!AR945="","",'Supplier selection'!AR945)</f>
        <v/>
      </c>
      <c r="AA945" s="19" t="str">
        <f t="shared" si="158"/>
        <v/>
      </c>
      <c r="AD945" s="26" t="str">
        <f>IF(AND('Supplier selection'!X945="",'Supplier selection'!AE945=""),"",IF('Supplier selection'!X945="",'Supplier selection'!AE945,'Supplier selection'!X945))</f>
        <v/>
      </c>
      <c r="AE945" s="19" t="str">
        <f t="shared" si="159"/>
        <v/>
      </c>
      <c r="AF945" s="19" t="str">
        <f t="shared" si="160"/>
        <v/>
      </c>
      <c r="AG945" s="27" t="str">
        <f>IF(AND('Supplier selection'!AB945="",'Supplier selection'!AI945=""),"",IF('Supplier selection'!AB945="",'Supplier selection'!AI945,'Supplier selection'!AB945))</f>
        <v/>
      </c>
      <c r="AH945" s="28" t="str">
        <f t="shared" si="161"/>
        <v/>
      </c>
      <c r="AI945" s="7" t="str">
        <f t="shared" si="162"/>
        <v/>
      </c>
      <c r="AJ945" s="22" t="str">
        <f t="shared" si="163"/>
        <v/>
      </c>
      <c r="AK945" s="29" t="str">
        <f t="shared" si="164"/>
        <v/>
      </c>
      <c r="AL945" s="10"/>
    </row>
    <row r="946" spans="1:38">
      <c r="A946" s="19">
        <f>IF('Supplier selection'!A946="","",'Supplier selection'!A946)</f>
        <v>942</v>
      </c>
      <c r="B946" s="19" t="str">
        <f>IF('Supplier selection'!B946="","",'Supplier selection'!B946)</f>
        <v/>
      </c>
      <c r="C946" s="19" t="str">
        <f>IF('Supplier selection'!C946="","",'Supplier selection'!C946)</f>
        <v/>
      </c>
      <c r="D946" s="19" t="str">
        <f>IF('Supplier selection'!D946="","",'Supplier selection'!D946)</f>
        <v/>
      </c>
      <c r="E946" s="19" t="str">
        <f>IF('Supplier selection'!E946="","",'Supplier selection'!E946)</f>
        <v/>
      </c>
      <c r="F946" s="19" t="str">
        <f>IF('Supplier selection'!F946="","",'Supplier selection'!F946)</f>
        <v/>
      </c>
      <c r="G946" s="19" t="str">
        <f>IF('Supplier selection'!G946="","",'Supplier selection'!G946)</f>
        <v/>
      </c>
      <c r="H946" s="19" t="str">
        <f>IF('Supplier selection'!H946="","",'Supplier selection'!H946)</f>
        <v/>
      </c>
      <c r="I946" s="19" t="str">
        <f>IF('Supplier selection'!I946="","",'Supplier selection'!I946)</f>
        <v/>
      </c>
      <c r="J946" s="19" t="str">
        <f>IF('Supplier selection'!J946="","",'Supplier selection'!J946)</f>
        <v/>
      </c>
      <c r="K946" s="19" t="str">
        <f>IF('Supplier selection'!K946="","",'Supplier selection'!K946)</f>
        <v/>
      </c>
      <c r="L946" s="19" t="str">
        <f>IF('Supplier selection'!L946="","",'Supplier selection'!L946)</f>
        <v/>
      </c>
      <c r="M946" s="19" t="str">
        <f>IF('Supplier selection'!M946="","",'Supplier selection'!M946)</f>
        <v/>
      </c>
      <c r="N946" s="19" t="str">
        <f>IF('Supplier selection'!N946="","",'Supplier selection'!N946)</f>
        <v/>
      </c>
      <c r="O946" s="19" t="str">
        <f>IF('Supplier selection'!O946="","",'Supplier selection'!O946)</f>
        <v/>
      </c>
      <c r="Q946" s="19" t="str">
        <f>HLOOKUP($Q$3,'Supplier selection'!$AW$4:'Supplier selection'!$CT$1000,$A947,FALSE)</f>
        <v/>
      </c>
      <c r="R946" s="22" t="str">
        <f t="shared" si="154"/>
        <v/>
      </c>
      <c r="S946" s="19" t="str">
        <f t="shared" si="155"/>
        <v/>
      </c>
      <c r="T946" s="22" t="str">
        <f t="shared" si="156"/>
        <v/>
      </c>
      <c r="U946" s="19" t="str">
        <f t="shared" si="157"/>
        <v/>
      </c>
      <c r="V946" s="7"/>
      <c r="Y946" s="19" t="str">
        <f>IF('Supplier selection'!AQ946="","",'Supplier selection'!AQ946)</f>
        <v/>
      </c>
      <c r="Z946" s="19" t="str">
        <f>IF('Supplier selection'!AR946="","",'Supplier selection'!AR946)</f>
        <v/>
      </c>
      <c r="AA946" s="19" t="str">
        <f t="shared" si="158"/>
        <v/>
      </c>
      <c r="AD946" s="26" t="str">
        <f>IF(AND('Supplier selection'!X946="",'Supplier selection'!AE946=""),"",IF('Supplier selection'!X946="",'Supplier selection'!AE946,'Supplier selection'!X946))</f>
        <v/>
      </c>
      <c r="AE946" s="19" t="str">
        <f t="shared" si="159"/>
        <v/>
      </c>
      <c r="AF946" s="19" t="str">
        <f t="shared" si="160"/>
        <v/>
      </c>
      <c r="AG946" s="27" t="str">
        <f>IF(AND('Supplier selection'!AB946="",'Supplier selection'!AI946=""),"",IF('Supplier selection'!AB946="",'Supplier selection'!AI946,'Supplier selection'!AB946))</f>
        <v/>
      </c>
      <c r="AH946" s="28" t="str">
        <f t="shared" si="161"/>
        <v/>
      </c>
      <c r="AI946" s="7" t="str">
        <f t="shared" si="162"/>
        <v/>
      </c>
      <c r="AJ946" s="22" t="str">
        <f t="shared" si="163"/>
        <v/>
      </c>
      <c r="AK946" s="29" t="str">
        <f t="shared" si="164"/>
        <v/>
      </c>
      <c r="AL946" s="10"/>
    </row>
    <row r="947" spans="1:38">
      <c r="A947" s="19">
        <f>IF('Supplier selection'!A947="","",'Supplier selection'!A947)</f>
        <v>943</v>
      </c>
      <c r="B947" s="19" t="str">
        <f>IF('Supplier selection'!B947="","",'Supplier selection'!B947)</f>
        <v/>
      </c>
      <c r="C947" s="19" t="str">
        <f>IF('Supplier selection'!C947="","",'Supplier selection'!C947)</f>
        <v/>
      </c>
      <c r="D947" s="19" t="str">
        <f>IF('Supplier selection'!D947="","",'Supplier selection'!D947)</f>
        <v/>
      </c>
      <c r="E947" s="19" t="str">
        <f>IF('Supplier selection'!E947="","",'Supplier selection'!E947)</f>
        <v/>
      </c>
      <c r="F947" s="19" t="str">
        <f>IF('Supplier selection'!F947="","",'Supplier selection'!F947)</f>
        <v/>
      </c>
      <c r="G947" s="19" t="str">
        <f>IF('Supplier selection'!G947="","",'Supplier selection'!G947)</f>
        <v/>
      </c>
      <c r="H947" s="19" t="str">
        <f>IF('Supplier selection'!H947="","",'Supplier selection'!H947)</f>
        <v/>
      </c>
      <c r="I947" s="19" t="str">
        <f>IF('Supplier selection'!I947="","",'Supplier selection'!I947)</f>
        <v/>
      </c>
      <c r="J947" s="19" t="str">
        <f>IF('Supplier selection'!J947="","",'Supplier selection'!J947)</f>
        <v/>
      </c>
      <c r="K947" s="19" t="str">
        <f>IF('Supplier selection'!K947="","",'Supplier selection'!K947)</f>
        <v/>
      </c>
      <c r="L947" s="19" t="str">
        <f>IF('Supplier selection'!L947="","",'Supplier selection'!L947)</f>
        <v/>
      </c>
      <c r="M947" s="19" t="str">
        <f>IF('Supplier selection'!M947="","",'Supplier selection'!M947)</f>
        <v/>
      </c>
      <c r="N947" s="19" t="str">
        <f>IF('Supplier selection'!N947="","",'Supplier selection'!N947)</f>
        <v/>
      </c>
      <c r="O947" s="19" t="str">
        <f>IF('Supplier selection'!O947="","",'Supplier selection'!O947)</f>
        <v/>
      </c>
      <c r="Q947" s="19" t="str">
        <f>HLOOKUP($Q$3,'Supplier selection'!$AW$4:'Supplier selection'!$CT$1000,$A948,FALSE)</f>
        <v/>
      </c>
      <c r="R947" s="22" t="str">
        <f t="shared" si="154"/>
        <v/>
      </c>
      <c r="S947" s="19" t="str">
        <f t="shared" si="155"/>
        <v/>
      </c>
      <c r="T947" s="22" t="str">
        <f t="shared" si="156"/>
        <v/>
      </c>
      <c r="U947" s="19" t="str">
        <f t="shared" si="157"/>
        <v/>
      </c>
      <c r="V947" s="7"/>
      <c r="Y947" s="19" t="str">
        <f>IF('Supplier selection'!AQ947="","",'Supplier selection'!AQ947)</f>
        <v/>
      </c>
      <c r="Z947" s="19" t="str">
        <f>IF('Supplier selection'!AR947="","",'Supplier selection'!AR947)</f>
        <v/>
      </c>
      <c r="AA947" s="19" t="str">
        <f t="shared" si="158"/>
        <v/>
      </c>
      <c r="AD947" s="26" t="str">
        <f>IF(AND('Supplier selection'!X947="",'Supplier selection'!AE947=""),"",IF('Supplier selection'!X947="",'Supplier selection'!AE947,'Supplier selection'!X947))</f>
        <v/>
      </c>
      <c r="AE947" s="19" t="str">
        <f t="shared" si="159"/>
        <v/>
      </c>
      <c r="AF947" s="19" t="str">
        <f t="shared" si="160"/>
        <v/>
      </c>
      <c r="AG947" s="27" t="str">
        <f>IF(AND('Supplier selection'!AB947="",'Supplier selection'!AI947=""),"",IF('Supplier selection'!AB947="",'Supplier selection'!AI947,'Supplier selection'!AB947))</f>
        <v/>
      </c>
      <c r="AH947" s="28" t="str">
        <f t="shared" si="161"/>
        <v/>
      </c>
      <c r="AI947" s="7" t="str">
        <f t="shared" si="162"/>
        <v/>
      </c>
      <c r="AJ947" s="22" t="str">
        <f t="shared" si="163"/>
        <v/>
      </c>
      <c r="AK947" s="29" t="str">
        <f t="shared" si="164"/>
        <v/>
      </c>
      <c r="AL947" s="10"/>
    </row>
    <row r="948" spans="1:38">
      <c r="A948" s="19">
        <f>IF('Supplier selection'!A948="","",'Supplier selection'!A948)</f>
        <v>944</v>
      </c>
      <c r="B948" s="19" t="str">
        <f>IF('Supplier selection'!B948="","",'Supplier selection'!B948)</f>
        <v/>
      </c>
      <c r="C948" s="19" t="str">
        <f>IF('Supplier selection'!C948="","",'Supplier selection'!C948)</f>
        <v/>
      </c>
      <c r="D948" s="19" t="str">
        <f>IF('Supplier selection'!D948="","",'Supplier selection'!D948)</f>
        <v/>
      </c>
      <c r="E948" s="19" t="str">
        <f>IF('Supplier selection'!E948="","",'Supplier selection'!E948)</f>
        <v/>
      </c>
      <c r="F948" s="19" t="str">
        <f>IF('Supplier selection'!F948="","",'Supplier selection'!F948)</f>
        <v/>
      </c>
      <c r="G948" s="19" t="str">
        <f>IF('Supplier selection'!G948="","",'Supplier selection'!G948)</f>
        <v/>
      </c>
      <c r="H948" s="19" t="str">
        <f>IF('Supplier selection'!H948="","",'Supplier selection'!H948)</f>
        <v/>
      </c>
      <c r="I948" s="19" t="str">
        <f>IF('Supplier selection'!I948="","",'Supplier selection'!I948)</f>
        <v/>
      </c>
      <c r="J948" s="19" t="str">
        <f>IF('Supplier selection'!J948="","",'Supplier selection'!J948)</f>
        <v/>
      </c>
      <c r="K948" s="19" t="str">
        <f>IF('Supplier selection'!K948="","",'Supplier selection'!K948)</f>
        <v/>
      </c>
      <c r="L948" s="19" t="str">
        <f>IF('Supplier selection'!L948="","",'Supplier selection'!L948)</f>
        <v/>
      </c>
      <c r="M948" s="19" t="str">
        <f>IF('Supplier selection'!M948="","",'Supplier selection'!M948)</f>
        <v/>
      </c>
      <c r="N948" s="19" t="str">
        <f>IF('Supplier selection'!N948="","",'Supplier selection'!N948)</f>
        <v/>
      </c>
      <c r="O948" s="19" t="str">
        <f>IF('Supplier selection'!O948="","",'Supplier selection'!O948)</f>
        <v/>
      </c>
      <c r="Q948" s="19" t="str">
        <f>HLOOKUP($Q$3,'Supplier selection'!$AW$4:'Supplier selection'!$CT$1000,$A949,FALSE)</f>
        <v/>
      </c>
      <c r="R948" s="22" t="str">
        <f t="shared" si="154"/>
        <v/>
      </c>
      <c r="S948" s="19" t="str">
        <f t="shared" si="155"/>
        <v/>
      </c>
      <c r="T948" s="22" t="str">
        <f t="shared" si="156"/>
        <v/>
      </c>
      <c r="U948" s="19" t="str">
        <f t="shared" si="157"/>
        <v/>
      </c>
      <c r="V948" s="7"/>
      <c r="Y948" s="19" t="str">
        <f>IF('Supplier selection'!AQ948="","",'Supplier selection'!AQ948)</f>
        <v/>
      </c>
      <c r="Z948" s="19" t="str">
        <f>IF('Supplier selection'!AR948="","",'Supplier selection'!AR948)</f>
        <v/>
      </c>
      <c r="AA948" s="19" t="str">
        <f t="shared" si="158"/>
        <v/>
      </c>
      <c r="AD948" s="26" t="str">
        <f>IF(AND('Supplier selection'!X948="",'Supplier selection'!AE948=""),"",IF('Supplier selection'!X948="",'Supplier selection'!AE948,'Supplier selection'!X948))</f>
        <v/>
      </c>
      <c r="AE948" s="19" t="str">
        <f t="shared" si="159"/>
        <v/>
      </c>
      <c r="AF948" s="19" t="str">
        <f t="shared" si="160"/>
        <v/>
      </c>
      <c r="AG948" s="27" t="str">
        <f>IF(AND('Supplier selection'!AB948="",'Supplier selection'!AI948=""),"",IF('Supplier selection'!AB948="",'Supplier selection'!AI948,'Supplier selection'!AB948))</f>
        <v/>
      </c>
      <c r="AH948" s="28" t="str">
        <f t="shared" si="161"/>
        <v/>
      </c>
      <c r="AI948" s="7" t="str">
        <f t="shared" si="162"/>
        <v/>
      </c>
      <c r="AJ948" s="22" t="str">
        <f t="shared" si="163"/>
        <v/>
      </c>
      <c r="AK948" s="29" t="str">
        <f t="shared" si="164"/>
        <v/>
      </c>
      <c r="AL948" s="10"/>
    </row>
    <row r="949" spans="1:38">
      <c r="A949" s="19">
        <f>IF('Supplier selection'!A949="","",'Supplier selection'!A949)</f>
        <v>945</v>
      </c>
      <c r="B949" s="19" t="str">
        <f>IF('Supplier selection'!B949="","",'Supplier selection'!B949)</f>
        <v/>
      </c>
      <c r="C949" s="19" t="str">
        <f>IF('Supplier selection'!C949="","",'Supplier selection'!C949)</f>
        <v/>
      </c>
      <c r="D949" s="19" t="str">
        <f>IF('Supplier selection'!D949="","",'Supplier selection'!D949)</f>
        <v/>
      </c>
      <c r="E949" s="19" t="str">
        <f>IF('Supplier selection'!E949="","",'Supplier selection'!E949)</f>
        <v/>
      </c>
      <c r="F949" s="19" t="str">
        <f>IF('Supplier selection'!F949="","",'Supplier selection'!F949)</f>
        <v/>
      </c>
      <c r="G949" s="19" t="str">
        <f>IF('Supplier selection'!G949="","",'Supplier selection'!G949)</f>
        <v/>
      </c>
      <c r="H949" s="19" t="str">
        <f>IF('Supplier selection'!H949="","",'Supplier selection'!H949)</f>
        <v/>
      </c>
      <c r="I949" s="19" t="str">
        <f>IF('Supplier selection'!I949="","",'Supplier selection'!I949)</f>
        <v/>
      </c>
      <c r="J949" s="19" t="str">
        <f>IF('Supplier selection'!J949="","",'Supplier selection'!J949)</f>
        <v/>
      </c>
      <c r="K949" s="19" t="str">
        <f>IF('Supplier selection'!K949="","",'Supplier selection'!K949)</f>
        <v/>
      </c>
      <c r="L949" s="19" t="str">
        <f>IF('Supplier selection'!L949="","",'Supplier selection'!L949)</f>
        <v/>
      </c>
      <c r="M949" s="19" t="str">
        <f>IF('Supplier selection'!M949="","",'Supplier selection'!M949)</f>
        <v/>
      </c>
      <c r="N949" s="19" t="str">
        <f>IF('Supplier selection'!N949="","",'Supplier selection'!N949)</f>
        <v/>
      </c>
      <c r="O949" s="19" t="str">
        <f>IF('Supplier selection'!O949="","",'Supplier selection'!O949)</f>
        <v/>
      </c>
      <c r="Q949" s="19" t="str">
        <f>HLOOKUP($Q$3,'Supplier selection'!$AW$4:'Supplier selection'!$CT$1000,$A950,FALSE)</f>
        <v/>
      </c>
      <c r="R949" s="22" t="str">
        <f t="shared" si="154"/>
        <v/>
      </c>
      <c r="S949" s="19" t="str">
        <f t="shared" si="155"/>
        <v/>
      </c>
      <c r="T949" s="22" t="str">
        <f t="shared" si="156"/>
        <v/>
      </c>
      <c r="U949" s="19" t="str">
        <f t="shared" si="157"/>
        <v/>
      </c>
      <c r="V949" s="7"/>
      <c r="Y949" s="19" t="str">
        <f>IF('Supplier selection'!AQ949="","",'Supplier selection'!AQ949)</f>
        <v/>
      </c>
      <c r="Z949" s="19" t="str">
        <f>IF('Supplier selection'!AR949="","",'Supplier selection'!AR949)</f>
        <v/>
      </c>
      <c r="AA949" s="19" t="str">
        <f t="shared" si="158"/>
        <v/>
      </c>
      <c r="AD949" s="26" t="str">
        <f>IF(AND('Supplier selection'!X949="",'Supplier selection'!AE949=""),"",IF('Supplier selection'!X949="",'Supplier selection'!AE949,'Supplier selection'!X949))</f>
        <v/>
      </c>
      <c r="AE949" s="19" t="str">
        <f t="shared" si="159"/>
        <v/>
      </c>
      <c r="AF949" s="19" t="str">
        <f t="shared" si="160"/>
        <v/>
      </c>
      <c r="AG949" s="27" t="str">
        <f>IF(AND('Supplier selection'!AB949="",'Supplier selection'!AI949=""),"",IF('Supplier selection'!AB949="",'Supplier selection'!AI949,'Supplier selection'!AB949))</f>
        <v/>
      </c>
      <c r="AH949" s="28" t="str">
        <f t="shared" si="161"/>
        <v/>
      </c>
      <c r="AI949" s="7" t="str">
        <f t="shared" si="162"/>
        <v/>
      </c>
      <c r="AJ949" s="22" t="str">
        <f t="shared" si="163"/>
        <v/>
      </c>
      <c r="AK949" s="29" t="str">
        <f t="shared" si="164"/>
        <v/>
      </c>
      <c r="AL949" s="10"/>
    </row>
    <row r="950" spans="1:38">
      <c r="A950" s="19">
        <f>IF('Supplier selection'!A950="","",'Supplier selection'!A950)</f>
        <v>946</v>
      </c>
      <c r="B950" s="19" t="str">
        <f>IF('Supplier selection'!B950="","",'Supplier selection'!B950)</f>
        <v/>
      </c>
      <c r="C950" s="19" t="str">
        <f>IF('Supplier selection'!C950="","",'Supplier selection'!C950)</f>
        <v/>
      </c>
      <c r="D950" s="19" t="str">
        <f>IF('Supplier selection'!D950="","",'Supplier selection'!D950)</f>
        <v/>
      </c>
      <c r="E950" s="19" t="str">
        <f>IF('Supplier selection'!E950="","",'Supplier selection'!E950)</f>
        <v/>
      </c>
      <c r="F950" s="19" t="str">
        <f>IF('Supplier selection'!F950="","",'Supplier selection'!F950)</f>
        <v/>
      </c>
      <c r="G950" s="19" t="str">
        <f>IF('Supplier selection'!G950="","",'Supplier selection'!G950)</f>
        <v/>
      </c>
      <c r="H950" s="19" t="str">
        <f>IF('Supplier selection'!H950="","",'Supplier selection'!H950)</f>
        <v/>
      </c>
      <c r="I950" s="19" t="str">
        <f>IF('Supplier selection'!I950="","",'Supplier selection'!I950)</f>
        <v/>
      </c>
      <c r="J950" s="19" t="str">
        <f>IF('Supplier selection'!J950="","",'Supplier selection'!J950)</f>
        <v/>
      </c>
      <c r="K950" s="19" t="str">
        <f>IF('Supplier selection'!K950="","",'Supplier selection'!K950)</f>
        <v/>
      </c>
      <c r="L950" s="19" t="str">
        <f>IF('Supplier selection'!L950="","",'Supplier selection'!L950)</f>
        <v/>
      </c>
      <c r="M950" s="19" t="str">
        <f>IF('Supplier selection'!M950="","",'Supplier selection'!M950)</f>
        <v/>
      </c>
      <c r="N950" s="19" t="str">
        <f>IF('Supplier selection'!N950="","",'Supplier selection'!N950)</f>
        <v/>
      </c>
      <c r="O950" s="19" t="str">
        <f>IF('Supplier selection'!O950="","",'Supplier selection'!O950)</f>
        <v/>
      </c>
      <c r="Q950" s="19" t="str">
        <f>HLOOKUP($Q$3,'Supplier selection'!$AW$4:'Supplier selection'!$CT$1000,$A951,FALSE)</f>
        <v/>
      </c>
      <c r="R950" s="22" t="str">
        <f t="shared" si="154"/>
        <v/>
      </c>
      <c r="S950" s="19" t="str">
        <f t="shared" si="155"/>
        <v/>
      </c>
      <c r="T950" s="22" t="str">
        <f t="shared" si="156"/>
        <v/>
      </c>
      <c r="U950" s="19" t="str">
        <f t="shared" si="157"/>
        <v/>
      </c>
      <c r="V950" s="7"/>
      <c r="Y950" s="19" t="str">
        <f>IF('Supplier selection'!AQ950="","",'Supplier selection'!AQ950)</f>
        <v/>
      </c>
      <c r="Z950" s="19" t="str">
        <f>IF('Supplier selection'!AR950="","",'Supplier selection'!AR950)</f>
        <v/>
      </c>
      <c r="AA950" s="19" t="str">
        <f t="shared" si="158"/>
        <v/>
      </c>
      <c r="AD950" s="26" t="str">
        <f>IF(AND('Supplier selection'!X950="",'Supplier selection'!AE950=""),"",IF('Supplier selection'!X950="",'Supplier selection'!AE950,'Supplier selection'!X950))</f>
        <v/>
      </c>
      <c r="AE950" s="19" t="str">
        <f t="shared" si="159"/>
        <v/>
      </c>
      <c r="AF950" s="19" t="str">
        <f t="shared" si="160"/>
        <v/>
      </c>
      <c r="AG950" s="27" t="str">
        <f>IF(AND('Supplier selection'!AB950="",'Supplier selection'!AI950=""),"",IF('Supplier selection'!AB950="",'Supplier selection'!AI950,'Supplier selection'!AB950))</f>
        <v/>
      </c>
      <c r="AH950" s="28" t="str">
        <f t="shared" si="161"/>
        <v/>
      </c>
      <c r="AI950" s="7" t="str">
        <f t="shared" si="162"/>
        <v/>
      </c>
      <c r="AJ950" s="22" t="str">
        <f t="shared" si="163"/>
        <v/>
      </c>
      <c r="AK950" s="29" t="str">
        <f t="shared" si="164"/>
        <v/>
      </c>
      <c r="AL950" s="10"/>
    </row>
    <row r="951" spans="1:38">
      <c r="A951" s="19">
        <f>IF('Supplier selection'!A951="","",'Supplier selection'!A951)</f>
        <v>947</v>
      </c>
      <c r="B951" s="19" t="str">
        <f>IF('Supplier selection'!B951="","",'Supplier selection'!B951)</f>
        <v/>
      </c>
      <c r="C951" s="19" t="str">
        <f>IF('Supplier selection'!C951="","",'Supplier selection'!C951)</f>
        <v/>
      </c>
      <c r="D951" s="19" t="str">
        <f>IF('Supplier selection'!D951="","",'Supplier selection'!D951)</f>
        <v/>
      </c>
      <c r="E951" s="19" t="str">
        <f>IF('Supplier selection'!E951="","",'Supplier selection'!E951)</f>
        <v/>
      </c>
      <c r="F951" s="19" t="str">
        <f>IF('Supplier selection'!F951="","",'Supplier selection'!F951)</f>
        <v/>
      </c>
      <c r="G951" s="19" t="str">
        <f>IF('Supplier selection'!G951="","",'Supplier selection'!G951)</f>
        <v/>
      </c>
      <c r="H951" s="19" t="str">
        <f>IF('Supplier selection'!H951="","",'Supplier selection'!H951)</f>
        <v/>
      </c>
      <c r="I951" s="19" t="str">
        <f>IF('Supplier selection'!I951="","",'Supplier selection'!I951)</f>
        <v/>
      </c>
      <c r="J951" s="19" t="str">
        <f>IF('Supplier selection'!J951="","",'Supplier selection'!J951)</f>
        <v/>
      </c>
      <c r="K951" s="19" t="str">
        <f>IF('Supplier selection'!K951="","",'Supplier selection'!K951)</f>
        <v/>
      </c>
      <c r="L951" s="19" t="str">
        <f>IF('Supplier selection'!L951="","",'Supplier selection'!L951)</f>
        <v/>
      </c>
      <c r="M951" s="19" t="str">
        <f>IF('Supplier selection'!M951="","",'Supplier selection'!M951)</f>
        <v/>
      </c>
      <c r="N951" s="19" t="str">
        <f>IF('Supplier selection'!N951="","",'Supplier selection'!N951)</f>
        <v/>
      </c>
      <c r="O951" s="19" t="str">
        <f>IF('Supplier selection'!O951="","",'Supplier selection'!O951)</f>
        <v/>
      </c>
      <c r="Q951" s="19" t="str">
        <f>HLOOKUP($Q$3,'Supplier selection'!$AW$4:'Supplier selection'!$CT$1000,$A952,FALSE)</f>
        <v/>
      </c>
      <c r="R951" s="22" t="str">
        <f t="shared" si="154"/>
        <v/>
      </c>
      <c r="S951" s="19" t="str">
        <f t="shared" si="155"/>
        <v/>
      </c>
      <c r="T951" s="22" t="str">
        <f t="shared" si="156"/>
        <v/>
      </c>
      <c r="U951" s="19" t="str">
        <f t="shared" si="157"/>
        <v/>
      </c>
      <c r="V951" s="7"/>
      <c r="Y951" s="19" t="str">
        <f>IF('Supplier selection'!AQ951="","",'Supplier selection'!AQ951)</f>
        <v/>
      </c>
      <c r="Z951" s="19" t="str">
        <f>IF('Supplier selection'!AR951="","",'Supplier selection'!AR951)</f>
        <v/>
      </c>
      <c r="AA951" s="19" t="str">
        <f t="shared" si="158"/>
        <v/>
      </c>
      <c r="AD951" s="26" t="str">
        <f>IF(AND('Supplier selection'!X951="",'Supplier selection'!AE951=""),"",IF('Supplier selection'!X951="",'Supplier selection'!AE951,'Supplier selection'!X951))</f>
        <v/>
      </c>
      <c r="AE951" s="19" t="str">
        <f t="shared" si="159"/>
        <v/>
      </c>
      <c r="AF951" s="19" t="str">
        <f t="shared" si="160"/>
        <v/>
      </c>
      <c r="AG951" s="27" t="str">
        <f>IF(AND('Supplier selection'!AB951="",'Supplier selection'!AI951=""),"",IF('Supplier selection'!AB951="",'Supplier selection'!AI951,'Supplier selection'!AB951))</f>
        <v/>
      </c>
      <c r="AH951" s="28" t="str">
        <f t="shared" si="161"/>
        <v/>
      </c>
      <c r="AI951" s="7" t="str">
        <f t="shared" si="162"/>
        <v/>
      </c>
      <c r="AJ951" s="22" t="str">
        <f t="shared" si="163"/>
        <v/>
      </c>
      <c r="AK951" s="29" t="str">
        <f t="shared" si="164"/>
        <v/>
      </c>
      <c r="AL951" s="10"/>
    </row>
    <row r="952" spans="1:38">
      <c r="A952" s="19">
        <f>IF('Supplier selection'!A952="","",'Supplier selection'!A952)</f>
        <v>948</v>
      </c>
      <c r="B952" s="19" t="str">
        <f>IF('Supplier selection'!B952="","",'Supplier selection'!B952)</f>
        <v/>
      </c>
      <c r="C952" s="19" t="str">
        <f>IF('Supplier selection'!C952="","",'Supplier selection'!C952)</f>
        <v/>
      </c>
      <c r="D952" s="19" t="str">
        <f>IF('Supplier selection'!D952="","",'Supplier selection'!D952)</f>
        <v/>
      </c>
      <c r="E952" s="19" t="str">
        <f>IF('Supplier selection'!E952="","",'Supplier selection'!E952)</f>
        <v/>
      </c>
      <c r="F952" s="19" t="str">
        <f>IF('Supplier selection'!F952="","",'Supplier selection'!F952)</f>
        <v/>
      </c>
      <c r="G952" s="19" t="str">
        <f>IF('Supplier selection'!G952="","",'Supplier selection'!G952)</f>
        <v/>
      </c>
      <c r="H952" s="19" t="str">
        <f>IF('Supplier selection'!H952="","",'Supplier selection'!H952)</f>
        <v/>
      </c>
      <c r="I952" s="19" t="str">
        <f>IF('Supplier selection'!I952="","",'Supplier selection'!I952)</f>
        <v/>
      </c>
      <c r="J952" s="19" t="str">
        <f>IF('Supplier selection'!J952="","",'Supplier selection'!J952)</f>
        <v/>
      </c>
      <c r="K952" s="19" t="str">
        <f>IF('Supplier selection'!K952="","",'Supplier selection'!K952)</f>
        <v/>
      </c>
      <c r="L952" s="19" t="str">
        <f>IF('Supplier selection'!L952="","",'Supplier selection'!L952)</f>
        <v/>
      </c>
      <c r="M952" s="19" t="str">
        <f>IF('Supplier selection'!M952="","",'Supplier selection'!M952)</f>
        <v/>
      </c>
      <c r="N952" s="19" t="str">
        <f>IF('Supplier selection'!N952="","",'Supplier selection'!N952)</f>
        <v/>
      </c>
      <c r="O952" s="19" t="str">
        <f>IF('Supplier selection'!O952="","",'Supplier selection'!O952)</f>
        <v/>
      </c>
      <c r="Q952" s="19" t="str">
        <f>HLOOKUP($Q$3,'Supplier selection'!$AW$4:'Supplier selection'!$CT$1000,$A953,FALSE)</f>
        <v/>
      </c>
      <c r="R952" s="22" t="str">
        <f t="shared" si="154"/>
        <v/>
      </c>
      <c r="S952" s="19" t="str">
        <f t="shared" si="155"/>
        <v/>
      </c>
      <c r="T952" s="22" t="str">
        <f t="shared" si="156"/>
        <v/>
      </c>
      <c r="U952" s="19" t="str">
        <f t="shared" si="157"/>
        <v/>
      </c>
      <c r="V952" s="7"/>
      <c r="Y952" s="19" t="str">
        <f>IF('Supplier selection'!AQ952="","",'Supplier selection'!AQ952)</f>
        <v/>
      </c>
      <c r="Z952" s="19" t="str">
        <f>IF('Supplier selection'!AR952="","",'Supplier selection'!AR952)</f>
        <v/>
      </c>
      <c r="AA952" s="19" t="str">
        <f t="shared" si="158"/>
        <v/>
      </c>
      <c r="AD952" s="26" t="str">
        <f>IF(AND('Supplier selection'!X952="",'Supplier selection'!AE952=""),"",IF('Supplier selection'!X952="",'Supplier selection'!AE952,'Supplier selection'!X952))</f>
        <v/>
      </c>
      <c r="AE952" s="19" t="str">
        <f t="shared" si="159"/>
        <v/>
      </c>
      <c r="AF952" s="19" t="str">
        <f t="shared" si="160"/>
        <v/>
      </c>
      <c r="AG952" s="27" t="str">
        <f>IF(AND('Supplier selection'!AB952="",'Supplier selection'!AI952=""),"",IF('Supplier selection'!AB952="",'Supplier selection'!AI952,'Supplier selection'!AB952))</f>
        <v/>
      </c>
      <c r="AH952" s="28" t="str">
        <f t="shared" si="161"/>
        <v/>
      </c>
      <c r="AI952" s="7" t="str">
        <f t="shared" si="162"/>
        <v/>
      </c>
      <c r="AJ952" s="22" t="str">
        <f t="shared" si="163"/>
        <v/>
      </c>
      <c r="AK952" s="29" t="str">
        <f t="shared" si="164"/>
        <v/>
      </c>
      <c r="AL952" s="10"/>
    </row>
    <row r="953" spans="1:38">
      <c r="A953" s="19">
        <f>IF('Supplier selection'!A953="","",'Supplier selection'!A953)</f>
        <v>949</v>
      </c>
      <c r="B953" s="19" t="str">
        <f>IF('Supplier selection'!B953="","",'Supplier selection'!B953)</f>
        <v/>
      </c>
      <c r="C953" s="19" t="str">
        <f>IF('Supplier selection'!C953="","",'Supplier selection'!C953)</f>
        <v/>
      </c>
      <c r="D953" s="19" t="str">
        <f>IF('Supplier selection'!D953="","",'Supplier selection'!D953)</f>
        <v/>
      </c>
      <c r="E953" s="19" t="str">
        <f>IF('Supplier selection'!E953="","",'Supplier selection'!E953)</f>
        <v/>
      </c>
      <c r="F953" s="19" t="str">
        <f>IF('Supplier selection'!F953="","",'Supplier selection'!F953)</f>
        <v/>
      </c>
      <c r="G953" s="19" t="str">
        <f>IF('Supplier selection'!G953="","",'Supplier selection'!G953)</f>
        <v/>
      </c>
      <c r="H953" s="19" t="str">
        <f>IF('Supplier selection'!H953="","",'Supplier selection'!H953)</f>
        <v/>
      </c>
      <c r="I953" s="19" t="str">
        <f>IF('Supplier selection'!I953="","",'Supplier selection'!I953)</f>
        <v/>
      </c>
      <c r="J953" s="19" t="str">
        <f>IF('Supplier selection'!J953="","",'Supplier selection'!J953)</f>
        <v/>
      </c>
      <c r="K953" s="19" t="str">
        <f>IF('Supplier selection'!K953="","",'Supplier selection'!K953)</f>
        <v/>
      </c>
      <c r="L953" s="19" t="str">
        <f>IF('Supplier selection'!L953="","",'Supplier selection'!L953)</f>
        <v/>
      </c>
      <c r="M953" s="19" t="str">
        <f>IF('Supplier selection'!M953="","",'Supplier selection'!M953)</f>
        <v/>
      </c>
      <c r="N953" s="19" t="str">
        <f>IF('Supplier selection'!N953="","",'Supplier selection'!N953)</f>
        <v/>
      </c>
      <c r="O953" s="19" t="str">
        <f>IF('Supplier selection'!O953="","",'Supplier selection'!O953)</f>
        <v/>
      </c>
      <c r="Q953" s="19" t="str">
        <f>HLOOKUP($Q$3,'Supplier selection'!$AW$4:'Supplier selection'!$CT$1000,$A954,FALSE)</f>
        <v/>
      </c>
      <c r="R953" s="22" t="str">
        <f t="shared" si="154"/>
        <v/>
      </c>
      <c r="S953" s="19" t="str">
        <f t="shared" si="155"/>
        <v/>
      </c>
      <c r="T953" s="22" t="str">
        <f t="shared" si="156"/>
        <v/>
      </c>
      <c r="U953" s="19" t="str">
        <f t="shared" si="157"/>
        <v/>
      </c>
      <c r="V953" s="7"/>
      <c r="Y953" s="19" t="str">
        <f>IF('Supplier selection'!AQ953="","",'Supplier selection'!AQ953)</f>
        <v/>
      </c>
      <c r="Z953" s="19" t="str">
        <f>IF('Supplier selection'!AR953="","",'Supplier selection'!AR953)</f>
        <v/>
      </c>
      <c r="AA953" s="19" t="str">
        <f t="shared" si="158"/>
        <v/>
      </c>
      <c r="AD953" s="26" t="str">
        <f>IF(AND('Supplier selection'!X953="",'Supplier selection'!AE953=""),"",IF('Supplier selection'!X953="",'Supplier selection'!AE953,'Supplier selection'!X953))</f>
        <v/>
      </c>
      <c r="AE953" s="19" t="str">
        <f t="shared" si="159"/>
        <v/>
      </c>
      <c r="AF953" s="19" t="str">
        <f t="shared" si="160"/>
        <v/>
      </c>
      <c r="AG953" s="27" t="str">
        <f>IF(AND('Supplier selection'!AB953="",'Supplier selection'!AI953=""),"",IF('Supplier selection'!AB953="",'Supplier selection'!AI953,'Supplier selection'!AB953))</f>
        <v/>
      </c>
      <c r="AH953" s="28" t="str">
        <f t="shared" si="161"/>
        <v/>
      </c>
      <c r="AI953" s="7" t="str">
        <f t="shared" si="162"/>
        <v/>
      </c>
      <c r="AJ953" s="22" t="str">
        <f t="shared" si="163"/>
        <v/>
      </c>
      <c r="AK953" s="29" t="str">
        <f t="shared" si="164"/>
        <v/>
      </c>
      <c r="AL953" s="10"/>
    </row>
    <row r="954" spans="1:38">
      <c r="A954" s="19">
        <f>IF('Supplier selection'!A954="","",'Supplier selection'!A954)</f>
        <v>950</v>
      </c>
      <c r="B954" s="19" t="str">
        <f>IF('Supplier selection'!B954="","",'Supplier selection'!B954)</f>
        <v/>
      </c>
      <c r="C954" s="19" t="str">
        <f>IF('Supplier selection'!C954="","",'Supplier selection'!C954)</f>
        <v/>
      </c>
      <c r="D954" s="19" t="str">
        <f>IF('Supplier selection'!D954="","",'Supplier selection'!D954)</f>
        <v/>
      </c>
      <c r="E954" s="19" t="str">
        <f>IF('Supplier selection'!E954="","",'Supplier selection'!E954)</f>
        <v/>
      </c>
      <c r="F954" s="19" t="str">
        <f>IF('Supplier selection'!F954="","",'Supplier selection'!F954)</f>
        <v/>
      </c>
      <c r="G954" s="19" t="str">
        <f>IF('Supplier selection'!G954="","",'Supplier selection'!G954)</f>
        <v/>
      </c>
      <c r="H954" s="19" t="str">
        <f>IF('Supplier selection'!H954="","",'Supplier selection'!H954)</f>
        <v/>
      </c>
      <c r="I954" s="19" t="str">
        <f>IF('Supplier selection'!I954="","",'Supplier selection'!I954)</f>
        <v/>
      </c>
      <c r="J954" s="19" t="str">
        <f>IF('Supplier selection'!J954="","",'Supplier selection'!J954)</f>
        <v/>
      </c>
      <c r="K954" s="19" t="str">
        <f>IF('Supplier selection'!K954="","",'Supplier selection'!K954)</f>
        <v/>
      </c>
      <c r="L954" s="19" t="str">
        <f>IF('Supplier selection'!L954="","",'Supplier selection'!L954)</f>
        <v/>
      </c>
      <c r="M954" s="19" t="str">
        <f>IF('Supplier selection'!M954="","",'Supplier selection'!M954)</f>
        <v/>
      </c>
      <c r="N954" s="19" t="str">
        <f>IF('Supplier selection'!N954="","",'Supplier selection'!N954)</f>
        <v/>
      </c>
      <c r="O954" s="19" t="str">
        <f>IF('Supplier selection'!O954="","",'Supplier selection'!O954)</f>
        <v/>
      </c>
      <c r="Q954" s="19" t="str">
        <f>HLOOKUP($Q$3,'Supplier selection'!$AW$4:'Supplier selection'!$CT$1000,$A955,FALSE)</f>
        <v/>
      </c>
      <c r="R954" s="22" t="str">
        <f t="shared" si="154"/>
        <v/>
      </c>
      <c r="S954" s="19" t="str">
        <f t="shared" si="155"/>
        <v/>
      </c>
      <c r="T954" s="22" t="str">
        <f t="shared" si="156"/>
        <v/>
      </c>
      <c r="U954" s="19" t="str">
        <f t="shared" si="157"/>
        <v/>
      </c>
      <c r="V954" s="7"/>
      <c r="Y954" s="19" t="str">
        <f>IF('Supplier selection'!AQ954="","",'Supplier selection'!AQ954)</f>
        <v/>
      </c>
      <c r="Z954" s="19" t="str">
        <f>IF('Supplier selection'!AR954="","",'Supplier selection'!AR954)</f>
        <v/>
      </c>
      <c r="AA954" s="19" t="str">
        <f t="shared" si="158"/>
        <v/>
      </c>
      <c r="AD954" s="26" t="str">
        <f>IF(AND('Supplier selection'!X954="",'Supplier selection'!AE954=""),"",IF('Supplier selection'!X954="",'Supplier selection'!AE954,'Supplier selection'!X954))</f>
        <v/>
      </c>
      <c r="AE954" s="19" t="str">
        <f t="shared" si="159"/>
        <v/>
      </c>
      <c r="AF954" s="19" t="str">
        <f t="shared" si="160"/>
        <v/>
      </c>
      <c r="AG954" s="27" t="str">
        <f>IF(AND('Supplier selection'!AB954="",'Supplier selection'!AI954=""),"",IF('Supplier selection'!AB954="",'Supplier selection'!AI954,'Supplier selection'!AB954))</f>
        <v/>
      </c>
      <c r="AH954" s="28" t="str">
        <f t="shared" si="161"/>
        <v/>
      </c>
      <c r="AI954" s="7" t="str">
        <f t="shared" si="162"/>
        <v/>
      </c>
      <c r="AJ954" s="22" t="str">
        <f t="shared" si="163"/>
        <v/>
      </c>
      <c r="AK954" s="29" t="str">
        <f t="shared" si="164"/>
        <v/>
      </c>
      <c r="AL954" s="10"/>
    </row>
    <row r="955" spans="1:38">
      <c r="A955" s="19">
        <f>IF('Supplier selection'!A955="","",'Supplier selection'!A955)</f>
        <v>951</v>
      </c>
      <c r="B955" s="19" t="str">
        <f>IF('Supplier selection'!B955="","",'Supplier selection'!B955)</f>
        <v/>
      </c>
      <c r="C955" s="19" t="str">
        <f>IF('Supplier selection'!C955="","",'Supplier selection'!C955)</f>
        <v/>
      </c>
      <c r="D955" s="19" t="str">
        <f>IF('Supplier selection'!D955="","",'Supplier selection'!D955)</f>
        <v/>
      </c>
      <c r="E955" s="19" t="str">
        <f>IF('Supplier selection'!E955="","",'Supplier selection'!E955)</f>
        <v/>
      </c>
      <c r="F955" s="19" t="str">
        <f>IF('Supplier selection'!F955="","",'Supplier selection'!F955)</f>
        <v/>
      </c>
      <c r="G955" s="19" t="str">
        <f>IF('Supplier selection'!G955="","",'Supplier selection'!G955)</f>
        <v/>
      </c>
      <c r="H955" s="19" t="str">
        <f>IF('Supplier selection'!H955="","",'Supplier selection'!H955)</f>
        <v/>
      </c>
      <c r="I955" s="19" t="str">
        <f>IF('Supplier selection'!I955="","",'Supplier selection'!I955)</f>
        <v/>
      </c>
      <c r="J955" s="19" t="str">
        <f>IF('Supplier selection'!J955="","",'Supplier selection'!J955)</f>
        <v/>
      </c>
      <c r="K955" s="19" t="str">
        <f>IF('Supplier selection'!K955="","",'Supplier selection'!K955)</f>
        <v/>
      </c>
      <c r="L955" s="19" t="str">
        <f>IF('Supplier selection'!L955="","",'Supplier selection'!L955)</f>
        <v/>
      </c>
      <c r="M955" s="19" t="str">
        <f>IF('Supplier selection'!M955="","",'Supplier selection'!M955)</f>
        <v/>
      </c>
      <c r="N955" s="19" t="str">
        <f>IF('Supplier selection'!N955="","",'Supplier selection'!N955)</f>
        <v/>
      </c>
      <c r="O955" s="19" t="str">
        <f>IF('Supplier selection'!O955="","",'Supplier selection'!O955)</f>
        <v/>
      </c>
      <c r="Q955" s="19" t="str">
        <f>HLOOKUP($Q$3,'Supplier selection'!$AW$4:'Supplier selection'!$CT$1000,$A956,FALSE)</f>
        <v/>
      </c>
      <c r="R955" s="22" t="str">
        <f t="shared" si="154"/>
        <v/>
      </c>
      <c r="S955" s="19" t="str">
        <f t="shared" si="155"/>
        <v/>
      </c>
      <c r="T955" s="22" t="str">
        <f t="shared" si="156"/>
        <v/>
      </c>
      <c r="U955" s="19" t="str">
        <f t="shared" si="157"/>
        <v/>
      </c>
      <c r="V955" s="7"/>
      <c r="Y955" s="19" t="str">
        <f>IF('Supplier selection'!AQ955="","",'Supplier selection'!AQ955)</f>
        <v/>
      </c>
      <c r="Z955" s="19" t="str">
        <f>IF('Supplier selection'!AR955="","",'Supplier selection'!AR955)</f>
        <v/>
      </c>
      <c r="AA955" s="19" t="str">
        <f t="shared" si="158"/>
        <v/>
      </c>
      <c r="AD955" s="26" t="str">
        <f>IF(AND('Supplier selection'!X955="",'Supplier selection'!AE955=""),"",IF('Supplier selection'!X955="",'Supplier selection'!AE955,'Supplier selection'!X955))</f>
        <v/>
      </c>
      <c r="AE955" s="19" t="str">
        <f t="shared" si="159"/>
        <v/>
      </c>
      <c r="AF955" s="19" t="str">
        <f t="shared" si="160"/>
        <v/>
      </c>
      <c r="AG955" s="27" t="str">
        <f>IF(AND('Supplier selection'!AB955="",'Supplier selection'!AI955=""),"",IF('Supplier selection'!AB955="",'Supplier selection'!AI955,'Supplier selection'!AB955))</f>
        <v/>
      </c>
      <c r="AH955" s="28" t="str">
        <f t="shared" si="161"/>
        <v/>
      </c>
      <c r="AI955" s="7" t="str">
        <f t="shared" si="162"/>
        <v/>
      </c>
      <c r="AJ955" s="22" t="str">
        <f t="shared" si="163"/>
        <v/>
      </c>
      <c r="AK955" s="29" t="str">
        <f t="shared" si="164"/>
        <v/>
      </c>
      <c r="AL955" s="10"/>
    </row>
    <row r="956" spans="1:38">
      <c r="A956" s="19">
        <f>IF('Supplier selection'!A956="","",'Supplier selection'!A956)</f>
        <v>952</v>
      </c>
      <c r="B956" s="19" t="str">
        <f>IF('Supplier selection'!B956="","",'Supplier selection'!B956)</f>
        <v/>
      </c>
      <c r="C956" s="19" t="str">
        <f>IF('Supplier selection'!C956="","",'Supplier selection'!C956)</f>
        <v/>
      </c>
      <c r="D956" s="19" t="str">
        <f>IF('Supplier selection'!D956="","",'Supplier selection'!D956)</f>
        <v/>
      </c>
      <c r="E956" s="19" t="str">
        <f>IF('Supplier selection'!E956="","",'Supplier selection'!E956)</f>
        <v/>
      </c>
      <c r="F956" s="19" t="str">
        <f>IF('Supplier selection'!F956="","",'Supplier selection'!F956)</f>
        <v/>
      </c>
      <c r="G956" s="19" t="str">
        <f>IF('Supplier selection'!G956="","",'Supplier selection'!G956)</f>
        <v/>
      </c>
      <c r="H956" s="19" t="str">
        <f>IF('Supplier selection'!H956="","",'Supplier selection'!H956)</f>
        <v/>
      </c>
      <c r="I956" s="19" t="str">
        <f>IF('Supplier selection'!I956="","",'Supplier selection'!I956)</f>
        <v/>
      </c>
      <c r="J956" s="19" t="str">
        <f>IF('Supplier selection'!J956="","",'Supplier selection'!J956)</f>
        <v/>
      </c>
      <c r="K956" s="19" t="str">
        <f>IF('Supplier selection'!K956="","",'Supplier selection'!K956)</f>
        <v/>
      </c>
      <c r="L956" s="19" t="str">
        <f>IF('Supplier selection'!L956="","",'Supplier selection'!L956)</f>
        <v/>
      </c>
      <c r="M956" s="19" t="str">
        <f>IF('Supplier selection'!M956="","",'Supplier selection'!M956)</f>
        <v/>
      </c>
      <c r="N956" s="19" t="str">
        <f>IF('Supplier selection'!N956="","",'Supplier selection'!N956)</f>
        <v/>
      </c>
      <c r="O956" s="19" t="str">
        <f>IF('Supplier selection'!O956="","",'Supplier selection'!O956)</f>
        <v/>
      </c>
      <c r="Q956" s="19" t="str">
        <f>HLOOKUP($Q$3,'Supplier selection'!$AW$4:'Supplier selection'!$CT$1000,$A957,FALSE)</f>
        <v/>
      </c>
      <c r="R956" s="22" t="str">
        <f t="shared" si="154"/>
        <v/>
      </c>
      <c r="S956" s="19" t="str">
        <f t="shared" si="155"/>
        <v/>
      </c>
      <c r="T956" s="22" t="str">
        <f t="shared" si="156"/>
        <v/>
      </c>
      <c r="U956" s="19" t="str">
        <f t="shared" si="157"/>
        <v/>
      </c>
      <c r="V956" s="7"/>
      <c r="Y956" s="19" t="str">
        <f>IF('Supplier selection'!AQ956="","",'Supplier selection'!AQ956)</f>
        <v/>
      </c>
      <c r="Z956" s="19" t="str">
        <f>IF('Supplier selection'!AR956="","",'Supplier selection'!AR956)</f>
        <v/>
      </c>
      <c r="AA956" s="19" t="str">
        <f t="shared" si="158"/>
        <v/>
      </c>
      <c r="AD956" s="26" t="str">
        <f>IF(AND('Supplier selection'!X956="",'Supplier selection'!AE956=""),"",IF('Supplier selection'!X956="",'Supplier selection'!AE956,'Supplier selection'!X956))</f>
        <v/>
      </c>
      <c r="AE956" s="19" t="str">
        <f t="shared" si="159"/>
        <v/>
      </c>
      <c r="AF956" s="19" t="str">
        <f t="shared" si="160"/>
        <v/>
      </c>
      <c r="AG956" s="27" t="str">
        <f>IF(AND('Supplier selection'!AB956="",'Supplier selection'!AI956=""),"",IF('Supplier selection'!AB956="",'Supplier selection'!AI956,'Supplier selection'!AB956))</f>
        <v/>
      </c>
      <c r="AH956" s="28" t="str">
        <f t="shared" si="161"/>
        <v/>
      </c>
      <c r="AI956" s="7" t="str">
        <f t="shared" si="162"/>
        <v/>
      </c>
      <c r="AJ956" s="22" t="str">
        <f t="shared" si="163"/>
        <v/>
      </c>
      <c r="AK956" s="29" t="str">
        <f t="shared" si="164"/>
        <v/>
      </c>
      <c r="AL956" s="10"/>
    </row>
    <row r="957" spans="1:38">
      <c r="A957" s="19">
        <f>IF('Supplier selection'!A957="","",'Supplier selection'!A957)</f>
        <v>953</v>
      </c>
      <c r="B957" s="19" t="str">
        <f>IF('Supplier selection'!B957="","",'Supplier selection'!B957)</f>
        <v/>
      </c>
      <c r="C957" s="19" t="str">
        <f>IF('Supplier selection'!C957="","",'Supplier selection'!C957)</f>
        <v/>
      </c>
      <c r="D957" s="19" t="str">
        <f>IF('Supplier selection'!D957="","",'Supplier selection'!D957)</f>
        <v/>
      </c>
      <c r="E957" s="19" t="str">
        <f>IF('Supplier selection'!E957="","",'Supplier selection'!E957)</f>
        <v/>
      </c>
      <c r="F957" s="19" t="str">
        <f>IF('Supplier selection'!F957="","",'Supplier selection'!F957)</f>
        <v/>
      </c>
      <c r="G957" s="19" t="str">
        <f>IF('Supplier selection'!G957="","",'Supplier selection'!G957)</f>
        <v/>
      </c>
      <c r="H957" s="19" t="str">
        <f>IF('Supplier selection'!H957="","",'Supplier selection'!H957)</f>
        <v/>
      </c>
      <c r="I957" s="19" t="str">
        <f>IF('Supplier selection'!I957="","",'Supplier selection'!I957)</f>
        <v/>
      </c>
      <c r="J957" s="19" t="str">
        <f>IF('Supplier selection'!J957="","",'Supplier selection'!J957)</f>
        <v/>
      </c>
      <c r="K957" s="19" t="str">
        <f>IF('Supplier selection'!K957="","",'Supplier selection'!K957)</f>
        <v/>
      </c>
      <c r="L957" s="19" t="str">
        <f>IF('Supplier selection'!L957="","",'Supplier selection'!L957)</f>
        <v/>
      </c>
      <c r="M957" s="19" t="str">
        <f>IF('Supplier selection'!M957="","",'Supplier selection'!M957)</f>
        <v/>
      </c>
      <c r="N957" s="19" t="str">
        <f>IF('Supplier selection'!N957="","",'Supplier selection'!N957)</f>
        <v/>
      </c>
      <c r="O957" s="19" t="str">
        <f>IF('Supplier selection'!O957="","",'Supplier selection'!O957)</f>
        <v/>
      </c>
      <c r="Q957" s="19" t="str">
        <f>HLOOKUP($Q$3,'Supplier selection'!$AW$4:'Supplier selection'!$CT$1000,$A958,FALSE)</f>
        <v/>
      </c>
      <c r="R957" s="22" t="str">
        <f t="shared" si="154"/>
        <v/>
      </c>
      <c r="S957" s="19" t="str">
        <f t="shared" si="155"/>
        <v/>
      </c>
      <c r="T957" s="22" t="str">
        <f t="shared" si="156"/>
        <v/>
      </c>
      <c r="U957" s="19" t="str">
        <f t="shared" si="157"/>
        <v/>
      </c>
      <c r="V957" s="7"/>
      <c r="Y957" s="19" t="str">
        <f>IF('Supplier selection'!AQ957="","",'Supplier selection'!AQ957)</f>
        <v/>
      </c>
      <c r="Z957" s="19" t="str">
        <f>IF('Supplier selection'!AR957="","",'Supplier selection'!AR957)</f>
        <v/>
      </c>
      <c r="AA957" s="19" t="str">
        <f t="shared" si="158"/>
        <v/>
      </c>
      <c r="AD957" s="26" t="str">
        <f>IF(AND('Supplier selection'!X957="",'Supplier selection'!AE957=""),"",IF('Supplier selection'!X957="",'Supplier selection'!AE957,'Supplier selection'!X957))</f>
        <v/>
      </c>
      <c r="AE957" s="19" t="str">
        <f t="shared" si="159"/>
        <v/>
      </c>
      <c r="AF957" s="19" t="str">
        <f t="shared" si="160"/>
        <v/>
      </c>
      <c r="AG957" s="27" t="str">
        <f>IF(AND('Supplier selection'!AB957="",'Supplier selection'!AI957=""),"",IF('Supplier selection'!AB957="",'Supplier selection'!AI957,'Supplier selection'!AB957))</f>
        <v/>
      </c>
      <c r="AH957" s="28" t="str">
        <f t="shared" si="161"/>
        <v/>
      </c>
      <c r="AI957" s="7" t="str">
        <f t="shared" si="162"/>
        <v/>
      </c>
      <c r="AJ957" s="22" t="str">
        <f t="shared" si="163"/>
        <v/>
      </c>
      <c r="AK957" s="29" t="str">
        <f t="shared" si="164"/>
        <v/>
      </c>
      <c r="AL957" s="10"/>
    </row>
    <row r="958" spans="1:38">
      <c r="A958" s="19">
        <f>IF('Supplier selection'!A958="","",'Supplier selection'!A958)</f>
        <v>954</v>
      </c>
      <c r="B958" s="19" t="str">
        <f>IF('Supplier selection'!B958="","",'Supplier selection'!B958)</f>
        <v/>
      </c>
      <c r="C958" s="19" t="str">
        <f>IF('Supplier selection'!C958="","",'Supplier selection'!C958)</f>
        <v/>
      </c>
      <c r="D958" s="19" t="str">
        <f>IF('Supplier selection'!D958="","",'Supplier selection'!D958)</f>
        <v/>
      </c>
      <c r="E958" s="19" t="str">
        <f>IF('Supplier selection'!E958="","",'Supplier selection'!E958)</f>
        <v/>
      </c>
      <c r="F958" s="19" t="str">
        <f>IF('Supplier selection'!F958="","",'Supplier selection'!F958)</f>
        <v/>
      </c>
      <c r="G958" s="19" t="str">
        <f>IF('Supplier selection'!G958="","",'Supplier selection'!G958)</f>
        <v/>
      </c>
      <c r="H958" s="19" t="str">
        <f>IF('Supplier selection'!H958="","",'Supplier selection'!H958)</f>
        <v/>
      </c>
      <c r="I958" s="19" t="str">
        <f>IF('Supplier selection'!I958="","",'Supplier selection'!I958)</f>
        <v/>
      </c>
      <c r="J958" s="19" t="str">
        <f>IF('Supplier selection'!J958="","",'Supplier selection'!J958)</f>
        <v/>
      </c>
      <c r="K958" s="19" t="str">
        <f>IF('Supplier selection'!K958="","",'Supplier selection'!K958)</f>
        <v/>
      </c>
      <c r="L958" s="19" t="str">
        <f>IF('Supplier selection'!L958="","",'Supplier selection'!L958)</f>
        <v/>
      </c>
      <c r="M958" s="19" t="str">
        <f>IF('Supplier selection'!M958="","",'Supplier selection'!M958)</f>
        <v/>
      </c>
      <c r="N958" s="19" t="str">
        <f>IF('Supplier selection'!N958="","",'Supplier selection'!N958)</f>
        <v/>
      </c>
      <c r="O958" s="19" t="str">
        <f>IF('Supplier selection'!O958="","",'Supplier selection'!O958)</f>
        <v/>
      </c>
      <c r="Q958" s="19" t="str">
        <f>HLOOKUP($Q$3,'Supplier selection'!$AW$4:'Supplier selection'!$CT$1000,$A959,FALSE)</f>
        <v/>
      </c>
      <c r="R958" s="22" t="str">
        <f t="shared" si="154"/>
        <v/>
      </c>
      <c r="S958" s="19" t="str">
        <f t="shared" si="155"/>
        <v/>
      </c>
      <c r="T958" s="22" t="str">
        <f t="shared" si="156"/>
        <v/>
      </c>
      <c r="U958" s="19" t="str">
        <f t="shared" si="157"/>
        <v/>
      </c>
      <c r="V958" s="7"/>
      <c r="Y958" s="19" t="str">
        <f>IF('Supplier selection'!AQ958="","",'Supplier selection'!AQ958)</f>
        <v/>
      </c>
      <c r="Z958" s="19" t="str">
        <f>IF('Supplier selection'!AR958="","",'Supplier selection'!AR958)</f>
        <v/>
      </c>
      <c r="AA958" s="19" t="str">
        <f t="shared" si="158"/>
        <v/>
      </c>
      <c r="AD958" s="26" t="str">
        <f>IF(AND('Supplier selection'!X958="",'Supplier selection'!AE958=""),"",IF('Supplier selection'!X958="",'Supplier selection'!AE958,'Supplier selection'!X958))</f>
        <v/>
      </c>
      <c r="AE958" s="19" t="str">
        <f t="shared" si="159"/>
        <v/>
      </c>
      <c r="AF958" s="19" t="str">
        <f t="shared" si="160"/>
        <v/>
      </c>
      <c r="AG958" s="27" t="str">
        <f>IF(AND('Supplier selection'!AB958="",'Supplier selection'!AI958=""),"",IF('Supplier selection'!AB958="",'Supplier selection'!AI958,'Supplier selection'!AB958))</f>
        <v/>
      </c>
      <c r="AH958" s="28" t="str">
        <f t="shared" si="161"/>
        <v/>
      </c>
      <c r="AI958" s="7" t="str">
        <f t="shared" si="162"/>
        <v/>
      </c>
      <c r="AJ958" s="22" t="str">
        <f t="shared" si="163"/>
        <v/>
      </c>
      <c r="AK958" s="29" t="str">
        <f t="shared" si="164"/>
        <v/>
      </c>
      <c r="AL958" s="10"/>
    </row>
    <row r="959" spans="1:38">
      <c r="A959" s="19">
        <f>IF('Supplier selection'!A959="","",'Supplier selection'!A959)</f>
        <v>955</v>
      </c>
      <c r="B959" s="19" t="str">
        <f>IF('Supplier selection'!B959="","",'Supplier selection'!B959)</f>
        <v/>
      </c>
      <c r="C959" s="19" t="str">
        <f>IF('Supplier selection'!C959="","",'Supplier selection'!C959)</f>
        <v/>
      </c>
      <c r="D959" s="19" t="str">
        <f>IF('Supplier selection'!D959="","",'Supplier selection'!D959)</f>
        <v/>
      </c>
      <c r="E959" s="19" t="str">
        <f>IF('Supplier selection'!E959="","",'Supplier selection'!E959)</f>
        <v/>
      </c>
      <c r="F959" s="19" t="str">
        <f>IF('Supplier selection'!F959="","",'Supplier selection'!F959)</f>
        <v/>
      </c>
      <c r="G959" s="19" t="str">
        <f>IF('Supplier selection'!G959="","",'Supplier selection'!G959)</f>
        <v/>
      </c>
      <c r="H959" s="19" t="str">
        <f>IF('Supplier selection'!H959="","",'Supplier selection'!H959)</f>
        <v/>
      </c>
      <c r="I959" s="19" t="str">
        <f>IF('Supplier selection'!I959="","",'Supplier selection'!I959)</f>
        <v/>
      </c>
      <c r="J959" s="19" t="str">
        <f>IF('Supplier selection'!J959="","",'Supplier selection'!J959)</f>
        <v/>
      </c>
      <c r="K959" s="19" t="str">
        <f>IF('Supplier selection'!K959="","",'Supplier selection'!K959)</f>
        <v/>
      </c>
      <c r="L959" s="19" t="str">
        <f>IF('Supplier selection'!L959="","",'Supplier selection'!L959)</f>
        <v/>
      </c>
      <c r="M959" s="19" t="str">
        <f>IF('Supplier selection'!M959="","",'Supplier selection'!M959)</f>
        <v/>
      </c>
      <c r="N959" s="19" t="str">
        <f>IF('Supplier selection'!N959="","",'Supplier selection'!N959)</f>
        <v/>
      </c>
      <c r="O959" s="19" t="str">
        <f>IF('Supplier selection'!O959="","",'Supplier selection'!O959)</f>
        <v/>
      </c>
      <c r="Q959" s="19" t="str">
        <f>HLOOKUP($Q$3,'Supplier selection'!$AW$4:'Supplier selection'!$CT$1000,$A960,FALSE)</f>
        <v/>
      </c>
      <c r="R959" s="22" t="str">
        <f t="shared" si="154"/>
        <v/>
      </c>
      <c r="S959" s="19" t="str">
        <f t="shared" si="155"/>
        <v/>
      </c>
      <c r="T959" s="22" t="str">
        <f t="shared" si="156"/>
        <v/>
      </c>
      <c r="U959" s="19" t="str">
        <f t="shared" si="157"/>
        <v/>
      </c>
      <c r="V959" s="7"/>
      <c r="Y959" s="19" t="str">
        <f>IF('Supplier selection'!AQ959="","",'Supplier selection'!AQ959)</f>
        <v/>
      </c>
      <c r="Z959" s="19" t="str">
        <f>IF('Supplier selection'!AR959="","",'Supplier selection'!AR959)</f>
        <v/>
      </c>
      <c r="AA959" s="19" t="str">
        <f t="shared" si="158"/>
        <v/>
      </c>
      <c r="AD959" s="26" t="str">
        <f>IF(AND('Supplier selection'!X959="",'Supplier selection'!AE959=""),"",IF('Supplier selection'!X959="",'Supplier selection'!AE959,'Supplier selection'!X959))</f>
        <v/>
      </c>
      <c r="AE959" s="19" t="str">
        <f t="shared" si="159"/>
        <v/>
      </c>
      <c r="AF959" s="19" t="str">
        <f t="shared" si="160"/>
        <v/>
      </c>
      <c r="AG959" s="27" t="str">
        <f>IF(AND('Supplier selection'!AB959="",'Supplier selection'!AI959=""),"",IF('Supplier selection'!AB959="",'Supplier selection'!AI959,'Supplier selection'!AB959))</f>
        <v/>
      </c>
      <c r="AH959" s="28" t="str">
        <f t="shared" si="161"/>
        <v/>
      </c>
      <c r="AI959" s="7" t="str">
        <f t="shared" si="162"/>
        <v/>
      </c>
      <c r="AJ959" s="22" t="str">
        <f t="shared" si="163"/>
        <v/>
      </c>
      <c r="AK959" s="29" t="str">
        <f t="shared" si="164"/>
        <v/>
      </c>
      <c r="AL959" s="10"/>
    </row>
    <row r="960" spans="1:38">
      <c r="A960" s="19">
        <f>IF('Supplier selection'!A960="","",'Supplier selection'!A960)</f>
        <v>956</v>
      </c>
      <c r="B960" s="19" t="str">
        <f>IF('Supplier selection'!B960="","",'Supplier selection'!B960)</f>
        <v/>
      </c>
      <c r="C960" s="19" t="str">
        <f>IF('Supplier selection'!C960="","",'Supplier selection'!C960)</f>
        <v/>
      </c>
      <c r="D960" s="19" t="str">
        <f>IF('Supplier selection'!D960="","",'Supplier selection'!D960)</f>
        <v/>
      </c>
      <c r="E960" s="19" t="str">
        <f>IF('Supplier selection'!E960="","",'Supplier selection'!E960)</f>
        <v/>
      </c>
      <c r="F960" s="19" t="str">
        <f>IF('Supplier selection'!F960="","",'Supplier selection'!F960)</f>
        <v/>
      </c>
      <c r="G960" s="19" t="str">
        <f>IF('Supplier selection'!G960="","",'Supplier selection'!G960)</f>
        <v/>
      </c>
      <c r="H960" s="19" t="str">
        <f>IF('Supplier selection'!H960="","",'Supplier selection'!H960)</f>
        <v/>
      </c>
      <c r="I960" s="19" t="str">
        <f>IF('Supplier selection'!I960="","",'Supplier selection'!I960)</f>
        <v/>
      </c>
      <c r="J960" s="19" t="str">
        <f>IF('Supplier selection'!J960="","",'Supplier selection'!J960)</f>
        <v/>
      </c>
      <c r="K960" s="19" t="str">
        <f>IF('Supplier selection'!K960="","",'Supplier selection'!K960)</f>
        <v/>
      </c>
      <c r="L960" s="19" t="str">
        <f>IF('Supplier selection'!L960="","",'Supplier selection'!L960)</f>
        <v/>
      </c>
      <c r="M960" s="19" t="str">
        <f>IF('Supplier selection'!M960="","",'Supplier selection'!M960)</f>
        <v/>
      </c>
      <c r="N960" s="19" t="str">
        <f>IF('Supplier selection'!N960="","",'Supplier selection'!N960)</f>
        <v/>
      </c>
      <c r="O960" s="19" t="str">
        <f>IF('Supplier selection'!O960="","",'Supplier selection'!O960)</f>
        <v/>
      </c>
      <c r="Q960" s="19" t="str">
        <f>HLOOKUP($Q$3,'Supplier selection'!$AW$4:'Supplier selection'!$CT$1000,$A961,FALSE)</f>
        <v/>
      </c>
      <c r="R960" s="22" t="str">
        <f t="shared" si="154"/>
        <v/>
      </c>
      <c r="S960" s="19" t="str">
        <f t="shared" si="155"/>
        <v/>
      </c>
      <c r="T960" s="22" t="str">
        <f t="shared" si="156"/>
        <v/>
      </c>
      <c r="U960" s="19" t="str">
        <f t="shared" si="157"/>
        <v/>
      </c>
      <c r="V960" s="7"/>
      <c r="Y960" s="19" t="str">
        <f>IF('Supplier selection'!AQ960="","",'Supplier selection'!AQ960)</f>
        <v/>
      </c>
      <c r="Z960" s="19" t="str">
        <f>IF('Supplier selection'!AR960="","",'Supplier selection'!AR960)</f>
        <v/>
      </c>
      <c r="AA960" s="19" t="str">
        <f t="shared" si="158"/>
        <v/>
      </c>
      <c r="AD960" s="26" t="str">
        <f>IF(AND('Supplier selection'!X960="",'Supplier selection'!AE960=""),"",IF('Supplier selection'!X960="",'Supplier selection'!AE960,'Supplier selection'!X960))</f>
        <v/>
      </c>
      <c r="AE960" s="19" t="str">
        <f t="shared" si="159"/>
        <v/>
      </c>
      <c r="AF960" s="19" t="str">
        <f t="shared" si="160"/>
        <v/>
      </c>
      <c r="AG960" s="27" t="str">
        <f>IF(AND('Supplier selection'!AB960="",'Supplier selection'!AI960=""),"",IF('Supplier selection'!AB960="",'Supplier selection'!AI960,'Supplier selection'!AB960))</f>
        <v/>
      </c>
      <c r="AH960" s="28" t="str">
        <f t="shared" si="161"/>
        <v/>
      </c>
      <c r="AI960" s="7" t="str">
        <f t="shared" si="162"/>
        <v/>
      </c>
      <c r="AJ960" s="22" t="str">
        <f t="shared" si="163"/>
        <v/>
      </c>
      <c r="AK960" s="29" t="str">
        <f t="shared" si="164"/>
        <v/>
      </c>
      <c r="AL960" s="10"/>
    </row>
    <row r="961" spans="1:38">
      <c r="A961" s="19">
        <f>IF('Supplier selection'!A961="","",'Supplier selection'!A961)</f>
        <v>957</v>
      </c>
      <c r="B961" s="19" t="str">
        <f>IF('Supplier selection'!B961="","",'Supplier selection'!B961)</f>
        <v/>
      </c>
      <c r="C961" s="19" t="str">
        <f>IF('Supplier selection'!C961="","",'Supplier selection'!C961)</f>
        <v/>
      </c>
      <c r="D961" s="19" t="str">
        <f>IF('Supplier selection'!D961="","",'Supplier selection'!D961)</f>
        <v/>
      </c>
      <c r="E961" s="19" t="str">
        <f>IF('Supplier selection'!E961="","",'Supplier selection'!E961)</f>
        <v/>
      </c>
      <c r="F961" s="19" t="str">
        <f>IF('Supplier selection'!F961="","",'Supplier selection'!F961)</f>
        <v/>
      </c>
      <c r="G961" s="19" t="str">
        <f>IF('Supplier selection'!G961="","",'Supplier selection'!G961)</f>
        <v/>
      </c>
      <c r="H961" s="19" t="str">
        <f>IF('Supplier selection'!H961="","",'Supplier selection'!H961)</f>
        <v/>
      </c>
      <c r="I961" s="19" t="str">
        <f>IF('Supplier selection'!I961="","",'Supplier selection'!I961)</f>
        <v/>
      </c>
      <c r="J961" s="19" t="str">
        <f>IF('Supplier selection'!J961="","",'Supplier selection'!J961)</f>
        <v/>
      </c>
      <c r="K961" s="19" t="str">
        <f>IF('Supplier selection'!K961="","",'Supplier selection'!K961)</f>
        <v/>
      </c>
      <c r="L961" s="19" t="str">
        <f>IF('Supplier selection'!L961="","",'Supplier selection'!L961)</f>
        <v/>
      </c>
      <c r="M961" s="19" t="str">
        <f>IF('Supplier selection'!M961="","",'Supplier selection'!M961)</f>
        <v/>
      </c>
      <c r="N961" s="19" t="str">
        <f>IF('Supplier selection'!N961="","",'Supplier selection'!N961)</f>
        <v/>
      </c>
      <c r="O961" s="19" t="str">
        <f>IF('Supplier selection'!O961="","",'Supplier selection'!O961)</f>
        <v/>
      </c>
      <c r="Q961" s="19" t="str">
        <f>HLOOKUP($Q$3,'Supplier selection'!$AW$4:'Supplier selection'!$CT$1000,$A962,FALSE)</f>
        <v/>
      </c>
      <c r="R961" s="22" t="str">
        <f t="shared" si="154"/>
        <v/>
      </c>
      <c r="S961" s="19" t="str">
        <f t="shared" si="155"/>
        <v/>
      </c>
      <c r="T961" s="22" t="str">
        <f t="shared" si="156"/>
        <v/>
      </c>
      <c r="U961" s="19" t="str">
        <f t="shared" si="157"/>
        <v/>
      </c>
      <c r="V961" s="7"/>
      <c r="Y961" s="19" t="str">
        <f>IF('Supplier selection'!AQ961="","",'Supplier selection'!AQ961)</f>
        <v/>
      </c>
      <c r="Z961" s="19" t="str">
        <f>IF('Supplier selection'!AR961="","",'Supplier selection'!AR961)</f>
        <v/>
      </c>
      <c r="AA961" s="19" t="str">
        <f t="shared" si="158"/>
        <v/>
      </c>
      <c r="AD961" s="26" t="str">
        <f>IF(AND('Supplier selection'!X961="",'Supplier selection'!AE961=""),"",IF('Supplier selection'!X961="",'Supplier selection'!AE961,'Supplier selection'!X961))</f>
        <v/>
      </c>
      <c r="AE961" s="19" t="str">
        <f t="shared" si="159"/>
        <v/>
      </c>
      <c r="AF961" s="19" t="str">
        <f t="shared" si="160"/>
        <v/>
      </c>
      <c r="AG961" s="27" t="str">
        <f>IF(AND('Supplier selection'!AB961="",'Supplier selection'!AI961=""),"",IF('Supplier selection'!AB961="",'Supplier selection'!AI961,'Supplier selection'!AB961))</f>
        <v/>
      </c>
      <c r="AH961" s="28" t="str">
        <f t="shared" si="161"/>
        <v/>
      </c>
      <c r="AI961" s="7" t="str">
        <f t="shared" si="162"/>
        <v/>
      </c>
      <c r="AJ961" s="22" t="str">
        <f t="shared" si="163"/>
        <v/>
      </c>
      <c r="AK961" s="29" t="str">
        <f t="shared" si="164"/>
        <v/>
      </c>
      <c r="AL961" s="10"/>
    </row>
    <row r="962" spans="1:38">
      <c r="A962" s="19">
        <f>IF('Supplier selection'!A962="","",'Supplier selection'!A962)</f>
        <v>958</v>
      </c>
      <c r="B962" s="19" t="str">
        <f>IF('Supplier selection'!B962="","",'Supplier selection'!B962)</f>
        <v/>
      </c>
      <c r="C962" s="19" t="str">
        <f>IF('Supplier selection'!C962="","",'Supplier selection'!C962)</f>
        <v/>
      </c>
      <c r="D962" s="19" t="str">
        <f>IF('Supplier selection'!D962="","",'Supplier selection'!D962)</f>
        <v/>
      </c>
      <c r="E962" s="19" t="str">
        <f>IF('Supplier selection'!E962="","",'Supplier selection'!E962)</f>
        <v/>
      </c>
      <c r="F962" s="19" t="str">
        <f>IF('Supplier selection'!F962="","",'Supplier selection'!F962)</f>
        <v/>
      </c>
      <c r="G962" s="19" t="str">
        <f>IF('Supplier selection'!G962="","",'Supplier selection'!G962)</f>
        <v/>
      </c>
      <c r="H962" s="19" t="str">
        <f>IF('Supplier selection'!H962="","",'Supplier selection'!H962)</f>
        <v/>
      </c>
      <c r="I962" s="19" t="str">
        <f>IF('Supplier selection'!I962="","",'Supplier selection'!I962)</f>
        <v/>
      </c>
      <c r="J962" s="19" t="str">
        <f>IF('Supplier selection'!J962="","",'Supplier selection'!J962)</f>
        <v/>
      </c>
      <c r="K962" s="19" t="str">
        <f>IF('Supplier selection'!K962="","",'Supplier selection'!K962)</f>
        <v/>
      </c>
      <c r="L962" s="19" t="str">
        <f>IF('Supplier selection'!L962="","",'Supplier selection'!L962)</f>
        <v/>
      </c>
      <c r="M962" s="19" t="str">
        <f>IF('Supplier selection'!M962="","",'Supplier selection'!M962)</f>
        <v/>
      </c>
      <c r="N962" s="19" t="str">
        <f>IF('Supplier selection'!N962="","",'Supplier selection'!N962)</f>
        <v/>
      </c>
      <c r="O962" s="19" t="str">
        <f>IF('Supplier selection'!O962="","",'Supplier selection'!O962)</f>
        <v/>
      </c>
      <c r="Q962" s="19" t="str">
        <f>HLOOKUP($Q$3,'Supplier selection'!$AW$4:'Supplier selection'!$CT$1000,$A963,FALSE)</f>
        <v/>
      </c>
      <c r="R962" s="22" t="str">
        <f t="shared" si="154"/>
        <v/>
      </c>
      <c r="S962" s="19" t="str">
        <f t="shared" si="155"/>
        <v/>
      </c>
      <c r="T962" s="22" t="str">
        <f t="shared" si="156"/>
        <v/>
      </c>
      <c r="U962" s="19" t="str">
        <f t="shared" si="157"/>
        <v/>
      </c>
      <c r="V962" s="7"/>
      <c r="Y962" s="19" t="str">
        <f>IF('Supplier selection'!AQ962="","",'Supplier selection'!AQ962)</f>
        <v/>
      </c>
      <c r="Z962" s="19" t="str">
        <f>IF('Supplier selection'!AR962="","",'Supplier selection'!AR962)</f>
        <v/>
      </c>
      <c r="AA962" s="19" t="str">
        <f t="shared" si="158"/>
        <v/>
      </c>
      <c r="AD962" s="26" t="str">
        <f>IF(AND('Supplier selection'!X962="",'Supplier selection'!AE962=""),"",IF('Supplier selection'!X962="",'Supplier selection'!AE962,'Supplier selection'!X962))</f>
        <v/>
      </c>
      <c r="AE962" s="19" t="str">
        <f t="shared" si="159"/>
        <v/>
      </c>
      <c r="AF962" s="19" t="str">
        <f t="shared" si="160"/>
        <v/>
      </c>
      <c r="AG962" s="27" t="str">
        <f>IF(AND('Supplier selection'!AB962="",'Supplier selection'!AI962=""),"",IF('Supplier selection'!AB962="",'Supplier selection'!AI962,'Supplier selection'!AB962))</f>
        <v/>
      </c>
      <c r="AH962" s="28" t="str">
        <f t="shared" si="161"/>
        <v/>
      </c>
      <c r="AI962" s="7" t="str">
        <f t="shared" si="162"/>
        <v/>
      </c>
      <c r="AJ962" s="22" t="str">
        <f t="shared" si="163"/>
        <v/>
      </c>
      <c r="AK962" s="29" t="str">
        <f t="shared" si="164"/>
        <v/>
      </c>
      <c r="AL962" s="10"/>
    </row>
    <row r="963" spans="1:38">
      <c r="A963" s="19">
        <f>IF('Supplier selection'!A963="","",'Supplier selection'!A963)</f>
        <v>959</v>
      </c>
      <c r="B963" s="19" t="str">
        <f>IF('Supplier selection'!B963="","",'Supplier selection'!B963)</f>
        <v/>
      </c>
      <c r="C963" s="19" t="str">
        <f>IF('Supplier selection'!C963="","",'Supplier selection'!C963)</f>
        <v/>
      </c>
      <c r="D963" s="19" t="str">
        <f>IF('Supplier selection'!D963="","",'Supplier selection'!D963)</f>
        <v/>
      </c>
      <c r="E963" s="19" t="str">
        <f>IF('Supplier selection'!E963="","",'Supplier selection'!E963)</f>
        <v/>
      </c>
      <c r="F963" s="19" t="str">
        <f>IF('Supplier selection'!F963="","",'Supplier selection'!F963)</f>
        <v/>
      </c>
      <c r="G963" s="19" t="str">
        <f>IF('Supplier selection'!G963="","",'Supplier selection'!G963)</f>
        <v/>
      </c>
      <c r="H963" s="19" t="str">
        <f>IF('Supplier selection'!H963="","",'Supplier selection'!H963)</f>
        <v/>
      </c>
      <c r="I963" s="19" t="str">
        <f>IF('Supplier selection'!I963="","",'Supplier selection'!I963)</f>
        <v/>
      </c>
      <c r="J963" s="19" t="str">
        <f>IF('Supplier selection'!J963="","",'Supplier selection'!J963)</f>
        <v/>
      </c>
      <c r="K963" s="19" t="str">
        <f>IF('Supplier selection'!K963="","",'Supplier selection'!K963)</f>
        <v/>
      </c>
      <c r="L963" s="19" t="str">
        <f>IF('Supplier selection'!L963="","",'Supplier selection'!L963)</f>
        <v/>
      </c>
      <c r="M963" s="19" t="str">
        <f>IF('Supplier selection'!M963="","",'Supplier selection'!M963)</f>
        <v/>
      </c>
      <c r="N963" s="19" t="str">
        <f>IF('Supplier selection'!N963="","",'Supplier selection'!N963)</f>
        <v/>
      </c>
      <c r="O963" s="19" t="str">
        <f>IF('Supplier selection'!O963="","",'Supplier selection'!O963)</f>
        <v/>
      </c>
      <c r="Q963" s="19" t="str">
        <f>HLOOKUP($Q$3,'Supplier selection'!$AW$4:'Supplier selection'!$CT$1000,$A964,FALSE)</f>
        <v/>
      </c>
      <c r="R963" s="22" t="str">
        <f t="shared" si="154"/>
        <v/>
      </c>
      <c r="S963" s="19" t="str">
        <f t="shared" si="155"/>
        <v/>
      </c>
      <c r="T963" s="22" t="str">
        <f t="shared" si="156"/>
        <v/>
      </c>
      <c r="U963" s="19" t="str">
        <f t="shared" si="157"/>
        <v/>
      </c>
      <c r="V963" s="7"/>
      <c r="Y963" s="19" t="str">
        <f>IF('Supplier selection'!AQ963="","",'Supplier selection'!AQ963)</f>
        <v/>
      </c>
      <c r="Z963" s="19" t="str">
        <f>IF('Supplier selection'!AR963="","",'Supplier selection'!AR963)</f>
        <v/>
      </c>
      <c r="AA963" s="19" t="str">
        <f t="shared" si="158"/>
        <v/>
      </c>
      <c r="AD963" s="26" t="str">
        <f>IF(AND('Supplier selection'!X963="",'Supplier selection'!AE963=""),"",IF('Supplier selection'!X963="",'Supplier selection'!AE963,'Supplier selection'!X963))</f>
        <v/>
      </c>
      <c r="AE963" s="19" t="str">
        <f t="shared" si="159"/>
        <v/>
      </c>
      <c r="AF963" s="19" t="str">
        <f t="shared" si="160"/>
        <v/>
      </c>
      <c r="AG963" s="27" t="str">
        <f>IF(AND('Supplier selection'!AB963="",'Supplier selection'!AI963=""),"",IF('Supplier selection'!AB963="",'Supplier selection'!AI963,'Supplier selection'!AB963))</f>
        <v/>
      </c>
      <c r="AH963" s="28" t="str">
        <f t="shared" si="161"/>
        <v/>
      </c>
      <c r="AI963" s="7" t="str">
        <f t="shared" si="162"/>
        <v/>
      </c>
      <c r="AJ963" s="22" t="str">
        <f t="shared" si="163"/>
        <v/>
      </c>
      <c r="AK963" s="29" t="str">
        <f t="shared" si="164"/>
        <v/>
      </c>
      <c r="AL963" s="10"/>
    </row>
    <row r="964" spans="1:38">
      <c r="A964" s="19">
        <f>IF('Supplier selection'!A964="","",'Supplier selection'!A964)</f>
        <v>960</v>
      </c>
      <c r="B964" s="19" t="str">
        <f>IF('Supplier selection'!B964="","",'Supplier selection'!B964)</f>
        <v/>
      </c>
      <c r="C964" s="19" t="str">
        <f>IF('Supplier selection'!C964="","",'Supplier selection'!C964)</f>
        <v/>
      </c>
      <c r="D964" s="19" t="str">
        <f>IF('Supplier selection'!D964="","",'Supplier selection'!D964)</f>
        <v/>
      </c>
      <c r="E964" s="19" t="str">
        <f>IF('Supplier selection'!E964="","",'Supplier selection'!E964)</f>
        <v/>
      </c>
      <c r="F964" s="19" t="str">
        <f>IF('Supplier selection'!F964="","",'Supplier selection'!F964)</f>
        <v/>
      </c>
      <c r="G964" s="19" t="str">
        <f>IF('Supplier selection'!G964="","",'Supplier selection'!G964)</f>
        <v/>
      </c>
      <c r="H964" s="19" t="str">
        <f>IF('Supplier selection'!H964="","",'Supplier selection'!H964)</f>
        <v/>
      </c>
      <c r="I964" s="19" t="str">
        <f>IF('Supplier selection'!I964="","",'Supplier selection'!I964)</f>
        <v/>
      </c>
      <c r="J964" s="19" t="str">
        <f>IF('Supplier selection'!J964="","",'Supplier selection'!J964)</f>
        <v/>
      </c>
      <c r="K964" s="19" t="str">
        <f>IF('Supplier selection'!K964="","",'Supplier selection'!K964)</f>
        <v/>
      </c>
      <c r="L964" s="19" t="str">
        <f>IF('Supplier selection'!L964="","",'Supplier selection'!L964)</f>
        <v/>
      </c>
      <c r="M964" s="19" t="str">
        <f>IF('Supplier selection'!M964="","",'Supplier selection'!M964)</f>
        <v/>
      </c>
      <c r="N964" s="19" t="str">
        <f>IF('Supplier selection'!N964="","",'Supplier selection'!N964)</f>
        <v/>
      </c>
      <c r="O964" s="19" t="str">
        <f>IF('Supplier selection'!O964="","",'Supplier selection'!O964)</f>
        <v/>
      </c>
      <c r="Q964" s="19" t="str">
        <f>HLOOKUP($Q$3,'Supplier selection'!$AW$4:'Supplier selection'!$CT$1000,$A965,FALSE)</f>
        <v/>
      </c>
      <c r="R964" s="22" t="str">
        <f t="shared" si="154"/>
        <v/>
      </c>
      <c r="S964" s="19" t="str">
        <f t="shared" si="155"/>
        <v/>
      </c>
      <c r="T964" s="22" t="str">
        <f t="shared" si="156"/>
        <v/>
      </c>
      <c r="U964" s="19" t="str">
        <f t="shared" si="157"/>
        <v/>
      </c>
      <c r="V964" s="7"/>
      <c r="Y964" s="19" t="str">
        <f>IF('Supplier selection'!AQ964="","",'Supplier selection'!AQ964)</f>
        <v/>
      </c>
      <c r="Z964" s="19" t="str">
        <f>IF('Supplier selection'!AR964="","",'Supplier selection'!AR964)</f>
        <v/>
      </c>
      <c r="AA964" s="19" t="str">
        <f t="shared" si="158"/>
        <v/>
      </c>
      <c r="AD964" s="26" t="str">
        <f>IF(AND('Supplier selection'!X964="",'Supplier selection'!AE964=""),"",IF('Supplier selection'!X964="",'Supplier selection'!AE964,'Supplier selection'!X964))</f>
        <v/>
      </c>
      <c r="AE964" s="19" t="str">
        <f t="shared" si="159"/>
        <v/>
      </c>
      <c r="AF964" s="19" t="str">
        <f t="shared" si="160"/>
        <v/>
      </c>
      <c r="AG964" s="27" t="str">
        <f>IF(AND('Supplier selection'!AB964="",'Supplier selection'!AI964=""),"",IF('Supplier selection'!AB964="",'Supplier selection'!AI964,'Supplier selection'!AB964))</f>
        <v/>
      </c>
      <c r="AH964" s="28" t="str">
        <f t="shared" si="161"/>
        <v/>
      </c>
      <c r="AI964" s="7" t="str">
        <f t="shared" si="162"/>
        <v/>
      </c>
      <c r="AJ964" s="22" t="str">
        <f t="shared" si="163"/>
        <v/>
      </c>
      <c r="AK964" s="29" t="str">
        <f t="shared" si="164"/>
        <v/>
      </c>
      <c r="AL964" s="10"/>
    </row>
    <row r="965" spans="1:38">
      <c r="A965" s="19">
        <f>IF('Supplier selection'!A965="","",'Supplier selection'!A965)</f>
        <v>961</v>
      </c>
      <c r="B965" s="19" t="str">
        <f>IF('Supplier selection'!B965="","",'Supplier selection'!B965)</f>
        <v/>
      </c>
      <c r="C965" s="19" t="str">
        <f>IF('Supplier selection'!C965="","",'Supplier selection'!C965)</f>
        <v/>
      </c>
      <c r="D965" s="19" t="str">
        <f>IF('Supplier selection'!D965="","",'Supplier selection'!D965)</f>
        <v/>
      </c>
      <c r="E965" s="19" t="str">
        <f>IF('Supplier selection'!E965="","",'Supplier selection'!E965)</f>
        <v/>
      </c>
      <c r="F965" s="19" t="str">
        <f>IF('Supplier selection'!F965="","",'Supplier selection'!F965)</f>
        <v/>
      </c>
      <c r="G965" s="19" t="str">
        <f>IF('Supplier selection'!G965="","",'Supplier selection'!G965)</f>
        <v/>
      </c>
      <c r="H965" s="19" t="str">
        <f>IF('Supplier selection'!H965="","",'Supplier selection'!H965)</f>
        <v/>
      </c>
      <c r="I965" s="19" t="str">
        <f>IF('Supplier selection'!I965="","",'Supplier selection'!I965)</f>
        <v/>
      </c>
      <c r="J965" s="19" t="str">
        <f>IF('Supplier selection'!J965="","",'Supplier selection'!J965)</f>
        <v/>
      </c>
      <c r="K965" s="19" t="str">
        <f>IF('Supplier selection'!K965="","",'Supplier selection'!K965)</f>
        <v/>
      </c>
      <c r="L965" s="19" t="str">
        <f>IF('Supplier selection'!L965="","",'Supplier selection'!L965)</f>
        <v/>
      </c>
      <c r="M965" s="19" t="str">
        <f>IF('Supplier selection'!M965="","",'Supplier selection'!M965)</f>
        <v/>
      </c>
      <c r="N965" s="19" t="str">
        <f>IF('Supplier selection'!N965="","",'Supplier selection'!N965)</f>
        <v/>
      </c>
      <c r="O965" s="19" t="str">
        <f>IF('Supplier selection'!O965="","",'Supplier selection'!O965)</f>
        <v/>
      </c>
      <c r="Q965" s="19" t="str">
        <f>HLOOKUP($Q$3,'Supplier selection'!$AW$4:'Supplier selection'!$CT$1000,$A966,FALSE)</f>
        <v/>
      </c>
      <c r="R965" s="22" t="str">
        <f t="shared" si="154"/>
        <v/>
      </c>
      <c r="S965" s="19" t="str">
        <f t="shared" si="155"/>
        <v/>
      </c>
      <c r="T965" s="22" t="str">
        <f t="shared" si="156"/>
        <v/>
      </c>
      <c r="U965" s="19" t="str">
        <f t="shared" si="157"/>
        <v/>
      </c>
      <c r="V965" s="7"/>
      <c r="Y965" s="19" t="str">
        <f>IF('Supplier selection'!AQ965="","",'Supplier selection'!AQ965)</f>
        <v/>
      </c>
      <c r="Z965" s="19" t="str">
        <f>IF('Supplier selection'!AR965="","",'Supplier selection'!AR965)</f>
        <v/>
      </c>
      <c r="AA965" s="19" t="str">
        <f t="shared" si="158"/>
        <v/>
      </c>
      <c r="AD965" s="26" t="str">
        <f>IF(AND('Supplier selection'!X965="",'Supplier selection'!AE965=""),"",IF('Supplier selection'!X965="",'Supplier selection'!AE965,'Supplier selection'!X965))</f>
        <v/>
      </c>
      <c r="AE965" s="19" t="str">
        <f t="shared" si="159"/>
        <v/>
      </c>
      <c r="AF965" s="19" t="str">
        <f t="shared" si="160"/>
        <v/>
      </c>
      <c r="AG965" s="27" t="str">
        <f>IF(AND('Supplier selection'!AB965="",'Supplier selection'!AI965=""),"",IF('Supplier selection'!AB965="",'Supplier selection'!AI965,'Supplier selection'!AB965))</f>
        <v/>
      </c>
      <c r="AH965" s="28" t="str">
        <f t="shared" si="161"/>
        <v/>
      </c>
      <c r="AI965" s="7" t="str">
        <f t="shared" si="162"/>
        <v/>
      </c>
      <c r="AJ965" s="22" t="str">
        <f t="shared" si="163"/>
        <v/>
      </c>
      <c r="AK965" s="29" t="str">
        <f t="shared" si="164"/>
        <v/>
      </c>
      <c r="AL965" s="10"/>
    </row>
    <row r="966" spans="1:38">
      <c r="A966" s="19">
        <f>IF('Supplier selection'!A966="","",'Supplier selection'!A966)</f>
        <v>962</v>
      </c>
      <c r="B966" s="19" t="str">
        <f>IF('Supplier selection'!B966="","",'Supplier selection'!B966)</f>
        <v/>
      </c>
      <c r="C966" s="19" t="str">
        <f>IF('Supplier selection'!C966="","",'Supplier selection'!C966)</f>
        <v/>
      </c>
      <c r="D966" s="19" t="str">
        <f>IF('Supplier selection'!D966="","",'Supplier selection'!D966)</f>
        <v/>
      </c>
      <c r="E966" s="19" t="str">
        <f>IF('Supplier selection'!E966="","",'Supplier selection'!E966)</f>
        <v/>
      </c>
      <c r="F966" s="19" t="str">
        <f>IF('Supplier selection'!F966="","",'Supplier selection'!F966)</f>
        <v/>
      </c>
      <c r="G966" s="19" t="str">
        <f>IF('Supplier selection'!G966="","",'Supplier selection'!G966)</f>
        <v/>
      </c>
      <c r="H966" s="19" t="str">
        <f>IF('Supplier selection'!H966="","",'Supplier selection'!H966)</f>
        <v/>
      </c>
      <c r="I966" s="19" t="str">
        <f>IF('Supplier selection'!I966="","",'Supplier selection'!I966)</f>
        <v/>
      </c>
      <c r="J966" s="19" t="str">
        <f>IF('Supplier selection'!J966="","",'Supplier selection'!J966)</f>
        <v/>
      </c>
      <c r="K966" s="19" t="str">
        <f>IF('Supplier selection'!K966="","",'Supplier selection'!K966)</f>
        <v/>
      </c>
      <c r="L966" s="19" t="str">
        <f>IF('Supplier selection'!L966="","",'Supplier selection'!L966)</f>
        <v/>
      </c>
      <c r="M966" s="19" t="str">
        <f>IF('Supplier selection'!M966="","",'Supplier selection'!M966)</f>
        <v/>
      </c>
      <c r="N966" s="19" t="str">
        <f>IF('Supplier selection'!N966="","",'Supplier selection'!N966)</f>
        <v/>
      </c>
      <c r="O966" s="19" t="str">
        <f>IF('Supplier selection'!O966="","",'Supplier selection'!O966)</f>
        <v/>
      </c>
      <c r="Q966" s="19" t="str">
        <f>HLOOKUP($Q$3,'Supplier selection'!$AW$4:'Supplier selection'!$CT$1000,$A967,FALSE)</f>
        <v/>
      </c>
      <c r="R966" s="22" t="str">
        <f t="shared" ref="R966:R1000" si="165">IF(OR(Q966="",O966=""),"",(Q966-O966)/O966)</f>
        <v/>
      </c>
      <c r="S966" s="19" t="str">
        <f t="shared" ref="S966:S1000" si="166">IF(OR(H966="",O966="",Q966=""),"",(Q966*H966)-(H966*O966))</f>
        <v/>
      </c>
      <c r="T966" s="22" t="str">
        <f t="shared" ref="T966:T1000" si="167">IF(OR(Y966="",Q966=""),"",(Q966-Y966)/Y966)</f>
        <v/>
      </c>
      <c r="U966" s="19" t="str">
        <f t="shared" ref="U966:U1000" si="168">IF(OR(Y966="",Q966="",H966=""),"",(Q966*H966)-(Y966*H966))</f>
        <v/>
      </c>
      <c r="V966" s="7"/>
      <c r="Y966" s="19" t="str">
        <f>IF('Supplier selection'!AQ966="","",'Supplier selection'!AQ966)</f>
        <v/>
      </c>
      <c r="Z966" s="19" t="str">
        <f>IF('Supplier selection'!AR966="","",'Supplier selection'!AR966)</f>
        <v/>
      </c>
      <c r="AA966" s="19" t="str">
        <f t="shared" ref="AA966:AA1000" si="169">IF(OR(Y966="",O966="",H966=""),"",((H966*Y966)-(H966*O966)))</f>
        <v/>
      </c>
      <c r="AD966" s="26" t="str">
        <f>IF(AND('Supplier selection'!X966="",'Supplier selection'!AE966=""),"",IF('Supplier selection'!X966="",'Supplier selection'!AE966,'Supplier selection'!X966))</f>
        <v/>
      </c>
      <c r="AE966" s="19" t="str">
        <f t="shared" ref="AE966:AE1000" si="170">IF(AD966="","",J966)</f>
        <v/>
      </c>
      <c r="AF966" s="19" t="str">
        <f t="shared" ref="AF966:AF1000" si="171">IF(AD966="","",L966)</f>
        <v/>
      </c>
      <c r="AG966" s="27" t="str">
        <f>IF(AND('Supplier selection'!AB966="",'Supplier selection'!AI966=""),"",IF('Supplier selection'!AB966="",'Supplier selection'!AI966,'Supplier selection'!AB966))</f>
        <v/>
      </c>
      <c r="AH966" s="28" t="str">
        <f t="shared" ref="AH966:AH1000" si="172">IF(OR(AG966="",O966=""),"",(AG966-O966)/O966)</f>
        <v/>
      </c>
      <c r="AI966" s="7" t="str">
        <f t="shared" ref="AI966:AI1000" si="173">IF(OR(H966="",O966="",AG966=""),"",(AG966*H966)-(H966*O966))</f>
        <v/>
      </c>
      <c r="AJ966" s="22" t="str">
        <f t="shared" ref="AJ966:AJ1000" si="174">IF(OR(AG966="",Y966=""),"",(AG966-Y966)/Y966)</f>
        <v/>
      </c>
      <c r="AK966" s="29" t="str">
        <f t="shared" ref="AK966:AK1000" si="175">IF(OR(H966="",Y966="",AG966=""),"",(AG966*H966)-(H966*Y966))</f>
        <v/>
      </c>
      <c r="AL966" s="10"/>
    </row>
    <row r="967" spans="1:38">
      <c r="A967" s="19">
        <f>IF('Supplier selection'!A967="","",'Supplier selection'!A967)</f>
        <v>963</v>
      </c>
      <c r="B967" s="19" t="str">
        <f>IF('Supplier selection'!B967="","",'Supplier selection'!B967)</f>
        <v/>
      </c>
      <c r="C967" s="19" t="str">
        <f>IF('Supplier selection'!C967="","",'Supplier selection'!C967)</f>
        <v/>
      </c>
      <c r="D967" s="19" t="str">
        <f>IF('Supplier selection'!D967="","",'Supplier selection'!D967)</f>
        <v/>
      </c>
      <c r="E967" s="19" t="str">
        <f>IF('Supplier selection'!E967="","",'Supplier selection'!E967)</f>
        <v/>
      </c>
      <c r="F967" s="19" t="str">
        <f>IF('Supplier selection'!F967="","",'Supplier selection'!F967)</f>
        <v/>
      </c>
      <c r="G967" s="19" t="str">
        <f>IF('Supplier selection'!G967="","",'Supplier selection'!G967)</f>
        <v/>
      </c>
      <c r="H967" s="19" t="str">
        <f>IF('Supplier selection'!H967="","",'Supplier selection'!H967)</f>
        <v/>
      </c>
      <c r="I967" s="19" t="str">
        <f>IF('Supplier selection'!I967="","",'Supplier selection'!I967)</f>
        <v/>
      </c>
      <c r="J967" s="19" t="str">
        <f>IF('Supplier selection'!J967="","",'Supplier selection'!J967)</f>
        <v/>
      </c>
      <c r="K967" s="19" t="str">
        <f>IF('Supplier selection'!K967="","",'Supplier selection'!K967)</f>
        <v/>
      </c>
      <c r="L967" s="19" t="str">
        <f>IF('Supplier selection'!L967="","",'Supplier selection'!L967)</f>
        <v/>
      </c>
      <c r="M967" s="19" t="str">
        <f>IF('Supplier selection'!M967="","",'Supplier selection'!M967)</f>
        <v/>
      </c>
      <c r="N967" s="19" t="str">
        <f>IF('Supplier selection'!N967="","",'Supplier selection'!N967)</f>
        <v/>
      </c>
      <c r="O967" s="19" t="str">
        <f>IF('Supplier selection'!O967="","",'Supplier selection'!O967)</f>
        <v/>
      </c>
      <c r="Q967" s="19" t="str">
        <f>HLOOKUP($Q$3,'Supplier selection'!$AW$4:'Supplier selection'!$CT$1000,$A968,FALSE)</f>
        <v/>
      </c>
      <c r="R967" s="22" t="str">
        <f t="shared" si="165"/>
        <v/>
      </c>
      <c r="S967" s="19" t="str">
        <f t="shared" si="166"/>
        <v/>
      </c>
      <c r="T967" s="22" t="str">
        <f t="shared" si="167"/>
        <v/>
      </c>
      <c r="U967" s="19" t="str">
        <f t="shared" si="168"/>
        <v/>
      </c>
      <c r="V967" s="7"/>
      <c r="Y967" s="19" t="str">
        <f>IF('Supplier selection'!AQ967="","",'Supplier selection'!AQ967)</f>
        <v/>
      </c>
      <c r="Z967" s="19" t="str">
        <f>IF('Supplier selection'!AR967="","",'Supplier selection'!AR967)</f>
        <v/>
      </c>
      <c r="AA967" s="19" t="str">
        <f t="shared" si="169"/>
        <v/>
      </c>
      <c r="AD967" s="26" t="str">
        <f>IF(AND('Supplier selection'!X967="",'Supplier selection'!AE967=""),"",IF('Supplier selection'!X967="",'Supplier selection'!AE967,'Supplier selection'!X967))</f>
        <v/>
      </c>
      <c r="AE967" s="19" t="str">
        <f t="shared" si="170"/>
        <v/>
      </c>
      <c r="AF967" s="19" t="str">
        <f t="shared" si="171"/>
        <v/>
      </c>
      <c r="AG967" s="27" t="str">
        <f>IF(AND('Supplier selection'!AB967="",'Supplier selection'!AI967=""),"",IF('Supplier selection'!AB967="",'Supplier selection'!AI967,'Supplier selection'!AB967))</f>
        <v/>
      </c>
      <c r="AH967" s="28" t="str">
        <f t="shared" si="172"/>
        <v/>
      </c>
      <c r="AI967" s="7" t="str">
        <f t="shared" si="173"/>
        <v/>
      </c>
      <c r="AJ967" s="22" t="str">
        <f t="shared" si="174"/>
        <v/>
      </c>
      <c r="AK967" s="29" t="str">
        <f t="shared" si="175"/>
        <v/>
      </c>
      <c r="AL967" s="10"/>
    </row>
    <row r="968" spans="1:38">
      <c r="A968" s="19">
        <f>IF('Supplier selection'!A968="","",'Supplier selection'!A968)</f>
        <v>964</v>
      </c>
      <c r="B968" s="19" t="str">
        <f>IF('Supplier selection'!B968="","",'Supplier selection'!B968)</f>
        <v/>
      </c>
      <c r="C968" s="19" t="str">
        <f>IF('Supplier selection'!C968="","",'Supplier selection'!C968)</f>
        <v/>
      </c>
      <c r="D968" s="19" t="str">
        <f>IF('Supplier selection'!D968="","",'Supplier selection'!D968)</f>
        <v/>
      </c>
      <c r="E968" s="19" t="str">
        <f>IF('Supplier selection'!E968="","",'Supplier selection'!E968)</f>
        <v/>
      </c>
      <c r="F968" s="19" t="str">
        <f>IF('Supplier selection'!F968="","",'Supplier selection'!F968)</f>
        <v/>
      </c>
      <c r="G968" s="19" t="str">
        <f>IF('Supplier selection'!G968="","",'Supplier selection'!G968)</f>
        <v/>
      </c>
      <c r="H968" s="19" t="str">
        <f>IF('Supplier selection'!H968="","",'Supplier selection'!H968)</f>
        <v/>
      </c>
      <c r="I968" s="19" t="str">
        <f>IF('Supplier selection'!I968="","",'Supplier selection'!I968)</f>
        <v/>
      </c>
      <c r="J968" s="19" t="str">
        <f>IF('Supplier selection'!J968="","",'Supplier selection'!J968)</f>
        <v/>
      </c>
      <c r="K968" s="19" t="str">
        <f>IF('Supplier selection'!K968="","",'Supplier selection'!K968)</f>
        <v/>
      </c>
      <c r="L968" s="19" t="str">
        <f>IF('Supplier selection'!L968="","",'Supplier selection'!L968)</f>
        <v/>
      </c>
      <c r="M968" s="19" t="str">
        <f>IF('Supplier selection'!M968="","",'Supplier selection'!M968)</f>
        <v/>
      </c>
      <c r="N968" s="19" t="str">
        <f>IF('Supplier selection'!N968="","",'Supplier selection'!N968)</f>
        <v/>
      </c>
      <c r="O968" s="19" t="str">
        <f>IF('Supplier selection'!O968="","",'Supplier selection'!O968)</f>
        <v/>
      </c>
      <c r="Q968" s="19" t="str">
        <f>HLOOKUP($Q$3,'Supplier selection'!$AW$4:'Supplier selection'!$CT$1000,$A969,FALSE)</f>
        <v/>
      </c>
      <c r="R968" s="22" t="str">
        <f t="shared" si="165"/>
        <v/>
      </c>
      <c r="S968" s="19" t="str">
        <f t="shared" si="166"/>
        <v/>
      </c>
      <c r="T968" s="22" t="str">
        <f t="shared" si="167"/>
        <v/>
      </c>
      <c r="U968" s="19" t="str">
        <f t="shared" si="168"/>
        <v/>
      </c>
      <c r="V968" s="7"/>
      <c r="Y968" s="19" t="str">
        <f>IF('Supplier selection'!AQ968="","",'Supplier selection'!AQ968)</f>
        <v/>
      </c>
      <c r="Z968" s="19" t="str">
        <f>IF('Supplier selection'!AR968="","",'Supplier selection'!AR968)</f>
        <v/>
      </c>
      <c r="AA968" s="19" t="str">
        <f t="shared" si="169"/>
        <v/>
      </c>
      <c r="AD968" s="26" t="str">
        <f>IF(AND('Supplier selection'!X968="",'Supplier selection'!AE968=""),"",IF('Supplier selection'!X968="",'Supplier selection'!AE968,'Supplier selection'!X968))</f>
        <v/>
      </c>
      <c r="AE968" s="19" t="str">
        <f t="shared" si="170"/>
        <v/>
      </c>
      <c r="AF968" s="19" t="str">
        <f t="shared" si="171"/>
        <v/>
      </c>
      <c r="AG968" s="27" t="str">
        <f>IF(AND('Supplier selection'!AB968="",'Supplier selection'!AI968=""),"",IF('Supplier selection'!AB968="",'Supplier selection'!AI968,'Supplier selection'!AB968))</f>
        <v/>
      </c>
      <c r="AH968" s="28" t="str">
        <f t="shared" si="172"/>
        <v/>
      </c>
      <c r="AI968" s="7" t="str">
        <f t="shared" si="173"/>
        <v/>
      </c>
      <c r="AJ968" s="22" t="str">
        <f t="shared" si="174"/>
        <v/>
      </c>
      <c r="AK968" s="29" t="str">
        <f t="shared" si="175"/>
        <v/>
      </c>
      <c r="AL968" s="10"/>
    </row>
    <row r="969" spans="1:38">
      <c r="A969" s="19">
        <f>IF('Supplier selection'!A969="","",'Supplier selection'!A969)</f>
        <v>965</v>
      </c>
      <c r="B969" s="19" t="str">
        <f>IF('Supplier selection'!B969="","",'Supplier selection'!B969)</f>
        <v/>
      </c>
      <c r="C969" s="19" t="str">
        <f>IF('Supplier selection'!C969="","",'Supplier selection'!C969)</f>
        <v/>
      </c>
      <c r="D969" s="19" t="str">
        <f>IF('Supplier selection'!D969="","",'Supplier selection'!D969)</f>
        <v/>
      </c>
      <c r="E969" s="19" t="str">
        <f>IF('Supplier selection'!E969="","",'Supplier selection'!E969)</f>
        <v/>
      </c>
      <c r="F969" s="19" t="str">
        <f>IF('Supplier selection'!F969="","",'Supplier selection'!F969)</f>
        <v/>
      </c>
      <c r="G969" s="19" t="str">
        <f>IF('Supplier selection'!G969="","",'Supplier selection'!G969)</f>
        <v/>
      </c>
      <c r="H969" s="19" t="str">
        <f>IF('Supplier selection'!H969="","",'Supplier selection'!H969)</f>
        <v/>
      </c>
      <c r="I969" s="19" t="str">
        <f>IF('Supplier selection'!I969="","",'Supplier selection'!I969)</f>
        <v/>
      </c>
      <c r="J969" s="19" t="str">
        <f>IF('Supplier selection'!J969="","",'Supplier selection'!J969)</f>
        <v/>
      </c>
      <c r="K969" s="19" t="str">
        <f>IF('Supplier selection'!K969="","",'Supplier selection'!K969)</f>
        <v/>
      </c>
      <c r="L969" s="19" t="str">
        <f>IF('Supplier selection'!L969="","",'Supplier selection'!L969)</f>
        <v/>
      </c>
      <c r="M969" s="19" t="str">
        <f>IF('Supplier selection'!M969="","",'Supplier selection'!M969)</f>
        <v/>
      </c>
      <c r="N969" s="19" t="str">
        <f>IF('Supplier selection'!N969="","",'Supplier selection'!N969)</f>
        <v/>
      </c>
      <c r="O969" s="19" t="str">
        <f>IF('Supplier selection'!O969="","",'Supplier selection'!O969)</f>
        <v/>
      </c>
      <c r="Q969" s="19" t="str">
        <f>HLOOKUP($Q$3,'Supplier selection'!$AW$4:'Supplier selection'!$CT$1000,$A970,FALSE)</f>
        <v/>
      </c>
      <c r="R969" s="22" t="str">
        <f t="shared" si="165"/>
        <v/>
      </c>
      <c r="S969" s="19" t="str">
        <f t="shared" si="166"/>
        <v/>
      </c>
      <c r="T969" s="22" t="str">
        <f t="shared" si="167"/>
        <v/>
      </c>
      <c r="U969" s="19" t="str">
        <f t="shared" si="168"/>
        <v/>
      </c>
      <c r="V969" s="7"/>
      <c r="Y969" s="19" t="str">
        <f>IF('Supplier selection'!AQ969="","",'Supplier selection'!AQ969)</f>
        <v/>
      </c>
      <c r="Z969" s="19" t="str">
        <f>IF('Supplier selection'!AR969="","",'Supplier selection'!AR969)</f>
        <v/>
      </c>
      <c r="AA969" s="19" t="str">
        <f t="shared" si="169"/>
        <v/>
      </c>
      <c r="AD969" s="26" t="str">
        <f>IF(AND('Supplier selection'!X969="",'Supplier selection'!AE969=""),"",IF('Supplier selection'!X969="",'Supplier selection'!AE969,'Supplier selection'!X969))</f>
        <v/>
      </c>
      <c r="AE969" s="19" t="str">
        <f t="shared" si="170"/>
        <v/>
      </c>
      <c r="AF969" s="19" t="str">
        <f t="shared" si="171"/>
        <v/>
      </c>
      <c r="AG969" s="27" t="str">
        <f>IF(AND('Supplier selection'!AB969="",'Supplier selection'!AI969=""),"",IF('Supplier selection'!AB969="",'Supplier selection'!AI969,'Supplier selection'!AB969))</f>
        <v/>
      </c>
      <c r="AH969" s="28" t="str">
        <f t="shared" si="172"/>
        <v/>
      </c>
      <c r="AI969" s="7" t="str">
        <f t="shared" si="173"/>
        <v/>
      </c>
      <c r="AJ969" s="22" t="str">
        <f t="shared" si="174"/>
        <v/>
      </c>
      <c r="AK969" s="29" t="str">
        <f t="shared" si="175"/>
        <v/>
      </c>
      <c r="AL969" s="10"/>
    </row>
    <row r="970" spans="1:38">
      <c r="A970" s="19">
        <f>IF('Supplier selection'!A970="","",'Supplier selection'!A970)</f>
        <v>966</v>
      </c>
      <c r="B970" s="19" t="str">
        <f>IF('Supplier selection'!B970="","",'Supplier selection'!B970)</f>
        <v/>
      </c>
      <c r="C970" s="19" t="str">
        <f>IF('Supplier selection'!C970="","",'Supplier selection'!C970)</f>
        <v/>
      </c>
      <c r="D970" s="19" t="str">
        <f>IF('Supplier selection'!D970="","",'Supplier selection'!D970)</f>
        <v/>
      </c>
      <c r="E970" s="19" t="str">
        <f>IF('Supplier selection'!E970="","",'Supplier selection'!E970)</f>
        <v/>
      </c>
      <c r="F970" s="19" t="str">
        <f>IF('Supplier selection'!F970="","",'Supplier selection'!F970)</f>
        <v/>
      </c>
      <c r="G970" s="19" t="str">
        <f>IF('Supplier selection'!G970="","",'Supplier selection'!G970)</f>
        <v/>
      </c>
      <c r="H970" s="19" t="str">
        <f>IF('Supplier selection'!H970="","",'Supplier selection'!H970)</f>
        <v/>
      </c>
      <c r="I970" s="19" t="str">
        <f>IF('Supplier selection'!I970="","",'Supplier selection'!I970)</f>
        <v/>
      </c>
      <c r="J970" s="19" t="str">
        <f>IF('Supplier selection'!J970="","",'Supplier selection'!J970)</f>
        <v/>
      </c>
      <c r="K970" s="19" t="str">
        <f>IF('Supplier selection'!K970="","",'Supplier selection'!K970)</f>
        <v/>
      </c>
      <c r="L970" s="19" t="str">
        <f>IF('Supplier selection'!L970="","",'Supplier selection'!L970)</f>
        <v/>
      </c>
      <c r="M970" s="19" t="str">
        <f>IF('Supplier selection'!M970="","",'Supplier selection'!M970)</f>
        <v/>
      </c>
      <c r="N970" s="19" t="str">
        <f>IF('Supplier selection'!N970="","",'Supplier selection'!N970)</f>
        <v/>
      </c>
      <c r="O970" s="19" t="str">
        <f>IF('Supplier selection'!O970="","",'Supplier selection'!O970)</f>
        <v/>
      </c>
      <c r="Q970" s="19" t="str">
        <f>HLOOKUP($Q$3,'Supplier selection'!$AW$4:'Supplier selection'!$CT$1000,$A971,FALSE)</f>
        <v/>
      </c>
      <c r="R970" s="22" t="str">
        <f t="shared" si="165"/>
        <v/>
      </c>
      <c r="S970" s="19" t="str">
        <f t="shared" si="166"/>
        <v/>
      </c>
      <c r="T970" s="22" t="str">
        <f t="shared" si="167"/>
        <v/>
      </c>
      <c r="U970" s="19" t="str">
        <f t="shared" si="168"/>
        <v/>
      </c>
      <c r="V970" s="7"/>
      <c r="Y970" s="19" t="str">
        <f>IF('Supplier selection'!AQ970="","",'Supplier selection'!AQ970)</f>
        <v/>
      </c>
      <c r="Z970" s="19" t="str">
        <f>IF('Supplier selection'!AR970="","",'Supplier selection'!AR970)</f>
        <v/>
      </c>
      <c r="AA970" s="19" t="str">
        <f t="shared" si="169"/>
        <v/>
      </c>
      <c r="AD970" s="26" t="str">
        <f>IF(AND('Supplier selection'!X970="",'Supplier selection'!AE970=""),"",IF('Supplier selection'!X970="",'Supplier selection'!AE970,'Supplier selection'!X970))</f>
        <v/>
      </c>
      <c r="AE970" s="19" t="str">
        <f t="shared" si="170"/>
        <v/>
      </c>
      <c r="AF970" s="19" t="str">
        <f t="shared" si="171"/>
        <v/>
      </c>
      <c r="AG970" s="27" t="str">
        <f>IF(AND('Supplier selection'!AB970="",'Supplier selection'!AI970=""),"",IF('Supplier selection'!AB970="",'Supplier selection'!AI970,'Supplier selection'!AB970))</f>
        <v/>
      </c>
      <c r="AH970" s="28" t="str">
        <f t="shared" si="172"/>
        <v/>
      </c>
      <c r="AI970" s="7" t="str">
        <f t="shared" si="173"/>
        <v/>
      </c>
      <c r="AJ970" s="22" t="str">
        <f t="shared" si="174"/>
        <v/>
      </c>
      <c r="AK970" s="29" t="str">
        <f t="shared" si="175"/>
        <v/>
      </c>
      <c r="AL970" s="10"/>
    </row>
    <row r="971" spans="1:38">
      <c r="A971" s="19">
        <f>IF('Supplier selection'!A971="","",'Supplier selection'!A971)</f>
        <v>967</v>
      </c>
      <c r="B971" s="19" t="str">
        <f>IF('Supplier selection'!B971="","",'Supplier selection'!B971)</f>
        <v/>
      </c>
      <c r="C971" s="19" t="str">
        <f>IF('Supplier selection'!C971="","",'Supplier selection'!C971)</f>
        <v/>
      </c>
      <c r="D971" s="19" t="str">
        <f>IF('Supplier selection'!D971="","",'Supplier selection'!D971)</f>
        <v/>
      </c>
      <c r="E971" s="19" t="str">
        <f>IF('Supplier selection'!E971="","",'Supplier selection'!E971)</f>
        <v/>
      </c>
      <c r="F971" s="19" t="str">
        <f>IF('Supplier selection'!F971="","",'Supplier selection'!F971)</f>
        <v/>
      </c>
      <c r="G971" s="19" t="str">
        <f>IF('Supplier selection'!G971="","",'Supplier selection'!G971)</f>
        <v/>
      </c>
      <c r="H971" s="19" t="str">
        <f>IF('Supplier selection'!H971="","",'Supplier selection'!H971)</f>
        <v/>
      </c>
      <c r="I971" s="19" t="str">
        <f>IF('Supplier selection'!I971="","",'Supplier selection'!I971)</f>
        <v/>
      </c>
      <c r="J971" s="19" t="str">
        <f>IF('Supplier selection'!J971="","",'Supplier selection'!J971)</f>
        <v/>
      </c>
      <c r="K971" s="19" t="str">
        <f>IF('Supplier selection'!K971="","",'Supplier selection'!K971)</f>
        <v/>
      </c>
      <c r="L971" s="19" t="str">
        <f>IF('Supplier selection'!L971="","",'Supplier selection'!L971)</f>
        <v/>
      </c>
      <c r="M971" s="19" t="str">
        <f>IF('Supplier selection'!M971="","",'Supplier selection'!M971)</f>
        <v/>
      </c>
      <c r="N971" s="19" t="str">
        <f>IF('Supplier selection'!N971="","",'Supplier selection'!N971)</f>
        <v/>
      </c>
      <c r="O971" s="19" t="str">
        <f>IF('Supplier selection'!O971="","",'Supplier selection'!O971)</f>
        <v/>
      </c>
      <c r="Q971" s="19" t="str">
        <f>HLOOKUP($Q$3,'Supplier selection'!$AW$4:'Supplier selection'!$CT$1000,$A972,FALSE)</f>
        <v/>
      </c>
      <c r="R971" s="22" t="str">
        <f t="shared" si="165"/>
        <v/>
      </c>
      <c r="S971" s="19" t="str">
        <f t="shared" si="166"/>
        <v/>
      </c>
      <c r="T971" s="22" t="str">
        <f t="shared" si="167"/>
        <v/>
      </c>
      <c r="U971" s="19" t="str">
        <f t="shared" si="168"/>
        <v/>
      </c>
      <c r="V971" s="7"/>
      <c r="Y971" s="19" t="str">
        <f>IF('Supplier selection'!AQ971="","",'Supplier selection'!AQ971)</f>
        <v/>
      </c>
      <c r="Z971" s="19" t="str">
        <f>IF('Supplier selection'!AR971="","",'Supplier selection'!AR971)</f>
        <v/>
      </c>
      <c r="AA971" s="19" t="str">
        <f t="shared" si="169"/>
        <v/>
      </c>
      <c r="AD971" s="26" t="str">
        <f>IF(AND('Supplier selection'!X971="",'Supplier selection'!AE971=""),"",IF('Supplier selection'!X971="",'Supplier selection'!AE971,'Supplier selection'!X971))</f>
        <v/>
      </c>
      <c r="AE971" s="19" t="str">
        <f t="shared" si="170"/>
        <v/>
      </c>
      <c r="AF971" s="19" t="str">
        <f t="shared" si="171"/>
        <v/>
      </c>
      <c r="AG971" s="27" t="str">
        <f>IF(AND('Supplier selection'!AB971="",'Supplier selection'!AI971=""),"",IF('Supplier selection'!AB971="",'Supplier selection'!AI971,'Supplier selection'!AB971))</f>
        <v/>
      </c>
      <c r="AH971" s="28" t="str">
        <f t="shared" si="172"/>
        <v/>
      </c>
      <c r="AI971" s="7" t="str">
        <f t="shared" si="173"/>
        <v/>
      </c>
      <c r="AJ971" s="22" t="str">
        <f t="shared" si="174"/>
        <v/>
      </c>
      <c r="AK971" s="29" t="str">
        <f t="shared" si="175"/>
        <v/>
      </c>
      <c r="AL971" s="10"/>
    </row>
    <row r="972" spans="1:38">
      <c r="A972" s="19">
        <f>IF('Supplier selection'!A972="","",'Supplier selection'!A972)</f>
        <v>968</v>
      </c>
      <c r="B972" s="19" t="str">
        <f>IF('Supplier selection'!B972="","",'Supplier selection'!B972)</f>
        <v/>
      </c>
      <c r="C972" s="19" t="str">
        <f>IF('Supplier selection'!C972="","",'Supplier selection'!C972)</f>
        <v/>
      </c>
      <c r="D972" s="19" t="str">
        <f>IF('Supplier selection'!D972="","",'Supplier selection'!D972)</f>
        <v/>
      </c>
      <c r="E972" s="19" t="str">
        <f>IF('Supplier selection'!E972="","",'Supplier selection'!E972)</f>
        <v/>
      </c>
      <c r="F972" s="19" t="str">
        <f>IF('Supplier selection'!F972="","",'Supplier selection'!F972)</f>
        <v/>
      </c>
      <c r="G972" s="19" t="str">
        <f>IF('Supplier selection'!G972="","",'Supplier selection'!G972)</f>
        <v/>
      </c>
      <c r="H972" s="19" t="str">
        <f>IF('Supplier selection'!H972="","",'Supplier selection'!H972)</f>
        <v/>
      </c>
      <c r="I972" s="19" t="str">
        <f>IF('Supplier selection'!I972="","",'Supplier selection'!I972)</f>
        <v/>
      </c>
      <c r="J972" s="19" t="str">
        <f>IF('Supplier selection'!J972="","",'Supplier selection'!J972)</f>
        <v/>
      </c>
      <c r="K972" s="19" t="str">
        <f>IF('Supplier selection'!K972="","",'Supplier selection'!K972)</f>
        <v/>
      </c>
      <c r="L972" s="19" t="str">
        <f>IF('Supplier selection'!L972="","",'Supplier selection'!L972)</f>
        <v/>
      </c>
      <c r="M972" s="19" t="str">
        <f>IF('Supplier selection'!M972="","",'Supplier selection'!M972)</f>
        <v/>
      </c>
      <c r="N972" s="19" t="str">
        <f>IF('Supplier selection'!N972="","",'Supplier selection'!N972)</f>
        <v/>
      </c>
      <c r="O972" s="19" t="str">
        <f>IF('Supplier selection'!O972="","",'Supplier selection'!O972)</f>
        <v/>
      </c>
      <c r="Q972" s="19" t="str">
        <f>HLOOKUP($Q$3,'Supplier selection'!$AW$4:'Supplier selection'!$CT$1000,$A973,FALSE)</f>
        <v/>
      </c>
      <c r="R972" s="22" t="str">
        <f t="shared" si="165"/>
        <v/>
      </c>
      <c r="S972" s="19" t="str">
        <f t="shared" si="166"/>
        <v/>
      </c>
      <c r="T972" s="22" t="str">
        <f t="shared" si="167"/>
        <v/>
      </c>
      <c r="U972" s="19" t="str">
        <f t="shared" si="168"/>
        <v/>
      </c>
      <c r="V972" s="7"/>
      <c r="Y972" s="19" t="str">
        <f>IF('Supplier selection'!AQ972="","",'Supplier selection'!AQ972)</f>
        <v/>
      </c>
      <c r="Z972" s="19" t="str">
        <f>IF('Supplier selection'!AR972="","",'Supplier selection'!AR972)</f>
        <v/>
      </c>
      <c r="AA972" s="19" t="str">
        <f t="shared" si="169"/>
        <v/>
      </c>
      <c r="AD972" s="26" t="str">
        <f>IF(AND('Supplier selection'!X972="",'Supplier selection'!AE972=""),"",IF('Supplier selection'!X972="",'Supplier selection'!AE972,'Supplier selection'!X972))</f>
        <v/>
      </c>
      <c r="AE972" s="19" t="str">
        <f t="shared" si="170"/>
        <v/>
      </c>
      <c r="AF972" s="19" t="str">
        <f t="shared" si="171"/>
        <v/>
      </c>
      <c r="AG972" s="27" t="str">
        <f>IF(AND('Supplier selection'!AB972="",'Supplier selection'!AI972=""),"",IF('Supplier selection'!AB972="",'Supplier selection'!AI972,'Supplier selection'!AB972))</f>
        <v/>
      </c>
      <c r="AH972" s="28" t="str">
        <f t="shared" si="172"/>
        <v/>
      </c>
      <c r="AI972" s="7" t="str">
        <f t="shared" si="173"/>
        <v/>
      </c>
      <c r="AJ972" s="22" t="str">
        <f t="shared" si="174"/>
        <v/>
      </c>
      <c r="AK972" s="29" t="str">
        <f t="shared" si="175"/>
        <v/>
      </c>
      <c r="AL972" s="10"/>
    </row>
    <row r="973" spans="1:38">
      <c r="A973" s="19">
        <f>IF('Supplier selection'!A973="","",'Supplier selection'!A973)</f>
        <v>969</v>
      </c>
      <c r="B973" s="19" t="str">
        <f>IF('Supplier selection'!B973="","",'Supplier selection'!B973)</f>
        <v/>
      </c>
      <c r="C973" s="19" t="str">
        <f>IF('Supplier selection'!C973="","",'Supplier selection'!C973)</f>
        <v/>
      </c>
      <c r="D973" s="19" t="str">
        <f>IF('Supplier selection'!D973="","",'Supplier selection'!D973)</f>
        <v/>
      </c>
      <c r="E973" s="19" t="str">
        <f>IF('Supplier selection'!E973="","",'Supplier selection'!E973)</f>
        <v/>
      </c>
      <c r="F973" s="19" t="str">
        <f>IF('Supplier selection'!F973="","",'Supplier selection'!F973)</f>
        <v/>
      </c>
      <c r="G973" s="19" t="str">
        <f>IF('Supplier selection'!G973="","",'Supplier selection'!G973)</f>
        <v/>
      </c>
      <c r="H973" s="19" t="str">
        <f>IF('Supplier selection'!H973="","",'Supplier selection'!H973)</f>
        <v/>
      </c>
      <c r="I973" s="19" t="str">
        <f>IF('Supplier selection'!I973="","",'Supplier selection'!I973)</f>
        <v/>
      </c>
      <c r="J973" s="19" t="str">
        <f>IF('Supplier selection'!J973="","",'Supplier selection'!J973)</f>
        <v/>
      </c>
      <c r="K973" s="19" t="str">
        <f>IF('Supplier selection'!K973="","",'Supplier selection'!K973)</f>
        <v/>
      </c>
      <c r="L973" s="19" t="str">
        <f>IF('Supplier selection'!L973="","",'Supplier selection'!L973)</f>
        <v/>
      </c>
      <c r="M973" s="19" t="str">
        <f>IF('Supplier selection'!M973="","",'Supplier selection'!M973)</f>
        <v/>
      </c>
      <c r="N973" s="19" t="str">
        <f>IF('Supplier selection'!N973="","",'Supplier selection'!N973)</f>
        <v/>
      </c>
      <c r="O973" s="19" t="str">
        <f>IF('Supplier selection'!O973="","",'Supplier selection'!O973)</f>
        <v/>
      </c>
      <c r="Q973" s="19" t="str">
        <f>HLOOKUP($Q$3,'Supplier selection'!$AW$4:'Supplier selection'!$CT$1000,$A974,FALSE)</f>
        <v/>
      </c>
      <c r="R973" s="22" t="str">
        <f t="shared" si="165"/>
        <v/>
      </c>
      <c r="S973" s="19" t="str">
        <f t="shared" si="166"/>
        <v/>
      </c>
      <c r="T973" s="22" t="str">
        <f t="shared" si="167"/>
        <v/>
      </c>
      <c r="U973" s="19" t="str">
        <f t="shared" si="168"/>
        <v/>
      </c>
      <c r="V973" s="7"/>
      <c r="Y973" s="19" t="str">
        <f>IF('Supplier selection'!AQ973="","",'Supplier selection'!AQ973)</f>
        <v/>
      </c>
      <c r="Z973" s="19" t="str">
        <f>IF('Supplier selection'!AR973="","",'Supplier selection'!AR973)</f>
        <v/>
      </c>
      <c r="AA973" s="19" t="str">
        <f t="shared" si="169"/>
        <v/>
      </c>
      <c r="AD973" s="26" t="str">
        <f>IF(AND('Supplier selection'!X973="",'Supplier selection'!AE973=""),"",IF('Supplier selection'!X973="",'Supplier selection'!AE973,'Supplier selection'!X973))</f>
        <v/>
      </c>
      <c r="AE973" s="19" t="str">
        <f t="shared" si="170"/>
        <v/>
      </c>
      <c r="AF973" s="19" t="str">
        <f t="shared" si="171"/>
        <v/>
      </c>
      <c r="AG973" s="27" t="str">
        <f>IF(AND('Supplier selection'!AB973="",'Supplier selection'!AI973=""),"",IF('Supplier selection'!AB973="",'Supplier selection'!AI973,'Supplier selection'!AB973))</f>
        <v/>
      </c>
      <c r="AH973" s="28" t="str">
        <f t="shared" si="172"/>
        <v/>
      </c>
      <c r="AI973" s="7" t="str">
        <f t="shared" si="173"/>
        <v/>
      </c>
      <c r="AJ973" s="22" t="str">
        <f t="shared" si="174"/>
        <v/>
      </c>
      <c r="AK973" s="29" t="str">
        <f t="shared" si="175"/>
        <v/>
      </c>
      <c r="AL973" s="10"/>
    </row>
    <row r="974" spans="1:38">
      <c r="A974" s="19">
        <f>IF('Supplier selection'!A974="","",'Supplier selection'!A974)</f>
        <v>970</v>
      </c>
      <c r="B974" s="19" t="str">
        <f>IF('Supplier selection'!B974="","",'Supplier selection'!B974)</f>
        <v/>
      </c>
      <c r="C974" s="19" t="str">
        <f>IF('Supplier selection'!C974="","",'Supplier selection'!C974)</f>
        <v/>
      </c>
      <c r="D974" s="19" t="str">
        <f>IF('Supplier selection'!D974="","",'Supplier selection'!D974)</f>
        <v/>
      </c>
      <c r="E974" s="19" t="str">
        <f>IF('Supplier selection'!E974="","",'Supplier selection'!E974)</f>
        <v/>
      </c>
      <c r="F974" s="19" t="str">
        <f>IF('Supplier selection'!F974="","",'Supplier selection'!F974)</f>
        <v/>
      </c>
      <c r="G974" s="19" t="str">
        <f>IF('Supplier selection'!G974="","",'Supplier selection'!G974)</f>
        <v/>
      </c>
      <c r="H974" s="19" t="str">
        <f>IF('Supplier selection'!H974="","",'Supplier selection'!H974)</f>
        <v/>
      </c>
      <c r="I974" s="19" t="str">
        <f>IF('Supplier selection'!I974="","",'Supplier selection'!I974)</f>
        <v/>
      </c>
      <c r="J974" s="19" t="str">
        <f>IF('Supplier selection'!J974="","",'Supplier selection'!J974)</f>
        <v/>
      </c>
      <c r="K974" s="19" t="str">
        <f>IF('Supplier selection'!K974="","",'Supplier selection'!K974)</f>
        <v/>
      </c>
      <c r="L974" s="19" t="str">
        <f>IF('Supplier selection'!L974="","",'Supplier selection'!L974)</f>
        <v/>
      </c>
      <c r="M974" s="19" t="str">
        <f>IF('Supplier selection'!M974="","",'Supplier selection'!M974)</f>
        <v/>
      </c>
      <c r="N974" s="19" t="str">
        <f>IF('Supplier selection'!N974="","",'Supplier selection'!N974)</f>
        <v/>
      </c>
      <c r="O974" s="19" t="str">
        <f>IF('Supplier selection'!O974="","",'Supplier selection'!O974)</f>
        <v/>
      </c>
      <c r="Q974" s="19" t="str">
        <f>HLOOKUP($Q$3,'Supplier selection'!$AW$4:'Supplier selection'!$CT$1000,$A975,FALSE)</f>
        <v/>
      </c>
      <c r="R974" s="22" t="str">
        <f t="shared" si="165"/>
        <v/>
      </c>
      <c r="S974" s="19" t="str">
        <f t="shared" si="166"/>
        <v/>
      </c>
      <c r="T974" s="22" t="str">
        <f t="shared" si="167"/>
        <v/>
      </c>
      <c r="U974" s="19" t="str">
        <f t="shared" si="168"/>
        <v/>
      </c>
      <c r="V974" s="7"/>
      <c r="Y974" s="19" t="str">
        <f>IF('Supplier selection'!AQ974="","",'Supplier selection'!AQ974)</f>
        <v/>
      </c>
      <c r="Z974" s="19" t="str">
        <f>IF('Supplier selection'!AR974="","",'Supplier selection'!AR974)</f>
        <v/>
      </c>
      <c r="AA974" s="19" t="str">
        <f t="shared" si="169"/>
        <v/>
      </c>
      <c r="AD974" s="26" t="str">
        <f>IF(AND('Supplier selection'!X974="",'Supplier selection'!AE974=""),"",IF('Supplier selection'!X974="",'Supplier selection'!AE974,'Supplier selection'!X974))</f>
        <v/>
      </c>
      <c r="AE974" s="19" t="str">
        <f t="shared" si="170"/>
        <v/>
      </c>
      <c r="AF974" s="19" t="str">
        <f t="shared" si="171"/>
        <v/>
      </c>
      <c r="AG974" s="27" t="str">
        <f>IF(AND('Supplier selection'!AB974="",'Supplier selection'!AI974=""),"",IF('Supplier selection'!AB974="",'Supplier selection'!AI974,'Supplier selection'!AB974))</f>
        <v/>
      </c>
      <c r="AH974" s="28" t="str">
        <f t="shared" si="172"/>
        <v/>
      </c>
      <c r="AI974" s="7" t="str">
        <f t="shared" si="173"/>
        <v/>
      </c>
      <c r="AJ974" s="22" t="str">
        <f t="shared" si="174"/>
        <v/>
      </c>
      <c r="AK974" s="29" t="str">
        <f t="shared" si="175"/>
        <v/>
      </c>
      <c r="AL974" s="10"/>
    </row>
    <row r="975" spans="1:38">
      <c r="A975" s="19">
        <f>IF('Supplier selection'!A975="","",'Supplier selection'!A975)</f>
        <v>971</v>
      </c>
      <c r="B975" s="19" t="str">
        <f>IF('Supplier selection'!B975="","",'Supplier selection'!B975)</f>
        <v/>
      </c>
      <c r="C975" s="19" t="str">
        <f>IF('Supplier selection'!C975="","",'Supplier selection'!C975)</f>
        <v/>
      </c>
      <c r="D975" s="19" t="str">
        <f>IF('Supplier selection'!D975="","",'Supplier selection'!D975)</f>
        <v/>
      </c>
      <c r="E975" s="19" t="str">
        <f>IF('Supplier selection'!E975="","",'Supplier selection'!E975)</f>
        <v/>
      </c>
      <c r="F975" s="19" t="str">
        <f>IF('Supplier selection'!F975="","",'Supplier selection'!F975)</f>
        <v/>
      </c>
      <c r="G975" s="19" t="str">
        <f>IF('Supplier selection'!G975="","",'Supplier selection'!G975)</f>
        <v/>
      </c>
      <c r="H975" s="19" t="str">
        <f>IF('Supplier selection'!H975="","",'Supplier selection'!H975)</f>
        <v/>
      </c>
      <c r="I975" s="19" t="str">
        <f>IF('Supplier selection'!I975="","",'Supplier selection'!I975)</f>
        <v/>
      </c>
      <c r="J975" s="19" t="str">
        <f>IF('Supplier selection'!J975="","",'Supplier selection'!J975)</f>
        <v/>
      </c>
      <c r="K975" s="19" t="str">
        <f>IF('Supplier selection'!K975="","",'Supplier selection'!K975)</f>
        <v/>
      </c>
      <c r="L975" s="19" t="str">
        <f>IF('Supplier selection'!L975="","",'Supplier selection'!L975)</f>
        <v/>
      </c>
      <c r="M975" s="19" t="str">
        <f>IF('Supplier selection'!M975="","",'Supplier selection'!M975)</f>
        <v/>
      </c>
      <c r="N975" s="19" t="str">
        <f>IF('Supplier selection'!N975="","",'Supplier selection'!N975)</f>
        <v/>
      </c>
      <c r="O975" s="19" t="str">
        <f>IF('Supplier selection'!O975="","",'Supplier selection'!O975)</f>
        <v/>
      </c>
      <c r="Q975" s="19" t="str">
        <f>HLOOKUP($Q$3,'Supplier selection'!$AW$4:'Supplier selection'!$CT$1000,$A976,FALSE)</f>
        <v/>
      </c>
      <c r="R975" s="22" t="str">
        <f t="shared" si="165"/>
        <v/>
      </c>
      <c r="S975" s="19" t="str">
        <f t="shared" si="166"/>
        <v/>
      </c>
      <c r="T975" s="22" t="str">
        <f t="shared" si="167"/>
        <v/>
      </c>
      <c r="U975" s="19" t="str">
        <f t="shared" si="168"/>
        <v/>
      </c>
      <c r="V975" s="7"/>
      <c r="Y975" s="19" t="str">
        <f>IF('Supplier selection'!AQ975="","",'Supplier selection'!AQ975)</f>
        <v/>
      </c>
      <c r="Z975" s="19" t="str">
        <f>IF('Supplier selection'!AR975="","",'Supplier selection'!AR975)</f>
        <v/>
      </c>
      <c r="AA975" s="19" t="str">
        <f t="shared" si="169"/>
        <v/>
      </c>
      <c r="AD975" s="26" t="str">
        <f>IF(AND('Supplier selection'!X975="",'Supplier selection'!AE975=""),"",IF('Supplier selection'!X975="",'Supplier selection'!AE975,'Supplier selection'!X975))</f>
        <v/>
      </c>
      <c r="AE975" s="19" t="str">
        <f t="shared" si="170"/>
        <v/>
      </c>
      <c r="AF975" s="19" t="str">
        <f t="shared" si="171"/>
        <v/>
      </c>
      <c r="AG975" s="27" t="str">
        <f>IF(AND('Supplier selection'!AB975="",'Supplier selection'!AI975=""),"",IF('Supplier selection'!AB975="",'Supplier selection'!AI975,'Supplier selection'!AB975))</f>
        <v/>
      </c>
      <c r="AH975" s="28" t="str">
        <f t="shared" si="172"/>
        <v/>
      </c>
      <c r="AI975" s="7" t="str">
        <f t="shared" si="173"/>
        <v/>
      </c>
      <c r="AJ975" s="22" t="str">
        <f t="shared" si="174"/>
        <v/>
      </c>
      <c r="AK975" s="29" t="str">
        <f t="shared" si="175"/>
        <v/>
      </c>
      <c r="AL975" s="10"/>
    </row>
    <row r="976" spans="1:38">
      <c r="A976" s="19">
        <f>IF('Supplier selection'!A976="","",'Supplier selection'!A976)</f>
        <v>972</v>
      </c>
      <c r="B976" s="19" t="str">
        <f>IF('Supplier selection'!B976="","",'Supplier selection'!B976)</f>
        <v/>
      </c>
      <c r="C976" s="19" t="str">
        <f>IF('Supplier selection'!C976="","",'Supplier selection'!C976)</f>
        <v/>
      </c>
      <c r="D976" s="19" t="str">
        <f>IF('Supplier selection'!D976="","",'Supplier selection'!D976)</f>
        <v/>
      </c>
      <c r="E976" s="19" t="str">
        <f>IF('Supplier selection'!E976="","",'Supplier selection'!E976)</f>
        <v/>
      </c>
      <c r="F976" s="19" t="str">
        <f>IF('Supplier selection'!F976="","",'Supplier selection'!F976)</f>
        <v/>
      </c>
      <c r="G976" s="19" t="str">
        <f>IF('Supplier selection'!G976="","",'Supplier selection'!G976)</f>
        <v/>
      </c>
      <c r="H976" s="19" t="str">
        <f>IF('Supplier selection'!H976="","",'Supplier selection'!H976)</f>
        <v/>
      </c>
      <c r="I976" s="19" t="str">
        <f>IF('Supplier selection'!I976="","",'Supplier selection'!I976)</f>
        <v/>
      </c>
      <c r="J976" s="19" t="str">
        <f>IF('Supplier selection'!J976="","",'Supplier selection'!J976)</f>
        <v/>
      </c>
      <c r="K976" s="19" t="str">
        <f>IF('Supplier selection'!K976="","",'Supplier selection'!K976)</f>
        <v/>
      </c>
      <c r="L976" s="19" t="str">
        <f>IF('Supplier selection'!L976="","",'Supplier selection'!L976)</f>
        <v/>
      </c>
      <c r="M976" s="19" t="str">
        <f>IF('Supplier selection'!M976="","",'Supplier selection'!M976)</f>
        <v/>
      </c>
      <c r="N976" s="19" t="str">
        <f>IF('Supplier selection'!N976="","",'Supplier selection'!N976)</f>
        <v/>
      </c>
      <c r="O976" s="19" t="str">
        <f>IF('Supplier selection'!O976="","",'Supplier selection'!O976)</f>
        <v/>
      </c>
      <c r="Q976" s="19" t="str">
        <f>HLOOKUP($Q$3,'Supplier selection'!$AW$4:'Supplier selection'!$CT$1000,$A977,FALSE)</f>
        <v/>
      </c>
      <c r="R976" s="22" t="str">
        <f t="shared" si="165"/>
        <v/>
      </c>
      <c r="S976" s="19" t="str">
        <f t="shared" si="166"/>
        <v/>
      </c>
      <c r="T976" s="22" t="str">
        <f t="shared" si="167"/>
        <v/>
      </c>
      <c r="U976" s="19" t="str">
        <f t="shared" si="168"/>
        <v/>
      </c>
      <c r="V976" s="7"/>
      <c r="Y976" s="19" t="str">
        <f>IF('Supplier selection'!AQ976="","",'Supplier selection'!AQ976)</f>
        <v/>
      </c>
      <c r="Z976" s="19" t="str">
        <f>IF('Supplier selection'!AR976="","",'Supplier selection'!AR976)</f>
        <v/>
      </c>
      <c r="AA976" s="19" t="str">
        <f t="shared" si="169"/>
        <v/>
      </c>
      <c r="AD976" s="26" t="str">
        <f>IF(AND('Supplier selection'!X976="",'Supplier selection'!AE976=""),"",IF('Supplier selection'!X976="",'Supplier selection'!AE976,'Supplier selection'!X976))</f>
        <v/>
      </c>
      <c r="AE976" s="19" t="str">
        <f t="shared" si="170"/>
        <v/>
      </c>
      <c r="AF976" s="19" t="str">
        <f t="shared" si="171"/>
        <v/>
      </c>
      <c r="AG976" s="27" t="str">
        <f>IF(AND('Supplier selection'!AB976="",'Supplier selection'!AI976=""),"",IF('Supplier selection'!AB976="",'Supplier selection'!AI976,'Supplier selection'!AB976))</f>
        <v/>
      </c>
      <c r="AH976" s="28" t="str">
        <f t="shared" si="172"/>
        <v/>
      </c>
      <c r="AI976" s="7" t="str">
        <f t="shared" si="173"/>
        <v/>
      </c>
      <c r="AJ976" s="22" t="str">
        <f t="shared" si="174"/>
        <v/>
      </c>
      <c r="AK976" s="29" t="str">
        <f t="shared" si="175"/>
        <v/>
      </c>
      <c r="AL976" s="10"/>
    </row>
    <row r="977" spans="1:38">
      <c r="A977" s="19">
        <f>IF('Supplier selection'!A977="","",'Supplier selection'!A977)</f>
        <v>973</v>
      </c>
      <c r="B977" s="19" t="str">
        <f>IF('Supplier selection'!B977="","",'Supplier selection'!B977)</f>
        <v/>
      </c>
      <c r="C977" s="19" t="str">
        <f>IF('Supplier selection'!C977="","",'Supplier selection'!C977)</f>
        <v/>
      </c>
      <c r="D977" s="19" t="str">
        <f>IF('Supplier selection'!D977="","",'Supplier selection'!D977)</f>
        <v/>
      </c>
      <c r="E977" s="19" t="str">
        <f>IF('Supplier selection'!E977="","",'Supplier selection'!E977)</f>
        <v/>
      </c>
      <c r="F977" s="19" t="str">
        <f>IF('Supplier selection'!F977="","",'Supplier selection'!F977)</f>
        <v/>
      </c>
      <c r="G977" s="19" t="str">
        <f>IF('Supplier selection'!G977="","",'Supplier selection'!G977)</f>
        <v/>
      </c>
      <c r="H977" s="19" t="str">
        <f>IF('Supplier selection'!H977="","",'Supplier selection'!H977)</f>
        <v/>
      </c>
      <c r="I977" s="19" t="str">
        <f>IF('Supplier selection'!I977="","",'Supplier selection'!I977)</f>
        <v/>
      </c>
      <c r="J977" s="19" t="str">
        <f>IF('Supplier selection'!J977="","",'Supplier selection'!J977)</f>
        <v/>
      </c>
      <c r="K977" s="19" t="str">
        <f>IF('Supplier selection'!K977="","",'Supplier selection'!K977)</f>
        <v/>
      </c>
      <c r="L977" s="19" t="str">
        <f>IF('Supplier selection'!L977="","",'Supplier selection'!L977)</f>
        <v/>
      </c>
      <c r="M977" s="19" t="str">
        <f>IF('Supplier selection'!M977="","",'Supplier selection'!M977)</f>
        <v/>
      </c>
      <c r="N977" s="19" t="str">
        <f>IF('Supplier selection'!N977="","",'Supplier selection'!N977)</f>
        <v/>
      </c>
      <c r="O977" s="19" t="str">
        <f>IF('Supplier selection'!O977="","",'Supplier selection'!O977)</f>
        <v/>
      </c>
      <c r="Q977" s="19" t="str">
        <f>HLOOKUP($Q$3,'Supplier selection'!$AW$4:'Supplier selection'!$CT$1000,$A978,FALSE)</f>
        <v/>
      </c>
      <c r="R977" s="22" t="str">
        <f t="shared" si="165"/>
        <v/>
      </c>
      <c r="S977" s="19" t="str">
        <f t="shared" si="166"/>
        <v/>
      </c>
      <c r="T977" s="22" t="str">
        <f t="shared" si="167"/>
        <v/>
      </c>
      <c r="U977" s="19" t="str">
        <f t="shared" si="168"/>
        <v/>
      </c>
      <c r="V977" s="7"/>
      <c r="Y977" s="19" t="str">
        <f>IF('Supplier selection'!AQ977="","",'Supplier selection'!AQ977)</f>
        <v/>
      </c>
      <c r="Z977" s="19" t="str">
        <f>IF('Supplier selection'!AR977="","",'Supplier selection'!AR977)</f>
        <v/>
      </c>
      <c r="AA977" s="19" t="str">
        <f t="shared" si="169"/>
        <v/>
      </c>
      <c r="AD977" s="26" t="str">
        <f>IF(AND('Supplier selection'!X977="",'Supplier selection'!AE977=""),"",IF('Supplier selection'!X977="",'Supplier selection'!AE977,'Supplier selection'!X977))</f>
        <v/>
      </c>
      <c r="AE977" s="19" t="str">
        <f t="shared" si="170"/>
        <v/>
      </c>
      <c r="AF977" s="19" t="str">
        <f t="shared" si="171"/>
        <v/>
      </c>
      <c r="AG977" s="27" t="str">
        <f>IF(AND('Supplier selection'!AB977="",'Supplier selection'!AI977=""),"",IF('Supplier selection'!AB977="",'Supplier selection'!AI977,'Supplier selection'!AB977))</f>
        <v/>
      </c>
      <c r="AH977" s="28" t="str">
        <f t="shared" si="172"/>
        <v/>
      </c>
      <c r="AI977" s="7" t="str">
        <f t="shared" si="173"/>
        <v/>
      </c>
      <c r="AJ977" s="22" t="str">
        <f t="shared" si="174"/>
        <v/>
      </c>
      <c r="AK977" s="29" t="str">
        <f t="shared" si="175"/>
        <v/>
      </c>
      <c r="AL977" s="10"/>
    </row>
    <row r="978" spans="1:38">
      <c r="A978" s="19">
        <f>IF('Supplier selection'!A978="","",'Supplier selection'!A978)</f>
        <v>974</v>
      </c>
      <c r="B978" s="19" t="str">
        <f>IF('Supplier selection'!B978="","",'Supplier selection'!B978)</f>
        <v/>
      </c>
      <c r="C978" s="19" t="str">
        <f>IF('Supplier selection'!C978="","",'Supplier selection'!C978)</f>
        <v/>
      </c>
      <c r="D978" s="19" t="str">
        <f>IF('Supplier selection'!D978="","",'Supplier selection'!D978)</f>
        <v/>
      </c>
      <c r="E978" s="19" t="str">
        <f>IF('Supplier selection'!E978="","",'Supplier selection'!E978)</f>
        <v/>
      </c>
      <c r="F978" s="19" t="str">
        <f>IF('Supplier selection'!F978="","",'Supplier selection'!F978)</f>
        <v/>
      </c>
      <c r="G978" s="19" t="str">
        <f>IF('Supplier selection'!G978="","",'Supplier selection'!G978)</f>
        <v/>
      </c>
      <c r="H978" s="19" t="str">
        <f>IF('Supplier selection'!H978="","",'Supplier selection'!H978)</f>
        <v/>
      </c>
      <c r="I978" s="19" t="str">
        <f>IF('Supplier selection'!I978="","",'Supplier selection'!I978)</f>
        <v/>
      </c>
      <c r="J978" s="19" t="str">
        <f>IF('Supplier selection'!J978="","",'Supplier selection'!J978)</f>
        <v/>
      </c>
      <c r="K978" s="19" t="str">
        <f>IF('Supplier selection'!K978="","",'Supplier selection'!K978)</f>
        <v/>
      </c>
      <c r="L978" s="19" t="str">
        <f>IF('Supplier selection'!L978="","",'Supplier selection'!L978)</f>
        <v/>
      </c>
      <c r="M978" s="19" t="str">
        <f>IF('Supplier selection'!M978="","",'Supplier selection'!M978)</f>
        <v/>
      </c>
      <c r="N978" s="19" t="str">
        <f>IF('Supplier selection'!N978="","",'Supplier selection'!N978)</f>
        <v/>
      </c>
      <c r="O978" s="19" t="str">
        <f>IF('Supplier selection'!O978="","",'Supplier selection'!O978)</f>
        <v/>
      </c>
      <c r="Q978" s="19" t="str">
        <f>HLOOKUP($Q$3,'Supplier selection'!$AW$4:'Supplier selection'!$CT$1000,$A979,FALSE)</f>
        <v/>
      </c>
      <c r="R978" s="22" t="str">
        <f t="shared" si="165"/>
        <v/>
      </c>
      <c r="S978" s="19" t="str">
        <f t="shared" si="166"/>
        <v/>
      </c>
      <c r="T978" s="22" t="str">
        <f t="shared" si="167"/>
        <v/>
      </c>
      <c r="U978" s="19" t="str">
        <f t="shared" si="168"/>
        <v/>
      </c>
      <c r="V978" s="7"/>
      <c r="Y978" s="19" t="str">
        <f>IF('Supplier selection'!AQ978="","",'Supplier selection'!AQ978)</f>
        <v/>
      </c>
      <c r="Z978" s="19" t="str">
        <f>IF('Supplier selection'!AR978="","",'Supplier selection'!AR978)</f>
        <v/>
      </c>
      <c r="AA978" s="19" t="str">
        <f t="shared" si="169"/>
        <v/>
      </c>
      <c r="AD978" s="26" t="str">
        <f>IF(AND('Supplier selection'!X978="",'Supplier selection'!AE978=""),"",IF('Supplier selection'!X978="",'Supplier selection'!AE978,'Supplier selection'!X978))</f>
        <v/>
      </c>
      <c r="AE978" s="19" t="str">
        <f t="shared" si="170"/>
        <v/>
      </c>
      <c r="AF978" s="19" t="str">
        <f t="shared" si="171"/>
        <v/>
      </c>
      <c r="AG978" s="27" t="str">
        <f>IF(AND('Supplier selection'!AB978="",'Supplier selection'!AI978=""),"",IF('Supplier selection'!AB978="",'Supplier selection'!AI978,'Supplier selection'!AB978))</f>
        <v/>
      </c>
      <c r="AH978" s="28" t="str">
        <f t="shared" si="172"/>
        <v/>
      </c>
      <c r="AI978" s="7" t="str">
        <f t="shared" si="173"/>
        <v/>
      </c>
      <c r="AJ978" s="22" t="str">
        <f t="shared" si="174"/>
        <v/>
      </c>
      <c r="AK978" s="29" t="str">
        <f t="shared" si="175"/>
        <v/>
      </c>
      <c r="AL978" s="10"/>
    </row>
    <row r="979" spans="1:38">
      <c r="A979" s="19">
        <f>IF('Supplier selection'!A979="","",'Supplier selection'!A979)</f>
        <v>975</v>
      </c>
      <c r="B979" s="19" t="str">
        <f>IF('Supplier selection'!B979="","",'Supplier selection'!B979)</f>
        <v/>
      </c>
      <c r="C979" s="19" t="str">
        <f>IF('Supplier selection'!C979="","",'Supplier selection'!C979)</f>
        <v/>
      </c>
      <c r="D979" s="19" t="str">
        <f>IF('Supplier selection'!D979="","",'Supplier selection'!D979)</f>
        <v/>
      </c>
      <c r="E979" s="19" t="str">
        <f>IF('Supplier selection'!E979="","",'Supplier selection'!E979)</f>
        <v/>
      </c>
      <c r="F979" s="19" t="str">
        <f>IF('Supplier selection'!F979="","",'Supplier selection'!F979)</f>
        <v/>
      </c>
      <c r="G979" s="19" t="str">
        <f>IF('Supplier selection'!G979="","",'Supplier selection'!G979)</f>
        <v/>
      </c>
      <c r="H979" s="19" t="str">
        <f>IF('Supplier selection'!H979="","",'Supplier selection'!H979)</f>
        <v/>
      </c>
      <c r="I979" s="19" t="str">
        <f>IF('Supplier selection'!I979="","",'Supplier selection'!I979)</f>
        <v/>
      </c>
      <c r="J979" s="19" t="str">
        <f>IF('Supplier selection'!J979="","",'Supplier selection'!J979)</f>
        <v/>
      </c>
      <c r="K979" s="19" t="str">
        <f>IF('Supplier selection'!K979="","",'Supplier selection'!K979)</f>
        <v/>
      </c>
      <c r="L979" s="19" t="str">
        <f>IF('Supplier selection'!L979="","",'Supplier selection'!L979)</f>
        <v/>
      </c>
      <c r="M979" s="19" t="str">
        <f>IF('Supplier selection'!M979="","",'Supplier selection'!M979)</f>
        <v/>
      </c>
      <c r="N979" s="19" t="str">
        <f>IF('Supplier selection'!N979="","",'Supplier selection'!N979)</f>
        <v/>
      </c>
      <c r="O979" s="19" t="str">
        <f>IF('Supplier selection'!O979="","",'Supplier selection'!O979)</f>
        <v/>
      </c>
      <c r="Q979" s="19" t="str">
        <f>HLOOKUP($Q$3,'Supplier selection'!$AW$4:'Supplier selection'!$CT$1000,$A980,FALSE)</f>
        <v/>
      </c>
      <c r="R979" s="22" t="str">
        <f t="shared" si="165"/>
        <v/>
      </c>
      <c r="S979" s="19" t="str">
        <f t="shared" si="166"/>
        <v/>
      </c>
      <c r="T979" s="22" t="str">
        <f t="shared" si="167"/>
        <v/>
      </c>
      <c r="U979" s="19" t="str">
        <f t="shared" si="168"/>
        <v/>
      </c>
      <c r="V979" s="7"/>
      <c r="Y979" s="19" t="str">
        <f>IF('Supplier selection'!AQ979="","",'Supplier selection'!AQ979)</f>
        <v/>
      </c>
      <c r="Z979" s="19" t="str">
        <f>IF('Supplier selection'!AR979="","",'Supplier selection'!AR979)</f>
        <v/>
      </c>
      <c r="AA979" s="19" t="str">
        <f t="shared" si="169"/>
        <v/>
      </c>
      <c r="AD979" s="26" t="str">
        <f>IF(AND('Supplier selection'!X979="",'Supplier selection'!AE979=""),"",IF('Supplier selection'!X979="",'Supplier selection'!AE979,'Supplier selection'!X979))</f>
        <v/>
      </c>
      <c r="AE979" s="19" t="str">
        <f t="shared" si="170"/>
        <v/>
      </c>
      <c r="AF979" s="19" t="str">
        <f t="shared" si="171"/>
        <v/>
      </c>
      <c r="AG979" s="27" t="str">
        <f>IF(AND('Supplier selection'!AB979="",'Supplier selection'!AI979=""),"",IF('Supplier selection'!AB979="",'Supplier selection'!AI979,'Supplier selection'!AB979))</f>
        <v/>
      </c>
      <c r="AH979" s="28" t="str">
        <f t="shared" si="172"/>
        <v/>
      </c>
      <c r="AI979" s="7" t="str">
        <f t="shared" si="173"/>
        <v/>
      </c>
      <c r="AJ979" s="22" t="str">
        <f t="shared" si="174"/>
        <v/>
      </c>
      <c r="AK979" s="29" t="str">
        <f t="shared" si="175"/>
        <v/>
      </c>
      <c r="AL979" s="10"/>
    </row>
    <row r="980" spans="1:38">
      <c r="A980" s="19">
        <f>IF('Supplier selection'!A980="","",'Supplier selection'!A980)</f>
        <v>976</v>
      </c>
      <c r="B980" s="19" t="str">
        <f>IF('Supplier selection'!B980="","",'Supplier selection'!B980)</f>
        <v/>
      </c>
      <c r="C980" s="19" t="str">
        <f>IF('Supplier selection'!C980="","",'Supplier selection'!C980)</f>
        <v/>
      </c>
      <c r="D980" s="19" t="str">
        <f>IF('Supplier selection'!D980="","",'Supplier selection'!D980)</f>
        <v/>
      </c>
      <c r="E980" s="19" t="str">
        <f>IF('Supplier selection'!E980="","",'Supplier selection'!E980)</f>
        <v/>
      </c>
      <c r="F980" s="19" t="str">
        <f>IF('Supplier selection'!F980="","",'Supplier selection'!F980)</f>
        <v/>
      </c>
      <c r="G980" s="19" t="str">
        <f>IF('Supplier selection'!G980="","",'Supplier selection'!G980)</f>
        <v/>
      </c>
      <c r="H980" s="19" t="str">
        <f>IF('Supplier selection'!H980="","",'Supplier selection'!H980)</f>
        <v/>
      </c>
      <c r="I980" s="19" t="str">
        <f>IF('Supplier selection'!I980="","",'Supplier selection'!I980)</f>
        <v/>
      </c>
      <c r="J980" s="19" t="str">
        <f>IF('Supplier selection'!J980="","",'Supplier selection'!J980)</f>
        <v/>
      </c>
      <c r="K980" s="19" t="str">
        <f>IF('Supplier selection'!K980="","",'Supplier selection'!K980)</f>
        <v/>
      </c>
      <c r="L980" s="19" t="str">
        <f>IF('Supplier selection'!L980="","",'Supplier selection'!L980)</f>
        <v/>
      </c>
      <c r="M980" s="19" t="str">
        <f>IF('Supplier selection'!M980="","",'Supplier selection'!M980)</f>
        <v/>
      </c>
      <c r="N980" s="19" t="str">
        <f>IF('Supplier selection'!N980="","",'Supplier selection'!N980)</f>
        <v/>
      </c>
      <c r="O980" s="19" t="str">
        <f>IF('Supplier selection'!O980="","",'Supplier selection'!O980)</f>
        <v/>
      </c>
      <c r="Q980" s="19" t="str">
        <f>HLOOKUP($Q$3,'Supplier selection'!$AW$4:'Supplier selection'!$CT$1000,$A981,FALSE)</f>
        <v/>
      </c>
      <c r="R980" s="22" t="str">
        <f t="shared" si="165"/>
        <v/>
      </c>
      <c r="S980" s="19" t="str">
        <f t="shared" si="166"/>
        <v/>
      </c>
      <c r="T980" s="22" t="str">
        <f t="shared" si="167"/>
        <v/>
      </c>
      <c r="U980" s="19" t="str">
        <f t="shared" si="168"/>
        <v/>
      </c>
      <c r="V980" s="7"/>
      <c r="Y980" s="19" t="str">
        <f>IF('Supplier selection'!AQ980="","",'Supplier selection'!AQ980)</f>
        <v/>
      </c>
      <c r="Z980" s="19" t="str">
        <f>IF('Supplier selection'!AR980="","",'Supplier selection'!AR980)</f>
        <v/>
      </c>
      <c r="AA980" s="19" t="str">
        <f t="shared" si="169"/>
        <v/>
      </c>
      <c r="AD980" s="26" t="str">
        <f>IF(AND('Supplier selection'!X980="",'Supplier selection'!AE980=""),"",IF('Supplier selection'!X980="",'Supplier selection'!AE980,'Supplier selection'!X980))</f>
        <v/>
      </c>
      <c r="AE980" s="19" t="str">
        <f t="shared" si="170"/>
        <v/>
      </c>
      <c r="AF980" s="19" t="str">
        <f t="shared" si="171"/>
        <v/>
      </c>
      <c r="AG980" s="27" t="str">
        <f>IF(AND('Supplier selection'!AB980="",'Supplier selection'!AI980=""),"",IF('Supplier selection'!AB980="",'Supplier selection'!AI980,'Supplier selection'!AB980))</f>
        <v/>
      </c>
      <c r="AH980" s="28" t="str">
        <f t="shared" si="172"/>
        <v/>
      </c>
      <c r="AI980" s="7" t="str">
        <f t="shared" si="173"/>
        <v/>
      </c>
      <c r="AJ980" s="22" t="str">
        <f t="shared" si="174"/>
        <v/>
      </c>
      <c r="AK980" s="29" t="str">
        <f t="shared" si="175"/>
        <v/>
      </c>
      <c r="AL980" s="10"/>
    </row>
    <row r="981" spans="1:38">
      <c r="A981" s="19">
        <f>IF('Supplier selection'!A981="","",'Supplier selection'!A981)</f>
        <v>977</v>
      </c>
      <c r="B981" s="19" t="str">
        <f>IF('Supplier selection'!B981="","",'Supplier selection'!B981)</f>
        <v/>
      </c>
      <c r="C981" s="19" t="str">
        <f>IF('Supplier selection'!C981="","",'Supplier selection'!C981)</f>
        <v/>
      </c>
      <c r="D981" s="19" t="str">
        <f>IF('Supplier selection'!D981="","",'Supplier selection'!D981)</f>
        <v/>
      </c>
      <c r="E981" s="19" t="str">
        <f>IF('Supplier selection'!E981="","",'Supplier selection'!E981)</f>
        <v/>
      </c>
      <c r="F981" s="19" t="str">
        <f>IF('Supplier selection'!F981="","",'Supplier selection'!F981)</f>
        <v/>
      </c>
      <c r="G981" s="19" t="str">
        <f>IF('Supplier selection'!G981="","",'Supplier selection'!G981)</f>
        <v/>
      </c>
      <c r="H981" s="19" t="str">
        <f>IF('Supplier selection'!H981="","",'Supplier selection'!H981)</f>
        <v/>
      </c>
      <c r="I981" s="19" t="str">
        <f>IF('Supplier selection'!I981="","",'Supplier selection'!I981)</f>
        <v/>
      </c>
      <c r="J981" s="19" t="str">
        <f>IF('Supplier selection'!J981="","",'Supplier selection'!J981)</f>
        <v/>
      </c>
      <c r="K981" s="19" t="str">
        <f>IF('Supplier selection'!K981="","",'Supplier selection'!K981)</f>
        <v/>
      </c>
      <c r="L981" s="19" t="str">
        <f>IF('Supplier selection'!L981="","",'Supplier selection'!L981)</f>
        <v/>
      </c>
      <c r="M981" s="19" t="str">
        <f>IF('Supplier selection'!M981="","",'Supplier selection'!M981)</f>
        <v/>
      </c>
      <c r="N981" s="19" t="str">
        <f>IF('Supplier selection'!N981="","",'Supplier selection'!N981)</f>
        <v/>
      </c>
      <c r="O981" s="19" t="str">
        <f>IF('Supplier selection'!O981="","",'Supplier selection'!O981)</f>
        <v/>
      </c>
      <c r="Q981" s="19" t="str">
        <f>HLOOKUP($Q$3,'Supplier selection'!$AW$4:'Supplier selection'!$CT$1000,$A982,FALSE)</f>
        <v/>
      </c>
      <c r="R981" s="22" t="str">
        <f t="shared" si="165"/>
        <v/>
      </c>
      <c r="S981" s="19" t="str">
        <f t="shared" si="166"/>
        <v/>
      </c>
      <c r="T981" s="22" t="str">
        <f t="shared" si="167"/>
        <v/>
      </c>
      <c r="U981" s="19" t="str">
        <f t="shared" si="168"/>
        <v/>
      </c>
      <c r="V981" s="7"/>
      <c r="Y981" s="19" t="str">
        <f>IF('Supplier selection'!AQ981="","",'Supplier selection'!AQ981)</f>
        <v/>
      </c>
      <c r="Z981" s="19" t="str">
        <f>IF('Supplier selection'!AR981="","",'Supplier selection'!AR981)</f>
        <v/>
      </c>
      <c r="AA981" s="19" t="str">
        <f t="shared" si="169"/>
        <v/>
      </c>
      <c r="AD981" s="26" t="str">
        <f>IF(AND('Supplier selection'!X981="",'Supplier selection'!AE981=""),"",IF('Supplier selection'!X981="",'Supplier selection'!AE981,'Supplier selection'!X981))</f>
        <v/>
      </c>
      <c r="AE981" s="19" t="str">
        <f t="shared" si="170"/>
        <v/>
      </c>
      <c r="AF981" s="19" t="str">
        <f t="shared" si="171"/>
        <v/>
      </c>
      <c r="AG981" s="27" t="str">
        <f>IF(AND('Supplier selection'!AB981="",'Supplier selection'!AI981=""),"",IF('Supplier selection'!AB981="",'Supplier selection'!AI981,'Supplier selection'!AB981))</f>
        <v/>
      </c>
      <c r="AH981" s="28" t="str">
        <f t="shared" si="172"/>
        <v/>
      </c>
      <c r="AI981" s="7" t="str">
        <f t="shared" si="173"/>
        <v/>
      </c>
      <c r="AJ981" s="22" t="str">
        <f t="shared" si="174"/>
        <v/>
      </c>
      <c r="AK981" s="29" t="str">
        <f t="shared" si="175"/>
        <v/>
      </c>
      <c r="AL981" s="10"/>
    </row>
    <row r="982" spans="1:38">
      <c r="A982" s="19">
        <f>IF('Supplier selection'!A982="","",'Supplier selection'!A982)</f>
        <v>978</v>
      </c>
      <c r="B982" s="19" t="str">
        <f>IF('Supplier selection'!B982="","",'Supplier selection'!B982)</f>
        <v/>
      </c>
      <c r="C982" s="19" t="str">
        <f>IF('Supplier selection'!C982="","",'Supplier selection'!C982)</f>
        <v/>
      </c>
      <c r="D982" s="19" t="str">
        <f>IF('Supplier selection'!D982="","",'Supplier selection'!D982)</f>
        <v/>
      </c>
      <c r="E982" s="19" t="str">
        <f>IF('Supplier selection'!E982="","",'Supplier selection'!E982)</f>
        <v/>
      </c>
      <c r="F982" s="19" t="str">
        <f>IF('Supplier selection'!F982="","",'Supplier selection'!F982)</f>
        <v/>
      </c>
      <c r="G982" s="19" t="str">
        <f>IF('Supplier selection'!G982="","",'Supplier selection'!G982)</f>
        <v/>
      </c>
      <c r="H982" s="19" t="str">
        <f>IF('Supplier selection'!H982="","",'Supplier selection'!H982)</f>
        <v/>
      </c>
      <c r="I982" s="19" t="str">
        <f>IF('Supplier selection'!I982="","",'Supplier selection'!I982)</f>
        <v/>
      </c>
      <c r="J982" s="19" t="str">
        <f>IF('Supplier selection'!J982="","",'Supplier selection'!J982)</f>
        <v/>
      </c>
      <c r="K982" s="19" t="str">
        <f>IF('Supplier selection'!K982="","",'Supplier selection'!K982)</f>
        <v/>
      </c>
      <c r="L982" s="19" t="str">
        <f>IF('Supplier selection'!L982="","",'Supplier selection'!L982)</f>
        <v/>
      </c>
      <c r="M982" s="19" t="str">
        <f>IF('Supplier selection'!M982="","",'Supplier selection'!M982)</f>
        <v/>
      </c>
      <c r="N982" s="19" t="str">
        <f>IF('Supplier selection'!N982="","",'Supplier selection'!N982)</f>
        <v/>
      </c>
      <c r="O982" s="19" t="str">
        <f>IF('Supplier selection'!O982="","",'Supplier selection'!O982)</f>
        <v/>
      </c>
      <c r="Q982" s="19" t="str">
        <f>HLOOKUP($Q$3,'Supplier selection'!$AW$4:'Supplier selection'!$CT$1000,$A983,FALSE)</f>
        <v/>
      </c>
      <c r="R982" s="22" t="str">
        <f t="shared" si="165"/>
        <v/>
      </c>
      <c r="S982" s="19" t="str">
        <f t="shared" si="166"/>
        <v/>
      </c>
      <c r="T982" s="22" t="str">
        <f t="shared" si="167"/>
        <v/>
      </c>
      <c r="U982" s="19" t="str">
        <f t="shared" si="168"/>
        <v/>
      </c>
      <c r="V982" s="7"/>
      <c r="Y982" s="19" t="str">
        <f>IF('Supplier selection'!AQ982="","",'Supplier selection'!AQ982)</f>
        <v/>
      </c>
      <c r="Z982" s="19" t="str">
        <f>IF('Supplier selection'!AR982="","",'Supplier selection'!AR982)</f>
        <v/>
      </c>
      <c r="AA982" s="19" t="str">
        <f t="shared" si="169"/>
        <v/>
      </c>
      <c r="AD982" s="26" t="str">
        <f>IF(AND('Supplier selection'!X982="",'Supplier selection'!AE982=""),"",IF('Supplier selection'!X982="",'Supplier selection'!AE982,'Supplier selection'!X982))</f>
        <v/>
      </c>
      <c r="AE982" s="19" t="str">
        <f t="shared" si="170"/>
        <v/>
      </c>
      <c r="AF982" s="19" t="str">
        <f t="shared" si="171"/>
        <v/>
      </c>
      <c r="AG982" s="27" t="str">
        <f>IF(AND('Supplier selection'!AB982="",'Supplier selection'!AI982=""),"",IF('Supplier selection'!AB982="",'Supplier selection'!AI982,'Supplier selection'!AB982))</f>
        <v/>
      </c>
      <c r="AH982" s="28" t="str">
        <f t="shared" si="172"/>
        <v/>
      </c>
      <c r="AI982" s="7" t="str">
        <f t="shared" si="173"/>
        <v/>
      </c>
      <c r="AJ982" s="22" t="str">
        <f t="shared" si="174"/>
        <v/>
      </c>
      <c r="AK982" s="29" t="str">
        <f t="shared" si="175"/>
        <v/>
      </c>
      <c r="AL982" s="10"/>
    </row>
    <row r="983" spans="1:38">
      <c r="A983" s="19">
        <f>IF('Supplier selection'!A983="","",'Supplier selection'!A983)</f>
        <v>979</v>
      </c>
      <c r="B983" s="19" t="str">
        <f>IF('Supplier selection'!B983="","",'Supplier selection'!B983)</f>
        <v/>
      </c>
      <c r="C983" s="19" t="str">
        <f>IF('Supplier selection'!C983="","",'Supplier selection'!C983)</f>
        <v/>
      </c>
      <c r="D983" s="19" t="str">
        <f>IF('Supplier selection'!D983="","",'Supplier selection'!D983)</f>
        <v/>
      </c>
      <c r="E983" s="19" t="str">
        <f>IF('Supplier selection'!E983="","",'Supplier selection'!E983)</f>
        <v/>
      </c>
      <c r="F983" s="19" t="str">
        <f>IF('Supplier selection'!F983="","",'Supplier selection'!F983)</f>
        <v/>
      </c>
      <c r="G983" s="19" t="str">
        <f>IF('Supplier selection'!G983="","",'Supplier selection'!G983)</f>
        <v/>
      </c>
      <c r="H983" s="19" t="str">
        <f>IF('Supplier selection'!H983="","",'Supplier selection'!H983)</f>
        <v/>
      </c>
      <c r="I983" s="19" t="str">
        <f>IF('Supplier selection'!I983="","",'Supplier selection'!I983)</f>
        <v/>
      </c>
      <c r="J983" s="19" t="str">
        <f>IF('Supplier selection'!J983="","",'Supplier selection'!J983)</f>
        <v/>
      </c>
      <c r="K983" s="19" t="str">
        <f>IF('Supplier selection'!K983="","",'Supplier selection'!K983)</f>
        <v/>
      </c>
      <c r="L983" s="19" t="str">
        <f>IF('Supplier selection'!L983="","",'Supplier selection'!L983)</f>
        <v/>
      </c>
      <c r="M983" s="19" t="str">
        <f>IF('Supplier selection'!M983="","",'Supplier selection'!M983)</f>
        <v/>
      </c>
      <c r="N983" s="19" t="str">
        <f>IF('Supplier selection'!N983="","",'Supplier selection'!N983)</f>
        <v/>
      </c>
      <c r="O983" s="19" t="str">
        <f>IF('Supplier selection'!O983="","",'Supplier selection'!O983)</f>
        <v/>
      </c>
      <c r="Q983" s="19" t="str">
        <f>HLOOKUP($Q$3,'Supplier selection'!$AW$4:'Supplier selection'!$CT$1000,$A984,FALSE)</f>
        <v/>
      </c>
      <c r="R983" s="22" t="str">
        <f t="shared" si="165"/>
        <v/>
      </c>
      <c r="S983" s="19" t="str">
        <f t="shared" si="166"/>
        <v/>
      </c>
      <c r="T983" s="22" t="str">
        <f t="shared" si="167"/>
        <v/>
      </c>
      <c r="U983" s="19" t="str">
        <f t="shared" si="168"/>
        <v/>
      </c>
      <c r="V983" s="7"/>
      <c r="Y983" s="19" t="str">
        <f>IF('Supplier selection'!AQ983="","",'Supplier selection'!AQ983)</f>
        <v/>
      </c>
      <c r="Z983" s="19" t="str">
        <f>IF('Supplier selection'!AR983="","",'Supplier selection'!AR983)</f>
        <v/>
      </c>
      <c r="AA983" s="19" t="str">
        <f t="shared" si="169"/>
        <v/>
      </c>
      <c r="AD983" s="26" t="str">
        <f>IF(AND('Supplier selection'!X983="",'Supplier selection'!AE983=""),"",IF('Supplier selection'!X983="",'Supplier selection'!AE983,'Supplier selection'!X983))</f>
        <v/>
      </c>
      <c r="AE983" s="19" t="str">
        <f t="shared" si="170"/>
        <v/>
      </c>
      <c r="AF983" s="19" t="str">
        <f t="shared" si="171"/>
        <v/>
      </c>
      <c r="AG983" s="27" t="str">
        <f>IF(AND('Supplier selection'!AB983="",'Supplier selection'!AI983=""),"",IF('Supplier selection'!AB983="",'Supplier selection'!AI983,'Supplier selection'!AB983))</f>
        <v/>
      </c>
      <c r="AH983" s="28" t="str">
        <f t="shared" si="172"/>
        <v/>
      </c>
      <c r="AI983" s="7" t="str">
        <f t="shared" si="173"/>
        <v/>
      </c>
      <c r="AJ983" s="22" t="str">
        <f t="shared" si="174"/>
        <v/>
      </c>
      <c r="AK983" s="29" t="str">
        <f t="shared" si="175"/>
        <v/>
      </c>
      <c r="AL983" s="10"/>
    </row>
    <row r="984" spans="1:38">
      <c r="A984" s="19">
        <f>IF('Supplier selection'!A984="","",'Supplier selection'!A984)</f>
        <v>980</v>
      </c>
      <c r="B984" s="19" t="str">
        <f>IF('Supplier selection'!B984="","",'Supplier selection'!B984)</f>
        <v/>
      </c>
      <c r="C984" s="19" t="str">
        <f>IF('Supplier selection'!C984="","",'Supplier selection'!C984)</f>
        <v/>
      </c>
      <c r="D984" s="19" t="str">
        <f>IF('Supplier selection'!D984="","",'Supplier selection'!D984)</f>
        <v/>
      </c>
      <c r="E984" s="19" t="str">
        <f>IF('Supplier selection'!E984="","",'Supplier selection'!E984)</f>
        <v/>
      </c>
      <c r="F984" s="19" t="str">
        <f>IF('Supplier selection'!F984="","",'Supplier selection'!F984)</f>
        <v/>
      </c>
      <c r="G984" s="19" t="str">
        <f>IF('Supplier selection'!G984="","",'Supplier selection'!G984)</f>
        <v/>
      </c>
      <c r="H984" s="19" t="str">
        <f>IF('Supplier selection'!H984="","",'Supplier selection'!H984)</f>
        <v/>
      </c>
      <c r="I984" s="19" t="str">
        <f>IF('Supplier selection'!I984="","",'Supplier selection'!I984)</f>
        <v/>
      </c>
      <c r="J984" s="19" t="str">
        <f>IF('Supplier selection'!J984="","",'Supplier selection'!J984)</f>
        <v/>
      </c>
      <c r="K984" s="19" t="str">
        <f>IF('Supplier selection'!K984="","",'Supplier selection'!K984)</f>
        <v/>
      </c>
      <c r="L984" s="19" t="str">
        <f>IF('Supplier selection'!L984="","",'Supplier selection'!L984)</f>
        <v/>
      </c>
      <c r="M984" s="19" t="str">
        <f>IF('Supplier selection'!M984="","",'Supplier selection'!M984)</f>
        <v/>
      </c>
      <c r="N984" s="19" t="str">
        <f>IF('Supplier selection'!N984="","",'Supplier selection'!N984)</f>
        <v/>
      </c>
      <c r="O984" s="19" t="str">
        <f>IF('Supplier selection'!O984="","",'Supplier selection'!O984)</f>
        <v/>
      </c>
      <c r="Q984" s="19" t="str">
        <f>HLOOKUP($Q$3,'Supplier selection'!$AW$4:'Supplier selection'!$CT$1000,$A985,FALSE)</f>
        <v/>
      </c>
      <c r="R984" s="22" t="str">
        <f t="shared" si="165"/>
        <v/>
      </c>
      <c r="S984" s="19" t="str">
        <f t="shared" si="166"/>
        <v/>
      </c>
      <c r="T984" s="22" t="str">
        <f t="shared" si="167"/>
        <v/>
      </c>
      <c r="U984" s="19" t="str">
        <f t="shared" si="168"/>
        <v/>
      </c>
      <c r="V984" s="7"/>
      <c r="Y984" s="19" t="str">
        <f>IF('Supplier selection'!AQ984="","",'Supplier selection'!AQ984)</f>
        <v/>
      </c>
      <c r="Z984" s="19" t="str">
        <f>IF('Supplier selection'!AR984="","",'Supplier selection'!AR984)</f>
        <v/>
      </c>
      <c r="AA984" s="19" t="str">
        <f t="shared" si="169"/>
        <v/>
      </c>
      <c r="AD984" s="26" t="str">
        <f>IF(AND('Supplier selection'!X984="",'Supplier selection'!AE984=""),"",IF('Supplier selection'!X984="",'Supplier selection'!AE984,'Supplier selection'!X984))</f>
        <v/>
      </c>
      <c r="AE984" s="19" t="str">
        <f t="shared" si="170"/>
        <v/>
      </c>
      <c r="AF984" s="19" t="str">
        <f t="shared" si="171"/>
        <v/>
      </c>
      <c r="AG984" s="27" t="str">
        <f>IF(AND('Supplier selection'!AB984="",'Supplier selection'!AI984=""),"",IF('Supplier selection'!AB984="",'Supplier selection'!AI984,'Supplier selection'!AB984))</f>
        <v/>
      </c>
      <c r="AH984" s="28" t="str">
        <f t="shared" si="172"/>
        <v/>
      </c>
      <c r="AI984" s="7" t="str">
        <f t="shared" si="173"/>
        <v/>
      </c>
      <c r="AJ984" s="22" t="str">
        <f t="shared" si="174"/>
        <v/>
      </c>
      <c r="AK984" s="29" t="str">
        <f t="shared" si="175"/>
        <v/>
      </c>
      <c r="AL984" s="10"/>
    </row>
    <row r="985" spans="1:38">
      <c r="A985" s="19">
        <f>IF('Supplier selection'!A985="","",'Supplier selection'!A985)</f>
        <v>981</v>
      </c>
      <c r="B985" s="19" t="str">
        <f>IF('Supplier selection'!B985="","",'Supplier selection'!B985)</f>
        <v/>
      </c>
      <c r="C985" s="19" t="str">
        <f>IF('Supplier selection'!C985="","",'Supplier selection'!C985)</f>
        <v/>
      </c>
      <c r="D985" s="19" t="str">
        <f>IF('Supplier selection'!D985="","",'Supplier selection'!D985)</f>
        <v/>
      </c>
      <c r="E985" s="19" t="str">
        <f>IF('Supplier selection'!E985="","",'Supplier selection'!E985)</f>
        <v/>
      </c>
      <c r="F985" s="19" t="str">
        <f>IF('Supplier selection'!F985="","",'Supplier selection'!F985)</f>
        <v/>
      </c>
      <c r="G985" s="19" t="str">
        <f>IF('Supplier selection'!G985="","",'Supplier selection'!G985)</f>
        <v/>
      </c>
      <c r="H985" s="19" t="str">
        <f>IF('Supplier selection'!H985="","",'Supplier selection'!H985)</f>
        <v/>
      </c>
      <c r="I985" s="19" t="str">
        <f>IF('Supplier selection'!I985="","",'Supplier selection'!I985)</f>
        <v/>
      </c>
      <c r="J985" s="19" t="str">
        <f>IF('Supplier selection'!J985="","",'Supplier selection'!J985)</f>
        <v/>
      </c>
      <c r="K985" s="19" t="str">
        <f>IF('Supplier selection'!K985="","",'Supplier selection'!K985)</f>
        <v/>
      </c>
      <c r="L985" s="19" t="str">
        <f>IF('Supplier selection'!L985="","",'Supplier selection'!L985)</f>
        <v/>
      </c>
      <c r="M985" s="19" t="str">
        <f>IF('Supplier selection'!M985="","",'Supplier selection'!M985)</f>
        <v/>
      </c>
      <c r="N985" s="19" t="str">
        <f>IF('Supplier selection'!N985="","",'Supplier selection'!N985)</f>
        <v/>
      </c>
      <c r="O985" s="19" t="str">
        <f>IF('Supplier selection'!O985="","",'Supplier selection'!O985)</f>
        <v/>
      </c>
      <c r="Q985" s="19" t="str">
        <f>HLOOKUP($Q$3,'Supplier selection'!$AW$4:'Supplier selection'!$CT$1000,$A986,FALSE)</f>
        <v/>
      </c>
      <c r="R985" s="22" t="str">
        <f t="shared" si="165"/>
        <v/>
      </c>
      <c r="S985" s="19" t="str">
        <f t="shared" si="166"/>
        <v/>
      </c>
      <c r="T985" s="22" t="str">
        <f t="shared" si="167"/>
        <v/>
      </c>
      <c r="U985" s="19" t="str">
        <f t="shared" si="168"/>
        <v/>
      </c>
      <c r="V985" s="7"/>
      <c r="Y985" s="19" t="str">
        <f>IF('Supplier selection'!AQ985="","",'Supplier selection'!AQ985)</f>
        <v/>
      </c>
      <c r="Z985" s="19" t="str">
        <f>IF('Supplier selection'!AR985="","",'Supplier selection'!AR985)</f>
        <v/>
      </c>
      <c r="AA985" s="19" t="str">
        <f t="shared" si="169"/>
        <v/>
      </c>
      <c r="AD985" s="26" t="str">
        <f>IF(AND('Supplier selection'!X985="",'Supplier selection'!AE985=""),"",IF('Supplier selection'!X985="",'Supplier selection'!AE985,'Supplier selection'!X985))</f>
        <v/>
      </c>
      <c r="AE985" s="19" t="str">
        <f t="shared" si="170"/>
        <v/>
      </c>
      <c r="AF985" s="19" t="str">
        <f t="shared" si="171"/>
        <v/>
      </c>
      <c r="AG985" s="27" t="str">
        <f>IF(AND('Supplier selection'!AB985="",'Supplier selection'!AI985=""),"",IF('Supplier selection'!AB985="",'Supplier selection'!AI985,'Supplier selection'!AB985))</f>
        <v/>
      </c>
      <c r="AH985" s="28" t="str">
        <f t="shared" si="172"/>
        <v/>
      </c>
      <c r="AI985" s="7" t="str">
        <f t="shared" si="173"/>
        <v/>
      </c>
      <c r="AJ985" s="22" t="str">
        <f t="shared" si="174"/>
        <v/>
      </c>
      <c r="AK985" s="29" t="str">
        <f t="shared" si="175"/>
        <v/>
      </c>
      <c r="AL985" s="10"/>
    </row>
    <row r="986" spans="1:38">
      <c r="A986" s="19">
        <f>IF('Supplier selection'!A986="","",'Supplier selection'!A986)</f>
        <v>982</v>
      </c>
      <c r="B986" s="19" t="str">
        <f>IF('Supplier selection'!B986="","",'Supplier selection'!B986)</f>
        <v/>
      </c>
      <c r="C986" s="19" t="str">
        <f>IF('Supplier selection'!C986="","",'Supplier selection'!C986)</f>
        <v/>
      </c>
      <c r="D986" s="19" t="str">
        <f>IF('Supplier selection'!D986="","",'Supplier selection'!D986)</f>
        <v/>
      </c>
      <c r="E986" s="19" t="str">
        <f>IF('Supplier selection'!E986="","",'Supplier selection'!E986)</f>
        <v/>
      </c>
      <c r="F986" s="19" t="str">
        <f>IF('Supplier selection'!F986="","",'Supplier selection'!F986)</f>
        <v/>
      </c>
      <c r="G986" s="19" t="str">
        <f>IF('Supplier selection'!G986="","",'Supplier selection'!G986)</f>
        <v/>
      </c>
      <c r="H986" s="19" t="str">
        <f>IF('Supplier selection'!H986="","",'Supplier selection'!H986)</f>
        <v/>
      </c>
      <c r="I986" s="19" t="str">
        <f>IF('Supplier selection'!I986="","",'Supplier selection'!I986)</f>
        <v/>
      </c>
      <c r="J986" s="19" t="str">
        <f>IF('Supplier selection'!J986="","",'Supplier selection'!J986)</f>
        <v/>
      </c>
      <c r="K986" s="19" t="str">
        <f>IF('Supplier selection'!K986="","",'Supplier selection'!K986)</f>
        <v/>
      </c>
      <c r="L986" s="19" t="str">
        <f>IF('Supplier selection'!L986="","",'Supplier selection'!L986)</f>
        <v/>
      </c>
      <c r="M986" s="19" t="str">
        <f>IF('Supplier selection'!M986="","",'Supplier selection'!M986)</f>
        <v/>
      </c>
      <c r="N986" s="19" t="str">
        <f>IF('Supplier selection'!N986="","",'Supplier selection'!N986)</f>
        <v/>
      </c>
      <c r="O986" s="19" t="str">
        <f>IF('Supplier selection'!O986="","",'Supplier selection'!O986)</f>
        <v/>
      </c>
      <c r="Q986" s="19" t="str">
        <f>HLOOKUP($Q$3,'Supplier selection'!$AW$4:'Supplier selection'!$CT$1000,$A987,FALSE)</f>
        <v/>
      </c>
      <c r="R986" s="22" t="str">
        <f t="shared" si="165"/>
        <v/>
      </c>
      <c r="S986" s="19" t="str">
        <f t="shared" si="166"/>
        <v/>
      </c>
      <c r="T986" s="22" t="str">
        <f t="shared" si="167"/>
        <v/>
      </c>
      <c r="U986" s="19" t="str">
        <f t="shared" si="168"/>
        <v/>
      </c>
      <c r="V986" s="7"/>
      <c r="Y986" s="19" t="str">
        <f>IF('Supplier selection'!AQ986="","",'Supplier selection'!AQ986)</f>
        <v/>
      </c>
      <c r="Z986" s="19" t="str">
        <f>IF('Supplier selection'!AR986="","",'Supplier selection'!AR986)</f>
        <v/>
      </c>
      <c r="AA986" s="19" t="str">
        <f t="shared" si="169"/>
        <v/>
      </c>
      <c r="AD986" s="26" t="str">
        <f>IF(AND('Supplier selection'!X986="",'Supplier selection'!AE986=""),"",IF('Supplier selection'!X986="",'Supplier selection'!AE986,'Supplier selection'!X986))</f>
        <v/>
      </c>
      <c r="AE986" s="19" t="str">
        <f t="shared" si="170"/>
        <v/>
      </c>
      <c r="AF986" s="19" t="str">
        <f t="shared" si="171"/>
        <v/>
      </c>
      <c r="AG986" s="27" t="str">
        <f>IF(AND('Supplier selection'!AB986="",'Supplier selection'!AI986=""),"",IF('Supplier selection'!AB986="",'Supplier selection'!AI986,'Supplier selection'!AB986))</f>
        <v/>
      </c>
      <c r="AH986" s="28" t="str">
        <f t="shared" si="172"/>
        <v/>
      </c>
      <c r="AI986" s="7" t="str">
        <f t="shared" si="173"/>
        <v/>
      </c>
      <c r="AJ986" s="22" t="str">
        <f t="shared" si="174"/>
        <v/>
      </c>
      <c r="AK986" s="29" t="str">
        <f t="shared" si="175"/>
        <v/>
      </c>
      <c r="AL986" s="10"/>
    </row>
    <row r="987" spans="1:38">
      <c r="A987" s="19">
        <f>IF('Supplier selection'!A987="","",'Supplier selection'!A987)</f>
        <v>983</v>
      </c>
      <c r="B987" s="19" t="str">
        <f>IF('Supplier selection'!B987="","",'Supplier selection'!B987)</f>
        <v/>
      </c>
      <c r="C987" s="19" t="str">
        <f>IF('Supplier selection'!C987="","",'Supplier selection'!C987)</f>
        <v/>
      </c>
      <c r="D987" s="19" t="str">
        <f>IF('Supplier selection'!D987="","",'Supplier selection'!D987)</f>
        <v/>
      </c>
      <c r="E987" s="19" t="str">
        <f>IF('Supplier selection'!E987="","",'Supplier selection'!E987)</f>
        <v/>
      </c>
      <c r="F987" s="19" t="str">
        <f>IF('Supplier selection'!F987="","",'Supplier selection'!F987)</f>
        <v/>
      </c>
      <c r="G987" s="19" t="str">
        <f>IF('Supplier selection'!G987="","",'Supplier selection'!G987)</f>
        <v/>
      </c>
      <c r="H987" s="19" t="str">
        <f>IF('Supplier selection'!H987="","",'Supplier selection'!H987)</f>
        <v/>
      </c>
      <c r="I987" s="19" t="str">
        <f>IF('Supplier selection'!I987="","",'Supplier selection'!I987)</f>
        <v/>
      </c>
      <c r="J987" s="19" t="str">
        <f>IF('Supplier selection'!J987="","",'Supplier selection'!J987)</f>
        <v/>
      </c>
      <c r="K987" s="19" t="str">
        <f>IF('Supplier selection'!K987="","",'Supplier selection'!K987)</f>
        <v/>
      </c>
      <c r="L987" s="19" t="str">
        <f>IF('Supplier selection'!L987="","",'Supplier selection'!L987)</f>
        <v/>
      </c>
      <c r="M987" s="19" t="str">
        <f>IF('Supplier selection'!M987="","",'Supplier selection'!M987)</f>
        <v/>
      </c>
      <c r="N987" s="19" t="str">
        <f>IF('Supplier selection'!N987="","",'Supplier selection'!N987)</f>
        <v/>
      </c>
      <c r="O987" s="19" t="str">
        <f>IF('Supplier selection'!O987="","",'Supplier selection'!O987)</f>
        <v/>
      </c>
      <c r="Q987" s="19" t="str">
        <f>HLOOKUP($Q$3,'Supplier selection'!$AW$4:'Supplier selection'!$CT$1000,$A988,FALSE)</f>
        <v/>
      </c>
      <c r="R987" s="22" t="str">
        <f t="shared" si="165"/>
        <v/>
      </c>
      <c r="S987" s="19" t="str">
        <f t="shared" si="166"/>
        <v/>
      </c>
      <c r="T987" s="22" t="str">
        <f t="shared" si="167"/>
        <v/>
      </c>
      <c r="U987" s="19" t="str">
        <f t="shared" si="168"/>
        <v/>
      </c>
      <c r="V987" s="7"/>
      <c r="Y987" s="19" t="str">
        <f>IF('Supplier selection'!AQ987="","",'Supplier selection'!AQ987)</f>
        <v/>
      </c>
      <c r="Z987" s="19" t="str">
        <f>IF('Supplier selection'!AR987="","",'Supplier selection'!AR987)</f>
        <v/>
      </c>
      <c r="AA987" s="19" t="str">
        <f t="shared" si="169"/>
        <v/>
      </c>
      <c r="AD987" s="26" t="str">
        <f>IF(AND('Supplier selection'!X987="",'Supplier selection'!AE987=""),"",IF('Supplier selection'!X987="",'Supplier selection'!AE987,'Supplier selection'!X987))</f>
        <v/>
      </c>
      <c r="AE987" s="19" t="str">
        <f t="shared" si="170"/>
        <v/>
      </c>
      <c r="AF987" s="19" t="str">
        <f t="shared" si="171"/>
        <v/>
      </c>
      <c r="AG987" s="27" t="str">
        <f>IF(AND('Supplier selection'!AB987="",'Supplier selection'!AI987=""),"",IF('Supplier selection'!AB987="",'Supplier selection'!AI987,'Supplier selection'!AB987))</f>
        <v/>
      </c>
      <c r="AH987" s="28" t="str">
        <f t="shared" si="172"/>
        <v/>
      </c>
      <c r="AI987" s="7" t="str">
        <f t="shared" si="173"/>
        <v/>
      </c>
      <c r="AJ987" s="22" t="str">
        <f t="shared" si="174"/>
        <v/>
      </c>
      <c r="AK987" s="29" t="str">
        <f t="shared" si="175"/>
        <v/>
      </c>
      <c r="AL987" s="10"/>
    </row>
    <row r="988" spans="1:38">
      <c r="A988" s="19">
        <f>IF('Supplier selection'!A988="","",'Supplier selection'!A988)</f>
        <v>984</v>
      </c>
      <c r="B988" s="19" t="str">
        <f>IF('Supplier selection'!B988="","",'Supplier selection'!B988)</f>
        <v/>
      </c>
      <c r="C988" s="19" t="str">
        <f>IF('Supplier selection'!C988="","",'Supplier selection'!C988)</f>
        <v/>
      </c>
      <c r="D988" s="19" t="str">
        <f>IF('Supplier selection'!D988="","",'Supplier selection'!D988)</f>
        <v/>
      </c>
      <c r="E988" s="19" t="str">
        <f>IF('Supplier selection'!E988="","",'Supplier selection'!E988)</f>
        <v/>
      </c>
      <c r="F988" s="19" t="str">
        <f>IF('Supplier selection'!F988="","",'Supplier selection'!F988)</f>
        <v/>
      </c>
      <c r="G988" s="19" t="str">
        <f>IF('Supplier selection'!G988="","",'Supplier selection'!G988)</f>
        <v/>
      </c>
      <c r="H988" s="19" t="str">
        <f>IF('Supplier selection'!H988="","",'Supplier selection'!H988)</f>
        <v/>
      </c>
      <c r="I988" s="19" t="str">
        <f>IF('Supplier selection'!I988="","",'Supplier selection'!I988)</f>
        <v/>
      </c>
      <c r="J988" s="19" t="str">
        <f>IF('Supplier selection'!J988="","",'Supplier selection'!J988)</f>
        <v/>
      </c>
      <c r="K988" s="19" t="str">
        <f>IF('Supplier selection'!K988="","",'Supplier selection'!K988)</f>
        <v/>
      </c>
      <c r="L988" s="19" t="str">
        <f>IF('Supplier selection'!L988="","",'Supplier selection'!L988)</f>
        <v/>
      </c>
      <c r="M988" s="19" t="str">
        <f>IF('Supplier selection'!M988="","",'Supplier selection'!M988)</f>
        <v/>
      </c>
      <c r="N988" s="19" t="str">
        <f>IF('Supplier selection'!N988="","",'Supplier selection'!N988)</f>
        <v/>
      </c>
      <c r="O988" s="19" t="str">
        <f>IF('Supplier selection'!O988="","",'Supplier selection'!O988)</f>
        <v/>
      </c>
      <c r="Q988" s="19" t="str">
        <f>HLOOKUP($Q$3,'Supplier selection'!$AW$4:'Supplier selection'!$CT$1000,$A989,FALSE)</f>
        <v/>
      </c>
      <c r="R988" s="22" t="str">
        <f t="shared" si="165"/>
        <v/>
      </c>
      <c r="S988" s="19" t="str">
        <f t="shared" si="166"/>
        <v/>
      </c>
      <c r="T988" s="22" t="str">
        <f t="shared" si="167"/>
        <v/>
      </c>
      <c r="U988" s="19" t="str">
        <f t="shared" si="168"/>
        <v/>
      </c>
      <c r="V988" s="7"/>
      <c r="Y988" s="19" t="str">
        <f>IF('Supplier selection'!AQ988="","",'Supplier selection'!AQ988)</f>
        <v/>
      </c>
      <c r="Z988" s="19" t="str">
        <f>IF('Supplier selection'!AR988="","",'Supplier selection'!AR988)</f>
        <v/>
      </c>
      <c r="AA988" s="19" t="str">
        <f t="shared" si="169"/>
        <v/>
      </c>
      <c r="AD988" s="26" t="str">
        <f>IF(AND('Supplier selection'!X988="",'Supplier selection'!AE988=""),"",IF('Supplier selection'!X988="",'Supplier selection'!AE988,'Supplier selection'!X988))</f>
        <v/>
      </c>
      <c r="AE988" s="19" t="str">
        <f t="shared" si="170"/>
        <v/>
      </c>
      <c r="AF988" s="19" t="str">
        <f t="shared" si="171"/>
        <v/>
      </c>
      <c r="AG988" s="27" t="str">
        <f>IF(AND('Supplier selection'!AB988="",'Supplier selection'!AI988=""),"",IF('Supplier selection'!AB988="",'Supplier selection'!AI988,'Supplier selection'!AB988))</f>
        <v/>
      </c>
      <c r="AH988" s="28" t="str">
        <f t="shared" si="172"/>
        <v/>
      </c>
      <c r="AI988" s="7" t="str">
        <f t="shared" si="173"/>
        <v/>
      </c>
      <c r="AJ988" s="22" t="str">
        <f t="shared" si="174"/>
        <v/>
      </c>
      <c r="AK988" s="29" t="str">
        <f t="shared" si="175"/>
        <v/>
      </c>
      <c r="AL988" s="10"/>
    </row>
    <row r="989" spans="1:38">
      <c r="A989" s="19">
        <f>IF('Supplier selection'!A989="","",'Supplier selection'!A989)</f>
        <v>985</v>
      </c>
      <c r="B989" s="19" t="str">
        <f>IF('Supplier selection'!B989="","",'Supplier selection'!B989)</f>
        <v/>
      </c>
      <c r="C989" s="19" t="str">
        <f>IF('Supplier selection'!C989="","",'Supplier selection'!C989)</f>
        <v/>
      </c>
      <c r="D989" s="19" t="str">
        <f>IF('Supplier selection'!D989="","",'Supplier selection'!D989)</f>
        <v/>
      </c>
      <c r="E989" s="19" t="str">
        <f>IF('Supplier selection'!E989="","",'Supplier selection'!E989)</f>
        <v/>
      </c>
      <c r="F989" s="19" t="str">
        <f>IF('Supplier selection'!F989="","",'Supplier selection'!F989)</f>
        <v/>
      </c>
      <c r="G989" s="19" t="str">
        <f>IF('Supplier selection'!G989="","",'Supplier selection'!G989)</f>
        <v/>
      </c>
      <c r="H989" s="19" t="str">
        <f>IF('Supplier selection'!H989="","",'Supplier selection'!H989)</f>
        <v/>
      </c>
      <c r="I989" s="19" t="str">
        <f>IF('Supplier selection'!I989="","",'Supplier selection'!I989)</f>
        <v/>
      </c>
      <c r="J989" s="19" t="str">
        <f>IF('Supplier selection'!J989="","",'Supplier selection'!J989)</f>
        <v/>
      </c>
      <c r="K989" s="19" t="str">
        <f>IF('Supplier selection'!K989="","",'Supplier selection'!K989)</f>
        <v/>
      </c>
      <c r="L989" s="19" t="str">
        <f>IF('Supplier selection'!L989="","",'Supplier selection'!L989)</f>
        <v/>
      </c>
      <c r="M989" s="19" t="str">
        <f>IF('Supplier selection'!M989="","",'Supplier selection'!M989)</f>
        <v/>
      </c>
      <c r="N989" s="19" t="str">
        <f>IF('Supplier selection'!N989="","",'Supplier selection'!N989)</f>
        <v/>
      </c>
      <c r="O989" s="19" t="str">
        <f>IF('Supplier selection'!O989="","",'Supplier selection'!O989)</f>
        <v/>
      </c>
      <c r="Q989" s="19" t="str">
        <f>HLOOKUP($Q$3,'Supplier selection'!$AW$4:'Supplier selection'!$CT$1000,$A990,FALSE)</f>
        <v/>
      </c>
      <c r="R989" s="22" t="str">
        <f t="shared" si="165"/>
        <v/>
      </c>
      <c r="S989" s="19" t="str">
        <f t="shared" si="166"/>
        <v/>
      </c>
      <c r="T989" s="22" t="str">
        <f t="shared" si="167"/>
        <v/>
      </c>
      <c r="U989" s="19" t="str">
        <f t="shared" si="168"/>
        <v/>
      </c>
      <c r="V989" s="7"/>
      <c r="Y989" s="19" t="str">
        <f>IF('Supplier selection'!AQ989="","",'Supplier selection'!AQ989)</f>
        <v/>
      </c>
      <c r="Z989" s="19" t="str">
        <f>IF('Supplier selection'!AR989="","",'Supplier selection'!AR989)</f>
        <v/>
      </c>
      <c r="AA989" s="19" t="str">
        <f t="shared" si="169"/>
        <v/>
      </c>
      <c r="AD989" s="26" t="str">
        <f>IF(AND('Supplier selection'!X989="",'Supplier selection'!AE989=""),"",IF('Supplier selection'!X989="",'Supplier selection'!AE989,'Supplier selection'!X989))</f>
        <v/>
      </c>
      <c r="AE989" s="19" t="str">
        <f t="shared" si="170"/>
        <v/>
      </c>
      <c r="AF989" s="19" t="str">
        <f t="shared" si="171"/>
        <v/>
      </c>
      <c r="AG989" s="27" t="str">
        <f>IF(AND('Supplier selection'!AB989="",'Supplier selection'!AI989=""),"",IF('Supplier selection'!AB989="",'Supplier selection'!AI989,'Supplier selection'!AB989))</f>
        <v/>
      </c>
      <c r="AH989" s="28" t="str">
        <f t="shared" si="172"/>
        <v/>
      </c>
      <c r="AI989" s="7" t="str">
        <f t="shared" si="173"/>
        <v/>
      </c>
      <c r="AJ989" s="22" t="str">
        <f t="shared" si="174"/>
        <v/>
      </c>
      <c r="AK989" s="29" t="str">
        <f t="shared" si="175"/>
        <v/>
      </c>
      <c r="AL989" s="10"/>
    </row>
    <row r="990" spans="1:38">
      <c r="A990" s="19">
        <f>IF('Supplier selection'!A990="","",'Supplier selection'!A990)</f>
        <v>986</v>
      </c>
      <c r="B990" s="19" t="str">
        <f>IF('Supplier selection'!B990="","",'Supplier selection'!B990)</f>
        <v/>
      </c>
      <c r="C990" s="19" t="str">
        <f>IF('Supplier selection'!C990="","",'Supplier selection'!C990)</f>
        <v/>
      </c>
      <c r="D990" s="19" t="str">
        <f>IF('Supplier selection'!D990="","",'Supplier selection'!D990)</f>
        <v/>
      </c>
      <c r="E990" s="19" t="str">
        <f>IF('Supplier selection'!E990="","",'Supplier selection'!E990)</f>
        <v/>
      </c>
      <c r="F990" s="19" t="str">
        <f>IF('Supplier selection'!F990="","",'Supplier selection'!F990)</f>
        <v/>
      </c>
      <c r="G990" s="19" t="str">
        <f>IF('Supplier selection'!G990="","",'Supplier selection'!G990)</f>
        <v/>
      </c>
      <c r="H990" s="19" t="str">
        <f>IF('Supplier selection'!H990="","",'Supplier selection'!H990)</f>
        <v/>
      </c>
      <c r="I990" s="19" t="str">
        <f>IF('Supplier selection'!I990="","",'Supplier selection'!I990)</f>
        <v/>
      </c>
      <c r="J990" s="19" t="str">
        <f>IF('Supplier selection'!J990="","",'Supplier selection'!J990)</f>
        <v/>
      </c>
      <c r="K990" s="19" t="str">
        <f>IF('Supplier selection'!K990="","",'Supplier selection'!K990)</f>
        <v/>
      </c>
      <c r="L990" s="19" t="str">
        <f>IF('Supplier selection'!L990="","",'Supplier selection'!L990)</f>
        <v/>
      </c>
      <c r="M990" s="19" t="str">
        <f>IF('Supplier selection'!M990="","",'Supplier selection'!M990)</f>
        <v/>
      </c>
      <c r="N990" s="19" t="str">
        <f>IF('Supplier selection'!N990="","",'Supplier selection'!N990)</f>
        <v/>
      </c>
      <c r="O990" s="19" t="str">
        <f>IF('Supplier selection'!O990="","",'Supplier selection'!O990)</f>
        <v/>
      </c>
      <c r="Q990" s="19" t="str">
        <f>HLOOKUP($Q$3,'Supplier selection'!$AW$4:'Supplier selection'!$CT$1000,$A991,FALSE)</f>
        <v/>
      </c>
      <c r="R990" s="22" t="str">
        <f t="shared" si="165"/>
        <v/>
      </c>
      <c r="S990" s="19" t="str">
        <f t="shared" si="166"/>
        <v/>
      </c>
      <c r="T990" s="22" t="str">
        <f t="shared" si="167"/>
        <v/>
      </c>
      <c r="U990" s="19" t="str">
        <f t="shared" si="168"/>
        <v/>
      </c>
      <c r="V990" s="7"/>
      <c r="Y990" s="19" t="str">
        <f>IF('Supplier selection'!AQ990="","",'Supplier selection'!AQ990)</f>
        <v/>
      </c>
      <c r="Z990" s="19" t="str">
        <f>IF('Supplier selection'!AR990="","",'Supplier selection'!AR990)</f>
        <v/>
      </c>
      <c r="AA990" s="19" t="str">
        <f t="shared" si="169"/>
        <v/>
      </c>
      <c r="AD990" s="26" t="str">
        <f>IF(AND('Supplier selection'!X990="",'Supplier selection'!AE990=""),"",IF('Supplier selection'!X990="",'Supplier selection'!AE990,'Supplier selection'!X990))</f>
        <v/>
      </c>
      <c r="AE990" s="19" t="str">
        <f t="shared" si="170"/>
        <v/>
      </c>
      <c r="AF990" s="19" t="str">
        <f t="shared" si="171"/>
        <v/>
      </c>
      <c r="AG990" s="27" t="str">
        <f>IF(AND('Supplier selection'!AB990="",'Supplier selection'!AI990=""),"",IF('Supplier selection'!AB990="",'Supplier selection'!AI990,'Supplier selection'!AB990))</f>
        <v/>
      </c>
      <c r="AH990" s="28" t="str">
        <f t="shared" si="172"/>
        <v/>
      </c>
      <c r="AI990" s="7" t="str">
        <f t="shared" si="173"/>
        <v/>
      </c>
      <c r="AJ990" s="22" t="str">
        <f t="shared" si="174"/>
        <v/>
      </c>
      <c r="AK990" s="29" t="str">
        <f t="shared" si="175"/>
        <v/>
      </c>
      <c r="AL990" s="10"/>
    </row>
    <row r="991" spans="1:38">
      <c r="A991" s="19">
        <f>IF('Supplier selection'!A991="","",'Supplier selection'!A991)</f>
        <v>987</v>
      </c>
      <c r="B991" s="19" t="str">
        <f>IF('Supplier selection'!B991="","",'Supplier selection'!B991)</f>
        <v/>
      </c>
      <c r="C991" s="19" t="str">
        <f>IF('Supplier selection'!C991="","",'Supplier selection'!C991)</f>
        <v/>
      </c>
      <c r="D991" s="19" t="str">
        <f>IF('Supplier selection'!D991="","",'Supplier selection'!D991)</f>
        <v/>
      </c>
      <c r="E991" s="19" t="str">
        <f>IF('Supplier selection'!E991="","",'Supplier selection'!E991)</f>
        <v/>
      </c>
      <c r="F991" s="19" t="str">
        <f>IF('Supplier selection'!F991="","",'Supplier selection'!F991)</f>
        <v/>
      </c>
      <c r="G991" s="19" t="str">
        <f>IF('Supplier selection'!G991="","",'Supplier selection'!G991)</f>
        <v/>
      </c>
      <c r="H991" s="19" t="str">
        <f>IF('Supplier selection'!H991="","",'Supplier selection'!H991)</f>
        <v/>
      </c>
      <c r="I991" s="19" t="str">
        <f>IF('Supplier selection'!I991="","",'Supplier selection'!I991)</f>
        <v/>
      </c>
      <c r="J991" s="19" t="str">
        <f>IF('Supplier selection'!J991="","",'Supplier selection'!J991)</f>
        <v/>
      </c>
      <c r="K991" s="19" t="str">
        <f>IF('Supplier selection'!K991="","",'Supplier selection'!K991)</f>
        <v/>
      </c>
      <c r="L991" s="19" t="str">
        <f>IF('Supplier selection'!L991="","",'Supplier selection'!L991)</f>
        <v/>
      </c>
      <c r="M991" s="19" t="str">
        <f>IF('Supplier selection'!M991="","",'Supplier selection'!M991)</f>
        <v/>
      </c>
      <c r="N991" s="19" t="str">
        <f>IF('Supplier selection'!N991="","",'Supplier selection'!N991)</f>
        <v/>
      </c>
      <c r="O991" s="19" t="str">
        <f>IF('Supplier selection'!O991="","",'Supplier selection'!O991)</f>
        <v/>
      </c>
      <c r="Q991" s="19" t="str">
        <f>HLOOKUP($Q$3,'Supplier selection'!$AW$4:'Supplier selection'!$CT$1000,$A992,FALSE)</f>
        <v/>
      </c>
      <c r="R991" s="22" t="str">
        <f t="shared" si="165"/>
        <v/>
      </c>
      <c r="S991" s="19" t="str">
        <f t="shared" si="166"/>
        <v/>
      </c>
      <c r="T991" s="22" t="str">
        <f t="shared" si="167"/>
        <v/>
      </c>
      <c r="U991" s="19" t="str">
        <f t="shared" si="168"/>
        <v/>
      </c>
      <c r="V991" s="7"/>
      <c r="Y991" s="19" t="str">
        <f>IF('Supplier selection'!AQ991="","",'Supplier selection'!AQ991)</f>
        <v/>
      </c>
      <c r="Z991" s="19" t="str">
        <f>IF('Supplier selection'!AR991="","",'Supplier selection'!AR991)</f>
        <v/>
      </c>
      <c r="AA991" s="19" t="str">
        <f t="shared" si="169"/>
        <v/>
      </c>
      <c r="AD991" s="26" t="str">
        <f>IF(AND('Supplier selection'!X991="",'Supplier selection'!AE991=""),"",IF('Supplier selection'!X991="",'Supplier selection'!AE991,'Supplier selection'!X991))</f>
        <v/>
      </c>
      <c r="AE991" s="19" t="str">
        <f t="shared" si="170"/>
        <v/>
      </c>
      <c r="AF991" s="19" t="str">
        <f t="shared" si="171"/>
        <v/>
      </c>
      <c r="AG991" s="27" t="str">
        <f>IF(AND('Supplier selection'!AB991="",'Supplier selection'!AI991=""),"",IF('Supplier selection'!AB991="",'Supplier selection'!AI991,'Supplier selection'!AB991))</f>
        <v/>
      </c>
      <c r="AH991" s="28" t="str">
        <f t="shared" si="172"/>
        <v/>
      </c>
      <c r="AI991" s="7" t="str">
        <f t="shared" si="173"/>
        <v/>
      </c>
      <c r="AJ991" s="22" t="str">
        <f t="shared" si="174"/>
        <v/>
      </c>
      <c r="AK991" s="29" t="str">
        <f t="shared" si="175"/>
        <v/>
      </c>
      <c r="AL991" s="10"/>
    </row>
    <row r="992" spans="1:38">
      <c r="A992" s="19">
        <f>IF('Supplier selection'!A992="","",'Supplier selection'!A992)</f>
        <v>988</v>
      </c>
      <c r="B992" s="19" t="str">
        <f>IF('Supplier selection'!B992="","",'Supplier selection'!B992)</f>
        <v/>
      </c>
      <c r="C992" s="19" t="str">
        <f>IF('Supplier selection'!C992="","",'Supplier selection'!C992)</f>
        <v/>
      </c>
      <c r="D992" s="19" t="str">
        <f>IF('Supplier selection'!D992="","",'Supplier selection'!D992)</f>
        <v/>
      </c>
      <c r="E992" s="19" t="str">
        <f>IF('Supplier selection'!E992="","",'Supplier selection'!E992)</f>
        <v/>
      </c>
      <c r="F992" s="19" t="str">
        <f>IF('Supplier selection'!F992="","",'Supplier selection'!F992)</f>
        <v/>
      </c>
      <c r="G992" s="19" t="str">
        <f>IF('Supplier selection'!G992="","",'Supplier selection'!G992)</f>
        <v/>
      </c>
      <c r="H992" s="19" t="str">
        <f>IF('Supplier selection'!H992="","",'Supplier selection'!H992)</f>
        <v/>
      </c>
      <c r="I992" s="19" t="str">
        <f>IF('Supplier selection'!I992="","",'Supplier selection'!I992)</f>
        <v/>
      </c>
      <c r="J992" s="19" t="str">
        <f>IF('Supplier selection'!J992="","",'Supplier selection'!J992)</f>
        <v/>
      </c>
      <c r="K992" s="19" t="str">
        <f>IF('Supplier selection'!K992="","",'Supplier selection'!K992)</f>
        <v/>
      </c>
      <c r="L992" s="19" t="str">
        <f>IF('Supplier selection'!L992="","",'Supplier selection'!L992)</f>
        <v/>
      </c>
      <c r="M992" s="19" t="str">
        <f>IF('Supplier selection'!M992="","",'Supplier selection'!M992)</f>
        <v/>
      </c>
      <c r="N992" s="19" t="str">
        <f>IF('Supplier selection'!N992="","",'Supplier selection'!N992)</f>
        <v/>
      </c>
      <c r="O992" s="19" t="str">
        <f>IF('Supplier selection'!O992="","",'Supplier selection'!O992)</f>
        <v/>
      </c>
      <c r="Q992" s="19" t="str">
        <f>HLOOKUP($Q$3,'Supplier selection'!$AW$4:'Supplier selection'!$CT$1000,$A993,FALSE)</f>
        <v/>
      </c>
      <c r="R992" s="22" t="str">
        <f t="shared" si="165"/>
        <v/>
      </c>
      <c r="S992" s="19" t="str">
        <f t="shared" si="166"/>
        <v/>
      </c>
      <c r="T992" s="22" t="str">
        <f t="shared" si="167"/>
        <v/>
      </c>
      <c r="U992" s="19" t="str">
        <f t="shared" si="168"/>
        <v/>
      </c>
      <c r="V992" s="7"/>
      <c r="Y992" s="19" t="str">
        <f>IF('Supplier selection'!AQ992="","",'Supplier selection'!AQ992)</f>
        <v/>
      </c>
      <c r="Z992" s="19" t="str">
        <f>IF('Supplier selection'!AR992="","",'Supplier selection'!AR992)</f>
        <v/>
      </c>
      <c r="AA992" s="19" t="str">
        <f t="shared" si="169"/>
        <v/>
      </c>
      <c r="AD992" s="26" t="str">
        <f>IF(AND('Supplier selection'!X992="",'Supplier selection'!AE992=""),"",IF('Supplier selection'!X992="",'Supplier selection'!AE992,'Supplier selection'!X992))</f>
        <v/>
      </c>
      <c r="AE992" s="19" t="str">
        <f t="shared" si="170"/>
        <v/>
      </c>
      <c r="AF992" s="19" t="str">
        <f t="shared" si="171"/>
        <v/>
      </c>
      <c r="AG992" s="27" t="str">
        <f>IF(AND('Supplier selection'!AB992="",'Supplier selection'!AI992=""),"",IF('Supplier selection'!AB992="",'Supplier selection'!AI992,'Supplier selection'!AB992))</f>
        <v/>
      </c>
      <c r="AH992" s="28" t="str">
        <f t="shared" si="172"/>
        <v/>
      </c>
      <c r="AI992" s="7" t="str">
        <f t="shared" si="173"/>
        <v/>
      </c>
      <c r="AJ992" s="22" t="str">
        <f t="shared" si="174"/>
        <v/>
      </c>
      <c r="AK992" s="29" t="str">
        <f t="shared" si="175"/>
        <v/>
      </c>
      <c r="AL992" s="10"/>
    </row>
    <row r="993" spans="1:38">
      <c r="A993" s="19">
        <f>IF('Supplier selection'!A993="","",'Supplier selection'!A993)</f>
        <v>989</v>
      </c>
      <c r="B993" s="19" t="str">
        <f>IF('Supplier selection'!B993="","",'Supplier selection'!B993)</f>
        <v/>
      </c>
      <c r="C993" s="19" t="str">
        <f>IF('Supplier selection'!C993="","",'Supplier selection'!C993)</f>
        <v/>
      </c>
      <c r="D993" s="19" t="str">
        <f>IF('Supplier selection'!D993="","",'Supplier selection'!D993)</f>
        <v/>
      </c>
      <c r="E993" s="19" t="str">
        <f>IF('Supplier selection'!E993="","",'Supplier selection'!E993)</f>
        <v/>
      </c>
      <c r="F993" s="19" t="str">
        <f>IF('Supplier selection'!F993="","",'Supplier selection'!F993)</f>
        <v/>
      </c>
      <c r="G993" s="19" t="str">
        <f>IF('Supplier selection'!G993="","",'Supplier selection'!G993)</f>
        <v/>
      </c>
      <c r="H993" s="19" t="str">
        <f>IF('Supplier selection'!H993="","",'Supplier selection'!H993)</f>
        <v/>
      </c>
      <c r="I993" s="19" t="str">
        <f>IF('Supplier selection'!I993="","",'Supplier selection'!I993)</f>
        <v/>
      </c>
      <c r="J993" s="19" t="str">
        <f>IF('Supplier selection'!J993="","",'Supplier selection'!J993)</f>
        <v/>
      </c>
      <c r="K993" s="19" t="str">
        <f>IF('Supplier selection'!K993="","",'Supplier selection'!K993)</f>
        <v/>
      </c>
      <c r="L993" s="19" t="str">
        <f>IF('Supplier selection'!L993="","",'Supplier selection'!L993)</f>
        <v/>
      </c>
      <c r="M993" s="19" t="str">
        <f>IF('Supplier selection'!M993="","",'Supplier selection'!M993)</f>
        <v/>
      </c>
      <c r="N993" s="19" t="str">
        <f>IF('Supplier selection'!N993="","",'Supplier selection'!N993)</f>
        <v/>
      </c>
      <c r="O993" s="19" t="str">
        <f>IF('Supplier selection'!O993="","",'Supplier selection'!O993)</f>
        <v/>
      </c>
      <c r="Q993" s="19" t="str">
        <f>HLOOKUP($Q$3,'Supplier selection'!$AW$4:'Supplier selection'!$CT$1000,$A994,FALSE)</f>
        <v/>
      </c>
      <c r="R993" s="22" t="str">
        <f t="shared" si="165"/>
        <v/>
      </c>
      <c r="S993" s="19" t="str">
        <f t="shared" si="166"/>
        <v/>
      </c>
      <c r="T993" s="22" t="str">
        <f t="shared" si="167"/>
        <v/>
      </c>
      <c r="U993" s="19" t="str">
        <f t="shared" si="168"/>
        <v/>
      </c>
      <c r="V993" s="7"/>
      <c r="Y993" s="19" t="str">
        <f>IF('Supplier selection'!AQ993="","",'Supplier selection'!AQ993)</f>
        <v/>
      </c>
      <c r="Z993" s="19" t="str">
        <f>IF('Supplier selection'!AR993="","",'Supplier selection'!AR993)</f>
        <v/>
      </c>
      <c r="AA993" s="19" t="str">
        <f t="shared" si="169"/>
        <v/>
      </c>
      <c r="AD993" s="26" t="str">
        <f>IF(AND('Supplier selection'!X993="",'Supplier selection'!AE993=""),"",IF('Supplier selection'!X993="",'Supplier selection'!AE993,'Supplier selection'!X993))</f>
        <v/>
      </c>
      <c r="AE993" s="19" t="str">
        <f t="shared" si="170"/>
        <v/>
      </c>
      <c r="AF993" s="19" t="str">
        <f t="shared" si="171"/>
        <v/>
      </c>
      <c r="AG993" s="27" t="str">
        <f>IF(AND('Supplier selection'!AB993="",'Supplier selection'!AI993=""),"",IF('Supplier selection'!AB993="",'Supplier selection'!AI993,'Supplier selection'!AB993))</f>
        <v/>
      </c>
      <c r="AH993" s="28" t="str">
        <f t="shared" si="172"/>
        <v/>
      </c>
      <c r="AI993" s="7" t="str">
        <f t="shared" si="173"/>
        <v/>
      </c>
      <c r="AJ993" s="22" t="str">
        <f t="shared" si="174"/>
        <v/>
      </c>
      <c r="AK993" s="29" t="str">
        <f t="shared" si="175"/>
        <v/>
      </c>
      <c r="AL993" s="10"/>
    </row>
    <row r="994" spans="1:38">
      <c r="A994" s="19">
        <f>IF('Supplier selection'!A994="","",'Supplier selection'!A994)</f>
        <v>990</v>
      </c>
      <c r="B994" s="19" t="str">
        <f>IF('Supplier selection'!B994="","",'Supplier selection'!B994)</f>
        <v/>
      </c>
      <c r="C994" s="19" t="str">
        <f>IF('Supplier selection'!C994="","",'Supplier selection'!C994)</f>
        <v/>
      </c>
      <c r="D994" s="19" t="str">
        <f>IF('Supplier selection'!D994="","",'Supplier selection'!D994)</f>
        <v/>
      </c>
      <c r="E994" s="19" t="str">
        <f>IF('Supplier selection'!E994="","",'Supplier selection'!E994)</f>
        <v/>
      </c>
      <c r="F994" s="19" t="str">
        <f>IF('Supplier selection'!F994="","",'Supplier selection'!F994)</f>
        <v/>
      </c>
      <c r="G994" s="19" t="str">
        <f>IF('Supplier selection'!G994="","",'Supplier selection'!G994)</f>
        <v/>
      </c>
      <c r="H994" s="19" t="str">
        <f>IF('Supplier selection'!H994="","",'Supplier selection'!H994)</f>
        <v/>
      </c>
      <c r="I994" s="19" t="str">
        <f>IF('Supplier selection'!I994="","",'Supplier selection'!I994)</f>
        <v/>
      </c>
      <c r="J994" s="19" t="str">
        <f>IF('Supplier selection'!J994="","",'Supplier selection'!J994)</f>
        <v/>
      </c>
      <c r="K994" s="19" t="str">
        <f>IF('Supplier selection'!K994="","",'Supplier selection'!K994)</f>
        <v/>
      </c>
      <c r="L994" s="19" t="str">
        <f>IF('Supplier selection'!L994="","",'Supplier selection'!L994)</f>
        <v/>
      </c>
      <c r="M994" s="19" t="str">
        <f>IF('Supplier selection'!M994="","",'Supplier selection'!M994)</f>
        <v/>
      </c>
      <c r="N994" s="19" t="str">
        <f>IF('Supplier selection'!N994="","",'Supplier selection'!N994)</f>
        <v/>
      </c>
      <c r="O994" s="19" t="str">
        <f>IF('Supplier selection'!O994="","",'Supplier selection'!O994)</f>
        <v/>
      </c>
      <c r="Q994" s="19" t="str">
        <f>HLOOKUP($Q$3,'Supplier selection'!$AW$4:'Supplier selection'!$CT$1000,$A995,FALSE)</f>
        <v/>
      </c>
      <c r="R994" s="22" t="str">
        <f t="shared" si="165"/>
        <v/>
      </c>
      <c r="S994" s="19" t="str">
        <f t="shared" si="166"/>
        <v/>
      </c>
      <c r="T994" s="22" t="str">
        <f t="shared" si="167"/>
        <v/>
      </c>
      <c r="U994" s="19" t="str">
        <f t="shared" si="168"/>
        <v/>
      </c>
      <c r="V994" s="7"/>
      <c r="Y994" s="19" t="str">
        <f>IF('Supplier selection'!AQ994="","",'Supplier selection'!AQ994)</f>
        <v/>
      </c>
      <c r="Z994" s="19" t="str">
        <f>IF('Supplier selection'!AR994="","",'Supplier selection'!AR994)</f>
        <v/>
      </c>
      <c r="AA994" s="19" t="str">
        <f t="shared" si="169"/>
        <v/>
      </c>
      <c r="AD994" s="26" t="str">
        <f>IF(AND('Supplier selection'!X994="",'Supplier selection'!AE994=""),"",IF('Supplier selection'!X994="",'Supplier selection'!AE994,'Supplier selection'!X994))</f>
        <v/>
      </c>
      <c r="AE994" s="19" t="str">
        <f t="shared" si="170"/>
        <v/>
      </c>
      <c r="AF994" s="19" t="str">
        <f t="shared" si="171"/>
        <v/>
      </c>
      <c r="AG994" s="27" t="str">
        <f>IF(AND('Supplier selection'!AB994="",'Supplier selection'!AI994=""),"",IF('Supplier selection'!AB994="",'Supplier selection'!AI994,'Supplier selection'!AB994))</f>
        <v/>
      </c>
      <c r="AH994" s="28" t="str">
        <f t="shared" si="172"/>
        <v/>
      </c>
      <c r="AI994" s="7" t="str">
        <f t="shared" si="173"/>
        <v/>
      </c>
      <c r="AJ994" s="22" t="str">
        <f t="shared" si="174"/>
        <v/>
      </c>
      <c r="AK994" s="29" t="str">
        <f t="shared" si="175"/>
        <v/>
      </c>
      <c r="AL994" s="10"/>
    </row>
    <row r="995" spans="1:38">
      <c r="A995" s="19">
        <f>IF('Supplier selection'!A995="","",'Supplier selection'!A995)</f>
        <v>991</v>
      </c>
      <c r="B995" s="19" t="str">
        <f>IF('Supplier selection'!B995="","",'Supplier selection'!B995)</f>
        <v/>
      </c>
      <c r="C995" s="19" t="str">
        <f>IF('Supplier selection'!C995="","",'Supplier selection'!C995)</f>
        <v/>
      </c>
      <c r="D995" s="19" t="str">
        <f>IF('Supplier selection'!D995="","",'Supplier selection'!D995)</f>
        <v/>
      </c>
      <c r="E995" s="19" t="str">
        <f>IF('Supplier selection'!E995="","",'Supplier selection'!E995)</f>
        <v/>
      </c>
      <c r="F995" s="19" t="str">
        <f>IF('Supplier selection'!F995="","",'Supplier selection'!F995)</f>
        <v/>
      </c>
      <c r="G995" s="19" t="str">
        <f>IF('Supplier selection'!G995="","",'Supplier selection'!G995)</f>
        <v/>
      </c>
      <c r="H995" s="19" t="str">
        <f>IF('Supplier selection'!H995="","",'Supplier selection'!H995)</f>
        <v/>
      </c>
      <c r="I995" s="19" t="str">
        <f>IF('Supplier selection'!I995="","",'Supplier selection'!I995)</f>
        <v/>
      </c>
      <c r="J995" s="19" t="str">
        <f>IF('Supplier selection'!J995="","",'Supplier selection'!J995)</f>
        <v/>
      </c>
      <c r="K995" s="19" t="str">
        <f>IF('Supplier selection'!K995="","",'Supplier selection'!K995)</f>
        <v/>
      </c>
      <c r="L995" s="19" t="str">
        <f>IF('Supplier selection'!L995="","",'Supplier selection'!L995)</f>
        <v/>
      </c>
      <c r="M995" s="19" t="str">
        <f>IF('Supplier selection'!M995="","",'Supplier selection'!M995)</f>
        <v/>
      </c>
      <c r="N995" s="19" t="str">
        <f>IF('Supplier selection'!N995="","",'Supplier selection'!N995)</f>
        <v/>
      </c>
      <c r="O995" s="19" t="str">
        <f>IF('Supplier selection'!O995="","",'Supplier selection'!O995)</f>
        <v/>
      </c>
      <c r="Q995" s="19" t="str">
        <f>HLOOKUP($Q$3,'Supplier selection'!$AW$4:'Supplier selection'!$CT$1000,$A996,FALSE)</f>
        <v/>
      </c>
      <c r="R995" s="22" t="str">
        <f t="shared" si="165"/>
        <v/>
      </c>
      <c r="S995" s="19" t="str">
        <f t="shared" si="166"/>
        <v/>
      </c>
      <c r="T995" s="22" t="str">
        <f t="shared" si="167"/>
        <v/>
      </c>
      <c r="U995" s="19" t="str">
        <f t="shared" si="168"/>
        <v/>
      </c>
      <c r="V995" s="7"/>
      <c r="Y995" s="19" t="str">
        <f>IF('Supplier selection'!AQ995="","",'Supplier selection'!AQ995)</f>
        <v/>
      </c>
      <c r="Z995" s="19" t="str">
        <f>IF('Supplier selection'!AR995="","",'Supplier selection'!AR995)</f>
        <v/>
      </c>
      <c r="AA995" s="19" t="str">
        <f t="shared" si="169"/>
        <v/>
      </c>
      <c r="AD995" s="26" t="str">
        <f>IF(AND('Supplier selection'!X995="",'Supplier selection'!AE995=""),"",IF('Supplier selection'!X995="",'Supplier selection'!AE995,'Supplier selection'!X995))</f>
        <v/>
      </c>
      <c r="AE995" s="19" t="str">
        <f t="shared" si="170"/>
        <v/>
      </c>
      <c r="AF995" s="19" t="str">
        <f t="shared" si="171"/>
        <v/>
      </c>
      <c r="AG995" s="27" t="str">
        <f>IF(AND('Supplier selection'!AB995="",'Supplier selection'!AI995=""),"",IF('Supplier selection'!AB995="",'Supplier selection'!AI995,'Supplier selection'!AB995))</f>
        <v/>
      </c>
      <c r="AH995" s="28" t="str">
        <f t="shared" si="172"/>
        <v/>
      </c>
      <c r="AI995" s="7" t="str">
        <f t="shared" si="173"/>
        <v/>
      </c>
      <c r="AJ995" s="22" t="str">
        <f t="shared" si="174"/>
        <v/>
      </c>
      <c r="AK995" s="29" t="str">
        <f t="shared" si="175"/>
        <v/>
      </c>
      <c r="AL995" s="10"/>
    </row>
    <row r="996" spans="1:38">
      <c r="A996" s="19">
        <f>IF('Supplier selection'!A996="","",'Supplier selection'!A996)</f>
        <v>992</v>
      </c>
      <c r="B996" s="19" t="str">
        <f>IF('Supplier selection'!B996="","",'Supplier selection'!B996)</f>
        <v/>
      </c>
      <c r="C996" s="19" t="str">
        <f>IF('Supplier selection'!C996="","",'Supplier selection'!C996)</f>
        <v/>
      </c>
      <c r="D996" s="19" t="str">
        <f>IF('Supplier selection'!D996="","",'Supplier selection'!D996)</f>
        <v/>
      </c>
      <c r="E996" s="19" t="str">
        <f>IF('Supplier selection'!E996="","",'Supplier selection'!E996)</f>
        <v/>
      </c>
      <c r="F996" s="19" t="str">
        <f>IF('Supplier selection'!F996="","",'Supplier selection'!F996)</f>
        <v/>
      </c>
      <c r="G996" s="19" t="str">
        <f>IF('Supplier selection'!G996="","",'Supplier selection'!G996)</f>
        <v/>
      </c>
      <c r="H996" s="19" t="str">
        <f>IF('Supplier selection'!H996="","",'Supplier selection'!H996)</f>
        <v/>
      </c>
      <c r="I996" s="19" t="str">
        <f>IF('Supplier selection'!I996="","",'Supplier selection'!I996)</f>
        <v/>
      </c>
      <c r="J996" s="19" t="str">
        <f>IF('Supplier selection'!J996="","",'Supplier selection'!J996)</f>
        <v/>
      </c>
      <c r="K996" s="19" t="str">
        <f>IF('Supplier selection'!K996="","",'Supplier selection'!K996)</f>
        <v/>
      </c>
      <c r="L996" s="19" t="str">
        <f>IF('Supplier selection'!L996="","",'Supplier selection'!L996)</f>
        <v/>
      </c>
      <c r="M996" s="19" t="str">
        <f>IF('Supplier selection'!M996="","",'Supplier selection'!M996)</f>
        <v/>
      </c>
      <c r="N996" s="19" t="str">
        <f>IF('Supplier selection'!N996="","",'Supplier selection'!N996)</f>
        <v/>
      </c>
      <c r="O996" s="19" t="str">
        <f>IF('Supplier selection'!O996="","",'Supplier selection'!O996)</f>
        <v/>
      </c>
      <c r="Q996" s="19" t="str">
        <f>HLOOKUP($Q$3,'Supplier selection'!$AW$4:'Supplier selection'!$CT$1000,$A997,FALSE)</f>
        <v/>
      </c>
      <c r="R996" s="22" t="str">
        <f t="shared" si="165"/>
        <v/>
      </c>
      <c r="S996" s="19" t="str">
        <f t="shared" si="166"/>
        <v/>
      </c>
      <c r="T996" s="22" t="str">
        <f t="shared" si="167"/>
        <v/>
      </c>
      <c r="U996" s="19" t="str">
        <f t="shared" si="168"/>
        <v/>
      </c>
      <c r="V996" s="7"/>
      <c r="Y996" s="19" t="str">
        <f>IF('Supplier selection'!AQ996="","",'Supplier selection'!AQ996)</f>
        <v/>
      </c>
      <c r="Z996" s="19" t="str">
        <f>IF('Supplier selection'!AR996="","",'Supplier selection'!AR996)</f>
        <v/>
      </c>
      <c r="AA996" s="19" t="str">
        <f t="shared" si="169"/>
        <v/>
      </c>
      <c r="AD996" s="26" t="str">
        <f>IF(AND('Supplier selection'!X996="",'Supplier selection'!AE996=""),"",IF('Supplier selection'!X996="",'Supplier selection'!AE996,'Supplier selection'!X996))</f>
        <v/>
      </c>
      <c r="AE996" s="19" t="str">
        <f t="shared" si="170"/>
        <v/>
      </c>
      <c r="AF996" s="19" t="str">
        <f t="shared" si="171"/>
        <v/>
      </c>
      <c r="AG996" s="27" t="str">
        <f>IF(AND('Supplier selection'!AB996="",'Supplier selection'!AI996=""),"",IF('Supplier selection'!AB996="",'Supplier selection'!AI996,'Supplier selection'!AB996))</f>
        <v/>
      </c>
      <c r="AH996" s="28" t="str">
        <f t="shared" si="172"/>
        <v/>
      </c>
      <c r="AI996" s="7" t="str">
        <f t="shared" si="173"/>
        <v/>
      </c>
      <c r="AJ996" s="22" t="str">
        <f t="shared" si="174"/>
        <v/>
      </c>
      <c r="AK996" s="29" t="str">
        <f t="shared" si="175"/>
        <v/>
      </c>
      <c r="AL996" s="10"/>
    </row>
    <row r="997" spans="1:38">
      <c r="A997" s="19">
        <f>IF('Supplier selection'!A997="","",'Supplier selection'!A997)</f>
        <v>993</v>
      </c>
      <c r="B997" s="19" t="str">
        <f>IF('Supplier selection'!B997="","",'Supplier selection'!B997)</f>
        <v/>
      </c>
      <c r="C997" s="19" t="str">
        <f>IF('Supplier selection'!C997="","",'Supplier selection'!C997)</f>
        <v/>
      </c>
      <c r="D997" s="19" t="str">
        <f>IF('Supplier selection'!D997="","",'Supplier selection'!D997)</f>
        <v/>
      </c>
      <c r="E997" s="19" t="str">
        <f>IF('Supplier selection'!E997="","",'Supplier selection'!E997)</f>
        <v/>
      </c>
      <c r="F997" s="19" t="str">
        <f>IF('Supplier selection'!F997="","",'Supplier selection'!F997)</f>
        <v/>
      </c>
      <c r="G997" s="19" t="str">
        <f>IF('Supplier selection'!G997="","",'Supplier selection'!G997)</f>
        <v/>
      </c>
      <c r="H997" s="19" t="str">
        <f>IF('Supplier selection'!H997="","",'Supplier selection'!H997)</f>
        <v/>
      </c>
      <c r="I997" s="19" t="str">
        <f>IF('Supplier selection'!I997="","",'Supplier selection'!I997)</f>
        <v/>
      </c>
      <c r="J997" s="19" t="str">
        <f>IF('Supplier selection'!J997="","",'Supplier selection'!J997)</f>
        <v/>
      </c>
      <c r="K997" s="19" t="str">
        <f>IF('Supplier selection'!K997="","",'Supplier selection'!K997)</f>
        <v/>
      </c>
      <c r="L997" s="19" t="str">
        <f>IF('Supplier selection'!L997="","",'Supplier selection'!L997)</f>
        <v/>
      </c>
      <c r="M997" s="19" t="str">
        <f>IF('Supplier selection'!M997="","",'Supplier selection'!M997)</f>
        <v/>
      </c>
      <c r="N997" s="19" t="str">
        <f>IF('Supplier selection'!N997="","",'Supplier selection'!N997)</f>
        <v/>
      </c>
      <c r="O997" s="19" t="str">
        <f>IF('Supplier selection'!O997="","",'Supplier selection'!O997)</f>
        <v/>
      </c>
      <c r="Q997" s="19" t="str">
        <f>HLOOKUP($Q$3,'Supplier selection'!$AW$4:'Supplier selection'!$CT$1000,$A998,FALSE)</f>
        <v/>
      </c>
      <c r="R997" s="22" t="str">
        <f t="shared" si="165"/>
        <v/>
      </c>
      <c r="S997" s="19" t="str">
        <f t="shared" si="166"/>
        <v/>
      </c>
      <c r="T997" s="22" t="str">
        <f t="shared" si="167"/>
        <v/>
      </c>
      <c r="U997" s="19" t="str">
        <f t="shared" si="168"/>
        <v/>
      </c>
      <c r="V997" s="7"/>
      <c r="Y997" s="19" t="str">
        <f>IF('Supplier selection'!AQ997="","",'Supplier selection'!AQ997)</f>
        <v/>
      </c>
      <c r="Z997" s="19" t="str">
        <f>IF('Supplier selection'!AR997="","",'Supplier selection'!AR997)</f>
        <v/>
      </c>
      <c r="AA997" s="19" t="str">
        <f t="shared" si="169"/>
        <v/>
      </c>
      <c r="AD997" s="26" t="str">
        <f>IF(AND('Supplier selection'!X997="",'Supplier selection'!AE997=""),"",IF('Supplier selection'!X997="",'Supplier selection'!AE997,'Supplier selection'!X997))</f>
        <v/>
      </c>
      <c r="AE997" s="19" t="str">
        <f t="shared" si="170"/>
        <v/>
      </c>
      <c r="AF997" s="19" t="str">
        <f t="shared" si="171"/>
        <v/>
      </c>
      <c r="AG997" s="27" t="str">
        <f>IF(AND('Supplier selection'!AB997="",'Supplier selection'!AI997=""),"",IF('Supplier selection'!AB997="",'Supplier selection'!AI997,'Supplier selection'!AB997))</f>
        <v/>
      </c>
      <c r="AH997" s="28" t="str">
        <f t="shared" si="172"/>
        <v/>
      </c>
      <c r="AI997" s="7" t="str">
        <f t="shared" si="173"/>
        <v/>
      </c>
      <c r="AJ997" s="22" t="str">
        <f t="shared" si="174"/>
        <v/>
      </c>
      <c r="AK997" s="29" t="str">
        <f t="shared" si="175"/>
        <v/>
      </c>
      <c r="AL997" s="10"/>
    </row>
    <row r="998" spans="1:38">
      <c r="A998" s="19">
        <f>IF('Supplier selection'!A998="","",'Supplier selection'!A998)</f>
        <v>994</v>
      </c>
      <c r="B998" s="19" t="str">
        <f>IF('Supplier selection'!B998="","",'Supplier selection'!B998)</f>
        <v/>
      </c>
      <c r="C998" s="19" t="str">
        <f>IF('Supplier selection'!C998="","",'Supplier selection'!C998)</f>
        <v/>
      </c>
      <c r="D998" s="19" t="str">
        <f>IF('Supplier selection'!D998="","",'Supplier selection'!D998)</f>
        <v/>
      </c>
      <c r="E998" s="19" t="str">
        <f>IF('Supplier selection'!E998="","",'Supplier selection'!E998)</f>
        <v/>
      </c>
      <c r="F998" s="19" t="str">
        <f>IF('Supplier selection'!F998="","",'Supplier selection'!F998)</f>
        <v/>
      </c>
      <c r="G998" s="19" t="str">
        <f>IF('Supplier selection'!G998="","",'Supplier selection'!G998)</f>
        <v/>
      </c>
      <c r="H998" s="19" t="str">
        <f>IF('Supplier selection'!H998="","",'Supplier selection'!H998)</f>
        <v/>
      </c>
      <c r="I998" s="19" t="str">
        <f>IF('Supplier selection'!I998="","",'Supplier selection'!I998)</f>
        <v/>
      </c>
      <c r="J998" s="19" t="str">
        <f>IF('Supplier selection'!J998="","",'Supplier selection'!J998)</f>
        <v/>
      </c>
      <c r="K998" s="19" t="str">
        <f>IF('Supplier selection'!K998="","",'Supplier selection'!K998)</f>
        <v/>
      </c>
      <c r="L998" s="19" t="str">
        <f>IF('Supplier selection'!L998="","",'Supplier selection'!L998)</f>
        <v/>
      </c>
      <c r="M998" s="19" t="str">
        <f>IF('Supplier selection'!M998="","",'Supplier selection'!M998)</f>
        <v/>
      </c>
      <c r="N998" s="19" t="str">
        <f>IF('Supplier selection'!N998="","",'Supplier selection'!N998)</f>
        <v/>
      </c>
      <c r="O998" s="19" t="str">
        <f>IF('Supplier selection'!O998="","",'Supplier selection'!O998)</f>
        <v/>
      </c>
      <c r="Q998" s="19" t="str">
        <f>HLOOKUP($Q$3,'Supplier selection'!$AW$4:'Supplier selection'!$CT$1000,$A999,FALSE)</f>
        <v/>
      </c>
      <c r="R998" s="22" t="str">
        <f t="shared" si="165"/>
        <v/>
      </c>
      <c r="S998" s="19" t="str">
        <f t="shared" si="166"/>
        <v/>
      </c>
      <c r="T998" s="22" t="str">
        <f t="shared" si="167"/>
        <v/>
      </c>
      <c r="U998" s="19" t="str">
        <f t="shared" si="168"/>
        <v/>
      </c>
      <c r="V998" s="7"/>
      <c r="Y998" s="19" t="str">
        <f>IF('Supplier selection'!AQ998="","",'Supplier selection'!AQ998)</f>
        <v/>
      </c>
      <c r="Z998" s="19" t="str">
        <f>IF('Supplier selection'!AR998="","",'Supplier selection'!AR998)</f>
        <v/>
      </c>
      <c r="AA998" s="19" t="str">
        <f t="shared" si="169"/>
        <v/>
      </c>
      <c r="AD998" s="26" t="str">
        <f>IF(AND('Supplier selection'!X998="",'Supplier selection'!AE998=""),"",IF('Supplier selection'!X998="",'Supplier selection'!AE998,'Supplier selection'!X998))</f>
        <v/>
      </c>
      <c r="AE998" s="19" t="str">
        <f t="shared" si="170"/>
        <v/>
      </c>
      <c r="AF998" s="19" t="str">
        <f t="shared" si="171"/>
        <v/>
      </c>
      <c r="AG998" s="27" t="str">
        <f>IF(AND('Supplier selection'!AB998="",'Supplier selection'!AI998=""),"",IF('Supplier selection'!AB998="",'Supplier selection'!AI998,'Supplier selection'!AB998))</f>
        <v/>
      </c>
      <c r="AH998" s="28" t="str">
        <f t="shared" si="172"/>
        <v/>
      </c>
      <c r="AI998" s="7" t="str">
        <f t="shared" si="173"/>
        <v/>
      </c>
      <c r="AJ998" s="22" t="str">
        <f t="shared" si="174"/>
        <v/>
      </c>
      <c r="AK998" s="29" t="str">
        <f t="shared" si="175"/>
        <v/>
      </c>
      <c r="AL998" s="10"/>
    </row>
    <row r="999" spans="1:38">
      <c r="A999" s="19">
        <f>IF('Supplier selection'!A999="","",'Supplier selection'!A999)</f>
        <v>995</v>
      </c>
      <c r="B999" s="19" t="str">
        <f>IF('Supplier selection'!B999="","",'Supplier selection'!B999)</f>
        <v/>
      </c>
      <c r="C999" s="19" t="str">
        <f>IF('Supplier selection'!C999="","",'Supplier selection'!C999)</f>
        <v/>
      </c>
      <c r="D999" s="19" t="str">
        <f>IF('Supplier selection'!D999="","",'Supplier selection'!D999)</f>
        <v/>
      </c>
      <c r="E999" s="19" t="str">
        <f>IF('Supplier selection'!E999="","",'Supplier selection'!E999)</f>
        <v/>
      </c>
      <c r="F999" s="19" t="str">
        <f>IF('Supplier selection'!F999="","",'Supplier selection'!F999)</f>
        <v/>
      </c>
      <c r="G999" s="19" t="str">
        <f>IF('Supplier selection'!G999="","",'Supplier selection'!G999)</f>
        <v/>
      </c>
      <c r="H999" s="19" t="str">
        <f>IF('Supplier selection'!H999="","",'Supplier selection'!H999)</f>
        <v/>
      </c>
      <c r="I999" s="19" t="str">
        <f>IF('Supplier selection'!I999="","",'Supplier selection'!I999)</f>
        <v/>
      </c>
      <c r="J999" s="19" t="str">
        <f>IF('Supplier selection'!J999="","",'Supplier selection'!J999)</f>
        <v/>
      </c>
      <c r="K999" s="19" t="str">
        <f>IF('Supplier selection'!K999="","",'Supplier selection'!K999)</f>
        <v/>
      </c>
      <c r="L999" s="19" t="str">
        <f>IF('Supplier selection'!L999="","",'Supplier selection'!L999)</f>
        <v/>
      </c>
      <c r="M999" s="19" t="str">
        <f>IF('Supplier selection'!M999="","",'Supplier selection'!M999)</f>
        <v/>
      </c>
      <c r="N999" s="19" t="str">
        <f>IF('Supplier selection'!N999="","",'Supplier selection'!N999)</f>
        <v/>
      </c>
      <c r="O999" s="19" t="str">
        <f>IF('Supplier selection'!O999="","",'Supplier selection'!O999)</f>
        <v/>
      </c>
      <c r="Q999" s="19" t="str">
        <f>HLOOKUP($Q$3,'Supplier selection'!$AW$4:'Supplier selection'!$CT$1000,$A1000,FALSE)</f>
        <v/>
      </c>
      <c r="R999" s="22" t="str">
        <f t="shared" si="165"/>
        <v/>
      </c>
      <c r="S999" s="19" t="str">
        <f t="shared" si="166"/>
        <v/>
      </c>
      <c r="T999" s="22" t="str">
        <f t="shared" si="167"/>
        <v/>
      </c>
      <c r="U999" s="19" t="str">
        <f t="shared" si="168"/>
        <v/>
      </c>
      <c r="V999" s="7"/>
      <c r="Y999" s="19" t="str">
        <f>IF('Supplier selection'!AQ999="","",'Supplier selection'!AQ999)</f>
        <v/>
      </c>
      <c r="Z999" s="19" t="str">
        <f>IF('Supplier selection'!AR999="","",'Supplier selection'!AR999)</f>
        <v/>
      </c>
      <c r="AA999" s="19" t="str">
        <f t="shared" si="169"/>
        <v/>
      </c>
      <c r="AD999" s="26" t="str">
        <f>IF(AND('Supplier selection'!X999="",'Supplier selection'!AE999=""),"",IF('Supplier selection'!X999="",'Supplier selection'!AE999,'Supplier selection'!X999))</f>
        <v/>
      </c>
      <c r="AE999" s="19" t="str">
        <f t="shared" si="170"/>
        <v/>
      </c>
      <c r="AF999" s="19" t="str">
        <f t="shared" si="171"/>
        <v/>
      </c>
      <c r="AG999" s="27" t="str">
        <f>IF(AND('Supplier selection'!AB999="",'Supplier selection'!AI999=""),"",IF('Supplier selection'!AB999="",'Supplier selection'!AI999,'Supplier selection'!AB999))</f>
        <v/>
      </c>
      <c r="AH999" s="28" t="str">
        <f t="shared" si="172"/>
        <v/>
      </c>
      <c r="AI999" s="7" t="str">
        <f t="shared" si="173"/>
        <v/>
      </c>
      <c r="AJ999" s="22" t="str">
        <f t="shared" si="174"/>
        <v/>
      </c>
      <c r="AK999" s="29" t="str">
        <f t="shared" si="175"/>
        <v/>
      </c>
      <c r="AL999" s="10"/>
    </row>
    <row r="1000" spans="1:38">
      <c r="A1000" s="19">
        <f>IF('Supplier selection'!A1000="","",'Supplier selection'!A1000)</f>
        <v>996</v>
      </c>
      <c r="B1000" s="19" t="str">
        <f>IF('Supplier selection'!B1000="","",'Supplier selection'!B1000)</f>
        <v/>
      </c>
      <c r="C1000" s="19" t="str">
        <f>IF('Supplier selection'!C1000="","",'Supplier selection'!C1000)</f>
        <v/>
      </c>
      <c r="D1000" s="19" t="str">
        <f>IF('Supplier selection'!D1000="","",'Supplier selection'!D1000)</f>
        <v/>
      </c>
      <c r="E1000" s="19" t="str">
        <f>IF('Supplier selection'!E1000="","",'Supplier selection'!E1000)</f>
        <v/>
      </c>
      <c r="F1000" s="19" t="str">
        <f>IF('Supplier selection'!F1000="","",'Supplier selection'!F1000)</f>
        <v/>
      </c>
      <c r="G1000" s="19" t="str">
        <f>IF('Supplier selection'!G1000="","",'Supplier selection'!G1000)</f>
        <v/>
      </c>
      <c r="H1000" s="19" t="str">
        <f>IF('Supplier selection'!H1000="","",'Supplier selection'!H1000)</f>
        <v/>
      </c>
      <c r="I1000" s="19" t="str">
        <f>IF('Supplier selection'!I1000="","",'Supplier selection'!I1000)</f>
        <v/>
      </c>
      <c r="J1000" s="19" t="str">
        <f>IF('Supplier selection'!J1000="","",'Supplier selection'!J1000)</f>
        <v/>
      </c>
      <c r="K1000" s="19" t="str">
        <f>IF('Supplier selection'!K1000="","",'Supplier selection'!K1000)</f>
        <v/>
      </c>
      <c r="L1000" s="19" t="str">
        <f>IF('Supplier selection'!L1000="","",'Supplier selection'!L1000)</f>
        <v/>
      </c>
      <c r="M1000" s="19" t="str">
        <f>IF('Supplier selection'!M1000="","",'Supplier selection'!M1000)</f>
        <v/>
      </c>
      <c r="N1000" s="19" t="str">
        <f>IF('Supplier selection'!N1000="","",'Supplier selection'!N1000)</f>
        <v/>
      </c>
      <c r="O1000" s="19" t="str">
        <f>IF('Supplier selection'!O1000="","",'Supplier selection'!O1000)</f>
        <v/>
      </c>
      <c r="Q1000" s="19" t="e">
        <f>HLOOKUP($Q$3,'Supplier selection'!$AW$4:'Supplier selection'!$CT$1000,$A1001,FALSE)</f>
        <v>#VALUE!</v>
      </c>
      <c r="R1000" s="22" t="e">
        <f t="shared" si="165"/>
        <v>#VALUE!</v>
      </c>
      <c r="S1000" s="19" t="e">
        <f t="shared" si="166"/>
        <v>#VALUE!</v>
      </c>
      <c r="T1000" s="22" t="e">
        <f t="shared" si="167"/>
        <v>#VALUE!</v>
      </c>
      <c r="U1000" s="19" t="e">
        <f t="shared" si="168"/>
        <v>#VALUE!</v>
      </c>
      <c r="V1000" s="7"/>
      <c r="Y1000" s="19" t="str">
        <f>IF('Supplier selection'!AQ1000="","",'Supplier selection'!AQ1000)</f>
        <v/>
      </c>
      <c r="Z1000" s="19" t="str">
        <f>IF('Supplier selection'!AR1000="","",'Supplier selection'!AR1000)</f>
        <v/>
      </c>
      <c r="AA1000" s="19" t="str">
        <f t="shared" si="169"/>
        <v/>
      </c>
      <c r="AD1000" s="26" t="str">
        <f>IF(AND('Supplier selection'!X1000="",'Supplier selection'!AE1000=""),"",IF('Supplier selection'!X1000="",'Supplier selection'!AE1000,'Supplier selection'!X1000))</f>
        <v/>
      </c>
      <c r="AE1000" s="19" t="str">
        <f t="shared" si="170"/>
        <v/>
      </c>
      <c r="AF1000" s="19" t="str">
        <f t="shared" si="171"/>
        <v/>
      </c>
      <c r="AG1000" s="27" t="str">
        <f>IF(AND('Supplier selection'!AB1000="",'Supplier selection'!AI1000=""),"",IF('Supplier selection'!AB1000="",'Supplier selection'!AI1000,'Supplier selection'!AB1000))</f>
        <v/>
      </c>
      <c r="AH1000" s="28" t="str">
        <f t="shared" si="172"/>
        <v/>
      </c>
      <c r="AI1000" s="7" t="str">
        <f t="shared" si="173"/>
        <v/>
      </c>
      <c r="AJ1000" s="22" t="str">
        <f t="shared" si="174"/>
        <v/>
      </c>
      <c r="AK1000" s="29" t="str">
        <f t="shared" si="175"/>
        <v/>
      </c>
      <c r="AL1000" s="10"/>
    </row>
  </sheetData>
  <pageMargins left="0.7" right="0.7" top="0.78740157499999996" bottom="0.78740157499999996" header="0.3" footer="0.3"/>
  <pageSetup paperSize="9" orientation="portrait" horizontalDpi="0" verticalDpi="0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'RFQ-Supplier'!$B$3:$B$7</xm:f>
          </x14:formula1>
          <xm:sqref>Q3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/>
  </sheetPr>
  <dimension ref="A4:BA1000"/>
  <sheetViews>
    <sheetView showGridLines="0" zoomScale="90" zoomScaleNormal="90" workbookViewId="0">
      <selection activeCell="R5" sqref="R5"/>
    </sheetView>
  </sheetViews>
  <sheetFormatPr defaultColWidth="11.5703125" defaultRowHeight="15"/>
  <cols>
    <col min="2" max="2" width="11.85546875" customWidth="1"/>
    <col min="3" max="3" width="11.28515625" customWidth="1"/>
    <col min="8" max="8" width="16.42578125" customWidth="1"/>
    <col min="10" max="10" width="12.85546875" customWidth="1"/>
    <col min="16" max="16" width="2.7109375" customWidth="1"/>
    <col min="23" max="23" width="2.7109375" customWidth="1"/>
    <col min="26" max="26" width="12.85546875" customWidth="1"/>
    <col min="44" max="44" width="17.7109375" customWidth="1"/>
    <col min="46" max="46" width="14.28515625" customWidth="1"/>
    <col min="48" max="48" width="14.5703125" customWidth="1"/>
    <col min="49" max="49" width="16.85546875" customWidth="1"/>
  </cols>
  <sheetData>
    <row r="4" spans="1:53" ht="45">
      <c r="A4" s="4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51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43" t="s">
        <v>57</v>
      </c>
      <c r="Q4" s="2" t="s">
        <v>1078</v>
      </c>
      <c r="R4" s="2" t="s">
        <v>1079</v>
      </c>
      <c r="S4" s="2" t="s">
        <v>29</v>
      </c>
      <c r="T4" s="2" t="s">
        <v>1080</v>
      </c>
      <c r="U4" s="2" t="s">
        <v>1081</v>
      </c>
      <c r="V4" s="2" t="s">
        <v>32</v>
      </c>
      <c r="W4" s="43" t="s">
        <v>57</v>
      </c>
      <c r="X4" s="6" t="s">
        <v>23</v>
      </c>
      <c r="Y4" s="6" t="s">
        <v>24</v>
      </c>
      <c r="Z4" s="6" t="s">
        <v>25</v>
      </c>
      <c r="AA4" s="6" t="s">
        <v>10</v>
      </c>
      <c r="AB4" s="6" t="s">
        <v>26</v>
      </c>
      <c r="AC4" s="6" t="s">
        <v>23</v>
      </c>
      <c r="AQ4" s="18" t="s">
        <v>27</v>
      </c>
      <c r="AR4" s="6" t="s">
        <v>28</v>
      </c>
      <c r="AS4" s="18" t="s">
        <v>29</v>
      </c>
      <c r="AT4" s="6" t="s">
        <v>30</v>
      </c>
      <c r="AU4" s="18" t="s">
        <v>31</v>
      </c>
      <c r="AV4" s="6" t="s">
        <v>32</v>
      </c>
      <c r="AW4" s="4" t="s">
        <v>13</v>
      </c>
      <c r="AX4" s="2" t="s">
        <v>18</v>
      </c>
      <c r="AY4" s="2" t="s">
        <v>19</v>
      </c>
      <c r="AZ4" s="2" t="s">
        <v>20</v>
      </c>
      <c r="BA4" s="2" t="s">
        <v>21</v>
      </c>
    </row>
    <row r="5" spans="1:53">
      <c r="A5" s="20">
        <v>1</v>
      </c>
      <c r="B5" s="7"/>
      <c r="C5" s="7" t="str">
        <f>IF('RFQ-Input'!C4="","",'RFQ-Input'!C4)</f>
        <v>RFQ001</v>
      </c>
      <c r="D5" s="7" t="str">
        <f>IF('RFQ-Input'!D4="","",'RFQ-Input'!D4)</f>
        <v/>
      </c>
      <c r="E5" s="7" t="str">
        <f>IF('RFQ-Input'!E4="","",'RFQ-Input'!E4)</f>
        <v/>
      </c>
      <c r="F5" s="7" t="str">
        <f>IF('RFQ-Input'!F4="","",'RFQ-Input'!F4)</f>
        <v>111-1</v>
      </c>
      <c r="G5" s="7" t="str">
        <f>IF('RFQ-Input'!G4="","",'RFQ-Input'!G4)</f>
        <v>Test01</v>
      </c>
      <c r="H5" s="7">
        <f>IF('RFQ-Input'!H4="","",'RFQ-Input'!H4)</f>
        <v>10</v>
      </c>
      <c r="I5" s="7" t="str">
        <f>IF('RFQ-Input'!I4="","",'RFQ-Input'!I4)</f>
        <v/>
      </c>
      <c r="J5" s="7" t="str">
        <f>IF('RFQ-Input'!J4="","",'RFQ-Input'!J4)</f>
        <v/>
      </c>
      <c r="K5" s="7" t="str">
        <f>IF('RFQ-Input'!K4="","",'RFQ-Input'!K4)</f>
        <v>EUR</v>
      </c>
      <c r="L5" s="7" t="str">
        <f>IF('RFQ-Input'!L4="","",'RFQ-Input'!L4)</f>
        <v>St</v>
      </c>
      <c r="M5" s="7" t="str">
        <f>IF('RFQ-Input'!M4="","",'RFQ-Input'!M4)</f>
        <v/>
      </c>
      <c r="N5" s="7" t="str">
        <f>IF('RFQ-Input'!N4="","",'RFQ-Input'!N4)</f>
        <v/>
      </c>
      <c r="O5" s="7">
        <f>IF('RFQ-Input'!O4="","",'RFQ-Input'!O4)</f>
        <v>10</v>
      </c>
      <c r="Q5" s="7"/>
      <c r="R5" s="7"/>
      <c r="S5" s="7"/>
      <c r="T5" s="7"/>
      <c r="U5" s="7"/>
      <c r="V5" s="7"/>
      <c r="X5" s="7" t="s">
        <v>20</v>
      </c>
      <c r="Y5" s="7"/>
      <c r="Z5" s="7"/>
      <c r="AA5" s="7" t="str">
        <f t="shared" ref="AA5:AA68" si="0">IF(AND(L5="",Y5=""),"",L5)</f>
        <v>St</v>
      </c>
      <c r="AB5" s="7">
        <f>IF(X5="","",HLOOKUP(X5,$AW$4:$CT$5004,$A6,FALSE))</f>
        <v>8</v>
      </c>
      <c r="AC5" s="7"/>
      <c r="AQ5" s="7">
        <f>IFERROR(SMALL($AW5:$CT5,1),"")</f>
        <v>8</v>
      </c>
      <c r="AR5" s="7" t="str">
        <f>IF(AQ5="","",INDEX($AW$4:$CT$4,MATCH(AQ5,$AW5:$CT5,0)))</f>
        <v>Lieferant 3</v>
      </c>
      <c r="AS5" s="7">
        <f>IFERROR(SMALL($AW5:$CT5,2),"")</f>
        <v>10</v>
      </c>
      <c r="AT5" s="7" t="str">
        <f>IF(AS5="","",INDEX($AW$4:$CT$4,MATCH(AS5,$AW5:$CT5,0)))</f>
        <v>Vergleichspreis</v>
      </c>
      <c r="AU5" s="7">
        <f>IFERROR(SMALL($AW5:$CT5,3),"")</f>
        <v>11</v>
      </c>
      <c r="AV5" s="7" t="str">
        <f>IF(AU5="","",INDEX($AW$4:$CT$4,MATCH(AU5,$AW5:$CT5,0)))</f>
        <v>Lieferant 1</v>
      </c>
      <c r="AW5" s="7">
        <f>IF('RFQ-Input'!O4="","",'RFQ-Input'!O4)</f>
        <v>10</v>
      </c>
      <c r="AX5" s="7">
        <f>IF('RFQ-Input'!S4="","",'RFQ-Input'!S4)</f>
        <v>11</v>
      </c>
      <c r="AY5" s="7" t="str">
        <f>IF('RFQ-Input'!V4="","",'RFQ-Input'!V4)</f>
        <v/>
      </c>
      <c r="AZ5" s="7">
        <f>IF('RFQ-Input'!Y4="","",'RFQ-Input'!Y4)</f>
        <v>8</v>
      </c>
      <c r="BA5" s="7" t="str">
        <f>IF('RFQ-Input'!AB4="","",'RFQ-Input'!AB4)</f>
        <v/>
      </c>
    </row>
    <row r="6" spans="1:53">
      <c r="A6" s="20">
        <v>2</v>
      </c>
      <c r="B6" s="7"/>
      <c r="C6" s="7" t="str">
        <f>IF('RFQ-Input'!C5="","",'RFQ-Input'!C5)</f>
        <v>RFQ001</v>
      </c>
      <c r="D6" s="7" t="str">
        <f>IF('RFQ-Input'!D5="","",'RFQ-Input'!D5)</f>
        <v/>
      </c>
      <c r="E6" s="7" t="str">
        <f>IF('RFQ-Input'!E5="","",'RFQ-Input'!E5)</f>
        <v/>
      </c>
      <c r="F6" s="7" t="str">
        <f>IF('RFQ-Input'!F5="","",'RFQ-Input'!F5)</f>
        <v>111-2</v>
      </c>
      <c r="G6" s="7" t="str">
        <f>IF('RFQ-Input'!G5="","",'RFQ-Input'!G5)</f>
        <v>Test01</v>
      </c>
      <c r="H6" s="7" t="str">
        <f>IF('RFQ-Input'!H5="","",'RFQ-Input'!H5)</f>
        <v/>
      </c>
      <c r="I6" s="7" t="str">
        <f>IF('RFQ-Input'!I5="","",'RFQ-Input'!I5)</f>
        <v/>
      </c>
      <c r="J6" s="7" t="str">
        <f>IF('RFQ-Input'!J5="","",'RFQ-Input'!J5)</f>
        <v/>
      </c>
      <c r="K6" s="7" t="str">
        <f>IF('RFQ-Input'!K5="","",'RFQ-Input'!K5)</f>
        <v/>
      </c>
      <c r="L6" s="7" t="str">
        <f>IF('RFQ-Input'!L5="","",'RFQ-Input'!L5)</f>
        <v/>
      </c>
      <c r="M6" s="7" t="str">
        <f>IF('RFQ-Input'!M5="","",'RFQ-Input'!M5)</f>
        <v/>
      </c>
      <c r="N6" s="7" t="str">
        <f>IF('RFQ-Input'!N5="","",'RFQ-Input'!N5)</f>
        <v/>
      </c>
      <c r="O6" s="7" t="str">
        <f>IF('RFQ-Input'!O5="","",'RFQ-Input'!O5)</f>
        <v/>
      </c>
      <c r="Q6" s="7"/>
      <c r="R6" s="7"/>
      <c r="S6" s="7"/>
      <c r="T6" s="7"/>
      <c r="U6" s="7"/>
      <c r="V6" s="7"/>
      <c r="X6" s="7"/>
      <c r="Y6" s="7"/>
      <c r="Z6" s="7"/>
      <c r="AA6" s="7" t="str">
        <f t="shared" si="0"/>
        <v/>
      </c>
      <c r="AB6" s="7"/>
      <c r="AC6" s="7"/>
      <c r="AQ6" s="7" t="str">
        <f t="shared" ref="AQ6:AQ69" si="1">IFERROR(SMALL($AW6:$CT6,1),"")</f>
        <v/>
      </c>
      <c r="AR6" s="7" t="str">
        <f t="shared" ref="AR6:AR69" si="2">IF(AQ6="","",INDEX($AW$4:$CT$4,MATCH(AQ6,$AW6:$CT6,0)))</f>
        <v/>
      </c>
      <c r="AS6" s="7" t="str">
        <f t="shared" ref="AS6:AS69" si="3">IFERROR(SMALL($AW6:$CT6,2),"")</f>
        <v/>
      </c>
      <c r="AT6" s="7" t="str">
        <f t="shared" ref="AT6:AT69" si="4">IF(AS6="","",INDEX($AW$4:$CT$4,MATCH(AS6,$AW6:$CT6,0)))</f>
        <v/>
      </c>
      <c r="AU6" s="7" t="str">
        <f t="shared" ref="AU6:AU69" si="5">IFERROR(SMALL($AW6:$CT6,3),"")</f>
        <v/>
      </c>
      <c r="AV6" s="7" t="str">
        <f t="shared" ref="AV6:AV69" si="6">IF(AU6="","",INDEX($AW$4:$CT$4,MATCH(AU6,$AW6:$CT6,0)))</f>
        <v/>
      </c>
      <c r="AW6" s="7" t="str">
        <f>IF('RFQ-Input'!O5="","",'RFQ-Input'!O5)</f>
        <v/>
      </c>
      <c r="AX6" s="7" t="str">
        <f>IF('RFQ-Input'!S5="","",'RFQ-Input'!S5)</f>
        <v/>
      </c>
      <c r="AY6" s="7" t="str">
        <f>IF('RFQ-Input'!V5="","",'RFQ-Input'!V5)</f>
        <v/>
      </c>
      <c r="AZ6" s="7" t="str">
        <f>IF('RFQ-Input'!Y5="","",'RFQ-Input'!Y5)</f>
        <v/>
      </c>
      <c r="BA6" s="7" t="str">
        <f>IF('RFQ-Input'!AB5="","",'RFQ-Input'!AB5)</f>
        <v/>
      </c>
    </row>
    <row r="7" spans="1:53">
      <c r="A7" s="20">
        <v>3</v>
      </c>
      <c r="B7" s="7"/>
      <c r="C7" s="7" t="str">
        <f>IF('RFQ-Input'!C6="","",'RFQ-Input'!C6)</f>
        <v>RFQ001</v>
      </c>
      <c r="D7" s="7" t="str">
        <f>IF('RFQ-Input'!D6="","",'RFQ-Input'!D6)</f>
        <v/>
      </c>
      <c r="E7" s="7" t="str">
        <f>IF('RFQ-Input'!E6="","",'RFQ-Input'!E6)</f>
        <v/>
      </c>
      <c r="F7" s="7" t="str">
        <f>IF('RFQ-Input'!F6="","",'RFQ-Input'!F6)</f>
        <v>111-3</v>
      </c>
      <c r="G7" s="7" t="str">
        <f>IF('RFQ-Input'!G6="","",'RFQ-Input'!G6)</f>
        <v>Test01</v>
      </c>
      <c r="H7" s="7" t="str">
        <f>IF('RFQ-Input'!H6="","",'RFQ-Input'!H6)</f>
        <v/>
      </c>
      <c r="I7" s="7" t="str">
        <f>IF('RFQ-Input'!I6="","",'RFQ-Input'!I6)</f>
        <v/>
      </c>
      <c r="J7" s="7" t="str">
        <f>IF('RFQ-Input'!J6="","",'RFQ-Input'!J6)</f>
        <v/>
      </c>
      <c r="K7" s="7" t="str">
        <f>IF('RFQ-Input'!K6="","",'RFQ-Input'!K6)</f>
        <v/>
      </c>
      <c r="L7" s="7" t="str">
        <f>IF('RFQ-Input'!L6="","",'RFQ-Input'!L6)</f>
        <v/>
      </c>
      <c r="M7" s="7" t="str">
        <f>IF('RFQ-Input'!M6="","",'RFQ-Input'!M6)</f>
        <v/>
      </c>
      <c r="N7" s="7" t="str">
        <f>IF('RFQ-Input'!N6="","",'RFQ-Input'!N6)</f>
        <v/>
      </c>
      <c r="O7" s="7" t="str">
        <f>IF('RFQ-Input'!O6="","",'RFQ-Input'!O6)</f>
        <v/>
      </c>
      <c r="Q7" s="7"/>
      <c r="R7" s="7"/>
      <c r="S7" s="7"/>
      <c r="T7" s="7"/>
      <c r="U7" s="7"/>
      <c r="V7" s="7"/>
      <c r="X7" s="7"/>
      <c r="Y7" s="7"/>
      <c r="Z7" s="7"/>
      <c r="AA7" s="7" t="str">
        <f t="shared" si="0"/>
        <v/>
      </c>
      <c r="AB7" s="7"/>
      <c r="AC7" s="7"/>
      <c r="AQ7" s="7" t="str">
        <f t="shared" si="1"/>
        <v/>
      </c>
      <c r="AR7" s="7" t="str">
        <f t="shared" si="2"/>
        <v/>
      </c>
      <c r="AS7" s="7" t="str">
        <f t="shared" si="3"/>
        <v/>
      </c>
      <c r="AT7" s="7" t="str">
        <f t="shared" si="4"/>
        <v/>
      </c>
      <c r="AU7" s="7" t="str">
        <f t="shared" si="5"/>
        <v/>
      </c>
      <c r="AV7" s="7" t="str">
        <f t="shared" si="6"/>
        <v/>
      </c>
      <c r="AW7" s="7" t="str">
        <f>IF('RFQ-Input'!O6="","",'RFQ-Input'!O6)</f>
        <v/>
      </c>
      <c r="AX7" s="7" t="str">
        <f>IF('RFQ-Input'!S6="","",'RFQ-Input'!S6)</f>
        <v/>
      </c>
      <c r="AY7" s="7" t="str">
        <f>IF('RFQ-Input'!V6="","",'RFQ-Input'!V6)</f>
        <v/>
      </c>
      <c r="AZ7" s="7" t="str">
        <f>IF('RFQ-Input'!Y6="","",'RFQ-Input'!Y6)</f>
        <v/>
      </c>
      <c r="BA7" s="7" t="str">
        <f>IF('RFQ-Input'!AB6="","",'RFQ-Input'!AB6)</f>
        <v/>
      </c>
    </row>
    <row r="8" spans="1:53">
      <c r="A8" s="20">
        <v>4</v>
      </c>
      <c r="B8" s="7"/>
      <c r="C8" s="7" t="str">
        <f>IF('RFQ-Input'!C7="","",'RFQ-Input'!C7)</f>
        <v>RFQ001</v>
      </c>
      <c r="D8" s="7" t="str">
        <f>IF('RFQ-Input'!D7="","",'RFQ-Input'!D7)</f>
        <v/>
      </c>
      <c r="E8" s="7" t="str">
        <f>IF('RFQ-Input'!E7="","",'RFQ-Input'!E7)</f>
        <v/>
      </c>
      <c r="F8" s="7" t="str">
        <f>IF('RFQ-Input'!F7="","",'RFQ-Input'!F7)</f>
        <v>111-4</v>
      </c>
      <c r="G8" s="7" t="str">
        <f>IF('RFQ-Input'!G7="","",'RFQ-Input'!G7)</f>
        <v>Test01</v>
      </c>
      <c r="H8" s="7" t="str">
        <f>IF('RFQ-Input'!H7="","",'RFQ-Input'!H7)</f>
        <v/>
      </c>
      <c r="I8" s="7" t="str">
        <f>IF('RFQ-Input'!I7="","",'RFQ-Input'!I7)</f>
        <v/>
      </c>
      <c r="J8" s="7" t="str">
        <f>IF('RFQ-Input'!J7="","",'RFQ-Input'!J7)</f>
        <v/>
      </c>
      <c r="K8" s="7" t="str">
        <f>IF('RFQ-Input'!K7="","",'RFQ-Input'!K7)</f>
        <v/>
      </c>
      <c r="L8" s="7" t="str">
        <f>IF('RFQ-Input'!L7="","",'RFQ-Input'!L7)</f>
        <v/>
      </c>
      <c r="M8" s="7" t="str">
        <f>IF('RFQ-Input'!M7="","",'RFQ-Input'!M7)</f>
        <v/>
      </c>
      <c r="N8" s="7" t="str">
        <f>IF('RFQ-Input'!N7="","",'RFQ-Input'!N7)</f>
        <v/>
      </c>
      <c r="O8" s="7" t="str">
        <f>IF('RFQ-Input'!O7="","",'RFQ-Input'!O7)</f>
        <v/>
      </c>
      <c r="Q8" s="7"/>
      <c r="R8" s="7"/>
      <c r="S8" s="7"/>
      <c r="T8" s="7"/>
      <c r="U8" s="7"/>
      <c r="V8" s="7"/>
      <c r="X8" s="7"/>
      <c r="Y8" s="7"/>
      <c r="Z8" s="7"/>
      <c r="AA8" s="7" t="str">
        <f t="shared" si="0"/>
        <v/>
      </c>
      <c r="AB8" s="7"/>
      <c r="AC8" s="7"/>
      <c r="AQ8" s="7" t="str">
        <f t="shared" si="1"/>
        <v/>
      </c>
      <c r="AR8" s="7" t="str">
        <f t="shared" si="2"/>
        <v/>
      </c>
      <c r="AS8" s="7" t="str">
        <f t="shared" si="3"/>
        <v/>
      </c>
      <c r="AT8" s="7" t="str">
        <f t="shared" si="4"/>
        <v/>
      </c>
      <c r="AU8" s="7" t="str">
        <f t="shared" si="5"/>
        <v/>
      </c>
      <c r="AV8" s="7" t="str">
        <f t="shared" si="6"/>
        <v/>
      </c>
      <c r="AW8" s="7" t="str">
        <f>IF('RFQ-Input'!O7="","",'RFQ-Input'!O7)</f>
        <v/>
      </c>
      <c r="AX8" s="7" t="str">
        <f>IF('RFQ-Input'!S7="","",'RFQ-Input'!S7)</f>
        <v/>
      </c>
      <c r="AY8" s="7" t="str">
        <f>IF('RFQ-Input'!V7="","",'RFQ-Input'!V7)</f>
        <v/>
      </c>
      <c r="AZ8" s="7" t="str">
        <f>IF('RFQ-Input'!Y7="","",'RFQ-Input'!Y7)</f>
        <v/>
      </c>
      <c r="BA8" s="7" t="str">
        <f>IF('RFQ-Input'!AB7="","",'RFQ-Input'!AB7)</f>
        <v/>
      </c>
    </row>
    <row r="9" spans="1:53">
      <c r="A9" s="20">
        <v>5</v>
      </c>
      <c r="B9" s="7"/>
      <c r="C9" s="7" t="str">
        <f>IF('RFQ-Input'!C8="","",'RFQ-Input'!C8)</f>
        <v>RFQ001</v>
      </c>
      <c r="D9" s="7" t="str">
        <f>IF('RFQ-Input'!D8="","",'RFQ-Input'!D8)</f>
        <v/>
      </c>
      <c r="E9" s="7" t="str">
        <f>IF('RFQ-Input'!E8="","",'RFQ-Input'!E8)</f>
        <v/>
      </c>
      <c r="F9" s="7" t="str">
        <f>IF('RFQ-Input'!F8="","",'RFQ-Input'!F8)</f>
        <v>111-5</v>
      </c>
      <c r="G9" s="7" t="str">
        <f>IF('RFQ-Input'!G8="","",'RFQ-Input'!G8)</f>
        <v>Test01</v>
      </c>
      <c r="H9" s="7" t="str">
        <f>IF('RFQ-Input'!H8="","",'RFQ-Input'!H8)</f>
        <v/>
      </c>
      <c r="I9" s="7" t="str">
        <f>IF('RFQ-Input'!I8="","",'RFQ-Input'!I8)</f>
        <v/>
      </c>
      <c r="J9" s="7" t="str">
        <f>IF('RFQ-Input'!J8="","",'RFQ-Input'!J8)</f>
        <v/>
      </c>
      <c r="K9" s="7" t="str">
        <f>IF('RFQ-Input'!K8="","",'RFQ-Input'!K8)</f>
        <v/>
      </c>
      <c r="L9" s="7" t="str">
        <f>IF('RFQ-Input'!L8="","",'RFQ-Input'!L8)</f>
        <v/>
      </c>
      <c r="M9" s="7" t="str">
        <f>IF('RFQ-Input'!M8="","",'RFQ-Input'!M8)</f>
        <v/>
      </c>
      <c r="N9" s="7" t="str">
        <f>IF('RFQ-Input'!N8="","",'RFQ-Input'!N8)</f>
        <v/>
      </c>
      <c r="O9" s="7" t="str">
        <f>IF('RFQ-Input'!O8="","",'RFQ-Input'!O8)</f>
        <v/>
      </c>
      <c r="Q9" s="7"/>
      <c r="R9" s="7"/>
      <c r="S9" s="7"/>
      <c r="T9" s="7"/>
      <c r="U9" s="7"/>
      <c r="V9" s="7"/>
      <c r="X9" s="7"/>
      <c r="Y9" s="7"/>
      <c r="Z9" s="7"/>
      <c r="AA9" s="7" t="str">
        <f t="shared" si="0"/>
        <v/>
      </c>
      <c r="AB9" s="7"/>
      <c r="AC9" s="7"/>
      <c r="AQ9" s="7" t="str">
        <f t="shared" si="1"/>
        <v/>
      </c>
      <c r="AR9" s="7" t="str">
        <f t="shared" si="2"/>
        <v/>
      </c>
      <c r="AS9" s="7" t="str">
        <f t="shared" si="3"/>
        <v/>
      </c>
      <c r="AT9" s="7" t="str">
        <f t="shared" si="4"/>
        <v/>
      </c>
      <c r="AU9" s="7" t="str">
        <f t="shared" si="5"/>
        <v/>
      </c>
      <c r="AV9" s="7" t="str">
        <f t="shared" si="6"/>
        <v/>
      </c>
      <c r="AW9" s="7" t="str">
        <f>IF('RFQ-Input'!O8="","",'RFQ-Input'!O8)</f>
        <v/>
      </c>
      <c r="AX9" s="7" t="str">
        <f>IF('RFQ-Input'!S8="","",'RFQ-Input'!S8)</f>
        <v/>
      </c>
      <c r="AY9" s="7" t="str">
        <f>IF('RFQ-Input'!V8="","",'RFQ-Input'!V8)</f>
        <v/>
      </c>
      <c r="AZ9" s="7" t="str">
        <f>IF('RFQ-Input'!Y8="","",'RFQ-Input'!Y8)</f>
        <v/>
      </c>
      <c r="BA9" s="7" t="str">
        <f>IF('RFQ-Input'!AB8="","",'RFQ-Input'!AB8)</f>
        <v/>
      </c>
    </row>
    <row r="10" spans="1:53">
      <c r="A10" s="20">
        <v>6</v>
      </c>
      <c r="B10" s="7"/>
      <c r="C10" s="7" t="str">
        <f>IF('RFQ-Input'!C9="","",'RFQ-Input'!C9)</f>
        <v>RFQ002</v>
      </c>
      <c r="D10" s="7" t="str">
        <f>IF('RFQ-Input'!D9="","",'RFQ-Input'!D9)</f>
        <v/>
      </c>
      <c r="E10" s="7" t="str">
        <f>IF('RFQ-Input'!E9="","",'RFQ-Input'!E9)</f>
        <v/>
      </c>
      <c r="F10" s="7" t="str">
        <f>IF('RFQ-Input'!F9="","",'RFQ-Input'!F9)</f>
        <v>222-1</v>
      </c>
      <c r="G10" s="7" t="str">
        <f>IF('RFQ-Input'!G9="","",'RFQ-Input'!G9)</f>
        <v>Test02</v>
      </c>
      <c r="H10" s="7" t="str">
        <f>IF('RFQ-Input'!H9="","",'RFQ-Input'!H9)</f>
        <v/>
      </c>
      <c r="I10" s="7" t="str">
        <f>IF('RFQ-Input'!I9="","",'RFQ-Input'!I9)</f>
        <v/>
      </c>
      <c r="J10" s="7" t="str">
        <f>IF('RFQ-Input'!J9="","",'RFQ-Input'!J9)</f>
        <v/>
      </c>
      <c r="K10" s="7" t="str">
        <f>IF('RFQ-Input'!K9="","",'RFQ-Input'!K9)</f>
        <v/>
      </c>
      <c r="L10" s="7" t="str">
        <f>IF('RFQ-Input'!L9="","",'RFQ-Input'!L9)</f>
        <v/>
      </c>
      <c r="M10" s="7" t="str">
        <f>IF('RFQ-Input'!M9="","",'RFQ-Input'!M9)</f>
        <v/>
      </c>
      <c r="N10" s="7" t="str">
        <f>IF('RFQ-Input'!N9="","",'RFQ-Input'!N9)</f>
        <v/>
      </c>
      <c r="O10" s="7" t="str">
        <f>IF('RFQ-Input'!O9="","",'RFQ-Input'!O9)</f>
        <v/>
      </c>
      <c r="Q10" s="7"/>
      <c r="R10" s="7"/>
      <c r="S10" s="7"/>
      <c r="T10" s="7"/>
      <c r="U10" s="7"/>
      <c r="V10" s="7"/>
      <c r="X10" s="7"/>
      <c r="Y10" s="7"/>
      <c r="Z10" s="7"/>
      <c r="AA10" s="7" t="str">
        <f t="shared" si="0"/>
        <v/>
      </c>
      <c r="AB10" s="7"/>
      <c r="AC10" s="7"/>
      <c r="AQ10" s="7" t="str">
        <f t="shared" si="1"/>
        <v/>
      </c>
      <c r="AR10" s="7" t="str">
        <f t="shared" si="2"/>
        <v/>
      </c>
      <c r="AS10" s="7" t="str">
        <f t="shared" si="3"/>
        <v/>
      </c>
      <c r="AT10" s="7" t="str">
        <f t="shared" si="4"/>
        <v/>
      </c>
      <c r="AU10" s="7" t="str">
        <f t="shared" si="5"/>
        <v/>
      </c>
      <c r="AV10" s="7" t="str">
        <f t="shared" si="6"/>
        <v/>
      </c>
      <c r="AW10" s="7" t="str">
        <f>IF('RFQ-Input'!O9="","",'RFQ-Input'!O9)</f>
        <v/>
      </c>
      <c r="AX10" s="7" t="str">
        <f>IF('RFQ-Input'!S9="","",'RFQ-Input'!S9)</f>
        <v/>
      </c>
      <c r="AY10" s="7" t="str">
        <f>IF('RFQ-Input'!V9="","",'RFQ-Input'!V9)</f>
        <v/>
      </c>
      <c r="AZ10" s="7" t="str">
        <f>IF('RFQ-Input'!Y9="","",'RFQ-Input'!Y9)</f>
        <v/>
      </c>
      <c r="BA10" s="7" t="str">
        <f>IF('RFQ-Input'!AB9="","",'RFQ-Input'!AB9)</f>
        <v/>
      </c>
    </row>
    <row r="11" spans="1:53">
      <c r="A11" s="20">
        <v>7</v>
      </c>
      <c r="B11" s="7"/>
      <c r="C11" s="7" t="str">
        <f>IF('RFQ-Input'!C10="","",'RFQ-Input'!C10)</f>
        <v>RFQ002</v>
      </c>
      <c r="D11" s="7" t="str">
        <f>IF('RFQ-Input'!D10="","",'RFQ-Input'!D10)</f>
        <v/>
      </c>
      <c r="E11" s="7" t="str">
        <f>IF('RFQ-Input'!E10="","",'RFQ-Input'!E10)</f>
        <v/>
      </c>
      <c r="F11" s="7" t="str">
        <f>IF('RFQ-Input'!F10="","",'RFQ-Input'!F10)</f>
        <v>222-2</v>
      </c>
      <c r="G11" s="7" t="str">
        <f>IF('RFQ-Input'!G10="","",'RFQ-Input'!G10)</f>
        <v>Test02</v>
      </c>
      <c r="H11" s="7" t="str">
        <f>IF('RFQ-Input'!H10="","",'RFQ-Input'!H10)</f>
        <v/>
      </c>
      <c r="I11" s="7" t="str">
        <f>IF('RFQ-Input'!I10="","",'RFQ-Input'!I10)</f>
        <v/>
      </c>
      <c r="J11" s="7" t="str">
        <f>IF('RFQ-Input'!J10="","",'RFQ-Input'!J10)</f>
        <v/>
      </c>
      <c r="K11" s="7" t="str">
        <f>IF('RFQ-Input'!K10="","",'RFQ-Input'!K10)</f>
        <v/>
      </c>
      <c r="L11" s="7" t="str">
        <f>IF('RFQ-Input'!L10="","",'RFQ-Input'!L10)</f>
        <v/>
      </c>
      <c r="M11" s="7" t="str">
        <f>IF('RFQ-Input'!M10="","",'RFQ-Input'!M10)</f>
        <v/>
      </c>
      <c r="N11" s="7" t="str">
        <f>IF('RFQ-Input'!N10="","",'RFQ-Input'!N10)</f>
        <v/>
      </c>
      <c r="O11" s="7" t="str">
        <f>IF('RFQ-Input'!O10="","",'RFQ-Input'!O10)</f>
        <v/>
      </c>
      <c r="Q11" s="7"/>
      <c r="R11" s="7"/>
      <c r="S11" s="7"/>
      <c r="T11" s="7"/>
      <c r="U11" s="7"/>
      <c r="V11" s="7"/>
      <c r="X11" s="7"/>
      <c r="Y11" s="7"/>
      <c r="Z11" s="7"/>
      <c r="AA11" s="7" t="str">
        <f t="shared" si="0"/>
        <v/>
      </c>
      <c r="AB11" s="7"/>
      <c r="AC11" s="7"/>
      <c r="AQ11" s="7" t="str">
        <f t="shared" si="1"/>
        <v/>
      </c>
      <c r="AR11" s="7" t="str">
        <f t="shared" si="2"/>
        <v/>
      </c>
      <c r="AS11" s="7" t="str">
        <f t="shared" si="3"/>
        <v/>
      </c>
      <c r="AT11" s="7" t="str">
        <f t="shared" si="4"/>
        <v/>
      </c>
      <c r="AU11" s="7" t="str">
        <f t="shared" si="5"/>
        <v/>
      </c>
      <c r="AV11" s="7" t="str">
        <f t="shared" si="6"/>
        <v/>
      </c>
      <c r="AW11" s="7" t="str">
        <f>IF('RFQ-Input'!O10="","",'RFQ-Input'!O10)</f>
        <v/>
      </c>
      <c r="AX11" s="7" t="str">
        <f>IF('RFQ-Input'!S10="","",'RFQ-Input'!S10)</f>
        <v/>
      </c>
      <c r="AY11" s="7" t="str">
        <f>IF('RFQ-Input'!V10="","",'RFQ-Input'!V10)</f>
        <v/>
      </c>
      <c r="AZ11" s="7" t="str">
        <f>IF('RFQ-Input'!Y10="","",'RFQ-Input'!Y10)</f>
        <v/>
      </c>
      <c r="BA11" s="7" t="str">
        <f>IF('RFQ-Input'!AB10="","",'RFQ-Input'!AB10)</f>
        <v/>
      </c>
    </row>
    <row r="12" spans="1:53">
      <c r="A12" s="20">
        <v>8</v>
      </c>
      <c r="B12" s="7"/>
      <c r="C12" s="7" t="str">
        <f>IF('RFQ-Input'!C11="","",'RFQ-Input'!C11)</f>
        <v>RFQ003</v>
      </c>
      <c r="D12" s="7" t="str">
        <f>IF('RFQ-Input'!D11="","",'RFQ-Input'!D11)</f>
        <v/>
      </c>
      <c r="E12" s="7" t="str">
        <f>IF('RFQ-Input'!E11="","",'RFQ-Input'!E11)</f>
        <v/>
      </c>
      <c r="F12" s="7" t="str">
        <f>IF('RFQ-Input'!F11="","",'RFQ-Input'!F11)</f>
        <v>333-1</v>
      </c>
      <c r="G12" s="7" t="str">
        <f>IF('RFQ-Input'!G11="","",'RFQ-Input'!G11)</f>
        <v>Test03</v>
      </c>
      <c r="H12" s="7" t="str">
        <f>IF('RFQ-Input'!H11="","",'RFQ-Input'!H11)</f>
        <v/>
      </c>
      <c r="I12" s="7" t="str">
        <f>IF('RFQ-Input'!I11="","",'RFQ-Input'!I11)</f>
        <v/>
      </c>
      <c r="J12" s="7" t="str">
        <f>IF('RFQ-Input'!J11="","",'RFQ-Input'!J11)</f>
        <v/>
      </c>
      <c r="K12" s="7" t="str">
        <f>IF('RFQ-Input'!K11="","",'RFQ-Input'!K11)</f>
        <v/>
      </c>
      <c r="L12" s="7" t="str">
        <f>IF('RFQ-Input'!L11="","",'RFQ-Input'!L11)</f>
        <v/>
      </c>
      <c r="M12" s="7" t="str">
        <f>IF('RFQ-Input'!M11="","",'RFQ-Input'!M11)</f>
        <v/>
      </c>
      <c r="N12" s="7" t="str">
        <f>IF('RFQ-Input'!N11="","",'RFQ-Input'!N11)</f>
        <v/>
      </c>
      <c r="O12" s="7" t="str">
        <f>IF('RFQ-Input'!O11="","",'RFQ-Input'!O11)</f>
        <v/>
      </c>
      <c r="Q12" s="7"/>
      <c r="R12" s="7"/>
      <c r="S12" s="7"/>
      <c r="T12" s="7"/>
      <c r="U12" s="7"/>
      <c r="V12" s="7"/>
      <c r="X12" s="7"/>
      <c r="Y12" s="7"/>
      <c r="Z12" s="7"/>
      <c r="AA12" s="7" t="str">
        <f t="shared" si="0"/>
        <v/>
      </c>
      <c r="AB12" s="7"/>
      <c r="AC12" s="7"/>
      <c r="AQ12" s="7" t="str">
        <f t="shared" si="1"/>
        <v/>
      </c>
      <c r="AR12" s="7" t="str">
        <f t="shared" si="2"/>
        <v/>
      </c>
      <c r="AS12" s="7" t="str">
        <f t="shared" si="3"/>
        <v/>
      </c>
      <c r="AT12" s="7" t="str">
        <f t="shared" si="4"/>
        <v/>
      </c>
      <c r="AU12" s="7" t="str">
        <f t="shared" si="5"/>
        <v/>
      </c>
      <c r="AV12" s="7" t="str">
        <f t="shared" si="6"/>
        <v/>
      </c>
      <c r="AW12" s="7" t="str">
        <f>IF('RFQ-Input'!O11="","",'RFQ-Input'!O11)</f>
        <v/>
      </c>
      <c r="AX12" s="7" t="str">
        <f>IF('RFQ-Input'!S11="","",'RFQ-Input'!S11)</f>
        <v/>
      </c>
      <c r="AY12" s="7" t="str">
        <f>IF('RFQ-Input'!V11="","",'RFQ-Input'!V11)</f>
        <v/>
      </c>
      <c r="AZ12" s="7" t="str">
        <f>IF('RFQ-Input'!Y11="","",'RFQ-Input'!Y11)</f>
        <v/>
      </c>
      <c r="BA12" s="7" t="str">
        <f>IF('RFQ-Input'!AB11="","",'RFQ-Input'!AB11)</f>
        <v/>
      </c>
    </row>
    <row r="13" spans="1:53">
      <c r="A13" s="20">
        <v>9</v>
      </c>
      <c r="B13" s="7"/>
      <c r="C13" s="7" t="str">
        <f>IF('RFQ-Input'!C12="","",'RFQ-Input'!C12)</f>
        <v>RFQ003</v>
      </c>
      <c r="D13" s="7" t="str">
        <f>IF('RFQ-Input'!D12="","",'RFQ-Input'!D12)</f>
        <v/>
      </c>
      <c r="E13" s="7" t="str">
        <f>IF('RFQ-Input'!E12="","",'RFQ-Input'!E12)</f>
        <v/>
      </c>
      <c r="F13" s="7" t="str">
        <f>IF('RFQ-Input'!F12="","",'RFQ-Input'!F12)</f>
        <v>333-2</v>
      </c>
      <c r="G13" s="7" t="str">
        <f>IF('RFQ-Input'!G12="","",'RFQ-Input'!G12)</f>
        <v>Test03</v>
      </c>
      <c r="H13" s="7" t="str">
        <f>IF('RFQ-Input'!H12="","",'RFQ-Input'!H12)</f>
        <v/>
      </c>
      <c r="I13" s="7" t="str">
        <f>IF('RFQ-Input'!I12="","",'RFQ-Input'!I12)</f>
        <v/>
      </c>
      <c r="J13" s="7" t="str">
        <f>IF('RFQ-Input'!J12="","",'RFQ-Input'!J12)</f>
        <v/>
      </c>
      <c r="K13" s="7" t="str">
        <f>IF('RFQ-Input'!K12="","",'RFQ-Input'!K12)</f>
        <v/>
      </c>
      <c r="L13" s="7" t="str">
        <f>IF('RFQ-Input'!L12="","",'RFQ-Input'!L12)</f>
        <v/>
      </c>
      <c r="M13" s="7" t="str">
        <f>IF('RFQ-Input'!M12="","",'RFQ-Input'!M12)</f>
        <v/>
      </c>
      <c r="N13" s="7" t="str">
        <f>IF('RFQ-Input'!N12="","",'RFQ-Input'!N12)</f>
        <v/>
      </c>
      <c r="O13" s="7" t="str">
        <f>IF('RFQ-Input'!O12="","",'RFQ-Input'!O12)</f>
        <v/>
      </c>
      <c r="Q13" s="7"/>
      <c r="R13" s="7"/>
      <c r="S13" s="7"/>
      <c r="T13" s="7"/>
      <c r="U13" s="7"/>
      <c r="V13" s="7"/>
      <c r="X13" s="7"/>
      <c r="Y13" s="7"/>
      <c r="Z13" s="7"/>
      <c r="AA13" s="7" t="str">
        <f t="shared" si="0"/>
        <v/>
      </c>
      <c r="AB13" s="7"/>
      <c r="AC13" s="7"/>
      <c r="AQ13" s="7" t="str">
        <f t="shared" si="1"/>
        <v/>
      </c>
      <c r="AR13" s="7" t="str">
        <f t="shared" si="2"/>
        <v/>
      </c>
      <c r="AS13" s="7" t="str">
        <f t="shared" si="3"/>
        <v/>
      </c>
      <c r="AT13" s="7" t="str">
        <f t="shared" si="4"/>
        <v/>
      </c>
      <c r="AU13" s="7" t="str">
        <f t="shared" si="5"/>
        <v/>
      </c>
      <c r="AV13" s="7" t="str">
        <f t="shared" si="6"/>
        <v/>
      </c>
      <c r="AW13" s="7" t="str">
        <f>IF('RFQ-Input'!O12="","",'RFQ-Input'!O12)</f>
        <v/>
      </c>
      <c r="AX13" s="7" t="str">
        <f>IF('RFQ-Input'!S12="","",'RFQ-Input'!S12)</f>
        <v/>
      </c>
      <c r="AY13" s="7" t="str">
        <f>IF('RFQ-Input'!V12="","",'RFQ-Input'!V12)</f>
        <v/>
      </c>
      <c r="AZ13" s="7" t="str">
        <f>IF('RFQ-Input'!Y12="","",'RFQ-Input'!Y12)</f>
        <v/>
      </c>
      <c r="BA13" s="7" t="str">
        <f>IF('RFQ-Input'!AB12="","",'RFQ-Input'!AB12)</f>
        <v/>
      </c>
    </row>
    <row r="14" spans="1:53">
      <c r="A14" s="20">
        <v>10</v>
      </c>
      <c r="B14" s="7"/>
      <c r="C14" s="7" t="str">
        <f>IF('RFQ-Input'!C13="","",'RFQ-Input'!C13)</f>
        <v>RFQ005</v>
      </c>
      <c r="D14" s="7" t="str">
        <f>IF('RFQ-Input'!D13="","",'RFQ-Input'!D13)</f>
        <v/>
      </c>
      <c r="E14" s="7" t="str">
        <f>IF('RFQ-Input'!E13="","",'RFQ-Input'!E13)</f>
        <v/>
      </c>
      <c r="F14" s="7" t="str">
        <f>IF('RFQ-Input'!F13="","",'RFQ-Input'!F13)</f>
        <v>555-1</v>
      </c>
      <c r="G14" s="7" t="str">
        <f>IF('RFQ-Input'!G13="","",'RFQ-Input'!G13)</f>
        <v>Test05</v>
      </c>
      <c r="H14" s="7" t="str">
        <f>IF('RFQ-Input'!H13="","",'RFQ-Input'!H13)</f>
        <v/>
      </c>
      <c r="I14" s="7" t="str">
        <f>IF('RFQ-Input'!I13="","",'RFQ-Input'!I13)</f>
        <v/>
      </c>
      <c r="J14" s="7" t="str">
        <f>IF('RFQ-Input'!J13="","",'RFQ-Input'!J13)</f>
        <v/>
      </c>
      <c r="K14" s="7" t="str">
        <f>IF('RFQ-Input'!K13="","",'RFQ-Input'!K13)</f>
        <v/>
      </c>
      <c r="L14" s="7" t="str">
        <f>IF('RFQ-Input'!L13="","",'RFQ-Input'!L13)</f>
        <v/>
      </c>
      <c r="M14" s="7" t="str">
        <f>IF('RFQ-Input'!M13="","",'RFQ-Input'!M13)</f>
        <v/>
      </c>
      <c r="N14" s="7" t="str">
        <f>IF('RFQ-Input'!N13="","",'RFQ-Input'!N13)</f>
        <v/>
      </c>
      <c r="O14" s="7" t="str">
        <f>IF('RFQ-Input'!O13="","",'RFQ-Input'!O13)</f>
        <v/>
      </c>
      <c r="Q14" s="7"/>
      <c r="R14" s="7"/>
      <c r="S14" s="7"/>
      <c r="T14" s="7"/>
      <c r="U14" s="7"/>
      <c r="V14" s="7"/>
      <c r="X14" s="7"/>
      <c r="Y14" s="7"/>
      <c r="Z14" s="7"/>
      <c r="AA14" s="7" t="str">
        <f t="shared" si="0"/>
        <v/>
      </c>
      <c r="AB14" s="7"/>
      <c r="AC14" s="7"/>
      <c r="AQ14" s="7" t="str">
        <f t="shared" si="1"/>
        <v/>
      </c>
      <c r="AR14" s="7" t="str">
        <f t="shared" si="2"/>
        <v/>
      </c>
      <c r="AS14" s="7" t="str">
        <f t="shared" si="3"/>
        <v/>
      </c>
      <c r="AT14" s="7" t="str">
        <f t="shared" si="4"/>
        <v/>
      </c>
      <c r="AU14" s="7" t="str">
        <f t="shared" si="5"/>
        <v/>
      </c>
      <c r="AV14" s="7" t="str">
        <f t="shared" si="6"/>
        <v/>
      </c>
      <c r="AW14" s="7" t="str">
        <f>IF('RFQ-Input'!O13="","",'RFQ-Input'!O13)</f>
        <v/>
      </c>
      <c r="AX14" s="7" t="str">
        <f>IF('RFQ-Input'!S13="","",'RFQ-Input'!S13)</f>
        <v/>
      </c>
      <c r="AY14" s="7" t="str">
        <f>IF('RFQ-Input'!V13="","",'RFQ-Input'!V13)</f>
        <v/>
      </c>
      <c r="AZ14" s="7" t="str">
        <f>IF('RFQ-Input'!Y13="","",'RFQ-Input'!Y13)</f>
        <v/>
      </c>
      <c r="BA14" s="7" t="str">
        <f>IF('RFQ-Input'!AB13="","",'RFQ-Input'!AB13)</f>
        <v/>
      </c>
    </row>
    <row r="15" spans="1:53">
      <c r="A15" s="20">
        <v>11</v>
      </c>
      <c r="B15" s="7"/>
      <c r="C15" s="7" t="str">
        <f>IF('RFQ-Input'!C14="","",'RFQ-Input'!C14)</f>
        <v>RFQ006</v>
      </c>
      <c r="D15" s="7" t="str">
        <f>IF('RFQ-Input'!D14="","",'RFQ-Input'!D14)</f>
        <v/>
      </c>
      <c r="E15" s="7" t="str">
        <f>IF('RFQ-Input'!E14="","",'RFQ-Input'!E14)</f>
        <v/>
      </c>
      <c r="F15" s="7" t="str">
        <f>IF('RFQ-Input'!F14="","",'RFQ-Input'!F14)</f>
        <v>666-1</v>
      </c>
      <c r="G15" s="7" t="str">
        <f>IF('RFQ-Input'!G14="","",'RFQ-Input'!G14)</f>
        <v>Test06</v>
      </c>
      <c r="H15" s="7" t="str">
        <f>IF('RFQ-Input'!H14="","",'RFQ-Input'!H14)</f>
        <v/>
      </c>
      <c r="I15" s="7" t="str">
        <f>IF('RFQ-Input'!I14="","",'RFQ-Input'!I14)</f>
        <v/>
      </c>
      <c r="J15" s="7" t="str">
        <f>IF('RFQ-Input'!J14="","",'RFQ-Input'!J14)</f>
        <v/>
      </c>
      <c r="K15" s="7" t="str">
        <f>IF('RFQ-Input'!K14="","",'RFQ-Input'!K14)</f>
        <v/>
      </c>
      <c r="L15" s="7" t="str">
        <f>IF('RFQ-Input'!L14="","",'RFQ-Input'!L14)</f>
        <v/>
      </c>
      <c r="M15" s="7" t="str">
        <f>IF('RFQ-Input'!M14="","",'RFQ-Input'!M14)</f>
        <v/>
      </c>
      <c r="N15" s="7" t="str">
        <f>IF('RFQ-Input'!N14="","",'RFQ-Input'!N14)</f>
        <v/>
      </c>
      <c r="O15" s="7" t="str">
        <f>IF('RFQ-Input'!O14="","",'RFQ-Input'!O14)</f>
        <v/>
      </c>
      <c r="Q15" s="7"/>
      <c r="R15" s="7"/>
      <c r="S15" s="7"/>
      <c r="T15" s="7"/>
      <c r="U15" s="7"/>
      <c r="V15" s="7"/>
      <c r="X15" s="7"/>
      <c r="Y15" s="7"/>
      <c r="Z15" s="7"/>
      <c r="AA15" s="7" t="str">
        <f t="shared" si="0"/>
        <v/>
      </c>
      <c r="AB15" s="7"/>
      <c r="AC15" s="7"/>
      <c r="AQ15" s="7" t="str">
        <f t="shared" si="1"/>
        <v/>
      </c>
      <c r="AR15" s="7" t="str">
        <f t="shared" si="2"/>
        <v/>
      </c>
      <c r="AS15" s="7" t="str">
        <f t="shared" si="3"/>
        <v/>
      </c>
      <c r="AT15" s="7" t="str">
        <f t="shared" si="4"/>
        <v/>
      </c>
      <c r="AU15" s="7" t="str">
        <f t="shared" si="5"/>
        <v/>
      </c>
      <c r="AV15" s="7" t="str">
        <f t="shared" si="6"/>
        <v/>
      </c>
      <c r="AW15" s="7" t="str">
        <f>IF('RFQ-Input'!O14="","",'RFQ-Input'!O14)</f>
        <v/>
      </c>
      <c r="AX15" s="7" t="str">
        <f>IF('RFQ-Input'!S14="","",'RFQ-Input'!S14)</f>
        <v/>
      </c>
      <c r="AY15" s="7" t="str">
        <f>IF('RFQ-Input'!V14="","",'RFQ-Input'!V14)</f>
        <v/>
      </c>
      <c r="AZ15" s="7" t="str">
        <f>IF('RFQ-Input'!Y14="","",'RFQ-Input'!Y14)</f>
        <v/>
      </c>
      <c r="BA15" s="7" t="str">
        <f>IF('RFQ-Input'!AB14="","",'RFQ-Input'!AB14)</f>
        <v/>
      </c>
    </row>
    <row r="16" spans="1:53">
      <c r="A16" s="20">
        <v>12</v>
      </c>
      <c r="B16" s="7"/>
      <c r="C16" s="7" t="str">
        <f>IF('RFQ-Input'!C15="","",'RFQ-Input'!C15)</f>
        <v>RFQ007</v>
      </c>
      <c r="D16" s="7" t="str">
        <f>IF('RFQ-Input'!D15="","",'RFQ-Input'!D15)</f>
        <v/>
      </c>
      <c r="E16" s="7" t="str">
        <f>IF('RFQ-Input'!E15="","",'RFQ-Input'!E15)</f>
        <v/>
      </c>
      <c r="F16" s="7" t="str">
        <f>IF('RFQ-Input'!F15="","",'RFQ-Input'!F15)</f>
        <v>777-1</v>
      </c>
      <c r="G16" s="7" t="str">
        <f>IF('RFQ-Input'!G15="","",'RFQ-Input'!G15)</f>
        <v>Test07</v>
      </c>
      <c r="H16" s="7" t="str">
        <f>IF('RFQ-Input'!H15="","",'RFQ-Input'!H15)</f>
        <v/>
      </c>
      <c r="I16" s="7" t="str">
        <f>IF('RFQ-Input'!I15="","",'RFQ-Input'!I15)</f>
        <v/>
      </c>
      <c r="J16" s="7" t="str">
        <f>IF('RFQ-Input'!J15="","",'RFQ-Input'!J15)</f>
        <v/>
      </c>
      <c r="K16" s="7" t="str">
        <f>IF('RFQ-Input'!K15="","",'RFQ-Input'!K15)</f>
        <v/>
      </c>
      <c r="L16" s="7" t="str">
        <f>IF('RFQ-Input'!L15="","",'RFQ-Input'!L15)</f>
        <v/>
      </c>
      <c r="M16" s="7" t="str">
        <f>IF('RFQ-Input'!M15="","",'RFQ-Input'!M15)</f>
        <v/>
      </c>
      <c r="N16" s="7" t="str">
        <f>IF('RFQ-Input'!N15="","",'RFQ-Input'!N15)</f>
        <v/>
      </c>
      <c r="O16" s="7" t="str">
        <f>IF('RFQ-Input'!O15="","",'RFQ-Input'!O15)</f>
        <v/>
      </c>
      <c r="Q16" s="7"/>
      <c r="R16" s="7"/>
      <c r="S16" s="7"/>
      <c r="T16" s="7"/>
      <c r="U16" s="7"/>
      <c r="V16" s="7"/>
      <c r="X16" s="7"/>
      <c r="Y16" s="7"/>
      <c r="Z16" s="7"/>
      <c r="AA16" s="7" t="str">
        <f t="shared" si="0"/>
        <v/>
      </c>
      <c r="AB16" s="7"/>
      <c r="AC16" s="7"/>
      <c r="AQ16" s="7" t="str">
        <f t="shared" si="1"/>
        <v/>
      </c>
      <c r="AR16" s="7" t="str">
        <f t="shared" si="2"/>
        <v/>
      </c>
      <c r="AS16" s="7" t="str">
        <f t="shared" si="3"/>
        <v/>
      </c>
      <c r="AT16" s="7" t="str">
        <f t="shared" si="4"/>
        <v/>
      </c>
      <c r="AU16" s="7" t="str">
        <f t="shared" si="5"/>
        <v/>
      </c>
      <c r="AV16" s="7" t="str">
        <f t="shared" si="6"/>
        <v/>
      </c>
      <c r="AW16" s="7" t="str">
        <f>IF('RFQ-Input'!O15="","",'RFQ-Input'!O15)</f>
        <v/>
      </c>
      <c r="AX16" s="7" t="str">
        <f>IF('RFQ-Input'!S15="","",'RFQ-Input'!S15)</f>
        <v/>
      </c>
      <c r="AY16" s="7" t="str">
        <f>IF('RFQ-Input'!V15="","",'RFQ-Input'!V15)</f>
        <v/>
      </c>
      <c r="AZ16" s="7" t="str">
        <f>IF('RFQ-Input'!Y15="","",'RFQ-Input'!Y15)</f>
        <v/>
      </c>
      <c r="BA16" s="7" t="str">
        <f>IF('RFQ-Input'!AB15="","",'RFQ-Input'!AB15)</f>
        <v/>
      </c>
    </row>
    <row r="17" spans="1:53">
      <c r="A17" s="20">
        <v>13</v>
      </c>
      <c r="B17" s="7"/>
      <c r="C17" s="7" t="str">
        <f>IF('RFQ-Input'!C16="","",'RFQ-Input'!C16)</f>
        <v>RFQ008</v>
      </c>
      <c r="D17" s="7" t="str">
        <f>IF('RFQ-Input'!D16="","",'RFQ-Input'!D16)</f>
        <v/>
      </c>
      <c r="E17" s="7" t="str">
        <f>IF('RFQ-Input'!E16="","",'RFQ-Input'!E16)</f>
        <v/>
      </c>
      <c r="F17" s="7" t="str">
        <f>IF('RFQ-Input'!F16="","",'RFQ-Input'!F16)</f>
        <v>888-1</v>
      </c>
      <c r="G17" s="7" t="str">
        <f>IF('RFQ-Input'!G16="","",'RFQ-Input'!G16)</f>
        <v>Test08</v>
      </c>
      <c r="H17" s="7" t="str">
        <f>IF('RFQ-Input'!H16="","",'RFQ-Input'!H16)</f>
        <v/>
      </c>
      <c r="I17" s="7" t="str">
        <f>IF('RFQ-Input'!I16="","",'RFQ-Input'!I16)</f>
        <v/>
      </c>
      <c r="J17" s="7" t="str">
        <f>IF('RFQ-Input'!J16="","",'RFQ-Input'!J16)</f>
        <v/>
      </c>
      <c r="K17" s="7" t="str">
        <f>IF('RFQ-Input'!K16="","",'RFQ-Input'!K16)</f>
        <v/>
      </c>
      <c r="L17" s="7" t="str">
        <f>IF('RFQ-Input'!L16="","",'RFQ-Input'!L16)</f>
        <v/>
      </c>
      <c r="M17" s="7" t="str">
        <f>IF('RFQ-Input'!M16="","",'RFQ-Input'!M16)</f>
        <v/>
      </c>
      <c r="N17" s="7" t="str">
        <f>IF('RFQ-Input'!N16="","",'RFQ-Input'!N16)</f>
        <v/>
      </c>
      <c r="O17" s="7" t="str">
        <f>IF('RFQ-Input'!O16="","",'RFQ-Input'!O16)</f>
        <v/>
      </c>
      <c r="Q17" s="7"/>
      <c r="R17" s="7"/>
      <c r="S17" s="7"/>
      <c r="T17" s="7"/>
      <c r="U17" s="7"/>
      <c r="V17" s="7"/>
      <c r="X17" s="7"/>
      <c r="Y17" s="7"/>
      <c r="Z17" s="7"/>
      <c r="AA17" s="7" t="str">
        <f t="shared" si="0"/>
        <v/>
      </c>
      <c r="AB17" s="7"/>
      <c r="AC17" s="7"/>
      <c r="AQ17" s="7" t="str">
        <f t="shared" si="1"/>
        <v/>
      </c>
      <c r="AR17" s="7" t="str">
        <f t="shared" si="2"/>
        <v/>
      </c>
      <c r="AS17" s="7" t="str">
        <f t="shared" si="3"/>
        <v/>
      </c>
      <c r="AT17" s="7" t="str">
        <f t="shared" si="4"/>
        <v/>
      </c>
      <c r="AU17" s="7" t="str">
        <f t="shared" si="5"/>
        <v/>
      </c>
      <c r="AV17" s="7" t="str">
        <f t="shared" si="6"/>
        <v/>
      </c>
      <c r="AW17" s="7" t="str">
        <f>IF('RFQ-Input'!O16="","",'RFQ-Input'!O16)</f>
        <v/>
      </c>
      <c r="AX17" s="7" t="str">
        <f>IF('RFQ-Input'!S16="","",'RFQ-Input'!S16)</f>
        <v/>
      </c>
      <c r="AY17" s="7" t="str">
        <f>IF('RFQ-Input'!V16="","",'RFQ-Input'!V16)</f>
        <v/>
      </c>
      <c r="AZ17" s="7" t="str">
        <f>IF('RFQ-Input'!Y16="","",'RFQ-Input'!Y16)</f>
        <v/>
      </c>
      <c r="BA17" s="7" t="str">
        <f>IF('RFQ-Input'!AB16="","",'RFQ-Input'!AB16)</f>
        <v/>
      </c>
    </row>
    <row r="18" spans="1:53">
      <c r="A18" s="20">
        <v>14</v>
      </c>
      <c r="B18" s="7"/>
      <c r="C18" s="7" t="str">
        <f>IF('RFQ-Input'!C17="","",'RFQ-Input'!C17)</f>
        <v>RFQ008</v>
      </c>
      <c r="D18" s="7" t="str">
        <f>IF('RFQ-Input'!D17="","",'RFQ-Input'!D17)</f>
        <v/>
      </c>
      <c r="E18" s="7" t="str">
        <f>IF('RFQ-Input'!E17="","",'RFQ-Input'!E17)</f>
        <v/>
      </c>
      <c r="F18" s="7" t="str">
        <f>IF('RFQ-Input'!F17="","",'RFQ-Input'!F17)</f>
        <v>888-2</v>
      </c>
      <c r="G18" s="7" t="str">
        <f>IF('RFQ-Input'!G17="","",'RFQ-Input'!G17)</f>
        <v>Test08</v>
      </c>
      <c r="H18" s="7" t="str">
        <f>IF('RFQ-Input'!H17="","",'RFQ-Input'!H17)</f>
        <v/>
      </c>
      <c r="I18" s="7" t="str">
        <f>IF('RFQ-Input'!I17="","",'RFQ-Input'!I17)</f>
        <v/>
      </c>
      <c r="J18" s="7" t="str">
        <f>IF('RFQ-Input'!J17="","",'RFQ-Input'!J17)</f>
        <v/>
      </c>
      <c r="K18" s="7" t="str">
        <f>IF('RFQ-Input'!K17="","",'RFQ-Input'!K17)</f>
        <v/>
      </c>
      <c r="L18" s="7" t="str">
        <f>IF('RFQ-Input'!L17="","",'RFQ-Input'!L17)</f>
        <v/>
      </c>
      <c r="M18" s="7" t="str">
        <f>IF('RFQ-Input'!M17="","",'RFQ-Input'!M17)</f>
        <v/>
      </c>
      <c r="N18" s="7" t="str">
        <f>IF('RFQ-Input'!N17="","",'RFQ-Input'!N17)</f>
        <v/>
      </c>
      <c r="O18" s="7" t="str">
        <f>IF('RFQ-Input'!O17="","",'RFQ-Input'!O17)</f>
        <v/>
      </c>
      <c r="Q18" s="7"/>
      <c r="R18" s="7"/>
      <c r="S18" s="7"/>
      <c r="T18" s="7"/>
      <c r="U18" s="7"/>
      <c r="V18" s="7"/>
      <c r="X18" s="7"/>
      <c r="Y18" s="7"/>
      <c r="Z18" s="7"/>
      <c r="AA18" s="7" t="str">
        <f t="shared" si="0"/>
        <v/>
      </c>
      <c r="AB18" s="7"/>
      <c r="AC18" s="7"/>
      <c r="AQ18" s="7" t="str">
        <f t="shared" si="1"/>
        <v/>
      </c>
      <c r="AR18" s="7" t="str">
        <f t="shared" si="2"/>
        <v/>
      </c>
      <c r="AS18" s="7" t="str">
        <f t="shared" si="3"/>
        <v/>
      </c>
      <c r="AT18" s="7" t="str">
        <f t="shared" si="4"/>
        <v/>
      </c>
      <c r="AU18" s="7" t="str">
        <f t="shared" si="5"/>
        <v/>
      </c>
      <c r="AV18" s="7" t="str">
        <f t="shared" si="6"/>
        <v/>
      </c>
      <c r="AW18" s="7" t="str">
        <f>IF('RFQ-Input'!O17="","",'RFQ-Input'!O17)</f>
        <v/>
      </c>
      <c r="AX18" s="7" t="str">
        <f>IF('RFQ-Input'!S17="","",'RFQ-Input'!S17)</f>
        <v/>
      </c>
      <c r="AY18" s="7" t="str">
        <f>IF('RFQ-Input'!V17="","",'RFQ-Input'!V17)</f>
        <v/>
      </c>
      <c r="AZ18" s="7" t="str">
        <f>IF('RFQ-Input'!Y17="","",'RFQ-Input'!Y17)</f>
        <v/>
      </c>
      <c r="BA18" s="7" t="str">
        <f>IF('RFQ-Input'!AB17="","",'RFQ-Input'!AB17)</f>
        <v/>
      </c>
    </row>
    <row r="19" spans="1:53">
      <c r="A19" s="20">
        <v>15</v>
      </c>
      <c r="B19" s="7"/>
      <c r="C19" s="7" t="str">
        <f>IF('RFQ-Input'!C18="","",'RFQ-Input'!C18)</f>
        <v>RFQ009</v>
      </c>
      <c r="D19" s="7" t="str">
        <f>IF('RFQ-Input'!D18="","",'RFQ-Input'!D18)</f>
        <v/>
      </c>
      <c r="E19" s="7" t="str">
        <f>IF('RFQ-Input'!E18="","",'RFQ-Input'!E18)</f>
        <v/>
      </c>
      <c r="F19" s="7" t="str">
        <f>IF('RFQ-Input'!F18="","",'RFQ-Input'!F18)</f>
        <v>678-3</v>
      </c>
      <c r="G19" s="7" t="str">
        <f>IF('RFQ-Input'!G18="","",'RFQ-Input'!G18)</f>
        <v>Test09</v>
      </c>
      <c r="H19" s="7" t="str">
        <f>IF('RFQ-Input'!H18="","",'RFQ-Input'!H18)</f>
        <v/>
      </c>
      <c r="I19" s="7" t="str">
        <f>IF('RFQ-Input'!I18="","",'RFQ-Input'!I18)</f>
        <v/>
      </c>
      <c r="J19" s="7" t="str">
        <f>IF('RFQ-Input'!J18="","",'RFQ-Input'!J18)</f>
        <v/>
      </c>
      <c r="K19" s="7" t="str">
        <f>IF('RFQ-Input'!K18="","",'RFQ-Input'!K18)</f>
        <v/>
      </c>
      <c r="L19" s="7" t="str">
        <f>IF('RFQ-Input'!L18="","",'RFQ-Input'!L18)</f>
        <v/>
      </c>
      <c r="M19" s="7" t="str">
        <f>IF('RFQ-Input'!M18="","",'RFQ-Input'!M18)</f>
        <v/>
      </c>
      <c r="N19" s="7" t="str">
        <f>IF('RFQ-Input'!N18="","",'RFQ-Input'!N18)</f>
        <v/>
      </c>
      <c r="O19" s="7" t="str">
        <f>IF('RFQ-Input'!O18="","",'RFQ-Input'!O18)</f>
        <v/>
      </c>
      <c r="Q19" s="7"/>
      <c r="R19" s="7"/>
      <c r="S19" s="7"/>
      <c r="T19" s="7"/>
      <c r="U19" s="7"/>
      <c r="V19" s="7"/>
      <c r="X19" s="7"/>
      <c r="Y19" s="7"/>
      <c r="Z19" s="7"/>
      <c r="AA19" s="7" t="str">
        <f t="shared" si="0"/>
        <v/>
      </c>
      <c r="AB19" s="7"/>
      <c r="AC19" s="7"/>
      <c r="AQ19" s="7" t="str">
        <f t="shared" si="1"/>
        <v/>
      </c>
      <c r="AR19" s="7" t="str">
        <f t="shared" si="2"/>
        <v/>
      </c>
      <c r="AS19" s="7" t="str">
        <f t="shared" si="3"/>
        <v/>
      </c>
      <c r="AT19" s="7" t="str">
        <f t="shared" si="4"/>
        <v/>
      </c>
      <c r="AU19" s="7" t="str">
        <f t="shared" si="5"/>
        <v/>
      </c>
      <c r="AV19" s="7" t="str">
        <f t="shared" si="6"/>
        <v/>
      </c>
      <c r="AW19" s="7" t="str">
        <f>IF('RFQ-Input'!O18="","",'RFQ-Input'!O18)</f>
        <v/>
      </c>
      <c r="AX19" s="7" t="str">
        <f>IF('RFQ-Input'!S18="","",'RFQ-Input'!S18)</f>
        <v/>
      </c>
      <c r="AY19" s="7" t="str">
        <f>IF('RFQ-Input'!V18="","",'RFQ-Input'!V18)</f>
        <v/>
      </c>
      <c r="AZ19" s="7" t="str">
        <f>IF('RFQ-Input'!Y18="","",'RFQ-Input'!Y18)</f>
        <v/>
      </c>
      <c r="BA19" s="7" t="str">
        <f>IF('RFQ-Input'!AB18="","",'RFQ-Input'!AB18)</f>
        <v/>
      </c>
    </row>
    <row r="20" spans="1:53">
      <c r="A20" s="20">
        <v>16</v>
      </c>
      <c r="B20" s="7"/>
      <c r="C20" s="7" t="str">
        <f>IF('RFQ-Input'!C19="","",'RFQ-Input'!C19)</f>
        <v/>
      </c>
      <c r="D20" s="7" t="str">
        <f>IF('RFQ-Input'!D19="","",'RFQ-Input'!D19)</f>
        <v/>
      </c>
      <c r="E20" s="7" t="str">
        <f>IF('RFQ-Input'!E19="","",'RFQ-Input'!E19)</f>
        <v/>
      </c>
      <c r="F20" s="7" t="str">
        <f>IF('RFQ-Input'!F19="","",'RFQ-Input'!F19)</f>
        <v/>
      </c>
      <c r="G20" s="7" t="str">
        <f>IF('RFQ-Input'!G19="","",'RFQ-Input'!G19)</f>
        <v/>
      </c>
      <c r="H20" s="7" t="str">
        <f>IF('RFQ-Input'!H19="","",'RFQ-Input'!H19)</f>
        <v/>
      </c>
      <c r="I20" s="7" t="str">
        <f>IF('RFQ-Input'!I19="","",'RFQ-Input'!I19)</f>
        <v/>
      </c>
      <c r="J20" s="7" t="str">
        <f>IF('RFQ-Input'!J19="","",'RFQ-Input'!J19)</f>
        <v/>
      </c>
      <c r="K20" s="7" t="str">
        <f>IF('RFQ-Input'!K19="","",'RFQ-Input'!K19)</f>
        <v/>
      </c>
      <c r="L20" s="7" t="str">
        <f>IF('RFQ-Input'!L19="","",'RFQ-Input'!L19)</f>
        <v/>
      </c>
      <c r="M20" s="7" t="str">
        <f>IF('RFQ-Input'!M19="","",'RFQ-Input'!M19)</f>
        <v/>
      </c>
      <c r="N20" s="7" t="str">
        <f>IF('RFQ-Input'!N19="","",'RFQ-Input'!N19)</f>
        <v/>
      </c>
      <c r="O20" s="7" t="str">
        <f>IF('RFQ-Input'!O19="","",'RFQ-Input'!O19)</f>
        <v/>
      </c>
      <c r="Q20" s="7"/>
      <c r="R20" s="7"/>
      <c r="S20" s="7"/>
      <c r="T20" s="7"/>
      <c r="U20" s="7"/>
      <c r="V20" s="7"/>
      <c r="X20" s="7"/>
      <c r="Y20" s="7"/>
      <c r="Z20" s="7"/>
      <c r="AA20" s="7" t="str">
        <f t="shared" si="0"/>
        <v/>
      </c>
      <c r="AB20" s="7"/>
      <c r="AC20" s="7"/>
      <c r="AQ20" s="7" t="str">
        <f t="shared" si="1"/>
        <v/>
      </c>
      <c r="AR20" s="7" t="str">
        <f t="shared" si="2"/>
        <v/>
      </c>
      <c r="AS20" s="7" t="str">
        <f t="shared" si="3"/>
        <v/>
      </c>
      <c r="AT20" s="7" t="str">
        <f t="shared" si="4"/>
        <v/>
      </c>
      <c r="AU20" s="7" t="str">
        <f t="shared" si="5"/>
        <v/>
      </c>
      <c r="AV20" s="7" t="str">
        <f t="shared" si="6"/>
        <v/>
      </c>
      <c r="AW20" s="7" t="str">
        <f>IF('RFQ-Input'!O19="","",'RFQ-Input'!O19)</f>
        <v/>
      </c>
      <c r="AX20" s="7" t="str">
        <f>IF('RFQ-Input'!S19="","",'RFQ-Input'!S19)</f>
        <v/>
      </c>
      <c r="AY20" s="7" t="str">
        <f>IF('RFQ-Input'!V19="","",'RFQ-Input'!V19)</f>
        <v/>
      </c>
      <c r="AZ20" s="7" t="str">
        <f>IF('RFQ-Input'!Y19="","",'RFQ-Input'!Y19)</f>
        <v/>
      </c>
      <c r="BA20" s="7" t="str">
        <f>IF('RFQ-Input'!AB19="","",'RFQ-Input'!AB19)</f>
        <v/>
      </c>
    </row>
    <row r="21" spans="1:53">
      <c r="A21" s="20">
        <v>17</v>
      </c>
      <c r="B21" s="7"/>
      <c r="C21" s="7" t="str">
        <f>IF('RFQ-Input'!C20="","",'RFQ-Input'!C20)</f>
        <v/>
      </c>
      <c r="D21" s="7" t="str">
        <f>IF('RFQ-Input'!D20="","",'RFQ-Input'!D20)</f>
        <v/>
      </c>
      <c r="E21" s="7" t="str">
        <f>IF('RFQ-Input'!E20="","",'RFQ-Input'!E20)</f>
        <v/>
      </c>
      <c r="F21" s="7" t="str">
        <f>IF('RFQ-Input'!F20="","",'RFQ-Input'!F20)</f>
        <v/>
      </c>
      <c r="G21" s="7" t="str">
        <f>IF('RFQ-Input'!G20="","",'RFQ-Input'!G20)</f>
        <v/>
      </c>
      <c r="H21" s="7" t="str">
        <f>IF('RFQ-Input'!H20="","",'RFQ-Input'!H20)</f>
        <v/>
      </c>
      <c r="I21" s="7" t="str">
        <f>IF('RFQ-Input'!I20="","",'RFQ-Input'!I20)</f>
        <v/>
      </c>
      <c r="J21" s="7" t="str">
        <f>IF('RFQ-Input'!J20="","",'RFQ-Input'!J20)</f>
        <v/>
      </c>
      <c r="K21" s="7" t="str">
        <f>IF('RFQ-Input'!K20="","",'RFQ-Input'!K20)</f>
        <v/>
      </c>
      <c r="L21" s="7" t="str">
        <f>IF('RFQ-Input'!L20="","",'RFQ-Input'!L20)</f>
        <v/>
      </c>
      <c r="M21" s="7" t="str">
        <f>IF('RFQ-Input'!M20="","",'RFQ-Input'!M20)</f>
        <v/>
      </c>
      <c r="N21" s="7" t="str">
        <f>IF('RFQ-Input'!N20="","",'RFQ-Input'!N20)</f>
        <v/>
      </c>
      <c r="O21" s="7" t="str">
        <f>IF('RFQ-Input'!O20="","",'RFQ-Input'!O20)</f>
        <v/>
      </c>
      <c r="Q21" s="7"/>
      <c r="R21" s="7"/>
      <c r="S21" s="7"/>
      <c r="T21" s="7"/>
      <c r="U21" s="7"/>
      <c r="V21" s="7"/>
      <c r="X21" s="7"/>
      <c r="Y21" s="7"/>
      <c r="Z21" s="7"/>
      <c r="AA21" s="7" t="str">
        <f t="shared" si="0"/>
        <v/>
      </c>
      <c r="AB21" s="7"/>
      <c r="AC21" s="7"/>
      <c r="AQ21" s="7" t="str">
        <f t="shared" si="1"/>
        <v/>
      </c>
      <c r="AR21" s="7" t="str">
        <f t="shared" si="2"/>
        <v/>
      </c>
      <c r="AS21" s="7" t="str">
        <f t="shared" si="3"/>
        <v/>
      </c>
      <c r="AT21" s="7" t="str">
        <f t="shared" si="4"/>
        <v/>
      </c>
      <c r="AU21" s="7" t="str">
        <f t="shared" si="5"/>
        <v/>
      </c>
      <c r="AV21" s="7" t="str">
        <f t="shared" si="6"/>
        <v/>
      </c>
      <c r="AW21" s="7" t="str">
        <f>IF('RFQ-Input'!O20="","",'RFQ-Input'!O20)</f>
        <v/>
      </c>
      <c r="AX21" s="7" t="str">
        <f>IF('RFQ-Input'!S20="","",'RFQ-Input'!S20)</f>
        <v/>
      </c>
      <c r="AY21" s="7" t="str">
        <f>IF('RFQ-Input'!V20="","",'RFQ-Input'!V20)</f>
        <v/>
      </c>
      <c r="AZ21" s="7" t="str">
        <f>IF('RFQ-Input'!Y20="","",'RFQ-Input'!Y20)</f>
        <v/>
      </c>
      <c r="BA21" s="7" t="str">
        <f>IF('RFQ-Input'!AB20="","",'RFQ-Input'!AB20)</f>
        <v/>
      </c>
    </row>
    <row r="22" spans="1:53">
      <c r="A22" s="20">
        <v>18</v>
      </c>
      <c r="B22" s="7"/>
      <c r="C22" s="7" t="str">
        <f>IF('RFQ-Input'!C21="","",'RFQ-Input'!C21)</f>
        <v/>
      </c>
      <c r="D22" s="7" t="str">
        <f>IF('RFQ-Input'!D21="","",'RFQ-Input'!D21)</f>
        <v/>
      </c>
      <c r="E22" s="7" t="str">
        <f>IF('RFQ-Input'!E21="","",'RFQ-Input'!E21)</f>
        <v/>
      </c>
      <c r="F22" s="7" t="str">
        <f>IF('RFQ-Input'!F21="","",'RFQ-Input'!F21)</f>
        <v/>
      </c>
      <c r="G22" s="7" t="str">
        <f>IF('RFQ-Input'!G21="","",'RFQ-Input'!G21)</f>
        <v/>
      </c>
      <c r="H22" s="7" t="str">
        <f>IF('RFQ-Input'!H21="","",'RFQ-Input'!H21)</f>
        <v/>
      </c>
      <c r="I22" s="7" t="str">
        <f>IF('RFQ-Input'!I21="","",'RFQ-Input'!I21)</f>
        <v/>
      </c>
      <c r="J22" s="7" t="str">
        <f>IF('RFQ-Input'!J21="","",'RFQ-Input'!J21)</f>
        <v/>
      </c>
      <c r="K22" s="7" t="str">
        <f>IF('RFQ-Input'!K21="","",'RFQ-Input'!K21)</f>
        <v/>
      </c>
      <c r="L22" s="7" t="str">
        <f>IF('RFQ-Input'!L21="","",'RFQ-Input'!L21)</f>
        <v/>
      </c>
      <c r="M22" s="7" t="str">
        <f>IF('RFQ-Input'!M21="","",'RFQ-Input'!M21)</f>
        <v/>
      </c>
      <c r="N22" s="7" t="str">
        <f>IF('RFQ-Input'!N21="","",'RFQ-Input'!N21)</f>
        <v/>
      </c>
      <c r="O22" s="7" t="str">
        <f>IF('RFQ-Input'!O21="","",'RFQ-Input'!O21)</f>
        <v/>
      </c>
      <c r="Q22" s="7"/>
      <c r="R22" s="7"/>
      <c r="S22" s="7"/>
      <c r="T22" s="7"/>
      <c r="U22" s="7"/>
      <c r="V22" s="7"/>
      <c r="X22" s="7"/>
      <c r="Y22" s="7"/>
      <c r="Z22" s="7"/>
      <c r="AA22" s="7" t="str">
        <f t="shared" si="0"/>
        <v/>
      </c>
      <c r="AB22" s="7"/>
      <c r="AC22" s="7"/>
      <c r="AQ22" s="7" t="str">
        <f t="shared" si="1"/>
        <v/>
      </c>
      <c r="AR22" s="7" t="str">
        <f t="shared" si="2"/>
        <v/>
      </c>
      <c r="AS22" s="7" t="str">
        <f t="shared" si="3"/>
        <v/>
      </c>
      <c r="AT22" s="7" t="str">
        <f t="shared" si="4"/>
        <v/>
      </c>
      <c r="AU22" s="7" t="str">
        <f t="shared" si="5"/>
        <v/>
      </c>
      <c r="AV22" s="7" t="str">
        <f t="shared" si="6"/>
        <v/>
      </c>
      <c r="AW22" s="7" t="str">
        <f>IF('RFQ-Input'!O21="","",'RFQ-Input'!O21)</f>
        <v/>
      </c>
      <c r="AX22" s="7" t="str">
        <f>IF('RFQ-Input'!S21="","",'RFQ-Input'!S21)</f>
        <v/>
      </c>
      <c r="AY22" s="7" t="str">
        <f>IF('RFQ-Input'!V21="","",'RFQ-Input'!V21)</f>
        <v/>
      </c>
      <c r="AZ22" s="7" t="str">
        <f>IF('RFQ-Input'!Y21="","",'RFQ-Input'!Y21)</f>
        <v/>
      </c>
      <c r="BA22" s="7" t="str">
        <f>IF('RFQ-Input'!AB21="","",'RFQ-Input'!AB21)</f>
        <v/>
      </c>
    </row>
    <row r="23" spans="1:53">
      <c r="A23" s="20">
        <v>19</v>
      </c>
      <c r="B23" s="7"/>
      <c r="C23" s="7" t="str">
        <f>IF('RFQ-Input'!C22="","",'RFQ-Input'!C22)</f>
        <v/>
      </c>
      <c r="D23" s="7" t="str">
        <f>IF('RFQ-Input'!D22="","",'RFQ-Input'!D22)</f>
        <v/>
      </c>
      <c r="E23" s="7" t="str">
        <f>IF('RFQ-Input'!E22="","",'RFQ-Input'!E22)</f>
        <v/>
      </c>
      <c r="F23" s="7" t="str">
        <f>IF('RFQ-Input'!F22="","",'RFQ-Input'!F22)</f>
        <v/>
      </c>
      <c r="G23" s="7" t="str">
        <f>IF('RFQ-Input'!G22="","",'RFQ-Input'!G22)</f>
        <v/>
      </c>
      <c r="H23" s="7" t="str">
        <f>IF('RFQ-Input'!H22="","",'RFQ-Input'!H22)</f>
        <v/>
      </c>
      <c r="I23" s="7" t="str">
        <f>IF('RFQ-Input'!I22="","",'RFQ-Input'!I22)</f>
        <v/>
      </c>
      <c r="J23" s="7" t="str">
        <f>IF('RFQ-Input'!J22="","",'RFQ-Input'!J22)</f>
        <v/>
      </c>
      <c r="K23" s="7" t="str">
        <f>IF('RFQ-Input'!K22="","",'RFQ-Input'!K22)</f>
        <v/>
      </c>
      <c r="L23" s="7" t="str">
        <f>IF('RFQ-Input'!L22="","",'RFQ-Input'!L22)</f>
        <v/>
      </c>
      <c r="M23" s="7" t="str">
        <f>IF('RFQ-Input'!M22="","",'RFQ-Input'!M22)</f>
        <v/>
      </c>
      <c r="N23" s="7" t="str">
        <f>IF('RFQ-Input'!N22="","",'RFQ-Input'!N22)</f>
        <v/>
      </c>
      <c r="O23" s="7" t="str">
        <f>IF('RFQ-Input'!O22="","",'RFQ-Input'!O22)</f>
        <v/>
      </c>
      <c r="Q23" s="7"/>
      <c r="R23" s="7"/>
      <c r="S23" s="7"/>
      <c r="T23" s="7"/>
      <c r="U23" s="7"/>
      <c r="V23" s="7"/>
      <c r="X23" s="7"/>
      <c r="Y23" s="7"/>
      <c r="Z23" s="7"/>
      <c r="AA23" s="7" t="str">
        <f t="shared" si="0"/>
        <v/>
      </c>
      <c r="AB23" s="7"/>
      <c r="AC23" s="7"/>
      <c r="AQ23" s="7" t="str">
        <f t="shared" si="1"/>
        <v/>
      </c>
      <c r="AR23" s="7" t="str">
        <f t="shared" si="2"/>
        <v/>
      </c>
      <c r="AS23" s="7" t="str">
        <f t="shared" si="3"/>
        <v/>
      </c>
      <c r="AT23" s="7" t="str">
        <f t="shared" si="4"/>
        <v/>
      </c>
      <c r="AU23" s="7" t="str">
        <f t="shared" si="5"/>
        <v/>
      </c>
      <c r="AV23" s="7" t="str">
        <f t="shared" si="6"/>
        <v/>
      </c>
      <c r="AW23" s="7" t="str">
        <f>IF('RFQ-Input'!O22="","",'RFQ-Input'!O22)</f>
        <v/>
      </c>
      <c r="AX23" s="7" t="str">
        <f>IF('RFQ-Input'!S22="","",'RFQ-Input'!S22)</f>
        <v/>
      </c>
      <c r="AY23" s="7" t="str">
        <f>IF('RFQ-Input'!V22="","",'RFQ-Input'!V22)</f>
        <v/>
      </c>
      <c r="AZ23" s="7" t="str">
        <f>IF('RFQ-Input'!Y22="","",'RFQ-Input'!Y22)</f>
        <v/>
      </c>
      <c r="BA23" s="7" t="str">
        <f>IF('RFQ-Input'!AB22="","",'RFQ-Input'!AB22)</f>
        <v/>
      </c>
    </row>
    <row r="24" spans="1:53">
      <c r="A24" s="20">
        <v>20</v>
      </c>
      <c r="B24" s="7"/>
      <c r="C24" s="7" t="str">
        <f>IF('RFQ-Input'!C23="","",'RFQ-Input'!C23)</f>
        <v/>
      </c>
      <c r="D24" s="7" t="str">
        <f>IF('RFQ-Input'!D23="","",'RFQ-Input'!D23)</f>
        <v/>
      </c>
      <c r="E24" s="7" t="str">
        <f>IF('RFQ-Input'!E23="","",'RFQ-Input'!E23)</f>
        <v/>
      </c>
      <c r="F24" s="7" t="str">
        <f>IF('RFQ-Input'!F23="","",'RFQ-Input'!F23)</f>
        <v/>
      </c>
      <c r="G24" s="7" t="str">
        <f>IF('RFQ-Input'!G23="","",'RFQ-Input'!G23)</f>
        <v/>
      </c>
      <c r="H24" s="7" t="str">
        <f>IF('RFQ-Input'!H23="","",'RFQ-Input'!H23)</f>
        <v/>
      </c>
      <c r="I24" s="7" t="str">
        <f>IF('RFQ-Input'!I23="","",'RFQ-Input'!I23)</f>
        <v/>
      </c>
      <c r="J24" s="7" t="str">
        <f>IF('RFQ-Input'!J23="","",'RFQ-Input'!J23)</f>
        <v/>
      </c>
      <c r="K24" s="7" t="str">
        <f>IF('RFQ-Input'!K23="","",'RFQ-Input'!K23)</f>
        <v/>
      </c>
      <c r="L24" s="7" t="str">
        <f>IF('RFQ-Input'!L23="","",'RFQ-Input'!L23)</f>
        <v/>
      </c>
      <c r="M24" s="7" t="str">
        <f>IF('RFQ-Input'!M23="","",'RFQ-Input'!M23)</f>
        <v/>
      </c>
      <c r="N24" s="7" t="str">
        <f>IF('RFQ-Input'!N23="","",'RFQ-Input'!N23)</f>
        <v/>
      </c>
      <c r="O24" s="7" t="str">
        <f>IF('RFQ-Input'!O23="","",'RFQ-Input'!O23)</f>
        <v/>
      </c>
      <c r="Q24" s="7"/>
      <c r="R24" s="7"/>
      <c r="S24" s="7"/>
      <c r="T24" s="7"/>
      <c r="U24" s="7"/>
      <c r="V24" s="7"/>
      <c r="X24" s="7"/>
      <c r="Y24" s="7"/>
      <c r="Z24" s="7"/>
      <c r="AA24" s="7" t="str">
        <f t="shared" si="0"/>
        <v/>
      </c>
      <c r="AB24" s="7"/>
      <c r="AC24" s="7"/>
      <c r="AQ24" s="7" t="str">
        <f t="shared" si="1"/>
        <v/>
      </c>
      <c r="AR24" s="7" t="str">
        <f t="shared" si="2"/>
        <v/>
      </c>
      <c r="AS24" s="7" t="str">
        <f t="shared" si="3"/>
        <v/>
      </c>
      <c r="AT24" s="7" t="str">
        <f t="shared" si="4"/>
        <v/>
      </c>
      <c r="AU24" s="7" t="str">
        <f t="shared" si="5"/>
        <v/>
      </c>
      <c r="AV24" s="7" t="str">
        <f t="shared" si="6"/>
        <v/>
      </c>
      <c r="AW24" s="7" t="str">
        <f>IF('RFQ-Input'!O23="","",'RFQ-Input'!O23)</f>
        <v/>
      </c>
      <c r="AX24" s="7" t="str">
        <f>IF('RFQ-Input'!S23="","",'RFQ-Input'!S23)</f>
        <v/>
      </c>
      <c r="AY24" s="7" t="str">
        <f>IF('RFQ-Input'!V23="","",'RFQ-Input'!V23)</f>
        <v/>
      </c>
      <c r="AZ24" s="7" t="str">
        <f>IF('RFQ-Input'!Y23="","",'RFQ-Input'!Y23)</f>
        <v/>
      </c>
      <c r="BA24" s="7" t="str">
        <f>IF('RFQ-Input'!AB23="","",'RFQ-Input'!AB23)</f>
        <v/>
      </c>
    </row>
    <row r="25" spans="1:53">
      <c r="A25" s="20">
        <v>21</v>
      </c>
      <c r="B25" s="7"/>
      <c r="C25" s="7" t="str">
        <f>IF('RFQ-Input'!C24="","",'RFQ-Input'!C24)</f>
        <v/>
      </c>
      <c r="D25" s="7" t="str">
        <f>IF('RFQ-Input'!D24="","",'RFQ-Input'!D24)</f>
        <v/>
      </c>
      <c r="E25" s="7" t="str">
        <f>IF('RFQ-Input'!E24="","",'RFQ-Input'!E24)</f>
        <v/>
      </c>
      <c r="F25" s="7" t="str">
        <f>IF('RFQ-Input'!F24="","",'RFQ-Input'!F24)</f>
        <v/>
      </c>
      <c r="G25" s="7" t="str">
        <f>IF('RFQ-Input'!G24="","",'RFQ-Input'!G24)</f>
        <v/>
      </c>
      <c r="H25" s="7" t="str">
        <f>IF('RFQ-Input'!H24="","",'RFQ-Input'!H24)</f>
        <v/>
      </c>
      <c r="I25" s="7" t="str">
        <f>IF('RFQ-Input'!I24="","",'RFQ-Input'!I24)</f>
        <v/>
      </c>
      <c r="J25" s="7" t="str">
        <f>IF('RFQ-Input'!J24="","",'RFQ-Input'!J24)</f>
        <v/>
      </c>
      <c r="K25" s="7" t="str">
        <f>IF('RFQ-Input'!K24="","",'RFQ-Input'!K24)</f>
        <v/>
      </c>
      <c r="L25" s="7" t="str">
        <f>IF('RFQ-Input'!L24="","",'RFQ-Input'!L24)</f>
        <v/>
      </c>
      <c r="M25" s="7" t="str">
        <f>IF('RFQ-Input'!M24="","",'RFQ-Input'!M24)</f>
        <v/>
      </c>
      <c r="N25" s="7" t="str">
        <f>IF('RFQ-Input'!N24="","",'RFQ-Input'!N24)</f>
        <v/>
      </c>
      <c r="O25" s="7" t="str">
        <f>IF('RFQ-Input'!O24="","",'RFQ-Input'!O24)</f>
        <v/>
      </c>
      <c r="Q25" s="7"/>
      <c r="R25" s="7"/>
      <c r="S25" s="7"/>
      <c r="T25" s="7"/>
      <c r="U25" s="7"/>
      <c r="V25" s="7"/>
      <c r="X25" s="7"/>
      <c r="Y25" s="7"/>
      <c r="Z25" s="7"/>
      <c r="AA25" s="7" t="str">
        <f t="shared" si="0"/>
        <v/>
      </c>
      <c r="AB25" s="7"/>
      <c r="AC25" s="7"/>
      <c r="AQ25" s="7" t="str">
        <f t="shared" si="1"/>
        <v/>
      </c>
      <c r="AR25" s="7" t="str">
        <f t="shared" si="2"/>
        <v/>
      </c>
      <c r="AS25" s="7" t="str">
        <f t="shared" si="3"/>
        <v/>
      </c>
      <c r="AT25" s="7" t="str">
        <f t="shared" si="4"/>
        <v/>
      </c>
      <c r="AU25" s="7" t="str">
        <f t="shared" si="5"/>
        <v/>
      </c>
      <c r="AV25" s="7" t="str">
        <f t="shared" si="6"/>
        <v/>
      </c>
      <c r="AW25" s="7" t="str">
        <f>IF('RFQ-Input'!O24="","",'RFQ-Input'!O24)</f>
        <v/>
      </c>
      <c r="AX25" s="7" t="str">
        <f>IF('RFQ-Input'!S24="","",'RFQ-Input'!S24)</f>
        <v/>
      </c>
      <c r="AY25" s="7" t="str">
        <f>IF('RFQ-Input'!V24="","",'RFQ-Input'!V24)</f>
        <v/>
      </c>
      <c r="AZ25" s="7" t="str">
        <f>IF('RFQ-Input'!Y24="","",'RFQ-Input'!Y24)</f>
        <v/>
      </c>
      <c r="BA25" s="7" t="str">
        <f>IF('RFQ-Input'!AB24="","",'RFQ-Input'!AB24)</f>
        <v/>
      </c>
    </row>
    <row r="26" spans="1:53">
      <c r="A26" s="20">
        <v>22</v>
      </c>
      <c r="B26" s="7"/>
      <c r="C26" s="7" t="str">
        <f>IF('RFQ-Input'!C25="","",'RFQ-Input'!C25)</f>
        <v/>
      </c>
      <c r="D26" s="7" t="str">
        <f>IF('RFQ-Input'!D25="","",'RFQ-Input'!D25)</f>
        <v/>
      </c>
      <c r="E26" s="7" t="str">
        <f>IF('RFQ-Input'!E25="","",'RFQ-Input'!E25)</f>
        <v/>
      </c>
      <c r="F26" s="7" t="str">
        <f>IF('RFQ-Input'!F25="","",'RFQ-Input'!F25)</f>
        <v/>
      </c>
      <c r="G26" s="7" t="str">
        <f>IF('RFQ-Input'!G25="","",'RFQ-Input'!G25)</f>
        <v/>
      </c>
      <c r="H26" s="7" t="str">
        <f>IF('RFQ-Input'!H25="","",'RFQ-Input'!H25)</f>
        <v/>
      </c>
      <c r="I26" s="7" t="str">
        <f>IF('RFQ-Input'!I25="","",'RFQ-Input'!I25)</f>
        <v/>
      </c>
      <c r="J26" s="7" t="str">
        <f>IF('RFQ-Input'!J25="","",'RFQ-Input'!J25)</f>
        <v/>
      </c>
      <c r="K26" s="7" t="str">
        <f>IF('RFQ-Input'!K25="","",'RFQ-Input'!K25)</f>
        <v/>
      </c>
      <c r="L26" s="7" t="str">
        <f>IF('RFQ-Input'!L25="","",'RFQ-Input'!L25)</f>
        <v/>
      </c>
      <c r="M26" s="7" t="str">
        <f>IF('RFQ-Input'!M25="","",'RFQ-Input'!M25)</f>
        <v/>
      </c>
      <c r="N26" s="7" t="str">
        <f>IF('RFQ-Input'!N25="","",'RFQ-Input'!N25)</f>
        <v/>
      </c>
      <c r="O26" s="7" t="str">
        <f>IF('RFQ-Input'!O25="","",'RFQ-Input'!O25)</f>
        <v/>
      </c>
      <c r="Q26" s="7"/>
      <c r="R26" s="7"/>
      <c r="S26" s="7"/>
      <c r="T26" s="7"/>
      <c r="U26" s="7"/>
      <c r="V26" s="7"/>
      <c r="X26" s="7"/>
      <c r="Y26" s="7"/>
      <c r="Z26" s="7"/>
      <c r="AA26" s="7" t="str">
        <f t="shared" si="0"/>
        <v/>
      </c>
      <c r="AB26" s="7"/>
      <c r="AC26" s="7"/>
      <c r="AQ26" s="7" t="str">
        <f t="shared" si="1"/>
        <v/>
      </c>
      <c r="AR26" s="7" t="str">
        <f t="shared" si="2"/>
        <v/>
      </c>
      <c r="AS26" s="7" t="str">
        <f t="shared" si="3"/>
        <v/>
      </c>
      <c r="AT26" s="7" t="str">
        <f t="shared" si="4"/>
        <v/>
      </c>
      <c r="AU26" s="7" t="str">
        <f t="shared" si="5"/>
        <v/>
      </c>
      <c r="AV26" s="7" t="str">
        <f t="shared" si="6"/>
        <v/>
      </c>
      <c r="AW26" s="7" t="str">
        <f>IF('RFQ-Input'!O25="","",'RFQ-Input'!O25)</f>
        <v/>
      </c>
      <c r="AX26" s="7" t="str">
        <f>IF('RFQ-Input'!S25="","",'RFQ-Input'!S25)</f>
        <v/>
      </c>
      <c r="AY26" s="7" t="str">
        <f>IF('RFQ-Input'!V25="","",'RFQ-Input'!V25)</f>
        <v/>
      </c>
      <c r="AZ26" s="7" t="str">
        <f>IF('RFQ-Input'!Y25="","",'RFQ-Input'!Y25)</f>
        <v/>
      </c>
      <c r="BA26" s="7" t="str">
        <f>IF('RFQ-Input'!AB25="","",'RFQ-Input'!AB25)</f>
        <v/>
      </c>
    </row>
    <row r="27" spans="1:53">
      <c r="A27" s="20">
        <v>23</v>
      </c>
      <c r="B27" s="7"/>
      <c r="C27" s="7" t="str">
        <f>IF('RFQ-Input'!C26="","",'RFQ-Input'!C26)</f>
        <v/>
      </c>
      <c r="D27" s="7" t="str">
        <f>IF('RFQ-Input'!D26="","",'RFQ-Input'!D26)</f>
        <v/>
      </c>
      <c r="E27" s="7" t="str">
        <f>IF('RFQ-Input'!E26="","",'RFQ-Input'!E26)</f>
        <v/>
      </c>
      <c r="F27" s="7" t="str">
        <f>IF('RFQ-Input'!F26="","",'RFQ-Input'!F26)</f>
        <v/>
      </c>
      <c r="G27" s="7" t="str">
        <f>IF('RFQ-Input'!G26="","",'RFQ-Input'!G26)</f>
        <v/>
      </c>
      <c r="H27" s="7" t="str">
        <f>IF('RFQ-Input'!H26="","",'RFQ-Input'!H26)</f>
        <v/>
      </c>
      <c r="I27" s="7" t="str">
        <f>IF('RFQ-Input'!I26="","",'RFQ-Input'!I26)</f>
        <v/>
      </c>
      <c r="J27" s="7" t="str">
        <f>IF('RFQ-Input'!J26="","",'RFQ-Input'!J26)</f>
        <v/>
      </c>
      <c r="K27" s="7" t="str">
        <f>IF('RFQ-Input'!K26="","",'RFQ-Input'!K26)</f>
        <v/>
      </c>
      <c r="L27" s="7" t="str">
        <f>IF('RFQ-Input'!L26="","",'RFQ-Input'!L26)</f>
        <v/>
      </c>
      <c r="M27" s="7" t="str">
        <f>IF('RFQ-Input'!M26="","",'RFQ-Input'!M26)</f>
        <v/>
      </c>
      <c r="N27" s="7" t="str">
        <f>IF('RFQ-Input'!N26="","",'RFQ-Input'!N26)</f>
        <v/>
      </c>
      <c r="O27" s="7" t="str">
        <f>IF('RFQ-Input'!O26="","",'RFQ-Input'!O26)</f>
        <v/>
      </c>
      <c r="Q27" s="7"/>
      <c r="R27" s="7"/>
      <c r="S27" s="7"/>
      <c r="T27" s="7"/>
      <c r="U27" s="7"/>
      <c r="V27" s="7"/>
      <c r="X27" s="7"/>
      <c r="Y27" s="7"/>
      <c r="Z27" s="7"/>
      <c r="AA27" s="7" t="str">
        <f t="shared" si="0"/>
        <v/>
      </c>
      <c r="AB27" s="7"/>
      <c r="AC27" s="7"/>
      <c r="AQ27" s="7" t="str">
        <f t="shared" si="1"/>
        <v/>
      </c>
      <c r="AR27" s="7" t="str">
        <f t="shared" si="2"/>
        <v/>
      </c>
      <c r="AS27" s="7" t="str">
        <f t="shared" si="3"/>
        <v/>
      </c>
      <c r="AT27" s="7" t="str">
        <f t="shared" si="4"/>
        <v/>
      </c>
      <c r="AU27" s="7" t="str">
        <f t="shared" si="5"/>
        <v/>
      </c>
      <c r="AV27" s="7" t="str">
        <f t="shared" si="6"/>
        <v/>
      </c>
      <c r="AW27" s="7" t="str">
        <f>IF('RFQ-Input'!O26="","",'RFQ-Input'!O26)</f>
        <v/>
      </c>
      <c r="AX27" s="7" t="str">
        <f>IF('RFQ-Input'!S26="","",'RFQ-Input'!S26)</f>
        <v/>
      </c>
      <c r="AY27" s="7" t="str">
        <f>IF('RFQ-Input'!V26="","",'RFQ-Input'!V26)</f>
        <v/>
      </c>
      <c r="AZ27" s="7" t="str">
        <f>IF('RFQ-Input'!Y26="","",'RFQ-Input'!Y26)</f>
        <v/>
      </c>
      <c r="BA27" s="7" t="str">
        <f>IF('RFQ-Input'!AB26="","",'RFQ-Input'!AB26)</f>
        <v/>
      </c>
    </row>
    <row r="28" spans="1:53">
      <c r="A28" s="20">
        <v>24</v>
      </c>
      <c r="B28" s="7"/>
      <c r="C28" s="7" t="str">
        <f>IF('RFQ-Input'!C27="","",'RFQ-Input'!C27)</f>
        <v/>
      </c>
      <c r="D28" s="7" t="str">
        <f>IF('RFQ-Input'!D27="","",'RFQ-Input'!D27)</f>
        <v/>
      </c>
      <c r="E28" s="7" t="str">
        <f>IF('RFQ-Input'!E27="","",'RFQ-Input'!E27)</f>
        <v/>
      </c>
      <c r="F28" s="7" t="str">
        <f>IF('RFQ-Input'!F27="","",'RFQ-Input'!F27)</f>
        <v/>
      </c>
      <c r="G28" s="7" t="str">
        <f>IF('RFQ-Input'!G27="","",'RFQ-Input'!G27)</f>
        <v/>
      </c>
      <c r="H28" s="7" t="str">
        <f>IF('RFQ-Input'!H27="","",'RFQ-Input'!H27)</f>
        <v/>
      </c>
      <c r="I28" s="7" t="str">
        <f>IF('RFQ-Input'!I27="","",'RFQ-Input'!I27)</f>
        <v/>
      </c>
      <c r="J28" s="7" t="str">
        <f>IF('RFQ-Input'!J27="","",'RFQ-Input'!J27)</f>
        <v/>
      </c>
      <c r="K28" s="7" t="str">
        <f>IF('RFQ-Input'!K27="","",'RFQ-Input'!K27)</f>
        <v/>
      </c>
      <c r="L28" s="7" t="str">
        <f>IF('RFQ-Input'!L27="","",'RFQ-Input'!L27)</f>
        <v/>
      </c>
      <c r="M28" s="7" t="str">
        <f>IF('RFQ-Input'!M27="","",'RFQ-Input'!M27)</f>
        <v/>
      </c>
      <c r="N28" s="7" t="str">
        <f>IF('RFQ-Input'!N27="","",'RFQ-Input'!N27)</f>
        <v/>
      </c>
      <c r="O28" s="7" t="str">
        <f>IF('RFQ-Input'!O27="","",'RFQ-Input'!O27)</f>
        <v/>
      </c>
      <c r="Q28" s="7"/>
      <c r="R28" s="7"/>
      <c r="S28" s="7"/>
      <c r="T28" s="7"/>
      <c r="U28" s="7"/>
      <c r="V28" s="7"/>
      <c r="X28" s="7"/>
      <c r="Y28" s="7"/>
      <c r="Z28" s="7"/>
      <c r="AA28" s="7" t="str">
        <f t="shared" si="0"/>
        <v/>
      </c>
      <c r="AB28" s="7"/>
      <c r="AC28" s="7"/>
      <c r="AQ28" s="7" t="str">
        <f t="shared" si="1"/>
        <v/>
      </c>
      <c r="AR28" s="7" t="str">
        <f t="shared" si="2"/>
        <v/>
      </c>
      <c r="AS28" s="7" t="str">
        <f t="shared" si="3"/>
        <v/>
      </c>
      <c r="AT28" s="7" t="str">
        <f t="shared" si="4"/>
        <v/>
      </c>
      <c r="AU28" s="7" t="str">
        <f t="shared" si="5"/>
        <v/>
      </c>
      <c r="AV28" s="7" t="str">
        <f t="shared" si="6"/>
        <v/>
      </c>
      <c r="AW28" s="7" t="str">
        <f>IF('RFQ-Input'!O27="","",'RFQ-Input'!O27)</f>
        <v/>
      </c>
      <c r="AX28" s="7" t="str">
        <f>IF('RFQ-Input'!S27="","",'RFQ-Input'!S27)</f>
        <v/>
      </c>
      <c r="AY28" s="7" t="str">
        <f>IF('RFQ-Input'!V27="","",'RFQ-Input'!V27)</f>
        <v/>
      </c>
      <c r="AZ28" s="7" t="str">
        <f>IF('RFQ-Input'!Y27="","",'RFQ-Input'!Y27)</f>
        <v/>
      </c>
      <c r="BA28" s="7" t="str">
        <f>IF('RFQ-Input'!AB27="","",'RFQ-Input'!AB27)</f>
        <v/>
      </c>
    </row>
    <row r="29" spans="1:53">
      <c r="A29" s="20">
        <v>25</v>
      </c>
      <c r="B29" s="7"/>
      <c r="C29" s="7" t="str">
        <f>IF('RFQ-Input'!C28="","",'RFQ-Input'!C28)</f>
        <v/>
      </c>
      <c r="D29" s="7" t="str">
        <f>IF('RFQ-Input'!D28="","",'RFQ-Input'!D28)</f>
        <v/>
      </c>
      <c r="E29" s="7" t="str">
        <f>IF('RFQ-Input'!E28="","",'RFQ-Input'!E28)</f>
        <v/>
      </c>
      <c r="F29" s="7" t="str">
        <f>IF('RFQ-Input'!F28="","",'RFQ-Input'!F28)</f>
        <v/>
      </c>
      <c r="G29" s="7" t="str">
        <f>IF('RFQ-Input'!G28="","",'RFQ-Input'!G28)</f>
        <v/>
      </c>
      <c r="H29" s="7" t="str">
        <f>IF('RFQ-Input'!H28="","",'RFQ-Input'!H28)</f>
        <v/>
      </c>
      <c r="I29" s="7" t="str">
        <f>IF('RFQ-Input'!I28="","",'RFQ-Input'!I28)</f>
        <v/>
      </c>
      <c r="J29" s="7" t="str">
        <f>IF('RFQ-Input'!J28="","",'RFQ-Input'!J28)</f>
        <v/>
      </c>
      <c r="K29" s="7" t="str">
        <f>IF('RFQ-Input'!K28="","",'RFQ-Input'!K28)</f>
        <v/>
      </c>
      <c r="L29" s="7" t="str">
        <f>IF('RFQ-Input'!L28="","",'RFQ-Input'!L28)</f>
        <v/>
      </c>
      <c r="M29" s="7" t="str">
        <f>IF('RFQ-Input'!M28="","",'RFQ-Input'!M28)</f>
        <v/>
      </c>
      <c r="N29" s="7" t="str">
        <f>IF('RFQ-Input'!N28="","",'RFQ-Input'!N28)</f>
        <v/>
      </c>
      <c r="O29" s="7" t="str">
        <f>IF('RFQ-Input'!O28="","",'RFQ-Input'!O28)</f>
        <v/>
      </c>
      <c r="Q29" s="7"/>
      <c r="R29" s="7"/>
      <c r="S29" s="7"/>
      <c r="T29" s="7"/>
      <c r="U29" s="7"/>
      <c r="V29" s="7"/>
      <c r="X29" s="7"/>
      <c r="Y29" s="7"/>
      <c r="Z29" s="7"/>
      <c r="AA29" s="7" t="str">
        <f t="shared" si="0"/>
        <v/>
      </c>
      <c r="AB29" s="7"/>
      <c r="AC29" s="7"/>
      <c r="AQ29" s="7" t="str">
        <f t="shared" si="1"/>
        <v/>
      </c>
      <c r="AR29" s="7" t="str">
        <f t="shared" si="2"/>
        <v/>
      </c>
      <c r="AS29" s="7" t="str">
        <f t="shared" si="3"/>
        <v/>
      </c>
      <c r="AT29" s="7" t="str">
        <f t="shared" si="4"/>
        <v/>
      </c>
      <c r="AU29" s="7" t="str">
        <f t="shared" si="5"/>
        <v/>
      </c>
      <c r="AV29" s="7" t="str">
        <f t="shared" si="6"/>
        <v/>
      </c>
      <c r="AW29" s="7" t="str">
        <f>IF('RFQ-Input'!O28="","",'RFQ-Input'!O28)</f>
        <v/>
      </c>
      <c r="AX29" s="7" t="str">
        <f>IF('RFQ-Input'!S28="","",'RFQ-Input'!S28)</f>
        <v/>
      </c>
      <c r="AY29" s="7" t="str">
        <f>IF('RFQ-Input'!V28="","",'RFQ-Input'!V28)</f>
        <v/>
      </c>
      <c r="AZ29" s="7" t="str">
        <f>IF('RFQ-Input'!Y28="","",'RFQ-Input'!Y28)</f>
        <v/>
      </c>
      <c r="BA29" s="7" t="str">
        <f>IF('RFQ-Input'!AB28="","",'RFQ-Input'!AB28)</f>
        <v/>
      </c>
    </row>
    <row r="30" spans="1:53">
      <c r="A30" s="20">
        <v>26</v>
      </c>
      <c r="B30" s="7"/>
      <c r="C30" s="7" t="str">
        <f>IF('RFQ-Input'!C29="","",'RFQ-Input'!C29)</f>
        <v/>
      </c>
      <c r="D30" s="7" t="str">
        <f>IF('RFQ-Input'!D29="","",'RFQ-Input'!D29)</f>
        <v/>
      </c>
      <c r="E30" s="7" t="str">
        <f>IF('RFQ-Input'!E29="","",'RFQ-Input'!E29)</f>
        <v/>
      </c>
      <c r="F30" s="7" t="str">
        <f>IF('RFQ-Input'!F29="","",'RFQ-Input'!F29)</f>
        <v/>
      </c>
      <c r="G30" s="7" t="str">
        <f>IF('RFQ-Input'!G29="","",'RFQ-Input'!G29)</f>
        <v/>
      </c>
      <c r="H30" s="7" t="str">
        <f>IF('RFQ-Input'!H29="","",'RFQ-Input'!H29)</f>
        <v/>
      </c>
      <c r="I30" s="7" t="str">
        <f>IF('RFQ-Input'!I29="","",'RFQ-Input'!I29)</f>
        <v/>
      </c>
      <c r="J30" s="7" t="str">
        <f>IF('RFQ-Input'!J29="","",'RFQ-Input'!J29)</f>
        <v/>
      </c>
      <c r="K30" s="7" t="str">
        <f>IF('RFQ-Input'!K29="","",'RFQ-Input'!K29)</f>
        <v/>
      </c>
      <c r="L30" s="7" t="str">
        <f>IF('RFQ-Input'!L29="","",'RFQ-Input'!L29)</f>
        <v/>
      </c>
      <c r="M30" s="7" t="str">
        <f>IF('RFQ-Input'!M29="","",'RFQ-Input'!M29)</f>
        <v/>
      </c>
      <c r="N30" s="7" t="str">
        <f>IF('RFQ-Input'!N29="","",'RFQ-Input'!N29)</f>
        <v/>
      </c>
      <c r="O30" s="7" t="str">
        <f>IF('RFQ-Input'!O29="","",'RFQ-Input'!O29)</f>
        <v/>
      </c>
      <c r="Q30" s="7"/>
      <c r="R30" s="7"/>
      <c r="S30" s="7"/>
      <c r="T30" s="7"/>
      <c r="U30" s="7"/>
      <c r="V30" s="7"/>
      <c r="X30" s="7"/>
      <c r="Y30" s="7"/>
      <c r="Z30" s="7"/>
      <c r="AA30" s="7" t="str">
        <f t="shared" si="0"/>
        <v/>
      </c>
      <c r="AB30" s="7"/>
      <c r="AC30" s="7"/>
      <c r="AQ30" s="7" t="str">
        <f t="shared" si="1"/>
        <v/>
      </c>
      <c r="AR30" s="7" t="str">
        <f t="shared" si="2"/>
        <v/>
      </c>
      <c r="AS30" s="7" t="str">
        <f t="shared" si="3"/>
        <v/>
      </c>
      <c r="AT30" s="7" t="str">
        <f t="shared" si="4"/>
        <v/>
      </c>
      <c r="AU30" s="7" t="str">
        <f t="shared" si="5"/>
        <v/>
      </c>
      <c r="AV30" s="7" t="str">
        <f t="shared" si="6"/>
        <v/>
      </c>
      <c r="AW30" s="7" t="str">
        <f>IF('RFQ-Input'!O29="","",'RFQ-Input'!O29)</f>
        <v/>
      </c>
      <c r="AX30" s="7" t="str">
        <f>IF('RFQ-Input'!S29="","",'RFQ-Input'!S29)</f>
        <v/>
      </c>
      <c r="AY30" s="7" t="str">
        <f>IF('RFQ-Input'!V29="","",'RFQ-Input'!V29)</f>
        <v/>
      </c>
      <c r="AZ30" s="7" t="str">
        <f>IF('RFQ-Input'!Y29="","",'RFQ-Input'!Y29)</f>
        <v/>
      </c>
      <c r="BA30" s="7" t="str">
        <f>IF('RFQ-Input'!AB29="","",'RFQ-Input'!AB29)</f>
        <v/>
      </c>
    </row>
    <row r="31" spans="1:53">
      <c r="A31" s="20">
        <v>27</v>
      </c>
      <c r="B31" s="7"/>
      <c r="C31" s="7" t="str">
        <f>IF('RFQ-Input'!C30="","",'RFQ-Input'!C30)</f>
        <v/>
      </c>
      <c r="D31" s="7" t="str">
        <f>IF('RFQ-Input'!D30="","",'RFQ-Input'!D30)</f>
        <v/>
      </c>
      <c r="E31" s="7" t="str">
        <f>IF('RFQ-Input'!E30="","",'RFQ-Input'!E30)</f>
        <v/>
      </c>
      <c r="F31" s="7" t="str">
        <f>IF('RFQ-Input'!F30="","",'RFQ-Input'!F30)</f>
        <v/>
      </c>
      <c r="G31" s="7" t="str">
        <f>IF('RFQ-Input'!G30="","",'RFQ-Input'!G30)</f>
        <v/>
      </c>
      <c r="H31" s="7" t="str">
        <f>IF('RFQ-Input'!H30="","",'RFQ-Input'!H30)</f>
        <v/>
      </c>
      <c r="I31" s="7" t="str">
        <f>IF('RFQ-Input'!I30="","",'RFQ-Input'!I30)</f>
        <v/>
      </c>
      <c r="J31" s="7" t="str">
        <f>IF('RFQ-Input'!J30="","",'RFQ-Input'!J30)</f>
        <v/>
      </c>
      <c r="K31" s="7" t="str">
        <f>IF('RFQ-Input'!K30="","",'RFQ-Input'!K30)</f>
        <v/>
      </c>
      <c r="L31" s="7" t="str">
        <f>IF('RFQ-Input'!L30="","",'RFQ-Input'!L30)</f>
        <v/>
      </c>
      <c r="M31" s="7" t="str">
        <f>IF('RFQ-Input'!M30="","",'RFQ-Input'!M30)</f>
        <v/>
      </c>
      <c r="N31" s="7" t="str">
        <f>IF('RFQ-Input'!N30="","",'RFQ-Input'!N30)</f>
        <v/>
      </c>
      <c r="O31" s="7" t="str">
        <f>IF('RFQ-Input'!O30="","",'RFQ-Input'!O30)</f>
        <v/>
      </c>
      <c r="Q31" s="7"/>
      <c r="R31" s="7"/>
      <c r="S31" s="7"/>
      <c r="T31" s="7"/>
      <c r="U31" s="7"/>
      <c r="V31" s="7"/>
      <c r="X31" s="7"/>
      <c r="Y31" s="7"/>
      <c r="Z31" s="7"/>
      <c r="AA31" s="7" t="str">
        <f t="shared" si="0"/>
        <v/>
      </c>
      <c r="AB31" s="7"/>
      <c r="AC31" s="7"/>
      <c r="AQ31" s="7" t="str">
        <f t="shared" si="1"/>
        <v/>
      </c>
      <c r="AR31" s="7" t="str">
        <f t="shared" si="2"/>
        <v/>
      </c>
      <c r="AS31" s="7" t="str">
        <f t="shared" si="3"/>
        <v/>
      </c>
      <c r="AT31" s="7" t="str">
        <f t="shared" si="4"/>
        <v/>
      </c>
      <c r="AU31" s="7" t="str">
        <f t="shared" si="5"/>
        <v/>
      </c>
      <c r="AV31" s="7" t="str">
        <f t="shared" si="6"/>
        <v/>
      </c>
      <c r="AW31" s="7" t="str">
        <f>IF('RFQ-Input'!O30="","",'RFQ-Input'!O30)</f>
        <v/>
      </c>
      <c r="AX31" s="7" t="str">
        <f>IF('RFQ-Input'!S30="","",'RFQ-Input'!S30)</f>
        <v/>
      </c>
      <c r="AY31" s="7" t="str">
        <f>IF('RFQ-Input'!V30="","",'RFQ-Input'!V30)</f>
        <v/>
      </c>
      <c r="AZ31" s="7" t="str">
        <f>IF('RFQ-Input'!Y30="","",'RFQ-Input'!Y30)</f>
        <v/>
      </c>
      <c r="BA31" s="7" t="str">
        <f>IF('RFQ-Input'!AB30="","",'RFQ-Input'!AB30)</f>
        <v/>
      </c>
    </row>
    <row r="32" spans="1:53">
      <c r="A32" s="20">
        <v>28</v>
      </c>
      <c r="B32" s="7"/>
      <c r="C32" s="7" t="str">
        <f>IF('RFQ-Input'!C31="","",'RFQ-Input'!C31)</f>
        <v/>
      </c>
      <c r="D32" s="7" t="str">
        <f>IF('RFQ-Input'!D31="","",'RFQ-Input'!D31)</f>
        <v/>
      </c>
      <c r="E32" s="7" t="str">
        <f>IF('RFQ-Input'!E31="","",'RFQ-Input'!E31)</f>
        <v/>
      </c>
      <c r="F32" s="7" t="str">
        <f>IF('RFQ-Input'!F31="","",'RFQ-Input'!F31)</f>
        <v/>
      </c>
      <c r="G32" s="7" t="str">
        <f>IF('RFQ-Input'!G31="","",'RFQ-Input'!G31)</f>
        <v/>
      </c>
      <c r="H32" s="7" t="str">
        <f>IF('RFQ-Input'!H31="","",'RFQ-Input'!H31)</f>
        <v/>
      </c>
      <c r="I32" s="7" t="str">
        <f>IF('RFQ-Input'!I31="","",'RFQ-Input'!I31)</f>
        <v/>
      </c>
      <c r="J32" s="7" t="str">
        <f>IF('RFQ-Input'!J31="","",'RFQ-Input'!J31)</f>
        <v/>
      </c>
      <c r="K32" s="7" t="str">
        <f>IF('RFQ-Input'!K31="","",'RFQ-Input'!K31)</f>
        <v/>
      </c>
      <c r="L32" s="7" t="str">
        <f>IF('RFQ-Input'!L31="","",'RFQ-Input'!L31)</f>
        <v/>
      </c>
      <c r="M32" s="7" t="str">
        <f>IF('RFQ-Input'!M31="","",'RFQ-Input'!M31)</f>
        <v/>
      </c>
      <c r="N32" s="7" t="str">
        <f>IF('RFQ-Input'!N31="","",'RFQ-Input'!N31)</f>
        <v/>
      </c>
      <c r="O32" s="7" t="str">
        <f>IF('RFQ-Input'!O31="","",'RFQ-Input'!O31)</f>
        <v/>
      </c>
      <c r="Q32" s="7"/>
      <c r="R32" s="7"/>
      <c r="S32" s="7"/>
      <c r="T32" s="7"/>
      <c r="U32" s="7"/>
      <c r="V32" s="7"/>
      <c r="X32" s="7"/>
      <c r="Y32" s="7"/>
      <c r="Z32" s="7"/>
      <c r="AA32" s="7" t="str">
        <f t="shared" si="0"/>
        <v/>
      </c>
      <c r="AB32" s="7"/>
      <c r="AC32" s="7"/>
      <c r="AQ32" s="7" t="str">
        <f t="shared" si="1"/>
        <v/>
      </c>
      <c r="AR32" s="7" t="str">
        <f t="shared" si="2"/>
        <v/>
      </c>
      <c r="AS32" s="7" t="str">
        <f t="shared" si="3"/>
        <v/>
      </c>
      <c r="AT32" s="7" t="str">
        <f t="shared" si="4"/>
        <v/>
      </c>
      <c r="AU32" s="7" t="str">
        <f t="shared" si="5"/>
        <v/>
      </c>
      <c r="AV32" s="7" t="str">
        <f t="shared" si="6"/>
        <v/>
      </c>
      <c r="AW32" s="7" t="str">
        <f>IF('RFQ-Input'!O31="","",'RFQ-Input'!O31)</f>
        <v/>
      </c>
      <c r="AX32" s="7" t="str">
        <f>IF('RFQ-Input'!S31="","",'RFQ-Input'!S31)</f>
        <v/>
      </c>
      <c r="AY32" s="7" t="str">
        <f>IF('RFQ-Input'!V31="","",'RFQ-Input'!V31)</f>
        <v/>
      </c>
      <c r="AZ32" s="7" t="str">
        <f>IF('RFQ-Input'!Y31="","",'RFQ-Input'!Y31)</f>
        <v/>
      </c>
      <c r="BA32" s="7" t="str">
        <f>IF('RFQ-Input'!AB31="","",'RFQ-Input'!AB31)</f>
        <v/>
      </c>
    </row>
    <row r="33" spans="1:53">
      <c r="A33" s="20">
        <v>29</v>
      </c>
      <c r="B33" s="7"/>
      <c r="C33" s="7" t="str">
        <f>IF('RFQ-Input'!C32="","",'RFQ-Input'!C32)</f>
        <v/>
      </c>
      <c r="D33" s="7" t="str">
        <f>IF('RFQ-Input'!D32="","",'RFQ-Input'!D32)</f>
        <v/>
      </c>
      <c r="E33" s="7" t="str">
        <f>IF('RFQ-Input'!E32="","",'RFQ-Input'!E32)</f>
        <v/>
      </c>
      <c r="F33" s="7" t="str">
        <f>IF('RFQ-Input'!F32="","",'RFQ-Input'!F32)</f>
        <v/>
      </c>
      <c r="G33" s="7" t="str">
        <f>IF('RFQ-Input'!G32="","",'RFQ-Input'!G32)</f>
        <v/>
      </c>
      <c r="H33" s="7" t="str">
        <f>IF('RFQ-Input'!H32="","",'RFQ-Input'!H32)</f>
        <v/>
      </c>
      <c r="I33" s="7" t="str">
        <f>IF('RFQ-Input'!I32="","",'RFQ-Input'!I32)</f>
        <v/>
      </c>
      <c r="J33" s="7" t="str">
        <f>IF('RFQ-Input'!J32="","",'RFQ-Input'!J32)</f>
        <v/>
      </c>
      <c r="K33" s="7" t="str">
        <f>IF('RFQ-Input'!K32="","",'RFQ-Input'!K32)</f>
        <v/>
      </c>
      <c r="L33" s="7" t="str">
        <f>IF('RFQ-Input'!L32="","",'RFQ-Input'!L32)</f>
        <v/>
      </c>
      <c r="M33" s="7" t="str">
        <f>IF('RFQ-Input'!M32="","",'RFQ-Input'!M32)</f>
        <v/>
      </c>
      <c r="N33" s="7" t="str">
        <f>IF('RFQ-Input'!N32="","",'RFQ-Input'!N32)</f>
        <v/>
      </c>
      <c r="O33" s="7" t="str">
        <f>IF('RFQ-Input'!O32="","",'RFQ-Input'!O32)</f>
        <v/>
      </c>
      <c r="Q33" s="7"/>
      <c r="R33" s="7"/>
      <c r="S33" s="7"/>
      <c r="T33" s="7"/>
      <c r="U33" s="7"/>
      <c r="V33" s="7"/>
      <c r="X33" s="7"/>
      <c r="Y33" s="7"/>
      <c r="Z33" s="7"/>
      <c r="AA33" s="7" t="str">
        <f t="shared" si="0"/>
        <v/>
      </c>
      <c r="AB33" s="7"/>
      <c r="AC33" s="7"/>
      <c r="AQ33" s="7" t="str">
        <f t="shared" si="1"/>
        <v/>
      </c>
      <c r="AR33" s="7" t="str">
        <f t="shared" si="2"/>
        <v/>
      </c>
      <c r="AS33" s="7" t="str">
        <f t="shared" si="3"/>
        <v/>
      </c>
      <c r="AT33" s="7" t="str">
        <f t="shared" si="4"/>
        <v/>
      </c>
      <c r="AU33" s="7" t="str">
        <f t="shared" si="5"/>
        <v/>
      </c>
      <c r="AV33" s="7" t="str">
        <f t="shared" si="6"/>
        <v/>
      </c>
      <c r="AW33" s="7" t="str">
        <f>IF('RFQ-Input'!O32="","",'RFQ-Input'!O32)</f>
        <v/>
      </c>
      <c r="AX33" s="7" t="str">
        <f>IF('RFQ-Input'!S32="","",'RFQ-Input'!S32)</f>
        <v/>
      </c>
      <c r="AY33" s="7" t="str">
        <f>IF('RFQ-Input'!V32="","",'RFQ-Input'!V32)</f>
        <v/>
      </c>
      <c r="AZ33" s="7" t="str">
        <f>IF('RFQ-Input'!Y32="","",'RFQ-Input'!Y32)</f>
        <v/>
      </c>
      <c r="BA33" s="7" t="str">
        <f>IF('RFQ-Input'!AB32="","",'RFQ-Input'!AB32)</f>
        <v/>
      </c>
    </row>
    <row r="34" spans="1:53">
      <c r="A34" s="20">
        <v>30</v>
      </c>
      <c r="B34" s="7"/>
      <c r="C34" s="7" t="str">
        <f>IF('RFQ-Input'!C33="","",'RFQ-Input'!C33)</f>
        <v/>
      </c>
      <c r="D34" s="7" t="str">
        <f>IF('RFQ-Input'!D33="","",'RFQ-Input'!D33)</f>
        <v/>
      </c>
      <c r="E34" s="7" t="str">
        <f>IF('RFQ-Input'!E33="","",'RFQ-Input'!E33)</f>
        <v/>
      </c>
      <c r="F34" s="7" t="str">
        <f>IF('RFQ-Input'!F33="","",'RFQ-Input'!F33)</f>
        <v/>
      </c>
      <c r="G34" s="7" t="str">
        <f>IF('RFQ-Input'!G33="","",'RFQ-Input'!G33)</f>
        <v/>
      </c>
      <c r="H34" s="7" t="str">
        <f>IF('RFQ-Input'!H33="","",'RFQ-Input'!H33)</f>
        <v/>
      </c>
      <c r="I34" s="7" t="str">
        <f>IF('RFQ-Input'!I33="","",'RFQ-Input'!I33)</f>
        <v/>
      </c>
      <c r="J34" s="7" t="str">
        <f>IF('RFQ-Input'!J33="","",'RFQ-Input'!J33)</f>
        <v/>
      </c>
      <c r="K34" s="7" t="str">
        <f>IF('RFQ-Input'!K33="","",'RFQ-Input'!K33)</f>
        <v/>
      </c>
      <c r="L34" s="7" t="str">
        <f>IF('RFQ-Input'!L33="","",'RFQ-Input'!L33)</f>
        <v/>
      </c>
      <c r="M34" s="7" t="str">
        <f>IF('RFQ-Input'!M33="","",'RFQ-Input'!M33)</f>
        <v/>
      </c>
      <c r="N34" s="7" t="str">
        <f>IF('RFQ-Input'!N33="","",'RFQ-Input'!N33)</f>
        <v/>
      </c>
      <c r="O34" s="7" t="str">
        <f>IF('RFQ-Input'!O33="","",'RFQ-Input'!O33)</f>
        <v/>
      </c>
      <c r="Q34" s="7"/>
      <c r="R34" s="7"/>
      <c r="S34" s="7"/>
      <c r="T34" s="7"/>
      <c r="U34" s="7"/>
      <c r="V34" s="7"/>
      <c r="X34" s="7"/>
      <c r="Y34" s="7"/>
      <c r="Z34" s="7"/>
      <c r="AA34" s="7" t="str">
        <f t="shared" si="0"/>
        <v/>
      </c>
      <c r="AB34" s="7"/>
      <c r="AC34" s="7"/>
      <c r="AQ34" s="7" t="str">
        <f t="shared" si="1"/>
        <v/>
      </c>
      <c r="AR34" s="7" t="str">
        <f t="shared" si="2"/>
        <v/>
      </c>
      <c r="AS34" s="7" t="str">
        <f t="shared" si="3"/>
        <v/>
      </c>
      <c r="AT34" s="7" t="str">
        <f t="shared" si="4"/>
        <v/>
      </c>
      <c r="AU34" s="7" t="str">
        <f t="shared" si="5"/>
        <v/>
      </c>
      <c r="AV34" s="7" t="str">
        <f t="shared" si="6"/>
        <v/>
      </c>
      <c r="AW34" s="7" t="str">
        <f>IF('RFQ-Input'!O33="","",'RFQ-Input'!O33)</f>
        <v/>
      </c>
      <c r="AX34" s="7" t="str">
        <f>IF('RFQ-Input'!S33="","",'RFQ-Input'!S33)</f>
        <v/>
      </c>
      <c r="AY34" s="7" t="str">
        <f>IF('RFQ-Input'!V33="","",'RFQ-Input'!V33)</f>
        <v/>
      </c>
      <c r="AZ34" s="7" t="str">
        <f>IF('RFQ-Input'!Y33="","",'RFQ-Input'!Y33)</f>
        <v/>
      </c>
      <c r="BA34" s="7" t="str">
        <f>IF('RFQ-Input'!AB33="","",'RFQ-Input'!AB33)</f>
        <v/>
      </c>
    </row>
    <row r="35" spans="1:53">
      <c r="A35" s="20">
        <v>31</v>
      </c>
      <c r="B35" s="7"/>
      <c r="C35" s="7" t="str">
        <f>IF('RFQ-Input'!C34="","",'RFQ-Input'!C34)</f>
        <v/>
      </c>
      <c r="D35" s="7" t="str">
        <f>IF('RFQ-Input'!D34="","",'RFQ-Input'!D34)</f>
        <v/>
      </c>
      <c r="E35" s="7" t="str">
        <f>IF('RFQ-Input'!E34="","",'RFQ-Input'!E34)</f>
        <v/>
      </c>
      <c r="F35" s="7" t="str">
        <f>IF('RFQ-Input'!F34="","",'RFQ-Input'!F34)</f>
        <v/>
      </c>
      <c r="G35" s="7" t="str">
        <f>IF('RFQ-Input'!G34="","",'RFQ-Input'!G34)</f>
        <v/>
      </c>
      <c r="H35" s="7" t="str">
        <f>IF('RFQ-Input'!H34="","",'RFQ-Input'!H34)</f>
        <v/>
      </c>
      <c r="I35" s="7" t="str">
        <f>IF('RFQ-Input'!I34="","",'RFQ-Input'!I34)</f>
        <v/>
      </c>
      <c r="J35" s="7" t="str">
        <f>IF('RFQ-Input'!J34="","",'RFQ-Input'!J34)</f>
        <v/>
      </c>
      <c r="K35" s="7" t="str">
        <f>IF('RFQ-Input'!K34="","",'RFQ-Input'!K34)</f>
        <v/>
      </c>
      <c r="L35" s="7" t="str">
        <f>IF('RFQ-Input'!L34="","",'RFQ-Input'!L34)</f>
        <v/>
      </c>
      <c r="M35" s="7" t="str">
        <f>IF('RFQ-Input'!M34="","",'RFQ-Input'!M34)</f>
        <v/>
      </c>
      <c r="N35" s="7" t="str">
        <f>IF('RFQ-Input'!N34="","",'RFQ-Input'!N34)</f>
        <v/>
      </c>
      <c r="O35" s="7" t="str">
        <f>IF('RFQ-Input'!O34="","",'RFQ-Input'!O34)</f>
        <v/>
      </c>
      <c r="Q35" s="7"/>
      <c r="R35" s="7"/>
      <c r="S35" s="7"/>
      <c r="T35" s="7"/>
      <c r="U35" s="7"/>
      <c r="V35" s="7"/>
      <c r="X35" s="7"/>
      <c r="Y35" s="7"/>
      <c r="Z35" s="7"/>
      <c r="AA35" s="7" t="str">
        <f t="shared" si="0"/>
        <v/>
      </c>
      <c r="AB35" s="7"/>
      <c r="AC35" s="7"/>
      <c r="AQ35" s="7" t="str">
        <f t="shared" si="1"/>
        <v/>
      </c>
      <c r="AR35" s="7" t="str">
        <f t="shared" si="2"/>
        <v/>
      </c>
      <c r="AS35" s="7" t="str">
        <f t="shared" si="3"/>
        <v/>
      </c>
      <c r="AT35" s="7" t="str">
        <f t="shared" si="4"/>
        <v/>
      </c>
      <c r="AU35" s="7" t="str">
        <f t="shared" si="5"/>
        <v/>
      </c>
      <c r="AV35" s="7" t="str">
        <f t="shared" si="6"/>
        <v/>
      </c>
      <c r="AW35" s="7" t="str">
        <f>IF('RFQ-Input'!O34="","",'RFQ-Input'!O34)</f>
        <v/>
      </c>
      <c r="AX35" s="7" t="str">
        <f>IF('RFQ-Input'!S34="","",'RFQ-Input'!S34)</f>
        <v/>
      </c>
      <c r="AY35" s="7" t="str">
        <f>IF('RFQ-Input'!V34="","",'RFQ-Input'!V34)</f>
        <v/>
      </c>
      <c r="AZ35" s="7" t="str">
        <f>IF('RFQ-Input'!Y34="","",'RFQ-Input'!Y34)</f>
        <v/>
      </c>
      <c r="BA35" s="7" t="str">
        <f>IF('RFQ-Input'!AB34="","",'RFQ-Input'!AB34)</f>
        <v/>
      </c>
    </row>
    <row r="36" spans="1:53">
      <c r="A36" s="20">
        <v>32</v>
      </c>
      <c r="B36" s="7"/>
      <c r="C36" s="7" t="str">
        <f>IF('RFQ-Input'!C35="","",'RFQ-Input'!C35)</f>
        <v/>
      </c>
      <c r="D36" s="7" t="str">
        <f>IF('RFQ-Input'!D35="","",'RFQ-Input'!D35)</f>
        <v/>
      </c>
      <c r="E36" s="7" t="str">
        <f>IF('RFQ-Input'!E35="","",'RFQ-Input'!E35)</f>
        <v/>
      </c>
      <c r="F36" s="7" t="str">
        <f>IF('RFQ-Input'!F35="","",'RFQ-Input'!F35)</f>
        <v/>
      </c>
      <c r="G36" s="7" t="str">
        <f>IF('RFQ-Input'!G35="","",'RFQ-Input'!G35)</f>
        <v/>
      </c>
      <c r="H36" s="7" t="str">
        <f>IF('RFQ-Input'!H35="","",'RFQ-Input'!H35)</f>
        <v/>
      </c>
      <c r="I36" s="7" t="str">
        <f>IF('RFQ-Input'!I35="","",'RFQ-Input'!I35)</f>
        <v/>
      </c>
      <c r="J36" s="7" t="str">
        <f>IF('RFQ-Input'!J35="","",'RFQ-Input'!J35)</f>
        <v/>
      </c>
      <c r="K36" s="7" t="str">
        <f>IF('RFQ-Input'!K35="","",'RFQ-Input'!K35)</f>
        <v/>
      </c>
      <c r="L36" s="7" t="str">
        <f>IF('RFQ-Input'!L35="","",'RFQ-Input'!L35)</f>
        <v/>
      </c>
      <c r="M36" s="7" t="str">
        <f>IF('RFQ-Input'!M35="","",'RFQ-Input'!M35)</f>
        <v/>
      </c>
      <c r="N36" s="7" t="str">
        <f>IF('RFQ-Input'!N35="","",'RFQ-Input'!N35)</f>
        <v/>
      </c>
      <c r="O36" s="7" t="str">
        <f>IF('RFQ-Input'!O35="","",'RFQ-Input'!O35)</f>
        <v/>
      </c>
      <c r="Q36" s="7"/>
      <c r="R36" s="7"/>
      <c r="S36" s="7"/>
      <c r="T36" s="7"/>
      <c r="U36" s="7"/>
      <c r="V36" s="7"/>
      <c r="X36" s="7"/>
      <c r="Y36" s="7"/>
      <c r="Z36" s="7"/>
      <c r="AA36" s="7" t="str">
        <f t="shared" si="0"/>
        <v/>
      </c>
      <c r="AB36" s="7"/>
      <c r="AC36" s="7"/>
      <c r="AQ36" s="7" t="str">
        <f t="shared" si="1"/>
        <v/>
      </c>
      <c r="AR36" s="7" t="str">
        <f t="shared" si="2"/>
        <v/>
      </c>
      <c r="AS36" s="7" t="str">
        <f t="shared" si="3"/>
        <v/>
      </c>
      <c r="AT36" s="7" t="str">
        <f t="shared" si="4"/>
        <v/>
      </c>
      <c r="AU36" s="7" t="str">
        <f t="shared" si="5"/>
        <v/>
      </c>
      <c r="AV36" s="7" t="str">
        <f t="shared" si="6"/>
        <v/>
      </c>
      <c r="AW36" s="7" t="str">
        <f>IF('RFQ-Input'!O35="","",'RFQ-Input'!O35)</f>
        <v/>
      </c>
      <c r="AX36" s="7" t="str">
        <f>IF('RFQ-Input'!S35="","",'RFQ-Input'!S35)</f>
        <v/>
      </c>
      <c r="AY36" s="7" t="str">
        <f>IF('RFQ-Input'!V35="","",'RFQ-Input'!V35)</f>
        <v/>
      </c>
      <c r="AZ36" s="7" t="str">
        <f>IF('RFQ-Input'!Y35="","",'RFQ-Input'!Y35)</f>
        <v/>
      </c>
      <c r="BA36" s="7" t="str">
        <f>IF('RFQ-Input'!AB35="","",'RFQ-Input'!AB35)</f>
        <v/>
      </c>
    </row>
    <row r="37" spans="1:53">
      <c r="A37" s="20">
        <v>33</v>
      </c>
      <c r="B37" s="7"/>
      <c r="C37" s="7" t="str">
        <f>IF('RFQ-Input'!C36="","",'RFQ-Input'!C36)</f>
        <v/>
      </c>
      <c r="D37" s="7" t="str">
        <f>IF('RFQ-Input'!D36="","",'RFQ-Input'!D36)</f>
        <v/>
      </c>
      <c r="E37" s="7" t="str">
        <f>IF('RFQ-Input'!E36="","",'RFQ-Input'!E36)</f>
        <v/>
      </c>
      <c r="F37" s="7" t="str">
        <f>IF('RFQ-Input'!F36="","",'RFQ-Input'!F36)</f>
        <v/>
      </c>
      <c r="G37" s="7" t="str">
        <f>IF('RFQ-Input'!G36="","",'RFQ-Input'!G36)</f>
        <v/>
      </c>
      <c r="H37" s="7" t="str">
        <f>IF('RFQ-Input'!H36="","",'RFQ-Input'!H36)</f>
        <v/>
      </c>
      <c r="I37" s="7" t="str">
        <f>IF('RFQ-Input'!I36="","",'RFQ-Input'!I36)</f>
        <v/>
      </c>
      <c r="J37" s="7" t="str">
        <f>IF('RFQ-Input'!J36="","",'RFQ-Input'!J36)</f>
        <v/>
      </c>
      <c r="K37" s="7" t="str">
        <f>IF('RFQ-Input'!K36="","",'RFQ-Input'!K36)</f>
        <v/>
      </c>
      <c r="L37" s="7" t="str">
        <f>IF('RFQ-Input'!L36="","",'RFQ-Input'!L36)</f>
        <v/>
      </c>
      <c r="M37" s="7" t="str">
        <f>IF('RFQ-Input'!M36="","",'RFQ-Input'!M36)</f>
        <v/>
      </c>
      <c r="N37" s="7" t="str">
        <f>IF('RFQ-Input'!N36="","",'RFQ-Input'!N36)</f>
        <v/>
      </c>
      <c r="O37" s="7" t="str">
        <f>IF('RFQ-Input'!O36="","",'RFQ-Input'!O36)</f>
        <v/>
      </c>
      <c r="Q37" s="7"/>
      <c r="R37" s="7"/>
      <c r="S37" s="7"/>
      <c r="T37" s="7"/>
      <c r="U37" s="7"/>
      <c r="V37" s="7"/>
      <c r="X37" s="7"/>
      <c r="Y37" s="7"/>
      <c r="Z37" s="7"/>
      <c r="AA37" s="7" t="str">
        <f t="shared" si="0"/>
        <v/>
      </c>
      <c r="AB37" s="7"/>
      <c r="AC37" s="7"/>
      <c r="AQ37" s="7" t="str">
        <f t="shared" si="1"/>
        <v/>
      </c>
      <c r="AR37" s="7" t="str">
        <f t="shared" si="2"/>
        <v/>
      </c>
      <c r="AS37" s="7" t="str">
        <f t="shared" si="3"/>
        <v/>
      </c>
      <c r="AT37" s="7" t="str">
        <f t="shared" si="4"/>
        <v/>
      </c>
      <c r="AU37" s="7" t="str">
        <f t="shared" si="5"/>
        <v/>
      </c>
      <c r="AV37" s="7" t="str">
        <f t="shared" si="6"/>
        <v/>
      </c>
      <c r="AW37" s="7" t="str">
        <f>IF('RFQ-Input'!O36="","",'RFQ-Input'!O36)</f>
        <v/>
      </c>
      <c r="AX37" s="7" t="str">
        <f>IF('RFQ-Input'!S36="","",'RFQ-Input'!S36)</f>
        <v/>
      </c>
      <c r="AY37" s="7" t="str">
        <f>IF('RFQ-Input'!V36="","",'RFQ-Input'!V36)</f>
        <v/>
      </c>
      <c r="AZ37" s="7" t="str">
        <f>IF('RFQ-Input'!Y36="","",'RFQ-Input'!Y36)</f>
        <v/>
      </c>
      <c r="BA37" s="7" t="str">
        <f>IF('RFQ-Input'!AB36="","",'RFQ-Input'!AB36)</f>
        <v/>
      </c>
    </row>
    <row r="38" spans="1:53">
      <c r="A38" s="20">
        <v>34</v>
      </c>
      <c r="B38" s="7"/>
      <c r="C38" s="7" t="str">
        <f>IF('RFQ-Input'!C37="","",'RFQ-Input'!C37)</f>
        <v/>
      </c>
      <c r="D38" s="7" t="str">
        <f>IF('RFQ-Input'!D37="","",'RFQ-Input'!D37)</f>
        <v/>
      </c>
      <c r="E38" s="7" t="str">
        <f>IF('RFQ-Input'!E37="","",'RFQ-Input'!E37)</f>
        <v/>
      </c>
      <c r="F38" s="7" t="str">
        <f>IF('RFQ-Input'!F37="","",'RFQ-Input'!F37)</f>
        <v/>
      </c>
      <c r="G38" s="7" t="str">
        <f>IF('RFQ-Input'!G37="","",'RFQ-Input'!G37)</f>
        <v/>
      </c>
      <c r="H38" s="7" t="str">
        <f>IF('RFQ-Input'!H37="","",'RFQ-Input'!H37)</f>
        <v/>
      </c>
      <c r="I38" s="7" t="str">
        <f>IF('RFQ-Input'!I37="","",'RFQ-Input'!I37)</f>
        <v/>
      </c>
      <c r="J38" s="7" t="str">
        <f>IF('RFQ-Input'!J37="","",'RFQ-Input'!J37)</f>
        <v/>
      </c>
      <c r="K38" s="7" t="str">
        <f>IF('RFQ-Input'!K37="","",'RFQ-Input'!K37)</f>
        <v/>
      </c>
      <c r="L38" s="7" t="str">
        <f>IF('RFQ-Input'!L37="","",'RFQ-Input'!L37)</f>
        <v/>
      </c>
      <c r="M38" s="7" t="str">
        <f>IF('RFQ-Input'!M37="","",'RFQ-Input'!M37)</f>
        <v/>
      </c>
      <c r="N38" s="7" t="str">
        <f>IF('RFQ-Input'!N37="","",'RFQ-Input'!N37)</f>
        <v/>
      </c>
      <c r="O38" s="7" t="str">
        <f>IF('RFQ-Input'!O37="","",'RFQ-Input'!O37)</f>
        <v/>
      </c>
      <c r="Q38" s="7"/>
      <c r="R38" s="7"/>
      <c r="S38" s="7"/>
      <c r="T38" s="7"/>
      <c r="U38" s="7"/>
      <c r="V38" s="7"/>
      <c r="X38" s="7"/>
      <c r="Y38" s="7"/>
      <c r="Z38" s="7"/>
      <c r="AA38" s="7" t="str">
        <f t="shared" si="0"/>
        <v/>
      </c>
      <c r="AB38" s="7"/>
      <c r="AC38" s="7"/>
      <c r="AQ38" s="7" t="str">
        <f t="shared" si="1"/>
        <v/>
      </c>
      <c r="AR38" s="7" t="str">
        <f t="shared" si="2"/>
        <v/>
      </c>
      <c r="AS38" s="7" t="str">
        <f t="shared" si="3"/>
        <v/>
      </c>
      <c r="AT38" s="7" t="str">
        <f t="shared" si="4"/>
        <v/>
      </c>
      <c r="AU38" s="7" t="str">
        <f t="shared" si="5"/>
        <v/>
      </c>
      <c r="AV38" s="7" t="str">
        <f t="shared" si="6"/>
        <v/>
      </c>
      <c r="AW38" s="7" t="str">
        <f>IF('RFQ-Input'!O37="","",'RFQ-Input'!O37)</f>
        <v/>
      </c>
      <c r="AX38" s="7" t="str">
        <f>IF('RFQ-Input'!S37="","",'RFQ-Input'!S37)</f>
        <v/>
      </c>
      <c r="AY38" s="7" t="str">
        <f>IF('RFQ-Input'!V37="","",'RFQ-Input'!V37)</f>
        <v/>
      </c>
      <c r="AZ38" s="7" t="str">
        <f>IF('RFQ-Input'!Y37="","",'RFQ-Input'!Y37)</f>
        <v/>
      </c>
      <c r="BA38" s="7" t="str">
        <f>IF('RFQ-Input'!AB37="","",'RFQ-Input'!AB37)</f>
        <v/>
      </c>
    </row>
    <row r="39" spans="1:53">
      <c r="A39" s="20">
        <v>35</v>
      </c>
      <c r="B39" s="7"/>
      <c r="C39" s="7" t="str">
        <f>IF('RFQ-Input'!C38="","",'RFQ-Input'!C38)</f>
        <v/>
      </c>
      <c r="D39" s="7" t="str">
        <f>IF('RFQ-Input'!D38="","",'RFQ-Input'!D38)</f>
        <v/>
      </c>
      <c r="E39" s="7" t="str">
        <f>IF('RFQ-Input'!E38="","",'RFQ-Input'!E38)</f>
        <v/>
      </c>
      <c r="F39" s="7" t="str">
        <f>IF('RFQ-Input'!F38="","",'RFQ-Input'!F38)</f>
        <v/>
      </c>
      <c r="G39" s="7" t="str">
        <f>IF('RFQ-Input'!G38="","",'RFQ-Input'!G38)</f>
        <v/>
      </c>
      <c r="H39" s="7" t="str">
        <f>IF('RFQ-Input'!H38="","",'RFQ-Input'!H38)</f>
        <v/>
      </c>
      <c r="I39" s="7" t="str">
        <f>IF('RFQ-Input'!I38="","",'RFQ-Input'!I38)</f>
        <v/>
      </c>
      <c r="J39" s="7" t="str">
        <f>IF('RFQ-Input'!J38="","",'RFQ-Input'!J38)</f>
        <v/>
      </c>
      <c r="K39" s="7" t="str">
        <f>IF('RFQ-Input'!K38="","",'RFQ-Input'!K38)</f>
        <v/>
      </c>
      <c r="L39" s="7" t="str">
        <f>IF('RFQ-Input'!L38="","",'RFQ-Input'!L38)</f>
        <v/>
      </c>
      <c r="M39" s="7" t="str">
        <f>IF('RFQ-Input'!M38="","",'RFQ-Input'!M38)</f>
        <v/>
      </c>
      <c r="N39" s="7" t="str">
        <f>IF('RFQ-Input'!N38="","",'RFQ-Input'!N38)</f>
        <v/>
      </c>
      <c r="O39" s="7" t="str">
        <f>IF('RFQ-Input'!O38="","",'RFQ-Input'!O38)</f>
        <v/>
      </c>
      <c r="Q39" s="7"/>
      <c r="R39" s="7"/>
      <c r="S39" s="7"/>
      <c r="T39" s="7"/>
      <c r="U39" s="7"/>
      <c r="V39" s="7"/>
      <c r="X39" s="7"/>
      <c r="Y39" s="7"/>
      <c r="Z39" s="7"/>
      <c r="AA39" s="7" t="str">
        <f t="shared" si="0"/>
        <v/>
      </c>
      <c r="AB39" s="7"/>
      <c r="AC39" s="7"/>
      <c r="AQ39" s="7" t="str">
        <f t="shared" si="1"/>
        <v/>
      </c>
      <c r="AR39" s="7" t="str">
        <f t="shared" si="2"/>
        <v/>
      </c>
      <c r="AS39" s="7" t="str">
        <f t="shared" si="3"/>
        <v/>
      </c>
      <c r="AT39" s="7" t="str">
        <f t="shared" si="4"/>
        <v/>
      </c>
      <c r="AU39" s="7" t="str">
        <f t="shared" si="5"/>
        <v/>
      </c>
      <c r="AV39" s="7" t="str">
        <f t="shared" si="6"/>
        <v/>
      </c>
      <c r="AW39" s="7" t="str">
        <f>IF('RFQ-Input'!O38="","",'RFQ-Input'!O38)</f>
        <v/>
      </c>
      <c r="AX39" s="7" t="str">
        <f>IF('RFQ-Input'!S38="","",'RFQ-Input'!S38)</f>
        <v/>
      </c>
      <c r="AY39" s="7" t="str">
        <f>IF('RFQ-Input'!V38="","",'RFQ-Input'!V38)</f>
        <v/>
      </c>
      <c r="AZ39" s="7" t="str">
        <f>IF('RFQ-Input'!Y38="","",'RFQ-Input'!Y38)</f>
        <v/>
      </c>
      <c r="BA39" s="7" t="str">
        <f>IF('RFQ-Input'!AB38="","",'RFQ-Input'!AB38)</f>
        <v/>
      </c>
    </row>
    <row r="40" spans="1:53">
      <c r="A40" s="20">
        <v>36</v>
      </c>
      <c r="B40" s="7"/>
      <c r="C40" s="7" t="str">
        <f>IF('RFQ-Input'!C39="","",'RFQ-Input'!C39)</f>
        <v/>
      </c>
      <c r="D40" s="7" t="str">
        <f>IF('RFQ-Input'!D39="","",'RFQ-Input'!D39)</f>
        <v/>
      </c>
      <c r="E40" s="7" t="str">
        <f>IF('RFQ-Input'!E39="","",'RFQ-Input'!E39)</f>
        <v/>
      </c>
      <c r="F40" s="7" t="str">
        <f>IF('RFQ-Input'!F39="","",'RFQ-Input'!F39)</f>
        <v/>
      </c>
      <c r="G40" s="7" t="str">
        <f>IF('RFQ-Input'!G39="","",'RFQ-Input'!G39)</f>
        <v/>
      </c>
      <c r="H40" s="7" t="str">
        <f>IF('RFQ-Input'!H39="","",'RFQ-Input'!H39)</f>
        <v/>
      </c>
      <c r="I40" s="7" t="str">
        <f>IF('RFQ-Input'!I39="","",'RFQ-Input'!I39)</f>
        <v/>
      </c>
      <c r="J40" s="7" t="str">
        <f>IF('RFQ-Input'!J39="","",'RFQ-Input'!J39)</f>
        <v/>
      </c>
      <c r="K40" s="7" t="str">
        <f>IF('RFQ-Input'!K39="","",'RFQ-Input'!K39)</f>
        <v/>
      </c>
      <c r="L40" s="7" t="str">
        <f>IF('RFQ-Input'!L39="","",'RFQ-Input'!L39)</f>
        <v/>
      </c>
      <c r="M40" s="7" t="str">
        <f>IF('RFQ-Input'!M39="","",'RFQ-Input'!M39)</f>
        <v/>
      </c>
      <c r="N40" s="7" t="str">
        <f>IF('RFQ-Input'!N39="","",'RFQ-Input'!N39)</f>
        <v/>
      </c>
      <c r="O40" s="7" t="str">
        <f>IF('RFQ-Input'!O39="","",'RFQ-Input'!O39)</f>
        <v/>
      </c>
      <c r="Q40" s="7"/>
      <c r="R40" s="7"/>
      <c r="S40" s="7"/>
      <c r="T40" s="7"/>
      <c r="U40" s="7"/>
      <c r="V40" s="7"/>
      <c r="X40" s="7"/>
      <c r="Y40" s="7"/>
      <c r="Z40" s="7"/>
      <c r="AA40" s="7" t="str">
        <f t="shared" si="0"/>
        <v/>
      </c>
      <c r="AB40" s="7"/>
      <c r="AC40" s="7"/>
      <c r="AQ40" s="7" t="str">
        <f t="shared" si="1"/>
        <v/>
      </c>
      <c r="AR40" s="7" t="str">
        <f t="shared" si="2"/>
        <v/>
      </c>
      <c r="AS40" s="7" t="str">
        <f t="shared" si="3"/>
        <v/>
      </c>
      <c r="AT40" s="7" t="str">
        <f t="shared" si="4"/>
        <v/>
      </c>
      <c r="AU40" s="7" t="str">
        <f t="shared" si="5"/>
        <v/>
      </c>
      <c r="AV40" s="7" t="str">
        <f t="shared" si="6"/>
        <v/>
      </c>
      <c r="AW40" s="7" t="str">
        <f>IF('RFQ-Input'!O39="","",'RFQ-Input'!O39)</f>
        <v/>
      </c>
      <c r="AX40" s="7" t="str">
        <f>IF('RFQ-Input'!S39="","",'RFQ-Input'!S39)</f>
        <v/>
      </c>
      <c r="AY40" s="7" t="str">
        <f>IF('RFQ-Input'!V39="","",'RFQ-Input'!V39)</f>
        <v/>
      </c>
      <c r="AZ40" s="7" t="str">
        <f>IF('RFQ-Input'!Y39="","",'RFQ-Input'!Y39)</f>
        <v/>
      </c>
      <c r="BA40" s="7" t="str">
        <f>IF('RFQ-Input'!AB39="","",'RFQ-Input'!AB39)</f>
        <v/>
      </c>
    </row>
    <row r="41" spans="1:53">
      <c r="A41" s="20">
        <v>37</v>
      </c>
      <c r="B41" s="7"/>
      <c r="C41" s="7" t="str">
        <f>IF('RFQ-Input'!C40="","",'RFQ-Input'!C40)</f>
        <v/>
      </c>
      <c r="D41" s="7" t="str">
        <f>IF('RFQ-Input'!D40="","",'RFQ-Input'!D40)</f>
        <v/>
      </c>
      <c r="E41" s="7" t="str">
        <f>IF('RFQ-Input'!E40="","",'RFQ-Input'!E40)</f>
        <v/>
      </c>
      <c r="F41" s="7" t="str">
        <f>IF('RFQ-Input'!F40="","",'RFQ-Input'!F40)</f>
        <v/>
      </c>
      <c r="G41" s="7" t="str">
        <f>IF('RFQ-Input'!G40="","",'RFQ-Input'!G40)</f>
        <v/>
      </c>
      <c r="H41" s="7" t="str">
        <f>IF('RFQ-Input'!H40="","",'RFQ-Input'!H40)</f>
        <v/>
      </c>
      <c r="I41" s="7" t="str">
        <f>IF('RFQ-Input'!I40="","",'RFQ-Input'!I40)</f>
        <v/>
      </c>
      <c r="J41" s="7" t="str">
        <f>IF('RFQ-Input'!J40="","",'RFQ-Input'!J40)</f>
        <v/>
      </c>
      <c r="K41" s="7" t="str">
        <f>IF('RFQ-Input'!K40="","",'RFQ-Input'!K40)</f>
        <v/>
      </c>
      <c r="L41" s="7" t="str">
        <f>IF('RFQ-Input'!L40="","",'RFQ-Input'!L40)</f>
        <v/>
      </c>
      <c r="M41" s="7" t="str">
        <f>IF('RFQ-Input'!M40="","",'RFQ-Input'!M40)</f>
        <v/>
      </c>
      <c r="N41" s="7" t="str">
        <f>IF('RFQ-Input'!N40="","",'RFQ-Input'!N40)</f>
        <v/>
      </c>
      <c r="O41" s="7" t="str">
        <f>IF('RFQ-Input'!O40="","",'RFQ-Input'!O40)</f>
        <v/>
      </c>
      <c r="Q41" s="7"/>
      <c r="R41" s="7"/>
      <c r="S41" s="7"/>
      <c r="T41" s="7"/>
      <c r="U41" s="7"/>
      <c r="V41" s="7"/>
      <c r="X41" s="7"/>
      <c r="Y41" s="7"/>
      <c r="Z41" s="7"/>
      <c r="AA41" s="7" t="str">
        <f t="shared" si="0"/>
        <v/>
      </c>
      <c r="AB41" s="7"/>
      <c r="AC41" s="7"/>
      <c r="AQ41" s="7" t="str">
        <f t="shared" si="1"/>
        <v/>
      </c>
      <c r="AR41" s="7" t="str">
        <f t="shared" si="2"/>
        <v/>
      </c>
      <c r="AS41" s="7" t="str">
        <f t="shared" si="3"/>
        <v/>
      </c>
      <c r="AT41" s="7" t="str">
        <f t="shared" si="4"/>
        <v/>
      </c>
      <c r="AU41" s="7" t="str">
        <f t="shared" si="5"/>
        <v/>
      </c>
      <c r="AV41" s="7" t="str">
        <f t="shared" si="6"/>
        <v/>
      </c>
      <c r="AW41" s="7" t="str">
        <f>IF('RFQ-Input'!O40="","",'RFQ-Input'!O40)</f>
        <v/>
      </c>
      <c r="AX41" s="7" t="str">
        <f>IF('RFQ-Input'!S40="","",'RFQ-Input'!S40)</f>
        <v/>
      </c>
      <c r="AY41" s="7" t="str">
        <f>IF('RFQ-Input'!V40="","",'RFQ-Input'!V40)</f>
        <v/>
      </c>
      <c r="AZ41" s="7" t="str">
        <f>IF('RFQ-Input'!Y40="","",'RFQ-Input'!Y40)</f>
        <v/>
      </c>
      <c r="BA41" s="7" t="str">
        <f>IF('RFQ-Input'!AB40="","",'RFQ-Input'!AB40)</f>
        <v/>
      </c>
    </row>
    <row r="42" spans="1:53">
      <c r="A42" s="20">
        <v>38</v>
      </c>
      <c r="B42" s="7"/>
      <c r="C42" s="7" t="str">
        <f>IF('RFQ-Input'!C41="","",'RFQ-Input'!C41)</f>
        <v/>
      </c>
      <c r="D42" s="7" t="str">
        <f>IF('RFQ-Input'!D41="","",'RFQ-Input'!D41)</f>
        <v/>
      </c>
      <c r="E42" s="7" t="str">
        <f>IF('RFQ-Input'!E41="","",'RFQ-Input'!E41)</f>
        <v/>
      </c>
      <c r="F42" s="7" t="str">
        <f>IF('RFQ-Input'!F41="","",'RFQ-Input'!F41)</f>
        <v/>
      </c>
      <c r="G42" s="7" t="str">
        <f>IF('RFQ-Input'!G41="","",'RFQ-Input'!G41)</f>
        <v/>
      </c>
      <c r="H42" s="7" t="str">
        <f>IF('RFQ-Input'!H41="","",'RFQ-Input'!H41)</f>
        <v/>
      </c>
      <c r="I42" s="7" t="str">
        <f>IF('RFQ-Input'!I41="","",'RFQ-Input'!I41)</f>
        <v/>
      </c>
      <c r="J42" s="7" t="str">
        <f>IF('RFQ-Input'!J41="","",'RFQ-Input'!J41)</f>
        <v/>
      </c>
      <c r="K42" s="7" t="str">
        <f>IF('RFQ-Input'!K41="","",'RFQ-Input'!K41)</f>
        <v/>
      </c>
      <c r="L42" s="7" t="str">
        <f>IF('RFQ-Input'!L41="","",'RFQ-Input'!L41)</f>
        <v/>
      </c>
      <c r="M42" s="7" t="str">
        <f>IF('RFQ-Input'!M41="","",'RFQ-Input'!M41)</f>
        <v/>
      </c>
      <c r="N42" s="7" t="str">
        <f>IF('RFQ-Input'!N41="","",'RFQ-Input'!N41)</f>
        <v/>
      </c>
      <c r="O42" s="7" t="str">
        <f>IF('RFQ-Input'!O41="","",'RFQ-Input'!O41)</f>
        <v/>
      </c>
      <c r="Q42" s="7"/>
      <c r="R42" s="7"/>
      <c r="S42" s="7"/>
      <c r="T42" s="7"/>
      <c r="U42" s="7"/>
      <c r="V42" s="7"/>
      <c r="X42" s="7"/>
      <c r="Y42" s="7"/>
      <c r="Z42" s="7"/>
      <c r="AA42" s="7" t="str">
        <f t="shared" si="0"/>
        <v/>
      </c>
      <c r="AB42" s="7"/>
      <c r="AC42" s="7"/>
      <c r="AQ42" s="7" t="str">
        <f t="shared" si="1"/>
        <v/>
      </c>
      <c r="AR42" s="7" t="str">
        <f t="shared" si="2"/>
        <v/>
      </c>
      <c r="AS42" s="7" t="str">
        <f t="shared" si="3"/>
        <v/>
      </c>
      <c r="AT42" s="7" t="str">
        <f t="shared" si="4"/>
        <v/>
      </c>
      <c r="AU42" s="7" t="str">
        <f t="shared" si="5"/>
        <v/>
      </c>
      <c r="AV42" s="7" t="str">
        <f t="shared" si="6"/>
        <v/>
      </c>
      <c r="AW42" s="7" t="str">
        <f>IF('RFQ-Input'!O41="","",'RFQ-Input'!O41)</f>
        <v/>
      </c>
      <c r="AX42" s="7" t="str">
        <f>IF('RFQ-Input'!S41="","",'RFQ-Input'!S41)</f>
        <v/>
      </c>
      <c r="AY42" s="7" t="str">
        <f>IF('RFQ-Input'!V41="","",'RFQ-Input'!V41)</f>
        <v/>
      </c>
      <c r="AZ42" s="7" t="str">
        <f>IF('RFQ-Input'!Y41="","",'RFQ-Input'!Y41)</f>
        <v/>
      </c>
      <c r="BA42" s="7" t="str">
        <f>IF('RFQ-Input'!AB41="","",'RFQ-Input'!AB41)</f>
        <v/>
      </c>
    </row>
    <row r="43" spans="1:53">
      <c r="A43" s="20">
        <v>39</v>
      </c>
      <c r="B43" s="7"/>
      <c r="C43" s="7" t="str">
        <f>IF('RFQ-Input'!C42="","",'RFQ-Input'!C42)</f>
        <v/>
      </c>
      <c r="D43" s="7" t="str">
        <f>IF('RFQ-Input'!D42="","",'RFQ-Input'!D42)</f>
        <v/>
      </c>
      <c r="E43" s="7" t="str">
        <f>IF('RFQ-Input'!E42="","",'RFQ-Input'!E42)</f>
        <v/>
      </c>
      <c r="F43" s="7" t="str">
        <f>IF('RFQ-Input'!F42="","",'RFQ-Input'!F42)</f>
        <v/>
      </c>
      <c r="G43" s="7" t="str">
        <f>IF('RFQ-Input'!G42="","",'RFQ-Input'!G42)</f>
        <v/>
      </c>
      <c r="H43" s="7" t="str">
        <f>IF('RFQ-Input'!H42="","",'RFQ-Input'!H42)</f>
        <v/>
      </c>
      <c r="I43" s="7" t="str">
        <f>IF('RFQ-Input'!I42="","",'RFQ-Input'!I42)</f>
        <v/>
      </c>
      <c r="J43" s="7" t="str">
        <f>IF('RFQ-Input'!J42="","",'RFQ-Input'!J42)</f>
        <v/>
      </c>
      <c r="K43" s="7" t="str">
        <f>IF('RFQ-Input'!K42="","",'RFQ-Input'!K42)</f>
        <v/>
      </c>
      <c r="L43" s="7" t="str">
        <f>IF('RFQ-Input'!L42="","",'RFQ-Input'!L42)</f>
        <v/>
      </c>
      <c r="M43" s="7" t="str">
        <f>IF('RFQ-Input'!M42="","",'RFQ-Input'!M42)</f>
        <v/>
      </c>
      <c r="N43" s="7" t="str">
        <f>IF('RFQ-Input'!N42="","",'RFQ-Input'!N42)</f>
        <v/>
      </c>
      <c r="O43" s="7" t="str">
        <f>IF('RFQ-Input'!O42="","",'RFQ-Input'!O42)</f>
        <v/>
      </c>
      <c r="Q43" s="7"/>
      <c r="R43" s="7"/>
      <c r="S43" s="7"/>
      <c r="T43" s="7"/>
      <c r="U43" s="7"/>
      <c r="V43" s="7"/>
      <c r="X43" s="7"/>
      <c r="Y43" s="7"/>
      <c r="Z43" s="7"/>
      <c r="AA43" s="7" t="str">
        <f t="shared" si="0"/>
        <v/>
      </c>
      <c r="AB43" s="7"/>
      <c r="AC43" s="7"/>
      <c r="AQ43" s="7" t="str">
        <f t="shared" si="1"/>
        <v/>
      </c>
      <c r="AR43" s="7" t="str">
        <f t="shared" si="2"/>
        <v/>
      </c>
      <c r="AS43" s="7" t="str">
        <f t="shared" si="3"/>
        <v/>
      </c>
      <c r="AT43" s="7" t="str">
        <f t="shared" si="4"/>
        <v/>
      </c>
      <c r="AU43" s="7" t="str">
        <f t="shared" si="5"/>
        <v/>
      </c>
      <c r="AV43" s="7" t="str">
        <f t="shared" si="6"/>
        <v/>
      </c>
      <c r="AW43" s="7" t="str">
        <f>IF('RFQ-Input'!O42="","",'RFQ-Input'!O42)</f>
        <v/>
      </c>
      <c r="AX43" s="7" t="str">
        <f>IF('RFQ-Input'!S42="","",'RFQ-Input'!S42)</f>
        <v/>
      </c>
      <c r="AY43" s="7" t="str">
        <f>IF('RFQ-Input'!V42="","",'RFQ-Input'!V42)</f>
        <v/>
      </c>
      <c r="AZ43" s="7" t="str">
        <f>IF('RFQ-Input'!Y42="","",'RFQ-Input'!Y42)</f>
        <v/>
      </c>
      <c r="BA43" s="7" t="str">
        <f>IF('RFQ-Input'!AB42="","",'RFQ-Input'!AB42)</f>
        <v/>
      </c>
    </row>
    <row r="44" spans="1:53">
      <c r="A44" s="20">
        <v>40</v>
      </c>
      <c r="B44" s="7"/>
      <c r="C44" s="7" t="str">
        <f>IF('RFQ-Input'!C43="","",'RFQ-Input'!C43)</f>
        <v/>
      </c>
      <c r="D44" s="7" t="str">
        <f>IF('RFQ-Input'!D43="","",'RFQ-Input'!D43)</f>
        <v/>
      </c>
      <c r="E44" s="7" t="str">
        <f>IF('RFQ-Input'!E43="","",'RFQ-Input'!E43)</f>
        <v/>
      </c>
      <c r="F44" s="7" t="str">
        <f>IF('RFQ-Input'!F43="","",'RFQ-Input'!F43)</f>
        <v/>
      </c>
      <c r="G44" s="7" t="str">
        <f>IF('RFQ-Input'!G43="","",'RFQ-Input'!G43)</f>
        <v/>
      </c>
      <c r="H44" s="7" t="str">
        <f>IF('RFQ-Input'!H43="","",'RFQ-Input'!H43)</f>
        <v/>
      </c>
      <c r="I44" s="7" t="str">
        <f>IF('RFQ-Input'!I43="","",'RFQ-Input'!I43)</f>
        <v/>
      </c>
      <c r="J44" s="7" t="str">
        <f>IF('RFQ-Input'!J43="","",'RFQ-Input'!J43)</f>
        <v/>
      </c>
      <c r="K44" s="7" t="str">
        <f>IF('RFQ-Input'!K43="","",'RFQ-Input'!K43)</f>
        <v/>
      </c>
      <c r="L44" s="7" t="str">
        <f>IF('RFQ-Input'!L43="","",'RFQ-Input'!L43)</f>
        <v/>
      </c>
      <c r="M44" s="7" t="str">
        <f>IF('RFQ-Input'!M43="","",'RFQ-Input'!M43)</f>
        <v/>
      </c>
      <c r="N44" s="7" t="str">
        <f>IF('RFQ-Input'!N43="","",'RFQ-Input'!N43)</f>
        <v/>
      </c>
      <c r="O44" s="7" t="str">
        <f>IF('RFQ-Input'!O43="","",'RFQ-Input'!O43)</f>
        <v/>
      </c>
      <c r="Q44" s="7"/>
      <c r="R44" s="7"/>
      <c r="S44" s="7"/>
      <c r="T44" s="7"/>
      <c r="U44" s="7"/>
      <c r="V44" s="7"/>
      <c r="X44" s="7"/>
      <c r="Y44" s="7"/>
      <c r="Z44" s="7"/>
      <c r="AA44" s="7" t="str">
        <f t="shared" si="0"/>
        <v/>
      </c>
      <c r="AB44" s="7"/>
      <c r="AC44" s="7"/>
      <c r="AQ44" s="7" t="str">
        <f t="shared" si="1"/>
        <v/>
      </c>
      <c r="AR44" s="7" t="str">
        <f t="shared" si="2"/>
        <v/>
      </c>
      <c r="AS44" s="7" t="str">
        <f t="shared" si="3"/>
        <v/>
      </c>
      <c r="AT44" s="7" t="str">
        <f t="shared" si="4"/>
        <v/>
      </c>
      <c r="AU44" s="7" t="str">
        <f t="shared" si="5"/>
        <v/>
      </c>
      <c r="AV44" s="7" t="str">
        <f t="shared" si="6"/>
        <v/>
      </c>
      <c r="AW44" s="7" t="str">
        <f>IF('RFQ-Input'!O43="","",'RFQ-Input'!O43)</f>
        <v/>
      </c>
      <c r="AX44" s="7" t="str">
        <f>IF('RFQ-Input'!S43="","",'RFQ-Input'!S43)</f>
        <v/>
      </c>
      <c r="AY44" s="7" t="str">
        <f>IF('RFQ-Input'!V43="","",'RFQ-Input'!V43)</f>
        <v/>
      </c>
      <c r="AZ44" s="7" t="str">
        <f>IF('RFQ-Input'!Y43="","",'RFQ-Input'!Y43)</f>
        <v/>
      </c>
      <c r="BA44" s="7" t="str">
        <f>IF('RFQ-Input'!AB43="","",'RFQ-Input'!AB43)</f>
        <v/>
      </c>
    </row>
    <row r="45" spans="1:53">
      <c r="A45" s="20">
        <v>41</v>
      </c>
      <c r="B45" s="7"/>
      <c r="C45" s="7" t="str">
        <f>IF('RFQ-Input'!C44="","",'RFQ-Input'!C44)</f>
        <v/>
      </c>
      <c r="D45" s="7" t="str">
        <f>IF('RFQ-Input'!D44="","",'RFQ-Input'!D44)</f>
        <v/>
      </c>
      <c r="E45" s="7" t="str">
        <f>IF('RFQ-Input'!E44="","",'RFQ-Input'!E44)</f>
        <v/>
      </c>
      <c r="F45" s="7" t="str">
        <f>IF('RFQ-Input'!F44="","",'RFQ-Input'!F44)</f>
        <v/>
      </c>
      <c r="G45" s="7" t="str">
        <f>IF('RFQ-Input'!G44="","",'RFQ-Input'!G44)</f>
        <v/>
      </c>
      <c r="H45" s="7" t="str">
        <f>IF('RFQ-Input'!H44="","",'RFQ-Input'!H44)</f>
        <v/>
      </c>
      <c r="I45" s="7" t="str">
        <f>IF('RFQ-Input'!I44="","",'RFQ-Input'!I44)</f>
        <v/>
      </c>
      <c r="J45" s="7" t="str">
        <f>IF('RFQ-Input'!J44="","",'RFQ-Input'!J44)</f>
        <v/>
      </c>
      <c r="K45" s="7" t="str">
        <f>IF('RFQ-Input'!K44="","",'RFQ-Input'!K44)</f>
        <v/>
      </c>
      <c r="L45" s="7" t="str">
        <f>IF('RFQ-Input'!L44="","",'RFQ-Input'!L44)</f>
        <v/>
      </c>
      <c r="M45" s="7" t="str">
        <f>IF('RFQ-Input'!M44="","",'RFQ-Input'!M44)</f>
        <v/>
      </c>
      <c r="N45" s="7" t="str">
        <f>IF('RFQ-Input'!N44="","",'RFQ-Input'!N44)</f>
        <v/>
      </c>
      <c r="O45" s="7" t="str">
        <f>IF('RFQ-Input'!O44="","",'RFQ-Input'!O44)</f>
        <v/>
      </c>
      <c r="Q45" s="7"/>
      <c r="R45" s="7"/>
      <c r="S45" s="7"/>
      <c r="T45" s="7"/>
      <c r="U45" s="7"/>
      <c r="V45" s="7"/>
      <c r="X45" s="7"/>
      <c r="Y45" s="7"/>
      <c r="Z45" s="7"/>
      <c r="AA45" s="7" t="str">
        <f t="shared" si="0"/>
        <v/>
      </c>
      <c r="AB45" s="7"/>
      <c r="AC45" s="7"/>
      <c r="AQ45" s="7" t="str">
        <f t="shared" si="1"/>
        <v/>
      </c>
      <c r="AR45" s="7" t="str">
        <f t="shared" si="2"/>
        <v/>
      </c>
      <c r="AS45" s="7" t="str">
        <f t="shared" si="3"/>
        <v/>
      </c>
      <c r="AT45" s="7" t="str">
        <f t="shared" si="4"/>
        <v/>
      </c>
      <c r="AU45" s="7" t="str">
        <f t="shared" si="5"/>
        <v/>
      </c>
      <c r="AV45" s="7" t="str">
        <f t="shared" si="6"/>
        <v/>
      </c>
      <c r="AW45" s="7" t="str">
        <f>IF('RFQ-Input'!O44="","",'RFQ-Input'!O44)</f>
        <v/>
      </c>
      <c r="AX45" s="7" t="str">
        <f>IF('RFQ-Input'!S44="","",'RFQ-Input'!S44)</f>
        <v/>
      </c>
      <c r="AY45" s="7" t="str">
        <f>IF('RFQ-Input'!V44="","",'RFQ-Input'!V44)</f>
        <v/>
      </c>
      <c r="AZ45" s="7" t="str">
        <f>IF('RFQ-Input'!Y44="","",'RFQ-Input'!Y44)</f>
        <v/>
      </c>
      <c r="BA45" s="7" t="str">
        <f>IF('RFQ-Input'!AB44="","",'RFQ-Input'!AB44)</f>
        <v/>
      </c>
    </row>
    <row r="46" spans="1:53">
      <c r="A46" s="20">
        <v>42</v>
      </c>
      <c r="B46" s="7"/>
      <c r="C46" s="7" t="str">
        <f>IF('RFQ-Input'!C45="","",'RFQ-Input'!C45)</f>
        <v/>
      </c>
      <c r="D46" s="7" t="str">
        <f>IF('RFQ-Input'!D45="","",'RFQ-Input'!D45)</f>
        <v/>
      </c>
      <c r="E46" s="7" t="str">
        <f>IF('RFQ-Input'!E45="","",'RFQ-Input'!E45)</f>
        <v/>
      </c>
      <c r="F46" s="7" t="str">
        <f>IF('RFQ-Input'!F45="","",'RFQ-Input'!F45)</f>
        <v/>
      </c>
      <c r="G46" s="7" t="str">
        <f>IF('RFQ-Input'!G45="","",'RFQ-Input'!G45)</f>
        <v/>
      </c>
      <c r="H46" s="7" t="str">
        <f>IF('RFQ-Input'!H45="","",'RFQ-Input'!H45)</f>
        <v/>
      </c>
      <c r="I46" s="7" t="str">
        <f>IF('RFQ-Input'!I45="","",'RFQ-Input'!I45)</f>
        <v/>
      </c>
      <c r="J46" s="7" t="str">
        <f>IF('RFQ-Input'!J45="","",'RFQ-Input'!J45)</f>
        <v/>
      </c>
      <c r="K46" s="7" t="str">
        <f>IF('RFQ-Input'!K45="","",'RFQ-Input'!K45)</f>
        <v/>
      </c>
      <c r="L46" s="7" t="str">
        <f>IF('RFQ-Input'!L45="","",'RFQ-Input'!L45)</f>
        <v/>
      </c>
      <c r="M46" s="7" t="str">
        <f>IF('RFQ-Input'!M45="","",'RFQ-Input'!M45)</f>
        <v/>
      </c>
      <c r="N46" s="7" t="str">
        <f>IF('RFQ-Input'!N45="","",'RFQ-Input'!N45)</f>
        <v/>
      </c>
      <c r="O46" s="7" t="str">
        <f>IF('RFQ-Input'!O45="","",'RFQ-Input'!O45)</f>
        <v/>
      </c>
      <c r="Q46" s="7"/>
      <c r="R46" s="7"/>
      <c r="S46" s="7"/>
      <c r="T46" s="7"/>
      <c r="U46" s="7"/>
      <c r="V46" s="7"/>
      <c r="X46" s="7"/>
      <c r="Y46" s="7"/>
      <c r="Z46" s="7"/>
      <c r="AA46" s="7" t="str">
        <f t="shared" si="0"/>
        <v/>
      </c>
      <c r="AB46" s="7"/>
      <c r="AC46" s="7"/>
      <c r="AQ46" s="7" t="str">
        <f t="shared" si="1"/>
        <v/>
      </c>
      <c r="AR46" s="7" t="str">
        <f t="shared" si="2"/>
        <v/>
      </c>
      <c r="AS46" s="7" t="str">
        <f t="shared" si="3"/>
        <v/>
      </c>
      <c r="AT46" s="7" t="str">
        <f t="shared" si="4"/>
        <v/>
      </c>
      <c r="AU46" s="7" t="str">
        <f t="shared" si="5"/>
        <v/>
      </c>
      <c r="AV46" s="7" t="str">
        <f t="shared" si="6"/>
        <v/>
      </c>
      <c r="AW46" s="7" t="str">
        <f>IF('RFQ-Input'!O45="","",'RFQ-Input'!O45)</f>
        <v/>
      </c>
      <c r="AX46" s="7" t="str">
        <f>IF('RFQ-Input'!S45="","",'RFQ-Input'!S45)</f>
        <v/>
      </c>
      <c r="AY46" s="7" t="str">
        <f>IF('RFQ-Input'!V45="","",'RFQ-Input'!V45)</f>
        <v/>
      </c>
      <c r="AZ46" s="7" t="str">
        <f>IF('RFQ-Input'!Y45="","",'RFQ-Input'!Y45)</f>
        <v/>
      </c>
      <c r="BA46" s="7" t="str">
        <f>IF('RFQ-Input'!AB45="","",'RFQ-Input'!AB45)</f>
        <v/>
      </c>
    </row>
    <row r="47" spans="1:53">
      <c r="A47" s="20">
        <v>43</v>
      </c>
      <c r="B47" s="7"/>
      <c r="C47" s="7" t="str">
        <f>IF('RFQ-Input'!C46="","",'RFQ-Input'!C46)</f>
        <v/>
      </c>
      <c r="D47" s="7" t="str">
        <f>IF('RFQ-Input'!D46="","",'RFQ-Input'!D46)</f>
        <v/>
      </c>
      <c r="E47" s="7" t="str">
        <f>IF('RFQ-Input'!E46="","",'RFQ-Input'!E46)</f>
        <v/>
      </c>
      <c r="F47" s="7" t="str">
        <f>IF('RFQ-Input'!F46="","",'RFQ-Input'!F46)</f>
        <v/>
      </c>
      <c r="G47" s="7" t="str">
        <f>IF('RFQ-Input'!G46="","",'RFQ-Input'!G46)</f>
        <v/>
      </c>
      <c r="H47" s="7" t="str">
        <f>IF('RFQ-Input'!H46="","",'RFQ-Input'!H46)</f>
        <v/>
      </c>
      <c r="I47" s="7" t="str">
        <f>IF('RFQ-Input'!I46="","",'RFQ-Input'!I46)</f>
        <v/>
      </c>
      <c r="J47" s="7" t="str">
        <f>IF('RFQ-Input'!J46="","",'RFQ-Input'!J46)</f>
        <v/>
      </c>
      <c r="K47" s="7" t="str">
        <f>IF('RFQ-Input'!K46="","",'RFQ-Input'!K46)</f>
        <v/>
      </c>
      <c r="L47" s="7" t="str">
        <f>IF('RFQ-Input'!L46="","",'RFQ-Input'!L46)</f>
        <v/>
      </c>
      <c r="M47" s="7" t="str">
        <f>IF('RFQ-Input'!M46="","",'RFQ-Input'!M46)</f>
        <v/>
      </c>
      <c r="N47" s="7" t="str">
        <f>IF('RFQ-Input'!N46="","",'RFQ-Input'!N46)</f>
        <v/>
      </c>
      <c r="O47" s="7" t="str">
        <f>IF('RFQ-Input'!O46="","",'RFQ-Input'!O46)</f>
        <v/>
      </c>
      <c r="Q47" s="7"/>
      <c r="R47" s="7"/>
      <c r="S47" s="7"/>
      <c r="T47" s="7"/>
      <c r="U47" s="7"/>
      <c r="V47" s="7"/>
      <c r="X47" s="7"/>
      <c r="Y47" s="7"/>
      <c r="Z47" s="7"/>
      <c r="AA47" s="7" t="str">
        <f t="shared" si="0"/>
        <v/>
      </c>
      <c r="AB47" s="7"/>
      <c r="AC47" s="7"/>
      <c r="AQ47" s="7" t="str">
        <f t="shared" si="1"/>
        <v/>
      </c>
      <c r="AR47" s="7" t="str">
        <f t="shared" si="2"/>
        <v/>
      </c>
      <c r="AS47" s="7" t="str">
        <f t="shared" si="3"/>
        <v/>
      </c>
      <c r="AT47" s="7" t="str">
        <f t="shared" si="4"/>
        <v/>
      </c>
      <c r="AU47" s="7" t="str">
        <f t="shared" si="5"/>
        <v/>
      </c>
      <c r="AV47" s="7" t="str">
        <f t="shared" si="6"/>
        <v/>
      </c>
      <c r="AW47" s="7" t="str">
        <f>IF('RFQ-Input'!O46="","",'RFQ-Input'!O46)</f>
        <v/>
      </c>
      <c r="AX47" s="7" t="str">
        <f>IF('RFQ-Input'!S46="","",'RFQ-Input'!S46)</f>
        <v/>
      </c>
      <c r="AY47" s="7" t="str">
        <f>IF('RFQ-Input'!V46="","",'RFQ-Input'!V46)</f>
        <v/>
      </c>
      <c r="AZ47" s="7" t="str">
        <f>IF('RFQ-Input'!Y46="","",'RFQ-Input'!Y46)</f>
        <v/>
      </c>
      <c r="BA47" s="7" t="str">
        <f>IF('RFQ-Input'!AB46="","",'RFQ-Input'!AB46)</f>
        <v/>
      </c>
    </row>
    <row r="48" spans="1:53">
      <c r="A48" s="20">
        <v>44</v>
      </c>
      <c r="B48" s="7"/>
      <c r="C48" s="7" t="str">
        <f>IF('RFQ-Input'!C47="","",'RFQ-Input'!C47)</f>
        <v/>
      </c>
      <c r="D48" s="7" t="str">
        <f>IF('RFQ-Input'!D47="","",'RFQ-Input'!D47)</f>
        <v/>
      </c>
      <c r="E48" s="7" t="str">
        <f>IF('RFQ-Input'!E47="","",'RFQ-Input'!E47)</f>
        <v/>
      </c>
      <c r="F48" s="7" t="str">
        <f>IF('RFQ-Input'!F47="","",'RFQ-Input'!F47)</f>
        <v/>
      </c>
      <c r="G48" s="7" t="str">
        <f>IF('RFQ-Input'!G47="","",'RFQ-Input'!G47)</f>
        <v/>
      </c>
      <c r="H48" s="7" t="str">
        <f>IF('RFQ-Input'!H47="","",'RFQ-Input'!H47)</f>
        <v/>
      </c>
      <c r="I48" s="7" t="str">
        <f>IF('RFQ-Input'!I47="","",'RFQ-Input'!I47)</f>
        <v/>
      </c>
      <c r="J48" s="7" t="str">
        <f>IF('RFQ-Input'!J47="","",'RFQ-Input'!J47)</f>
        <v/>
      </c>
      <c r="K48" s="7" t="str">
        <f>IF('RFQ-Input'!K47="","",'RFQ-Input'!K47)</f>
        <v/>
      </c>
      <c r="L48" s="7" t="str">
        <f>IF('RFQ-Input'!L47="","",'RFQ-Input'!L47)</f>
        <v/>
      </c>
      <c r="M48" s="7" t="str">
        <f>IF('RFQ-Input'!M47="","",'RFQ-Input'!M47)</f>
        <v/>
      </c>
      <c r="N48" s="7" t="str">
        <f>IF('RFQ-Input'!N47="","",'RFQ-Input'!N47)</f>
        <v/>
      </c>
      <c r="O48" s="7" t="str">
        <f>IF('RFQ-Input'!O47="","",'RFQ-Input'!O47)</f>
        <v/>
      </c>
      <c r="Q48" s="7"/>
      <c r="R48" s="7"/>
      <c r="S48" s="7"/>
      <c r="T48" s="7"/>
      <c r="U48" s="7"/>
      <c r="V48" s="7"/>
      <c r="X48" s="7"/>
      <c r="Y48" s="7"/>
      <c r="Z48" s="7"/>
      <c r="AA48" s="7" t="str">
        <f t="shared" si="0"/>
        <v/>
      </c>
      <c r="AB48" s="7"/>
      <c r="AC48" s="7"/>
      <c r="AQ48" s="7" t="str">
        <f t="shared" si="1"/>
        <v/>
      </c>
      <c r="AR48" s="7" t="str">
        <f t="shared" si="2"/>
        <v/>
      </c>
      <c r="AS48" s="7" t="str">
        <f t="shared" si="3"/>
        <v/>
      </c>
      <c r="AT48" s="7" t="str">
        <f t="shared" si="4"/>
        <v/>
      </c>
      <c r="AU48" s="7" t="str">
        <f t="shared" si="5"/>
        <v/>
      </c>
      <c r="AV48" s="7" t="str">
        <f t="shared" si="6"/>
        <v/>
      </c>
      <c r="AW48" s="7" t="str">
        <f>IF('RFQ-Input'!O47="","",'RFQ-Input'!O47)</f>
        <v/>
      </c>
      <c r="AX48" s="7" t="str">
        <f>IF('RFQ-Input'!S47="","",'RFQ-Input'!S47)</f>
        <v/>
      </c>
      <c r="AY48" s="7" t="str">
        <f>IF('RFQ-Input'!V47="","",'RFQ-Input'!V47)</f>
        <v/>
      </c>
      <c r="AZ48" s="7" t="str">
        <f>IF('RFQ-Input'!Y47="","",'RFQ-Input'!Y47)</f>
        <v/>
      </c>
      <c r="BA48" s="7" t="str">
        <f>IF('RFQ-Input'!AB47="","",'RFQ-Input'!AB47)</f>
        <v/>
      </c>
    </row>
    <row r="49" spans="1:53">
      <c r="A49" s="20">
        <v>45</v>
      </c>
      <c r="B49" s="7"/>
      <c r="C49" s="7" t="str">
        <f>IF('RFQ-Input'!C48="","",'RFQ-Input'!C48)</f>
        <v/>
      </c>
      <c r="D49" s="7" t="str">
        <f>IF('RFQ-Input'!D48="","",'RFQ-Input'!D48)</f>
        <v/>
      </c>
      <c r="E49" s="7" t="str">
        <f>IF('RFQ-Input'!E48="","",'RFQ-Input'!E48)</f>
        <v/>
      </c>
      <c r="F49" s="7" t="str">
        <f>IF('RFQ-Input'!F48="","",'RFQ-Input'!F48)</f>
        <v/>
      </c>
      <c r="G49" s="7" t="str">
        <f>IF('RFQ-Input'!G48="","",'RFQ-Input'!G48)</f>
        <v/>
      </c>
      <c r="H49" s="7" t="str">
        <f>IF('RFQ-Input'!H48="","",'RFQ-Input'!H48)</f>
        <v/>
      </c>
      <c r="I49" s="7" t="str">
        <f>IF('RFQ-Input'!I48="","",'RFQ-Input'!I48)</f>
        <v/>
      </c>
      <c r="J49" s="7" t="str">
        <f>IF('RFQ-Input'!J48="","",'RFQ-Input'!J48)</f>
        <v/>
      </c>
      <c r="K49" s="7" t="str">
        <f>IF('RFQ-Input'!K48="","",'RFQ-Input'!K48)</f>
        <v/>
      </c>
      <c r="L49" s="7" t="str">
        <f>IF('RFQ-Input'!L48="","",'RFQ-Input'!L48)</f>
        <v/>
      </c>
      <c r="M49" s="7" t="str">
        <f>IF('RFQ-Input'!M48="","",'RFQ-Input'!M48)</f>
        <v/>
      </c>
      <c r="N49" s="7" t="str">
        <f>IF('RFQ-Input'!N48="","",'RFQ-Input'!N48)</f>
        <v/>
      </c>
      <c r="O49" s="7" t="str">
        <f>IF('RFQ-Input'!O48="","",'RFQ-Input'!O48)</f>
        <v/>
      </c>
      <c r="Q49" s="7"/>
      <c r="R49" s="7"/>
      <c r="S49" s="7"/>
      <c r="T49" s="7"/>
      <c r="U49" s="7"/>
      <c r="V49" s="7"/>
      <c r="X49" s="7"/>
      <c r="Y49" s="7"/>
      <c r="Z49" s="7"/>
      <c r="AA49" s="7" t="str">
        <f t="shared" si="0"/>
        <v/>
      </c>
      <c r="AB49" s="7"/>
      <c r="AC49" s="7"/>
      <c r="AQ49" s="7" t="str">
        <f t="shared" si="1"/>
        <v/>
      </c>
      <c r="AR49" s="7" t="str">
        <f t="shared" si="2"/>
        <v/>
      </c>
      <c r="AS49" s="7" t="str">
        <f t="shared" si="3"/>
        <v/>
      </c>
      <c r="AT49" s="7" t="str">
        <f t="shared" si="4"/>
        <v/>
      </c>
      <c r="AU49" s="7" t="str">
        <f t="shared" si="5"/>
        <v/>
      </c>
      <c r="AV49" s="7" t="str">
        <f t="shared" si="6"/>
        <v/>
      </c>
      <c r="AW49" s="7" t="str">
        <f>IF('RFQ-Input'!O48="","",'RFQ-Input'!O48)</f>
        <v/>
      </c>
      <c r="AX49" s="7" t="str">
        <f>IF('RFQ-Input'!S48="","",'RFQ-Input'!S48)</f>
        <v/>
      </c>
      <c r="AY49" s="7" t="str">
        <f>IF('RFQ-Input'!V48="","",'RFQ-Input'!V48)</f>
        <v/>
      </c>
      <c r="AZ49" s="7" t="str">
        <f>IF('RFQ-Input'!Y48="","",'RFQ-Input'!Y48)</f>
        <v/>
      </c>
      <c r="BA49" s="7" t="str">
        <f>IF('RFQ-Input'!AB48="","",'RFQ-Input'!AB48)</f>
        <v/>
      </c>
    </row>
    <row r="50" spans="1:53">
      <c r="A50" s="20">
        <v>46</v>
      </c>
      <c r="B50" s="7"/>
      <c r="C50" s="7" t="str">
        <f>IF('RFQ-Input'!C49="","",'RFQ-Input'!C49)</f>
        <v/>
      </c>
      <c r="D50" s="7" t="str">
        <f>IF('RFQ-Input'!D49="","",'RFQ-Input'!D49)</f>
        <v/>
      </c>
      <c r="E50" s="7" t="str">
        <f>IF('RFQ-Input'!E49="","",'RFQ-Input'!E49)</f>
        <v/>
      </c>
      <c r="F50" s="7" t="str">
        <f>IF('RFQ-Input'!F49="","",'RFQ-Input'!F49)</f>
        <v/>
      </c>
      <c r="G50" s="7" t="str">
        <f>IF('RFQ-Input'!G49="","",'RFQ-Input'!G49)</f>
        <v/>
      </c>
      <c r="H50" s="7" t="str">
        <f>IF('RFQ-Input'!H49="","",'RFQ-Input'!H49)</f>
        <v/>
      </c>
      <c r="I50" s="7" t="str">
        <f>IF('RFQ-Input'!I49="","",'RFQ-Input'!I49)</f>
        <v/>
      </c>
      <c r="J50" s="7" t="str">
        <f>IF('RFQ-Input'!J49="","",'RFQ-Input'!J49)</f>
        <v/>
      </c>
      <c r="K50" s="7" t="str">
        <f>IF('RFQ-Input'!K49="","",'RFQ-Input'!K49)</f>
        <v/>
      </c>
      <c r="L50" s="7" t="str">
        <f>IF('RFQ-Input'!L49="","",'RFQ-Input'!L49)</f>
        <v/>
      </c>
      <c r="M50" s="7" t="str">
        <f>IF('RFQ-Input'!M49="","",'RFQ-Input'!M49)</f>
        <v/>
      </c>
      <c r="N50" s="7" t="str">
        <f>IF('RFQ-Input'!N49="","",'RFQ-Input'!N49)</f>
        <v/>
      </c>
      <c r="O50" s="7" t="str">
        <f>IF('RFQ-Input'!O49="","",'RFQ-Input'!O49)</f>
        <v/>
      </c>
      <c r="Q50" s="7"/>
      <c r="R50" s="7"/>
      <c r="S50" s="7"/>
      <c r="T50" s="7"/>
      <c r="U50" s="7"/>
      <c r="V50" s="7"/>
      <c r="X50" s="7"/>
      <c r="Y50" s="7"/>
      <c r="Z50" s="7"/>
      <c r="AA50" s="7" t="str">
        <f t="shared" si="0"/>
        <v/>
      </c>
      <c r="AB50" s="7"/>
      <c r="AC50" s="7"/>
      <c r="AQ50" s="7" t="str">
        <f t="shared" si="1"/>
        <v/>
      </c>
      <c r="AR50" s="7" t="str">
        <f t="shared" si="2"/>
        <v/>
      </c>
      <c r="AS50" s="7" t="str">
        <f t="shared" si="3"/>
        <v/>
      </c>
      <c r="AT50" s="7" t="str">
        <f t="shared" si="4"/>
        <v/>
      </c>
      <c r="AU50" s="7" t="str">
        <f t="shared" si="5"/>
        <v/>
      </c>
      <c r="AV50" s="7" t="str">
        <f t="shared" si="6"/>
        <v/>
      </c>
      <c r="AW50" s="7" t="str">
        <f>IF('RFQ-Input'!O49="","",'RFQ-Input'!O49)</f>
        <v/>
      </c>
      <c r="AX50" s="7" t="str">
        <f>IF('RFQ-Input'!S49="","",'RFQ-Input'!S49)</f>
        <v/>
      </c>
      <c r="AY50" s="7" t="str">
        <f>IF('RFQ-Input'!V49="","",'RFQ-Input'!V49)</f>
        <v/>
      </c>
      <c r="AZ50" s="7" t="str">
        <f>IF('RFQ-Input'!Y49="","",'RFQ-Input'!Y49)</f>
        <v/>
      </c>
      <c r="BA50" s="7" t="str">
        <f>IF('RFQ-Input'!AB49="","",'RFQ-Input'!AB49)</f>
        <v/>
      </c>
    </row>
    <row r="51" spans="1:53">
      <c r="A51" s="20">
        <v>47</v>
      </c>
      <c r="B51" s="7"/>
      <c r="C51" s="7" t="str">
        <f>IF('RFQ-Input'!C50="","",'RFQ-Input'!C50)</f>
        <v/>
      </c>
      <c r="D51" s="7" t="str">
        <f>IF('RFQ-Input'!D50="","",'RFQ-Input'!D50)</f>
        <v/>
      </c>
      <c r="E51" s="7" t="str">
        <f>IF('RFQ-Input'!E50="","",'RFQ-Input'!E50)</f>
        <v/>
      </c>
      <c r="F51" s="7" t="str">
        <f>IF('RFQ-Input'!F50="","",'RFQ-Input'!F50)</f>
        <v/>
      </c>
      <c r="G51" s="7" t="str">
        <f>IF('RFQ-Input'!G50="","",'RFQ-Input'!G50)</f>
        <v/>
      </c>
      <c r="H51" s="7" t="str">
        <f>IF('RFQ-Input'!H50="","",'RFQ-Input'!H50)</f>
        <v/>
      </c>
      <c r="I51" s="7" t="str">
        <f>IF('RFQ-Input'!I50="","",'RFQ-Input'!I50)</f>
        <v/>
      </c>
      <c r="J51" s="7" t="str">
        <f>IF('RFQ-Input'!J50="","",'RFQ-Input'!J50)</f>
        <v/>
      </c>
      <c r="K51" s="7" t="str">
        <f>IF('RFQ-Input'!K50="","",'RFQ-Input'!K50)</f>
        <v/>
      </c>
      <c r="L51" s="7" t="str">
        <f>IF('RFQ-Input'!L50="","",'RFQ-Input'!L50)</f>
        <v/>
      </c>
      <c r="M51" s="7" t="str">
        <f>IF('RFQ-Input'!M50="","",'RFQ-Input'!M50)</f>
        <v/>
      </c>
      <c r="N51" s="7" t="str">
        <f>IF('RFQ-Input'!N50="","",'RFQ-Input'!N50)</f>
        <v/>
      </c>
      <c r="O51" s="7" t="str">
        <f>IF('RFQ-Input'!O50="","",'RFQ-Input'!O50)</f>
        <v/>
      </c>
      <c r="Q51" s="7"/>
      <c r="R51" s="7"/>
      <c r="S51" s="7"/>
      <c r="T51" s="7"/>
      <c r="U51" s="7"/>
      <c r="V51" s="7"/>
      <c r="X51" s="7"/>
      <c r="Y51" s="7"/>
      <c r="Z51" s="7"/>
      <c r="AA51" s="7" t="str">
        <f t="shared" si="0"/>
        <v/>
      </c>
      <c r="AB51" s="7"/>
      <c r="AC51" s="7"/>
      <c r="AQ51" s="7" t="str">
        <f t="shared" si="1"/>
        <v/>
      </c>
      <c r="AR51" s="7" t="str">
        <f t="shared" si="2"/>
        <v/>
      </c>
      <c r="AS51" s="7" t="str">
        <f t="shared" si="3"/>
        <v/>
      </c>
      <c r="AT51" s="7" t="str">
        <f t="shared" si="4"/>
        <v/>
      </c>
      <c r="AU51" s="7" t="str">
        <f t="shared" si="5"/>
        <v/>
      </c>
      <c r="AV51" s="7" t="str">
        <f t="shared" si="6"/>
        <v/>
      </c>
      <c r="AW51" s="7" t="str">
        <f>IF('RFQ-Input'!O50="","",'RFQ-Input'!O50)</f>
        <v/>
      </c>
      <c r="AX51" s="7" t="str">
        <f>IF('RFQ-Input'!S50="","",'RFQ-Input'!S50)</f>
        <v/>
      </c>
      <c r="AY51" s="7" t="str">
        <f>IF('RFQ-Input'!V50="","",'RFQ-Input'!V50)</f>
        <v/>
      </c>
      <c r="AZ51" s="7" t="str">
        <f>IF('RFQ-Input'!Y50="","",'RFQ-Input'!Y50)</f>
        <v/>
      </c>
      <c r="BA51" s="7" t="str">
        <f>IF('RFQ-Input'!AB50="","",'RFQ-Input'!AB50)</f>
        <v/>
      </c>
    </row>
    <row r="52" spans="1:53">
      <c r="A52" s="20">
        <v>48</v>
      </c>
      <c r="B52" s="7"/>
      <c r="C52" s="7" t="str">
        <f>IF('RFQ-Input'!C51="","",'RFQ-Input'!C51)</f>
        <v/>
      </c>
      <c r="D52" s="7" t="str">
        <f>IF('RFQ-Input'!D51="","",'RFQ-Input'!D51)</f>
        <v/>
      </c>
      <c r="E52" s="7" t="str">
        <f>IF('RFQ-Input'!E51="","",'RFQ-Input'!E51)</f>
        <v/>
      </c>
      <c r="F52" s="7" t="str">
        <f>IF('RFQ-Input'!F51="","",'RFQ-Input'!F51)</f>
        <v/>
      </c>
      <c r="G52" s="7" t="str">
        <f>IF('RFQ-Input'!G51="","",'RFQ-Input'!G51)</f>
        <v/>
      </c>
      <c r="H52" s="7" t="str">
        <f>IF('RFQ-Input'!H51="","",'RFQ-Input'!H51)</f>
        <v/>
      </c>
      <c r="I52" s="7" t="str">
        <f>IF('RFQ-Input'!I51="","",'RFQ-Input'!I51)</f>
        <v/>
      </c>
      <c r="J52" s="7" t="str">
        <f>IF('RFQ-Input'!J51="","",'RFQ-Input'!J51)</f>
        <v/>
      </c>
      <c r="K52" s="7" t="str">
        <f>IF('RFQ-Input'!K51="","",'RFQ-Input'!K51)</f>
        <v/>
      </c>
      <c r="L52" s="7" t="str">
        <f>IF('RFQ-Input'!L51="","",'RFQ-Input'!L51)</f>
        <v/>
      </c>
      <c r="M52" s="7" t="str">
        <f>IF('RFQ-Input'!M51="","",'RFQ-Input'!M51)</f>
        <v/>
      </c>
      <c r="N52" s="7" t="str">
        <f>IF('RFQ-Input'!N51="","",'RFQ-Input'!N51)</f>
        <v/>
      </c>
      <c r="O52" s="7" t="str">
        <f>IF('RFQ-Input'!O51="","",'RFQ-Input'!O51)</f>
        <v/>
      </c>
      <c r="Q52" s="7"/>
      <c r="R52" s="7"/>
      <c r="S52" s="7"/>
      <c r="T52" s="7"/>
      <c r="U52" s="7"/>
      <c r="V52" s="7"/>
      <c r="X52" s="7"/>
      <c r="Y52" s="7"/>
      <c r="Z52" s="7"/>
      <c r="AA52" s="7" t="str">
        <f t="shared" si="0"/>
        <v/>
      </c>
      <c r="AB52" s="7"/>
      <c r="AC52" s="7"/>
      <c r="AQ52" s="7" t="str">
        <f t="shared" si="1"/>
        <v/>
      </c>
      <c r="AR52" s="7" t="str">
        <f t="shared" si="2"/>
        <v/>
      </c>
      <c r="AS52" s="7" t="str">
        <f t="shared" si="3"/>
        <v/>
      </c>
      <c r="AT52" s="7" t="str">
        <f t="shared" si="4"/>
        <v/>
      </c>
      <c r="AU52" s="7" t="str">
        <f t="shared" si="5"/>
        <v/>
      </c>
      <c r="AV52" s="7" t="str">
        <f t="shared" si="6"/>
        <v/>
      </c>
      <c r="AW52" s="7" t="str">
        <f>IF('RFQ-Input'!O51="","",'RFQ-Input'!O51)</f>
        <v/>
      </c>
      <c r="AX52" s="7" t="str">
        <f>IF('RFQ-Input'!S51="","",'RFQ-Input'!S51)</f>
        <v/>
      </c>
      <c r="AY52" s="7" t="str">
        <f>IF('RFQ-Input'!V51="","",'RFQ-Input'!V51)</f>
        <v/>
      </c>
      <c r="AZ52" s="7" t="str">
        <f>IF('RFQ-Input'!Y51="","",'RFQ-Input'!Y51)</f>
        <v/>
      </c>
      <c r="BA52" s="7" t="str">
        <f>IF('RFQ-Input'!AB51="","",'RFQ-Input'!AB51)</f>
        <v/>
      </c>
    </row>
    <row r="53" spans="1:53">
      <c r="A53" s="20">
        <v>49</v>
      </c>
      <c r="B53" s="7"/>
      <c r="C53" s="7" t="str">
        <f>IF('RFQ-Input'!C52="","",'RFQ-Input'!C52)</f>
        <v/>
      </c>
      <c r="D53" s="7" t="str">
        <f>IF('RFQ-Input'!D52="","",'RFQ-Input'!D52)</f>
        <v/>
      </c>
      <c r="E53" s="7" t="str">
        <f>IF('RFQ-Input'!E52="","",'RFQ-Input'!E52)</f>
        <v/>
      </c>
      <c r="F53" s="7" t="str">
        <f>IF('RFQ-Input'!F52="","",'RFQ-Input'!F52)</f>
        <v/>
      </c>
      <c r="G53" s="7" t="str">
        <f>IF('RFQ-Input'!G52="","",'RFQ-Input'!G52)</f>
        <v/>
      </c>
      <c r="H53" s="7" t="str">
        <f>IF('RFQ-Input'!H52="","",'RFQ-Input'!H52)</f>
        <v/>
      </c>
      <c r="I53" s="7" t="str">
        <f>IF('RFQ-Input'!I52="","",'RFQ-Input'!I52)</f>
        <v/>
      </c>
      <c r="J53" s="7" t="str">
        <f>IF('RFQ-Input'!J52="","",'RFQ-Input'!J52)</f>
        <v/>
      </c>
      <c r="K53" s="7" t="str">
        <f>IF('RFQ-Input'!K52="","",'RFQ-Input'!K52)</f>
        <v/>
      </c>
      <c r="L53" s="7" t="str">
        <f>IF('RFQ-Input'!L52="","",'RFQ-Input'!L52)</f>
        <v/>
      </c>
      <c r="M53" s="7" t="str">
        <f>IF('RFQ-Input'!M52="","",'RFQ-Input'!M52)</f>
        <v/>
      </c>
      <c r="N53" s="7" t="str">
        <f>IF('RFQ-Input'!N52="","",'RFQ-Input'!N52)</f>
        <v/>
      </c>
      <c r="O53" s="7" t="str">
        <f>IF('RFQ-Input'!O52="","",'RFQ-Input'!O52)</f>
        <v/>
      </c>
      <c r="Q53" s="7"/>
      <c r="R53" s="7"/>
      <c r="S53" s="7"/>
      <c r="T53" s="7"/>
      <c r="U53" s="7"/>
      <c r="V53" s="7"/>
      <c r="X53" s="7"/>
      <c r="Y53" s="7"/>
      <c r="Z53" s="7"/>
      <c r="AA53" s="7" t="str">
        <f t="shared" si="0"/>
        <v/>
      </c>
      <c r="AB53" s="7"/>
      <c r="AC53" s="7"/>
      <c r="AQ53" s="7" t="str">
        <f t="shared" si="1"/>
        <v/>
      </c>
      <c r="AR53" s="7" t="str">
        <f t="shared" si="2"/>
        <v/>
      </c>
      <c r="AS53" s="7" t="str">
        <f t="shared" si="3"/>
        <v/>
      </c>
      <c r="AT53" s="7" t="str">
        <f t="shared" si="4"/>
        <v/>
      </c>
      <c r="AU53" s="7" t="str">
        <f t="shared" si="5"/>
        <v/>
      </c>
      <c r="AV53" s="7" t="str">
        <f t="shared" si="6"/>
        <v/>
      </c>
      <c r="AW53" s="7" t="str">
        <f>IF('RFQ-Input'!O52="","",'RFQ-Input'!O52)</f>
        <v/>
      </c>
      <c r="AX53" s="7" t="str">
        <f>IF('RFQ-Input'!S52="","",'RFQ-Input'!S52)</f>
        <v/>
      </c>
      <c r="AY53" s="7" t="str">
        <f>IF('RFQ-Input'!V52="","",'RFQ-Input'!V52)</f>
        <v/>
      </c>
      <c r="AZ53" s="7" t="str">
        <f>IF('RFQ-Input'!Y52="","",'RFQ-Input'!Y52)</f>
        <v/>
      </c>
      <c r="BA53" s="7" t="str">
        <f>IF('RFQ-Input'!AB52="","",'RFQ-Input'!AB52)</f>
        <v/>
      </c>
    </row>
    <row r="54" spans="1:53">
      <c r="A54" s="20">
        <v>50</v>
      </c>
      <c r="B54" s="7"/>
      <c r="C54" s="7" t="str">
        <f>IF('RFQ-Input'!C53="","",'RFQ-Input'!C53)</f>
        <v/>
      </c>
      <c r="D54" s="7" t="str">
        <f>IF('RFQ-Input'!D53="","",'RFQ-Input'!D53)</f>
        <v/>
      </c>
      <c r="E54" s="7" t="str">
        <f>IF('RFQ-Input'!E53="","",'RFQ-Input'!E53)</f>
        <v/>
      </c>
      <c r="F54" s="7" t="str">
        <f>IF('RFQ-Input'!F53="","",'RFQ-Input'!F53)</f>
        <v/>
      </c>
      <c r="G54" s="7" t="str">
        <f>IF('RFQ-Input'!G53="","",'RFQ-Input'!G53)</f>
        <v/>
      </c>
      <c r="H54" s="7" t="str">
        <f>IF('RFQ-Input'!H53="","",'RFQ-Input'!H53)</f>
        <v/>
      </c>
      <c r="I54" s="7" t="str">
        <f>IF('RFQ-Input'!I53="","",'RFQ-Input'!I53)</f>
        <v/>
      </c>
      <c r="J54" s="7" t="str">
        <f>IF('RFQ-Input'!J53="","",'RFQ-Input'!J53)</f>
        <v/>
      </c>
      <c r="K54" s="7" t="str">
        <f>IF('RFQ-Input'!K53="","",'RFQ-Input'!K53)</f>
        <v/>
      </c>
      <c r="L54" s="7" t="str">
        <f>IF('RFQ-Input'!L53="","",'RFQ-Input'!L53)</f>
        <v/>
      </c>
      <c r="M54" s="7" t="str">
        <f>IF('RFQ-Input'!M53="","",'RFQ-Input'!M53)</f>
        <v/>
      </c>
      <c r="N54" s="7" t="str">
        <f>IF('RFQ-Input'!N53="","",'RFQ-Input'!N53)</f>
        <v/>
      </c>
      <c r="O54" s="7" t="str">
        <f>IF('RFQ-Input'!O53="","",'RFQ-Input'!O53)</f>
        <v/>
      </c>
      <c r="Q54" s="7"/>
      <c r="R54" s="7"/>
      <c r="S54" s="7"/>
      <c r="T54" s="7"/>
      <c r="U54" s="7"/>
      <c r="V54" s="7"/>
      <c r="X54" s="7"/>
      <c r="Y54" s="7"/>
      <c r="Z54" s="7"/>
      <c r="AA54" s="7" t="str">
        <f t="shared" si="0"/>
        <v/>
      </c>
      <c r="AB54" s="7"/>
      <c r="AC54" s="7"/>
      <c r="AQ54" s="7" t="str">
        <f t="shared" si="1"/>
        <v/>
      </c>
      <c r="AR54" s="7" t="str">
        <f t="shared" si="2"/>
        <v/>
      </c>
      <c r="AS54" s="7" t="str">
        <f t="shared" si="3"/>
        <v/>
      </c>
      <c r="AT54" s="7" t="str">
        <f t="shared" si="4"/>
        <v/>
      </c>
      <c r="AU54" s="7" t="str">
        <f t="shared" si="5"/>
        <v/>
      </c>
      <c r="AV54" s="7" t="str">
        <f t="shared" si="6"/>
        <v/>
      </c>
      <c r="AW54" s="7" t="str">
        <f>IF('RFQ-Input'!O53="","",'RFQ-Input'!O53)</f>
        <v/>
      </c>
      <c r="AX54" s="7" t="str">
        <f>IF('RFQ-Input'!S53="","",'RFQ-Input'!S53)</f>
        <v/>
      </c>
      <c r="AY54" s="7" t="str">
        <f>IF('RFQ-Input'!V53="","",'RFQ-Input'!V53)</f>
        <v/>
      </c>
      <c r="AZ54" s="7" t="str">
        <f>IF('RFQ-Input'!Y53="","",'RFQ-Input'!Y53)</f>
        <v/>
      </c>
      <c r="BA54" s="7" t="str">
        <f>IF('RFQ-Input'!AB53="","",'RFQ-Input'!AB53)</f>
        <v/>
      </c>
    </row>
    <row r="55" spans="1:53">
      <c r="A55" s="20">
        <v>51</v>
      </c>
      <c r="B55" s="7"/>
      <c r="C55" s="7" t="str">
        <f>IF('RFQ-Input'!C54="","",'RFQ-Input'!C54)</f>
        <v/>
      </c>
      <c r="D55" s="7" t="str">
        <f>IF('RFQ-Input'!D54="","",'RFQ-Input'!D54)</f>
        <v/>
      </c>
      <c r="E55" s="7" t="str">
        <f>IF('RFQ-Input'!E54="","",'RFQ-Input'!E54)</f>
        <v/>
      </c>
      <c r="F55" s="7" t="str">
        <f>IF('RFQ-Input'!F54="","",'RFQ-Input'!F54)</f>
        <v/>
      </c>
      <c r="G55" s="7" t="str">
        <f>IF('RFQ-Input'!G54="","",'RFQ-Input'!G54)</f>
        <v/>
      </c>
      <c r="H55" s="7" t="str">
        <f>IF('RFQ-Input'!H54="","",'RFQ-Input'!H54)</f>
        <v/>
      </c>
      <c r="I55" s="7" t="str">
        <f>IF('RFQ-Input'!I54="","",'RFQ-Input'!I54)</f>
        <v/>
      </c>
      <c r="J55" s="7" t="str">
        <f>IF('RFQ-Input'!J54="","",'RFQ-Input'!J54)</f>
        <v/>
      </c>
      <c r="K55" s="7" t="str">
        <f>IF('RFQ-Input'!K54="","",'RFQ-Input'!K54)</f>
        <v/>
      </c>
      <c r="L55" s="7" t="str">
        <f>IF('RFQ-Input'!L54="","",'RFQ-Input'!L54)</f>
        <v/>
      </c>
      <c r="M55" s="7" t="str">
        <f>IF('RFQ-Input'!M54="","",'RFQ-Input'!M54)</f>
        <v/>
      </c>
      <c r="N55" s="7" t="str">
        <f>IF('RFQ-Input'!N54="","",'RFQ-Input'!N54)</f>
        <v/>
      </c>
      <c r="O55" s="7" t="str">
        <f>IF('RFQ-Input'!O54="","",'RFQ-Input'!O54)</f>
        <v/>
      </c>
      <c r="Q55" s="7"/>
      <c r="R55" s="7"/>
      <c r="S55" s="7"/>
      <c r="T55" s="7"/>
      <c r="U55" s="7"/>
      <c r="V55" s="7"/>
      <c r="X55" s="7"/>
      <c r="Y55" s="7"/>
      <c r="Z55" s="7"/>
      <c r="AA55" s="7" t="str">
        <f t="shared" si="0"/>
        <v/>
      </c>
      <c r="AB55" s="7"/>
      <c r="AC55" s="7"/>
      <c r="AQ55" s="7" t="str">
        <f t="shared" si="1"/>
        <v/>
      </c>
      <c r="AR55" s="7" t="str">
        <f t="shared" si="2"/>
        <v/>
      </c>
      <c r="AS55" s="7" t="str">
        <f t="shared" si="3"/>
        <v/>
      </c>
      <c r="AT55" s="7" t="str">
        <f t="shared" si="4"/>
        <v/>
      </c>
      <c r="AU55" s="7" t="str">
        <f t="shared" si="5"/>
        <v/>
      </c>
      <c r="AV55" s="7" t="str">
        <f t="shared" si="6"/>
        <v/>
      </c>
      <c r="AW55" s="7" t="str">
        <f>IF('RFQ-Input'!O54="","",'RFQ-Input'!O54)</f>
        <v/>
      </c>
      <c r="AX55" s="7" t="str">
        <f>IF('RFQ-Input'!S54="","",'RFQ-Input'!S54)</f>
        <v/>
      </c>
      <c r="AY55" s="7" t="str">
        <f>IF('RFQ-Input'!V54="","",'RFQ-Input'!V54)</f>
        <v/>
      </c>
      <c r="AZ55" s="7" t="str">
        <f>IF('RFQ-Input'!Y54="","",'RFQ-Input'!Y54)</f>
        <v/>
      </c>
      <c r="BA55" s="7" t="str">
        <f>IF('RFQ-Input'!AB54="","",'RFQ-Input'!AB54)</f>
        <v/>
      </c>
    </row>
    <row r="56" spans="1:53">
      <c r="A56" s="20">
        <v>52</v>
      </c>
      <c r="B56" s="7"/>
      <c r="C56" s="7" t="str">
        <f>IF('RFQ-Input'!C55="","",'RFQ-Input'!C55)</f>
        <v/>
      </c>
      <c r="D56" s="7" t="str">
        <f>IF('RFQ-Input'!D55="","",'RFQ-Input'!D55)</f>
        <v/>
      </c>
      <c r="E56" s="7" t="str">
        <f>IF('RFQ-Input'!E55="","",'RFQ-Input'!E55)</f>
        <v/>
      </c>
      <c r="F56" s="7" t="str">
        <f>IF('RFQ-Input'!F55="","",'RFQ-Input'!F55)</f>
        <v/>
      </c>
      <c r="G56" s="7" t="str">
        <f>IF('RFQ-Input'!G55="","",'RFQ-Input'!G55)</f>
        <v/>
      </c>
      <c r="H56" s="7" t="str">
        <f>IF('RFQ-Input'!H55="","",'RFQ-Input'!H55)</f>
        <v/>
      </c>
      <c r="I56" s="7" t="str">
        <f>IF('RFQ-Input'!I55="","",'RFQ-Input'!I55)</f>
        <v/>
      </c>
      <c r="J56" s="7" t="str">
        <f>IF('RFQ-Input'!J55="","",'RFQ-Input'!J55)</f>
        <v/>
      </c>
      <c r="K56" s="7" t="str">
        <f>IF('RFQ-Input'!K55="","",'RFQ-Input'!K55)</f>
        <v/>
      </c>
      <c r="L56" s="7" t="str">
        <f>IF('RFQ-Input'!L55="","",'RFQ-Input'!L55)</f>
        <v/>
      </c>
      <c r="M56" s="7" t="str">
        <f>IF('RFQ-Input'!M55="","",'RFQ-Input'!M55)</f>
        <v/>
      </c>
      <c r="N56" s="7" t="str">
        <f>IF('RFQ-Input'!N55="","",'RFQ-Input'!N55)</f>
        <v/>
      </c>
      <c r="O56" s="7" t="str">
        <f>IF('RFQ-Input'!O55="","",'RFQ-Input'!O55)</f>
        <v/>
      </c>
      <c r="Q56" s="7"/>
      <c r="R56" s="7"/>
      <c r="S56" s="7"/>
      <c r="T56" s="7"/>
      <c r="U56" s="7"/>
      <c r="V56" s="7"/>
      <c r="X56" s="7"/>
      <c r="Y56" s="7"/>
      <c r="Z56" s="7"/>
      <c r="AA56" s="7" t="str">
        <f t="shared" si="0"/>
        <v/>
      </c>
      <c r="AB56" s="7"/>
      <c r="AC56" s="7"/>
      <c r="AQ56" s="7" t="str">
        <f t="shared" si="1"/>
        <v/>
      </c>
      <c r="AR56" s="7" t="str">
        <f t="shared" si="2"/>
        <v/>
      </c>
      <c r="AS56" s="7" t="str">
        <f t="shared" si="3"/>
        <v/>
      </c>
      <c r="AT56" s="7" t="str">
        <f t="shared" si="4"/>
        <v/>
      </c>
      <c r="AU56" s="7" t="str">
        <f t="shared" si="5"/>
        <v/>
      </c>
      <c r="AV56" s="7" t="str">
        <f t="shared" si="6"/>
        <v/>
      </c>
      <c r="AW56" s="7" t="str">
        <f>IF('RFQ-Input'!O55="","",'RFQ-Input'!O55)</f>
        <v/>
      </c>
      <c r="AX56" s="7" t="str">
        <f>IF('RFQ-Input'!S55="","",'RFQ-Input'!S55)</f>
        <v/>
      </c>
      <c r="AY56" s="7" t="str">
        <f>IF('RFQ-Input'!V55="","",'RFQ-Input'!V55)</f>
        <v/>
      </c>
      <c r="AZ56" s="7" t="str">
        <f>IF('RFQ-Input'!Y55="","",'RFQ-Input'!Y55)</f>
        <v/>
      </c>
      <c r="BA56" s="7" t="str">
        <f>IF('RFQ-Input'!AB55="","",'RFQ-Input'!AB55)</f>
        <v/>
      </c>
    </row>
    <row r="57" spans="1:53">
      <c r="A57" s="20">
        <v>53</v>
      </c>
      <c r="B57" s="7"/>
      <c r="C57" s="7" t="str">
        <f>IF('RFQ-Input'!C56="","",'RFQ-Input'!C56)</f>
        <v/>
      </c>
      <c r="D57" s="7" t="str">
        <f>IF('RFQ-Input'!D56="","",'RFQ-Input'!D56)</f>
        <v/>
      </c>
      <c r="E57" s="7" t="str">
        <f>IF('RFQ-Input'!E56="","",'RFQ-Input'!E56)</f>
        <v/>
      </c>
      <c r="F57" s="7" t="str">
        <f>IF('RFQ-Input'!F56="","",'RFQ-Input'!F56)</f>
        <v/>
      </c>
      <c r="G57" s="7" t="str">
        <f>IF('RFQ-Input'!G56="","",'RFQ-Input'!G56)</f>
        <v/>
      </c>
      <c r="H57" s="7" t="str">
        <f>IF('RFQ-Input'!H56="","",'RFQ-Input'!H56)</f>
        <v/>
      </c>
      <c r="I57" s="7" t="str">
        <f>IF('RFQ-Input'!I56="","",'RFQ-Input'!I56)</f>
        <v/>
      </c>
      <c r="J57" s="7" t="str">
        <f>IF('RFQ-Input'!J56="","",'RFQ-Input'!J56)</f>
        <v/>
      </c>
      <c r="K57" s="7" t="str">
        <f>IF('RFQ-Input'!K56="","",'RFQ-Input'!K56)</f>
        <v/>
      </c>
      <c r="L57" s="7" t="str">
        <f>IF('RFQ-Input'!L56="","",'RFQ-Input'!L56)</f>
        <v/>
      </c>
      <c r="M57" s="7" t="str">
        <f>IF('RFQ-Input'!M56="","",'RFQ-Input'!M56)</f>
        <v/>
      </c>
      <c r="N57" s="7" t="str">
        <f>IF('RFQ-Input'!N56="","",'RFQ-Input'!N56)</f>
        <v/>
      </c>
      <c r="O57" s="7" t="str">
        <f>IF('RFQ-Input'!O56="","",'RFQ-Input'!O56)</f>
        <v/>
      </c>
      <c r="Q57" s="7"/>
      <c r="R57" s="7"/>
      <c r="S57" s="7"/>
      <c r="T57" s="7"/>
      <c r="U57" s="7"/>
      <c r="V57" s="7"/>
      <c r="X57" s="7"/>
      <c r="Y57" s="7"/>
      <c r="Z57" s="7"/>
      <c r="AA57" s="7" t="str">
        <f t="shared" si="0"/>
        <v/>
      </c>
      <c r="AB57" s="7"/>
      <c r="AC57" s="7"/>
      <c r="AQ57" s="7" t="str">
        <f t="shared" si="1"/>
        <v/>
      </c>
      <c r="AR57" s="7" t="str">
        <f t="shared" si="2"/>
        <v/>
      </c>
      <c r="AS57" s="7" t="str">
        <f t="shared" si="3"/>
        <v/>
      </c>
      <c r="AT57" s="7" t="str">
        <f t="shared" si="4"/>
        <v/>
      </c>
      <c r="AU57" s="7" t="str">
        <f t="shared" si="5"/>
        <v/>
      </c>
      <c r="AV57" s="7" t="str">
        <f t="shared" si="6"/>
        <v/>
      </c>
      <c r="AW57" s="7" t="str">
        <f>IF('RFQ-Input'!O56="","",'RFQ-Input'!O56)</f>
        <v/>
      </c>
      <c r="AX57" s="7" t="str">
        <f>IF('RFQ-Input'!S56="","",'RFQ-Input'!S56)</f>
        <v/>
      </c>
      <c r="AY57" s="7" t="str">
        <f>IF('RFQ-Input'!V56="","",'RFQ-Input'!V56)</f>
        <v/>
      </c>
      <c r="AZ57" s="7" t="str">
        <f>IF('RFQ-Input'!Y56="","",'RFQ-Input'!Y56)</f>
        <v/>
      </c>
      <c r="BA57" s="7" t="str">
        <f>IF('RFQ-Input'!AB56="","",'RFQ-Input'!AB56)</f>
        <v/>
      </c>
    </row>
    <row r="58" spans="1:53">
      <c r="A58" s="20">
        <v>54</v>
      </c>
      <c r="B58" s="7"/>
      <c r="C58" s="7" t="str">
        <f>IF('RFQ-Input'!C57="","",'RFQ-Input'!C57)</f>
        <v/>
      </c>
      <c r="D58" s="7" t="str">
        <f>IF('RFQ-Input'!D57="","",'RFQ-Input'!D57)</f>
        <v/>
      </c>
      <c r="E58" s="7" t="str">
        <f>IF('RFQ-Input'!E57="","",'RFQ-Input'!E57)</f>
        <v/>
      </c>
      <c r="F58" s="7" t="str">
        <f>IF('RFQ-Input'!F57="","",'RFQ-Input'!F57)</f>
        <v/>
      </c>
      <c r="G58" s="7" t="str">
        <f>IF('RFQ-Input'!G57="","",'RFQ-Input'!G57)</f>
        <v/>
      </c>
      <c r="H58" s="7" t="str">
        <f>IF('RFQ-Input'!H57="","",'RFQ-Input'!H57)</f>
        <v/>
      </c>
      <c r="I58" s="7" t="str">
        <f>IF('RFQ-Input'!I57="","",'RFQ-Input'!I57)</f>
        <v/>
      </c>
      <c r="J58" s="7" t="str">
        <f>IF('RFQ-Input'!J57="","",'RFQ-Input'!J57)</f>
        <v/>
      </c>
      <c r="K58" s="7" t="str">
        <f>IF('RFQ-Input'!K57="","",'RFQ-Input'!K57)</f>
        <v/>
      </c>
      <c r="L58" s="7" t="str">
        <f>IF('RFQ-Input'!L57="","",'RFQ-Input'!L57)</f>
        <v/>
      </c>
      <c r="M58" s="7" t="str">
        <f>IF('RFQ-Input'!M57="","",'RFQ-Input'!M57)</f>
        <v/>
      </c>
      <c r="N58" s="7" t="str">
        <f>IF('RFQ-Input'!N57="","",'RFQ-Input'!N57)</f>
        <v/>
      </c>
      <c r="O58" s="7" t="str">
        <f>IF('RFQ-Input'!O57="","",'RFQ-Input'!O57)</f>
        <v/>
      </c>
      <c r="Q58" s="7"/>
      <c r="R58" s="7"/>
      <c r="S58" s="7"/>
      <c r="T58" s="7"/>
      <c r="U58" s="7"/>
      <c r="V58" s="7"/>
      <c r="X58" s="7"/>
      <c r="Y58" s="7"/>
      <c r="Z58" s="7"/>
      <c r="AA58" s="7" t="str">
        <f t="shared" si="0"/>
        <v/>
      </c>
      <c r="AB58" s="7"/>
      <c r="AC58" s="7"/>
      <c r="AQ58" s="7" t="str">
        <f t="shared" si="1"/>
        <v/>
      </c>
      <c r="AR58" s="7" t="str">
        <f t="shared" si="2"/>
        <v/>
      </c>
      <c r="AS58" s="7" t="str">
        <f t="shared" si="3"/>
        <v/>
      </c>
      <c r="AT58" s="7" t="str">
        <f t="shared" si="4"/>
        <v/>
      </c>
      <c r="AU58" s="7" t="str">
        <f t="shared" si="5"/>
        <v/>
      </c>
      <c r="AV58" s="7" t="str">
        <f t="shared" si="6"/>
        <v/>
      </c>
      <c r="AW58" s="7" t="str">
        <f>IF('RFQ-Input'!O57="","",'RFQ-Input'!O57)</f>
        <v/>
      </c>
      <c r="AX58" s="7" t="str">
        <f>IF('RFQ-Input'!S57="","",'RFQ-Input'!S57)</f>
        <v/>
      </c>
      <c r="AY58" s="7" t="str">
        <f>IF('RFQ-Input'!V57="","",'RFQ-Input'!V57)</f>
        <v/>
      </c>
      <c r="AZ58" s="7" t="str">
        <f>IF('RFQ-Input'!Y57="","",'RFQ-Input'!Y57)</f>
        <v/>
      </c>
      <c r="BA58" s="7" t="str">
        <f>IF('RFQ-Input'!AB57="","",'RFQ-Input'!AB57)</f>
        <v/>
      </c>
    </row>
    <row r="59" spans="1:53">
      <c r="A59" s="20">
        <v>55</v>
      </c>
      <c r="B59" s="7"/>
      <c r="C59" s="7" t="str">
        <f>IF('RFQ-Input'!C58="","",'RFQ-Input'!C58)</f>
        <v/>
      </c>
      <c r="D59" s="7" t="str">
        <f>IF('RFQ-Input'!D58="","",'RFQ-Input'!D58)</f>
        <v/>
      </c>
      <c r="E59" s="7" t="str">
        <f>IF('RFQ-Input'!E58="","",'RFQ-Input'!E58)</f>
        <v/>
      </c>
      <c r="F59" s="7" t="str">
        <f>IF('RFQ-Input'!F58="","",'RFQ-Input'!F58)</f>
        <v/>
      </c>
      <c r="G59" s="7" t="str">
        <f>IF('RFQ-Input'!G58="","",'RFQ-Input'!G58)</f>
        <v/>
      </c>
      <c r="H59" s="7" t="str">
        <f>IF('RFQ-Input'!H58="","",'RFQ-Input'!H58)</f>
        <v/>
      </c>
      <c r="I59" s="7" t="str">
        <f>IF('RFQ-Input'!I58="","",'RFQ-Input'!I58)</f>
        <v/>
      </c>
      <c r="J59" s="7" t="str">
        <f>IF('RFQ-Input'!J58="","",'RFQ-Input'!J58)</f>
        <v/>
      </c>
      <c r="K59" s="7" t="str">
        <f>IF('RFQ-Input'!K58="","",'RFQ-Input'!K58)</f>
        <v/>
      </c>
      <c r="L59" s="7" t="str">
        <f>IF('RFQ-Input'!L58="","",'RFQ-Input'!L58)</f>
        <v/>
      </c>
      <c r="M59" s="7" t="str">
        <f>IF('RFQ-Input'!M58="","",'RFQ-Input'!M58)</f>
        <v/>
      </c>
      <c r="N59" s="7" t="str">
        <f>IF('RFQ-Input'!N58="","",'RFQ-Input'!N58)</f>
        <v/>
      </c>
      <c r="O59" s="7" t="str">
        <f>IF('RFQ-Input'!O58="","",'RFQ-Input'!O58)</f>
        <v/>
      </c>
      <c r="Q59" s="7"/>
      <c r="R59" s="7"/>
      <c r="S59" s="7"/>
      <c r="T59" s="7"/>
      <c r="U59" s="7"/>
      <c r="V59" s="7"/>
      <c r="X59" s="7"/>
      <c r="Y59" s="7"/>
      <c r="Z59" s="7"/>
      <c r="AA59" s="7" t="str">
        <f t="shared" si="0"/>
        <v/>
      </c>
      <c r="AB59" s="7"/>
      <c r="AC59" s="7"/>
      <c r="AQ59" s="7" t="str">
        <f t="shared" si="1"/>
        <v/>
      </c>
      <c r="AR59" s="7" t="str">
        <f t="shared" si="2"/>
        <v/>
      </c>
      <c r="AS59" s="7" t="str">
        <f t="shared" si="3"/>
        <v/>
      </c>
      <c r="AT59" s="7" t="str">
        <f t="shared" si="4"/>
        <v/>
      </c>
      <c r="AU59" s="7" t="str">
        <f t="shared" si="5"/>
        <v/>
      </c>
      <c r="AV59" s="7" t="str">
        <f t="shared" si="6"/>
        <v/>
      </c>
      <c r="AW59" s="7" t="str">
        <f>IF('RFQ-Input'!O58="","",'RFQ-Input'!O58)</f>
        <v/>
      </c>
      <c r="AX59" s="7" t="str">
        <f>IF('RFQ-Input'!S58="","",'RFQ-Input'!S58)</f>
        <v/>
      </c>
      <c r="AY59" s="7" t="str">
        <f>IF('RFQ-Input'!V58="","",'RFQ-Input'!V58)</f>
        <v/>
      </c>
      <c r="AZ59" s="7" t="str">
        <f>IF('RFQ-Input'!Y58="","",'RFQ-Input'!Y58)</f>
        <v/>
      </c>
      <c r="BA59" s="7" t="str">
        <f>IF('RFQ-Input'!AB58="","",'RFQ-Input'!AB58)</f>
        <v/>
      </c>
    </row>
    <row r="60" spans="1:53">
      <c r="A60" s="20">
        <v>56</v>
      </c>
      <c r="B60" s="7"/>
      <c r="C60" s="7" t="str">
        <f>IF('RFQ-Input'!C59="","",'RFQ-Input'!C59)</f>
        <v/>
      </c>
      <c r="D60" s="7" t="str">
        <f>IF('RFQ-Input'!D59="","",'RFQ-Input'!D59)</f>
        <v/>
      </c>
      <c r="E60" s="7" t="str">
        <f>IF('RFQ-Input'!E59="","",'RFQ-Input'!E59)</f>
        <v/>
      </c>
      <c r="F60" s="7" t="str">
        <f>IF('RFQ-Input'!F59="","",'RFQ-Input'!F59)</f>
        <v/>
      </c>
      <c r="G60" s="7" t="str">
        <f>IF('RFQ-Input'!G59="","",'RFQ-Input'!G59)</f>
        <v/>
      </c>
      <c r="H60" s="7" t="str">
        <f>IF('RFQ-Input'!H59="","",'RFQ-Input'!H59)</f>
        <v/>
      </c>
      <c r="I60" s="7" t="str">
        <f>IF('RFQ-Input'!I59="","",'RFQ-Input'!I59)</f>
        <v/>
      </c>
      <c r="J60" s="7" t="str">
        <f>IF('RFQ-Input'!J59="","",'RFQ-Input'!J59)</f>
        <v/>
      </c>
      <c r="K60" s="7" t="str">
        <f>IF('RFQ-Input'!K59="","",'RFQ-Input'!K59)</f>
        <v/>
      </c>
      <c r="L60" s="7" t="str">
        <f>IF('RFQ-Input'!L59="","",'RFQ-Input'!L59)</f>
        <v/>
      </c>
      <c r="M60" s="7" t="str">
        <f>IF('RFQ-Input'!M59="","",'RFQ-Input'!M59)</f>
        <v/>
      </c>
      <c r="N60" s="7" t="str">
        <f>IF('RFQ-Input'!N59="","",'RFQ-Input'!N59)</f>
        <v/>
      </c>
      <c r="O60" s="7" t="str">
        <f>IF('RFQ-Input'!O59="","",'RFQ-Input'!O59)</f>
        <v/>
      </c>
      <c r="Q60" s="7"/>
      <c r="R60" s="7"/>
      <c r="S60" s="7"/>
      <c r="T60" s="7"/>
      <c r="U60" s="7"/>
      <c r="V60" s="7"/>
      <c r="X60" s="7"/>
      <c r="Y60" s="7"/>
      <c r="Z60" s="7"/>
      <c r="AA60" s="7" t="str">
        <f t="shared" si="0"/>
        <v/>
      </c>
      <c r="AB60" s="7"/>
      <c r="AC60" s="7"/>
      <c r="AQ60" s="7" t="str">
        <f t="shared" si="1"/>
        <v/>
      </c>
      <c r="AR60" s="7" t="str">
        <f t="shared" si="2"/>
        <v/>
      </c>
      <c r="AS60" s="7" t="str">
        <f t="shared" si="3"/>
        <v/>
      </c>
      <c r="AT60" s="7" t="str">
        <f t="shared" si="4"/>
        <v/>
      </c>
      <c r="AU60" s="7" t="str">
        <f t="shared" si="5"/>
        <v/>
      </c>
      <c r="AV60" s="7" t="str">
        <f t="shared" si="6"/>
        <v/>
      </c>
      <c r="AW60" s="7" t="str">
        <f>IF('RFQ-Input'!O59="","",'RFQ-Input'!O59)</f>
        <v/>
      </c>
      <c r="AX60" s="7" t="str">
        <f>IF('RFQ-Input'!S59="","",'RFQ-Input'!S59)</f>
        <v/>
      </c>
      <c r="AY60" s="7" t="str">
        <f>IF('RFQ-Input'!V59="","",'RFQ-Input'!V59)</f>
        <v/>
      </c>
      <c r="AZ60" s="7" t="str">
        <f>IF('RFQ-Input'!Y59="","",'RFQ-Input'!Y59)</f>
        <v/>
      </c>
      <c r="BA60" s="7" t="str">
        <f>IF('RFQ-Input'!AB59="","",'RFQ-Input'!AB59)</f>
        <v/>
      </c>
    </row>
    <row r="61" spans="1:53">
      <c r="A61" s="20">
        <v>57</v>
      </c>
      <c r="B61" s="7"/>
      <c r="C61" s="7" t="str">
        <f>IF('RFQ-Input'!C60="","",'RFQ-Input'!C60)</f>
        <v/>
      </c>
      <c r="D61" s="7" t="str">
        <f>IF('RFQ-Input'!D60="","",'RFQ-Input'!D60)</f>
        <v/>
      </c>
      <c r="E61" s="7" t="str">
        <f>IF('RFQ-Input'!E60="","",'RFQ-Input'!E60)</f>
        <v/>
      </c>
      <c r="F61" s="7" t="str">
        <f>IF('RFQ-Input'!F60="","",'RFQ-Input'!F60)</f>
        <v/>
      </c>
      <c r="G61" s="7" t="str">
        <f>IF('RFQ-Input'!G60="","",'RFQ-Input'!G60)</f>
        <v/>
      </c>
      <c r="H61" s="7" t="str">
        <f>IF('RFQ-Input'!H60="","",'RFQ-Input'!H60)</f>
        <v/>
      </c>
      <c r="I61" s="7" t="str">
        <f>IF('RFQ-Input'!I60="","",'RFQ-Input'!I60)</f>
        <v/>
      </c>
      <c r="J61" s="7" t="str">
        <f>IF('RFQ-Input'!J60="","",'RFQ-Input'!J60)</f>
        <v/>
      </c>
      <c r="K61" s="7" t="str">
        <f>IF('RFQ-Input'!K60="","",'RFQ-Input'!K60)</f>
        <v/>
      </c>
      <c r="L61" s="7" t="str">
        <f>IF('RFQ-Input'!L60="","",'RFQ-Input'!L60)</f>
        <v/>
      </c>
      <c r="M61" s="7" t="str">
        <f>IF('RFQ-Input'!M60="","",'RFQ-Input'!M60)</f>
        <v/>
      </c>
      <c r="N61" s="7" t="str">
        <f>IF('RFQ-Input'!N60="","",'RFQ-Input'!N60)</f>
        <v/>
      </c>
      <c r="O61" s="7" t="str">
        <f>IF('RFQ-Input'!O60="","",'RFQ-Input'!O60)</f>
        <v/>
      </c>
      <c r="Q61" s="7"/>
      <c r="R61" s="7"/>
      <c r="S61" s="7"/>
      <c r="T61" s="7"/>
      <c r="U61" s="7"/>
      <c r="V61" s="7"/>
      <c r="X61" s="7"/>
      <c r="Y61" s="7"/>
      <c r="Z61" s="7"/>
      <c r="AA61" s="7" t="str">
        <f t="shared" si="0"/>
        <v/>
      </c>
      <c r="AB61" s="7"/>
      <c r="AC61" s="7"/>
      <c r="AQ61" s="7" t="str">
        <f t="shared" si="1"/>
        <v/>
      </c>
      <c r="AR61" s="7" t="str">
        <f t="shared" si="2"/>
        <v/>
      </c>
      <c r="AS61" s="7" t="str">
        <f t="shared" si="3"/>
        <v/>
      </c>
      <c r="AT61" s="7" t="str">
        <f t="shared" si="4"/>
        <v/>
      </c>
      <c r="AU61" s="7" t="str">
        <f t="shared" si="5"/>
        <v/>
      </c>
      <c r="AV61" s="7" t="str">
        <f t="shared" si="6"/>
        <v/>
      </c>
      <c r="AW61" s="7" t="str">
        <f>IF('RFQ-Input'!O60="","",'RFQ-Input'!O60)</f>
        <v/>
      </c>
      <c r="AX61" s="7" t="str">
        <f>IF('RFQ-Input'!S60="","",'RFQ-Input'!S60)</f>
        <v/>
      </c>
      <c r="AY61" s="7" t="str">
        <f>IF('RFQ-Input'!V60="","",'RFQ-Input'!V60)</f>
        <v/>
      </c>
      <c r="AZ61" s="7" t="str">
        <f>IF('RFQ-Input'!Y60="","",'RFQ-Input'!Y60)</f>
        <v/>
      </c>
      <c r="BA61" s="7" t="str">
        <f>IF('RFQ-Input'!AB60="","",'RFQ-Input'!AB60)</f>
        <v/>
      </c>
    </row>
    <row r="62" spans="1:53">
      <c r="A62" s="20">
        <v>58</v>
      </c>
      <c r="B62" s="7"/>
      <c r="C62" s="7" t="str">
        <f>IF('RFQ-Input'!C61="","",'RFQ-Input'!C61)</f>
        <v/>
      </c>
      <c r="D62" s="7" t="str">
        <f>IF('RFQ-Input'!D61="","",'RFQ-Input'!D61)</f>
        <v/>
      </c>
      <c r="E62" s="7" t="str">
        <f>IF('RFQ-Input'!E61="","",'RFQ-Input'!E61)</f>
        <v/>
      </c>
      <c r="F62" s="7" t="str">
        <f>IF('RFQ-Input'!F61="","",'RFQ-Input'!F61)</f>
        <v/>
      </c>
      <c r="G62" s="7" t="str">
        <f>IF('RFQ-Input'!G61="","",'RFQ-Input'!G61)</f>
        <v/>
      </c>
      <c r="H62" s="7" t="str">
        <f>IF('RFQ-Input'!H61="","",'RFQ-Input'!H61)</f>
        <v/>
      </c>
      <c r="I62" s="7" t="str">
        <f>IF('RFQ-Input'!I61="","",'RFQ-Input'!I61)</f>
        <v/>
      </c>
      <c r="J62" s="7" t="str">
        <f>IF('RFQ-Input'!J61="","",'RFQ-Input'!J61)</f>
        <v/>
      </c>
      <c r="K62" s="7" t="str">
        <f>IF('RFQ-Input'!K61="","",'RFQ-Input'!K61)</f>
        <v/>
      </c>
      <c r="L62" s="7" t="str">
        <f>IF('RFQ-Input'!L61="","",'RFQ-Input'!L61)</f>
        <v/>
      </c>
      <c r="M62" s="7" t="str">
        <f>IF('RFQ-Input'!M61="","",'RFQ-Input'!M61)</f>
        <v/>
      </c>
      <c r="N62" s="7" t="str">
        <f>IF('RFQ-Input'!N61="","",'RFQ-Input'!N61)</f>
        <v/>
      </c>
      <c r="O62" s="7" t="str">
        <f>IF('RFQ-Input'!O61="","",'RFQ-Input'!O61)</f>
        <v/>
      </c>
      <c r="Q62" s="7"/>
      <c r="R62" s="7"/>
      <c r="S62" s="7"/>
      <c r="T62" s="7"/>
      <c r="U62" s="7"/>
      <c r="V62" s="7"/>
      <c r="X62" s="7"/>
      <c r="Y62" s="7"/>
      <c r="Z62" s="7"/>
      <c r="AA62" s="7" t="str">
        <f t="shared" si="0"/>
        <v/>
      </c>
      <c r="AB62" s="7"/>
      <c r="AC62" s="7"/>
      <c r="AQ62" s="7" t="str">
        <f t="shared" si="1"/>
        <v/>
      </c>
      <c r="AR62" s="7" t="str">
        <f t="shared" si="2"/>
        <v/>
      </c>
      <c r="AS62" s="7" t="str">
        <f t="shared" si="3"/>
        <v/>
      </c>
      <c r="AT62" s="7" t="str">
        <f t="shared" si="4"/>
        <v/>
      </c>
      <c r="AU62" s="7" t="str">
        <f t="shared" si="5"/>
        <v/>
      </c>
      <c r="AV62" s="7" t="str">
        <f t="shared" si="6"/>
        <v/>
      </c>
      <c r="AW62" s="7" t="str">
        <f>IF('RFQ-Input'!O61="","",'RFQ-Input'!O61)</f>
        <v/>
      </c>
      <c r="AX62" s="7" t="str">
        <f>IF('RFQ-Input'!S61="","",'RFQ-Input'!S61)</f>
        <v/>
      </c>
      <c r="AY62" s="7" t="str">
        <f>IF('RFQ-Input'!V61="","",'RFQ-Input'!V61)</f>
        <v/>
      </c>
      <c r="AZ62" s="7" t="str">
        <f>IF('RFQ-Input'!Y61="","",'RFQ-Input'!Y61)</f>
        <v/>
      </c>
      <c r="BA62" s="7" t="str">
        <f>IF('RFQ-Input'!AB61="","",'RFQ-Input'!AB61)</f>
        <v/>
      </c>
    </row>
    <row r="63" spans="1:53">
      <c r="A63" s="20">
        <v>59</v>
      </c>
      <c r="B63" s="7"/>
      <c r="C63" s="7" t="str">
        <f>IF('RFQ-Input'!C62="","",'RFQ-Input'!C62)</f>
        <v/>
      </c>
      <c r="D63" s="7" t="str">
        <f>IF('RFQ-Input'!D62="","",'RFQ-Input'!D62)</f>
        <v/>
      </c>
      <c r="E63" s="7" t="str">
        <f>IF('RFQ-Input'!E62="","",'RFQ-Input'!E62)</f>
        <v/>
      </c>
      <c r="F63" s="7" t="str">
        <f>IF('RFQ-Input'!F62="","",'RFQ-Input'!F62)</f>
        <v/>
      </c>
      <c r="G63" s="7" t="str">
        <f>IF('RFQ-Input'!G62="","",'RFQ-Input'!G62)</f>
        <v/>
      </c>
      <c r="H63" s="7" t="str">
        <f>IF('RFQ-Input'!H62="","",'RFQ-Input'!H62)</f>
        <v/>
      </c>
      <c r="I63" s="7" t="str">
        <f>IF('RFQ-Input'!I62="","",'RFQ-Input'!I62)</f>
        <v/>
      </c>
      <c r="J63" s="7" t="str">
        <f>IF('RFQ-Input'!J62="","",'RFQ-Input'!J62)</f>
        <v/>
      </c>
      <c r="K63" s="7" t="str">
        <f>IF('RFQ-Input'!K62="","",'RFQ-Input'!K62)</f>
        <v/>
      </c>
      <c r="L63" s="7" t="str">
        <f>IF('RFQ-Input'!L62="","",'RFQ-Input'!L62)</f>
        <v/>
      </c>
      <c r="M63" s="7" t="str">
        <f>IF('RFQ-Input'!M62="","",'RFQ-Input'!M62)</f>
        <v/>
      </c>
      <c r="N63" s="7" t="str">
        <f>IF('RFQ-Input'!N62="","",'RFQ-Input'!N62)</f>
        <v/>
      </c>
      <c r="O63" s="7" t="str">
        <f>IF('RFQ-Input'!O62="","",'RFQ-Input'!O62)</f>
        <v/>
      </c>
      <c r="Q63" s="7"/>
      <c r="R63" s="7"/>
      <c r="S63" s="7"/>
      <c r="T63" s="7"/>
      <c r="U63" s="7"/>
      <c r="V63" s="7"/>
      <c r="X63" s="7"/>
      <c r="Y63" s="7"/>
      <c r="Z63" s="7"/>
      <c r="AA63" s="7" t="str">
        <f t="shared" si="0"/>
        <v/>
      </c>
      <c r="AB63" s="7"/>
      <c r="AC63" s="7"/>
      <c r="AQ63" s="7" t="str">
        <f t="shared" si="1"/>
        <v/>
      </c>
      <c r="AR63" s="7" t="str">
        <f t="shared" si="2"/>
        <v/>
      </c>
      <c r="AS63" s="7" t="str">
        <f t="shared" si="3"/>
        <v/>
      </c>
      <c r="AT63" s="7" t="str">
        <f t="shared" si="4"/>
        <v/>
      </c>
      <c r="AU63" s="7" t="str">
        <f t="shared" si="5"/>
        <v/>
      </c>
      <c r="AV63" s="7" t="str">
        <f t="shared" si="6"/>
        <v/>
      </c>
      <c r="AW63" s="7" t="str">
        <f>IF('RFQ-Input'!O62="","",'RFQ-Input'!O62)</f>
        <v/>
      </c>
      <c r="AX63" s="7" t="str">
        <f>IF('RFQ-Input'!S62="","",'RFQ-Input'!S62)</f>
        <v/>
      </c>
      <c r="AY63" s="7" t="str">
        <f>IF('RFQ-Input'!V62="","",'RFQ-Input'!V62)</f>
        <v/>
      </c>
      <c r="AZ63" s="7" t="str">
        <f>IF('RFQ-Input'!Y62="","",'RFQ-Input'!Y62)</f>
        <v/>
      </c>
      <c r="BA63" s="7" t="str">
        <f>IF('RFQ-Input'!AB62="","",'RFQ-Input'!AB62)</f>
        <v/>
      </c>
    </row>
    <row r="64" spans="1:53">
      <c r="A64" s="20">
        <v>60</v>
      </c>
      <c r="B64" s="7"/>
      <c r="C64" s="7" t="str">
        <f>IF('RFQ-Input'!C63="","",'RFQ-Input'!C63)</f>
        <v/>
      </c>
      <c r="D64" s="7" t="str">
        <f>IF('RFQ-Input'!D63="","",'RFQ-Input'!D63)</f>
        <v/>
      </c>
      <c r="E64" s="7" t="str">
        <f>IF('RFQ-Input'!E63="","",'RFQ-Input'!E63)</f>
        <v/>
      </c>
      <c r="F64" s="7" t="str">
        <f>IF('RFQ-Input'!F63="","",'RFQ-Input'!F63)</f>
        <v/>
      </c>
      <c r="G64" s="7" t="str">
        <f>IF('RFQ-Input'!G63="","",'RFQ-Input'!G63)</f>
        <v/>
      </c>
      <c r="H64" s="7" t="str">
        <f>IF('RFQ-Input'!H63="","",'RFQ-Input'!H63)</f>
        <v/>
      </c>
      <c r="I64" s="7" t="str">
        <f>IF('RFQ-Input'!I63="","",'RFQ-Input'!I63)</f>
        <v/>
      </c>
      <c r="J64" s="7" t="str">
        <f>IF('RFQ-Input'!J63="","",'RFQ-Input'!J63)</f>
        <v/>
      </c>
      <c r="K64" s="7" t="str">
        <f>IF('RFQ-Input'!K63="","",'RFQ-Input'!K63)</f>
        <v/>
      </c>
      <c r="L64" s="7" t="str">
        <f>IF('RFQ-Input'!L63="","",'RFQ-Input'!L63)</f>
        <v/>
      </c>
      <c r="M64" s="7" t="str">
        <f>IF('RFQ-Input'!M63="","",'RFQ-Input'!M63)</f>
        <v/>
      </c>
      <c r="N64" s="7" t="str">
        <f>IF('RFQ-Input'!N63="","",'RFQ-Input'!N63)</f>
        <v/>
      </c>
      <c r="O64" s="7" t="str">
        <f>IF('RFQ-Input'!O63="","",'RFQ-Input'!O63)</f>
        <v/>
      </c>
      <c r="Q64" s="7"/>
      <c r="R64" s="7"/>
      <c r="S64" s="7"/>
      <c r="T64" s="7"/>
      <c r="U64" s="7"/>
      <c r="V64" s="7"/>
      <c r="X64" s="7"/>
      <c r="Y64" s="7"/>
      <c r="Z64" s="7"/>
      <c r="AA64" s="7" t="str">
        <f t="shared" si="0"/>
        <v/>
      </c>
      <c r="AB64" s="7"/>
      <c r="AC64" s="7"/>
      <c r="AQ64" s="7" t="str">
        <f t="shared" si="1"/>
        <v/>
      </c>
      <c r="AR64" s="7" t="str">
        <f t="shared" si="2"/>
        <v/>
      </c>
      <c r="AS64" s="7" t="str">
        <f t="shared" si="3"/>
        <v/>
      </c>
      <c r="AT64" s="7" t="str">
        <f t="shared" si="4"/>
        <v/>
      </c>
      <c r="AU64" s="7" t="str">
        <f t="shared" si="5"/>
        <v/>
      </c>
      <c r="AV64" s="7" t="str">
        <f t="shared" si="6"/>
        <v/>
      </c>
      <c r="AW64" s="7" t="str">
        <f>IF('RFQ-Input'!O63="","",'RFQ-Input'!O63)</f>
        <v/>
      </c>
      <c r="AX64" s="7" t="str">
        <f>IF('RFQ-Input'!S63="","",'RFQ-Input'!S63)</f>
        <v/>
      </c>
      <c r="AY64" s="7" t="str">
        <f>IF('RFQ-Input'!V63="","",'RFQ-Input'!V63)</f>
        <v/>
      </c>
      <c r="AZ64" s="7" t="str">
        <f>IF('RFQ-Input'!Y63="","",'RFQ-Input'!Y63)</f>
        <v/>
      </c>
      <c r="BA64" s="7" t="str">
        <f>IF('RFQ-Input'!AB63="","",'RFQ-Input'!AB63)</f>
        <v/>
      </c>
    </row>
    <row r="65" spans="1:53">
      <c r="A65" s="20">
        <v>61</v>
      </c>
      <c r="B65" s="7"/>
      <c r="C65" s="7" t="str">
        <f>IF('RFQ-Input'!C64="","",'RFQ-Input'!C64)</f>
        <v/>
      </c>
      <c r="D65" s="7" t="str">
        <f>IF('RFQ-Input'!D64="","",'RFQ-Input'!D64)</f>
        <v/>
      </c>
      <c r="E65" s="7" t="str">
        <f>IF('RFQ-Input'!E64="","",'RFQ-Input'!E64)</f>
        <v/>
      </c>
      <c r="F65" s="7" t="str">
        <f>IF('RFQ-Input'!F64="","",'RFQ-Input'!F64)</f>
        <v/>
      </c>
      <c r="G65" s="7" t="str">
        <f>IF('RFQ-Input'!G64="","",'RFQ-Input'!G64)</f>
        <v/>
      </c>
      <c r="H65" s="7" t="str">
        <f>IF('RFQ-Input'!H64="","",'RFQ-Input'!H64)</f>
        <v/>
      </c>
      <c r="I65" s="7" t="str">
        <f>IF('RFQ-Input'!I64="","",'RFQ-Input'!I64)</f>
        <v/>
      </c>
      <c r="J65" s="7" t="str">
        <f>IF('RFQ-Input'!J64="","",'RFQ-Input'!J64)</f>
        <v/>
      </c>
      <c r="K65" s="7" t="str">
        <f>IF('RFQ-Input'!K64="","",'RFQ-Input'!K64)</f>
        <v/>
      </c>
      <c r="L65" s="7" t="str">
        <f>IF('RFQ-Input'!L64="","",'RFQ-Input'!L64)</f>
        <v/>
      </c>
      <c r="M65" s="7" t="str">
        <f>IF('RFQ-Input'!M64="","",'RFQ-Input'!M64)</f>
        <v/>
      </c>
      <c r="N65" s="7" t="str">
        <f>IF('RFQ-Input'!N64="","",'RFQ-Input'!N64)</f>
        <v/>
      </c>
      <c r="O65" s="7" t="str">
        <f>IF('RFQ-Input'!O64="","",'RFQ-Input'!O64)</f>
        <v/>
      </c>
      <c r="Q65" s="7"/>
      <c r="R65" s="7"/>
      <c r="S65" s="7"/>
      <c r="T65" s="7"/>
      <c r="U65" s="7"/>
      <c r="V65" s="7"/>
      <c r="X65" s="7"/>
      <c r="Y65" s="7"/>
      <c r="Z65" s="7"/>
      <c r="AA65" s="7" t="str">
        <f t="shared" si="0"/>
        <v/>
      </c>
      <c r="AB65" s="7"/>
      <c r="AC65" s="7"/>
      <c r="AQ65" s="7" t="str">
        <f t="shared" si="1"/>
        <v/>
      </c>
      <c r="AR65" s="7" t="str">
        <f t="shared" si="2"/>
        <v/>
      </c>
      <c r="AS65" s="7" t="str">
        <f t="shared" si="3"/>
        <v/>
      </c>
      <c r="AT65" s="7" t="str">
        <f t="shared" si="4"/>
        <v/>
      </c>
      <c r="AU65" s="7" t="str">
        <f t="shared" si="5"/>
        <v/>
      </c>
      <c r="AV65" s="7" t="str">
        <f t="shared" si="6"/>
        <v/>
      </c>
      <c r="AW65" s="7" t="str">
        <f>IF('RFQ-Input'!O64="","",'RFQ-Input'!O64)</f>
        <v/>
      </c>
      <c r="AX65" s="7" t="str">
        <f>IF('RFQ-Input'!S64="","",'RFQ-Input'!S64)</f>
        <v/>
      </c>
      <c r="AY65" s="7" t="str">
        <f>IF('RFQ-Input'!V64="","",'RFQ-Input'!V64)</f>
        <v/>
      </c>
      <c r="AZ65" s="7" t="str">
        <f>IF('RFQ-Input'!Y64="","",'RFQ-Input'!Y64)</f>
        <v/>
      </c>
      <c r="BA65" s="7" t="str">
        <f>IF('RFQ-Input'!AB64="","",'RFQ-Input'!AB64)</f>
        <v/>
      </c>
    </row>
    <row r="66" spans="1:53">
      <c r="A66" s="20">
        <v>62</v>
      </c>
      <c r="B66" s="7"/>
      <c r="C66" s="7" t="str">
        <f>IF('RFQ-Input'!C65="","",'RFQ-Input'!C65)</f>
        <v/>
      </c>
      <c r="D66" s="7" t="str">
        <f>IF('RFQ-Input'!D65="","",'RFQ-Input'!D65)</f>
        <v/>
      </c>
      <c r="E66" s="7" t="str">
        <f>IF('RFQ-Input'!E65="","",'RFQ-Input'!E65)</f>
        <v/>
      </c>
      <c r="F66" s="7" t="str">
        <f>IF('RFQ-Input'!F65="","",'RFQ-Input'!F65)</f>
        <v/>
      </c>
      <c r="G66" s="7" t="str">
        <f>IF('RFQ-Input'!G65="","",'RFQ-Input'!G65)</f>
        <v/>
      </c>
      <c r="H66" s="7" t="str">
        <f>IF('RFQ-Input'!H65="","",'RFQ-Input'!H65)</f>
        <v/>
      </c>
      <c r="I66" s="7" t="str">
        <f>IF('RFQ-Input'!I65="","",'RFQ-Input'!I65)</f>
        <v/>
      </c>
      <c r="J66" s="7" t="str">
        <f>IF('RFQ-Input'!J65="","",'RFQ-Input'!J65)</f>
        <v/>
      </c>
      <c r="K66" s="7" t="str">
        <f>IF('RFQ-Input'!K65="","",'RFQ-Input'!K65)</f>
        <v/>
      </c>
      <c r="L66" s="7" t="str">
        <f>IF('RFQ-Input'!L65="","",'RFQ-Input'!L65)</f>
        <v/>
      </c>
      <c r="M66" s="7" t="str">
        <f>IF('RFQ-Input'!M65="","",'RFQ-Input'!M65)</f>
        <v/>
      </c>
      <c r="N66" s="7" t="str">
        <f>IF('RFQ-Input'!N65="","",'RFQ-Input'!N65)</f>
        <v/>
      </c>
      <c r="O66" s="7" t="str">
        <f>IF('RFQ-Input'!O65="","",'RFQ-Input'!O65)</f>
        <v/>
      </c>
      <c r="Q66" s="7"/>
      <c r="R66" s="7"/>
      <c r="S66" s="7"/>
      <c r="T66" s="7"/>
      <c r="U66" s="7"/>
      <c r="V66" s="7"/>
      <c r="X66" s="7"/>
      <c r="Y66" s="7"/>
      <c r="Z66" s="7"/>
      <c r="AA66" s="7" t="str">
        <f t="shared" si="0"/>
        <v/>
      </c>
      <c r="AB66" s="7"/>
      <c r="AC66" s="7"/>
      <c r="AQ66" s="7" t="str">
        <f t="shared" si="1"/>
        <v/>
      </c>
      <c r="AR66" s="7" t="str">
        <f t="shared" si="2"/>
        <v/>
      </c>
      <c r="AS66" s="7" t="str">
        <f t="shared" si="3"/>
        <v/>
      </c>
      <c r="AT66" s="7" t="str">
        <f t="shared" si="4"/>
        <v/>
      </c>
      <c r="AU66" s="7" t="str">
        <f t="shared" si="5"/>
        <v/>
      </c>
      <c r="AV66" s="7" t="str">
        <f t="shared" si="6"/>
        <v/>
      </c>
      <c r="AW66" s="7" t="str">
        <f>IF('RFQ-Input'!O65="","",'RFQ-Input'!O65)</f>
        <v/>
      </c>
      <c r="AX66" s="7" t="str">
        <f>IF('RFQ-Input'!S65="","",'RFQ-Input'!S65)</f>
        <v/>
      </c>
      <c r="AY66" s="7" t="str">
        <f>IF('RFQ-Input'!V65="","",'RFQ-Input'!V65)</f>
        <v/>
      </c>
      <c r="AZ66" s="7" t="str">
        <f>IF('RFQ-Input'!Y65="","",'RFQ-Input'!Y65)</f>
        <v/>
      </c>
      <c r="BA66" s="7" t="str">
        <f>IF('RFQ-Input'!AB65="","",'RFQ-Input'!AB65)</f>
        <v/>
      </c>
    </row>
    <row r="67" spans="1:53">
      <c r="A67" s="20">
        <v>63</v>
      </c>
      <c r="B67" s="7"/>
      <c r="C67" s="7" t="str">
        <f>IF('RFQ-Input'!C66="","",'RFQ-Input'!C66)</f>
        <v/>
      </c>
      <c r="D67" s="7" t="str">
        <f>IF('RFQ-Input'!D66="","",'RFQ-Input'!D66)</f>
        <v/>
      </c>
      <c r="E67" s="7" t="str">
        <f>IF('RFQ-Input'!E66="","",'RFQ-Input'!E66)</f>
        <v/>
      </c>
      <c r="F67" s="7" t="str">
        <f>IF('RFQ-Input'!F66="","",'RFQ-Input'!F66)</f>
        <v/>
      </c>
      <c r="G67" s="7" t="str">
        <f>IF('RFQ-Input'!G66="","",'RFQ-Input'!G66)</f>
        <v/>
      </c>
      <c r="H67" s="7" t="str">
        <f>IF('RFQ-Input'!H66="","",'RFQ-Input'!H66)</f>
        <v/>
      </c>
      <c r="I67" s="7" t="str">
        <f>IF('RFQ-Input'!I66="","",'RFQ-Input'!I66)</f>
        <v/>
      </c>
      <c r="J67" s="7" t="str">
        <f>IF('RFQ-Input'!J66="","",'RFQ-Input'!J66)</f>
        <v/>
      </c>
      <c r="K67" s="7" t="str">
        <f>IF('RFQ-Input'!K66="","",'RFQ-Input'!K66)</f>
        <v/>
      </c>
      <c r="L67" s="7" t="str">
        <f>IF('RFQ-Input'!L66="","",'RFQ-Input'!L66)</f>
        <v/>
      </c>
      <c r="M67" s="7" t="str">
        <f>IF('RFQ-Input'!M66="","",'RFQ-Input'!M66)</f>
        <v/>
      </c>
      <c r="N67" s="7" t="str">
        <f>IF('RFQ-Input'!N66="","",'RFQ-Input'!N66)</f>
        <v/>
      </c>
      <c r="O67" s="7" t="str">
        <f>IF('RFQ-Input'!O66="","",'RFQ-Input'!O66)</f>
        <v/>
      </c>
      <c r="Q67" s="7"/>
      <c r="R67" s="7"/>
      <c r="S67" s="7"/>
      <c r="T67" s="7"/>
      <c r="U67" s="7"/>
      <c r="V67" s="7"/>
      <c r="X67" s="7"/>
      <c r="Y67" s="7"/>
      <c r="Z67" s="7"/>
      <c r="AA67" s="7" t="str">
        <f t="shared" si="0"/>
        <v/>
      </c>
      <c r="AB67" s="7"/>
      <c r="AC67" s="7"/>
      <c r="AQ67" s="7" t="str">
        <f t="shared" si="1"/>
        <v/>
      </c>
      <c r="AR67" s="7" t="str">
        <f t="shared" si="2"/>
        <v/>
      </c>
      <c r="AS67" s="7" t="str">
        <f t="shared" si="3"/>
        <v/>
      </c>
      <c r="AT67" s="7" t="str">
        <f t="shared" si="4"/>
        <v/>
      </c>
      <c r="AU67" s="7" t="str">
        <f t="shared" si="5"/>
        <v/>
      </c>
      <c r="AV67" s="7" t="str">
        <f t="shared" si="6"/>
        <v/>
      </c>
      <c r="AW67" s="7" t="str">
        <f>IF('RFQ-Input'!O66="","",'RFQ-Input'!O66)</f>
        <v/>
      </c>
      <c r="AX67" s="7" t="str">
        <f>IF('RFQ-Input'!S66="","",'RFQ-Input'!S66)</f>
        <v/>
      </c>
      <c r="AY67" s="7" t="str">
        <f>IF('RFQ-Input'!V66="","",'RFQ-Input'!V66)</f>
        <v/>
      </c>
      <c r="AZ67" s="7" t="str">
        <f>IF('RFQ-Input'!Y66="","",'RFQ-Input'!Y66)</f>
        <v/>
      </c>
      <c r="BA67" s="7" t="str">
        <f>IF('RFQ-Input'!AB66="","",'RFQ-Input'!AB66)</f>
        <v/>
      </c>
    </row>
    <row r="68" spans="1:53">
      <c r="A68" s="20">
        <v>64</v>
      </c>
      <c r="B68" s="7"/>
      <c r="C68" s="7" t="str">
        <f>IF('RFQ-Input'!C67="","",'RFQ-Input'!C67)</f>
        <v/>
      </c>
      <c r="D68" s="7" t="str">
        <f>IF('RFQ-Input'!D67="","",'RFQ-Input'!D67)</f>
        <v/>
      </c>
      <c r="E68" s="7" t="str">
        <f>IF('RFQ-Input'!E67="","",'RFQ-Input'!E67)</f>
        <v/>
      </c>
      <c r="F68" s="7" t="str">
        <f>IF('RFQ-Input'!F67="","",'RFQ-Input'!F67)</f>
        <v/>
      </c>
      <c r="G68" s="7" t="str">
        <f>IF('RFQ-Input'!G67="","",'RFQ-Input'!G67)</f>
        <v/>
      </c>
      <c r="H68" s="7" t="str">
        <f>IF('RFQ-Input'!H67="","",'RFQ-Input'!H67)</f>
        <v/>
      </c>
      <c r="I68" s="7" t="str">
        <f>IF('RFQ-Input'!I67="","",'RFQ-Input'!I67)</f>
        <v/>
      </c>
      <c r="J68" s="7" t="str">
        <f>IF('RFQ-Input'!J67="","",'RFQ-Input'!J67)</f>
        <v/>
      </c>
      <c r="K68" s="7" t="str">
        <f>IF('RFQ-Input'!K67="","",'RFQ-Input'!K67)</f>
        <v/>
      </c>
      <c r="L68" s="7" t="str">
        <f>IF('RFQ-Input'!L67="","",'RFQ-Input'!L67)</f>
        <v/>
      </c>
      <c r="M68" s="7" t="str">
        <f>IF('RFQ-Input'!M67="","",'RFQ-Input'!M67)</f>
        <v/>
      </c>
      <c r="N68" s="7" t="str">
        <f>IF('RFQ-Input'!N67="","",'RFQ-Input'!N67)</f>
        <v/>
      </c>
      <c r="O68" s="7" t="str">
        <f>IF('RFQ-Input'!O67="","",'RFQ-Input'!O67)</f>
        <v/>
      </c>
      <c r="Q68" s="7"/>
      <c r="R68" s="7"/>
      <c r="S68" s="7"/>
      <c r="T68" s="7"/>
      <c r="U68" s="7"/>
      <c r="V68" s="7"/>
      <c r="X68" s="7"/>
      <c r="Y68" s="7"/>
      <c r="Z68" s="7"/>
      <c r="AA68" s="7" t="str">
        <f t="shared" si="0"/>
        <v/>
      </c>
      <c r="AB68" s="7"/>
      <c r="AC68" s="7"/>
      <c r="AQ68" s="7" t="str">
        <f t="shared" si="1"/>
        <v/>
      </c>
      <c r="AR68" s="7" t="str">
        <f t="shared" si="2"/>
        <v/>
      </c>
      <c r="AS68" s="7" t="str">
        <f t="shared" si="3"/>
        <v/>
      </c>
      <c r="AT68" s="7" t="str">
        <f t="shared" si="4"/>
        <v/>
      </c>
      <c r="AU68" s="7" t="str">
        <f t="shared" si="5"/>
        <v/>
      </c>
      <c r="AV68" s="7" t="str">
        <f t="shared" si="6"/>
        <v/>
      </c>
      <c r="AW68" s="7" t="str">
        <f>IF('RFQ-Input'!O67="","",'RFQ-Input'!O67)</f>
        <v/>
      </c>
      <c r="AX68" s="7" t="str">
        <f>IF('RFQ-Input'!S67="","",'RFQ-Input'!S67)</f>
        <v/>
      </c>
      <c r="AY68" s="7" t="str">
        <f>IF('RFQ-Input'!V67="","",'RFQ-Input'!V67)</f>
        <v/>
      </c>
      <c r="AZ68" s="7" t="str">
        <f>IF('RFQ-Input'!Y67="","",'RFQ-Input'!Y67)</f>
        <v/>
      </c>
      <c r="BA68" s="7" t="str">
        <f>IF('RFQ-Input'!AB67="","",'RFQ-Input'!AB67)</f>
        <v/>
      </c>
    </row>
    <row r="69" spans="1:53">
      <c r="A69" s="20">
        <v>65</v>
      </c>
      <c r="B69" s="7"/>
      <c r="C69" s="7" t="str">
        <f>IF('RFQ-Input'!C68="","",'RFQ-Input'!C68)</f>
        <v/>
      </c>
      <c r="D69" s="7" t="str">
        <f>IF('RFQ-Input'!D68="","",'RFQ-Input'!D68)</f>
        <v/>
      </c>
      <c r="E69" s="7" t="str">
        <f>IF('RFQ-Input'!E68="","",'RFQ-Input'!E68)</f>
        <v/>
      </c>
      <c r="F69" s="7" t="str">
        <f>IF('RFQ-Input'!F68="","",'RFQ-Input'!F68)</f>
        <v/>
      </c>
      <c r="G69" s="7" t="str">
        <f>IF('RFQ-Input'!G68="","",'RFQ-Input'!G68)</f>
        <v/>
      </c>
      <c r="H69" s="7" t="str">
        <f>IF('RFQ-Input'!H68="","",'RFQ-Input'!H68)</f>
        <v/>
      </c>
      <c r="I69" s="7" t="str">
        <f>IF('RFQ-Input'!I68="","",'RFQ-Input'!I68)</f>
        <v/>
      </c>
      <c r="J69" s="7" t="str">
        <f>IF('RFQ-Input'!J68="","",'RFQ-Input'!J68)</f>
        <v/>
      </c>
      <c r="K69" s="7" t="str">
        <f>IF('RFQ-Input'!K68="","",'RFQ-Input'!K68)</f>
        <v/>
      </c>
      <c r="L69" s="7" t="str">
        <f>IF('RFQ-Input'!L68="","",'RFQ-Input'!L68)</f>
        <v/>
      </c>
      <c r="M69" s="7" t="str">
        <f>IF('RFQ-Input'!M68="","",'RFQ-Input'!M68)</f>
        <v/>
      </c>
      <c r="N69" s="7" t="str">
        <f>IF('RFQ-Input'!N68="","",'RFQ-Input'!N68)</f>
        <v/>
      </c>
      <c r="O69" s="7" t="str">
        <f>IF('RFQ-Input'!O68="","",'RFQ-Input'!O68)</f>
        <v/>
      </c>
      <c r="Q69" s="7"/>
      <c r="R69" s="7"/>
      <c r="S69" s="7"/>
      <c r="T69" s="7"/>
      <c r="U69" s="7"/>
      <c r="V69" s="7"/>
      <c r="X69" s="7"/>
      <c r="Y69" s="7"/>
      <c r="Z69" s="7"/>
      <c r="AA69" s="7" t="str">
        <f t="shared" ref="AA69:AA132" si="7">IF(AND(L69="",Y69=""),"",L69)</f>
        <v/>
      </c>
      <c r="AB69" s="7"/>
      <c r="AC69" s="7"/>
      <c r="AQ69" s="7" t="str">
        <f t="shared" si="1"/>
        <v/>
      </c>
      <c r="AR69" s="7" t="str">
        <f t="shared" si="2"/>
        <v/>
      </c>
      <c r="AS69" s="7" t="str">
        <f t="shared" si="3"/>
        <v/>
      </c>
      <c r="AT69" s="7" t="str">
        <f t="shared" si="4"/>
        <v/>
      </c>
      <c r="AU69" s="7" t="str">
        <f t="shared" si="5"/>
        <v/>
      </c>
      <c r="AV69" s="7" t="str">
        <f t="shared" si="6"/>
        <v/>
      </c>
      <c r="AW69" s="7" t="str">
        <f>IF('RFQ-Input'!O68="","",'RFQ-Input'!O68)</f>
        <v/>
      </c>
      <c r="AX69" s="7" t="str">
        <f>IF('RFQ-Input'!S68="","",'RFQ-Input'!S68)</f>
        <v/>
      </c>
      <c r="AY69" s="7" t="str">
        <f>IF('RFQ-Input'!V68="","",'RFQ-Input'!V68)</f>
        <v/>
      </c>
      <c r="AZ69" s="7" t="str">
        <f>IF('RFQ-Input'!Y68="","",'RFQ-Input'!Y68)</f>
        <v/>
      </c>
      <c r="BA69" s="7" t="str">
        <f>IF('RFQ-Input'!AB68="","",'RFQ-Input'!AB68)</f>
        <v/>
      </c>
    </row>
    <row r="70" spans="1:53">
      <c r="A70" s="20">
        <v>66</v>
      </c>
      <c r="B70" s="7"/>
      <c r="C70" s="7" t="str">
        <f>IF('RFQ-Input'!C69="","",'RFQ-Input'!C69)</f>
        <v/>
      </c>
      <c r="D70" s="7" t="str">
        <f>IF('RFQ-Input'!D69="","",'RFQ-Input'!D69)</f>
        <v/>
      </c>
      <c r="E70" s="7" t="str">
        <f>IF('RFQ-Input'!E69="","",'RFQ-Input'!E69)</f>
        <v/>
      </c>
      <c r="F70" s="7" t="str">
        <f>IF('RFQ-Input'!F69="","",'RFQ-Input'!F69)</f>
        <v/>
      </c>
      <c r="G70" s="7" t="str">
        <f>IF('RFQ-Input'!G69="","",'RFQ-Input'!G69)</f>
        <v/>
      </c>
      <c r="H70" s="7" t="str">
        <f>IF('RFQ-Input'!H69="","",'RFQ-Input'!H69)</f>
        <v/>
      </c>
      <c r="I70" s="7" t="str">
        <f>IF('RFQ-Input'!I69="","",'RFQ-Input'!I69)</f>
        <v/>
      </c>
      <c r="J70" s="7" t="str">
        <f>IF('RFQ-Input'!J69="","",'RFQ-Input'!J69)</f>
        <v/>
      </c>
      <c r="K70" s="7" t="str">
        <f>IF('RFQ-Input'!K69="","",'RFQ-Input'!K69)</f>
        <v/>
      </c>
      <c r="L70" s="7" t="str">
        <f>IF('RFQ-Input'!L69="","",'RFQ-Input'!L69)</f>
        <v/>
      </c>
      <c r="M70" s="7" t="str">
        <f>IF('RFQ-Input'!M69="","",'RFQ-Input'!M69)</f>
        <v/>
      </c>
      <c r="N70" s="7" t="str">
        <f>IF('RFQ-Input'!N69="","",'RFQ-Input'!N69)</f>
        <v/>
      </c>
      <c r="O70" s="7" t="str">
        <f>IF('RFQ-Input'!O69="","",'RFQ-Input'!O69)</f>
        <v/>
      </c>
      <c r="Q70" s="7"/>
      <c r="R70" s="7"/>
      <c r="S70" s="7"/>
      <c r="T70" s="7"/>
      <c r="U70" s="7"/>
      <c r="V70" s="7"/>
      <c r="X70" s="7"/>
      <c r="Y70" s="7"/>
      <c r="Z70" s="7"/>
      <c r="AA70" s="7" t="str">
        <f t="shared" si="7"/>
        <v/>
      </c>
      <c r="AB70" s="7"/>
      <c r="AC70" s="7"/>
      <c r="AQ70" s="7" t="str">
        <f t="shared" ref="AQ70:AQ133" si="8">IFERROR(SMALL($AW70:$CT70,1),"")</f>
        <v/>
      </c>
      <c r="AR70" s="7" t="str">
        <f t="shared" ref="AR70:AR133" si="9">IF(AQ70="","",INDEX($AW$4:$CT$4,MATCH(AQ70,$AW70:$CT70,0)))</f>
        <v/>
      </c>
      <c r="AS70" s="7" t="str">
        <f t="shared" ref="AS70:AS133" si="10">IFERROR(SMALL($AW70:$CT70,2),"")</f>
        <v/>
      </c>
      <c r="AT70" s="7" t="str">
        <f t="shared" ref="AT70:AT133" si="11">IF(AS70="","",INDEX($AW$4:$CT$4,MATCH(AS70,$AW70:$CT70,0)))</f>
        <v/>
      </c>
      <c r="AU70" s="7" t="str">
        <f t="shared" ref="AU70:AU133" si="12">IFERROR(SMALL($AW70:$CT70,3),"")</f>
        <v/>
      </c>
      <c r="AV70" s="7" t="str">
        <f t="shared" ref="AV70:AV133" si="13">IF(AU70="","",INDEX($AW$4:$CT$4,MATCH(AU70,$AW70:$CT70,0)))</f>
        <v/>
      </c>
      <c r="AW70" s="7" t="str">
        <f>IF('RFQ-Input'!O69="","",'RFQ-Input'!O69)</f>
        <v/>
      </c>
      <c r="AX70" s="7" t="str">
        <f>IF('RFQ-Input'!S69="","",'RFQ-Input'!S69)</f>
        <v/>
      </c>
      <c r="AY70" s="7" t="str">
        <f>IF('RFQ-Input'!V69="","",'RFQ-Input'!V69)</f>
        <v/>
      </c>
      <c r="AZ70" s="7" t="str">
        <f>IF('RFQ-Input'!Y69="","",'RFQ-Input'!Y69)</f>
        <v/>
      </c>
      <c r="BA70" s="7" t="str">
        <f>IF('RFQ-Input'!AB69="","",'RFQ-Input'!AB69)</f>
        <v/>
      </c>
    </row>
    <row r="71" spans="1:53">
      <c r="A71" s="20">
        <v>67</v>
      </c>
      <c r="B71" s="7"/>
      <c r="C71" s="7" t="str">
        <f>IF('RFQ-Input'!C70="","",'RFQ-Input'!C70)</f>
        <v/>
      </c>
      <c r="D71" s="7" t="str">
        <f>IF('RFQ-Input'!D70="","",'RFQ-Input'!D70)</f>
        <v/>
      </c>
      <c r="E71" s="7" t="str">
        <f>IF('RFQ-Input'!E70="","",'RFQ-Input'!E70)</f>
        <v/>
      </c>
      <c r="F71" s="7" t="str">
        <f>IF('RFQ-Input'!F70="","",'RFQ-Input'!F70)</f>
        <v/>
      </c>
      <c r="G71" s="7" t="str">
        <f>IF('RFQ-Input'!G70="","",'RFQ-Input'!G70)</f>
        <v/>
      </c>
      <c r="H71" s="7" t="str">
        <f>IF('RFQ-Input'!H70="","",'RFQ-Input'!H70)</f>
        <v/>
      </c>
      <c r="I71" s="7" t="str">
        <f>IF('RFQ-Input'!I70="","",'RFQ-Input'!I70)</f>
        <v/>
      </c>
      <c r="J71" s="7" t="str">
        <f>IF('RFQ-Input'!J70="","",'RFQ-Input'!J70)</f>
        <v/>
      </c>
      <c r="K71" s="7" t="str">
        <f>IF('RFQ-Input'!K70="","",'RFQ-Input'!K70)</f>
        <v/>
      </c>
      <c r="L71" s="7" t="str">
        <f>IF('RFQ-Input'!L70="","",'RFQ-Input'!L70)</f>
        <v/>
      </c>
      <c r="M71" s="7" t="str">
        <f>IF('RFQ-Input'!M70="","",'RFQ-Input'!M70)</f>
        <v/>
      </c>
      <c r="N71" s="7" t="str">
        <f>IF('RFQ-Input'!N70="","",'RFQ-Input'!N70)</f>
        <v/>
      </c>
      <c r="O71" s="7" t="str">
        <f>IF('RFQ-Input'!O70="","",'RFQ-Input'!O70)</f>
        <v/>
      </c>
      <c r="Q71" s="7"/>
      <c r="R71" s="7"/>
      <c r="S71" s="7"/>
      <c r="T71" s="7"/>
      <c r="U71" s="7"/>
      <c r="V71" s="7"/>
      <c r="X71" s="7"/>
      <c r="Y71" s="7"/>
      <c r="Z71" s="7"/>
      <c r="AA71" s="7" t="str">
        <f t="shared" si="7"/>
        <v/>
      </c>
      <c r="AB71" s="7"/>
      <c r="AC71" s="7"/>
      <c r="AQ71" s="7" t="str">
        <f t="shared" si="8"/>
        <v/>
      </c>
      <c r="AR71" s="7" t="str">
        <f t="shared" si="9"/>
        <v/>
      </c>
      <c r="AS71" s="7" t="str">
        <f t="shared" si="10"/>
        <v/>
      </c>
      <c r="AT71" s="7" t="str">
        <f t="shared" si="11"/>
        <v/>
      </c>
      <c r="AU71" s="7" t="str">
        <f t="shared" si="12"/>
        <v/>
      </c>
      <c r="AV71" s="7" t="str">
        <f t="shared" si="13"/>
        <v/>
      </c>
      <c r="AW71" s="7" t="str">
        <f>IF('RFQ-Input'!O70="","",'RFQ-Input'!O70)</f>
        <v/>
      </c>
      <c r="AX71" s="7" t="str">
        <f>IF('RFQ-Input'!S70="","",'RFQ-Input'!S70)</f>
        <v/>
      </c>
      <c r="AY71" s="7" t="str">
        <f>IF('RFQ-Input'!V70="","",'RFQ-Input'!V70)</f>
        <v/>
      </c>
      <c r="AZ71" s="7" t="str">
        <f>IF('RFQ-Input'!Y70="","",'RFQ-Input'!Y70)</f>
        <v/>
      </c>
      <c r="BA71" s="7" t="str">
        <f>IF('RFQ-Input'!AB70="","",'RFQ-Input'!AB70)</f>
        <v/>
      </c>
    </row>
    <row r="72" spans="1:53">
      <c r="A72" s="20">
        <v>68</v>
      </c>
      <c r="B72" s="7"/>
      <c r="C72" s="7" t="str">
        <f>IF('RFQ-Input'!C71="","",'RFQ-Input'!C71)</f>
        <v/>
      </c>
      <c r="D72" s="7" t="str">
        <f>IF('RFQ-Input'!D71="","",'RFQ-Input'!D71)</f>
        <v/>
      </c>
      <c r="E72" s="7" t="str">
        <f>IF('RFQ-Input'!E71="","",'RFQ-Input'!E71)</f>
        <v/>
      </c>
      <c r="F72" s="7" t="str">
        <f>IF('RFQ-Input'!F71="","",'RFQ-Input'!F71)</f>
        <v/>
      </c>
      <c r="G72" s="7" t="str">
        <f>IF('RFQ-Input'!G71="","",'RFQ-Input'!G71)</f>
        <v/>
      </c>
      <c r="H72" s="7" t="str">
        <f>IF('RFQ-Input'!H71="","",'RFQ-Input'!H71)</f>
        <v/>
      </c>
      <c r="I72" s="7" t="str">
        <f>IF('RFQ-Input'!I71="","",'RFQ-Input'!I71)</f>
        <v/>
      </c>
      <c r="J72" s="7" t="str">
        <f>IF('RFQ-Input'!J71="","",'RFQ-Input'!J71)</f>
        <v/>
      </c>
      <c r="K72" s="7" t="str">
        <f>IF('RFQ-Input'!K71="","",'RFQ-Input'!K71)</f>
        <v/>
      </c>
      <c r="L72" s="7" t="str">
        <f>IF('RFQ-Input'!L71="","",'RFQ-Input'!L71)</f>
        <v/>
      </c>
      <c r="M72" s="7" t="str">
        <f>IF('RFQ-Input'!M71="","",'RFQ-Input'!M71)</f>
        <v/>
      </c>
      <c r="N72" s="7" t="str">
        <f>IF('RFQ-Input'!N71="","",'RFQ-Input'!N71)</f>
        <v/>
      </c>
      <c r="O72" s="7" t="str">
        <f>IF('RFQ-Input'!O71="","",'RFQ-Input'!O71)</f>
        <v/>
      </c>
      <c r="Q72" s="7"/>
      <c r="R72" s="7"/>
      <c r="S72" s="7"/>
      <c r="T72" s="7"/>
      <c r="U72" s="7"/>
      <c r="V72" s="7"/>
      <c r="X72" s="7"/>
      <c r="Y72" s="7"/>
      <c r="Z72" s="7"/>
      <c r="AA72" s="7" t="str">
        <f t="shared" si="7"/>
        <v/>
      </c>
      <c r="AB72" s="7"/>
      <c r="AC72" s="7"/>
      <c r="AQ72" s="7" t="str">
        <f t="shared" si="8"/>
        <v/>
      </c>
      <c r="AR72" s="7" t="str">
        <f t="shared" si="9"/>
        <v/>
      </c>
      <c r="AS72" s="7" t="str">
        <f t="shared" si="10"/>
        <v/>
      </c>
      <c r="AT72" s="7" t="str">
        <f t="shared" si="11"/>
        <v/>
      </c>
      <c r="AU72" s="7" t="str">
        <f t="shared" si="12"/>
        <v/>
      </c>
      <c r="AV72" s="7" t="str">
        <f t="shared" si="13"/>
        <v/>
      </c>
      <c r="AW72" s="7" t="str">
        <f>IF('RFQ-Input'!O71="","",'RFQ-Input'!O71)</f>
        <v/>
      </c>
      <c r="AX72" s="7" t="str">
        <f>IF('RFQ-Input'!S71="","",'RFQ-Input'!S71)</f>
        <v/>
      </c>
      <c r="AY72" s="7" t="str">
        <f>IF('RFQ-Input'!V71="","",'RFQ-Input'!V71)</f>
        <v/>
      </c>
      <c r="AZ72" s="7" t="str">
        <f>IF('RFQ-Input'!Y71="","",'RFQ-Input'!Y71)</f>
        <v/>
      </c>
      <c r="BA72" s="7" t="str">
        <f>IF('RFQ-Input'!AB71="","",'RFQ-Input'!AB71)</f>
        <v/>
      </c>
    </row>
    <row r="73" spans="1:53">
      <c r="A73" s="20">
        <v>69</v>
      </c>
      <c r="B73" s="7"/>
      <c r="C73" s="7" t="str">
        <f>IF('RFQ-Input'!C72="","",'RFQ-Input'!C72)</f>
        <v/>
      </c>
      <c r="D73" s="7" t="str">
        <f>IF('RFQ-Input'!D72="","",'RFQ-Input'!D72)</f>
        <v/>
      </c>
      <c r="E73" s="7" t="str">
        <f>IF('RFQ-Input'!E72="","",'RFQ-Input'!E72)</f>
        <v/>
      </c>
      <c r="F73" s="7" t="str">
        <f>IF('RFQ-Input'!F72="","",'RFQ-Input'!F72)</f>
        <v/>
      </c>
      <c r="G73" s="7" t="str">
        <f>IF('RFQ-Input'!G72="","",'RFQ-Input'!G72)</f>
        <v/>
      </c>
      <c r="H73" s="7" t="str">
        <f>IF('RFQ-Input'!H72="","",'RFQ-Input'!H72)</f>
        <v/>
      </c>
      <c r="I73" s="7" t="str">
        <f>IF('RFQ-Input'!I72="","",'RFQ-Input'!I72)</f>
        <v/>
      </c>
      <c r="J73" s="7" t="str">
        <f>IF('RFQ-Input'!J72="","",'RFQ-Input'!J72)</f>
        <v/>
      </c>
      <c r="K73" s="7" t="str">
        <f>IF('RFQ-Input'!K72="","",'RFQ-Input'!K72)</f>
        <v/>
      </c>
      <c r="L73" s="7" t="str">
        <f>IF('RFQ-Input'!L72="","",'RFQ-Input'!L72)</f>
        <v/>
      </c>
      <c r="M73" s="7" t="str">
        <f>IF('RFQ-Input'!M72="","",'RFQ-Input'!M72)</f>
        <v/>
      </c>
      <c r="N73" s="7" t="str">
        <f>IF('RFQ-Input'!N72="","",'RFQ-Input'!N72)</f>
        <v/>
      </c>
      <c r="O73" s="7" t="str">
        <f>IF('RFQ-Input'!O72="","",'RFQ-Input'!O72)</f>
        <v/>
      </c>
      <c r="Q73" s="7"/>
      <c r="R73" s="7"/>
      <c r="S73" s="7"/>
      <c r="T73" s="7"/>
      <c r="U73" s="7"/>
      <c r="V73" s="7"/>
      <c r="X73" s="7"/>
      <c r="Y73" s="7"/>
      <c r="Z73" s="7"/>
      <c r="AA73" s="7" t="str">
        <f t="shared" si="7"/>
        <v/>
      </c>
      <c r="AB73" s="7"/>
      <c r="AC73" s="7"/>
      <c r="AQ73" s="7" t="str">
        <f t="shared" si="8"/>
        <v/>
      </c>
      <c r="AR73" s="7" t="str">
        <f t="shared" si="9"/>
        <v/>
      </c>
      <c r="AS73" s="7" t="str">
        <f t="shared" si="10"/>
        <v/>
      </c>
      <c r="AT73" s="7" t="str">
        <f t="shared" si="11"/>
        <v/>
      </c>
      <c r="AU73" s="7" t="str">
        <f t="shared" si="12"/>
        <v/>
      </c>
      <c r="AV73" s="7" t="str">
        <f t="shared" si="13"/>
        <v/>
      </c>
      <c r="AW73" s="7" t="str">
        <f>IF('RFQ-Input'!O72="","",'RFQ-Input'!O72)</f>
        <v/>
      </c>
      <c r="AX73" s="7" t="str">
        <f>IF('RFQ-Input'!S72="","",'RFQ-Input'!S72)</f>
        <v/>
      </c>
      <c r="AY73" s="7" t="str">
        <f>IF('RFQ-Input'!V72="","",'RFQ-Input'!V72)</f>
        <v/>
      </c>
      <c r="AZ73" s="7" t="str">
        <f>IF('RFQ-Input'!Y72="","",'RFQ-Input'!Y72)</f>
        <v/>
      </c>
      <c r="BA73" s="7" t="str">
        <f>IF('RFQ-Input'!AB72="","",'RFQ-Input'!AB72)</f>
        <v/>
      </c>
    </row>
    <row r="74" spans="1:53">
      <c r="A74" s="20">
        <v>70</v>
      </c>
      <c r="B74" s="7"/>
      <c r="C74" s="7" t="str">
        <f>IF('RFQ-Input'!C73="","",'RFQ-Input'!C73)</f>
        <v/>
      </c>
      <c r="D74" s="7" t="str">
        <f>IF('RFQ-Input'!D73="","",'RFQ-Input'!D73)</f>
        <v/>
      </c>
      <c r="E74" s="7" t="str">
        <f>IF('RFQ-Input'!E73="","",'RFQ-Input'!E73)</f>
        <v/>
      </c>
      <c r="F74" s="7" t="str">
        <f>IF('RFQ-Input'!F73="","",'RFQ-Input'!F73)</f>
        <v/>
      </c>
      <c r="G74" s="7" t="str">
        <f>IF('RFQ-Input'!G73="","",'RFQ-Input'!G73)</f>
        <v/>
      </c>
      <c r="H74" s="7" t="str">
        <f>IF('RFQ-Input'!H73="","",'RFQ-Input'!H73)</f>
        <v/>
      </c>
      <c r="I74" s="7" t="str">
        <f>IF('RFQ-Input'!I73="","",'RFQ-Input'!I73)</f>
        <v/>
      </c>
      <c r="J74" s="7" t="str">
        <f>IF('RFQ-Input'!J73="","",'RFQ-Input'!J73)</f>
        <v/>
      </c>
      <c r="K74" s="7" t="str">
        <f>IF('RFQ-Input'!K73="","",'RFQ-Input'!K73)</f>
        <v/>
      </c>
      <c r="L74" s="7" t="str">
        <f>IF('RFQ-Input'!L73="","",'RFQ-Input'!L73)</f>
        <v/>
      </c>
      <c r="M74" s="7" t="str">
        <f>IF('RFQ-Input'!M73="","",'RFQ-Input'!M73)</f>
        <v/>
      </c>
      <c r="N74" s="7" t="str">
        <f>IF('RFQ-Input'!N73="","",'RFQ-Input'!N73)</f>
        <v/>
      </c>
      <c r="O74" s="7" t="str">
        <f>IF('RFQ-Input'!O73="","",'RFQ-Input'!O73)</f>
        <v/>
      </c>
      <c r="Q74" s="7"/>
      <c r="R74" s="7"/>
      <c r="S74" s="7"/>
      <c r="T74" s="7"/>
      <c r="U74" s="7"/>
      <c r="V74" s="7"/>
      <c r="X74" s="7"/>
      <c r="Y74" s="7"/>
      <c r="Z74" s="7"/>
      <c r="AA74" s="7" t="str">
        <f t="shared" si="7"/>
        <v/>
      </c>
      <c r="AB74" s="7"/>
      <c r="AC74" s="7"/>
      <c r="AQ74" s="7" t="str">
        <f t="shared" si="8"/>
        <v/>
      </c>
      <c r="AR74" s="7" t="str">
        <f t="shared" si="9"/>
        <v/>
      </c>
      <c r="AS74" s="7" t="str">
        <f t="shared" si="10"/>
        <v/>
      </c>
      <c r="AT74" s="7" t="str">
        <f t="shared" si="11"/>
        <v/>
      </c>
      <c r="AU74" s="7" t="str">
        <f t="shared" si="12"/>
        <v/>
      </c>
      <c r="AV74" s="7" t="str">
        <f t="shared" si="13"/>
        <v/>
      </c>
      <c r="AW74" s="7" t="str">
        <f>IF('RFQ-Input'!O73="","",'RFQ-Input'!O73)</f>
        <v/>
      </c>
      <c r="AX74" s="7" t="str">
        <f>IF('RFQ-Input'!S73="","",'RFQ-Input'!S73)</f>
        <v/>
      </c>
      <c r="AY74" s="7" t="str">
        <f>IF('RFQ-Input'!V73="","",'RFQ-Input'!V73)</f>
        <v/>
      </c>
      <c r="AZ74" s="7" t="str">
        <f>IF('RFQ-Input'!Y73="","",'RFQ-Input'!Y73)</f>
        <v/>
      </c>
      <c r="BA74" s="7" t="str">
        <f>IF('RFQ-Input'!AB73="","",'RFQ-Input'!AB73)</f>
        <v/>
      </c>
    </row>
    <row r="75" spans="1:53">
      <c r="A75" s="20">
        <v>71</v>
      </c>
      <c r="B75" s="7"/>
      <c r="C75" s="7" t="str">
        <f>IF('RFQ-Input'!C74="","",'RFQ-Input'!C74)</f>
        <v/>
      </c>
      <c r="D75" s="7" t="str">
        <f>IF('RFQ-Input'!D74="","",'RFQ-Input'!D74)</f>
        <v/>
      </c>
      <c r="E75" s="7" t="str">
        <f>IF('RFQ-Input'!E74="","",'RFQ-Input'!E74)</f>
        <v/>
      </c>
      <c r="F75" s="7" t="str">
        <f>IF('RFQ-Input'!F74="","",'RFQ-Input'!F74)</f>
        <v/>
      </c>
      <c r="G75" s="7" t="str">
        <f>IF('RFQ-Input'!G74="","",'RFQ-Input'!G74)</f>
        <v/>
      </c>
      <c r="H75" s="7" t="str">
        <f>IF('RFQ-Input'!H74="","",'RFQ-Input'!H74)</f>
        <v/>
      </c>
      <c r="I75" s="7" t="str">
        <f>IF('RFQ-Input'!I74="","",'RFQ-Input'!I74)</f>
        <v/>
      </c>
      <c r="J75" s="7" t="str">
        <f>IF('RFQ-Input'!J74="","",'RFQ-Input'!J74)</f>
        <v/>
      </c>
      <c r="K75" s="7" t="str">
        <f>IF('RFQ-Input'!K74="","",'RFQ-Input'!K74)</f>
        <v/>
      </c>
      <c r="L75" s="7" t="str">
        <f>IF('RFQ-Input'!L74="","",'RFQ-Input'!L74)</f>
        <v/>
      </c>
      <c r="M75" s="7" t="str">
        <f>IF('RFQ-Input'!M74="","",'RFQ-Input'!M74)</f>
        <v/>
      </c>
      <c r="N75" s="7" t="str">
        <f>IF('RFQ-Input'!N74="","",'RFQ-Input'!N74)</f>
        <v/>
      </c>
      <c r="O75" s="7" t="str">
        <f>IF('RFQ-Input'!O74="","",'RFQ-Input'!O74)</f>
        <v/>
      </c>
      <c r="Q75" s="7"/>
      <c r="R75" s="7"/>
      <c r="S75" s="7"/>
      <c r="T75" s="7"/>
      <c r="U75" s="7"/>
      <c r="V75" s="7"/>
      <c r="X75" s="7"/>
      <c r="Y75" s="7"/>
      <c r="Z75" s="7"/>
      <c r="AA75" s="7" t="str">
        <f t="shared" si="7"/>
        <v/>
      </c>
      <c r="AB75" s="7"/>
      <c r="AC75" s="7"/>
      <c r="AQ75" s="7" t="str">
        <f t="shared" si="8"/>
        <v/>
      </c>
      <c r="AR75" s="7" t="str">
        <f t="shared" si="9"/>
        <v/>
      </c>
      <c r="AS75" s="7" t="str">
        <f t="shared" si="10"/>
        <v/>
      </c>
      <c r="AT75" s="7" t="str">
        <f t="shared" si="11"/>
        <v/>
      </c>
      <c r="AU75" s="7" t="str">
        <f t="shared" si="12"/>
        <v/>
      </c>
      <c r="AV75" s="7" t="str">
        <f t="shared" si="13"/>
        <v/>
      </c>
      <c r="AW75" s="7" t="str">
        <f>IF('RFQ-Input'!O74="","",'RFQ-Input'!O74)</f>
        <v/>
      </c>
      <c r="AX75" s="7" t="str">
        <f>IF('RFQ-Input'!S74="","",'RFQ-Input'!S74)</f>
        <v/>
      </c>
      <c r="AY75" s="7" t="str">
        <f>IF('RFQ-Input'!V74="","",'RFQ-Input'!V74)</f>
        <v/>
      </c>
      <c r="AZ75" s="7" t="str">
        <f>IF('RFQ-Input'!Y74="","",'RFQ-Input'!Y74)</f>
        <v/>
      </c>
      <c r="BA75" s="7" t="str">
        <f>IF('RFQ-Input'!AB74="","",'RFQ-Input'!AB74)</f>
        <v/>
      </c>
    </row>
    <row r="76" spans="1:53">
      <c r="A76" s="20">
        <v>72</v>
      </c>
      <c r="B76" s="7"/>
      <c r="C76" s="7" t="str">
        <f>IF('RFQ-Input'!C75="","",'RFQ-Input'!C75)</f>
        <v/>
      </c>
      <c r="D76" s="7" t="str">
        <f>IF('RFQ-Input'!D75="","",'RFQ-Input'!D75)</f>
        <v/>
      </c>
      <c r="E76" s="7" t="str">
        <f>IF('RFQ-Input'!E75="","",'RFQ-Input'!E75)</f>
        <v/>
      </c>
      <c r="F76" s="7" t="str">
        <f>IF('RFQ-Input'!F75="","",'RFQ-Input'!F75)</f>
        <v/>
      </c>
      <c r="G76" s="7" t="str">
        <f>IF('RFQ-Input'!G75="","",'RFQ-Input'!G75)</f>
        <v/>
      </c>
      <c r="H76" s="7" t="str">
        <f>IF('RFQ-Input'!H75="","",'RFQ-Input'!H75)</f>
        <v/>
      </c>
      <c r="I76" s="7" t="str">
        <f>IF('RFQ-Input'!I75="","",'RFQ-Input'!I75)</f>
        <v/>
      </c>
      <c r="J76" s="7" t="str">
        <f>IF('RFQ-Input'!J75="","",'RFQ-Input'!J75)</f>
        <v/>
      </c>
      <c r="K76" s="7" t="str">
        <f>IF('RFQ-Input'!K75="","",'RFQ-Input'!K75)</f>
        <v/>
      </c>
      <c r="L76" s="7" t="str">
        <f>IF('RFQ-Input'!L75="","",'RFQ-Input'!L75)</f>
        <v/>
      </c>
      <c r="M76" s="7" t="str">
        <f>IF('RFQ-Input'!M75="","",'RFQ-Input'!M75)</f>
        <v/>
      </c>
      <c r="N76" s="7" t="str">
        <f>IF('RFQ-Input'!N75="","",'RFQ-Input'!N75)</f>
        <v/>
      </c>
      <c r="O76" s="7" t="str">
        <f>IF('RFQ-Input'!O75="","",'RFQ-Input'!O75)</f>
        <v/>
      </c>
      <c r="Q76" s="7"/>
      <c r="R76" s="7"/>
      <c r="S76" s="7"/>
      <c r="T76" s="7"/>
      <c r="U76" s="7"/>
      <c r="V76" s="7"/>
      <c r="X76" s="7"/>
      <c r="Y76" s="7"/>
      <c r="Z76" s="7"/>
      <c r="AA76" s="7" t="str">
        <f t="shared" si="7"/>
        <v/>
      </c>
      <c r="AB76" s="7"/>
      <c r="AC76" s="7"/>
      <c r="AQ76" s="7" t="str">
        <f t="shared" si="8"/>
        <v/>
      </c>
      <c r="AR76" s="7" t="str">
        <f t="shared" si="9"/>
        <v/>
      </c>
      <c r="AS76" s="7" t="str">
        <f t="shared" si="10"/>
        <v/>
      </c>
      <c r="AT76" s="7" t="str">
        <f t="shared" si="11"/>
        <v/>
      </c>
      <c r="AU76" s="7" t="str">
        <f t="shared" si="12"/>
        <v/>
      </c>
      <c r="AV76" s="7" t="str">
        <f t="shared" si="13"/>
        <v/>
      </c>
      <c r="AW76" s="7" t="str">
        <f>IF('RFQ-Input'!O75="","",'RFQ-Input'!O75)</f>
        <v/>
      </c>
      <c r="AX76" s="7" t="str">
        <f>IF('RFQ-Input'!S75="","",'RFQ-Input'!S75)</f>
        <v/>
      </c>
      <c r="AY76" s="7" t="str">
        <f>IF('RFQ-Input'!V75="","",'RFQ-Input'!V75)</f>
        <v/>
      </c>
      <c r="AZ76" s="7" t="str">
        <f>IF('RFQ-Input'!Y75="","",'RFQ-Input'!Y75)</f>
        <v/>
      </c>
      <c r="BA76" s="7" t="str">
        <f>IF('RFQ-Input'!AB75="","",'RFQ-Input'!AB75)</f>
        <v/>
      </c>
    </row>
    <row r="77" spans="1:53">
      <c r="A77" s="20">
        <v>73</v>
      </c>
      <c r="B77" s="7"/>
      <c r="C77" s="7" t="str">
        <f>IF('RFQ-Input'!C76="","",'RFQ-Input'!C76)</f>
        <v/>
      </c>
      <c r="D77" s="7" t="str">
        <f>IF('RFQ-Input'!D76="","",'RFQ-Input'!D76)</f>
        <v/>
      </c>
      <c r="E77" s="7" t="str">
        <f>IF('RFQ-Input'!E76="","",'RFQ-Input'!E76)</f>
        <v/>
      </c>
      <c r="F77" s="7" t="str">
        <f>IF('RFQ-Input'!F76="","",'RFQ-Input'!F76)</f>
        <v/>
      </c>
      <c r="G77" s="7" t="str">
        <f>IF('RFQ-Input'!G76="","",'RFQ-Input'!G76)</f>
        <v/>
      </c>
      <c r="H77" s="7" t="str">
        <f>IF('RFQ-Input'!H76="","",'RFQ-Input'!H76)</f>
        <v/>
      </c>
      <c r="I77" s="7" t="str">
        <f>IF('RFQ-Input'!I76="","",'RFQ-Input'!I76)</f>
        <v/>
      </c>
      <c r="J77" s="7" t="str">
        <f>IF('RFQ-Input'!J76="","",'RFQ-Input'!J76)</f>
        <v/>
      </c>
      <c r="K77" s="7" t="str">
        <f>IF('RFQ-Input'!K76="","",'RFQ-Input'!K76)</f>
        <v/>
      </c>
      <c r="L77" s="7" t="str">
        <f>IF('RFQ-Input'!L76="","",'RFQ-Input'!L76)</f>
        <v/>
      </c>
      <c r="M77" s="7" t="str">
        <f>IF('RFQ-Input'!M76="","",'RFQ-Input'!M76)</f>
        <v/>
      </c>
      <c r="N77" s="7" t="str">
        <f>IF('RFQ-Input'!N76="","",'RFQ-Input'!N76)</f>
        <v/>
      </c>
      <c r="O77" s="7" t="str">
        <f>IF('RFQ-Input'!O76="","",'RFQ-Input'!O76)</f>
        <v/>
      </c>
      <c r="Q77" s="7"/>
      <c r="R77" s="7"/>
      <c r="S77" s="7"/>
      <c r="T77" s="7"/>
      <c r="U77" s="7"/>
      <c r="V77" s="7"/>
      <c r="X77" s="7"/>
      <c r="Y77" s="7"/>
      <c r="Z77" s="7"/>
      <c r="AA77" s="7" t="str">
        <f t="shared" si="7"/>
        <v/>
      </c>
      <c r="AB77" s="7"/>
      <c r="AC77" s="7"/>
      <c r="AQ77" s="7" t="str">
        <f t="shared" si="8"/>
        <v/>
      </c>
      <c r="AR77" s="7" t="str">
        <f t="shared" si="9"/>
        <v/>
      </c>
      <c r="AS77" s="7" t="str">
        <f t="shared" si="10"/>
        <v/>
      </c>
      <c r="AT77" s="7" t="str">
        <f t="shared" si="11"/>
        <v/>
      </c>
      <c r="AU77" s="7" t="str">
        <f t="shared" si="12"/>
        <v/>
      </c>
      <c r="AV77" s="7" t="str">
        <f t="shared" si="13"/>
        <v/>
      </c>
      <c r="AW77" s="7" t="str">
        <f>IF('RFQ-Input'!O76="","",'RFQ-Input'!O76)</f>
        <v/>
      </c>
      <c r="AX77" s="7" t="str">
        <f>IF('RFQ-Input'!S76="","",'RFQ-Input'!S76)</f>
        <v/>
      </c>
      <c r="AY77" s="7" t="str">
        <f>IF('RFQ-Input'!V76="","",'RFQ-Input'!V76)</f>
        <v/>
      </c>
      <c r="AZ77" s="7" t="str">
        <f>IF('RFQ-Input'!Y76="","",'RFQ-Input'!Y76)</f>
        <v/>
      </c>
      <c r="BA77" s="7" t="str">
        <f>IF('RFQ-Input'!AB76="","",'RFQ-Input'!AB76)</f>
        <v/>
      </c>
    </row>
    <row r="78" spans="1:53">
      <c r="A78" s="20">
        <v>74</v>
      </c>
      <c r="B78" s="7"/>
      <c r="C78" s="7" t="str">
        <f>IF('RFQ-Input'!C77="","",'RFQ-Input'!C77)</f>
        <v/>
      </c>
      <c r="D78" s="7" t="str">
        <f>IF('RFQ-Input'!D77="","",'RFQ-Input'!D77)</f>
        <v/>
      </c>
      <c r="E78" s="7" t="str">
        <f>IF('RFQ-Input'!E77="","",'RFQ-Input'!E77)</f>
        <v/>
      </c>
      <c r="F78" s="7" t="str">
        <f>IF('RFQ-Input'!F77="","",'RFQ-Input'!F77)</f>
        <v/>
      </c>
      <c r="G78" s="7" t="str">
        <f>IF('RFQ-Input'!G77="","",'RFQ-Input'!G77)</f>
        <v/>
      </c>
      <c r="H78" s="7" t="str">
        <f>IF('RFQ-Input'!H77="","",'RFQ-Input'!H77)</f>
        <v/>
      </c>
      <c r="I78" s="7" t="str">
        <f>IF('RFQ-Input'!I77="","",'RFQ-Input'!I77)</f>
        <v/>
      </c>
      <c r="J78" s="7" t="str">
        <f>IF('RFQ-Input'!J77="","",'RFQ-Input'!J77)</f>
        <v/>
      </c>
      <c r="K78" s="7" t="str">
        <f>IF('RFQ-Input'!K77="","",'RFQ-Input'!K77)</f>
        <v/>
      </c>
      <c r="L78" s="7" t="str">
        <f>IF('RFQ-Input'!L77="","",'RFQ-Input'!L77)</f>
        <v/>
      </c>
      <c r="M78" s="7" t="str">
        <f>IF('RFQ-Input'!M77="","",'RFQ-Input'!M77)</f>
        <v/>
      </c>
      <c r="N78" s="7" t="str">
        <f>IF('RFQ-Input'!N77="","",'RFQ-Input'!N77)</f>
        <v/>
      </c>
      <c r="O78" s="7" t="str">
        <f>IF('RFQ-Input'!O77="","",'RFQ-Input'!O77)</f>
        <v/>
      </c>
      <c r="Q78" s="7"/>
      <c r="R78" s="7"/>
      <c r="S78" s="7"/>
      <c r="T78" s="7"/>
      <c r="U78" s="7"/>
      <c r="V78" s="7"/>
      <c r="X78" s="7"/>
      <c r="Y78" s="7"/>
      <c r="Z78" s="7"/>
      <c r="AA78" s="7" t="str">
        <f t="shared" si="7"/>
        <v/>
      </c>
      <c r="AB78" s="7"/>
      <c r="AC78" s="7"/>
      <c r="AQ78" s="7" t="str">
        <f t="shared" si="8"/>
        <v/>
      </c>
      <c r="AR78" s="7" t="str">
        <f t="shared" si="9"/>
        <v/>
      </c>
      <c r="AS78" s="7" t="str">
        <f t="shared" si="10"/>
        <v/>
      </c>
      <c r="AT78" s="7" t="str">
        <f t="shared" si="11"/>
        <v/>
      </c>
      <c r="AU78" s="7" t="str">
        <f t="shared" si="12"/>
        <v/>
      </c>
      <c r="AV78" s="7" t="str">
        <f t="shared" si="13"/>
        <v/>
      </c>
      <c r="AW78" s="7" t="str">
        <f>IF('RFQ-Input'!O77="","",'RFQ-Input'!O77)</f>
        <v/>
      </c>
      <c r="AX78" s="7" t="str">
        <f>IF('RFQ-Input'!S77="","",'RFQ-Input'!S77)</f>
        <v/>
      </c>
      <c r="AY78" s="7" t="str">
        <f>IF('RFQ-Input'!V77="","",'RFQ-Input'!V77)</f>
        <v/>
      </c>
      <c r="AZ78" s="7" t="str">
        <f>IF('RFQ-Input'!Y77="","",'RFQ-Input'!Y77)</f>
        <v/>
      </c>
      <c r="BA78" s="7" t="str">
        <f>IF('RFQ-Input'!AB77="","",'RFQ-Input'!AB77)</f>
        <v/>
      </c>
    </row>
    <row r="79" spans="1:53">
      <c r="A79" s="20">
        <v>75</v>
      </c>
      <c r="B79" s="7"/>
      <c r="C79" s="7" t="str">
        <f>IF('RFQ-Input'!C78="","",'RFQ-Input'!C78)</f>
        <v/>
      </c>
      <c r="D79" s="7" t="str">
        <f>IF('RFQ-Input'!D78="","",'RFQ-Input'!D78)</f>
        <v/>
      </c>
      <c r="E79" s="7" t="str">
        <f>IF('RFQ-Input'!E78="","",'RFQ-Input'!E78)</f>
        <v/>
      </c>
      <c r="F79" s="7" t="str">
        <f>IF('RFQ-Input'!F78="","",'RFQ-Input'!F78)</f>
        <v/>
      </c>
      <c r="G79" s="7" t="str">
        <f>IF('RFQ-Input'!G78="","",'RFQ-Input'!G78)</f>
        <v/>
      </c>
      <c r="H79" s="7" t="str">
        <f>IF('RFQ-Input'!H78="","",'RFQ-Input'!H78)</f>
        <v/>
      </c>
      <c r="I79" s="7" t="str">
        <f>IF('RFQ-Input'!I78="","",'RFQ-Input'!I78)</f>
        <v/>
      </c>
      <c r="J79" s="7" t="str">
        <f>IF('RFQ-Input'!J78="","",'RFQ-Input'!J78)</f>
        <v/>
      </c>
      <c r="K79" s="7" t="str">
        <f>IF('RFQ-Input'!K78="","",'RFQ-Input'!K78)</f>
        <v/>
      </c>
      <c r="L79" s="7" t="str">
        <f>IF('RFQ-Input'!L78="","",'RFQ-Input'!L78)</f>
        <v/>
      </c>
      <c r="M79" s="7" t="str">
        <f>IF('RFQ-Input'!M78="","",'RFQ-Input'!M78)</f>
        <v/>
      </c>
      <c r="N79" s="7" t="str">
        <f>IF('RFQ-Input'!N78="","",'RFQ-Input'!N78)</f>
        <v/>
      </c>
      <c r="O79" s="7" t="str">
        <f>IF('RFQ-Input'!O78="","",'RFQ-Input'!O78)</f>
        <v/>
      </c>
      <c r="Q79" s="7"/>
      <c r="R79" s="7"/>
      <c r="S79" s="7"/>
      <c r="T79" s="7"/>
      <c r="U79" s="7"/>
      <c r="V79" s="7"/>
      <c r="X79" s="7"/>
      <c r="Y79" s="7"/>
      <c r="Z79" s="7"/>
      <c r="AA79" s="7" t="str">
        <f t="shared" si="7"/>
        <v/>
      </c>
      <c r="AB79" s="7"/>
      <c r="AC79" s="7"/>
      <c r="AQ79" s="7" t="str">
        <f t="shared" si="8"/>
        <v/>
      </c>
      <c r="AR79" s="7" t="str">
        <f t="shared" si="9"/>
        <v/>
      </c>
      <c r="AS79" s="7" t="str">
        <f t="shared" si="10"/>
        <v/>
      </c>
      <c r="AT79" s="7" t="str">
        <f t="shared" si="11"/>
        <v/>
      </c>
      <c r="AU79" s="7" t="str">
        <f t="shared" si="12"/>
        <v/>
      </c>
      <c r="AV79" s="7" t="str">
        <f t="shared" si="13"/>
        <v/>
      </c>
      <c r="AW79" s="7" t="str">
        <f>IF('RFQ-Input'!O78="","",'RFQ-Input'!O78)</f>
        <v/>
      </c>
      <c r="AX79" s="7" t="str">
        <f>IF('RFQ-Input'!S78="","",'RFQ-Input'!S78)</f>
        <v/>
      </c>
      <c r="AY79" s="7" t="str">
        <f>IF('RFQ-Input'!V78="","",'RFQ-Input'!V78)</f>
        <v/>
      </c>
      <c r="AZ79" s="7" t="str">
        <f>IF('RFQ-Input'!Y78="","",'RFQ-Input'!Y78)</f>
        <v/>
      </c>
      <c r="BA79" s="7" t="str">
        <f>IF('RFQ-Input'!AB78="","",'RFQ-Input'!AB78)</f>
        <v/>
      </c>
    </row>
    <row r="80" spans="1:53">
      <c r="A80" s="20">
        <v>76</v>
      </c>
      <c r="B80" s="7"/>
      <c r="C80" s="7" t="str">
        <f>IF('RFQ-Input'!C79="","",'RFQ-Input'!C79)</f>
        <v/>
      </c>
      <c r="D80" s="7" t="str">
        <f>IF('RFQ-Input'!D79="","",'RFQ-Input'!D79)</f>
        <v/>
      </c>
      <c r="E80" s="7" t="str">
        <f>IF('RFQ-Input'!E79="","",'RFQ-Input'!E79)</f>
        <v/>
      </c>
      <c r="F80" s="7" t="str">
        <f>IF('RFQ-Input'!F79="","",'RFQ-Input'!F79)</f>
        <v/>
      </c>
      <c r="G80" s="7" t="str">
        <f>IF('RFQ-Input'!G79="","",'RFQ-Input'!G79)</f>
        <v/>
      </c>
      <c r="H80" s="7" t="str">
        <f>IF('RFQ-Input'!H79="","",'RFQ-Input'!H79)</f>
        <v/>
      </c>
      <c r="I80" s="7" t="str">
        <f>IF('RFQ-Input'!I79="","",'RFQ-Input'!I79)</f>
        <v/>
      </c>
      <c r="J80" s="7" t="str">
        <f>IF('RFQ-Input'!J79="","",'RFQ-Input'!J79)</f>
        <v/>
      </c>
      <c r="K80" s="7" t="str">
        <f>IF('RFQ-Input'!K79="","",'RFQ-Input'!K79)</f>
        <v/>
      </c>
      <c r="L80" s="7" t="str">
        <f>IF('RFQ-Input'!L79="","",'RFQ-Input'!L79)</f>
        <v/>
      </c>
      <c r="M80" s="7" t="str">
        <f>IF('RFQ-Input'!M79="","",'RFQ-Input'!M79)</f>
        <v/>
      </c>
      <c r="N80" s="7" t="str">
        <f>IF('RFQ-Input'!N79="","",'RFQ-Input'!N79)</f>
        <v/>
      </c>
      <c r="O80" s="7" t="str">
        <f>IF('RFQ-Input'!O79="","",'RFQ-Input'!O79)</f>
        <v/>
      </c>
      <c r="Q80" s="7"/>
      <c r="R80" s="7"/>
      <c r="S80" s="7"/>
      <c r="T80" s="7"/>
      <c r="U80" s="7"/>
      <c r="V80" s="7"/>
      <c r="X80" s="7"/>
      <c r="Y80" s="7"/>
      <c r="Z80" s="7"/>
      <c r="AA80" s="7" t="str">
        <f t="shared" si="7"/>
        <v/>
      </c>
      <c r="AB80" s="7"/>
      <c r="AC80" s="7"/>
      <c r="AQ80" s="7" t="str">
        <f t="shared" si="8"/>
        <v/>
      </c>
      <c r="AR80" s="7" t="str">
        <f t="shared" si="9"/>
        <v/>
      </c>
      <c r="AS80" s="7" t="str">
        <f t="shared" si="10"/>
        <v/>
      </c>
      <c r="AT80" s="7" t="str">
        <f t="shared" si="11"/>
        <v/>
      </c>
      <c r="AU80" s="7" t="str">
        <f t="shared" si="12"/>
        <v/>
      </c>
      <c r="AV80" s="7" t="str">
        <f t="shared" si="13"/>
        <v/>
      </c>
      <c r="AW80" s="7" t="str">
        <f>IF('RFQ-Input'!O79="","",'RFQ-Input'!O79)</f>
        <v/>
      </c>
      <c r="AX80" s="7" t="str">
        <f>IF('RFQ-Input'!S79="","",'RFQ-Input'!S79)</f>
        <v/>
      </c>
      <c r="AY80" s="7" t="str">
        <f>IF('RFQ-Input'!V79="","",'RFQ-Input'!V79)</f>
        <v/>
      </c>
      <c r="AZ80" s="7" t="str">
        <f>IF('RFQ-Input'!Y79="","",'RFQ-Input'!Y79)</f>
        <v/>
      </c>
      <c r="BA80" s="7" t="str">
        <f>IF('RFQ-Input'!AB79="","",'RFQ-Input'!AB79)</f>
        <v/>
      </c>
    </row>
    <row r="81" spans="1:53">
      <c r="A81" s="20">
        <v>77</v>
      </c>
      <c r="B81" s="7"/>
      <c r="C81" s="7" t="str">
        <f>IF('RFQ-Input'!C80="","",'RFQ-Input'!C80)</f>
        <v/>
      </c>
      <c r="D81" s="7" t="str">
        <f>IF('RFQ-Input'!D80="","",'RFQ-Input'!D80)</f>
        <v/>
      </c>
      <c r="E81" s="7" t="str">
        <f>IF('RFQ-Input'!E80="","",'RFQ-Input'!E80)</f>
        <v/>
      </c>
      <c r="F81" s="7" t="str">
        <f>IF('RFQ-Input'!F80="","",'RFQ-Input'!F80)</f>
        <v/>
      </c>
      <c r="G81" s="7" t="str">
        <f>IF('RFQ-Input'!G80="","",'RFQ-Input'!G80)</f>
        <v/>
      </c>
      <c r="H81" s="7" t="str">
        <f>IF('RFQ-Input'!H80="","",'RFQ-Input'!H80)</f>
        <v/>
      </c>
      <c r="I81" s="7" t="str">
        <f>IF('RFQ-Input'!I80="","",'RFQ-Input'!I80)</f>
        <v/>
      </c>
      <c r="J81" s="7" t="str">
        <f>IF('RFQ-Input'!J80="","",'RFQ-Input'!J80)</f>
        <v/>
      </c>
      <c r="K81" s="7" t="str">
        <f>IF('RFQ-Input'!K80="","",'RFQ-Input'!K80)</f>
        <v/>
      </c>
      <c r="L81" s="7" t="str">
        <f>IF('RFQ-Input'!L80="","",'RFQ-Input'!L80)</f>
        <v/>
      </c>
      <c r="M81" s="7" t="str">
        <f>IF('RFQ-Input'!M80="","",'RFQ-Input'!M80)</f>
        <v/>
      </c>
      <c r="N81" s="7" t="str">
        <f>IF('RFQ-Input'!N80="","",'RFQ-Input'!N80)</f>
        <v/>
      </c>
      <c r="O81" s="7" t="str">
        <f>IF('RFQ-Input'!O80="","",'RFQ-Input'!O80)</f>
        <v/>
      </c>
      <c r="Q81" s="7"/>
      <c r="R81" s="7"/>
      <c r="S81" s="7"/>
      <c r="T81" s="7"/>
      <c r="U81" s="7"/>
      <c r="V81" s="7"/>
      <c r="X81" s="7"/>
      <c r="Y81" s="7"/>
      <c r="Z81" s="7"/>
      <c r="AA81" s="7" t="str">
        <f t="shared" si="7"/>
        <v/>
      </c>
      <c r="AB81" s="7"/>
      <c r="AC81" s="7"/>
      <c r="AQ81" s="7" t="str">
        <f t="shared" si="8"/>
        <v/>
      </c>
      <c r="AR81" s="7" t="str">
        <f t="shared" si="9"/>
        <v/>
      </c>
      <c r="AS81" s="7" t="str">
        <f t="shared" si="10"/>
        <v/>
      </c>
      <c r="AT81" s="7" t="str">
        <f t="shared" si="11"/>
        <v/>
      </c>
      <c r="AU81" s="7" t="str">
        <f t="shared" si="12"/>
        <v/>
      </c>
      <c r="AV81" s="7" t="str">
        <f t="shared" si="13"/>
        <v/>
      </c>
      <c r="AW81" s="7" t="str">
        <f>IF('RFQ-Input'!O80="","",'RFQ-Input'!O80)</f>
        <v/>
      </c>
      <c r="AX81" s="7" t="str">
        <f>IF('RFQ-Input'!S80="","",'RFQ-Input'!S80)</f>
        <v/>
      </c>
      <c r="AY81" s="7" t="str">
        <f>IF('RFQ-Input'!V80="","",'RFQ-Input'!V80)</f>
        <v/>
      </c>
      <c r="AZ81" s="7" t="str">
        <f>IF('RFQ-Input'!Y80="","",'RFQ-Input'!Y80)</f>
        <v/>
      </c>
      <c r="BA81" s="7" t="str">
        <f>IF('RFQ-Input'!AB80="","",'RFQ-Input'!AB80)</f>
        <v/>
      </c>
    </row>
    <row r="82" spans="1:53">
      <c r="A82" s="20">
        <v>78</v>
      </c>
      <c r="B82" s="7"/>
      <c r="C82" s="7" t="str">
        <f>IF('RFQ-Input'!C81="","",'RFQ-Input'!C81)</f>
        <v/>
      </c>
      <c r="D82" s="7" t="str">
        <f>IF('RFQ-Input'!D81="","",'RFQ-Input'!D81)</f>
        <v/>
      </c>
      <c r="E82" s="7" t="str">
        <f>IF('RFQ-Input'!E81="","",'RFQ-Input'!E81)</f>
        <v/>
      </c>
      <c r="F82" s="7" t="str">
        <f>IF('RFQ-Input'!F81="","",'RFQ-Input'!F81)</f>
        <v/>
      </c>
      <c r="G82" s="7" t="str">
        <f>IF('RFQ-Input'!G81="","",'RFQ-Input'!G81)</f>
        <v/>
      </c>
      <c r="H82" s="7" t="str">
        <f>IF('RFQ-Input'!H81="","",'RFQ-Input'!H81)</f>
        <v/>
      </c>
      <c r="I82" s="7" t="str">
        <f>IF('RFQ-Input'!I81="","",'RFQ-Input'!I81)</f>
        <v/>
      </c>
      <c r="J82" s="7" t="str">
        <f>IF('RFQ-Input'!J81="","",'RFQ-Input'!J81)</f>
        <v/>
      </c>
      <c r="K82" s="7" t="str">
        <f>IF('RFQ-Input'!K81="","",'RFQ-Input'!K81)</f>
        <v/>
      </c>
      <c r="L82" s="7" t="str">
        <f>IF('RFQ-Input'!L81="","",'RFQ-Input'!L81)</f>
        <v/>
      </c>
      <c r="M82" s="7" t="str">
        <f>IF('RFQ-Input'!M81="","",'RFQ-Input'!M81)</f>
        <v/>
      </c>
      <c r="N82" s="7" t="str">
        <f>IF('RFQ-Input'!N81="","",'RFQ-Input'!N81)</f>
        <v/>
      </c>
      <c r="O82" s="7" t="str">
        <f>IF('RFQ-Input'!O81="","",'RFQ-Input'!O81)</f>
        <v/>
      </c>
      <c r="Q82" s="7"/>
      <c r="R82" s="7"/>
      <c r="S82" s="7"/>
      <c r="T82" s="7"/>
      <c r="U82" s="7"/>
      <c r="V82" s="7"/>
      <c r="X82" s="7"/>
      <c r="Y82" s="7"/>
      <c r="Z82" s="7"/>
      <c r="AA82" s="7" t="str">
        <f t="shared" si="7"/>
        <v/>
      </c>
      <c r="AB82" s="7"/>
      <c r="AC82" s="7"/>
      <c r="AQ82" s="7" t="str">
        <f t="shared" si="8"/>
        <v/>
      </c>
      <c r="AR82" s="7" t="str">
        <f t="shared" si="9"/>
        <v/>
      </c>
      <c r="AS82" s="7" t="str">
        <f t="shared" si="10"/>
        <v/>
      </c>
      <c r="AT82" s="7" t="str">
        <f t="shared" si="11"/>
        <v/>
      </c>
      <c r="AU82" s="7" t="str">
        <f t="shared" si="12"/>
        <v/>
      </c>
      <c r="AV82" s="7" t="str">
        <f t="shared" si="13"/>
        <v/>
      </c>
      <c r="AW82" s="7" t="str">
        <f>IF('RFQ-Input'!O81="","",'RFQ-Input'!O81)</f>
        <v/>
      </c>
      <c r="AX82" s="7" t="str">
        <f>IF('RFQ-Input'!S81="","",'RFQ-Input'!S81)</f>
        <v/>
      </c>
      <c r="AY82" s="7" t="str">
        <f>IF('RFQ-Input'!V81="","",'RFQ-Input'!V81)</f>
        <v/>
      </c>
      <c r="AZ82" s="7" t="str">
        <f>IF('RFQ-Input'!Y81="","",'RFQ-Input'!Y81)</f>
        <v/>
      </c>
      <c r="BA82" s="7" t="str">
        <f>IF('RFQ-Input'!AB81="","",'RFQ-Input'!AB81)</f>
        <v/>
      </c>
    </row>
    <row r="83" spans="1:53">
      <c r="A83" s="20">
        <v>79</v>
      </c>
      <c r="B83" s="7"/>
      <c r="C83" s="7" t="str">
        <f>IF('RFQ-Input'!C82="","",'RFQ-Input'!C82)</f>
        <v/>
      </c>
      <c r="D83" s="7" t="str">
        <f>IF('RFQ-Input'!D82="","",'RFQ-Input'!D82)</f>
        <v/>
      </c>
      <c r="E83" s="7" t="str">
        <f>IF('RFQ-Input'!E82="","",'RFQ-Input'!E82)</f>
        <v/>
      </c>
      <c r="F83" s="7" t="str">
        <f>IF('RFQ-Input'!F82="","",'RFQ-Input'!F82)</f>
        <v/>
      </c>
      <c r="G83" s="7" t="str">
        <f>IF('RFQ-Input'!G82="","",'RFQ-Input'!G82)</f>
        <v/>
      </c>
      <c r="H83" s="7" t="str">
        <f>IF('RFQ-Input'!H82="","",'RFQ-Input'!H82)</f>
        <v/>
      </c>
      <c r="I83" s="7" t="str">
        <f>IF('RFQ-Input'!I82="","",'RFQ-Input'!I82)</f>
        <v/>
      </c>
      <c r="J83" s="7" t="str">
        <f>IF('RFQ-Input'!J82="","",'RFQ-Input'!J82)</f>
        <v/>
      </c>
      <c r="K83" s="7" t="str">
        <f>IF('RFQ-Input'!K82="","",'RFQ-Input'!K82)</f>
        <v/>
      </c>
      <c r="L83" s="7" t="str">
        <f>IF('RFQ-Input'!L82="","",'RFQ-Input'!L82)</f>
        <v/>
      </c>
      <c r="M83" s="7" t="str">
        <f>IF('RFQ-Input'!M82="","",'RFQ-Input'!M82)</f>
        <v/>
      </c>
      <c r="N83" s="7" t="str">
        <f>IF('RFQ-Input'!N82="","",'RFQ-Input'!N82)</f>
        <v/>
      </c>
      <c r="O83" s="7" t="str">
        <f>IF('RFQ-Input'!O82="","",'RFQ-Input'!O82)</f>
        <v/>
      </c>
      <c r="Q83" s="7"/>
      <c r="R83" s="7"/>
      <c r="S83" s="7"/>
      <c r="T83" s="7"/>
      <c r="U83" s="7"/>
      <c r="V83" s="7"/>
      <c r="X83" s="7"/>
      <c r="Y83" s="7"/>
      <c r="Z83" s="7"/>
      <c r="AA83" s="7" t="str">
        <f t="shared" si="7"/>
        <v/>
      </c>
      <c r="AB83" s="7"/>
      <c r="AC83" s="7"/>
      <c r="AQ83" s="7" t="str">
        <f t="shared" si="8"/>
        <v/>
      </c>
      <c r="AR83" s="7" t="str">
        <f t="shared" si="9"/>
        <v/>
      </c>
      <c r="AS83" s="7" t="str">
        <f t="shared" si="10"/>
        <v/>
      </c>
      <c r="AT83" s="7" t="str">
        <f t="shared" si="11"/>
        <v/>
      </c>
      <c r="AU83" s="7" t="str">
        <f t="shared" si="12"/>
        <v/>
      </c>
      <c r="AV83" s="7" t="str">
        <f t="shared" si="13"/>
        <v/>
      </c>
      <c r="AW83" s="7" t="str">
        <f>IF('RFQ-Input'!O82="","",'RFQ-Input'!O82)</f>
        <v/>
      </c>
      <c r="AX83" s="7" t="str">
        <f>IF('RFQ-Input'!S82="","",'RFQ-Input'!S82)</f>
        <v/>
      </c>
      <c r="AY83" s="7" t="str">
        <f>IF('RFQ-Input'!V82="","",'RFQ-Input'!V82)</f>
        <v/>
      </c>
      <c r="AZ83" s="7" t="str">
        <f>IF('RFQ-Input'!Y82="","",'RFQ-Input'!Y82)</f>
        <v/>
      </c>
      <c r="BA83" s="7" t="str">
        <f>IF('RFQ-Input'!AB82="","",'RFQ-Input'!AB82)</f>
        <v/>
      </c>
    </row>
    <row r="84" spans="1:53">
      <c r="A84" s="20">
        <v>80</v>
      </c>
      <c r="B84" s="7"/>
      <c r="C84" s="7" t="str">
        <f>IF('RFQ-Input'!C83="","",'RFQ-Input'!C83)</f>
        <v/>
      </c>
      <c r="D84" s="7" t="str">
        <f>IF('RFQ-Input'!D83="","",'RFQ-Input'!D83)</f>
        <v/>
      </c>
      <c r="E84" s="7" t="str">
        <f>IF('RFQ-Input'!E83="","",'RFQ-Input'!E83)</f>
        <v/>
      </c>
      <c r="F84" s="7" t="str">
        <f>IF('RFQ-Input'!F83="","",'RFQ-Input'!F83)</f>
        <v/>
      </c>
      <c r="G84" s="7" t="str">
        <f>IF('RFQ-Input'!G83="","",'RFQ-Input'!G83)</f>
        <v/>
      </c>
      <c r="H84" s="7" t="str">
        <f>IF('RFQ-Input'!H83="","",'RFQ-Input'!H83)</f>
        <v/>
      </c>
      <c r="I84" s="7" t="str">
        <f>IF('RFQ-Input'!I83="","",'RFQ-Input'!I83)</f>
        <v/>
      </c>
      <c r="J84" s="7" t="str">
        <f>IF('RFQ-Input'!J83="","",'RFQ-Input'!J83)</f>
        <v/>
      </c>
      <c r="K84" s="7" t="str">
        <f>IF('RFQ-Input'!K83="","",'RFQ-Input'!K83)</f>
        <v/>
      </c>
      <c r="L84" s="7" t="str">
        <f>IF('RFQ-Input'!L83="","",'RFQ-Input'!L83)</f>
        <v/>
      </c>
      <c r="M84" s="7" t="str">
        <f>IF('RFQ-Input'!M83="","",'RFQ-Input'!M83)</f>
        <v/>
      </c>
      <c r="N84" s="7" t="str">
        <f>IF('RFQ-Input'!N83="","",'RFQ-Input'!N83)</f>
        <v/>
      </c>
      <c r="O84" s="7" t="str">
        <f>IF('RFQ-Input'!O83="","",'RFQ-Input'!O83)</f>
        <v/>
      </c>
      <c r="Q84" s="7"/>
      <c r="R84" s="7"/>
      <c r="S84" s="7"/>
      <c r="T84" s="7"/>
      <c r="U84" s="7"/>
      <c r="V84" s="7"/>
      <c r="X84" s="7"/>
      <c r="Y84" s="7"/>
      <c r="Z84" s="7"/>
      <c r="AA84" s="7" t="str">
        <f t="shared" si="7"/>
        <v/>
      </c>
      <c r="AB84" s="7"/>
      <c r="AC84" s="7"/>
      <c r="AQ84" s="7" t="str">
        <f t="shared" si="8"/>
        <v/>
      </c>
      <c r="AR84" s="7" t="str">
        <f t="shared" si="9"/>
        <v/>
      </c>
      <c r="AS84" s="7" t="str">
        <f t="shared" si="10"/>
        <v/>
      </c>
      <c r="AT84" s="7" t="str">
        <f t="shared" si="11"/>
        <v/>
      </c>
      <c r="AU84" s="7" t="str">
        <f t="shared" si="12"/>
        <v/>
      </c>
      <c r="AV84" s="7" t="str">
        <f t="shared" si="13"/>
        <v/>
      </c>
      <c r="AW84" s="7" t="str">
        <f>IF('RFQ-Input'!O83="","",'RFQ-Input'!O83)</f>
        <v/>
      </c>
      <c r="AX84" s="7" t="str">
        <f>IF('RFQ-Input'!S83="","",'RFQ-Input'!S83)</f>
        <v/>
      </c>
      <c r="AY84" s="7" t="str">
        <f>IF('RFQ-Input'!V83="","",'RFQ-Input'!V83)</f>
        <v/>
      </c>
      <c r="AZ84" s="7" t="str">
        <f>IF('RFQ-Input'!Y83="","",'RFQ-Input'!Y83)</f>
        <v/>
      </c>
      <c r="BA84" s="7" t="str">
        <f>IF('RFQ-Input'!AB83="","",'RFQ-Input'!AB83)</f>
        <v/>
      </c>
    </row>
    <row r="85" spans="1:53">
      <c r="A85" s="20">
        <v>81</v>
      </c>
      <c r="B85" s="7"/>
      <c r="C85" s="7" t="str">
        <f>IF('RFQ-Input'!C84="","",'RFQ-Input'!C84)</f>
        <v/>
      </c>
      <c r="D85" s="7" t="str">
        <f>IF('RFQ-Input'!D84="","",'RFQ-Input'!D84)</f>
        <v/>
      </c>
      <c r="E85" s="7" t="str">
        <f>IF('RFQ-Input'!E84="","",'RFQ-Input'!E84)</f>
        <v/>
      </c>
      <c r="F85" s="7" t="str">
        <f>IF('RFQ-Input'!F84="","",'RFQ-Input'!F84)</f>
        <v/>
      </c>
      <c r="G85" s="7" t="str">
        <f>IF('RFQ-Input'!G84="","",'RFQ-Input'!G84)</f>
        <v/>
      </c>
      <c r="H85" s="7" t="str">
        <f>IF('RFQ-Input'!H84="","",'RFQ-Input'!H84)</f>
        <v/>
      </c>
      <c r="I85" s="7" t="str">
        <f>IF('RFQ-Input'!I84="","",'RFQ-Input'!I84)</f>
        <v/>
      </c>
      <c r="J85" s="7" t="str">
        <f>IF('RFQ-Input'!J84="","",'RFQ-Input'!J84)</f>
        <v/>
      </c>
      <c r="K85" s="7" t="str">
        <f>IF('RFQ-Input'!K84="","",'RFQ-Input'!K84)</f>
        <v/>
      </c>
      <c r="L85" s="7" t="str">
        <f>IF('RFQ-Input'!L84="","",'RFQ-Input'!L84)</f>
        <v/>
      </c>
      <c r="M85" s="7" t="str">
        <f>IF('RFQ-Input'!M84="","",'RFQ-Input'!M84)</f>
        <v/>
      </c>
      <c r="N85" s="7" t="str">
        <f>IF('RFQ-Input'!N84="","",'RFQ-Input'!N84)</f>
        <v/>
      </c>
      <c r="O85" s="7" t="str">
        <f>IF('RFQ-Input'!O84="","",'RFQ-Input'!O84)</f>
        <v/>
      </c>
      <c r="Q85" s="7"/>
      <c r="R85" s="7"/>
      <c r="S85" s="7"/>
      <c r="T85" s="7"/>
      <c r="U85" s="7"/>
      <c r="V85" s="7"/>
      <c r="X85" s="7"/>
      <c r="Y85" s="7"/>
      <c r="Z85" s="7"/>
      <c r="AA85" s="7" t="str">
        <f t="shared" si="7"/>
        <v/>
      </c>
      <c r="AB85" s="7"/>
      <c r="AC85" s="7"/>
      <c r="AQ85" s="7" t="str">
        <f t="shared" si="8"/>
        <v/>
      </c>
      <c r="AR85" s="7" t="str">
        <f t="shared" si="9"/>
        <v/>
      </c>
      <c r="AS85" s="7" t="str">
        <f t="shared" si="10"/>
        <v/>
      </c>
      <c r="AT85" s="7" t="str">
        <f t="shared" si="11"/>
        <v/>
      </c>
      <c r="AU85" s="7" t="str">
        <f t="shared" si="12"/>
        <v/>
      </c>
      <c r="AV85" s="7" t="str">
        <f t="shared" si="13"/>
        <v/>
      </c>
      <c r="AW85" s="7" t="str">
        <f>IF('RFQ-Input'!O84="","",'RFQ-Input'!O84)</f>
        <v/>
      </c>
      <c r="AX85" s="7" t="str">
        <f>IF('RFQ-Input'!S84="","",'RFQ-Input'!S84)</f>
        <v/>
      </c>
      <c r="AY85" s="7" t="str">
        <f>IF('RFQ-Input'!V84="","",'RFQ-Input'!V84)</f>
        <v/>
      </c>
      <c r="AZ85" s="7" t="str">
        <f>IF('RFQ-Input'!Y84="","",'RFQ-Input'!Y84)</f>
        <v/>
      </c>
      <c r="BA85" s="7" t="str">
        <f>IF('RFQ-Input'!AB84="","",'RFQ-Input'!AB84)</f>
        <v/>
      </c>
    </row>
    <row r="86" spans="1:53">
      <c r="A86" s="20">
        <v>82</v>
      </c>
      <c r="B86" s="7"/>
      <c r="C86" s="7" t="str">
        <f>IF('RFQ-Input'!C85="","",'RFQ-Input'!C85)</f>
        <v/>
      </c>
      <c r="D86" s="7" t="str">
        <f>IF('RFQ-Input'!D85="","",'RFQ-Input'!D85)</f>
        <v/>
      </c>
      <c r="E86" s="7" t="str">
        <f>IF('RFQ-Input'!E85="","",'RFQ-Input'!E85)</f>
        <v/>
      </c>
      <c r="F86" s="7" t="str">
        <f>IF('RFQ-Input'!F85="","",'RFQ-Input'!F85)</f>
        <v/>
      </c>
      <c r="G86" s="7" t="str">
        <f>IF('RFQ-Input'!G85="","",'RFQ-Input'!G85)</f>
        <v/>
      </c>
      <c r="H86" s="7" t="str">
        <f>IF('RFQ-Input'!H85="","",'RFQ-Input'!H85)</f>
        <v/>
      </c>
      <c r="I86" s="7" t="str">
        <f>IF('RFQ-Input'!I85="","",'RFQ-Input'!I85)</f>
        <v/>
      </c>
      <c r="J86" s="7" t="str">
        <f>IF('RFQ-Input'!J85="","",'RFQ-Input'!J85)</f>
        <v/>
      </c>
      <c r="K86" s="7" t="str">
        <f>IF('RFQ-Input'!K85="","",'RFQ-Input'!K85)</f>
        <v/>
      </c>
      <c r="L86" s="7" t="str">
        <f>IF('RFQ-Input'!L85="","",'RFQ-Input'!L85)</f>
        <v/>
      </c>
      <c r="M86" s="7" t="str">
        <f>IF('RFQ-Input'!M85="","",'RFQ-Input'!M85)</f>
        <v/>
      </c>
      <c r="N86" s="7" t="str">
        <f>IF('RFQ-Input'!N85="","",'RFQ-Input'!N85)</f>
        <v/>
      </c>
      <c r="O86" s="7" t="str">
        <f>IF('RFQ-Input'!O85="","",'RFQ-Input'!O85)</f>
        <v/>
      </c>
      <c r="Q86" s="7"/>
      <c r="R86" s="7"/>
      <c r="S86" s="7"/>
      <c r="T86" s="7"/>
      <c r="U86" s="7"/>
      <c r="V86" s="7"/>
      <c r="X86" s="7"/>
      <c r="Y86" s="7"/>
      <c r="Z86" s="7"/>
      <c r="AA86" s="7" t="str">
        <f t="shared" si="7"/>
        <v/>
      </c>
      <c r="AB86" s="7"/>
      <c r="AC86" s="7"/>
      <c r="AQ86" s="7" t="str">
        <f t="shared" si="8"/>
        <v/>
      </c>
      <c r="AR86" s="7" t="str">
        <f t="shared" si="9"/>
        <v/>
      </c>
      <c r="AS86" s="7" t="str">
        <f t="shared" si="10"/>
        <v/>
      </c>
      <c r="AT86" s="7" t="str">
        <f t="shared" si="11"/>
        <v/>
      </c>
      <c r="AU86" s="7" t="str">
        <f t="shared" si="12"/>
        <v/>
      </c>
      <c r="AV86" s="7" t="str">
        <f t="shared" si="13"/>
        <v/>
      </c>
      <c r="AW86" s="7" t="str">
        <f>IF('RFQ-Input'!O85="","",'RFQ-Input'!O85)</f>
        <v/>
      </c>
      <c r="AX86" s="7" t="str">
        <f>IF('RFQ-Input'!S85="","",'RFQ-Input'!S85)</f>
        <v/>
      </c>
      <c r="AY86" s="7" t="str">
        <f>IF('RFQ-Input'!V85="","",'RFQ-Input'!V85)</f>
        <v/>
      </c>
      <c r="AZ86" s="7" t="str">
        <f>IF('RFQ-Input'!Y85="","",'RFQ-Input'!Y85)</f>
        <v/>
      </c>
      <c r="BA86" s="7" t="str">
        <f>IF('RFQ-Input'!AB85="","",'RFQ-Input'!AB85)</f>
        <v/>
      </c>
    </row>
    <row r="87" spans="1:53">
      <c r="A87" s="20">
        <v>83</v>
      </c>
      <c r="B87" s="7"/>
      <c r="C87" s="7" t="str">
        <f>IF('RFQ-Input'!C86="","",'RFQ-Input'!C86)</f>
        <v/>
      </c>
      <c r="D87" s="7" t="str">
        <f>IF('RFQ-Input'!D86="","",'RFQ-Input'!D86)</f>
        <v/>
      </c>
      <c r="E87" s="7" t="str">
        <f>IF('RFQ-Input'!E86="","",'RFQ-Input'!E86)</f>
        <v/>
      </c>
      <c r="F87" s="7" t="str">
        <f>IF('RFQ-Input'!F86="","",'RFQ-Input'!F86)</f>
        <v/>
      </c>
      <c r="G87" s="7" t="str">
        <f>IF('RFQ-Input'!G86="","",'RFQ-Input'!G86)</f>
        <v/>
      </c>
      <c r="H87" s="7" t="str">
        <f>IF('RFQ-Input'!H86="","",'RFQ-Input'!H86)</f>
        <v/>
      </c>
      <c r="I87" s="7" t="str">
        <f>IF('RFQ-Input'!I86="","",'RFQ-Input'!I86)</f>
        <v/>
      </c>
      <c r="J87" s="7" t="str">
        <f>IF('RFQ-Input'!J86="","",'RFQ-Input'!J86)</f>
        <v/>
      </c>
      <c r="K87" s="7" t="str">
        <f>IF('RFQ-Input'!K86="","",'RFQ-Input'!K86)</f>
        <v/>
      </c>
      <c r="L87" s="7" t="str">
        <f>IF('RFQ-Input'!L86="","",'RFQ-Input'!L86)</f>
        <v/>
      </c>
      <c r="M87" s="7" t="str">
        <f>IF('RFQ-Input'!M86="","",'RFQ-Input'!M86)</f>
        <v/>
      </c>
      <c r="N87" s="7" t="str">
        <f>IF('RFQ-Input'!N86="","",'RFQ-Input'!N86)</f>
        <v/>
      </c>
      <c r="O87" s="7" t="str">
        <f>IF('RFQ-Input'!O86="","",'RFQ-Input'!O86)</f>
        <v/>
      </c>
      <c r="Q87" s="7"/>
      <c r="R87" s="7"/>
      <c r="S87" s="7"/>
      <c r="T87" s="7"/>
      <c r="U87" s="7"/>
      <c r="V87" s="7"/>
      <c r="X87" s="7"/>
      <c r="Y87" s="7"/>
      <c r="Z87" s="7"/>
      <c r="AA87" s="7" t="str">
        <f t="shared" si="7"/>
        <v/>
      </c>
      <c r="AB87" s="7"/>
      <c r="AC87" s="7"/>
      <c r="AQ87" s="7" t="str">
        <f t="shared" si="8"/>
        <v/>
      </c>
      <c r="AR87" s="7" t="str">
        <f t="shared" si="9"/>
        <v/>
      </c>
      <c r="AS87" s="7" t="str">
        <f t="shared" si="10"/>
        <v/>
      </c>
      <c r="AT87" s="7" t="str">
        <f t="shared" si="11"/>
        <v/>
      </c>
      <c r="AU87" s="7" t="str">
        <f t="shared" si="12"/>
        <v/>
      </c>
      <c r="AV87" s="7" t="str">
        <f t="shared" si="13"/>
        <v/>
      </c>
      <c r="AW87" s="7" t="str">
        <f>IF('RFQ-Input'!O86="","",'RFQ-Input'!O86)</f>
        <v/>
      </c>
      <c r="AX87" s="7" t="str">
        <f>IF('RFQ-Input'!S86="","",'RFQ-Input'!S86)</f>
        <v/>
      </c>
      <c r="AY87" s="7" t="str">
        <f>IF('RFQ-Input'!V86="","",'RFQ-Input'!V86)</f>
        <v/>
      </c>
      <c r="AZ87" s="7" t="str">
        <f>IF('RFQ-Input'!Y86="","",'RFQ-Input'!Y86)</f>
        <v/>
      </c>
      <c r="BA87" s="7" t="str">
        <f>IF('RFQ-Input'!AB86="","",'RFQ-Input'!AB86)</f>
        <v/>
      </c>
    </row>
    <row r="88" spans="1:53">
      <c r="A88" s="20">
        <v>84</v>
      </c>
      <c r="B88" s="7"/>
      <c r="C88" s="7" t="str">
        <f>IF('RFQ-Input'!C87="","",'RFQ-Input'!C87)</f>
        <v/>
      </c>
      <c r="D88" s="7" t="str">
        <f>IF('RFQ-Input'!D87="","",'RFQ-Input'!D87)</f>
        <v/>
      </c>
      <c r="E88" s="7" t="str">
        <f>IF('RFQ-Input'!E87="","",'RFQ-Input'!E87)</f>
        <v/>
      </c>
      <c r="F88" s="7" t="str">
        <f>IF('RFQ-Input'!F87="","",'RFQ-Input'!F87)</f>
        <v/>
      </c>
      <c r="G88" s="7" t="str">
        <f>IF('RFQ-Input'!G87="","",'RFQ-Input'!G87)</f>
        <v/>
      </c>
      <c r="H88" s="7" t="str">
        <f>IF('RFQ-Input'!H87="","",'RFQ-Input'!H87)</f>
        <v/>
      </c>
      <c r="I88" s="7" t="str">
        <f>IF('RFQ-Input'!I87="","",'RFQ-Input'!I87)</f>
        <v/>
      </c>
      <c r="J88" s="7" t="str">
        <f>IF('RFQ-Input'!J87="","",'RFQ-Input'!J87)</f>
        <v/>
      </c>
      <c r="K88" s="7" t="str">
        <f>IF('RFQ-Input'!K87="","",'RFQ-Input'!K87)</f>
        <v/>
      </c>
      <c r="L88" s="7" t="str">
        <f>IF('RFQ-Input'!L87="","",'RFQ-Input'!L87)</f>
        <v/>
      </c>
      <c r="M88" s="7" t="str">
        <f>IF('RFQ-Input'!M87="","",'RFQ-Input'!M87)</f>
        <v/>
      </c>
      <c r="N88" s="7" t="str">
        <f>IF('RFQ-Input'!N87="","",'RFQ-Input'!N87)</f>
        <v/>
      </c>
      <c r="O88" s="7" t="str">
        <f>IF('RFQ-Input'!O87="","",'RFQ-Input'!O87)</f>
        <v/>
      </c>
      <c r="Q88" s="7"/>
      <c r="R88" s="7"/>
      <c r="S88" s="7"/>
      <c r="T88" s="7"/>
      <c r="U88" s="7"/>
      <c r="V88" s="7"/>
      <c r="X88" s="7"/>
      <c r="Y88" s="7"/>
      <c r="Z88" s="7"/>
      <c r="AA88" s="7" t="str">
        <f t="shared" si="7"/>
        <v/>
      </c>
      <c r="AB88" s="7"/>
      <c r="AC88" s="7"/>
      <c r="AQ88" s="7" t="str">
        <f t="shared" si="8"/>
        <v/>
      </c>
      <c r="AR88" s="7" t="str">
        <f t="shared" si="9"/>
        <v/>
      </c>
      <c r="AS88" s="7" t="str">
        <f t="shared" si="10"/>
        <v/>
      </c>
      <c r="AT88" s="7" t="str">
        <f t="shared" si="11"/>
        <v/>
      </c>
      <c r="AU88" s="7" t="str">
        <f t="shared" si="12"/>
        <v/>
      </c>
      <c r="AV88" s="7" t="str">
        <f t="shared" si="13"/>
        <v/>
      </c>
      <c r="AW88" s="7" t="str">
        <f>IF('RFQ-Input'!O87="","",'RFQ-Input'!O87)</f>
        <v/>
      </c>
      <c r="AX88" s="7" t="str">
        <f>IF('RFQ-Input'!S87="","",'RFQ-Input'!S87)</f>
        <v/>
      </c>
      <c r="AY88" s="7" t="str">
        <f>IF('RFQ-Input'!V87="","",'RFQ-Input'!V87)</f>
        <v/>
      </c>
      <c r="AZ88" s="7" t="str">
        <f>IF('RFQ-Input'!Y87="","",'RFQ-Input'!Y87)</f>
        <v/>
      </c>
      <c r="BA88" s="7" t="str">
        <f>IF('RFQ-Input'!AB87="","",'RFQ-Input'!AB87)</f>
        <v/>
      </c>
    </row>
    <row r="89" spans="1:53">
      <c r="A89" s="20">
        <v>85</v>
      </c>
      <c r="B89" s="7"/>
      <c r="C89" s="7" t="str">
        <f>IF('RFQ-Input'!C88="","",'RFQ-Input'!C88)</f>
        <v/>
      </c>
      <c r="D89" s="7" t="str">
        <f>IF('RFQ-Input'!D88="","",'RFQ-Input'!D88)</f>
        <v/>
      </c>
      <c r="E89" s="7" t="str">
        <f>IF('RFQ-Input'!E88="","",'RFQ-Input'!E88)</f>
        <v/>
      </c>
      <c r="F89" s="7" t="str">
        <f>IF('RFQ-Input'!F88="","",'RFQ-Input'!F88)</f>
        <v/>
      </c>
      <c r="G89" s="7" t="str">
        <f>IF('RFQ-Input'!G88="","",'RFQ-Input'!G88)</f>
        <v/>
      </c>
      <c r="H89" s="7" t="str">
        <f>IF('RFQ-Input'!H88="","",'RFQ-Input'!H88)</f>
        <v/>
      </c>
      <c r="I89" s="7" t="str">
        <f>IF('RFQ-Input'!I88="","",'RFQ-Input'!I88)</f>
        <v/>
      </c>
      <c r="J89" s="7" t="str">
        <f>IF('RFQ-Input'!J88="","",'RFQ-Input'!J88)</f>
        <v/>
      </c>
      <c r="K89" s="7" t="str">
        <f>IF('RFQ-Input'!K88="","",'RFQ-Input'!K88)</f>
        <v/>
      </c>
      <c r="L89" s="7" t="str">
        <f>IF('RFQ-Input'!L88="","",'RFQ-Input'!L88)</f>
        <v/>
      </c>
      <c r="M89" s="7" t="str">
        <f>IF('RFQ-Input'!M88="","",'RFQ-Input'!M88)</f>
        <v/>
      </c>
      <c r="N89" s="7" t="str">
        <f>IF('RFQ-Input'!N88="","",'RFQ-Input'!N88)</f>
        <v/>
      </c>
      <c r="O89" s="7" t="str">
        <f>IF('RFQ-Input'!O88="","",'RFQ-Input'!O88)</f>
        <v/>
      </c>
      <c r="Q89" s="7"/>
      <c r="R89" s="7"/>
      <c r="S89" s="7"/>
      <c r="T89" s="7"/>
      <c r="U89" s="7"/>
      <c r="V89" s="7"/>
      <c r="X89" s="7"/>
      <c r="Y89" s="7"/>
      <c r="Z89" s="7"/>
      <c r="AA89" s="7" t="str">
        <f t="shared" si="7"/>
        <v/>
      </c>
      <c r="AB89" s="7"/>
      <c r="AC89" s="7"/>
      <c r="AQ89" s="7" t="str">
        <f t="shared" si="8"/>
        <v/>
      </c>
      <c r="AR89" s="7" t="str">
        <f t="shared" si="9"/>
        <v/>
      </c>
      <c r="AS89" s="7" t="str">
        <f t="shared" si="10"/>
        <v/>
      </c>
      <c r="AT89" s="7" t="str">
        <f t="shared" si="11"/>
        <v/>
      </c>
      <c r="AU89" s="7" t="str">
        <f t="shared" si="12"/>
        <v/>
      </c>
      <c r="AV89" s="7" t="str">
        <f t="shared" si="13"/>
        <v/>
      </c>
      <c r="AW89" s="7" t="str">
        <f>IF('RFQ-Input'!O88="","",'RFQ-Input'!O88)</f>
        <v/>
      </c>
      <c r="AX89" s="7" t="str">
        <f>IF('RFQ-Input'!S88="","",'RFQ-Input'!S88)</f>
        <v/>
      </c>
      <c r="AY89" s="7" t="str">
        <f>IF('RFQ-Input'!V88="","",'RFQ-Input'!V88)</f>
        <v/>
      </c>
      <c r="AZ89" s="7" t="str">
        <f>IF('RFQ-Input'!Y88="","",'RFQ-Input'!Y88)</f>
        <v/>
      </c>
      <c r="BA89" s="7" t="str">
        <f>IF('RFQ-Input'!AB88="","",'RFQ-Input'!AB88)</f>
        <v/>
      </c>
    </row>
    <row r="90" spans="1:53">
      <c r="A90" s="20">
        <v>86</v>
      </c>
      <c r="B90" s="7"/>
      <c r="C90" s="7" t="str">
        <f>IF('RFQ-Input'!C89="","",'RFQ-Input'!C89)</f>
        <v/>
      </c>
      <c r="D90" s="7" t="str">
        <f>IF('RFQ-Input'!D89="","",'RFQ-Input'!D89)</f>
        <v/>
      </c>
      <c r="E90" s="7" t="str">
        <f>IF('RFQ-Input'!E89="","",'RFQ-Input'!E89)</f>
        <v/>
      </c>
      <c r="F90" s="7" t="str">
        <f>IF('RFQ-Input'!F89="","",'RFQ-Input'!F89)</f>
        <v/>
      </c>
      <c r="G90" s="7" t="str">
        <f>IF('RFQ-Input'!G89="","",'RFQ-Input'!G89)</f>
        <v/>
      </c>
      <c r="H90" s="7" t="str">
        <f>IF('RFQ-Input'!H89="","",'RFQ-Input'!H89)</f>
        <v/>
      </c>
      <c r="I90" s="7" t="str">
        <f>IF('RFQ-Input'!I89="","",'RFQ-Input'!I89)</f>
        <v/>
      </c>
      <c r="J90" s="7" t="str">
        <f>IF('RFQ-Input'!J89="","",'RFQ-Input'!J89)</f>
        <v/>
      </c>
      <c r="K90" s="7" t="str">
        <f>IF('RFQ-Input'!K89="","",'RFQ-Input'!K89)</f>
        <v/>
      </c>
      <c r="L90" s="7" t="str">
        <f>IF('RFQ-Input'!L89="","",'RFQ-Input'!L89)</f>
        <v/>
      </c>
      <c r="M90" s="7" t="str">
        <f>IF('RFQ-Input'!M89="","",'RFQ-Input'!M89)</f>
        <v/>
      </c>
      <c r="N90" s="7" t="str">
        <f>IF('RFQ-Input'!N89="","",'RFQ-Input'!N89)</f>
        <v/>
      </c>
      <c r="O90" s="7" t="str">
        <f>IF('RFQ-Input'!O89="","",'RFQ-Input'!O89)</f>
        <v/>
      </c>
      <c r="Q90" s="7"/>
      <c r="R90" s="7"/>
      <c r="S90" s="7"/>
      <c r="T90" s="7"/>
      <c r="U90" s="7"/>
      <c r="V90" s="7"/>
      <c r="X90" s="7"/>
      <c r="Y90" s="7"/>
      <c r="Z90" s="7"/>
      <c r="AA90" s="7" t="str">
        <f t="shared" si="7"/>
        <v/>
      </c>
      <c r="AB90" s="7"/>
      <c r="AC90" s="7"/>
      <c r="AQ90" s="7" t="str">
        <f t="shared" si="8"/>
        <v/>
      </c>
      <c r="AR90" s="7" t="str">
        <f t="shared" si="9"/>
        <v/>
      </c>
      <c r="AS90" s="7" t="str">
        <f t="shared" si="10"/>
        <v/>
      </c>
      <c r="AT90" s="7" t="str">
        <f t="shared" si="11"/>
        <v/>
      </c>
      <c r="AU90" s="7" t="str">
        <f t="shared" si="12"/>
        <v/>
      </c>
      <c r="AV90" s="7" t="str">
        <f t="shared" si="13"/>
        <v/>
      </c>
      <c r="AW90" s="7" t="str">
        <f>IF('RFQ-Input'!O89="","",'RFQ-Input'!O89)</f>
        <v/>
      </c>
      <c r="AX90" s="7" t="str">
        <f>IF('RFQ-Input'!S89="","",'RFQ-Input'!S89)</f>
        <v/>
      </c>
      <c r="AY90" s="7" t="str">
        <f>IF('RFQ-Input'!V89="","",'RFQ-Input'!V89)</f>
        <v/>
      </c>
      <c r="AZ90" s="7" t="str">
        <f>IF('RFQ-Input'!Y89="","",'RFQ-Input'!Y89)</f>
        <v/>
      </c>
      <c r="BA90" s="7" t="str">
        <f>IF('RFQ-Input'!AB89="","",'RFQ-Input'!AB89)</f>
        <v/>
      </c>
    </row>
    <row r="91" spans="1:53">
      <c r="A91" s="20">
        <v>87</v>
      </c>
      <c r="B91" s="7"/>
      <c r="C91" s="7" t="str">
        <f>IF('RFQ-Input'!C90="","",'RFQ-Input'!C90)</f>
        <v/>
      </c>
      <c r="D91" s="7" t="str">
        <f>IF('RFQ-Input'!D90="","",'RFQ-Input'!D90)</f>
        <v/>
      </c>
      <c r="E91" s="7" t="str">
        <f>IF('RFQ-Input'!E90="","",'RFQ-Input'!E90)</f>
        <v/>
      </c>
      <c r="F91" s="7" t="str">
        <f>IF('RFQ-Input'!F90="","",'RFQ-Input'!F90)</f>
        <v/>
      </c>
      <c r="G91" s="7" t="str">
        <f>IF('RFQ-Input'!G90="","",'RFQ-Input'!G90)</f>
        <v/>
      </c>
      <c r="H91" s="7" t="str">
        <f>IF('RFQ-Input'!H90="","",'RFQ-Input'!H90)</f>
        <v/>
      </c>
      <c r="I91" s="7" t="str">
        <f>IF('RFQ-Input'!I90="","",'RFQ-Input'!I90)</f>
        <v/>
      </c>
      <c r="J91" s="7" t="str">
        <f>IF('RFQ-Input'!J90="","",'RFQ-Input'!J90)</f>
        <v/>
      </c>
      <c r="K91" s="7" t="str">
        <f>IF('RFQ-Input'!K90="","",'RFQ-Input'!K90)</f>
        <v/>
      </c>
      <c r="L91" s="7" t="str">
        <f>IF('RFQ-Input'!L90="","",'RFQ-Input'!L90)</f>
        <v/>
      </c>
      <c r="M91" s="7" t="str">
        <f>IF('RFQ-Input'!M90="","",'RFQ-Input'!M90)</f>
        <v/>
      </c>
      <c r="N91" s="7" t="str">
        <f>IF('RFQ-Input'!N90="","",'RFQ-Input'!N90)</f>
        <v/>
      </c>
      <c r="O91" s="7" t="str">
        <f>IF('RFQ-Input'!O90="","",'RFQ-Input'!O90)</f>
        <v/>
      </c>
      <c r="Q91" s="7"/>
      <c r="R91" s="7"/>
      <c r="S91" s="7"/>
      <c r="T91" s="7"/>
      <c r="U91" s="7"/>
      <c r="V91" s="7"/>
      <c r="X91" s="7"/>
      <c r="Y91" s="7"/>
      <c r="Z91" s="7"/>
      <c r="AA91" s="7" t="str">
        <f t="shared" si="7"/>
        <v/>
      </c>
      <c r="AB91" s="7"/>
      <c r="AC91" s="7"/>
      <c r="AQ91" s="7" t="str">
        <f t="shared" si="8"/>
        <v/>
      </c>
      <c r="AR91" s="7" t="str">
        <f t="shared" si="9"/>
        <v/>
      </c>
      <c r="AS91" s="7" t="str">
        <f t="shared" si="10"/>
        <v/>
      </c>
      <c r="AT91" s="7" t="str">
        <f t="shared" si="11"/>
        <v/>
      </c>
      <c r="AU91" s="7" t="str">
        <f t="shared" si="12"/>
        <v/>
      </c>
      <c r="AV91" s="7" t="str">
        <f t="shared" si="13"/>
        <v/>
      </c>
      <c r="AW91" s="7" t="str">
        <f>IF('RFQ-Input'!O90="","",'RFQ-Input'!O90)</f>
        <v/>
      </c>
      <c r="AX91" s="7" t="str">
        <f>IF('RFQ-Input'!S90="","",'RFQ-Input'!S90)</f>
        <v/>
      </c>
      <c r="AY91" s="7" t="str">
        <f>IF('RFQ-Input'!V90="","",'RFQ-Input'!V90)</f>
        <v/>
      </c>
      <c r="AZ91" s="7" t="str">
        <f>IF('RFQ-Input'!Y90="","",'RFQ-Input'!Y90)</f>
        <v/>
      </c>
      <c r="BA91" s="7" t="str">
        <f>IF('RFQ-Input'!AB90="","",'RFQ-Input'!AB90)</f>
        <v/>
      </c>
    </row>
    <row r="92" spans="1:53">
      <c r="A92" s="20">
        <v>88</v>
      </c>
      <c r="B92" s="7"/>
      <c r="C92" s="7" t="str">
        <f>IF('RFQ-Input'!C91="","",'RFQ-Input'!C91)</f>
        <v/>
      </c>
      <c r="D92" s="7" t="str">
        <f>IF('RFQ-Input'!D91="","",'RFQ-Input'!D91)</f>
        <v/>
      </c>
      <c r="E92" s="7" t="str">
        <f>IF('RFQ-Input'!E91="","",'RFQ-Input'!E91)</f>
        <v/>
      </c>
      <c r="F92" s="7" t="str">
        <f>IF('RFQ-Input'!F91="","",'RFQ-Input'!F91)</f>
        <v/>
      </c>
      <c r="G92" s="7" t="str">
        <f>IF('RFQ-Input'!G91="","",'RFQ-Input'!G91)</f>
        <v/>
      </c>
      <c r="H92" s="7" t="str">
        <f>IF('RFQ-Input'!H91="","",'RFQ-Input'!H91)</f>
        <v/>
      </c>
      <c r="I92" s="7" t="str">
        <f>IF('RFQ-Input'!I91="","",'RFQ-Input'!I91)</f>
        <v/>
      </c>
      <c r="J92" s="7" t="str">
        <f>IF('RFQ-Input'!J91="","",'RFQ-Input'!J91)</f>
        <v/>
      </c>
      <c r="K92" s="7" t="str">
        <f>IF('RFQ-Input'!K91="","",'RFQ-Input'!K91)</f>
        <v/>
      </c>
      <c r="L92" s="7" t="str">
        <f>IF('RFQ-Input'!L91="","",'RFQ-Input'!L91)</f>
        <v/>
      </c>
      <c r="M92" s="7" t="str">
        <f>IF('RFQ-Input'!M91="","",'RFQ-Input'!M91)</f>
        <v/>
      </c>
      <c r="N92" s="7" t="str">
        <f>IF('RFQ-Input'!N91="","",'RFQ-Input'!N91)</f>
        <v/>
      </c>
      <c r="O92" s="7" t="str">
        <f>IF('RFQ-Input'!O91="","",'RFQ-Input'!O91)</f>
        <v/>
      </c>
      <c r="Q92" s="7"/>
      <c r="R92" s="7"/>
      <c r="S92" s="7"/>
      <c r="T92" s="7"/>
      <c r="U92" s="7"/>
      <c r="V92" s="7"/>
      <c r="X92" s="7"/>
      <c r="Y92" s="7"/>
      <c r="Z92" s="7"/>
      <c r="AA92" s="7" t="str">
        <f t="shared" si="7"/>
        <v/>
      </c>
      <c r="AB92" s="7"/>
      <c r="AC92" s="7"/>
      <c r="AQ92" s="7" t="str">
        <f t="shared" si="8"/>
        <v/>
      </c>
      <c r="AR92" s="7" t="str">
        <f t="shared" si="9"/>
        <v/>
      </c>
      <c r="AS92" s="7" t="str">
        <f t="shared" si="10"/>
        <v/>
      </c>
      <c r="AT92" s="7" t="str">
        <f t="shared" si="11"/>
        <v/>
      </c>
      <c r="AU92" s="7" t="str">
        <f t="shared" si="12"/>
        <v/>
      </c>
      <c r="AV92" s="7" t="str">
        <f t="shared" si="13"/>
        <v/>
      </c>
      <c r="AW92" s="7" t="str">
        <f>IF('RFQ-Input'!O91="","",'RFQ-Input'!O91)</f>
        <v/>
      </c>
      <c r="AX92" s="7" t="str">
        <f>IF('RFQ-Input'!S91="","",'RFQ-Input'!S91)</f>
        <v/>
      </c>
      <c r="AY92" s="7" t="str">
        <f>IF('RFQ-Input'!V91="","",'RFQ-Input'!V91)</f>
        <v/>
      </c>
      <c r="AZ92" s="7" t="str">
        <f>IF('RFQ-Input'!Y91="","",'RFQ-Input'!Y91)</f>
        <v/>
      </c>
      <c r="BA92" s="7" t="str">
        <f>IF('RFQ-Input'!AB91="","",'RFQ-Input'!AB91)</f>
        <v/>
      </c>
    </row>
    <row r="93" spans="1:53">
      <c r="A93" s="20">
        <v>89</v>
      </c>
      <c r="B93" s="7"/>
      <c r="C93" s="7" t="str">
        <f>IF('RFQ-Input'!C92="","",'RFQ-Input'!C92)</f>
        <v/>
      </c>
      <c r="D93" s="7" t="str">
        <f>IF('RFQ-Input'!D92="","",'RFQ-Input'!D92)</f>
        <v/>
      </c>
      <c r="E93" s="7" t="str">
        <f>IF('RFQ-Input'!E92="","",'RFQ-Input'!E92)</f>
        <v/>
      </c>
      <c r="F93" s="7" t="str">
        <f>IF('RFQ-Input'!F92="","",'RFQ-Input'!F92)</f>
        <v/>
      </c>
      <c r="G93" s="7" t="str">
        <f>IF('RFQ-Input'!G92="","",'RFQ-Input'!G92)</f>
        <v/>
      </c>
      <c r="H93" s="7" t="str">
        <f>IF('RFQ-Input'!H92="","",'RFQ-Input'!H92)</f>
        <v/>
      </c>
      <c r="I93" s="7" t="str">
        <f>IF('RFQ-Input'!I92="","",'RFQ-Input'!I92)</f>
        <v/>
      </c>
      <c r="J93" s="7" t="str">
        <f>IF('RFQ-Input'!J92="","",'RFQ-Input'!J92)</f>
        <v/>
      </c>
      <c r="K93" s="7" t="str">
        <f>IF('RFQ-Input'!K92="","",'RFQ-Input'!K92)</f>
        <v/>
      </c>
      <c r="L93" s="7" t="str">
        <f>IF('RFQ-Input'!L92="","",'RFQ-Input'!L92)</f>
        <v/>
      </c>
      <c r="M93" s="7" t="str">
        <f>IF('RFQ-Input'!M92="","",'RFQ-Input'!M92)</f>
        <v/>
      </c>
      <c r="N93" s="7" t="str">
        <f>IF('RFQ-Input'!N92="","",'RFQ-Input'!N92)</f>
        <v/>
      </c>
      <c r="O93" s="7" t="str">
        <f>IF('RFQ-Input'!O92="","",'RFQ-Input'!O92)</f>
        <v/>
      </c>
      <c r="Q93" s="7"/>
      <c r="R93" s="7"/>
      <c r="S93" s="7"/>
      <c r="T93" s="7"/>
      <c r="U93" s="7"/>
      <c r="V93" s="7"/>
      <c r="X93" s="7"/>
      <c r="Y93" s="7"/>
      <c r="Z93" s="7"/>
      <c r="AA93" s="7" t="str">
        <f t="shared" si="7"/>
        <v/>
      </c>
      <c r="AB93" s="7"/>
      <c r="AC93" s="7"/>
      <c r="AQ93" s="7" t="str">
        <f t="shared" si="8"/>
        <v/>
      </c>
      <c r="AR93" s="7" t="str">
        <f t="shared" si="9"/>
        <v/>
      </c>
      <c r="AS93" s="7" t="str">
        <f t="shared" si="10"/>
        <v/>
      </c>
      <c r="AT93" s="7" t="str">
        <f t="shared" si="11"/>
        <v/>
      </c>
      <c r="AU93" s="7" t="str">
        <f t="shared" si="12"/>
        <v/>
      </c>
      <c r="AV93" s="7" t="str">
        <f t="shared" si="13"/>
        <v/>
      </c>
      <c r="AW93" s="7" t="str">
        <f>IF('RFQ-Input'!O92="","",'RFQ-Input'!O92)</f>
        <v/>
      </c>
      <c r="AX93" s="7" t="str">
        <f>IF('RFQ-Input'!S92="","",'RFQ-Input'!S92)</f>
        <v/>
      </c>
      <c r="AY93" s="7" t="str">
        <f>IF('RFQ-Input'!V92="","",'RFQ-Input'!V92)</f>
        <v/>
      </c>
      <c r="AZ93" s="7" t="str">
        <f>IF('RFQ-Input'!Y92="","",'RFQ-Input'!Y92)</f>
        <v/>
      </c>
      <c r="BA93" s="7" t="str">
        <f>IF('RFQ-Input'!AB92="","",'RFQ-Input'!AB92)</f>
        <v/>
      </c>
    </row>
    <row r="94" spans="1:53">
      <c r="A94" s="20">
        <v>90</v>
      </c>
      <c r="B94" s="7"/>
      <c r="C94" s="7" t="str">
        <f>IF('RFQ-Input'!C93="","",'RFQ-Input'!C93)</f>
        <v/>
      </c>
      <c r="D94" s="7" t="str">
        <f>IF('RFQ-Input'!D93="","",'RFQ-Input'!D93)</f>
        <v/>
      </c>
      <c r="E94" s="7" t="str">
        <f>IF('RFQ-Input'!E93="","",'RFQ-Input'!E93)</f>
        <v/>
      </c>
      <c r="F94" s="7" t="str">
        <f>IF('RFQ-Input'!F93="","",'RFQ-Input'!F93)</f>
        <v/>
      </c>
      <c r="G94" s="7" t="str">
        <f>IF('RFQ-Input'!G93="","",'RFQ-Input'!G93)</f>
        <v/>
      </c>
      <c r="H94" s="7" t="str">
        <f>IF('RFQ-Input'!H93="","",'RFQ-Input'!H93)</f>
        <v/>
      </c>
      <c r="I94" s="7" t="str">
        <f>IF('RFQ-Input'!I93="","",'RFQ-Input'!I93)</f>
        <v/>
      </c>
      <c r="J94" s="7" t="str">
        <f>IF('RFQ-Input'!J93="","",'RFQ-Input'!J93)</f>
        <v/>
      </c>
      <c r="K94" s="7" t="str">
        <f>IF('RFQ-Input'!K93="","",'RFQ-Input'!K93)</f>
        <v/>
      </c>
      <c r="L94" s="7" t="str">
        <f>IF('RFQ-Input'!L93="","",'RFQ-Input'!L93)</f>
        <v/>
      </c>
      <c r="M94" s="7" t="str">
        <f>IF('RFQ-Input'!M93="","",'RFQ-Input'!M93)</f>
        <v/>
      </c>
      <c r="N94" s="7" t="str">
        <f>IF('RFQ-Input'!N93="","",'RFQ-Input'!N93)</f>
        <v/>
      </c>
      <c r="O94" s="7" t="str">
        <f>IF('RFQ-Input'!O93="","",'RFQ-Input'!O93)</f>
        <v/>
      </c>
      <c r="Q94" s="7"/>
      <c r="R94" s="7"/>
      <c r="S94" s="7"/>
      <c r="T94" s="7"/>
      <c r="U94" s="7"/>
      <c r="V94" s="7"/>
      <c r="X94" s="7"/>
      <c r="Y94" s="7"/>
      <c r="Z94" s="7"/>
      <c r="AA94" s="7" t="str">
        <f t="shared" si="7"/>
        <v/>
      </c>
      <c r="AB94" s="7"/>
      <c r="AC94" s="7"/>
      <c r="AQ94" s="7" t="str">
        <f t="shared" si="8"/>
        <v/>
      </c>
      <c r="AR94" s="7" t="str">
        <f t="shared" si="9"/>
        <v/>
      </c>
      <c r="AS94" s="7" t="str">
        <f t="shared" si="10"/>
        <v/>
      </c>
      <c r="AT94" s="7" t="str">
        <f t="shared" si="11"/>
        <v/>
      </c>
      <c r="AU94" s="7" t="str">
        <f t="shared" si="12"/>
        <v/>
      </c>
      <c r="AV94" s="7" t="str">
        <f t="shared" si="13"/>
        <v/>
      </c>
      <c r="AW94" s="7" t="str">
        <f>IF('RFQ-Input'!O93="","",'RFQ-Input'!O93)</f>
        <v/>
      </c>
      <c r="AX94" s="7" t="str">
        <f>IF('RFQ-Input'!S93="","",'RFQ-Input'!S93)</f>
        <v/>
      </c>
      <c r="AY94" s="7" t="str">
        <f>IF('RFQ-Input'!V93="","",'RFQ-Input'!V93)</f>
        <v/>
      </c>
      <c r="AZ94" s="7" t="str">
        <f>IF('RFQ-Input'!Y93="","",'RFQ-Input'!Y93)</f>
        <v/>
      </c>
      <c r="BA94" s="7" t="str">
        <f>IF('RFQ-Input'!AB93="","",'RFQ-Input'!AB93)</f>
        <v/>
      </c>
    </row>
    <row r="95" spans="1:53">
      <c r="A95" s="20">
        <v>91</v>
      </c>
      <c r="B95" s="7"/>
      <c r="C95" s="7" t="str">
        <f>IF('RFQ-Input'!C94="","",'RFQ-Input'!C94)</f>
        <v/>
      </c>
      <c r="D95" s="7" t="str">
        <f>IF('RFQ-Input'!D94="","",'RFQ-Input'!D94)</f>
        <v/>
      </c>
      <c r="E95" s="7" t="str">
        <f>IF('RFQ-Input'!E94="","",'RFQ-Input'!E94)</f>
        <v/>
      </c>
      <c r="F95" s="7" t="str">
        <f>IF('RFQ-Input'!F94="","",'RFQ-Input'!F94)</f>
        <v/>
      </c>
      <c r="G95" s="7" t="str">
        <f>IF('RFQ-Input'!G94="","",'RFQ-Input'!G94)</f>
        <v/>
      </c>
      <c r="H95" s="7" t="str">
        <f>IF('RFQ-Input'!H94="","",'RFQ-Input'!H94)</f>
        <v/>
      </c>
      <c r="I95" s="7" t="str">
        <f>IF('RFQ-Input'!I94="","",'RFQ-Input'!I94)</f>
        <v/>
      </c>
      <c r="J95" s="7" t="str">
        <f>IF('RFQ-Input'!J94="","",'RFQ-Input'!J94)</f>
        <v/>
      </c>
      <c r="K95" s="7" t="str">
        <f>IF('RFQ-Input'!K94="","",'RFQ-Input'!K94)</f>
        <v/>
      </c>
      <c r="L95" s="7" t="str">
        <f>IF('RFQ-Input'!L94="","",'RFQ-Input'!L94)</f>
        <v/>
      </c>
      <c r="M95" s="7" t="str">
        <f>IF('RFQ-Input'!M94="","",'RFQ-Input'!M94)</f>
        <v/>
      </c>
      <c r="N95" s="7" t="str">
        <f>IF('RFQ-Input'!N94="","",'RFQ-Input'!N94)</f>
        <v/>
      </c>
      <c r="O95" s="7" t="str">
        <f>IF('RFQ-Input'!O94="","",'RFQ-Input'!O94)</f>
        <v/>
      </c>
      <c r="Q95" s="7"/>
      <c r="R95" s="7"/>
      <c r="S95" s="7"/>
      <c r="T95" s="7"/>
      <c r="U95" s="7"/>
      <c r="V95" s="7"/>
      <c r="X95" s="7"/>
      <c r="Y95" s="7"/>
      <c r="Z95" s="7"/>
      <c r="AA95" s="7" t="str">
        <f t="shared" si="7"/>
        <v/>
      </c>
      <c r="AB95" s="7"/>
      <c r="AC95" s="7"/>
      <c r="AQ95" s="7" t="str">
        <f t="shared" si="8"/>
        <v/>
      </c>
      <c r="AR95" s="7" t="str">
        <f t="shared" si="9"/>
        <v/>
      </c>
      <c r="AS95" s="7" t="str">
        <f t="shared" si="10"/>
        <v/>
      </c>
      <c r="AT95" s="7" t="str">
        <f t="shared" si="11"/>
        <v/>
      </c>
      <c r="AU95" s="7" t="str">
        <f t="shared" si="12"/>
        <v/>
      </c>
      <c r="AV95" s="7" t="str">
        <f t="shared" si="13"/>
        <v/>
      </c>
      <c r="AW95" s="7" t="str">
        <f>IF('RFQ-Input'!O94="","",'RFQ-Input'!O94)</f>
        <v/>
      </c>
      <c r="AX95" s="7" t="str">
        <f>IF('RFQ-Input'!S94="","",'RFQ-Input'!S94)</f>
        <v/>
      </c>
      <c r="AY95" s="7" t="str">
        <f>IF('RFQ-Input'!V94="","",'RFQ-Input'!V94)</f>
        <v/>
      </c>
      <c r="AZ95" s="7" t="str">
        <f>IF('RFQ-Input'!Y94="","",'RFQ-Input'!Y94)</f>
        <v/>
      </c>
      <c r="BA95" s="7" t="str">
        <f>IF('RFQ-Input'!AB94="","",'RFQ-Input'!AB94)</f>
        <v/>
      </c>
    </row>
    <row r="96" spans="1:53">
      <c r="A96" s="20">
        <v>92</v>
      </c>
      <c r="B96" s="7"/>
      <c r="C96" s="7" t="str">
        <f>IF('RFQ-Input'!C95="","",'RFQ-Input'!C95)</f>
        <v/>
      </c>
      <c r="D96" s="7" t="str">
        <f>IF('RFQ-Input'!D95="","",'RFQ-Input'!D95)</f>
        <v/>
      </c>
      <c r="E96" s="7" t="str">
        <f>IF('RFQ-Input'!E95="","",'RFQ-Input'!E95)</f>
        <v/>
      </c>
      <c r="F96" s="7" t="str">
        <f>IF('RFQ-Input'!F95="","",'RFQ-Input'!F95)</f>
        <v/>
      </c>
      <c r="G96" s="7" t="str">
        <f>IF('RFQ-Input'!G95="","",'RFQ-Input'!G95)</f>
        <v/>
      </c>
      <c r="H96" s="7" t="str">
        <f>IF('RFQ-Input'!H95="","",'RFQ-Input'!H95)</f>
        <v/>
      </c>
      <c r="I96" s="7" t="str">
        <f>IF('RFQ-Input'!I95="","",'RFQ-Input'!I95)</f>
        <v/>
      </c>
      <c r="J96" s="7" t="str">
        <f>IF('RFQ-Input'!J95="","",'RFQ-Input'!J95)</f>
        <v/>
      </c>
      <c r="K96" s="7" t="str">
        <f>IF('RFQ-Input'!K95="","",'RFQ-Input'!K95)</f>
        <v/>
      </c>
      <c r="L96" s="7" t="str">
        <f>IF('RFQ-Input'!L95="","",'RFQ-Input'!L95)</f>
        <v/>
      </c>
      <c r="M96" s="7" t="str">
        <f>IF('RFQ-Input'!M95="","",'RFQ-Input'!M95)</f>
        <v/>
      </c>
      <c r="N96" s="7" t="str">
        <f>IF('RFQ-Input'!N95="","",'RFQ-Input'!N95)</f>
        <v/>
      </c>
      <c r="O96" s="7" t="str">
        <f>IF('RFQ-Input'!O95="","",'RFQ-Input'!O95)</f>
        <v/>
      </c>
      <c r="Q96" s="7"/>
      <c r="R96" s="7"/>
      <c r="S96" s="7"/>
      <c r="T96" s="7"/>
      <c r="U96" s="7"/>
      <c r="V96" s="7"/>
      <c r="X96" s="7"/>
      <c r="Y96" s="7"/>
      <c r="Z96" s="7"/>
      <c r="AA96" s="7" t="str">
        <f t="shared" si="7"/>
        <v/>
      </c>
      <c r="AB96" s="7"/>
      <c r="AC96" s="7"/>
      <c r="AQ96" s="7" t="str">
        <f t="shared" si="8"/>
        <v/>
      </c>
      <c r="AR96" s="7" t="str">
        <f t="shared" si="9"/>
        <v/>
      </c>
      <c r="AS96" s="7" t="str">
        <f t="shared" si="10"/>
        <v/>
      </c>
      <c r="AT96" s="7" t="str">
        <f t="shared" si="11"/>
        <v/>
      </c>
      <c r="AU96" s="7" t="str">
        <f t="shared" si="12"/>
        <v/>
      </c>
      <c r="AV96" s="7" t="str">
        <f t="shared" si="13"/>
        <v/>
      </c>
      <c r="AW96" s="7" t="str">
        <f>IF('RFQ-Input'!O95="","",'RFQ-Input'!O95)</f>
        <v/>
      </c>
      <c r="AX96" s="7" t="str">
        <f>IF('RFQ-Input'!S95="","",'RFQ-Input'!S95)</f>
        <v/>
      </c>
      <c r="AY96" s="7" t="str">
        <f>IF('RFQ-Input'!V95="","",'RFQ-Input'!V95)</f>
        <v/>
      </c>
      <c r="AZ96" s="7" t="str">
        <f>IF('RFQ-Input'!Y95="","",'RFQ-Input'!Y95)</f>
        <v/>
      </c>
      <c r="BA96" s="7" t="str">
        <f>IF('RFQ-Input'!AB95="","",'RFQ-Input'!AB95)</f>
        <v/>
      </c>
    </row>
    <row r="97" spans="1:53">
      <c r="A97" s="20">
        <v>93</v>
      </c>
      <c r="B97" s="7"/>
      <c r="C97" s="7" t="str">
        <f>IF('RFQ-Input'!C96="","",'RFQ-Input'!C96)</f>
        <v/>
      </c>
      <c r="D97" s="7" t="str">
        <f>IF('RFQ-Input'!D96="","",'RFQ-Input'!D96)</f>
        <v/>
      </c>
      <c r="E97" s="7" t="str">
        <f>IF('RFQ-Input'!E96="","",'RFQ-Input'!E96)</f>
        <v/>
      </c>
      <c r="F97" s="7" t="str">
        <f>IF('RFQ-Input'!F96="","",'RFQ-Input'!F96)</f>
        <v/>
      </c>
      <c r="G97" s="7" t="str">
        <f>IF('RFQ-Input'!G96="","",'RFQ-Input'!G96)</f>
        <v/>
      </c>
      <c r="H97" s="7" t="str">
        <f>IF('RFQ-Input'!H96="","",'RFQ-Input'!H96)</f>
        <v/>
      </c>
      <c r="I97" s="7" t="str">
        <f>IF('RFQ-Input'!I96="","",'RFQ-Input'!I96)</f>
        <v/>
      </c>
      <c r="J97" s="7" t="str">
        <f>IF('RFQ-Input'!J96="","",'RFQ-Input'!J96)</f>
        <v/>
      </c>
      <c r="K97" s="7" t="str">
        <f>IF('RFQ-Input'!K96="","",'RFQ-Input'!K96)</f>
        <v/>
      </c>
      <c r="L97" s="7" t="str">
        <f>IF('RFQ-Input'!L96="","",'RFQ-Input'!L96)</f>
        <v/>
      </c>
      <c r="M97" s="7" t="str">
        <f>IF('RFQ-Input'!M96="","",'RFQ-Input'!M96)</f>
        <v/>
      </c>
      <c r="N97" s="7" t="str">
        <f>IF('RFQ-Input'!N96="","",'RFQ-Input'!N96)</f>
        <v/>
      </c>
      <c r="O97" s="7" t="str">
        <f>IF('RFQ-Input'!O96="","",'RFQ-Input'!O96)</f>
        <v/>
      </c>
      <c r="Q97" s="7"/>
      <c r="R97" s="7"/>
      <c r="S97" s="7"/>
      <c r="T97" s="7"/>
      <c r="U97" s="7"/>
      <c r="V97" s="7"/>
      <c r="X97" s="7"/>
      <c r="Y97" s="7"/>
      <c r="Z97" s="7"/>
      <c r="AA97" s="7" t="str">
        <f t="shared" si="7"/>
        <v/>
      </c>
      <c r="AB97" s="7"/>
      <c r="AC97" s="7"/>
      <c r="AQ97" s="7" t="str">
        <f t="shared" si="8"/>
        <v/>
      </c>
      <c r="AR97" s="7" t="str">
        <f t="shared" si="9"/>
        <v/>
      </c>
      <c r="AS97" s="7" t="str">
        <f t="shared" si="10"/>
        <v/>
      </c>
      <c r="AT97" s="7" t="str">
        <f t="shared" si="11"/>
        <v/>
      </c>
      <c r="AU97" s="7" t="str">
        <f t="shared" si="12"/>
        <v/>
      </c>
      <c r="AV97" s="7" t="str">
        <f t="shared" si="13"/>
        <v/>
      </c>
      <c r="AW97" s="7" t="str">
        <f>IF('RFQ-Input'!O96="","",'RFQ-Input'!O96)</f>
        <v/>
      </c>
      <c r="AX97" s="7" t="str">
        <f>IF('RFQ-Input'!S96="","",'RFQ-Input'!S96)</f>
        <v/>
      </c>
      <c r="AY97" s="7" t="str">
        <f>IF('RFQ-Input'!V96="","",'RFQ-Input'!V96)</f>
        <v/>
      </c>
      <c r="AZ97" s="7" t="str">
        <f>IF('RFQ-Input'!Y96="","",'RFQ-Input'!Y96)</f>
        <v/>
      </c>
      <c r="BA97" s="7" t="str">
        <f>IF('RFQ-Input'!AB96="","",'RFQ-Input'!AB96)</f>
        <v/>
      </c>
    </row>
    <row r="98" spans="1:53">
      <c r="A98" s="20">
        <v>94</v>
      </c>
      <c r="B98" s="7"/>
      <c r="C98" s="7" t="str">
        <f>IF('RFQ-Input'!C97="","",'RFQ-Input'!C97)</f>
        <v/>
      </c>
      <c r="D98" s="7" t="str">
        <f>IF('RFQ-Input'!D97="","",'RFQ-Input'!D97)</f>
        <v/>
      </c>
      <c r="E98" s="7" t="str">
        <f>IF('RFQ-Input'!E97="","",'RFQ-Input'!E97)</f>
        <v/>
      </c>
      <c r="F98" s="7" t="str">
        <f>IF('RFQ-Input'!F97="","",'RFQ-Input'!F97)</f>
        <v/>
      </c>
      <c r="G98" s="7" t="str">
        <f>IF('RFQ-Input'!G97="","",'RFQ-Input'!G97)</f>
        <v/>
      </c>
      <c r="H98" s="7" t="str">
        <f>IF('RFQ-Input'!H97="","",'RFQ-Input'!H97)</f>
        <v/>
      </c>
      <c r="I98" s="7" t="str">
        <f>IF('RFQ-Input'!I97="","",'RFQ-Input'!I97)</f>
        <v/>
      </c>
      <c r="J98" s="7" t="str">
        <f>IF('RFQ-Input'!J97="","",'RFQ-Input'!J97)</f>
        <v/>
      </c>
      <c r="K98" s="7" t="str">
        <f>IF('RFQ-Input'!K97="","",'RFQ-Input'!K97)</f>
        <v/>
      </c>
      <c r="L98" s="7" t="str">
        <f>IF('RFQ-Input'!L97="","",'RFQ-Input'!L97)</f>
        <v/>
      </c>
      <c r="M98" s="7" t="str">
        <f>IF('RFQ-Input'!M97="","",'RFQ-Input'!M97)</f>
        <v/>
      </c>
      <c r="N98" s="7" t="str">
        <f>IF('RFQ-Input'!N97="","",'RFQ-Input'!N97)</f>
        <v/>
      </c>
      <c r="O98" s="7" t="str">
        <f>IF('RFQ-Input'!O97="","",'RFQ-Input'!O97)</f>
        <v/>
      </c>
      <c r="Q98" s="7"/>
      <c r="R98" s="7"/>
      <c r="S98" s="7"/>
      <c r="T98" s="7"/>
      <c r="U98" s="7"/>
      <c r="V98" s="7"/>
      <c r="X98" s="7"/>
      <c r="Y98" s="7"/>
      <c r="Z98" s="7"/>
      <c r="AA98" s="7" t="str">
        <f t="shared" si="7"/>
        <v/>
      </c>
      <c r="AB98" s="7"/>
      <c r="AC98" s="7"/>
      <c r="AQ98" s="7" t="str">
        <f t="shared" si="8"/>
        <v/>
      </c>
      <c r="AR98" s="7" t="str">
        <f t="shared" si="9"/>
        <v/>
      </c>
      <c r="AS98" s="7" t="str">
        <f t="shared" si="10"/>
        <v/>
      </c>
      <c r="AT98" s="7" t="str">
        <f t="shared" si="11"/>
        <v/>
      </c>
      <c r="AU98" s="7" t="str">
        <f t="shared" si="12"/>
        <v/>
      </c>
      <c r="AV98" s="7" t="str">
        <f t="shared" si="13"/>
        <v/>
      </c>
      <c r="AW98" s="7" t="str">
        <f>IF('RFQ-Input'!O97="","",'RFQ-Input'!O97)</f>
        <v/>
      </c>
      <c r="AX98" s="7" t="str">
        <f>IF('RFQ-Input'!S97="","",'RFQ-Input'!S97)</f>
        <v/>
      </c>
      <c r="AY98" s="7" t="str">
        <f>IF('RFQ-Input'!V97="","",'RFQ-Input'!V97)</f>
        <v/>
      </c>
      <c r="AZ98" s="7" t="str">
        <f>IF('RFQ-Input'!Y97="","",'RFQ-Input'!Y97)</f>
        <v/>
      </c>
      <c r="BA98" s="7" t="str">
        <f>IF('RFQ-Input'!AB97="","",'RFQ-Input'!AB97)</f>
        <v/>
      </c>
    </row>
    <row r="99" spans="1:53">
      <c r="A99" s="20">
        <v>95</v>
      </c>
      <c r="B99" s="7"/>
      <c r="C99" s="7" t="str">
        <f>IF('RFQ-Input'!C98="","",'RFQ-Input'!C98)</f>
        <v/>
      </c>
      <c r="D99" s="7" t="str">
        <f>IF('RFQ-Input'!D98="","",'RFQ-Input'!D98)</f>
        <v/>
      </c>
      <c r="E99" s="7" t="str">
        <f>IF('RFQ-Input'!E98="","",'RFQ-Input'!E98)</f>
        <v/>
      </c>
      <c r="F99" s="7" t="str">
        <f>IF('RFQ-Input'!F98="","",'RFQ-Input'!F98)</f>
        <v/>
      </c>
      <c r="G99" s="7" t="str">
        <f>IF('RFQ-Input'!G98="","",'RFQ-Input'!G98)</f>
        <v/>
      </c>
      <c r="H99" s="7" t="str">
        <f>IF('RFQ-Input'!H98="","",'RFQ-Input'!H98)</f>
        <v/>
      </c>
      <c r="I99" s="7" t="str">
        <f>IF('RFQ-Input'!I98="","",'RFQ-Input'!I98)</f>
        <v/>
      </c>
      <c r="J99" s="7" t="str">
        <f>IF('RFQ-Input'!J98="","",'RFQ-Input'!J98)</f>
        <v/>
      </c>
      <c r="K99" s="7" t="str">
        <f>IF('RFQ-Input'!K98="","",'RFQ-Input'!K98)</f>
        <v/>
      </c>
      <c r="L99" s="7" t="str">
        <f>IF('RFQ-Input'!L98="","",'RFQ-Input'!L98)</f>
        <v/>
      </c>
      <c r="M99" s="7" t="str">
        <f>IF('RFQ-Input'!M98="","",'RFQ-Input'!M98)</f>
        <v/>
      </c>
      <c r="N99" s="7" t="str">
        <f>IF('RFQ-Input'!N98="","",'RFQ-Input'!N98)</f>
        <v/>
      </c>
      <c r="O99" s="7" t="str">
        <f>IF('RFQ-Input'!O98="","",'RFQ-Input'!O98)</f>
        <v/>
      </c>
      <c r="Q99" s="7"/>
      <c r="R99" s="7"/>
      <c r="S99" s="7"/>
      <c r="T99" s="7"/>
      <c r="U99" s="7"/>
      <c r="V99" s="7"/>
      <c r="X99" s="7"/>
      <c r="Y99" s="7"/>
      <c r="Z99" s="7"/>
      <c r="AA99" s="7" t="str">
        <f t="shared" si="7"/>
        <v/>
      </c>
      <c r="AB99" s="7"/>
      <c r="AC99" s="7"/>
      <c r="AQ99" s="7" t="str">
        <f t="shared" si="8"/>
        <v/>
      </c>
      <c r="AR99" s="7" t="str">
        <f t="shared" si="9"/>
        <v/>
      </c>
      <c r="AS99" s="7" t="str">
        <f t="shared" si="10"/>
        <v/>
      </c>
      <c r="AT99" s="7" t="str">
        <f t="shared" si="11"/>
        <v/>
      </c>
      <c r="AU99" s="7" t="str">
        <f t="shared" si="12"/>
        <v/>
      </c>
      <c r="AV99" s="7" t="str">
        <f t="shared" si="13"/>
        <v/>
      </c>
      <c r="AW99" s="7" t="str">
        <f>IF('RFQ-Input'!O98="","",'RFQ-Input'!O98)</f>
        <v/>
      </c>
      <c r="AX99" s="7" t="str">
        <f>IF('RFQ-Input'!S98="","",'RFQ-Input'!S98)</f>
        <v/>
      </c>
      <c r="AY99" s="7" t="str">
        <f>IF('RFQ-Input'!V98="","",'RFQ-Input'!V98)</f>
        <v/>
      </c>
      <c r="AZ99" s="7" t="str">
        <f>IF('RFQ-Input'!Y98="","",'RFQ-Input'!Y98)</f>
        <v/>
      </c>
      <c r="BA99" s="7" t="str">
        <f>IF('RFQ-Input'!AB98="","",'RFQ-Input'!AB98)</f>
        <v/>
      </c>
    </row>
    <row r="100" spans="1:53">
      <c r="A100" s="20">
        <v>96</v>
      </c>
      <c r="B100" s="7"/>
      <c r="C100" s="7" t="str">
        <f>IF('RFQ-Input'!C99="","",'RFQ-Input'!C99)</f>
        <v/>
      </c>
      <c r="D100" s="7" t="str">
        <f>IF('RFQ-Input'!D99="","",'RFQ-Input'!D99)</f>
        <v/>
      </c>
      <c r="E100" s="7" t="str">
        <f>IF('RFQ-Input'!E99="","",'RFQ-Input'!E99)</f>
        <v/>
      </c>
      <c r="F100" s="7" t="str">
        <f>IF('RFQ-Input'!F99="","",'RFQ-Input'!F99)</f>
        <v/>
      </c>
      <c r="G100" s="7" t="str">
        <f>IF('RFQ-Input'!G99="","",'RFQ-Input'!G99)</f>
        <v/>
      </c>
      <c r="H100" s="7" t="str">
        <f>IF('RFQ-Input'!H99="","",'RFQ-Input'!H99)</f>
        <v/>
      </c>
      <c r="I100" s="7" t="str">
        <f>IF('RFQ-Input'!I99="","",'RFQ-Input'!I99)</f>
        <v/>
      </c>
      <c r="J100" s="7" t="str">
        <f>IF('RFQ-Input'!J99="","",'RFQ-Input'!J99)</f>
        <v/>
      </c>
      <c r="K100" s="7" t="str">
        <f>IF('RFQ-Input'!K99="","",'RFQ-Input'!K99)</f>
        <v/>
      </c>
      <c r="L100" s="7" t="str">
        <f>IF('RFQ-Input'!L99="","",'RFQ-Input'!L99)</f>
        <v/>
      </c>
      <c r="M100" s="7" t="str">
        <f>IF('RFQ-Input'!M99="","",'RFQ-Input'!M99)</f>
        <v/>
      </c>
      <c r="N100" s="7" t="str">
        <f>IF('RFQ-Input'!N99="","",'RFQ-Input'!N99)</f>
        <v/>
      </c>
      <c r="O100" s="7" t="str">
        <f>IF('RFQ-Input'!O99="","",'RFQ-Input'!O99)</f>
        <v/>
      </c>
      <c r="Q100" s="7"/>
      <c r="R100" s="7"/>
      <c r="S100" s="7"/>
      <c r="T100" s="7"/>
      <c r="U100" s="7"/>
      <c r="V100" s="7"/>
      <c r="X100" s="7"/>
      <c r="Y100" s="7"/>
      <c r="Z100" s="7"/>
      <c r="AA100" s="7" t="str">
        <f t="shared" si="7"/>
        <v/>
      </c>
      <c r="AB100" s="7"/>
      <c r="AC100" s="7"/>
      <c r="AQ100" s="7" t="str">
        <f t="shared" si="8"/>
        <v/>
      </c>
      <c r="AR100" s="7" t="str">
        <f t="shared" si="9"/>
        <v/>
      </c>
      <c r="AS100" s="7" t="str">
        <f t="shared" si="10"/>
        <v/>
      </c>
      <c r="AT100" s="7" t="str">
        <f t="shared" si="11"/>
        <v/>
      </c>
      <c r="AU100" s="7" t="str">
        <f t="shared" si="12"/>
        <v/>
      </c>
      <c r="AV100" s="7" t="str">
        <f t="shared" si="13"/>
        <v/>
      </c>
      <c r="AW100" s="7" t="str">
        <f>IF('RFQ-Input'!O99="","",'RFQ-Input'!O99)</f>
        <v/>
      </c>
      <c r="AX100" s="7" t="str">
        <f>IF('RFQ-Input'!S99="","",'RFQ-Input'!S99)</f>
        <v/>
      </c>
      <c r="AY100" s="7" t="str">
        <f>IF('RFQ-Input'!V99="","",'RFQ-Input'!V99)</f>
        <v/>
      </c>
      <c r="AZ100" s="7" t="str">
        <f>IF('RFQ-Input'!Y99="","",'RFQ-Input'!Y99)</f>
        <v/>
      </c>
      <c r="BA100" s="7" t="str">
        <f>IF('RFQ-Input'!AB99="","",'RFQ-Input'!AB99)</f>
        <v/>
      </c>
    </row>
    <row r="101" spans="1:53">
      <c r="A101" s="20">
        <v>97</v>
      </c>
      <c r="B101" s="7"/>
      <c r="C101" s="7" t="str">
        <f>IF('RFQ-Input'!C100="","",'RFQ-Input'!C100)</f>
        <v/>
      </c>
      <c r="D101" s="7" t="str">
        <f>IF('RFQ-Input'!D100="","",'RFQ-Input'!D100)</f>
        <v/>
      </c>
      <c r="E101" s="7" t="str">
        <f>IF('RFQ-Input'!E100="","",'RFQ-Input'!E100)</f>
        <v/>
      </c>
      <c r="F101" s="7" t="str">
        <f>IF('RFQ-Input'!F100="","",'RFQ-Input'!F100)</f>
        <v/>
      </c>
      <c r="G101" s="7" t="str">
        <f>IF('RFQ-Input'!G100="","",'RFQ-Input'!G100)</f>
        <v/>
      </c>
      <c r="H101" s="7" t="str">
        <f>IF('RFQ-Input'!H100="","",'RFQ-Input'!H100)</f>
        <v/>
      </c>
      <c r="I101" s="7" t="str">
        <f>IF('RFQ-Input'!I100="","",'RFQ-Input'!I100)</f>
        <v/>
      </c>
      <c r="J101" s="7" t="str">
        <f>IF('RFQ-Input'!J100="","",'RFQ-Input'!J100)</f>
        <v/>
      </c>
      <c r="K101" s="7" t="str">
        <f>IF('RFQ-Input'!K100="","",'RFQ-Input'!K100)</f>
        <v/>
      </c>
      <c r="L101" s="7" t="str">
        <f>IF('RFQ-Input'!L100="","",'RFQ-Input'!L100)</f>
        <v/>
      </c>
      <c r="M101" s="7" t="str">
        <f>IF('RFQ-Input'!M100="","",'RFQ-Input'!M100)</f>
        <v/>
      </c>
      <c r="N101" s="7" t="str">
        <f>IF('RFQ-Input'!N100="","",'RFQ-Input'!N100)</f>
        <v/>
      </c>
      <c r="O101" s="7" t="str">
        <f>IF('RFQ-Input'!O100="","",'RFQ-Input'!O100)</f>
        <v/>
      </c>
      <c r="Q101" s="7"/>
      <c r="R101" s="7"/>
      <c r="S101" s="7"/>
      <c r="T101" s="7"/>
      <c r="U101" s="7"/>
      <c r="V101" s="7"/>
      <c r="X101" s="7"/>
      <c r="Y101" s="7"/>
      <c r="Z101" s="7"/>
      <c r="AA101" s="7" t="str">
        <f t="shared" si="7"/>
        <v/>
      </c>
      <c r="AB101" s="7"/>
      <c r="AC101" s="7"/>
      <c r="AQ101" s="7" t="str">
        <f t="shared" si="8"/>
        <v/>
      </c>
      <c r="AR101" s="7" t="str">
        <f t="shared" si="9"/>
        <v/>
      </c>
      <c r="AS101" s="7" t="str">
        <f t="shared" si="10"/>
        <v/>
      </c>
      <c r="AT101" s="7" t="str">
        <f t="shared" si="11"/>
        <v/>
      </c>
      <c r="AU101" s="7" t="str">
        <f t="shared" si="12"/>
        <v/>
      </c>
      <c r="AV101" s="7" t="str">
        <f t="shared" si="13"/>
        <v/>
      </c>
      <c r="AW101" s="7" t="str">
        <f>IF('RFQ-Input'!O100="","",'RFQ-Input'!O100)</f>
        <v/>
      </c>
      <c r="AX101" s="7" t="str">
        <f>IF('RFQ-Input'!S100="","",'RFQ-Input'!S100)</f>
        <v/>
      </c>
      <c r="AY101" s="7" t="str">
        <f>IF('RFQ-Input'!V100="","",'RFQ-Input'!V100)</f>
        <v/>
      </c>
      <c r="AZ101" s="7" t="str">
        <f>IF('RFQ-Input'!Y100="","",'RFQ-Input'!Y100)</f>
        <v/>
      </c>
      <c r="BA101" s="7" t="str">
        <f>IF('RFQ-Input'!AB100="","",'RFQ-Input'!AB100)</f>
        <v/>
      </c>
    </row>
    <row r="102" spans="1:53">
      <c r="A102" s="20">
        <v>98</v>
      </c>
      <c r="B102" s="7"/>
      <c r="C102" s="7" t="str">
        <f>IF('RFQ-Input'!C101="","",'RFQ-Input'!C101)</f>
        <v/>
      </c>
      <c r="D102" s="7" t="str">
        <f>IF('RFQ-Input'!D101="","",'RFQ-Input'!D101)</f>
        <v/>
      </c>
      <c r="E102" s="7" t="str">
        <f>IF('RFQ-Input'!E101="","",'RFQ-Input'!E101)</f>
        <v/>
      </c>
      <c r="F102" s="7" t="str">
        <f>IF('RFQ-Input'!F101="","",'RFQ-Input'!F101)</f>
        <v/>
      </c>
      <c r="G102" s="7" t="str">
        <f>IF('RFQ-Input'!G101="","",'RFQ-Input'!G101)</f>
        <v/>
      </c>
      <c r="H102" s="7" t="str">
        <f>IF('RFQ-Input'!H101="","",'RFQ-Input'!H101)</f>
        <v/>
      </c>
      <c r="I102" s="7" t="str">
        <f>IF('RFQ-Input'!I101="","",'RFQ-Input'!I101)</f>
        <v/>
      </c>
      <c r="J102" s="7" t="str">
        <f>IF('RFQ-Input'!J101="","",'RFQ-Input'!J101)</f>
        <v/>
      </c>
      <c r="K102" s="7" t="str">
        <f>IF('RFQ-Input'!K101="","",'RFQ-Input'!K101)</f>
        <v/>
      </c>
      <c r="L102" s="7" t="str">
        <f>IF('RFQ-Input'!L101="","",'RFQ-Input'!L101)</f>
        <v/>
      </c>
      <c r="M102" s="7" t="str">
        <f>IF('RFQ-Input'!M101="","",'RFQ-Input'!M101)</f>
        <v/>
      </c>
      <c r="N102" s="7" t="str">
        <f>IF('RFQ-Input'!N101="","",'RFQ-Input'!N101)</f>
        <v/>
      </c>
      <c r="O102" s="7" t="str">
        <f>IF('RFQ-Input'!O101="","",'RFQ-Input'!O101)</f>
        <v/>
      </c>
      <c r="Q102" s="7"/>
      <c r="R102" s="7"/>
      <c r="S102" s="7"/>
      <c r="T102" s="7"/>
      <c r="U102" s="7"/>
      <c r="V102" s="7"/>
      <c r="X102" s="7"/>
      <c r="Y102" s="7"/>
      <c r="Z102" s="7"/>
      <c r="AA102" s="7" t="str">
        <f t="shared" si="7"/>
        <v/>
      </c>
      <c r="AB102" s="7"/>
      <c r="AC102" s="7"/>
      <c r="AQ102" s="7" t="str">
        <f t="shared" si="8"/>
        <v/>
      </c>
      <c r="AR102" s="7" t="str">
        <f t="shared" si="9"/>
        <v/>
      </c>
      <c r="AS102" s="7" t="str">
        <f t="shared" si="10"/>
        <v/>
      </c>
      <c r="AT102" s="7" t="str">
        <f t="shared" si="11"/>
        <v/>
      </c>
      <c r="AU102" s="7" t="str">
        <f t="shared" si="12"/>
        <v/>
      </c>
      <c r="AV102" s="7" t="str">
        <f t="shared" si="13"/>
        <v/>
      </c>
      <c r="AW102" s="7" t="str">
        <f>IF('RFQ-Input'!O101="","",'RFQ-Input'!O101)</f>
        <v/>
      </c>
      <c r="AX102" s="7" t="str">
        <f>IF('RFQ-Input'!S101="","",'RFQ-Input'!S101)</f>
        <v/>
      </c>
      <c r="AY102" s="7" t="str">
        <f>IF('RFQ-Input'!V101="","",'RFQ-Input'!V101)</f>
        <v/>
      </c>
      <c r="AZ102" s="7" t="str">
        <f>IF('RFQ-Input'!Y101="","",'RFQ-Input'!Y101)</f>
        <v/>
      </c>
      <c r="BA102" s="7" t="str">
        <f>IF('RFQ-Input'!AB101="","",'RFQ-Input'!AB101)</f>
        <v/>
      </c>
    </row>
    <row r="103" spans="1:53">
      <c r="A103" s="20">
        <v>99</v>
      </c>
      <c r="B103" s="7"/>
      <c r="C103" s="7" t="str">
        <f>IF('RFQ-Input'!C102="","",'RFQ-Input'!C102)</f>
        <v/>
      </c>
      <c r="D103" s="7" t="str">
        <f>IF('RFQ-Input'!D102="","",'RFQ-Input'!D102)</f>
        <v/>
      </c>
      <c r="E103" s="7" t="str">
        <f>IF('RFQ-Input'!E102="","",'RFQ-Input'!E102)</f>
        <v/>
      </c>
      <c r="F103" s="7" t="str">
        <f>IF('RFQ-Input'!F102="","",'RFQ-Input'!F102)</f>
        <v/>
      </c>
      <c r="G103" s="7" t="str">
        <f>IF('RFQ-Input'!G102="","",'RFQ-Input'!G102)</f>
        <v/>
      </c>
      <c r="H103" s="7" t="str">
        <f>IF('RFQ-Input'!H102="","",'RFQ-Input'!H102)</f>
        <v/>
      </c>
      <c r="I103" s="7" t="str">
        <f>IF('RFQ-Input'!I102="","",'RFQ-Input'!I102)</f>
        <v/>
      </c>
      <c r="J103" s="7" t="str">
        <f>IF('RFQ-Input'!J102="","",'RFQ-Input'!J102)</f>
        <v/>
      </c>
      <c r="K103" s="7" t="str">
        <f>IF('RFQ-Input'!K102="","",'RFQ-Input'!K102)</f>
        <v/>
      </c>
      <c r="L103" s="7" t="str">
        <f>IF('RFQ-Input'!L102="","",'RFQ-Input'!L102)</f>
        <v/>
      </c>
      <c r="M103" s="7" t="str">
        <f>IF('RFQ-Input'!M102="","",'RFQ-Input'!M102)</f>
        <v/>
      </c>
      <c r="N103" s="7" t="str">
        <f>IF('RFQ-Input'!N102="","",'RFQ-Input'!N102)</f>
        <v/>
      </c>
      <c r="O103" s="7" t="str">
        <f>IF('RFQ-Input'!O102="","",'RFQ-Input'!O102)</f>
        <v/>
      </c>
      <c r="Q103" s="7"/>
      <c r="R103" s="7"/>
      <c r="S103" s="7"/>
      <c r="T103" s="7"/>
      <c r="U103" s="7"/>
      <c r="V103" s="7"/>
      <c r="X103" s="7"/>
      <c r="Y103" s="7"/>
      <c r="Z103" s="7"/>
      <c r="AA103" s="7" t="str">
        <f t="shared" si="7"/>
        <v/>
      </c>
      <c r="AB103" s="7"/>
      <c r="AC103" s="7"/>
      <c r="AQ103" s="7" t="str">
        <f t="shared" si="8"/>
        <v/>
      </c>
      <c r="AR103" s="7" t="str">
        <f t="shared" si="9"/>
        <v/>
      </c>
      <c r="AS103" s="7" t="str">
        <f t="shared" si="10"/>
        <v/>
      </c>
      <c r="AT103" s="7" t="str">
        <f t="shared" si="11"/>
        <v/>
      </c>
      <c r="AU103" s="7" t="str">
        <f t="shared" si="12"/>
        <v/>
      </c>
      <c r="AV103" s="7" t="str">
        <f t="shared" si="13"/>
        <v/>
      </c>
      <c r="AW103" s="7" t="str">
        <f>IF('RFQ-Input'!O102="","",'RFQ-Input'!O102)</f>
        <v/>
      </c>
      <c r="AX103" s="7" t="str">
        <f>IF('RFQ-Input'!S102="","",'RFQ-Input'!S102)</f>
        <v/>
      </c>
      <c r="AY103" s="7" t="str">
        <f>IF('RFQ-Input'!V102="","",'RFQ-Input'!V102)</f>
        <v/>
      </c>
      <c r="AZ103" s="7" t="str">
        <f>IF('RFQ-Input'!Y102="","",'RFQ-Input'!Y102)</f>
        <v/>
      </c>
      <c r="BA103" s="7" t="str">
        <f>IF('RFQ-Input'!AB102="","",'RFQ-Input'!AB102)</f>
        <v/>
      </c>
    </row>
    <row r="104" spans="1:53">
      <c r="A104" s="20">
        <v>100</v>
      </c>
      <c r="B104" s="7"/>
      <c r="C104" s="7" t="str">
        <f>IF('RFQ-Input'!C103="","",'RFQ-Input'!C103)</f>
        <v/>
      </c>
      <c r="D104" s="7" t="str">
        <f>IF('RFQ-Input'!D103="","",'RFQ-Input'!D103)</f>
        <v/>
      </c>
      <c r="E104" s="7" t="str">
        <f>IF('RFQ-Input'!E103="","",'RFQ-Input'!E103)</f>
        <v/>
      </c>
      <c r="F104" s="7" t="str">
        <f>IF('RFQ-Input'!F103="","",'RFQ-Input'!F103)</f>
        <v/>
      </c>
      <c r="G104" s="7" t="str">
        <f>IF('RFQ-Input'!G103="","",'RFQ-Input'!G103)</f>
        <v/>
      </c>
      <c r="H104" s="7" t="str">
        <f>IF('RFQ-Input'!H103="","",'RFQ-Input'!H103)</f>
        <v/>
      </c>
      <c r="I104" s="7" t="str">
        <f>IF('RFQ-Input'!I103="","",'RFQ-Input'!I103)</f>
        <v/>
      </c>
      <c r="J104" s="7" t="str">
        <f>IF('RFQ-Input'!J103="","",'RFQ-Input'!J103)</f>
        <v/>
      </c>
      <c r="K104" s="7" t="str">
        <f>IF('RFQ-Input'!K103="","",'RFQ-Input'!K103)</f>
        <v/>
      </c>
      <c r="L104" s="7" t="str">
        <f>IF('RFQ-Input'!L103="","",'RFQ-Input'!L103)</f>
        <v/>
      </c>
      <c r="M104" s="7" t="str">
        <f>IF('RFQ-Input'!M103="","",'RFQ-Input'!M103)</f>
        <v/>
      </c>
      <c r="N104" s="7" t="str">
        <f>IF('RFQ-Input'!N103="","",'RFQ-Input'!N103)</f>
        <v/>
      </c>
      <c r="O104" s="7" t="str">
        <f>IF('RFQ-Input'!O103="","",'RFQ-Input'!O103)</f>
        <v/>
      </c>
      <c r="Q104" s="7"/>
      <c r="R104" s="7"/>
      <c r="S104" s="7"/>
      <c r="T104" s="7"/>
      <c r="U104" s="7"/>
      <c r="V104" s="7"/>
      <c r="X104" s="7"/>
      <c r="Y104" s="7"/>
      <c r="Z104" s="7"/>
      <c r="AA104" s="7" t="str">
        <f t="shared" si="7"/>
        <v/>
      </c>
      <c r="AB104" s="7"/>
      <c r="AC104" s="7"/>
      <c r="AQ104" s="7" t="str">
        <f t="shared" si="8"/>
        <v/>
      </c>
      <c r="AR104" s="7" t="str">
        <f t="shared" si="9"/>
        <v/>
      </c>
      <c r="AS104" s="7" t="str">
        <f t="shared" si="10"/>
        <v/>
      </c>
      <c r="AT104" s="7" t="str">
        <f t="shared" si="11"/>
        <v/>
      </c>
      <c r="AU104" s="7" t="str">
        <f t="shared" si="12"/>
        <v/>
      </c>
      <c r="AV104" s="7" t="str">
        <f t="shared" si="13"/>
        <v/>
      </c>
      <c r="AW104" s="7" t="str">
        <f>IF('RFQ-Input'!O103="","",'RFQ-Input'!O103)</f>
        <v/>
      </c>
      <c r="AX104" s="7" t="str">
        <f>IF('RFQ-Input'!S103="","",'RFQ-Input'!S103)</f>
        <v/>
      </c>
      <c r="AY104" s="7" t="str">
        <f>IF('RFQ-Input'!V103="","",'RFQ-Input'!V103)</f>
        <v/>
      </c>
      <c r="AZ104" s="7" t="str">
        <f>IF('RFQ-Input'!Y103="","",'RFQ-Input'!Y103)</f>
        <v/>
      </c>
      <c r="BA104" s="7" t="str">
        <f>IF('RFQ-Input'!AB103="","",'RFQ-Input'!AB103)</f>
        <v/>
      </c>
    </row>
    <row r="105" spans="1:53">
      <c r="A105" s="20">
        <v>101</v>
      </c>
      <c r="B105" s="7"/>
      <c r="C105" s="7" t="str">
        <f>IF('RFQ-Input'!C104="","",'RFQ-Input'!C104)</f>
        <v/>
      </c>
      <c r="D105" s="7" t="str">
        <f>IF('RFQ-Input'!D104="","",'RFQ-Input'!D104)</f>
        <v/>
      </c>
      <c r="E105" s="7" t="str">
        <f>IF('RFQ-Input'!E104="","",'RFQ-Input'!E104)</f>
        <v/>
      </c>
      <c r="F105" s="7" t="str">
        <f>IF('RFQ-Input'!F104="","",'RFQ-Input'!F104)</f>
        <v/>
      </c>
      <c r="G105" s="7" t="str">
        <f>IF('RFQ-Input'!G104="","",'RFQ-Input'!G104)</f>
        <v/>
      </c>
      <c r="H105" s="7" t="str">
        <f>IF('RFQ-Input'!H104="","",'RFQ-Input'!H104)</f>
        <v/>
      </c>
      <c r="I105" s="7" t="str">
        <f>IF('RFQ-Input'!I104="","",'RFQ-Input'!I104)</f>
        <v/>
      </c>
      <c r="J105" s="7" t="str">
        <f>IF('RFQ-Input'!J104="","",'RFQ-Input'!J104)</f>
        <v/>
      </c>
      <c r="K105" s="7" t="str">
        <f>IF('RFQ-Input'!K104="","",'RFQ-Input'!K104)</f>
        <v/>
      </c>
      <c r="L105" s="7" t="str">
        <f>IF('RFQ-Input'!L104="","",'RFQ-Input'!L104)</f>
        <v/>
      </c>
      <c r="M105" s="7" t="str">
        <f>IF('RFQ-Input'!M104="","",'RFQ-Input'!M104)</f>
        <v/>
      </c>
      <c r="N105" s="7" t="str">
        <f>IF('RFQ-Input'!N104="","",'RFQ-Input'!N104)</f>
        <v/>
      </c>
      <c r="O105" s="7" t="str">
        <f>IF('RFQ-Input'!O104="","",'RFQ-Input'!O104)</f>
        <v/>
      </c>
      <c r="Q105" s="7"/>
      <c r="R105" s="7"/>
      <c r="S105" s="7"/>
      <c r="T105" s="7"/>
      <c r="U105" s="7"/>
      <c r="V105" s="7"/>
      <c r="X105" s="7"/>
      <c r="Y105" s="7"/>
      <c r="Z105" s="7"/>
      <c r="AA105" s="7" t="str">
        <f t="shared" si="7"/>
        <v/>
      </c>
      <c r="AB105" s="7"/>
      <c r="AC105" s="7"/>
      <c r="AQ105" s="7" t="str">
        <f t="shared" si="8"/>
        <v/>
      </c>
      <c r="AR105" s="7" t="str">
        <f t="shared" si="9"/>
        <v/>
      </c>
      <c r="AS105" s="7" t="str">
        <f t="shared" si="10"/>
        <v/>
      </c>
      <c r="AT105" s="7" t="str">
        <f t="shared" si="11"/>
        <v/>
      </c>
      <c r="AU105" s="7" t="str">
        <f t="shared" si="12"/>
        <v/>
      </c>
      <c r="AV105" s="7" t="str">
        <f t="shared" si="13"/>
        <v/>
      </c>
      <c r="AW105" s="7" t="str">
        <f>IF('RFQ-Input'!O104="","",'RFQ-Input'!O104)</f>
        <v/>
      </c>
      <c r="AX105" s="7" t="str">
        <f>IF('RFQ-Input'!S104="","",'RFQ-Input'!S104)</f>
        <v/>
      </c>
      <c r="AY105" s="7" t="str">
        <f>IF('RFQ-Input'!V104="","",'RFQ-Input'!V104)</f>
        <v/>
      </c>
      <c r="AZ105" s="7" t="str">
        <f>IF('RFQ-Input'!Y104="","",'RFQ-Input'!Y104)</f>
        <v/>
      </c>
      <c r="BA105" s="7" t="str">
        <f>IF('RFQ-Input'!AB104="","",'RFQ-Input'!AB104)</f>
        <v/>
      </c>
    </row>
    <row r="106" spans="1:53">
      <c r="A106" s="20">
        <v>102</v>
      </c>
      <c r="B106" s="7"/>
      <c r="C106" s="7" t="str">
        <f>IF('RFQ-Input'!C105="","",'RFQ-Input'!C105)</f>
        <v/>
      </c>
      <c r="D106" s="7" t="str">
        <f>IF('RFQ-Input'!D105="","",'RFQ-Input'!D105)</f>
        <v/>
      </c>
      <c r="E106" s="7" t="str">
        <f>IF('RFQ-Input'!E105="","",'RFQ-Input'!E105)</f>
        <v/>
      </c>
      <c r="F106" s="7" t="str">
        <f>IF('RFQ-Input'!F105="","",'RFQ-Input'!F105)</f>
        <v/>
      </c>
      <c r="G106" s="7" t="str">
        <f>IF('RFQ-Input'!G105="","",'RFQ-Input'!G105)</f>
        <v/>
      </c>
      <c r="H106" s="7" t="str">
        <f>IF('RFQ-Input'!H105="","",'RFQ-Input'!H105)</f>
        <v/>
      </c>
      <c r="I106" s="7" t="str">
        <f>IF('RFQ-Input'!I105="","",'RFQ-Input'!I105)</f>
        <v/>
      </c>
      <c r="J106" s="7" t="str">
        <f>IF('RFQ-Input'!J105="","",'RFQ-Input'!J105)</f>
        <v/>
      </c>
      <c r="K106" s="7" t="str">
        <f>IF('RFQ-Input'!K105="","",'RFQ-Input'!K105)</f>
        <v/>
      </c>
      <c r="L106" s="7" t="str">
        <f>IF('RFQ-Input'!L105="","",'RFQ-Input'!L105)</f>
        <v/>
      </c>
      <c r="M106" s="7" t="str">
        <f>IF('RFQ-Input'!M105="","",'RFQ-Input'!M105)</f>
        <v/>
      </c>
      <c r="N106" s="7" t="str">
        <f>IF('RFQ-Input'!N105="","",'RFQ-Input'!N105)</f>
        <v/>
      </c>
      <c r="O106" s="7" t="str">
        <f>IF('RFQ-Input'!O105="","",'RFQ-Input'!O105)</f>
        <v/>
      </c>
      <c r="Q106" s="7"/>
      <c r="R106" s="7"/>
      <c r="S106" s="7"/>
      <c r="T106" s="7"/>
      <c r="U106" s="7"/>
      <c r="V106" s="7"/>
      <c r="X106" s="7"/>
      <c r="Y106" s="7"/>
      <c r="Z106" s="7"/>
      <c r="AA106" s="7" t="str">
        <f t="shared" si="7"/>
        <v/>
      </c>
      <c r="AB106" s="7"/>
      <c r="AC106" s="7"/>
      <c r="AQ106" s="7" t="str">
        <f t="shared" si="8"/>
        <v/>
      </c>
      <c r="AR106" s="7" t="str">
        <f t="shared" si="9"/>
        <v/>
      </c>
      <c r="AS106" s="7" t="str">
        <f t="shared" si="10"/>
        <v/>
      </c>
      <c r="AT106" s="7" t="str">
        <f t="shared" si="11"/>
        <v/>
      </c>
      <c r="AU106" s="7" t="str">
        <f t="shared" si="12"/>
        <v/>
      </c>
      <c r="AV106" s="7" t="str">
        <f t="shared" si="13"/>
        <v/>
      </c>
      <c r="AW106" s="7" t="str">
        <f>IF('RFQ-Input'!O105="","",'RFQ-Input'!O105)</f>
        <v/>
      </c>
      <c r="AX106" s="7" t="str">
        <f>IF('RFQ-Input'!S105="","",'RFQ-Input'!S105)</f>
        <v/>
      </c>
      <c r="AY106" s="7" t="str">
        <f>IF('RFQ-Input'!V105="","",'RFQ-Input'!V105)</f>
        <v/>
      </c>
      <c r="AZ106" s="7" t="str">
        <f>IF('RFQ-Input'!Y105="","",'RFQ-Input'!Y105)</f>
        <v/>
      </c>
      <c r="BA106" s="7" t="str">
        <f>IF('RFQ-Input'!AB105="","",'RFQ-Input'!AB105)</f>
        <v/>
      </c>
    </row>
    <row r="107" spans="1:53">
      <c r="A107" s="20">
        <v>103</v>
      </c>
      <c r="B107" s="7"/>
      <c r="C107" s="7" t="str">
        <f>IF('RFQ-Input'!C106="","",'RFQ-Input'!C106)</f>
        <v/>
      </c>
      <c r="D107" s="7" t="str">
        <f>IF('RFQ-Input'!D106="","",'RFQ-Input'!D106)</f>
        <v/>
      </c>
      <c r="E107" s="7" t="str">
        <f>IF('RFQ-Input'!E106="","",'RFQ-Input'!E106)</f>
        <v/>
      </c>
      <c r="F107" s="7" t="str">
        <f>IF('RFQ-Input'!F106="","",'RFQ-Input'!F106)</f>
        <v/>
      </c>
      <c r="G107" s="7" t="str">
        <f>IF('RFQ-Input'!G106="","",'RFQ-Input'!G106)</f>
        <v/>
      </c>
      <c r="H107" s="7" t="str">
        <f>IF('RFQ-Input'!H106="","",'RFQ-Input'!H106)</f>
        <v/>
      </c>
      <c r="I107" s="7" t="str">
        <f>IF('RFQ-Input'!I106="","",'RFQ-Input'!I106)</f>
        <v/>
      </c>
      <c r="J107" s="7" t="str">
        <f>IF('RFQ-Input'!J106="","",'RFQ-Input'!J106)</f>
        <v/>
      </c>
      <c r="K107" s="7" t="str">
        <f>IF('RFQ-Input'!K106="","",'RFQ-Input'!K106)</f>
        <v/>
      </c>
      <c r="L107" s="7" t="str">
        <f>IF('RFQ-Input'!L106="","",'RFQ-Input'!L106)</f>
        <v/>
      </c>
      <c r="M107" s="7" t="str">
        <f>IF('RFQ-Input'!M106="","",'RFQ-Input'!M106)</f>
        <v/>
      </c>
      <c r="N107" s="7" t="str">
        <f>IF('RFQ-Input'!N106="","",'RFQ-Input'!N106)</f>
        <v/>
      </c>
      <c r="O107" s="7" t="str">
        <f>IF('RFQ-Input'!O106="","",'RFQ-Input'!O106)</f>
        <v/>
      </c>
      <c r="Q107" s="7"/>
      <c r="R107" s="7"/>
      <c r="S107" s="7"/>
      <c r="T107" s="7"/>
      <c r="U107" s="7"/>
      <c r="V107" s="7"/>
      <c r="X107" s="7"/>
      <c r="Y107" s="7"/>
      <c r="Z107" s="7"/>
      <c r="AA107" s="7" t="str">
        <f t="shared" si="7"/>
        <v/>
      </c>
      <c r="AB107" s="7"/>
      <c r="AC107" s="7"/>
      <c r="AQ107" s="7" t="str">
        <f t="shared" si="8"/>
        <v/>
      </c>
      <c r="AR107" s="7" t="str">
        <f t="shared" si="9"/>
        <v/>
      </c>
      <c r="AS107" s="7" t="str">
        <f t="shared" si="10"/>
        <v/>
      </c>
      <c r="AT107" s="7" t="str">
        <f t="shared" si="11"/>
        <v/>
      </c>
      <c r="AU107" s="7" t="str">
        <f t="shared" si="12"/>
        <v/>
      </c>
      <c r="AV107" s="7" t="str">
        <f t="shared" si="13"/>
        <v/>
      </c>
      <c r="AW107" s="7" t="str">
        <f>IF('RFQ-Input'!O106="","",'RFQ-Input'!O106)</f>
        <v/>
      </c>
      <c r="AX107" s="7" t="str">
        <f>IF('RFQ-Input'!S106="","",'RFQ-Input'!S106)</f>
        <v/>
      </c>
      <c r="AY107" s="7" t="str">
        <f>IF('RFQ-Input'!V106="","",'RFQ-Input'!V106)</f>
        <v/>
      </c>
      <c r="AZ107" s="7" t="str">
        <f>IF('RFQ-Input'!Y106="","",'RFQ-Input'!Y106)</f>
        <v/>
      </c>
      <c r="BA107" s="7" t="str">
        <f>IF('RFQ-Input'!AB106="","",'RFQ-Input'!AB106)</f>
        <v/>
      </c>
    </row>
    <row r="108" spans="1:53">
      <c r="A108" s="20">
        <v>104</v>
      </c>
      <c r="B108" s="7"/>
      <c r="C108" s="7" t="str">
        <f>IF('RFQ-Input'!C107="","",'RFQ-Input'!C107)</f>
        <v/>
      </c>
      <c r="D108" s="7" t="str">
        <f>IF('RFQ-Input'!D107="","",'RFQ-Input'!D107)</f>
        <v/>
      </c>
      <c r="E108" s="7" t="str">
        <f>IF('RFQ-Input'!E107="","",'RFQ-Input'!E107)</f>
        <v/>
      </c>
      <c r="F108" s="7" t="str">
        <f>IF('RFQ-Input'!F107="","",'RFQ-Input'!F107)</f>
        <v/>
      </c>
      <c r="G108" s="7" t="str">
        <f>IF('RFQ-Input'!G107="","",'RFQ-Input'!G107)</f>
        <v/>
      </c>
      <c r="H108" s="7" t="str">
        <f>IF('RFQ-Input'!H107="","",'RFQ-Input'!H107)</f>
        <v/>
      </c>
      <c r="I108" s="7" t="str">
        <f>IF('RFQ-Input'!I107="","",'RFQ-Input'!I107)</f>
        <v/>
      </c>
      <c r="J108" s="7" t="str">
        <f>IF('RFQ-Input'!J107="","",'RFQ-Input'!J107)</f>
        <v/>
      </c>
      <c r="K108" s="7" t="str">
        <f>IF('RFQ-Input'!K107="","",'RFQ-Input'!K107)</f>
        <v/>
      </c>
      <c r="L108" s="7" t="str">
        <f>IF('RFQ-Input'!L107="","",'RFQ-Input'!L107)</f>
        <v/>
      </c>
      <c r="M108" s="7" t="str">
        <f>IF('RFQ-Input'!M107="","",'RFQ-Input'!M107)</f>
        <v/>
      </c>
      <c r="N108" s="7" t="str">
        <f>IF('RFQ-Input'!N107="","",'RFQ-Input'!N107)</f>
        <v/>
      </c>
      <c r="O108" s="7" t="str">
        <f>IF('RFQ-Input'!O107="","",'RFQ-Input'!O107)</f>
        <v/>
      </c>
      <c r="Q108" s="7"/>
      <c r="R108" s="7"/>
      <c r="S108" s="7"/>
      <c r="T108" s="7"/>
      <c r="U108" s="7"/>
      <c r="V108" s="7"/>
      <c r="X108" s="7"/>
      <c r="Y108" s="7"/>
      <c r="Z108" s="7"/>
      <c r="AA108" s="7" t="str">
        <f t="shared" si="7"/>
        <v/>
      </c>
      <c r="AB108" s="7"/>
      <c r="AC108" s="7"/>
      <c r="AQ108" s="7" t="str">
        <f t="shared" si="8"/>
        <v/>
      </c>
      <c r="AR108" s="7" t="str">
        <f t="shared" si="9"/>
        <v/>
      </c>
      <c r="AS108" s="7" t="str">
        <f t="shared" si="10"/>
        <v/>
      </c>
      <c r="AT108" s="7" t="str">
        <f t="shared" si="11"/>
        <v/>
      </c>
      <c r="AU108" s="7" t="str">
        <f t="shared" si="12"/>
        <v/>
      </c>
      <c r="AV108" s="7" t="str">
        <f t="shared" si="13"/>
        <v/>
      </c>
      <c r="AW108" s="7" t="str">
        <f>IF('RFQ-Input'!O107="","",'RFQ-Input'!O107)</f>
        <v/>
      </c>
      <c r="AX108" s="7" t="str">
        <f>IF('RFQ-Input'!S107="","",'RFQ-Input'!S107)</f>
        <v/>
      </c>
      <c r="AY108" s="7" t="str">
        <f>IF('RFQ-Input'!V107="","",'RFQ-Input'!V107)</f>
        <v/>
      </c>
      <c r="AZ108" s="7" t="str">
        <f>IF('RFQ-Input'!Y107="","",'RFQ-Input'!Y107)</f>
        <v/>
      </c>
      <c r="BA108" s="7" t="str">
        <f>IF('RFQ-Input'!AB107="","",'RFQ-Input'!AB107)</f>
        <v/>
      </c>
    </row>
    <row r="109" spans="1:53">
      <c r="A109" s="20">
        <v>105</v>
      </c>
      <c r="B109" s="7"/>
      <c r="C109" s="7" t="str">
        <f>IF('RFQ-Input'!C108="","",'RFQ-Input'!C108)</f>
        <v/>
      </c>
      <c r="D109" s="7" t="str">
        <f>IF('RFQ-Input'!D108="","",'RFQ-Input'!D108)</f>
        <v/>
      </c>
      <c r="E109" s="7" t="str">
        <f>IF('RFQ-Input'!E108="","",'RFQ-Input'!E108)</f>
        <v/>
      </c>
      <c r="F109" s="7" t="str">
        <f>IF('RFQ-Input'!F108="","",'RFQ-Input'!F108)</f>
        <v/>
      </c>
      <c r="G109" s="7" t="str">
        <f>IF('RFQ-Input'!G108="","",'RFQ-Input'!G108)</f>
        <v/>
      </c>
      <c r="H109" s="7" t="str">
        <f>IF('RFQ-Input'!H108="","",'RFQ-Input'!H108)</f>
        <v/>
      </c>
      <c r="I109" s="7" t="str">
        <f>IF('RFQ-Input'!I108="","",'RFQ-Input'!I108)</f>
        <v/>
      </c>
      <c r="J109" s="7" t="str">
        <f>IF('RFQ-Input'!J108="","",'RFQ-Input'!J108)</f>
        <v/>
      </c>
      <c r="K109" s="7" t="str">
        <f>IF('RFQ-Input'!K108="","",'RFQ-Input'!K108)</f>
        <v/>
      </c>
      <c r="L109" s="7" t="str">
        <f>IF('RFQ-Input'!L108="","",'RFQ-Input'!L108)</f>
        <v/>
      </c>
      <c r="M109" s="7" t="str">
        <f>IF('RFQ-Input'!M108="","",'RFQ-Input'!M108)</f>
        <v/>
      </c>
      <c r="N109" s="7" t="str">
        <f>IF('RFQ-Input'!N108="","",'RFQ-Input'!N108)</f>
        <v/>
      </c>
      <c r="O109" s="7" t="str">
        <f>IF('RFQ-Input'!O108="","",'RFQ-Input'!O108)</f>
        <v/>
      </c>
      <c r="Q109" s="7"/>
      <c r="R109" s="7"/>
      <c r="S109" s="7"/>
      <c r="T109" s="7"/>
      <c r="U109" s="7"/>
      <c r="V109" s="7"/>
      <c r="X109" s="7"/>
      <c r="Y109" s="7"/>
      <c r="Z109" s="7"/>
      <c r="AA109" s="7" t="str">
        <f t="shared" si="7"/>
        <v/>
      </c>
      <c r="AB109" s="7"/>
      <c r="AC109" s="7"/>
      <c r="AQ109" s="7" t="str">
        <f t="shared" si="8"/>
        <v/>
      </c>
      <c r="AR109" s="7" t="str">
        <f t="shared" si="9"/>
        <v/>
      </c>
      <c r="AS109" s="7" t="str">
        <f t="shared" si="10"/>
        <v/>
      </c>
      <c r="AT109" s="7" t="str">
        <f t="shared" si="11"/>
        <v/>
      </c>
      <c r="AU109" s="7" t="str">
        <f t="shared" si="12"/>
        <v/>
      </c>
      <c r="AV109" s="7" t="str">
        <f t="shared" si="13"/>
        <v/>
      </c>
      <c r="AW109" s="7" t="str">
        <f>IF('RFQ-Input'!O108="","",'RFQ-Input'!O108)</f>
        <v/>
      </c>
      <c r="AX109" s="7" t="str">
        <f>IF('RFQ-Input'!S108="","",'RFQ-Input'!S108)</f>
        <v/>
      </c>
      <c r="AY109" s="7" t="str">
        <f>IF('RFQ-Input'!V108="","",'RFQ-Input'!V108)</f>
        <v/>
      </c>
      <c r="AZ109" s="7" t="str">
        <f>IF('RFQ-Input'!Y108="","",'RFQ-Input'!Y108)</f>
        <v/>
      </c>
      <c r="BA109" s="7" t="str">
        <f>IF('RFQ-Input'!AB108="","",'RFQ-Input'!AB108)</f>
        <v/>
      </c>
    </row>
    <row r="110" spans="1:53">
      <c r="A110" s="20">
        <v>106</v>
      </c>
      <c r="B110" s="7"/>
      <c r="C110" s="7" t="str">
        <f>IF('RFQ-Input'!C109="","",'RFQ-Input'!C109)</f>
        <v/>
      </c>
      <c r="D110" s="7" t="str">
        <f>IF('RFQ-Input'!D109="","",'RFQ-Input'!D109)</f>
        <v/>
      </c>
      <c r="E110" s="7" t="str">
        <f>IF('RFQ-Input'!E109="","",'RFQ-Input'!E109)</f>
        <v/>
      </c>
      <c r="F110" s="7" t="str">
        <f>IF('RFQ-Input'!F109="","",'RFQ-Input'!F109)</f>
        <v/>
      </c>
      <c r="G110" s="7" t="str">
        <f>IF('RFQ-Input'!G109="","",'RFQ-Input'!G109)</f>
        <v/>
      </c>
      <c r="H110" s="7" t="str">
        <f>IF('RFQ-Input'!H109="","",'RFQ-Input'!H109)</f>
        <v/>
      </c>
      <c r="I110" s="7" t="str">
        <f>IF('RFQ-Input'!I109="","",'RFQ-Input'!I109)</f>
        <v/>
      </c>
      <c r="J110" s="7" t="str">
        <f>IF('RFQ-Input'!J109="","",'RFQ-Input'!J109)</f>
        <v/>
      </c>
      <c r="K110" s="7" t="str">
        <f>IF('RFQ-Input'!K109="","",'RFQ-Input'!K109)</f>
        <v/>
      </c>
      <c r="L110" s="7" t="str">
        <f>IF('RFQ-Input'!L109="","",'RFQ-Input'!L109)</f>
        <v/>
      </c>
      <c r="M110" s="7" t="str">
        <f>IF('RFQ-Input'!M109="","",'RFQ-Input'!M109)</f>
        <v/>
      </c>
      <c r="N110" s="7" t="str">
        <f>IF('RFQ-Input'!N109="","",'RFQ-Input'!N109)</f>
        <v/>
      </c>
      <c r="O110" s="7" t="str">
        <f>IF('RFQ-Input'!O109="","",'RFQ-Input'!O109)</f>
        <v/>
      </c>
      <c r="Q110" s="7"/>
      <c r="R110" s="7"/>
      <c r="S110" s="7"/>
      <c r="T110" s="7"/>
      <c r="U110" s="7"/>
      <c r="V110" s="7"/>
      <c r="X110" s="7"/>
      <c r="Y110" s="7"/>
      <c r="Z110" s="7"/>
      <c r="AA110" s="7" t="str">
        <f t="shared" si="7"/>
        <v/>
      </c>
      <c r="AB110" s="7"/>
      <c r="AC110" s="7"/>
      <c r="AQ110" s="7" t="str">
        <f t="shared" si="8"/>
        <v/>
      </c>
      <c r="AR110" s="7" t="str">
        <f t="shared" si="9"/>
        <v/>
      </c>
      <c r="AS110" s="7" t="str">
        <f t="shared" si="10"/>
        <v/>
      </c>
      <c r="AT110" s="7" t="str">
        <f t="shared" si="11"/>
        <v/>
      </c>
      <c r="AU110" s="7" t="str">
        <f t="shared" si="12"/>
        <v/>
      </c>
      <c r="AV110" s="7" t="str">
        <f t="shared" si="13"/>
        <v/>
      </c>
      <c r="AW110" s="7" t="str">
        <f>IF('RFQ-Input'!O109="","",'RFQ-Input'!O109)</f>
        <v/>
      </c>
      <c r="AX110" s="7" t="str">
        <f>IF('RFQ-Input'!S109="","",'RFQ-Input'!S109)</f>
        <v/>
      </c>
      <c r="AY110" s="7" t="str">
        <f>IF('RFQ-Input'!V109="","",'RFQ-Input'!V109)</f>
        <v/>
      </c>
      <c r="AZ110" s="7" t="str">
        <f>IF('RFQ-Input'!Y109="","",'RFQ-Input'!Y109)</f>
        <v/>
      </c>
      <c r="BA110" s="7" t="str">
        <f>IF('RFQ-Input'!AB109="","",'RFQ-Input'!AB109)</f>
        <v/>
      </c>
    </row>
    <row r="111" spans="1:53">
      <c r="A111" s="20">
        <v>107</v>
      </c>
      <c r="B111" s="7"/>
      <c r="C111" s="7" t="str">
        <f>IF('RFQ-Input'!C110="","",'RFQ-Input'!C110)</f>
        <v/>
      </c>
      <c r="D111" s="7" t="str">
        <f>IF('RFQ-Input'!D110="","",'RFQ-Input'!D110)</f>
        <v/>
      </c>
      <c r="E111" s="7" t="str">
        <f>IF('RFQ-Input'!E110="","",'RFQ-Input'!E110)</f>
        <v/>
      </c>
      <c r="F111" s="7" t="str">
        <f>IF('RFQ-Input'!F110="","",'RFQ-Input'!F110)</f>
        <v/>
      </c>
      <c r="G111" s="7" t="str">
        <f>IF('RFQ-Input'!G110="","",'RFQ-Input'!G110)</f>
        <v/>
      </c>
      <c r="H111" s="7" t="str">
        <f>IF('RFQ-Input'!H110="","",'RFQ-Input'!H110)</f>
        <v/>
      </c>
      <c r="I111" s="7" t="str">
        <f>IF('RFQ-Input'!I110="","",'RFQ-Input'!I110)</f>
        <v/>
      </c>
      <c r="J111" s="7" t="str">
        <f>IF('RFQ-Input'!J110="","",'RFQ-Input'!J110)</f>
        <v/>
      </c>
      <c r="K111" s="7" t="str">
        <f>IF('RFQ-Input'!K110="","",'RFQ-Input'!K110)</f>
        <v/>
      </c>
      <c r="L111" s="7" t="str">
        <f>IF('RFQ-Input'!L110="","",'RFQ-Input'!L110)</f>
        <v/>
      </c>
      <c r="M111" s="7" t="str">
        <f>IF('RFQ-Input'!M110="","",'RFQ-Input'!M110)</f>
        <v/>
      </c>
      <c r="N111" s="7" t="str">
        <f>IF('RFQ-Input'!N110="","",'RFQ-Input'!N110)</f>
        <v/>
      </c>
      <c r="O111" s="7" t="str">
        <f>IF('RFQ-Input'!O110="","",'RFQ-Input'!O110)</f>
        <v/>
      </c>
      <c r="Q111" s="7"/>
      <c r="R111" s="7"/>
      <c r="S111" s="7"/>
      <c r="T111" s="7"/>
      <c r="U111" s="7"/>
      <c r="V111" s="7"/>
      <c r="X111" s="7"/>
      <c r="Y111" s="7"/>
      <c r="Z111" s="7"/>
      <c r="AA111" s="7" t="str">
        <f t="shared" si="7"/>
        <v/>
      </c>
      <c r="AB111" s="7"/>
      <c r="AC111" s="7"/>
      <c r="AQ111" s="7" t="str">
        <f t="shared" si="8"/>
        <v/>
      </c>
      <c r="AR111" s="7" t="str">
        <f t="shared" si="9"/>
        <v/>
      </c>
      <c r="AS111" s="7" t="str">
        <f t="shared" si="10"/>
        <v/>
      </c>
      <c r="AT111" s="7" t="str">
        <f t="shared" si="11"/>
        <v/>
      </c>
      <c r="AU111" s="7" t="str">
        <f t="shared" si="12"/>
        <v/>
      </c>
      <c r="AV111" s="7" t="str">
        <f t="shared" si="13"/>
        <v/>
      </c>
      <c r="AW111" s="7" t="str">
        <f>IF('RFQ-Input'!O110="","",'RFQ-Input'!O110)</f>
        <v/>
      </c>
      <c r="AX111" s="7" t="str">
        <f>IF('RFQ-Input'!S110="","",'RFQ-Input'!S110)</f>
        <v/>
      </c>
      <c r="AY111" s="7" t="str">
        <f>IF('RFQ-Input'!V110="","",'RFQ-Input'!V110)</f>
        <v/>
      </c>
      <c r="AZ111" s="7" t="str">
        <f>IF('RFQ-Input'!Y110="","",'RFQ-Input'!Y110)</f>
        <v/>
      </c>
      <c r="BA111" s="7" t="str">
        <f>IF('RFQ-Input'!AB110="","",'RFQ-Input'!AB110)</f>
        <v/>
      </c>
    </row>
    <row r="112" spans="1:53">
      <c r="A112" s="20">
        <v>108</v>
      </c>
      <c r="B112" s="7"/>
      <c r="C112" s="7" t="str">
        <f>IF('RFQ-Input'!C111="","",'RFQ-Input'!C111)</f>
        <v/>
      </c>
      <c r="D112" s="7" t="str">
        <f>IF('RFQ-Input'!D111="","",'RFQ-Input'!D111)</f>
        <v/>
      </c>
      <c r="E112" s="7" t="str">
        <f>IF('RFQ-Input'!E111="","",'RFQ-Input'!E111)</f>
        <v/>
      </c>
      <c r="F112" s="7" t="str">
        <f>IF('RFQ-Input'!F111="","",'RFQ-Input'!F111)</f>
        <v/>
      </c>
      <c r="G112" s="7" t="str">
        <f>IF('RFQ-Input'!G111="","",'RFQ-Input'!G111)</f>
        <v/>
      </c>
      <c r="H112" s="7" t="str">
        <f>IF('RFQ-Input'!H111="","",'RFQ-Input'!H111)</f>
        <v/>
      </c>
      <c r="I112" s="7" t="str">
        <f>IF('RFQ-Input'!I111="","",'RFQ-Input'!I111)</f>
        <v/>
      </c>
      <c r="J112" s="7" t="str">
        <f>IF('RFQ-Input'!J111="","",'RFQ-Input'!J111)</f>
        <v/>
      </c>
      <c r="K112" s="7" t="str">
        <f>IF('RFQ-Input'!K111="","",'RFQ-Input'!K111)</f>
        <v/>
      </c>
      <c r="L112" s="7" t="str">
        <f>IF('RFQ-Input'!L111="","",'RFQ-Input'!L111)</f>
        <v/>
      </c>
      <c r="M112" s="7" t="str">
        <f>IF('RFQ-Input'!M111="","",'RFQ-Input'!M111)</f>
        <v/>
      </c>
      <c r="N112" s="7" t="str">
        <f>IF('RFQ-Input'!N111="","",'RFQ-Input'!N111)</f>
        <v/>
      </c>
      <c r="O112" s="7" t="str">
        <f>IF('RFQ-Input'!O111="","",'RFQ-Input'!O111)</f>
        <v/>
      </c>
      <c r="Q112" s="7"/>
      <c r="R112" s="7"/>
      <c r="S112" s="7"/>
      <c r="T112" s="7"/>
      <c r="U112" s="7"/>
      <c r="V112" s="7"/>
      <c r="X112" s="7"/>
      <c r="Y112" s="7"/>
      <c r="Z112" s="7"/>
      <c r="AA112" s="7" t="str">
        <f t="shared" si="7"/>
        <v/>
      </c>
      <c r="AB112" s="7"/>
      <c r="AC112" s="7"/>
      <c r="AQ112" s="7" t="str">
        <f t="shared" si="8"/>
        <v/>
      </c>
      <c r="AR112" s="7" t="str">
        <f t="shared" si="9"/>
        <v/>
      </c>
      <c r="AS112" s="7" t="str">
        <f t="shared" si="10"/>
        <v/>
      </c>
      <c r="AT112" s="7" t="str">
        <f t="shared" si="11"/>
        <v/>
      </c>
      <c r="AU112" s="7" t="str">
        <f t="shared" si="12"/>
        <v/>
      </c>
      <c r="AV112" s="7" t="str">
        <f t="shared" si="13"/>
        <v/>
      </c>
      <c r="AW112" s="7" t="str">
        <f>IF('RFQ-Input'!O111="","",'RFQ-Input'!O111)</f>
        <v/>
      </c>
      <c r="AX112" s="7" t="str">
        <f>IF('RFQ-Input'!S111="","",'RFQ-Input'!S111)</f>
        <v/>
      </c>
      <c r="AY112" s="7" t="str">
        <f>IF('RFQ-Input'!V111="","",'RFQ-Input'!V111)</f>
        <v/>
      </c>
      <c r="AZ112" s="7" t="str">
        <f>IF('RFQ-Input'!Y111="","",'RFQ-Input'!Y111)</f>
        <v/>
      </c>
      <c r="BA112" s="7" t="str">
        <f>IF('RFQ-Input'!AB111="","",'RFQ-Input'!AB111)</f>
        <v/>
      </c>
    </row>
    <row r="113" spans="1:53">
      <c r="A113" s="20">
        <v>109</v>
      </c>
      <c r="B113" s="7"/>
      <c r="C113" s="7" t="str">
        <f>IF('RFQ-Input'!C112="","",'RFQ-Input'!C112)</f>
        <v/>
      </c>
      <c r="D113" s="7" t="str">
        <f>IF('RFQ-Input'!D112="","",'RFQ-Input'!D112)</f>
        <v/>
      </c>
      <c r="E113" s="7" t="str">
        <f>IF('RFQ-Input'!E112="","",'RFQ-Input'!E112)</f>
        <v/>
      </c>
      <c r="F113" s="7" t="str">
        <f>IF('RFQ-Input'!F112="","",'RFQ-Input'!F112)</f>
        <v/>
      </c>
      <c r="G113" s="7" t="str">
        <f>IF('RFQ-Input'!G112="","",'RFQ-Input'!G112)</f>
        <v/>
      </c>
      <c r="H113" s="7" t="str">
        <f>IF('RFQ-Input'!H112="","",'RFQ-Input'!H112)</f>
        <v/>
      </c>
      <c r="I113" s="7" t="str">
        <f>IF('RFQ-Input'!I112="","",'RFQ-Input'!I112)</f>
        <v/>
      </c>
      <c r="J113" s="7" t="str">
        <f>IF('RFQ-Input'!J112="","",'RFQ-Input'!J112)</f>
        <v/>
      </c>
      <c r="K113" s="7" t="str">
        <f>IF('RFQ-Input'!K112="","",'RFQ-Input'!K112)</f>
        <v/>
      </c>
      <c r="L113" s="7" t="str">
        <f>IF('RFQ-Input'!L112="","",'RFQ-Input'!L112)</f>
        <v/>
      </c>
      <c r="M113" s="7" t="str">
        <f>IF('RFQ-Input'!M112="","",'RFQ-Input'!M112)</f>
        <v/>
      </c>
      <c r="N113" s="7" t="str">
        <f>IF('RFQ-Input'!N112="","",'RFQ-Input'!N112)</f>
        <v/>
      </c>
      <c r="O113" s="7" t="str">
        <f>IF('RFQ-Input'!O112="","",'RFQ-Input'!O112)</f>
        <v/>
      </c>
      <c r="Q113" s="7"/>
      <c r="R113" s="7"/>
      <c r="S113" s="7"/>
      <c r="T113" s="7"/>
      <c r="U113" s="7"/>
      <c r="V113" s="7"/>
      <c r="X113" s="7"/>
      <c r="Y113" s="7"/>
      <c r="Z113" s="7"/>
      <c r="AA113" s="7" t="str">
        <f t="shared" si="7"/>
        <v/>
      </c>
      <c r="AB113" s="7"/>
      <c r="AC113" s="7"/>
      <c r="AQ113" s="7" t="str">
        <f t="shared" si="8"/>
        <v/>
      </c>
      <c r="AR113" s="7" t="str">
        <f t="shared" si="9"/>
        <v/>
      </c>
      <c r="AS113" s="7" t="str">
        <f t="shared" si="10"/>
        <v/>
      </c>
      <c r="AT113" s="7" t="str">
        <f t="shared" si="11"/>
        <v/>
      </c>
      <c r="AU113" s="7" t="str">
        <f t="shared" si="12"/>
        <v/>
      </c>
      <c r="AV113" s="7" t="str">
        <f t="shared" si="13"/>
        <v/>
      </c>
      <c r="AW113" s="7" t="str">
        <f>IF('RFQ-Input'!O112="","",'RFQ-Input'!O112)</f>
        <v/>
      </c>
      <c r="AX113" s="7" t="str">
        <f>IF('RFQ-Input'!S112="","",'RFQ-Input'!S112)</f>
        <v/>
      </c>
      <c r="AY113" s="7" t="str">
        <f>IF('RFQ-Input'!V112="","",'RFQ-Input'!V112)</f>
        <v/>
      </c>
      <c r="AZ113" s="7" t="str">
        <f>IF('RFQ-Input'!Y112="","",'RFQ-Input'!Y112)</f>
        <v/>
      </c>
      <c r="BA113" s="7" t="str">
        <f>IF('RFQ-Input'!AB112="","",'RFQ-Input'!AB112)</f>
        <v/>
      </c>
    </row>
    <row r="114" spans="1:53">
      <c r="A114" s="20">
        <v>110</v>
      </c>
      <c r="B114" s="7"/>
      <c r="C114" s="7" t="str">
        <f>IF('RFQ-Input'!C113="","",'RFQ-Input'!C113)</f>
        <v/>
      </c>
      <c r="D114" s="7" t="str">
        <f>IF('RFQ-Input'!D113="","",'RFQ-Input'!D113)</f>
        <v/>
      </c>
      <c r="E114" s="7" t="str">
        <f>IF('RFQ-Input'!E113="","",'RFQ-Input'!E113)</f>
        <v/>
      </c>
      <c r="F114" s="7" t="str">
        <f>IF('RFQ-Input'!F113="","",'RFQ-Input'!F113)</f>
        <v/>
      </c>
      <c r="G114" s="7" t="str">
        <f>IF('RFQ-Input'!G113="","",'RFQ-Input'!G113)</f>
        <v/>
      </c>
      <c r="H114" s="7" t="str">
        <f>IF('RFQ-Input'!H113="","",'RFQ-Input'!H113)</f>
        <v/>
      </c>
      <c r="I114" s="7" t="str">
        <f>IF('RFQ-Input'!I113="","",'RFQ-Input'!I113)</f>
        <v/>
      </c>
      <c r="J114" s="7" t="str">
        <f>IF('RFQ-Input'!J113="","",'RFQ-Input'!J113)</f>
        <v/>
      </c>
      <c r="K114" s="7" t="str">
        <f>IF('RFQ-Input'!K113="","",'RFQ-Input'!K113)</f>
        <v/>
      </c>
      <c r="L114" s="7" t="str">
        <f>IF('RFQ-Input'!L113="","",'RFQ-Input'!L113)</f>
        <v/>
      </c>
      <c r="M114" s="7" t="str">
        <f>IF('RFQ-Input'!M113="","",'RFQ-Input'!M113)</f>
        <v/>
      </c>
      <c r="N114" s="7" t="str">
        <f>IF('RFQ-Input'!N113="","",'RFQ-Input'!N113)</f>
        <v/>
      </c>
      <c r="O114" s="7" t="str">
        <f>IF('RFQ-Input'!O113="","",'RFQ-Input'!O113)</f>
        <v/>
      </c>
      <c r="Q114" s="7"/>
      <c r="R114" s="7"/>
      <c r="S114" s="7"/>
      <c r="T114" s="7"/>
      <c r="U114" s="7"/>
      <c r="V114" s="7"/>
      <c r="X114" s="7"/>
      <c r="Y114" s="7"/>
      <c r="Z114" s="7"/>
      <c r="AA114" s="7" t="str">
        <f t="shared" si="7"/>
        <v/>
      </c>
      <c r="AB114" s="7"/>
      <c r="AC114" s="7"/>
      <c r="AQ114" s="7" t="str">
        <f t="shared" si="8"/>
        <v/>
      </c>
      <c r="AR114" s="7" t="str">
        <f t="shared" si="9"/>
        <v/>
      </c>
      <c r="AS114" s="7" t="str">
        <f t="shared" si="10"/>
        <v/>
      </c>
      <c r="AT114" s="7" t="str">
        <f t="shared" si="11"/>
        <v/>
      </c>
      <c r="AU114" s="7" t="str">
        <f t="shared" si="12"/>
        <v/>
      </c>
      <c r="AV114" s="7" t="str">
        <f t="shared" si="13"/>
        <v/>
      </c>
      <c r="AW114" s="7" t="str">
        <f>IF('RFQ-Input'!O113="","",'RFQ-Input'!O113)</f>
        <v/>
      </c>
      <c r="AX114" s="7" t="str">
        <f>IF('RFQ-Input'!S113="","",'RFQ-Input'!S113)</f>
        <v/>
      </c>
      <c r="AY114" s="7" t="str">
        <f>IF('RFQ-Input'!V113="","",'RFQ-Input'!V113)</f>
        <v/>
      </c>
      <c r="AZ114" s="7" t="str">
        <f>IF('RFQ-Input'!Y113="","",'RFQ-Input'!Y113)</f>
        <v/>
      </c>
      <c r="BA114" s="7" t="str">
        <f>IF('RFQ-Input'!AB113="","",'RFQ-Input'!AB113)</f>
        <v/>
      </c>
    </row>
    <row r="115" spans="1:53">
      <c r="A115" s="20">
        <v>111</v>
      </c>
      <c r="B115" s="7"/>
      <c r="C115" s="7" t="str">
        <f>IF('RFQ-Input'!C114="","",'RFQ-Input'!C114)</f>
        <v/>
      </c>
      <c r="D115" s="7" t="str">
        <f>IF('RFQ-Input'!D114="","",'RFQ-Input'!D114)</f>
        <v/>
      </c>
      <c r="E115" s="7" t="str">
        <f>IF('RFQ-Input'!E114="","",'RFQ-Input'!E114)</f>
        <v/>
      </c>
      <c r="F115" s="7" t="str">
        <f>IF('RFQ-Input'!F114="","",'RFQ-Input'!F114)</f>
        <v/>
      </c>
      <c r="G115" s="7" t="str">
        <f>IF('RFQ-Input'!G114="","",'RFQ-Input'!G114)</f>
        <v/>
      </c>
      <c r="H115" s="7" t="str">
        <f>IF('RFQ-Input'!H114="","",'RFQ-Input'!H114)</f>
        <v/>
      </c>
      <c r="I115" s="7" t="str">
        <f>IF('RFQ-Input'!I114="","",'RFQ-Input'!I114)</f>
        <v/>
      </c>
      <c r="J115" s="7" t="str">
        <f>IF('RFQ-Input'!J114="","",'RFQ-Input'!J114)</f>
        <v/>
      </c>
      <c r="K115" s="7" t="str">
        <f>IF('RFQ-Input'!K114="","",'RFQ-Input'!K114)</f>
        <v/>
      </c>
      <c r="L115" s="7" t="str">
        <f>IF('RFQ-Input'!L114="","",'RFQ-Input'!L114)</f>
        <v/>
      </c>
      <c r="M115" s="7" t="str">
        <f>IF('RFQ-Input'!M114="","",'RFQ-Input'!M114)</f>
        <v/>
      </c>
      <c r="N115" s="7" t="str">
        <f>IF('RFQ-Input'!N114="","",'RFQ-Input'!N114)</f>
        <v/>
      </c>
      <c r="O115" s="7" t="str">
        <f>IF('RFQ-Input'!O114="","",'RFQ-Input'!O114)</f>
        <v/>
      </c>
      <c r="Q115" s="7"/>
      <c r="R115" s="7"/>
      <c r="S115" s="7"/>
      <c r="T115" s="7"/>
      <c r="U115" s="7"/>
      <c r="V115" s="7"/>
      <c r="X115" s="7"/>
      <c r="Y115" s="7"/>
      <c r="Z115" s="7"/>
      <c r="AA115" s="7" t="str">
        <f t="shared" si="7"/>
        <v/>
      </c>
      <c r="AB115" s="7"/>
      <c r="AC115" s="7"/>
      <c r="AQ115" s="7" t="str">
        <f t="shared" si="8"/>
        <v/>
      </c>
      <c r="AR115" s="7" t="str">
        <f t="shared" si="9"/>
        <v/>
      </c>
      <c r="AS115" s="7" t="str">
        <f t="shared" si="10"/>
        <v/>
      </c>
      <c r="AT115" s="7" t="str">
        <f t="shared" si="11"/>
        <v/>
      </c>
      <c r="AU115" s="7" t="str">
        <f t="shared" si="12"/>
        <v/>
      </c>
      <c r="AV115" s="7" t="str">
        <f t="shared" si="13"/>
        <v/>
      </c>
      <c r="AW115" s="7" t="str">
        <f>IF('RFQ-Input'!O114="","",'RFQ-Input'!O114)</f>
        <v/>
      </c>
      <c r="AX115" s="7" t="str">
        <f>IF('RFQ-Input'!S114="","",'RFQ-Input'!S114)</f>
        <v/>
      </c>
      <c r="AY115" s="7" t="str">
        <f>IF('RFQ-Input'!V114="","",'RFQ-Input'!V114)</f>
        <v/>
      </c>
      <c r="AZ115" s="7" t="str">
        <f>IF('RFQ-Input'!Y114="","",'RFQ-Input'!Y114)</f>
        <v/>
      </c>
      <c r="BA115" s="7" t="str">
        <f>IF('RFQ-Input'!AB114="","",'RFQ-Input'!AB114)</f>
        <v/>
      </c>
    </row>
    <row r="116" spans="1:53">
      <c r="A116" s="20">
        <v>112</v>
      </c>
      <c r="B116" s="7"/>
      <c r="C116" s="7" t="str">
        <f>IF('RFQ-Input'!C115="","",'RFQ-Input'!C115)</f>
        <v/>
      </c>
      <c r="D116" s="7" t="str">
        <f>IF('RFQ-Input'!D115="","",'RFQ-Input'!D115)</f>
        <v/>
      </c>
      <c r="E116" s="7" t="str">
        <f>IF('RFQ-Input'!E115="","",'RFQ-Input'!E115)</f>
        <v/>
      </c>
      <c r="F116" s="7" t="str">
        <f>IF('RFQ-Input'!F115="","",'RFQ-Input'!F115)</f>
        <v/>
      </c>
      <c r="G116" s="7" t="str">
        <f>IF('RFQ-Input'!G115="","",'RFQ-Input'!G115)</f>
        <v/>
      </c>
      <c r="H116" s="7" t="str">
        <f>IF('RFQ-Input'!H115="","",'RFQ-Input'!H115)</f>
        <v/>
      </c>
      <c r="I116" s="7" t="str">
        <f>IF('RFQ-Input'!I115="","",'RFQ-Input'!I115)</f>
        <v/>
      </c>
      <c r="J116" s="7" t="str">
        <f>IF('RFQ-Input'!J115="","",'RFQ-Input'!J115)</f>
        <v/>
      </c>
      <c r="K116" s="7" t="str">
        <f>IF('RFQ-Input'!K115="","",'RFQ-Input'!K115)</f>
        <v/>
      </c>
      <c r="L116" s="7" t="str">
        <f>IF('RFQ-Input'!L115="","",'RFQ-Input'!L115)</f>
        <v/>
      </c>
      <c r="M116" s="7" t="str">
        <f>IF('RFQ-Input'!M115="","",'RFQ-Input'!M115)</f>
        <v/>
      </c>
      <c r="N116" s="7" t="str">
        <f>IF('RFQ-Input'!N115="","",'RFQ-Input'!N115)</f>
        <v/>
      </c>
      <c r="O116" s="7" t="str">
        <f>IF('RFQ-Input'!O115="","",'RFQ-Input'!O115)</f>
        <v/>
      </c>
      <c r="Q116" s="7"/>
      <c r="R116" s="7"/>
      <c r="S116" s="7"/>
      <c r="T116" s="7"/>
      <c r="U116" s="7"/>
      <c r="V116" s="7"/>
      <c r="X116" s="7"/>
      <c r="Y116" s="7"/>
      <c r="Z116" s="7"/>
      <c r="AA116" s="7" t="str">
        <f t="shared" si="7"/>
        <v/>
      </c>
      <c r="AB116" s="7"/>
      <c r="AC116" s="7"/>
      <c r="AQ116" s="7" t="str">
        <f t="shared" si="8"/>
        <v/>
      </c>
      <c r="AR116" s="7" t="str">
        <f t="shared" si="9"/>
        <v/>
      </c>
      <c r="AS116" s="7" t="str">
        <f t="shared" si="10"/>
        <v/>
      </c>
      <c r="AT116" s="7" t="str">
        <f t="shared" si="11"/>
        <v/>
      </c>
      <c r="AU116" s="7" t="str">
        <f t="shared" si="12"/>
        <v/>
      </c>
      <c r="AV116" s="7" t="str">
        <f t="shared" si="13"/>
        <v/>
      </c>
      <c r="AW116" s="7" t="str">
        <f>IF('RFQ-Input'!O115="","",'RFQ-Input'!O115)</f>
        <v/>
      </c>
      <c r="AX116" s="7" t="str">
        <f>IF('RFQ-Input'!S115="","",'RFQ-Input'!S115)</f>
        <v/>
      </c>
      <c r="AY116" s="7" t="str">
        <f>IF('RFQ-Input'!V115="","",'RFQ-Input'!V115)</f>
        <v/>
      </c>
      <c r="AZ116" s="7" t="str">
        <f>IF('RFQ-Input'!Y115="","",'RFQ-Input'!Y115)</f>
        <v/>
      </c>
      <c r="BA116" s="7" t="str">
        <f>IF('RFQ-Input'!AB115="","",'RFQ-Input'!AB115)</f>
        <v/>
      </c>
    </row>
    <row r="117" spans="1:53">
      <c r="A117" s="20">
        <v>113</v>
      </c>
      <c r="B117" s="7"/>
      <c r="C117" s="7" t="str">
        <f>IF('RFQ-Input'!C116="","",'RFQ-Input'!C116)</f>
        <v/>
      </c>
      <c r="D117" s="7" t="str">
        <f>IF('RFQ-Input'!D116="","",'RFQ-Input'!D116)</f>
        <v/>
      </c>
      <c r="E117" s="7" t="str">
        <f>IF('RFQ-Input'!E116="","",'RFQ-Input'!E116)</f>
        <v/>
      </c>
      <c r="F117" s="7" t="str">
        <f>IF('RFQ-Input'!F116="","",'RFQ-Input'!F116)</f>
        <v/>
      </c>
      <c r="G117" s="7" t="str">
        <f>IF('RFQ-Input'!G116="","",'RFQ-Input'!G116)</f>
        <v/>
      </c>
      <c r="H117" s="7" t="str">
        <f>IF('RFQ-Input'!H116="","",'RFQ-Input'!H116)</f>
        <v/>
      </c>
      <c r="I117" s="7" t="str">
        <f>IF('RFQ-Input'!I116="","",'RFQ-Input'!I116)</f>
        <v/>
      </c>
      <c r="J117" s="7" t="str">
        <f>IF('RFQ-Input'!J116="","",'RFQ-Input'!J116)</f>
        <v/>
      </c>
      <c r="K117" s="7" t="str">
        <f>IF('RFQ-Input'!K116="","",'RFQ-Input'!K116)</f>
        <v/>
      </c>
      <c r="L117" s="7" t="str">
        <f>IF('RFQ-Input'!L116="","",'RFQ-Input'!L116)</f>
        <v/>
      </c>
      <c r="M117" s="7" t="str">
        <f>IF('RFQ-Input'!M116="","",'RFQ-Input'!M116)</f>
        <v/>
      </c>
      <c r="N117" s="7" t="str">
        <f>IF('RFQ-Input'!N116="","",'RFQ-Input'!N116)</f>
        <v/>
      </c>
      <c r="O117" s="7" t="str">
        <f>IF('RFQ-Input'!O116="","",'RFQ-Input'!O116)</f>
        <v/>
      </c>
      <c r="Q117" s="7"/>
      <c r="R117" s="7"/>
      <c r="S117" s="7"/>
      <c r="T117" s="7"/>
      <c r="U117" s="7"/>
      <c r="V117" s="7"/>
      <c r="X117" s="7"/>
      <c r="Y117" s="7"/>
      <c r="Z117" s="7"/>
      <c r="AA117" s="7" t="str">
        <f t="shared" si="7"/>
        <v/>
      </c>
      <c r="AB117" s="7"/>
      <c r="AC117" s="7"/>
      <c r="AQ117" s="7" t="str">
        <f t="shared" si="8"/>
        <v/>
      </c>
      <c r="AR117" s="7" t="str">
        <f t="shared" si="9"/>
        <v/>
      </c>
      <c r="AS117" s="7" t="str">
        <f t="shared" si="10"/>
        <v/>
      </c>
      <c r="AT117" s="7" t="str">
        <f t="shared" si="11"/>
        <v/>
      </c>
      <c r="AU117" s="7" t="str">
        <f t="shared" si="12"/>
        <v/>
      </c>
      <c r="AV117" s="7" t="str">
        <f t="shared" si="13"/>
        <v/>
      </c>
      <c r="AW117" s="7" t="str">
        <f>IF('RFQ-Input'!O116="","",'RFQ-Input'!O116)</f>
        <v/>
      </c>
      <c r="AX117" s="7" t="str">
        <f>IF('RFQ-Input'!S116="","",'RFQ-Input'!S116)</f>
        <v/>
      </c>
      <c r="AY117" s="7" t="str">
        <f>IF('RFQ-Input'!V116="","",'RFQ-Input'!V116)</f>
        <v/>
      </c>
      <c r="AZ117" s="7" t="str">
        <f>IF('RFQ-Input'!Y116="","",'RFQ-Input'!Y116)</f>
        <v/>
      </c>
      <c r="BA117" s="7" t="str">
        <f>IF('RFQ-Input'!AB116="","",'RFQ-Input'!AB116)</f>
        <v/>
      </c>
    </row>
    <row r="118" spans="1:53">
      <c r="A118" s="20">
        <v>114</v>
      </c>
      <c r="B118" s="7"/>
      <c r="C118" s="7" t="str">
        <f>IF('RFQ-Input'!C117="","",'RFQ-Input'!C117)</f>
        <v/>
      </c>
      <c r="D118" s="7" t="str">
        <f>IF('RFQ-Input'!D117="","",'RFQ-Input'!D117)</f>
        <v/>
      </c>
      <c r="E118" s="7" t="str">
        <f>IF('RFQ-Input'!E117="","",'RFQ-Input'!E117)</f>
        <v/>
      </c>
      <c r="F118" s="7" t="str">
        <f>IF('RFQ-Input'!F117="","",'RFQ-Input'!F117)</f>
        <v/>
      </c>
      <c r="G118" s="7" t="str">
        <f>IF('RFQ-Input'!G117="","",'RFQ-Input'!G117)</f>
        <v/>
      </c>
      <c r="H118" s="7" t="str">
        <f>IF('RFQ-Input'!H117="","",'RFQ-Input'!H117)</f>
        <v/>
      </c>
      <c r="I118" s="7" t="str">
        <f>IF('RFQ-Input'!I117="","",'RFQ-Input'!I117)</f>
        <v/>
      </c>
      <c r="J118" s="7" t="str">
        <f>IF('RFQ-Input'!J117="","",'RFQ-Input'!J117)</f>
        <v/>
      </c>
      <c r="K118" s="7" t="str">
        <f>IF('RFQ-Input'!K117="","",'RFQ-Input'!K117)</f>
        <v/>
      </c>
      <c r="L118" s="7" t="str">
        <f>IF('RFQ-Input'!L117="","",'RFQ-Input'!L117)</f>
        <v/>
      </c>
      <c r="M118" s="7" t="str">
        <f>IF('RFQ-Input'!M117="","",'RFQ-Input'!M117)</f>
        <v/>
      </c>
      <c r="N118" s="7" t="str">
        <f>IF('RFQ-Input'!N117="","",'RFQ-Input'!N117)</f>
        <v/>
      </c>
      <c r="O118" s="7" t="str">
        <f>IF('RFQ-Input'!O117="","",'RFQ-Input'!O117)</f>
        <v/>
      </c>
      <c r="Q118" s="7"/>
      <c r="R118" s="7"/>
      <c r="S118" s="7"/>
      <c r="T118" s="7"/>
      <c r="U118" s="7"/>
      <c r="V118" s="7"/>
      <c r="X118" s="7"/>
      <c r="Y118" s="7"/>
      <c r="Z118" s="7"/>
      <c r="AA118" s="7" t="str">
        <f t="shared" si="7"/>
        <v/>
      </c>
      <c r="AB118" s="7"/>
      <c r="AC118" s="7"/>
      <c r="AQ118" s="7" t="str">
        <f t="shared" si="8"/>
        <v/>
      </c>
      <c r="AR118" s="7" t="str">
        <f t="shared" si="9"/>
        <v/>
      </c>
      <c r="AS118" s="7" t="str">
        <f t="shared" si="10"/>
        <v/>
      </c>
      <c r="AT118" s="7" t="str">
        <f t="shared" si="11"/>
        <v/>
      </c>
      <c r="AU118" s="7" t="str">
        <f t="shared" si="12"/>
        <v/>
      </c>
      <c r="AV118" s="7" t="str">
        <f t="shared" si="13"/>
        <v/>
      </c>
      <c r="AW118" s="7" t="str">
        <f>IF('RFQ-Input'!O117="","",'RFQ-Input'!O117)</f>
        <v/>
      </c>
      <c r="AX118" s="7" t="str">
        <f>IF('RFQ-Input'!S117="","",'RFQ-Input'!S117)</f>
        <v/>
      </c>
      <c r="AY118" s="7" t="str">
        <f>IF('RFQ-Input'!V117="","",'RFQ-Input'!V117)</f>
        <v/>
      </c>
      <c r="AZ118" s="7" t="str">
        <f>IF('RFQ-Input'!Y117="","",'RFQ-Input'!Y117)</f>
        <v/>
      </c>
      <c r="BA118" s="7" t="str">
        <f>IF('RFQ-Input'!AB117="","",'RFQ-Input'!AB117)</f>
        <v/>
      </c>
    </row>
    <row r="119" spans="1:53">
      <c r="A119" s="20">
        <v>115</v>
      </c>
      <c r="B119" s="7"/>
      <c r="C119" s="7" t="str">
        <f>IF('RFQ-Input'!C118="","",'RFQ-Input'!C118)</f>
        <v/>
      </c>
      <c r="D119" s="7" t="str">
        <f>IF('RFQ-Input'!D118="","",'RFQ-Input'!D118)</f>
        <v/>
      </c>
      <c r="E119" s="7" t="str">
        <f>IF('RFQ-Input'!E118="","",'RFQ-Input'!E118)</f>
        <v/>
      </c>
      <c r="F119" s="7" t="str">
        <f>IF('RFQ-Input'!F118="","",'RFQ-Input'!F118)</f>
        <v/>
      </c>
      <c r="G119" s="7" t="str">
        <f>IF('RFQ-Input'!G118="","",'RFQ-Input'!G118)</f>
        <v/>
      </c>
      <c r="H119" s="7" t="str">
        <f>IF('RFQ-Input'!H118="","",'RFQ-Input'!H118)</f>
        <v/>
      </c>
      <c r="I119" s="7" t="str">
        <f>IF('RFQ-Input'!I118="","",'RFQ-Input'!I118)</f>
        <v/>
      </c>
      <c r="J119" s="7" t="str">
        <f>IF('RFQ-Input'!J118="","",'RFQ-Input'!J118)</f>
        <v/>
      </c>
      <c r="K119" s="7" t="str">
        <f>IF('RFQ-Input'!K118="","",'RFQ-Input'!K118)</f>
        <v/>
      </c>
      <c r="L119" s="7" t="str">
        <f>IF('RFQ-Input'!L118="","",'RFQ-Input'!L118)</f>
        <v/>
      </c>
      <c r="M119" s="7" t="str">
        <f>IF('RFQ-Input'!M118="","",'RFQ-Input'!M118)</f>
        <v/>
      </c>
      <c r="N119" s="7" t="str">
        <f>IF('RFQ-Input'!N118="","",'RFQ-Input'!N118)</f>
        <v/>
      </c>
      <c r="O119" s="7" t="str">
        <f>IF('RFQ-Input'!O118="","",'RFQ-Input'!O118)</f>
        <v/>
      </c>
      <c r="Q119" s="7"/>
      <c r="R119" s="7"/>
      <c r="S119" s="7"/>
      <c r="T119" s="7"/>
      <c r="U119" s="7"/>
      <c r="V119" s="7"/>
      <c r="X119" s="7"/>
      <c r="Y119" s="7"/>
      <c r="Z119" s="7"/>
      <c r="AA119" s="7" t="str">
        <f t="shared" si="7"/>
        <v/>
      </c>
      <c r="AB119" s="7"/>
      <c r="AC119" s="7"/>
      <c r="AQ119" s="7" t="str">
        <f t="shared" si="8"/>
        <v/>
      </c>
      <c r="AR119" s="7" t="str">
        <f t="shared" si="9"/>
        <v/>
      </c>
      <c r="AS119" s="7" t="str">
        <f t="shared" si="10"/>
        <v/>
      </c>
      <c r="AT119" s="7" t="str">
        <f t="shared" si="11"/>
        <v/>
      </c>
      <c r="AU119" s="7" t="str">
        <f t="shared" si="12"/>
        <v/>
      </c>
      <c r="AV119" s="7" t="str">
        <f t="shared" si="13"/>
        <v/>
      </c>
      <c r="AW119" s="7" t="str">
        <f>IF('RFQ-Input'!O118="","",'RFQ-Input'!O118)</f>
        <v/>
      </c>
      <c r="AX119" s="7" t="str">
        <f>IF('RFQ-Input'!S118="","",'RFQ-Input'!S118)</f>
        <v/>
      </c>
      <c r="AY119" s="7" t="str">
        <f>IF('RFQ-Input'!V118="","",'RFQ-Input'!V118)</f>
        <v/>
      </c>
      <c r="AZ119" s="7" t="str">
        <f>IF('RFQ-Input'!Y118="","",'RFQ-Input'!Y118)</f>
        <v/>
      </c>
      <c r="BA119" s="7" t="str">
        <f>IF('RFQ-Input'!AB118="","",'RFQ-Input'!AB118)</f>
        <v/>
      </c>
    </row>
    <row r="120" spans="1:53">
      <c r="A120" s="20">
        <v>116</v>
      </c>
      <c r="B120" s="7"/>
      <c r="C120" s="7" t="str">
        <f>IF('RFQ-Input'!C119="","",'RFQ-Input'!C119)</f>
        <v/>
      </c>
      <c r="D120" s="7" t="str">
        <f>IF('RFQ-Input'!D119="","",'RFQ-Input'!D119)</f>
        <v/>
      </c>
      <c r="E120" s="7" t="str">
        <f>IF('RFQ-Input'!E119="","",'RFQ-Input'!E119)</f>
        <v/>
      </c>
      <c r="F120" s="7" t="str">
        <f>IF('RFQ-Input'!F119="","",'RFQ-Input'!F119)</f>
        <v/>
      </c>
      <c r="G120" s="7" t="str">
        <f>IF('RFQ-Input'!G119="","",'RFQ-Input'!G119)</f>
        <v/>
      </c>
      <c r="H120" s="7" t="str">
        <f>IF('RFQ-Input'!H119="","",'RFQ-Input'!H119)</f>
        <v/>
      </c>
      <c r="I120" s="7" t="str">
        <f>IF('RFQ-Input'!I119="","",'RFQ-Input'!I119)</f>
        <v/>
      </c>
      <c r="J120" s="7" t="str">
        <f>IF('RFQ-Input'!J119="","",'RFQ-Input'!J119)</f>
        <v/>
      </c>
      <c r="K120" s="7" t="str">
        <f>IF('RFQ-Input'!K119="","",'RFQ-Input'!K119)</f>
        <v/>
      </c>
      <c r="L120" s="7" t="str">
        <f>IF('RFQ-Input'!L119="","",'RFQ-Input'!L119)</f>
        <v/>
      </c>
      <c r="M120" s="7" t="str">
        <f>IF('RFQ-Input'!M119="","",'RFQ-Input'!M119)</f>
        <v/>
      </c>
      <c r="N120" s="7" t="str">
        <f>IF('RFQ-Input'!N119="","",'RFQ-Input'!N119)</f>
        <v/>
      </c>
      <c r="O120" s="7" t="str">
        <f>IF('RFQ-Input'!O119="","",'RFQ-Input'!O119)</f>
        <v/>
      </c>
      <c r="Q120" s="7"/>
      <c r="R120" s="7"/>
      <c r="S120" s="7"/>
      <c r="T120" s="7"/>
      <c r="U120" s="7"/>
      <c r="V120" s="7"/>
      <c r="X120" s="7"/>
      <c r="Y120" s="7"/>
      <c r="Z120" s="7"/>
      <c r="AA120" s="7" t="str">
        <f t="shared" si="7"/>
        <v/>
      </c>
      <c r="AB120" s="7"/>
      <c r="AC120" s="7"/>
      <c r="AQ120" s="7" t="str">
        <f t="shared" si="8"/>
        <v/>
      </c>
      <c r="AR120" s="7" t="str">
        <f t="shared" si="9"/>
        <v/>
      </c>
      <c r="AS120" s="7" t="str">
        <f t="shared" si="10"/>
        <v/>
      </c>
      <c r="AT120" s="7" t="str">
        <f t="shared" si="11"/>
        <v/>
      </c>
      <c r="AU120" s="7" t="str">
        <f t="shared" si="12"/>
        <v/>
      </c>
      <c r="AV120" s="7" t="str">
        <f t="shared" si="13"/>
        <v/>
      </c>
      <c r="AW120" s="7" t="str">
        <f>IF('RFQ-Input'!O119="","",'RFQ-Input'!O119)</f>
        <v/>
      </c>
      <c r="AX120" s="7" t="str">
        <f>IF('RFQ-Input'!S119="","",'RFQ-Input'!S119)</f>
        <v/>
      </c>
      <c r="AY120" s="7" t="str">
        <f>IF('RFQ-Input'!V119="","",'RFQ-Input'!V119)</f>
        <v/>
      </c>
      <c r="AZ120" s="7" t="str">
        <f>IF('RFQ-Input'!Y119="","",'RFQ-Input'!Y119)</f>
        <v/>
      </c>
      <c r="BA120" s="7" t="str">
        <f>IF('RFQ-Input'!AB119="","",'RFQ-Input'!AB119)</f>
        <v/>
      </c>
    </row>
    <row r="121" spans="1:53">
      <c r="A121" s="20">
        <v>117</v>
      </c>
      <c r="B121" s="7"/>
      <c r="C121" s="7" t="str">
        <f>IF('RFQ-Input'!C120="","",'RFQ-Input'!C120)</f>
        <v/>
      </c>
      <c r="D121" s="7" t="str">
        <f>IF('RFQ-Input'!D120="","",'RFQ-Input'!D120)</f>
        <v/>
      </c>
      <c r="E121" s="7" t="str">
        <f>IF('RFQ-Input'!E120="","",'RFQ-Input'!E120)</f>
        <v/>
      </c>
      <c r="F121" s="7" t="str">
        <f>IF('RFQ-Input'!F120="","",'RFQ-Input'!F120)</f>
        <v/>
      </c>
      <c r="G121" s="7" t="str">
        <f>IF('RFQ-Input'!G120="","",'RFQ-Input'!G120)</f>
        <v/>
      </c>
      <c r="H121" s="7" t="str">
        <f>IF('RFQ-Input'!H120="","",'RFQ-Input'!H120)</f>
        <v/>
      </c>
      <c r="I121" s="7" t="str">
        <f>IF('RFQ-Input'!I120="","",'RFQ-Input'!I120)</f>
        <v/>
      </c>
      <c r="J121" s="7" t="str">
        <f>IF('RFQ-Input'!J120="","",'RFQ-Input'!J120)</f>
        <v/>
      </c>
      <c r="K121" s="7" t="str">
        <f>IF('RFQ-Input'!K120="","",'RFQ-Input'!K120)</f>
        <v/>
      </c>
      <c r="L121" s="7" t="str">
        <f>IF('RFQ-Input'!L120="","",'RFQ-Input'!L120)</f>
        <v/>
      </c>
      <c r="M121" s="7" t="str">
        <f>IF('RFQ-Input'!M120="","",'RFQ-Input'!M120)</f>
        <v/>
      </c>
      <c r="N121" s="7" t="str">
        <f>IF('RFQ-Input'!N120="","",'RFQ-Input'!N120)</f>
        <v/>
      </c>
      <c r="O121" s="7" t="str">
        <f>IF('RFQ-Input'!O120="","",'RFQ-Input'!O120)</f>
        <v/>
      </c>
      <c r="Q121" s="7"/>
      <c r="R121" s="7"/>
      <c r="S121" s="7"/>
      <c r="T121" s="7"/>
      <c r="U121" s="7"/>
      <c r="V121" s="7"/>
      <c r="X121" s="7"/>
      <c r="Y121" s="7"/>
      <c r="Z121" s="7"/>
      <c r="AA121" s="7" t="str">
        <f t="shared" si="7"/>
        <v/>
      </c>
      <c r="AB121" s="7"/>
      <c r="AC121" s="7"/>
      <c r="AQ121" s="7" t="str">
        <f t="shared" si="8"/>
        <v/>
      </c>
      <c r="AR121" s="7" t="str">
        <f t="shared" si="9"/>
        <v/>
      </c>
      <c r="AS121" s="7" t="str">
        <f t="shared" si="10"/>
        <v/>
      </c>
      <c r="AT121" s="7" t="str">
        <f t="shared" si="11"/>
        <v/>
      </c>
      <c r="AU121" s="7" t="str">
        <f t="shared" si="12"/>
        <v/>
      </c>
      <c r="AV121" s="7" t="str">
        <f t="shared" si="13"/>
        <v/>
      </c>
      <c r="AW121" s="7" t="str">
        <f>IF('RFQ-Input'!O120="","",'RFQ-Input'!O120)</f>
        <v/>
      </c>
      <c r="AX121" s="7" t="str">
        <f>IF('RFQ-Input'!S120="","",'RFQ-Input'!S120)</f>
        <v/>
      </c>
      <c r="AY121" s="7" t="str">
        <f>IF('RFQ-Input'!V120="","",'RFQ-Input'!V120)</f>
        <v/>
      </c>
      <c r="AZ121" s="7" t="str">
        <f>IF('RFQ-Input'!Y120="","",'RFQ-Input'!Y120)</f>
        <v/>
      </c>
      <c r="BA121" s="7" t="str">
        <f>IF('RFQ-Input'!AB120="","",'RFQ-Input'!AB120)</f>
        <v/>
      </c>
    </row>
    <row r="122" spans="1:53">
      <c r="A122" s="20">
        <v>118</v>
      </c>
      <c r="B122" s="7"/>
      <c r="C122" s="7" t="str">
        <f>IF('RFQ-Input'!C121="","",'RFQ-Input'!C121)</f>
        <v/>
      </c>
      <c r="D122" s="7" t="str">
        <f>IF('RFQ-Input'!D121="","",'RFQ-Input'!D121)</f>
        <v/>
      </c>
      <c r="E122" s="7" t="str">
        <f>IF('RFQ-Input'!E121="","",'RFQ-Input'!E121)</f>
        <v/>
      </c>
      <c r="F122" s="7" t="str">
        <f>IF('RFQ-Input'!F121="","",'RFQ-Input'!F121)</f>
        <v/>
      </c>
      <c r="G122" s="7" t="str">
        <f>IF('RFQ-Input'!G121="","",'RFQ-Input'!G121)</f>
        <v/>
      </c>
      <c r="H122" s="7" t="str">
        <f>IF('RFQ-Input'!H121="","",'RFQ-Input'!H121)</f>
        <v/>
      </c>
      <c r="I122" s="7" t="str">
        <f>IF('RFQ-Input'!I121="","",'RFQ-Input'!I121)</f>
        <v/>
      </c>
      <c r="J122" s="7" t="str">
        <f>IF('RFQ-Input'!J121="","",'RFQ-Input'!J121)</f>
        <v/>
      </c>
      <c r="K122" s="7" t="str">
        <f>IF('RFQ-Input'!K121="","",'RFQ-Input'!K121)</f>
        <v/>
      </c>
      <c r="L122" s="7" t="str">
        <f>IF('RFQ-Input'!L121="","",'RFQ-Input'!L121)</f>
        <v/>
      </c>
      <c r="M122" s="7" t="str">
        <f>IF('RFQ-Input'!M121="","",'RFQ-Input'!M121)</f>
        <v/>
      </c>
      <c r="N122" s="7" t="str">
        <f>IF('RFQ-Input'!N121="","",'RFQ-Input'!N121)</f>
        <v/>
      </c>
      <c r="O122" s="7" t="str">
        <f>IF('RFQ-Input'!O121="","",'RFQ-Input'!O121)</f>
        <v/>
      </c>
      <c r="Q122" s="7"/>
      <c r="R122" s="7"/>
      <c r="S122" s="7"/>
      <c r="T122" s="7"/>
      <c r="U122" s="7"/>
      <c r="V122" s="7"/>
      <c r="X122" s="7"/>
      <c r="Y122" s="7"/>
      <c r="Z122" s="7"/>
      <c r="AA122" s="7" t="str">
        <f t="shared" si="7"/>
        <v/>
      </c>
      <c r="AB122" s="7"/>
      <c r="AC122" s="7"/>
      <c r="AQ122" s="7" t="str">
        <f t="shared" si="8"/>
        <v/>
      </c>
      <c r="AR122" s="7" t="str">
        <f t="shared" si="9"/>
        <v/>
      </c>
      <c r="AS122" s="7" t="str">
        <f t="shared" si="10"/>
        <v/>
      </c>
      <c r="AT122" s="7" t="str">
        <f t="shared" si="11"/>
        <v/>
      </c>
      <c r="AU122" s="7" t="str">
        <f t="shared" si="12"/>
        <v/>
      </c>
      <c r="AV122" s="7" t="str">
        <f t="shared" si="13"/>
        <v/>
      </c>
      <c r="AW122" s="7" t="str">
        <f>IF('RFQ-Input'!O121="","",'RFQ-Input'!O121)</f>
        <v/>
      </c>
      <c r="AX122" s="7" t="str">
        <f>IF('RFQ-Input'!S121="","",'RFQ-Input'!S121)</f>
        <v/>
      </c>
      <c r="AY122" s="7" t="str">
        <f>IF('RFQ-Input'!V121="","",'RFQ-Input'!V121)</f>
        <v/>
      </c>
      <c r="AZ122" s="7" t="str">
        <f>IF('RFQ-Input'!Y121="","",'RFQ-Input'!Y121)</f>
        <v/>
      </c>
      <c r="BA122" s="7" t="str">
        <f>IF('RFQ-Input'!AB121="","",'RFQ-Input'!AB121)</f>
        <v/>
      </c>
    </row>
    <row r="123" spans="1:53">
      <c r="A123" s="20">
        <v>119</v>
      </c>
      <c r="B123" s="7"/>
      <c r="C123" s="7" t="str">
        <f>IF('RFQ-Input'!C122="","",'RFQ-Input'!C122)</f>
        <v/>
      </c>
      <c r="D123" s="7" t="str">
        <f>IF('RFQ-Input'!D122="","",'RFQ-Input'!D122)</f>
        <v/>
      </c>
      <c r="E123" s="7" t="str">
        <f>IF('RFQ-Input'!E122="","",'RFQ-Input'!E122)</f>
        <v/>
      </c>
      <c r="F123" s="7" t="str">
        <f>IF('RFQ-Input'!F122="","",'RFQ-Input'!F122)</f>
        <v/>
      </c>
      <c r="G123" s="7" t="str">
        <f>IF('RFQ-Input'!G122="","",'RFQ-Input'!G122)</f>
        <v/>
      </c>
      <c r="H123" s="7" t="str">
        <f>IF('RFQ-Input'!H122="","",'RFQ-Input'!H122)</f>
        <v/>
      </c>
      <c r="I123" s="7" t="str">
        <f>IF('RFQ-Input'!I122="","",'RFQ-Input'!I122)</f>
        <v/>
      </c>
      <c r="J123" s="7" t="str">
        <f>IF('RFQ-Input'!J122="","",'RFQ-Input'!J122)</f>
        <v/>
      </c>
      <c r="K123" s="7" t="str">
        <f>IF('RFQ-Input'!K122="","",'RFQ-Input'!K122)</f>
        <v/>
      </c>
      <c r="L123" s="7" t="str">
        <f>IF('RFQ-Input'!L122="","",'RFQ-Input'!L122)</f>
        <v/>
      </c>
      <c r="M123" s="7" t="str">
        <f>IF('RFQ-Input'!M122="","",'RFQ-Input'!M122)</f>
        <v/>
      </c>
      <c r="N123" s="7" t="str">
        <f>IF('RFQ-Input'!N122="","",'RFQ-Input'!N122)</f>
        <v/>
      </c>
      <c r="O123" s="7" t="str">
        <f>IF('RFQ-Input'!O122="","",'RFQ-Input'!O122)</f>
        <v/>
      </c>
      <c r="Q123" s="7"/>
      <c r="R123" s="7"/>
      <c r="S123" s="7"/>
      <c r="T123" s="7"/>
      <c r="U123" s="7"/>
      <c r="V123" s="7"/>
      <c r="X123" s="7"/>
      <c r="Y123" s="7"/>
      <c r="Z123" s="7"/>
      <c r="AA123" s="7" t="str">
        <f t="shared" si="7"/>
        <v/>
      </c>
      <c r="AB123" s="7"/>
      <c r="AC123" s="7"/>
      <c r="AQ123" s="7" t="str">
        <f t="shared" si="8"/>
        <v/>
      </c>
      <c r="AR123" s="7" t="str">
        <f t="shared" si="9"/>
        <v/>
      </c>
      <c r="AS123" s="7" t="str">
        <f t="shared" si="10"/>
        <v/>
      </c>
      <c r="AT123" s="7" t="str">
        <f t="shared" si="11"/>
        <v/>
      </c>
      <c r="AU123" s="7" t="str">
        <f t="shared" si="12"/>
        <v/>
      </c>
      <c r="AV123" s="7" t="str">
        <f t="shared" si="13"/>
        <v/>
      </c>
      <c r="AW123" s="7" t="str">
        <f>IF('RFQ-Input'!O122="","",'RFQ-Input'!O122)</f>
        <v/>
      </c>
      <c r="AX123" s="7" t="str">
        <f>IF('RFQ-Input'!S122="","",'RFQ-Input'!S122)</f>
        <v/>
      </c>
      <c r="AY123" s="7" t="str">
        <f>IF('RFQ-Input'!V122="","",'RFQ-Input'!V122)</f>
        <v/>
      </c>
      <c r="AZ123" s="7" t="str">
        <f>IF('RFQ-Input'!Y122="","",'RFQ-Input'!Y122)</f>
        <v/>
      </c>
      <c r="BA123" s="7" t="str">
        <f>IF('RFQ-Input'!AB122="","",'RFQ-Input'!AB122)</f>
        <v/>
      </c>
    </row>
    <row r="124" spans="1:53">
      <c r="A124" s="20">
        <v>120</v>
      </c>
      <c r="B124" s="7"/>
      <c r="C124" s="7" t="str">
        <f>IF('RFQ-Input'!C123="","",'RFQ-Input'!C123)</f>
        <v/>
      </c>
      <c r="D124" s="7" t="str">
        <f>IF('RFQ-Input'!D123="","",'RFQ-Input'!D123)</f>
        <v/>
      </c>
      <c r="E124" s="7" t="str">
        <f>IF('RFQ-Input'!E123="","",'RFQ-Input'!E123)</f>
        <v/>
      </c>
      <c r="F124" s="7" t="str">
        <f>IF('RFQ-Input'!F123="","",'RFQ-Input'!F123)</f>
        <v/>
      </c>
      <c r="G124" s="7" t="str">
        <f>IF('RFQ-Input'!G123="","",'RFQ-Input'!G123)</f>
        <v/>
      </c>
      <c r="H124" s="7" t="str">
        <f>IF('RFQ-Input'!H123="","",'RFQ-Input'!H123)</f>
        <v/>
      </c>
      <c r="I124" s="7" t="str">
        <f>IF('RFQ-Input'!I123="","",'RFQ-Input'!I123)</f>
        <v/>
      </c>
      <c r="J124" s="7" t="str">
        <f>IF('RFQ-Input'!J123="","",'RFQ-Input'!J123)</f>
        <v/>
      </c>
      <c r="K124" s="7" t="str">
        <f>IF('RFQ-Input'!K123="","",'RFQ-Input'!K123)</f>
        <v/>
      </c>
      <c r="L124" s="7" t="str">
        <f>IF('RFQ-Input'!L123="","",'RFQ-Input'!L123)</f>
        <v/>
      </c>
      <c r="M124" s="7" t="str">
        <f>IF('RFQ-Input'!M123="","",'RFQ-Input'!M123)</f>
        <v/>
      </c>
      <c r="N124" s="7" t="str">
        <f>IF('RFQ-Input'!N123="","",'RFQ-Input'!N123)</f>
        <v/>
      </c>
      <c r="O124" s="7" t="str">
        <f>IF('RFQ-Input'!O123="","",'RFQ-Input'!O123)</f>
        <v/>
      </c>
      <c r="Q124" s="7"/>
      <c r="R124" s="7"/>
      <c r="S124" s="7"/>
      <c r="T124" s="7"/>
      <c r="U124" s="7"/>
      <c r="V124" s="7"/>
      <c r="X124" s="7"/>
      <c r="Y124" s="7"/>
      <c r="Z124" s="7"/>
      <c r="AA124" s="7" t="str">
        <f t="shared" si="7"/>
        <v/>
      </c>
      <c r="AB124" s="7"/>
      <c r="AC124" s="7"/>
      <c r="AQ124" s="7" t="str">
        <f t="shared" si="8"/>
        <v/>
      </c>
      <c r="AR124" s="7" t="str">
        <f t="shared" si="9"/>
        <v/>
      </c>
      <c r="AS124" s="7" t="str">
        <f t="shared" si="10"/>
        <v/>
      </c>
      <c r="AT124" s="7" t="str">
        <f t="shared" si="11"/>
        <v/>
      </c>
      <c r="AU124" s="7" t="str">
        <f t="shared" si="12"/>
        <v/>
      </c>
      <c r="AV124" s="7" t="str">
        <f t="shared" si="13"/>
        <v/>
      </c>
      <c r="AW124" s="7" t="str">
        <f>IF('RFQ-Input'!O123="","",'RFQ-Input'!O123)</f>
        <v/>
      </c>
      <c r="AX124" s="7" t="str">
        <f>IF('RFQ-Input'!S123="","",'RFQ-Input'!S123)</f>
        <v/>
      </c>
      <c r="AY124" s="7" t="str">
        <f>IF('RFQ-Input'!V123="","",'RFQ-Input'!V123)</f>
        <v/>
      </c>
      <c r="AZ124" s="7" t="str">
        <f>IF('RFQ-Input'!Y123="","",'RFQ-Input'!Y123)</f>
        <v/>
      </c>
      <c r="BA124" s="7" t="str">
        <f>IF('RFQ-Input'!AB123="","",'RFQ-Input'!AB123)</f>
        <v/>
      </c>
    </row>
    <row r="125" spans="1:53">
      <c r="A125" s="20">
        <v>121</v>
      </c>
      <c r="B125" s="7"/>
      <c r="C125" s="7" t="str">
        <f>IF('RFQ-Input'!C124="","",'RFQ-Input'!C124)</f>
        <v/>
      </c>
      <c r="D125" s="7" t="str">
        <f>IF('RFQ-Input'!D124="","",'RFQ-Input'!D124)</f>
        <v/>
      </c>
      <c r="E125" s="7" t="str">
        <f>IF('RFQ-Input'!E124="","",'RFQ-Input'!E124)</f>
        <v/>
      </c>
      <c r="F125" s="7" t="str">
        <f>IF('RFQ-Input'!F124="","",'RFQ-Input'!F124)</f>
        <v/>
      </c>
      <c r="G125" s="7" t="str">
        <f>IF('RFQ-Input'!G124="","",'RFQ-Input'!G124)</f>
        <v/>
      </c>
      <c r="H125" s="7" t="str">
        <f>IF('RFQ-Input'!H124="","",'RFQ-Input'!H124)</f>
        <v/>
      </c>
      <c r="I125" s="7" t="str">
        <f>IF('RFQ-Input'!I124="","",'RFQ-Input'!I124)</f>
        <v/>
      </c>
      <c r="J125" s="7" t="str">
        <f>IF('RFQ-Input'!J124="","",'RFQ-Input'!J124)</f>
        <v/>
      </c>
      <c r="K125" s="7" t="str">
        <f>IF('RFQ-Input'!K124="","",'RFQ-Input'!K124)</f>
        <v/>
      </c>
      <c r="L125" s="7" t="str">
        <f>IF('RFQ-Input'!L124="","",'RFQ-Input'!L124)</f>
        <v/>
      </c>
      <c r="M125" s="7" t="str">
        <f>IF('RFQ-Input'!M124="","",'RFQ-Input'!M124)</f>
        <v/>
      </c>
      <c r="N125" s="7" t="str">
        <f>IF('RFQ-Input'!N124="","",'RFQ-Input'!N124)</f>
        <v/>
      </c>
      <c r="O125" s="7" t="str">
        <f>IF('RFQ-Input'!O124="","",'RFQ-Input'!O124)</f>
        <v/>
      </c>
      <c r="Q125" s="7"/>
      <c r="R125" s="7"/>
      <c r="S125" s="7"/>
      <c r="T125" s="7"/>
      <c r="U125" s="7"/>
      <c r="V125" s="7"/>
      <c r="X125" s="7"/>
      <c r="Y125" s="7"/>
      <c r="Z125" s="7"/>
      <c r="AA125" s="7" t="str">
        <f t="shared" si="7"/>
        <v/>
      </c>
      <c r="AB125" s="7"/>
      <c r="AC125" s="7"/>
      <c r="AQ125" s="7" t="str">
        <f t="shared" si="8"/>
        <v/>
      </c>
      <c r="AR125" s="7" t="str">
        <f t="shared" si="9"/>
        <v/>
      </c>
      <c r="AS125" s="7" t="str">
        <f t="shared" si="10"/>
        <v/>
      </c>
      <c r="AT125" s="7" t="str">
        <f t="shared" si="11"/>
        <v/>
      </c>
      <c r="AU125" s="7" t="str">
        <f t="shared" si="12"/>
        <v/>
      </c>
      <c r="AV125" s="7" t="str">
        <f t="shared" si="13"/>
        <v/>
      </c>
      <c r="AW125" s="7" t="str">
        <f>IF('RFQ-Input'!O124="","",'RFQ-Input'!O124)</f>
        <v/>
      </c>
      <c r="AX125" s="7" t="str">
        <f>IF('RFQ-Input'!S124="","",'RFQ-Input'!S124)</f>
        <v/>
      </c>
      <c r="AY125" s="7" t="str">
        <f>IF('RFQ-Input'!V124="","",'RFQ-Input'!V124)</f>
        <v/>
      </c>
      <c r="AZ125" s="7" t="str">
        <f>IF('RFQ-Input'!Y124="","",'RFQ-Input'!Y124)</f>
        <v/>
      </c>
      <c r="BA125" s="7" t="str">
        <f>IF('RFQ-Input'!AB124="","",'RFQ-Input'!AB124)</f>
        <v/>
      </c>
    </row>
    <row r="126" spans="1:53">
      <c r="A126" s="20">
        <v>122</v>
      </c>
      <c r="B126" s="7"/>
      <c r="C126" s="7" t="str">
        <f>IF('RFQ-Input'!C125="","",'RFQ-Input'!C125)</f>
        <v/>
      </c>
      <c r="D126" s="7" t="str">
        <f>IF('RFQ-Input'!D125="","",'RFQ-Input'!D125)</f>
        <v/>
      </c>
      <c r="E126" s="7" t="str">
        <f>IF('RFQ-Input'!E125="","",'RFQ-Input'!E125)</f>
        <v/>
      </c>
      <c r="F126" s="7" t="str">
        <f>IF('RFQ-Input'!F125="","",'RFQ-Input'!F125)</f>
        <v/>
      </c>
      <c r="G126" s="7" t="str">
        <f>IF('RFQ-Input'!G125="","",'RFQ-Input'!G125)</f>
        <v/>
      </c>
      <c r="H126" s="7" t="str">
        <f>IF('RFQ-Input'!H125="","",'RFQ-Input'!H125)</f>
        <v/>
      </c>
      <c r="I126" s="7" t="str">
        <f>IF('RFQ-Input'!I125="","",'RFQ-Input'!I125)</f>
        <v/>
      </c>
      <c r="J126" s="7" t="str">
        <f>IF('RFQ-Input'!J125="","",'RFQ-Input'!J125)</f>
        <v/>
      </c>
      <c r="K126" s="7" t="str">
        <f>IF('RFQ-Input'!K125="","",'RFQ-Input'!K125)</f>
        <v/>
      </c>
      <c r="L126" s="7" t="str">
        <f>IF('RFQ-Input'!L125="","",'RFQ-Input'!L125)</f>
        <v/>
      </c>
      <c r="M126" s="7" t="str">
        <f>IF('RFQ-Input'!M125="","",'RFQ-Input'!M125)</f>
        <v/>
      </c>
      <c r="N126" s="7" t="str">
        <f>IF('RFQ-Input'!N125="","",'RFQ-Input'!N125)</f>
        <v/>
      </c>
      <c r="O126" s="7" t="str">
        <f>IF('RFQ-Input'!O125="","",'RFQ-Input'!O125)</f>
        <v/>
      </c>
      <c r="Q126" s="7"/>
      <c r="R126" s="7"/>
      <c r="S126" s="7"/>
      <c r="T126" s="7"/>
      <c r="U126" s="7"/>
      <c r="V126" s="7"/>
      <c r="X126" s="7"/>
      <c r="Y126" s="7"/>
      <c r="Z126" s="7"/>
      <c r="AA126" s="7" t="str">
        <f t="shared" si="7"/>
        <v/>
      </c>
      <c r="AB126" s="7"/>
      <c r="AC126" s="7"/>
      <c r="AQ126" s="7" t="str">
        <f t="shared" si="8"/>
        <v/>
      </c>
      <c r="AR126" s="7" t="str">
        <f t="shared" si="9"/>
        <v/>
      </c>
      <c r="AS126" s="7" t="str">
        <f t="shared" si="10"/>
        <v/>
      </c>
      <c r="AT126" s="7" t="str">
        <f t="shared" si="11"/>
        <v/>
      </c>
      <c r="AU126" s="7" t="str">
        <f t="shared" si="12"/>
        <v/>
      </c>
      <c r="AV126" s="7" t="str">
        <f t="shared" si="13"/>
        <v/>
      </c>
      <c r="AW126" s="7" t="str">
        <f>IF('RFQ-Input'!O125="","",'RFQ-Input'!O125)</f>
        <v/>
      </c>
      <c r="AX126" s="7" t="str">
        <f>IF('RFQ-Input'!S125="","",'RFQ-Input'!S125)</f>
        <v/>
      </c>
      <c r="AY126" s="7" t="str">
        <f>IF('RFQ-Input'!V125="","",'RFQ-Input'!V125)</f>
        <v/>
      </c>
      <c r="AZ126" s="7" t="str">
        <f>IF('RFQ-Input'!Y125="","",'RFQ-Input'!Y125)</f>
        <v/>
      </c>
      <c r="BA126" s="7" t="str">
        <f>IF('RFQ-Input'!AB125="","",'RFQ-Input'!AB125)</f>
        <v/>
      </c>
    </row>
    <row r="127" spans="1:53">
      <c r="A127" s="20">
        <v>123</v>
      </c>
      <c r="B127" s="7"/>
      <c r="C127" s="7" t="str">
        <f>IF('RFQ-Input'!C126="","",'RFQ-Input'!C126)</f>
        <v/>
      </c>
      <c r="D127" s="7" t="str">
        <f>IF('RFQ-Input'!D126="","",'RFQ-Input'!D126)</f>
        <v/>
      </c>
      <c r="E127" s="7" t="str">
        <f>IF('RFQ-Input'!E126="","",'RFQ-Input'!E126)</f>
        <v/>
      </c>
      <c r="F127" s="7" t="str">
        <f>IF('RFQ-Input'!F126="","",'RFQ-Input'!F126)</f>
        <v/>
      </c>
      <c r="G127" s="7" t="str">
        <f>IF('RFQ-Input'!G126="","",'RFQ-Input'!G126)</f>
        <v/>
      </c>
      <c r="H127" s="7" t="str">
        <f>IF('RFQ-Input'!H126="","",'RFQ-Input'!H126)</f>
        <v/>
      </c>
      <c r="I127" s="7" t="str">
        <f>IF('RFQ-Input'!I126="","",'RFQ-Input'!I126)</f>
        <v/>
      </c>
      <c r="J127" s="7" t="str">
        <f>IF('RFQ-Input'!J126="","",'RFQ-Input'!J126)</f>
        <v/>
      </c>
      <c r="K127" s="7" t="str">
        <f>IF('RFQ-Input'!K126="","",'RFQ-Input'!K126)</f>
        <v/>
      </c>
      <c r="L127" s="7" t="str">
        <f>IF('RFQ-Input'!L126="","",'RFQ-Input'!L126)</f>
        <v/>
      </c>
      <c r="M127" s="7" t="str">
        <f>IF('RFQ-Input'!M126="","",'RFQ-Input'!M126)</f>
        <v/>
      </c>
      <c r="N127" s="7" t="str">
        <f>IF('RFQ-Input'!N126="","",'RFQ-Input'!N126)</f>
        <v/>
      </c>
      <c r="O127" s="7" t="str">
        <f>IF('RFQ-Input'!O126="","",'RFQ-Input'!O126)</f>
        <v/>
      </c>
      <c r="Q127" s="7"/>
      <c r="R127" s="7"/>
      <c r="S127" s="7"/>
      <c r="T127" s="7"/>
      <c r="U127" s="7"/>
      <c r="V127" s="7"/>
      <c r="X127" s="7"/>
      <c r="Y127" s="7"/>
      <c r="Z127" s="7"/>
      <c r="AA127" s="7" t="str">
        <f t="shared" si="7"/>
        <v/>
      </c>
      <c r="AB127" s="7"/>
      <c r="AC127" s="7"/>
      <c r="AQ127" s="7" t="str">
        <f t="shared" si="8"/>
        <v/>
      </c>
      <c r="AR127" s="7" t="str">
        <f t="shared" si="9"/>
        <v/>
      </c>
      <c r="AS127" s="7" t="str">
        <f t="shared" si="10"/>
        <v/>
      </c>
      <c r="AT127" s="7" t="str">
        <f t="shared" si="11"/>
        <v/>
      </c>
      <c r="AU127" s="7" t="str">
        <f t="shared" si="12"/>
        <v/>
      </c>
      <c r="AV127" s="7" t="str">
        <f t="shared" si="13"/>
        <v/>
      </c>
      <c r="AW127" s="7" t="str">
        <f>IF('RFQ-Input'!O126="","",'RFQ-Input'!O126)</f>
        <v/>
      </c>
      <c r="AX127" s="7" t="str">
        <f>IF('RFQ-Input'!S126="","",'RFQ-Input'!S126)</f>
        <v/>
      </c>
      <c r="AY127" s="7" t="str">
        <f>IF('RFQ-Input'!V126="","",'RFQ-Input'!V126)</f>
        <v/>
      </c>
      <c r="AZ127" s="7" t="str">
        <f>IF('RFQ-Input'!Y126="","",'RFQ-Input'!Y126)</f>
        <v/>
      </c>
      <c r="BA127" s="7" t="str">
        <f>IF('RFQ-Input'!AB126="","",'RFQ-Input'!AB126)</f>
        <v/>
      </c>
    </row>
    <row r="128" spans="1:53">
      <c r="A128" s="20">
        <v>124</v>
      </c>
      <c r="B128" s="7"/>
      <c r="C128" s="7" t="str">
        <f>IF('RFQ-Input'!C127="","",'RFQ-Input'!C127)</f>
        <v/>
      </c>
      <c r="D128" s="7" t="str">
        <f>IF('RFQ-Input'!D127="","",'RFQ-Input'!D127)</f>
        <v/>
      </c>
      <c r="E128" s="7" t="str">
        <f>IF('RFQ-Input'!E127="","",'RFQ-Input'!E127)</f>
        <v/>
      </c>
      <c r="F128" s="7" t="str">
        <f>IF('RFQ-Input'!F127="","",'RFQ-Input'!F127)</f>
        <v/>
      </c>
      <c r="G128" s="7" t="str">
        <f>IF('RFQ-Input'!G127="","",'RFQ-Input'!G127)</f>
        <v/>
      </c>
      <c r="H128" s="7" t="str">
        <f>IF('RFQ-Input'!H127="","",'RFQ-Input'!H127)</f>
        <v/>
      </c>
      <c r="I128" s="7" t="str">
        <f>IF('RFQ-Input'!I127="","",'RFQ-Input'!I127)</f>
        <v/>
      </c>
      <c r="J128" s="7" t="str">
        <f>IF('RFQ-Input'!J127="","",'RFQ-Input'!J127)</f>
        <v/>
      </c>
      <c r="K128" s="7" t="str">
        <f>IF('RFQ-Input'!K127="","",'RFQ-Input'!K127)</f>
        <v/>
      </c>
      <c r="L128" s="7" t="str">
        <f>IF('RFQ-Input'!L127="","",'RFQ-Input'!L127)</f>
        <v/>
      </c>
      <c r="M128" s="7" t="str">
        <f>IF('RFQ-Input'!M127="","",'RFQ-Input'!M127)</f>
        <v/>
      </c>
      <c r="N128" s="7" t="str">
        <f>IF('RFQ-Input'!N127="","",'RFQ-Input'!N127)</f>
        <v/>
      </c>
      <c r="O128" s="7" t="str">
        <f>IF('RFQ-Input'!O127="","",'RFQ-Input'!O127)</f>
        <v/>
      </c>
      <c r="Q128" s="7"/>
      <c r="R128" s="7"/>
      <c r="S128" s="7"/>
      <c r="T128" s="7"/>
      <c r="U128" s="7"/>
      <c r="V128" s="7"/>
      <c r="X128" s="7"/>
      <c r="Y128" s="7"/>
      <c r="Z128" s="7"/>
      <c r="AA128" s="7" t="str">
        <f t="shared" si="7"/>
        <v/>
      </c>
      <c r="AB128" s="7"/>
      <c r="AC128" s="7"/>
      <c r="AQ128" s="7" t="str">
        <f t="shared" si="8"/>
        <v/>
      </c>
      <c r="AR128" s="7" t="str">
        <f t="shared" si="9"/>
        <v/>
      </c>
      <c r="AS128" s="7" t="str">
        <f t="shared" si="10"/>
        <v/>
      </c>
      <c r="AT128" s="7" t="str">
        <f t="shared" si="11"/>
        <v/>
      </c>
      <c r="AU128" s="7" t="str">
        <f t="shared" si="12"/>
        <v/>
      </c>
      <c r="AV128" s="7" t="str">
        <f t="shared" si="13"/>
        <v/>
      </c>
      <c r="AW128" s="7" t="str">
        <f>IF('RFQ-Input'!O127="","",'RFQ-Input'!O127)</f>
        <v/>
      </c>
      <c r="AX128" s="7" t="str">
        <f>IF('RFQ-Input'!S127="","",'RFQ-Input'!S127)</f>
        <v/>
      </c>
      <c r="AY128" s="7" t="str">
        <f>IF('RFQ-Input'!V127="","",'RFQ-Input'!V127)</f>
        <v/>
      </c>
      <c r="AZ128" s="7" t="str">
        <f>IF('RFQ-Input'!Y127="","",'RFQ-Input'!Y127)</f>
        <v/>
      </c>
      <c r="BA128" s="7" t="str">
        <f>IF('RFQ-Input'!AB127="","",'RFQ-Input'!AB127)</f>
        <v/>
      </c>
    </row>
    <row r="129" spans="1:53">
      <c r="A129" s="20">
        <v>125</v>
      </c>
      <c r="B129" s="7"/>
      <c r="C129" s="7" t="str">
        <f>IF('RFQ-Input'!C128="","",'RFQ-Input'!C128)</f>
        <v/>
      </c>
      <c r="D129" s="7" t="str">
        <f>IF('RFQ-Input'!D128="","",'RFQ-Input'!D128)</f>
        <v/>
      </c>
      <c r="E129" s="7" t="str">
        <f>IF('RFQ-Input'!E128="","",'RFQ-Input'!E128)</f>
        <v/>
      </c>
      <c r="F129" s="7" t="str">
        <f>IF('RFQ-Input'!F128="","",'RFQ-Input'!F128)</f>
        <v/>
      </c>
      <c r="G129" s="7" t="str">
        <f>IF('RFQ-Input'!G128="","",'RFQ-Input'!G128)</f>
        <v/>
      </c>
      <c r="H129" s="7" t="str">
        <f>IF('RFQ-Input'!H128="","",'RFQ-Input'!H128)</f>
        <v/>
      </c>
      <c r="I129" s="7" t="str">
        <f>IF('RFQ-Input'!I128="","",'RFQ-Input'!I128)</f>
        <v/>
      </c>
      <c r="J129" s="7" t="str">
        <f>IF('RFQ-Input'!J128="","",'RFQ-Input'!J128)</f>
        <v/>
      </c>
      <c r="K129" s="7" t="str">
        <f>IF('RFQ-Input'!K128="","",'RFQ-Input'!K128)</f>
        <v/>
      </c>
      <c r="L129" s="7" t="str">
        <f>IF('RFQ-Input'!L128="","",'RFQ-Input'!L128)</f>
        <v/>
      </c>
      <c r="M129" s="7" t="str">
        <f>IF('RFQ-Input'!M128="","",'RFQ-Input'!M128)</f>
        <v/>
      </c>
      <c r="N129" s="7" t="str">
        <f>IF('RFQ-Input'!N128="","",'RFQ-Input'!N128)</f>
        <v/>
      </c>
      <c r="O129" s="7" t="str">
        <f>IF('RFQ-Input'!O128="","",'RFQ-Input'!O128)</f>
        <v/>
      </c>
      <c r="Q129" s="7"/>
      <c r="R129" s="7"/>
      <c r="S129" s="7"/>
      <c r="T129" s="7"/>
      <c r="U129" s="7"/>
      <c r="V129" s="7"/>
      <c r="X129" s="7"/>
      <c r="Y129" s="7"/>
      <c r="Z129" s="7"/>
      <c r="AA129" s="7" t="str">
        <f t="shared" si="7"/>
        <v/>
      </c>
      <c r="AB129" s="7"/>
      <c r="AC129" s="7"/>
      <c r="AQ129" s="7" t="str">
        <f t="shared" si="8"/>
        <v/>
      </c>
      <c r="AR129" s="7" t="str">
        <f t="shared" si="9"/>
        <v/>
      </c>
      <c r="AS129" s="7" t="str">
        <f t="shared" si="10"/>
        <v/>
      </c>
      <c r="AT129" s="7" t="str">
        <f t="shared" si="11"/>
        <v/>
      </c>
      <c r="AU129" s="7" t="str">
        <f t="shared" si="12"/>
        <v/>
      </c>
      <c r="AV129" s="7" t="str">
        <f t="shared" si="13"/>
        <v/>
      </c>
      <c r="AW129" s="7" t="str">
        <f>IF('RFQ-Input'!O128="","",'RFQ-Input'!O128)</f>
        <v/>
      </c>
      <c r="AX129" s="7" t="str">
        <f>IF('RFQ-Input'!S128="","",'RFQ-Input'!S128)</f>
        <v/>
      </c>
      <c r="AY129" s="7" t="str">
        <f>IF('RFQ-Input'!V128="","",'RFQ-Input'!V128)</f>
        <v/>
      </c>
      <c r="AZ129" s="7" t="str">
        <f>IF('RFQ-Input'!Y128="","",'RFQ-Input'!Y128)</f>
        <v/>
      </c>
      <c r="BA129" s="7" t="str">
        <f>IF('RFQ-Input'!AB128="","",'RFQ-Input'!AB128)</f>
        <v/>
      </c>
    </row>
    <row r="130" spans="1:53">
      <c r="A130" s="20">
        <v>126</v>
      </c>
      <c r="B130" s="7"/>
      <c r="C130" s="7" t="str">
        <f>IF('RFQ-Input'!C129="","",'RFQ-Input'!C129)</f>
        <v/>
      </c>
      <c r="D130" s="7" t="str">
        <f>IF('RFQ-Input'!D129="","",'RFQ-Input'!D129)</f>
        <v/>
      </c>
      <c r="E130" s="7" t="str">
        <f>IF('RFQ-Input'!E129="","",'RFQ-Input'!E129)</f>
        <v/>
      </c>
      <c r="F130" s="7" t="str">
        <f>IF('RFQ-Input'!F129="","",'RFQ-Input'!F129)</f>
        <v/>
      </c>
      <c r="G130" s="7" t="str">
        <f>IF('RFQ-Input'!G129="","",'RFQ-Input'!G129)</f>
        <v/>
      </c>
      <c r="H130" s="7" t="str">
        <f>IF('RFQ-Input'!H129="","",'RFQ-Input'!H129)</f>
        <v/>
      </c>
      <c r="I130" s="7" t="str">
        <f>IF('RFQ-Input'!I129="","",'RFQ-Input'!I129)</f>
        <v/>
      </c>
      <c r="J130" s="7" t="str">
        <f>IF('RFQ-Input'!J129="","",'RFQ-Input'!J129)</f>
        <v/>
      </c>
      <c r="K130" s="7" t="str">
        <f>IF('RFQ-Input'!K129="","",'RFQ-Input'!K129)</f>
        <v/>
      </c>
      <c r="L130" s="7" t="str">
        <f>IF('RFQ-Input'!L129="","",'RFQ-Input'!L129)</f>
        <v/>
      </c>
      <c r="M130" s="7" t="str">
        <f>IF('RFQ-Input'!M129="","",'RFQ-Input'!M129)</f>
        <v/>
      </c>
      <c r="N130" s="7" t="str">
        <f>IF('RFQ-Input'!N129="","",'RFQ-Input'!N129)</f>
        <v/>
      </c>
      <c r="O130" s="7" t="str">
        <f>IF('RFQ-Input'!O129="","",'RFQ-Input'!O129)</f>
        <v/>
      </c>
      <c r="Q130" s="7"/>
      <c r="R130" s="7"/>
      <c r="S130" s="7"/>
      <c r="T130" s="7"/>
      <c r="U130" s="7"/>
      <c r="V130" s="7"/>
      <c r="X130" s="7"/>
      <c r="Y130" s="7"/>
      <c r="Z130" s="7"/>
      <c r="AA130" s="7" t="str">
        <f t="shared" si="7"/>
        <v/>
      </c>
      <c r="AB130" s="7"/>
      <c r="AC130" s="7"/>
      <c r="AQ130" s="7" t="str">
        <f t="shared" si="8"/>
        <v/>
      </c>
      <c r="AR130" s="7" t="str">
        <f t="shared" si="9"/>
        <v/>
      </c>
      <c r="AS130" s="7" t="str">
        <f t="shared" si="10"/>
        <v/>
      </c>
      <c r="AT130" s="7" t="str">
        <f t="shared" si="11"/>
        <v/>
      </c>
      <c r="AU130" s="7" t="str">
        <f t="shared" si="12"/>
        <v/>
      </c>
      <c r="AV130" s="7" t="str">
        <f t="shared" si="13"/>
        <v/>
      </c>
      <c r="AW130" s="7" t="str">
        <f>IF('RFQ-Input'!O129="","",'RFQ-Input'!O129)</f>
        <v/>
      </c>
      <c r="AX130" s="7" t="str">
        <f>IF('RFQ-Input'!S129="","",'RFQ-Input'!S129)</f>
        <v/>
      </c>
      <c r="AY130" s="7" t="str">
        <f>IF('RFQ-Input'!V129="","",'RFQ-Input'!V129)</f>
        <v/>
      </c>
      <c r="AZ130" s="7" t="str">
        <f>IF('RFQ-Input'!Y129="","",'RFQ-Input'!Y129)</f>
        <v/>
      </c>
      <c r="BA130" s="7" t="str">
        <f>IF('RFQ-Input'!AB129="","",'RFQ-Input'!AB129)</f>
        <v/>
      </c>
    </row>
    <row r="131" spans="1:53">
      <c r="A131" s="20">
        <v>127</v>
      </c>
      <c r="B131" s="7"/>
      <c r="C131" s="7" t="str">
        <f>IF('RFQ-Input'!C130="","",'RFQ-Input'!C130)</f>
        <v/>
      </c>
      <c r="D131" s="7" t="str">
        <f>IF('RFQ-Input'!D130="","",'RFQ-Input'!D130)</f>
        <v/>
      </c>
      <c r="E131" s="7" t="str">
        <f>IF('RFQ-Input'!E130="","",'RFQ-Input'!E130)</f>
        <v/>
      </c>
      <c r="F131" s="7" t="str">
        <f>IF('RFQ-Input'!F130="","",'RFQ-Input'!F130)</f>
        <v/>
      </c>
      <c r="G131" s="7" t="str">
        <f>IF('RFQ-Input'!G130="","",'RFQ-Input'!G130)</f>
        <v/>
      </c>
      <c r="H131" s="7" t="str">
        <f>IF('RFQ-Input'!H130="","",'RFQ-Input'!H130)</f>
        <v/>
      </c>
      <c r="I131" s="7" t="str">
        <f>IF('RFQ-Input'!I130="","",'RFQ-Input'!I130)</f>
        <v/>
      </c>
      <c r="J131" s="7" t="str">
        <f>IF('RFQ-Input'!J130="","",'RFQ-Input'!J130)</f>
        <v/>
      </c>
      <c r="K131" s="7" t="str">
        <f>IF('RFQ-Input'!K130="","",'RFQ-Input'!K130)</f>
        <v/>
      </c>
      <c r="L131" s="7" t="str">
        <f>IF('RFQ-Input'!L130="","",'RFQ-Input'!L130)</f>
        <v/>
      </c>
      <c r="M131" s="7" t="str">
        <f>IF('RFQ-Input'!M130="","",'RFQ-Input'!M130)</f>
        <v/>
      </c>
      <c r="N131" s="7" t="str">
        <f>IF('RFQ-Input'!N130="","",'RFQ-Input'!N130)</f>
        <v/>
      </c>
      <c r="O131" s="7" t="str">
        <f>IF('RFQ-Input'!O130="","",'RFQ-Input'!O130)</f>
        <v/>
      </c>
      <c r="Q131" s="7"/>
      <c r="R131" s="7"/>
      <c r="S131" s="7"/>
      <c r="T131" s="7"/>
      <c r="U131" s="7"/>
      <c r="V131" s="7"/>
      <c r="X131" s="7"/>
      <c r="Y131" s="7"/>
      <c r="Z131" s="7"/>
      <c r="AA131" s="7" t="str">
        <f t="shared" si="7"/>
        <v/>
      </c>
      <c r="AB131" s="7"/>
      <c r="AC131" s="7"/>
      <c r="AQ131" s="7" t="str">
        <f t="shared" si="8"/>
        <v/>
      </c>
      <c r="AR131" s="7" t="str">
        <f t="shared" si="9"/>
        <v/>
      </c>
      <c r="AS131" s="7" t="str">
        <f t="shared" si="10"/>
        <v/>
      </c>
      <c r="AT131" s="7" t="str">
        <f t="shared" si="11"/>
        <v/>
      </c>
      <c r="AU131" s="7" t="str">
        <f t="shared" si="12"/>
        <v/>
      </c>
      <c r="AV131" s="7" t="str">
        <f t="shared" si="13"/>
        <v/>
      </c>
      <c r="AW131" s="7" t="str">
        <f>IF('RFQ-Input'!O130="","",'RFQ-Input'!O130)</f>
        <v/>
      </c>
      <c r="AX131" s="7" t="str">
        <f>IF('RFQ-Input'!S130="","",'RFQ-Input'!S130)</f>
        <v/>
      </c>
      <c r="AY131" s="7" t="str">
        <f>IF('RFQ-Input'!V130="","",'RFQ-Input'!V130)</f>
        <v/>
      </c>
      <c r="AZ131" s="7" t="str">
        <f>IF('RFQ-Input'!Y130="","",'RFQ-Input'!Y130)</f>
        <v/>
      </c>
      <c r="BA131" s="7" t="str">
        <f>IF('RFQ-Input'!AB130="","",'RFQ-Input'!AB130)</f>
        <v/>
      </c>
    </row>
    <row r="132" spans="1:53">
      <c r="A132" s="20">
        <v>128</v>
      </c>
      <c r="B132" s="7"/>
      <c r="C132" s="7" t="str">
        <f>IF('RFQ-Input'!C131="","",'RFQ-Input'!C131)</f>
        <v/>
      </c>
      <c r="D132" s="7" t="str">
        <f>IF('RFQ-Input'!D131="","",'RFQ-Input'!D131)</f>
        <v/>
      </c>
      <c r="E132" s="7" t="str">
        <f>IF('RFQ-Input'!E131="","",'RFQ-Input'!E131)</f>
        <v/>
      </c>
      <c r="F132" s="7" t="str">
        <f>IF('RFQ-Input'!F131="","",'RFQ-Input'!F131)</f>
        <v/>
      </c>
      <c r="G132" s="7" t="str">
        <f>IF('RFQ-Input'!G131="","",'RFQ-Input'!G131)</f>
        <v/>
      </c>
      <c r="H132" s="7" t="str">
        <f>IF('RFQ-Input'!H131="","",'RFQ-Input'!H131)</f>
        <v/>
      </c>
      <c r="I132" s="7" t="str">
        <f>IF('RFQ-Input'!I131="","",'RFQ-Input'!I131)</f>
        <v/>
      </c>
      <c r="J132" s="7" t="str">
        <f>IF('RFQ-Input'!J131="","",'RFQ-Input'!J131)</f>
        <v/>
      </c>
      <c r="K132" s="7" t="str">
        <f>IF('RFQ-Input'!K131="","",'RFQ-Input'!K131)</f>
        <v/>
      </c>
      <c r="L132" s="7" t="str">
        <f>IF('RFQ-Input'!L131="","",'RFQ-Input'!L131)</f>
        <v/>
      </c>
      <c r="M132" s="7" t="str">
        <f>IF('RFQ-Input'!M131="","",'RFQ-Input'!M131)</f>
        <v/>
      </c>
      <c r="N132" s="7" t="str">
        <f>IF('RFQ-Input'!N131="","",'RFQ-Input'!N131)</f>
        <v/>
      </c>
      <c r="O132" s="7" t="str">
        <f>IF('RFQ-Input'!O131="","",'RFQ-Input'!O131)</f>
        <v/>
      </c>
      <c r="Q132" s="7"/>
      <c r="R132" s="7"/>
      <c r="S132" s="7"/>
      <c r="T132" s="7"/>
      <c r="U132" s="7"/>
      <c r="V132" s="7"/>
      <c r="X132" s="7"/>
      <c r="Y132" s="7"/>
      <c r="Z132" s="7"/>
      <c r="AA132" s="7" t="str">
        <f t="shared" si="7"/>
        <v/>
      </c>
      <c r="AB132" s="7"/>
      <c r="AC132" s="7"/>
      <c r="AQ132" s="7" t="str">
        <f t="shared" si="8"/>
        <v/>
      </c>
      <c r="AR132" s="7" t="str">
        <f t="shared" si="9"/>
        <v/>
      </c>
      <c r="AS132" s="7" t="str">
        <f t="shared" si="10"/>
        <v/>
      </c>
      <c r="AT132" s="7" t="str">
        <f t="shared" si="11"/>
        <v/>
      </c>
      <c r="AU132" s="7" t="str">
        <f t="shared" si="12"/>
        <v/>
      </c>
      <c r="AV132" s="7" t="str">
        <f t="shared" si="13"/>
        <v/>
      </c>
      <c r="AW132" s="7" t="str">
        <f>IF('RFQ-Input'!O131="","",'RFQ-Input'!O131)</f>
        <v/>
      </c>
      <c r="AX132" s="7" t="str">
        <f>IF('RFQ-Input'!S131="","",'RFQ-Input'!S131)</f>
        <v/>
      </c>
      <c r="AY132" s="7" t="str">
        <f>IF('RFQ-Input'!V131="","",'RFQ-Input'!V131)</f>
        <v/>
      </c>
      <c r="AZ132" s="7" t="str">
        <f>IF('RFQ-Input'!Y131="","",'RFQ-Input'!Y131)</f>
        <v/>
      </c>
      <c r="BA132" s="7" t="str">
        <f>IF('RFQ-Input'!AB131="","",'RFQ-Input'!AB131)</f>
        <v/>
      </c>
    </row>
    <row r="133" spans="1:53">
      <c r="A133" s="20">
        <v>129</v>
      </c>
      <c r="B133" s="7"/>
      <c r="C133" s="7" t="str">
        <f>IF('RFQ-Input'!C132="","",'RFQ-Input'!C132)</f>
        <v/>
      </c>
      <c r="D133" s="7" t="str">
        <f>IF('RFQ-Input'!D132="","",'RFQ-Input'!D132)</f>
        <v/>
      </c>
      <c r="E133" s="7" t="str">
        <f>IF('RFQ-Input'!E132="","",'RFQ-Input'!E132)</f>
        <v/>
      </c>
      <c r="F133" s="7" t="str">
        <f>IF('RFQ-Input'!F132="","",'RFQ-Input'!F132)</f>
        <v/>
      </c>
      <c r="G133" s="7" t="str">
        <f>IF('RFQ-Input'!G132="","",'RFQ-Input'!G132)</f>
        <v/>
      </c>
      <c r="H133" s="7" t="str">
        <f>IF('RFQ-Input'!H132="","",'RFQ-Input'!H132)</f>
        <v/>
      </c>
      <c r="I133" s="7" t="str">
        <f>IF('RFQ-Input'!I132="","",'RFQ-Input'!I132)</f>
        <v/>
      </c>
      <c r="J133" s="7" t="str">
        <f>IF('RFQ-Input'!J132="","",'RFQ-Input'!J132)</f>
        <v/>
      </c>
      <c r="K133" s="7" t="str">
        <f>IF('RFQ-Input'!K132="","",'RFQ-Input'!K132)</f>
        <v/>
      </c>
      <c r="L133" s="7" t="str">
        <f>IF('RFQ-Input'!L132="","",'RFQ-Input'!L132)</f>
        <v/>
      </c>
      <c r="M133" s="7" t="str">
        <f>IF('RFQ-Input'!M132="","",'RFQ-Input'!M132)</f>
        <v/>
      </c>
      <c r="N133" s="7" t="str">
        <f>IF('RFQ-Input'!N132="","",'RFQ-Input'!N132)</f>
        <v/>
      </c>
      <c r="O133" s="7" t="str">
        <f>IF('RFQ-Input'!O132="","",'RFQ-Input'!O132)</f>
        <v/>
      </c>
      <c r="Q133" s="7"/>
      <c r="R133" s="7"/>
      <c r="S133" s="7"/>
      <c r="T133" s="7"/>
      <c r="U133" s="7"/>
      <c r="V133" s="7"/>
      <c r="X133" s="7"/>
      <c r="Y133" s="7"/>
      <c r="Z133" s="7"/>
      <c r="AA133" s="7" t="str">
        <f t="shared" ref="AA133:AA196" si="14">IF(AND(L133="",Y133=""),"",L133)</f>
        <v/>
      </c>
      <c r="AB133" s="7"/>
      <c r="AC133" s="7"/>
      <c r="AQ133" s="7" t="str">
        <f t="shared" si="8"/>
        <v/>
      </c>
      <c r="AR133" s="7" t="str">
        <f t="shared" si="9"/>
        <v/>
      </c>
      <c r="AS133" s="7" t="str">
        <f t="shared" si="10"/>
        <v/>
      </c>
      <c r="AT133" s="7" t="str">
        <f t="shared" si="11"/>
        <v/>
      </c>
      <c r="AU133" s="7" t="str">
        <f t="shared" si="12"/>
        <v/>
      </c>
      <c r="AV133" s="7" t="str">
        <f t="shared" si="13"/>
        <v/>
      </c>
      <c r="AW133" s="7" t="str">
        <f>IF('RFQ-Input'!O132="","",'RFQ-Input'!O132)</f>
        <v/>
      </c>
      <c r="AX133" s="7" t="str">
        <f>IF('RFQ-Input'!S132="","",'RFQ-Input'!S132)</f>
        <v/>
      </c>
      <c r="AY133" s="7" t="str">
        <f>IF('RFQ-Input'!V132="","",'RFQ-Input'!V132)</f>
        <v/>
      </c>
      <c r="AZ133" s="7" t="str">
        <f>IF('RFQ-Input'!Y132="","",'RFQ-Input'!Y132)</f>
        <v/>
      </c>
      <c r="BA133" s="7" t="str">
        <f>IF('RFQ-Input'!AB132="","",'RFQ-Input'!AB132)</f>
        <v/>
      </c>
    </row>
    <row r="134" spans="1:53">
      <c r="A134" s="20">
        <v>130</v>
      </c>
      <c r="B134" s="7"/>
      <c r="C134" s="7" t="str">
        <f>IF('RFQ-Input'!C133="","",'RFQ-Input'!C133)</f>
        <v/>
      </c>
      <c r="D134" s="7" t="str">
        <f>IF('RFQ-Input'!D133="","",'RFQ-Input'!D133)</f>
        <v/>
      </c>
      <c r="E134" s="7" t="str">
        <f>IF('RFQ-Input'!E133="","",'RFQ-Input'!E133)</f>
        <v/>
      </c>
      <c r="F134" s="7" t="str">
        <f>IF('RFQ-Input'!F133="","",'RFQ-Input'!F133)</f>
        <v/>
      </c>
      <c r="G134" s="7" t="str">
        <f>IF('RFQ-Input'!G133="","",'RFQ-Input'!G133)</f>
        <v/>
      </c>
      <c r="H134" s="7" t="str">
        <f>IF('RFQ-Input'!H133="","",'RFQ-Input'!H133)</f>
        <v/>
      </c>
      <c r="I134" s="7" t="str">
        <f>IF('RFQ-Input'!I133="","",'RFQ-Input'!I133)</f>
        <v/>
      </c>
      <c r="J134" s="7" t="str">
        <f>IF('RFQ-Input'!J133="","",'RFQ-Input'!J133)</f>
        <v/>
      </c>
      <c r="K134" s="7" t="str">
        <f>IF('RFQ-Input'!K133="","",'RFQ-Input'!K133)</f>
        <v/>
      </c>
      <c r="L134" s="7" t="str">
        <f>IF('RFQ-Input'!L133="","",'RFQ-Input'!L133)</f>
        <v/>
      </c>
      <c r="M134" s="7" t="str">
        <f>IF('RFQ-Input'!M133="","",'RFQ-Input'!M133)</f>
        <v/>
      </c>
      <c r="N134" s="7" t="str">
        <f>IF('RFQ-Input'!N133="","",'RFQ-Input'!N133)</f>
        <v/>
      </c>
      <c r="O134" s="7" t="str">
        <f>IF('RFQ-Input'!O133="","",'RFQ-Input'!O133)</f>
        <v/>
      </c>
      <c r="Q134" s="7"/>
      <c r="R134" s="7"/>
      <c r="S134" s="7"/>
      <c r="T134" s="7"/>
      <c r="U134" s="7"/>
      <c r="V134" s="7"/>
      <c r="X134" s="7"/>
      <c r="Y134" s="7"/>
      <c r="Z134" s="7"/>
      <c r="AA134" s="7" t="str">
        <f t="shared" si="14"/>
        <v/>
      </c>
      <c r="AB134" s="7"/>
      <c r="AC134" s="7"/>
      <c r="AQ134" s="7" t="str">
        <f t="shared" ref="AQ134:AQ197" si="15">IFERROR(SMALL($AW134:$CT134,1),"")</f>
        <v/>
      </c>
      <c r="AR134" s="7" t="str">
        <f t="shared" ref="AR134:AR197" si="16">IF(AQ134="","",INDEX($AW$4:$CT$4,MATCH(AQ134,$AW134:$CT134,0)))</f>
        <v/>
      </c>
      <c r="AS134" s="7" t="str">
        <f t="shared" ref="AS134:AS197" si="17">IFERROR(SMALL($AW134:$CT134,2),"")</f>
        <v/>
      </c>
      <c r="AT134" s="7" t="str">
        <f t="shared" ref="AT134:AT197" si="18">IF(AS134="","",INDEX($AW$4:$CT$4,MATCH(AS134,$AW134:$CT134,0)))</f>
        <v/>
      </c>
      <c r="AU134" s="7" t="str">
        <f t="shared" ref="AU134:AU197" si="19">IFERROR(SMALL($AW134:$CT134,3),"")</f>
        <v/>
      </c>
      <c r="AV134" s="7" t="str">
        <f t="shared" ref="AV134:AV197" si="20">IF(AU134="","",INDEX($AW$4:$CT$4,MATCH(AU134,$AW134:$CT134,0)))</f>
        <v/>
      </c>
      <c r="AW134" s="7" t="str">
        <f>IF('RFQ-Input'!O133="","",'RFQ-Input'!O133)</f>
        <v/>
      </c>
      <c r="AX134" s="7" t="str">
        <f>IF('RFQ-Input'!S133="","",'RFQ-Input'!S133)</f>
        <v/>
      </c>
      <c r="AY134" s="7" t="str">
        <f>IF('RFQ-Input'!V133="","",'RFQ-Input'!V133)</f>
        <v/>
      </c>
      <c r="AZ134" s="7" t="str">
        <f>IF('RFQ-Input'!Y133="","",'RFQ-Input'!Y133)</f>
        <v/>
      </c>
      <c r="BA134" s="7" t="str">
        <f>IF('RFQ-Input'!AB133="","",'RFQ-Input'!AB133)</f>
        <v/>
      </c>
    </row>
    <row r="135" spans="1:53">
      <c r="A135" s="20">
        <v>131</v>
      </c>
      <c r="B135" s="7"/>
      <c r="C135" s="7" t="str">
        <f>IF('RFQ-Input'!C134="","",'RFQ-Input'!C134)</f>
        <v/>
      </c>
      <c r="D135" s="7" t="str">
        <f>IF('RFQ-Input'!D134="","",'RFQ-Input'!D134)</f>
        <v/>
      </c>
      <c r="E135" s="7" t="str">
        <f>IF('RFQ-Input'!E134="","",'RFQ-Input'!E134)</f>
        <v/>
      </c>
      <c r="F135" s="7" t="str">
        <f>IF('RFQ-Input'!F134="","",'RFQ-Input'!F134)</f>
        <v/>
      </c>
      <c r="G135" s="7" t="str">
        <f>IF('RFQ-Input'!G134="","",'RFQ-Input'!G134)</f>
        <v/>
      </c>
      <c r="H135" s="7" t="str">
        <f>IF('RFQ-Input'!H134="","",'RFQ-Input'!H134)</f>
        <v/>
      </c>
      <c r="I135" s="7" t="str">
        <f>IF('RFQ-Input'!I134="","",'RFQ-Input'!I134)</f>
        <v/>
      </c>
      <c r="J135" s="7" t="str">
        <f>IF('RFQ-Input'!J134="","",'RFQ-Input'!J134)</f>
        <v/>
      </c>
      <c r="K135" s="7" t="str">
        <f>IF('RFQ-Input'!K134="","",'RFQ-Input'!K134)</f>
        <v/>
      </c>
      <c r="L135" s="7" t="str">
        <f>IF('RFQ-Input'!L134="","",'RFQ-Input'!L134)</f>
        <v/>
      </c>
      <c r="M135" s="7" t="str">
        <f>IF('RFQ-Input'!M134="","",'RFQ-Input'!M134)</f>
        <v/>
      </c>
      <c r="N135" s="7" t="str">
        <f>IF('RFQ-Input'!N134="","",'RFQ-Input'!N134)</f>
        <v/>
      </c>
      <c r="O135" s="7" t="str">
        <f>IF('RFQ-Input'!O134="","",'RFQ-Input'!O134)</f>
        <v/>
      </c>
      <c r="Q135" s="7"/>
      <c r="R135" s="7"/>
      <c r="S135" s="7"/>
      <c r="T135" s="7"/>
      <c r="U135" s="7"/>
      <c r="V135" s="7"/>
      <c r="X135" s="7"/>
      <c r="Y135" s="7"/>
      <c r="Z135" s="7"/>
      <c r="AA135" s="7" t="str">
        <f t="shared" si="14"/>
        <v/>
      </c>
      <c r="AB135" s="7"/>
      <c r="AC135" s="7"/>
      <c r="AQ135" s="7" t="str">
        <f t="shared" si="15"/>
        <v/>
      </c>
      <c r="AR135" s="7" t="str">
        <f t="shared" si="16"/>
        <v/>
      </c>
      <c r="AS135" s="7" t="str">
        <f t="shared" si="17"/>
        <v/>
      </c>
      <c r="AT135" s="7" t="str">
        <f t="shared" si="18"/>
        <v/>
      </c>
      <c r="AU135" s="7" t="str">
        <f t="shared" si="19"/>
        <v/>
      </c>
      <c r="AV135" s="7" t="str">
        <f t="shared" si="20"/>
        <v/>
      </c>
      <c r="AW135" s="7" t="str">
        <f>IF('RFQ-Input'!O134="","",'RFQ-Input'!O134)</f>
        <v/>
      </c>
      <c r="AX135" s="7" t="str">
        <f>IF('RFQ-Input'!S134="","",'RFQ-Input'!S134)</f>
        <v/>
      </c>
      <c r="AY135" s="7" t="str">
        <f>IF('RFQ-Input'!V134="","",'RFQ-Input'!V134)</f>
        <v/>
      </c>
      <c r="AZ135" s="7" t="str">
        <f>IF('RFQ-Input'!Y134="","",'RFQ-Input'!Y134)</f>
        <v/>
      </c>
      <c r="BA135" s="7" t="str">
        <f>IF('RFQ-Input'!AB134="","",'RFQ-Input'!AB134)</f>
        <v/>
      </c>
    </row>
    <row r="136" spans="1:53">
      <c r="A136" s="20">
        <v>132</v>
      </c>
      <c r="B136" s="7"/>
      <c r="C136" s="7" t="str">
        <f>IF('RFQ-Input'!C135="","",'RFQ-Input'!C135)</f>
        <v/>
      </c>
      <c r="D136" s="7" t="str">
        <f>IF('RFQ-Input'!D135="","",'RFQ-Input'!D135)</f>
        <v/>
      </c>
      <c r="E136" s="7" t="str">
        <f>IF('RFQ-Input'!E135="","",'RFQ-Input'!E135)</f>
        <v/>
      </c>
      <c r="F136" s="7" t="str">
        <f>IF('RFQ-Input'!F135="","",'RFQ-Input'!F135)</f>
        <v/>
      </c>
      <c r="G136" s="7" t="str">
        <f>IF('RFQ-Input'!G135="","",'RFQ-Input'!G135)</f>
        <v/>
      </c>
      <c r="H136" s="7" t="str">
        <f>IF('RFQ-Input'!H135="","",'RFQ-Input'!H135)</f>
        <v/>
      </c>
      <c r="I136" s="7" t="str">
        <f>IF('RFQ-Input'!I135="","",'RFQ-Input'!I135)</f>
        <v/>
      </c>
      <c r="J136" s="7" t="str">
        <f>IF('RFQ-Input'!J135="","",'RFQ-Input'!J135)</f>
        <v/>
      </c>
      <c r="K136" s="7" t="str">
        <f>IF('RFQ-Input'!K135="","",'RFQ-Input'!K135)</f>
        <v/>
      </c>
      <c r="L136" s="7" t="str">
        <f>IF('RFQ-Input'!L135="","",'RFQ-Input'!L135)</f>
        <v/>
      </c>
      <c r="M136" s="7" t="str">
        <f>IF('RFQ-Input'!M135="","",'RFQ-Input'!M135)</f>
        <v/>
      </c>
      <c r="N136" s="7" t="str">
        <f>IF('RFQ-Input'!N135="","",'RFQ-Input'!N135)</f>
        <v/>
      </c>
      <c r="O136" s="7" t="str">
        <f>IF('RFQ-Input'!O135="","",'RFQ-Input'!O135)</f>
        <v/>
      </c>
      <c r="Q136" s="7"/>
      <c r="R136" s="7"/>
      <c r="S136" s="7"/>
      <c r="T136" s="7"/>
      <c r="U136" s="7"/>
      <c r="V136" s="7"/>
      <c r="X136" s="7"/>
      <c r="Y136" s="7"/>
      <c r="Z136" s="7"/>
      <c r="AA136" s="7" t="str">
        <f t="shared" si="14"/>
        <v/>
      </c>
      <c r="AB136" s="7"/>
      <c r="AC136" s="7"/>
      <c r="AQ136" s="7" t="str">
        <f t="shared" si="15"/>
        <v/>
      </c>
      <c r="AR136" s="7" t="str">
        <f t="shared" si="16"/>
        <v/>
      </c>
      <c r="AS136" s="7" t="str">
        <f t="shared" si="17"/>
        <v/>
      </c>
      <c r="AT136" s="7" t="str">
        <f t="shared" si="18"/>
        <v/>
      </c>
      <c r="AU136" s="7" t="str">
        <f t="shared" si="19"/>
        <v/>
      </c>
      <c r="AV136" s="7" t="str">
        <f t="shared" si="20"/>
        <v/>
      </c>
      <c r="AW136" s="7" t="str">
        <f>IF('RFQ-Input'!O135="","",'RFQ-Input'!O135)</f>
        <v/>
      </c>
      <c r="AX136" s="7" t="str">
        <f>IF('RFQ-Input'!S135="","",'RFQ-Input'!S135)</f>
        <v/>
      </c>
      <c r="AY136" s="7" t="str">
        <f>IF('RFQ-Input'!V135="","",'RFQ-Input'!V135)</f>
        <v/>
      </c>
      <c r="AZ136" s="7" t="str">
        <f>IF('RFQ-Input'!Y135="","",'RFQ-Input'!Y135)</f>
        <v/>
      </c>
      <c r="BA136" s="7" t="str">
        <f>IF('RFQ-Input'!AB135="","",'RFQ-Input'!AB135)</f>
        <v/>
      </c>
    </row>
    <row r="137" spans="1:53">
      <c r="A137" s="20">
        <v>133</v>
      </c>
      <c r="B137" s="7"/>
      <c r="C137" s="7" t="str">
        <f>IF('RFQ-Input'!C136="","",'RFQ-Input'!C136)</f>
        <v/>
      </c>
      <c r="D137" s="7" t="str">
        <f>IF('RFQ-Input'!D136="","",'RFQ-Input'!D136)</f>
        <v/>
      </c>
      <c r="E137" s="7" t="str">
        <f>IF('RFQ-Input'!E136="","",'RFQ-Input'!E136)</f>
        <v/>
      </c>
      <c r="F137" s="7" t="str">
        <f>IF('RFQ-Input'!F136="","",'RFQ-Input'!F136)</f>
        <v/>
      </c>
      <c r="G137" s="7" t="str">
        <f>IF('RFQ-Input'!G136="","",'RFQ-Input'!G136)</f>
        <v/>
      </c>
      <c r="H137" s="7" t="str">
        <f>IF('RFQ-Input'!H136="","",'RFQ-Input'!H136)</f>
        <v/>
      </c>
      <c r="I137" s="7" t="str">
        <f>IF('RFQ-Input'!I136="","",'RFQ-Input'!I136)</f>
        <v/>
      </c>
      <c r="J137" s="7" t="str">
        <f>IF('RFQ-Input'!J136="","",'RFQ-Input'!J136)</f>
        <v/>
      </c>
      <c r="K137" s="7" t="str">
        <f>IF('RFQ-Input'!K136="","",'RFQ-Input'!K136)</f>
        <v/>
      </c>
      <c r="L137" s="7" t="str">
        <f>IF('RFQ-Input'!L136="","",'RFQ-Input'!L136)</f>
        <v/>
      </c>
      <c r="M137" s="7" t="str">
        <f>IF('RFQ-Input'!M136="","",'RFQ-Input'!M136)</f>
        <v/>
      </c>
      <c r="N137" s="7" t="str">
        <f>IF('RFQ-Input'!N136="","",'RFQ-Input'!N136)</f>
        <v/>
      </c>
      <c r="O137" s="7" t="str">
        <f>IF('RFQ-Input'!O136="","",'RFQ-Input'!O136)</f>
        <v/>
      </c>
      <c r="Q137" s="7"/>
      <c r="R137" s="7"/>
      <c r="S137" s="7"/>
      <c r="T137" s="7"/>
      <c r="U137" s="7"/>
      <c r="V137" s="7"/>
      <c r="X137" s="7"/>
      <c r="Y137" s="7"/>
      <c r="Z137" s="7"/>
      <c r="AA137" s="7" t="str">
        <f t="shared" si="14"/>
        <v/>
      </c>
      <c r="AB137" s="7"/>
      <c r="AC137" s="7"/>
      <c r="AQ137" s="7" t="str">
        <f t="shared" si="15"/>
        <v/>
      </c>
      <c r="AR137" s="7" t="str">
        <f t="shared" si="16"/>
        <v/>
      </c>
      <c r="AS137" s="7" t="str">
        <f t="shared" si="17"/>
        <v/>
      </c>
      <c r="AT137" s="7" t="str">
        <f t="shared" si="18"/>
        <v/>
      </c>
      <c r="AU137" s="7" t="str">
        <f t="shared" si="19"/>
        <v/>
      </c>
      <c r="AV137" s="7" t="str">
        <f t="shared" si="20"/>
        <v/>
      </c>
      <c r="AW137" s="7" t="str">
        <f>IF('RFQ-Input'!O136="","",'RFQ-Input'!O136)</f>
        <v/>
      </c>
      <c r="AX137" s="7" t="str">
        <f>IF('RFQ-Input'!S136="","",'RFQ-Input'!S136)</f>
        <v/>
      </c>
      <c r="AY137" s="7" t="str">
        <f>IF('RFQ-Input'!V136="","",'RFQ-Input'!V136)</f>
        <v/>
      </c>
      <c r="AZ137" s="7" t="str">
        <f>IF('RFQ-Input'!Y136="","",'RFQ-Input'!Y136)</f>
        <v/>
      </c>
      <c r="BA137" s="7" t="str">
        <f>IF('RFQ-Input'!AB136="","",'RFQ-Input'!AB136)</f>
        <v/>
      </c>
    </row>
    <row r="138" spans="1:53">
      <c r="A138" s="20">
        <v>134</v>
      </c>
      <c r="B138" s="7"/>
      <c r="C138" s="7" t="str">
        <f>IF('RFQ-Input'!C137="","",'RFQ-Input'!C137)</f>
        <v/>
      </c>
      <c r="D138" s="7" t="str">
        <f>IF('RFQ-Input'!D137="","",'RFQ-Input'!D137)</f>
        <v/>
      </c>
      <c r="E138" s="7" t="str">
        <f>IF('RFQ-Input'!E137="","",'RFQ-Input'!E137)</f>
        <v/>
      </c>
      <c r="F138" s="7" t="str">
        <f>IF('RFQ-Input'!F137="","",'RFQ-Input'!F137)</f>
        <v/>
      </c>
      <c r="G138" s="7" t="str">
        <f>IF('RFQ-Input'!G137="","",'RFQ-Input'!G137)</f>
        <v/>
      </c>
      <c r="H138" s="7" t="str">
        <f>IF('RFQ-Input'!H137="","",'RFQ-Input'!H137)</f>
        <v/>
      </c>
      <c r="I138" s="7" t="str">
        <f>IF('RFQ-Input'!I137="","",'RFQ-Input'!I137)</f>
        <v/>
      </c>
      <c r="J138" s="7" t="str">
        <f>IF('RFQ-Input'!J137="","",'RFQ-Input'!J137)</f>
        <v/>
      </c>
      <c r="K138" s="7" t="str">
        <f>IF('RFQ-Input'!K137="","",'RFQ-Input'!K137)</f>
        <v/>
      </c>
      <c r="L138" s="7" t="str">
        <f>IF('RFQ-Input'!L137="","",'RFQ-Input'!L137)</f>
        <v/>
      </c>
      <c r="M138" s="7" t="str">
        <f>IF('RFQ-Input'!M137="","",'RFQ-Input'!M137)</f>
        <v/>
      </c>
      <c r="N138" s="7" t="str">
        <f>IF('RFQ-Input'!N137="","",'RFQ-Input'!N137)</f>
        <v/>
      </c>
      <c r="O138" s="7" t="str">
        <f>IF('RFQ-Input'!O137="","",'RFQ-Input'!O137)</f>
        <v/>
      </c>
      <c r="Q138" s="7"/>
      <c r="R138" s="7"/>
      <c r="S138" s="7"/>
      <c r="T138" s="7"/>
      <c r="U138" s="7"/>
      <c r="V138" s="7"/>
      <c r="X138" s="7"/>
      <c r="Y138" s="7"/>
      <c r="Z138" s="7"/>
      <c r="AA138" s="7" t="str">
        <f t="shared" si="14"/>
        <v/>
      </c>
      <c r="AB138" s="7"/>
      <c r="AC138" s="7"/>
      <c r="AQ138" s="7" t="str">
        <f t="shared" si="15"/>
        <v/>
      </c>
      <c r="AR138" s="7" t="str">
        <f t="shared" si="16"/>
        <v/>
      </c>
      <c r="AS138" s="7" t="str">
        <f t="shared" si="17"/>
        <v/>
      </c>
      <c r="AT138" s="7" t="str">
        <f t="shared" si="18"/>
        <v/>
      </c>
      <c r="AU138" s="7" t="str">
        <f t="shared" si="19"/>
        <v/>
      </c>
      <c r="AV138" s="7" t="str">
        <f t="shared" si="20"/>
        <v/>
      </c>
      <c r="AW138" s="7" t="str">
        <f>IF('RFQ-Input'!O137="","",'RFQ-Input'!O137)</f>
        <v/>
      </c>
      <c r="AX138" s="7" t="str">
        <f>IF('RFQ-Input'!S137="","",'RFQ-Input'!S137)</f>
        <v/>
      </c>
      <c r="AY138" s="7" t="str">
        <f>IF('RFQ-Input'!V137="","",'RFQ-Input'!V137)</f>
        <v/>
      </c>
      <c r="AZ138" s="7" t="str">
        <f>IF('RFQ-Input'!Y137="","",'RFQ-Input'!Y137)</f>
        <v/>
      </c>
      <c r="BA138" s="7" t="str">
        <f>IF('RFQ-Input'!AB137="","",'RFQ-Input'!AB137)</f>
        <v/>
      </c>
    </row>
    <row r="139" spans="1:53">
      <c r="A139" s="20">
        <v>135</v>
      </c>
      <c r="B139" s="7"/>
      <c r="C139" s="7" t="str">
        <f>IF('RFQ-Input'!C138="","",'RFQ-Input'!C138)</f>
        <v/>
      </c>
      <c r="D139" s="7" t="str">
        <f>IF('RFQ-Input'!D138="","",'RFQ-Input'!D138)</f>
        <v/>
      </c>
      <c r="E139" s="7" t="str">
        <f>IF('RFQ-Input'!E138="","",'RFQ-Input'!E138)</f>
        <v/>
      </c>
      <c r="F139" s="7" t="str">
        <f>IF('RFQ-Input'!F138="","",'RFQ-Input'!F138)</f>
        <v/>
      </c>
      <c r="G139" s="7" t="str">
        <f>IF('RFQ-Input'!G138="","",'RFQ-Input'!G138)</f>
        <v/>
      </c>
      <c r="H139" s="7" t="str">
        <f>IF('RFQ-Input'!H138="","",'RFQ-Input'!H138)</f>
        <v/>
      </c>
      <c r="I139" s="7" t="str">
        <f>IF('RFQ-Input'!I138="","",'RFQ-Input'!I138)</f>
        <v/>
      </c>
      <c r="J139" s="7" t="str">
        <f>IF('RFQ-Input'!J138="","",'RFQ-Input'!J138)</f>
        <v/>
      </c>
      <c r="K139" s="7" t="str">
        <f>IF('RFQ-Input'!K138="","",'RFQ-Input'!K138)</f>
        <v/>
      </c>
      <c r="L139" s="7" t="str">
        <f>IF('RFQ-Input'!L138="","",'RFQ-Input'!L138)</f>
        <v/>
      </c>
      <c r="M139" s="7" t="str">
        <f>IF('RFQ-Input'!M138="","",'RFQ-Input'!M138)</f>
        <v/>
      </c>
      <c r="N139" s="7" t="str">
        <f>IF('RFQ-Input'!N138="","",'RFQ-Input'!N138)</f>
        <v/>
      </c>
      <c r="O139" s="7" t="str">
        <f>IF('RFQ-Input'!O138="","",'RFQ-Input'!O138)</f>
        <v/>
      </c>
      <c r="Q139" s="7"/>
      <c r="R139" s="7"/>
      <c r="S139" s="7"/>
      <c r="T139" s="7"/>
      <c r="U139" s="7"/>
      <c r="V139" s="7"/>
      <c r="X139" s="7"/>
      <c r="Y139" s="7"/>
      <c r="Z139" s="7"/>
      <c r="AA139" s="7" t="str">
        <f t="shared" si="14"/>
        <v/>
      </c>
      <c r="AB139" s="7"/>
      <c r="AC139" s="7"/>
      <c r="AQ139" s="7" t="str">
        <f t="shared" si="15"/>
        <v/>
      </c>
      <c r="AR139" s="7" t="str">
        <f t="shared" si="16"/>
        <v/>
      </c>
      <c r="AS139" s="7" t="str">
        <f t="shared" si="17"/>
        <v/>
      </c>
      <c r="AT139" s="7" t="str">
        <f t="shared" si="18"/>
        <v/>
      </c>
      <c r="AU139" s="7" t="str">
        <f t="shared" si="19"/>
        <v/>
      </c>
      <c r="AV139" s="7" t="str">
        <f t="shared" si="20"/>
        <v/>
      </c>
      <c r="AW139" s="7" t="str">
        <f>IF('RFQ-Input'!O138="","",'RFQ-Input'!O138)</f>
        <v/>
      </c>
      <c r="AX139" s="7" t="str">
        <f>IF('RFQ-Input'!S138="","",'RFQ-Input'!S138)</f>
        <v/>
      </c>
      <c r="AY139" s="7" t="str">
        <f>IF('RFQ-Input'!V138="","",'RFQ-Input'!V138)</f>
        <v/>
      </c>
      <c r="AZ139" s="7" t="str">
        <f>IF('RFQ-Input'!Y138="","",'RFQ-Input'!Y138)</f>
        <v/>
      </c>
      <c r="BA139" s="7" t="str">
        <f>IF('RFQ-Input'!AB138="","",'RFQ-Input'!AB138)</f>
        <v/>
      </c>
    </row>
    <row r="140" spans="1:53">
      <c r="A140" s="20">
        <v>136</v>
      </c>
      <c r="B140" s="7"/>
      <c r="C140" s="7" t="str">
        <f>IF('RFQ-Input'!C139="","",'RFQ-Input'!C139)</f>
        <v/>
      </c>
      <c r="D140" s="7" t="str">
        <f>IF('RFQ-Input'!D139="","",'RFQ-Input'!D139)</f>
        <v/>
      </c>
      <c r="E140" s="7" t="str">
        <f>IF('RFQ-Input'!E139="","",'RFQ-Input'!E139)</f>
        <v/>
      </c>
      <c r="F140" s="7" t="str">
        <f>IF('RFQ-Input'!F139="","",'RFQ-Input'!F139)</f>
        <v/>
      </c>
      <c r="G140" s="7" t="str">
        <f>IF('RFQ-Input'!G139="","",'RFQ-Input'!G139)</f>
        <v/>
      </c>
      <c r="H140" s="7" t="str">
        <f>IF('RFQ-Input'!H139="","",'RFQ-Input'!H139)</f>
        <v/>
      </c>
      <c r="I140" s="7" t="str">
        <f>IF('RFQ-Input'!I139="","",'RFQ-Input'!I139)</f>
        <v/>
      </c>
      <c r="J140" s="7" t="str">
        <f>IF('RFQ-Input'!J139="","",'RFQ-Input'!J139)</f>
        <v/>
      </c>
      <c r="K140" s="7" t="str">
        <f>IF('RFQ-Input'!K139="","",'RFQ-Input'!K139)</f>
        <v/>
      </c>
      <c r="L140" s="7" t="str">
        <f>IF('RFQ-Input'!L139="","",'RFQ-Input'!L139)</f>
        <v/>
      </c>
      <c r="M140" s="7" t="str">
        <f>IF('RFQ-Input'!M139="","",'RFQ-Input'!M139)</f>
        <v/>
      </c>
      <c r="N140" s="7" t="str">
        <f>IF('RFQ-Input'!N139="","",'RFQ-Input'!N139)</f>
        <v/>
      </c>
      <c r="O140" s="7" t="str">
        <f>IF('RFQ-Input'!O139="","",'RFQ-Input'!O139)</f>
        <v/>
      </c>
      <c r="Q140" s="7"/>
      <c r="R140" s="7"/>
      <c r="S140" s="7"/>
      <c r="T140" s="7"/>
      <c r="U140" s="7"/>
      <c r="V140" s="7"/>
      <c r="X140" s="7"/>
      <c r="Y140" s="7"/>
      <c r="Z140" s="7"/>
      <c r="AA140" s="7" t="str">
        <f t="shared" si="14"/>
        <v/>
      </c>
      <c r="AB140" s="7"/>
      <c r="AC140" s="7"/>
      <c r="AQ140" s="7" t="str">
        <f t="shared" si="15"/>
        <v/>
      </c>
      <c r="AR140" s="7" t="str">
        <f t="shared" si="16"/>
        <v/>
      </c>
      <c r="AS140" s="7" t="str">
        <f t="shared" si="17"/>
        <v/>
      </c>
      <c r="AT140" s="7" t="str">
        <f t="shared" si="18"/>
        <v/>
      </c>
      <c r="AU140" s="7" t="str">
        <f t="shared" si="19"/>
        <v/>
      </c>
      <c r="AV140" s="7" t="str">
        <f t="shared" si="20"/>
        <v/>
      </c>
      <c r="AW140" s="7" t="str">
        <f>IF('RFQ-Input'!O139="","",'RFQ-Input'!O139)</f>
        <v/>
      </c>
      <c r="AX140" s="7" t="str">
        <f>IF('RFQ-Input'!S139="","",'RFQ-Input'!S139)</f>
        <v/>
      </c>
      <c r="AY140" s="7" t="str">
        <f>IF('RFQ-Input'!V139="","",'RFQ-Input'!V139)</f>
        <v/>
      </c>
      <c r="AZ140" s="7" t="str">
        <f>IF('RFQ-Input'!Y139="","",'RFQ-Input'!Y139)</f>
        <v/>
      </c>
      <c r="BA140" s="7" t="str">
        <f>IF('RFQ-Input'!AB139="","",'RFQ-Input'!AB139)</f>
        <v/>
      </c>
    </row>
    <row r="141" spans="1:53">
      <c r="A141" s="20">
        <v>137</v>
      </c>
      <c r="B141" s="7"/>
      <c r="C141" s="7" t="str">
        <f>IF('RFQ-Input'!C140="","",'RFQ-Input'!C140)</f>
        <v/>
      </c>
      <c r="D141" s="7" t="str">
        <f>IF('RFQ-Input'!D140="","",'RFQ-Input'!D140)</f>
        <v/>
      </c>
      <c r="E141" s="7" t="str">
        <f>IF('RFQ-Input'!E140="","",'RFQ-Input'!E140)</f>
        <v/>
      </c>
      <c r="F141" s="7" t="str">
        <f>IF('RFQ-Input'!F140="","",'RFQ-Input'!F140)</f>
        <v/>
      </c>
      <c r="G141" s="7" t="str">
        <f>IF('RFQ-Input'!G140="","",'RFQ-Input'!G140)</f>
        <v/>
      </c>
      <c r="H141" s="7" t="str">
        <f>IF('RFQ-Input'!H140="","",'RFQ-Input'!H140)</f>
        <v/>
      </c>
      <c r="I141" s="7" t="str">
        <f>IF('RFQ-Input'!I140="","",'RFQ-Input'!I140)</f>
        <v/>
      </c>
      <c r="J141" s="7" t="str">
        <f>IF('RFQ-Input'!J140="","",'RFQ-Input'!J140)</f>
        <v/>
      </c>
      <c r="K141" s="7" t="str">
        <f>IF('RFQ-Input'!K140="","",'RFQ-Input'!K140)</f>
        <v/>
      </c>
      <c r="L141" s="7" t="str">
        <f>IF('RFQ-Input'!L140="","",'RFQ-Input'!L140)</f>
        <v/>
      </c>
      <c r="M141" s="7" t="str">
        <f>IF('RFQ-Input'!M140="","",'RFQ-Input'!M140)</f>
        <v/>
      </c>
      <c r="N141" s="7" t="str">
        <f>IF('RFQ-Input'!N140="","",'RFQ-Input'!N140)</f>
        <v/>
      </c>
      <c r="O141" s="7" t="str">
        <f>IF('RFQ-Input'!O140="","",'RFQ-Input'!O140)</f>
        <v/>
      </c>
      <c r="Q141" s="7"/>
      <c r="R141" s="7"/>
      <c r="S141" s="7"/>
      <c r="T141" s="7"/>
      <c r="U141" s="7"/>
      <c r="V141" s="7"/>
      <c r="X141" s="7"/>
      <c r="Y141" s="7"/>
      <c r="Z141" s="7"/>
      <c r="AA141" s="7" t="str">
        <f t="shared" si="14"/>
        <v/>
      </c>
      <c r="AB141" s="7"/>
      <c r="AC141" s="7"/>
      <c r="AQ141" s="7" t="str">
        <f t="shared" si="15"/>
        <v/>
      </c>
      <c r="AR141" s="7" t="str">
        <f t="shared" si="16"/>
        <v/>
      </c>
      <c r="AS141" s="7" t="str">
        <f t="shared" si="17"/>
        <v/>
      </c>
      <c r="AT141" s="7" t="str">
        <f t="shared" si="18"/>
        <v/>
      </c>
      <c r="AU141" s="7" t="str">
        <f t="shared" si="19"/>
        <v/>
      </c>
      <c r="AV141" s="7" t="str">
        <f t="shared" si="20"/>
        <v/>
      </c>
      <c r="AW141" s="7" t="str">
        <f>IF('RFQ-Input'!O140="","",'RFQ-Input'!O140)</f>
        <v/>
      </c>
      <c r="AX141" s="7" t="str">
        <f>IF('RFQ-Input'!S140="","",'RFQ-Input'!S140)</f>
        <v/>
      </c>
      <c r="AY141" s="7" t="str">
        <f>IF('RFQ-Input'!V140="","",'RFQ-Input'!V140)</f>
        <v/>
      </c>
      <c r="AZ141" s="7" t="str">
        <f>IF('RFQ-Input'!Y140="","",'RFQ-Input'!Y140)</f>
        <v/>
      </c>
      <c r="BA141" s="7" t="str">
        <f>IF('RFQ-Input'!AB140="","",'RFQ-Input'!AB140)</f>
        <v/>
      </c>
    </row>
    <row r="142" spans="1:53">
      <c r="A142" s="20">
        <v>138</v>
      </c>
      <c r="B142" s="7"/>
      <c r="C142" s="7" t="str">
        <f>IF('RFQ-Input'!C141="","",'RFQ-Input'!C141)</f>
        <v/>
      </c>
      <c r="D142" s="7" t="str">
        <f>IF('RFQ-Input'!D141="","",'RFQ-Input'!D141)</f>
        <v/>
      </c>
      <c r="E142" s="7" t="str">
        <f>IF('RFQ-Input'!E141="","",'RFQ-Input'!E141)</f>
        <v/>
      </c>
      <c r="F142" s="7" t="str">
        <f>IF('RFQ-Input'!F141="","",'RFQ-Input'!F141)</f>
        <v/>
      </c>
      <c r="G142" s="7" t="str">
        <f>IF('RFQ-Input'!G141="","",'RFQ-Input'!G141)</f>
        <v/>
      </c>
      <c r="H142" s="7" t="str">
        <f>IF('RFQ-Input'!H141="","",'RFQ-Input'!H141)</f>
        <v/>
      </c>
      <c r="I142" s="7" t="str">
        <f>IF('RFQ-Input'!I141="","",'RFQ-Input'!I141)</f>
        <v/>
      </c>
      <c r="J142" s="7" t="str">
        <f>IF('RFQ-Input'!J141="","",'RFQ-Input'!J141)</f>
        <v/>
      </c>
      <c r="K142" s="7" t="str">
        <f>IF('RFQ-Input'!K141="","",'RFQ-Input'!K141)</f>
        <v/>
      </c>
      <c r="L142" s="7" t="str">
        <f>IF('RFQ-Input'!L141="","",'RFQ-Input'!L141)</f>
        <v/>
      </c>
      <c r="M142" s="7" t="str">
        <f>IF('RFQ-Input'!M141="","",'RFQ-Input'!M141)</f>
        <v/>
      </c>
      <c r="N142" s="7" t="str">
        <f>IF('RFQ-Input'!N141="","",'RFQ-Input'!N141)</f>
        <v/>
      </c>
      <c r="O142" s="7" t="str">
        <f>IF('RFQ-Input'!O141="","",'RFQ-Input'!O141)</f>
        <v/>
      </c>
      <c r="Q142" s="7"/>
      <c r="R142" s="7"/>
      <c r="S142" s="7"/>
      <c r="T142" s="7"/>
      <c r="U142" s="7"/>
      <c r="V142" s="7"/>
      <c r="X142" s="7"/>
      <c r="Y142" s="7"/>
      <c r="Z142" s="7"/>
      <c r="AA142" s="7" t="str">
        <f t="shared" si="14"/>
        <v/>
      </c>
      <c r="AB142" s="7"/>
      <c r="AC142" s="7"/>
      <c r="AQ142" s="7" t="str">
        <f t="shared" si="15"/>
        <v/>
      </c>
      <c r="AR142" s="7" t="str">
        <f t="shared" si="16"/>
        <v/>
      </c>
      <c r="AS142" s="7" t="str">
        <f t="shared" si="17"/>
        <v/>
      </c>
      <c r="AT142" s="7" t="str">
        <f t="shared" si="18"/>
        <v/>
      </c>
      <c r="AU142" s="7" t="str">
        <f t="shared" si="19"/>
        <v/>
      </c>
      <c r="AV142" s="7" t="str">
        <f t="shared" si="20"/>
        <v/>
      </c>
      <c r="AW142" s="7" t="str">
        <f>IF('RFQ-Input'!O141="","",'RFQ-Input'!O141)</f>
        <v/>
      </c>
      <c r="AX142" s="7" t="str">
        <f>IF('RFQ-Input'!S141="","",'RFQ-Input'!S141)</f>
        <v/>
      </c>
      <c r="AY142" s="7" t="str">
        <f>IF('RFQ-Input'!V141="","",'RFQ-Input'!V141)</f>
        <v/>
      </c>
      <c r="AZ142" s="7" t="str">
        <f>IF('RFQ-Input'!Y141="","",'RFQ-Input'!Y141)</f>
        <v/>
      </c>
      <c r="BA142" s="7" t="str">
        <f>IF('RFQ-Input'!AB141="","",'RFQ-Input'!AB141)</f>
        <v/>
      </c>
    </row>
    <row r="143" spans="1:53">
      <c r="A143" s="20">
        <v>139</v>
      </c>
      <c r="B143" s="7"/>
      <c r="C143" s="7" t="str">
        <f>IF('RFQ-Input'!C142="","",'RFQ-Input'!C142)</f>
        <v/>
      </c>
      <c r="D143" s="7" t="str">
        <f>IF('RFQ-Input'!D142="","",'RFQ-Input'!D142)</f>
        <v/>
      </c>
      <c r="E143" s="7" t="str">
        <f>IF('RFQ-Input'!E142="","",'RFQ-Input'!E142)</f>
        <v/>
      </c>
      <c r="F143" s="7" t="str">
        <f>IF('RFQ-Input'!F142="","",'RFQ-Input'!F142)</f>
        <v/>
      </c>
      <c r="G143" s="7" t="str">
        <f>IF('RFQ-Input'!G142="","",'RFQ-Input'!G142)</f>
        <v/>
      </c>
      <c r="H143" s="7" t="str">
        <f>IF('RFQ-Input'!H142="","",'RFQ-Input'!H142)</f>
        <v/>
      </c>
      <c r="I143" s="7" t="str">
        <f>IF('RFQ-Input'!I142="","",'RFQ-Input'!I142)</f>
        <v/>
      </c>
      <c r="J143" s="7" t="str">
        <f>IF('RFQ-Input'!J142="","",'RFQ-Input'!J142)</f>
        <v/>
      </c>
      <c r="K143" s="7" t="str">
        <f>IF('RFQ-Input'!K142="","",'RFQ-Input'!K142)</f>
        <v/>
      </c>
      <c r="L143" s="7" t="str">
        <f>IF('RFQ-Input'!L142="","",'RFQ-Input'!L142)</f>
        <v/>
      </c>
      <c r="M143" s="7" t="str">
        <f>IF('RFQ-Input'!M142="","",'RFQ-Input'!M142)</f>
        <v/>
      </c>
      <c r="N143" s="7" t="str">
        <f>IF('RFQ-Input'!N142="","",'RFQ-Input'!N142)</f>
        <v/>
      </c>
      <c r="O143" s="7" t="str">
        <f>IF('RFQ-Input'!O142="","",'RFQ-Input'!O142)</f>
        <v/>
      </c>
      <c r="Q143" s="7"/>
      <c r="R143" s="7"/>
      <c r="S143" s="7"/>
      <c r="T143" s="7"/>
      <c r="U143" s="7"/>
      <c r="V143" s="7"/>
      <c r="X143" s="7"/>
      <c r="Y143" s="7"/>
      <c r="Z143" s="7"/>
      <c r="AA143" s="7" t="str">
        <f t="shared" si="14"/>
        <v/>
      </c>
      <c r="AB143" s="7"/>
      <c r="AC143" s="7"/>
      <c r="AQ143" s="7" t="str">
        <f t="shared" si="15"/>
        <v/>
      </c>
      <c r="AR143" s="7" t="str">
        <f t="shared" si="16"/>
        <v/>
      </c>
      <c r="AS143" s="7" t="str">
        <f t="shared" si="17"/>
        <v/>
      </c>
      <c r="AT143" s="7" t="str">
        <f t="shared" si="18"/>
        <v/>
      </c>
      <c r="AU143" s="7" t="str">
        <f t="shared" si="19"/>
        <v/>
      </c>
      <c r="AV143" s="7" t="str">
        <f t="shared" si="20"/>
        <v/>
      </c>
      <c r="AW143" s="7" t="str">
        <f>IF('RFQ-Input'!O142="","",'RFQ-Input'!O142)</f>
        <v/>
      </c>
      <c r="AX143" s="7" t="str">
        <f>IF('RFQ-Input'!S142="","",'RFQ-Input'!S142)</f>
        <v/>
      </c>
      <c r="AY143" s="7" t="str">
        <f>IF('RFQ-Input'!V142="","",'RFQ-Input'!V142)</f>
        <v/>
      </c>
      <c r="AZ143" s="7" t="str">
        <f>IF('RFQ-Input'!Y142="","",'RFQ-Input'!Y142)</f>
        <v/>
      </c>
      <c r="BA143" s="7" t="str">
        <f>IF('RFQ-Input'!AB142="","",'RFQ-Input'!AB142)</f>
        <v/>
      </c>
    </row>
    <row r="144" spans="1:53">
      <c r="A144" s="20">
        <v>140</v>
      </c>
      <c r="B144" s="7"/>
      <c r="C144" s="7" t="str">
        <f>IF('RFQ-Input'!C143="","",'RFQ-Input'!C143)</f>
        <v/>
      </c>
      <c r="D144" s="7" t="str">
        <f>IF('RFQ-Input'!D143="","",'RFQ-Input'!D143)</f>
        <v/>
      </c>
      <c r="E144" s="7" t="str">
        <f>IF('RFQ-Input'!E143="","",'RFQ-Input'!E143)</f>
        <v/>
      </c>
      <c r="F144" s="7" t="str">
        <f>IF('RFQ-Input'!F143="","",'RFQ-Input'!F143)</f>
        <v/>
      </c>
      <c r="G144" s="7" t="str">
        <f>IF('RFQ-Input'!G143="","",'RFQ-Input'!G143)</f>
        <v/>
      </c>
      <c r="H144" s="7" t="str">
        <f>IF('RFQ-Input'!H143="","",'RFQ-Input'!H143)</f>
        <v/>
      </c>
      <c r="I144" s="7" t="str">
        <f>IF('RFQ-Input'!I143="","",'RFQ-Input'!I143)</f>
        <v/>
      </c>
      <c r="J144" s="7" t="str">
        <f>IF('RFQ-Input'!J143="","",'RFQ-Input'!J143)</f>
        <v/>
      </c>
      <c r="K144" s="7" t="str">
        <f>IF('RFQ-Input'!K143="","",'RFQ-Input'!K143)</f>
        <v/>
      </c>
      <c r="L144" s="7" t="str">
        <f>IF('RFQ-Input'!L143="","",'RFQ-Input'!L143)</f>
        <v/>
      </c>
      <c r="M144" s="7" t="str">
        <f>IF('RFQ-Input'!M143="","",'RFQ-Input'!M143)</f>
        <v/>
      </c>
      <c r="N144" s="7" t="str">
        <f>IF('RFQ-Input'!N143="","",'RFQ-Input'!N143)</f>
        <v/>
      </c>
      <c r="O144" s="7" t="str">
        <f>IF('RFQ-Input'!O143="","",'RFQ-Input'!O143)</f>
        <v/>
      </c>
      <c r="Q144" s="7"/>
      <c r="R144" s="7"/>
      <c r="S144" s="7"/>
      <c r="T144" s="7"/>
      <c r="U144" s="7"/>
      <c r="V144" s="7"/>
      <c r="X144" s="7"/>
      <c r="Y144" s="7"/>
      <c r="Z144" s="7"/>
      <c r="AA144" s="7" t="str">
        <f t="shared" si="14"/>
        <v/>
      </c>
      <c r="AB144" s="7"/>
      <c r="AC144" s="7"/>
      <c r="AQ144" s="7" t="str">
        <f t="shared" si="15"/>
        <v/>
      </c>
      <c r="AR144" s="7" t="str">
        <f t="shared" si="16"/>
        <v/>
      </c>
      <c r="AS144" s="7" t="str">
        <f t="shared" si="17"/>
        <v/>
      </c>
      <c r="AT144" s="7" t="str">
        <f t="shared" si="18"/>
        <v/>
      </c>
      <c r="AU144" s="7" t="str">
        <f t="shared" si="19"/>
        <v/>
      </c>
      <c r="AV144" s="7" t="str">
        <f t="shared" si="20"/>
        <v/>
      </c>
      <c r="AW144" s="7" t="str">
        <f>IF('RFQ-Input'!O143="","",'RFQ-Input'!O143)</f>
        <v/>
      </c>
      <c r="AX144" s="7" t="str">
        <f>IF('RFQ-Input'!S143="","",'RFQ-Input'!S143)</f>
        <v/>
      </c>
      <c r="AY144" s="7" t="str">
        <f>IF('RFQ-Input'!V143="","",'RFQ-Input'!V143)</f>
        <v/>
      </c>
      <c r="AZ144" s="7" t="str">
        <f>IF('RFQ-Input'!Y143="","",'RFQ-Input'!Y143)</f>
        <v/>
      </c>
      <c r="BA144" s="7" t="str">
        <f>IF('RFQ-Input'!AB143="","",'RFQ-Input'!AB143)</f>
        <v/>
      </c>
    </row>
    <row r="145" spans="1:53">
      <c r="A145" s="20">
        <v>141</v>
      </c>
      <c r="B145" s="7"/>
      <c r="C145" s="7" t="str">
        <f>IF('RFQ-Input'!C144="","",'RFQ-Input'!C144)</f>
        <v/>
      </c>
      <c r="D145" s="7" t="str">
        <f>IF('RFQ-Input'!D144="","",'RFQ-Input'!D144)</f>
        <v/>
      </c>
      <c r="E145" s="7" t="str">
        <f>IF('RFQ-Input'!E144="","",'RFQ-Input'!E144)</f>
        <v/>
      </c>
      <c r="F145" s="7" t="str">
        <f>IF('RFQ-Input'!F144="","",'RFQ-Input'!F144)</f>
        <v/>
      </c>
      <c r="G145" s="7" t="str">
        <f>IF('RFQ-Input'!G144="","",'RFQ-Input'!G144)</f>
        <v/>
      </c>
      <c r="H145" s="7" t="str">
        <f>IF('RFQ-Input'!H144="","",'RFQ-Input'!H144)</f>
        <v/>
      </c>
      <c r="I145" s="7" t="str">
        <f>IF('RFQ-Input'!I144="","",'RFQ-Input'!I144)</f>
        <v/>
      </c>
      <c r="J145" s="7" t="str">
        <f>IF('RFQ-Input'!J144="","",'RFQ-Input'!J144)</f>
        <v/>
      </c>
      <c r="K145" s="7" t="str">
        <f>IF('RFQ-Input'!K144="","",'RFQ-Input'!K144)</f>
        <v/>
      </c>
      <c r="L145" s="7" t="str">
        <f>IF('RFQ-Input'!L144="","",'RFQ-Input'!L144)</f>
        <v/>
      </c>
      <c r="M145" s="7" t="str">
        <f>IF('RFQ-Input'!M144="","",'RFQ-Input'!M144)</f>
        <v/>
      </c>
      <c r="N145" s="7" t="str">
        <f>IF('RFQ-Input'!N144="","",'RFQ-Input'!N144)</f>
        <v/>
      </c>
      <c r="O145" s="7" t="str">
        <f>IF('RFQ-Input'!O144="","",'RFQ-Input'!O144)</f>
        <v/>
      </c>
      <c r="Q145" s="7"/>
      <c r="R145" s="7"/>
      <c r="S145" s="7"/>
      <c r="T145" s="7"/>
      <c r="U145" s="7"/>
      <c r="V145" s="7"/>
      <c r="X145" s="7"/>
      <c r="Y145" s="7"/>
      <c r="Z145" s="7"/>
      <c r="AA145" s="7" t="str">
        <f t="shared" si="14"/>
        <v/>
      </c>
      <c r="AB145" s="7"/>
      <c r="AC145" s="7"/>
      <c r="AQ145" s="7" t="str">
        <f t="shared" si="15"/>
        <v/>
      </c>
      <c r="AR145" s="7" t="str">
        <f t="shared" si="16"/>
        <v/>
      </c>
      <c r="AS145" s="7" t="str">
        <f t="shared" si="17"/>
        <v/>
      </c>
      <c r="AT145" s="7" t="str">
        <f t="shared" si="18"/>
        <v/>
      </c>
      <c r="AU145" s="7" t="str">
        <f t="shared" si="19"/>
        <v/>
      </c>
      <c r="AV145" s="7" t="str">
        <f t="shared" si="20"/>
        <v/>
      </c>
      <c r="AW145" s="7" t="str">
        <f>IF('RFQ-Input'!O144="","",'RFQ-Input'!O144)</f>
        <v/>
      </c>
      <c r="AX145" s="7" t="str">
        <f>IF('RFQ-Input'!S144="","",'RFQ-Input'!S144)</f>
        <v/>
      </c>
      <c r="AY145" s="7" t="str">
        <f>IF('RFQ-Input'!V144="","",'RFQ-Input'!V144)</f>
        <v/>
      </c>
      <c r="AZ145" s="7" t="str">
        <f>IF('RFQ-Input'!Y144="","",'RFQ-Input'!Y144)</f>
        <v/>
      </c>
      <c r="BA145" s="7" t="str">
        <f>IF('RFQ-Input'!AB144="","",'RFQ-Input'!AB144)</f>
        <v/>
      </c>
    </row>
    <row r="146" spans="1:53">
      <c r="A146" s="20">
        <v>142</v>
      </c>
      <c r="B146" s="7"/>
      <c r="C146" s="7" t="str">
        <f>IF('RFQ-Input'!C145="","",'RFQ-Input'!C145)</f>
        <v/>
      </c>
      <c r="D146" s="7" t="str">
        <f>IF('RFQ-Input'!D145="","",'RFQ-Input'!D145)</f>
        <v/>
      </c>
      <c r="E146" s="7" t="str">
        <f>IF('RFQ-Input'!E145="","",'RFQ-Input'!E145)</f>
        <v/>
      </c>
      <c r="F146" s="7" t="str">
        <f>IF('RFQ-Input'!F145="","",'RFQ-Input'!F145)</f>
        <v/>
      </c>
      <c r="G146" s="7" t="str">
        <f>IF('RFQ-Input'!G145="","",'RFQ-Input'!G145)</f>
        <v/>
      </c>
      <c r="H146" s="7" t="str">
        <f>IF('RFQ-Input'!H145="","",'RFQ-Input'!H145)</f>
        <v/>
      </c>
      <c r="I146" s="7" t="str">
        <f>IF('RFQ-Input'!I145="","",'RFQ-Input'!I145)</f>
        <v/>
      </c>
      <c r="J146" s="7" t="str">
        <f>IF('RFQ-Input'!J145="","",'RFQ-Input'!J145)</f>
        <v/>
      </c>
      <c r="K146" s="7" t="str">
        <f>IF('RFQ-Input'!K145="","",'RFQ-Input'!K145)</f>
        <v/>
      </c>
      <c r="L146" s="7" t="str">
        <f>IF('RFQ-Input'!L145="","",'RFQ-Input'!L145)</f>
        <v/>
      </c>
      <c r="M146" s="7" t="str">
        <f>IF('RFQ-Input'!M145="","",'RFQ-Input'!M145)</f>
        <v/>
      </c>
      <c r="N146" s="7" t="str">
        <f>IF('RFQ-Input'!N145="","",'RFQ-Input'!N145)</f>
        <v/>
      </c>
      <c r="O146" s="7" t="str">
        <f>IF('RFQ-Input'!O145="","",'RFQ-Input'!O145)</f>
        <v/>
      </c>
      <c r="Q146" s="7"/>
      <c r="R146" s="7"/>
      <c r="S146" s="7"/>
      <c r="T146" s="7"/>
      <c r="U146" s="7"/>
      <c r="V146" s="7"/>
      <c r="X146" s="7"/>
      <c r="Y146" s="7"/>
      <c r="Z146" s="7"/>
      <c r="AA146" s="7" t="str">
        <f t="shared" si="14"/>
        <v/>
      </c>
      <c r="AB146" s="7"/>
      <c r="AC146" s="7"/>
      <c r="AQ146" s="7" t="str">
        <f t="shared" si="15"/>
        <v/>
      </c>
      <c r="AR146" s="7" t="str">
        <f t="shared" si="16"/>
        <v/>
      </c>
      <c r="AS146" s="7" t="str">
        <f t="shared" si="17"/>
        <v/>
      </c>
      <c r="AT146" s="7" t="str">
        <f t="shared" si="18"/>
        <v/>
      </c>
      <c r="AU146" s="7" t="str">
        <f t="shared" si="19"/>
        <v/>
      </c>
      <c r="AV146" s="7" t="str">
        <f t="shared" si="20"/>
        <v/>
      </c>
      <c r="AW146" s="7" t="str">
        <f>IF('RFQ-Input'!O145="","",'RFQ-Input'!O145)</f>
        <v/>
      </c>
      <c r="AX146" s="7" t="str">
        <f>IF('RFQ-Input'!S145="","",'RFQ-Input'!S145)</f>
        <v/>
      </c>
      <c r="AY146" s="7" t="str">
        <f>IF('RFQ-Input'!V145="","",'RFQ-Input'!V145)</f>
        <v/>
      </c>
      <c r="AZ146" s="7" t="str">
        <f>IF('RFQ-Input'!Y145="","",'RFQ-Input'!Y145)</f>
        <v/>
      </c>
      <c r="BA146" s="7" t="str">
        <f>IF('RFQ-Input'!AB145="","",'RFQ-Input'!AB145)</f>
        <v/>
      </c>
    </row>
    <row r="147" spans="1:53">
      <c r="A147" s="20">
        <v>143</v>
      </c>
      <c r="B147" s="7"/>
      <c r="C147" s="7" t="str">
        <f>IF('RFQ-Input'!C146="","",'RFQ-Input'!C146)</f>
        <v/>
      </c>
      <c r="D147" s="7" t="str">
        <f>IF('RFQ-Input'!D146="","",'RFQ-Input'!D146)</f>
        <v/>
      </c>
      <c r="E147" s="7" t="str">
        <f>IF('RFQ-Input'!E146="","",'RFQ-Input'!E146)</f>
        <v/>
      </c>
      <c r="F147" s="7" t="str">
        <f>IF('RFQ-Input'!F146="","",'RFQ-Input'!F146)</f>
        <v/>
      </c>
      <c r="G147" s="7" t="str">
        <f>IF('RFQ-Input'!G146="","",'RFQ-Input'!G146)</f>
        <v/>
      </c>
      <c r="H147" s="7" t="str">
        <f>IF('RFQ-Input'!H146="","",'RFQ-Input'!H146)</f>
        <v/>
      </c>
      <c r="I147" s="7" t="str">
        <f>IF('RFQ-Input'!I146="","",'RFQ-Input'!I146)</f>
        <v/>
      </c>
      <c r="J147" s="7" t="str">
        <f>IF('RFQ-Input'!J146="","",'RFQ-Input'!J146)</f>
        <v/>
      </c>
      <c r="K147" s="7" t="str">
        <f>IF('RFQ-Input'!K146="","",'RFQ-Input'!K146)</f>
        <v/>
      </c>
      <c r="L147" s="7" t="str">
        <f>IF('RFQ-Input'!L146="","",'RFQ-Input'!L146)</f>
        <v/>
      </c>
      <c r="M147" s="7" t="str">
        <f>IF('RFQ-Input'!M146="","",'RFQ-Input'!M146)</f>
        <v/>
      </c>
      <c r="N147" s="7" t="str">
        <f>IF('RFQ-Input'!N146="","",'RFQ-Input'!N146)</f>
        <v/>
      </c>
      <c r="O147" s="7" t="str">
        <f>IF('RFQ-Input'!O146="","",'RFQ-Input'!O146)</f>
        <v/>
      </c>
      <c r="Q147" s="7"/>
      <c r="R147" s="7"/>
      <c r="S147" s="7"/>
      <c r="T147" s="7"/>
      <c r="U147" s="7"/>
      <c r="V147" s="7"/>
      <c r="X147" s="7"/>
      <c r="Y147" s="7"/>
      <c r="Z147" s="7"/>
      <c r="AA147" s="7" t="str">
        <f t="shared" si="14"/>
        <v/>
      </c>
      <c r="AB147" s="7"/>
      <c r="AC147" s="7"/>
      <c r="AQ147" s="7" t="str">
        <f t="shared" si="15"/>
        <v/>
      </c>
      <c r="AR147" s="7" t="str">
        <f t="shared" si="16"/>
        <v/>
      </c>
      <c r="AS147" s="7" t="str">
        <f t="shared" si="17"/>
        <v/>
      </c>
      <c r="AT147" s="7" t="str">
        <f t="shared" si="18"/>
        <v/>
      </c>
      <c r="AU147" s="7" t="str">
        <f t="shared" si="19"/>
        <v/>
      </c>
      <c r="AV147" s="7" t="str">
        <f t="shared" si="20"/>
        <v/>
      </c>
      <c r="AW147" s="7" t="str">
        <f>IF('RFQ-Input'!O146="","",'RFQ-Input'!O146)</f>
        <v/>
      </c>
      <c r="AX147" s="7" t="str">
        <f>IF('RFQ-Input'!S146="","",'RFQ-Input'!S146)</f>
        <v/>
      </c>
      <c r="AY147" s="7" t="str">
        <f>IF('RFQ-Input'!V146="","",'RFQ-Input'!V146)</f>
        <v/>
      </c>
      <c r="AZ147" s="7" t="str">
        <f>IF('RFQ-Input'!Y146="","",'RFQ-Input'!Y146)</f>
        <v/>
      </c>
      <c r="BA147" s="7" t="str">
        <f>IF('RFQ-Input'!AB146="","",'RFQ-Input'!AB146)</f>
        <v/>
      </c>
    </row>
    <row r="148" spans="1:53">
      <c r="A148" s="20">
        <v>144</v>
      </c>
      <c r="B148" s="7"/>
      <c r="C148" s="7" t="str">
        <f>IF('RFQ-Input'!C147="","",'RFQ-Input'!C147)</f>
        <v/>
      </c>
      <c r="D148" s="7" t="str">
        <f>IF('RFQ-Input'!D147="","",'RFQ-Input'!D147)</f>
        <v/>
      </c>
      <c r="E148" s="7" t="str">
        <f>IF('RFQ-Input'!E147="","",'RFQ-Input'!E147)</f>
        <v/>
      </c>
      <c r="F148" s="7" t="str">
        <f>IF('RFQ-Input'!F147="","",'RFQ-Input'!F147)</f>
        <v/>
      </c>
      <c r="G148" s="7" t="str">
        <f>IF('RFQ-Input'!G147="","",'RFQ-Input'!G147)</f>
        <v/>
      </c>
      <c r="H148" s="7" t="str">
        <f>IF('RFQ-Input'!H147="","",'RFQ-Input'!H147)</f>
        <v/>
      </c>
      <c r="I148" s="7" t="str">
        <f>IF('RFQ-Input'!I147="","",'RFQ-Input'!I147)</f>
        <v/>
      </c>
      <c r="J148" s="7" t="str">
        <f>IF('RFQ-Input'!J147="","",'RFQ-Input'!J147)</f>
        <v/>
      </c>
      <c r="K148" s="7" t="str">
        <f>IF('RFQ-Input'!K147="","",'RFQ-Input'!K147)</f>
        <v/>
      </c>
      <c r="L148" s="7" t="str">
        <f>IF('RFQ-Input'!L147="","",'RFQ-Input'!L147)</f>
        <v/>
      </c>
      <c r="M148" s="7" t="str">
        <f>IF('RFQ-Input'!M147="","",'RFQ-Input'!M147)</f>
        <v/>
      </c>
      <c r="N148" s="7" t="str">
        <f>IF('RFQ-Input'!N147="","",'RFQ-Input'!N147)</f>
        <v/>
      </c>
      <c r="O148" s="7" t="str">
        <f>IF('RFQ-Input'!O147="","",'RFQ-Input'!O147)</f>
        <v/>
      </c>
      <c r="Q148" s="7"/>
      <c r="R148" s="7"/>
      <c r="S148" s="7"/>
      <c r="T148" s="7"/>
      <c r="U148" s="7"/>
      <c r="V148" s="7"/>
      <c r="X148" s="7"/>
      <c r="Y148" s="7"/>
      <c r="Z148" s="7"/>
      <c r="AA148" s="7" t="str">
        <f t="shared" si="14"/>
        <v/>
      </c>
      <c r="AB148" s="7"/>
      <c r="AC148" s="7"/>
      <c r="AQ148" s="7" t="str">
        <f t="shared" si="15"/>
        <v/>
      </c>
      <c r="AR148" s="7" t="str">
        <f t="shared" si="16"/>
        <v/>
      </c>
      <c r="AS148" s="7" t="str">
        <f t="shared" si="17"/>
        <v/>
      </c>
      <c r="AT148" s="7" t="str">
        <f t="shared" si="18"/>
        <v/>
      </c>
      <c r="AU148" s="7" t="str">
        <f t="shared" si="19"/>
        <v/>
      </c>
      <c r="AV148" s="7" t="str">
        <f t="shared" si="20"/>
        <v/>
      </c>
      <c r="AW148" s="7" t="str">
        <f>IF('RFQ-Input'!O147="","",'RFQ-Input'!O147)</f>
        <v/>
      </c>
      <c r="AX148" s="7" t="str">
        <f>IF('RFQ-Input'!S147="","",'RFQ-Input'!S147)</f>
        <v/>
      </c>
      <c r="AY148" s="7" t="str">
        <f>IF('RFQ-Input'!V147="","",'RFQ-Input'!V147)</f>
        <v/>
      </c>
      <c r="AZ148" s="7" t="str">
        <f>IF('RFQ-Input'!Y147="","",'RFQ-Input'!Y147)</f>
        <v/>
      </c>
      <c r="BA148" s="7" t="str">
        <f>IF('RFQ-Input'!AB147="","",'RFQ-Input'!AB147)</f>
        <v/>
      </c>
    </row>
    <row r="149" spans="1:53">
      <c r="A149" s="20">
        <v>145</v>
      </c>
      <c r="B149" s="7"/>
      <c r="C149" s="7" t="str">
        <f>IF('RFQ-Input'!C148="","",'RFQ-Input'!C148)</f>
        <v/>
      </c>
      <c r="D149" s="7" t="str">
        <f>IF('RFQ-Input'!D148="","",'RFQ-Input'!D148)</f>
        <v/>
      </c>
      <c r="E149" s="7" t="str">
        <f>IF('RFQ-Input'!E148="","",'RFQ-Input'!E148)</f>
        <v/>
      </c>
      <c r="F149" s="7" t="str">
        <f>IF('RFQ-Input'!F148="","",'RFQ-Input'!F148)</f>
        <v/>
      </c>
      <c r="G149" s="7" t="str">
        <f>IF('RFQ-Input'!G148="","",'RFQ-Input'!G148)</f>
        <v/>
      </c>
      <c r="H149" s="7" t="str">
        <f>IF('RFQ-Input'!H148="","",'RFQ-Input'!H148)</f>
        <v/>
      </c>
      <c r="I149" s="7" t="str">
        <f>IF('RFQ-Input'!I148="","",'RFQ-Input'!I148)</f>
        <v/>
      </c>
      <c r="J149" s="7" t="str">
        <f>IF('RFQ-Input'!J148="","",'RFQ-Input'!J148)</f>
        <v/>
      </c>
      <c r="K149" s="7" t="str">
        <f>IF('RFQ-Input'!K148="","",'RFQ-Input'!K148)</f>
        <v/>
      </c>
      <c r="L149" s="7" t="str">
        <f>IF('RFQ-Input'!L148="","",'RFQ-Input'!L148)</f>
        <v/>
      </c>
      <c r="M149" s="7" t="str">
        <f>IF('RFQ-Input'!M148="","",'RFQ-Input'!M148)</f>
        <v/>
      </c>
      <c r="N149" s="7" t="str">
        <f>IF('RFQ-Input'!N148="","",'RFQ-Input'!N148)</f>
        <v/>
      </c>
      <c r="O149" s="7" t="str">
        <f>IF('RFQ-Input'!O148="","",'RFQ-Input'!O148)</f>
        <v/>
      </c>
      <c r="Q149" s="7"/>
      <c r="R149" s="7"/>
      <c r="S149" s="7"/>
      <c r="T149" s="7"/>
      <c r="U149" s="7"/>
      <c r="V149" s="7"/>
      <c r="X149" s="7"/>
      <c r="Y149" s="7"/>
      <c r="Z149" s="7"/>
      <c r="AA149" s="7" t="str">
        <f t="shared" si="14"/>
        <v/>
      </c>
      <c r="AB149" s="7"/>
      <c r="AC149" s="7"/>
      <c r="AQ149" s="7" t="str">
        <f t="shared" si="15"/>
        <v/>
      </c>
      <c r="AR149" s="7" t="str">
        <f t="shared" si="16"/>
        <v/>
      </c>
      <c r="AS149" s="7" t="str">
        <f t="shared" si="17"/>
        <v/>
      </c>
      <c r="AT149" s="7" t="str">
        <f t="shared" si="18"/>
        <v/>
      </c>
      <c r="AU149" s="7" t="str">
        <f t="shared" si="19"/>
        <v/>
      </c>
      <c r="AV149" s="7" t="str">
        <f t="shared" si="20"/>
        <v/>
      </c>
      <c r="AW149" s="7" t="str">
        <f>IF('RFQ-Input'!O148="","",'RFQ-Input'!O148)</f>
        <v/>
      </c>
      <c r="AX149" s="7" t="str">
        <f>IF('RFQ-Input'!S148="","",'RFQ-Input'!S148)</f>
        <v/>
      </c>
      <c r="AY149" s="7" t="str">
        <f>IF('RFQ-Input'!V148="","",'RFQ-Input'!V148)</f>
        <v/>
      </c>
      <c r="AZ149" s="7" t="str">
        <f>IF('RFQ-Input'!Y148="","",'RFQ-Input'!Y148)</f>
        <v/>
      </c>
      <c r="BA149" s="7" t="str">
        <f>IF('RFQ-Input'!AB148="","",'RFQ-Input'!AB148)</f>
        <v/>
      </c>
    </row>
    <row r="150" spans="1:53">
      <c r="A150" s="20">
        <v>146</v>
      </c>
      <c r="B150" s="7"/>
      <c r="C150" s="7" t="str">
        <f>IF('RFQ-Input'!C149="","",'RFQ-Input'!C149)</f>
        <v/>
      </c>
      <c r="D150" s="7" t="str">
        <f>IF('RFQ-Input'!D149="","",'RFQ-Input'!D149)</f>
        <v/>
      </c>
      <c r="E150" s="7" t="str">
        <f>IF('RFQ-Input'!E149="","",'RFQ-Input'!E149)</f>
        <v/>
      </c>
      <c r="F150" s="7" t="str">
        <f>IF('RFQ-Input'!F149="","",'RFQ-Input'!F149)</f>
        <v/>
      </c>
      <c r="G150" s="7" t="str">
        <f>IF('RFQ-Input'!G149="","",'RFQ-Input'!G149)</f>
        <v/>
      </c>
      <c r="H150" s="7" t="str">
        <f>IF('RFQ-Input'!H149="","",'RFQ-Input'!H149)</f>
        <v/>
      </c>
      <c r="I150" s="7" t="str">
        <f>IF('RFQ-Input'!I149="","",'RFQ-Input'!I149)</f>
        <v/>
      </c>
      <c r="J150" s="7" t="str">
        <f>IF('RFQ-Input'!J149="","",'RFQ-Input'!J149)</f>
        <v/>
      </c>
      <c r="K150" s="7" t="str">
        <f>IF('RFQ-Input'!K149="","",'RFQ-Input'!K149)</f>
        <v/>
      </c>
      <c r="L150" s="7" t="str">
        <f>IF('RFQ-Input'!L149="","",'RFQ-Input'!L149)</f>
        <v/>
      </c>
      <c r="M150" s="7" t="str">
        <f>IF('RFQ-Input'!M149="","",'RFQ-Input'!M149)</f>
        <v/>
      </c>
      <c r="N150" s="7" t="str">
        <f>IF('RFQ-Input'!N149="","",'RFQ-Input'!N149)</f>
        <v/>
      </c>
      <c r="O150" s="7" t="str">
        <f>IF('RFQ-Input'!O149="","",'RFQ-Input'!O149)</f>
        <v/>
      </c>
      <c r="Q150" s="7"/>
      <c r="R150" s="7"/>
      <c r="S150" s="7"/>
      <c r="T150" s="7"/>
      <c r="U150" s="7"/>
      <c r="V150" s="7"/>
      <c r="X150" s="7"/>
      <c r="Y150" s="7"/>
      <c r="Z150" s="7"/>
      <c r="AA150" s="7" t="str">
        <f t="shared" si="14"/>
        <v/>
      </c>
      <c r="AB150" s="7"/>
      <c r="AC150" s="7"/>
      <c r="AQ150" s="7" t="str">
        <f t="shared" si="15"/>
        <v/>
      </c>
      <c r="AR150" s="7" t="str">
        <f t="shared" si="16"/>
        <v/>
      </c>
      <c r="AS150" s="7" t="str">
        <f t="shared" si="17"/>
        <v/>
      </c>
      <c r="AT150" s="7" t="str">
        <f t="shared" si="18"/>
        <v/>
      </c>
      <c r="AU150" s="7" t="str">
        <f t="shared" si="19"/>
        <v/>
      </c>
      <c r="AV150" s="7" t="str">
        <f t="shared" si="20"/>
        <v/>
      </c>
      <c r="AW150" s="7" t="str">
        <f>IF('RFQ-Input'!O149="","",'RFQ-Input'!O149)</f>
        <v/>
      </c>
      <c r="AX150" s="7" t="str">
        <f>IF('RFQ-Input'!S149="","",'RFQ-Input'!S149)</f>
        <v/>
      </c>
      <c r="AY150" s="7" t="str">
        <f>IF('RFQ-Input'!V149="","",'RFQ-Input'!V149)</f>
        <v/>
      </c>
      <c r="AZ150" s="7" t="str">
        <f>IF('RFQ-Input'!Y149="","",'RFQ-Input'!Y149)</f>
        <v/>
      </c>
      <c r="BA150" s="7" t="str">
        <f>IF('RFQ-Input'!AB149="","",'RFQ-Input'!AB149)</f>
        <v/>
      </c>
    </row>
    <row r="151" spans="1:53">
      <c r="A151" s="20">
        <v>147</v>
      </c>
      <c r="B151" s="7"/>
      <c r="C151" s="7" t="str">
        <f>IF('RFQ-Input'!C150="","",'RFQ-Input'!C150)</f>
        <v/>
      </c>
      <c r="D151" s="7" t="str">
        <f>IF('RFQ-Input'!D150="","",'RFQ-Input'!D150)</f>
        <v/>
      </c>
      <c r="E151" s="7" t="str">
        <f>IF('RFQ-Input'!E150="","",'RFQ-Input'!E150)</f>
        <v/>
      </c>
      <c r="F151" s="7" t="str">
        <f>IF('RFQ-Input'!F150="","",'RFQ-Input'!F150)</f>
        <v/>
      </c>
      <c r="G151" s="7" t="str">
        <f>IF('RFQ-Input'!G150="","",'RFQ-Input'!G150)</f>
        <v/>
      </c>
      <c r="H151" s="7" t="str">
        <f>IF('RFQ-Input'!H150="","",'RFQ-Input'!H150)</f>
        <v/>
      </c>
      <c r="I151" s="7" t="str">
        <f>IF('RFQ-Input'!I150="","",'RFQ-Input'!I150)</f>
        <v/>
      </c>
      <c r="J151" s="7" t="str">
        <f>IF('RFQ-Input'!J150="","",'RFQ-Input'!J150)</f>
        <v/>
      </c>
      <c r="K151" s="7" t="str">
        <f>IF('RFQ-Input'!K150="","",'RFQ-Input'!K150)</f>
        <v/>
      </c>
      <c r="L151" s="7" t="str">
        <f>IF('RFQ-Input'!L150="","",'RFQ-Input'!L150)</f>
        <v/>
      </c>
      <c r="M151" s="7" t="str">
        <f>IF('RFQ-Input'!M150="","",'RFQ-Input'!M150)</f>
        <v/>
      </c>
      <c r="N151" s="7" t="str">
        <f>IF('RFQ-Input'!N150="","",'RFQ-Input'!N150)</f>
        <v/>
      </c>
      <c r="O151" s="7" t="str">
        <f>IF('RFQ-Input'!O150="","",'RFQ-Input'!O150)</f>
        <v/>
      </c>
      <c r="Q151" s="7"/>
      <c r="R151" s="7"/>
      <c r="S151" s="7"/>
      <c r="T151" s="7"/>
      <c r="U151" s="7"/>
      <c r="V151" s="7"/>
      <c r="X151" s="7"/>
      <c r="Y151" s="7"/>
      <c r="Z151" s="7"/>
      <c r="AA151" s="7" t="str">
        <f t="shared" si="14"/>
        <v/>
      </c>
      <c r="AB151" s="7"/>
      <c r="AC151" s="7"/>
      <c r="AQ151" s="7" t="str">
        <f t="shared" si="15"/>
        <v/>
      </c>
      <c r="AR151" s="7" t="str">
        <f t="shared" si="16"/>
        <v/>
      </c>
      <c r="AS151" s="7" t="str">
        <f t="shared" si="17"/>
        <v/>
      </c>
      <c r="AT151" s="7" t="str">
        <f t="shared" si="18"/>
        <v/>
      </c>
      <c r="AU151" s="7" t="str">
        <f t="shared" si="19"/>
        <v/>
      </c>
      <c r="AV151" s="7" t="str">
        <f t="shared" si="20"/>
        <v/>
      </c>
      <c r="AW151" s="7" t="str">
        <f>IF('RFQ-Input'!O150="","",'RFQ-Input'!O150)</f>
        <v/>
      </c>
      <c r="AX151" s="7" t="str">
        <f>IF('RFQ-Input'!S150="","",'RFQ-Input'!S150)</f>
        <v/>
      </c>
      <c r="AY151" s="7" t="str">
        <f>IF('RFQ-Input'!V150="","",'RFQ-Input'!V150)</f>
        <v/>
      </c>
      <c r="AZ151" s="7" t="str">
        <f>IF('RFQ-Input'!Y150="","",'RFQ-Input'!Y150)</f>
        <v/>
      </c>
      <c r="BA151" s="7" t="str">
        <f>IF('RFQ-Input'!AB150="","",'RFQ-Input'!AB150)</f>
        <v/>
      </c>
    </row>
    <row r="152" spans="1:53">
      <c r="A152" s="20">
        <v>148</v>
      </c>
      <c r="B152" s="7"/>
      <c r="C152" s="7" t="str">
        <f>IF('RFQ-Input'!C151="","",'RFQ-Input'!C151)</f>
        <v/>
      </c>
      <c r="D152" s="7" t="str">
        <f>IF('RFQ-Input'!D151="","",'RFQ-Input'!D151)</f>
        <v/>
      </c>
      <c r="E152" s="7" t="str">
        <f>IF('RFQ-Input'!E151="","",'RFQ-Input'!E151)</f>
        <v/>
      </c>
      <c r="F152" s="7" t="str">
        <f>IF('RFQ-Input'!F151="","",'RFQ-Input'!F151)</f>
        <v/>
      </c>
      <c r="G152" s="7" t="str">
        <f>IF('RFQ-Input'!G151="","",'RFQ-Input'!G151)</f>
        <v/>
      </c>
      <c r="H152" s="7" t="str">
        <f>IF('RFQ-Input'!H151="","",'RFQ-Input'!H151)</f>
        <v/>
      </c>
      <c r="I152" s="7" t="str">
        <f>IF('RFQ-Input'!I151="","",'RFQ-Input'!I151)</f>
        <v/>
      </c>
      <c r="J152" s="7" t="str">
        <f>IF('RFQ-Input'!J151="","",'RFQ-Input'!J151)</f>
        <v/>
      </c>
      <c r="K152" s="7" t="str">
        <f>IF('RFQ-Input'!K151="","",'RFQ-Input'!K151)</f>
        <v/>
      </c>
      <c r="L152" s="7" t="str">
        <f>IF('RFQ-Input'!L151="","",'RFQ-Input'!L151)</f>
        <v/>
      </c>
      <c r="M152" s="7" t="str">
        <f>IF('RFQ-Input'!M151="","",'RFQ-Input'!M151)</f>
        <v/>
      </c>
      <c r="N152" s="7" t="str">
        <f>IF('RFQ-Input'!N151="","",'RFQ-Input'!N151)</f>
        <v/>
      </c>
      <c r="O152" s="7" t="str">
        <f>IF('RFQ-Input'!O151="","",'RFQ-Input'!O151)</f>
        <v/>
      </c>
      <c r="Q152" s="7"/>
      <c r="R152" s="7"/>
      <c r="S152" s="7"/>
      <c r="T152" s="7"/>
      <c r="U152" s="7"/>
      <c r="V152" s="7"/>
      <c r="X152" s="7"/>
      <c r="Y152" s="7"/>
      <c r="Z152" s="7"/>
      <c r="AA152" s="7" t="str">
        <f t="shared" si="14"/>
        <v/>
      </c>
      <c r="AB152" s="7"/>
      <c r="AC152" s="7"/>
      <c r="AQ152" s="7" t="str">
        <f t="shared" si="15"/>
        <v/>
      </c>
      <c r="AR152" s="7" t="str">
        <f t="shared" si="16"/>
        <v/>
      </c>
      <c r="AS152" s="7" t="str">
        <f t="shared" si="17"/>
        <v/>
      </c>
      <c r="AT152" s="7" t="str">
        <f t="shared" si="18"/>
        <v/>
      </c>
      <c r="AU152" s="7" t="str">
        <f t="shared" si="19"/>
        <v/>
      </c>
      <c r="AV152" s="7" t="str">
        <f t="shared" si="20"/>
        <v/>
      </c>
      <c r="AW152" s="7" t="str">
        <f>IF('RFQ-Input'!O151="","",'RFQ-Input'!O151)</f>
        <v/>
      </c>
      <c r="AX152" s="7" t="str">
        <f>IF('RFQ-Input'!S151="","",'RFQ-Input'!S151)</f>
        <v/>
      </c>
      <c r="AY152" s="7" t="str">
        <f>IF('RFQ-Input'!V151="","",'RFQ-Input'!V151)</f>
        <v/>
      </c>
      <c r="AZ152" s="7" t="str">
        <f>IF('RFQ-Input'!Y151="","",'RFQ-Input'!Y151)</f>
        <v/>
      </c>
      <c r="BA152" s="7" t="str">
        <f>IF('RFQ-Input'!AB151="","",'RFQ-Input'!AB151)</f>
        <v/>
      </c>
    </row>
    <row r="153" spans="1:53">
      <c r="A153" s="20">
        <v>149</v>
      </c>
      <c r="B153" s="7"/>
      <c r="C153" s="7" t="str">
        <f>IF('RFQ-Input'!C152="","",'RFQ-Input'!C152)</f>
        <v/>
      </c>
      <c r="D153" s="7" t="str">
        <f>IF('RFQ-Input'!D152="","",'RFQ-Input'!D152)</f>
        <v/>
      </c>
      <c r="E153" s="7" t="str">
        <f>IF('RFQ-Input'!E152="","",'RFQ-Input'!E152)</f>
        <v/>
      </c>
      <c r="F153" s="7" t="str">
        <f>IF('RFQ-Input'!F152="","",'RFQ-Input'!F152)</f>
        <v/>
      </c>
      <c r="G153" s="7" t="str">
        <f>IF('RFQ-Input'!G152="","",'RFQ-Input'!G152)</f>
        <v/>
      </c>
      <c r="H153" s="7" t="str">
        <f>IF('RFQ-Input'!H152="","",'RFQ-Input'!H152)</f>
        <v/>
      </c>
      <c r="I153" s="7" t="str">
        <f>IF('RFQ-Input'!I152="","",'RFQ-Input'!I152)</f>
        <v/>
      </c>
      <c r="J153" s="7" t="str">
        <f>IF('RFQ-Input'!J152="","",'RFQ-Input'!J152)</f>
        <v/>
      </c>
      <c r="K153" s="7" t="str">
        <f>IF('RFQ-Input'!K152="","",'RFQ-Input'!K152)</f>
        <v/>
      </c>
      <c r="L153" s="7" t="str">
        <f>IF('RFQ-Input'!L152="","",'RFQ-Input'!L152)</f>
        <v/>
      </c>
      <c r="M153" s="7" t="str">
        <f>IF('RFQ-Input'!M152="","",'RFQ-Input'!M152)</f>
        <v/>
      </c>
      <c r="N153" s="7" t="str">
        <f>IF('RFQ-Input'!N152="","",'RFQ-Input'!N152)</f>
        <v/>
      </c>
      <c r="O153" s="7" t="str">
        <f>IF('RFQ-Input'!O152="","",'RFQ-Input'!O152)</f>
        <v/>
      </c>
      <c r="Q153" s="7"/>
      <c r="R153" s="7"/>
      <c r="S153" s="7"/>
      <c r="T153" s="7"/>
      <c r="U153" s="7"/>
      <c r="V153" s="7"/>
      <c r="X153" s="7"/>
      <c r="Y153" s="7"/>
      <c r="Z153" s="7"/>
      <c r="AA153" s="7" t="str">
        <f t="shared" si="14"/>
        <v/>
      </c>
      <c r="AB153" s="7"/>
      <c r="AC153" s="7"/>
      <c r="AQ153" s="7" t="str">
        <f t="shared" si="15"/>
        <v/>
      </c>
      <c r="AR153" s="7" t="str">
        <f t="shared" si="16"/>
        <v/>
      </c>
      <c r="AS153" s="7" t="str">
        <f t="shared" si="17"/>
        <v/>
      </c>
      <c r="AT153" s="7" t="str">
        <f t="shared" si="18"/>
        <v/>
      </c>
      <c r="AU153" s="7" t="str">
        <f t="shared" si="19"/>
        <v/>
      </c>
      <c r="AV153" s="7" t="str">
        <f t="shared" si="20"/>
        <v/>
      </c>
      <c r="AW153" s="7" t="str">
        <f>IF('RFQ-Input'!O152="","",'RFQ-Input'!O152)</f>
        <v/>
      </c>
      <c r="AX153" s="7" t="str">
        <f>IF('RFQ-Input'!S152="","",'RFQ-Input'!S152)</f>
        <v/>
      </c>
      <c r="AY153" s="7" t="str">
        <f>IF('RFQ-Input'!V152="","",'RFQ-Input'!V152)</f>
        <v/>
      </c>
      <c r="AZ153" s="7" t="str">
        <f>IF('RFQ-Input'!Y152="","",'RFQ-Input'!Y152)</f>
        <v/>
      </c>
      <c r="BA153" s="7" t="str">
        <f>IF('RFQ-Input'!AB152="","",'RFQ-Input'!AB152)</f>
        <v/>
      </c>
    </row>
    <row r="154" spans="1:53">
      <c r="A154" s="20">
        <v>150</v>
      </c>
      <c r="B154" s="7"/>
      <c r="C154" s="7" t="str">
        <f>IF('RFQ-Input'!C153="","",'RFQ-Input'!C153)</f>
        <v/>
      </c>
      <c r="D154" s="7" t="str">
        <f>IF('RFQ-Input'!D153="","",'RFQ-Input'!D153)</f>
        <v/>
      </c>
      <c r="E154" s="7" t="str">
        <f>IF('RFQ-Input'!E153="","",'RFQ-Input'!E153)</f>
        <v/>
      </c>
      <c r="F154" s="7" t="str">
        <f>IF('RFQ-Input'!F153="","",'RFQ-Input'!F153)</f>
        <v/>
      </c>
      <c r="G154" s="7" t="str">
        <f>IF('RFQ-Input'!G153="","",'RFQ-Input'!G153)</f>
        <v/>
      </c>
      <c r="H154" s="7" t="str">
        <f>IF('RFQ-Input'!H153="","",'RFQ-Input'!H153)</f>
        <v/>
      </c>
      <c r="I154" s="7" t="str">
        <f>IF('RFQ-Input'!I153="","",'RFQ-Input'!I153)</f>
        <v/>
      </c>
      <c r="J154" s="7" t="str">
        <f>IF('RFQ-Input'!J153="","",'RFQ-Input'!J153)</f>
        <v/>
      </c>
      <c r="K154" s="7" t="str">
        <f>IF('RFQ-Input'!K153="","",'RFQ-Input'!K153)</f>
        <v/>
      </c>
      <c r="L154" s="7" t="str">
        <f>IF('RFQ-Input'!L153="","",'RFQ-Input'!L153)</f>
        <v/>
      </c>
      <c r="M154" s="7" t="str">
        <f>IF('RFQ-Input'!M153="","",'RFQ-Input'!M153)</f>
        <v/>
      </c>
      <c r="N154" s="7" t="str">
        <f>IF('RFQ-Input'!N153="","",'RFQ-Input'!N153)</f>
        <v/>
      </c>
      <c r="O154" s="7" t="str">
        <f>IF('RFQ-Input'!O153="","",'RFQ-Input'!O153)</f>
        <v/>
      </c>
      <c r="Q154" s="7"/>
      <c r="R154" s="7"/>
      <c r="S154" s="7"/>
      <c r="T154" s="7"/>
      <c r="U154" s="7"/>
      <c r="V154" s="7"/>
      <c r="X154" s="7"/>
      <c r="Y154" s="7"/>
      <c r="Z154" s="7"/>
      <c r="AA154" s="7" t="str">
        <f t="shared" si="14"/>
        <v/>
      </c>
      <c r="AB154" s="7"/>
      <c r="AC154" s="7"/>
      <c r="AQ154" s="7" t="str">
        <f t="shared" si="15"/>
        <v/>
      </c>
      <c r="AR154" s="7" t="str">
        <f t="shared" si="16"/>
        <v/>
      </c>
      <c r="AS154" s="7" t="str">
        <f t="shared" si="17"/>
        <v/>
      </c>
      <c r="AT154" s="7" t="str">
        <f t="shared" si="18"/>
        <v/>
      </c>
      <c r="AU154" s="7" t="str">
        <f t="shared" si="19"/>
        <v/>
      </c>
      <c r="AV154" s="7" t="str">
        <f t="shared" si="20"/>
        <v/>
      </c>
      <c r="AW154" s="7" t="str">
        <f>IF('RFQ-Input'!O153="","",'RFQ-Input'!O153)</f>
        <v/>
      </c>
      <c r="AX154" s="7" t="str">
        <f>IF('RFQ-Input'!S153="","",'RFQ-Input'!S153)</f>
        <v/>
      </c>
      <c r="AY154" s="7" t="str">
        <f>IF('RFQ-Input'!V153="","",'RFQ-Input'!V153)</f>
        <v/>
      </c>
      <c r="AZ154" s="7" t="str">
        <f>IF('RFQ-Input'!Y153="","",'RFQ-Input'!Y153)</f>
        <v/>
      </c>
      <c r="BA154" s="7" t="str">
        <f>IF('RFQ-Input'!AB153="","",'RFQ-Input'!AB153)</f>
        <v/>
      </c>
    </row>
    <row r="155" spans="1:53">
      <c r="A155" s="20">
        <v>151</v>
      </c>
      <c r="B155" s="7"/>
      <c r="C155" s="7" t="str">
        <f>IF('RFQ-Input'!C154="","",'RFQ-Input'!C154)</f>
        <v/>
      </c>
      <c r="D155" s="7" t="str">
        <f>IF('RFQ-Input'!D154="","",'RFQ-Input'!D154)</f>
        <v/>
      </c>
      <c r="E155" s="7" t="str">
        <f>IF('RFQ-Input'!E154="","",'RFQ-Input'!E154)</f>
        <v/>
      </c>
      <c r="F155" s="7" t="str">
        <f>IF('RFQ-Input'!F154="","",'RFQ-Input'!F154)</f>
        <v/>
      </c>
      <c r="G155" s="7" t="str">
        <f>IF('RFQ-Input'!G154="","",'RFQ-Input'!G154)</f>
        <v/>
      </c>
      <c r="H155" s="7" t="str">
        <f>IF('RFQ-Input'!H154="","",'RFQ-Input'!H154)</f>
        <v/>
      </c>
      <c r="I155" s="7" t="str">
        <f>IF('RFQ-Input'!I154="","",'RFQ-Input'!I154)</f>
        <v/>
      </c>
      <c r="J155" s="7" t="str">
        <f>IF('RFQ-Input'!J154="","",'RFQ-Input'!J154)</f>
        <v/>
      </c>
      <c r="K155" s="7" t="str">
        <f>IF('RFQ-Input'!K154="","",'RFQ-Input'!K154)</f>
        <v/>
      </c>
      <c r="L155" s="7" t="str">
        <f>IF('RFQ-Input'!L154="","",'RFQ-Input'!L154)</f>
        <v/>
      </c>
      <c r="M155" s="7" t="str">
        <f>IF('RFQ-Input'!M154="","",'RFQ-Input'!M154)</f>
        <v/>
      </c>
      <c r="N155" s="7" t="str">
        <f>IF('RFQ-Input'!N154="","",'RFQ-Input'!N154)</f>
        <v/>
      </c>
      <c r="O155" s="7" t="str">
        <f>IF('RFQ-Input'!O154="","",'RFQ-Input'!O154)</f>
        <v/>
      </c>
      <c r="Q155" s="7"/>
      <c r="R155" s="7"/>
      <c r="S155" s="7"/>
      <c r="T155" s="7"/>
      <c r="U155" s="7"/>
      <c r="V155" s="7"/>
      <c r="X155" s="7"/>
      <c r="Y155" s="7"/>
      <c r="Z155" s="7"/>
      <c r="AA155" s="7" t="str">
        <f t="shared" si="14"/>
        <v/>
      </c>
      <c r="AB155" s="7"/>
      <c r="AC155" s="7"/>
      <c r="AQ155" s="7" t="str">
        <f t="shared" si="15"/>
        <v/>
      </c>
      <c r="AR155" s="7" t="str">
        <f t="shared" si="16"/>
        <v/>
      </c>
      <c r="AS155" s="7" t="str">
        <f t="shared" si="17"/>
        <v/>
      </c>
      <c r="AT155" s="7" t="str">
        <f t="shared" si="18"/>
        <v/>
      </c>
      <c r="AU155" s="7" t="str">
        <f t="shared" si="19"/>
        <v/>
      </c>
      <c r="AV155" s="7" t="str">
        <f t="shared" si="20"/>
        <v/>
      </c>
      <c r="AW155" s="7" t="str">
        <f>IF('RFQ-Input'!O154="","",'RFQ-Input'!O154)</f>
        <v/>
      </c>
      <c r="AX155" s="7" t="str">
        <f>IF('RFQ-Input'!S154="","",'RFQ-Input'!S154)</f>
        <v/>
      </c>
      <c r="AY155" s="7" t="str">
        <f>IF('RFQ-Input'!V154="","",'RFQ-Input'!V154)</f>
        <v/>
      </c>
      <c r="AZ155" s="7" t="str">
        <f>IF('RFQ-Input'!Y154="","",'RFQ-Input'!Y154)</f>
        <v/>
      </c>
      <c r="BA155" s="7" t="str">
        <f>IF('RFQ-Input'!AB154="","",'RFQ-Input'!AB154)</f>
        <v/>
      </c>
    </row>
    <row r="156" spans="1:53">
      <c r="A156" s="20">
        <v>152</v>
      </c>
      <c r="B156" s="7"/>
      <c r="C156" s="7" t="str">
        <f>IF('RFQ-Input'!C155="","",'RFQ-Input'!C155)</f>
        <v/>
      </c>
      <c r="D156" s="7" t="str">
        <f>IF('RFQ-Input'!D155="","",'RFQ-Input'!D155)</f>
        <v/>
      </c>
      <c r="E156" s="7" t="str">
        <f>IF('RFQ-Input'!E155="","",'RFQ-Input'!E155)</f>
        <v/>
      </c>
      <c r="F156" s="7" t="str">
        <f>IF('RFQ-Input'!F155="","",'RFQ-Input'!F155)</f>
        <v/>
      </c>
      <c r="G156" s="7" t="str">
        <f>IF('RFQ-Input'!G155="","",'RFQ-Input'!G155)</f>
        <v/>
      </c>
      <c r="H156" s="7" t="str">
        <f>IF('RFQ-Input'!H155="","",'RFQ-Input'!H155)</f>
        <v/>
      </c>
      <c r="I156" s="7" t="str">
        <f>IF('RFQ-Input'!I155="","",'RFQ-Input'!I155)</f>
        <v/>
      </c>
      <c r="J156" s="7" t="str">
        <f>IF('RFQ-Input'!J155="","",'RFQ-Input'!J155)</f>
        <v/>
      </c>
      <c r="K156" s="7" t="str">
        <f>IF('RFQ-Input'!K155="","",'RFQ-Input'!K155)</f>
        <v/>
      </c>
      <c r="L156" s="7" t="str">
        <f>IF('RFQ-Input'!L155="","",'RFQ-Input'!L155)</f>
        <v/>
      </c>
      <c r="M156" s="7" t="str">
        <f>IF('RFQ-Input'!M155="","",'RFQ-Input'!M155)</f>
        <v/>
      </c>
      <c r="N156" s="7" t="str">
        <f>IF('RFQ-Input'!N155="","",'RFQ-Input'!N155)</f>
        <v/>
      </c>
      <c r="O156" s="7" t="str">
        <f>IF('RFQ-Input'!O155="","",'RFQ-Input'!O155)</f>
        <v/>
      </c>
      <c r="Q156" s="7"/>
      <c r="R156" s="7"/>
      <c r="S156" s="7"/>
      <c r="T156" s="7"/>
      <c r="U156" s="7"/>
      <c r="V156" s="7"/>
      <c r="X156" s="7"/>
      <c r="Y156" s="7"/>
      <c r="Z156" s="7"/>
      <c r="AA156" s="7" t="str">
        <f t="shared" si="14"/>
        <v/>
      </c>
      <c r="AB156" s="7"/>
      <c r="AC156" s="7"/>
      <c r="AQ156" s="7" t="str">
        <f t="shared" si="15"/>
        <v/>
      </c>
      <c r="AR156" s="7" t="str">
        <f t="shared" si="16"/>
        <v/>
      </c>
      <c r="AS156" s="7" t="str">
        <f t="shared" si="17"/>
        <v/>
      </c>
      <c r="AT156" s="7" t="str">
        <f t="shared" si="18"/>
        <v/>
      </c>
      <c r="AU156" s="7" t="str">
        <f t="shared" si="19"/>
        <v/>
      </c>
      <c r="AV156" s="7" t="str">
        <f t="shared" si="20"/>
        <v/>
      </c>
      <c r="AW156" s="7" t="str">
        <f>IF('RFQ-Input'!O155="","",'RFQ-Input'!O155)</f>
        <v/>
      </c>
      <c r="AX156" s="7" t="str">
        <f>IF('RFQ-Input'!S155="","",'RFQ-Input'!S155)</f>
        <v/>
      </c>
      <c r="AY156" s="7" t="str">
        <f>IF('RFQ-Input'!V155="","",'RFQ-Input'!V155)</f>
        <v/>
      </c>
      <c r="AZ156" s="7" t="str">
        <f>IF('RFQ-Input'!Y155="","",'RFQ-Input'!Y155)</f>
        <v/>
      </c>
      <c r="BA156" s="7" t="str">
        <f>IF('RFQ-Input'!AB155="","",'RFQ-Input'!AB155)</f>
        <v/>
      </c>
    </row>
    <row r="157" spans="1:53">
      <c r="A157" s="20">
        <v>153</v>
      </c>
      <c r="B157" s="7"/>
      <c r="C157" s="7" t="str">
        <f>IF('RFQ-Input'!C156="","",'RFQ-Input'!C156)</f>
        <v/>
      </c>
      <c r="D157" s="7" t="str">
        <f>IF('RFQ-Input'!D156="","",'RFQ-Input'!D156)</f>
        <v/>
      </c>
      <c r="E157" s="7" t="str">
        <f>IF('RFQ-Input'!E156="","",'RFQ-Input'!E156)</f>
        <v/>
      </c>
      <c r="F157" s="7" t="str">
        <f>IF('RFQ-Input'!F156="","",'RFQ-Input'!F156)</f>
        <v/>
      </c>
      <c r="G157" s="7" t="str">
        <f>IF('RFQ-Input'!G156="","",'RFQ-Input'!G156)</f>
        <v/>
      </c>
      <c r="H157" s="7" t="str">
        <f>IF('RFQ-Input'!H156="","",'RFQ-Input'!H156)</f>
        <v/>
      </c>
      <c r="I157" s="7" t="str">
        <f>IF('RFQ-Input'!I156="","",'RFQ-Input'!I156)</f>
        <v/>
      </c>
      <c r="J157" s="7" t="str">
        <f>IF('RFQ-Input'!J156="","",'RFQ-Input'!J156)</f>
        <v/>
      </c>
      <c r="K157" s="7" t="str">
        <f>IF('RFQ-Input'!K156="","",'RFQ-Input'!K156)</f>
        <v/>
      </c>
      <c r="L157" s="7" t="str">
        <f>IF('RFQ-Input'!L156="","",'RFQ-Input'!L156)</f>
        <v/>
      </c>
      <c r="M157" s="7" t="str">
        <f>IF('RFQ-Input'!M156="","",'RFQ-Input'!M156)</f>
        <v/>
      </c>
      <c r="N157" s="7" t="str">
        <f>IF('RFQ-Input'!N156="","",'RFQ-Input'!N156)</f>
        <v/>
      </c>
      <c r="O157" s="7" t="str">
        <f>IF('RFQ-Input'!O156="","",'RFQ-Input'!O156)</f>
        <v/>
      </c>
      <c r="Q157" s="7"/>
      <c r="R157" s="7"/>
      <c r="S157" s="7"/>
      <c r="T157" s="7"/>
      <c r="U157" s="7"/>
      <c r="V157" s="7"/>
      <c r="X157" s="7"/>
      <c r="Y157" s="7"/>
      <c r="Z157" s="7"/>
      <c r="AA157" s="7" t="str">
        <f t="shared" si="14"/>
        <v/>
      </c>
      <c r="AB157" s="7"/>
      <c r="AC157" s="7"/>
      <c r="AQ157" s="7" t="str">
        <f t="shared" si="15"/>
        <v/>
      </c>
      <c r="AR157" s="7" t="str">
        <f t="shared" si="16"/>
        <v/>
      </c>
      <c r="AS157" s="7" t="str">
        <f t="shared" si="17"/>
        <v/>
      </c>
      <c r="AT157" s="7" t="str">
        <f t="shared" si="18"/>
        <v/>
      </c>
      <c r="AU157" s="7" t="str">
        <f t="shared" si="19"/>
        <v/>
      </c>
      <c r="AV157" s="7" t="str">
        <f t="shared" si="20"/>
        <v/>
      </c>
      <c r="AW157" s="7" t="str">
        <f>IF('RFQ-Input'!O156="","",'RFQ-Input'!O156)</f>
        <v/>
      </c>
      <c r="AX157" s="7" t="str">
        <f>IF('RFQ-Input'!S156="","",'RFQ-Input'!S156)</f>
        <v/>
      </c>
      <c r="AY157" s="7" t="str">
        <f>IF('RFQ-Input'!V156="","",'RFQ-Input'!V156)</f>
        <v/>
      </c>
      <c r="AZ157" s="7" t="str">
        <f>IF('RFQ-Input'!Y156="","",'RFQ-Input'!Y156)</f>
        <v/>
      </c>
      <c r="BA157" s="7" t="str">
        <f>IF('RFQ-Input'!AB156="","",'RFQ-Input'!AB156)</f>
        <v/>
      </c>
    </row>
    <row r="158" spans="1:53">
      <c r="A158" s="20">
        <v>154</v>
      </c>
      <c r="B158" s="7"/>
      <c r="C158" s="7" t="str">
        <f>IF('RFQ-Input'!C157="","",'RFQ-Input'!C157)</f>
        <v/>
      </c>
      <c r="D158" s="7" t="str">
        <f>IF('RFQ-Input'!D157="","",'RFQ-Input'!D157)</f>
        <v/>
      </c>
      <c r="E158" s="7" t="str">
        <f>IF('RFQ-Input'!E157="","",'RFQ-Input'!E157)</f>
        <v/>
      </c>
      <c r="F158" s="7" t="str">
        <f>IF('RFQ-Input'!F157="","",'RFQ-Input'!F157)</f>
        <v/>
      </c>
      <c r="G158" s="7" t="str">
        <f>IF('RFQ-Input'!G157="","",'RFQ-Input'!G157)</f>
        <v/>
      </c>
      <c r="H158" s="7" t="str">
        <f>IF('RFQ-Input'!H157="","",'RFQ-Input'!H157)</f>
        <v/>
      </c>
      <c r="I158" s="7" t="str">
        <f>IF('RFQ-Input'!I157="","",'RFQ-Input'!I157)</f>
        <v/>
      </c>
      <c r="J158" s="7" t="str">
        <f>IF('RFQ-Input'!J157="","",'RFQ-Input'!J157)</f>
        <v/>
      </c>
      <c r="K158" s="7" t="str">
        <f>IF('RFQ-Input'!K157="","",'RFQ-Input'!K157)</f>
        <v/>
      </c>
      <c r="L158" s="7" t="str">
        <f>IF('RFQ-Input'!L157="","",'RFQ-Input'!L157)</f>
        <v/>
      </c>
      <c r="M158" s="7" t="str">
        <f>IF('RFQ-Input'!M157="","",'RFQ-Input'!M157)</f>
        <v/>
      </c>
      <c r="N158" s="7" t="str">
        <f>IF('RFQ-Input'!N157="","",'RFQ-Input'!N157)</f>
        <v/>
      </c>
      <c r="O158" s="7" t="str">
        <f>IF('RFQ-Input'!O157="","",'RFQ-Input'!O157)</f>
        <v/>
      </c>
      <c r="Q158" s="7"/>
      <c r="R158" s="7"/>
      <c r="S158" s="7"/>
      <c r="T158" s="7"/>
      <c r="U158" s="7"/>
      <c r="V158" s="7"/>
      <c r="X158" s="7"/>
      <c r="Y158" s="7"/>
      <c r="Z158" s="7"/>
      <c r="AA158" s="7" t="str">
        <f t="shared" si="14"/>
        <v/>
      </c>
      <c r="AB158" s="7"/>
      <c r="AC158" s="7"/>
      <c r="AQ158" s="7" t="str">
        <f t="shared" si="15"/>
        <v/>
      </c>
      <c r="AR158" s="7" t="str">
        <f t="shared" si="16"/>
        <v/>
      </c>
      <c r="AS158" s="7" t="str">
        <f t="shared" si="17"/>
        <v/>
      </c>
      <c r="AT158" s="7" t="str">
        <f t="shared" si="18"/>
        <v/>
      </c>
      <c r="AU158" s="7" t="str">
        <f t="shared" si="19"/>
        <v/>
      </c>
      <c r="AV158" s="7" t="str">
        <f t="shared" si="20"/>
        <v/>
      </c>
      <c r="AW158" s="7" t="str">
        <f>IF('RFQ-Input'!O157="","",'RFQ-Input'!O157)</f>
        <v/>
      </c>
      <c r="AX158" s="7" t="str">
        <f>IF('RFQ-Input'!S157="","",'RFQ-Input'!S157)</f>
        <v/>
      </c>
      <c r="AY158" s="7" t="str">
        <f>IF('RFQ-Input'!V157="","",'RFQ-Input'!V157)</f>
        <v/>
      </c>
      <c r="AZ158" s="7" t="str">
        <f>IF('RFQ-Input'!Y157="","",'RFQ-Input'!Y157)</f>
        <v/>
      </c>
      <c r="BA158" s="7" t="str">
        <f>IF('RFQ-Input'!AB157="","",'RFQ-Input'!AB157)</f>
        <v/>
      </c>
    </row>
    <row r="159" spans="1:53">
      <c r="A159" s="20">
        <v>155</v>
      </c>
      <c r="B159" s="7"/>
      <c r="C159" s="7" t="str">
        <f>IF('RFQ-Input'!C158="","",'RFQ-Input'!C158)</f>
        <v/>
      </c>
      <c r="D159" s="7" t="str">
        <f>IF('RFQ-Input'!D158="","",'RFQ-Input'!D158)</f>
        <v/>
      </c>
      <c r="E159" s="7" t="str">
        <f>IF('RFQ-Input'!E158="","",'RFQ-Input'!E158)</f>
        <v/>
      </c>
      <c r="F159" s="7" t="str">
        <f>IF('RFQ-Input'!F158="","",'RFQ-Input'!F158)</f>
        <v/>
      </c>
      <c r="G159" s="7" t="str">
        <f>IF('RFQ-Input'!G158="","",'RFQ-Input'!G158)</f>
        <v/>
      </c>
      <c r="H159" s="7" t="str">
        <f>IF('RFQ-Input'!H158="","",'RFQ-Input'!H158)</f>
        <v/>
      </c>
      <c r="I159" s="7" t="str">
        <f>IF('RFQ-Input'!I158="","",'RFQ-Input'!I158)</f>
        <v/>
      </c>
      <c r="J159" s="7" t="str">
        <f>IF('RFQ-Input'!J158="","",'RFQ-Input'!J158)</f>
        <v/>
      </c>
      <c r="K159" s="7" t="str">
        <f>IF('RFQ-Input'!K158="","",'RFQ-Input'!K158)</f>
        <v/>
      </c>
      <c r="L159" s="7" t="str">
        <f>IF('RFQ-Input'!L158="","",'RFQ-Input'!L158)</f>
        <v/>
      </c>
      <c r="M159" s="7" t="str">
        <f>IF('RFQ-Input'!M158="","",'RFQ-Input'!M158)</f>
        <v/>
      </c>
      <c r="N159" s="7" t="str">
        <f>IF('RFQ-Input'!N158="","",'RFQ-Input'!N158)</f>
        <v/>
      </c>
      <c r="O159" s="7" t="str">
        <f>IF('RFQ-Input'!O158="","",'RFQ-Input'!O158)</f>
        <v/>
      </c>
      <c r="Q159" s="7"/>
      <c r="R159" s="7"/>
      <c r="S159" s="7"/>
      <c r="T159" s="7"/>
      <c r="U159" s="7"/>
      <c r="V159" s="7"/>
      <c r="X159" s="7"/>
      <c r="Y159" s="7"/>
      <c r="Z159" s="7"/>
      <c r="AA159" s="7" t="str">
        <f t="shared" si="14"/>
        <v/>
      </c>
      <c r="AB159" s="7"/>
      <c r="AC159" s="7"/>
      <c r="AQ159" s="7" t="str">
        <f t="shared" si="15"/>
        <v/>
      </c>
      <c r="AR159" s="7" t="str">
        <f t="shared" si="16"/>
        <v/>
      </c>
      <c r="AS159" s="7" t="str">
        <f t="shared" si="17"/>
        <v/>
      </c>
      <c r="AT159" s="7" t="str">
        <f t="shared" si="18"/>
        <v/>
      </c>
      <c r="AU159" s="7" t="str">
        <f t="shared" si="19"/>
        <v/>
      </c>
      <c r="AV159" s="7" t="str">
        <f t="shared" si="20"/>
        <v/>
      </c>
      <c r="AW159" s="7" t="str">
        <f>IF('RFQ-Input'!O158="","",'RFQ-Input'!O158)</f>
        <v/>
      </c>
      <c r="AX159" s="7" t="str">
        <f>IF('RFQ-Input'!S158="","",'RFQ-Input'!S158)</f>
        <v/>
      </c>
      <c r="AY159" s="7" t="str">
        <f>IF('RFQ-Input'!V158="","",'RFQ-Input'!V158)</f>
        <v/>
      </c>
      <c r="AZ159" s="7" t="str">
        <f>IF('RFQ-Input'!Y158="","",'RFQ-Input'!Y158)</f>
        <v/>
      </c>
      <c r="BA159" s="7" t="str">
        <f>IF('RFQ-Input'!AB158="","",'RFQ-Input'!AB158)</f>
        <v/>
      </c>
    </row>
    <row r="160" spans="1:53">
      <c r="A160" s="20">
        <v>156</v>
      </c>
      <c r="B160" s="7"/>
      <c r="C160" s="7" t="str">
        <f>IF('RFQ-Input'!C159="","",'RFQ-Input'!C159)</f>
        <v/>
      </c>
      <c r="D160" s="7" t="str">
        <f>IF('RFQ-Input'!D159="","",'RFQ-Input'!D159)</f>
        <v/>
      </c>
      <c r="E160" s="7" t="str">
        <f>IF('RFQ-Input'!E159="","",'RFQ-Input'!E159)</f>
        <v/>
      </c>
      <c r="F160" s="7" t="str">
        <f>IF('RFQ-Input'!F159="","",'RFQ-Input'!F159)</f>
        <v/>
      </c>
      <c r="G160" s="7" t="str">
        <f>IF('RFQ-Input'!G159="","",'RFQ-Input'!G159)</f>
        <v/>
      </c>
      <c r="H160" s="7" t="str">
        <f>IF('RFQ-Input'!H159="","",'RFQ-Input'!H159)</f>
        <v/>
      </c>
      <c r="I160" s="7" t="str">
        <f>IF('RFQ-Input'!I159="","",'RFQ-Input'!I159)</f>
        <v/>
      </c>
      <c r="J160" s="7" t="str">
        <f>IF('RFQ-Input'!J159="","",'RFQ-Input'!J159)</f>
        <v/>
      </c>
      <c r="K160" s="7" t="str">
        <f>IF('RFQ-Input'!K159="","",'RFQ-Input'!K159)</f>
        <v/>
      </c>
      <c r="L160" s="7" t="str">
        <f>IF('RFQ-Input'!L159="","",'RFQ-Input'!L159)</f>
        <v/>
      </c>
      <c r="M160" s="7" t="str">
        <f>IF('RFQ-Input'!M159="","",'RFQ-Input'!M159)</f>
        <v/>
      </c>
      <c r="N160" s="7" t="str">
        <f>IF('RFQ-Input'!N159="","",'RFQ-Input'!N159)</f>
        <v/>
      </c>
      <c r="O160" s="7" t="str">
        <f>IF('RFQ-Input'!O159="","",'RFQ-Input'!O159)</f>
        <v/>
      </c>
      <c r="Q160" s="7"/>
      <c r="R160" s="7"/>
      <c r="S160" s="7"/>
      <c r="T160" s="7"/>
      <c r="U160" s="7"/>
      <c r="V160" s="7"/>
      <c r="X160" s="7"/>
      <c r="Y160" s="7"/>
      <c r="Z160" s="7"/>
      <c r="AA160" s="7" t="str">
        <f t="shared" si="14"/>
        <v/>
      </c>
      <c r="AB160" s="7"/>
      <c r="AC160" s="7"/>
      <c r="AQ160" s="7" t="str">
        <f t="shared" si="15"/>
        <v/>
      </c>
      <c r="AR160" s="7" t="str">
        <f t="shared" si="16"/>
        <v/>
      </c>
      <c r="AS160" s="7" t="str">
        <f t="shared" si="17"/>
        <v/>
      </c>
      <c r="AT160" s="7" t="str">
        <f t="shared" si="18"/>
        <v/>
      </c>
      <c r="AU160" s="7" t="str">
        <f t="shared" si="19"/>
        <v/>
      </c>
      <c r="AV160" s="7" t="str">
        <f t="shared" si="20"/>
        <v/>
      </c>
      <c r="AW160" s="7" t="str">
        <f>IF('RFQ-Input'!O159="","",'RFQ-Input'!O159)</f>
        <v/>
      </c>
      <c r="AX160" s="7" t="str">
        <f>IF('RFQ-Input'!S159="","",'RFQ-Input'!S159)</f>
        <v/>
      </c>
      <c r="AY160" s="7" t="str">
        <f>IF('RFQ-Input'!V159="","",'RFQ-Input'!V159)</f>
        <v/>
      </c>
      <c r="AZ160" s="7" t="str">
        <f>IF('RFQ-Input'!Y159="","",'RFQ-Input'!Y159)</f>
        <v/>
      </c>
      <c r="BA160" s="7" t="str">
        <f>IF('RFQ-Input'!AB159="","",'RFQ-Input'!AB159)</f>
        <v/>
      </c>
    </row>
    <row r="161" spans="1:53">
      <c r="A161" s="20">
        <v>157</v>
      </c>
      <c r="B161" s="7"/>
      <c r="C161" s="7" t="str">
        <f>IF('RFQ-Input'!C160="","",'RFQ-Input'!C160)</f>
        <v/>
      </c>
      <c r="D161" s="7" t="str">
        <f>IF('RFQ-Input'!D160="","",'RFQ-Input'!D160)</f>
        <v/>
      </c>
      <c r="E161" s="7" t="str">
        <f>IF('RFQ-Input'!E160="","",'RFQ-Input'!E160)</f>
        <v/>
      </c>
      <c r="F161" s="7" t="str">
        <f>IF('RFQ-Input'!F160="","",'RFQ-Input'!F160)</f>
        <v/>
      </c>
      <c r="G161" s="7" t="str">
        <f>IF('RFQ-Input'!G160="","",'RFQ-Input'!G160)</f>
        <v/>
      </c>
      <c r="H161" s="7" t="str">
        <f>IF('RFQ-Input'!H160="","",'RFQ-Input'!H160)</f>
        <v/>
      </c>
      <c r="I161" s="7" t="str">
        <f>IF('RFQ-Input'!I160="","",'RFQ-Input'!I160)</f>
        <v/>
      </c>
      <c r="J161" s="7" t="str">
        <f>IF('RFQ-Input'!J160="","",'RFQ-Input'!J160)</f>
        <v/>
      </c>
      <c r="K161" s="7" t="str">
        <f>IF('RFQ-Input'!K160="","",'RFQ-Input'!K160)</f>
        <v/>
      </c>
      <c r="L161" s="7" t="str">
        <f>IF('RFQ-Input'!L160="","",'RFQ-Input'!L160)</f>
        <v/>
      </c>
      <c r="M161" s="7" t="str">
        <f>IF('RFQ-Input'!M160="","",'RFQ-Input'!M160)</f>
        <v/>
      </c>
      <c r="N161" s="7" t="str">
        <f>IF('RFQ-Input'!N160="","",'RFQ-Input'!N160)</f>
        <v/>
      </c>
      <c r="O161" s="7" t="str">
        <f>IF('RFQ-Input'!O160="","",'RFQ-Input'!O160)</f>
        <v/>
      </c>
      <c r="Q161" s="7"/>
      <c r="R161" s="7"/>
      <c r="S161" s="7"/>
      <c r="T161" s="7"/>
      <c r="U161" s="7"/>
      <c r="V161" s="7"/>
      <c r="X161" s="7"/>
      <c r="Y161" s="7"/>
      <c r="Z161" s="7"/>
      <c r="AA161" s="7" t="str">
        <f t="shared" si="14"/>
        <v/>
      </c>
      <c r="AB161" s="7"/>
      <c r="AC161" s="7"/>
      <c r="AQ161" s="7" t="str">
        <f t="shared" si="15"/>
        <v/>
      </c>
      <c r="AR161" s="7" t="str">
        <f t="shared" si="16"/>
        <v/>
      </c>
      <c r="AS161" s="7" t="str">
        <f t="shared" si="17"/>
        <v/>
      </c>
      <c r="AT161" s="7" t="str">
        <f t="shared" si="18"/>
        <v/>
      </c>
      <c r="AU161" s="7" t="str">
        <f t="shared" si="19"/>
        <v/>
      </c>
      <c r="AV161" s="7" t="str">
        <f t="shared" si="20"/>
        <v/>
      </c>
      <c r="AW161" s="7" t="str">
        <f>IF('RFQ-Input'!O160="","",'RFQ-Input'!O160)</f>
        <v/>
      </c>
      <c r="AX161" s="7" t="str">
        <f>IF('RFQ-Input'!S160="","",'RFQ-Input'!S160)</f>
        <v/>
      </c>
      <c r="AY161" s="7" t="str">
        <f>IF('RFQ-Input'!V160="","",'RFQ-Input'!V160)</f>
        <v/>
      </c>
      <c r="AZ161" s="7" t="str">
        <f>IF('RFQ-Input'!Y160="","",'RFQ-Input'!Y160)</f>
        <v/>
      </c>
      <c r="BA161" s="7" t="str">
        <f>IF('RFQ-Input'!AB160="","",'RFQ-Input'!AB160)</f>
        <v/>
      </c>
    </row>
    <row r="162" spans="1:53">
      <c r="A162" s="20">
        <v>158</v>
      </c>
      <c r="B162" s="7"/>
      <c r="C162" s="7" t="str">
        <f>IF('RFQ-Input'!C161="","",'RFQ-Input'!C161)</f>
        <v/>
      </c>
      <c r="D162" s="7" t="str">
        <f>IF('RFQ-Input'!D161="","",'RFQ-Input'!D161)</f>
        <v/>
      </c>
      <c r="E162" s="7" t="str">
        <f>IF('RFQ-Input'!E161="","",'RFQ-Input'!E161)</f>
        <v/>
      </c>
      <c r="F162" s="7" t="str">
        <f>IF('RFQ-Input'!F161="","",'RFQ-Input'!F161)</f>
        <v/>
      </c>
      <c r="G162" s="7" t="str">
        <f>IF('RFQ-Input'!G161="","",'RFQ-Input'!G161)</f>
        <v/>
      </c>
      <c r="H162" s="7" t="str">
        <f>IF('RFQ-Input'!H161="","",'RFQ-Input'!H161)</f>
        <v/>
      </c>
      <c r="I162" s="7" t="str">
        <f>IF('RFQ-Input'!I161="","",'RFQ-Input'!I161)</f>
        <v/>
      </c>
      <c r="J162" s="7" t="str">
        <f>IF('RFQ-Input'!J161="","",'RFQ-Input'!J161)</f>
        <v/>
      </c>
      <c r="K162" s="7" t="str">
        <f>IF('RFQ-Input'!K161="","",'RFQ-Input'!K161)</f>
        <v/>
      </c>
      <c r="L162" s="7" t="str">
        <f>IF('RFQ-Input'!L161="","",'RFQ-Input'!L161)</f>
        <v/>
      </c>
      <c r="M162" s="7" t="str">
        <f>IF('RFQ-Input'!M161="","",'RFQ-Input'!M161)</f>
        <v/>
      </c>
      <c r="N162" s="7" t="str">
        <f>IF('RFQ-Input'!N161="","",'RFQ-Input'!N161)</f>
        <v/>
      </c>
      <c r="O162" s="7" t="str">
        <f>IF('RFQ-Input'!O161="","",'RFQ-Input'!O161)</f>
        <v/>
      </c>
      <c r="Q162" s="7"/>
      <c r="R162" s="7"/>
      <c r="S162" s="7"/>
      <c r="T162" s="7"/>
      <c r="U162" s="7"/>
      <c r="V162" s="7"/>
      <c r="X162" s="7"/>
      <c r="Y162" s="7"/>
      <c r="Z162" s="7"/>
      <c r="AA162" s="7" t="str">
        <f t="shared" si="14"/>
        <v/>
      </c>
      <c r="AB162" s="7"/>
      <c r="AC162" s="7"/>
      <c r="AQ162" s="7" t="str">
        <f t="shared" si="15"/>
        <v/>
      </c>
      <c r="AR162" s="7" t="str">
        <f t="shared" si="16"/>
        <v/>
      </c>
      <c r="AS162" s="7" t="str">
        <f t="shared" si="17"/>
        <v/>
      </c>
      <c r="AT162" s="7" t="str">
        <f t="shared" si="18"/>
        <v/>
      </c>
      <c r="AU162" s="7" t="str">
        <f t="shared" si="19"/>
        <v/>
      </c>
      <c r="AV162" s="7" t="str">
        <f t="shared" si="20"/>
        <v/>
      </c>
      <c r="AW162" s="7" t="str">
        <f>IF('RFQ-Input'!O161="","",'RFQ-Input'!O161)</f>
        <v/>
      </c>
      <c r="AX162" s="7" t="str">
        <f>IF('RFQ-Input'!S161="","",'RFQ-Input'!S161)</f>
        <v/>
      </c>
      <c r="AY162" s="7" t="str">
        <f>IF('RFQ-Input'!V161="","",'RFQ-Input'!V161)</f>
        <v/>
      </c>
      <c r="AZ162" s="7" t="str">
        <f>IF('RFQ-Input'!Y161="","",'RFQ-Input'!Y161)</f>
        <v/>
      </c>
      <c r="BA162" s="7" t="str">
        <f>IF('RFQ-Input'!AB161="","",'RFQ-Input'!AB161)</f>
        <v/>
      </c>
    </row>
    <row r="163" spans="1:53">
      <c r="A163" s="20">
        <v>159</v>
      </c>
      <c r="B163" s="7"/>
      <c r="C163" s="7" t="str">
        <f>IF('RFQ-Input'!C162="","",'RFQ-Input'!C162)</f>
        <v/>
      </c>
      <c r="D163" s="7" t="str">
        <f>IF('RFQ-Input'!D162="","",'RFQ-Input'!D162)</f>
        <v/>
      </c>
      <c r="E163" s="7" t="str">
        <f>IF('RFQ-Input'!E162="","",'RFQ-Input'!E162)</f>
        <v/>
      </c>
      <c r="F163" s="7" t="str">
        <f>IF('RFQ-Input'!F162="","",'RFQ-Input'!F162)</f>
        <v/>
      </c>
      <c r="G163" s="7" t="str">
        <f>IF('RFQ-Input'!G162="","",'RFQ-Input'!G162)</f>
        <v/>
      </c>
      <c r="H163" s="7" t="str">
        <f>IF('RFQ-Input'!H162="","",'RFQ-Input'!H162)</f>
        <v/>
      </c>
      <c r="I163" s="7" t="str">
        <f>IF('RFQ-Input'!I162="","",'RFQ-Input'!I162)</f>
        <v/>
      </c>
      <c r="J163" s="7" t="str">
        <f>IF('RFQ-Input'!J162="","",'RFQ-Input'!J162)</f>
        <v/>
      </c>
      <c r="K163" s="7" t="str">
        <f>IF('RFQ-Input'!K162="","",'RFQ-Input'!K162)</f>
        <v/>
      </c>
      <c r="L163" s="7" t="str">
        <f>IF('RFQ-Input'!L162="","",'RFQ-Input'!L162)</f>
        <v/>
      </c>
      <c r="M163" s="7" t="str">
        <f>IF('RFQ-Input'!M162="","",'RFQ-Input'!M162)</f>
        <v/>
      </c>
      <c r="N163" s="7" t="str">
        <f>IF('RFQ-Input'!N162="","",'RFQ-Input'!N162)</f>
        <v/>
      </c>
      <c r="O163" s="7" t="str">
        <f>IF('RFQ-Input'!O162="","",'RFQ-Input'!O162)</f>
        <v/>
      </c>
      <c r="Q163" s="7"/>
      <c r="R163" s="7"/>
      <c r="S163" s="7"/>
      <c r="T163" s="7"/>
      <c r="U163" s="7"/>
      <c r="V163" s="7"/>
      <c r="X163" s="7"/>
      <c r="Y163" s="7"/>
      <c r="Z163" s="7"/>
      <c r="AA163" s="7" t="str">
        <f t="shared" si="14"/>
        <v/>
      </c>
      <c r="AB163" s="7"/>
      <c r="AC163" s="7"/>
      <c r="AQ163" s="7" t="str">
        <f t="shared" si="15"/>
        <v/>
      </c>
      <c r="AR163" s="7" t="str">
        <f t="shared" si="16"/>
        <v/>
      </c>
      <c r="AS163" s="7" t="str">
        <f t="shared" si="17"/>
        <v/>
      </c>
      <c r="AT163" s="7" t="str">
        <f t="shared" si="18"/>
        <v/>
      </c>
      <c r="AU163" s="7" t="str">
        <f t="shared" si="19"/>
        <v/>
      </c>
      <c r="AV163" s="7" t="str">
        <f t="shared" si="20"/>
        <v/>
      </c>
      <c r="AW163" s="7" t="str">
        <f>IF('RFQ-Input'!O162="","",'RFQ-Input'!O162)</f>
        <v/>
      </c>
      <c r="AX163" s="7" t="str">
        <f>IF('RFQ-Input'!S162="","",'RFQ-Input'!S162)</f>
        <v/>
      </c>
      <c r="AY163" s="7" t="str">
        <f>IF('RFQ-Input'!V162="","",'RFQ-Input'!V162)</f>
        <v/>
      </c>
      <c r="AZ163" s="7" t="str">
        <f>IF('RFQ-Input'!Y162="","",'RFQ-Input'!Y162)</f>
        <v/>
      </c>
      <c r="BA163" s="7" t="str">
        <f>IF('RFQ-Input'!AB162="","",'RFQ-Input'!AB162)</f>
        <v/>
      </c>
    </row>
    <row r="164" spans="1:53">
      <c r="A164" s="20">
        <v>160</v>
      </c>
      <c r="B164" s="7"/>
      <c r="C164" s="7" t="str">
        <f>IF('RFQ-Input'!C163="","",'RFQ-Input'!C163)</f>
        <v/>
      </c>
      <c r="D164" s="7" t="str">
        <f>IF('RFQ-Input'!D163="","",'RFQ-Input'!D163)</f>
        <v/>
      </c>
      <c r="E164" s="7" t="str">
        <f>IF('RFQ-Input'!E163="","",'RFQ-Input'!E163)</f>
        <v/>
      </c>
      <c r="F164" s="7" t="str">
        <f>IF('RFQ-Input'!F163="","",'RFQ-Input'!F163)</f>
        <v/>
      </c>
      <c r="G164" s="7" t="str">
        <f>IF('RFQ-Input'!G163="","",'RFQ-Input'!G163)</f>
        <v/>
      </c>
      <c r="H164" s="7" t="str">
        <f>IF('RFQ-Input'!H163="","",'RFQ-Input'!H163)</f>
        <v/>
      </c>
      <c r="I164" s="7" t="str">
        <f>IF('RFQ-Input'!I163="","",'RFQ-Input'!I163)</f>
        <v/>
      </c>
      <c r="J164" s="7" t="str">
        <f>IF('RFQ-Input'!J163="","",'RFQ-Input'!J163)</f>
        <v/>
      </c>
      <c r="K164" s="7" t="str">
        <f>IF('RFQ-Input'!K163="","",'RFQ-Input'!K163)</f>
        <v/>
      </c>
      <c r="L164" s="7" t="str">
        <f>IF('RFQ-Input'!L163="","",'RFQ-Input'!L163)</f>
        <v/>
      </c>
      <c r="M164" s="7" t="str">
        <f>IF('RFQ-Input'!M163="","",'RFQ-Input'!M163)</f>
        <v/>
      </c>
      <c r="N164" s="7" t="str">
        <f>IF('RFQ-Input'!N163="","",'RFQ-Input'!N163)</f>
        <v/>
      </c>
      <c r="O164" s="7" t="str">
        <f>IF('RFQ-Input'!O163="","",'RFQ-Input'!O163)</f>
        <v/>
      </c>
      <c r="Q164" s="7"/>
      <c r="R164" s="7"/>
      <c r="S164" s="7"/>
      <c r="T164" s="7"/>
      <c r="U164" s="7"/>
      <c r="V164" s="7"/>
      <c r="X164" s="7"/>
      <c r="Y164" s="7"/>
      <c r="Z164" s="7"/>
      <c r="AA164" s="7" t="str">
        <f t="shared" si="14"/>
        <v/>
      </c>
      <c r="AB164" s="7"/>
      <c r="AC164" s="7"/>
      <c r="AQ164" s="7" t="str">
        <f t="shared" si="15"/>
        <v/>
      </c>
      <c r="AR164" s="7" t="str">
        <f t="shared" si="16"/>
        <v/>
      </c>
      <c r="AS164" s="7" t="str">
        <f t="shared" si="17"/>
        <v/>
      </c>
      <c r="AT164" s="7" t="str">
        <f t="shared" si="18"/>
        <v/>
      </c>
      <c r="AU164" s="7" t="str">
        <f t="shared" si="19"/>
        <v/>
      </c>
      <c r="AV164" s="7" t="str">
        <f t="shared" si="20"/>
        <v/>
      </c>
      <c r="AW164" s="7" t="str">
        <f>IF('RFQ-Input'!O163="","",'RFQ-Input'!O163)</f>
        <v/>
      </c>
      <c r="AX164" s="7" t="str">
        <f>IF('RFQ-Input'!S163="","",'RFQ-Input'!S163)</f>
        <v/>
      </c>
      <c r="AY164" s="7" t="str">
        <f>IF('RFQ-Input'!V163="","",'RFQ-Input'!V163)</f>
        <v/>
      </c>
      <c r="AZ164" s="7" t="str">
        <f>IF('RFQ-Input'!Y163="","",'RFQ-Input'!Y163)</f>
        <v/>
      </c>
      <c r="BA164" s="7" t="str">
        <f>IF('RFQ-Input'!AB163="","",'RFQ-Input'!AB163)</f>
        <v/>
      </c>
    </row>
    <row r="165" spans="1:53">
      <c r="A165" s="20">
        <v>161</v>
      </c>
      <c r="B165" s="7"/>
      <c r="C165" s="7" t="str">
        <f>IF('RFQ-Input'!C164="","",'RFQ-Input'!C164)</f>
        <v/>
      </c>
      <c r="D165" s="7" t="str">
        <f>IF('RFQ-Input'!D164="","",'RFQ-Input'!D164)</f>
        <v/>
      </c>
      <c r="E165" s="7" t="str">
        <f>IF('RFQ-Input'!E164="","",'RFQ-Input'!E164)</f>
        <v/>
      </c>
      <c r="F165" s="7" t="str">
        <f>IF('RFQ-Input'!F164="","",'RFQ-Input'!F164)</f>
        <v/>
      </c>
      <c r="G165" s="7" t="str">
        <f>IF('RFQ-Input'!G164="","",'RFQ-Input'!G164)</f>
        <v/>
      </c>
      <c r="H165" s="7" t="str">
        <f>IF('RFQ-Input'!H164="","",'RFQ-Input'!H164)</f>
        <v/>
      </c>
      <c r="I165" s="7" t="str">
        <f>IF('RFQ-Input'!I164="","",'RFQ-Input'!I164)</f>
        <v/>
      </c>
      <c r="J165" s="7" t="str">
        <f>IF('RFQ-Input'!J164="","",'RFQ-Input'!J164)</f>
        <v/>
      </c>
      <c r="K165" s="7" t="str">
        <f>IF('RFQ-Input'!K164="","",'RFQ-Input'!K164)</f>
        <v/>
      </c>
      <c r="L165" s="7" t="str">
        <f>IF('RFQ-Input'!L164="","",'RFQ-Input'!L164)</f>
        <v/>
      </c>
      <c r="M165" s="7" t="str">
        <f>IF('RFQ-Input'!M164="","",'RFQ-Input'!M164)</f>
        <v/>
      </c>
      <c r="N165" s="7" t="str">
        <f>IF('RFQ-Input'!N164="","",'RFQ-Input'!N164)</f>
        <v/>
      </c>
      <c r="O165" s="7" t="str">
        <f>IF('RFQ-Input'!O164="","",'RFQ-Input'!O164)</f>
        <v/>
      </c>
      <c r="Q165" s="7"/>
      <c r="R165" s="7"/>
      <c r="S165" s="7"/>
      <c r="T165" s="7"/>
      <c r="U165" s="7"/>
      <c r="V165" s="7"/>
      <c r="X165" s="7"/>
      <c r="Y165" s="7"/>
      <c r="Z165" s="7"/>
      <c r="AA165" s="7" t="str">
        <f t="shared" si="14"/>
        <v/>
      </c>
      <c r="AB165" s="7"/>
      <c r="AC165" s="7"/>
      <c r="AQ165" s="7" t="str">
        <f t="shared" si="15"/>
        <v/>
      </c>
      <c r="AR165" s="7" t="str">
        <f t="shared" si="16"/>
        <v/>
      </c>
      <c r="AS165" s="7" t="str">
        <f t="shared" si="17"/>
        <v/>
      </c>
      <c r="AT165" s="7" t="str">
        <f t="shared" si="18"/>
        <v/>
      </c>
      <c r="AU165" s="7" t="str">
        <f t="shared" si="19"/>
        <v/>
      </c>
      <c r="AV165" s="7" t="str">
        <f t="shared" si="20"/>
        <v/>
      </c>
      <c r="AW165" s="7" t="str">
        <f>IF('RFQ-Input'!O164="","",'RFQ-Input'!O164)</f>
        <v/>
      </c>
      <c r="AX165" s="7" t="str">
        <f>IF('RFQ-Input'!S164="","",'RFQ-Input'!S164)</f>
        <v/>
      </c>
      <c r="AY165" s="7" t="str">
        <f>IF('RFQ-Input'!V164="","",'RFQ-Input'!V164)</f>
        <v/>
      </c>
      <c r="AZ165" s="7" t="str">
        <f>IF('RFQ-Input'!Y164="","",'RFQ-Input'!Y164)</f>
        <v/>
      </c>
      <c r="BA165" s="7" t="str">
        <f>IF('RFQ-Input'!AB164="","",'RFQ-Input'!AB164)</f>
        <v/>
      </c>
    </row>
    <row r="166" spans="1:53">
      <c r="A166" s="20">
        <v>162</v>
      </c>
      <c r="B166" s="7"/>
      <c r="C166" s="7" t="str">
        <f>IF('RFQ-Input'!C165="","",'RFQ-Input'!C165)</f>
        <v/>
      </c>
      <c r="D166" s="7" t="str">
        <f>IF('RFQ-Input'!D165="","",'RFQ-Input'!D165)</f>
        <v/>
      </c>
      <c r="E166" s="7" t="str">
        <f>IF('RFQ-Input'!E165="","",'RFQ-Input'!E165)</f>
        <v/>
      </c>
      <c r="F166" s="7" t="str">
        <f>IF('RFQ-Input'!F165="","",'RFQ-Input'!F165)</f>
        <v/>
      </c>
      <c r="G166" s="7" t="str">
        <f>IF('RFQ-Input'!G165="","",'RFQ-Input'!G165)</f>
        <v/>
      </c>
      <c r="H166" s="7" t="str">
        <f>IF('RFQ-Input'!H165="","",'RFQ-Input'!H165)</f>
        <v/>
      </c>
      <c r="I166" s="7" t="str">
        <f>IF('RFQ-Input'!I165="","",'RFQ-Input'!I165)</f>
        <v/>
      </c>
      <c r="J166" s="7" t="str">
        <f>IF('RFQ-Input'!J165="","",'RFQ-Input'!J165)</f>
        <v/>
      </c>
      <c r="K166" s="7" t="str">
        <f>IF('RFQ-Input'!K165="","",'RFQ-Input'!K165)</f>
        <v/>
      </c>
      <c r="L166" s="7" t="str">
        <f>IF('RFQ-Input'!L165="","",'RFQ-Input'!L165)</f>
        <v/>
      </c>
      <c r="M166" s="7" t="str">
        <f>IF('RFQ-Input'!M165="","",'RFQ-Input'!M165)</f>
        <v/>
      </c>
      <c r="N166" s="7" t="str">
        <f>IF('RFQ-Input'!N165="","",'RFQ-Input'!N165)</f>
        <v/>
      </c>
      <c r="O166" s="7" t="str">
        <f>IF('RFQ-Input'!O165="","",'RFQ-Input'!O165)</f>
        <v/>
      </c>
      <c r="Q166" s="7"/>
      <c r="R166" s="7"/>
      <c r="S166" s="7"/>
      <c r="T166" s="7"/>
      <c r="U166" s="7"/>
      <c r="V166" s="7"/>
      <c r="X166" s="7"/>
      <c r="Y166" s="7"/>
      <c r="Z166" s="7"/>
      <c r="AA166" s="7" t="str">
        <f t="shared" si="14"/>
        <v/>
      </c>
      <c r="AB166" s="7"/>
      <c r="AC166" s="7"/>
      <c r="AQ166" s="7" t="str">
        <f t="shared" si="15"/>
        <v/>
      </c>
      <c r="AR166" s="7" t="str">
        <f t="shared" si="16"/>
        <v/>
      </c>
      <c r="AS166" s="7" t="str">
        <f t="shared" si="17"/>
        <v/>
      </c>
      <c r="AT166" s="7" t="str">
        <f t="shared" si="18"/>
        <v/>
      </c>
      <c r="AU166" s="7" t="str">
        <f t="shared" si="19"/>
        <v/>
      </c>
      <c r="AV166" s="7" t="str">
        <f t="shared" si="20"/>
        <v/>
      </c>
      <c r="AW166" s="7" t="str">
        <f>IF('RFQ-Input'!O165="","",'RFQ-Input'!O165)</f>
        <v/>
      </c>
      <c r="AX166" s="7" t="str">
        <f>IF('RFQ-Input'!S165="","",'RFQ-Input'!S165)</f>
        <v/>
      </c>
      <c r="AY166" s="7" t="str">
        <f>IF('RFQ-Input'!V165="","",'RFQ-Input'!V165)</f>
        <v/>
      </c>
      <c r="AZ166" s="7" t="str">
        <f>IF('RFQ-Input'!Y165="","",'RFQ-Input'!Y165)</f>
        <v/>
      </c>
      <c r="BA166" s="7" t="str">
        <f>IF('RFQ-Input'!AB165="","",'RFQ-Input'!AB165)</f>
        <v/>
      </c>
    </row>
    <row r="167" spans="1:53">
      <c r="A167" s="20">
        <v>163</v>
      </c>
      <c r="B167" s="7"/>
      <c r="C167" s="7" t="str">
        <f>IF('RFQ-Input'!C166="","",'RFQ-Input'!C166)</f>
        <v/>
      </c>
      <c r="D167" s="7" t="str">
        <f>IF('RFQ-Input'!D166="","",'RFQ-Input'!D166)</f>
        <v/>
      </c>
      <c r="E167" s="7" t="str">
        <f>IF('RFQ-Input'!E166="","",'RFQ-Input'!E166)</f>
        <v/>
      </c>
      <c r="F167" s="7" t="str">
        <f>IF('RFQ-Input'!F166="","",'RFQ-Input'!F166)</f>
        <v/>
      </c>
      <c r="G167" s="7" t="str">
        <f>IF('RFQ-Input'!G166="","",'RFQ-Input'!G166)</f>
        <v/>
      </c>
      <c r="H167" s="7" t="str">
        <f>IF('RFQ-Input'!H166="","",'RFQ-Input'!H166)</f>
        <v/>
      </c>
      <c r="I167" s="7" t="str">
        <f>IF('RFQ-Input'!I166="","",'RFQ-Input'!I166)</f>
        <v/>
      </c>
      <c r="J167" s="7" t="str">
        <f>IF('RFQ-Input'!J166="","",'RFQ-Input'!J166)</f>
        <v/>
      </c>
      <c r="K167" s="7" t="str">
        <f>IF('RFQ-Input'!K166="","",'RFQ-Input'!K166)</f>
        <v/>
      </c>
      <c r="L167" s="7" t="str">
        <f>IF('RFQ-Input'!L166="","",'RFQ-Input'!L166)</f>
        <v/>
      </c>
      <c r="M167" s="7" t="str">
        <f>IF('RFQ-Input'!M166="","",'RFQ-Input'!M166)</f>
        <v/>
      </c>
      <c r="N167" s="7" t="str">
        <f>IF('RFQ-Input'!N166="","",'RFQ-Input'!N166)</f>
        <v/>
      </c>
      <c r="O167" s="7" t="str">
        <f>IF('RFQ-Input'!O166="","",'RFQ-Input'!O166)</f>
        <v/>
      </c>
      <c r="Q167" s="7"/>
      <c r="R167" s="7"/>
      <c r="S167" s="7"/>
      <c r="T167" s="7"/>
      <c r="U167" s="7"/>
      <c r="V167" s="7"/>
      <c r="X167" s="7"/>
      <c r="Y167" s="7"/>
      <c r="Z167" s="7"/>
      <c r="AA167" s="7" t="str">
        <f t="shared" si="14"/>
        <v/>
      </c>
      <c r="AB167" s="7"/>
      <c r="AC167" s="7"/>
      <c r="AQ167" s="7" t="str">
        <f t="shared" si="15"/>
        <v/>
      </c>
      <c r="AR167" s="7" t="str">
        <f t="shared" si="16"/>
        <v/>
      </c>
      <c r="AS167" s="7" t="str">
        <f t="shared" si="17"/>
        <v/>
      </c>
      <c r="AT167" s="7" t="str">
        <f t="shared" si="18"/>
        <v/>
      </c>
      <c r="AU167" s="7" t="str">
        <f t="shared" si="19"/>
        <v/>
      </c>
      <c r="AV167" s="7" t="str">
        <f t="shared" si="20"/>
        <v/>
      </c>
      <c r="AW167" s="7" t="str">
        <f>IF('RFQ-Input'!O166="","",'RFQ-Input'!O166)</f>
        <v/>
      </c>
      <c r="AX167" s="7" t="str">
        <f>IF('RFQ-Input'!S166="","",'RFQ-Input'!S166)</f>
        <v/>
      </c>
      <c r="AY167" s="7" t="str">
        <f>IF('RFQ-Input'!V166="","",'RFQ-Input'!V166)</f>
        <v/>
      </c>
      <c r="AZ167" s="7" t="str">
        <f>IF('RFQ-Input'!Y166="","",'RFQ-Input'!Y166)</f>
        <v/>
      </c>
      <c r="BA167" s="7" t="str">
        <f>IF('RFQ-Input'!AB166="","",'RFQ-Input'!AB166)</f>
        <v/>
      </c>
    </row>
    <row r="168" spans="1:53">
      <c r="A168" s="20">
        <v>164</v>
      </c>
      <c r="B168" s="7"/>
      <c r="C168" s="7" t="str">
        <f>IF('RFQ-Input'!C167="","",'RFQ-Input'!C167)</f>
        <v/>
      </c>
      <c r="D168" s="7" t="str">
        <f>IF('RFQ-Input'!D167="","",'RFQ-Input'!D167)</f>
        <v/>
      </c>
      <c r="E168" s="7" t="str">
        <f>IF('RFQ-Input'!E167="","",'RFQ-Input'!E167)</f>
        <v/>
      </c>
      <c r="F168" s="7" t="str">
        <f>IF('RFQ-Input'!F167="","",'RFQ-Input'!F167)</f>
        <v/>
      </c>
      <c r="G168" s="7" t="str">
        <f>IF('RFQ-Input'!G167="","",'RFQ-Input'!G167)</f>
        <v/>
      </c>
      <c r="H168" s="7" t="str">
        <f>IF('RFQ-Input'!H167="","",'RFQ-Input'!H167)</f>
        <v/>
      </c>
      <c r="I168" s="7" t="str">
        <f>IF('RFQ-Input'!I167="","",'RFQ-Input'!I167)</f>
        <v/>
      </c>
      <c r="J168" s="7" t="str">
        <f>IF('RFQ-Input'!J167="","",'RFQ-Input'!J167)</f>
        <v/>
      </c>
      <c r="K168" s="7" t="str">
        <f>IF('RFQ-Input'!K167="","",'RFQ-Input'!K167)</f>
        <v/>
      </c>
      <c r="L168" s="7" t="str">
        <f>IF('RFQ-Input'!L167="","",'RFQ-Input'!L167)</f>
        <v/>
      </c>
      <c r="M168" s="7" t="str">
        <f>IF('RFQ-Input'!M167="","",'RFQ-Input'!M167)</f>
        <v/>
      </c>
      <c r="N168" s="7" t="str">
        <f>IF('RFQ-Input'!N167="","",'RFQ-Input'!N167)</f>
        <v/>
      </c>
      <c r="O168" s="7" t="str">
        <f>IF('RFQ-Input'!O167="","",'RFQ-Input'!O167)</f>
        <v/>
      </c>
      <c r="Q168" s="7"/>
      <c r="R168" s="7"/>
      <c r="S168" s="7"/>
      <c r="T168" s="7"/>
      <c r="U168" s="7"/>
      <c r="V168" s="7"/>
      <c r="X168" s="7"/>
      <c r="Y168" s="7"/>
      <c r="Z168" s="7"/>
      <c r="AA168" s="7" t="str">
        <f t="shared" si="14"/>
        <v/>
      </c>
      <c r="AB168" s="7"/>
      <c r="AC168" s="7"/>
      <c r="AQ168" s="7" t="str">
        <f t="shared" si="15"/>
        <v/>
      </c>
      <c r="AR168" s="7" t="str">
        <f t="shared" si="16"/>
        <v/>
      </c>
      <c r="AS168" s="7" t="str">
        <f t="shared" si="17"/>
        <v/>
      </c>
      <c r="AT168" s="7" t="str">
        <f t="shared" si="18"/>
        <v/>
      </c>
      <c r="AU168" s="7" t="str">
        <f t="shared" si="19"/>
        <v/>
      </c>
      <c r="AV168" s="7" t="str">
        <f t="shared" si="20"/>
        <v/>
      </c>
      <c r="AW168" s="7" t="str">
        <f>IF('RFQ-Input'!O167="","",'RFQ-Input'!O167)</f>
        <v/>
      </c>
      <c r="AX168" s="7" t="str">
        <f>IF('RFQ-Input'!S167="","",'RFQ-Input'!S167)</f>
        <v/>
      </c>
      <c r="AY168" s="7" t="str">
        <f>IF('RFQ-Input'!V167="","",'RFQ-Input'!V167)</f>
        <v/>
      </c>
      <c r="AZ168" s="7" t="str">
        <f>IF('RFQ-Input'!Y167="","",'RFQ-Input'!Y167)</f>
        <v/>
      </c>
      <c r="BA168" s="7" t="str">
        <f>IF('RFQ-Input'!AB167="","",'RFQ-Input'!AB167)</f>
        <v/>
      </c>
    </row>
    <row r="169" spans="1:53">
      <c r="A169" s="20">
        <v>165</v>
      </c>
      <c r="B169" s="7"/>
      <c r="C169" s="7" t="str">
        <f>IF('RFQ-Input'!C168="","",'RFQ-Input'!C168)</f>
        <v/>
      </c>
      <c r="D169" s="7" t="str">
        <f>IF('RFQ-Input'!D168="","",'RFQ-Input'!D168)</f>
        <v/>
      </c>
      <c r="E169" s="7" t="str">
        <f>IF('RFQ-Input'!E168="","",'RFQ-Input'!E168)</f>
        <v/>
      </c>
      <c r="F169" s="7" t="str">
        <f>IF('RFQ-Input'!F168="","",'RFQ-Input'!F168)</f>
        <v/>
      </c>
      <c r="G169" s="7" t="str">
        <f>IF('RFQ-Input'!G168="","",'RFQ-Input'!G168)</f>
        <v/>
      </c>
      <c r="H169" s="7" t="str">
        <f>IF('RFQ-Input'!H168="","",'RFQ-Input'!H168)</f>
        <v/>
      </c>
      <c r="I169" s="7" t="str">
        <f>IF('RFQ-Input'!I168="","",'RFQ-Input'!I168)</f>
        <v/>
      </c>
      <c r="J169" s="7" t="str">
        <f>IF('RFQ-Input'!J168="","",'RFQ-Input'!J168)</f>
        <v/>
      </c>
      <c r="K169" s="7" t="str">
        <f>IF('RFQ-Input'!K168="","",'RFQ-Input'!K168)</f>
        <v/>
      </c>
      <c r="L169" s="7" t="str">
        <f>IF('RFQ-Input'!L168="","",'RFQ-Input'!L168)</f>
        <v/>
      </c>
      <c r="M169" s="7" t="str">
        <f>IF('RFQ-Input'!M168="","",'RFQ-Input'!M168)</f>
        <v/>
      </c>
      <c r="N169" s="7" t="str">
        <f>IF('RFQ-Input'!N168="","",'RFQ-Input'!N168)</f>
        <v/>
      </c>
      <c r="O169" s="7" t="str">
        <f>IF('RFQ-Input'!O168="","",'RFQ-Input'!O168)</f>
        <v/>
      </c>
      <c r="Q169" s="7"/>
      <c r="R169" s="7"/>
      <c r="S169" s="7"/>
      <c r="T169" s="7"/>
      <c r="U169" s="7"/>
      <c r="V169" s="7"/>
      <c r="X169" s="7"/>
      <c r="Y169" s="7"/>
      <c r="Z169" s="7"/>
      <c r="AA169" s="7" t="str">
        <f t="shared" si="14"/>
        <v/>
      </c>
      <c r="AB169" s="7"/>
      <c r="AC169" s="7"/>
      <c r="AQ169" s="7" t="str">
        <f t="shared" si="15"/>
        <v/>
      </c>
      <c r="AR169" s="7" t="str">
        <f t="shared" si="16"/>
        <v/>
      </c>
      <c r="AS169" s="7" t="str">
        <f t="shared" si="17"/>
        <v/>
      </c>
      <c r="AT169" s="7" t="str">
        <f t="shared" si="18"/>
        <v/>
      </c>
      <c r="AU169" s="7" t="str">
        <f t="shared" si="19"/>
        <v/>
      </c>
      <c r="AV169" s="7" t="str">
        <f t="shared" si="20"/>
        <v/>
      </c>
      <c r="AW169" s="7" t="str">
        <f>IF('RFQ-Input'!O168="","",'RFQ-Input'!O168)</f>
        <v/>
      </c>
      <c r="AX169" s="7" t="str">
        <f>IF('RFQ-Input'!S168="","",'RFQ-Input'!S168)</f>
        <v/>
      </c>
      <c r="AY169" s="7" t="str">
        <f>IF('RFQ-Input'!V168="","",'RFQ-Input'!V168)</f>
        <v/>
      </c>
      <c r="AZ169" s="7" t="str">
        <f>IF('RFQ-Input'!Y168="","",'RFQ-Input'!Y168)</f>
        <v/>
      </c>
      <c r="BA169" s="7" t="str">
        <f>IF('RFQ-Input'!AB168="","",'RFQ-Input'!AB168)</f>
        <v/>
      </c>
    </row>
    <row r="170" spans="1:53">
      <c r="A170" s="20">
        <v>166</v>
      </c>
      <c r="B170" s="7"/>
      <c r="C170" s="7" t="str">
        <f>IF('RFQ-Input'!C169="","",'RFQ-Input'!C169)</f>
        <v/>
      </c>
      <c r="D170" s="7" t="str">
        <f>IF('RFQ-Input'!D169="","",'RFQ-Input'!D169)</f>
        <v/>
      </c>
      <c r="E170" s="7" t="str">
        <f>IF('RFQ-Input'!E169="","",'RFQ-Input'!E169)</f>
        <v/>
      </c>
      <c r="F170" s="7" t="str">
        <f>IF('RFQ-Input'!F169="","",'RFQ-Input'!F169)</f>
        <v/>
      </c>
      <c r="G170" s="7" t="str">
        <f>IF('RFQ-Input'!G169="","",'RFQ-Input'!G169)</f>
        <v/>
      </c>
      <c r="H170" s="7" t="str">
        <f>IF('RFQ-Input'!H169="","",'RFQ-Input'!H169)</f>
        <v/>
      </c>
      <c r="I170" s="7" t="str">
        <f>IF('RFQ-Input'!I169="","",'RFQ-Input'!I169)</f>
        <v/>
      </c>
      <c r="J170" s="7" t="str">
        <f>IF('RFQ-Input'!J169="","",'RFQ-Input'!J169)</f>
        <v/>
      </c>
      <c r="K170" s="7" t="str">
        <f>IF('RFQ-Input'!K169="","",'RFQ-Input'!K169)</f>
        <v/>
      </c>
      <c r="L170" s="7" t="str">
        <f>IF('RFQ-Input'!L169="","",'RFQ-Input'!L169)</f>
        <v/>
      </c>
      <c r="M170" s="7" t="str">
        <f>IF('RFQ-Input'!M169="","",'RFQ-Input'!M169)</f>
        <v/>
      </c>
      <c r="N170" s="7" t="str">
        <f>IF('RFQ-Input'!N169="","",'RFQ-Input'!N169)</f>
        <v/>
      </c>
      <c r="O170" s="7" t="str">
        <f>IF('RFQ-Input'!O169="","",'RFQ-Input'!O169)</f>
        <v/>
      </c>
      <c r="Q170" s="7"/>
      <c r="R170" s="7"/>
      <c r="S170" s="7"/>
      <c r="T170" s="7"/>
      <c r="U170" s="7"/>
      <c r="V170" s="7"/>
      <c r="X170" s="7"/>
      <c r="Y170" s="7"/>
      <c r="Z170" s="7"/>
      <c r="AA170" s="7" t="str">
        <f t="shared" si="14"/>
        <v/>
      </c>
      <c r="AB170" s="7"/>
      <c r="AC170" s="7"/>
      <c r="AQ170" s="7" t="str">
        <f t="shared" si="15"/>
        <v/>
      </c>
      <c r="AR170" s="7" t="str">
        <f t="shared" si="16"/>
        <v/>
      </c>
      <c r="AS170" s="7" t="str">
        <f t="shared" si="17"/>
        <v/>
      </c>
      <c r="AT170" s="7" t="str">
        <f t="shared" si="18"/>
        <v/>
      </c>
      <c r="AU170" s="7" t="str">
        <f t="shared" si="19"/>
        <v/>
      </c>
      <c r="AV170" s="7" t="str">
        <f t="shared" si="20"/>
        <v/>
      </c>
      <c r="AW170" s="7" t="str">
        <f>IF('RFQ-Input'!O169="","",'RFQ-Input'!O169)</f>
        <v/>
      </c>
      <c r="AX170" s="7" t="str">
        <f>IF('RFQ-Input'!S169="","",'RFQ-Input'!S169)</f>
        <v/>
      </c>
      <c r="AY170" s="7" t="str">
        <f>IF('RFQ-Input'!V169="","",'RFQ-Input'!V169)</f>
        <v/>
      </c>
      <c r="AZ170" s="7" t="str">
        <f>IF('RFQ-Input'!Y169="","",'RFQ-Input'!Y169)</f>
        <v/>
      </c>
      <c r="BA170" s="7" t="str">
        <f>IF('RFQ-Input'!AB169="","",'RFQ-Input'!AB169)</f>
        <v/>
      </c>
    </row>
    <row r="171" spans="1:53">
      <c r="A171" s="20">
        <v>167</v>
      </c>
      <c r="B171" s="7"/>
      <c r="C171" s="7" t="str">
        <f>IF('RFQ-Input'!C170="","",'RFQ-Input'!C170)</f>
        <v/>
      </c>
      <c r="D171" s="7" t="str">
        <f>IF('RFQ-Input'!D170="","",'RFQ-Input'!D170)</f>
        <v/>
      </c>
      <c r="E171" s="7" t="str">
        <f>IF('RFQ-Input'!E170="","",'RFQ-Input'!E170)</f>
        <v/>
      </c>
      <c r="F171" s="7" t="str">
        <f>IF('RFQ-Input'!F170="","",'RFQ-Input'!F170)</f>
        <v/>
      </c>
      <c r="G171" s="7" t="str">
        <f>IF('RFQ-Input'!G170="","",'RFQ-Input'!G170)</f>
        <v/>
      </c>
      <c r="H171" s="7" t="str">
        <f>IF('RFQ-Input'!H170="","",'RFQ-Input'!H170)</f>
        <v/>
      </c>
      <c r="I171" s="7" t="str">
        <f>IF('RFQ-Input'!I170="","",'RFQ-Input'!I170)</f>
        <v/>
      </c>
      <c r="J171" s="7" t="str">
        <f>IF('RFQ-Input'!J170="","",'RFQ-Input'!J170)</f>
        <v/>
      </c>
      <c r="K171" s="7" t="str">
        <f>IF('RFQ-Input'!K170="","",'RFQ-Input'!K170)</f>
        <v/>
      </c>
      <c r="L171" s="7" t="str">
        <f>IF('RFQ-Input'!L170="","",'RFQ-Input'!L170)</f>
        <v/>
      </c>
      <c r="M171" s="7" t="str">
        <f>IF('RFQ-Input'!M170="","",'RFQ-Input'!M170)</f>
        <v/>
      </c>
      <c r="N171" s="7" t="str">
        <f>IF('RFQ-Input'!N170="","",'RFQ-Input'!N170)</f>
        <v/>
      </c>
      <c r="O171" s="7" t="str">
        <f>IF('RFQ-Input'!O170="","",'RFQ-Input'!O170)</f>
        <v/>
      </c>
      <c r="Q171" s="7"/>
      <c r="R171" s="7"/>
      <c r="S171" s="7"/>
      <c r="T171" s="7"/>
      <c r="U171" s="7"/>
      <c r="V171" s="7"/>
      <c r="X171" s="7"/>
      <c r="Y171" s="7"/>
      <c r="Z171" s="7"/>
      <c r="AA171" s="7" t="str">
        <f t="shared" si="14"/>
        <v/>
      </c>
      <c r="AB171" s="7"/>
      <c r="AC171" s="7"/>
      <c r="AQ171" s="7" t="str">
        <f t="shared" si="15"/>
        <v/>
      </c>
      <c r="AR171" s="7" t="str">
        <f t="shared" si="16"/>
        <v/>
      </c>
      <c r="AS171" s="7" t="str">
        <f t="shared" si="17"/>
        <v/>
      </c>
      <c r="AT171" s="7" t="str">
        <f t="shared" si="18"/>
        <v/>
      </c>
      <c r="AU171" s="7" t="str">
        <f t="shared" si="19"/>
        <v/>
      </c>
      <c r="AV171" s="7" t="str">
        <f t="shared" si="20"/>
        <v/>
      </c>
      <c r="AW171" s="7" t="str">
        <f>IF('RFQ-Input'!O170="","",'RFQ-Input'!O170)</f>
        <v/>
      </c>
      <c r="AX171" s="7" t="str">
        <f>IF('RFQ-Input'!S170="","",'RFQ-Input'!S170)</f>
        <v/>
      </c>
      <c r="AY171" s="7" t="str">
        <f>IF('RFQ-Input'!V170="","",'RFQ-Input'!V170)</f>
        <v/>
      </c>
      <c r="AZ171" s="7" t="str">
        <f>IF('RFQ-Input'!Y170="","",'RFQ-Input'!Y170)</f>
        <v/>
      </c>
      <c r="BA171" s="7" t="str">
        <f>IF('RFQ-Input'!AB170="","",'RFQ-Input'!AB170)</f>
        <v/>
      </c>
    </row>
    <row r="172" spans="1:53">
      <c r="A172" s="20">
        <v>168</v>
      </c>
      <c r="B172" s="7"/>
      <c r="C172" s="7" t="str">
        <f>IF('RFQ-Input'!C171="","",'RFQ-Input'!C171)</f>
        <v/>
      </c>
      <c r="D172" s="7" t="str">
        <f>IF('RFQ-Input'!D171="","",'RFQ-Input'!D171)</f>
        <v/>
      </c>
      <c r="E172" s="7" t="str">
        <f>IF('RFQ-Input'!E171="","",'RFQ-Input'!E171)</f>
        <v/>
      </c>
      <c r="F172" s="7" t="str">
        <f>IF('RFQ-Input'!F171="","",'RFQ-Input'!F171)</f>
        <v/>
      </c>
      <c r="G172" s="7" t="str">
        <f>IF('RFQ-Input'!G171="","",'RFQ-Input'!G171)</f>
        <v/>
      </c>
      <c r="H172" s="7" t="str">
        <f>IF('RFQ-Input'!H171="","",'RFQ-Input'!H171)</f>
        <v/>
      </c>
      <c r="I172" s="7" t="str">
        <f>IF('RFQ-Input'!I171="","",'RFQ-Input'!I171)</f>
        <v/>
      </c>
      <c r="J172" s="7" t="str">
        <f>IF('RFQ-Input'!J171="","",'RFQ-Input'!J171)</f>
        <v/>
      </c>
      <c r="K172" s="7" t="str">
        <f>IF('RFQ-Input'!K171="","",'RFQ-Input'!K171)</f>
        <v/>
      </c>
      <c r="L172" s="7" t="str">
        <f>IF('RFQ-Input'!L171="","",'RFQ-Input'!L171)</f>
        <v/>
      </c>
      <c r="M172" s="7" t="str">
        <f>IF('RFQ-Input'!M171="","",'RFQ-Input'!M171)</f>
        <v/>
      </c>
      <c r="N172" s="7" t="str">
        <f>IF('RFQ-Input'!N171="","",'RFQ-Input'!N171)</f>
        <v/>
      </c>
      <c r="O172" s="7" t="str">
        <f>IF('RFQ-Input'!O171="","",'RFQ-Input'!O171)</f>
        <v/>
      </c>
      <c r="Q172" s="7"/>
      <c r="R172" s="7"/>
      <c r="S172" s="7"/>
      <c r="T172" s="7"/>
      <c r="U172" s="7"/>
      <c r="V172" s="7"/>
      <c r="X172" s="7"/>
      <c r="Y172" s="7"/>
      <c r="Z172" s="7"/>
      <c r="AA172" s="7" t="str">
        <f t="shared" si="14"/>
        <v/>
      </c>
      <c r="AB172" s="7"/>
      <c r="AC172" s="7"/>
      <c r="AQ172" s="7" t="str">
        <f t="shared" si="15"/>
        <v/>
      </c>
      <c r="AR172" s="7" t="str">
        <f t="shared" si="16"/>
        <v/>
      </c>
      <c r="AS172" s="7" t="str">
        <f t="shared" si="17"/>
        <v/>
      </c>
      <c r="AT172" s="7" t="str">
        <f t="shared" si="18"/>
        <v/>
      </c>
      <c r="AU172" s="7" t="str">
        <f t="shared" si="19"/>
        <v/>
      </c>
      <c r="AV172" s="7" t="str">
        <f t="shared" si="20"/>
        <v/>
      </c>
      <c r="AW172" s="7" t="str">
        <f>IF('RFQ-Input'!O171="","",'RFQ-Input'!O171)</f>
        <v/>
      </c>
      <c r="AX172" s="7" t="str">
        <f>IF('RFQ-Input'!S171="","",'RFQ-Input'!S171)</f>
        <v/>
      </c>
      <c r="AY172" s="7" t="str">
        <f>IF('RFQ-Input'!V171="","",'RFQ-Input'!V171)</f>
        <v/>
      </c>
      <c r="AZ172" s="7" t="str">
        <f>IF('RFQ-Input'!Y171="","",'RFQ-Input'!Y171)</f>
        <v/>
      </c>
      <c r="BA172" s="7" t="str">
        <f>IF('RFQ-Input'!AB171="","",'RFQ-Input'!AB171)</f>
        <v/>
      </c>
    </row>
    <row r="173" spans="1:53">
      <c r="A173" s="20">
        <v>169</v>
      </c>
      <c r="B173" s="7"/>
      <c r="C173" s="7" t="str">
        <f>IF('RFQ-Input'!C172="","",'RFQ-Input'!C172)</f>
        <v/>
      </c>
      <c r="D173" s="7" t="str">
        <f>IF('RFQ-Input'!D172="","",'RFQ-Input'!D172)</f>
        <v/>
      </c>
      <c r="E173" s="7" t="str">
        <f>IF('RFQ-Input'!E172="","",'RFQ-Input'!E172)</f>
        <v/>
      </c>
      <c r="F173" s="7" t="str">
        <f>IF('RFQ-Input'!F172="","",'RFQ-Input'!F172)</f>
        <v/>
      </c>
      <c r="G173" s="7" t="str">
        <f>IF('RFQ-Input'!G172="","",'RFQ-Input'!G172)</f>
        <v/>
      </c>
      <c r="H173" s="7" t="str">
        <f>IF('RFQ-Input'!H172="","",'RFQ-Input'!H172)</f>
        <v/>
      </c>
      <c r="I173" s="7" t="str">
        <f>IF('RFQ-Input'!I172="","",'RFQ-Input'!I172)</f>
        <v/>
      </c>
      <c r="J173" s="7" t="str">
        <f>IF('RFQ-Input'!J172="","",'RFQ-Input'!J172)</f>
        <v/>
      </c>
      <c r="K173" s="7" t="str">
        <f>IF('RFQ-Input'!K172="","",'RFQ-Input'!K172)</f>
        <v/>
      </c>
      <c r="L173" s="7" t="str">
        <f>IF('RFQ-Input'!L172="","",'RFQ-Input'!L172)</f>
        <v/>
      </c>
      <c r="M173" s="7" t="str">
        <f>IF('RFQ-Input'!M172="","",'RFQ-Input'!M172)</f>
        <v/>
      </c>
      <c r="N173" s="7" t="str">
        <f>IF('RFQ-Input'!N172="","",'RFQ-Input'!N172)</f>
        <v/>
      </c>
      <c r="O173" s="7" t="str">
        <f>IF('RFQ-Input'!O172="","",'RFQ-Input'!O172)</f>
        <v/>
      </c>
      <c r="Q173" s="7"/>
      <c r="R173" s="7"/>
      <c r="S173" s="7"/>
      <c r="T173" s="7"/>
      <c r="U173" s="7"/>
      <c r="V173" s="7"/>
      <c r="X173" s="7"/>
      <c r="Y173" s="7"/>
      <c r="Z173" s="7"/>
      <c r="AA173" s="7" t="str">
        <f t="shared" si="14"/>
        <v/>
      </c>
      <c r="AB173" s="7"/>
      <c r="AC173" s="7"/>
      <c r="AQ173" s="7" t="str">
        <f t="shared" si="15"/>
        <v/>
      </c>
      <c r="AR173" s="7" t="str">
        <f t="shared" si="16"/>
        <v/>
      </c>
      <c r="AS173" s="7" t="str">
        <f t="shared" si="17"/>
        <v/>
      </c>
      <c r="AT173" s="7" t="str">
        <f t="shared" si="18"/>
        <v/>
      </c>
      <c r="AU173" s="7" t="str">
        <f t="shared" si="19"/>
        <v/>
      </c>
      <c r="AV173" s="7" t="str">
        <f t="shared" si="20"/>
        <v/>
      </c>
      <c r="AW173" s="7" t="str">
        <f>IF('RFQ-Input'!O172="","",'RFQ-Input'!O172)</f>
        <v/>
      </c>
      <c r="AX173" s="7" t="str">
        <f>IF('RFQ-Input'!S172="","",'RFQ-Input'!S172)</f>
        <v/>
      </c>
      <c r="AY173" s="7" t="str">
        <f>IF('RFQ-Input'!V172="","",'RFQ-Input'!V172)</f>
        <v/>
      </c>
      <c r="AZ173" s="7" t="str">
        <f>IF('RFQ-Input'!Y172="","",'RFQ-Input'!Y172)</f>
        <v/>
      </c>
      <c r="BA173" s="7" t="str">
        <f>IF('RFQ-Input'!AB172="","",'RFQ-Input'!AB172)</f>
        <v/>
      </c>
    </row>
    <row r="174" spans="1:53">
      <c r="A174" s="20">
        <v>170</v>
      </c>
      <c r="B174" s="7"/>
      <c r="C174" s="7" t="str">
        <f>IF('RFQ-Input'!C173="","",'RFQ-Input'!C173)</f>
        <v/>
      </c>
      <c r="D174" s="7" t="str">
        <f>IF('RFQ-Input'!D173="","",'RFQ-Input'!D173)</f>
        <v/>
      </c>
      <c r="E174" s="7" t="str">
        <f>IF('RFQ-Input'!E173="","",'RFQ-Input'!E173)</f>
        <v/>
      </c>
      <c r="F174" s="7" t="str">
        <f>IF('RFQ-Input'!F173="","",'RFQ-Input'!F173)</f>
        <v/>
      </c>
      <c r="G174" s="7" t="str">
        <f>IF('RFQ-Input'!G173="","",'RFQ-Input'!G173)</f>
        <v/>
      </c>
      <c r="H174" s="7" t="str">
        <f>IF('RFQ-Input'!H173="","",'RFQ-Input'!H173)</f>
        <v/>
      </c>
      <c r="I174" s="7" t="str">
        <f>IF('RFQ-Input'!I173="","",'RFQ-Input'!I173)</f>
        <v/>
      </c>
      <c r="J174" s="7" t="str">
        <f>IF('RFQ-Input'!J173="","",'RFQ-Input'!J173)</f>
        <v/>
      </c>
      <c r="K174" s="7" t="str">
        <f>IF('RFQ-Input'!K173="","",'RFQ-Input'!K173)</f>
        <v/>
      </c>
      <c r="L174" s="7" t="str">
        <f>IF('RFQ-Input'!L173="","",'RFQ-Input'!L173)</f>
        <v/>
      </c>
      <c r="M174" s="7" t="str">
        <f>IF('RFQ-Input'!M173="","",'RFQ-Input'!M173)</f>
        <v/>
      </c>
      <c r="N174" s="7" t="str">
        <f>IF('RFQ-Input'!N173="","",'RFQ-Input'!N173)</f>
        <v/>
      </c>
      <c r="O174" s="7" t="str">
        <f>IF('RFQ-Input'!O173="","",'RFQ-Input'!O173)</f>
        <v/>
      </c>
      <c r="Q174" s="7"/>
      <c r="R174" s="7"/>
      <c r="S174" s="7"/>
      <c r="T174" s="7"/>
      <c r="U174" s="7"/>
      <c r="V174" s="7"/>
      <c r="X174" s="7"/>
      <c r="Y174" s="7"/>
      <c r="Z174" s="7"/>
      <c r="AA174" s="7" t="str">
        <f t="shared" si="14"/>
        <v/>
      </c>
      <c r="AB174" s="7"/>
      <c r="AC174" s="7"/>
      <c r="AQ174" s="7" t="str">
        <f t="shared" si="15"/>
        <v/>
      </c>
      <c r="AR174" s="7" t="str">
        <f t="shared" si="16"/>
        <v/>
      </c>
      <c r="AS174" s="7" t="str">
        <f t="shared" si="17"/>
        <v/>
      </c>
      <c r="AT174" s="7" t="str">
        <f t="shared" si="18"/>
        <v/>
      </c>
      <c r="AU174" s="7" t="str">
        <f t="shared" si="19"/>
        <v/>
      </c>
      <c r="AV174" s="7" t="str">
        <f t="shared" si="20"/>
        <v/>
      </c>
      <c r="AW174" s="7" t="str">
        <f>IF('RFQ-Input'!O173="","",'RFQ-Input'!O173)</f>
        <v/>
      </c>
      <c r="AX174" s="7" t="str">
        <f>IF('RFQ-Input'!S173="","",'RFQ-Input'!S173)</f>
        <v/>
      </c>
      <c r="AY174" s="7" t="str">
        <f>IF('RFQ-Input'!V173="","",'RFQ-Input'!V173)</f>
        <v/>
      </c>
      <c r="AZ174" s="7" t="str">
        <f>IF('RFQ-Input'!Y173="","",'RFQ-Input'!Y173)</f>
        <v/>
      </c>
      <c r="BA174" s="7" t="str">
        <f>IF('RFQ-Input'!AB173="","",'RFQ-Input'!AB173)</f>
        <v/>
      </c>
    </row>
    <row r="175" spans="1:53">
      <c r="A175" s="20">
        <v>171</v>
      </c>
      <c r="B175" s="7"/>
      <c r="C175" s="7" t="str">
        <f>IF('RFQ-Input'!C174="","",'RFQ-Input'!C174)</f>
        <v/>
      </c>
      <c r="D175" s="7" t="str">
        <f>IF('RFQ-Input'!D174="","",'RFQ-Input'!D174)</f>
        <v/>
      </c>
      <c r="E175" s="7" t="str">
        <f>IF('RFQ-Input'!E174="","",'RFQ-Input'!E174)</f>
        <v/>
      </c>
      <c r="F175" s="7" t="str">
        <f>IF('RFQ-Input'!F174="","",'RFQ-Input'!F174)</f>
        <v/>
      </c>
      <c r="G175" s="7" t="str">
        <f>IF('RFQ-Input'!G174="","",'RFQ-Input'!G174)</f>
        <v/>
      </c>
      <c r="H175" s="7" t="str">
        <f>IF('RFQ-Input'!H174="","",'RFQ-Input'!H174)</f>
        <v/>
      </c>
      <c r="I175" s="7" t="str">
        <f>IF('RFQ-Input'!I174="","",'RFQ-Input'!I174)</f>
        <v/>
      </c>
      <c r="J175" s="7" t="str">
        <f>IF('RFQ-Input'!J174="","",'RFQ-Input'!J174)</f>
        <v/>
      </c>
      <c r="K175" s="7" t="str">
        <f>IF('RFQ-Input'!K174="","",'RFQ-Input'!K174)</f>
        <v/>
      </c>
      <c r="L175" s="7" t="str">
        <f>IF('RFQ-Input'!L174="","",'RFQ-Input'!L174)</f>
        <v/>
      </c>
      <c r="M175" s="7" t="str">
        <f>IF('RFQ-Input'!M174="","",'RFQ-Input'!M174)</f>
        <v/>
      </c>
      <c r="N175" s="7" t="str">
        <f>IF('RFQ-Input'!N174="","",'RFQ-Input'!N174)</f>
        <v/>
      </c>
      <c r="O175" s="7" t="str">
        <f>IF('RFQ-Input'!O174="","",'RFQ-Input'!O174)</f>
        <v/>
      </c>
      <c r="Q175" s="7"/>
      <c r="R175" s="7"/>
      <c r="S175" s="7"/>
      <c r="T175" s="7"/>
      <c r="U175" s="7"/>
      <c r="V175" s="7"/>
      <c r="X175" s="7"/>
      <c r="Y175" s="7"/>
      <c r="Z175" s="7"/>
      <c r="AA175" s="7" t="str">
        <f t="shared" si="14"/>
        <v/>
      </c>
      <c r="AB175" s="7"/>
      <c r="AC175" s="7"/>
      <c r="AQ175" s="7" t="str">
        <f t="shared" si="15"/>
        <v/>
      </c>
      <c r="AR175" s="7" t="str">
        <f t="shared" si="16"/>
        <v/>
      </c>
      <c r="AS175" s="7" t="str">
        <f t="shared" si="17"/>
        <v/>
      </c>
      <c r="AT175" s="7" t="str">
        <f t="shared" si="18"/>
        <v/>
      </c>
      <c r="AU175" s="7" t="str">
        <f t="shared" si="19"/>
        <v/>
      </c>
      <c r="AV175" s="7" t="str">
        <f t="shared" si="20"/>
        <v/>
      </c>
      <c r="AW175" s="7" t="str">
        <f>IF('RFQ-Input'!O174="","",'RFQ-Input'!O174)</f>
        <v/>
      </c>
      <c r="AX175" s="7" t="str">
        <f>IF('RFQ-Input'!S174="","",'RFQ-Input'!S174)</f>
        <v/>
      </c>
      <c r="AY175" s="7" t="str">
        <f>IF('RFQ-Input'!V174="","",'RFQ-Input'!V174)</f>
        <v/>
      </c>
      <c r="AZ175" s="7" t="str">
        <f>IF('RFQ-Input'!Y174="","",'RFQ-Input'!Y174)</f>
        <v/>
      </c>
      <c r="BA175" s="7" t="str">
        <f>IF('RFQ-Input'!AB174="","",'RFQ-Input'!AB174)</f>
        <v/>
      </c>
    </row>
    <row r="176" spans="1:53">
      <c r="A176" s="20">
        <v>172</v>
      </c>
      <c r="B176" s="7"/>
      <c r="C176" s="7" t="str">
        <f>IF('RFQ-Input'!C175="","",'RFQ-Input'!C175)</f>
        <v/>
      </c>
      <c r="D176" s="7" t="str">
        <f>IF('RFQ-Input'!D175="","",'RFQ-Input'!D175)</f>
        <v/>
      </c>
      <c r="E176" s="7" t="str">
        <f>IF('RFQ-Input'!E175="","",'RFQ-Input'!E175)</f>
        <v/>
      </c>
      <c r="F176" s="7" t="str">
        <f>IF('RFQ-Input'!F175="","",'RFQ-Input'!F175)</f>
        <v/>
      </c>
      <c r="G176" s="7" t="str">
        <f>IF('RFQ-Input'!G175="","",'RFQ-Input'!G175)</f>
        <v/>
      </c>
      <c r="H176" s="7" t="str">
        <f>IF('RFQ-Input'!H175="","",'RFQ-Input'!H175)</f>
        <v/>
      </c>
      <c r="I176" s="7" t="str">
        <f>IF('RFQ-Input'!I175="","",'RFQ-Input'!I175)</f>
        <v/>
      </c>
      <c r="J176" s="7" t="str">
        <f>IF('RFQ-Input'!J175="","",'RFQ-Input'!J175)</f>
        <v/>
      </c>
      <c r="K176" s="7" t="str">
        <f>IF('RFQ-Input'!K175="","",'RFQ-Input'!K175)</f>
        <v/>
      </c>
      <c r="L176" s="7" t="str">
        <f>IF('RFQ-Input'!L175="","",'RFQ-Input'!L175)</f>
        <v/>
      </c>
      <c r="M176" s="7" t="str">
        <f>IF('RFQ-Input'!M175="","",'RFQ-Input'!M175)</f>
        <v/>
      </c>
      <c r="N176" s="7" t="str">
        <f>IF('RFQ-Input'!N175="","",'RFQ-Input'!N175)</f>
        <v/>
      </c>
      <c r="O176" s="7" t="str">
        <f>IF('RFQ-Input'!O175="","",'RFQ-Input'!O175)</f>
        <v/>
      </c>
      <c r="Q176" s="7"/>
      <c r="R176" s="7"/>
      <c r="S176" s="7"/>
      <c r="T176" s="7"/>
      <c r="U176" s="7"/>
      <c r="V176" s="7"/>
      <c r="X176" s="7"/>
      <c r="Y176" s="7"/>
      <c r="Z176" s="7"/>
      <c r="AA176" s="7" t="str">
        <f t="shared" si="14"/>
        <v/>
      </c>
      <c r="AB176" s="7"/>
      <c r="AC176" s="7"/>
      <c r="AQ176" s="7" t="str">
        <f t="shared" si="15"/>
        <v/>
      </c>
      <c r="AR176" s="7" t="str">
        <f t="shared" si="16"/>
        <v/>
      </c>
      <c r="AS176" s="7" t="str">
        <f t="shared" si="17"/>
        <v/>
      </c>
      <c r="AT176" s="7" t="str">
        <f t="shared" si="18"/>
        <v/>
      </c>
      <c r="AU176" s="7" t="str">
        <f t="shared" si="19"/>
        <v/>
      </c>
      <c r="AV176" s="7" t="str">
        <f t="shared" si="20"/>
        <v/>
      </c>
      <c r="AW176" s="7" t="str">
        <f>IF('RFQ-Input'!O175="","",'RFQ-Input'!O175)</f>
        <v/>
      </c>
      <c r="AX176" s="7" t="str">
        <f>IF('RFQ-Input'!S175="","",'RFQ-Input'!S175)</f>
        <v/>
      </c>
      <c r="AY176" s="7" t="str">
        <f>IF('RFQ-Input'!V175="","",'RFQ-Input'!V175)</f>
        <v/>
      </c>
      <c r="AZ176" s="7" t="str">
        <f>IF('RFQ-Input'!Y175="","",'RFQ-Input'!Y175)</f>
        <v/>
      </c>
      <c r="BA176" s="7" t="str">
        <f>IF('RFQ-Input'!AB175="","",'RFQ-Input'!AB175)</f>
        <v/>
      </c>
    </row>
    <row r="177" spans="1:53">
      <c r="A177" s="20">
        <v>173</v>
      </c>
      <c r="B177" s="7"/>
      <c r="C177" s="7" t="str">
        <f>IF('RFQ-Input'!C176="","",'RFQ-Input'!C176)</f>
        <v/>
      </c>
      <c r="D177" s="7" t="str">
        <f>IF('RFQ-Input'!D176="","",'RFQ-Input'!D176)</f>
        <v/>
      </c>
      <c r="E177" s="7" t="str">
        <f>IF('RFQ-Input'!E176="","",'RFQ-Input'!E176)</f>
        <v/>
      </c>
      <c r="F177" s="7" t="str">
        <f>IF('RFQ-Input'!F176="","",'RFQ-Input'!F176)</f>
        <v/>
      </c>
      <c r="G177" s="7" t="str">
        <f>IF('RFQ-Input'!G176="","",'RFQ-Input'!G176)</f>
        <v/>
      </c>
      <c r="H177" s="7" t="str">
        <f>IF('RFQ-Input'!H176="","",'RFQ-Input'!H176)</f>
        <v/>
      </c>
      <c r="I177" s="7" t="str">
        <f>IF('RFQ-Input'!I176="","",'RFQ-Input'!I176)</f>
        <v/>
      </c>
      <c r="J177" s="7" t="str">
        <f>IF('RFQ-Input'!J176="","",'RFQ-Input'!J176)</f>
        <v/>
      </c>
      <c r="K177" s="7" t="str">
        <f>IF('RFQ-Input'!K176="","",'RFQ-Input'!K176)</f>
        <v/>
      </c>
      <c r="L177" s="7" t="str">
        <f>IF('RFQ-Input'!L176="","",'RFQ-Input'!L176)</f>
        <v/>
      </c>
      <c r="M177" s="7" t="str">
        <f>IF('RFQ-Input'!M176="","",'RFQ-Input'!M176)</f>
        <v/>
      </c>
      <c r="N177" s="7" t="str">
        <f>IF('RFQ-Input'!N176="","",'RFQ-Input'!N176)</f>
        <v/>
      </c>
      <c r="O177" s="7" t="str">
        <f>IF('RFQ-Input'!O176="","",'RFQ-Input'!O176)</f>
        <v/>
      </c>
      <c r="Q177" s="7"/>
      <c r="R177" s="7"/>
      <c r="S177" s="7"/>
      <c r="T177" s="7"/>
      <c r="U177" s="7"/>
      <c r="V177" s="7"/>
      <c r="X177" s="7"/>
      <c r="Y177" s="7"/>
      <c r="Z177" s="7"/>
      <c r="AA177" s="7" t="str">
        <f t="shared" si="14"/>
        <v/>
      </c>
      <c r="AB177" s="7"/>
      <c r="AC177" s="7"/>
      <c r="AQ177" s="7" t="str">
        <f t="shared" si="15"/>
        <v/>
      </c>
      <c r="AR177" s="7" t="str">
        <f t="shared" si="16"/>
        <v/>
      </c>
      <c r="AS177" s="7" t="str">
        <f t="shared" si="17"/>
        <v/>
      </c>
      <c r="AT177" s="7" t="str">
        <f t="shared" si="18"/>
        <v/>
      </c>
      <c r="AU177" s="7" t="str">
        <f t="shared" si="19"/>
        <v/>
      </c>
      <c r="AV177" s="7" t="str">
        <f t="shared" si="20"/>
        <v/>
      </c>
      <c r="AW177" s="7" t="str">
        <f>IF('RFQ-Input'!O176="","",'RFQ-Input'!O176)</f>
        <v/>
      </c>
      <c r="AX177" s="7" t="str">
        <f>IF('RFQ-Input'!S176="","",'RFQ-Input'!S176)</f>
        <v/>
      </c>
      <c r="AY177" s="7" t="str">
        <f>IF('RFQ-Input'!V176="","",'RFQ-Input'!V176)</f>
        <v/>
      </c>
      <c r="AZ177" s="7" t="str">
        <f>IF('RFQ-Input'!Y176="","",'RFQ-Input'!Y176)</f>
        <v/>
      </c>
      <c r="BA177" s="7" t="str">
        <f>IF('RFQ-Input'!AB176="","",'RFQ-Input'!AB176)</f>
        <v/>
      </c>
    </row>
    <row r="178" spans="1:53">
      <c r="A178" s="20">
        <v>174</v>
      </c>
      <c r="B178" s="7"/>
      <c r="C178" s="7" t="str">
        <f>IF('RFQ-Input'!C177="","",'RFQ-Input'!C177)</f>
        <v/>
      </c>
      <c r="D178" s="7" t="str">
        <f>IF('RFQ-Input'!D177="","",'RFQ-Input'!D177)</f>
        <v/>
      </c>
      <c r="E178" s="7" t="str">
        <f>IF('RFQ-Input'!E177="","",'RFQ-Input'!E177)</f>
        <v/>
      </c>
      <c r="F178" s="7" t="str">
        <f>IF('RFQ-Input'!F177="","",'RFQ-Input'!F177)</f>
        <v/>
      </c>
      <c r="G178" s="7" t="str">
        <f>IF('RFQ-Input'!G177="","",'RFQ-Input'!G177)</f>
        <v/>
      </c>
      <c r="H178" s="7" t="str">
        <f>IF('RFQ-Input'!H177="","",'RFQ-Input'!H177)</f>
        <v/>
      </c>
      <c r="I178" s="7" t="str">
        <f>IF('RFQ-Input'!I177="","",'RFQ-Input'!I177)</f>
        <v/>
      </c>
      <c r="J178" s="7" t="str">
        <f>IF('RFQ-Input'!J177="","",'RFQ-Input'!J177)</f>
        <v/>
      </c>
      <c r="K178" s="7" t="str">
        <f>IF('RFQ-Input'!K177="","",'RFQ-Input'!K177)</f>
        <v/>
      </c>
      <c r="L178" s="7" t="str">
        <f>IF('RFQ-Input'!L177="","",'RFQ-Input'!L177)</f>
        <v/>
      </c>
      <c r="M178" s="7" t="str">
        <f>IF('RFQ-Input'!M177="","",'RFQ-Input'!M177)</f>
        <v/>
      </c>
      <c r="N178" s="7" t="str">
        <f>IF('RFQ-Input'!N177="","",'RFQ-Input'!N177)</f>
        <v/>
      </c>
      <c r="O178" s="7" t="str">
        <f>IF('RFQ-Input'!O177="","",'RFQ-Input'!O177)</f>
        <v/>
      </c>
      <c r="Q178" s="7"/>
      <c r="R178" s="7"/>
      <c r="S178" s="7"/>
      <c r="T178" s="7"/>
      <c r="U178" s="7"/>
      <c r="V178" s="7"/>
      <c r="X178" s="7"/>
      <c r="Y178" s="7"/>
      <c r="Z178" s="7"/>
      <c r="AA178" s="7" t="str">
        <f t="shared" si="14"/>
        <v/>
      </c>
      <c r="AB178" s="7"/>
      <c r="AC178" s="7"/>
      <c r="AQ178" s="7" t="str">
        <f t="shared" si="15"/>
        <v/>
      </c>
      <c r="AR178" s="7" t="str">
        <f t="shared" si="16"/>
        <v/>
      </c>
      <c r="AS178" s="7" t="str">
        <f t="shared" si="17"/>
        <v/>
      </c>
      <c r="AT178" s="7" t="str">
        <f t="shared" si="18"/>
        <v/>
      </c>
      <c r="AU178" s="7" t="str">
        <f t="shared" si="19"/>
        <v/>
      </c>
      <c r="AV178" s="7" t="str">
        <f t="shared" si="20"/>
        <v/>
      </c>
      <c r="AW178" s="7" t="str">
        <f>IF('RFQ-Input'!O177="","",'RFQ-Input'!O177)</f>
        <v/>
      </c>
      <c r="AX178" s="7" t="str">
        <f>IF('RFQ-Input'!S177="","",'RFQ-Input'!S177)</f>
        <v/>
      </c>
      <c r="AY178" s="7" t="str">
        <f>IF('RFQ-Input'!V177="","",'RFQ-Input'!V177)</f>
        <v/>
      </c>
      <c r="AZ178" s="7" t="str">
        <f>IF('RFQ-Input'!Y177="","",'RFQ-Input'!Y177)</f>
        <v/>
      </c>
      <c r="BA178" s="7" t="str">
        <f>IF('RFQ-Input'!AB177="","",'RFQ-Input'!AB177)</f>
        <v/>
      </c>
    </row>
    <row r="179" spans="1:53">
      <c r="A179" s="20">
        <v>175</v>
      </c>
      <c r="B179" s="7"/>
      <c r="C179" s="7" t="str">
        <f>IF('RFQ-Input'!C178="","",'RFQ-Input'!C178)</f>
        <v/>
      </c>
      <c r="D179" s="7" t="str">
        <f>IF('RFQ-Input'!D178="","",'RFQ-Input'!D178)</f>
        <v/>
      </c>
      <c r="E179" s="7" t="str">
        <f>IF('RFQ-Input'!E178="","",'RFQ-Input'!E178)</f>
        <v/>
      </c>
      <c r="F179" s="7" t="str">
        <f>IF('RFQ-Input'!F178="","",'RFQ-Input'!F178)</f>
        <v/>
      </c>
      <c r="G179" s="7" t="str">
        <f>IF('RFQ-Input'!G178="","",'RFQ-Input'!G178)</f>
        <v/>
      </c>
      <c r="H179" s="7" t="str">
        <f>IF('RFQ-Input'!H178="","",'RFQ-Input'!H178)</f>
        <v/>
      </c>
      <c r="I179" s="7" t="str">
        <f>IF('RFQ-Input'!I178="","",'RFQ-Input'!I178)</f>
        <v/>
      </c>
      <c r="J179" s="7" t="str">
        <f>IF('RFQ-Input'!J178="","",'RFQ-Input'!J178)</f>
        <v/>
      </c>
      <c r="K179" s="7" t="str">
        <f>IF('RFQ-Input'!K178="","",'RFQ-Input'!K178)</f>
        <v/>
      </c>
      <c r="L179" s="7" t="str">
        <f>IF('RFQ-Input'!L178="","",'RFQ-Input'!L178)</f>
        <v/>
      </c>
      <c r="M179" s="7" t="str">
        <f>IF('RFQ-Input'!M178="","",'RFQ-Input'!M178)</f>
        <v/>
      </c>
      <c r="N179" s="7" t="str">
        <f>IF('RFQ-Input'!N178="","",'RFQ-Input'!N178)</f>
        <v/>
      </c>
      <c r="O179" s="7" t="str">
        <f>IF('RFQ-Input'!O178="","",'RFQ-Input'!O178)</f>
        <v/>
      </c>
      <c r="Q179" s="7"/>
      <c r="R179" s="7"/>
      <c r="S179" s="7"/>
      <c r="T179" s="7"/>
      <c r="U179" s="7"/>
      <c r="V179" s="7"/>
      <c r="X179" s="7"/>
      <c r="Y179" s="7"/>
      <c r="Z179" s="7"/>
      <c r="AA179" s="7" t="str">
        <f t="shared" si="14"/>
        <v/>
      </c>
      <c r="AB179" s="7"/>
      <c r="AC179" s="7"/>
      <c r="AQ179" s="7" t="str">
        <f t="shared" si="15"/>
        <v/>
      </c>
      <c r="AR179" s="7" t="str">
        <f t="shared" si="16"/>
        <v/>
      </c>
      <c r="AS179" s="7" t="str">
        <f t="shared" si="17"/>
        <v/>
      </c>
      <c r="AT179" s="7" t="str">
        <f t="shared" si="18"/>
        <v/>
      </c>
      <c r="AU179" s="7" t="str">
        <f t="shared" si="19"/>
        <v/>
      </c>
      <c r="AV179" s="7" t="str">
        <f t="shared" si="20"/>
        <v/>
      </c>
      <c r="AW179" s="7" t="str">
        <f>IF('RFQ-Input'!O178="","",'RFQ-Input'!O178)</f>
        <v/>
      </c>
      <c r="AX179" s="7" t="str">
        <f>IF('RFQ-Input'!S178="","",'RFQ-Input'!S178)</f>
        <v/>
      </c>
      <c r="AY179" s="7" t="str">
        <f>IF('RFQ-Input'!V178="","",'RFQ-Input'!V178)</f>
        <v/>
      </c>
      <c r="AZ179" s="7" t="str">
        <f>IF('RFQ-Input'!Y178="","",'RFQ-Input'!Y178)</f>
        <v/>
      </c>
      <c r="BA179" s="7" t="str">
        <f>IF('RFQ-Input'!AB178="","",'RFQ-Input'!AB178)</f>
        <v/>
      </c>
    </row>
    <row r="180" spans="1:53">
      <c r="A180" s="20">
        <v>176</v>
      </c>
      <c r="B180" s="7"/>
      <c r="C180" s="7" t="str">
        <f>IF('RFQ-Input'!C179="","",'RFQ-Input'!C179)</f>
        <v/>
      </c>
      <c r="D180" s="7" t="str">
        <f>IF('RFQ-Input'!D179="","",'RFQ-Input'!D179)</f>
        <v/>
      </c>
      <c r="E180" s="7" t="str">
        <f>IF('RFQ-Input'!E179="","",'RFQ-Input'!E179)</f>
        <v/>
      </c>
      <c r="F180" s="7" t="str">
        <f>IF('RFQ-Input'!F179="","",'RFQ-Input'!F179)</f>
        <v/>
      </c>
      <c r="G180" s="7" t="str">
        <f>IF('RFQ-Input'!G179="","",'RFQ-Input'!G179)</f>
        <v/>
      </c>
      <c r="H180" s="7" t="str">
        <f>IF('RFQ-Input'!H179="","",'RFQ-Input'!H179)</f>
        <v/>
      </c>
      <c r="I180" s="7" t="str">
        <f>IF('RFQ-Input'!I179="","",'RFQ-Input'!I179)</f>
        <v/>
      </c>
      <c r="J180" s="7" t="str">
        <f>IF('RFQ-Input'!J179="","",'RFQ-Input'!J179)</f>
        <v/>
      </c>
      <c r="K180" s="7" t="str">
        <f>IF('RFQ-Input'!K179="","",'RFQ-Input'!K179)</f>
        <v/>
      </c>
      <c r="L180" s="7" t="str">
        <f>IF('RFQ-Input'!L179="","",'RFQ-Input'!L179)</f>
        <v/>
      </c>
      <c r="M180" s="7" t="str">
        <f>IF('RFQ-Input'!M179="","",'RFQ-Input'!M179)</f>
        <v/>
      </c>
      <c r="N180" s="7" t="str">
        <f>IF('RFQ-Input'!N179="","",'RFQ-Input'!N179)</f>
        <v/>
      </c>
      <c r="O180" s="7" t="str">
        <f>IF('RFQ-Input'!O179="","",'RFQ-Input'!O179)</f>
        <v/>
      </c>
      <c r="Q180" s="7"/>
      <c r="R180" s="7"/>
      <c r="S180" s="7"/>
      <c r="T180" s="7"/>
      <c r="U180" s="7"/>
      <c r="V180" s="7"/>
      <c r="X180" s="7"/>
      <c r="Y180" s="7"/>
      <c r="Z180" s="7"/>
      <c r="AA180" s="7" t="str">
        <f t="shared" si="14"/>
        <v/>
      </c>
      <c r="AB180" s="7"/>
      <c r="AC180" s="7"/>
      <c r="AQ180" s="7" t="str">
        <f t="shared" si="15"/>
        <v/>
      </c>
      <c r="AR180" s="7" t="str">
        <f t="shared" si="16"/>
        <v/>
      </c>
      <c r="AS180" s="7" t="str">
        <f t="shared" si="17"/>
        <v/>
      </c>
      <c r="AT180" s="7" t="str">
        <f t="shared" si="18"/>
        <v/>
      </c>
      <c r="AU180" s="7" t="str">
        <f t="shared" si="19"/>
        <v/>
      </c>
      <c r="AV180" s="7" t="str">
        <f t="shared" si="20"/>
        <v/>
      </c>
      <c r="AW180" s="7" t="str">
        <f>IF('RFQ-Input'!O179="","",'RFQ-Input'!O179)</f>
        <v/>
      </c>
      <c r="AX180" s="7" t="str">
        <f>IF('RFQ-Input'!S179="","",'RFQ-Input'!S179)</f>
        <v/>
      </c>
      <c r="AY180" s="7" t="str">
        <f>IF('RFQ-Input'!V179="","",'RFQ-Input'!V179)</f>
        <v/>
      </c>
      <c r="AZ180" s="7" t="str">
        <f>IF('RFQ-Input'!Y179="","",'RFQ-Input'!Y179)</f>
        <v/>
      </c>
      <c r="BA180" s="7" t="str">
        <f>IF('RFQ-Input'!AB179="","",'RFQ-Input'!AB179)</f>
        <v/>
      </c>
    </row>
    <row r="181" spans="1:53">
      <c r="A181" s="20">
        <v>177</v>
      </c>
      <c r="B181" s="7"/>
      <c r="C181" s="7" t="str">
        <f>IF('RFQ-Input'!C180="","",'RFQ-Input'!C180)</f>
        <v/>
      </c>
      <c r="D181" s="7" t="str">
        <f>IF('RFQ-Input'!D180="","",'RFQ-Input'!D180)</f>
        <v/>
      </c>
      <c r="E181" s="7" t="str">
        <f>IF('RFQ-Input'!E180="","",'RFQ-Input'!E180)</f>
        <v/>
      </c>
      <c r="F181" s="7" t="str">
        <f>IF('RFQ-Input'!F180="","",'RFQ-Input'!F180)</f>
        <v/>
      </c>
      <c r="G181" s="7" t="str">
        <f>IF('RFQ-Input'!G180="","",'RFQ-Input'!G180)</f>
        <v/>
      </c>
      <c r="H181" s="7" t="str">
        <f>IF('RFQ-Input'!H180="","",'RFQ-Input'!H180)</f>
        <v/>
      </c>
      <c r="I181" s="7" t="str">
        <f>IF('RFQ-Input'!I180="","",'RFQ-Input'!I180)</f>
        <v/>
      </c>
      <c r="J181" s="7" t="str">
        <f>IF('RFQ-Input'!J180="","",'RFQ-Input'!J180)</f>
        <v/>
      </c>
      <c r="K181" s="7" t="str">
        <f>IF('RFQ-Input'!K180="","",'RFQ-Input'!K180)</f>
        <v/>
      </c>
      <c r="L181" s="7" t="str">
        <f>IF('RFQ-Input'!L180="","",'RFQ-Input'!L180)</f>
        <v/>
      </c>
      <c r="M181" s="7" t="str">
        <f>IF('RFQ-Input'!M180="","",'RFQ-Input'!M180)</f>
        <v/>
      </c>
      <c r="N181" s="7" t="str">
        <f>IF('RFQ-Input'!N180="","",'RFQ-Input'!N180)</f>
        <v/>
      </c>
      <c r="O181" s="7" t="str">
        <f>IF('RFQ-Input'!O180="","",'RFQ-Input'!O180)</f>
        <v/>
      </c>
      <c r="Q181" s="7"/>
      <c r="R181" s="7"/>
      <c r="S181" s="7"/>
      <c r="T181" s="7"/>
      <c r="U181" s="7"/>
      <c r="V181" s="7"/>
      <c r="X181" s="7"/>
      <c r="Y181" s="7"/>
      <c r="Z181" s="7"/>
      <c r="AA181" s="7" t="str">
        <f t="shared" si="14"/>
        <v/>
      </c>
      <c r="AB181" s="7"/>
      <c r="AC181" s="7"/>
      <c r="AQ181" s="7" t="str">
        <f t="shared" si="15"/>
        <v/>
      </c>
      <c r="AR181" s="7" t="str">
        <f t="shared" si="16"/>
        <v/>
      </c>
      <c r="AS181" s="7" t="str">
        <f t="shared" si="17"/>
        <v/>
      </c>
      <c r="AT181" s="7" t="str">
        <f t="shared" si="18"/>
        <v/>
      </c>
      <c r="AU181" s="7" t="str">
        <f t="shared" si="19"/>
        <v/>
      </c>
      <c r="AV181" s="7" t="str">
        <f t="shared" si="20"/>
        <v/>
      </c>
      <c r="AW181" s="7" t="str">
        <f>IF('RFQ-Input'!O180="","",'RFQ-Input'!O180)</f>
        <v/>
      </c>
      <c r="AX181" s="7" t="str">
        <f>IF('RFQ-Input'!S180="","",'RFQ-Input'!S180)</f>
        <v/>
      </c>
      <c r="AY181" s="7" t="str">
        <f>IF('RFQ-Input'!V180="","",'RFQ-Input'!V180)</f>
        <v/>
      </c>
      <c r="AZ181" s="7" t="str">
        <f>IF('RFQ-Input'!Y180="","",'RFQ-Input'!Y180)</f>
        <v/>
      </c>
      <c r="BA181" s="7" t="str">
        <f>IF('RFQ-Input'!AB180="","",'RFQ-Input'!AB180)</f>
        <v/>
      </c>
    </row>
    <row r="182" spans="1:53">
      <c r="A182" s="20">
        <v>178</v>
      </c>
      <c r="B182" s="7"/>
      <c r="C182" s="7" t="str">
        <f>IF('RFQ-Input'!C181="","",'RFQ-Input'!C181)</f>
        <v/>
      </c>
      <c r="D182" s="7" t="str">
        <f>IF('RFQ-Input'!D181="","",'RFQ-Input'!D181)</f>
        <v/>
      </c>
      <c r="E182" s="7" t="str">
        <f>IF('RFQ-Input'!E181="","",'RFQ-Input'!E181)</f>
        <v/>
      </c>
      <c r="F182" s="7" t="str">
        <f>IF('RFQ-Input'!F181="","",'RFQ-Input'!F181)</f>
        <v/>
      </c>
      <c r="G182" s="7" t="str">
        <f>IF('RFQ-Input'!G181="","",'RFQ-Input'!G181)</f>
        <v/>
      </c>
      <c r="H182" s="7" t="str">
        <f>IF('RFQ-Input'!H181="","",'RFQ-Input'!H181)</f>
        <v/>
      </c>
      <c r="I182" s="7" t="str">
        <f>IF('RFQ-Input'!I181="","",'RFQ-Input'!I181)</f>
        <v/>
      </c>
      <c r="J182" s="7" t="str">
        <f>IF('RFQ-Input'!J181="","",'RFQ-Input'!J181)</f>
        <v/>
      </c>
      <c r="K182" s="7" t="str">
        <f>IF('RFQ-Input'!K181="","",'RFQ-Input'!K181)</f>
        <v/>
      </c>
      <c r="L182" s="7" t="str">
        <f>IF('RFQ-Input'!L181="","",'RFQ-Input'!L181)</f>
        <v/>
      </c>
      <c r="M182" s="7" t="str">
        <f>IF('RFQ-Input'!M181="","",'RFQ-Input'!M181)</f>
        <v/>
      </c>
      <c r="N182" s="7" t="str">
        <f>IF('RFQ-Input'!N181="","",'RFQ-Input'!N181)</f>
        <v/>
      </c>
      <c r="O182" s="7" t="str">
        <f>IF('RFQ-Input'!O181="","",'RFQ-Input'!O181)</f>
        <v/>
      </c>
      <c r="Q182" s="7"/>
      <c r="R182" s="7"/>
      <c r="S182" s="7"/>
      <c r="T182" s="7"/>
      <c r="U182" s="7"/>
      <c r="V182" s="7"/>
      <c r="X182" s="7"/>
      <c r="Y182" s="7"/>
      <c r="Z182" s="7"/>
      <c r="AA182" s="7" t="str">
        <f t="shared" si="14"/>
        <v/>
      </c>
      <c r="AB182" s="7"/>
      <c r="AC182" s="7"/>
      <c r="AQ182" s="7" t="str">
        <f t="shared" si="15"/>
        <v/>
      </c>
      <c r="AR182" s="7" t="str">
        <f t="shared" si="16"/>
        <v/>
      </c>
      <c r="AS182" s="7" t="str">
        <f t="shared" si="17"/>
        <v/>
      </c>
      <c r="AT182" s="7" t="str">
        <f t="shared" si="18"/>
        <v/>
      </c>
      <c r="AU182" s="7" t="str">
        <f t="shared" si="19"/>
        <v/>
      </c>
      <c r="AV182" s="7" t="str">
        <f t="shared" si="20"/>
        <v/>
      </c>
      <c r="AW182" s="7" t="str">
        <f>IF('RFQ-Input'!O181="","",'RFQ-Input'!O181)</f>
        <v/>
      </c>
      <c r="AX182" s="7" t="str">
        <f>IF('RFQ-Input'!S181="","",'RFQ-Input'!S181)</f>
        <v/>
      </c>
      <c r="AY182" s="7" t="str">
        <f>IF('RFQ-Input'!V181="","",'RFQ-Input'!V181)</f>
        <v/>
      </c>
      <c r="AZ182" s="7" t="str">
        <f>IF('RFQ-Input'!Y181="","",'RFQ-Input'!Y181)</f>
        <v/>
      </c>
      <c r="BA182" s="7" t="str">
        <f>IF('RFQ-Input'!AB181="","",'RFQ-Input'!AB181)</f>
        <v/>
      </c>
    </row>
    <row r="183" spans="1:53">
      <c r="A183" s="20">
        <v>179</v>
      </c>
      <c r="B183" s="7"/>
      <c r="C183" s="7" t="str">
        <f>IF('RFQ-Input'!C182="","",'RFQ-Input'!C182)</f>
        <v/>
      </c>
      <c r="D183" s="7" t="str">
        <f>IF('RFQ-Input'!D182="","",'RFQ-Input'!D182)</f>
        <v/>
      </c>
      <c r="E183" s="7" t="str">
        <f>IF('RFQ-Input'!E182="","",'RFQ-Input'!E182)</f>
        <v/>
      </c>
      <c r="F183" s="7" t="str">
        <f>IF('RFQ-Input'!F182="","",'RFQ-Input'!F182)</f>
        <v/>
      </c>
      <c r="G183" s="7" t="str">
        <f>IF('RFQ-Input'!G182="","",'RFQ-Input'!G182)</f>
        <v/>
      </c>
      <c r="H183" s="7" t="str">
        <f>IF('RFQ-Input'!H182="","",'RFQ-Input'!H182)</f>
        <v/>
      </c>
      <c r="I183" s="7" t="str">
        <f>IF('RFQ-Input'!I182="","",'RFQ-Input'!I182)</f>
        <v/>
      </c>
      <c r="J183" s="7" t="str">
        <f>IF('RFQ-Input'!J182="","",'RFQ-Input'!J182)</f>
        <v/>
      </c>
      <c r="K183" s="7" t="str">
        <f>IF('RFQ-Input'!K182="","",'RFQ-Input'!K182)</f>
        <v/>
      </c>
      <c r="L183" s="7" t="str">
        <f>IF('RFQ-Input'!L182="","",'RFQ-Input'!L182)</f>
        <v/>
      </c>
      <c r="M183" s="7" t="str">
        <f>IF('RFQ-Input'!M182="","",'RFQ-Input'!M182)</f>
        <v/>
      </c>
      <c r="N183" s="7" t="str">
        <f>IF('RFQ-Input'!N182="","",'RFQ-Input'!N182)</f>
        <v/>
      </c>
      <c r="O183" s="7" t="str">
        <f>IF('RFQ-Input'!O182="","",'RFQ-Input'!O182)</f>
        <v/>
      </c>
      <c r="Q183" s="7"/>
      <c r="R183" s="7"/>
      <c r="S183" s="7"/>
      <c r="T183" s="7"/>
      <c r="U183" s="7"/>
      <c r="V183" s="7"/>
      <c r="X183" s="7"/>
      <c r="Y183" s="7"/>
      <c r="Z183" s="7"/>
      <c r="AA183" s="7" t="str">
        <f t="shared" si="14"/>
        <v/>
      </c>
      <c r="AB183" s="7"/>
      <c r="AC183" s="7"/>
      <c r="AQ183" s="7" t="str">
        <f t="shared" si="15"/>
        <v/>
      </c>
      <c r="AR183" s="7" t="str">
        <f t="shared" si="16"/>
        <v/>
      </c>
      <c r="AS183" s="7" t="str">
        <f t="shared" si="17"/>
        <v/>
      </c>
      <c r="AT183" s="7" t="str">
        <f t="shared" si="18"/>
        <v/>
      </c>
      <c r="AU183" s="7" t="str">
        <f t="shared" si="19"/>
        <v/>
      </c>
      <c r="AV183" s="7" t="str">
        <f t="shared" si="20"/>
        <v/>
      </c>
      <c r="AW183" s="7" t="str">
        <f>IF('RFQ-Input'!O182="","",'RFQ-Input'!O182)</f>
        <v/>
      </c>
      <c r="AX183" s="7" t="str">
        <f>IF('RFQ-Input'!S182="","",'RFQ-Input'!S182)</f>
        <v/>
      </c>
      <c r="AY183" s="7" t="str">
        <f>IF('RFQ-Input'!V182="","",'RFQ-Input'!V182)</f>
        <v/>
      </c>
      <c r="AZ183" s="7" t="str">
        <f>IF('RFQ-Input'!Y182="","",'RFQ-Input'!Y182)</f>
        <v/>
      </c>
      <c r="BA183" s="7" t="str">
        <f>IF('RFQ-Input'!AB182="","",'RFQ-Input'!AB182)</f>
        <v/>
      </c>
    </row>
    <row r="184" spans="1:53">
      <c r="A184" s="20">
        <v>180</v>
      </c>
      <c r="B184" s="7"/>
      <c r="C184" s="7" t="str">
        <f>IF('RFQ-Input'!C183="","",'RFQ-Input'!C183)</f>
        <v/>
      </c>
      <c r="D184" s="7" t="str">
        <f>IF('RFQ-Input'!D183="","",'RFQ-Input'!D183)</f>
        <v/>
      </c>
      <c r="E184" s="7" t="str">
        <f>IF('RFQ-Input'!E183="","",'RFQ-Input'!E183)</f>
        <v/>
      </c>
      <c r="F184" s="7" t="str">
        <f>IF('RFQ-Input'!F183="","",'RFQ-Input'!F183)</f>
        <v/>
      </c>
      <c r="G184" s="7" t="str">
        <f>IF('RFQ-Input'!G183="","",'RFQ-Input'!G183)</f>
        <v/>
      </c>
      <c r="H184" s="7" t="str">
        <f>IF('RFQ-Input'!H183="","",'RFQ-Input'!H183)</f>
        <v/>
      </c>
      <c r="I184" s="7" t="str">
        <f>IF('RFQ-Input'!I183="","",'RFQ-Input'!I183)</f>
        <v/>
      </c>
      <c r="J184" s="7" t="str">
        <f>IF('RFQ-Input'!J183="","",'RFQ-Input'!J183)</f>
        <v/>
      </c>
      <c r="K184" s="7" t="str">
        <f>IF('RFQ-Input'!K183="","",'RFQ-Input'!K183)</f>
        <v/>
      </c>
      <c r="L184" s="7" t="str">
        <f>IF('RFQ-Input'!L183="","",'RFQ-Input'!L183)</f>
        <v/>
      </c>
      <c r="M184" s="7" t="str">
        <f>IF('RFQ-Input'!M183="","",'RFQ-Input'!M183)</f>
        <v/>
      </c>
      <c r="N184" s="7" t="str">
        <f>IF('RFQ-Input'!N183="","",'RFQ-Input'!N183)</f>
        <v/>
      </c>
      <c r="O184" s="7" t="str">
        <f>IF('RFQ-Input'!O183="","",'RFQ-Input'!O183)</f>
        <v/>
      </c>
      <c r="Q184" s="7"/>
      <c r="R184" s="7"/>
      <c r="S184" s="7"/>
      <c r="T184" s="7"/>
      <c r="U184" s="7"/>
      <c r="V184" s="7"/>
      <c r="X184" s="7"/>
      <c r="Y184" s="7"/>
      <c r="Z184" s="7"/>
      <c r="AA184" s="7" t="str">
        <f t="shared" si="14"/>
        <v/>
      </c>
      <c r="AB184" s="7"/>
      <c r="AC184" s="7"/>
      <c r="AQ184" s="7" t="str">
        <f t="shared" si="15"/>
        <v/>
      </c>
      <c r="AR184" s="7" t="str">
        <f t="shared" si="16"/>
        <v/>
      </c>
      <c r="AS184" s="7" t="str">
        <f t="shared" si="17"/>
        <v/>
      </c>
      <c r="AT184" s="7" t="str">
        <f t="shared" si="18"/>
        <v/>
      </c>
      <c r="AU184" s="7" t="str">
        <f t="shared" si="19"/>
        <v/>
      </c>
      <c r="AV184" s="7" t="str">
        <f t="shared" si="20"/>
        <v/>
      </c>
      <c r="AW184" s="7" t="str">
        <f>IF('RFQ-Input'!O183="","",'RFQ-Input'!O183)</f>
        <v/>
      </c>
      <c r="AX184" s="7" t="str">
        <f>IF('RFQ-Input'!S183="","",'RFQ-Input'!S183)</f>
        <v/>
      </c>
      <c r="AY184" s="7" t="str">
        <f>IF('RFQ-Input'!V183="","",'RFQ-Input'!V183)</f>
        <v/>
      </c>
      <c r="AZ184" s="7" t="str">
        <f>IF('RFQ-Input'!Y183="","",'RFQ-Input'!Y183)</f>
        <v/>
      </c>
      <c r="BA184" s="7" t="str">
        <f>IF('RFQ-Input'!AB183="","",'RFQ-Input'!AB183)</f>
        <v/>
      </c>
    </row>
    <row r="185" spans="1:53">
      <c r="A185" s="20">
        <v>181</v>
      </c>
      <c r="B185" s="7"/>
      <c r="C185" s="7" t="str">
        <f>IF('RFQ-Input'!C184="","",'RFQ-Input'!C184)</f>
        <v/>
      </c>
      <c r="D185" s="7" t="str">
        <f>IF('RFQ-Input'!D184="","",'RFQ-Input'!D184)</f>
        <v/>
      </c>
      <c r="E185" s="7" t="str">
        <f>IF('RFQ-Input'!E184="","",'RFQ-Input'!E184)</f>
        <v/>
      </c>
      <c r="F185" s="7" t="str">
        <f>IF('RFQ-Input'!F184="","",'RFQ-Input'!F184)</f>
        <v/>
      </c>
      <c r="G185" s="7" t="str">
        <f>IF('RFQ-Input'!G184="","",'RFQ-Input'!G184)</f>
        <v/>
      </c>
      <c r="H185" s="7" t="str">
        <f>IF('RFQ-Input'!H184="","",'RFQ-Input'!H184)</f>
        <v/>
      </c>
      <c r="I185" s="7" t="str">
        <f>IF('RFQ-Input'!I184="","",'RFQ-Input'!I184)</f>
        <v/>
      </c>
      <c r="J185" s="7" t="str">
        <f>IF('RFQ-Input'!J184="","",'RFQ-Input'!J184)</f>
        <v/>
      </c>
      <c r="K185" s="7" t="str">
        <f>IF('RFQ-Input'!K184="","",'RFQ-Input'!K184)</f>
        <v/>
      </c>
      <c r="L185" s="7" t="str">
        <f>IF('RFQ-Input'!L184="","",'RFQ-Input'!L184)</f>
        <v/>
      </c>
      <c r="M185" s="7" t="str">
        <f>IF('RFQ-Input'!M184="","",'RFQ-Input'!M184)</f>
        <v/>
      </c>
      <c r="N185" s="7" t="str">
        <f>IF('RFQ-Input'!N184="","",'RFQ-Input'!N184)</f>
        <v/>
      </c>
      <c r="O185" s="7" t="str">
        <f>IF('RFQ-Input'!O184="","",'RFQ-Input'!O184)</f>
        <v/>
      </c>
      <c r="Q185" s="7"/>
      <c r="R185" s="7"/>
      <c r="S185" s="7"/>
      <c r="T185" s="7"/>
      <c r="U185" s="7"/>
      <c r="V185" s="7"/>
      <c r="X185" s="7"/>
      <c r="Y185" s="7"/>
      <c r="Z185" s="7"/>
      <c r="AA185" s="7" t="str">
        <f t="shared" si="14"/>
        <v/>
      </c>
      <c r="AB185" s="7"/>
      <c r="AC185" s="7"/>
      <c r="AQ185" s="7" t="str">
        <f t="shared" si="15"/>
        <v/>
      </c>
      <c r="AR185" s="7" t="str">
        <f t="shared" si="16"/>
        <v/>
      </c>
      <c r="AS185" s="7" t="str">
        <f t="shared" si="17"/>
        <v/>
      </c>
      <c r="AT185" s="7" t="str">
        <f t="shared" si="18"/>
        <v/>
      </c>
      <c r="AU185" s="7" t="str">
        <f t="shared" si="19"/>
        <v/>
      </c>
      <c r="AV185" s="7" t="str">
        <f t="shared" si="20"/>
        <v/>
      </c>
      <c r="AW185" s="7" t="str">
        <f>IF('RFQ-Input'!O184="","",'RFQ-Input'!O184)</f>
        <v/>
      </c>
      <c r="AX185" s="7" t="str">
        <f>IF('RFQ-Input'!S184="","",'RFQ-Input'!S184)</f>
        <v/>
      </c>
      <c r="AY185" s="7" t="str">
        <f>IF('RFQ-Input'!V184="","",'RFQ-Input'!V184)</f>
        <v/>
      </c>
      <c r="AZ185" s="7" t="str">
        <f>IF('RFQ-Input'!Y184="","",'RFQ-Input'!Y184)</f>
        <v/>
      </c>
      <c r="BA185" s="7" t="str">
        <f>IF('RFQ-Input'!AB184="","",'RFQ-Input'!AB184)</f>
        <v/>
      </c>
    </row>
    <row r="186" spans="1:53">
      <c r="A186" s="20">
        <v>182</v>
      </c>
      <c r="B186" s="7"/>
      <c r="C186" s="7" t="str">
        <f>IF('RFQ-Input'!C185="","",'RFQ-Input'!C185)</f>
        <v/>
      </c>
      <c r="D186" s="7" t="str">
        <f>IF('RFQ-Input'!D185="","",'RFQ-Input'!D185)</f>
        <v/>
      </c>
      <c r="E186" s="7" t="str">
        <f>IF('RFQ-Input'!E185="","",'RFQ-Input'!E185)</f>
        <v/>
      </c>
      <c r="F186" s="7" t="str">
        <f>IF('RFQ-Input'!F185="","",'RFQ-Input'!F185)</f>
        <v/>
      </c>
      <c r="G186" s="7" t="str">
        <f>IF('RFQ-Input'!G185="","",'RFQ-Input'!G185)</f>
        <v/>
      </c>
      <c r="H186" s="7" t="str">
        <f>IF('RFQ-Input'!H185="","",'RFQ-Input'!H185)</f>
        <v/>
      </c>
      <c r="I186" s="7" t="str">
        <f>IF('RFQ-Input'!I185="","",'RFQ-Input'!I185)</f>
        <v/>
      </c>
      <c r="J186" s="7" t="str">
        <f>IF('RFQ-Input'!J185="","",'RFQ-Input'!J185)</f>
        <v/>
      </c>
      <c r="K186" s="7" t="str">
        <f>IF('RFQ-Input'!K185="","",'RFQ-Input'!K185)</f>
        <v/>
      </c>
      <c r="L186" s="7" t="str">
        <f>IF('RFQ-Input'!L185="","",'RFQ-Input'!L185)</f>
        <v/>
      </c>
      <c r="M186" s="7" t="str">
        <f>IF('RFQ-Input'!M185="","",'RFQ-Input'!M185)</f>
        <v/>
      </c>
      <c r="N186" s="7" t="str">
        <f>IF('RFQ-Input'!N185="","",'RFQ-Input'!N185)</f>
        <v/>
      </c>
      <c r="O186" s="7" t="str">
        <f>IF('RFQ-Input'!O185="","",'RFQ-Input'!O185)</f>
        <v/>
      </c>
      <c r="Q186" s="7"/>
      <c r="R186" s="7"/>
      <c r="S186" s="7"/>
      <c r="T186" s="7"/>
      <c r="U186" s="7"/>
      <c r="V186" s="7"/>
      <c r="X186" s="7"/>
      <c r="Y186" s="7"/>
      <c r="Z186" s="7"/>
      <c r="AA186" s="7" t="str">
        <f t="shared" si="14"/>
        <v/>
      </c>
      <c r="AB186" s="7"/>
      <c r="AC186" s="7"/>
      <c r="AQ186" s="7" t="str">
        <f t="shared" si="15"/>
        <v/>
      </c>
      <c r="AR186" s="7" t="str">
        <f t="shared" si="16"/>
        <v/>
      </c>
      <c r="AS186" s="7" t="str">
        <f t="shared" si="17"/>
        <v/>
      </c>
      <c r="AT186" s="7" t="str">
        <f t="shared" si="18"/>
        <v/>
      </c>
      <c r="AU186" s="7" t="str">
        <f t="shared" si="19"/>
        <v/>
      </c>
      <c r="AV186" s="7" t="str">
        <f t="shared" si="20"/>
        <v/>
      </c>
      <c r="AW186" s="7" t="str">
        <f>IF('RFQ-Input'!O185="","",'RFQ-Input'!O185)</f>
        <v/>
      </c>
      <c r="AX186" s="7" t="str">
        <f>IF('RFQ-Input'!S185="","",'RFQ-Input'!S185)</f>
        <v/>
      </c>
      <c r="AY186" s="7" t="str">
        <f>IF('RFQ-Input'!V185="","",'RFQ-Input'!V185)</f>
        <v/>
      </c>
      <c r="AZ186" s="7" t="str">
        <f>IF('RFQ-Input'!Y185="","",'RFQ-Input'!Y185)</f>
        <v/>
      </c>
      <c r="BA186" s="7" t="str">
        <f>IF('RFQ-Input'!AB185="","",'RFQ-Input'!AB185)</f>
        <v/>
      </c>
    </row>
    <row r="187" spans="1:53">
      <c r="A187" s="20">
        <v>183</v>
      </c>
      <c r="B187" s="7"/>
      <c r="C187" s="7" t="str">
        <f>IF('RFQ-Input'!C186="","",'RFQ-Input'!C186)</f>
        <v/>
      </c>
      <c r="D187" s="7" t="str">
        <f>IF('RFQ-Input'!D186="","",'RFQ-Input'!D186)</f>
        <v/>
      </c>
      <c r="E187" s="7" t="str">
        <f>IF('RFQ-Input'!E186="","",'RFQ-Input'!E186)</f>
        <v/>
      </c>
      <c r="F187" s="7" t="str">
        <f>IF('RFQ-Input'!F186="","",'RFQ-Input'!F186)</f>
        <v/>
      </c>
      <c r="G187" s="7" t="str">
        <f>IF('RFQ-Input'!G186="","",'RFQ-Input'!G186)</f>
        <v/>
      </c>
      <c r="H187" s="7" t="str">
        <f>IF('RFQ-Input'!H186="","",'RFQ-Input'!H186)</f>
        <v/>
      </c>
      <c r="I187" s="7" t="str">
        <f>IF('RFQ-Input'!I186="","",'RFQ-Input'!I186)</f>
        <v/>
      </c>
      <c r="J187" s="7" t="str">
        <f>IF('RFQ-Input'!J186="","",'RFQ-Input'!J186)</f>
        <v/>
      </c>
      <c r="K187" s="7" t="str">
        <f>IF('RFQ-Input'!K186="","",'RFQ-Input'!K186)</f>
        <v/>
      </c>
      <c r="L187" s="7" t="str">
        <f>IF('RFQ-Input'!L186="","",'RFQ-Input'!L186)</f>
        <v/>
      </c>
      <c r="M187" s="7" t="str">
        <f>IF('RFQ-Input'!M186="","",'RFQ-Input'!M186)</f>
        <v/>
      </c>
      <c r="N187" s="7" t="str">
        <f>IF('RFQ-Input'!N186="","",'RFQ-Input'!N186)</f>
        <v/>
      </c>
      <c r="O187" s="7" t="str">
        <f>IF('RFQ-Input'!O186="","",'RFQ-Input'!O186)</f>
        <v/>
      </c>
      <c r="Q187" s="7"/>
      <c r="R187" s="7"/>
      <c r="S187" s="7"/>
      <c r="T187" s="7"/>
      <c r="U187" s="7"/>
      <c r="V187" s="7"/>
      <c r="X187" s="7"/>
      <c r="Y187" s="7"/>
      <c r="Z187" s="7"/>
      <c r="AA187" s="7" t="str">
        <f t="shared" si="14"/>
        <v/>
      </c>
      <c r="AB187" s="7"/>
      <c r="AC187" s="7"/>
      <c r="AQ187" s="7" t="str">
        <f t="shared" si="15"/>
        <v/>
      </c>
      <c r="AR187" s="7" t="str">
        <f t="shared" si="16"/>
        <v/>
      </c>
      <c r="AS187" s="7" t="str">
        <f t="shared" si="17"/>
        <v/>
      </c>
      <c r="AT187" s="7" t="str">
        <f t="shared" si="18"/>
        <v/>
      </c>
      <c r="AU187" s="7" t="str">
        <f t="shared" si="19"/>
        <v/>
      </c>
      <c r="AV187" s="7" t="str">
        <f t="shared" si="20"/>
        <v/>
      </c>
      <c r="AW187" s="7" t="str">
        <f>IF('RFQ-Input'!O186="","",'RFQ-Input'!O186)</f>
        <v/>
      </c>
      <c r="AX187" s="7" t="str">
        <f>IF('RFQ-Input'!S186="","",'RFQ-Input'!S186)</f>
        <v/>
      </c>
      <c r="AY187" s="7" t="str">
        <f>IF('RFQ-Input'!V186="","",'RFQ-Input'!V186)</f>
        <v/>
      </c>
      <c r="AZ187" s="7" t="str">
        <f>IF('RFQ-Input'!Y186="","",'RFQ-Input'!Y186)</f>
        <v/>
      </c>
      <c r="BA187" s="7" t="str">
        <f>IF('RFQ-Input'!AB186="","",'RFQ-Input'!AB186)</f>
        <v/>
      </c>
    </row>
    <row r="188" spans="1:53">
      <c r="A188" s="20">
        <v>184</v>
      </c>
      <c r="B188" s="7"/>
      <c r="C188" s="7" t="str">
        <f>IF('RFQ-Input'!C187="","",'RFQ-Input'!C187)</f>
        <v/>
      </c>
      <c r="D188" s="7" t="str">
        <f>IF('RFQ-Input'!D187="","",'RFQ-Input'!D187)</f>
        <v/>
      </c>
      <c r="E188" s="7" t="str">
        <f>IF('RFQ-Input'!E187="","",'RFQ-Input'!E187)</f>
        <v/>
      </c>
      <c r="F188" s="7" t="str">
        <f>IF('RFQ-Input'!F187="","",'RFQ-Input'!F187)</f>
        <v/>
      </c>
      <c r="G188" s="7" t="str">
        <f>IF('RFQ-Input'!G187="","",'RFQ-Input'!G187)</f>
        <v/>
      </c>
      <c r="H188" s="7" t="str">
        <f>IF('RFQ-Input'!H187="","",'RFQ-Input'!H187)</f>
        <v/>
      </c>
      <c r="I188" s="7" t="str">
        <f>IF('RFQ-Input'!I187="","",'RFQ-Input'!I187)</f>
        <v/>
      </c>
      <c r="J188" s="7" t="str">
        <f>IF('RFQ-Input'!J187="","",'RFQ-Input'!J187)</f>
        <v/>
      </c>
      <c r="K188" s="7" t="str">
        <f>IF('RFQ-Input'!K187="","",'RFQ-Input'!K187)</f>
        <v/>
      </c>
      <c r="L188" s="7" t="str">
        <f>IF('RFQ-Input'!L187="","",'RFQ-Input'!L187)</f>
        <v/>
      </c>
      <c r="M188" s="7" t="str">
        <f>IF('RFQ-Input'!M187="","",'RFQ-Input'!M187)</f>
        <v/>
      </c>
      <c r="N188" s="7" t="str">
        <f>IF('RFQ-Input'!N187="","",'RFQ-Input'!N187)</f>
        <v/>
      </c>
      <c r="O188" s="7" t="str">
        <f>IF('RFQ-Input'!O187="","",'RFQ-Input'!O187)</f>
        <v/>
      </c>
      <c r="Q188" s="7"/>
      <c r="R188" s="7"/>
      <c r="S188" s="7"/>
      <c r="T188" s="7"/>
      <c r="U188" s="7"/>
      <c r="V188" s="7"/>
      <c r="X188" s="7"/>
      <c r="Y188" s="7"/>
      <c r="Z188" s="7"/>
      <c r="AA188" s="7" t="str">
        <f t="shared" si="14"/>
        <v/>
      </c>
      <c r="AB188" s="7"/>
      <c r="AC188" s="7"/>
      <c r="AQ188" s="7" t="str">
        <f t="shared" si="15"/>
        <v/>
      </c>
      <c r="AR188" s="7" t="str">
        <f t="shared" si="16"/>
        <v/>
      </c>
      <c r="AS188" s="7" t="str">
        <f t="shared" si="17"/>
        <v/>
      </c>
      <c r="AT188" s="7" t="str">
        <f t="shared" si="18"/>
        <v/>
      </c>
      <c r="AU188" s="7" t="str">
        <f t="shared" si="19"/>
        <v/>
      </c>
      <c r="AV188" s="7" t="str">
        <f t="shared" si="20"/>
        <v/>
      </c>
      <c r="AW188" s="7" t="str">
        <f>IF('RFQ-Input'!O187="","",'RFQ-Input'!O187)</f>
        <v/>
      </c>
      <c r="AX188" s="7" t="str">
        <f>IF('RFQ-Input'!S187="","",'RFQ-Input'!S187)</f>
        <v/>
      </c>
      <c r="AY188" s="7" t="str">
        <f>IF('RFQ-Input'!V187="","",'RFQ-Input'!V187)</f>
        <v/>
      </c>
      <c r="AZ188" s="7" t="str">
        <f>IF('RFQ-Input'!Y187="","",'RFQ-Input'!Y187)</f>
        <v/>
      </c>
      <c r="BA188" s="7" t="str">
        <f>IF('RFQ-Input'!AB187="","",'RFQ-Input'!AB187)</f>
        <v/>
      </c>
    </row>
    <row r="189" spans="1:53">
      <c r="A189" s="20">
        <v>185</v>
      </c>
      <c r="B189" s="7"/>
      <c r="C189" s="7" t="str">
        <f>IF('RFQ-Input'!C188="","",'RFQ-Input'!C188)</f>
        <v/>
      </c>
      <c r="D189" s="7" t="str">
        <f>IF('RFQ-Input'!D188="","",'RFQ-Input'!D188)</f>
        <v/>
      </c>
      <c r="E189" s="7" t="str">
        <f>IF('RFQ-Input'!E188="","",'RFQ-Input'!E188)</f>
        <v/>
      </c>
      <c r="F189" s="7" t="str">
        <f>IF('RFQ-Input'!F188="","",'RFQ-Input'!F188)</f>
        <v/>
      </c>
      <c r="G189" s="7" t="str">
        <f>IF('RFQ-Input'!G188="","",'RFQ-Input'!G188)</f>
        <v/>
      </c>
      <c r="H189" s="7" t="str">
        <f>IF('RFQ-Input'!H188="","",'RFQ-Input'!H188)</f>
        <v/>
      </c>
      <c r="I189" s="7" t="str">
        <f>IF('RFQ-Input'!I188="","",'RFQ-Input'!I188)</f>
        <v/>
      </c>
      <c r="J189" s="7" t="str">
        <f>IF('RFQ-Input'!J188="","",'RFQ-Input'!J188)</f>
        <v/>
      </c>
      <c r="K189" s="7" t="str">
        <f>IF('RFQ-Input'!K188="","",'RFQ-Input'!K188)</f>
        <v/>
      </c>
      <c r="L189" s="7" t="str">
        <f>IF('RFQ-Input'!L188="","",'RFQ-Input'!L188)</f>
        <v/>
      </c>
      <c r="M189" s="7" t="str">
        <f>IF('RFQ-Input'!M188="","",'RFQ-Input'!M188)</f>
        <v/>
      </c>
      <c r="N189" s="7" t="str">
        <f>IF('RFQ-Input'!N188="","",'RFQ-Input'!N188)</f>
        <v/>
      </c>
      <c r="O189" s="7" t="str">
        <f>IF('RFQ-Input'!O188="","",'RFQ-Input'!O188)</f>
        <v/>
      </c>
      <c r="Q189" s="7"/>
      <c r="R189" s="7"/>
      <c r="S189" s="7"/>
      <c r="T189" s="7"/>
      <c r="U189" s="7"/>
      <c r="V189" s="7"/>
      <c r="X189" s="7"/>
      <c r="Y189" s="7"/>
      <c r="Z189" s="7"/>
      <c r="AA189" s="7" t="str">
        <f t="shared" si="14"/>
        <v/>
      </c>
      <c r="AB189" s="7"/>
      <c r="AC189" s="7"/>
      <c r="AQ189" s="7" t="str">
        <f t="shared" si="15"/>
        <v/>
      </c>
      <c r="AR189" s="7" t="str">
        <f t="shared" si="16"/>
        <v/>
      </c>
      <c r="AS189" s="7" t="str">
        <f t="shared" si="17"/>
        <v/>
      </c>
      <c r="AT189" s="7" t="str">
        <f t="shared" si="18"/>
        <v/>
      </c>
      <c r="AU189" s="7" t="str">
        <f t="shared" si="19"/>
        <v/>
      </c>
      <c r="AV189" s="7" t="str">
        <f t="shared" si="20"/>
        <v/>
      </c>
      <c r="AW189" s="7" t="str">
        <f>IF('RFQ-Input'!O188="","",'RFQ-Input'!O188)</f>
        <v/>
      </c>
      <c r="AX189" s="7" t="str">
        <f>IF('RFQ-Input'!S188="","",'RFQ-Input'!S188)</f>
        <v/>
      </c>
      <c r="AY189" s="7" t="str">
        <f>IF('RFQ-Input'!V188="","",'RFQ-Input'!V188)</f>
        <v/>
      </c>
      <c r="AZ189" s="7" t="str">
        <f>IF('RFQ-Input'!Y188="","",'RFQ-Input'!Y188)</f>
        <v/>
      </c>
      <c r="BA189" s="7" t="str">
        <f>IF('RFQ-Input'!AB188="","",'RFQ-Input'!AB188)</f>
        <v/>
      </c>
    </row>
    <row r="190" spans="1:53">
      <c r="A190" s="20">
        <v>186</v>
      </c>
      <c r="B190" s="7"/>
      <c r="C190" s="7" t="str">
        <f>IF('RFQ-Input'!C189="","",'RFQ-Input'!C189)</f>
        <v/>
      </c>
      <c r="D190" s="7" t="str">
        <f>IF('RFQ-Input'!D189="","",'RFQ-Input'!D189)</f>
        <v/>
      </c>
      <c r="E190" s="7" t="str">
        <f>IF('RFQ-Input'!E189="","",'RFQ-Input'!E189)</f>
        <v/>
      </c>
      <c r="F190" s="7" t="str">
        <f>IF('RFQ-Input'!F189="","",'RFQ-Input'!F189)</f>
        <v/>
      </c>
      <c r="G190" s="7" t="str">
        <f>IF('RFQ-Input'!G189="","",'RFQ-Input'!G189)</f>
        <v/>
      </c>
      <c r="H190" s="7" t="str">
        <f>IF('RFQ-Input'!H189="","",'RFQ-Input'!H189)</f>
        <v/>
      </c>
      <c r="I190" s="7" t="str">
        <f>IF('RFQ-Input'!I189="","",'RFQ-Input'!I189)</f>
        <v/>
      </c>
      <c r="J190" s="7" t="str">
        <f>IF('RFQ-Input'!J189="","",'RFQ-Input'!J189)</f>
        <v/>
      </c>
      <c r="K190" s="7" t="str">
        <f>IF('RFQ-Input'!K189="","",'RFQ-Input'!K189)</f>
        <v/>
      </c>
      <c r="L190" s="7" t="str">
        <f>IF('RFQ-Input'!L189="","",'RFQ-Input'!L189)</f>
        <v/>
      </c>
      <c r="M190" s="7" t="str">
        <f>IF('RFQ-Input'!M189="","",'RFQ-Input'!M189)</f>
        <v/>
      </c>
      <c r="N190" s="7" t="str">
        <f>IF('RFQ-Input'!N189="","",'RFQ-Input'!N189)</f>
        <v/>
      </c>
      <c r="O190" s="7" t="str">
        <f>IF('RFQ-Input'!O189="","",'RFQ-Input'!O189)</f>
        <v/>
      </c>
      <c r="Q190" s="7"/>
      <c r="R190" s="7"/>
      <c r="S190" s="7"/>
      <c r="T190" s="7"/>
      <c r="U190" s="7"/>
      <c r="V190" s="7"/>
      <c r="X190" s="7"/>
      <c r="Y190" s="7"/>
      <c r="Z190" s="7"/>
      <c r="AA190" s="7" t="str">
        <f t="shared" si="14"/>
        <v/>
      </c>
      <c r="AB190" s="7"/>
      <c r="AC190" s="7"/>
      <c r="AQ190" s="7" t="str">
        <f t="shared" si="15"/>
        <v/>
      </c>
      <c r="AR190" s="7" t="str">
        <f t="shared" si="16"/>
        <v/>
      </c>
      <c r="AS190" s="7" t="str">
        <f t="shared" si="17"/>
        <v/>
      </c>
      <c r="AT190" s="7" t="str">
        <f t="shared" si="18"/>
        <v/>
      </c>
      <c r="AU190" s="7" t="str">
        <f t="shared" si="19"/>
        <v/>
      </c>
      <c r="AV190" s="7" t="str">
        <f t="shared" si="20"/>
        <v/>
      </c>
      <c r="AW190" s="7" t="str">
        <f>IF('RFQ-Input'!O189="","",'RFQ-Input'!O189)</f>
        <v/>
      </c>
      <c r="AX190" s="7" t="str">
        <f>IF('RFQ-Input'!S189="","",'RFQ-Input'!S189)</f>
        <v/>
      </c>
      <c r="AY190" s="7" t="str">
        <f>IF('RFQ-Input'!V189="","",'RFQ-Input'!V189)</f>
        <v/>
      </c>
      <c r="AZ190" s="7" t="str">
        <f>IF('RFQ-Input'!Y189="","",'RFQ-Input'!Y189)</f>
        <v/>
      </c>
      <c r="BA190" s="7" t="str">
        <f>IF('RFQ-Input'!AB189="","",'RFQ-Input'!AB189)</f>
        <v/>
      </c>
    </row>
    <row r="191" spans="1:53">
      <c r="A191" s="20">
        <v>187</v>
      </c>
      <c r="B191" s="7"/>
      <c r="C191" s="7" t="str">
        <f>IF('RFQ-Input'!C190="","",'RFQ-Input'!C190)</f>
        <v/>
      </c>
      <c r="D191" s="7" t="str">
        <f>IF('RFQ-Input'!D190="","",'RFQ-Input'!D190)</f>
        <v/>
      </c>
      <c r="E191" s="7" t="str">
        <f>IF('RFQ-Input'!E190="","",'RFQ-Input'!E190)</f>
        <v/>
      </c>
      <c r="F191" s="7" t="str">
        <f>IF('RFQ-Input'!F190="","",'RFQ-Input'!F190)</f>
        <v/>
      </c>
      <c r="G191" s="7" t="str">
        <f>IF('RFQ-Input'!G190="","",'RFQ-Input'!G190)</f>
        <v/>
      </c>
      <c r="H191" s="7" t="str">
        <f>IF('RFQ-Input'!H190="","",'RFQ-Input'!H190)</f>
        <v/>
      </c>
      <c r="I191" s="7" t="str">
        <f>IF('RFQ-Input'!I190="","",'RFQ-Input'!I190)</f>
        <v/>
      </c>
      <c r="J191" s="7" t="str">
        <f>IF('RFQ-Input'!J190="","",'RFQ-Input'!J190)</f>
        <v/>
      </c>
      <c r="K191" s="7" t="str">
        <f>IF('RFQ-Input'!K190="","",'RFQ-Input'!K190)</f>
        <v/>
      </c>
      <c r="L191" s="7" t="str">
        <f>IF('RFQ-Input'!L190="","",'RFQ-Input'!L190)</f>
        <v/>
      </c>
      <c r="M191" s="7" t="str">
        <f>IF('RFQ-Input'!M190="","",'RFQ-Input'!M190)</f>
        <v/>
      </c>
      <c r="N191" s="7" t="str">
        <f>IF('RFQ-Input'!N190="","",'RFQ-Input'!N190)</f>
        <v/>
      </c>
      <c r="O191" s="7" t="str">
        <f>IF('RFQ-Input'!O190="","",'RFQ-Input'!O190)</f>
        <v/>
      </c>
      <c r="Q191" s="7"/>
      <c r="R191" s="7"/>
      <c r="S191" s="7"/>
      <c r="T191" s="7"/>
      <c r="U191" s="7"/>
      <c r="V191" s="7"/>
      <c r="X191" s="7"/>
      <c r="Y191" s="7"/>
      <c r="Z191" s="7"/>
      <c r="AA191" s="7" t="str">
        <f t="shared" si="14"/>
        <v/>
      </c>
      <c r="AB191" s="7"/>
      <c r="AC191" s="7"/>
      <c r="AQ191" s="7" t="str">
        <f t="shared" si="15"/>
        <v/>
      </c>
      <c r="AR191" s="7" t="str">
        <f t="shared" si="16"/>
        <v/>
      </c>
      <c r="AS191" s="7" t="str">
        <f t="shared" si="17"/>
        <v/>
      </c>
      <c r="AT191" s="7" t="str">
        <f t="shared" si="18"/>
        <v/>
      </c>
      <c r="AU191" s="7" t="str">
        <f t="shared" si="19"/>
        <v/>
      </c>
      <c r="AV191" s="7" t="str">
        <f t="shared" si="20"/>
        <v/>
      </c>
      <c r="AW191" s="7" t="str">
        <f>IF('RFQ-Input'!O190="","",'RFQ-Input'!O190)</f>
        <v/>
      </c>
      <c r="AX191" s="7" t="str">
        <f>IF('RFQ-Input'!S190="","",'RFQ-Input'!S190)</f>
        <v/>
      </c>
      <c r="AY191" s="7" t="str">
        <f>IF('RFQ-Input'!V190="","",'RFQ-Input'!V190)</f>
        <v/>
      </c>
      <c r="AZ191" s="7" t="str">
        <f>IF('RFQ-Input'!Y190="","",'RFQ-Input'!Y190)</f>
        <v/>
      </c>
      <c r="BA191" s="7" t="str">
        <f>IF('RFQ-Input'!AB190="","",'RFQ-Input'!AB190)</f>
        <v/>
      </c>
    </row>
    <row r="192" spans="1:53">
      <c r="A192" s="20">
        <v>188</v>
      </c>
      <c r="B192" s="7"/>
      <c r="C192" s="7" t="str">
        <f>IF('RFQ-Input'!C191="","",'RFQ-Input'!C191)</f>
        <v/>
      </c>
      <c r="D192" s="7" t="str">
        <f>IF('RFQ-Input'!D191="","",'RFQ-Input'!D191)</f>
        <v/>
      </c>
      <c r="E192" s="7" t="str">
        <f>IF('RFQ-Input'!E191="","",'RFQ-Input'!E191)</f>
        <v/>
      </c>
      <c r="F192" s="7" t="str">
        <f>IF('RFQ-Input'!F191="","",'RFQ-Input'!F191)</f>
        <v/>
      </c>
      <c r="G192" s="7" t="str">
        <f>IF('RFQ-Input'!G191="","",'RFQ-Input'!G191)</f>
        <v/>
      </c>
      <c r="H192" s="7" t="str">
        <f>IF('RFQ-Input'!H191="","",'RFQ-Input'!H191)</f>
        <v/>
      </c>
      <c r="I192" s="7" t="str">
        <f>IF('RFQ-Input'!I191="","",'RFQ-Input'!I191)</f>
        <v/>
      </c>
      <c r="J192" s="7" t="str">
        <f>IF('RFQ-Input'!J191="","",'RFQ-Input'!J191)</f>
        <v/>
      </c>
      <c r="K192" s="7" t="str">
        <f>IF('RFQ-Input'!K191="","",'RFQ-Input'!K191)</f>
        <v/>
      </c>
      <c r="L192" s="7" t="str">
        <f>IF('RFQ-Input'!L191="","",'RFQ-Input'!L191)</f>
        <v/>
      </c>
      <c r="M192" s="7" t="str">
        <f>IF('RFQ-Input'!M191="","",'RFQ-Input'!M191)</f>
        <v/>
      </c>
      <c r="N192" s="7" t="str">
        <f>IF('RFQ-Input'!N191="","",'RFQ-Input'!N191)</f>
        <v/>
      </c>
      <c r="O192" s="7" t="str">
        <f>IF('RFQ-Input'!O191="","",'RFQ-Input'!O191)</f>
        <v/>
      </c>
      <c r="Q192" s="7"/>
      <c r="R192" s="7"/>
      <c r="S192" s="7"/>
      <c r="T192" s="7"/>
      <c r="U192" s="7"/>
      <c r="V192" s="7"/>
      <c r="X192" s="7"/>
      <c r="Y192" s="7"/>
      <c r="Z192" s="7"/>
      <c r="AA192" s="7" t="str">
        <f t="shared" si="14"/>
        <v/>
      </c>
      <c r="AB192" s="7"/>
      <c r="AC192" s="7"/>
      <c r="AQ192" s="7" t="str">
        <f t="shared" si="15"/>
        <v/>
      </c>
      <c r="AR192" s="7" t="str">
        <f t="shared" si="16"/>
        <v/>
      </c>
      <c r="AS192" s="7" t="str">
        <f t="shared" si="17"/>
        <v/>
      </c>
      <c r="AT192" s="7" t="str">
        <f t="shared" si="18"/>
        <v/>
      </c>
      <c r="AU192" s="7" t="str">
        <f t="shared" si="19"/>
        <v/>
      </c>
      <c r="AV192" s="7" t="str">
        <f t="shared" si="20"/>
        <v/>
      </c>
      <c r="AW192" s="7" t="str">
        <f>IF('RFQ-Input'!O191="","",'RFQ-Input'!O191)</f>
        <v/>
      </c>
      <c r="AX192" s="7" t="str">
        <f>IF('RFQ-Input'!S191="","",'RFQ-Input'!S191)</f>
        <v/>
      </c>
      <c r="AY192" s="7" t="str">
        <f>IF('RFQ-Input'!V191="","",'RFQ-Input'!V191)</f>
        <v/>
      </c>
      <c r="AZ192" s="7" t="str">
        <f>IF('RFQ-Input'!Y191="","",'RFQ-Input'!Y191)</f>
        <v/>
      </c>
      <c r="BA192" s="7" t="str">
        <f>IF('RFQ-Input'!AB191="","",'RFQ-Input'!AB191)</f>
        <v/>
      </c>
    </row>
    <row r="193" spans="1:53">
      <c r="A193" s="20">
        <v>189</v>
      </c>
      <c r="B193" s="7"/>
      <c r="C193" s="7" t="str">
        <f>IF('RFQ-Input'!C192="","",'RFQ-Input'!C192)</f>
        <v/>
      </c>
      <c r="D193" s="7" t="str">
        <f>IF('RFQ-Input'!D192="","",'RFQ-Input'!D192)</f>
        <v/>
      </c>
      <c r="E193" s="7" t="str">
        <f>IF('RFQ-Input'!E192="","",'RFQ-Input'!E192)</f>
        <v/>
      </c>
      <c r="F193" s="7" t="str">
        <f>IF('RFQ-Input'!F192="","",'RFQ-Input'!F192)</f>
        <v/>
      </c>
      <c r="G193" s="7" t="str">
        <f>IF('RFQ-Input'!G192="","",'RFQ-Input'!G192)</f>
        <v/>
      </c>
      <c r="H193" s="7" t="str">
        <f>IF('RFQ-Input'!H192="","",'RFQ-Input'!H192)</f>
        <v/>
      </c>
      <c r="I193" s="7" t="str">
        <f>IF('RFQ-Input'!I192="","",'RFQ-Input'!I192)</f>
        <v/>
      </c>
      <c r="J193" s="7" t="str">
        <f>IF('RFQ-Input'!J192="","",'RFQ-Input'!J192)</f>
        <v/>
      </c>
      <c r="K193" s="7" t="str">
        <f>IF('RFQ-Input'!K192="","",'RFQ-Input'!K192)</f>
        <v/>
      </c>
      <c r="L193" s="7" t="str">
        <f>IF('RFQ-Input'!L192="","",'RFQ-Input'!L192)</f>
        <v/>
      </c>
      <c r="M193" s="7" t="str">
        <f>IF('RFQ-Input'!M192="","",'RFQ-Input'!M192)</f>
        <v/>
      </c>
      <c r="N193" s="7" t="str">
        <f>IF('RFQ-Input'!N192="","",'RFQ-Input'!N192)</f>
        <v/>
      </c>
      <c r="O193" s="7" t="str">
        <f>IF('RFQ-Input'!O192="","",'RFQ-Input'!O192)</f>
        <v/>
      </c>
      <c r="Q193" s="7"/>
      <c r="R193" s="7"/>
      <c r="S193" s="7"/>
      <c r="T193" s="7"/>
      <c r="U193" s="7"/>
      <c r="V193" s="7"/>
      <c r="X193" s="7"/>
      <c r="Y193" s="7"/>
      <c r="Z193" s="7"/>
      <c r="AA193" s="7" t="str">
        <f t="shared" si="14"/>
        <v/>
      </c>
      <c r="AB193" s="7"/>
      <c r="AC193" s="7"/>
      <c r="AQ193" s="7" t="str">
        <f t="shared" si="15"/>
        <v/>
      </c>
      <c r="AR193" s="7" t="str">
        <f t="shared" si="16"/>
        <v/>
      </c>
      <c r="AS193" s="7" t="str">
        <f t="shared" si="17"/>
        <v/>
      </c>
      <c r="AT193" s="7" t="str">
        <f t="shared" si="18"/>
        <v/>
      </c>
      <c r="AU193" s="7" t="str">
        <f t="shared" si="19"/>
        <v/>
      </c>
      <c r="AV193" s="7" t="str">
        <f t="shared" si="20"/>
        <v/>
      </c>
      <c r="AW193" s="7" t="str">
        <f>IF('RFQ-Input'!O192="","",'RFQ-Input'!O192)</f>
        <v/>
      </c>
      <c r="AX193" s="7" t="str">
        <f>IF('RFQ-Input'!S192="","",'RFQ-Input'!S192)</f>
        <v/>
      </c>
      <c r="AY193" s="7" t="str">
        <f>IF('RFQ-Input'!V192="","",'RFQ-Input'!V192)</f>
        <v/>
      </c>
      <c r="AZ193" s="7" t="str">
        <f>IF('RFQ-Input'!Y192="","",'RFQ-Input'!Y192)</f>
        <v/>
      </c>
      <c r="BA193" s="7" t="str">
        <f>IF('RFQ-Input'!AB192="","",'RFQ-Input'!AB192)</f>
        <v/>
      </c>
    </row>
    <row r="194" spans="1:53">
      <c r="A194" s="20">
        <v>190</v>
      </c>
      <c r="B194" s="7"/>
      <c r="C194" s="7" t="str">
        <f>IF('RFQ-Input'!C193="","",'RFQ-Input'!C193)</f>
        <v/>
      </c>
      <c r="D194" s="7" t="str">
        <f>IF('RFQ-Input'!D193="","",'RFQ-Input'!D193)</f>
        <v/>
      </c>
      <c r="E194" s="7" t="str">
        <f>IF('RFQ-Input'!E193="","",'RFQ-Input'!E193)</f>
        <v/>
      </c>
      <c r="F194" s="7" t="str">
        <f>IF('RFQ-Input'!F193="","",'RFQ-Input'!F193)</f>
        <v/>
      </c>
      <c r="G194" s="7" t="str">
        <f>IF('RFQ-Input'!G193="","",'RFQ-Input'!G193)</f>
        <v/>
      </c>
      <c r="H194" s="7" t="str">
        <f>IF('RFQ-Input'!H193="","",'RFQ-Input'!H193)</f>
        <v/>
      </c>
      <c r="I194" s="7" t="str">
        <f>IF('RFQ-Input'!I193="","",'RFQ-Input'!I193)</f>
        <v/>
      </c>
      <c r="J194" s="7" t="str">
        <f>IF('RFQ-Input'!J193="","",'RFQ-Input'!J193)</f>
        <v/>
      </c>
      <c r="K194" s="7" t="str">
        <f>IF('RFQ-Input'!K193="","",'RFQ-Input'!K193)</f>
        <v/>
      </c>
      <c r="L194" s="7" t="str">
        <f>IF('RFQ-Input'!L193="","",'RFQ-Input'!L193)</f>
        <v/>
      </c>
      <c r="M194" s="7" t="str">
        <f>IF('RFQ-Input'!M193="","",'RFQ-Input'!M193)</f>
        <v/>
      </c>
      <c r="N194" s="7" t="str">
        <f>IF('RFQ-Input'!N193="","",'RFQ-Input'!N193)</f>
        <v/>
      </c>
      <c r="O194" s="7" t="str">
        <f>IF('RFQ-Input'!O193="","",'RFQ-Input'!O193)</f>
        <v/>
      </c>
      <c r="Q194" s="7"/>
      <c r="R194" s="7"/>
      <c r="S194" s="7"/>
      <c r="T194" s="7"/>
      <c r="U194" s="7"/>
      <c r="V194" s="7"/>
      <c r="X194" s="7"/>
      <c r="Y194" s="7"/>
      <c r="Z194" s="7"/>
      <c r="AA194" s="7" t="str">
        <f t="shared" si="14"/>
        <v/>
      </c>
      <c r="AB194" s="7"/>
      <c r="AC194" s="7"/>
      <c r="AQ194" s="7" t="str">
        <f t="shared" si="15"/>
        <v/>
      </c>
      <c r="AR194" s="7" t="str">
        <f t="shared" si="16"/>
        <v/>
      </c>
      <c r="AS194" s="7" t="str">
        <f t="shared" si="17"/>
        <v/>
      </c>
      <c r="AT194" s="7" t="str">
        <f t="shared" si="18"/>
        <v/>
      </c>
      <c r="AU194" s="7" t="str">
        <f t="shared" si="19"/>
        <v/>
      </c>
      <c r="AV194" s="7" t="str">
        <f t="shared" si="20"/>
        <v/>
      </c>
      <c r="AW194" s="7" t="str">
        <f>IF('RFQ-Input'!O193="","",'RFQ-Input'!O193)</f>
        <v/>
      </c>
      <c r="AX194" s="7" t="str">
        <f>IF('RFQ-Input'!S193="","",'RFQ-Input'!S193)</f>
        <v/>
      </c>
      <c r="AY194" s="7" t="str">
        <f>IF('RFQ-Input'!V193="","",'RFQ-Input'!V193)</f>
        <v/>
      </c>
      <c r="AZ194" s="7" t="str">
        <f>IF('RFQ-Input'!Y193="","",'RFQ-Input'!Y193)</f>
        <v/>
      </c>
      <c r="BA194" s="7" t="str">
        <f>IF('RFQ-Input'!AB193="","",'RFQ-Input'!AB193)</f>
        <v/>
      </c>
    </row>
    <row r="195" spans="1:53">
      <c r="A195" s="20">
        <v>191</v>
      </c>
      <c r="B195" s="7"/>
      <c r="C195" s="7" t="str">
        <f>IF('RFQ-Input'!C194="","",'RFQ-Input'!C194)</f>
        <v/>
      </c>
      <c r="D195" s="7" t="str">
        <f>IF('RFQ-Input'!D194="","",'RFQ-Input'!D194)</f>
        <v/>
      </c>
      <c r="E195" s="7" t="str">
        <f>IF('RFQ-Input'!E194="","",'RFQ-Input'!E194)</f>
        <v/>
      </c>
      <c r="F195" s="7" t="str">
        <f>IF('RFQ-Input'!F194="","",'RFQ-Input'!F194)</f>
        <v/>
      </c>
      <c r="G195" s="7" t="str">
        <f>IF('RFQ-Input'!G194="","",'RFQ-Input'!G194)</f>
        <v/>
      </c>
      <c r="H195" s="7" t="str">
        <f>IF('RFQ-Input'!H194="","",'RFQ-Input'!H194)</f>
        <v/>
      </c>
      <c r="I195" s="7" t="str">
        <f>IF('RFQ-Input'!I194="","",'RFQ-Input'!I194)</f>
        <v/>
      </c>
      <c r="J195" s="7" t="str">
        <f>IF('RFQ-Input'!J194="","",'RFQ-Input'!J194)</f>
        <v/>
      </c>
      <c r="K195" s="7" t="str">
        <f>IF('RFQ-Input'!K194="","",'RFQ-Input'!K194)</f>
        <v/>
      </c>
      <c r="L195" s="7" t="str">
        <f>IF('RFQ-Input'!L194="","",'RFQ-Input'!L194)</f>
        <v/>
      </c>
      <c r="M195" s="7" t="str">
        <f>IF('RFQ-Input'!M194="","",'RFQ-Input'!M194)</f>
        <v/>
      </c>
      <c r="N195" s="7" t="str">
        <f>IF('RFQ-Input'!N194="","",'RFQ-Input'!N194)</f>
        <v/>
      </c>
      <c r="O195" s="7" t="str">
        <f>IF('RFQ-Input'!O194="","",'RFQ-Input'!O194)</f>
        <v/>
      </c>
      <c r="Q195" s="7"/>
      <c r="R195" s="7"/>
      <c r="S195" s="7"/>
      <c r="T195" s="7"/>
      <c r="U195" s="7"/>
      <c r="V195" s="7"/>
      <c r="X195" s="7"/>
      <c r="Y195" s="7"/>
      <c r="Z195" s="7"/>
      <c r="AA195" s="7" t="str">
        <f t="shared" si="14"/>
        <v/>
      </c>
      <c r="AB195" s="7"/>
      <c r="AC195" s="7"/>
      <c r="AQ195" s="7" t="str">
        <f t="shared" si="15"/>
        <v/>
      </c>
      <c r="AR195" s="7" t="str">
        <f t="shared" si="16"/>
        <v/>
      </c>
      <c r="AS195" s="7" t="str">
        <f t="shared" si="17"/>
        <v/>
      </c>
      <c r="AT195" s="7" t="str">
        <f t="shared" si="18"/>
        <v/>
      </c>
      <c r="AU195" s="7" t="str">
        <f t="shared" si="19"/>
        <v/>
      </c>
      <c r="AV195" s="7" t="str">
        <f t="shared" si="20"/>
        <v/>
      </c>
      <c r="AW195" s="7" t="str">
        <f>IF('RFQ-Input'!O194="","",'RFQ-Input'!O194)</f>
        <v/>
      </c>
      <c r="AX195" s="7" t="str">
        <f>IF('RFQ-Input'!S194="","",'RFQ-Input'!S194)</f>
        <v/>
      </c>
      <c r="AY195" s="7" t="str">
        <f>IF('RFQ-Input'!V194="","",'RFQ-Input'!V194)</f>
        <v/>
      </c>
      <c r="AZ195" s="7" t="str">
        <f>IF('RFQ-Input'!Y194="","",'RFQ-Input'!Y194)</f>
        <v/>
      </c>
      <c r="BA195" s="7" t="str">
        <f>IF('RFQ-Input'!AB194="","",'RFQ-Input'!AB194)</f>
        <v/>
      </c>
    </row>
    <row r="196" spans="1:53">
      <c r="A196" s="20">
        <v>192</v>
      </c>
      <c r="B196" s="7"/>
      <c r="C196" s="7" t="str">
        <f>IF('RFQ-Input'!C195="","",'RFQ-Input'!C195)</f>
        <v/>
      </c>
      <c r="D196" s="7" t="str">
        <f>IF('RFQ-Input'!D195="","",'RFQ-Input'!D195)</f>
        <v/>
      </c>
      <c r="E196" s="7" t="str">
        <f>IF('RFQ-Input'!E195="","",'RFQ-Input'!E195)</f>
        <v/>
      </c>
      <c r="F196" s="7" t="str">
        <f>IF('RFQ-Input'!F195="","",'RFQ-Input'!F195)</f>
        <v/>
      </c>
      <c r="G196" s="7" t="str">
        <f>IF('RFQ-Input'!G195="","",'RFQ-Input'!G195)</f>
        <v/>
      </c>
      <c r="H196" s="7" t="str">
        <f>IF('RFQ-Input'!H195="","",'RFQ-Input'!H195)</f>
        <v/>
      </c>
      <c r="I196" s="7" t="str">
        <f>IF('RFQ-Input'!I195="","",'RFQ-Input'!I195)</f>
        <v/>
      </c>
      <c r="J196" s="7" t="str">
        <f>IF('RFQ-Input'!J195="","",'RFQ-Input'!J195)</f>
        <v/>
      </c>
      <c r="K196" s="7" t="str">
        <f>IF('RFQ-Input'!K195="","",'RFQ-Input'!K195)</f>
        <v/>
      </c>
      <c r="L196" s="7" t="str">
        <f>IF('RFQ-Input'!L195="","",'RFQ-Input'!L195)</f>
        <v/>
      </c>
      <c r="M196" s="7" t="str">
        <f>IF('RFQ-Input'!M195="","",'RFQ-Input'!M195)</f>
        <v/>
      </c>
      <c r="N196" s="7" t="str">
        <f>IF('RFQ-Input'!N195="","",'RFQ-Input'!N195)</f>
        <v/>
      </c>
      <c r="O196" s="7" t="str">
        <f>IF('RFQ-Input'!O195="","",'RFQ-Input'!O195)</f>
        <v/>
      </c>
      <c r="Q196" s="7"/>
      <c r="R196" s="7"/>
      <c r="S196" s="7"/>
      <c r="T196" s="7"/>
      <c r="U196" s="7"/>
      <c r="V196" s="7"/>
      <c r="X196" s="7"/>
      <c r="Y196" s="7"/>
      <c r="Z196" s="7"/>
      <c r="AA196" s="7" t="str">
        <f t="shared" si="14"/>
        <v/>
      </c>
      <c r="AB196" s="7"/>
      <c r="AC196" s="7"/>
      <c r="AQ196" s="7" t="str">
        <f t="shared" si="15"/>
        <v/>
      </c>
      <c r="AR196" s="7" t="str">
        <f t="shared" si="16"/>
        <v/>
      </c>
      <c r="AS196" s="7" t="str">
        <f t="shared" si="17"/>
        <v/>
      </c>
      <c r="AT196" s="7" t="str">
        <f t="shared" si="18"/>
        <v/>
      </c>
      <c r="AU196" s="7" t="str">
        <f t="shared" si="19"/>
        <v/>
      </c>
      <c r="AV196" s="7" t="str">
        <f t="shared" si="20"/>
        <v/>
      </c>
      <c r="AW196" s="7" t="str">
        <f>IF('RFQ-Input'!O195="","",'RFQ-Input'!O195)</f>
        <v/>
      </c>
      <c r="AX196" s="7" t="str">
        <f>IF('RFQ-Input'!S195="","",'RFQ-Input'!S195)</f>
        <v/>
      </c>
      <c r="AY196" s="7" t="str">
        <f>IF('RFQ-Input'!V195="","",'RFQ-Input'!V195)</f>
        <v/>
      </c>
      <c r="AZ196" s="7" t="str">
        <f>IF('RFQ-Input'!Y195="","",'RFQ-Input'!Y195)</f>
        <v/>
      </c>
      <c r="BA196" s="7" t="str">
        <f>IF('RFQ-Input'!AB195="","",'RFQ-Input'!AB195)</f>
        <v/>
      </c>
    </row>
    <row r="197" spans="1:53">
      <c r="A197" s="20">
        <v>193</v>
      </c>
      <c r="B197" s="7"/>
      <c r="C197" s="7" t="str">
        <f>IF('RFQ-Input'!C196="","",'RFQ-Input'!C196)</f>
        <v/>
      </c>
      <c r="D197" s="7" t="str">
        <f>IF('RFQ-Input'!D196="","",'RFQ-Input'!D196)</f>
        <v/>
      </c>
      <c r="E197" s="7" t="str">
        <f>IF('RFQ-Input'!E196="","",'RFQ-Input'!E196)</f>
        <v/>
      </c>
      <c r="F197" s="7" t="str">
        <f>IF('RFQ-Input'!F196="","",'RFQ-Input'!F196)</f>
        <v/>
      </c>
      <c r="G197" s="7" t="str">
        <f>IF('RFQ-Input'!G196="","",'RFQ-Input'!G196)</f>
        <v/>
      </c>
      <c r="H197" s="7" t="str">
        <f>IF('RFQ-Input'!H196="","",'RFQ-Input'!H196)</f>
        <v/>
      </c>
      <c r="I197" s="7" t="str">
        <f>IF('RFQ-Input'!I196="","",'RFQ-Input'!I196)</f>
        <v/>
      </c>
      <c r="J197" s="7" t="str">
        <f>IF('RFQ-Input'!J196="","",'RFQ-Input'!J196)</f>
        <v/>
      </c>
      <c r="K197" s="7" t="str">
        <f>IF('RFQ-Input'!K196="","",'RFQ-Input'!K196)</f>
        <v/>
      </c>
      <c r="L197" s="7" t="str">
        <f>IF('RFQ-Input'!L196="","",'RFQ-Input'!L196)</f>
        <v/>
      </c>
      <c r="M197" s="7" t="str">
        <f>IF('RFQ-Input'!M196="","",'RFQ-Input'!M196)</f>
        <v/>
      </c>
      <c r="N197" s="7" t="str">
        <f>IF('RFQ-Input'!N196="","",'RFQ-Input'!N196)</f>
        <v/>
      </c>
      <c r="O197" s="7" t="str">
        <f>IF('RFQ-Input'!O196="","",'RFQ-Input'!O196)</f>
        <v/>
      </c>
      <c r="Q197" s="7"/>
      <c r="R197" s="7"/>
      <c r="S197" s="7"/>
      <c r="T197" s="7"/>
      <c r="U197" s="7"/>
      <c r="V197" s="7"/>
      <c r="X197" s="7"/>
      <c r="Y197" s="7"/>
      <c r="Z197" s="7"/>
      <c r="AA197" s="7" t="str">
        <f t="shared" ref="AA197:AA260" si="21">IF(AND(L197="",Y197=""),"",L197)</f>
        <v/>
      </c>
      <c r="AB197" s="7"/>
      <c r="AC197" s="7"/>
      <c r="AQ197" s="7" t="str">
        <f t="shared" si="15"/>
        <v/>
      </c>
      <c r="AR197" s="7" t="str">
        <f t="shared" si="16"/>
        <v/>
      </c>
      <c r="AS197" s="7" t="str">
        <f t="shared" si="17"/>
        <v/>
      </c>
      <c r="AT197" s="7" t="str">
        <f t="shared" si="18"/>
        <v/>
      </c>
      <c r="AU197" s="7" t="str">
        <f t="shared" si="19"/>
        <v/>
      </c>
      <c r="AV197" s="7" t="str">
        <f t="shared" si="20"/>
        <v/>
      </c>
      <c r="AW197" s="7" t="str">
        <f>IF('RFQ-Input'!O196="","",'RFQ-Input'!O196)</f>
        <v/>
      </c>
      <c r="AX197" s="7" t="str">
        <f>IF('RFQ-Input'!S196="","",'RFQ-Input'!S196)</f>
        <v/>
      </c>
      <c r="AY197" s="7" t="str">
        <f>IF('RFQ-Input'!V196="","",'RFQ-Input'!V196)</f>
        <v/>
      </c>
      <c r="AZ197" s="7" t="str">
        <f>IF('RFQ-Input'!Y196="","",'RFQ-Input'!Y196)</f>
        <v/>
      </c>
      <c r="BA197" s="7" t="str">
        <f>IF('RFQ-Input'!AB196="","",'RFQ-Input'!AB196)</f>
        <v/>
      </c>
    </row>
    <row r="198" spans="1:53">
      <c r="A198" s="20">
        <v>194</v>
      </c>
      <c r="B198" s="7"/>
      <c r="C198" s="7" t="str">
        <f>IF('RFQ-Input'!C197="","",'RFQ-Input'!C197)</f>
        <v/>
      </c>
      <c r="D198" s="7" t="str">
        <f>IF('RFQ-Input'!D197="","",'RFQ-Input'!D197)</f>
        <v/>
      </c>
      <c r="E198" s="7" t="str">
        <f>IF('RFQ-Input'!E197="","",'RFQ-Input'!E197)</f>
        <v/>
      </c>
      <c r="F198" s="7" t="str">
        <f>IF('RFQ-Input'!F197="","",'RFQ-Input'!F197)</f>
        <v/>
      </c>
      <c r="G198" s="7" t="str">
        <f>IF('RFQ-Input'!G197="","",'RFQ-Input'!G197)</f>
        <v/>
      </c>
      <c r="H198" s="7" t="str">
        <f>IF('RFQ-Input'!H197="","",'RFQ-Input'!H197)</f>
        <v/>
      </c>
      <c r="I198" s="7" t="str">
        <f>IF('RFQ-Input'!I197="","",'RFQ-Input'!I197)</f>
        <v/>
      </c>
      <c r="J198" s="7" t="str">
        <f>IF('RFQ-Input'!J197="","",'RFQ-Input'!J197)</f>
        <v/>
      </c>
      <c r="K198" s="7" t="str">
        <f>IF('RFQ-Input'!K197="","",'RFQ-Input'!K197)</f>
        <v/>
      </c>
      <c r="L198" s="7" t="str">
        <f>IF('RFQ-Input'!L197="","",'RFQ-Input'!L197)</f>
        <v/>
      </c>
      <c r="M198" s="7" t="str">
        <f>IF('RFQ-Input'!M197="","",'RFQ-Input'!M197)</f>
        <v/>
      </c>
      <c r="N198" s="7" t="str">
        <f>IF('RFQ-Input'!N197="","",'RFQ-Input'!N197)</f>
        <v/>
      </c>
      <c r="O198" s="7" t="str">
        <f>IF('RFQ-Input'!O197="","",'RFQ-Input'!O197)</f>
        <v/>
      </c>
      <c r="Q198" s="7"/>
      <c r="R198" s="7"/>
      <c r="S198" s="7"/>
      <c r="T198" s="7"/>
      <c r="U198" s="7"/>
      <c r="V198" s="7"/>
      <c r="X198" s="7"/>
      <c r="Y198" s="7"/>
      <c r="Z198" s="7"/>
      <c r="AA198" s="7" t="str">
        <f t="shared" si="21"/>
        <v/>
      </c>
      <c r="AB198" s="7"/>
      <c r="AC198" s="7"/>
      <c r="AQ198" s="7" t="str">
        <f t="shared" ref="AQ198:AQ261" si="22">IFERROR(SMALL($AW198:$CT198,1),"")</f>
        <v/>
      </c>
      <c r="AR198" s="7" t="str">
        <f t="shared" ref="AR198:AR261" si="23">IF(AQ198="","",INDEX($AW$4:$CT$4,MATCH(AQ198,$AW198:$CT198,0)))</f>
        <v/>
      </c>
      <c r="AS198" s="7" t="str">
        <f t="shared" ref="AS198:AS261" si="24">IFERROR(SMALL($AW198:$CT198,2),"")</f>
        <v/>
      </c>
      <c r="AT198" s="7" t="str">
        <f t="shared" ref="AT198:AT261" si="25">IF(AS198="","",INDEX($AW$4:$CT$4,MATCH(AS198,$AW198:$CT198,0)))</f>
        <v/>
      </c>
      <c r="AU198" s="7" t="str">
        <f t="shared" ref="AU198:AU261" si="26">IFERROR(SMALL($AW198:$CT198,3),"")</f>
        <v/>
      </c>
      <c r="AV198" s="7" t="str">
        <f t="shared" ref="AV198:AV261" si="27">IF(AU198="","",INDEX($AW$4:$CT$4,MATCH(AU198,$AW198:$CT198,0)))</f>
        <v/>
      </c>
      <c r="AW198" s="7" t="str">
        <f>IF('RFQ-Input'!O197="","",'RFQ-Input'!O197)</f>
        <v/>
      </c>
      <c r="AX198" s="7" t="str">
        <f>IF('RFQ-Input'!S197="","",'RFQ-Input'!S197)</f>
        <v/>
      </c>
      <c r="AY198" s="7" t="str">
        <f>IF('RFQ-Input'!V197="","",'RFQ-Input'!V197)</f>
        <v/>
      </c>
      <c r="AZ198" s="7" t="str">
        <f>IF('RFQ-Input'!Y197="","",'RFQ-Input'!Y197)</f>
        <v/>
      </c>
      <c r="BA198" s="7" t="str">
        <f>IF('RFQ-Input'!AB197="","",'RFQ-Input'!AB197)</f>
        <v/>
      </c>
    </row>
    <row r="199" spans="1:53">
      <c r="A199" s="20">
        <v>195</v>
      </c>
      <c r="B199" s="7"/>
      <c r="C199" s="7" t="str">
        <f>IF('RFQ-Input'!C198="","",'RFQ-Input'!C198)</f>
        <v/>
      </c>
      <c r="D199" s="7" t="str">
        <f>IF('RFQ-Input'!D198="","",'RFQ-Input'!D198)</f>
        <v/>
      </c>
      <c r="E199" s="7" t="str">
        <f>IF('RFQ-Input'!E198="","",'RFQ-Input'!E198)</f>
        <v/>
      </c>
      <c r="F199" s="7" t="str">
        <f>IF('RFQ-Input'!F198="","",'RFQ-Input'!F198)</f>
        <v/>
      </c>
      <c r="G199" s="7" t="str">
        <f>IF('RFQ-Input'!G198="","",'RFQ-Input'!G198)</f>
        <v/>
      </c>
      <c r="H199" s="7" t="str">
        <f>IF('RFQ-Input'!H198="","",'RFQ-Input'!H198)</f>
        <v/>
      </c>
      <c r="I199" s="7" t="str">
        <f>IF('RFQ-Input'!I198="","",'RFQ-Input'!I198)</f>
        <v/>
      </c>
      <c r="J199" s="7" t="str">
        <f>IF('RFQ-Input'!J198="","",'RFQ-Input'!J198)</f>
        <v/>
      </c>
      <c r="K199" s="7" t="str">
        <f>IF('RFQ-Input'!K198="","",'RFQ-Input'!K198)</f>
        <v/>
      </c>
      <c r="L199" s="7" t="str">
        <f>IF('RFQ-Input'!L198="","",'RFQ-Input'!L198)</f>
        <v/>
      </c>
      <c r="M199" s="7" t="str">
        <f>IF('RFQ-Input'!M198="","",'RFQ-Input'!M198)</f>
        <v/>
      </c>
      <c r="N199" s="7" t="str">
        <f>IF('RFQ-Input'!N198="","",'RFQ-Input'!N198)</f>
        <v/>
      </c>
      <c r="O199" s="7" t="str">
        <f>IF('RFQ-Input'!O198="","",'RFQ-Input'!O198)</f>
        <v/>
      </c>
      <c r="Q199" s="7"/>
      <c r="R199" s="7"/>
      <c r="S199" s="7"/>
      <c r="T199" s="7"/>
      <c r="U199" s="7"/>
      <c r="V199" s="7"/>
      <c r="X199" s="7"/>
      <c r="Y199" s="7"/>
      <c r="Z199" s="7"/>
      <c r="AA199" s="7" t="str">
        <f t="shared" si="21"/>
        <v/>
      </c>
      <c r="AB199" s="7"/>
      <c r="AC199" s="7"/>
      <c r="AQ199" s="7" t="str">
        <f t="shared" si="22"/>
        <v/>
      </c>
      <c r="AR199" s="7" t="str">
        <f t="shared" si="23"/>
        <v/>
      </c>
      <c r="AS199" s="7" t="str">
        <f t="shared" si="24"/>
        <v/>
      </c>
      <c r="AT199" s="7" t="str">
        <f t="shared" si="25"/>
        <v/>
      </c>
      <c r="AU199" s="7" t="str">
        <f t="shared" si="26"/>
        <v/>
      </c>
      <c r="AV199" s="7" t="str">
        <f t="shared" si="27"/>
        <v/>
      </c>
      <c r="AW199" s="7" t="str">
        <f>IF('RFQ-Input'!O198="","",'RFQ-Input'!O198)</f>
        <v/>
      </c>
      <c r="AX199" s="7" t="str">
        <f>IF('RFQ-Input'!S198="","",'RFQ-Input'!S198)</f>
        <v/>
      </c>
      <c r="AY199" s="7" t="str">
        <f>IF('RFQ-Input'!V198="","",'RFQ-Input'!V198)</f>
        <v/>
      </c>
      <c r="AZ199" s="7" t="str">
        <f>IF('RFQ-Input'!Y198="","",'RFQ-Input'!Y198)</f>
        <v/>
      </c>
      <c r="BA199" s="7" t="str">
        <f>IF('RFQ-Input'!AB198="","",'RFQ-Input'!AB198)</f>
        <v/>
      </c>
    </row>
    <row r="200" spans="1:53">
      <c r="A200" s="20">
        <v>196</v>
      </c>
      <c r="B200" s="7"/>
      <c r="C200" s="7" t="str">
        <f>IF('RFQ-Input'!C199="","",'RFQ-Input'!C199)</f>
        <v/>
      </c>
      <c r="D200" s="7" t="str">
        <f>IF('RFQ-Input'!D199="","",'RFQ-Input'!D199)</f>
        <v/>
      </c>
      <c r="E200" s="7" t="str">
        <f>IF('RFQ-Input'!E199="","",'RFQ-Input'!E199)</f>
        <v/>
      </c>
      <c r="F200" s="7" t="str">
        <f>IF('RFQ-Input'!F199="","",'RFQ-Input'!F199)</f>
        <v/>
      </c>
      <c r="G200" s="7" t="str">
        <f>IF('RFQ-Input'!G199="","",'RFQ-Input'!G199)</f>
        <v/>
      </c>
      <c r="H200" s="7" t="str">
        <f>IF('RFQ-Input'!H199="","",'RFQ-Input'!H199)</f>
        <v/>
      </c>
      <c r="I200" s="7" t="str">
        <f>IF('RFQ-Input'!I199="","",'RFQ-Input'!I199)</f>
        <v/>
      </c>
      <c r="J200" s="7" t="str">
        <f>IF('RFQ-Input'!J199="","",'RFQ-Input'!J199)</f>
        <v/>
      </c>
      <c r="K200" s="7" t="str">
        <f>IF('RFQ-Input'!K199="","",'RFQ-Input'!K199)</f>
        <v/>
      </c>
      <c r="L200" s="7" t="str">
        <f>IF('RFQ-Input'!L199="","",'RFQ-Input'!L199)</f>
        <v/>
      </c>
      <c r="M200" s="7" t="str">
        <f>IF('RFQ-Input'!M199="","",'RFQ-Input'!M199)</f>
        <v/>
      </c>
      <c r="N200" s="7" t="str">
        <f>IF('RFQ-Input'!N199="","",'RFQ-Input'!N199)</f>
        <v/>
      </c>
      <c r="O200" s="7" t="str">
        <f>IF('RFQ-Input'!O199="","",'RFQ-Input'!O199)</f>
        <v/>
      </c>
      <c r="Q200" s="7"/>
      <c r="R200" s="7"/>
      <c r="S200" s="7"/>
      <c r="T200" s="7"/>
      <c r="U200" s="7"/>
      <c r="V200" s="7"/>
      <c r="X200" s="7"/>
      <c r="Y200" s="7"/>
      <c r="Z200" s="7"/>
      <c r="AA200" s="7" t="str">
        <f t="shared" si="21"/>
        <v/>
      </c>
      <c r="AB200" s="7"/>
      <c r="AC200" s="7"/>
      <c r="AQ200" s="7" t="str">
        <f t="shared" si="22"/>
        <v/>
      </c>
      <c r="AR200" s="7" t="str">
        <f t="shared" si="23"/>
        <v/>
      </c>
      <c r="AS200" s="7" t="str">
        <f t="shared" si="24"/>
        <v/>
      </c>
      <c r="AT200" s="7" t="str">
        <f t="shared" si="25"/>
        <v/>
      </c>
      <c r="AU200" s="7" t="str">
        <f t="shared" si="26"/>
        <v/>
      </c>
      <c r="AV200" s="7" t="str">
        <f t="shared" si="27"/>
        <v/>
      </c>
      <c r="AW200" s="7" t="str">
        <f>IF('RFQ-Input'!O199="","",'RFQ-Input'!O199)</f>
        <v/>
      </c>
      <c r="AX200" s="7" t="str">
        <f>IF('RFQ-Input'!S199="","",'RFQ-Input'!S199)</f>
        <v/>
      </c>
      <c r="AY200" s="7" t="str">
        <f>IF('RFQ-Input'!V199="","",'RFQ-Input'!V199)</f>
        <v/>
      </c>
      <c r="AZ200" s="7" t="str">
        <f>IF('RFQ-Input'!Y199="","",'RFQ-Input'!Y199)</f>
        <v/>
      </c>
      <c r="BA200" s="7" t="str">
        <f>IF('RFQ-Input'!AB199="","",'RFQ-Input'!AB199)</f>
        <v/>
      </c>
    </row>
    <row r="201" spans="1:53">
      <c r="A201" s="20">
        <v>197</v>
      </c>
      <c r="B201" s="7"/>
      <c r="C201" s="7" t="str">
        <f>IF('RFQ-Input'!C200="","",'RFQ-Input'!C200)</f>
        <v/>
      </c>
      <c r="D201" s="7" t="str">
        <f>IF('RFQ-Input'!D200="","",'RFQ-Input'!D200)</f>
        <v/>
      </c>
      <c r="E201" s="7" t="str">
        <f>IF('RFQ-Input'!E200="","",'RFQ-Input'!E200)</f>
        <v/>
      </c>
      <c r="F201" s="7" t="str">
        <f>IF('RFQ-Input'!F200="","",'RFQ-Input'!F200)</f>
        <v/>
      </c>
      <c r="G201" s="7" t="str">
        <f>IF('RFQ-Input'!G200="","",'RFQ-Input'!G200)</f>
        <v/>
      </c>
      <c r="H201" s="7" t="str">
        <f>IF('RFQ-Input'!H200="","",'RFQ-Input'!H200)</f>
        <v/>
      </c>
      <c r="I201" s="7" t="str">
        <f>IF('RFQ-Input'!I200="","",'RFQ-Input'!I200)</f>
        <v/>
      </c>
      <c r="J201" s="7" t="str">
        <f>IF('RFQ-Input'!J200="","",'RFQ-Input'!J200)</f>
        <v/>
      </c>
      <c r="K201" s="7" t="str">
        <f>IF('RFQ-Input'!K200="","",'RFQ-Input'!K200)</f>
        <v/>
      </c>
      <c r="L201" s="7" t="str">
        <f>IF('RFQ-Input'!L200="","",'RFQ-Input'!L200)</f>
        <v/>
      </c>
      <c r="M201" s="7" t="str">
        <f>IF('RFQ-Input'!M200="","",'RFQ-Input'!M200)</f>
        <v/>
      </c>
      <c r="N201" s="7" t="str">
        <f>IF('RFQ-Input'!N200="","",'RFQ-Input'!N200)</f>
        <v/>
      </c>
      <c r="O201" s="7" t="str">
        <f>IF('RFQ-Input'!O200="","",'RFQ-Input'!O200)</f>
        <v/>
      </c>
      <c r="Q201" s="7"/>
      <c r="R201" s="7"/>
      <c r="S201" s="7"/>
      <c r="T201" s="7"/>
      <c r="U201" s="7"/>
      <c r="V201" s="7"/>
      <c r="X201" s="7"/>
      <c r="Y201" s="7"/>
      <c r="Z201" s="7"/>
      <c r="AA201" s="7" t="str">
        <f t="shared" si="21"/>
        <v/>
      </c>
      <c r="AB201" s="7"/>
      <c r="AC201" s="7"/>
      <c r="AQ201" s="7" t="str">
        <f t="shared" si="22"/>
        <v/>
      </c>
      <c r="AR201" s="7" t="str">
        <f t="shared" si="23"/>
        <v/>
      </c>
      <c r="AS201" s="7" t="str">
        <f t="shared" si="24"/>
        <v/>
      </c>
      <c r="AT201" s="7" t="str">
        <f t="shared" si="25"/>
        <v/>
      </c>
      <c r="AU201" s="7" t="str">
        <f t="shared" si="26"/>
        <v/>
      </c>
      <c r="AV201" s="7" t="str">
        <f t="shared" si="27"/>
        <v/>
      </c>
      <c r="AW201" s="7" t="str">
        <f>IF('RFQ-Input'!O200="","",'RFQ-Input'!O200)</f>
        <v/>
      </c>
      <c r="AX201" s="7" t="str">
        <f>IF('RFQ-Input'!S200="","",'RFQ-Input'!S200)</f>
        <v/>
      </c>
      <c r="AY201" s="7" t="str">
        <f>IF('RFQ-Input'!V200="","",'RFQ-Input'!V200)</f>
        <v/>
      </c>
      <c r="AZ201" s="7" t="str">
        <f>IF('RFQ-Input'!Y200="","",'RFQ-Input'!Y200)</f>
        <v/>
      </c>
      <c r="BA201" s="7" t="str">
        <f>IF('RFQ-Input'!AB200="","",'RFQ-Input'!AB200)</f>
        <v/>
      </c>
    </row>
    <row r="202" spans="1:53">
      <c r="A202" s="20">
        <v>198</v>
      </c>
      <c r="B202" s="7"/>
      <c r="C202" s="7" t="str">
        <f>IF('RFQ-Input'!C201="","",'RFQ-Input'!C201)</f>
        <v/>
      </c>
      <c r="D202" s="7" t="str">
        <f>IF('RFQ-Input'!D201="","",'RFQ-Input'!D201)</f>
        <v/>
      </c>
      <c r="E202" s="7" t="str">
        <f>IF('RFQ-Input'!E201="","",'RFQ-Input'!E201)</f>
        <v/>
      </c>
      <c r="F202" s="7" t="str">
        <f>IF('RFQ-Input'!F201="","",'RFQ-Input'!F201)</f>
        <v/>
      </c>
      <c r="G202" s="7" t="str">
        <f>IF('RFQ-Input'!G201="","",'RFQ-Input'!G201)</f>
        <v/>
      </c>
      <c r="H202" s="7" t="str">
        <f>IF('RFQ-Input'!H201="","",'RFQ-Input'!H201)</f>
        <v/>
      </c>
      <c r="I202" s="7" t="str">
        <f>IF('RFQ-Input'!I201="","",'RFQ-Input'!I201)</f>
        <v/>
      </c>
      <c r="J202" s="7" t="str">
        <f>IF('RFQ-Input'!J201="","",'RFQ-Input'!J201)</f>
        <v/>
      </c>
      <c r="K202" s="7" t="str">
        <f>IF('RFQ-Input'!K201="","",'RFQ-Input'!K201)</f>
        <v/>
      </c>
      <c r="L202" s="7" t="str">
        <f>IF('RFQ-Input'!L201="","",'RFQ-Input'!L201)</f>
        <v/>
      </c>
      <c r="M202" s="7" t="str">
        <f>IF('RFQ-Input'!M201="","",'RFQ-Input'!M201)</f>
        <v/>
      </c>
      <c r="N202" s="7" t="str">
        <f>IF('RFQ-Input'!N201="","",'RFQ-Input'!N201)</f>
        <v/>
      </c>
      <c r="O202" s="7" t="str">
        <f>IF('RFQ-Input'!O201="","",'RFQ-Input'!O201)</f>
        <v/>
      </c>
      <c r="Q202" s="7"/>
      <c r="R202" s="7"/>
      <c r="S202" s="7"/>
      <c r="T202" s="7"/>
      <c r="U202" s="7"/>
      <c r="V202" s="7"/>
      <c r="X202" s="7"/>
      <c r="Y202" s="7"/>
      <c r="Z202" s="7"/>
      <c r="AA202" s="7" t="str">
        <f t="shared" si="21"/>
        <v/>
      </c>
      <c r="AB202" s="7"/>
      <c r="AC202" s="7"/>
      <c r="AQ202" s="7" t="str">
        <f t="shared" si="22"/>
        <v/>
      </c>
      <c r="AR202" s="7" t="str">
        <f t="shared" si="23"/>
        <v/>
      </c>
      <c r="AS202" s="7" t="str">
        <f t="shared" si="24"/>
        <v/>
      </c>
      <c r="AT202" s="7" t="str">
        <f t="shared" si="25"/>
        <v/>
      </c>
      <c r="AU202" s="7" t="str">
        <f t="shared" si="26"/>
        <v/>
      </c>
      <c r="AV202" s="7" t="str">
        <f t="shared" si="27"/>
        <v/>
      </c>
      <c r="AW202" s="7" t="str">
        <f>IF('RFQ-Input'!O201="","",'RFQ-Input'!O201)</f>
        <v/>
      </c>
      <c r="AX202" s="7" t="str">
        <f>IF('RFQ-Input'!S201="","",'RFQ-Input'!S201)</f>
        <v/>
      </c>
      <c r="AY202" s="7" t="str">
        <f>IF('RFQ-Input'!V201="","",'RFQ-Input'!V201)</f>
        <v/>
      </c>
      <c r="AZ202" s="7" t="str">
        <f>IF('RFQ-Input'!Y201="","",'RFQ-Input'!Y201)</f>
        <v/>
      </c>
      <c r="BA202" s="7" t="str">
        <f>IF('RFQ-Input'!AB201="","",'RFQ-Input'!AB201)</f>
        <v/>
      </c>
    </row>
    <row r="203" spans="1:53">
      <c r="A203" s="20">
        <v>199</v>
      </c>
      <c r="B203" s="7"/>
      <c r="C203" s="7" t="str">
        <f>IF('RFQ-Input'!C202="","",'RFQ-Input'!C202)</f>
        <v/>
      </c>
      <c r="D203" s="7" t="str">
        <f>IF('RFQ-Input'!D202="","",'RFQ-Input'!D202)</f>
        <v/>
      </c>
      <c r="E203" s="7" t="str">
        <f>IF('RFQ-Input'!E202="","",'RFQ-Input'!E202)</f>
        <v/>
      </c>
      <c r="F203" s="7" t="str">
        <f>IF('RFQ-Input'!F202="","",'RFQ-Input'!F202)</f>
        <v/>
      </c>
      <c r="G203" s="7" t="str">
        <f>IF('RFQ-Input'!G202="","",'RFQ-Input'!G202)</f>
        <v/>
      </c>
      <c r="H203" s="7" t="str">
        <f>IF('RFQ-Input'!H202="","",'RFQ-Input'!H202)</f>
        <v/>
      </c>
      <c r="I203" s="7" t="str">
        <f>IF('RFQ-Input'!I202="","",'RFQ-Input'!I202)</f>
        <v/>
      </c>
      <c r="J203" s="7" t="str">
        <f>IF('RFQ-Input'!J202="","",'RFQ-Input'!J202)</f>
        <v/>
      </c>
      <c r="K203" s="7" t="str">
        <f>IF('RFQ-Input'!K202="","",'RFQ-Input'!K202)</f>
        <v/>
      </c>
      <c r="L203" s="7" t="str">
        <f>IF('RFQ-Input'!L202="","",'RFQ-Input'!L202)</f>
        <v/>
      </c>
      <c r="M203" s="7" t="str">
        <f>IF('RFQ-Input'!M202="","",'RFQ-Input'!M202)</f>
        <v/>
      </c>
      <c r="N203" s="7" t="str">
        <f>IF('RFQ-Input'!N202="","",'RFQ-Input'!N202)</f>
        <v/>
      </c>
      <c r="O203" s="7" t="str">
        <f>IF('RFQ-Input'!O202="","",'RFQ-Input'!O202)</f>
        <v/>
      </c>
      <c r="Q203" s="7"/>
      <c r="R203" s="7"/>
      <c r="S203" s="7"/>
      <c r="T203" s="7"/>
      <c r="U203" s="7"/>
      <c r="V203" s="7"/>
      <c r="X203" s="7"/>
      <c r="Y203" s="7"/>
      <c r="Z203" s="7"/>
      <c r="AA203" s="7" t="str">
        <f t="shared" si="21"/>
        <v/>
      </c>
      <c r="AB203" s="7"/>
      <c r="AC203" s="7"/>
      <c r="AQ203" s="7" t="str">
        <f t="shared" si="22"/>
        <v/>
      </c>
      <c r="AR203" s="7" t="str">
        <f t="shared" si="23"/>
        <v/>
      </c>
      <c r="AS203" s="7" t="str">
        <f t="shared" si="24"/>
        <v/>
      </c>
      <c r="AT203" s="7" t="str">
        <f t="shared" si="25"/>
        <v/>
      </c>
      <c r="AU203" s="7" t="str">
        <f t="shared" si="26"/>
        <v/>
      </c>
      <c r="AV203" s="7" t="str">
        <f t="shared" si="27"/>
        <v/>
      </c>
      <c r="AW203" s="7" t="str">
        <f>IF('RFQ-Input'!O202="","",'RFQ-Input'!O202)</f>
        <v/>
      </c>
      <c r="AX203" s="7" t="str">
        <f>IF('RFQ-Input'!S202="","",'RFQ-Input'!S202)</f>
        <v/>
      </c>
      <c r="AY203" s="7" t="str">
        <f>IF('RFQ-Input'!V202="","",'RFQ-Input'!V202)</f>
        <v/>
      </c>
      <c r="AZ203" s="7" t="str">
        <f>IF('RFQ-Input'!Y202="","",'RFQ-Input'!Y202)</f>
        <v/>
      </c>
      <c r="BA203" s="7" t="str">
        <f>IF('RFQ-Input'!AB202="","",'RFQ-Input'!AB202)</f>
        <v/>
      </c>
    </row>
    <row r="204" spans="1:53">
      <c r="A204" s="20">
        <v>200</v>
      </c>
      <c r="B204" s="7"/>
      <c r="C204" s="7" t="str">
        <f>IF('RFQ-Input'!C203="","",'RFQ-Input'!C203)</f>
        <v/>
      </c>
      <c r="D204" s="7" t="str">
        <f>IF('RFQ-Input'!D203="","",'RFQ-Input'!D203)</f>
        <v/>
      </c>
      <c r="E204" s="7" t="str">
        <f>IF('RFQ-Input'!E203="","",'RFQ-Input'!E203)</f>
        <v/>
      </c>
      <c r="F204" s="7" t="str">
        <f>IF('RFQ-Input'!F203="","",'RFQ-Input'!F203)</f>
        <v/>
      </c>
      <c r="G204" s="7" t="str">
        <f>IF('RFQ-Input'!G203="","",'RFQ-Input'!G203)</f>
        <v/>
      </c>
      <c r="H204" s="7" t="str">
        <f>IF('RFQ-Input'!H203="","",'RFQ-Input'!H203)</f>
        <v/>
      </c>
      <c r="I204" s="7" t="str">
        <f>IF('RFQ-Input'!I203="","",'RFQ-Input'!I203)</f>
        <v/>
      </c>
      <c r="J204" s="7" t="str">
        <f>IF('RFQ-Input'!J203="","",'RFQ-Input'!J203)</f>
        <v/>
      </c>
      <c r="K204" s="7" t="str">
        <f>IF('RFQ-Input'!K203="","",'RFQ-Input'!K203)</f>
        <v/>
      </c>
      <c r="L204" s="7" t="str">
        <f>IF('RFQ-Input'!L203="","",'RFQ-Input'!L203)</f>
        <v/>
      </c>
      <c r="M204" s="7" t="str">
        <f>IF('RFQ-Input'!M203="","",'RFQ-Input'!M203)</f>
        <v/>
      </c>
      <c r="N204" s="7" t="str">
        <f>IF('RFQ-Input'!N203="","",'RFQ-Input'!N203)</f>
        <v/>
      </c>
      <c r="O204" s="7" t="str">
        <f>IF('RFQ-Input'!O203="","",'RFQ-Input'!O203)</f>
        <v/>
      </c>
      <c r="Q204" s="7"/>
      <c r="R204" s="7"/>
      <c r="S204" s="7"/>
      <c r="T204" s="7"/>
      <c r="U204" s="7"/>
      <c r="V204" s="7"/>
      <c r="X204" s="7"/>
      <c r="Y204" s="7"/>
      <c r="Z204" s="7"/>
      <c r="AA204" s="7" t="str">
        <f t="shared" si="21"/>
        <v/>
      </c>
      <c r="AB204" s="7"/>
      <c r="AC204" s="7"/>
      <c r="AQ204" s="7" t="str">
        <f t="shared" si="22"/>
        <v/>
      </c>
      <c r="AR204" s="7" t="str">
        <f t="shared" si="23"/>
        <v/>
      </c>
      <c r="AS204" s="7" t="str">
        <f t="shared" si="24"/>
        <v/>
      </c>
      <c r="AT204" s="7" t="str">
        <f t="shared" si="25"/>
        <v/>
      </c>
      <c r="AU204" s="7" t="str">
        <f t="shared" si="26"/>
        <v/>
      </c>
      <c r="AV204" s="7" t="str">
        <f t="shared" si="27"/>
        <v/>
      </c>
      <c r="AW204" s="7" t="str">
        <f>IF('RFQ-Input'!O203="","",'RFQ-Input'!O203)</f>
        <v/>
      </c>
      <c r="AX204" s="7" t="str">
        <f>IF('RFQ-Input'!S203="","",'RFQ-Input'!S203)</f>
        <v/>
      </c>
      <c r="AY204" s="7" t="str">
        <f>IF('RFQ-Input'!V203="","",'RFQ-Input'!V203)</f>
        <v/>
      </c>
      <c r="AZ204" s="7" t="str">
        <f>IF('RFQ-Input'!Y203="","",'RFQ-Input'!Y203)</f>
        <v/>
      </c>
      <c r="BA204" s="7" t="str">
        <f>IF('RFQ-Input'!AB203="","",'RFQ-Input'!AB203)</f>
        <v/>
      </c>
    </row>
    <row r="205" spans="1:53">
      <c r="A205" s="20">
        <v>201</v>
      </c>
      <c r="B205" s="7"/>
      <c r="C205" s="7" t="str">
        <f>IF('RFQ-Input'!C204="","",'RFQ-Input'!C204)</f>
        <v/>
      </c>
      <c r="D205" s="7" t="str">
        <f>IF('RFQ-Input'!D204="","",'RFQ-Input'!D204)</f>
        <v/>
      </c>
      <c r="E205" s="7" t="str">
        <f>IF('RFQ-Input'!E204="","",'RFQ-Input'!E204)</f>
        <v/>
      </c>
      <c r="F205" s="7" t="str">
        <f>IF('RFQ-Input'!F204="","",'RFQ-Input'!F204)</f>
        <v/>
      </c>
      <c r="G205" s="7" t="str">
        <f>IF('RFQ-Input'!G204="","",'RFQ-Input'!G204)</f>
        <v/>
      </c>
      <c r="H205" s="7" t="str">
        <f>IF('RFQ-Input'!H204="","",'RFQ-Input'!H204)</f>
        <v/>
      </c>
      <c r="I205" s="7" t="str">
        <f>IF('RFQ-Input'!I204="","",'RFQ-Input'!I204)</f>
        <v/>
      </c>
      <c r="J205" s="7" t="str">
        <f>IF('RFQ-Input'!J204="","",'RFQ-Input'!J204)</f>
        <v/>
      </c>
      <c r="K205" s="7" t="str">
        <f>IF('RFQ-Input'!K204="","",'RFQ-Input'!K204)</f>
        <v/>
      </c>
      <c r="L205" s="7" t="str">
        <f>IF('RFQ-Input'!L204="","",'RFQ-Input'!L204)</f>
        <v/>
      </c>
      <c r="M205" s="7" t="str">
        <f>IF('RFQ-Input'!M204="","",'RFQ-Input'!M204)</f>
        <v/>
      </c>
      <c r="N205" s="7" t="str">
        <f>IF('RFQ-Input'!N204="","",'RFQ-Input'!N204)</f>
        <v/>
      </c>
      <c r="O205" s="7" t="str">
        <f>IF('RFQ-Input'!O204="","",'RFQ-Input'!O204)</f>
        <v/>
      </c>
      <c r="Q205" s="7"/>
      <c r="R205" s="7"/>
      <c r="S205" s="7"/>
      <c r="T205" s="7"/>
      <c r="U205" s="7"/>
      <c r="V205" s="7"/>
      <c r="X205" s="7"/>
      <c r="Y205" s="7"/>
      <c r="Z205" s="7"/>
      <c r="AA205" s="7" t="str">
        <f t="shared" si="21"/>
        <v/>
      </c>
      <c r="AB205" s="7"/>
      <c r="AC205" s="7"/>
      <c r="AQ205" s="7" t="str">
        <f t="shared" si="22"/>
        <v/>
      </c>
      <c r="AR205" s="7" t="str">
        <f t="shared" si="23"/>
        <v/>
      </c>
      <c r="AS205" s="7" t="str">
        <f t="shared" si="24"/>
        <v/>
      </c>
      <c r="AT205" s="7" t="str">
        <f t="shared" si="25"/>
        <v/>
      </c>
      <c r="AU205" s="7" t="str">
        <f t="shared" si="26"/>
        <v/>
      </c>
      <c r="AV205" s="7" t="str">
        <f t="shared" si="27"/>
        <v/>
      </c>
      <c r="AW205" s="7" t="str">
        <f>IF('RFQ-Input'!O204="","",'RFQ-Input'!O204)</f>
        <v/>
      </c>
      <c r="AX205" s="7" t="str">
        <f>IF('RFQ-Input'!S204="","",'RFQ-Input'!S204)</f>
        <v/>
      </c>
      <c r="AY205" s="7" t="str">
        <f>IF('RFQ-Input'!V204="","",'RFQ-Input'!V204)</f>
        <v/>
      </c>
      <c r="AZ205" s="7" t="str">
        <f>IF('RFQ-Input'!Y204="","",'RFQ-Input'!Y204)</f>
        <v/>
      </c>
      <c r="BA205" s="7" t="str">
        <f>IF('RFQ-Input'!AB204="","",'RFQ-Input'!AB204)</f>
        <v/>
      </c>
    </row>
    <row r="206" spans="1:53">
      <c r="A206" s="20">
        <v>202</v>
      </c>
      <c r="B206" s="7"/>
      <c r="C206" s="7" t="str">
        <f>IF('RFQ-Input'!C205="","",'RFQ-Input'!C205)</f>
        <v/>
      </c>
      <c r="D206" s="7" t="str">
        <f>IF('RFQ-Input'!D205="","",'RFQ-Input'!D205)</f>
        <v/>
      </c>
      <c r="E206" s="7" t="str">
        <f>IF('RFQ-Input'!E205="","",'RFQ-Input'!E205)</f>
        <v/>
      </c>
      <c r="F206" s="7" t="str">
        <f>IF('RFQ-Input'!F205="","",'RFQ-Input'!F205)</f>
        <v/>
      </c>
      <c r="G206" s="7" t="str">
        <f>IF('RFQ-Input'!G205="","",'RFQ-Input'!G205)</f>
        <v/>
      </c>
      <c r="H206" s="7" t="str">
        <f>IF('RFQ-Input'!H205="","",'RFQ-Input'!H205)</f>
        <v/>
      </c>
      <c r="I206" s="7" t="str">
        <f>IF('RFQ-Input'!I205="","",'RFQ-Input'!I205)</f>
        <v/>
      </c>
      <c r="J206" s="7" t="str">
        <f>IF('RFQ-Input'!J205="","",'RFQ-Input'!J205)</f>
        <v/>
      </c>
      <c r="K206" s="7" t="str">
        <f>IF('RFQ-Input'!K205="","",'RFQ-Input'!K205)</f>
        <v/>
      </c>
      <c r="L206" s="7" t="str">
        <f>IF('RFQ-Input'!L205="","",'RFQ-Input'!L205)</f>
        <v/>
      </c>
      <c r="M206" s="7" t="str">
        <f>IF('RFQ-Input'!M205="","",'RFQ-Input'!M205)</f>
        <v/>
      </c>
      <c r="N206" s="7" t="str">
        <f>IF('RFQ-Input'!N205="","",'RFQ-Input'!N205)</f>
        <v/>
      </c>
      <c r="O206" s="7" t="str">
        <f>IF('RFQ-Input'!O205="","",'RFQ-Input'!O205)</f>
        <v/>
      </c>
      <c r="Q206" s="7"/>
      <c r="R206" s="7"/>
      <c r="S206" s="7"/>
      <c r="T206" s="7"/>
      <c r="U206" s="7"/>
      <c r="V206" s="7"/>
      <c r="X206" s="7"/>
      <c r="Y206" s="7"/>
      <c r="Z206" s="7"/>
      <c r="AA206" s="7" t="str">
        <f t="shared" si="21"/>
        <v/>
      </c>
      <c r="AB206" s="7"/>
      <c r="AC206" s="7"/>
      <c r="AQ206" s="7" t="str">
        <f t="shared" si="22"/>
        <v/>
      </c>
      <c r="AR206" s="7" t="str">
        <f t="shared" si="23"/>
        <v/>
      </c>
      <c r="AS206" s="7" t="str">
        <f t="shared" si="24"/>
        <v/>
      </c>
      <c r="AT206" s="7" t="str">
        <f t="shared" si="25"/>
        <v/>
      </c>
      <c r="AU206" s="7" t="str">
        <f t="shared" si="26"/>
        <v/>
      </c>
      <c r="AV206" s="7" t="str">
        <f t="shared" si="27"/>
        <v/>
      </c>
      <c r="AW206" s="7" t="str">
        <f>IF('RFQ-Input'!O205="","",'RFQ-Input'!O205)</f>
        <v/>
      </c>
      <c r="AX206" s="7" t="str">
        <f>IF('RFQ-Input'!S205="","",'RFQ-Input'!S205)</f>
        <v/>
      </c>
      <c r="AY206" s="7" t="str">
        <f>IF('RFQ-Input'!V205="","",'RFQ-Input'!V205)</f>
        <v/>
      </c>
      <c r="AZ206" s="7" t="str">
        <f>IF('RFQ-Input'!Y205="","",'RFQ-Input'!Y205)</f>
        <v/>
      </c>
      <c r="BA206" s="7" t="str">
        <f>IF('RFQ-Input'!AB205="","",'RFQ-Input'!AB205)</f>
        <v/>
      </c>
    </row>
    <row r="207" spans="1:53">
      <c r="A207" s="20">
        <v>203</v>
      </c>
      <c r="B207" s="7"/>
      <c r="C207" s="7" t="str">
        <f>IF('RFQ-Input'!C206="","",'RFQ-Input'!C206)</f>
        <v/>
      </c>
      <c r="D207" s="7" t="str">
        <f>IF('RFQ-Input'!D206="","",'RFQ-Input'!D206)</f>
        <v/>
      </c>
      <c r="E207" s="7" t="str">
        <f>IF('RFQ-Input'!E206="","",'RFQ-Input'!E206)</f>
        <v/>
      </c>
      <c r="F207" s="7" t="str">
        <f>IF('RFQ-Input'!F206="","",'RFQ-Input'!F206)</f>
        <v/>
      </c>
      <c r="G207" s="7" t="str">
        <f>IF('RFQ-Input'!G206="","",'RFQ-Input'!G206)</f>
        <v/>
      </c>
      <c r="H207" s="7" t="str">
        <f>IF('RFQ-Input'!H206="","",'RFQ-Input'!H206)</f>
        <v/>
      </c>
      <c r="I207" s="7" t="str">
        <f>IF('RFQ-Input'!I206="","",'RFQ-Input'!I206)</f>
        <v/>
      </c>
      <c r="J207" s="7" t="str">
        <f>IF('RFQ-Input'!J206="","",'RFQ-Input'!J206)</f>
        <v/>
      </c>
      <c r="K207" s="7" t="str">
        <f>IF('RFQ-Input'!K206="","",'RFQ-Input'!K206)</f>
        <v/>
      </c>
      <c r="L207" s="7" t="str">
        <f>IF('RFQ-Input'!L206="","",'RFQ-Input'!L206)</f>
        <v/>
      </c>
      <c r="M207" s="7" t="str">
        <f>IF('RFQ-Input'!M206="","",'RFQ-Input'!M206)</f>
        <v/>
      </c>
      <c r="N207" s="7" t="str">
        <f>IF('RFQ-Input'!N206="","",'RFQ-Input'!N206)</f>
        <v/>
      </c>
      <c r="O207" s="7" t="str">
        <f>IF('RFQ-Input'!O206="","",'RFQ-Input'!O206)</f>
        <v/>
      </c>
      <c r="Q207" s="7"/>
      <c r="R207" s="7"/>
      <c r="S207" s="7"/>
      <c r="T207" s="7"/>
      <c r="U207" s="7"/>
      <c r="V207" s="7"/>
      <c r="X207" s="7"/>
      <c r="Y207" s="7"/>
      <c r="Z207" s="7"/>
      <c r="AA207" s="7" t="str">
        <f t="shared" si="21"/>
        <v/>
      </c>
      <c r="AB207" s="7"/>
      <c r="AC207" s="7"/>
      <c r="AQ207" s="7" t="str">
        <f t="shared" si="22"/>
        <v/>
      </c>
      <c r="AR207" s="7" t="str">
        <f t="shared" si="23"/>
        <v/>
      </c>
      <c r="AS207" s="7" t="str">
        <f t="shared" si="24"/>
        <v/>
      </c>
      <c r="AT207" s="7" t="str">
        <f t="shared" si="25"/>
        <v/>
      </c>
      <c r="AU207" s="7" t="str">
        <f t="shared" si="26"/>
        <v/>
      </c>
      <c r="AV207" s="7" t="str">
        <f t="shared" si="27"/>
        <v/>
      </c>
      <c r="AW207" s="7" t="str">
        <f>IF('RFQ-Input'!O206="","",'RFQ-Input'!O206)</f>
        <v/>
      </c>
      <c r="AX207" s="7" t="str">
        <f>IF('RFQ-Input'!S206="","",'RFQ-Input'!S206)</f>
        <v/>
      </c>
      <c r="AY207" s="7" t="str">
        <f>IF('RFQ-Input'!V206="","",'RFQ-Input'!V206)</f>
        <v/>
      </c>
      <c r="AZ207" s="7" t="str">
        <f>IF('RFQ-Input'!Y206="","",'RFQ-Input'!Y206)</f>
        <v/>
      </c>
      <c r="BA207" s="7" t="str">
        <f>IF('RFQ-Input'!AB206="","",'RFQ-Input'!AB206)</f>
        <v/>
      </c>
    </row>
    <row r="208" spans="1:53">
      <c r="A208" s="20">
        <v>204</v>
      </c>
      <c r="B208" s="7"/>
      <c r="C208" s="7" t="str">
        <f>IF('RFQ-Input'!C207="","",'RFQ-Input'!C207)</f>
        <v/>
      </c>
      <c r="D208" s="7" t="str">
        <f>IF('RFQ-Input'!D207="","",'RFQ-Input'!D207)</f>
        <v/>
      </c>
      <c r="E208" s="7" t="str">
        <f>IF('RFQ-Input'!E207="","",'RFQ-Input'!E207)</f>
        <v/>
      </c>
      <c r="F208" s="7" t="str">
        <f>IF('RFQ-Input'!F207="","",'RFQ-Input'!F207)</f>
        <v/>
      </c>
      <c r="G208" s="7" t="str">
        <f>IF('RFQ-Input'!G207="","",'RFQ-Input'!G207)</f>
        <v/>
      </c>
      <c r="H208" s="7" t="str">
        <f>IF('RFQ-Input'!H207="","",'RFQ-Input'!H207)</f>
        <v/>
      </c>
      <c r="I208" s="7" t="str">
        <f>IF('RFQ-Input'!I207="","",'RFQ-Input'!I207)</f>
        <v/>
      </c>
      <c r="J208" s="7" t="str">
        <f>IF('RFQ-Input'!J207="","",'RFQ-Input'!J207)</f>
        <v/>
      </c>
      <c r="K208" s="7" t="str">
        <f>IF('RFQ-Input'!K207="","",'RFQ-Input'!K207)</f>
        <v/>
      </c>
      <c r="L208" s="7" t="str">
        <f>IF('RFQ-Input'!L207="","",'RFQ-Input'!L207)</f>
        <v/>
      </c>
      <c r="M208" s="7" t="str">
        <f>IF('RFQ-Input'!M207="","",'RFQ-Input'!M207)</f>
        <v/>
      </c>
      <c r="N208" s="7" t="str">
        <f>IF('RFQ-Input'!N207="","",'RFQ-Input'!N207)</f>
        <v/>
      </c>
      <c r="O208" s="7" t="str">
        <f>IF('RFQ-Input'!O207="","",'RFQ-Input'!O207)</f>
        <v/>
      </c>
      <c r="Q208" s="7"/>
      <c r="R208" s="7"/>
      <c r="S208" s="7"/>
      <c r="T208" s="7"/>
      <c r="U208" s="7"/>
      <c r="V208" s="7"/>
      <c r="X208" s="7"/>
      <c r="Y208" s="7"/>
      <c r="Z208" s="7"/>
      <c r="AA208" s="7" t="str">
        <f t="shared" si="21"/>
        <v/>
      </c>
      <c r="AB208" s="7"/>
      <c r="AC208" s="7"/>
      <c r="AQ208" s="7" t="str">
        <f t="shared" si="22"/>
        <v/>
      </c>
      <c r="AR208" s="7" t="str">
        <f t="shared" si="23"/>
        <v/>
      </c>
      <c r="AS208" s="7" t="str">
        <f t="shared" si="24"/>
        <v/>
      </c>
      <c r="AT208" s="7" t="str">
        <f t="shared" si="25"/>
        <v/>
      </c>
      <c r="AU208" s="7" t="str">
        <f t="shared" si="26"/>
        <v/>
      </c>
      <c r="AV208" s="7" t="str">
        <f t="shared" si="27"/>
        <v/>
      </c>
      <c r="AW208" s="7" t="str">
        <f>IF('RFQ-Input'!O207="","",'RFQ-Input'!O207)</f>
        <v/>
      </c>
      <c r="AX208" s="7" t="str">
        <f>IF('RFQ-Input'!S207="","",'RFQ-Input'!S207)</f>
        <v/>
      </c>
      <c r="AY208" s="7" t="str">
        <f>IF('RFQ-Input'!V207="","",'RFQ-Input'!V207)</f>
        <v/>
      </c>
      <c r="AZ208" s="7" t="str">
        <f>IF('RFQ-Input'!Y207="","",'RFQ-Input'!Y207)</f>
        <v/>
      </c>
      <c r="BA208" s="7" t="str">
        <f>IF('RFQ-Input'!AB207="","",'RFQ-Input'!AB207)</f>
        <v/>
      </c>
    </row>
    <row r="209" spans="1:53">
      <c r="A209" s="20">
        <v>205</v>
      </c>
      <c r="B209" s="7"/>
      <c r="C209" s="7" t="str">
        <f>IF('RFQ-Input'!C208="","",'RFQ-Input'!C208)</f>
        <v/>
      </c>
      <c r="D209" s="7" t="str">
        <f>IF('RFQ-Input'!D208="","",'RFQ-Input'!D208)</f>
        <v/>
      </c>
      <c r="E209" s="7" t="str">
        <f>IF('RFQ-Input'!E208="","",'RFQ-Input'!E208)</f>
        <v/>
      </c>
      <c r="F209" s="7" t="str">
        <f>IF('RFQ-Input'!F208="","",'RFQ-Input'!F208)</f>
        <v/>
      </c>
      <c r="G209" s="7" t="str">
        <f>IF('RFQ-Input'!G208="","",'RFQ-Input'!G208)</f>
        <v/>
      </c>
      <c r="H209" s="7" t="str">
        <f>IF('RFQ-Input'!H208="","",'RFQ-Input'!H208)</f>
        <v/>
      </c>
      <c r="I209" s="7" t="str">
        <f>IF('RFQ-Input'!I208="","",'RFQ-Input'!I208)</f>
        <v/>
      </c>
      <c r="J209" s="7" t="str">
        <f>IF('RFQ-Input'!J208="","",'RFQ-Input'!J208)</f>
        <v/>
      </c>
      <c r="K209" s="7" t="str">
        <f>IF('RFQ-Input'!K208="","",'RFQ-Input'!K208)</f>
        <v/>
      </c>
      <c r="L209" s="7" t="str">
        <f>IF('RFQ-Input'!L208="","",'RFQ-Input'!L208)</f>
        <v/>
      </c>
      <c r="M209" s="7" t="str">
        <f>IF('RFQ-Input'!M208="","",'RFQ-Input'!M208)</f>
        <v/>
      </c>
      <c r="N209" s="7" t="str">
        <f>IF('RFQ-Input'!N208="","",'RFQ-Input'!N208)</f>
        <v/>
      </c>
      <c r="O209" s="7" t="str">
        <f>IF('RFQ-Input'!O208="","",'RFQ-Input'!O208)</f>
        <v/>
      </c>
      <c r="Q209" s="7"/>
      <c r="R209" s="7"/>
      <c r="S209" s="7"/>
      <c r="T209" s="7"/>
      <c r="U209" s="7"/>
      <c r="V209" s="7"/>
      <c r="X209" s="7"/>
      <c r="Y209" s="7"/>
      <c r="Z209" s="7"/>
      <c r="AA209" s="7" t="str">
        <f t="shared" si="21"/>
        <v/>
      </c>
      <c r="AB209" s="7"/>
      <c r="AC209" s="7"/>
      <c r="AQ209" s="7" t="str">
        <f t="shared" si="22"/>
        <v/>
      </c>
      <c r="AR209" s="7" t="str">
        <f t="shared" si="23"/>
        <v/>
      </c>
      <c r="AS209" s="7" t="str">
        <f t="shared" si="24"/>
        <v/>
      </c>
      <c r="AT209" s="7" t="str">
        <f t="shared" si="25"/>
        <v/>
      </c>
      <c r="AU209" s="7" t="str">
        <f t="shared" si="26"/>
        <v/>
      </c>
      <c r="AV209" s="7" t="str">
        <f t="shared" si="27"/>
        <v/>
      </c>
      <c r="AW209" s="7" t="str">
        <f>IF('RFQ-Input'!O208="","",'RFQ-Input'!O208)</f>
        <v/>
      </c>
      <c r="AX209" s="7" t="str">
        <f>IF('RFQ-Input'!S208="","",'RFQ-Input'!S208)</f>
        <v/>
      </c>
      <c r="AY209" s="7" t="str">
        <f>IF('RFQ-Input'!V208="","",'RFQ-Input'!V208)</f>
        <v/>
      </c>
      <c r="AZ209" s="7" t="str">
        <f>IF('RFQ-Input'!Y208="","",'RFQ-Input'!Y208)</f>
        <v/>
      </c>
      <c r="BA209" s="7" t="str">
        <f>IF('RFQ-Input'!AB208="","",'RFQ-Input'!AB208)</f>
        <v/>
      </c>
    </row>
    <row r="210" spans="1:53">
      <c r="A210" s="20">
        <v>206</v>
      </c>
      <c r="B210" s="7"/>
      <c r="C210" s="7" t="str">
        <f>IF('RFQ-Input'!C209="","",'RFQ-Input'!C209)</f>
        <v/>
      </c>
      <c r="D210" s="7" t="str">
        <f>IF('RFQ-Input'!D209="","",'RFQ-Input'!D209)</f>
        <v/>
      </c>
      <c r="E210" s="7" t="str">
        <f>IF('RFQ-Input'!E209="","",'RFQ-Input'!E209)</f>
        <v/>
      </c>
      <c r="F210" s="7" t="str">
        <f>IF('RFQ-Input'!F209="","",'RFQ-Input'!F209)</f>
        <v/>
      </c>
      <c r="G210" s="7" t="str">
        <f>IF('RFQ-Input'!G209="","",'RFQ-Input'!G209)</f>
        <v/>
      </c>
      <c r="H210" s="7" t="str">
        <f>IF('RFQ-Input'!H209="","",'RFQ-Input'!H209)</f>
        <v/>
      </c>
      <c r="I210" s="7" t="str">
        <f>IF('RFQ-Input'!I209="","",'RFQ-Input'!I209)</f>
        <v/>
      </c>
      <c r="J210" s="7" t="str">
        <f>IF('RFQ-Input'!J209="","",'RFQ-Input'!J209)</f>
        <v/>
      </c>
      <c r="K210" s="7" t="str">
        <f>IF('RFQ-Input'!K209="","",'RFQ-Input'!K209)</f>
        <v/>
      </c>
      <c r="L210" s="7" t="str">
        <f>IF('RFQ-Input'!L209="","",'RFQ-Input'!L209)</f>
        <v/>
      </c>
      <c r="M210" s="7" t="str">
        <f>IF('RFQ-Input'!M209="","",'RFQ-Input'!M209)</f>
        <v/>
      </c>
      <c r="N210" s="7" t="str">
        <f>IF('RFQ-Input'!N209="","",'RFQ-Input'!N209)</f>
        <v/>
      </c>
      <c r="O210" s="7" t="str">
        <f>IF('RFQ-Input'!O209="","",'RFQ-Input'!O209)</f>
        <v/>
      </c>
      <c r="Q210" s="7"/>
      <c r="R210" s="7"/>
      <c r="S210" s="7"/>
      <c r="T210" s="7"/>
      <c r="U210" s="7"/>
      <c r="V210" s="7"/>
      <c r="X210" s="7"/>
      <c r="Y210" s="7"/>
      <c r="Z210" s="7"/>
      <c r="AA210" s="7" t="str">
        <f t="shared" si="21"/>
        <v/>
      </c>
      <c r="AB210" s="7"/>
      <c r="AC210" s="7"/>
      <c r="AQ210" s="7" t="str">
        <f t="shared" si="22"/>
        <v/>
      </c>
      <c r="AR210" s="7" t="str">
        <f t="shared" si="23"/>
        <v/>
      </c>
      <c r="AS210" s="7" t="str">
        <f t="shared" si="24"/>
        <v/>
      </c>
      <c r="AT210" s="7" t="str">
        <f t="shared" si="25"/>
        <v/>
      </c>
      <c r="AU210" s="7" t="str">
        <f t="shared" si="26"/>
        <v/>
      </c>
      <c r="AV210" s="7" t="str">
        <f t="shared" si="27"/>
        <v/>
      </c>
      <c r="AW210" s="7" t="str">
        <f>IF('RFQ-Input'!O209="","",'RFQ-Input'!O209)</f>
        <v/>
      </c>
      <c r="AX210" s="7" t="str">
        <f>IF('RFQ-Input'!S209="","",'RFQ-Input'!S209)</f>
        <v/>
      </c>
      <c r="AY210" s="7" t="str">
        <f>IF('RFQ-Input'!V209="","",'RFQ-Input'!V209)</f>
        <v/>
      </c>
      <c r="AZ210" s="7" t="str">
        <f>IF('RFQ-Input'!Y209="","",'RFQ-Input'!Y209)</f>
        <v/>
      </c>
      <c r="BA210" s="7" t="str">
        <f>IF('RFQ-Input'!AB209="","",'RFQ-Input'!AB209)</f>
        <v/>
      </c>
    </row>
    <row r="211" spans="1:53">
      <c r="A211" s="20">
        <v>207</v>
      </c>
      <c r="B211" s="7"/>
      <c r="C211" s="7" t="str">
        <f>IF('RFQ-Input'!C210="","",'RFQ-Input'!C210)</f>
        <v/>
      </c>
      <c r="D211" s="7" t="str">
        <f>IF('RFQ-Input'!D210="","",'RFQ-Input'!D210)</f>
        <v/>
      </c>
      <c r="E211" s="7" t="str">
        <f>IF('RFQ-Input'!E210="","",'RFQ-Input'!E210)</f>
        <v/>
      </c>
      <c r="F211" s="7" t="str">
        <f>IF('RFQ-Input'!F210="","",'RFQ-Input'!F210)</f>
        <v/>
      </c>
      <c r="G211" s="7" t="str">
        <f>IF('RFQ-Input'!G210="","",'RFQ-Input'!G210)</f>
        <v/>
      </c>
      <c r="H211" s="7" t="str">
        <f>IF('RFQ-Input'!H210="","",'RFQ-Input'!H210)</f>
        <v/>
      </c>
      <c r="I211" s="7" t="str">
        <f>IF('RFQ-Input'!I210="","",'RFQ-Input'!I210)</f>
        <v/>
      </c>
      <c r="J211" s="7" t="str">
        <f>IF('RFQ-Input'!J210="","",'RFQ-Input'!J210)</f>
        <v/>
      </c>
      <c r="K211" s="7" t="str">
        <f>IF('RFQ-Input'!K210="","",'RFQ-Input'!K210)</f>
        <v/>
      </c>
      <c r="L211" s="7" t="str">
        <f>IF('RFQ-Input'!L210="","",'RFQ-Input'!L210)</f>
        <v/>
      </c>
      <c r="M211" s="7" t="str">
        <f>IF('RFQ-Input'!M210="","",'RFQ-Input'!M210)</f>
        <v/>
      </c>
      <c r="N211" s="7" t="str">
        <f>IF('RFQ-Input'!N210="","",'RFQ-Input'!N210)</f>
        <v/>
      </c>
      <c r="O211" s="7" t="str">
        <f>IF('RFQ-Input'!O210="","",'RFQ-Input'!O210)</f>
        <v/>
      </c>
      <c r="Q211" s="7"/>
      <c r="R211" s="7"/>
      <c r="S211" s="7"/>
      <c r="T211" s="7"/>
      <c r="U211" s="7"/>
      <c r="V211" s="7"/>
      <c r="X211" s="7"/>
      <c r="Y211" s="7"/>
      <c r="Z211" s="7"/>
      <c r="AA211" s="7" t="str">
        <f t="shared" si="21"/>
        <v/>
      </c>
      <c r="AB211" s="7"/>
      <c r="AC211" s="7"/>
      <c r="AQ211" s="7" t="str">
        <f t="shared" si="22"/>
        <v/>
      </c>
      <c r="AR211" s="7" t="str">
        <f t="shared" si="23"/>
        <v/>
      </c>
      <c r="AS211" s="7" t="str">
        <f t="shared" si="24"/>
        <v/>
      </c>
      <c r="AT211" s="7" t="str">
        <f t="shared" si="25"/>
        <v/>
      </c>
      <c r="AU211" s="7" t="str">
        <f t="shared" si="26"/>
        <v/>
      </c>
      <c r="AV211" s="7" t="str">
        <f t="shared" si="27"/>
        <v/>
      </c>
      <c r="AW211" s="7" t="str">
        <f>IF('RFQ-Input'!O210="","",'RFQ-Input'!O210)</f>
        <v/>
      </c>
      <c r="AX211" s="7" t="str">
        <f>IF('RFQ-Input'!S210="","",'RFQ-Input'!S210)</f>
        <v/>
      </c>
      <c r="AY211" s="7" t="str">
        <f>IF('RFQ-Input'!V210="","",'RFQ-Input'!V210)</f>
        <v/>
      </c>
      <c r="AZ211" s="7" t="str">
        <f>IF('RFQ-Input'!Y210="","",'RFQ-Input'!Y210)</f>
        <v/>
      </c>
      <c r="BA211" s="7" t="str">
        <f>IF('RFQ-Input'!AB210="","",'RFQ-Input'!AB210)</f>
        <v/>
      </c>
    </row>
    <row r="212" spans="1:53">
      <c r="A212" s="20">
        <v>208</v>
      </c>
      <c r="B212" s="7"/>
      <c r="C212" s="7" t="str">
        <f>IF('RFQ-Input'!C211="","",'RFQ-Input'!C211)</f>
        <v/>
      </c>
      <c r="D212" s="7" t="str">
        <f>IF('RFQ-Input'!D211="","",'RFQ-Input'!D211)</f>
        <v/>
      </c>
      <c r="E212" s="7" t="str">
        <f>IF('RFQ-Input'!E211="","",'RFQ-Input'!E211)</f>
        <v/>
      </c>
      <c r="F212" s="7" t="str">
        <f>IF('RFQ-Input'!F211="","",'RFQ-Input'!F211)</f>
        <v/>
      </c>
      <c r="G212" s="7" t="str">
        <f>IF('RFQ-Input'!G211="","",'RFQ-Input'!G211)</f>
        <v/>
      </c>
      <c r="H212" s="7" t="str">
        <f>IF('RFQ-Input'!H211="","",'RFQ-Input'!H211)</f>
        <v/>
      </c>
      <c r="I212" s="7" t="str">
        <f>IF('RFQ-Input'!I211="","",'RFQ-Input'!I211)</f>
        <v/>
      </c>
      <c r="J212" s="7" t="str">
        <f>IF('RFQ-Input'!J211="","",'RFQ-Input'!J211)</f>
        <v/>
      </c>
      <c r="K212" s="7" t="str">
        <f>IF('RFQ-Input'!K211="","",'RFQ-Input'!K211)</f>
        <v/>
      </c>
      <c r="L212" s="7" t="str">
        <f>IF('RFQ-Input'!L211="","",'RFQ-Input'!L211)</f>
        <v/>
      </c>
      <c r="M212" s="7" t="str">
        <f>IF('RFQ-Input'!M211="","",'RFQ-Input'!M211)</f>
        <v/>
      </c>
      <c r="N212" s="7" t="str">
        <f>IF('RFQ-Input'!N211="","",'RFQ-Input'!N211)</f>
        <v/>
      </c>
      <c r="O212" s="7" t="str">
        <f>IF('RFQ-Input'!O211="","",'RFQ-Input'!O211)</f>
        <v/>
      </c>
      <c r="Q212" s="7"/>
      <c r="R212" s="7"/>
      <c r="S212" s="7"/>
      <c r="T212" s="7"/>
      <c r="U212" s="7"/>
      <c r="V212" s="7"/>
      <c r="X212" s="7"/>
      <c r="Y212" s="7"/>
      <c r="Z212" s="7"/>
      <c r="AA212" s="7" t="str">
        <f t="shared" si="21"/>
        <v/>
      </c>
      <c r="AB212" s="7"/>
      <c r="AC212" s="7"/>
      <c r="AQ212" s="7" t="str">
        <f t="shared" si="22"/>
        <v/>
      </c>
      <c r="AR212" s="7" t="str">
        <f t="shared" si="23"/>
        <v/>
      </c>
      <c r="AS212" s="7" t="str">
        <f t="shared" si="24"/>
        <v/>
      </c>
      <c r="AT212" s="7" t="str">
        <f t="shared" si="25"/>
        <v/>
      </c>
      <c r="AU212" s="7" t="str">
        <f t="shared" si="26"/>
        <v/>
      </c>
      <c r="AV212" s="7" t="str">
        <f t="shared" si="27"/>
        <v/>
      </c>
      <c r="AW212" s="7" t="str">
        <f>IF('RFQ-Input'!O211="","",'RFQ-Input'!O211)</f>
        <v/>
      </c>
      <c r="AX212" s="7" t="str">
        <f>IF('RFQ-Input'!S211="","",'RFQ-Input'!S211)</f>
        <v/>
      </c>
      <c r="AY212" s="7" t="str">
        <f>IF('RFQ-Input'!V211="","",'RFQ-Input'!V211)</f>
        <v/>
      </c>
      <c r="AZ212" s="7" t="str">
        <f>IF('RFQ-Input'!Y211="","",'RFQ-Input'!Y211)</f>
        <v/>
      </c>
      <c r="BA212" s="7" t="str">
        <f>IF('RFQ-Input'!AB211="","",'RFQ-Input'!AB211)</f>
        <v/>
      </c>
    </row>
    <row r="213" spans="1:53">
      <c r="A213" s="20">
        <v>209</v>
      </c>
      <c r="B213" s="7"/>
      <c r="C213" s="7" t="str">
        <f>IF('RFQ-Input'!C212="","",'RFQ-Input'!C212)</f>
        <v/>
      </c>
      <c r="D213" s="7" t="str">
        <f>IF('RFQ-Input'!D212="","",'RFQ-Input'!D212)</f>
        <v/>
      </c>
      <c r="E213" s="7" t="str">
        <f>IF('RFQ-Input'!E212="","",'RFQ-Input'!E212)</f>
        <v/>
      </c>
      <c r="F213" s="7" t="str">
        <f>IF('RFQ-Input'!F212="","",'RFQ-Input'!F212)</f>
        <v/>
      </c>
      <c r="G213" s="7" t="str">
        <f>IF('RFQ-Input'!G212="","",'RFQ-Input'!G212)</f>
        <v/>
      </c>
      <c r="H213" s="7" t="str">
        <f>IF('RFQ-Input'!H212="","",'RFQ-Input'!H212)</f>
        <v/>
      </c>
      <c r="I213" s="7" t="str">
        <f>IF('RFQ-Input'!I212="","",'RFQ-Input'!I212)</f>
        <v/>
      </c>
      <c r="J213" s="7" t="str">
        <f>IF('RFQ-Input'!J212="","",'RFQ-Input'!J212)</f>
        <v/>
      </c>
      <c r="K213" s="7" t="str">
        <f>IF('RFQ-Input'!K212="","",'RFQ-Input'!K212)</f>
        <v/>
      </c>
      <c r="L213" s="7" t="str">
        <f>IF('RFQ-Input'!L212="","",'RFQ-Input'!L212)</f>
        <v/>
      </c>
      <c r="M213" s="7" t="str">
        <f>IF('RFQ-Input'!M212="","",'RFQ-Input'!M212)</f>
        <v/>
      </c>
      <c r="N213" s="7" t="str">
        <f>IF('RFQ-Input'!N212="","",'RFQ-Input'!N212)</f>
        <v/>
      </c>
      <c r="O213" s="7" t="str">
        <f>IF('RFQ-Input'!O212="","",'RFQ-Input'!O212)</f>
        <v/>
      </c>
      <c r="Q213" s="7"/>
      <c r="R213" s="7"/>
      <c r="S213" s="7"/>
      <c r="T213" s="7"/>
      <c r="U213" s="7"/>
      <c r="V213" s="7"/>
      <c r="X213" s="7"/>
      <c r="Y213" s="7"/>
      <c r="Z213" s="7"/>
      <c r="AA213" s="7" t="str">
        <f t="shared" si="21"/>
        <v/>
      </c>
      <c r="AB213" s="7"/>
      <c r="AC213" s="7"/>
      <c r="AQ213" s="7" t="str">
        <f t="shared" si="22"/>
        <v/>
      </c>
      <c r="AR213" s="7" t="str">
        <f t="shared" si="23"/>
        <v/>
      </c>
      <c r="AS213" s="7" t="str">
        <f t="shared" si="24"/>
        <v/>
      </c>
      <c r="AT213" s="7" t="str">
        <f t="shared" si="25"/>
        <v/>
      </c>
      <c r="AU213" s="7" t="str">
        <f t="shared" si="26"/>
        <v/>
      </c>
      <c r="AV213" s="7" t="str">
        <f t="shared" si="27"/>
        <v/>
      </c>
      <c r="AW213" s="7" t="str">
        <f>IF('RFQ-Input'!O212="","",'RFQ-Input'!O212)</f>
        <v/>
      </c>
      <c r="AX213" s="7" t="str">
        <f>IF('RFQ-Input'!S212="","",'RFQ-Input'!S212)</f>
        <v/>
      </c>
      <c r="AY213" s="7" t="str">
        <f>IF('RFQ-Input'!V212="","",'RFQ-Input'!V212)</f>
        <v/>
      </c>
      <c r="AZ213" s="7" t="str">
        <f>IF('RFQ-Input'!Y212="","",'RFQ-Input'!Y212)</f>
        <v/>
      </c>
      <c r="BA213" s="7" t="str">
        <f>IF('RFQ-Input'!AB212="","",'RFQ-Input'!AB212)</f>
        <v/>
      </c>
    </row>
    <row r="214" spans="1:53">
      <c r="A214" s="20">
        <v>210</v>
      </c>
      <c r="B214" s="7"/>
      <c r="C214" s="7" t="str">
        <f>IF('RFQ-Input'!C213="","",'RFQ-Input'!C213)</f>
        <v/>
      </c>
      <c r="D214" s="7" t="str">
        <f>IF('RFQ-Input'!D213="","",'RFQ-Input'!D213)</f>
        <v/>
      </c>
      <c r="E214" s="7" t="str">
        <f>IF('RFQ-Input'!E213="","",'RFQ-Input'!E213)</f>
        <v/>
      </c>
      <c r="F214" s="7" t="str">
        <f>IF('RFQ-Input'!F213="","",'RFQ-Input'!F213)</f>
        <v/>
      </c>
      <c r="G214" s="7" t="str">
        <f>IF('RFQ-Input'!G213="","",'RFQ-Input'!G213)</f>
        <v/>
      </c>
      <c r="H214" s="7" t="str">
        <f>IF('RFQ-Input'!H213="","",'RFQ-Input'!H213)</f>
        <v/>
      </c>
      <c r="I214" s="7" t="str">
        <f>IF('RFQ-Input'!I213="","",'RFQ-Input'!I213)</f>
        <v/>
      </c>
      <c r="J214" s="7" t="str">
        <f>IF('RFQ-Input'!J213="","",'RFQ-Input'!J213)</f>
        <v/>
      </c>
      <c r="K214" s="7" t="str">
        <f>IF('RFQ-Input'!K213="","",'RFQ-Input'!K213)</f>
        <v/>
      </c>
      <c r="L214" s="7" t="str">
        <f>IF('RFQ-Input'!L213="","",'RFQ-Input'!L213)</f>
        <v/>
      </c>
      <c r="M214" s="7" t="str">
        <f>IF('RFQ-Input'!M213="","",'RFQ-Input'!M213)</f>
        <v/>
      </c>
      <c r="N214" s="7" t="str">
        <f>IF('RFQ-Input'!N213="","",'RFQ-Input'!N213)</f>
        <v/>
      </c>
      <c r="O214" s="7" t="str">
        <f>IF('RFQ-Input'!O213="","",'RFQ-Input'!O213)</f>
        <v/>
      </c>
      <c r="Q214" s="7"/>
      <c r="R214" s="7"/>
      <c r="S214" s="7"/>
      <c r="T214" s="7"/>
      <c r="U214" s="7"/>
      <c r="V214" s="7"/>
      <c r="X214" s="7"/>
      <c r="Y214" s="7"/>
      <c r="Z214" s="7"/>
      <c r="AA214" s="7" t="str">
        <f t="shared" si="21"/>
        <v/>
      </c>
      <c r="AB214" s="7"/>
      <c r="AC214" s="7"/>
      <c r="AQ214" s="7" t="str">
        <f t="shared" si="22"/>
        <v/>
      </c>
      <c r="AR214" s="7" t="str">
        <f t="shared" si="23"/>
        <v/>
      </c>
      <c r="AS214" s="7" t="str">
        <f t="shared" si="24"/>
        <v/>
      </c>
      <c r="AT214" s="7" t="str">
        <f t="shared" si="25"/>
        <v/>
      </c>
      <c r="AU214" s="7" t="str">
        <f t="shared" si="26"/>
        <v/>
      </c>
      <c r="AV214" s="7" t="str">
        <f t="shared" si="27"/>
        <v/>
      </c>
      <c r="AW214" s="7" t="str">
        <f>IF('RFQ-Input'!O213="","",'RFQ-Input'!O213)</f>
        <v/>
      </c>
      <c r="AX214" s="7" t="str">
        <f>IF('RFQ-Input'!S213="","",'RFQ-Input'!S213)</f>
        <v/>
      </c>
      <c r="AY214" s="7" t="str">
        <f>IF('RFQ-Input'!V213="","",'RFQ-Input'!V213)</f>
        <v/>
      </c>
      <c r="AZ214" s="7" t="str">
        <f>IF('RFQ-Input'!Y213="","",'RFQ-Input'!Y213)</f>
        <v/>
      </c>
      <c r="BA214" s="7" t="str">
        <f>IF('RFQ-Input'!AB213="","",'RFQ-Input'!AB213)</f>
        <v/>
      </c>
    </row>
    <row r="215" spans="1:53">
      <c r="A215" s="20">
        <v>211</v>
      </c>
      <c r="B215" s="7"/>
      <c r="C215" s="7" t="str">
        <f>IF('RFQ-Input'!C214="","",'RFQ-Input'!C214)</f>
        <v/>
      </c>
      <c r="D215" s="7" t="str">
        <f>IF('RFQ-Input'!D214="","",'RFQ-Input'!D214)</f>
        <v/>
      </c>
      <c r="E215" s="7" t="str">
        <f>IF('RFQ-Input'!E214="","",'RFQ-Input'!E214)</f>
        <v/>
      </c>
      <c r="F215" s="7" t="str">
        <f>IF('RFQ-Input'!F214="","",'RFQ-Input'!F214)</f>
        <v/>
      </c>
      <c r="G215" s="7" t="str">
        <f>IF('RFQ-Input'!G214="","",'RFQ-Input'!G214)</f>
        <v/>
      </c>
      <c r="H215" s="7" t="str">
        <f>IF('RFQ-Input'!H214="","",'RFQ-Input'!H214)</f>
        <v/>
      </c>
      <c r="I215" s="7" t="str">
        <f>IF('RFQ-Input'!I214="","",'RFQ-Input'!I214)</f>
        <v/>
      </c>
      <c r="J215" s="7" t="str">
        <f>IF('RFQ-Input'!J214="","",'RFQ-Input'!J214)</f>
        <v/>
      </c>
      <c r="K215" s="7" t="str">
        <f>IF('RFQ-Input'!K214="","",'RFQ-Input'!K214)</f>
        <v/>
      </c>
      <c r="L215" s="7" t="str">
        <f>IF('RFQ-Input'!L214="","",'RFQ-Input'!L214)</f>
        <v/>
      </c>
      <c r="M215" s="7" t="str">
        <f>IF('RFQ-Input'!M214="","",'RFQ-Input'!M214)</f>
        <v/>
      </c>
      <c r="N215" s="7" t="str">
        <f>IF('RFQ-Input'!N214="","",'RFQ-Input'!N214)</f>
        <v/>
      </c>
      <c r="O215" s="7" t="str">
        <f>IF('RFQ-Input'!O214="","",'RFQ-Input'!O214)</f>
        <v/>
      </c>
      <c r="Q215" s="7"/>
      <c r="R215" s="7"/>
      <c r="S215" s="7"/>
      <c r="T215" s="7"/>
      <c r="U215" s="7"/>
      <c r="V215" s="7"/>
      <c r="X215" s="7"/>
      <c r="Y215" s="7"/>
      <c r="Z215" s="7"/>
      <c r="AA215" s="7" t="str">
        <f t="shared" si="21"/>
        <v/>
      </c>
      <c r="AB215" s="7"/>
      <c r="AC215" s="7"/>
      <c r="AQ215" s="7" t="str">
        <f t="shared" si="22"/>
        <v/>
      </c>
      <c r="AR215" s="7" t="str">
        <f t="shared" si="23"/>
        <v/>
      </c>
      <c r="AS215" s="7" t="str">
        <f t="shared" si="24"/>
        <v/>
      </c>
      <c r="AT215" s="7" t="str">
        <f t="shared" si="25"/>
        <v/>
      </c>
      <c r="AU215" s="7" t="str">
        <f t="shared" si="26"/>
        <v/>
      </c>
      <c r="AV215" s="7" t="str">
        <f t="shared" si="27"/>
        <v/>
      </c>
      <c r="AW215" s="7" t="str">
        <f>IF('RFQ-Input'!O214="","",'RFQ-Input'!O214)</f>
        <v/>
      </c>
      <c r="AX215" s="7" t="str">
        <f>IF('RFQ-Input'!S214="","",'RFQ-Input'!S214)</f>
        <v/>
      </c>
      <c r="AY215" s="7" t="str">
        <f>IF('RFQ-Input'!V214="","",'RFQ-Input'!V214)</f>
        <v/>
      </c>
      <c r="AZ215" s="7" t="str">
        <f>IF('RFQ-Input'!Y214="","",'RFQ-Input'!Y214)</f>
        <v/>
      </c>
      <c r="BA215" s="7" t="str">
        <f>IF('RFQ-Input'!AB214="","",'RFQ-Input'!AB214)</f>
        <v/>
      </c>
    </row>
    <row r="216" spans="1:53">
      <c r="A216" s="20">
        <v>212</v>
      </c>
      <c r="B216" s="7"/>
      <c r="C216" s="7" t="str">
        <f>IF('RFQ-Input'!C215="","",'RFQ-Input'!C215)</f>
        <v/>
      </c>
      <c r="D216" s="7" t="str">
        <f>IF('RFQ-Input'!D215="","",'RFQ-Input'!D215)</f>
        <v/>
      </c>
      <c r="E216" s="7" t="str">
        <f>IF('RFQ-Input'!E215="","",'RFQ-Input'!E215)</f>
        <v/>
      </c>
      <c r="F216" s="7" t="str">
        <f>IF('RFQ-Input'!F215="","",'RFQ-Input'!F215)</f>
        <v/>
      </c>
      <c r="G216" s="7" t="str">
        <f>IF('RFQ-Input'!G215="","",'RFQ-Input'!G215)</f>
        <v/>
      </c>
      <c r="H216" s="7" t="str">
        <f>IF('RFQ-Input'!H215="","",'RFQ-Input'!H215)</f>
        <v/>
      </c>
      <c r="I216" s="7" t="str">
        <f>IF('RFQ-Input'!I215="","",'RFQ-Input'!I215)</f>
        <v/>
      </c>
      <c r="J216" s="7" t="str">
        <f>IF('RFQ-Input'!J215="","",'RFQ-Input'!J215)</f>
        <v/>
      </c>
      <c r="K216" s="7" t="str">
        <f>IF('RFQ-Input'!K215="","",'RFQ-Input'!K215)</f>
        <v/>
      </c>
      <c r="L216" s="7" t="str">
        <f>IF('RFQ-Input'!L215="","",'RFQ-Input'!L215)</f>
        <v/>
      </c>
      <c r="M216" s="7" t="str">
        <f>IF('RFQ-Input'!M215="","",'RFQ-Input'!M215)</f>
        <v/>
      </c>
      <c r="N216" s="7" t="str">
        <f>IF('RFQ-Input'!N215="","",'RFQ-Input'!N215)</f>
        <v/>
      </c>
      <c r="O216" s="7" t="str">
        <f>IF('RFQ-Input'!O215="","",'RFQ-Input'!O215)</f>
        <v/>
      </c>
      <c r="Q216" s="7"/>
      <c r="R216" s="7"/>
      <c r="S216" s="7"/>
      <c r="T216" s="7"/>
      <c r="U216" s="7"/>
      <c r="V216" s="7"/>
      <c r="X216" s="7"/>
      <c r="Y216" s="7"/>
      <c r="Z216" s="7"/>
      <c r="AA216" s="7" t="str">
        <f t="shared" si="21"/>
        <v/>
      </c>
      <c r="AB216" s="7"/>
      <c r="AC216" s="7"/>
      <c r="AQ216" s="7" t="str">
        <f t="shared" si="22"/>
        <v/>
      </c>
      <c r="AR216" s="7" t="str">
        <f t="shared" si="23"/>
        <v/>
      </c>
      <c r="AS216" s="7" t="str">
        <f t="shared" si="24"/>
        <v/>
      </c>
      <c r="AT216" s="7" t="str">
        <f t="shared" si="25"/>
        <v/>
      </c>
      <c r="AU216" s="7" t="str">
        <f t="shared" si="26"/>
        <v/>
      </c>
      <c r="AV216" s="7" t="str">
        <f t="shared" si="27"/>
        <v/>
      </c>
      <c r="AW216" s="7" t="str">
        <f>IF('RFQ-Input'!O215="","",'RFQ-Input'!O215)</f>
        <v/>
      </c>
      <c r="AX216" s="7" t="str">
        <f>IF('RFQ-Input'!S215="","",'RFQ-Input'!S215)</f>
        <v/>
      </c>
      <c r="AY216" s="7" t="str">
        <f>IF('RFQ-Input'!V215="","",'RFQ-Input'!V215)</f>
        <v/>
      </c>
      <c r="AZ216" s="7" t="str">
        <f>IF('RFQ-Input'!Y215="","",'RFQ-Input'!Y215)</f>
        <v/>
      </c>
      <c r="BA216" s="7" t="str">
        <f>IF('RFQ-Input'!AB215="","",'RFQ-Input'!AB215)</f>
        <v/>
      </c>
    </row>
    <row r="217" spans="1:53">
      <c r="A217" s="20">
        <v>213</v>
      </c>
      <c r="B217" s="7"/>
      <c r="C217" s="7" t="str">
        <f>IF('RFQ-Input'!C216="","",'RFQ-Input'!C216)</f>
        <v/>
      </c>
      <c r="D217" s="7" t="str">
        <f>IF('RFQ-Input'!D216="","",'RFQ-Input'!D216)</f>
        <v/>
      </c>
      <c r="E217" s="7" t="str">
        <f>IF('RFQ-Input'!E216="","",'RFQ-Input'!E216)</f>
        <v/>
      </c>
      <c r="F217" s="7" t="str">
        <f>IF('RFQ-Input'!F216="","",'RFQ-Input'!F216)</f>
        <v/>
      </c>
      <c r="G217" s="7" t="str">
        <f>IF('RFQ-Input'!G216="","",'RFQ-Input'!G216)</f>
        <v/>
      </c>
      <c r="H217" s="7" t="str">
        <f>IF('RFQ-Input'!H216="","",'RFQ-Input'!H216)</f>
        <v/>
      </c>
      <c r="I217" s="7" t="str">
        <f>IF('RFQ-Input'!I216="","",'RFQ-Input'!I216)</f>
        <v/>
      </c>
      <c r="J217" s="7" t="str">
        <f>IF('RFQ-Input'!J216="","",'RFQ-Input'!J216)</f>
        <v/>
      </c>
      <c r="K217" s="7" t="str">
        <f>IF('RFQ-Input'!K216="","",'RFQ-Input'!K216)</f>
        <v/>
      </c>
      <c r="L217" s="7" t="str">
        <f>IF('RFQ-Input'!L216="","",'RFQ-Input'!L216)</f>
        <v/>
      </c>
      <c r="M217" s="7" t="str">
        <f>IF('RFQ-Input'!M216="","",'RFQ-Input'!M216)</f>
        <v/>
      </c>
      <c r="N217" s="7" t="str">
        <f>IF('RFQ-Input'!N216="","",'RFQ-Input'!N216)</f>
        <v/>
      </c>
      <c r="O217" s="7" t="str">
        <f>IF('RFQ-Input'!O216="","",'RFQ-Input'!O216)</f>
        <v/>
      </c>
      <c r="Q217" s="7"/>
      <c r="R217" s="7"/>
      <c r="S217" s="7"/>
      <c r="T217" s="7"/>
      <c r="U217" s="7"/>
      <c r="V217" s="7"/>
      <c r="X217" s="7"/>
      <c r="Y217" s="7"/>
      <c r="Z217" s="7"/>
      <c r="AA217" s="7" t="str">
        <f t="shared" si="21"/>
        <v/>
      </c>
      <c r="AB217" s="7"/>
      <c r="AC217" s="7"/>
      <c r="AQ217" s="7" t="str">
        <f t="shared" si="22"/>
        <v/>
      </c>
      <c r="AR217" s="7" t="str">
        <f t="shared" si="23"/>
        <v/>
      </c>
      <c r="AS217" s="7" t="str">
        <f t="shared" si="24"/>
        <v/>
      </c>
      <c r="AT217" s="7" t="str">
        <f t="shared" si="25"/>
        <v/>
      </c>
      <c r="AU217" s="7" t="str">
        <f t="shared" si="26"/>
        <v/>
      </c>
      <c r="AV217" s="7" t="str">
        <f t="shared" si="27"/>
        <v/>
      </c>
      <c r="AW217" s="7" t="str">
        <f>IF('RFQ-Input'!O216="","",'RFQ-Input'!O216)</f>
        <v/>
      </c>
      <c r="AX217" s="7" t="str">
        <f>IF('RFQ-Input'!S216="","",'RFQ-Input'!S216)</f>
        <v/>
      </c>
      <c r="AY217" s="7" t="str">
        <f>IF('RFQ-Input'!V216="","",'RFQ-Input'!V216)</f>
        <v/>
      </c>
      <c r="AZ217" s="7" t="str">
        <f>IF('RFQ-Input'!Y216="","",'RFQ-Input'!Y216)</f>
        <v/>
      </c>
      <c r="BA217" s="7" t="str">
        <f>IF('RFQ-Input'!AB216="","",'RFQ-Input'!AB216)</f>
        <v/>
      </c>
    </row>
    <row r="218" spans="1:53">
      <c r="A218" s="20">
        <v>214</v>
      </c>
      <c r="B218" s="7"/>
      <c r="C218" s="7" t="str">
        <f>IF('RFQ-Input'!C217="","",'RFQ-Input'!C217)</f>
        <v/>
      </c>
      <c r="D218" s="7" t="str">
        <f>IF('RFQ-Input'!D217="","",'RFQ-Input'!D217)</f>
        <v/>
      </c>
      <c r="E218" s="7" t="str">
        <f>IF('RFQ-Input'!E217="","",'RFQ-Input'!E217)</f>
        <v/>
      </c>
      <c r="F218" s="7" t="str">
        <f>IF('RFQ-Input'!F217="","",'RFQ-Input'!F217)</f>
        <v/>
      </c>
      <c r="G218" s="7" t="str">
        <f>IF('RFQ-Input'!G217="","",'RFQ-Input'!G217)</f>
        <v/>
      </c>
      <c r="H218" s="7" t="str">
        <f>IF('RFQ-Input'!H217="","",'RFQ-Input'!H217)</f>
        <v/>
      </c>
      <c r="I218" s="7" t="str">
        <f>IF('RFQ-Input'!I217="","",'RFQ-Input'!I217)</f>
        <v/>
      </c>
      <c r="J218" s="7" t="str">
        <f>IF('RFQ-Input'!J217="","",'RFQ-Input'!J217)</f>
        <v/>
      </c>
      <c r="K218" s="7" t="str">
        <f>IF('RFQ-Input'!K217="","",'RFQ-Input'!K217)</f>
        <v/>
      </c>
      <c r="L218" s="7" t="str">
        <f>IF('RFQ-Input'!L217="","",'RFQ-Input'!L217)</f>
        <v/>
      </c>
      <c r="M218" s="7" t="str">
        <f>IF('RFQ-Input'!M217="","",'RFQ-Input'!M217)</f>
        <v/>
      </c>
      <c r="N218" s="7" t="str">
        <f>IF('RFQ-Input'!N217="","",'RFQ-Input'!N217)</f>
        <v/>
      </c>
      <c r="O218" s="7" t="str">
        <f>IF('RFQ-Input'!O217="","",'RFQ-Input'!O217)</f>
        <v/>
      </c>
      <c r="Q218" s="7"/>
      <c r="R218" s="7"/>
      <c r="S218" s="7"/>
      <c r="T218" s="7"/>
      <c r="U218" s="7"/>
      <c r="V218" s="7"/>
      <c r="X218" s="7"/>
      <c r="Y218" s="7"/>
      <c r="Z218" s="7"/>
      <c r="AA218" s="7" t="str">
        <f t="shared" si="21"/>
        <v/>
      </c>
      <c r="AB218" s="7"/>
      <c r="AC218" s="7"/>
      <c r="AQ218" s="7" t="str">
        <f t="shared" si="22"/>
        <v/>
      </c>
      <c r="AR218" s="7" t="str">
        <f t="shared" si="23"/>
        <v/>
      </c>
      <c r="AS218" s="7" t="str">
        <f t="shared" si="24"/>
        <v/>
      </c>
      <c r="AT218" s="7" t="str">
        <f t="shared" si="25"/>
        <v/>
      </c>
      <c r="AU218" s="7" t="str">
        <f t="shared" si="26"/>
        <v/>
      </c>
      <c r="AV218" s="7" t="str">
        <f t="shared" si="27"/>
        <v/>
      </c>
      <c r="AW218" s="7" t="str">
        <f>IF('RFQ-Input'!O217="","",'RFQ-Input'!O217)</f>
        <v/>
      </c>
      <c r="AX218" s="7" t="str">
        <f>IF('RFQ-Input'!S217="","",'RFQ-Input'!S217)</f>
        <v/>
      </c>
      <c r="AY218" s="7" t="str">
        <f>IF('RFQ-Input'!V217="","",'RFQ-Input'!V217)</f>
        <v/>
      </c>
      <c r="AZ218" s="7" t="str">
        <f>IF('RFQ-Input'!Y217="","",'RFQ-Input'!Y217)</f>
        <v/>
      </c>
      <c r="BA218" s="7" t="str">
        <f>IF('RFQ-Input'!AB217="","",'RFQ-Input'!AB217)</f>
        <v/>
      </c>
    </row>
    <row r="219" spans="1:53">
      <c r="A219" s="20">
        <v>215</v>
      </c>
      <c r="B219" s="7"/>
      <c r="C219" s="7" t="str">
        <f>IF('RFQ-Input'!C218="","",'RFQ-Input'!C218)</f>
        <v/>
      </c>
      <c r="D219" s="7" t="str">
        <f>IF('RFQ-Input'!D218="","",'RFQ-Input'!D218)</f>
        <v/>
      </c>
      <c r="E219" s="7" t="str">
        <f>IF('RFQ-Input'!E218="","",'RFQ-Input'!E218)</f>
        <v/>
      </c>
      <c r="F219" s="7" t="str">
        <f>IF('RFQ-Input'!F218="","",'RFQ-Input'!F218)</f>
        <v/>
      </c>
      <c r="G219" s="7" t="str">
        <f>IF('RFQ-Input'!G218="","",'RFQ-Input'!G218)</f>
        <v/>
      </c>
      <c r="H219" s="7" t="str">
        <f>IF('RFQ-Input'!H218="","",'RFQ-Input'!H218)</f>
        <v/>
      </c>
      <c r="I219" s="7" t="str">
        <f>IF('RFQ-Input'!I218="","",'RFQ-Input'!I218)</f>
        <v/>
      </c>
      <c r="J219" s="7" t="str">
        <f>IF('RFQ-Input'!J218="","",'RFQ-Input'!J218)</f>
        <v/>
      </c>
      <c r="K219" s="7" t="str">
        <f>IF('RFQ-Input'!K218="","",'RFQ-Input'!K218)</f>
        <v/>
      </c>
      <c r="L219" s="7" t="str">
        <f>IF('RFQ-Input'!L218="","",'RFQ-Input'!L218)</f>
        <v/>
      </c>
      <c r="M219" s="7" t="str">
        <f>IF('RFQ-Input'!M218="","",'RFQ-Input'!M218)</f>
        <v/>
      </c>
      <c r="N219" s="7" t="str">
        <f>IF('RFQ-Input'!N218="","",'RFQ-Input'!N218)</f>
        <v/>
      </c>
      <c r="O219" s="7" t="str">
        <f>IF('RFQ-Input'!O218="","",'RFQ-Input'!O218)</f>
        <v/>
      </c>
      <c r="Q219" s="7"/>
      <c r="R219" s="7"/>
      <c r="S219" s="7"/>
      <c r="T219" s="7"/>
      <c r="U219" s="7"/>
      <c r="V219" s="7"/>
      <c r="X219" s="7"/>
      <c r="Y219" s="7"/>
      <c r="Z219" s="7"/>
      <c r="AA219" s="7" t="str">
        <f t="shared" si="21"/>
        <v/>
      </c>
      <c r="AB219" s="7"/>
      <c r="AC219" s="7"/>
      <c r="AQ219" s="7" t="str">
        <f t="shared" si="22"/>
        <v/>
      </c>
      <c r="AR219" s="7" t="str">
        <f t="shared" si="23"/>
        <v/>
      </c>
      <c r="AS219" s="7" t="str">
        <f t="shared" si="24"/>
        <v/>
      </c>
      <c r="AT219" s="7" t="str">
        <f t="shared" si="25"/>
        <v/>
      </c>
      <c r="AU219" s="7" t="str">
        <f t="shared" si="26"/>
        <v/>
      </c>
      <c r="AV219" s="7" t="str">
        <f t="shared" si="27"/>
        <v/>
      </c>
      <c r="AW219" s="7" t="str">
        <f>IF('RFQ-Input'!O218="","",'RFQ-Input'!O218)</f>
        <v/>
      </c>
      <c r="AX219" s="7" t="str">
        <f>IF('RFQ-Input'!S218="","",'RFQ-Input'!S218)</f>
        <v/>
      </c>
      <c r="AY219" s="7" t="str">
        <f>IF('RFQ-Input'!V218="","",'RFQ-Input'!V218)</f>
        <v/>
      </c>
      <c r="AZ219" s="7" t="str">
        <f>IF('RFQ-Input'!Y218="","",'RFQ-Input'!Y218)</f>
        <v/>
      </c>
      <c r="BA219" s="7" t="str">
        <f>IF('RFQ-Input'!AB218="","",'RFQ-Input'!AB218)</f>
        <v/>
      </c>
    </row>
    <row r="220" spans="1:53">
      <c r="A220" s="20">
        <v>216</v>
      </c>
      <c r="B220" s="7"/>
      <c r="C220" s="7" t="str">
        <f>IF('RFQ-Input'!C219="","",'RFQ-Input'!C219)</f>
        <v/>
      </c>
      <c r="D220" s="7" t="str">
        <f>IF('RFQ-Input'!D219="","",'RFQ-Input'!D219)</f>
        <v/>
      </c>
      <c r="E220" s="7" t="str">
        <f>IF('RFQ-Input'!E219="","",'RFQ-Input'!E219)</f>
        <v/>
      </c>
      <c r="F220" s="7" t="str">
        <f>IF('RFQ-Input'!F219="","",'RFQ-Input'!F219)</f>
        <v/>
      </c>
      <c r="G220" s="7" t="str">
        <f>IF('RFQ-Input'!G219="","",'RFQ-Input'!G219)</f>
        <v/>
      </c>
      <c r="H220" s="7" t="str">
        <f>IF('RFQ-Input'!H219="","",'RFQ-Input'!H219)</f>
        <v/>
      </c>
      <c r="I220" s="7" t="str">
        <f>IF('RFQ-Input'!I219="","",'RFQ-Input'!I219)</f>
        <v/>
      </c>
      <c r="J220" s="7" t="str">
        <f>IF('RFQ-Input'!J219="","",'RFQ-Input'!J219)</f>
        <v/>
      </c>
      <c r="K220" s="7" t="str">
        <f>IF('RFQ-Input'!K219="","",'RFQ-Input'!K219)</f>
        <v/>
      </c>
      <c r="L220" s="7" t="str">
        <f>IF('RFQ-Input'!L219="","",'RFQ-Input'!L219)</f>
        <v/>
      </c>
      <c r="M220" s="7" t="str">
        <f>IF('RFQ-Input'!M219="","",'RFQ-Input'!M219)</f>
        <v/>
      </c>
      <c r="N220" s="7" t="str">
        <f>IF('RFQ-Input'!N219="","",'RFQ-Input'!N219)</f>
        <v/>
      </c>
      <c r="O220" s="7" t="str">
        <f>IF('RFQ-Input'!O219="","",'RFQ-Input'!O219)</f>
        <v/>
      </c>
      <c r="Q220" s="7"/>
      <c r="R220" s="7"/>
      <c r="S220" s="7"/>
      <c r="T220" s="7"/>
      <c r="U220" s="7"/>
      <c r="V220" s="7"/>
      <c r="X220" s="7"/>
      <c r="Y220" s="7"/>
      <c r="Z220" s="7"/>
      <c r="AA220" s="7" t="str">
        <f t="shared" si="21"/>
        <v/>
      </c>
      <c r="AB220" s="7"/>
      <c r="AC220" s="7"/>
      <c r="AQ220" s="7" t="str">
        <f t="shared" si="22"/>
        <v/>
      </c>
      <c r="AR220" s="7" t="str">
        <f t="shared" si="23"/>
        <v/>
      </c>
      <c r="AS220" s="7" t="str">
        <f t="shared" si="24"/>
        <v/>
      </c>
      <c r="AT220" s="7" t="str">
        <f t="shared" si="25"/>
        <v/>
      </c>
      <c r="AU220" s="7" t="str">
        <f t="shared" si="26"/>
        <v/>
      </c>
      <c r="AV220" s="7" t="str">
        <f t="shared" si="27"/>
        <v/>
      </c>
      <c r="AW220" s="7" t="str">
        <f>IF('RFQ-Input'!O219="","",'RFQ-Input'!O219)</f>
        <v/>
      </c>
      <c r="AX220" s="7" t="str">
        <f>IF('RFQ-Input'!S219="","",'RFQ-Input'!S219)</f>
        <v/>
      </c>
      <c r="AY220" s="7" t="str">
        <f>IF('RFQ-Input'!V219="","",'RFQ-Input'!V219)</f>
        <v/>
      </c>
      <c r="AZ220" s="7" t="str">
        <f>IF('RFQ-Input'!Y219="","",'RFQ-Input'!Y219)</f>
        <v/>
      </c>
      <c r="BA220" s="7" t="str">
        <f>IF('RFQ-Input'!AB219="","",'RFQ-Input'!AB219)</f>
        <v/>
      </c>
    </row>
    <row r="221" spans="1:53">
      <c r="A221" s="20">
        <v>217</v>
      </c>
      <c r="B221" s="7"/>
      <c r="C221" s="7" t="str">
        <f>IF('RFQ-Input'!C220="","",'RFQ-Input'!C220)</f>
        <v/>
      </c>
      <c r="D221" s="7" t="str">
        <f>IF('RFQ-Input'!D220="","",'RFQ-Input'!D220)</f>
        <v/>
      </c>
      <c r="E221" s="7" t="str">
        <f>IF('RFQ-Input'!E220="","",'RFQ-Input'!E220)</f>
        <v/>
      </c>
      <c r="F221" s="7" t="str">
        <f>IF('RFQ-Input'!F220="","",'RFQ-Input'!F220)</f>
        <v/>
      </c>
      <c r="G221" s="7" t="str">
        <f>IF('RFQ-Input'!G220="","",'RFQ-Input'!G220)</f>
        <v/>
      </c>
      <c r="H221" s="7" t="str">
        <f>IF('RFQ-Input'!H220="","",'RFQ-Input'!H220)</f>
        <v/>
      </c>
      <c r="I221" s="7" t="str">
        <f>IF('RFQ-Input'!I220="","",'RFQ-Input'!I220)</f>
        <v/>
      </c>
      <c r="J221" s="7" t="str">
        <f>IF('RFQ-Input'!J220="","",'RFQ-Input'!J220)</f>
        <v/>
      </c>
      <c r="K221" s="7" t="str">
        <f>IF('RFQ-Input'!K220="","",'RFQ-Input'!K220)</f>
        <v/>
      </c>
      <c r="L221" s="7" t="str">
        <f>IF('RFQ-Input'!L220="","",'RFQ-Input'!L220)</f>
        <v/>
      </c>
      <c r="M221" s="7" t="str">
        <f>IF('RFQ-Input'!M220="","",'RFQ-Input'!M220)</f>
        <v/>
      </c>
      <c r="N221" s="7" t="str">
        <f>IF('RFQ-Input'!N220="","",'RFQ-Input'!N220)</f>
        <v/>
      </c>
      <c r="O221" s="7" t="str">
        <f>IF('RFQ-Input'!O220="","",'RFQ-Input'!O220)</f>
        <v/>
      </c>
      <c r="Q221" s="7"/>
      <c r="R221" s="7"/>
      <c r="S221" s="7"/>
      <c r="T221" s="7"/>
      <c r="U221" s="7"/>
      <c r="V221" s="7"/>
      <c r="X221" s="7"/>
      <c r="Y221" s="7"/>
      <c r="Z221" s="7"/>
      <c r="AA221" s="7" t="str">
        <f t="shared" si="21"/>
        <v/>
      </c>
      <c r="AB221" s="7"/>
      <c r="AC221" s="7"/>
      <c r="AQ221" s="7" t="str">
        <f t="shared" si="22"/>
        <v/>
      </c>
      <c r="AR221" s="7" t="str">
        <f t="shared" si="23"/>
        <v/>
      </c>
      <c r="AS221" s="7" t="str">
        <f t="shared" si="24"/>
        <v/>
      </c>
      <c r="AT221" s="7" t="str">
        <f t="shared" si="25"/>
        <v/>
      </c>
      <c r="AU221" s="7" t="str">
        <f t="shared" si="26"/>
        <v/>
      </c>
      <c r="AV221" s="7" t="str">
        <f t="shared" si="27"/>
        <v/>
      </c>
      <c r="AW221" s="7" t="str">
        <f>IF('RFQ-Input'!O220="","",'RFQ-Input'!O220)</f>
        <v/>
      </c>
      <c r="AX221" s="7" t="str">
        <f>IF('RFQ-Input'!S220="","",'RFQ-Input'!S220)</f>
        <v/>
      </c>
      <c r="AY221" s="7" t="str">
        <f>IF('RFQ-Input'!V220="","",'RFQ-Input'!V220)</f>
        <v/>
      </c>
      <c r="AZ221" s="7" t="str">
        <f>IF('RFQ-Input'!Y220="","",'RFQ-Input'!Y220)</f>
        <v/>
      </c>
      <c r="BA221" s="7" t="str">
        <f>IF('RFQ-Input'!AB220="","",'RFQ-Input'!AB220)</f>
        <v/>
      </c>
    </row>
    <row r="222" spans="1:53">
      <c r="A222" s="20">
        <v>218</v>
      </c>
      <c r="B222" s="7"/>
      <c r="C222" s="7" t="str">
        <f>IF('RFQ-Input'!C221="","",'RFQ-Input'!C221)</f>
        <v/>
      </c>
      <c r="D222" s="7" t="str">
        <f>IF('RFQ-Input'!D221="","",'RFQ-Input'!D221)</f>
        <v/>
      </c>
      <c r="E222" s="7" t="str">
        <f>IF('RFQ-Input'!E221="","",'RFQ-Input'!E221)</f>
        <v/>
      </c>
      <c r="F222" s="7" t="str">
        <f>IF('RFQ-Input'!F221="","",'RFQ-Input'!F221)</f>
        <v/>
      </c>
      <c r="G222" s="7" t="str">
        <f>IF('RFQ-Input'!G221="","",'RFQ-Input'!G221)</f>
        <v/>
      </c>
      <c r="H222" s="7" t="str">
        <f>IF('RFQ-Input'!H221="","",'RFQ-Input'!H221)</f>
        <v/>
      </c>
      <c r="I222" s="7" t="str">
        <f>IF('RFQ-Input'!I221="","",'RFQ-Input'!I221)</f>
        <v/>
      </c>
      <c r="J222" s="7" t="str">
        <f>IF('RFQ-Input'!J221="","",'RFQ-Input'!J221)</f>
        <v/>
      </c>
      <c r="K222" s="7" t="str">
        <f>IF('RFQ-Input'!K221="","",'RFQ-Input'!K221)</f>
        <v/>
      </c>
      <c r="L222" s="7" t="str">
        <f>IF('RFQ-Input'!L221="","",'RFQ-Input'!L221)</f>
        <v/>
      </c>
      <c r="M222" s="7" t="str">
        <f>IF('RFQ-Input'!M221="","",'RFQ-Input'!M221)</f>
        <v/>
      </c>
      <c r="N222" s="7" t="str">
        <f>IF('RFQ-Input'!N221="","",'RFQ-Input'!N221)</f>
        <v/>
      </c>
      <c r="O222" s="7" t="str">
        <f>IF('RFQ-Input'!O221="","",'RFQ-Input'!O221)</f>
        <v/>
      </c>
      <c r="Q222" s="7"/>
      <c r="R222" s="7"/>
      <c r="S222" s="7"/>
      <c r="T222" s="7"/>
      <c r="U222" s="7"/>
      <c r="V222" s="7"/>
      <c r="X222" s="7"/>
      <c r="Y222" s="7"/>
      <c r="Z222" s="7"/>
      <c r="AA222" s="7" t="str">
        <f t="shared" si="21"/>
        <v/>
      </c>
      <c r="AB222" s="7"/>
      <c r="AC222" s="7"/>
      <c r="AQ222" s="7" t="str">
        <f t="shared" si="22"/>
        <v/>
      </c>
      <c r="AR222" s="7" t="str">
        <f t="shared" si="23"/>
        <v/>
      </c>
      <c r="AS222" s="7" t="str">
        <f t="shared" si="24"/>
        <v/>
      </c>
      <c r="AT222" s="7" t="str">
        <f t="shared" si="25"/>
        <v/>
      </c>
      <c r="AU222" s="7" t="str">
        <f t="shared" si="26"/>
        <v/>
      </c>
      <c r="AV222" s="7" t="str">
        <f t="shared" si="27"/>
        <v/>
      </c>
      <c r="AW222" s="7" t="str">
        <f>IF('RFQ-Input'!O221="","",'RFQ-Input'!O221)</f>
        <v/>
      </c>
      <c r="AX222" s="7" t="str">
        <f>IF('RFQ-Input'!S221="","",'RFQ-Input'!S221)</f>
        <v/>
      </c>
      <c r="AY222" s="7" t="str">
        <f>IF('RFQ-Input'!V221="","",'RFQ-Input'!V221)</f>
        <v/>
      </c>
      <c r="AZ222" s="7" t="str">
        <f>IF('RFQ-Input'!Y221="","",'RFQ-Input'!Y221)</f>
        <v/>
      </c>
      <c r="BA222" s="7" t="str">
        <f>IF('RFQ-Input'!AB221="","",'RFQ-Input'!AB221)</f>
        <v/>
      </c>
    </row>
    <row r="223" spans="1:53">
      <c r="A223" s="20">
        <v>219</v>
      </c>
      <c r="B223" s="7"/>
      <c r="C223" s="7" t="str">
        <f>IF('RFQ-Input'!C222="","",'RFQ-Input'!C222)</f>
        <v/>
      </c>
      <c r="D223" s="7" t="str">
        <f>IF('RFQ-Input'!D222="","",'RFQ-Input'!D222)</f>
        <v/>
      </c>
      <c r="E223" s="7" t="str">
        <f>IF('RFQ-Input'!E222="","",'RFQ-Input'!E222)</f>
        <v/>
      </c>
      <c r="F223" s="7" t="str">
        <f>IF('RFQ-Input'!F222="","",'RFQ-Input'!F222)</f>
        <v/>
      </c>
      <c r="G223" s="7" t="str">
        <f>IF('RFQ-Input'!G222="","",'RFQ-Input'!G222)</f>
        <v/>
      </c>
      <c r="H223" s="7" t="str">
        <f>IF('RFQ-Input'!H222="","",'RFQ-Input'!H222)</f>
        <v/>
      </c>
      <c r="I223" s="7" t="str">
        <f>IF('RFQ-Input'!I222="","",'RFQ-Input'!I222)</f>
        <v/>
      </c>
      <c r="J223" s="7" t="str">
        <f>IF('RFQ-Input'!J222="","",'RFQ-Input'!J222)</f>
        <v/>
      </c>
      <c r="K223" s="7" t="str">
        <f>IF('RFQ-Input'!K222="","",'RFQ-Input'!K222)</f>
        <v/>
      </c>
      <c r="L223" s="7" t="str">
        <f>IF('RFQ-Input'!L222="","",'RFQ-Input'!L222)</f>
        <v/>
      </c>
      <c r="M223" s="7" t="str">
        <f>IF('RFQ-Input'!M222="","",'RFQ-Input'!M222)</f>
        <v/>
      </c>
      <c r="N223" s="7" t="str">
        <f>IF('RFQ-Input'!N222="","",'RFQ-Input'!N222)</f>
        <v/>
      </c>
      <c r="O223" s="7" t="str">
        <f>IF('RFQ-Input'!O222="","",'RFQ-Input'!O222)</f>
        <v/>
      </c>
      <c r="Q223" s="7"/>
      <c r="R223" s="7"/>
      <c r="S223" s="7"/>
      <c r="T223" s="7"/>
      <c r="U223" s="7"/>
      <c r="V223" s="7"/>
      <c r="X223" s="7"/>
      <c r="Y223" s="7"/>
      <c r="Z223" s="7"/>
      <c r="AA223" s="7" t="str">
        <f t="shared" si="21"/>
        <v/>
      </c>
      <c r="AB223" s="7"/>
      <c r="AC223" s="7"/>
      <c r="AQ223" s="7" t="str">
        <f t="shared" si="22"/>
        <v/>
      </c>
      <c r="AR223" s="7" t="str">
        <f t="shared" si="23"/>
        <v/>
      </c>
      <c r="AS223" s="7" t="str">
        <f t="shared" si="24"/>
        <v/>
      </c>
      <c r="AT223" s="7" t="str">
        <f t="shared" si="25"/>
        <v/>
      </c>
      <c r="AU223" s="7" t="str">
        <f t="shared" si="26"/>
        <v/>
      </c>
      <c r="AV223" s="7" t="str">
        <f t="shared" si="27"/>
        <v/>
      </c>
      <c r="AW223" s="7" t="str">
        <f>IF('RFQ-Input'!O222="","",'RFQ-Input'!O222)</f>
        <v/>
      </c>
      <c r="AX223" s="7" t="str">
        <f>IF('RFQ-Input'!S222="","",'RFQ-Input'!S222)</f>
        <v/>
      </c>
      <c r="AY223" s="7" t="str">
        <f>IF('RFQ-Input'!V222="","",'RFQ-Input'!V222)</f>
        <v/>
      </c>
      <c r="AZ223" s="7" t="str">
        <f>IF('RFQ-Input'!Y222="","",'RFQ-Input'!Y222)</f>
        <v/>
      </c>
      <c r="BA223" s="7" t="str">
        <f>IF('RFQ-Input'!AB222="","",'RFQ-Input'!AB222)</f>
        <v/>
      </c>
    </row>
    <row r="224" spans="1:53">
      <c r="A224" s="20">
        <v>220</v>
      </c>
      <c r="B224" s="7"/>
      <c r="C224" s="7" t="str">
        <f>IF('RFQ-Input'!C223="","",'RFQ-Input'!C223)</f>
        <v/>
      </c>
      <c r="D224" s="7" t="str">
        <f>IF('RFQ-Input'!D223="","",'RFQ-Input'!D223)</f>
        <v/>
      </c>
      <c r="E224" s="7" t="str">
        <f>IF('RFQ-Input'!E223="","",'RFQ-Input'!E223)</f>
        <v/>
      </c>
      <c r="F224" s="7" t="str">
        <f>IF('RFQ-Input'!F223="","",'RFQ-Input'!F223)</f>
        <v/>
      </c>
      <c r="G224" s="7" t="str">
        <f>IF('RFQ-Input'!G223="","",'RFQ-Input'!G223)</f>
        <v/>
      </c>
      <c r="H224" s="7" t="str">
        <f>IF('RFQ-Input'!H223="","",'RFQ-Input'!H223)</f>
        <v/>
      </c>
      <c r="I224" s="7" t="str">
        <f>IF('RFQ-Input'!I223="","",'RFQ-Input'!I223)</f>
        <v/>
      </c>
      <c r="J224" s="7" t="str">
        <f>IF('RFQ-Input'!J223="","",'RFQ-Input'!J223)</f>
        <v/>
      </c>
      <c r="K224" s="7" t="str">
        <f>IF('RFQ-Input'!K223="","",'RFQ-Input'!K223)</f>
        <v/>
      </c>
      <c r="L224" s="7" t="str">
        <f>IF('RFQ-Input'!L223="","",'RFQ-Input'!L223)</f>
        <v/>
      </c>
      <c r="M224" s="7" t="str">
        <f>IF('RFQ-Input'!M223="","",'RFQ-Input'!M223)</f>
        <v/>
      </c>
      <c r="N224" s="7" t="str">
        <f>IF('RFQ-Input'!N223="","",'RFQ-Input'!N223)</f>
        <v/>
      </c>
      <c r="O224" s="7" t="str">
        <f>IF('RFQ-Input'!O223="","",'RFQ-Input'!O223)</f>
        <v/>
      </c>
      <c r="Q224" s="7"/>
      <c r="R224" s="7"/>
      <c r="S224" s="7"/>
      <c r="T224" s="7"/>
      <c r="U224" s="7"/>
      <c r="V224" s="7"/>
      <c r="X224" s="7"/>
      <c r="Y224" s="7"/>
      <c r="Z224" s="7"/>
      <c r="AA224" s="7" t="str">
        <f t="shared" si="21"/>
        <v/>
      </c>
      <c r="AB224" s="7"/>
      <c r="AC224" s="7"/>
      <c r="AQ224" s="7" t="str">
        <f t="shared" si="22"/>
        <v/>
      </c>
      <c r="AR224" s="7" t="str">
        <f t="shared" si="23"/>
        <v/>
      </c>
      <c r="AS224" s="7" t="str">
        <f t="shared" si="24"/>
        <v/>
      </c>
      <c r="AT224" s="7" t="str">
        <f t="shared" si="25"/>
        <v/>
      </c>
      <c r="AU224" s="7" t="str">
        <f t="shared" si="26"/>
        <v/>
      </c>
      <c r="AV224" s="7" t="str">
        <f t="shared" si="27"/>
        <v/>
      </c>
      <c r="AW224" s="7" t="str">
        <f>IF('RFQ-Input'!O223="","",'RFQ-Input'!O223)</f>
        <v/>
      </c>
      <c r="AX224" s="7" t="str">
        <f>IF('RFQ-Input'!S223="","",'RFQ-Input'!S223)</f>
        <v/>
      </c>
      <c r="AY224" s="7" t="str">
        <f>IF('RFQ-Input'!V223="","",'RFQ-Input'!V223)</f>
        <v/>
      </c>
      <c r="AZ224" s="7" t="str">
        <f>IF('RFQ-Input'!Y223="","",'RFQ-Input'!Y223)</f>
        <v/>
      </c>
      <c r="BA224" s="7" t="str">
        <f>IF('RFQ-Input'!AB223="","",'RFQ-Input'!AB223)</f>
        <v/>
      </c>
    </row>
    <row r="225" spans="1:53">
      <c r="A225" s="20">
        <v>221</v>
      </c>
      <c r="B225" s="7"/>
      <c r="C225" s="7" t="str">
        <f>IF('RFQ-Input'!C224="","",'RFQ-Input'!C224)</f>
        <v/>
      </c>
      <c r="D225" s="7" t="str">
        <f>IF('RFQ-Input'!D224="","",'RFQ-Input'!D224)</f>
        <v/>
      </c>
      <c r="E225" s="7" t="str">
        <f>IF('RFQ-Input'!E224="","",'RFQ-Input'!E224)</f>
        <v/>
      </c>
      <c r="F225" s="7" t="str">
        <f>IF('RFQ-Input'!F224="","",'RFQ-Input'!F224)</f>
        <v/>
      </c>
      <c r="G225" s="7" t="str">
        <f>IF('RFQ-Input'!G224="","",'RFQ-Input'!G224)</f>
        <v/>
      </c>
      <c r="H225" s="7" t="str">
        <f>IF('RFQ-Input'!H224="","",'RFQ-Input'!H224)</f>
        <v/>
      </c>
      <c r="I225" s="7" t="str">
        <f>IF('RFQ-Input'!I224="","",'RFQ-Input'!I224)</f>
        <v/>
      </c>
      <c r="J225" s="7" t="str">
        <f>IF('RFQ-Input'!J224="","",'RFQ-Input'!J224)</f>
        <v/>
      </c>
      <c r="K225" s="7" t="str">
        <f>IF('RFQ-Input'!K224="","",'RFQ-Input'!K224)</f>
        <v/>
      </c>
      <c r="L225" s="7" t="str">
        <f>IF('RFQ-Input'!L224="","",'RFQ-Input'!L224)</f>
        <v/>
      </c>
      <c r="M225" s="7" t="str">
        <f>IF('RFQ-Input'!M224="","",'RFQ-Input'!M224)</f>
        <v/>
      </c>
      <c r="N225" s="7" t="str">
        <f>IF('RFQ-Input'!N224="","",'RFQ-Input'!N224)</f>
        <v/>
      </c>
      <c r="O225" s="7" t="str">
        <f>IF('RFQ-Input'!O224="","",'RFQ-Input'!O224)</f>
        <v/>
      </c>
      <c r="Q225" s="7"/>
      <c r="R225" s="7"/>
      <c r="S225" s="7"/>
      <c r="T225" s="7"/>
      <c r="U225" s="7"/>
      <c r="V225" s="7"/>
      <c r="X225" s="7"/>
      <c r="Y225" s="7"/>
      <c r="Z225" s="7"/>
      <c r="AA225" s="7" t="str">
        <f t="shared" si="21"/>
        <v/>
      </c>
      <c r="AB225" s="7"/>
      <c r="AC225" s="7"/>
      <c r="AQ225" s="7" t="str">
        <f t="shared" si="22"/>
        <v/>
      </c>
      <c r="AR225" s="7" t="str">
        <f t="shared" si="23"/>
        <v/>
      </c>
      <c r="AS225" s="7" t="str">
        <f t="shared" si="24"/>
        <v/>
      </c>
      <c r="AT225" s="7" t="str">
        <f t="shared" si="25"/>
        <v/>
      </c>
      <c r="AU225" s="7" t="str">
        <f t="shared" si="26"/>
        <v/>
      </c>
      <c r="AV225" s="7" t="str">
        <f t="shared" si="27"/>
        <v/>
      </c>
      <c r="AW225" s="7" t="str">
        <f>IF('RFQ-Input'!O224="","",'RFQ-Input'!O224)</f>
        <v/>
      </c>
      <c r="AX225" s="7" t="str">
        <f>IF('RFQ-Input'!S224="","",'RFQ-Input'!S224)</f>
        <v/>
      </c>
      <c r="AY225" s="7" t="str">
        <f>IF('RFQ-Input'!V224="","",'RFQ-Input'!V224)</f>
        <v/>
      </c>
      <c r="AZ225" s="7" t="str">
        <f>IF('RFQ-Input'!Y224="","",'RFQ-Input'!Y224)</f>
        <v/>
      </c>
      <c r="BA225" s="7" t="str">
        <f>IF('RFQ-Input'!AB224="","",'RFQ-Input'!AB224)</f>
        <v/>
      </c>
    </row>
    <row r="226" spans="1:53">
      <c r="A226" s="20">
        <v>222</v>
      </c>
      <c r="B226" s="7"/>
      <c r="C226" s="7" t="str">
        <f>IF('RFQ-Input'!C225="","",'RFQ-Input'!C225)</f>
        <v/>
      </c>
      <c r="D226" s="7" t="str">
        <f>IF('RFQ-Input'!D225="","",'RFQ-Input'!D225)</f>
        <v/>
      </c>
      <c r="E226" s="7" t="str">
        <f>IF('RFQ-Input'!E225="","",'RFQ-Input'!E225)</f>
        <v/>
      </c>
      <c r="F226" s="7" t="str">
        <f>IF('RFQ-Input'!F225="","",'RFQ-Input'!F225)</f>
        <v/>
      </c>
      <c r="G226" s="7" t="str">
        <f>IF('RFQ-Input'!G225="","",'RFQ-Input'!G225)</f>
        <v/>
      </c>
      <c r="H226" s="7" t="str">
        <f>IF('RFQ-Input'!H225="","",'RFQ-Input'!H225)</f>
        <v/>
      </c>
      <c r="I226" s="7" t="str">
        <f>IF('RFQ-Input'!I225="","",'RFQ-Input'!I225)</f>
        <v/>
      </c>
      <c r="J226" s="7" t="str">
        <f>IF('RFQ-Input'!J225="","",'RFQ-Input'!J225)</f>
        <v/>
      </c>
      <c r="K226" s="7" t="str">
        <f>IF('RFQ-Input'!K225="","",'RFQ-Input'!K225)</f>
        <v/>
      </c>
      <c r="L226" s="7" t="str">
        <f>IF('RFQ-Input'!L225="","",'RFQ-Input'!L225)</f>
        <v/>
      </c>
      <c r="M226" s="7" t="str">
        <f>IF('RFQ-Input'!M225="","",'RFQ-Input'!M225)</f>
        <v/>
      </c>
      <c r="N226" s="7" t="str">
        <f>IF('RFQ-Input'!N225="","",'RFQ-Input'!N225)</f>
        <v/>
      </c>
      <c r="O226" s="7" t="str">
        <f>IF('RFQ-Input'!O225="","",'RFQ-Input'!O225)</f>
        <v/>
      </c>
      <c r="Q226" s="7"/>
      <c r="R226" s="7"/>
      <c r="S226" s="7"/>
      <c r="T226" s="7"/>
      <c r="U226" s="7"/>
      <c r="V226" s="7"/>
      <c r="X226" s="7"/>
      <c r="Y226" s="7"/>
      <c r="Z226" s="7"/>
      <c r="AA226" s="7" t="str">
        <f t="shared" si="21"/>
        <v/>
      </c>
      <c r="AB226" s="7"/>
      <c r="AC226" s="7"/>
      <c r="AQ226" s="7" t="str">
        <f t="shared" si="22"/>
        <v/>
      </c>
      <c r="AR226" s="7" t="str">
        <f t="shared" si="23"/>
        <v/>
      </c>
      <c r="AS226" s="7" t="str">
        <f t="shared" si="24"/>
        <v/>
      </c>
      <c r="AT226" s="7" t="str">
        <f t="shared" si="25"/>
        <v/>
      </c>
      <c r="AU226" s="7" t="str">
        <f t="shared" si="26"/>
        <v/>
      </c>
      <c r="AV226" s="7" t="str">
        <f t="shared" si="27"/>
        <v/>
      </c>
      <c r="AW226" s="7" t="str">
        <f>IF('RFQ-Input'!O225="","",'RFQ-Input'!O225)</f>
        <v/>
      </c>
      <c r="AX226" s="7" t="str">
        <f>IF('RFQ-Input'!S225="","",'RFQ-Input'!S225)</f>
        <v/>
      </c>
      <c r="AY226" s="7" t="str">
        <f>IF('RFQ-Input'!V225="","",'RFQ-Input'!V225)</f>
        <v/>
      </c>
      <c r="AZ226" s="7" t="str">
        <f>IF('RFQ-Input'!Y225="","",'RFQ-Input'!Y225)</f>
        <v/>
      </c>
      <c r="BA226" s="7" t="str">
        <f>IF('RFQ-Input'!AB225="","",'RFQ-Input'!AB225)</f>
        <v/>
      </c>
    </row>
    <row r="227" spans="1:53">
      <c r="A227" s="20">
        <v>223</v>
      </c>
      <c r="B227" s="7"/>
      <c r="C227" s="7" t="str">
        <f>IF('RFQ-Input'!C226="","",'RFQ-Input'!C226)</f>
        <v/>
      </c>
      <c r="D227" s="7" t="str">
        <f>IF('RFQ-Input'!D226="","",'RFQ-Input'!D226)</f>
        <v/>
      </c>
      <c r="E227" s="7" t="str">
        <f>IF('RFQ-Input'!E226="","",'RFQ-Input'!E226)</f>
        <v/>
      </c>
      <c r="F227" s="7" t="str">
        <f>IF('RFQ-Input'!F226="","",'RFQ-Input'!F226)</f>
        <v/>
      </c>
      <c r="G227" s="7" t="str">
        <f>IF('RFQ-Input'!G226="","",'RFQ-Input'!G226)</f>
        <v/>
      </c>
      <c r="H227" s="7" t="str">
        <f>IF('RFQ-Input'!H226="","",'RFQ-Input'!H226)</f>
        <v/>
      </c>
      <c r="I227" s="7" t="str">
        <f>IF('RFQ-Input'!I226="","",'RFQ-Input'!I226)</f>
        <v/>
      </c>
      <c r="J227" s="7" t="str">
        <f>IF('RFQ-Input'!J226="","",'RFQ-Input'!J226)</f>
        <v/>
      </c>
      <c r="K227" s="7" t="str">
        <f>IF('RFQ-Input'!K226="","",'RFQ-Input'!K226)</f>
        <v/>
      </c>
      <c r="L227" s="7" t="str">
        <f>IF('RFQ-Input'!L226="","",'RFQ-Input'!L226)</f>
        <v/>
      </c>
      <c r="M227" s="7" t="str">
        <f>IF('RFQ-Input'!M226="","",'RFQ-Input'!M226)</f>
        <v/>
      </c>
      <c r="N227" s="7" t="str">
        <f>IF('RFQ-Input'!N226="","",'RFQ-Input'!N226)</f>
        <v/>
      </c>
      <c r="O227" s="7" t="str">
        <f>IF('RFQ-Input'!O226="","",'RFQ-Input'!O226)</f>
        <v/>
      </c>
      <c r="Q227" s="7"/>
      <c r="R227" s="7"/>
      <c r="S227" s="7"/>
      <c r="T227" s="7"/>
      <c r="U227" s="7"/>
      <c r="V227" s="7"/>
      <c r="X227" s="7"/>
      <c r="Y227" s="7"/>
      <c r="Z227" s="7"/>
      <c r="AA227" s="7" t="str">
        <f t="shared" si="21"/>
        <v/>
      </c>
      <c r="AB227" s="7"/>
      <c r="AC227" s="7"/>
      <c r="AQ227" s="7" t="str">
        <f t="shared" si="22"/>
        <v/>
      </c>
      <c r="AR227" s="7" t="str">
        <f t="shared" si="23"/>
        <v/>
      </c>
      <c r="AS227" s="7" t="str">
        <f t="shared" si="24"/>
        <v/>
      </c>
      <c r="AT227" s="7" t="str">
        <f t="shared" si="25"/>
        <v/>
      </c>
      <c r="AU227" s="7" t="str">
        <f t="shared" si="26"/>
        <v/>
      </c>
      <c r="AV227" s="7" t="str">
        <f t="shared" si="27"/>
        <v/>
      </c>
      <c r="AW227" s="7" t="str">
        <f>IF('RFQ-Input'!O226="","",'RFQ-Input'!O226)</f>
        <v/>
      </c>
      <c r="AX227" s="7" t="str">
        <f>IF('RFQ-Input'!S226="","",'RFQ-Input'!S226)</f>
        <v/>
      </c>
      <c r="AY227" s="7" t="str">
        <f>IF('RFQ-Input'!V226="","",'RFQ-Input'!V226)</f>
        <v/>
      </c>
      <c r="AZ227" s="7" t="str">
        <f>IF('RFQ-Input'!Y226="","",'RFQ-Input'!Y226)</f>
        <v/>
      </c>
      <c r="BA227" s="7" t="str">
        <f>IF('RFQ-Input'!AB226="","",'RFQ-Input'!AB226)</f>
        <v/>
      </c>
    </row>
    <row r="228" spans="1:53">
      <c r="A228" s="20">
        <v>224</v>
      </c>
      <c r="B228" s="7"/>
      <c r="C228" s="7" t="str">
        <f>IF('RFQ-Input'!C227="","",'RFQ-Input'!C227)</f>
        <v/>
      </c>
      <c r="D228" s="7" t="str">
        <f>IF('RFQ-Input'!D227="","",'RFQ-Input'!D227)</f>
        <v/>
      </c>
      <c r="E228" s="7" t="str">
        <f>IF('RFQ-Input'!E227="","",'RFQ-Input'!E227)</f>
        <v/>
      </c>
      <c r="F228" s="7" t="str">
        <f>IF('RFQ-Input'!F227="","",'RFQ-Input'!F227)</f>
        <v/>
      </c>
      <c r="G228" s="7" t="str">
        <f>IF('RFQ-Input'!G227="","",'RFQ-Input'!G227)</f>
        <v/>
      </c>
      <c r="H228" s="7" t="str">
        <f>IF('RFQ-Input'!H227="","",'RFQ-Input'!H227)</f>
        <v/>
      </c>
      <c r="I228" s="7" t="str">
        <f>IF('RFQ-Input'!I227="","",'RFQ-Input'!I227)</f>
        <v/>
      </c>
      <c r="J228" s="7" t="str">
        <f>IF('RFQ-Input'!J227="","",'RFQ-Input'!J227)</f>
        <v/>
      </c>
      <c r="K228" s="7" t="str">
        <f>IF('RFQ-Input'!K227="","",'RFQ-Input'!K227)</f>
        <v/>
      </c>
      <c r="L228" s="7" t="str">
        <f>IF('RFQ-Input'!L227="","",'RFQ-Input'!L227)</f>
        <v/>
      </c>
      <c r="M228" s="7" t="str">
        <f>IF('RFQ-Input'!M227="","",'RFQ-Input'!M227)</f>
        <v/>
      </c>
      <c r="N228" s="7" t="str">
        <f>IF('RFQ-Input'!N227="","",'RFQ-Input'!N227)</f>
        <v/>
      </c>
      <c r="O228" s="7" t="str">
        <f>IF('RFQ-Input'!O227="","",'RFQ-Input'!O227)</f>
        <v/>
      </c>
      <c r="Q228" s="7"/>
      <c r="R228" s="7"/>
      <c r="S228" s="7"/>
      <c r="T228" s="7"/>
      <c r="U228" s="7"/>
      <c r="V228" s="7"/>
      <c r="X228" s="7"/>
      <c r="Y228" s="7"/>
      <c r="Z228" s="7"/>
      <c r="AA228" s="7" t="str">
        <f t="shared" si="21"/>
        <v/>
      </c>
      <c r="AB228" s="7"/>
      <c r="AC228" s="7"/>
      <c r="AQ228" s="7" t="str">
        <f t="shared" si="22"/>
        <v/>
      </c>
      <c r="AR228" s="7" t="str">
        <f t="shared" si="23"/>
        <v/>
      </c>
      <c r="AS228" s="7" t="str">
        <f t="shared" si="24"/>
        <v/>
      </c>
      <c r="AT228" s="7" t="str">
        <f t="shared" si="25"/>
        <v/>
      </c>
      <c r="AU228" s="7" t="str">
        <f t="shared" si="26"/>
        <v/>
      </c>
      <c r="AV228" s="7" t="str">
        <f t="shared" si="27"/>
        <v/>
      </c>
      <c r="AW228" s="7" t="str">
        <f>IF('RFQ-Input'!O227="","",'RFQ-Input'!O227)</f>
        <v/>
      </c>
      <c r="AX228" s="7" t="str">
        <f>IF('RFQ-Input'!S227="","",'RFQ-Input'!S227)</f>
        <v/>
      </c>
      <c r="AY228" s="7" t="str">
        <f>IF('RFQ-Input'!V227="","",'RFQ-Input'!V227)</f>
        <v/>
      </c>
      <c r="AZ228" s="7" t="str">
        <f>IF('RFQ-Input'!Y227="","",'RFQ-Input'!Y227)</f>
        <v/>
      </c>
      <c r="BA228" s="7" t="str">
        <f>IF('RFQ-Input'!AB227="","",'RFQ-Input'!AB227)</f>
        <v/>
      </c>
    </row>
    <row r="229" spans="1:53">
      <c r="A229" s="20">
        <v>225</v>
      </c>
      <c r="B229" s="7"/>
      <c r="C229" s="7" t="str">
        <f>IF('RFQ-Input'!C228="","",'RFQ-Input'!C228)</f>
        <v/>
      </c>
      <c r="D229" s="7" t="str">
        <f>IF('RFQ-Input'!D228="","",'RFQ-Input'!D228)</f>
        <v/>
      </c>
      <c r="E229" s="7" t="str">
        <f>IF('RFQ-Input'!E228="","",'RFQ-Input'!E228)</f>
        <v/>
      </c>
      <c r="F229" s="7" t="str">
        <f>IF('RFQ-Input'!F228="","",'RFQ-Input'!F228)</f>
        <v/>
      </c>
      <c r="G229" s="7" t="str">
        <f>IF('RFQ-Input'!G228="","",'RFQ-Input'!G228)</f>
        <v/>
      </c>
      <c r="H229" s="7" t="str">
        <f>IF('RFQ-Input'!H228="","",'RFQ-Input'!H228)</f>
        <v/>
      </c>
      <c r="I229" s="7" t="str">
        <f>IF('RFQ-Input'!I228="","",'RFQ-Input'!I228)</f>
        <v/>
      </c>
      <c r="J229" s="7" t="str">
        <f>IF('RFQ-Input'!J228="","",'RFQ-Input'!J228)</f>
        <v/>
      </c>
      <c r="K229" s="7" t="str">
        <f>IF('RFQ-Input'!K228="","",'RFQ-Input'!K228)</f>
        <v/>
      </c>
      <c r="L229" s="7" t="str">
        <f>IF('RFQ-Input'!L228="","",'RFQ-Input'!L228)</f>
        <v/>
      </c>
      <c r="M229" s="7" t="str">
        <f>IF('RFQ-Input'!M228="","",'RFQ-Input'!M228)</f>
        <v/>
      </c>
      <c r="N229" s="7" t="str">
        <f>IF('RFQ-Input'!N228="","",'RFQ-Input'!N228)</f>
        <v/>
      </c>
      <c r="O229" s="7" t="str">
        <f>IF('RFQ-Input'!O228="","",'RFQ-Input'!O228)</f>
        <v/>
      </c>
      <c r="Q229" s="7"/>
      <c r="R229" s="7"/>
      <c r="S229" s="7"/>
      <c r="T229" s="7"/>
      <c r="U229" s="7"/>
      <c r="V229" s="7"/>
      <c r="X229" s="7"/>
      <c r="Y229" s="7"/>
      <c r="Z229" s="7"/>
      <c r="AA229" s="7" t="str">
        <f t="shared" si="21"/>
        <v/>
      </c>
      <c r="AB229" s="7"/>
      <c r="AC229" s="7"/>
      <c r="AQ229" s="7" t="str">
        <f t="shared" si="22"/>
        <v/>
      </c>
      <c r="AR229" s="7" t="str">
        <f t="shared" si="23"/>
        <v/>
      </c>
      <c r="AS229" s="7" t="str">
        <f t="shared" si="24"/>
        <v/>
      </c>
      <c r="AT229" s="7" t="str">
        <f t="shared" si="25"/>
        <v/>
      </c>
      <c r="AU229" s="7" t="str">
        <f t="shared" si="26"/>
        <v/>
      </c>
      <c r="AV229" s="7" t="str">
        <f t="shared" si="27"/>
        <v/>
      </c>
      <c r="AW229" s="7" t="str">
        <f>IF('RFQ-Input'!O228="","",'RFQ-Input'!O228)</f>
        <v/>
      </c>
      <c r="AX229" s="7" t="str">
        <f>IF('RFQ-Input'!S228="","",'RFQ-Input'!S228)</f>
        <v/>
      </c>
      <c r="AY229" s="7" t="str">
        <f>IF('RFQ-Input'!V228="","",'RFQ-Input'!V228)</f>
        <v/>
      </c>
      <c r="AZ229" s="7" t="str">
        <f>IF('RFQ-Input'!Y228="","",'RFQ-Input'!Y228)</f>
        <v/>
      </c>
      <c r="BA229" s="7" t="str">
        <f>IF('RFQ-Input'!AB228="","",'RFQ-Input'!AB228)</f>
        <v/>
      </c>
    </row>
    <row r="230" spans="1:53">
      <c r="A230" s="20">
        <v>226</v>
      </c>
      <c r="B230" s="7"/>
      <c r="C230" s="7" t="str">
        <f>IF('RFQ-Input'!C229="","",'RFQ-Input'!C229)</f>
        <v/>
      </c>
      <c r="D230" s="7" t="str">
        <f>IF('RFQ-Input'!D229="","",'RFQ-Input'!D229)</f>
        <v/>
      </c>
      <c r="E230" s="7" t="str">
        <f>IF('RFQ-Input'!E229="","",'RFQ-Input'!E229)</f>
        <v/>
      </c>
      <c r="F230" s="7" t="str">
        <f>IF('RFQ-Input'!F229="","",'RFQ-Input'!F229)</f>
        <v/>
      </c>
      <c r="G230" s="7" t="str">
        <f>IF('RFQ-Input'!G229="","",'RFQ-Input'!G229)</f>
        <v/>
      </c>
      <c r="H230" s="7" t="str">
        <f>IF('RFQ-Input'!H229="","",'RFQ-Input'!H229)</f>
        <v/>
      </c>
      <c r="I230" s="7" t="str">
        <f>IF('RFQ-Input'!I229="","",'RFQ-Input'!I229)</f>
        <v/>
      </c>
      <c r="J230" s="7" t="str">
        <f>IF('RFQ-Input'!J229="","",'RFQ-Input'!J229)</f>
        <v/>
      </c>
      <c r="K230" s="7" t="str">
        <f>IF('RFQ-Input'!K229="","",'RFQ-Input'!K229)</f>
        <v/>
      </c>
      <c r="L230" s="7" t="str">
        <f>IF('RFQ-Input'!L229="","",'RFQ-Input'!L229)</f>
        <v/>
      </c>
      <c r="M230" s="7" t="str">
        <f>IF('RFQ-Input'!M229="","",'RFQ-Input'!M229)</f>
        <v/>
      </c>
      <c r="N230" s="7" t="str">
        <f>IF('RFQ-Input'!N229="","",'RFQ-Input'!N229)</f>
        <v/>
      </c>
      <c r="O230" s="7" t="str">
        <f>IF('RFQ-Input'!O229="","",'RFQ-Input'!O229)</f>
        <v/>
      </c>
      <c r="Q230" s="7"/>
      <c r="R230" s="7"/>
      <c r="S230" s="7"/>
      <c r="T230" s="7"/>
      <c r="U230" s="7"/>
      <c r="V230" s="7"/>
      <c r="X230" s="7"/>
      <c r="Y230" s="7"/>
      <c r="Z230" s="7"/>
      <c r="AA230" s="7" t="str">
        <f t="shared" si="21"/>
        <v/>
      </c>
      <c r="AB230" s="7"/>
      <c r="AC230" s="7"/>
      <c r="AQ230" s="7" t="str">
        <f t="shared" si="22"/>
        <v/>
      </c>
      <c r="AR230" s="7" t="str">
        <f t="shared" si="23"/>
        <v/>
      </c>
      <c r="AS230" s="7" t="str">
        <f t="shared" si="24"/>
        <v/>
      </c>
      <c r="AT230" s="7" t="str">
        <f t="shared" si="25"/>
        <v/>
      </c>
      <c r="AU230" s="7" t="str">
        <f t="shared" si="26"/>
        <v/>
      </c>
      <c r="AV230" s="7" t="str">
        <f t="shared" si="27"/>
        <v/>
      </c>
      <c r="AW230" s="7" t="str">
        <f>IF('RFQ-Input'!O229="","",'RFQ-Input'!O229)</f>
        <v/>
      </c>
      <c r="AX230" s="7" t="str">
        <f>IF('RFQ-Input'!S229="","",'RFQ-Input'!S229)</f>
        <v/>
      </c>
      <c r="AY230" s="7" t="str">
        <f>IF('RFQ-Input'!V229="","",'RFQ-Input'!V229)</f>
        <v/>
      </c>
      <c r="AZ230" s="7" t="str">
        <f>IF('RFQ-Input'!Y229="","",'RFQ-Input'!Y229)</f>
        <v/>
      </c>
      <c r="BA230" s="7" t="str">
        <f>IF('RFQ-Input'!AB229="","",'RFQ-Input'!AB229)</f>
        <v/>
      </c>
    </row>
    <row r="231" spans="1:53">
      <c r="A231" s="20">
        <v>227</v>
      </c>
      <c r="B231" s="7"/>
      <c r="C231" s="7" t="str">
        <f>IF('RFQ-Input'!C230="","",'RFQ-Input'!C230)</f>
        <v/>
      </c>
      <c r="D231" s="7" t="str">
        <f>IF('RFQ-Input'!D230="","",'RFQ-Input'!D230)</f>
        <v/>
      </c>
      <c r="E231" s="7" t="str">
        <f>IF('RFQ-Input'!E230="","",'RFQ-Input'!E230)</f>
        <v/>
      </c>
      <c r="F231" s="7" t="str">
        <f>IF('RFQ-Input'!F230="","",'RFQ-Input'!F230)</f>
        <v/>
      </c>
      <c r="G231" s="7" t="str">
        <f>IF('RFQ-Input'!G230="","",'RFQ-Input'!G230)</f>
        <v/>
      </c>
      <c r="H231" s="7" t="str">
        <f>IF('RFQ-Input'!H230="","",'RFQ-Input'!H230)</f>
        <v/>
      </c>
      <c r="I231" s="7" t="str">
        <f>IF('RFQ-Input'!I230="","",'RFQ-Input'!I230)</f>
        <v/>
      </c>
      <c r="J231" s="7" t="str">
        <f>IF('RFQ-Input'!J230="","",'RFQ-Input'!J230)</f>
        <v/>
      </c>
      <c r="K231" s="7" t="str">
        <f>IF('RFQ-Input'!K230="","",'RFQ-Input'!K230)</f>
        <v/>
      </c>
      <c r="L231" s="7" t="str">
        <f>IF('RFQ-Input'!L230="","",'RFQ-Input'!L230)</f>
        <v/>
      </c>
      <c r="M231" s="7" t="str">
        <f>IF('RFQ-Input'!M230="","",'RFQ-Input'!M230)</f>
        <v/>
      </c>
      <c r="N231" s="7" t="str">
        <f>IF('RFQ-Input'!N230="","",'RFQ-Input'!N230)</f>
        <v/>
      </c>
      <c r="O231" s="7" t="str">
        <f>IF('RFQ-Input'!O230="","",'RFQ-Input'!O230)</f>
        <v/>
      </c>
      <c r="Q231" s="7"/>
      <c r="R231" s="7"/>
      <c r="S231" s="7"/>
      <c r="T231" s="7"/>
      <c r="U231" s="7"/>
      <c r="V231" s="7"/>
      <c r="X231" s="7"/>
      <c r="Y231" s="7"/>
      <c r="Z231" s="7"/>
      <c r="AA231" s="7" t="str">
        <f t="shared" si="21"/>
        <v/>
      </c>
      <c r="AB231" s="7"/>
      <c r="AC231" s="7"/>
      <c r="AQ231" s="7" t="str">
        <f t="shared" si="22"/>
        <v/>
      </c>
      <c r="AR231" s="7" t="str">
        <f t="shared" si="23"/>
        <v/>
      </c>
      <c r="AS231" s="7" t="str">
        <f t="shared" si="24"/>
        <v/>
      </c>
      <c r="AT231" s="7" t="str">
        <f t="shared" si="25"/>
        <v/>
      </c>
      <c r="AU231" s="7" t="str">
        <f t="shared" si="26"/>
        <v/>
      </c>
      <c r="AV231" s="7" t="str">
        <f t="shared" si="27"/>
        <v/>
      </c>
      <c r="AW231" s="7" t="str">
        <f>IF('RFQ-Input'!O230="","",'RFQ-Input'!O230)</f>
        <v/>
      </c>
      <c r="AX231" s="7" t="str">
        <f>IF('RFQ-Input'!S230="","",'RFQ-Input'!S230)</f>
        <v/>
      </c>
      <c r="AY231" s="7" t="str">
        <f>IF('RFQ-Input'!V230="","",'RFQ-Input'!V230)</f>
        <v/>
      </c>
      <c r="AZ231" s="7" t="str">
        <f>IF('RFQ-Input'!Y230="","",'RFQ-Input'!Y230)</f>
        <v/>
      </c>
      <c r="BA231" s="7" t="str">
        <f>IF('RFQ-Input'!AB230="","",'RFQ-Input'!AB230)</f>
        <v/>
      </c>
    </row>
    <row r="232" spans="1:53">
      <c r="A232" s="20">
        <v>228</v>
      </c>
      <c r="B232" s="7"/>
      <c r="C232" s="7" t="str">
        <f>IF('RFQ-Input'!C231="","",'RFQ-Input'!C231)</f>
        <v/>
      </c>
      <c r="D232" s="7" t="str">
        <f>IF('RFQ-Input'!D231="","",'RFQ-Input'!D231)</f>
        <v/>
      </c>
      <c r="E232" s="7" t="str">
        <f>IF('RFQ-Input'!E231="","",'RFQ-Input'!E231)</f>
        <v/>
      </c>
      <c r="F232" s="7" t="str">
        <f>IF('RFQ-Input'!F231="","",'RFQ-Input'!F231)</f>
        <v/>
      </c>
      <c r="G232" s="7" t="str">
        <f>IF('RFQ-Input'!G231="","",'RFQ-Input'!G231)</f>
        <v/>
      </c>
      <c r="H232" s="7" t="str">
        <f>IF('RFQ-Input'!H231="","",'RFQ-Input'!H231)</f>
        <v/>
      </c>
      <c r="I232" s="7" t="str">
        <f>IF('RFQ-Input'!I231="","",'RFQ-Input'!I231)</f>
        <v/>
      </c>
      <c r="J232" s="7" t="str">
        <f>IF('RFQ-Input'!J231="","",'RFQ-Input'!J231)</f>
        <v/>
      </c>
      <c r="K232" s="7" t="str">
        <f>IF('RFQ-Input'!K231="","",'RFQ-Input'!K231)</f>
        <v/>
      </c>
      <c r="L232" s="7" t="str">
        <f>IF('RFQ-Input'!L231="","",'RFQ-Input'!L231)</f>
        <v/>
      </c>
      <c r="M232" s="7" t="str">
        <f>IF('RFQ-Input'!M231="","",'RFQ-Input'!M231)</f>
        <v/>
      </c>
      <c r="N232" s="7" t="str">
        <f>IF('RFQ-Input'!N231="","",'RFQ-Input'!N231)</f>
        <v/>
      </c>
      <c r="O232" s="7" t="str">
        <f>IF('RFQ-Input'!O231="","",'RFQ-Input'!O231)</f>
        <v/>
      </c>
      <c r="Q232" s="7"/>
      <c r="R232" s="7"/>
      <c r="S232" s="7"/>
      <c r="T232" s="7"/>
      <c r="U232" s="7"/>
      <c r="V232" s="7"/>
      <c r="X232" s="7"/>
      <c r="Y232" s="7"/>
      <c r="Z232" s="7"/>
      <c r="AA232" s="7" t="str">
        <f t="shared" si="21"/>
        <v/>
      </c>
      <c r="AB232" s="7"/>
      <c r="AC232" s="7"/>
      <c r="AQ232" s="7" t="str">
        <f t="shared" si="22"/>
        <v/>
      </c>
      <c r="AR232" s="7" t="str">
        <f t="shared" si="23"/>
        <v/>
      </c>
      <c r="AS232" s="7" t="str">
        <f t="shared" si="24"/>
        <v/>
      </c>
      <c r="AT232" s="7" t="str">
        <f t="shared" si="25"/>
        <v/>
      </c>
      <c r="AU232" s="7" t="str">
        <f t="shared" si="26"/>
        <v/>
      </c>
      <c r="AV232" s="7" t="str">
        <f t="shared" si="27"/>
        <v/>
      </c>
      <c r="AW232" s="7" t="str">
        <f>IF('RFQ-Input'!O231="","",'RFQ-Input'!O231)</f>
        <v/>
      </c>
      <c r="AX232" s="7" t="str">
        <f>IF('RFQ-Input'!S231="","",'RFQ-Input'!S231)</f>
        <v/>
      </c>
      <c r="AY232" s="7" t="str">
        <f>IF('RFQ-Input'!V231="","",'RFQ-Input'!V231)</f>
        <v/>
      </c>
      <c r="AZ232" s="7" t="str">
        <f>IF('RFQ-Input'!Y231="","",'RFQ-Input'!Y231)</f>
        <v/>
      </c>
      <c r="BA232" s="7" t="str">
        <f>IF('RFQ-Input'!AB231="","",'RFQ-Input'!AB231)</f>
        <v/>
      </c>
    </row>
    <row r="233" spans="1:53">
      <c r="A233" s="20">
        <v>229</v>
      </c>
      <c r="B233" s="7"/>
      <c r="C233" s="7" t="str">
        <f>IF('RFQ-Input'!C232="","",'RFQ-Input'!C232)</f>
        <v/>
      </c>
      <c r="D233" s="7" t="str">
        <f>IF('RFQ-Input'!D232="","",'RFQ-Input'!D232)</f>
        <v/>
      </c>
      <c r="E233" s="7" t="str">
        <f>IF('RFQ-Input'!E232="","",'RFQ-Input'!E232)</f>
        <v/>
      </c>
      <c r="F233" s="7" t="str">
        <f>IF('RFQ-Input'!F232="","",'RFQ-Input'!F232)</f>
        <v/>
      </c>
      <c r="G233" s="7" t="str">
        <f>IF('RFQ-Input'!G232="","",'RFQ-Input'!G232)</f>
        <v/>
      </c>
      <c r="H233" s="7" t="str">
        <f>IF('RFQ-Input'!H232="","",'RFQ-Input'!H232)</f>
        <v/>
      </c>
      <c r="I233" s="7" t="str">
        <f>IF('RFQ-Input'!I232="","",'RFQ-Input'!I232)</f>
        <v/>
      </c>
      <c r="J233" s="7" t="str">
        <f>IF('RFQ-Input'!J232="","",'RFQ-Input'!J232)</f>
        <v/>
      </c>
      <c r="K233" s="7" t="str">
        <f>IF('RFQ-Input'!K232="","",'RFQ-Input'!K232)</f>
        <v/>
      </c>
      <c r="L233" s="7" t="str">
        <f>IF('RFQ-Input'!L232="","",'RFQ-Input'!L232)</f>
        <v/>
      </c>
      <c r="M233" s="7" t="str">
        <f>IF('RFQ-Input'!M232="","",'RFQ-Input'!M232)</f>
        <v/>
      </c>
      <c r="N233" s="7" t="str">
        <f>IF('RFQ-Input'!N232="","",'RFQ-Input'!N232)</f>
        <v/>
      </c>
      <c r="O233" s="7" t="str">
        <f>IF('RFQ-Input'!O232="","",'RFQ-Input'!O232)</f>
        <v/>
      </c>
      <c r="Q233" s="7"/>
      <c r="R233" s="7"/>
      <c r="S233" s="7"/>
      <c r="T233" s="7"/>
      <c r="U233" s="7"/>
      <c r="V233" s="7"/>
      <c r="X233" s="7"/>
      <c r="Y233" s="7"/>
      <c r="Z233" s="7"/>
      <c r="AA233" s="7" t="str">
        <f t="shared" si="21"/>
        <v/>
      </c>
      <c r="AB233" s="7"/>
      <c r="AC233" s="7"/>
      <c r="AQ233" s="7" t="str">
        <f t="shared" si="22"/>
        <v/>
      </c>
      <c r="AR233" s="7" t="str">
        <f t="shared" si="23"/>
        <v/>
      </c>
      <c r="AS233" s="7" t="str">
        <f t="shared" si="24"/>
        <v/>
      </c>
      <c r="AT233" s="7" t="str">
        <f t="shared" si="25"/>
        <v/>
      </c>
      <c r="AU233" s="7" t="str">
        <f t="shared" si="26"/>
        <v/>
      </c>
      <c r="AV233" s="7" t="str">
        <f t="shared" si="27"/>
        <v/>
      </c>
      <c r="AW233" s="7" t="str">
        <f>IF('RFQ-Input'!O232="","",'RFQ-Input'!O232)</f>
        <v/>
      </c>
      <c r="AX233" s="7" t="str">
        <f>IF('RFQ-Input'!S232="","",'RFQ-Input'!S232)</f>
        <v/>
      </c>
      <c r="AY233" s="7" t="str">
        <f>IF('RFQ-Input'!V232="","",'RFQ-Input'!V232)</f>
        <v/>
      </c>
      <c r="AZ233" s="7" t="str">
        <f>IF('RFQ-Input'!Y232="","",'RFQ-Input'!Y232)</f>
        <v/>
      </c>
      <c r="BA233" s="7" t="str">
        <f>IF('RFQ-Input'!AB232="","",'RFQ-Input'!AB232)</f>
        <v/>
      </c>
    </row>
    <row r="234" spans="1:53">
      <c r="A234" s="20">
        <v>230</v>
      </c>
      <c r="B234" s="7"/>
      <c r="C234" s="7" t="str">
        <f>IF('RFQ-Input'!C233="","",'RFQ-Input'!C233)</f>
        <v/>
      </c>
      <c r="D234" s="7" t="str">
        <f>IF('RFQ-Input'!D233="","",'RFQ-Input'!D233)</f>
        <v/>
      </c>
      <c r="E234" s="7" t="str">
        <f>IF('RFQ-Input'!E233="","",'RFQ-Input'!E233)</f>
        <v/>
      </c>
      <c r="F234" s="7" t="str">
        <f>IF('RFQ-Input'!F233="","",'RFQ-Input'!F233)</f>
        <v/>
      </c>
      <c r="G234" s="7" t="str">
        <f>IF('RFQ-Input'!G233="","",'RFQ-Input'!G233)</f>
        <v/>
      </c>
      <c r="H234" s="7" t="str">
        <f>IF('RFQ-Input'!H233="","",'RFQ-Input'!H233)</f>
        <v/>
      </c>
      <c r="I234" s="7" t="str">
        <f>IF('RFQ-Input'!I233="","",'RFQ-Input'!I233)</f>
        <v/>
      </c>
      <c r="J234" s="7" t="str">
        <f>IF('RFQ-Input'!J233="","",'RFQ-Input'!J233)</f>
        <v/>
      </c>
      <c r="K234" s="7" t="str">
        <f>IF('RFQ-Input'!K233="","",'RFQ-Input'!K233)</f>
        <v/>
      </c>
      <c r="L234" s="7" t="str">
        <f>IF('RFQ-Input'!L233="","",'RFQ-Input'!L233)</f>
        <v/>
      </c>
      <c r="M234" s="7" t="str">
        <f>IF('RFQ-Input'!M233="","",'RFQ-Input'!M233)</f>
        <v/>
      </c>
      <c r="N234" s="7" t="str">
        <f>IF('RFQ-Input'!N233="","",'RFQ-Input'!N233)</f>
        <v/>
      </c>
      <c r="O234" s="7" t="str">
        <f>IF('RFQ-Input'!O233="","",'RFQ-Input'!O233)</f>
        <v/>
      </c>
      <c r="Q234" s="7"/>
      <c r="R234" s="7"/>
      <c r="S234" s="7"/>
      <c r="T234" s="7"/>
      <c r="U234" s="7"/>
      <c r="V234" s="7"/>
      <c r="X234" s="7"/>
      <c r="Y234" s="7"/>
      <c r="Z234" s="7"/>
      <c r="AA234" s="7" t="str">
        <f t="shared" si="21"/>
        <v/>
      </c>
      <c r="AB234" s="7"/>
      <c r="AC234" s="7"/>
      <c r="AQ234" s="7" t="str">
        <f t="shared" si="22"/>
        <v/>
      </c>
      <c r="AR234" s="7" t="str">
        <f t="shared" si="23"/>
        <v/>
      </c>
      <c r="AS234" s="7" t="str">
        <f t="shared" si="24"/>
        <v/>
      </c>
      <c r="AT234" s="7" t="str">
        <f t="shared" si="25"/>
        <v/>
      </c>
      <c r="AU234" s="7" t="str">
        <f t="shared" si="26"/>
        <v/>
      </c>
      <c r="AV234" s="7" t="str">
        <f t="shared" si="27"/>
        <v/>
      </c>
      <c r="AW234" s="7" t="str">
        <f>IF('RFQ-Input'!O233="","",'RFQ-Input'!O233)</f>
        <v/>
      </c>
      <c r="AX234" s="7" t="str">
        <f>IF('RFQ-Input'!S233="","",'RFQ-Input'!S233)</f>
        <v/>
      </c>
      <c r="AY234" s="7" t="str">
        <f>IF('RFQ-Input'!V233="","",'RFQ-Input'!V233)</f>
        <v/>
      </c>
      <c r="AZ234" s="7" t="str">
        <f>IF('RFQ-Input'!Y233="","",'RFQ-Input'!Y233)</f>
        <v/>
      </c>
      <c r="BA234" s="7" t="str">
        <f>IF('RFQ-Input'!AB233="","",'RFQ-Input'!AB233)</f>
        <v/>
      </c>
    </row>
    <row r="235" spans="1:53">
      <c r="A235" s="20">
        <v>231</v>
      </c>
      <c r="B235" s="7"/>
      <c r="C235" s="7" t="str">
        <f>IF('RFQ-Input'!C234="","",'RFQ-Input'!C234)</f>
        <v/>
      </c>
      <c r="D235" s="7" t="str">
        <f>IF('RFQ-Input'!D234="","",'RFQ-Input'!D234)</f>
        <v/>
      </c>
      <c r="E235" s="7" t="str">
        <f>IF('RFQ-Input'!E234="","",'RFQ-Input'!E234)</f>
        <v/>
      </c>
      <c r="F235" s="7" t="str">
        <f>IF('RFQ-Input'!F234="","",'RFQ-Input'!F234)</f>
        <v/>
      </c>
      <c r="G235" s="7" t="str">
        <f>IF('RFQ-Input'!G234="","",'RFQ-Input'!G234)</f>
        <v/>
      </c>
      <c r="H235" s="7" t="str">
        <f>IF('RFQ-Input'!H234="","",'RFQ-Input'!H234)</f>
        <v/>
      </c>
      <c r="I235" s="7" t="str">
        <f>IF('RFQ-Input'!I234="","",'RFQ-Input'!I234)</f>
        <v/>
      </c>
      <c r="J235" s="7" t="str">
        <f>IF('RFQ-Input'!J234="","",'RFQ-Input'!J234)</f>
        <v/>
      </c>
      <c r="K235" s="7" t="str">
        <f>IF('RFQ-Input'!K234="","",'RFQ-Input'!K234)</f>
        <v/>
      </c>
      <c r="L235" s="7" t="str">
        <f>IF('RFQ-Input'!L234="","",'RFQ-Input'!L234)</f>
        <v/>
      </c>
      <c r="M235" s="7" t="str">
        <f>IF('RFQ-Input'!M234="","",'RFQ-Input'!M234)</f>
        <v/>
      </c>
      <c r="N235" s="7" t="str">
        <f>IF('RFQ-Input'!N234="","",'RFQ-Input'!N234)</f>
        <v/>
      </c>
      <c r="O235" s="7" t="str">
        <f>IF('RFQ-Input'!O234="","",'RFQ-Input'!O234)</f>
        <v/>
      </c>
      <c r="Q235" s="7"/>
      <c r="R235" s="7"/>
      <c r="S235" s="7"/>
      <c r="T235" s="7"/>
      <c r="U235" s="7"/>
      <c r="V235" s="7"/>
      <c r="X235" s="7"/>
      <c r="Y235" s="7"/>
      <c r="Z235" s="7"/>
      <c r="AA235" s="7" t="str">
        <f t="shared" si="21"/>
        <v/>
      </c>
      <c r="AB235" s="7"/>
      <c r="AC235" s="7"/>
      <c r="AQ235" s="7" t="str">
        <f t="shared" si="22"/>
        <v/>
      </c>
      <c r="AR235" s="7" t="str">
        <f t="shared" si="23"/>
        <v/>
      </c>
      <c r="AS235" s="7" t="str">
        <f t="shared" si="24"/>
        <v/>
      </c>
      <c r="AT235" s="7" t="str">
        <f t="shared" si="25"/>
        <v/>
      </c>
      <c r="AU235" s="7" t="str">
        <f t="shared" si="26"/>
        <v/>
      </c>
      <c r="AV235" s="7" t="str">
        <f t="shared" si="27"/>
        <v/>
      </c>
      <c r="AW235" s="7" t="str">
        <f>IF('RFQ-Input'!O234="","",'RFQ-Input'!O234)</f>
        <v/>
      </c>
      <c r="AX235" s="7" t="str">
        <f>IF('RFQ-Input'!S234="","",'RFQ-Input'!S234)</f>
        <v/>
      </c>
      <c r="AY235" s="7" t="str">
        <f>IF('RFQ-Input'!V234="","",'RFQ-Input'!V234)</f>
        <v/>
      </c>
      <c r="AZ235" s="7" t="str">
        <f>IF('RFQ-Input'!Y234="","",'RFQ-Input'!Y234)</f>
        <v/>
      </c>
      <c r="BA235" s="7" t="str">
        <f>IF('RFQ-Input'!AB234="","",'RFQ-Input'!AB234)</f>
        <v/>
      </c>
    </row>
    <row r="236" spans="1:53">
      <c r="A236" s="20">
        <v>232</v>
      </c>
      <c r="B236" s="7"/>
      <c r="C236" s="7" t="str">
        <f>IF('RFQ-Input'!C235="","",'RFQ-Input'!C235)</f>
        <v/>
      </c>
      <c r="D236" s="7" t="str">
        <f>IF('RFQ-Input'!D235="","",'RFQ-Input'!D235)</f>
        <v/>
      </c>
      <c r="E236" s="7" t="str">
        <f>IF('RFQ-Input'!E235="","",'RFQ-Input'!E235)</f>
        <v/>
      </c>
      <c r="F236" s="7" t="str">
        <f>IF('RFQ-Input'!F235="","",'RFQ-Input'!F235)</f>
        <v/>
      </c>
      <c r="G236" s="7" t="str">
        <f>IF('RFQ-Input'!G235="","",'RFQ-Input'!G235)</f>
        <v/>
      </c>
      <c r="H236" s="7" t="str">
        <f>IF('RFQ-Input'!H235="","",'RFQ-Input'!H235)</f>
        <v/>
      </c>
      <c r="I236" s="7" t="str">
        <f>IF('RFQ-Input'!I235="","",'RFQ-Input'!I235)</f>
        <v/>
      </c>
      <c r="J236" s="7" t="str">
        <f>IF('RFQ-Input'!J235="","",'RFQ-Input'!J235)</f>
        <v/>
      </c>
      <c r="K236" s="7" t="str">
        <f>IF('RFQ-Input'!K235="","",'RFQ-Input'!K235)</f>
        <v/>
      </c>
      <c r="L236" s="7" t="str">
        <f>IF('RFQ-Input'!L235="","",'RFQ-Input'!L235)</f>
        <v/>
      </c>
      <c r="M236" s="7" t="str">
        <f>IF('RFQ-Input'!M235="","",'RFQ-Input'!M235)</f>
        <v/>
      </c>
      <c r="N236" s="7" t="str">
        <f>IF('RFQ-Input'!N235="","",'RFQ-Input'!N235)</f>
        <v/>
      </c>
      <c r="O236" s="7" t="str">
        <f>IF('RFQ-Input'!O235="","",'RFQ-Input'!O235)</f>
        <v/>
      </c>
      <c r="Q236" s="7"/>
      <c r="R236" s="7"/>
      <c r="S236" s="7"/>
      <c r="T236" s="7"/>
      <c r="U236" s="7"/>
      <c r="V236" s="7"/>
      <c r="X236" s="7"/>
      <c r="Y236" s="7"/>
      <c r="Z236" s="7"/>
      <c r="AA236" s="7" t="str">
        <f t="shared" si="21"/>
        <v/>
      </c>
      <c r="AB236" s="7"/>
      <c r="AC236" s="7"/>
      <c r="AQ236" s="7" t="str">
        <f t="shared" si="22"/>
        <v/>
      </c>
      <c r="AR236" s="7" t="str">
        <f t="shared" si="23"/>
        <v/>
      </c>
      <c r="AS236" s="7" t="str">
        <f t="shared" si="24"/>
        <v/>
      </c>
      <c r="AT236" s="7" t="str">
        <f t="shared" si="25"/>
        <v/>
      </c>
      <c r="AU236" s="7" t="str">
        <f t="shared" si="26"/>
        <v/>
      </c>
      <c r="AV236" s="7" t="str">
        <f t="shared" si="27"/>
        <v/>
      </c>
      <c r="AW236" s="7" t="str">
        <f>IF('RFQ-Input'!O235="","",'RFQ-Input'!O235)</f>
        <v/>
      </c>
      <c r="AX236" s="7" t="str">
        <f>IF('RFQ-Input'!S235="","",'RFQ-Input'!S235)</f>
        <v/>
      </c>
      <c r="AY236" s="7" t="str">
        <f>IF('RFQ-Input'!V235="","",'RFQ-Input'!V235)</f>
        <v/>
      </c>
      <c r="AZ236" s="7" t="str">
        <f>IF('RFQ-Input'!Y235="","",'RFQ-Input'!Y235)</f>
        <v/>
      </c>
      <c r="BA236" s="7" t="str">
        <f>IF('RFQ-Input'!AB235="","",'RFQ-Input'!AB235)</f>
        <v/>
      </c>
    </row>
    <row r="237" spans="1:53">
      <c r="A237" s="20">
        <v>233</v>
      </c>
      <c r="B237" s="7"/>
      <c r="C237" s="7" t="str">
        <f>IF('RFQ-Input'!C236="","",'RFQ-Input'!C236)</f>
        <v/>
      </c>
      <c r="D237" s="7" t="str">
        <f>IF('RFQ-Input'!D236="","",'RFQ-Input'!D236)</f>
        <v/>
      </c>
      <c r="E237" s="7" t="str">
        <f>IF('RFQ-Input'!E236="","",'RFQ-Input'!E236)</f>
        <v/>
      </c>
      <c r="F237" s="7" t="str">
        <f>IF('RFQ-Input'!F236="","",'RFQ-Input'!F236)</f>
        <v/>
      </c>
      <c r="G237" s="7" t="str">
        <f>IF('RFQ-Input'!G236="","",'RFQ-Input'!G236)</f>
        <v/>
      </c>
      <c r="H237" s="7" t="str">
        <f>IF('RFQ-Input'!H236="","",'RFQ-Input'!H236)</f>
        <v/>
      </c>
      <c r="I237" s="7" t="str">
        <f>IF('RFQ-Input'!I236="","",'RFQ-Input'!I236)</f>
        <v/>
      </c>
      <c r="J237" s="7" t="str">
        <f>IF('RFQ-Input'!J236="","",'RFQ-Input'!J236)</f>
        <v/>
      </c>
      <c r="K237" s="7" t="str">
        <f>IF('RFQ-Input'!K236="","",'RFQ-Input'!K236)</f>
        <v/>
      </c>
      <c r="L237" s="7" t="str">
        <f>IF('RFQ-Input'!L236="","",'RFQ-Input'!L236)</f>
        <v/>
      </c>
      <c r="M237" s="7" t="str">
        <f>IF('RFQ-Input'!M236="","",'RFQ-Input'!M236)</f>
        <v/>
      </c>
      <c r="N237" s="7" t="str">
        <f>IF('RFQ-Input'!N236="","",'RFQ-Input'!N236)</f>
        <v/>
      </c>
      <c r="O237" s="7" t="str">
        <f>IF('RFQ-Input'!O236="","",'RFQ-Input'!O236)</f>
        <v/>
      </c>
      <c r="Q237" s="7"/>
      <c r="R237" s="7"/>
      <c r="S237" s="7"/>
      <c r="T237" s="7"/>
      <c r="U237" s="7"/>
      <c r="V237" s="7"/>
      <c r="X237" s="7"/>
      <c r="Y237" s="7"/>
      <c r="Z237" s="7"/>
      <c r="AA237" s="7" t="str">
        <f t="shared" si="21"/>
        <v/>
      </c>
      <c r="AB237" s="7"/>
      <c r="AC237" s="7"/>
      <c r="AQ237" s="7" t="str">
        <f t="shared" si="22"/>
        <v/>
      </c>
      <c r="AR237" s="7" t="str">
        <f t="shared" si="23"/>
        <v/>
      </c>
      <c r="AS237" s="7" t="str">
        <f t="shared" si="24"/>
        <v/>
      </c>
      <c r="AT237" s="7" t="str">
        <f t="shared" si="25"/>
        <v/>
      </c>
      <c r="AU237" s="7" t="str">
        <f t="shared" si="26"/>
        <v/>
      </c>
      <c r="AV237" s="7" t="str">
        <f t="shared" si="27"/>
        <v/>
      </c>
      <c r="AW237" s="7" t="str">
        <f>IF('RFQ-Input'!O236="","",'RFQ-Input'!O236)</f>
        <v/>
      </c>
      <c r="AX237" s="7" t="str">
        <f>IF('RFQ-Input'!S236="","",'RFQ-Input'!S236)</f>
        <v/>
      </c>
      <c r="AY237" s="7" t="str">
        <f>IF('RFQ-Input'!V236="","",'RFQ-Input'!V236)</f>
        <v/>
      </c>
      <c r="AZ237" s="7" t="str">
        <f>IF('RFQ-Input'!Y236="","",'RFQ-Input'!Y236)</f>
        <v/>
      </c>
      <c r="BA237" s="7" t="str">
        <f>IF('RFQ-Input'!AB236="","",'RFQ-Input'!AB236)</f>
        <v/>
      </c>
    </row>
    <row r="238" spans="1:53">
      <c r="A238" s="20">
        <v>234</v>
      </c>
      <c r="B238" s="7"/>
      <c r="C238" s="7" t="str">
        <f>IF('RFQ-Input'!C237="","",'RFQ-Input'!C237)</f>
        <v/>
      </c>
      <c r="D238" s="7" t="str">
        <f>IF('RFQ-Input'!D237="","",'RFQ-Input'!D237)</f>
        <v/>
      </c>
      <c r="E238" s="7" t="str">
        <f>IF('RFQ-Input'!E237="","",'RFQ-Input'!E237)</f>
        <v/>
      </c>
      <c r="F238" s="7" t="str">
        <f>IF('RFQ-Input'!F237="","",'RFQ-Input'!F237)</f>
        <v/>
      </c>
      <c r="G238" s="7" t="str">
        <f>IF('RFQ-Input'!G237="","",'RFQ-Input'!G237)</f>
        <v/>
      </c>
      <c r="H238" s="7" t="str">
        <f>IF('RFQ-Input'!H237="","",'RFQ-Input'!H237)</f>
        <v/>
      </c>
      <c r="I238" s="7" t="str">
        <f>IF('RFQ-Input'!I237="","",'RFQ-Input'!I237)</f>
        <v/>
      </c>
      <c r="J238" s="7" t="str">
        <f>IF('RFQ-Input'!J237="","",'RFQ-Input'!J237)</f>
        <v/>
      </c>
      <c r="K238" s="7" t="str">
        <f>IF('RFQ-Input'!K237="","",'RFQ-Input'!K237)</f>
        <v/>
      </c>
      <c r="L238" s="7" t="str">
        <f>IF('RFQ-Input'!L237="","",'RFQ-Input'!L237)</f>
        <v/>
      </c>
      <c r="M238" s="7" t="str">
        <f>IF('RFQ-Input'!M237="","",'RFQ-Input'!M237)</f>
        <v/>
      </c>
      <c r="N238" s="7" t="str">
        <f>IF('RFQ-Input'!N237="","",'RFQ-Input'!N237)</f>
        <v/>
      </c>
      <c r="O238" s="7" t="str">
        <f>IF('RFQ-Input'!O237="","",'RFQ-Input'!O237)</f>
        <v/>
      </c>
      <c r="Q238" s="7"/>
      <c r="R238" s="7"/>
      <c r="S238" s="7"/>
      <c r="T238" s="7"/>
      <c r="U238" s="7"/>
      <c r="V238" s="7"/>
      <c r="X238" s="7"/>
      <c r="Y238" s="7"/>
      <c r="Z238" s="7"/>
      <c r="AA238" s="7" t="str">
        <f t="shared" si="21"/>
        <v/>
      </c>
      <c r="AB238" s="7"/>
      <c r="AC238" s="7"/>
      <c r="AQ238" s="7" t="str">
        <f t="shared" si="22"/>
        <v/>
      </c>
      <c r="AR238" s="7" t="str">
        <f t="shared" si="23"/>
        <v/>
      </c>
      <c r="AS238" s="7" t="str">
        <f t="shared" si="24"/>
        <v/>
      </c>
      <c r="AT238" s="7" t="str">
        <f t="shared" si="25"/>
        <v/>
      </c>
      <c r="AU238" s="7" t="str">
        <f t="shared" si="26"/>
        <v/>
      </c>
      <c r="AV238" s="7" t="str">
        <f t="shared" si="27"/>
        <v/>
      </c>
      <c r="AW238" s="7" t="str">
        <f>IF('RFQ-Input'!O237="","",'RFQ-Input'!O237)</f>
        <v/>
      </c>
      <c r="AX238" s="7" t="str">
        <f>IF('RFQ-Input'!S237="","",'RFQ-Input'!S237)</f>
        <v/>
      </c>
      <c r="AY238" s="7" t="str">
        <f>IF('RFQ-Input'!V237="","",'RFQ-Input'!V237)</f>
        <v/>
      </c>
      <c r="AZ238" s="7" t="str">
        <f>IF('RFQ-Input'!Y237="","",'RFQ-Input'!Y237)</f>
        <v/>
      </c>
      <c r="BA238" s="7" t="str">
        <f>IF('RFQ-Input'!AB237="","",'RFQ-Input'!AB237)</f>
        <v/>
      </c>
    </row>
    <row r="239" spans="1:53">
      <c r="A239" s="20">
        <v>235</v>
      </c>
      <c r="B239" s="7"/>
      <c r="C239" s="7" t="str">
        <f>IF('RFQ-Input'!C238="","",'RFQ-Input'!C238)</f>
        <v/>
      </c>
      <c r="D239" s="7" t="str">
        <f>IF('RFQ-Input'!D238="","",'RFQ-Input'!D238)</f>
        <v/>
      </c>
      <c r="E239" s="7" t="str">
        <f>IF('RFQ-Input'!E238="","",'RFQ-Input'!E238)</f>
        <v/>
      </c>
      <c r="F239" s="7" t="str">
        <f>IF('RFQ-Input'!F238="","",'RFQ-Input'!F238)</f>
        <v/>
      </c>
      <c r="G239" s="7" t="str">
        <f>IF('RFQ-Input'!G238="","",'RFQ-Input'!G238)</f>
        <v/>
      </c>
      <c r="H239" s="7" t="str">
        <f>IF('RFQ-Input'!H238="","",'RFQ-Input'!H238)</f>
        <v/>
      </c>
      <c r="I239" s="7" t="str">
        <f>IF('RFQ-Input'!I238="","",'RFQ-Input'!I238)</f>
        <v/>
      </c>
      <c r="J239" s="7" t="str">
        <f>IF('RFQ-Input'!J238="","",'RFQ-Input'!J238)</f>
        <v/>
      </c>
      <c r="K239" s="7" t="str">
        <f>IF('RFQ-Input'!K238="","",'RFQ-Input'!K238)</f>
        <v/>
      </c>
      <c r="L239" s="7" t="str">
        <f>IF('RFQ-Input'!L238="","",'RFQ-Input'!L238)</f>
        <v/>
      </c>
      <c r="M239" s="7" t="str">
        <f>IF('RFQ-Input'!M238="","",'RFQ-Input'!M238)</f>
        <v/>
      </c>
      <c r="N239" s="7" t="str">
        <f>IF('RFQ-Input'!N238="","",'RFQ-Input'!N238)</f>
        <v/>
      </c>
      <c r="O239" s="7" t="str">
        <f>IF('RFQ-Input'!O238="","",'RFQ-Input'!O238)</f>
        <v/>
      </c>
      <c r="Q239" s="7"/>
      <c r="R239" s="7"/>
      <c r="S239" s="7"/>
      <c r="T239" s="7"/>
      <c r="U239" s="7"/>
      <c r="V239" s="7"/>
      <c r="X239" s="7"/>
      <c r="Y239" s="7"/>
      <c r="Z239" s="7"/>
      <c r="AA239" s="7" t="str">
        <f t="shared" si="21"/>
        <v/>
      </c>
      <c r="AB239" s="7"/>
      <c r="AC239" s="7"/>
      <c r="AQ239" s="7" t="str">
        <f t="shared" si="22"/>
        <v/>
      </c>
      <c r="AR239" s="7" t="str">
        <f t="shared" si="23"/>
        <v/>
      </c>
      <c r="AS239" s="7" t="str">
        <f t="shared" si="24"/>
        <v/>
      </c>
      <c r="AT239" s="7" t="str">
        <f t="shared" si="25"/>
        <v/>
      </c>
      <c r="AU239" s="7" t="str">
        <f t="shared" si="26"/>
        <v/>
      </c>
      <c r="AV239" s="7" t="str">
        <f t="shared" si="27"/>
        <v/>
      </c>
      <c r="AW239" s="7" t="str">
        <f>IF('RFQ-Input'!O238="","",'RFQ-Input'!O238)</f>
        <v/>
      </c>
      <c r="AX239" s="7" t="str">
        <f>IF('RFQ-Input'!S238="","",'RFQ-Input'!S238)</f>
        <v/>
      </c>
      <c r="AY239" s="7" t="str">
        <f>IF('RFQ-Input'!V238="","",'RFQ-Input'!V238)</f>
        <v/>
      </c>
      <c r="AZ239" s="7" t="str">
        <f>IF('RFQ-Input'!Y238="","",'RFQ-Input'!Y238)</f>
        <v/>
      </c>
      <c r="BA239" s="7" t="str">
        <f>IF('RFQ-Input'!AB238="","",'RFQ-Input'!AB238)</f>
        <v/>
      </c>
    </row>
    <row r="240" spans="1:53">
      <c r="A240" s="20">
        <v>236</v>
      </c>
      <c r="B240" s="7"/>
      <c r="C240" s="7" t="str">
        <f>IF('RFQ-Input'!C239="","",'RFQ-Input'!C239)</f>
        <v/>
      </c>
      <c r="D240" s="7" t="str">
        <f>IF('RFQ-Input'!D239="","",'RFQ-Input'!D239)</f>
        <v/>
      </c>
      <c r="E240" s="7" t="str">
        <f>IF('RFQ-Input'!E239="","",'RFQ-Input'!E239)</f>
        <v/>
      </c>
      <c r="F240" s="7" t="str">
        <f>IF('RFQ-Input'!F239="","",'RFQ-Input'!F239)</f>
        <v/>
      </c>
      <c r="G240" s="7" t="str">
        <f>IF('RFQ-Input'!G239="","",'RFQ-Input'!G239)</f>
        <v/>
      </c>
      <c r="H240" s="7" t="str">
        <f>IF('RFQ-Input'!H239="","",'RFQ-Input'!H239)</f>
        <v/>
      </c>
      <c r="I240" s="7" t="str">
        <f>IF('RFQ-Input'!I239="","",'RFQ-Input'!I239)</f>
        <v/>
      </c>
      <c r="J240" s="7" t="str">
        <f>IF('RFQ-Input'!J239="","",'RFQ-Input'!J239)</f>
        <v/>
      </c>
      <c r="K240" s="7" t="str">
        <f>IF('RFQ-Input'!K239="","",'RFQ-Input'!K239)</f>
        <v/>
      </c>
      <c r="L240" s="7" t="str">
        <f>IF('RFQ-Input'!L239="","",'RFQ-Input'!L239)</f>
        <v/>
      </c>
      <c r="M240" s="7" t="str">
        <f>IF('RFQ-Input'!M239="","",'RFQ-Input'!M239)</f>
        <v/>
      </c>
      <c r="N240" s="7" t="str">
        <f>IF('RFQ-Input'!N239="","",'RFQ-Input'!N239)</f>
        <v/>
      </c>
      <c r="O240" s="7" t="str">
        <f>IF('RFQ-Input'!O239="","",'RFQ-Input'!O239)</f>
        <v/>
      </c>
      <c r="Q240" s="7"/>
      <c r="R240" s="7"/>
      <c r="S240" s="7"/>
      <c r="T240" s="7"/>
      <c r="U240" s="7"/>
      <c r="V240" s="7"/>
      <c r="X240" s="7"/>
      <c r="Y240" s="7"/>
      <c r="Z240" s="7"/>
      <c r="AA240" s="7" t="str">
        <f t="shared" si="21"/>
        <v/>
      </c>
      <c r="AB240" s="7"/>
      <c r="AC240" s="7"/>
      <c r="AQ240" s="7" t="str">
        <f t="shared" si="22"/>
        <v/>
      </c>
      <c r="AR240" s="7" t="str">
        <f t="shared" si="23"/>
        <v/>
      </c>
      <c r="AS240" s="7" t="str">
        <f t="shared" si="24"/>
        <v/>
      </c>
      <c r="AT240" s="7" t="str">
        <f t="shared" si="25"/>
        <v/>
      </c>
      <c r="AU240" s="7" t="str">
        <f t="shared" si="26"/>
        <v/>
      </c>
      <c r="AV240" s="7" t="str">
        <f t="shared" si="27"/>
        <v/>
      </c>
      <c r="AW240" s="7" t="str">
        <f>IF('RFQ-Input'!O239="","",'RFQ-Input'!O239)</f>
        <v/>
      </c>
      <c r="AX240" s="7" t="str">
        <f>IF('RFQ-Input'!S239="","",'RFQ-Input'!S239)</f>
        <v/>
      </c>
      <c r="AY240" s="7" t="str">
        <f>IF('RFQ-Input'!V239="","",'RFQ-Input'!V239)</f>
        <v/>
      </c>
      <c r="AZ240" s="7" t="str">
        <f>IF('RFQ-Input'!Y239="","",'RFQ-Input'!Y239)</f>
        <v/>
      </c>
      <c r="BA240" s="7" t="str">
        <f>IF('RFQ-Input'!AB239="","",'RFQ-Input'!AB239)</f>
        <v/>
      </c>
    </row>
    <row r="241" spans="1:53">
      <c r="A241" s="20">
        <v>237</v>
      </c>
      <c r="B241" s="7"/>
      <c r="C241" s="7" t="str">
        <f>IF('RFQ-Input'!C240="","",'RFQ-Input'!C240)</f>
        <v/>
      </c>
      <c r="D241" s="7" t="str">
        <f>IF('RFQ-Input'!D240="","",'RFQ-Input'!D240)</f>
        <v/>
      </c>
      <c r="E241" s="7" t="str">
        <f>IF('RFQ-Input'!E240="","",'RFQ-Input'!E240)</f>
        <v/>
      </c>
      <c r="F241" s="7" t="str">
        <f>IF('RFQ-Input'!F240="","",'RFQ-Input'!F240)</f>
        <v/>
      </c>
      <c r="G241" s="7" t="str">
        <f>IF('RFQ-Input'!G240="","",'RFQ-Input'!G240)</f>
        <v/>
      </c>
      <c r="H241" s="7" t="str">
        <f>IF('RFQ-Input'!H240="","",'RFQ-Input'!H240)</f>
        <v/>
      </c>
      <c r="I241" s="7" t="str">
        <f>IF('RFQ-Input'!I240="","",'RFQ-Input'!I240)</f>
        <v/>
      </c>
      <c r="J241" s="7" t="str">
        <f>IF('RFQ-Input'!J240="","",'RFQ-Input'!J240)</f>
        <v/>
      </c>
      <c r="K241" s="7" t="str">
        <f>IF('RFQ-Input'!K240="","",'RFQ-Input'!K240)</f>
        <v/>
      </c>
      <c r="L241" s="7" t="str">
        <f>IF('RFQ-Input'!L240="","",'RFQ-Input'!L240)</f>
        <v/>
      </c>
      <c r="M241" s="7" t="str">
        <f>IF('RFQ-Input'!M240="","",'RFQ-Input'!M240)</f>
        <v/>
      </c>
      <c r="N241" s="7" t="str">
        <f>IF('RFQ-Input'!N240="","",'RFQ-Input'!N240)</f>
        <v/>
      </c>
      <c r="O241" s="7" t="str">
        <f>IF('RFQ-Input'!O240="","",'RFQ-Input'!O240)</f>
        <v/>
      </c>
      <c r="Q241" s="7"/>
      <c r="R241" s="7"/>
      <c r="S241" s="7"/>
      <c r="T241" s="7"/>
      <c r="U241" s="7"/>
      <c r="V241" s="7"/>
      <c r="X241" s="7"/>
      <c r="Y241" s="7"/>
      <c r="Z241" s="7"/>
      <c r="AA241" s="7" t="str">
        <f t="shared" si="21"/>
        <v/>
      </c>
      <c r="AB241" s="7"/>
      <c r="AC241" s="7"/>
      <c r="AQ241" s="7" t="str">
        <f t="shared" si="22"/>
        <v/>
      </c>
      <c r="AR241" s="7" t="str">
        <f t="shared" si="23"/>
        <v/>
      </c>
      <c r="AS241" s="7" t="str">
        <f t="shared" si="24"/>
        <v/>
      </c>
      <c r="AT241" s="7" t="str">
        <f t="shared" si="25"/>
        <v/>
      </c>
      <c r="AU241" s="7" t="str">
        <f t="shared" si="26"/>
        <v/>
      </c>
      <c r="AV241" s="7" t="str">
        <f t="shared" si="27"/>
        <v/>
      </c>
      <c r="AW241" s="7" t="str">
        <f>IF('RFQ-Input'!O240="","",'RFQ-Input'!O240)</f>
        <v/>
      </c>
      <c r="AX241" s="7" t="str">
        <f>IF('RFQ-Input'!S240="","",'RFQ-Input'!S240)</f>
        <v/>
      </c>
      <c r="AY241" s="7" t="str">
        <f>IF('RFQ-Input'!V240="","",'RFQ-Input'!V240)</f>
        <v/>
      </c>
      <c r="AZ241" s="7" t="str">
        <f>IF('RFQ-Input'!Y240="","",'RFQ-Input'!Y240)</f>
        <v/>
      </c>
      <c r="BA241" s="7" t="str">
        <f>IF('RFQ-Input'!AB240="","",'RFQ-Input'!AB240)</f>
        <v/>
      </c>
    </row>
    <row r="242" spans="1:53">
      <c r="A242" s="20">
        <v>238</v>
      </c>
      <c r="B242" s="7"/>
      <c r="C242" s="7" t="str">
        <f>IF('RFQ-Input'!C241="","",'RFQ-Input'!C241)</f>
        <v/>
      </c>
      <c r="D242" s="7" t="str">
        <f>IF('RFQ-Input'!D241="","",'RFQ-Input'!D241)</f>
        <v/>
      </c>
      <c r="E242" s="7" t="str">
        <f>IF('RFQ-Input'!E241="","",'RFQ-Input'!E241)</f>
        <v/>
      </c>
      <c r="F242" s="7" t="str">
        <f>IF('RFQ-Input'!F241="","",'RFQ-Input'!F241)</f>
        <v/>
      </c>
      <c r="G242" s="7" t="str">
        <f>IF('RFQ-Input'!G241="","",'RFQ-Input'!G241)</f>
        <v/>
      </c>
      <c r="H242" s="7" t="str">
        <f>IF('RFQ-Input'!H241="","",'RFQ-Input'!H241)</f>
        <v/>
      </c>
      <c r="I242" s="7" t="str">
        <f>IF('RFQ-Input'!I241="","",'RFQ-Input'!I241)</f>
        <v/>
      </c>
      <c r="J242" s="7" t="str">
        <f>IF('RFQ-Input'!J241="","",'RFQ-Input'!J241)</f>
        <v/>
      </c>
      <c r="K242" s="7" t="str">
        <f>IF('RFQ-Input'!K241="","",'RFQ-Input'!K241)</f>
        <v/>
      </c>
      <c r="L242" s="7" t="str">
        <f>IF('RFQ-Input'!L241="","",'RFQ-Input'!L241)</f>
        <v/>
      </c>
      <c r="M242" s="7" t="str">
        <f>IF('RFQ-Input'!M241="","",'RFQ-Input'!M241)</f>
        <v/>
      </c>
      <c r="N242" s="7" t="str">
        <f>IF('RFQ-Input'!N241="","",'RFQ-Input'!N241)</f>
        <v/>
      </c>
      <c r="O242" s="7" t="str">
        <f>IF('RFQ-Input'!O241="","",'RFQ-Input'!O241)</f>
        <v/>
      </c>
      <c r="Q242" s="7"/>
      <c r="R242" s="7"/>
      <c r="S242" s="7"/>
      <c r="T242" s="7"/>
      <c r="U242" s="7"/>
      <c r="V242" s="7"/>
      <c r="X242" s="7"/>
      <c r="Y242" s="7"/>
      <c r="Z242" s="7"/>
      <c r="AA242" s="7" t="str">
        <f t="shared" si="21"/>
        <v/>
      </c>
      <c r="AB242" s="7"/>
      <c r="AC242" s="7"/>
      <c r="AQ242" s="7" t="str">
        <f t="shared" si="22"/>
        <v/>
      </c>
      <c r="AR242" s="7" t="str">
        <f t="shared" si="23"/>
        <v/>
      </c>
      <c r="AS242" s="7" t="str">
        <f t="shared" si="24"/>
        <v/>
      </c>
      <c r="AT242" s="7" t="str">
        <f t="shared" si="25"/>
        <v/>
      </c>
      <c r="AU242" s="7" t="str">
        <f t="shared" si="26"/>
        <v/>
      </c>
      <c r="AV242" s="7" t="str">
        <f t="shared" si="27"/>
        <v/>
      </c>
      <c r="AW242" s="7" t="str">
        <f>IF('RFQ-Input'!O241="","",'RFQ-Input'!O241)</f>
        <v/>
      </c>
      <c r="AX242" s="7" t="str">
        <f>IF('RFQ-Input'!S241="","",'RFQ-Input'!S241)</f>
        <v/>
      </c>
      <c r="AY242" s="7" t="str">
        <f>IF('RFQ-Input'!V241="","",'RFQ-Input'!V241)</f>
        <v/>
      </c>
      <c r="AZ242" s="7" t="str">
        <f>IF('RFQ-Input'!Y241="","",'RFQ-Input'!Y241)</f>
        <v/>
      </c>
      <c r="BA242" s="7" t="str">
        <f>IF('RFQ-Input'!AB241="","",'RFQ-Input'!AB241)</f>
        <v/>
      </c>
    </row>
    <row r="243" spans="1:53">
      <c r="A243" s="20">
        <v>239</v>
      </c>
      <c r="B243" s="7"/>
      <c r="C243" s="7" t="str">
        <f>IF('RFQ-Input'!C242="","",'RFQ-Input'!C242)</f>
        <v/>
      </c>
      <c r="D243" s="7" t="str">
        <f>IF('RFQ-Input'!D242="","",'RFQ-Input'!D242)</f>
        <v/>
      </c>
      <c r="E243" s="7" t="str">
        <f>IF('RFQ-Input'!E242="","",'RFQ-Input'!E242)</f>
        <v/>
      </c>
      <c r="F243" s="7" t="str">
        <f>IF('RFQ-Input'!F242="","",'RFQ-Input'!F242)</f>
        <v/>
      </c>
      <c r="G243" s="7" t="str">
        <f>IF('RFQ-Input'!G242="","",'RFQ-Input'!G242)</f>
        <v/>
      </c>
      <c r="H243" s="7" t="str">
        <f>IF('RFQ-Input'!H242="","",'RFQ-Input'!H242)</f>
        <v/>
      </c>
      <c r="I243" s="7" t="str">
        <f>IF('RFQ-Input'!I242="","",'RFQ-Input'!I242)</f>
        <v/>
      </c>
      <c r="J243" s="7" t="str">
        <f>IF('RFQ-Input'!J242="","",'RFQ-Input'!J242)</f>
        <v/>
      </c>
      <c r="K243" s="7" t="str">
        <f>IF('RFQ-Input'!K242="","",'RFQ-Input'!K242)</f>
        <v/>
      </c>
      <c r="L243" s="7" t="str">
        <f>IF('RFQ-Input'!L242="","",'RFQ-Input'!L242)</f>
        <v/>
      </c>
      <c r="M243" s="7" t="str">
        <f>IF('RFQ-Input'!M242="","",'RFQ-Input'!M242)</f>
        <v/>
      </c>
      <c r="N243" s="7" t="str">
        <f>IF('RFQ-Input'!N242="","",'RFQ-Input'!N242)</f>
        <v/>
      </c>
      <c r="O243" s="7" t="str">
        <f>IF('RFQ-Input'!O242="","",'RFQ-Input'!O242)</f>
        <v/>
      </c>
      <c r="Q243" s="7"/>
      <c r="R243" s="7"/>
      <c r="S243" s="7"/>
      <c r="T243" s="7"/>
      <c r="U243" s="7"/>
      <c r="V243" s="7"/>
      <c r="X243" s="7"/>
      <c r="Y243" s="7"/>
      <c r="Z243" s="7"/>
      <c r="AA243" s="7" t="str">
        <f t="shared" si="21"/>
        <v/>
      </c>
      <c r="AB243" s="7"/>
      <c r="AC243" s="7"/>
      <c r="AQ243" s="7" t="str">
        <f t="shared" si="22"/>
        <v/>
      </c>
      <c r="AR243" s="7" t="str">
        <f t="shared" si="23"/>
        <v/>
      </c>
      <c r="AS243" s="7" t="str">
        <f t="shared" si="24"/>
        <v/>
      </c>
      <c r="AT243" s="7" t="str">
        <f t="shared" si="25"/>
        <v/>
      </c>
      <c r="AU243" s="7" t="str">
        <f t="shared" si="26"/>
        <v/>
      </c>
      <c r="AV243" s="7" t="str">
        <f t="shared" si="27"/>
        <v/>
      </c>
      <c r="AW243" s="7" t="str">
        <f>IF('RFQ-Input'!O242="","",'RFQ-Input'!O242)</f>
        <v/>
      </c>
      <c r="AX243" s="7" t="str">
        <f>IF('RFQ-Input'!S242="","",'RFQ-Input'!S242)</f>
        <v/>
      </c>
      <c r="AY243" s="7" t="str">
        <f>IF('RFQ-Input'!V242="","",'RFQ-Input'!V242)</f>
        <v/>
      </c>
      <c r="AZ243" s="7" t="str">
        <f>IF('RFQ-Input'!Y242="","",'RFQ-Input'!Y242)</f>
        <v/>
      </c>
      <c r="BA243" s="7" t="str">
        <f>IF('RFQ-Input'!AB242="","",'RFQ-Input'!AB242)</f>
        <v/>
      </c>
    </row>
    <row r="244" spans="1:53">
      <c r="A244" s="20">
        <v>240</v>
      </c>
      <c r="B244" s="7"/>
      <c r="C244" s="7" t="str">
        <f>IF('RFQ-Input'!C243="","",'RFQ-Input'!C243)</f>
        <v/>
      </c>
      <c r="D244" s="7" t="str">
        <f>IF('RFQ-Input'!D243="","",'RFQ-Input'!D243)</f>
        <v/>
      </c>
      <c r="E244" s="7" t="str">
        <f>IF('RFQ-Input'!E243="","",'RFQ-Input'!E243)</f>
        <v/>
      </c>
      <c r="F244" s="7" t="str">
        <f>IF('RFQ-Input'!F243="","",'RFQ-Input'!F243)</f>
        <v/>
      </c>
      <c r="G244" s="7" t="str">
        <f>IF('RFQ-Input'!G243="","",'RFQ-Input'!G243)</f>
        <v/>
      </c>
      <c r="H244" s="7" t="str">
        <f>IF('RFQ-Input'!H243="","",'RFQ-Input'!H243)</f>
        <v/>
      </c>
      <c r="I244" s="7" t="str">
        <f>IF('RFQ-Input'!I243="","",'RFQ-Input'!I243)</f>
        <v/>
      </c>
      <c r="J244" s="7" t="str">
        <f>IF('RFQ-Input'!J243="","",'RFQ-Input'!J243)</f>
        <v/>
      </c>
      <c r="K244" s="7" t="str">
        <f>IF('RFQ-Input'!K243="","",'RFQ-Input'!K243)</f>
        <v/>
      </c>
      <c r="L244" s="7" t="str">
        <f>IF('RFQ-Input'!L243="","",'RFQ-Input'!L243)</f>
        <v/>
      </c>
      <c r="M244" s="7" t="str">
        <f>IF('RFQ-Input'!M243="","",'RFQ-Input'!M243)</f>
        <v/>
      </c>
      <c r="N244" s="7" t="str">
        <f>IF('RFQ-Input'!N243="","",'RFQ-Input'!N243)</f>
        <v/>
      </c>
      <c r="O244" s="7" t="str">
        <f>IF('RFQ-Input'!O243="","",'RFQ-Input'!O243)</f>
        <v/>
      </c>
      <c r="Q244" s="7"/>
      <c r="R244" s="7"/>
      <c r="S244" s="7"/>
      <c r="T244" s="7"/>
      <c r="U244" s="7"/>
      <c r="V244" s="7"/>
      <c r="X244" s="7"/>
      <c r="Y244" s="7"/>
      <c r="Z244" s="7"/>
      <c r="AA244" s="7" t="str">
        <f t="shared" si="21"/>
        <v/>
      </c>
      <c r="AB244" s="7"/>
      <c r="AC244" s="7"/>
      <c r="AQ244" s="7" t="str">
        <f t="shared" si="22"/>
        <v/>
      </c>
      <c r="AR244" s="7" t="str">
        <f t="shared" si="23"/>
        <v/>
      </c>
      <c r="AS244" s="7" t="str">
        <f t="shared" si="24"/>
        <v/>
      </c>
      <c r="AT244" s="7" t="str">
        <f t="shared" si="25"/>
        <v/>
      </c>
      <c r="AU244" s="7" t="str">
        <f t="shared" si="26"/>
        <v/>
      </c>
      <c r="AV244" s="7" t="str">
        <f t="shared" si="27"/>
        <v/>
      </c>
      <c r="AW244" s="7" t="str">
        <f>IF('RFQ-Input'!O243="","",'RFQ-Input'!O243)</f>
        <v/>
      </c>
      <c r="AX244" s="7" t="str">
        <f>IF('RFQ-Input'!S243="","",'RFQ-Input'!S243)</f>
        <v/>
      </c>
      <c r="AY244" s="7" t="str">
        <f>IF('RFQ-Input'!V243="","",'RFQ-Input'!V243)</f>
        <v/>
      </c>
      <c r="AZ244" s="7" t="str">
        <f>IF('RFQ-Input'!Y243="","",'RFQ-Input'!Y243)</f>
        <v/>
      </c>
      <c r="BA244" s="7" t="str">
        <f>IF('RFQ-Input'!AB243="","",'RFQ-Input'!AB243)</f>
        <v/>
      </c>
    </row>
    <row r="245" spans="1:53">
      <c r="A245" s="20">
        <v>241</v>
      </c>
      <c r="B245" s="7"/>
      <c r="C245" s="7" t="str">
        <f>IF('RFQ-Input'!C244="","",'RFQ-Input'!C244)</f>
        <v/>
      </c>
      <c r="D245" s="7" t="str">
        <f>IF('RFQ-Input'!D244="","",'RFQ-Input'!D244)</f>
        <v/>
      </c>
      <c r="E245" s="7" t="str">
        <f>IF('RFQ-Input'!E244="","",'RFQ-Input'!E244)</f>
        <v/>
      </c>
      <c r="F245" s="7" t="str">
        <f>IF('RFQ-Input'!F244="","",'RFQ-Input'!F244)</f>
        <v/>
      </c>
      <c r="G245" s="7" t="str">
        <f>IF('RFQ-Input'!G244="","",'RFQ-Input'!G244)</f>
        <v/>
      </c>
      <c r="H245" s="7" t="str">
        <f>IF('RFQ-Input'!H244="","",'RFQ-Input'!H244)</f>
        <v/>
      </c>
      <c r="I245" s="7" t="str">
        <f>IF('RFQ-Input'!I244="","",'RFQ-Input'!I244)</f>
        <v/>
      </c>
      <c r="J245" s="7" t="str">
        <f>IF('RFQ-Input'!J244="","",'RFQ-Input'!J244)</f>
        <v/>
      </c>
      <c r="K245" s="7" t="str">
        <f>IF('RFQ-Input'!K244="","",'RFQ-Input'!K244)</f>
        <v/>
      </c>
      <c r="L245" s="7" t="str">
        <f>IF('RFQ-Input'!L244="","",'RFQ-Input'!L244)</f>
        <v/>
      </c>
      <c r="M245" s="7" t="str">
        <f>IF('RFQ-Input'!M244="","",'RFQ-Input'!M244)</f>
        <v/>
      </c>
      <c r="N245" s="7" t="str">
        <f>IF('RFQ-Input'!N244="","",'RFQ-Input'!N244)</f>
        <v/>
      </c>
      <c r="O245" s="7" t="str">
        <f>IF('RFQ-Input'!O244="","",'RFQ-Input'!O244)</f>
        <v/>
      </c>
      <c r="Q245" s="7"/>
      <c r="R245" s="7"/>
      <c r="S245" s="7"/>
      <c r="T245" s="7"/>
      <c r="U245" s="7"/>
      <c r="V245" s="7"/>
      <c r="X245" s="7"/>
      <c r="Y245" s="7"/>
      <c r="Z245" s="7"/>
      <c r="AA245" s="7" t="str">
        <f t="shared" si="21"/>
        <v/>
      </c>
      <c r="AB245" s="7"/>
      <c r="AC245" s="7"/>
      <c r="AQ245" s="7" t="str">
        <f t="shared" si="22"/>
        <v/>
      </c>
      <c r="AR245" s="7" t="str">
        <f t="shared" si="23"/>
        <v/>
      </c>
      <c r="AS245" s="7" t="str">
        <f t="shared" si="24"/>
        <v/>
      </c>
      <c r="AT245" s="7" t="str">
        <f t="shared" si="25"/>
        <v/>
      </c>
      <c r="AU245" s="7" t="str">
        <f t="shared" si="26"/>
        <v/>
      </c>
      <c r="AV245" s="7" t="str">
        <f t="shared" si="27"/>
        <v/>
      </c>
      <c r="AW245" s="7" t="str">
        <f>IF('RFQ-Input'!O244="","",'RFQ-Input'!O244)</f>
        <v/>
      </c>
      <c r="AX245" s="7" t="str">
        <f>IF('RFQ-Input'!S244="","",'RFQ-Input'!S244)</f>
        <v/>
      </c>
      <c r="AY245" s="7" t="str">
        <f>IF('RFQ-Input'!V244="","",'RFQ-Input'!V244)</f>
        <v/>
      </c>
      <c r="AZ245" s="7" t="str">
        <f>IF('RFQ-Input'!Y244="","",'RFQ-Input'!Y244)</f>
        <v/>
      </c>
      <c r="BA245" s="7" t="str">
        <f>IF('RFQ-Input'!AB244="","",'RFQ-Input'!AB244)</f>
        <v/>
      </c>
    </row>
    <row r="246" spans="1:53">
      <c r="A246" s="20">
        <v>242</v>
      </c>
      <c r="B246" s="7"/>
      <c r="C246" s="7" t="str">
        <f>IF('RFQ-Input'!C245="","",'RFQ-Input'!C245)</f>
        <v/>
      </c>
      <c r="D246" s="7" t="str">
        <f>IF('RFQ-Input'!D245="","",'RFQ-Input'!D245)</f>
        <v/>
      </c>
      <c r="E246" s="7" t="str">
        <f>IF('RFQ-Input'!E245="","",'RFQ-Input'!E245)</f>
        <v/>
      </c>
      <c r="F246" s="7" t="str">
        <f>IF('RFQ-Input'!F245="","",'RFQ-Input'!F245)</f>
        <v/>
      </c>
      <c r="G246" s="7" t="str">
        <f>IF('RFQ-Input'!G245="","",'RFQ-Input'!G245)</f>
        <v/>
      </c>
      <c r="H246" s="7" t="str">
        <f>IF('RFQ-Input'!H245="","",'RFQ-Input'!H245)</f>
        <v/>
      </c>
      <c r="I246" s="7" t="str">
        <f>IF('RFQ-Input'!I245="","",'RFQ-Input'!I245)</f>
        <v/>
      </c>
      <c r="J246" s="7" t="str">
        <f>IF('RFQ-Input'!J245="","",'RFQ-Input'!J245)</f>
        <v/>
      </c>
      <c r="K246" s="7" t="str">
        <f>IF('RFQ-Input'!K245="","",'RFQ-Input'!K245)</f>
        <v/>
      </c>
      <c r="L246" s="7" t="str">
        <f>IF('RFQ-Input'!L245="","",'RFQ-Input'!L245)</f>
        <v/>
      </c>
      <c r="M246" s="7" t="str">
        <f>IF('RFQ-Input'!M245="","",'RFQ-Input'!M245)</f>
        <v/>
      </c>
      <c r="N246" s="7" t="str">
        <f>IF('RFQ-Input'!N245="","",'RFQ-Input'!N245)</f>
        <v/>
      </c>
      <c r="O246" s="7" t="str">
        <f>IF('RFQ-Input'!O245="","",'RFQ-Input'!O245)</f>
        <v/>
      </c>
      <c r="Q246" s="7"/>
      <c r="R246" s="7"/>
      <c r="S246" s="7"/>
      <c r="T246" s="7"/>
      <c r="U246" s="7"/>
      <c r="V246" s="7"/>
      <c r="X246" s="7"/>
      <c r="Y246" s="7"/>
      <c r="Z246" s="7"/>
      <c r="AA246" s="7" t="str">
        <f t="shared" si="21"/>
        <v/>
      </c>
      <c r="AB246" s="7"/>
      <c r="AC246" s="7"/>
      <c r="AQ246" s="7" t="str">
        <f t="shared" si="22"/>
        <v/>
      </c>
      <c r="AR246" s="7" t="str">
        <f t="shared" si="23"/>
        <v/>
      </c>
      <c r="AS246" s="7" t="str">
        <f t="shared" si="24"/>
        <v/>
      </c>
      <c r="AT246" s="7" t="str">
        <f t="shared" si="25"/>
        <v/>
      </c>
      <c r="AU246" s="7" t="str">
        <f t="shared" si="26"/>
        <v/>
      </c>
      <c r="AV246" s="7" t="str">
        <f t="shared" si="27"/>
        <v/>
      </c>
      <c r="AW246" s="7" t="str">
        <f>IF('RFQ-Input'!O245="","",'RFQ-Input'!O245)</f>
        <v/>
      </c>
      <c r="AX246" s="7" t="str">
        <f>IF('RFQ-Input'!S245="","",'RFQ-Input'!S245)</f>
        <v/>
      </c>
      <c r="AY246" s="7" t="str">
        <f>IF('RFQ-Input'!V245="","",'RFQ-Input'!V245)</f>
        <v/>
      </c>
      <c r="AZ246" s="7" t="str">
        <f>IF('RFQ-Input'!Y245="","",'RFQ-Input'!Y245)</f>
        <v/>
      </c>
      <c r="BA246" s="7" t="str">
        <f>IF('RFQ-Input'!AB245="","",'RFQ-Input'!AB245)</f>
        <v/>
      </c>
    </row>
    <row r="247" spans="1:53">
      <c r="A247" s="20">
        <v>243</v>
      </c>
      <c r="B247" s="7"/>
      <c r="C247" s="7" t="str">
        <f>IF('RFQ-Input'!C246="","",'RFQ-Input'!C246)</f>
        <v/>
      </c>
      <c r="D247" s="7" t="str">
        <f>IF('RFQ-Input'!D246="","",'RFQ-Input'!D246)</f>
        <v/>
      </c>
      <c r="E247" s="7" t="str">
        <f>IF('RFQ-Input'!E246="","",'RFQ-Input'!E246)</f>
        <v/>
      </c>
      <c r="F247" s="7" t="str">
        <f>IF('RFQ-Input'!F246="","",'RFQ-Input'!F246)</f>
        <v/>
      </c>
      <c r="G247" s="7" t="str">
        <f>IF('RFQ-Input'!G246="","",'RFQ-Input'!G246)</f>
        <v/>
      </c>
      <c r="H247" s="7" t="str">
        <f>IF('RFQ-Input'!H246="","",'RFQ-Input'!H246)</f>
        <v/>
      </c>
      <c r="I247" s="7" t="str">
        <f>IF('RFQ-Input'!I246="","",'RFQ-Input'!I246)</f>
        <v/>
      </c>
      <c r="J247" s="7" t="str">
        <f>IF('RFQ-Input'!J246="","",'RFQ-Input'!J246)</f>
        <v/>
      </c>
      <c r="K247" s="7" t="str">
        <f>IF('RFQ-Input'!K246="","",'RFQ-Input'!K246)</f>
        <v/>
      </c>
      <c r="L247" s="7" t="str">
        <f>IF('RFQ-Input'!L246="","",'RFQ-Input'!L246)</f>
        <v/>
      </c>
      <c r="M247" s="7" t="str">
        <f>IF('RFQ-Input'!M246="","",'RFQ-Input'!M246)</f>
        <v/>
      </c>
      <c r="N247" s="7" t="str">
        <f>IF('RFQ-Input'!N246="","",'RFQ-Input'!N246)</f>
        <v/>
      </c>
      <c r="O247" s="7" t="str">
        <f>IF('RFQ-Input'!O246="","",'RFQ-Input'!O246)</f>
        <v/>
      </c>
      <c r="Q247" s="7"/>
      <c r="R247" s="7"/>
      <c r="S247" s="7"/>
      <c r="T247" s="7"/>
      <c r="U247" s="7"/>
      <c r="V247" s="7"/>
      <c r="X247" s="7"/>
      <c r="Y247" s="7"/>
      <c r="Z247" s="7"/>
      <c r="AA247" s="7" t="str">
        <f t="shared" si="21"/>
        <v/>
      </c>
      <c r="AB247" s="7"/>
      <c r="AC247" s="7"/>
      <c r="AQ247" s="7" t="str">
        <f t="shared" si="22"/>
        <v/>
      </c>
      <c r="AR247" s="7" t="str">
        <f t="shared" si="23"/>
        <v/>
      </c>
      <c r="AS247" s="7" t="str">
        <f t="shared" si="24"/>
        <v/>
      </c>
      <c r="AT247" s="7" t="str">
        <f t="shared" si="25"/>
        <v/>
      </c>
      <c r="AU247" s="7" t="str">
        <f t="shared" si="26"/>
        <v/>
      </c>
      <c r="AV247" s="7" t="str">
        <f t="shared" si="27"/>
        <v/>
      </c>
      <c r="AW247" s="7" t="str">
        <f>IF('RFQ-Input'!O246="","",'RFQ-Input'!O246)</f>
        <v/>
      </c>
      <c r="AX247" s="7" t="str">
        <f>IF('RFQ-Input'!S246="","",'RFQ-Input'!S246)</f>
        <v/>
      </c>
      <c r="AY247" s="7" t="str">
        <f>IF('RFQ-Input'!V246="","",'RFQ-Input'!V246)</f>
        <v/>
      </c>
      <c r="AZ247" s="7" t="str">
        <f>IF('RFQ-Input'!Y246="","",'RFQ-Input'!Y246)</f>
        <v/>
      </c>
      <c r="BA247" s="7" t="str">
        <f>IF('RFQ-Input'!AB246="","",'RFQ-Input'!AB246)</f>
        <v/>
      </c>
    </row>
    <row r="248" spans="1:53">
      <c r="A248" s="20">
        <v>244</v>
      </c>
      <c r="B248" s="7"/>
      <c r="C248" s="7" t="str">
        <f>IF('RFQ-Input'!C247="","",'RFQ-Input'!C247)</f>
        <v/>
      </c>
      <c r="D248" s="7" t="str">
        <f>IF('RFQ-Input'!D247="","",'RFQ-Input'!D247)</f>
        <v/>
      </c>
      <c r="E248" s="7" t="str">
        <f>IF('RFQ-Input'!E247="","",'RFQ-Input'!E247)</f>
        <v/>
      </c>
      <c r="F248" s="7" t="str">
        <f>IF('RFQ-Input'!F247="","",'RFQ-Input'!F247)</f>
        <v/>
      </c>
      <c r="G248" s="7" t="str">
        <f>IF('RFQ-Input'!G247="","",'RFQ-Input'!G247)</f>
        <v/>
      </c>
      <c r="H248" s="7" t="str">
        <f>IF('RFQ-Input'!H247="","",'RFQ-Input'!H247)</f>
        <v/>
      </c>
      <c r="I248" s="7" t="str">
        <f>IF('RFQ-Input'!I247="","",'RFQ-Input'!I247)</f>
        <v/>
      </c>
      <c r="J248" s="7" t="str">
        <f>IF('RFQ-Input'!J247="","",'RFQ-Input'!J247)</f>
        <v/>
      </c>
      <c r="K248" s="7" t="str">
        <f>IF('RFQ-Input'!K247="","",'RFQ-Input'!K247)</f>
        <v/>
      </c>
      <c r="L248" s="7" t="str">
        <f>IF('RFQ-Input'!L247="","",'RFQ-Input'!L247)</f>
        <v/>
      </c>
      <c r="M248" s="7" t="str">
        <f>IF('RFQ-Input'!M247="","",'RFQ-Input'!M247)</f>
        <v/>
      </c>
      <c r="N248" s="7" t="str">
        <f>IF('RFQ-Input'!N247="","",'RFQ-Input'!N247)</f>
        <v/>
      </c>
      <c r="O248" s="7" t="str">
        <f>IF('RFQ-Input'!O247="","",'RFQ-Input'!O247)</f>
        <v/>
      </c>
      <c r="Q248" s="7"/>
      <c r="R248" s="7"/>
      <c r="S248" s="7"/>
      <c r="T248" s="7"/>
      <c r="U248" s="7"/>
      <c r="V248" s="7"/>
      <c r="X248" s="7"/>
      <c r="Y248" s="7"/>
      <c r="Z248" s="7"/>
      <c r="AA248" s="7" t="str">
        <f t="shared" si="21"/>
        <v/>
      </c>
      <c r="AB248" s="7"/>
      <c r="AC248" s="7"/>
      <c r="AQ248" s="7" t="str">
        <f t="shared" si="22"/>
        <v/>
      </c>
      <c r="AR248" s="7" t="str">
        <f t="shared" si="23"/>
        <v/>
      </c>
      <c r="AS248" s="7" t="str">
        <f t="shared" si="24"/>
        <v/>
      </c>
      <c r="AT248" s="7" t="str">
        <f t="shared" si="25"/>
        <v/>
      </c>
      <c r="AU248" s="7" t="str">
        <f t="shared" si="26"/>
        <v/>
      </c>
      <c r="AV248" s="7" t="str">
        <f t="shared" si="27"/>
        <v/>
      </c>
      <c r="AW248" s="7" t="str">
        <f>IF('RFQ-Input'!O247="","",'RFQ-Input'!O247)</f>
        <v/>
      </c>
      <c r="AX248" s="7" t="str">
        <f>IF('RFQ-Input'!S247="","",'RFQ-Input'!S247)</f>
        <v/>
      </c>
      <c r="AY248" s="7" t="str">
        <f>IF('RFQ-Input'!V247="","",'RFQ-Input'!V247)</f>
        <v/>
      </c>
      <c r="AZ248" s="7" t="str">
        <f>IF('RFQ-Input'!Y247="","",'RFQ-Input'!Y247)</f>
        <v/>
      </c>
      <c r="BA248" s="7" t="str">
        <f>IF('RFQ-Input'!AB247="","",'RFQ-Input'!AB247)</f>
        <v/>
      </c>
    </row>
    <row r="249" spans="1:53">
      <c r="A249" s="20">
        <v>245</v>
      </c>
      <c r="B249" s="7"/>
      <c r="C249" s="7" t="str">
        <f>IF('RFQ-Input'!C248="","",'RFQ-Input'!C248)</f>
        <v/>
      </c>
      <c r="D249" s="7" t="str">
        <f>IF('RFQ-Input'!D248="","",'RFQ-Input'!D248)</f>
        <v/>
      </c>
      <c r="E249" s="7" t="str">
        <f>IF('RFQ-Input'!E248="","",'RFQ-Input'!E248)</f>
        <v/>
      </c>
      <c r="F249" s="7" t="str">
        <f>IF('RFQ-Input'!F248="","",'RFQ-Input'!F248)</f>
        <v/>
      </c>
      <c r="G249" s="7" t="str">
        <f>IF('RFQ-Input'!G248="","",'RFQ-Input'!G248)</f>
        <v/>
      </c>
      <c r="H249" s="7" t="str">
        <f>IF('RFQ-Input'!H248="","",'RFQ-Input'!H248)</f>
        <v/>
      </c>
      <c r="I249" s="7" t="str">
        <f>IF('RFQ-Input'!I248="","",'RFQ-Input'!I248)</f>
        <v/>
      </c>
      <c r="J249" s="7" t="str">
        <f>IF('RFQ-Input'!J248="","",'RFQ-Input'!J248)</f>
        <v/>
      </c>
      <c r="K249" s="7" t="str">
        <f>IF('RFQ-Input'!K248="","",'RFQ-Input'!K248)</f>
        <v/>
      </c>
      <c r="L249" s="7" t="str">
        <f>IF('RFQ-Input'!L248="","",'RFQ-Input'!L248)</f>
        <v/>
      </c>
      <c r="M249" s="7" t="str">
        <f>IF('RFQ-Input'!M248="","",'RFQ-Input'!M248)</f>
        <v/>
      </c>
      <c r="N249" s="7" t="str">
        <f>IF('RFQ-Input'!N248="","",'RFQ-Input'!N248)</f>
        <v/>
      </c>
      <c r="O249" s="7" t="str">
        <f>IF('RFQ-Input'!O248="","",'RFQ-Input'!O248)</f>
        <v/>
      </c>
      <c r="Q249" s="7"/>
      <c r="R249" s="7"/>
      <c r="S249" s="7"/>
      <c r="T249" s="7"/>
      <c r="U249" s="7"/>
      <c r="V249" s="7"/>
      <c r="X249" s="7"/>
      <c r="Y249" s="7"/>
      <c r="Z249" s="7"/>
      <c r="AA249" s="7" t="str">
        <f t="shared" si="21"/>
        <v/>
      </c>
      <c r="AB249" s="7"/>
      <c r="AC249" s="7"/>
      <c r="AQ249" s="7" t="str">
        <f t="shared" si="22"/>
        <v/>
      </c>
      <c r="AR249" s="7" t="str">
        <f t="shared" si="23"/>
        <v/>
      </c>
      <c r="AS249" s="7" t="str">
        <f t="shared" si="24"/>
        <v/>
      </c>
      <c r="AT249" s="7" t="str">
        <f t="shared" si="25"/>
        <v/>
      </c>
      <c r="AU249" s="7" t="str">
        <f t="shared" si="26"/>
        <v/>
      </c>
      <c r="AV249" s="7" t="str">
        <f t="shared" si="27"/>
        <v/>
      </c>
      <c r="AW249" s="7" t="str">
        <f>IF('RFQ-Input'!O248="","",'RFQ-Input'!O248)</f>
        <v/>
      </c>
      <c r="AX249" s="7" t="str">
        <f>IF('RFQ-Input'!S248="","",'RFQ-Input'!S248)</f>
        <v/>
      </c>
      <c r="AY249" s="7" t="str">
        <f>IF('RFQ-Input'!V248="","",'RFQ-Input'!V248)</f>
        <v/>
      </c>
      <c r="AZ249" s="7" t="str">
        <f>IF('RFQ-Input'!Y248="","",'RFQ-Input'!Y248)</f>
        <v/>
      </c>
      <c r="BA249" s="7" t="str">
        <f>IF('RFQ-Input'!AB248="","",'RFQ-Input'!AB248)</f>
        <v/>
      </c>
    </row>
    <row r="250" spans="1:53">
      <c r="A250" s="20">
        <v>246</v>
      </c>
      <c r="B250" s="7"/>
      <c r="C250" s="7" t="str">
        <f>IF('RFQ-Input'!C249="","",'RFQ-Input'!C249)</f>
        <v/>
      </c>
      <c r="D250" s="7" t="str">
        <f>IF('RFQ-Input'!D249="","",'RFQ-Input'!D249)</f>
        <v/>
      </c>
      <c r="E250" s="7" t="str">
        <f>IF('RFQ-Input'!E249="","",'RFQ-Input'!E249)</f>
        <v/>
      </c>
      <c r="F250" s="7" t="str">
        <f>IF('RFQ-Input'!F249="","",'RFQ-Input'!F249)</f>
        <v/>
      </c>
      <c r="G250" s="7" t="str">
        <f>IF('RFQ-Input'!G249="","",'RFQ-Input'!G249)</f>
        <v/>
      </c>
      <c r="H250" s="7" t="str">
        <f>IF('RFQ-Input'!H249="","",'RFQ-Input'!H249)</f>
        <v/>
      </c>
      <c r="I250" s="7" t="str">
        <f>IF('RFQ-Input'!I249="","",'RFQ-Input'!I249)</f>
        <v/>
      </c>
      <c r="J250" s="7" t="str">
        <f>IF('RFQ-Input'!J249="","",'RFQ-Input'!J249)</f>
        <v/>
      </c>
      <c r="K250" s="7" t="str">
        <f>IF('RFQ-Input'!K249="","",'RFQ-Input'!K249)</f>
        <v/>
      </c>
      <c r="L250" s="7" t="str">
        <f>IF('RFQ-Input'!L249="","",'RFQ-Input'!L249)</f>
        <v/>
      </c>
      <c r="M250" s="7" t="str">
        <f>IF('RFQ-Input'!M249="","",'RFQ-Input'!M249)</f>
        <v/>
      </c>
      <c r="N250" s="7" t="str">
        <f>IF('RFQ-Input'!N249="","",'RFQ-Input'!N249)</f>
        <v/>
      </c>
      <c r="O250" s="7" t="str">
        <f>IF('RFQ-Input'!O249="","",'RFQ-Input'!O249)</f>
        <v/>
      </c>
      <c r="Q250" s="7"/>
      <c r="R250" s="7"/>
      <c r="S250" s="7"/>
      <c r="T250" s="7"/>
      <c r="U250" s="7"/>
      <c r="V250" s="7"/>
      <c r="X250" s="7"/>
      <c r="Y250" s="7"/>
      <c r="Z250" s="7"/>
      <c r="AA250" s="7" t="str">
        <f t="shared" si="21"/>
        <v/>
      </c>
      <c r="AB250" s="7"/>
      <c r="AC250" s="7"/>
      <c r="AQ250" s="7" t="str">
        <f t="shared" si="22"/>
        <v/>
      </c>
      <c r="AR250" s="7" t="str">
        <f t="shared" si="23"/>
        <v/>
      </c>
      <c r="AS250" s="7" t="str">
        <f t="shared" si="24"/>
        <v/>
      </c>
      <c r="AT250" s="7" t="str">
        <f t="shared" si="25"/>
        <v/>
      </c>
      <c r="AU250" s="7" t="str">
        <f t="shared" si="26"/>
        <v/>
      </c>
      <c r="AV250" s="7" t="str">
        <f t="shared" si="27"/>
        <v/>
      </c>
      <c r="AW250" s="7" t="str">
        <f>IF('RFQ-Input'!O249="","",'RFQ-Input'!O249)</f>
        <v/>
      </c>
      <c r="AX250" s="7" t="str">
        <f>IF('RFQ-Input'!S249="","",'RFQ-Input'!S249)</f>
        <v/>
      </c>
      <c r="AY250" s="7" t="str">
        <f>IF('RFQ-Input'!V249="","",'RFQ-Input'!V249)</f>
        <v/>
      </c>
      <c r="AZ250" s="7" t="str">
        <f>IF('RFQ-Input'!Y249="","",'RFQ-Input'!Y249)</f>
        <v/>
      </c>
      <c r="BA250" s="7" t="str">
        <f>IF('RFQ-Input'!AB249="","",'RFQ-Input'!AB249)</f>
        <v/>
      </c>
    </row>
    <row r="251" spans="1:53">
      <c r="A251" s="20">
        <v>247</v>
      </c>
      <c r="B251" s="7"/>
      <c r="C251" s="7" t="str">
        <f>IF('RFQ-Input'!C250="","",'RFQ-Input'!C250)</f>
        <v/>
      </c>
      <c r="D251" s="7" t="str">
        <f>IF('RFQ-Input'!D250="","",'RFQ-Input'!D250)</f>
        <v/>
      </c>
      <c r="E251" s="7" t="str">
        <f>IF('RFQ-Input'!E250="","",'RFQ-Input'!E250)</f>
        <v/>
      </c>
      <c r="F251" s="7" t="str">
        <f>IF('RFQ-Input'!F250="","",'RFQ-Input'!F250)</f>
        <v/>
      </c>
      <c r="G251" s="7" t="str">
        <f>IF('RFQ-Input'!G250="","",'RFQ-Input'!G250)</f>
        <v/>
      </c>
      <c r="H251" s="7" t="str">
        <f>IF('RFQ-Input'!H250="","",'RFQ-Input'!H250)</f>
        <v/>
      </c>
      <c r="I251" s="7" t="str">
        <f>IF('RFQ-Input'!I250="","",'RFQ-Input'!I250)</f>
        <v/>
      </c>
      <c r="J251" s="7" t="str">
        <f>IF('RFQ-Input'!J250="","",'RFQ-Input'!J250)</f>
        <v/>
      </c>
      <c r="K251" s="7" t="str">
        <f>IF('RFQ-Input'!K250="","",'RFQ-Input'!K250)</f>
        <v/>
      </c>
      <c r="L251" s="7" t="str">
        <f>IF('RFQ-Input'!L250="","",'RFQ-Input'!L250)</f>
        <v/>
      </c>
      <c r="M251" s="7" t="str">
        <f>IF('RFQ-Input'!M250="","",'RFQ-Input'!M250)</f>
        <v/>
      </c>
      <c r="N251" s="7" t="str">
        <f>IF('RFQ-Input'!N250="","",'RFQ-Input'!N250)</f>
        <v/>
      </c>
      <c r="O251" s="7" t="str">
        <f>IF('RFQ-Input'!O250="","",'RFQ-Input'!O250)</f>
        <v/>
      </c>
      <c r="Q251" s="7"/>
      <c r="R251" s="7"/>
      <c r="S251" s="7"/>
      <c r="T251" s="7"/>
      <c r="U251" s="7"/>
      <c r="V251" s="7"/>
      <c r="X251" s="7"/>
      <c r="Y251" s="7"/>
      <c r="Z251" s="7"/>
      <c r="AA251" s="7" t="str">
        <f t="shared" si="21"/>
        <v/>
      </c>
      <c r="AB251" s="7"/>
      <c r="AC251" s="7"/>
      <c r="AQ251" s="7" t="str">
        <f t="shared" si="22"/>
        <v/>
      </c>
      <c r="AR251" s="7" t="str">
        <f t="shared" si="23"/>
        <v/>
      </c>
      <c r="AS251" s="7" t="str">
        <f t="shared" si="24"/>
        <v/>
      </c>
      <c r="AT251" s="7" t="str">
        <f t="shared" si="25"/>
        <v/>
      </c>
      <c r="AU251" s="7" t="str">
        <f t="shared" si="26"/>
        <v/>
      </c>
      <c r="AV251" s="7" t="str">
        <f t="shared" si="27"/>
        <v/>
      </c>
      <c r="AW251" s="7" t="str">
        <f>IF('RFQ-Input'!O250="","",'RFQ-Input'!O250)</f>
        <v/>
      </c>
      <c r="AX251" s="7" t="str">
        <f>IF('RFQ-Input'!S250="","",'RFQ-Input'!S250)</f>
        <v/>
      </c>
      <c r="AY251" s="7" t="str">
        <f>IF('RFQ-Input'!V250="","",'RFQ-Input'!V250)</f>
        <v/>
      </c>
      <c r="AZ251" s="7" t="str">
        <f>IF('RFQ-Input'!Y250="","",'RFQ-Input'!Y250)</f>
        <v/>
      </c>
      <c r="BA251" s="7" t="str">
        <f>IF('RFQ-Input'!AB250="","",'RFQ-Input'!AB250)</f>
        <v/>
      </c>
    </row>
    <row r="252" spans="1:53">
      <c r="A252" s="20">
        <v>248</v>
      </c>
      <c r="B252" s="7"/>
      <c r="C252" s="7" t="str">
        <f>IF('RFQ-Input'!C251="","",'RFQ-Input'!C251)</f>
        <v/>
      </c>
      <c r="D252" s="7" t="str">
        <f>IF('RFQ-Input'!D251="","",'RFQ-Input'!D251)</f>
        <v/>
      </c>
      <c r="E252" s="7" t="str">
        <f>IF('RFQ-Input'!E251="","",'RFQ-Input'!E251)</f>
        <v/>
      </c>
      <c r="F252" s="7" t="str">
        <f>IF('RFQ-Input'!F251="","",'RFQ-Input'!F251)</f>
        <v/>
      </c>
      <c r="G252" s="7" t="str">
        <f>IF('RFQ-Input'!G251="","",'RFQ-Input'!G251)</f>
        <v/>
      </c>
      <c r="H252" s="7" t="str">
        <f>IF('RFQ-Input'!H251="","",'RFQ-Input'!H251)</f>
        <v/>
      </c>
      <c r="I252" s="7" t="str">
        <f>IF('RFQ-Input'!I251="","",'RFQ-Input'!I251)</f>
        <v/>
      </c>
      <c r="J252" s="7" t="str">
        <f>IF('RFQ-Input'!J251="","",'RFQ-Input'!J251)</f>
        <v/>
      </c>
      <c r="K252" s="7" t="str">
        <f>IF('RFQ-Input'!K251="","",'RFQ-Input'!K251)</f>
        <v/>
      </c>
      <c r="L252" s="7" t="str">
        <f>IF('RFQ-Input'!L251="","",'RFQ-Input'!L251)</f>
        <v/>
      </c>
      <c r="M252" s="7" t="str">
        <f>IF('RFQ-Input'!M251="","",'RFQ-Input'!M251)</f>
        <v/>
      </c>
      <c r="N252" s="7" t="str">
        <f>IF('RFQ-Input'!N251="","",'RFQ-Input'!N251)</f>
        <v/>
      </c>
      <c r="O252" s="7" t="str">
        <f>IF('RFQ-Input'!O251="","",'RFQ-Input'!O251)</f>
        <v/>
      </c>
      <c r="Q252" s="7"/>
      <c r="R252" s="7"/>
      <c r="S252" s="7"/>
      <c r="T252" s="7"/>
      <c r="U252" s="7"/>
      <c r="V252" s="7"/>
      <c r="X252" s="7"/>
      <c r="Y252" s="7"/>
      <c r="Z252" s="7"/>
      <c r="AA252" s="7" t="str">
        <f t="shared" si="21"/>
        <v/>
      </c>
      <c r="AB252" s="7"/>
      <c r="AC252" s="7"/>
      <c r="AQ252" s="7" t="str">
        <f t="shared" si="22"/>
        <v/>
      </c>
      <c r="AR252" s="7" t="str">
        <f t="shared" si="23"/>
        <v/>
      </c>
      <c r="AS252" s="7" t="str">
        <f t="shared" si="24"/>
        <v/>
      </c>
      <c r="AT252" s="7" t="str">
        <f t="shared" si="25"/>
        <v/>
      </c>
      <c r="AU252" s="7" t="str">
        <f t="shared" si="26"/>
        <v/>
      </c>
      <c r="AV252" s="7" t="str">
        <f t="shared" si="27"/>
        <v/>
      </c>
      <c r="AW252" s="7" t="str">
        <f>IF('RFQ-Input'!O251="","",'RFQ-Input'!O251)</f>
        <v/>
      </c>
      <c r="AX252" s="7" t="str">
        <f>IF('RFQ-Input'!S251="","",'RFQ-Input'!S251)</f>
        <v/>
      </c>
      <c r="AY252" s="7" t="str">
        <f>IF('RFQ-Input'!V251="","",'RFQ-Input'!V251)</f>
        <v/>
      </c>
      <c r="AZ252" s="7" t="str">
        <f>IF('RFQ-Input'!Y251="","",'RFQ-Input'!Y251)</f>
        <v/>
      </c>
      <c r="BA252" s="7" t="str">
        <f>IF('RFQ-Input'!AB251="","",'RFQ-Input'!AB251)</f>
        <v/>
      </c>
    </row>
    <row r="253" spans="1:53">
      <c r="A253" s="20">
        <v>249</v>
      </c>
      <c r="B253" s="7"/>
      <c r="C253" s="7" t="str">
        <f>IF('RFQ-Input'!C252="","",'RFQ-Input'!C252)</f>
        <v/>
      </c>
      <c r="D253" s="7" t="str">
        <f>IF('RFQ-Input'!D252="","",'RFQ-Input'!D252)</f>
        <v/>
      </c>
      <c r="E253" s="7" t="str">
        <f>IF('RFQ-Input'!E252="","",'RFQ-Input'!E252)</f>
        <v/>
      </c>
      <c r="F253" s="7" t="str">
        <f>IF('RFQ-Input'!F252="","",'RFQ-Input'!F252)</f>
        <v/>
      </c>
      <c r="G253" s="7" t="str">
        <f>IF('RFQ-Input'!G252="","",'RFQ-Input'!G252)</f>
        <v/>
      </c>
      <c r="H253" s="7" t="str">
        <f>IF('RFQ-Input'!H252="","",'RFQ-Input'!H252)</f>
        <v/>
      </c>
      <c r="I253" s="7" t="str">
        <f>IF('RFQ-Input'!I252="","",'RFQ-Input'!I252)</f>
        <v/>
      </c>
      <c r="J253" s="7" t="str">
        <f>IF('RFQ-Input'!J252="","",'RFQ-Input'!J252)</f>
        <v/>
      </c>
      <c r="K253" s="7" t="str">
        <f>IF('RFQ-Input'!K252="","",'RFQ-Input'!K252)</f>
        <v/>
      </c>
      <c r="L253" s="7" t="str">
        <f>IF('RFQ-Input'!L252="","",'RFQ-Input'!L252)</f>
        <v/>
      </c>
      <c r="M253" s="7" t="str">
        <f>IF('RFQ-Input'!M252="","",'RFQ-Input'!M252)</f>
        <v/>
      </c>
      <c r="N253" s="7" t="str">
        <f>IF('RFQ-Input'!N252="","",'RFQ-Input'!N252)</f>
        <v/>
      </c>
      <c r="O253" s="7" t="str">
        <f>IF('RFQ-Input'!O252="","",'RFQ-Input'!O252)</f>
        <v/>
      </c>
      <c r="Q253" s="7"/>
      <c r="R253" s="7"/>
      <c r="S253" s="7"/>
      <c r="T253" s="7"/>
      <c r="U253" s="7"/>
      <c r="V253" s="7"/>
      <c r="X253" s="7"/>
      <c r="Y253" s="7"/>
      <c r="Z253" s="7"/>
      <c r="AA253" s="7" t="str">
        <f t="shared" si="21"/>
        <v/>
      </c>
      <c r="AB253" s="7"/>
      <c r="AC253" s="7"/>
      <c r="AQ253" s="7" t="str">
        <f t="shared" si="22"/>
        <v/>
      </c>
      <c r="AR253" s="7" t="str">
        <f t="shared" si="23"/>
        <v/>
      </c>
      <c r="AS253" s="7" t="str">
        <f t="shared" si="24"/>
        <v/>
      </c>
      <c r="AT253" s="7" t="str">
        <f t="shared" si="25"/>
        <v/>
      </c>
      <c r="AU253" s="7" t="str">
        <f t="shared" si="26"/>
        <v/>
      </c>
      <c r="AV253" s="7" t="str">
        <f t="shared" si="27"/>
        <v/>
      </c>
      <c r="AW253" s="7" t="str">
        <f>IF('RFQ-Input'!O252="","",'RFQ-Input'!O252)</f>
        <v/>
      </c>
      <c r="AX253" s="7" t="str">
        <f>IF('RFQ-Input'!S252="","",'RFQ-Input'!S252)</f>
        <v/>
      </c>
      <c r="AY253" s="7" t="str">
        <f>IF('RFQ-Input'!V252="","",'RFQ-Input'!V252)</f>
        <v/>
      </c>
      <c r="AZ253" s="7" t="str">
        <f>IF('RFQ-Input'!Y252="","",'RFQ-Input'!Y252)</f>
        <v/>
      </c>
      <c r="BA253" s="7" t="str">
        <f>IF('RFQ-Input'!AB252="","",'RFQ-Input'!AB252)</f>
        <v/>
      </c>
    </row>
    <row r="254" spans="1:53">
      <c r="A254" s="20">
        <v>250</v>
      </c>
      <c r="B254" s="7"/>
      <c r="C254" s="7" t="str">
        <f>IF('RFQ-Input'!C253="","",'RFQ-Input'!C253)</f>
        <v/>
      </c>
      <c r="D254" s="7" t="str">
        <f>IF('RFQ-Input'!D253="","",'RFQ-Input'!D253)</f>
        <v/>
      </c>
      <c r="E254" s="7" t="str">
        <f>IF('RFQ-Input'!E253="","",'RFQ-Input'!E253)</f>
        <v/>
      </c>
      <c r="F254" s="7" t="str">
        <f>IF('RFQ-Input'!F253="","",'RFQ-Input'!F253)</f>
        <v/>
      </c>
      <c r="G254" s="7" t="str">
        <f>IF('RFQ-Input'!G253="","",'RFQ-Input'!G253)</f>
        <v/>
      </c>
      <c r="H254" s="7" t="str">
        <f>IF('RFQ-Input'!H253="","",'RFQ-Input'!H253)</f>
        <v/>
      </c>
      <c r="I254" s="7" t="str">
        <f>IF('RFQ-Input'!I253="","",'RFQ-Input'!I253)</f>
        <v/>
      </c>
      <c r="J254" s="7" t="str">
        <f>IF('RFQ-Input'!J253="","",'RFQ-Input'!J253)</f>
        <v/>
      </c>
      <c r="K254" s="7" t="str">
        <f>IF('RFQ-Input'!K253="","",'RFQ-Input'!K253)</f>
        <v/>
      </c>
      <c r="L254" s="7" t="str">
        <f>IF('RFQ-Input'!L253="","",'RFQ-Input'!L253)</f>
        <v/>
      </c>
      <c r="M254" s="7" t="str">
        <f>IF('RFQ-Input'!M253="","",'RFQ-Input'!M253)</f>
        <v/>
      </c>
      <c r="N254" s="7" t="str">
        <f>IF('RFQ-Input'!N253="","",'RFQ-Input'!N253)</f>
        <v/>
      </c>
      <c r="O254" s="7" t="str">
        <f>IF('RFQ-Input'!O253="","",'RFQ-Input'!O253)</f>
        <v/>
      </c>
      <c r="Q254" s="7"/>
      <c r="R254" s="7"/>
      <c r="S254" s="7"/>
      <c r="T254" s="7"/>
      <c r="U254" s="7"/>
      <c r="V254" s="7"/>
      <c r="X254" s="7"/>
      <c r="Y254" s="7"/>
      <c r="Z254" s="7"/>
      <c r="AA254" s="7" t="str">
        <f t="shared" si="21"/>
        <v/>
      </c>
      <c r="AB254" s="7"/>
      <c r="AC254" s="7"/>
      <c r="AQ254" s="7" t="str">
        <f t="shared" si="22"/>
        <v/>
      </c>
      <c r="AR254" s="7" t="str">
        <f t="shared" si="23"/>
        <v/>
      </c>
      <c r="AS254" s="7" t="str">
        <f t="shared" si="24"/>
        <v/>
      </c>
      <c r="AT254" s="7" t="str">
        <f t="shared" si="25"/>
        <v/>
      </c>
      <c r="AU254" s="7" t="str">
        <f t="shared" si="26"/>
        <v/>
      </c>
      <c r="AV254" s="7" t="str">
        <f t="shared" si="27"/>
        <v/>
      </c>
      <c r="AW254" s="7" t="str">
        <f>IF('RFQ-Input'!O253="","",'RFQ-Input'!O253)</f>
        <v/>
      </c>
      <c r="AX254" s="7" t="str">
        <f>IF('RFQ-Input'!S253="","",'RFQ-Input'!S253)</f>
        <v/>
      </c>
      <c r="AY254" s="7" t="str">
        <f>IF('RFQ-Input'!V253="","",'RFQ-Input'!V253)</f>
        <v/>
      </c>
      <c r="AZ254" s="7" t="str">
        <f>IF('RFQ-Input'!Y253="","",'RFQ-Input'!Y253)</f>
        <v/>
      </c>
      <c r="BA254" s="7" t="str">
        <f>IF('RFQ-Input'!AB253="","",'RFQ-Input'!AB253)</f>
        <v/>
      </c>
    </row>
    <row r="255" spans="1:53">
      <c r="A255" s="20">
        <v>251</v>
      </c>
      <c r="B255" s="7"/>
      <c r="C255" s="7" t="str">
        <f>IF('RFQ-Input'!C254="","",'RFQ-Input'!C254)</f>
        <v/>
      </c>
      <c r="D255" s="7" t="str">
        <f>IF('RFQ-Input'!D254="","",'RFQ-Input'!D254)</f>
        <v/>
      </c>
      <c r="E255" s="7" t="str">
        <f>IF('RFQ-Input'!E254="","",'RFQ-Input'!E254)</f>
        <v/>
      </c>
      <c r="F255" s="7" t="str">
        <f>IF('RFQ-Input'!F254="","",'RFQ-Input'!F254)</f>
        <v/>
      </c>
      <c r="G255" s="7" t="str">
        <f>IF('RFQ-Input'!G254="","",'RFQ-Input'!G254)</f>
        <v/>
      </c>
      <c r="H255" s="7" t="str">
        <f>IF('RFQ-Input'!H254="","",'RFQ-Input'!H254)</f>
        <v/>
      </c>
      <c r="I255" s="7" t="str">
        <f>IF('RFQ-Input'!I254="","",'RFQ-Input'!I254)</f>
        <v/>
      </c>
      <c r="J255" s="7" t="str">
        <f>IF('RFQ-Input'!J254="","",'RFQ-Input'!J254)</f>
        <v/>
      </c>
      <c r="K255" s="7" t="str">
        <f>IF('RFQ-Input'!K254="","",'RFQ-Input'!K254)</f>
        <v/>
      </c>
      <c r="L255" s="7" t="str">
        <f>IF('RFQ-Input'!L254="","",'RFQ-Input'!L254)</f>
        <v/>
      </c>
      <c r="M255" s="7" t="str">
        <f>IF('RFQ-Input'!M254="","",'RFQ-Input'!M254)</f>
        <v/>
      </c>
      <c r="N255" s="7" t="str">
        <f>IF('RFQ-Input'!N254="","",'RFQ-Input'!N254)</f>
        <v/>
      </c>
      <c r="O255" s="7" t="str">
        <f>IF('RFQ-Input'!O254="","",'RFQ-Input'!O254)</f>
        <v/>
      </c>
      <c r="Q255" s="7"/>
      <c r="R255" s="7"/>
      <c r="S255" s="7"/>
      <c r="T255" s="7"/>
      <c r="U255" s="7"/>
      <c r="V255" s="7"/>
      <c r="X255" s="7"/>
      <c r="Y255" s="7"/>
      <c r="Z255" s="7"/>
      <c r="AA255" s="7" t="str">
        <f t="shared" si="21"/>
        <v/>
      </c>
      <c r="AB255" s="7"/>
      <c r="AC255" s="7"/>
      <c r="AQ255" s="7" t="str">
        <f t="shared" si="22"/>
        <v/>
      </c>
      <c r="AR255" s="7" t="str">
        <f t="shared" si="23"/>
        <v/>
      </c>
      <c r="AS255" s="7" t="str">
        <f t="shared" si="24"/>
        <v/>
      </c>
      <c r="AT255" s="7" t="str">
        <f t="shared" si="25"/>
        <v/>
      </c>
      <c r="AU255" s="7" t="str">
        <f t="shared" si="26"/>
        <v/>
      </c>
      <c r="AV255" s="7" t="str">
        <f t="shared" si="27"/>
        <v/>
      </c>
      <c r="AW255" s="7" t="str">
        <f>IF('RFQ-Input'!O254="","",'RFQ-Input'!O254)</f>
        <v/>
      </c>
      <c r="AX255" s="7" t="str">
        <f>IF('RFQ-Input'!S254="","",'RFQ-Input'!S254)</f>
        <v/>
      </c>
      <c r="AY255" s="7" t="str">
        <f>IF('RFQ-Input'!V254="","",'RFQ-Input'!V254)</f>
        <v/>
      </c>
      <c r="AZ255" s="7" t="str">
        <f>IF('RFQ-Input'!Y254="","",'RFQ-Input'!Y254)</f>
        <v/>
      </c>
      <c r="BA255" s="7" t="str">
        <f>IF('RFQ-Input'!AB254="","",'RFQ-Input'!AB254)</f>
        <v/>
      </c>
    </row>
    <row r="256" spans="1:53">
      <c r="A256" s="20">
        <v>252</v>
      </c>
      <c r="B256" s="7"/>
      <c r="C256" s="7" t="str">
        <f>IF('RFQ-Input'!C255="","",'RFQ-Input'!C255)</f>
        <v/>
      </c>
      <c r="D256" s="7" t="str">
        <f>IF('RFQ-Input'!D255="","",'RFQ-Input'!D255)</f>
        <v/>
      </c>
      <c r="E256" s="7" t="str">
        <f>IF('RFQ-Input'!E255="","",'RFQ-Input'!E255)</f>
        <v/>
      </c>
      <c r="F256" s="7" t="str">
        <f>IF('RFQ-Input'!F255="","",'RFQ-Input'!F255)</f>
        <v/>
      </c>
      <c r="G256" s="7" t="str">
        <f>IF('RFQ-Input'!G255="","",'RFQ-Input'!G255)</f>
        <v/>
      </c>
      <c r="H256" s="7" t="str">
        <f>IF('RFQ-Input'!H255="","",'RFQ-Input'!H255)</f>
        <v/>
      </c>
      <c r="I256" s="7" t="str">
        <f>IF('RFQ-Input'!I255="","",'RFQ-Input'!I255)</f>
        <v/>
      </c>
      <c r="J256" s="7" t="str">
        <f>IF('RFQ-Input'!J255="","",'RFQ-Input'!J255)</f>
        <v/>
      </c>
      <c r="K256" s="7" t="str">
        <f>IF('RFQ-Input'!K255="","",'RFQ-Input'!K255)</f>
        <v/>
      </c>
      <c r="L256" s="7" t="str">
        <f>IF('RFQ-Input'!L255="","",'RFQ-Input'!L255)</f>
        <v/>
      </c>
      <c r="M256" s="7" t="str">
        <f>IF('RFQ-Input'!M255="","",'RFQ-Input'!M255)</f>
        <v/>
      </c>
      <c r="N256" s="7" t="str">
        <f>IF('RFQ-Input'!N255="","",'RFQ-Input'!N255)</f>
        <v/>
      </c>
      <c r="O256" s="7" t="str">
        <f>IF('RFQ-Input'!O255="","",'RFQ-Input'!O255)</f>
        <v/>
      </c>
      <c r="Q256" s="7"/>
      <c r="R256" s="7"/>
      <c r="S256" s="7"/>
      <c r="T256" s="7"/>
      <c r="U256" s="7"/>
      <c r="V256" s="7"/>
      <c r="X256" s="7"/>
      <c r="Y256" s="7"/>
      <c r="Z256" s="7"/>
      <c r="AA256" s="7" t="str">
        <f t="shared" si="21"/>
        <v/>
      </c>
      <c r="AB256" s="7"/>
      <c r="AC256" s="7"/>
      <c r="AQ256" s="7" t="str">
        <f t="shared" si="22"/>
        <v/>
      </c>
      <c r="AR256" s="7" t="str">
        <f t="shared" si="23"/>
        <v/>
      </c>
      <c r="AS256" s="7" t="str">
        <f t="shared" si="24"/>
        <v/>
      </c>
      <c r="AT256" s="7" t="str">
        <f t="shared" si="25"/>
        <v/>
      </c>
      <c r="AU256" s="7" t="str">
        <f t="shared" si="26"/>
        <v/>
      </c>
      <c r="AV256" s="7" t="str">
        <f t="shared" si="27"/>
        <v/>
      </c>
      <c r="AW256" s="7" t="str">
        <f>IF('RFQ-Input'!O255="","",'RFQ-Input'!O255)</f>
        <v/>
      </c>
      <c r="AX256" s="7" t="str">
        <f>IF('RFQ-Input'!S255="","",'RFQ-Input'!S255)</f>
        <v/>
      </c>
      <c r="AY256" s="7" t="str">
        <f>IF('RFQ-Input'!V255="","",'RFQ-Input'!V255)</f>
        <v/>
      </c>
      <c r="AZ256" s="7" t="str">
        <f>IF('RFQ-Input'!Y255="","",'RFQ-Input'!Y255)</f>
        <v/>
      </c>
      <c r="BA256" s="7" t="str">
        <f>IF('RFQ-Input'!AB255="","",'RFQ-Input'!AB255)</f>
        <v/>
      </c>
    </row>
    <row r="257" spans="1:53">
      <c r="A257" s="20">
        <v>253</v>
      </c>
      <c r="B257" s="7"/>
      <c r="C257" s="7" t="str">
        <f>IF('RFQ-Input'!C256="","",'RFQ-Input'!C256)</f>
        <v/>
      </c>
      <c r="D257" s="7" t="str">
        <f>IF('RFQ-Input'!D256="","",'RFQ-Input'!D256)</f>
        <v/>
      </c>
      <c r="E257" s="7" t="str">
        <f>IF('RFQ-Input'!E256="","",'RFQ-Input'!E256)</f>
        <v/>
      </c>
      <c r="F257" s="7" t="str">
        <f>IF('RFQ-Input'!F256="","",'RFQ-Input'!F256)</f>
        <v/>
      </c>
      <c r="G257" s="7" t="str">
        <f>IF('RFQ-Input'!G256="","",'RFQ-Input'!G256)</f>
        <v/>
      </c>
      <c r="H257" s="7" t="str">
        <f>IF('RFQ-Input'!H256="","",'RFQ-Input'!H256)</f>
        <v/>
      </c>
      <c r="I257" s="7" t="str">
        <f>IF('RFQ-Input'!I256="","",'RFQ-Input'!I256)</f>
        <v/>
      </c>
      <c r="J257" s="7" t="str">
        <f>IF('RFQ-Input'!J256="","",'RFQ-Input'!J256)</f>
        <v/>
      </c>
      <c r="K257" s="7" t="str">
        <f>IF('RFQ-Input'!K256="","",'RFQ-Input'!K256)</f>
        <v/>
      </c>
      <c r="L257" s="7" t="str">
        <f>IF('RFQ-Input'!L256="","",'RFQ-Input'!L256)</f>
        <v/>
      </c>
      <c r="M257" s="7" t="str">
        <f>IF('RFQ-Input'!M256="","",'RFQ-Input'!M256)</f>
        <v/>
      </c>
      <c r="N257" s="7" t="str">
        <f>IF('RFQ-Input'!N256="","",'RFQ-Input'!N256)</f>
        <v/>
      </c>
      <c r="O257" s="7" t="str">
        <f>IF('RFQ-Input'!O256="","",'RFQ-Input'!O256)</f>
        <v/>
      </c>
      <c r="Q257" s="7"/>
      <c r="R257" s="7"/>
      <c r="S257" s="7"/>
      <c r="T257" s="7"/>
      <c r="U257" s="7"/>
      <c r="V257" s="7"/>
      <c r="X257" s="7"/>
      <c r="Y257" s="7"/>
      <c r="Z257" s="7"/>
      <c r="AA257" s="7" t="str">
        <f t="shared" si="21"/>
        <v/>
      </c>
      <c r="AB257" s="7"/>
      <c r="AC257" s="7"/>
      <c r="AQ257" s="7" t="str">
        <f t="shared" si="22"/>
        <v/>
      </c>
      <c r="AR257" s="7" t="str">
        <f t="shared" si="23"/>
        <v/>
      </c>
      <c r="AS257" s="7" t="str">
        <f t="shared" si="24"/>
        <v/>
      </c>
      <c r="AT257" s="7" t="str">
        <f t="shared" si="25"/>
        <v/>
      </c>
      <c r="AU257" s="7" t="str">
        <f t="shared" si="26"/>
        <v/>
      </c>
      <c r="AV257" s="7" t="str">
        <f t="shared" si="27"/>
        <v/>
      </c>
      <c r="AW257" s="7" t="str">
        <f>IF('RFQ-Input'!O256="","",'RFQ-Input'!O256)</f>
        <v/>
      </c>
      <c r="AX257" s="7" t="str">
        <f>IF('RFQ-Input'!S256="","",'RFQ-Input'!S256)</f>
        <v/>
      </c>
      <c r="AY257" s="7" t="str">
        <f>IF('RFQ-Input'!V256="","",'RFQ-Input'!V256)</f>
        <v/>
      </c>
      <c r="AZ257" s="7" t="str">
        <f>IF('RFQ-Input'!Y256="","",'RFQ-Input'!Y256)</f>
        <v/>
      </c>
      <c r="BA257" s="7" t="str">
        <f>IF('RFQ-Input'!AB256="","",'RFQ-Input'!AB256)</f>
        <v/>
      </c>
    </row>
    <row r="258" spans="1:53">
      <c r="A258" s="20">
        <v>254</v>
      </c>
      <c r="B258" s="7"/>
      <c r="C258" s="7" t="str">
        <f>IF('RFQ-Input'!C257="","",'RFQ-Input'!C257)</f>
        <v/>
      </c>
      <c r="D258" s="7" t="str">
        <f>IF('RFQ-Input'!D257="","",'RFQ-Input'!D257)</f>
        <v/>
      </c>
      <c r="E258" s="7" t="str">
        <f>IF('RFQ-Input'!E257="","",'RFQ-Input'!E257)</f>
        <v/>
      </c>
      <c r="F258" s="7" t="str">
        <f>IF('RFQ-Input'!F257="","",'RFQ-Input'!F257)</f>
        <v/>
      </c>
      <c r="G258" s="7" t="str">
        <f>IF('RFQ-Input'!G257="","",'RFQ-Input'!G257)</f>
        <v/>
      </c>
      <c r="H258" s="7" t="str">
        <f>IF('RFQ-Input'!H257="","",'RFQ-Input'!H257)</f>
        <v/>
      </c>
      <c r="I258" s="7" t="str">
        <f>IF('RFQ-Input'!I257="","",'RFQ-Input'!I257)</f>
        <v/>
      </c>
      <c r="J258" s="7" t="str">
        <f>IF('RFQ-Input'!J257="","",'RFQ-Input'!J257)</f>
        <v/>
      </c>
      <c r="K258" s="7" t="str">
        <f>IF('RFQ-Input'!K257="","",'RFQ-Input'!K257)</f>
        <v/>
      </c>
      <c r="L258" s="7" t="str">
        <f>IF('RFQ-Input'!L257="","",'RFQ-Input'!L257)</f>
        <v/>
      </c>
      <c r="M258" s="7" t="str">
        <f>IF('RFQ-Input'!M257="","",'RFQ-Input'!M257)</f>
        <v/>
      </c>
      <c r="N258" s="7" t="str">
        <f>IF('RFQ-Input'!N257="","",'RFQ-Input'!N257)</f>
        <v/>
      </c>
      <c r="O258" s="7" t="str">
        <f>IF('RFQ-Input'!O257="","",'RFQ-Input'!O257)</f>
        <v/>
      </c>
      <c r="Q258" s="7"/>
      <c r="R258" s="7"/>
      <c r="S258" s="7"/>
      <c r="T258" s="7"/>
      <c r="U258" s="7"/>
      <c r="V258" s="7"/>
      <c r="X258" s="7"/>
      <c r="Y258" s="7"/>
      <c r="Z258" s="7"/>
      <c r="AA258" s="7" t="str">
        <f t="shared" si="21"/>
        <v/>
      </c>
      <c r="AB258" s="7"/>
      <c r="AC258" s="7"/>
      <c r="AQ258" s="7" t="str">
        <f t="shared" si="22"/>
        <v/>
      </c>
      <c r="AR258" s="7" t="str">
        <f t="shared" si="23"/>
        <v/>
      </c>
      <c r="AS258" s="7" t="str">
        <f t="shared" si="24"/>
        <v/>
      </c>
      <c r="AT258" s="7" t="str">
        <f t="shared" si="25"/>
        <v/>
      </c>
      <c r="AU258" s="7" t="str">
        <f t="shared" si="26"/>
        <v/>
      </c>
      <c r="AV258" s="7" t="str">
        <f t="shared" si="27"/>
        <v/>
      </c>
      <c r="AW258" s="7" t="str">
        <f>IF('RFQ-Input'!O257="","",'RFQ-Input'!O257)</f>
        <v/>
      </c>
      <c r="AX258" s="7" t="str">
        <f>IF('RFQ-Input'!S257="","",'RFQ-Input'!S257)</f>
        <v/>
      </c>
      <c r="AY258" s="7" t="str">
        <f>IF('RFQ-Input'!V257="","",'RFQ-Input'!V257)</f>
        <v/>
      </c>
      <c r="AZ258" s="7" t="str">
        <f>IF('RFQ-Input'!Y257="","",'RFQ-Input'!Y257)</f>
        <v/>
      </c>
      <c r="BA258" s="7" t="str">
        <f>IF('RFQ-Input'!AB257="","",'RFQ-Input'!AB257)</f>
        <v/>
      </c>
    </row>
    <row r="259" spans="1:53">
      <c r="A259" s="20">
        <v>255</v>
      </c>
      <c r="B259" s="7"/>
      <c r="C259" s="7" t="str">
        <f>IF('RFQ-Input'!C258="","",'RFQ-Input'!C258)</f>
        <v/>
      </c>
      <c r="D259" s="7" t="str">
        <f>IF('RFQ-Input'!D258="","",'RFQ-Input'!D258)</f>
        <v/>
      </c>
      <c r="E259" s="7" t="str">
        <f>IF('RFQ-Input'!E258="","",'RFQ-Input'!E258)</f>
        <v/>
      </c>
      <c r="F259" s="7" t="str">
        <f>IF('RFQ-Input'!F258="","",'RFQ-Input'!F258)</f>
        <v/>
      </c>
      <c r="G259" s="7" t="str">
        <f>IF('RFQ-Input'!G258="","",'RFQ-Input'!G258)</f>
        <v/>
      </c>
      <c r="H259" s="7" t="str">
        <f>IF('RFQ-Input'!H258="","",'RFQ-Input'!H258)</f>
        <v/>
      </c>
      <c r="I259" s="7" t="str">
        <f>IF('RFQ-Input'!I258="","",'RFQ-Input'!I258)</f>
        <v/>
      </c>
      <c r="J259" s="7" t="str">
        <f>IF('RFQ-Input'!J258="","",'RFQ-Input'!J258)</f>
        <v/>
      </c>
      <c r="K259" s="7" t="str">
        <f>IF('RFQ-Input'!K258="","",'RFQ-Input'!K258)</f>
        <v/>
      </c>
      <c r="L259" s="7" t="str">
        <f>IF('RFQ-Input'!L258="","",'RFQ-Input'!L258)</f>
        <v/>
      </c>
      <c r="M259" s="7" t="str">
        <f>IF('RFQ-Input'!M258="","",'RFQ-Input'!M258)</f>
        <v/>
      </c>
      <c r="N259" s="7" t="str">
        <f>IF('RFQ-Input'!N258="","",'RFQ-Input'!N258)</f>
        <v/>
      </c>
      <c r="O259" s="7" t="str">
        <f>IF('RFQ-Input'!O258="","",'RFQ-Input'!O258)</f>
        <v/>
      </c>
      <c r="Q259" s="7"/>
      <c r="R259" s="7"/>
      <c r="S259" s="7"/>
      <c r="T259" s="7"/>
      <c r="U259" s="7"/>
      <c r="V259" s="7"/>
      <c r="X259" s="7"/>
      <c r="Y259" s="7"/>
      <c r="Z259" s="7"/>
      <c r="AA259" s="7" t="str">
        <f t="shared" si="21"/>
        <v/>
      </c>
      <c r="AB259" s="7"/>
      <c r="AC259" s="7"/>
      <c r="AQ259" s="7" t="str">
        <f t="shared" si="22"/>
        <v/>
      </c>
      <c r="AR259" s="7" t="str">
        <f t="shared" si="23"/>
        <v/>
      </c>
      <c r="AS259" s="7" t="str">
        <f t="shared" si="24"/>
        <v/>
      </c>
      <c r="AT259" s="7" t="str">
        <f t="shared" si="25"/>
        <v/>
      </c>
      <c r="AU259" s="7" t="str">
        <f t="shared" si="26"/>
        <v/>
      </c>
      <c r="AV259" s="7" t="str">
        <f t="shared" si="27"/>
        <v/>
      </c>
      <c r="AW259" s="7" t="str">
        <f>IF('RFQ-Input'!O258="","",'RFQ-Input'!O258)</f>
        <v/>
      </c>
      <c r="AX259" s="7" t="str">
        <f>IF('RFQ-Input'!S258="","",'RFQ-Input'!S258)</f>
        <v/>
      </c>
      <c r="AY259" s="7" t="str">
        <f>IF('RFQ-Input'!V258="","",'RFQ-Input'!V258)</f>
        <v/>
      </c>
      <c r="AZ259" s="7" t="str">
        <f>IF('RFQ-Input'!Y258="","",'RFQ-Input'!Y258)</f>
        <v/>
      </c>
      <c r="BA259" s="7" t="str">
        <f>IF('RFQ-Input'!AB258="","",'RFQ-Input'!AB258)</f>
        <v/>
      </c>
    </row>
    <row r="260" spans="1:53">
      <c r="A260" s="20">
        <v>256</v>
      </c>
      <c r="B260" s="7"/>
      <c r="C260" s="7" t="str">
        <f>IF('RFQ-Input'!C259="","",'RFQ-Input'!C259)</f>
        <v/>
      </c>
      <c r="D260" s="7" t="str">
        <f>IF('RFQ-Input'!D259="","",'RFQ-Input'!D259)</f>
        <v/>
      </c>
      <c r="E260" s="7" t="str">
        <f>IF('RFQ-Input'!E259="","",'RFQ-Input'!E259)</f>
        <v/>
      </c>
      <c r="F260" s="7" t="str">
        <f>IF('RFQ-Input'!F259="","",'RFQ-Input'!F259)</f>
        <v/>
      </c>
      <c r="G260" s="7" t="str">
        <f>IF('RFQ-Input'!G259="","",'RFQ-Input'!G259)</f>
        <v/>
      </c>
      <c r="H260" s="7" t="str">
        <f>IF('RFQ-Input'!H259="","",'RFQ-Input'!H259)</f>
        <v/>
      </c>
      <c r="I260" s="7" t="str">
        <f>IF('RFQ-Input'!I259="","",'RFQ-Input'!I259)</f>
        <v/>
      </c>
      <c r="J260" s="7" t="str">
        <f>IF('RFQ-Input'!J259="","",'RFQ-Input'!J259)</f>
        <v/>
      </c>
      <c r="K260" s="7" t="str">
        <f>IF('RFQ-Input'!K259="","",'RFQ-Input'!K259)</f>
        <v/>
      </c>
      <c r="L260" s="7" t="str">
        <f>IF('RFQ-Input'!L259="","",'RFQ-Input'!L259)</f>
        <v/>
      </c>
      <c r="M260" s="7" t="str">
        <f>IF('RFQ-Input'!M259="","",'RFQ-Input'!M259)</f>
        <v/>
      </c>
      <c r="N260" s="7" t="str">
        <f>IF('RFQ-Input'!N259="","",'RFQ-Input'!N259)</f>
        <v/>
      </c>
      <c r="O260" s="7" t="str">
        <f>IF('RFQ-Input'!O259="","",'RFQ-Input'!O259)</f>
        <v/>
      </c>
      <c r="Q260" s="7"/>
      <c r="R260" s="7"/>
      <c r="S260" s="7"/>
      <c r="T260" s="7"/>
      <c r="U260" s="7"/>
      <c r="V260" s="7"/>
      <c r="X260" s="7"/>
      <c r="Y260" s="7"/>
      <c r="Z260" s="7"/>
      <c r="AA260" s="7" t="str">
        <f t="shared" si="21"/>
        <v/>
      </c>
      <c r="AB260" s="7"/>
      <c r="AC260" s="7"/>
      <c r="AQ260" s="7" t="str">
        <f t="shared" si="22"/>
        <v/>
      </c>
      <c r="AR260" s="7" t="str">
        <f t="shared" si="23"/>
        <v/>
      </c>
      <c r="AS260" s="7" t="str">
        <f t="shared" si="24"/>
        <v/>
      </c>
      <c r="AT260" s="7" t="str">
        <f t="shared" si="25"/>
        <v/>
      </c>
      <c r="AU260" s="7" t="str">
        <f t="shared" si="26"/>
        <v/>
      </c>
      <c r="AV260" s="7" t="str">
        <f t="shared" si="27"/>
        <v/>
      </c>
      <c r="AW260" s="7" t="str">
        <f>IF('RFQ-Input'!O259="","",'RFQ-Input'!O259)</f>
        <v/>
      </c>
      <c r="AX260" s="7" t="str">
        <f>IF('RFQ-Input'!S259="","",'RFQ-Input'!S259)</f>
        <v/>
      </c>
      <c r="AY260" s="7" t="str">
        <f>IF('RFQ-Input'!V259="","",'RFQ-Input'!V259)</f>
        <v/>
      </c>
      <c r="AZ260" s="7" t="str">
        <f>IF('RFQ-Input'!Y259="","",'RFQ-Input'!Y259)</f>
        <v/>
      </c>
      <c r="BA260" s="7" t="str">
        <f>IF('RFQ-Input'!AB259="","",'RFQ-Input'!AB259)</f>
        <v/>
      </c>
    </row>
    <row r="261" spans="1:53">
      <c r="A261" s="20">
        <v>257</v>
      </c>
      <c r="B261" s="7"/>
      <c r="C261" s="7" t="str">
        <f>IF('RFQ-Input'!C260="","",'RFQ-Input'!C260)</f>
        <v/>
      </c>
      <c r="D261" s="7" t="str">
        <f>IF('RFQ-Input'!D260="","",'RFQ-Input'!D260)</f>
        <v/>
      </c>
      <c r="E261" s="7" t="str">
        <f>IF('RFQ-Input'!E260="","",'RFQ-Input'!E260)</f>
        <v/>
      </c>
      <c r="F261" s="7" t="str">
        <f>IF('RFQ-Input'!F260="","",'RFQ-Input'!F260)</f>
        <v/>
      </c>
      <c r="G261" s="7" t="str">
        <f>IF('RFQ-Input'!G260="","",'RFQ-Input'!G260)</f>
        <v/>
      </c>
      <c r="H261" s="7" t="str">
        <f>IF('RFQ-Input'!H260="","",'RFQ-Input'!H260)</f>
        <v/>
      </c>
      <c r="I261" s="7" t="str">
        <f>IF('RFQ-Input'!I260="","",'RFQ-Input'!I260)</f>
        <v/>
      </c>
      <c r="J261" s="7" t="str">
        <f>IF('RFQ-Input'!J260="","",'RFQ-Input'!J260)</f>
        <v/>
      </c>
      <c r="K261" s="7" t="str">
        <f>IF('RFQ-Input'!K260="","",'RFQ-Input'!K260)</f>
        <v/>
      </c>
      <c r="L261" s="7" t="str">
        <f>IF('RFQ-Input'!L260="","",'RFQ-Input'!L260)</f>
        <v/>
      </c>
      <c r="M261" s="7" t="str">
        <f>IF('RFQ-Input'!M260="","",'RFQ-Input'!M260)</f>
        <v/>
      </c>
      <c r="N261" s="7" t="str">
        <f>IF('RFQ-Input'!N260="","",'RFQ-Input'!N260)</f>
        <v/>
      </c>
      <c r="O261" s="7" t="str">
        <f>IF('RFQ-Input'!O260="","",'RFQ-Input'!O260)</f>
        <v/>
      </c>
      <c r="Q261" s="7"/>
      <c r="R261" s="7"/>
      <c r="S261" s="7"/>
      <c r="T261" s="7"/>
      <c r="U261" s="7"/>
      <c r="V261" s="7"/>
      <c r="X261" s="7"/>
      <c r="Y261" s="7"/>
      <c r="Z261" s="7"/>
      <c r="AA261" s="7" t="str">
        <f t="shared" ref="AA261:AA324" si="28">IF(AND(L261="",Y261=""),"",L261)</f>
        <v/>
      </c>
      <c r="AB261" s="7"/>
      <c r="AC261" s="7"/>
      <c r="AQ261" s="7" t="str">
        <f t="shared" si="22"/>
        <v/>
      </c>
      <c r="AR261" s="7" t="str">
        <f t="shared" si="23"/>
        <v/>
      </c>
      <c r="AS261" s="7" t="str">
        <f t="shared" si="24"/>
        <v/>
      </c>
      <c r="AT261" s="7" t="str">
        <f t="shared" si="25"/>
        <v/>
      </c>
      <c r="AU261" s="7" t="str">
        <f t="shared" si="26"/>
        <v/>
      </c>
      <c r="AV261" s="7" t="str">
        <f t="shared" si="27"/>
        <v/>
      </c>
      <c r="AW261" s="7" t="str">
        <f>IF('RFQ-Input'!O260="","",'RFQ-Input'!O260)</f>
        <v/>
      </c>
      <c r="AX261" s="7" t="str">
        <f>IF('RFQ-Input'!S260="","",'RFQ-Input'!S260)</f>
        <v/>
      </c>
      <c r="AY261" s="7" t="str">
        <f>IF('RFQ-Input'!V260="","",'RFQ-Input'!V260)</f>
        <v/>
      </c>
      <c r="AZ261" s="7" t="str">
        <f>IF('RFQ-Input'!Y260="","",'RFQ-Input'!Y260)</f>
        <v/>
      </c>
      <c r="BA261" s="7" t="str">
        <f>IF('RFQ-Input'!AB260="","",'RFQ-Input'!AB260)</f>
        <v/>
      </c>
    </row>
    <row r="262" spans="1:53">
      <c r="A262" s="20">
        <v>258</v>
      </c>
      <c r="B262" s="7"/>
      <c r="C262" s="7" t="str">
        <f>IF('RFQ-Input'!C261="","",'RFQ-Input'!C261)</f>
        <v/>
      </c>
      <c r="D262" s="7" t="str">
        <f>IF('RFQ-Input'!D261="","",'RFQ-Input'!D261)</f>
        <v/>
      </c>
      <c r="E262" s="7" t="str">
        <f>IF('RFQ-Input'!E261="","",'RFQ-Input'!E261)</f>
        <v/>
      </c>
      <c r="F262" s="7" t="str">
        <f>IF('RFQ-Input'!F261="","",'RFQ-Input'!F261)</f>
        <v/>
      </c>
      <c r="G262" s="7" t="str">
        <f>IF('RFQ-Input'!G261="","",'RFQ-Input'!G261)</f>
        <v/>
      </c>
      <c r="H262" s="7" t="str">
        <f>IF('RFQ-Input'!H261="","",'RFQ-Input'!H261)</f>
        <v/>
      </c>
      <c r="I262" s="7" t="str">
        <f>IF('RFQ-Input'!I261="","",'RFQ-Input'!I261)</f>
        <v/>
      </c>
      <c r="J262" s="7" t="str">
        <f>IF('RFQ-Input'!J261="","",'RFQ-Input'!J261)</f>
        <v/>
      </c>
      <c r="K262" s="7" t="str">
        <f>IF('RFQ-Input'!K261="","",'RFQ-Input'!K261)</f>
        <v/>
      </c>
      <c r="L262" s="7" t="str">
        <f>IF('RFQ-Input'!L261="","",'RFQ-Input'!L261)</f>
        <v/>
      </c>
      <c r="M262" s="7" t="str">
        <f>IF('RFQ-Input'!M261="","",'RFQ-Input'!M261)</f>
        <v/>
      </c>
      <c r="N262" s="7" t="str">
        <f>IF('RFQ-Input'!N261="","",'RFQ-Input'!N261)</f>
        <v/>
      </c>
      <c r="O262" s="7" t="str">
        <f>IF('RFQ-Input'!O261="","",'RFQ-Input'!O261)</f>
        <v/>
      </c>
      <c r="Q262" s="7"/>
      <c r="R262" s="7"/>
      <c r="S262" s="7"/>
      <c r="T262" s="7"/>
      <c r="U262" s="7"/>
      <c r="V262" s="7"/>
      <c r="X262" s="7"/>
      <c r="Y262" s="7"/>
      <c r="Z262" s="7"/>
      <c r="AA262" s="7" t="str">
        <f t="shared" si="28"/>
        <v/>
      </c>
      <c r="AB262" s="7"/>
      <c r="AC262" s="7"/>
      <c r="AQ262" s="7" t="str">
        <f t="shared" ref="AQ262:AQ325" si="29">IFERROR(SMALL($AW262:$CT262,1),"")</f>
        <v/>
      </c>
      <c r="AR262" s="7" t="str">
        <f t="shared" ref="AR262:AR325" si="30">IF(AQ262="","",INDEX($AW$4:$CT$4,MATCH(AQ262,$AW262:$CT262,0)))</f>
        <v/>
      </c>
      <c r="AS262" s="7" t="str">
        <f t="shared" ref="AS262:AS325" si="31">IFERROR(SMALL($AW262:$CT262,2),"")</f>
        <v/>
      </c>
      <c r="AT262" s="7" t="str">
        <f t="shared" ref="AT262:AT325" si="32">IF(AS262="","",INDEX($AW$4:$CT$4,MATCH(AS262,$AW262:$CT262,0)))</f>
        <v/>
      </c>
      <c r="AU262" s="7" t="str">
        <f t="shared" ref="AU262:AU325" si="33">IFERROR(SMALL($AW262:$CT262,3),"")</f>
        <v/>
      </c>
      <c r="AV262" s="7" t="str">
        <f t="shared" ref="AV262:AV325" si="34">IF(AU262="","",INDEX($AW$4:$CT$4,MATCH(AU262,$AW262:$CT262,0)))</f>
        <v/>
      </c>
      <c r="AW262" s="7" t="str">
        <f>IF('RFQ-Input'!O261="","",'RFQ-Input'!O261)</f>
        <v/>
      </c>
      <c r="AX262" s="7" t="str">
        <f>IF('RFQ-Input'!S261="","",'RFQ-Input'!S261)</f>
        <v/>
      </c>
      <c r="AY262" s="7" t="str">
        <f>IF('RFQ-Input'!V261="","",'RFQ-Input'!V261)</f>
        <v/>
      </c>
      <c r="AZ262" s="7" t="str">
        <f>IF('RFQ-Input'!Y261="","",'RFQ-Input'!Y261)</f>
        <v/>
      </c>
      <c r="BA262" s="7" t="str">
        <f>IF('RFQ-Input'!AB261="","",'RFQ-Input'!AB261)</f>
        <v/>
      </c>
    </row>
    <row r="263" spans="1:53">
      <c r="A263" s="20">
        <v>259</v>
      </c>
      <c r="B263" s="7"/>
      <c r="C263" s="7" t="str">
        <f>IF('RFQ-Input'!C262="","",'RFQ-Input'!C262)</f>
        <v/>
      </c>
      <c r="D263" s="7" t="str">
        <f>IF('RFQ-Input'!D262="","",'RFQ-Input'!D262)</f>
        <v/>
      </c>
      <c r="E263" s="7" t="str">
        <f>IF('RFQ-Input'!E262="","",'RFQ-Input'!E262)</f>
        <v/>
      </c>
      <c r="F263" s="7" t="str">
        <f>IF('RFQ-Input'!F262="","",'RFQ-Input'!F262)</f>
        <v/>
      </c>
      <c r="G263" s="7" t="str">
        <f>IF('RFQ-Input'!G262="","",'RFQ-Input'!G262)</f>
        <v/>
      </c>
      <c r="H263" s="7" t="str">
        <f>IF('RFQ-Input'!H262="","",'RFQ-Input'!H262)</f>
        <v/>
      </c>
      <c r="I263" s="7" t="str">
        <f>IF('RFQ-Input'!I262="","",'RFQ-Input'!I262)</f>
        <v/>
      </c>
      <c r="J263" s="7" t="str">
        <f>IF('RFQ-Input'!J262="","",'RFQ-Input'!J262)</f>
        <v/>
      </c>
      <c r="K263" s="7" t="str">
        <f>IF('RFQ-Input'!K262="","",'RFQ-Input'!K262)</f>
        <v/>
      </c>
      <c r="L263" s="7" t="str">
        <f>IF('RFQ-Input'!L262="","",'RFQ-Input'!L262)</f>
        <v/>
      </c>
      <c r="M263" s="7" t="str">
        <f>IF('RFQ-Input'!M262="","",'RFQ-Input'!M262)</f>
        <v/>
      </c>
      <c r="N263" s="7" t="str">
        <f>IF('RFQ-Input'!N262="","",'RFQ-Input'!N262)</f>
        <v/>
      </c>
      <c r="O263" s="7" t="str">
        <f>IF('RFQ-Input'!O262="","",'RFQ-Input'!O262)</f>
        <v/>
      </c>
      <c r="Q263" s="7"/>
      <c r="R263" s="7"/>
      <c r="S263" s="7"/>
      <c r="T263" s="7"/>
      <c r="U263" s="7"/>
      <c r="V263" s="7"/>
      <c r="X263" s="7"/>
      <c r="Y263" s="7"/>
      <c r="Z263" s="7"/>
      <c r="AA263" s="7" t="str">
        <f t="shared" si="28"/>
        <v/>
      </c>
      <c r="AB263" s="7"/>
      <c r="AC263" s="7"/>
      <c r="AQ263" s="7" t="str">
        <f t="shared" si="29"/>
        <v/>
      </c>
      <c r="AR263" s="7" t="str">
        <f t="shared" si="30"/>
        <v/>
      </c>
      <c r="AS263" s="7" t="str">
        <f t="shared" si="31"/>
        <v/>
      </c>
      <c r="AT263" s="7" t="str">
        <f t="shared" si="32"/>
        <v/>
      </c>
      <c r="AU263" s="7" t="str">
        <f t="shared" si="33"/>
        <v/>
      </c>
      <c r="AV263" s="7" t="str">
        <f t="shared" si="34"/>
        <v/>
      </c>
      <c r="AW263" s="7" t="str">
        <f>IF('RFQ-Input'!O262="","",'RFQ-Input'!O262)</f>
        <v/>
      </c>
      <c r="AX263" s="7" t="str">
        <f>IF('RFQ-Input'!S262="","",'RFQ-Input'!S262)</f>
        <v/>
      </c>
      <c r="AY263" s="7" t="str">
        <f>IF('RFQ-Input'!V262="","",'RFQ-Input'!V262)</f>
        <v/>
      </c>
      <c r="AZ263" s="7" t="str">
        <f>IF('RFQ-Input'!Y262="","",'RFQ-Input'!Y262)</f>
        <v/>
      </c>
      <c r="BA263" s="7" t="str">
        <f>IF('RFQ-Input'!AB262="","",'RFQ-Input'!AB262)</f>
        <v/>
      </c>
    </row>
    <row r="264" spans="1:53">
      <c r="A264" s="20">
        <v>260</v>
      </c>
      <c r="B264" s="7"/>
      <c r="C264" s="7" t="str">
        <f>IF('RFQ-Input'!C263="","",'RFQ-Input'!C263)</f>
        <v/>
      </c>
      <c r="D264" s="7" t="str">
        <f>IF('RFQ-Input'!D263="","",'RFQ-Input'!D263)</f>
        <v/>
      </c>
      <c r="E264" s="7" t="str">
        <f>IF('RFQ-Input'!E263="","",'RFQ-Input'!E263)</f>
        <v/>
      </c>
      <c r="F264" s="7" t="str">
        <f>IF('RFQ-Input'!F263="","",'RFQ-Input'!F263)</f>
        <v/>
      </c>
      <c r="G264" s="7" t="str">
        <f>IF('RFQ-Input'!G263="","",'RFQ-Input'!G263)</f>
        <v/>
      </c>
      <c r="H264" s="7" t="str">
        <f>IF('RFQ-Input'!H263="","",'RFQ-Input'!H263)</f>
        <v/>
      </c>
      <c r="I264" s="7" t="str">
        <f>IF('RFQ-Input'!I263="","",'RFQ-Input'!I263)</f>
        <v/>
      </c>
      <c r="J264" s="7" t="str">
        <f>IF('RFQ-Input'!J263="","",'RFQ-Input'!J263)</f>
        <v/>
      </c>
      <c r="K264" s="7" t="str">
        <f>IF('RFQ-Input'!K263="","",'RFQ-Input'!K263)</f>
        <v/>
      </c>
      <c r="L264" s="7" t="str">
        <f>IF('RFQ-Input'!L263="","",'RFQ-Input'!L263)</f>
        <v/>
      </c>
      <c r="M264" s="7" t="str">
        <f>IF('RFQ-Input'!M263="","",'RFQ-Input'!M263)</f>
        <v/>
      </c>
      <c r="N264" s="7" t="str">
        <f>IF('RFQ-Input'!N263="","",'RFQ-Input'!N263)</f>
        <v/>
      </c>
      <c r="O264" s="7" t="str">
        <f>IF('RFQ-Input'!O263="","",'RFQ-Input'!O263)</f>
        <v/>
      </c>
      <c r="Q264" s="7"/>
      <c r="R264" s="7"/>
      <c r="S264" s="7"/>
      <c r="T264" s="7"/>
      <c r="U264" s="7"/>
      <c r="V264" s="7"/>
      <c r="X264" s="7"/>
      <c r="Y264" s="7"/>
      <c r="Z264" s="7"/>
      <c r="AA264" s="7" t="str">
        <f t="shared" si="28"/>
        <v/>
      </c>
      <c r="AB264" s="7"/>
      <c r="AC264" s="7"/>
      <c r="AQ264" s="7" t="str">
        <f t="shared" si="29"/>
        <v/>
      </c>
      <c r="AR264" s="7" t="str">
        <f t="shared" si="30"/>
        <v/>
      </c>
      <c r="AS264" s="7" t="str">
        <f t="shared" si="31"/>
        <v/>
      </c>
      <c r="AT264" s="7" t="str">
        <f t="shared" si="32"/>
        <v/>
      </c>
      <c r="AU264" s="7" t="str">
        <f t="shared" si="33"/>
        <v/>
      </c>
      <c r="AV264" s="7" t="str">
        <f t="shared" si="34"/>
        <v/>
      </c>
      <c r="AW264" s="7" t="str">
        <f>IF('RFQ-Input'!O263="","",'RFQ-Input'!O263)</f>
        <v/>
      </c>
      <c r="AX264" s="7" t="str">
        <f>IF('RFQ-Input'!S263="","",'RFQ-Input'!S263)</f>
        <v/>
      </c>
      <c r="AY264" s="7" t="str">
        <f>IF('RFQ-Input'!V263="","",'RFQ-Input'!V263)</f>
        <v/>
      </c>
      <c r="AZ264" s="7" t="str">
        <f>IF('RFQ-Input'!Y263="","",'RFQ-Input'!Y263)</f>
        <v/>
      </c>
      <c r="BA264" s="7" t="str">
        <f>IF('RFQ-Input'!AB263="","",'RFQ-Input'!AB263)</f>
        <v/>
      </c>
    </row>
    <row r="265" spans="1:53">
      <c r="A265" s="20">
        <v>261</v>
      </c>
      <c r="B265" s="7"/>
      <c r="C265" s="7" t="str">
        <f>IF('RFQ-Input'!C264="","",'RFQ-Input'!C264)</f>
        <v/>
      </c>
      <c r="D265" s="7" t="str">
        <f>IF('RFQ-Input'!D264="","",'RFQ-Input'!D264)</f>
        <v/>
      </c>
      <c r="E265" s="7" t="str">
        <f>IF('RFQ-Input'!E264="","",'RFQ-Input'!E264)</f>
        <v/>
      </c>
      <c r="F265" s="7" t="str">
        <f>IF('RFQ-Input'!F264="","",'RFQ-Input'!F264)</f>
        <v/>
      </c>
      <c r="G265" s="7" t="str">
        <f>IF('RFQ-Input'!G264="","",'RFQ-Input'!G264)</f>
        <v/>
      </c>
      <c r="H265" s="7" t="str">
        <f>IF('RFQ-Input'!H264="","",'RFQ-Input'!H264)</f>
        <v/>
      </c>
      <c r="I265" s="7" t="str">
        <f>IF('RFQ-Input'!I264="","",'RFQ-Input'!I264)</f>
        <v/>
      </c>
      <c r="J265" s="7" t="str">
        <f>IF('RFQ-Input'!J264="","",'RFQ-Input'!J264)</f>
        <v/>
      </c>
      <c r="K265" s="7" t="str">
        <f>IF('RFQ-Input'!K264="","",'RFQ-Input'!K264)</f>
        <v/>
      </c>
      <c r="L265" s="7" t="str">
        <f>IF('RFQ-Input'!L264="","",'RFQ-Input'!L264)</f>
        <v/>
      </c>
      <c r="M265" s="7" t="str">
        <f>IF('RFQ-Input'!M264="","",'RFQ-Input'!M264)</f>
        <v/>
      </c>
      <c r="N265" s="7" t="str">
        <f>IF('RFQ-Input'!N264="","",'RFQ-Input'!N264)</f>
        <v/>
      </c>
      <c r="O265" s="7" t="str">
        <f>IF('RFQ-Input'!O264="","",'RFQ-Input'!O264)</f>
        <v/>
      </c>
      <c r="Q265" s="7"/>
      <c r="R265" s="7"/>
      <c r="S265" s="7"/>
      <c r="T265" s="7"/>
      <c r="U265" s="7"/>
      <c r="V265" s="7"/>
      <c r="X265" s="7"/>
      <c r="Y265" s="7"/>
      <c r="Z265" s="7"/>
      <c r="AA265" s="7" t="str">
        <f t="shared" si="28"/>
        <v/>
      </c>
      <c r="AB265" s="7"/>
      <c r="AC265" s="7"/>
      <c r="AQ265" s="7" t="str">
        <f t="shared" si="29"/>
        <v/>
      </c>
      <c r="AR265" s="7" t="str">
        <f t="shared" si="30"/>
        <v/>
      </c>
      <c r="AS265" s="7" t="str">
        <f t="shared" si="31"/>
        <v/>
      </c>
      <c r="AT265" s="7" t="str">
        <f t="shared" si="32"/>
        <v/>
      </c>
      <c r="AU265" s="7" t="str">
        <f t="shared" si="33"/>
        <v/>
      </c>
      <c r="AV265" s="7" t="str">
        <f t="shared" si="34"/>
        <v/>
      </c>
      <c r="AW265" s="7" t="str">
        <f>IF('RFQ-Input'!O264="","",'RFQ-Input'!O264)</f>
        <v/>
      </c>
      <c r="AX265" s="7" t="str">
        <f>IF('RFQ-Input'!S264="","",'RFQ-Input'!S264)</f>
        <v/>
      </c>
      <c r="AY265" s="7" t="str">
        <f>IF('RFQ-Input'!V264="","",'RFQ-Input'!V264)</f>
        <v/>
      </c>
      <c r="AZ265" s="7" t="str">
        <f>IF('RFQ-Input'!Y264="","",'RFQ-Input'!Y264)</f>
        <v/>
      </c>
      <c r="BA265" s="7" t="str">
        <f>IF('RFQ-Input'!AB264="","",'RFQ-Input'!AB264)</f>
        <v/>
      </c>
    </row>
    <row r="266" spans="1:53">
      <c r="A266" s="20">
        <v>262</v>
      </c>
      <c r="B266" s="7"/>
      <c r="C266" s="7" t="str">
        <f>IF('RFQ-Input'!C265="","",'RFQ-Input'!C265)</f>
        <v/>
      </c>
      <c r="D266" s="7" t="str">
        <f>IF('RFQ-Input'!D265="","",'RFQ-Input'!D265)</f>
        <v/>
      </c>
      <c r="E266" s="7" t="str">
        <f>IF('RFQ-Input'!E265="","",'RFQ-Input'!E265)</f>
        <v/>
      </c>
      <c r="F266" s="7" t="str">
        <f>IF('RFQ-Input'!F265="","",'RFQ-Input'!F265)</f>
        <v/>
      </c>
      <c r="G266" s="7" t="str">
        <f>IF('RFQ-Input'!G265="","",'RFQ-Input'!G265)</f>
        <v/>
      </c>
      <c r="H266" s="7" t="str">
        <f>IF('RFQ-Input'!H265="","",'RFQ-Input'!H265)</f>
        <v/>
      </c>
      <c r="I266" s="7" t="str">
        <f>IF('RFQ-Input'!I265="","",'RFQ-Input'!I265)</f>
        <v/>
      </c>
      <c r="J266" s="7" t="str">
        <f>IF('RFQ-Input'!J265="","",'RFQ-Input'!J265)</f>
        <v/>
      </c>
      <c r="K266" s="7" t="str">
        <f>IF('RFQ-Input'!K265="","",'RFQ-Input'!K265)</f>
        <v/>
      </c>
      <c r="L266" s="7" t="str">
        <f>IF('RFQ-Input'!L265="","",'RFQ-Input'!L265)</f>
        <v/>
      </c>
      <c r="M266" s="7" t="str">
        <f>IF('RFQ-Input'!M265="","",'RFQ-Input'!M265)</f>
        <v/>
      </c>
      <c r="N266" s="7" t="str">
        <f>IF('RFQ-Input'!N265="","",'RFQ-Input'!N265)</f>
        <v/>
      </c>
      <c r="O266" s="7" t="str">
        <f>IF('RFQ-Input'!O265="","",'RFQ-Input'!O265)</f>
        <v/>
      </c>
      <c r="Q266" s="7"/>
      <c r="R266" s="7"/>
      <c r="S266" s="7"/>
      <c r="T266" s="7"/>
      <c r="U266" s="7"/>
      <c r="V266" s="7"/>
      <c r="X266" s="7"/>
      <c r="Y266" s="7"/>
      <c r="Z266" s="7"/>
      <c r="AA266" s="7" t="str">
        <f t="shared" si="28"/>
        <v/>
      </c>
      <c r="AB266" s="7"/>
      <c r="AC266" s="7"/>
      <c r="AQ266" s="7" t="str">
        <f t="shared" si="29"/>
        <v/>
      </c>
      <c r="AR266" s="7" t="str">
        <f t="shared" si="30"/>
        <v/>
      </c>
      <c r="AS266" s="7" t="str">
        <f t="shared" si="31"/>
        <v/>
      </c>
      <c r="AT266" s="7" t="str">
        <f t="shared" si="32"/>
        <v/>
      </c>
      <c r="AU266" s="7" t="str">
        <f t="shared" si="33"/>
        <v/>
      </c>
      <c r="AV266" s="7" t="str">
        <f t="shared" si="34"/>
        <v/>
      </c>
      <c r="AW266" s="7" t="str">
        <f>IF('RFQ-Input'!O265="","",'RFQ-Input'!O265)</f>
        <v/>
      </c>
      <c r="AX266" s="7" t="str">
        <f>IF('RFQ-Input'!S265="","",'RFQ-Input'!S265)</f>
        <v/>
      </c>
      <c r="AY266" s="7" t="str">
        <f>IF('RFQ-Input'!V265="","",'RFQ-Input'!V265)</f>
        <v/>
      </c>
      <c r="AZ266" s="7" t="str">
        <f>IF('RFQ-Input'!Y265="","",'RFQ-Input'!Y265)</f>
        <v/>
      </c>
      <c r="BA266" s="7" t="str">
        <f>IF('RFQ-Input'!AB265="","",'RFQ-Input'!AB265)</f>
        <v/>
      </c>
    </row>
    <row r="267" spans="1:53">
      <c r="A267" s="20">
        <v>263</v>
      </c>
      <c r="B267" s="7"/>
      <c r="C267" s="7" t="str">
        <f>IF('RFQ-Input'!C266="","",'RFQ-Input'!C266)</f>
        <v/>
      </c>
      <c r="D267" s="7" t="str">
        <f>IF('RFQ-Input'!D266="","",'RFQ-Input'!D266)</f>
        <v/>
      </c>
      <c r="E267" s="7" t="str">
        <f>IF('RFQ-Input'!E266="","",'RFQ-Input'!E266)</f>
        <v/>
      </c>
      <c r="F267" s="7" t="str">
        <f>IF('RFQ-Input'!F266="","",'RFQ-Input'!F266)</f>
        <v/>
      </c>
      <c r="G267" s="7" t="str">
        <f>IF('RFQ-Input'!G266="","",'RFQ-Input'!G266)</f>
        <v/>
      </c>
      <c r="H267" s="7" t="str">
        <f>IF('RFQ-Input'!H266="","",'RFQ-Input'!H266)</f>
        <v/>
      </c>
      <c r="I267" s="7" t="str">
        <f>IF('RFQ-Input'!I266="","",'RFQ-Input'!I266)</f>
        <v/>
      </c>
      <c r="J267" s="7" t="str">
        <f>IF('RFQ-Input'!J266="","",'RFQ-Input'!J266)</f>
        <v/>
      </c>
      <c r="K267" s="7" t="str">
        <f>IF('RFQ-Input'!K266="","",'RFQ-Input'!K266)</f>
        <v/>
      </c>
      <c r="L267" s="7" t="str">
        <f>IF('RFQ-Input'!L266="","",'RFQ-Input'!L266)</f>
        <v/>
      </c>
      <c r="M267" s="7" t="str">
        <f>IF('RFQ-Input'!M266="","",'RFQ-Input'!M266)</f>
        <v/>
      </c>
      <c r="N267" s="7" t="str">
        <f>IF('RFQ-Input'!N266="","",'RFQ-Input'!N266)</f>
        <v/>
      </c>
      <c r="O267" s="7" t="str">
        <f>IF('RFQ-Input'!O266="","",'RFQ-Input'!O266)</f>
        <v/>
      </c>
      <c r="Q267" s="7"/>
      <c r="R267" s="7"/>
      <c r="S267" s="7"/>
      <c r="T267" s="7"/>
      <c r="U267" s="7"/>
      <c r="V267" s="7"/>
      <c r="X267" s="7"/>
      <c r="Y267" s="7"/>
      <c r="Z267" s="7"/>
      <c r="AA267" s="7" t="str">
        <f t="shared" si="28"/>
        <v/>
      </c>
      <c r="AB267" s="7"/>
      <c r="AC267" s="7"/>
      <c r="AQ267" s="7" t="str">
        <f t="shared" si="29"/>
        <v/>
      </c>
      <c r="AR267" s="7" t="str">
        <f t="shared" si="30"/>
        <v/>
      </c>
      <c r="AS267" s="7" t="str">
        <f t="shared" si="31"/>
        <v/>
      </c>
      <c r="AT267" s="7" t="str">
        <f t="shared" si="32"/>
        <v/>
      </c>
      <c r="AU267" s="7" t="str">
        <f t="shared" si="33"/>
        <v/>
      </c>
      <c r="AV267" s="7" t="str">
        <f t="shared" si="34"/>
        <v/>
      </c>
      <c r="AW267" s="7" t="str">
        <f>IF('RFQ-Input'!O266="","",'RFQ-Input'!O266)</f>
        <v/>
      </c>
      <c r="AX267" s="7" t="str">
        <f>IF('RFQ-Input'!S266="","",'RFQ-Input'!S266)</f>
        <v/>
      </c>
      <c r="AY267" s="7" t="str">
        <f>IF('RFQ-Input'!V266="","",'RFQ-Input'!V266)</f>
        <v/>
      </c>
      <c r="AZ267" s="7" t="str">
        <f>IF('RFQ-Input'!Y266="","",'RFQ-Input'!Y266)</f>
        <v/>
      </c>
      <c r="BA267" s="7" t="str">
        <f>IF('RFQ-Input'!AB266="","",'RFQ-Input'!AB266)</f>
        <v/>
      </c>
    </row>
    <row r="268" spans="1:53">
      <c r="A268" s="20">
        <v>264</v>
      </c>
      <c r="B268" s="7"/>
      <c r="C268" s="7" t="str">
        <f>IF('RFQ-Input'!C267="","",'RFQ-Input'!C267)</f>
        <v/>
      </c>
      <c r="D268" s="7" t="str">
        <f>IF('RFQ-Input'!D267="","",'RFQ-Input'!D267)</f>
        <v/>
      </c>
      <c r="E268" s="7" t="str">
        <f>IF('RFQ-Input'!E267="","",'RFQ-Input'!E267)</f>
        <v/>
      </c>
      <c r="F268" s="7" t="str">
        <f>IF('RFQ-Input'!F267="","",'RFQ-Input'!F267)</f>
        <v/>
      </c>
      <c r="G268" s="7" t="str">
        <f>IF('RFQ-Input'!G267="","",'RFQ-Input'!G267)</f>
        <v/>
      </c>
      <c r="H268" s="7" t="str">
        <f>IF('RFQ-Input'!H267="","",'RFQ-Input'!H267)</f>
        <v/>
      </c>
      <c r="I268" s="7" t="str">
        <f>IF('RFQ-Input'!I267="","",'RFQ-Input'!I267)</f>
        <v/>
      </c>
      <c r="J268" s="7" t="str">
        <f>IF('RFQ-Input'!J267="","",'RFQ-Input'!J267)</f>
        <v/>
      </c>
      <c r="K268" s="7" t="str">
        <f>IF('RFQ-Input'!K267="","",'RFQ-Input'!K267)</f>
        <v/>
      </c>
      <c r="L268" s="7" t="str">
        <f>IF('RFQ-Input'!L267="","",'RFQ-Input'!L267)</f>
        <v/>
      </c>
      <c r="M268" s="7" t="str">
        <f>IF('RFQ-Input'!M267="","",'RFQ-Input'!M267)</f>
        <v/>
      </c>
      <c r="N268" s="7" t="str">
        <f>IF('RFQ-Input'!N267="","",'RFQ-Input'!N267)</f>
        <v/>
      </c>
      <c r="O268" s="7" t="str">
        <f>IF('RFQ-Input'!O267="","",'RFQ-Input'!O267)</f>
        <v/>
      </c>
      <c r="Q268" s="7"/>
      <c r="R268" s="7"/>
      <c r="S268" s="7"/>
      <c r="T268" s="7"/>
      <c r="U268" s="7"/>
      <c r="V268" s="7"/>
      <c r="X268" s="7"/>
      <c r="Y268" s="7"/>
      <c r="Z268" s="7"/>
      <c r="AA268" s="7" t="str">
        <f t="shared" si="28"/>
        <v/>
      </c>
      <c r="AB268" s="7"/>
      <c r="AC268" s="7"/>
      <c r="AQ268" s="7" t="str">
        <f t="shared" si="29"/>
        <v/>
      </c>
      <c r="AR268" s="7" t="str">
        <f t="shared" si="30"/>
        <v/>
      </c>
      <c r="AS268" s="7" t="str">
        <f t="shared" si="31"/>
        <v/>
      </c>
      <c r="AT268" s="7" t="str">
        <f t="shared" si="32"/>
        <v/>
      </c>
      <c r="AU268" s="7" t="str">
        <f t="shared" si="33"/>
        <v/>
      </c>
      <c r="AV268" s="7" t="str">
        <f t="shared" si="34"/>
        <v/>
      </c>
      <c r="AW268" s="7" t="str">
        <f>IF('RFQ-Input'!O267="","",'RFQ-Input'!O267)</f>
        <v/>
      </c>
      <c r="AX268" s="7" t="str">
        <f>IF('RFQ-Input'!S267="","",'RFQ-Input'!S267)</f>
        <v/>
      </c>
      <c r="AY268" s="7" t="str">
        <f>IF('RFQ-Input'!V267="","",'RFQ-Input'!V267)</f>
        <v/>
      </c>
      <c r="AZ268" s="7" t="str">
        <f>IF('RFQ-Input'!Y267="","",'RFQ-Input'!Y267)</f>
        <v/>
      </c>
      <c r="BA268" s="7" t="str">
        <f>IF('RFQ-Input'!AB267="","",'RFQ-Input'!AB267)</f>
        <v/>
      </c>
    </row>
    <row r="269" spans="1:53">
      <c r="A269" s="20">
        <v>265</v>
      </c>
      <c r="B269" s="7"/>
      <c r="C269" s="7" t="str">
        <f>IF('RFQ-Input'!C268="","",'RFQ-Input'!C268)</f>
        <v/>
      </c>
      <c r="D269" s="7" t="str">
        <f>IF('RFQ-Input'!D268="","",'RFQ-Input'!D268)</f>
        <v/>
      </c>
      <c r="E269" s="7" t="str">
        <f>IF('RFQ-Input'!E268="","",'RFQ-Input'!E268)</f>
        <v/>
      </c>
      <c r="F269" s="7" t="str">
        <f>IF('RFQ-Input'!F268="","",'RFQ-Input'!F268)</f>
        <v/>
      </c>
      <c r="G269" s="7" t="str">
        <f>IF('RFQ-Input'!G268="","",'RFQ-Input'!G268)</f>
        <v/>
      </c>
      <c r="H269" s="7" t="str">
        <f>IF('RFQ-Input'!H268="","",'RFQ-Input'!H268)</f>
        <v/>
      </c>
      <c r="I269" s="7" t="str">
        <f>IF('RFQ-Input'!I268="","",'RFQ-Input'!I268)</f>
        <v/>
      </c>
      <c r="J269" s="7" t="str">
        <f>IF('RFQ-Input'!J268="","",'RFQ-Input'!J268)</f>
        <v/>
      </c>
      <c r="K269" s="7" t="str">
        <f>IF('RFQ-Input'!K268="","",'RFQ-Input'!K268)</f>
        <v/>
      </c>
      <c r="L269" s="7" t="str">
        <f>IF('RFQ-Input'!L268="","",'RFQ-Input'!L268)</f>
        <v/>
      </c>
      <c r="M269" s="7" t="str">
        <f>IF('RFQ-Input'!M268="","",'RFQ-Input'!M268)</f>
        <v/>
      </c>
      <c r="N269" s="7" t="str">
        <f>IF('RFQ-Input'!N268="","",'RFQ-Input'!N268)</f>
        <v/>
      </c>
      <c r="O269" s="7" t="str">
        <f>IF('RFQ-Input'!O268="","",'RFQ-Input'!O268)</f>
        <v/>
      </c>
      <c r="Q269" s="7"/>
      <c r="R269" s="7"/>
      <c r="S269" s="7"/>
      <c r="T269" s="7"/>
      <c r="U269" s="7"/>
      <c r="V269" s="7"/>
      <c r="X269" s="7"/>
      <c r="Y269" s="7"/>
      <c r="Z269" s="7"/>
      <c r="AA269" s="7" t="str">
        <f t="shared" si="28"/>
        <v/>
      </c>
      <c r="AB269" s="7"/>
      <c r="AC269" s="7"/>
      <c r="AQ269" s="7" t="str">
        <f t="shared" si="29"/>
        <v/>
      </c>
      <c r="AR269" s="7" t="str">
        <f t="shared" si="30"/>
        <v/>
      </c>
      <c r="AS269" s="7" t="str">
        <f t="shared" si="31"/>
        <v/>
      </c>
      <c r="AT269" s="7" t="str">
        <f t="shared" si="32"/>
        <v/>
      </c>
      <c r="AU269" s="7" t="str">
        <f t="shared" si="33"/>
        <v/>
      </c>
      <c r="AV269" s="7" t="str">
        <f t="shared" si="34"/>
        <v/>
      </c>
      <c r="AW269" s="7" t="str">
        <f>IF('RFQ-Input'!O268="","",'RFQ-Input'!O268)</f>
        <v/>
      </c>
      <c r="AX269" s="7" t="str">
        <f>IF('RFQ-Input'!S268="","",'RFQ-Input'!S268)</f>
        <v/>
      </c>
      <c r="AY269" s="7" t="str">
        <f>IF('RFQ-Input'!V268="","",'RFQ-Input'!V268)</f>
        <v/>
      </c>
      <c r="AZ269" s="7" t="str">
        <f>IF('RFQ-Input'!Y268="","",'RFQ-Input'!Y268)</f>
        <v/>
      </c>
      <c r="BA269" s="7" t="str">
        <f>IF('RFQ-Input'!AB268="","",'RFQ-Input'!AB268)</f>
        <v/>
      </c>
    </row>
    <row r="270" spans="1:53">
      <c r="A270" s="20">
        <v>266</v>
      </c>
      <c r="B270" s="7"/>
      <c r="C270" s="7" t="str">
        <f>IF('RFQ-Input'!C269="","",'RFQ-Input'!C269)</f>
        <v/>
      </c>
      <c r="D270" s="7" t="str">
        <f>IF('RFQ-Input'!D269="","",'RFQ-Input'!D269)</f>
        <v/>
      </c>
      <c r="E270" s="7" t="str">
        <f>IF('RFQ-Input'!E269="","",'RFQ-Input'!E269)</f>
        <v/>
      </c>
      <c r="F270" s="7" t="str">
        <f>IF('RFQ-Input'!F269="","",'RFQ-Input'!F269)</f>
        <v/>
      </c>
      <c r="G270" s="7" t="str">
        <f>IF('RFQ-Input'!G269="","",'RFQ-Input'!G269)</f>
        <v/>
      </c>
      <c r="H270" s="7" t="str">
        <f>IF('RFQ-Input'!H269="","",'RFQ-Input'!H269)</f>
        <v/>
      </c>
      <c r="I270" s="7" t="str">
        <f>IF('RFQ-Input'!I269="","",'RFQ-Input'!I269)</f>
        <v/>
      </c>
      <c r="J270" s="7" t="str">
        <f>IF('RFQ-Input'!J269="","",'RFQ-Input'!J269)</f>
        <v/>
      </c>
      <c r="K270" s="7" t="str">
        <f>IF('RFQ-Input'!K269="","",'RFQ-Input'!K269)</f>
        <v/>
      </c>
      <c r="L270" s="7" t="str">
        <f>IF('RFQ-Input'!L269="","",'RFQ-Input'!L269)</f>
        <v/>
      </c>
      <c r="M270" s="7" t="str">
        <f>IF('RFQ-Input'!M269="","",'RFQ-Input'!M269)</f>
        <v/>
      </c>
      <c r="N270" s="7" t="str">
        <f>IF('RFQ-Input'!N269="","",'RFQ-Input'!N269)</f>
        <v/>
      </c>
      <c r="O270" s="7" t="str">
        <f>IF('RFQ-Input'!O269="","",'RFQ-Input'!O269)</f>
        <v/>
      </c>
      <c r="Q270" s="7"/>
      <c r="R270" s="7"/>
      <c r="S270" s="7"/>
      <c r="T270" s="7"/>
      <c r="U270" s="7"/>
      <c r="V270" s="7"/>
      <c r="X270" s="7"/>
      <c r="Y270" s="7"/>
      <c r="Z270" s="7"/>
      <c r="AA270" s="7" t="str">
        <f t="shared" si="28"/>
        <v/>
      </c>
      <c r="AB270" s="7"/>
      <c r="AC270" s="7"/>
      <c r="AQ270" s="7" t="str">
        <f t="shared" si="29"/>
        <v/>
      </c>
      <c r="AR270" s="7" t="str">
        <f t="shared" si="30"/>
        <v/>
      </c>
      <c r="AS270" s="7" t="str">
        <f t="shared" si="31"/>
        <v/>
      </c>
      <c r="AT270" s="7" t="str">
        <f t="shared" si="32"/>
        <v/>
      </c>
      <c r="AU270" s="7" t="str">
        <f t="shared" si="33"/>
        <v/>
      </c>
      <c r="AV270" s="7" t="str">
        <f t="shared" si="34"/>
        <v/>
      </c>
      <c r="AW270" s="7" t="str">
        <f>IF('RFQ-Input'!O269="","",'RFQ-Input'!O269)</f>
        <v/>
      </c>
      <c r="AX270" s="7" t="str">
        <f>IF('RFQ-Input'!S269="","",'RFQ-Input'!S269)</f>
        <v/>
      </c>
      <c r="AY270" s="7" t="str">
        <f>IF('RFQ-Input'!V269="","",'RFQ-Input'!V269)</f>
        <v/>
      </c>
      <c r="AZ270" s="7" t="str">
        <f>IF('RFQ-Input'!Y269="","",'RFQ-Input'!Y269)</f>
        <v/>
      </c>
      <c r="BA270" s="7" t="str">
        <f>IF('RFQ-Input'!AB269="","",'RFQ-Input'!AB269)</f>
        <v/>
      </c>
    </row>
    <row r="271" spans="1:53">
      <c r="A271" s="20">
        <v>267</v>
      </c>
      <c r="B271" s="7"/>
      <c r="C271" s="7" t="str">
        <f>IF('RFQ-Input'!C270="","",'RFQ-Input'!C270)</f>
        <v/>
      </c>
      <c r="D271" s="7" t="str">
        <f>IF('RFQ-Input'!D270="","",'RFQ-Input'!D270)</f>
        <v/>
      </c>
      <c r="E271" s="7" t="str">
        <f>IF('RFQ-Input'!E270="","",'RFQ-Input'!E270)</f>
        <v/>
      </c>
      <c r="F271" s="7" t="str">
        <f>IF('RFQ-Input'!F270="","",'RFQ-Input'!F270)</f>
        <v/>
      </c>
      <c r="G271" s="7" t="str">
        <f>IF('RFQ-Input'!G270="","",'RFQ-Input'!G270)</f>
        <v/>
      </c>
      <c r="H271" s="7" t="str">
        <f>IF('RFQ-Input'!H270="","",'RFQ-Input'!H270)</f>
        <v/>
      </c>
      <c r="I271" s="7" t="str">
        <f>IF('RFQ-Input'!I270="","",'RFQ-Input'!I270)</f>
        <v/>
      </c>
      <c r="J271" s="7" t="str">
        <f>IF('RFQ-Input'!J270="","",'RFQ-Input'!J270)</f>
        <v/>
      </c>
      <c r="K271" s="7" t="str">
        <f>IF('RFQ-Input'!K270="","",'RFQ-Input'!K270)</f>
        <v/>
      </c>
      <c r="L271" s="7" t="str">
        <f>IF('RFQ-Input'!L270="","",'RFQ-Input'!L270)</f>
        <v/>
      </c>
      <c r="M271" s="7" t="str">
        <f>IF('RFQ-Input'!M270="","",'RFQ-Input'!M270)</f>
        <v/>
      </c>
      <c r="N271" s="7" t="str">
        <f>IF('RFQ-Input'!N270="","",'RFQ-Input'!N270)</f>
        <v/>
      </c>
      <c r="O271" s="7" t="str">
        <f>IF('RFQ-Input'!O270="","",'RFQ-Input'!O270)</f>
        <v/>
      </c>
      <c r="Q271" s="7"/>
      <c r="R271" s="7"/>
      <c r="S271" s="7"/>
      <c r="T271" s="7"/>
      <c r="U271" s="7"/>
      <c r="V271" s="7"/>
      <c r="X271" s="7"/>
      <c r="Y271" s="7"/>
      <c r="Z271" s="7"/>
      <c r="AA271" s="7" t="str">
        <f t="shared" si="28"/>
        <v/>
      </c>
      <c r="AB271" s="7"/>
      <c r="AC271" s="7"/>
      <c r="AQ271" s="7" t="str">
        <f t="shared" si="29"/>
        <v/>
      </c>
      <c r="AR271" s="7" t="str">
        <f t="shared" si="30"/>
        <v/>
      </c>
      <c r="AS271" s="7" t="str">
        <f t="shared" si="31"/>
        <v/>
      </c>
      <c r="AT271" s="7" t="str">
        <f t="shared" si="32"/>
        <v/>
      </c>
      <c r="AU271" s="7" t="str">
        <f t="shared" si="33"/>
        <v/>
      </c>
      <c r="AV271" s="7" t="str">
        <f t="shared" si="34"/>
        <v/>
      </c>
      <c r="AW271" s="7" t="str">
        <f>IF('RFQ-Input'!O270="","",'RFQ-Input'!O270)</f>
        <v/>
      </c>
      <c r="AX271" s="7" t="str">
        <f>IF('RFQ-Input'!S270="","",'RFQ-Input'!S270)</f>
        <v/>
      </c>
      <c r="AY271" s="7" t="str">
        <f>IF('RFQ-Input'!V270="","",'RFQ-Input'!V270)</f>
        <v/>
      </c>
      <c r="AZ271" s="7" t="str">
        <f>IF('RFQ-Input'!Y270="","",'RFQ-Input'!Y270)</f>
        <v/>
      </c>
      <c r="BA271" s="7" t="str">
        <f>IF('RFQ-Input'!AB270="","",'RFQ-Input'!AB270)</f>
        <v/>
      </c>
    </row>
    <row r="272" spans="1:53">
      <c r="A272" s="20">
        <v>268</v>
      </c>
      <c r="B272" s="7"/>
      <c r="C272" s="7" t="str">
        <f>IF('RFQ-Input'!C271="","",'RFQ-Input'!C271)</f>
        <v/>
      </c>
      <c r="D272" s="7" t="str">
        <f>IF('RFQ-Input'!D271="","",'RFQ-Input'!D271)</f>
        <v/>
      </c>
      <c r="E272" s="7" t="str">
        <f>IF('RFQ-Input'!E271="","",'RFQ-Input'!E271)</f>
        <v/>
      </c>
      <c r="F272" s="7" t="str">
        <f>IF('RFQ-Input'!F271="","",'RFQ-Input'!F271)</f>
        <v/>
      </c>
      <c r="G272" s="7" t="str">
        <f>IF('RFQ-Input'!G271="","",'RFQ-Input'!G271)</f>
        <v/>
      </c>
      <c r="H272" s="7" t="str">
        <f>IF('RFQ-Input'!H271="","",'RFQ-Input'!H271)</f>
        <v/>
      </c>
      <c r="I272" s="7" t="str">
        <f>IF('RFQ-Input'!I271="","",'RFQ-Input'!I271)</f>
        <v/>
      </c>
      <c r="J272" s="7" t="str">
        <f>IF('RFQ-Input'!J271="","",'RFQ-Input'!J271)</f>
        <v/>
      </c>
      <c r="K272" s="7" t="str">
        <f>IF('RFQ-Input'!K271="","",'RFQ-Input'!K271)</f>
        <v/>
      </c>
      <c r="L272" s="7" t="str">
        <f>IF('RFQ-Input'!L271="","",'RFQ-Input'!L271)</f>
        <v/>
      </c>
      <c r="M272" s="7" t="str">
        <f>IF('RFQ-Input'!M271="","",'RFQ-Input'!M271)</f>
        <v/>
      </c>
      <c r="N272" s="7" t="str">
        <f>IF('RFQ-Input'!N271="","",'RFQ-Input'!N271)</f>
        <v/>
      </c>
      <c r="O272" s="7" t="str">
        <f>IF('RFQ-Input'!O271="","",'RFQ-Input'!O271)</f>
        <v/>
      </c>
      <c r="Q272" s="7"/>
      <c r="R272" s="7"/>
      <c r="S272" s="7"/>
      <c r="T272" s="7"/>
      <c r="U272" s="7"/>
      <c r="V272" s="7"/>
      <c r="X272" s="7"/>
      <c r="Y272" s="7"/>
      <c r="Z272" s="7"/>
      <c r="AA272" s="7" t="str">
        <f t="shared" si="28"/>
        <v/>
      </c>
      <c r="AB272" s="7"/>
      <c r="AC272" s="7"/>
      <c r="AQ272" s="7" t="str">
        <f t="shared" si="29"/>
        <v/>
      </c>
      <c r="AR272" s="7" t="str">
        <f t="shared" si="30"/>
        <v/>
      </c>
      <c r="AS272" s="7" t="str">
        <f t="shared" si="31"/>
        <v/>
      </c>
      <c r="AT272" s="7" t="str">
        <f t="shared" si="32"/>
        <v/>
      </c>
      <c r="AU272" s="7" t="str">
        <f t="shared" si="33"/>
        <v/>
      </c>
      <c r="AV272" s="7" t="str">
        <f t="shared" si="34"/>
        <v/>
      </c>
      <c r="AW272" s="7" t="str">
        <f>IF('RFQ-Input'!O271="","",'RFQ-Input'!O271)</f>
        <v/>
      </c>
      <c r="AX272" s="7" t="str">
        <f>IF('RFQ-Input'!S271="","",'RFQ-Input'!S271)</f>
        <v/>
      </c>
      <c r="AY272" s="7" t="str">
        <f>IF('RFQ-Input'!V271="","",'RFQ-Input'!V271)</f>
        <v/>
      </c>
      <c r="AZ272" s="7" t="str">
        <f>IF('RFQ-Input'!Y271="","",'RFQ-Input'!Y271)</f>
        <v/>
      </c>
      <c r="BA272" s="7" t="str">
        <f>IF('RFQ-Input'!AB271="","",'RFQ-Input'!AB271)</f>
        <v/>
      </c>
    </row>
    <row r="273" spans="1:53">
      <c r="A273" s="20">
        <v>269</v>
      </c>
      <c r="B273" s="7"/>
      <c r="C273" s="7" t="str">
        <f>IF('RFQ-Input'!C272="","",'RFQ-Input'!C272)</f>
        <v/>
      </c>
      <c r="D273" s="7" t="str">
        <f>IF('RFQ-Input'!D272="","",'RFQ-Input'!D272)</f>
        <v/>
      </c>
      <c r="E273" s="7" t="str">
        <f>IF('RFQ-Input'!E272="","",'RFQ-Input'!E272)</f>
        <v/>
      </c>
      <c r="F273" s="7" t="str">
        <f>IF('RFQ-Input'!F272="","",'RFQ-Input'!F272)</f>
        <v/>
      </c>
      <c r="G273" s="7" t="str">
        <f>IF('RFQ-Input'!G272="","",'RFQ-Input'!G272)</f>
        <v/>
      </c>
      <c r="H273" s="7" t="str">
        <f>IF('RFQ-Input'!H272="","",'RFQ-Input'!H272)</f>
        <v/>
      </c>
      <c r="I273" s="7" t="str">
        <f>IF('RFQ-Input'!I272="","",'RFQ-Input'!I272)</f>
        <v/>
      </c>
      <c r="J273" s="7" t="str">
        <f>IF('RFQ-Input'!J272="","",'RFQ-Input'!J272)</f>
        <v/>
      </c>
      <c r="K273" s="7" t="str">
        <f>IF('RFQ-Input'!K272="","",'RFQ-Input'!K272)</f>
        <v/>
      </c>
      <c r="L273" s="7" t="str">
        <f>IF('RFQ-Input'!L272="","",'RFQ-Input'!L272)</f>
        <v/>
      </c>
      <c r="M273" s="7" t="str">
        <f>IF('RFQ-Input'!M272="","",'RFQ-Input'!M272)</f>
        <v/>
      </c>
      <c r="N273" s="7" t="str">
        <f>IF('RFQ-Input'!N272="","",'RFQ-Input'!N272)</f>
        <v/>
      </c>
      <c r="O273" s="7" t="str">
        <f>IF('RFQ-Input'!O272="","",'RFQ-Input'!O272)</f>
        <v/>
      </c>
      <c r="Q273" s="7"/>
      <c r="R273" s="7"/>
      <c r="S273" s="7"/>
      <c r="T273" s="7"/>
      <c r="U273" s="7"/>
      <c r="V273" s="7"/>
      <c r="X273" s="7"/>
      <c r="Y273" s="7"/>
      <c r="Z273" s="7"/>
      <c r="AA273" s="7" t="str">
        <f t="shared" si="28"/>
        <v/>
      </c>
      <c r="AB273" s="7"/>
      <c r="AC273" s="7"/>
      <c r="AQ273" s="7" t="str">
        <f t="shared" si="29"/>
        <v/>
      </c>
      <c r="AR273" s="7" t="str">
        <f t="shared" si="30"/>
        <v/>
      </c>
      <c r="AS273" s="7" t="str">
        <f t="shared" si="31"/>
        <v/>
      </c>
      <c r="AT273" s="7" t="str">
        <f t="shared" si="32"/>
        <v/>
      </c>
      <c r="AU273" s="7" t="str">
        <f t="shared" si="33"/>
        <v/>
      </c>
      <c r="AV273" s="7" t="str">
        <f t="shared" si="34"/>
        <v/>
      </c>
      <c r="AW273" s="7" t="str">
        <f>IF('RFQ-Input'!O272="","",'RFQ-Input'!O272)</f>
        <v/>
      </c>
      <c r="AX273" s="7" t="str">
        <f>IF('RFQ-Input'!S272="","",'RFQ-Input'!S272)</f>
        <v/>
      </c>
      <c r="AY273" s="7" t="str">
        <f>IF('RFQ-Input'!V272="","",'RFQ-Input'!V272)</f>
        <v/>
      </c>
      <c r="AZ273" s="7" t="str">
        <f>IF('RFQ-Input'!Y272="","",'RFQ-Input'!Y272)</f>
        <v/>
      </c>
      <c r="BA273" s="7" t="str">
        <f>IF('RFQ-Input'!AB272="","",'RFQ-Input'!AB272)</f>
        <v/>
      </c>
    </row>
    <row r="274" spans="1:53">
      <c r="A274" s="20">
        <v>270</v>
      </c>
      <c r="B274" s="7"/>
      <c r="C274" s="7" t="str">
        <f>IF('RFQ-Input'!C273="","",'RFQ-Input'!C273)</f>
        <v/>
      </c>
      <c r="D274" s="7" t="str">
        <f>IF('RFQ-Input'!D273="","",'RFQ-Input'!D273)</f>
        <v/>
      </c>
      <c r="E274" s="7" t="str">
        <f>IF('RFQ-Input'!E273="","",'RFQ-Input'!E273)</f>
        <v/>
      </c>
      <c r="F274" s="7" t="str">
        <f>IF('RFQ-Input'!F273="","",'RFQ-Input'!F273)</f>
        <v/>
      </c>
      <c r="G274" s="7" t="str">
        <f>IF('RFQ-Input'!G273="","",'RFQ-Input'!G273)</f>
        <v/>
      </c>
      <c r="H274" s="7" t="str">
        <f>IF('RFQ-Input'!H273="","",'RFQ-Input'!H273)</f>
        <v/>
      </c>
      <c r="I274" s="7" t="str">
        <f>IF('RFQ-Input'!I273="","",'RFQ-Input'!I273)</f>
        <v/>
      </c>
      <c r="J274" s="7" t="str">
        <f>IF('RFQ-Input'!J273="","",'RFQ-Input'!J273)</f>
        <v/>
      </c>
      <c r="K274" s="7" t="str">
        <f>IF('RFQ-Input'!K273="","",'RFQ-Input'!K273)</f>
        <v/>
      </c>
      <c r="L274" s="7" t="str">
        <f>IF('RFQ-Input'!L273="","",'RFQ-Input'!L273)</f>
        <v/>
      </c>
      <c r="M274" s="7" t="str">
        <f>IF('RFQ-Input'!M273="","",'RFQ-Input'!M273)</f>
        <v/>
      </c>
      <c r="N274" s="7" t="str">
        <f>IF('RFQ-Input'!N273="","",'RFQ-Input'!N273)</f>
        <v/>
      </c>
      <c r="O274" s="7" t="str">
        <f>IF('RFQ-Input'!O273="","",'RFQ-Input'!O273)</f>
        <v/>
      </c>
      <c r="Q274" s="7"/>
      <c r="R274" s="7"/>
      <c r="S274" s="7"/>
      <c r="T274" s="7"/>
      <c r="U274" s="7"/>
      <c r="V274" s="7"/>
      <c r="X274" s="7"/>
      <c r="Y274" s="7"/>
      <c r="Z274" s="7"/>
      <c r="AA274" s="7" t="str">
        <f t="shared" si="28"/>
        <v/>
      </c>
      <c r="AB274" s="7"/>
      <c r="AC274" s="7"/>
      <c r="AQ274" s="7" t="str">
        <f t="shared" si="29"/>
        <v/>
      </c>
      <c r="AR274" s="7" t="str">
        <f t="shared" si="30"/>
        <v/>
      </c>
      <c r="AS274" s="7" t="str">
        <f t="shared" si="31"/>
        <v/>
      </c>
      <c r="AT274" s="7" t="str">
        <f t="shared" si="32"/>
        <v/>
      </c>
      <c r="AU274" s="7" t="str">
        <f t="shared" si="33"/>
        <v/>
      </c>
      <c r="AV274" s="7" t="str">
        <f t="shared" si="34"/>
        <v/>
      </c>
      <c r="AW274" s="7" t="str">
        <f>IF('RFQ-Input'!O273="","",'RFQ-Input'!O273)</f>
        <v/>
      </c>
      <c r="AX274" s="7" t="str">
        <f>IF('RFQ-Input'!S273="","",'RFQ-Input'!S273)</f>
        <v/>
      </c>
      <c r="AY274" s="7" t="str">
        <f>IF('RFQ-Input'!V273="","",'RFQ-Input'!V273)</f>
        <v/>
      </c>
      <c r="AZ274" s="7" t="str">
        <f>IF('RFQ-Input'!Y273="","",'RFQ-Input'!Y273)</f>
        <v/>
      </c>
      <c r="BA274" s="7" t="str">
        <f>IF('RFQ-Input'!AB273="","",'RFQ-Input'!AB273)</f>
        <v/>
      </c>
    </row>
    <row r="275" spans="1:53">
      <c r="A275" s="20">
        <v>271</v>
      </c>
      <c r="B275" s="7"/>
      <c r="C275" s="7" t="str">
        <f>IF('RFQ-Input'!C274="","",'RFQ-Input'!C274)</f>
        <v/>
      </c>
      <c r="D275" s="7" t="str">
        <f>IF('RFQ-Input'!D274="","",'RFQ-Input'!D274)</f>
        <v/>
      </c>
      <c r="E275" s="7" t="str">
        <f>IF('RFQ-Input'!E274="","",'RFQ-Input'!E274)</f>
        <v/>
      </c>
      <c r="F275" s="7" t="str">
        <f>IF('RFQ-Input'!F274="","",'RFQ-Input'!F274)</f>
        <v/>
      </c>
      <c r="G275" s="7" t="str">
        <f>IF('RFQ-Input'!G274="","",'RFQ-Input'!G274)</f>
        <v/>
      </c>
      <c r="H275" s="7" t="str">
        <f>IF('RFQ-Input'!H274="","",'RFQ-Input'!H274)</f>
        <v/>
      </c>
      <c r="I275" s="7" t="str">
        <f>IF('RFQ-Input'!I274="","",'RFQ-Input'!I274)</f>
        <v/>
      </c>
      <c r="J275" s="7" t="str">
        <f>IF('RFQ-Input'!J274="","",'RFQ-Input'!J274)</f>
        <v/>
      </c>
      <c r="K275" s="7" t="str">
        <f>IF('RFQ-Input'!K274="","",'RFQ-Input'!K274)</f>
        <v/>
      </c>
      <c r="L275" s="7" t="str">
        <f>IF('RFQ-Input'!L274="","",'RFQ-Input'!L274)</f>
        <v/>
      </c>
      <c r="M275" s="7" t="str">
        <f>IF('RFQ-Input'!M274="","",'RFQ-Input'!M274)</f>
        <v/>
      </c>
      <c r="N275" s="7" t="str">
        <f>IF('RFQ-Input'!N274="","",'RFQ-Input'!N274)</f>
        <v/>
      </c>
      <c r="O275" s="7" t="str">
        <f>IF('RFQ-Input'!O274="","",'RFQ-Input'!O274)</f>
        <v/>
      </c>
      <c r="Q275" s="7"/>
      <c r="R275" s="7"/>
      <c r="S275" s="7"/>
      <c r="T275" s="7"/>
      <c r="U275" s="7"/>
      <c r="V275" s="7"/>
      <c r="X275" s="7"/>
      <c r="Y275" s="7"/>
      <c r="Z275" s="7"/>
      <c r="AA275" s="7" t="str">
        <f t="shared" si="28"/>
        <v/>
      </c>
      <c r="AB275" s="7"/>
      <c r="AC275" s="7"/>
      <c r="AQ275" s="7" t="str">
        <f t="shared" si="29"/>
        <v/>
      </c>
      <c r="AR275" s="7" t="str">
        <f t="shared" si="30"/>
        <v/>
      </c>
      <c r="AS275" s="7" t="str">
        <f t="shared" si="31"/>
        <v/>
      </c>
      <c r="AT275" s="7" t="str">
        <f t="shared" si="32"/>
        <v/>
      </c>
      <c r="AU275" s="7" t="str">
        <f t="shared" si="33"/>
        <v/>
      </c>
      <c r="AV275" s="7" t="str">
        <f t="shared" si="34"/>
        <v/>
      </c>
      <c r="AW275" s="7" t="str">
        <f>IF('RFQ-Input'!O274="","",'RFQ-Input'!O274)</f>
        <v/>
      </c>
      <c r="AX275" s="7" t="str">
        <f>IF('RFQ-Input'!S274="","",'RFQ-Input'!S274)</f>
        <v/>
      </c>
      <c r="AY275" s="7" t="str">
        <f>IF('RFQ-Input'!V274="","",'RFQ-Input'!V274)</f>
        <v/>
      </c>
      <c r="AZ275" s="7" t="str">
        <f>IF('RFQ-Input'!Y274="","",'RFQ-Input'!Y274)</f>
        <v/>
      </c>
      <c r="BA275" s="7" t="str">
        <f>IF('RFQ-Input'!AB274="","",'RFQ-Input'!AB274)</f>
        <v/>
      </c>
    </row>
    <row r="276" spans="1:53">
      <c r="A276" s="20">
        <v>272</v>
      </c>
      <c r="B276" s="7"/>
      <c r="C276" s="7" t="str">
        <f>IF('RFQ-Input'!C275="","",'RFQ-Input'!C275)</f>
        <v/>
      </c>
      <c r="D276" s="7" t="str">
        <f>IF('RFQ-Input'!D275="","",'RFQ-Input'!D275)</f>
        <v/>
      </c>
      <c r="E276" s="7" t="str">
        <f>IF('RFQ-Input'!E275="","",'RFQ-Input'!E275)</f>
        <v/>
      </c>
      <c r="F276" s="7" t="str">
        <f>IF('RFQ-Input'!F275="","",'RFQ-Input'!F275)</f>
        <v/>
      </c>
      <c r="G276" s="7" t="str">
        <f>IF('RFQ-Input'!G275="","",'RFQ-Input'!G275)</f>
        <v/>
      </c>
      <c r="H276" s="7" t="str">
        <f>IF('RFQ-Input'!H275="","",'RFQ-Input'!H275)</f>
        <v/>
      </c>
      <c r="I276" s="7" t="str">
        <f>IF('RFQ-Input'!I275="","",'RFQ-Input'!I275)</f>
        <v/>
      </c>
      <c r="J276" s="7" t="str">
        <f>IF('RFQ-Input'!J275="","",'RFQ-Input'!J275)</f>
        <v/>
      </c>
      <c r="K276" s="7" t="str">
        <f>IF('RFQ-Input'!K275="","",'RFQ-Input'!K275)</f>
        <v/>
      </c>
      <c r="L276" s="7" t="str">
        <f>IF('RFQ-Input'!L275="","",'RFQ-Input'!L275)</f>
        <v/>
      </c>
      <c r="M276" s="7" t="str">
        <f>IF('RFQ-Input'!M275="","",'RFQ-Input'!M275)</f>
        <v/>
      </c>
      <c r="N276" s="7" t="str">
        <f>IF('RFQ-Input'!N275="","",'RFQ-Input'!N275)</f>
        <v/>
      </c>
      <c r="O276" s="7" t="str">
        <f>IF('RFQ-Input'!O275="","",'RFQ-Input'!O275)</f>
        <v/>
      </c>
      <c r="Q276" s="7"/>
      <c r="R276" s="7"/>
      <c r="S276" s="7"/>
      <c r="T276" s="7"/>
      <c r="U276" s="7"/>
      <c r="V276" s="7"/>
      <c r="X276" s="7"/>
      <c r="Y276" s="7"/>
      <c r="Z276" s="7"/>
      <c r="AA276" s="7" t="str">
        <f t="shared" si="28"/>
        <v/>
      </c>
      <c r="AB276" s="7"/>
      <c r="AC276" s="7"/>
      <c r="AQ276" s="7" t="str">
        <f t="shared" si="29"/>
        <v/>
      </c>
      <c r="AR276" s="7" t="str">
        <f t="shared" si="30"/>
        <v/>
      </c>
      <c r="AS276" s="7" t="str">
        <f t="shared" si="31"/>
        <v/>
      </c>
      <c r="AT276" s="7" t="str">
        <f t="shared" si="32"/>
        <v/>
      </c>
      <c r="AU276" s="7" t="str">
        <f t="shared" si="33"/>
        <v/>
      </c>
      <c r="AV276" s="7" t="str">
        <f t="shared" si="34"/>
        <v/>
      </c>
      <c r="AW276" s="7" t="str">
        <f>IF('RFQ-Input'!O275="","",'RFQ-Input'!O275)</f>
        <v/>
      </c>
      <c r="AX276" s="7" t="str">
        <f>IF('RFQ-Input'!S275="","",'RFQ-Input'!S275)</f>
        <v/>
      </c>
      <c r="AY276" s="7" t="str">
        <f>IF('RFQ-Input'!V275="","",'RFQ-Input'!V275)</f>
        <v/>
      </c>
      <c r="AZ276" s="7" t="str">
        <f>IF('RFQ-Input'!Y275="","",'RFQ-Input'!Y275)</f>
        <v/>
      </c>
      <c r="BA276" s="7" t="str">
        <f>IF('RFQ-Input'!AB275="","",'RFQ-Input'!AB275)</f>
        <v/>
      </c>
    </row>
    <row r="277" spans="1:53">
      <c r="A277" s="20">
        <v>273</v>
      </c>
      <c r="B277" s="7"/>
      <c r="C277" s="7" t="str">
        <f>IF('RFQ-Input'!C276="","",'RFQ-Input'!C276)</f>
        <v/>
      </c>
      <c r="D277" s="7" t="str">
        <f>IF('RFQ-Input'!D276="","",'RFQ-Input'!D276)</f>
        <v/>
      </c>
      <c r="E277" s="7" t="str">
        <f>IF('RFQ-Input'!E276="","",'RFQ-Input'!E276)</f>
        <v/>
      </c>
      <c r="F277" s="7" t="str">
        <f>IF('RFQ-Input'!F276="","",'RFQ-Input'!F276)</f>
        <v/>
      </c>
      <c r="G277" s="7" t="str">
        <f>IF('RFQ-Input'!G276="","",'RFQ-Input'!G276)</f>
        <v/>
      </c>
      <c r="H277" s="7" t="str">
        <f>IF('RFQ-Input'!H276="","",'RFQ-Input'!H276)</f>
        <v/>
      </c>
      <c r="I277" s="7" t="str">
        <f>IF('RFQ-Input'!I276="","",'RFQ-Input'!I276)</f>
        <v/>
      </c>
      <c r="J277" s="7" t="str">
        <f>IF('RFQ-Input'!J276="","",'RFQ-Input'!J276)</f>
        <v/>
      </c>
      <c r="K277" s="7" t="str">
        <f>IF('RFQ-Input'!K276="","",'RFQ-Input'!K276)</f>
        <v/>
      </c>
      <c r="L277" s="7" t="str">
        <f>IF('RFQ-Input'!L276="","",'RFQ-Input'!L276)</f>
        <v/>
      </c>
      <c r="M277" s="7" t="str">
        <f>IF('RFQ-Input'!M276="","",'RFQ-Input'!M276)</f>
        <v/>
      </c>
      <c r="N277" s="7" t="str">
        <f>IF('RFQ-Input'!N276="","",'RFQ-Input'!N276)</f>
        <v/>
      </c>
      <c r="O277" s="7" t="str">
        <f>IF('RFQ-Input'!O276="","",'RFQ-Input'!O276)</f>
        <v/>
      </c>
      <c r="Q277" s="7"/>
      <c r="R277" s="7"/>
      <c r="S277" s="7"/>
      <c r="T277" s="7"/>
      <c r="U277" s="7"/>
      <c r="V277" s="7"/>
      <c r="X277" s="7"/>
      <c r="Y277" s="7"/>
      <c r="Z277" s="7"/>
      <c r="AA277" s="7" t="str">
        <f t="shared" si="28"/>
        <v/>
      </c>
      <c r="AB277" s="7"/>
      <c r="AC277" s="7"/>
      <c r="AQ277" s="7" t="str">
        <f t="shared" si="29"/>
        <v/>
      </c>
      <c r="AR277" s="7" t="str">
        <f t="shared" si="30"/>
        <v/>
      </c>
      <c r="AS277" s="7" t="str">
        <f t="shared" si="31"/>
        <v/>
      </c>
      <c r="AT277" s="7" t="str">
        <f t="shared" si="32"/>
        <v/>
      </c>
      <c r="AU277" s="7" t="str">
        <f t="shared" si="33"/>
        <v/>
      </c>
      <c r="AV277" s="7" t="str">
        <f t="shared" si="34"/>
        <v/>
      </c>
      <c r="AW277" s="7" t="str">
        <f>IF('RFQ-Input'!O276="","",'RFQ-Input'!O276)</f>
        <v/>
      </c>
      <c r="AX277" s="7" t="str">
        <f>IF('RFQ-Input'!S276="","",'RFQ-Input'!S276)</f>
        <v/>
      </c>
      <c r="AY277" s="7" t="str">
        <f>IF('RFQ-Input'!V276="","",'RFQ-Input'!V276)</f>
        <v/>
      </c>
      <c r="AZ277" s="7" t="str">
        <f>IF('RFQ-Input'!Y276="","",'RFQ-Input'!Y276)</f>
        <v/>
      </c>
      <c r="BA277" s="7" t="str">
        <f>IF('RFQ-Input'!AB276="","",'RFQ-Input'!AB276)</f>
        <v/>
      </c>
    </row>
    <row r="278" spans="1:53">
      <c r="A278" s="20">
        <v>274</v>
      </c>
      <c r="B278" s="7"/>
      <c r="C278" s="7" t="str">
        <f>IF('RFQ-Input'!C277="","",'RFQ-Input'!C277)</f>
        <v/>
      </c>
      <c r="D278" s="7" t="str">
        <f>IF('RFQ-Input'!D277="","",'RFQ-Input'!D277)</f>
        <v/>
      </c>
      <c r="E278" s="7" t="str">
        <f>IF('RFQ-Input'!E277="","",'RFQ-Input'!E277)</f>
        <v/>
      </c>
      <c r="F278" s="7" t="str">
        <f>IF('RFQ-Input'!F277="","",'RFQ-Input'!F277)</f>
        <v/>
      </c>
      <c r="G278" s="7" t="str">
        <f>IF('RFQ-Input'!G277="","",'RFQ-Input'!G277)</f>
        <v/>
      </c>
      <c r="H278" s="7" t="str">
        <f>IF('RFQ-Input'!H277="","",'RFQ-Input'!H277)</f>
        <v/>
      </c>
      <c r="I278" s="7" t="str">
        <f>IF('RFQ-Input'!I277="","",'RFQ-Input'!I277)</f>
        <v/>
      </c>
      <c r="J278" s="7" t="str">
        <f>IF('RFQ-Input'!J277="","",'RFQ-Input'!J277)</f>
        <v/>
      </c>
      <c r="K278" s="7" t="str">
        <f>IF('RFQ-Input'!K277="","",'RFQ-Input'!K277)</f>
        <v/>
      </c>
      <c r="L278" s="7" t="str">
        <f>IF('RFQ-Input'!L277="","",'RFQ-Input'!L277)</f>
        <v/>
      </c>
      <c r="M278" s="7" t="str">
        <f>IF('RFQ-Input'!M277="","",'RFQ-Input'!M277)</f>
        <v/>
      </c>
      <c r="N278" s="7" t="str">
        <f>IF('RFQ-Input'!N277="","",'RFQ-Input'!N277)</f>
        <v/>
      </c>
      <c r="O278" s="7" t="str">
        <f>IF('RFQ-Input'!O277="","",'RFQ-Input'!O277)</f>
        <v/>
      </c>
      <c r="Q278" s="7"/>
      <c r="R278" s="7"/>
      <c r="S278" s="7"/>
      <c r="T278" s="7"/>
      <c r="U278" s="7"/>
      <c r="V278" s="7"/>
      <c r="X278" s="7"/>
      <c r="Y278" s="7"/>
      <c r="Z278" s="7"/>
      <c r="AA278" s="7" t="str">
        <f t="shared" si="28"/>
        <v/>
      </c>
      <c r="AB278" s="7"/>
      <c r="AC278" s="7"/>
      <c r="AQ278" s="7" t="str">
        <f t="shared" si="29"/>
        <v/>
      </c>
      <c r="AR278" s="7" t="str">
        <f t="shared" si="30"/>
        <v/>
      </c>
      <c r="AS278" s="7" t="str">
        <f t="shared" si="31"/>
        <v/>
      </c>
      <c r="AT278" s="7" t="str">
        <f t="shared" si="32"/>
        <v/>
      </c>
      <c r="AU278" s="7" t="str">
        <f t="shared" si="33"/>
        <v/>
      </c>
      <c r="AV278" s="7" t="str">
        <f t="shared" si="34"/>
        <v/>
      </c>
      <c r="AW278" s="7" t="str">
        <f>IF('RFQ-Input'!O277="","",'RFQ-Input'!O277)</f>
        <v/>
      </c>
      <c r="AX278" s="7" t="str">
        <f>IF('RFQ-Input'!S277="","",'RFQ-Input'!S277)</f>
        <v/>
      </c>
      <c r="AY278" s="7" t="str">
        <f>IF('RFQ-Input'!V277="","",'RFQ-Input'!V277)</f>
        <v/>
      </c>
      <c r="AZ278" s="7" t="str">
        <f>IF('RFQ-Input'!Y277="","",'RFQ-Input'!Y277)</f>
        <v/>
      </c>
      <c r="BA278" s="7" t="str">
        <f>IF('RFQ-Input'!AB277="","",'RFQ-Input'!AB277)</f>
        <v/>
      </c>
    </row>
    <row r="279" spans="1:53">
      <c r="A279" s="20">
        <v>275</v>
      </c>
      <c r="B279" s="7"/>
      <c r="C279" s="7" t="str">
        <f>IF('RFQ-Input'!C278="","",'RFQ-Input'!C278)</f>
        <v/>
      </c>
      <c r="D279" s="7" t="str">
        <f>IF('RFQ-Input'!D278="","",'RFQ-Input'!D278)</f>
        <v/>
      </c>
      <c r="E279" s="7" t="str">
        <f>IF('RFQ-Input'!E278="","",'RFQ-Input'!E278)</f>
        <v/>
      </c>
      <c r="F279" s="7" t="str">
        <f>IF('RFQ-Input'!F278="","",'RFQ-Input'!F278)</f>
        <v/>
      </c>
      <c r="G279" s="7" t="str">
        <f>IF('RFQ-Input'!G278="","",'RFQ-Input'!G278)</f>
        <v/>
      </c>
      <c r="H279" s="7" t="str">
        <f>IF('RFQ-Input'!H278="","",'RFQ-Input'!H278)</f>
        <v/>
      </c>
      <c r="I279" s="7" t="str">
        <f>IF('RFQ-Input'!I278="","",'RFQ-Input'!I278)</f>
        <v/>
      </c>
      <c r="J279" s="7" t="str">
        <f>IF('RFQ-Input'!J278="","",'RFQ-Input'!J278)</f>
        <v/>
      </c>
      <c r="K279" s="7" t="str">
        <f>IF('RFQ-Input'!K278="","",'RFQ-Input'!K278)</f>
        <v/>
      </c>
      <c r="L279" s="7" t="str">
        <f>IF('RFQ-Input'!L278="","",'RFQ-Input'!L278)</f>
        <v/>
      </c>
      <c r="M279" s="7" t="str">
        <f>IF('RFQ-Input'!M278="","",'RFQ-Input'!M278)</f>
        <v/>
      </c>
      <c r="N279" s="7" t="str">
        <f>IF('RFQ-Input'!N278="","",'RFQ-Input'!N278)</f>
        <v/>
      </c>
      <c r="O279" s="7" t="str">
        <f>IF('RFQ-Input'!O278="","",'RFQ-Input'!O278)</f>
        <v/>
      </c>
      <c r="Q279" s="7"/>
      <c r="R279" s="7"/>
      <c r="S279" s="7"/>
      <c r="T279" s="7"/>
      <c r="U279" s="7"/>
      <c r="V279" s="7"/>
      <c r="X279" s="7"/>
      <c r="Y279" s="7"/>
      <c r="Z279" s="7"/>
      <c r="AA279" s="7" t="str">
        <f t="shared" si="28"/>
        <v/>
      </c>
      <c r="AB279" s="7"/>
      <c r="AC279" s="7"/>
      <c r="AQ279" s="7" t="str">
        <f t="shared" si="29"/>
        <v/>
      </c>
      <c r="AR279" s="7" t="str">
        <f t="shared" si="30"/>
        <v/>
      </c>
      <c r="AS279" s="7" t="str">
        <f t="shared" si="31"/>
        <v/>
      </c>
      <c r="AT279" s="7" t="str">
        <f t="shared" si="32"/>
        <v/>
      </c>
      <c r="AU279" s="7" t="str">
        <f t="shared" si="33"/>
        <v/>
      </c>
      <c r="AV279" s="7" t="str">
        <f t="shared" si="34"/>
        <v/>
      </c>
      <c r="AW279" s="7" t="str">
        <f>IF('RFQ-Input'!O278="","",'RFQ-Input'!O278)</f>
        <v/>
      </c>
      <c r="AX279" s="7" t="str">
        <f>IF('RFQ-Input'!S278="","",'RFQ-Input'!S278)</f>
        <v/>
      </c>
      <c r="AY279" s="7" t="str">
        <f>IF('RFQ-Input'!V278="","",'RFQ-Input'!V278)</f>
        <v/>
      </c>
      <c r="AZ279" s="7" t="str">
        <f>IF('RFQ-Input'!Y278="","",'RFQ-Input'!Y278)</f>
        <v/>
      </c>
      <c r="BA279" s="7" t="str">
        <f>IF('RFQ-Input'!AB278="","",'RFQ-Input'!AB278)</f>
        <v/>
      </c>
    </row>
    <row r="280" spans="1:53">
      <c r="A280" s="20">
        <v>276</v>
      </c>
      <c r="B280" s="7"/>
      <c r="C280" s="7" t="str">
        <f>IF('RFQ-Input'!C279="","",'RFQ-Input'!C279)</f>
        <v/>
      </c>
      <c r="D280" s="7" t="str">
        <f>IF('RFQ-Input'!D279="","",'RFQ-Input'!D279)</f>
        <v/>
      </c>
      <c r="E280" s="7" t="str">
        <f>IF('RFQ-Input'!E279="","",'RFQ-Input'!E279)</f>
        <v/>
      </c>
      <c r="F280" s="7" t="str">
        <f>IF('RFQ-Input'!F279="","",'RFQ-Input'!F279)</f>
        <v/>
      </c>
      <c r="G280" s="7" t="str">
        <f>IF('RFQ-Input'!G279="","",'RFQ-Input'!G279)</f>
        <v/>
      </c>
      <c r="H280" s="7" t="str">
        <f>IF('RFQ-Input'!H279="","",'RFQ-Input'!H279)</f>
        <v/>
      </c>
      <c r="I280" s="7" t="str">
        <f>IF('RFQ-Input'!I279="","",'RFQ-Input'!I279)</f>
        <v/>
      </c>
      <c r="J280" s="7" t="str">
        <f>IF('RFQ-Input'!J279="","",'RFQ-Input'!J279)</f>
        <v/>
      </c>
      <c r="K280" s="7" t="str">
        <f>IF('RFQ-Input'!K279="","",'RFQ-Input'!K279)</f>
        <v/>
      </c>
      <c r="L280" s="7" t="str">
        <f>IF('RFQ-Input'!L279="","",'RFQ-Input'!L279)</f>
        <v/>
      </c>
      <c r="M280" s="7" t="str">
        <f>IF('RFQ-Input'!M279="","",'RFQ-Input'!M279)</f>
        <v/>
      </c>
      <c r="N280" s="7" t="str">
        <f>IF('RFQ-Input'!N279="","",'RFQ-Input'!N279)</f>
        <v/>
      </c>
      <c r="O280" s="7" t="str">
        <f>IF('RFQ-Input'!O279="","",'RFQ-Input'!O279)</f>
        <v/>
      </c>
      <c r="Q280" s="7"/>
      <c r="R280" s="7"/>
      <c r="S280" s="7"/>
      <c r="T280" s="7"/>
      <c r="U280" s="7"/>
      <c r="V280" s="7"/>
      <c r="X280" s="7"/>
      <c r="Y280" s="7"/>
      <c r="Z280" s="7"/>
      <c r="AA280" s="7" t="str">
        <f t="shared" si="28"/>
        <v/>
      </c>
      <c r="AB280" s="7"/>
      <c r="AC280" s="7"/>
      <c r="AQ280" s="7" t="str">
        <f t="shared" si="29"/>
        <v/>
      </c>
      <c r="AR280" s="7" t="str">
        <f t="shared" si="30"/>
        <v/>
      </c>
      <c r="AS280" s="7" t="str">
        <f t="shared" si="31"/>
        <v/>
      </c>
      <c r="AT280" s="7" t="str">
        <f t="shared" si="32"/>
        <v/>
      </c>
      <c r="AU280" s="7" t="str">
        <f t="shared" si="33"/>
        <v/>
      </c>
      <c r="AV280" s="7" t="str">
        <f t="shared" si="34"/>
        <v/>
      </c>
      <c r="AW280" s="7" t="str">
        <f>IF('RFQ-Input'!O279="","",'RFQ-Input'!O279)</f>
        <v/>
      </c>
      <c r="AX280" s="7" t="str">
        <f>IF('RFQ-Input'!S279="","",'RFQ-Input'!S279)</f>
        <v/>
      </c>
      <c r="AY280" s="7" t="str">
        <f>IF('RFQ-Input'!V279="","",'RFQ-Input'!V279)</f>
        <v/>
      </c>
      <c r="AZ280" s="7" t="str">
        <f>IF('RFQ-Input'!Y279="","",'RFQ-Input'!Y279)</f>
        <v/>
      </c>
      <c r="BA280" s="7" t="str">
        <f>IF('RFQ-Input'!AB279="","",'RFQ-Input'!AB279)</f>
        <v/>
      </c>
    </row>
    <row r="281" spans="1:53">
      <c r="A281" s="20">
        <v>277</v>
      </c>
      <c r="B281" s="7"/>
      <c r="C281" s="7" t="str">
        <f>IF('RFQ-Input'!C280="","",'RFQ-Input'!C280)</f>
        <v/>
      </c>
      <c r="D281" s="7" t="str">
        <f>IF('RFQ-Input'!D280="","",'RFQ-Input'!D280)</f>
        <v/>
      </c>
      <c r="E281" s="7" t="str">
        <f>IF('RFQ-Input'!E280="","",'RFQ-Input'!E280)</f>
        <v/>
      </c>
      <c r="F281" s="7" t="str">
        <f>IF('RFQ-Input'!F280="","",'RFQ-Input'!F280)</f>
        <v/>
      </c>
      <c r="G281" s="7" t="str">
        <f>IF('RFQ-Input'!G280="","",'RFQ-Input'!G280)</f>
        <v/>
      </c>
      <c r="H281" s="7" t="str">
        <f>IF('RFQ-Input'!H280="","",'RFQ-Input'!H280)</f>
        <v/>
      </c>
      <c r="I281" s="7" t="str">
        <f>IF('RFQ-Input'!I280="","",'RFQ-Input'!I280)</f>
        <v/>
      </c>
      <c r="J281" s="7" t="str">
        <f>IF('RFQ-Input'!J280="","",'RFQ-Input'!J280)</f>
        <v/>
      </c>
      <c r="K281" s="7" t="str">
        <f>IF('RFQ-Input'!K280="","",'RFQ-Input'!K280)</f>
        <v/>
      </c>
      <c r="L281" s="7" t="str">
        <f>IF('RFQ-Input'!L280="","",'RFQ-Input'!L280)</f>
        <v/>
      </c>
      <c r="M281" s="7" t="str">
        <f>IF('RFQ-Input'!M280="","",'RFQ-Input'!M280)</f>
        <v/>
      </c>
      <c r="N281" s="7" t="str">
        <f>IF('RFQ-Input'!N280="","",'RFQ-Input'!N280)</f>
        <v/>
      </c>
      <c r="O281" s="7" t="str">
        <f>IF('RFQ-Input'!O280="","",'RFQ-Input'!O280)</f>
        <v/>
      </c>
      <c r="Q281" s="7"/>
      <c r="R281" s="7"/>
      <c r="S281" s="7"/>
      <c r="T281" s="7"/>
      <c r="U281" s="7"/>
      <c r="V281" s="7"/>
      <c r="X281" s="7"/>
      <c r="Y281" s="7"/>
      <c r="Z281" s="7"/>
      <c r="AA281" s="7" t="str">
        <f t="shared" si="28"/>
        <v/>
      </c>
      <c r="AB281" s="7"/>
      <c r="AC281" s="7"/>
      <c r="AQ281" s="7" t="str">
        <f t="shared" si="29"/>
        <v/>
      </c>
      <c r="AR281" s="7" t="str">
        <f t="shared" si="30"/>
        <v/>
      </c>
      <c r="AS281" s="7" t="str">
        <f t="shared" si="31"/>
        <v/>
      </c>
      <c r="AT281" s="7" t="str">
        <f t="shared" si="32"/>
        <v/>
      </c>
      <c r="AU281" s="7" t="str">
        <f t="shared" si="33"/>
        <v/>
      </c>
      <c r="AV281" s="7" t="str">
        <f t="shared" si="34"/>
        <v/>
      </c>
      <c r="AW281" s="7" t="str">
        <f>IF('RFQ-Input'!O280="","",'RFQ-Input'!O280)</f>
        <v/>
      </c>
      <c r="AX281" s="7" t="str">
        <f>IF('RFQ-Input'!S280="","",'RFQ-Input'!S280)</f>
        <v/>
      </c>
      <c r="AY281" s="7" t="str">
        <f>IF('RFQ-Input'!V280="","",'RFQ-Input'!V280)</f>
        <v/>
      </c>
      <c r="AZ281" s="7" t="str">
        <f>IF('RFQ-Input'!Y280="","",'RFQ-Input'!Y280)</f>
        <v/>
      </c>
      <c r="BA281" s="7" t="str">
        <f>IF('RFQ-Input'!AB280="","",'RFQ-Input'!AB280)</f>
        <v/>
      </c>
    </row>
    <row r="282" spans="1:53">
      <c r="A282" s="20">
        <v>278</v>
      </c>
      <c r="B282" s="7"/>
      <c r="C282" s="7" t="str">
        <f>IF('RFQ-Input'!C281="","",'RFQ-Input'!C281)</f>
        <v/>
      </c>
      <c r="D282" s="7" t="str">
        <f>IF('RFQ-Input'!D281="","",'RFQ-Input'!D281)</f>
        <v/>
      </c>
      <c r="E282" s="7" t="str">
        <f>IF('RFQ-Input'!E281="","",'RFQ-Input'!E281)</f>
        <v/>
      </c>
      <c r="F282" s="7" t="str">
        <f>IF('RFQ-Input'!F281="","",'RFQ-Input'!F281)</f>
        <v/>
      </c>
      <c r="G282" s="7" t="str">
        <f>IF('RFQ-Input'!G281="","",'RFQ-Input'!G281)</f>
        <v/>
      </c>
      <c r="H282" s="7" t="str">
        <f>IF('RFQ-Input'!H281="","",'RFQ-Input'!H281)</f>
        <v/>
      </c>
      <c r="I282" s="7" t="str">
        <f>IF('RFQ-Input'!I281="","",'RFQ-Input'!I281)</f>
        <v/>
      </c>
      <c r="J282" s="7" t="str">
        <f>IF('RFQ-Input'!J281="","",'RFQ-Input'!J281)</f>
        <v/>
      </c>
      <c r="K282" s="7" t="str">
        <f>IF('RFQ-Input'!K281="","",'RFQ-Input'!K281)</f>
        <v/>
      </c>
      <c r="L282" s="7" t="str">
        <f>IF('RFQ-Input'!L281="","",'RFQ-Input'!L281)</f>
        <v/>
      </c>
      <c r="M282" s="7" t="str">
        <f>IF('RFQ-Input'!M281="","",'RFQ-Input'!M281)</f>
        <v/>
      </c>
      <c r="N282" s="7" t="str">
        <f>IF('RFQ-Input'!N281="","",'RFQ-Input'!N281)</f>
        <v/>
      </c>
      <c r="O282" s="7" t="str">
        <f>IF('RFQ-Input'!O281="","",'RFQ-Input'!O281)</f>
        <v/>
      </c>
      <c r="Q282" s="7"/>
      <c r="R282" s="7"/>
      <c r="S282" s="7"/>
      <c r="T282" s="7"/>
      <c r="U282" s="7"/>
      <c r="V282" s="7"/>
      <c r="X282" s="7"/>
      <c r="Y282" s="7"/>
      <c r="Z282" s="7"/>
      <c r="AA282" s="7" t="str">
        <f t="shared" si="28"/>
        <v/>
      </c>
      <c r="AB282" s="7"/>
      <c r="AC282" s="7"/>
      <c r="AQ282" s="7" t="str">
        <f t="shared" si="29"/>
        <v/>
      </c>
      <c r="AR282" s="7" t="str">
        <f t="shared" si="30"/>
        <v/>
      </c>
      <c r="AS282" s="7" t="str">
        <f t="shared" si="31"/>
        <v/>
      </c>
      <c r="AT282" s="7" t="str">
        <f t="shared" si="32"/>
        <v/>
      </c>
      <c r="AU282" s="7" t="str">
        <f t="shared" si="33"/>
        <v/>
      </c>
      <c r="AV282" s="7" t="str">
        <f t="shared" si="34"/>
        <v/>
      </c>
      <c r="AW282" s="7" t="str">
        <f>IF('RFQ-Input'!O281="","",'RFQ-Input'!O281)</f>
        <v/>
      </c>
      <c r="AX282" s="7" t="str">
        <f>IF('RFQ-Input'!S281="","",'RFQ-Input'!S281)</f>
        <v/>
      </c>
      <c r="AY282" s="7" t="str">
        <f>IF('RFQ-Input'!V281="","",'RFQ-Input'!V281)</f>
        <v/>
      </c>
      <c r="AZ282" s="7" t="str">
        <f>IF('RFQ-Input'!Y281="","",'RFQ-Input'!Y281)</f>
        <v/>
      </c>
      <c r="BA282" s="7" t="str">
        <f>IF('RFQ-Input'!AB281="","",'RFQ-Input'!AB281)</f>
        <v/>
      </c>
    </row>
    <row r="283" spans="1:53">
      <c r="A283" s="20">
        <v>279</v>
      </c>
      <c r="B283" s="7"/>
      <c r="C283" s="7" t="str">
        <f>IF('RFQ-Input'!C282="","",'RFQ-Input'!C282)</f>
        <v/>
      </c>
      <c r="D283" s="7" t="str">
        <f>IF('RFQ-Input'!D282="","",'RFQ-Input'!D282)</f>
        <v/>
      </c>
      <c r="E283" s="7" t="str">
        <f>IF('RFQ-Input'!E282="","",'RFQ-Input'!E282)</f>
        <v/>
      </c>
      <c r="F283" s="7" t="str">
        <f>IF('RFQ-Input'!F282="","",'RFQ-Input'!F282)</f>
        <v/>
      </c>
      <c r="G283" s="7" t="str">
        <f>IF('RFQ-Input'!G282="","",'RFQ-Input'!G282)</f>
        <v/>
      </c>
      <c r="H283" s="7" t="str">
        <f>IF('RFQ-Input'!H282="","",'RFQ-Input'!H282)</f>
        <v/>
      </c>
      <c r="I283" s="7" t="str">
        <f>IF('RFQ-Input'!I282="","",'RFQ-Input'!I282)</f>
        <v/>
      </c>
      <c r="J283" s="7" t="str">
        <f>IF('RFQ-Input'!J282="","",'RFQ-Input'!J282)</f>
        <v/>
      </c>
      <c r="K283" s="7" t="str">
        <f>IF('RFQ-Input'!K282="","",'RFQ-Input'!K282)</f>
        <v/>
      </c>
      <c r="L283" s="7" t="str">
        <f>IF('RFQ-Input'!L282="","",'RFQ-Input'!L282)</f>
        <v/>
      </c>
      <c r="M283" s="7" t="str">
        <f>IF('RFQ-Input'!M282="","",'RFQ-Input'!M282)</f>
        <v/>
      </c>
      <c r="N283" s="7" t="str">
        <f>IF('RFQ-Input'!N282="","",'RFQ-Input'!N282)</f>
        <v/>
      </c>
      <c r="O283" s="7" t="str">
        <f>IF('RFQ-Input'!O282="","",'RFQ-Input'!O282)</f>
        <v/>
      </c>
      <c r="Q283" s="7"/>
      <c r="R283" s="7"/>
      <c r="S283" s="7"/>
      <c r="T283" s="7"/>
      <c r="U283" s="7"/>
      <c r="V283" s="7"/>
      <c r="X283" s="7"/>
      <c r="Y283" s="7"/>
      <c r="Z283" s="7"/>
      <c r="AA283" s="7" t="str">
        <f t="shared" si="28"/>
        <v/>
      </c>
      <c r="AB283" s="7"/>
      <c r="AC283" s="7"/>
      <c r="AQ283" s="7" t="str">
        <f t="shared" si="29"/>
        <v/>
      </c>
      <c r="AR283" s="7" t="str">
        <f t="shared" si="30"/>
        <v/>
      </c>
      <c r="AS283" s="7" t="str">
        <f t="shared" si="31"/>
        <v/>
      </c>
      <c r="AT283" s="7" t="str">
        <f t="shared" si="32"/>
        <v/>
      </c>
      <c r="AU283" s="7" t="str">
        <f t="shared" si="33"/>
        <v/>
      </c>
      <c r="AV283" s="7" t="str">
        <f t="shared" si="34"/>
        <v/>
      </c>
      <c r="AW283" s="7" t="str">
        <f>IF('RFQ-Input'!O282="","",'RFQ-Input'!O282)</f>
        <v/>
      </c>
      <c r="AX283" s="7" t="str">
        <f>IF('RFQ-Input'!S282="","",'RFQ-Input'!S282)</f>
        <v/>
      </c>
      <c r="AY283" s="7" t="str">
        <f>IF('RFQ-Input'!V282="","",'RFQ-Input'!V282)</f>
        <v/>
      </c>
      <c r="AZ283" s="7" t="str">
        <f>IF('RFQ-Input'!Y282="","",'RFQ-Input'!Y282)</f>
        <v/>
      </c>
      <c r="BA283" s="7" t="str">
        <f>IF('RFQ-Input'!AB282="","",'RFQ-Input'!AB282)</f>
        <v/>
      </c>
    </row>
    <row r="284" spans="1:53">
      <c r="A284" s="20">
        <v>280</v>
      </c>
      <c r="B284" s="7"/>
      <c r="C284" s="7" t="str">
        <f>IF('RFQ-Input'!C283="","",'RFQ-Input'!C283)</f>
        <v/>
      </c>
      <c r="D284" s="7" t="str">
        <f>IF('RFQ-Input'!D283="","",'RFQ-Input'!D283)</f>
        <v/>
      </c>
      <c r="E284" s="7" t="str">
        <f>IF('RFQ-Input'!E283="","",'RFQ-Input'!E283)</f>
        <v/>
      </c>
      <c r="F284" s="7" t="str">
        <f>IF('RFQ-Input'!F283="","",'RFQ-Input'!F283)</f>
        <v/>
      </c>
      <c r="G284" s="7" t="str">
        <f>IF('RFQ-Input'!G283="","",'RFQ-Input'!G283)</f>
        <v/>
      </c>
      <c r="H284" s="7" t="str">
        <f>IF('RFQ-Input'!H283="","",'RFQ-Input'!H283)</f>
        <v/>
      </c>
      <c r="I284" s="7" t="str">
        <f>IF('RFQ-Input'!I283="","",'RFQ-Input'!I283)</f>
        <v/>
      </c>
      <c r="J284" s="7" t="str">
        <f>IF('RFQ-Input'!J283="","",'RFQ-Input'!J283)</f>
        <v/>
      </c>
      <c r="K284" s="7" t="str">
        <f>IF('RFQ-Input'!K283="","",'RFQ-Input'!K283)</f>
        <v/>
      </c>
      <c r="L284" s="7" t="str">
        <f>IF('RFQ-Input'!L283="","",'RFQ-Input'!L283)</f>
        <v/>
      </c>
      <c r="M284" s="7" t="str">
        <f>IF('RFQ-Input'!M283="","",'RFQ-Input'!M283)</f>
        <v/>
      </c>
      <c r="N284" s="7" t="str">
        <f>IF('RFQ-Input'!N283="","",'RFQ-Input'!N283)</f>
        <v/>
      </c>
      <c r="O284" s="7" t="str">
        <f>IF('RFQ-Input'!O283="","",'RFQ-Input'!O283)</f>
        <v/>
      </c>
      <c r="Q284" s="7"/>
      <c r="R284" s="7"/>
      <c r="S284" s="7"/>
      <c r="T284" s="7"/>
      <c r="U284" s="7"/>
      <c r="V284" s="7"/>
      <c r="X284" s="7"/>
      <c r="Y284" s="7"/>
      <c r="Z284" s="7"/>
      <c r="AA284" s="7" t="str">
        <f t="shared" si="28"/>
        <v/>
      </c>
      <c r="AB284" s="7"/>
      <c r="AC284" s="7"/>
      <c r="AQ284" s="7" t="str">
        <f t="shared" si="29"/>
        <v/>
      </c>
      <c r="AR284" s="7" t="str">
        <f t="shared" si="30"/>
        <v/>
      </c>
      <c r="AS284" s="7" t="str">
        <f t="shared" si="31"/>
        <v/>
      </c>
      <c r="AT284" s="7" t="str">
        <f t="shared" si="32"/>
        <v/>
      </c>
      <c r="AU284" s="7" t="str">
        <f t="shared" si="33"/>
        <v/>
      </c>
      <c r="AV284" s="7" t="str">
        <f t="shared" si="34"/>
        <v/>
      </c>
      <c r="AW284" s="7" t="str">
        <f>IF('RFQ-Input'!O283="","",'RFQ-Input'!O283)</f>
        <v/>
      </c>
      <c r="AX284" s="7" t="str">
        <f>IF('RFQ-Input'!S283="","",'RFQ-Input'!S283)</f>
        <v/>
      </c>
      <c r="AY284" s="7" t="str">
        <f>IF('RFQ-Input'!V283="","",'RFQ-Input'!V283)</f>
        <v/>
      </c>
      <c r="AZ284" s="7" t="str">
        <f>IF('RFQ-Input'!Y283="","",'RFQ-Input'!Y283)</f>
        <v/>
      </c>
      <c r="BA284" s="7" t="str">
        <f>IF('RFQ-Input'!AB283="","",'RFQ-Input'!AB283)</f>
        <v/>
      </c>
    </row>
    <row r="285" spans="1:53">
      <c r="A285" s="20">
        <v>281</v>
      </c>
      <c r="B285" s="7"/>
      <c r="C285" s="7" t="str">
        <f>IF('RFQ-Input'!C284="","",'RFQ-Input'!C284)</f>
        <v/>
      </c>
      <c r="D285" s="7" t="str">
        <f>IF('RFQ-Input'!D284="","",'RFQ-Input'!D284)</f>
        <v/>
      </c>
      <c r="E285" s="7" t="str">
        <f>IF('RFQ-Input'!E284="","",'RFQ-Input'!E284)</f>
        <v/>
      </c>
      <c r="F285" s="7" t="str">
        <f>IF('RFQ-Input'!F284="","",'RFQ-Input'!F284)</f>
        <v/>
      </c>
      <c r="G285" s="7" t="str">
        <f>IF('RFQ-Input'!G284="","",'RFQ-Input'!G284)</f>
        <v/>
      </c>
      <c r="H285" s="7" t="str">
        <f>IF('RFQ-Input'!H284="","",'RFQ-Input'!H284)</f>
        <v/>
      </c>
      <c r="I285" s="7" t="str">
        <f>IF('RFQ-Input'!I284="","",'RFQ-Input'!I284)</f>
        <v/>
      </c>
      <c r="J285" s="7" t="str">
        <f>IF('RFQ-Input'!J284="","",'RFQ-Input'!J284)</f>
        <v/>
      </c>
      <c r="K285" s="7" t="str">
        <f>IF('RFQ-Input'!K284="","",'RFQ-Input'!K284)</f>
        <v/>
      </c>
      <c r="L285" s="7" t="str">
        <f>IF('RFQ-Input'!L284="","",'RFQ-Input'!L284)</f>
        <v/>
      </c>
      <c r="M285" s="7" t="str">
        <f>IF('RFQ-Input'!M284="","",'RFQ-Input'!M284)</f>
        <v/>
      </c>
      <c r="N285" s="7" t="str">
        <f>IF('RFQ-Input'!N284="","",'RFQ-Input'!N284)</f>
        <v/>
      </c>
      <c r="O285" s="7" t="str">
        <f>IF('RFQ-Input'!O284="","",'RFQ-Input'!O284)</f>
        <v/>
      </c>
      <c r="Q285" s="7"/>
      <c r="R285" s="7"/>
      <c r="S285" s="7"/>
      <c r="T285" s="7"/>
      <c r="U285" s="7"/>
      <c r="V285" s="7"/>
      <c r="X285" s="7"/>
      <c r="Y285" s="7"/>
      <c r="Z285" s="7"/>
      <c r="AA285" s="7" t="str">
        <f t="shared" si="28"/>
        <v/>
      </c>
      <c r="AB285" s="7"/>
      <c r="AC285" s="7"/>
      <c r="AQ285" s="7" t="str">
        <f t="shared" si="29"/>
        <v/>
      </c>
      <c r="AR285" s="7" t="str">
        <f t="shared" si="30"/>
        <v/>
      </c>
      <c r="AS285" s="7" t="str">
        <f t="shared" si="31"/>
        <v/>
      </c>
      <c r="AT285" s="7" t="str">
        <f t="shared" si="32"/>
        <v/>
      </c>
      <c r="AU285" s="7" t="str">
        <f t="shared" si="33"/>
        <v/>
      </c>
      <c r="AV285" s="7" t="str">
        <f t="shared" si="34"/>
        <v/>
      </c>
      <c r="AW285" s="7" t="str">
        <f>IF('RFQ-Input'!O284="","",'RFQ-Input'!O284)</f>
        <v/>
      </c>
      <c r="AX285" s="7" t="str">
        <f>IF('RFQ-Input'!S284="","",'RFQ-Input'!S284)</f>
        <v/>
      </c>
      <c r="AY285" s="7" t="str">
        <f>IF('RFQ-Input'!V284="","",'RFQ-Input'!V284)</f>
        <v/>
      </c>
      <c r="AZ285" s="7" t="str">
        <f>IF('RFQ-Input'!Y284="","",'RFQ-Input'!Y284)</f>
        <v/>
      </c>
      <c r="BA285" s="7" t="str">
        <f>IF('RFQ-Input'!AB284="","",'RFQ-Input'!AB284)</f>
        <v/>
      </c>
    </row>
    <row r="286" spans="1:53">
      <c r="A286" s="20">
        <v>282</v>
      </c>
      <c r="B286" s="7"/>
      <c r="C286" s="7" t="str">
        <f>IF('RFQ-Input'!C285="","",'RFQ-Input'!C285)</f>
        <v/>
      </c>
      <c r="D286" s="7" t="str">
        <f>IF('RFQ-Input'!D285="","",'RFQ-Input'!D285)</f>
        <v/>
      </c>
      <c r="E286" s="7" t="str">
        <f>IF('RFQ-Input'!E285="","",'RFQ-Input'!E285)</f>
        <v/>
      </c>
      <c r="F286" s="7" t="str">
        <f>IF('RFQ-Input'!F285="","",'RFQ-Input'!F285)</f>
        <v/>
      </c>
      <c r="G286" s="7" t="str">
        <f>IF('RFQ-Input'!G285="","",'RFQ-Input'!G285)</f>
        <v/>
      </c>
      <c r="H286" s="7" t="str">
        <f>IF('RFQ-Input'!H285="","",'RFQ-Input'!H285)</f>
        <v/>
      </c>
      <c r="I286" s="7" t="str">
        <f>IF('RFQ-Input'!I285="","",'RFQ-Input'!I285)</f>
        <v/>
      </c>
      <c r="J286" s="7" t="str">
        <f>IF('RFQ-Input'!J285="","",'RFQ-Input'!J285)</f>
        <v/>
      </c>
      <c r="K286" s="7" t="str">
        <f>IF('RFQ-Input'!K285="","",'RFQ-Input'!K285)</f>
        <v/>
      </c>
      <c r="L286" s="7" t="str">
        <f>IF('RFQ-Input'!L285="","",'RFQ-Input'!L285)</f>
        <v/>
      </c>
      <c r="M286" s="7" t="str">
        <f>IF('RFQ-Input'!M285="","",'RFQ-Input'!M285)</f>
        <v/>
      </c>
      <c r="N286" s="7" t="str">
        <f>IF('RFQ-Input'!N285="","",'RFQ-Input'!N285)</f>
        <v/>
      </c>
      <c r="O286" s="7" t="str">
        <f>IF('RFQ-Input'!O285="","",'RFQ-Input'!O285)</f>
        <v/>
      </c>
      <c r="Q286" s="7"/>
      <c r="R286" s="7"/>
      <c r="S286" s="7"/>
      <c r="T286" s="7"/>
      <c r="U286" s="7"/>
      <c r="V286" s="7"/>
      <c r="X286" s="7"/>
      <c r="Y286" s="7"/>
      <c r="Z286" s="7"/>
      <c r="AA286" s="7" t="str">
        <f t="shared" si="28"/>
        <v/>
      </c>
      <c r="AB286" s="7"/>
      <c r="AC286" s="7"/>
      <c r="AQ286" s="7" t="str">
        <f t="shared" si="29"/>
        <v/>
      </c>
      <c r="AR286" s="7" t="str">
        <f t="shared" si="30"/>
        <v/>
      </c>
      <c r="AS286" s="7" t="str">
        <f t="shared" si="31"/>
        <v/>
      </c>
      <c r="AT286" s="7" t="str">
        <f t="shared" si="32"/>
        <v/>
      </c>
      <c r="AU286" s="7" t="str">
        <f t="shared" si="33"/>
        <v/>
      </c>
      <c r="AV286" s="7" t="str">
        <f t="shared" si="34"/>
        <v/>
      </c>
      <c r="AW286" s="7" t="str">
        <f>IF('RFQ-Input'!O285="","",'RFQ-Input'!O285)</f>
        <v/>
      </c>
      <c r="AX286" s="7" t="str">
        <f>IF('RFQ-Input'!S285="","",'RFQ-Input'!S285)</f>
        <v/>
      </c>
      <c r="AY286" s="7" t="str">
        <f>IF('RFQ-Input'!V285="","",'RFQ-Input'!V285)</f>
        <v/>
      </c>
      <c r="AZ286" s="7" t="str">
        <f>IF('RFQ-Input'!Y285="","",'RFQ-Input'!Y285)</f>
        <v/>
      </c>
      <c r="BA286" s="7" t="str">
        <f>IF('RFQ-Input'!AB285="","",'RFQ-Input'!AB285)</f>
        <v/>
      </c>
    </row>
    <row r="287" spans="1:53">
      <c r="A287" s="20">
        <v>283</v>
      </c>
      <c r="B287" s="7"/>
      <c r="C287" s="7" t="str">
        <f>IF('RFQ-Input'!C286="","",'RFQ-Input'!C286)</f>
        <v/>
      </c>
      <c r="D287" s="7" t="str">
        <f>IF('RFQ-Input'!D286="","",'RFQ-Input'!D286)</f>
        <v/>
      </c>
      <c r="E287" s="7" t="str">
        <f>IF('RFQ-Input'!E286="","",'RFQ-Input'!E286)</f>
        <v/>
      </c>
      <c r="F287" s="7" t="str">
        <f>IF('RFQ-Input'!F286="","",'RFQ-Input'!F286)</f>
        <v/>
      </c>
      <c r="G287" s="7" t="str">
        <f>IF('RFQ-Input'!G286="","",'RFQ-Input'!G286)</f>
        <v/>
      </c>
      <c r="H287" s="7" t="str">
        <f>IF('RFQ-Input'!H286="","",'RFQ-Input'!H286)</f>
        <v/>
      </c>
      <c r="I287" s="7" t="str">
        <f>IF('RFQ-Input'!I286="","",'RFQ-Input'!I286)</f>
        <v/>
      </c>
      <c r="J287" s="7" t="str">
        <f>IF('RFQ-Input'!J286="","",'RFQ-Input'!J286)</f>
        <v/>
      </c>
      <c r="K287" s="7" t="str">
        <f>IF('RFQ-Input'!K286="","",'RFQ-Input'!K286)</f>
        <v/>
      </c>
      <c r="L287" s="7" t="str">
        <f>IF('RFQ-Input'!L286="","",'RFQ-Input'!L286)</f>
        <v/>
      </c>
      <c r="M287" s="7" t="str">
        <f>IF('RFQ-Input'!M286="","",'RFQ-Input'!M286)</f>
        <v/>
      </c>
      <c r="N287" s="7" t="str">
        <f>IF('RFQ-Input'!N286="","",'RFQ-Input'!N286)</f>
        <v/>
      </c>
      <c r="O287" s="7" t="str">
        <f>IF('RFQ-Input'!O286="","",'RFQ-Input'!O286)</f>
        <v/>
      </c>
      <c r="Q287" s="7"/>
      <c r="R287" s="7"/>
      <c r="S287" s="7"/>
      <c r="T287" s="7"/>
      <c r="U287" s="7"/>
      <c r="V287" s="7"/>
      <c r="X287" s="7"/>
      <c r="Y287" s="7"/>
      <c r="Z287" s="7"/>
      <c r="AA287" s="7" t="str">
        <f t="shared" si="28"/>
        <v/>
      </c>
      <c r="AB287" s="7"/>
      <c r="AC287" s="7"/>
      <c r="AQ287" s="7" t="str">
        <f t="shared" si="29"/>
        <v/>
      </c>
      <c r="AR287" s="7" t="str">
        <f t="shared" si="30"/>
        <v/>
      </c>
      <c r="AS287" s="7" t="str">
        <f t="shared" si="31"/>
        <v/>
      </c>
      <c r="AT287" s="7" t="str">
        <f t="shared" si="32"/>
        <v/>
      </c>
      <c r="AU287" s="7" t="str">
        <f t="shared" si="33"/>
        <v/>
      </c>
      <c r="AV287" s="7" t="str">
        <f t="shared" si="34"/>
        <v/>
      </c>
      <c r="AW287" s="7" t="str">
        <f>IF('RFQ-Input'!O286="","",'RFQ-Input'!O286)</f>
        <v/>
      </c>
      <c r="AX287" s="7" t="str">
        <f>IF('RFQ-Input'!S286="","",'RFQ-Input'!S286)</f>
        <v/>
      </c>
      <c r="AY287" s="7" t="str">
        <f>IF('RFQ-Input'!V286="","",'RFQ-Input'!V286)</f>
        <v/>
      </c>
      <c r="AZ287" s="7" t="str">
        <f>IF('RFQ-Input'!Y286="","",'RFQ-Input'!Y286)</f>
        <v/>
      </c>
      <c r="BA287" s="7" t="str">
        <f>IF('RFQ-Input'!AB286="","",'RFQ-Input'!AB286)</f>
        <v/>
      </c>
    </row>
    <row r="288" spans="1:53">
      <c r="A288" s="20">
        <v>284</v>
      </c>
      <c r="B288" s="7"/>
      <c r="C288" s="7" t="str">
        <f>IF('RFQ-Input'!C287="","",'RFQ-Input'!C287)</f>
        <v/>
      </c>
      <c r="D288" s="7" t="str">
        <f>IF('RFQ-Input'!D287="","",'RFQ-Input'!D287)</f>
        <v/>
      </c>
      <c r="E288" s="7" t="str">
        <f>IF('RFQ-Input'!E287="","",'RFQ-Input'!E287)</f>
        <v/>
      </c>
      <c r="F288" s="7" t="str">
        <f>IF('RFQ-Input'!F287="","",'RFQ-Input'!F287)</f>
        <v/>
      </c>
      <c r="G288" s="7" t="str">
        <f>IF('RFQ-Input'!G287="","",'RFQ-Input'!G287)</f>
        <v/>
      </c>
      <c r="H288" s="7" t="str">
        <f>IF('RFQ-Input'!H287="","",'RFQ-Input'!H287)</f>
        <v/>
      </c>
      <c r="I288" s="7" t="str">
        <f>IF('RFQ-Input'!I287="","",'RFQ-Input'!I287)</f>
        <v/>
      </c>
      <c r="J288" s="7" t="str">
        <f>IF('RFQ-Input'!J287="","",'RFQ-Input'!J287)</f>
        <v/>
      </c>
      <c r="K288" s="7" t="str">
        <f>IF('RFQ-Input'!K287="","",'RFQ-Input'!K287)</f>
        <v/>
      </c>
      <c r="L288" s="7" t="str">
        <f>IF('RFQ-Input'!L287="","",'RFQ-Input'!L287)</f>
        <v/>
      </c>
      <c r="M288" s="7" t="str">
        <f>IF('RFQ-Input'!M287="","",'RFQ-Input'!M287)</f>
        <v/>
      </c>
      <c r="N288" s="7" t="str">
        <f>IF('RFQ-Input'!N287="","",'RFQ-Input'!N287)</f>
        <v/>
      </c>
      <c r="O288" s="7" t="str">
        <f>IF('RFQ-Input'!O287="","",'RFQ-Input'!O287)</f>
        <v/>
      </c>
      <c r="Q288" s="7"/>
      <c r="R288" s="7"/>
      <c r="S288" s="7"/>
      <c r="T288" s="7"/>
      <c r="U288" s="7"/>
      <c r="V288" s="7"/>
      <c r="X288" s="7"/>
      <c r="Y288" s="7"/>
      <c r="Z288" s="7"/>
      <c r="AA288" s="7" t="str">
        <f t="shared" si="28"/>
        <v/>
      </c>
      <c r="AB288" s="7"/>
      <c r="AC288" s="7"/>
      <c r="AQ288" s="7" t="str">
        <f t="shared" si="29"/>
        <v/>
      </c>
      <c r="AR288" s="7" t="str">
        <f t="shared" si="30"/>
        <v/>
      </c>
      <c r="AS288" s="7" t="str">
        <f t="shared" si="31"/>
        <v/>
      </c>
      <c r="AT288" s="7" t="str">
        <f t="shared" si="32"/>
        <v/>
      </c>
      <c r="AU288" s="7" t="str">
        <f t="shared" si="33"/>
        <v/>
      </c>
      <c r="AV288" s="7" t="str">
        <f t="shared" si="34"/>
        <v/>
      </c>
      <c r="AW288" s="7" t="str">
        <f>IF('RFQ-Input'!O287="","",'RFQ-Input'!O287)</f>
        <v/>
      </c>
      <c r="AX288" s="7" t="str">
        <f>IF('RFQ-Input'!S287="","",'RFQ-Input'!S287)</f>
        <v/>
      </c>
      <c r="AY288" s="7" t="str">
        <f>IF('RFQ-Input'!V287="","",'RFQ-Input'!V287)</f>
        <v/>
      </c>
      <c r="AZ288" s="7" t="str">
        <f>IF('RFQ-Input'!Y287="","",'RFQ-Input'!Y287)</f>
        <v/>
      </c>
      <c r="BA288" s="7" t="str">
        <f>IF('RFQ-Input'!AB287="","",'RFQ-Input'!AB287)</f>
        <v/>
      </c>
    </row>
    <row r="289" spans="1:53">
      <c r="A289" s="20">
        <v>285</v>
      </c>
      <c r="B289" s="7"/>
      <c r="C289" s="7" t="str">
        <f>IF('RFQ-Input'!C288="","",'RFQ-Input'!C288)</f>
        <v/>
      </c>
      <c r="D289" s="7" t="str">
        <f>IF('RFQ-Input'!D288="","",'RFQ-Input'!D288)</f>
        <v/>
      </c>
      <c r="E289" s="7" t="str">
        <f>IF('RFQ-Input'!E288="","",'RFQ-Input'!E288)</f>
        <v/>
      </c>
      <c r="F289" s="7" t="str">
        <f>IF('RFQ-Input'!F288="","",'RFQ-Input'!F288)</f>
        <v/>
      </c>
      <c r="G289" s="7" t="str">
        <f>IF('RFQ-Input'!G288="","",'RFQ-Input'!G288)</f>
        <v/>
      </c>
      <c r="H289" s="7" t="str">
        <f>IF('RFQ-Input'!H288="","",'RFQ-Input'!H288)</f>
        <v/>
      </c>
      <c r="I289" s="7" t="str">
        <f>IF('RFQ-Input'!I288="","",'RFQ-Input'!I288)</f>
        <v/>
      </c>
      <c r="J289" s="7" t="str">
        <f>IF('RFQ-Input'!J288="","",'RFQ-Input'!J288)</f>
        <v/>
      </c>
      <c r="K289" s="7" t="str">
        <f>IF('RFQ-Input'!K288="","",'RFQ-Input'!K288)</f>
        <v/>
      </c>
      <c r="L289" s="7" t="str">
        <f>IF('RFQ-Input'!L288="","",'RFQ-Input'!L288)</f>
        <v/>
      </c>
      <c r="M289" s="7" t="str">
        <f>IF('RFQ-Input'!M288="","",'RFQ-Input'!M288)</f>
        <v/>
      </c>
      <c r="N289" s="7" t="str">
        <f>IF('RFQ-Input'!N288="","",'RFQ-Input'!N288)</f>
        <v/>
      </c>
      <c r="O289" s="7" t="str">
        <f>IF('RFQ-Input'!O288="","",'RFQ-Input'!O288)</f>
        <v/>
      </c>
      <c r="Q289" s="7"/>
      <c r="R289" s="7"/>
      <c r="S289" s="7"/>
      <c r="T289" s="7"/>
      <c r="U289" s="7"/>
      <c r="V289" s="7"/>
      <c r="X289" s="7"/>
      <c r="Y289" s="7"/>
      <c r="Z289" s="7"/>
      <c r="AA289" s="7" t="str">
        <f t="shared" si="28"/>
        <v/>
      </c>
      <c r="AB289" s="7"/>
      <c r="AC289" s="7"/>
      <c r="AQ289" s="7" t="str">
        <f t="shared" si="29"/>
        <v/>
      </c>
      <c r="AR289" s="7" t="str">
        <f t="shared" si="30"/>
        <v/>
      </c>
      <c r="AS289" s="7" t="str">
        <f t="shared" si="31"/>
        <v/>
      </c>
      <c r="AT289" s="7" t="str">
        <f t="shared" si="32"/>
        <v/>
      </c>
      <c r="AU289" s="7" t="str">
        <f t="shared" si="33"/>
        <v/>
      </c>
      <c r="AV289" s="7" t="str">
        <f t="shared" si="34"/>
        <v/>
      </c>
      <c r="AW289" s="7" t="str">
        <f>IF('RFQ-Input'!O288="","",'RFQ-Input'!O288)</f>
        <v/>
      </c>
      <c r="AX289" s="7" t="str">
        <f>IF('RFQ-Input'!S288="","",'RFQ-Input'!S288)</f>
        <v/>
      </c>
      <c r="AY289" s="7" t="str">
        <f>IF('RFQ-Input'!V288="","",'RFQ-Input'!V288)</f>
        <v/>
      </c>
      <c r="AZ289" s="7" t="str">
        <f>IF('RFQ-Input'!Y288="","",'RFQ-Input'!Y288)</f>
        <v/>
      </c>
      <c r="BA289" s="7" t="str">
        <f>IF('RFQ-Input'!AB288="","",'RFQ-Input'!AB288)</f>
        <v/>
      </c>
    </row>
    <row r="290" spans="1:53">
      <c r="A290" s="20">
        <v>286</v>
      </c>
      <c r="B290" s="7"/>
      <c r="C290" s="7" t="str">
        <f>IF('RFQ-Input'!C289="","",'RFQ-Input'!C289)</f>
        <v/>
      </c>
      <c r="D290" s="7" t="str">
        <f>IF('RFQ-Input'!D289="","",'RFQ-Input'!D289)</f>
        <v/>
      </c>
      <c r="E290" s="7" t="str">
        <f>IF('RFQ-Input'!E289="","",'RFQ-Input'!E289)</f>
        <v/>
      </c>
      <c r="F290" s="7" t="str">
        <f>IF('RFQ-Input'!F289="","",'RFQ-Input'!F289)</f>
        <v/>
      </c>
      <c r="G290" s="7" t="str">
        <f>IF('RFQ-Input'!G289="","",'RFQ-Input'!G289)</f>
        <v/>
      </c>
      <c r="H290" s="7" t="str">
        <f>IF('RFQ-Input'!H289="","",'RFQ-Input'!H289)</f>
        <v/>
      </c>
      <c r="I290" s="7" t="str">
        <f>IF('RFQ-Input'!I289="","",'RFQ-Input'!I289)</f>
        <v/>
      </c>
      <c r="J290" s="7" t="str">
        <f>IF('RFQ-Input'!J289="","",'RFQ-Input'!J289)</f>
        <v/>
      </c>
      <c r="K290" s="7" t="str">
        <f>IF('RFQ-Input'!K289="","",'RFQ-Input'!K289)</f>
        <v/>
      </c>
      <c r="L290" s="7" t="str">
        <f>IF('RFQ-Input'!L289="","",'RFQ-Input'!L289)</f>
        <v/>
      </c>
      <c r="M290" s="7" t="str">
        <f>IF('RFQ-Input'!M289="","",'RFQ-Input'!M289)</f>
        <v/>
      </c>
      <c r="N290" s="7" t="str">
        <f>IF('RFQ-Input'!N289="","",'RFQ-Input'!N289)</f>
        <v/>
      </c>
      <c r="O290" s="7" t="str">
        <f>IF('RFQ-Input'!O289="","",'RFQ-Input'!O289)</f>
        <v/>
      </c>
      <c r="Q290" s="7"/>
      <c r="R290" s="7"/>
      <c r="S290" s="7"/>
      <c r="T290" s="7"/>
      <c r="U290" s="7"/>
      <c r="V290" s="7"/>
      <c r="X290" s="7"/>
      <c r="Y290" s="7"/>
      <c r="Z290" s="7"/>
      <c r="AA290" s="7" t="str">
        <f t="shared" si="28"/>
        <v/>
      </c>
      <c r="AB290" s="7"/>
      <c r="AC290" s="7"/>
      <c r="AQ290" s="7" t="str">
        <f t="shared" si="29"/>
        <v/>
      </c>
      <c r="AR290" s="7" t="str">
        <f t="shared" si="30"/>
        <v/>
      </c>
      <c r="AS290" s="7" t="str">
        <f t="shared" si="31"/>
        <v/>
      </c>
      <c r="AT290" s="7" t="str">
        <f t="shared" si="32"/>
        <v/>
      </c>
      <c r="AU290" s="7" t="str">
        <f t="shared" si="33"/>
        <v/>
      </c>
      <c r="AV290" s="7" t="str">
        <f t="shared" si="34"/>
        <v/>
      </c>
      <c r="AW290" s="7" t="str">
        <f>IF('RFQ-Input'!O289="","",'RFQ-Input'!O289)</f>
        <v/>
      </c>
      <c r="AX290" s="7" t="str">
        <f>IF('RFQ-Input'!S289="","",'RFQ-Input'!S289)</f>
        <v/>
      </c>
      <c r="AY290" s="7" t="str">
        <f>IF('RFQ-Input'!V289="","",'RFQ-Input'!V289)</f>
        <v/>
      </c>
      <c r="AZ290" s="7" t="str">
        <f>IF('RFQ-Input'!Y289="","",'RFQ-Input'!Y289)</f>
        <v/>
      </c>
      <c r="BA290" s="7" t="str">
        <f>IF('RFQ-Input'!AB289="","",'RFQ-Input'!AB289)</f>
        <v/>
      </c>
    </row>
    <row r="291" spans="1:53">
      <c r="A291" s="20">
        <v>287</v>
      </c>
      <c r="B291" s="7"/>
      <c r="C291" s="7" t="str">
        <f>IF('RFQ-Input'!C290="","",'RFQ-Input'!C290)</f>
        <v/>
      </c>
      <c r="D291" s="7" t="str">
        <f>IF('RFQ-Input'!D290="","",'RFQ-Input'!D290)</f>
        <v/>
      </c>
      <c r="E291" s="7" t="str">
        <f>IF('RFQ-Input'!E290="","",'RFQ-Input'!E290)</f>
        <v/>
      </c>
      <c r="F291" s="7" t="str">
        <f>IF('RFQ-Input'!F290="","",'RFQ-Input'!F290)</f>
        <v/>
      </c>
      <c r="G291" s="7" t="str">
        <f>IF('RFQ-Input'!G290="","",'RFQ-Input'!G290)</f>
        <v/>
      </c>
      <c r="H291" s="7" t="str">
        <f>IF('RFQ-Input'!H290="","",'RFQ-Input'!H290)</f>
        <v/>
      </c>
      <c r="I291" s="7" t="str">
        <f>IF('RFQ-Input'!I290="","",'RFQ-Input'!I290)</f>
        <v/>
      </c>
      <c r="J291" s="7" t="str">
        <f>IF('RFQ-Input'!J290="","",'RFQ-Input'!J290)</f>
        <v/>
      </c>
      <c r="K291" s="7" t="str">
        <f>IF('RFQ-Input'!K290="","",'RFQ-Input'!K290)</f>
        <v/>
      </c>
      <c r="L291" s="7" t="str">
        <f>IF('RFQ-Input'!L290="","",'RFQ-Input'!L290)</f>
        <v/>
      </c>
      <c r="M291" s="7" t="str">
        <f>IF('RFQ-Input'!M290="","",'RFQ-Input'!M290)</f>
        <v/>
      </c>
      <c r="N291" s="7" t="str">
        <f>IF('RFQ-Input'!N290="","",'RFQ-Input'!N290)</f>
        <v/>
      </c>
      <c r="O291" s="7" t="str">
        <f>IF('RFQ-Input'!O290="","",'RFQ-Input'!O290)</f>
        <v/>
      </c>
      <c r="Q291" s="7"/>
      <c r="R291" s="7"/>
      <c r="S291" s="7"/>
      <c r="T291" s="7"/>
      <c r="U291" s="7"/>
      <c r="V291" s="7"/>
      <c r="X291" s="7"/>
      <c r="Y291" s="7"/>
      <c r="Z291" s="7"/>
      <c r="AA291" s="7" t="str">
        <f t="shared" si="28"/>
        <v/>
      </c>
      <c r="AB291" s="7"/>
      <c r="AC291" s="7"/>
      <c r="AQ291" s="7" t="str">
        <f t="shared" si="29"/>
        <v/>
      </c>
      <c r="AR291" s="7" t="str">
        <f t="shared" si="30"/>
        <v/>
      </c>
      <c r="AS291" s="7" t="str">
        <f t="shared" si="31"/>
        <v/>
      </c>
      <c r="AT291" s="7" t="str">
        <f t="shared" si="32"/>
        <v/>
      </c>
      <c r="AU291" s="7" t="str">
        <f t="shared" si="33"/>
        <v/>
      </c>
      <c r="AV291" s="7" t="str">
        <f t="shared" si="34"/>
        <v/>
      </c>
      <c r="AW291" s="7" t="str">
        <f>IF('RFQ-Input'!O290="","",'RFQ-Input'!O290)</f>
        <v/>
      </c>
      <c r="AX291" s="7" t="str">
        <f>IF('RFQ-Input'!S290="","",'RFQ-Input'!S290)</f>
        <v/>
      </c>
      <c r="AY291" s="7" t="str">
        <f>IF('RFQ-Input'!V290="","",'RFQ-Input'!V290)</f>
        <v/>
      </c>
      <c r="AZ291" s="7" t="str">
        <f>IF('RFQ-Input'!Y290="","",'RFQ-Input'!Y290)</f>
        <v/>
      </c>
      <c r="BA291" s="7" t="str">
        <f>IF('RFQ-Input'!AB290="","",'RFQ-Input'!AB290)</f>
        <v/>
      </c>
    </row>
    <row r="292" spans="1:53">
      <c r="A292" s="20">
        <v>288</v>
      </c>
      <c r="B292" s="7"/>
      <c r="C292" s="7" t="str">
        <f>IF('RFQ-Input'!C291="","",'RFQ-Input'!C291)</f>
        <v/>
      </c>
      <c r="D292" s="7" t="str">
        <f>IF('RFQ-Input'!D291="","",'RFQ-Input'!D291)</f>
        <v/>
      </c>
      <c r="E292" s="7" t="str">
        <f>IF('RFQ-Input'!E291="","",'RFQ-Input'!E291)</f>
        <v/>
      </c>
      <c r="F292" s="7" t="str">
        <f>IF('RFQ-Input'!F291="","",'RFQ-Input'!F291)</f>
        <v/>
      </c>
      <c r="G292" s="7" t="str">
        <f>IF('RFQ-Input'!G291="","",'RFQ-Input'!G291)</f>
        <v/>
      </c>
      <c r="H292" s="7" t="str">
        <f>IF('RFQ-Input'!H291="","",'RFQ-Input'!H291)</f>
        <v/>
      </c>
      <c r="I292" s="7" t="str">
        <f>IF('RFQ-Input'!I291="","",'RFQ-Input'!I291)</f>
        <v/>
      </c>
      <c r="J292" s="7" t="str">
        <f>IF('RFQ-Input'!J291="","",'RFQ-Input'!J291)</f>
        <v/>
      </c>
      <c r="K292" s="7" t="str">
        <f>IF('RFQ-Input'!K291="","",'RFQ-Input'!K291)</f>
        <v/>
      </c>
      <c r="L292" s="7" t="str">
        <f>IF('RFQ-Input'!L291="","",'RFQ-Input'!L291)</f>
        <v/>
      </c>
      <c r="M292" s="7" t="str">
        <f>IF('RFQ-Input'!M291="","",'RFQ-Input'!M291)</f>
        <v/>
      </c>
      <c r="N292" s="7" t="str">
        <f>IF('RFQ-Input'!N291="","",'RFQ-Input'!N291)</f>
        <v/>
      </c>
      <c r="O292" s="7" t="str">
        <f>IF('RFQ-Input'!O291="","",'RFQ-Input'!O291)</f>
        <v/>
      </c>
      <c r="Q292" s="7"/>
      <c r="R292" s="7"/>
      <c r="S292" s="7"/>
      <c r="T292" s="7"/>
      <c r="U292" s="7"/>
      <c r="V292" s="7"/>
      <c r="X292" s="7"/>
      <c r="Y292" s="7"/>
      <c r="Z292" s="7"/>
      <c r="AA292" s="7" t="str">
        <f t="shared" si="28"/>
        <v/>
      </c>
      <c r="AB292" s="7"/>
      <c r="AC292" s="7"/>
      <c r="AQ292" s="7" t="str">
        <f t="shared" si="29"/>
        <v/>
      </c>
      <c r="AR292" s="7" t="str">
        <f t="shared" si="30"/>
        <v/>
      </c>
      <c r="AS292" s="7" t="str">
        <f t="shared" si="31"/>
        <v/>
      </c>
      <c r="AT292" s="7" t="str">
        <f t="shared" si="32"/>
        <v/>
      </c>
      <c r="AU292" s="7" t="str">
        <f t="shared" si="33"/>
        <v/>
      </c>
      <c r="AV292" s="7" t="str">
        <f t="shared" si="34"/>
        <v/>
      </c>
      <c r="AW292" s="7" t="str">
        <f>IF('RFQ-Input'!O291="","",'RFQ-Input'!O291)</f>
        <v/>
      </c>
      <c r="AX292" s="7" t="str">
        <f>IF('RFQ-Input'!S291="","",'RFQ-Input'!S291)</f>
        <v/>
      </c>
      <c r="AY292" s="7" t="str">
        <f>IF('RFQ-Input'!V291="","",'RFQ-Input'!V291)</f>
        <v/>
      </c>
      <c r="AZ292" s="7" t="str">
        <f>IF('RFQ-Input'!Y291="","",'RFQ-Input'!Y291)</f>
        <v/>
      </c>
      <c r="BA292" s="7" t="str">
        <f>IF('RFQ-Input'!AB291="","",'RFQ-Input'!AB291)</f>
        <v/>
      </c>
    </row>
    <row r="293" spans="1:53">
      <c r="A293" s="20">
        <v>289</v>
      </c>
      <c r="B293" s="7"/>
      <c r="C293" s="7" t="str">
        <f>IF('RFQ-Input'!C292="","",'RFQ-Input'!C292)</f>
        <v/>
      </c>
      <c r="D293" s="7" t="str">
        <f>IF('RFQ-Input'!D292="","",'RFQ-Input'!D292)</f>
        <v/>
      </c>
      <c r="E293" s="7" t="str">
        <f>IF('RFQ-Input'!E292="","",'RFQ-Input'!E292)</f>
        <v/>
      </c>
      <c r="F293" s="7" t="str">
        <f>IF('RFQ-Input'!F292="","",'RFQ-Input'!F292)</f>
        <v/>
      </c>
      <c r="G293" s="7" t="str">
        <f>IF('RFQ-Input'!G292="","",'RFQ-Input'!G292)</f>
        <v/>
      </c>
      <c r="H293" s="7" t="str">
        <f>IF('RFQ-Input'!H292="","",'RFQ-Input'!H292)</f>
        <v/>
      </c>
      <c r="I293" s="7" t="str">
        <f>IF('RFQ-Input'!I292="","",'RFQ-Input'!I292)</f>
        <v/>
      </c>
      <c r="J293" s="7" t="str">
        <f>IF('RFQ-Input'!J292="","",'RFQ-Input'!J292)</f>
        <v/>
      </c>
      <c r="K293" s="7" t="str">
        <f>IF('RFQ-Input'!K292="","",'RFQ-Input'!K292)</f>
        <v/>
      </c>
      <c r="L293" s="7" t="str">
        <f>IF('RFQ-Input'!L292="","",'RFQ-Input'!L292)</f>
        <v/>
      </c>
      <c r="M293" s="7" t="str">
        <f>IF('RFQ-Input'!M292="","",'RFQ-Input'!M292)</f>
        <v/>
      </c>
      <c r="N293" s="7" t="str">
        <f>IF('RFQ-Input'!N292="","",'RFQ-Input'!N292)</f>
        <v/>
      </c>
      <c r="O293" s="7" t="str">
        <f>IF('RFQ-Input'!O292="","",'RFQ-Input'!O292)</f>
        <v/>
      </c>
      <c r="Q293" s="7"/>
      <c r="R293" s="7"/>
      <c r="S293" s="7"/>
      <c r="T293" s="7"/>
      <c r="U293" s="7"/>
      <c r="V293" s="7"/>
      <c r="X293" s="7"/>
      <c r="Y293" s="7"/>
      <c r="Z293" s="7"/>
      <c r="AA293" s="7" t="str">
        <f t="shared" si="28"/>
        <v/>
      </c>
      <c r="AB293" s="7"/>
      <c r="AC293" s="7"/>
      <c r="AQ293" s="7" t="str">
        <f t="shared" si="29"/>
        <v/>
      </c>
      <c r="AR293" s="7" t="str">
        <f t="shared" si="30"/>
        <v/>
      </c>
      <c r="AS293" s="7" t="str">
        <f t="shared" si="31"/>
        <v/>
      </c>
      <c r="AT293" s="7" t="str">
        <f t="shared" si="32"/>
        <v/>
      </c>
      <c r="AU293" s="7" t="str">
        <f t="shared" si="33"/>
        <v/>
      </c>
      <c r="AV293" s="7" t="str">
        <f t="shared" si="34"/>
        <v/>
      </c>
      <c r="AW293" s="7" t="str">
        <f>IF('RFQ-Input'!O292="","",'RFQ-Input'!O292)</f>
        <v/>
      </c>
      <c r="AX293" s="7" t="str">
        <f>IF('RFQ-Input'!S292="","",'RFQ-Input'!S292)</f>
        <v/>
      </c>
      <c r="AY293" s="7" t="str">
        <f>IF('RFQ-Input'!V292="","",'RFQ-Input'!V292)</f>
        <v/>
      </c>
      <c r="AZ293" s="7" t="str">
        <f>IF('RFQ-Input'!Y292="","",'RFQ-Input'!Y292)</f>
        <v/>
      </c>
      <c r="BA293" s="7" t="str">
        <f>IF('RFQ-Input'!AB292="","",'RFQ-Input'!AB292)</f>
        <v/>
      </c>
    </row>
    <row r="294" spans="1:53">
      <c r="A294" s="20">
        <v>290</v>
      </c>
      <c r="B294" s="7"/>
      <c r="C294" s="7" t="str">
        <f>IF('RFQ-Input'!C293="","",'RFQ-Input'!C293)</f>
        <v/>
      </c>
      <c r="D294" s="7" t="str">
        <f>IF('RFQ-Input'!D293="","",'RFQ-Input'!D293)</f>
        <v/>
      </c>
      <c r="E294" s="7" t="str">
        <f>IF('RFQ-Input'!E293="","",'RFQ-Input'!E293)</f>
        <v/>
      </c>
      <c r="F294" s="7" t="str">
        <f>IF('RFQ-Input'!F293="","",'RFQ-Input'!F293)</f>
        <v/>
      </c>
      <c r="G294" s="7" t="str">
        <f>IF('RFQ-Input'!G293="","",'RFQ-Input'!G293)</f>
        <v/>
      </c>
      <c r="H294" s="7" t="str">
        <f>IF('RFQ-Input'!H293="","",'RFQ-Input'!H293)</f>
        <v/>
      </c>
      <c r="I294" s="7" t="str">
        <f>IF('RFQ-Input'!I293="","",'RFQ-Input'!I293)</f>
        <v/>
      </c>
      <c r="J294" s="7" t="str">
        <f>IF('RFQ-Input'!J293="","",'RFQ-Input'!J293)</f>
        <v/>
      </c>
      <c r="K294" s="7" t="str">
        <f>IF('RFQ-Input'!K293="","",'RFQ-Input'!K293)</f>
        <v/>
      </c>
      <c r="L294" s="7" t="str">
        <f>IF('RFQ-Input'!L293="","",'RFQ-Input'!L293)</f>
        <v/>
      </c>
      <c r="M294" s="7" t="str">
        <f>IF('RFQ-Input'!M293="","",'RFQ-Input'!M293)</f>
        <v/>
      </c>
      <c r="N294" s="7" t="str">
        <f>IF('RFQ-Input'!N293="","",'RFQ-Input'!N293)</f>
        <v/>
      </c>
      <c r="O294" s="7" t="str">
        <f>IF('RFQ-Input'!O293="","",'RFQ-Input'!O293)</f>
        <v/>
      </c>
      <c r="Q294" s="7"/>
      <c r="R294" s="7"/>
      <c r="S294" s="7"/>
      <c r="T294" s="7"/>
      <c r="U294" s="7"/>
      <c r="V294" s="7"/>
      <c r="X294" s="7"/>
      <c r="Y294" s="7"/>
      <c r="Z294" s="7"/>
      <c r="AA294" s="7" t="str">
        <f t="shared" si="28"/>
        <v/>
      </c>
      <c r="AB294" s="7"/>
      <c r="AC294" s="7"/>
      <c r="AQ294" s="7" t="str">
        <f t="shared" si="29"/>
        <v/>
      </c>
      <c r="AR294" s="7" t="str">
        <f t="shared" si="30"/>
        <v/>
      </c>
      <c r="AS294" s="7" t="str">
        <f t="shared" si="31"/>
        <v/>
      </c>
      <c r="AT294" s="7" t="str">
        <f t="shared" si="32"/>
        <v/>
      </c>
      <c r="AU294" s="7" t="str">
        <f t="shared" si="33"/>
        <v/>
      </c>
      <c r="AV294" s="7" t="str">
        <f t="shared" si="34"/>
        <v/>
      </c>
      <c r="AW294" s="7" t="str">
        <f>IF('RFQ-Input'!O293="","",'RFQ-Input'!O293)</f>
        <v/>
      </c>
      <c r="AX294" s="7" t="str">
        <f>IF('RFQ-Input'!S293="","",'RFQ-Input'!S293)</f>
        <v/>
      </c>
      <c r="AY294" s="7" t="str">
        <f>IF('RFQ-Input'!V293="","",'RFQ-Input'!V293)</f>
        <v/>
      </c>
      <c r="AZ294" s="7" t="str">
        <f>IF('RFQ-Input'!Y293="","",'RFQ-Input'!Y293)</f>
        <v/>
      </c>
      <c r="BA294" s="7" t="str">
        <f>IF('RFQ-Input'!AB293="","",'RFQ-Input'!AB293)</f>
        <v/>
      </c>
    </row>
    <row r="295" spans="1:53">
      <c r="A295" s="20">
        <v>291</v>
      </c>
      <c r="B295" s="7"/>
      <c r="C295" s="7" t="str">
        <f>IF('RFQ-Input'!C294="","",'RFQ-Input'!C294)</f>
        <v/>
      </c>
      <c r="D295" s="7" t="str">
        <f>IF('RFQ-Input'!D294="","",'RFQ-Input'!D294)</f>
        <v/>
      </c>
      <c r="E295" s="7" t="str">
        <f>IF('RFQ-Input'!E294="","",'RFQ-Input'!E294)</f>
        <v/>
      </c>
      <c r="F295" s="7" t="str">
        <f>IF('RFQ-Input'!F294="","",'RFQ-Input'!F294)</f>
        <v/>
      </c>
      <c r="G295" s="7" t="str">
        <f>IF('RFQ-Input'!G294="","",'RFQ-Input'!G294)</f>
        <v/>
      </c>
      <c r="H295" s="7" t="str">
        <f>IF('RFQ-Input'!H294="","",'RFQ-Input'!H294)</f>
        <v/>
      </c>
      <c r="I295" s="7" t="str">
        <f>IF('RFQ-Input'!I294="","",'RFQ-Input'!I294)</f>
        <v/>
      </c>
      <c r="J295" s="7" t="str">
        <f>IF('RFQ-Input'!J294="","",'RFQ-Input'!J294)</f>
        <v/>
      </c>
      <c r="K295" s="7" t="str">
        <f>IF('RFQ-Input'!K294="","",'RFQ-Input'!K294)</f>
        <v/>
      </c>
      <c r="L295" s="7" t="str">
        <f>IF('RFQ-Input'!L294="","",'RFQ-Input'!L294)</f>
        <v/>
      </c>
      <c r="M295" s="7" t="str">
        <f>IF('RFQ-Input'!M294="","",'RFQ-Input'!M294)</f>
        <v/>
      </c>
      <c r="N295" s="7" t="str">
        <f>IF('RFQ-Input'!N294="","",'RFQ-Input'!N294)</f>
        <v/>
      </c>
      <c r="O295" s="7" t="str">
        <f>IF('RFQ-Input'!O294="","",'RFQ-Input'!O294)</f>
        <v/>
      </c>
      <c r="Q295" s="7"/>
      <c r="R295" s="7"/>
      <c r="S295" s="7"/>
      <c r="T295" s="7"/>
      <c r="U295" s="7"/>
      <c r="V295" s="7"/>
      <c r="X295" s="7"/>
      <c r="Y295" s="7"/>
      <c r="Z295" s="7"/>
      <c r="AA295" s="7" t="str">
        <f t="shared" si="28"/>
        <v/>
      </c>
      <c r="AB295" s="7"/>
      <c r="AC295" s="7"/>
      <c r="AQ295" s="7" t="str">
        <f t="shared" si="29"/>
        <v/>
      </c>
      <c r="AR295" s="7" t="str">
        <f t="shared" si="30"/>
        <v/>
      </c>
      <c r="AS295" s="7" t="str">
        <f t="shared" si="31"/>
        <v/>
      </c>
      <c r="AT295" s="7" t="str">
        <f t="shared" si="32"/>
        <v/>
      </c>
      <c r="AU295" s="7" t="str">
        <f t="shared" si="33"/>
        <v/>
      </c>
      <c r="AV295" s="7" t="str">
        <f t="shared" si="34"/>
        <v/>
      </c>
      <c r="AW295" s="7" t="str">
        <f>IF('RFQ-Input'!O294="","",'RFQ-Input'!O294)</f>
        <v/>
      </c>
      <c r="AX295" s="7" t="str">
        <f>IF('RFQ-Input'!S294="","",'RFQ-Input'!S294)</f>
        <v/>
      </c>
      <c r="AY295" s="7" t="str">
        <f>IF('RFQ-Input'!V294="","",'RFQ-Input'!V294)</f>
        <v/>
      </c>
      <c r="AZ295" s="7" t="str">
        <f>IF('RFQ-Input'!Y294="","",'RFQ-Input'!Y294)</f>
        <v/>
      </c>
      <c r="BA295" s="7" t="str">
        <f>IF('RFQ-Input'!AB294="","",'RFQ-Input'!AB294)</f>
        <v/>
      </c>
    </row>
    <row r="296" spans="1:53">
      <c r="A296" s="20">
        <v>292</v>
      </c>
      <c r="B296" s="7"/>
      <c r="C296" s="7" t="str">
        <f>IF('RFQ-Input'!C295="","",'RFQ-Input'!C295)</f>
        <v/>
      </c>
      <c r="D296" s="7" t="str">
        <f>IF('RFQ-Input'!D295="","",'RFQ-Input'!D295)</f>
        <v/>
      </c>
      <c r="E296" s="7" t="str">
        <f>IF('RFQ-Input'!E295="","",'RFQ-Input'!E295)</f>
        <v/>
      </c>
      <c r="F296" s="7" t="str">
        <f>IF('RFQ-Input'!F295="","",'RFQ-Input'!F295)</f>
        <v/>
      </c>
      <c r="G296" s="7" t="str">
        <f>IF('RFQ-Input'!G295="","",'RFQ-Input'!G295)</f>
        <v/>
      </c>
      <c r="H296" s="7" t="str">
        <f>IF('RFQ-Input'!H295="","",'RFQ-Input'!H295)</f>
        <v/>
      </c>
      <c r="I296" s="7" t="str">
        <f>IF('RFQ-Input'!I295="","",'RFQ-Input'!I295)</f>
        <v/>
      </c>
      <c r="J296" s="7" t="str">
        <f>IF('RFQ-Input'!J295="","",'RFQ-Input'!J295)</f>
        <v/>
      </c>
      <c r="K296" s="7" t="str">
        <f>IF('RFQ-Input'!K295="","",'RFQ-Input'!K295)</f>
        <v/>
      </c>
      <c r="L296" s="7" t="str">
        <f>IF('RFQ-Input'!L295="","",'RFQ-Input'!L295)</f>
        <v/>
      </c>
      <c r="M296" s="7" t="str">
        <f>IF('RFQ-Input'!M295="","",'RFQ-Input'!M295)</f>
        <v/>
      </c>
      <c r="N296" s="7" t="str">
        <f>IF('RFQ-Input'!N295="","",'RFQ-Input'!N295)</f>
        <v/>
      </c>
      <c r="O296" s="7" t="str">
        <f>IF('RFQ-Input'!O295="","",'RFQ-Input'!O295)</f>
        <v/>
      </c>
      <c r="Q296" s="7"/>
      <c r="R296" s="7"/>
      <c r="S296" s="7"/>
      <c r="T296" s="7"/>
      <c r="U296" s="7"/>
      <c r="V296" s="7"/>
      <c r="X296" s="7"/>
      <c r="Y296" s="7"/>
      <c r="Z296" s="7"/>
      <c r="AA296" s="7" t="str">
        <f t="shared" si="28"/>
        <v/>
      </c>
      <c r="AB296" s="7"/>
      <c r="AC296" s="7"/>
      <c r="AQ296" s="7" t="str">
        <f t="shared" si="29"/>
        <v/>
      </c>
      <c r="AR296" s="7" t="str">
        <f t="shared" si="30"/>
        <v/>
      </c>
      <c r="AS296" s="7" t="str">
        <f t="shared" si="31"/>
        <v/>
      </c>
      <c r="AT296" s="7" t="str">
        <f t="shared" si="32"/>
        <v/>
      </c>
      <c r="AU296" s="7" t="str">
        <f t="shared" si="33"/>
        <v/>
      </c>
      <c r="AV296" s="7" t="str">
        <f t="shared" si="34"/>
        <v/>
      </c>
      <c r="AW296" s="7" t="str">
        <f>IF('RFQ-Input'!O295="","",'RFQ-Input'!O295)</f>
        <v/>
      </c>
      <c r="AX296" s="7" t="str">
        <f>IF('RFQ-Input'!S295="","",'RFQ-Input'!S295)</f>
        <v/>
      </c>
      <c r="AY296" s="7" t="str">
        <f>IF('RFQ-Input'!V295="","",'RFQ-Input'!V295)</f>
        <v/>
      </c>
      <c r="AZ296" s="7" t="str">
        <f>IF('RFQ-Input'!Y295="","",'RFQ-Input'!Y295)</f>
        <v/>
      </c>
      <c r="BA296" s="7" t="str">
        <f>IF('RFQ-Input'!AB295="","",'RFQ-Input'!AB295)</f>
        <v/>
      </c>
    </row>
    <row r="297" spans="1:53">
      <c r="A297" s="20">
        <v>293</v>
      </c>
      <c r="B297" s="7"/>
      <c r="C297" s="7" t="str">
        <f>IF('RFQ-Input'!C296="","",'RFQ-Input'!C296)</f>
        <v/>
      </c>
      <c r="D297" s="7" t="str">
        <f>IF('RFQ-Input'!D296="","",'RFQ-Input'!D296)</f>
        <v/>
      </c>
      <c r="E297" s="7" t="str">
        <f>IF('RFQ-Input'!E296="","",'RFQ-Input'!E296)</f>
        <v/>
      </c>
      <c r="F297" s="7" t="str">
        <f>IF('RFQ-Input'!F296="","",'RFQ-Input'!F296)</f>
        <v/>
      </c>
      <c r="G297" s="7" t="str">
        <f>IF('RFQ-Input'!G296="","",'RFQ-Input'!G296)</f>
        <v/>
      </c>
      <c r="H297" s="7" t="str">
        <f>IF('RFQ-Input'!H296="","",'RFQ-Input'!H296)</f>
        <v/>
      </c>
      <c r="I297" s="7" t="str">
        <f>IF('RFQ-Input'!I296="","",'RFQ-Input'!I296)</f>
        <v/>
      </c>
      <c r="J297" s="7" t="str">
        <f>IF('RFQ-Input'!J296="","",'RFQ-Input'!J296)</f>
        <v/>
      </c>
      <c r="K297" s="7" t="str">
        <f>IF('RFQ-Input'!K296="","",'RFQ-Input'!K296)</f>
        <v/>
      </c>
      <c r="L297" s="7" t="str">
        <f>IF('RFQ-Input'!L296="","",'RFQ-Input'!L296)</f>
        <v/>
      </c>
      <c r="M297" s="7" t="str">
        <f>IF('RFQ-Input'!M296="","",'RFQ-Input'!M296)</f>
        <v/>
      </c>
      <c r="N297" s="7" t="str">
        <f>IF('RFQ-Input'!N296="","",'RFQ-Input'!N296)</f>
        <v/>
      </c>
      <c r="O297" s="7" t="str">
        <f>IF('RFQ-Input'!O296="","",'RFQ-Input'!O296)</f>
        <v/>
      </c>
      <c r="Q297" s="7"/>
      <c r="R297" s="7"/>
      <c r="S297" s="7"/>
      <c r="T297" s="7"/>
      <c r="U297" s="7"/>
      <c r="V297" s="7"/>
      <c r="X297" s="7"/>
      <c r="Y297" s="7"/>
      <c r="Z297" s="7"/>
      <c r="AA297" s="7" t="str">
        <f t="shared" si="28"/>
        <v/>
      </c>
      <c r="AB297" s="7"/>
      <c r="AC297" s="7"/>
      <c r="AQ297" s="7" t="str">
        <f t="shared" si="29"/>
        <v/>
      </c>
      <c r="AR297" s="7" t="str">
        <f t="shared" si="30"/>
        <v/>
      </c>
      <c r="AS297" s="7" t="str">
        <f t="shared" si="31"/>
        <v/>
      </c>
      <c r="AT297" s="7" t="str">
        <f t="shared" si="32"/>
        <v/>
      </c>
      <c r="AU297" s="7" t="str">
        <f t="shared" si="33"/>
        <v/>
      </c>
      <c r="AV297" s="7" t="str">
        <f t="shared" si="34"/>
        <v/>
      </c>
      <c r="AW297" s="7" t="str">
        <f>IF('RFQ-Input'!O296="","",'RFQ-Input'!O296)</f>
        <v/>
      </c>
      <c r="AX297" s="7" t="str">
        <f>IF('RFQ-Input'!S296="","",'RFQ-Input'!S296)</f>
        <v/>
      </c>
      <c r="AY297" s="7" t="str">
        <f>IF('RFQ-Input'!V296="","",'RFQ-Input'!V296)</f>
        <v/>
      </c>
      <c r="AZ297" s="7" t="str">
        <f>IF('RFQ-Input'!Y296="","",'RFQ-Input'!Y296)</f>
        <v/>
      </c>
      <c r="BA297" s="7" t="str">
        <f>IF('RFQ-Input'!AB296="","",'RFQ-Input'!AB296)</f>
        <v/>
      </c>
    </row>
    <row r="298" spans="1:53">
      <c r="A298" s="20">
        <v>294</v>
      </c>
      <c r="B298" s="7"/>
      <c r="C298" s="7" t="str">
        <f>IF('RFQ-Input'!C297="","",'RFQ-Input'!C297)</f>
        <v/>
      </c>
      <c r="D298" s="7" t="str">
        <f>IF('RFQ-Input'!D297="","",'RFQ-Input'!D297)</f>
        <v/>
      </c>
      <c r="E298" s="7" t="str">
        <f>IF('RFQ-Input'!E297="","",'RFQ-Input'!E297)</f>
        <v/>
      </c>
      <c r="F298" s="7" t="str">
        <f>IF('RFQ-Input'!F297="","",'RFQ-Input'!F297)</f>
        <v/>
      </c>
      <c r="G298" s="7" t="str">
        <f>IF('RFQ-Input'!G297="","",'RFQ-Input'!G297)</f>
        <v/>
      </c>
      <c r="H298" s="7" t="str">
        <f>IF('RFQ-Input'!H297="","",'RFQ-Input'!H297)</f>
        <v/>
      </c>
      <c r="I298" s="7" t="str">
        <f>IF('RFQ-Input'!I297="","",'RFQ-Input'!I297)</f>
        <v/>
      </c>
      <c r="J298" s="7" t="str">
        <f>IF('RFQ-Input'!J297="","",'RFQ-Input'!J297)</f>
        <v/>
      </c>
      <c r="K298" s="7" t="str">
        <f>IF('RFQ-Input'!K297="","",'RFQ-Input'!K297)</f>
        <v/>
      </c>
      <c r="L298" s="7" t="str">
        <f>IF('RFQ-Input'!L297="","",'RFQ-Input'!L297)</f>
        <v/>
      </c>
      <c r="M298" s="7" t="str">
        <f>IF('RFQ-Input'!M297="","",'RFQ-Input'!M297)</f>
        <v/>
      </c>
      <c r="N298" s="7" t="str">
        <f>IF('RFQ-Input'!N297="","",'RFQ-Input'!N297)</f>
        <v/>
      </c>
      <c r="O298" s="7" t="str">
        <f>IF('RFQ-Input'!O297="","",'RFQ-Input'!O297)</f>
        <v/>
      </c>
      <c r="Q298" s="7"/>
      <c r="R298" s="7"/>
      <c r="S298" s="7"/>
      <c r="T298" s="7"/>
      <c r="U298" s="7"/>
      <c r="V298" s="7"/>
      <c r="X298" s="7"/>
      <c r="Y298" s="7"/>
      <c r="Z298" s="7"/>
      <c r="AA298" s="7" t="str">
        <f t="shared" si="28"/>
        <v/>
      </c>
      <c r="AB298" s="7"/>
      <c r="AC298" s="7"/>
      <c r="AQ298" s="7" t="str">
        <f t="shared" si="29"/>
        <v/>
      </c>
      <c r="AR298" s="7" t="str">
        <f t="shared" si="30"/>
        <v/>
      </c>
      <c r="AS298" s="7" t="str">
        <f t="shared" si="31"/>
        <v/>
      </c>
      <c r="AT298" s="7" t="str">
        <f t="shared" si="32"/>
        <v/>
      </c>
      <c r="AU298" s="7" t="str">
        <f t="shared" si="33"/>
        <v/>
      </c>
      <c r="AV298" s="7" t="str">
        <f t="shared" si="34"/>
        <v/>
      </c>
      <c r="AW298" s="7" t="str">
        <f>IF('RFQ-Input'!O297="","",'RFQ-Input'!O297)</f>
        <v/>
      </c>
      <c r="AX298" s="7" t="str">
        <f>IF('RFQ-Input'!S297="","",'RFQ-Input'!S297)</f>
        <v/>
      </c>
      <c r="AY298" s="7" t="str">
        <f>IF('RFQ-Input'!V297="","",'RFQ-Input'!V297)</f>
        <v/>
      </c>
      <c r="AZ298" s="7" t="str">
        <f>IF('RFQ-Input'!Y297="","",'RFQ-Input'!Y297)</f>
        <v/>
      </c>
      <c r="BA298" s="7" t="str">
        <f>IF('RFQ-Input'!AB297="","",'RFQ-Input'!AB297)</f>
        <v/>
      </c>
    </row>
    <row r="299" spans="1:53">
      <c r="A299" s="20">
        <v>295</v>
      </c>
      <c r="B299" s="7"/>
      <c r="C299" s="7" t="str">
        <f>IF('RFQ-Input'!C298="","",'RFQ-Input'!C298)</f>
        <v/>
      </c>
      <c r="D299" s="7" t="str">
        <f>IF('RFQ-Input'!D298="","",'RFQ-Input'!D298)</f>
        <v/>
      </c>
      <c r="E299" s="7" t="str">
        <f>IF('RFQ-Input'!E298="","",'RFQ-Input'!E298)</f>
        <v/>
      </c>
      <c r="F299" s="7" t="str">
        <f>IF('RFQ-Input'!F298="","",'RFQ-Input'!F298)</f>
        <v/>
      </c>
      <c r="G299" s="7" t="str">
        <f>IF('RFQ-Input'!G298="","",'RFQ-Input'!G298)</f>
        <v/>
      </c>
      <c r="H299" s="7" t="str">
        <f>IF('RFQ-Input'!H298="","",'RFQ-Input'!H298)</f>
        <v/>
      </c>
      <c r="I299" s="7" t="str">
        <f>IF('RFQ-Input'!I298="","",'RFQ-Input'!I298)</f>
        <v/>
      </c>
      <c r="J299" s="7" t="str">
        <f>IF('RFQ-Input'!J298="","",'RFQ-Input'!J298)</f>
        <v/>
      </c>
      <c r="K299" s="7" t="str">
        <f>IF('RFQ-Input'!K298="","",'RFQ-Input'!K298)</f>
        <v/>
      </c>
      <c r="L299" s="7" t="str">
        <f>IF('RFQ-Input'!L298="","",'RFQ-Input'!L298)</f>
        <v/>
      </c>
      <c r="M299" s="7" t="str">
        <f>IF('RFQ-Input'!M298="","",'RFQ-Input'!M298)</f>
        <v/>
      </c>
      <c r="N299" s="7" t="str">
        <f>IF('RFQ-Input'!N298="","",'RFQ-Input'!N298)</f>
        <v/>
      </c>
      <c r="O299" s="7" t="str">
        <f>IF('RFQ-Input'!O298="","",'RFQ-Input'!O298)</f>
        <v/>
      </c>
      <c r="Q299" s="7"/>
      <c r="R299" s="7"/>
      <c r="S299" s="7"/>
      <c r="T299" s="7"/>
      <c r="U299" s="7"/>
      <c r="V299" s="7"/>
      <c r="X299" s="7"/>
      <c r="Y299" s="7"/>
      <c r="Z299" s="7"/>
      <c r="AA299" s="7" t="str">
        <f t="shared" si="28"/>
        <v/>
      </c>
      <c r="AB299" s="7"/>
      <c r="AC299" s="7"/>
      <c r="AQ299" s="7" t="str">
        <f t="shared" si="29"/>
        <v/>
      </c>
      <c r="AR299" s="7" t="str">
        <f t="shared" si="30"/>
        <v/>
      </c>
      <c r="AS299" s="7" t="str">
        <f t="shared" si="31"/>
        <v/>
      </c>
      <c r="AT299" s="7" t="str">
        <f t="shared" si="32"/>
        <v/>
      </c>
      <c r="AU299" s="7" t="str">
        <f t="shared" si="33"/>
        <v/>
      </c>
      <c r="AV299" s="7" t="str">
        <f t="shared" si="34"/>
        <v/>
      </c>
      <c r="AW299" s="7" t="str">
        <f>IF('RFQ-Input'!O298="","",'RFQ-Input'!O298)</f>
        <v/>
      </c>
      <c r="AX299" s="7" t="str">
        <f>IF('RFQ-Input'!S298="","",'RFQ-Input'!S298)</f>
        <v/>
      </c>
      <c r="AY299" s="7" t="str">
        <f>IF('RFQ-Input'!V298="","",'RFQ-Input'!V298)</f>
        <v/>
      </c>
      <c r="AZ299" s="7" t="str">
        <f>IF('RFQ-Input'!Y298="","",'RFQ-Input'!Y298)</f>
        <v/>
      </c>
      <c r="BA299" s="7" t="str">
        <f>IF('RFQ-Input'!AB298="","",'RFQ-Input'!AB298)</f>
        <v/>
      </c>
    </row>
    <row r="300" spans="1:53">
      <c r="A300" s="20">
        <v>296</v>
      </c>
      <c r="B300" s="7"/>
      <c r="C300" s="7" t="str">
        <f>IF('RFQ-Input'!C299="","",'RFQ-Input'!C299)</f>
        <v/>
      </c>
      <c r="D300" s="7" t="str">
        <f>IF('RFQ-Input'!D299="","",'RFQ-Input'!D299)</f>
        <v/>
      </c>
      <c r="E300" s="7" t="str">
        <f>IF('RFQ-Input'!E299="","",'RFQ-Input'!E299)</f>
        <v/>
      </c>
      <c r="F300" s="7" t="str">
        <f>IF('RFQ-Input'!F299="","",'RFQ-Input'!F299)</f>
        <v/>
      </c>
      <c r="G300" s="7" t="str">
        <f>IF('RFQ-Input'!G299="","",'RFQ-Input'!G299)</f>
        <v/>
      </c>
      <c r="H300" s="7" t="str">
        <f>IF('RFQ-Input'!H299="","",'RFQ-Input'!H299)</f>
        <v/>
      </c>
      <c r="I300" s="7" t="str">
        <f>IF('RFQ-Input'!I299="","",'RFQ-Input'!I299)</f>
        <v/>
      </c>
      <c r="J300" s="7" t="str">
        <f>IF('RFQ-Input'!J299="","",'RFQ-Input'!J299)</f>
        <v/>
      </c>
      <c r="K300" s="7" t="str">
        <f>IF('RFQ-Input'!K299="","",'RFQ-Input'!K299)</f>
        <v/>
      </c>
      <c r="L300" s="7" t="str">
        <f>IF('RFQ-Input'!L299="","",'RFQ-Input'!L299)</f>
        <v/>
      </c>
      <c r="M300" s="7" t="str">
        <f>IF('RFQ-Input'!M299="","",'RFQ-Input'!M299)</f>
        <v/>
      </c>
      <c r="N300" s="7" t="str">
        <f>IF('RFQ-Input'!N299="","",'RFQ-Input'!N299)</f>
        <v/>
      </c>
      <c r="O300" s="7" t="str">
        <f>IF('RFQ-Input'!O299="","",'RFQ-Input'!O299)</f>
        <v/>
      </c>
      <c r="Q300" s="7"/>
      <c r="R300" s="7"/>
      <c r="S300" s="7"/>
      <c r="T300" s="7"/>
      <c r="U300" s="7"/>
      <c r="V300" s="7"/>
      <c r="X300" s="7"/>
      <c r="Y300" s="7"/>
      <c r="Z300" s="7"/>
      <c r="AA300" s="7" t="str">
        <f t="shared" si="28"/>
        <v/>
      </c>
      <c r="AB300" s="7"/>
      <c r="AC300" s="7"/>
      <c r="AQ300" s="7" t="str">
        <f t="shared" si="29"/>
        <v/>
      </c>
      <c r="AR300" s="7" t="str">
        <f t="shared" si="30"/>
        <v/>
      </c>
      <c r="AS300" s="7" t="str">
        <f t="shared" si="31"/>
        <v/>
      </c>
      <c r="AT300" s="7" t="str">
        <f t="shared" si="32"/>
        <v/>
      </c>
      <c r="AU300" s="7" t="str">
        <f t="shared" si="33"/>
        <v/>
      </c>
      <c r="AV300" s="7" t="str">
        <f t="shared" si="34"/>
        <v/>
      </c>
      <c r="AW300" s="7" t="str">
        <f>IF('RFQ-Input'!O299="","",'RFQ-Input'!O299)</f>
        <v/>
      </c>
      <c r="AX300" s="7" t="str">
        <f>IF('RFQ-Input'!S299="","",'RFQ-Input'!S299)</f>
        <v/>
      </c>
      <c r="AY300" s="7" t="str">
        <f>IF('RFQ-Input'!V299="","",'RFQ-Input'!V299)</f>
        <v/>
      </c>
      <c r="AZ300" s="7" t="str">
        <f>IF('RFQ-Input'!Y299="","",'RFQ-Input'!Y299)</f>
        <v/>
      </c>
      <c r="BA300" s="7" t="str">
        <f>IF('RFQ-Input'!AB299="","",'RFQ-Input'!AB299)</f>
        <v/>
      </c>
    </row>
    <row r="301" spans="1:53">
      <c r="A301" s="20">
        <v>297</v>
      </c>
      <c r="B301" s="7"/>
      <c r="C301" s="7" t="str">
        <f>IF('RFQ-Input'!C300="","",'RFQ-Input'!C300)</f>
        <v/>
      </c>
      <c r="D301" s="7" t="str">
        <f>IF('RFQ-Input'!D300="","",'RFQ-Input'!D300)</f>
        <v/>
      </c>
      <c r="E301" s="7" t="str">
        <f>IF('RFQ-Input'!E300="","",'RFQ-Input'!E300)</f>
        <v/>
      </c>
      <c r="F301" s="7" t="str">
        <f>IF('RFQ-Input'!F300="","",'RFQ-Input'!F300)</f>
        <v/>
      </c>
      <c r="G301" s="7" t="str">
        <f>IF('RFQ-Input'!G300="","",'RFQ-Input'!G300)</f>
        <v/>
      </c>
      <c r="H301" s="7" t="str">
        <f>IF('RFQ-Input'!H300="","",'RFQ-Input'!H300)</f>
        <v/>
      </c>
      <c r="I301" s="7" t="str">
        <f>IF('RFQ-Input'!I300="","",'RFQ-Input'!I300)</f>
        <v/>
      </c>
      <c r="J301" s="7" t="str">
        <f>IF('RFQ-Input'!J300="","",'RFQ-Input'!J300)</f>
        <v/>
      </c>
      <c r="K301" s="7" t="str">
        <f>IF('RFQ-Input'!K300="","",'RFQ-Input'!K300)</f>
        <v/>
      </c>
      <c r="L301" s="7" t="str">
        <f>IF('RFQ-Input'!L300="","",'RFQ-Input'!L300)</f>
        <v/>
      </c>
      <c r="M301" s="7" t="str">
        <f>IF('RFQ-Input'!M300="","",'RFQ-Input'!M300)</f>
        <v/>
      </c>
      <c r="N301" s="7" t="str">
        <f>IF('RFQ-Input'!N300="","",'RFQ-Input'!N300)</f>
        <v/>
      </c>
      <c r="O301" s="7" t="str">
        <f>IF('RFQ-Input'!O300="","",'RFQ-Input'!O300)</f>
        <v/>
      </c>
      <c r="Q301" s="7"/>
      <c r="R301" s="7"/>
      <c r="S301" s="7"/>
      <c r="T301" s="7"/>
      <c r="U301" s="7"/>
      <c r="V301" s="7"/>
      <c r="X301" s="7"/>
      <c r="Y301" s="7"/>
      <c r="Z301" s="7"/>
      <c r="AA301" s="7" t="str">
        <f t="shared" si="28"/>
        <v/>
      </c>
      <c r="AB301" s="7"/>
      <c r="AC301" s="7"/>
      <c r="AQ301" s="7" t="str">
        <f t="shared" si="29"/>
        <v/>
      </c>
      <c r="AR301" s="7" t="str">
        <f t="shared" si="30"/>
        <v/>
      </c>
      <c r="AS301" s="7" t="str">
        <f t="shared" si="31"/>
        <v/>
      </c>
      <c r="AT301" s="7" t="str">
        <f t="shared" si="32"/>
        <v/>
      </c>
      <c r="AU301" s="7" t="str">
        <f t="shared" si="33"/>
        <v/>
      </c>
      <c r="AV301" s="7" t="str">
        <f t="shared" si="34"/>
        <v/>
      </c>
      <c r="AW301" s="7" t="str">
        <f>IF('RFQ-Input'!O300="","",'RFQ-Input'!O300)</f>
        <v/>
      </c>
      <c r="AX301" s="7" t="str">
        <f>IF('RFQ-Input'!S300="","",'RFQ-Input'!S300)</f>
        <v/>
      </c>
      <c r="AY301" s="7" t="str">
        <f>IF('RFQ-Input'!V300="","",'RFQ-Input'!V300)</f>
        <v/>
      </c>
      <c r="AZ301" s="7" t="str">
        <f>IF('RFQ-Input'!Y300="","",'RFQ-Input'!Y300)</f>
        <v/>
      </c>
      <c r="BA301" s="7" t="str">
        <f>IF('RFQ-Input'!AB300="","",'RFQ-Input'!AB300)</f>
        <v/>
      </c>
    </row>
    <row r="302" spans="1:53">
      <c r="A302" s="20">
        <v>298</v>
      </c>
      <c r="B302" s="7"/>
      <c r="C302" s="7" t="str">
        <f>IF('RFQ-Input'!C301="","",'RFQ-Input'!C301)</f>
        <v/>
      </c>
      <c r="D302" s="7" t="str">
        <f>IF('RFQ-Input'!D301="","",'RFQ-Input'!D301)</f>
        <v/>
      </c>
      <c r="E302" s="7" t="str">
        <f>IF('RFQ-Input'!E301="","",'RFQ-Input'!E301)</f>
        <v/>
      </c>
      <c r="F302" s="7" t="str">
        <f>IF('RFQ-Input'!F301="","",'RFQ-Input'!F301)</f>
        <v/>
      </c>
      <c r="G302" s="7" t="str">
        <f>IF('RFQ-Input'!G301="","",'RFQ-Input'!G301)</f>
        <v/>
      </c>
      <c r="H302" s="7" t="str">
        <f>IF('RFQ-Input'!H301="","",'RFQ-Input'!H301)</f>
        <v/>
      </c>
      <c r="I302" s="7" t="str">
        <f>IF('RFQ-Input'!I301="","",'RFQ-Input'!I301)</f>
        <v/>
      </c>
      <c r="J302" s="7" t="str">
        <f>IF('RFQ-Input'!J301="","",'RFQ-Input'!J301)</f>
        <v/>
      </c>
      <c r="K302" s="7" t="str">
        <f>IF('RFQ-Input'!K301="","",'RFQ-Input'!K301)</f>
        <v/>
      </c>
      <c r="L302" s="7" t="str">
        <f>IF('RFQ-Input'!L301="","",'RFQ-Input'!L301)</f>
        <v/>
      </c>
      <c r="M302" s="7" t="str">
        <f>IF('RFQ-Input'!M301="","",'RFQ-Input'!M301)</f>
        <v/>
      </c>
      <c r="N302" s="7" t="str">
        <f>IF('RFQ-Input'!N301="","",'RFQ-Input'!N301)</f>
        <v/>
      </c>
      <c r="O302" s="7" t="str">
        <f>IF('RFQ-Input'!O301="","",'RFQ-Input'!O301)</f>
        <v/>
      </c>
      <c r="Q302" s="7"/>
      <c r="R302" s="7"/>
      <c r="S302" s="7"/>
      <c r="T302" s="7"/>
      <c r="U302" s="7"/>
      <c r="V302" s="7"/>
      <c r="X302" s="7"/>
      <c r="Y302" s="7"/>
      <c r="Z302" s="7"/>
      <c r="AA302" s="7" t="str">
        <f t="shared" si="28"/>
        <v/>
      </c>
      <c r="AB302" s="7"/>
      <c r="AC302" s="7"/>
      <c r="AQ302" s="7" t="str">
        <f t="shared" si="29"/>
        <v/>
      </c>
      <c r="AR302" s="7" t="str">
        <f t="shared" si="30"/>
        <v/>
      </c>
      <c r="AS302" s="7" t="str">
        <f t="shared" si="31"/>
        <v/>
      </c>
      <c r="AT302" s="7" t="str">
        <f t="shared" si="32"/>
        <v/>
      </c>
      <c r="AU302" s="7" t="str">
        <f t="shared" si="33"/>
        <v/>
      </c>
      <c r="AV302" s="7" t="str">
        <f t="shared" si="34"/>
        <v/>
      </c>
      <c r="AW302" s="7" t="str">
        <f>IF('RFQ-Input'!O301="","",'RFQ-Input'!O301)</f>
        <v/>
      </c>
      <c r="AX302" s="7" t="str">
        <f>IF('RFQ-Input'!S301="","",'RFQ-Input'!S301)</f>
        <v/>
      </c>
      <c r="AY302" s="7" t="str">
        <f>IF('RFQ-Input'!V301="","",'RFQ-Input'!V301)</f>
        <v/>
      </c>
      <c r="AZ302" s="7" t="str">
        <f>IF('RFQ-Input'!Y301="","",'RFQ-Input'!Y301)</f>
        <v/>
      </c>
      <c r="BA302" s="7" t="str">
        <f>IF('RFQ-Input'!AB301="","",'RFQ-Input'!AB301)</f>
        <v/>
      </c>
    </row>
    <row r="303" spans="1:53">
      <c r="A303" s="20">
        <v>299</v>
      </c>
      <c r="B303" s="7"/>
      <c r="C303" s="7" t="str">
        <f>IF('RFQ-Input'!C302="","",'RFQ-Input'!C302)</f>
        <v/>
      </c>
      <c r="D303" s="7" t="str">
        <f>IF('RFQ-Input'!D302="","",'RFQ-Input'!D302)</f>
        <v/>
      </c>
      <c r="E303" s="7" t="str">
        <f>IF('RFQ-Input'!E302="","",'RFQ-Input'!E302)</f>
        <v/>
      </c>
      <c r="F303" s="7" t="str">
        <f>IF('RFQ-Input'!F302="","",'RFQ-Input'!F302)</f>
        <v/>
      </c>
      <c r="G303" s="7" t="str">
        <f>IF('RFQ-Input'!G302="","",'RFQ-Input'!G302)</f>
        <v/>
      </c>
      <c r="H303" s="7" t="str">
        <f>IF('RFQ-Input'!H302="","",'RFQ-Input'!H302)</f>
        <v/>
      </c>
      <c r="I303" s="7" t="str">
        <f>IF('RFQ-Input'!I302="","",'RFQ-Input'!I302)</f>
        <v/>
      </c>
      <c r="J303" s="7" t="str">
        <f>IF('RFQ-Input'!J302="","",'RFQ-Input'!J302)</f>
        <v/>
      </c>
      <c r="K303" s="7" t="str">
        <f>IF('RFQ-Input'!K302="","",'RFQ-Input'!K302)</f>
        <v/>
      </c>
      <c r="L303" s="7" t="str">
        <f>IF('RFQ-Input'!L302="","",'RFQ-Input'!L302)</f>
        <v/>
      </c>
      <c r="M303" s="7" t="str">
        <f>IF('RFQ-Input'!M302="","",'RFQ-Input'!M302)</f>
        <v/>
      </c>
      <c r="N303" s="7" t="str">
        <f>IF('RFQ-Input'!N302="","",'RFQ-Input'!N302)</f>
        <v/>
      </c>
      <c r="O303" s="7" t="str">
        <f>IF('RFQ-Input'!O302="","",'RFQ-Input'!O302)</f>
        <v/>
      </c>
      <c r="Q303" s="7"/>
      <c r="R303" s="7"/>
      <c r="S303" s="7"/>
      <c r="T303" s="7"/>
      <c r="U303" s="7"/>
      <c r="V303" s="7"/>
      <c r="X303" s="7"/>
      <c r="Y303" s="7"/>
      <c r="Z303" s="7"/>
      <c r="AA303" s="7" t="str">
        <f t="shared" si="28"/>
        <v/>
      </c>
      <c r="AB303" s="7"/>
      <c r="AC303" s="7"/>
      <c r="AQ303" s="7" t="str">
        <f t="shared" si="29"/>
        <v/>
      </c>
      <c r="AR303" s="7" t="str">
        <f t="shared" si="30"/>
        <v/>
      </c>
      <c r="AS303" s="7" t="str">
        <f t="shared" si="31"/>
        <v/>
      </c>
      <c r="AT303" s="7" t="str">
        <f t="shared" si="32"/>
        <v/>
      </c>
      <c r="AU303" s="7" t="str">
        <f t="shared" si="33"/>
        <v/>
      </c>
      <c r="AV303" s="7" t="str">
        <f t="shared" si="34"/>
        <v/>
      </c>
      <c r="AW303" s="7" t="str">
        <f>IF('RFQ-Input'!O302="","",'RFQ-Input'!O302)</f>
        <v/>
      </c>
      <c r="AX303" s="7" t="str">
        <f>IF('RFQ-Input'!S302="","",'RFQ-Input'!S302)</f>
        <v/>
      </c>
      <c r="AY303" s="7" t="str">
        <f>IF('RFQ-Input'!V302="","",'RFQ-Input'!V302)</f>
        <v/>
      </c>
      <c r="AZ303" s="7" t="str">
        <f>IF('RFQ-Input'!Y302="","",'RFQ-Input'!Y302)</f>
        <v/>
      </c>
      <c r="BA303" s="7" t="str">
        <f>IF('RFQ-Input'!AB302="","",'RFQ-Input'!AB302)</f>
        <v/>
      </c>
    </row>
    <row r="304" spans="1:53">
      <c r="A304" s="20">
        <v>300</v>
      </c>
      <c r="B304" s="7"/>
      <c r="C304" s="7" t="str">
        <f>IF('RFQ-Input'!C303="","",'RFQ-Input'!C303)</f>
        <v/>
      </c>
      <c r="D304" s="7" t="str">
        <f>IF('RFQ-Input'!D303="","",'RFQ-Input'!D303)</f>
        <v/>
      </c>
      <c r="E304" s="7" t="str">
        <f>IF('RFQ-Input'!E303="","",'RFQ-Input'!E303)</f>
        <v/>
      </c>
      <c r="F304" s="7" t="str">
        <f>IF('RFQ-Input'!F303="","",'RFQ-Input'!F303)</f>
        <v/>
      </c>
      <c r="G304" s="7" t="str">
        <f>IF('RFQ-Input'!G303="","",'RFQ-Input'!G303)</f>
        <v/>
      </c>
      <c r="H304" s="7" t="str">
        <f>IF('RFQ-Input'!H303="","",'RFQ-Input'!H303)</f>
        <v/>
      </c>
      <c r="I304" s="7" t="str">
        <f>IF('RFQ-Input'!I303="","",'RFQ-Input'!I303)</f>
        <v/>
      </c>
      <c r="J304" s="7" t="str">
        <f>IF('RFQ-Input'!J303="","",'RFQ-Input'!J303)</f>
        <v/>
      </c>
      <c r="K304" s="7" t="str">
        <f>IF('RFQ-Input'!K303="","",'RFQ-Input'!K303)</f>
        <v/>
      </c>
      <c r="L304" s="7" t="str">
        <f>IF('RFQ-Input'!L303="","",'RFQ-Input'!L303)</f>
        <v/>
      </c>
      <c r="M304" s="7" t="str">
        <f>IF('RFQ-Input'!M303="","",'RFQ-Input'!M303)</f>
        <v/>
      </c>
      <c r="N304" s="7" t="str">
        <f>IF('RFQ-Input'!N303="","",'RFQ-Input'!N303)</f>
        <v/>
      </c>
      <c r="O304" s="7" t="str">
        <f>IF('RFQ-Input'!O303="","",'RFQ-Input'!O303)</f>
        <v/>
      </c>
      <c r="Q304" s="7"/>
      <c r="R304" s="7"/>
      <c r="S304" s="7"/>
      <c r="T304" s="7"/>
      <c r="U304" s="7"/>
      <c r="V304" s="7"/>
      <c r="X304" s="7"/>
      <c r="Y304" s="7"/>
      <c r="Z304" s="7"/>
      <c r="AA304" s="7" t="str">
        <f t="shared" si="28"/>
        <v/>
      </c>
      <c r="AB304" s="7"/>
      <c r="AC304" s="7"/>
      <c r="AQ304" s="7" t="str">
        <f t="shared" si="29"/>
        <v/>
      </c>
      <c r="AR304" s="7" t="str">
        <f t="shared" si="30"/>
        <v/>
      </c>
      <c r="AS304" s="7" t="str">
        <f t="shared" si="31"/>
        <v/>
      </c>
      <c r="AT304" s="7" t="str">
        <f t="shared" si="32"/>
        <v/>
      </c>
      <c r="AU304" s="7" t="str">
        <f t="shared" si="33"/>
        <v/>
      </c>
      <c r="AV304" s="7" t="str">
        <f t="shared" si="34"/>
        <v/>
      </c>
      <c r="AW304" s="7" t="str">
        <f>IF('RFQ-Input'!O303="","",'RFQ-Input'!O303)</f>
        <v/>
      </c>
      <c r="AX304" s="7" t="str">
        <f>IF('RFQ-Input'!S303="","",'RFQ-Input'!S303)</f>
        <v/>
      </c>
      <c r="AY304" s="7" t="str">
        <f>IF('RFQ-Input'!V303="","",'RFQ-Input'!V303)</f>
        <v/>
      </c>
      <c r="AZ304" s="7" t="str">
        <f>IF('RFQ-Input'!Y303="","",'RFQ-Input'!Y303)</f>
        <v/>
      </c>
      <c r="BA304" s="7" t="str">
        <f>IF('RFQ-Input'!AB303="","",'RFQ-Input'!AB303)</f>
        <v/>
      </c>
    </row>
    <row r="305" spans="1:53">
      <c r="A305" s="20">
        <v>301</v>
      </c>
      <c r="B305" s="7"/>
      <c r="C305" s="7" t="str">
        <f>IF('RFQ-Input'!C304="","",'RFQ-Input'!C304)</f>
        <v/>
      </c>
      <c r="D305" s="7" t="str">
        <f>IF('RFQ-Input'!D304="","",'RFQ-Input'!D304)</f>
        <v/>
      </c>
      <c r="E305" s="7" t="str">
        <f>IF('RFQ-Input'!E304="","",'RFQ-Input'!E304)</f>
        <v/>
      </c>
      <c r="F305" s="7" t="str">
        <f>IF('RFQ-Input'!F304="","",'RFQ-Input'!F304)</f>
        <v/>
      </c>
      <c r="G305" s="7" t="str">
        <f>IF('RFQ-Input'!G304="","",'RFQ-Input'!G304)</f>
        <v/>
      </c>
      <c r="H305" s="7" t="str">
        <f>IF('RFQ-Input'!H304="","",'RFQ-Input'!H304)</f>
        <v/>
      </c>
      <c r="I305" s="7" t="str">
        <f>IF('RFQ-Input'!I304="","",'RFQ-Input'!I304)</f>
        <v/>
      </c>
      <c r="J305" s="7" t="str">
        <f>IF('RFQ-Input'!J304="","",'RFQ-Input'!J304)</f>
        <v/>
      </c>
      <c r="K305" s="7" t="str">
        <f>IF('RFQ-Input'!K304="","",'RFQ-Input'!K304)</f>
        <v/>
      </c>
      <c r="L305" s="7" t="str">
        <f>IF('RFQ-Input'!L304="","",'RFQ-Input'!L304)</f>
        <v/>
      </c>
      <c r="M305" s="7" t="str">
        <f>IF('RFQ-Input'!M304="","",'RFQ-Input'!M304)</f>
        <v/>
      </c>
      <c r="N305" s="7" t="str">
        <f>IF('RFQ-Input'!N304="","",'RFQ-Input'!N304)</f>
        <v/>
      </c>
      <c r="O305" s="7" t="str">
        <f>IF('RFQ-Input'!O304="","",'RFQ-Input'!O304)</f>
        <v/>
      </c>
      <c r="Q305" s="7"/>
      <c r="R305" s="7"/>
      <c r="S305" s="7"/>
      <c r="T305" s="7"/>
      <c r="U305" s="7"/>
      <c r="V305" s="7"/>
      <c r="X305" s="7"/>
      <c r="Y305" s="7"/>
      <c r="Z305" s="7"/>
      <c r="AA305" s="7" t="str">
        <f t="shared" si="28"/>
        <v/>
      </c>
      <c r="AB305" s="7"/>
      <c r="AC305" s="7"/>
      <c r="AQ305" s="7" t="str">
        <f t="shared" si="29"/>
        <v/>
      </c>
      <c r="AR305" s="7" t="str">
        <f t="shared" si="30"/>
        <v/>
      </c>
      <c r="AS305" s="7" t="str">
        <f t="shared" si="31"/>
        <v/>
      </c>
      <c r="AT305" s="7" t="str">
        <f t="shared" si="32"/>
        <v/>
      </c>
      <c r="AU305" s="7" t="str">
        <f t="shared" si="33"/>
        <v/>
      </c>
      <c r="AV305" s="7" t="str">
        <f t="shared" si="34"/>
        <v/>
      </c>
      <c r="AW305" s="7" t="str">
        <f>IF('RFQ-Input'!O304="","",'RFQ-Input'!O304)</f>
        <v/>
      </c>
      <c r="AX305" s="7" t="str">
        <f>IF('RFQ-Input'!S304="","",'RFQ-Input'!S304)</f>
        <v/>
      </c>
      <c r="AY305" s="7" t="str">
        <f>IF('RFQ-Input'!V304="","",'RFQ-Input'!V304)</f>
        <v/>
      </c>
      <c r="AZ305" s="7" t="str">
        <f>IF('RFQ-Input'!Y304="","",'RFQ-Input'!Y304)</f>
        <v/>
      </c>
      <c r="BA305" s="7" t="str">
        <f>IF('RFQ-Input'!AB304="","",'RFQ-Input'!AB304)</f>
        <v/>
      </c>
    </row>
    <row r="306" spans="1:53">
      <c r="A306" s="20">
        <v>302</v>
      </c>
      <c r="B306" s="7"/>
      <c r="C306" s="7" t="str">
        <f>IF('RFQ-Input'!C305="","",'RFQ-Input'!C305)</f>
        <v/>
      </c>
      <c r="D306" s="7" t="str">
        <f>IF('RFQ-Input'!D305="","",'RFQ-Input'!D305)</f>
        <v/>
      </c>
      <c r="E306" s="7" t="str">
        <f>IF('RFQ-Input'!E305="","",'RFQ-Input'!E305)</f>
        <v/>
      </c>
      <c r="F306" s="7" t="str">
        <f>IF('RFQ-Input'!F305="","",'RFQ-Input'!F305)</f>
        <v/>
      </c>
      <c r="G306" s="7" t="str">
        <f>IF('RFQ-Input'!G305="","",'RFQ-Input'!G305)</f>
        <v/>
      </c>
      <c r="H306" s="7" t="str">
        <f>IF('RFQ-Input'!H305="","",'RFQ-Input'!H305)</f>
        <v/>
      </c>
      <c r="I306" s="7" t="str">
        <f>IF('RFQ-Input'!I305="","",'RFQ-Input'!I305)</f>
        <v/>
      </c>
      <c r="J306" s="7" t="str">
        <f>IF('RFQ-Input'!J305="","",'RFQ-Input'!J305)</f>
        <v/>
      </c>
      <c r="K306" s="7" t="str">
        <f>IF('RFQ-Input'!K305="","",'RFQ-Input'!K305)</f>
        <v/>
      </c>
      <c r="L306" s="7" t="str">
        <f>IF('RFQ-Input'!L305="","",'RFQ-Input'!L305)</f>
        <v/>
      </c>
      <c r="M306" s="7" t="str">
        <f>IF('RFQ-Input'!M305="","",'RFQ-Input'!M305)</f>
        <v/>
      </c>
      <c r="N306" s="7" t="str">
        <f>IF('RFQ-Input'!N305="","",'RFQ-Input'!N305)</f>
        <v/>
      </c>
      <c r="O306" s="7" t="str">
        <f>IF('RFQ-Input'!O305="","",'RFQ-Input'!O305)</f>
        <v/>
      </c>
      <c r="Q306" s="7"/>
      <c r="R306" s="7"/>
      <c r="S306" s="7"/>
      <c r="T306" s="7"/>
      <c r="U306" s="7"/>
      <c r="V306" s="7"/>
      <c r="X306" s="7"/>
      <c r="Y306" s="7"/>
      <c r="Z306" s="7"/>
      <c r="AA306" s="7" t="str">
        <f t="shared" si="28"/>
        <v/>
      </c>
      <c r="AB306" s="7"/>
      <c r="AC306" s="7"/>
      <c r="AQ306" s="7" t="str">
        <f t="shared" si="29"/>
        <v/>
      </c>
      <c r="AR306" s="7" t="str">
        <f t="shared" si="30"/>
        <v/>
      </c>
      <c r="AS306" s="7" t="str">
        <f t="shared" si="31"/>
        <v/>
      </c>
      <c r="AT306" s="7" t="str">
        <f t="shared" si="32"/>
        <v/>
      </c>
      <c r="AU306" s="7" t="str">
        <f t="shared" si="33"/>
        <v/>
      </c>
      <c r="AV306" s="7" t="str">
        <f t="shared" si="34"/>
        <v/>
      </c>
      <c r="AW306" s="7" t="str">
        <f>IF('RFQ-Input'!O305="","",'RFQ-Input'!O305)</f>
        <v/>
      </c>
      <c r="AX306" s="7" t="str">
        <f>IF('RFQ-Input'!S305="","",'RFQ-Input'!S305)</f>
        <v/>
      </c>
      <c r="AY306" s="7" t="str">
        <f>IF('RFQ-Input'!V305="","",'RFQ-Input'!V305)</f>
        <v/>
      </c>
      <c r="AZ306" s="7" t="str">
        <f>IF('RFQ-Input'!Y305="","",'RFQ-Input'!Y305)</f>
        <v/>
      </c>
      <c r="BA306" s="7" t="str">
        <f>IF('RFQ-Input'!AB305="","",'RFQ-Input'!AB305)</f>
        <v/>
      </c>
    </row>
    <row r="307" spans="1:53">
      <c r="A307" s="20">
        <v>303</v>
      </c>
      <c r="B307" s="7"/>
      <c r="C307" s="7" t="str">
        <f>IF('RFQ-Input'!C306="","",'RFQ-Input'!C306)</f>
        <v/>
      </c>
      <c r="D307" s="7" t="str">
        <f>IF('RFQ-Input'!D306="","",'RFQ-Input'!D306)</f>
        <v/>
      </c>
      <c r="E307" s="7" t="str">
        <f>IF('RFQ-Input'!E306="","",'RFQ-Input'!E306)</f>
        <v/>
      </c>
      <c r="F307" s="7" t="str">
        <f>IF('RFQ-Input'!F306="","",'RFQ-Input'!F306)</f>
        <v/>
      </c>
      <c r="G307" s="7" t="str">
        <f>IF('RFQ-Input'!G306="","",'RFQ-Input'!G306)</f>
        <v/>
      </c>
      <c r="H307" s="7" t="str">
        <f>IF('RFQ-Input'!H306="","",'RFQ-Input'!H306)</f>
        <v/>
      </c>
      <c r="I307" s="7" t="str">
        <f>IF('RFQ-Input'!I306="","",'RFQ-Input'!I306)</f>
        <v/>
      </c>
      <c r="J307" s="7" t="str">
        <f>IF('RFQ-Input'!J306="","",'RFQ-Input'!J306)</f>
        <v/>
      </c>
      <c r="K307" s="7" t="str">
        <f>IF('RFQ-Input'!K306="","",'RFQ-Input'!K306)</f>
        <v/>
      </c>
      <c r="L307" s="7" t="str">
        <f>IF('RFQ-Input'!L306="","",'RFQ-Input'!L306)</f>
        <v/>
      </c>
      <c r="M307" s="7" t="str">
        <f>IF('RFQ-Input'!M306="","",'RFQ-Input'!M306)</f>
        <v/>
      </c>
      <c r="N307" s="7" t="str">
        <f>IF('RFQ-Input'!N306="","",'RFQ-Input'!N306)</f>
        <v/>
      </c>
      <c r="O307" s="7" t="str">
        <f>IF('RFQ-Input'!O306="","",'RFQ-Input'!O306)</f>
        <v/>
      </c>
      <c r="Q307" s="7"/>
      <c r="R307" s="7"/>
      <c r="S307" s="7"/>
      <c r="T307" s="7"/>
      <c r="U307" s="7"/>
      <c r="V307" s="7"/>
      <c r="X307" s="7"/>
      <c r="Y307" s="7"/>
      <c r="Z307" s="7"/>
      <c r="AA307" s="7" t="str">
        <f t="shared" si="28"/>
        <v/>
      </c>
      <c r="AB307" s="7"/>
      <c r="AC307" s="7"/>
      <c r="AQ307" s="7" t="str">
        <f t="shared" si="29"/>
        <v/>
      </c>
      <c r="AR307" s="7" t="str">
        <f t="shared" si="30"/>
        <v/>
      </c>
      <c r="AS307" s="7" t="str">
        <f t="shared" si="31"/>
        <v/>
      </c>
      <c r="AT307" s="7" t="str">
        <f t="shared" si="32"/>
        <v/>
      </c>
      <c r="AU307" s="7" t="str">
        <f t="shared" si="33"/>
        <v/>
      </c>
      <c r="AV307" s="7" t="str">
        <f t="shared" si="34"/>
        <v/>
      </c>
      <c r="AW307" s="7" t="str">
        <f>IF('RFQ-Input'!O306="","",'RFQ-Input'!O306)</f>
        <v/>
      </c>
      <c r="AX307" s="7" t="str">
        <f>IF('RFQ-Input'!S306="","",'RFQ-Input'!S306)</f>
        <v/>
      </c>
      <c r="AY307" s="7" t="str">
        <f>IF('RFQ-Input'!V306="","",'RFQ-Input'!V306)</f>
        <v/>
      </c>
      <c r="AZ307" s="7" t="str">
        <f>IF('RFQ-Input'!Y306="","",'RFQ-Input'!Y306)</f>
        <v/>
      </c>
      <c r="BA307" s="7" t="str">
        <f>IF('RFQ-Input'!AB306="","",'RFQ-Input'!AB306)</f>
        <v/>
      </c>
    </row>
    <row r="308" spans="1:53">
      <c r="A308" s="20">
        <v>304</v>
      </c>
      <c r="B308" s="7"/>
      <c r="C308" s="7" t="str">
        <f>IF('RFQ-Input'!C307="","",'RFQ-Input'!C307)</f>
        <v/>
      </c>
      <c r="D308" s="7" t="str">
        <f>IF('RFQ-Input'!D307="","",'RFQ-Input'!D307)</f>
        <v/>
      </c>
      <c r="E308" s="7" t="str">
        <f>IF('RFQ-Input'!E307="","",'RFQ-Input'!E307)</f>
        <v/>
      </c>
      <c r="F308" s="7" t="str">
        <f>IF('RFQ-Input'!F307="","",'RFQ-Input'!F307)</f>
        <v/>
      </c>
      <c r="G308" s="7" t="str">
        <f>IF('RFQ-Input'!G307="","",'RFQ-Input'!G307)</f>
        <v/>
      </c>
      <c r="H308" s="7" t="str">
        <f>IF('RFQ-Input'!H307="","",'RFQ-Input'!H307)</f>
        <v/>
      </c>
      <c r="I308" s="7" t="str">
        <f>IF('RFQ-Input'!I307="","",'RFQ-Input'!I307)</f>
        <v/>
      </c>
      <c r="J308" s="7" t="str">
        <f>IF('RFQ-Input'!J307="","",'RFQ-Input'!J307)</f>
        <v/>
      </c>
      <c r="K308" s="7" t="str">
        <f>IF('RFQ-Input'!K307="","",'RFQ-Input'!K307)</f>
        <v/>
      </c>
      <c r="L308" s="7" t="str">
        <f>IF('RFQ-Input'!L307="","",'RFQ-Input'!L307)</f>
        <v/>
      </c>
      <c r="M308" s="7" t="str">
        <f>IF('RFQ-Input'!M307="","",'RFQ-Input'!M307)</f>
        <v/>
      </c>
      <c r="N308" s="7" t="str">
        <f>IF('RFQ-Input'!N307="","",'RFQ-Input'!N307)</f>
        <v/>
      </c>
      <c r="O308" s="7" t="str">
        <f>IF('RFQ-Input'!O307="","",'RFQ-Input'!O307)</f>
        <v/>
      </c>
      <c r="Q308" s="7"/>
      <c r="R308" s="7"/>
      <c r="S308" s="7"/>
      <c r="T308" s="7"/>
      <c r="U308" s="7"/>
      <c r="V308" s="7"/>
      <c r="X308" s="7"/>
      <c r="Y308" s="7"/>
      <c r="Z308" s="7"/>
      <c r="AA308" s="7" t="str">
        <f t="shared" si="28"/>
        <v/>
      </c>
      <c r="AB308" s="7"/>
      <c r="AC308" s="7"/>
      <c r="AQ308" s="7" t="str">
        <f t="shared" si="29"/>
        <v/>
      </c>
      <c r="AR308" s="7" t="str">
        <f t="shared" si="30"/>
        <v/>
      </c>
      <c r="AS308" s="7" t="str">
        <f t="shared" si="31"/>
        <v/>
      </c>
      <c r="AT308" s="7" t="str">
        <f t="shared" si="32"/>
        <v/>
      </c>
      <c r="AU308" s="7" t="str">
        <f t="shared" si="33"/>
        <v/>
      </c>
      <c r="AV308" s="7" t="str">
        <f t="shared" si="34"/>
        <v/>
      </c>
      <c r="AW308" s="7" t="str">
        <f>IF('RFQ-Input'!O307="","",'RFQ-Input'!O307)</f>
        <v/>
      </c>
      <c r="AX308" s="7" t="str">
        <f>IF('RFQ-Input'!S307="","",'RFQ-Input'!S307)</f>
        <v/>
      </c>
      <c r="AY308" s="7" t="str">
        <f>IF('RFQ-Input'!V307="","",'RFQ-Input'!V307)</f>
        <v/>
      </c>
      <c r="AZ308" s="7" t="str">
        <f>IF('RFQ-Input'!Y307="","",'RFQ-Input'!Y307)</f>
        <v/>
      </c>
      <c r="BA308" s="7" t="str">
        <f>IF('RFQ-Input'!AB307="","",'RFQ-Input'!AB307)</f>
        <v/>
      </c>
    </row>
    <row r="309" spans="1:53">
      <c r="A309" s="20">
        <v>305</v>
      </c>
      <c r="B309" s="7"/>
      <c r="C309" s="7" t="str">
        <f>IF('RFQ-Input'!C308="","",'RFQ-Input'!C308)</f>
        <v/>
      </c>
      <c r="D309" s="7" t="str">
        <f>IF('RFQ-Input'!D308="","",'RFQ-Input'!D308)</f>
        <v/>
      </c>
      <c r="E309" s="7" t="str">
        <f>IF('RFQ-Input'!E308="","",'RFQ-Input'!E308)</f>
        <v/>
      </c>
      <c r="F309" s="7" t="str">
        <f>IF('RFQ-Input'!F308="","",'RFQ-Input'!F308)</f>
        <v/>
      </c>
      <c r="G309" s="7" t="str">
        <f>IF('RFQ-Input'!G308="","",'RFQ-Input'!G308)</f>
        <v/>
      </c>
      <c r="H309" s="7" t="str">
        <f>IF('RFQ-Input'!H308="","",'RFQ-Input'!H308)</f>
        <v/>
      </c>
      <c r="I309" s="7" t="str">
        <f>IF('RFQ-Input'!I308="","",'RFQ-Input'!I308)</f>
        <v/>
      </c>
      <c r="J309" s="7" t="str">
        <f>IF('RFQ-Input'!J308="","",'RFQ-Input'!J308)</f>
        <v/>
      </c>
      <c r="K309" s="7" t="str">
        <f>IF('RFQ-Input'!K308="","",'RFQ-Input'!K308)</f>
        <v/>
      </c>
      <c r="L309" s="7" t="str">
        <f>IF('RFQ-Input'!L308="","",'RFQ-Input'!L308)</f>
        <v/>
      </c>
      <c r="M309" s="7" t="str">
        <f>IF('RFQ-Input'!M308="","",'RFQ-Input'!M308)</f>
        <v/>
      </c>
      <c r="N309" s="7" t="str">
        <f>IF('RFQ-Input'!N308="","",'RFQ-Input'!N308)</f>
        <v/>
      </c>
      <c r="O309" s="7" t="str">
        <f>IF('RFQ-Input'!O308="","",'RFQ-Input'!O308)</f>
        <v/>
      </c>
      <c r="Q309" s="7"/>
      <c r="R309" s="7"/>
      <c r="S309" s="7"/>
      <c r="T309" s="7"/>
      <c r="U309" s="7"/>
      <c r="V309" s="7"/>
      <c r="X309" s="7"/>
      <c r="Y309" s="7"/>
      <c r="Z309" s="7"/>
      <c r="AA309" s="7" t="str">
        <f t="shared" si="28"/>
        <v/>
      </c>
      <c r="AB309" s="7"/>
      <c r="AC309" s="7"/>
      <c r="AQ309" s="7" t="str">
        <f t="shared" si="29"/>
        <v/>
      </c>
      <c r="AR309" s="7" t="str">
        <f t="shared" si="30"/>
        <v/>
      </c>
      <c r="AS309" s="7" t="str">
        <f t="shared" si="31"/>
        <v/>
      </c>
      <c r="AT309" s="7" t="str">
        <f t="shared" si="32"/>
        <v/>
      </c>
      <c r="AU309" s="7" t="str">
        <f t="shared" si="33"/>
        <v/>
      </c>
      <c r="AV309" s="7" t="str">
        <f t="shared" si="34"/>
        <v/>
      </c>
      <c r="AW309" s="7" t="str">
        <f>IF('RFQ-Input'!O308="","",'RFQ-Input'!O308)</f>
        <v/>
      </c>
      <c r="AX309" s="7" t="str">
        <f>IF('RFQ-Input'!S308="","",'RFQ-Input'!S308)</f>
        <v/>
      </c>
      <c r="AY309" s="7" t="str">
        <f>IF('RFQ-Input'!V308="","",'RFQ-Input'!V308)</f>
        <v/>
      </c>
      <c r="AZ309" s="7" t="str">
        <f>IF('RFQ-Input'!Y308="","",'RFQ-Input'!Y308)</f>
        <v/>
      </c>
      <c r="BA309" s="7" t="str">
        <f>IF('RFQ-Input'!AB308="","",'RFQ-Input'!AB308)</f>
        <v/>
      </c>
    </row>
    <row r="310" spans="1:53">
      <c r="A310" s="20">
        <v>306</v>
      </c>
      <c r="B310" s="7"/>
      <c r="C310" s="7" t="str">
        <f>IF('RFQ-Input'!C309="","",'RFQ-Input'!C309)</f>
        <v/>
      </c>
      <c r="D310" s="7" t="str">
        <f>IF('RFQ-Input'!D309="","",'RFQ-Input'!D309)</f>
        <v/>
      </c>
      <c r="E310" s="7" t="str">
        <f>IF('RFQ-Input'!E309="","",'RFQ-Input'!E309)</f>
        <v/>
      </c>
      <c r="F310" s="7" t="str">
        <f>IF('RFQ-Input'!F309="","",'RFQ-Input'!F309)</f>
        <v/>
      </c>
      <c r="G310" s="7" t="str">
        <f>IF('RFQ-Input'!G309="","",'RFQ-Input'!G309)</f>
        <v/>
      </c>
      <c r="H310" s="7" t="str">
        <f>IF('RFQ-Input'!H309="","",'RFQ-Input'!H309)</f>
        <v/>
      </c>
      <c r="I310" s="7" t="str">
        <f>IF('RFQ-Input'!I309="","",'RFQ-Input'!I309)</f>
        <v/>
      </c>
      <c r="J310" s="7" t="str">
        <f>IF('RFQ-Input'!J309="","",'RFQ-Input'!J309)</f>
        <v/>
      </c>
      <c r="K310" s="7" t="str">
        <f>IF('RFQ-Input'!K309="","",'RFQ-Input'!K309)</f>
        <v/>
      </c>
      <c r="L310" s="7" t="str">
        <f>IF('RFQ-Input'!L309="","",'RFQ-Input'!L309)</f>
        <v/>
      </c>
      <c r="M310" s="7" t="str">
        <f>IF('RFQ-Input'!M309="","",'RFQ-Input'!M309)</f>
        <v/>
      </c>
      <c r="N310" s="7" t="str">
        <f>IF('RFQ-Input'!N309="","",'RFQ-Input'!N309)</f>
        <v/>
      </c>
      <c r="O310" s="7" t="str">
        <f>IF('RFQ-Input'!O309="","",'RFQ-Input'!O309)</f>
        <v/>
      </c>
      <c r="Q310" s="7"/>
      <c r="R310" s="7"/>
      <c r="S310" s="7"/>
      <c r="T310" s="7"/>
      <c r="U310" s="7"/>
      <c r="V310" s="7"/>
      <c r="X310" s="7"/>
      <c r="Y310" s="7"/>
      <c r="Z310" s="7"/>
      <c r="AA310" s="7" t="str">
        <f t="shared" si="28"/>
        <v/>
      </c>
      <c r="AB310" s="7"/>
      <c r="AC310" s="7"/>
      <c r="AQ310" s="7" t="str">
        <f t="shared" si="29"/>
        <v/>
      </c>
      <c r="AR310" s="7" t="str">
        <f t="shared" si="30"/>
        <v/>
      </c>
      <c r="AS310" s="7" t="str">
        <f t="shared" si="31"/>
        <v/>
      </c>
      <c r="AT310" s="7" t="str">
        <f t="shared" si="32"/>
        <v/>
      </c>
      <c r="AU310" s="7" t="str">
        <f t="shared" si="33"/>
        <v/>
      </c>
      <c r="AV310" s="7" t="str">
        <f t="shared" si="34"/>
        <v/>
      </c>
      <c r="AW310" s="7" t="str">
        <f>IF('RFQ-Input'!O309="","",'RFQ-Input'!O309)</f>
        <v/>
      </c>
      <c r="AX310" s="7" t="str">
        <f>IF('RFQ-Input'!S309="","",'RFQ-Input'!S309)</f>
        <v/>
      </c>
      <c r="AY310" s="7" t="str">
        <f>IF('RFQ-Input'!V309="","",'RFQ-Input'!V309)</f>
        <v/>
      </c>
      <c r="AZ310" s="7" t="str">
        <f>IF('RFQ-Input'!Y309="","",'RFQ-Input'!Y309)</f>
        <v/>
      </c>
      <c r="BA310" s="7" t="str">
        <f>IF('RFQ-Input'!AB309="","",'RFQ-Input'!AB309)</f>
        <v/>
      </c>
    </row>
    <row r="311" spans="1:53">
      <c r="A311" s="20">
        <v>307</v>
      </c>
      <c r="B311" s="7"/>
      <c r="C311" s="7" t="str">
        <f>IF('RFQ-Input'!C310="","",'RFQ-Input'!C310)</f>
        <v/>
      </c>
      <c r="D311" s="7" t="str">
        <f>IF('RFQ-Input'!D310="","",'RFQ-Input'!D310)</f>
        <v/>
      </c>
      <c r="E311" s="7" t="str">
        <f>IF('RFQ-Input'!E310="","",'RFQ-Input'!E310)</f>
        <v/>
      </c>
      <c r="F311" s="7" t="str">
        <f>IF('RFQ-Input'!F310="","",'RFQ-Input'!F310)</f>
        <v/>
      </c>
      <c r="G311" s="7" t="str">
        <f>IF('RFQ-Input'!G310="","",'RFQ-Input'!G310)</f>
        <v/>
      </c>
      <c r="H311" s="7" t="str">
        <f>IF('RFQ-Input'!H310="","",'RFQ-Input'!H310)</f>
        <v/>
      </c>
      <c r="I311" s="7" t="str">
        <f>IF('RFQ-Input'!I310="","",'RFQ-Input'!I310)</f>
        <v/>
      </c>
      <c r="J311" s="7" t="str">
        <f>IF('RFQ-Input'!J310="","",'RFQ-Input'!J310)</f>
        <v/>
      </c>
      <c r="K311" s="7" t="str">
        <f>IF('RFQ-Input'!K310="","",'RFQ-Input'!K310)</f>
        <v/>
      </c>
      <c r="L311" s="7" t="str">
        <f>IF('RFQ-Input'!L310="","",'RFQ-Input'!L310)</f>
        <v/>
      </c>
      <c r="M311" s="7" t="str">
        <f>IF('RFQ-Input'!M310="","",'RFQ-Input'!M310)</f>
        <v/>
      </c>
      <c r="N311" s="7" t="str">
        <f>IF('RFQ-Input'!N310="","",'RFQ-Input'!N310)</f>
        <v/>
      </c>
      <c r="O311" s="7" t="str">
        <f>IF('RFQ-Input'!O310="","",'RFQ-Input'!O310)</f>
        <v/>
      </c>
      <c r="Q311" s="7"/>
      <c r="R311" s="7"/>
      <c r="S311" s="7"/>
      <c r="T311" s="7"/>
      <c r="U311" s="7"/>
      <c r="V311" s="7"/>
      <c r="X311" s="7"/>
      <c r="Y311" s="7"/>
      <c r="Z311" s="7"/>
      <c r="AA311" s="7" t="str">
        <f t="shared" si="28"/>
        <v/>
      </c>
      <c r="AB311" s="7"/>
      <c r="AC311" s="7"/>
      <c r="AQ311" s="7" t="str">
        <f t="shared" si="29"/>
        <v/>
      </c>
      <c r="AR311" s="7" t="str">
        <f t="shared" si="30"/>
        <v/>
      </c>
      <c r="AS311" s="7" t="str">
        <f t="shared" si="31"/>
        <v/>
      </c>
      <c r="AT311" s="7" t="str">
        <f t="shared" si="32"/>
        <v/>
      </c>
      <c r="AU311" s="7" t="str">
        <f t="shared" si="33"/>
        <v/>
      </c>
      <c r="AV311" s="7" t="str">
        <f t="shared" si="34"/>
        <v/>
      </c>
      <c r="AW311" s="7" t="str">
        <f>IF('RFQ-Input'!O310="","",'RFQ-Input'!O310)</f>
        <v/>
      </c>
      <c r="AX311" s="7" t="str">
        <f>IF('RFQ-Input'!S310="","",'RFQ-Input'!S310)</f>
        <v/>
      </c>
      <c r="AY311" s="7" t="str">
        <f>IF('RFQ-Input'!V310="","",'RFQ-Input'!V310)</f>
        <v/>
      </c>
      <c r="AZ311" s="7" t="str">
        <f>IF('RFQ-Input'!Y310="","",'RFQ-Input'!Y310)</f>
        <v/>
      </c>
      <c r="BA311" s="7" t="str">
        <f>IF('RFQ-Input'!AB310="","",'RFQ-Input'!AB310)</f>
        <v/>
      </c>
    </row>
    <row r="312" spans="1:53">
      <c r="A312" s="20">
        <v>308</v>
      </c>
      <c r="B312" s="7"/>
      <c r="C312" s="7" t="str">
        <f>IF('RFQ-Input'!C311="","",'RFQ-Input'!C311)</f>
        <v/>
      </c>
      <c r="D312" s="7" t="str">
        <f>IF('RFQ-Input'!D311="","",'RFQ-Input'!D311)</f>
        <v/>
      </c>
      <c r="E312" s="7" t="str">
        <f>IF('RFQ-Input'!E311="","",'RFQ-Input'!E311)</f>
        <v/>
      </c>
      <c r="F312" s="7" t="str">
        <f>IF('RFQ-Input'!F311="","",'RFQ-Input'!F311)</f>
        <v/>
      </c>
      <c r="G312" s="7" t="str">
        <f>IF('RFQ-Input'!G311="","",'RFQ-Input'!G311)</f>
        <v/>
      </c>
      <c r="H312" s="7" t="str">
        <f>IF('RFQ-Input'!H311="","",'RFQ-Input'!H311)</f>
        <v/>
      </c>
      <c r="I312" s="7" t="str">
        <f>IF('RFQ-Input'!I311="","",'RFQ-Input'!I311)</f>
        <v/>
      </c>
      <c r="J312" s="7" t="str">
        <f>IF('RFQ-Input'!J311="","",'RFQ-Input'!J311)</f>
        <v/>
      </c>
      <c r="K312" s="7" t="str">
        <f>IF('RFQ-Input'!K311="","",'RFQ-Input'!K311)</f>
        <v/>
      </c>
      <c r="L312" s="7" t="str">
        <f>IF('RFQ-Input'!L311="","",'RFQ-Input'!L311)</f>
        <v/>
      </c>
      <c r="M312" s="7" t="str">
        <f>IF('RFQ-Input'!M311="","",'RFQ-Input'!M311)</f>
        <v/>
      </c>
      <c r="N312" s="7" t="str">
        <f>IF('RFQ-Input'!N311="","",'RFQ-Input'!N311)</f>
        <v/>
      </c>
      <c r="O312" s="7" t="str">
        <f>IF('RFQ-Input'!O311="","",'RFQ-Input'!O311)</f>
        <v/>
      </c>
      <c r="Q312" s="7"/>
      <c r="R312" s="7"/>
      <c r="S312" s="7"/>
      <c r="T312" s="7"/>
      <c r="U312" s="7"/>
      <c r="V312" s="7"/>
      <c r="X312" s="7"/>
      <c r="Y312" s="7"/>
      <c r="Z312" s="7"/>
      <c r="AA312" s="7" t="str">
        <f t="shared" si="28"/>
        <v/>
      </c>
      <c r="AB312" s="7"/>
      <c r="AC312" s="7"/>
      <c r="AQ312" s="7" t="str">
        <f t="shared" si="29"/>
        <v/>
      </c>
      <c r="AR312" s="7" t="str">
        <f t="shared" si="30"/>
        <v/>
      </c>
      <c r="AS312" s="7" t="str">
        <f t="shared" si="31"/>
        <v/>
      </c>
      <c r="AT312" s="7" t="str">
        <f t="shared" si="32"/>
        <v/>
      </c>
      <c r="AU312" s="7" t="str">
        <f t="shared" si="33"/>
        <v/>
      </c>
      <c r="AV312" s="7" t="str">
        <f t="shared" si="34"/>
        <v/>
      </c>
      <c r="AW312" s="7" t="str">
        <f>IF('RFQ-Input'!O311="","",'RFQ-Input'!O311)</f>
        <v/>
      </c>
      <c r="AX312" s="7" t="str">
        <f>IF('RFQ-Input'!S311="","",'RFQ-Input'!S311)</f>
        <v/>
      </c>
      <c r="AY312" s="7" t="str">
        <f>IF('RFQ-Input'!V311="","",'RFQ-Input'!V311)</f>
        <v/>
      </c>
      <c r="AZ312" s="7" t="str">
        <f>IF('RFQ-Input'!Y311="","",'RFQ-Input'!Y311)</f>
        <v/>
      </c>
      <c r="BA312" s="7" t="str">
        <f>IF('RFQ-Input'!AB311="","",'RFQ-Input'!AB311)</f>
        <v/>
      </c>
    </row>
    <row r="313" spans="1:53">
      <c r="A313" s="20">
        <v>309</v>
      </c>
      <c r="B313" s="7"/>
      <c r="C313" s="7" t="str">
        <f>IF('RFQ-Input'!C312="","",'RFQ-Input'!C312)</f>
        <v/>
      </c>
      <c r="D313" s="7" t="str">
        <f>IF('RFQ-Input'!D312="","",'RFQ-Input'!D312)</f>
        <v/>
      </c>
      <c r="E313" s="7" t="str">
        <f>IF('RFQ-Input'!E312="","",'RFQ-Input'!E312)</f>
        <v/>
      </c>
      <c r="F313" s="7" t="str">
        <f>IF('RFQ-Input'!F312="","",'RFQ-Input'!F312)</f>
        <v/>
      </c>
      <c r="G313" s="7" t="str">
        <f>IF('RFQ-Input'!G312="","",'RFQ-Input'!G312)</f>
        <v/>
      </c>
      <c r="H313" s="7" t="str">
        <f>IF('RFQ-Input'!H312="","",'RFQ-Input'!H312)</f>
        <v/>
      </c>
      <c r="I313" s="7" t="str">
        <f>IF('RFQ-Input'!I312="","",'RFQ-Input'!I312)</f>
        <v/>
      </c>
      <c r="J313" s="7" t="str">
        <f>IF('RFQ-Input'!J312="","",'RFQ-Input'!J312)</f>
        <v/>
      </c>
      <c r="K313" s="7" t="str">
        <f>IF('RFQ-Input'!K312="","",'RFQ-Input'!K312)</f>
        <v/>
      </c>
      <c r="L313" s="7" t="str">
        <f>IF('RFQ-Input'!L312="","",'RFQ-Input'!L312)</f>
        <v/>
      </c>
      <c r="M313" s="7" t="str">
        <f>IF('RFQ-Input'!M312="","",'RFQ-Input'!M312)</f>
        <v/>
      </c>
      <c r="N313" s="7" t="str">
        <f>IF('RFQ-Input'!N312="","",'RFQ-Input'!N312)</f>
        <v/>
      </c>
      <c r="O313" s="7" t="str">
        <f>IF('RFQ-Input'!O312="","",'RFQ-Input'!O312)</f>
        <v/>
      </c>
      <c r="Q313" s="7"/>
      <c r="R313" s="7"/>
      <c r="S313" s="7"/>
      <c r="T313" s="7"/>
      <c r="U313" s="7"/>
      <c r="V313" s="7"/>
      <c r="X313" s="7"/>
      <c r="Y313" s="7"/>
      <c r="Z313" s="7"/>
      <c r="AA313" s="7" t="str">
        <f t="shared" si="28"/>
        <v/>
      </c>
      <c r="AB313" s="7"/>
      <c r="AC313" s="7"/>
      <c r="AQ313" s="7" t="str">
        <f t="shared" si="29"/>
        <v/>
      </c>
      <c r="AR313" s="7" t="str">
        <f t="shared" si="30"/>
        <v/>
      </c>
      <c r="AS313" s="7" t="str">
        <f t="shared" si="31"/>
        <v/>
      </c>
      <c r="AT313" s="7" t="str">
        <f t="shared" si="32"/>
        <v/>
      </c>
      <c r="AU313" s="7" t="str">
        <f t="shared" si="33"/>
        <v/>
      </c>
      <c r="AV313" s="7" t="str">
        <f t="shared" si="34"/>
        <v/>
      </c>
      <c r="AW313" s="7" t="str">
        <f>IF('RFQ-Input'!O312="","",'RFQ-Input'!O312)</f>
        <v/>
      </c>
      <c r="AX313" s="7" t="str">
        <f>IF('RFQ-Input'!S312="","",'RFQ-Input'!S312)</f>
        <v/>
      </c>
      <c r="AY313" s="7" t="str">
        <f>IF('RFQ-Input'!V312="","",'RFQ-Input'!V312)</f>
        <v/>
      </c>
      <c r="AZ313" s="7" t="str">
        <f>IF('RFQ-Input'!Y312="","",'RFQ-Input'!Y312)</f>
        <v/>
      </c>
      <c r="BA313" s="7" t="str">
        <f>IF('RFQ-Input'!AB312="","",'RFQ-Input'!AB312)</f>
        <v/>
      </c>
    </row>
    <row r="314" spans="1:53">
      <c r="A314" s="20">
        <v>310</v>
      </c>
      <c r="B314" s="7"/>
      <c r="C314" s="7" t="str">
        <f>IF('RFQ-Input'!C313="","",'RFQ-Input'!C313)</f>
        <v/>
      </c>
      <c r="D314" s="7" t="str">
        <f>IF('RFQ-Input'!D313="","",'RFQ-Input'!D313)</f>
        <v/>
      </c>
      <c r="E314" s="7" t="str">
        <f>IF('RFQ-Input'!E313="","",'RFQ-Input'!E313)</f>
        <v/>
      </c>
      <c r="F314" s="7" t="str">
        <f>IF('RFQ-Input'!F313="","",'RFQ-Input'!F313)</f>
        <v/>
      </c>
      <c r="G314" s="7" t="str">
        <f>IF('RFQ-Input'!G313="","",'RFQ-Input'!G313)</f>
        <v/>
      </c>
      <c r="H314" s="7" t="str">
        <f>IF('RFQ-Input'!H313="","",'RFQ-Input'!H313)</f>
        <v/>
      </c>
      <c r="I314" s="7" t="str">
        <f>IF('RFQ-Input'!I313="","",'RFQ-Input'!I313)</f>
        <v/>
      </c>
      <c r="J314" s="7" t="str">
        <f>IF('RFQ-Input'!J313="","",'RFQ-Input'!J313)</f>
        <v/>
      </c>
      <c r="K314" s="7" t="str">
        <f>IF('RFQ-Input'!K313="","",'RFQ-Input'!K313)</f>
        <v/>
      </c>
      <c r="L314" s="7" t="str">
        <f>IF('RFQ-Input'!L313="","",'RFQ-Input'!L313)</f>
        <v/>
      </c>
      <c r="M314" s="7" t="str">
        <f>IF('RFQ-Input'!M313="","",'RFQ-Input'!M313)</f>
        <v/>
      </c>
      <c r="N314" s="7" t="str">
        <f>IF('RFQ-Input'!N313="","",'RFQ-Input'!N313)</f>
        <v/>
      </c>
      <c r="O314" s="7" t="str">
        <f>IF('RFQ-Input'!O313="","",'RFQ-Input'!O313)</f>
        <v/>
      </c>
      <c r="Q314" s="7"/>
      <c r="R314" s="7"/>
      <c r="S314" s="7"/>
      <c r="T314" s="7"/>
      <c r="U314" s="7"/>
      <c r="V314" s="7"/>
      <c r="X314" s="7"/>
      <c r="Y314" s="7"/>
      <c r="Z314" s="7"/>
      <c r="AA314" s="7" t="str">
        <f t="shared" si="28"/>
        <v/>
      </c>
      <c r="AB314" s="7"/>
      <c r="AC314" s="7"/>
      <c r="AQ314" s="7" t="str">
        <f t="shared" si="29"/>
        <v/>
      </c>
      <c r="AR314" s="7" t="str">
        <f t="shared" si="30"/>
        <v/>
      </c>
      <c r="AS314" s="7" t="str">
        <f t="shared" si="31"/>
        <v/>
      </c>
      <c r="AT314" s="7" t="str">
        <f t="shared" si="32"/>
        <v/>
      </c>
      <c r="AU314" s="7" t="str">
        <f t="shared" si="33"/>
        <v/>
      </c>
      <c r="AV314" s="7" t="str">
        <f t="shared" si="34"/>
        <v/>
      </c>
      <c r="AW314" s="7" t="str">
        <f>IF('RFQ-Input'!O313="","",'RFQ-Input'!O313)</f>
        <v/>
      </c>
      <c r="AX314" s="7" t="str">
        <f>IF('RFQ-Input'!S313="","",'RFQ-Input'!S313)</f>
        <v/>
      </c>
      <c r="AY314" s="7" t="str">
        <f>IF('RFQ-Input'!V313="","",'RFQ-Input'!V313)</f>
        <v/>
      </c>
      <c r="AZ314" s="7" t="str">
        <f>IF('RFQ-Input'!Y313="","",'RFQ-Input'!Y313)</f>
        <v/>
      </c>
      <c r="BA314" s="7" t="str">
        <f>IF('RFQ-Input'!AB313="","",'RFQ-Input'!AB313)</f>
        <v/>
      </c>
    </row>
    <row r="315" spans="1:53">
      <c r="A315" s="20">
        <v>311</v>
      </c>
      <c r="B315" s="7"/>
      <c r="C315" s="7" t="str">
        <f>IF('RFQ-Input'!C314="","",'RFQ-Input'!C314)</f>
        <v/>
      </c>
      <c r="D315" s="7" t="str">
        <f>IF('RFQ-Input'!D314="","",'RFQ-Input'!D314)</f>
        <v/>
      </c>
      <c r="E315" s="7" t="str">
        <f>IF('RFQ-Input'!E314="","",'RFQ-Input'!E314)</f>
        <v/>
      </c>
      <c r="F315" s="7" t="str">
        <f>IF('RFQ-Input'!F314="","",'RFQ-Input'!F314)</f>
        <v/>
      </c>
      <c r="G315" s="7" t="str">
        <f>IF('RFQ-Input'!G314="","",'RFQ-Input'!G314)</f>
        <v/>
      </c>
      <c r="H315" s="7" t="str">
        <f>IF('RFQ-Input'!H314="","",'RFQ-Input'!H314)</f>
        <v/>
      </c>
      <c r="I315" s="7" t="str">
        <f>IF('RFQ-Input'!I314="","",'RFQ-Input'!I314)</f>
        <v/>
      </c>
      <c r="J315" s="7" t="str">
        <f>IF('RFQ-Input'!J314="","",'RFQ-Input'!J314)</f>
        <v/>
      </c>
      <c r="K315" s="7" t="str">
        <f>IF('RFQ-Input'!K314="","",'RFQ-Input'!K314)</f>
        <v/>
      </c>
      <c r="L315" s="7" t="str">
        <f>IF('RFQ-Input'!L314="","",'RFQ-Input'!L314)</f>
        <v/>
      </c>
      <c r="M315" s="7" t="str">
        <f>IF('RFQ-Input'!M314="","",'RFQ-Input'!M314)</f>
        <v/>
      </c>
      <c r="N315" s="7" t="str">
        <f>IF('RFQ-Input'!N314="","",'RFQ-Input'!N314)</f>
        <v/>
      </c>
      <c r="O315" s="7" t="str">
        <f>IF('RFQ-Input'!O314="","",'RFQ-Input'!O314)</f>
        <v/>
      </c>
      <c r="Q315" s="7"/>
      <c r="R315" s="7"/>
      <c r="S315" s="7"/>
      <c r="T315" s="7"/>
      <c r="U315" s="7"/>
      <c r="V315" s="7"/>
      <c r="X315" s="7"/>
      <c r="Y315" s="7"/>
      <c r="Z315" s="7"/>
      <c r="AA315" s="7" t="str">
        <f t="shared" si="28"/>
        <v/>
      </c>
      <c r="AB315" s="7"/>
      <c r="AC315" s="7"/>
      <c r="AQ315" s="7" t="str">
        <f t="shared" si="29"/>
        <v/>
      </c>
      <c r="AR315" s="7" t="str">
        <f t="shared" si="30"/>
        <v/>
      </c>
      <c r="AS315" s="7" t="str">
        <f t="shared" si="31"/>
        <v/>
      </c>
      <c r="AT315" s="7" t="str">
        <f t="shared" si="32"/>
        <v/>
      </c>
      <c r="AU315" s="7" t="str">
        <f t="shared" si="33"/>
        <v/>
      </c>
      <c r="AV315" s="7" t="str">
        <f t="shared" si="34"/>
        <v/>
      </c>
      <c r="AW315" s="7" t="str">
        <f>IF('RFQ-Input'!O314="","",'RFQ-Input'!O314)</f>
        <v/>
      </c>
      <c r="AX315" s="7" t="str">
        <f>IF('RFQ-Input'!S314="","",'RFQ-Input'!S314)</f>
        <v/>
      </c>
      <c r="AY315" s="7" t="str">
        <f>IF('RFQ-Input'!V314="","",'RFQ-Input'!V314)</f>
        <v/>
      </c>
      <c r="AZ315" s="7" t="str">
        <f>IF('RFQ-Input'!Y314="","",'RFQ-Input'!Y314)</f>
        <v/>
      </c>
      <c r="BA315" s="7" t="str">
        <f>IF('RFQ-Input'!AB314="","",'RFQ-Input'!AB314)</f>
        <v/>
      </c>
    </row>
    <row r="316" spans="1:53">
      <c r="A316" s="20">
        <v>312</v>
      </c>
      <c r="B316" s="7"/>
      <c r="C316" s="7" t="str">
        <f>IF('RFQ-Input'!C315="","",'RFQ-Input'!C315)</f>
        <v/>
      </c>
      <c r="D316" s="7" t="str">
        <f>IF('RFQ-Input'!D315="","",'RFQ-Input'!D315)</f>
        <v/>
      </c>
      <c r="E316" s="7" t="str">
        <f>IF('RFQ-Input'!E315="","",'RFQ-Input'!E315)</f>
        <v/>
      </c>
      <c r="F316" s="7" t="str">
        <f>IF('RFQ-Input'!F315="","",'RFQ-Input'!F315)</f>
        <v/>
      </c>
      <c r="G316" s="7" t="str">
        <f>IF('RFQ-Input'!G315="","",'RFQ-Input'!G315)</f>
        <v/>
      </c>
      <c r="H316" s="7" t="str">
        <f>IF('RFQ-Input'!H315="","",'RFQ-Input'!H315)</f>
        <v/>
      </c>
      <c r="I316" s="7" t="str">
        <f>IF('RFQ-Input'!I315="","",'RFQ-Input'!I315)</f>
        <v/>
      </c>
      <c r="J316" s="7" t="str">
        <f>IF('RFQ-Input'!J315="","",'RFQ-Input'!J315)</f>
        <v/>
      </c>
      <c r="K316" s="7" t="str">
        <f>IF('RFQ-Input'!K315="","",'RFQ-Input'!K315)</f>
        <v/>
      </c>
      <c r="L316" s="7" t="str">
        <f>IF('RFQ-Input'!L315="","",'RFQ-Input'!L315)</f>
        <v/>
      </c>
      <c r="M316" s="7" t="str">
        <f>IF('RFQ-Input'!M315="","",'RFQ-Input'!M315)</f>
        <v/>
      </c>
      <c r="N316" s="7" t="str">
        <f>IF('RFQ-Input'!N315="","",'RFQ-Input'!N315)</f>
        <v/>
      </c>
      <c r="O316" s="7" t="str">
        <f>IF('RFQ-Input'!O315="","",'RFQ-Input'!O315)</f>
        <v/>
      </c>
      <c r="Q316" s="7"/>
      <c r="R316" s="7"/>
      <c r="S316" s="7"/>
      <c r="T316" s="7"/>
      <c r="U316" s="7"/>
      <c r="V316" s="7"/>
      <c r="X316" s="7"/>
      <c r="Y316" s="7"/>
      <c r="Z316" s="7"/>
      <c r="AA316" s="7" t="str">
        <f t="shared" si="28"/>
        <v/>
      </c>
      <c r="AB316" s="7"/>
      <c r="AC316" s="7"/>
      <c r="AQ316" s="7" t="str">
        <f t="shared" si="29"/>
        <v/>
      </c>
      <c r="AR316" s="7" t="str">
        <f t="shared" si="30"/>
        <v/>
      </c>
      <c r="AS316" s="7" t="str">
        <f t="shared" si="31"/>
        <v/>
      </c>
      <c r="AT316" s="7" t="str">
        <f t="shared" si="32"/>
        <v/>
      </c>
      <c r="AU316" s="7" t="str">
        <f t="shared" si="33"/>
        <v/>
      </c>
      <c r="AV316" s="7" t="str">
        <f t="shared" si="34"/>
        <v/>
      </c>
      <c r="AW316" s="7" t="str">
        <f>IF('RFQ-Input'!O315="","",'RFQ-Input'!O315)</f>
        <v/>
      </c>
      <c r="AX316" s="7" t="str">
        <f>IF('RFQ-Input'!S315="","",'RFQ-Input'!S315)</f>
        <v/>
      </c>
      <c r="AY316" s="7" t="str">
        <f>IF('RFQ-Input'!V315="","",'RFQ-Input'!V315)</f>
        <v/>
      </c>
      <c r="AZ316" s="7" t="str">
        <f>IF('RFQ-Input'!Y315="","",'RFQ-Input'!Y315)</f>
        <v/>
      </c>
      <c r="BA316" s="7" t="str">
        <f>IF('RFQ-Input'!AB315="","",'RFQ-Input'!AB315)</f>
        <v/>
      </c>
    </row>
    <row r="317" spans="1:53">
      <c r="A317" s="20">
        <v>313</v>
      </c>
      <c r="B317" s="7"/>
      <c r="C317" s="7" t="str">
        <f>IF('RFQ-Input'!C316="","",'RFQ-Input'!C316)</f>
        <v/>
      </c>
      <c r="D317" s="7" t="str">
        <f>IF('RFQ-Input'!D316="","",'RFQ-Input'!D316)</f>
        <v/>
      </c>
      <c r="E317" s="7" t="str">
        <f>IF('RFQ-Input'!E316="","",'RFQ-Input'!E316)</f>
        <v/>
      </c>
      <c r="F317" s="7" t="str">
        <f>IF('RFQ-Input'!F316="","",'RFQ-Input'!F316)</f>
        <v/>
      </c>
      <c r="G317" s="7" t="str">
        <f>IF('RFQ-Input'!G316="","",'RFQ-Input'!G316)</f>
        <v/>
      </c>
      <c r="H317" s="7" t="str">
        <f>IF('RFQ-Input'!H316="","",'RFQ-Input'!H316)</f>
        <v/>
      </c>
      <c r="I317" s="7" t="str">
        <f>IF('RFQ-Input'!I316="","",'RFQ-Input'!I316)</f>
        <v/>
      </c>
      <c r="J317" s="7" t="str">
        <f>IF('RFQ-Input'!J316="","",'RFQ-Input'!J316)</f>
        <v/>
      </c>
      <c r="K317" s="7" t="str">
        <f>IF('RFQ-Input'!K316="","",'RFQ-Input'!K316)</f>
        <v/>
      </c>
      <c r="L317" s="7" t="str">
        <f>IF('RFQ-Input'!L316="","",'RFQ-Input'!L316)</f>
        <v/>
      </c>
      <c r="M317" s="7" t="str">
        <f>IF('RFQ-Input'!M316="","",'RFQ-Input'!M316)</f>
        <v/>
      </c>
      <c r="N317" s="7" t="str">
        <f>IF('RFQ-Input'!N316="","",'RFQ-Input'!N316)</f>
        <v/>
      </c>
      <c r="O317" s="7" t="str">
        <f>IF('RFQ-Input'!O316="","",'RFQ-Input'!O316)</f>
        <v/>
      </c>
      <c r="Q317" s="7"/>
      <c r="R317" s="7"/>
      <c r="S317" s="7"/>
      <c r="T317" s="7"/>
      <c r="U317" s="7"/>
      <c r="V317" s="7"/>
      <c r="X317" s="7"/>
      <c r="Y317" s="7"/>
      <c r="Z317" s="7"/>
      <c r="AA317" s="7" t="str">
        <f t="shared" si="28"/>
        <v/>
      </c>
      <c r="AB317" s="7"/>
      <c r="AC317" s="7"/>
      <c r="AQ317" s="7" t="str">
        <f t="shared" si="29"/>
        <v/>
      </c>
      <c r="AR317" s="7" t="str">
        <f t="shared" si="30"/>
        <v/>
      </c>
      <c r="AS317" s="7" t="str">
        <f t="shared" si="31"/>
        <v/>
      </c>
      <c r="AT317" s="7" t="str">
        <f t="shared" si="32"/>
        <v/>
      </c>
      <c r="AU317" s="7" t="str">
        <f t="shared" si="33"/>
        <v/>
      </c>
      <c r="AV317" s="7" t="str">
        <f t="shared" si="34"/>
        <v/>
      </c>
      <c r="AW317" s="7" t="str">
        <f>IF('RFQ-Input'!O316="","",'RFQ-Input'!O316)</f>
        <v/>
      </c>
      <c r="AX317" s="7" t="str">
        <f>IF('RFQ-Input'!S316="","",'RFQ-Input'!S316)</f>
        <v/>
      </c>
      <c r="AY317" s="7" t="str">
        <f>IF('RFQ-Input'!V316="","",'RFQ-Input'!V316)</f>
        <v/>
      </c>
      <c r="AZ317" s="7" t="str">
        <f>IF('RFQ-Input'!Y316="","",'RFQ-Input'!Y316)</f>
        <v/>
      </c>
      <c r="BA317" s="7" t="str">
        <f>IF('RFQ-Input'!AB316="","",'RFQ-Input'!AB316)</f>
        <v/>
      </c>
    </row>
    <row r="318" spans="1:53">
      <c r="A318" s="20">
        <v>314</v>
      </c>
      <c r="B318" s="7"/>
      <c r="C318" s="7" t="str">
        <f>IF('RFQ-Input'!C317="","",'RFQ-Input'!C317)</f>
        <v/>
      </c>
      <c r="D318" s="7" t="str">
        <f>IF('RFQ-Input'!D317="","",'RFQ-Input'!D317)</f>
        <v/>
      </c>
      <c r="E318" s="7" t="str">
        <f>IF('RFQ-Input'!E317="","",'RFQ-Input'!E317)</f>
        <v/>
      </c>
      <c r="F318" s="7" t="str">
        <f>IF('RFQ-Input'!F317="","",'RFQ-Input'!F317)</f>
        <v/>
      </c>
      <c r="G318" s="7" t="str">
        <f>IF('RFQ-Input'!G317="","",'RFQ-Input'!G317)</f>
        <v/>
      </c>
      <c r="H318" s="7" t="str">
        <f>IF('RFQ-Input'!H317="","",'RFQ-Input'!H317)</f>
        <v/>
      </c>
      <c r="I318" s="7" t="str">
        <f>IF('RFQ-Input'!I317="","",'RFQ-Input'!I317)</f>
        <v/>
      </c>
      <c r="J318" s="7" t="str">
        <f>IF('RFQ-Input'!J317="","",'RFQ-Input'!J317)</f>
        <v/>
      </c>
      <c r="K318" s="7" t="str">
        <f>IF('RFQ-Input'!K317="","",'RFQ-Input'!K317)</f>
        <v/>
      </c>
      <c r="L318" s="7" t="str">
        <f>IF('RFQ-Input'!L317="","",'RFQ-Input'!L317)</f>
        <v/>
      </c>
      <c r="M318" s="7" t="str">
        <f>IF('RFQ-Input'!M317="","",'RFQ-Input'!M317)</f>
        <v/>
      </c>
      <c r="N318" s="7" t="str">
        <f>IF('RFQ-Input'!N317="","",'RFQ-Input'!N317)</f>
        <v/>
      </c>
      <c r="O318" s="7" t="str">
        <f>IF('RFQ-Input'!O317="","",'RFQ-Input'!O317)</f>
        <v/>
      </c>
      <c r="Q318" s="7"/>
      <c r="R318" s="7"/>
      <c r="S318" s="7"/>
      <c r="T318" s="7"/>
      <c r="U318" s="7"/>
      <c r="V318" s="7"/>
      <c r="X318" s="7"/>
      <c r="Y318" s="7"/>
      <c r="Z318" s="7"/>
      <c r="AA318" s="7" t="str">
        <f t="shared" si="28"/>
        <v/>
      </c>
      <c r="AB318" s="7"/>
      <c r="AC318" s="7"/>
      <c r="AQ318" s="7" t="str">
        <f t="shared" si="29"/>
        <v/>
      </c>
      <c r="AR318" s="7" t="str">
        <f t="shared" si="30"/>
        <v/>
      </c>
      <c r="AS318" s="7" t="str">
        <f t="shared" si="31"/>
        <v/>
      </c>
      <c r="AT318" s="7" t="str">
        <f t="shared" si="32"/>
        <v/>
      </c>
      <c r="AU318" s="7" t="str">
        <f t="shared" si="33"/>
        <v/>
      </c>
      <c r="AV318" s="7" t="str">
        <f t="shared" si="34"/>
        <v/>
      </c>
      <c r="AW318" s="7" t="str">
        <f>IF('RFQ-Input'!O317="","",'RFQ-Input'!O317)</f>
        <v/>
      </c>
      <c r="AX318" s="7" t="str">
        <f>IF('RFQ-Input'!S317="","",'RFQ-Input'!S317)</f>
        <v/>
      </c>
      <c r="AY318" s="7" t="str">
        <f>IF('RFQ-Input'!V317="","",'RFQ-Input'!V317)</f>
        <v/>
      </c>
      <c r="AZ318" s="7" t="str">
        <f>IF('RFQ-Input'!Y317="","",'RFQ-Input'!Y317)</f>
        <v/>
      </c>
      <c r="BA318" s="7" t="str">
        <f>IF('RFQ-Input'!AB317="","",'RFQ-Input'!AB317)</f>
        <v/>
      </c>
    </row>
    <row r="319" spans="1:53">
      <c r="A319" s="20">
        <v>315</v>
      </c>
      <c r="B319" s="7"/>
      <c r="C319" s="7" t="str">
        <f>IF('RFQ-Input'!C318="","",'RFQ-Input'!C318)</f>
        <v/>
      </c>
      <c r="D319" s="7" t="str">
        <f>IF('RFQ-Input'!D318="","",'RFQ-Input'!D318)</f>
        <v/>
      </c>
      <c r="E319" s="7" t="str">
        <f>IF('RFQ-Input'!E318="","",'RFQ-Input'!E318)</f>
        <v/>
      </c>
      <c r="F319" s="7" t="str">
        <f>IF('RFQ-Input'!F318="","",'RFQ-Input'!F318)</f>
        <v/>
      </c>
      <c r="G319" s="7" t="str">
        <f>IF('RFQ-Input'!G318="","",'RFQ-Input'!G318)</f>
        <v/>
      </c>
      <c r="H319" s="7" t="str">
        <f>IF('RFQ-Input'!H318="","",'RFQ-Input'!H318)</f>
        <v/>
      </c>
      <c r="I319" s="7" t="str">
        <f>IF('RFQ-Input'!I318="","",'RFQ-Input'!I318)</f>
        <v/>
      </c>
      <c r="J319" s="7" t="str">
        <f>IF('RFQ-Input'!J318="","",'RFQ-Input'!J318)</f>
        <v/>
      </c>
      <c r="K319" s="7" t="str">
        <f>IF('RFQ-Input'!K318="","",'RFQ-Input'!K318)</f>
        <v/>
      </c>
      <c r="L319" s="7" t="str">
        <f>IF('RFQ-Input'!L318="","",'RFQ-Input'!L318)</f>
        <v/>
      </c>
      <c r="M319" s="7" t="str">
        <f>IF('RFQ-Input'!M318="","",'RFQ-Input'!M318)</f>
        <v/>
      </c>
      <c r="N319" s="7" t="str">
        <f>IF('RFQ-Input'!N318="","",'RFQ-Input'!N318)</f>
        <v/>
      </c>
      <c r="O319" s="7" t="str">
        <f>IF('RFQ-Input'!O318="","",'RFQ-Input'!O318)</f>
        <v/>
      </c>
      <c r="Q319" s="7"/>
      <c r="R319" s="7"/>
      <c r="S319" s="7"/>
      <c r="T319" s="7"/>
      <c r="U319" s="7"/>
      <c r="V319" s="7"/>
      <c r="X319" s="7"/>
      <c r="Y319" s="7"/>
      <c r="Z319" s="7"/>
      <c r="AA319" s="7" t="str">
        <f t="shared" si="28"/>
        <v/>
      </c>
      <c r="AB319" s="7"/>
      <c r="AC319" s="7"/>
      <c r="AQ319" s="7" t="str">
        <f t="shared" si="29"/>
        <v/>
      </c>
      <c r="AR319" s="7" t="str">
        <f t="shared" si="30"/>
        <v/>
      </c>
      <c r="AS319" s="7" t="str">
        <f t="shared" si="31"/>
        <v/>
      </c>
      <c r="AT319" s="7" t="str">
        <f t="shared" si="32"/>
        <v/>
      </c>
      <c r="AU319" s="7" t="str">
        <f t="shared" si="33"/>
        <v/>
      </c>
      <c r="AV319" s="7" t="str">
        <f t="shared" si="34"/>
        <v/>
      </c>
      <c r="AW319" s="7" t="str">
        <f>IF('RFQ-Input'!O318="","",'RFQ-Input'!O318)</f>
        <v/>
      </c>
      <c r="AX319" s="7" t="str">
        <f>IF('RFQ-Input'!S318="","",'RFQ-Input'!S318)</f>
        <v/>
      </c>
      <c r="AY319" s="7" t="str">
        <f>IF('RFQ-Input'!V318="","",'RFQ-Input'!V318)</f>
        <v/>
      </c>
      <c r="AZ319" s="7" t="str">
        <f>IF('RFQ-Input'!Y318="","",'RFQ-Input'!Y318)</f>
        <v/>
      </c>
      <c r="BA319" s="7" t="str">
        <f>IF('RFQ-Input'!AB318="","",'RFQ-Input'!AB318)</f>
        <v/>
      </c>
    </row>
    <row r="320" spans="1:53">
      <c r="A320" s="20">
        <v>316</v>
      </c>
      <c r="B320" s="7"/>
      <c r="C320" s="7" t="str">
        <f>IF('RFQ-Input'!C319="","",'RFQ-Input'!C319)</f>
        <v/>
      </c>
      <c r="D320" s="7" t="str">
        <f>IF('RFQ-Input'!D319="","",'RFQ-Input'!D319)</f>
        <v/>
      </c>
      <c r="E320" s="7" t="str">
        <f>IF('RFQ-Input'!E319="","",'RFQ-Input'!E319)</f>
        <v/>
      </c>
      <c r="F320" s="7" t="str">
        <f>IF('RFQ-Input'!F319="","",'RFQ-Input'!F319)</f>
        <v/>
      </c>
      <c r="G320" s="7" t="str">
        <f>IF('RFQ-Input'!G319="","",'RFQ-Input'!G319)</f>
        <v/>
      </c>
      <c r="H320" s="7" t="str">
        <f>IF('RFQ-Input'!H319="","",'RFQ-Input'!H319)</f>
        <v/>
      </c>
      <c r="I320" s="7" t="str">
        <f>IF('RFQ-Input'!I319="","",'RFQ-Input'!I319)</f>
        <v/>
      </c>
      <c r="J320" s="7" t="str">
        <f>IF('RFQ-Input'!J319="","",'RFQ-Input'!J319)</f>
        <v/>
      </c>
      <c r="K320" s="7" t="str">
        <f>IF('RFQ-Input'!K319="","",'RFQ-Input'!K319)</f>
        <v/>
      </c>
      <c r="L320" s="7" t="str">
        <f>IF('RFQ-Input'!L319="","",'RFQ-Input'!L319)</f>
        <v/>
      </c>
      <c r="M320" s="7" t="str">
        <f>IF('RFQ-Input'!M319="","",'RFQ-Input'!M319)</f>
        <v/>
      </c>
      <c r="N320" s="7" t="str">
        <f>IF('RFQ-Input'!N319="","",'RFQ-Input'!N319)</f>
        <v/>
      </c>
      <c r="O320" s="7" t="str">
        <f>IF('RFQ-Input'!O319="","",'RFQ-Input'!O319)</f>
        <v/>
      </c>
      <c r="Q320" s="7"/>
      <c r="R320" s="7"/>
      <c r="S320" s="7"/>
      <c r="T320" s="7"/>
      <c r="U320" s="7"/>
      <c r="V320" s="7"/>
      <c r="X320" s="7"/>
      <c r="Y320" s="7"/>
      <c r="Z320" s="7"/>
      <c r="AA320" s="7" t="str">
        <f t="shared" si="28"/>
        <v/>
      </c>
      <c r="AB320" s="7"/>
      <c r="AC320" s="7"/>
      <c r="AQ320" s="7" t="str">
        <f t="shared" si="29"/>
        <v/>
      </c>
      <c r="AR320" s="7" t="str">
        <f t="shared" si="30"/>
        <v/>
      </c>
      <c r="AS320" s="7" t="str">
        <f t="shared" si="31"/>
        <v/>
      </c>
      <c r="AT320" s="7" t="str">
        <f t="shared" si="32"/>
        <v/>
      </c>
      <c r="AU320" s="7" t="str">
        <f t="shared" si="33"/>
        <v/>
      </c>
      <c r="AV320" s="7" t="str">
        <f t="shared" si="34"/>
        <v/>
      </c>
      <c r="AW320" s="7" t="str">
        <f>IF('RFQ-Input'!O319="","",'RFQ-Input'!O319)</f>
        <v/>
      </c>
      <c r="AX320" s="7" t="str">
        <f>IF('RFQ-Input'!S319="","",'RFQ-Input'!S319)</f>
        <v/>
      </c>
      <c r="AY320" s="7" t="str">
        <f>IF('RFQ-Input'!V319="","",'RFQ-Input'!V319)</f>
        <v/>
      </c>
      <c r="AZ320" s="7" t="str">
        <f>IF('RFQ-Input'!Y319="","",'RFQ-Input'!Y319)</f>
        <v/>
      </c>
      <c r="BA320" s="7" t="str">
        <f>IF('RFQ-Input'!AB319="","",'RFQ-Input'!AB319)</f>
        <v/>
      </c>
    </row>
    <row r="321" spans="1:53">
      <c r="A321" s="20">
        <v>317</v>
      </c>
      <c r="B321" s="7"/>
      <c r="C321" s="7" t="str">
        <f>IF('RFQ-Input'!C320="","",'RFQ-Input'!C320)</f>
        <v/>
      </c>
      <c r="D321" s="7" t="str">
        <f>IF('RFQ-Input'!D320="","",'RFQ-Input'!D320)</f>
        <v/>
      </c>
      <c r="E321" s="7" t="str">
        <f>IF('RFQ-Input'!E320="","",'RFQ-Input'!E320)</f>
        <v/>
      </c>
      <c r="F321" s="7" t="str">
        <f>IF('RFQ-Input'!F320="","",'RFQ-Input'!F320)</f>
        <v/>
      </c>
      <c r="G321" s="7" t="str">
        <f>IF('RFQ-Input'!G320="","",'RFQ-Input'!G320)</f>
        <v/>
      </c>
      <c r="H321" s="7" t="str">
        <f>IF('RFQ-Input'!H320="","",'RFQ-Input'!H320)</f>
        <v/>
      </c>
      <c r="I321" s="7" t="str">
        <f>IF('RFQ-Input'!I320="","",'RFQ-Input'!I320)</f>
        <v/>
      </c>
      <c r="J321" s="7" t="str">
        <f>IF('RFQ-Input'!J320="","",'RFQ-Input'!J320)</f>
        <v/>
      </c>
      <c r="K321" s="7" t="str">
        <f>IF('RFQ-Input'!K320="","",'RFQ-Input'!K320)</f>
        <v/>
      </c>
      <c r="L321" s="7" t="str">
        <f>IF('RFQ-Input'!L320="","",'RFQ-Input'!L320)</f>
        <v/>
      </c>
      <c r="M321" s="7" t="str">
        <f>IF('RFQ-Input'!M320="","",'RFQ-Input'!M320)</f>
        <v/>
      </c>
      <c r="N321" s="7" t="str">
        <f>IF('RFQ-Input'!N320="","",'RFQ-Input'!N320)</f>
        <v/>
      </c>
      <c r="O321" s="7" t="str">
        <f>IF('RFQ-Input'!O320="","",'RFQ-Input'!O320)</f>
        <v/>
      </c>
      <c r="Q321" s="7"/>
      <c r="R321" s="7"/>
      <c r="S321" s="7"/>
      <c r="T321" s="7"/>
      <c r="U321" s="7"/>
      <c r="V321" s="7"/>
      <c r="X321" s="7"/>
      <c r="Y321" s="7"/>
      <c r="Z321" s="7"/>
      <c r="AA321" s="7" t="str">
        <f t="shared" si="28"/>
        <v/>
      </c>
      <c r="AB321" s="7"/>
      <c r="AC321" s="7"/>
      <c r="AQ321" s="7" t="str">
        <f t="shared" si="29"/>
        <v/>
      </c>
      <c r="AR321" s="7" t="str">
        <f t="shared" si="30"/>
        <v/>
      </c>
      <c r="AS321" s="7" t="str">
        <f t="shared" si="31"/>
        <v/>
      </c>
      <c r="AT321" s="7" t="str">
        <f t="shared" si="32"/>
        <v/>
      </c>
      <c r="AU321" s="7" t="str">
        <f t="shared" si="33"/>
        <v/>
      </c>
      <c r="AV321" s="7" t="str">
        <f t="shared" si="34"/>
        <v/>
      </c>
      <c r="AW321" s="7" t="str">
        <f>IF('RFQ-Input'!O320="","",'RFQ-Input'!O320)</f>
        <v/>
      </c>
      <c r="AX321" s="7" t="str">
        <f>IF('RFQ-Input'!S320="","",'RFQ-Input'!S320)</f>
        <v/>
      </c>
      <c r="AY321" s="7" t="str">
        <f>IF('RFQ-Input'!V320="","",'RFQ-Input'!V320)</f>
        <v/>
      </c>
      <c r="AZ321" s="7" t="str">
        <f>IF('RFQ-Input'!Y320="","",'RFQ-Input'!Y320)</f>
        <v/>
      </c>
      <c r="BA321" s="7" t="str">
        <f>IF('RFQ-Input'!AB320="","",'RFQ-Input'!AB320)</f>
        <v/>
      </c>
    </row>
    <row r="322" spans="1:53">
      <c r="A322" s="20">
        <v>318</v>
      </c>
      <c r="B322" s="7"/>
      <c r="C322" s="7" t="str">
        <f>IF('RFQ-Input'!C321="","",'RFQ-Input'!C321)</f>
        <v/>
      </c>
      <c r="D322" s="7" t="str">
        <f>IF('RFQ-Input'!D321="","",'RFQ-Input'!D321)</f>
        <v/>
      </c>
      <c r="E322" s="7" t="str">
        <f>IF('RFQ-Input'!E321="","",'RFQ-Input'!E321)</f>
        <v/>
      </c>
      <c r="F322" s="7" t="str">
        <f>IF('RFQ-Input'!F321="","",'RFQ-Input'!F321)</f>
        <v/>
      </c>
      <c r="G322" s="7" t="str">
        <f>IF('RFQ-Input'!G321="","",'RFQ-Input'!G321)</f>
        <v/>
      </c>
      <c r="H322" s="7" t="str">
        <f>IF('RFQ-Input'!H321="","",'RFQ-Input'!H321)</f>
        <v/>
      </c>
      <c r="I322" s="7" t="str">
        <f>IF('RFQ-Input'!I321="","",'RFQ-Input'!I321)</f>
        <v/>
      </c>
      <c r="J322" s="7" t="str">
        <f>IF('RFQ-Input'!J321="","",'RFQ-Input'!J321)</f>
        <v/>
      </c>
      <c r="K322" s="7" t="str">
        <f>IF('RFQ-Input'!K321="","",'RFQ-Input'!K321)</f>
        <v/>
      </c>
      <c r="L322" s="7" t="str">
        <f>IF('RFQ-Input'!L321="","",'RFQ-Input'!L321)</f>
        <v/>
      </c>
      <c r="M322" s="7" t="str">
        <f>IF('RFQ-Input'!M321="","",'RFQ-Input'!M321)</f>
        <v/>
      </c>
      <c r="N322" s="7" t="str">
        <f>IF('RFQ-Input'!N321="","",'RFQ-Input'!N321)</f>
        <v/>
      </c>
      <c r="O322" s="7" t="str">
        <f>IF('RFQ-Input'!O321="","",'RFQ-Input'!O321)</f>
        <v/>
      </c>
      <c r="Q322" s="7"/>
      <c r="R322" s="7"/>
      <c r="S322" s="7"/>
      <c r="T322" s="7"/>
      <c r="U322" s="7"/>
      <c r="V322" s="7"/>
      <c r="X322" s="7"/>
      <c r="Y322" s="7"/>
      <c r="Z322" s="7"/>
      <c r="AA322" s="7" t="str">
        <f t="shared" si="28"/>
        <v/>
      </c>
      <c r="AB322" s="7"/>
      <c r="AC322" s="7"/>
      <c r="AQ322" s="7" t="str">
        <f t="shared" si="29"/>
        <v/>
      </c>
      <c r="AR322" s="7" t="str">
        <f t="shared" si="30"/>
        <v/>
      </c>
      <c r="AS322" s="7" t="str">
        <f t="shared" si="31"/>
        <v/>
      </c>
      <c r="AT322" s="7" t="str">
        <f t="shared" si="32"/>
        <v/>
      </c>
      <c r="AU322" s="7" t="str">
        <f t="shared" si="33"/>
        <v/>
      </c>
      <c r="AV322" s="7" t="str">
        <f t="shared" si="34"/>
        <v/>
      </c>
      <c r="AW322" s="7" t="str">
        <f>IF('RFQ-Input'!O321="","",'RFQ-Input'!O321)</f>
        <v/>
      </c>
      <c r="AX322" s="7" t="str">
        <f>IF('RFQ-Input'!S321="","",'RFQ-Input'!S321)</f>
        <v/>
      </c>
      <c r="AY322" s="7" t="str">
        <f>IF('RFQ-Input'!V321="","",'RFQ-Input'!V321)</f>
        <v/>
      </c>
      <c r="AZ322" s="7" t="str">
        <f>IF('RFQ-Input'!Y321="","",'RFQ-Input'!Y321)</f>
        <v/>
      </c>
      <c r="BA322" s="7" t="str">
        <f>IF('RFQ-Input'!AB321="","",'RFQ-Input'!AB321)</f>
        <v/>
      </c>
    </row>
    <row r="323" spans="1:53">
      <c r="A323" s="20">
        <v>319</v>
      </c>
      <c r="B323" s="7"/>
      <c r="C323" s="7" t="str">
        <f>IF('RFQ-Input'!C322="","",'RFQ-Input'!C322)</f>
        <v/>
      </c>
      <c r="D323" s="7" t="str">
        <f>IF('RFQ-Input'!D322="","",'RFQ-Input'!D322)</f>
        <v/>
      </c>
      <c r="E323" s="7" t="str">
        <f>IF('RFQ-Input'!E322="","",'RFQ-Input'!E322)</f>
        <v/>
      </c>
      <c r="F323" s="7" t="str">
        <f>IF('RFQ-Input'!F322="","",'RFQ-Input'!F322)</f>
        <v/>
      </c>
      <c r="G323" s="7" t="str">
        <f>IF('RFQ-Input'!G322="","",'RFQ-Input'!G322)</f>
        <v/>
      </c>
      <c r="H323" s="7" t="str">
        <f>IF('RFQ-Input'!H322="","",'RFQ-Input'!H322)</f>
        <v/>
      </c>
      <c r="I323" s="7" t="str">
        <f>IF('RFQ-Input'!I322="","",'RFQ-Input'!I322)</f>
        <v/>
      </c>
      <c r="J323" s="7" t="str">
        <f>IF('RFQ-Input'!J322="","",'RFQ-Input'!J322)</f>
        <v/>
      </c>
      <c r="K323" s="7" t="str">
        <f>IF('RFQ-Input'!K322="","",'RFQ-Input'!K322)</f>
        <v/>
      </c>
      <c r="L323" s="7" t="str">
        <f>IF('RFQ-Input'!L322="","",'RFQ-Input'!L322)</f>
        <v/>
      </c>
      <c r="M323" s="7" t="str">
        <f>IF('RFQ-Input'!M322="","",'RFQ-Input'!M322)</f>
        <v/>
      </c>
      <c r="N323" s="7" t="str">
        <f>IF('RFQ-Input'!N322="","",'RFQ-Input'!N322)</f>
        <v/>
      </c>
      <c r="O323" s="7" t="str">
        <f>IF('RFQ-Input'!O322="","",'RFQ-Input'!O322)</f>
        <v/>
      </c>
      <c r="Q323" s="7"/>
      <c r="R323" s="7"/>
      <c r="S323" s="7"/>
      <c r="T323" s="7"/>
      <c r="U323" s="7"/>
      <c r="V323" s="7"/>
      <c r="X323" s="7"/>
      <c r="Y323" s="7"/>
      <c r="Z323" s="7"/>
      <c r="AA323" s="7" t="str">
        <f t="shared" si="28"/>
        <v/>
      </c>
      <c r="AB323" s="7"/>
      <c r="AC323" s="7"/>
      <c r="AQ323" s="7" t="str">
        <f t="shared" si="29"/>
        <v/>
      </c>
      <c r="AR323" s="7" t="str">
        <f t="shared" si="30"/>
        <v/>
      </c>
      <c r="AS323" s="7" t="str">
        <f t="shared" si="31"/>
        <v/>
      </c>
      <c r="AT323" s="7" t="str">
        <f t="shared" si="32"/>
        <v/>
      </c>
      <c r="AU323" s="7" t="str">
        <f t="shared" si="33"/>
        <v/>
      </c>
      <c r="AV323" s="7" t="str">
        <f t="shared" si="34"/>
        <v/>
      </c>
      <c r="AW323" s="7" t="str">
        <f>IF('RFQ-Input'!O322="","",'RFQ-Input'!O322)</f>
        <v/>
      </c>
      <c r="AX323" s="7" t="str">
        <f>IF('RFQ-Input'!S322="","",'RFQ-Input'!S322)</f>
        <v/>
      </c>
      <c r="AY323" s="7" t="str">
        <f>IF('RFQ-Input'!V322="","",'RFQ-Input'!V322)</f>
        <v/>
      </c>
      <c r="AZ323" s="7" t="str">
        <f>IF('RFQ-Input'!Y322="","",'RFQ-Input'!Y322)</f>
        <v/>
      </c>
      <c r="BA323" s="7" t="str">
        <f>IF('RFQ-Input'!AB322="","",'RFQ-Input'!AB322)</f>
        <v/>
      </c>
    </row>
    <row r="324" spans="1:53">
      <c r="A324" s="20">
        <v>320</v>
      </c>
      <c r="B324" s="7"/>
      <c r="C324" s="7" t="str">
        <f>IF('RFQ-Input'!C323="","",'RFQ-Input'!C323)</f>
        <v/>
      </c>
      <c r="D324" s="7" t="str">
        <f>IF('RFQ-Input'!D323="","",'RFQ-Input'!D323)</f>
        <v/>
      </c>
      <c r="E324" s="7" t="str">
        <f>IF('RFQ-Input'!E323="","",'RFQ-Input'!E323)</f>
        <v/>
      </c>
      <c r="F324" s="7" t="str">
        <f>IF('RFQ-Input'!F323="","",'RFQ-Input'!F323)</f>
        <v/>
      </c>
      <c r="G324" s="7" t="str">
        <f>IF('RFQ-Input'!G323="","",'RFQ-Input'!G323)</f>
        <v/>
      </c>
      <c r="H324" s="7" t="str">
        <f>IF('RFQ-Input'!H323="","",'RFQ-Input'!H323)</f>
        <v/>
      </c>
      <c r="I324" s="7" t="str">
        <f>IF('RFQ-Input'!I323="","",'RFQ-Input'!I323)</f>
        <v/>
      </c>
      <c r="J324" s="7" t="str">
        <f>IF('RFQ-Input'!J323="","",'RFQ-Input'!J323)</f>
        <v/>
      </c>
      <c r="K324" s="7" t="str">
        <f>IF('RFQ-Input'!K323="","",'RFQ-Input'!K323)</f>
        <v/>
      </c>
      <c r="L324" s="7" t="str">
        <f>IF('RFQ-Input'!L323="","",'RFQ-Input'!L323)</f>
        <v/>
      </c>
      <c r="M324" s="7" t="str">
        <f>IF('RFQ-Input'!M323="","",'RFQ-Input'!M323)</f>
        <v/>
      </c>
      <c r="N324" s="7" t="str">
        <f>IF('RFQ-Input'!N323="","",'RFQ-Input'!N323)</f>
        <v/>
      </c>
      <c r="O324" s="7" t="str">
        <f>IF('RFQ-Input'!O323="","",'RFQ-Input'!O323)</f>
        <v/>
      </c>
      <c r="Q324" s="7"/>
      <c r="R324" s="7"/>
      <c r="S324" s="7"/>
      <c r="T324" s="7"/>
      <c r="U324" s="7"/>
      <c r="V324" s="7"/>
      <c r="X324" s="7"/>
      <c r="Y324" s="7"/>
      <c r="Z324" s="7"/>
      <c r="AA324" s="7" t="str">
        <f t="shared" si="28"/>
        <v/>
      </c>
      <c r="AB324" s="7"/>
      <c r="AC324" s="7"/>
      <c r="AQ324" s="7" t="str">
        <f t="shared" si="29"/>
        <v/>
      </c>
      <c r="AR324" s="7" t="str">
        <f t="shared" si="30"/>
        <v/>
      </c>
      <c r="AS324" s="7" t="str">
        <f t="shared" si="31"/>
        <v/>
      </c>
      <c r="AT324" s="7" t="str">
        <f t="shared" si="32"/>
        <v/>
      </c>
      <c r="AU324" s="7" t="str">
        <f t="shared" si="33"/>
        <v/>
      </c>
      <c r="AV324" s="7" t="str">
        <f t="shared" si="34"/>
        <v/>
      </c>
      <c r="AW324" s="7" t="str">
        <f>IF('RFQ-Input'!O323="","",'RFQ-Input'!O323)</f>
        <v/>
      </c>
      <c r="AX324" s="7" t="str">
        <f>IF('RFQ-Input'!S323="","",'RFQ-Input'!S323)</f>
        <v/>
      </c>
      <c r="AY324" s="7" t="str">
        <f>IF('RFQ-Input'!V323="","",'RFQ-Input'!V323)</f>
        <v/>
      </c>
      <c r="AZ324" s="7" t="str">
        <f>IF('RFQ-Input'!Y323="","",'RFQ-Input'!Y323)</f>
        <v/>
      </c>
      <c r="BA324" s="7" t="str">
        <f>IF('RFQ-Input'!AB323="","",'RFQ-Input'!AB323)</f>
        <v/>
      </c>
    </row>
    <row r="325" spans="1:53">
      <c r="A325" s="20">
        <v>321</v>
      </c>
      <c r="B325" s="7"/>
      <c r="C325" s="7" t="str">
        <f>IF('RFQ-Input'!C324="","",'RFQ-Input'!C324)</f>
        <v/>
      </c>
      <c r="D325" s="7" t="str">
        <f>IF('RFQ-Input'!D324="","",'RFQ-Input'!D324)</f>
        <v/>
      </c>
      <c r="E325" s="7" t="str">
        <f>IF('RFQ-Input'!E324="","",'RFQ-Input'!E324)</f>
        <v/>
      </c>
      <c r="F325" s="7" t="str">
        <f>IF('RFQ-Input'!F324="","",'RFQ-Input'!F324)</f>
        <v/>
      </c>
      <c r="G325" s="7" t="str">
        <f>IF('RFQ-Input'!G324="","",'RFQ-Input'!G324)</f>
        <v/>
      </c>
      <c r="H325" s="7" t="str">
        <f>IF('RFQ-Input'!H324="","",'RFQ-Input'!H324)</f>
        <v/>
      </c>
      <c r="I325" s="7" t="str">
        <f>IF('RFQ-Input'!I324="","",'RFQ-Input'!I324)</f>
        <v/>
      </c>
      <c r="J325" s="7" t="str">
        <f>IF('RFQ-Input'!J324="","",'RFQ-Input'!J324)</f>
        <v/>
      </c>
      <c r="K325" s="7" t="str">
        <f>IF('RFQ-Input'!K324="","",'RFQ-Input'!K324)</f>
        <v/>
      </c>
      <c r="L325" s="7" t="str">
        <f>IF('RFQ-Input'!L324="","",'RFQ-Input'!L324)</f>
        <v/>
      </c>
      <c r="M325" s="7" t="str">
        <f>IF('RFQ-Input'!M324="","",'RFQ-Input'!M324)</f>
        <v/>
      </c>
      <c r="N325" s="7" t="str">
        <f>IF('RFQ-Input'!N324="","",'RFQ-Input'!N324)</f>
        <v/>
      </c>
      <c r="O325" s="7" t="str">
        <f>IF('RFQ-Input'!O324="","",'RFQ-Input'!O324)</f>
        <v/>
      </c>
      <c r="Q325" s="7"/>
      <c r="R325" s="7"/>
      <c r="S325" s="7"/>
      <c r="T325" s="7"/>
      <c r="U325" s="7"/>
      <c r="V325" s="7"/>
      <c r="X325" s="7"/>
      <c r="Y325" s="7"/>
      <c r="Z325" s="7"/>
      <c r="AA325" s="7" t="str">
        <f t="shared" ref="AA325:AA388" si="35">IF(AND(L325="",Y325=""),"",L325)</f>
        <v/>
      </c>
      <c r="AB325" s="7"/>
      <c r="AC325" s="7"/>
      <c r="AQ325" s="7" t="str">
        <f t="shared" si="29"/>
        <v/>
      </c>
      <c r="AR325" s="7" t="str">
        <f t="shared" si="30"/>
        <v/>
      </c>
      <c r="AS325" s="7" t="str">
        <f t="shared" si="31"/>
        <v/>
      </c>
      <c r="AT325" s="7" t="str">
        <f t="shared" si="32"/>
        <v/>
      </c>
      <c r="AU325" s="7" t="str">
        <f t="shared" si="33"/>
        <v/>
      </c>
      <c r="AV325" s="7" t="str">
        <f t="shared" si="34"/>
        <v/>
      </c>
      <c r="AW325" s="7" t="str">
        <f>IF('RFQ-Input'!O324="","",'RFQ-Input'!O324)</f>
        <v/>
      </c>
      <c r="AX325" s="7" t="str">
        <f>IF('RFQ-Input'!S324="","",'RFQ-Input'!S324)</f>
        <v/>
      </c>
      <c r="AY325" s="7" t="str">
        <f>IF('RFQ-Input'!V324="","",'RFQ-Input'!V324)</f>
        <v/>
      </c>
      <c r="AZ325" s="7" t="str">
        <f>IF('RFQ-Input'!Y324="","",'RFQ-Input'!Y324)</f>
        <v/>
      </c>
      <c r="BA325" s="7" t="str">
        <f>IF('RFQ-Input'!AB324="","",'RFQ-Input'!AB324)</f>
        <v/>
      </c>
    </row>
    <row r="326" spans="1:53">
      <c r="A326" s="20">
        <v>322</v>
      </c>
      <c r="B326" s="7"/>
      <c r="C326" s="7" t="str">
        <f>IF('RFQ-Input'!C325="","",'RFQ-Input'!C325)</f>
        <v/>
      </c>
      <c r="D326" s="7" t="str">
        <f>IF('RFQ-Input'!D325="","",'RFQ-Input'!D325)</f>
        <v/>
      </c>
      <c r="E326" s="7" t="str">
        <f>IF('RFQ-Input'!E325="","",'RFQ-Input'!E325)</f>
        <v/>
      </c>
      <c r="F326" s="7" t="str">
        <f>IF('RFQ-Input'!F325="","",'RFQ-Input'!F325)</f>
        <v/>
      </c>
      <c r="G326" s="7" t="str">
        <f>IF('RFQ-Input'!G325="","",'RFQ-Input'!G325)</f>
        <v/>
      </c>
      <c r="H326" s="7" t="str">
        <f>IF('RFQ-Input'!H325="","",'RFQ-Input'!H325)</f>
        <v/>
      </c>
      <c r="I326" s="7" t="str">
        <f>IF('RFQ-Input'!I325="","",'RFQ-Input'!I325)</f>
        <v/>
      </c>
      <c r="J326" s="7" t="str">
        <f>IF('RFQ-Input'!J325="","",'RFQ-Input'!J325)</f>
        <v/>
      </c>
      <c r="K326" s="7" t="str">
        <f>IF('RFQ-Input'!K325="","",'RFQ-Input'!K325)</f>
        <v/>
      </c>
      <c r="L326" s="7" t="str">
        <f>IF('RFQ-Input'!L325="","",'RFQ-Input'!L325)</f>
        <v/>
      </c>
      <c r="M326" s="7" t="str">
        <f>IF('RFQ-Input'!M325="","",'RFQ-Input'!M325)</f>
        <v/>
      </c>
      <c r="N326" s="7" t="str">
        <f>IF('RFQ-Input'!N325="","",'RFQ-Input'!N325)</f>
        <v/>
      </c>
      <c r="O326" s="7" t="str">
        <f>IF('RFQ-Input'!O325="","",'RFQ-Input'!O325)</f>
        <v/>
      </c>
      <c r="Q326" s="7"/>
      <c r="R326" s="7"/>
      <c r="S326" s="7"/>
      <c r="T326" s="7"/>
      <c r="U326" s="7"/>
      <c r="V326" s="7"/>
      <c r="X326" s="7"/>
      <c r="Y326" s="7"/>
      <c r="Z326" s="7"/>
      <c r="AA326" s="7" t="str">
        <f t="shared" si="35"/>
        <v/>
      </c>
      <c r="AB326" s="7"/>
      <c r="AC326" s="7"/>
      <c r="AQ326" s="7" t="str">
        <f t="shared" ref="AQ326:AQ389" si="36">IFERROR(SMALL($AW326:$CT326,1),"")</f>
        <v/>
      </c>
      <c r="AR326" s="7" t="str">
        <f t="shared" ref="AR326:AR389" si="37">IF(AQ326="","",INDEX($AW$4:$CT$4,MATCH(AQ326,$AW326:$CT326,0)))</f>
        <v/>
      </c>
      <c r="AS326" s="7" t="str">
        <f t="shared" ref="AS326:AS389" si="38">IFERROR(SMALL($AW326:$CT326,2),"")</f>
        <v/>
      </c>
      <c r="AT326" s="7" t="str">
        <f t="shared" ref="AT326:AT389" si="39">IF(AS326="","",INDEX($AW$4:$CT$4,MATCH(AS326,$AW326:$CT326,0)))</f>
        <v/>
      </c>
      <c r="AU326" s="7" t="str">
        <f t="shared" ref="AU326:AU389" si="40">IFERROR(SMALL($AW326:$CT326,3),"")</f>
        <v/>
      </c>
      <c r="AV326" s="7" t="str">
        <f t="shared" ref="AV326:AV389" si="41">IF(AU326="","",INDEX($AW$4:$CT$4,MATCH(AU326,$AW326:$CT326,0)))</f>
        <v/>
      </c>
      <c r="AW326" s="7" t="str">
        <f>IF('RFQ-Input'!O325="","",'RFQ-Input'!O325)</f>
        <v/>
      </c>
      <c r="AX326" s="7" t="str">
        <f>IF('RFQ-Input'!S325="","",'RFQ-Input'!S325)</f>
        <v/>
      </c>
      <c r="AY326" s="7" t="str">
        <f>IF('RFQ-Input'!V325="","",'RFQ-Input'!V325)</f>
        <v/>
      </c>
      <c r="AZ326" s="7" t="str">
        <f>IF('RFQ-Input'!Y325="","",'RFQ-Input'!Y325)</f>
        <v/>
      </c>
      <c r="BA326" s="7" t="str">
        <f>IF('RFQ-Input'!AB325="","",'RFQ-Input'!AB325)</f>
        <v/>
      </c>
    </row>
    <row r="327" spans="1:53">
      <c r="A327" s="20">
        <v>323</v>
      </c>
      <c r="B327" s="7"/>
      <c r="C327" s="7" t="str">
        <f>IF('RFQ-Input'!C326="","",'RFQ-Input'!C326)</f>
        <v/>
      </c>
      <c r="D327" s="7" t="str">
        <f>IF('RFQ-Input'!D326="","",'RFQ-Input'!D326)</f>
        <v/>
      </c>
      <c r="E327" s="7" t="str">
        <f>IF('RFQ-Input'!E326="","",'RFQ-Input'!E326)</f>
        <v/>
      </c>
      <c r="F327" s="7" t="str">
        <f>IF('RFQ-Input'!F326="","",'RFQ-Input'!F326)</f>
        <v/>
      </c>
      <c r="G327" s="7" t="str">
        <f>IF('RFQ-Input'!G326="","",'RFQ-Input'!G326)</f>
        <v/>
      </c>
      <c r="H327" s="7" t="str">
        <f>IF('RFQ-Input'!H326="","",'RFQ-Input'!H326)</f>
        <v/>
      </c>
      <c r="I327" s="7" t="str">
        <f>IF('RFQ-Input'!I326="","",'RFQ-Input'!I326)</f>
        <v/>
      </c>
      <c r="J327" s="7" t="str">
        <f>IF('RFQ-Input'!J326="","",'RFQ-Input'!J326)</f>
        <v/>
      </c>
      <c r="K327" s="7" t="str">
        <f>IF('RFQ-Input'!K326="","",'RFQ-Input'!K326)</f>
        <v/>
      </c>
      <c r="L327" s="7" t="str">
        <f>IF('RFQ-Input'!L326="","",'RFQ-Input'!L326)</f>
        <v/>
      </c>
      <c r="M327" s="7" t="str">
        <f>IF('RFQ-Input'!M326="","",'RFQ-Input'!M326)</f>
        <v/>
      </c>
      <c r="N327" s="7" t="str">
        <f>IF('RFQ-Input'!N326="","",'RFQ-Input'!N326)</f>
        <v/>
      </c>
      <c r="O327" s="7" t="str">
        <f>IF('RFQ-Input'!O326="","",'RFQ-Input'!O326)</f>
        <v/>
      </c>
      <c r="Q327" s="7"/>
      <c r="R327" s="7"/>
      <c r="S327" s="7"/>
      <c r="T327" s="7"/>
      <c r="U327" s="7"/>
      <c r="V327" s="7"/>
      <c r="X327" s="7"/>
      <c r="Y327" s="7"/>
      <c r="Z327" s="7"/>
      <c r="AA327" s="7" t="str">
        <f t="shared" si="35"/>
        <v/>
      </c>
      <c r="AB327" s="7"/>
      <c r="AC327" s="7"/>
      <c r="AQ327" s="7" t="str">
        <f t="shared" si="36"/>
        <v/>
      </c>
      <c r="AR327" s="7" t="str">
        <f t="shared" si="37"/>
        <v/>
      </c>
      <c r="AS327" s="7" t="str">
        <f t="shared" si="38"/>
        <v/>
      </c>
      <c r="AT327" s="7" t="str">
        <f t="shared" si="39"/>
        <v/>
      </c>
      <c r="AU327" s="7" t="str">
        <f t="shared" si="40"/>
        <v/>
      </c>
      <c r="AV327" s="7" t="str">
        <f t="shared" si="41"/>
        <v/>
      </c>
      <c r="AW327" s="7" t="str">
        <f>IF('RFQ-Input'!O326="","",'RFQ-Input'!O326)</f>
        <v/>
      </c>
      <c r="AX327" s="7" t="str">
        <f>IF('RFQ-Input'!S326="","",'RFQ-Input'!S326)</f>
        <v/>
      </c>
      <c r="AY327" s="7" t="str">
        <f>IF('RFQ-Input'!V326="","",'RFQ-Input'!V326)</f>
        <v/>
      </c>
      <c r="AZ327" s="7" t="str">
        <f>IF('RFQ-Input'!Y326="","",'RFQ-Input'!Y326)</f>
        <v/>
      </c>
      <c r="BA327" s="7" t="str">
        <f>IF('RFQ-Input'!AB326="","",'RFQ-Input'!AB326)</f>
        <v/>
      </c>
    </row>
    <row r="328" spans="1:53">
      <c r="A328" s="20">
        <v>324</v>
      </c>
      <c r="B328" s="7"/>
      <c r="C328" s="7" t="str">
        <f>IF('RFQ-Input'!C327="","",'RFQ-Input'!C327)</f>
        <v/>
      </c>
      <c r="D328" s="7" t="str">
        <f>IF('RFQ-Input'!D327="","",'RFQ-Input'!D327)</f>
        <v/>
      </c>
      <c r="E328" s="7" t="str">
        <f>IF('RFQ-Input'!E327="","",'RFQ-Input'!E327)</f>
        <v/>
      </c>
      <c r="F328" s="7" t="str">
        <f>IF('RFQ-Input'!F327="","",'RFQ-Input'!F327)</f>
        <v/>
      </c>
      <c r="G328" s="7" t="str">
        <f>IF('RFQ-Input'!G327="","",'RFQ-Input'!G327)</f>
        <v/>
      </c>
      <c r="H328" s="7" t="str">
        <f>IF('RFQ-Input'!H327="","",'RFQ-Input'!H327)</f>
        <v/>
      </c>
      <c r="I328" s="7" t="str">
        <f>IF('RFQ-Input'!I327="","",'RFQ-Input'!I327)</f>
        <v/>
      </c>
      <c r="J328" s="7" t="str">
        <f>IF('RFQ-Input'!J327="","",'RFQ-Input'!J327)</f>
        <v/>
      </c>
      <c r="K328" s="7" t="str">
        <f>IF('RFQ-Input'!K327="","",'RFQ-Input'!K327)</f>
        <v/>
      </c>
      <c r="L328" s="7" t="str">
        <f>IF('RFQ-Input'!L327="","",'RFQ-Input'!L327)</f>
        <v/>
      </c>
      <c r="M328" s="7" t="str">
        <f>IF('RFQ-Input'!M327="","",'RFQ-Input'!M327)</f>
        <v/>
      </c>
      <c r="N328" s="7" t="str">
        <f>IF('RFQ-Input'!N327="","",'RFQ-Input'!N327)</f>
        <v/>
      </c>
      <c r="O328" s="7" t="str">
        <f>IF('RFQ-Input'!O327="","",'RFQ-Input'!O327)</f>
        <v/>
      </c>
      <c r="Q328" s="7"/>
      <c r="R328" s="7"/>
      <c r="S328" s="7"/>
      <c r="T328" s="7"/>
      <c r="U328" s="7"/>
      <c r="V328" s="7"/>
      <c r="X328" s="7"/>
      <c r="Y328" s="7"/>
      <c r="Z328" s="7"/>
      <c r="AA328" s="7" t="str">
        <f t="shared" si="35"/>
        <v/>
      </c>
      <c r="AB328" s="7"/>
      <c r="AC328" s="7"/>
      <c r="AQ328" s="7" t="str">
        <f t="shared" si="36"/>
        <v/>
      </c>
      <c r="AR328" s="7" t="str">
        <f t="shared" si="37"/>
        <v/>
      </c>
      <c r="AS328" s="7" t="str">
        <f t="shared" si="38"/>
        <v/>
      </c>
      <c r="AT328" s="7" t="str">
        <f t="shared" si="39"/>
        <v/>
      </c>
      <c r="AU328" s="7" t="str">
        <f t="shared" si="40"/>
        <v/>
      </c>
      <c r="AV328" s="7" t="str">
        <f t="shared" si="41"/>
        <v/>
      </c>
      <c r="AW328" s="7" t="str">
        <f>IF('RFQ-Input'!O327="","",'RFQ-Input'!O327)</f>
        <v/>
      </c>
      <c r="AX328" s="7" t="str">
        <f>IF('RFQ-Input'!S327="","",'RFQ-Input'!S327)</f>
        <v/>
      </c>
      <c r="AY328" s="7" t="str">
        <f>IF('RFQ-Input'!V327="","",'RFQ-Input'!V327)</f>
        <v/>
      </c>
      <c r="AZ328" s="7" t="str">
        <f>IF('RFQ-Input'!Y327="","",'RFQ-Input'!Y327)</f>
        <v/>
      </c>
      <c r="BA328" s="7" t="str">
        <f>IF('RFQ-Input'!AB327="","",'RFQ-Input'!AB327)</f>
        <v/>
      </c>
    </row>
    <row r="329" spans="1:53">
      <c r="A329" s="20">
        <v>325</v>
      </c>
      <c r="B329" s="7"/>
      <c r="C329" s="7" t="str">
        <f>IF('RFQ-Input'!C328="","",'RFQ-Input'!C328)</f>
        <v/>
      </c>
      <c r="D329" s="7" t="str">
        <f>IF('RFQ-Input'!D328="","",'RFQ-Input'!D328)</f>
        <v/>
      </c>
      <c r="E329" s="7" t="str">
        <f>IF('RFQ-Input'!E328="","",'RFQ-Input'!E328)</f>
        <v/>
      </c>
      <c r="F329" s="7" t="str">
        <f>IF('RFQ-Input'!F328="","",'RFQ-Input'!F328)</f>
        <v/>
      </c>
      <c r="G329" s="7" t="str">
        <f>IF('RFQ-Input'!G328="","",'RFQ-Input'!G328)</f>
        <v/>
      </c>
      <c r="H329" s="7" t="str">
        <f>IF('RFQ-Input'!H328="","",'RFQ-Input'!H328)</f>
        <v/>
      </c>
      <c r="I329" s="7" t="str">
        <f>IF('RFQ-Input'!I328="","",'RFQ-Input'!I328)</f>
        <v/>
      </c>
      <c r="J329" s="7" t="str">
        <f>IF('RFQ-Input'!J328="","",'RFQ-Input'!J328)</f>
        <v/>
      </c>
      <c r="K329" s="7" t="str">
        <f>IF('RFQ-Input'!K328="","",'RFQ-Input'!K328)</f>
        <v/>
      </c>
      <c r="L329" s="7" t="str">
        <f>IF('RFQ-Input'!L328="","",'RFQ-Input'!L328)</f>
        <v/>
      </c>
      <c r="M329" s="7" t="str">
        <f>IF('RFQ-Input'!M328="","",'RFQ-Input'!M328)</f>
        <v/>
      </c>
      <c r="N329" s="7" t="str">
        <f>IF('RFQ-Input'!N328="","",'RFQ-Input'!N328)</f>
        <v/>
      </c>
      <c r="O329" s="7" t="str">
        <f>IF('RFQ-Input'!O328="","",'RFQ-Input'!O328)</f>
        <v/>
      </c>
      <c r="Q329" s="7"/>
      <c r="R329" s="7"/>
      <c r="S329" s="7"/>
      <c r="T329" s="7"/>
      <c r="U329" s="7"/>
      <c r="V329" s="7"/>
      <c r="X329" s="7"/>
      <c r="Y329" s="7"/>
      <c r="Z329" s="7"/>
      <c r="AA329" s="7" t="str">
        <f t="shared" si="35"/>
        <v/>
      </c>
      <c r="AB329" s="7"/>
      <c r="AC329" s="7"/>
      <c r="AQ329" s="7" t="str">
        <f t="shared" si="36"/>
        <v/>
      </c>
      <c r="AR329" s="7" t="str">
        <f t="shared" si="37"/>
        <v/>
      </c>
      <c r="AS329" s="7" t="str">
        <f t="shared" si="38"/>
        <v/>
      </c>
      <c r="AT329" s="7" t="str">
        <f t="shared" si="39"/>
        <v/>
      </c>
      <c r="AU329" s="7" t="str">
        <f t="shared" si="40"/>
        <v/>
      </c>
      <c r="AV329" s="7" t="str">
        <f t="shared" si="41"/>
        <v/>
      </c>
      <c r="AW329" s="7" t="str">
        <f>IF('RFQ-Input'!O328="","",'RFQ-Input'!O328)</f>
        <v/>
      </c>
      <c r="AX329" s="7" t="str">
        <f>IF('RFQ-Input'!S328="","",'RFQ-Input'!S328)</f>
        <v/>
      </c>
      <c r="AY329" s="7" t="str">
        <f>IF('RFQ-Input'!V328="","",'RFQ-Input'!V328)</f>
        <v/>
      </c>
      <c r="AZ329" s="7" t="str">
        <f>IF('RFQ-Input'!Y328="","",'RFQ-Input'!Y328)</f>
        <v/>
      </c>
      <c r="BA329" s="7" t="str">
        <f>IF('RFQ-Input'!AB328="","",'RFQ-Input'!AB328)</f>
        <v/>
      </c>
    </row>
    <row r="330" spans="1:53">
      <c r="A330" s="20">
        <v>326</v>
      </c>
      <c r="B330" s="7"/>
      <c r="C330" s="7" t="str">
        <f>IF('RFQ-Input'!C329="","",'RFQ-Input'!C329)</f>
        <v/>
      </c>
      <c r="D330" s="7" t="str">
        <f>IF('RFQ-Input'!D329="","",'RFQ-Input'!D329)</f>
        <v/>
      </c>
      <c r="E330" s="7" t="str">
        <f>IF('RFQ-Input'!E329="","",'RFQ-Input'!E329)</f>
        <v/>
      </c>
      <c r="F330" s="7" t="str">
        <f>IF('RFQ-Input'!F329="","",'RFQ-Input'!F329)</f>
        <v/>
      </c>
      <c r="G330" s="7" t="str">
        <f>IF('RFQ-Input'!G329="","",'RFQ-Input'!G329)</f>
        <v/>
      </c>
      <c r="H330" s="7" t="str">
        <f>IF('RFQ-Input'!H329="","",'RFQ-Input'!H329)</f>
        <v/>
      </c>
      <c r="I330" s="7" t="str">
        <f>IF('RFQ-Input'!I329="","",'RFQ-Input'!I329)</f>
        <v/>
      </c>
      <c r="J330" s="7" t="str">
        <f>IF('RFQ-Input'!J329="","",'RFQ-Input'!J329)</f>
        <v/>
      </c>
      <c r="K330" s="7" t="str">
        <f>IF('RFQ-Input'!K329="","",'RFQ-Input'!K329)</f>
        <v/>
      </c>
      <c r="L330" s="7" t="str">
        <f>IF('RFQ-Input'!L329="","",'RFQ-Input'!L329)</f>
        <v/>
      </c>
      <c r="M330" s="7" t="str">
        <f>IF('RFQ-Input'!M329="","",'RFQ-Input'!M329)</f>
        <v/>
      </c>
      <c r="N330" s="7" t="str">
        <f>IF('RFQ-Input'!N329="","",'RFQ-Input'!N329)</f>
        <v/>
      </c>
      <c r="O330" s="7" t="str">
        <f>IF('RFQ-Input'!O329="","",'RFQ-Input'!O329)</f>
        <v/>
      </c>
      <c r="Q330" s="7"/>
      <c r="R330" s="7"/>
      <c r="S330" s="7"/>
      <c r="T330" s="7"/>
      <c r="U330" s="7"/>
      <c r="V330" s="7"/>
      <c r="X330" s="7"/>
      <c r="Y330" s="7"/>
      <c r="Z330" s="7"/>
      <c r="AA330" s="7" t="str">
        <f t="shared" si="35"/>
        <v/>
      </c>
      <c r="AB330" s="7"/>
      <c r="AC330" s="7"/>
      <c r="AQ330" s="7" t="str">
        <f t="shared" si="36"/>
        <v/>
      </c>
      <c r="AR330" s="7" t="str">
        <f t="shared" si="37"/>
        <v/>
      </c>
      <c r="AS330" s="7" t="str">
        <f t="shared" si="38"/>
        <v/>
      </c>
      <c r="AT330" s="7" t="str">
        <f t="shared" si="39"/>
        <v/>
      </c>
      <c r="AU330" s="7" t="str">
        <f t="shared" si="40"/>
        <v/>
      </c>
      <c r="AV330" s="7" t="str">
        <f t="shared" si="41"/>
        <v/>
      </c>
      <c r="AW330" s="7" t="str">
        <f>IF('RFQ-Input'!O329="","",'RFQ-Input'!O329)</f>
        <v/>
      </c>
      <c r="AX330" s="7" t="str">
        <f>IF('RFQ-Input'!S329="","",'RFQ-Input'!S329)</f>
        <v/>
      </c>
      <c r="AY330" s="7" t="str">
        <f>IF('RFQ-Input'!V329="","",'RFQ-Input'!V329)</f>
        <v/>
      </c>
      <c r="AZ330" s="7" t="str">
        <f>IF('RFQ-Input'!Y329="","",'RFQ-Input'!Y329)</f>
        <v/>
      </c>
      <c r="BA330" s="7" t="str">
        <f>IF('RFQ-Input'!AB329="","",'RFQ-Input'!AB329)</f>
        <v/>
      </c>
    </row>
    <row r="331" spans="1:53">
      <c r="A331" s="20">
        <v>327</v>
      </c>
      <c r="B331" s="7"/>
      <c r="C331" s="7" t="str">
        <f>IF('RFQ-Input'!C330="","",'RFQ-Input'!C330)</f>
        <v/>
      </c>
      <c r="D331" s="7" t="str">
        <f>IF('RFQ-Input'!D330="","",'RFQ-Input'!D330)</f>
        <v/>
      </c>
      <c r="E331" s="7" t="str">
        <f>IF('RFQ-Input'!E330="","",'RFQ-Input'!E330)</f>
        <v/>
      </c>
      <c r="F331" s="7" t="str">
        <f>IF('RFQ-Input'!F330="","",'RFQ-Input'!F330)</f>
        <v/>
      </c>
      <c r="G331" s="7" t="str">
        <f>IF('RFQ-Input'!G330="","",'RFQ-Input'!G330)</f>
        <v/>
      </c>
      <c r="H331" s="7" t="str">
        <f>IF('RFQ-Input'!H330="","",'RFQ-Input'!H330)</f>
        <v/>
      </c>
      <c r="I331" s="7" t="str">
        <f>IF('RFQ-Input'!I330="","",'RFQ-Input'!I330)</f>
        <v/>
      </c>
      <c r="J331" s="7" t="str">
        <f>IF('RFQ-Input'!J330="","",'RFQ-Input'!J330)</f>
        <v/>
      </c>
      <c r="K331" s="7" t="str">
        <f>IF('RFQ-Input'!K330="","",'RFQ-Input'!K330)</f>
        <v/>
      </c>
      <c r="L331" s="7" t="str">
        <f>IF('RFQ-Input'!L330="","",'RFQ-Input'!L330)</f>
        <v/>
      </c>
      <c r="M331" s="7" t="str">
        <f>IF('RFQ-Input'!M330="","",'RFQ-Input'!M330)</f>
        <v/>
      </c>
      <c r="N331" s="7" t="str">
        <f>IF('RFQ-Input'!N330="","",'RFQ-Input'!N330)</f>
        <v/>
      </c>
      <c r="O331" s="7" t="str">
        <f>IF('RFQ-Input'!O330="","",'RFQ-Input'!O330)</f>
        <v/>
      </c>
      <c r="Q331" s="7"/>
      <c r="R331" s="7"/>
      <c r="S331" s="7"/>
      <c r="T331" s="7"/>
      <c r="U331" s="7"/>
      <c r="V331" s="7"/>
      <c r="X331" s="7"/>
      <c r="Y331" s="7"/>
      <c r="Z331" s="7"/>
      <c r="AA331" s="7" t="str">
        <f t="shared" si="35"/>
        <v/>
      </c>
      <c r="AB331" s="7"/>
      <c r="AC331" s="7"/>
      <c r="AQ331" s="7" t="str">
        <f t="shared" si="36"/>
        <v/>
      </c>
      <c r="AR331" s="7" t="str">
        <f t="shared" si="37"/>
        <v/>
      </c>
      <c r="AS331" s="7" t="str">
        <f t="shared" si="38"/>
        <v/>
      </c>
      <c r="AT331" s="7" t="str">
        <f t="shared" si="39"/>
        <v/>
      </c>
      <c r="AU331" s="7" t="str">
        <f t="shared" si="40"/>
        <v/>
      </c>
      <c r="AV331" s="7" t="str">
        <f t="shared" si="41"/>
        <v/>
      </c>
      <c r="AW331" s="7" t="str">
        <f>IF('RFQ-Input'!O330="","",'RFQ-Input'!O330)</f>
        <v/>
      </c>
      <c r="AX331" s="7" t="str">
        <f>IF('RFQ-Input'!S330="","",'RFQ-Input'!S330)</f>
        <v/>
      </c>
      <c r="AY331" s="7" t="str">
        <f>IF('RFQ-Input'!V330="","",'RFQ-Input'!V330)</f>
        <v/>
      </c>
      <c r="AZ331" s="7" t="str">
        <f>IF('RFQ-Input'!Y330="","",'RFQ-Input'!Y330)</f>
        <v/>
      </c>
      <c r="BA331" s="7" t="str">
        <f>IF('RFQ-Input'!AB330="","",'RFQ-Input'!AB330)</f>
        <v/>
      </c>
    </row>
    <row r="332" spans="1:53">
      <c r="A332" s="20">
        <v>328</v>
      </c>
      <c r="B332" s="7"/>
      <c r="C332" s="7" t="str">
        <f>IF('RFQ-Input'!C331="","",'RFQ-Input'!C331)</f>
        <v/>
      </c>
      <c r="D332" s="7" t="str">
        <f>IF('RFQ-Input'!D331="","",'RFQ-Input'!D331)</f>
        <v/>
      </c>
      <c r="E332" s="7" t="str">
        <f>IF('RFQ-Input'!E331="","",'RFQ-Input'!E331)</f>
        <v/>
      </c>
      <c r="F332" s="7" t="str">
        <f>IF('RFQ-Input'!F331="","",'RFQ-Input'!F331)</f>
        <v/>
      </c>
      <c r="G332" s="7" t="str">
        <f>IF('RFQ-Input'!G331="","",'RFQ-Input'!G331)</f>
        <v/>
      </c>
      <c r="H332" s="7" t="str">
        <f>IF('RFQ-Input'!H331="","",'RFQ-Input'!H331)</f>
        <v/>
      </c>
      <c r="I332" s="7" t="str">
        <f>IF('RFQ-Input'!I331="","",'RFQ-Input'!I331)</f>
        <v/>
      </c>
      <c r="J332" s="7" t="str">
        <f>IF('RFQ-Input'!J331="","",'RFQ-Input'!J331)</f>
        <v/>
      </c>
      <c r="K332" s="7" t="str">
        <f>IF('RFQ-Input'!K331="","",'RFQ-Input'!K331)</f>
        <v/>
      </c>
      <c r="L332" s="7" t="str">
        <f>IF('RFQ-Input'!L331="","",'RFQ-Input'!L331)</f>
        <v/>
      </c>
      <c r="M332" s="7" t="str">
        <f>IF('RFQ-Input'!M331="","",'RFQ-Input'!M331)</f>
        <v/>
      </c>
      <c r="N332" s="7" t="str">
        <f>IF('RFQ-Input'!N331="","",'RFQ-Input'!N331)</f>
        <v/>
      </c>
      <c r="O332" s="7" t="str">
        <f>IF('RFQ-Input'!O331="","",'RFQ-Input'!O331)</f>
        <v/>
      </c>
      <c r="Q332" s="7"/>
      <c r="R332" s="7"/>
      <c r="S332" s="7"/>
      <c r="T332" s="7"/>
      <c r="U332" s="7"/>
      <c r="V332" s="7"/>
      <c r="X332" s="7"/>
      <c r="Y332" s="7"/>
      <c r="Z332" s="7"/>
      <c r="AA332" s="7" t="str">
        <f t="shared" si="35"/>
        <v/>
      </c>
      <c r="AB332" s="7"/>
      <c r="AC332" s="7"/>
      <c r="AQ332" s="7" t="str">
        <f t="shared" si="36"/>
        <v/>
      </c>
      <c r="AR332" s="7" t="str">
        <f t="shared" si="37"/>
        <v/>
      </c>
      <c r="AS332" s="7" t="str">
        <f t="shared" si="38"/>
        <v/>
      </c>
      <c r="AT332" s="7" t="str">
        <f t="shared" si="39"/>
        <v/>
      </c>
      <c r="AU332" s="7" t="str">
        <f t="shared" si="40"/>
        <v/>
      </c>
      <c r="AV332" s="7" t="str">
        <f t="shared" si="41"/>
        <v/>
      </c>
      <c r="AW332" s="7" t="str">
        <f>IF('RFQ-Input'!O331="","",'RFQ-Input'!O331)</f>
        <v/>
      </c>
      <c r="AX332" s="7" t="str">
        <f>IF('RFQ-Input'!S331="","",'RFQ-Input'!S331)</f>
        <v/>
      </c>
      <c r="AY332" s="7" t="str">
        <f>IF('RFQ-Input'!V331="","",'RFQ-Input'!V331)</f>
        <v/>
      </c>
      <c r="AZ332" s="7" t="str">
        <f>IF('RFQ-Input'!Y331="","",'RFQ-Input'!Y331)</f>
        <v/>
      </c>
      <c r="BA332" s="7" t="str">
        <f>IF('RFQ-Input'!AB331="","",'RFQ-Input'!AB331)</f>
        <v/>
      </c>
    </row>
    <row r="333" spans="1:53">
      <c r="A333" s="20">
        <v>329</v>
      </c>
      <c r="B333" s="7"/>
      <c r="C333" s="7" t="str">
        <f>IF('RFQ-Input'!C332="","",'RFQ-Input'!C332)</f>
        <v/>
      </c>
      <c r="D333" s="7" t="str">
        <f>IF('RFQ-Input'!D332="","",'RFQ-Input'!D332)</f>
        <v/>
      </c>
      <c r="E333" s="7" t="str">
        <f>IF('RFQ-Input'!E332="","",'RFQ-Input'!E332)</f>
        <v/>
      </c>
      <c r="F333" s="7" t="str">
        <f>IF('RFQ-Input'!F332="","",'RFQ-Input'!F332)</f>
        <v/>
      </c>
      <c r="G333" s="7" t="str">
        <f>IF('RFQ-Input'!G332="","",'RFQ-Input'!G332)</f>
        <v/>
      </c>
      <c r="H333" s="7" t="str">
        <f>IF('RFQ-Input'!H332="","",'RFQ-Input'!H332)</f>
        <v/>
      </c>
      <c r="I333" s="7" t="str">
        <f>IF('RFQ-Input'!I332="","",'RFQ-Input'!I332)</f>
        <v/>
      </c>
      <c r="J333" s="7" t="str">
        <f>IF('RFQ-Input'!J332="","",'RFQ-Input'!J332)</f>
        <v/>
      </c>
      <c r="K333" s="7" t="str">
        <f>IF('RFQ-Input'!K332="","",'RFQ-Input'!K332)</f>
        <v/>
      </c>
      <c r="L333" s="7" t="str">
        <f>IF('RFQ-Input'!L332="","",'RFQ-Input'!L332)</f>
        <v/>
      </c>
      <c r="M333" s="7" t="str">
        <f>IF('RFQ-Input'!M332="","",'RFQ-Input'!M332)</f>
        <v/>
      </c>
      <c r="N333" s="7" t="str">
        <f>IF('RFQ-Input'!N332="","",'RFQ-Input'!N332)</f>
        <v/>
      </c>
      <c r="O333" s="7" t="str">
        <f>IF('RFQ-Input'!O332="","",'RFQ-Input'!O332)</f>
        <v/>
      </c>
      <c r="Q333" s="7"/>
      <c r="R333" s="7"/>
      <c r="S333" s="7"/>
      <c r="T333" s="7"/>
      <c r="U333" s="7"/>
      <c r="V333" s="7"/>
      <c r="X333" s="7"/>
      <c r="Y333" s="7"/>
      <c r="Z333" s="7"/>
      <c r="AA333" s="7" t="str">
        <f t="shared" si="35"/>
        <v/>
      </c>
      <c r="AB333" s="7"/>
      <c r="AC333" s="7"/>
      <c r="AQ333" s="7" t="str">
        <f t="shared" si="36"/>
        <v/>
      </c>
      <c r="AR333" s="7" t="str">
        <f t="shared" si="37"/>
        <v/>
      </c>
      <c r="AS333" s="7" t="str">
        <f t="shared" si="38"/>
        <v/>
      </c>
      <c r="AT333" s="7" t="str">
        <f t="shared" si="39"/>
        <v/>
      </c>
      <c r="AU333" s="7" t="str">
        <f t="shared" si="40"/>
        <v/>
      </c>
      <c r="AV333" s="7" t="str">
        <f t="shared" si="41"/>
        <v/>
      </c>
      <c r="AW333" s="7" t="str">
        <f>IF('RFQ-Input'!O332="","",'RFQ-Input'!O332)</f>
        <v/>
      </c>
      <c r="AX333" s="7" t="str">
        <f>IF('RFQ-Input'!S332="","",'RFQ-Input'!S332)</f>
        <v/>
      </c>
      <c r="AY333" s="7" t="str">
        <f>IF('RFQ-Input'!V332="","",'RFQ-Input'!V332)</f>
        <v/>
      </c>
      <c r="AZ333" s="7" t="str">
        <f>IF('RFQ-Input'!Y332="","",'RFQ-Input'!Y332)</f>
        <v/>
      </c>
      <c r="BA333" s="7" t="str">
        <f>IF('RFQ-Input'!AB332="","",'RFQ-Input'!AB332)</f>
        <v/>
      </c>
    </row>
    <row r="334" spans="1:53">
      <c r="A334" s="20">
        <v>330</v>
      </c>
      <c r="B334" s="7"/>
      <c r="C334" s="7" t="str">
        <f>IF('RFQ-Input'!C333="","",'RFQ-Input'!C333)</f>
        <v/>
      </c>
      <c r="D334" s="7" t="str">
        <f>IF('RFQ-Input'!D333="","",'RFQ-Input'!D333)</f>
        <v/>
      </c>
      <c r="E334" s="7" t="str">
        <f>IF('RFQ-Input'!E333="","",'RFQ-Input'!E333)</f>
        <v/>
      </c>
      <c r="F334" s="7" t="str">
        <f>IF('RFQ-Input'!F333="","",'RFQ-Input'!F333)</f>
        <v/>
      </c>
      <c r="G334" s="7" t="str">
        <f>IF('RFQ-Input'!G333="","",'RFQ-Input'!G333)</f>
        <v/>
      </c>
      <c r="H334" s="7" t="str">
        <f>IF('RFQ-Input'!H333="","",'RFQ-Input'!H333)</f>
        <v/>
      </c>
      <c r="I334" s="7" t="str">
        <f>IF('RFQ-Input'!I333="","",'RFQ-Input'!I333)</f>
        <v/>
      </c>
      <c r="J334" s="7" t="str">
        <f>IF('RFQ-Input'!J333="","",'RFQ-Input'!J333)</f>
        <v/>
      </c>
      <c r="K334" s="7" t="str">
        <f>IF('RFQ-Input'!K333="","",'RFQ-Input'!K333)</f>
        <v/>
      </c>
      <c r="L334" s="7" t="str">
        <f>IF('RFQ-Input'!L333="","",'RFQ-Input'!L333)</f>
        <v/>
      </c>
      <c r="M334" s="7" t="str">
        <f>IF('RFQ-Input'!M333="","",'RFQ-Input'!M333)</f>
        <v/>
      </c>
      <c r="N334" s="7" t="str">
        <f>IF('RFQ-Input'!N333="","",'RFQ-Input'!N333)</f>
        <v/>
      </c>
      <c r="O334" s="7" t="str">
        <f>IF('RFQ-Input'!O333="","",'RFQ-Input'!O333)</f>
        <v/>
      </c>
      <c r="Q334" s="7"/>
      <c r="R334" s="7"/>
      <c r="S334" s="7"/>
      <c r="T334" s="7"/>
      <c r="U334" s="7"/>
      <c r="V334" s="7"/>
      <c r="X334" s="7"/>
      <c r="Y334" s="7"/>
      <c r="Z334" s="7"/>
      <c r="AA334" s="7" t="str">
        <f t="shared" si="35"/>
        <v/>
      </c>
      <c r="AB334" s="7"/>
      <c r="AC334" s="7"/>
      <c r="AQ334" s="7" t="str">
        <f t="shared" si="36"/>
        <v/>
      </c>
      <c r="AR334" s="7" t="str">
        <f t="shared" si="37"/>
        <v/>
      </c>
      <c r="AS334" s="7" t="str">
        <f t="shared" si="38"/>
        <v/>
      </c>
      <c r="AT334" s="7" t="str">
        <f t="shared" si="39"/>
        <v/>
      </c>
      <c r="AU334" s="7" t="str">
        <f t="shared" si="40"/>
        <v/>
      </c>
      <c r="AV334" s="7" t="str">
        <f t="shared" si="41"/>
        <v/>
      </c>
      <c r="AW334" s="7" t="str">
        <f>IF('RFQ-Input'!O333="","",'RFQ-Input'!O333)</f>
        <v/>
      </c>
      <c r="AX334" s="7" t="str">
        <f>IF('RFQ-Input'!S333="","",'RFQ-Input'!S333)</f>
        <v/>
      </c>
      <c r="AY334" s="7" t="str">
        <f>IF('RFQ-Input'!V333="","",'RFQ-Input'!V333)</f>
        <v/>
      </c>
      <c r="AZ334" s="7" t="str">
        <f>IF('RFQ-Input'!Y333="","",'RFQ-Input'!Y333)</f>
        <v/>
      </c>
      <c r="BA334" s="7" t="str">
        <f>IF('RFQ-Input'!AB333="","",'RFQ-Input'!AB333)</f>
        <v/>
      </c>
    </row>
    <row r="335" spans="1:53">
      <c r="A335" s="20">
        <v>331</v>
      </c>
      <c r="B335" s="7"/>
      <c r="C335" s="7" t="str">
        <f>IF('RFQ-Input'!C334="","",'RFQ-Input'!C334)</f>
        <v/>
      </c>
      <c r="D335" s="7" t="str">
        <f>IF('RFQ-Input'!D334="","",'RFQ-Input'!D334)</f>
        <v/>
      </c>
      <c r="E335" s="7" t="str">
        <f>IF('RFQ-Input'!E334="","",'RFQ-Input'!E334)</f>
        <v/>
      </c>
      <c r="F335" s="7" t="str">
        <f>IF('RFQ-Input'!F334="","",'RFQ-Input'!F334)</f>
        <v/>
      </c>
      <c r="G335" s="7" t="str">
        <f>IF('RFQ-Input'!G334="","",'RFQ-Input'!G334)</f>
        <v/>
      </c>
      <c r="H335" s="7" t="str">
        <f>IF('RFQ-Input'!H334="","",'RFQ-Input'!H334)</f>
        <v/>
      </c>
      <c r="I335" s="7" t="str">
        <f>IF('RFQ-Input'!I334="","",'RFQ-Input'!I334)</f>
        <v/>
      </c>
      <c r="J335" s="7" t="str">
        <f>IF('RFQ-Input'!J334="","",'RFQ-Input'!J334)</f>
        <v/>
      </c>
      <c r="K335" s="7" t="str">
        <f>IF('RFQ-Input'!K334="","",'RFQ-Input'!K334)</f>
        <v/>
      </c>
      <c r="L335" s="7" t="str">
        <f>IF('RFQ-Input'!L334="","",'RFQ-Input'!L334)</f>
        <v/>
      </c>
      <c r="M335" s="7" t="str">
        <f>IF('RFQ-Input'!M334="","",'RFQ-Input'!M334)</f>
        <v/>
      </c>
      <c r="N335" s="7" t="str">
        <f>IF('RFQ-Input'!N334="","",'RFQ-Input'!N334)</f>
        <v/>
      </c>
      <c r="O335" s="7" t="str">
        <f>IF('RFQ-Input'!O334="","",'RFQ-Input'!O334)</f>
        <v/>
      </c>
      <c r="Q335" s="7"/>
      <c r="R335" s="7"/>
      <c r="S335" s="7"/>
      <c r="T335" s="7"/>
      <c r="U335" s="7"/>
      <c r="V335" s="7"/>
      <c r="X335" s="7"/>
      <c r="Y335" s="7"/>
      <c r="Z335" s="7"/>
      <c r="AA335" s="7" t="str">
        <f t="shared" si="35"/>
        <v/>
      </c>
      <c r="AB335" s="7"/>
      <c r="AC335" s="7"/>
      <c r="AQ335" s="7" t="str">
        <f t="shared" si="36"/>
        <v/>
      </c>
      <c r="AR335" s="7" t="str">
        <f t="shared" si="37"/>
        <v/>
      </c>
      <c r="AS335" s="7" t="str">
        <f t="shared" si="38"/>
        <v/>
      </c>
      <c r="AT335" s="7" t="str">
        <f t="shared" si="39"/>
        <v/>
      </c>
      <c r="AU335" s="7" t="str">
        <f t="shared" si="40"/>
        <v/>
      </c>
      <c r="AV335" s="7" t="str">
        <f t="shared" si="41"/>
        <v/>
      </c>
      <c r="AW335" s="7" t="str">
        <f>IF('RFQ-Input'!O334="","",'RFQ-Input'!O334)</f>
        <v/>
      </c>
      <c r="AX335" s="7" t="str">
        <f>IF('RFQ-Input'!S334="","",'RFQ-Input'!S334)</f>
        <v/>
      </c>
      <c r="AY335" s="7" t="str">
        <f>IF('RFQ-Input'!V334="","",'RFQ-Input'!V334)</f>
        <v/>
      </c>
      <c r="AZ335" s="7" t="str">
        <f>IF('RFQ-Input'!Y334="","",'RFQ-Input'!Y334)</f>
        <v/>
      </c>
      <c r="BA335" s="7" t="str">
        <f>IF('RFQ-Input'!AB334="","",'RFQ-Input'!AB334)</f>
        <v/>
      </c>
    </row>
    <row r="336" spans="1:53">
      <c r="A336" s="20">
        <v>332</v>
      </c>
      <c r="B336" s="7"/>
      <c r="C336" s="7" t="str">
        <f>IF('RFQ-Input'!C335="","",'RFQ-Input'!C335)</f>
        <v/>
      </c>
      <c r="D336" s="7" t="str">
        <f>IF('RFQ-Input'!D335="","",'RFQ-Input'!D335)</f>
        <v/>
      </c>
      <c r="E336" s="7" t="str">
        <f>IF('RFQ-Input'!E335="","",'RFQ-Input'!E335)</f>
        <v/>
      </c>
      <c r="F336" s="7" t="str">
        <f>IF('RFQ-Input'!F335="","",'RFQ-Input'!F335)</f>
        <v/>
      </c>
      <c r="G336" s="7" t="str">
        <f>IF('RFQ-Input'!G335="","",'RFQ-Input'!G335)</f>
        <v/>
      </c>
      <c r="H336" s="7" t="str">
        <f>IF('RFQ-Input'!H335="","",'RFQ-Input'!H335)</f>
        <v/>
      </c>
      <c r="I336" s="7" t="str">
        <f>IF('RFQ-Input'!I335="","",'RFQ-Input'!I335)</f>
        <v/>
      </c>
      <c r="J336" s="7" t="str">
        <f>IF('RFQ-Input'!J335="","",'RFQ-Input'!J335)</f>
        <v/>
      </c>
      <c r="K336" s="7" t="str">
        <f>IF('RFQ-Input'!K335="","",'RFQ-Input'!K335)</f>
        <v/>
      </c>
      <c r="L336" s="7" t="str">
        <f>IF('RFQ-Input'!L335="","",'RFQ-Input'!L335)</f>
        <v/>
      </c>
      <c r="M336" s="7" t="str">
        <f>IF('RFQ-Input'!M335="","",'RFQ-Input'!M335)</f>
        <v/>
      </c>
      <c r="N336" s="7" t="str">
        <f>IF('RFQ-Input'!N335="","",'RFQ-Input'!N335)</f>
        <v/>
      </c>
      <c r="O336" s="7" t="str">
        <f>IF('RFQ-Input'!O335="","",'RFQ-Input'!O335)</f>
        <v/>
      </c>
      <c r="Q336" s="7"/>
      <c r="R336" s="7"/>
      <c r="S336" s="7"/>
      <c r="T336" s="7"/>
      <c r="U336" s="7"/>
      <c r="V336" s="7"/>
      <c r="X336" s="7"/>
      <c r="Y336" s="7"/>
      <c r="Z336" s="7"/>
      <c r="AA336" s="7" t="str">
        <f t="shared" si="35"/>
        <v/>
      </c>
      <c r="AB336" s="7"/>
      <c r="AC336" s="7"/>
      <c r="AQ336" s="7" t="str">
        <f t="shared" si="36"/>
        <v/>
      </c>
      <c r="AR336" s="7" t="str">
        <f t="shared" si="37"/>
        <v/>
      </c>
      <c r="AS336" s="7" t="str">
        <f t="shared" si="38"/>
        <v/>
      </c>
      <c r="AT336" s="7" t="str">
        <f t="shared" si="39"/>
        <v/>
      </c>
      <c r="AU336" s="7" t="str">
        <f t="shared" si="40"/>
        <v/>
      </c>
      <c r="AV336" s="7" t="str">
        <f t="shared" si="41"/>
        <v/>
      </c>
      <c r="AW336" s="7" t="str">
        <f>IF('RFQ-Input'!O335="","",'RFQ-Input'!O335)</f>
        <v/>
      </c>
      <c r="AX336" s="7" t="str">
        <f>IF('RFQ-Input'!S335="","",'RFQ-Input'!S335)</f>
        <v/>
      </c>
      <c r="AY336" s="7" t="str">
        <f>IF('RFQ-Input'!V335="","",'RFQ-Input'!V335)</f>
        <v/>
      </c>
      <c r="AZ336" s="7" t="str">
        <f>IF('RFQ-Input'!Y335="","",'RFQ-Input'!Y335)</f>
        <v/>
      </c>
      <c r="BA336" s="7" t="str">
        <f>IF('RFQ-Input'!AB335="","",'RFQ-Input'!AB335)</f>
        <v/>
      </c>
    </row>
    <row r="337" spans="1:53">
      <c r="A337" s="20">
        <v>333</v>
      </c>
      <c r="B337" s="7"/>
      <c r="C337" s="7" t="str">
        <f>IF('RFQ-Input'!C336="","",'RFQ-Input'!C336)</f>
        <v/>
      </c>
      <c r="D337" s="7" t="str">
        <f>IF('RFQ-Input'!D336="","",'RFQ-Input'!D336)</f>
        <v/>
      </c>
      <c r="E337" s="7" t="str">
        <f>IF('RFQ-Input'!E336="","",'RFQ-Input'!E336)</f>
        <v/>
      </c>
      <c r="F337" s="7" t="str">
        <f>IF('RFQ-Input'!F336="","",'RFQ-Input'!F336)</f>
        <v/>
      </c>
      <c r="G337" s="7" t="str">
        <f>IF('RFQ-Input'!G336="","",'RFQ-Input'!G336)</f>
        <v/>
      </c>
      <c r="H337" s="7" t="str">
        <f>IF('RFQ-Input'!H336="","",'RFQ-Input'!H336)</f>
        <v/>
      </c>
      <c r="I337" s="7" t="str">
        <f>IF('RFQ-Input'!I336="","",'RFQ-Input'!I336)</f>
        <v/>
      </c>
      <c r="J337" s="7" t="str">
        <f>IF('RFQ-Input'!J336="","",'RFQ-Input'!J336)</f>
        <v/>
      </c>
      <c r="K337" s="7" t="str">
        <f>IF('RFQ-Input'!K336="","",'RFQ-Input'!K336)</f>
        <v/>
      </c>
      <c r="L337" s="7" t="str">
        <f>IF('RFQ-Input'!L336="","",'RFQ-Input'!L336)</f>
        <v/>
      </c>
      <c r="M337" s="7" t="str">
        <f>IF('RFQ-Input'!M336="","",'RFQ-Input'!M336)</f>
        <v/>
      </c>
      <c r="N337" s="7" t="str">
        <f>IF('RFQ-Input'!N336="","",'RFQ-Input'!N336)</f>
        <v/>
      </c>
      <c r="O337" s="7" t="str">
        <f>IF('RFQ-Input'!O336="","",'RFQ-Input'!O336)</f>
        <v/>
      </c>
      <c r="Q337" s="7"/>
      <c r="R337" s="7"/>
      <c r="S337" s="7"/>
      <c r="T337" s="7"/>
      <c r="U337" s="7"/>
      <c r="V337" s="7"/>
      <c r="X337" s="7"/>
      <c r="Y337" s="7"/>
      <c r="Z337" s="7"/>
      <c r="AA337" s="7" t="str">
        <f t="shared" si="35"/>
        <v/>
      </c>
      <c r="AB337" s="7"/>
      <c r="AC337" s="7"/>
      <c r="AQ337" s="7" t="str">
        <f t="shared" si="36"/>
        <v/>
      </c>
      <c r="AR337" s="7" t="str">
        <f t="shared" si="37"/>
        <v/>
      </c>
      <c r="AS337" s="7" t="str">
        <f t="shared" si="38"/>
        <v/>
      </c>
      <c r="AT337" s="7" t="str">
        <f t="shared" si="39"/>
        <v/>
      </c>
      <c r="AU337" s="7" t="str">
        <f t="shared" si="40"/>
        <v/>
      </c>
      <c r="AV337" s="7" t="str">
        <f t="shared" si="41"/>
        <v/>
      </c>
      <c r="AW337" s="7" t="str">
        <f>IF('RFQ-Input'!O336="","",'RFQ-Input'!O336)</f>
        <v/>
      </c>
      <c r="AX337" s="7" t="str">
        <f>IF('RFQ-Input'!S336="","",'RFQ-Input'!S336)</f>
        <v/>
      </c>
      <c r="AY337" s="7" t="str">
        <f>IF('RFQ-Input'!V336="","",'RFQ-Input'!V336)</f>
        <v/>
      </c>
      <c r="AZ337" s="7" t="str">
        <f>IF('RFQ-Input'!Y336="","",'RFQ-Input'!Y336)</f>
        <v/>
      </c>
      <c r="BA337" s="7" t="str">
        <f>IF('RFQ-Input'!AB336="","",'RFQ-Input'!AB336)</f>
        <v/>
      </c>
    </row>
    <row r="338" spans="1:53">
      <c r="A338" s="20">
        <v>334</v>
      </c>
      <c r="B338" s="7"/>
      <c r="C338" s="7" t="str">
        <f>IF('RFQ-Input'!C337="","",'RFQ-Input'!C337)</f>
        <v/>
      </c>
      <c r="D338" s="7" t="str">
        <f>IF('RFQ-Input'!D337="","",'RFQ-Input'!D337)</f>
        <v/>
      </c>
      <c r="E338" s="7" t="str">
        <f>IF('RFQ-Input'!E337="","",'RFQ-Input'!E337)</f>
        <v/>
      </c>
      <c r="F338" s="7" t="str">
        <f>IF('RFQ-Input'!F337="","",'RFQ-Input'!F337)</f>
        <v/>
      </c>
      <c r="G338" s="7" t="str">
        <f>IF('RFQ-Input'!G337="","",'RFQ-Input'!G337)</f>
        <v/>
      </c>
      <c r="H338" s="7" t="str">
        <f>IF('RFQ-Input'!H337="","",'RFQ-Input'!H337)</f>
        <v/>
      </c>
      <c r="I338" s="7" t="str">
        <f>IF('RFQ-Input'!I337="","",'RFQ-Input'!I337)</f>
        <v/>
      </c>
      <c r="J338" s="7" t="str">
        <f>IF('RFQ-Input'!J337="","",'RFQ-Input'!J337)</f>
        <v/>
      </c>
      <c r="K338" s="7" t="str">
        <f>IF('RFQ-Input'!K337="","",'RFQ-Input'!K337)</f>
        <v/>
      </c>
      <c r="L338" s="7" t="str">
        <f>IF('RFQ-Input'!L337="","",'RFQ-Input'!L337)</f>
        <v/>
      </c>
      <c r="M338" s="7" t="str">
        <f>IF('RFQ-Input'!M337="","",'RFQ-Input'!M337)</f>
        <v/>
      </c>
      <c r="N338" s="7" t="str">
        <f>IF('RFQ-Input'!N337="","",'RFQ-Input'!N337)</f>
        <v/>
      </c>
      <c r="O338" s="7" t="str">
        <f>IF('RFQ-Input'!O337="","",'RFQ-Input'!O337)</f>
        <v/>
      </c>
      <c r="Q338" s="7"/>
      <c r="R338" s="7"/>
      <c r="S338" s="7"/>
      <c r="T338" s="7"/>
      <c r="U338" s="7"/>
      <c r="V338" s="7"/>
      <c r="X338" s="7"/>
      <c r="Y338" s="7"/>
      <c r="Z338" s="7"/>
      <c r="AA338" s="7" t="str">
        <f t="shared" si="35"/>
        <v/>
      </c>
      <c r="AB338" s="7"/>
      <c r="AC338" s="7"/>
      <c r="AQ338" s="7" t="str">
        <f t="shared" si="36"/>
        <v/>
      </c>
      <c r="AR338" s="7" t="str">
        <f t="shared" si="37"/>
        <v/>
      </c>
      <c r="AS338" s="7" t="str">
        <f t="shared" si="38"/>
        <v/>
      </c>
      <c r="AT338" s="7" t="str">
        <f t="shared" si="39"/>
        <v/>
      </c>
      <c r="AU338" s="7" t="str">
        <f t="shared" si="40"/>
        <v/>
      </c>
      <c r="AV338" s="7" t="str">
        <f t="shared" si="41"/>
        <v/>
      </c>
      <c r="AW338" s="7" t="str">
        <f>IF('RFQ-Input'!O337="","",'RFQ-Input'!O337)</f>
        <v/>
      </c>
      <c r="AX338" s="7" t="str">
        <f>IF('RFQ-Input'!S337="","",'RFQ-Input'!S337)</f>
        <v/>
      </c>
      <c r="AY338" s="7" t="str">
        <f>IF('RFQ-Input'!V337="","",'RFQ-Input'!V337)</f>
        <v/>
      </c>
      <c r="AZ338" s="7" t="str">
        <f>IF('RFQ-Input'!Y337="","",'RFQ-Input'!Y337)</f>
        <v/>
      </c>
      <c r="BA338" s="7" t="str">
        <f>IF('RFQ-Input'!AB337="","",'RFQ-Input'!AB337)</f>
        <v/>
      </c>
    </row>
    <row r="339" spans="1:53">
      <c r="A339" s="20">
        <v>335</v>
      </c>
      <c r="B339" s="7"/>
      <c r="C339" s="7" t="str">
        <f>IF('RFQ-Input'!C338="","",'RFQ-Input'!C338)</f>
        <v/>
      </c>
      <c r="D339" s="7" t="str">
        <f>IF('RFQ-Input'!D338="","",'RFQ-Input'!D338)</f>
        <v/>
      </c>
      <c r="E339" s="7" t="str">
        <f>IF('RFQ-Input'!E338="","",'RFQ-Input'!E338)</f>
        <v/>
      </c>
      <c r="F339" s="7" t="str">
        <f>IF('RFQ-Input'!F338="","",'RFQ-Input'!F338)</f>
        <v/>
      </c>
      <c r="G339" s="7" t="str">
        <f>IF('RFQ-Input'!G338="","",'RFQ-Input'!G338)</f>
        <v/>
      </c>
      <c r="H339" s="7" t="str">
        <f>IF('RFQ-Input'!H338="","",'RFQ-Input'!H338)</f>
        <v/>
      </c>
      <c r="I339" s="7" t="str">
        <f>IF('RFQ-Input'!I338="","",'RFQ-Input'!I338)</f>
        <v/>
      </c>
      <c r="J339" s="7" t="str">
        <f>IF('RFQ-Input'!J338="","",'RFQ-Input'!J338)</f>
        <v/>
      </c>
      <c r="K339" s="7" t="str">
        <f>IF('RFQ-Input'!K338="","",'RFQ-Input'!K338)</f>
        <v/>
      </c>
      <c r="L339" s="7" t="str">
        <f>IF('RFQ-Input'!L338="","",'RFQ-Input'!L338)</f>
        <v/>
      </c>
      <c r="M339" s="7" t="str">
        <f>IF('RFQ-Input'!M338="","",'RFQ-Input'!M338)</f>
        <v/>
      </c>
      <c r="N339" s="7" t="str">
        <f>IF('RFQ-Input'!N338="","",'RFQ-Input'!N338)</f>
        <v/>
      </c>
      <c r="O339" s="7" t="str">
        <f>IF('RFQ-Input'!O338="","",'RFQ-Input'!O338)</f>
        <v/>
      </c>
      <c r="Q339" s="7"/>
      <c r="R339" s="7"/>
      <c r="S339" s="7"/>
      <c r="T339" s="7"/>
      <c r="U339" s="7"/>
      <c r="V339" s="7"/>
      <c r="X339" s="7"/>
      <c r="Y339" s="7"/>
      <c r="Z339" s="7"/>
      <c r="AA339" s="7" t="str">
        <f t="shared" si="35"/>
        <v/>
      </c>
      <c r="AB339" s="7"/>
      <c r="AC339" s="7"/>
      <c r="AQ339" s="7" t="str">
        <f t="shared" si="36"/>
        <v/>
      </c>
      <c r="AR339" s="7" t="str">
        <f t="shared" si="37"/>
        <v/>
      </c>
      <c r="AS339" s="7" t="str">
        <f t="shared" si="38"/>
        <v/>
      </c>
      <c r="AT339" s="7" t="str">
        <f t="shared" si="39"/>
        <v/>
      </c>
      <c r="AU339" s="7" t="str">
        <f t="shared" si="40"/>
        <v/>
      </c>
      <c r="AV339" s="7" t="str">
        <f t="shared" si="41"/>
        <v/>
      </c>
      <c r="AW339" s="7" t="str">
        <f>IF('RFQ-Input'!O338="","",'RFQ-Input'!O338)</f>
        <v/>
      </c>
      <c r="AX339" s="7" t="str">
        <f>IF('RFQ-Input'!S338="","",'RFQ-Input'!S338)</f>
        <v/>
      </c>
      <c r="AY339" s="7" t="str">
        <f>IF('RFQ-Input'!V338="","",'RFQ-Input'!V338)</f>
        <v/>
      </c>
      <c r="AZ339" s="7" t="str">
        <f>IF('RFQ-Input'!Y338="","",'RFQ-Input'!Y338)</f>
        <v/>
      </c>
      <c r="BA339" s="7" t="str">
        <f>IF('RFQ-Input'!AB338="","",'RFQ-Input'!AB338)</f>
        <v/>
      </c>
    </row>
    <row r="340" spans="1:53">
      <c r="A340" s="20">
        <v>336</v>
      </c>
      <c r="B340" s="7"/>
      <c r="C340" s="7" t="str">
        <f>IF('RFQ-Input'!C339="","",'RFQ-Input'!C339)</f>
        <v/>
      </c>
      <c r="D340" s="7" t="str">
        <f>IF('RFQ-Input'!D339="","",'RFQ-Input'!D339)</f>
        <v/>
      </c>
      <c r="E340" s="7" t="str">
        <f>IF('RFQ-Input'!E339="","",'RFQ-Input'!E339)</f>
        <v/>
      </c>
      <c r="F340" s="7" t="str">
        <f>IF('RFQ-Input'!F339="","",'RFQ-Input'!F339)</f>
        <v/>
      </c>
      <c r="G340" s="7" t="str">
        <f>IF('RFQ-Input'!G339="","",'RFQ-Input'!G339)</f>
        <v/>
      </c>
      <c r="H340" s="7" t="str">
        <f>IF('RFQ-Input'!H339="","",'RFQ-Input'!H339)</f>
        <v/>
      </c>
      <c r="I340" s="7" t="str">
        <f>IF('RFQ-Input'!I339="","",'RFQ-Input'!I339)</f>
        <v/>
      </c>
      <c r="J340" s="7" t="str">
        <f>IF('RFQ-Input'!J339="","",'RFQ-Input'!J339)</f>
        <v/>
      </c>
      <c r="K340" s="7" t="str">
        <f>IF('RFQ-Input'!K339="","",'RFQ-Input'!K339)</f>
        <v/>
      </c>
      <c r="L340" s="7" t="str">
        <f>IF('RFQ-Input'!L339="","",'RFQ-Input'!L339)</f>
        <v/>
      </c>
      <c r="M340" s="7" t="str">
        <f>IF('RFQ-Input'!M339="","",'RFQ-Input'!M339)</f>
        <v/>
      </c>
      <c r="N340" s="7" t="str">
        <f>IF('RFQ-Input'!N339="","",'RFQ-Input'!N339)</f>
        <v/>
      </c>
      <c r="O340" s="7" t="str">
        <f>IF('RFQ-Input'!O339="","",'RFQ-Input'!O339)</f>
        <v/>
      </c>
      <c r="Q340" s="7"/>
      <c r="R340" s="7"/>
      <c r="S340" s="7"/>
      <c r="T340" s="7"/>
      <c r="U340" s="7"/>
      <c r="V340" s="7"/>
      <c r="X340" s="7"/>
      <c r="Y340" s="7"/>
      <c r="Z340" s="7"/>
      <c r="AA340" s="7" t="str">
        <f t="shared" si="35"/>
        <v/>
      </c>
      <c r="AB340" s="7"/>
      <c r="AC340" s="7"/>
      <c r="AQ340" s="7" t="str">
        <f t="shared" si="36"/>
        <v/>
      </c>
      <c r="AR340" s="7" t="str">
        <f t="shared" si="37"/>
        <v/>
      </c>
      <c r="AS340" s="7" t="str">
        <f t="shared" si="38"/>
        <v/>
      </c>
      <c r="AT340" s="7" t="str">
        <f t="shared" si="39"/>
        <v/>
      </c>
      <c r="AU340" s="7" t="str">
        <f t="shared" si="40"/>
        <v/>
      </c>
      <c r="AV340" s="7" t="str">
        <f t="shared" si="41"/>
        <v/>
      </c>
      <c r="AW340" s="7" t="str">
        <f>IF('RFQ-Input'!O339="","",'RFQ-Input'!O339)</f>
        <v/>
      </c>
      <c r="AX340" s="7" t="str">
        <f>IF('RFQ-Input'!S339="","",'RFQ-Input'!S339)</f>
        <v/>
      </c>
      <c r="AY340" s="7" t="str">
        <f>IF('RFQ-Input'!V339="","",'RFQ-Input'!V339)</f>
        <v/>
      </c>
      <c r="AZ340" s="7" t="str">
        <f>IF('RFQ-Input'!Y339="","",'RFQ-Input'!Y339)</f>
        <v/>
      </c>
      <c r="BA340" s="7" t="str">
        <f>IF('RFQ-Input'!AB339="","",'RFQ-Input'!AB339)</f>
        <v/>
      </c>
    </row>
    <row r="341" spans="1:53">
      <c r="A341" s="20">
        <v>337</v>
      </c>
      <c r="B341" s="7"/>
      <c r="C341" s="7" t="str">
        <f>IF('RFQ-Input'!C340="","",'RFQ-Input'!C340)</f>
        <v/>
      </c>
      <c r="D341" s="7" t="str">
        <f>IF('RFQ-Input'!D340="","",'RFQ-Input'!D340)</f>
        <v/>
      </c>
      <c r="E341" s="7" t="str">
        <f>IF('RFQ-Input'!E340="","",'RFQ-Input'!E340)</f>
        <v/>
      </c>
      <c r="F341" s="7" t="str">
        <f>IF('RFQ-Input'!F340="","",'RFQ-Input'!F340)</f>
        <v/>
      </c>
      <c r="G341" s="7" t="str">
        <f>IF('RFQ-Input'!G340="","",'RFQ-Input'!G340)</f>
        <v/>
      </c>
      <c r="H341" s="7" t="str">
        <f>IF('RFQ-Input'!H340="","",'RFQ-Input'!H340)</f>
        <v/>
      </c>
      <c r="I341" s="7" t="str">
        <f>IF('RFQ-Input'!I340="","",'RFQ-Input'!I340)</f>
        <v/>
      </c>
      <c r="J341" s="7" t="str">
        <f>IF('RFQ-Input'!J340="","",'RFQ-Input'!J340)</f>
        <v/>
      </c>
      <c r="K341" s="7" t="str">
        <f>IF('RFQ-Input'!K340="","",'RFQ-Input'!K340)</f>
        <v/>
      </c>
      <c r="L341" s="7" t="str">
        <f>IF('RFQ-Input'!L340="","",'RFQ-Input'!L340)</f>
        <v/>
      </c>
      <c r="M341" s="7" t="str">
        <f>IF('RFQ-Input'!M340="","",'RFQ-Input'!M340)</f>
        <v/>
      </c>
      <c r="N341" s="7" t="str">
        <f>IF('RFQ-Input'!N340="","",'RFQ-Input'!N340)</f>
        <v/>
      </c>
      <c r="O341" s="7" t="str">
        <f>IF('RFQ-Input'!O340="","",'RFQ-Input'!O340)</f>
        <v/>
      </c>
      <c r="Q341" s="7"/>
      <c r="R341" s="7"/>
      <c r="S341" s="7"/>
      <c r="T341" s="7"/>
      <c r="U341" s="7"/>
      <c r="V341" s="7"/>
      <c r="X341" s="7"/>
      <c r="Y341" s="7"/>
      <c r="Z341" s="7"/>
      <c r="AA341" s="7" t="str">
        <f t="shared" si="35"/>
        <v/>
      </c>
      <c r="AB341" s="7"/>
      <c r="AC341" s="7"/>
      <c r="AQ341" s="7" t="str">
        <f t="shared" si="36"/>
        <v/>
      </c>
      <c r="AR341" s="7" t="str">
        <f t="shared" si="37"/>
        <v/>
      </c>
      <c r="AS341" s="7" t="str">
        <f t="shared" si="38"/>
        <v/>
      </c>
      <c r="AT341" s="7" t="str">
        <f t="shared" si="39"/>
        <v/>
      </c>
      <c r="AU341" s="7" t="str">
        <f t="shared" si="40"/>
        <v/>
      </c>
      <c r="AV341" s="7" t="str">
        <f t="shared" si="41"/>
        <v/>
      </c>
      <c r="AW341" s="7" t="str">
        <f>IF('RFQ-Input'!O340="","",'RFQ-Input'!O340)</f>
        <v/>
      </c>
      <c r="AX341" s="7" t="str">
        <f>IF('RFQ-Input'!S340="","",'RFQ-Input'!S340)</f>
        <v/>
      </c>
      <c r="AY341" s="7" t="str">
        <f>IF('RFQ-Input'!V340="","",'RFQ-Input'!V340)</f>
        <v/>
      </c>
      <c r="AZ341" s="7" t="str">
        <f>IF('RFQ-Input'!Y340="","",'RFQ-Input'!Y340)</f>
        <v/>
      </c>
      <c r="BA341" s="7" t="str">
        <f>IF('RFQ-Input'!AB340="","",'RFQ-Input'!AB340)</f>
        <v/>
      </c>
    </row>
    <row r="342" spans="1:53">
      <c r="A342" s="20">
        <v>338</v>
      </c>
      <c r="B342" s="7"/>
      <c r="C342" s="7" t="str">
        <f>IF('RFQ-Input'!C341="","",'RFQ-Input'!C341)</f>
        <v/>
      </c>
      <c r="D342" s="7" t="str">
        <f>IF('RFQ-Input'!D341="","",'RFQ-Input'!D341)</f>
        <v/>
      </c>
      <c r="E342" s="7" t="str">
        <f>IF('RFQ-Input'!E341="","",'RFQ-Input'!E341)</f>
        <v/>
      </c>
      <c r="F342" s="7" t="str">
        <f>IF('RFQ-Input'!F341="","",'RFQ-Input'!F341)</f>
        <v/>
      </c>
      <c r="G342" s="7" t="str">
        <f>IF('RFQ-Input'!G341="","",'RFQ-Input'!G341)</f>
        <v/>
      </c>
      <c r="H342" s="7" t="str">
        <f>IF('RFQ-Input'!H341="","",'RFQ-Input'!H341)</f>
        <v/>
      </c>
      <c r="I342" s="7" t="str">
        <f>IF('RFQ-Input'!I341="","",'RFQ-Input'!I341)</f>
        <v/>
      </c>
      <c r="J342" s="7" t="str">
        <f>IF('RFQ-Input'!J341="","",'RFQ-Input'!J341)</f>
        <v/>
      </c>
      <c r="K342" s="7" t="str">
        <f>IF('RFQ-Input'!K341="","",'RFQ-Input'!K341)</f>
        <v/>
      </c>
      <c r="L342" s="7" t="str">
        <f>IF('RFQ-Input'!L341="","",'RFQ-Input'!L341)</f>
        <v/>
      </c>
      <c r="M342" s="7" t="str">
        <f>IF('RFQ-Input'!M341="","",'RFQ-Input'!M341)</f>
        <v/>
      </c>
      <c r="N342" s="7" t="str">
        <f>IF('RFQ-Input'!N341="","",'RFQ-Input'!N341)</f>
        <v/>
      </c>
      <c r="O342" s="7" t="str">
        <f>IF('RFQ-Input'!O341="","",'RFQ-Input'!O341)</f>
        <v/>
      </c>
      <c r="Q342" s="7"/>
      <c r="R342" s="7"/>
      <c r="S342" s="7"/>
      <c r="T342" s="7"/>
      <c r="U342" s="7"/>
      <c r="V342" s="7"/>
      <c r="X342" s="7"/>
      <c r="Y342" s="7"/>
      <c r="Z342" s="7"/>
      <c r="AA342" s="7" t="str">
        <f t="shared" si="35"/>
        <v/>
      </c>
      <c r="AB342" s="7"/>
      <c r="AC342" s="7"/>
      <c r="AQ342" s="7" t="str">
        <f t="shared" si="36"/>
        <v/>
      </c>
      <c r="AR342" s="7" t="str">
        <f t="shared" si="37"/>
        <v/>
      </c>
      <c r="AS342" s="7" t="str">
        <f t="shared" si="38"/>
        <v/>
      </c>
      <c r="AT342" s="7" t="str">
        <f t="shared" si="39"/>
        <v/>
      </c>
      <c r="AU342" s="7" t="str">
        <f t="shared" si="40"/>
        <v/>
      </c>
      <c r="AV342" s="7" t="str">
        <f t="shared" si="41"/>
        <v/>
      </c>
      <c r="AW342" s="7" t="str">
        <f>IF('RFQ-Input'!O341="","",'RFQ-Input'!O341)</f>
        <v/>
      </c>
      <c r="AX342" s="7" t="str">
        <f>IF('RFQ-Input'!S341="","",'RFQ-Input'!S341)</f>
        <v/>
      </c>
      <c r="AY342" s="7" t="str">
        <f>IF('RFQ-Input'!V341="","",'RFQ-Input'!V341)</f>
        <v/>
      </c>
      <c r="AZ342" s="7" t="str">
        <f>IF('RFQ-Input'!Y341="","",'RFQ-Input'!Y341)</f>
        <v/>
      </c>
      <c r="BA342" s="7" t="str">
        <f>IF('RFQ-Input'!AB341="","",'RFQ-Input'!AB341)</f>
        <v/>
      </c>
    </row>
    <row r="343" spans="1:53">
      <c r="A343" s="20">
        <v>339</v>
      </c>
      <c r="B343" s="7"/>
      <c r="C343" s="7" t="str">
        <f>IF('RFQ-Input'!C342="","",'RFQ-Input'!C342)</f>
        <v/>
      </c>
      <c r="D343" s="7" t="str">
        <f>IF('RFQ-Input'!D342="","",'RFQ-Input'!D342)</f>
        <v/>
      </c>
      <c r="E343" s="7" t="str">
        <f>IF('RFQ-Input'!E342="","",'RFQ-Input'!E342)</f>
        <v/>
      </c>
      <c r="F343" s="7" t="str">
        <f>IF('RFQ-Input'!F342="","",'RFQ-Input'!F342)</f>
        <v/>
      </c>
      <c r="G343" s="7" t="str">
        <f>IF('RFQ-Input'!G342="","",'RFQ-Input'!G342)</f>
        <v/>
      </c>
      <c r="H343" s="7" t="str">
        <f>IF('RFQ-Input'!H342="","",'RFQ-Input'!H342)</f>
        <v/>
      </c>
      <c r="I343" s="7" t="str">
        <f>IF('RFQ-Input'!I342="","",'RFQ-Input'!I342)</f>
        <v/>
      </c>
      <c r="J343" s="7" t="str">
        <f>IF('RFQ-Input'!J342="","",'RFQ-Input'!J342)</f>
        <v/>
      </c>
      <c r="K343" s="7" t="str">
        <f>IF('RFQ-Input'!K342="","",'RFQ-Input'!K342)</f>
        <v/>
      </c>
      <c r="L343" s="7" t="str">
        <f>IF('RFQ-Input'!L342="","",'RFQ-Input'!L342)</f>
        <v/>
      </c>
      <c r="M343" s="7" t="str">
        <f>IF('RFQ-Input'!M342="","",'RFQ-Input'!M342)</f>
        <v/>
      </c>
      <c r="N343" s="7" t="str">
        <f>IF('RFQ-Input'!N342="","",'RFQ-Input'!N342)</f>
        <v/>
      </c>
      <c r="O343" s="7" t="str">
        <f>IF('RFQ-Input'!O342="","",'RFQ-Input'!O342)</f>
        <v/>
      </c>
      <c r="Q343" s="7"/>
      <c r="R343" s="7"/>
      <c r="S343" s="7"/>
      <c r="T343" s="7"/>
      <c r="U343" s="7"/>
      <c r="V343" s="7"/>
      <c r="X343" s="7"/>
      <c r="Y343" s="7"/>
      <c r="Z343" s="7"/>
      <c r="AA343" s="7" t="str">
        <f t="shared" si="35"/>
        <v/>
      </c>
      <c r="AB343" s="7"/>
      <c r="AC343" s="7"/>
      <c r="AQ343" s="7" t="str">
        <f t="shared" si="36"/>
        <v/>
      </c>
      <c r="AR343" s="7" t="str">
        <f t="shared" si="37"/>
        <v/>
      </c>
      <c r="AS343" s="7" t="str">
        <f t="shared" si="38"/>
        <v/>
      </c>
      <c r="AT343" s="7" t="str">
        <f t="shared" si="39"/>
        <v/>
      </c>
      <c r="AU343" s="7" t="str">
        <f t="shared" si="40"/>
        <v/>
      </c>
      <c r="AV343" s="7" t="str">
        <f t="shared" si="41"/>
        <v/>
      </c>
      <c r="AW343" s="7" t="str">
        <f>IF('RFQ-Input'!O342="","",'RFQ-Input'!O342)</f>
        <v/>
      </c>
      <c r="AX343" s="7" t="str">
        <f>IF('RFQ-Input'!S342="","",'RFQ-Input'!S342)</f>
        <v/>
      </c>
      <c r="AY343" s="7" t="str">
        <f>IF('RFQ-Input'!V342="","",'RFQ-Input'!V342)</f>
        <v/>
      </c>
      <c r="AZ343" s="7" t="str">
        <f>IF('RFQ-Input'!Y342="","",'RFQ-Input'!Y342)</f>
        <v/>
      </c>
      <c r="BA343" s="7" t="str">
        <f>IF('RFQ-Input'!AB342="","",'RFQ-Input'!AB342)</f>
        <v/>
      </c>
    </row>
    <row r="344" spans="1:53">
      <c r="A344" s="20">
        <v>340</v>
      </c>
      <c r="B344" s="7"/>
      <c r="C344" s="7" t="str">
        <f>IF('RFQ-Input'!C343="","",'RFQ-Input'!C343)</f>
        <v/>
      </c>
      <c r="D344" s="7" t="str">
        <f>IF('RFQ-Input'!D343="","",'RFQ-Input'!D343)</f>
        <v/>
      </c>
      <c r="E344" s="7" t="str">
        <f>IF('RFQ-Input'!E343="","",'RFQ-Input'!E343)</f>
        <v/>
      </c>
      <c r="F344" s="7" t="str">
        <f>IF('RFQ-Input'!F343="","",'RFQ-Input'!F343)</f>
        <v/>
      </c>
      <c r="G344" s="7" t="str">
        <f>IF('RFQ-Input'!G343="","",'RFQ-Input'!G343)</f>
        <v/>
      </c>
      <c r="H344" s="7" t="str">
        <f>IF('RFQ-Input'!H343="","",'RFQ-Input'!H343)</f>
        <v/>
      </c>
      <c r="I344" s="7" t="str">
        <f>IF('RFQ-Input'!I343="","",'RFQ-Input'!I343)</f>
        <v/>
      </c>
      <c r="J344" s="7" t="str">
        <f>IF('RFQ-Input'!J343="","",'RFQ-Input'!J343)</f>
        <v/>
      </c>
      <c r="K344" s="7" t="str">
        <f>IF('RFQ-Input'!K343="","",'RFQ-Input'!K343)</f>
        <v/>
      </c>
      <c r="L344" s="7" t="str">
        <f>IF('RFQ-Input'!L343="","",'RFQ-Input'!L343)</f>
        <v/>
      </c>
      <c r="M344" s="7" t="str">
        <f>IF('RFQ-Input'!M343="","",'RFQ-Input'!M343)</f>
        <v/>
      </c>
      <c r="N344" s="7" t="str">
        <f>IF('RFQ-Input'!N343="","",'RFQ-Input'!N343)</f>
        <v/>
      </c>
      <c r="O344" s="7" t="str">
        <f>IF('RFQ-Input'!O343="","",'RFQ-Input'!O343)</f>
        <v/>
      </c>
      <c r="Q344" s="7"/>
      <c r="R344" s="7"/>
      <c r="S344" s="7"/>
      <c r="T344" s="7"/>
      <c r="U344" s="7"/>
      <c r="V344" s="7"/>
      <c r="X344" s="7"/>
      <c r="Y344" s="7"/>
      <c r="Z344" s="7"/>
      <c r="AA344" s="7" t="str">
        <f t="shared" si="35"/>
        <v/>
      </c>
      <c r="AB344" s="7"/>
      <c r="AC344" s="7"/>
      <c r="AQ344" s="7" t="str">
        <f t="shared" si="36"/>
        <v/>
      </c>
      <c r="AR344" s="7" t="str">
        <f t="shared" si="37"/>
        <v/>
      </c>
      <c r="AS344" s="7" t="str">
        <f t="shared" si="38"/>
        <v/>
      </c>
      <c r="AT344" s="7" t="str">
        <f t="shared" si="39"/>
        <v/>
      </c>
      <c r="AU344" s="7" t="str">
        <f t="shared" si="40"/>
        <v/>
      </c>
      <c r="AV344" s="7" t="str">
        <f t="shared" si="41"/>
        <v/>
      </c>
      <c r="AW344" s="7" t="str">
        <f>IF('RFQ-Input'!O343="","",'RFQ-Input'!O343)</f>
        <v/>
      </c>
      <c r="AX344" s="7" t="str">
        <f>IF('RFQ-Input'!S343="","",'RFQ-Input'!S343)</f>
        <v/>
      </c>
      <c r="AY344" s="7" t="str">
        <f>IF('RFQ-Input'!V343="","",'RFQ-Input'!V343)</f>
        <v/>
      </c>
      <c r="AZ344" s="7" t="str">
        <f>IF('RFQ-Input'!Y343="","",'RFQ-Input'!Y343)</f>
        <v/>
      </c>
      <c r="BA344" s="7" t="str">
        <f>IF('RFQ-Input'!AB343="","",'RFQ-Input'!AB343)</f>
        <v/>
      </c>
    </row>
    <row r="345" spans="1:53">
      <c r="A345" s="20">
        <v>341</v>
      </c>
      <c r="B345" s="7"/>
      <c r="C345" s="7" t="str">
        <f>IF('RFQ-Input'!C344="","",'RFQ-Input'!C344)</f>
        <v/>
      </c>
      <c r="D345" s="7" t="str">
        <f>IF('RFQ-Input'!D344="","",'RFQ-Input'!D344)</f>
        <v/>
      </c>
      <c r="E345" s="7" t="str">
        <f>IF('RFQ-Input'!E344="","",'RFQ-Input'!E344)</f>
        <v/>
      </c>
      <c r="F345" s="7" t="str">
        <f>IF('RFQ-Input'!F344="","",'RFQ-Input'!F344)</f>
        <v/>
      </c>
      <c r="G345" s="7" t="str">
        <f>IF('RFQ-Input'!G344="","",'RFQ-Input'!G344)</f>
        <v/>
      </c>
      <c r="H345" s="7" t="str">
        <f>IF('RFQ-Input'!H344="","",'RFQ-Input'!H344)</f>
        <v/>
      </c>
      <c r="I345" s="7" t="str">
        <f>IF('RFQ-Input'!I344="","",'RFQ-Input'!I344)</f>
        <v/>
      </c>
      <c r="J345" s="7" t="str">
        <f>IF('RFQ-Input'!J344="","",'RFQ-Input'!J344)</f>
        <v/>
      </c>
      <c r="K345" s="7" t="str">
        <f>IF('RFQ-Input'!K344="","",'RFQ-Input'!K344)</f>
        <v/>
      </c>
      <c r="L345" s="7" t="str">
        <f>IF('RFQ-Input'!L344="","",'RFQ-Input'!L344)</f>
        <v/>
      </c>
      <c r="M345" s="7" t="str">
        <f>IF('RFQ-Input'!M344="","",'RFQ-Input'!M344)</f>
        <v/>
      </c>
      <c r="N345" s="7" t="str">
        <f>IF('RFQ-Input'!N344="","",'RFQ-Input'!N344)</f>
        <v/>
      </c>
      <c r="O345" s="7" t="str">
        <f>IF('RFQ-Input'!O344="","",'RFQ-Input'!O344)</f>
        <v/>
      </c>
      <c r="Q345" s="7"/>
      <c r="R345" s="7"/>
      <c r="S345" s="7"/>
      <c r="T345" s="7"/>
      <c r="U345" s="7"/>
      <c r="V345" s="7"/>
      <c r="X345" s="7"/>
      <c r="Y345" s="7"/>
      <c r="Z345" s="7"/>
      <c r="AA345" s="7" t="str">
        <f t="shared" si="35"/>
        <v/>
      </c>
      <c r="AB345" s="7"/>
      <c r="AC345" s="7"/>
      <c r="AQ345" s="7" t="str">
        <f t="shared" si="36"/>
        <v/>
      </c>
      <c r="AR345" s="7" t="str">
        <f t="shared" si="37"/>
        <v/>
      </c>
      <c r="AS345" s="7" t="str">
        <f t="shared" si="38"/>
        <v/>
      </c>
      <c r="AT345" s="7" t="str">
        <f t="shared" si="39"/>
        <v/>
      </c>
      <c r="AU345" s="7" t="str">
        <f t="shared" si="40"/>
        <v/>
      </c>
      <c r="AV345" s="7" t="str">
        <f t="shared" si="41"/>
        <v/>
      </c>
      <c r="AW345" s="7" t="str">
        <f>IF('RFQ-Input'!O344="","",'RFQ-Input'!O344)</f>
        <v/>
      </c>
      <c r="AX345" s="7" t="str">
        <f>IF('RFQ-Input'!S344="","",'RFQ-Input'!S344)</f>
        <v/>
      </c>
      <c r="AY345" s="7" t="str">
        <f>IF('RFQ-Input'!V344="","",'RFQ-Input'!V344)</f>
        <v/>
      </c>
      <c r="AZ345" s="7" t="str">
        <f>IF('RFQ-Input'!Y344="","",'RFQ-Input'!Y344)</f>
        <v/>
      </c>
      <c r="BA345" s="7" t="str">
        <f>IF('RFQ-Input'!AB344="","",'RFQ-Input'!AB344)</f>
        <v/>
      </c>
    </row>
    <row r="346" spans="1:53">
      <c r="A346" s="20">
        <v>342</v>
      </c>
      <c r="B346" s="7"/>
      <c r="C346" s="7" t="str">
        <f>IF('RFQ-Input'!C345="","",'RFQ-Input'!C345)</f>
        <v/>
      </c>
      <c r="D346" s="7" t="str">
        <f>IF('RFQ-Input'!D345="","",'RFQ-Input'!D345)</f>
        <v/>
      </c>
      <c r="E346" s="7" t="str">
        <f>IF('RFQ-Input'!E345="","",'RFQ-Input'!E345)</f>
        <v/>
      </c>
      <c r="F346" s="7" t="str">
        <f>IF('RFQ-Input'!F345="","",'RFQ-Input'!F345)</f>
        <v/>
      </c>
      <c r="G346" s="7" t="str">
        <f>IF('RFQ-Input'!G345="","",'RFQ-Input'!G345)</f>
        <v/>
      </c>
      <c r="H346" s="7" t="str">
        <f>IF('RFQ-Input'!H345="","",'RFQ-Input'!H345)</f>
        <v/>
      </c>
      <c r="I346" s="7" t="str">
        <f>IF('RFQ-Input'!I345="","",'RFQ-Input'!I345)</f>
        <v/>
      </c>
      <c r="J346" s="7" t="str">
        <f>IF('RFQ-Input'!J345="","",'RFQ-Input'!J345)</f>
        <v/>
      </c>
      <c r="K346" s="7" t="str">
        <f>IF('RFQ-Input'!K345="","",'RFQ-Input'!K345)</f>
        <v/>
      </c>
      <c r="L346" s="7" t="str">
        <f>IF('RFQ-Input'!L345="","",'RFQ-Input'!L345)</f>
        <v/>
      </c>
      <c r="M346" s="7" t="str">
        <f>IF('RFQ-Input'!M345="","",'RFQ-Input'!M345)</f>
        <v/>
      </c>
      <c r="N346" s="7" t="str">
        <f>IF('RFQ-Input'!N345="","",'RFQ-Input'!N345)</f>
        <v/>
      </c>
      <c r="O346" s="7" t="str">
        <f>IF('RFQ-Input'!O345="","",'RFQ-Input'!O345)</f>
        <v/>
      </c>
      <c r="Q346" s="7"/>
      <c r="R346" s="7"/>
      <c r="S346" s="7"/>
      <c r="T346" s="7"/>
      <c r="U346" s="7"/>
      <c r="V346" s="7"/>
      <c r="X346" s="7"/>
      <c r="Y346" s="7"/>
      <c r="Z346" s="7"/>
      <c r="AA346" s="7" t="str">
        <f t="shared" si="35"/>
        <v/>
      </c>
      <c r="AB346" s="7"/>
      <c r="AC346" s="7"/>
      <c r="AQ346" s="7" t="str">
        <f t="shared" si="36"/>
        <v/>
      </c>
      <c r="AR346" s="7" t="str">
        <f t="shared" si="37"/>
        <v/>
      </c>
      <c r="AS346" s="7" t="str">
        <f t="shared" si="38"/>
        <v/>
      </c>
      <c r="AT346" s="7" t="str">
        <f t="shared" si="39"/>
        <v/>
      </c>
      <c r="AU346" s="7" t="str">
        <f t="shared" si="40"/>
        <v/>
      </c>
      <c r="AV346" s="7" t="str">
        <f t="shared" si="41"/>
        <v/>
      </c>
      <c r="AW346" s="7" t="str">
        <f>IF('RFQ-Input'!O345="","",'RFQ-Input'!O345)</f>
        <v/>
      </c>
      <c r="AX346" s="7" t="str">
        <f>IF('RFQ-Input'!S345="","",'RFQ-Input'!S345)</f>
        <v/>
      </c>
      <c r="AY346" s="7" t="str">
        <f>IF('RFQ-Input'!V345="","",'RFQ-Input'!V345)</f>
        <v/>
      </c>
      <c r="AZ346" s="7" t="str">
        <f>IF('RFQ-Input'!Y345="","",'RFQ-Input'!Y345)</f>
        <v/>
      </c>
      <c r="BA346" s="7" t="str">
        <f>IF('RFQ-Input'!AB345="","",'RFQ-Input'!AB345)</f>
        <v/>
      </c>
    </row>
    <row r="347" spans="1:53">
      <c r="A347" s="20">
        <v>343</v>
      </c>
      <c r="B347" s="7"/>
      <c r="C347" s="7" t="str">
        <f>IF('RFQ-Input'!C346="","",'RFQ-Input'!C346)</f>
        <v/>
      </c>
      <c r="D347" s="7" t="str">
        <f>IF('RFQ-Input'!D346="","",'RFQ-Input'!D346)</f>
        <v/>
      </c>
      <c r="E347" s="7" t="str">
        <f>IF('RFQ-Input'!E346="","",'RFQ-Input'!E346)</f>
        <v/>
      </c>
      <c r="F347" s="7" t="str">
        <f>IF('RFQ-Input'!F346="","",'RFQ-Input'!F346)</f>
        <v/>
      </c>
      <c r="G347" s="7" t="str">
        <f>IF('RFQ-Input'!G346="","",'RFQ-Input'!G346)</f>
        <v/>
      </c>
      <c r="H347" s="7" t="str">
        <f>IF('RFQ-Input'!H346="","",'RFQ-Input'!H346)</f>
        <v/>
      </c>
      <c r="I347" s="7" t="str">
        <f>IF('RFQ-Input'!I346="","",'RFQ-Input'!I346)</f>
        <v/>
      </c>
      <c r="J347" s="7" t="str">
        <f>IF('RFQ-Input'!J346="","",'RFQ-Input'!J346)</f>
        <v/>
      </c>
      <c r="K347" s="7" t="str">
        <f>IF('RFQ-Input'!K346="","",'RFQ-Input'!K346)</f>
        <v/>
      </c>
      <c r="L347" s="7" t="str">
        <f>IF('RFQ-Input'!L346="","",'RFQ-Input'!L346)</f>
        <v/>
      </c>
      <c r="M347" s="7" t="str">
        <f>IF('RFQ-Input'!M346="","",'RFQ-Input'!M346)</f>
        <v/>
      </c>
      <c r="N347" s="7" t="str">
        <f>IF('RFQ-Input'!N346="","",'RFQ-Input'!N346)</f>
        <v/>
      </c>
      <c r="O347" s="7" t="str">
        <f>IF('RFQ-Input'!O346="","",'RFQ-Input'!O346)</f>
        <v/>
      </c>
      <c r="Q347" s="7"/>
      <c r="R347" s="7"/>
      <c r="S347" s="7"/>
      <c r="T347" s="7"/>
      <c r="U347" s="7"/>
      <c r="V347" s="7"/>
      <c r="X347" s="7"/>
      <c r="Y347" s="7"/>
      <c r="Z347" s="7"/>
      <c r="AA347" s="7" t="str">
        <f t="shared" si="35"/>
        <v/>
      </c>
      <c r="AB347" s="7"/>
      <c r="AC347" s="7"/>
      <c r="AQ347" s="7" t="str">
        <f t="shared" si="36"/>
        <v/>
      </c>
      <c r="AR347" s="7" t="str">
        <f t="shared" si="37"/>
        <v/>
      </c>
      <c r="AS347" s="7" t="str">
        <f t="shared" si="38"/>
        <v/>
      </c>
      <c r="AT347" s="7" t="str">
        <f t="shared" si="39"/>
        <v/>
      </c>
      <c r="AU347" s="7" t="str">
        <f t="shared" si="40"/>
        <v/>
      </c>
      <c r="AV347" s="7" t="str">
        <f t="shared" si="41"/>
        <v/>
      </c>
      <c r="AW347" s="7" t="str">
        <f>IF('RFQ-Input'!O346="","",'RFQ-Input'!O346)</f>
        <v/>
      </c>
      <c r="AX347" s="7" t="str">
        <f>IF('RFQ-Input'!S346="","",'RFQ-Input'!S346)</f>
        <v/>
      </c>
      <c r="AY347" s="7" t="str">
        <f>IF('RFQ-Input'!V346="","",'RFQ-Input'!V346)</f>
        <v/>
      </c>
      <c r="AZ347" s="7" t="str">
        <f>IF('RFQ-Input'!Y346="","",'RFQ-Input'!Y346)</f>
        <v/>
      </c>
      <c r="BA347" s="7" t="str">
        <f>IF('RFQ-Input'!AB346="","",'RFQ-Input'!AB346)</f>
        <v/>
      </c>
    </row>
    <row r="348" spans="1:53">
      <c r="A348" s="20">
        <v>344</v>
      </c>
      <c r="B348" s="7"/>
      <c r="C348" s="7" t="str">
        <f>IF('RFQ-Input'!C347="","",'RFQ-Input'!C347)</f>
        <v/>
      </c>
      <c r="D348" s="7" t="str">
        <f>IF('RFQ-Input'!D347="","",'RFQ-Input'!D347)</f>
        <v/>
      </c>
      <c r="E348" s="7" t="str">
        <f>IF('RFQ-Input'!E347="","",'RFQ-Input'!E347)</f>
        <v/>
      </c>
      <c r="F348" s="7" t="str">
        <f>IF('RFQ-Input'!F347="","",'RFQ-Input'!F347)</f>
        <v/>
      </c>
      <c r="G348" s="7" t="str">
        <f>IF('RFQ-Input'!G347="","",'RFQ-Input'!G347)</f>
        <v/>
      </c>
      <c r="H348" s="7" t="str">
        <f>IF('RFQ-Input'!H347="","",'RFQ-Input'!H347)</f>
        <v/>
      </c>
      <c r="I348" s="7" t="str">
        <f>IF('RFQ-Input'!I347="","",'RFQ-Input'!I347)</f>
        <v/>
      </c>
      <c r="J348" s="7" t="str">
        <f>IF('RFQ-Input'!J347="","",'RFQ-Input'!J347)</f>
        <v/>
      </c>
      <c r="K348" s="7" t="str">
        <f>IF('RFQ-Input'!K347="","",'RFQ-Input'!K347)</f>
        <v/>
      </c>
      <c r="L348" s="7" t="str">
        <f>IF('RFQ-Input'!L347="","",'RFQ-Input'!L347)</f>
        <v/>
      </c>
      <c r="M348" s="7" t="str">
        <f>IF('RFQ-Input'!M347="","",'RFQ-Input'!M347)</f>
        <v/>
      </c>
      <c r="N348" s="7" t="str">
        <f>IF('RFQ-Input'!N347="","",'RFQ-Input'!N347)</f>
        <v/>
      </c>
      <c r="O348" s="7" t="str">
        <f>IF('RFQ-Input'!O347="","",'RFQ-Input'!O347)</f>
        <v/>
      </c>
      <c r="Q348" s="7"/>
      <c r="R348" s="7"/>
      <c r="S348" s="7"/>
      <c r="T348" s="7"/>
      <c r="U348" s="7"/>
      <c r="V348" s="7"/>
      <c r="X348" s="7"/>
      <c r="Y348" s="7"/>
      <c r="Z348" s="7"/>
      <c r="AA348" s="7" t="str">
        <f t="shared" si="35"/>
        <v/>
      </c>
      <c r="AB348" s="7"/>
      <c r="AC348" s="7"/>
      <c r="AQ348" s="7" t="str">
        <f t="shared" si="36"/>
        <v/>
      </c>
      <c r="AR348" s="7" t="str">
        <f t="shared" si="37"/>
        <v/>
      </c>
      <c r="AS348" s="7" t="str">
        <f t="shared" si="38"/>
        <v/>
      </c>
      <c r="AT348" s="7" t="str">
        <f t="shared" si="39"/>
        <v/>
      </c>
      <c r="AU348" s="7" t="str">
        <f t="shared" si="40"/>
        <v/>
      </c>
      <c r="AV348" s="7" t="str">
        <f t="shared" si="41"/>
        <v/>
      </c>
      <c r="AW348" s="7" t="str">
        <f>IF('RFQ-Input'!O347="","",'RFQ-Input'!O347)</f>
        <v/>
      </c>
      <c r="AX348" s="7" t="str">
        <f>IF('RFQ-Input'!S347="","",'RFQ-Input'!S347)</f>
        <v/>
      </c>
      <c r="AY348" s="7" t="str">
        <f>IF('RFQ-Input'!V347="","",'RFQ-Input'!V347)</f>
        <v/>
      </c>
      <c r="AZ348" s="7" t="str">
        <f>IF('RFQ-Input'!Y347="","",'RFQ-Input'!Y347)</f>
        <v/>
      </c>
      <c r="BA348" s="7" t="str">
        <f>IF('RFQ-Input'!AB347="","",'RFQ-Input'!AB347)</f>
        <v/>
      </c>
    </row>
    <row r="349" spans="1:53">
      <c r="A349" s="20">
        <v>345</v>
      </c>
      <c r="B349" s="7"/>
      <c r="C349" s="7" t="str">
        <f>IF('RFQ-Input'!C348="","",'RFQ-Input'!C348)</f>
        <v/>
      </c>
      <c r="D349" s="7" t="str">
        <f>IF('RFQ-Input'!D348="","",'RFQ-Input'!D348)</f>
        <v/>
      </c>
      <c r="E349" s="7" t="str">
        <f>IF('RFQ-Input'!E348="","",'RFQ-Input'!E348)</f>
        <v/>
      </c>
      <c r="F349" s="7" t="str">
        <f>IF('RFQ-Input'!F348="","",'RFQ-Input'!F348)</f>
        <v/>
      </c>
      <c r="G349" s="7" t="str">
        <f>IF('RFQ-Input'!G348="","",'RFQ-Input'!G348)</f>
        <v/>
      </c>
      <c r="H349" s="7" t="str">
        <f>IF('RFQ-Input'!H348="","",'RFQ-Input'!H348)</f>
        <v/>
      </c>
      <c r="I349" s="7" t="str">
        <f>IF('RFQ-Input'!I348="","",'RFQ-Input'!I348)</f>
        <v/>
      </c>
      <c r="J349" s="7" t="str">
        <f>IF('RFQ-Input'!J348="","",'RFQ-Input'!J348)</f>
        <v/>
      </c>
      <c r="K349" s="7" t="str">
        <f>IF('RFQ-Input'!K348="","",'RFQ-Input'!K348)</f>
        <v/>
      </c>
      <c r="L349" s="7" t="str">
        <f>IF('RFQ-Input'!L348="","",'RFQ-Input'!L348)</f>
        <v/>
      </c>
      <c r="M349" s="7" t="str">
        <f>IF('RFQ-Input'!M348="","",'RFQ-Input'!M348)</f>
        <v/>
      </c>
      <c r="N349" s="7" t="str">
        <f>IF('RFQ-Input'!N348="","",'RFQ-Input'!N348)</f>
        <v/>
      </c>
      <c r="O349" s="7" t="str">
        <f>IF('RFQ-Input'!O348="","",'RFQ-Input'!O348)</f>
        <v/>
      </c>
      <c r="Q349" s="7"/>
      <c r="R349" s="7"/>
      <c r="S349" s="7"/>
      <c r="T349" s="7"/>
      <c r="U349" s="7"/>
      <c r="V349" s="7"/>
      <c r="X349" s="7"/>
      <c r="Y349" s="7"/>
      <c r="Z349" s="7"/>
      <c r="AA349" s="7" t="str">
        <f t="shared" si="35"/>
        <v/>
      </c>
      <c r="AB349" s="7"/>
      <c r="AC349" s="7"/>
      <c r="AQ349" s="7" t="str">
        <f t="shared" si="36"/>
        <v/>
      </c>
      <c r="AR349" s="7" t="str">
        <f t="shared" si="37"/>
        <v/>
      </c>
      <c r="AS349" s="7" t="str">
        <f t="shared" si="38"/>
        <v/>
      </c>
      <c r="AT349" s="7" t="str">
        <f t="shared" si="39"/>
        <v/>
      </c>
      <c r="AU349" s="7" t="str">
        <f t="shared" si="40"/>
        <v/>
      </c>
      <c r="AV349" s="7" t="str">
        <f t="shared" si="41"/>
        <v/>
      </c>
      <c r="AW349" s="7" t="str">
        <f>IF('RFQ-Input'!O348="","",'RFQ-Input'!O348)</f>
        <v/>
      </c>
      <c r="AX349" s="7" t="str">
        <f>IF('RFQ-Input'!S348="","",'RFQ-Input'!S348)</f>
        <v/>
      </c>
      <c r="AY349" s="7" t="str">
        <f>IF('RFQ-Input'!V348="","",'RFQ-Input'!V348)</f>
        <v/>
      </c>
      <c r="AZ349" s="7" t="str">
        <f>IF('RFQ-Input'!Y348="","",'RFQ-Input'!Y348)</f>
        <v/>
      </c>
      <c r="BA349" s="7" t="str">
        <f>IF('RFQ-Input'!AB348="","",'RFQ-Input'!AB348)</f>
        <v/>
      </c>
    </row>
    <row r="350" spans="1:53">
      <c r="A350" s="20">
        <v>346</v>
      </c>
      <c r="B350" s="7"/>
      <c r="C350" s="7" t="str">
        <f>IF('RFQ-Input'!C349="","",'RFQ-Input'!C349)</f>
        <v/>
      </c>
      <c r="D350" s="7" t="str">
        <f>IF('RFQ-Input'!D349="","",'RFQ-Input'!D349)</f>
        <v/>
      </c>
      <c r="E350" s="7" t="str">
        <f>IF('RFQ-Input'!E349="","",'RFQ-Input'!E349)</f>
        <v/>
      </c>
      <c r="F350" s="7" t="str">
        <f>IF('RFQ-Input'!F349="","",'RFQ-Input'!F349)</f>
        <v/>
      </c>
      <c r="G350" s="7" t="str">
        <f>IF('RFQ-Input'!G349="","",'RFQ-Input'!G349)</f>
        <v/>
      </c>
      <c r="H350" s="7" t="str">
        <f>IF('RFQ-Input'!H349="","",'RFQ-Input'!H349)</f>
        <v/>
      </c>
      <c r="I350" s="7" t="str">
        <f>IF('RFQ-Input'!I349="","",'RFQ-Input'!I349)</f>
        <v/>
      </c>
      <c r="J350" s="7" t="str">
        <f>IF('RFQ-Input'!J349="","",'RFQ-Input'!J349)</f>
        <v/>
      </c>
      <c r="K350" s="7" t="str">
        <f>IF('RFQ-Input'!K349="","",'RFQ-Input'!K349)</f>
        <v/>
      </c>
      <c r="L350" s="7" t="str">
        <f>IF('RFQ-Input'!L349="","",'RFQ-Input'!L349)</f>
        <v/>
      </c>
      <c r="M350" s="7" t="str">
        <f>IF('RFQ-Input'!M349="","",'RFQ-Input'!M349)</f>
        <v/>
      </c>
      <c r="N350" s="7" t="str">
        <f>IF('RFQ-Input'!N349="","",'RFQ-Input'!N349)</f>
        <v/>
      </c>
      <c r="O350" s="7" t="str">
        <f>IF('RFQ-Input'!O349="","",'RFQ-Input'!O349)</f>
        <v/>
      </c>
      <c r="Q350" s="7"/>
      <c r="R350" s="7"/>
      <c r="S350" s="7"/>
      <c r="T350" s="7"/>
      <c r="U350" s="7"/>
      <c r="V350" s="7"/>
      <c r="X350" s="7"/>
      <c r="Y350" s="7"/>
      <c r="Z350" s="7"/>
      <c r="AA350" s="7" t="str">
        <f t="shared" si="35"/>
        <v/>
      </c>
      <c r="AB350" s="7"/>
      <c r="AC350" s="7"/>
      <c r="AQ350" s="7" t="str">
        <f t="shared" si="36"/>
        <v/>
      </c>
      <c r="AR350" s="7" t="str">
        <f t="shared" si="37"/>
        <v/>
      </c>
      <c r="AS350" s="7" t="str">
        <f t="shared" si="38"/>
        <v/>
      </c>
      <c r="AT350" s="7" t="str">
        <f t="shared" si="39"/>
        <v/>
      </c>
      <c r="AU350" s="7" t="str">
        <f t="shared" si="40"/>
        <v/>
      </c>
      <c r="AV350" s="7" t="str">
        <f t="shared" si="41"/>
        <v/>
      </c>
      <c r="AW350" s="7" t="str">
        <f>IF('RFQ-Input'!O349="","",'RFQ-Input'!O349)</f>
        <v/>
      </c>
      <c r="AX350" s="7" t="str">
        <f>IF('RFQ-Input'!S349="","",'RFQ-Input'!S349)</f>
        <v/>
      </c>
      <c r="AY350" s="7" t="str">
        <f>IF('RFQ-Input'!V349="","",'RFQ-Input'!V349)</f>
        <v/>
      </c>
      <c r="AZ350" s="7" t="str">
        <f>IF('RFQ-Input'!Y349="","",'RFQ-Input'!Y349)</f>
        <v/>
      </c>
      <c r="BA350" s="7" t="str">
        <f>IF('RFQ-Input'!AB349="","",'RFQ-Input'!AB349)</f>
        <v/>
      </c>
    </row>
    <row r="351" spans="1:53">
      <c r="A351" s="20">
        <v>347</v>
      </c>
      <c r="B351" s="7"/>
      <c r="C351" s="7" t="str">
        <f>IF('RFQ-Input'!C350="","",'RFQ-Input'!C350)</f>
        <v/>
      </c>
      <c r="D351" s="7" t="str">
        <f>IF('RFQ-Input'!D350="","",'RFQ-Input'!D350)</f>
        <v/>
      </c>
      <c r="E351" s="7" t="str">
        <f>IF('RFQ-Input'!E350="","",'RFQ-Input'!E350)</f>
        <v/>
      </c>
      <c r="F351" s="7" t="str">
        <f>IF('RFQ-Input'!F350="","",'RFQ-Input'!F350)</f>
        <v/>
      </c>
      <c r="G351" s="7" t="str">
        <f>IF('RFQ-Input'!G350="","",'RFQ-Input'!G350)</f>
        <v/>
      </c>
      <c r="H351" s="7" t="str">
        <f>IF('RFQ-Input'!H350="","",'RFQ-Input'!H350)</f>
        <v/>
      </c>
      <c r="I351" s="7" t="str">
        <f>IF('RFQ-Input'!I350="","",'RFQ-Input'!I350)</f>
        <v/>
      </c>
      <c r="J351" s="7" t="str">
        <f>IF('RFQ-Input'!J350="","",'RFQ-Input'!J350)</f>
        <v/>
      </c>
      <c r="K351" s="7" t="str">
        <f>IF('RFQ-Input'!K350="","",'RFQ-Input'!K350)</f>
        <v/>
      </c>
      <c r="L351" s="7" t="str">
        <f>IF('RFQ-Input'!L350="","",'RFQ-Input'!L350)</f>
        <v/>
      </c>
      <c r="M351" s="7" t="str">
        <f>IF('RFQ-Input'!M350="","",'RFQ-Input'!M350)</f>
        <v/>
      </c>
      <c r="N351" s="7" t="str">
        <f>IF('RFQ-Input'!N350="","",'RFQ-Input'!N350)</f>
        <v/>
      </c>
      <c r="O351" s="7" t="str">
        <f>IF('RFQ-Input'!O350="","",'RFQ-Input'!O350)</f>
        <v/>
      </c>
      <c r="Q351" s="7"/>
      <c r="R351" s="7"/>
      <c r="S351" s="7"/>
      <c r="T351" s="7"/>
      <c r="U351" s="7"/>
      <c r="V351" s="7"/>
      <c r="X351" s="7"/>
      <c r="Y351" s="7"/>
      <c r="Z351" s="7"/>
      <c r="AA351" s="7" t="str">
        <f t="shared" si="35"/>
        <v/>
      </c>
      <c r="AB351" s="7"/>
      <c r="AC351" s="7"/>
      <c r="AQ351" s="7" t="str">
        <f t="shared" si="36"/>
        <v/>
      </c>
      <c r="AR351" s="7" t="str">
        <f t="shared" si="37"/>
        <v/>
      </c>
      <c r="AS351" s="7" t="str">
        <f t="shared" si="38"/>
        <v/>
      </c>
      <c r="AT351" s="7" t="str">
        <f t="shared" si="39"/>
        <v/>
      </c>
      <c r="AU351" s="7" t="str">
        <f t="shared" si="40"/>
        <v/>
      </c>
      <c r="AV351" s="7" t="str">
        <f t="shared" si="41"/>
        <v/>
      </c>
      <c r="AW351" s="7" t="str">
        <f>IF('RFQ-Input'!O350="","",'RFQ-Input'!O350)</f>
        <v/>
      </c>
      <c r="AX351" s="7" t="str">
        <f>IF('RFQ-Input'!S350="","",'RFQ-Input'!S350)</f>
        <v/>
      </c>
      <c r="AY351" s="7" t="str">
        <f>IF('RFQ-Input'!V350="","",'RFQ-Input'!V350)</f>
        <v/>
      </c>
      <c r="AZ351" s="7" t="str">
        <f>IF('RFQ-Input'!Y350="","",'RFQ-Input'!Y350)</f>
        <v/>
      </c>
      <c r="BA351" s="7" t="str">
        <f>IF('RFQ-Input'!AB350="","",'RFQ-Input'!AB350)</f>
        <v/>
      </c>
    </row>
    <row r="352" spans="1:53">
      <c r="A352" s="20">
        <v>348</v>
      </c>
      <c r="B352" s="7"/>
      <c r="C352" s="7" t="str">
        <f>IF('RFQ-Input'!C351="","",'RFQ-Input'!C351)</f>
        <v/>
      </c>
      <c r="D352" s="7" t="str">
        <f>IF('RFQ-Input'!D351="","",'RFQ-Input'!D351)</f>
        <v/>
      </c>
      <c r="E352" s="7" t="str">
        <f>IF('RFQ-Input'!E351="","",'RFQ-Input'!E351)</f>
        <v/>
      </c>
      <c r="F352" s="7" t="str">
        <f>IF('RFQ-Input'!F351="","",'RFQ-Input'!F351)</f>
        <v/>
      </c>
      <c r="G352" s="7" t="str">
        <f>IF('RFQ-Input'!G351="","",'RFQ-Input'!G351)</f>
        <v/>
      </c>
      <c r="H352" s="7" t="str">
        <f>IF('RFQ-Input'!H351="","",'RFQ-Input'!H351)</f>
        <v/>
      </c>
      <c r="I352" s="7" t="str">
        <f>IF('RFQ-Input'!I351="","",'RFQ-Input'!I351)</f>
        <v/>
      </c>
      <c r="J352" s="7" t="str">
        <f>IF('RFQ-Input'!J351="","",'RFQ-Input'!J351)</f>
        <v/>
      </c>
      <c r="K352" s="7" t="str">
        <f>IF('RFQ-Input'!K351="","",'RFQ-Input'!K351)</f>
        <v/>
      </c>
      <c r="L352" s="7" t="str">
        <f>IF('RFQ-Input'!L351="","",'RFQ-Input'!L351)</f>
        <v/>
      </c>
      <c r="M352" s="7" t="str">
        <f>IF('RFQ-Input'!M351="","",'RFQ-Input'!M351)</f>
        <v/>
      </c>
      <c r="N352" s="7" t="str">
        <f>IF('RFQ-Input'!N351="","",'RFQ-Input'!N351)</f>
        <v/>
      </c>
      <c r="O352" s="7" t="str">
        <f>IF('RFQ-Input'!O351="","",'RFQ-Input'!O351)</f>
        <v/>
      </c>
      <c r="Q352" s="7"/>
      <c r="R352" s="7"/>
      <c r="S352" s="7"/>
      <c r="T352" s="7"/>
      <c r="U352" s="7"/>
      <c r="V352" s="7"/>
      <c r="X352" s="7"/>
      <c r="Y352" s="7"/>
      <c r="Z352" s="7"/>
      <c r="AA352" s="7" t="str">
        <f t="shared" si="35"/>
        <v/>
      </c>
      <c r="AB352" s="7"/>
      <c r="AC352" s="7"/>
      <c r="AQ352" s="7" t="str">
        <f t="shared" si="36"/>
        <v/>
      </c>
      <c r="AR352" s="7" t="str">
        <f t="shared" si="37"/>
        <v/>
      </c>
      <c r="AS352" s="7" t="str">
        <f t="shared" si="38"/>
        <v/>
      </c>
      <c r="AT352" s="7" t="str">
        <f t="shared" si="39"/>
        <v/>
      </c>
      <c r="AU352" s="7" t="str">
        <f t="shared" si="40"/>
        <v/>
      </c>
      <c r="AV352" s="7" t="str">
        <f t="shared" si="41"/>
        <v/>
      </c>
      <c r="AW352" s="7" t="str">
        <f>IF('RFQ-Input'!O351="","",'RFQ-Input'!O351)</f>
        <v/>
      </c>
      <c r="AX352" s="7" t="str">
        <f>IF('RFQ-Input'!S351="","",'RFQ-Input'!S351)</f>
        <v/>
      </c>
      <c r="AY352" s="7" t="str">
        <f>IF('RFQ-Input'!V351="","",'RFQ-Input'!V351)</f>
        <v/>
      </c>
      <c r="AZ352" s="7" t="str">
        <f>IF('RFQ-Input'!Y351="","",'RFQ-Input'!Y351)</f>
        <v/>
      </c>
      <c r="BA352" s="7" t="str">
        <f>IF('RFQ-Input'!AB351="","",'RFQ-Input'!AB351)</f>
        <v/>
      </c>
    </row>
    <row r="353" spans="1:53">
      <c r="A353" s="20">
        <v>349</v>
      </c>
      <c r="B353" s="7"/>
      <c r="C353" s="7" t="str">
        <f>IF('RFQ-Input'!C352="","",'RFQ-Input'!C352)</f>
        <v/>
      </c>
      <c r="D353" s="7" t="str">
        <f>IF('RFQ-Input'!D352="","",'RFQ-Input'!D352)</f>
        <v/>
      </c>
      <c r="E353" s="7" t="str">
        <f>IF('RFQ-Input'!E352="","",'RFQ-Input'!E352)</f>
        <v/>
      </c>
      <c r="F353" s="7" t="str">
        <f>IF('RFQ-Input'!F352="","",'RFQ-Input'!F352)</f>
        <v/>
      </c>
      <c r="G353" s="7" t="str">
        <f>IF('RFQ-Input'!G352="","",'RFQ-Input'!G352)</f>
        <v/>
      </c>
      <c r="H353" s="7" t="str">
        <f>IF('RFQ-Input'!H352="","",'RFQ-Input'!H352)</f>
        <v/>
      </c>
      <c r="I353" s="7" t="str">
        <f>IF('RFQ-Input'!I352="","",'RFQ-Input'!I352)</f>
        <v/>
      </c>
      <c r="J353" s="7" t="str">
        <f>IF('RFQ-Input'!J352="","",'RFQ-Input'!J352)</f>
        <v/>
      </c>
      <c r="K353" s="7" t="str">
        <f>IF('RFQ-Input'!K352="","",'RFQ-Input'!K352)</f>
        <v/>
      </c>
      <c r="L353" s="7" t="str">
        <f>IF('RFQ-Input'!L352="","",'RFQ-Input'!L352)</f>
        <v/>
      </c>
      <c r="M353" s="7" t="str">
        <f>IF('RFQ-Input'!M352="","",'RFQ-Input'!M352)</f>
        <v/>
      </c>
      <c r="N353" s="7" t="str">
        <f>IF('RFQ-Input'!N352="","",'RFQ-Input'!N352)</f>
        <v/>
      </c>
      <c r="O353" s="7" t="str">
        <f>IF('RFQ-Input'!O352="","",'RFQ-Input'!O352)</f>
        <v/>
      </c>
      <c r="Q353" s="7"/>
      <c r="R353" s="7"/>
      <c r="S353" s="7"/>
      <c r="T353" s="7"/>
      <c r="U353" s="7"/>
      <c r="V353" s="7"/>
      <c r="X353" s="7"/>
      <c r="Y353" s="7"/>
      <c r="Z353" s="7"/>
      <c r="AA353" s="7" t="str">
        <f t="shared" si="35"/>
        <v/>
      </c>
      <c r="AB353" s="7"/>
      <c r="AC353" s="7"/>
      <c r="AQ353" s="7" t="str">
        <f t="shared" si="36"/>
        <v/>
      </c>
      <c r="AR353" s="7" t="str">
        <f t="shared" si="37"/>
        <v/>
      </c>
      <c r="AS353" s="7" t="str">
        <f t="shared" si="38"/>
        <v/>
      </c>
      <c r="AT353" s="7" t="str">
        <f t="shared" si="39"/>
        <v/>
      </c>
      <c r="AU353" s="7" t="str">
        <f t="shared" si="40"/>
        <v/>
      </c>
      <c r="AV353" s="7" t="str">
        <f t="shared" si="41"/>
        <v/>
      </c>
      <c r="AW353" s="7" t="str">
        <f>IF('RFQ-Input'!O352="","",'RFQ-Input'!O352)</f>
        <v/>
      </c>
      <c r="AX353" s="7" t="str">
        <f>IF('RFQ-Input'!S352="","",'RFQ-Input'!S352)</f>
        <v/>
      </c>
      <c r="AY353" s="7" t="str">
        <f>IF('RFQ-Input'!V352="","",'RFQ-Input'!V352)</f>
        <v/>
      </c>
      <c r="AZ353" s="7" t="str">
        <f>IF('RFQ-Input'!Y352="","",'RFQ-Input'!Y352)</f>
        <v/>
      </c>
      <c r="BA353" s="7" t="str">
        <f>IF('RFQ-Input'!AB352="","",'RFQ-Input'!AB352)</f>
        <v/>
      </c>
    </row>
    <row r="354" spans="1:53">
      <c r="A354" s="20">
        <v>350</v>
      </c>
      <c r="B354" s="7"/>
      <c r="C354" s="7" t="str">
        <f>IF('RFQ-Input'!C353="","",'RFQ-Input'!C353)</f>
        <v/>
      </c>
      <c r="D354" s="7" t="str">
        <f>IF('RFQ-Input'!D353="","",'RFQ-Input'!D353)</f>
        <v/>
      </c>
      <c r="E354" s="7" t="str">
        <f>IF('RFQ-Input'!E353="","",'RFQ-Input'!E353)</f>
        <v/>
      </c>
      <c r="F354" s="7" t="str">
        <f>IF('RFQ-Input'!F353="","",'RFQ-Input'!F353)</f>
        <v/>
      </c>
      <c r="G354" s="7" t="str">
        <f>IF('RFQ-Input'!G353="","",'RFQ-Input'!G353)</f>
        <v/>
      </c>
      <c r="H354" s="7" t="str">
        <f>IF('RFQ-Input'!H353="","",'RFQ-Input'!H353)</f>
        <v/>
      </c>
      <c r="I354" s="7" t="str">
        <f>IF('RFQ-Input'!I353="","",'RFQ-Input'!I353)</f>
        <v/>
      </c>
      <c r="J354" s="7" t="str">
        <f>IF('RFQ-Input'!J353="","",'RFQ-Input'!J353)</f>
        <v/>
      </c>
      <c r="K354" s="7" t="str">
        <f>IF('RFQ-Input'!K353="","",'RFQ-Input'!K353)</f>
        <v/>
      </c>
      <c r="L354" s="7" t="str">
        <f>IF('RFQ-Input'!L353="","",'RFQ-Input'!L353)</f>
        <v/>
      </c>
      <c r="M354" s="7" t="str">
        <f>IF('RFQ-Input'!M353="","",'RFQ-Input'!M353)</f>
        <v/>
      </c>
      <c r="N354" s="7" t="str">
        <f>IF('RFQ-Input'!N353="","",'RFQ-Input'!N353)</f>
        <v/>
      </c>
      <c r="O354" s="7" t="str">
        <f>IF('RFQ-Input'!O353="","",'RFQ-Input'!O353)</f>
        <v/>
      </c>
      <c r="Q354" s="7"/>
      <c r="R354" s="7"/>
      <c r="S354" s="7"/>
      <c r="T354" s="7"/>
      <c r="U354" s="7"/>
      <c r="V354" s="7"/>
      <c r="X354" s="7"/>
      <c r="Y354" s="7"/>
      <c r="Z354" s="7"/>
      <c r="AA354" s="7" t="str">
        <f t="shared" si="35"/>
        <v/>
      </c>
      <c r="AB354" s="7"/>
      <c r="AC354" s="7"/>
      <c r="AQ354" s="7" t="str">
        <f t="shared" si="36"/>
        <v/>
      </c>
      <c r="AR354" s="7" t="str">
        <f t="shared" si="37"/>
        <v/>
      </c>
      <c r="AS354" s="7" t="str">
        <f t="shared" si="38"/>
        <v/>
      </c>
      <c r="AT354" s="7" t="str">
        <f t="shared" si="39"/>
        <v/>
      </c>
      <c r="AU354" s="7" t="str">
        <f t="shared" si="40"/>
        <v/>
      </c>
      <c r="AV354" s="7" t="str">
        <f t="shared" si="41"/>
        <v/>
      </c>
      <c r="AW354" s="7" t="str">
        <f>IF('RFQ-Input'!O353="","",'RFQ-Input'!O353)</f>
        <v/>
      </c>
      <c r="AX354" s="7" t="str">
        <f>IF('RFQ-Input'!S353="","",'RFQ-Input'!S353)</f>
        <v/>
      </c>
      <c r="AY354" s="7" t="str">
        <f>IF('RFQ-Input'!V353="","",'RFQ-Input'!V353)</f>
        <v/>
      </c>
      <c r="AZ354" s="7" t="str">
        <f>IF('RFQ-Input'!Y353="","",'RFQ-Input'!Y353)</f>
        <v/>
      </c>
      <c r="BA354" s="7" t="str">
        <f>IF('RFQ-Input'!AB353="","",'RFQ-Input'!AB353)</f>
        <v/>
      </c>
    </row>
    <row r="355" spans="1:53">
      <c r="A355" s="20">
        <v>351</v>
      </c>
      <c r="B355" s="7"/>
      <c r="C355" s="7" t="str">
        <f>IF('RFQ-Input'!C354="","",'RFQ-Input'!C354)</f>
        <v/>
      </c>
      <c r="D355" s="7" t="str">
        <f>IF('RFQ-Input'!D354="","",'RFQ-Input'!D354)</f>
        <v/>
      </c>
      <c r="E355" s="7" t="str">
        <f>IF('RFQ-Input'!E354="","",'RFQ-Input'!E354)</f>
        <v/>
      </c>
      <c r="F355" s="7" t="str">
        <f>IF('RFQ-Input'!F354="","",'RFQ-Input'!F354)</f>
        <v/>
      </c>
      <c r="G355" s="7" t="str">
        <f>IF('RFQ-Input'!G354="","",'RFQ-Input'!G354)</f>
        <v/>
      </c>
      <c r="H355" s="7" t="str">
        <f>IF('RFQ-Input'!H354="","",'RFQ-Input'!H354)</f>
        <v/>
      </c>
      <c r="I355" s="7" t="str">
        <f>IF('RFQ-Input'!I354="","",'RFQ-Input'!I354)</f>
        <v/>
      </c>
      <c r="J355" s="7" t="str">
        <f>IF('RFQ-Input'!J354="","",'RFQ-Input'!J354)</f>
        <v/>
      </c>
      <c r="K355" s="7" t="str">
        <f>IF('RFQ-Input'!K354="","",'RFQ-Input'!K354)</f>
        <v/>
      </c>
      <c r="L355" s="7" t="str">
        <f>IF('RFQ-Input'!L354="","",'RFQ-Input'!L354)</f>
        <v/>
      </c>
      <c r="M355" s="7" t="str">
        <f>IF('RFQ-Input'!M354="","",'RFQ-Input'!M354)</f>
        <v/>
      </c>
      <c r="N355" s="7" t="str">
        <f>IF('RFQ-Input'!N354="","",'RFQ-Input'!N354)</f>
        <v/>
      </c>
      <c r="O355" s="7" t="str">
        <f>IF('RFQ-Input'!O354="","",'RFQ-Input'!O354)</f>
        <v/>
      </c>
      <c r="Q355" s="7"/>
      <c r="R355" s="7"/>
      <c r="S355" s="7"/>
      <c r="T355" s="7"/>
      <c r="U355" s="7"/>
      <c r="V355" s="7"/>
      <c r="X355" s="7"/>
      <c r="Y355" s="7"/>
      <c r="Z355" s="7"/>
      <c r="AA355" s="7" t="str">
        <f t="shared" si="35"/>
        <v/>
      </c>
      <c r="AB355" s="7"/>
      <c r="AC355" s="7"/>
      <c r="AQ355" s="7" t="str">
        <f t="shared" si="36"/>
        <v/>
      </c>
      <c r="AR355" s="7" t="str">
        <f t="shared" si="37"/>
        <v/>
      </c>
      <c r="AS355" s="7" t="str">
        <f t="shared" si="38"/>
        <v/>
      </c>
      <c r="AT355" s="7" t="str">
        <f t="shared" si="39"/>
        <v/>
      </c>
      <c r="AU355" s="7" t="str">
        <f t="shared" si="40"/>
        <v/>
      </c>
      <c r="AV355" s="7" t="str">
        <f t="shared" si="41"/>
        <v/>
      </c>
      <c r="AW355" s="7" t="str">
        <f>IF('RFQ-Input'!O354="","",'RFQ-Input'!O354)</f>
        <v/>
      </c>
      <c r="AX355" s="7" t="str">
        <f>IF('RFQ-Input'!S354="","",'RFQ-Input'!S354)</f>
        <v/>
      </c>
      <c r="AY355" s="7" t="str">
        <f>IF('RFQ-Input'!V354="","",'RFQ-Input'!V354)</f>
        <v/>
      </c>
      <c r="AZ355" s="7" t="str">
        <f>IF('RFQ-Input'!Y354="","",'RFQ-Input'!Y354)</f>
        <v/>
      </c>
      <c r="BA355" s="7" t="str">
        <f>IF('RFQ-Input'!AB354="","",'RFQ-Input'!AB354)</f>
        <v/>
      </c>
    </row>
    <row r="356" spans="1:53">
      <c r="A356" s="20">
        <v>352</v>
      </c>
      <c r="B356" s="7"/>
      <c r="C356" s="7" t="str">
        <f>IF('RFQ-Input'!C355="","",'RFQ-Input'!C355)</f>
        <v/>
      </c>
      <c r="D356" s="7" t="str">
        <f>IF('RFQ-Input'!D355="","",'RFQ-Input'!D355)</f>
        <v/>
      </c>
      <c r="E356" s="7" t="str">
        <f>IF('RFQ-Input'!E355="","",'RFQ-Input'!E355)</f>
        <v/>
      </c>
      <c r="F356" s="7" t="str">
        <f>IF('RFQ-Input'!F355="","",'RFQ-Input'!F355)</f>
        <v/>
      </c>
      <c r="G356" s="7" t="str">
        <f>IF('RFQ-Input'!G355="","",'RFQ-Input'!G355)</f>
        <v/>
      </c>
      <c r="H356" s="7" t="str">
        <f>IF('RFQ-Input'!H355="","",'RFQ-Input'!H355)</f>
        <v/>
      </c>
      <c r="I356" s="7" t="str">
        <f>IF('RFQ-Input'!I355="","",'RFQ-Input'!I355)</f>
        <v/>
      </c>
      <c r="J356" s="7" t="str">
        <f>IF('RFQ-Input'!J355="","",'RFQ-Input'!J355)</f>
        <v/>
      </c>
      <c r="K356" s="7" t="str">
        <f>IF('RFQ-Input'!K355="","",'RFQ-Input'!K355)</f>
        <v/>
      </c>
      <c r="L356" s="7" t="str">
        <f>IF('RFQ-Input'!L355="","",'RFQ-Input'!L355)</f>
        <v/>
      </c>
      <c r="M356" s="7" t="str">
        <f>IF('RFQ-Input'!M355="","",'RFQ-Input'!M355)</f>
        <v/>
      </c>
      <c r="N356" s="7" t="str">
        <f>IF('RFQ-Input'!N355="","",'RFQ-Input'!N355)</f>
        <v/>
      </c>
      <c r="O356" s="7" t="str">
        <f>IF('RFQ-Input'!O355="","",'RFQ-Input'!O355)</f>
        <v/>
      </c>
      <c r="Q356" s="7"/>
      <c r="R356" s="7"/>
      <c r="S356" s="7"/>
      <c r="T356" s="7"/>
      <c r="U356" s="7"/>
      <c r="V356" s="7"/>
      <c r="X356" s="7"/>
      <c r="Y356" s="7"/>
      <c r="Z356" s="7"/>
      <c r="AA356" s="7" t="str">
        <f t="shared" si="35"/>
        <v/>
      </c>
      <c r="AB356" s="7"/>
      <c r="AC356" s="7"/>
      <c r="AQ356" s="7" t="str">
        <f t="shared" si="36"/>
        <v/>
      </c>
      <c r="AR356" s="7" t="str">
        <f t="shared" si="37"/>
        <v/>
      </c>
      <c r="AS356" s="7" t="str">
        <f t="shared" si="38"/>
        <v/>
      </c>
      <c r="AT356" s="7" t="str">
        <f t="shared" si="39"/>
        <v/>
      </c>
      <c r="AU356" s="7" t="str">
        <f t="shared" si="40"/>
        <v/>
      </c>
      <c r="AV356" s="7" t="str">
        <f t="shared" si="41"/>
        <v/>
      </c>
      <c r="AW356" s="7" t="str">
        <f>IF('RFQ-Input'!O355="","",'RFQ-Input'!O355)</f>
        <v/>
      </c>
      <c r="AX356" s="7" t="str">
        <f>IF('RFQ-Input'!S355="","",'RFQ-Input'!S355)</f>
        <v/>
      </c>
      <c r="AY356" s="7" t="str">
        <f>IF('RFQ-Input'!V355="","",'RFQ-Input'!V355)</f>
        <v/>
      </c>
      <c r="AZ356" s="7" t="str">
        <f>IF('RFQ-Input'!Y355="","",'RFQ-Input'!Y355)</f>
        <v/>
      </c>
      <c r="BA356" s="7" t="str">
        <f>IF('RFQ-Input'!AB355="","",'RFQ-Input'!AB355)</f>
        <v/>
      </c>
    </row>
    <row r="357" spans="1:53">
      <c r="A357" s="20">
        <v>353</v>
      </c>
      <c r="B357" s="7"/>
      <c r="C357" s="7" t="str">
        <f>IF('RFQ-Input'!C356="","",'RFQ-Input'!C356)</f>
        <v/>
      </c>
      <c r="D357" s="7" t="str">
        <f>IF('RFQ-Input'!D356="","",'RFQ-Input'!D356)</f>
        <v/>
      </c>
      <c r="E357" s="7" t="str">
        <f>IF('RFQ-Input'!E356="","",'RFQ-Input'!E356)</f>
        <v/>
      </c>
      <c r="F357" s="7" t="str">
        <f>IF('RFQ-Input'!F356="","",'RFQ-Input'!F356)</f>
        <v/>
      </c>
      <c r="G357" s="7" t="str">
        <f>IF('RFQ-Input'!G356="","",'RFQ-Input'!G356)</f>
        <v/>
      </c>
      <c r="H357" s="7" t="str">
        <f>IF('RFQ-Input'!H356="","",'RFQ-Input'!H356)</f>
        <v/>
      </c>
      <c r="I357" s="7" t="str">
        <f>IF('RFQ-Input'!I356="","",'RFQ-Input'!I356)</f>
        <v/>
      </c>
      <c r="J357" s="7" t="str">
        <f>IF('RFQ-Input'!J356="","",'RFQ-Input'!J356)</f>
        <v/>
      </c>
      <c r="K357" s="7" t="str">
        <f>IF('RFQ-Input'!K356="","",'RFQ-Input'!K356)</f>
        <v/>
      </c>
      <c r="L357" s="7" t="str">
        <f>IF('RFQ-Input'!L356="","",'RFQ-Input'!L356)</f>
        <v/>
      </c>
      <c r="M357" s="7" t="str">
        <f>IF('RFQ-Input'!M356="","",'RFQ-Input'!M356)</f>
        <v/>
      </c>
      <c r="N357" s="7" t="str">
        <f>IF('RFQ-Input'!N356="","",'RFQ-Input'!N356)</f>
        <v/>
      </c>
      <c r="O357" s="7" t="str">
        <f>IF('RFQ-Input'!O356="","",'RFQ-Input'!O356)</f>
        <v/>
      </c>
      <c r="Q357" s="7"/>
      <c r="R357" s="7"/>
      <c r="S357" s="7"/>
      <c r="T357" s="7"/>
      <c r="U357" s="7"/>
      <c r="V357" s="7"/>
      <c r="X357" s="7"/>
      <c r="Y357" s="7"/>
      <c r="Z357" s="7"/>
      <c r="AA357" s="7" t="str">
        <f t="shared" si="35"/>
        <v/>
      </c>
      <c r="AB357" s="7"/>
      <c r="AC357" s="7"/>
      <c r="AQ357" s="7" t="str">
        <f t="shared" si="36"/>
        <v/>
      </c>
      <c r="AR357" s="7" t="str">
        <f t="shared" si="37"/>
        <v/>
      </c>
      <c r="AS357" s="7" t="str">
        <f t="shared" si="38"/>
        <v/>
      </c>
      <c r="AT357" s="7" t="str">
        <f t="shared" si="39"/>
        <v/>
      </c>
      <c r="AU357" s="7" t="str">
        <f t="shared" si="40"/>
        <v/>
      </c>
      <c r="AV357" s="7" t="str">
        <f t="shared" si="41"/>
        <v/>
      </c>
      <c r="AW357" s="7" t="str">
        <f>IF('RFQ-Input'!O356="","",'RFQ-Input'!O356)</f>
        <v/>
      </c>
      <c r="AX357" s="7" t="str">
        <f>IF('RFQ-Input'!S356="","",'RFQ-Input'!S356)</f>
        <v/>
      </c>
      <c r="AY357" s="7" t="str">
        <f>IF('RFQ-Input'!V356="","",'RFQ-Input'!V356)</f>
        <v/>
      </c>
      <c r="AZ357" s="7" t="str">
        <f>IF('RFQ-Input'!Y356="","",'RFQ-Input'!Y356)</f>
        <v/>
      </c>
      <c r="BA357" s="7" t="str">
        <f>IF('RFQ-Input'!AB356="","",'RFQ-Input'!AB356)</f>
        <v/>
      </c>
    </row>
    <row r="358" spans="1:53">
      <c r="A358" s="20">
        <v>354</v>
      </c>
      <c r="B358" s="7"/>
      <c r="C358" s="7" t="str">
        <f>IF('RFQ-Input'!C357="","",'RFQ-Input'!C357)</f>
        <v/>
      </c>
      <c r="D358" s="7" t="str">
        <f>IF('RFQ-Input'!D357="","",'RFQ-Input'!D357)</f>
        <v/>
      </c>
      <c r="E358" s="7" t="str">
        <f>IF('RFQ-Input'!E357="","",'RFQ-Input'!E357)</f>
        <v/>
      </c>
      <c r="F358" s="7" t="str">
        <f>IF('RFQ-Input'!F357="","",'RFQ-Input'!F357)</f>
        <v/>
      </c>
      <c r="G358" s="7" t="str">
        <f>IF('RFQ-Input'!G357="","",'RFQ-Input'!G357)</f>
        <v/>
      </c>
      <c r="H358" s="7" t="str">
        <f>IF('RFQ-Input'!H357="","",'RFQ-Input'!H357)</f>
        <v/>
      </c>
      <c r="I358" s="7" t="str">
        <f>IF('RFQ-Input'!I357="","",'RFQ-Input'!I357)</f>
        <v/>
      </c>
      <c r="J358" s="7" t="str">
        <f>IF('RFQ-Input'!J357="","",'RFQ-Input'!J357)</f>
        <v/>
      </c>
      <c r="K358" s="7" t="str">
        <f>IF('RFQ-Input'!K357="","",'RFQ-Input'!K357)</f>
        <v/>
      </c>
      <c r="L358" s="7" t="str">
        <f>IF('RFQ-Input'!L357="","",'RFQ-Input'!L357)</f>
        <v/>
      </c>
      <c r="M358" s="7" t="str">
        <f>IF('RFQ-Input'!M357="","",'RFQ-Input'!M357)</f>
        <v/>
      </c>
      <c r="N358" s="7" t="str">
        <f>IF('RFQ-Input'!N357="","",'RFQ-Input'!N357)</f>
        <v/>
      </c>
      <c r="O358" s="7" t="str">
        <f>IF('RFQ-Input'!O357="","",'RFQ-Input'!O357)</f>
        <v/>
      </c>
      <c r="Q358" s="7"/>
      <c r="R358" s="7"/>
      <c r="S358" s="7"/>
      <c r="T358" s="7"/>
      <c r="U358" s="7"/>
      <c r="V358" s="7"/>
      <c r="X358" s="7"/>
      <c r="Y358" s="7"/>
      <c r="Z358" s="7"/>
      <c r="AA358" s="7" t="str">
        <f t="shared" si="35"/>
        <v/>
      </c>
      <c r="AB358" s="7"/>
      <c r="AC358" s="7"/>
      <c r="AQ358" s="7" t="str">
        <f t="shared" si="36"/>
        <v/>
      </c>
      <c r="AR358" s="7" t="str">
        <f t="shared" si="37"/>
        <v/>
      </c>
      <c r="AS358" s="7" t="str">
        <f t="shared" si="38"/>
        <v/>
      </c>
      <c r="AT358" s="7" t="str">
        <f t="shared" si="39"/>
        <v/>
      </c>
      <c r="AU358" s="7" t="str">
        <f t="shared" si="40"/>
        <v/>
      </c>
      <c r="AV358" s="7" t="str">
        <f t="shared" si="41"/>
        <v/>
      </c>
      <c r="AW358" s="7" t="str">
        <f>IF('RFQ-Input'!O357="","",'RFQ-Input'!O357)</f>
        <v/>
      </c>
      <c r="AX358" s="7" t="str">
        <f>IF('RFQ-Input'!S357="","",'RFQ-Input'!S357)</f>
        <v/>
      </c>
      <c r="AY358" s="7" t="str">
        <f>IF('RFQ-Input'!V357="","",'RFQ-Input'!V357)</f>
        <v/>
      </c>
      <c r="AZ358" s="7" t="str">
        <f>IF('RFQ-Input'!Y357="","",'RFQ-Input'!Y357)</f>
        <v/>
      </c>
      <c r="BA358" s="7" t="str">
        <f>IF('RFQ-Input'!AB357="","",'RFQ-Input'!AB357)</f>
        <v/>
      </c>
    </row>
    <row r="359" spans="1:53">
      <c r="A359" s="20">
        <v>355</v>
      </c>
      <c r="B359" s="7"/>
      <c r="C359" s="7" t="str">
        <f>IF('RFQ-Input'!C358="","",'RFQ-Input'!C358)</f>
        <v/>
      </c>
      <c r="D359" s="7" t="str">
        <f>IF('RFQ-Input'!D358="","",'RFQ-Input'!D358)</f>
        <v/>
      </c>
      <c r="E359" s="7" t="str">
        <f>IF('RFQ-Input'!E358="","",'RFQ-Input'!E358)</f>
        <v/>
      </c>
      <c r="F359" s="7" t="str">
        <f>IF('RFQ-Input'!F358="","",'RFQ-Input'!F358)</f>
        <v/>
      </c>
      <c r="G359" s="7" t="str">
        <f>IF('RFQ-Input'!G358="","",'RFQ-Input'!G358)</f>
        <v/>
      </c>
      <c r="H359" s="7" t="str">
        <f>IF('RFQ-Input'!H358="","",'RFQ-Input'!H358)</f>
        <v/>
      </c>
      <c r="I359" s="7" t="str">
        <f>IF('RFQ-Input'!I358="","",'RFQ-Input'!I358)</f>
        <v/>
      </c>
      <c r="J359" s="7" t="str">
        <f>IF('RFQ-Input'!J358="","",'RFQ-Input'!J358)</f>
        <v/>
      </c>
      <c r="K359" s="7" t="str">
        <f>IF('RFQ-Input'!K358="","",'RFQ-Input'!K358)</f>
        <v/>
      </c>
      <c r="L359" s="7" t="str">
        <f>IF('RFQ-Input'!L358="","",'RFQ-Input'!L358)</f>
        <v/>
      </c>
      <c r="M359" s="7" t="str">
        <f>IF('RFQ-Input'!M358="","",'RFQ-Input'!M358)</f>
        <v/>
      </c>
      <c r="N359" s="7" t="str">
        <f>IF('RFQ-Input'!N358="","",'RFQ-Input'!N358)</f>
        <v/>
      </c>
      <c r="O359" s="7" t="str">
        <f>IF('RFQ-Input'!O358="","",'RFQ-Input'!O358)</f>
        <v/>
      </c>
      <c r="Q359" s="7"/>
      <c r="R359" s="7"/>
      <c r="S359" s="7"/>
      <c r="T359" s="7"/>
      <c r="U359" s="7"/>
      <c r="V359" s="7"/>
      <c r="X359" s="7"/>
      <c r="Y359" s="7"/>
      <c r="Z359" s="7"/>
      <c r="AA359" s="7" t="str">
        <f t="shared" si="35"/>
        <v/>
      </c>
      <c r="AB359" s="7"/>
      <c r="AC359" s="7"/>
      <c r="AQ359" s="7" t="str">
        <f t="shared" si="36"/>
        <v/>
      </c>
      <c r="AR359" s="7" t="str">
        <f t="shared" si="37"/>
        <v/>
      </c>
      <c r="AS359" s="7" t="str">
        <f t="shared" si="38"/>
        <v/>
      </c>
      <c r="AT359" s="7" t="str">
        <f t="shared" si="39"/>
        <v/>
      </c>
      <c r="AU359" s="7" t="str">
        <f t="shared" si="40"/>
        <v/>
      </c>
      <c r="AV359" s="7" t="str">
        <f t="shared" si="41"/>
        <v/>
      </c>
      <c r="AW359" s="7" t="str">
        <f>IF('RFQ-Input'!O358="","",'RFQ-Input'!O358)</f>
        <v/>
      </c>
      <c r="AX359" s="7" t="str">
        <f>IF('RFQ-Input'!S358="","",'RFQ-Input'!S358)</f>
        <v/>
      </c>
      <c r="AY359" s="7" t="str">
        <f>IF('RFQ-Input'!V358="","",'RFQ-Input'!V358)</f>
        <v/>
      </c>
      <c r="AZ359" s="7" t="str">
        <f>IF('RFQ-Input'!Y358="","",'RFQ-Input'!Y358)</f>
        <v/>
      </c>
      <c r="BA359" s="7" t="str">
        <f>IF('RFQ-Input'!AB358="","",'RFQ-Input'!AB358)</f>
        <v/>
      </c>
    </row>
    <row r="360" spans="1:53">
      <c r="A360" s="20">
        <v>356</v>
      </c>
      <c r="B360" s="7"/>
      <c r="C360" s="7" t="str">
        <f>IF('RFQ-Input'!C359="","",'RFQ-Input'!C359)</f>
        <v/>
      </c>
      <c r="D360" s="7" t="str">
        <f>IF('RFQ-Input'!D359="","",'RFQ-Input'!D359)</f>
        <v/>
      </c>
      <c r="E360" s="7" t="str">
        <f>IF('RFQ-Input'!E359="","",'RFQ-Input'!E359)</f>
        <v/>
      </c>
      <c r="F360" s="7" t="str">
        <f>IF('RFQ-Input'!F359="","",'RFQ-Input'!F359)</f>
        <v/>
      </c>
      <c r="G360" s="7" t="str">
        <f>IF('RFQ-Input'!G359="","",'RFQ-Input'!G359)</f>
        <v/>
      </c>
      <c r="H360" s="7" t="str">
        <f>IF('RFQ-Input'!H359="","",'RFQ-Input'!H359)</f>
        <v/>
      </c>
      <c r="I360" s="7" t="str">
        <f>IF('RFQ-Input'!I359="","",'RFQ-Input'!I359)</f>
        <v/>
      </c>
      <c r="J360" s="7" t="str">
        <f>IF('RFQ-Input'!J359="","",'RFQ-Input'!J359)</f>
        <v/>
      </c>
      <c r="K360" s="7" t="str">
        <f>IF('RFQ-Input'!K359="","",'RFQ-Input'!K359)</f>
        <v/>
      </c>
      <c r="L360" s="7" t="str">
        <f>IF('RFQ-Input'!L359="","",'RFQ-Input'!L359)</f>
        <v/>
      </c>
      <c r="M360" s="7" t="str">
        <f>IF('RFQ-Input'!M359="","",'RFQ-Input'!M359)</f>
        <v/>
      </c>
      <c r="N360" s="7" t="str">
        <f>IF('RFQ-Input'!N359="","",'RFQ-Input'!N359)</f>
        <v/>
      </c>
      <c r="O360" s="7" t="str">
        <f>IF('RFQ-Input'!O359="","",'RFQ-Input'!O359)</f>
        <v/>
      </c>
      <c r="Q360" s="7"/>
      <c r="R360" s="7"/>
      <c r="S360" s="7"/>
      <c r="T360" s="7"/>
      <c r="U360" s="7"/>
      <c r="V360" s="7"/>
      <c r="X360" s="7"/>
      <c r="Y360" s="7"/>
      <c r="Z360" s="7"/>
      <c r="AA360" s="7" t="str">
        <f t="shared" si="35"/>
        <v/>
      </c>
      <c r="AB360" s="7"/>
      <c r="AC360" s="7"/>
      <c r="AQ360" s="7" t="str">
        <f t="shared" si="36"/>
        <v/>
      </c>
      <c r="AR360" s="7" t="str">
        <f t="shared" si="37"/>
        <v/>
      </c>
      <c r="AS360" s="7" t="str">
        <f t="shared" si="38"/>
        <v/>
      </c>
      <c r="AT360" s="7" t="str">
        <f t="shared" si="39"/>
        <v/>
      </c>
      <c r="AU360" s="7" t="str">
        <f t="shared" si="40"/>
        <v/>
      </c>
      <c r="AV360" s="7" t="str">
        <f t="shared" si="41"/>
        <v/>
      </c>
      <c r="AW360" s="7" t="str">
        <f>IF('RFQ-Input'!O359="","",'RFQ-Input'!O359)</f>
        <v/>
      </c>
      <c r="AX360" s="7" t="str">
        <f>IF('RFQ-Input'!S359="","",'RFQ-Input'!S359)</f>
        <v/>
      </c>
      <c r="AY360" s="7" t="str">
        <f>IF('RFQ-Input'!V359="","",'RFQ-Input'!V359)</f>
        <v/>
      </c>
      <c r="AZ360" s="7" t="str">
        <f>IF('RFQ-Input'!Y359="","",'RFQ-Input'!Y359)</f>
        <v/>
      </c>
      <c r="BA360" s="7" t="str">
        <f>IF('RFQ-Input'!AB359="","",'RFQ-Input'!AB359)</f>
        <v/>
      </c>
    </row>
    <row r="361" spans="1:53">
      <c r="A361" s="20">
        <v>357</v>
      </c>
      <c r="B361" s="7"/>
      <c r="C361" s="7" t="str">
        <f>IF('RFQ-Input'!C360="","",'RFQ-Input'!C360)</f>
        <v/>
      </c>
      <c r="D361" s="7" t="str">
        <f>IF('RFQ-Input'!D360="","",'RFQ-Input'!D360)</f>
        <v/>
      </c>
      <c r="E361" s="7" t="str">
        <f>IF('RFQ-Input'!E360="","",'RFQ-Input'!E360)</f>
        <v/>
      </c>
      <c r="F361" s="7" t="str">
        <f>IF('RFQ-Input'!F360="","",'RFQ-Input'!F360)</f>
        <v/>
      </c>
      <c r="G361" s="7" t="str">
        <f>IF('RFQ-Input'!G360="","",'RFQ-Input'!G360)</f>
        <v/>
      </c>
      <c r="H361" s="7" t="str">
        <f>IF('RFQ-Input'!H360="","",'RFQ-Input'!H360)</f>
        <v/>
      </c>
      <c r="I361" s="7" t="str">
        <f>IF('RFQ-Input'!I360="","",'RFQ-Input'!I360)</f>
        <v/>
      </c>
      <c r="J361" s="7" t="str">
        <f>IF('RFQ-Input'!J360="","",'RFQ-Input'!J360)</f>
        <v/>
      </c>
      <c r="K361" s="7" t="str">
        <f>IF('RFQ-Input'!K360="","",'RFQ-Input'!K360)</f>
        <v/>
      </c>
      <c r="L361" s="7" t="str">
        <f>IF('RFQ-Input'!L360="","",'RFQ-Input'!L360)</f>
        <v/>
      </c>
      <c r="M361" s="7" t="str">
        <f>IF('RFQ-Input'!M360="","",'RFQ-Input'!M360)</f>
        <v/>
      </c>
      <c r="N361" s="7" t="str">
        <f>IF('RFQ-Input'!N360="","",'RFQ-Input'!N360)</f>
        <v/>
      </c>
      <c r="O361" s="7" t="str">
        <f>IF('RFQ-Input'!O360="","",'RFQ-Input'!O360)</f>
        <v/>
      </c>
      <c r="Q361" s="7"/>
      <c r="R361" s="7"/>
      <c r="S361" s="7"/>
      <c r="T361" s="7"/>
      <c r="U361" s="7"/>
      <c r="V361" s="7"/>
      <c r="X361" s="7"/>
      <c r="Y361" s="7"/>
      <c r="Z361" s="7"/>
      <c r="AA361" s="7" t="str">
        <f t="shared" si="35"/>
        <v/>
      </c>
      <c r="AB361" s="7"/>
      <c r="AC361" s="7"/>
      <c r="AQ361" s="7" t="str">
        <f t="shared" si="36"/>
        <v/>
      </c>
      <c r="AR361" s="7" t="str">
        <f t="shared" si="37"/>
        <v/>
      </c>
      <c r="AS361" s="7" t="str">
        <f t="shared" si="38"/>
        <v/>
      </c>
      <c r="AT361" s="7" t="str">
        <f t="shared" si="39"/>
        <v/>
      </c>
      <c r="AU361" s="7" t="str">
        <f t="shared" si="40"/>
        <v/>
      </c>
      <c r="AV361" s="7" t="str">
        <f t="shared" si="41"/>
        <v/>
      </c>
      <c r="AW361" s="7" t="str">
        <f>IF('RFQ-Input'!O360="","",'RFQ-Input'!O360)</f>
        <v/>
      </c>
      <c r="AX361" s="7" t="str">
        <f>IF('RFQ-Input'!S360="","",'RFQ-Input'!S360)</f>
        <v/>
      </c>
      <c r="AY361" s="7" t="str">
        <f>IF('RFQ-Input'!V360="","",'RFQ-Input'!V360)</f>
        <v/>
      </c>
      <c r="AZ361" s="7" t="str">
        <f>IF('RFQ-Input'!Y360="","",'RFQ-Input'!Y360)</f>
        <v/>
      </c>
      <c r="BA361" s="7" t="str">
        <f>IF('RFQ-Input'!AB360="","",'RFQ-Input'!AB360)</f>
        <v/>
      </c>
    </row>
    <row r="362" spans="1:53">
      <c r="A362" s="20">
        <v>358</v>
      </c>
      <c r="B362" s="7"/>
      <c r="C362" s="7" t="str">
        <f>IF('RFQ-Input'!C361="","",'RFQ-Input'!C361)</f>
        <v/>
      </c>
      <c r="D362" s="7" t="str">
        <f>IF('RFQ-Input'!D361="","",'RFQ-Input'!D361)</f>
        <v/>
      </c>
      <c r="E362" s="7" t="str">
        <f>IF('RFQ-Input'!E361="","",'RFQ-Input'!E361)</f>
        <v/>
      </c>
      <c r="F362" s="7" t="str">
        <f>IF('RFQ-Input'!F361="","",'RFQ-Input'!F361)</f>
        <v/>
      </c>
      <c r="G362" s="7" t="str">
        <f>IF('RFQ-Input'!G361="","",'RFQ-Input'!G361)</f>
        <v/>
      </c>
      <c r="H362" s="7" t="str">
        <f>IF('RFQ-Input'!H361="","",'RFQ-Input'!H361)</f>
        <v/>
      </c>
      <c r="I362" s="7" t="str">
        <f>IF('RFQ-Input'!I361="","",'RFQ-Input'!I361)</f>
        <v/>
      </c>
      <c r="J362" s="7" t="str">
        <f>IF('RFQ-Input'!J361="","",'RFQ-Input'!J361)</f>
        <v/>
      </c>
      <c r="K362" s="7" t="str">
        <f>IF('RFQ-Input'!K361="","",'RFQ-Input'!K361)</f>
        <v/>
      </c>
      <c r="L362" s="7" t="str">
        <f>IF('RFQ-Input'!L361="","",'RFQ-Input'!L361)</f>
        <v/>
      </c>
      <c r="M362" s="7" t="str">
        <f>IF('RFQ-Input'!M361="","",'RFQ-Input'!M361)</f>
        <v/>
      </c>
      <c r="N362" s="7" t="str">
        <f>IF('RFQ-Input'!N361="","",'RFQ-Input'!N361)</f>
        <v/>
      </c>
      <c r="O362" s="7" t="str">
        <f>IF('RFQ-Input'!O361="","",'RFQ-Input'!O361)</f>
        <v/>
      </c>
      <c r="Q362" s="7"/>
      <c r="R362" s="7"/>
      <c r="S362" s="7"/>
      <c r="T362" s="7"/>
      <c r="U362" s="7"/>
      <c r="V362" s="7"/>
      <c r="X362" s="7"/>
      <c r="Y362" s="7"/>
      <c r="Z362" s="7"/>
      <c r="AA362" s="7" t="str">
        <f t="shared" si="35"/>
        <v/>
      </c>
      <c r="AB362" s="7"/>
      <c r="AC362" s="7"/>
      <c r="AQ362" s="7" t="str">
        <f t="shared" si="36"/>
        <v/>
      </c>
      <c r="AR362" s="7" t="str">
        <f t="shared" si="37"/>
        <v/>
      </c>
      <c r="AS362" s="7" t="str">
        <f t="shared" si="38"/>
        <v/>
      </c>
      <c r="AT362" s="7" t="str">
        <f t="shared" si="39"/>
        <v/>
      </c>
      <c r="AU362" s="7" t="str">
        <f t="shared" si="40"/>
        <v/>
      </c>
      <c r="AV362" s="7" t="str">
        <f t="shared" si="41"/>
        <v/>
      </c>
      <c r="AW362" s="7" t="str">
        <f>IF('RFQ-Input'!O361="","",'RFQ-Input'!O361)</f>
        <v/>
      </c>
      <c r="AX362" s="7" t="str">
        <f>IF('RFQ-Input'!S361="","",'RFQ-Input'!S361)</f>
        <v/>
      </c>
      <c r="AY362" s="7" t="str">
        <f>IF('RFQ-Input'!V361="","",'RFQ-Input'!V361)</f>
        <v/>
      </c>
      <c r="AZ362" s="7" t="str">
        <f>IF('RFQ-Input'!Y361="","",'RFQ-Input'!Y361)</f>
        <v/>
      </c>
      <c r="BA362" s="7" t="str">
        <f>IF('RFQ-Input'!AB361="","",'RFQ-Input'!AB361)</f>
        <v/>
      </c>
    </row>
    <row r="363" spans="1:53">
      <c r="A363" s="20">
        <v>359</v>
      </c>
      <c r="B363" s="7"/>
      <c r="C363" s="7" t="str">
        <f>IF('RFQ-Input'!C362="","",'RFQ-Input'!C362)</f>
        <v/>
      </c>
      <c r="D363" s="7" t="str">
        <f>IF('RFQ-Input'!D362="","",'RFQ-Input'!D362)</f>
        <v/>
      </c>
      <c r="E363" s="7" t="str">
        <f>IF('RFQ-Input'!E362="","",'RFQ-Input'!E362)</f>
        <v/>
      </c>
      <c r="F363" s="7" t="str">
        <f>IF('RFQ-Input'!F362="","",'RFQ-Input'!F362)</f>
        <v/>
      </c>
      <c r="G363" s="7" t="str">
        <f>IF('RFQ-Input'!G362="","",'RFQ-Input'!G362)</f>
        <v/>
      </c>
      <c r="H363" s="7" t="str">
        <f>IF('RFQ-Input'!H362="","",'RFQ-Input'!H362)</f>
        <v/>
      </c>
      <c r="I363" s="7" t="str">
        <f>IF('RFQ-Input'!I362="","",'RFQ-Input'!I362)</f>
        <v/>
      </c>
      <c r="J363" s="7" t="str">
        <f>IF('RFQ-Input'!J362="","",'RFQ-Input'!J362)</f>
        <v/>
      </c>
      <c r="K363" s="7" t="str">
        <f>IF('RFQ-Input'!K362="","",'RFQ-Input'!K362)</f>
        <v/>
      </c>
      <c r="L363" s="7" t="str">
        <f>IF('RFQ-Input'!L362="","",'RFQ-Input'!L362)</f>
        <v/>
      </c>
      <c r="M363" s="7" t="str">
        <f>IF('RFQ-Input'!M362="","",'RFQ-Input'!M362)</f>
        <v/>
      </c>
      <c r="N363" s="7" t="str">
        <f>IF('RFQ-Input'!N362="","",'RFQ-Input'!N362)</f>
        <v/>
      </c>
      <c r="O363" s="7" t="str">
        <f>IF('RFQ-Input'!O362="","",'RFQ-Input'!O362)</f>
        <v/>
      </c>
      <c r="Q363" s="7"/>
      <c r="R363" s="7"/>
      <c r="S363" s="7"/>
      <c r="T363" s="7"/>
      <c r="U363" s="7"/>
      <c r="V363" s="7"/>
      <c r="X363" s="7"/>
      <c r="Y363" s="7"/>
      <c r="Z363" s="7"/>
      <c r="AA363" s="7" t="str">
        <f t="shared" si="35"/>
        <v/>
      </c>
      <c r="AB363" s="7"/>
      <c r="AC363" s="7"/>
      <c r="AQ363" s="7" t="str">
        <f t="shared" si="36"/>
        <v/>
      </c>
      <c r="AR363" s="7" t="str">
        <f t="shared" si="37"/>
        <v/>
      </c>
      <c r="AS363" s="7" t="str">
        <f t="shared" si="38"/>
        <v/>
      </c>
      <c r="AT363" s="7" t="str">
        <f t="shared" si="39"/>
        <v/>
      </c>
      <c r="AU363" s="7" t="str">
        <f t="shared" si="40"/>
        <v/>
      </c>
      <c r="AV363" s="7" t="str">
        <f t="shared" si="41"/>
        <v/>
      </c>
      <c r="AW363" s="7" t="str">
        <f>IF('RFQ-Input'!O362="","",'RFQ-Input'!O362)</f>
        <v/>
      </c>
      <c r="AX363" s="7" t="str">
        <f>IF('RFQ-Input'!S362="","",'RFQ-Input'!S362)</f>
        <v/>
      </c>
      <c r="AY363" s="7" t="str">
        <f>IF('RFQ-Input'!V362="","",'RFQ-Input'!V362)</f>
        <v/>
      </c>
      <c r="AZ363" s="7" t="str">
        <f>IF('RFQ-Input'!Y362="","",'RFQ-Input'!Y362)</f>
        <v/>
      </c>
      <c r="BA363" s="7" t="str">
        <f>IF('RFQ-Input'!AB362="","",'RFQ-Input'!AB362)</f>
        <v/>
      </c>
    </row>
    <row r="364" spans="1:53">
      <c r="A364" s="20">
        <v>360</v>
      </c>
      <c r="B364" s="7"/>
      <c r="C364" s="7" t="str">
        <f>IF('RFQ-Input'!C363="","",'RFQ-Input'!C363)</f>
        <v/>
      </c>
      <c r="D364" s="7" t="str">
        <f>IF('RFQ-Input'!D363="","",'RFQ-Input'!D363)</f>
        <v/>
      </c>
      <c r="E364" s="7" t="str">
        <f>IF('RFQ-Input'!E363="","",'RFQ-Input'!E363)</f>
        <v/>
      </c>
      <c r="F364" s="7" t="str">
        <f>IF('RFQ-Input'!F363="","",'RFQ-Input'!F363)</f>
        <v/>
      </c>
      <c r="G364" s="7" t="str">
        <f>IF('RFQ-Input'!G363="","",'RFQ-Input'!G363)</f>
        <v/>
      </c>
      <c r="H364" s="7" t="str">
        <f>IF('RFQ-Input'!H363="","",'RFQ-Input'!H363)</f>
        <v/>
      </c>
      <c r="I364" s="7" t="str">
        <f>IF('RFQ-Input'!I363="","",'RFQ-Input'!I363)</f>
        <v/>
      </c>
      <c r="J364" s="7" t="str">
        <f>IF('RFQ-Input'!J363="","",'RFQ-Input'!J363)</f>
        <v/>
      </c>
      <c r="K364" s="7" t="str">
        <f>IF('RFQ-Input'!K363="","",'RFQ-Input'!K363)</f>
        <v/>
      </c>
      <c r="L364" s="7" t="str">
        <f>IF('RFQ-Input'!L363="","",'RFQ-Input'!L363)</f>
        <v/>
      </c>
      <c r="M364" s="7" t="str">
        <f>IF('RFQ-Input'!M363="","",'RFQ-Input'!M363)</f>
        <v/>
      </c>
      <c r="N364" s="7" t="str">
        <f>IF('RFQ-Input'!N363="","",'RFQ-Input'!N363)</f>
        <v/>
      </c>
      <c r="O364" s="7" t="str">
        <f>IF('RFQ-Input'!O363="","",'RFQ-Input'!O363)</f>
        <v/>
      </c>
      <c r="Q364" s="7"/>
      <c r="R364" s="7"/>
      <c r="S364" s="7"/>
      <c r="T364" s="7"/>
      <c r="U364" s="7"/>
      <c r="V364" s="7"/>
      <c r="X364" s="7"/>
      <c r="Y364" s="7"/>
      <c r="Z364" s="7"/>
      <c r="AA364" s="7" t="str">
        <f t="shared" si="35"/>
        <v/>
      </c>
      <c r="AB364" s="7"/>
      <c r="AC364" s="7"/>
      <c r="AQ364" s="7" t="str">
        <f t="shared" si="36"/>
        <v/>
      </c>
      <c r="AR364" s="7" t="str">
        <f t="shared" si="37"/>
        <v/>
      </c>
      <c r="AS364" s="7" t="str">
        <f t="shared" si="38"/>
        <v/>
      </c>
      <c r="AT364" s="7" t="str">
        <f t="shared" si="39"/>
        <v/>
      </c>
      <c r="AU364" s="7" t="str">
        <f t="shared" si="40"/>
        <v/>
      </c>
      <c r="AV364" s="7" t="str">
        <f t="shared" si="41"/>
        <v/>
      </c>
      <c r="AW364" s="7" t="str">
        <f>IF('RFQ-Input'!O363="","",'RFQ-Input'!O363)</f>
        <v/>
      </c>
      <c r="AX364" s="7" t="str">
        <f>IF('RFQ-Input'!S363="","",'RFQ-Input'!S363)</f>
        <v/>
      </c>
      <c r="AY364" s="7" t="str">
        <f>IF('RFQ-Input'!V363="","",'RFQ-Input'!V363)</f>
        <v/>
      </c>
      <c r="AZ364" s="7" t="str">
        <f>IF('RFQ-Input'!Y363="","",'RFQ-Input'!Y363)</f>
        <v/>
      </c>
      <c r="BA364" s="7" t="str">
        <f>IF('RFQ-Input'!AB363="","",'RFQ-Input'!AB363)</f>
        <v/>
      </c>
    </row>
    <row r="365" spans="1:53">
      <c r="A365" s="20">
        <v>361</v>
      </c>
      <c r="B365" s="7"/>
      <c r="C365" s="7" t="str">
        <f>IF('RFQ-Input'!C364="","",'RFQ-Input'!C364)</f>
        <v/>
      </c>
      <c r="D365" s="7" t="str">
        <f>IF('RFQ-Input'!D364="","",'RFQ-Input'!D364)</f>
        <v/>
      </c>
      <c r="E365" s="7" t="str">
        <f>IF('RFQ-Input'!E364="","",'RFQ-Input'!E364)</f>
        <v/>
      </c>
      <c r="F365" s="7" t="str">
        <f>IF('RFQ-Input'!F364="","",'RFQ-Input'!F364)</f>
        <v/>
      </c>
      <c r="G365" s="7" t="str">
        <f>IF('RFQ-Input'!G364="","",'RFQ-Input'!G364)</f>
        <v/>
      </c>
      <c r="H365" s="7" t="str">
        <f>IF('RFQ-Input'!H364="","",'RFQ-Input'!H364)</f>
        <v/>
      </c>
      <c r="I365" s="7" t="str">
        <f>IF('RFQ-Input'!I364="","",'RFQ-Input'!I364)</f>
        <v/>
      </c>
      <c r="J365" s="7" t="str">
        <f>IF('RFQ-Input'!J364="","",'RFQ-Input'!J364)</f>
        <v/>
      </c>
      <c r="K365" s="7" t="str">
        <f>IF('RFQ-Input'!K364="","",'RFQ-Input'!K364)</f>
        <v/>
      </c>
      <c r="L365" s="7" t="str">
        <f>IF('RFQ-Input'!L364="","",'RFQ-Input'!L364)</f>
        <v/>
      </c>
      <c r="M365" s="7" t="str">
        <f>IF('RFQ-Input'!M364="","",'RFQ-Input'!M364)</f>
        <v/>
      </c>
      <c r="N365" s="7" t="str">
        <f>IF('RFQ-Input'!N364="","",'RFQ-Input'!N364)</f>
        <v/>
      </c>
      <c r="O365" s="7" t="str">
        <f>IF('RFQ-Input'!O364="","",'RFQ-Input'!O364)</f>
        <v/>
      </c>
      <c r="Q365" s="7"/>
      <c r="R365" s="7"/>
      <c r="S365" s="7"/>
      <c r="T365" s="7"/>
      <c r="U365" s="7"/>
      <c r="V365" s="7"/>
      <c r="X365" s="7"/>
      <c r="Y365" s="7"/>
      <c r="Z365" s="7"/>
      <c r="AA365" s="7" t="str">
        <f t="shared" si="35"/>
        <v/>
      </c>
      <c r="AB365" s="7"/>
      <c r="AC365" s="7"/>
      <c r="AQ365" s="7" t="str">
        <f t="shared" si="36"/>
        <v/>
      </c>
      <c r="AR365" s="7" t="str">
        <f t="shared" si="37"/>
        <v/>
      </c>
      <c r="AS365" s="7" t="str">
        <f t="shared" si="38"/>
        <v/>
      </c>
      <c r="AT365" s="7" t="str">
        <f t="shared" si="39"/>
        <v/>
      </c>
      <c r="AU365" s="7" t="str">
        <f t="shared" si="40"/>
        <v/>
      </c>
      <c r="AV365" s="7" t="str">
        <f t="shared" si="41"/>
        <v/>
      </c>
      <c r="AW365" s="7" t="str">
        <f>IF('RFQ-Input'!O364="","",'RFQ-Input'!O364)</f>
        <v/>
      </c>
      <c r="AX365" s="7" t="str">
        <f>IF('RFQ-Input'!S364="","",'RFQ-Input'!S364)</f>
        <v/>
      </c>
      <c r="AY365" s="7" t="str">
        <f>IF('RFQ-Input'!V364="","",'RFQ-Input'!V364)</f>
        <v/>
      </c>
      <c r="AZ365" s="7" t="str">
        <f>IF('RFQ-Input'!Y364="","",'RFQ-Input'!Y364)</f>
        <v/>
      </c>
      <c r="BA365" s="7" t="str">
        <f>IF('RFQ-Input'!AB364="","",'RFQ-Input'!AB364)</f>
        <v/>
      </c>
    </row>
    <row r="366" spans="1:53">
      <c r="A366" s="20">
        <v>362</v>
      </c>
      <c r="B366" s="7"/>
      <c r="C366" s="7" t="str">
        <f>IF('RFQ-Input'!C365="","",'RFQ-Input'!C365)</f>
        <v/>
      </c>
      <c r="D366" s="7" t="str">
        <f>IF('RFQ-Input'!D365="","",'RFQ-Input'!D365)</f>
        <v/>
      </c>
      <c r="E366" s="7" t="str">
        <f>IF('RFQ-Input'!E365="","",'RFQ-Input'!E365)</f>
        <v/>
      </c>
      <c r="F366" s="7" t="str">
        <f>IF('RFQ-Input'!F365="","",'RFQ-Input'!F365)</f>
        <v/>
      </c>
      <c r="G366" s="7" t="str">
        <f>IF('RFQ-Input'!G365="","",'RFQ-Input'!G365)</f>
        <v/>
      </c>
      <c r="H366" s="7" t="str">
        <f>IF('RFQ-Input'!H365="","",'RFQ-Input'!H365)</f>
        <v/>
      </c>
      <c r="I366" s="7" t="str">
        <f>IF('RFQ-Input'!I365="","",'RFQ-Input'!I365)</f>
        <v/>
      </c>
      <c r="J366" s="7" t="str">
        <f>IF('RFQ-Input'!J365="","",'RFQ-Input'!J365)</f>
        <v/>
      </c>
      <c r="K366" s="7" t="str">
        <f>IF('RFQ-Input'!K365="","",'RFQ-Input'!K365)</f>
        <v/>
      </c>
      <c r="L366" s="7" t="str">
        <f>IF('RFQ-Input'!L365="","",'RFQ-Input'!L365)</f>
        <v/>
      </c>
      <c r="M366" s="7" t="str">
        <f>IF('RFQ-Input'!M365="","",'RFQ-Input'!M365)</f>
        <v/>
      </c>
      <c r="N366" s="7" t="str">
        <f>IF('RFQ-Input'!N365="","",'RFQ-Input'!N365)</f>
        <v/>
      </c>
      <c r="O366" s="7" t="str">
        <f>IF('RFQ-Input'!O365="","",'RFQ-Input'!O365)</f>
        <v/>
      </c>
      <c r="Q366" s="7"/>
      <c r="R366" s="7"/>
      <c r="S366" s="7"/>
      <c r="T366" s="7"/>
      <c r="U366" s="7"/>
      <c r="V366" s="7"/>
      <c r="X366" s="7"/>
      <c r="Y366" s="7"/>
      <c r="Z366" s="7"/>
      <c r="AA366" s="7" t="str">
        <f t="shared" si="35"/>
        <v/>
      </c>
      <c r="AB366" s="7"/>
      <c r="AC366" s="7"/>
      <c r="AQ366" s="7" t="str">
        <f t="shared" si="36"/>
        <v/>
      </c>
      <c r="AR366" s="7" t="str">
        <f t="shared" si="37"/>
        <v/>
      </c>
      <c r="AS366" s="7" t="str">
        <f t="shared" si="38"/>
        <v/>
      </c>
      <c r="AT366" s="7" t="str">
        <f t="shared" si="39"/>
        <v/>
      </c>
      <c r="AU366" s="7" t="str">
        <f t="shared" si="40"/>
        <v/>
      </c>
      <c r="AV366" s="7" t="str">
        <f t="shared" si="41"/>
        <v/>
      </c>
      <c r="AW366" s="7" t="str">
        <f>IF('RFQ-Input'!O365="","",'RFQ-Input'!O365)</f>
        <v/>
      </c>
      <c r="AX366" s="7" t="str">
        <f>IF('RFQ-Input'!S365="","",'RFQ-Input'!S365)</f>
        <v/>
      </c>
      <c r="AY366" s="7" t="str">
        <f>IF('RFQ-Input'!V365="","",'RFQ-Input'!V365)</f>
        <v/>
      </c>
      <c r="AZ366" s="7" t="str">
        <f>IF('RFQ-Input'!Y365="","",'RFQ-Input'!Y365)</f>
        <v/>
      </c>
      <c r="BA366" s="7" t="str">
        <f>IF('RFQ-Input'!AB365="","",'RFQ-Input'!AB365)</f>
        <v/>
      </c>
    </row>
    <row r="367" spans="1:53">
      <c r="A367" s="20">
        <v>363</v>
      </c>
      <c r="B367" s="7"/>
      <c r="C367" s="7" t="str">
        <f>IF('RFQ-Input'!C366="","",'RFQ-Input'!C366)</f>
        <v/>
      </c>
      <c r="D367" s="7" t="str">
        <f>IF('RFQ-Input'!D366="","",'RFQ-Input'!D366)</f>
        <v/>
      </c>
      <c r="E367" s="7" t="str">
        <f>IF('RFQ-Input'!E366="","",'RFQ-Input'!E366)</f>
        <v/>
      </c>
      <c r="F367" s="7" t="str">
        <f>IF('RFQ-Input'!F366="","",'RFQ-Input'!F366)</f>
        <v/>
      </c>
      <c r="G367" s="7" t="str">
        <f>IF('RFQ-Input'!G366="","",'RFQ-Input'!G366)</f>
        <v/>
      </c>
      <c r="H367" s="7" t="str">
        <f>IF('RFQ-Input'!H366="","",'RFQ-Input'!H366)</f>
        <v/>
      </c>
      <c r="I367" s="7" t="str">
        <f>IF('RFQ-Input'!I366="","",'RFQ-Input'!I366)</f>
        <v/>
      </c>
      <c r="J367" s="7" t="str">
        <f>IF('RFQ-Input'!J366="","",'RFQ-Input'!J366)</f>
        <v/>
      </c>
      <c r="K367" s="7" t="str">
        <f>IF('RFQ-Input'!K366="","",'RFQ-Input'!K366)</f>
        <v/>
      </c>
      <c r="L367" s="7" t="str">
        <f>IF('RFQ-Input'!L366="","",'RFQ-Input'!L366)</f>
        <v/>
      </c>
      <c r="M367" s="7" t="str">
        <f>IF('RFQ-Input'!M366="","",'RFQ-Input'!M366)</f>
        <v/>
      </c>
      <c r="N367" s="7" t="str">
        <f>IF('RFQ-Input'!N366="","",'RFQ-Input'!N366)</f>
        <v/>
      </c>
      <c r="O367" s="7" t="str">
        <f>IF('RFQ-Input'!O366="","",'RFQ-Input'!O366)</f>
        <v/>
      </c>
      <c r="Q367" s="7"/>
      <c r="R367" s="7"/>
      <c r="S367" s="7"/>
      <c r="T367" s="7"/>
      <c r="U367" s="7"/>
      <c r="V367" s="7"/>
      <c r="X367" s="7"/>
      <c r="Y367" s="7"/>
      <c r="Z367" s="7"/>
      <c r="AA367" s="7" t="str">
        <f t="shared" si="35"/>
        <v/>
      </c>
      <c r="AB367" s="7"/>
      <c r="AC367" s="7"/>
      <c r="AQ367" s="7" t="str">
        <f t="shared" si="36"/>
        <v/>
      </c>
      <c r="AR367" s="7" t="str">
        <f t="shared" si="37"/>
        <v/>
      </c>
      <c r="AS367" s="7" t="str">
        <f t="shared" si="38"/>
        <v/>
      </c>
      <c r="AT367" s="7" t="str">
        <f t="shared" si="39"/>
        <v/>
      </c>
      <c r="AU367" s="7" t="str">
        <f t="shared" si="40"/>
        <v/>
      </c>
      <c r="AV367" s="7" t="str">
        <f t="shared" si="41"/>
        <v/>
      </c>
      <c r="AW367" s="7" t="str">
        <f>IF('RFQ-Input'!O366="","",'RFQ-Input'!O366)</f>
        <v/>
      </c>
      <c r="AX367" s="7" t="str">
        <f>IF('RFQ-Input'!S366="","",'RFQ-Input'!S366)</f>
        <v/>
      </c>
      <c r="AY367" s="7" t="str">
        <f>IF('RFQ-Input'!V366="","",'RFQ-Input'!V366)</f>
        <v/>
      </c>
      <c r="AZ367" s="7" t="str">
        <f>IF('RFQ-Input'!Y366="","",'RFQ-Input'!Y366)</f>
        <v/>
      </c>
      <c r="BA367" s="7" t="str">
        <f>IF('RFQ-Input'!AB366="","",'RFQ-Input'!AB366)</f>
        <v/>
      </c>
    </row>
    <row r="368" spans="1:53">
      <c r="A368" s="20">
        <v>364</v>
      </c>
      <c r="B368" s="7"/>
      <c r="C368" s="7" t="str">
        <f>IF('RFQ-Input'!C367="","",'RFQ-Input'!C367)</f>
        <v/>
      </c>
      <c r="D368" s="7" t="str">
        <f>IF('RFQ-Input'!D367="","",'RFQ-Input'!D367)</f>
        <v/>
      </c>
      <c r="E368" s="7" t="str">
        <f>IF('RFQ-Input'!E367="","",'RFQ-Input'!E367)</f>
        <v/>
      </c>
      <c r="F368" s="7" t="str">
        <f>IF('RFQ-Input'!F367="","",'RFQ-Input'!F367)</f>
        <v/>
      </c>
      <c r="G368" s="7" t="str">
        <f>IF('RFQ-Input'!G367="","",'RFQ-Input'!G367)</f>
        <v/>
      </c>
      <c r="H368" s="7" t="str">
        <f>IF('RFQ-Input'!H367="","",'RFQ-Input'!H367)</f>
        <v/>
      </c>
      <c r="I368" s="7" t="str">
        <f>IF('RFQ-Input'!I367="","",'RFQ-Input'!I367)</f>
        <v/>
      </c>
      <c r="J368" s="7" t="str">
        <f>IF('RFQ-Input'!J367="","",'RFQ-Input'!J367)</f>
        <v/>
      </c>
      <c r="K368" s="7" t="str">
        <f>IF('RFQ-Input'!K367="","",'RFQ-Input'!K367)</f>
        <v/>
      </c>
      <c r="L368" s="7" t="str">
        <f>IF('RFQ-Input'!L367="","",'RFQ-Input'!L367)</f>
        <v/>
      </c>
      <c r="M368" s="7" t="str">
        <f>IF('RFQ-Input'!M367="","",'RFQ-Input'!M367)</f>
        <v/>
      </c>
      <c r="N368" s="7" t="str">
        <f>IF('RFQ-Input'!N367="","",'RFQ-Input'!N367)</f>
        <v/>
      </c>
      <c r="O368" s="7" t="str">
        <f>IF('RFQ-Input'!O367="","",'RFQ-Input'!O367)</f>
        <v/>
      </c>
      <c r="Q368" s="7"/>
      <c r="R368" s="7"/>
      <c r="S368" s="7"/>
      <c r="T368" s="7"/>
      <c r="U368" s="7"/>
      <c r="V368" s="7"/>
      <c r="X368" s="7"/>
      <c r="Y368" s="7"/>
      <c r="Z368" s="7"/>
      <c r="AA368" s="7" t="str">
        <f t="shared" si="35"/>
        <v/>
      </c>
      <c r="AB368" s="7"/>
      <c r="AC368" s="7"/>
      <c r="AQ368" s="7" t="str">
        <f t="shared" si="36"/>
        <v/>
      </c>
      <c r="AR368" s="7" t="str">
        <f t="shared" si="37"/>
        <v/>
      </c>
      <c r="AS368" s="7" t="str">
        <f t="shared" si="38"/>
        <v/>
      </c>
      <c r="AT368" s="7" t="str">
        <f t="shared" si="39"/>
        <v/>
      </c>
      <c r="AU368" s="7" t="str">
        <f t="shared" si="40"/>
        <v/>
      </c>
      <c r="AV368" s="7" t="str">
        <f t="shared" si="41"/>
        <v/>
      </c>
      <c r="AW368" s="7" t="str">
        <f>IF('RFQ-Input'!O367="","",'RFQ-Input'!O367)</f>
        <v/>
      </c>
      <c r="AX368" s="7" t="str">
        <f>IF('RFQ-Input'!S367="","",'RFQ-Input'!S367)</f>
        <v/>
      </c>
      <c r="AY368" s="7" t="str">
        <f>IF('RFQ-Input'!V367="","",'RFQ-Input'!V367)</f>
        <v/>
      </c>
      <c r="AZ368" s="7" t="str">
        <f>IF('RFQ-Input'!Y367="","",'RFQ-Input'!Y367)</f>
        <v/>
      </c>
      <c r="BA368" s="7" t="str">
        <f>IF('RFQ-Input'!AB367="","",'RFQ-Input'!AB367)</f>
        <v/>
      </c>
    </row>
    <row r="369" spans="1:53">
      <c r="A369" s="20">
        <v>365</v>
      </c>
      <c r="B369" s="7"/>
      <c r="C369" s="7" t="str">
        <f>IF('RFQ-Input'!C368="","",'RFQ-Input'!C368)</f>
        <v/>
      </c>
      <c r="D369" s="7" t="str">
        <f>IF('RFQ-Input'!D368="","",'RFQ-Input'!D368)</f>
        <v/>
      </c>
      <c r="E369" s="7" t="str">
        <f>IF('RFQ-Input'!E368="","",'RFQ-Input'!E368)</f>
        <v/>
      </c>
      <c r="F369" s="7" t="str">
        <f>IF('RFQ-Input'!F368="","",'RFQ-Input'!F368)</f>
        <v/>
      </c>
      <c r="G369" s="7" t="str">
        <f>IF('RFQ-Input'!G368="","",'RFQ-Input'!G368)</f>
        <v/>
      </c>
      <c r="H369" s="7" t="str">
        <f>IF('RFQ-Input'!H368="","",'RFQ-Input'!H368)</f>
        <v/>
      </c>
      <c r="I369" s="7" t="str">
        <f>IF('RFQ-Input'!I368="","",'RFQ-Input'!I368)</f>
        <v/>
      </c>
      <c r="J369" s="7" t="str">
        <f>IF('RFQ-Input'!J368="","",'RFQ-Input'!J368)</f>
        <v/>
      </c>
      <c r="K369" s="7" t="str">
        <f>IF('RFQ-Input'!K368="","",'RFQ-Input'!K368)</f>
        <v/>
      </c>
      <c r="L369" s="7" t="str">
        <f>IF('RFQ-Input'!L368="","",'RFQ-Input'!L368)</f>
        <v/>
      </c>
      <c r="M369" s="7" t="str">
        <f>IF('RFQ-Input'!M368="","",'RFQ-Input'!M368)</f>
        <v/>
      </c>
      <c r="N369" s="7" t="str">
        <f>IF('RFQ-Input'!N368="","",'RFQ-Input'!N368)</f>
        <v/>
      </c>
      <c r="O369" s="7" t="str">
        <f>IF('RFQ-Input'!O368="","",'RFQ-Input'!O368)</f>
        <v/>
      </c>
      <c r="Q369" s="7"/>
      <c r="R369" s="7"/>
      <c r="S369" s="7"/>
      <c r="T369" s="7"/>
      <c r="U369" s="7"/>
      <c r="V369" s="7"/>
      <c r="X369" s="7"/>
      <c r="Y369" s="7"/>
      <c r="Z369" s="7"/>
      <c r="AA369" s="7" t="str">
        <f t="shared" si="35"/>
        <v/>
      </c>
      <c r="AB369" s="7"/>
      <c r="AC369" s="7"/>
      <c r="AQ369" s="7" t="str">
        <f t="shared" si="36"/>
        <v/>
      </c>
      <c r="AR369" s="7" t="str">
        <f t="shared" si="37"/>
        <v/>
      </c>
      <c r="AS369" s="7" t="str">
        <f t="shared" si="38"/>
        <v/>
      </c>
      <c r="AT369" s="7" t="str">
        <f t="shared" si="39"/>
        <v/>
      </c>
      <c r="AU369" s="7" t="str">
        <f t="shared" si="40"/>
        <v/>
      </c>
      <c r="AV369" s="7" t="str">
        <f t="shared" si="41"/>
        <v/>
      </c>
      <c r="AW369" s="7" t="str">
        <f>IF('RFQ-Input'!O368="","",'RFQ-Input'!O368)</f>
        <v/>
      </c>
      <c r="AX369" s="7" t="str">
        <f>IF('RFQ-Input'!S368="","",'RFQ-Input'!S368)</f>
        <v/>
      </c>
      <c r="AY369" s="7" t="str">
        <f>IF('RFQ-Input'!V368="","",'RFQ-Input'!V368)</f>
        <v/>
      </c>
      <c r="AZ369" s="7" t="str">
        <f>IF('RFQ-Input'!Y368="","",'RFQ-Input'!Y368)</f>
        <v/>
      </c>
      <c r="BA369" s="7" t="str">
        <f>IF('RFQ-Input'!AB368="","",'RFQ-Input'!AB368)</f>
        <v/>
      </c>
    </row>
    <row r="370" spans="1:53">
      <c r="A370" s="20">
        <v>366</v>
      </c>
      <c r="B370" s="7"/>
      <c r="C370" s="7" t="str">
        <f>IF('RFQ-Input'!C369="","",'RFQ-Input'!C369)</f>
        <v/>
      </c>
      <c r="D370" s="7" t="str">
        <f>IF('RFQ-Input'!D369="","",'RFQ-Input'!D369)</f>
        <v/>
      </c>
      <c r="E370" s="7" t="str">
        <f>IF('RFQ-Input'!E369="","",'RFQ-Input'!E369)</f>
        <v/>
      </c>
      <c r="F370" s="7" t="str">
        <f>IF('RFQ-Input'!F369="","",'RFQ-Input'!F369)</f>
        <v/>
      </c>
      <c r="G370" s="7" t="str">
        <f>IF('RFQ-Input'!G369="","",'RFQ-Input'!G369)</f>
        <v/>
      </c>
      <c r="H370" s="7" t="str">
        <f>IF('RFQ-Input'!H369="","",'RFQ-Input'!H369)</f>
        <v/>
      </c>
      <c r="I370" s="7" t="str">
        <f>IF('RFQ-Input'!I369="","",'RFQ-Input'!I369)</f>
        <v/>
      </c>
      <c r="J370" s="7" t="str">
        <f>IF('RFQ-Input'!J369="","",'RFQ-Input'!J369)</f>
        <v/>
      </c>
      <c r="K370" s="7" t="str">
        <f>IF('RFQ-Input'!K369="","",'RFQ-Input'!K369)</f>
        <v/>
      </c>
      <c r="L370" s="7" t="str">
        <f>IF('RFQ-Input'!L369="","",'RFQ-Input'!L369)</f>
        <v/>
      </c>
      <c r="M370" s="7" t="str">
        <f>IF('RFQ-Input'!M369="","",'RFQ-Input'!M369)</f>
        <v/>
      </c>
      <c r="N370" s="7" t="str">
        <f>IF('RFQ-Input'!N369="","",'RFQ-Input'!N369)</f>
        <v/>
      </c>
      <c r="O370" s="7" t="str">
        <f>IF('RFQ-Input'!O369="","",'RFQ-Input'!O369)</f>
        <v/>
      </c>
      <c r="Q370" s="7"/>
      <c r="R370" s="7"/>
      <c r="S370" s="7"/>
      <c r="T370" s="7"/>
      <c r="U370" s="7"/>
      <c r="V370" s="7"/>
      <c r="X370" s="7"/>
      <c r="Y370" s="7"/>
      <c r="Z370" s="7"/>
      <c r="AA370" s="7" t="str">
        <f t="shared" si="35"/>
        <v/>
      </c>
      <c r="AB370" s="7"/>
      <c r="AC370" s="7"/>
      <c r="AQ370" s="7" t="str">
        <f t="shared" si="36"/>
        <v/>
      </c>
      <c r="AR370" s="7" t="str">
        <f t="shared" si="37"/>
        <v/>
      </c>
      <c r="AS370" s="7" t="str">
        <f t="shared" si="38"/>
        <v/>
      </c>
      <c r="AT370" s="7" t="str">
        <f t="shared" si="39"/>
        <v/>
      </c>
      <c r="AU370" s="7" t="str">
        <f t="shared" si="40"/>
        <v/>
      </c>
      <c r="AV370" s="7" t="str">
        <f t="shared" si="41"/>
        <v/>
      </c>
      <c r="AW370" s="7" t="str">
        <f>IF('RFQ-Input'!O369="","",'RFQ-Input'!O369)</f>
        <v/>
      </c>
      <c r="AX370" s="7" t="str">
        <f>IF('RFQ-Input'!S369="","",'RFQ-Input'!S369)</f>
        <v/>
      </c>
      <c r="AY370" s="7" t="str">
        <f>IF('RFQ-Input'!V369="","",'RFQ-Input'!V369)</f>
        <v/>
      </c>
      <c r="AZ370" s="7" t="str">
        <f>IF('RFQ-Input'!Y369="","",'RFQ-Input'!Y369)</f>
        <v/>
      </c>
      <c r="BA370" s="7" t="str">
        <f>IF('RFQ-Input'!AB369="","",'RFQ-Input'!AB369)</f>
        <v/>
      </c>
    </row>
    <row r="371" spans="1:53">
      <c r="A371" s="20">
        <v>367</v>
      </c>
      <c r="B371" s="7"/>
      <c r="C371" s="7" t="str">
        <f>IF('RFQ-Input'!C370="","",'RFQ-Input'!C370)</f>
        <v/>
      </c>
      <c r="D371" s="7" t="str">
        <f>IF('RFQ-Input'!D370="","",'RFQ-Input'!D370)</f>
        <v/>
      </c>
      <c r="E371" s="7" t="str">
        <f>IF('RFQ-Input'!E370="","",'RFQ-Input'!E370)</f>
        <v/>
      </c>
      <c r="F371" s="7" t="str">
        <f>IF('RFQ-Input'!F370="","",'RFQ-Input'!F370)</f>
        <v/>
      </c>
      <c r="G371" s="7" t="str">
        <f>IF('RFQ-Input'!G370="","",'RFQ-Input'!G370)</f>
        <v/>
      </c>
      <c r="H371" s="7" t="str">
        <f>IF('RFQ-Input'!H370="","",'RFQ-Input'!H370)</f>
        <v/>
      </c>
      <c r="I371" s="7" t="str">
        <f>IF('RFQ-Input'!I370="","",'RFQ-Input'!I370)</f>
        <v/>
      </c>
      <c r="J371" s="7" t="str">
        <f>IF('RFQ-Input'!J370="","",'RFQ-Input'!J370)</f>
        <v/>
      </c>
      <c r="K371" s="7" t="str">
        <f>IF('RFQ-Input'!K370="","",'RFQ-Input'!K370)</f>
        <v/>
      </c>
      <c r="L371" s="7" t="str">
        <f>IF('RFQ-Input'!L370="","",'RFQ-Input'!L370)</f>
        <v/>
      </c>
      <c r="M371" s="7" t="str">
        <f>IF('RFQ-Input'!M370="","",'RFQ-Input'!M370)</f>
        <v/>
      </c>
      <c r="N371" s="7" t="str">
        <f>IF('RFQ-Input'!N370="","",'RFQ-Input'!N370)</f>
        <v/>
      </c>
      <c r="O371" s="7" t="str">
        <f>IF('RFQ-Input'!O370="","",'RFQ-Input'!O370)</f>
        <v/>
      </c>
      <c r="Q371" s="7"/>
      <c r="R371" s="7"/>
      <c r="S371" s="7"/>
      <c r="T371" s="7"/>
      <c r="U371" s="7"/>
      <c r="V371" s="7"/>
      <c r="X371" s="7"/>
      <c r="Y371" s="7"/>
      <c r="Z371" s="7"/>
      <c r="AA371" s="7" t="str">
        <f t="shared" si="35"/>
        <v/>
      </c>
      <c r="AB371" s="7"/>
      <c r="AC371" s="7"/>
      <c r="AQ371" s="7" t="str">
        <f t="shared" si="36"/>
        <v/>
      </c>
      <c r="AR371" s="7" t="str">
        <f t="shared" si="37"/>
        <v/>
      </c>
      <c r="AS371" s="7" t="str">
        <f t="shared" si="38"/>
        <v/>
      </c>
      <c r="AT371" s="7" t="str">
        <f t="shared" si="39"/>
        <v/>
      </c>
      <c r="AU371" s="7" t="str">
        <f t="shared" si="40"/>
        <v/>
      </c>
      <c r="AV371" s="7" t="str">
        <f t="shared" si="41"/>
        <v/>
      </c>
      <c r="AW371" s="7" t="str">
        <f>IF('RFQ-Input'!O370="","",'RFQ-Input'!O370)</f>
        <v/>
      </c>
      <c r="AX371" s="7" t="str">
        <f>IF('RFQ-Input'!S370="","",'RFQ-Input'!S370)</f>
        <v/>
      </c>
      <c r="AY371" s="7" t="str">
        <f>IF('RFQ-Input'!V370="","",'RFQ-Input'!V370)</f>
        <v/>
      </c>
      <c r="AZ371" s="7" t="str">
        <f>IF('RFQ-Input'!Y370="","",'RFQ-Input'!Y370)</f>
        <v/>
      </c>
      <c r="BA371" s="7" t="str">
        <f>IF('RFQ-Input'!AB370="","",'RFQ-Input'!AB370)</f>
        <v/>
      </c>
    </row>
    <row r="372" spans="1:53">
      <c r="A372" s="20">
        <v>368</v>
      </c>
      <c r="B372" s="7"/>
      <c r="C372" s="7" t="str">
        <f>IF('RFQ-Input'!C371="","",'RFQ-Input'!C371)</f>
        <v/>
      </c>
      <c r="D372" s="7" t="str">
        <f>IF('RFQ-Input'!D371="","",'RFQ-Input'!D371)</f>
        <v/>
      </c>
      <c r="E372" s="7" t="str">
        <f>IF('RFQ-Input'!E371="","",'RFQ-Input'!E371)</f>
        <v/>
      </c>
      <c r="F372" s="7" t="str">
        <f>IF('RFQ-Input'!F371="","",'RFQ-Input'!F371)</f>
        <v/>
      </c>
      <c r="G372" s="7" t="str">
        <f>IF('RFQ-Input'!G371="","",'RFQ-Input'!G371)</f>
        <v/>
      </c>
      <c r="H372" s="7" t="str">
        <f>IF('RFQ-Input'!H371="","",'RFQ-Input'!H371)</f>
        <v/>
      </c>
      <c r="I372" s="7" t="str">
        <f>IF('RFQ-Input'!I371="","",'RFQ-Input'!I371)</f>
        <v/>
      </c>
      <c r="J372" s="7" t="str">
        <f>IF('RFQ-Input'!J371="","",'RFQ-Input'!J371)</f>
        <v/>
      </c>
      <c r="K372" s="7" t="str">
        <f>IF('RFQ-Input'!K371="","",'RFQ-Input'!K371)</f>
        <v/>
      </c>
      <c r="L372" s="7" t="str">
        <f>IF('RFQ-Input'!L371="","",'RFQ-Input'!L371)</f>
        <v/>
      </c>
      <c r="M372" s="7" t="str">
        <f>IF('RFQ-Input'!M371="","",'RFQ-Input'!M371)</f>
        <v/>
      </c>
      <c r="N372" s="7" t="str">
        <f>IF('RFQ-Input'!N371="","",'RFQ-Input'!N371)</f>
        <v/>
      </c>
      <c r="O372" s="7" t="str">
        <f>IF('RFQ-Input'!O371="","",'RFQ-Input'!O371)</f>
        <v/>
      </c>
      <c r="Q372" s="7"/>
      <c r="R372" s="7"/>
      <c r="S372" s="7"/>
      <c r="T372" s="7"/>
      <c r="U372" s="7"/>
      <c r="V372" s="7"/>
      <c r="X372" s="7"/>
      <c r="Y372" s="7"/>
      <c r="Z372" s="7"/>
      <c r="AA372" s="7" t="str">
        <f t="shared" si="35"/>
        <v/>
      </c>
      <c r="AB372" s="7"/>
      <c r="AC372" s="7"/>
      <c r="AQ372" s="7" t="str">
        <f t="shared" si="36"/>
        <v/>
      </c>
      <c r="AR372" s="7" t="str">
        <f t="shared" si="37"/>
        <v/>
      </c>
      <c r="AS372" s="7" t="str">
        <f t="shared" si="38"/>
        <v/>
      </c>
      <c r="AT372" s="7" t="str">
        <f t="shared" si="39"/>
        <v/>
      </c>
      <c r="AU372" s="7" t="str">
        <f t="shared" si="40"/>
        <v/>
      </c>
      <c r="AV372" s="7" t="str">
        <f t="shared" si="41"/>
        <v/>
      </c>
      <c r="AW372" s="7" t="str">
        <f>IF('RFQ-Input'!O371="","",'RFQ-Input'!O371)</f>
        <v/>
      </c>
      <c r="AX372" s="7" t="str">
        <f>IF('RFQ-Input'!S371="","",'RFQ-Input'!S371)</f>
        <v/>
      </c>
      <c r="AY372" s="7" t="str">
        <f>IF('RFQ-Input'!V371="","",'RFQ-Input'!V371)</f>
        <v/>
      </c>
      <c r="AZ372" s="7" t="str">
        <f>IF('RFQ-Input'!Y371="","",'RFQ-Input'!Y371)</f>
        <v/>
      </c>
      <c r="BA372" s="7" t="str">
        <f>IF('RFQ-Input'!AB371="","",'RFQ-Input'!AB371)</f>
        <v/>
      </c>
    </row>
    <row r="373" spans="1:53">
      <c r="A373" s="20">
        <v>369</v>
      </c>
      <c r="B373" s="7"/>
      <c r="C373" s="7" t="str">
        <f>IF('RFQ-Input'!C372="","",'RFQ-Input'!C372)</f>
        <v/>
      </c>
      <c r="D373" s="7" t="str">
        <f>IF('RFQ-Input'!D372="","",'RFQ-Input'!D372)</f>
        <v/>
      </c>
      <c r="E373" s="7" t="str">
        <f>IF('RFQ-Input'!E372="","",'RFQ-Input'!E372)</f>
        <v/>
      </c>
      <c r="F373" s="7" t="str">
        <f>IF('RFQ-Input'!F372="","",'RFQ-Input'!F372)</f>
        <v/>
      </c>
      <c r="G373" s="7" t="str">
        <f>IF('RFQ-Input'!G372="","",'RFQ-Input'!G372)</f>
        <v/>
      </c>
      <c r="H373" s="7" t="str">
        <f>IF('RFQ-Input'!H372="","",'RFQ-Input'!H372)</f>
        <v/>
      </c>
      <c r="I373" s="7" t="str">
        <f>IF('RFQ-Input'!I372="","",'RFQ-Input'!I372)</f>
        <v/>
      </c>
      <c r="J373" s="7" t="str">
        <f>IF('RFQ-Input'!J372="","",'RFQ-Input'!J372)</f>
        <v/>
      </c>
      <c r="K373" s="7" t="str">
        <f>IF('RFQ-Input'!K372="","",'RFQ-Input'!K372)</f>
        <v/>
      </c>
      <c r="L373" s="7" t="str">
        <f>IF('RFQ-Input'!L372="","",'RFQ-Input'!L372)</f>
        <v/>
      </c>
      <c r="M373" s="7" t="str">
        <f>IF('RFQ-Input'!M372="","",'RFQ-Input'!M372)</f>
        <v/>
      </c>
      <c r="N373" s="7" t="str">
        <f>IF('RFQ-Input'!N372="","",'RFQ-Input'!N372)</f>
        <v/>
      </c>
      <c r="O373" s="7" t="str">
        <f>IF('RFQ-Input'!O372="","",'RFQ-Input'!O372)</f>
        <v/>
      </c>
      <c r="Q373" s="7"/>
      <c r="R373" s="7"/>
      <c r="S373" s="7"/>
      <c r="T373" s="7"/>
      <c r="U373" s="7"/>
      <c r="V373" s="7"/>
      <c r="X373" s="7"/>
      <c r="Y373" s="7"/>
      <c r="Z373" s="7"/>
      <c r="AA373" s="7" t="str">
        <f t="shared" si="35"/>
        <v/>
      </c>
      <c r="AB373" s="7"/>
      <c r="AC373" s="7"/>
      <c r="AQ373" s="7" t="str">
        <f t="shared" si="36"/>
        <v/>
      </c>
      <c r="AR373" s="7" t="str">
        <f t="shared" si="37"/>
        <v/>
      </c>
      <c r="AS373" s="7" t="str">
        <f t="shared" si="38"/>
        <v/>
      </c>
      <c r="AT373" s="7" t="str">
        <f t="shared" si="39"/>
        <v/>
      </c>
      <c r="AU373" s="7" t="str">
        <f t="shared" si="40"/>
        <v/>
      </c>
      <c r="AV373" s="7" t="str">
        <f t="shared" si="41"/>
        <v/>
      </c>
      <c r="AW373" s="7" t="str">
        <f>IF('RFQ-Input'!O372="","",'RFQ-Input'!O372)</f>
        <v/>
      </c>
      <c r="AX373" s="7" t="str">
        <f>IF('RFQ-Input'!S372="","",'RFQ-Input'!S372)</f>
        <v/>
      </c>
      <c r="AY373" s="7" t="str">
        <f>IF('RFQ-Input'!V372="","",'RFQ-Input'!V372)</f>
        <v/>
      </c>
      <c r="AZ373" s="7" t="str">
        <f>IF('RFQ-Input'!Y372="","",'RFQ-Input'!Y372)</f>
        <v/>
      </c>
      <c r="BA373" s="7" t="str">
        <f>IF('RFQ-Input'!AB372="","",'RFQ-Input'!AB372)</f>
        <v/>
      </c>
    </row>
    <row r="374" spans="1:53">
      <c r="A374" s="20">
        <v>370</v>
      </c>
      <c r="B374" s="7"/>
      <c r="C374" s="7" t="str">
        <f>IF('RFQ-Input'!C373="","",'RFQ-Input'!C373)</f>
        <v/>
      </c>
      <c r="D374" s="7" t="str">
        <f>IF('RFQ-Input'!D373="","",'RFQ-Input'!D373)</f>
        <v/>
      </c>
      <c r="E374" s="7" t="str">
        <f>IF('RFQ-Input'!E373="","",'RFQ-Input'!E373)</f>
        <v/>
      </c>
      <c r="F374" s="7" t="str">
        <f>IF('RFQ-Input'!F373="","",'RFQ-Input'!F373)</f>
        <v/>
      </c>
      <c r="G374" s="7" t="str">
        <f>IF('RFQ-Input'!G373="","",'RFQ-Input'!G373)</f>
        <v/>
      </c>
      <c r="H374" s="7" t="str">
        <f>IF('RFQ-Input'!H373="","",'RFQ-Input'!H373)</f>
        <v/>
      </c>
      <c r="I374" s="7" t="str">
        <f>IF('RFQ-Input'!I373="","",'RFQ-Input'!I373)</f>
        <v/>
      </c>
      <c r="J374" s="7" t="str">
        <f>IF('RFQ-Input'!J373="","",'RFQ-Input'!J373)</f>
        <v/>
      </c>
      <c r="K374" s="7" t="str">
        <f>IF('RFQ-Input'!K373="","",'RFQ-Input'!K373)</f>
        <v/>
      </c>
      <c r="L374" s="7" t="str">
        <f>IF('RFQ-Input'!L373="","",'RFQ-Input'!L373)</f>
        <v/>
      </c>
      <c r="M374" s="7" t="str">
        <f>IF('RFQ-Input'!M373="","",'RFQ-Input'!M373)</f>
        <v/>
      </c>
      <c r="N374" s="7" t="str">
        <f>IF('RFQ-Input'!N373="","",'RFQ-Input'!N373)</f>
        <v/>
      </c>
      <c r="O374" s="7" t="str">
        <f>IF('RFQ-Input'!O373="","",'RFQ-Input'!O373)</f>
        <v/>
      </c>
      <c r="Q374" s="7"/>
      <c r="R374" s="7"/>
      <c r="S374" s="7"/>
      <c r="T374" s="7"/>
      <c r="U374" s="7"/>
      <c r="V374" s="7"/>
      <c r="X374" s="7"/>
      <c r="Y374" s="7"/>
      <c r="Z374" s="7"/>
      <c r="AA374" s="7" t="str">
        <f t="shared" si="35"/>
        <v/>
      </c>
      <c r="AB374" s="7"/>
      <c r="AC374" s="7"/>
      <c r="AQ374" s="7" t="str">
        <f t="shared" si="36"/>
        <v/>
      </c>
      <c r="AR374" s="7" t="str">
        <f t="shared" si="37"/>
        <v/>
      </c>
      <c r="AS374" s="7" t="str">
        <f t="shared" si="38"/>
        <v/>
      </c>
      <c r="AT374" s="7" t="str">
        <f t="shared" si="39"/>
        <v/>
      </c>
      <c r="AU374" s="7" t="str">
        <f t="shared" si="40"/>
        <v/>
      </c>
      <c r="AV374" s="7" t="str">
        <f t="shared" si="41"/>
        <v/>
      </c>
      <c r="AW374" s="7" t="str">
        <f>IF('RFQ-Input'!O373="","",'RFQ-Input'!O373)</f>
        <v/>
      </c>
      <c r="AX374" s="7" t="str">
        <f>IF('RFQ-Input'!S373="","",'RFQ-Input'!S373)</f>
        <v/>
      </c>
      <c r="AY374" s="7" t="str">
        <f>IF('RFQ-Input'!V373="","",'RFQ-Input'!V373)</f>
        <v/>
      </c>
      <c r="AZ374" s="7" t="str">
        <f>IF('RFQ-Input'!Y373="","",'RFQ-Input'!Y373)</f>
        <v/>
      </c>
      <c r="BA374" s="7" t="str">
        <f>IF('RFQ-Input'!AB373="","",'RFQ-Input'!AB373)</f>
        <v/>
      </c>
    </row>
    <row r="375" spans="1:53">
      <c r="A375" s="20">
        <v>371</v>
      </c>
      <c r="B375" s="7"/>
      <c r="C375" s="7" t="str">
        <f>IF('RFQ-Input'!C374="","",'RFQ-Input'!C374)</f>
        <v/>
      </c>
      <c r="D375" s="7" t="str">
        <f>IF('RFQ-Input'!D374="","",'RFQ-Input'!D374)</f>
        <v/>
      </c>
      <c r="E375" s="7" t="str">
        <f>IF('RFQ-Input'!E374="","",'RFQ-Input'!E374)</f>
        <v/>
      </c>
      <c r="F375" s="7" t="str">
        <f>IF('RFQ-Input'!F374="","",'RFQ-Input'!F374)</f>
        <v/>
      </c>
      <c r="G375" s="7" t="str">
        <f>IF('RFQ-Input'!G374="","",'RFQ-Input'!G374)</f>
        <v/>
      </c>
      <c r="H375" s="7" t="str">
        <f>IF('RFQ-Input'!H374="","",'RFQ-Input'!H374)</f>
        <v/>
      </c>
      <c r="I375" s="7" t="str">
        <f>IF('RFQ-Input'!I374="","",'RFQ-Input'!I374)</f>
        <v/>
      </c>
      <c r="J375" s="7" t="str">
        <f>IF('RFQ-Input'!J374="","",'RFQ-Input'!J374)</f>
        <v/>
      </c>
      <c r="K375" s="7" t="str">
        <f>IF('RFQ-Input'!K374="","",'RFQ-Input'!K374)</f>
        <v/>
      </c>
      <c r="L375" s="7" t="str">
        <f>IF('RFQ-Input'!L374="","",'RFQ-Input'!L374)</f>
        <v/>
      </c>
      <c r="M375" s="7" t="str">
        <f>IF('RFQ-Input'!M374="","",'RFQ-Input'!M374)</f>
        <v/>
      </c>
      <c r="N375" s="7" t="str">
        <f>IF('RFQ-Input'!N374="","",'RFQ-Input'!N374)</f>
        <v/>
      </c>
      <c r="O375" s="7" t="str">
        <f>IF('RFQ-Input'!O374="","",'RFQ-Input'!O374)</f>
        <v/>
      </c>
      <c r="Q375" s="7"/>
      <c r="R375" s="7"/>
      <c r="S375" s="7"/>
      <c r="T375" s="7"/>
      <c r="U375" s="7"/>
      <c r="V375" s="7"/>
      <c r="X375" s="7"/>
      <c r="Y375" s="7"/>
      <c r="Z375" s="7"/>
      <c r="AA375" s="7" t="str">
        <f t="shared" si="35"/>
        <v/>
      </c>
      <c r="AB375" s="7"/>
      <c r="AC375" s="7"/>
      <c r="AQ375" s="7" t="str">
        <f t="shared" si="36"/>
        <v/>
      </c>
      <c r="AR375" s="7" t="str">
        <f t="shared" si="37"/>
        <v/>
      </c>
      <c r="AS375" s="7" t="str">
        <f t="shared" si="38"/>
        <v/>
      </c>
      <c r="AT375" s="7" t="str">
        <f t="shared" si="39"/>
        <v/>
      </c>
      <c r="AU375" s="7" t="str">
        <f t="shared" si="40"/>
        <v/>
      </c>
      <c r="AV375" s="7" t="str">
        <f t="shared" si="41"/>
        <v/>
      </c>
      <c r="AW375" s="7" t="str">
        <f>IF('RFQ-Input'!O374="","",'RFQ-Input'!O374)</f>
        <v/>
      </c>
      <c r="AX375" s="7" t="str">
        <f>IF('RFQ-Input'!S374="","",'RFQ-Input'!S374)</f>
        <v/>
      </c>
      <c r="AY375" s="7" t="str">
        <f>IF('RFQ-Input'!V374="","",'RFQ-Input'!V374)</f>
        <v/>
      </c>
      <c r="AZ375" s="7" t="str">
        <f>IF('RFQ-Input'!Y374="","",'RFQ-Input'!Y374)</f>
        <v/>
      </c>
      <c r="BA375" s="7" t="str">
        <f>IF('RFQ-Input'!AB374="","",'RFQ-Input'!AB374)</f>
        <v/>
      </c>
    </row>
    <row r="376" spans="1:53">
      <c r="A376" s="20">
        <v>372</v>
      </c>
      <c r="B376" s="7"/>
      <c r="C376" s="7" t="str">
        <f>IF('RFQ-Input'!C375="","",'RFQ-Input'!C375)</f>
        <v/>
      </c>
      <c r="D376" s="7" t="str">
        <f>IF('RFQ-Input'!D375="","",'RFQ-Input'!D375)</f>
        <v/>
      </c>
      <c r="E376" s="7" t="str">
        <f>IF('RFQ-Input'!E375="","",'RFQ-Input'!E375)</f>
        <v/>
      </c>
      <c r="F376" s="7" t="str">
        <f>IF('RFQ-Input'!F375="","",'RFQ-Input'!F375)</f>
        <v/>
      </c>
      <c r="G376" s="7" t="str">
        <f>IF('RFQ-Input'!G375="","",'RFQ-Input'!G375)</f>
        <v/>
      </c>
      <c r="H376" s="7" t="str">
        <f>IF('RFQ-Input'!H375="","",'RFQ-Input'!H375)</f>
        <v/>
      </c>
      <c r="I376" s="7" t="str">
        <f>IF('RFQ-Input'!I375="","",'RFQ-Input'!I375)</f>
        <v/>
      </c>
      <c r="J376" s="7" t="str">
        <f>IF('RFQ-Input'!J375="","",'RFQ-Input'!J375)</f>
        <v/>
      </c>
      <c r="K376" s="7" t="str">
        <f>IF('RFQ-Input'!K375="","",'RFQ-Input'!K375)</f>
        <v/>
      </c>
      <c r="L376" s="7" t="str">
        <f>IF('RFQ-Input'!L375="","",'RFQ-Input'!L375)</f>
        <v/>
      </c>
      <c r="M376" s="7" t="str">
        <f>IF('RFQ-Input'!M375="","",'RFQ-Input'!M375)</f>
        <v/>
      </c>
      <c r="N376" s="7" t="str">
        <f>IF('RFQ-Input'!N375="","",'RFQ-Input'!N375)</f>
        <v/>
      </c>
      <c r="O376" s="7" t="str">
        <f>IF('RFQ-Input'!O375="","",'RFQ-Input'!O375)</f>
        <v/>
      </c>
      <c r="Q376" s="7"/>
      <c r="R376" s="7"/>
      <c r="S376" s="7"/>
      <c r="T376" s="7"/>
      <c r="U376" s="7"/>
      <c r="V376" s="7"/>
      <c r="X376" s="7"/>
      <c r="Y376" s="7"/>
      <c r="Z376" s="7"/>
      <c r="AA376" s="7" t="str">
        <f t="shared" si="35"/>
        <v/>
      </c>
      <c r="AB376" s="7"/>
      <c r="AC376" s="7"/>
      <c r="AQ376" s="7" t="str">
        <f t="shared" si="36"/>
        <v/>
      </c>
      <c r="AR376" s="7" t="str">
        <f t="shared" si="37"/>
        <v/>
      </c>
      <c r="AS376" s="7" t="str">
        <f t="shared" si="38"/>
        <v/>
      </c>
      <c r="AT376" s="7" t="str">
        <f t="shared" si="39"/>
        <v/>
      </c>
      <c r="AU376" s="7" t="str">
        <f t="shared" si="40"/>
        <v/>
      </c>
      <c r="AV376" s="7" t="str">
        <f t="shared" si="41"/>
        <v/>
      </c>
      <c r="AW376" s="7" t="str">
        <f>IF('RFQ-Input'!O375="","",'RFQ-Input'!O375)</f>
        <v/>
      </c>
      <c r="AX376" s="7" t="str">
        <f>IF('RFQ-Input'!S375="","",'RFQ-Input'!S375)</f>
        <v/>
      </c>
      <c r="AY376" s="7" t="str">
        <f>IF('RFQ-Input'!V375="","",'RFQ-Input'!V375)</f>
        <v/>
      </c>
      <c r="AZ376" s="7" t="str">
        <f>IF('RFQ-Input'!Y375="","",'RFQ-Input'!Y375)</f>
        <v/>
      </c>
      <c r="BA376" s="7" t="str">
        <f>IF('RFQ-Input'!AB375="","",'RFQ-Input'!AB375)</f>
        <v/>
      </c>
    </row>
    <row r="377" spans="1:53">
      <c r="A377" s="20">
        <v>373</v>
      </c>
      <c r="B377" s="7"/>
      <c r="C377" s="7" t="str">
        <f>IF('RFQ-Input'!C376="","",'RFQ-Input'!C376)</f>
        <v/>
      </c>
      <c r="D377" s="7" t="str">
        <f>IF('RFQ-Input'!D376="","",'RFQ-Input'!D376)</f>
        <v/>
      </c>
      <c r="E377" s="7" t="str">
        <f>IF('RFQ-Input'!E376="","",'RFQ-Input'!E376)</f>
        <v/>
      </c>
      <c r="F377" s="7" t="str">
        <f>IF('RFQ-Input'!F376="","",'RFQ-Input'!F376)</f>
        <v/>
      </c>
      <c r="G377" s="7" t="str">
        <f>IF('RFQ-Input'!G376="","",'RFQ-Input'!G376)</f>
        <v/>
      </c>
      <c r="H377" s="7" t="str">
        <f>IF('RFQ-Input'!H376="","",'RFQ-Input'!H376)</f>
        <v/>
      </c>
      <c r="I377" s="7" t="str">
        <f>IF('RFQ-Input'!I376="","",'RFQ-Input'!I376)</f>
        <v/>
      </c>
      <c r="J377" s="7" t="str">
        <f>IF('RFQ-Input'!J376="","",'RFQ-Input'!J376)</f>
        <v/>
      </c>
      <c r="K377" s="7" t="str">
        <f>IF('RFQ-Input'!K376="","",'RFQ-Input'!K376)</f>
        <v/>
      </c>
      <c r="L377" s="7" t="str">
        <f>IF('RFQ-Input'!L376="","",'RFQ-Input'!L376)</f>
        <v/>
      </c>
      <c r="M377" s="7" t="str">
        <f>IF('RFQ-Input'!M376="","",'RFQ-Input'!M376)</f>
        <v/>
      </c>
      <c r="N377" s="7" t="str">
        <f>IF('RFQ-Input'!N376="","",'RFQ-Input'!N376)</f>
        <v/>
      </c>
      <c r="O377" s="7" t="str">
        <f>IF('RFQ-Input'!O376="","",'RFQ-Input'!O376)</f>
        <v/>
      </c>
      <c r="Q377" s="7"/>
      <c r="R377" s="7"/>
      <c r="S377" s="7"/>
      <c r="T377" s="7"/>
      <c r="U377" s="7"/>
      <c r="V377" s="7"/>
      <c r="X377" s="7"/>
      <c r="Y377" s="7"/>
      <c r="Z377" s="7"/>
      <c r="AA377" s="7" t="str">
        <f t="shared" si="35"/>
        <v/>
      </c>
      <c r="AB377" s="7"/>
      <c r="AC377" s="7"/>
      <c r="AQ377" s="7" t="str">
        <f t="shared" si="36"/>
        <v/>
      </c>
      <c r="AR377" s="7" t="str">
        <f t="shared" si="37"/>
        <v/>
      </c>
      <c r="AS377" s="7" t="str">
        <f t="shared" si="38"/>
        <v/>
      </c>
      <c r="AT377" s="7" t="str">
        <f t="shared" si="39"/>
        <v/>
      </c>
      <c r="AU377" s="7" t="str">
        <f t="shared" si="40"/>
        <v/>
      </c>
      <c r="AV377" s="7" t="str">
        <f t="shared" si="41"/>
        <v/>
      </c>
      <c r="AW377" s="7" t="str">
        <f>IF('RFQ-Input'!O376="","",'RFQ-Input'!O376)</f>
        <v/>
      </c>
      <c r="AX377" s="7" t="str">
        <f>IF('RFQ-Input'!S376="","",'RFQ-Input'!S376)</f>
        <v/>
      </c>
      <c r="AY377" s="7" t="str">
        <f>IF('RFQ-Input'!V376="","",'RFQ-Input'!V376)</f>
        <v/>
      </c>
      <c r="AZ377" s="7" t="str">
        <f>IF('RFQ-Input'!Y376="","",'RFQ-Input'!Y376)</f>
        <v/>
      </c>
      <c r="BA377" s="7" t="str">
        <f>IF('RFQ-Input'!AB376="","",'RFQ-Input'!AB376)</f>
        <v/>
      </c>
    </row>
    <row r="378" spans="1:53">
      <c r="A378" s="20">
        <v>374</v>
      </c>
      <c r="B378" s="7"/>
      <c r="C378" s="7" t="str">
        <f>IF('RFQ-Input'!C377="","",'RFQ-Input'!C377)</f>
        <v/>
      </c>
      <c r="D378" s="7" t="str">
        <f>IF('RFQ-Input'!D377="","",'RFQ-Input'!D377)</f>
        <v/>
      </c>
      <c r="E378" s="7" t="str">
        <f>IF('RFQ-Input'!E377="","",'RFQ-Input'!E377)</f>
        <v/>
      </c>
      <c r="F378" s="7" t="str">
        <f>IF('RFQ-Input'!F377="","",'RFQ-Input'!F377)</f>
        <v/>
      </c>
      <c r="G378" s="7" t="str">
        <f>IF('RFQ-Input'!G377="","",'RFQ-Input'!G377)</f>
        <v/>
      </c>
      <c r="H378" s="7" t="str">
        <f>IF('RFQ-Input'!H377="","",'RFQ-Input'!H377)</f>
        <v/>
      </c>
      <c r="I378" s="7" t="str">
        <f>IF('RFQ-Input'!I377="","",'RFQ-Input'!I377)</f>
        <v/>
      </c>
      <c r="J378" s="7" t="str">
        <f>IF('RFQ-Input'!J377="","",'RFQ-Input'!J377)</f>
        <v/>
      </c>
      <c r="K378" s="7" t="str">
        <f>IF('RFQ-Input'!K377="","",'RFQ-Input'!K377)</f>
        <v/>
      </c>
      <c r="L378" s="7" t="str">
        <f>IF('RFQ-Input'!L377="","",'RFQ-Input'!L377)</f>
        <v/>
      </c>
      <c r="M378" s="7" t="str">
        <f>IF('RFQ-Input'!M377="","",'RFQ-Input'!M377)</f>
        <v/>
      </c>
      <c r="N378" s="7" t="str">
        <f>IF('RFQ-Input'!N377="","",'RFQ-Input'!N377)</f>
        <v/>
      </c>
      <c r="O378" s="7" t="str">
        <f>IF('RFQ-Input'!O377="","",'RFQ-Input'!O377)</f>
        <v/>
      </c>
      <c r="Q378" s="7"/>
      <c r="R378" s="7"/>
      <c r="S378" s="7"/>
      <c r="T378" s="7"/>
      <c r="U378" s="7"/>
      <c r="V378" s="7"/>
      <c r="X378" s="7"/>
      <c r="Y378" s="7"/>
      <c r="Z378" s="7"/>
      <c r="AA378" s="7" t="str">
        <f t="shared" si="35"/>
        <v/>
      </c>
      <c r="AB378" s="7"/>
      <c r="AC378" s="7"/>
      <c r="AQ378" s="7" t="str">
        <f t="shared" si="36"/>
        <v/>
      </c>
      <c r="AR378" s="7" t="str">
        <f t="shared" si="37"/>
        <v/>
      </c>
      <c r="AS378" s="7" t="str">
        <f t="shared" si="38"/>
        <v/>
      </c>
      <c r="AT378" s="7" t="str">
        <f t="shared" si="39"/>
        <v/>
      </c>
      <c r="AU378" s="7" t="str">
        <f t="shared" si="40"/>
        <v/>
      </c>
      <c r="AV378" s="7" t="str">
        <f t="shared" si="41"/>
        <v/>
      </c>
      <c r="AW378" s="7" t="str">
        <f>IF('RFQ-Input'!O377="","",'RFQ-Input'!O377)</f>
        <v/>
      </c>
      <c r="AX378" s="7" t="str">
        <f>IF('RFQ-Input'!S377="","",'RFQ-Input'!S377)</f>
        <v/>
      </c>
      <c r="AY378" s="7" t="str">
        <f>IF('RFQ-Input'!V377="","",'RFQ-Input'!V377)</f>
        <v/>
      </c>
      <c r="AZ378" s="7" t="str">
        <f>IF('RFQ-Input'!Y377="","",'RFQ-Input'!Y377)</f>
        <v/>
      </c>
      <c r="BA378" s="7" t="str">
        <f>IF('RFQ-Input'!AB377="","",'RFQ-Input'!AB377)</f>
        <v/>
      </c>
    </row>
    <row r="379" spans="1:53">
      <c r="A379" s="20">
        <v>375</v>
      </c>
      <c r="B379" s="7"/>
      <c r="C379" s="7" t="str">
        <f>IF('RFQ-Input'!C378="","",'RFQ-Input'!C378)</f>
        <v/>
      </c>
      <c r="D379" s="7" t="str">
        <f>IF('RFQ-Input'!D378="","",'RFQ-Input'!D378)</f>
        <v/>
      </c>
      <c r="E379" s="7" t="str">
        <f>IF('RFQ-Input'!E378="","",'RFQ-Input'!E378)</f>
        <v/>
      </c>
      <c r="F379" s="7" t="str">
        <f>IF('RFQ-Input'!F378="","",'RFQ-Input'!F378)</f>
        <v/>
      </c>
      <c r="G379" s="7" t="str">
        <f>IF('RFQ-Input'!G378="","",'RFQ-Input'!G378)</f>
        <v/>
      </c>
      <c r="H379" s="7" t="str">
        <f>IF('RFQ-Input'!H378="","",'RFQ-Input'!H378)</f>
        <v/>
      </c>
      <c r="I379" s="7" t="str">
        <f>IF('RFQ-Input'!I378="","",'RFQ-Input'!I378)</f>
        <v/>
      </c>
      <c r="J379" s="7" t="str">
        <f>IF('RFQ-Input'!J378="","",'RFQ-Input'!J378)</f>
        <v/>
      </c>
      <c r="K379" s="7" t="str">
        <f>IF('RFQ-Input'!K378="","",'RFQ-Input'!K378)</f>
        <v/>
      </c>
      <c r="L379" s="7" t="str">
        <f>IF('RFQ-Input'!L378="","",'RFQ-Input'!L378)</f>
        <v/>
      </c>
      <c r="M379" s="7" t="str">
        <f>IF('RFQ-Input'!M378="","",'RFQ-Input'!M378)</f>
        <v/>
      </c>
      <c r="N379" s="7" t="str">
        <f>IF('RFQ-Input'!N378="","",'RFQ-Input'!N378)</f>
        <v/>
      </c>
      <c r="O379" s="7" t="str">
        <f>IF('RFQ-Input'!O378="","",'RFQ-Input'!O378)</f>
        <v/>
      </c>
      <c r="Q379" s="7"/>
      <c r="R379" s="7"/>
      <c r="S379" s="7"/>
      <c r="T379" s="7"/>
      <c r="U379" s="7"/>
      <c r="V379" s="7"/>
      <c r="X379" s="7"/>
      <c r="Y379" s="7"/>
      <c r="Z379" s="7"/>
      <c r="AA379" s="7" t="str">
        <f t="shared" si="35"/>
        <v/>
      </c>
      <c r="AB379" s="7"/>
      <c r="AC379" s="7"/>
      <c r="AQ379" s="7" t="str">
        <f t="shared" si="36"/>
        <v/>
      </c>
      <c r="AR379" s="7" t="str">
        <f t="shared" si="37"/>
        <v/>
      </c>
      <c r="AS379" s="7" t="str">
        <f t="shared" si="38"/>
        <v/>
      </c>
      <c r="AT379" s="7" t="str">
        <f t="shared" si="39"/>
        <v/>
      </c>
      <c r="AU379" s="7" t="str">
        <f t="shared" si="40"/>
        <v/>
      </c>
      <c r="AV379" s="7" t="str">
        <f t="shared" si="41"/>
        <v/>
      </c>
      <c r="AW379" s="7" t="str">
        <f>IF('RFQ-Input'!O378="","",'RFQ-Input'!O378)</f>
        <v/>
      </c>
      <c r="AX379" s="7" t="str">
        <f>IF('RFQ-Input'!S378="","",'RFQ-Input'!S378)</f>
        <v/>
      </c>
      <c r="AY379" s="7" t="str">
        <f>IF('RFQ-Input'!V378="","",'RFQ-Input'!V378)</f>
        <v/>
      </c>
      <c r="AZ379" s="7" t="str">
        <f>IF('RFQ-Input'!Y378="","",'RFQ-Input'!Y378)</f>
        <v/>
      </c>
      <c r="BA379" s="7" t="str">
        <f>IF('RFQ-Input'!AB378="","",'RFQ-Input'!AB378)</f>
        <v/>
      </c>
    </row>
    <row r="380" spans="1:53">
      <c r="A380" s="20">
        <v>376</v>
      </c>
      <c r="B380" s="7"/>
      <c r="C380" s="7" t="str">
        <f>IF('RFQ-Input'!C379="","",'RFQ-Input'!C379)</f>
        <v/>
      </c>
      <c r="D380" s="7" t="str">
        <f>IF('RFQ-Input'!D379="","",'RFQ-Input'!D379)</f>
        <v/>
      </c>
      <c r="E380" s="7" t="str">
        <f>IF('RFQ-Input'!E379="","",'RFQ-Input'!E379)</f>
        <v/>
      </c>
      <c r="F380" s="7" t="str">
        <f>IF('RFQ-Input'!F379="","",'RFQ-Input'!F379)</f>
        <v/>
      </c>
      <c r="G380" s="7" t="str">
        <f>IF('RFQ-Input'!G379="","",'RFQ-Input'!G379)</f>
        <v/>
      </c>
      <c r="H380" s="7" t="str">
        <f>IF('RFQ-Input'!H379="","",'RFQ-Input'!H379)</f>
        <v/>
      </c>
      <c r="I380" s="7" t="str">
        <f>IF('RFQ-Input'!I379="","",'RFQ-Input'!I379)</f>
        <v/>
      </c>
      <c r="J380" s="7" t="str">
        <f>IF('RFQ-Input'!J379="","",'RFQ-Input'!J379)</f>
        <v/>
      </c>
      <c r="K380" s="7" t="str">
        <f>IF('RFQ-Input'!K379="","",'RFQ-Input'!K379)</f>
        <v/>
      </c>
      <c r="L380" s="7" t="str">
        <f>IF('RFQ-Input'!L379="","",'RFQ-Input'!L379)</f>
        <v/>
      </c>
      <c r="M380" s="7" t="str">
        <f>IF('RFQ-Input'!M379="","",'RFQ-Input'!M379)</f>
        <v/>
      </c>
      <c r="N380" s="7" t="str">
        <f>IF('RFQ-Input'!N379="","",'RFQ-Input'!N379)</f>
        <v/>
      </c>
      <c r="O380" s="7" t="str">
        <f>IF('RFQ-Input'!O379="","",'RFQ-Input'!O379)</f>
        <v/>
      </c>
      <c r="Q380" s="7"/>
      <c r="R380" s="7"/>
      <c r="S380" s="7"/>
      <c r="T380" s="7"/>
      <c r="U380" s="7"/>
      <c r="V380" s="7"/>
      <c r="X380" s="7"/>
      <c r="Y380" s="7"/>
      <c r="Z380" s="7"/>
      <c r="AA380" s="7" t="str">
        <f t="shared" si="35"/>
        <v/>
      </c>
      <c r="AB380" s="7"/>
      <c r="AC380" s="7"/>
      <c r="AQ380" s="7" t="str">
        <f t="shared" si="36"/>
        <v/>
      </c>
      <c r="AR380" s="7" t="str">
        <f t="shared" si="37"/>
        <v/>
      </c>
      <c r="AS380" s="7" t="str">
        <f t="shared" si="38"/>
        <v/>
      </c>
      <c r="AT380" s="7" t="str">
        <f t="shared" si="39"/>
        <v/>
      </c>
      <c r="AU380" s="7" t="str">
        <f t="shared" si="40"/>
        <v/>
      </c>
      <c r="AV380" s="7" t="str">
        <f t="shared" si="41"/>
        <v/>
      </c>
      <c r="AW380" s="7" t="str">
        <f>IF('RFQ-Input'!O379="","",'RFQ-Input'!O379)</f>
        <v/>
      </c>
      <c r="AX380" s="7" t="str">
        <f>IF('RFQ-Input'!S379="","",'RFQ-Input'!S379)</f>
        <v/>
      </c>
      <c r="AY380" s="7" t="str">
        <f>IF('RFQ-Input'!V379="","",'RFQ-Input'!V379)</f>
        <v/>
      </c>
      <c r="AZ380" s="7" t="str">
        <f>IF('RFQ-Input'!Y379="","",'RFQ-Input'!Y379)</f>
        <v/>
      </c>
      <c r="BA380" s="7" t="str">
        <f>IF('RFQ-Input'!AB379="","",'RFQ-Input'!AB379)</f>
        <v/>
      </c>
    </row>
    <row r="381" spans="1:53">
      <c r="A381" s="20">
        <v>377</v>
      </c>
      <c r="B381" s="7"/>
      <c r="C381" s="7" t="str">
        <f>IF('RFQ-Input'!C380="","",'RFQ-Input'!C380)</f>
        <v/>
      </c>
      <c r="D381" s="7" t="str">
        <f>IF('RFQ-Input'!D380="","",'RFQ-Input'!D380)</f>
        <v/>
      </c>
      <c r="E381" s="7" t="str">
        <f>IF('RFQ-Input'!E380="","",'RFQ-Input'!E380)</f>
        <v/>
      </c>
      <c r="F381" s="7" t="str">
        <f>IF('RFQ-Input'!F380="","",'RFQ-Input'!F380)</f>
        <v/>
      </c>
      <c r="G381" s="7" t="str">
        <f>IF('RFQ-Input'!G380="","",'RFQ-Input'!G380)</f>
        <v/>
      </c>
      <c r="H381" s="7" t="str">
        <f>IF('RFQ-Input'!H380="","",'RFQ-Input'!H380)</f>
        <v/>
      </c>
      <c r="I381" s="7" t="str">
        <f>IF('RFQ-Input'!I380="","",'RFQ-Input'!I380)</f>
        <v/>
      </c>
      <c r="J381" s="7" t="str">
        <f>IF('RFQ-Input'!J380="","",'RFQ-Input'!J380)</f>
        <v/>
      </c>
      <c r="K381" s="7" t="str">
        <f>IF('RFQ-Input'!K380="","",'RFQ-Input'!K380)</f>
        <v/>
      </c>
      <c r="L381" s="7" t="str">
        <f>IF('RFQ-Input'!L380="","",'RFQ-Input'!L380)</f>
        <v/>
      </c>
      <c r="M381" s="7" t="str">
        <f>IF('RFQ-Input'!M380="","",'RFQ-Input'!M380)</f>
        <v/>
      </c>
      <c r="N381" s="7" t="str">
        <f>IF('RFQ-Input'!N380="","",'RFQ-Input'!N380)</f>
        <v/>
      </c>
      <c r="O381" s="7" t="str">
        <f>IF('RFQ-Input'!O380="","",'RFQ-Input'!O380)</f>
        <v/>
      </c>
      <c r="Q381" s="7"/>
      <c r="R381" s="7"/>
      <c r="S381" s="7"/>
      <c r="T381" s="7"/>
      <c r="U381" s="7"/>
      <c r="V381" s="7"/>
      <c r="X381" s="7"/>
      <c r="Y381" s="7"/>
      <c r="Z381" s="7"/>
      <c r="AA381" s="7" t="str">
        <f t="shared" si="35"/>
        <v/>
      </c>
      <c r="AB381" s="7"/>
      <c r="AC381" s="7"/>
      <c r="AQ381" s="7" t="str">
        <f t="shared" si="36"/>
        <v/>
      </c>
      <c r="AR381" s="7" t="str">
        <f t="shared" si="37"/>
        <v/>
      </c>
      <c r="AS381" s="7" t="str">
        <f t="shared" si="38"/>
        <v/>
      </c>
      <c r="AT381" s="7" t="str">
        <f t="shared" si="39"/>
        <v/>
      </c>
      <c r="AU381" s="7" t="str">
        <f t="shared" si="40"/>
        <v/>
      </c>
      <c r="AV381" s="7" t="str">
        <f t="shared" si="41"/>
        <v/>
      </c>
      <c r="AW381" s="7" t="str">
        <f>IF('RFQ-Input'!O380="","",'RFQ-Input'!O380)</f>
        <v/>
      </c>
      <c r="AX381" s="7" t="str">
        <f>IF('RFQ-Input'!S380="","",'RFQ-Input'!S380)</f>
        <v/>
      </c>
      <c r="AY381" s="7" t="str">
        <f>IF('RFQ-Input'!V380="","",'RFQ-Input'!V380)</f>
        <v/>
      </c>
      <c r="AZ381" s="7" t="str">
        <f>IF('RFQ-Input'!Y380="","",'RFQ-Input'!Y380)</f>
        <v/>
      </c>
      <c r="BA381" s="7" t="str">
        <f>IF('RFQ-Input'!AB380="","",'RFQ-Input'!AB380)</f>
        <v/>
      </c>
    </row>
    <row r="382" spans="1:53">
      <c r="A382" s="20">
        <v>378</v>
      </c>
      <c r="B382" s="7"/>
      <c r="C382" s="7" t="str">
        <f>IF('RFQ-Input'!C381="","",'RFQ-Input'!C381)</f>
        <v/>
      </c>
      <c r="D382" s="7" t="str">
        <f>IF('RFQ-Input'!D381="","",'RFQ-Input'!D381)</f>
        <v/>
      </c>
      <c r="E382" s="7" t="str">
        <f>IF('RFQ-Input'!E381="","",'RFQ-Input'!E381)</f>
        <v/>
      </c>
      <c r="F382" s="7" t="str">
        <f>IF('RFQ-Input'!F381="","",'RFQ-Input'!F381)</f>
        <v/>
      </c>
      <c r="G382" s="7" t="str">
        <f>IF('RFQ-Input'!G381="","",'RFQ-Input'!G381)</f>
        <v/>
      </c>
      <c r="H382" s="7" t="str">
        <f>IF('RFQ-Input'!H381="","",'RFQ-Input'!H381)</f>
        <v/>
      </c>
      <c r="I382" s="7" t="str">
        <f>IF('RFQ-Input'!I381="","",'RFQ-Input'!I381)</f>
        <v/>
      </c>
      <c r="J382" s="7" t="str">
        <f>IF('RFQ-Input'!J381="","",'RFQ-Input'!J381)</f>
        <v/>
      </c>
      <c r="K382" s="7" t="str">
        <f>IF('RFQ-Input'!K381="","",'RFQ-Input'!K381)</f>
        <v/>
      </c>
      <c r="L382" s="7" t="str">
        <f>IF('RFQ-Input'!L381="","",'RFQ-Input'!L381)</f>
        <v/>
      </c>
      <c r="M382" s="7" t="str">
        <f>IF('RFQ-Input'!M381="","",'RFQ-Input'!M381)</f>
        <v/>
      </c>
      <c r="N382" s="7" t="str">
        <f>IF('RFQ-Input'!N381="","",'RFQ-Input'!N381)</f>
        <v/>
      </c>
      <c r="O382" s="7" t="str">
        <f>IF('RFQ-Input'!O381="","",'RFQ-Input'!O381)</f>
        <v/>
      </c>
      <c r="Q382" s="7"/>
      <c r="R382" s="7"/>
      <c r="S382" s="7"/>
      <c r="T382" s="7"/>
      <c r="U382" s="7"/>
      <c r="V382" s="7"/>
      <c r="X382" s="7"/>
      <c r="Y382" s="7"/>
      <c r="Z382" s="7"/>
      <c r="AA382" s="7" t="str">
        <f t="shared" si="35"/>
        <v/>
      </c>
      <c r="AB382" s="7"/>
      <c r="AC382" s="7"/>
      <c r="AQ382" s="7" t="str">
        <f t="shared" si="36"/>
        <v/>
      </c>
      <c r="AR382" s="7" t="str">
        <f t="shared" si="37"/>
        <v/>
      </c>
      <c r="AS382" s="7" t="str">
        <f t="shared" si="38"/>
        <v/>
      </c>
      <c r="AT382" s="7" t="str">
        <f t="shared" si="39"/>
        <v/>
      </c>
      <c r="AU382" s="7" t="str">
        <f t="shared" si="40"/>
        <v/>
      </c>
      <c r="AV382" s="7" t="str">
        <f t="shared" si="41"/>
        <v/>
      </c>
      <c r="AW382" s="7" t="str">
        <f>IF('RFQ-Input'!O381="","",'RFQ-Input'!O381)</f>
        <v/>
      </c>
      <c r="AX382" s="7" t="str">
        <f>IF('RFQ-Input'!S381="","",'RFQ-Input'!S381)</f>
        <v/>
      </c>
      <c r="AY382" s="7" t="str">
        <f>IF('RFQ-Input'!V381="","",'RFQ-Input'!V381)</f>
        <v/>
      </c>
      <c r="AZ382" s="7" t="str">
        <f>IF('RFQ-Input'!Y381="","",'RFQ-Input'!Y381)</f>
        <v/>
      </c>
      <c r="BA382" s="7" t="str">
        <f>IF('RFQ-Input'!AB381="","",'RFQ-Input'!AB381)</f>
        <v/>
      </c>
    </row>
    <row r="383" spans="1:53">
      <c r="A383" s="20">
        <v>379</v>
      </c>
      <c r="B383" s="7"/>
      <c r="C383" s="7" t="str">
        <f>IF('RFQ-Input'!C382="","",'RFQ-Input'!C382)</f>
        <v/>
      </c>
      <c r="D383" s="7" t="str">
        <f>IF('RFQ-Input'!D382="","",'RFQ-Input'!D382)</f>
        <v/>
      </c>
      <c r="E383" s="7" t="str">
        <f>IF('RFQ-Input'!E382="","",'RFQ-Input'!E382)</f>
        <v/>
      </c>
      <c r="F383" s="7" t="str">
        <f>IF('RFQ-Input'!F382="","",'RFQ-Input'!F382)</f>
        <v/>
      </c>
      <c r="G383" s="7" t="str">
        <f>IF('RFQ-Input'!G382="","",'RFQ-Input'!G382)</f>
        <v/>
      </c>
      <c r="H383" s="7" t="str">
        <f>IF('RFQ-Input'!H382="","",'RFQ-Input'!H382)</f>
        <v/>
      </c>
      <c r="I383" s="7" t="str">
        <f>IF('RFQ-Input'!I382="","",'RFQ-Input'!I382)</f>
        <v/>
      </c>
      <c r="J383" s="7" t="str">
        <f>IF('RFQ-Input'!J382="","",'RFQ-Input'!J382)</f>
        <v/>
      </c>
      <c r="K383" s="7" t="str">
        <f>IF('RFQ-Input'!K382="","",'RFQ-Input'!K382)</f>
        <v/>
      </c>
      <c r="L383" s="7" t="str">
        <f>IF('RFQ-Input'!L382="","",'RFQ-Input'!L382)</f>
        <v/>
      </c>
      <c r="M383" s="7" t="str">
        <f>IF('RFQ-Input'!M382="","",'RFQ-Input'!M382)</f>
        <v/>
      </c>
      <c r="N383" s="7" t="str">
        <f>IF('RFQ-Input'!N382="","",'RFQ-Input'!N382)</f>
        <v/>
      </c>
      <c r="O383" s="7" t="str">
        <f>IF('RFQ-Input'!O382="","",'RFQ-Input'!O382)</f>
        <v/>
      </c>
      <c r="Q383" s="7"/>
      <c r="R383" s="7"/>
      <c r="S383" s="7"/>
      <c r="T383" s="7"/>
      <c r="U383" s="7"/>
      <c r="V383" s="7"/>
      <c r="X383" s="7"/>
      <c r="Y383" s="7"/>
      <c r="Z383" s="7"/>
      <c r="AA383" s="7" t="str">
        <f t="shared" si="35"/>
        <v/>
      </c>
      <c r="AB383" s="7"/>
      <c r="AC383" s="7"/>
      <c r="AQ383" s="7" t="str">
        <f t="shared" si="36"/>
        <v/>
      </c>
      <c r="AR383" s="7" t="str">
        <f t="shared" si="37"/>
        <v/>
      </c>
      <c r="AS383" s="7" t="str">
        <f t="shared" si="38"/>
        <v/>
      </c>
      <c r="AT383" s="7" t="str">
        <f t="shared" si="39"/>
        <v/>
      </c>
      <c r="AU383" s="7" t="str">
        <f t="shared" si="40"/>
        <v/>
      </c>
      <c r="AV383" s="7" t="str">
        <f t="shared" si="41"/>
        <v/>
      </c>
      <c r="AW383" s="7" t="str">
        <f>IF('RFQ-Input'!O382="","",'RFQ-Input'!O382)</f>
        <v/>
      </c>
      <c r="AX383" s="7" t="str">
        <f>IF('RFQ-Input'!S382="","",'RFQ-Input'!S382)</f>
        <v/>
      </c>
      <c r="AY383" s="7" t="str">
        <f>IF('RFQ-Input'!V382="","",'RFQ-Input'!V382)</f>
        <v/>
      </c>
      <c r="AZ383" s="7" t="str">
        <f>IF('RFQ-Input'!Y382="","",'RFQ-Input'!Y382)</f>
        <v/>
      </c>
      <c r="BA383" s="7" t="str">
        <f>IF('RFQ-Input'!AB382="","",'RFQ-Input'!AB382)</f>
        <v/>
      </c>
    </row>
    <row r="384" spans="1:53">
      <c r="A384" s="20">
        <v>380</v>
      </c>
      <c r="B384" s="7"/>
      <c r="C384" s="7" t="str">
        <f>IF('RFQ-Input'!C383="","",'RFQ-Input'!C383)</f>
        <v/>
      </c>
      <c r="D384" s="7" t="str">
        <f>IF('RFQ-Input'!D383="","",'RFQ-Input'!D383)</f>
        <v/>
      </c>
      <c r="E384" s="7" t="str">
        <f>IF('RFQ-Input'!E383="","",'RFQ-Input'!E383)</f>
        <v/>
      </c>
      <c r="F384" s="7" t="str">
        <f>IF('RFQ-Input'!F383="","",'RFQ-Input'!F383)</f>
        <v/>
      </c>
      <c r="G384" s="7" t="str">
        <f>IF('RFQ-Input'!G383="","",'RFQ-Input'!G383)</f>
        <v/>
      </c>
      <c r="H384" s="7" t="str">
        <f>IF('RFQ-Input'!H383="","",'RFQ-Input'!H383)</f>
        <v/>
      </c>
      <c r="I384" s="7" t="str">
        <f>IF('RFQ-Input'!I383="","",'RFQ-Input'!I383)</f>
        <v/>
      </c>
      <c r="J384" s="7" t="str">
        <f>IF('RFQ-Input'!J383="","",'RFQ-Input'!J383)</f>
        <v/>
      </c>
      <c r="K384" s="7" t="str">
        <f>IF('RFQ-Input'!K383="","",'RFQ-Input'!K383)</f>
        <v/>
      </c>
      <c r="L384" s="7" t="str">
        <f>IF('RFQ-Input'!L383="","",'RFQ-Input'!L383)</f>
        <v/>
      </c>
      <c r="M384" s="7" t="str">
        <f>IF('RFQ-Input'!M383="","",'RFQ-Input'!M383)</f>
        <v/>
      </c>
      <c r="N384" s="7" t="str">
        <f>IF('RFQ-Input'!N383="","",'RFQ-Input'!N383)</f>
        <v/>
      </c>
      <c r="O384" s="7" t="str">
        <f>IF('RFQ-Input'!O383="","",'RFQ-Input'!O383)</f>
        <v/>
      </c>
      <c r="Q384" s="7"/>
      <c r="R384" s="7"/>
      <c r="S384" s="7"/>
      <c r="T384" s="7"/>
      <c r="U384" s="7"/>
      <c r="V384" s="7"/>
      <c r="X384" s="7"/>
      <c r="Y384" s="7"/>
      <c r="Z384" s="7"/>
      <c r="AA384" s="7" t="str">
        <f t="shared" si="35"/>
        <v/>
      </c>
      <c r="AB384" s="7"/>
      <c r="AC384" s="7"/>
      <c r="AQ384" s="7" t="str">
        <f t="shared" si="36"/>
        <v/>
      </c>
      <c r="AR384" s="7" t="str">
        <f t="shared" si="37"/>
        <v/>
      </c>
      <c r="AS384" s="7" t="str">
        <f t="shared" si="38"/>
        <v/>
      </c>
      <c r="AT384" s="7" t="str">
        <f t="shared" si="39"/>
        <v/>
      </c>
      <c r="AU384" s="7" t="str">
        <f t="shared" si="40"/>
        <v/>
      </c>
      <c r="AV384" s="7" t="str">
        <f t="shared" si="41"/>
        <v/>
      </c>
      <c r="AW384" s="7" t="str">
        <f>IF('RFQ-Input'!O383="","",'RFQ-Input'!O383)</f>
        <v/>
      </c>
      <c r="AX384" s="7" t="str">
        <f>IF('RFQ-Input'!S383="","",'RFQ-Input'!S383)</f>
        <v/>
      </c>
      <c r="AY384" s="7" t="str">
        <f>IF('RFQ-Input'!V383="","",'RFQ-Input'!V383)</f>
        <v/>
      </c>
      <c r="AZ384" s="7" t="str">
        <f>IF('RFQ-Input'!Y383="","",'RFQ-Input'!Y383)</f>
        <v/>
      </c>
      <c r="BA384" s="7" t="str">
        <f>IF('RFQ-Input'!AB383="","",'RFQ-Input'!AB383)</f>
        <v/>
      </c>
    </row>
    <row r="385" spans="1:53">
      <c r="A385" s="20">
        <v>381</v>
      </c>
      <c r="B385" s="7"/>
      <c r="C385" s="7" t="str">
        <f>IF('RFQ-Input'!C384="","",'RFQ-Input'!C384)</f>
        <v/>
      </c>
      <c r="D385" s="7" t="str">
        <f>IF('RFQ-Input'!D384="","",'RFQ-Input'!D384)</f>
        <v/>
      </c>
      <c r="E385" s="7" t="str">
        <f>IF('RFQ-Input'!E384="","",'RFQ-Input'!E384)</f>
        <v/>
      </c>
      <c r="F385" s="7" t="str">
        <f>IF('RFQ-Input'!F384="","",'RFQ-Input'!F384)</f>
        <v/>
      </c>
      <c r="G385" s="7" t="str">
        <f>IF('RFQ-Input'!G384="","",'RFQ-Input'!G384)</f>
        <v/>
      </c>
      <c r="H385" s="7" t="str">
        <f>IF('RFQ-Input'!H384="","",'RFQ-Input'!H384)</f>
        <v/>
      </c>
      <c r="I385" s="7" t="str">
        <f>IF('RFQ-Input'!I384="","",'RFQ-Input'!I384)</f>
        <v/>
      </c>
      <c r="J385" s="7" t="str">
        <f>IF('RFQ-Input'!J384="","",'RFQ-Input'!J384)</f>
        <v/>
      </c>
      <c r="K385" s="7" t="str">
        <f>IF('RFQ-Input'!K384="","",'RFQ-Input'!K384)</f>
        <v/>
      </c>
      <c r="L385" s="7" t="str">
        <f>IF('RFQ-Input'!L384="","",'RFQ-Input'!L384)</f>
        <v/>
      </c>
      <c r="M385" s="7" t="str">
        <f>IF('RFQ-Input'!M384="","",'RFQ-Input'!M384)</f>
        <v/>
      </c>
      <c r="N385" s="7" t="str">
        <f>IF('RFQ-Input'!N384="","",'RFQ-Input'!N384)</f>
        <v/>
      </c>
      <c r="O385" s="7" t="str">
        <f>IF('RFQ-Input'!O384="","",'RFQ-Input'!O384)</f>
        <v/>
      </c>
      <c r="Q385" s="7"/>
      <c r="R385" s="7"/>
      <c r="S385" s="7"/>
      <c r="T385" s="7"/>
      <c r="U385" s="7"/>
      <c r="V385" s="7"/>
      <c r="X385" s="7"/>
      <c r="Y385" s="7"/>
      <c r="Z385" s="7"/>
      <c r="AA385" s="7" t="str">
        <f t="shared" si="35"/>
        <v/>
      </c>
      <c r="AB385" s="7"/>
      <c r="AC385" s="7"/>
      <c r="AQ385" s="7" t="str">
        <f t="shared" si="36"/>
        <v/>
      </c>
      <c r="AR385" s="7" t="str">
        <f t="shared" si="37"/>
        <v/>
      </c>
      <c r="AS385" s="7" t="str">
        <f t="shared" si="38"/>
        <v/>
      </c>
      <c r="AT385" s="7" t="str">
        <f t="shared" si="39"/>
        <v/>
      </c>
      <c r="AU385" s="7" t="str">
        <f t="shared" si="40"/>
        <v/>
      </c>
      <c r="AV385" s="7" t="str">
        <f t="shared" si="41"/>
        <v/>
      </c>
      <c r="AW385" s="7" t="str">
        <f>IF('RFQ-Input'!O384="","",'RFQ-Input'!O384)</f>
        <v/>
      </c>
      <c r="AX385" s="7" t="str">
        <f>IF('RFQ-Input'!S384="","",'RFQ-Input'!S384)</f>
        <v/>
      </c>
      <c r="AY385" s="7" t="str">
        <f>IF('RFQ-Input'!V384="","",'RFQ-Input'!V384)</f>
        <v/>
      </c>
      <c r="AZ385" s="7" t="str">
        <f>IF('RFQ-Input'!Y384="","",'RFQ-Input'!Y384)</f>
        <v/>
      </c>
      <c r="BA385" s="7" t="str">
        <f>IF('RFQ-Input'!AB384="","",'RFQ-Input'!AB384)</f>
        <v/>
      </c>
    </row>
    <row r="386" spans="1:53">
      <c r="A386" s="20">
        <v>382</v>
      </c>
      <c r="B386" s="7"/>
      <c r="C386" s="7" t="str">
        <f>IF('RFQ-Input'!C385="","",'RFQ-Input'!C385)</f>
        <v/>
      </c>
      <c r="D386" s="7" t="str">
        <f>IF('RFQ-Input'!D385="","",'RFQ-Input'!D385)</f>
        <v/>
      </c>
      <c r="E386" s="7" t="str">
        <f>IF('RFQ-Input'!E385="","",'RFQ-Input'!E385)</f>
        <v/>
      </c>
      <c r="F386" s="7" t="str">
        <f>IF('RFQ-Input'!F385="","",'RFQ-Input'!F385)</f>
        <v/>
      </c>
      <c r="G386" s="7" t="str">
        <f>IF('RFQ-Input'!G385="","",'RFQ-Input'!G385)</f>
        <v/>
      </c>
      <c r="H386" s="7" t="str">
        <f>IF('RFQ-Input'!H385="","",'RFQ-Input'!H385)</f>
        <v/>
      </c>
      <c r="I386" s="7" t="str">
        <f>IF('RFQ-Input'!I385="","",'RFQ-Input'!I385)</f>
        <v/>
      </c>
      <c r="J386" s="7" t="str">
        <f>IF('RFQ-Input'!J385="","",'RFQ-Input'!J385)</f>
        <v/>
      </c>
      <c r="K386" s="7" t="str">
        <f>IF('RFQ-Input'!K385="","",'RFQ-Input'!K385)</f>
        <v/>
      </c>
      <c r="L386" s="7" t="str">
        <f>IF('RFQ-Input'!L385="","",'RFQ-Input'!L385)</f>
        <v/>
      </c>
      <c r="M386" s="7" t="str">
        <f>IF('RFQ-Input'!M385="","",'RFQ-Input'!M385)</f>
        <v/>
      </c>
      <c r="N386" s="7" t="str">
        <f>IF('RFQ-Input'!N385="","",'RFQ-Input'!N385)</f>
        <v/>
      </c>
      <c r="O386" s="7" t="str">
        <f>IF('RFQ-Input'!O385="","",'RFQ-Input'!O385)</f>
        <v/>
      </c>
      <c r="Q386" s="7"/>
      <c r="R386" s="7"/>
      <c r="S386" s="7"/>
      <c r="T386" s="7"/>
      <c r="U386" s="7"/>
      <c r="V386" s="7"/>
      <c r="X386" s="7"/>
      <c r="Y386" s="7"/>
      <c r="Z386" s="7"/>
      <c r="AA386" s="7" t="str">
        <f t="shared" si="35"/>
        <v/>
      </c>
      <c r="AB386" s="7"/>
      <c r="AC386" s="7"/>
      <c r="AQ386" s="7" t="str">
        <f t="shared" si="36"/>
        <v/>
      </c>
      <c r="AR386" s="7" t="str">
        <f t="shared" si="37"/>
        <v/>
      </c>
      <c r="AS386" s="7" t="str">
        <f t="shared" si="38"/>
        <v/>
      </c>
      <c r="AT386" s="7" t="str">
        <f t="shared" si="39"/>
        <v/>
      </c>
      <c r="AU386" s="7" t="str">
        <f t="shared" si="40"/>
        <v/>
      </c>
      <c r="AV386" s="7" t="str">
        <f t="shared" si="41"/>
        <v/>
      </c>
      <c r="AW386" s="7" t="str">
        <f>IF('RFQ-Input'!O385="","",'RFQ-Input'!O385)</f>
        <v/>
      </c>
      <c r="AX386" s="7" t="str">
        <f>IF('RFQ-Input'!S385="","",'RFQ-Input'!S385)</f>
        <v/>
      </c>
      <c r="AY386" s="7" t="str">
        <f>IF('RFQ-Input'!V385="","",'RFQ-Input'!V385)</f>
        <v/>
      </c>
      <c r="AZ386" s="7" t="str">
        <f>IF('RFQ-Input'!Y385="","",'RFQ-Input'!Y385)</f>
        <v/>
      </c>
      <c r="BA386" s="7" t="str">
        <f>IF('RFQ-Input'!AB385="","",'RFQ-Input'!AB385)</f>
        <v/>
      </c>
    </row>
    <row r="387" spans="1:53">
      <c r="A387" s="20">
        <v>383</v>
      </c>
      <c r="B387" s="7"/>
      <c r="C387" s="7" t="str">
        <f>IF('RFQ-Input'!C386="","",'RFQ-Input'!C386)</f>
        <v/>
      </c>
      <c r="D387" s="7" t="str">
        <f>IF('RFQ-Input'!D386="","",'RFQ-Input'!D386)</f>
        <v/>
      </c>
      <c r="E387" s="7" t="str">
        <f>IF('RFQ-Input'!E386="","",'RFQ-Input'!E386)</f>
        <v/>
      </c>
      <c r="F387" s="7" t="str">
        <f>IF('RFQ-Input'!F386="","",'RFQ-Input'!F386)</f>
        <v/>
      </c>
      <c r="G387" s="7" t="str">
        <f>IF('RFQ-Input'!G386="","",'RFQ-Input'!G386)</f>
        <v/>
      </c>
      <c r="H387" s="7" t="str">
        <f>IF('RFQ-Input'!H386="","",'RFQ-Input'!H386)</f>
        <v/>
      </c>
      <c r="I387" s="7" t="str">
        <f>IF('RFQ-Input'!I386="","",'RFQ-Input'!I386)</f>
        <v/>
      </c>
      <c r="J387" s="7" t="str">
        <f>IF('RFQ-Input'!J386="","",'RFQ-Input'!J386)</f>
        <v/>
      </c>
      <c r="K387" s="7" t="str">
        <f>IF('RFQ-Input'!K386="","",'RFQ-Input'!K386)</f>
        <v/>
      </c>
      <c r="L387" s="7" t="str">
        <f>IF('RFQ-Input'!L386="","",'RFQ-Input'!L386)</f>
        <v/>
      </c>
      <c r="M387" s="7" t="str">
        <f>IF('RFQ-Input'!M386="","",'RFQ-Input'!M386)</f>
        <v/>
      </c>
      <c r="N387" s="7" t="str">
        <f>IF('RFQ-Input'!N386="","",'RFQ-Input'!N386)</f>
        <v/>
      </c>
      <c r="O387" s="7" t="str">
        <f>IF('RFQ-Input'!O386="","",'RFQ-Input'!O386)</f>
        <v/>
      </c>
      <c r="Q387" s="7"/>
      <c r="R387" s="7"/>
      <c r="S387" s="7"/>
      <c r="T387" s="7"/>
      <c r="U387" s="7"/>
      <c r="V387" s="7"/>
      <c r="X387" s="7"/>
      <c r="Y387" s="7"/>
      <c r="Z387" s="7"/>
      <c r="AA387" s="7" t="str">
        <f t="shared" si="35"/>
        <v/>
      </c>
      <c r="AB387" s="7"/>
      <c r="AC387" s="7"/>
      <c r="AQ387" s="7" t="str">
        <f t="shared" si="36"/>
        <v/>
      </c>
      <c r="AR387" s="7" t="str">
        <f t="shared" si="37"/>
        <v/>
      </c>
      <c r="AS387" s="7" t="str">
        <f t="shared" si="38"/>
        <v/>
      </c>
      <c r="AT387" s="7" t="str">
        <f t="shared" si="39"/>
        <v/>
      </c>
      <c r="AU387" s="7" t="str">
        <f t="shared" si="40"/>
        <v/>
      </c>
      <c r="AV387" s="7" t="str">
        <f t="shared" si="41"/>
        <v/>
      </c>
      <c r="AW387" s="7" t="str">
        <f>IF('RFQ-Input'!O386="","",'RFQ-Input'!O386)</f>
        <v/>
      </c>
      <c r="AX387" s="7" t="str">
        <f>IF('RFQ-Input'!S386="","",'RFQ-Input'!S386)</f>
        <v/>
      </c>
      <c r="AY387" s="7" t="str">
        <f>IF('RFQ-Input'!V386="","",'RFQ-Input'!V386)</f>
        <v/>
      </c>
      <c r="AZ387" s="7" t="str">
        <f>IF('RFQ-Input'!Y386="","",'RFQ-Input'!Y386)</f>
        <v/>
      </c>
      <c r="BA387" s="7" t="str">
        <f>IF('RFQ-Input'!AB386="","",'RFQ-Input'!AB386)</f>
        <v/>
      </c>
    </row>
    <row r="388" spans="1:53">
      <c r="A388" s="20">
        <v>384</v>
      </c>
      <c r="B388" s="7"/>
      <c r="C388" s="7" t="str">
        <f>IF('RFQ-Input'!C387="","",'RFQ-Input'!C387)</f>
        <v/>
      </c>
      <c r="D388" s="7" t="str">
        <f>IF('RFQ-Input'!D387="","",'RFQ-Input'!D387)</f>
        <v/>
      </c>
      <c r="E388" s="7" t="str">
        <f>IF('RFQ-Input'!E387="","",'RFQ-Input'!E387)</f>
        <v/>
      </c>
      <c r="F388" s="7" t="str">
        <f>IF('RFQ-Input'!F387="","",'RFQ-Input'!F387)</f>
        <v/>
      </c>
      <c r="G388" s="7" t="str">
        <f>IF('RFQ-Input'!G387="","",'RFQ-Input'!G387)</f>
        <v/>
      </c>
      <c r="H388" s="7" t="str">
        <f>IF('RFQ-Input'!H387="","",'RFQ-Input'!H387)</f>
        <v/>
      </c>
      <c r="I388" s="7" t="str">
        <f>IF('RFQ-Input'!I387="","",'RFQ-Input'!I387)</f>
        <v/>
      </c>
      <c r="J388" s="7" t="str">
        <f>IF('RFQ-Input'!J387="","",'RFQ-Input'!J387)</f>
        <v/>
      </c>
      <c r="K388" s="7" t="str">
        <f>IF('RFQ-Input'!K387="","",'RFQ-Input'!K387)</f>
        <v/>
      </c>
      <c r="L388" s="7" t="str">
        <f>IF('RFQ-Input'!L387="","",'RFQ-Input'!L387)</f>
        <v/>
      </c>
      <c r="M388" s="7" t="str">
        <f>IF('RFQ-Input'!M387="","",'RFQ-Input'!M387)</f>
        <v/>
      </c>
      <c r="N388" s="7" t="str">
        <f>IF('RFQ-Input'!N387="","",'RFQ-Input'!N387)</f>
        <v/>
      </c>
      <c r="O388" s="7" t="str">
        <f>IF('RFQ-Input'!O387="","",'RFQ-Input'!O387)</f>
        <v/>
      </c>
      <c r="Q388" s="7"/>
      <c r="R388" s="7"/>
      <c r="S388" s="7"/>
      <c r="T388" s="7"/>
      <c r="U388" s="7"/>
      <c r="V388" s="7"/>
      <c r="X388" s="7"/>
      <c r="Y388" s="7"/>
      <c r="Z388" s="7"/>
      <c r="AA388" s="7" t="str">
        <f t="shared" si="35"/>
        <v/>
      </c>
      <c r="AB388" s="7"/>
      <c r="AC388" s="7"/>
      <c r="AQ388" s="7" t="str">
        <f t="shared" si="36"/>
        <v/>
      </c>
      <c r="AR388" s="7" t="str">
        <f t="shared" si="37"/>
        <v/>
      </c>
      <c r="AS388" s="7" t="str">
        <f t="shared" si="38"/>
        <v/>
      </c>
      <c r="AT388" s="7" t="str">
        <f t="shared" si="39"/>
        <v/>
      </c>
      <c r="AU388" s="7" t="str">
        <f t="shared" si="40"/>
        <v/>
      </c>
      <c r="AV388" s="7" t="str">
        <f t="shared" si="41"/>
        <v/>
      </c>
      <c r="AW388" s="7" t="str">
        <f>IF('RFQ-Input'!O387="","",'RFQ-Input'!O387)</f>
        <v/>
      </c>
      <c r="AX388" s="7" t="str">
        <f>IF('RFQ-Input'!S387="","",'RFQ-Input'!S387)</f>
        <v/>
      </c>
      <c r="AY388" s="7" t="str">
        <f>IF('RFQ-Input'!V387="","",'RFQ-Input'!V387)</f>
        <v/>
      </c>
      <c r="AZ388" s="7" t="str">
        <f>IF('RFQ-Input'!Y387="","",'RFQ-Input'!Y387)</f>
        <v/>
      </c>
      <c r="BA388" s="7" t="str">
        <f>IF('RFQ-Input'!AB387="","",'RFQ-Input'!AB387)</f>
        <v/>
      </c>
    </row>
    <row r="389" spans="1:53">
      <c r="A389" s="20">
        <v>385</v>
      </c>
      <c r="B389" s="7"/>
      <c r="C389" s="7" t="str">
        <f>IF('RFQ-Input'!C388="","",'RFQ-Input'!C388)</f>
        <v/>
      </c>
      <c r="D389" s="7" t="str">
        <f>IF('RFQ-Input'!D388="","",'RFQ-Input'!D388)</f>
        <v/>
      </c>
      <c r="E389" s="7" t="str">
        <f>IF('RFQ-Input'!E388="","",'RFQ-Input'!E388)</f>
        <v/>
      </c>
      <c r="F389" s="7" t="str">
        <f>IF('RFQ-Input'!F388="","",'RFQ-Input'!F388)</f>
        <v/>
      </c>
      <c r="G389" s="7" t="str">
        <f>IF('RFQ-Input'!G388="","",'RFQ-Input'!G388)</f>
        <v/>
      </c>
      <c r="H389" s="7" t="str">
        <f>IF('RFQ-Input'!H388="","",'RFQ-Input'!H388)</f>
        <v/>
      </c>
      <c r="I389" s="7" t="str">
        <f>IF('RFQ-Input'!I388="","",'RFQ-Input'!I388)</f>
        <v/>
      </c>
      <c r="J389" s="7" t="str">
        <f>IF('RFQ-Input'!J388="","",'RFQ-Input'!J388)</f>
        <v/>
      </c>
      <c r="K389" s="7" t="str">
        <f>IF('RFQ-Input'!K388="","",'RFQ-Input'!K388)</f>
        <v/>
      </c>
      <c r="L389" s="7" t="str">
        <f>IF('RFQ-Input'!L388="","",'RFQ-Input'!L388)</f>
        <v/>
      </c>
      <c r="M389" s="7" t="str">
        <f>IF('RFQ-Input'!M388="","",'RFQ-Input'!M388)</f>
        <v/>
      </c>
      <c r="N389" s="7" t="str">
        <f>IF('RFQ-Input'!N388="","",'RFQ-Input'!N388)</f>
        <v/>
      </c>
      <c r="O389" s="7" t="str">
        <f>IF('RFQ-Input'!O388="","",'RFQ-Input'!O388)</f>
        <v/>
      </c>
      <c r="Q389" s="7"/>
      <c r="R389" s="7"/>
      <c r="S389" s="7"/>
      <c r="T389" s="7"/>
      <c r="U389" s="7"/>
      <c r="V389" s="7"/>
      <c r="X389" s="7"/>
      <c r="Y389" s="7"/>
      <c r="Z389" s="7"/>
      <c r="AA389" s="7" t="str">
        <f t="shared" ref="AA389:AA452" si="42">IF(AND(L389="",Y389=""),"",L389)</f>
        <v/>
      </c>
      <c r="AB389" s="7"/>
      <c r="AC389" s="7"/>
      <c r="AQ389" s="7" t="str">
        <f t="shared" si="36"/>
        <v/>
      </c>
      <c r="AR389" s="7" t="str">
        <f t="shared" si="37"/>
        <v/>
      </c>
      <c r="AS389" s="7" t="str">
        <f t="shared" si="38"/>
        <v/>
      </c>
      <c r="AT389" s="7" t="str">
        <f t="shared" si="39"/>
        <v/>
      </c>
      <c r="AU389" s="7" t="str">
        <f t="shared" si="40"/>
        <v/>
      </c>
      <c r="AV389" s="7" t="str">
        <f t="shared" si="41"/>
        <v/>
      </c>
      <c r="AW389" s="7" t="str">
        <f>IF('RFQ-Input'!O388="","",'RFQ-Input'!O388)</f>
        <v/>
      </c>
      <c r="AX389" s="7" t="str">
        <f>IF('RFQ-Input'!S388="","",'RFQ-Input'!S388)</f>
        <v/>
      </c>
      <c r="AY389" s="7" t="str">
        <f>IF('RFQ-Input'!V388="","",'RFQ-Input'!V388)</f>
        <v/>
      </c>
      <c r="AZ389" s="7" t="str">
        <f>IF('RFQ-Input'!Y388="","",'RFQ-Input'!Y388)</f>
        <v/>
      </c>
      <c r="BA389" s="7" t="str">
        <f>IF('RFQ-Input'!AB388="","",'RFQ-Input'!AB388)</f>
        <v/>
      </c>
    </row>
    <row r="390" spans="1:53">
      <c r="A390" s="20">
        <v>386</v>
      </c>
      <c r="B390" s="7"/>
      <c r="C390" s="7" t="str">
        <f>IF('RFQ-Input'!C389="","",'RFQ-Input'!C389)</f>
        <v/>
      </c>
      <c r="D390" s="7" t="str">
        <f>IF('RFQ-Input'!D389="","",'RFQ-Input'!D389)</f>
        <v/>
      </c>
      <c r="E390" s="7" t="str">
        <f>IF('RFQ-Input'!E389="","",'RFQ-Input'!E389)</f>
        <v/>
      </c>
      <c r="F390" s="7" t="str">
        <f>IF('RFQ-Input'!F389="","",'RFQ-Input'!F389)</f>
        <v/>
      </c>
      <c r="G390" s="7" t="str">
        <f>IF('RFQ-Input'!G389="","",'RFQ-Input'!G389)</f>
        <v/>
      </c>
      <c r="H390" s="7" t="str">
        <f>IF('RFQ-Input'!H389="","",'RFQ-Input'!H389)</f>
        <v/>
      </c>
      <c r="I390" s="7" t="str">
        <f>IF('RFQ-Input'!I389="","",'RFQ-Input'!I389)</f>
        <v/>
      </c>
      <c r="J390" s="7" t="str">
        <f>IF('RFQ-Input'!J389="","",'RFQ-Input'!J389)</f>
        <v/>
      </c>
      <c r="K390" s="7" t="str">
        <f>IF('RFQ-Input'!K389="","",'RFQ-Input'!K389)</f>
        <v/>
      </c>
      <c r="L390" s="7" t="str">
        <f>IF('RFQ-Input'!L389="","",'RFQ-Input'!L389)</f>
        <v/>
      </c>
      <c r="M390" s="7" t="str">
        <f>IF('RFQ-Input'!M389="","",'RFQ-Input'!M389)</f>
        <v/>
      </c>
      <c r="N390" s="7" t="str">
        <f>IF('RFQ-Input'!N389="","",'RFQ-Input'!N389)</f>
        <v/>
      </c>
      <c r="O390" s="7" t="str">
        <f>IF('RFQ-Input'!O389="","",'RFQ-Input'!O389)</f>
        <v/>
      </c>
      <c r="Q390" s="7"/>
      <c r="R390" s="7"/>
      <c r="S390" s="7"/>
      <c r="T390" s="7"/>
      <c r="U390" s="7"/>
      <c r="V390" s="7"/>
      <c r="X390" s="7"/>
      <c r="Y390" s="7"/>
      <c r="Z390" s="7"/>
      <c r="AA390" s="7" t="str">
        <f t="shared" si="42"/>
        <v/>
      </c>
      <c r="AB390" s="7"/>
      <c r="AC390" s="7"/>
      <c r="AQ390" s="7" t="str">
        <f t="shared" ref="AQ390:AQ453" si="43">IFERROR(SMALL($AW390:$CT390,1),"")</f>
        <v/>
      </c>
      <c r="AR390" s="7" t="str">
        <f t="shared" ref="AR390:AR453" si="44">IF(AQ390="","",INDEX($AW$4:$CT$4,MATCH(AQ390,$AW390:$CT390,0)))</f>
        <v/>
      </c>
      <c r="AS390" s="7" t="str">
        <f t="shared" ref="AS390:AS453" si="45">IFERROR(SMALL($AW390:$CT390,2),"")</f>
        <v/>
      </c>
      <c r="AT390" s="7" t="str">
        <f t="shared" ref="AT390:AT453" si="46">IF(AS390="","",INDEX($AW$4:$CT$4,MATCH(AS390,$AW390:$CT390,0)))</f>
        <v/>
      </c>
      <c r="AU390" s="7" t="str">
        <f t="shared" ref="AU390:AU453" si="47">IFERROR(SMALL($AW390:$CT390,3),"")</f>
        <v/>
      </c>
      <c r="AV390" s="7" t="str">
        <f t="shared" ref="AV390:AV453" si="48">IF(AU390="","",INDEX($AW$4:$CT$4,MATCH(AU390,$AW390:$CT390,0)))</f>
        <v/>
      </c>
      <c r="AW390" s="7" t="str">
        <f>IF('RFQ-Input'!O389="","",'RFQ-Input'!O389)</f>
        <v/>
      </c>
      <c r="AX390" s="7" t="str">
        <f>IF('RFQ-Input'!S389="","",'RFQ-Input'!S389)</f>
        <v/>
      </c>
      <c r="AY390" s="7" t="str">
        <f>IF('RFQ-Input'!V389="","",'RFQ-Input'!V389)</f>
        <v/>
      </c>
      <c r="AZ390" s="7" t="str">
        <f>IF('RFQ-Input'!Y389="","",'RFQ-Input'!Y389)</f>
        <v/>
      </c>
      <c r="BA390" s="7" t="str">
        <f>IF('RFQ-Input'!AB389="","",'RFQ-Input'!AB389)</f>
        <v/>
      </c>
    </row>
    <row r="391" spans="1:53">
      <c r="A391" s="20">
        <v>387</v>
      </c>
      <c r="B391" s="7"/>
      <c r="C391" s="7" t="str">
        <f>IF('RFQ-Input'!C390="","",'RFQ-Input'!C390)</f>
        <v/>
      </c>
      <c r="D391" s="7" t="str">
        <f>IF('RFQ-Input'!D390="","",'RFQ-Input'!D390)</f>
        <v/>
      </c>
      <c r="E391" s="7" t="str">
        <f>IF('RFQ-Input'!E390="","",'RFQ-Input'!E390)</f>
        <v/>
      </c>
      <c r="F391" s="7" t="str">
        <f>IF('RFQ-Input'!F390="","",'RFQ-Input'!F390)</f>
        <v/>
      </c>
      <c r="G391" s="7" t="str">
        <f>IF('RFQ-Input'!G390="","",'RFQ-Input'!G390)</f>
        <v/>
      </c>
      <c r="H391" s="7" t="str">
        <f>IF('RFQ-Input'!H390="","",'RFQ-Input'!H390)</f>
        <v/>
      </c>
      <c r="I391" s="7" t="str">
        <f>IF('RFQ-Input'!I390="","",'RFQ-Input'!I390)</f>
        <v/>
      </c>
      <c r="J391" s="7" t="str">
        <f>IF('RFQ-Input'!J390="","",'RFQ-Input'!J390)</f>
        <v/>
      </c>
      <c r="K391" s="7" t="str">
        <f>IF('RFQ-Input'!K390="","",'RFQ-Input'!K390)</f>
        <v/>
      </c>
      <c r="L391" s="7" t="str">
        <f>IF('RFQ-Input'!L390="","",'RFQ-Input'!L390)</f>
        <v/>
      </c>
      <c r="M391" s="7" t="str">
        <f>IF('RFQ-Input'!M390="","",'RFQ-Input'!M390)</f>
        <v/>
      </c>
      <c r="N391" s="7" t="str">
        <f>IF('RFQ-Input'!N390="","",'RFQ-Input'!N390)</f>
        <v/>
      </c>
      <c r="O391" s="7" t="str">
        <f>IF('RFQ-Input'!O390="","",'RFQ-Input'!O390)</f>
        <v/>
      </c>
      <c r="Q391" s="7"/>
      <c r="R391" s="7"/>
      <c r="S391" s="7"/>
      <c r="T391" s="7"/>
      <c r="U391" s="7"/>
      <c r="V391" s="7"/>
      <c r="X391" s="7"/>
      <c r="Y391" s="7"/>
      <c r="Z391" s="7"/>
      <c r="AA391" s="7" t="str">
        <f t="shared" si="42"/>
        <v/>
      </c>
      <c r="AB391" s="7"/>
      <c r="AC391" s="7"/>
      <c r="AQ391" s="7" t="str">
        <f t="shared" si="43"/>
        <v/>
      </c>
      <c r="AR391" s="7" t="str">
        <f t="shared" si="44"/>
        <v/>
      </c>
      <c r="AS391" s="7" t="str">
        <f t="shared" si="45"/>
        <v/>
      </c>
      <c r="AT391" s="7" t="str">
        <f t="shared" si="46"/>
        <v/>
      </c>
      <c r="AU391" s="7" t="str">
        <f t="shared" si="47"/>
        <v/>
      </c>
      <c r="AV391" s="7" t="str">
        <f t="shared" si="48"/>
        <v/>
      </c>
      <c r="AW391" s="7" t="str">
        <f>IF('RFQ-Input'!O390="","",'RFQ-Input'!O390)</f>
        <v/>
      </c>
      <c r="AX391" s="7" t="str">
        <f>IF('RFQ-Input'!S390="","",'RFQ-Input'!S390)</f>
        <v/>
      </c>
      <c r="AY391" s="7" t="str">
        <f>IF('RFQ-Input'!V390="","",'RFQ-Input'!V390)</f>
        <v/>
      </c>
      <c r="AZ391" s="7" t="str">
        <f>IF('RFQ-Input'!Y390="","",'RFQ-Input'!Y390)</f>
        <v/>
      </c>
      <c r="BA391" s="7" t="str">
        <f>IF('RFQ-Input'!AB390="","",'RFQ-Input'!AB390)</f>
        <v/>
      </c>
    </row>
    <row r="392" spans="1:53">
      <c r="A392" s="20">
        <v>388</v>
      </c>
      <c r="B392" s="7"/>
      <c r="C392" s="7" t="str">
        <f>IF('RFQ-Input'!C391="","",'RFQ-Input'!C391)</f>
        <v/>
      </c>
      <c r="D392" s="7" t="str">
        <f>IF('RFQ-Input'!D391="","",'RFQ-Input'!D391)</f>
        <v/>
      </c>
      <c r="E392" s="7" t="str">
        <f>IF('RFQ-Input'!E391="","",'RFQ-Input'!E391)</f>
        <v/>
      </c>
      <c r="F392" s="7" t="str">
        <f>IF('RFQ-Input'!F391="","",'RFQ-Input'!F391)</f>
        <v/>
      </c>
      <c r="G392" s="7" t="str">
        <f>IF('RFQ-Input'!G391="","",'RFQ-Input'!G391)</f>
        <v/>
      </c>
      <c r="H392" s="7" t="str">
        <f>IF('RFQ-Input'!H391="","",'RFQ-Input'!H391)</f>
        <v/>
      </c>
      <c r="I392" s="7" t="str">
        <f>IF('RFQ-Input'!I391="","",'RFQ-Input'!I391)</f>
        <v/>
      </c>
      <c r="J392" s="7" t="str">
        <f>IF('RFQ-Input'!J391="","",'RFQ-Input'!J391)</f>
        <v/>
      </c>
      <c r="K392" s="7" t="str">
        <f>IF('RFQ-Input'!K391="","",'RFQ-Input'!K391)</f>
        <v/>
      </c>
      <c r="L392" s="7" t="str">
        <f>IF('RFQ-Input'!L391="","",'RFQ-Input'!L391)</f>
        <v/>
      </c>
      <c r="M392" s="7" t="str">
        <f>IF('RFQ-Input'!M391="","",'RFQ-Input'!M391)</f>
        <v/>
      </c>
      <c r="N392" s="7" t="str">
        <f>IF('RFQ-Input'!N391="","",'RFQ-Input'!N391)</f>
        <v/>
      </c>
      <c r="O392" s="7" t="str">
        <f>IF('RFQ-Input'!O391="","",'RFQ-Input'!O391)</f>
        <v/>
      </c>
      <c r="Q392" s="7"/>
      <c r="R392" s="7"/>
      <c r="S392" s="7"/>
      <c r="T392" s="7"/>
      <c r="U392" s="7"/>
      <c r="V392" s="7"/>
      <c r="X392" s="7"/>
      <c r="Y392" s="7"/>
      <c r="Z392" s="7"/>
      <c r="AA392" s="7" t="str">
        <f t="shared" si="42"/>
        <v/>
      </c>
      <c r="AB392" s="7"/>
      <c r="AC392" s="7"/>
      <c r="AQ392" s="7" t="str">
        <f t="shared" si="43"/>
        <v/>
      </c>
      <c r="AR392" s="7" t="str">
        <f t="shared" si="44"/>
        <v/>
      </c>
      <c r="AS392" s="7" t="str">
        <f t="shared" si="45"/>
        <v/>
      </c>
      <c r="AT392" s="7" t="str">
        <f t="shared" si="46"/>
        <v/>
      </c>
      <c r="AU392" s="7" t="str">
        <f t="shared" si="47"/>
        <v/>
      </c>
      <c r="AV392" s="7" t="str">
        <f t="shared" si="48"/>
        <v/>
      </c>
      <c r="AW392" s="7" t="str">
        <f>IF('RFQ-Input'!O391="","",'RFQ-Input'!O391)</f>
        <v/>
      </c>
      <c r="AX392" s="7" t="str">
        <f>IF('RFQ-Input'!S391="","",'RFQ-Input'!S391)</f>
        <v/>
      </c>
      <c r="AY392" s="7" t="str">
        <f>IF('RFQ-Input'!V391="","",'RFQ-Input'!V391)</f>
        <v/>
      </c>
      <c r="AZ392" s="7" t="str">
        <f>IF('RFQ-Input'!Y391="","",'RFQ-Input'!Y391)</f>
        <v/>
      </c>
      <c r="BA392" s="7" t="str">
        <f>IF('RFQ-Input'!AB391="","",'RFQ-Input'!AB391)</f>
        <v/>
      </c>
    </row>
    <row r="393" spans="1:53">
      <c r="A393" s="20">
        <v>389</v>
      </c>
      <c r="B393" s="7"/>
      <c r="C393" s="7" t="str">
        <f>IF('RFQ-Input'!C392="","",'RFQ-Input'!C392)</f>
        <v/>
      </c>
      <c r="D393" s="7" t="str">
        <f>IF('RFQ-Input'!D392="","",'RFQ-Input'!D392)</f>
        <v/>
      </c>
      <c r="E393" s="7" t="str">
        <f>IF('RFQ-Input'!E392="","",'RFQ-Input'!E392)</f>
        <v/>
      </c>
      <c r="F393" s="7" t="str">
        <f>IF('RFQ-Input'!F392="","",'RFQ-Input'!F392)</f>
        <v/>
      </c>
      <c r="G393" s="7" t="str">
        <f>IF('RFQ-Input'!G392="","",'RFQ-Input'!G392)</f>
        <v/>
      </c>
      <c r="H393" s="7" t="str">
        <f>IF('RFQ-Input'!H392="","",'RFQ-Input'!H392)</f>
        <v/>
      </c>
      <c r="I393" s="7" t="str">
        <f>IF('RFQ-Input'!I392="","",'RFQ-Input'!I392)</f>
        <v/>
      </c>
      <c r="J393" s="7" t="str">
        <f>IF('RFQ-Input'!J392="","",'RFQ-Input'!J392)</f>
        <v/>
      </c>
      <c r="K393" s="7" t="str">
        <f>IF('RFQ-Input'!K392="","",'RFQ-Input'!K392)</f>
        <v/>
      </c>
      <c r="L393" s="7" t="str">
        <f>IF('RFQ-Input'!L392="","",'RFQ-Input'!L392)</f>
        <v/>
      </c>
      <c r="M393" s="7" t="str">
        <f>IF('RFQ-Input'!M392="","",'RFQ-Input'!M392)</f>
        <v/>
      </c>
      <c r="N393" s="7" t="str">
        <f>IF('RFQ-Input'!N392="","",'RFQ-Input'!N392)</f>
        <v/>
      </c>
      <c r="O393" s="7" t="str">
        <f>IF('RFQ-Input'!O392="","",'RFQ-Input'!O392)</f>
        <v/>
      </c>
      <c r="Q393" s="7"/>
      <c r="R393" s="7"/>
      <c r="S393" s="7"/>
      <c r="T393" s="7"/>
      <c r="U393" s="7"/>
      <c r="V393" s="7"/>
      <c r="X393" s="7"/>
      <c r="Y393" s="7"/>
      <c r="Z393" s="7"/>
      <c r="AA393" s="7" t="str">
        <f t="shared" si="42"/>
        <v/>
      </c>
      <c r="AB393" s="7"/>
      <c r="AC393" s="7"/>
      <c r="AQ393" s="7" t="str">
        <f t="shared" si="43"/>
        <v/>
      </c>
      <c r="AR393" s="7" t="str">
        <f t="shared" si="44"/>
        <v/>
      </c>
      <c r="AS393" s="7" t="str">
        <f t="shared" si="45"/>
        <v/>
      </c>
      <c r="AT393" s="7" t="str">
        <f t="shared" si="46"/>
        <v/>
      </c>
      <c r="AU393" s="7" t="str">
        <f t="shared" si="47"/>
        <v/>
      </c>
      <c r="AV393" s="7" t="str">
        <f t="shared" si="48"/>
        <v/>
      </c>
      <c r="AW393" s="7" t="str">
        <f>IF('RFQ-Input'!O392="","",'RFQ-Input'!O392)</f>
        <v/>
      </c>
      <c r="AX393" s="7" t="str">
        <f>IF('RFQ-Input'!S392="","",'RFQ-Input'!S392)</f>
        <v/>
      </c>
      <c r="AY393" s="7" t="str">
        <f>IF('RFQ-Input'!V392="","",'RFQ-Input'!V392)</f>
        <v/>
      </c>
      <c r="AZ393" s="7" t="str">
        <f>IF('RFQ-Input'!Y392="","",'RFQ-Input'!Y392)</f>
        <v/>
      </c>
      <c r="BA393" s="7" t="str">
        <f>IF('RFQ-Input'!AB392="","",'RFQ-Input'!AB392)</f>
        <v/>
      </c>
    </row>
    <row r="394" spans="1:53">
      <c r="A394" s="20">
        <v>390</v>
      </c>
      <c r="B394" s="7"/>
      <c r="C394" s="7" t="str">
        <f>IF('RFQ-Input'!C393="","",'RFQ-Input'!C393)</f>
        <v/>
      </c>
      <c r="D394" s="7" t="str">
        <f>IF('RFQ-Input'!D393="","",'RFQ-Input'!D393)</f>
        <v/>
      </c>
      <c r="E394" s="7" t="str">
        <f>IF('RFQ-Input'!E393="","",'RFQ-Input'!E393)</f>
        <v/>
      </c>
      <c r="F394" s="7" t="str">
        <f>IF('RFQ-Input'!F393="","",'RFQ-Input'!F393)</f>
        <v/>
      </c>
      <c r="G394" s="7" t="str">
        <f>IF('RFQ-Input'!G393="","",'RFQ-Input'!G393)</f>
        <v/>
      </c>
      <c r="H394" s="7" t="str">
        <f>IF('RFQ-Input'!H393="","",'RFQ-Input'!H393)</f>
        <v/>
      </c>
      <c r="I394" s="7" t="str">
        <f>IF('RFQ-Input'!I393="","",'RFQ-Input'!I393)</f>
        <v/>
      </c>
      <c r="J394" s="7" t="str">
        <f>IF('RFQ-Input'!J393="","",'RFQ-Input'!J393)</f>
        <v/>
      </c>
      <c r="K394" s="7" t="str">
        <f>IF('RFQ-Input'!K393="","",'RFQ-Input'!K393)</f>
        <v/>
      </c>
      <c r="L394" s="7" t="str">
        <f>IF('RFQ-Input'!L393="","",'RFQ-Input'!L393)</f>
        <v/>
      </c>
      <c r="M394" s="7" t="str">
        <f>IF('RFQ-Input'!M393="","",'RFQ-Input'!M393)</f>
        <v/>
      </c>
      <c r="N394" s="7" t="str">
        <f>IF('RFQ-Input'!N393="","",'RFQ-Input'!N393)</f>
        <v/>
      </c>
      <c r="O394" s="7" t="str">
        <f>IF('RFQ-Input'!O393="","",'RFQ-Input'!O393)</f>
        <v/>
      </c>
      <c r="Q394" s="7"/>
      <c r="R394" s="7"/>
      <c r="S394" s="7"/>
      <c r="T394" s="7"/>
      <c r="U394" s="7"/>
      <c r="V394" s="7"/>
      <c r="X394" s="7"/>
      <c r="Y394" s="7"/>
      <c r="Z394" s="7"/>
      <c r="AA394" s="7" t="str">
        <f t="shared" si="42"/>
        <v/>
      </c>
      <c r="AB394" s="7"/>
      <c r="AC394" s="7"/>
      <c r="AQ394" s="7" t="str">
        <f t="shared" si="43"/>
        <v/>
      </c>
      <c r="AR394" s="7" t="str">
        <f t="shared" si="44"/>
        <v/>
      </c>
      <c r="AS394" s="7" t="str">
        <f t="shared" si="45"/>
        <v/>
      </c>
      <c r="AT394" s="7" t="str">
        <f t="shared" si="46"/>
        <v/>
      </c>
      <c r="AU394" s="7" t="str">
        <f t="shared" si="47"/>
        <v/>
      </c>
      <c r="AV394" s="7" t="str">
        <f t="shared" si="48"/>
        <v/>
      </c>
      <c r="AW394" s="7" t="str">
        <f>IF('RFQ-Input'!O393="","",'RFQ-Input'!O393)</f>
        <v/>
      </c>
      <c r="AX394" s="7" t="str">
        <f>IF('RFQ-Input'!S393="","",'RFQ-Input'!S393)</f>
        <v/>
      </c>
      <c r="AY394" s="7" t="str">
        <f>IF('RFQ-Input'!V393="","",'RFQ-Input'!V393)</f>
        <v/>
      </c>
      <c r="AZ394" s="7" t="str">
        <f>IF('RFQ-Input'!Y393="","",'RFQ-Input'!Y393)</f>
        <v/>
      </c>
      <c r="BA394" s="7" t="str">
        <f>IF('RFQ-Input'!AB393="","",'RFQ-Input'!AB393)</f>
        <v/>
      </c>
    </row>
    <row r="395" spans="1:53">
      <c r="A395" s="20">
        <v>391</v>
      </c>
      <c r="B395" s="7"/>
      <c r="C395" s="7" t="str">
        <f>IF('RFQ-Input'!C394="","",'RFQ-Input'!C394)</f>
        <v/>
      </c>
      <c r="D395" s="7" t="str">
        <f>IF('RFQ-Input'!D394="","",'RFQ-Input'!D394)</f>
        <v/>
      </c>
      <c r="E395" s="7" t="str">
        <f>IF('RFQ-Input'!E394="","",'RFQ-Input'!E394)</f>
        <v/>
      </c>
      <c r="F395" s="7" t="str">
        <f>IF('RFQ-Input'!F394="","",'RFQ-Input'!F394)</f>
        <v/>
      </c>
      <c r="G395" s="7" t="str">
        <f>IF('RFQ-Input'!G394="","",'RFQ-Input'!G394)</f>
        <v/>
      </c>
      <c r="H395" s="7" t="str">
        <f>IF('RFQ-Input'!H394="","",'RFQ-Input'!H394)</f>
        <v/>
      </c>
      <c r="I395" s="7" t="str">
        <f>IF('RFQ-Input'!I394="","",'RFQ-Input'!I394)</f>
        <v/>
      </c>
      <c r="J395" s="7" t="str">
        <f>IF('RFQ-Input'!J394="","",'RFQ-Input'!J394)</f>
        <v/>
      </c>
      <c r="K395" s="7" t="str">
        <f>IF('RFQ-Input'!K394="","",'RFQ-Input'!K394)</f>
        <v/>
      </c>
      <c r="L395" s="7" t="str">
        <f>IF('RFQ-Input'!L394="","",'RFQ-Input'!L394)</f>
        <v/>
      </c>
      <c r="M395" s="7" t="str">
        <f>IF('RFQ-Input'!M394="","",'RFQ-Input'!M394)</f>
        <v/>
      </c>
      <c r="N395" s="7" t="str">
        <f>IF('RFQ-Input'!N394="","",'RFQ-Input'!N394)</f>
        <v/>
      </c>
      <c r="O395" s="7" t="str">
        <f>IF('RFQ-Input'!O394="","",'RFQ-Input'!O394)</f>
        <v/>
      </c>
      <c r="Q395" s="7"/>
      <c r="R395" s="7"/>
      <c r="S395" s="7"/>
      <c r="T395" s="7"/>
      <c r="U395" s="7"/>
      <c r="V395" s="7"/>
      <c r="X395" s="7"/>
      <c r="Y395" s="7"/>
      <c r="Z395" s="7"/>
      <c r="AA395" s="7" t="str">
        <f t="shared" si="42"/>
        <v/>
      </c>
      <c r="AB395" s="7"/>
      <c r="AC395" s="7"/>
      <c r="AQ395" s="7" t="str">
        <f t="shared" si="43"/>
        <v/>
      </c>
      <c r="AR395" s="7" t="str">
        <f t="shared" si="44"/>
        <v/>
      </c>
      <c r="AS395" s="7" t="str">
        <f t="shared" si="45"/>
        <v/>
      </c>
      <c r="AT395" s="7" t="str">
        <f t="shared" si="46"/>
        <v/>
      </c>
      <c r="AU395" s="7" t="str">
        <f t="shared" si="47"/>
        <v/>
      </c>
      <c r="AV395" s="7" t="str">
        <f t="shared" si="48"/>
        <v/>
      </c>
      <c r="AW395" s="7" t="str">
        <f>IF('RFQ-Input'!O394="","",'RFQ-Input'!O394)</f>
        <v/>
      </c>
      <c r="AX395" s="7" t="str">
        <f>IF('RFQ-Input'!S394="","",'RFQ-Input'!S394)</f>
        <v/>
      </c>
      <c r="AY395" s="7" t="str">
        <f>IF('RFQ-Input'!V394="","",'RFQ-Input'!V394)</f>
        <v/>
      </c>
      <c r="AZ395" s="7" t="str">
        <f>IF('RFQ-Input'!Y394="","",'RFQ-Input'!Y394)</f>
        <v/>
      </c>
      <c r="BA395" s="7" t="str">
        <f>IF('RFQ-Input'!AB394="","",'RFQ-Input'!AB394)</f>
        <v/>
      </c>
    </row>
    <row r="396" spans="1:53">
      <c r="A396" s="20">
        <v>392</v>
      </c>
      <c r="B396" s="7"/>
      <c r="C396" s="7" t="str">
        <f>IF('RFQ-Input'!C395="","",'RFQ-Input'!C395)</f>
        <v/>
      </c>
      <c r="D396" s="7" t="str">
        <f>IF('RFQ-Input'!D395="","",'RFQ-Input'!D395)</f>
        <v/>
      </c>
      <c r="E396" s="7" t="str">
        <f>IF('RFQ-Input'!E395="","",'RFQ-Input'!E395)</f>
        <v/>
      </c>
      <c r="F396" s="7" t="str">
        <f>IF('RFQ-Input'!F395="","",'RFQ-Input'!F395)</f>
        <v/>
      </c>
      <c r="G396" s="7" t="str">
        <f>IF('RFQ-Input'!G395="","",'RFQ-Input'!G395)</f>
        <v/>
      </c>
      <c r="H396" s="7" t="str">
        <f>IF('RFQ-Input'!H395="","",'RFQ-Input'!H395)</f>
        <v/>
      </c>
      <c r="I396" s="7" t="str">
        <f>IF('RFQ-Input'!I395="","",'RFQ-Input'!I395)</f>
        <v/>
      </c>
      <c r="J396" s="7" t="str">
        <f>IF('RFQ-Input'!J395="","",'RFQ-Input'!J395)</f>
        <v/>
      </c>
      <c r="K396" s="7" t="str">
        <f>IF('RFQ-Input'!K395="","",'RFQ-Input'!K395)</f>
        <v/>
      </c>
      <c r="L396" s="7" t="str">
        <f>IF('RFQ-Input'!L395="","",'RFQ-Input'!L395)</f>
        <v/>
      </c>
      <c r="M396" s="7" t="str">
        <f>IF('RFQ-Input'!M395="","",'RFQ-Input'!M395)</f>
        <v/>
      </c>
      <c r="N396" s="7" t="str">
        <f>IF('RFQ-Input'!N395="","",'RFQ-Input'!N395)</f>
        <v/>
      </c>
      <c r="O396" s="7" t="str">
        <f>IF('RFQ-Input'!O395="","",'RFQ-Input'!O395)</f>
        <v/>
      </c>
      <c r="Q396" s="7"/>
      <c r="R396" s="7"/>
      <c r="S396" s="7"/>
      <c r="T396" s="7"/>
      <c r="U396" s="7"/>
      <c r="V396" s="7"/>
      <c r="X396" s="7"/>
      <c r="Y396" s="7"/>
      <c r="Z396" s="7"/>
      <c r="AA396" s="7" t="str">
        <f t="shared" si="42"/>
        <v/>
      </c>
      <c r="AB396" s="7"/>
      <c r="AC396" s="7"/>
      <c r="AQ396" s="7" t="str">
        <f t="shared" si="43"/>
        <v/>
      </c>
      <c r="AR396" s="7" t="str">
        <f t="shared" si="44"/>
        <v/>
      </c>
      <c r="AS396" s="7" t="str">
        <f t="shared" si="45"/>
        <v/>
      </c>
      <c r="AT396" s="7" t="str">
        <f t="shared" si="46"/>
        <v/>
      </c>
      <c r="AU396" s="7" t="str">
        <f t="shared" si="47"/>
        <v/>
      </c>
      <c r="AV396" s="7" t="str">
        <f t="shared" si="48"/>
        <v/>
      </c>
      <c r="AW396" s="7" t="str">
        <f>IF('RFQ-Input'!O395="","",'RFQ-Input'!O395)</f>
        <v/>
      </c>
      <c r="AX396" s="7" t="str">
        <f>IF('RFQ-Input'!S395="","",'RFQ-Input'!S395)</f>
        <v/>
      </c>
      <c r="AY396" s="7" t="str">
        <f>IF('RFQ-Input'!V395="","",'RFQ-Input'!V395)</f>
        <v/>
      </c>
      <c r="AZ396" s="7" t="str">
        <f>IF('RFQ-Input'!Y395="","",'RFQ-Input'!Y395)</f>
        <v/>
      </c>
      <c r="BA396" s="7" t="str">
        <f>IF('RFQ-Input'!AB395="","",'RFQ-Input'!AB395)</f>
        <v/>
      </c>
    </row>
    <row r="397" spans="1:53">
      <c r="A397" s="20">
        <v>393</v>
      </c>
      <c r="B397" s="7"/>
      <c r="C397" s="7" t="str">
        <f>IF('RFQ-Input'!C396="","",'RFQ-Input'!C396)</f>
        <v/>
      </c>
      <c r="D397" s="7" t="str">
        <f>IF('RFQ-Input'!D396="","",'RFQ-Input'!D396)</f>
        <v/>
      </c>
      <c r="E397" s="7" t="str">
        <f>IF('RFQ-Input'!E396="","",'RFQ-Input'!E396)</f>
        <v/>
      </c>
      <c r="F397" s="7" t="str">
        <f>IF('RFQ-Input'!F396="","",'RFQ-Input'!F396)</f>
        <v/>
      </c>
      <c r="G397" s="7" t="str">
        <f>IF('RFQ-Input'!G396="","",'RFQ-Input'!G396)</f>
        <v/>
      </c>
      <c r="H397" s="7" t="str">
        <f>IF('RFQ-Input'!H396="","",'RFQ-Input'!H396)</f>
        <v/>
      </c>
      <c r="I397" s="7" t="str">
        <f>IF('RFQ-Input'!I396="","",'RFQ-Input'!I396)</f>
        <v/>
      </c>
      <c r="J397" s="7" t="str">
        <f>IF('RFQ-Input'!J396="","",'RFQ-Input'!J396)</f>
        <v/>
      </c>
      <c r="K397" s="7" t="str">
        <f>IF('RFQ-Input'!K396="","",'RFQ-Input'!K396)</f>
        <v/>
      </c>
      <c r="L397" s="7" t="str">
        <f>IF('RFQ-Input'!L396="","",'RFQ-Input'!L396)</f>
        <v/>
      </c>
      <c r="M397" s="7" t="str">
        <f>IF('RFQ-Input'!M396="","",'RFQ-Input'!M396)</f>
        <v/>
      </c>
      <c r="N397" s="7" t="str">
        <f>IF('RFQ-Input'!N396="","",'RFQ-Input'!N396)</f>
        <v/>
      </c>
      <c r="O397" s="7" t="str">
        <f>IF('RFQ-Input'!O396="","",'RFQ-Input'!O396)</f>
        <v/>
      </c>
      <c r="Q397" s="7"/>
      <c r="R397" s="7"/>
      <c r="S397" s="7"/>
      <c r="T397" s="7"/>
      <c r="U397" s="7"/>
      <c r="V397" s="7"/>
      <c r="X397" s="7"/>
      <c r="Y397" s="7"/>
      <c r="Z397" s="7"/>
      <c r="AA397" s="7" t="str">
        <f t="shared" si="42"/>
        <v/>
      </c>
      <c r="AB397" s="7"/>
      <c r="AC397" s="7"/>
      <c r="AQ397" s="7" t="str">
        <f t="shared" si="43"/>
        <v/>
      </c>
      <c r="AR397" s="7" t="str">
        <f t="shared" si="44"/>
        <v/>
      </c>
      <c r="AS397" s="7" t="str">
        <f t="shared" si="45"/>
        <v/>
      </c>
      <c r="AT397" s="7" t="str">
        <f t="shared" si="46"/>
        <v/>
      </c>
      <c r="AU397" s="7" t="str">
        <f t="shared" si="47"/>
        <v/>
      </c>
      <c r="AV397" s="7" t="str">
        <f t="shared" si="48"/>
        <v/>
      </c>
      <c r="AW397" s="7" t="str">
        <f>IF('RFQ-Input'!O396="","",'RFQ-Input'!O396)</f>
        <v/>
      </c>
      <c r="AX397" s="7" t="str">
        <f>IF('RFQ-Input'!S396="","",'RFQ-Input'!S396)</f>
        <v/>
      </c>
      <c r="AY397" s="7" t="str">
        <f>IF('RFQ-Input'!V396="","",'RFQ-Input'!V396)</f>
        <v/>
      </c>
      <c r="AZ397" s="7" t="str">
        <f>IF('RFQ-Input'!Y396="","",'RFQ-Input'!Y396)</f>
        <v/>
      </c>
      <c r="BA397" s="7" t="str">
        <f>IF('RFQ-Input'!AB396="","",'RFQ-Input'!AB396)</f>
        <v/>
      </c>
    </row>
    <row r="398" spans="1:53">
      <c r="A398" s="20">
        <v>394</v>
      </c>
      <c r="B398" s="7"/>
      <c r="C398" s="7" t="str">
        <f>IF('RFQ-Input'!C397="","",'RFQ-Input'!C397)</f>
        <v/>
      </c>
      <c r="D398" s="7" t="str">
        <f>IF('RFQ-Input'!D397="","",'RFQ-Input'!D397)</f>
        <v/>
      </c>
      <c r="E398" s="7" t="str">
        <f>IF('RFQ-Input'!E397="","",'RFQ-Input'!E397)</f>
        <v/>
      </c>
      <c r="F398" s="7" t="str">
        <f>IF('RFQ-Input'!F397="","",'RFQ-Input'!F397)</f>
        <v/>
      </c>
      <c r="G398" s="7" t="str">
        <f>IF('RFQ-Input'!G397="","",'RFQ-Input'!G397)</f>
        <v/>
      </c>
      <c r="H398" s="7" t="str">
        <f>IF('RFQ-Input'!H397="","",'RFQ-Input'!H397)</f>
        <v/>
      </c>
      <c r="I398" s="7" t="str">
        <f>IF('RFQ-Input'!I397="","",'RFQ-Input'!I397)</f>
        <v/>
      </c>
      <c r="J398" s="7" t="str">
        <f>IF('RFQ-Input'!J397="","",'RFQ-Input'!J397)</f>
        <v/>
      </c>
      <c r="K398" s="7" t="str">
        <f>IF('RFQ-Input'!K397="","",'RFQ-Input'!K397)</f>
        <v/>
      </c>
      <c r="L398" s="7" t="str">
        <f>IF('RFQ-Input'!L397="","",'RFQ-Input'!L397)</f>
        <v/>
      </c>
      <c r="M398" s="7" t="str">
        <f>IF('RFQ-Input'!M397="","",'RFQ-Input'!M397)</f>
        <v/>
      </c>
      <c r="N398" s="7" t="str">
        <f>IF('RFQ-Input'!N397="","",'RFQ-Input'!N397)</f>
        <v/>
      </c>
      <c r="O398" s="7" t="str">
        <f>IF('RFQ-Input'!O397="","",'RFQ-Input'!O397)</f>
        <v/>
      </c>
      <c r="Q398" s="7"/>
      <c r="R398" s="7"/>
      <c r="S398" s="7"/>
      <c r="T398" s="7"/>
      <c r="U398" s="7"/>
      <c r="V398" s="7"/>
      <c r="X398" s="7"/>
      <c r="Y398" s="7"/>
      <c r="Z398" s="7"/>
      <c r="AA398" s="7" t="str">
        <f t="shared" si="42"/>
        <v/>
      </c>
      <c r="AB398" s="7"/>
      <c r="AC398" s="7"/>
      <c r="AQ398" s="7" t="str">
        <f t="shared" si="43"/>
        <v/>
      </c>
      <c r="AR398" s="7" t="str">
        <f t="shared" si="44"/>
        <v/>
      </c>
      <c r="AS398" s="7" t="str">
        <f t="shared" si="45"/>
        <v/>
      </c>
      <c r="AT398" s="7" t="str">
        <f t="shared" si="46"/>
        <v/>
      </c>
      <c r="AU398" s="7" t="str">
        <f t="shared" si="47"/>
        <v/>
      </c>
      <c r="AV398" s="7" t="str">
        <f t="shared" si="48"/>
        <v/>
      </c>
      <c r="AW398" s="7" t="str">
        <f>IF('RFQ-Input'!O397="","",'RFQ-Input'!O397)</f>
        <v/>
      </c>
      <c r="AX398" s="7" t="str">
        <f>IF('RFQ-Input'!S397="","",'RFQ-Input'!S397)</f>
        <v/>
      </c>
      <c r="AY398" s="7" t="str">
        <f>IF('RFQ-Input'!V397="","",'RFQ-Input'!V397)</f>
        <v/>
      </c>
      <c r="AZ398" s="7" t="str">
        <f>IF('RFQ-Input'!Y397="","",'RFQ-Input'!Y397)</f>
        <v/>
      </c>
      <c r="BA398" s="7" t="str">
        <f>IF('RFQ-Input'!AB397="","",'RFQ-Input'!AB397)</f>
        <v/>
      </c>
    </row>
    <row r="399" spans="1:53">
      <c r="A399" s="20">
        <v>395</v>
      </c>
      <c r="B399" s="7"/>
      <c r="C399" s="7" t="str">
        <f>IF('RFQ-Input'!C398="","",'RFQ-Input'!C398)</f>
        <v/>
      </c>
      <c r="D399" s="7" t="str">
        <f>IF('RFQ-Input'!D398="","",'RFQ-Input'!D398)</f>
        <v/>
      </c>
      <c r="E399" s="7" t="str">
        <f>IF('RFQ-Input'!E398="","",'RFQ-Input'!E398)</f>
        <v/>
      </c>
      <c r="F399" s="7" t="str">
        <f>IF('RFQ-Input'!F398="","",'RFQ-Input'!F398)</f>
        <v/>
      </c>
      <c r="G399" s="7" t="str">
        <f>IF('RFQ-Input'!G398="","",'RFQ-Input'!G398)</f>
        <v/>
      </c>
      <c r="H399" s="7" t="str">
        <f>IF('RFQ-Input'!H398="","",'RFQ-Input'!H398)</f>
        <v/>
      </c>
      <c r="I399" s="7" t="str">
        <f>IF('RFQ-Input'!I398="","",'RFQ-Input'!I398)</f>
        <v/>
      </c>
      <c r="J399" s="7" t="str">
        <f>IF('RFQ-Input'!J398="","",'RFQ-Input'!J398)</f>
        <v/>
      </c>
      <c r="K399" s="7" t="str">
        <f>IF('RFQ-Input'!K398="","",'RFQ-Input'!K398)</f>
        <v/>
      </c>
      <c r="L399" s="7" t="str">
        <f>IF('RFQ-Input'!L398="","",'RFQ-Input'!L398)</f>
        <v/>
      </c>
      <c r="M399" s="7" t="str">
        <f>IF('RFQ-Input'!M398="","",'RFQ-Input'!M398)</f>
        <v/>
      </c>
      <c r="N399" s="7" t="str">
        <f>IF('RFQ-Input'!N398="","",'RFQ-Input'!N398)</f>
        <v/>
      </c>
      <c r="O399" s="7" t="str">
        <f>IF('RFQ-Input'!O398="","",'RFQ-Input'!O398)</f>
        <v/>
      </c>
      <c r="Q399" s="7"/>
      <c r="R399" s="7"/>
      <c r="S399" s="7"/>
      <c r="T399" s="7"/>
      <c r="U399" s="7"/>
      <c r="V399" s="7"/>
      <c r="X399" s="7"/>
      <c r="Y399" s="7"/>
      <c r="Z399" s="7"/>
      <c r="AA399" s="7" t="str">
        <f t="shared" si="42"/>
        <v/>
      </c>
      <c r="AB399" s="7"/>
      <c r="AC399" s="7"/>
      <c r="AQ399" s="7" t="str">
        <f t="shared" si="43"/>
        <v/>
      </c>
      <c r="AR399" s="7" t="str">
        <f t="shared" si="44"/>
        <v/>
      </c>
      <c r="AS399" s="7" t="str">
        <f t="shared" si="45"/>
        <v/>
      </c>
      <c r="AT399" s="7" t="str">
        <f t="shared" si="46"/>
        <v/>
      </c>
      <c r="AU399" s="7" t="str">
        <f t="shared" si="47"/>
        <v/>
      </c>
      <c r="AV399" s="7" t="str">
        <f t="shared" si="48"/>
        <v/>
      </c>
      <c r="AW399" s="7" t="str">
        <f>IF('RFQ-Input'!O398="","",'RFQ-Input'!O398)</f>
        <v/>
      </c>
      <c r="AX399" s="7" t="str">
        <f>IF('RFQ-Input'!S398="","",'RFQ-Input'!S398)</f>
        <v/>
      </c>
      <c r="AY399" s="7" t="str">
        <f>IF('RFQ-Input'!V398="","",'RFQ-Input'!V398)</f>
        <v/>
      </c>
      <c r="AZ399" s="7" t="str">
        <f>IF('RFQ-Input'!Y398="","",'RFQ-Input'!Y398)</f>
        <v/>
      </c>
      <c r="BA399" s="7" t="str">
        <f>IF('RFQ-Input'!AB398="","",'RFQ-Input'!AB398)</f>
        <v/>
      </c>
    </row>
    <row r="400" spans="1:53">
      <c r="A400" s="20">
        <v>396</v>
      </c>
      <c r="B400" s="7"/>
      <c r="C400" s="7" t="str">
        <f>IF('RFQ-Input'!C399="","",'RFQ-Input'!C399)</f>
        <v/>
      </c>
      <c r="D400" s="7" t="str">
        <f>IF('RFQ-Input'!D399="","",'RFQ-Input'!D399)</f>
        <v/>
      </c>
      <c r="E400" s="7" t="str">
        <f>IF('RFQ-Input'!E399="","",'RFQ-Input'!E399)</f>
        <v/>
      </c>
      <c r="F400" s="7" t="str">
        <f>IF('RFQ-Input'!F399="","",'RFQ-Input'!F399)</f>
        <v/>
      </c>
      <c r="G400" s="7" t="str">
        <f>IF('RFQ-Input'!G399="","",'RFQ-Input'!G399)</f>
        <v/>
      </c>
      <c r="H400" s="7" t="str">
        <f>IF('RFQ-Input'!H399="","",'RFQ-Input'!H399)</f>
        <v/>
      </c>
      <c r="I400" s="7" t="str">
        <f>IF('RFQ-Input'!I399="","",'RFQ-Input'!I399)</f>
        <v/>
      </c>
      <c r="J400" s="7" t="str">
        <f>IF('RFQ-Input'!J399="","",'RFQ-Input'!J399)</f>
        <v/>
      </c>
      <c r="K400" s="7" t="str">
        <f>IF('RFQ-Input'!K399="","",'RFQ-Input'!K399)</f>
        <v/>
      </c>
      <c r="L400" s="7" t="str">
        <f>IF('RFQ-Input'!L399="","",'RFQ-Input'!L399)</f>
        <v/>
      </c>
      <c r="M400" s="7" t="str">
        <f>IF('RFQ-Input'!M399="","",'RFQ-Input'!M399)</f>
        <v/>
      </c>
      <c r="N400" s="7" t="str">
        <f>IF('RFQ-Input'!N399="","",'RFQ-Input'!N399)</f>
        <v/>
      </c>
      <c r="O400" s="7" t="str">
        <f>IF('RFQ-Input'!O399="","",'RFQ-Input'!O399)</f>
        <v/>
      </c>
      <c r="Q400" s="7"/>
      <c r="R400" s="7"/>
      <c r="S400" s="7"/>
      <c r="T400" s="7"/>
      <c r="U400" s="7"/>
      <c r="V400" s="7"/>
      <c r="X400" s="7"/>
      <c r="Y400" s="7"/>
      <c r="Z400" s="7"/>
      <c r="AA400" s="7" t="str">
        <f t="shared" si="42"/>
        <v/>
      </c>
      <c r="AB400" s="7"/>
      <c r="AC400" s="7"/>
      <c r="AQ400" s="7" t="str">
        <f t="shared" si="43"/>
        <v/>
      </c>
      <c r="AR400" s="7" t="str">
        <f t="shared" si="44"/>
        <v/>
      </c>
      <c r="AS400" s="7" t="str">
        <f t="shared" si="45"/>
        <v/>
      </c>
      <c r="AT400" s="7" t="str">
        <f t="shared" si="46"/>
        <v/>
      </c>
      <c r="AU400" s="7" t="str">
        <f t="shared" si="47"/>
        <v/>
      </c>
      <c r="AV400" s="7" t="str">
        <f t="shared" si="48"/>
        <v/>
      </c>
      <c r="AW400" s="7" t="str">
        <f>IF('RFQ-Input'!O399="","",'RFQ-Input'!O399)</f>
        <v/>
      </c>
      <c r="AX400" s="7" t="str">
        <f>IF('RFQ-Input'!S399="","",'RFQ-Input'!S399)</f>
        <v/>
      </c>
      <c r="AY400" s="7" t="str">
        <f>IF('RFQ-Input'!V399="","",'RFQ-Input'!V399)</f>
        <v/>
      </c>
      <c r="AZ400" s="7" t="str">
        <f>IF('RFQ-Input'!Y399="","",'RFQ-Input'!Y399)</f>
        <v/>
      </c>
      <c r="BA400" s="7" t="str">
        <f>IF('RFQ-Input'!AB399="","",'RFQ-Input'!AB399)</f>
        <v/>
      </c>
    </row>
    <row r="401" spans="1:53">
      <c r="A401" s="20">
        <v>397</v>
      </c>
      <c r="B401" s="7"/>
      <c r="C401" s="7" t="str">
        <f>IF('RFQ-Input'!C400="","",'RFQ-Input'!C400)</f>
        <v/>
      </c>
      <c r="D401" s="7" t="str">
        <f>IF('RFQ-Input'!D400="","",'RFQ-Input'!D400)</f>
        <v/>
      </c>
      <c r="E401" s="7" t="str">
        <f>IF('RFQ-Input'!E400="","",'RFQ-Input'!E400)</f>
        <v/>
      </c>
      <c r="F401" s="7" t="str">
        <f>IF('RFQ-Input'!F400="","",'RFQ-Input'!F400)</f>
        <v/>
      </c>
      <c r="G401" s="7" t="str">
        <f>IF('RFQ-Input'!G400="","",'RFQ-Input'!G400)</f>
        <v/>
      </c>
      <c r="H401" s="7" t="str">
        <f>IF('RFQ-Input'!H400="","",'RFQ-Input'!H400)</f>
        <v/>
      </c>
      <c r="I401" s="7" t="str">
        <f>IF('RFQ-Input'!I400="","",'RFQ-Input'!I400)</f>
        <v/>
      </c>
      <c r="J401" s="7" t="str">
        <f>IF('RFQ-Input'!J400="","",'RFQ-Input'!J400)</f>
        <v/>
      </c>
      <c r="K401" s="7" t="str">
        <f>IF('RFQ-Input'!K400="","",'RFQ-Input'!K400)</f>
        <v/>
      </c>
      <c r="L401" s="7" t="str">
        <f>IF('RFQ-Input'!L400="","",'RFQ-Input'!L400)</f>
        <v/>
      </c>
      <c r="M401" s="7" t="str">
        <f>IF('RFQ-Input'!M400="","",'RFQ-Input'!M400)</f>
        <v/>
      </c>
      <c r="N401" s="7" t="str">
        <f>IF('RFQ-Input'!N400="","",'RFQ-Input'!N400)</f>
        <v/>
      </c>
      <c r="O401" s="7" t="str">
        <f>IF('RFQ-Input'!O400="","",'RFQ-Input'!O400)</f>
        <v/>
      </c>
      <c r="Q401" s="7"/>
      <c r="R401" s="7"/>
      <c r="S401" s="7"/>
      <c r="T401" s="7"/>
      <c r="U401" s="7"/>
      <c r="V401" s="7"/>
      <c r="X401" s="7"/>
      <c r="Y401" s="7"/>
      <c r="Z401" s="7"/>
      <c r="AA401" s="7" t="str">
        <f t="shared" si="42"/>
        <v/>
      </c>
      <c r="AB401" s="7"/>
      <c r="AC401" s="7"/>
      <c r="AQ401" s="7" t="str">
        <f t="shared" si="43"/>
        <v/>
      </c>
      <c r="AR401" s="7" t="str">
        <f t="shared" si="44"/>
        <v/>
      </c>
      <c r="AS401" s="7" t="str">
        <f t="shared" si="45"/>
        <v/>
      </c>
      <c r="AT401" s="7" t="str">
        <f t="shared" si="46"/>
        <v/>
      </c>
      <c r="AU401" s="7" t="str">
        <f t="shared" si="47"/>
        <v/>
      </c>
      <c r="AV401" s="7" t="str">
        <f t="shared" si="48"/>
        <v/>
      </c>
      <c r="AW401" s="7" t="str">
        <f>IF('RFQ-Input'!O400="","",'RFQ-Input'!O400)</f>
        <v/>
      </c>
      <c r="AX401" s="7" t="str">
        <f>IF('RFQ-Input'!S400="","",'RFQ-Input'!S400)</f>
        <v/>
      </c>
      <c r="AY401" s="7" t="str">
        <f>IF('RFQ-Input'!V400="","",'RFQ-Input'!V400)</f>
        <v/>
      </c>
      <c r="AZ401" s="7" t="str">
        <f>IF('RFQ-Input'!Y400="","",'RFQ-Input'!Y400)</f>
        <v/>
      </c>
      <c r="BA401" s="7" t="str">
        <f>IF('RFQ-Input'!AB400="","",'RFQ-Input'!AB400)</f>
        <v/>
      </c>
    </row>
    <row r="402" spans="1:53">
      <c r="A402" s="20">
        <v>398</v>
      </c>
      <c r="B402" s="7"/>
      <c r="C402" s="7" t="str">
        <f>IF('RFQ-Input'!C401="","",'RFQ-Input'!C401)</f>
        <v/>
      </c>
      <c r="D402" s="7" t="str">
        <f>IF('RFQ-Input'!D401="","",'RFQ-Input'!D401)</f>
        <v/>
      </c>
      <c r="E402" s="7" t="str">
        <f>IF('RFQ-Input'!E401="","",'RFQ-Input'!E401)</f>
        <v/>
      </c>
      <c r="F402" s="7" t="str">
        <f>IF('RFQ-Input'!F401="","",'RFQ-Input'!F401)</f>
        <v/>
      </c>
      <c r="G402" s="7" t="str">
        <f>IF('RFQ-Input'!G401="","",'RFQ-Input'!G401)</f>
        <v/>
      </c>
      <c r="H402" s="7" t="str">
        <f>IF('RFQ-Input'!H401="","",'RFQ-Input'!H401)</f>
        <v/>
      </c>
      <c r="I402" s="7" t="str">
        <f>IF('RFQ-Input'!I401="","",'RFQ-Input'!I401)</f>
        <v/>
      </c>
      <c r="J402" s="7" t="str">
        <f>IF('RFQ-Input'!J401="","",'RFQ-Input'!J401)</f>
        <v/>
      </c>
      <c r="K402" s="7" t="str">
        <f>IF('RFQ-Input'!K401="","",'RFQ-Input'!K401)</f>
        <v/>
      </c>
      <c r="L402" s="7" t="str">
        <f>IF('RFQ-Input'!L401="","",'RFQ-Input'!L401)</f>
        <v/>
      </c>
      <c r="M402" s="7" t="str">
        <f>IF('RFQ-Input'!M401="","",'RFQ-Input'!M401)</f>
        <v/>
      </c>
      <c r="N402" s="7" t="str">
        <f>IF('RFQ-Input'!N401="","",'RFQ-Input'!N401)</f>
        <v/>
      </c>
      <c r="O402" s="7" t="str">
        <f>IF('RFQ-Input'!O401="","",'RFQ-Input'!O401)</f>
        <v/>
      </c>
      <c r="Q402" s="7"/>
      <c r="R402" s="7"/>
      <c r="S402" s="7"/>
      <c r="T402" s="7"/>
      <c r="U402" s="7"/>
      <c r="V402" s="7"/>
      <c r="X402" s="7"/>
      <c r="Y402" s="7"/>
      <c r="Z402" s="7"/>
      <c r="AA402" s="7" t="str">
        <f t="shared" si="42"/>
        <v/>
      </c>
      <c r="AB402" s="7"/>
      <c r="AC402" s="7"/>
      <c r="AQ402" s="7" t="str">
        <f t="shared" si="43"/>
        <v/>
      </c>
      <c r="AR402" s="7" t="str">
        <f t="shared" si="44"/>
        <v/>
      </c>
      <c r="AS402" s="7" t="str">
        <f t="shared" si="45"/>
        <v/>
      </c>
      <c r="AT402" s="7" t="str">
        <f t="shared" si="46"/>
        <v/>
      </c>
      <c r="AU402" s="7" t="str">
        <f t="shared" si="47"/>
        <v/>
      </c>
      <c r="AV402" s="7" t="str">
        <f t="shared" si="48"/>
        <v/>
      </c>
      <c r="AW402" s="7" t="str">
        <f>IF('RFQ-Input'!O401="","",'RFQ-Input'!O401)</f>
        <v/>
      </c>
      <c r="AX402" s="7" t="str">
        <f>IF('RFQ-Input'!S401="","",'RFQ-Input'!S401)</f>
        <v/>
      </c>
      <c r="AY402" s="7" t="str">
        <f>IF('RFQ-Input'!V401="","",'RFQ-Input'!V401)</f>
        <v/>
      </c>
      <c r="AZ402" s="7" t="str">
        <f>IF('RFQ-Input'!Y401="","",'RFQ-Input'!Y401)</f>
        <v/>
      </c>
      <c r="BA402" s="7" t="str">
        <f>IF('RFQ-Input'!AB401="","",'RFQ-Input'!AB401)</f>
        <v/>
      </c>
    </row>
    <row r="403" spans="1:53">
      <c r="A403" s="20">
        <v>399</v>
      </c>
      <c r="B403" s="7"/>
      <c r="C403" s="7" t="str">
        <f>IF('RFQ-Input'!C402="","",'RFQ-Input'!C402)</f>
        <v/>
      </c>
      <c r="D403" s="7" t="str">
        <f>IF('RFQ-Input'!D402="","",'RFQ-Input'!D402)</f>
        <v/>
      </c>
      <c r="E403" s="7" t="str">
        <f>IF('RFQ-Input'!E402="","",'RFQ-Input'!E402)</f>
        <v/>
      </c>
      <c r="F403" s="7" t="str">
        <f>IF('RFQ-Input'!F402="","",'RFQ-Input'!F402)</f>
        <v/>
      </c>
      <c r="G403" s="7" t="str">
        <f>IF('RFQ-Input'!G402="","",'RFQ-Input'!G402)</f>
        <v/>
      </c>
      <c r="H403" s="7" t="str">
        <f>IF('RFQ-Input'!H402="","",'RFQ-Input'!H402)</f>
        <v/>
      </c>
      <c r="I403" s="7" t="str">
        <f>IF('RFQ-Input'!I402="","",'RFQ-Input'!I402)</f>
        <v/>
      </c>
      <c r="J403" s="7" t="str">
        <f>IF('RFQ-Input'!J402="","",'RFQ-Input'!J402)</f>
        <v/>
      </c>
      <c r="K403" s="7" t="str">
        <f>IF('RFQ-Input'!K402="","",'RFQ-Input'!K402)</f>
        <v/>
      </c>
      <c r="L403" s="7" t="str">
        <f>IF('RFQ-Input'!L402="","",'RFQ-Input'!L402)</f>
        <v/>
      </c>
      <c r="M403" s="7" t="str">
        <f>IF('RFQ-Input'!M402="","",'RFQ-Input'!M402)</f>
        <v/>
      </c>
      <c r="N403" s="7" t="str">
        <f>IF('RFQ-Input'!N402="","",'RFQ-Input'!N402)</f>
        <v/>
      </c>
      <c r="O403" s="7" t="str">
        <f>IF('RFQ-Input'!O402="","",'RFQ-Input'!O402)</f>
        <v/>
      </c>
      <c r="Q403" s="7"/>
      <c r="R403" s="7"/>
      <c r="S403" s="7"/>
      <c r="T403" s="7"/>
      <c r="U403" s="7"/>
      <c r="V403" s="7"/>
      <c r="X403" s="7"/>
      <c r="Y403" s="7"/>
      <c r="Z403" s="7"/>
      <c r="AA403" s="7" t="str">
        <f t="shared" si="42"/>
        <v/>
      </c>
      <c r="AB403" s="7"/>
      <c r="AC403" s="7"/>
      <c r="AQ403" s="7" t="str">
        <f t="shared" si="43"/>
        <v/>
      </c>
      <c r="AR403" s="7" t="str">
        <f t="shared" si="44"/>
        <v/>
      </c>
      <c r="AS403" s="7" t="str">
        <f t="shared" si="45"/>
        <v/>
      </c>
      <c r="AT403" s="7" t="str">
        <f t="shared" si="46"/>
        <v/>
      </c>
      <c r="AU403" s="7" t="str">
        <f t="shared" si="47"/>
        <v/>
      </c>
      <c r="AV403" s="7" t="str">
        <f t="shared" si="48"/>
        <v/>
      </c>
      <c r="AW403" s="7" t="str">
        <f>IF('RFQ-Input'!O402="","",'RFQ-Input'!O402)</f>
        <v/>
      </c>
      <c r="AX403" s="7" t="str">
        <f>IF('RFQ-Input'!S402="","",'RFQ-Input'!S402)</f>
        <v/>
      </c>
      <c r="AY403" s="7" t="str">
        <f>IF('RFQ-Input'!V402="","",'RFQ-Input'!V402)</f>
        <v/>
      </c>
      <c r="AZ403" s="7" t="str">
        <f>IF('RFQ-Input'!Y402="","",'RFQ-Input'!Y402)</f>
        <v/>
      </c>
      <c r="BA403" s="7" t="str">
        <f>IF('RFQ-Input'!AB402="","",'RFQ-Input'!AB402)</f>
        <v/>
      </c>
    </row>
    <row r="404" spans="1:53">
      <c r="A404" s="20">
        <v>400</v>
      </c>
      <c r="B404" s="7"/>
      <c r="C404" s="7" t="str">
        <f>IF('RFQ-Input'!C403="","",'RFQ-Input'!C403)</f>
        <v/>
      </c>
      <c r="D404" s="7" t="str">
        <f>IF('RFQ-Input'!D403="","",'RFQ-Input'!D403)</f>
        <v/>
      </c>
      <c r="E404" s="7" t="str">
        <f>IF('RFQ-Input'!E403="","",'RFQ-Input'!E403)</f>
        <v/>
      </c>
      <c r="F404" s="7" t="str">
        <f>IF('RFQ-Input'!F403="","",'RFQ-Input'!F403)</f>
        <v/>
      </c>
      <c r="G404" s="7" t="str">
        <f>IF('RFQ-Input'!G403="","",'RFQ-Input'!G403)</f>
        <v/>
      </c>
      <c r="H404" s="7" t="str">
        <f>IF('RFQ-Input'!H403="","",'RFQ-Input'!H403)</f>
        <v/>
      </c>
      <c r="I404" s="7" t="str">
        <f>IF('RFQ-Input'!I403="","",'RFQ-Input'!I403)</f>
        <v/>
      </c>
      <c r="J404" s="7" t="str">
        <f>IF('RFQ-Input'!J403="","",'RFQ-Input'!J403)</f>
        <v/>
      </c>
      <c r="K404" s="7" t="str">
        <f>IF('RFQ-Input'!K403="","",'RFQ-Input'!K403)</f>
        <v/>
      </c>
      <c r="L404" s="7" t="str">
        <f>IF('RFQ-Input'!L403="","",'RFQ-Input'!L403)</f>
        <v/>
      </c>
      <c r="M404" s="7" t="str">
        <f>IF('RFQ-Input'!M403="","",'RFQ-Input'!M403)</f>
        <v/>
      </c>
      <c r="N404" s="7" t="str">
        <f>IF('RFQ-Input'!N403="","",'RFQ-Input'!N403)</f>
        <v/>
      </c>
      <c r="O404" s="7" t="str">
        <f>IF('RFQ-Input'!O403="","",'RFQ-Input'!O403)</f>
        <v/>
      </c>
      <c r="Q404" s="7"/>
      <c r="R404" s="7"/>
      <c r="S404" s="7"/>
      <c r="T404" s="7"/>
      <c r="U404" s="7"/>
      <c r="V404" s="7"/>
      <c r="X404" s="7"/>
      <c r="Y404" s="7"/>
      <c r="Z404" s="7"/>
      <c r="AA404" s="7" t="str">
        <f t="shared" si="42"/>
        <v/>
      </c>
      <c r="AB404" s="7"/>
      <c r="AC404" s="7"/>
      <c r="AQ404" s="7" t="str">
        <f t="shared" si="43"/>
        <v/>
      </c>
      <c r="AR404" s="7" t="str">
        <f t="shared" si="44"/>
        <v/>
      </c>
      <c r="AS404" s="7" t="str">
        <f t="shared" si="45"/>
        <v/>
      </c>
      <c r="AT404" s="7" t="str">
        <f t="shared" si="46"/>
        <v/>
      </c>
      <c r="AU404" s="7" t="str">
        <f t="shared" si="47"/>
        <v/>
      </c>
      <c r="AV404" s="7" t="str">
        <f t="shared" si="48"/>
        <v/>
      </c>
      <c r="AW404" s="7" t="str">
        <f>IF('RFQ-Input'!O403="","",'RFQ-Input'!O403)</f>
        <v/>
      </c>
      <c r="AX404" s="7" t="str">
        <f>IF('RFQ-Input'!S403="","",'RFQ-Input'!S403)</f>
        <v/>
      </c>
      <c r="AY404" s="7" t="str">
        <f>IF('RFQ-Input'!V403="","",'RFQ-Input'!V403)</f>
        <v/>
      </c>
      <c r="AZ404" s="7" t="str">
        <f>IF('RFQ-Input'!Y403="","",'RFQ-Input'!Y403)</f>
        <v/>
      </c>
      <c r="BA404" s="7" t="str">
        <f>IF('RFQ-Input'!AB403="","",'RFQ-Input'!AB403)</f>
        <v/>
      </c>
    </row>
    <row r="405" spans="1:53">
      <c r="A405" s="20">
        <v>401</v>
      </c>
      <c r="B405" s="7"/>
      <c r="C405" s="7" t="str">
        <f>IF('RFQ-Input'!C404="","",'RFQ-Input'!C404)</f>
        <v/>
      </c>
      <c r="D405" s="7" t="str">
        <f>IF('RFQ-Input'!D404="","",'RFQ-Input'!D404)</f>
        <v/>
      </c>
      <c r="E405" s="7" t="str">
        <f>IF('RFQ-Input'!E404="","",'RFQ-Input'!E404)</f>
        <v/>
      </c>
      <c r="F405" s="7" t="str">
        <f>IF('RFQ-Input'!F404="","",'RFQ-Input'!F404)</f>
        <v/>
      </c>
      <c r="G405" s="7" t="str">
        <f>IF('RFQ-Input'!G404="","",'RFQ-Input'!G404)</f>
        <v/>
      </c>
      <c r="H405" s="7" t="str">
        <f>IF('RFQ-Input'!H404="","",'RFQ-Input'!H404)</f>
        <v/>
      </c>
      <c r="I405" s="7" t="str">
        <f>IF('RFQ-Input'!I404="","",'RFQ-Input'!I404)</f>
        <v/>
      </c>
      <c r="J405" s="7" t="str">
        <f>IF('RFQ-Input'!J404="","",'RFQ-Input'!J404)</f>
        <v/>
      </c>
      <c r="K405" s="7" t="str">
        <f>IF('RFQ-Input'!K404="","",'RFQ-Input'!K404)</f>
        <v/>
      </c>
      <c r="L405" s="7" t="str">
        <f>IF('RFQ-Input'!L404="","",'RFQ-Input'!L404)</f>
        <v/>
      </c>
      <c r="M405" s="7" t="str">
        <f>IF('RFQ-Input'!M404="","",'RFQ-Input'!M404)</f>
        <v/>
      </c>
      <c r="N405" s="7" t="str">
        <f>IF('RFQ-Input'!N404="","",'RFQ-Input'!N404)</f>
        <v/>
      </c>
      <c r="O405" s="7" t="str">
        <f>IF('RFQ-Input'!O404="","",'RFQ-Input'!O404)</f>
        <v/>
      </c>
      <c r="Q405" s="7"/>
      <c r="R405" s="7"/>
      <c r="S405" s="7"/>
      <c r="T405" s="7"/>
      <c r="U405" s="7"/>
      <c r="V405" s="7"/>
      <c r="X405" s="7"/>
      <c r="Y405" s="7"/>
      <c r="Z405" s="7"/>
      <c r="AA405" s="7" t="str">
        <f t="shared" si="42"/>
        <v/>
      </c>
      <c r="AB405" s="7"/>
      <c r="AC405" s="7"/>
      <c r="AQ405" s="7" t="str">
        <f t="shared" si="43"/>
        <v/>
      </c>
      <c r="AR405" s="7" t="str">
        <f t="shared" si="44"/>
        <v/>
      </c>
      <c r="AS405" s="7" t="str">
        <f t="shared" si="45"/>
        <v/>
      </c>
      <c r="AT405" s="7" t="str">
        <f t="shared" si="46"/>
        <v/>
      </c>
      <c r="AU405" s="7" t="str">
        <f t="shared" si="47"/>
        <v/>
      </c>
      <c r="AV405" s="7" t="str">
        <f t="shared" si="48"/>
        <v/>
      </c>
      <c r="AW405" s="7" t="str">
        <f>IF('RFQ-Input'!O404="","",'RFQ-Input'!O404)</f>
        <v/>
      </c>
      <c r="AX405" s="7" t="str">
        <f>IF('RFQ-Input'!S404="","",'RFQ-Input'!S404)</f>
        <v/>
      </c>
      <c r="AY405" s="7" t="str">
        <f>IF('RFQ-Input'!V404="","",'RFQ-Input'!V404)</f>
        <v/>
      </c>
      <c r="AZ405" s="7" t="str">
        <f>IF('RFQ-Input'!Y404="","",'RFQ-Input'!Y404)</f>
        <v/>
      </c>
      <c r="BA405" s="7" t="str">
        <f>IF('RFQ-Input'!AB404="","",'RFQ-Input'!AB404)</f>
        <v/>
      </c>
    </row>
    <row r="406" spans="1:53">
      <c r="A406" s="20">
        <v>402</v>
      </c>
      <c r="B406" s="7"/>
      <c r="C406" s="7" t="str">
        <f>IF('RFQ-Input'!C405="","",'RFQ-Input'!C405)</f>
        <v/>
      </c>
      <c r="D406" s="7" t="str">
        <f>IF('RFQ-Input'!D405="","",'RFQ-Input'!D405)</f>
        <v/>
      </c>
      <c r="E406" s="7" t="str">
        <f>IF('RFQ-Input'!E405="","",'RFQ-Input'!E405)</f>
        <v/>
      </c>
      <c r="F406" s="7" t="str">
        <f>IF('RFQ-Input'!F405="","",'RFQ-Input'!F405)</f>
        <v/>
      </c>
      <c r="G406" s="7" t="str">
        <f>IF('RFQ-Input'!G405="","",'RFQ-Input'!G405)</f>
        <v/>
      </c>
      <c r="H406" s="7" t="str">
        <f>IF('RFQ-Input'!H405="","",'RFQ-Input'!H405)</f>
        <v/>
      </c>
      <c r="I406" s="7" t="str">
        <f>IF('RFQ-Input'!I405="","",'RFQ-Input'!I405)</f>
        <v/>
      </c>
      <c r="J406" s="7" t="str">
        <f>IF('RFQ-Input'!J405="","",'RFQ-Input'!J405)</f>
        <v/>
      </c>
      <c r="K406" s="7" t="str">
        <f>IF('RFQ-Input'!K405="","",'RFQ-Input'!K405)</f>
        <v/>
      </c>
      <c r="L406" s="7" t="str">
        <f>IF('RFQ-Input'!L405="","",'RFQ-Input'!L405)</f>
        <v/>
      </c>
      <c r="M406" s="7" t="str">
        <f>IF('RFQ-Input'!M405="","",'RFQ-Input'!M405)</f>
        <v/>
      </c>
      <c r="N406" s="7" t="str">
        <f>IF('RFQ-Input'!N405="","",'RFQ-Input'!N405)</f>
        <v/>
      </c>
      <c r="O406" s="7" t="str">
        <f>IF('RFQ-Input'!O405="","",'RFQ-Input'!O405)</f>
        <v/>
      </c>
      <c r="Q406" s="7"/>
      <c r="R406" s="7"/>
      <c r="S406" s="7"/>
      <c r="T406" s="7"/>
      <c r="U406" s="7"/>
      <c r="V406" s="7"/>
      <c r="X406" s="7"/>
      <c r="Y406" s="7"/>
      <c r="Z406" s="7"/>
      <c r="AA406" s="7" t="str">
        <f t="shared" si="42"/>
        <v/>
      </c>
      <c r="AB406" s="7"/>
      <c r="AC406" s="7"/>
      <c r="AQ406" s="7" t="str">
        <f t="shared" si="43"/>
        <v/>
      </c>
      <c r="AR406" s="7" t="str">
        <f t="shared" si="44"/>
        <v/>
      </c>
      <c r="AS406" s="7" t="str">
        <f t="shared" si="45"/>
        <v/>
      </c>
      <c r="AT406" s="7" t="str">
        <f t="shared" si="46"/>
        <v/>
      </c>
      <c r="AU406" s="7" t="str">
        <f t="shared" si="47"/>
        <v/>
      </c>
      <c r="AV406" s="7" t="str">
        <f t="shared" si="48"/>
        <v/>
      </c>
      <c r="AW406" s="7" t="str">
        <f>IF('RFQ-Input'!O405="","",'RFQ-Input'!O405)</f>
        <v/>
      </c>
      <c r="AX406" s="7" t="str">
        <f>IF('RFQ-Input'!S405="","",'RFQ-Input'!S405)</f>
        <v/>
      </c>
      <c r="AY406" s="7" t="str">
        <f>IF('RFQ-Input'!V405="","",'RFQ-Input'!V405)</f>
        <v/>
      </c>
      <c r="AZ406" s="7" t="str">
        <f>IF('RFQ-Input'!Y405="","",'RFQ-Input'!Y405)</f>
        <v/>
      </c>
      <c r="BA406" s="7" t="str">
        <f>IF('RFQ-Input'!AB405="","",'RFQ-Input'!AB405)</f>
        <v/>
      </c>
    </row>
    <row r="407" spans="1:53">
      <c r="A407" s="20">
        <v>403</v>
      </c>
      <c r="B407" s="7"/>
      <c r="C407" s="7" t="str">
        <f>IF('RFQ-Input'!C406="","",'RFQ-Input'!C406)</f>
        <v/>
      </c>
      <c r="D407" s="7" t="str">
        <f>IF('RFQ-Input'!D406="","",'RFQ-Input'!D406)</f>
        <v/>
      </c>
      <c r="E407" s="7" t="str">
        <f>IF('RFQ-Input'!E406="","",'RFQ-Input'!E406)</f>
        <v/>
      </c>
      <c r="F407" s="7" t="str">
        <f>IF('RFQ-Input'!F406="","",'RFQ-Input'!F406)</f>
        <v/>
      </c>
      <c r="G407" s="7" t="str">
        <f>IF('RFQ-Input'!G406="","",'RFQ-Input'!G406)</f>
        <v/>
      </c>
      <c r="H407" s="7" t="str">
        <f>IF('RFQ-Input'!H406="","",'RFQ-Input'!H406)</f>
        <v/>
      </c>
      <c r="I407" s="7" t="str">
        <f>IF('RFQ-Input'!I406="","",'RFQ-Input'!I406)</f>
        <v/>
      </c>
      <c r="J407" s="7" t="str">
        <f>IF('RFQ-Input'!J406="","",'RFQ-Input'!J406)</f>
        <v/>
      </c>
      <c r="K407" s="7" t="str">
        <f>IF('RFQ-Input'!K406="","",'RFQ-Input'!K406)</f>
        <v/>
      </c>
      <c r="L407" s="7" t="str">
        <f>IF('RFQ-Input'!L406="","",'RFQ-Input'!L406)</f>
        <v/>
      </c>
      <c r="M407" s="7" t="str">
        <f>IF('RFQ-Input'!M406="","",'RFQ-Input'!M406)</f>
        <v/>
      </c>
      <c r="N407" s="7" t="str">
        <f>IF('RFQ-Input'!N406="","",'RFQ-Input'!N406)</f>
        <v/>
      </c>
      <c r="O407" s="7" t="str">
        <f>IF('RFQ-Input'!O406="","",'RFQ-Input'!O406)</f>
        <v/>
      </c>
      <c r="Q407" s="7"/>
      <c r="R407" s="7"/>
      <c r="S407" s="7"/>
      <c r="T407" s="7"/>
      <c r="U407" s="7"/>
      <c r="V407" s="7"/>
      <c r="X407" s="7"/>
      <c r="Y407" s="7"/>
      <c r="Z407" s="7"/>
      <c r="AA407" s="7" t="str">
        <f t="shared" si="42"/>
        <v/>
      </c>
      <c r="AB407" s="7"/>
      <c r="AC407" s="7"/>
      <c r="AQ407" s="7" t="str">
        <f t="shared" si="43"/>
        <v/>
      </c>
      <c r="AR407" s="7" t="str">
        <f t="shared" si="44"/>
        <v/>
      </c>
      <c r="AS407" s="7" t="str">
        <f t="shared" si="45"/>
        <v/>
      </c>
      <c r="AT407" s="7" t="str">
        <f t="shared" si="46"/>
        <v/>
      </c>
      <c r="AU407" s="7" t="str">
        <f t="shared" si="47"/>
        <v/>
      </c>
      <c r="AV407" s="7" t="str">
        <f t="shared" si="48"/>
        <v/>
      </c>
      <c r="AW407" s="7" t="str">
        <f>IF('RFQ-Input'!O406="","",'RFQ-Input'!O406)</f>
        <v/>
      </c>
      <c r="AX407" s="7" t="str">
        <f>IF('RFQ-Input'!S406="","",'RFQ-Input'!S406)</f>
        <v/>
      </c>
      <c r="AY407" s="7" t="str">
        <f>IF('RFQ-Input'!V406="","",'RFQ-Input'!V406)</f>
        <v/>
      </c>
      <c r="AZ407" s="7" t="str">
        <f>IF('RFQ-Input'!Y406="","",'RFQ-Input'!Y406)</f>
        <v/>
      </c>
      <c r="BA407" s="7" t="str">
        <f>IF('RFQ-Input'!AB406="","",'RFQ-Input'!AB406)</f>
        <v/>
      </c>
    </row>
    <row r="408" spans="1:53">
      <c r="A408" s="20">
        <v>404</v>
      </c>
      <c r="B408" s="7"/>
      <c r="C408" s="7" t="str">
        <f>IF('RFQ-Input'!C407="","",'RFQ-Input'!C407)</f>
        <v/>
      </c>
      <c r="D408" s="7" t="str">
        <f>IF('RFQ-Input'!D407="","",'RFQ-Input'!D407)</f>
        <v/>
      </c>
      <c r="E408" s="7" t="str">
        <f>IF('RFQ-Input'!E407="","",'RFQ-Input'!E407)</f>
        <v/>
      </c>
      <c r="F408" s="7" t="str">
        <f>IF('RFQ-Input'!F407="","",'RFQ-Input'!F407)</f>
        <v/>
      </c>
      <c r="G408" s="7" t="str">
        <f>IF('RFQ-Input'!G407="","",'RFQ-Input'!G407)</f>
        <v/>
      </c>
      <c r="H408" s="7" t="str">
        <f>IF('RFQ-Input'!H407="","",'RFQ-Input'!H407)</f>
        <v/>
      </c>
      <c r="I408" s="7" t="str">
        <f>IF('RFQ-Input'!I407="","",'RFQ-Input'!I407)</f>
        <v/>
      </c>
      <c r="J408" s="7" t="str">
        <f>IF('RFQ-Input'!J407="","",'RFQ-Input'!J407)</f>
        <v/>
      </c>
      <c r="K408" s="7" t="str">
        <f>IF('RFQ-Input'!K407="","",'RFQ-Input'!K407)</f>
        <v/>
      </c>
      <c r="L408" s="7" t="str">
        <f>IF('RFQ-Input'!L407="","",'RFQ-Input'!L407)</f>
        <v/>
      </c>
      <c r="M408" s="7" t="str">
        <f>IF('RFQ-Input'!M407="","",'RFQ-Input'!M407)</f>
        <v/>
      </c>
      <c r="N408" s="7" t="str">
        <f>IF('RFQ-Input'!N407="","",'RFQ-Input'!N407)</f>
        <v/>
      </c>
      <c r="O408" s="7" t="str">
        <f>IF('RFQ-Input'!O407="","",'RFQ-Input'!O407)</f>
        <v/>
      </c>
      <c r="Q408" s="7"/>
      <c r="R408" s="7"/>
      <c r="S408" s="7"/>
      <c r="T408" s="7"/>
      <c r="U408" s="7"/>
      <c r="V408" s="7"/>
      <c r="X408" s="7"/>
      <c r="Y408" s="7"/>
      <c r="Z408" s="7"/>
      <c r="AA408" s="7" t="str">
        <f t="shared" si="42"/>
        <v/>
      </c>
      <c r="AB408" s="7"/>
      <c r="AC408" s="7"/>
      <c r="AQ408" s="7" t="str">
        <f t="shared" si="43"/>
        <v/>
      </c>
      <c r="AR408" s="7" t="str">
        <f t="shared" si="44"/>
        <v/>
      </c>
      <c r="AS408" s="7" t="str">
        <f t="shared" si="45"/>
        <v/>
      </c>
      <c r="AT408" s="7" t="str">
        <f t="shared" si="46"/>
        <v/>
      </c>
      <c r="AU408" s="7" t="str">
        <f t="shared" si="47"/>
        <v/>
      </c>
      <c r="AV408" s="7" t="str">
        <f t="shared" si="48"/>
        <v/>
      </c>
      <c r="AW408" s="7" t="str">
        <f>IF('RFQ-Input'!O407="","",'RFQ-Input'!O407)</f>
        <v/>
      </c>
      <c r="AX408" s="7" t="str">
        <f>IF('RFQ-Input'!S407="","",'RFQ-Input'!S407)</f>
        <v/>
      </c>
      <c r="AY408" s="7" t="str">
        <f>IF('RFQ-Input'!V407="","",'RFQ-Input'!V407)</f>
        <v/>
      </c>
      <c r="AZ408" s="7" t="str">
        <f>IF('RFQ-Input'!Y407="","",'RFQ-Input'!Y407)</f>
        <v/>
      </c>
      <c r="BA408" s="7" t="str">
        <f>IF('RFQ-Input'!AB407="","",'RFQ-Input'!AB407)</f>
        <v/>
      </c>
    </row>
    <row r="409" spans="1:53">
      <c r="A409" s="20">
        <v>405</v>
      </c>
      <c r="B409" s="7"/>
      <c r="C409" s="7" t="str">
        <f>IF('RFQ-Input'!C408="","",'RFQ-Input'!C408)</f>
        <v/>
      </c>
      <c r="D409" s="7" t="str">
        <f>IF('RFQ-Input'!D408="","",'RFQ-Input'!D408)</f>
        <v/>
      </c>
      <c r="E409" s="7" t="str">
        <f>IF('RFQ-Input'!E408="","",'RFQ-Input'!E408)</f>
        <v/>
      </c>
      <c r="F409" s="7" t="str">
        <f>IF('RFQ-Input'!F408="","",'RFQ-Input'!F408)</f>
        <v/>
      </c>
      <c r="G409" s="7" t="str">
        <f>IF('RFQ-Input'!G408="","",'RFQ-Input'!G408)</f>
        <v/>
      </c>
      <c r="H409" s="7" t="str">
        <f>IF('RFQ-Input'!H408="","",'RFQ-Input'!H408)</f>
        <v/>
      </c>
      <c r="I409" s="7" t="str">
        <f>IF('RFQ-Input'!I408="","",'RFQ-Input'!I408)</f>
        <v/>
      </c>
      <c r="J409" s="7" t="str">
        <f>IF('RFQ-Input'!J408="","",'RFQ-Input'!J408)</f>
        <v/>
      </c>
      <c r="K409" s="7" t="str">
        <f>IF('RFQ-Input'!K408="","",'RFQ-Input'!K408)</f>
        <v/>
      </c>
      <c r="L409" s="7" t="str">
        <f>IF('RFQ-Input'!L408="","",'RFQ-Input'!L408)</f>
        <v/>
      </c>
      <c r="M409" s="7" t="str">
        <f>IF('RFQ-Input'!M408="","",'RFQ-Input'!M408)</f>
        <v/>
      </c>
      <c r="N409" s="7" t="str">
        <f>IF('RFQ-Input'!N408="","",'RFQ-Input'!N408)</f>
        <v/>
      </c>
      <c r="O409" s="7" t="str">
        <f>IF('RFQ-Input'!O408="","",'RFQ-Input'!O408)</f>
        <v/>
      </c>
      <c r="Q409" s="7"/>
      <c r="R409" s="7"/>
      <c r="S409" s="7"/>
      <c r="T409" s="7"/>
      <c r="U409" s="7"/>
      <c r="V409" s="7"/>
      <c r="X409" s="7"/>
      <c r="Y409" s="7"/>
      <c r="Z409" s="7"/>
      <c r="AA409" s="7" t="str">
        <f t="shared" si="42"/>
        <v/>
      </c>
      <c r="AB409" s="7"/>
      <c r="AC409" s="7"/>
      <c r="AQ409" s="7" t="str">
        <f t="shared" si="43"/>
        <v/>
      </c>
      <c r="AR409" s="7" t="str">
        <f t="shared" si="44"/>
        <v/>
      </c>
      <c r="AS409" s="7" t="str">
        <f t="shared" si="45"/>
        <v/>
      </c>
      <c r="AT409" s="7" t="str">
        <f t="shared" si="46"/>
        <v/>
      </c>
      <c r="AU409" s="7" t="str">
        <f t="shared" si="47"/>
        <v/>
      </c>
      <c r="AV409" s="7" t="str">
        <f t="shared" si="48"/>
        <v/>
      </c>
      <c r="AW409" s="7" t="str">
        <f>IF('RFQ-Input'!O408="","",'RFQ-Input'!O408)</f>
        <v/>
      </c>
      <c r="AX409" s="7" t="str">
        <f>IF('RFQ-Input'!S408="","",'RFQ-Input'!S408)</f>
        <v/>
      </c>
      <c r="AY409" s="7" t="str">
        <f>IF('RFQ-Input'!V408="","",'RFQ-Input'!V408)</f>
        <v/>
      </c>
      <c r="AZ409" s="7" t="str">
        <f>IF('RFQ-Input'!Y408="","",'RFQ-Input'!Y408)</f>
        <v/>
      </c>
      <c r="BA409" s="7" t="str">
        <f>IF('RFQ-Input'!AB408="","",'RFQ-Input'!AB408)</f>
        <v/>
      </c>
    </row>
    <row r="410" spans="1:53">
      <c r="A410" s="20">
        <v>406</v>
      </c>
      <c r="B410" s="7"/>
      <c r="C410" s="7" t="str">
        <f>IF('RFQ-Input'!C409="","",'RFQ-Input'!C409)</f>
        <v/>
      </c>
      <c r="D410" s="7" t="str">
        <f>IF('RFQ-Input'!D409="","",'RFQ-Input'!D409)</f>
        <v/>
      </c>
      <c r="E410" s="7" t="str">
        <f>IF('RFQ-Input'!E409="","",'RFQ-Input'!E409)</f>
        <v/>
      </c>
      <c r="F410" s="7" t="str">
        <f>IF('RFQ-Input'!F409="","",'RFQ-Input'!F409)</f>
        <v/>
      </c>
      <c r="G410" s="7" t="str">
        <f>IF('RFQ-Input'!G409="","",'RFQ-Input'!G409)</f>
        <v/>
      </c>
      <c r="H410" s="7" t="str">
        <f>IF('RFQ-Input'!H409="","",'RFQ-Input'!H409)</f>
        <v/>
      </c>
      <c r="I410" s="7" t="str">
        <f>IF('RFQ-Input'!I409="","",'RFQ-Input'!I409)</f>
        <v/>
      </c>
      <c r="J410" s="7" t="str">
        <f>IF('RFQ-Input'!J409="","",'RFQ-Input'!J409)</f>
        <v/>
      </c>
      <c r="K410" s="7" t="str">
        <f>IF('RFQ-Input'!K409="","",'RFQ-Input'!K409)</f>
        <v/>
      </c>
      <c r="L410" s="7" t="str">
        <f>IF('RFQ-Input'!L409="","",'RFQ-Input'!L409)</f>
        <v/>
      </c>
      <c r="M410" s="7" t="str">
        <f>IF('RFQ-Input'!M409="","",'RFQ-Input'!M409)</f>
        <v/>
      </c>
      <c r="N410" s="7" t="str">
        <f>IF('RFQ-Input'!N409="","",'RFQ-Input'!N409)</f>
        <v/>
      </c>
      <c r="O410" s="7" t="str">
        <f>IF('RFQ-Input'!O409="","",'RFQ-Input'!O409)</f>
        <v/>
      </c>
      <c r="Q410" s="7"/>
      <c r="R410" s="7"/>
      <c r="S410" s="7"/>
      <c r="T410" s="7"/>
      <c r="U410" s="7"/>
      <c r="V410" s="7"/>
      <c r="X410" s="7"/>
      <c r="Y410" s="7"/>
      <c r="Z410" s="7"/>
      <c r="AA410" s="7" t="str">
        <f t="shared" si="42"/>
        <v/>
      </c>
      <c r="AB410" s="7"/>
      <c r="AC410" s="7"/>
      <c r="AQ410" s="7" t="str">
        <f t="shared" si="43"/>
        <v/>
      </c>
      <c r="AR410" s="7" t="str">
        <f t="shared" si="44"/>
        <v/>
      </c>
      <c r="AS410" s="7" t="str">
        <f t="shared" si="45"/>
        <v/>
      </c>
      <c r="AT410" s="7" t="str">
        <f t="shared" si="46"/>
        <v/>
      </c>
      <c r="AU410" s="7" t="str">
        <f t="shared" si="47"/>
        <v/>
      </c>
      <c r="AV410" s="7" t="str">
        <f t="shared" si="48"/>
        <v/>
      </c>
      <c r="AW410" s="7" t="str">
        <f>IF('RFQ-Input'!O409="","",'RFQ-Input'!O409)</f>
        <v/>
      </c>
      <c r="AX410" s="7" t="str">
        <f>IF('RFQ-Input'!S409="","",'RFQ-Input'!S409)</f>
        <v/>
      </c>
      <c r="AY410" s="7" t="str">
        <f>IF('RFQ-Input'!V409="","",'RFQ-Input'!V409)</f>
        <v/>
      </c>
      <c r="AZ410" s="7" t="str">
        <f>IF('RFQ-Input'!Y409="","",'RFQ-Input'!Y409)</f>
        <v/>
      </c>
      <c r="BA410" s="7" t="str">
        <f>IF('RFQ-Input'!AB409="","",'RFQ-Input'!AB409)</f>
        <v/>
      </c>
    </row>
    <row r="411" spans="1:53">
      <c r="A411" s="20">
        <v>407</v>
      </c>
      <c r="B411" s="7"/>
      <c r="C411" s="7" t="str">
        <f>IF('RFQ-Input'!C410="","",'RFQ-Input'!C410)</f>
        <v/>
      </c>
      <c r="D411" s="7" t="str">
        <f>IF('RFQ-Input'!D410="","",'RFQ-Input'!D410)</f>
        <v/>
      </c>
      <c r="E411" s="7" t="str">
        <f>IF('RFQ-Input'!E410="","",'RFQ-Input'!E410)</f>
        <v/>
      </c>
      <c r="F411" s="7" t="str">
        <f>IF('RFQ-Input'!F410="","",'RFQ-Input'!F410)</f>
        <v/>
      </c>
      <c r="G411" s="7" t="str">
        <f>IF('RFQ-Input'!G410="","",'RFQ-Input'!G410)</f>
        <v/>
      </c>
      <c r="H411" s="7" t="str">
        <f>IF('RFQ-Input'!H410="","",'RFQ-Input'!H410)</f>
        <v/>
      </c>
      <c r="I411" s="7" t="str">
        <f>IF('RFQ-Input'!I410="","",'RFQ-Input'!I410)</f>
        <v/>
      </c>
      <c r="J411" s="7" t="str">
        <f>IF('RFQ-Input'!J410="","",'RFQ-Input'!J410)</f>
        <v/>
      </c>
      <c r="K411" s="7" t="str">
        <f>IF('RFQ-Input'!K410="","",'RFQ-Input'!K410)</f>
        <v/>
      </c>
      <c r="L411" s="7" t="str">
        <f>IF('RFQ-Input'!L410="","",'RFQ-Input'!L410)</f>
        <v/>
      </c>
      <c r="M411" s="7" t="str">
        <f>IF('RFQ-Input'!M410="","",'RFQ-Input'!M410)</f>
        <v/>
      </c>
      <c r="N411" s="7" t="str">
        <f>IF('RFQ-Input'!N410="","",'RFQ-Input'!N410)</f>
        <v/>
      </c>
      <c r="O411" s="7" t="str">
        <f>IF('RFQ-Input'!O410="","",'RFQ-Input'!O410)</f>
        <v/>
      </c>
      <c r="Q411" s="7"/>
      <c r="R411" s="7"/>
      <c r="S411" s="7"/>
      <c r="T411" s="7"/>
      <c r="U411" s="7"/>
      <c r="V411" s="7"/>
      <c r="X411" s="7"/>
      <c r="Y411" s="7"/>
      <c r="Z411" s="7"/>
      <c r="AA411" s="7" t="str">
        <f t="shared" si="42"/>
        <v/>
      </c>
      <c r="AB411" s="7"/>
      <c r="AC411" s="7"/>
      <c r="AQ411" s="7" t="str">
        <f t="shared" si="43"/>
        <v/>
      </c>
      <c r="AR411" s="7" t="str">
        <f t="shared" si="44"/>
        <v/>
      </c>
      <c r="AS411" s="7" t="str">
        <f t="shared" si="45"/>
        <v/>
      </c>
      <c r="AT411" s="7" t="str">
        <f t="shared" si="46"/>
        <v/>
      </c>
      <c r="AU411" s="7" t="str">
        <f t="shared" si="47"/>
        <v/>
      </c>
      <c r="AV411" s="7" t="str">
        <f t="shared" si="48"/>
        <v/>
      </c>
      <c r="AW411" s="7" t="str">
        <f>IF('RFQ-Input'!O410="","",'RFQ-Input'!O410)</f>
        <v/>
      </c>
      <c r="AX411" s="7" t="str">
        <f>IF('RFQ-Input'!S410="","",'RFQ-Input'!S410)</f>
        <v/>
      </c>
      <c r="AY411" s="7" t="str">
        <f>IF('RFQ-Input'!V410="","",'RFQ-Input'!V410)</f>
        <v/>
      </c>
      <c r="AZ411" s="7" t="str">
        <f>IF('RFQ-Input'!Y410="","",'RFQ-Input'!Y410)</f>
        <v/>
      </c>
      <c r="BA411" s="7" t="str">
        <f>IF('RFQ-Input'!AB410="","",'RFQ-Input'!AB410)</f>
        <v/>
      </c>
    </row>
    <row r="412" spans="1:53">
      <c r="A412" s="20">
        <v>408</v>
      </c>
      <c r="B412" s="7"/>
      <c r="C412" s="7" t="str">
        <f>IF('RFQ-Input'!C411="","",'RFQ-Input'!C411)</f>
        <v/>
      </c>
      <c r="D412" s="7" t="str">
        <f>IF('RFQ-Input'!D411="","",'RFQ-Input'!D411)</f>
        <v/>
      </c>
      <c r="E412" s="7" t="str">
        <f>IF('RFQ-Input'!E411="","",'RFQ-Input'!E411)</f>
        <v/>
      </c>
      <c r="F412" s="7" t="str">
        <f>IF('RFQ-Input'!F411="","",'RFQ-Input'!F411)</f>
        <v/>
      </c>
      <c r="G412" s="7" t="str">
        <f>IF('RFQ-Input'!G411="","",'RFQ-Input'!G411)</f>
        <v/>
      </c>
      <c r="H412" s="7" t="str">
        <f>IF('RFQ-Input'!H411="","",'RFQ-Input'!H411)</f>
        <v/>
      </c>
      <c r="I412" s="7" t="str">
        <f>IF('RFQ-Input'!I411="","",'RFQ-Input'!I411)</f>
        <v/>
      </c>
      <c r="J412" s="7" t="str">
        <f>IF('RFQ-Input'!J411="","",'RFQ-Input'!J411)</f>
        <v/>
      </c>
      <c r="K412" s="7" t="str">
        <f>IF('RFQ-Input'!K411="","",'RFQ-Input'!K411)</f>
        <v/>
      </c>
      <c r="L412" s="7" t="str">
        <f>IF('RFQ-Input'!L411="","",'RFQ-Input'!L411)</f>
        <v/>
      </c>
      <c r="M412" s="7" t="str">
        <f>IF('RFQ-Input'!M411="","",'RFQ-Input'!M411)</f>
        <v/>
      </c>
      <c r="N412" s="7" t="str">
        <f>IF('RFQ-Input'!N411="","",'RFQ-Input'!N411)</f>
        <v/>
      </c>
      <c r="O412" s="7" t="str">
        <f>IF('RFQ-Input'!O411="","",'RFQ-Input'!O411)</f>
        <v/>
      </c>
      <c r="Q412" s="7"/>
      <c r="R412" s="7"/>
      <c r="S412" s="7"/>
      <c r="T412" s="7"/>
      <c r="U412" s="7"/>
      <c r="V412" s="7"/>
      <c r="X412" s="7"/>
      <c r="Y412" s="7"/>
      <c r="Z412" s="7"/>
      <c r="AA412" s="7" t="str">
        <f t="shared" si="42"/>
        <v/>
      </c>
      <c r="AB412" s="7"/>
      <c r="AC412" s="7"/>
      <c r="AQ412" s="7" t="str">
        <f t="shared" si="43"/>
        <v/>
      </c>
      <c r="AR412" s="7" t="str">
        <f t="shared" si="44"/>
        <v/>
      </c>
      <c r="AS412" s="7" t="str">
        <f t="shared" si="45"/>
        <v/>
      </c>
      <c r="AT412" s="7" t="str">
        <f t="shared" si="46"/>
        <v/>
      </c>
      <c r="AU412" s="7" t="str">
        <f t="shared" si="47"/>
        <v/>
      </c>
      <c r="AV412" s="7" t="str">
        <f t="shared" si="48"/>
        <v/>
      </c>
      <c r="AW412" s="7" t="str">
        <f>IF('RFQ-Input'!O411="","",'RFQ-Input'!O411)</f>
        <v/>
      </c>
      <c r="AX412" s="7" t="str">
        <f>IF('RFQ-Input'!S411="","",'RFQ-Input'!S411)</f>
        <v/>
      </c>
      <c r="AY412" s="7" t="str">
        <f>IF('RFQ-Input'!V411="","",'RFQ-Input'!V411)</f>
        <v/>
      </c>
      <c r="AZ412" s="7" t="str">
        <f>IF('RFQ-Input'!Y411="","",'RFQ-Input'!Y411)</f>
        <v/>
      </c>
      <c r="BA412" s="7" t="str">
        <f>IF('RFQ-Input'!AB411="","",'RFQ-Input'!AB411)</f>
        <v/>
      </c>
    </row>
    <row r="413" spans="1:53">
      <c r="A413" s="20">
        <v>409</v>
      </c>
      <c r="B413" s="7"/>
      <c r="C413" s="7" t="str">
        <f>IF('RFQ-Input'!C412="","",'RFQ-Input'!C412)</f>
        <v/>
      </c>
      <c r="D413" s="7" t="str">
        <f>IF('RFQ-Input'!D412="","",'RFQ-Input'!D412)</f>
        <v/>
      </c>
      <c r="E413" s="7" t="str">
        <f>IF('RFQ-Input'!E412="","",'RFQ-Input'!E412)</f>
        <v/>
      </c>
      <c r="F413" s="7" t="str">
        <f>IF('RFQ-Input'!F412="","",'RFQ-Input'!F412)</f>
        <v/>
      </c>
      <c r="G413" s="7" t="str">
        <f>IF('RFQ-Input'!G412="","",'RFQ-Input'!G412)</f>
        <v/>
      </c>
      <c r="H413" s="7" t="str">
        <f>IF('RFQ-Input'!H412="","",'RFQ-Input'!H412)</f>
        <v/>
      </c>
      <c r="I413" s="7" t="str">
        <f>IF('RFQ-Input'!I412="","",'RFQ-Input'!I412)</f>
        <v/>
      </c>
      <c r="J413" s="7" t="str">
        <f>IF('RFQ-Input'!J412="","",'RFQ-Input'!J412)</f>
        <v/>
      </c>
      <c r="K413" s="7" t="str">
        <f>IF('RFQ-Input'!K412="","",'RFQ-Input'!K412)</f>
        <v/>
      </c>
      <c r="L413" s="7" t="str">
        <f>IF('RFQ-Input'!L412="","",'RFQ-Input'!L412)</f>
        <v/>
      </c>
      <c r="M413" s="7" t="str">
        <f>IF('RFQ-Input'!M412="","",'RFQ-Input'!M412)</f>
        <v/>
      </c>
      <c r="N413" s="7" t="str">
        <f>IF('RFQ-Input'!N412="","",'RFQ-Input'!N412)</f>
        <v/>
      </c>
      <c r="O413" s="7" t="str">
        <f>IF('RFQ-Input'!O412="","",'RFQ-Input'!O412)</f>
        <v/>
      </c>
      <c r="Q413" s="7"/>
      <c r="R413" s="7"/>
      <c r="S413" s="7"/>
      <c r="T413" s="7"/>
      <c r="U413" s="7"/>
      <c r="V413" s="7"/>
      <c r="X413" s="7"/>
      <c r="Y413" s="7"/>
      <c r="Z413" s="7"/>
      <c r="AA413" s="7" t="str">
        <f t="shared" si="42"/>
        <v/>
      </c>
      <c r="AB413" s="7"/>
      <c r="AC413" s="7"/>
      <c r="AQ413" s="7" t="str">
        <f t="shared" si="43"/>
        <v/>
      </c>
      <c r="AR413" s="7" t="str">
        <f t="shared" si="44"/>
        <v/>
      </c>
      <c r="AS413" s="7" t="str">
        <f t="shared" si="45"/>
        <v/>
      </c>
      <c r="AT413" s="7" t="str">
        <f t="shared" si="46"/>
        <v/>
      </c>
      <c r="AU413" s="7" t="str">
        <f t="shared" si="47"/>
        <v/>
      </c>
      <c r="AV413" s="7" t="str">
        <f t="shared" si="48"/>
        <v/>
      </c>
      <c r="AW413" s="7" t="str">
        <f>IF('RFQ-Input'!O412="","",'RFQ-Input'!O412)</f>
        <v/>
      </c>
      <c r="AX413" s="7" t="str">
        <f>IF('RFQ-Input'!S412="","",'RFQ-Input'!S412)</f>
        <v/>
      </c>
      <c r="AY413" s="7" t="str">
        <f>IF('RFQ-Input'!V412="","",'RFQ-Input'!V412)</f>
        <v/>
      </c>
      <c r="AZ413" s="7" t="str">
        <f>IF('RFQ-Input'!Y412="","",'RFQ-Input'!Y412)</f>
        <v/>
      </c>
      <c r="BA413" s="7" t="str">
        <f>IF('RFQ-Input'!AB412="","",'RFQ-Input'!AB412)</f>
        <v/>
      </c>
    </row>
    <row r="414" spans="1:53">
      <c r="A414" s="20">
        <v>410</v>
      </c>
      <c r="B414" s="7"/>
      <c r="C414" s="7" t="str">
        <f>IF('RFQ-Input'!C413="","",'RFQ-Input'!C413)</f>
        <v/>
      </c>
      <c r="D414" s="7" t="str">
        <f>IF('RFQ-Input'!D413="","",'RFQ-Input'!D413)</f>
        <v/>
      </c>
      <c r="E414" s="7" t="str">
        <f>IF('RFQ-Input'!E413="","",'RFQ-Input'!E413)</f>
        <v/>
      </c>
      <c r="F414" s="7" t="str">
        <f>IF('RFQ-Input'!F413="","",'RFQ-Input'!F413)</f>
        <v/>
      </c>
      <c r="G414" s="7" t="str">
        <f>IF('RFQ-Input'!G413="","",'RFQ-Input'!G413)</f>
        <v/>
      </c>
      <c r="H414" s="7" t="str">
        <f>IF('RFQ-Input'!H413="","",'RFQ-Input'!H413)</f>
        <v/>
      </c>
      <c r="I414" s="7" t="str">
        <f>IF('RFQ-Input'!I413="","",'RFQ-Input'!I413)</f>
        <v/>
      </c>
      <c r="J414" s="7" t="str">
        <f>IF('RFQ-Input'!J413="","",'RFQ-Input'!J413)</f>
        <v/>
      </c>
      <c r="K414" s="7" t="str">
        <f>IF('RFQ-Input'!K413="","",'RFQ-Input'!K413)</f>
        <v/>
      </c>
      <c r="L414" s="7" t="str">
        <f>IF('RFQ-Input'!L413="","",'RFQ-Input'!L413)</f>
        <v/>
      </c>
      <c r="M414" s="7" t="str">
        <f>IF('RFQ-Input'!M413="","",'RFQ-Input'!M413)</f>
        <v/>
      </c>
      <c r="N414" s="7" t="str">
        <f>IF('RFQ-Input'!N413="","",'RFQ-Input'!N413)</f>
        <v/>
      </c>
      <c r="O414" s="7" t="str">
        <f>IF('RFQ-Input'!O413="","",'RFQ-Input'!O413)</f>
        <v/>
      </c>
      <c r="Q414" s="7"/>
      <c r="R414" s="7"/>
      <c r="S414" s="7"/>
      <c r="T414" s="7"/>
      <c r="U414" s="7"/>
      <c r="V414" s="7"/>
      <c r="X414" s="7"/>
      <c r="Y414" s="7"/>
      <c r="Z414" s="7"/>
      <c r="AA414" s="7" t="str">
        <f t="shared" si="42"/>
        <v/>
      </c>
      <c r="AB414" s="7"/>
      <c r="AC414" s="7"/>
      <c r="AQ414" s="7" t="str">
        <f t="shared" si="43"/>
        <v/>
      </c>
      <c r="AR414" s="7" t="str">
        <f t="shared" si="44"/>
        <v/>
      </c>
      <c r="AS414" s="7" t="str">
        <f t="shared" si="45"/>
        <v/>
      </c>
      <c r="AT414" s="7" t="str">
        <f t="shared" si="46"/>
        <v/>
      </c>
      <c r="AU414" s="7" t="str">
        <f t="shared" si="47"/>
        <v/>
      </c>
      <c r="AV414" s="7" t="str">
        <f t="shared" si="48"/>
        <v/>
      </c>
      <c r="AW414" s="7" t="str">
        <f>IF('RFQ-Input'!O413="","",'RFQ-Input'!O413)</f>
        <v/>
      </c>
      <c r="AX414" s="7" t="str">
        <f>IF('RFQ-Input'!S413="","",'RFQ-Input'!S413)</f>
        <v/>
      </c>
      <c r="AY414" s="7" t="str">
        <f>IF('RFQ-Input'!V413="","",'RFQ-Input'!V413)</f>
        <v/>
      </c>
      <c r="AZ414" s="7" t="str">
        <f>IF('RFQ-Input'!Y413="","",'RFQ-Input'!Y413)</f>
        <v/>
      </c>
      <c r="BA414" s="7" t="str">
        <f>IF('RFQ-Input'!AB413="","",'RFQ-Input'!AB413)</f>
        <v/>
      </c>
    </row>
    <row r="415" spans="1:53">
      <c r="A415" s="20">
        <v>411</v>
      </c>
      <c r="B415" s="7"/>
      <c r="C415" s="7" t="str">
        <f>IF('RFQ-Input'!C414="","",'RFQ-Input'!C414)</f>
        <v/>
      </c>
      <c r="D415" s="7" t="str">
        <f>IF('RFQ-Input'!D414="","",'RFQ-Input'!D414)</f>
        <v/>
      </c>
      <c r="E415" s="7" t="str">
        <f>IF('RFQ-Input'!E414="","",'RFQ-Input'!E414)</f>
        <v/>
      </c>
      <c r="F415" s="7" t="str">
        <f>IF('RFQ-Input'!F414="","",'RFQ-Input'!F414)</f>
        <v/>
      </c>
      <c r="G415" s="7" t="str">
        <f>IF('RFQ-Input'!G414="","",'RFQ-Input'!G414)</f>
        <v/>
      </c>
      <c r="H415" s="7" t="str">
        <f>IF('RFQ-Input'!H414="","",'RFQ-Input'!H414)</f>
        <v/>
      </c>
      <c r="I415" s="7" t="str">
        <f>IF('RFQ-Input'!I414="","",'RFQ-Input'!I414)</f>
        <v/>
      </c>
      <c r="J415" s="7" t="str">
        <f>IF('RFQ-Input'!J414="","",'RFQ-Input'!J414)</f>
        <v/>
      </c>
      <c r="K415" s="7" t="str">
        <f>IF('RFQ-Input'!K414="","",'RFQ-Input'!K414)</f>
        <v/>
      </c>
      <c r="L415" s="7" t="str">
        <f>IF('RFQ-Input'!L414="","",'RFQ-Input'!L414)</f>
        <v/>
      </c>
      <c r="M415" s="7" t="str">
        <f>IF('RFQ-Input'!M414="","",'RFQ-Input'!M414)</f>
        <v/>
      </c>
      <c r="N415" s="7" t="str">
        <f>IF('RFQ-Input'!N414="","",'RFQ-Input'!N414)</f>
        <v/>
      </c>
      <c r="O415" s="7" t="str">
        <f>IF('RFQ-Input'!O414="","",'RFQ-Input'!O414)</f>
        <v/>
      </c>
      <c r="Q415" s="7"/>
      <c r="R415" s="7"/>
      <c r="S415" s="7"/>
      <c r="T415" s="7"/>
      <c r="U415" s="7"/>
      <c r="V415" s="7"/>
      <c r="X415" s="7"/>
      <c r="Y415" s="7"/>
      <c r="Z415" s="7"/>
      <c r="AA415" s="7" t="str">
        <f t="shared" si="42"/>
        <v/>
      </c>
      <c r="AB415" s="7"/>
      <c r="AC415" s="7"/>
      <c r="AQ415" s="7" t="str">
        <f t="shared" si="43"/>
        <v/>
      </c>
      <c r="AR415" s="7" t="str">
        <f t="shared" si="44"/>
        <v/>
      </c>
      <c r="AS415" s="7" t="str">
        <f t="shared" si="45"/>
        <v/>
      </c>
      <c r="AT415" s="7" t="str">
        <f t="shared" si="46"/>
        <v/>
      </c>
      <c r="AU415" s="7" t="str">
        <f t="shared" si="47"/>
        <v/>
      </c>
      <c r="AV415" s="7" t="str">
        <f t="shared" si="48"/>
        <v/>
      </c>
      <c r="AW415" s="7" t="str">
        <f>IF('RFQ-Input'!O414="","",'RFQ-Input'!O414)</f>
        <v/>
      </c>
      <c r="AX415" s="7" t="str">
        <f>IF('RFQ-Input'!S414="","",'RFQ-Input'!S414)</f>
        <v/>
      </c>
      <c r="AY415" s="7" t="str">
        <f>IF('RFQ-Input'!V414="","",'RFQ-Input'!V414)</f>
        <v/>
      </c>
      <c r="AZ415" s="7" t="str">
        <f>IF('RFQ-Input'!Y414="","",'RFQ-Input'!Y414)</f>
        <v/>
      </c>
      <c r="BA415" s="7" t="str">
        <f>IF('RFQ-Input'!AB414="","",'RFQ-Input'!AB414)</f>
        <v/>
      </c>
    </row>
    <row r="416" spans="1:53">
      <c r="A416" s="20">
        <v>412</v>
      </c>
      <c r="B416" s="7"/>
      <c r="C416" s="7" t="str">
        <f>IF('RFQ-Input'!C415="","",'RFQ-Input'!C415)</f>
        <v/>
      </c>
      <c r="D416" s="7" t="str">
        <f>IF('RFQ-Input'!D415="","",'RFQ-Input'!D415)</f>
        <v/>
      </c>
      <c r="E416" s="7" t="str">
        <f>IF('RFQ-Input'!E415="","",'RFQ-Input'!E415)</f>
        <v/>
      </c>
      <c r="F416" s="7" t="str">
        <f>IF('RFQ-Input'!F415="","",'RFQ-Input'!F415)</f>
        <v/>
      </c>
      <c r="G416" s="7" t="str">
        <f>IF('RFQ-Input'!G415="","",'RFQ-Input'!G415)</f>
        <v/>
      </c>
      <c r="H416" s="7" t="str">
        <f>IF('RFQ-Input'!H415="","",'RFQ-Input'!H415)</f>
        <v/>
      </c>
      <c r="I416" s="7" t="str">
        <f>IF('RFQ-Input'!I415="","",'RFQ-Input'!I415)</f>
        <v/>
      </c>
      <c r="J416" s="7" t="str">
        <f>IF('RFQ-Input'!J415="","",'RFQ-Input'!J415)</f>
        <v/>
      </c>
      <c r="K416" s="7" t="str">
        <f>IF('RFQ-Input'!K415="","",'RFQ-Input'!K415)</f>
        <v/>
      </c>
      <c r="L416" s="7" t="str">
        <f>IF('RFQ-Input'!L415="","",'RFQ-Input'!L415)</f>
        <v/>
      </c>
      <c r="M416" s="7" t="str">
        <f>IF('RFQ-Input'!M415="","",'RFQ-Input'!M415)</f>
        <v/>
      </c>
      <c r="N416" s="7" t="str">
        <f>IF('RFQ-Input'!N415="","",'RFQ-Input'!N415)</f>
        <v/>
      </c>
      <c r="O416" s="7" t="str">
        <f>IF('RFQ-Input'!O415="","",'RFQ-Input'!O415)</f>
        <v/>
      </c>
      <c r="Q416" s="7"/>
      <c r="R416" s="7"/>
      <c r="S416" s="7"/>
      <c r="T416" s="7"/>
      <c r="U416" s="7"/>
      <c r="V416" s="7"/>
      <c r="X416" s="7"/>
      <c r="Y416" s="7"/>
      <c r="Z416" s="7"/>
      <c r="AA416" s="7" t="str">
        <f t="shared" si="42"/>
        <v/>
      </c>
      <c r="AB416" s="7"/>
      <c r="AC416" s="7"/>
      <c r="AQ416" s="7" t="str">
        <f t="shared" si="43"/>
        <v/>
      </c>
      <c r="AR416" s="7" t="str">
        <f t="shared" si="44"/>
        <v/>
      </c>
      <c r="AS416" s="7" t="str">
        <f t="shared" si="45"/>
        <v/>
      </c>
      <c r="AT416" s="7" t="str">
        <f t="shared" si="46"/>
        <v/>
      </c>
      <c r="AU416" s="7" t="str">
        <f t="shared" si="47"/>
        <v/>
      </c>
      <c r="AV416" s="7" t="str">
        <f t="shared" si="48"/>
        <v/>
      </c>
      <c r="AW416" s="7" t="str">
        <f>IF('RFQ-Input'!O415="","",'RFQ-Input'!O415)</f>
        <v/>
      </c>
      <c r="AX416" s="7" t="str">
        <f>IF('RFQ-Input'!S415="","",'RFQ-Input'!S415)</f>
        <v/>
      </c>
      <c r="AY416" s="7" t="str">
        <f>IF('RFQ-Input'!V415="","",'RFQ-Input'!V415)</f>
        <v/>
      </c>
      <c r="AZ416" s="7" t="str">
        <f>IF('RFQ-Input'!Y415="","",'RFQ-Input'!Y415)</f>
        <v/>
      </c>
      <c r="BA416" s="7" t="str">
        <f>IF('RFQ-Input'!AB415="","",'RFQ-Input'!AB415)</f>
        <v/>
      </c>
    </row>
    <row r="417" spans="1:53">
      <c r="A417" s="20">
        <v>413</v>
      </c>
      <c r="B417" s="7"/>
      <c r="C417" s="7" t="str">
        <f>IF('RFQ-Input'!C416="","",'RFQ-Input'!C416)</f>
        <v/>
      </c>
      <c r="D417" s="7" t="str">
        <f>IF('RFQ-Input'!D416="","",'RFQ-Input'!D416)</f>
        <v/>
      </c>
      <c r="E417" s="7" t="str">
        <f>IF('RFQ-Input'!E416="","",'RFQ-Input'!E416)</f>
        <v/>
      </c>
      <c r="F417" s="7" t="str">
        <f>IF('RFQ-Input'!F416="","",'RFQ-Input'!F416)</f>
        <v/>
      </c>
      <c r="G417" s="7" t="str">
        <f>IF('RFQ-Input'!G416="","",'RFQ-Input'!G416)</f>
        <v/>
      </c>
      <c r="H417" s="7" t="str">
        <f>IF('RFQ-Input'!H416="","",'RFQ-Input'!H416)</f>
        <v/>
      </c>
      <c r="I417" s="7" t="str">
        <f>IF('RFQ-Input'!I416="","",'RFQ-Input'!I416)</f>
        <v/>
      </c>
      <c r="J417" s="7" t="str">
        <f>IF('RFQ-Input'!J416="","",'RFQ-Input'!J416)</f>
        <v/>
      </c>
      <c r="K417" s="7" t="str">
        <f>IF('RFQ-Input'!K416="","",'RFQ-Input'!K416)</f>
        <v/>
      </c>
      <c r="L417" s="7" t="str">
        <f>IF('RFQ-Input'!L416="","",'RFQ-Input'!L416)</f>
        <v/>
      </c>
      <c r="M417" s="7" t="str">
        <f>IF('RFQ-Input'!M416="","",'RFQ-Input'!M416)</f>
        <v/>
      </c>
      <c r="N417" s="7" t="str">
        <f>IF('RFQ-Input'!N416="","",'RFQ-Input'!N416)</f>
        <v/>
      </c>
      <c r="O417" s="7" t="str">
        <f>IF('RFQ-Input'!O416="","",'RFQ-Input'!O416)</f>
        <v/>
      </c>
      <c r="Q417" s="7"/>
      <c r="R417" s="7"/>
      <c r="S417" s="7"/>
      <c r="T417" s="7"/>
      <c r="U417" s="7"/>
      <c r="V417" s="7"/>
      <c r="X417" s="7"/>
      <c r="Y417" s="7"/>
      <c r="Z417" s="7"/>
      <c r="AA417" s="7" t="str">
        <f t="shared" si="42"/>
        <v/>
      </c>
      <c r="AB417" s="7"/>
      <c r="AC417" s="7"/>
      <c r="AQ417" s="7" t="str">
        <f t="shared" si="43"/>
        <v/>
      </c>
      <c r="AR417" s="7" t="str">
        <f t="shared" si="44"/>
        <v/>
      </c>
      <c r="AS417" s="7" t="str">
        <f t="shared" si="45"/>
        <v/>
      </c>
      <c r="AT417" s="7" t="str">
        <f t="shared" si="46"/>
        <v/>
      </c>
      <c r="AU417" s="7" t="str">
        <f t="shared" si="47"/>
        <v/>
      </c>
      <c r="AV417" s="7" t="str">
        <f t="shared" si="48"/>
        <v/>
      </c>
      <c r="AW417" s="7" t="str">
        <f>IF('RFQ-Input'!O416="","",'RFQ-Input'!O416)</f>
        <v/>
      </c>
      <c r="AX417" s="7" t="str">
        <f>IF('RFQ-Input'!S416="","",'RFQ-Input'!S416)</f>
        <v/>
      </c>
      <c r="AY417" s="7" t="str">
        <f>IF('RFQ-Input'!V416="","",'RFQ-Input'!V416)</f>
        <v/>
      </c>
      <c r="AZ417" s="7" t="str">
        <f>IF('RFQ-Input'!Y416="","",'RFQ-Input'!Y416)</f>
        <v/>
      </c>
      <c r="BA417" s="7" t="str">
        <f>IF('RFQ-Input'!AB416="","",'RFQ-Input'!AB416)</f>
        <v/>
      </c>
    </row>
    <row r="418" spans="1:53">
      <c r="A418" s="20">
        <v>414</v>
      </c>
      <c r="B418" s="7"/>
      <c r="C418" s="7" t="str">
        <f>IF('RFQ-Input'!C417="","",'RFQ-Input'!C417)</f>
        <v/>
      </c>
      <c r="D418" s="7" t="str">
        <f>IF('RFQ-Input'!D417="","",'RFQ-Input'!D417)</f>
        <v/>
      </c>
      <c r="E418" s="7" t="str">
        <f>IF('RFQ-Input'!E417="","",'RFQ-Input'!E417)</f>
        <v/>
      </c>
      <c r="F418" s="7" t="str">
        <f>IF('RFQ-Input'!F417="","",'RFQ-Input'!F417)</f>
        <v/>
      </c>
      <c r="G418" s="7" t="str">
        <f>IF('RFQ-Input'!G417="","",'RFQ-Input'!G417)</f>
        <v/>
      </c>
      <c r="H418" s="7" t="str">
        <f>IF('RFQ-Input'!H417="","",'RFQ-Input'!H417)</f>
        <v/>
      </c>
      <c r="I418" s="7" t="str">
        <f>IF('RFQ-Input'!I417="","",'RFQ-Input'!I417)</f>
        <v/>
      </c>
      <c r="J418" s="7" t="str">
        <f>IF('RFQ-Input'!J417="","",'RFQ-Input'!J417)</f>
        <v/>
      </c>
      <c r="K418" s="7" t="str">
        <f>IF('RFQ-Input'!K417="","",'RFQ-Input'!K417)</f>
        <v/>
      </c>
      <c r="L418" s="7" t="str">
        <f>IF('RFQ-Input'!L417="","",'RFQ-Input'!L417)</f>
        <v/>
      </c>
      <c r="M418" s="7" t="str">
        <f>IF('RFQ-Input'!M417="","",'RFQ-Input'!M417)</f>
        <v/>
      </c>
      <c r="N418" s="7" t="str">
        <f>IF('RFQ-Input'!N417="","",'RFQ-Input'!N417)</f>
        <v/>
      </c>
      <c r="O418" s="7" t="str">
        <f>IF('RFQ-Input'!O417="","",'RFQ-Input'!O417)</f>
        <v/>
      </c>
      <c r="Q418" s="7"/>
      <c r="R418" s="7"/>
      <c r="S418" s="7"/>
      <c r="T418" s="7"/>
      <c r="U418" s="7"/>
      <c r="V418" s="7"/>
      <c r="X418" s="7"/>
      <c r="Y418" s="7"/>
      <c r="Z418" s="7"/>
      <c r="AA418" s="7" t="str">
        <f t="shared" si="42"/>
        <v/>
      </c>
      <c r="AB418" s="7"/>
      <c r="AC418" s="7"/>
      <c r="AQ418" s="7" t="str">
        <f t="shared" si="43"/>
        <v/>
      </c>
      <c r="AR418" s="7" t="str">
        <f t="shared" si="44"/>
        <v/>
      </c>
      <c r="AS418" s="7" t="str">
        <f t="shared" si="45"/>
        <v/>
      </c>
      <c r="AT418" s="7" t="str">
        <f t="shared" si="46"/>
        <v/>
      </c>
      <c r="AU418" s="7" t="str">
        <f t="shared" si="47"/>
        <v/>
      </c>
      <c r="AV418" s="7" t="str">
        <f t="shared" si="48"/>
        <v/>
      </c>
      <c r="AW418" s="7" t="str">
        <f>IF('RFQ-Input'!O417="","",'RFQ-Input'!O417)</f>
        <v/>
      </c>
      <c r="AX418" s="7" t="str">
        <f>IF('RFQ-Input'!S417="","",'RFQ-Input'!S417)</f>
        <v/>
      </c>
      <c r="AY418" s="7" t="str">
        <f>IF('RFQ-Input'!V417="","",'RFQ-Input'!V417)</f>
        <v/>
      </c>
      <c r="AZ418" s="7" t="str">
        <f>IF('RFQ-Input'!Y417="","",'RFQ-Input'!Y417)</f>
        <v/>
      </c>
      <c r="BA418" s="7" t="str">
        <f>IF('RFQ-Input'!AB417="","",'RFQ-Input'!AB417)</f>
        <v/>
      </c>
    </row>
    <row r="419" spans="1:53">
      <c r="A419" s="20">
        <v>415</v>
      </c>
      <c r="B419" s="7"/>
      <c r="C419" s="7" t="str">
        <f>IF('RFQ-Input'!C418="","",'RFQ-Input'!C418)</f>
        <v/>
      </c>
      <c r="D419" s="7" t="str">
        <f>IF('RFQ-Input'!D418="","",'RFQ-Input'!D418)</f>
        <v/>
      </c>
      <c r="E419" s="7" t="str">
        <f>IF('RFQ-Input'!E418="","",'RFQ-Input'!E418)</f>
        <v/>
      </c>
      <c r="F419" s="7" t="str">
        <f>IF('RFQ-Input'!F418="","",'RFQ-Input'!F418)</f>
        <v/>
      </c>
      <c r="G419" s="7" t="str">
        <f>IF('RFQ-Input'!G418="","",'RFQ-Input'!G418)</f>
        <v/>
      </c>
      <c r="H419" s="7" t="str">
        <f>IF('RFQ-Input'!H418="","",'RFQ-Input'!H418)</f>
        <v/>
      </c>
      <c r="I419" s="7" t="str">
        <f>IF('RFQ-Input'!I418="","",'RFQ-Input'!I418)</f>
        <v/>
      </c>
      <c r="J419" s="7" t="str">
        <f>IF('RFQ-Input'!J418="","",'RFQ-Input'!J418)</f>
        <v/>
      </c>
      <c r="K419" s="7" t="str">
        <f>IF('RFQ-Input'!K418="","",'RFQ-Input'!K418)</f>
        <v/>
      </c>
      <c r="L419" s="7" t="str">
        <f>IF('RFQ-Input'!L418="","",'RFQ-Input'!L418)</f>
        <v/>
      </c>
      <c r="M419" s="7" t="str">
        <f>IF('RFQ-Input'!M418="","",'RFQ-Input'!M418)</f>
        <v/>
      </c>
      <c r="N419" s="7" t="str">
        <f>IF('RFQ-Input'!N418="","",'RFQ-Input'!N418)</f>
        <v/>
      </c>
      <c r="O419" s="7" t="str">
        <f>IF('RFQ-Input'!O418="","",'RFQ-Input'!O418)</f>
        <v/>
      </c>
      <c r="Q419" s="7"/>
      <c r="R419" s="7"/>
      <c r="S419" s="7"/>
      <c r="T419" s="7"/>
      <c r="U419" s="7"/>
      <c r="V419" s="7"/>
      <c r="X419" s="7"/>
      <c r="Y419" s="7"/>
      <c r="Z419" s="7"/>
      <c r="AA419" s="7" t="str">
        <f t="shared" si="42"/>
        <v/>
      </c>
      <c r="AB419" s="7"/>
      <c r="AC419" s="7"/>
      <c r="AQ419" s="7" t="str">
        <f t="shared" si="43"/>
        <v/>
      </c>
      <c r="AR419" s="7" t="str">
        <f t="shared" si="44"/>
        <v/>
      </c>
      <c r="AS419" s="7" t="str">
        <f t="shared" si="45"/>
        <v/>
      </c>
      <c r="AT419" s="7" t="str">
        <f t="shared" si="46"/>
        <v/>
      </c>
      <c r="AU419" s="7" t="str">
        <f t="shared" si="47"/>
        <v/>
      </c>
      <c r="AV419" s="7" t="str">
        <f t="shared" si="48"/>
        <v/>
      </c>
      <c r="AW419" s="7" t="str">
        <f>IF('RFQ-Input'!O418="","",'RFQ-Input'!O418)</f>
        <v/>
      </c>
      <c r="AX419" s="7" t="str">
        <f>IF('RFQ-Input'!S418="","",'RFQ-Input'!S418)</f>
        <v/>
      </c>
      <c r="AY419" s="7" t="str">
        <f>IF('RFQ-Input'!V418="","",'RFQ-Input'!V418)</f>
        <v/>
      </c>
      <c r="AZ419" s="7" t="str">
        <f>IF('RFQ-Input'!Y418="","",'RFQ-Input'!Y418)</f>
        <v/>
      </c>
      <c r="BA419" s="7" t="str">
        <f>IF('RFQ-Input'!AB418="","",'RFQ-Input'!AB418)</f>
        <v/>
      </c>
    </row>
    <row r="420" spans="1:53">
      <c r="A420" s="20">
        <v>416</v>
      </c>
      <c r="B420" s="7"/>
      <c r="C420" s="7" t="str">
        <f>IF('RFQ-Input'!C419="","",'RFQ-Input'!C419)</f>
        <v/>
      </c>
      <c r="D420" s="7" t="str">
        <f>IF('RFQ-Input'!D419="","",'RFQ-Input'!D419)</f>
        <v/>
      </c>
      <c r="E420" s="7" t="str">
        <f>IF('RFQ-Input'!E419="","",'RFQ-Input'!E419)</f>
        <v/>
      </c>
      <c r="F420" s="7" t="str">
        <f>IF('RFQ-Input'!F419="","",'RFQ-Input'!F419)</f>
        <v/>
      </c>
      <c r="G420" s="7" t="str">
        <f>IF('RFQ-Input'!G419="","",'RFQ-Input'!G419)</f>
        <v/>
      </c>
      <c r="H420" s="7" t="str">
        <f>IF('RFQ-Input'!H419="","",'RFQ-Input'!H419)</f>
        <v/>
      </c>
      <c r="I420" s="7" t="str">
        <f>IF('RFQ-Input'!I419="","",'RFQ-Input'!I419)</f>
        <v/>
      </c>
      <c r="J420" s="7" t="str">
        <f>IF('RFQ-Input'!J419="","",'RFQ-Input'!J419)</f>
        <v/>
      </c>
      <c r="K420" s="7" t="str">
        <f>IF('RFQ-Input'!K419="","",'RFQ-Input'!K419)</f>
        <v/>
      </c>
      <c r="L420" s="7" t="str">
        <f>IF('RFQ-Input'!L419="","",'RFQ-Input'!L419)</f>
        <v/>
      </c>
      <c r="M420" s="7" t="str">
        <f>IF('RFQ-Input'!M419="","",'RFQ-Input'!M419)</f>
        <v/>
      </c>
      <c r="N420" s="7" t="str">
        <f>IF('RFQ-Input'!N419="","",'RFQ-Input'!N419)</f>
        <v/>
      </c>
      <c r="O420" s="7" t="str">
        <f>IF('RFQ-Input'!O419="","",'RFQ-Input'!O419)</f>
        <v/>
      </c>
      <c r="Q420" s="7"/>
      <c r="R420" s="7"/>
      <c r="S420" s="7"/>
      <c r="T420" s="7"/>
      <c r="U420" s="7"/>
      <c r="V420" s="7"/>
      <c r="X420" s="7"/>
      <c r="Y420" s="7"/>
      <c r="Z420" s="7"/>
      <c r="AA420" s="7" t="str">
        <f t="shared" si="42"/>
        <v/>
      </c>
      <c r="AB420" s="7"/>
      <c r="AC420" s="7"/>
      <c r="AQ420" s="7" t="str">
        <f t="shared" si="43"/>
        <v/>
      </c>
      <c r="AR420" s="7" t="str">
        <f t="shared" si="44"/>
        <v/>
      </c>
      <c r="AS420" s="7" t="str">
        <f t="shared" si="45"/>
        <v/>
      </c>
      <c r="AT420" s="7" t="str">
        <f t="shared" si="46"/>
        <v/>
      </c>
      <c r="AU420" s="7" t="str">
        <f t="shared" si="47"/>
        <v/>
      </c>
      <c r="AV420" s="7" t="str">
        <f t="shared" si="48"/>
        <v/>
      </c>
      <c r="AW420" s="7" t="str">
        <f>IF('RFQ-Input'!O419="","",'RFQ-Input'!O419)</f>
        <v/>
      </c>
      <c r="AX420" s="7" t="str">
        <f>IF('RFQ-Input'!S419="","",'RFQ-Input'!S419)</f>
        <v/>
      </c>
      <c r="AY420" s="7" t="str">
        <f>IF('RFQ-Input'!V419="","",'RFQ-Input'!V419)</f>
        <v/>
      </c>
      <c r="AZ420" s="7" t="str">
        <f>IF('RFQ-Input'!Y419="","",'RFQ-Input'!Y419)</f>
        <v/>
      </c>
      <c r="BA420" s="7" t="str">
        <f>IF('RFQ-Input'!AB419="","",'RFQ-Input'!AB419)</f>
        <v/>
      </c>
    </row>
    <row r="421" spans="1:53">
      <c r="A421" s="20">
        <v>417</v>
      </c>
      <c r="B421" s="7"/>
      <c r="C421" s="7" t="str">
        <f>IF('RFQ-Input'!C420="","",'RFQ-Input'!C420)</f>
        <v/>
      </c>
      <c r="D421" s="7" t="str">
        <f>IF('RFQ-Input'!D420="","",'RFQ-Input'!D420)</f>
        <v/>
      </c>
      <c r="E421" s="7" t="str">
        <f>IF('RFQ-Input'!E420="","",'RFQ-Input'!E420)</f>
        <v/>
      </c>
      <c r="F421" s="7" t="str">
        <f>IF('RFQ-Input'!F420="","",'RFQ-Input'!F420)</f>
        <v/>
      </c>
      <c r="G421" s="7" t="str">
        <f>IF('RFQ-Input'!G420="","",'RFQ-Input'!G420)</f>
        <v/>
      </c>
      <c r="H421" s="7" t="str">
        <f>IF('RFQ-Input'!H420="","",'RFQ-Input'!H420)</f>
        <v/>
      </c>
      <c r="I421" s="7" t="str">
        <f>IF('RFQ-Input'!I420="","",'RFQ-Input'!I420)</f>
        <v/>
      </c>
      <c r="J421" s="7" t="str">
        <f>IF('RFQ-Input'!J420="","",'RFQ-Input'!J420)</f>
        <v/>
      </c>
      <c r="K421" s="7" t="str">
        <f>IF('RFQ-Input'!K420="","",'RFQ-Input'!K420)</f>
        <v/>
      </c>
      <c r="L421" s="7" t="str">
        <f>IF('RFQ-Input'!L420="","",'RFQ-Input'!L420)</f>
        <v/>
      </c>
      <c r="M421" s="7" t="str">
        <f>IF('RFQ-Input'!M420="","",'RFQ-Input'!M420)</f>
        <v/>
      </c>
      <c r="N421" s="7" t="str">
        <f>IF('RFQ-Input'!N420="","",'RFQ-Input'!N420)</f>
        <v/>
      </c>
      <c r="O421" s="7" t="str">
        <f>IF('RFQ-Input'!O420="","",'RFQ-Input'!O420)</f>
        <v/>
      </c>
      <c r="Q421" s="7"/>
      <c r="R421" s="7"/>
      <c r="S421" s="7"/>
      <c r="T421" s="7"/>
      <c r="U421" s="7"/>
      <c r="V421" s="7"/>
      <c r="X421" s="7"/>
      <c r="Y421" s="7"/>
      <c r="Z421" s="7"/>
      <c r="AA421" s="7" t="str">
        <f t="shared" si="42"/>
        <v/>
      </c>
      <c r="AB421" s="7"/>
      <c r="AC421" s="7"/>
      <c r="AQ421" s="7" t="str">
        <f t="shared" si="43"/>
        <v/>
      </c>
      <c r="AR421" s="7" t="str">
        <f t="shared" si="44"/>
        <v/>
      </c>
      <c r="AS421" s="7" t="str">
        <f t="shared" si="45"/>
        <v/>
      </c>
      <c r="AT421" s="7" t="str">
        <f t="shared" si="46"/>
        <v/>
      </c>
      <c r="AU421" s="7" t="str">
        <f t="shared" si="47"/>
        <v/>
      </c>
      <c r="AV421" s="7" t="str">
        <f t="shared" si="48"/>
        <v/>
      </c>
      <c r="AW421" s="7" t="str">
        <f>IF('RFQ-Input'!O420="","",'RFQ-Input'!O420)</f>
        <v/>
      </c>
      <c r="AX421" s="7" t="str">
        <f>IF('RFQ-Input'!S420="","",'RFQ-Input'!S420)</f>
        <v/>
      </c>
      <c r="AY421" s="7" t="str">
        <f>IF('RFQ-Input'!V420="","",'RFQ-Input'!V420)</f>
        <v/>
      </c>
      <c r="AZ421" s="7" t="str">
        <f>IF('RFQ-Input'!Y420="","",'RFQ-Input'!Y420)</f>
        <v/>
      </c>
      <c r="BA421" s="7" t="str">
        <f>IF('RFQ-Input'!AB420="","",'RFQ-Input'!AB420)</f>
        <v/>
      </c>
    </row>
    <row r="422" spans="1:53">
      <c r="A422" s="20">
        <v>418</v>
      </c>
      <c r="B422" s="7"/>
      <c r="C422" s="7" t="str">
        <f>IF('RFQ-Input'!C421="","",'RFQ-Input'!C421)</f>
        <v/>
      </c>
      <c r="D422" s="7" t="str">
        <f>IF('RFQ-Input'!D421="","",'RFQ-Input'!D421)</f>
        <v/>
      </c>
      <c r="E422" s="7" t="str">
        <f>IF('RFQ-Input'!E421="","",'RFQ-Input'!E421)</f>
        <v/>
      </c>
      <c r="F422" s="7" t="str">
        <f>IF('RFQ-Input'!F421="","",'RFQ-Input'!F421)</f>
        <v/>
      </c>
      <c r="G422" s="7" t="str">
        <f>IF('RFQ-Input'!G421="","",'RFQ-Input'!G421)</f>
        <v/>
      </c>
      <c r="H422" s="7" t="str">
        <f>IF('RFQ-Input'!H421="","",'RFQ-Input'!H421)</f>
        <v/>
      </c>
      <c r="I422" s="7" t="str">
        <f>IF('RFQ-Input'!I421="","",'RFQ-Input'!I421)</f>
        <v/>
      </c>
      <c r="J422" s="7" t="str">
        <f>IF('RFQ-Input'!J421="","",'RFQ-Input'!J421)</f>
        <v/>
      </c>
      <c r="K422" s="7" t="str">
        <f>IF('RFQ-Input'!K421="","",'RFQ-Input'!K421)</f>
        <v/>
      </c>
      <c r="L422" s="7" t="str">
        <f>IF('RFQ-Input'!L421="","",'RFQ-Input'!L421)</f>
        <v/>
      </c>
      <c r="M422" s="7" t="str">
        <f>IF('RFQ-Input'!M421="","",'RFQ-Input'!M421)</f>
        <v/>
      </c>
      <c r="N422" s="7" t="str">
        <f>IF('RFQ-Input'!N421="","",'RFQ-Input'!N421)</f>
        <v/>
      </c>
      <c r="O422" s="7" t="str">
        <f>IF('RFQ-Input'!O421="","",'RFQ-Input'!O421)</f>
        <v/>
      </c>
      <c r="Q422" s="7"/>
      <c r="R422" s="7"/>
      <c r="S422" s="7"/>
      <c r="T422" s="7"/>
      <c r="U422" s="7"/>
      <c r="V422" s="7"/>
      <c r="X422" s="7"/>
      <c r="Y422" s="7"/>
      <c r="Z422" s="7"/>
      <c r="AA422" s="7" t="str">
        <f t="shared" si="42"/>
        <v/>
      </c>
      <c r="AB422" s="7"/>
      <c r="AC422" s="7"/>
      <c r="AQ422" s="7" t="str">
        <f t="shared" si="43"/>
        <v/>
      </c>
      <c r="AR422" s="7" t="str">
        <f t="shared" si="44"/>
        <v/>
      </c>
      <c r="AS422" s="7" t="str">
        <f t="shared" si="45"/>
        <v/>
      </c>
      <c r="AT422" s="7" t="str">
        <f t="shared" si="46"/>
        <v/>
      </c>
      <c r="AU422" s="7" t="str">
        <f t="shared" si="47"/>
        <v/>
      </c>
      <c r="AV422" s="7" t="str">
        <f t="shared" si="48"/>
        <v/>
      </c>
      <c r="AW422" s="7" t="str">
        <f>IF('RFQ-Input'!O421="","",'RFQ-Input'!O421)</f>
        <v/>
      </c>
      <c r="AX422" s="7" t="str">
        <f>IF('RFQ-Input'!S421="","",'RFQ-Input'!S421)</f>
        <v/>
      </c>
      <c r="AY422" s="7" t="str">
        <f>IF('RFQ-Input'!V421="","",'RFQ-Input'!V421)</f>
        <v/>
      </c>
      <c r="AZ422" s="7" t="str">
        <f>IF('RFQ-Input'!Y421="","",'RFQ-Input'!Y421)</f>
        <v/>
      </c>
      <c r="BA422" s="7" t="str">
        <f>IF('RFQ-Input'!AB421="","",'RFQ-Input'!AB421)</f>
        <v/>
      </c>
    </row>
    <row r="423" spans="1:53">
      <c r="A423" s="20">
        <v>419</v>
      </c>
      <c r="B423" s="7"/>
      <c r="C423" s="7" t="str">
        <f>IF('RFQ-Input'!C422="","",'RFQ-Input'!C422)</f>
        <v/>
      </c>
      <c r="D423" s="7" t="str">
        <f>IF('RFQ-Input'!D422="","",'RFQ-Input'!D422)</f>
        <v/>
      </c>
      <c r="E423" s="7" t="str">
        <f>IF('RFQ-Input'!E422="","",'RFQ-Input'!E422)</f>
        <v/>
      </c>
      <c r="F423" s="7" t="str">
        <f>IF('RFQ-Input'!F422="","",'RFQ-Input'!F422)</f>
        <v/>
      </c>
      <c r="G423" s="7" t="str">
        <f>IF('RFQ-Input'!G422="","",'RFQ-Input'!G422)</f>
        <v/>
      </c>
      <c r="H423" s="7" t="str">
        <f>IF('RFQ-Input'!H422="","",'RFQ-Input'!H422)</f>
        <v/>
      </c>
      <c r="I423" s="7" t="str">
        <f>IF('RFQ-Input'!I422="","",'RFQ-Input'!I422)</f>
        <v/>
      </c>
      <c r="J423" s="7" t="str">
        <f>IF('RFQ-Input'!J422="","",'RFQ-Input'!J422)</f>
        <v/>
      </c>
      <c r="K423" s="7" t="str">
        <f>IF('RFQ-Input'!K422="","",'RFQ-Input'!K422)</f>
        <v/>
      </c>
      <c r="L423" s="7" t="str">
        <f>IF('RFQ-Input'!L422="","",'RFQ-Input'!L422)</f>
        <v/>
      </c>
      <c r="M423" s="7" t="str">
        <f>IF('RFQ-Input'!M422="","",'RFQ-Input'!M422)</f>
        <v/>
      </c>
      <c r="N423" s="7" t="str">
        <f>IF('RFQ-Input'!N422="","",'RFQ-Input'!N422)</f>
        <v/>
      </c>
      <c r="O423" s="7" t="str">
        <f>IF('RFQ-Input'!O422="","",'RFQ-Input'!O422)</f>
        <v/>
      </c>
      <c r="Q423" s="7"/>
      <c r="R423" s="7"/>
      <c r="S423" s="7"/>
      <c r="T423" s="7"/>
      <c r="U423" s="7"/>
      <c r="V423" s="7"/>
      <c r="X423" s="7"/>
      <c r="Y423" s="7"/>
      <c r="Z423" s="7"/>
      <c r="AA423" s="7" t="str">
        <f t="shared" si="42"/>
        <v/>
      </c>
      <c r="AB423" s="7"/>
      <c r="AC423" s="7"/>
      <c r="AQ423" s="7" t="str">
        <f t="shared" si="43"/>
        <v/>
      </c>
      <c r="AR423" s="7" t="str">
        <f t="shared" si="44"/>
        <v/>
      </c>
      <c r="AS423" s="7" t="str">
        <f t="shared" si="45"/>
        <v/>
      </c>
      <c r="AT423" s="7" t="str">
        <f t="shared" si="46"/>
        <v/>
      </c>
      <c r="AU423" s="7" t="str">
        <f t="shared" si="47"/>
        <v/>
      </c>
      <c r="AV423" s="7" t="str">
        <f t="shared" si="48"/>
        <v/>
      </c>
      <c r="AW423" s="7" t="str">
        <f>IF('RFQ-Input'!O422="","",'RFQ-Input'!O422)</f>
        <v/>
      </c>
      <c r="AX423" s="7" t="str">
        <f>IF('RFQ-Input'!S422="","",'RFQ-Input'!S422)</f>
        <v/>
      </c>
      <c r="AY423" s="7" t="str">
        <f>IF('RFQ-Input'!V422="","",'RFQ-Input'!V422)</f>
        <v/>
      </c>
      <c r="AZ423" s="7" t="str">
        <f>IF('RFQ-Input'!Y422="","",'RFQ-Input'!Y422)</f>
        <v/>
      </c>
      <c r="BA423" s="7" t="str">
        <f>IF('RFQ-Input'!AB422="","",'RFQ-Input'!AB422)</f>
        <v/>
      </c>
    </row>
    <row r="424" spans="1:53">
      <c r="A424" s="20">
        <v>420</v>
      </c>
      <c r="B424" s="7"/>
      <c r="C424" s="7" t="str">
        <f>IF('RFQ-Input'!C423="","",'RFQ-Input'!C423)</f>
        <v/>
      </c>
      <c r="D424" s="7" t="str">
        <f>IF('RFQ-Input'!D423="","",'RFQ-Input'!D423)</f>
        <v/>
      </c>
      <c r="E424" s="7" t="str">
        <f>IF('RFQ-Input'!E423="","",'RFQ-Input'!E423)</f>
        <v/>
      </c>
      <c r="F424" s="7" t="str">
        <f>IF('RFQ-Input'!F423="","",'RFQ-Input'!F423)</f>
        <v/>
      </c>
      <c r="G424" s="7" t="str">
        <f>IF('RFQ-Input'!G423="","",'RFQ-Input'!G423)</f>
        <v/>
      </c>
      <c r="H424" s="7" t="str">
        <f>IF('RFQ-Input'!H423="","",'RFQ-Input'!H423)</f>
        <v/>
      </c>
      <c r="I424" s="7" t="str">
        <f>IF('RFQ-Input'!I423="","",'RFQ-Input'!I423)</f>
        <v/>
      </c>
      <c r="J424" s="7" t="str">
        <f>IF('RFQ-Input'!J423="","",'RFQ-Input'!J423)</f>
        <v/>
      </c>
      <c r="K424" s="7" t="str">
        <f>IF('RFQ-Input'!K423="","",'RFQ-Input'!K423)</f>
        <v/>
      </c>
      <c r="L424" s="7" t="str">
        <f>IF('RFQ-Input'!L423="","",'RFQ-Input'!L423)</f>
        <v/>
      </c>
      <c r="M424" s="7" t="str">
        <f>IF('RFQ-Input'!M423="","",'RFQ-Input'!M423)</f>
        <v/>
      </c>
      <c r="N424" s="7" t="str">
        <f>IF('RFQ-Input'!N423="","",'RFQ-Input'!N423)</f>
        <v/>
      </c>
      <c r="O424" s="7" t="str">
        <f>IF('RFQ-Input'!O423="","",'RFQ-Input'!O423)</f>
        <v/>
      </c>
      <c r="Q424" s="7"/>
      <c r="R424" s="7"/>
      <c r="S424" s="7"/>
      <c r="T424" s="7"/>
      <c r="U424" s="7"/>
      <c r="V424" s="7"/>
      <c r="X424" s="7"/>
      <c r="Y424" s="7"/>
      <c r="Z424" s="7"/>
      <c r="AA424" s="7" t="str">
        <f t="shared" si="42"/>
        <v/>
      </c>
      <c r="AB424" s="7"/>
      <c r="AC424" s="7"/>
      <c r="AQ424" s="7" t="str">
        <f t="shared" si="43"/>
        <v/>
      </c>
      <c r="AR424" s="7" t="str">
        <f t="shared" si="44"/>
        <v/>
      </c>
      <c r="AS424" s="7" t="str">
        <f t="shared" si="45"/>
        <v/>
      </c>
      <c r="AT424" s="7" t="str">
        <f t="shared" si="46"/>
        <v/>
      </c>
      <c r="AU424" s="7" t="str">
        <f t="shared" si="47"/>
        <v/>
      </c>
      <c r="AV424" s="7" t="str">
        <f t="shared" si="48"/>
        <v/>
      </c>
      <c r="AW424" s="7" t="str">
        <f>IF('RFQ-Input'!O423="","",'RFQ-Input'!O423)</f>
        <v/>
      </c>
      <c r="AX424" s="7" t="str">
        <f>IF('RFQ-Input'!S423="","",'RFQ-Input'!S423)</f>
        <v/>
      </c>
      <c r="AY424" s="7" t="str">
        <f>IF('RFQ-Input'!V423="","",'RFQ-Input'!V423)</f>
        <v/>
      </c>
      <c r="AZ424" s="7" t="str">
        <f>IF('RFQ-Input'!Y423="","",'RFQ-Input'!Y423)</f>
        <v/>
      </c>
      <c r="BA424" s="7" t="str">
        <f>IF('RFQ-Input'!AB423="","",'RFQ-Input'!AB423)</f>
        <v/>
      </c>
    </row>
    <row r="425" spans="1:53">
      <c r="A425" s="20">
        <v>421</v>
      </c>
      <c r="B425" s="7"/>
      <c r="C425" s="7" t="str">
        <f>IF('RFQ-Input'!C424="","",'RFQ-Input'!C424)</f>
        <v/>
      </c>
      <c r="D425" s="7" t="str">
        <f>IF('RFQ-Input'!D424="","",'RFQ-Input'!D424)</f>
        <v/>
      </c>
      <c r="E425" s="7" t="str">
        <f>IF('RFQ-Input'!E424="","",'RFQ-Input'!E424)</f>
        <v/>
      </c>
      <c r="F425" s="7" t="str">
        <f>IF('RFQ-Input'!F424="","",'RFQ-Input'!F424)</f>
        <v/>
      </c>
      <c r="G425" s="7" t="str">
        <f>IF('RFQ-Input'!G424="","",'RFQ-Input'!G424)</f>
        <v/>
      </c>
      <c r="H425" s="7" t="str">
        <f>IF('RFQ-Input'!H424="","",'RFQ-Input'!H424)</f>
        <v/>
      </c>
      <c r="I425" s="7" t="str">
        <f>IF('RFQ-Input'!I424="","",'RFQ-Input'!I424)</f>
        <v/>
      </c>
      <c r="J425" s="7" t="str">
        <f>IF('RFQ-Input'!J424="","",'RFQ-Input'!J424)</f>
        <v/>
      </c>
      <c r="K425" s="7" t="str">
        <f>IF('RFQ-Input'!K424="","",'RFQ-Input'!K424)</f>
        <v/>
      </c>
      <c r="L425" s="7" t="str">
        <f>IF('RFQ-Input'!L424="","",'RFQ-Input'!L424)</f>
        <v/>
      </c>
      <c r="M425" s="7" t="str">
        <f>IF('RFQ-Input'!M424="","",'RFQ-Input'!M424)</f>
        <v/>
      </c>
      <c r="N425" s="7" t="str">
        <f>IF('RFQ-Input'!N424="","",'RFQ-Input'!N424)</f>
        <v/>
      </c>
      <c r="O425" s="7" t="str">
        <f>IF('RFQ-Input'!O424="","",'RFQ-Input'!O424)</f>
        <v/>
      </c>
      <c r="Q425" s="7"/>
      <c r="R425" s="7"/>
      <c r="S425" s="7"/>
      <c r="T425" s="7"/>
      <c r="U425" s="7"/>
      <c r="V425" s="7"/>
      <c r="X425" s="7"/>
      <c r="Y425" s="7"/>
      <c r="Z425" s="7"/>
      <c r="AA425" s="7" t="str">
        <f t="shared" si="42"/>
        <v/>
      </c>
      <c r="AB425" s="7"/>
      <c r="AC425" s="7"/>
      <c r="AQ425" s="7" t="str">
        <f t="shared" si="43"/>
        <v/>
      </c>
      <c r="AR425" s="7" t="str">
        <f t="shared" si="44"/>
        <v/>
      </c>
      <c r="AS425" s="7" t="str">
        <f t="shared" si="45"/>
        <v/>
      </c>
      <c r="AT425" s="7" t="str">
        <f t="shared" si="46"/>
        <v/>
      </c>
      <c r="AU425" s="7" t="str">
        <f t="shared" si="47"/>
        <v/>
      </c>
      <c r="AV425" s="7" t="str">
        <f t="shared" si="48"/>
        <v/>
      </c>
      <c r="AW425" s="7" t="str">
        <f>IF('RFQ-Input'!O424="","",'RFQ-Input'!O424)</f>
        <v/>
      </c>
      <c r="AX425" s="7" t="str">
        <f>IF('RFQ-Input'!S424="","",'RFQ-Input'!S424)</f>
        <v/>
      </c>
      <c r="AY425" s="7" t="str">
        <f>IF('RFQ-Input'!V424="","",'RFQ-Input'!V424)</f>
        <v/>
      </c>
      <c r="AZ425" s="7" t="str">
        <f>IF('RFQ-Input'!Y424="","",'RFQ-Input'!Y424)</f>
        <v/>
      </c>
      <c r="BA425" s="7" t="str">
        <f>IF('RFQ-Input'!AB424="","",'RFQ-Input'!AB424)</f>
        <v/>
      </c>
    </row>
    <row r="426" spans="1:53">
      <c r="A426" s="20">
        <v>422</v>
      </c>
      <c r="B426" s="7"/>
      <c r="C426" s="7" t="str">
        <f>IF('RFQ-Input'!C425="","",'RFQ-Input'!C425)</f>
        <v/>
      </c>
      <c r="D426" s="7" t="str">
        <f>IF('RFQ-Input'!D425="","",'RFQ-Input'!D425)</f>
        <v/>
      </c>
      <c r="E426" s="7" t="str">
        <f>IF('RFQ-Input'!E425="","",'RFQ-Input'!E425)</f>
        <v/>
      </c>
      <c r="F426" s="7" t="str">
        <f>IF('RFQ-Input'!F425="","",'RFQ-Input'!F425)</f>
        <v/>
      </c>
      <c r="G426" s="7" t="str">
        <f>IF('RFQ-Input'!G425="","",'RFQ-Input'!G425)</f>
        <v/>
      </c>
      <c r="H426" s="7" t="str">
        <f>IF('RFQ-Input'!H425="","",'RFQ-Input'!H425)</f>
        <v/>
      </c>
      <c r="I426" s="7" t="str">
        <f>IF('RFQ-Input'!I425="","",'RFQ-Input'!I425)</f>
        <v/>
      </c>
      <c r="J426" s="7" t="str">
        <f>IF('RFQ-Input'!J425="","",'RFQ-Input'!J425)</f>
        <v/>
      </c>
      <c r="K426" s="7" t="str">
        <f>IF('RFQ-Input'!K425="","",'RFQ-Input'!K425)</f>
        <v/>
      </c>
      <c r="L426" s="7" t="str">
        <f>IF('RFQ-Input'!L425="","",'RFQ-Input'!L425)</f>
        <v/>
      </c>
      <c r="M426" s="7" t="str">
        <f>IF('RFQ-Input'!M425="","",'RFQ-Input'!M425)</f>
        <v/>
      </c>
      <c r="N426" s="7" t="str">
        <f>IF('RFQ-Input'!N425="","",'RFQ-Input'!N425)</f>
        <v/>
      </c>
      <c r="O426" s="7" t="str">
        <f>IF('RFQ-Input'!O425="","",'RFQ-Input'!O425)</f>
        <v/>
      </c>
      <c r="Q426" s="7"/>
      <c r="R426" s="7"/>
      <c r="S426" s="7"/>
      <c r="T426" s="7"/>
      <c r="U426" s="7"/>
      <c r="V426" s="7"/>
      <c r="X426" s="7"/>
      <c r="Y426" s="7"/>
      <c r="Z426" s="7"/>
      <c r="AA426" s="7" t="str">
        <f t="shared" si="42"/>
        <v/>
      </c>
      <c r="AB426" s="7"/>
      <c r="AC426" s="7"/>
      <c r="AQ426" s="7" t="str">
        <f t="shared" si="43"/>
        <v/>
      </c>
      <c r="AR426" s="7" t="str">
        <f t="shared" si="44"/>
        <v/>
      </c>
      <c r="AS426" s="7" t="str">
        <f t="shared" si="45"/>
        <v/>
      </c>
      <c r="AT426" s="7" t="str">
        <f t="shared" si="46"/>
        <v/>
      </c>
      <c r="AU426" s="7" t="str">
        <f t="shared" si="47"/>
        <v/>
      </c>
      <c r="AV426" s="7" t="str">
        <f t="shared" si="48"/>
        <v/>
      </c>
      <c r="AW426" s="7" t="str">
        <f>IF('RFQ-Input'!O425="","",'RFQ-Input'!O425)</f>
        <v/>
      </c>
      <c r="AX426" s="7" t="str">
        <f>IF('RFQ-Input'!S425="","",'RFQ-Input'!S425)</f>
        <v/>
      </c>
      <c r="AY426" s="7" t="str">
        <f>IF('RFQ-Input'!V425="","",'RFQ-Input'!V425)</f>
        <v/>
      </c>
      <c r="AZ426" s="7" t="str">
        <f>IF('RFQ-Input'!Y425="","",'RFQ-Input'!Y425)</f>
        <v/>
      </c>
      <c r="BA426" s="7" t="str">
        <f>IF('RFQ-Input'!AB425="","",'RFQ-Input'!AB425)</f>
        <v/>
      </c>
    </row>
    <row r="427" spans="1:53">
      <c r="A427" s="20">
        <v>423</v>
      </c>
      <c r="B427" s="7"/>
      <c r="C427" s="7" t="str">
        <f>IF('RFQ-Input'!C426="","",'RFQ-Input'!C426)</f>
        <v/>
      </c>
      <c r="D427" s="7" t="str">
        <f>IF('RFQ-Input'!D426="","",'RFQ-Input'!D426)</f>
        <v/>
      </c>
      <c r="E427" s="7" t="str">
        <f>IF('RFQ-Input'!E426="","",'RFQ-Input'!E426)</f>
        <v/>
      </c>
      <c r="F427" s="7" t="str">
        <f>IF('RFQ-Input'!F426="","",'RFQ-Input'!F426)</f>
        <v/>
      </c>
      <c r="G427" s="7" t="str">
        <f>IF('RFQ-Input'!G426="","",'RFQ-Input'!G426)</f>
        <v/>
      </c>
      <c r="H427" s="7" t="str">
        <f>IF('RFQ-Input'!H426="","",'RFQ-Input'!H426)</f>
        <v/>
      </c>
      <c r="I427" s="7" t="str">
        <f>IF('RFQ-Input'!I426="","",'RFQ-Input'!I426)</f>
        <v/>
      </c>
      <c r="J427" s="7" t="str">
        <f>IF('RFQ-Input'!J426="","",'RFQ-Input'!J426)</f>
        <v/>
      </c>
      <c r="K427" s="7" t="str">
        <f>IF('RFQ-Input'!K426="","",'RFQ-Input'!K426)</f>
        <v/>
      </c>
      <c r="L427" s="7" t="str">
        <f>IF('RFQ-Input'!L426="","",'RFQ-Input'!L426)</f>
        <v/>
      </c>
      <c r="M427" s="7" t="str">
        <f>IF('RFQ-Input'!M426="","",'RFQ-Input'!M426)</f>
        <v/>
      </c>
      <c r="N427" s="7" t="str">
        <f>IF('RFQ-Input'!N426="","",'RFQ-Input'!N426)</f>
        <v/>
      </c>
      <c r="O427" s="7" t="str">
        <f>IF('RFQ-Input'!O426="","",'RFQ-Input'!O426)</f>
        <v/>
      </c>
      <c r="Q427" s="7"/>
      <c r="R427" s="7"/>
      <c r="S427" s="7"/>
      <c r="T427" s="7"/>
      <c r="U427" s="7"/>
      <c r="V427" s="7"/>
      <c r="X427" s="7"/>
      <c r="Y427" s="7"/>
      <c r="Z427" s="7"/>
      <c r="AA427" s="7" t="str">
        <f t="shared" si="42"/>
        <v/>
      </c>
      <c r="AB427" s="7"/>
      <c r="AC427" s="7"/>
      <c r="AQ427" s="7" t="str">
        <f t="shared" si="43"/>
        <v/>
      </c>
      <c r="AR427" s="7" t="str">
        <f t="shared" si="44"/>
        <v/>
      </c>
      <c r="AS427" s="7" t="str">
        <f t="shared" si="45"/>
        <v/>
      </c>
      <c r="AT427" s="7" t="str">
        <f t="shared" si="46"/>
        <v/>
      </c>
      <c r="AU427" s="7" t="str">
        <f t="shared" si="47"/>
        <v/>
      </c>
      <c r="AV427" s="7" t="str">
        <f t="shared" si="48"/>
        <v/>
      </c>
      <c r="AW427" s="7" t="str">
        <f>IF('RFQ-Input'!O426="","",'RFQ-Input'!O426)</f>
        <v/>
      </c>
      <c r="AX427" s="7" t="str">
        <f>IF('RFQ-Input'!S426="","",'RFQ-Input'!S426)</f>
        <v/>
      </c>
      <c r="AY427" s="7" t="str">
        <f>IF('RFQ-Input'!V426="","",'RFQ-Input'!V426)</f>
        <v/>
      </c>
      <c r="AZ427" s="7" t="str">
        <f>IF('RFQ-Input'!Y426="","",'RFQ-Input'!Y426)</f>
        <v/>
      </c>
      <c r="BA427" s="7" t="str">
        <f>IF('RFQ-Input'!AB426="","",'RFQ-Input'!AB426)</f>
        <v/>
      </c>
    </row>
    <row r="428" spans="1:53">
      <c r="A428" s="20">
        <v>424</v>
      </c>
      <c r="B428" s="7"/>
      <c r="C428" s="7" t="str">
        <f>IF('RFQ-Input'!C427="","",'RFQ-Input'!C427)</f>
        <v/>
      </c>
      <c r="D428" s="7" t="str">
        <f>IF('RFQ-Input'!D427="","",'RFQ-Input'!D427)</f>
        <v/>
      </c>
      <c r="E428" s="7" t="str">
        <f>IF('RFQ-Input'!E427="","",'RFQ-Input'!E427)</f>
        <v/>
      </c>
      <c r="F428" s="7" t="str">
        <f>IF('RFQ-Input'!F427="","",'RFQ-Input'!F427)</f>
        <v/>
      </c>
      <c r="G428" s="7" t="str">
        <f>IF('RFQ-Input'!G427="","",'RFQ-Input'!G427)</f>
        <v/>
      </c>
      <c r="H428" s="7" t="str">
        <f>IF('RFQ-Input'!H427="","",'RFQ-Input'!H427)</f>
        <v/>
      </c>
      <c r="I428" s="7" t="str">
        <f>IF('RFQ-Input'!I427="","",'RFQ-Input'!I427)</f>
        <v/>
      </c>
      <c r="J428" s="7" t="str">
        <f>IF('RFQ-Input'!J427="","",'RFQ-Input'!J427)</f>
        <v/>
      </c>
      <c r="K428" s="7" t="str">
        <f>IF('RFQ-Input'!K427="","",'RFQ-Input'!K427)</f>
        <v/>
      </c>
      <c r="L428" s="7" t="str">
        <f>IF('RFQ-Input'!L427="","",'RFQ-Input'!L427)</f>
        <v/>
      </c>
      <c r="M428" s="7" t="str">
        <f>IF('RFQ-Input'!M427="","",'RFQ-Input'!M427)</f>
        <v/>
      </c>
      <c r="N428" s="7" t="str">
        <f>IF('RFQ-Input'!N427="","",'RFQ-Input'!N427)</f>
        <v/>
      </c>
      <c r="O428" s="7" t="str">
        <f>IF('RFQ-Input'!O427="","",'RFQ-Input'!O427)</f>
        <v/>
      </c>
      <c r="Q428" s="7"/>
      <c r="R428" s="7"/>
      <c r="S428" s="7"/>
      <c r="T428" s="7"/>
      <c r="U428" s="7"/>
      <c r="V428" s="7"/>
      <c r="X428" s="7"/>
      <c r="Y428" s="7"/>
      <c r="Z428" s="7"/>
      <c r="AA428" s="7" t="str">
        <f t="shared" si="42"/>
        <v/>
      </c>
      <c r="AB428" s="7"/>
      <c r="AC428" s="7"/>
      <c r="AQ428" s="7" t="str">
        <f t="shared" si="43"/>
        <v/>
      </c>
      <c r="AR428" s="7" t="str">
        <f t="shared" si="44"/>
        <v/>
      </c>
      <c r="AS428" s="7" t="str">
        <f t="shared" si="45"/>
        <v/>
      </c>
      <c r="AT428" s="7" t="str">
        <f t="shared" si="46"/>
        <v/>
      </c>
      <c r="AU428" s="7" t="str">
        <f t="shared" si="47"/>
        <v/>
      </c>
      <c r="AV428" s="7" t="str">
        <f t="shared" si="48"/>
        <v/>
      </c>
      <c r="AW428" s="7" t="str">
        <f>IF('RFQ-Input'!O427="","",'RFQ-Input'!O427)</f>
        <v/>
      </c>
      <c r="AX428" s="7" t="str">
        <f>IF('RFQ-Input'!S427="","",'RFQ-Input'!S427)</f>
        <v/>
      </c>
      <c r="AY428" s="7" t="str">
        <f>IF('RFQ-Input'!V427="","",'RFQ-Input'!V427)</f>
        <v/>
      </c>
      <c r="AZ428" s="7" t="str">
        <f>IF('RFQ-Input'!Y427="","",'RFQ-Input'!Y427)</f>
        <v/>
      </c>
      <c r="BA428" s="7" t="str">
        <f>IF('RFQ-Input'!AB427="","",'RFQ-Input'!AB427)</f>
        <v/>
      </c>
    </row>
    <row r="429" spans="1:53">
      <c r="A429" s="20">
        <v>425</v>
      </c>
      <c r="B429" s="7"/>
      <c r="C429" s="7" t="str">
        <f>IF('RFQ-Input'!C428="","",'RFQ-Input'!C428)</f>
        <v/>
      </c>
      <c r="D429" s="7" t="str">
        <f>IF('RFQ-Input'!D428="","",'RFQ-Input'!D428)</f>
        <v/>
      </c>
      <c r="E429" s="7" t="str">
        <f>IF('RFQ-Input'!E428="","",'RFQ-Input'!E428)</f>
        <v/>
      </c>
      <c r="F429" s="7" t="str">
        <f>IF('RFQ-Input'!F428="","",'RFQ-Input'!F428)</f>
        <v/>
      </c>
      <c r="G429" s="7" t="str">
        <f>IF('RFQ-Input'!G428="","",'RFQ-Input'!G428)</f>
        <v/>
      </c>
      <c r="H429" s="7" t="str">
        <f>IF('RFQ-Input'!H428="","",'RFQ-Input'!H428)</f>
        <v/>
      </c>
      <c r="I429" s="7" t="str">
        <f>IF('RFQ-Input'!I428="","",'RFQ-Input'!I428)</f>
        <v/>
      </c>
      <c r="J429" s="7" t="str">
        <f>IF('RFQ-Input'!J428="","",'RFQ-Input'!J428)</f>
        <v/>
      </c>
      <c r="K429" s="7" t="str">
        <f>IF('RFQ-Input'!K428="","",'RFQ-Input'!K428)</f>
        <v/>
      </c>
      <c r="L429" s="7" t="str">
        <f>IF('RFQ-Input'!L428="","",'RFQ-Input'!L428)</f>
        <v/>
      </c>
      <c r="M429" s="7" t="str">
        <f>IF('RFQ-Input'!M428="","",'RFQ-Input'!M428)</f>
        <v/>
      </c>
      <c r="N429" s="7" t="str">
        <f>IF('RFQ-Input'!N428="","",'RFQ-Input'!N428)</f>
        <v/>
      </c>
      <c r="O429" s="7" t="str">
        <f>IF('RFQ-Input'!O428="","",'RFQ-Input'!O428)</f>
        <v/>
      </c>
      <c r="Q429" s="7"/>
      <c r="R429" s="7"/>
      <c r="S429" s="7"/>
      <c r="T429" s="7"/>
      <c r="U429" s="7"/>
      <c r="V429" s="7"/>
      <c r="X429" s="7"/>
      <c r="Y429" s="7"/>
      <c r="Z429" s="7"/>
      <c r="AA429" s="7" t="str">
        <f t="shared" si="42"/>
        <v/>
      </c>
      <c r="AB429" s="7"/>
      <c r="AC429" s="7"/>
      <c r="AQ429" s="7" t="str">
        <f t="shared" si="43"/>
        <v/>
      </c>
      <c r="AR429" s="7" t="str">
        <f t="shared" si="44"/>
        <v/>
      </c>
      <c r="AS429" s="7" t="str">
        <f t="shared" si="45"/>
        <v/>
      </c>
      <c r="AT429" s="7" t="str">
        <f t="shared" si="46"/>
        <v/>
      </c>
      <c r="AU429" s="7" t="str">
        <f t="shared" si="47"/>
        <v/>
      </c>
      <c r="AV429" s="7" t="str">
        <f t="shared" si="48"/>
        <v/>
      </c>
      <c r="AW429" s="7" t="str">
        <f>IF('RFQ-Input'!O428="","",'RFQ-Input'!O428)</f>
        <v/>
      </c>
      <c r="AX429" s="7" t="str">
        <f>IF('RFQ-Input'!S428="","",'RFQ-Input'!S428)</f>
        <v/>
      </c>
      <c r="AY429" s="7" t="str">
        <f>IF('RFQ-Input'!V428="","",'RFQ-Input'!V428)</f>
        <v/>
      </c>
      <c r="AZ429" s="7" t="str">
        <f>IF('RFQ-Input'!Y428="","",'RFQ-Input'!Y428)</f>
        <v/>
      </c>
      <c r="BA429" s="7" t="str">
        <f>IF('RFQ-Input'!AB428="","",'RFQ-Input'!AB428)</f>
        <v/>
      </c>
    </row>
    <row r="430" spans="1:53">
      <c r="A430" s="20">
        <v>426</v>
      </c>
      <c r="B430" s="7"/>
      <c r="C430" s="7" t="str">
        <f>IF('RFQ-Input'!C429="","",'RFQ-Input'!C429)</f>
        <v/>
      </c>
      <c r="D430" s="7" t="str">
        <f>IF('RFQ-Input'!D429="","",'RFQ-Input'!D429)</f>
        <v/>
      </c>
      <c r="E430" s="7" t="str">
        <f>IF('RFQ-Input'!E429="","",'RFQ-Input'!E429)</f>
        <v/>
      </c>
      <c r="F430" s="7" t="str">
        <f>IF('RFQ-Input'!F429="","",'RFQ-Input'!F429)</f>
        <v/>
      </c>
      <c r="G430" s="7" t="str">
        <f>IF('RFQ-Input'!G429="","",'RFQ-Input'!G429)</f>
        <v/>
      </c>
      <c r="H430" s="7" t="str">
        <f>IF('RFQ-Input'!H429="","",'RFQ-Input'!H429)</f>
        <v/>
      </c>
      <c r="I430" s="7" t="str">
        <f>IF('RFQ-Input'!I429="","",'RFQ-Input'!I429)</f>
        <v/>
      </c>
      <c r="J430" s="7" t="str">
        <f>IF('RFQ-Input'!J429="","",'RFQ-Input'!J429)</f>
        <v/>
      </c>
      <c r="K430" s="7" t="str">
        <f>IF('RFQ-Input'!K429="","",'RFQ-Input'!K429)</f>
        <v/>
      </c>
      <c r="L430" s="7" t="str">
        <f>IF('RFQ-Input'!L429="","",'RFQ-Input'!L429)</f>
        <v/>
      </c>
      <c r="M430" s="7" t="str">
        <f>IF('RFQ-Input'!M429="","",'RFQ-Input'!M429)</f>
        <v/>
      </c>
      <c r="N430" s="7" t="str">
        <f>IF('RFQ-Input'!N429="","",'RFQ-Input'!N429)</f>
        <v/>
      </c>
      <c r="O430" s="7" t="str">
        <f>IF('RFQ-Input'!O429="","",'RFQ-Input'!O429)</f>
        <v/>
      </c>
      <c r="Q430" s="7"/>
      <c r="R430" s="7"/>
      <c r="S430" s="7"/>
      <c r="T430" s="7"/>
      <c r="U430" s="7"/>
      <c r="V430" s="7"/>
      <c r="X430" s="7"/>
      <c r="Y430" s="7"/>
      <c r="Z430" s="7"/>
      <c r="AA430" s="7" t="str">
        <f t="shared" si="42"/>
        <v/>
      </c>
      <c r="AB430" s="7"/>
      <c r="AC430" s="7"/>
      <c r="AQ430" s="7" t="str">
        <f t="shared" si="43"/>
        <v/>
      </c>
      <c r="AR430" s="7" t="str">
        <f t="shared" si="44"/>
        <v/>
      </c>
      <c r="AS430" s="7" t="str">
        <f t="shared" si="45"/>
        <v/>
      </c>
      <c r="AT430" s="7" t="str">
        <f t="shared" si="46"/>
        <v/>
      </c>
      <c r="AU430" s="7" t="str">
        <f t="shared" si="47"/>
        <v/>
      </c>
      <c r="AV430" s="7" t="str">
        <f t="shared" si="48"/>
        <v/>
      </c>
      <c r="AW430" s="7" t="str">
        <f>IF('RFQ-Input'!O429="","",'RFQ-Input'!O429)</f>
        <v/>
      </c>
      <c r="AX430" s="7" t="str">
        <f>IF('RFQ-Input'!S429="","",'RFQ-Input'!S429)</f>
        <v/>
      </c>
      <c r="AY430" s="7" t="str">
        <f>IF('RFQ-Input'!V429="","",'RFQ-Input'!V429)</f>
        <v/>
      </c>
      <c r="AZ430" s="7" t="str">
        <f>IF('RFQ-Input'!Y429="","",'RFQ-Input'!Y429)</f>
        <v/>
      </c>
      <c r="BA430" s="7" t="str">
        <f>IF('RFQ-Input'!AB429="","",'RFQ-Input'!AB429)</f>
        <v/>
      </c>
    </row>
    <row r="431" spans="1:53">
      <c r="A431" s="20">
        <v>427</v>
      </c>
      <c r="B431" s="7"/>
      <c r="C431" s="7" t="str">
        <f>IF('RFQ-Input'!C430="","",'RFQ-Input'!C430)</f>
        <v/>
      </c>
      <c r="D431" s="7" t="str">
        <f>IF('RFQ-Input'!D430="","",'RFQ-Input'!D430)</f>
        <v/>
      </c>
      <c r="E431" s="7" t="str">
        <f>IF('RFQ-Input'!E430="","",'RFQ-Input'!E430)</f>
        <v/>
      </c>
      <c r="F431" s="7" t="str">
        <f>IF('RFQ-Input'!F430="","",'RFQ-Input'!F430)</f>
        <v/>
      </c>
      <c r="G431" s="7" t="str">
        <f>IF('RFQ-Input'!G430="","",'RFQ-Input'!G430)</f>
        <v/>
      </c>
      <c r="H431" s="7" t="str">
        <f>IF('RFQ-Input'!H430="","",'RFQ-Input'!H430)</f>
        <v/>
      </c>
      <c r="I431" s="7" t="str">
        <f>IF('RFQ-Input'!I430="","",'RFQ-Input'!I430)</f>
        <v/>
      </c>
      <c r="J431" s="7" t="str">
        <f>IF('RFQ-Input'!J430="","",'RFQ-Input'!J430)</f>
        <v/>
      </c>
      <c r="K431" s="7" t="str">
        <f>IF('RFQ-Input'!K430="","",'RFQ-Input'!K430)</f>
        <v/>
      </c>
      <c r="L431" s="7" t="str">
        <f>IF('RFQ-Input'!L430="","",'RFQ-Input'!L430)</f>
        <v/>
      </c>
      <c r="M431" s="7" t="str">
        <f>IF('RFQ-Input'!M430="","",'RFQ-Input'!M430)</f>
        <v/>
      </c>
      <c r="N431" s="7" t="str">
        <f>IF('RFQ-Input'!N430="","",'RFQ-Input'!N430)</f>
        <v/>
      </c>
      <c r="O431" s="7" t="str">
        <f>IF('RFQ-Input'!O430="","",'RFQ-Input'!O430)</f>
        <v/>
      </c>
      <c r="Q431" s="7"/>
      <c r="R431" s="7"/>
      <c r="S431" s="7"/>
      <c r="T431" s="7"/>
      <c r="U431" s="7"/>
      <c r="V431" s="7"/>
      <c r="X431" s="7"/>
      <c r="Y431" s="7"/>
      <c r="Z431" s="7"/>
      <c r="AA431" s="7" t="str">
        <f t="shared" si="42"/>
        <v/>
      </c>
      <c r="AB431" s="7"/>
      <c r="AC431" s="7"/>
      <c r="AQ431" s="7" t="str">
        <f t="shared" si="43"/>
        <v/>
      </c>
      <c r="AR431" s="7" t="str">
        <f t="shared" si="44"/>
        <v/>
      </c>
      <c r="AS431" s="7" t="str">
        <f t="shared" si="45"/>
        <v/>
      </c>
      <c r="AT431" s="7" t="str">
        <f t="shared" si="46"/>
        <v/>
      </c>
      <c r="AU431" s="7" t="str">
        <f t="shared" si="47"/>
        <v/>
      </c>
      <c r="AV431" s="7" t="str">
        <f t="shared" si="48"/>
        <v/>
      </c>
      <c r="AW431" s="7" t="str">
        <f>IF('RFQ-Input'!O430="","",'RFQ-Input'!O430)</f>
        <v/>
      </c>
      <c r="AX431" s="7" t="str">
        <f>IF('RFQ-Input'!S430="","",'RFQ-Input'!S430)</f>
        <v/>
      </c>
      <c r="AY431" s="7" t="str">
        <f>IF('RFQ-Input'!V430="","",'RFQ-Input'!V430)</f>
        <v/>
      </c>
      <c r="AZ431" s="7" t="str">
        <f>IF('RFQ-Input'!Y430="","",'RFQ-Input'!Y430)</f>
        <v/>
      </c>
      <c r="BA431" s="7" t="str">
        <f>IF('RFQ-Input'!AB430="","",'RFQ-Input'!AB430)</f>
        <v/>
      </c>
    </row>
    <row r="432" spans="1:53">
      <c r="A432" s="20">
        <v>428</v>
      </c>
      <c r="B432" s="7"/>
      <c r="C432" s="7" t="str">
        <f>IF('RFQ-Input'!C431="","",'RFQ-Input'!C431)</f>
        <v/>
      </c>
      <c r="D432" s="7" t="str">
        <f>IF('RFQ-Input'!D431="","",'RFQ-Input'!D431)</f>
        <v/>
      </c>
      <c r="E432" s="7" t="str">
        <f>IF('RFQ-Input'!E431="","",'RFQ-Input'!E431)</f>
        <v/>
      </c>
      <c r="F432" s="7" t="str">
        <f>IF('RFQ-Input'!F431="","",'RFQ-Input'!F431)</f>
        <v/>
      </c>
      <c r="G432" s="7" t="str">
        <f>IF('RFQ-Input'!G431="","",'RFQ-Input'!G431)</f>
        <v/>
      </c>
      <c r="H432" s="7" t="str">
        <f>IF('RFQ-Input'!H431="","",'RFQ-Input'!H431)</f>
        <v/>
      </c>
      <c r="I432" s="7" t="str">
        <f>IF('RFQ-Input'!I431="","",'RFQ-Input'!I431)</f>
        <v/>
      </c>
      <c r="J432" s="7" t="str">
        <f>IF('RFQ-Input'!J431="","",'RFQ-Input'!J431)</f>
        <v/>
      </c>
      <c r="K432" s="7" t="str">
        <f>IF('RFQ-Input'!K431="","",'RFQ-Input'!K431)</f>
        <v/>
      </c>
      <c r="L432" s="7" t="str">
        <f>IF('RFQ-Input'!L431="","",'RFQ-Input'!L431)</f>
        <v/>
      </c>
      <c r="M432" s="7" t="str">
        <f>IF('RFQ-Input'!M431="","",'RFQ-Input'!M431)</f>
        <v/>
      </c>
      <c r="N432" s="7" t="str">
        <f>IF('RFQ-Input'!N431="","",'RFQ-Input'!N431)</f>
        <v/>
      </c>
      <c r="O432" s="7" t="str">
        <f>IF('RFQ-Input'!O431="","",'RFQ-Input'!O431)</f>
        <v/>
      </c>
      <c r="Q432" s="7"/>
      <c r="R432" s="7"/>
      <c r="S432" s="7"/>
      <c r="T432" s="7"/>
      <c r="U432" s="7"/>
      <c r="V432" s="7"/>
      <c r="X432" s="7"/>
      <c r="Y432" s="7"/>
      <c r="Z432" s="7"/>
      <c r="AA432" s="7" t="str">
        <f t="shared" si="42"/>
        <v/>
      </c>
      <c r="AB432" s="7"/>
      <c r="AC432" s="7"/>
      <c r="AQ432" s="7" t="str">
        <f t="shared" si="43"/>
        <v/>
      </c>
      <c r="AR432" s="7" t="str">
        <f t="shared" si="44"/>
        <v/>
      </c>
      <c r="AS432" s="7" t="str">
        <f t="shared" si="45"/>
        <v/>
      </c>
      <c r="AT432" s="7" t="str">
        <f t="shared" si="46"/>
        <v/>
      </c>
      <c r="AU432" s="7" t="str">
        <f t="shared" si="47"/>
        <v/>
      </c>
      <c r="AV432" s="7" t="str">
        <f t="shared" si="48"/>
        <v/>
      </c>
      <c r="AW432" s="7" t="str">
        <f>IF('RFQ-Input'!O431="","",'RFQ-Input'!O431)</f>
        <v/>
      </c>
      <c r="AX432" s="7" t="str">
        <f>IF('RFQ-Input'!S431="","",'RFQ-Input'!S431)</f>
        <v/>
      </c>
      <c r="AY432" s="7" t="str">
        <f>IF('RFQ-Input'!V431="","",'RFQ-Input'!V431)</f>
        <v/>
      </c>
      <c r="AZ432" s="7" t="str">
        <f>IF('RFQ-Input'!Y431="","",'RFQ-Input'!Y431)</f>
        <v/>
      </c>
      <c r="BA432" s="7" t="str">
        <f>IF('RFQ-Input'!AB431="","",'RFQ-Input'!AB431)</f>
        <v/>
      </c>
    </row>
    <row r="433" spans="1:53">
      <c r="A433" s="20">
        <v>429</v>
      </c>
      <c r="B433" s="7"/>
      <c r="C433" s="7" t="str">
        <f>IF('RFQ-Input'!C432="","",'RFQ-Input'!C432)</f>
        <v/>
      </c>
      <c r="D433" s="7" t="str">
        <f>IF('RFQ-Input'!D432="","",'RFQ-Input'!D432)</f>
        <v/>
      </c>
      <c r="E433" s="7" t="str">
        <f>IF('RFQ-Input'!E432="","",'RFQ-Input'!E432)</f>
        <v/>
      </c>
      <c r="F433" s="7" t="str">
        <f>IF('RFQ-Input'!F432="","",'RFQ-Input'!F432)</f>
        <v/>
      </c>
      <c r="G433" s="7" t="str">
        <f>IF('RFQ-Input'!G432="","",'RFQ-Input'!G432)</f>
        <v/>
      </c>
      <c r="H433" s="7" t="str">
        <f>IF('RFQ-Input'!H432="","",'RFQ-Input'!H432)</f>
        <v/>
      </c>
      <c r="I433" s="7" t="str">
        <f>IF('RFQ-Input'!I432="","",'RFQ-Input'!I432)</f>
        <v/>
      </c>
      <c r="J433" s="7" t="str">
        <f>IF('RFQ-Input'!J432="","",'RFQ-Input'!J432)</f>
        <v/>
      </c>
      <c r="K433" s="7" t="str">
        <f>IF('RFQ-Input'!K432="","",'RFQ-Input'!K432)</f>
        <v/>
      </c>
      <c r="L433" s="7" t="str">
        <f>IF('RFQ-Input'!L432="","",'RFQ-Input'!L432)</f>
        <v/>
      </c>
      <c r="M433" s="7" t="str">
        <f>IF('RFQ-Input'!M432="","",'RFQ-Input'!M432)</f>
        <v/>
      </c>
      <c r="N433" s="7" t="str">
        <f>IF('RFQ-Input'!N432="","",'RFQ-Input'!N432)</f>
        <v/>
      </c>
      <c r="O433" s="7" t="str">
        <f>IF('RFQ-Input'!O432="","",'RFQ-Input'!O432)</f>
        <v/>
      </c>
      <c r="Q433" s="7"/>
      <c r="R433" s="7"/>
      <c r="S433" s="7"/>
      <c r="T433" s="7"/>
      <c r="U433" s="7"/>
      <c r="V433" s="7"/>
      <c r="X433" s="7"/>
      <c r="Y433" s="7"/>
      <c r="Z433" s="7"/>
      <c r="AA433" s="7" t="str">
        <f t="shared" si="42"/>
        <v/>
      </c>
      <c r="AB433" s="7"/>
      <c r="AC433" s="7"/>
      <c r="AQ433" s="7" t="str">
        <f t="shared" si="43"/>
        <v/>
      </c>
      <c r="AR433" s="7" t="str">
        <f t="shared" si="44"/>
        <v/>
      </c>
      <c r="AS433" s="7" t="str">
        <f t="shared" si="45"/>
        <v/>
      </c>
      <c r="AT433" s="7" t="str">
        <f t="shared" si="46"/>
        <v/>
      </c>
      <c r="AU433" s="7" t="str">
        <f t="shared" si="47"/>
        <v/>
      </c>
      <c r="AV433" s="7" t="str">
        <f t="shared" si="48"/>
        <v/>
      </c>
      <c r="AW433" s="7" t="str">
        <f>IF('RFQ-Input'!O432="","",'RFQ-Input'!O432)</f>
        <v/>
      </c>
      <c r="AX433" s="7" t="str">
        <f>IF('RFQ-Input'!S432="","",'RFQ-Input'!S432)</f>
        <v/>
      </c>
      <c r="AY433" s="7" t="str">
        <f>IF('RFQ-Input'!V432="","",'RFQ-Input'!V432)</f>
        <v/>
      </c>
      <c r="AZ433" s="7" t="str">
        <f>IF('RFQ-Input'!Y432="","",'RFQ-Input'!Y432)</f>
        <v/>
      </c>
      <c r="BA433" s="7" t="str">
        <f>IF('RFQ-Input'!AB432="","",'RFQ-Input'!AB432)</f>
        <v/>
      </c>
    </row>
    <row r="434" spans="1:53">
      <c r="A434" s="20">
        <v>430</v>
      </c>
      <c r="B434" s="7"/>
      <c r="C434" s="7" t="str">
        <f>IF('RFQ-Input'!C433="","",'RFQ-Input'!C433)</f>
        <v/>
      </c>
      <c r="D434" s="7" t="str">
        <f>IF('RFQ-Input'!D433="","",'RFQ-Input'!D433)</f>
        <v/>
      </c>
      <c r="E434" s="7" t="str">
        <f>IF('RFQ-Input'!E433="","",'RFQ-Input'!E433)</f>
        <v/>
      </c>
      <c r="F434" s="7" t="str">
        <f>IF('RFQ-Input'!F433="","",'RFQ-Input'!F433)</f>
        <v/>
      </c>
      <c r="G434" s="7" t="str">
        <f>IF('RFQ-Input'!G433="","",'RFQ-Input'!G433)</f>
        <v/>
      </c>
      <c r="H434" s="7" t="str">
        <f>IF('RFQ-Input'!H433="","",'RFQ-Input'!H433)</f>
        <v/>
      </c>
      <c r="I434" s="7" t="str">
        <f>IF('RFQ-Input'!I433="","",'RFQ-Input'!I433)</f>
        <v/>
      </c>
      <c r="J434" s="7" t="str">
        <f>IF('RFQ-Input'!J433="","",'RFQ-Input'!J433)</f>
        <v/>
      </c>
      <c r="K434" s="7" t="str">
        <f>IF('RFQ-Input'!K433="","",'RFQ-Input'!K433)</f>
        <v/>
      </c>
      <c r="L434" s="7" t="str">
        <f>IF('RFQ-Input'!L433="","",'RFQ-Input'!L433)</f>
        <v/>
      </c>
      <c r="M434" s="7" t="str">
        <f>IF('RFQ-Input'!M433="","",'RFQ-Input'!M433)</f>
        <v/>
      </c>
      <c r="N434" s="7" t="str">
        <f>IF('RFQ-Input'!N433="","",'RFQ-Input'!N433)</f>
        <v/>
      </c>
      <c r="O434" s="7" t="str">
        <f>IF('RFQ-Input'!O433="","",'RFQ-Input'!O433)</f>
        <v/>
      </c>
      <c r="Q434" s="7"/>
      <c r="R434" s="7"/>
      <c r="S434" s="7"/>
      <c r="T434" s="7"/>
      <c r="U434" s="7"/>
      <c r="V434" s="7"/>
      <c r="X434" s="7"/>
      <c r="Y434" s="7"/>
      <c r="Z434" s="7"/>
      <c r="AA434" s="7" t="str">
        <f t="shared" si="42"/>
        <v/>
      </c>
      <c r="AB434" s="7"/>
      <c r="AC434" s="7"/>
      <c r="AQ434" s="7" t="str">
        <f t="shared" si="43"/>
        <v/>
      </c>
      <c r="AR434" s="7" t="str">
        <f t="shared" si="44"/>
        <v/>
      </c>
      <c r="AS434" s="7" t="str">
        <f t="shared" si="45"/>
        <v/>
      </c>
      <c r="AT434" s="7" t="str">
        <f t="shared" si="46"/>
        <v/>
      </c>
      <c r="AU434" s="7" t="str">
        <f t="shared" si="47"/>
        <v/>
      </c>
      <c r="AV434" s="7" t="str">
        <f t="shared" si="48"/>
        <v/>
      </c>
      <c r="AW434" s="7" t="str">
        <f>IF('RFQ-Input'!O433="","",'RFQ-Input'!O433)</f>
        <v/>
      </c>
      <c r="AX434" s="7" t="str">
        <f>IF('RFQ-Input'!S433="","",'RFQ-Input'!S433)</f>
        <v/>
      </c>
      <c r="AY434" s="7" t="str">
        <f>IF('RFQ-Input'!V433="","",'RFQ-Input'!V433)</f>
        <v/>
      </c>
      <c r="AZ434" s="7" t="str">
        <f>IF('RFQ-Input'!Y433="","",'RFQ-Input'!Y433)</f>
        <v/>
      </c>
      <c r="BA434" s="7" t="str">
        <f>IF('RFQ-Input'!AB433="","",'RFQ-Input'!AB433)</f>
        <v/>
      </c>
    </row>
    <row r="435" spans="1:53">
      <c r="A435" s="20">
        <v>431</v>
      </c>
      <c r="B435" s="7"/>
      <c r="C435" s="7" t="str">
        <f>IF('RFQ-Input'!C434="","",'RFQ-Input'!C434)</f>
        <v/>
      </c>
      <c r="D435" s="7" t="str">
        <f>IF('RFQ-Input'!D434="","",'RFQ-Input'!D434)</f>
        <v/>
      </c>
      <c r="E435" s="7" t="str">
        <f>IF('RFQ-Input'!E434="","",'RFQ-Input'!E434)</f>
        <v/>
      </c>
      <c r="F435" s="7" t="str">
        <f>IF('RFQ-Input'!F434="","",'RFQ-Input'!F434)</f>
        <v/>
      </c>
      <c r="G435" s="7" t="str">
        <f>IF('RFQ-Input'!G434="","",'RFQ-Input'!G434)</f>
        <v/>
      </c>
      <c r="H435" s="7" t="str">
        <f>IF('RFQ-Input'!H434="","",'RFQ-Input'!H434)</f>
        <v/>
      </c>
      <c r="I435" s="7" t="str">
        <f>IF('RFQ-Input'!I434="","",'RFQ-Input'!I434)</f>
        <v/>
      </c>
      <c r="J435" s="7" t="str">
        <f>IF('RFQ-Input'!J434="","",'RFQ-Input'!J434)</f>
        <v/>
      </c>
      <c r="K435" s="7" t="str">
        <f>IF('RFQ-Input'!K434="","",'RFQ-Input'!K434)</f>
        <v/>
      </c>
      <c r="L435" s="7" t="str">
        <f>IF('RFQ-Input'!L434="","",'RFQ-Input'!L434)</f>
        <v/>
      </c>
      <c r="M435" s="7" t="str">
        <f>IF('RFQ-Input'!M434="","",'RFQ-Input'!M434)</f>
        <v/>
      </c>
      <c r="N435" s="7" t="str">
        <f>IF('RFQ-Input'!N434="","",'RFQ-Input'!N434)</f>
        <v/>
      </c>
      <c r="O435" s="7" t="str">
        <f>IF('RFQ-Input'!O434="","",'RFQ-Input'!O434)</f>
        <v/>
      </c>
      <c r="Q435" s="7"/>
      <c r="R435" s="7"/>
      <c r="S435" s="7"/>
      <c r="T435" s="7"/>
      <c r="U435" s="7"/>
      <c r="V435" s="7"/>
      <c r="X435" s="7"/>
      <c r="Y435" s="7"/>
      <c r="Z435" s="7"/>
      <c r="AA435" s="7" t="str">
        <f t="shared" si="42"/>
        <v/>
      </c>
      <c r="AB435" s="7"/>
      <c r="AC435" s="7"/>
      <c r="AQ435" s="7" t="str">
        <f t="shared" si="43"/>
        <v/>
      </c>
      <c r="AR435" s="7" t="str">
        <f t="shared" si="44"/>
        <v/>
      </c>
      <c r="AS435" s="7" t="str">
        <f t="shared" si="45"/>
        <v/>
      </c>
      <c r="AT435" s="7" t="str">
        <f t="shared" si="46"/>
        <v/>
      </c>
      <c r="AU435" s="7" t="str">
        <f t="shared" si="47"/>
        <v/>
      </c>
      <c r="AV435" s="7" t="str">
        <f t="shared" si="48"/>
        <v/>
      </c>
      <c r="AW435" s="7" t="str">
        <f>IF('RFQ-Input'!O434="","",'RFQ-Input'!O434)</f>
        <v/>
      </c>
      <c r="AX435" s="7" t="str">
        <f>IF('RFQ-Input'!S434="","",'RFQ-Input'!S434)</f>
        <v/>
      </c>
      <c r="AY435" s="7" t="str">
        <f>IF('RFQ-Input'!V434="","",'RFQ-Input'!V434)</f>
        <v/>
      </c>
      <c r="AZ435" s="7" t="str">
        <f>IF('RFQ-Input'!Y434="","",'RFQ-Input'!Y434)</f>
        <v/>
      </c>
      <c r="BA435" s="7" t="str">
        <f>IF('RFQ-Input'!AB434="","",'RFQ-Input'!AB434)</f>
        <v/>
      </c>
    </row>
    <row r="436" spans="1:53">
      <c r="A436" s="20">
        <v>432</v>
      </c>
      <c r="B436" s="7"/>
      <c r="C436" s="7" t="str">
        <f>IF('RFQ-Input'!C435="","",'RFQ-Input'!C435)</f>
        <v/>
      </c>
      <c r="D436" s="7" t="str">
        <f>IF('RFQ-Input'!D435="","",'RFQ-Input'!D435)</f>
        <v/>
      </c>
      <c r="E436" s="7" t="str">
        <f>IF('RFQ-Input'!E435="","",'RFQ-Input'!E435)</f>
        <v/>
      </c>
      <c r="F436" s="7" t="str">
        <f>IF('RFQ-Input'!F435="","",'RFQ-Input'!F435)</f>
        <v/>
      </c>
      <c r="G436" s="7" t="str">
        <f>IF('RFQ-Input'!G435="","",'RFQ-Input'!G435)</f>
        <v/>
      </c>
      <c r="H436" s="7" t="str">
        <f>IF('RFQ-Input'!H435="","",'RFQ-Input'!H435)</f>
        <v/>
      </c>
      <c r="I436" s="7" t="str">
        <f>IF('RFQ-Input'!I435="","",'RFQ-Input'!I435)</f>
        <v/>
      </c>
      <c r="J436" s="7" t="str">
        <f>IF('RFQ-Input'!J435="","",'RFQ-Input'!J435)</f>
        <v/>
      </c>
      <c r="K436" s="7" t="str">
        <f>IF('RFQ-Input'!K435="","",'RFQ-Input'!K435)</f>
        <v/>
      </c>
      <c r="L436" s="7" t="str">
        <f>IF('RFQ-Input'!L435="","",'RFQ-Input'!L435)</f>
        <v/>
      </c>
      <c r="M436" s="7" t="str">
        <f>IF('RFQ-Input'!M435="","",'RFQ-Input'!M435)</f>
        <v/>
      </c>
      <c r="N436" s="7" t="str">
        <f>IF('RFQ-Input'!N435="","",'RFQ-Input'!N435)</f>
        <v/>
      </c>
      <c r="O436" s="7" t="str">
        <f>IF('RFQ-Input'!O435="","",'RFQ-Input'!O435)</f>
        <v/>
      </c>
      <c r="Q436" s="7"/>
      <c r="R436" s="7"/>
      <c r="S436" s="7"/>
      <c r="T436" s="7"/>
      <c r="U436" s="7"/>
      <c r="V436" s="7"/>
      <c r="X436" s="7"/>
      <c r="Y436" s="7"/>
      <c r="Z436" s="7"/>
      <c r="AA436" s="7" t="str">
        <f t="shared" si="42"/>
        <v/>
      </c>
      <c r="AB436" s="7"/>
      <c r="AC436" s="7"/>
      <c r="AQ436" s="7" t="str">
        <f t="shared" si="43"/>
        <v/>
      </c>
      <c r="AR436" s="7" t="str">
        <f t="shared" si="44"/>
        <v/>
      </c>
      <c r="AS436" s="7" t="str">
        <f t="shared" si="45"/>
        <v/>
      </c>
      <c r="AT436" s="7" t="str">
        <f t="shared" si="46"/>
        <v/>
      </c>
      <c r="AU436" s="7" t="str">
        <f t="shared" si="47"/>
        <v/>
      </c>
      <c r="AV436" s="7" t="str">
        <f t="shared" si="48"/>
        <v/>
      </c>
      <c r="AW436" s="7" t="str">
        <f>IF('RFQ-Input'!O435="","",'RFQ-Input'!O435)</f>
        <v/>
      </c>
      <c r="AX436" s="7" t="str">
        <f>IF('RFQ-Input'!S435="","",'RFQ-Input'!S435)</f>
        <v/>
      </c>
      <c r="AY436" s="7" t="str">
        <f>IF('RFQ-Input'!V435="","",'RFQ-Input'!V435)</f>
        <v/>
      </c>
      <c r="AZ436" s="7" t="str">
        <f>IF('RFQ-Input'!Y435="","",'RFQ-Input'!Y435)</f>
        <v/>
      </c>
      <c r="BA436" s="7" t="str">
        <f>IF('RFQ-Input'!AB435="","",'RFQ-Input'!AB435)</f>
        <v/>
      </c>
    </row>
    <row r="437" spans="1:53">
      <c r="A437" s="20">
        <v>433</v>
      </c>
      <c r="B437" s="7"/>
      <c r="C437" s="7" t="str">
        <f>IF('RFQ-Input'!C436="","",'RFQ-Input'!C436)</f>
        <v/>
      </c>
      <c r="D437" s="7" t="str">
        <f>IF('RFQ-Input'!D436="","",'RFQ-Input'!D436)</f>
        <v/>
      </c>
      <c r="E437" s="7" t="str">
        <f>IF('RFQ-Input'!E436="","",'RFQ-Input'!E436)</f>
        <v/>
      </c>
      <c r="F437" s="7" t="str">
        <f>IF('RFQ-Input'!F436="","",'RFQ-Input'!F436)</f>
        <v/>
      </c>
      <c r="G437" s="7" t="str">
        <f>IF('RFQ-Input'!G436="","",'RFQ-Input'!G436)</f>
        <v/>
      </c>
      <c r="H437" s="7" t="str">
        <f>IF('RFQ-Input'!H436="","",'RFQ-Input'!H436)</f>
        <v/>
      </c>
      <c r="I437" s="7" t="str">
        <f>IF('RFQ-Input'!I436="","",'RFQ-Input'!I436)</f>
        <v/>
      </c>
      <c r="J437" s="7" t="str">
        <f>IF('RFQ-Input'!J436="","",'RFQ-Input'!J436)</f>
        <v/>
      </c>
      <c r="K437" s="7" t="str">
        <f>IF('RFQ-Input'!K436="","",'RFQ-Input'!K436)</f>
        <v/>
      </c>
      <c r="L437" s="7" t="str">
        <f>IF('RFQ-Input'!L436="","",'RFQ-Input'!L436)</f>
        <v/>
      </c>
      <c r="M437" s="7" t="str">
        <f>IF('RFQ-Input'!M436="","",'RFQ-Input'!M436)</f>
        <v/>
      </c>
      <c r="N437" s="7" t="str">
        <f>IF('RFQ-Input'!N436="","",'RFQ-Input'!N436)</f>
        <v/>
      </c>
      <c r="O437" s="7" t="str">
        <f>IF('RFQ-Input'!O436="","",'RFQ-Input'!O436)</f>
        <v/>
      </c>
      <c r="Q437" s="7"/>
      <c r="R437" s="7"/>
      <c r="S437" s="7"/>
      <c r="T437" s="7"/>
      <c r="U437" s="7"/>
      <c r="V437" s="7"/>
      <c r="X437" s="7"/>
      <c r="Y437" s="7"/>
      <c r="Z437" s="7"/>
      <c r="AA437" s="7" t="str">
        <f t="shared" si="42"/>
        <v/>
      </c>
      <c r="AB437" s="7"/>
      <c r="AC437" s="7"/>
      <c r="AQ437" s="7" t="str">
        <f t="shared" si="43"/>
        <v/>
      </c>
      <c r="AR437" s="7" t="str">
        <f t="shared" si="44"/>
        <v/>
      </c>
      <c r="AS437" s="7" t="str">
        <f t="shared" si="45"/>
        <v/>
      </c>
      <c r="AT437" s="7" t="str">
        <f t="shared" si="46"/>
        <v/>
      </c>
      <c r="AU437" s="7" t="str">
        <f t="shared" si="47"/>
        <v/>
      </c>
      <c r="AV437" s="7" t="str">
        <f t="shared" si="48"/>
        <v/>
      </c>
      <c r="AW437" s="7" t="str">
        <f>IF('RFQ-Input'!O436="","",'RFQ-Input'!O436)</f>
        <v/>
      </c>
      <c r="AX437" s="7" t="str">
        <f>IF('RFQ-Input'!S436="","",'RFQ-Input'!S436)</f>
        <v/>
      </c>
      <c r="AY437" s="7" t="str">
        <f>IF('RFQ-Input'!V436="","",'RFQ-Input'!V436)</f>
        <v/>
      </c>
      <c r="AZ437" s="7" t="str">
        <f>IF('RFQ-Input'!Y436="","",'RFQ-Input'!Y436)</f>
        <v/>
      </c>
      <c r="BA437" s="7" t="str">
        <f>IF('RFQ-Input'!AB436="","",'RFQ-Input'!AB436)</f>
        <v/>
      </c>
    </row>
    <row r="438" spans="1:53">
      <c r="A438" s="20">
        <v>434</v>
      </c>
      <c r="B438" s="7"/>
      <c r="C438" s="7" t="str">
        <f>IF('RFQ-Input'!C437="","",'RFQ-Input'!C437)</f>
        <v/>
      </c>
      <c r="D438" s="7" t="str">
        <f>IF('RFQ-Input'!D437="","",'RFQ-Input'!D437)</f>
        <v/>
      </c>
      <c r="E438" s="7" t="str">
        <f>IF('RFQ-Input'!E437="","",'RFQ-Input'!E437)</f>
        <v/>
      </c>
      <c r="F438" s="7" t="str">
        <f>IF('RFQ-Input'!F437="","",'RFQ-Input'!F437)</f>
        <v/>
      </c>
      <c r="G438" s="7" t="str">
        <f>IF('RFQ-Input'!G437="","",'RFQ-Input'!G437)</f>
        <v/>
      </c>
      <c r="H438" s="7" t="str">
        <f>IF('RFQ-Input'!H437="","",'RFQ-Input'!H437)</f>
        <v/>
      </c>
      <c r="I438" s="7" t="str">
        <f>IF('RFQ-Input'!I437="","",'RFQ-Input'!I437)</f>
        <v/>
      </c>
      <c r="J438" s="7" t="str">
        <f>IF('RFQ-Input'!J437="","",'RFQ-Input'!J437)</f>
        <v/>
      </c>
      <c r="K438" s="7" t="str">
        <f>IF('RFQ-Input'!K437="","",'RFQ-Input'!K437)</f>
        <v/>
      </c>
      <c r="L438" s="7" t="str">
        <f>IF('RFQ-Input'!L437="","",'RFQ-Input'!L437)</f>
        <v/>
      </c>
      <c r="M438" s="7" t="str">
        <f>IF('RFQ-Input'!M437="","",'RFQ-Input'!M437)</f>
        <v/>
      </c>
      <c r="N438" s="7" t="str">
        <f>IF('RFQ-Input'!N437="","",'RFQ-Input'!N437)</f>
        <v/>
      </c>
      <c r="O438" s="7" t="str">
        <f>IF('RFQ-Input'!O437="","",'RFQ-Input'!O437)</f>
        <v/>
      </c>
      <c r="Q438" s="7"/>
      <c r="R438" s="7"/>
      <c r="S438" s="7"/>
      <c r="T438" s="7"/>
      <c r="U438" s="7"/>
      <c r="V438" s="7"/>
      <c r="X438" s="7"/>
      <c r="Y438" s="7"/>
      <c r="Z438" s="7"/>
      <c r="AA438" s="7" t="str">
        <f t="shared" si="42"/>
        <v/>
      </c>
      <c r="AB438" s="7"/>
      <c r="AC438" s="7"/>
      <c r="AQ438" s="7" t="str">
        <f t="shared" si="43"/>
        <v/>
      </c>
      <c r="AR438" s="7" t="str">
        <f t="shared" si="44"/>
        <v/>
      </c>
      <c r="AS438" s="7" t="str">
        <f t="shared" si="45"/>
        <v/>
      </c>
      <c r="AT438" s="7" t="str">
        <f t="shared" si="46"/>
        <v/>
      </c>
      <c r="AU438" s="7" t="str">
        <f t="shared" si="47"/>
        <v/>
      </c>
      <c r="AV438" s="7" t="str">
        <f t="shared" si="48"/>
        <v/>
      </c>
      <c r="AW438" s="7" t="str">
        <f>IF('RFQ-Input'!O437="","",'RFQ-Input'!O437)</f>
        <v/>
      </c>
      <c r="AX438" s="7" t="str">
        <f>IF('RFQ-Input'!S437="","",'RFQ-Input'!S437)</f>
        <v/>
      </c>
      <c r="AY438" s="7" t="str">
        <f>IF('RFQ-Input'!V437="","",'RFQ-Input'!V437)</f>
        <v/>
      </c>
      <c r="AZ438" s="7" t="str">
        <f>IF('RFQ-Input'!Y437="","",'RFQ-Input'!Y437)</f>
        <v/>
      </c>
      <c r="BA438" s="7" t="str">
        <f>IF('RFQ-Input'!AB437="","",'RFQ-Input'!AB437)</f>
        <v/>
      </c>
    </row>
    <row r="439" spans="1:53">
      <c r="A439" s="20">
        <v>435</v>
      </c>
      <c r="B439" s="7"/>
      <c r="C439" s="7" t="str">
        <f>IF('RFQ-Input'!C438="","",'RFQ-Input'!C438)</f>
        <v/>
      </c>
      <c r="D439" s="7" t="str">
        <f>IF('RFQ-Input'!D438="","",'RFQ-Input'!D438)</f>
        <v/>
      </c>
      <c r="E439" s="7" t="str">
        <f>IF('RFQ-Input'!E438="","",'RFQ-Input'!E438)</f>
        <v/>
      </c>
      <c r="F439" s="7" t="str">
        <f>IF('RFQ-Input'!F438="","",'RFQ-Input'!F438)</f>
        <v/>
      </c>
      <c r="G439" s="7" t="str">
        <f>IF('RFQ-Input'!G438="","",'RFQ-Input'!G438)</f>
        <v/>
      </c>
      <c r="H439" s="7" t="str">
        <f>IF('RFQ-Input'!H438="","",'RFQ-Input'!H438)</f>
        <v/>
      </c>
      <c r="I439" s="7" t="str">
        <f>IF('RFQ-Input'!I438="","",'RFQ-Input'!I438)</f>
        <v/>
      </c>
      <c r="J439" s="7" t="str">
        <f>IF('RFQ-Input'!J438="","",'RFQ-Input'!J438)</f>
        <v/>
      </c>
      <c r="K439" s="7" t="str">
        <f>IF('RFQ-Input'!K438="","",'RFQ-Input'!K438)</f>
        <v/>
      </c>
      <c r="L439" s="7" t="str">
        <f>IF('RFQ-Input'!L438="","",'RFQ-Input'!L438)</f>
        <v/>
      </c>
      <c r="M439" s="7" t="str">
        <f>IF('RFQ-Input'!M438="","",'RFQ-Input'!M438)</f>
        <v/>
      </c>
      <c r="N439" s="7" t="str">
        <f>IF('RFQ-Input'!N438="","",'RFQ-Input'!N438)</f>
        <v/>
      </c>
      <c r="O439" s="7" t="str">
        <f>IF('RFQ-Input'!O438="","",'RFQ-Input'!O438)</f>
        <v/>
      </c>
      <c r="Q439" s="7"/>
      <c r="R439" s="7"/>
      <c r="S439" s="7"/>
      <c r="T439" s="7"/>
      <c r="U439" s="7"/>
      <c r="V439" s="7"/>
      <c r="X439" s="7"/>
      <c r="Y439" s="7"/>
      <c r="Z439" s="7"/>
      <c r="AA439" s="7" t="str">
        <f t="shared" si="42"/>
        <v/>
      </c>
      <c r="AB439" s="7"/>
      <c r="AC439" s="7"/>
      <c r="AQ439" s="7" t="str">
        <f t="shared" si="43"/>
        <v/>
      </c>
      <c r="AR439" s="7" t="str">
        <f t="shared" si="44"/>
        <v/>
      </c>
      <c r="AS439" s="7" t="str">
        <f t="shared" si="45"/>
        <v/>
      </c>
      <c r="AT439" s="7" t="str">
        <f t="shared" si="46"/>
        <v/>
      </c>
      <c r="AU439" s="7" t="str">
        <f t="shared" si="47"/>
        <v/>
      </c>
      <c r="AV439" s="7" t="str">
        <f t="shared" si="48"/>
        <v/>
      </c>
      <c r="AW439" s="7" t="str">
        <f>IF('RFQ-Input'!O438="","",'RFQ-Input'!O438)</f>
        <v/>
      </c>
      <c r="AX439" s="7" t="str">
        <f>IF('RFQ-Input'!S438="","",'RFQ-Input'!S438)</f>
        <v/>
      </c>
      <c r="AY439" s="7" t="str">
        <f>IF('RFQ-Input'!V438="","",'RFQ-Input'!V438)</f>
        <v/>
      </c>
      <c r="AZ439" s="7" t="str">
        <f>IF('RFQ-Input'!Y438="","",'RFQ-Input'!Y438)</f>
        <v/>
      </c>
      <c r="BA439" s="7" t="str">
        <f>IF('RFQ-Input'!AB438="","",'RFQ-Input'!AB438)</f>
        <v/>
      </c>
    </row>
    <row r="440" spans="1:53">
      <c r="A440" s="20">
        <v>436</v>
      </c>
      <c r="B440" s="7"/>
      <c r="C440" s="7" t="str">
        <f>IF('RFQ-Input'!C439="","",'RFQ-Input'!C439)</f>
        <v/>
      </c>
      <c r="D440" s="7" t="str">
        <f>IF('RFQ-Input'!D439="","",'RFQ-Input'!D439)</f>
        <v/>
      </c>
      <c r="E440" s="7" t="str">
        <f>IF('RFQ-Input'!E439="","",'RFQ-Input'!E439)</f>
        <v/>
      </c>
      <c r="F440" s="7" t="str">
        <f>IF('RFQ-Input'!F439="","",'RFQ-Input'!F439)</f>
        <v/>
      </c>
      <c r="G440" s="7" t="str">
        <f>IF('RFQ-Input'!G439="","",'RFQ-Input'!G439)</f>
        <v/>
      </c>
      <c r="H440" s="7" t="str">
        <f>IF('RFQ-Input'!H439="","",'RFQ-Input'!H439)</f>
        <v/>
      </c>
      <c r="I440" s="7" t="str">
        <f>IF('RFQ-Input'!I439="","",'RFQ-Input'!I439)</f>
        <v/>
      </c>
      <c r="J440" s="7" t="str">
        <f>IF('RFQ-Input'!J439="","",'RFQ-Input'!J439)</f>
        <v/>
      </c>
      <c r="K440" s="7" t="str">
        <f>IF('RFQ-Input'!K439="","",'RFQ-Input'!K439)</f>
        <v/>
      </c>
      <c r="L440" s="7" t="str">
        <f>IF('RFQ-Input'!L439="","",'RFQ-Input'!L439)</f>
        <v/>
      </c>
      <c r="M440" s="7" t="str">
        <f>IF('RFQ-Input'!M439="","",'RFQ-Input'!M439)</f>
        <v/>
      </c>
      <c r="N440" s="7" t="str">
        <f>IF('RFQ-Input'!N439="","",'RFQ-Input'!N439)</f>
        <v/>
      </c>
      <c r="O440" s="7" t="str">
        <f>IF('RFQ-Input'!O439="","",'RFQ-Input'!O439)</f>
        <v/>
      </c>
      <c r="Q440" s="7"/>
      <c r="R440" s="7"/>
      <c r="S440" s="7"/>
      <c r="T440" s="7"/>
      <c r="U440" s="7"/>
      <c r="V440" s="7"/>
      <c r="X440" s="7"/>
      <c r="Y440" s="7"/>
      <c r="Z440" s="7"/>
      <c r="AA440" s="7" t="str">
        <f t="shared" si="42"/>
        <v/>
      </c>
      <c r="AB440" s="7"/>
      <c r="AC440" s="7"/>
      <c r="AQ440" s="7" t="str">
        <f t="shared" si="43"/>
        <v/>
      </c>
      <c r="AR440" s="7" t="str">
        <f t="shared" si="44"/>
        <v/>
      </c>
      <c r="AS440" s="7" t="str">
        <f t="shared" si="45"/>
        <v/>
      </c>
      <c r="AT440" s="7" t="str">
        <f t="shared" si="46"/>
        <v/>
      </c>
      <c r="AU440" s="7" t="str">
        <f t="shared" si="47"/>
        <v/>
      </c>
      <c r="AV440" s="7" t="str">
        <f t="shared" si="48"/>
        <v/>
      </c>
      <c r="AW440" s="7" t="str">
        <f>IF('RFQ-Input'!O439="","",'RFQ-Input'!O439)</f>
        <v/>
      </c>
      <c r="AX440" s="7" t="str">
        <f>IF('RFQ-Input'!S439="","",'RFQ-Input'!S439)</f>
        <v/>
      </c>
      <c r="AY440" s="7" t="str">
        <f>IF('RFQ-Input'!V439="","",'RFQ-Input'!V439)</f>
        <v/>
      </c>
      <c r="AZ440" s="7" t="str">
        <f>IF('RFQ-Input'!Y439="","",'RFQ-Input'!Y439)</f>
        <v/>
      </c>
      <c r="BA440" s="7" t="str">
        <f>IF('RFQ-Input'!AB439="","",'RFQ-Input'!AB439)</f>
        <v/>
      </c>
    </row>
    <row r="441" spans="1:53">
      <c r="A441" s="20">
        <v>437</v>
      </c>
      <c r="B441" s="7"/>
      <c r="C441" s="7" t="str">
        <f>IF('RFQ-Input'!C440="","",'RFQ-Input'!C440)</f>
        <v/>
      </c>
      <c r="D441" s="7" t="str">
        <f>IF('RFQ-Input'!D440="","",'RFQ-Input'!D440)</f>
        <v/>
      </c>
      <c r="E441" s="7" t="str">
        <f>IF('RFQ-Input'!E440="","",'RFQ-Input'!E440)</f>
        <v/>
      </c>
      <c r="F441" s="7" t="str">
        <f>IF('RFQ-Input'!F440="","",'RFQ-Input'!F440)</f>
        <v/>
      </c>
      <c r="G441" s="7" t="str">
        <f>IF('RFQ-Input'!G440="","",'RFQ-Input'!G440)</f>
        <v/>
      </c>
      <c r="H441" s="7" t="str">
        <f>IF('RFQ-Input'!H440="","",'RFQ-Input'!H440)</f>
        <v/>
      </c>
      <c r="I441" s="7" t="str">
        <f>IF('RFQ-Input'!I440="","",'RFQ-Input'!I440)</f>
        <v/>
      </c>
      <c r="J441" s="7" t="str">
        <f>IF('RFQ-Input'!J440="","",'RFQ-Input'!J440)</f>
        <v/>
      </c>
      <c r="K441" s="7" t="str">
        <f>IF('RFQ-Input'!K440="","",'RFQ-Input'!K440)</f>
        <v/>
      </c>
      <c r="L441" s="7" t="str">
        <f>IF('RFQ-Input'!L440="","",'RFQ-Input'!L440)</f>
        <v/>
      </c>
      <c r="M441" s="7" t="str">
        <f>IF('RFQ-Input'!M440="","",'RFQ-Input'!M440)</f>
        <v/>
      </c>
      <c r="N441" s="7" t="str">
        <f>IF('RFQ-Input'!N440="","",'RFQ-Input'!N440)</f>
        <v/>
      </c>
      <c r="O441" s="7" t="str">
        <f>IF('RFQ-Input'!O440="","",'RFQ-Input'!O440)</f>
        <v/>
      </c>
      <c r="Q441" s="7"/>
      <c r="R441" s="7"/>
      <c r="S441" s="7"/>
      <c r="T441" s="7"/>
      <c r="U441" s="7"/>
      <c r="V441" s="7"/>
      <c r="X441" s="7"/>
      <c r="Y441" s="7"/>
      <c r="Z441" s="7"/>
      <c r="AA441" s="7" t="str">
        <f t="shared" si="42"/>
        <v/>
      </c>
      <c r="AB441" s="7"/>
      <c r="AC441" s="7"/>
      <c r="AQ441" s="7" t="str">
        <f t="shared" si="43"/>
        <v/>
      </c>
      <c r="AR441" s="7" t="str">
        <f t="shared" si="44"/>
        <v/>
      </c>
      <c r="AS441" s="7" t="str">
        <f t="shared" si="45"/>
        <v/>
      </c>
      <c r="AT441" s="7" t="str">
        <f t="shared" si="46"/>
        <v/>
      </c>
      <c r="AU441" s="7" t="str">
        <f t="shared" si="47"/>
        <v/>
      </c>
      <c r="AV441" s="7" t="str">
        <f t="shared" si="48"/>
        <v/>
      </c>
      <c r="AW441" s="7" t="str">
        <f>IF('RFQ-Input'!O440="","",'RFQ-Input'!O440)</f>
        <v/>
      </c>
      <c r="AX441" s="7" t="str">
        <f>IF('RFQ-Input'!S440="","",'RFQ-Input'!S440)</f>
        <v/>
      </c>
      <c r="AY441" s="7" t="str">
        <f>IF('RFQ-Input'!V440="","",'RFQ-Input'!V440)</f>
        <v/>
      </c>
      <c r="AZ441" s="7" t="str">
        <f>IF('RFQ-Input'!Y440="","",'RFQ-Input'!Y440)</f>
        <v/>
      </c>
      <c r="BA441" s="7" t="str">
        <f>IF('RFQ-Input'!AB440="","",'RFQ-Input'!AB440)</f>
        <v/>
      </c>
    </row>
    <row r="442" spans="1:53">
      <c r="A442" s="20">
        <v>438</v>
      </c>
      <c r="B442" s="7"/>
      <c r="C442" s="7" t="str">
        <f>IF('RFQ-Input'!C441="","",'RFQ-Input'!C441)</f>
        <v/>
      </c>
      <c r="D442" s="7" t="str">
        <f>IF('RFQ-Input'!D441="","",'RFQ-Input'!D441)</f>
        <v/>
      </c>
      <c r="E442" s="7" t="str">
        <f>IF('RFQ-Input'!E441="","",'RFQ-Input'!E441)</f>
        <v/>
      </c>
      <c r="F442" s="7" t="str">
        <f>IF('RFQ-Input'!F441="","",'RFQ-Input'!F441)</f>
        <v/>
      </c>
      <c r="G442" s="7" t="str">
        <f>IF('RFQ-Input'!G441="","",'RFQ-Input'!G441)</f>
        <v/>
      </c>
      <c r="H442" s="7" t="str">
        <f>IF('RFQ-Input'!H441="","",'RFQ-Input'!H441)</f>
        <v/>
      </c>
      <c r="I442" s="7" t="str">
        <f>IF('RFQ-Input'!I441="","",'RFQ-Input'!I441)</f>
        <v/>
      </c>
      <c r="J442" s="7" t="str">
        <f>IF('RFQ-Input'!J441="","",'RFQ-Input'!J441)</f>
        <v/>
      </c>
      <c r="K442" s="7" t="str">
        <f>IF('RFQ-Input'!K441="","",'RFQ-Input'!K441)</f>
        <v/>
      </c>
      <c r="L442" s="7" t="str">
        <f>IF('RFQ-Input'!L441="","",'RFQ-Input'!L441)</f>
        <v/>
      </c>
      <c r="M442" s="7" t="str">
        <f>IF('RFQ-Input'!M441="","",'RFQ-Input'!M441)</f>
        <v/>
      </c>
      <c r="N442" s="7" t="str">
        <f>IF('RFQ-Input'!N441="","",'RFQ-Input'!N441)</f>
        <v/>
      </c>
      <c r="O442" s="7" t="str">
        <f>IF('RFQ-Input'!O441="","",'RFQ-Input'!O441)</f>
        <v/>
      </c>
      <c r="Q442" s="7"/>
      <c r="R442" s="7"/>
      <c r="S442" s="7"/>
      <c r="T442" s="7"/>
      <c r="U442" s="7"/>
      <c r="V442" s="7"/>
      <c r="X442" s="7"/>
      <c r="Y442" s="7"/>
      <c r="Z442" s="7"/>
      <c r="AA442" s="7" t="str">
        <f t="shared" si="42"/>
        <v/>
      </c>
      <c r="AB442" s="7"/>
      <c r="AC442" s="7"/>
      <c r="AQ442" s="7" t="str">
        <f t="shared" si="43"/>
        <v/>
      </c>
      <c r="AR442" s="7" t="str">
        <f t="shared" si="44"/>
        <v/>
      </c>
      <c r="AS442" s="7" t="str">
        <f t="shared" si="45"/>
        <v/>
      </c>
      <c r="AT442" s="7" t="str">
        <f t="shared" si="46"/>
        <v/>
      </c>
      <c r="AU442" s="7" t="str">
        <f t="shared" si="47"/>
        <v/>
      </c>
      <c r="AV442" s="7" t="str">
        <f t="shared" si="48"/>
        <v/>
      </c>
      <c r="AW442" s="7" t="str">
        <f>IF('RFQ-Input'!O441="","",'RFQ-Input'!O441)</f>
        <v/>
      </c>
      <c r="AX442" s="7" t="str">
        <f>IF('RFQ-Input'!S441="","",'RFQ-Input'!S441)</f>
        <v/>
      </c>
      <c r="AY442" s="7" t="str">
        <f>IF('RFQ-Input'!V441="","",'RFQ-Input'!V441)</f>
        <v/>
      </c>
      <c r="AZ442" s="7" t="str">
        <f>IF('RFQ-Input'!Y441="","",'RFQ-Input'!Y441)</f>
        <v/>
      </c>
      <c r="BA442" s="7" t="str">
        <f>IF('RFQ-Input'!AB441="","",'RFQ-Input'!AB441)</f>
        <v/>
      </c>
    </row>
    <row r="443" spans="1:53">
      <c r="A443" s="20">
        <v>439</v>
      </c>
      <c r="B443" s="7"/>
      <c r="C443" s="7" t="str">
        <f>IF('RFQ-Input'!C442="","",'RFQ-Input'!C442)</f>
        <v/>
      </c>
      <c r="D443" s="7" t="str">
        <f>IF('RFQ-Input'!D442="","",'RFQ-Input'!D442)</f>
        <v/>
      </c>
      <c r="E443" s="7" t="str">
        <f>IF('RFQ-Input'!E442="","",'RFQ-Input'!E442)</f>
        <v/>
      </c>
      <c r="F443" s="7" t="str">
        <f>IF('RFQ-Input'!F442="","",'RFQ-Input'!F442)</f>
        <v/>
      </c>
      <c r="G443" s="7" t="str">
        <f>IF('RFQ-Input'!G442="","",'RFQ-Input'!G442)</f>
        <v/>
      </c>
      <c r="H443" s="7" t="str">
        <f>IF('RFQ-Input'!H442="","",'RFQ-Input'!H442)</f>
        <v/>
      </c>
      <c r="I443" s="7" t="str">
        <f>IF('RFQ-Input'!I442="","",'RFQ-Input'!I442)</f>
        <v/>
      </c>
      <c r="J443" s="7" t="str">
        <f>IF('RFQ-Input'!J442="","",'RFQ-Input'!J442)</f>
        <v/>
      </c>
      <c r="K443" s="7" t="str">
        <f>IF('RFQ-Input'!K442="","",'RFQ-Input'!K442)</f>
        <v/>
      </c>
      <c r="L443" s="7" t="str">
        <f>IF('RFQ-Input'!L442="","",'RFQ-Input'!L442)</f>
        <v/>
      </c>
      <c r="M443" s="7" t="str">
        <f>IF('RFQ-Input'!M442="","",'RFQ-Input'!M442)</f>
        <v/>
      </c>
      <c r="N443" s="7" t="str">
        <f>IF('RFQ-Input'!N442="","",'RFQ-Input'!N442)</f>
        <v/>
      </c>
      <c r="O443" s="7" t="str">
        <f>IF('RFQ-Input'!O442="","",'RFQ-Input'!O442)</f>
        <v/>
      </c>
      <c r="Q443" s="7"/>
      <c r="R443" s="7"/>
      <c r="S443" s="7"/>
      <c r="T443" s="7"/>
      <c r="U443" s="7"/>
      <c r="V443" s="7"/>
      <c r="X443" s="7"/>
      <c r="Y443" s="7"/>
      <c r="Z443" s="7"/>
      <c r="AA443" s="7" t="str">
        <f t="shared" si="42"/>
        <v/>
      </c>
      <c r="AB443" s="7"/>
      <c r="AC443" s="7"/>
      <c r="AQ443" s="7" t="str">
        <f t="shared" si="43"/>
        <v/>
      </c>
      <c r="AR443" s="7" t="str">
        <f t="shared" si="44"/>
        <v/>
      </c>
      <c r="AS443" s="7" t="str">
        <f t="shared" si="45"/>
        <v/>
      </c>
      <c r="AT443" s="7" t="str">
        <f t="shared" si="46"/>
        <v/>
      </c>
      <c r="AU443" s="7" t="str">
        <f t="shared" si="47"/>
        <v/>
      </c>
      <c r="AV443" s="7" t="str">
        <f t="shared" si="48"/>
        <v/>
      </c>
      <c r="AW443" s="7" t="str">
        <f>IF('RFQ-Input'!O442="","",'RFQ-Input'!O442)</f>
        <v/>
      </c>
      <c r="AX443" s="7" t="str">
        <f>IF('RFQ-Input'!S442="","",'RFQ-Input'!S442)</f>
        <v/>
      </c>
      <c r="AY443" s="7" t="str">
        <f>IF('RFQ-Input'!V442="","",'RFQ-Input'!V442)</f>
        <v/>
      </c>
      <c r="AZ443" s="7" t="str">
        <f>IF('RFQ-Input'!Y442="","",'RFQ-Input'!Y442)</f>
        <v/>
      </c>
      <c r="BA443" s="7" t="str">
        <f>IF('RFQ-Input'!AB442="","",'RFQ-Input'!AB442)</f>
        <v/>
      </c>
    </row>
    <row r="444" spans="1:53">
      <c r="A444" s="20">
        <v>440</v>
      </c>
      <c r="B444" s="7"/>
      <c r="C444" s="7" t="str">
        <f>IF('RFQ-Input'!C443="","",'RFQ-Input'!C443)</f>
        <v/>
      </c>
      <c r="D444" s="7" t="str">
        <f>IF('RFQ-Input'!D443="","",'RFQ-Input'!D443)</f>
        <v/>
      </c>
      <c r="E444" s="7" t="str">
        <f>IF('RFQ-Input'!E443="","",'RFQ-Input'!E443)</f>
        <v/>
      </c>
      <c r="F444" s="7" t="str">
        <f>IF('RFQ-Input'!F443="","",'RFQ-Input'!F443)</f>
        <v/>
      </c>
      <c r="G444" s="7" t="str">
        <f>IF('RFQ-Input'!G443="","",'RFQ-Input'!G443)</f>
        <v/>
      </c>
      <c r="H444" s="7" t="str">
        <f>IF('RFQ-Input'!H443="","",'RFQ-Input'!H443)</f>
        <v/>
      </c>
      <c r="I444" s="7" t="str">
        <f>IF('RFQ-Input'!I443="","",'RFQ-Input'!I443)</f>
        <v/>
      </c>
      <c r="J444" s="7" t="str">
        <f>IF('RFQ-Input'!J443="","",'RFQ-Input'!J443)</f>
        <v/>
      </c>
      <c r="K444" s="7" t="str">
        <f>IF('RFQ-Input'!K443="","",'RFQ-Input'!K443)</f>
        <v/>
      </c>
      <c r="L444" s="7" t="str">
        <f>IF('RFQ-Input'!L443="","",'RFQ-Input'!L443)</f>
        <v/>
      </c>
      <c r="M444" s="7" t="str">
        <f>IF('RFQ-Input'!M443="","",'RFQ-Input'!M443)</f>
        <v/>
      </c>
      <c r="N444" s="7" t="str">
        <f>IF('RFQ-Input'!N443="","",'RFQ-Input'!N443)</f>
        <v/>
      </c>
      <c r="O444" s="7" t="str">
        <f>IF('RFQ-Input'!O443="","",'RFQ-Input'!O443)</f>
        <v/>
      </c>
      <c r="Q444" s="7"/>
      <c r="R444" s="7"/>
      <c r="S444" s="7"/>
      <c r="T444" s="7"/>
      <c r="U444" s="7"/>
      <c r="V444" s="7"/>
      <c r="X444" s="7"/>
      <c r="Y444" s="7"/>
      <c r="Z444" s="7"/>
      <c r="AA444" s="7" t="str">
        <f t="shared" si="42"/>
        <v/>
      </c>
      <c r="AB444" s="7"/>
      <c r="AC444" s="7"/>
      <c r="AQ444" s="7" t="str">
        <f t="shared" si="43"/>
        <v/>
      </c>
      <c r="AR444" s="7" t="str">
        <f t="shared" si="44"/>
        <v/>
      </c>
      <c r="AS444" s="7" t="str">
        <f t="shared" si="45"/>
        <v/>
      </c>
      <c r="AT444" s="7" t="str">
        <f t="shared" si="46"/>
        <v/>
      </c>
      <c r="AU444" s="7" t="str">
        <f t="shared" si="47"/>
        <v/>
      </c>
      <c r="AV444" s="7" t="str">
        <f t="shared" si="48"/>
        <v/>
      </c>
      <c r="AW444" s="7" t="str">
        <f>IF('RFQ-Input'!O443="","",'RFQ-Input'!O443)</f>
        <v/>
      </c>
      <c r="AX444" s="7" t="str">
        <f>IF('RFQ-Input'!S443="","",'RFQ-Input'!S443)</f>
        <v/>
      </c>
      <c r="AY444" s="7" t="str">
        <f>IF('RFQ-Input'!V443="","",'RFQ-Input'!V443)</f>
        <v/>
      </c>
      <c r="AZ444" s="7" t="str">
        <f>IF('RFQ-Input'!Y443="","",'RFQ-Input'!Y443)</f>
        <v/>
      </c>
      <c r="BA444" s="7" t="str">
        <f>IF('RFQ-Input'!AB443="","",'RFQ-Input'!AB443)</f>
        <v/>
      </c>
    </row>
    <row r="445" spans="1:53">
      <c r="A445" s="20">
        <v>441</v>
      </c>
      <c r="B445" s="7"/>
      <c r="C445" s="7" t="str">
        <f>IF('RFQ-Input'!C444="","",'RFQ-Input'!C444)</f>
        <v/>
      </c>
      <c r="D445" s="7" t="str">
        <f>IF('RFQ-Input'!D444="","",'RFQ-Input'!D444)</f>
        <v/>
      </c>
      <c r="E445" s="7" t="str">
        <f>IF('RFQ-Input'!E444="","",'RFQ-Input'!E444)</f>
        <v/>
      </c>
      <c r="F445" s="7" t="str">
        <f>IF('RFQ-Input'!F444="","",'RFQ-Input'!F444)</f>
        <v/>
      </c>
      <c r="G445" s="7" t="str">
        <f>IF('RFQ-Input'!G444="","",'RFQ-Input'!G444)</f>
        <v/>
      </c>
      <c r="H445" s="7" t="str">
        <f>IF('RFQ-Input'!H444="","",'RFQ-Input'!H444)</f>
        <v/>
      </c>
      <c r="I445" s="7" t="str">
        <f>IF('RFQ-Input'!I444="","",'RFQ-Input'!I444)</f>
        <v/>
      </c>
      <c r="J445" s="7" t="str">
        <f>IF('RFQ-Input'!J444="","",'RFQ-Input'!J444)</f>
        <v/>
      </c>
      <c r="K445" s="7" t="str">
        <f>IF('RFQ-Input'!K444="","",'RFQ-Input'!K444)</f>
        <v/>
      </c>
      <c r="L445" s="7" t="str">
        <f>IF('RFQ-Input'!L444="","",'RFQ-Input'!L444)</f>
        <v/>
      </c>
      <c r="M445" s="7" t="str">
        <f>IF('RFQ-Input'!M444="","",'RFQ-Input'!M444)</f>
        <v/>
      </c>
      <c r="N445" s="7" t="str">
        <f>IF('RFQ-Input'!N444="","",'RFQ-Input'!N444)</f>
        <v/>
      </c>
      <c r="O445" s="7" t="str">
        <f>IF('RFQ-Input'!O444="","",'RFQ-Input'!O444)</f>
        <v/>
      </c>
      <c r="Q445" s="7"/>
      <c r="R445" s="7"/>
      <c r="S445" s="7"/>
      <c r="T445" s="7"/>
      <c r="U445" s="7"/>
      <c r="V445" s="7"/>
      <c r="X445" s="7"/>
      <c r="Y445" s="7"/>
      <c r="Z445" s="7"/>
      <c r="AA445" s="7" t="str">
        <f t="shared" si="42"/>
        <v/>
      </c>
      <c r="AB445" s="7"/>
      <c r="AC445" s="7"/>
      <c r="AQ445" s="7" t="str">
        <f t="shared" si="43"/>
        <v/>
      </c>
      <c r="AR445" s="7" t="str">
        <f t="shared" si="44"/>
        <v/>
      </c>
      <c r="AS445" s="7" t="str">
        <f t="shared" si="45"/>
        <v/>
      </c>
      <c r="AT445" s="7" t="str">
        <f t="shared" si="46"/>
        <v/>
      </c>
      <c r="AU445" s="7" t="str">
        <f t="shared" si="47"/>
        <v/>
      </c>
      <c r="AV445" s="7" t="str">
        <f t="shared" si="48"/>
        <v/>
      </c>
      <c r="AW445" s="7" t="str">
        <f>IF('RFQ-Input'!O444="","",'RFQ-Input'!O444)</f>
        <v/>
      </c>
      <c r="AX445" s="7" t="str">
        <f>IF('RFQ-Input'!S444="","",'RFQ-Input'!S444)</f>
        <v/>
      </c>
      <c r="AY445" s="7" t="str">
        <f>IF('RFQ-Input'!V444="","",'RFQ-Input'!V444)</f>
        <v/>
      </c>
      <c r="AZ445" s="7" t="str">
        <f>IF('RFQ-Input'!Y444="","",'RFQ-Input'!Y444)</f>
        <v/>
      </c>
      <c r="BA445" s="7" t="str">
        <f>IF('RFQ-Input'!AB444="","",'RFQ-Input'!AB444)</f>
        <v/>
      </c>
    </row>
    <row r="446" spans="1:53">
      <c r="A446" s="20">
        <v>442</v>
      </c>
      <c r="B446" s="7"/>
      <c r="C446" s="7" t="str">
        <f>IF('RFQ-Input'!C445="","",'RFQ-Input'!C445)</f>
        <v/>
      </c>
      <c r="D446" s="7" t="str">
        <f>IF('RFQ-Input'!D445="","",'RFQ-Input'!D445)</f>
        <v/>
      </c>
      <c r="E446" s="7" t="str">
        <f>IF('RFQ-Input'!E445="","",'RFQ-Input'!E445)</f>
        <v/>
      </c>
      <c r="F446" s="7" t="str">
        <f>IF('RFQ-Input'!F445="","",'RFQ-Input'!F445)</f>
        <v/>
      </c>
      <c r="G446" s="7" t="str">
        <f>IF('RFQ-Input'!G445="","",'RFQ-Input'!G445)</f>
        <v/>
      </c>
      <c r="H446" s="7" t="str">
        <f>IF('RFQ-Input'!H445="","",'RFQ-Input'!H445)</f>
        <v/>
      </c>
      <c r="I446" s="7" t="str">
        <f>IF('RFQ-Input'!I445="","",'RFQ-Input'!I445)</f>
        <v/>
      </c>
      <c r="J446" s="7" t="str">
        <f>IF('RFQ-Input'!J445="","",'RFQ-Input'!J445)</f>
        <v/>
      </c>
      <c r="K446" s="7" t="str">
        <f>IF('RFQ-Input'!K445="","",'RFQ-Input'!K445)</f>
        <v/>
      </c>
      <c r="L446" s="7" t="str">
        <f>IF('RFQ-Input'!L445="","",'RFQ-Input'!L445)</f>
        <v/>
      </c>
      <c r="M446" s="7" t="str">
        <f>IF('RFQ-Input'!M445="","",'RFQ-Input'!M445)</f>
        <v/>
      </c>
      <c r="N446" s="7" t="str">
        <f>IF('RFQ-Input'!N445="","",'RFQ-Input'!N445)</f>
        <v/>
      </c>
      <c r="O446" s="7" t="str">
        <f>IF('RFQ-Input'!O445="","",'RFQ-Input'!O445)</f>
        <v/>
      </c>
      <c r="Q446" s="7"/>
      <c r="R446" s="7"/>
      <c r="S446" s="7"/>
      <c r="T446" s="7"/>
      <c r="U446" s="7"/>
      <c r="V446" s="7"/>
      <c r="X446" s="7"/>
      <c r="Y446" s="7"/>
      <c r="Z446" s="7"/>
      <c r="AA446" s="7" t="str">
        <f t="shared" si="42"/>
        <v/>
      </c>
      <c r="AB446" s="7"/>
      <c r="AC446" s="7"/>
      <c r="AQ446" s="7" t="str">
        <f t="shared" si="43"/>
        <v/>
      </c>
      <c r="AR446" s="7" t="str">
        <f t="shared" si="44"/>
        <v/>
      </c>
      <c r="AS446" s="7" t="str">
        <f t="shared" si="45"/>
        <v/>
      </c>
      <c r="AT446" s="7" t="str">
        <f t="shared" si="46"/>
        <v/>
      </c>
      <c r="AU446" s="7" t="str">
        <f t="shared" si="47"/>
        <v/>
      </c>
      <c r="AV446" s="7" t="str">
        <f t="shared" si="48"/>
        <v/>
      </c>
      <c r="AW446" s="7" t="str">
        <f>IF('RFQ-Input'!O445="","",'RFQ-Input'!O445)</f>
        <v/>
      </c>
      <c r="AX446" s="7" t="str">
        <f>IF('RFQ-Input'!S445="","",'RFQ-Input'!S445)</f>
        <v/>
      </c>
      <c r="AY446" s="7" t="str">
        <f>IF('RFQ-Input'!V445="","",'RFQ-Input'!V445)</f>
        <v/>
      </c>
      <c r="AZ446" s="7" t="str">
        <f>IF('RFQ-Input'!Y445="","",'RFQ-Input'!Y445)</f>
        <v/>
      </c>
      <c r="BA446" s="7" t="str">
        <f>IF('RFQ-Input'!AB445="","",'RFQ-Input'!AB445)</f>
        <v/>
      </c>
    </row>
    <row r="447" spans="1:53">
      <c r="A447" s="20">
        <v>443</v>
      </c>
      <c r="B447" s="7"/>
      <c r="C447" s="7" t="str">
        <f>IF('RFQ-Input'!C446="","",'RFQ-Input'!C446)</f>
        <v/>
      </c>
      <c r="D447" s="7" t="str">
        <f>IF('RFQ-Input'!D446="","",'RFQ-Input'!D446)</f>
        <v/>
      </c>
      <c r="E447" s="7" t="str">
        <f>IF('RFQ-Input'!E446="","",'RFQ-Input'!E446)</f>
        <v/>
      </c>
      <c r="F447" s="7" t="str">
        <f>IF('RFQ-Input'!F446="","",'RFQ-Input'!F446)</f>
        <v/>
      </c>
      <c r="G447" s="7" t="str">
        <f>IF('RFQ-Input'!G446="","",'RFQ-Input'!G446)</f>
        <v/>
      </c>
      <c r="H447" s="7" t="str">
        <f>IF('RFQ-Input'!H446="","",'RFQ-Input'!H446)</f>
        <v/>
      </c>
      <c r="I447" s="7" t="str">
        <f>IF('RFQ-Input'!I446="","",'RFQ-Input'!I446)</f>
        <v/>
      </c>
      <c r="J447" s="7" t="str">
        <f>IF('RFQ-Input'!J446="","",'RFQ-Input'!J446)</f>
        <v/>
      </c>
      <c r="K447" s="7" t="str">
        <f>IF('RFQ-Input'!K446="","",'RFQ-Input'!K446)</f>
        <v/>
      </c>
      <c r="L447" s="7" t="str">
        <f>IF('RFQ-Input'!L446="","",'RFQ-Input'!L446)</f>
        <v/>
      </c>
      <c r="M447" s="7" t="str">
        <f>IF('RFQ-Input'!M446="","",'RFQ-Input'!M446)</f>
        <v/>
      </c>
      <c r="N447" s="7" t="str">
        <f>IF('RFQ-Input'!N446="","",'RFQ-Input'!N446)</f>
        <v/>
      </c>
      <c r="O447" s="7" t="str">
        <f>IF('RFQ-Input'!O446="","",'RFQ-Input'!O446)</f>
        <v/>
      </c>
      <c r="Q447" s="7"/>
      <c r="R447" s="7"/>
      <c r="S447" s="7"/>
      <c r="T447" s="7"/>
      <c r="U447" s="7"/>
      <c r="V447" s="7"/>
      <c r="X447" s="7"/>
      <c r="Y447" s="7"/>
      <c r="Z447" s="7"/>
      <c r="AA447" s="7" t="str">
        <f t="shared" si="42"/>
        <v/>
      </c>
      <c r="AB447" s="7"/>
      <c r="AC447" s="7"/>
      <c r="AQ447" s="7" t="str">
        <f t="shared" si="43"/>
        <v/>
      </c>
      <c r="AR447" s="7" t="str">
        <f t="shared" si="44"/>
        <v/>
      </c>
      <c r="AS447" s="7" t="str">
        <f t="shared" si="45"/>
        <v/>
      </c>
      <c r="AT447" s="7" t="str">
        <f t="shared" si="46"/>
        <v/>
      </c>
      <c r="AU447" s="7" t="str">
        <f t="shared" si="47"/>
        <v/>
      </c>
      <c r="AV447" s="7" t="str">
        <f t="shared" si="48"/>
        <v/>
      </c>
      <c r="AW447" s="7" t="str">
        <f>IF('RFQ-Input'!O446="","",'RFQ-Input'!O446)</f>
        <v/>
      </c>
      <c r="AX447" s="7" t="str">
        <f>IF('RFQ-Input'!S446="","",'RFQ-Input'!S446)</f>
        <v/>
      </c>
      <c r="AY447" s="7" t="str">
        <f>IF('RFQ-Input'!V446="","",'RFQ-Input'!V446)</f>
        <v/>
      </c>
      <c r="AZ447" s="7" t="str">
        <f>IF('RFQ-Input'!Y446="","",'RFQ-Input'!Y446)</f>
        <v/>
      </c>
      <c r="BA447" s="7" t="str">
        <f>IF('RFQ-Input'!AB446="","",'RFQ-Input'!AB446)</f>
        <v/>
      </c>
    </row>
    <row r="448" spans="1:53">
      <c r="A448" s="20">
        <v>444</v>
      </c>
      <c r="B448" s="7"/>
      <c r="C448" s="7" t="str">
        <f>IF('RFQ-Input'!C447="","",'RFQ-Input'!C447)</f>
        <v/>
      </c>
      <c r="D448" s="7" t="str">
        <f>IF('RFQ-Input'!D447="","",'RFQ-Input'!D447)</f>
        <v/>
      </c>
      <c r="E448" s="7" t="str">
        <f>IF('RFQ-Input'!E447="","",'RFQ-Input'!E447)</f>
        <v/>
      </c>
      <c r="F448" s="7" t="str">
        <f>IF('RFQ-Input'!F447="","",'RFQ-Input'!F447)</f>
        <v/>
      </c>
      <c r="G448" s="7" t="str">
        <f>IF('RFQ-Input'!G447="","",'RFQ-Input'!G447)</f>
        <v/>
      </c>
      <c r="H448" s="7" t="str">
        <f>IF('RFQ-Input'!H447="","",'RFQ-Input'!H447)</f>
        <v/>
      </c>
      <c r="I448" s="7" t="str">
        <f>IF('RFQ-Input'!I447="","",'RFQ-Input'!I447)</f>
        <v/>
      </c>
      <c r="J448" s="7" t="str">
        <f>IF('RFQ-Input'!J447="","",'RFQ-Input'!J447)</f>
        <v/>
      </c>
      <c r="K448" s="7" t="str">
        <f>IF('RFQ-Input'!K447="","",'RFQ-Input'!K447)</f>
        <v/>
      </c>
      <c r="L448" s="7" t="str">
        <f>IF('RFQ-Input'!L447="","",'RFQ-Input'!L447)</f>
        <v/>
      </c>
      <c r="M448" s="7" t="str">
        <f>IF('RFQ-Input'!M447="","",'RFQ-Input'!M447)</f>
        <v/>
      </c>
      <c r="N448" s="7" t="str">
        <f>IF('RFQ-Input'!N447="","",'RFQ-Input'!N447)</f>
        <v/>
      </c>
      <c r="O448" s="7" t="str">
        <f>IF('RFQ-Input'!O447="","",'RFQ-Input'!O447)</f>
        <v/>
      </c>
      <c r="Q448" s="7"/>
      <c r="R448" s="7"/>
      <c r="S448" s="7"/>
      <c r="T448" s="7"/>
      <c r="U448" s="7"/>
      <c r="V448" s="7"/>
      <c r="X448" s="7"/>
      <c r="Y448" s="7"/>
      <c r="Z448" s="7"/>
      <c r="AA448" s="7" t="str">
        <f t="shared" si="42"/>
        <v/>
      </c>
      <c r="AB448" s="7"/>
      <c r="AC448" s="7"/>
      <c r="AQ448" s="7" t="str">
        <f t="shared" si="43"/>
        <v/>
      </c>
      <c r="AR448" s="7" t="str">
        <f t="shared" si="44"/>
        <v/>
      </c>
      <c r="AS448" s="7" t="str">
        <f t="shared" si="45"/>
        <v/>
      </c>
      <c r="AT448" s="7" t="str">
        <f t="shared" si="46"/>
        <v/>
      </c>
      <c r="AU448" s="7" t="str">
        <f t="shared" si="47"/>
        <v/>
      </c>
      <c r="AV448" s="7" t="str">
        <f t="shared" si="48"/>
        <v/>
      </c>
      <c r="AW448" s="7" t="str">
        <f>IF('RFQ-Input'!O447="","",'RFQ-Input'!O447)</f>
        <v/>
      </c>
      <c r="AX448" s="7" t="str">
        <f>IF('RFQ-Input'!S447="","",'RFQ-Input'!S447)</f>
        <v/>
      </c>
      <c r="AY448" s="7" t="str">
        <f>IF('RFQ-Input'!V447="","",'RFQ-Input'!V447)</f>
        <v/>
      </c>
      <c r="AZ448" s="7" t="str">
        <f>IF('RFQ-Input'!Y447="","",'RFQ-Input'!Y447)</f>
        <v/>
      </c>
      <c r="BA448" s="7" t="str">
        <f>IF('RFQ-Input'!AB447="","",'RFQ-Input'!AB447)</f>
        <v/>
      </c>
    </row>
    <row r="449" spans="1:53">
      <c r="A449" s="20">
        <v>445</v>
      </c>
      <c r="B449" s="7"/>
      <c r="C449" s="7" t="str">
        <f>IF('RFQ-Input'!C448="","",'RFQ-Input'!C448)</f>
        <v/>
      </c>
      <c r="D449" s="7" t="str">
        <f>IF('RFQ-Input'!D448="","",'RFQ-Input'!D448)</f>
        <v/>
      </c>
      <c r="E449" s="7" t="str">
        <f>IF('RFQ-Input'!E448="","",'RFQ-Input'!E448)</f>
        <v/>
      </c>
      <c r="F449" s="7" t="str">
        <f>IF('RFQ-Input'!F448="","",'RFQ-Input'!F448)</f>
        <v/>
      </c>
      <c r="G449" s="7" t="str">
        <f>IF('RFQ-Input'!G448="","",'RFQ-Input'!G448)</f>
        <v/>
      </c>
      <c r="H449" s="7" t="str">
        <f>IF('RFQ-Input'!H448="","",'RFQ-Input'!H448)</f>
        <v/>
      </c>
      <c r="I449" s="7" t="str">
        <f>IF('RFQ-Input'!I448="","",'RFQ-Input'!I448)</f>
        <v/>
      </c>
      <c r="J449" s="7" t="str">
        <f>IF('RFQ-Input'!J448="","",'RFQ-Input'!J448)</f>
        <v/>
      </c>
      <c r="K449" s="7" t="str">
        <f>IF('RFQ-Input'!K448="","",'RFQ-Input'!K448)</f>
        <v/>
      </c>
      <c r="L449" s="7" t="str">
        <f>IF('RFQ-Input'!L448="","",'RFQ-Input'!L448)</f>
        <v/>
      </c>
      <c r="M449" s="7" t="str">
        <f>IF('RFQ-Input'!M448="","",'RFQ-Input'!M448)</f>
        <v/>
      </c>
      <c r="N449" s="7" t="str">
        <f>IF('RFQ-Input'!N448="","",'RFQ-Input'!N448)</f>
        <v/>
      </c>
      <c r="O449" s="7" t="str">
        <f>IF('RFQ-Input'!O448="","",'RFQ-Input'!O448)</f>
        <v/>
      </c>
      <c r="Q449" s="7"/>
      <c r="R449" s="7"/>
      <c r="S449" s="7"/>
      <c r="T449" s="7"/>
      <c r="U449" s="7"/>
      <c r="V449" s="7"/>
      <c r="X449" s="7"/>
      <c r="Y449" s="7"/>
      <c r="Z449" s="7"/>
      <c r="AA449" s="7" t="str">
        <f t="shared" si="42"/>
        <v/>
      </c>
      <c r="AB449" s="7"/>
      <c r="AC449" s="7"/>
      <c r="AQ449" s="7" t="str">
        <f t="shared" si="43"/>
        <v/>
      </c>
      <c r="AR449" s="7" t="str">
        <f t="shared" si="44"/>
        <v/>
      </c>
      <c r="AS449" s="7" t="str">
        <f t="shared" si="45"/>
        <v/>
      </c>
      <c r="AT449" s="7" t="str">
        <f t="shared" si="46"/>
        <v/>
      </c>
      <c r="AU449" s="7" t="str">
        <f t="shared" si="47"/>
        <v/>
      </c>
      <c r="AV449" s="7" t="str">
        <f t="shared" si="48"/>
        <v/>
      </c>
      <c r="AW449" s="7" t="str">
        <f>IF('RFQ-Input'!O448="","",'RFQ-Input'!O448)</f>
        <v/>
      </c>
      <c r="AX449" s="7" t="str">
        <f>IF('RFQ-Input'!S448="","",'RFQ-Input'!S448)</f>
        <v/>
      </c>
      <c r="AY449" s="7" t="str">
        <f>IF('RFQ-Input'!V448="","",'RFQ-Input'!V448)</f>
        <v/>
      </c>
      <c r="AZ449" s="7" t="str">
        <f>IF('RFQ-Input'!Y448="","",'RFQ-Input'!Y448)</f>
        <v/>
      </c>
      <c r="BA449" s="7" t="str">
        <f>IF('RFQ-Input'!AB448="","",'RFQ-Input'!AB448)</f>
        <v/>
      </c>
    </row>
    <row r="450" spans="1:53">
      <c r="A450" s="20">
        <v>446</v>
      </c>
      <c r="B450" s="7"/>
      <c r="C450" s="7" t="str">
        <f>IF('RFQ-Input'!C449="","",'RFQ-Input'!C449)</f>
        <v/>
      </c>
      <c r="D450" s="7" t="str">
        <f>IF('RFQ-Input'!D449="","",'RFQ-Input'!D449)</f>
        <v/>
      </c>
      <c r="E450" s="7" t="str">
        <f>IF('RFQ-Input'!E449="","",'RFQ-Input'!E449)</f>
        <v/>
      </c>
      <c r="F450" s="7" t="str">
        <f>IF('RFQ-Input'!F449="","",'RFQ-Input'!F449)</f>
        <v/>
      </c>
      <c r="G450" s="7" t="str">
        <f>IF('RFQ-Input'!G449="","",'RFQ-Input'!G449)</f>
        <v/>
      </c>
      <c r="H450" s="7" t="str">
        <f>IF('RFQ-Input'!H449="","",'RFQ-Input'!H449)</f>
        <v/>
      </c>
      <c r="I450" s="7" t="str">
        <f>IF('RFQ-Input'!I449="","",'RFQ-Input'!I449)</f>
        <v/>
      </c>
      <c r="J450" s="7" t="str">
        <f>IF('RFQ-Input'!J449="","",'RFQ-Input'!J449)</f>
        <v/>
      </c>
      <c r="K450" s="7" t="str">
        <f>IF('RFQ-Input'!K449="","",'RFQ-Input'!K449)</f>
        <v/>
      </c>
      <c r="L450" s="7" t="str">
        <f>IF('RFQ-Input'!L449="","",'RFQ-Input'!L449)</f>
        <v/>
      </c>
      <c r="M450" s="7" t="str">
        <f>IF('RFQ-Input'!M449="","",'RFQ-Input'!M449)</f>
        <v/>
      </c>
      <c r="N450" s="7" t="str">
        <f>IF('RFQ-Input'!N449="","",'RFQ-Input'!N449)</f>
        <v/>
      </c>
      <c r="O450" s="7" t="str">
        <f>IF('RFQ-Input'!O449="","",'RFQ-Input'!O449)</f>
        <v/>
      </c>
      <c r="Q450" s="7"/>
      <c r="R450" s="7"/>
      <c r="S450" s="7"/>
      <c r="T450" s="7"/>
      <c r="U450" s="7"/>
      <c r="V450" s="7"/>
      <c r="X450" s="7"/>
      <c r="Y450" s="7"/>
      <c r="Z450" s="7"/>
      <c r="AA450" s="7" t="str">
        <f t="shared" si="42"/>
        <v/>
      </c>
      <c r="AB450" s="7"/>
      <c r="AC450" s="7"/>
      <c r="AQ450" s="7" t="str">
        <f t="shared" si="43"/>
        <v/>
      </c>
      <c r="AR450" s="7" t="str">
        <f t="shared" si="44"/>
        <v/>
      </c>
      <c r="AS450" s="7" t="str">
        <f t="shared" si="45"/>
        <v/>
      </c>
      <c r="AT450" s="7" t="str">
        <f t="shared" si="46"/>
        <v/>
      </c>
      <c r="AU450" s="7" t="str">
        <f t="shared" si="47"/>
        <v/>
      </c>
      <c r="AV450" s="7" t="str">
        <f t="shared" si="48"/>
        <v/>
      </c>
      <c r="AW450" s="7" t="str">
        <f>IF('RFQ-Input'!O449="","",'RFQ-Input'!O449)</f>
        <v/>
      </c>
      <c r="AX450" s="7" t="str">
        <f>IF('RFQ-Input'!S449="","",'RFQ-Input'!S449)</f>
        <v/>
      </c>
      <c r="AY450" s="7" t="str">
        <f>IF('RFQ-Input'!V449="","",'RFQ-Input'!V449)</f>
        <v/>
      </c>
      <c r="AZ450" s="7" t="str">
        <f>IF('RFQ-Input'!Y449="","",'RFQ-Input'!Y449)</f>
        <v/>
      </c>
      <c r="BA450" s="7" t="str">
        <f>IF('RFQ-Input'!AB449="","",'RFQ-Input'!AB449)</f>
        <v/>
      </c>
    </row>
    <row r="451" spans="1:53">
      <c r="A451" s="20">
        <v>447</v>
      </c>
      <c r="B451" s="7"/>
      <c r="C451" s="7" t="str">
        <f>IF('RFQ-Input'!C450="","",'RFQ-Input'!C450)</f>
        <v/>
      </c>
      <c r="D451" s="7" t="str">
        <f>IF('RFQ-Input'!D450="","",'RFQ-Input'!D450)</f>
        <v/>
      </c>
      <c r="E451" s="7" t="str">
        <f>IF('RFQ-Input'!E450="","",'RFQ-Input'!E450)</f>
        <v/>
      </c>
      <c r="F451" s="7" t="str">
        <f>IF('RFQ-Input'!F450="","",'RFQ-Input'!F450)</f>
        <v/>
      </c>
      <c r="G451" s="7" t="str">
        <f>IF('RFQ-Input'!G450="","",'RFQ-Input'!G450)</f>
        <v/>
      </c>
      <c r="H451" s="7" t="str">
        <f>IF('RFQ-Input'!H450="","",'RFQ-Input'!H450)</f>
        <v/>
      </c>
      <c r="I451" s="7" t="str">
        <f>IF('RFQ-Input'!I450="","",'RFQ-Input'!I450)</f>
        <v/>
      </c>
      <c r="J451" s="7" t="str">
        <f>IF('RFQ-Input'!J450="","",'RFQ-Input'!J450)</f>
        <v/>
      </c>
      <c r="K451" s="7" t="str">
        <f>IF('RFQ-Input'!K450="","",'RFQ-Input'!K450)</f>
        <v/>
      </c>
      <c r="L451" s="7" t="str">
        <f>IF('RFQ-Input'!L450="","",'RFQ-Input'!L450)</f>
        <v/>
      </c>
      <c r="M451" s="7" t="str">
        <f>IF('RFQ-Input'!M450="","",'RFQ-Input'!M450)</f>
        <v/>
      </c>
      <c r="N451" s="7" t="str">
        <f>IF('RFQ-Input'!N450="","",'RFQ-Input'!N450)</f>
        <v/>
      </c>
      <c r="O451" s="7" t="str">
        <f>IF('RFQ-Input'!O450="","",'RFQ-Input'!O450)</f>
        <v/>
      </c>
      <c r="Q451" s="7"/>
      <c r="R451" s="7"/>
      <c r="S451" s="7"/>
      <c r="T451" s="7"/>
      <c r="U451" s="7"/>
      <c r="V451" s="7"/>
      <c r="X451" s="7"/>
      <c r="Y451" s="7"/>
      <c r="Z451" s="7"/>
      <c r="AA451" s="7" t="str">
        <f t="shared" si="42"/>
        <v/>
      </c>
      <c r="AB451" s="7"/>
      <c r="AC451" s="7"/>
      <c r="AQ451" s="7" t="str">
        <f t="shared" si="43"/>
        <v/>
      </c>
      <c r="AR451" s="7" t="str">
        <f t="shared" si="44"/>
        <v/>
      </c>
      <c r="AS451" s="7" t="str">
        <f t="shared" si="45"/>
        <v/>
      </c>
      <c r="AT451" s="7" t="str">
        <f t="shared" si="46"/>
        <v/>
      </c>
      <c r="AU451" s="7" t="str">
        <f t="shared" si="47"/>
        <v/>
      </c>
      <c r="AV451" s="7" t="str">
        <f t="shared" si="48"/>
        <v/>
      </c>
      <c r="AW451" s="7" t="str">
        <f>IF('RFQ-Input'!O450="","",'RFQ-Input'!O450)</f>
        <v/>
      </c>
      <c r="AX451" s="7" t="str">
        <f>IF('RFQ-Input'!S450="","",'RFQ-Input'!S450)</f>
        <v/>
      </c>
      <c r="AY451" s="7" t="str">
        <f>IF('RFQ-Input'!V450="","",'RFQ-Input'!V450)</f>
        <v/>
      </c>
      <c r="AZ451" s="7" t="str">
        <f>IF('RFQ-Input'!Y450="","",'RFQ-Input'!Y450)</f>
        <v/>
      </c>
      <c r="BA451" s="7" t="str">
        <f>IF('RFQ-Input'!AB450="","",'RFQ-Input'!AB450)</f>
        <v/>
      </c>
    </row>
    <row r="452" spans="1:53">
      <c r="A452" s="20">
        <v>448</v>
      </c>
      <c r="B452" s="7"/>
      <c r="C452" s="7" t="str">
        <f>IF('RFQ-Input'!C451="","",'RFQ-Input'!C451)</f>
        <v/>
      </c>
      <c r="D452" s="7" t="str">
        <f>IF('RFQ-Input'!D451="","",'RFQ-Input'!D451)</f>
        <v/>
      </c>
      <c r="E452" s="7" t="str">
        <f>IF('RFQ-Input'!E451="","",'RFQ-Input'!E451)</f>
        <v/>
      </c>
      <c r="F452" s="7" t="str">
        <f>IF('RFQ-Input'!F451="","",'RFQ-Input'!F451)</f>
        <v/>
      </c>
      <c r="G452" s="7" t="str">
        <f>IF('RFQ-Input'!G451="","",'RFQ-Input'!G451)</f>
        <v/>
      </c>
      <c r="H452" s="7" t="str">
        <f>IF('RFQ-Input'!H451="","",'RFQ-Input'!H451)</f>
        <v/>
      </c>
      <c r="I452" s="7" t="str">
        <f>IF('RFQ-Input'!I451="","",'RFQ-Input'!I451)</f>
        <v/>
      </c>
      <c r="J452" s="7" t="str">
        <f>IF('RFQ-Input'!J451="","",'RFQ-Input'!J451)</f>
        <v/>
      </c>
      <c r="K452" s="7" t="str">
        <f>IF('RFQ-Input'!K451="","",'RFQ-Input'!K451)</f>
        <v/>
      </c>
      <c r="L452" s="7" t="str">
        <f>IF('RFQ-Input'!L451="","",'RFQ-Input'!L451)</f>
        <v/>
      </c>
      <c r="M452" s="7" t="str">
        <f>IF('RFQ-Input'!M451="","",'RFQ-Input'!M451)</f>
        <v/>
      </c>
      <c r="N452" s="7" t="str">
        <f>IF('RFQ-Input'!N451="","",'RFQ-Input'!N451)</f>
        <v/>
      </c>
      <c r="O452" s="7" t="str">
        <f>IF('RFQ-Input'!O451="","",'RFQ-Input'!O451)</f>
        <v/>
      </c>
      <c r="Q452" s="7"/>
      <c r="R452" s="7"/>
      <c r="S452" s="7"/>
      <c r="T452" s="7"/>
      <c r="U452" s="7"/>
      <c r="V452" s="7"/>
      <c r="X452" s="7"/>
      <c r="Y452" s="7"/>
      <c r="Z452" s="7"/>
      <c r="AA452" s="7" t="str">
        <f t="shared" si="42"/>
        <v/>
      </c>
      <c r="AB452" s="7"/>
      <c r="AC452" s="7"/>
      <c r="AQ452" s="7" t="str">
        <f t="shared" si="43"/>
        <v/>
      </c>
      <c r="AR452" s="7" t="str">
        <f t="shared" si="44"/>
        <v/>
      </c>
      <c r="AS452" s="7" t="str">
        <f t="shared" si="45"/>
        <v/>
      </c>
      <c r="AT452" s="7" t="str">
        <f t="shared" si="46"/>
        <v/>
      </c>
      <c r="AU452" s="7" t="str">
        <f t="shared" si="47"/>
        <v/>
      </c>
      <c r="AV452" s="7" t="str">
        <f t="shared" si="48"/>
        <v/>
      </c>
      <c r="AW452" s="7" t="str">
        <f>IF('RFQ-Input'!O451="","",'RFQ-Input'!O451)</f>
        <v/>
      </c>
      <c r="AX452" s="7" t="str">
        <f>IF('RFQ-Input'!S451="","",'RFQ-Input'!S451)</f>
        <v/>
      </c>
      <c r="AY452" s="7" t="str">
        <f>IF('RFQ-Input'!V451="","",'RFQ-Input'!V451)</f>
        <v/>
      </c>
      <c r="AZ452" s="7" t="str">
        <f>IF('RFQ-Input'!Y451="","",'RFQ-Input'!Y451)</f>
        <v/>
      </c>
      <c r="BA452" s="7" t="str">
        <f>IF('RFQ-Input'!AB451="","",'RFQ-Input'!AB451)</f>
        <v/>
      </c>
    </row>
    <row r="453" spans="1:53">
      <c r="A453" s="20">
        <v>449</v>
      </c>
      <c r="B453" s="7"/>
      <c r="C453" s="7" t="str">
        <f>IF('RFQ-Input'!C452="","",'RFQ-Input'!C452)</f>
        <v/>
      </c>
      <c r="D453" s="7" t="str">
        <f>IF('RFQ-Input'!D452="","",'RFQ-Input'!D452)</f>
        <v/>
      </c>
      <c r="E453" s="7" t="str">
        <f>IF('RFQ-Input'!E452="","",'RFQ-Input'!E452)</f>
        <v/>
      </c>
      <c r="F453" s="7" t="str">
        <f>IF('RFQ-Input'!F452="","",'RFQ-Input'!F452)</f>
        <v/>
      </c>
      <c r="G453" s="7" t="str">
        <f>IF('RFQ-Input'!G452="","",'RFQ-Input'!G452)</f>
        <v/>
      </c>
      <c r="H453" s="7" t="str">
        <f>IF('RFQ-Input'!H452="","",'RFQ-Input'!H452)</f>
        <v/>
      </c>
      <c r="I453" s="7" t="str">
        <f>IF('RFQ-Input'!I452="","",'RFQ-Input'!I452)</f>
        <v/>
      </c>
      <c r="J453" s="7" t="str">
        <f>IF('RFQ-Input'!J452="","",'RFQ-Input'!J452)</f>
        <v/>
      </c>
      <c r="K453" s="7" t="str">
        <f>IF('RFQ-Input'!K452="","",'RFQ-Input'!K452)</f>
        <v/>
      </c>
      <c r="L453" s="7" t="str">
        <f>IF('RFQ-Input'!L452="","",'RFQ-Input'!L452)</f>
        <v/>
      </c>
      <c r="M453" s="7" t="str">
        <f>IF('RFQ-Input'!M452="","",'RFQ-Input'!M452)</f>
        <v/>
      </c>
      <c r="N453" s="7" t="str">
        <f>IF('RFQ-Input'!N452="","",'RFQ-Input'!N452)</f>
        <v/>
      </c>
      <c r="O453" s="7" t="str">
        <f>IF('RFQ-Input'!O452="","",'RFQ-Input'!O452)</f>
        <v/>
      </c>
      <c r="Q453" s="7"/>
      <c r="R453" s="7"/>
      <c r="S453" s="7"/>
      <c r="T453" s="7"/>
      <c r="U453" s="7"/>
      <c r="V453" s="7"/>
      <c r="X453" s="7"/>
      <c r="Y453" s="7"/>
      <c r="Z453" s="7"/>
      <c r="AA453" s="7" t="str">
        <f t="shared" ref="AA453:AA516" si="49">IF(AND(L453="",Y453=""),"",L453)</f>
        <v/>
      </c>
      <c r="AB453" s="7"/>
      <c r="AC453" s="7"/>
      <c r="AQ453" s="7" t="str">
        <f t="shared" si="43"/>
        <v/>
      </c>
      <c r="AR453" s="7" t="str">
        <f t="shared" si="44"/>
        <v/>
      </c>
      <c r="AS453" s="7" t="str">
        <f t="shared" si="45"/>
        <v/>
      </c>
      <c r="AT453" s="7" t="str">
        <f t="shared" si="46"/>
        <v/>
      </c>
      <c r="AU453" s="7" t="str">
        <f t="shared" si="47"/>
        <v/>
      </c>
      <c r="AV453" s="7" t="str">
        <f t="shared" si="48"/>
        <v/>
      </c>
      <c r="AW453" s="7" t="str">
        <f>IF('RFQ-Input'!O452="","",'RFQ-Input'!O452)</f>
        <v/>
      </c>
      <c r="AX453" s="7" t="str">
        <f>IF('RFQ-Input'!S452="","",'RFQ-Input'!S452)</f>
        <v/>
      </c>
      <c r="AY453" s="7" t="str">
        <f>IF('RFQ-Input'!V452="","",'RFQ-Input'!V452)</f>
        <v/>
      </c>
      <c r="AZ453" s="7" t="str">
        <f>IF('RFQ-Input'!Y452="","",'RFQ-Input'!Y452)</f>
        <v/>
      </c>
      <c r="BA453" s="7" t="str">
        <f>IF('RFQ-Input'!AB452="","",'RFQ-Input'!AB452)</f>
        <v/>
      </c>
    </row>
    <row r="454" spans="1:53">
      <c r="A454" s="20">
        <v>450</v>
      </c>
      <c r="B454" s="7"/>
      <c r="C454" s="7" t="str">
        <f>IF('RFQ-Input'!C453="","",'RFQ-Input'!C453)</f>
        <v/>
      </c>
      <c r="D454" s="7" t="str">
        <f>IF('RFQ-Input'!D453="","",'RFQ-Input'!D453)</f>
        <v/>
      </c>
      <c r="E454" s="7" t="str">
        <f>IF('RFQ-Input'!E453="","",'RFQ-Input'!E453)</f>
        <v/>
      </c>
      <c r="F454" s="7" t="str">
        <f>IF('RFQ-Input'!F453="","",'RFQ-Input'!F453)</f>
        <v/>
      </c>
      <c r="G454" s="7" t="str">
        <f>IF('RFQ-Input'!G453="","",'RFQ-Input'!G453)</f>
        <v/>
      </c>
      <c r="H454" s="7" t="str">
        <f>IF('RFQ-Input'!H453="","",'RFQ-Input'!H453)</f>
        <v/>
      </c>
      <c r="I454" s="7" t="str">
        <f>IF('RFQ-Input'!I453="","",'RFQ-Input'!I453)</f>
        <v/>
      </c>
      <c r="J454" s="7" t="str">
        <f>IF('RFQ-Input'!J453="","",'RFQ-Input'!J453)</f>
        <v/>
      </c>
      <c r="K454" s="7" t="str">
        <f>IF('RFQ-Input'!K453="","",'RFQ-Input'!K453)</f>
        <v/>
      </c>
      <c r="L454" s="7" t="str">
        <f>IF('RFQ-Input'!L453="","",'RFQ-Input'!L453)</f>
        <v/>
      </c>
      <c r="M454" s="7" t="str">
        <f>IF('RFQ-Input'!M453="","",'RFQ-Input'!M453)</f>
        <v/>
      </c>
      <c r="N454" s="7" t="str">
        <f>IF('RFQ-Input'!N453="","",'RFQ-Input'!N453)</f>
        <v/>
      </c>
      <c r="O454" s="7" t="str">
        <f>IF('RFQ-Input'!O453="","",'RFQ-Input'!O453)</f>
        <v/>
      </c>
      <c r="Q454" s="7"/>
      <c r="R454" s="7"/>
      <c r="S454" s="7"/>
      <c r="T454" s="7"/>
      <c r="U454" s="7"/>
      <c r="V454" s="7"/>
      <c r="X454" s="7"/>
      <c r="Y454" s="7"/>
      <c r="Z454" s="7"/>
      <c r="AA454" s="7" t="str">
        <f t="shared" si="49"/>
        <v/>
      </c>
      <c r="AB454" s="7"/>
      <c r="AC454" s="7"/>
      <c r="AQ454" s="7" t="str">
        <f t="shared" ref="AQ454:AQ517" si="50">IFERROR(SMALL($AW454:$CT454,1),"")</f>
        <v/>
      </c>
      <c r="AR454" s="7" t="str">
        <f t="shared" ref="AR454:AR517" si="51">IF(AQ454="","",INDEX($AW$4:$CT$4,MATCH(AQ454,$AW454:$CT454,0)))</f>
        <v/>
      </c>
      <c r="AS454" s="7" t="str">
        <f t="shared" ref="AS454:AS517" si="52">IFERROR(SMALL($AW454:$CT454,2),"")</f>
        <v/>
      </c>
      <c r="AT454" s="7" t="str">
        <f t="shared" ref="AT454:AT517" si="53">IF(AS454="","",INDEX($AW$4:$CT$4,MATCH(AS454,$AW454:$CT454,0)))</f>
        <v/>
      </c>
      <c r="AU454" s="7" t="str">
        <f t="shared" ref="AU454:AU517" si="54">IFERROR(SMALL($AW454:$CT454,3),"")</f>
        <v/>
      </c>
      <c r="AV454" s="7" t="str">
        <f t="shared" ref="AV454:AV517" si="55">IF(AU454="","",INDEX($AW$4:$CT$4,MATCH(AU454,$AW454:$CT454,0)))</f>
        <v/>
      </c>
      <c r="AW454" s="7" t="str">
        <f>IF('RFQ-Input'!O453="","",'RFQ-Input'!O453)</f>
        <v/>
      </c>
      <c r="AX454" s="7" t="str">
        <f>IF('RFQ-Input'!S453="","",'RFQ-Input'!S453)</f>
        <v/>
      </c>
      <c r="AY454" s="7" t="str">
        <f>IF('RFQ-Input'!V453="","",'RFQ-Input'!V453)</f>
        <v/>
      </c>
      <c r="AZ454" s="7" t="str">
        <f>IF('RFQ-Input'!Y453="","",'RFQ-Input'!Y453)</f>
        <v/>
      </c>
      <c r="BA454" s="7" t="str">
        <f>IF('RFQ-Input'!AB453="","",'RFQ-Input'!AB453)</f>
        <v/>
      </c>
    </row>
    <row r="455" spans="1:53">
      <c r="A455" s="20">
        <v>451</v>
      </c>
      <c r="B455" s="7"/>
      <c r="C455" s="7" t="str">
        <f>IF('RFQ-Input'!C454="","",'RFQ-Input'!C454)</f>
        <v/>
      </c>
      <c r="D455" s="7" t="str">
        <f>IF('RFQ-Input'!D454="","",'RFQ-Input'!D454)</f>
        <v/>
      </c>
      <c r="E455" s="7" t="str">
        <f>IF('RFQ-Input'!E454="","",'RFQ-Input'!E454)</f>
        <v/>
      </c>
      <c r="F455" s="7" t="str">
        <f>IF('RFQ-Input'!F454="","",'RFQ-Input'!F454)</f>
        <v/>
      </c>
      <c r="G455" s="7" t="str">
        <f>IF('RFQ-Input'!G454="","",'RFQ-Input'!G454)</f>
        <v/>
      </c>
      <c r="H455" s="7" t="str">
        <f>IF('RFQ-Input'!H454="","",'RFQ-Input'!H454)</f>
        <v/>
      </c>
      <c r="I455" s="7" t="str">
        <f>IF('RFQ-Input'!I454="","",'RFQ-Input'!I454)</f>
        <v/>
      </c>
      <c r="J455" s="7" t="str">
        <f>IF('RFQ-Input'!J454="","",'RFQ-Input'!J454)</f>
        <v/>
      </c>
      <c r="K455" s="7" t="str">
        <f>IF('RFQ-Input'!K454="","",'RFQ-Input'!K454)</f>
        <v/>
      </c>
      <c r="L455" s="7" t="str">
        <f>IF('RFQ-Input'!L454="","",'RFQ-Input'!L454)</f>
        <v/>
      </c>
      <c r="M455" s="7" t="str">
        <f>IF('RFQ-Input'!M454="","",'RFQ-Input'!M454)</f>
        <v/>
      </c>
      <c r="N455" s="7" t="str">
        <f>IF('RFQ-Input'!N454="","",'RFQ-Input'!N454)</f>
        <v/>
      </c>
      <c r="O455" s="7" t="str">
        <f>IF('RFQ-Input'!O454="","",'RFQ-Input'!O454)</f>
        <v/>
      </c>
      <c r="Q455" s="7"/>
      <c r="R455" s="7"/>
      <c r="S455" s="7"/>
      <c r="T455" s="7"/>
      <c r="U455" s="7"/>
      <c r="V455" s="7"/>
      <c r="X455" s="7"/>
      <c r="Y455" s="7"/>
      <c r="Z455" s="7"/>
      <c r="AA455" s="7" t="str">
        <f t="shared" si="49"/>
        <v/>
      </c>
      <c r="AB455" s="7"/>
      <c r="AC455" s="7"/>
      <c r="AQ455" s="7" t="str">
        <f t="shared" si="50"/>
        <v/>
      </c>
      <c r="AR455" s="7" t="str">
        <f t="shared" si="51"/>
        <v/>
      </c>
      <c r="AS455" s="7" t="str">
        <f t="shared" si="52"/>
        <v/>
      </c>
      <c r="AT455" s="7" t="str">
        <f t="shared" si="53"/>
        <v/>
      </c>
      <c r="AU455" s="7" t="str">
        <f t="shared" si="54"/>
        <v/>
      </c>
      <c r="AV455" s="7" t="str">
        <f t="shared" si="55"/>
        <v/>
      </c>
      <c r="AW455" s="7" t="str">
        <f>IF('RFQ-Input'!O454="","",'RFQ-Input'!O454)</f>
        <v/>
      </c>
      <c r="AX455" s="7" t="str">
        <f>IF('RFQ-Input'!S454="","",'RFQ-Input'!S454)</f>
        <v/>
      </c>
      <c r="AY455" s="7" t="str">
        <f>IF('RFQ-Input'!V454="","",'RFQ-Input'!V454)</f>
        <v/>
      </c>
      <c r="AZ455" s="7" t="str">
        <f>IF('RFQ-Input'!Y454="","",'RFQ-Input'!Y454)</f>
        <v/>
      </c>
      <c r="BA455" s="7" t="str">
        <f>IF('RFQ-Input'!AB454="","",'RFQ-Input'!AB454)</f>
        <v/>
      </c>
    </row>
    <row r="456" spans="1:53">
      <c r="A456" s="20">
        <v>452</v>
      </c>
      <c r="B456" s="7"/>
      <c r="C456" s="7" t="str">
        <f>IF('RFQ-Input'!C455="","",'RFQ-Input'!C455)</f>
        <v/>
      </c>
      <c r="D456" s="7" t="str">
        <f>IF('RFQ-Input'!D455="","",'RFQ-Input'!D455)</f>
        <v/>
      </c>
      <c r="E456" s="7" t="str">
        <f>IF('RFQ-Input'!E455="","",'RFQ-Input'!E455)</f>
        <v/>
      </c>
      <c r="F456" s="7" t="str">
        <f>IF('RFQ-Input'!F455="","",'RFQ-Input'!F455)</f>
        <v/>
      </c>
      <c r="G456" s="7" t="str">
        <f>IF('RFQ-Input'!G455="","",'RFQ-Input'!G455)</f>
        <v/>
      </c>
      <c r="H456" s="7" t="str">
        <f>IF('RFQ-Input'!H455="","",'RFQ-Input'!H455)</f>
        <v/>
      </c>
      <c r="I456" s="7" t="str">
        <f>IF('RFQ-Input'!I455="","",'RFQ-Input'!I455)</f>
        <v/>
      </c>
      <c r="J456" s="7" t="str">
        <f>IF('RFQ-Input'!J455="","",'RFQ-Input'!J455)</f>
        <v/>
      </c>
      <c r="K456" s="7" t="str">
        <f>IF('RFQ-Input'!K455="","",'RFQ-Input'!K455)</f>
        <v/>
      </c>
      <c r="L456" s="7" t="str">
        <f>IF('RFQ-Input'!L455="","",'RFQ-Input'!L455)</f>
        <v/>
      </c>
      <c r="M456" s="7" t="str">
        <f>IF('RFQ-Input'!M455="","",'RFQ-Input'!M455)</f>
        <v/>
      </c>
      <c r="N456" s="7" t="str">
        <f>IF('RFQ-Input'!N455="","",'RFQ-Input'!N455)</f>
        <v/>
      </c>
      <c r="O456" s="7" t="str">
        <f>IF('RFQ-Input'!O455="","",'RFQ-Input'!O455)</f>
        <v/>
      </c>
      <c r="Q456" s="7"/>
      <c r="R456" s="7"/>
      <c r="S456" s="7"/>
      <c r="T456" s="7"/>
      <c r="U456" s="7"/>
      <c r="V456" s="7"/>
      <c r="X456" s="7"/>
      <c r="Y456" s="7"/>
      <c r="Z456" s="7"/>
      <c r="AA456" s="7" t="str">
        <f t="shared" si="49"/>
        <v/>
      </c>
      <c r="AB456" s="7"/>
      <c r="AC456" s="7"/>
      <c r="AQ456" s="7" t="str">
        <f t="shared" si="50"/>
        <v/>
      </c>
      <c r="AR456" s="7" t="str">
        <f t="shared" si="51"/>
        <v/>
      </c>
      <c r="AS456" s="7" t="str">
        <f t="shared" si="52"/>
        <v/>
      </c>
      <c r="AT456" s="7" t="str">
        <f t="shared" si="53"/>
        <v/>
      </c>
      <c r="AU456" s="7" t="str">
        <f t="shared" si="54"/>
        <v/>
      </c>
      <c r="AV456" s="7" t="str">
        <f t="shared" si="55"/>
        <v/>
      </c>
      <c r="AW456" s="7" t="str">
        <f>IF('RFQ-Input'!O455="","",'RFQ-Input'!O455)</f>
        <v/>
      </c>
      <c r="AX456" s="7" t="str">
        <f>IF('RFQ-Input'!S455="","",'RFQ-Input'!S455)</f>
        <v/>
      </c>
      <c r="AY456" s="7" t="str">
        <f>IF('RFQ-Input'!V455="","",'RFQ-Input'!V455)</f>
        <v/>
      </c>
      <c r="AZ456" s="7" t="str">
        <f>IF('RFQ-Input'!Y455="","",'RFQ-Input'!Y455)</f>
        <v/>
      </c>
      <c r="BA456" s="7" t="str">
        <f>IF('RFQ-Input'!AB455="","",'RFQ-Input'!AB455)</f>
        <v/>
      </c>
    </row>
    <row r="457" spans="1:53">
      <c r="A457" s="20">
        <v>453</v>
      </c>
      <c r="B457" s="7"/>
      <c r="C457" s="7" t="str">
        <f>IF('RFQ-Input'!C456="","",'RFQ-Input'!C456)</f>
        <v/>
      </c>
      <c r="D457" s="7" t="str">
        <f>IF('RFQ-Input'!D456="","",'RFQ-Input'!D456)</f>
        <v/>
      </c>
      <c r="E457" s="7" t="str">
        <f>IF('RFQ-Input'!E456="","",'RFQ-Input'!E456)</f>
        <v/>
      </c>
      <c r="F457" s="7" t="str">
        <f>IF('RFQ-Input'!F456="","",'RFQ-Input'!F456)</f>
        <v/>
      </c>
      <c r="G457" s="7" t="str">
        <f>IF('RFQ-Input'!G456="","",'RFQ-Input'!G456)</f>
        <v/>
      </c>
      <c r="H457" s="7" t="str">
        <f>IF('RFQ-Input'!H456="","",'RFQ-Input'!H456)</f>
        <v/>
      </c>
      <c r="I457" s="7" t="str">
        <f>IF('RFQ-Input'!I456="","",'RFQ-Input'!I456)</f>
        <v/>
      </c>
      <c r="J457" s="7" t="str">
        <f>IF('RFQ-Input'!J456="","",'RFQ-Input'!J456)</f>
        <v/>
      </c>
      <c r="K457" s="7" t="str">
        <f>IF('RFQ-Input'!K456="","",'RFQ-Input'!K456)</f>
        <v/>
      </c>
      <c r="L457" s="7" t="str">
        <f>IF('RFQ-Input'!L456="","",'RFQ-Input'!L456)</f>
        <v/>
      </c>
      <c r="M457" s="7" t="str">
        <f>IF('RFQ-Input'!M456="","",'RFQ-Input'!M456)</f>
        <v/>
      </c>
      <c r="N457" s="7" t="str">
        <f>IF('RFQ-Input'!N456="","",'RFQ-Input'!N456)</f>
        <v/>
      </c>
      <c r="O457" s="7" t="str">
        <f>IF('RFQ-Input'!O456="","",'RFQ-Input'!O456)</f>
        <v/>
      </c>
      <c r="Q457" s="7"/>
      <c r="R457" s="7"/>
      <c r="S457" s="7"/>
      <c r="T457" s="7"/>
      <c r="U457" s="7"/>
      <c r="V457" s="7"/>
      <c r="X457" s="7"/>
      <c r="Y457" s="7"/>
      <c r="Z457" s="7"/>
      <c r="AA457" s="7" t="str">
        <f t="shared" si="49"/>
        <v/>
      </c>
      <c r="AB457" s="7"/>
      <c r="AC457" s="7"/>
      <c r="AQ457" s="7" t="str">
        <f t="shared" si="50"/>
        <v/>
      </c>
      <c r="AR457" s="7" t="str">
        <f t="shared" si="51"/>
        <v/>
      </c>
      <c r="AS457" s="7" t="str">
        <f t="shared" si="52"/>
        <v/>
      </c>
      <c r="AT457" s="7" t="str">
        <f t="shared" si="53"/>
        <v/>
      </c>
      <c r="AU457" s="7" t="str">
        <f t="shared" si="54"/>
        <v/>
      </c>
      <c r="AV457" s="7" t="str">
        <f t="shared" si="55"/>
        <v/>
      </c>
      <c r="AW457" s="7" t="str">
        <f>IF('RFQ-Input'!O456="","",'RFQ-Input'!O456)</f>
        <v/>
      </c>
      <c r="AX457" s="7" t="str">
        <f>IF('RFQ-Input'!S456="","",'RFQ-Input'!S456)</f>
        <v/>
      </c>
      <c r="AY457" s="7" t="str">
        <f>IF('RFQ-Input'!V456="","",'RFQ-Input'!V456)</f>
        <v/>
      </c>
      <c r="AZ457" s="7" t="str">
        <f>IF('RFQ-Input'!Y456="","",'RFQ-Input'!Y456)</f>
        <v/>
      </c>
      <c r="BA457" s="7" t="str">
        <f>IF('RFQ-Input'!AB456="","",'RFQ-Input'!AB456)</f>
        <v/>
      </c>
    </row>
    <row r="458" spans="1:53">
      <c r="A458" s="20">
        <v>454</v>
      </c>
      <c r="B458" s="7"/>
      <c r="C458" s="7" t="str">
        <f>IF('RFQ-Input'!C457="","",'RFQ-Input'!C457)</f>
        <v/>
      </c>
      <c r="D458" s="7" t="str">
        <f>IF('RFQ-Input'!D457="","",'RFQ-Input'!D457)</f>
        <v/>
      </c>
      <c r="E458" s="7" t="str">
        <f>IF('RFQ-Input'!E457="","",'RFQ-Input'!E457)</f>
        <v/>
      </c>
      <c r="F458" s="7" t="str">
        <f>IF('RFQ-Input'!F457="","",'RFQ-Input'!F457)</f>
        <v/>
      </c>
      <c r="G458" s="7" t="str">
        <f>IF('RFQ-Input'!G457="","",'RFQ-Input'!G457)</f>
        <v/>
      </c>
      <c r="H458" s="7" t="str">
        <f>IF('RFQ-Input'!H457="","",'RFQ-Input'!H457)</f>
        <v/>
      </c>
      <c r="I458" s="7" t="str">
        <f>IF('RFQ-Input'!I457="","",'RFQ-Input'!I457)</f>
        <v/>
      </c>
      <c r="J458" s="7" t="str">
        <f>IF('RFQ-Input'!J457="","",'RFQ-Input'!J457)</f>
        <v/>
      </c>
      <c r="K458" s="7" t="str">
        <f>IF('RFQ-Input'!K457="","",'RFQ-Input'!K457)</f>
        <v/>
      </c>
      <c r="L458" s="7" t="str">
        <f>IF('RFQ-Input'!L457="","",'RFQ-Input'!L457)</f>
        <v/>
      </c>
      <c r="M458" s="7" t="str">
        <f>IF('RFQ-Input'!M457="","",'RFQ-Input'!M457)</f>
        <v/>
      </c>
      <c r="N458" s="7" t="str">
        <f>IF('RFQ-Input'!N457="","",'RFQ-Input'!N457)</f>
        <v/>
      </c>
      <c r="O458" s="7" t="str">
        <f>IF('RFQ-Input'!O457="","",'RFQ-Input'!O457)</f>
        <v/>
      </c>
      <c r="Q458" s="7"/>
      <c r="R458" s="7"/>
      <c r="S458" s="7"/>
      <c r="T458" s="7"/>
      <c r="U458" s="7"/>
      <c r="V458" s="7"/>
      <c r="X458" s="7"/>
      <c r="Y458" s="7"/>
      <c r="Z458" s="7"/>
      <c r="AA458" s="7" t="str">
        <f t="shared" si="49"/>
        <v/>
      </c>
      <c r="AB458" s="7"/>
      <c r="AC458" s="7"/>
      <c r="AQ458" s="7" t="str">
        <f t="shared" si="50"/>
        <v/>
      </c>
      <c r="AR458" s="7" t="str">
        <f t="shared" si="51"/>
        <v/>
      </c>
      <c r="AS458" s="7" t="str">
        <f t="shared" si="52"/>
        <v/>
      </c>
      <c r="AT458" s="7" t="str">
        <f t="shared" si="53"/>
        <v/>
      </c>
      <c r="AU458" s="7" t="str">
        <f t="shared" si="54"/>
        <v/>
      </c>
      <c r="AV458" s="7" t="str">
        <f t="shared" si="55"/>
        <v/>
      </c>
      <c r="AW458" s="7" t="str">
        <f>IF('RFQ-Input'!O457="","",'RFQ-Input'!O457)</f>
        <v/>
      </c>
      <c r="AX458" s="7" t="str">
        <f>IF('RFQ-Input'!S457="","",'RFQ-Input'!S457)</f>
        <v/>
      </c>
      <c r="AY458" s="7" t="str">
        <f>IF('RFQ-Input'!V457="","",'RFQ-Input'!V457)</f>
        <v/>
      </c>
      <c r="AZ458" s="7" t="str">
        <f>IF('RFQ-Input'!Y457="","",'RFQ-Input'!Y457)</f>
        <v/>
      </c>
      <c r="BA458" s="7" t="str">
        <f>IF('RFQ-Input'!AB457="","",'RFQ-Input'!AB457)</f>
        <v/>
      </c>
    </row>
    <row r="459" spans="1:53">
      <c r="A459" s="20">
        <v>455</v>
      </c>
      <c r="B459" s="7"/>
      <c r="C459" s="7" t="str">
        <f>IF('RFQ-Input'!C458="","",'RFQ-Input'!C458)</f>
        <v/>
      </c>
      <c r="D459" s="7" t="str">
        <f>IF('RFQ-Input'!D458="","",'RFQ-Input'!D458)</f>
        <v/>
      </c>
      <c r="E459" s="7" t="str">
        <f>IF('RFQ-Input'!E458="","",'RFQ-Input'!E458)</f>
        <v/>
      </c>
      <c r="F459" s="7" t="str">
        <f>IF('RFQ-Input'!F458="","",'RFQ-Input'!F458)</f>
        <v/>
      </c>
      <c r="G459" s="7" t="str">
        <f>IF('RFQ-Input'!G458="","",'RFQ-Input'!G458)</f>
        <v/>
      </c>
      <c r="H459" s="7" t="str">
        <f>IF('RFQ-Input'!H458="","",'RFQ-Input'!H458)</f>
        <v/>
      </c>
      <c r="I459" s="7" t="str">
        <f>IF('RFQ-Input'!I458="","",'RFQ-Input'!I458)</f>
        <v/>
      </c>
      <c r="J459" s="7" t="str">
        <f>IF('RFQ-Input'!J458="","",'RFQ-Input'!J458)</f>
        <v/>
      </c>
      <c r="K459" s="7" t="str">
        <f>IF('RFQ-Input'!K458="","",'RFQ-Input'!K458)</f>
        <v/>
      </c>
      <c r="L459" s="7" t="str">
        <f>IF('RFQ-Input'!L458="","",'RFQ-Input'!L458)</f>
        <v/>
      </c>
      <c r="M459" s="7" t="str">
        <f>IF('RFQ-Input'!M458="","",'RFQ-Input'!M458)</f>
        <v/>
      </c>
      <c r="N459" s="7" t="str">
        <f>IF('RFQ-Input'!N458="","",'RFQ-Input'!N458)</f>
        <v/>
      </c>
      <c r="O459" s="7" t="str">
        <f>IF('RFQ-Input'!O458="","",'RFQ-Input'!O458)</f>
        <v/>
      </c>
      <c r="Q459" s="7"/>
      <c r="R459" s="7"/>
      <c r="S459" s="7"/>
      <c r="T459" s="7"/>
      <c r="U459" s="7"/>
      <c r="V459" s="7"/>
      <c r="X459" s="7"/>
      <c r="Y459" s="7"/>
      <c r="Z459" s="7"/>
      <c r="AA459" s="7" t="str">
        <f t="shared" si="49"/>
        <v/>
      </c>
      <c r="AB459" s="7"/>
      <c r="AC459" s="7"/>
      <c r="AQ459" s="7" t="str">
        <f t="shared" si="50"/>
        <v/>
      </c>
      <c r="AR459" s="7" t="str">
        <f t="shared" si="51"/>
        <v/>
      </c>
      <c r="AS459" s="7" t="str">
        <f t="shared" si="52"/>
        <v/>
      </c>
      <c r="AT459" s="7" t="str">
        <f t="shared" si="53"/>
        <v/>
      </c>
      <c r="AU459" s="7" t="str">
        <f t="shared" si="54"/>
        <v/>
      </c>
      <c r="AV459" s="7" t="str">
        <f t="shared" si="55"/>
        <v/>
      </c>
      <c r="AW459" s="7" t="str">
        <f>IF('RFQ-Input'!O458="","",'RFQ-Input'!O458)</f>
        <v/>
      </c>
      <c r="AX459" s="7" t="str">
        <f>IF('RFQ-Input'!S458="","",'RFQ-Input'!S458)</f>
        <v/>
      </c>
      <c r="AY459" s="7" t="str">
        <f>IF('RFQ-Input'!V458="","",'RFQ-Input'!V458)</f>
        <v/>
      </c>
      <c r="AZ459" s="7" t="str">
        <f>IF('RFQ-Input'!Y458="","",'RFQ-Input'!Y458)</f>
        <v/>
      </c>
      <c r="BA459" s="7" t="str">
        <f>IF('RFQ-Input'!AB458="","",'RFQ-Input'!AB458)</f>
        <v/>
      </c>
    </row>
    <row r="460" spans="1:53">
      <c r="A460" s="20">
        <v>456</v>
      </c>
      <c r="B460" s="7"/>
      <c r="C460" s="7" t="str">
        <f>IF('RFQ-Input'!C459="","",'RFQ-Input'!C459)</f>
        <v/>
      </c>
      <c r="D460" s="7" t="str">
        <f>IF('RFQ-Input'!D459="","",'RFQ-Input'!D459)</f>
        <v/>
      </c>
      <c r="E460" s="7" t="str">
        <f>IF('RFQ-Input'!E459="","",'RFQ-Input'!E459)</f>
        <v/>
      </c>
      <c r="F460" s="7" t="str">
        <f>IF('RFQ-Input'!F459="","",'RFQ-Input'!F459)</f>
        <v/>
      </c>
      <c r="G460" s="7" t="str">
        <f>IF('RFQ-Input'!G459="","",'RFQ-Input'!G459)</f>
        <v/>
      </c>
      <c r="H460" s="7" t="str">
        <f>IF('RFQ-Input'!H459="","",'RFQ-Input'!H459)</f>
        <v/>
      </c>
      <c r="I460" s="7" t="str">
        <f>IF('RFQ-Input'!I459="","",'RFQ-Input'!I459)</f>
        <v/>
      </c>
      <c r="J460" s="7" t="str">
        <f>IF('RFQ-Input'!J459="","",'RFQ-Input'!J459)</f>
        <v/>
      </c>
      <c r="K460" s="7" t="str">
        <f>IF('RFQ-Input'!K459="","",'RFQ-Input'!K459)</f>
        <v/>
      </c>
      <c r="L460" s="7" t="str">
        <f>IF('RFQ-Input'!L459="","",'RFQ-Input'!L459)</f>
        <v/>
      </c>
      <c r="M460" s="7" t="str">
        <f>IF('RFQ-Input'!M459="","",'RFQ-Input'!M459)</f>
        <v/>
      </c>
      <c r="N460" s="7" t="str">
        <f>IF('RFQ-Input'!N459="","",'RFQ-Input'!N459)</f>
        <v/>
      </c>
      <c r="O460" s="7" t="str">
        <f>IF('RFQ-Input'!O459="","",'RFQ-Input'!O459)</f>
        <v/>
      </c>
      <c r="Q460" s="7"/>
      <c r="R460" s="7"/>
      <c r="S460" s="7"/>
      <c r="T460" s="7"/>
      <c r="U460" s="7"/>
      <c r="V460" s="7"/>
      <c r="X460" s="7"/>
      <c r="Y460" s="7"/>
      <c r="Z460" s="7"/>
      <c r="AA460" s="7" t="str">
        <f t="shared" si="49"/>
        <v/>
      </c>
      <c r="AB460" s="7"/>
      <c r="AC460" s="7"/>
      <c r="AQ460" s="7" t="str">
        <f t="shared" si="50"/>
        <v/>
      </c>
      <c r="AR460" s="7" t="str">
        <f t="shared" si="51"/>
        <v/>
      </c>
      <c r="AS460" s="7" t="str">
        <f t="shared" si="52"/>
        <v/>
      </c>
      <c r="AT460" s="7" t="str">
        <f t="shared" si="53"/>
        <v/>
      </c>
      <c r="AU460" s="7" t="str">
        <f t="shared" si="54"/>
        <v/>
      </c>
      <c r="AV460" s="7" t="str">
        <f t="shared" si="55"/>
        <v/>
      </c>
      <c r="AW460" s="7" t="str">
        <f>IF('RFQ-Input'!O459="","",'RFQ-Input'!O459)</f>
        <v/>
      </c>
      <c r="AX460" s="7" t="str">
        <f>IF('RFQ-Input'!S459="","",'RFQ-Input'!S459)</f>
        <v/>
      </c>
      <c r="AY460" s="7" t="str">
        <f>IF('RFQ-Input'!V459="","",'RFQ-Input'!V459)</f>
        <v/>
      </c>
      <c r="AZ460" s="7" t="str">
        <f>IF('RFQ-Input'!Y459="","",'RFQ-Input'!Y459)</f>
        <v/>
      </c>
      <c r="BA460" s="7" t="str">
        <f>IF('RFQ-Input'!AB459="","",'RFQ-Input'!AB459)</f>
        <v/>
      </c>
    </row>
    <row r="461" spans="1:53">
      <c r="A461" s="20">
        <v>457</v>
      </c>
      <c r="B461" s="7"/>
      <c r="C461" s="7" t="str">
        <f>IF('RFQ-Input'!C460="","",'RFQ-Input'!C460)</f>
        <v/>
      </c>
      <c r="D461" s="7" t="str">
        <f>IF('RFQ-Input'!D460="","",'RFQ-Input'!D460)</f>
        <v/>
      </c>
      <c r="E461" s="7" t="str">
        <f>IF('RFQ-Input'!E460="","",'RFQ-Input'!E460)</f>
        <v/>
      </c>
      <c r="F461" s="7" t="str">
        <f>IF('RFQ-Input'!F460="","",'RFQ-Input'!F460)</f>
        <v/>
      </c>
      <c r="G461" s="7" t="str">
        <f>IF('RFQ-Input'!G460="","",'RFQ-Input'!G460)</f>
        <v/>
      </c>
      <c r="H461" s="7" t="str">
        <f>IF('RFQ-Input'!H460="","",'RFQ-Input'!H460)</f>
        <v/>
      </c>
      <c r="I461" s="7" t="str">
        <f>IF('RFQ-Input'!I460="","",'RFQ-Input'!I460)</f>
        <v/>
      </c>
      <c r="J461" s="7" t="str">
        <f>IF('RFQ-Input'!J460="","",'RFQ-Input'!J460)</f>
        <v/>
      </c>
      <c r="K461" s="7" t="str">
        <f>IF('RFQ-Input'!K460="","",'RFQ-Input'!K460)</f>
        <v/>
      </c>
      <c r="L461" s="7" t="str">
        <f>IF('RFQ-Input'!L460="","",'RFQ-Input'!L460)</f>
        <v/>
      </c>
      <c r="M461" s="7" t="str">
        <f>IF('RFQ-Input'!M460="","",'RFQ-Input'!M460)</f>
        <v/>
      </c>
      <c r="N461" s="7" t="str">
        <f>IF('RFQ-Input'!N460="","",'RFQ-Input'!N460)</f>
        <v/>
      </c>
      <c r="O461" s="7" t="str">
        <f>IF('RFQ-Input'!O460="","",'RFQ-Input'!O460)</f>
        <v/>
      </c>
      <c r="Q461" s="7"/>
      <c r="R461" s="7"/>
      <c r="S461" s="7"/>
      <c r="T461" s="7"/>
      <c r="U461" s="7"/>
      <c r="V461" s="7"/>
      <c r="X461" s="7"/>
      <c r="Y461" s="7"/>
      <c r="Z461" s="7"/>
      <c r="AA461" s="7" t="str">
        <f t="shared" si="49"/>
        <v/>
      </c>
      <c r="AB461" s="7"/>
      <c r="AC461" s="7"/>
      <c r="AQ461" s="7" t="str">
        <f t="shared" si="50"/>
        <v/>
      </c>
      <c r="AR461" s="7" t="str">
        <f t="shared" si="51"/>
        <v/>
      </c>
      <c r="AS461" s="7" t="str">
        <f t="shared" si="52"/>
        <v/>
      </c>
      <c r="AT461" s="7" t="str">
        <f t="shared" si="53"/>
        <v/>
      </c>
      <c r="AU461" s="7" t="str">
        <f t="shared" si="54"/>
        <v/>
      </c>
      <c r="AV461" s="7" t="str">
        <f t="shared" si="55"/>
        <v/>
      </c>
      <c r="AW461" s="7" t="str">
        <f>IF('RFQ-Input'!O460="","",'RFQ-Input'!O460)</f>
        <v/>
      </c>
      <c r="AX461" s="7" t="str">
        <f>IF('RFQ-Input'!S460="","",'RFQ-Input'!S460)</f>
        <v/>
      </c>
      <c r="AY461" s="7" t="str">
        <f>IF('RFQ-Input'!V460="","",'RFQ-Input'!V460)</f>
        <v/>
      </c>
      <c r="AZ461" s="7" t="str">
        <f>IF('RFQ-Input'!Y460="","",'RFQ-Input'!Y460)</f>
        <v/>
      </c>
      <c r="BA461" s="7" t="str">
        <f>IF('RFQ-Input'!AB460="","",'RFQ-Input'!AB460)</f>
        <v/>
      </c>
    </row>
    <row r="462" spans="1:53">
      <c r="A462" s="20">
        <v>458</v>
      </c>
      <c r="B462" s="7"/>
      <c r="C462" s="7" t="str">
        <f>IF('RFQ-Input'!C461="","",'RFQ-Input'!C461)</f>
        <v/>
      </c>
      <c r="D462" s="7" t="str">
        <f>IF('RFQ-Input'!D461="","",'RFQ-Input'!D461)</f>
        <v/>
      </c>
      <c r="E462" s="7" t="str">
        <f>IF('RFQ-Input'!E461="","",'RFQ-Input'!E461)</f>
        <v/>
      </c>
      <c r="F462" s="7" t="str">
        <f>IF('RFQ-Input'!F461="","",'RFQ-Input'!F461)</f>
        <v/>
      </c>
      <c r="G462" s="7" t="str">
        <f>IF('RFQ-Input'!G461="","",'RFQ-Input'!G461)</f>
        <v/>
      </c>
      <c r="H462" s="7" t="str">
        <f>IF('RFQ-Input'!H461="","",'RFQ-Input'!H461)</f>
        <v/>
      </c>
      <c r="I462" s="7" t="str">
        <f>IF('RFQ-Input'!I461="","",'RFQ-Input'!I461)</f>
        <v/>
      </c>
      <c r="J462" s="7" t="str">
        <f>IF('RFQ-Input'!J461="","",'RFQ-Input'!J461)</f>
        <v/>
      </c>
      <c r="K462" s="7" t="str">
        <f>IF('RFQ-Input'!K461="","",'RFQ-Input'!K461)</f>
        <v/>
      </c>
      <c r="L462" s="7" t="str">
        <f>IF('RFQ-Input'!L461="","",'RFQ-Input'!L461)</f>
        <v/>
      </c>
      <c r="M462" s="7" t="str">
        <f>IF('RFQ-Input'!M461="","",'RFQ-Input'!M461)</f>
        <v/>
      </c>
      <c r="N462" s="7" t="str">
        <f>IF('RFQ-Input'!N461="","",'RFQ-Input'!N461)</f>
        <v/>
      </c>
      <c r="O462" s="7" t="str">
        <f>IF('RFQ-Input'!O461="","",'RFQ-Input'!O461)</f>
        <v/>
      </c>
      <c r="Q462" s="7"/>
      <c r="R462" s="7"/>
      <c r="S462" s="7"/>
      <c r="T462" s="7"/>
      <c r="U462" s="7"/>
      <c r="V462" s="7"/>
      <c r="X462" s="7"/>
      <c r="Y462" s="7"/>
      <c r="Z462" s="7"/>
      <c r="AA462" s="7" t="str">
        <f t="shared" si="49"/>
        <v/>
      </c>
      <c r="AB462" s="7"/>
      <c r="AC462" s="7"/>
      <c r="AQ462" s="7" t="str">
        <f t="shared" si="50"/>
        <v/>
      </c>
      <c r="AR462" s="7" t="str">
        <f t="shared" si="51"/>
        <v/>
      </c>
      <c r="AS462" s="7" t="str">
        <f t="shared" si="52"/>
        <v/>
      </c>
      <c r="AT462" s="7" t="str">
        <f t="shared" si="53"/>
        <v/>
      </c>
      <c r="AU462" s="7" t="str">
        <f t="shared" si="54"/>
        <v/>
      </c>
      <c r="AV462" s="7" t="str">
        <f t="shared" si="55"/>
        <v/>
      </c>
      <c r="AW462" s="7" t="str">
        <f>IF('RFQ-Input'!O461="","",'RFQ-Input'!O461)</f>
        <v/>
      </c>
      <c r="AX462" s="7" t="str">
        <f>IF('RFQ-Input'!S461="","",'RFQ-Input'!S461)</f>
        <v/>
      </c>
      <c r="AY462" s="7" t="str">
        <f>IF('RFQ-Input'!V461="","",'RFQ-Input'!V461)</f>
        <v/>
      </c>
      <c r="AZ462" s="7" t="str">
        <f>IF('RFQ-Input'!Y461="","",'RFQ-Input'!Y461)</f>
        <v/>
      </c>
      <c r="BA462" s="7" t="str">
        <f>IF('RFQ-Input'!AB461="","",'RFQ-Input'!AB461)</f>
        <v/>
      </c>
    </row>
    <row r="463" spans="1:53">
      <c r="A463" s="20">
        <v>459</v>
      </c>
      <c r="B463" s="7"/>
      <c r="C463" s="7" t="str">
        <f>IF('RFQ-Input'!C462="","",'RFQ-Input'!C462)</f>
        <v/>
      </c>
      <c r="D463" s="7" t="str">
        <f>IF('RFQ-Input'!D462="","",'RFQ-Input'!D462)</f>
        <v/>
      </c>
      <c r="E463" s="7" t="str">
        <f>IF('RFQ-Input'!E462="","",'RFQ-Input'!E462)</f>
        <v/>
      </c>
      <c r="F463" s="7" t="str">
        <f>IF('RFQ-Input'!F462="","",'RFQ-Input'!F462)</f>
        <v/>
      </c>
      <c r="G463" s="7" t="str">
        <f>IF('RFQ-Input'!G462="","",'RFQ-Input'!G462)</f>
        <v/>
      </c>
      <c r="H463" s="7" t="str">
        <f>IF('RFQ-Input'!H462="","",'RFQ-Input'!H462)</f>
        <v/>
      </c>
      <c r="I463" s="7" t="str">
        <f>IF('RFQ-Input'!I462="","",'RFQ-Input'!I462)</f>
        <v/>
      </c>
      <c r="J463" s="7" t="str">
        <f>IF('RFQ-Input'!J462="","",'RFQ-Input'!J462)</f>
        <v/>
      </c>
      <c r="K463" s="7" t="str">
        <f>IF('RFQ-Input'!K462="","",'RFQ-Input'!K462)</f>
        <v/>
      </c>
      <c r="L463" s="7" t="str">
        <f>IF('RFQ-Input'!L462="","",'RFQ-Input'!L462)</f>
        <v/>
      </c>
      <c r="M463" s="7" t="str">
        <f>IF('RFQ-Input'!M462="","",'RFQ-Input'!M462)</f>
        <v/>
      </c>
      <c r="N463" s="7" t="str">
        <f>IF('RFQ-Input'!N462="","",'RFQ-Input'!N462)</f>
        <v/>
      </c>
      <c r="O463" s="7" t="str">
        <f>IF('RFQ-Input'!O462="","",'RFQ-Input'!O462)</f>
        <v/>
      </c>
      <c r="Q463" s="7"/>
      <c r="R463" s="7"/>
      <c r="S463" s="7"/>
      <c r="T463" s="7"/>
      <c r="U463" s="7"/>
      <c r="V463" s="7"/>
      <c r="X463" s="7"/>
      <c r="Y463" s="7"/>
      <c r="Z463" s="7"/>
      <c r="AA463" s="7" t="str">
        <f t="shared" si="49"/>
        <v/>
      </c>
      <c r="AB463" s="7"/>
      <c r="AC463" s="7"/>
      <c r="AQ463" s="7" t="str">
        <f t="shared" si="50"/>
        <v/>
      </c>
      <c r="AR463" s="7" t="str">
        <f t="shared" si="51"/>
        <v/>
      </c>
      <c r="AS463" s="7" t="str">
        <f t="shared" si="52"/>
        <v/>
      </c>
      <c r="AT463" s="7" t="str">
        <f t="shared" si="53"/>
        <v/>
      </c>
      <c r="AU463" s="7" t="str">
        <f t="shared" si="54"/>
        <v/>
      </c>
      <c r="AV463" s="7" t="str">
        <f t="shared" si="55"/>
        <v/>
      </c>
      <c r="AW463" s="7" t="str">
        <f>IF('RFQ-Input'!O462="","",'RFQ-Input'!O462)</f>
        <v/>
      </c>
      <c r="AX463" s="7" t="str">
        <f>IF('RFQ-Input'!S462="","",'RFQ-Input'!S462)</f>
        <v/>
      </c>
      <c r="AY463" s="7" t="str">
        <f>IF('RFQ-Input'!V462="","",'RFQ-Input'!V462)</f>
        <v/>
      </c>
      <c r="AZ463" s="7" t="str">
        <f>IF('RFQ-Input'!Y462="","",'RFQ-Input'!Y462)</f>
        <v/>
      </c>
      <c r="BA463" s="7" t="str">
        <f>IF('RFQ-Input'!AB462="","",'RFQ-Input'!AB462)</f>
        <v/>
      </c>
    </row>
    <row r="464" spans="1:53">
      <c r="A464" s="20">
        <v>460</v>
      </c>
      <c r="B464" s="7"/>
      <c r="C464" s="7" t="str">
        <f>IF('RFQ-Input'!C463="","",'RFQ-Input'!C463)</f>
        <v/>
      </c>
      <c r="D464" s="7" t="str">
        <f>IF('RFQ-Input'!D463="","",'RFQ-Input'!D463)</f>
        <v/>
      </c>
      <c r="E464" s="7" t="str">
        <f>IF('RFQ-Input'!E463="","",'RFQ-Input'!E463)</f>
        <v/>
      </c>
      <c r="F464" s="7" t="str">
        <f>IF('RFQ-Input'!F463="","",'RFQ-Input'!F463)</f>
        <v/>
      </c>
      <c r="G464" s="7" t="str">
        <f>IF('RFQ-Input'!G463="","",'RFQ-Input'!G463)</f>
        <v/>
      </c>
      <c r="H464" s="7" t="str">
        <f>IF('RFQ-Input'!H463="","",'RFQ-Input'!H463)</f>
        <v/>
      </c>
      <c r="I464" s="7" t="str">
        <f>IF('RFQ-Input'!I463="","",'RFQ-Input'!I463)</f>
        <v/>
      </c>
      <c r="J464" s="7" t="str">
        <f>IF('RFQ-Input'!J463="","",'RFQ-Input'!J463)</f>
        <v/>
      </c>
      <c r="K464" s="7" t="str">
        <f>IF('RFQ-Input'!K463="","",'RFQ-Input'!K463)</f>
        <v/>
      </c>
      <c r="L464" s="7" t="str">
        <f>IF('RFQ-Input'!L463="","",'RFQ-Input'!L463)</f>
        <v/>
      </c>
      <c r="M464" s="7" t="str">
        <f>IF('RFQ-Input'!M463="","",'RFQ-Input'!M463)</f>
        <v/>
      </c>
      <c r="N464" s="7" t="str">
        <f>IF('RFQ-Input'!N463="","",'RFQ-Input'!N463)</f>
        <v/>
      </c>
      <c r="O464" s="7" t="str">
        <f>IF('RFQ-Input'!O463="","",'RFQ-Input'!O463)</f>
        <v/>
      </c>
      <c r="Q464" s="7"/>
      <c r="R464" s="7"/>
      <c r="S464" s="7"/>
      <c r="T464" s="7"/>
      <c r="U464" s="7"/>
      <c r="V464" s="7"/>
      <c r="X464" s="7"/>
      <c r="Y464" s="7"/>
      <c r="Z464" s="7"/>
      <c r="AA464" s="7" t="str">
        <f t="shared" si="49"/>
        <v/>
      </c>
      <c r="AB464" s="7"/>
      <c r="AC464" s="7"/>
      <c r="AQ464" s="7" t="str">
        <f t="shared" si="50"/>
        <v/>
      </c>
      <c r="AR464" s="7" t="str">
        <f t="shared" si="51"/>
        <v/>
      </c>
      <c r="AS464" s="7" t="str">
        <f t="shared" si="52"/>
        <v/>
      </c>
      <c r="AT464" s="7" t="str">
        <f t="shared" si="53"/>
        <v/>
      </c>
      <c r="AU464" s="7" t="str">
        <f t="shared" si="54"/>
        <v/>
      </c>
      <c r="AV464" s="7" t="str">
        <f t="shared" si="55"/>
        <v/>
      </c>
      <c r="AW464" s="7" t="str">
        <f>IF('RFQ-Input'!O463="","",'RFQ-Input'!O463)</f>
        <v/>
      </c>
      <c r="AX464" s="7" t="str">
        <f>IF('RFQ-Input'!S463="","",'RFQ-Input'!S463)</f>
        <v/>
      </c>
      <c r="AY464" s="7" t="str">
        <f>IF('RFQ-Input'!V463="","",'RFQ-Input'!V463)</f>
        <v/>
      </c>
      <c r="AZ464" s="7" t="str">
        <f>IF('RFQ-Input'!Y463="","",'RFQ-Input'!Y463)</f>
        <v/>
      </c>
      <c r="BA464" s="7" t="str">
        <f>IF('RFQ-Input'!AB463="","",'RFQ-Input'!AB463)</f>
        <v/>
      </c>
    </row>
    <row r="465" spans="1:53">
      <c r="A465" s="20">
        <v>461</v>
      </c>
      <c r="B465" s="7"/>
      <c r="C465" s="7" t="str">
        <f>IF('RFQ-Input'!C464="","",'RFQ-Input'!C464)</f>
        <v/>
      </c>
      <c r="D465" s="7" t="str">
        <f>IF('RFQ-Input'!D464="","",'RFQ-Input'!D464)</f>
        <v/>
      </c>
      <c r="E465" s="7" t="str">
        <f>IF('RFQ-Input'!E464="","",'RFQ-Input'!E464)</f>
        <v/>
      </c>
      <c r="F465" s="7" t="str">
        <f>IF('RFQ-Input'!F464="","",'RFQ-Input'!F464)</f>
        <v/>
      </c>
      <c r="G465" s="7" t="str">
        <f>IF('RFQ-Input'!G464="","",'RFQ-Input'!G464)</f>
        <v/>
      </c>
      <c r="H465" s="7" t="str">
        <f>IF('RFQ-Input'!H464="","",'RFQ-Input'!H464)</f>
        <v/>
      </c>
      <c r="I465" s="7" t="str">
        <f>IF('RFQ-Input'!I464="","",'RFQ-Input'!I464)</f>
        <v/>
      </c>
      <c r="J465" s="7" t="str">
        <f>IF('RFQ-Input'!J464="","",'RFQ-Input'!J464)</f>
        <v/>
      </c>
      <c r="K465" s="7" t="str">
        <f>IF('RFQ-Input'!K464="","",'RFQ-Input'!K464)</f>
        <v/>
      </c>
      <c r="L465" s="7" t="str">
        <f>IF('RFQ-Input'!L464="","",'RFQ-Input'!L464)</f>
        <v/>
      </c>
      <c r="M465" s="7" t="str">
        <f>IF('RFQ-Input'!M464="","",'RFQ-Input'!M464)</f>
        <v/>
      </c>
      <c r="N465" s="7" t="str">
        <f>IF('RFQ-Input'!N464="","",'RFQ-Input'!N464)</f>
        <v/>
      </c>
      <c r="O465" s="7" t="str">
        <f>IF('RFQ-Input'!O464="","",'RFQ-Input'!O464)</f>
        <v/>
      </c>
      <c r="Q465" s="7"/>
      <c r="R465" s="7"/>
      <c r="S465" s="7"/>
      <c r="T465" s="7"/>
      <c r="U465" s="7"/>
      <c r="V465" s="7"/>
      <c r="X465" s="7"/>
      <c r="Y465" s="7"/>
      <c r="Z465" s="7"/>
      <c r="AA465" s="7" t="str">
        <f t="shared" si="49"/>
        <v/>
      </c>
      <c r="AB465" s="7"/>
      <c r="AC465" s="7"/>
      <c r="AQ465" s="7" t="str">
        <f t="shared" si="50"/>
        <v/>
      </c>
      <c r="AR465" s="7" t="str">
        <f t="shared" si="51"/>
        <v/>
      </c>
      <c r="AS465" s="7" t="str">
        <f t="shared" si="52"/>
        <v/>
      </c>
      <c r="AT465" s="7" t="str">
        <f t="shared" si="53"/>
        <v/>
      </c>
      <c r="AU465" s="7" t="str">
        <f t="shared" si="54"/>
        <v/>
      </c>
      <c r="AV465" s="7" t="str">
        <f t="shared" si="55"/>
        <v/>
      </c>
      <c r="AW465" s="7" t="str">
        <f>IF('RFQ-Input'!O464="","",'RFQ-Input'!O464)</f>
        <v/>
      </c>
      <c r="AX465" s="7" t="str">
        <f>IF('RFQ-Input'!S464="","",'RFQ-Input'!S464)</f>
        <v/>
      </c>
      <c r="AY465" s="7" t="str">
        <f>IF('RFQ-Input'!V464="","",'RFQ-Input'!V464)</f>
        <v/>
      </c>
      <c r="AZ465" s="7" t="str">
        <f>IF('RFQ-Input'!Y464="","",'RFQ-Input'!Y464)</f>
        <v/>
      </c>
      <c r="BA465" s="7" t="str">
        <f>IF('RFQ-Input'!AB464="","",'RFQ-Input'!AB464)</f>
        <v/>
      </c>
    </row>
    <row r="466" spans="1:53">
      <c r="A466" s="20">
        <v>462</v>
      </c>
      <c r="B466" s="7"/>
      <c r="C466" s="7" t="str">
        <f>IF('RFQ-Input'!C465="","",'RFQ-Input'!C465)</f>
        <v/>
      </c>
      <c r="D466" s="7" t="str">
        <f>IF('RFQ-Input'!D465="","",'RFQ-Input'!D465)</f>
        <v/>
      </c>
      <c r="E466" s="7" t="str">
        <f>IF('RFQ-Input'!E465="","",'RFQ-Input'!E465)</f>
        <v/>
      </c>
      <c r="F466" s="7" t="str">
        <f>IF('RFQ-Input'!F465="","",'RFQ-Input'!F465)</f>
        <v/>
      </c>
      <c r="G466" s="7" t="str">
        <f>IF('RFQ-Input'!G465="","",'RFQ-Input'!G465)</f>
        <v/>
      </c>
      <c r="H466" s="7" t="str">
        <f>IF('RFQ-Input'!H465="","",'RFQ-Input'!H465)</f>
        <v/>
      </c>
      <c r="I466" s="7" t="str">
        <f>IF('RFQ-Input'!I465="","",'RFQ-Input'!I465)</f>
        <v/>
      </c>
      <c r="J466" s="7" t="str">
        <f>IF('RFQ-Input'!J465="","",'RFQ-Input'!J465)</f>
        <v/>
      </c>
      <c r="K466" s="7" t="str">
        <f>IF('RFQ-Input'!K465="","",'RFQ-Input'!K465)</f>
        <v/>
      </c>
      <c r="L466" s="7" t="str">
        <f>IF('RFQ-Input'!L465="","",'RFQ-Input'!L465)</f>
        <v/>
      </c>
      <c r="M466" s="7" t="str">
        <f>IF('RFQ-Input'!M465="","",'RFQ-Input'!M465)</f>
        <v/>
      </c>
      <c r="N466" s="7" t="str">
        <f>IF('RFQ-Input'!N465="","",'RFQ-Input'!N465)</f>
        <v/>
      </c>
      <c r="O466" s="7" t="str">
        <f>IF('RFQ-Input'!O465="","",'RFQ-Input'!O465)</f>
        <v/>
      </c>
      <c r="Q466" s="7"/>
      <c r="R466" s="7"/>
      <c r="S466" s="7"/>
      <c r="T466" s="7"/>
      <c r="U466" s="7"/>
      <c r="V466" s="7"/>
      <c r="X466" s="7"/>
      <c r="Y466" s="7"/>
      <c r="Z466" s="7"/>
      <c r="AA466" s="7" t="str">
        <f t="shared" si="49"/>
        <v/>
      </c>
      <c r="AB466" s="7"/>
      <c r="AC466" s="7"/>
      <c r="AQ466" s="7" t="str">
        <f t="shared" si="50"/>
        <v/>
      </c>
      <c r="AR466" s="7" t="str">
        <f t="shared" si="51"/>
        <v/>
      </c>
      <c r="AS466" s="7" t="str">
        <f t="shared" si="52"/>
        <v/>
      </c>
      <c r="AT466" s="7" t="str">
        <f t="shared" si="53"/>
        <v/>
      </c>
      <c r="AU466" s="7" t="str">
        <f t="shared" si="54"/>
        <v/>
      </c>
      <c r="AV466" s="7" t="str">
        <f t="shared" si="55"/>
        <v/>
      </c>
      <c r="AW466" s="7" t="str">
        <f>IF('RFQ-Input'!O465="","",'RFQ-Input'!O465)</f>
        <v/>
      </c>
      <c r="AX466" s="7" t="str">
        <f>IF('RFQ-Input'!S465="","",'RFQ-Input'!S465)</f>
        <v/>
      </c>
      <c r="AY466" s="7" t="str">
        <f>IF('RFQ-Input'!V465="","",'RFQ-Input'!V465)</f>
        <v/>
      </c>
      <c r="AZ466" s="7" t="str">
        <f>IF('RFQ-Input'!Y465="","",'RFQ-Input'!Y465)</f>
        <v/>
      </c>
      <c r="BA466" s="7" t="str">
        <f>IF('RFQ-Input'!AB465="","",'RFQ-Input'!AB465)</f>
        <v/>
      </c>
    </row>
    <row r="467" spans="1:53">
      <c r="A467" s="20">
        <v>463</v>
      </c>
      <c r="B467" s="7"/>
      <c r="C467" s="7" t="str">
        <f>IF('RFQ-Input'!C466="","",'RFQ-Input'!C466)</f>
        <v/>
      </c>
      <c r="D467" s="7" t="str">
        <f>IF('RFQ-Input'!D466="","",'RFQ-Input'!D466)</f>
        <v/>
      </c>
      <c r="E467" s="7" t="str">
        <f>IF('RFQ-Input'!E466="","",'RFQ-Input'!E466)</f>
        <v/>
      </c>
      <c r="F467" s="7" t="str">
        <f>IF('RFQ-Input'!F466="","",'RFQ-Input'!F466)</f>
        <v/>
      </c>
      <c r="G467" s="7" t="str">
        <f>IF('RFQ-Input'!G466="","",'RFQ-Input'!G466)</f>
        <v/>
      </c>
      <c r="H467" s="7" t="str">
        <f>IF('RFQ-Input'!H466="","",'RFQ-Input'!H466)</f>
        <v/>
      </c>
      <c r="I467" s="7" t="str">
        <f>IF('RFQ-Input'!I466="","",'RFQ-Input'!I466)</f>
        <v/>
      </c>
      <c r="J467" s="7" t="str">
        <f>IF('RFQ-Input'!J466="","",'RFQ-Input'!J466)</f>
        <v/>
      </c>
      <c r="K467" s="7" t="str">
        <f>IF('RFQ-Input'!K466="","",'RFQ-Input'!K466)</f>
        <v/>
      </c>
      <c r="L467" s="7" t="str">
        <f>IF('RFQ-Input'!L466="","",'RFQ-Input'!L466)</f>
        <v/>
      </c>
      <c r="M467" s="7" t="str">
        <f>IF('RFQ-Input'!M466="","",'RFQ-Input'!M466)</f>
        <v/>
      </c>
      <c r="N467" s="7" t="str">
        <f>IF('RFQ-Input'!N466="","",'RFQ-Input'!N466)</f>
        <v/>
      </c>
      <c r="O467" s="7" t="str">
        <f>IF('RFQ-Input'!O466="","",'RFQ-Input'!O466)</f>
        <v/>
      </c>
      <c r="Q467" s="7"/>
      <c r="R467" s="7"/>
      <c r="S467" s="7"/>
      <c r="T467" s="7"/>
      <c r="U467" s="7"/>
      <c r="V467" s="7"/>
      <c r="X467" s="7"/>
      <c r="Y467" s="7"/>
      <c r="Z467" s="7"/>
      <c r="AA467" s="7" t="str">
        <f t="shared" si="49"/>
        <v/>
      </c>
      <c r="AB467" s="7"/>
      <c r="AC467" s="7"/>
      <c r="AQ467" s="7" t="str">
        <f t="shared" si="50"/>
        <v/>
      </c>
      <c r="AR467" s="7" t="str">
        <f t="shared" si="51"/>
        <v/>
      </c>
      <c r="AS467" s="7" t="str">
        <f t="shared" si="52"/>
        <v/>
      </c>
      <c r="AT467" s="7" t="str">
        <f t="shared" si="53"/>
        <v/>
      </c>
      <c r="AU467" s="7" t="str">
        <f t="shared" si="54"/>
        <v/>
      </c>
      <c r="AV467" s="7" t="str">
        <f t="shared" si="55"/>
        <v/>
      </c>
      <c r="AW467" s="7" t="str">
        <f>IF('RFQ-Input'!O466="","",'RFQ-Input'!O466)</f>
        <v/>
      </c>
      <c r="AX467" s="7" t="str">
        <f>IF('RFQ-Input'!S466="","",'RFQ-Input'!S466)</f>
        <v/>
      </c>
      <c r="AY467" s="7" t="str">
        <f>IF('RFQ-Input'!V466="","",'RFQ-Input'!V466)</f>
        <v/>
      </c>
      <c r="AZ467" s="7" t="str">
        <f>IF('RFQ-Input'!Y466="","",'RFQ-Input'!Y466)</f>
        <v/>
      </c>
      <c r="BA467" s="7" t="str">
        <f>IF('RFQ-Input'!AB466="","",'RFQ-Input'!AB466)</f>
        <v/>
      </c>
    </row>
    <row r="468" spans="1:53">
      <c r="A468" s="20">
        <v>464</v>
      </c>
      <c r="B468" s="7"/>
      <c r="C468" s="7" t="str">
        <f>IF('RFQ-Input'!C467="","",'RFQ-Input'!C467)</f>
        <v/>
      </c>
      <c r="D468" s="7" t="str">
        <f>IF('RFQ-Input'!D467="","",'RFQ-Input'!D467)</f>
        <v/>
      </c>
      <c r="E468" s="7" t="str">
        <f>IF('RFQ-Input'!E467="","",'RFQ-Input'!E467)</f>
        <v/>
      </c>
      <c r="F468" s="7" t="str">
        <f>IF('RFQ-Input'!F467="","",'RFQ-Input'!F467)</f>
        <v/>
      </c>
      <c r="G468" s="7" t="str">
        <f>IF('RFQ-Input'!G467="","",'RFQ-Input'!G467)</f>
        <v/>
      </c>
      <c r="H468" s="7" t="str">
        <f>IF('RFQ-Input'!H467="","",'RFQ-Input'!H467)</f>
        <v/>
      </c>
      <c r="I468" s="7" t="str">
        <f>IF('RFQ-Input'!I467="","",'RFQ-Input'!I467)</f>
        <v/>
      </c>
      <c r="J468" s="7" t="str">
        <f>IF('RFQ-Input'!J467="","",'RFQ-Input'!J467)</f>
        <v/>
      </c>
      <c r="K468" s="7" t="str">
        <f>IF('RFQ-Input'!K467="","",'RFQ-Input'!K467)</f>
        <v/>
      </c>
      <c r="L468" s="7" t="str">
        <f>IF('RFQ-Input'!L467="","",'RFQ-Input'!L467)</f>
        <v/>
      </c>
      <c r="M468" s="7" t="str">
        <f>IF('RFQ-Input'!M467="","",'RFQ-Input'!M467)</f>
        <v/>
      </c>
      <c r="N468" s="7" t="str">
        <f>IF('RFQ-Input'!N467="","",'RFQ-Input'!N467)</f>
        <v/>
      </c>
      <c r="O468" s="7" t="str">
        <f>IF('RFQ-Input'!O467="","",'RFQ-Input'!O467)</f>
        <v/>
      </c>
      <c r="Q468" s="7"/>
      <c r="R468" s="7"/>
      <c r="S468" s="7"/>
      <c r="T468" s="7"/>
      <c r="U468" s="7"/>
      <c r="V468" s="7"/>
      <c r="X468" s="7"/>
      <c r="Y468" s="7"/>
      <c r="Z468" s="7"/>
      <c r="AA468" s="7" t="str">
        <f t="shared" si="49"/>
        <v/>
      </c>
      <c r="AB468" s="7"/>
      <c r="AC468" s="7"/>
      <c r="AQ468" s="7" t="str">
        <f t="shared" si="50"/>
        <v/>
      </c>
      <c r="AR468" s="7" t="str">
        <f t="shared" si="51"/>
        <v/>
      </c>
      <c r="AS468" s="7" t="str">
        <f t="shared" si="52"/>
        <v/>
      </c>
      <c r="AT468" s="7" t="str">
        <f t="shared" si="53"/>
        <v/>
      </c>
      <c r="AU468" s="7" t="str">
        <f t="shared" si="54"/>
        <v/>
      </c>
      <c r="AV468" s="7" t="str">
        <f t="shared" si="55"/>
        <v/>
      </c>
      <c r="AW468" s="7" t="str">
        <f>IF('RFQ-Input'!O467="","",'RFQ-Input'!O467)</f>
        <v/>
      </c>
      <c r="AX468" s="7" t="str">
        <f>IF('RFQ-Input'!S467="","",'RFQ-Input'!S467)</f>
        <v/>
      </c>
      <c r="AY468" s="7" t="str">
        <f>IF('RFQ-Input'!V467="","",'RFQ-Input'!V467)</f>
        <v/>
      </c>
      <c r="AZ468" s="7" t="str">
        <f>IF('RFQ-Input'!Y467="","",'RFQ-Input'!Y467)</f>
        <v/>
      </c>
      <c r="BA468" s="7" t="str">
        <f>IF('RFQ-Input'!AB467="","",'RFQ-Input'!AB467)</f>
        <v/>
      </c>
    </row>
    <row r="469" spans="1:53">
      <c r="A469" s="20">
        <v>465</v>
      </c>
      <c r="B469" s="7"/>
      <c r="C469" s="7" t="str">
        <f>IF('RFQ-Input'!C468="","",'RFQ-Input'!C468)</f>
        <v/>
      </c>
      <c r="D469" s="7" t="str">
        <f>IF('RFQ-Input'!D468="","",'RFQ-Input'!D468)</f>
        <v/>
      </c>
      <c r="E469" s="7" t="str">
        <f>IF('RFQ-Input'!E468="","",'RFQ-Input'!E468)</f>
        <v/>
      </c>
      <c r="F469" s="7" t="str">
        <f>IF('RFQ-Input'!F468="","",'RFQ-Input'!F468)</f>
        <v/>
      </c>
      <c r="G469" s="7" t="str">
        <f>IF('RFQ-Input'!G468="","",'RFQ-Input'!G468)</f>
        <v/>
      </c>
      <c r="H469" s="7" t="str">
        <f>IF('RFQ-Input'!H468="","",'RFQ-Input'!H468)</f>
        <v/>
      </c>
      <c r="I469" s="7" t="str">
        <f>IF('RFQ-Input'!I468="","",'RFQ-Input'!I468)</f>
        <v/>
      </c>
      <c r="J469" s="7" t="str">
        <f>IF('RFQ-Input'!J468="","",'RFQ-Input'!J468)</f>
        <v/>
      </c>
      <c r="K469" s="7" t="str">
        <f>IF('RFQ-Input'!K468="","",'RFQ-Input'!K468)</f>
        <v/>
      </c>
      <c r="L469" s="7" t="str">
        <f>IF('RFQ-Input'!L468="","",'RFQ-Input'!L468)</f>
        <v/>
      </c>
      <c r="M469" s="7" t="str">
        <f>IF('RFQ-Input'!M468="","",'RFQ-Input'!M468)</f>
        <v/>
      </c>
      <c r="N469" s="7" t="str">
        <f>IF('RFQ-Input'!N468="","",'RFQ-Input'!N468)</f>
        <v/>
      </c>
      <c r="O469" s="7" t="str">
        <f>IF('RFQ-Input'!O468="","",'RFQ-Input'!O468)</f>
        <v/>
      </c>
      <c r="Q469" s="7"/>
      <c r="R469" s="7"/>
      <c r="S469" s="7"/>
      <c r="T469" s="7"/>
      <c r="U469" s="7"/>
      <c r="V469" s="7"/>
      <c r="X469" s="7"/>
      <c r="Y469" s="7"/>
      <c r="Z469" s="7"/>
      <c r="AA469" s="7" t="str">
        <f t="shared" si="49"/>
        <v/>
      </c>
      <c r="AB469" s="7"/>
      <c r="AC469" s="7"/>
      <c r="AQ469" s="7" t="str">
        <f t="shared" si="50"/>
        <v/>
      </c>
      <c r="AR469" s="7" t="str">
        <f t="shared" si="51"/>
        <v/>
      </c>
      <c r="AS469" s="7" t="str">
        <f t="shared" si="52"/>
        <v/>
      </c>
      <c r="AT469" s="7" t="str">
        <f t="shared" si="53"/>
        <v/>
      </c>
      <c r="AU469" s="7" t="str">
        <f t="shared" si="54"/>
        <v/>
      </c>
      <c r="AV469" s="7" t="str">
        <f t="shared" si="55"/>
        <v/>
      </c>
      <c r="AW469" s="7" t="str">
        <f>IF('RFQ-Input'!O468="","",'RFQ-Input'!O468)</f>
        <v/>
      </c>
      <c r="AX469" s="7" t="str">
        <f>IF('RFQ-Input'!S468="","",'RFQ-Input'!S468)</f>
        <v/>
      </c>
      <c r="AY469" s="7" t="str">
        <f>IF('RFQ-Input'!V468="","",'RFQ-Input'!V468)</f>
        <v/>
      </c>
      <c r="AZ469" s="7" t="str">
        <f>IF('RFQ-Input'!Y468="","",'RFQ-Input'!Y468)</f>
        <v/>
      </c>
      <c r="BA469" s="7" t="str">
        <f>IF('RFQ-Input'!AB468="","",'RFQ-Input'!AB468)</f>
        <v/>
      </c>
    </row>
    <row r="470" spans="1:53">
      <c r="A470" s="20">
        <v>466</v>
      </c>
      <c r="B470" s="7"/>
      <c r="C470" s="7" t="str">
        <f>IF('RFQ-Input'!C469="","",'RFQ-Input'!C469)</f>
        <v/>
      </c>
      <c r="D470" s="7" t="str">
        <f>IF('RFQ-Input'!D469="","",'RFQ-Input'!D469)</f>
        <v/>
      </c>
      <c r="E470" s="7" t="str">
        <f>IF('RFQ-Input'!E469="","",'RFQ-Input'!E469)</f>
        <v/>
      </c>
      <c r="F470" s="7" t="str">
        <f>IF('RFQ-Input'!F469="","",'RFQ-Input'!F469)</f>
        <v/>
      </c>
      <c r="G470" s="7" t="str">
        <f>IF('RFQ-Input'!G469="","",'RFQ-Input'!G469)</f>
        <v/>
      </c>
      <c r="H470" s="7" t="str">
        <f>IF('RFQ-Input'!H469="","",'RFQ-Input'!H469)</f>
        <v/>
      </c>
      <c r="I470" s="7" t="str">
        <f>IF('RFQ-Input'!I469="","",'RFQ-Input'!I469)</f>
        <v/>
      </c>
      <c r="J470" s="7" t="str">
        <f>IF('RFQ-Input'!J469="","",'RFQ-Input'!J469)</f>
        <v/>
      </c>
      <c r="K470" s="7" t="str">
        <f>IF('RFQ-Input'!K469="","",'RFQ-Input'!K469)</f>
        <v/>
      </c>
      <c r="L470" s="7" t="str">
        <f>IF('RFQ-Input'!L469="","",'RFQ-Input'!L469)</f>
        <v/>
      </c>
      <c r="M470" s="7" t="str">
        <f>IF('RFQ-Input'!M469="","",'RFQ-Input'!M469)</f>
        <v/>
      </c>
      <c r="N470" s="7" t="str">
        <f>IF('RFQ-Input'!N469="","",'RFQ-Input'!N469)</f>
        <v/>
      </c>
      <c r="O470" s="7" t="str">
        <f>IF('RFQ-Input'!O469="","",'RFQ-Input'!O469)</f>
        <v/>
      </c>
      <c r="Q470" s="7"/>
      <c r="R470" s="7"/>
      <c r="S470" s="7"/>
      <c r="T470" s="7"/>
      <c r="U470" s="7"/>
      <c r="V470" s="7"/>
      <c r="X470" s="7"/>
      <c r="Y470" s="7"/>
      <c r="Z470" s="7"/>
      <c r="AA470" s="7" t="str">
        <f t="shared" si="49"/>
        <v/>
      </c>
      <c r="AB470" s="7"/>
      <c r="AC470" s="7"/>
      <c r="AQ470" s="7" t="str">
        <f t="shared" si="50"/>
        <v/>
      </c>
      <c r="AR470" s="7" t="str">
        <f t="shared" si="51"/>
        <v/>
      </c>
      <c r="AS470" s="7" t="str">
        <f t="shared" si="52"/>
        <v/>
      </c>
      <c r="AT470" s="7" t="str">
        <f t="shared" si="53"/>
        <v/>
      </c>
      <c r="AU470" s="7" t="str">
        <f t="shared" si="54"/>
        <v/>
      </c>
      <c r="AV470" s="7" t="str">
        <f t="shared" si="55"/>
        <v/>
      </c>
      <c r="AW470" s="7" t="str">
        <f>IF('RFQ-Input'!O469="","",'RFQ-Input'!O469)</f>
        <v/>
      </c>
      <c r="AX470" s="7" t="str">
        <f>IF('RFQ-Input'!S469="","",'RFQ-Input'!S469)</f>
        <v/>
      </c>
      <c r="AY470" s="7" t="str">
        <f>IF('RFQ-Input'!V469="","",'RFQ-Input'!V469)</f>
        <v/>
      </c>
      <c r="AZ470" s="7" t="str">
        <f>IF('RFQ-Input'!Y469="","",'RFQ-Input'!Y469)</f>
        <v/>
      </c>
      <c r="BA470" s="7" t="str">
        <f>IF('RFQ-Input'!AB469="","",'RFQ-Input'!AB469)</f>
        <v/>
      </c>
    </row>
    <row r="471" spans="1:53">
      <c r="A471" s="20">
        <v>467</v>
      </c>
      <c r="B471" s="7"/>
      <c r="C471" s="7" t="str">
        <f>IF('RFQ-Input'!C470="","",'RFQ-Input'!C470)</f>
        <v/>
      </c>
      <c r="D471" s="7" t="str">
        <f>IF('RFQ-Input'!D470="","",'RFQ-Input'!D470)</f>
        <v/>
      </c>
      <c r="E471" s="7" t="str">
        <f>IF('RFQ-Input'!E470="","",'RFQ-Input'!E470)</f>
        <v/>
      </c>
      <c r="F471" s="7" t="str">
        <f>IF('RFQ-Input'!F470="","",'RFQ-Input'!F470)</f>
        <v/>
      </c>
      <c r="G471" s="7" t="str">
        <f>IF('RFQ-Input'!G470="","",'RFQ-Input'!G470)</f>
        <v/>
      </c>
      <c r="H471" s="7" t="str">
        <f>IF('RFQ-Input'!H470="","",'RFQ-Input'!H470)</f>
        <v/>
      </c>
      <c r="I471" s="7" t="str">
        <f>IF('RFQ-Input'!I470="","",'RFQ-Input'!I470)</f>
        <v/>
      </c>
      <c r="J471" s="7" t="str">
        <f>IF('RFQ-Input'!J470="","",'RFQ-Input'!J470)</f>
        <v/>
      </c>
      <c r="K471" s="7" t="str">
        <f>IF('RFQ-Input'!K470="","",'RFQ-Input'!K470)</f>
        <v/>
      </c>
      <c r="L471" s="7" t="str">
        <f>IF('RFQ-Input'!L470="","",'RFQ-Input'!L470)</f>
        <v/>
      </c>
      <c r="M471" s="7" t="str">
        <f>IF('RFQ-Input'!M470="","",'RFQ-Input'!M470)</f>
        <v/>
      </c>
      <c r="N471" s="7" t="str">
        <f>IF('RFQ-Input'!N470="","",'RFQ-Input'!N470)</f>
        <v/>
      </c>
      <c r="O471" s="7" t="str">
        <f>IF('RFQ-Input'!O470="","",'RFQ-Input'!O470)</f>
        <v/>
      </c>
      <c r="Q471" s="7"/>
      <c r="R471" s="7"/>
      <c r="S471" s="7"/>
      <c r="T471" s="7"/>
      <c r="U471" s="7"/>
      <c r="V471" s="7"/>
      <c r="X471" s="7"/>
      <c r="Y471" s="7"/>
      <c r="Z471" s="7"/>
      <c r="AA471" s="7" t="str">
        <f t="shared" si="49"/>
        <v/>
      </c>
      <c r="AB471" s="7"/>
      <c r="AC471" s="7"/>
      <c r="AQ471" s="7" t="str">
        <f t="shared" si="50"/>
        <v/>
      </c>
      <c r="AR471" s="7" t="str">
        <f t="shared" si="51"/>
        <v/>
      </c>
      <c r="AS471" s="7" t="str">
        <f t="shared" si="52"/>
        <v/>
      </c>
      <c r="AT471" s="7" t="str">
        <f t="shared" si="53"/>
        <v/>
      </c>
      <c r="AU471" s="7" t="str">
        <f t="shared" si="54"/>
        <v/>
      </c>
      <c r="AV471" s="7" t="str">
        <f t="shared" si="55"/>
        <v/>
      </c>
      <c r="AW471" s="7" t="str">
        <f>IF('RFQ-Input'!O470="","",'RFQ-Input'!O470)</f>
        <v/>
      </c>
      <c r="AX471" s="7" t="str">
        <f>IF('RFQ-Input'!S470="","",'RFQ-Input'!S470)</f>
        <v/>
      </c>
      <c r="AY471" s="7" t="str">
        <f>IF('RFQ-Input'!V470="","",'RFQ-Input'!V470)</f>
        <v/>
      </c>
      <c r="AZ471" s="7" t="str">
        <f>IF('RFQ-Input'!Y470="","",'RFQ-Input'!Y470)</f>
        <v/>
      </c>
      <c r="BA471" s="7" t="str">
        <f>IF('RFQ-Input'!AB470="","",'RFQ-Input'!AB470)</f>
        <v/>
      </c>
    </row>
    <row r="472" spans="1:53">
      <c r="A472" s="20">
        <v>468</v>
      </c>
      <c r="B472" s="7"/>
      <c r="C472" s="7" t="str">
        <f>IF('RFQ-Input'!C471="","",'RFQ-Input'!C471)</f>
        <v/>
      </c>
      <c r="D472" s="7" t="str">
        <f>IF('RFQ-Input'!D471="","",'RFQ-Input'!D471)</f>
        <v/>
      </c>
      <c r="E472" s="7" t="str">
        <f>IF('RFQ-Input'!E471="","",'RFQ-Input'!E471)</f>
        <v/>
      </c>
      <c r="F472" s="7" t="str">
        <f>IF('RFQ-Input'!F471="","",'RFQ-Input'!F471)</f>
        <v/>
      </c>
      <c r="G472" s="7" t="str">
        <f>IF('RFQ-Input'!G471="","",'RFQ-Input'!G471)</f>
        <v/>
      </c>
      <c r="H472" s="7" t="str">
        <f>IF('RFQ-Input'!H471="","",'RFQ-Input'!H471)</f>
        <v/>
      </c>
      <c r="I472" s="7" t="str">
        <f>IF('RFQ-Input'!I471="","",'RFQ-Input'!I471)</f>
        <v/>
      </c>
      <c r="J472" s="7" t="str">
        <f>IF('RFQ-Input'!J471="","",'RFQ-Input'!J471)</f>
        <v/>
      </c>
      <c r="K472" s="7" t="str">
        <f>IF('RFQ-Input'!K471="","",'RFQ-Input'!K471)</f>
        <v/>
      </c>
      <c r="L472" s="7" t="str">
        <f>IF('RFQ-Input'!L471="","",'RFQ-Input'!L471)</f>
        <v/>
      </c>
      <c r="M472" s="7" t="str">
        <f>IF('RFQ-Input'!M471="","",'RFQ-Input'!M471)</f>
        <v/>
      </c>
      <c r="N472" s="7" t="str">
        <f>IF('RFQ-Input'!N471="","",'RFQ-Input'!N471)</f>
        <v/>
      </c>
      <c r="O472" s="7" t="str">
        <f>IF('RFQ-Input'!O471="","",'RFQ-Input'!O471)</f>
        <v/>
      </c>
      <c r="Q472" s="7"/>
      <c r="R472" s="7"/>
      <c r="S472" s="7"/>
      <c r="T472" s="7"/>
      <c r="U472" s="7"/>
      <c r="V472" s="7"/>
      <c r="X472" s="7"/>
      <c r="Y472" s="7"/>
      <c r="Z472" s="7"/>
      <c r="AA472" s="7" t="str">
        <f t="shared" si="49"/>
        <v/>
      </c>
      <c r="AB472" s="7"/>
      <c r="AC472" s="7"/>
      <c r="AQ472" s="7" t="str">
        <f t="shared" si="50"/>
        <v/>
      </c>
      <c r="AR472" s="7" t="str">
        <f t="shared" si="51"/>
        <v/>
      </c>
      <c r="AS472" s="7" t="str">
        <f t="shared" si="52"/>
        <v/>
      </c>
      <c r="AT472" s="7" t="str">
        <f t="shared" si="53"/>
        <v/>
      </c>
      <c r="AU472" s="7" t="str">
        <f t="shared" si="54"/>
        <v/>
      </c>
      <c r="AV472" s="7" t="str">
        <f t="shared" si="55"/>
        <v/>
      </c>
      <c r="AW472" s="7" t="str">
        <f>IF('RFQ-Input'!O471="","",'RFQ-Input'!O471)</f>
        <v/>
      </c>
      <c r="AX472" s="7" t="str">
        <f>IF('RFQ-Input'!S471="","",'RFQ-Input'!S471)</f>
        <v/>
      </c>
      <c r="AY472" s="7" t="str">
        <f>IF('RFQ-Input'!V471="","",'RFQ-Input'!V471)</f>
        <v/>
      </c>
      <c r="AZ472" s="7" t="str">
        <f>IF('RFQ-Input'!Y471="","",'RFQ-Input'!Y471)</f>
        <v/>
      </c>
      <c r="BA472" s="7" t="str">
        <f>IF('RFQ-Input'!AB471="","",'RFQ-Input'!AB471)</f>
        <v/>
      </c>
    </row>
    <row r="473" spans="1:53">
      <c r="A473" s="20">
        <v>469</v>
      </c>
      <c r="B473" s="7"/>
      <c r="C473" s="7" t="str">
        <f>IF('RFQ-Input'!C472="","",'RFQ-Input'!C472)</f>
        <v/>
      </c>
      <c r="D473" s="7" t="str">
        <f>IF('RFQ-Input'!D472="","",'RFQ-Input'!D472)</f>
        <v/>
      </c>
      <c r="E473" s="7" t="str">
        <f>IF('RFQ-Input'!E472="","",'RFQ-Input'!E472)</f>
        <v/>
      </c>
      <c r="F473" s="7" t="str">
        <f>IF('RFQ-Input'!F472="","",'RFQ-Input'!F472)</f>
        <v/>
      </c>
      <c r="G473" s="7" t="str">
        <f>IF('RFQ-Input'!G472="","",'RFQ-Input'!G472)</f>
        <v/>
      </c>
      <c r="H473" s="7" t="str">
        <f>IF('RFQ-Input'!H472="","",'RFQ-Input'!H472)</f>
        <v/>
      </c>
      <c r="I473" s="7" t="str">
        <f>IF('RFQ-Input'!I472="","",'RFQ-Input'!I472)</f>
        <v/>
      </c>
      <c r="J473" s="7" t="str">
        <f>IF('RFQ-Input'!J472="","",'RFQ-Input'!J472)</f>
        <v/>
      </c>
      <c r="K473" s="7" t="str">
        <f>IF('RFQ-Input'!K472="","",'RFQ-Input'!K472)</f>
        <v/>
      </c>
      <c r="L473" s="7" t="str">
        <f>IF('RFQ-Input'!L472="","",'RFQ-Input'!L472)</f>
        <v/>
      </c>
      <c r="M473" s="7" t="str">
        <f>IF('RFQ-Input'!M472="","",'RFQ-Input'!M472)</f>
        <v/>
      </c>
      <c r="N473" s="7" t="str">
        <f>IF('RFQ-Input'!N472="","",'RFQ-Input'!N472)</f>
        <v/>
      </c>
      <c r="O473" s="7" t="str">
        <f>IF('RFQ-Input'!O472="","",'RFQ-Input'!O472)</f>
        <v/>
      </c>
      <c r="Q473" s="7"/>
      <c r="R473" s="7"/>
      <c r="S473" s="7"/>
      <c r="T473" s="7"/>
      <c r="U473" s="7"/>
      <c r="V473" s="7"/>
      <c r="X473" s="7"/>
      <c r="Y473" s="7"/>
      <c r="Z473" s="7"/>
      <c r="AA473" s="7" t="str">
        <f t="shared" si="49"/>
        <v/>
      </c>
      <c r="AB473" s="7"/>
      <c r="AC473" s="7"/>
      <c r="AQ473" s="7" t="str">
        <f t="shared" si="50"/>
        <v/>
      </c>
      <c r="AR473" s="7" t="str">
        <f t="shared" si="51"/>
        <v/>
      </c>
      <c r="AS473" s="7" t="str">
        <f t="shared" si="52"/>
        <v/>
      </c>
      <c r="AT473" s="7" t="str">
        <f t="shared" si="53"/>
        <v/>
      </c>
      <c r="AU473" s="7" t="str">
        <f t="shared" si="54"/>
        <v/>
      </c>
      <c r="AV473" s="7" t="str">
        <f t="shared" si="55"/>
        <v/>
      </c>
      <c r="AW473" s="7" t="str">
        <f>IF('RFQ-Input'!O472="","",'RFQ-Input'!O472)</f>
        <v/>
      </c>
      <c r="AX473" s="7" t="str">
        <f>IF('RFQ-Input'!S472="","",'RFQ-Input'!S472)</f>
        <v/>
      </c>
      <c r="AY473" s="7" t="str">
        <f>IF('RFQ-Input'!V472="","",'RFQ-Input'!V472)</f>
        <v/>
      </c>
      <c r="AZ473" s="7" t="str">
        <f>IF('RFQ-Input'!Y472="","",'RFQ-Input'!Y472)</f>
        <v/>
      </c>
      <c r="BA473" s="7" t="str">
        <f>IF('RFQ-Input'!AB472="","",'RFQ-Input'!AB472)</f>
        <v/>
      </c>
    </row>
    <row r="474" spans="1:53">
      <c r="A474" s="20">
        <v>470</v>
      </c>
      <c r="B474" s="7"/>
      <c r="C474" s="7" t="str">
        <f>IF('RFQ-Input'!C473="","",'RFQ-Input'!C473)</f>
        <v/>
      </c>
      <c r="D474" s="7" t="str">
        <f>IF('RFQ-Input'!D473="","",'RFQ-Input'!D473)</f>
        <v/>
      </c>
      <c r="E474" s="7" t="str">
        <f>IF('RFQ-Input'!E473="","",'RFQ-Input'!E473)</f>
        <v/>
      </c>
      <c r="F474" s="7" t="str">
        <f>IF('RFQ-Input'!F473="","",'RFQ-Input'!F473)</f>
        <v/>
      </c>
      <c r="G474" s="7" t="str">
        <f>IF('RFQ-Input'!G473="","",'RFQ-Input'!G473)</f>
        <v/>
      </c>
      <c r="H474" s="7" t="str">
        <f>IF('RFQ-Input'!H473="","",'RFQ-Input'!H473)</f>
        <v/>
      </c>
      <c r="I474" s="7" t="str">
        <f>IF('RFQ-Input'!I473="","",'RFQ-Input'!I473)</f>
        <v/>
      </c>
      <c r="J474" s="7" t="str">
        <f>IF('RFQ-Input'!J473="","",'RFQ-Input'!J473)</f>
        <v/>
      </c>
      <c r="K474" s="7" t="str">
        <f>IF('RFQ-Input'!K473="","",'RFQ-Input'!K473)</f>
        <v/>
      </c>
      <c r="L474" s="7" t="str">
        <f>IF('RFQ-Input'!L473="","",'RFQ-Input'!L473)</f>
        <v/>
      </c>
      <c r="M474" s="7" t="str">
        <f>IF('RFQ-Input'!M473="","",'RFQ-Input'!M473)</f>
        <v/>
      </c>
      <c r="N474" s="7" t="str">
        <f>IF('RFQ-Input'!N473="","",'RFQ-Input'!N473)</f>
        <v/>
      </c>
      <c r="O474" s="7" t="str">
        <f>IF('RFQ-Input'!O473="","",'RFQ-Input'!O473)</f>
        <v/>
      </c>
      <c r="Q474" s="7"/>
      <c r="R474" s="7"/>
      <c r="S474" s="7"/>
      <c r="T474" s="7"/>
      <c r="U474" s="7"/>
      <c r="V474" s="7"/>
      <c r="X474" s="7"/>
      <c r="Y474" s="7"/>
      <c r="Z474" s="7"/>
      <c r="AA474" s="7" t="str">
        <f t="shared" si="49"/>
        <v/>
      </c>
      <c r="AB474" s="7"/>
      <c r="AC474" s="7"/>
      <c r="AQ474" s="7" t="str">
        <f t="shared" si="50"/>
        <v/>
      </c>
      <c r="AR474" s="7" t="str">
        <f t="shared" si="51"/>
        <v/>
      </c>
      <c r="AS474" s="7" t="str">
        <f t="shared" si="52"/>
        <v/>
      </c>
      <c r="AT474" s="7" t="str">
        <f t="shared" si="53"/>
        <v/>
      </c>
      <c r="AU474" s="7" t="str">
        <f t="shared" si="54"/>
        <v/>
      </c>
      <c r="AV474" s="7" t="str">
        <f t="shared" si="55"/>
        <v/>
      </c>
      <c r="AW474" s="7" t="str">
        <f>IF('RFQ-Input'!O473="","",'RFQ-Input'!O473)</f>
        <v/>
      </c>
      <c r="AX474" s="7" t="str">
        <f>IF('RFQ-Input'!S473="","",'RFQ-Input'!S473)</f>
        <v/>
      </c>
      <c r="AY474" s="7" t="str">
        <f>IF('RFQ-Input'!V473="","",'RFQ-Input'!V473)</f>
        <v/>
      </c>
      <c r="AZ474" s="7" t="str">
        <f>IF('RFQ-Input'!Y473="","",'RFQ-Input'!Y473)</f>
        <v/>
      </c>
      <c r="BA474" s="7" t="str">
        <f>IF('RFQ-Input'!AB473="","",'RFQ-Input'!AB473)</f>
        <v/>
      </c>
    </row>
    <row r="475" spans="1:53">
      <c r="A475" s="20">
        <v>471</v>
      </c>
      <c r="B475" s="7"/>
      <c r="C475" s="7" t="str">
        <f>IF('RFQ-Input'!C474="","",'RFQ-Input'!C474)</f>
        <v/>
      </c>
      <c r="D475" s="7" t="str">
        <f>IF('RFQ-Input'!D474="","",'RFQ-Input'!D474)</f>
        <v/>
      </c>
      <c r="E475" s="7" t="str">
        <f>IF('RFQ-Input'!E474="","",'RFQ-Input'!E474)</f>
        <v/>
      </c>
      <c r="F475" s="7" t="str">
        <f>IF('RFQ-Input'!F474="","",'RFQ-Input'!F474)</f>
        <v/>
      </c>
      <c r="G475" s="7" t="str">
        <f>IF('RFQ-Input'!G474="","",'RFQ-Input'!G474)</f>
        <v/>
      </c>
      <c r="H475" s="7" t="str">
        <f>IF('RFQ-Input'!H474="","",'RFQ-Input'!H474)</f>
        <v/>
      </c>
      <c r="I475" s="7" t="str">
        <f>IF('RFQ-Input'!I474="","",'RFQ-Input'!I474)</f>
        <v/>
      </c>
      <c r="J475" s="7" t="str">
        <f>IF('RFQ-Input'!J474="","",'RFQ-Input'!J474)</f>
        <v/>
      </c>
      <c r="K475" s="7" t="str">
        <f>IF('RFQ-Input'!K474="","",'RFQ-Input'!K474)</f>
        <v/>
      </c>
      <c r="L475" s="7" t="str">
        <f>IF('RFQ-Input'!L474="","",'RFQ-Input'!L474)</f>
        <v/>
      </c>
      <c r="M475" s="7" t="str">
        <f>IF('RFQ-Input'!M474="","",'RFQ-Input'!M474)</f>
        <v/>
      </c>
      <c r="N475" s="7" t="str">
        <f>IF('RFQ-Input'!N474="","",'RFQ-Input'!N474)</f>
        <v/>
      </c>
      <c r="O475" s="7" t="str">
        <f>IF('RFQ-Input'!O474="","",'RFQ-Input'!O474)</f>
        <v/>
      </c>
      <c r="Q475" s="7"/>
      <c r="R475" s="7"/>
      <c r="S475" s="7"/>
      <c r="T475" s="7"/>
      <c r="U475" s="7"/>
      <c r="V475" s="7"/>
      <c r="X475" s="7"/>
      <c r="Y475" s="7"/>
      <c r="Z475" s="7"/>
      <c r="AA475" s="7" t="str">
        <f t="shared" si="49"/>
        <v/>
      </c>
      <c r="AB475" s="7"/>
      <c r="AC475" s="7"/>
      <c r="AQ475" s="7" t="str">
        <f t="shared" si="50"/>
        <v/>
      </c>
      <c r="AR475" s="7" t="str">
        <f t="shared" si="51"/>
        <v/>
      </c>
      <c r="AS475" s="7" t="str">
        <f t="shared" si="52"/>
        <v/>
      </c>
      <c r="AT475" s="7" t="str">
        <f t="shared" si="53"/>
        <v/>
      </c>
      <c r="AU475" s="7" t="str">
        <f t="shared" si="54"/>
        <v/>
      </c>
      <c r="AV475" s="7" t="str">
        <f t="shared" si="55"/>
        <v/>
      </c>
      <c r="AW475" s="7" t="str">
        <f>IF('RFQ-Input'!O474="","",'RFQ-Input'!O474)</f>
        <v/>
      </c>
      <c r="AX475" s="7" t="str">
        <f>IF('RFQ-Input'!S474="","",'RFQ-Input'!S474)</f>
        <v/>
      </c>
      <c r="AY475" s="7" t="str">
        <f>IF('RFQ-Input'!V474="","",'RFQ-Input'!V474)</f>
        <v/>
      </c>
      <c r="AZ475" s="7" t="str">
        <f>IF('RFQ-Input'!Y474="","",'RFQ-Input'!Y474)</f>
        <v/>
      </c>
      <c r="BA475" s="7" t="str">
        <f>IF('RFQ-Input'!AB474="","",'RFQ-Input'!AB474)</f>
        <v/>
      </c>
    </row>
    <row r="476" spans="1:53">
      <c r="A476" s="20">
        <v>472</v>
      </c>
      <c r="B476" s="7"/>
      <c r="C476" s="7" t="str">
        <f>IF('RFQ-Input'!C475="","",'RFQ-Input'!C475)</f>
        <v/>
      </c>
      <c r="D476" s="7" t="str">
        <f>IF('RFQ-Input'!D475="","",'RFQ-Input'!D475)</f>
        <v/>
      </c>
      <c r="E476" s="7" t="str">
        <f>IF('RFQ-Input'!E475="","",'RFQ-Input'!E475)</f>
        <v/>
      </c>
      <c r="F476" s="7" t="str">
        <f>IF('RFQ-Input'!F475="","",'RFQ-Input'!F475)</f>
        <v/>
      </c>
      <c r="G476" s="7" t="str">
        <f>IF('RFQ-Input'!G475="","",'RFQ-Input'!G475)</f>
        <v/>
      </c>
      <c r="H476" s="7" t="str">
        <f>IF('RFQ-Input'!H475="","",'RFQ-Input'!H475)</f>
        <v/>
      </c>
      <c r="I476" s="7" t="str">
        <f>IF('RFQ-Input'!I475="","",'RFQ-Input'!I475)</f>
        <v/>
      </c>
      <c r="J476" s="7" t="str">
        <f>IF('RFQ-Input'!J475="","",'RFQ-Input'!J475)</f>
        <v/>
      </c>
      <c r="K476" s="7" t="str">
        <f>IF('RFQ-Input'!K475="","",'RFQ-Input'!K475)</f>
        <v/>
      </c>
      <c r="L476" s="7" t="str">
        <f>IF('RFQ-Input'!L475="","",'RFQ-Input'!L475)</f>
        <v/>
      </c>
      <c r="M476" s="7" t="str">
        <f>IF('RFQ-Input'!M475="","",'RFQ-Input'!M475)</f>
        <v/>
      </c>
      <c r="N476" s="7" t="str">
        <f>IF('RFQ-Input'!N475="","",'RFQ-Input'!N475)</f>
        <v/>
      </c>
      <c r="O476" s="7" t="str">
        <f>IF('RFQ-Input'!O475="","",'RFQ-Input'!O475)</f>
        <v/>
      </c>
      <c r="Q476" s="7"/>
      <c r="R476" s="7"/>
      <c r="S476" s="7"/>
      <c r="T476" s="7"/>
      <c r="U476" s="7"/>
      <c r="V476" s="7"/>
      <c r="X476" s="7"/>
      <c r="Y476" s="7"/>
      <c r="Z476" s="7"/>
      <c r="AA476" s="7" t="str">
        <f t="shared" si="49"/>
        <v/>
      </c>
      <c r="AB476" s="7"/>
      <c r="AC476" s="7"/>
      <c r="AQ476" s="7" t="str">
        <f t="shared" si="50"/>
        <v/>
      </c>
      <c r="AR476" s="7" t="str">
        <f t="shared" si="51"/>
        <v/>
      </c>
      <c r="AS476" s="7" t="str">
        <f t="shared" si="52"/>
        <v/>
      </c>
      <c r="AT476" s="7" t="str">
        <f t="shared" si="53"/>
        <v/>
      </c>
      <c r="AU476" s="7" t="str">
        <f t="shared" si="54"/>
        <v/>
      </c>
      <c r="AV476" s="7" t="str">
        <f t="shared" si="55"/>
        <v/>
      </c>
      <c r="AW476" s="7" t="str">
        <f>IF('RFQ-Input'!O475="","",'RFQ-Input'!O475)</f>
        <v/>
      </c>
      <c r="AX476" s="7" t="str">
        <f>IF('RFQ-Input'!S475="","",'RFQ-Input'!S475)</f>
        <v/>
      </c>
      <c r="AY476" s="7" t="str">
        <f>IF('RFQ-Input'!V475="","",'RFQ-Input'!V475)</f>
        <v/>
      </c>
      <c r="AZ476" s="7" t="str">
        <f>IF('RFQ-Input'!Y475="","",'RFQ-Input'!Y475)</f>
        <v/>
      </c>
      <c r="BA476" s="7" t="str">
        <f>IF('RFQ-Input'!AB475="","",'RFQ-Input'!AB475)</f>
        <v/>
      </c>
    </row>
    <row r="477" spans="1:53">
      <c r="A477" s="20">
        <v>473</v>
      </c>
      <c r="B477" s="7"/>
      <c r="C477" s="7" t="str">
        <f>IF('RFQ-Input'!C476="","",'RFQ-Input'!C476)</f>
        <v/>
      </c>
      <c r="D477" s="7" t="str">
        <f>IF('RFQ-Input'!D476="","",'RFQ-Input'!D476)</f>
        <v/>
      </c>
      <c r="E477" s="7" t="str">
        <f>IF('RFQ-Input'!E476="","",'RFQ-Input'!E476)</f>
        <v/>
      </c>
      <c r="F477" s="7" t="str">
        <f>IF('RFQ-Input'!F476="","",'RFQ-Input'!F476)</f>
        <v/>
      </c>
      <c r="G477" s="7" t="str">
        <f>IF('RFQ-Input'!G476="","",'RFQ-Input'!G476)</f>
        <v/>
      </c>
      <c r="H477" s="7" t="str">
        <f>IF('RFQ-Input'!H476="","",'RFQ-Input'!H476)</f>
        <v/>
      </c>
      <c r="I477" s="7" t="str">
        <f>IF('RFQ-Input'!I476="","",'RFQ-Input'!I476)</f>
        <v/>
      </c>
      <c r="J477" s="7" t="str">
        <f>IF('RFQ-Input'!J476="","",'RFQ-Input'!J476)</f>
        <v/>
      </c>
      <c r="K477" s="7" t="str">
        <f>IF('RFQ-Input'!K476="","",'RFQ-Input'!K476)</f>
        <v/>
      </c>
      <c r="L477" s="7" t="str">
        <f>IF('RFQ-Input'!L476="","",'RFQ-Input'!L476)</f>
        <v/>
      </c>
      <c r="M477" s="7" t="str">
        <f>IF('RFQ-Input'!M476="","",'RFQ-Input'!M476)</f>
        <v/>
      </c>
      <c r="N477" s="7" t="str">
        <f>IF('RFQ-Input'!N476="","",'RFQ-Input'!N476)</f>
        <v/>
      </c>
      <c r="O477" s="7" t="str">
        <f>IF('RFQ-Input'!O476="","",'RFQ-Input'!O476)</f>
        <v/>
      </c>
      <c r="Q477" s="7"/>
      <c r="R477" s="7"/>
      <c r="S477" s="7"/>
      <c r="T477" s="7"/>
      <c r="U477" s="7"/>
      <c r="V477" s="7"/>
      <c r="X477" s="7"/>
      <c r="Y477" s="7"/>
      <c r="Z477" s="7"/>
      <c r="AA477" s="7" t="str">
        <f t="shared" si="49"/>
        <v/>
      </c>
      <c r="AB477" s="7"/>
      <c r="AC477" s="7"/>
      <c r="AQ477" s="7" t="str">
        <f t="shared" si="50"/>
        <v/>
      </c>
      <c r="AR477" s="7" t="str">
        <f t="shared" si="51"/>
        <v/>
      </c>
      <c r="AS477" s="7" t="str">
        <f t="shared" si="52"/>
        <v/>
      </c>
      <c r="AT477" s="7" t="str">
        <f t="shared" si="53"/>
        <v/>
      </c>
      <c r="AU477" s="7" t="str">
        <f t="shared" si="54"/>
        <v/>
      </c>
      <c r="AV477" s="7" t="str">
        <f t="shared" si="55"/>
        <v/>
      </c>
      <c r="AW477" s="7" t="str">
        <f>IF('RFQ-Input'!O476="","",'RFQ-Input'!O476)</f>
        <v/>
      </c>
      <c r="AX477" s="7" t="str">
        <f>IF('RFQ-Input'!S476="","",'RFQ-Input'!S476)</f>
        <v/>
      </c>
      <c r="AY477" s="7" t="str">
        <f>IF('RFQ-Input'!V476="","",'RFQ-Input'!V476)</f>
        <v/>
      </c>
      <c r="AZ477" s="7" t="str">
        <f>IF('RFQ-Input'!Y476="","",'RFQ-Input'!Y476)</f>
        <v/>
      </c>
      <c r="BA477" s="7" t="str">
        <f>IF('RFQ-Input'!AB476="","",'RFQ-Input'!AB476)</f>
        <v/>
      </c>
    </row>
    <row r="478" spans="1:53">
      <c r="A478" s="20">
        <v>474</v>
      </c>
      <c r="B478" s="7"/>
      <c r="C478" s="7" t="str">
        <f>IF('RFQ-Input'!C477="","",'RFQ-Input'!C477)</f>
        <v/>
      </c>
      <c r="D478" s="7" t="str">
        <f>IF('RFQ-Input'!D477="","",'RFQ-Input'!D477)</f>
        <v/>
      </c>
      <c r="E478" s="7" t="str">
        <f>IF('RFQ-Input'!E477="","",'RFQ-Input'!E477)</f>
        <v/>
      </c>
      <c r="F478" s="7" t="str">
        <f>IF('RFQ-Input'!F477="","",'RFQ-Input'!F477)</f>
        <v/>
      </c>
      <c r="G478" s="7" t="str">
        <f>IF('RFQ-Input'!G477="","",'RFQ-Input'!G477)</f>
        <v/>
      </c>
      <c r="H478" s="7" t="str">
        <f>IF('RFQ-Input'!H477="","",'RFQ-Input'!H477)</f>
        <v/>
      </c>
      <c r="I478" s="7" t="str">
        <f>IF('RFQ-Input'!I477="","",'RFQ-Input'!I477)</f>
        <v/>
      </c>
      <c r="J478" s="7" t="str">
        <f>IF('RFQ-Input'!J477="","",'RFQ-Input'!J477)</f>
        <v/>
      </c>
      <c r="K478" s="7" t="str">
        <f>IF('RFQ-Input'!K477="","",'RFQ-Input'!K477)</f>
        <v/>
      </c>
      <c r="L478" s="7" t="str">
        <f>IF('RFQ-Input'!L477="","",'RFQ-Input'!L477)</f>
        <v/>
      </c>
      <c r="M478" s="7" t="str">
        <f>IF('RFQ-Input'!M477="","",'RFQ-Input'!M477)</f>
        <v/>
      </c>
      <c r="N478" s="7" t="str">
        <f>IF('RFQ-Input'!N477="","",'RFQ-Input'!N477)</f>
        <v/>
      </c>
      <c r="O478" s="7" t="str">
        <f>IF('RFQ-Input'!O477="","",'RFQ-Input'!O477)</f>
        <v/>
      </c>
      <c r="Q478" s="7"/>
      <c r="R478" s="7"/>
      <c r="S478" s="7"/>
      <c r="T478" s="7"/>
      <c r="U478" s="7"/>
      <c r="V478" s="7"/>
      <c r="X478" s="7"/>
      <c r="Y478" s="7"/>
      <c r="Z478" s="7"/>
      <c r="AA478" s="7" t="str">
        <f t="shared" si="49"/>
        <v/>
      </c>
      <c r="AB478" s="7"/>
      <c r="AC478" s="7"/>
      <c r="AQ478" s="7" t="str">
        <f t="shared" si="50"/>
        <v/>
      </c>
      <c r="AR478" s="7" t="str">
        <f t="shared" si="51"/>
        <v/>
      </c>
      <c r="AS478" s="7" t="str">
        <f t="shared" si="52"/>
        <v/>
      </c>
      <c r="AT478" s="7" t="str">
        <f t="shared" si="53"/>
        <v/>
      </c>
      <c r="AU478" s="7" t="str">
        <f t="shared" si="54"/>
        <v/>
      </c>
      <c r="AV478" s="7" t="str">
        <f t="shared" si="55"/>
        <v/>
      </c>
      <c r="AW478" s="7" t="str">
        <f>IF('RFQ-Input'!O477="","",'RFQ-Input'!O477)</f>
        <v/>
      </c>
      <c r="AX478" s="7" t="str">
        <f>IF('RFQ-Input'!S477="","",'RFQ-Input'!S477)</f>
        <v/>
      </c>
      <c r="AY478" s="7" t="str">
        <f>IF('RFQ-Input'!V477="","",'RFQ-Input'!V477)</f>
        <v/>
      </c>
      <c r="AZ478" s="7" t="str">
        <f>IF('RFQ-Input'!Y477="","",'RFQ-Input'!Y477)</f>
        <v/>
      </c>
      <c r="BA478" s="7" t="str">
        <f>IF('RFQ-Input'!AB477="","",'RFQ-Input'!AB477)</f>
        <v/>
      </c>
    </row>
    <row r="479" spans="1:53">
      <c r="A479" s="20">
        <v>475</v>
      </c>
      <c r="B479" s="7"/>
      <c r="C479" s="7" t="str">
        <f>IF('RFQ-Input'!C478="","",'RFQ-Input'!C478)</f>
        <v/>
      </c>
      <c r="D479" s="7" t="str">
        <f>IF('RFQ-Input'!D478="","",'RFQ-Input'!D478)</f>
        <v/>
      </c>
      <c r="E479" s="7" t="str">
        <f>IF('RFQ-Input'!E478="","",'RFQ-Input'!E478)</f>
        <v/>
      </c>
      <c r="F479" s="7" t="str">
        <f>IF('RFQ-Input'!F478="","",'RFQ-Input'!F478)</f>
        <v/>
      </c>
      <c r="G479" s="7" t="str">
        <f>IF('RFQ-Input'!G478="","",'RFQ-Input'!G478)</f>
        <v/>
      </c>
      <c r="H479" s="7" t="str">
        <f>IF('RFQ-Input'!H478="","",'RFQ-Input'!H478)</f>
        <v/>
      </c>
      <c r="I479" s="7" t="str">
        <f>IF('RFQ-Input'!I478="","",'RFQ-Input'!I478)</f>
        <v/>
      </c>
      <c r="J479" s="7" t="str">
        <f>IF('RFQ-Input'!J478="","",'RFQ-Input'!J478)</f>
        <v/>
      </c>
      <c r="K479" s="7" t="str">
        <f>IF('RFQ-Input'!K478="","",'RFQ-Input'!K478)</f>
        <v/>
      </c>
      <c r="L479" s="7" t="str">
        <f>IF('RFQ-Input'!L478="","",'RFQ-Input'!L478)</f>
        <v/>
      </c>
      <c r="M479" s="7" t="str">
        <f>IF('RFQ-Input'!M478="","",'RFQ-Input'!M478)</f>
        <v/>
      </c>
      <c r="N479" s="7" t="str">
        <f>IF('RFQ-Input'!N478="","",'RFQ-Input'!N478)</f>
        <v/>
      </c>
      <c r="O479" s="7" t="str">
        <f>IF('RFQ-Input'!O478="","",'RFQ-Input'!O478)</f>
        <v/>
      </c>
      <c r="Q479" s="7"/>
      <c r="R479" s="7"/>
      <c r="S479" s="7"/>
      <c r="T479" s="7"/>
      <c r="U479" s="7"/>
      <c r="V479" s="7"/>
      <c r="X479" s="7"/>
      <c r="Y479" s="7"/>
      <c r="Z479" s="7"/>
      <c r="AA479" s="7" t="str">
        <f t="shared" si="49"/>
        <v/>
      </c>
      <c r="AB479" s="7"/>
      <c r="AC479" s="7"/>
      <c r="AQ479" s="7" t="str">
        <f t="shared" si="50"/>
        <v/>
      </c>
      <c r="AR479" s="7" t="str">
        <f t="shared" si="51"/>
        <v/>
      </c>
      <c r="AS479" s="7" t="str">
        <f t="shared" si="52"/>
        <v/>
      </c>
      <c r="AT479" s="7" t="str">
        <f t="shared" si="53"/>
        <v/>
      </c>
      <c r="AU479" s="7" t="str">
        <f t="shared" si="54"/>
        <v/>
      </c>
      <c r="AV479" s="7" t="str">
        <f t="shared" si="55"/>
        <v/>
      </c>
      <c r="AW479" s="7" t="str">
        <f>IF('RFQ-Input'!O478="","",'RFQ-Input'!O478)</f>
        <v/>
      </c>
      <c r="AX479" s="7" t="str">
        <f>IF('RFQ-Input'!S478="","",'RFQ-Input'!S478)</f>
        <v/>
      </c>
      <c r="AY479" s="7" t="str">
        <f>IF('RFQ-Input'!V478="","",'RFQ-Input'!V478)</f>
        <v/>
      </c>
      <c r="AZ479" s="7" t="str">
        <f>IF('RFQ-Input'!Y478="","",'RFQ-Input'!Y478)</f>
        <v/>
      </c>
      <c r="BA479" s="7" t="str">
        <f>IF('RFQ-Input'!AB478="","",'RFQ-Input'!AB478)</f>
        <v/>
      </c>
    </row>
    <row r="480" spans="1:53">
      <c r="A480" s="20">
        <v>476</v>
      </c>
      <c r="B480" s="7"/>
      <c r="C480" s="7" t="str">
        <f>IF('RFQ-Input'!C479="","",'RFQ-Input'!C479)</f>
        <v/>
      </c>
      <c r="D480" s="7" t="str">
        <f>IF('RFQ-Input'!D479="","",'RFQ-Input'!D479)</f>
        <v/>
      </c>
      <c r="E480" s="7" t="str">
        <f>IF('RFQ-Input'!E479="","",'RFQ-Input'!E479)</f>
        <v/>
      </c>
      <c r="F480" s="7" t="str">
        <f>IF('RFQ-Input'!F479="","",'RFQ-Input'!F479)</f>
        <v/>
      </c>
      <c r="G480" s="7" t="str">
        <f>IF('RFQ-Input'!G479="","",'RFQ-Input'!G479)</f>
        <v/>
      </c>
      <c r="H480" s="7" t="str">
        <f>IF('RFQ-Input'!H479="","",'RFQ-Input'!H479)</f>
        <v/>
      </c>
      <c r="I480" s="7" t="str">
        <f>IF('RFQ-Input'!I479="","",'RFQ-Input'!I479)</f>
        <v/>
      </c>
      <c r="J480" s="7" t="str">
        <f>IF('RFQ-Input'!J479="","",'RFQ-Input'!J479)</f>
        <v/>
      </c>
      <c r="K480" s="7" t="str">
        <f>IF('RFQ-Input'!K479="","",'RFQ-Input'!K479)</f>
        <v/>
      </c>
      <c r="L480" s="7" t="str">
        <f>IF('RFQ-Input'!L479="","",'RFQ-Input'!L479)</f>
        <v/>
      </c>
      <c r="M480" s="7" t="str">
        <f>IF('RFQ-Input'!M479="","",'RFQ-Input'!M479)</f>
        <v/>
      </c>
      <c r="N480" s="7" t="str">
        <f>IF('RFQ-Input'!N479="","",'RFQ-Input'!N479)</f>
        <v/>
      </c>
      <c r="O480" s="7" t="str">
        <f>IF('RFQ-Input'!O479="","",'RFQ-Input'!O479)</f>
        <v/>
      </c>
      <c r="Q480" s="7"/>
      <c r="R480" s="7"/>
      <c r="S480" s="7"/>
      <c r="T480" s="7"/>
      <c r="U480" s="7"/>
      <c r="V480" s="7"/>
      <c r="X480" s="7"/>
      <c r="Y480" s="7"/>
      <c r="Z480" s="7"/>
      <c r="AA480" s="7" t="str">
        <f t="shared" si="49"/>
        <v/>
      </c>
      <c r="AB480" s="7"/>
      <c r="AC480" s="7"/>
      <c r="AQ480" s="7" t="str">
        <f t="shared" si="50"/>
        <v/>
      </c>
      <c r="AR480" s="7" t="str">
        <f t="shared" si="51"/>
        <v/>
      </c>
      <c r="AS480" s="7" t="str">
        <f t="shared" si="52"/>
        <v/>
      </c>
      <c r="AT480" s="7" t="str">
        <f t="shared" si="53"/>
        <v/>
      </c>
      <c r="AU480" s="7" t="str">
        <f t="shared" si="54"/>
        <v/>
      </c>
      <c r="AV480" s="7" t="str">
        <f t="shared" si="55"/>
        <v/>
      </c>
      <c r="AW480" s="7" t="str">
        <f>IF('RFQ-Input'!O479="","",'RFQ-Input'!O479)</f>
        <v/>
      </c>
      <c r="AX480" s="7" t="str">
        <f>IF('RFQ-Input'!S479="","",'RFQ-Input'!S479)</f>
        <v/>
      </c>
      <c r="AY480" s="7" t="str">
        <f>IF('RFQ-Input'!V479="","",'RFQ-Input'!V479)</f>
        <v/>
      </c>
      <c r="AZ480" s="7" t="str">
        <f>IF('RFQ-Input'!Y479="","",'RFQ-Input'!Y479)</f>
        <v/>
      </c>
      <c r="BA480" s="7" t="str">
        <f>IF('RFQ-Input'!AB479="","",'RFQ-Input'!AB479)</f>
        <v/>
      </c>
    </row>
    <row r="481" spans="1:53">
      <c r="A481" s="20">
        <v>477</v>
      </c>
      <c r="B481" s="7"/>
      <c r="C481" s="7" t="str">
        <f>IF('RFQ-Input'!C480="","",'RFQ-Input'!C480)</f>
        <v/>
      </c>
      <c r="D481" s="7" t="str">
        <f>IF('RFQ-Input'!D480="","",'RFQ-Input'!D480)</f>
        <v/>
      </c>
      <c r="E481" s="7" t="str">
        <f>IF('RFQ-Input'!E480="","",'RFQ-Input'!E480)</f>
        <v/>
      </c>
      <c r="F481" s="7" t="str">
        <f>IF('RFQ-Input'!F480="","",'RFQ-Input'!F480)</f>
        <v/>
      </c>
      <c r="G481" s="7" t="str">
        <f>IF('RFQ-Input'!G480="","",'RFQ-Input'!G480)</f>
        <v/>
      </c>
      <c r="H481" s="7" t="str">
        <f>IF('RFQ-Input'!H480="","",'RFQ-Input'!H480)</f>
        <v/>
      </c>
      <c r="I481" s="7" t="str">
        <f>IF('RFQ-Input'!I480="","",'RFQ-Input'!I480)</f>
        <v/>
      </c>
      <c r="J481" s="7" t="str">
        <f>IF('RFQ-Input'!J480="","",'RFQ-Input'!J480)</f>
        <v/>
      </c>
      <c r="K481" s="7" t="str">
        <f>IF('RFQ-Input'!K480="","",'RFQ-Input'!K480)</f>
        <v/>
      </c>
      <c r="L481" s="7" t="str">
        <f>IF('RFQ-Input'!L480="","",'RFQ-Input'!L480)</f>
        <v/>
      </c>
      <c r="M481" s="7" t="str">
        <f>IF('RFQ-Input'!M480="","",'RFQ-Input'!M480)</f>
        <v/>
      </c>
      <c r="N481" s="7" t="str">
        <f>IF('RFQ-Input'!N480="","",'RFQ-Input'!N480)</f>
        <v/>
      </c>
      <c r="O481" s="7" t="str">
        <f>IF('RFQ-Input'!O480="","",'RFQ-Input'!O480)</f>
        <v/>
      </c>
      <c r="Q481" s="7"/>
      <c r="R481" s="7"/>
      <c r="S481" s="7"/>
      <c r="T481" s="7"/>
      <c r="U481" s="7"/>
      <c r="V481" s="7"/>
      <c r="X481" s="7"/>
      <c r="Y481" s="7"/>
      <c r="Z481" s="7"/>
      <c r="AA481" s="7" t="str">
        <f t="shared" si="49"/>
        <v/>
      </c>
      <c r="AB481" s="7"/>
      <c r="AC481" s="7"/>
      <c r="AQ481" s="7" t="str">
        <f t="shared" si="50"/>
        <v/>
      </c>
      <c r="AR481" s="7" t="str">
        <f t="shared" si="51"/>
        <v/>
      </c>
      <c r="AS481" s="7" t="str">
        <f t="shared" si="52"/>
        <v/>
      </c>
      <c r="AT481" s="7" t="str">
        <f t="shared" si="53"/>
        <v/>
      </c>
      <c r="AU481" s="7" t="str">
        <f t="shared" si="54"/>
        <v/>
      </c>
      <c r="AV481" s="7" t="str">
        <f t="shared" si="55"/>
        <v/>
      </c>
      <c r="AW481" s="7" t="str">
        <f>IF('RFQ-Input'!O480="","",'RFQ-Input'!O480)</f>
        <v/>
      </c>
      <c r="AX481" s="7" t="str">
        <f>IF('RFQ-Input'!S480="","",'RFQ-Input'!S480)</f>
        <v/>
      </c>
      <c r="AY481" s="7" t="str">
        <f>IF('RFQ-Input'!V480="","",'RFQ-Input'!V480)</f>
        <v/>
      </c>
      <c r="AZ481" s="7" t="str">
        <f>IF('RFQ-Input'!Y480="","",'RFQ-Input'!Y480)</f>
        <v/>
      </c>
      <c r="BA481" s="7" t="str">
        <f>IF('RFQ-Input'!AB480="","",'RFQ-Input'!AB480)</f>
        <v/>
      </c>
    </row>
    <row r="482" spans="1:53">
      <c r="A482" s="20">
        <v>478</v>
      </c>
      <c r="B482" s="7"/>
      <c r="C482" s="7" t="str">
        <f>IF('RFQ-Input'!C481="","",'RFQ-Input'!C481)</f>
        <v/>
      </c>
      <c r="D482" s="7" t="str">
        <f>IF('RFQ-Input'!D481="","",'RFQ-Input'!D481)</f>
        <v/>
      </c>
      <c r="E482" s="7" t="str">
        <f>IF('RFQ-Input'!E481="","",'RFQ-Input'!E481)</f>
        <v/>
      </c>
      <c r="F482" s="7" t="str">
        <f>IF('RFQ-Input'!F481="","",'RFQ-Input'!F481)</f>
        <v/>
      </c>
      <c r="G482" s="7" t="str">
        <f>IF('RFQ-Input'!G481="","",'RFQ-Input'!G481)</f>
        <v/>
      </c>
      <c r="H482" s="7" t="str">
        <f>IF('RFQ-Input'!H481="","",'RFQ-Input'!H481)</f>
        <v/>
      </c>
      <c r="I482" s="7" t="str">
        <f>IF('RFQ-Input'!I481="","",'RFQ-Input'!I481)</f>
        <v/>
      </c>
      <c r="J482" s="7" t="str">
        <f>IF('RFQ-Input'!J481="","",'RFQ-Input'!J481)</f>
        <v/>
      </c>
      <c r="K482" s="7" t="str">
        <f>IF('RFQ-Input'!K481="","",'RFQ-Input'!K481)</f>
        <v/>
      </c>
      <c r="L482" s="7" t="str">
        <f>IF('RFQ-Input'!L481="","",'RFQ-Input'!L481)</f>
        <v/>
      </c>
      <c r="M482" s="7" t="str">
        <f>IF('RFQ-Input'!M481="","",'RFQ-Input'!M481)</f>
        <v/>
      </c>
      <c r="N482" s="7" t="str">
        <f>IF('RFQ-Input'!N481="","",'RFQ-Input'!N481)</f>
        <v/>
      </c>
      <c r="O482" s="7" t="str">
        <f>IF('RFQ-Input'!O481="","",'RFQ-Input'!O481)</f>
        <v/>
      </c>
      <c r="Q482" s="7"/>
      <c r="R482" s="7"/>
      <c r="S482" s="7"/>
      <c r="T482" s="7"/>
      <c r="U482" s="7"/>
      <c r="V482" s="7"/>
      <c r="X482" s="7"/>
      <c r="Y482" s="7"/>
      <c r="Z482" s="7"/>
      <c r="AA482" s="7" t="str">
        <f t="shared" si="49"/>
        <v/>
      </c>
      <c r="AB482" s="7"/>
      <c r="AC482" s="7"/>
      <c r="AQ482" s="7" t="str">
        <f t="shared" si="50"/>
        <v/>
      </c>
      <c r="AR482" s="7" t="str">
        <f t="shared" si="51"/>
        <v/>
      </c>
      <c r="AS482" s="7" t="str">
        <f t="shared" si="52"/>
        <v/>
      </c>
      <c r="AT482" s="7" t="str">
        <f t="shared" si="53"/>
        <v/>
      </c>
      <c r="AU482" s="7" t="str">
        <f t="shared" si="54"/>
        <v/>
      </c>
      <c r="AV482" s="7" t="str">
        <f t="shared" si="55"/>
        <v/>
      </c>
      <c r="AW482" s="7" t="str">
        <f>IF('RFQ-Input'!O481="","",'RFQ-Input'!O481)</f>
        <v/>
      </c>
      <c r="AX482" s="7" t="str">
        <f>IF('RFQ-Input'!S481="","",'RFQ-Input'!S481)</f>
        <v/>
      </c>
      <c r="AY482" s="7" t="str">
        <f>IF('RFQ-Input'!V481="","",'RFQ-Input'!V481)</f>
        <v/>
      </c>
      <c r="AZ482" s="7" t="str">
        <f>IF('RFQ-Input'!Y481="","",'RFQ-Input'!Y481)</f>
        <v/>
      </c>
      <c r="BA482" s="7" t="str">
        <f>IF('RFQ-Input'!AB481="","",'RFQ-Input'!AB481)</f>
        <v/>
      </c>
    </row>
    <row r="483" spans="1:53">
      <c r="A483" s="20">
        <v>479</v>
      </c>
      <c r="B483" s="7"/>
      <c r="C483" s="7" t="str">
        <f>IF('RFQ-Input'!C482="","",'RFQ-Input'!C482)</f>
        <v/>
      </c>
      <c r="D483" s="7" t="str">
        <f>IF('RFQ-Input'!D482="","",'RFQ-Input'!D482)</f>
        <v/>
      </c>
      <c r="E483" s="7" t="str">
        <f>IF('RFQ-Input'!E482="","",'RFQ-Input'!E482)</f>
        <v/>
      </c>
      <c r="F483" s="7" t="str">
        <f>IF('RFQ-Input'!F482="","",'RFQ-Input'!F482)</f>
        <v/>
      </c>
      <c r="G483" s="7" t="str">
        <f>IF('RFQ-Input'!G482="","",'RFQ-Input'!G482)</f>
        <v/>
      </c>
      <c r="H483" s="7" t="str">
        <f>IF('RFQ-Input'!H482="","",'RFQ-Input'!H482)</f>
        <v/>
      </c>
      <c r="I483" s="7" t="str">
        <f>IF('RFQ-Input'!I482="","",'RFQ-Input'!I482)</f>
        <v/>
      </c>
      <c r="J483" s="7" t="str">
        <f>IF('RFQ-Input'!J482="","",'RFQ-Input'!J482)</f>
        <v/>
      </c>
      <c r="K483" s="7" t="str">
        <f>IF('RFQ-Input'!K482="","",'RFQ-Input'!K482)</f>
        <v/>
      </c>
      <c r="L483" s="7" t="str">
        <f>IF('RFQ-Input'!L482="","",'RFQ-Input'!L482)</f>
        <v/>
      </c>
      <c r="M483" s="7" t="str">
        <f>IF('RFQ-Input'!M482="","",'RFQ-Input'!M482)</f>
        <v/>
      </c>
      <c r="N483" s="7" t="str">
        <f>IF('RFQ-Input'!N482="","",'RFQ-Input'!N482)</f>
        <v/>
      </c>
      <c r="O483" s="7" t="str">
        <f>IF('RFQ-Input'!O482="","",'RFQ-Input'!O482)</f>
        <v/>
      </c>
      <c r="Q483" s="7"/>
      <c r="R483" s="7"/>
      <c r="S483" s="7"/>
      <c r="T483" s="7"/>
      <c r="U483" s="7"/>
      <c r="V483" s="7"/>
      <c r="X483" s="7"/>
      <c r="Y483" s="7"/>
      <c r="Z483" s="7"/>
      <c r="AA483" s="7" t="str">
        <f t="shared" si="49"/>
        <v/>
      </c>
      <c r="AB483" s="7"/>
      <c r="AC483" s="7"/>
      <c r="AQ483" s="7" t="str">
        <f t="shared" si="50"/>
        <v/>
      </c>
      <c r="AR483" s="7" t="str">
        <f t="shared" si="51"/>
        <v/>
      </c>
      <c r="AS483" s="7" t="str">
        <f t="shared" si="52"/>
        <v/>
      </c>
      <c r="AT483" s="7" t="str">
        <f t="shared" si="53"/>
        <v/>
      </c>
      <c r="AU483" s="7" t="str">
        <f t="shared" si="54"/>
        <v/>
      </c>
      <c r="AV483" s="7" t="str">
        <f t="shared" si="55"/>
        <v/>
      </c>
      <c r="AW483" s="7" t="str">
        <f>IF('RFQ-Input'!O482="","",'RFQ-Input'!O482)</f>
        <v/>
      </c>
      <c r="AX483" s="7" t="str">
        <f>IF('RFQ-Input'!S482="","",'RFQ-Input'!S482)</f>
        <v/>
      </c>
      <c r="AY483" s="7" t="str">
        <f>IF('RFQ-Input'!V482="","",'RFQ-Input'!V482)</f>
        <v/>
      </c>
      <c r="AZ483" s="7" t="str">
        <f>IF('RFQ-Input'!Y482="","",'RFQ-Input'!Y482)</f>
        <v/>
      </c>
      <c r="BA483" s="7" t="str">
        <f>IF('RFQ-Input'!AB482="","",'RFQ-Input'!AB482)</f>
        <v/>
      </c>
    </row>
    <row r="484" spans="1:53">
      <c r="A484" s="20">
        <v>480</v>
      </c>
      <c r="B484" s="7"/>
      <c r="C484" s="7" t="str">
        <f>IF('RFQ-Input'!C483="","",'RFQ-Input'!C483)</f>
        <v/>
      </c>
      <c r="D484" s="7" t="str">
        <f>IF('RFQ-Input'!D483="","",'RFQ-Input'!D483)</f>
        <v/>
      </c>
      <c r="E484" s="7" t="str">
        <f>IF('RFQ-Input'!E483="","",'RFQ-Input'!E483)</f>
        <v/>
      </c>
      <c r="F484" s="7" t="str">
        <f>IF('RFQ-Input'!F483="","",'RFQ-Input'!F483)</f>
        <v/>
      </c>
      <c r="G484" s="7" t="str">
        <f>IF('RFQ-Input'!G483="","",'RFQ-Input'!G483)</f>
        <v/>
      </c>
      <c r="H484" s="7" t="str">
        <f>IF('RFQ-Input'!H483="","",'RFQ-Input'!H483)</f>
        <v/>
      </c>
      <c r="I484" s="7" t="str">
        <f>IF('RFQ-Input'!I483="","",'RFQ-Input'!I483)</f>
        <v/>
      </c>
      <c r="J484" s="7" t="str">
        <f>IF('RFQ-Input'!J483="","",'RFQ-Input'!J483)</f>
        <v/>
      </c>
      <c r="K484" s="7" t="str">
        <f>IF('RFQ-Input'!K483="","",'RFQ-Input'!K483)</f>
        <v/>
      </c>
      <c r="L484" s="7" t="str">
        <f>IF('RFQ-Input'!L483="","",'RFQ-Input'!L483)</f>
        <v/>
      </c>
      <c r="M484" s="7" t="str">
        <f>IF('RFQ-Input'!M483="","",'RFQ-Input'!M483)</f>
        <v/>
      </c>
      <c r="N484" s="7" t="str">
        <f>IF('RFQ-Input'!N483="","",'RFQ-Input'!N483)</f>
        <v/>
      </c>
      <c r="O484" s="7" t="str">
        <f>IF('RFQ-Input'!O483="","",'RFQ-Input'!O483)</f>
        <v/>
      </c>
      <c r="Q484" s="7"/>
      <c r="R484" s="7"/>
      <c r="S484" s="7"/>
      <c r="T484" s="7"/>
      <c r="U484" s="7"/>
      <c r="V484" s="7"/>
      <c r="X484" s="7"/>
      <c r="Y484" s="7"/>
      <c r="Z484" s="7"/>
      <c r="AA484" s="7" t="str">
        <f t="shared" si="49"/>
        <v/>
      </c>
      <c r="AB484" s="7"/>
      <c r="AC484" s="7"/>
      <c r="AQ484" s="7" t="str">
        <f t="shared" si="50"/>
        <v/>
      </c>
      <c r="AR484" s="7" t="str">
        <f t="shared" si="51"/>
        <v/>
      </c>
      <c r="AS484" s="7" t="str">
        <f t="shared" si="52"/>
        <v/>
      </c>
      <c r="AT484" s="7" t="str">
        <f t="shared" si="53"/>
        <v/>
      </c>
      <c r="AU484" s="7" t="str">
        <f t="shared" si="54"/>
        <v/>
      </c>
      <c r="AV484" s="7" t="str">
        <f t="shared" si="55"/>
        <v/>
      </c>
      <c r="AW484" s="7" t="str">
        <f>IF('RFQ-Input'!O483="","",'RFQ-Input'!O483)</f>
        <v/>
      </c>
      <c r="AX484" s="7" t="str">
        <f>IF('RFQ-Input'!S483="","",'RFQ-Input'!S483)</f>
        <v/>
      </c>
      <c r="AY484" s="7" t="str">
        <f>IF('RFQ-Input'!V483="","",'RFQ-Input'!V483)</f>
        <v/>
      </c>
      <c r="AZ484" s="7" t="str">
        <f>IF('RFQ-Input'!Y483="","",'RFQ-Input'!Y483)</f>
        <v/>
      </c>
      <c r="BA484" s="7" t="str">
        <f>IF('RFQ-Input'!AB483="","",'RFQ-Input'!AB483)</f>
        <v/>
      </c>
    </row>
    <row r="485" spans="1:53">
      <c r="A485" s="20">
        <v>481</v>
      </c>
      <c r="B485" s="7"/>
      <c r="C485" s="7" t="str">
        <f>IF('RFQ-Input'!C484="","",'RFQ-Input'!C484)</f>
        <v/>
      </c>
      <c r="D485" s="7" t="str">
        <f>IF('RFQ-Input'!D484="","",'RFQ-Input'!D484)</f>
        <v/>
      </c>
      <c r="E485" s="7" t="str">
        <f>IF('RFQ-Input'!E484="","",'RFQ-Input'!E484)</f>
        <v/>
      </c>
      <c r="F485" s="7" t="str">
        <f>IF('RFQ-Input'!F484="","",'RFQ-Input'!F484)</f>
        <v/>
      </c>
      <c r="G485" s="7" t="str">
        <f>IF('RFQ-Input'!G484="","",'RFQ-Input'!G484)</f>
        <v/>
      </c>
      <c r="H485" s="7" t="str">
        <f>IF('RFQ-Input'!H484="","",'RFQ-Input'!H484)</f>
        <v/>
      </c>
      <c r="I485" s="7" t="str">
        <f>IF('RFQ-Input'!I484="","",'RFQ-Input'!I484)</f>
        <v/>
      </c>
      <c r="J485" s="7" t="str">
        <f>IF('RFQ-Input'!J484="","",'RFQ-Input'!J484)</f>
        <v/>
      </c>
      <c r="K485" s="7" t="str">
        <f>IF('RFQ-Input'!K484="","",'RFQ-Input'!K484)</f>
        <v/>
      </c>
      <c r="L485" s="7" t="str">
        <f>IF('RFQ-Input'!L484="","",'RFQ-Input'!L484)</f>
        <v/>
      </c>
      <c r="M485" s="7" t="str">
        <f>IF('RFQ-Input'!M484="","",'RFQ-Input'!M484)</f>
        <v/>
      </c>
      <c r="N485" s="7" t="str">
        <f>IF('RFQ-Input'!N484="","",'RFQ-Input'!N484)</f>
        <v/>
      </c>
      <c r="O485" s="7" t="str">
        <f>IF('RFQ-Input'!O484="","",'RFQ-Input'!O484)</f>
        <v/>
      </c>
      <c r="Q485" s="7"/>
      <c r="R485" s="7"/>
      <c r="S485" s="7"/>
      <c r="T485" s="7"/>
      <c r="U485" s="7"/>
      <c r="V485" s="7"/>
      <c r="X485" s="7"/>
      <c r="Y485" s="7"/>
      <c r="Z485" s="7"/>
      <c r="AA485" s="7" t="str">
        <f t="shared" si="49"/>
        <v/>
      </c>
      <c r="AB485" s="7"/>
      <c r="AC485" s="7"/>
      <c r="AQ485" s="7" t="str">
        <f t="shared" si="50"/>
        <v/>
      </c>
      <c r="AR485" s="7" t="str">
        <f t="shared" si="51"/>
        <v/>
      </c>
      <c r="AS485" s="7" t="str">
        <f t="shared" si="52"/>
        <v/>
      </c>
      <c r="AT485" s="7" t="str">
        <f t="shared" si="53"/>
        <v/>
      </c>
      <c r="AU485" s="7" t="str">
        <f t="shared" si="54"/>
        <v/>
      </c>
      <c r="AV485" s="7" t="str">
        <f t="shared" si="55"/>
        <v/>
      </c>
      <c r="AW485" s="7" t="str">
        <f>IF('RFQ-Input'!O484="","",'RFQ-Input'!O484)</f>
        <v/>
      </c>
      <c r="AX485" s="7" t="str">
        <f>IF('RFQ-Input'!S484="","",'RFQ-Input'!S484)</f>
        <v/>
      </c>
      <c r="AY485" s="7" t="str">
        <f>IF('RFQ-Input'!V484="","",'RFQ-Input'!V484)</f>
        <v/>
      </c>
      <c r="AZ485" s="7" t="str">
        <f>IF('RFQ-Input'!Y484="","",'RFQ-Input'!Y484)</f>
        <v/>
      </c>
      <c r="BA485" s="7" t="str">
        <f>IF('RFQ-Input'!AB484="","",'RFQ-Input'!AB484)</f>
        <v/>
      </c>
    </row>
    <row r="486" spans="1:53">
      <c r="A486" s="20">
        <v>482</v>
      </c>
      <c r="B486" s="7"/>
      <c r="C486" s="7" t="str">
        <f>IF('RFQ-Input'!C485="","",'RFQ-Input'!C485)</f>
        <v/>
      </c>
      <c r="D486" s="7" t="str">
        <f>IF('RFQ-Input'!D485="","",'RFQ-Input'!D485)</f>
        <v/>
      </c>
      <c r="E486" s="7" t="str">
        <f>IF('RFQ-Input'!E485="","",'RFQ-Input'!E485)</f>
        <v/>
      </c>
      <c r="F486" s="7" t="str">
        <f>IF('RFQ-Input'!F485="","",'RFQ-Input'!F485)</f>
        <v/>
      </c>
      <c r="G486" s="7" t="str">
        <f>IF('RFQ-Input'!G485="","",'RFQ-Input'!G485)</f>
        <v/>
      </c>
      <c r="H486" s="7" t="str">
        <f>IF('RFQ-Input'!H485="","",'RFQ-Input'!H485)</f>
        <v/>
      </c>
      <c r="I486" s="7" t="str">
        <f>IF('RFQ-Input'!I485="","",'RFQ-Input'!I485)</f>
        <v/>
      </c>
      <c r="J486" s="7" t="str">
        <f>IF('RFQ-Input'!J485="","",'RFQ-Input'!J485)</f>
        <v/>
      </c>
      <c r="K486" s="7" t="str">
        <f>IF('RFQ-Input'!K485="","",'RFQ-Input'!K485)</f>
        <v/>
      </c>
      <c r="L486" s="7" t="str">
        <f>IF('RFQ-Input'!L485="","",'RFQ-Input'!L485)</f>
        <v/>
      </c>
      <c r="M486" s="7" t="str">
        <f>IF('RFQ-Input'!M485="","",'RFQ-Input'!M485)</f>
        <v/>
      </c>
      <c r="N486" s="7" t="str">
        <f>IF('RFQ-Input'!N485="","",'RFQ-Input'!N485)</f>
        <v/>
      </c>
      <c r="O486" s="7" t="str">
        <f>IF('RFQ-Input'!O485="","",'RFQ-Input'!O485)</f>
        <v/>
      </c>
      <c r="Q486" s="7"/>
      <c r="R486" s="7"/>
      <c r="S486" s="7"/>
      <c r="T486" s="7"/>
      <c r="U486" s="7"/>
      <c r="V486" s="7"/>
      <c r="X486" s="7"/>
      <c r="Y486" s="7"/>
      <c r="Z486" s="7"/>
      <c r="AA486" s="7" t="str">
        <f t="shared" si="49"/>
        <v/>
      </c>
      <c r="AB486" s="7"/>
      <c r="AC486" s="7"/>
      <c r="AQ486" s="7" t="str">
        <f t="shared" si="50"/>
        <v/>
      </c>
      <c r="AR486" s="7" t="str">
        <f t="shared" si="51"/>
        <v/>
      </c>
      <c r="AS486" s="7" t="str">
        <f t="shared" si="52"/>
        <v/>
      </c>
      <c r="AT486" s="7" t="str">
        <f t="shared" si="53"/>
        <v/>
      </c>
      <c r="AU486" s="7" t="str">
        <f t="shared" si="54"/>
        <v/>
      </c>
      <c r="AV486" s="7" t="str">
        <f t="shared" si="55"/>
        <v/>
      </c>
      <c r="AW486" s="7" t="str">
        <f>IF('RFQ-Input'!O485="","",'RFQ-Input'!O485)</f>
        <v/>
      </c>
      <c r="AX486" s="7" t="str">
        <f>IF('RFQ-Input'!S485="","",'RFQ-Input'!S485)</f>
        <v/>
      </c>
      <c r="AY486" s="7" t="str">
        <f>IF('RFQ-Input'!V485="","",'RFQ-Input'!V485)</f>
        <v/>
      </c>
      <c r="AZ486" s="7" t="str">
        <f>IF('RFQ-Input'!Y485="","",'RFQ-Input'!Y485)</f>
        <v/>
      </c>
      <c r="BA486" s="7" t="str">
        <f>IF('RFQ-Input'!AB485="","",'RFQ-Input'!AB485)</f>
        <v/>
      </c>
    </row>
    <row r="487" spans="1:53">
      <c r="A487" s="20">
        <v>483</v>
      </c>
      <c r="B487" s="7"/>
      <c r="C487" s="7" t="str">
        <f>IF('RFQ-Input'!C486="","",'RFQ-Input'!C486)</f>
        <v/>
      </c>
      <c r="D487" s="7" t="str">
        <f>IF('RFQ-Input'!D486="","",'RFQ-Input'!D486)</f>
        <v/>
      </c>
      <c r="E487" s="7" t="str">
        <f>IF('RFQ-Input'!E486="","",'RFQ-Input'!E486)</f>
        <v/>
      </c>
      <c r="F487" s="7" t="str">
        <f>IF('RFQ-Input'!F486="","",'RFQ-Input'!F486)</f>
        <v/>
      </c>
      <c r="G487" s="7" t="str">
        <f>IF('RFQ-Input'!G486="","",'RFQ-Input'!G486)</f>
        <v/>
      </c>
      <c r="H487" s="7" t="str">
        <f>IF('RFQ-Input'!H486="","",'RFQ-Input'!H486)</f>
        <v/>
      </c>
      <c r="I487" s="7" t="str">
        <f>IF('RFQ-Input'!I486="","",'RFQ-Input'!I486)</f>
        <v/>
      </c>
      <c r="J487" s="7" t="str">
        <f>IF('RFQ-Input'!J486="","",'RFQ-Input'!J486)</f>
        <v/>
      </c>
      <c r="K487" s="7" t="str">
        <f>IF('RFQ-Input'!K486="","",'RFQ-Input'!K486)</f>
        <v/>
      </c>
      <c r="L487" s="7" t="str">
        <f>IF('RFQ-Input'!L486="","",'RFQ-Input'!L486)</f>
        <v/>
      </c>
      <c r="M487" s="7" t="str">
        <f>IF('RFQ-Input'!M486="","",'RFQ-Input'!M486)</f>
        <v/>
      </c>
      <c r="N487" s="7" t="str">
        <f>IF('RFQ-Input'!N486="","",'RFQ-Input'!N486)</f>
        <v/>
      </c>
      <c r="O487" s="7" t="str">
        <f>IF('RFQ-Input'!O486="","",'RFQ-Input'!O486)</f>
        <v/>
      </c>
      <c r="Q487" s="7"/>
      <c r="R487" s="7"/>
      <c r="S487" s="7"/>
      <c r="T487" s="7"/>
      <c r="U487" s="7"/>
      <c r="V487" s="7"/>
      <c r="X487" s="7"/>
      <c r="Y487" s="7"/>
      <c r="Z487" s="7"/>
      <c r="AA487" s="7" t="str">
        <f t="shared" si="49"/>
        <v/>
      </c>
      <c r="AB487" s="7"/>
      <c r="AC487" s="7"/>
      <c r="AQ487" s="7" t="str">
        <f t="shared" si="50"/>
        <v/>
      </c>
      <c r="AR487" s="7" t="str">
        <f t="shared" si="51"/>
        <v/>
      </c>
      <c r="AS487" s="7" t="str">
        <f t="shared" si="52"/>
        <v/>
      </c>
      <c r="AT487" s="7" t="str">
        <f t="shared" si="53"/>
        <v/>
      </c>
      <c r="AU487" s="7" t="str">
        <f t="shared" si="54"/>
        <v/>
      </c>
      <c r="AV487" s="7" t="str">
        <f t="shared" si="55"/>
        <v/>
      </c>
      <c r="AW487" s="7" t="str">
        <f>IF('RFQ-Input'!O486="","",'RFQ-Input'!O486)</f>
        <v/>
      </c>
      <c r="AX487" s="7" t="str">
        <f>IF('RFQ-Input'!S486="","",'RFQ-Input'!S486)</f>
        <v/>
      </c>
      <c r="AY487" s="7" t="str">
        <f>IF('RFQ-Input'!V486="","",'RFQ-Input'!V486)</f>
        <v/>
      </c>
      <c r="AZ487" s="7" t="str">
        <f>IF('RFQ-Input'!Y486="","",'RFQ-Input'!Y486)</f>
        <v/>
      </c>
      <c r="BA487" s="7" t="str">
        <f>IF('RFQ-Input'!AB486="","",'RFQ-Input'!AB486)</f>
        <v/>
      </c>
    </row>
    <row r="488" spans="1:53">
      <c r="A488" s="20">
        <v>484</v>
      </c>
      <c r="B488" s="7"/>
      <c r="C488" s="7" t="str">
        <f>IF('RFQ-Input'!C487="","",'RFQ-Input'!C487)</f>
        <v/>
      </c>
      <c r="D488" s="7" t="str">
        <f>IF('RFQ-Input'!D487="","",'RFQ-Input'!D487)</f>
        <v/>
      </c>
      <c r="E488" s="7" t="str">
        <f>IF('RFQ-Input'!E487="","",'RFQ-Input'!E487)</f>
        <v/>
      </c>
      <c r="F488" s="7" t="str">
        <f>IF('RFQ-Input'!F487="","",'RFQ-Input'!F487)</f>
        <v/>
      </c>
      <c r="G488" s="7" t="str">
        <f>IF('RFQ-Input'!G487="","",'RFQ-Input'!G487)</f>
        <v/>
      </c>
      <c r="H488" s="7" t="str">
        <f>IF('RFQ-Input'!H487="","",'RFQ-Input'!H487)</f>
        <v/>
      </c>
      <c r="I488" s="7" t="str">
        <f>IF('RFQ-Input'!I487="","",'RFQ-Input'!I487)</f>
        <v/>
      </c>
      <c r="J488" s="7" t="str">
        <f>IF('RFQ-Input'!J487="","",'RFQ-Input'!J487)</f>
        <v/>
      </c>
      <c r="K488" s="7" t="str">
        <f>IF('RFQ-Input'!K487="","",'RFQ-Input'!K487)</f>
        <v/>
      </c>
      <c r="L488" s="7" t="str">
        <f>IF('RFQ-Input'!L487="","",'RFQ-Input'!L487)</f>
        <v/>
      </c>
      <c r="M488" s="7" t="str">
        <f>IF('RFQ-Input'!M487="","",'RFQ-Input'!M487)</f>
        <v/>
      </c>
      <c r="N488" s="7" t="str">
        <f>IF('RFQ-Input'!N487="","",'RFQ-Input'!N487)</f>
        <v/>
      </c>
      <c r="O488" s="7" t="str">
        <f>IF('RFQ-Input'!O487="","",'RFQ-Input'!O487)</f>
        <v/>
      </c>
      <c r="Q488" s="7"/>
      <c r="R488" s="7"/>
      <c r="S488" s="7"/>
      <c r="T488" s="7"/>
      <c r="U488" s="7"/>
      <c r="V488" s="7"/>
      <c r="X488" s="7"/>
      <c r="Y488" s="7"/>
      <c r="Z488" s="7"/>
      <c r="AA488" s="7" t="str">
        <f t="shared" si="49"/>
        <v/>
      </c>
      <c r="AB488" s="7"/>
      <c r="AC488" s="7"/>
      <c r="AQ488" s="7" t="str">
        <f t="shared" si="50"/>
        <v/>
      </c>
      <c r="AR488" s="7" t="str">
        <f t="shared" si="51"/>
        <v/>
      </c>
      <c r="AS488" s="7" t="str">
        <f t="shared" si="52"/>
        <v/>
      </c>
      <c r="AT488" s="7" t="str">
        <f t="shared" si="53"/>
        <v/>
      </c>
      <c r="AU488" s="7" t="str">
        <f t="shared" si="54"/>
        <v/>
      </c>
      <c r="AV488" s="7" t="str">
        <f t="shared" si="55"/>
        <v/>
      </c>
      <c r="AW488" s="7" t="str">
        <f>IF('RFQ-Input'!O487="","",'RFQ-Input'!O487)</f>
        <v/>
      </c>
      <c r="AX488" s="7" t="str">
        <f>IF('RFQ-Input'!S487="","",'RFQ-Input'!S487)</f>
        <v/>
      </c>
      <c r="AY488" s="7" t="str">
        <f>IF('RFQ-Input'!V487="","",'RFQ-Input'!V487)</f>
        <v/>
      </c>
      <c r="AZ488" s="7" t="str">
        <f>IF('RFQ-Input'!Y487="","",'RFQ-Input'!Y487)</f>
        <v/>
      </c>
      <c r="BA488" s="7" t="str">
        <f>IF('RFQ-Input'!AB487="","",'RFQ-Input'!AB487)</f>
        <v/>
      </c>
    </row>
    <row r="489" spans="1:53">
      <c r="A489" s="20">
        <v>485</v>
      </c>
      <c r="B489" s="7"/>
      <c r="C489" s="7" t="str">
        <f>IF('RFQ-Input'!C488="","",'RFQ-Input'!C488)</f>
        <v/>
      </c>
      <c r="D489" s="7" t="str">
        <f>IF('RFQ-Input'!D488="","",'RFQ-Input'!D488)</f>
        <v/>
      </c>
      <c r="E489" s="7" t="str">
        <f>IF('RFQ-Input'!E488="","",'RFQ-Input'!E488)</f>
        <v/>
      </c>
      <c r="F489" s="7" t="str">
        <f>IF('RFQ-Input'!F488="","",'RFQ-Input'!F488)</f>
        <v/>
      </c>
      <c r="G489" s="7" t="str">
        <f>IF('RFQ-Input'!G488="","",'RFQ-Input'!G488)</f>
        <v/>
      </c>
      <c r="H489" s="7" t="str">
        <f>IF('RFQ-Input'!H488="","",'RFQ-Input'!H488)</f>
        <v/>
      </c>
      <c r="I489" s="7" t="str">
        <f>IF('RFQ-Input'!I488="","",'RFQ-Input'!I488)</f>
        <v/>
      </c>
      <c r="J489" s="7" t="str">
        <f>IF('RFQ-Input'!J488="","",'RFQ-Input'!J488)</f>
        <v/>
      </c>
      <c r="K489" s="7" t="str">
        <f>IF('RFQ-Input'!K488="","",'RFQ-Input'!K488)</f>
        <v/>
      </c>
      <c r="L489" s="7" t="str">
        <f>IF('RFQ-Input'!L488="","",'RFQ-Input'!L488)</f>
        <v/>
      </c>
      <c r="M489" s="7" t="str">
        <f>IF('RFQ-Input'!M488="","",'RFQ-Input'!M488)</f>
        <v/>
      </c>
      <c r="N489" s="7" t="str">
        <f>IF('RFQ-Input'!N488="","",'RFQ-Input'!N488)</f>
        <v/>
      </c>
      <c r="O489" s="7" t="str">
        <f>IF('RFQ-Input'!O488="","",'RFQ-Input'!O488)</f>
        <v/>
      </c>
      <c r="Q489" s="7"/>
      <c r="R489" s="7"/>
      <c r="S489" s="7"/>
      <c r="T489" s="7"/>
      <c r="U489" s="7"/>
      <c r="V489" s="7"/>
      <c r="X489" s="7"/>
      <c r="Y489" s="7"/>
      <c r="Z489" s="7"/>
      <c r="AA489" s="7" t="str">
        <f t="shared" si="49"/>
        <v/>
      </c>
      <c r="AB489" s="7"/>
      <c r="AC489" s="7"/>
      <c r="AQ489" s="7" t="str">
        <f t="shared" si="50"/>
        <v/>
      </c>
      <c r="AR489" s="7" t="str">
        <f t="shared" si="51"/>
        <v/>
      </c>
      <c r="AS489" s="7" t="str">
        <f t="shared" si="52"/>
        <v/>
      </c>
      <c r="AT489" s="7" t="str">
        <f t="shared" si="53"/>
        <v/>
      </c>
      <c r="AU489" s="7" t="str">
        <f t="shared" si="54"/>
        <v/>
      </c>
      <c r="AV489" s="7" t="str">
        <f t="shared" si="55"/>
        <v/>
      </c>
      <c r="AW489" s="7" t="str">
        <f>IF('RFQ-Input'!O488="","",'RFQ-Input'!O488)</f>
        <v/>
      </c>
      <c r="AX489" s="7" t="str">
        <f>IF('RFQ-Input'!S488="","",'RFQ-Input'!S488)</f>
        <v/>
      </c>
      <c r="AY489" s="7" t="str">
        <f>IF('RFQ-Input'!V488="","",'RFQ-Input'!V488)</f>
        <v/>
      </c>
      <c r="AZ489" s="7" t="str">
        <f>IF('RFQ-Input'!Y488="","",'RFQ-Input'!Y488)</f>
        <v/>
      </c>
      <c r="BA489" s="7" t="str">
        <f>IF('RFQ-Input'!AB488="","",'RFQ-Input'!AB488)</f>
        <v/>
      </c>
    </row>
    <row r="490" spans="1:53">
      <c r="A490" s="20">
        <v>486</v>
      </c>
      <c r="B490" s="7"/>
      <c r="C490" s="7" t="str">
        <f>IF('RFQ-Input'!C489="","",'RFQ-Input'!C489)</f>
        <v/>
      </c>
      <c r="D490" s="7" t="str">
        <f>IF('RFQ-Input'!D489="","",'RFQ-Input'!D489)</f>
        <v/>
      </c>
      <c r="E490" s="7" t="str">
        <f>IF('RFQ-Input'!E489="","",'RFQ-Input'!E489)</f>
        <v/>
      </c>
      <c r="F490" s="7" t="str">
        <f>IF('RFQ-Input'!F489="","",'RFQ-Input'!F489)</f>
        <v/>
      </c>
      <c r="G490" s="7" t="str">
        <f>IF('RFQ-Input'!G489="","",'RFQ-Input'!G489)</f>
        <v/>
      </c>
      <c r="H490" s="7" t="str">
        <f>IF('RFQ-Input'!H489="","",'RFQ-Input'!H489)</f>
        <v/>
      </c>
      <c r="I490" s="7" t="str">
        <f>IF('RFQ-Input'!I489="","",'RFQ-Input'!I489)</f>
        <v/>
      </c>
      <c r="J490" s="7" t="str">
        <f>IF('RFQ-Input'!J489="","",'RFQ-Input'!J489)</f>
        <v/>
      </c>
      <c r="K490" s="7" t="str">
        <f>IF('RFQ-Input'!K489="","",'RFQ-Input'!K489)</f>
        <v/>
      </c>
      <c r="L490" s="7" t="str">
        <f>IF('RFQ-Input'!L489="","",'RFQ-Input'!L489)</f>
        <v/>
      </c>
      <c r="M490" s="7" t="str">
        <f>IF('RFQ-Input'!M489="","",'RFQ-Input'!M489)</f>
        <v/>
      </c>
      <c r="N490" s="7" t="str">
        <f>IF('RFQ-Input'!N489="","",'RFQ-Input'!N489)</f>
        <v/>
      </c>
      <c r="O490" s="7" t="str">
        <f>IF('RFQ-Input'!O489="","",'RFQ-Input'!O489)</f>
        <v/>
      </c>
      <c r="Q490" s="7"/>
      <c r="R490" s="7"/>
      <c r="S490" s="7"/>
      <c r="T490" s="7"/>
      <c r="U490" s="7"/>
      <c r="V490" s="7"/>
      <c r="X490" s="7"/>
      <c r="Y490" s="7"/>
      <c r="Z490" s="7"/>
      <c r="AA490" s="7" t="str">
        <f t="shared" si="49"/>
        <v/>
      </c>
      <c r="AB490" s="7"/>
      <c r="AC490" s="7"/>
      <c r="AQ490" s="7" t="str">
        <f t="shared" si="50"/>
        <v/>
      </c>
      <c r="AR490" s="7" t="str">
        <f t="shared" si="51"/>
        <v/>
      </c>
      <c r="AS490" s="7" t="str">
        <f t="shared" si="52"/>
        <v/>
      </c>
      <c r="AT490" s="7" t="str">
        <f t="shared" si="53"/>
        <v/>
      </c>
      <c r="AU490" s="7" t="str">
        <f t="shared" si="54"/>
        <v/>
      </c>
      <c r="AV490" s="7" t="str">
        <f t="shared" si="55"/>
        <v/>
      </c>
      <c r="AW490" s="7" t="str">
        <f>IF('RFQ-Input'!O489="","",'RFQ-Input'!O489)</f>
        <v/>
      </c>
      <c r="AX490" s="7" t="str">
        <f>IF('RFQ-Input'!S489="","",'RFQ-Input'!S489)</f>
        <v/>
      </c>
      <c r="AY490" s="7" t="str">
        <f>IF('RFQ-Input'!V489="","",'RFQ-Input'!V489)</f>
        <v/>
      </c>
      <c r="AZ490" s="7" t="str">
        <f>IF('RFQ-Input'!Y489="","",'RFQ-Input'!Y489)</f>
        <v/>
      </c>
      <c r="BA490" s="7" t="str">
        <f>IF('RFQ-Input'!AB489="","",'RFQ-Input'!AB489)</f>
        <v/>
      </c>
    </row>
    <row r="491" spans="1:53">
      <c r="A491" s="20">
        <v>487</v>
      </c>
      <c r="B491" s="7"/>
      <c r="C491" s="7" t="str">
        <f>IF('RFQ-Input'!C490="","",'RFQ-Input'!C490)</f>
        <v/>
      </c>
      <c r="D491" s="7" t="str">
        <f>IF('RFQ-Input'!D490="","",'RFQ-Input'!D490)</f>
        <v/>
      </c>
      <c r="E491" s="7" t="str">
        <f>IF('RFQ-Input'!E490="","",'RFQ-Input'!E490)</f>
        <v/>
      </c>
      <c r="F491" s="7" t="str">
        <f>IF('RFQ-Input'!F490="","",'RFQ-Input'!F490)</f>
        <v/>
      </c>
      <c r="G491" s="7" t="str">
        <f>IF('RFQ-Input'!G490="","",'RFQ-Input'!G490)</f>
        <v/>
      </c>
      <c r="H491" s="7" t="str">
        <f>IF('RFQ-Input'!H490="","",'RFQ-Input'!H490)</f>
        <v/>
      </c>
      <c r="I491" s="7" t="str">
        <f>IF('RFQ-Input'!I490="","",'RFQ-Input'!I490)</f>
        <v/>
      </c>
      <c r="J491" s="7" t="str">
        <f>IF('RFQ-Input'!J490="","",'RFQ-Input'!J490)</f>
        <v/>
      </c>
      <c r="K491" s="7" t="str">
        <f>IF('RFQ-Input'!K490="","",'RFQ-Input'!K490)</f>
        <v/>
      </c>
      <c r="L491" s="7" t="str">
        <f>IF('RFQ-Input'!L490="","",'RFQ-Input'!L490)</f>
        <v/>
      </c>
      <c r="M491" s="7" t="str">
        <f>IF('RFQ-Input'!M490="","",'RFQ-Input'!M490)</f>
        <v/>
      </c>
      <c r="N491" s="7" t="str">
        <f>IF('RFQ-Input'!N490="","",'RFQ-Input'!N490)</f>
        <v/>
      </c>
      <c r="O491" s="7" t="str">
        <f>IF('RFQ-Input'!O490="","",'RFQ-Input'!O490)</f>
        <v/>
      </c>
      <c r="Q491" s="7"/>
      <c r="R491" s="7"/>
      <c r="S491" s="7"/>
      <c r="T491" s="7"/>
      <c r="U491" s="7"/>
      <c r="V491" s="7"/>
      <c r="X491" s="7"/>
      <c r="Y491" s="7"/>
      <c r="Z491" s="7"/>
      <c r="AA491" s="7" t="str">
        <f t="shared" si="49"/>
        <v/>
      </c>
      <c r="AB491" s="7"/>
      <c r="AC491" s="7"/>
      <c r="AQ491" s="7" t="str">
        <f t="shared" si="50"/>
        <v/>
      </c>
      <c r="AR491" s="7" t="str">
        <f t="shared" si="51"/>
        <v/>
      </c>
      <c r="AS491" s="7" t="str">
        <f t="shared" si="52"/>
        <v/>
      </c>
      <c r="AT491" s="7" t="str">
        <f t="shared" si="53"/>
        <v/>
      </c>
      <c r="AU491" s="7" t="str">
        <f t="shared" si="54"/>
        <v/>
      </c>
      <c r="AV491" s="7" t="str">
        <f t="shared" si="55"/>
        <v/>
      </c>
      <c r="AW491" s="7" t="str">
        <f>IF('RFQ-Input'!O490="","",'RFQ-Input'!O490)</f>
        <v/>
      </c>
      <c r="AX491" s="7" t="str">
        <f>IF('RFQ-Input'!S490="","",'RFQ-Input'!S490)</f>
        <v/>
      </c>
      <c r="AY491" s="7" t="str">
        <f>IF('RFQ-Input'!V490="","",'RFQ-Input'!V490)</f>
        <v/>
      </c>
      <c r="AZ491" s="7" t="str">
        <f>IF('RFQ-Input'!Y490="","",'RFQ-Input'!Y490)</f>
        <v/>
      </c>
      <c r="BA491" s="7" t="str">
        <f>IF('RFQ-Input'!AB490="","",'RFQ-Input'!AB490)</f>
        <v/>
      </c>
    </row>
    <row r="492" spans="1:53">
      <c r="A492" s="20">
        <v>488</v>
      </c>
      <c r="B492" s="7"/>
      <c r="C492" s="7" t="str">
        <f>IF('RFQ-Input'!C491="","",'RFQ-Input'!C491)</f>
        <v/>
      </c>
      <c r="D492" s="7" t="str">
        <f>IF('RFQ-Input'!D491="","",'RFQ-Input'!D491)</f>
        <v/>
      </c>
      <c r="E492" s="7" t="str">
        <f>IF('RFQ-Input'!E491="","",'RFQ-Input'!E491)</f>
        <v/>
      </c>
      <c r="F492" s="7" t="str">
        <f>IF('RFQ-Input'!F491="","",'RFQ-Input'!F491)</f>
        <v/>
      </c>
      <c r="G492" s="7" t="str">
        <f>IF('RFQ-Input'!G491="","",'RFQ-Input'!G491)</f>
        <v/>
      </c>
      <c r="H492" s="7" t="str">
        <f>IF('RFQ-Input'!H491="","",'RFQ-Input'!H491)</f>
        <v/>
      </c>
      <c r="I492" s="7" t="str">
        <f>IF('RFQ-Input'!I491="","",'RFQ-Input'!I491)</f>
        <v/>
      </c>
      <c r="J492" s="7" t="str">
        <f>IF('RFQ-Input'!J491="","",'RFQ-Input'!J491)</f>
        <v/>
      </c>
      <c r="K492" s="7" t="str">
        <f>IF('RFQ-Input'!K491="","",'RFQ-Input'!K491)</f>
        <v/>
      </c>
      <c r="L492" s="7" t="str">
        <f>IF('RFQ-Input'!L491="","",'RFQ-Input'!L491)</f>
        <v/>
      </c>
      <c r="M492" s="7" t="str">
        <f>IF('RFQ-Input'!M491="","",'RFQ-Input'!M491)</f>
        <v/>
      </c>
      <c r="N492" s="7" t="str">
        <f>IF('RFQ-Input'!N491="","",'RFQ-Input'!N491)</f>
        <v/>
      </c>
      <c r="O492" s="7" t="str">
        <f>IF('RFQ-Input'!O491="","",'RFQ-Input'!O491)</f>
        <v/>
      </c>
      <c r="Q492" s="7"/>
      <c r="R492" s="7"/>
      <c r="S492" s="7"/>
      <c r="T492" s="7"/>
      <c r="U492" s="7"/>
      <c r="V492" s="7"/>
      <c r="X492" s="7"/>
      <c r="Y492" s="7"/>
      <c r="Z492" s="7"/>
      <c r="AA492" s="7" t="str">
        <f t="shared" si="49"/>
        <v/>
      </c>
      <c r="AB492" s="7"/>
      <c r="AC492" s="7"/>
      <c r="AQ492" s="7" t="str">
        <f t="shared" si="50"/>
        <v/>
      </c>
      <c r="AR492" s="7" t="str">
        <f t="shared" si="51"/>
        <v/>
      </c>
      <c r="AS492" s="7" t="str">
        <f t="shared" si="52"/>
        <v/>
      </c>
      <c r="AT492" s="7" t="str">
        <f t="shared" si="53"/>
        <v/>
      </c>
      <c r="AU492" s="7" t="str">
        <f t="shared" si="54"/>
        <v/>
      </c>
      <c r="AV492" s="7" t="str">
        <f t="shared" si="55"/>
        <v/>
      </c>
      <c r="AW492" s="7" t="str">
        <f>IF('RFQ-Input'!O491="","",'RFQ-Input'!O491)</f>
        <v/>
      </c>
      <c r="AX492" s="7" t="str">
        <f>IF('RFQ-Input'!S491="","",'RFQ-Input'!S491)</f>
        <v/>
      </c>
      <c r="AY492" s="7" t="str">
        <f>IF('RFQ-Input'!V491="","",'RFQ-Input'!V491)</f>
        <v/>
      </c>
      <c r="AZ492" s="7" t="str">
        <f>IF('RFQ-Input'!Y491="","",'RFQ-Input'!Y491)</f>
        <v/>
      </c>
      <c r="BA492" s="7" t="str">
        <f>IF('RFQ-Input'!AB491="","",'RFQ-Input'!AB491)</f>
        <v/>
      </c>
    </row>
    <row r="493" spans="1:53">
      <c r="A493" s="20">
        <v>489</v>
      </c>
      <c r="B493" s="7"/>
      <c r="C493" s="7" t="str">
        <f>IF('RFQ-Input'!C492="","",'RFQ-Input'!C492)</f>
        <v/>
      </c>
      <c r="D493" s="7" t="str">
        <f>IF('RFQ-Input'!D492="","",'RFQ-Input'!D492)</f>
        <v/>
      </c>
      <c r="E493" s="7" t="str">
        <f>IF('RFQ-Input'!E492="","",'RFQ-Input'!E492)</f>
        <v/>
      </c>
      <c r="F493" s="7" t="str">
        <f>IF('RFQ-Input'!F492="","",'RFQ-Input'!F492)</f>
        <v/>
      </c>
      <c r="G493" s="7" t="str">
        <f>IF('RFQ-Input'!G492="","",'RFQ-Input'!G492)</f>
        <v/>
      </c>
      <c r="H493" s="7" t="str">
        <f>IF('RFQ-Input'!H492="","",'RFQ-Input'!H492)</f>
        <v/>
      </c>
      <c r="I493" s="7" t="str">
        <f>IF('RFQ-Input'!I492="","",'RFQ-Input'!I492)</f>
        <v/>
      </c>
      <c r="J493" s="7" t="str">
        <f>IF('RFQ-Input'!J492="","",'RFQ-Input'!J492)</f>
        <v/>
      </c>
      <c r="K493" s="7" t="str">
        <f>IF('RFQ-Input'!K492="","",'RFQ-Input'!K492)</f>
        <v/>
      </c>
      <c r="L493" s="7" t="str">
        <f>IF('RFQ-Input'!L492="","",'RFQ-Input'!L492)</f>
        <v/>
      </c>
      <c r="M493" s="7" t="str">
        <f>IF('RFQ-Input'!M492="","",'RFQ-Input'!M492)</f>
        <v/>
      </c>
      <c r="N493" s="7" t="str">
        <f>IF('RFQ-Input'!N492="","",'RFQ-Input'!N492)</f>
        <v/>
      </c>
      <c r="O493" s="7" t="str">
        <f>IF('RFQ-Input'!O492="","",'RFQ-Input'!O492)</f>
        <v/>
      </c>
      <c r="Q493" s="7"/>
      <c r="R493" s="7"/>
      <c r="S493" s="7"/>
      <c r="T493" s="7"/>
      <c r="U493" s="7"/>
      <c r="V493" s="7"/>
      <c r="X493" s="7"/>
      <c r="Y493" s="7"/>
      <c r="Z493" s="7"/>
      <c r="AA493" s="7" t="str">
        <f t="shared" si="49"/>
        <v/>
      </c>
      <c r="AB493" s="7"/>
      <c r="AC493" s="7"/>
      <c r="AQ493" s="7" t="str">
        <f t="shared" si="50"/>
        <v/>
      </c>
      <c r="AR493" s="7" t="str">
        <f t="shared" si="51"/>
        <v/>
      </c>
      <c r="AS493" s="7" t="str">
        <f t="shared" si="52"/>
        <v/>
      </c>
      <c r="AT493" s="7" t="str">
        <f t="shared" si="53"/>
        <v/>
      </c>
      <c r="AU493" s="7" t="str">
        <f t="shared" si="54"/>
        <v/>
      </c>
      <c r="AV493" s="7" t="str">
        <f t="shared" si="55"/>
        <v/>
      </c>
      <c r="AW493" s="7" t="str">
        <f>IF('RFQ-Input'!O492="","",'RFQ-Input'!O492)</f>
        <v/>
      </c>
      <c r="AX493" s="7" t="str">
        <f>IF('RFQ-Input'!S492="","",'RFQ-Input'!S492)</f>
        <v/>
      </c>
      <c r="AY493" s="7" t="str">
        <f>IF('RFQ-Input'!V492="","",'RFQ-Input'!V492)</f>
        <v/>
      </c>
      <c r="AZ493" s="7" t="str">
        <f>IF('RFQ-Input'!Y492="","",'RFQ-Input'!Y492)</f>
        <v/>
      </c>
      <c r="BA493" s="7" t="str">
        <f>IF('RFQ-Input'!AB492="","",'RFQ-Input'!AB492)</f>
        <v/>
      </c>
    </row>
    <row r="494" spans="1:53">
      <c r="A494" s="20">
        <v>490</v>
      </c>
      <c r="B494" s="7"/>
      <c r="C494" s="7" t="str">
        <f>IF('RFQ-Input'!C493="","",'RFQ-Input'!C493)</f>
        <v/>
      </c>
      <c r="D494" s="7" t="str">
        <f>IF('RFQ-Input'!D493="","",'RFQ-Input'!D493)</f>
        <v/>
      </c>
      <c r="E494" s="7" t="str">
        <f>IF('RFQ-Input'!E493="","",'RFQ-Input'!E493)</f>
        <v/>
      </c>
      <c r="F494" s="7" t="str">
        <f>IF('RFQ-Input'!F493="","",'RFQ-Input'!F493)</f>
        <v/>
      </c>
      <c r="G494" s="7" t="str">
        <f>IF('RFQ-Input'!G493="","",'RFQ-Input'!G493)</f>
        <v/>
      </c>
      <c r="H494" s="7" t="str">
        <f>IF('RFQ-Input'!H493="","",'RFQ-Input'!H493)</f>
        <v/>
      </c>
      <c r="I494" s="7" t="str">
        <f>IF('RFQ-Input'!I493="","",'RFQ-Input'!I493)</f>
        <v/>
      </c>
      <c r="J494" s="7" t="str">
        <f>IF('RFQ-Input'!J493="","",'RFQ-Input'!J493)</f>
        <v/>
      </c>
      <c r="K494" s="7" t="str">
        <f>IF('RFQ-Input'!K493="","",'RFQ-Input'!K493)</f>
        <v/>
      </c>
      <c r="L494" s="7" t="str">
        <f>IF('RFQ-Input'!L493="","",'RFQ-Input'!L493)</f>
        <v/>
      </c>
      <c r="M494" s="7" t="str">
        <f>IF('RFQ-Input'!M493="","",'RFQ-Input'!M493)</f>
        <v/>
      </c>
      <c r="N494" s="7" t="str">
        <f>IF('RFQ-Input'!N493="","",'RFQ-Input'!N493)</f>
        <v/>
      </c>
      <c r="O494" s="7" t="str">
        <f>IF('RFQ-Input'!O493="","",'RFQ-Input'!O493)</f>
        <v/>
      </c>
      <c r="Q494" s="7"/>
      <c r="R494" s="7"/>
      <c r="S494" s="7"/>
      <c r="T494" s="7"/>
      <c r="U494" s="7"/>
      <c r="V494" s="7"/>
      <c r="X494" s="7"/>
      <c r="Y494" s="7"/>
      <c r="Z494" s="7"/>
      <c r="AA494" s="7" t="str">
        <f t="shared" si="49"/>
        <v/>
      </c>
      <c r="AB494" s="7"/>
      <c r="AC494" s="7"/>
      <c r="AQ494" s="7" t="str">
        <f t="shared" si="50"/>
        <v/>
      </c>
      <c r="AR494" s="7" t="str">
        <f t="shared" si="51"/>
        <v/>
      </c>
      <c r="AS494" s="7" t="str">
        <f t="shared" si="52"/>
        <v/>
      </c>
      <c r="AT494" s="7" t="str">
        <f t="shared" si="53"/>
        <v/>
      </c>
      <c r="AU494" s="7" t="str">
        <f t="shared" si="54"/>
        <v/>
      </c>
      <c r="AV494" s="7" t="str">
        <f t="shared" si="55"/>
        <v/>
      </c>
      <c r="AW494" s="7" t="str">
        <f>IF('RFQ-Input'!O493="","",'RFQ-Input'!O493)</f>
        <v/>
      </c>
      <c r="AX494" s="7" t="str">
        <f>IF('RFQ-Input'!S493="","",'RFQ-Input'!S493)</f>
        <v/>
      </c>
      <c r="AY494" s="7" t="str">
        <f>IF('RFQ-Input'!V493="","",'RFQ-Input'!V493)</f>
        <v/>
      </c>
      <c r="AZ494" s="7" t="str">
        <f>IF('RFQ-Input'!Y493="","",'RFQ-Input'!Y493)</f>
        <v/>
      </c>
      <c r="BA494" s="7" t="str">
        <f>IF('RFQ-Input'!AB493="","",'RFQ-Input'!AB493)</f>
        <v/>
      </c>
    </row>
    <row r="495" spans="1:53">
      <c r="A495" s="20">
        <v>491</v>
      </c>
      <c r="B495" s="7"/>
      <c r="C495" s="7" t="str">
        <f>IF('RFQ-Input'!C494="","",'RFQ-Input'!C494)</f>
        <v/>
      </c>
      <c r="D495" s="7" t="str">
        <f>IF('RFQ-Input'!D494="","",'RFQ-Input'!D494)</f>
        <v/>
      </c>
      <c r="E495" s="7" t="str">
        <f>IF('RFQ-Input'!E494="","",'RFQ-Input'!E494)</f>
        <v/>
      </c>
      <c r="F495" s="7" t="str">
        <f>IF('RFQ-Input'!F494="","",'RFQ-Input'!F494)</f>
        <v/>
      </c>
      <c r="G495" s="7" t="str">
        <f>IF('RFQ-Input'!G494="","",'RFQ-Input'!G494)</f>
        <v/>
      </c>
      <c r="H495" s="7" t="str">
        <f>IF('RFQ-Input'!H494="","",'RFQ-Input'!H494)</f>
        <v/>
      </c>
      <c r="I495" s="7" t="str">
        <f>IF('RFQ-Input'!I494="","",'RFQ-Input'!I494)</f>
        <v/>
      </c>
      <c r="J495" s="7" t="str">
        <f>IF('RFQ-Input'!J494="","",'RFQ-Input'!J494)</f>
        <v/>
      </c>
      <c r="K495" s="7" t="str">
        <f>IF('RFQ-Input'!K494="","",'RFQ-Input'!K494)</f>
        <v/>
      </c>
      <c r="L495" s="7" t="str">
        <f>IF('RFQ-Input'!L494="","",'RFQ-Input'!L494)</f>
        <v/>
      </c>
      <c r="M495" s="7" t="str">
        <f>IF('RFQ-Input'!M494="","",'RFQ-Input'!M494)</f>
        <v/>
      </c>
      <c r="N495" s="7" t="str">
        <f>IF('RFQ-Input'!N494="","",'RFQ-Input'!N494)</f>
        <v/>
      </c>
      <c r="O495" s="7" t="str">
        <f>IF('RFQ-Input'!O494="","",'RFQ-Input'!O494)</f>
        <v/>
      </c>
      <c r="Q495" s="7"/>
      <c r="R495" s="7"/>
      <c r="S495" s="7"/>
      <c r="T495" s="7"/>
      <c r="U495" s="7"/>
      <c r="V495" s="7"/>
      <c r="X495" s="7"/>
      <c r="Y495" s="7"/>
      <c r="Z495" s="7"/>
      <c r="AA495" s="7" t="str">
        <f t="shared" si="49"/>
        <v/>
      </c>
      <c r="AB495" s="7"/>
      <c r="AC495" s="7"/>
      <c r="AQ495" s="7" t="str">
        <f t="shared" si="50"/>
        <v/>
      </c>
      <c r="AR495" s="7" t="str">
        <f t="shared" si="51"/>
        <v/>
      </c>
      <c r="AS495" s="7" t="str">
        <f t="shared" si="52"/>
        <v/>
      </c>
      <c r="AT495" s="7" t="str">
        <f t="shared" si="53"/>
        <v/>
      </c>
      <c r="AU495" s="7" t="str">
        <f t="shared" si="54"/>
        <v/>
      </c>
      <c r="AV495" s="7" t="str">
        <f t="shared" si="55"/>
        <v/>
      </c>
      <c r="AW495" s="7" t="str">
        <f>IF('RFQ-Input'!O494="","",'RFQ-Input'!O494)</f>
        <v/>
      </c>
      <c r="AX495" s="7" t="str">
        <f>IF('RFQ-Input'!S494="","",'RFQ-Input'!S494)</f>
        <v/>
      </c>
      <c r="AY495" s="7" t="str">
        <f>IF('RFQ-Input'!V494="","",'RFQ-Input'!V494)</f>
        <v/>
      </c>
      <c r="AZ495" s="7" t="str">
        <f>IF('RFQ-Input'!Y494="","",'RFQ-Input'!Y494)</f>
        <v/>
      </c>
      <c r="BA495" s="7" t="str">
        <f>IF('RFQ-Input'!AB494="","",'RFQ-Input'!AB494)</f>
        <v/>
      </c>
    </row>
    <row r="496" spans="1:53">
      <c r="A496" s="20">
        <v>492</v>
      </c>
      <c r="B496" s="7"/>
      <c r="C496" s="7" t="str">
        <f>IF('RFQ-Input'!C495="","",'RFQ-Input'!C495)</f>
        <v/>
      </c>
      <c r="D496" s="7" t="str">
        <f>IF('RFQ-Input'!D495="","",'RFQ-Input'!D495)</f>
        <v/>
      </c>
      <c r="E496" s="7" t="str">
        <f>IF('RFQ-Input'!E495="","",'RFQ-Input'!E495)</f>
        <v/>
      </c>
      <c r="F496" s="7" t="str">
        <f>IF('RFQ-Input'!F495="","",'RFQ-Input'!F495)</f>
        <v/>
      </c>
      <c r="G496" s="7" t="str">
        <f>IF('RFQ-Input'!G495="","",'RFQ-Input'!G495)</f>
        <v/>
      </c>
      <c r="H496" s="7" t="str">
        <f>IF('RFQ-Input'!H495="","",'RFQ-Input'!H495)</f>
        <v/>
      </c>
      <c r="I496" s="7" t="str">
        <f>IF('RFQ-Input'!I495="","",'RFQ-Input'!I495)</f>
        <v/>
      </c>
      <c r="J496" s="7" t="str">
        <f>IF('RFQ-Input'!J495="","",'RFQ-Input'!J495)</f>
        <v/>
      </c>
      <c r="K496" s="7" t="str">
        <f>IF('RFQ-Input'!K495="","",'RFQ-Input'!K495)</f>
        <v/>
      </c>
      <c r="L496" s="7" t="str">
        <f>IF('RFQ-Input'!L495="","",'RFQ-Input'!L495)</f>
        <v/>
      </c>
      <c r="M496" s="7" t="str">
        <f>IF('RFQ-Input'!M495="","",'RFQ-Input'!M495)</f>
        <v/>
      </c>
      <c r="N496" s="7" t="str">
        <f>IF('RFQ-Input'!N495="","",'RFQ-Input'!N495)</f>
        <v/>
      </c>
      <c r="O496" s="7" t="str">
        <f>IF('RFQ-Input'!O495="","",'RFQ-Input'!O495)</f>
        <v/>
      </c>
      <c r="Q496" s="7"/>
      <c r="R496" s="7"/>
      <c r="S496" s="7"/>
      <c r="T496" s="7"/>
      <c r="U496" s="7"/>
      <c r="V496" s="7"/>
      <c r="X496" s="7"/>
      <c r="Y496" s="7"/>
      <c r="Z496" s="7"/>
      <c r="AA496" s="7" t="str">
        <f t="shared" si="49"/>
        <v/>
      </c>
      <c r="AB496" s="7"/>
      <c r="AC496" s="7"/>
      <c r="AQ496" s="7" t="str">
        <f t="shared" si="50"/>
        <v/>
      </c>
      <c r="AR496" s="7" t="str">
        <f t="shared" si="51"/>
        <v/>
      </c>
      <c r="AS496" s="7" t="str">
        <f t="shared" si="52"/>
        <v/>
      </c>
      <c r="AT496" s="7" t="str">
        <f t="shared" si="53"/>
        <v/>
      </c>
      <c r="AU496" s="7" t="str">
        <f t="shared" si="54"/>
        <v/>
      </c>
      <c r="AV496" s="7" t="str">
        <f t="shared" si="55"/>
        <v/>
      </c>
      <c r="AW496" s="7" t="str">
        <f>IF('RFQ-Input'!O495="","",'RFQ-Input'!O495)</f>
        <v/>
      </c>
      <c r="AX496" s="7" t="str">
        <f>IF('RFQ-Input'!S495="","",'RFQ-Input'!S495)</f>
        <v/>
      </c>
      <c r="AY496" s="7" t="str">
        <f>IF('RFQ-Input'!V495="","",'RFQ-Input'!V495)</f>
        <v/>
      </c>
      <c r="AZ496" s="7" t="str">
        <f>IF('RFQ-Input'!Y495="","",'RFQ-Input'!Y495)</f>
        <v/>
      </c>
      <c r="BA496" s="7" t="str">
        <f>IF('RFQ-Input'!AB495="","",'RFQ-Input'!AB495)</f>
        <v/>
      </c>
    </row>
    <row r="497" spans="1:53">
      <c r="A497" s="20">
        <v>493</v>
      </c>
      <c r="B497" s="7"/>
      <c r="C497" s="7" t="str">
        <f>IF('RFQ-Input'!C496="","",'RFQ-Input'!C496)</f>
        <v/>
      </c>
      <c r="D497" s="7" t="str">
        <f>IF('RFQ-Input'!D496="","",'RFQ-Input'!D496)</f>
        <v/>
      </c>
      <c r="E497" s="7" t="str">
        <f>IF('RFQ-Input'!E496="","",'RFQ-Input'!E496)</f>
        <v/>
      </c>
      <c r="F497" s="7" t="str">
        <f>IF('RFQ-Input'!F496="","",'RFQ-Input'!F496)</f>
        <v/>
      </c>
      <c r="G497" s="7" t="str">
        <f>IF('RFQ-Input'!G496="","",'RFQ-Input'!G496)</f>
        <v/>
      </c>
      <c r="H497" s="7" t="str">
        <f>IF('RFQ-Input'!H496="","",'RFQ-Input'!H496)</f>
        <v/>
      </c>
      <c r="I497" s="7" t="str">
        <f>IF('RFQ-Input'!I496="","",'RFQ-Input'!I496)</f>
        <v/>
      </c>
      <c r="J497" s="7" t="str">
        <f>IF('RFQ-Input'!J496="","",'RFQ-Input'!J496)</f>
        <v/>
      </c>
      <c r="K497" s="7" t="str">
        <f>IF('RFQ-Input'!K496="","",'RFQ-Input'!K496)</f>
        <v/>
      </c>
      <c r="L497" s="7" t="str">
        <f>IF('RFQ-Input'!L496="","",'RFQ-Input'!L496)</f>
        <v/>
      </c>
      <c r="M497" s="7" t="str">
        <f>IF('RFQ-Input'!M496="","",'RFQ-Input'!M496)</f>
        <v/>
      </c>
      <c r="N497" s="7" t="str">
        <f>IF('RFQ-Input'!N496="","",'RFQ-Input'!N496)</f>
        <v/>
      </c>
      <c r="O497" s="7" t="str">
        <f>IF('RFQ-Input'!O496="","",'RFQ-Input'!O496)</f>
        <v/>
      </c>
      <c r="Q497" s="7"/>
      <c r="R497" s="7"/>
      <c r="S497" s="7"/>
      <c r="T497" s="7"/>
      <c r="U497" s="7"/>
      <c r="V497" s="7"/>
      <c r="X497" s="7"/>
      <c r="Y497" s="7"/>
      <c r="Z497" s="7"/>
      <c r="AA497" s="7" t="str">
        <f t="shared" si="49"/>
        <v/>
      </c>
      <c r="AB497" s="7"/>
      <c r="AC497" s="7"/>
      <c r="AQ497" s="7" t="str">
        <f t="shared" si="50"/>
        <v/>
      </c>
      <c r="AR497" s="7" t="str">
        <f t="shared" si="51"/>
        <v/>
      </c>
      <c r="AS497" s="7" t="str">
        <f t="shared" si="52"/>
        <v/>
      </c>
      <c r="AT497" s="7" t="str">
        <f t="shared" si="53"/>
        <v/>
      </c>
      <c r="AU497" s="7" t="str">
        <f t="shared" si="54"/>
        <v/>
      </c>
      <c r="AV497" s="7" t="str">
        <f t="shared" si="55"/>
        <v/>
      </c>
      <c r="AW497" s="7" t="str">
        <f>IF('RFQ-Input'!O496="","",'RFQ-Input'!O496)</f>
        <v/>
      </c>
      <c r="AX497" s="7" t="str">
        <f>IF('RFQ-Input'!S496="","",'RFQ-Input'!S496)</f>
        <v/>
      </c>
      <c r="AY497" s="7" t="str">
        <f>IF('RFQ-Input'!V496="","",'RFQ-Input'!V496)</f>
        <v/>
      </c>
      <c r="AZ497" s="7" t="str">
        <f>IF('RFQ-Input'!Y496="","",'RFQ-Input'!Y496)</f>
        <v/>
      </c>
      <c r="BA497" s="7" t="str">
        <f>IF('RFQ-Input'!AB496="","",'RFQ-Input'!AB496)</f>
        <v/>
      </c>
    </row>
    <row r="498" spans="1:53">
      <c r="A498" s="20">
        <v>494</v>
      </c>
      <c r="B498" s="7"/>
      <c r="C498" s="7" t="str">
        <f>IF('RFQ-Input'!C497="","",'RFQ-Input'!C497)</f>
        <v/>
      </c>
      <c r="D498" s="7" t="str">
        <f>IF('RFQ-Input'!D497="","",'RFQ-Input'!D497)</f>
        <v/>
      </c>
      <c r="E498" s="7" t="str">
        <f>IF('RFQ-Input'!E497="","",'RFQ-Input'!E497)</f>
        <v/>
      </c>
      <c r="F498" s="7" t="str">
        <f>IF('RFQ-Input'!F497="","",'RFQ-Input'!F497)</f>
        <v/>
      </c>
      <c r="G498" s="7" t="str">
        <f>IF('RFQ-Input'!G497="","",'RFQ-Input'!G497)</f>
        <v/>
      </c>
      <c r="H498" s="7" t="str">
        <f>IF('RFQ-Input'!H497="","",'RFQ-Input'!H497)</f>
        <v/>
      </c>
      <c r="I498" s="7" t="str">
        <f>IF('RFQ-Input'!I497="","",'RFQ-Input'!I497)</f>
        <v/>
      </c>
      <c r="J498" s="7" t="str">
        <f>IF('RFQ-Input'!J497="","",'RFQ-Input'!J497)</f>
        <v/>
      </c>
      <c r="K498" s="7" t="str">
        <f>IF('RFQ-Input'!K497="","",'RFQ-Input'!K497)</f>
        <v/>
      </c>
      <c r="L498" s="7" t="str">
        <f>IF('RFQ-Input'!L497="","",'RFQ-Input'!L497)</f>
        <v/>
      </c>
      <c r="M498" s="7" t="str">
        <f>IF('RFQ-Input'!M497="","",'RFQ-Input'!M497)</f>
        <v/>
      </c>
      <c r="N498" s="7" t="str">
        <f>IF('RFQ-Input'!N497="","",'RFQ-Input'!N497)</f>
        <v/>
      </c>
      <c r="O498" s="7" t="str">
        <f>IF('RFQ-Input'!O497="","",'RFQ-Input'!O497)</f>
        <v/>
      </c>
      <c r="Q498" s="7"/>
      <c r="R498" s="7"/>
      <c r="S498" s="7"/>
      <c r="T498" s="7"/>
      <c r="U498" s="7"/>
      <c r="V498" s="7"/>
      <c r="X498" s="7"/>
      <c r="Y498" s="7"/>
      <c r="Z498" s="7"/>
      <c r="AA498" s="7" t="str">
        <f t="shared" si="49"/>
        <v/>
      </c>
      <c r="AB498" s="7"/>
      <c r="AC498" s="7"/>
      <c r="AQ498" s="7" t="str">
        <f t="shared" si="50"/>
        <v/>
      </c>
      <c r="AR498" s="7" t="str">
        <f t="shared" si="51"/>
        <v/>
      </c>
      <c r="AS498" s="7" t="str">
        <f t="shared" si="52"/>
        <v/>
      </c>
      <c r="AT498" s="7" t="str">
        <f t="shared" si="53"/>
        <v/>
      </c>
      <c r="AU498" s="7" t="str">
        <f t="shared" si="54"/>
        <v/>
      </c>
      <c r="AV498" s="7" t="str">
        <f t="shared" si="55"/>
        <v/>
      </c>
      <c r="AW498" s="7" t="str">
        <f>IF('RFQ-Input'!O497="","",'RFQ-Input'!O497)</f>
        <v/>
      </c>
      <c r="AX498" s="7" t="str">
        <f>IF('RFQ-Input'!S497="","",'RFQ-Input'!S497)</f>
        <v/>
      </c>
      <c r="AY498" s="7" t="str">
        <f>IF('RFQ-Input'!V497="","",'RFQ-Input'!V497)</f>
        <v/>
      </c>
      <c r="AZ498" s="7" t="str">
        <f>IF('RFQ-Input'!Y497="","",'RFQ-Input'!Y497)</f>
        <v/>
      </c>
      <c r="BA498" s="7" t="str">
        <f>IF('RFQ-Input'!AB497="","",'RFQ-Input'!AB497)</f>
        <v/>
      </c>
    </row>
    <row r="499" spans="1:53">
      <c r="A499" s="20">
        <v>495</v>
      </c>
      <c r="B499" s="7"/>
      <c r="C499" s="7" t="str">
        <f>IF('RFQ-Input'!C498="","",'RFQ-Input'!C498)</f>
        <v/>
      </c>
      <c r="D499" s="7" t="str">
        <f>IF('RFQ-Input'!D498="","",'RFQ-Input'!D498)</f>
        <v/>
      </c>
      <c r="E499" s="7" t="str">
        <f>IF('RFQ-Input'!E498="","",'RFQ-Input'!E498)</f>
        <v/>
      </c>
      <c r="F499" s="7" t="str">
        <f>IF('RFQ-Input'!F498="","",'RFQ-Input'!F498)</f>
        <v/>
      </c>
      <c r="G499" s="7" t="str">
        <f>IF('RFQ-Input'!G498="","",'RFQ-Input'!G498)</f>
        <v/>
      </c>
      <c r="H499" s="7" t="str">
        <f>IF('RFQ-Input'!H498="","",'RFQ-Input'!H498)</f>
        <v/>
      </c>
      <c r="I499" s="7" t="str">
        <f>IF('RFQ-Input'!I498="","",'RFQ-Input'!I498)</f>
        <v/>
      </c>
      <c r="J499" s="7" t="str">
        <f>IF('RFQ-Input'!J498="","",'RFQ-Input'!J498)</f>
        <v/>
      </c>
      <c r="K499" s="7" t="str">
        <f>IF('RFQ-Input'!K498="","",'RFQ-Input'!K498)</f>
        <v/>
      </c>
      <c r="L499" s="7" t="str">
        <f>IF('RFQ-Input'!L498="","",'RFQ-Input'!L498)</f>
        <v/>
      </c>
      <c r="M499" s="7" t="str">
        <f>IF('RFQ-Input'!M498="","",'RFQ-Input'!M498)</f>
        <v/>
      </c>
      <c r="N499" s="7" t="str">
        <f>IF('RFQ-Input'!N498="","",'RFQ-Input'!N498)</f>
        <v/>
      </c>
      <c r="O499" s="7" t="str">
        <f>IF('RFQ-Input'!O498="","",'RFQ-Input'!O498)</f>
        <v/>
      </c>
      <c r="Q499" s="7"/>
      <c r="R499" s="7"/>
      <c r="S499" s="7"/>
      <c r="T499" s="7"/>
      <c r="U499" s="7"/>
      <c r="V499" s="7"/>
      <c r="X499" s="7"/>
      <c r="Y499" s="7"/>
      <c r="Z499" s="7"/>
      <c r="AA499" s="7" t="str">
        <f t="shared" si="49"/>
        <v/>
      </c>
      <c r="AB499" s="7"/>
      <c r="AC499" s="7"/>
      <c r="AQ499" s="7" t="str">
        <f t="shared" si="50"/>
        <v/>
      </c>
      <c r="AR499" s="7" t="str">
        <f t="shared" si="51"/>
        <v/>
      </c>
      <c r="AS499" s="7" t="str">
        <f t="shared" si="52"/>
        <v/>
      </c>
      <c r="AT499" s="7" t="str">
        <f t="shared" si="53"/>
        <v/>
      </c>
      <c r="AU499" s="7" t="str">
        <f t="shared" si="54"/>
        <v/>
      </c>
      <c r="AV499" s="7" t="str">
        <f t="shared" si="55"/>
        <v/>
      </c>
      <c r="AW499" s="7" t="str">
        <f>IF('RFQ-Input'!O498="","",'RFQ-Input'!O498)</f>
        <v/>
      </c>
      <c r="AX499" s="7" t="str">
        <f>IF('RFQ-Input'!S498="","",'RFQ-Input'!S498)</f>
        <v/>
      </c>
      <c r="AY499" s="7" t="str">
        <f>IF('RFQ-Input'!V498="","",'RFQ-Input'!V498)</f>
        <v/>
      </c>
      <c r="AZ499" s="7" t="str">
        <f>IF('RFQ-Input'!Y498="","",'RFQ-Input'!Y498)</f>
        <v/>
      </c>
      <c r="BA499" s="7" t="str">
        <f>IF('RFQ-Input'!AB498="","",'RFQ-Input'!AB498)</f>
        <v/>
      </c>
    </row>
    <row r="500" spans="1:53">
      <c r="A500" s="20">
        <v>496</v>
      </c>
      <c r="B500" s="7"/>
      <c r="C500" s="7" t="str">
        <f>IF('RFQ-Input'!C499="","",'RFQ-Input'!C499)</f>
        <v/>
      </c>
      <c r="D500" s="7" t="str">
        <f>IF('RFQ-Input'!D499="","",'RFQ-Input'!D499)</f>
        <v/>
      </c>
      <c r="E500" s="7" t="str">
        <f>IF('RFQ-Input'!E499="","",'RFQ-Input'!E499)</f>
        <v/>
      </c>
      <c r="F500" s="7" t="str">
        <f>IF('RFQ-Input'!F499="","",'RFQ-Input'!F499)</f>
        <v/>
      </c>
      <c r="G500" s="7" t="str">
        <f>IF('RFQ-Input'!G499="","",'RFQ-Input'!G499)</f>
        <v/>
      </c>
      <c r="H500" s="7" t="str">
        <f>IF('RFQ-Input'!H499="","",'RFQ-Input'!H499)</f>
        <v/>
      </c>
      <c r="I500" s="7" t="str">
        <f>IF('RFQ-Input'!I499="","",'RFQ-Input'!I499)</f>
        <v/>
      </c>
      <c r="J500" s="7" t="str">
        <f>IF('RFQ-Input'!J499="","",'RFQ-Input'!J499)</f>
        <v/>
      </c>
      <c r="K500" s="7" t="str">
        <f>IF('RFQ-Input'!K499="","",'RFQ-Input'!K499)</f>
        <v/>
      </c>
      <c r="L500" s="7" t="str">
        <f>IF('RFQ-Input'!L499="","",'RFQ-Input'!L499)</f>
        <v/>
      </c>
      <c r="M500" s="7" t="str">
        <f>IF('RFQ-Input'!M499="","",'RFQ-Input'!M499)</f>
        <v/>
      </c>
      <c r="N500" s="7" t="str">
        <f>IF('RFQ-Input'!N499="","",'RFQ-Input'!N499)</f>
        <v/>
      </c>
      <c r="O500" s="7" t="str">
        <f>IF('RFQ-Input'!O499="","",'RFQ-Input'!O499)</f>
        <v/>
      </c>
      <c r="Q500" s="7"/>
      <c r="R500" s="7"/>
      <c r="S500" s="7"/>
      <c r="T500" s="7"/>
      <c r="U500" s="7"/>
      <c r="V500" s="7"/>
      <c r="X500" s="7"/>
      <c r="Y500" s="7"/>
      <c r="Z500" s="7"/>
      <c r="AA500" s="7" t="str">
        <f t="shared" si="49"/>
        <v/>
      </c>
      <c r="AB500" s="7"/>
      <c r="AC500" s="7"/>
      <c r="AQ500" s="7" t="str">
        <f t="shared" si="50"/>
        <v/>
      </c>
      <c r="AR500" s="7" t="str">
        <f t="shared" si="51"/>
        <v/>
      </c>
      <c r="AS500" s="7" t="str">
        <f t="shared" si="52"/>
        <v/>
      </c>
      <c r="AT500" s="7" t="str">
        <f t="shared" si="53"/>
        <v/>
      </c>
      <c r="AU500" s="7" t="str">
        <f t="shared" si="54"/>
        <v/>
      </c>
      <c r="AV500" s="7" t="str">
        <f t="shared" si="55"/>
        <v/>
      </c>
      <c r="AW500" s="7" t="str">
        <f>IF('RFQ-Input'!O499="","",'RFQ-Input'!O499)</f>
        <v/>
      </c>
      <c r="AX500" s="7" t="str">
        <f>IF('RFQ-Input'!S499="","",'RFQ-Input'!S499)</f>
        <v/>
      </c>
      <c r="AY500" s="7" t="str">
        <f>IF('RFQ-Input'!V499="","",'RFQ-Input'!V499)</f>
        <v/>
      </c>
      <c r="AZ500" s="7" t="str">
        <f>IF('RFQ-Input'!Y499="","",'RFQ-Input'!Y499)</f>
        <v/>
      </c>
      <c r="BA500" s="7" t="str">
        <f>IF('RFQ-Input'!AB499="","",'RFQ-Input'!AB499)</f>
        <v/>
      </c>
    </row>
    <row r="501" spans="1:53">
      <c r="A501" s="20">
        <v>497</v>
      </c>
      <c r="B501" s="7"/>
      <c r="C501" s="7" t="str">
        <f>IF('RFQ-Input'!C500="","",'RFQ-Input'!C500)</f>
        <v/>
      </c>
      <c r="D501" s="7" t="str">
        <f>IF('RFQ-Input'!D500="","",'RFQ-Input'!D500)</f>
        <v/>
      </c>
      <c r="E501" s="7" t="str">
        <f>IF('RFQ-Input'!E500="","",'RFQ-Input'!E500)</f>
        <v/>
      </c>
      <c r="F501" s="7" t="str">
        <f>IF('RFQ-Input'!F500="","",'RFQ-Input'!F500)</f>
        <v/>
      </c>
      <c r="G501" s="7" t="str">
        <f>IF('RFQ-Input'!G500="","",'RFQ-Input'!G500)</f>
        <v/>
      </c>
      <c r="H501" s="7" t="str">
        <f>IF('RFQ-Input'!H500="","",'RFQ-Input'!H500)</f>
        <v/>
      </c>
      <c r="I501" s="7" t="str">
        <f>IF('RFQ-Input'!I500="","",'RFQ-Input'!I500)</f>
        <v/>
      </c>
      <c r="J501" s="7" t="str">
        <f>IF('RFQ-Input'!J500="","",'RFQ-Input'!J500)</f>
        <v/>
      </c>
      <c r="K501" s="7" t="str">
        <f>IF('RFQ-Input'!K500="","",'RFQ-Input'!K500)</f>
        <v/>
      </c>
      <c r="L501" s="7" t="str">
        <f>IF('RFQ-Input'!L500="","",'RFQ-Input'!L500)</f>
        <v/>
      </c>
      <c r="M501" s="7" t="str">
        <f>IF('RFQ-Input'!M500="","",'RFQ-Input'!M500)</f>
        <v/>
      </c>
      <c r="N501" s="7" t="str">
        <f>IF('RFQ-Input'!N500="","",'RFQ-Input'!N500)</f>
        <v/>
      </c>
      <c r="O501" s="7" t="str">
        <f>IF('RFQ-Input'!O500="","",'RFQ-Input'!O500)</f>
        <v/>
      </c>
      <c r="Q501" s="7"/>
      <c r="R501" s="7"/>
      <c r="S501" s="7"/>
      <c r="T501" s="7"/>
      <c r="U501" s="7"/>
      <c r="V501" s="7"/>
      <c r="X501" s="7"/>
      <c r="Y501" s="7"/>
      <c r="Z501" s="7"/>
      <c r="AA501" s="7" t="str">
        <f t="shared" si="49"/>
        <v/>
      </c>
      <c r="AB501" s="7"/>
      <c r="AC501" s="7"/>
      <c r="AQ501" s="7" t="str">
        <f t="shared" si="50"/>
        <v/>
      </c>
      <c r="AR501" s="7" t="str">
        <f t="shared" si="51"/>
        <v/>
      </c>
      <c r="AS501" s="7" t="str">
        <f t="shared" si="52"/>
        <v/>
      </c>
      <c r="AT501" s="7" t="str">
        <f t="shared" si="53"/>
        <v/>
      </c>
      <c r="AU501" s="7" t="str">
        <f t="shared" si="54"/>
        <v/>
      </c>
      <c r="AV501" s="7" t="str">
        <f t="shared" si="55"/>
        <v/>
      </c>
      <c r="AW501" s="7" t="str">
        <f>IF('RFQ-Input'!O500="","",'RFQ-Input'!O500)</f>
        <v/>
      </c>
      <c r="AX501" s="7" t="str">
        <f>IF('RFQ-Input'!S500="","",'RFQ-Input'!S500)</f>
        <v/>
      </c>
      <c r="AY501" s="7" t="str">
        <f>IF('RFQ-Input'!V500="","",'RFQ-Input'!V500)</f>
        <v/>
      </c>
      <c r="AZ501" s="7" t="str">
        <f>IF('RFQ-Input'!Y500="","",'RFQ-Input'!Y500)</f>
        <v/>
      </c>
      <c r="BA501" s="7" t="str">
        <f>IF('RFQ-Input'!AB500="","",'RFQ-Input'!AB500)</f>
        <v/>
      </c>
    </row>
    <row r="502" spans="1:53">
      <c r="A502" s="20">
        <v>498</v>
      </c>
      <c r="B502" s="7"/>
      <c r="C502" s="7" t="str">
        <f>IF('RFQ-Input'!C501="","",'RFQ-Input'!C501)</f>
        <v/>
      </c>
      <c r="D502" s="7" t="str">
        <f>IF('RFQ-Input'!D501="","",'RFQ-Input'!D501)</f>
        <v/>
      </c>
      <c r="E502" s="7" t="str">
        <f>IF('RFQ-Input'!E501="","",'RFQ-Input'!E501)</f>
        <v/>
      </c>
      <c r="F502" s="7" t="str">
        <f>IF('RFQ-Input'!F501="","",'RFQ-Input'!F501)</f>
        <v/>
      </c>
      <c r="G502" s="7" t="str">
        <f>IF('RFQ-Input'!G501="","",'RFQ-Input'!G501)</f>
        <v/>
      </c>
      <c r="H502" s="7" t="str">
        <f>IF('RFQ-Input'!H501="","",'RFQ-Input'!H501)</f>
        <v/>
      </c>
      <c r="I502" s="7" t="str">
        <f>IF('RFQ-Input'!I501="","",'RFQ-Input'!I501)</f>
        <v/>
      </c>
      <c r="J502" s="7" t="str">
        <f>IF('RFQ-Input'!J501="","",'RFQ-Input'!J501)</f>
        <v/>
      </c>
      <c r="K502" s="7" t="str">
        <f>IF('RFQ-Input'!K501="","",'RFQ-Input'!K501)</f>
        <v/>
      </c>
      <c r="L502" s="7" t="str">
        <f>IF('RFQ-Input'!L501="","",'RFQ-Input'!L501)</f>
        <v/>
      </c>
      <c r="M502" s="7" t="str">
        <f>IF('RFQ-Input'!M501="","",'RFQ-Input'!M501)</f>
        <v/>
      </c>
      <c r="N502" s="7" t="str">
        <f>IF('RFQ-Input'!N501="","",'RFQ-Input'!N501)</f>
        <v/>
      </c>
      <c r="O502" s="7" t="str">
        <f>IF('RFQ-Input'!O501="","",'RFQ-Input'!O501)</f>
        <v/>
      </c>
      <c r="Q502" s="7"/>
      <c r="R502" s="7"/>
      <c r="S502" s="7"/>
      <c r="T502" s="7"/>
      <c r="U502" s="7"/>
      <c r="V502" s="7"/>
      <c r="X502" s="7"/>
      <c r="Y502" s="7"/>
      <c r="Z502" s="7"/>
      <c r="AA502" s="7" t="str">
        <f t="shared" si="49"/>
        <v/>
      </c>
      <c r="AB502" s="7"/>
      <c r="AC502" s="7"/>
      <c r="AQ502" s="7" t="str">
        <f t="shared" si="50"/>
        <v/>
      </c>
      <c r="AR502" s="7" t="str">
        <f t="shared" si="51"/>
        <v/>
      </c>
      <c r="AS502" s="7" t="str">
        <f t="shared" si="52"/>
        <v/>
      </c>
      <c r="AT502" s="7" t="str">
        <f t="shared" si="53"/>
        <v/>
      </c>
      <c r="AU502" s="7" t="str">
        <f t="shared" si="54"/>
        <v/>
      </c>
      <c r="AV502" s="7" t="str">
        <f t="shared" si="55"/>
        <v/>
      </c>
      <c r="AW502" s="7" t="str">
        <f>IF('RFQ-Input'!O501="","",'RFQ-Input'!O501)</f>
        <v/>
      </c>
      <c r="AX502" s="7" t="str">
        <f>IF('RFQ-Input'!S501="","",'RFQ-Input'!S501)</f>
        <v/>
      </c>
      <c r="AY502" s="7" t="str">
        <f>IF('RFQ-Input'!V501="","",'RFQ-Input'!V501)</f>
        <v/>
      </c>
      <c r="AZ502" s="7" t="str">
        <f>IF('RFQ-Input'!Y501="","",'RFQ-Input'!Y501)</f>
        <v/>
      </c>
      <c r="BA502" s="7" t="str">
        <f>IF('RFQ-Input'!AB501="","",'RFQ-Input'!AB501)</f>
        <v/>
      </c>
    </row>
    <row r="503" spans="1:53">
      <c r="A503" s="20">
        <v>499</v>
      </c>
      <c r="B503" s="7"/>
      <c r="C503" s="7" t="str">
        <f>IF('RFQ-Input'!C502="","",'RFQ-Input'!C502)</f>
        <v/>
      </c>
      <c r="D503" s="7" t="str">
        <f>IF('RFQ-Input'!D502="","",'RFQ-Input'!D502)</f>
        <v/>
      </c>
      <c r="E503" s="7" t="str">
        <f>IF('RFQ-Input'!E502="","",'RFQ-Input'!E502)</f>
        <v/>
      </c>
      <c r="F503" s="7" t="str">
        <f>IF('RFQ-Input'!F502="","",'RFQ-Input'!F502)</f>
        <v/>
      </c>
      <c r="G503" s="7" t="str">
        <f>IF('RFQ-Input'!G502="","",'RFQ-Input'!G502)</f>
        <v/>
      </c>
      <c r="H503" s="7" t="str">
        <f>IF('RFQ-Input'!H502="","",'RFQ-Input'!H502)</f>
        <v/>
      </c>
      <c r="I503" s="7" t="str">
        <f>IF('RFQ-Input'!I502="","",'RFQ-Input'!I502)</f>
        <v/>
      </c>
      <c r="J503" s="7" t="str">
        <f>IF('RFQ-Input'!J502="","",'RFQ-Input'!J502)</f>
        <v/>
      </c>
      <c r="K503" s="7" t="str">
        <f>IF('RFQ-Input'!K502="","",'RFQ-Input'!K502)</f>
        <v/>
      </c>
      <c r="L503" s="7" t="str">
        <f>IF('RFQ-Input'!L502="","",'RFQ-Input'!L502)</f>
        <v/>
      </c>
      <c r="M503" s="7" t="str">
        <f>IF('RFQ-Input'!M502="","",'RFQ-Input'!M502)</f>
        <v/>
      </c>
      <c r="N503" s="7" t="str">
        <f>IF('RFQ-Input'!N502="","",'RFQ-Input'!N502)</f>
        <v/>
      </c>
      <c r="O503" s="7" t="str">
        <f>IF('RFQ-Input'!O502="","",'RFQ-Input'!O502)</f>
        <v/>
      </c>
      <c r="Q503" s="7"/>
      <c r="R503" s="7"/>
      <c r="S503" s="7"/>
      <c r="T503" s="7"/>
      <c r="U503" s="7"/>
      <c r="V503" s="7"/>
      <c r="X503" s="7"/>
      <c r="Y503" s="7"/>
      <c r="Z503" s="7"/>
      <c r="AA503" s="7" t="str">
        <f t="shared" si="49"/>
        <v/>
      </c>
      <c r="AB503" s="7"/>
      <c r="AC503" s="7"/>
      <c r="AQ503" s="7" t="str">
        <f t="shared" si="50"/>
        <v/>
      </c>
      <c r="AR503" s="7" t="str">
        <f t="shared" si="51"/>
        <v/>
      </c>
      <c r="AS503" s="7" t="str">
        <f t="shared" si="52"/>
        <v/>
      </c>
      <c r="AT503" s="7" t="str">
        <f t="shared" si="53"/>
        <v/>
      </c>
      <c r="AU503" s="7" t="str">
        <f t="shared" si="54"/>
        <v/>
      </c>
      <c r="AV503" s="7" t="str">
        <f t="shared" si="55"/>
        <v/>
      </c>
      <c r="AW503" s="7" t="str">
        <f>IF('RFQ-Input'!O502="","",'RFQ-Input'!O502)</f>
        <v/>
      </c>
      <c r="AX503" s="7" t="str">
        <f>IF('RFQ-Input'!S502="","",'RFQ-Input'!S502)</f>
        <v/>
      </c>
      <c r="AY503" s="7" t="str">
        <f>IF('RFQ-Input'!V502="","",'RFQ-Input'!V502)</f>
        <v/>
      </c>
      <c r="AZ503" s="7" t="str">
        <f>IF('RFQ-Input'!Y502="","",'RFQ-Input'!Y502)</f>
        <v/>
      </c>
      <c r="BA503" s="7" t="str">
        <f>IF('RFQ-Input'!AB502="","",'RFQ-Input'!AB502)</f>
        <v/>
      </c>
    </row>
    <row r="504" spans="1:53">
      <c r="A504" s="20">
        <v>500</v>
      </c>
      <c r="B504" s="7"/>
      <c r="C504" s="7" t="str">
        <f>IF('RFQ-Input'!C503="","",'RFQ-Input'!C503)</f>
        <v/>
      </c>
      <c r="D504" s="7" t="str">
        <f>IF('RFQ-Input'!D503="","",'RFQ-Input'!D503)</f>
        <v/>
      </c>
      <c r="E504" s="7" t="str">
        <f>IF('RFQ-Input'!E503="","",'RFQ-Input'!E503)</f>
        <v/>
      </c>
      <c r="F504" s="7" t="str">
        <f>IF('RFQ-Input'!F503="","",'RFQ-Input'!F503)</f>
        <v/>
      </c>
      <c r="G504" s="7" t="str">
        <f>IF('RFQ-Input'!G503="","",'RFQ-Input'!G503)</f>
        <v/>
      </c>
      <c r="H504" s="7" t="str">
        <f>IF('RFQ-Input'!H503="","",'RFQ-Input'!H503)</f>
        <v/>
      </c>
      <c r="I504" s="7" t="str">
        <f>IF('RFQ-Input'!I503="","",'RFQ-Input'!I503)</f>
        <v/>
      </c>
      <c r="J504" s="7" t="str">
        <f>IF('RFQ-Input'!J503="","",'RFQ-Input'!J503)</f>
        <v/>
      </c>
      <c r="K504" s="7" t="str">
        <f>IF('RFQ-Input'!K503="","",'RFQ-Input'!K503)</f>
        <v/>
      </c>
      <c r="L504" s="7" t="str">
        <f>IF('RFQ-Input'!L503="","",'RFQ-Input'!L503)</f>
        <v/>
      </c>
      <c r="M504" s="7" t="str">
        <f>IF('RFQ-Input'!M503="","",'RFQ-Input'!M503)</f>
        <v/>
      </c>
      <c r="N504" s="7" t="str">
        <f>IF('RFQ-Input'!N503="","",'RFQ-Input'!N503)</f>
        <v/>
      </c>
      <c r="O504" s="7" t="str">
        <f>IF('RFQ-Input'!O503="","",'RFQ-Input'!O503)</f>
        <v/>
      </c>
      <c r="Q504" s="7"/>
      <c r="R504" s="7"/>
      <c r="S504" s="7"/>
      <c r="T504" s="7"/>
      <c r="U504" s="7"/>
      <c r="V504" s="7"/>
      <c r="X504" s="7"/>
      <c r="Y504" s="7"/>
      <c r="Z504" s="7"/>
      <c r="AA504" s="7" t="str">
        <f t="shared" si="49"/>
        <v/>
      </c>
      <c r="AB504" s="7"/>
      <c r="AC504" s="7"/>
      <c r="AQ504" s="7" t="str">
        <f t="shared" si="50"/>
        <v/>
      </c>
      <c r="AR504" s="7" t="str">
        <f t="shared" si="51"/>
        <v/>
      </c>
      <c r="AS504" s="7" t="str">
        <f t="shared" si="52"/>
        <v/>
      </c>
      <c r="AT504" s="7" t="str">
        <f t="shared" si="53"/>
        <v/>
      </c>
      <c r="AU504" s="7" t="str">
        <f t="shared" si="54"/>
        <v/>
      </c>
      <c r="AV504" s="7" t="str">
        <f t="shared" si="55"/>
        <v/>
      </c>
      <c r="AW504" s="7" t="str">
        <f>IF('RFQ-Input'!O503="","",'RFQ-Input'!O503)</f>
        <v/>
      </c>
      <c r="AX504" s="7" t="str">
        <f>IF('RFQ-Input'!S503="","",'RFQ-Input'!S503)</f>
        <v/>
      </c>
      <c r="AY504" s="7" t="str">
        <f>IF('RFQ-Input'!V503="","",'RFQ-Input'!V503)</f>
        <v/>
      </c>
      <c r="AZ504" s="7" t="str">
        <f>IF('RFQ-Input'!Y503="","",'RFQ-Input'!Y503)</f>
        <v/>
      </c>
      <c r="BA504" s="7" t="str">
        <f>IF('RFQ-Input'!AB503="","",'RFQ-Input'!AB503)</f>
        <v/>
      </c>
    </row>
    <row r="505" spans="1:53">
      <c r="A505" s="20">
        <v>501</v>
      </c>
      <c r="B505" s="7"/>
      <c r="C505" s="7" t="str">
        <f>IF('RFQ-Input'!C504="","",'RFQ-Input'!C504)</f>
        <v/>
      </c>
      <c r="D505" s="7" t="str">
        <f>IF('RFQ-Input'!D504="","",'RFQ-Input'!D504)</f>
        <v/>
      </c>
      <c r="E505" s="7" t="str">
        <f>IF('RFQ-Input'!E504="","",'RFQ-Input'!E504)</f>
        <v/>
      </c>
      <c r="F505" s="7" t="str">
        <f>IF('RFQ-Input'!F504="","",'RFQ-Input'!F504)</f>
        <v/>
      </c>
      <c r="G505" s="7" t="str">
        <f>IF('RFQ-Input'!G504="","",'RFQ-Input'!G504)</f>
        <v/>
      </c>
      <c r="H505" s="7" t="str">
        <f>IF('RFQ-Input'!H504="","",'RFQ-Input'!H504)</f>
        <v/>
      </c>
      <c r="I505" s="7" t="str">
        <f>IF('RFQ-Input'!I504="","",'RFQ-Input'!I504)</f>
        <v/>
      </c>
      <c r="J505" s="7" t="str">
        <f>IF('RFQ-Input'!J504="","",'RFQ-Input'!J504)</f>
        <v/>
      </c>
      <c r="K505" s="7" t="str">
        <f>IF('RFQ-Input'!K504="","",'RFQ-Input'!K504)</f>
        <v/>
      </c>
      <c r="L505" s="7" t="str">
        <f>IF('RFQ-Input'!L504="","",'RFQ-Input'!L504)</f>
        <v/>
      </c>
      <c r="M505" s="7" t="str">
        <f>IF('RFQ-Input'!M504="","",'RFQ-Input'!M504)</f>
        <v/>
      </c>
      <c r="N505" s="7" t="str">
        <f>IF('RFQ-Input'!N504="","",'RFQ-Input'!N504)</f>
        <v/>
      </c>
      <c r="O505" s="7" t="str">
        <f>IF('RFQ-Input'!O504="","",'RFQ-Input'!O504)</f>
        <v/>
      </c>
      <c r="Q505" s="7"/>
      <c r="R505" s="7"/>
      <c r="S505" s="7"/>
      <c r="T505" s="7"/>
      <c r="U505" s="7"/>
      <c r="V505" s="7"/>
      <c r="X505" s="7"/>
      <c r="Y505" s="7"/>
      <c r="Z505" s="7"/>
      <c r="AA505" s="7" t="str">
        <f t="shared" si="49"/>
        <v/>
      </c>
      <c r="AB505" s="7"/>
      <c r="AC505" s="7"/>
      <c r="AQ505" s="7" t="str">
        <f t="shared" si="50"/>
        <v/>
      </c>
      <c r="AR505" s="7" t="str">
        <f t="shared" si="51"/>
        <v/>
      </c>
      <c r="AS505" s="7" t="str">
        <f t="shared" si="52"/>
        <v/>
      </c>
      <c r="AT505" s="7" t="str">
        <f t="shared" si="53"/>
        <v/>
      </c>
      <c r="AU505" s="7" t="str">
        <f t="shared" si="54"/>
        <v/>
      </c>
      <c r="AV505" s="7" t="str">
        <f t="shared" si="55"/>
        <v/>
      </c>
      <c r="AW505" s="7" t="str">
        <f>IF('RFQ-Input'!O504="","",'RFQ-Input'!O504)</f>
        <v/>
      </c>
      <c r="AX505" s="7" t="str">
        <f>IF('RFQ-Input'!S504="","",'RFQ-Input'!S504)</f>
        <v/>
      </c>
      <c r="AY505" s="7" t="str">
        <f>IF('RFQ-Input'!V504="","",'RFQ-Input'!V504)</f>
        <v/>
      </c>
      <c r="AZ505" s="7" t="str">
        <f>IF('RFQ-Input'!Y504="","",'RFQ-Input'!Y504)</f>
        <v/>
      </c>
      <c r="BA505" s="7" t="str">
        <f>IF('RFQ-Input'!AB504="","",'RFQ-Input'!AB504)</f>
        <v/>
      </c>
    </row>
    <row r="506" spans="1:53">
      <c r="A506" s="20">
        <v>502</v>
      </c>
      <c r="B506" s="7"/>
      <c r="C506" s="7" t="str">
        <f>IF('RFQ-Input'!C505="","",'RFQ-Input'!C505)</f>
        <v/>
      </c>
      <c r="D506" s="7" t="str">
        <f>IF('RFQ-Input'!D505="","",'RFQ-Input'!D505)</f>
        <v/>
      </c>
      <c r="E506" s="7" t="str">
        <f>IF('RFQ-Input'!E505="","",'RFQ-Input'!E505)</f>
        <v/>
      </c>
      <c r="F506" s="7" t="str">
        <f>IF('RFQ-Input'!F505="","",'RFQ-Input'!F505)</f>
        <v/>
      </c>
      <c r="G506" s="7" t="str">
        <f>IF('RFQ-Input'!G505="","",'RFQ-Input'!G505)</f>
        <v/>
      </c>
      <c r="H506" s="7" t="str">
        <f>IF('RFQ-Input'!H505="","",'RFQ-Input'!H505)</f>
        <v/>
      </c>
      <c r="I506" s="7" t="str">
        <f>IF('RFQ-Input'!I505="","",'RFQ-Input'!I505)</f>
        <v/>
      </c>
      <c r="J506" s="7" t="str">
        <f>IF('RFQ-Input'!J505="","",'RFQ-Input'!J505)</f>
        <v/>
      </c>
      <c r="K506" s="7" t="str">
        <f>IF('RFQ-Input'!K505="","",'RFQ-Input'!K505)</f>
        <v/>
      </c>
      <c r="L506" s="7" t="str">
        <f>IF('RFQ-Input'!L505="","",'RFQ-Input'!L505)</f>
        <v/>
      </c>
      <c r="M506" s="7" t="str">
        <f>IF('RFQ-Input'!M505="","",'RFQ-Input'!M505)</f>
        <v/>
      </c>
      <c r="N506" s="7" t="str">
        <f>IF('RFQ-Input'!N505="","",'RFQ-Input'!N505)</f>
        <v/>
      </c>
      <c r="O506" s="7" t="str">
        <f>IF('RFQ-Input'!O505="","",'RFQ-Input'!O505)</f>
        <v/>
      </c>
      <c r="Q506" s="7"/>
      <c r="R506" s="7"/>
      <c r="S506" s="7"/>
      <c r="T506" s="7"/>
      <c r="U506" s="7"/>
      <c r="V506" s="7"/>
      <c r="X506" s="7"/>
      <c r="Y506" s="7"/>
      <c r="Z506" s="7"/>
      <c r="AA506" s="7" t="str">
        <f t="shared" si="49"/>
        <v/>
      </c>
      <c r="AB506" s="7"/>
      <c r="AC506" s="7"/>
      <c r="AQ506" s="7" t="str">
        <f t="shared" si="50"/>
        <v/>
      </c>
      <c r="AR506" s="7" t="str">
        <f t="shared" si="51"/>
        <v/>
      </c>
      <c r="AS506" s="7" t="str">
        <f t="shared" si="52"/>
        <v/>
      </c>
      <c r="AT506" s="7" t="str">
        <f t="shared" si="53"/>
        <v/>
      </c>
      <c r="AU506" s="7" t="str">
        <f t="shared" si="54"/>
        <v/>
      </c>
      <c r="AV506" s="7" t="str">
        <f t="shared" si="55"/>
        <v/>
      </c>
      <c r="AW506" s="7" t="str">
        <f>IF('RFQ-Input'!O505="","",'RFQ-Input'!O505)</f>
        <v/>
      </c>
      <c r="AX506" s="7" t="str">
        <f>IF('RFQ-Input'!S505="","",'RFQ-Input'!S505)</f>
        <v/>
      </c>
      <c r="AY506" s="7" t="str">
        <f>IF('RFQ-Input'!V505="","",'RFQ-Input'!V505)</f>
        <v/>
      </c>
      <c r="AZ506" s="7" t="str">
        <f>IF('RFQ-Input'!Y505="","",'RFQ-Input'!Y505)</f>
        <v/>
      </c>
      <c r="BA506" s="7" t="str">
        <f>IF('RFQ-Input'!AB505="","",'RFQ-Input'!AB505)</f>
        <v/>
      </c>
    </row>
    <row r="507" spans="1:53">
      <c r="A507" s="20">
        <v>503</v>
      </c>
      <c r="B507" s="7"/>
      <c r="C507" s="7" t="str">
        <f>IF('RFQ-Input'!C506="","",'RFQ-Input'!C506)</f>
        <v/>
      </c>
      <c r="D507" s="7" t="str">
        <f>IF('RFQ-Input'!D506="","",'RFQ-Input'!D506)</f>
        <v/>
      </c>
      <c r="E507" s="7" t="str">
        <f>IF('RFQ-Input'!E506="","",'RFQ-Input'!E506)</f>
        <v/>
      </c>
      <c r="F507" s="7" t="str">
        <f>IF('RFQ-Input'!F506="","",'RFQ-Input'!F506)</f>
        <v/>
      </c>
      <c r="G507" s="7" t="str">
        <f>IF('RFQ-Input'!G506="","",'RFQ-Input'!G506)</f>
        <v/>
      </c>
      <c r="H507" s="7" t="str">
        <f>IF('RFQ-Input'!H506="","",'RFQ-Input'!H506)</f>
        <v/>
      </c>
      <c r="I507" s="7" t="str">
        <f>IF('RFQ-Input'!I506="","",'RFQ-Input'!I506)</f>
        <v/>
      </c>
      <c r="J507" s="7" t="str">
        <f>IF('RFQ-Input'!J506="","",'RFQ-Input'!J506)</f>
        <v/>
      </c>
      <c r="K507" s="7" t="str">
        <f>IF('RFQ-Input'!K506="","",'RFQ-Input'!K506)</f>
        <v/>
      </c>
      <c r="L507" s="7" t="str">
        <f>IF('RFQ-Input'!L506="","",'RFQ-Input'!L506)</f>
        <v/>
      </c>
      <c r="M507" s="7" t="str">
        <f>IF('RFQ-Input'!M506="","",'RFQ-Input'!M506)</f>
        <v/>
      </c>
      <c r="N507" s="7" t="str">
        <f>IF('RFQ-Input'!N506="","",'RFQ-Input'!N506)</f>
        <v/>
      </c>
      <c r="O507" s="7" t="str">
        <f>IF('RFQ-Input'!O506="","",'RFQ-Input'!O506)</f>
        <v/>
      </c>
      <c r="Q507" s="7"/>
      <c r="R507" s="7"/>
      <c r="S507" s="7"/>
      <c r="T507" s="7"/>
      <c r="U507" s="7"/>
      <c r="V507" s="7"/>
      <c r="X507" s="7"/>
      <c r="Y507" s="7"/>
      <c r="Z507" s="7"/>
      <c r="AA507" s="7" t="str">
        <f t="shared" si="49"/>
        <v/>
      </c>
      <c r="AB507" s="7"/>
      <c r="AC507" s="7"/>
      <c r="AQ507" s="7" t="str">
        <f t="shared" si="50"/>
        <v/>
      </c>
      <c r="AR507" s="7" t="str">
        <f t="shared" si="51"/>
        <v/>
      </c>
      <c r="AS507" s="7" t="str">
        <f t="shared" si="52"/>
        <v/>
      </c>
      <c r="AT507" s="7" t="str">
        <f t="shared" si="53"/>
        <v/>
      </c>
      <c r="AU507" s="7" t="str">
        <f t="shared" si="54"/>
        <v/>
      </c>
      <c r="AV507" s="7" t="str">
        <f t="shared" si="55"/>
        <v/>
      </c>
      <c r="AW507" s="7" t="str">
        <f>IF('RFQ-Input'!O506="","",'RFQ-Input'!O506)</f>
        <v/>
      </c>
      <c r="AX507" s="7" t="str">
        <f>IF('RFQ-Input'!S506="","",'RFQ-Input'!S506)</f>
        <v/>
      </c>
      <c r="AY507" s="7" t="str">
        <f>IF('RFQ-Input'!V506="","",'RFQ-Input'!V506)</f>
        <v/>
      </c>
      <c r="AZ507" s="7" t="str">
        <f>IF('RFQ-Input'!Y506="","",'RFQ-Input'!Y506)</f>
        <v/>
      </c>
      <c r="BA507" s="7" t="str">
        <f>IF('RFQ-Input'!AB506="","",'RFQ-Input'!AB506)</f>
        <v/>
      </c>
    </row>
    <row r="508" spans="1:53">
      <c r="A508" s="20">
        <v>504</v>
      </c>
      <c r="B508" s="7"/>
      <c r="C508" s="7" t="str">
        <f>IF('RFQ-Input'!C507="","",'RFQ-Input'!C507)</f>
        <v/>
      </c>
      <c r="D508" s="7" t="str">
        <f>IF('RFQ-Input'!D507="","",'RFQ-Input'!D507)</f>
        <v/>
      </c>
      <c r="E508" s="7" t="str">
        <f>IF('RFQ-Input'!E507="","",'RFQ-Input'!E507)</f>
        <v/>
      </c>
      <c r="F508" s="7" t="str">
        <f>IF('RFQ-Input'!F507="","",'RFQ-Input'!F507)</f>
        <v/>
      </c>
      <c r="G508" s="7" t="str">
        <f>IF('RFQ-Input'!G507="","",'RFQ-Input'!G507)</f>
        <v/>
      </c>
      <c r="H508" s="7" t="str">
        <f>IF('RFQ-Input'!H507="","",'RFQ-Input'!H507)</f>
        <v/>
      </c>
      <c r="I508" s="7" t="str">
        <f>IF('RFQ-Input'!I507="","",'RFQ-Input'!I507)</f>
        <v/>
      </c>
      <c r="J508" s="7" t="str">
        <f>IF('RFQ-Input'!J507="","",'RFQ-Input'!J507)</f>
        <v/>
      </c>
      <c r="K508" s="7" t="str">
        <f>IF('RFQ-Input'!K507="","",'RFQ-Input'!K507)</f>
        <v/>
      </c>
      <c r="L508" s="7" t="str">
        <f>IF('RFQ-Input'!L507="","",'RFQ-Input'!L507)</f>
        <v/>
      </c>
      <c r="M508" s="7" t="str">
        <f>IF('RFQ-Input'!M507="","",'RFQ-Input'!M507)</f>
        <v/>
      </c>
      <c r="N508" s="7" t="str">
        <f>IF('RFQ-Input'!N507="","",'RFQ-Input'!N507)</f>
        <v/>
      </c>
      <c r="O508" s="7" t="str">
        <f>IF('RFQ-Input'!O507="","",'RFQ-Input'!O507)</f>
        <v/>
      </c>
      <c r="Q508" s="7"/>
      <c r="R508" s="7"/>
      <c r="S508" s="7"/>
      <c r="T508" s="7"/>
      <c r="U508" s="7"/>
      <c r="V508" s="7"/>
      <c r="X508" s="7"/>
      <c r="Y508" s="7"/>
      <c r="Z508" s="7"/>
      <c r="AA508" s="7" t="str">
        <f t="shared" si="49"/>
        <v/>
      </c>
      <c r="AB508" s="7"/>
      <c r="AC508" s="7"/>
      <c r="AQ508" s="7" t="str">
        <f t="shared" si="50"/>
        <v/>
      </c>
      <c r="AR508" s="7" t="str">
        <f t="shared" si="51"/>
        <v/>
      </c>
      <c r="AS508" s="7" t="str">
        <f t="shared" si="52"/>
        <v/>
      </c>
      <c r="AT508" s="7" t="str">
        <f t="shared" si="53"/>
        <v/>
      </c>
      <c r="AU508" s="7" t="str">
        <f t="shared" si="54"/>
        <v/>
      </c>
      <c r="AV508" s="7" t="str">
        <f t="shared" si="55"/>
        <v/>
      </c>
      <c r="AW508" s="7" t="str">
        <f>IF('RFQ-Input'!O507="","",'RFQ-Input'!O507)</f>
        <v/>
      </c>
      <c r="AX508" s="7" t="str">
        <f>IF('RFQ-Input'!S507="","",'RFQ-Input'!S507)</f>
        <v/>
      </c>
      <c r="AY508" s="7" t="str">
        <f>IF('RFQ-Input'!V507="","",'RFQ-Input'!V507)</f>
        <v/>
      </c>
      <c r="AZ508" s="7" t="str">
        <f>IF('RFQ-Input'!Y507="","",'RFQ-Input'!Y507)</f>
        <v/>
      </c>
      <c r="BA508" s="7" t="str">
        <f>IF('RFQ-Input'!AB507="","",'RFQ-Input'!AB507)</f>
        <v/>
      </c>
    </row>
    <row r="509" spans="1:53">
      <c r="A509" s="20">
        <v>505</v>
      </c>
      <c r="B509" s="7"/>
      <c r="C509" s="7" t="str">
        <f>IF('RFQ-Input'!C508="","",'RFQ-Input'!C508)</f>
        <v/>
      </c>
      <c r="D509" s="7" t="str">
        <f>IF('RFQ-Input'!D508="","",'RFQ-Input'!D508)</f>
        <v/>
      </c>
      <c r="E509" s="7" t="str">
        <f>IF('RFQ-Input'!E508="","",'RFQ-Input'!E508)</f>
        <v/>
      </c>
      <c r="F509" s="7" t="str">
        <f>IF('RFQ-Input'!F508="","",'RFQ-Input'!F508)</f>
        <v/>
      </c>
      <c r="G509" s="7" t="str">
        <f>IF('RFQ-Input'!G508="","",'RFQ-Input'!G508)</f>
        <v/>
      </c>
      <c r="H509" s="7" t="str">
        <f>IF('RFQ-Input'!H508="","",'RFQ-Input'!H508)</f>
        <v/>
      </c>
      <c r="I509" s="7" t="str">
        <f>IF('RFQ-Input'!I508="","",'RFQ-Input'!I508)</f>
        <v/>
      </c>
      <c r="J509" s="7" t="str">
        <f>IF('RFQ-Input'!J508="","",'RFQ-Input'!J508)</f>
        <v/>
      </c>
      <c r="K509" s="7" t="str">
        <f>IF('RFQ-Input'!K508="","",'RFQ-Input'!K508)</f>
        <v/>
      </c>
      <c r="L509" s="7" t="str">
        <f>IF('RFQ-Input'!L508="","",'RFQ-Input'!L508)</f>
        <v/>
      </c>
      <c r="M509" s="7" t="str">
        <f>IF('RFQ-Input'!M508="","",'RFQ-Input'!M508)</f>
        <v/>
      </c>
      <c r="N509" s="7" t="str">
        <f>IF('RFQ-Input'!N508="","",'RFQ-Input'!N508)</f>
        <v/>
      </c>
      <c r="O509" s="7" t="str">
        <f>IF('RFQ-Input'!O508="","",'RFQ-Input'!O508)</f>
        <v/>
      </c>
      <c r="Q509" s="7"/>
      <c r="R509" s="7"/>
      <c r="S509" s="7"/>
      <c r="T509" s="7"/>
      <c r="U509" s="7"/>
      <c r="V509" s="7"/>
      <c r="X509" s="7"/>
      <c r="Y509" s="7"/>
      <c r="Z509" s="7"/>
      <c r="AA509" s="7" t="str">
        <f t="shared" si="49"/>
        <v/>
      </c>
      <c r="AB509" s="7"/>
      <c r="AC509" s="7"/>
      <c r="AQ509" s="7" t="str">
        <f t="shared" si="50"/>
        <v/>
      </c>
      <c r="AR509" s="7" t="str">
        <f t="shared" si="51"/>
        <v/>
      </c>
      <c r="AS509" s="7" t="str">
        <f t="shared" si="52"/>
        <v/>
      </c>
      <c r="AT509" s="7" t="str">
        <f t="shared" si="53"/>
        <v/>
      </c>
      <c r="AU509" s="7" t="str">
        <f t="shared" si="54"/>
        <v/>
      </c>
      <c r="AV509" s="7" t="str">
        <f t="shared" si="55"/>
        <v/>
      </c>
      <c r="AW509" s="7" t="str">
        <f>IF('RFQ-Input'!O508="","",'RFQ-Input'!O508)</f>
        <v/>
      </c>
      <c r="AX509" s="7" t="str">
        <f>IF('RFQ-Input'!S508="","",'RFQ-Input'!S508)</f>
        <v/>
      </c>
      <c r="AY509" s="7" t="str">
        <f>IF('RFQ-Input'!V508="","",'RFQ-Input'!V508)</f>
        <v/>
      </c>
      <c r="AZ509" s="7" t="str">
        <f>IF('RFQ-Input'!Y508="","",'RFQ-Input'!Y508)</f>
        <v/>
      </c>
      <c r="BA509" s="7" t="str">
        <f>IF('RFQ-Input'!AB508="","",'RFQ-Input'!AB508)</f>
        <v/>
      </c>
    </row>
    <row r="510" spans="1:53">
      <c r="A510" s="20">
        <v>506</v>
      </c>
      <c r="B510" s="7"/>
      <c r="C510" s="7" t="str">
        <f>IF('RFQ-Input'!C509="","",'RFQ-Input'!C509)</f>
        <v/>
      </c>
      <c r="D510" s="7" t="str">
        <f>IF('RFQ-Input'!D509="","",'RFQ-Input'!D509)</f>
        <v/>
      </c>
      <c r="E510" s="7" t="str">
        <f>IF('RFQ-Input'!E509="","",'RFQ-Input'!E509)</f>
        <v/>
      </c>
      <c r="F510" s="7" t="str">
        <f>IF('RFQ-Input'!F509="","",'RFQ-Input'!F509)</f>
        <v/>
      </c>
      <c r="G510" s="7" t="str">
        <f>IF('RFQ-Input'!G509="","",'RFQ-Input'!G509)</f>
        <v/>
      </c>
      <c r="H510" s="7" t="str">
        <f>IF('RFQ-Input'!H509="","",'RFQ-Input'!H509)</f>
        <v/>
      </c>
      <c r="I510" s="7" t="str">
        <f>IF('RFQ-Input'!I509="","",'RFQ-Input'!I509)</f>
        <v/>
      </c>
      <c r="J510" s="7" t="str">
        <f>IF('RFQ-Input'!J509="","",'RFQ-Input'!J509)</f>
        <v/>
      </c>
      <c r="K510" s="7" t="str">
        <f>IF('RFQ-Input'!K509="","",'RFQ-Input'!K509)</f>
        <v/>
      </c>
      <c r="L510" s="7" t="str">
        <f>IF('RFQ-Input'!L509="","",'RFQ-Input'!L509)</f>
        <v/>
      </c>
      <c r="M510" s="7" t="str">
        <f>IF('RFQ-Input'!M509="","",'RFQ-Input'!M509)</f>
        <v/>
      </c>
      <c r="N510" s="7" t="str">
        <f>IF('RFQ-Input'!N509="","",'RFQ-Input'!N509)</f>
        <v/>
      </c>
      <c r="O510" s="7" t="str">
        <f>IF('RFQ-Input'!O509="","",'RFQ-Input'!O509)</f>
        <v/>
      </c>
      <c r="Q510" s="7"/>
      <c r="R510" s="7"/>
      <c r="S510" s="7"/>
      <c r="T510" s="7"/>
      <c r="U510" s="7"/>
      <c r="V510" s="7"/>
      <c r="X510" s="7"/>
      <c r="Y510" s="7"/>
      <c r="Z510" s="7"/>
      <c r="AA510" s="7" t="str">
        <f t="shared" si="49"/>
        <v/>
      </c>
      <c r="AB510" s="7"/>
      <c r="AC510" s="7"/>
      <c r="AQ510" s="7" t="str">
        <f t="shared" si="50"/>
        <v/>
      </c>
      <c r="AR510" s="7" t="str">
        <f t="shared" si="51"/>
        <v/>
      </c>
      <c r="AS510" s="7" t="str">
        <f t="shared" si="52"/>
        <v/>
      </c>
      <c r="AT510" s="7" t="str">
        <f t="shared" si="53"/>
        <v/>
      </c>
      <c r="AU510" s="7" t="str">
        <f t="shared" si="54"/>
        <v/>
      </c>
      <c r="AV510" s="7" t="str">
        <f t="shared" si="55"/>
        <v/>
      </c>
      <c r="AW510" s="7" t="str">
        <f>IF('RFQ-Input'!O509="","",'RFQ-Input'!O509)</f>
        <v/>
      </c>
      <c r="AX510" s="7" t="str">
        <f>IF('RFQ-Input'!S509="","",'RFQ-Input'!S509)</f>
        <v/>
      </c>
      <c r="AY510" s="7" t="str">
        <f>IF('RFQ-Input'!V509="","",'RFQ-Input'!V509)</f>
        <v/>
      </c>
      <c r="AZ510" s="7" t="str">
        <f>IF('RFQ-Input'!Y509="","",'RFQ-Input'!Y509)</f>
        <v/>
      </c>
      <c r="BA510" s="7" t="str">
        <f>IF('RFQ-Input'!AB509="","",'RFQ-Input'!AB509)</f>
        <v/>
      </c>
    </row>
    <row r="511" spans="1:53">
      <c r="A511" s="20">
        <v>507</v>
      </c>
      <c r="B511" s="7"/>
      <c r="C511" s="7" t="str">
        <f>IF('RFQ-Input'!C510="","",'RFQ-Input'!C510)</f>
        <v/>
      </c>
      <c r="D511" s="7" t="str">
        <f>IF('RFQ-Input'!D510="","",'RFQ-Input'!D510)</f>
        <v/>
      </c>
      <c r="E511" s="7" t="str">
        <f>IF('RFQ-Input'!E510="","",'RFQ-Input'!E510)</f>
        <v/>
      </c>
      <c r="F511" s="7" t="str">
        <f>IF('RFQ-Input'!F510="","",'RFQ-Input'!F510)</f>
        <v/>
      </c>
      <c r="G511" s="7" t="str">
        <f>IF('RFQ-Input'!G510="","",'RFQ-Input'!G510)</f>
        <v/>
      </c>
      <c r="H511" s="7" t="str">
        <f>IF('RFQ-Input'!H510="","",'RFQ-Input'!H510)</f>
        <v/>
      </c>
      <c r="I511" s="7" t="str">
        <f>IF('RFQ-Input'!I510="","",'RFQ-Input'!I510)</f>
        <v/>
      </c>
      <c r="J511" s="7" t="str">
        <f>IF('RFQ-Input'!J510="","",'RFQ-Input'!J510)</f>
        <v/>
      </c>
      <c r="K511" s="7" t="str">
        <f>IF('RFQ-Input'!K510="","",'RFQ-Input'!K510)</f>
        <v/>
      </c>
      <c r="L511" s="7" t="str">
        <f>IF('RFQ-Input'!L510="","",'RFQ-Input'!L510)</f>
        <v/>
      </c>
      <c r="M511" s="7" t="str">
        <f>IF('RFQ-Input'!M510="","",'RFQ-Input'!M510)</f>
        <v/>
      </c>
      <c r="N511" s="7" t="str">
        <f>IF('RFQ-Input'!N510="","",'RFQ-Input'!N510)</f>
        <v/>
      </c>
      <c r="O511" s="7" t="str">
        <f>IF('RFQ-Input'!O510="","",'RFQ-Input'!O510)</f>
        <v/>
      </c>
      <c r="Q511" s="7"/>
      <c r="R511" s="7"/>
      <c r="S511" s="7"/>
      <c r="T511" s="7"/>
      <c r="U511" s="7"/>
      <c r="V511" s="7"/>
      <c r="X511" s="7"/>
      <c r="Y511" s="7"/>
      <c r="Z511" s="7"/>
      <c r="AA511" s="7" t="str">
        <f t="shared" si="49"/>
        <v/>
      </c>
      <c r="AB511" s="7"/>
      <c r="AC511" s="7"/>
      <c r="AQ511" s="7" t="str">
        <f t="shared" si="50"/>
        <v/>
      </c>
      <c r="AR511" s="7" t="str">
        <f t="shared" si="51"/>
        <v/>
      </c>
      <c r="AS511" s="7" t="str">
        <f t="shared" si="52"/>
        <v/>
      </c>
      <c r="AT511" s="7" t="str">
        <f t="shared" si="53"/>
        <v/>
      </c>
      <c r="AU511" s="7" t="str">
        <f t="shared" si="54"/>
        <v/>
      </c>
      <c r="AV511" s="7" t="str">
        <f t="shared" si="55"/>
        <v/>
      </c>
      <c r="AW511" s="7" t="str">
        <f>IF('RFQ-Input'!O510="","",'RFQ-Input'!O510)</f>
        <v/>
      </c>
      <c r="AX511" s="7" t="str">
        <f>IF('RFQ-Input'!S510="","",'RFQ-Input'!S510)</f>
        <v/>
      </c>
      <c r="AY511" s="7" t="str">
        <f>IF('RFQ-Input'!V510="","",'RFQ-Input'!V510)</f>
        <v/>
      </c>
      <c r="AZ511" s="7" t="str">
        <f>IF('RFQ-Input'!Y510="","",'RFQ-Input'!Y510)</f>
        <v/>
      </c>
      <c r="BA511" s="7" t="str">
        <f>IF('RFQ-Input'!AB510="","",'RFQ-Input'!AB510)</f>
        <v/>
      </c>
    </row>
    <row r="512" spans="1:53">
      <c r="A512" s="20">
        <v>508</v>
      </c>
      <c r="B512" s="7"/>
      <c r="C512" s="7" t="str">
        <f>IF('RFQ-Input'!C511="","",'RFQ-Input'!C511)</f>
        <v/>
      </c>
      <c r="D512" s="7" t="str">
        <f>IF('RFQ-Input'!D511="","",'RFQ-Input'!D511)</f>
        <v/>
      </c>
      <c r="E512" s="7" t="str">
        <f>IF('RFQ-Input'!E511="","",'RFQ-Input'!E511)</f>
        <v/>
      </c>
      <c r="F512" s="7" t="str">
        <f>IF('RFQ-Input'!F511="","",'RFQ-Input'!F511)</f>
        <v/>
      </c>
      <c r="G512" s="7" t="str">
        <f>IF('RFQ-Input'!G511="","",'RFQ-Input'!G511)</f>
        <v/>
      </c>
      <c r="H512" s="7" t="str">
        <f>IF('RFQ-Input'!H511="","",'RFQ-Input'!H511)</f>
        <v/>
      </c>
      <c r="I512" s="7" t="str">
        <f>IF('RFQ-Input'!I511="","",'RFQ-Input'!I511)</f>
        <v/>
      </c>
      <c r="J512" s="7" t="str">
        <f>IF('RFQ-Input'!J511="","",'RFQ-Input'!J511)</f>
        <v/>
      </c>
      <c r="K512" s="7" t="str">
        <f>IF('RFQ-Input'!K511="","",'RFQ-Input'!K511)</f>
        <v/>
      </c>
      <c r="L512" s="7" t="str">
        <f>IF('RFQ-Input'!L511="","",'RFQ-Input'!L511)</f>
        <v/>
      </c>
      <c r="M512" s="7" t="str">
        <f>IF('RFQ-Input'!M511="","",'RFQ-Input'!M511)</f>
        <v/>
      </c>
      <c r="N512" s="7" t="str">
        <f>IF('RFQ-Input'!N511="","",'RFQ-Input'!N511)</f>
        <v/>
      </c>
      <c r="O512" s="7" t="str">
        <f>IF('RFQ-Input'!O511="","",'RFQ-Input'!O511)</f>
        <v/>
      </c>
      <c r="Q512" s="7"/>
      <c r="R512" s="7"/>
      <c r="S512" s="7"/>
      <c r="T512" s="7"/>
      <c r="U512" s="7"/>
      <c r="V512" s="7"/>
      <c r="X512" s="7"/>
      <c r="Y512" s="7"/>
      <c r="Z512" s="7"/>
      <c r="AA512" s="7" t="str">
        <f t="shared" si="49"/>
        <v/>
      </c>
      <c r="AB512" s="7"/>
      <c r="AC512" s="7"/>
      <c r="AQ512" s="7" t="str">
        <f t="shared" si="50"/>
        <v/>
      </c>
      <c r="AR512" s="7" t="str">
        <f t="shared" si="51"/>
        <v/>
      </c>
      <c r="AS512" s="7" t="str">
        <f t="shared" si="52"/>
        <v/>
      </c>
      <c r="AT512" s="7" t="str">
        <f t="shared" si="53"/>
        <v/>
      </c>
      <c r="AU512" s="7" t="str">
        <f t="shared" si="54"/>
        <v/>
      </c>
      <c r="AV512" s="7" t="str">
        <f t="shared" si="55"/>
        <v/>
      </c>
      <c r="AW512" s="7" t="str">
        <f>IF('RFQ-Input'!O511="","",'RFQ-Input'!O511)</f>
        <v/>
      </c>
      <c r="AX512" s="7" t="str">
        <f>IF('RFQ-Input'!S511="","",'RFQ-Input'!S511)</f>
        <v/>
      </c>
      <c r="AY512" s="7" t="str">
        <f>IF('RFQ-Input'!V511="","",'RFQ-Input'!V511)</f>
        <v/>
      </c>
      <c r="AZ512" s="7" t="str">
        <f>IF('RFQ-Input'!Y511="","",'RFQ-Input'!Y511)</f>
        <v/>
      </c>
      <c r="BA512" s="7" t="str">
        <f>IF('RFQ-Input'!AB511="","",'RFQ-Input'!AB511)</f>
        <v/>
      </c>
    </row>
    <row r="513" spans="1:53">
      <c r="A513" s="20">
        <v>509</v>
      </c>
      <c r="B513" s="7"/>
      <c r="C513" s="7" t="str">
        <f>IF('RFQ-Input'!C512="","",'RFQ-Input'!C512)</f>
        <v/>
      </c>
      <c r="D513" s="7" t="str">
        <f>IF('RFQ-Input'!D512="","",'RFQ-Input'!D512)</f>
        <v/>
      </c>
      <c r="E513" s="7" t="str">
        <f>IF('RFQ-Input'!E512="","",'RFQ-Input'!E512)</f>
        <v/>
      </c>
      <c r="F513" s="7" t="str">
        <f>IF('RFQ-Input'!F512="","",'RFQ-Input'!F512)</f>
        <v/>
      </c>
      <c r="G513" s="7" t="str">
        <f>IF('RFQ-Input'!G512="","",'RFQ-Input'!G512)</f>
        <v/>
      </c>
      <c r="H513" s="7" t="str">
        <f>IF('RFQ-Input'!H512="","",'RFQ-Input'!H512)</f>
        <v/>
      </c>
      <c r="I513" s="7" t="str">
        <f>IF('RFQ-Input'!I512="","",'RFQ-Input'!I512)</f>
        <v/>
      </c>
      <c r="J513" s="7" t="str">
        <f>IF('RFQ-Input'!J512="","",'RFQ-Input'!J512)</f>
        <v/>
      </c>
      <c r="K513" s="7" t="str">
        <f>IF('RFQ-Input'!K512="","",'RFQ-Input'!K512)</f>
        <v/>
      </c>
      <c r="L513" s="7" t="str">
        <f>IF('RFQ-Input'!L512="","",'RFQ-Input'!L512)</f>
        <v/>
      </c>
      <c r="M513" s="7" t="str">
        <f>IF('RFQ-Input'!M512="","",'RFQ-Input'!M512)</f>
        <v/>
      </c>
      <c r="N513" s="7" t="str">
        <f>IF('RFQ-Input'!N512="","",'RFQ-Input'!N512)</f>
        <v/>
      </c>
      <c r="O513" s="7" t="str">
        <f>IF('RFQ-Input'!O512="","",'RFQ-Input'!O512)</f>
        <v/>
      </c>
      <c r="Q513" s="7"/>
      <c r="R513" s="7"/>
      <c r="S513" s="7"/>
      <c r="T513" s="7"/>
      <c r="U513" s="7"/>
      <c r="V513" s="7"/>
      <c r="X513" s="7"/>
      <c r="Y513" s="7"/>
      <c r="Z513" s="7"/>
      <c r="AA513" s="7" t="str">
        <f t="shared" si="49"/>
        <v/>
      </c>
      <c r="AB513" s="7"/>
      <c r="AC513" s="7"/>
      <c r="AQ513" s="7" t="str">
        <f t="shared" si="50"/>
        <v/>
      </c>
      <c r="AR513" s="7" t="str">
        <f t="shared" si="51"/>
        <v/>
      </c>
      <c r="AS513" s="7" t="str">
        <f t="shared" si="52"/>
        <v/>
      </c>
      <c r="AT513" s="7" t="str">
        <f t="shared" si="53"/>
        <v/>
      </c>
      <c r="AU513" s="7" t="str">
        <f t="shared" si="54"/>
        <v/>
      </c>
      <c r="AV513" s="7" t="str">
        <f t="shared" si="55"/>
        <v/>
      </c>
      <c r="AW513" s="7" t="str">
        <f>IF('RFQ-Input'!O512="","",'RFQ-Input'!O512)</f>
        <v/>
      </c>
      <c r="AX513" s="7" t="str">
        <f>IF('RFQ-Input'!S512="","",'RFQ-Input'!S512)</f>
        <v/>
      </c>
      <c r="AY513" s="7" t="str">
        <f>IF('RFQ-Input'!V512="","",'RFQ-Input'!V512)</f>
        <v/>
      </c>
      <c r="AZ513" s="7" t="str">
        <f>IF('RFQ-Input'!Y512="","",'RFQ-Input'!Y512)</f>
        <v/>
      </c>
      <c r="BA513" s="7" t="str">
        <f>IF('RFQ-Input'!AB512="","",'RFQ-Input'!AB512)</f>
        <v/>
      </c>
    </row>
    <row r="514" spans="1:53">
      <c r="A514" s="20">
        <v>510</v>
      </c>
      <c r="B514" s="7"/>
      <c r="C514" s="7" t="str">
        <f>IF('RFQ-Input'!C513="","",'RFQ-Input'!C513)</f>
        <v/>
      </c>
      <c r="D514" s="7" t="str">
        <f>IF('RFQ-Input'!D513="","",'RFQ-Input'!D513)</f>
        <v/>
      </c>
      <c r="E514" s="7" t="str">
        <f>IF('RFQ-Input'!E513="","",'RFQ-Input'!E513)</f>
        <v/>
      </c>
      <c r="F514" s="7" t="str">
        <f>IF('RFQ-Input'!F513="","",'RFQ-Input'!F513)</f>
        <v/>
      </c>
      <c r="G514" s="7" t="str">
        <f>IF('RFQ-Input'!G513="","",'RFQ-Input'!G513)</f>
        <v/>
      </c>
      <c r="H514" s="7" t="str">
        <f>IF('RFQ-Input'!H513="","",'RFQ-Input'!H513)</f>
        <v/>
      </c>
      <c r="I514" s="7" t="str">
        <f>IF('RFQ-Input'!I513="","",'RFQ-Input'!I513)</f>
        <v/>
      </c>
      <c r="J514" s="7" t="str">
        <f>IF('RFQ-Input'!J513="","",'RFQ-Input'!J513)</f>
        <v/>
      </c>
      <c r="K514" s="7" t="str">
        <f>IF('RFQ-Input'!K513="","",'RFQ-Input'!K513)</f>
        <v/>
      </c>
      <c r="L514" s="7" t="str">
        <f>IF('RFQ-Input'!L513="","",'RFQ-Input'!L513)</f>
        <v/>
      </c>
      <c r="M514" s="7" t="str">
        <f>IF('RFQ-Input'!M513="","",'RFQ-Input'!M513)</f>
        <v/>
      </c>
      <c r="N514" s="7" t="str">
        <f>IF('RFQ-Input'!N513="","",'RFQ-Input'!N513)</f>
        <v/>
      </c>
      <c r="O514" s="7" t="str">
        <f>IF('RFQ-Input'!O513="","",'RFQ-Input'!O513)</f>
        <v/>
      </c>
      <c r="Q514" s="7"/>
      <c r="R514" s="7"/>
      <c r="S514" s="7"/>
      <c r="T514" s="7"/>
      <c r="U514" s="7"/>
      <c r="V514" s="7"/>
      <c r="X514" s="7"/>
      <c r="Y514" s="7"/>
      <c r="Z514" s="7"/>
      <c r="AA514" s="7" t="str">
        <f t="shared" si="49"/>
        <v/>
      </c>
      <c r="AB514" s="7"/>
      <c r="AC514" s="7"/>
      <c r="AQ514" s="7" t="str">
        <f t="shared" si="50"/>
        <v/>
      </c>
      <c r="AR514" s="7" t="str">
        <f t="shared" si="51"/>
        <v/>
      </c>
      <c r="AS514" s="7" t="str">
        <f t="shared" si="52"/>
        <v/>
      </c>
      <c r="AT514" s="7" t="str">
        <f t="shared" si="53"/>
        <v/>
      </c>
      <c r="AU514" s="7" t="str">
        <f t="shared" si="54"/>
        <v/>
      </c>
      <c r="AV514" s="7" t="str">
        <f t="shared" si="55"/>
        <v/>
      </c>
      <c r="AW514" s="7" t="str">
        <f>IF('RFQ-Input'!O513="","",'RFQ-Input'!O513)</f>
        <v/>
      </c>
      <c r="AX514" s="7" t="str">
        <f>IF('RFQ-Input'!S513="","",'RFQ-Input'!S513)</f>
        <v/>
      </c>
      <c r="AY514" s="7" t="str">
        <f>IF('RFQ-Input'!V513="","",'RFQ-Input'!V513)</f>
        <v/>
      </c>
      <c r="AZ514" s="7" t="str">
        <f>IF('RFQ-Input'!Y513="","",'RFQ-Input'!Y513)</f>
        <v/>
      </c>
      <c r="BA514" s="7" t="str">
        <f>IF('RFQ-Input'!AB513="","",'RFQ-Input'!AB513)</f>
        <v/>
      </c>
    </row>
    <row r="515" spans="1:53">
      <c r="A515" s="20">
        <v>511</v>
      </c>
      <c r="B515" s="7"/>
      <c r="C515" s="7" t="str">
        <f>IF('RFQ-Input'!C514="","",'RFQ-Input'!C514)</f>
        <v/>
      </c>
      <c r="D515" s="7" t="str">
        <f>IF('RFQ-Input'!D514="","",'RFQ-Input'!D514)</f>
        <v/>
      </c>
      <c r="E515" s="7" t="str">
        <f>IF('RFQ-Input'!E514="","",'RFQ-Input'!E514)</f>
        <v/>
      </c>
      <c r="F515" s="7" t="str">
        <f>IF('RFQ-Input'!F514="","",'RFQ-Input'!F514)</f>
        <v/>
      </c>
      <c r="G515" s="7" t="str">
        <f>IF('RFQ-Input'!G514="","",'RFQ-Input'!G514)</f>
        <v/>
      </c>
      <c r="H515" s="7" t="str">
        <f>IF('RFQ-Input'!H514="","",'RFQ-Input'!H514)</f>
        <v/>
      </c>
      <c r="I515" s="7" t="str">
        <f>IF('RFQ-Input'!I514="","",'RFQ-Input'!I514)</f>
        <v/>
      </c>
      <c r="J515" s="7" t="str">
        <f>IF('RFQ-Input'!J514="","",'RFQ-Input'!J514)</f>
        <v/>
      </c>
      <c r="K515" s="7" t="str">
        <f>IF('RFQ-Input'!K514="","",'RFQ-Input'!K514)</f>
        <v/>
      </c>
      <c r="L515" s="7" t="str">
        <f>IF('RFQ-Input'!L514="","",'RFQ-Input'!L514)</f>
        <v/>
      </c>
      <c r="M515" s="7" t="str">
        <f>IF('RFQ-Input'!M514="","",'RFQ-Input'!M514)</f>
        <v/>
      </c>
      <c r="N515" s="7" t="str">
        <f>IF('RFQ-Input'!N514="","",'RFQ-Input'!N514)</f>
        <v/>
      </c>
      <c r="O515" s="7" t="str">
        <f>IF('RFQ-Input'!O514="","",'RFQ-Input'!O514)</f>
        <v/>
      </c>
      <c r="Q515" s="7"/>
      <c r="R515" s="7"/>
      <c r="S515" s="7"/>
      <c r="T515" s="7"/>
      <c r="U515" s="7"/>
      <c r="V515" s="7"/>
      <c r="X515" s="7"/>
      <c r="Y515" s="7"/>
      <c r="Z515" s="7"/>
      <c r="AA515" s="7" t="str">
        <f t="shared" si="49"/>
        <v/>
      </c>
      <c r="AB515" s="7"/>
      <c r="AC515" s="7"/>
      <c r="AQ515" s="7" t="str">
        <f t="shared" si="50"/>
        <v/>
      </c>
      <c r="AR515" s="7" t="str">
        <f t="shared" si="51"/>
        <v/>
      </c>
      <c r="AS515" s="7" t="str">
        <f t="shared" si="52"/>
        <v/>
      </c>
      <c r="AT515" s="7" t="str">
        <f t="shared" si="53"/>
        <v/>
      </c>
      <c r="AU515" s="7" t="str">
        <f t="shared" si="54"/>
        <v/>
      </c>
      <c r="AV515" s="7" t="str">
        <f t="shared" si="55"/>
        <v/>
      </c>
      <c r="AW515" s="7" t="str">
        <f>IF('RFQ-Input'!O514="","",'RFQ-Input'!O514)</f>
        <v/>
      </c>
      <c r="AX515" s="7" t="str">
        <f>IF('RFQ-Input'!S514="","",'RFQ-Input'!S514)</f>
        <v/>
      </c>
      <c r="AY515" s="7" t="str">
        <f>IF('RFQ-Input'!V514="","",'RFQ-Input'!V514)</f>
        <v/>
      </c>
      <c r="AZ515" s="7" t="str">
        <f>IF('RFQ-Input'!Y514="","",'RFQ-Input'!Y514)</f>
        <v/>
      </c>
      <c r="BA515" s="7" t="str">
        <f>IF('RFQ-Input'!AB514="","",'RFQ-Input'!AB514)</f>
        <v/>
      </c>
    </row>
    <row r="516" spans="1:53">
      <c r="A516" s="20">
        <v>512</v>
      </c>
      <c r="B516" s="7"/>
      <c r="C516" s="7" t="str">
        <f>IF('RFQ-Input'!C515="","",'RFQ-Input'!C515)</f>
        <v/>
      </c>
      <c r="D516" s="7" t="str">
        <f>IF('RFQ-Input'!D515="","",'RFQ-Input'!D515)</f>
        <v/>
      </c>
      <c r="E516" s="7" t="str">
        <f>IF('RFQ-Input'!E515="","",'RFQ-Input'!E515)</f>
        <v/>
      </c>
      <c r="F516" s="7" t="str">
        <f>IF('RFQ-Input'!F515="","",'RFQ-Input'!F515)</f>
        <v/>
      </c>
      <c r="G516" s="7" t="str">
        <f>IF('RFQ-Input'!G515="","",'RFQ-Input'!G515)</f>
        <v/>
      </c>
      <c r="H516" s="7" t="str">
        <f>IF('RFQ-Input'!H515="","",'RFQ-Input'!H515)</f>
        <v/>
      </c>
      <c r="I516" s="7" t="str">
        <f>IF('RFQ-Input'!I515="","",'RFQ-Input'!I515)</f>
        <v/>
      </c>
      <c r="J516" s="7" t="str">
        <f>IF('RFQ-Input'!J515="","",'RFQ-Input'!J515)</f>
        <v/>
      </c>
      <c r="K516" s="7" t="str">
        <f>IF('RFQ-Input'!K515="","",'RFQ-Input'!K515)</f>
        <v/>
      </c>
      <c r="L516" s="7" t="str">
        <f>IF('RFQ-Input'!L515="","",'RFQ-Input'!L515)</f>
        <v/>
      </c>
      <c r="M516" s="7" t="str">
        <f>IF('RFQ-Input'!M515="","",'RFQ-Input'!M515)</f>
        <v/>
      </c>
      <c r="N516" s="7" t="str">
        <f>IF('RFQ-Input'!N515="","",'RFQ-Input'!N515)</f>
        <v/>
      </c>
      <c r="O516" s="7" t="str">
        <f>IF('RFQ-Input'!O515="","",'RFQ-Input'!O515)</f>
        <v/>
      </c>
      <c r="Q516" s="7"/>
      <c r="R516" s="7"/>
      <c r="S516" s="7"/>
      <c r="T516" s="7"/>
      <c r="U516" s="7"/>
      <c r="V516" s="7"/>
      <c r="X516" s="7"/>
      <c r="Y516" s="7"/>
      <c r="Z516" s="7"/>
      <c r="AA516" s="7" t="str">
        <f t="shared" si="49"/>
        <v/>
      </c>
      <c r="AB516" s="7"/>
      <c r="AC516" s="7"/>
      <c r="AQ516" s="7" t="str">
        <f t="shared" si="50"/>
        <v/>
      </c>
      <c r="AR516" s="7" t="str">
        <f t="shared" si="51"/>
        <v/>
      </c>
      <c r="AS516" s="7" t="str">
        <f t="shared" si="52"/>
        <v/>
      </c>
      <c r="AT516" s="7" t="str">
        <f t="shared" si="53"/>
        <v/>
      </c>
      <c r="AU516" s="7" t="str">
        <f t="shared" si="54"/>
        <v/>
      </c>
      <c r="AV516" s="7" t="str">
        <f t="shared" si="55"/>
        <v/>
      </c>
      <c r="AW516" s="7" t="str">
        <f>IF('RFQ-Input'!O515="","",'RFQ-Input'!O515)</f>
        <v/>
      </c>
      <c r="AX516" s="7" t="str">
        <f>IF('RFQ-Input'!S515="","",'RFQ-Input'!S515)</f>
        <v/>
      </c>
      <c r="AY516" s="7" t="str">
        <f>IF('RFQ-Input'!V515="","",'RFQ-Input'!V515)</f>
        <v/>
      </c>
      <c r="AZ516" s="7" t="str">
        <f>IF('RFQ-Input'!Y515="","",'RFQ-Input'!Y515)</f>
        <v/>
      </c>
      <c r="BA516" s="7" t="str">
        <f>IF('RFQ-Input'!AB515="","",'RFQ-Input'!AB515)</f>
        <v/>
      </c>
    </row>
    <row r="517" spans="1:53">
      <c r="A517" s="20">
        <v>513</v>
      </c>
      <c r="B517" s="7"/>
      <c r="C517" s="7" t="str">
        <f>IF('RFQ-Input'!C516="","",'RFQ-Input'!C516)</f>
        <v/>
      </c>
      <c r="D517" s="7" t="str">
        <f>IF('RFQ-Input'!D516="","",'RFQ-Input'!D516)</f>
        <v/>
      </c>
      <c r="E517" s="7" t="str">
        <f>IF('RFQ-Input'!E516="","",'RFQ-Input'!E516)</f>
        <v/>
      </c>
      <c r="F517" s="7" t="str">
        <f>IF('RFQ-Input'!F516="","",'RFQ-Input'!F516)</f>
        <v/>
      </c>
      <c r="G517" s="7" t="str">
        <f>IF('RFQ-Input'!G516="","",'RFQ-Input'!G516)</f>
        <v/>
      </c>
      <c r="H517" s="7" t="str">
        <f>IF('RFQ-Input'!H516="","",'RFQ-Input'!H516)</f>
        <v/>
      </c>
      <c r="I517" s="7" t="str">
        <f>IF('RFQ-Input'!I516="","",'RFQ-Input'!I516)</f>
        <v/>
      </c>
      <c r="J517" s="7" t="str">
        <f>IF('RFQ-Input'!J516="","",'RFQ-Input'!J516)</f>
        <v/>
      </c>
      <c r="K517" s="7" t="str">
        <f>IF('RFQ-Input'!K516="","",'RFQ-Input'!K516)</f>
        <v/>
      </c>
      <c r="L517" s="7" t="str">
        <f>IF('RFQ-Input'!L516="","",'RFQ-Input'!L516)</f>
        <v/>
      </c>
      <c r="M517" s="7" t="str">
        <f>IF('RFQ-Input'!M516="","",'RFQ-Input'!M516)</f>
        <v/>
      </c>
      <c r="N517" s="7" t="str">
        <f>IF('RFQ-Input'!N516="","",'RFQ-Input'!N516)</f>
        <v/>
      </c>
      <c r="O517" s="7" t="str">
        <f>IF('RFQ-Input'!O516="","",'RFQ-Input'!O516)</f>
        <v/>
      </c>
      <c r="Q517" s="7"/>
      <c r="R517" s="7"/>
      <c r="S517" s="7"/>
      <c r="T517" s="7"/>
      <c r="U517" s="7"/>
      <c r="V517" s="7"/>
      <c r="X517" s="7"/>
      <c r="Y517" s="7"/>
      <c r="Z517" s="7"/>
      <c r="AA517" s="7" t="str">
        <f t="shared" ref="AA517:AA580" si="56">IF(AND(L517="",Y517=""),"",L517)</f>
        <v/>
      </c>
      <c r="AB517" s="7"/>
      <c r="AC517" s="7"/>
      <c r="AQ517" s="7" t="str">
        <f t="shared" si="50"/>
        <v/>
      </c>
      <c r="AR517" s="7" t="str">
        <f t="shared" si="51"/>
        <v/>
      </c>
      <c r="AS517" s="7" t="str">
        <f t="shared" si="52"/>
        <v/>
      </c>
      <c r="AT517" s="7" t="str">
        <f t="shared" si="53"/>
        <v/>
      </c>
      <c r="AU517" s="7" t="str">
        <f t="shared" si="54"/>
        <v/>
      </c>
      <c r="AV517" s="7" t="str">
        <f t="shared" si="55"/>
        <v/>
      </c>
      <c r="AW517" s="7" t="str">
        <f>IF('RFQ-Input'!O516="","",'RFQ-Input'!O516)</f>
        <v/>
      </c>
      <c r="AX517" s="7" t="str">
        <f>IF('RFQ-Input'!S516="","",'RFQ-Input'!S516)</f>
        <v/>
      </c>
      <c r="AY517" s="7" t="str">
        <f>IF('RFQ-Input'!V516="","",'RFQ-Input'!V516)</f>
        <v/>
      </c>
      <c r="AZ517" s="7" t="str">
        <f>IF('RFQ-Input'!Y516="","",'RFQ-Input'!Y516)</f>
        <v/>
      </c>
      <c r="BA517" s="7" t="str">
        <f>IF('RFQ-Input'!AB516="","",'RFQ-Input'!AB516)</f>
        <v/>
      </c>
    </row>
    <row r="518" spans="1:53">
      <c r="A518" s="20">
        <v>514</v>
      </c>
      <c r="B518" s="7"/>
      <c r="C518" s="7" t="str">
        <f>IF('RFQ-Input'!C517="","",'RFQ-Input'!C517)</f>
        <v/>
      </c>
      <c r="D518" s="7" t="str">
        <f>IF('RFQ-Input'!D517="","",'RFQ-Input'!D517)</f>
        <v/>
      </c>
      <c r="E518" s="7" t="str">
        <f>IF('RFQ-Input'!E517="","",'RFQ-Input'!E517)</f>
        <v/>
      </c>
      <c r="F518" s="7" t="str">
        <f>IF('RFQ-Input'!F517="","",'RFQ-Input'!F517)</f>
        <v/>
      </c>
      <c r="G518" s="7" t="str">
        <f>IF('RFQ-Input'!G517="","",'RFQ-Input'!G517)</f>
        <v/>
      </c>
      <c r="H518" s="7" t="str">
        <f>IF('RFQ-Input'!H517="","",'RFQ-Input'!H517)</f>
        <v/>
      </c>
      <c r="I518" s="7" t="str">
        <f>IF('RFQ-Input'!I517="","",'RFQ-Input'!I517)</f>
        <v/>
      </c>
      <c r="J518" s="7" t="str">
        <f>IF('RFQ-Input'!J517="","",'RFQ-Input'!J517)</f>
        <v/>
      </c>
      <c r="K518" s="7" t="str">
        <f>IF('RFQ-Input'!K517="","",'RFQ-Input'!K517)</f>
        <v/>
      </c>
      <c r="L518" s="7" t="str">
        <f>IF('RFQ-Input'!L517="","",'RFQ-Input'!L517)</f>
        <v/>
      </c>
      <c r="M518" s="7" t="str">
        <f>IF('RFQ-Input'!M517="","",'RFQ-Input'!M517)</f>
        <v/>
      </c>
      <c r="N518" s="7" t="str">
        <f>IF('RFQ-Input'!N517="","",'RFQ-Input'!N517)</f>
        <v/>
      </c>
      <c r="O518" s="7" t="str">
        <f>IF('RFQ-Input'!O517="","",'RFQ-Input'!O517)</f>
        <v/>
      </c>
      <c r="Q518" s="7"/>
      <c r="R518" s="7"/>
      <c r="S518" s="7"/>
      <c r="T518" s="7"/>
      <c r="U518" s="7"/>
      <c r="V518" s="7"/>
      <c r="X518" s="7"/>
      <c r="Y518" s="7"/>
      <c r="Z518" s="7"/>
      <c r="AA518" s="7" t="str">
        <f t="shared" si="56"/>
        <v/>
      </c>
      <c r="AB518" s="7"/>
      <c r="AC518" s="7"/>
      <c r="AQ518" s="7" t="str">
        <f t="shared" ref="AQ518:AQ581" si="57">IFERROR(SMALL($AW518:$CT518,1),"")</f>
        <v/>
      </c>
      <c r="AR518" s="7" t="str">
        <f t="shared" ref="AR518:AR581" si="58">IF(AQ518="","",INDEX($AW$4:$CT$4,MATCH(AQ518,$AW518:$CT518,0)))</f>
        <v/>
      </c>
      <c r="AS518" s="7" t="str">
        <f t="shared" ref="AS518:AS581" si="59">IFERROR(SMALL($AW518:$CT518,2),"")</f>
        <v/>
      </c>
      <c r="AT518" s="7" t="str">
        <f t="shared" ref="AT518:AT581" si="60">IF(AS518="","",INDEX($AW$4:$CT$4,MATCH(AS518,$AW518:$CT518,0)))</f>
        <v/>
      </c>
      <c r="AU518" s="7" t="str">
        <f t="shared" ref="AU518:AU581" si="61">IFERROR(SMALL($AW518:$CT518,3),"")</f>
        <v/>
      </c>
      <c r="AV518" s="7" t="str">
        <f t="shared" ref="AV518:AV581" si="62">IF(AU518="","",INDEX($AW$4:$CT$4,MATCH(AU518,$AW518:$CT518,0)))</f>
        <v/>
      </c>
      <c r="AW518" s="7" t="str">
        <f>IF('RFQ-Input'!O517="","",'RFQ-Input'!O517)</f>
        <v/>
      </c>
      <c r="AX518" s="7" t="str">
        <f>IF('RFQ-Input'!S517="","",'RFQ-Input'!S517)</f>
        <v/>
      </c>
      <c r="AY518" s="7" t="str">
        <f>IF('RFQ-Input'!V517="","",'RFQ-Input'!V517)</f>
        <v/>
      </c>
      <c r="AZ518" s="7" t="str">
        <f>IF('RFQ-Input'!Y517="","",'RFQ-Input'!Y517)</f>
        <v/>
      </c>
      <c r="BA518" s="7" t="str">
        <f>IF('RFQ-Input'!AB517="","",'RFQ-Input'!AB517)</f>
        <v/>
      </c>
    </row>
    <row r="519" spans="1:53">
      <c r="A519" s="20">
        <v>515</v>
      </c>
      <c r="B519" s="7"/>
      <c r="C519" s="7" t="str">
        <f>IF('RFQ-Input'!C518="","",'RFQ-Input'!C518)</f>
        <v/>
      </c>
      <c r="D519" s="7" t="str">
        <f>IF('RFQ-Input'!D518="","",'RFQ-Input'!D518)</f>
        <v/>
      </c>
      <c r="E519" s="7" t="str">
        <f>IF('RFQ-Input'!E518="","",'RFQ-Input'!E518)</f>
        <v/>
      </c>
      <c r="F519" s="7" t="str">
        <f>IF('RFQ-Input'!F518="","",'RFQ-Input'!F518)</f>
        <v/>
      </c>
      <c r="G519" s="7" t="str">
        <f>IF('RFQ-Input'!G518="","",'RFQ-Input'!G518)</f>
        <v/>
      </c>
      <c r="H519" s="7" t="str">
        <f>IF('RFQ-Input'!H518="","",'RFQ-Input'!H518)</f>
        <v/>
      </c>
      <c r="I519" s="7" t="str">
        <f>IF('RFQ-Input'!I518="","",'RFQ-Input'!I518)</f>
        <v/>
      </c>
      <c r="J519" s="7" t="str">
        <f>IF('RFQ-Input'!J518="","",'RFQ-Input'!J518)</f>
        <v/>
      </c>
      <c r="K519" s="7" t="str">
        <f>IF('RFQ-Input'!K518="","",'RFQ-Input'!K518)</f>
        <v/>
      </c>
      <c r="L519" s="7" t="str">
        <f>IF('RFQ-Input'!L518="","",'RFQ-Input'!L518)</f>
        <v/>
      </c>
      <c r="M519" s="7" t="str">
        <f>IF('RFQ-Input'!M518="","",'RFQ-Input'!M518)</f>
        <v/>
      </c>
      <c r="N519" s="7" t="str">
        <f>IF('RFQ-Input'!N518="","",'RFQ-Input'!N518)</f>
        <v/>
      </c>
      <c r="O519" s="7" t="str">
        <f>IF('RFQ-Input'!O518="","",'RFQ-Input'!O518)</f>
        <v/>
      </c>
      <c r="Q519" s="7"/>
      <c r="R519" s="7"/>
      <c r="S519" s="7"/>
      <c r="T519" s="7"/>
      <c r="U519" s="7"/>
      <c r="V519" s="7"/>
      <c r="X519" s="7"/>
      <c r="Y519" s="7"/>
      <c r="Z519" s="7"/>
      <c r="AA519" s="7" t="str">
        <f t="shared" si="56"/>
        <v/>
      </c>
      <c r="AB519" s="7"/>
      <c r="AC519" s="7"/>
      <c r="AQ519" s="7" t="str">
        <f t="shared" si="57"/>
        <v/>
      </c>
      <c r="AR519" s="7" t="str">
        <f t="shared" si="58"/>
        <v/>
      </c>
      <c r="AS519" s="7" t="str">
        <f t="shared" si="59"/>
        <v/>
      </c>
      <c r="AT519" s="7" t="str">
        <f t="shared" si="60"/>
        <v/>
      </c>
      <c r="AU519" s="7" t="str">
        <f t="shared" si="61"/>
        <v/>
      </c>
      <c r="AV519" s="7" t="str">
        <f t="shared" si="62"/>
        <v/>
      </c>
      <c r="AW519" s="7" t="str">
        <f>IF('RFQ-Input'!O518="","",'RFQ-Input'!O518)</f>
        <v/>
      </c>
      <c r="AX519" s="7" t="str">
        <f>IF('RFQ-Input'!S518="","",'RFQ-Input'!S518)</f>
        <v/>
      </c>
      <c r="AY519" s="7" t="str">
        <f>IF('RFQ-Input'!V518="","",'RFQ-Input'!V518)</f>
        <v/>
      </c>
      <c r="AZ519" s="7" t="str">
        <f>IF('RFQ-Input'!Y518="","",'RFQ-Input'!Y518)</f>
        <v/>
      </c>
      <c r="BA519" s="7" t="str">
        <f>IF('RFQ-Input'!AB518="","",'RFQ-Input'!AB518)</f>
        <v/>
      </c>
    </row>
    <row r="520" spans="1:53">
      <c r="A520" s="20">
        <v>516</v>
      </c>
      <c r="B520" s="7"/>
      <c r="C520" s="7" t="str">
        <f>IF('RFQ-Input'!C519="","",'RFQ-Input'!C519)</f>
        <v/>
      </c>
      <c r="D520" s="7" t="str">
        <f>IF('RFQ-Input'!D519="","",'RFQ-Input'!D519)</f>
        <v/>
      </c>
      <c r="E520" s="7" t="str">
        <f>IF('RFQ-Input'!E519="","",'RFQ-Input'!E519)</f>
        <v/>
      </c>
      <c r="F520" s="7" t="str">
        <f>IF('RFQ-Input'!F519="","",'RFQ-Input'!F519)</f>
        <v/>
      </c>
      <c r="G520" s="7" t="str">
        <f>IF('RFQ-Input'!G519="","",'RFQ-Input'!G519)</f>
        <v/>
      </c>
      <c r="H520" s="7" t="str">
        <f>IF('RFQ-Input'!H519="","",'RFQ-Input'!H519)</f>
        <v/>
      </c>
      <c r="I520" s="7" t="str">
        <f>IF('RFQ-Input'!I519="","",'RFQ-Input'!I519)</f>
        <v/>
      </c>
      <c r="J520" s="7" t="str">
        <f>IF('RFQ-Input'!J519="","",'RFQ-Input'!J519)</f>
        <v/>
      </c>
      <c r="K520" s="7" t="str">
        <f>IF('RFQ-Input'!K519="","",'RFQ-Input'!K519)</f>
        <v/>
      </c>
      <c r="L520" s="7" t="str">
        <f>IF('RFQ-Input'!L519="","",'RFQ-Input'!L519)</f>
        <v/>
      </c>
      <c r="M520" s="7" t="str">
        <f>IF('RFQ-Input'!M519="","",'RFQ-Input'!M519)</f>
        <v/>
      </c>
      <c r="N520" s="7" t="str">
        <f>IF('RFQ-Input'!N519="","",'RFQ-Input'!N519)</f>
        <v/>
      </c>
      <c r="O520" s="7" t="str">
        <f>IF('RFQ-Input'!O519="","",'RFQ-Input'!O519)</f>
        <v/>
      </c>
      <c r="Q520" s="7"/>
      <c r="R520" s="7"/>
      <c r="S520" s="7"/>
      <c r="T520" s="7"/>
      <c r="U520" s="7"/>
      <c r="V520" s="7"/>
      <c r="X520" s="7"/>
      <c r="Y520" s="7"/>
      <c r="Z520" s="7"/>
      <c r="AA520" s="7" t="str">
        <f t="shared" si="56"/>
        <v/>
      </c>
      <c r="AB520" s="7"/>
      <c r="AC520" s="7"/>
      <c r="AQ520" s="7" t="str">
        <f t="shared" si="57"/>
        <v/>
      </c>
      <c r="AR520" s="7" t="str">
        <f t="shared" si="58"/>
        <v/>
      </c>
      <c r="AS520" s="7" t="str">
        <f t="shared" si="59"/>
        <v/>
      </c>
      <c r="AT520" s="7" t="str">
        <f t="shared" si="60"/>
        <v/>
      </c>
      <c r="AU520" s="7" t="str">
        <f t="shared" si="61"/>
        <v/>
      </c>
      <c r="AV520" s="7" t="str">
        <f t="shared" si="62"/>
        <v/>
      </c>
      <c r="AW520" s="7" t="str">
        <f>IF('RFQ-Input'!O519="","",'RFQ-Input'!O519)</f>
        <v/>
      </c>
      <c r="AX520" s="7" t="str">
        <f>IF('RFQ-Input'!S519="","",'RFQ-Input'!S519)</f>
        <v/>
      </c>
      <c r="AY520" s="7" t="str">
        <f>IF('RFQ-Input'!V519="","",'RFQ-Input'!V519)</f>
        <v/>
      </c>
      <c r="AZ520" s="7" t="str">
        <f>IF('RFQ-Input'!Y519="","",'RFQ-Input'!Y519)</f>
        <v/>
      </c>
      <c r="BA520" s="7" t="str">
        <f>IF('RFQ-Input'!AB519="","",'RFQ-Input'!AB519)</f>
        <v/>
      </c>
    </row>
    <row r="521" spans="1:53">
      <c r="A521" s="20">
        <v>517</v>
      </c>
      <c r="B521" s="7"/>
      <c r="C521" s="7" t="str">
        <f>IF('RFQ-Input'!C520="","",'RFQ-Input'!C520)</f>
        <v/>
      </c>
      <c r="D521" s="7" t="str">
        <f>IF('RFQ-Input'!D520="","",'RFQ-Input'!D520)</f>
        <v/>
      </c>
      <c r="E521" s="7" t="str">
        <f>IF('RFQ-Input'!E520="","",'RFQ-Input'!E520)</f>
        <v/>
      </c>
      <c r="F521" s="7" t="str">
        <f>IF('RFQ-Input'!F520="","",'RFQ-Input'!F520)</f>
        <v/>
      </c>
      <c r="G521" s="7" t="str">
        <f>IF('RFQ-Input'!G520="","",'RFQ-Input'!G520)</f>
        <v/>
      </c>
      <c r="H521" s="7" t="str">
        <f>IF('RFQ-Input'!H520="","",'RFQ-Input'!H520)</f>
        <v/>
      </c>
      <c r="I521" s="7" t="str">
        <f>IF('RFQ-Input'!I520="","",'RFQ-Input'!I520)</f>
        <v/>
      </c>
      <c r="J521" s="7" t="str">
        <f>IF('RFQ-Input'!J520="","",'RFQ-Input'!J520)</f>
        <v/>
      </c>
      <c r="K521" s="7" t="str">
        <f>IF('RFQ-Input'!K520="","",'RFQ-Input'!K520)</f>
        <v/>
      </c>
      <c r="L521" s="7" t="str">
        <f>IF('RFQ-Input'!L520="","",'RFQ-Input'!L520)</f>
        <v/>
      </c>
      <c r="M521" s="7" t="str">
        <f>IF('RFQ-Input'!M520="","",'RFQ-Input'!M520)</f>
        <v/>
      </c>
      <c r="N521" s="7" t="str">
        <f>IF('RFQ-Input'!N520="","",'RFQ-Input'!N520)</f>
        <v/>
      </c>
      <c r="O521" s="7" t="str">
        <f>IF('RFQ-Input'!O520="","",'RFQ-Input'!O520)</f>
        <v/>
      </c>
      <c r="Q521" s="7"/>
      <c r="R521" s="7"/>
      <c r="S521" s="7"/>
      <c r="T521" s="7"/>
      <c r="U521" s="7"/>
      <c r="V521" s="7"/>
      <c r="X521" s="7"/>
      <c r="Y521" s="7"/>
      <c r="Z521" s="7"/>
      <c r="AA521" s="7" t="str">
        <f t="shared" si="56"/>
        <v/>
      </c>
      <c r="AB521" s="7"/>
      <c r="AC521" s="7"/>
      <c r="AQ521" s="7" t="str">
        <f t="shared" si="57"/>
        <v/>
      </c>
      <c r="AR521" s="7" t="str">
        <f t="shared" si="58"/>
        <v/>
      </c>
      <c r="AS521" s="7" t="str">
        <f t="shared" si="59"/>
        <v/>
      </c>
      <c r="AT521" s="7" t="str">
        <f t="shared" si="60"/>
        <v/>
      </c>
      <c r="AU521" s="7" t="str">
        <f t="shared" si="61"/>
        <v/>
      </c>
      <c r="AV521" s="7" t="str">
        <f t="shared" si="62"/>
        <v/>
      </c>
      <c r="AW521" s="7" t="str">
        <f>IF('RFQ-Input'!O520="","",'RFQ-Input'!O520)</f>
        <v/>
      </c>
      <c r="AX521" s="7" t="str">
        <f>IF('RFQ-Input'!S520="","",'RFQ-Input'!S520)</f>
        <v/>
      </c>
      <c r="AY521" s="7" t="str">
        <f>IF('RFQ-Input'!V520="","",'RFQ-Input'!V520)</f>
        <v/>
      </c>
      <c r="AZ521" s="7" t="str">
        <f>IF('RFQ-Input'!Y520="","",'RFQ-Input'!Y520)</f>
        <v/>
      </c>
      <c r="BA521" s="7" t="str">
        <f>IF('RFQ-Input'!AB520="","",'RFQ-Input'!AB520)</f>
        <v/>
      </c>
    </row>
    <row r="522" spans="1:53">
      <c r="A522" s="20">
        <v>518</v>
      </c>
      <c r="B522" s="7"/>
      <c r="C522" s="7" t="str">
        <f>IF('RFQ-Input'!C521="","",'RFQ-Input'!C521)</f>
        <v/>
      </c>
      <c r="D522" s="7" t="str">
        <f>IF('RFQ-Input'!D521="","",'RFQ-Input'!D521)</f>
        <v/>
      </c>
      <c r="E522" s="7" t="str">
        <f>IF('RFQ-Input'!E521="","",'RFQ-Input'!E521)</f>
        <v/>
      </c>
      <c r="F522" s="7" t="str">
        <f>IF('RFQ-Input'!F521="","",'RFQ-Input'!F521)</f>
        <v/>
      </c>
      <c r="G522" s="7" t="str">
        <f>IF('RFQ-Input'!G521="","",'RFQ-Input'!G521)</f>
        <v/>
      </c>
      <c r="H522" s="7" t="str">
        <f>IF('RFQ-Input'!H521="","",'RFQ-Input'!H521)</f>
        <v/>
      </c>
      <c r="I522" s="7" t="str">
        <f>IF('RFQ-Input'!I521="","",'RFQ-Input'!I521)</f>
        <v/>
      </c>
      <c r="J522" s="7" t="str">
        <f>IF('RFQ-Input'!J521="","",'RFQ-Input'!J521)</f>
        <v/>
      </c>
      <c r="K522" s="7" t="str">
        <f>IF('RFQ-Input'!K521="","",'RFQ-Input'!K521)</f>
        <v/>
      </c>
      <c r="L522" s="7" t="str">
        <f>IF('RFQ-Input'!L521="","",'RFQ-Input'!L521)</f>
        <v/>
      </c>
      <c r="M522" s="7" t="str">
        <f>IF('RFQ-Input'!M521="","",'RFQ-Input'!M521)</f>
        <v/>
      </c>
      <c r="N522" s="7" t="str">
        <f>IF('RFQ-Input'!N521="","",'RFQ-Input'!N521)</f>
        <v/>
      </c>
      <c r="O522" s="7" t="str">
        <f>IF('RFQ-Input'!O521="","",'RFQ-Input'!O521)</f>
        <v/>
      </c>
      <c r="Q522" s="7"/>
      <c r="R522" s="7"/>
      <c r="S522" s="7"/>
      <c r="T522" s="7"/>
      <c r="U522" s="7"/>
      <c r="V522" s="7"/>
      <c r="X522" s="7"/>
      <c r="Y522" s="7"/>
      <c r="Z522" s="7"/>
      <c r="AA522" s="7" t="str">
        <f t="shared" si="56"/>
        <v/>
      </c>
      <c r="AB522" s="7"/>
      <c r="AC522" s="7"/>
      <c r="AQ522" s="7" t="str">
        <f t="shared" si="57"/>
        <v/>
      </c>
      <c r="AR522" s="7" t="str">
        <f t="shared" si="58"/>
        <v/>
      </c>
      <c r="AS522" s="7" t="str">
        <f t="shared" si="59"/>
        <v/>
      </c>
      <c r="AT522" s="7" t="str">
        <f t="shared" si="60"/>
        <v/>
      </c>
      <c r="AU522" s="7" t="str">
        <f t="shared" si="61"/>
        <v/>
      </c>
      <c r="AV522" s="7" t="str">
        <f t="shared" si="62"/>
        <v/>
      </c>
      <c r="AW522" s="7" t="str">
        <f>IF('RFQ-Input'!O521="","",'RFQ-Input'!O521)</f>
        <v/>
      </c>
      <c r="AX522" s="7" t="str">
        <f>IF('RFQ-Input'!S521="","",'RFQ-Input'!S521)</f>
        <v/>
      </c>
      <c r="AY522" s="7" t="str">
        <f>IF('RFQ-Input'!V521="","",'RFQ-Input'!V521)</f>
        <v/>
      </c>
      <c r="AZ522" s="7" t="str">
        <f>IF('RFQ-Input'!Y521="","",'RFQ-Input'!Y521)</f>
        <v/>
      </c>
      <c r="BA522" s="7" t="str">
        <f>IF('RFQ-Input'!AB521="","",'RFQ-Input'!AB521)</f>
        <v/>
      </c>
    </row>
    <row r="523" spans="1:53">
      <c r="A523" s="20">
        <v>519</v>
      </c>
      <c r="B523" s="7"/>
      <c r="C523" s="7" t="str">
        <f>IF('RFQ-Input'!C522="","",'RFQ-Input'!C522)</f>
        <v/>
      </c>
      <c r="D523" s="7" t="str">
        <f>IF('RFQ-Input'!D522="","",'RFQ-Input'!D522)</f>
        <v/>
      </c>
      <c r="E523" s="7" t="str">
        <f>IF('RFQ-Input'!E522="","",'RFQ-Input'!E522)</f>
        <v/>
      </c>
      <c r="F523" s="7" t="str">
        <f>IF('RFQ-Input'!F522="","",'RFQ-Input'!F522)</f>
        <v/>
      </c>
      <c r="G523" s="7" t="str">
        <f>IF('RFQ-Input'!G522="","",'RFQ-Input'!G522)</f>
        <v/>
      </c>
      <c r="H523" s="7" t="str">
        <f>IF('RFQ-Input'!H522="","",'RFQ-Input'!H522)</f>
        <v/>
      </c>
      <c r="I523" s="7" t="str">
        <f>IF('RFQ-Input'!I522="","",'RFQ-Input'!I522)</f>
        <v/>
      </c>
      <c r="J523" s="7" t="str">
        <f>IF('RFQ-Input'!J522="","",'RFQ-Input'!J522)</f>
        <v/>
      </c>
      <c r="K523" s="7" t="str">
        <f>IF('RFQ-Input'!K522="","",'RFQ-Input'!K522)</f>
        <v/>
      </c>
      <c r="L523" s="7" t="str">
        <f>IF('RFQ-Input'!L522="","",'RFQ-Input'!L522)</f>
        <v/>
      </c>
      <c r="M523" s="7" t="str">
        <f>IF('RFQ-Input'!M522="","",'RFQ-Input'!M522)</f>
        <v/>
      </c>
      <c r="N523" s="7" t="str">
        <f>IF('RFQ-Input'!N522="","",'RFQ-Input'!N522)</f>
        <v/>
      </c>
      <c r="O523" s="7" t="str">
        <f>IF('RFQ-Input'!O522="","",'RFQ-Input'!O522)</f>
        <v/>
      </c>
      <c r="Q523" s="7"/>
      <c r="R523" s="7"/>
      <c r="S523" s="7"/>
      <c r="T523" s="7"/>
      <c r="U523" s="7"/>
      <c r="V523" s="7"/>
      <c r="X523" s="7"/>
      <c r="Y523" s="7"/>
      <c r="Z523" s="7"/>
      <c r="AA523" s="7" t="str">
        <f t="shared" si="56"/>
        <v/>
      </c>
      <c r="AB523" s="7"/>
      <c r="AC523" s="7"/>
      <c r="AQ523" s="7" t="str">
        <f t="shared" si="57"/>
        <v/>
      </c>
      <c r="AR523" s="7" t="str">
        <f t="shared" si="58"/>
        <v/>
      </c>
      <c r="AS523" s="7" t="str">
        <f t="shared" si="59"/>
        <v/>
      </c>
      <c r="AT523" s="7" t="str">
        <f t="shared" si="60"/>
        <v/>
      </c>
      <c r="AU523" s="7" t="str">
        <f t="shared" si="61"/>
        <v/>
      </c>
      <c r="AV523" s="7" t="str">
        <f t="shared" si="62"/>
        <v/>
      </c>
      <c r="AW523" s="7" t="str">
        <f>IF('RFQ-Input'!O522="","",'RFQ-Input'!O522)</f>
        <v/>
      </c>
      <c r="AX523" s="7" t="str">
        <f>IF('RFQ-Input'!S522="","",'RFQ-Input'!S522)</f>
        <v/>
      </c>
      <c r="AY523" s="7" t="str">
        <f>IF('RFQ-Input'!V522="","",'RFQ-Input'!V522)</f>
        <v/>
      </c>
      <c r="AZ523" s="7" t="str">
        <f>IF('RFQ-Input'!Y522="","",'RFQ-Input'!Y522)</f>
        <v/>
      </c>
      <c r="BA523" s="7" t="str">
        <f>IF('RFQ-Input'!AB522="","",'RFQ-Input'!AB522)</f>
        <v/>
      </c>
    </row>
    <row r="524" spans="1:53">
      <c r="A524" s="20">
        <v>520</v>
      </c>
      <c r="B524" s="7"/>
      <c r="C524" s="7" t="str">
        <f>IF('RFQ-Input'!C523="","",'RFQ-Input'!C523)</f>
        <v/>
      </c>
      <c r="D524" s="7" t="str">
        <f>IF('RFQ-Input'!D523="","",'RFQ-Input'!D523)</f>
        <v/>
      </c>
      <c r="E524" s="7" t="str">
        <f>IF('RFQ-Input'!E523="","",'RFQ-Input'!E523)</f>
        <v/>
      </c>
      <c r="F524" s="7" t="str">
        <f>IF('RFQ-Input'!F523="","",'RFQ-Input'!F523)</f>
        <v/>
      </c>
      <c r="G524" s="7" t="str">
        <f>IF('RFQ-Input'!G523="","",'RFQ-Input'!G523)</f>
        <v/>
      </c>
      <c r="H524" s="7" t="str">
        <f>IF('RFQ-Input'!H523="","",'RFQ-Input'!H523)</f>
        <v/>
      </c>
      <c r="I524" s="7" t="str">
        <f>IF('RFQ-Input'!I523="","",'RFQ-Input'!I523)</f>
        <v/>
      </c>
      <c r="J524" s="7" t="str">
        <f>IF('RFQ-Input'!J523="","",'RFQ-Input'!J523)</f>
        <v/>
      </c>
      <c r="K524" s="7" t="str">
        <f>IF('RFQ-Input'!K523="","",'RFQ-Input'!K523)</f>
        <v/>
      </c>
      <c r="L524" s="7" t="str">
        <f>IF('RFQ-Input'!L523="","",'RFQ-Input'!L523)</f>
        <v/>
      </c>
      <c r="M524" s="7" t="str">
        <f>IF('RFQ-Input'!M523="","",'RFQ-Input'!M523)</f>
        <v/>
      </c>
      <c r="N524" s="7" t="str">
        <f>IF('RFQ-Input'!N523="","",'RFQ-Input'!N523)</f>
        <v/>
      </c>
      <c r="O524" s="7" t="str">
        <f>IF('RFQ-Input'!O523="","",'RFQ-Input'!O523)</f>
        <v/>
      </c>
      <c r="Q524" s="7"/>
      <c r="R524" s="7"/>
      <c r="S524" s="7"/>
      <c r="T524" s="7"/>
      <c r="U524" s="7"/>
      <c r="V524" s="7"/>
      <c r="X524" s="7"/>
      <c r="Y524" s="7"/>
      <c r="Z524" s="7"/>
      <c r="AA524" s="7" t="str">
        <f t="shared" si="56"/>
        <v/>
      </c>
      <c r="AB524" s="7"/>
      <c r="AC524" s="7"/>
      <c r="AQ524" s="7" t="str">
        <f t="shared" si="57"/>
        <v/>
      </c>
      <c r="AR524" s="7" t="str">
        <f t="shared" si="58"/>
        <v/>
      </c>
      <c r="AS524" s="7" t="str">
        <f t="shared" si="59"/>
        <v/>
      </c>
      <c r="AT524" s="7" t="str">
        <f t="shared" si="60"/>
        <v/>
      </c>
      <c r="AU524" s="7" t="str">
        <f t="shared" si="61"/>
        <v/>
      </c>
      <c r="AV524" s="7" t="str">
        <f t="shared" si="62"/>
        <v/>
      </c>
      <c r="AW524" s="7" t="str">
        <f>IF('RFQ-Input'!O523="","",'RFQ-Input'!O523)</f>
        <v/>
      </c>
      <c r="AX524" s="7" t="str">
        <f>IF('RFQ-Input'!S523="","",'RFQ-Input'!S523)</f>
        <v/>
      </c>
      <c r="AY524" s="7" t="str">
        <f>IF('RFQ-Input'!V523="","",'RFQ-Input'!V523)</f>
        <v/>
      </c>
      <c r="AZ524" s="7" t="str">
        <f>IF('RFQ-Input'!Y523="","",'RFQ-Input'!Y523)</f>
        <v/>
      </c>
      <c r="BA524" s="7" t="str">
        <f>IF('RFQ-Input'!AB523="","",'RFQ-Input'!AB523)</f>
        <v/>
      </c>
    </row>
    <row r="525" spans="1:53">
      <c r="A525" s="20">
        <v>521</v>
      </c>
      <c r="B525" s="7"/>
      <c r="C525" s="7" t="str">
        <f>IF('RFQ-Input'!C524="","",'RFQ-Input'!C524)</f>
        <v/>
      </c>
      <c r="D525" s="7" t="str">
        <f>IF('RFQ-Input'!D524="","",'RFQ-Input'!D524)</f>
        <v/>
      </c>
      <c r="E525" s="7" t="str">
        <f>IF('RFQ-Input'!E524="","",'RFQ-Input'!E524)</f>
        <v/>
      </c>
      <c r="F525" s="7" t="str">
        <f>IF('RFQ-Input'!F524="","",'RFQ-Input'!F524)</f>
        <v/>
      </c>
      <c r="G525" s="7" t="str">
        <f>IF('RFQ-Input'!G524="","",'RFQ-Input'!G524)</f>
        <v/>
      </c>
      <c r="H525" s="7" t="str">
        <f>IF('RFQ-Input'!H524="","",'RFQ-Input'!H524)</f>
        <v/>
      </c>
      <c r="I525" s="7" t="str">
        <f>IF('RFQ-Input'!I524="","",'RFQ-Input'!I524)</f>
        <v/>
      </c>
      <c r="J525" s="7" t="str">
        <f>IF('RFQ-Input'!J524="","",'RFQ-Input'!J524)</f>
        <v/>
      </c>
      <c r="K525" s="7" t="str">
        <f>IF('RFQ-Input'!K524="","",'RFQ-Input'!K524)</f>
        <v/>
      </c>
      <c r="L525" s="7" t="str">
        <f>IF('RFQ-Input'!L524="","",'RFQ-Input'!L524)</f>
        <v/>
      </c>
      <c r="M525" s="7" t="str">
        <f>IF('RFQ-Input'!M524="","",'RFQ-Input'!M524)</f>
        <v/>
      </c>
      <c r="N525" s="7" t="str">
        <f>IF('RFQ-Input'!N524="","",'RFQ-Input'!N524)</f>
        <v/>
      </c>
      <c r="O525" s="7" t="str">
        <f>IF('RFQ-Input'!O524="","",'RFQ-Input'!O524)</f>
        <v/>
      </c>
      <c r="Q525" s="7"/>
      <c r="R525" s="7"/>
      <c r="S525" s="7"/>
      <c r="T525" s="7"/>
      <c r="U525" s="7"/>
      <c r="V525" s="7"/>
      <c r="X525" s="7"/>
      <c r="Y525" s="7"/>
      <c r="Z525" s="7"/>
      <c r="AA525" s="7" t="str">
        <f t="shared" si="56"/>
        <v/>
      </c>
      <c r="AB525" s="7"/>
      <c r="AC525" s="7"/>
      <c r="AQ525" s="7" t="str">
        <f t="shared" si="57"/>
        <v/>
      </c>
      <c r="AR525" s="7" t="str">
        <f t="shared" si="58"/>
        <v/>
      </c>
      <c r="AS525" s="7" t="str">
        <f t="shared" si="59"/>
        <v/>
      </c>
      <c r="AT525" s="7" t="str">
        <f t="shared" si="60"/>
        <v/>
      </c>
      <c r="AU525" s="7" t="str">
        <f t="shared" si="61"/>
        <v/>
      </c>
      <c r="AV525" s="7" t="str">
        <f t="shared" si="62"/>
        <v/>
      </c>
      <c r="AW525" s="7" t="str">
        <f>IF('RFQ-Input'!O524="","",'RFQ-Input'!O524)</f>
        <v/>
      </c>
      <c r="AX525" s="7" t="str">
        <f>IF('RFQ-Input'!S524="","",'RFQ-Input'!S524)</f>
        <v/>
      </c>
      <c r="AY525" s="7" t="str">
        <f>IF('RFQ-Input'!V524="","",'RFQ-Input'!V524)</f>
        <v/>
      </c>
      <c r="AZ525" s="7" t="str">
        <f>IF('RFQ-Input'!Y524="","",'RFQ-Input'!Y524)</f>
        <v/>
      </c>
      <c r="BA525" s="7" t="str">
        <f>IF('RFQ-Input'!AB524="","",'RFQ-Input'!AB524)</f>
        <v/>
      </c>
    </row>
    <row r="526" spans="1:53">
      <c r="A526" s="20">
        <v>522</v>
      </c>
      <c r="B526" s="7"/>
      <c r="C526" s="7" t="str">
        <f>IF('RFQ-Input'!C525="","",'RFQ-Input'!C525)</f>
        <v/>
      </c>
      <c r="D526" s="7" t="str">
        <f>IF('RFQ-Input'!D525="","",'RFQ-Input'!D525)</f>
        <v/>
      </c>
      <c r="E526" s="7" t="str">
        <f>IF('RFQ-Input'!E525="","",'RFQ-Input'!E525)</f>
        <v/>
      </c>
      <c r="F526" s="7" t="str">
        <f>IF('RFQ-Input'!F525="","",'RFQ-Input'!F525)</f>
        <v/>
      </c>
      <c r="G526" s="7" t="str">
        <f>IF('RFQ-Input'!G525="","",'RFQ-Input'!G525)</f>
        <v/>
      </c>
      <c r="H526" s="7" t="str">
        <f>IF('RFQ-Input'!H525="","",'RFQ-Input'!H525)</f>
        <v/>
      </c>
      <c r="I526" s="7" t="str">
        <f>IF('RFQ-Input'!I525="","",'RFQ-Input'!I525)</f>
        <v/>
      </c>
      <c r="J526" s="7" t="str">
        <f>IF('RFQ-Input'!J525="","",'RFQ-Input'!J525)</f>
        <v/>
      </c>
      <c r="K526" s="7" t="str">
        <f>IF('RFQ-Input'!K525="","",'RFQ-Input'!K525)</f>
        <v/>
      </c>
      <c r="L526" s="7" t="str">
        <f>IF('RFQ-Input'!L525="","",'RFQ-Input'!L525)</f>
        <v/>
      </c>
      <c r="M526" s="7" t="str">
        <f>IF('RFQ-Input'!M525="","",'RFQ-Input'!M525)</f>
        <v/>
      </c>
      <c r="N526" s="7" t="str">
        <f>IF('RFQ-Input'!N525="","",'RFQ-Input'!N525)</f>
        <v/>
      </c>
      <c r="O526" s="7" t="str">
        <f>IF('RFQ-Input'!O525="","",'RFQ-Input'!O525)</f>
        <v/>
      </c>
      <c r="Q526" s="7"/>
      <c r="R526" s="7"/>
      <c r="S526" s="7"/>
      <c r="T526" s="7"/>
      <c r="U526" s="7"/>
      <c r="V526" s="7"/>
      <c r="X526" s="7"/>
      <c r="Y526" s="7"/>
      <c r="Z526" s="7"/>
      <c r="AA526" s="7" t="str">
        <f t="shared" si="56"/>
        <v/>
      </c>
      <c r="AB526" s="7"/>
      <c r="AC526" s="7"/>
      <c r="AQ526" s="7" t="str">
        <f t="shared" si="57"/>
        <v/>
      </c>
      <c r="AR526" s="7" t="str">
        <f t="shared" si="58"/>
        <v/>
      </c>
      <c r="AS526" s="7" t="str">
        <f t="shared" si="59"/>
        <v/>
      </c>
      <c r="AT526" s="7" t="str">
        <f t="shared" si="60"/>
        <v/>
      </c>
      <c r="AU526" s="7" t="str">
        <f t="shared" si="61"/>
        <v/>
      </c>
      <c r="AV526" s="7" t="str">
        <f t="shared" si="62"/>
        <v/>
      </c>
      <c r="AW526" s="7" t="str">
        <f>IF('RFQ-Input'!O525="","",'RFQ-Input'!O525)</f>
        <v/>
      </c>
      <c r="AX526" s="7" t="str">
        <f>IF('RFQ-Input'!S525="","",'RFQ-Input'!S525)</f>
        <v/>
      </c>
      <c r="AY526" s="7" t="str">
        <f>IF('RFQ-Input'!V525="","",'RFQ-Input'!V525)</f>
        <v/>
      </c>
      <c r="AZ526" s="7" t="str">
        <f>IF('RFQ-Input'!Y525="","",'RFQ-Input'!Y525)</f>
        <v/>
      </c>
      <c r="BA526" s="7" t="str">
        <f>IF('RFQ-Input'!AB525="","",'RFQ-Input'!AB525)</f>
        <v/>
      </c>
    </row>
    <row r="527" spans="1:53">
      <c r="A527" s="20">
        <v>523</v>
      </c>
      <c r="B527" s="7"/>
      <c r="C527" s="7" t="str">
        <f>IF('RFQ-Input'!C526="","",'RFQ-Input'!C526)</f>
        <v/>
      </c>
      <c r="D527" s="7" t="str">
        <f>IF('RFQ-Input'!D526="","",'RFQ-Input'!D526)</f>
        <v/>
      </c>
      <c r="E527" s="7" t="str">
        <f>IF('RFQ-Input'!E526="","",'RFQ-Input'!E526)</f>
        <v/>
      </c>
      <c r="F527" s="7" t="str">
        <f>IF('RFQ-Input'!F526="","",'RFQ-Input'!F526)</f>
        <v/>
      </c>
      <c r="G527" s="7" t="str">
        <f>IF('RFQ-Input'!G526="","",'RFQ-Input'!G526)</f>
        <v/>
      </c>
      <c r="H527" s="7" t="str">
        <f>IF('RFQ-Input'!H526="","",'RFQ-Input'!H526)</f>
        <v/>
      </c>
      <c r="I527" s="7" t="str">
        <f>IF('RFQ-Input'!I526="","",'RFQ-Input'!I526)</f>
        <v/>
      </c>
      <c r="J527" s="7" t="str">
        <f>IF('RFQ-Input'!J526="","",'RFQ-Input'!J526)</f>
        <v/>
      </c>
      <c r="K527" s="7" t="str">
        <f>IF('RFQ-Input'!K526="","",'RFQ-Input'!K526)</f>
        <v/>
      </c>
      <c r="L527" s="7" t="str">
        <f>IF('RFQ-Input'!L526="","",'RFQ-Input'!L526)</f>
        <v/>
      </c>
      <c r="M527" s="7" t="str">
        <f>IF('RFQ-Input'!M526="","",'RFQ-Input'!M526)</f>
        <v/>
      </c>
      <c r="N527" s="7" t="str">
        <f>IF('RFQ-Input'!N526="","",'RFQ-Input'!N526)</f>
        <v/>
      </c>
      <c r="O527" s="7" t="str">
        <f>IF('RFQ-Input'!O526="","",'RFQ-Input'!O526)</f>
        <v/>
      </c>
      <c r="Q527" s="7"/>
      <c r="R527" s="7"/>
      <c r="S527" s="7"/>
      <c r="T527" s="7"/>
      <c r="U527" s="7"/>
      <c r="V527" s="7"/>
      <c r="X527" s="7"/>
      <c r="Y527" s="7"/>
      <c r="Z527" s="7"/>
      <c r="AA527" s="7" t="str">
        <f t="shared" si="56"/>
        <v/>
      </c>
      <c r="AB527" s="7"/>
      <c r="AC527" s="7"/>
      <c r="AQ527" s="7" t="str">
        <f t="shared" si="57"/>
        <v/>
      </c>
      <c r="AR527" s="7" t="str">
        <f t="shared" si="58"/>
        <v/>
      </c>
      <c r="AS527" s="7" t="str">
        <f t="shared" si="59"/>
        <v/>
      </c>
      <c r="AT527" s="7" t="str">
        <f t="shared" si="60"/>
        <v/>
      </c>
      <c r="AU527" s="7" t="str">
        <f t="shared" si="61"/>
        <v/>
      </c>
      <c r="AV527" s="7" t="str">
        <f t="shared" si="62"/>
        <v/>
      </c>
      <c r="AW527" s="7" t="str">
        <f>IF('RFQ-Input'!O526="","",'RFQ-Input'!O526)</f>
        <v/>
      </c>
      <c r="AX527" s="7" t="str">
        <f>IF('RFQ-Input'!S526="","",'RFQ-Input'!S526)</f>
        <v/>
      </c>
      <c r="AY527" s="7" t="str">
        <f>IF('RFQ-Input'!V526="","",'RFQ-Input'!V526)</f>
        <v/>
      </c>
      <c r="AZ527" s="7" t="str">
        <f>IF('RFQ-Input'!Y526="","",'RFQ-Input'!Y526)</f>
        <v/>
      </c>
      <c r="BA527" s="7" t="str">
        <f>IF('RFQ-Input'!AB526="","",'RFQ-Input'!AB526)</f>
        <v/>
      </c>
    </row>
    <row r="528" spans="1:53">
      <c r="A528" s="20">
        <v>524</v>
      </c>
      <c r="B528" s="7"/>
      <c r="C528" s="7" t="str">
        <f>IF('RFQ-Input'!C527="","",'RFQ-Input'!C527)</f>
        <v/>
      </c>
      <c r="D528" s="7" t="str">
        <f>IF('RFQ-Input'!D527="","",'RFQ-Input'!D527)</f>
        <v/>
      </c>
      <c r="E528" s="7" t="str">
        <f>IF('RFQ-Input'!E527="","",'RFQ-Input'!E527)</f>
        <v/>
      </c>
      <c r="F528" s="7" t="str">
        <f>IF('RFQ-Input'!F527="","",'RFQ-Input'!F527)</f>
        <v/>
      </c>
      <c r="G528" s="7" t="str">
        <f>IF('RFQ-Input'!G527="","",'RFQ-Input'!G527)</f>
        <v/>
      </c>
      <c r="H528" s="7" t="str">
        <f>IF('RFQ-Input'!H527="","",'RFQ-Input'!H527)</f>
        <v/>
      </c>
      <c r="I528" s="7" t="str">
        <f>IF('RFQ-Input'!I527="","",'RFQ-Input'!I527)</f>
        <v/>
      </c>
      <c r="J528" s="7" t="str">
        <f>IF('RFQ-Input'!J527="","",'RFQ-Input'!J527)</f>
        <v/>
      </c>
      <c r="K528" s="7" t="str">
        <f>IF('RFQ-Input'!K527="","",'RFQ-Input'!K527)</f>
        <v/>
      </c>
      <c r="L528" s="7" t="str">
        <f>IF('RFQ-Input'!L527="","",'RFQ-Input'!L527)</f>
        <v/>
      </c>
      <c r="M528" s="7" t="str">
        <f>IF('RFQ-Input'!M527="","",'RFQ-Input'!M527)</f>
        <v/>
      </c>
      <c r="N528" s="7" t="str">
        <f>IF('RFQ-Input'!N527="","",'RFQ-Input'!N527)</f>
        <v/>
      </c>
      <c r="O528" s="7" t="str">
        <f>IF('RFQ-Input'!O527="","",'RFQ-Input'!O527)</f>
        <v/>
      </c>
      <c r="Q528" s="7"/>
      <c r="R528" s="7"/>
      <c r="S528" s="7"/>
      <c r="T528" s="7"/>
      <c r="U528" s="7"/>
      <c r="V528" s="7"/>
      <c r="X528" s="7"/>
      <c r="Y528" s="7"/>
      <c r="Z528" s="7"/>
      <c r="AA528" s="7" t="str">
        <f t="shared" si="56"/>
        <v/>
      </c>
      <c r="AB528" s="7"/>
      <c r="AC528" s="7"/>
      <c r="AQ528" s="7" t="str">
        <f t="shared" si="57"/>
        <v/>
      </c>
      <c r="AR528" s="7" t="str">
        <f t="shared" si="58"/>
        <v/>
      </c>
      <c r="AS528" s="7" t="str">
        <f t="shared" si="59"/>
        <v/>
      </c>
      <c r="AT528" s="7" t="str">
        <f t="shared" si="60"/>
        <v/>
      </c>
      <c r="AU528" s="7" t="str">
        <f t="shared" si="61"/>
        <v/>
      </c>
      <c r="AV528" s="7" t="str">
        <f t="shared" si="62"/>
        <v/>
      </c>
      <c r="AW528" s="7" t="str">
        <f>IF('RFQ-Input'!O527="","",'RFQ-Input'!O527)</f>
        <v/>
      </c>
      <c r="AX528" s="7" t="str">
        <f>IF('RFQ-Input'!S527="","",'RFQ-Input'!S527)</f>
        <v/>
      </c>
      <c r="AY528" s="7" t="str">
        <f>IF('RFQ-Input'!V527="","",'RFQ-Input'!V527)</f>
        <v/>
      </c>
      <c r="AZ528" s="7" t="str">
        <f>IF('RFQ-Input'!Y527="","",'RFQ-Input'!Y527)</f>
        <v/>
      </c>
      <c r="BA528" s="7" t="str">
        <f>IF('RFQ-Input'!AB527="","",'RFQ-Input'!AB527)</f>
        <v/>
      </c>
    </row>
    <row r="529" spans="1:53">
      <c r="A529" s="20">
        <v>525</v>
      </c>
      <c r="B529" s="7"/>
      <c r="C529" s="7" t="str">
        <f>IF('RFQ-Input'!C528="","",'RFQ-Input'!C528)</f>
        <v/>
      </c>
      <c r="D529" s="7" t="str">
        <f>IF('RFQ-Input'!D528="","",'RFQ-Input'!D528)</f>
        <v/>
      </c>
      <c r="E529" s="7" t="str">
        <f>IF('RFQ-Input'!E528="","",'RFQ-Input'!E528)</f>
        <v/>
      </c>
      <c r="F529" s="7" t="str">
        <f>IF('RFQ-Input'!F528="","",'RFQ-Input'!F528)</f>
        <v/>
      </c>
      <c r="G529" s="7" t="str">
        <f>IF('RFQ-Input'!G528="","",'RFQ-Input'!G528)</f>
        <v/>
      </c>
      <c r="H529" s="7" t="str">
        <f>IF('RFQ-Input'!H528="","",'RFQ-Input'!H528)</f>
        <v/>
      </c>
      <c r="I529" s="7" t="str">
        <f>IF('RFQ-Input'!I528="","",'RFQ-Input'!I528)</f>
        <v/>
      </c>
      <c r="J529" s="7" t="str">
        <f>IF('RFQ-Input'!J528="","",'RFQ-Input'!J528)</f>
        <v/>
      </c>
      <c r="K529" s="7" t="str">
        <f>IF('RFQ-Input'!K528="","",'RFQ-Input'!K528)</f>
        <v/>
      </c>
      <c r="L529" s="7" t="str">
        <f>IF('RFQ-Input'!L528="","",'RFQ-Input'!L528)</f>
        <v/>
      </c>
      <c r="M529" s="7" t="str">
        <f>IF('RFQ-Input'!M528="","",'RFQ-Input'!M528)</f>
        <v/>
      </c>
      <c r="N529" s="7" t="str">
        <f>IF('RFQ-Input'!N528="","",'RFQ-Input'!N528)</f>
        <v/>
      </c>
      <c r="O529" s="7" t="str">
        <f>IF('RFQ-Input'!O528="","",'RFQ-Input'!O528)</f>
        <v/>
      </c>
      <c r="Q529" s="7"/>
      <c r="R529" s="7"/>
      <c r="S529" s="7"/>
      <c r="T529" s="7"/>
      <c r="U529" s="7"/>
      <c r="V529" s="7"/>
      <c r="X529" s="7"/>
      <c r="Y529" s="7"/>
      <c r="Z529" s="7"/>
      <c r="AA529" s="7" t="str">
        <f t="shared" si="56"/>
        <v/>
      </c>
      <c r="AB529" s="7"/>
      <c r="AC529" s="7"/>
      <c r="AQ529" s="7" t="str">
        <f t="shared" si="57"/>
        <v/>
      </c>
      <c r="AR529" s="7" t="str">
        <f t="shared" si="58"/>
        <v/>
      </c>
      <c r="AS529" s="7" t="str">
        <f t="shared" si="59"/>
        <v/>
      </c>
      <c r="AT529" s="7" t="str">
        <f t="shared" si="60"/>
        <v/>
      </c>
      <c r="AU529" s="7" t="str">
        <f t="shared" si="61"/>
        <v/>
      </c>
      <c r="AV529" s="7" t="str">
        <f t="shared" si="62"/>
        <v/>
      </c>
      <c r="AW529" s="7" t="str">
        <f>IF('RFQ-Input'!O528="","",'RFQ-Input'!O528)</f>
        <v/>
      </c>
      <c r="AX529" s="7" t="str">
        <f>IF('RFQ-Input'!S528="","",'RFQ-Input'!S528)</f>
        <v/>
      </c>
      <c r="AY529" s="7" t="str">
        <f>IF('RFQ-Input'!V528="","",'RFQ-Input'!V528)</f>
        <v/>
      </c>
      <c r="AZ529" s="7" t="str">
        <f>IF('RFQ-Input'!Y528="","",'RFQ-Input'!Y528)</f>
        <v/>
      </c>
      <c r="BA529" s="7" t="str">
        <f>IF('RFQ-Input'!AB528="","",'RFQ-Input'!AB528)</f>
        <v/>
      </c>
    </row>
    <row r="530" spans="1:53">
      <c r="A530" s="20">
        <v>526</v>
      </c>
      <c r="B530" s="7"/>
      <c r="C530" s="7" t="str">
        <f>IF('RFQ-Input'!C529="","",'RFQ-Input'!C529)</f>
        <v/>
      </c>
      <c r="D530" s="7" t="str">
        <f>IF('RFQ-Input'!D529="","",'RFQ-Input'!D529)</f>
        <v/>
      </c>
      <c r="E530" s="7" t="str">
        <f>IF('RFQ-Input'!E529="","",'RFQ-Input'!E529)</f>
        <v/>
      </c>
      <c r="F530" s="7" t="str">
        <f>IF('RFQ-Input'!F529="","",'RFQ-Input'!F529)</f>
        <v/>
      </c>
      <c r="G530" s="7" t="str">
        <f>IF('RFQ-Input'!G529="","",'RFQ-Input'!G529)</f>
        <v/>
      </c>
      <c r="H530" s="7" t="str">
        <f>IF('RFQ-Input'!H529="","",'RFQ-Input'!H529)</f>
        <v/>
      </c>
      <c r="I530" s="7" t="str">
        <f>IF('RFQ-Input'!I529="","",'RFQ-Input'!I529)</f>
        <v/>
      </c>
      <c r="J530" s="7" t="str">
        <f>IF('RFQ-Input'!J529="","",'RFQ-Input'!J529)</f>
        <v/>
      </c>
      <c r="K530" s="7" t="str">
        <f>IF('RFQ-Input'!K529="","",'RFQ-Input'!K529)</f>
        <v/>
      </c>
      <c r="L530" s="7" t="str">
        <f>IF('RFQ-Input'!L529="","",'RFQ-Input'!L529)</f>
        <v/>
      </c>
      <c r="M530" s="7" t="str">
        <f>IF('RFQ-Input'!M529="","",'RFQ-Input'!M529)</f>
        <v/>
      </c>
      <c r="N530" s="7" t="str">
        <f>IF('RFQ-Input'!N529="","",'RFQ-Input'!N529)</f>
        <v/>
      </c>
      <c r="O530" s="7" t="str">
        <f>IF('RFQ-Input'!O529="","",'RFQ-Input'!O529)</f>
        <v/>
      </c>
      <c r="Q530" s="7"/>
      <c r="R530" s="7"/>
      <c r="S530" s="7"/>
      <c r="T530" s="7"/>
      <c r="U530" s="7"/>
      <c r="V530" s="7"/>
      <c r="X530" s="7"/>
      <c r="Y530" s="7"/>
      <c r="Z530" s="7"/>
      <c r="AA530" s="7" t="str">
        <f t="shared" si="56"/>
        <v/>
      </c>
      <c r="AB530" s="7"/>
      <c r="AC530" s="7"/>
      <c r="AQ530" s="7" t="str">
        <f t="shared" si="57"/>
        <v/>
      </c>
      <c r="AR530" s="7" t="str">
        <f t="shared" si="58"/>
        <v/>
      </c>
      <c r="AS530" s="7" t="str">
        <f t="shared" si="59"/>
        <v/>
      </c>
      <c r="AT530" s="7" t="str">
        <f t="shared" si="60"/>
        <v/>
      </c>
      <c r="AU530" s="7" t="str">
        <f t="shared" si="61"/>
        <v/>
      </c>
      <c r="AV530" s="7" t="str">
        <f t="shared" si="62"/>
        <v/>
      </c>
      <c r="AW530" s="7" t="str">
        <f>IF('RFQ-Input'!O529="","",'RFQ-Input'!O529)</f>
        <v/>
      </c>
      <c r="AX530" s="7" t="str">
        <f>IF('RFQ-Input'!S529="","",'RFQ-Input'!S529)</f>
        <v/>
      </c>
      <c r="AY530" s="7" t="str">
        <f>IF('RFQ-Input'!V529="","",'RFQ-Input'!V529)</f>
        <v/>
      </c>
      <c r="AZ530" s="7" t="str">
        <f>IF('RFQ-Input'!Y529="","",'RFQ-Input'!Y529)</f>
        <v/>
      </c>
      <c r="BA530" s="7" t="str">
        <f>IF('RFQ-Input'!AB529="","",'RFQ-Input'!AB529)</f>
        <v/>
      </c>
    </row>
    <row r="531" spans="1:53">
      <c r="A531" s="20">
        <v>527</v>
      </c>
      <c r="B531" s="7"/>
      <c r="C531" s="7" t="str">
        <f>IF('RFQ-Input'!C530="","",'RFQ-Input'!C530)</f>
        <v/>
      </c>
      <c r="D531" s="7" t="str">
        <f>IF('RFQ-Input'!D530="","",'RFQ-Input'!D530)</f>
        <v/>
      </c>
      <c r="E531" s="7" t="str">
        <f>IF('RFQ-Input'!E530="","",'RFQ-Input'!E530)</f>
        <v/>
      </c>
      <c r="F531" s="7" t="str">
        <f>IF('RFQ-Input'!F530="","",'RFQ-Input'!F530)</f>
        <v/>
      </c>
      <c r="G531" s="7" t="str">
        <f>IF('RFQ-Input'!G530="","",'RFQ-Input'!G530)</f>
        <v/>
      </c>
      <c r="H531" s="7" t="str">
        <f>IF('RFQ-Input'!H530="","",'RFQ-Input'!H530)</f>
        <v/>
      </c>
      <c r="I531" s="7" t="str">
        <f>IF('RFQ-Input'!I530="","",'RFQ-Input'!I530)</f>
        <v/>
      </c>
      <c r="J531" s="7" t="str">
        <f>IF('RFQ-Input'!J530="","",'RFQ-Input'!J530)</f>
        <v/>
      </c>
      <c r="K531" s="7" t="str">
        <f>IF('RFQ-Input'!K530="","",'RFQ-Input'!K530)</f>
        <v/>
      </c>
      <c r="L531" s="7" t="str">
        <f>IF('RFQ-Input'!L530="","",'RFQ-Input'!L530)</f>
        <v/>
      </c>
      <c r="M531" s="7" t="str">
        <f>IF('RFQ-Input'!M530="","",'RFQ-Input'!M530)</f>
        <v/>
      </c>
      <c r="N531" s="7" t="str">
        <f>IF('RFQ-Input'!N530="","",'RFQ-Input'!N530)</f>
        <v/>
      </c>
      <c r="O531" s="7" t="str">
        <f>IF('RFQ-Input'!O530="","",'RFQ-Input'!O530)</f>
        <v/>
      </c>
      <c r="Q531" s="7"/>
      <c r="R531" s="7"/>
      <c r="S531" s="7"/>
      <c r="T531" s="7"/>
      <c r="U531" s="7"/>
      <c r="V531" s="7"/>
      <c r="X531" s="7"/>
      <c r="Y531" s="7"/>
      <c r="Z531" s="7"/>
      <c r="AA531" s="7" t="str">
        <f t="shared" si="56"/>
        <v/>
      </c>
      <c r="AB531" s="7"/>
      <c r="AC531" s="7"/>
      <c r="AQ531" s="7" t="str">
        <f t="shared" si="57"/>
        <v/>
      </c>
      <c r="AR531" s="7" t="str">
        <f t="shared" si="58"/>
        <v/>
      </c>
      <c r="AS531" s="7" t="str">
        <f t="shared" si="59"/>
        <v/>
      </c>
      <c r="AT531" s="7" t="str">
        <f t="shared" si="60"/>
        <v/>
      </c>
      <c r="AU531" s="7" t="str">
        <f t="shared" si="61"/>
        <v/>
      </c>
      <c r="AV531" s="7" t="str">
        <f t="shared" si="62"/>
        <v/>
      </c>
      <c r="AW531" s="7" t="str">
        <f>IF('RFQ-Input'!O530="","",'RFQ-Input'!O530)</f>
        <v/>
      </c>
      <c r="AX531" s="7" t="str">
        <f>IF('RFQ-Input'!S530="","",'RFQ-Input'!S530)</f>
        <v/>
      </c>
      <c r="AY531" s="7" t="str">
        <f>IF('RFQ-Input'!V530="","",'RFQ-Input'!V530)</f>
        <v/>
      </c>
      <c r="AZ531" s="7" t="str">
        <f>IF('RFQ-Input'!Y530="","",'RFQ-Input'!Y530)</f>
        <v/>
      </c>
      <c r="BA531" s="7" t="str">
        <f>IF('RFQ-Input'!AB530="","",'RFQ-Input'!AB530)</f>
        <v/>
      </c>
    </row>
    <row r="532" spans="1:53">
      <c r="A532" s="20">
        <v>528</v>
      </c>
      <c r="B532" s="7"/>
      <c r="C532" s="7" t="str">
        <f>IF('RFQ-Input'!C531="","",'RFQ-Input'!C531)</f>
        <v/>
      </c>
      <c r="D532" s="7" t="str">
        <f>IF('RFQ-Input'!D531="","",'RFQ-Input'!D531)</f>
        <v/>
      </c>
      <c r="E532" s="7" t="str">
        <f>IF('RFQ-Input'!E531="","",'RFQ-Input'!E531)</f>
        <v/>
      </c>
      <c r="F532" s="7" t="str">
        <f>IF('RFQ-Input'!F531="","",'RFQ-Input'!F531)</f>
        <v/>
      </c>
      <c r="G532" s="7" t="str">
        <f>IF('RFQ-Input'!G531="","",'RFQ-Input'!G531)</f>
        <v/>
      </c>
      <c r="H532" s="7" t="str">
        <f>IF('RFQ-Input'!H531="","",'RFQ-Input'!H531)</f>
        <v/>
      </c>
      <c r="I532" s="7" t="str">
        <f>IF('RFQ-Input'!I531="","",'RFQ-Input'!I531)</f>
        <v/>
      </c>
      <c r="J532" s="7" t="str">
        <f>IF('RFQ-Input'!J531="","",'RFQ-Input'!J531)</f>
        <v/>
      </c>
      <c r="K532" s="7" t="str">
        <f>IF('RFQ-Input'!K531="","",'RFQ-Input'!K531)</f>
        <v/>
      </c>
      <c r="L532" s="7" t="str">
        <f>IF('RFQ-Input'!L531="","",'RFQ-Input'!L531)</f>
        <v/>
      </c>
      <c r="M532" s="7" t="str">
        <f>IF('RFQ-Input'!M531="","",'RFQ-Input'!M531)</f>
        <v/>
      </c>
      <c r="N532" s="7" t="str">
        <f>IF('RFQ-Input'!N531="","",'RFQ-Input'!N531)</f>
        <v/>
      </c>
      <c r="O532" s="7" t="str">
        <f>IF('RFQ-Input'!O531="","",'RFQ-Input'!O531)</f>
        <v/>
      </c>
      <c r="Q532" s="7"/>
      <c r="R532" s="7"/>
      <c r="S532" s="7"/>
      <c r="T532" s="7"/>
      <c r="U532" s="7"/>
      <c r="V532" s="7"/>
      <c r="X532" s="7"/>
      <c r="Y532" s="7"/>
      <c r="Z532" s="7"/>
      <c r="AA532" s="7" t="str">
        <f t="shared" si="56"/>
        <v/>
      </c>
      <c r="AB532" s="7"/>
      <c r="AC532" s="7"/>
      <c r="AQ532" s="7" t="str">
        <f t="shared" si="57"/>
        <v/>
      </c>
      <c r="AR532" s="7" t="str">
        <f t="shared" si="58"/>
        <v/>
      </c>
      <c r="AS532" s="7" t="str">
        <f t="shared" si="59"/>
        <v/>
      </c>
      <c r="AT532" s="7" t="str">
        <f t="shared" si="60"/>
        <v/>
      </c>
      <c r="AU532" s="7" t="str">
        <f t="shared" si="61"/>
        <v/>
      </c>
      <c r="AV532" s="7" t="str">
        <f t="shared" si="62"/>
        <v/>
      </c>
      <c r="AW532" s="7" t="str">
        <f>IF('RFQ-Input'!O531="","",'RFQ-Input'!O531)</f>
        <v/>
      </c>
      <c r="AX532" s="7" t="str">
        <f>IF('RFQ-Input'!S531="","",'RFQ-Input'!S531)</f>
        <v/>
      </c>
      <c r="AY532" s="7" t="str">
        <f>IF('RFQ-Input'!V531="","",'RFQ-Input'!V531)</f>
        <v/>
      </c>
      <c r="AZ532" s="7" t="str">
        <f>IF('RFQ-Input'!Y531="","",'RFQ-Input'!Y531)</f>
        <v/>
      </c>
      <c r="BA532" s="7" t="str">
        <f>IF('RFQ-Input'!AB531="","",'RFQ-Input'!AB531)</f>
        <v/>
      </c>
    </row>
    <row r="533" spans="1:53">
      <c r="A533" s="20">
        <v>529</v>
      </c>
      <c r="B533" s="7"/>
      <c r="C533" s="7" t="str">
        <f>IF('RFQ-Input'!C532="","",'RFQ-Input'!C532)</f>
        <v/>
      </c>
      <c r="D533" s="7" t="str">
        <f>IF('RFQ-Input'!D532="","",'RFQ-Input'!D532)</f>
        <v/>
      </c>
      <c r="E533" s="7" t="str">
        <f>IF('RFQ-Input'!E532="","",'RFQ-Input'!E532)</f>
        <v/>
      </c>
      <c r="F533" s="7" t="str">
        <f>IF('RFQ-Input'!F532="","",'RFQ-Input'!F532)</f>
        <v/>
      </c>
      <c r="G533" s="7" t="str">
        <f>IF('RFQ-Input'!G532="","",'RFQ-Input'!G532)</f>
        <v/>
      </c>
      <c r="H533" s="7" t="str">
        <f>IF('RFQ-Input'!H532="","",'RFQ-Input'!H532)</f>
        <v/>
      </c>
      <c r="I533" s="7" t="str">
        <f>IF('RFQ-Input'!I532="","",'RFQ-Input'!I532)</f>
        <v/>
      </c>
      <c r="J533" s="7" t="str">
        <f>IF('RFQ-Input'!J532="","",'RFQ-Input'!J532)</f>
        <v/>
      </c>
      <c r="K533" s="7" t="str">
        <f>IF('RFQ-Input'!K532="","",'RFQ-Input'!K532)</f>
        <v/>
      </c>
      <c r="L533" s="7" t="str">
        <f>IF('RFQ-Input'!L532="","",'RFQ-Input'!L532)</f>
        <v/>
      </c>
      <c r="M533" s="7" t="str">
        <f>IF('RFQ-Input'!M532="","",'RFQ-Input'!M532)</f>
        <v/>
      </c>
      <c r="N533" s="7" t="str">
        <f>IF('RFQ-Input'!N532="","",'RFQ-Input'!N532)</f>
        <v/>
      </c>
      <c r="O533" s="7" t="str">
        <f>IF('RFQ-Input'!O532="","",'RFQ-Input'!O532)</f>
        <v/>
      </c>
      <c r="Q533" s="7"/>
      <c r="R533" s="7"/>
      <c r="S533" s="7"/>
      <c r="T533" s="7"/>
      <c r="U533" s="7"/>
      <c r="V533" s="7"/>
      <c r="X533" s="7"/>
      <c r="Y533" s="7"/>
      <c r="Z533" s="7"/>
      <c r="AA533" s="7" t="str">
        <f t="shared" si="56"/>
        <v/>
      </c>
      <c r="AB533" s="7"/>
      <c r="AC533" s="7"/>
      <c r="AQ533" s="7" t="str">
        <f t="shared" si="57"/>
        <v/>
      </c>
      <c r="AR533" s="7" t="str">
        <f t="shared" si="58"/>
        <v/>
      </c>
      <c r="AS533" s="7" t="str">
        <f t="shared" si="59"/>
        <v/>
      </c>
      <c r="AT533" s="7" t="str">
        <f t="shared" si="60"/>
        <v/>
      </c>
      <c r="AU533" s="7" t="str">
        <f t="shared" si="61"/>
        <v/>
      </c>
      <c r="AV533" s="7" t="str">
        <f t="shared" si="62"/>
        <v/>
      </c>
      <c r="AW533" s="7" t="str">
        <f>IF('RFQ-Input'!O532="","",'RFQ-Input'!O532)</f>
        <v/>
      </c>
      <c r="AX533" s="7" t="str">
        <f>IF('RFQ-Input'!S532="","",'RFQ-Input'!S532)</f>
        <v/>
      </c>
      <c r="AY533" s="7" t="str">
        <f>IF('RFQ-Input'!V532="","",'RFQ-Input'!V532)</f>
        <v/>
      </c>
      <c r="AZ533" s="7" t="str">
        <f>IF('RFQ-Input'!Y532="","",'RFQ-Input'!Y532)</f>
        <v/>
      </c>
      <c r="BA533" s="7" t="str">
        <f>IF('RFQ-Input'!AB532="","",'RFQ-Input'!AB532)</f>
        <v/>
      </c>
    </row>
    <row r="534" spans="1:53">
      <c r="A534" s="20">
        <v>530</v>
      </c>
      <c r="B534" s="7"/>
      <c r="C534" s="7" t="str">
        <f>IF('RFQ-Input'!C533="","",'RFQ-Input'!C533)</f>
        <v/>
      </c>
      <c r="D534" s="7" t="str">
        <f>IF('RFQ-Input'!D533="","",'RFQ-Input'!D533)</f>
        <v/>
      </c>
      <c r="E534" s="7" t="str">
        <f>IF('RFQ-Input'!E533="","",'RFQ-Input'!E533)</f>
        <v/>
      </c>
      <c r="F534" s="7" t="str">
        <f>IF('RFQ-Input'!F533="","",'RFQ-Input'!F533)</f>
        <v/>
      </c>
      <c r="G534" s="7" t="str">
        <f>IF('RFQ-Input'!G533="","",'RFQ-Input'!G533)</f>
        <v/>
      </c>
      <c r="H534" s="7" t="str">
        <f>IF('RFQ-Input'!H533="","",'RFQ-Input'!H533)</f>
        <v/>
      </c>
      <c r="I534" s="7" t="str">
        <f>IF('RFQ-Input'!I533="","",'RFQ-Input'!I533)</f>
        <v/>
      </c>
      <c r="J534" s="7" t="str">
        <f>IF('RFQ-Input'!J533="","",'RFQ-Input'!J533)</f>
        <v/>
      </c>
      <c r="K534" s="7" t="str">
        <f>IF('RFQ-Input'!K533="","",'RFQ-Input'!K533)</f>
        <v/>
      </c>
      <c r="L534" s="7" t="str">
        <f>IF('RFQ-Input'!L533="","",'RFQ-Input'!L533)</f>
        <v/>
      </c>
      <c r="M534" s="7" t="str">
        <f>IF('RFQ-Input'!M533="","",'RFQ-Input'!M533)</f>
        <v/>
      </c>
      <c r="N534" s="7" t="str">
        <f>IF('RFQ-Input'!N533="","",'RFQ-Input'!N533)</f>
        <v/>
      </c>
      <c r="O534" s="7" t="str">
        <f>IF('RFQ-Input'!O533="","",'RFQ-Input'!O533)</f>
        <v/>
      </c>
      <c r="Q534" s="7"/>
      <c r="R534" s="7"/>
      <c r="S534" s="7"/>
      <c r="T534" s="7"/>
      <c r="U534" s="7"/>
      <c r="V534" s="7"/>
      <c r="X534" s="7"/>
      <c r="Y534" s="7"/>
      <c r="Z534" s="7"/>
      <c r="AA534" s="7" t="str">
        <f t="shared" si="56"/>
        <v/>
      </c>
      <c r="AB534" s="7"/>
      <c r="AC534" s="7"/>
      <c r="AQ534" s="7" t="str">
        <f t="shared" si="57"/>
        <v/>
      </c>
      <c r="AR534" s="7" t="str">
        <f t="shared" si="58"/>
        <v/>
      </c>
      <c r="AS534" s="7" t="str">
        <f t="shared" si="59"/>
        <v/>
      </c>
      <c r="AT534" s="7" t="str">
        <f t="shared" si="60"/>
        <v/>
      </c>
      <c r="AU534" s="7" t="str">
        <f t="shared" si="61"/>
        <v/>
      </c>
      <c r="AV534" s="7" t="str">
        <f t="shared" si="62"/>
        <v/>
      </c>
      <c r="AW534" s="7" t="str">
        <f>IF('RFQ-Input'!O533="","",'RFQ-Input'!O533)</f>
        <v/>
      </c>
      <c r="AX534" s="7" t="str">
        <f>IF('RFQ-Input'!S533="","",'RFQ-Input'!S533)</f>
        <v/>
      </c>
      <c r="AY534" s="7" t="str">
        <f>IF('RFQ-Input'!V533="","",'RFQ-Input'!V533)</f>
        <v/>
      </c>
      <c r="AZ534" s="7" t="str">
        <f>IF('RFQ-Input'!Y533="","",'RFQ-Input'!Y533)</f>
        <v/>
      </c>
      <c r="BA534" s="7" t="str">
        <f>IF('RFQ-Input'!AB533="","",'RFQ-Input'!AB533)</f>
        <v/>
      </c>
    </row>
    <row r="535" spans="1:53">
      <c r="A535" s="20">
        <v>531</v>
      </c>
      <c r="B535" s="7"/>
      <c r="C535" s="7" t="str">
        <f>IF('RFQ-Input'!C534="","",'RFQ-Input'!C534)</f>
        <v/>
      </c>
      <c r="D535" s="7" t="str">
        <f>IF('RFQ-Input'!D534="","",'RFQ-Input'!D534)</f>
        <v/>
      </c>
      <c r="E535" s="7" t="str">
        <f>IF('RFQ-Input'!E534="","",'RFQ-Input'!E534)</f>
        <v/>
      </c>
      <c r="F535" s="7" t="str">
        <f>IF('RFQ-Input'!F534="","",'RFQ-Input'!F534)</f>
        <v/>
      </c>
      <c r="G535" s="7" t="str">
        <f>IF('RFQ-Input'!G534="","",'RFQ-Input'!G534)</f>
        <v/>
      </c>
      <c r="H535" s="7" t="str">
        <f>IF('RFQ-Input'!H534="","",'RFQ-Input'!H534)</f>
        <v/>
      </c>
      <c r="I535" s="7" t="str">
        <f>IF('RFQ-Input'!I534="","",'RFQ-Input'!I534)</f>
        <v/>
      </c>
      <c r="J535" s="7" t="str">
        <f>IF('RFQ-Input'!J534="","",'RFQ-Input'!J534)</f>
        <v/>
      </c>
      <c r="K535" s="7" t="str">
        <f>IF('RFQ-Input'!K534="","",'RFQ-Input'!K534)</f>
        <v/>
      </c>
      <c r="L535" s="7" t="str">
        <f>IF('RFQ-Input'!L534="","",'RFQ-Input'!L534)</f>
        <v/>
      </c>
      <c r="M535" s="7" t="str">
        <f>IF('RFQ-Input'!M534="","",'RFQ-Input'!M534)</f>
        <v/>
      </c>
      <c r="N535" s="7" t="str">
        <f>IF('RFQ-Input'!N534="","",'RFQ-Input'!N534)</f>
        <v/>
      </c>
      <c r="O535" s="7" t="str">
        <f>IF('RFQ-Input'!O534="","",'RFQ-Input'!O534)</f>
        <v/>
      </c>
      <c r="Q535" s="7"/>
      <c r="R535" s="7"/>
      <c r="S535" s="7"/>
      <c r="T535" s="7"/>
      <c r="U535" s="7"/>
      <c r="V535" s="7"/>
      <c r="X535" s="7"/>
      <c r="Y535" s="7"/>
      <c r="Z535" s="7"/>
      <c r="AA535" s="7" t="str">
        <f t="shared" si="56"/>
        <v/>
      </c>
      <c r="AB535" s="7"/>
      <c r="AC535" s="7"/>
      <c r="AQ535" s="7" t="str">
        <f t="shared" si="57"/>
        <v/>
      </c>
      <c r="AR535" s="7" t="str">
        <f t="shared" si="58"/>
        <v/>
      </c>
      <c r="AS535" s="7" t="str">
        <f t="shared" si="59"/>
        <v/>
      </c>
      <c r="AT535" s="7" t="str">
        <f t="shared" si="60"/>
        <v/>
      </c>
      <c r="AU535" s="7" t="str">
        <f t="shared" si="61"/>
        <v/>
      </c>
      <c r="AV535" s="7" t="str">
        <f t="shared" si="62"/>
        <v/>
      </c>
      <c r="AW535" s="7" t="str">
        <f>IF('RFQ-Input'!O534="","",'RFQ-Input'!O534)</f>
        <v/>
      </c>
      <c r="AX535" s="7" t="str">
        <f>IF('RFQ-Input'!S534="","",'RFQ-Input'!S534)</f>
        <v/>
      </c>
      <c r="AY535" s="7" t="str">
        <f>IF('RFQ-Input'!V534="","",'RFQ-Input'!V534)</f>
        <v/>
      </c>
      <c r="AZ535" s="7" t="str">
        <f>IF('RFQ-Input'!Y534="","",'RFQ-Input'!Y534)</f>
        <v/>
      </c>
      <c r="BA535" s="7" t="str">
        <f>IF('RFQ-Input'!AB534="","",'RFQ-Input'!AB534)</f>
        <v/>
      </c>
    </row>
    <row r="536" spans="1:53">
      <c r="A536" s="20">
        <v>532</v>
      </c>
      <c r="B536" s="7"/>
      <c r="C536" s="7" t="str">
        <f>IF('RFQ-Input'!C535="","",'RFQ-Input'!C535)</f>
        <v/>
      </c>
      <c r="D536" s="7" t="str">
        <f>IF('RFQ-Input'!D535="","",'RFQ-Input'!D535)</f>
        <v/>
      </c>
      <c r="E536" s="7" t="str">
        <f>IF('RFQ-Input'!E535="","",'RFQ-Input'!E535)</f>
        <v/>
      </c>
      <c r="F536" s="7" t="str">
        <f>IF('RFQ-Input'!F535="","",'RFQ-Input'!F535)</f>
        <v/>
      </c>
      <c r="G536" s="7" t="str">
        <f>IF('RFQ-Input'!G535="","",'RFQ-Input'!G535)</f>
        <v/>
      </c>
      <c r="H536" s="7" t="str">
        <f>IF('RFQ-Input'!H535="","",'RFQ-Input'!H535)</f>
        <v/>
      </c>
      <c r="I536" s="7" t="str">
        <f>IF('RFQ-Input'!I535="","",'RFQ-Input'!I535)</f>
        <v/>
      </c>
      <c r="J536" s="7" t="str">
        <f>IF('RFQ-Input'!J535="","",'RFQ-Input'!J535)</f>
        <v/>
      </c>
      <c r="K536" s="7" t="str">
        <f>IF('RFQ-Input'!K535="","",'RFQ-Input'!K535)</f>
        <v/>
      </c>
      <c r="L536" s="7" t="str">
        <f>IF('RFQ-Input'!L535="","",'RFQ-Input'!L535)</f>
        <v/>
      </c>
      <c r="M536" s="7" t="str">
        <f>IF('RFQ-Input'!M535="","",'RFQ-Input'!M535)</f>
        <v/>
      </c>
      <c r="N536" s="7" t="str">
        <f>IF('RFQ-Input'!N535="","",'RFQ-Input'!N535)</f>
        <v/>
      </c>
      <c r="O536" s="7" t="str">
        <f>IF('RFQ-Input'!O535="","",'RFQ-Input'!O535)</f>
        <v/>
      </c>
      <c r="Q536" s="7"/>
      <c r="R536" s="7"/>
      <c r="S536" s="7"/>
      <c r="T536" s="7"/>
      <c r="U536" s="7"/>
      <c r="V536" s="7"/>
      <c r="X536" s="7"/>
      <c r="Y536" s="7"/>
      <c r="Z536" s="7"/>
      <c r="AA536" s="7" t="str">
        <f t="shared" si="56"/>
        <v/>
      </c>
      <c r="AB536" s="7"/>
      <c r="AC536" s="7"/>
      <c r="AQ536" s="7" t="str">
        <f t="shared" si="57"/>
        <v/>
      </c>
      <c r="AR536" s="7" t="str">
        <f t="shared" si="58"/>
        <v/>
      </c>
      <c r="AS536" s="7" t="str">
        <f t="shared" si="59"/>
        <v/>
      </c>
      <c r="AT536" s="7" t="str">
        <f t="shared" si="60"/>
        <v/>
      </c>
      <c r="AU536" s="7" t="str">
        <f t="shared" si="61"/>
        <v/>
      </c>
      <c r="AV536" s="7" t="str">
        <f t="shared" si="62"/>
        <v/>
      </c>
      <c r="AW536" s="7" t="str">
        <f>IF('RFQ-Input'!O535="","",'RFQ-Input'!O535)</f>
        <v/>
      </c>
      <c r="AX536" s="7" t="str">
        <f>IF('RFQ-Input'!S535="","",'RFQ-Input'!S535)</f>
        <v/>
      </c>
      <c r="AY536" s="7" t="str">
        <f>IF('RFQ-Input'!V535="","",'RFQ-Input'!V535)</f>
        <v/>
      </c>
      <c r="AZ536" s="7" t="str">
        <f>IF('RFQ-Input'!Y535="","",'RFQ-Input'!Y535)</f>
        <v/>
      </c>
      <c r="BA536" s="7" t="str">
        <f>IF('RFQ-Input'!AB535="","",'RFQ-Input'!AB535)</f>
        <v/>
      </c>
    </row>
    <row r="537" spans="1:53">
      <c r="A537" s="20">
        <v>533</v>
      </c>
      <c r="B537" s="7"/>
      <c r="C537" s="7" t="str">
        <f>IF('RFQ-Input'!C536="","",'RFQ-Input'!C536)</f>
        <v/>
      </c>
      <c r="D537" s="7" t="str">
        <f>IF('RFQ-Input'!D536="","",'RFQ-Input'!D536)</f>
        <v/>
      </c>
      <c r="E537" s="7" t="str">
        <f>IF('RFQ-Input'!E536="","",'RFQ-Input'!E536)</f>
        <v/>
      </c>
      <c r="F537" s="7" t="str">
        <f>IF('RFQ-Input'!F536="","",'RFQ-Input'!F536)</f>
        <v/>
      </c>
      <c r="G537" s="7" t="str">
        <f>IF('RFQ-Input'!G536="","",'RFQ-Input'!G536)</f>
        <v/>
      </c>
      <c r="H537" s="7" t="str">
        <f>IF('RFQ-Input'!H536="","",'RFQ-Input'!H536)</f>
        <v/>
      </c>
      <c r="I537" s="7" t="str">
        <f>IF('RFQ-Input'!I536="","",'RFQ-Input'!I536)</f>
        <v/>
      </c>
      <c r="J537" s="7" t="str">
        <f>IF('RFQ-Input'!J536="","",'RFQ-Input'!J536)</f>
        <v/>
      </c>
      <c r="K537" s="7" t="str">
        <f>IF('RFQ-Input'!K536="","",'RFQ-Input'!K536)</f>
        <v/>
      </c>
      <c r="L537" s="7" t="str">
        <f>IF('RFQ-Input'!L536="","",'RFQ-Input'!L536)</f>
        <v/>
      </c>
      <c r="M537" s="7" t="str">
        <f>IF('RFQ-Input'!M536="","",'RFQ-Input'!M536)</f>
        <v/>
      </c>
      <c r="N537" s="7" t="str">
        <f>IF('RFQ-Input'!N536="","",'RFQ-Input'!N536)</f>
        <v/>
      </c>
      <c r="O537" s="7" t="str">
        <f>IF('RFQ-Input'!O536="","",'RFQ-Input'!O536)</f>
        <v/>
      </c>
      <c r="Q537" s="7"/>
      <c r="R537" s="7"/>
      <c r="S537" s="7"/>
      <c r="T537" s="7"/>
      <c r="U537" s="7"/>
      <c r="V537" s="7"/>
      <c r="X537" s="7"/>
      <c r="Y537" s="7"/>
      <c r="Z537" s="7"/>
      <c r="AA537" s="7" t="str">
        <f t="shared" si="56"/>
        <v/>
      </c>
      <c r="AB537" s="7"/>
      <c r="AC537" s="7"/>
      <c r="AQ537" s="7" t="str">
        <f t="shared" si="57"/>
        <v/>
      </c>
      <c r="AR537" s="7" t="str">
        <f t="shared" si="58"/>
        <v/>
      </c>
      <c r="AS537" s="7" t="str">
        <f t="shared" si="59"/>
        <v/>
      </c>
      <c r="AT537" s="7" t="str">
        <f t="shared" si="60"/>
        <v/>
      </c>
      <c r="AU537" s="7" t="str">
        <f t="shared" si="61"/>
        <v/>
      </c>
      <c r="AV537" s="7" t="str">
        <f t="shared" si="62"/>
        <v/>
      </c>
      <c r="AW537" s="7" t="str">
        <f>IF('RFQ-Input'!O536="","",'RFQ-Input'!O536)</f>
        <v/>
      </c>
      <c r="AX537" s="7" t="str">
        <f>IF('RFQ-Input'!S536="","",'RFQ-Input'!S536)</f>
        <v/>
      </c>
      <c r="AY537" s="7" t="str">
        <f>IF('RFQ-Input'!V536="","",'RFQ-Input'!V536)</f>
        <v/>
      </c>
      <c r="AZ537" s="7" t="str">
        <f>IF('RFQ-Input'!Y536="","",'RFQ-Input'!Y536)</f>
        <v/>
      </c>
      <c r="BA537" s="7" t="str">
        <f>IF('RFQ-Input'!AB536="","",'RFQ-Input'!AB536)</f>
        <v/>
      </c>
    </row>
    <row r="538" spans="1:53">
      <c r="A538" s="20">
        <v>534</v>
      </c>
      <c r="B538" s="7"/>
      <c r="C538" s="7" t="str">
        <f>IF('RFQ-Input'!C537="","",'RFQ-Input'!C537)</f>
        <v/>
      </c>
      <c r="D538" s="7" t="str">
        <f>IF('RFQ-Input'!D537="","",'RFQ-Input'!D537)</f>
        <v/>
      </c>
      <c r="E538" s="7" t="str">
        <f>IF('RFQ-Input'!E537="","",'RFQ-Input'!E537)</f>
        <v/>
      </c>
      <c r="F538" s="7" t="str">
        <f>IF('RFQ-Input'!F537="","",'RFQ-Input'!F537)</f>
        <v/>
      </c>
      <c r="G538" s="7" t="str">
        <f>IF('RFQ-Input'!G537="","",'RFQ-Input'!G537)</f>
        <v/>
      </c>
      <c r="H538" s="7" t="str">
        <f>IF('RFQ-Input'!H537="","",'RFQ-Input'!H537)</f>
        <v/>
      </c>
      <c r="I538" s="7" t="str">
        <f>IF('RFQ-Input'!I537="","",'RFQ-Input'!I537)</f>
        <v/>
      </c>
      <c r="J538" s="7" t="str">
        <f>IF('RFQ-Input'!J537="","",'RFQ-Input'!J537)</f>
        <v/>
      </c>
      <c r="K538" s="7" t="str">
        <f>IF('RFQ-Input'!K537="","",'RFQ-Input'!K537)</f>
        <v/>
      </c>
      <c r="L538" s="7" t="str">
        <f>IF('RFQ-Input'!L537="","",'RFQ-Input'!L537)</f>
        <v/>
      </c>
      <c r="M538" s="7" t="str">
        <f>IF('RFQ-Input'!M537="","",'RFQ-Input'!M537)</f>
        <v/>
      </c>
      <c r="N538" s="7" t="str">
        <f>IF('RFQ-Input'!N537="","",'RFQ-Input'!N537)</f>
        <v/>
      </c>
      <c r="O538" s="7" t="str">
        <f>IF('RFQ-Input'!O537="","",'RFQ-Input'!O537)</f>
        <v/>
      </c>
      <c r="Q538" s="7"/>
      <c r="R538" s="7"/>
      <c r="S538" s="7"/>
      <c r="T538" s="7"/>
      <c r="U538" s="7"/>
      <c r="V538" s="7"/>
      <c r="X538" s="7"/>
      <c r="Y538" s="7"/>
      <c r="Z538" s="7"/>
      <c r="AA538" s="7" t="str">
        <f t="shared" si="56"/>
        <v/>
      </c>
      <c r="AB538" s="7"/>
      <c r="AC538" s="7"/>
      <c r="AQ538" s="7" t="str">
        <f t="shared" si="57"/>
        <v/>
      </c>
      <c r="AR538" s="7" t="str">
        <f t="shared" si="58"/>
        <v/>
      </c>
      <c r="AS538" s="7" t="str">
        <f t="shared" si="59"/>
        <v/>
      </c>
      <c r="AT538" s="7" t="str">
        <f t="shared" si="60"/>
        <v/>
      </c>
      <c r="AU538" s="7" t="str">
        <f t="shared" si="61"/>
        <v/>
      </c>
      <c r="AV538" s="7" t="str">
        <f t="shared" si="62"/>
        <v/>
      </c>
      <c r="AW538" s="7" t="str">
        <f>IF('RFQ-Input'!O537="","",'RFQ-Input'!O537)</f>
        <v/>
      </c>
      <c r="AX538" s="7" t="str">
        <f>IF('RFQ-Input'!S537="","",'RFQ-Input'!S537)</f>
        <v/>
      </c>
      <c r="AY538" s="7" t="str">
        <f>IF('RFQ-Input'!V537="","",'RFQ-Input'!V537)</f>
        <v/>
      </c>
      <c r="AZ538" s="7" t="str">
        <f>IF('RFQ-Input'!Y537="","",'RFQ-Input'!Y537)</f>
        <v/>
      </c>
      <c r="BA538" s="7" t="str">
        <f>IF('RFQ-Input'!AB537="","",'RFQ-Input'!AB537)</f>
        <v/>
      </c>
    </row>
    <row r="539" spans="1:53">
      <c r="A539" s="20">
        <v>535</v>
      </c>
      <c r="B539" s="7"/>
      <c r="C539" s="7" t="str">
        <f>IF('RFQ-Input'!C538="","",'RFQ-Input'!C538)</f>
        <v/>
      </c>
      <c r="D539" s="7" t="str">
        <f>IF('RFQ-Input'!D538="","",'RFQ-Input'!D538)</f>
        <v/>
      </c>
      <c r="E539" s="7" t="str">
        <f>IF('RFQ-Input'!E538="","",'RFQ-Input'!E538)</f>
        <v/>
      </c>
      <c r="F539" s="7" t="str">
        <f>IF('RFQ-Input'!F538="","",'RFQ-Input'!F538)</f>
        <v/>
      </c>
      <c r="G539" s="7" t="str">
        <f>IF('RFQ-Input'!G538="","",'RFQ-Input'!G538)</f>
        <v/>
      </c>
      <c r="H539" s="7" t="str">
        <f>IF('RFQ-Input'!H538="","",'RFQ-Input'!H538)</f>
        <v/>
      </c>
      <c r="I539" s="7" t="str">
        <f>IF('RFQ-Input'!I538="","",'RFQ-Input'!I538)</f>
        <v/>
      </c>
      <c r="J539" s="7" t="str">
        <f>IF('RFQ-Input'!J538="","",'RFQ-Input'!J538)</f>
        <v/>
      </c>
      <c r="K539" s="7" t="str">
        <f>IF('RFQ-Input'!K538="","",'RFQ-Input'!K538)</f>
        <v/>
      </c>
      <c r="L539" s="7" t="str">
        <f>IF('RFQ-Input'!L538="","",'RFQ-Input'!L538)</f>
        <v/>
      </c>
      <c r="M539" s="7" t="str">
        <f>IF('RFQ-Input'!M538="","",'RFQ-Input'!M538)</f>
        <v/>
      </c>
      <c r="N539" s="7" t="str">
        <f>IF('RFQ-Input'!N538="","",'RFQ-Input'!N538)</f>
        <v/>
      </c>
      <c r="O539" s="7" t="str">
        <f>IF('RFQ-Input'!O538="","",'RFQ-Input'!O538)</f>
        <v/>
      </c>
      <c r="Q539" s="7"/>
      <c r="R539" s="7"/>
      <c r="S539" s="7"/>
      <c r="T539" s="7"/>
      <c r="U539" s="7"/>
      <c r="V539" s="7"/>
      <c r="X539" s="7"/>
      <c r="Y539" s="7"/>
      <c r="Z539" s="7"/>
      <c r="AA539" s="7" t="str">
        <f t="shared" si="56"/>
        <v/>
      </c>
      <c r="AB539" s="7"/>
      <c r="AC539" s="7"/>
      <c r="AQ539" s="7" t="str">
        <f t="shared" si="57"/>
        <v/>
      </c>
      <c r="AR539" s="7" t="str">
        <f t="shared" si="58"/>
        <v/>
      </c>
      <c r="AS539" s="7" t="str">
        <f t="shared" si="59"/>
        <v/>
      </c>
      <c r="AT539" s="7" t="str">
        <f t="shared" si="60"/>
        <v/>
      </c>
      <c r="AU539" s="7" t="str">
        <f t="shared" si="61"/>
        <v/>
      </c>
      <c r="AV539" s="7" t="str">
        <f t="shared" si="62"/>
        <v/>
      </c>
      <c r="AW539" s="7" t="str">
        <f>IF('RFQ-Input'!O538="","",'RFQ-Input'!O538)</f>
        <v/>
      </c>
      <c r="AX539" s="7" t="str">
        <f>IF('RFQ-Input'!S538="","",'RFQ-Input'!S538)</f>
        <v/>
      </c>
      <c r="AY539" s="7" t="str">
        <f>IF('RFQ-Input'!V538="","",'RFQ-Input'!V538)</f>
        <v/>
      </c>
      <c r="AZ539" s="7" t="str">
        <f>IF('RFQ-Input'!Y538="","",'RFQ-Input'!Y538)</f>
        <v/>
      </c>
      <c r="BA539" s="7" t="str">
        <f>IF('RFQ-Input'!AB538="","",'RFQ-Input'!AB538)</f>
        <v/>
      </c>
    </row>
    <row r="540" spans="1:53">
      <c r="A540" s="20">
        <v>536</v>
      </c>
      <c r="B540" s="7"/>
      <c r="C540" s="7" t="str">
        <f>IF('RFQ-Input'!C539="","",'RFQ-Input'!C539)</f>
        <v/>
      </c>
      <c r="D540" s="7" t="str">
        <f>IF('RFQ-Input'!D539="","",'RFQ-Input'!D539)</f>
        <v/>
      </c>
      <c r="E540" s="7" t="str">
        <f>IF('RFQ-Input'!E539="","",'RFQ-Input'!E539)</f>
        <v/>
      </c>
      <c r="F540" s="7" t="str">
        <f>IF('RFQ-Input'!F539="","",'RFQ-Input'!F539)</f>
        <v/>
      </c>
      <c r="G540" s="7" t="str">
        <f>IF('RFQ-Input'!G539="","",'RFQ-Input'!G539)</f>
        <v/>
      </c>
      <c r="H540" s="7" t="str">
        <f>IF('RFQ-Input'!H539="","",'RFQ-Input'!H539)</f>
        <v/>
      </c>
      <c r="I540" s="7" t="str">
        <f>IF('RFQ-Input'!I539="","",'RFQ-Input'!I539)</f>
        <v/>
      </c>
      <c r="J540" s="7" t="str">
        <f>IF('RFQ-Input'!J539="","",'RFQ-Input'!J539)</f>
        <v/>
      </c>
      <c r="K540" s="7" t="str">
        <f>IF('RFQ-Input'!K539="","",'RFQ-Input'!K539)</f>
        <v/>
      </c>
      <c r="L540" s="7" t="str">
        <f>IF('RFQ-Input'!L539="","",'RFQ-Input'!L539)</f>
        <v/>
      </c>
      <c r="M540" s="7" t="str">
        <f>IF('RFQ-Input'!M539="","",'RFQ-Input'!M539)</f>
        <v/>
      </c>
      <c r="N540" s="7" t="str">
        <f>IF('RFQ-Input'!N539="","",'RFQ-Input'!N539)</f>
        <v/>
      </c>
      <c r="O540" s="7" t="str">
        <f>IF('RFQ-Input'!O539="","",'RFQ-Input'!O539)</f>
        <v/>
      </c>
      <c r="Q540" s="7"/>
      <c r="R540" s="7"/>
      <c r="S540" s="7"/>
      <c r="T540" s="7"/>
      <c r="U540" s="7"/>
      <c r="V540" s="7"/>
      <c r="X540" s="7"/>
      <c r="Y540" s="7"/>
      <c r="Z540" s="7"/>
      <c r="AA540" s="7" t="str">
        <f t="shared" si="56"/>
        <v/>
      </c>
      <c r="AB540" s="7"/>
      <c r="AC540" s="7"/>
      <c r="AQ540" s="7" t="str">
        <f t="shared" si="57"/>
        <v/>
      </c>
      <c r="AR540" s="7" t="str">
        <f t="shared" si="58"/>
        <v/>
      </c>
      <c r="AS540" s="7" t="str">
        <f t="shared" si="59"/>
        <v/>
      </c>
      <c r="AT540" s="7" t="str">
        <f t="shared" si="60"/>
        <v/>
      </c>
      <c r="AU540" s="7" t="str">
        <f t="shared" si="61"/>
        <v/>
      </c>
      <c r="AV540" s="7" t="str">
        <f t="shared" si="62"/>
        <v/>
      </c>
      <c r="AW540" s="7" t="str">
        <f>IF('RFQ-Input'!O539="","",'RFQ-Input'!O539)</f>
        <v/>
      </c>
      <c r="AX540" s="7" t="str">
        <f>IF('RFQ-Input'!S539="","",'RFQ-Input'!S539)</f>
        <v/>
      </c>
      <c r="AY540" s="7" t="str">
        <f>IF('RFQ-Input'!V539="","",'RFQ-Input'!V539)</f>
        <v/>
      </c>
      <c r="AZ540" s="7" t="str">
        <f>IF('RFQ-Input'!Y539="","",'RFQ-Input'!Y539)</f>
        <v/>
      </c>
      <c r="BA540" s="7" t="str">
        <f>IF('RFQ-Input'!AB539="","",'RFQ-Input'!AB539)</f>
        <v/>
      </c>
    </row>
    <row r="541" spans="1:53">
      <c r="A541" s="20">
        <v>537</v>
      </c>
      <c r="B541" s="7"/>
      <c r="C541" s="7" t="str">
        <f>IF('RFQ-Input'!C540="","",'RFQ-Input'!C540)</f>
        <v/>
      </c>
      <c r="D541" s="7" t="str">
        <f>IF('RFQ-Input'!D540="","",'RFQ-Input'!D540)</f>
        <v/>
      </c>
      <c r="E541" s="7" t="str">
        <f>IF('RFQ-Input'!E540="","",'RFQ-Input'!E540)</f>
        <v/>
      </c>
      <c r="F541" s="7" t="str">
        <f>IF('RFQ-Input'!F540="","",'RFQ-Input'!F540)</f>
        <v/>
      </c>
      <c r="G541" s="7" t="str">
        <f>IF('RFQ-Input'!G540="","",'RFQ-Input'!G540)</f>
        <v/>
      </c>
      <c r="H541" s="7" t="str">
        <f>IF('RFQ-Input'!H540="","",'RFQ-Input'!H540)</f>
        <v/>
      </c>
      <c r="I541" s="7" t="str">
        <f>IF('RFQ-Input'!I540="","",'RFQ-Input'!I540)</f>
        <v/>
      </c>
      <c r="J541" s="7" t="str">
        <f>IF('RFQ-Input'!J540="","",'RFQ-Input'!J540)</f>
        <v/>
      </c>
      <c r="K541" s="7" t="str">
        <f>IF('RFQ-Input'!K540="","",'RFQ-Input'!K540)</f>
        <v/>
      </c>
      <c r="L541" s="7" t="str">
        <f>IF('RFQ-Input'!L540="","",'RFQ-Input'!L540)</f>
        <v/>
      </c>
      <c r="M541" s="7" t="str">
        <f>IF('RFQ-Input'!M540="","",'RFQ-Input'!M540)</f>
        <v/>
      </c>
      <c r="N541" s="7" t="str">
        <f>IF('RFQ-Input'!N540="","",'RFQ-Input'!N540)</f>
        <v/>
      </c>
      <c r="O541" s="7" t="str">
        <f>IF('RFQ-Input'!O540="","",'RFQ-Input'!O540)</f>
        <v/>
      </c>
      <c r="Q541" s="7"/>
      <c r="R541" s="7"/>
      <c r="S541" s="7"/>
      <c r="T541" s="7"/>
      <c r="U541" s="7"/>
      <c r="V541" s="7"/>
      <c r="X541" s="7"/>
      <c r="Y541" s="7"/>
      <c r="Z541" s="7"/>
      <c r="AA541" s="7" t="str">
        <f t="shared" si="56"/>
        <v/>
      </c>
      <c r="AB541" s="7"/>
      <c r="AC541" s="7"/>
      <c r="AQ541" s="7" t="str">
        <f t="shared" si="57"/>
        <v/>
      </c>
      <c r="AR541" s="7" t="str">
        <f t="shared" si="58"/>
        <v/>
      </c>
      <c r="AS541" s="7" t="str">
        <f t="shared" si="59"/>
        <v/>
      </c>
      <c r="AT541" s="7" t="str">
        <f t="shared" si="60"/>
        <v/>
      </c>
      <c r="AU541" s="7" t="str">
        <f t="shared" si="61"/>
        <v/>
      </c>
      <c r="AV541" s="7" t="str">
        <f t="shared" si="62"/>
        <v/>
      </c>
      <c r="AW541" s="7" t="str">
        <f>IF('RFQ-Input'!O540="","",'RFQ-Input'!O540)</f>
        <v/>
      </c>
      <c r="AX541" s="7" t="str">
        <f>IF('RFQ-Input'!S540="","",'RFQ-Input'!S540)</f>
        <v/>
      </c>
      <c r="AY541" s="7" t="str">
        <f>IF('RFQ-Input'!V540="","",'RFQ-Input'!V540)</f>
        <v/>
      </c>
      <c r="AZ541" s="7" t="str">
        <f>IF('RFQ-Input'!Y540="","",'RFQ-Input'!Y540)</f>
        <v/>
      </c>
      <c r="BA541" s="7" t="str">
        <f>IF('RFQ-Input'!AB540="","",'RFQ-Input'!AB540)</f>
        <v/>
      </c>
    </row>
    <row r="542" spans="1:53">
      <c r="A542" s="20">
        <v>538</v>
      </c>
      <c r="B542" s="7"/>
      <c r="C542" s="7" t="str">
        <f>IF('RFQ-Input'!C541="","",'RFQ-Input'!C541)</f>
        <v/>
      </c>
      <c r="D542" s="7" t="str">
        <f>IF('RFQ-Input'!D541="","",'RFQ-Input'!D541)</f>
        <v/>
      </c>
      <c r="E542" s="7" t="str">
        <f>IF('RFQ-Input'!E541="","",'RFQ-Input'!E541)</f>
        <v/>
      </c>
      <c r="F542" s="7" t="str">
        <f>IF('RFQ-Input'!F541="","",'RFQ-Input'!F541)</f>
        <v/>
      </c>
      <c r="G542" s="7" t="str">
        <f>IF('RFQ-Input'!G541="","",'RFQ-Input'!G541)</f>
        <v/>
      </c>
      <c r="H542" s="7" t="str">
        <f>IF('RFQ-Input'!H541="","",'RFQ-Input'!H541)</f>
        <v/>
      </c>
      <c r="I542" s="7" t="str">
        <f>IF('RFQ-Input'!I541="","",'RFQ-Input'!I541)</f>
        <v/>
      </c>
      <c r="J542" s="7" t="str">
        <f>IF('RFQ-Input'!J541="","",'RFQ-Input'!J541)</f>
        <v/>
      </c>
      <c r="K542" s="7" t="str">
        <f>IF('RFQ-Input'!K541="","",'RFQ-Input'!K541)</f>
        <v/>
      </c>
      <c r="L542" s="7" t="str">
        <f>IF('RFQ-Input'!L541="","",'RFQ-Input'!L541)</f>
        <v/>
      </c>
      <c r="M542" s="7" t="str">
        <f>IF('RFQ-Input'!M541="","",'RFQ-Input'!M541)</f>
        <v/>
      </c>
      <c r="N542" s="7" t="str">
        <f>IF('RFQ-Input'!N541="","",'RFQ-Input'!N541)</f>
        <v/>
      </c>
      <c r="O542" s="7" t="str">
        <f>IF('RFQ-Input'!O541="","",'RFQ-Input'!O541)</f>
        <v/>
      </c>
      <c r="Q542" s="7"/>
      <c r="R542" s="7"/>
      <c r="S542" s="7"/>
      <c r="T542" s="7"/>
      <c r="U542" s="7"/>
      <c r="V542" s="7"/>
      <c r="X542" s="7"/>
      <c r="Y542" s="7"/>
      <c r="Z542" s="7"/>
      <c r="AA542" s="7" t="str">
        <f t="shared" si="56"/>
        <v/>
      </c>
      <c r="AB542" s="7"/>
      <c r="AC542" s="7"/>
      <c r="AQ542" s="7" t="str">
        <f t="shared" si="57"/>
        <v/>
      </c>
      <c r="AR542" s="7" t="str">
        <f t="shared" si="58"/>
        <v/>
      </c>
      <c r="AS542" s="7" t="str">
        <f t="shared" si="59"/>
        <v/>
      </c>
      <c r="AT542" s="7" t="str">
        <f t="shared" si="60"/>
        <v/>
      </c>
      <c r="AU542" s="7" t="str">
        <f t="shared" si="61"/>
        <v/>
      </c>
      <c r="AV542" s="7" t="str">
        <f t="shared" si="62"/>
        <v/>
      </c>
      <c r="AW542" s="7" t="str">
        <f>IF('RFQ-Input'!O541="","",'RFQ-Input'!O541)</f>
        <v/>
      </c>
      <c r="AX542" s="7" t="str">
        <f>IF('RFQ-Input'!S541="","",'RFQ-Input'!S541)</f>
        <v/>
      </c>
      <c r="AY542" s="7" t="str">
        <f>IF('RFQ-Input'!V541="","",'RFQ-Input'!V541)</f>
        <v/>
      </c>
      <c r="AZ542" s="7" t="str">
        <f>IF('RFQ-Input'!Y541="","",'RFQ-Input'!Y541)</f>
        <v/>
      </c>
      <c r="BA542" s="7" t="str">
        <f>IF('RFQ-Input'!AB541="","",'RFQ-Input'!AB541)</f>
        <v/>
      </c>
    </row>
    <row r="543" spans="1:53">
      <c r="A543" s="20">
        <v>539</v>
      </c>
      <c r="B543" s="7"/>
      <c r="C543" s="7" t="str">
        <f>IF('RFQ-Input'!C542="","",'RFQ-Input'!C542)</f>
        <v/>
      </c>
      <c r="D543" s="7" t="str">
        <f>IF('RFQ-Input'!D542="","",'RFQ-Input'!D542)</f>
        <v/>
      </c>
      <c r="E543" s="7" t="str">
        <f>IF('RFQ-Input'!E542="","",'RFQ-Input'!E542)</f>
        <v/>
      </c>
      <c r="F543" s="7" t="str">
        <f>IF('RFQ-Input'!F542="","",'RFQ-Input'!F542)</f>
        <v/>
      </c>
      <c r="G543" s="7" t="str">
        <f>IF('RFQ-Input'!G542="","",'RFQ-Input'!G542)</f>
        <v/>
      </c>
      <c r="H543" s="7" t="str">
        <f>IF('RFQ-Input'!H542="","",'RFQ-Input'!H542)</f>
        <v/>
      </c>
      <c r="I543" s="7" t="str">
        <f>IF('RFQ-Input'!I542="","",'RFQ-Input'!I542)</f>
        <v/>
      </c>
      <c r="J543" s="7" t="str">
        <f>IF('RFQ-Input'!J542="","",'RFQ-Input'!J542)</f>
        <v/>
      </c>
      <c r="K543" s="7" t="str">
        <f>IF('RFQ-Input'!K542="","",'RFQ-Input'!K542)</f>
        <v/>
      </c>
      <c r="L543" s="7" t="str">
        <f>IF('RFQ-Input'!L542="","",'RFQ-Input'!L542)</f>
        <v/>
      </c>
      <c r="M543" s="7" t="str">
        <f>IF('RFQ-Input'!M542="","",'RFQ-Input'!M542)</f>
        <v/>
      </c>
      <c r="N543" s="7" t="str">
        <f>IF('RFQ-Input'!N542="","",'RFQ-Input'!N542)</f>
        <v/>
      </c>
      <c r="O543" s="7" t="str">
        <f>IF('RFQ-Input'!O542="","",'RFQ-Input'!O542)</f>
        <v/>
      </c>
      <c r="Q543" s="7"/>
      <c r="R543" s="7"/>
      <c r="S543" s="7"/>
      <c r="T543" s="7"/>
      <c r="U543" s="7"/>
      <c r="V543" s="7"/>
      <c r="X543" s="7"/>
      <c r="Y543" s="7"/>
      <c r="Z543" s="7"/>
      <c r="AA543" s="7" t="str">
        <f t="shared" si="56"/>
        <v/>
      </c>
      <c r="AB543" s="7"/>
      <c r="AC543" s="7"/>
      <c r="AQ543" s="7" t="str">
        <f t="shared" si="57"/>
        <v/>
      </c>
      <c r="AR543" s="7" t="str">
        <f t="shared" si="58"/>
        <v/>
      </c>
      <c r="AS543" s="7" t="str">
        <f t="shared" si="59"/>
        <v/>
      </c>
      <c r="AT543" s="7" t="str">
        <f t="shared" si="60"/>
        <v/>
      </c>
      <c r="AU543" s="7" t="str">
        <f t="shared" si="61"/>
        <v/>
      </c>
      <c r="AV543" s="7" t="str">
        <f t="shared" si="62"/>
        <v/>
      </c>
      <c r="AW543" s="7" t="str">
        <f>IF('RFQ-Input'!O542="","",'RFQ-Input'!O542)</f>
        <v/>
      </c>
      <c r="AX543" s="7" t="str">
        <f>IF('RFQ-Input'!S542="","",'RFQ-Input'!S542)</f>
        <v/>
      </c>
      <c r="AY543" s="7" t="str">
        <f>IF('RFQ-Input'!V542="","",'RFQ-Input'!V542)</f>
        <v/>
      </c>
      <c r="AZ543" s="7" t="str">
        <f>IF('RFQ-Input'!Y542="","",'RFQ-Input'!Y542)</f>
        <v/>
      </c>
      <c r="BA543" s="7" t="str">
        <f>IF('RFQ-Input'!AB542="","",'RFQ-Input'!AB542)</f>
        <v/>
      </c>
    </row>
    <row r="544" spans="1:53">
      <c r="A544" s="20">
        <v>540</v>
      </c>
      <c r="B544" s="7"/>
      <c r="C544" s="7" t="str">
        <f>IF('RFQ-Input'!C543="","",'RFQ-Input'!C543)</f>
        <v/>
      </c>
      <c r="D544" s="7" t="str">
        <f>IF('RFQ-Input'!D543="","",'RFQ-Input'!D543)</f>
        <v/>
      </c>
      <c r="E544" s="7" t="str">
        <f>IF('RFQ-Input'!E543="","",'RFQ-Input'!E543)</f>
        <v/>
      </c>
      <c r="F544" s="7" t="str">
        <f>IF('RFQ-Input'!F543="","",'RFQ-Input'!F543)</f>
        <v/>
      </c>
      <c r="G544" s="7" t="str">
        <f>IF('RFQ-Input'!G543="","",'RFQ-Input'!G543)</f>
        <v/>
      </c>
      <c r="H544" s="7" t="str">
        <f>IF('RFQ-Input'!H543="","",'RFQ-Input'!H543)</f>
        <v/>
      </c>
      <c r="I544" s="7" t="str">
        <f>IF('RFQ-Input'!I543="","",'RFQ-Input'!I543)</f>
        <v/>
      </c>
      <c r="J544" s="7" t="str">
        <f>IF('RFQ-Input'!J543="","",'RFQ-Input'!J543)</f>
        <v/>
      </c>
      <c r="K544" s="7" t="str">
        <f>IF('RFQ-Input'!K543="","",'RFQ-Input'!K543)</f>
        <v/>
      </c>
      <c r="L544" s="7" t="str">
        <f>IF('RFQ-Input'!L543="","",'RFQ-Input'!L543)</f>
        <v/>
      </c>
      <c r="M544" s="7" t="str">
        <f>IF('RFQ-Input'!M543="","",'RFQ-Input'!M543)</f>
        <v/>
      </c>
      <c r="N544" s="7" t="str">
        <f>IF('RFQ-Input'!N543="","",'RFQ-Input'!N543)</f>
        <v/>
      </c>
      <c r="O544" s="7" t="str">
        <f>IF('RFQ-Input'!O543="","",'RFQ-Input'!O543)</f>
        <v/>
      </c>
      <c r="Q544" s="7"/>
      <c r="R544" s="7"/>
      <c r="S544" s="7"/>
      <c r="T544" s="7"/>
      <c r="U544" s="7"/>
      <c r="V544" s="7"/>
      <c r="X544" s="7"/>
      <c r="Y544" s="7"/>
      <c r="Z544" s="7"/>
      <c r="AA544" s="7" t="str">
        <f t="shared" si="56"/>
        <v/>
      </c>
      <c r="AB544" s="7"/>
      <c r="AC544" s="7"/>
      <c r="AQ544" s="7" t="str">
        <f t="shared" si="57"/>
        <v/>
      </c>
      <c r="AR544" s="7" t="str">
        <f t="shared" si="58"/>
        <v/>
      </c>
      <c r="AS544" s="7" t="str">
        <f t="shared" si="59"/>
        <v/>
      </c>
      <c r="AT544" s="7" t="str">
        <f t="shared" si="60"/>
        <v/>
      </c>
      <c r="AU544" s="7" t="str">
        <f t="shared" si="61"/>
        <v/>
      </c>
      <c r="AV544" s="7" t="str">
        <f t="shared" si="62"/>
        <v/>
      </c>
      <c r="AW544" s="7" t="str">
        <f>IF('RFQ-Input'!O543="","",'RFQ-Input'!O543)</f>
        <v/>
      </c>
      <c r="AX544" s="7" t="str">
        <f>IF('RFQ-Input'!S543="","",'RFQ-Input'!S543)</f>
        <v/>
      </c>
      <c r="AY544" s="7" t="str">
        <f>IF('RFQ-Input'!V543="","",'RFQ-Input'!V543)</f>
        <v/>
      </c>
      <c r="AZ544" s="7" t="str">
        <f>IF('RFQ-Input'!Y543="","",'RFQ-Input'!Y543)</f>
        <v/>
      </c>
      <c r="BA544" s="7" t="str">
        <f>IF('RFQ-Input'!AB543="","",'RFQ-Input'!AB543)</f>
        <v/>
      </c>
    </row>
    <row r="545" spans="1:53">
      <c r="A545" s="20">
        <v>541</v>
      </c>
      <c r="B545" s="7"/>
      <c r="C545" s="7" t="str">
        <f>IF('RFQ-Input'!C544="","",'RFQ-Input'!C544)</f>
        <v/>
      </c>
      <c r="D545" s="7" t="str">
        <f>IF('RFQ-Input'!D544="","",'RFQ-Input'!D544)</f>
        <v/>
      </c>
      <c r="E545" s="7" t="str">
        <f>IF('RFQ-Input'!E544="","",'RFQ-Input'!E544)</f>
        <v/>
      </c>
      <c r="F545" s="7" t="str">
        <f>IF('RFQ-Input'!F544="","",'RFQ-Input'!F544)</f>
        <v/>
      </c>
      <c r="G545" s="7" t="str">
        <f>IF('RFQ-Input'!G544="","",'RFQ-Input'!G544)</f>
        <v/>
      </c>
      <c r="H545" s="7" t="str">
        <f>IF('RFQ-Input'!H544="","",'RFQ-Input'!H544)</f>
        <v/>
      </c>
      <c r="I545" s="7" t="str">
        <f>IF('RFQ-Input'!I544="","",'RFQ-Input'!I544)</f>
        <v/>
      </c>
      <c r="J545" s="7" t="str">
        <f>IF('RFQ-Input'!J544="","",'RFQ-Input'!J544)</f>
        <v/>
      </c>
      <c r="K545" s="7" t="str">
        <f>IF('RFQ-Input'!K544="","",'RFQ-Input'!K544)</f>
        <v/>
      </c>
      <c r="L545" s="7" t="str">
        <f>IF('RFQ-Input'!L544="","",'RFQ-Input'!L544)</f>
        <v/>
      </c>
      <c r="M545" s="7" t="str">
        <f>IF('RFQ-Input'!M544="","",'RFQ-Input'!M544)</f>
        <v/>
      </c>
      <c r="N545" s="7" t="str">
        <f>IF('RFQ-Input'!N544="","",'RFQ-Input'!N544)</f>
        <v/>
      </c>
      <c r="O545" s="7" t="str">
        <f>IF('RFQ-Input'!O544="","",'RFQ-Input'!O544)</f>
        <v/>
      </c>
      <c r="Q545" s="7"/>
      <c r="R545" s="7"/>
      <c r="S545" s="7"/>
      <c r="T545" s="7"/>
      <c r="U545" s="7"/>
      <c r="V545" s="7"/>
      <c r="X545" s="7"/>
      <c r="Y545" s="7"/>
      <c r="Z545" s="7"/>
      <c r="AA545" s="7" t="str">
        <f t="shared" si="56"/>
        <v/>
      </c>
      <c r="AB545" s="7"/>
      <c r="AC545" s="7"/>
      <c r="AQ545" s="7" t="str">
        <f t="shared" si="57"/>
        <v/>
      </c>
      <c r="AR545" s="7" t="str">
        <f t="shared" si="58"/>
        <v/>
      </c>
      <c r="AS545" s="7" t="str">
        <f t="shared" si="59"/>
        <v/>
      </c>
      <c r="AT545" s="7" t="str">
        <f t="shared" si="60"/>
        <v/>
      </c>
      <c r="AU545" s="7" t="str">
        <f t="shared" si="61"/>
        <v/>
      </c>
      <c r="AV545" s="7" t="str">
        <f t="shared" si="62"/>
        <v/>
      </c>
      <c r="AW545" s="7" t="str">
        <f>IF('RFQ-Input'!O544="","",'RFQ-Input'!O544)</f>
        <v/>
      </c>
      <c r="AX545" s="7" t="str">
        <f>IF('RFQ-Input'!S544="","",'RFQ-Input'!S544)</f>
        <v/>
      </c>
      <c r="AY545" s="7" t="str">
        <f>IF('RFQ-Input'!V544="","",'RFQ-Input'!V544)</f>
        <v/>
      </c>
      <c r="AZ545" s="7" t="str">
        <f>IF('RFQ-Input'!Y544="","",'RFQ-Input'!Y544)</f>
        <v/>
      </c>
      <c r="BA545" s="7" t="str">
        <f>IF('RFQ-Input'!AB544="","",'RFQ-Input'!AB544)</f>
        <v/>
      </c>
    </row>
    <row r="546" spans="1:53">
      <c r="A546" s="20">
        <v>542</v>
      </c>
      <c r="B546" s="7"/>
      <c r="C546" s="7" t="str">
        <f>IF('RFQ-Input'!C545="","",'RFQ-Input'!C545)</f>
        <v/>
      </c>
      <c r="D546" s="7" t="str">
        <f>IF('RFQ-Input'!D545="","",'RFQ-Input'!D545)</f>
        <v/>
      </c>
      <c r="E546" s="7" t="str">
        <f>IF('RFQ-Input'!E545="","",'RFQ-Input'!E545)</f>
        <v/>
      </c>
      <c r="F546" s="7" t="str">
        <f>IF('RFQ-Input'!F545="","",'RFQ-Input'!F545)</f>
        <v/>
      </c>
      <c r="G546" s="7" t="str">
        <f>IF('RFQ-Input'!G545="","",'RFQ-Input'!G545)</f>
        <v/>
      </c>
      <c r="H546" s="7" t="str">
        <f>IF('RFQ-Input'!H545="","",'RFQ-Input'!H545)</f>
        <v/>
      </c>
      <c r="I546" s="7" t="str">
        <f>IF('RFQ-Input'!I545="","",'RFQ-Input'!I545)</f>
        <v/>
      </c>
      <c r="J546" s="7" t="str">
        <f>IF('RFQ-Input'!J545="","",'RFQ-Input'!J545)</f>
        <v/>
      </c>
      <c r="K546" s="7" t="str">
        <f>IF('RFQ-Input'!K545="","",'RFQ-Input'!K545)</f>
        <v/>
      </c>
      <c r="L546" s="7" t="str">
        <f>IF('RFQ-Input'!L545="","",'RFQ-Input'!L545)</f>
        <v/>
      </c>
      <c r="M546" s="7" t="str">
        <f>IF('RFQ-Input'!M545="","",'RFQ-Input'!M545)</f>
        <v/>
      </c>
      <c r="N546" s="7" t="str">
        <f>IF('RFQ-Input'!N545="","",'RFQ-Input'!N545)</f>
        <v/>
      </c>
      <c r="O546" s="7" t="str">
        <f>IF('RFQ-Input'!O545="","",'RFQ-Input'!O545)</f>
        <v/>
      </c>
      <c r="Q546" s="7"/>
      <c r="R546" s="7"/>
      <c r="S546" s="7"/>
      <c r="T546" s="7"/>
      <c r="U546" s="7"/>
      <c r="V546" s="7"/>
      <c r="X546" s="7"/>
      <c r="Y546" s="7"/>
      <c r="Z546" s="7"/>
      <c r="AA546" s="7" t="str">
        <f t="shared" si="56"/>
        <v/>
      </c>
      <c r="AB546" s="7"/>
      <c r="AC546" s="7"/>
      <c r="AQ546" s="7" t="str">
        <f t="shared" si="57"/>
        <v/>
      </c>
      <c r="AR546" s="7" t="str">
        <f t="shared" si="58"/>
        <v/>
      </c>
      <c r="AS546" s="7" t="str">
        <f t="shared" si="59"/>
        <v/>
      </c>
      <c r="AT546" s="7" t="str">
        <f t="shared" si="60"/>
        <v/>
      </c>
      <c r="AU546" s="7" t="str">
        <f t="shared" si="61"/>
        <v/>
      </c>
      <c r="AV546" s="7" t="str">
        <f t="shared" si="62"/>
        <v/>
      </c>
      <c r="AW546" s="7" t="str">
        <f>IF('RFQ-Input'!O545="","",'RFQ-Input'!O545)</f>
        <v/>
      </c>
      <c r="AX546" s="7" t="str">
        <f>IF('RFQ-Input'!S545="","",'RFQ-Input'!S545)</f>
        <v/>
      </c>
      <c r="AY546" s="7" t="str">
        <f>IF('RFQ-Input'!V545="","",'RFQ-Input'!V545)</f>
        <v/>
      </c>
      <c r="AZ546" s="7" t="str">
        <f>IF('RFQ-Input'!Y545="","",'RFQ-Input'!Y545)</f>
        <v/>
      </c>
      <c r="BA546" s="7" t="str">
        <f>IF('RFQ-Input'!AB545="","",'RFQ-Input'!AB545)</f>
        <v/>
      </c>
    </row>
    <row r="547" spans="1:53">
      <c r="A547" s="20">
        <v>543</v>
      </c>
      <c r="B547" s="7"/>
      <c r="C547" s="7" t="str">
        <f>IF('RFQ-Input'!C546="","",'RFQ-Input'!C546)</f>
        <v/>
      </c>
      <c r="D547" s="7" t="str">
        <f>IF('RFQ-Input'!D546="","",'RFQ-Input'!D546)</f>
        <v/>
      </c>
      <c r="E547" s="7" t="str">
        <f>IF('RFQ-Input'!E546="","",'RFQ-Input'!E546)</f>
        <v/>
      </c>
      <c r="F547" s="7" t="str">
        <f>IF('RFQ-Input'!F546="","",'RFQ-Input'!F546)</f>
        <v/>
      </c>
      <c r="G547" s="7" t="str">
        <f>IF('RFQ-Input'!G546="","",'RFQ-Input'!G546)</f>
        <v/>
      </c>
      <c r="H547" s="7" t="str">
        <f>IF('RFQ-Input'!H546="","",'RFQ-Input'!H546)</f>
        <v/>
      </c>
      <c r="I547" s="7" t="str">
        <f>IF('RFQ-Input'!I546="","",'RFQ-Input'!I546)</f>
        <v/>
      </c>
      <c r="J547" s="7" t="str">
        <f>IF('RFQ-Input'!J546="","",'RFQ-Input'!J546)</f>
        <v/>
      </c>
      <c r="K547" s="7" t="str">
        <f>IF('RFQ-Input'!K546="","",'RFQ-Input'!K546)</f>
        <v/>
      </c>
      <c r="L547" s="7" t="str">
        <f>IF('RFQ-Input'!L546="","",'RFQ-Input'!L546)</f>
        <v/>
      </c>
      <c r="M547" s="7" t="str">
        <f>IF('RFQ-Input'!M546="","",'RFQ-Input'!M546)</f>
        <v/>
      </c>
      <c r="N547" s="7" t="str">
        <f>IF('RFQ-Input'!N546="","",'RFQ-Input'!N546)</f>
        <v/>
      </c>
      <c r="O547" s="7" t="str">
        <f>IF('RFQ-Input'!O546="","",'RFQ-Input'!O546)</f>
        <v/>
      </c>
      <c r="Q547" s="7"/>
      <c r="R547" s="7"/>
      <c r="S547" s="7"/>
      <c r="T547" s="7"/>
      <c r="U547" s="7"/>
      <c r="V547" s="7"/>
      <c r="X547" s="7"/>
      <c r="Y547" s="7"/>
      <c r="Z547" s="7"/>
      <c r="AA547" s="7" t="str">
        <f t="shared" si="56"/>
        <v/>
      </c>
      <c r="AB547" s="7"/>
      <c r="AC547" s="7"/>
      <c r="AQ547" s="7" t="str">
        <f t="shared" si="57"/>
        <v/>
      </c>
      <c r="AR547" s="7" t="str">
        <f t="shared" si="58"/>
        <v/>
      </c>
      <c r="AS547" s="7" t="str">
        <f t="shared" si="59"/>
        <v/>
      </c>
      <c r="AT547" s="7" t="str">
        <f t="shared" si="60"/>
        <v/>
      </c>
      <c r="AU547" s="7" t="str">
        <f t="shared" si="61"/>
        <v/>
      </c>
      <c r="AV547" s="7" t="str">
        <f t="shared" si="62"/>
        <v/>
      </c>
      <c r="AW547" s="7" t="str">
        <f>IF('RFQ-Input'!O546="","",'RFQ-Input'!O546)</f>
        <v/>
      </c>
      <c r="AX547" s="7" t="str">
        <f>IF('RFQ-Input'!S546="","",'RFQ-Input'!S546)</f>
        <v/>
      </c>
      <c r="AY547" s="7" t="str">
        <f>IF('RFQ-Input'!V546="","",'RFQ-Input'!V546)</f>
        <v/>
      </c>
      <c r="AZ547" s="7" t="str">
        <f>IF('RFQ-Input'!Y546="","",'RFQ-Input'!Y546)</f>
        <v/>
      </c>
      <c r="BA547" s="7" t="str">
        <f>IF('RFQ-Input'!AB546="","",'RFQ-Input'!AB546)</f>
        <v/>
      </c>
    </row>
    <row r="548" spans="1:53">
      <c r="A548" s="20">
        <v>544</v>
      </c>
      <c r="B548" s="7"/>
      <c r="C548" s="7" t="str">
        <f>IF('RFQ-Input'!C547="","",'RFQ-Input'!C547)</f>
        <v/>
      </c>
      <c r="D548" s="7" t="str">
        <f>IF('RFQ-Input'!D547="","",'RFQ-Input'!D547)</f>
        <v/>
      </c>
      <c r="E548" s="7" t="str">
        <f>IF('RFQ-Input'!E547="","",'RFQ-Input'!E547)</f>
        <v/>
      </c>
      <c r="F548" s="7" t="str">
        <f>IF('RFQ-Input'!F547="","",'RFQ-Input'!F547)</f>
        <v/>
      </c>
      <c r="G548" s="7" t="str">
        <f>IF('RFQ-Input'!G547="","",'RFQ-Input'!G547)</f>
        <v/>
      </c>
      <c r="H548" s="7" t="str">
        <f>IF('RFQ-Input'!H547="","",'RFQ-Input'!H547)</f>
        <v/>
      </c>
      <c r="I548" s="7" t="str">
        <f>IF('RFQ-Input'!I547="","",'RFQ-Input'!I547)</f>
        <v/>
      </c>
      <c r="J548" s="7" t="str">
        <f>IF('RFQ-Input'!J547="","",'RFQ-Input'!J547)</f>
        <v/>
      </c>
      <c r="K548" s="7" t="str">
        <f>IF('RFQ-Input'!K547="","",'RFQ-Input'!K547)</f>
        <v/>
      </c>
      <c r="L548" s="7" t="str">
        <f>IF('RFQ-Input'!L547="","",'RFQ-Input'!L547)</f>
        <v/>
      </c>
      <c r="M548" s="7" t="str">
        <f>IF('RFQ-Input'!M547="","",'RFQ-Input'!M547)</f>
        <v/>
      </c>
      <c r="N548" s="7" t="str">
        <f>IF('RFQ-Input'!N547="","",'RFQ-Input'!N547)</f>
        <v/>
      </c>
      <c r="O548" s="7" t="str">
        <f>IF('RFQ-Input'!O547="","",'RFQ-Input'!O547)</f>
        <v/>
      </c>
      <c r="Q548" s="7"/>
      <c r="R548" s="7"/>
      <c r="S548" s="7"/>
      <c r="T548" s="7"/>
      <c r="U548" s="7"/>
      <c r="V548" s="7"/>
      <c r="X548" s="7"/>
      <c r="Y548" s="7"/>
      <c r="Z548" s="7"/>
      <c r="AA548" s="7" t="str">
        <f t="shared" si="56"/>
        <v/>
      </c>
      <c r="AB548" s="7"/>
      <c r="AC548" s="7"/>
      <c r="AQ548" s="7" t="str">
        <f t="shared" si="57"/>
        <v/>
      </c>
      <c r="AR548" s="7" t="str">
        <f t="shared" si="58"/>
        <v/>
      </c>
      <c r="AS548" s="7" t="str">
        <f t="shared" si="59"/>
        <v/>
      </c>
      <c r="AT548" s="7" t="str">
        <f t="shared" si="60"/>
        <v/>
      </c>
      <c r="AU548" s="7" t="str">
        <f t="shared" si="61"/>
        <v/>
      </c>
      <c r="AV548" s="7" t="str">
        <f t="shared" si="62"/>
        <v/>
      </c>
      <c r="AW548" s="7" t="str">
        <f>IF('RFQ-Input'!O547="","",'RFQ-Input'!O547)</f>
        <v/>
      </c>
      <c r="AX548" s="7" t="str">
        <f>IF('RFQ-Input'!S547="","",'RFQ-Input'!S547)</f>
        <v/>
      </c>
      <c r="AY548" s="7" t="str">
        <f>IF('RFQ-Input'!V547="","",'RFQ-Input'!V547)</f>
        <v/>
      </c>
      <c r="AZ548" s="7" t="str">
        <f>IF('RFQ-Input'!Y547="","",'RFQ-Input'!Y547)</f>
        <v/>
      </c>
      <c r="BA548" s="7" t="str">
        <f>IF('RFQ-Input'!AB547="","",'RFQ-Input'!AB547)</f>
        <v/>
      </c>
    </row>
    <row r="549" spans="1:53">
      <c r="A549" s="20">
        <v>545</v>
      </c>
      <c r="B549" s="7"/>
      <c r="C549" s="7" t="str">
        <f>IF('RFQ-Input'!C548="","",'RFQ-Input'!C548)</f>
        <v/>
      </c>
      <c r="D549" s="7" t="str">
        <f>IF('RFQ-Input'!D548="","",'RFQ-Input'!D548)</f>
        <v/>
      </c>
      <c r="E549" s="7" t="str">
        <f>IF('RFQ-Input'!E548="","",'RFQ-Input'!E548)</f>
        <v/>
      </c>
      <c r="F549" s="7" t="str">
        <f>IF('RFQ-Input'!F548="","",'RFQ-Input'!F548)</f>
        <v/>
      </c>
      <c r="G549" s="7" t="str">
        <f>IF('RFQ-Input'!G548="","",'RFQ-Input'!G548)</f>
        <v/>
      </c>
      <c r="H549" s="7" t="str">
        <f>IF('RFQ-Input'!H548="","",'RFQ-Input'!H548)</f>
        <v/>
      </c>
      <c r="I549" s="7" t="str">
        <f>IF('RFQ-Input'!I548="","",'RFQ-Input'!I548)</f>
        <v/>
      </c>
      <c r="J549" s="7" t="str">
        <f>IF('RFQ-Input'!J548="","",'RFQ-Input'!J548)</f>
        <v/>
      </c>
      <c r="K549" s="7" t="str">
        <f>IF('RFQ-Input'!K548="","",'RFQ-Input'!K548)</f>
        <v/>
      </c>
      <c r="L549" s="7" t="str">
        <f>IF('RFQ-Input'!L548="","",'RFQ-Input'!L548)</f>
        <v/>
      </c>
      <c r="M549" s="7" t="str">
        <f>IF('RFQ-Input'!M548="","",'RFQ-Input'!M548)</f>
        <v/>
      </c>
      <c r="N549" s="7" t="str">
        <f>IF('RFQ-Input'!N548="","",'RFQ-Input'!N548)</f>
        <v/>
      </c>
      <c r="O549" s="7" t="str">
        <f>IF('RFQ-Input'!O548="","",'RFQ-Input'!O548)</f>
        <v/>
      </c>
      <c r="Q549" s="7"/>
      <c r="R549" s="7"/>
      <c r="S549" s="7"/>
      <c r="T549" s="7"/>
      <c r="U549" s="7"/>
      <c r="V549" s="7"/>
      <c r="X549" s="7"/>
      <c r="Y549" s="7"/>
      <c r="Z549" s="7"/>
      <c r="AA549" s="7" t="str">
        <f t="shared" si="56"/>
        <v/>
      </c>
      <c r="AB549" s="7"/>
      <c r="AC549" s="7"/>
      <c r="AQ549" s="7" t="str">
        <f t="shared" si="57"/>
        <v/>
      </c>
      <c r="AR549" s="7" t="str">
        <f t="shared" si="58"/>
        <v/>
      </c>
      <c r="AS549" s="7" t="str">
        <f t="shared" si="59"/>
        <v/>
      </c>
      <c r="AT549" s="7" t="str">
        <f t="shared" si="60"/>
        <v/>
      </c>
      <c r="AU549" s="7" t="str">
        <f t="shared" si="61"/>
        <v/>
      </c>
      <c r="AV549" s="7" t="str">
        <f t="shared" si="62"/>
        <v/>
      </c>
      <c r="AW549" s="7" t="str">
        <f>IF('RFQ-Input'!O548="","",'RFQ-Input'!O548)</f>
        <v/>
      </c>
      <c r="AX549" s="7" t="str">
        <f>IF('RFQ-Input'!S548="","",'RFQ-Input'!S548)</f>
        <v/>
      </c>
      <c r="AY549" s="7" t="str">
        <f>IF('RFQ-Input'!V548="","",'RFQ-Input'!V548)</f>
        <v/>
      </c>
      <c r="AZ549" s="7" t="str">
        <f>IF('RFQ-Input'!Y548="","",'RFQ-Input'!Y548)</f>
        <v/>
      </c>
      <c r="BA549" s="7" t="str">
        <f>IF('RFQ-Input'!AB548="","",'RFQ-Input'!AB548)</f>
        <v/>
      </c>
    </row>
    <row r="550" spans="1:53">
      <c r="A550" s="20">
        <v>546</v>
      </c>
      <c r="B550" s="7"/>
      <c r="C550" s="7" t="str">
        <f>IF('RFQ-Input'!C549="","",'RFQ-Input'!C549)</f>
        <v/>
      </c>
      <c r="D550" s="7" t="str">
        <f>IF('RFQ-Input'!D549="","",'RFQ-Input'!D549)</f>
        <v/>
      </c>
      <c r="E550" s="7" t="str">
        <f>IF('RFQ-Input'!E549="","",'RFQ-Input'!E549)</f>
        <v/>
      </c>
      <c r="F550" s="7" t="str">
        <f>IF('RFQ-Input'!F549="","",'RFQ-Input'!F549)</f>
        <v/>
      </c>
      <c r="G550" s="7" t="str">
        <f>IF('RFQ-Input'!G549="","",'RFQ-Input'!G549)</f>
        <v/>
      </c>
      <c r="H550" s="7" t="str">
        <f>IF('RFQ-Input'!H549="","",'RFQ-Input'!H549)</f>
        <v/>
      </c>
      <c r="I550" s="7" t="str">
        <f>IF('RFQ-Input'!I549="","",'RFQ-Input'!I549)</f>
        <v/>
      </c>
      <c r="J550" s="7" t="str">
        <f>IF('RFQ-Input'!J549="","",'RFQ-Input'!J549)</f>
        <v/>
      </c>
      <c r="K550" s="7" t="str">
        <f>IF('RFQ-Input'!K549="","",'RFQ-Input'!K549)</f>
        <v/>
      </c>
      <c r="L550" s="7" t="str">
        <f>IF('RFQ-Input'!L549="","",'RFQ-Input'!L549)</f>
        <v/>
      </c>
      <c r="M550" s="7" t="str">
        <f>IF('RFQ-Input'!M549="","",'RFQ-Input'!M549)</f>
        <v/>
      </c>
      <c r="N550" s="7" t="str">
        <f>IF('RFQ-Input'!N549="","",'RFQ-Input'!N549)</f>
        <v/>
      </c>
      <c r="O550" s="7" t="str">
        <f>IF('RFQ-Input'!O549="","",'RFQ-Input'!O549)</f>
        <v/>
      </c>
      <c r="Q550" s="7"/>
      <c r="R550" s="7"/>
      <c r="S550" s="7"/>
      <c r="T550" s="7"/>
      <c r="U550" s="7"/>
      <c r="V550" s="7"/>
      <c r="X550" s="7"/>
      <c r="Y550" s="7"/>
      <c r="Z550" s="7"/>
      <c r="AA550" s="7" t="str">
        <f t="shared" si="56"/>
        <v/>
      </c>
      <c r="AB550" s="7"/>
      <c r="AC550" s="7"/>
      <c r="AQ550" s="7" t="str">
        <f t="shared" si="57"/>
        <v/>
      </c>
      <c r="AR550" s="7" t="str">
        <f t="shared" si="58"/>
        <v/>
      </c>
      <c r="AS550" s="7" t="str">
        <f t="shared" si="59"/>
        <v/>
      </c>
      <c r="AT550" s="7" t="str">
        <f t="shared" si="60"/>
        <v/>
      </c>
      <c r="AU550" s="7" t="str">
        <f t="shared" si="61"/>
        <v/>
      </c>
      <c r="AV550" s="7" t="str">
        <f t="shared" si="62"/>
        <v/>
      </c>
      <c r="AW550" s="7" t="str">
        <f>IF('RFQ-Input'!O549="","",'RFQ-Input'!O549)</f>
        <v/>
      </c>
      <c r="AX550" s="7" t="str">
        <f>IF('RFQ-Input'!S549="","",'RFQ-Input'!S549)</f>
        <v/>
      </c>
      <c r="AY550" s="7" t="str">
        <f>IF('RFQ-Input'!V549="","",'RFQ-Input'!V549)</f>
        <v/>
      </c>
      <c r="AZ550" s="7" t="str">
        <f>IF('RFQ-Input'!Y549="","",'RFQ-Input'!Y549)</f>
        <v/>
      </c>
      <c r="BA550" s="7" t="str">
        <f>IF('RFQ-Input'!AB549="","",'RFQ-Input'!AB549)</f>
        <v/>
      </c>
    </row>
    <row r="551" spans="1:53">
      <c r="A551" s="20">
        <v>547</v>
      </c>
      <c r="B551" s="7"/>
      <c r="C551" s="7" t="str">
        <f>IF('RFQ-Input'!C550="","",'RFQ-Input'!C550)</f>
        <v/>
      </c>
      <c r="D551" s="7" t="str">
        <f>IF('RFQ-Input'!D550="","",'RFQ-Input'!D550)</f>
        <v/>
      </c>
      <c r="E551" s="7" t="str">
        <f>IF('RFQ-Input'!E550="","",'RFQ-Input'!E550)</f>
        <v/>
      </c>
      <c r="F551" s="7" t="str">
        <f>IF('RFQ-Input'!F550="","",'RFQ-Input'!F550)</f>
        <v/>
      </c>
      <c r="G551" s="7" t="str">
        <f>IF('RFQ-Input'!G550="","",'RFQ-Input'!G550)</f>
        <v/>
      </c>
      <c r="H551" s="7" t="str">
        <f>IF('RFQ-Input'!H550="","",'RFQ-Input'!H550)</f>
        <v/>
      </c>
      <c r="I551" s="7" t="str">
        <f>IF('RFQ-Input'!I550="","",'RFQ-Input'!I550)</f>
        <v/>
      </c>
      <c r="J551" s="7" t="str">
        <f>IF('RFQ-Input'!J550="","",'RFQ-Input'!J550)</f>
        <v/>
      </c>
      <c r="K551" s="7" t="str">
        <f>IF('RFQ-Input'!K550="","",'RFQ-Input'!K550)</f>
        <v/>
      </c>
      <c r="L551" s="7" t="str">
        <f>IF('RFQ-Input'!L550="","",'RFQ-Input'!L550)</f>
        <v/>
      </c>
      <c r="M551" s="7" t="str">
        <f>IF('RFQ-Input'!M550="","",'RFQ-Input'!M550)</f>
        <v/>
      </c>
      <c r="N551" s="7" t="str">
        <f>IF('RFQ-Input'!N550="","",'RFQ-Input'!N550)</f>
        <v/>
      </c>
      <c r="O551" s="7" t="str">
        <f>IF('RFQ-Input'!O550="","",'RFQ-Input'!O550)</f>
        <v/>
      </c>
      <c r="Q551" s="7"/>
      <c r="R551" s="7"/>
      <c r="S551" s="7"/>
      <c r="T551" s="7"/>
      <c r="U551" s="7"/>
      <c r="V551" s="7"/>
      <c r="X551" s="7"/>
      <c r="Y551" s="7"/>
      <c r="Z551" s="7"/>
      <c r="AA551" s="7" t="str">
        <f t="shared" si="56"/>
        <v/>
      </c>
      <c r="AB551" s="7"/>
      <c r="AC551" s="7"/>
      <c r="AQ551" s="7" t="str">
        <f t="shared" si="57"/>
        <v/>
      </c>
      <c r="AR551" s="7" t="str">
        <f t="shared" si="58"/>
        <v/>
      </c>
      <c r="AS551" s="7" t="str">
        <f t="shared" si="59"/>
        <v/>
      </c>
      <c r="AT551" s="7" t="str">
        <f t="shared" si="60"/>
        <v/>
      </c>
      <c r="AU551" s="7" t="str">
        <f t="shared" si="61"/>
        <v/>
      </c>
      <c r="AV551" s="7" t="str">
        <f t="shared" si="62"/>
        <v/>
      </c>
      <c r="AW551" s="7" t="str">
        <f>IF('RFQ-Input'!O550="","",'RFQ-Input'!O550)</f>
        <v/>
      </c>
      <c r="AX551" s="7" t="str">
        <f>IF('RFQ-Input'!S550="","",'RFQ-Input'!S550)</f>
        <v/>
      </c>
      <c r="AY551" s="7" t="str">
        <f>IF('RFQ-Input'!V550="","",'RFQ-Input'!V550)</f>
        <v/>
      </c>
      <c r="AZ551" s="7" t="str">
        <f>IF('RFQ-Input'!Y550="","",'RFQ-Input'!Y550)</f>
        <v/>
      </c>
      <c r="BA551" s="7" t="str">
        <f>IF('RFQ-Input'!AB550="","",'RFQ-Input'!AB550)</f>
        <v/>
      </c>
    </row>
    <row r="552" spans="1:53">
      <c r="A552" s="20">
        <v>548</v>
      </c>
      <c r="B552" s="7"/>
      <c r="C552" s="7" t="str">
        <f>IF('RFQ-Input'!C551="","",'RFQ-Input'!C551)</f>
        <v/>
      </c>
      <c r="D552" s="7" t="str">
        <f>IF('RFQ-Input'!D551="","",'RFQ-Input'!D551)</f>
        <v/>
      </c>
      <c r="E552" s="7" t="str">
        <f>IF('RFQ-Input'!E551="","",'RFQ-Input'!E551)</f>
        <v/>
      </c>
      <c r="F552" s="7" t="str">
        <f>IF('RFQ-Input'!F551="","",'RFQ-Input'!F551)</f>
        <v/>
      </c>
      <c r="G552" s="7" t="str">
        <f>IF('RFQ-Input'!G551="","",'RFQ-Input'!G551)</f>
        <v/>
      </c>
      <c r="H552" s="7" t="str">
        <f>IF('RFQ-Input'!H551="","",'RFQ-Input'!H551)</f>
        <v/>
      </c>
      <c r="I552" s="7" t="str">
        <f>IF('RFQ-Input'!I551="","",'RFQ-Input'!I551)</f>
        <v/>
      </c>
      <c r="J552" s="7" t="str">
        <f>IF('RFQ-Input'!J551="","",'RFQ-Input'!J551)</f>
        <v/>
      </c>
      <c r="K552" s="7" t="str">
        <f>IF('RFQ-Input'!K551="","",'RFQ-Input'!K551)</f>
        <v/>
      </c>
      <c r="L552" s="7" t="str">
        <f>IF('RFQ-Input'!L551="","",'RFQ-Input'!L551)</f>
        <v/>
      </c>
      <c r="M552" s="7" t="str">
        <f>IF('RFQ-Input'!M551="","",'RFQ-Input'!M551)</f>
        <v/>
      </c>
      <c r="N552" s="7" t="str">
        <f>IF('RFQ-Input'!N551="","",'RFQ-Input'!N551)</f>
        <v/>
      </c>
      <c r="O552" s="7" t="str">
        <f>IF('RFQ-Input'!O551="","",'RFQ-Input'!O551)</f>
        <v/>
      </c>
      <c r="Q552" s="7"/>
      <c r="R552" s="7"/>
      <c r="S552" s="7"/>
      <c r="T552" s="7"/>
      <c r="U552" s="7"/>
      <c r="V552" s="7"/>
      <c r="X552" s="7"/>
      <c r="Y552" s="7"/>
      <c r="Z552" s="7"/>
      <c r="AA552" s="7" t="str">
        <f t="shared" si="56"/>
        <v/>
      </c>
      <c r="AB552" s="7"/>
      <c r="AC552" s="7"/>
      <c r="AQ552" s="7" t="str">
        <f t="shared" si="57"/>
        <v/>
      </c>
      <c r="AR552" s="7" t="str">
        <f t="shared" si="58"/>
        <v/>
      </c>
      <c r="AS552" s="7" t="str">
        <f t="shared" si="59"/>
        <v/>
      </c>
      <c r="AT552" s="7" t="str">
        <f t="shared" si="60"/>
        <v/>
      </c>
      <c r="AU552" s="7" t="str">
        <f t="shared" si="61"/>
        <v/>
      </c>
      <c r="AV552" s="7" t="str">
        <f t="shared" si="62"/>
        <v/>
      </c>
      <c r="AW552" s="7" t="str">
        <f>IF('RFQ-Input'!O551="","",'RFQ-Input'!O551)</f>
        <v/>
      </c>
      <c r="AX552" s="7" t="str">
        <f>IF('RFQ-Input'!S551="","",'RFQ-Input'!S551)</f>
        <v/>
      </c>
      <c r="AY552" s="7" t="str">
        <f>IF('RFQ-Input'!V551="","",'RFQ-Input'!V551)</f>
        <v/>
      </c>
      <c r="AZ552" s="7" t="str">
        <f>IF('RFQ-Input'!Y551="","",'RFQ-Input'!Y551)</f>
        <v/>
      </c>
      <c r="BA552" s="7" t="str">
        <f>IF('RFQ-Input'!AB551="","",'RFQ-Input'!AB551)</f>
        <v/>
      </c>
    </row>
    <row r="553" spans="1:53">
      <c r="A553" s="20">
        <v>549</v>
      </c>
      <c r="B553" s="7"/>
      <c r="C553" s="7" t="str">
        <f>IF('RFQ-Input'!C552="","",'RFQ-Input'!C552)</f>
        <v/>
      </c>
      <c r="D553" s="7" t="str">
        <f>IF('RFQ-Input'!D552="","",'RFQ-Input'!D552)</f>
        <v/>
      </c>
      <c r="E553" s="7" t="str">
        <f>IF('RFQ-Input'!E552="","",'RFQ-Input'!E552)</f>
        <v/>
      </c>
      <c r="F553" s="7" t="str">
        <f>IF('RFQ-Input'!F552="","",'RFQ-Input'!F552)</f>
        <v/>
      </c>
      <c r="G553" s="7" t="str">
        <f>IF('RFQ-Input'!G552="","",'RFQ-Input'!G552)</f>
        <v/>
      </c>
      <c r="H553" s="7" t="str">
        <f>IF('RFQ-Input'!H552="","",'RFQ-Input'!H552)</f>
        <v/>
      </c>
      <c r="I553" s="7" t="str">
        <f>IF('RFQ-Input'!I552="","",'RFQ-Input'!I552)</f>
        <v/>
      </c>
      <c r="J553" s="7" t="str">
        <f>IF('RFQ-Input'!J552="","",'RFQ-Input'!J552)</f>
        <v/>
      </c>
      <c r="K553" s="7" t="str">
        <f>IF('RFQ-Input'!K552="","",'RFQ-Input'!K552)</f>
        <v/>
      </c>
      <c r="L553" s="7" t="str">
        <f>IF('RFQ-Input'!L552="","",'RFQ-Input'!L552)</f>
        <v/>
      </c>
      <c r="M553" s="7" t="str">
        <f>IF('RFQ-Input'!M552="","",'RFQ-Input'!M552)</f>
        <v/>
      </c>
      <c r="N553" s="7" t="str">
        <f>IF('RFQ-Input'!N552="","",'RFQ-Input'!N552)</f>
        <v/>
      </c>
      <c r="O553" s="7" t="str">
        <f>IF('RFQ-Input'!O552="","",'RFQ-Input'!O552)</f>
        <v/>
      </c>
      <c r="Q553" s="7"/>
      <c r="R553" s="7"/>
      <c r="S553" s="7"/>
      <c r="T553" s="7"/>
      <c r="U553" s="7"/>
      <c r="V553" s="7"/>
      <c r="X553" s="7"/>
      <c r="Y553" s="7"/>
      <c r="Z553" s="7"/>
      <c r="AA553" s="7" t="str">
        <f t="shared" si="56"/>
        <v/>
      </c>
      <c r="AB553" s="7"/>
      <c r="AC553" s="7"/>
      <c r="AQ553" s="7" t="str">
        <f t="shared" si="57"/>
        <v/>
      </c>
      <c r="AR553" s="7" t="str">
        <f t="shared" si="58"/>
        <v/>
      </c>
      <c r="AS553" s="7" t="str">
        <f t="shared" si="59"/>
        <v/>
      </c>
      <c r="AT553" s="7" t="str">
        <f t="shared" si="60"/>
        <v/>
      </c>
      <c r="AU553" s="7" t="str">
        <f t="shared" si="61"/>
        <v/>
      </c>
      <c r="AV553" s="7" t="str">
        <f t="shared" si="62"/>
        <v/>
      </c>
      <c r="AW553" s="7" t="str">
        <f>IF('RFQ-Input'!O552="","",'RFQ-Input'!O552)</f>
        <v/>
      </c>
      <c r="AX553" s="7" t="str">
        <f>IF('RFQ-Input'!S552="","",'RFQ-Input'!S552)</f>
        <v/>
      </c>
      <c r="AY553" s="7" t="str">
        <f>IF('RFQ-Input'!V552="","",'RFQ-Input'!V552)</f>
        <v/>
      </c>
      <c r="AZ553" s="7" t="str">
        <f>IF('RFQ-Input'!Y552="","",'RFQ-Input'!Y552)</f>
        <v/>
      </c>
      <c r="BA553" s="7" t="str">
        <f>IF('RFQ-Input'!AB552="","",'RFQ-Input'!AB552)</f>
        <v/>
      </c>
    </row>
    <row r="554" spans="1:53">
      <c r="A554" s="20">
        <v>550</v>
      </c>
      <c r="B554" s="7"/>
      <c r="C554" s="7" t="str">
        <f>IF('RFQ-Input'!C553="","",'RFQ-Input'!C553)</f>
        <v/>
      </c>
      <c r="D554" s="7" t="str">
        <f>IF('RFQ-Input'!D553="","",'RFQ-Input'!D553)</f>
        <v/>
      </c>
      <c r="E554" s="7" t="str">
        <f>IF('RFQ-Input'!E553="","",'RFQ-Input'!E553)</f>
        <v/>
      </c>
      <c r="F554" s="7" t="str">
        <f>IF('RFQ-Input'!F553="","",'RFQ-Input'!F553)</f>
        <v/>
      </c>
      <c r="G554" s="7" t="str">
        <f>IF('RFQ-Input'!G553="","",'RFQ-Input'!G553)</f>
        <v/>
      </c>
      <c r="H554" s="7" t="str">
        <f>IF('RFQ-Input'!H553="","",'RFQ-Input'!H553)</f>
        <v/>
      </c>
      <c r="I554" s="7" t="str">
        <f>IF('RFQ-Input'!I553="","",'RFQ-Input'!I553)</f>
        <v/>
      </c>
      <c r="J554" s="7" t="str">
        <f>IF('RFQ-Input'!J553="","",'RFQ-Input'!J553)</f>
        <v/>
      </c>
      <c r="K554" s="7" t="str">
        <f>IF('RFQ-Input'!K553="","",'RFQ-Input'!K553)</f>
        <v/>
      </c>
      <c r="L554" s="7" t="str">
        <f>IF('RFQ-Input'!L553="","",'RFQ-Input'!L553)</f>
        <v/>
      </c>
      <c r="M554" s="7" t="str">
        <f>IF('RFQ-Input'!M553="","",'RFQ-Input'!M553)</f>
        <v/>
      </c>
      <c r="N554" s="7" t="str">
        <f>IF('RFQ-Input'!N553="","",'RFQ-Input'!N553)</f>
        <v/>
      </c>
      <c r="O554" s="7" t="str">
        <f>IF('RFQ-Input'!O553="","",'RFQ-Input'!O553)</f>
        <v/>
      </c>
      <c r="Q554" s="7"/>
      <c r="R554" s="7"/>
      <c r="S554" s="7"/>
      <c r="T554" s="7"/>
      <c r="U554" s="7"/>
      <c r="V554" s="7"/>
      <c r="X554" s="7"/>
      <c r="Y554" s="7"/>
      <c r="Z554" s="7"/>
      <c r="AA554" s="7" t="str">
        <f t="shared" si="56"/>
        <v/>
      </c>
      <c r="AB554" s="7"/>
      <c r="AC554" s="7"/>
      <c r="AQ554" s="7" t="str">
        <f t="shared" si="57"/>
        <v/>
      </c>
      <c r="AR554" s="7" t="str">
        <f t="shared" si="58"/>
        <v/>
      </c>
      <c r="AS554" s="7" t="str">
        <f t="shared" si="59"/>
        <v/>
      </c>
      <c r="AT554" s="7" t="str">
        <f t="shared" si="60"/>
        <v/>
      </c>
      <c r="AU554" s="7" t="str">
        <f t="shared" si="61"/>
        <v/>
      </c>
      <c r="AV554" s="7" t="str">
        <f t="shared" si="62"/>
        <v/>
      </c>
      <c r="AW554" s="7" t="str">
        <f>IF('RFQ-Input'!O553="","",'RFQ-Input'!O553)</f>
        <v/>
      </c>
      <c r="AX554" s="7" t="str">
        <f>IF('RFQ-Input'!S553="","",'RFQ-Input'!S553)</f>
        <v/>
      </c>
      <c r="AY554" s="7" t="str">
        <f>IF('RFQ-Input'!V553="","",'RFQ-Input'!V553)</f>
        <v/>
      </c>
      <c r="AZ554" s="7" t="str">
        <f>IF('RFQ-Input'!Y553="","",'RFQ-Input'!Y553)</f>
        <v/>
      </c>
      <c r="BA554" s="7" t="str">
        <f>IF('RFQ-Input'!AB553="","",'RFQ-Input'!AB553)</f>
        <v/>
      </c>
    </row>
    <row r="555" spans="1:53">
      <c r="A555" s="20">
        <v>551</v>
      </c>
      <c r="B555" s="7"/>
      <c r="C555" s="7" t="str">
        <f>IF('RFQ-Input'!C554="","",'RFQ-Input'!C554)</f>
        <v/>
      </c>
      <c r="D555" s="7" t="str">
        <f>IF('RFQ-Input'!D554="","",'RFQ-Input'!D554)</f>
        <v/>
      </c>
      <c r="E555" s="7" t="str">
        <f>IF('RFQ-Input'!E554="","",'RFQ-Input'!E554)</f>
        <v/>
      </c>
      <c r="F555" s="7" t="str">
        <f>IF('RFQ-Input'!F554="","",'RFQ-Input'!F554)</f>
        <v/>
      </c>
      <c r="G555" s="7" t="str">
        <f>IF('RFQ-Input'!G554="","",'RFQ-Input'!G554)</f>
        <v/>
      </c>
      <c r="H555" s="7" t="str">
        <f>IF('RFQ-Input'!H554="","",'RFQ-Input'!H554)</f>
        <v/>
      </c>
      <c r="I555" s="7" t="str">
        <f>IF('RFQ-Input'!I554="","",'RFQ-Input'!I554)</f>
        <v/>
      </c>
      <c r="J555" s="7" t="str">
        <f>IF('RFQ-Input'!J554="","",'RFQ-Input'!J554)</f>
        <v/>
      </c>
      <c r="K555" s="7" t="str">
        <f>IF('RFQ-Input'!K554="","",'RFQ-Input'!K554)</f>
        <v/>
      </c>
      <c r="L555" s="7" t="str">
        <f>IF('RFQ-Input'!L554="","",'RFQ-Input'!L554)</f>
        <v/>
      </c>
      <c r="M555" s="7" t="str">
        <f>IF('RFQ-Input'!M554="","",'RFQ-Input'!M554)</f>
        <v/>
      </c>
      <c r="N555" s="7" t="str">
        <f>IF('RFQ-Input'!N554="","",'RFQ-Input'!N554)</f>
        <v/>
      </c>
      <c r="O555" s="7" t="str">
        <f>IF('RFQ-Input'!O554="","",'RFQ-Input'!O554)</f>
        <v/>
      </c>
      <c r="Q555" s="7"/>
      <c r="R555" s="7"/>
      <c r="S555" s="7"/>
      <c r="T555" s="7"/>
      <c r="U555" s="7"/>
      <c r="V555" s="7"/>
      <c r="X555" s="7"/>
      <c r="Y555" s="7"/>
      <c r="Z555" s="7"/>
      <c r="AA555" s="7" t="str">
        <f t="shared" si="56"/>
        <v/>
      </c>
      <c r="AB555" s="7"/>
      <c r="AC555" s="7"/>
      <c r="AQ555" s="7" t="str">
        <f t="shared" si="57"/>
        <v/>
      </c>
      <c r="AR555" s="7" t="str">
        <f t="shared" si="58"/>
        <v/>
      </c>
      <c r="AS555" s="7" t="str">
        <f t="shared" si="59"/>
        <v/>
      </c>
      <c r="AT555" s="7" t="str">
        <f t="shared" si="60"/>
        <v/>
      </c>
      <c r="AU555" s="7" t="str">
        <f t="shared" si="61"/>
        <v/>
      </c>
      <c r="AV555" s="7" t="str">
        <f t="shared" si="62"/>
        <v/>
      </c>
      <c r="AW555" s="7" t="str">
        <f>IF('RFQ-Input'!O554="","",'RFQ-Input'!O554)</f>
        <v/>
      </c>
      <c r="AX555" s="7" t="str">
        <f>IF('RFQ-Input'!S554="","",'RFQ-Input'!S554)</f>
        <v/>
      </c>
      <c r="AY555" s="7" t="str">
        <f>IF('RFQ-Input'!V554="","",'RFQ-Input'!V554)</f>
        <v/>
      </c>
      <c r="AZ555" s="7" t="str">
        <f>IF('RFQ-Input'!Y554="","",'RFQ-Input'!Y554)</f>
        <v/>
      </c>
      <c r="BA555" s="7" t="str">
        <f>IF('RFQ-Input'!AB554="","",'RFQ-Input'!AB554)</f>
        <v/>
      </c>
    </row>
    <row r="556" spans="1:53">
      <c r="A556" s="20">
        <v>552</v>
      </c>
      <c r="B556" s="7"/>
      <c r="C556" s="7" t="str">
        <f>IF('RFQ-Input'!C555="","",'RFQ-Input'!C555)</f>
        <v/>
      </c>
      <c r="D556" s="7" t="str">
        <f>IF('RFQ-Input'!D555="","",'RFQ-Input'!D555)</f>
        <v/>
      </c>
      <c r="E556" s="7" t="str">
        <f>IF('RFQ-Input'!E555="","",'RFQ-Input'!E555)</f>
        <v/>
      </c>
      <c r="F556" s="7" t="str">
        <f>IF('RFQ-Input'!F555="","",'RFQ-Input'!F555)</f>
        <v/>
      </c>
      <c r="G556" s="7" t="str">
        <f>IF('RFQ-Input'!G555="","",'RFQ-Input'!G555)</f>
        <v/>
      </c>
      <c r="H556" s="7" t="str">
        <f>IF('RFQ-Input'!H555="","",'RFQ-Input'!H555)</f>
        <v/>
      </c>
      <c r="I556" s="7" t="str">
        <f>IF('RFQ-Input'!I555="","",'RFQ-Input'!I555)</f>
        <v/>
      </c>
      <c r="J556" s="7" t="str">
        <f>IF('RFQ-Input'!J555="","",'RFQ-Input'!J555)</f>
        <v/>
      </c>
      <c r="K556" s="7" t="str">
        <f>IF('RFQ-Input'!K555="","",'RFQ-Input'!K555)</f>
        <v/>
      </c>
      <c r="L556" s="7" t="str">
        <f>IF('RFQ-Input'!L555="","",'RFQ-Input'!L555)</f>
        <v/>
      </c>
      <c r="M556" s="7" t="str">
        <f>IF('RFQ-Input'!M555="","",'RFQ-Input'!M555)</f>
        <v/>
      </c>
      <c r="N556" s="7" t="str">
        <f>IF('RFQ-Input'!N555="","",'RFQ-Input'!N555)</f>
        <v/>
      </c>
      <c r="O556" s="7" t="str">
        <f>IF('RFQ-Input'!O555="","",'RFQ-Input'!O555)</f>
        <v/>
      </c>
      <c r="Q556" s="7"/>
      <c r="R556" s="7"/>
      <c r="S556" s="7"/>
      <c r="T556" s="7"/>
      <c r="U556" s="7"/>
      <c r="V556" s="7"/>
      <c r="X556" s="7"/>
      <c r="Y556" s="7"/>
      <c r="Z556" s="7"/>
      <c r="AA556" s="7" t="str">
        <f t="shared" si="56"/>
        <v/>
      </c>
      <c r="AB556" s="7"/>
      <c r="AC556" s="7"/>
      <c r="AQ556" s="7" t="str">
        <f t="shared" si="57"/>
        <v/>
      </c>
      <c r="AR556" s="7" t="str">
        <f t="shared" si="58"/>
        <v/>
      </c>
      <c r="AS556" s="7" t="str">
        <f t="shared" si="59"/>
        <v/>
      </c>
      <c r="AT556" s="7" t="str">
        <f t="shared" si="60"/>
        <v/>
      </c>
      <c r="AU556" s="7" t="str">
        <f t="shared" si="61"/>
        <v/>
      </c>
      <c r="AV556" s="7" t="str">
        <f t="shared" si="62"/>
        <v/>
      </c>
      <c r="AW556" s="7" t="str">
        <f>IF('RFQ-Input'!O555="","",'RFQ-Input'!O555)</f>
        <v/>
      </c>
      <c r="AX556" s="7" t="str">
        <f>IF('RFQ-Input'!S555="","",'RFQ-Input'!S555)</f>
        <v/>
      </c>
      <c r="AY556" s="7" t="str">
        <f>IF('RFQ-Input'!V555="","",'RFQ-Input'!V555)</f>
        <v/>
      </c>
      <c r="AZ556" s="7" t="str">
        <f>IF('RFQ-Input'!Y555="","",'RFQ-Input'!Y555)</f>
        <v/>
      </c>
      <c r="BA556" s="7" t="str">
        <f>IF('RFQ-Input'!AB555="","",'RFQ-Input'!AB555)</f>
        <v/>
      </c>
    </row>
    <row r="557" spans="1:53">
      <c r="A557" s="20">
        <v>553</v>
      </c>
      <c r="B557" s="7"/>
      <c r="C557" s="7" t="str">
        <f>IF('RFQ-Input'!C556="","",'RFQ-Input'!C556)</f>
        <v/>
      </c>
      <c r="D557" s="7" t="str">
        <f>IF('RFQ-Input'!D556="","",'RFQ-Input'!D556)</f>
        <v/>
      </c>
      <c r="E557" s="7" t="str">
        <f>IF('RFQ-Input'!E556="","",'RFQ-Input'!E556)</f>
        <v/>
      </c>
      <c r="F557" s="7" t="str">
        <f>IF('RFQ-Input'!F556="","",'RFQ-Input'!F556)</f>
        <v/>
      </c>
      <c r="G557" s="7" t="str">
        <f>IF('RFQ-Input'!G556="","",'RFQ-Input'!G556)</f>
        <v/>
      </c>
      <c r="H557" s="7" t="str">
        <f>IF('RFQ-Input'!H556="","",'RFQ-Input'!H556)</f>
        <v/>
      </c>
      <c r="I557" s="7" t="str">
        <f>IF('RFQ-Input'!I556="","",'RFQ-Input'!I556)</f>
        <v/>
      </c>
      <c r="J557" s="7" t="str">
        <f>IF('RFQ-Input'!J556="","",'RFQ-Input'!J556)</f>
        <v/>
      </c>
      <c r="K557" s="7" t="str">
        <f>IF('RFQ-Input'!K556="","",'RFQ-Input'!K556)</f>
        <v/>
      </c>
      <c r="L557" s="7" t="str">
        <f>IF('RFQ-Input'!L556="","",'RFQ-Input'!L556)</f>
        <v/>
      </c>
      <c r="M557" s="7" t="str">
        <f>IF('RFQ-Input'!M556="","",'RFQ-Input'!M556)</f>
        <v/>
      </c>
      <c r="N557" s="7" t="str">
        <f>IF('RFQ-Input'!N556="","",'RFQ-Input'!N556)</f>
        <v/>
      </c>
      <c r="O557" s="7" t="str">
        <f>IF('RFQ-Input'!O556="","",'RFQ-Input'!O556)</f>
        <v/>
      </c>
      <c r="Q557" s="7"/>
      <c r="R557" s="7"/>
      <c r="S557" s="7"/>
      <c r="T557" s="7"/>
      <c r="U557" s="7"/>
      <c r="V557" s="7"/>
      <c r="X557" s="7"/>
      <c r="Y557" s="7"/>
      <c r="Z557" s="7"/>
      <c r="AA557" s="7" t="str">
        <f t="shared" si="56"/>
        <v/>
      </c>
      <c r="AB557" s="7"/>
      <c r="AC557" s="7"/>
      <c r="AQ557" s="7" t="str">
        <f t="shared" si="57"/>
        <v/>
      </c>
      <c r="AR557" s="7" t="str">
        <f t="shared" si="58"/>
        <v/>
      </c>
      <c r="AS557" s="7" t="str">
        <f t="shared" si="59"/>
        <v/>
      </c>
      <c r="AT557" s="7" t="str">
        <f t="shared" si="60"/>
        <v/>
      </c>
      <c r="AU557" s="7" t="str">
        <f t="shared" si="61"/>
        <v/>
      </c>
      <c r="AV557" s="7" t="str">
        <f t="shared" si="62"/>
        <v/>
      </c>
      <c r="AW557" s="7" t="str">
        <f>IF('RFQ-Input'!O556="","",'RFQ-Input'!O556)</f>
        <v/>
      </c>
      <c r="AX557" s="7" t="str">
        <f>IF('RFQ-Input'!S556="","",'RFQ-Input'!S556)</f>
        <v/>
      </c>
      <c r="AY557" s="7" t="str">
        <f>IF('RFQ-Input'!V556="","",'RFQ-Input'!V556)</f>
        <v/>
      </c>
      <c r="AZ557" s="7" t="str">
        <f>IF('RFQ-Input'!Y556="","",'RFQ-Input'!Y556)</f>
        <v/>
      </c>
      <c r="BA557" s="7" t="str">
        <f>IF('RFQ-Input'!AB556="","",'RFQ-Input'!AB556)</f>
        <v/>
      </c>
    </row>
    <row r="558" spans="1:53">
      <c r="A558" s="20">
        <v>554</v>
      </c>
      <c r="B558" s="7"/>
      <c r="C558" s="7" t="str">
        <f>IF('RFQ-Input'!C557="","",'RFQ-Input'!C557)</f>
        <v/>
      </c>
      <c r="D558" s="7" t="str">
        <f>IF('RFQ-Input'!D557="","",'RFQ-Input'!D557)</f>
        <v/>
      </c>
      <c r="E558" s="7" t="str">
        <f>IF('RFQ-Input'!E557="","",'RFQ-Input'!E557)</f>
        <v/>
      </c>
      <c r="F558" s="7" t="str">
        <f>IF('RFQ-Input'!F557="","",'RFQ-Input'!F557)</f>
        <v/>
      </c>
      <c r="G558" s="7" t="str">
        <f>IF('RFQ-Input'!G557="","",'RFQ-Input'!G557)</f>
        <v/>
      </c>
      <c r="H558" s="7" t="str">
        <f>IF('RFQ-Input'!H557="","",'RFQ-Input'!H557)</f>
        <v/>
      </c>
      <c r="I558" s="7" t="str">
        <f>IF('RFQ-Input'!I557="","",'RFQ-Input'!I557)</f>
        <v/>
      </c>
      <c r="J558" s="7" t="str">
        <f>IF('RFQ-Input'!J557="","",'RFQ-Input'!J557)</f>
        <v/>
      </c>
      <c r="K558" s="7" t="str">
        <f>IF('RFQ-Input'!K557="","",'RFQ-Input'!K557)</f>
        <v/>
      </c>
      <c r="L558" s="7" t="str">
        <f>IF('RFQ-Input'!L557="","",'RFQ-Input'!L557)</f>
        <v/>
      </c>
      <c r="M558" s="7" t="str">
        <f>IF('RFQ-Input'!M557="","",'RFQ-Input'!M557)</f>
        <v/>
      </c>
      <c r="N558" s="7" t="str">
        <f>IF('RFQ-Input'!N557="","",'RFQ-Input'!N557)</f>
        <v/>
      </c>
      <c r="O558" s="7" t="str">
        <f>IF('RFQ-Input'!O557="","",'RFQ-Input'!O557)</f>
        <v/>
      </c>
      <c r="Q558" s="7"/>
      <c r="R558" s="7"/>
      <c r="S558" s="7"/>
      <c r="T558" s="7"/>
      <c r="U558" s="7"/>
      <c r="V558" s="7"/>
      <c r="X558" s="7"/>
      <c r="Y558" s="7"/>
      <c r="Z558" s="7"/>
      <c r="AA558" s="7" t="str">
        <f t="shared" si="56"/>
        <v/>
      </c>
      <c r="AB558" s="7"/>
      <c r="AC558" s="7"/>
      <c r="AQ558" s="7" t="str">
        <f t="shared" si="57"/>
        <v/>
      </c>
      <c r="AR558" s="7" t="str">
        <f t="shared" si="58"/>
        <v/>
      </c>
      <c r="AS558" s="7" t="str">
        <f t="shared" si="59"/>
        <v/>
      </c>
      <c r="AT558" s="7" t="str">
        <f t="shared" si="60"/>
        <v/>
      </c>
      <c r="AU558" s="7" t="str">
        <f t="shared" si="61"/>
        <v/>
      </c>
      <c r="AV558" s="7" t="str">
        <f t="shared" si="62"/>
        <v/>
      </c>
      <c r="AW558" s="7" t="str">
        <f>IF('RFQ-Input'!O557="","",'RFQ-Input'!O557)</f>
        <v/>
      </c>
      <c r="AX558" s="7" t="str">
        <f>IF('RFQ-Input'!S557="","",'RFQ-Input'!S557)</f>
        <v/>
      </c>
      <c r="AY558" s="7" t="str">
        <f>IF('RFQ-Input'!V557="","",'RFQ-Input'!V557)</f>
        <v/>
      </c>
      <c r="AZ558" s="7" t="str">
        <f>IF('RFQ-Input'!Y557="","",'RFQ-Input'!Y557)</f>
        <v/>
      </c>
      <c r="BA558" s="7" t="str">
        <f>IF('RFQ-Input'!AB557="","",'RFQ-Input'!AB557)</f>
        <v/>
      </c>
    </row>
    <row r="559" spans="1:53">
      <c r="A559" s="20">
        <v>555</v>
      </c>
      <c r="B559" s="7"/>
      <c r="C559" s="7" t="str">
        <f>IF('RFQ-Input'!C558="","",'RFQ-Input'!C558)</f>
        <v/>
      </c>
      <c r="D559" s="7" t="str">
        <f>IF('RFQ-Input'!D558="","",'RFQ-Input'!D558)</f>
        <v/>
      </c>
      <c r="E559" s="7" t="str">
        <f>IF('RFQ-Input'!E558="","",'RFQ-Input'!E558)</f>
        <v/>
      </c>
      <c r="F559" s="7" t="str">
        <f>IF('RFQ-Input'!F558="","",'RFQ-Input'!F558)</f>
        <v/>
      </c>
      <c r="G559" s="7" t="str">
        <f>IF('RFQ-Input'!G558="","",'RFQ-Input'!G558)</f>
        <v/>
      </c>
      <c r="H559" s="7" t="str">
        <f>IF('RFQ-Input'!H558="","",'RFQ-Input'!H558)</f>
        <v/>
      </c>
      <c r="I559" s="7" t="str">
        <f>IF('RFQ-Input'!I558="","",'RFQ-Input'!I558)</f>
        <v/>
      </c>
      <c r="J559" s="7" t="str">
        <f>IF('RFQ-Input'!J558="","",'RFQ-Input'!J558)</f>
        <v/>
      </c>
      <c r="K559" s="7" t="str">
        <f>IF('RFQ-Input'!K558="","",'RFQ-Input'!K558)</f>
        <v/>
      </c>
      <c r="L559" s="7" t="str">
        <f>IF('RFQ-Input'!L558="","",'RFQ-Input'!L558)</f>
        <v/>
      </c>
      <c r="M559" s="7" t="str">
        <f>IF('RFQ-Input'!M558="","",'RFQ-Input'!M558)</f>
        <v/>
      </c>
      <c r="N559" s="7" t="str">
        <f>IF('RFQ-Input'!N558="","",'RFQ-Input'!N558)</f>
        <v/>
      </c>
      <c r="O559" s="7" t="str">
        <f>IF('RFQ-Input'!O558="","",'RFQ-Input'!O558)</f>
        <v/>
      </c>
      <c r="Q559" s="7"/>
      <c r="R559" s="7"/>
      <c r="S559" s="7"/>
      <c r="T559" s="7"/>
      <c r="U559" s="7"/>
      <c r="V559" s="7"/>
      <c r="X559" s="7"/>
      <c r="Y559" s="7"/>
      <c r="Z559" s="7"/>
      <c r="AA559" s="7" t="str">
        <f t="shared" si="56"/>
        <v/>
      </c>
      <c r="AB559" s="7"/>
      <c r="AC559" s="7"/>
      <c r="AQ559" s="7" t="str">
        <f t="shared" si="57"/>
        <v/>
      </c>
      <c r="AR559" s="7" t="str">
        <f t="shared" si="58"/>
        <v/>
      </c>
      <c r="AS559" s="7" t="str">
        <f t="shared" si="59"/>
        <v/>
      </c>
      <c r="AT559" s="7" t="str">
        <f t="shared" si="60"/>
        <v/>
      </c>
      <c r="AU559" s="7" t="str">
        <f t="shared" si="61"/>
        <v/>
      </c>
      <c r="AV559" s="7" t="str">
        <f t="shared" si="62"/>
        <v/>
      </c>
      <c r="AW559" s="7" t="str">
        <f>IF('RFQ-Input'!O558="","",'RFQ-Input'!O558)</f>
        <v/>
      </c>
      <c r="AX559" s="7" t="str">
        <f>IF('RFQ-Input'!S558="","",'RFQ-Input'!S558)</f>
        <v/>
      </c>
      <c r="AY559" s="7" t="str">
        <f>IF('RFQ-Input'!V558="","",'RFQ-Input'!V558)</f>
        <v/>
      </c>
      <c r="AZ559" s="7" t="str">
        <f>IF('RFQ-Input'!Y558="","",'RFQ-Input'!Y558)</f>
        <v/>
      </c>
      <c r="BA559" s="7" t="str">
        <f>IF('RFQ-Input'!AB558="","",'RFQ-Input'!AB558)</f>
        <v/>
      </c>
    </row>
    <row r="560" spans="1:53">
      <c r="A560" s="20">
        <v>556</v>
      </c>
      <c r="B560" s="7"/>
      <c r="C560" s="7" t="str">
        <f>IF('RFQ-Input'!C559="","",'RFQ-Input'!C559)</f>
        <v/>
      </c>
      <c r="D560" s="7" t="str">
        <f>IF('RFQ-Input'!D559="","",'RFQ-Input'!D559)</f>
        <v/>
      </c>
      <c r="E560" s="7" t="str">
        <f>IF('RFQ-Input'!E559="","",'RFQ-Input'!E559)</f>
        <v/>
      </c>
      <c r="F560" s="7" t="str">
        <f>IF('RFQ-Input'!F559="","",'RFQ-Input'!F559)</f>
        <v/>
      </c>
      <c r="G560" s="7" t="str">
        <f>IF('RFQ-Input'!G559="","",'RFQ-Input'!G559)</f>
        <v/>
      </c>
      <c r="H560" s="7" t="str">
        <f>IF('RFQ-Input'!H559="","",'RFQ-Input'!H559)</f>
        <v/>
      </c>
      <c r="I560" s="7" t="str">
        <f>IF('RFQ-Input'!I559="","",'RFQ-Input'!I559)</f>
        <v/>
      </c>
      <c r="J560" s="7" t="str">
        <f>IF('RFQ-Input'!J559="","",'RFQ-Input'!J559)</f>
        <v/>
      </c>
      <c r="K560" s="7" t="str">
        <f>IF('RFQ-Input'!K559="","",'RFQ-Input'!K559)</f>
        <v/>
      </c>
      <c r="L560" s="7" t="str">
        <f>IF('RFQ-Input'!L559="","",'RFQ-Input'!L559)</f>
        <v/>
      </c>
      <c r="M560" s="7" t="str">
        <f>IF('RFQ-Input'!M559="","",'RFQ-Input'!M559)</f>
        <v/>
      </c>
      <c r="N560" s="7" t="str">
        <f>IF('RFQ-Input'!N559="","",'RFQ-Input'!N559)</f>
        <v/>
      </c>
      <c r="O560" s="7" t="str">
        <f>IF('RFQ-Input'!O559="","",'RFQ-Input'!O559)</f>
        <v/>
      </c>
      <c r="Q560" s="7"/>
      <c r="R560" s="7"/>
      <c r="S560" s="7"/>
      <c r="T560" s="7"/>
      <c r="U560" s="7"/>
      <c r="V560" s="7"/>
      <c r="X560" s="7"/>
      <c r="Y560" s="7"/>
      <c r="Z560" s="7"/>
      <c r="AA560" s="7" t="str">
        <f t="shared" si="56"/>
        <v/>
      </c>
      <c r="AB560" s="7"/>
      <c r="AC560" s="7"/>
      <c r="AQ560" s="7" t="str">
        <f t="shared" si="57"/>
        <v/>
      </c>
      <c r="AR560" s="7" t="str">
        <f t="shared" si="58"/>
        <v/>
      </c>
      <c r="AS560" s="7" t="str">
        <f t="shared" si="59"/>
        <v/>
      </c>
      <c r="AT560" s="7" t="str">
        <f t="shared" si="60"/>
        <v/>
      </c>
      <c r="AU560" s="7" t="str">
        <f t="shared" si="61"/>
        <v/>
      </c>
      <c r="AV560" s="7" t="str">
        <f t="shared" si="62"/>
        <v/>
      </c>
      <c r="AW560" s="7" t="str">
        <f>IF('RFQ-Input'!O559="","",'RFQ-Input'!O559)</f>
        <v/>
      </c>
      <c r="AX560" s="7" t="str">
        <f>IF('RFQ-Input'!S559="","",'RFQ-Input'!S559)</f>
        <v/>
      </c>
      <c r="AY560" s="7" t="str">
        <f>IF('RFQ-Input'!V559="","",'RFQ-Input'!V559)</f>
        <v/>
      </c>
      <c r="AZ560" s="7" t="str">
        <f>IF('RFQ-Input'!Y559="","",'RFQ-Input'!Y559)</f>
        <v/>
      </c>
      <c r="BA560" s="7" t="str">
        <f>IF('RFQ-Input'!AB559="","",'RFQ-Input'!AB559)</f>
        <v/>
      </c>
    </row>
    <row r="561" spans="1:53">
      <c r="A561" s="20">
        <v>557</v>
      </c>
      <c r="B561" s="7"/>
      <c r="C561" s="7" t="str">
        <f>IF('RFQ-Input'!C560="","",'RFQ-Input'!C560)</f>
        <v/>
      </c>
      <c r="D561" s="7" t="str">
        <f>IF('RFQ-Input'!D560="","",'RFQ-Input'!D560)</f>
        <v/>
      </c>
      <c r="E561" s="7" t="str">
        <f>IF('RFQ-Input'!E560="","",'RFQ-Input'!E560)</f>
        <v/>
      </c>
      <c r="F561" s="7" t="str">
        <f>IF('RFQ-Input'!F560="","",'RFQ-Input'!F560)</f>
        <v/>
      </c>
      <c r="G561" s="7" t="str">
        <f>IF('RFQ-Input'!G560="","",'RFQ-Input'!G560)</f>
        <v/>
      </c>
      <c r="H561" s="7" t="str">
        <f>IF('RFQ-Input'!H560="","",'RFQ-Input'!H560)</f>
        <v/>
      </c>
      <c r="I561" s="7" t="str">
        <f>IF('RFQ-Input'!I560="","",'RFQ-Input'!I560)</f>
        <v/>
      </c>
      <c r="J561" s="7" t="str">
        <f>IF('RFQ-Input'!J560="","",'RFQ-Input'!J560)</f>
        <v/>
      </c>
      <c r="K561" s="7" t="str">
        <f>IF('RFQ-Input'!K560="","",'RFQ-Input'!K560)</f>
        <v/>
      </c>
      <c r="L561" s="7" t="str">
        <f>IF('RFQ-Input'!L560="","",'RFQ-Input'!L560)</f>
        <v/>
      </c>
      <c r="M561" s="7" t="str">
        <f>IF('RFQ-Input'!M560="","",'RFQ-Input'!M560)</f>
        <v/>
      </c>
      <c r="N561" s="7" t="str">
        <f>IF('RFQ-Input'!N560="","",'RFQ-Input'!N560)</f>
        <v/>
      </c>
      <c r="O561" s="7" t="str">
        <f>IF('RFQ-Input'!O560="","",'RFQ-Input'!O560)</f>
        <v/>
      </c>
      <c r="Q561" s="7"/>
      <c r="R561" s="7"/>
      <c r="S561" s="7"/>
      <c r="T561" s="7"/>
      <c r="U561" s="7"/>
      <c r="V561" s="7"/>
      <c r="X561" s="7"/>
      <c r="Y561" s="7"/>
      <c r="Z561" s="7"/>
      <c r="AA561" s="7" t="str">
        <f t="shared" si="56"/>
        <v/>
      </c>
      <c r="AB561" s="7"/>
      <c r="AC561" s="7"/>
      <c r="AQ561" s="7" t="str">
        <f t="shared" si="57"/>
        <v/>
      </c>
      <c r="AR561" s="7" t="str">
        <f t="shared" si="58"/>
        <v/>
      </c>
      <c r="AS561" s="7" t="str">
        <f t="shared" si="59"/>
        <v/>
      </c>
      <c r="AT561" s="7" t="str">
        <f t="shared" si="60"/>
        <v/>
      </c>
      <c r="AU561" s="7" t="str">
        <f t="shared" si="61"/>
        <v/>
      </c>
      <c r="AV561" s="7" t="str">
        <f t="shared" si="62"/>
        <v/>
      </c>
      <c r="AW561" s="7" t="str">
        <f>IF('RFQ-Input'!O560="","",'RFQ-Input'!O560)</f>
        <v/>
      </c>
      <c r="AX561" s="7" t="str">
        <f>IF('RFQ-Input'!S560="","",'RFQ-Input'!S560)</f>
        <v/>
      </c>
      <c r="AY561" s="7" t="str">
        <f>IF('RFQ-Input'!V560="","",'RFQ-Input'!V560)</f>
        <v/>
      </c>
      <c r="AZ561" s="7" t="str">
        <f>IF('RFQ-Input'!Y560="","",'RFQ-Input'!Y560)</f>
        <v/>
      </c>
      <c r="BA561" s="7" t="str">
        <f>IF('RFQ-Input'!AB560="","",'RFQ-Input'!AB560)</f>
        <v/>
      </c>
    </row>
    <row r="562" spans="1:53">
      <c r="A562" s="20">
        <v>558</v>
      </c>
      <c r="B562" s="7"/>
      <c r="C562" s="7" t="str">
        <f>IF('RFQ-Input'!C561="","",'RFQ-Input'!C561)</f>
        <v/>
      </c>
      <c r="D562" s="7" t="str">
        <f>IF('RFQ-Input'!D561="","",'RFQ-Input'!D561)</f>
        <v/>
      </c>
      <c r="E562" s="7" t="str">
        <f>IF('RFQ-Input'!E561="","",'RFQ-Input'!E561)</f>
        <v/>
      </c>
      <c r="F562" s="7" t="str">
        <f>IF('RFQ-Input'!F561="","",'RFQ-Input'!F561)</f>
        <v/>
      </c>
      <c r="G562" s="7" t="str">
        <f>IF('RFQ-Input'!G561="","",'RFQ-Input'!G561)</f>
        <v/>
      </c>
      <c r="H562" s="7" t="str">
        <f>IF('RFQ-Input'!H561="","",'RFQ-Input'!H561)</f>
        <v/>
      </c>
      <c r="I562" s="7" t="str">
        <f>IF('RFQ-Input'!I561="","",'RFQ-Input'!I561)</f>
        <v/>
      </c>
      <c r="J562" s="7" t="str">
        <f>IF('RFQ-Input'!J561="","",'RFQ-Input'!J561)</f>
        <v/>
      </c>
      <c r="K562" s="7" t="str">
        <f>IF('RFQ-Input'!K561="","",'RFQ-Input'!K561)</f>
        <v/>
      </c>
      <c r="L562" s="7" t="str">
        <f>IF('RFQ-Input'!L561="","",'RFQ-Input'!L561)</f>
        <v/>
      </c>
      <c r="M562" s="7" t="str">
        <f>IF('RFQ-Input'!M561="","",'RFQ-Input'!M561)</f>
        <v/>
      </c>
      <c r="N562" s="7" t="str">
        <f>IF('RFQ-Input'!N561="","",'RFQ-Input'!N561)</f>
        <v/>
      </c>
      <c r="O562" s="7" t="str">
        <f>IF('RFQ-Input'!O561="","",'RFQ-Input'!O561)</f>
        <v/>
      </c>
      <c r="Q562" s="7"/>
      <c r="R562" s="7"/>
      <c r="S562" s="7"/>
      <c r="T562" s="7"/>
      <c r="U562" s="7"/>
      <c r="V562" s="7"/>
      <c r="X562" s="7"/>
      <c r="Y562" s="7"/>
      <c r="Z562" s="7"/>
      <c r="AA562" s="7" t="str">
        <f t="shared" si="56"/>
        <v/>
      </c>
      <c r="AB562" s="7"/>
      <c r="AC562" s="7"/>
      <c r="AQ562" s="7" t="str">
        <f t="shared" si="57"/>
        <v/>
      </c>
      <c r="AR562" s="7" t="str">
        <f t="shared" si="58"/>
        <v/>
      </c>
      <c r="AS562" s="7" t="str">
        <f t="shared" si="59"/>
        <v/>
      </c>
      <c r="AT562" s="7" t="str">
        <f t="shared" si="60"/>
        <v/>
      </c>
      <c r="AU562" s="7" t="str">
        <f t="shared" si="61"/>
        <v/>
      </c>
      <c r="AV562" s="7" t="str">
        <f t="shared" si="62"/>
        <v/>
      </c>
      <c r="AW562" s="7" t="str">
        <f>IF('RFQ-Input'!O561="","",'RFQ-Input'!O561)</f>
        <v/>
      </c>
      <c r="AX562" s="7" t="str">
        <f>IF('RFQ-Input'!S561="","",'RFQ-Input'!S561)</f>
        <v/>
      </c>
      <c r="AY562" s="7" t="str">
        <f>IF('RFQ-Input'!V561="","",'RFQ-Input'!V561)</f>
        <v/>
      </c>
      <c r="AZ562" s="7" t="str">
        <f>IF('RFQ-Input'!Y561="","",'RFQ-Input'!Y561)</f>
        <v/>
      </c>
      <c r="BA562" s="7" t="str">
        <f>IF('RFQ-Input'!AB561="","",'RFQ-Input'!AB561)</f>
        <v/>
      </c>
    </row>
    <row r="563" spans="1:53">
      <c r="A563" s="20">
        <v>559</v>
      </c>
      <c r="B563" s="7"/>
      <c r="C563" s="7" t="str">
        <f>IF('RFQ-Input'!C562="","",'RFQ-Input'!C562)</f>
        <v/>
      </c>
      <c r="D563" s="7" t="str">
        <f>IF('RFQ-Input'!D562="","",'RFQ-Input'!D562)</f>
        <v/>
      </c>
      <c r="E563" s="7" t="str">
        <f>IF('RFQ-Input'!E562="","",'RFQ-Input'!E562)</f>
        <v/>
      </c>
      <c r="F563" s="7" t="str">
        <f>IF('RFQ-Input'!F562="","",'RFQ-Input'!F562)</f>
        <v/>
      </c>
      <c r="G563" s="7" t="str">
        <f>IF('RFQ-Input'!G562="","",'RFQ-Input'!G562)</f>
        <v/>
      </c>
      <c r="H563" s="7" t="str">
        <f>IF('RFQ-Input'!H562="","",'RFQ-Input'!H562)</f>
        <v/>
      </c>
      <c r="I563" s="7" t="str">
        <f>IF('RFQ-Input'!I562="","",'RFQ-Input'!I562)</f>
        <v/>
      </c>
      <c r="J563" s="7" t="str">
        <f>IF('RFQ-Input'!J562="","",'RFQ-Input'!J562)</f>
        <v/>
      </c>
      <c r="K563" s="7" t="str">
        <f>IF('RFQ-Input'!K562="","",'RFQ-Input'!K562)</f>
        <v/>
      </c>
      <c r="L563" s="7" t="str">
        <f>IF('RFQ-Input'!L562="","",'RFQ-Input'!L562)</f>
        <v/>
      </c>
      <c r="M563" s="7" t="str">
        <f>IF('RFQ-Input'!M562="","",'RFQ-Input'!M562)</f>
        <v/>
      </c>
      <c r="N563" s="7" t="str">
        <f>IF('RFQ-Input'!N562="","",'RFQ-Input'!N562)</f>
        <v/>
      </c>
      <c r="O563" s="7" t="str">
        <f>IF('RFQ-Input'!O562="","",'RFQ-Input'!O562)</f>
        <v/>
      </c>
      <c r="Q563" s="7"/>
      <c r="R563" s="7"/>
      <c r="S563" s="7"/>
      <c r="T563" s="7"/>
      <c r="U563" s="7"/>
      <c r="V563" s="7"/>
      <c r="X563" s="7"/>
      <c r="Y563" s="7"/>
      <c r="Z563" s="7"/>
      <c r="AA563" s="7" t="str">
        <f t="shared" si="56"/>
        <v/>
      </c>
      <c r="AB563" s="7"/>
      <c r="AC563" s="7"/>
      <c r="AQ563" s="7" t="str">
        <f t="shared" si="57"/>
        <v/>
      </c>
      <c r="AR563" s="7" t="str">
        <f t="shared" si="58"/>
        <v/>
      </c>
      <c r="AS563" s="7" t="str">
        <f t="shared" si="59"/>
        <v/>
      </c>
      <c r="AT563" s="7" t="str">
        <f t="shared" si="60"/>
        <v/>
      </c>
      <c r="AU563" s="7" t="str">
        <f t="shared" si="61"/>
        <v/>
      </c>
      <c r="AV563" s="7" t="str">
        <f t="shared" si="62"/>
        <v/>
      </c>
      <c r="AW563" s="7" t="str">
        <f>IF('RFQ-Input'!O562="","",'RFQ-Input'!O562)</f>
        <v/>
      </c>
      <c r="AX563" s="7" t="str">
        <f>IF('RFQ-Input'!S562="","",'RFQ-Input'!S562)</f>
        <v/>
      </c>
      <c r="AY563" s="7" t="str">
        <f>IF('RFQ-Input'!V562="","",'RFQ-Input'!V562)</f>
        <v/>
      </c>
      <c r="AZ563" s="7" t="str">
        <f>IF('RFQ-Input'!Y562="","",'RFQ-Input'!Y562)</f>
        <v/>
      </c>
      <c r="BA563" s="7" t="str">
        <f>IF('RFQ-Input'!AB562="","",'RFQ-Input'!AB562)</f>
        <v/>
      </c>
    </row>
    <row r="564" spans="1:53">
      <c r="A564" s="20">
        <v>560</v>
      </c>
      <c r="B564" s="7"/>
      <c r="C564" s="7" t="str">
        <f>IF('RFQ-Input'!C563="","",'RFQ-Input'!C563)</f>
        <v/>
      </c>
      <c r="D564" s="7" t="str">
        <f>IF('RFQ-Input'!D563="","",'RFQ-Input'!D563)</f>
        <v/>
      </c>
      <c r="E564" s="7" t="str">
        <f>IF('RFQ-Input'!E563="","",'RFQ-Input'!E563)</f>
        <v/>
      </c>
      <c r="F564" s="7" t="str">
        <f>IF('RFQ-Input'!F563="","",'RFQ-Input'!F563)</f>
        <v/>
      </c>
      <c r="G564" s="7" t="str">
        <f>IF('RFQ-Input'!G563="","",'RFQ-Input'!G563)</f>
        <v/>
      </c>
      <c r="H564" s="7" t="str">
        <f>IF('RFQ-Input'!H563="","",'RFQ-Input'!H563)</f>
        <v/>
      </c>
      <c r="I564" s="7" t="str">
        <f>IF('RFQ-Input'!I563="","",'RFQ-Input'!I563)</f>
        <v/>
      </c>
      <c r="J564" s="7" t="str">
        <f>IF('RFQ-Input'!J563="","",'RFQ-Input'!J563)</f>
        <v/>
      </c>
      <c r="K564" s="7" t="str">
        <f>IF('RFQ-Input'!K563="","",'RFQ-Input'!K563)</f>
        <v/>
      </c>
      <c r="L564" s="7" t="str">
        <f>IF('RFQ-Input'!L563="","",'RFQ-Input'!L563)</f>
        <v/>
      </c>
      <c r="M564" s="7" t="str">
        <f>IF('RFQ-Input'!M563="","",'RFQ-Input'!M563)</f>
        <v/>
      </c>
      <c r="N564" s="7" t="str">
        <f>IF('RFQ-Input'!N563="","",'RFQ-Input'!N563)</f>
        <v/>
      </c>
      <c r="O564" s="7" t="str">
        <f>IF('RFQ-Input'!O563="","",'RFQ-Input'!O563)</f>
        <v/>
      </c>
      <c r="Q564" s="7"/>
      <c r="R564" s="7"/>
      <c r="S564" s="7"/>
      <c r="T564" s="7"/>
      <c r="U564" s="7"/>
      <c r="V564" s="7"/>
      <c r="X564" s="7"/>
      <c r="Y564" s="7"/>
      <c r="Z564" s="7"/>
      <c r="AA564" s="7" t="str">
        <f t="shared" si="56"/>
        <v/>
      </c>
      <c r="AB564" s="7"/>
      <c r="AC564" s="7"/>
      <c r="AQ564" s="7" t="str">
        <f t="shared" si="57"/>
        <v/>
      </c>
      <c r="AR564" s="7" t="str">
        <f t="shared" si="58"/>
        <v/>
      </c>
      <c r="AS564" s="7" t="str">
        <f t="shared" si="59"/>
        <v/>
      </c>
      <c r="AT564" s="7" t="str">
        <f t="shared" si="60"/>
        <v/>
      </c>
      <c r="AU564" s="7" t="str">
        <f t="shared" si="61"/>
        <v/>
      </c>
      <c r="AV564" s="7" t="str">
        <f t="shared" si="62"/>
        <v/>
      </c>
      <c r="AW564" s="7" t="str">
        <f>IF('RFQ-Input'!O563="","",'RFQ-Input'!O563)</f>
        <v/>
      </c>
      <c r="AX564" s="7" t="str">
        <f>IF('RFQ-Input'!S563="","",'RFQ-Input'!S563)</f>
        <v/>
      </c>
      <c r="AY564" s="7" t="str">
        <f>IF('RFQ-Input'!V563="","",'RFQ-Input'!V563)</f>
        <v/>
      </c>
      <c r="AZ564" s="7" t="str">
        <f>IF('RFQ-Input'!Y563="","",'RFQ-Input'!Y563)</f>
        <v/>
      </c>
      <c r="BA564" s="7" t="str">
        <f>IF('RFQ-Input'!AB563="","",'RFQ-Input'!AB563)</f>
        <v/>
      </c>
    </row>
    <row r="565" spans="1:53">
      <c r="A565" s="20">
        <v>561</v>
      </c>
      <c r="B565" s="7"/>
      <c r="C565" s="7" t="str">
        <f>IF('RFQ-Input'!C564="","",'RFQ-Input'!C564)</f>
        <v/>
      </c>
      <c r="D565" s="7" t="str">
        <f>IF('RFQ-Input'!D564="","",'RFQ-Input'!D564)</f>
        <v/>
      </c>
      <c r="E565" s="7" t="str">
        <f>IF('RFQ-Input'!E564="","",'RFQ-Input'!E564)</f>
        <v/>
      </c>
      <c r="F565" s="7" t="str">
        <f>IF('RFQ-Input'!F564="","",'RFQ-Input'!F564)</f>
        <v/>
      </c>
      <c r="G565" s="7" t="str">
        <f>IF('RFQ-Input'!G564="","",'RFQ-Input'!G564)</f>
        <v/>
      </c>
      <c r="H565" s="7" t="str">
        <f>IF('RFQ-Input'!H564="","",'RFQ-Input'!H564)</f>
        <v/>
      </c>
      <c r="I565" s="7" t="str">
        <f>IF('RFQ-Input'!I564="","",'RFQ-Input'!I564)</f>
        <v/>
      </c>
      <c r="J565" s="7" t="str">
        <f>IF('RFQ-Input'!J564="","",'RFQ-Input'!J564)</f>
        <v/>
      </c>
      <c r="K565" s="7" t="str">
        <f>IF('RFQ-Input'!K564="","",'RFQ-Input'!K564)</f>
        <v/>
      </c>
      <c r="L565" s="7" t="str">
        <f>IF('RFQ-Input'!L564="","",'RFQ-Input'!L564)</f>
        <v/>
      </c>
      <c r="M565" s="7" t="str">
        <f>IF('RFQ-Input'!M564="","",'RFQ-Input'!M564)</f>
        <v/>
      </c>
      <c r="N565" s="7" t="str">
        <f>IF('RFQ-Input'!N564="","",'RFQ-Input'!N564)</f>
        <v/>
      </c>
      <c r="O565" s="7" t="str">
        <f>IF('RFQ-Input'!O564="","",'RFQ-Input'!O564)</f>
        <v/>
      </c>
      <c r="Q565" s="7"/>
      <c r="R565" s="7"/>
      <c r="S565" s="7"/>
      <c r="T565" s="7"/>
      <c r="U565" s="7"/>
      <c r="V565" s="7"/>
      <c r="X565" s="7"/>
      <c r="Y565" s="7"/>
      <c r="Z565" s="7"/>
      <c r="AA565" s="7" t="str">
        <f t="shared" si="56"/>
        <v/>
      </c>
      <c r="AB565" s="7"/>
      <c r="AC565" s="7"/>
      <c r="AQ565" s="7" t="str">
        <f t="shared" si="57"/>
        <v/>
      </c>
      <c r="AR565" s="7" t="str">
        <f t="shared" si="58"/>
        <v/>
      </c>
      <c r="AS565" s="7" t="str">
        <f t="shared" si="59"/>
        <v/>
      </c>
      <c r="AT565" s="7" t="str">
        <f t="shared" si="60"/>
        <v/>
      </c>
      <c r="AU565" s="7" t="str">
        <f t="shared" si="61"/>
        <v/>
      </c>
      <c r="AV565" s="7" t="str">
        <f t="shared" si="62"/>
        <v/>
      </c>
      <c r="AW565" s="7" t="str">
        <f>IF('RFQ-Input'!O564="","",'RFQ-Input'!O564)</f>
        <v/>
      </c>
      <c r="AX565" s="7" t="str">
        <f>IF('RFQ-Input'!S564="","",'RFQ-Input'!S564)</f>
        <v/>
      </c>
      <c r="AY565" s="7" t="str">
        <f>IF('RFQ-Input'!V564="","",'RFQ-Input'!V564)</f>
        <v/>
      </c>
      <c r="AZ565" s="7" t="str">
        <f>IF('RFQ-Input'!Y564="","",'RFQ-Input'!Y564)</f>
        <v/>
      </c>
      <c r="BA565" s="7" t="str">
        <f>IF('RFQ-Input'!AB564="","",'RFQ-Input'!AB564)</f>
        <v/>
      </c>
    </row>
    <row r="566" spans="1:53">
      <c r="A566" s="20">
        <v>562</v>
      </c>
      <c r="B566" s="7"/>
      <c r="C566" s="7" t="str">
        <f>IF('RFQ-Input'!C565="","",'RFQ-Input'!C565)</f>
        <v/>
      </c>
      <c r="D566" s="7" t="str">
        <f>IF('RFQ-Input'!D565="","",'RFQ-Input'!D565)</f>
        <v/>
      </c>
      <c r="E566" s="7" t="str">
        <f>IF('RFQ-Input'!E565="","",'RFQ-Input'!E565)</f>
        <v/>
      </c>
      <c r="F566" s="7" t="str">
        <f>IF('RFQ-Input'!F565="","",'RFQ-Input'!F565)</f>
        <v/>
      </c>
      <c r="G566" s="7" t="str">
        <f>IF('RFQ-Input'!G565="","",'RFQ-Input'!G565)</f>
        <v/>
      </c>
      <c r="H566" s="7" t="str">
        <f>IF('RFQ-Input'!H565="","",'RFQ-Input'!H565)</f>
        <v/>
      </c>
      <c r="I566" s="7" t="str">
        <f>IF('RFQ-Input'!I565="","",'RFQ-Input'!I565)</f>
        <v/>
      </c>
      <c r="J566" s="7" t="str">
        <f>IF('RFQ-Input'!J565="","",'RFQ-Input'!J565)</f>
        <v/>
      </c>
      <c r="K566" s="7" t="str">
        <f>IF('RFQ-Input'!K565="","",'RFQ-Input'!K565)</f>
        <v/>
      </c>
      <c r="L566" s="7" t="str">
        <f>IF('RFQ-Input'!L565="","",'RFQ-Input'!L565)</f>
        <v/>
      </c>
      <c r="M566" s="7" t="str">
        <f>IF('RFQ-Input'!M565="","",'RFQ-Input'!M565)</f>
        <v/>
      </c>
      <c r="N566" s="7" t="str">
        <f>IF('RFQ-Input'!N565="","",'RFQ-Input'!N565)</f>
        <v/>
      </c>
      <c r="O566" s="7" t="str">
        <f>IF('RFQ-Input'!O565="","",'RFQ-Input'!O565)</f>
        <v/>
      </c>
      <c r="Q566" s="7"/>
      <c r="R566" s="7"/>
      <c r="S566" s="7"/>
      <c r="T566" s="7"/>
      <c r="U566" s="7"/>
      <c r="V566" s="7"/>
      <c r="X566" s="7"/>
      <c r="Y566" s="7"/>
      <c r="Z566" s="7"/>
      <c r="AA566" s="7" t="str">
        <f t="shared" si="56"/>
        <v/>
      </c>
      <c r="AB566" s="7"/>
      <c r="AC566" s="7"/>
      <c r="AQ566" s="7" t="str">
        <f t="shared" si="57"/>
        <v/>
      </c>
      <c r="AR566" s="7" t="str">
        <f t="shared" si="58"/>
        <v/>
      </c>
      <c r="AS566" s="7" t="str">
        <f t="shared" si="59"/>
        <v/>
      </c>
      <c r="AT566" s="7" t="str">
        <f t="shared" si="60"/>
        <v/>
      </c>
      <c r="AU566" s="7" t="str">
        <f t="shared" si="61"/>
        <v/>
      </c>
      <c r="AV566" s="7" t="str">
        <f t="shared" si="62"/>
        <v/>
      </c>
      <c r="AW566" s="7" t="str">
        <f>IF('RFQ-Input'!O565="","",'RFQ-Input'!O565)</f>
        <v/>
      </c>
      <c r="AX566" s="7" t="str">
        <f>IF('RFQ-Input'!S565="","",'RFQ-Input'!S565)</f>
        <v/>
      </c>
      <c r="AY566" s="7" t="str">
        <f>IF('RFQ-Input'!V565="","",'RFQ-Input'!V565)</f>
        <v/>
      </c>
      <c r="AZ566" s="7" t="str">
        <f>IF('RFQ-Input'!Y565="","",'RFQ-Input'!Y565)</f>
        <v/>
      </c>
      <c r="BA566" s="7" t="str">
        <f>IF('RFQ-Input'!AB565="","",'RFQ-Input'!AB565)</f>
        <v/>
      </c>
    </row>
    <row r="567" spans="1:53">
      <c r="A567" s="20">
        <v>563</v>
      </c>
      <c r="B567" s="7"/>
      <c r="C567" s="7" t="str">
        <f>IF('RFQ-Input'!C566="","",'RFQ-Input'!C566)</f>
        <v/>
      </c>
      <c r="D567" s="7" t="str">
        <f>IF('RFQ-Input'!D566="","",'RFQ-Input'!D566)</f>
        <v/>
      </c>
      <c r="E567" s="7" t="str">
        <f>IF('RFQ-Input'!E566="","",'RFQ-Input'!E566)</f>
        <v/>
      </c>
      <c r="F567" s="7" t="str">
        <f>IF('RFQ-Input'!F566="","",'RFQ-Input'!F566)</f>
        <v/>
      </c>
      <c r="G567" s="7" t="str">
        <f>IF('RFQ-Input'!G566="","",'RFQ-Input'!G566)</f>
        <v/>
      </c>
      <c r="H567" s="7" t="str">
        <f>IF('RFQ-Input'!H566="","",'RFQ-Input'!H566)</f>
        <v/>
      </c>
      <c r="I567" s="7" t="str">
        <f>IF('RFQ-Input'!I566="","",'RFQ-Input'!I566)</f>
        <v/>
      </c>
      <c r="J567" s="7" t="str">
        <f>IF('RFQ-Input'!J566="","",'RFQ-Input'!J566)</f>
        <v/>
      </c>
      <c r="K567" s="7" t="str">
        <f>IF('RFQ-Input'!K566="","",'RFQ-Input'!K566)</f>
        <v/>
      </c>
      <c r="L567" s="7" t="str">
        <f>IF('RFQ-Input'!L566="","",'RFQ-Input'!L566)</f>
        <v/>
      </c>
      <c r="M567" s="7" t="str">
        <f>IF('RFQ-Input'!M566="","",'RFQ-Input'!M566)</f>
        <v/>
      </c>
      <c r="N567" s="7" t="str">
        <f>IF('RFQ-Input'!N566="","",'RFQ-Input'!N566)</f>
        <v/>
      </c>
      <c r="O567" s="7" t="str">
        <f>IF('RFQ-Input'!O566="","",'RFQ-Input'!O566)</f>
        <v/>
      </c>
      <c r="Q567" s="7"/>
      <c r="R567" s="7"/>
      <c r="S567" s="7"/>
      <c r="T567" s="7"/>
      <c r="U567" s="7"/>
      <c r="V567" s="7"/>
      <c r="X567" s="7"/>
      <c r="Y567" s="7"/>
      <c r="Z567" s="7"/>
      <c r="AA567" s="7" t="str">
        <f t="shared" si="56"/>
        <v/>
      </c>
      <c r="AB567" s="7"/>
      <c r="AC567" s="7"/>
      <c r="AQ567" s="7" t="str">
        <f t="shared" si="57"/>
        <v/>
      </c>
      <c r="AR567" s="7" t="str">
        <f t="shared" si="58"/>
        <v/>
      </c>
      <c r="AS567" s="7" t="str">
        <f t="shared" si="59"/>
        <v/>
      </c>
      <c r="AT567" s="7" t="str">
        <f t="shared" si="60"/>
        <v/>
      </c>
      <c r="AU567" s="7" t="str">
        <f t="shared" si="61"/>
        <v/>
      </c>
      <c r="AV567" s="7" t="str">
        <f t="shared" si="62"/>
        <v/>
      </c>
      <c r="AW567" s="7" t="str">
        <f>IF('RFQ-Input'!O566="","",'RFQ-Input'!O566)</f>
        <v/>
      </c>
      <c r="AX567" s="7" t="str">
        <f>IF('RFQ-Input'!S566="","",'RFQ-Input'!S566)</f>
        <v/>
      </c>
      <c r="AY567" s="7" t="str">
        <f>IF('RFQ-Input'!V566="","",'RFQ-Input'!V566)</f>
        <v/>
      </c>
      <c r="AZ567" s="7" t="str">
        <f>IF('RFQ-Input'!Y566="","",'RFQ-Input'!Y566)</f>
        <v/>
      </c>
      <c r="BA567" s="7" t="str">
        <f>IF('RFQ-Input'!AB566="","",'RFQ-Input'!AB566)</f>
        <v/>
      </c>
    </row>
    <row r="568" spans="1:53">
      <c r="A568" s="20">
        <v>564</v>
      </c>
      <c r="B568" s="7"/>
      <c r="C568" s="7" t="str">
        <f>IF('RFQ-Input'!C567="","",'RFQ-Input'!C567)</f>
        <v/>
      </c>
      <c r="D568" s="7" t="str">
        <f>IF('RFQ-Input'!D567="","",'RFQ-Input'!D567)</f>
        <v/>
      </c>
      <c r="E568" s="7" t="str">
        <f>IF('RFQ-Input'!E567="","",'RFQ-Input'!E567)</f>
        <v/>
      </c>
      <c r="F568" s="7" t="str">
        <f>IF('RFQ-Input'!F567="","",'RFQ-Input'!F567)</f>
        <v/>
      </c>
      <c r="G568" s="7" t="str">
        <f>IF('RFQ-Input'!G567="","",'RFQ-Input'!G567)</f>
        <v/>
      </c>
      <c r="H568" s="7" t="str">
        <f>IF('RFQ-Input'!H567="","",'RFQ-Input'!H567)</f>
        <v/>
      </c>
      <c r="I568" s="7" t="str">
        <f>IF('RFQ-Input'!I567="","",'RFQ-Input'!I567)</f>
        <v/>
      </c>
      <c r="J568" s="7" t="str">
        <f>IF('RFQ-Input'!J567="","",'RFQ-Input'!J567)</f>
        <v/>
      </c>
      <c r="K568" s="7" t="str">
        <f>IF('RFQ-Input'!K567="","",'RFQ-Input'!K567)</f>
        <v/>
      </c>
      <c r="L568" s="7" t="str">
        <f>IF('RFQ-Input'!L567="","",'RFQ-Input'!L567)</f>
        <v/>
      </c>
      <c r="M568" s="7" t="str">
        <f>IF('RFQ-Input'!M567="","",'RFQ-Input'!M567)</f>
        <v/>
      </c>
      <c r="N568" s="7" t="str">
        <f>IF('RFQ-Input'!N567="","",'RFQ-Input'!N567)</f>
        <v/>
      </c>
      <c r="O568" s="7" t="str">
        <f>IF('RFQ-Input'!O567="","",'RFQ-Input'!O567)</f>
        <v/>
      </c>
      <c r="Q568" s="7"/>
      <c r="R568" s="7"/>
      <c r="S568" s="7"/>
      <c r="T568" s="7"/>
      <c r="U568" s="7"/>
      <c r="V568" s="7"/>
      <c r="X568" s="7"/>
      <c r="Y568" s="7"/>
      <c r="Z568" s="7"/>
      <c r="AA568" s="7" t="str">
        <f t="shared" si="56"/>
        <v/>
      </c>
      <c r="AB568" s="7"/>
      <c r="AC568" s="7"/>
      <c r="AQ568" s="7" t="str">
        <f t="shared" si="57"/>
        <v/>
      </c>
      <c r="AR568" s="7" t="str">
        <f t="shared" si="58"/>
        <v/>
      </c>
      <c r="AS568" s="7" t="str">
        <f t="shared" si="59"/>
        <v/>
      </c>
      <c r="AT568" s="7" t="str">
        <f t="shared" si="60"/>
        <v/>
      </c>
      <c r="AU568" s="7" t="str">
        <f t="shared" si="61"/>
        <v/>
      </c>
      <c r="AV568" s="7" t="str">
        <f t="shared" si="62"/>
        <v/>
      </c>
      <c r="AW568" s="7" t="str">
        <f>IF('RFQ-Input'!O567="","",'RFQ-Input'!O567)</f>
        <v/>
      </c>
      <c r="AX568" s="7" t="str">
        <f>IF('RFQ-Input'!S567="","",'RFQ-Input'!S567)</f>
        <v/>
      </c>
      <c r="AY568" s="7" t="str">
        <f>IF('RFQ-Input'!V567="","",'RFQ-Input'!V567)</f>
        <v/>
      </c>
      <c r="AZ568" s="7" t="str">
        <f>IF('RFQ-Input'!Y567="","",'RFQ-Input'!Y567)</f>
        <v/>
      </c>
      <c r="BA568" s="7" t="str">
        <f>IF('RFQ-Input'!AB567="","",'RFQ-Input'!AB567)</f>
        <v/>
      </c>
    </row>
    <row r="569" spans="1:53">
      <c r="A569" s="20">
        <v>565</v>
      </c>
      <c r="B569" s="7"/>
      <c r="C569" s="7" t="str">
        <f>IF('RFQ-Input'!C568="","",'RFQ-Input'!C568)</f>
        <v/>
      </c>
      <c r="D569" s="7" t="str">
        <f>IF('RFQ-Input'!D568="","",'RFQ-Input'!D568)</f>
        <v/>
      </c>
      <c r="E569" s="7" t="str">
        <f>IF('RFQ-Input'!E568="","",'RFQ-Input'!E568)</f>
        <v/>
      </c>
      <c r="F569" s="7" t="str">
        <f>IF('RFQ-Input'!F568="","",'RFQ-Input'!F568)</f>
        <v/>
      </c>
      <c r="G569" s="7" t="str">
        <f>IF('RFQ-Input'!G568="","",'RFQ-Input'!G568)</f>
        <v/>
      </c>
      <c r="H569" s="7" t="str">
        <f>IF('RFQ-Input'!H568="","",'RFQ-Input'!H568)</f>
        <v/>
      </c>
      <c r="I569" s="7" t="str">
        <f>IF('RFQ-Input'!I568="","",'RFQ-Input'!I568)</f>
        <v/>
      </c>
      <c r="J569" s="7" t="str">
        <f>IF('RFQ-Input'!J568="","",'RFQ-Input'!J568)</f>
        <v/>
      </c>
      <c r="K569" s="7" t="str">
        <f>IF('RFQ-Input'!K568="","",'RFQ-Input'!K568)</f>
        <v/>
      </c>
      <c r="L569" s="7" t="str">
        <f>IF('RFQ-Input'!L568="","",'RFQ-Input'!L568)</f>
        <v/>
      </c>
      <c r="M569" s="7" t="str">
        <f>IF('RFQ-Input'!M568="","",'RFQ-Input'!M568)</f>
        <v/>
      </c>
      <c r="N569" s="7" t="str">
        <f>IF('RFQ-Input'!N568="","",'RFQ-Input'!N568)</f>
        <v/>
      </c>
      <c r="O569" s="7" t="str">
        <f>IF('RFQ-Input'!O568="","",'RFQ-Input'!O568)</f>
        <v/>
      </c>
      <c r="Q569" s="7"/>
      <c r="R569" s="7"/>
      <c r="S569" s="7"/>
      <c r="T569" s="7"/>
      <c r="U569" s="7"/>
      <c r="V569" s="7"/>
      <c r="X569" s="7"/>
      <c r="Y569" s="7"/>
      <c r="Z569" s="7"/>
      <c r="AA569" s="7" t="str">
        <f t="shared" si="56"/>
        <v/>
      </c>
      <c r="AB569" s="7"/>
      <c r="AC569" s="7"/>
      <c r="AQ569" s="7" t="str">
        <f t="shared" si="57"/>
        <v/>
      </c>
      <c r="AR569" s="7" t="str">
        <f t="shared" si="58"/>
        <v/>
      </c>
      <c r="AS569" s="7" t="str">
        <f t="shared" si="59"/>
        <v/>
      </c>
      <c r="AT569" s="7" t="str">
        <f t="shared" si="60"/>
        <v/>
      </c>
      <c r="AU569" s="7" t="str">
        <f t="shared" si="61"/>
        <v/>
      </c>
      <c r="AV569" s="7" t="str">
        <f t="shared" si="62"/>
        <v/>
      </c>
      <c r="AW569" s="7" t="str">
        <f>IF('RFQ-Input'!O568="","",'RFQ-Input'!O568)</f>
        <v/>
      </c>
      <c r="AX569" s="7" t="str">
        <f>IF('RFQ-Input'!S568="","",'RFQ-Input'!S568)</f>
        <v/>
      </c>
      <c r="AY569" s="7" t="str">
        <f>IF('RFQ-Input'!V568="","",'RFQ-Input'!V568)</f>
        <v/>
      </c>
      <c r="AZ569" s="7" t="str">
        <f>IF('RFQ-Input'!Y568="","",'RFQ-Input'!Y568)</f>
        <v/>
      </c>
      <c r="BA569" s="7" t="str">
        <f>IF('RFQ-Input'!AB568="","",'RFQ-Input'!AB568)</f>
        <v/>
      </c>
    </row>
    <row r="570" spans="1:53">
      <c r="A570" s="20">
        <v>566</v>
      </c>
      <c r="B570" s="7"/>
      <c r="C570" s="7" t="str">
        <f>IF('RFQ-Input'!C569="","",'RFQ-Input'!C569)</f>
        <v/>
      </c>
      <c r="D570" s="7" t="str">
        <f>IF('RFQ-Input'!D569="","",'RFQ-Input'!D569)</f>
        <v/>
      </c>
      <c r="E570" s="7" t="str">
        <f>IF('RFQ-Input'!E569="","",'RFQ-Input'!E569)</f>
        <v/>
      </c>
      <c r="F570" s="7" t="str">
        <f>IF('RFQ-Input'!F569="","",'RFQ-Input'!F569)</f>
        <v/>
      </c>
      <c r="G570" s="7" t="str">
        <f>IF('RFQ-Input'!G569="","",'RFQ-Input'!G569)</f>
        <v/>
      </c>
      <c r="H570" s="7" t="str">
        <f>IF('RFQ-Input'!H569="","",'RFQ-Input'!H569)</f>
        <v/>
      </c>
      <c r="I570" s="7" t="str">
        <f>IF('RFQ-Input'!I569="","",'RFQ-Input'!I569)</f>
        <v/>
      </c>
      <c r="J570" s="7" t="str">
        <f>IF('RFQ-Input'!J569="","",'RFQ-Input'!J569)</f>
        <v/>
      </c>
      <c r="K570" s="7" t="str">
        <f>IF('RFQ-Input'!K569="","",'RFQ-Input'!K569)</f>
        <v/>
      </c>
      <c r="L570" s="7" t="str">
        <f>IF('RFQ-Input'!L569="","",'RFQ-Input'!L569)</f>
        <v/>
      </c>
      <c r="M570" s="7" t="str">
        <f>IF('RFQ-Input'!M569="","",'RFQ-Input'!M569)</f>
        <v/>
      </c>
      <c r="N570" s="7" t="str">
        <f>IF('RFQ-Input'!N569="","",'RFQ-Input'!N569)</f>
        <v/>
      </c>
      <c r="O570" s="7" t="str">
        <f>IF('RFQ-Input'!O569="","",'RFQ-Input'!O569)</f>
        <v/>
      </c>
      <c r="Q570" s="7"/>
      <c r="R570" s="7"/>
      <c r="S570" s="7"/>
      <c r="T570" s="7"/>
      <c r="U570" s="7"/>
      <c r="V570" s="7"/>
      <c r="X570" s="7"/>
      <c r="Y570" s="7"/>
      <c r="Z570" s="7"/>
      <c r="AA570" s="7" t="str">
        <f t="shared" si="56"/>
        <v/>
      </c>
      <c r="AB570" s="7"/>
      <c r="AC570" s="7"/>
      <c r="AQ570" s="7" t="str">
        <f t="shared" si="57"/>
        <v/>
      </c>
      <c r="AR570" s="7" t="str">
        <f t="shared" si="58"/>
        <v/>
      </c>
      <c r="AS570" s="7" t="str">
        <f t="shared" si="59"/>
        <v/>
      </c>
      <c r="AT570" s="7" t="str">
        <f t="shared" si="60"/>
        <v/>
      </c>
      <c r="AU570" s="7" t="str">
        <f t="shared" si="61"/>
        <v/>
      </c>
      <c r="AV570" s="7" t="str">
        <f t="shared" si="62"/>
        <v/>
      </c>
      <c r="AW570" s="7" t="str">
        <f>IF('RFQ-Input'!O569="","",'RFQ-Input'!O569)</f>
        <v/>
      </c>
      <c r="AX570" s="7" t="str">
        <f>IF('RFQ-Input'!S569="","",'RFQ-Input'!S569)</f>
        <v/>
      </c>
      <c r="AY570" s="7" t="str">
        <f>IF('RFQ-Input'!V569="","",'RFQ-Input'!V569)</f>
        <v/>
      </c>
      <c r="AZ570" s="7" t="str">
        <f>IF('RFQ-Input'!Y569="","",'RFQ-Input'!Y569)</f>
        <v/>
      </c>
      <c r="BA570" s="7" t="str">
        <f>IF('RFQ-Input'!AB569="","",'RFQ-Input'!AB569)</f>
        <v/>
      </c>
    </row>
    <row r="571" spans="1:53">
      <c r="A571" s="20">
        <v>567</v>
      </c>
      <c r="B571" s="7"/>
      <c r="C571" s="7" t="str">
        <f>IF('RFQ-Input'!C570="","",'RFQ-Input'!C570)</f>
        <v/>
      </c>
      <c r="D571" s="7" t="str">
        <f>IF('RFQ-Input'!D570="","",'RFQ-Input'!D570)</f>
        <v/>
      </c>
      <c r="E571" s="7" t="str">
        <f>IF('RFQ-Input'!E570="","",'RFQ-Input'!E570)</f>
        <v/>
      </c>
      <c r="F571" s="7" t="str">
        <f>IF('RFQ-Input'!F570="","",'RFQ-Input'!F570)</f>
        <v/>
      </c>
      <c r="G571" s="7" t="str">
        <f>IF('RFQ-Input'!G570="","",'RFQ-Input'!G570)</f>
        <v/>
      </c>
      <c r="H571" s="7" t="str">
        <f>IF('RFQ-Input'!H570="","",'RFQ-Input'!H570)</f>
        <v/>
      </c>
      <c r="I571" s="7" t="str">
        <f>IF('RFQ-Input'!I570="","",'RFQ-Input'!I570)</f>
        <v/>
      </c>
      <c r="J571" s="7" t="str">
        <f>IF('RFQ-Input'!J570="","",'RFQ-Input'!J570)</f>
        <v/>
      </c>
      <c r="K571" s="7" t="str">
        <f>IF('RFQ-Input'!K570="","",'RFQ-Input'!K570)</f>
        <v/>
      </c>
      <c r="L571" s="7" t="str">
        <f>IF('RFQ-Input'!L570="","",'RFQ-Input'!L570)</f>
        <v/>
      </c>
      <c r="M571" s="7" t="str">
        <f>IF('RFQ-Input'!M570="","",'RFQ-Input'!M570)</f>
        <v/>
      </c>
      <c r="N571" s="7" t="str">
        <f>IF('RFQ-Input'!N570="","",'RFQ-Input'!N570)</f>
        <v/>
      </c>
      <c r="O571" s="7" t="str">
        <f>IF('RFQ-Input'!O570="","",'RFQ-Input'!O570)</f>
        <v/>
      </c>
      <c r="Q571" s="7"/>
      <c r="R571" s="7"/>
      <c r="S571" s="7"/>
      <c r="T571" s="7"/>
      <c r="U571" s="7"/>
      <c r="V571" s="7"/>
      <c r="X571" s="7"/>
      <c r="Y571" s="7"/>
      <c r="Z571" s="7"/>
      <c r="AA571" s="7" t="str">
        <f t="shared" si="56"/>
        <v/>
      </c>
      <c r="AB571" s="7"/>
      <c r="AC571" s="7"/>
      <c r="AQ571" s="7" t="str">
        <f t="shared" si="57"/>
        <v/>
      </c>
      <c r="AR571" s="7" t="str">
        <f t="shared" si="58"/>
        <v/>
      </c>
      <c r="AS571" s="7" t="str">
        <f t="shared" si="59"/>
        <v/>
      </c>
      <c r="AT571" s="7" t="str">
        <f t="shared" si="60"/>
        <v/>
      </c>
      <c r="AU571" s="7" t="str">
        <f t="shared" si="61"/>
        <v/>
      </c>
      <c r="AV571" s="7" t="str">
        <f t="shared" si="62"/>
        <v/>
      </c>
      <c r="AW571" s="7" t="str">
        <f>IF('RFQ-Input'!O570="","",'RFQ-Input'!O570)</f>
        <v/>
      </c>
      <c r="AX571" s="7" t="str">
        <f>IF('RFQ-Input'!S570="","",'RFQ-Input'!S570)</f>
        <v/>
      </c>
      <c r="AY571" s="7" t="str">
        <f>IF('RFQ-Input'!V570="","",'RFQ-Input'!V570)</f>
        <v/>
      </c>
      <c r="AZ571" s="7" t="str">
        <f>IF('RFQ-Input'!Y570="","",'RFQ-Input'!Y570)</f>
        <v/>
      </c>
      <c r="BA571" s="7" t="str">
        <f>IF('RFQ-Input'!AB570="","",'RFQ-Input'!AB570)</f>
        <v/>
      </c>
    </row>
    <row r="572" spans="1:53">
      <c r="A572" s="20">
        <v>568</v>
      </c>
      <c r="B572" s="7"/>
      <c r="C572" s="7" t="str">
        <f>IF('RFQ-Input'!C571="","",'RFQ-Input'!C571)</f>
        <v/>
      </c>
      <c r="D572" s="7" t="str">
        <f>IF('RFQ-Input'!D571="","",'RFQ-Input'!D571)</f>
        <v/>
      </c>
      <c r="E572" s="7" t="str">
        <f>IF('RFQ-Input'!E571="","",'RFQ-Input'!E571)</f>
        <v/>
      </c>
      <c r="F572" s="7" t="str">
        <f>IF('RFQ-Input'!F571="","",'RFQ-Input'!F571)</f>
        <v/>
      </c>
      <c r="G572" s="7" t="str">
        <f>IF('RFQ-Input'!G571="","",'RFQ-Input'!G571)</f>
        <v/>
      </c>
      <c r="H572" s="7" t="str">
        <f>IF('RFQ-Input'!H571="","",'RFQ-Input'!H571)</f>
        <v/>
      </c>
      <c r="I572" s="7" t="str">
        <f>IF('RFQ-Input'!I571="","",'RFQ-Input'!I571)</f>
        <v/>
      </c>
      <c r="J572" s="7" t="str">
        <f>IF('RFQ-Input'!J571="","",'RFQ-Input'!J571)</f>
        <v/>
      </c>
      <c r="K572" s="7" t="str">
        <f>IF('RFQ-Input'!K571="","",'RFQ-Input'!K571)</f>
        <v/>
      </c>
      <c r="L572" s="7" t="str">
        <f>IF('RFQ-Input'!L571="","",'RFQ-Input'!L571)</f>
        <v/>
      </c>
      <c r="M572" s="7" t="str">
        <f>IF('RFQ-Input'!M571="","",'RFQ-Input'!M571)</f>
        <v/>
      </c>
      <c r="N572" s="7" t="str">
        <f>IF('RFQ-Input'!N571="","",'RFQ-Input'!N571)</f>
        <v/>
      </c>
      <c r="O572" s="7" t="str">
        <f>IF('RFQ-Input'!O571="","",'RFQ-Input'!O571)</f>
        <v/>
      </c>
      <c r="Q572" s="7"/>
      <c r="R572" s="7"/>
      <c r="S572" s="7"/>
      <c r="T572" s="7"/>
      <c r="U572" s="7"/>
      <c r="V572" s="7"/>
      <c r="X572" s="7"/>
      <c r="Y572" s="7"/>
      <c r="Z572" s="7"/>
      <c r="AA572" s="7" t="str">
        <f t="shared" si="56"/>
        <v/>
      </c>
      <c r="AB572" s="7"/>
      <c r="AC572" s="7"/>
      <c r="AQ572" s="7" t="str">
        <f t="shared" si="57"/>
        <v/>
      </c>
      <c r="AR572" s="7" t="str">
        <f t="shared" si="58"/>
        <v/>
      </c>
      <c r="AS572" s="7" t="str">
        <f t="shared" si="59"/>
        <v/>
      </c>
      <c r="AT572" s="7" t="str">
        <f t="shared" si="60"/>
        <v/>
      </c>
      <c r="AU572" s="7" t="str">
        <f t="shared" si="61"/>
        <v/>
      </c>
      <c r="AV572" s="7" t="str">
        <f t="shared" si="62"/>
        <v/>
      </c>
      <c r="AW572" s="7" t="str">
        <f>IF('RFQ-Input'!O571="","",'RFQ-Input'!O571)</f>
        <v/>
      </c>
      <c r="AX572" s="7" t="str">
        <f>IF('RFQ-Input'!S571="","",'RFQ-Input'!S571)</f>
        <v/>
      </c>
      <c r="AY572" s="7" t="str">
        <f>IF('RFQ-Input'!V571="","",'RFQ-Input'!V571)</f>
        <v/>
      </c>
      <c r="AZ572" s="7" t="str">
        <f>IF('RFQ-Input'!Y571="","",'RFQ-Input'!Y571)</f>
        <v/>
      </c>
      <c r="BA572" s="7" t="str">
        <f>IF('RFQ-Input'!AB571="","",'RFQ-Input'!AB571)</f>
        <v/>
      </c>
    </row>
    <row r="573" spans="1:53">
      <c r="A573" s="20">
        <v>569</v>
      </c>
      <c r="B573" s="7"/>
      <c r="C573" s="7" t="str">
        <f>IF('RFQ-Input'!C572="","",'RFQ-Input'!C572)</f>
        <v/>
      </c>
      <c r="D573" s="7" t="str">
        <f>IF('RFQ-Input'!D572="","",'RFQ-Input'!D572)</f>
        <v/>
      </c>
      <c r="E573" s="7" t="str">
        <f>IF('RFQ-Input'!E572="","",'RFQ-Input'!E572)</f>
        <v/>
      </c>
      <c r="F573" s="7" t="str">
        <f>IF('RFQ-Input'!F572="","",'RFQ-Input'!F572)</f>
        <v/>
      </c>
      <c r="G573" s="7" t="str">
        <f>IF('RFQ-Input'!G572="","",'RFQ-Input'!G572)</f>
        <v/>
      </c>
      <c r="H573" s="7" t="str">
        <f>IF('RFQ-Input'!H572="","",'RFQ-Input'!H572)</f>
        <v/>
      </c>
      <c r="I573" s="7" t="str">
        <f>IF('RFQ-Input'!I572="","",'RFQ-Input'!I572)</f>
        <v/>
      </c>
      <c r="J573" s="7" t="str">
        <f>IF('RFQ-Input'!J572="","",'RFQ-Input'!J572)</f>
        <v/>
      </c>
      <c r="K573" s="7" t="str">
        <f>IF('RFQ-Input'!K572="","",'RFQ-Input'!K572)</f>
        <v/>
      </c>
      <c r="L573" s="7" t="str">
        <f>IF('RFQ-Input'!L572="","",'RFQ-Input'!L572)</f>
        <v/>
      </c>
      <c r="M573" s="7" t="str">
        <f>IF('RFQ-Input'!M572="","",'RFQ-Input'!M572)</f>
        <v/>
      </c>
      <c r="N573" s="7" t="str">
        <f>IF('RFQ-Input'!N572="","",'RFQ-Input'!N572)</f>
        <v/>
      </c>
      <c r="O573" s="7" t="str">
        <f>IF('RFQ-Input'!O572="","",'RFQ-Input'!O572)</f>
        <v/>
      </c>
      <c r="Q573" s="7"/>
      <c r="R573" s="7"/>
      <c r="S573" s="7"/>
      <c r="T573" s="7"/>
      <c r="U573" s="7"/>
      <c r="V573" s="7"/>
      <c r="X573" s="7"/>
      <c r="Y573" s="7"/>
      <c r="Z573" s="7"/>
      <c r="AA573" s="7" t="str">
        <f t="shared" si="56"/>
        <v/>
      </c>
      <c r="AB573" s="7"/>
      <c r="AC573" s="7"/>
      <c r="AQ573" s="7" t="str">
        <f t="shared" si="57"/>
        <v/>
      </c>
      <c r="AR573" s="7" t="str">
        <f t="shared" si="58"/>
        <v/>
      </c>
      <c r="AS573" s="7" t="str">
        <f t="shared" si="59"/>
        <v/>
      </c>
      <c r="AT573" s="7" t="str">
        <f t="shared" si="60"/>
        <v/>
      </c>
      <c r="AU573" s="7" t="str">
        <f t="shared" si="61"/>
        <v/>
      </c>
      <c r="AV573" s="7" t="str">
        <f t="shared" si="62"/>
        <v/>
      </c>
      <c r="AW573" s="7" t="str">
        <f>IF('RFQ-Input'!O572="","",'RFQ-Input'!O572)</f>
        <v/>
      </c>
      <c r="AX573" s="7" t="str">
        <f>IF('RFQ-Input'!S572="","",'RFQ-Input'!S572)</f>
        <v/>
      </c>
      <c r="AY573" s="7" t="str">
        <f>IF('RFQ-Input'!V572="","",'RFQ-Input'!V572)</f>
        <v/>
      </c>
      <c r="AZ573" s="7" t="str">
        <f>IF('RFQ-Input'!Y572="","",'RFQ-Input'!Y572)</f>
        <v/>
      </c>
      <c r="BA573" s="7" t="str">
        <f>IF('RFQ-Input'!AB572="","",'RFQ-Input'!AB572)</f>
        <v/>
      </c>
    </row>
    <row r="574" spans="1:53">
      <c r="A574" s="20">
        <v>570</v>
      </c>
      <c r="B574" s="7"/>
      <c r="C574" s="7" t="str">
        <f>IF('RFQ-Input'!C573="","",'RFQ-Input'!C573)</f>
        <v/>
      </c>
      <c r="D574" s="7" t="str">
        <f>IF('RFQ-Input'!D573="","",'RFQ-Input'!D573)</f>
        <v/>
      </c>
      <c r="E574" s="7" t="str">
        <f>IF('RFQ-Input'!E573="","",'RFQ-Input'!E573)</f>
        <v/>
      </c>
      <c r="F574" s="7" t="str">
        <f>IF('RFQ-Input'!F573="","",'RFQ-Input'!F573)</f>
        <v/>
      </c>
      <c r="G574" s="7" t="str">
        <f>IF('RFQ-Input'!G573="","",'RFQ-Input'!G573)</f>
        <v/>
      </c>
      <c r="H574" s="7" t="str">
        <f>IF('RFQ-Input'!H573="","",'RFQ-Input'!H573)</f>
        <v/>
      </c>
      <c r="I574" s="7" t="str">
        <f>IF('RFQ-Input'!I573="","",'RFQ-Input'!I573)</f>
        <v/>
      </c>
      <c r="J574" s="7" t="str">
        <f>IF('RFQ-Input'!J573="","",'RFQ-Input'!J573)</f>
        <v/>
      </c>
      <c r="K574" s="7" t="str">
        <f>IF('RFQ-Input'!K573="","",'RFQ-Input'!K573)</f>
        <v/>
      </c>
      <c r="L574" s="7" t="str">
        <f>IF('RFQ-Input'!L573="","",'RFQ-Input'!L573)</f>
        <v/>
      </c>
      <c r="M574" s="7" t="str">
        <f>IF('RFQ-Input'!M573="","",'RFQ-Input'!M573)</f>
        <v/>
      </c>
      <c r="N574" s="7" t="str">
        <f>IF('RFQ-Input'!N573="","",'RFQ-Input'!N573)</f>
        <v/>
      </c>
      <c r="O574" s="7" t="str">
        <f>IF('RFQ-Input'!O573="","",'RFQ-Input'!O573)</f>
        <v/>
      </c>
      <c r="Q574" s="7"/>
      <c r="R574" s="7"/>
      <c r="S574" s="7"/>
      <c r="T574" s="7"/>
      <c r="U574" s="7"/>
      <c r="V574" s="7"/>
      <c r="X574" s="7"/>
      <c r="Y574" s="7"/>
      <c r="Z574" s="7"/>
      <c r="AA574" s="7" t="str">
        <f t="shared" si="56"/>
        <v/>
      </c>
      <c r="AB574" s="7"/>
      <c r="AC574" s="7"/>
      <c r="AQ574" s="7" t="str">
        <f t="shared" si="57"/>
        <v/>
      </c>
      <c r="AR574" s="7" t="str">
        <f t="shared" si="58"/>
        <v/>
      </c>
      <c r="AS574" s="7" t="str">
        <f t="shared" si="59"/>
        <v/>
      </c>
      <c r="AT574" s="7" t="str">
        <f t="shared" si="60"/>
        <v/>
      </c>
      <c r="AU574" s="7" t="str">
        <f t="shared" si="61"/>
        <v/>
      </c>
      <c r="AV574" s="7" t="str">
        <f t="shared" si="62"/>
        <v/>
      </c>
      <c r="AW574" s="7" t="str">
        <f>IF('RFQ-Input'!O573="","",'RFQ-Input'!O573)</f>
        <v/>
      </c>
      <c r="AX574" s="7" t="str">
        <f>IF('RFQ-Input'!S573="","",'RFQ-Input'!S573)</f>
        <v/>
      </c>
      <c r="AY574" s="7" t="str">
        <f>IF('RFQ-Input'!V573="","",'RFQ-Input'!V573)</f>
        <v/>
      </c>
      <c r="AZ574" s="7" t="str">
        <f>IF('RFQ-Input'!Y573="","",'RFQ-Input'!Y573)</f>
        <v/>
      </c>
      <c r="BA574" s="7" t="str">
        <f>IF('RFQ-Input'!AB573="","",'RFQ-Input'!AB573)</f>
        <v/>
      </c>
    </row>
    <row r="575" spans="1:53">
      <c r="A575" s="20">
        <v>571</v>
      </c>
      <c r="B575" s="7"/>
      <c r="C575" s="7" t="str">
        <f>IF('RFQ-Input'!C574="","",'RFQ-Input'!C574)</f>
        <v/>
      </c>
      <c r="D575" s="7" t="str">
        <f>IF('RFQ-Input'!D574="","",'RFQ-Input'!D574)</f>
        <v/>
      </c>
      <c r="E575" s="7" t="str">
        <f>IF('RFQ-Input'!E574="","",'RFQ-Input'!E574)</f>
        <v/>
      </c>
      <c r="F575" s="7" t="str">
        <f>IF('RFQ-Input'!F574="","",'RFQ-Input'!F574)</f>
        <v/>
      </c>
      <c r="G575" s="7" t="str">
        <f>IF('RFQ-Input'!G574="","",'RFQ-Input'!G574)</f>
        <v/>
      </c>
      <c r="H575" s="7" t="str">
        <f>IF('RFQ-Input'!H574="","",'RFQ-Input'!H574)</f>
        <v/>
      </c>
      <c r="I575" s="7" t="str">
        <f>IF('RFQ-Input'!I574="","",'RFQ-Input'!I574)</f>
        <v/>
      </c>
      <c r="J575" s="7" t="str">
        <f>IF('RFQ-Input'!J574="","",'RFQ-Input'!J574)</f>
        <v/>
      </c>
      <c r="K575" s="7" t="str">
        <f>IF('RFQ-Input'!K574="","",'RFQ-Input'!K574)</f>
        <v/>
      </c>
      <c r="L575" s="7" t="str">
        <f>IF('RFQ-Input'!L574="","",'RFQ-Input'!L574)</f>
        <v/>
      </c>
      <c r="M575" s="7" t="str">
        <f>IF('RFQ-Input'!M574="","",'RFQ-Input'!M574)</f>
        <v/>
      </c>
      <c r="N575" s="7" t="str">
        <f>IF('RFQ-Input'!N574="","",'RFQ-Input'!N574)</f>
        <v/>
      </c>
      <c r="O575" s="7" t="str">
        <f>IF('RFQ-Input'!O574="","",'RFQ-Input'!O574)</f>
        <v/>
      </c>
      <c r="Q575" s="7"/>
      <c r="R575" s="7"/>
      <c r="S575" s="7"/>
      <c r="T575" s="7"/>
      <c r="U575" s="7"/>
      <c r="V575" s="7"/>
      <c r="X575" s="7"/>
      <c r="Y575" s="7"/>
      <c r="Z575" s="7"/>
      <c r="AA575" s="7" t="str">
        <f t="shared" si="56"/>
        <v/>
      </c>
      <c r="AB575" s="7"/>
      <c r="AC575" s="7"/>
      <c r="AQ575" s="7" t="str">
        <f t="shared" si="57"/>
        <v/>
      </c>
      <c r="AR575" s="7" t="str">
        <f t="shared" si="58"/>
        <v/>
      </c>
      <c r="AS575" s="7" t="str">
        <f t="shared" si="59"/>
        <v/>
      </c>
      <c r="AT575" s="7" t="str">
        <f t="shared" si="60"/>
        <v/>
      </c>
      <c r="AU575" s="7" t="str">
        <f t="shared" si="61"/>
        <v/>
      </c>
      <c r="AV575" s="7" t="str">
        <f t="shared" si="62"/>
        <v/>
      </c>
      <c r="AW575" s="7" t="str">
        <f>IF('RFQ-Input'!O574="","",'RFQ-Input'!O574)</f>
        <v/>
      </c>
      <c r="AX575" s="7" t="str">
        <f>IF('RFQ-Input'!S574="","",'RFQ-Input'!S574)</f>
        <v/>
      </c>
      <c r="AY575" s="7" t="str">
        <f>IF('RFQ-Input'!V574="","",'RFQ-Input'!V574)</f>
        <v/>
      </c>
      <c r="AZ575" s="7" t="str">
        <f>IF('RFQ-Input'!Y574="","",'RFQ-Input'!Y574)</f>
        <v/>
      </c>
      <c r="BA575" s="7" t="str">
        <f>IF('RFQ-Input'!AB574="","",'RFQ-Input'!AB574)</f>
        <v/>
      </c>
    </row>
    <row r="576" spans="1:53">
      <c r="A576" s="20">
        <v>572</v>
      </c>
      <c r="B576" s="7"/>
      <c r="C576" s="7" t="str">
        <f>IF('RFQ-Input'!C575="","",'RFQ-Input'!C575)</f>
        <v/>
      </c>
      <c r="D576" s="7" t="str">
        <f>IF('RFQ-Input'!D575="","",'RFQ-Input'!D575)</f>
        <v/>
      </c>
      <c r="E576" s="7" t="str">
        <f>IF('RFQ-Input'!E575="","",'RFQ-Input'!E575)</f>
        <v/>
      </c>
      <c r="F576" s="7" t="str">
        <f>IF('RFQ-Input'!F575="","",'RFQ-Input'!F575)</f>
        <v/>
      </c>
      <c r="G576" s="7" t="str">
        <f>IF('RFQ-Input'!G575="","",'RFQ-Input'!G575)</f>
        <v/>
      </c>
      <c r="H576" s="7" t="str">
        <f>IF('RFQ-Input'!H575="","",'RFQ-Input'!H575)</f>
        <v/>
      </c>
      <c r="I576" s="7" t="str">
        <f>IF('RFQ-Input'!I575="","",'RFQ-Input'!I575)</f>
        <v/>
      </c>
      <c r="J576" s="7" t="str">
        <f>IF('RFQ-Input'!J575="","",'RFQ-Input'!J575)</f>
        <v/>
      </c>
      <c r="K576" s="7" t="str">
        <f>IF('RFQ-Input'!K575="","",'RFQ-Input'!K575)</f>
        <v/>
      </c>
      <c r="L576" s="7" t="str">
        <f>IF('RFQ-Input'!L575="","",'RFQ-Input'!L575)</f>
        <v/>
      </c>
      <c r="M576" s="7" t="str">
        <f>IF('RFQ-Input'!M575="","",'RFQ-Input'!M575)</f>
        <v/>
      </c>
      <c r="N576" s="7" t="str">
        <f>IF('RFQ-Input'!N575="","",'RFQ-Input'!N575)</f>
        <v/>
      </c>
      <c r="O576" s="7" t="str">
        <f>IF('RFQ-Input'!O575="","",'RFQ-Input'!O575)</f>
        <v/>
      </c>
      <c r="Q576" s="7"/>
      <c r="R576" s="7"/>
      <c r="S576" s="7"/>
      <c r="T576" s="7"/>
      <c r="U576" s="7"/>
      <c r="V576" s="7"/>
      <c r="X576" s="7"/>
      <c r="Y576" s="7"/>
      <c r="Z576" s="7"/>
      <c r="AA576" s="7" t="str">
        <f t="shared" si="56"/>
        <v/>
      </c>
      <c r="AB576" s="7"/>
      <c r="AC576" s="7"/>
      <c r="AQ576" s="7" t="str">
        <f t="shared" si="57"/>
        <v/>
      </c>
      <c r="AR576" s="7" t="str">
        <f t="shared" si="58"/>
        <v/>
      </c>
      <c r="AS576" s="7" t="str">
        <f t="shared" si="59"/>
        <v/>
      </c>
      <c r="AT576" s="7" t="str">
        <f t="shared" si="60"/>
        <v/>
      </c>
      <c r="AU576" s="7" t="str">
        <f t="shared" si="61"/>
        <v/>
      </c>
      <c r="AV576" s="7" t="str">
        <f t="shared" si="62"/>
        <v/>
      </c>
      <c r="AW576" s="7" t="str">
        <f>IF('RFQ-Input'!O575="","",'RFQ-Input'!O575)</f>
        <v/>
      </c>
      <c r="AX576" s="7" t="str">
        <f>IF('RFQ-Input'!S575="","",'RFQ-Input'!S575)</f>
        <v/>
      </c>
      <c r="AY576" s="7" t="str">
        <f>IF('RFQ-Input'!V575="","",'RFQ-Input'!V575)</f>
        <v/>
      </c>
      <c r="AZ576" s="7" t="str">
        <f>IF('RFQ-Input'!Y575="","",'RFQ-Input'!Y575)</f>
        <v/>
      </c>
      <c r="BA576" s="7" t="str">
        <f>IF('RFQ-Input'!AB575="","",'RFQ-Input'!AB575)</f>
        <v/>
      </c>
    </row>
    <row r="577" spans="1:53">
      <c r="A577" s="20">
        <v>573</v>
      </c>
      <c r="B577" s="7"/>
      <c r="C577" s="7" t="str">
        <f>IF('RFQ-Input'!C576="","",'RFQ-Input'!C576)</f>
        <v/>
      </c>
      <c r="D577" s="7" t="str">
        <f>IF('RFQ-Input'!D576="","",'RFQ-Input'!D576)</f>
        <v/>
      </c>
      <c r="E577" s="7" t="str">
        <f>IF('RFQ-Input'!E576="","",'RFQ-Input'!E576)</f>
        <v/>
      </c>
      <c r="F577" s="7" t="str">
        <f>IF('RFQ-Input'!F576="","",'RFQ-Input'!F576)</f>
        <v/>
      </c>
      <c r="G577" s="7" t="str">
        <f>IF('RFQ-Input'!G576="","",'RFQ-Input'!G576)</f>
        <v/>
      </c>
      <c r="H577" s="7" t="str">
        <f>IF('RFQ-Input'!H576="","",'RFQ-Input'!H576)</f>
        <v/>
      </c>
      <c r="I577" s="7" t="str">
        <f>IF('RFQ-Input'!I576="","",'RFQ-Input'!I576)</f>
        <v/>
      </c>
      <c r="J577" s="7" t="str">
        <f>IF('RFQ-Input'!J576="","",'RFQ-Input'!J576)</f>
        <v/>
      </c>
      <c r="K577" s="7" t="str">
        <f>IF('RFQ-Input'!K576="","",'RFQ-Input'!K576)</f>
        <v/>
      </c>
      <c r="L577" s="7" t="str">
        <f>IF('RFQ-Input'!L576="","",'RFQ-Input'!L576)</f>
        <v/>
      </c>
      <c r="M577" s="7" t="str">
        <f>IF('RFQ-Input'!M576="","",'RFQ-Input'!M576)</f>
        <v/>
      </c>
      <c r="N577" s="7" t="str">
        <f>IF('RFQ-Input'!N576="","",'RFQ-Input'!N576)</f>
        <v/>
      </c>
      <c r="O577" s="7" t="str">
        <f>IF('RFQ-Input'!O576="","",'RFQ-Input'!O576)</f>
        <v/>
      </c>
      <c r="Q577" s="7"/>
      <c r="R577" s="7"/>
      <c r="S577" s="7"/>
      <c r="T577" s="7"/>
      <c r="U577" s="7"/>
      <c r="V577" s="7"/>
      <c r="X577" s="7"/>
      <c r="Y577" s="7"/>
      <c r="Z577" s="7"/>
      <c r="AA577" s="7" t="str">
        <f t="shared" si="56"/>
        <v/>
      </c>
      <c r="AB577" s="7"/>
      <c r="AC577" s="7"/>
      <c r="AQ577" s="7" t="str">
        <f t="shared" si="57"/>
        <v/>
      </c>
      <c r="AR577" s="7" t="str">
        <f t="shared" si="58"/>
        <v/>
      </c>
      <c r="AS577" s="7" t="str">
        <f t="shared" si="59"/>
        <v/>
      </c>
      <c r="AT577" s="7" t="str">
        <f t="shared" si="60"/>
        <v/>
      </c>
      <c r="AU577" s="7" t="str">
        <f t="shared" si="61"/>
        <v/>
      </c>
      <c r="AV577" s="7" t="str">
        <f t="shared" si="62"/>
        <v/>
      </c>
      <c r="AW577" s="7" t="str">
        <f>IF('RFQ-Input'!O576="","",'RFQ-Input'!O576)</f>
        <v/>
      </c>
      <c r="AX577" s="7" t="str">
        <f>IF('RFQ-Input'!S576="","",'RFQ-Input'!S576)</f>
        <v/>
      </c>
      <c r="AY577" s="7" t="str">
        <f>IF('RFQ-Input'!V576="","",'RFQ-Input'!V576)</f>
        <v/>
      </c>
      <c r="AZ577" s="7" t="str">
        <f>IF('RFQ-Input'!Y576="","",'RFQ-Input'!Y576)</f>
        <v/>
      </c>
      <c r="BA577" s="7" t="str">
        <f>IF('RFQ-Input'!AB576="","",'RFQ-Input'!AB576)</f>
        <v/>
      </c>
    </row>
    <row r="578" spans="1:53">
      <c r="A578" s="20">
        <v>574</v>
      </c>
      <c r="B578" s="7"/>
      <c r="C578" s="7" t="str">
        <f>IF('RFQ-Input'!C577="","",'RFQ-Input'!C577)</f>
        <v/>
      </c>
      <c r="D578" s="7" t="str">
        <f>IF('RFQ-Input'!D577="","",'RFQ-Input'!D577)</f>
        <v/>
      </c>
      <c r="E578" s="7" t="str">
        <f>IF('RFQ-Input'!E577="","",'RFQ-Input'!E577)</f>
        <v/>
      </c>
      <c r="F578" s="7" t="str">
        <f>IF('RFQ-Input'!F577="","",'RFQ-Input'!F577)</f>
        <v/>
      </c>
      <c r="G578" s="7" t="str">
        <f>IF('RFQ-Input'!G577="","",'RFQ-Input'!G577)</f>
        <v/>
      </c>
      <c r="H578" s="7" t="str">
        <f>IF('RFQ-Input'!H577="","",'RFQ-Input'!H577)</f>
        <v/>
      </c>
      <c r="I578" s="7" t="str">
        <f>IF('RFQ-Input'!I577="","",'RFQ-Input'!I577)</f>
        <v/>
      </c>
      <c r="J578" s="7" t="str">
        <f>IF('RFQ-Input'!J577="","",'RFQ-Input'!J577)</f>
        <v/>
      </c>
      <c r="K578" s="7" t="str">
        <f>IF('RFQ-Input'!K577="","",'RFQ-Input'!K577)</f>
        <v/>
      </c>
      <c r="L578" s="7" t="str">
        <f>IF('RFQ-Input'!L577="","",'RFQ-Input'!L577)</f>
        <v/>
      </c>
      <c r="M578" s="7" t="str">
        <f>IF('RFQ-Input'!M577="","",'RFQ-Input'!M577)</f>
        <v/>
      </c>
      <c r="N578" s="7" t="str">
        <f>IF('RFQ-Input'!N577="","",'RFQ-Input'!N577)</f>
        <v/>
      </c>
      <c r="O578" s="7" t="str">
        <f>IF('RFQ-Input'!O577="","",'RFQ-Input'!O577)</f>
        <v/>
      </c>
      <c r="Q578" s="7"/>
      <c r="R578" s="7"/>
      <c r="S578" s="7"/>
      <c r="T578" s="7"/>
      <c r="U578" s="7"/>
      <c r="V578" s="7"/>
      <c r="X578" s="7"/>
      <c r="Y578" s="7"/>
      <c r="Z578" s="7"/>
      <c r="AA578" s="7" t="str">
        <f t="shared" si="56"/>
        <v/>
      </c>
      <c r="AB578" s="7"/>
      <c r="AC578" s="7"/>
      <c r="AQ578" s="7" t="str">
        <f t="shared" si="57"/>
        <v/>
      </c>
      <c r="AR578" s="7" t="str">
        <f t="shared" si="58"/>
        <v/>
      </c>
      <c r="AS578" s="7" t="str">
        <f t="shared" si="59"/>
        <v/>
      </c>
      <c r="AT578" s="7" t="str">
        <f t="shared" si="60"/>
        <v/>
      </c>
      <c r="AU578" s="7" t="str">
        <f t="shared" si="61"/>
        <v/>
      </c>
      <c r="AV578" s="7" t="str">
        <f t="shared" si="62"/>
        <v/>
      </c>
      <c r="AW578" s="7" t="str">
        <f>IF('RFQ-Input'!O577="","",'RFQ-Input'!O577)</f>
        <v/>
      </c>
      <c r="AX578" s="7" t="str">
        <f>IF('RFQ-Input'!S577="","",'RFQ-Input'!S577)</f>
        <v/>
      </c>
      <c r="AY578" s="7" t="str">
        <f>IF('RFQ-Input'!V577="","",'RFQ-Input'!V577)</f>
        <v/>
      </c>
      <c r="AZ578" s="7" t="str">
        <f>IF('RFQ-Input'!Y577="","",'RFQ-Input'!Y577)</f>
        <v/>
      </c>
      <c r="BA578" s="7" t="str">
        <f>IF('RFQ-Input'!AB577="","",'RFQ-Input'!AB577)</f>
        <v/>
      </c>
    </row>
    <row r="579" spans="1:53">
      <c r="A579" s="20">
        <v>575</v>
      </c>
      <c r="B579" s="7"/>
      <c r="C579" s="7" t="str">
        <f>IF('RFQ-Input'!C578="","",'RFQ-Input'!C578)</f>
        <v/>
      </c>
      <c r="D579" s="7" t="str">
        <f>IF('RFQ-Input'!D578="","",'RFQ-Input'!D578)</f>
        <v/>
      </c>
      <c r="E579" s="7" t="str">
        <f>IF('RFQ-Input'!E578="","",'RFQ-Input'!E578)</f>
        <v/>
      </c>
      <c r="F579" s="7" t="str">
        <f>IF('RFQ-Input'!F578="","",'RFQ-Input'!F578)</f>
        <v/>
      </c>
      <c r="G579" s="7" t="str">
        <f>IF('RFQ-Input'!G578="","",'RFQ-Input'!G578)</f>
        <v/>
      </c>
      <c r="H579" s="7" t="str">
        <f>IF('RFQ-Input'!H578="","",'RFQ-Input'!H578)</f>
        <v/>
      </c>
      <c r="I579" s="7" t="str">
        <f>IF('RFQ-Input'!I578="","",'RFQ-Input'!I578)</f>
        <v/>
      </c>
      <c r="J579" s="7" t="str">
        <f>IF('RFQ-Input'!J578="","",'RFQ-Input'!J578)</f>
        <v/>
      </c>
      <c r="K579" s="7" t="str">
        <f>IF('RFQ-Input'!K578="","",'RFQ-Input'!K578)</f>
        <v/>
      </c>
      <c r="L579" s="7" t="str">
        <f>IF('RFQ-Input'!L578="","",'RFQ-Input'!L578)</f>
        <v/>
      </c>
      <c r="M579" s="7" t="str">
        <f>IF('RFQ-Input'!M578="","",'RFQ-Input'!M578)</f>
        <v/>
      </c>
      <c r="N579" s="7" t="str">
        <f>IF('RFQ-Input'!N578="","",'RFQ-Input'!N578)</f>
        <v/>
      </c>
      <c r="O579" s="7" t="str">
        <f>IF('RFQ-Input'!O578="","",'RFQ-Input'!O578)</f>
        <v/>
      </c>
      <c r="Q579" s="7"/>
      <c r="R579" s="7"/>
      <c r="S579" s="7"/>
      <c r="T579" s="7"/>
      <c r="U579" s="7"/>
      <c r="V579" s="7"/>
      <c r="X579" s="7"/>
      <c r="Y579" s="7"/>
      <c r="Z579" s="7"/>
      <c r="AA579" s="7" t="str">
        <f t="shared" si="56"/>
        <v/>
      </c>
      <c r="AB579" s="7"/>
      <c r="AC579" s="7"/>
      <c r="AQ579" s="7" t="str">
        <f t="shared" si="57"/>
        <v/>
      </c>
      <c r="AR579" s="7" t="str">
        <f t="shared" si="58"/>
        <v/>
      </c>
      <c r="AS579" s="7" t="str">
        <f t="shared" si="59"/>
        <v/>
      </c>
      <c r="AT579" s="7" t="str">
        <f t="shared" si="60"/>
        <v/>
      </c>
      <c r="AU579" s="7" t="str">
        <f t="shared" si="61"/>
        <v/>
      </c>
      <c r="AV579" s="7" t="str">
        <f t="shared" si="62"/>
        <v/>
      </c>
      <c r="AW579" s="7" t="str">
        <f>IF('RFQ-Input'!O578="","",'RFQ-Input'!O578)</f>
        <v/>
      </c>
      <c r="AX579" s="7" t="str">
        <f>IF('RFQ-Input'!S578="","",'RFQ-Input'!S578)</f>
        <v/>
      </c>
      <c r="AY579" s="7" t="str">
        <f>IF('RFQ-Input'!V578="","",'RFQ-Input'!V578)</f>
        <v/>
      </c>
      <c r="AZ579" s="7" t="str">
        <f>IF('RFQ-Input'!Y578="","",'RFQ-Input'!Y578)</f>
        <v/>
      </c>
      <c r="BA579" s="7" t="str">
        <f>IF('RFQ-Input'!AB578="","",'RFQ-Input'!AB578)</f>
        <v/>
      </c>
    </row>
    <row r="580" spans="1:53">
      <c r="A580" s="20">
        <v>576</v>
      </c>
      <c r="B580" s="7"/>
      <c r="C580" s="7" t="str">
        <f>IF('RFQ-Input'!C579="","",'RFQ-Input'!C579)</f>
        <v/>
      </c>
      <c r="D580" s="7" t="str">
        <f>IF('RFQ-Input'!D579="","",'RFQ-Input'!D579)</f>
        <v/>
      </c>
      <c r="E580" s="7" t="str">
        <f>IF('RFQ-Input'!E579="","",'RFQ-Input'!E579)</f>
        <v/>
      </c>
      <c r="F580" s="7" t="str">
        <f>IF('RFQ-Input'!F579="","",'RFQ-Input'!F579)</f>
        <v/>
      </c>
      <c r="G580" s="7" t="str">
        <f>IF('RFQ-Input'!G579="","",'RFQ-Input'!G579)</f>
        <v/>
      </c>
      <c r="H580" s="7" t="str">
        <f>IF('RFQ-Input'!H579="","",'RFQ-Input'!H579)</f>
        <v/>
      </c>
      <c r="I580" s="7" t="str">
        <f>IF('RFQ-Input'!I579="","",'RFQ-Input'!I579)</f>
        <v/>
      </c>
      <c r="J580" s="7" t="str">
        <f>IF('RFQ-Input'!J579="","",'RFQ-Input'!J579)</f>
        <v/>
      </c>
      <c r="K580" s="7" t="str">
        <f>IF('RFQ-Input'!K579="","",'RFQ-Input'!K579)</f>
        <v/>
      </c>
      <c r="L580" s="7" t="str">
        <f>IF('RFQ-Input'!L579="","",'RFQ-Input'!L579)</f>
        <v/>
      </c>
      <c r="M580" s="7" t="str">
        <f>IF('RFQ-Input'!M579="","",'RFQ-Input'!M579)</f>
        <v/>
      </c>
      <c r="N580" s="7" t="str">
        <f>IF('RFQ-Input'!N579="","",'RFQ-Input'!N579)</f>
        <v/>
      </c>
      <c r="O580" s="7" t="str">
        <f>IF('RFQ-Input'!O579="","",'RFQ-Input'!O579)</f>
        <v/>
      </c>
      <c r="Q580" s="7"/>
      <c r="R580" s="7"/>
      <c r="S580" s="7"/>
      <c r="T580" s="7"/>
      <c r="U580" s="7"/>
      <c r="V580" s="7"/>
      <c r="X580" s="7"/>
      <c r="Y580" s="7"/>
      <c r="Z580" s="7"/>
      <c r="AA580" s="7" t="str">
        <f t="shared" si="56"/>
        <v/>
      </c>
      <c r="AB580" s="7"/>
      <c r="AC580" s="7"/>
      <c r="AQ580" s="7" t="str">
        <f t="shared" si="57"/>
        <v/>
      </c>
      <c r="AR580" s="7" t="str">
        <f t="shared" si="58"/>
        <v/>
      </c>
      <c r="AS580" s="7" t="str">
        <f t="shared" si="59"/>
        <v/>
      </c>
      <c r="AT580" s="7" t="str">
        <f t="shared" si="60"/>
        <v/>
      </c>
      <c r="AU580" s="7" t="str">
        <f t="shared" si="61"/>
        <v/>
      </c>
      <c r="AV580" s="7" t="str">
        <f t="shared" si="62"/>
        <v/>
      </c>
      <c r="AW580" s="7" t="str">
        <f>IF('RFQ-Input'!O579="","",'RFQ-Input'!O579)</f>
        <v/>
      </c>
      <c r="AX580" s="7" t="str">
        <f>IF('RFQ-Input'!S579="","",'RFQ-Input'!S579)</f>
        <v/>
      </c>
      <c r="AY580" s="7" t="str">
        <f>IF('RFQ-Input'!V579="","",'RFQ-Input'!V579)</f>
        <v/>
      </c>
      <c r="AZ580" s="7" t="str">
        <f>IF('RFQ-Input'!Y579="","",'RFQ-Input'!Y579)</f>
        <v/>
      </c>
      <c r="BA580" s="7" t="str">
        <f>IF('RFQ-Input'!AB579="","",'RFQ-Input'!AB579)</f>
        <v/>
      </c>
    </row>
    <row r="581" spans="1:53">
      <c r="A581" s="20">
        <v>577</v>
      </c>
      <c r="B581" s="7"/>
      <c r="C581" s="7" t="str">
        <f>IF('RFQ-Input'!C580="","",'RFQ-Input'!C580)</f>
        <v/>
      </c>
      <c r="D581" s="7" t="str">
        <f>IF('RFQ-Input'!D580="","",'RFQ-Input'!D580)</f>
        <v/>
      </c>
      <c r="E581" s="7" t="str">
        <f>IF('RFQ-Input'!E580="","",'RFQ-Input'!E580)</f>
        <v/>
      </c>
      <c r="F581" s="7" t="str">
        <f>IF('RFQ-Input'!F580="","",'RFQ-Input'!F580)</f>
        <v/>
      </c>
      <c r="G581" s="7" t="str">
        <f>IF('RFQ-Input'!G580="","",'RFQ-Input'!G580)</f>
        <v/>
      </c>
      <c r="H581" s="7" t="str">
        <f>IF('RFQ-Input'!H580="","",'RFQ-Input'!H580)</f>
        <v/>
      </c>
      <c r="I581" s="7" t="str">
        <f>IF('RFQ-Input'!I580="","",'RFQ-Input'!I580)</f>
        <v/>
      </c>
      <c r="J581" s="7" t="str">
        <f>IF('RFQ-Input'!J580="","",'RFQ-Input'!J580)</f>
        <v/>
      </c>
      <c r="K581" s="7" t="str">
        <f>IF('RFQ-Input'!K580="","",'RFQ-Input'!K580)</f>
        <v/>
      </c>
      <c r="L581" s="7" t="str">
        <f>IF('RFQ-Input'!L580="","",'RFQ-Input'!L580)</f>
        <v/>
      </c>
      <c r="M581" s="7" t="str">
        <f>IF('RFQ-Input'!M580="","",'RFQ-Input'!M580)</f>
        <v/>
      </c>
      <c r="N581" s="7" t="str">
        <f>IF('RFQ-Input'!N580="","",'RFQ-Input'!N580)</f>
        <v/>
      </c>
      <c r="O581" s="7" t="str">
        <f>IF('RFQ-Input'!O580="","",'RFQ-Input'!O580)</f>
        <v/>
      </c>
      <c r="Q581" s="7"/>
      <c r="R581" s="7"/>
      <c r="S581" s="7"/>
      <c r="T581" s="7"/>
      <c r="U581" s="7"/>
      <c r="V581" s="7"/>
      <c r="X581" s="7"/>
      <c r="Y581" s="7"/>
      <c r="Z581" s="7"/>
      <c r="AA581" s="7" t="str">
        <f t="shared" ref="AA581:AA644" si="63">IF(AND(L581="",Y581=""),"",L581)</f>
        <v/>
      </c>
      <c r="AB581" s="7"/>
      <c r="AC581" s="7"/>
      <c r="AQ581" s="7" t="str">
        <f t="shared" si="57"/>
        <v/>
      </c>
      <c r="AR581" s="7" t="str">
        <f t="shared" si="58"/>
        <v/>
      </c>
      <c r="AS581" s="7" t="str">
        <f t="shared" si="59"/>
        <v/>
      </c>
      <c r="AT581" s="7" t="str">
        <f t="shared" si="60"/>
        <v/>
      </c>
      <c r="AU581" s="7" t="str">
        <f t="shared" si="61"/>
        <v/>
      </c>
      <c r="AV581" s="7" t="str">
        <f t="shared" si="62"/>
        <v/>
      </c>
      <c r="AW581" s="7" t="str">
        <f>IF('RFQ-Input'!O580="","",'RFQ-Input'!O580)</f>
        <v/>
      </c>
      <c r="AX581" s="7" t="str">
        <f>IF('RFQ-Input'!S580="","",'RFQ-Input'!S580)</f>
        <v/>
      </c>
      <c r="AY581" s="7" t="str">
        <f>IF('RFQ-Input'!V580="","",'RFQ-Input'!V580)</f>
        <v/>
      </c>
      <c r="AZ581" s="7" t="str">
        <f>IF('RFQ-Input'!Y580="","",'RFQ-Input'!Y580)</f>
        <v/>
      </c>
      <c r="BA581" s="7" t="str">
        <f>IF('RFQ-Input'!AB580="","",'RFQ-Input'!AB580)</f>
        <v/>
      </c>
    </row>
    <row r="582" spans="1:53">
      <c r="A582" s="20">
        <v>578</v>
      </c>
      <c r="B582" s="7"/>
      <c r="C582" s="7" t="str">
        <f>IF('RFQ-Input'!C581="","",'RFQ-Input'!C581)</f>
        <v/>
      </c>
      <c r="D582" s="7" t="str">
        <f>IF('RFQ-Input'!D581="","",'RFQ-Input'!D581)</f>
        <v/>
      </c>
      <c r="E582" s="7" t="str">
        <f>IF('RFQ-Input'!E581="","",'RFQ-Input'!E581)</f>
        <v/>
      </c>
      <c r="F582" s="7" t="str">
        <f>IF('RFQ-Input'!F581="","",'RFQ-Input'!F581)</f>
        <v/>
      </c>
      <c r="G582" s="7" t="str">
        <f>IF('RFQ-Input'!G581="","",'RFQ-Input'!G581)</f>
        <v/>
      </c>
      <c r="H582" s="7" t="str">
        <f>IF('RFQ-Input'!H581="","",'RFQ-Input'!H581)</f>
        <v/>
      </c>
      <c r="I582" s="7" t="str">
        <f>IF('RFQ-Input'!I581="","",'RFQ-Input'!I581)</f>
        <v/>
      </c>
      <c r="J582" s="7" t="str">
        <f>IF('RFQ-Input'!J581="","",'RFQ-Input'!J581)</f>
        <v/>
      </c>
      <c r="K582" s="7" t="str">
        <f>IF('RFQ-Input'!K581="","",'RFQ-Input'!K581)</f>
        <v/>
      </c>
      <c r="L582" s="7" t="str">
        <f>IF('RFQ-Input'!L581="","",'RFQ-Input'!L581)</f>
        <v/>
      </c>
      <c r="M582" s="7" t="str">
        <f>IF('RFQ-Input'!M581="","",'RFQ-Input'!M581)</f>
        <v/>
      </c>
      <c r="N582" s="7" t="str">
        <f>IF('RFQ-Input'!N581="","",'RFQ-Input'!N581)</f>
        <v/>
      </c>
      <c r="O582" s="7" t="str">
        <f>IF('RFQ-Input'!O581="","",'RFQ-Input'!O581)</f>
        <v/>
      </c>
      <c r="Q582" s="7"/>
      <c r="R582" s="7"/>
      <c r="S582" s="7"/>
      <c r="T582" s="7"/>
      <c r="U582" s="7"/>
      <c r="V582" s="7"/>
      <c r="X582" s="7"/>
      <c r="Y582" s="7"/>
      <c r="Z582" s="7"/>
      <c r="AA582" s="7" t="str">
        <f t="shared" si="63"/>
        <v/>
      </c>
      <c r="AB582" s="7"/>
      <c r="AC582" s="7"/>
      <c r="AQ582" s="7" t="str">
        <f t="shared" ref="AQ582:AQ645" si="64">IFERROR(SMALL($AW582:$CT582,1),"")</f>
        <v/>
      </c>
      <c r="AR582" s="7" t="str">
        <f t="shared" ref="AR582:AR645" si="65">IF(AQ582="","",INDEX($AW$4:$CT$4,MATCH(AQ582,$AW582:$CT582,0)))</f>
        <v/>
      </c>
      <c r="AS582" s="7" t="str">
        <f t="shared" ref="AS582:AS645" si="66">IFERROR(SMALL($AW582:$CT582,2),"")</f>
        <v/>
      </c>
      <c r="AT582" s="7" t="str">
        <f t="shared" ref="AT582:AT645" si="67">IF(AS582="","",INDEX($AW$4:$CT$4,MATCH(AS582,$AW582:$CT582,0)))</f>
        <v/>
      </c>
      <c r="AU582" s="7" t="str">
        <f t="shared" ref="AU582:AU645" si="68">IFERROR(SMALL($AW582:$CT582,3),"")</f>
        <v/>
      </c>
      <c r="AV582" s="7" t="str">
        <f t="shared" ref="AV582:AV645" si="69">IF(AU582="","",INDEX($AW$4:$CT$4,MATCH(AU582,$AW582:$CT582,0)))</f>
        <v/>
      </c>
      <c r="AW582" s="7" t="str">
        <f>IF('RFQ-Input'!O581="","",'RFQ-Input'!O581)</f>
        <v/>
      </c>
      <c r="AX582" s="7" t="str">
        <f>IF('RFQ-Input'!S581="","",'RFQ-Input'!S581)</f>
        <v/>
      </c>
      <c r="AY582" s="7" t="str">
        <f>IF('RFQ-Input'!V581="","",'RFQ-Input'!V581)</f>
        <v/>
      </c>
      <c r="AZ582" s="7" t="str">
        <f>IF('RFQ-Input'!Y581="","",'RFQ-Input'!Y581)</f>
        <v/>
      </c>
      <c r="BA582" s="7" t="str">
        <f>IF('RFQ-Input'!AB581="","",'RFQ-Input'!AB581)</f>
        <v/>
      </c>
    </row>
    <row r="583" spans="1:53">
      <c r="A583" s="20">
        <v>579</v>
      </c>
      <c r="B583" s="7"/>
      <c r="C583" s="7" t="str">
        <f>IF('RFQ-Input'!C582="","",'RFQ-Input'!C582)</f>
        <v/>
      </c>
      <c r="D583" s="7" t="str">
        <f>IF('RFQ-Input'!D582="","",'RFQ-Input'!D582)</f>
        <v/>
      </c>
      <c r="E583" s="7" t="str">
        <f>IF('RFQ-Input'!E582="","",'RFQ-Input'!E582)</f>
        <v/>
      </c>
      <c r="F583" s="7" t="str">
        <f>IF('RFQ-Input'!F582="","",'RFQ-Input'!F582)</f>
        <v/>
      </c>
      <c r="G583" s="7" t="str">
        <f>IF('RFQ-Input'!G582="","",'RFQ-Input'!G582)</f>
        <v/>
      </c>
      <c r="H583" s="7" t="str">
        <f>IF('RFQ-Input'!H582="","",'RFQ-Input'!H582)</f>
        <v/>
      </c>
      <c r="I583" s="7" t="str">
        <f>IF('RFQ-Input'!I582="","",'RFQ-Input'!I582)</f>
        <v/>
      </c>
      <c r="J583" s="7" t="str">
        <f>IF('RFQ-Input'!J582="","",'RFQ-Input'!J582)</f>
        <v/>
      </c>
      <c r="K583" s="7" t="str">
        <f>IF('RFQ-Input'!K582="","",'RFQ-Input'!K582)</f>
        <v/>
      </c>
      <c r="L583" s="7" t="str">
        <f>IF('RFQ-Input'!L582="","",'RFQ-Input'!L582)</f>
        <v/>
      </c>
      <c r="M583" s="7" t="str">
        <f>IF('RFQ-Input'!M582="","",'RFQ-Input'!M582)</f>
        <v/>
      </c>
      <c r="N583" s="7" t="str">
        <f>IF('RFQ-Input'!N582="","",'RFQ-Input'!N582)</f>
        <v/>
      </c>
      <c r="O583" s="7" t="str">
        <f>IF('RFQ-Input'!O582="","",'RFQ-Input'!O582)</f>
        <v/>
      </c>
      <c r="Q583" s="7"/>
      <c r="R583" s="7"/>
      <c r="S583" s="7"/>
      <c r="T583" s="7"/>
      <c r="U583" s="7"/>
      <c r="V583" s="7"/>
      <c r="X583" s="7"/>
      <c r="Y583" s="7"/>
      <c r="Z583" s="7"/>
      <c r="AA583" s="7" t="str">
        <f t="shared" si="63"/>
        <v/>
      </c>
      <c r="AB583" s="7"/>
      <c r="AC583" s="7"/>
      <c r="AQ583" s="7" t="str">
        <f t="shared" si="64"/>
        <v/>
      </c>
      <c r="AR583" s="7" t="str">
        <f t="shared" si="65"/>
        <v/>
      </c>
      <c r="AS583" s="7" t="str">
        <f t="shared" si="66"/>
        <v/>
      </c>
      <c r="AT583" s="7" t="str">
        <f t="shared" si="67"/>
        <v/>
      </c>
      <c r="AU583" s="7" t="str">
        <f t="shared" si="68"/>
        <v/>
      </c>
      <c r="AV583" s="7" t="str">
        <f t="shared" si="69"/>
        <v/>
      </c>
      <c r="AW583" s="7" t="str">
        <f>IF('RFQ-Input'!O582="","",'RFQ-Input'!O582)</f>
        <v/>
      </c>
      <c r="AX583" s="7" t="str">
        <f>IF('RFQ-Input'!S582="","",'RFQ-Input'!S582)</f>
        <v/>
      </c>
      <c r="AY583" s="7" t="str">
        <f>IF('RFQ-Input'!V582="","",'RFQ-Input'!V582)</f>
        <v/>
      </c>
      <c r="AZ583" s="7" t="str">
        <f>IF('RFQ-Input'!Y582="","",'RFQ-Input'!Y582)</f>
        <v/>
      </c>
      <c r="BA583" s="7" t="str">
        <f>IF('RFQ-Input'!AB582="","",'RFQ-Input'!AB582)</f>
        <v/>
      </c>
    </row>
    <row r="584" spans="1:53">
      <c r="A584" s="20">
        <v>580</v>
      </c>
      <c r="B584" s="7"/>
      <c r="C584" s="7" t="str">
        <f>IF('RFQ-Input'!C583="","",'RFQ-Input'!C583)</f>
        <v/>
      </c>
      <c r="D584" s="7" t="str">
        <f>IF('RFQ-Input'!D583="","",'RFQ-Input'!D583)</f>
        <v/>
      </c>
      <c r="E584" s="7" t="str">
        <f>IF('RFQ-Input'!E583="","",'RFQ-Input'!E583)</f>
        <v/>
      </c>
      <c r="F584" s="7" t="str">
        <f>IF('RFQ-Input'!F583="","",'RFQ-Input'!F583)</f>
        <v/>
      </c>
      <c r="G584" s="7" t="str">
        <f>IF('RFQ-Input'!G583="","",'RFQ-Input'!G583)</f>
        <v/>
      </c>
      <c r="H584" s="7" t="str">
        <f>IF('RFQ-Input'!H583="","",'RFQ-Input'!H583)</f>
        <v/>
      </c>
      <c r="I584" s="7" t="str">
        <f>IF('RFQ-Input'!I583="","",'RFQ-Input'!I583)</f>
        <v/>
      </c>
      <c r="J584" s="7" t="str">
        <f>IF('RFQ-Input'!J583="","",'RFQ-Input'!J583)</f>
        <v/>
      </c>
      <c r="K584" s="7" t="str">
        <f>IF('RFQ-Input'!K583="","",'RFQ-Input'!K583)</f>
        <v/>
      </c>
      <c r="L584" s="7" t="str">
        <f>IF('RFQ-Input'!L583="","",'RFQ-Input'!L583)</f>
        <v/>
      </c>
      <c r="M584" s="7" t="str">
        <f>IF('RFQ-Input'!M583="","",'RFQ-Input'!M583)</f>
        <v/>
      </c>
      <c r="N584" s="7" t="str">
        <f>IF('RFQ-Input'!N583="","",'RFQ-Input'!N583)</f>
        <v/>
      </c>
      <c r="O584" s="7" t="str">
        <f>IF('RFQ-Input'!O583="","",'RFQ-Input'!O583)</f>
        <v/>
      </c>
      <c r="Q584" s="7"/>
      <c r="R584" s="7"/>
      <c r="S584" s="7"/>
      <c r="T584" s="7"/>
      <c r="U584" s="7"/>
      <c r="V584" s="7"/>
      <c r="X584" s="7"/>
      <c r="Y584" s="7"/>
      <c r="Z584" s="7"/>
      <c r="AA584" s="7" t="str">
        <f t="shared" si="63"/>
        <v/>
      </c>
      <c r="AB584" s="7"/>
      <c r="AC584" s="7"/>
      <c r="AQ584" s="7" t="str">
        <f t="shared" si="64"/>
        <v/>
      </c>
      <c r="AR584" s="7" t="str">
        <f t="shared" si="65"/>
        <v/>
      </c>
      <c r="AS584" s="7" t="str">
        <f t="shared" si="66"/>
        <v/>
      </c>
      <c r="AT584" s="7" t="str">
        <f t="shared" si="67"/>
        <v/>
      </c>
      <c r="AU584" s="7" t="str">
        <f t="shared" si="68"/>
        <v/>
      </c>
      <c r="AV584" s="7" t="str">
        <f t="shared" si="69"/>
        <v/>
      </c>
      <c r="AW584" s="7" t="str">
        <f>IF('RFQ-Input'!O583="","",'RFQ-Input'!O583)</f>
        <v/>
      </c>
      <c r="AX584" s="7" t="str">
        <f>IF('RFQ-Input'!S583="","",'RFQ-Input'!S583)</f>
        <v/>
      </c>
      <c r="AY584" s="7" t="str">
        <f>IF('RFQ-Input'!V583="","",'RFQ-Input'!V583)</f>
        <v/>
      </c>
      <c r="AZ584" s="7" t="str">
        <f>IF('RFQ-Input'!Y583="","",'RFQ-Input'!Y583)</f>
        <v/>
      </c>
      <c r="BA584" s="7" t="str">
        <f>IF('RFQ-Input'!AB583="","",'RFQ-Input'!AB583)</f>
        <v/>
      </c>
    </row>
    <row r="585" spans="1:53">
      <c r="A585" s="20">
        <v>581</v>
      </c>
      <c r="B585" s="7"/>
      <c r="C585" s="7" t="str">
        <f>IF('RFQ-Input'!C584="","",'RFQ-Input'!C584)</f>
        <v/>
      </c>
      <c r="D585" s="7" t="str">
        <f>IF('RFQ-Input'!D584="","",'RFQ-Input'!D584)</f>
        <v/>
      </c>
      <c r="E585" s="7" t="str">
        <f>IF('RFQ-Input'!E584="","",'RFQ-Input'!E584)</f>
        <v/>
      </c>
      <c r="F585" s="7" t="str">
        <f>IF('RFQ-Input'!F584="","",'RFQ-Input'!F584)</f>
        <v/>
      </c>
      <c r="G585" s="7" t="str">
        <f>IF('RFQ-Input'!G584="","",'RFQ-Input'!G584)</f>
        <v/>
      </c>
      <c r="H585" s="7" t="str">
        <f>IF('RFQ-Input'!H584="","",'RFQ-Input'!H584)</f>
        <v/>
      </c>
      <c r="I585" s="7" t="str">
        <f>IF('RFQ-Input'!I584="","",'RFQ-Input'!I584)</f>
        <v/>
      </c>
      <c r="J585" s="7" t="str">
        <f>IF('RFQ-Input'!J584="","",'RFQ-Input'!J584)</f>
        <v/>
      </c>
      <c r="K585" s="7" t="str">
        <f>IF('RFQ-Input'!K584="","",'RFQ-Input'!K584)</f>
        <v/>
      </c>
      <c r="L585" s="7" t="str">
        <f>IF('RFQ-Input'!L584="","",'RFQ-Input'!L584)</f>
        <v/>
      </c>
      <c r="M585" s="7" t="str">
        <f>IF('RFQ-Input'!M584="","",'RFQ-Input'!M584)</f>
        <v/>
      </c>
      <c r="N585" s="7" t="str">
        <f>IF('RFQ-Input'!N584="","",'RFQ-Input'!N584)</f>
        <v/>
      </c>
      <c r="O585" s="7" t="str">
        <f>IF('RFQ-Input'!O584="","",'RFQ-Input'!O584)</f>
        <v/>
      </c>
      <c r="Q585" s="7"/>
      <c r="R585" s="7"/>
      <c r="S585" s="7"/>
      <c r="T585" s="7"/>
      <c r="U585" s="7"/>
      <c r="V585" s="7"/>
      <c r="X585" s="7"/>
      <c r="Y585" s="7"/>
      <c r="Z585" s="7"/>
      <c r="AA585" s="7" t="str">
        <f t="shared" si="63"/>
        <v/>
      </c>
      <c r="AB585" s="7"/>
      <c r="AC585" s="7"/>
      <c r="AQ585" s="7" t="str">
        <f t="shared" si="64"/>
        <v/>
      </c>
      <c r="AR585" s="7" t="str">
        <f t="shared" si="65"/>
        <v/>
      </c>
      <c r="AS585" s="7" t="str">
        <f t="shared" si="66"/>
        <v/>
      </c>
      <c r="AT585" s="7" t="str">
        <f t="shared" si="67"/>
        <v/>
      </c>
      <c r="AU585" s="7" t="str">
        <f t="shared" si="68"/>
        <v/>
      </c>
      <c r="AV585" s="7" t="str">
        <f t="shared" si="69"/>
        <v/>
      </c>
      <c r="AW585" s="7" t="str">
        <f>IF('RFQ-Input'!O584="","",'RFQ-Input'!O584)</f>
        <v/>
      </c>
      <c r="AX585" s="7" t="str">
        <f>IF('RFQ-Input'!S584="","",'RFQ-Input'!S584)</f>
        <v/>
      </c>
      <c r="AY585" s="7" t="str">
        <f>IF('RFQ-Input'!V584="","",'RFQ-Input'!V584)</f>
        <v/>
      </c>
      <c r="AZ585" s="7" t="str">
        <f>IF('RFQ-Input'!Y584="","",'RFQ-Input'!Y584)</f>
        <v/>
      </c>
      <c r="BA585" s="7" t="str">
        <f>IF('RFQ-Input'!AB584="","",'RFQ-Input'!AB584)</f>
        <v/>
      </c>
    </row>
    <row r="586" spans="1:53">
      <c r="A586" s="20">
        <v>582</v>
      </c>
      <c r="B586" s="7"/>
      <c r="C586" s="7" t="str">
        <f>IF('RFQ-Input'!C585="","",'RFQ-Input'!C585)</f>
        <v/>
      </c>
      <c r="D586" s="7" t="str">
        <f>IF('RFQ-Input'!D585="","",'RFQ-Input'!D585)</f>
        <v/>
      </c>
      <c r="E586" s="7" t="str">
        <f>IF('RFQ-Input'!E585="","",'RFQ-Input'!E585)</f>
        <v/>
      </c>
      <c r="F586" s="7" t="str">
        <f>IF('RFQ-Input'!F585="","",'RFQ-Input'!F585)</f>
        <v/>
      </c>
      <c r="G586" s="7" t="str">
        <f>IF('RFQ-Input'!G585="","",'RFQ-Input'!G585)</f>
        <v/>
      </c>
      <c r="H586" s="7" t="str">
        <f>IF('RFQ-Input'!H585="","",'RFQ-Input'!H585)</f>
        <v/>
      </c>
      <c r="I586" s="7" t="str">
        <f>IF('RFQ-Input'!I585="","",'RFQ-Input'!I585)</f>
        <v/>
      </c>
      <c r="J586" s="7" t="str">
        <f>IF('RFQ-Input'!J585="","",'RFQ-Input'!J585)</f>
        <v/>
      </c>
      <c r="K586" s="7" t="str">
        <f>IF('RFQ-Input'!K585="","",'RFQ-Input'!K585)</f>
        <v/>
      </c>
      <c r="L586" s="7" t="str">
        <f>IF('RFQ-Input'!L585="","",'RFQ-Input'!L585)</f>
        <v/>
      </c>
      <c r="M586" s="7" t="str">
        <f>IF('RFQ-Input'!M585="","",'RFQ-Input'!M585)</f>
        <v/>
      </c>
      <c r="N586" s="7" t="str">
        <f>IF('RFQ-Input'!N585="","",'RFQ-Input'!N585)</f>
        <v/>
      </c>
      <c r="O586" s="7" t="str">
        <f>IF('RFQ-Input'!O585="","",'RFQ-Input'!O585)</f>
        <v/>
      </c>
      <c r="Q586" s="7"/>
      <c r="R586" s="7"/>
      <c r="S586" s="7"/>
      <c r="T586" s="7"/>
      <c r="U586" s="7"/>
      <c r="V586" s="7"/>
      <c r="X586" s="7"/>
      <c r="Y586" s="7"/>
      <c r="Z586" s="7"/>
      <c r="AA586" s="7" t="str">
        <f t="shared" si="63"/>
        <v/>
      </c>
      <c r="AB586" s="7"/>
      <c r="AC586" s="7"/>
      <c r="AQ586" s="7" t="str">
        <f t="shared" si="64"/>
        <v/>
      </c>
      <c r="AR586" s="7" t="str">
        <f t="shared" si="65"/>
        <v/>
      </c>
      <c r="AS586" s="7" t="str">
        <f t="shared" si="66"/>
        <v/>
      </c>
      <c r="AT586" s="7" t="str">
        <f t="shared" si="67"/>
        <v/>
      </c>
      <c r="AU586" s="7" t="str">
        <f t="shared" si="68"/>
        <v/>
      </c>
      <c r="AV586" s="7" t="str">
        <f t="shared" si="69"/>
        <v/>
      </c>
      <c r="AW586" s="7" t="str">
        <f>IF('RFQ-Input'!O585="","",'RFQ-Input'!O585)</f>
        <v/>
      </c>
      <c r="AX586" s="7" t="str">
        <f>IF('RFQ-Input'!S585="","",'RFQ-Input'!S585)</f>
        <v/>
      </c>
      <c r="AY586" s="7" t="str">
        <f>IF('RFQ-Input'!V585="","",'RFQ-Input'!V585)</f>
        <v/>
      </c>
      <c r="AZ586" s="7" t="str">
        <f>IF('RFQ-Input'!Y585="","",'RFQ-Input'!Y585)</f>
        <v/>
      </c>
      <c r="BA586" s="7" t="str">
        <f>IF('RFQ-Input'!AB585="","",'RFQ-Input'!AB585)</f>
        <v/>
      </c>
    </row>
    <row r="587" spans="1:53">
      <c r="A587" s="20">
        <v>583</v>
      </c>
      <c r="B587" s="7"/>
      <c r="C587" s="7" t="str">
        <f>IF('RFQ-Input'!C586="","",'RFQ-Input'!C586)</f>
        <v/>
      </c>
      <c r="D587" s="7" t="str">
        <f>IF('RFQ-Input'!D586="","",'RFQ-Input'!D586)</f>
        <v/>
      </c>
      <c r="E587" s="7" t="str">
        <f>IF('RFQ-Input'!E586="","",'RFQ-Input'!E586)</f>
        <v/>
      </c>
      <c r="F587" s="7" t="str">
        <f>IF('RFQ-Input'!F586="","",'RFQ-Input'!F586)</f>
        <v/>
      </c>
      <c r="G587" s="7" t="str">
        <f>IF('RFQ-Input'!G586="","",'RFQ-Input'!G586)</f>
        <v/>
      </c>
      <c r="H587" s="7" t="str">
        <f>IF('RFQ-Input'!H586="","",'RFQ-Input'!H586)</f>
        <v/>
      </c>
      <c r="I587" s="7" t="str">
        <f>IF('RFQ-Input'!I586="","",'RFQ-Input'!I586)</f>
        <v/>
      </c>
      <c r="J587" s="7" t="str">
        <f>IF('RFQ-Input'!J586="","",'RFQ-Input'!J586)</f>
        <v/>
      </c>
      <c r="K587" s="7" t="str">
        <f>IF('RFQ-Input'!K586="","",'RFQ-Input'!K586)</f>
        <v/>
      </c>
      <c r="L587" s="7" t="str">
        <f>IF('RFQ-Input'!L586="","",'RFQ-Input'!L586)</f>
        <v/>
      </c>
      <c r="M587" s="7" t="str">
        <f>IF('RFQ-Input'!M586="","",'RFQ-Input'!M586)</f>
        <v/>
      </c>
      <c r="N587" s="7" t="str">
        <f>IF('RFQ-Input'!N586="","",'RFQ-Input'!N586)</f>
        <v/>
      </c>
      <c r="O587" s="7" t="str">
        <f>IF('RFQ-Input'!O586="","",'RFQ-Input'!O586)</f>
        <v/>
      </c>
      <c r="Q587" s="7"/>
      <c r="R587" s="7"/>
      <c r="S587" s="7"/>
      <c r="T587" s="7"/>
      <c r="U587" s="7"/>
      <c r="V587" s="7"/>
      <c r="X587" s="7"/>
      <c r="Y587" s="7"/>
      <c r="Z587" s="7"/>
      <c r="AA587" s="7" t="str">
        <f t="shared" si="63"/>
        <v/>
      </c>
      <c r="AB587" s="7"/>
      <c r="AC587" s="7"/>
      <c r="AQ587" s="7" t="str">
        <f t="shared" si="64"/>
        <v/>
      </c>
      <c r="AR587" s="7" t="str">
        <f t="shared" si="65"/>
        <v/>
      </c>
      <c r="AS587" s="7" t="str">
        <f t="shared" si="66"/>
        <v/>
      </c>
      <c r="AT587" s="7" t="str">
        <f t="shared" si="67"/>
        <v/>
      </c>
      <c r="AU587" s="7" t="str">
        <f t="shared" si="68"/>
        <v/>
      </c>
      <c r="AV587" s="7" t="str">
        <f t="shared" si="69"/>
        <v/>
      </c>
      <c r="AW587" s="7" t="str">
        <f>IF('RFQ-Input'!O586="","",'RFQ-Input'!O586)</f>
        <v/>
      </c>
      <c r="AX587" s="7" t="str">
        <f>IF('RFQ-Input'!S586="","",'RFQ-Input'!S586)</f>
        <v/>
      </c>
      <c r="AY587" s="7" t="str">
        <f>IF('RFQ-Input'!V586="","",'RFQ-Input'!V586)</f>
        <v/>
      </c>
      <c r="AZ587" s="7" t="str">
        <f>IF('RFQ-Input'!Y586="","",'RFQ-Input'!Y586)</f>
        <v/>
      </c>
      <c r="BA587" s="7" t="str">
        <f>IF('RFQ-Input'!AB586="","",'RFQ-Input'!AB586)</f>
        <v/>
      </c>
    </row>
    <row r="588" spans="1:53">
      <c r="A588" s="20">
        <v>584</v>
      </c>
      <c r="B588" s="7"/>
      <c r="C588" s="7" t="str">
        <f>IF('RFQ-Input'!C587="","",'RFQ-Input'!C587)</f>
        <v/>
      </c>
      <c r="D588" s="7" t="str">
        <f>IF('RFQ-Input'!D587="","",'RFQ-Input'!D587)</f>
        <v/>
      </c>
      <c r="E588" s="7" t="str">
        <f>IF('RFQ-Input'!E587="","",'RFQ-Input'!E587)</f>
        <v/>
      </c>
      <c r="F588" s="7" t="str">
        <f>IF('RFQ-Input'!F587="","",'RFQ-Input'!F587)</f>
        <v/>
      </c>
      <c r="G588" s="7" t="str">
        <f>IF('RFQ-Input'!G587="","",'RFQ-Input'!G587)</f>
        <v/>
      </c>
      <c r="H588" s="7" t="str">
        <f>IF('RFQ-Input'!H587="","",'RFQ-Input'!H587)</f>
        <v/>
      </c>
      <c r="I588" s="7" t="str">
        <f>IF('RFQ-Input'!I587="","",'RFQ-Input'!I587)</f>
        <v/>
      </c>
      <c r="J588" s="7" t="str">
        <f>IF('RFQ-Input'!J587="","",'RFQ-Input'!J587)</f>
        <v/>
      </c>
      <c r="K588" s="7" t="str">
        <f>IF('RFQ-Input'!K587="","",'RFQ-Input'!K587)</f>
        <v/>
      </c>
      <c r="L588" s="7" t="str">
        <f>IF('RFQ-Input'!L587="","",'RFQ-Input'!L587)</f>
        <v/>
      </c>
      <c r="M588" s="7" t="str">
        <f>IF('RFQ-Input'!M587="","",'RFQ-Input'!M587)</f>
        <v/>
      </c>
      <c r="N588" s="7" t="str">
        <f>IF('RFQ-Input'!N587="","",'RFQ-Input'!N587)</f>
        <v/>
      </c>
      <c r="O588" s="7" t="str">
        <f>IF('RFQ-Input'!O587="","",'RFQ-Input'!O587)</f>
        <v/>
      </c>
      <c r="Q588" s="7"/>
      <c r="R588" s="7"/>
      <c r="S588" s="7"/>
      <c r="T588" s="7"/>
      <c r="U588" s="7"/>
      <c r="V588" s="7"/>
      <c r="X588" s="7"/>
      <c r="Y588" s="7"/>
      <c r="Z588" s="7"/>
      <c r="AA588" s="7" t="str">
        <f t="shared" si="63"/>
        <v/>
      </c>
      <c r="AB588" s="7"/>
      <c r="AC588" s="7"/>
      <c r="AQ588" s="7" t="str">
        <f t="shared" si="64"/>
        <v/>
      </c>
      <c r="AR588" s="7" t="str">
        <f t="shared" si="65"/>
        <v/>
      </c>
      <c r="AS588" s="7" t="str">
        <f t="shared" si="66"/>
        <v/>
      </c>
      <c r="AT588" s="7" t="str">
        <f t="shared" si="67"/>
        <v/>
      </c>
      <c r="AU588" s="7" t="str">
        <f t="shared" si="68"/>
        <v/>
      </c>
      <c r="AV588" s="7" t="str">
        <f t="shared" si="69"/>
        <v/>
      </c>
      <c r="AW588" s="7" t="str">
        <f>IF('RFQ-Input'!O587="","",'RFQ-Input'!O587)</f>
        <v/>
      </c>
      <c r="AX588" s="7" t="str">
        <f>IF('RFQ-Input'!S587="","",'RFQ-Input'!S587)</f>
        <v/>
      </c>
      <c r="AY588" s="7" t="str">
        <f>IF('RFQ-Input'!V587="","",'RFQ-Input'!V587)</f>
        <v/>
      </c>
      <c r="AZ588" s="7" t="str">
        <f>IF('RFQ-Input'!Y587="","",'RFQ-Input'!Y587)</f>
        <v/>
      </c>
      <c r="BA588" s="7" t="str">
        <f>IF('RFQ-Input'!AB587="","",'RFQ-Input'!AB587)</f>
        <v/>
      </c>
    </row>
    <row r="589" spans="1:53">
      <c r="A589" s="20">
        <v>585</v>
      </c>
      <c r="B589" s="7"/>
      <c r="C589" s="7" t="str">
        <f>IF('RFQ-Input'!C588="","",'RFQ-Input'!C588)</f>
        <v/>
      </c>
      <c r="D589" s="7" t="str">
        <f>IF('RFQ-Input'!D588="","",'RFQ-Input'!D588)</f>
        <v/>
      </c>
      <c r="E589" s="7" t="str">
        <f>IF('RFQ-Input'!E588="","",'RFQ-Input'!E588)</f>
        <v/>
      </c>
      <c r="F589" s="7" t="str">
        <f>IF('RFQ-Input'!F588="","",'RFQ-Input'!F588)</f>
        <v/>
      </c>
      <c r="G589" s="7" t="str">
        <f>IF('RFQ-Input'!G588="","",'RFQ-Input'!G588)</f>
        <v/>
      </c>
      <c r="H589" s="7" t="str">
        <f>IF('RFQ-Input'!H588="","",'RFQ-Input'!H588)</f>
        <v/>
      </c>
      <c r="I589" s="7" t="str">
        <f>IF('RFQ-Input'!I588="","",'RFQ-Input'!I588)</f>
        <v/>
      </c>
      <c r="J589" s="7" t="str">
        <f>IF('RFQ-Input'!J588="","",'RFQ-Input'!J588)</f>
        <v/>
      </c>
      <c r="K589" s="7" t="str">
        <f>IF('RFQ-Input'!K588="","",'RFQ-Input'!K588)</f>
        <v/>
      </c>
      <c r="L589" s="7" t="str">
        <f>IF('RFQ-Input'!L588="","",'RFQ-Input'!L588)</f>
        <v/>
      </c>
      <c r="M589" s="7" t="str">
        <f>IF('RFQ-Input'!M588="","",'RFQ-Input'!M588)</f>
        <v/>
      </c>
      <c r="N589" s="7" t="str">
        <f>IF('RFQ-Input'!N588="","",'RFQ-Input'!N588)</f>
        <v/>
      </c>
      <c r="O589" s="7" t="str">
        <f>IF('RFQ-Input'!O588="","",'RFQ-Input'!O588)</f>
        <v/>
      </c>
      <c r="Q589" s="7"/>
      <c r="R589" s="7"/>
      <c r="S589" s="7"/>
      <c r="T589" s="7"/>
      <c r="U589" s="7"/>
      <c r="V589" s="7"/>
      <c r="X589" s="7"/>
      <c r="Y589" s="7"/>
      <c r="Z589" s="7"/>
      <c r="AA589" s="7" t="str">
        <f t="shared" si="63"/>
        <v/>
      </c>
      <c r="AB589" s="7"/>
      <c r="AC589" s="7"/>
      <c r="AQ589" s="7" t="str">
        <f t="shared" si="64"/>
        <v/>
      </c>
      <c r="AR589" s="7" t="str">
        <f t="shared" si="65"/>
        <v/>
      </c>
      <c r="AS589" s="7" t="str">
        <f t="shared" si="66"/>
        <v/>
      </c>
      <c r="AT589" s="7" t="str">
        <f t="shared" si="67"/>
        <v/>
      </c>
      <c r="AU589" s="7" t="str">
        <f t="shared" si="68"/>
        <v/>
      </c>
      <c r="AV589" s="7" t="str">
        <f t="shared" si="69"/>
        <v/>
      </c>
      <c r="AW589" s="7" t="str">
        <f>IF('RFQ-Input'!O588="","",'RFQ-Input'!O588)</f>
        <v/>
      </c>
      <c r="AX589" s="7" t="str">
        <f>IF('RFQ-Input'!S588="","",'RFQ-Input'!S588)</f>
        <v/>
      </c>
      <c r="AY589" s="7" t="str">
        <f>IF('RFQ-Input'!V588="","",'RFQ-Input'!V588)</f>
        <v/>
      </c>
      <c r="AZ589" s="7" t="str">
        <f>IF('RFQ-Input'!Y588="","",'RFQ-Input'!Y588)</f>
        <v/>
      </c>
      <c r="BA589" s="7" t="str">
        <f>IF('RFQ-Input'!AB588="","",'RFQ-Input'!AB588)</f>
        <v/>
      </c>
    </row>
    <row r="590" spans="1:53">
      <c r="A590" s="20">
        <v>586</v>
      </c>
      <c r="B590" s="7"/>
      <c r="C590" s="7" t="str">
        <f>IF('RFQ-Input'!C589="","",'RFQ-Input'!C589)</f>
        <v/>
      </c>
      <c r="D590" s="7" t="str">
        <f>IF('RFQ-Input'!D589="","",'RFQ-Input'!D589)</f>
        <v/>
      </c>
      <c r="E590" s="7" t="str">
        <f>IF('RFQ-Input'!E589="","",'RFQ-Input'!E589)</f>
        <v/>
      </c>
      <c r="F590" s="7" t="str">
        <f>IF('RFQ-Input'!F589="","",'RFQ-Input'!F589)</f>
        <v/>
      </c>
      <c r="G590" s="7" t="str">
        <f>IF('RFQ-Input'!G589="","",'RFQ-Input'!G589)</f>
        <v/>
      </c>
      <c r="H590" s="7" t="str">
        <f>IF('RFQ-Input'!H589="","",'RFQ-Input'!H589)</f>
        <v/>
      </c>
      <c r="I590" s="7" t="str">
        <f>IF('RFQ-Input'!I589="","",'RFQ-Input'!I589)</f>
        <v/>
      </c>
      <c r="J590" s="7" t="str">
        <f>IF('RFQ-Input'!J589="","",'RFQ-Input'!J589)</f>
        <v/>
      </c>
      <c r="K590" s="7" t="str">
        <f>IF('RFQ-Input'!K589="","",'RFQ-Input'!K589)</f>
        <v/>
      </c>
      <c r="L590" s="7" t="str">
        <f>IF('RFQ-Input'!L589="","",'RFQ-Input'!L589)</f>
        <v/>
      </c>
      <c r="M590" s="7" t="str">
        <f>IF('RFQ-Input'!M589="","",'RFQ-Input'!M589)</f>
        <v/>
      </c>
      <c r="N590" s="7" t="str">
        <f>IF('RFQ-Input'!N589="","",'RFQ-Input'!N589)</f>
        <v/>
      </c>
      <c r="O590" s="7" t="str">
        <f>IF('RFQ-Input'!O589="","",'RFQ-Input'!O589)</f>
        <v/>
      </c>
      <c r="Q590" s="7"/>
      <c r="R590" s="7"/>
      <c r="S590" s="7"/>
      <c r="T590" s="7"/>
      <c r="U590" s="7"/>
      <c r="V590" s="7"/>
      <c r="X590" s="7"/>
      <c r="Y590" s="7"/>
      <c r="Z590" s="7"/>
      <c r="AA590" s="7" t="str">
        <f t="shared" si="63"/>
        <v/>
      </c>
      <c r="AB590" s="7"/>
      <c r="AC590" s="7"/>
      <c r="AQ590" s="7" t="str">
        <f t="shared" si="64"/>
        <v/>
      </c>
      <c r="AR590" s="7" t="str">
        <f t="shared" si="65"/>
        <v/>
      </c>
      <c r="AS590" s="7" t="str">
        <f t="shared" si="66"/>
        <v/>
      </c>
      <c r="AT590" s="7" t="str">
        <f t="shared" si="67"/>
        <v/>
      </c>
      <c r="AU590" s="7" t="str">
        <f t="shared" si="68"/>
        <v/>
      </c>
      <c r="AV590" s="7" t="str">
        <f t="shared" si="69"/>
        <v/>
      </c>
      <c r="AW590" s="7" t="str">
        <f>IF('RFQ-Input'!O589="","",'RFQ-Input'!O589)</f>
        <v/>
      </c>
      <c r="AX590" s="7" t="str">
        <f>IF('RFQ-Input'!S589="","",'RFQ-Input'!S589)</f>
        <v/>
      </c>
      <c r="AY590" s="7" t="str">
        <f>IF('RFQ-Input'!V589="","",'RFQ-Input'!V589)</f>
        <v/>
      </c>
      <c r="AZ590" s="7" t="str">
        <f>IF('RFQ-Input'!Y589="","",'RFQ-Input'!Y589)</f>
        <v/>
      </c>
      <c r="BA590" s="7" t="str">
        <f>IF('RFQ-Input'!AB589="","",'RFQ-Input'!AB589)</f>
        <v/>
      </c>
    </row>
    <row r="591" spans="1:53">
      <c r="A591" s="20">
        <v>587</v>
      </c>
      <c r="B591" s="7"/>
      <c r="C591" s="7" t="str">
        <f>IF('RFQ-Input'!C590="","",'RFQ-Input'!C590)</f>
        <v/>
      </c>
      <c r="D591" s="7" t="str">
        <f>IF('RFQ-Input'!D590="","",'RFQ-Input'!D590)</f>
        <v/>
      </c>
      <c r="E591" s="7" t="str">
        <f>IF('RFQ-Input'!E590="","",'RFQ-Input'!E590)</f>
        <v/>
      </c>
      <c r="F591" s="7" t="str">
        <f>IF('RFQ-Input'!F590="","",'RFQ-Input'!F590)</f>
        <v/>
      </c>
      <c r="G591" s="7" t="str">
        <f>IF('RFQ-Input'!G590="","",'RFQ-Input'!G590)</f>
        <v/>
      </c>
      <c r="H591" s="7" t="str">
        <f>IF('RFQ-Input'!H590="","",'RFQ-Input'!H590)</f>
        <v/>
      </c>
      <c r="I591" s="7" t="str">
        <f>IF('RFQ-Input'!I590="","",'RFQ-Input'!I590)</f>
        <v/>
      </c>
      <c r="J591" s="7" t="str">
        <f>IF('RFQ-Input'!J590="","",'RFQ-Input'!J590)</f>
        <v/>
      </c>
      <c r="K591" s="7" t="str">
        <f>IF('RFQ-Input'!K590="","",'RFQ-Input'!K590)</f>
        <v/>
      </c>
      <c r="L591" s="7" t="str">
        <f>IF('RFQ-Input'!L590="","",'RFQ-Input'!L590)</f>
        <v/>
      </c>
      <c r="M591" s="7" t="str">
        <f>IF('RFQ-Input'!M590="","",'RFQ-Input'!M590)</f>
        <v/>
      </c>
      <c r="N591" s="7" t="str">
        <f>IF('RFQ-Input'!N590="","",'RFQ-Input'!N590)</f>
        <v/>
      </c>
      <c r="O591" s="7" t="str">
        <f>IF('RFQ-Input'!O590="","",'RFQ-Input'!O590)</f>
        <v/>
      </c>
      <c r="Q591" s="7"/>
      <c r="R591" s="7"/>
      <c r="S591" s="7"/>
      <c r="T591" s="7"/>
      <c r="U591" s="7"/>
      <c r="V591" s="7"/>
      <c r="X591" s="7"/>
      <c r="Y591" s="7"/>
      <c r="Z591" s="7"/>
      <c r="AA591" s="7" t="str">
        <f t="shared" si="63"/>
        <v/>
      </c>
      <c r="AB591" s="7"/>
      <c r="AC591" s="7"/>
      <c r="AQ591" s="7" t="str">
        <f t="shared" si="64"/>
        <v/>
      </c>
      <c r="AR591" s="7" t="str">
        <f t="shared" si="65"/>
        <v/>
      </c>
      <c r="AS591" s="7" t="str">
        <f t="shared" si="66"/>
        <v/>
      </c>
      <c r="AT591" s="7" t="str">
        <f t="shared" si="67"/>
        <v/>
      </c>
      <c r="AU591" s="7" t="str">
        <f t="shared" si="68"/>
        <v/>
      </c>
      <c r="AV591" s="7" t="str">
        <f t="shared" si="69"/>
        <v/>
      </c>
      <c r="AW591" s="7" t="str">
        <f>IF('RFQ-Input'!O590="","",'RFQ-Input'!O590)</f>
        <v/>
      </c>
      <c r="AX591" s="7" t="str">
        <f>IF('RFQ-Input'!S590="","",'RFQ-Input'!S590)</f>
        <v/>
      </c>
      <c r="AY591" s="7" t="str">
        <f>IF('RFQ-Input'!V590="","",'RFQ-Input'!V590)</f>
        <v/>
      </c>
      <c r="AZ591" s="7" t="str">
        <f>IF('RFQ-Input'!Y590="","",'RFQ-Input'!Y590)</f>
        <v/>
      </c>
      <c r="BA591" s="7" t="str">
        <f>IF('RFQ-Input'!AB590="","",'RFQ-Input'!AB590)</f>
        <v/>
      </c>
    </row>
    <row r="592" spans="1:53">
      <c r="A592" s="20">
        <v>588</v>
      </c>
      <c r="B592" s="7"/>
      <c r="C592" s="7" t="str">
        <f>IF('RFQ-Input'!C591="","",'RFQ-Input'!C591)</f>
        <v/>
      </c>
      <c r="D592" s="7" t="str">
        <f>IF('RFQ-Input'!D591="","",'RFQ-Input'!D591)</f>
        <v/>
      </c>
      <c r="E592" s="7" t="str">
        <f>IF('RFQ-Input'!E591="","",'RFQ-Input'!E591)</f>
        <v/>
      </c>
      <c r="F592" s="7" t="str">
        <f>IF('RFQ-Input'!F591="","",'RFQ-Input'!F591)</f>
        <v/>
      </c>
      <c r="G592" s="7" t="str">
        <f>IF('RFQ-Input'!G591="","",'RFQ-Input'!G591)</f>
        <v/>
      </c>
      <c r="H592" s="7" t="str">
        <f>IF('RFQ-Input'!H591="","",'RFQ-Input'!H591)</f>
        <v/>
      </c>
      <c r="I592" s="7" t="str">
        <f>IF('RFQ-Input'!I591="","",'RFQ-Input'!I591)</f>
        <v/>
      </c>
      <c r="J592" s="7" t="str">
        <f>IF('RFQ-Input'!J591="","",'RFQ-Input'!J591)</f>
        <v/>
      </c>
      <c r="K592" s="7" t="str">
        <f>IF('RFQ-Input'!K591="","",'RFQ-Input'!K591)</f>
        <v/>
      </c>
      <c r="L592" s="7" t="str">
        <f>IF('RFQ-Input'!L591="","",'RFQ-Input'!L591)</f>
        <v/>
      </c>
      <c r="M592" s="7" t="str">
        <f>IF('RFQ-Input'!M591="","",'RFQ-Input'!M591)</f>
        <v/>
      </c>
      <c r="N592" s="7" t="str">
        <f>IF('RFQ-Input'!N591="","",'RFQ-Input'!N591)</f>
        <v/>
      </c>
      <c r="O592" s="7" t="str">
        <f>IF('RFQ-Input'!O591="","",'RFQ-Input'!O591)</f>
        <v/>
      </c>
      <c r="Q592" s="7"/>
      <c r="R592" s="7"/>
      <c r="S592" s="7"/>
      <c r="T592" s="7"/>
      <c r="U592" s="7"/>
      <c r="V592" s="7"/>
      <c r="X592" s="7"/>
      <c r="Y592" s="7"/>
      <c r="Z592" s="7"/>
      <c r="AA592" s="7" t="str">
        <f t="shared" si="63"/>
        <v/>
      </c>
      <c r="AB592" s="7"/>
      <c r="AC592" s="7"/>
      <c r="AQ592" s="7" t="str">
        <f t="shared" si="64"/>
        <v/>
      </c>
      <c r="AR592" s="7" t="str">
        <f t="shared" si="65"/>
        <v/>
      </c>
      <c r="AS592" s="7" t="str">
        <f t="shared" si="66"/>
        <v/>
      </c>
      <c r="AT592" s="7" t="str">
        <f t="shared" si="67"/>
        <v/>
      </c>
      <c r="AU592" s="7" t="str">
        <f t="shared" si="68"/>
        <v/>
      </c>
      <c r="AV592" s="7" t="str">
        <f t="shared" si="69"/>
        <v/>
      </c>
      <c r="AW592" s="7" t="str">
        <f>IF('RFQ-Input'!O591="","",'RFQ-Input'!O591)</f>
        <v/>
      </c>
      <c r="AX592" s="7" t="str">
        <f>IF('RFQ-Input'!S591="","",'RFQ-Input'!S591)</f>
        <v/>
      </c>
      <c r="AY592" s="7" t="str">
        <f>IF('RFQ-Input'!V591="","",'RFQ-Input'!V591)</f>
        <v/>
      </c>
      <c r="AZ592" s="7" t="str">
        <f>IF('RFQ-Input'!Y591="","",'RFQ-Input'!Y591)</f>
        <v/>
      </c>
      <c r="BA592" s="7" t="str">
        <f>IF('RFQ-Input'!AB591="","",'RFQ-Input'!AB591)</f>
        <v/>
      </c>
    </row>
    <row r="593" spans="1:53">
      <c r="A593" s="20">
        <v>589</v>
      </c>
      <c r="B593" s="7"/>
      <c r="C593" s="7" t="str">
        <f>IF('RFQ-Input'!C592="","",'RFQ-Input'!C592)</f>
        <v/>
      </c>
      <c r="D593" s="7" t="str">
        <f>IF('RFQ-Input'!D592="","",'RFQ-Input'!D592)</f>
        <v/>
      </c>
      <c r="E593" s="7" t="str">
        <f>IF('RFQ-Input'!E592="","",'RFQ-Input'!E592)</f>
        <v/>
      </c>
      <c r="F593" s="7" t="str">
        <f>IF('RFQ-Input'!F592="","",'RFQ-Input'!F592)</f>
        <v/>
      </c>
      <c r="G593" s="7" t="str">
        <f>IF('RFQ-Input'!G592="","",'RFQ-Input'!G592)</f>
        <v/>
      </c>
      <c r="H593" s="7" t="str">
        <f>IF('RFQ-Input'!H592="","",'RFQ-Input'!H592)</f>
        <v/>
      </c>
      <c r="I593" s="7" t="str">
        <f>IF('RFQ-Input'!I592="","",'RFQ-Input'!I592)</f>
        <v/>
      </c>
      <c r="J593" s="7" t="str">
        <f>IF('RFQ-Input'!J592="","",'RFQ-Input'!J592)</f>
        <v/>
      </c>
      <c r="K593" s="7" t="str">
        <f>IF('RFQ-Input'!K592="","",'RFQ-Input'!K592)</f>
        <v/>
      </c>
      <c r="L593" s="7" t="str">
        <f>IF('RFQ-Input'!L592="","",'RFQ-Input'!L592)</f>
        <v/>
      </c>
      <c r="M593" s="7" t="str">
        <f>IF('RFQ-Input'!M592="","",'RFQ-Input'!M592)</f>
        <v/>
      </c>
      <c r="N593" s="7" t="str">
        <f>IF('RFQ-Input'!N592="","",'RFQ-Input'!N592)</f>
        <v/>
      </c>
      <c r="O593" s="7" t="str">
        <f>IF('RFQ-Input'!O592="","",'RFQ-Input'!O592)</f>
        <v/>
      </c>
      <c r="Q593" s="7"/>
      <c r="R593" s="7"/>
      <c r="S593" s="7"/>
      <c r="T593" s="7"/>
      <c r="U593" s="7"/>
      <c r="V593" s="7"/>
      <c r="X593" s="7"/>
      <c r="Y593" s="7"/>
      <c r="Z593" s="7"/>
      <c r="AA593" s="7" t="str">
        <f t="shared" si="63"/>
        <v/>
      </c>
      <c r="AB593" s="7"/>
      <c r="AC593" s="7"/>
      <c r="AQ593" s="7" t="str">
        <f t="shared" si="64"/>
        <v/>
      </c>
      <c r="AR593" s="7" t="str">
        <f t="shared" si="65"/>
        <v/>
      </c>
      <c r="AS593" s="7" t="str">
        <f t="shared" si="66"/>
        <v/>
      </c>
      <c r="AT593" s="7" t="str">
        <f t="shared" si="67"/>
        <v/>
      </c>
      <c r="AU593" s="7" t="str">
        <f t="shared" si="68"/>
        <v/>
      </c>
      <c r="AV593" s="7" t="str">
        <f t="shared" si="69"/>
        <v/>
      </c>
      <c r="AW593" s="7" t="str">
        <f>IF('RFQ-Input'!O592="","",'RFQ-Input'!O592)</f>
        <v/>
      </c>
      <c r="AX593" s="7" t="str">
        <f>IF('RFQ-Input'!S592="","",'RFQ-Input'!S592)</f>
        <v/>
      </c>
      <c r="AY593" s="7" t="str">
        <f>IF('RFQ-Input'!V592="","",'RFQ-Input'!V592)</f>
        <v/>
      </c>
      <c r="AZ593" s="7" t="str">
        <f>IF('RFQ-Input'!Y592="","",'RFQ-Input'!Y592)</f>
        <v/>
      </c>
      <c r="BA593" s="7" t="str">
        <f>IF('RFQ-Input'!AB592="","",'RFQ-Input'!AB592)</f>
        <v/>
      </c>
    </row>
    <row r="594" spans="1:53">
      <c r="A594" s="20">
        <v>590</v>
      </c>
      <c r="B594" s="7"/>
      <c r="C594" s="7" t="str">
        <f>IF('RFQ-Input'!C593="","",'RFQ-Input'!C593)</f>
        <v/>
      </c>
      <c r="D594" s="7" t="str">
        <f>IF('RFQ-Input'!D593="","",'RFQ-Input'!D593)</f>
        <v/>
      </c>
      <c r="E594" s="7" t="str">
        <f>IF('RFQ-Input'!E593="","",'RFQ-Input'!E593)</f>
        <v/>
      </c>
      <c r="F594" s="7" t="str">
        <f>IF('RFQ-Input'!F593="","",'RFQ-Input'!F593)</f>
        <v/>
      </c>
      <c r="G594" s="7" t="str">
        <f>IF('RFQ-Input'!G593="","",'RFQ-Input'!G593)</f>
        <v/>
      </c>
      <c r="H594" s="7" t="str">
        <f>IF('RFQ-Input'!H593="","",'RFQ-Input'!H593)</f>
        <v/>
      </c>
      <c r="I594" s="7" t="str">
        <f>IF('RFQ-Input'!I593="","",'RFQ-Input'!I593)</f>
        <v/>
      </c>
      <c r="J594" s="7" t="str">
        <f>IF('RFQ-Input'!J593="","",'RFQ-Input'!J593)</f>
        <v/>
      </c>
      <c r="K594" s="7" t="str">
        <f>IF('RFQ-Input'!K593="","",'RFQ-Input'!K593)</f>
        <v/>
      </c>
      <c r="L594" s="7" t="str">
        <f>IF('RFQ-Input'!L593="","",'RFQ-Input'!L593)</f>
        <v/>
      </c>
      <c r="M594" s="7" t="str">
        <f>IF('RFQ-Input'!M593="","",'RFQ-Input'!M593)</f>
        <v/>
      </c>
      <c r="N594" s="7" t="str">
        <f>IF('RFQ-Input'!N593="","",'RFQ-Input'!N593)</f>
        <v/>
      </c>
      <c r="O594" s="7" t="str">
        <f>IF('RFQ-Input'!O593="","",'RFQ-Input'!O593)</f>
        <v/>
      </c>
      <c r="Q594" s="7"/>
      <c r="R594" s="7"/>
      <c r="S594" s="7"/>
      <c r="T594" s="7"/>
      <c r="U594" s="7"/>
      <c r="V594" s="7"/>
      <c r="X594" s="7"/>
      <c r="Y594" s="7"/>
      <c r="Z594" s="7"/>
      <c r="AA594" s="7" t="str">
        <f t="shared" si="63"/>
        <v/>
      </c>
      <c r="AB594" s="7"/>
      <c r="AC594" s="7"/>
      <c r="AQ594" s="7" t="str">
        <f t="shared" si="64"/>
        <v/>
      </c>
      <c r="AR594" s="7" t="str">
        <f t="shared" si="65"/>
        <v/>
      </c>
      <c r="AS594" s="7" t="str">
        <f t="shared" si="66"/>
        <v/>
      </c>
      <c r="AT594" s="7" t="str">
        <f t="shared" si="67"/>
        <v/>
      </c>
      <c r="AU594" s="7" t="str">
        <f t="shared" si="68"/>
        <v/>
      </c>
      <c r="AV594" s="7" t="str">
        <f t="shared" si="69"/>
        <v/>
      </c>
      <c r="AW594" s="7" t="str">
        <f>IF('RFQ-Input'!O593="","",'RFQ-Input'!O593)</f>
        <v/>
      </c>
      <c r="AX594" s="7" t="str">
        <f>IF('RFQ-Input'!S593="","",'RFQ-Input'!S593)</f>
        <v/>
      </c>
      <c r="AY594" s="7" t="str">
        <f>IF('RFQ-Input'!V593="","",'RFQ-Input'!V593)</f>
        <v/>
      </c>
      <c r="AZ594" s="7" t="str">
        <f>IF('RFQ-Input'!Y593="","",'RFQ-Input'!Y593)</f>
        <v/>
      </c>
      <c r="BA594" s="7" t="str">
        <f>IF('RFQ-Input'!AB593="","",'RFQ-Input'!AB593)</f>
        <v/>
      </c>
    </row>
    <row r="595" spans="1:53">
      <c r="A595" s="20">
        <v>591</v>
      </c>
      <c r="B595" s="7"/>
      <c r="C595" s="7" t="str">
        <f>IF('RFQ-Input'!C594="","",'RFQ-Input'!C594)</f>
        <v/>
      </c>
      <c r="D595" s="7" t="str">
        <f>IF('RFQ-Input'!D594="","",'RFQ-Input'!D594)</f>
        <v/>
      </c>
      <c r="E595" s="7" t="str">
        <f>IF('RFQ-Input'!E594="","",'RFQ-Input'!E594)</f>
        <v/>
      </c>
      <c r="F595" s="7" t="str">
        <f>IF('RFQ-Input'!F594="","",'RFQ-Input'!F594)</f>
        <v/>
      </c>
      <c r="G595" s="7" t="str">
        <f>IF('RFQ-Input'!G594="","",'RFQ-Input'!G594)</f>
        <v/>
      </c>
      <c r="H595" s="7" t="str">
        <f>IF('RFQ-Input'!H594="","",'RFQ-Input'!H594)</f>
        <v/>
      </c>
      <c r="I595" s="7" t="str">
        <f>IF('RFQ-Input'!I594="","",'RFQ-Input'!I594)</f>
        <v/>
      </c>
      <c r="J595" s="7" t="str">
        <f>IF('RFQ-Input'!J594="","",'RFQ-Input'!J594)</f>
        <v/>
      </c>
      <c r="K595" s="7" t="str">
        <f>IF('RFQ-Input'!K594="","",'RFQ-Input'!K594)</f>
        <v/>
      </c>
      <c r="L595" s="7" t="str">
        <f>IF('RFQ-Input'!L594="","",'RFQ-Input'!L594)</f>
        <v/>
      </c>
      <c r="M595" s="7" t="str">
        <f>IF('RFQ-Input'!M594="","",'RFQ-Input'!M594)</f>
        <v/>
      </c>
      <c r="N595" s="7" t="str">
        <f>IF('RFQ-Input'!N594="","",'RFQ-Input'!N594)</f>
        <v/>
      </c>
      <c r="O595" s="7" t="str">
        <f>IF('RFQ-Input'!O594="","",'RFQ-Input'!O594)</f>
        <v/>
      </c>
      <c r="Q595" s="7"/>
      <c r="R595" s="7"/>
      <c r="S595" s="7"/>
      <c r="T595" s="7"/>
      <c r="U595" s="7"/>
      <c r="V595" s="7"/>
      <c r="X595" s="7"/>
      <c r="Y595" s="7"/>
      <c r="Z595" s="7"/>
      <c r="AA595" s="7" t="str">
        <f t="shared" si="63"/>
        <v/>
      </c>
      <c r="AB595" s="7"/>
      <c r="AC595" s="7"/>
      <c r="AQ595" s="7" t="str">
        <f t="shared" si="64"/>
        <v/>
      </c>
      <c r="AR595" s="7" t="str">
        <f t="shared" si="65"/>
        <v/>
      </c>
      <c r="AS595" s="7" t="str">
        <f t="shared" si="66"/>
        <v/>
      </c>
      <c r="AT595" s="7" t="str">
        <f t="shared" si="67"/>
        <v/>
      </c>
      <c r="AU595" s="7" t="str">
        <f t="shared" si="68"/>
        <v/>
      </c>
      <c r="AV595" s="7" t="str">
        <f t="shared" si="69"/>
        <v/>
      </c>
      <c r="AW595" s="7" t="str">
        <f>IF('RFQ-Input'!O594="","",'RFQ-Input'!O594)</f>
        <v/>
      </c>
      <c r="AX595" s="7" t="str">
        <f>IF('RFQ-Input'!S594="","",'RFQ-Input'!S594)</f>
        <v/>
      </c>
      <c r="AY595" s="7" t="str">
        <f>IF('RFQ-Input'!V594="","",'RFQ-Input'!V594)</f>
        <v/>
      </c>
      <c r="AZ595" s="7" t="str">
        <f>IF('RFQ-Input'!Y594="","",'RFQ-Input'!Y594)</f>
        <v/>
      </c>
      <c r="BA595" s="7" t="str">
        <f>IF('RFQ-Input'!AB594="","",'RFQ-Input'!AB594)</f>
        <v/>
      </c>
    </row>
    <row r="596" spans="1:53">
      <c r="A596" s="20">
        <v>592</v>
      </c>
      <c r="B596" s="7"/>
      <c r="C596" s="7" t="str">
        <f>IF('RFQ-Input'!C595="","",'RFQ-Input'!C595)</f>
        <v/>
      </c>
      <c r="D596" s="7" t="str">
        <f>IF('RFQ-Input'!D595="","",'RFQ-Input'!D595)</f>
        <v/>
      </c>
      <c r="E596" s="7" t="str">
        <f>IF('RFQ-Input'!E595="","",'RFQ-Input'!E595)</f>
        <v/>
      </c>
      <c r="F596" s="7" t="str">
        <f>IF('RFQ-Input'!F595="","",'RFQ-Input'!F595)</f>
        <v/>
      </c>
      <c r="G596" s="7" t="str">
        <f>IF('RFQ-Input'!G595="","",'RFQ-Input'!G595)</f>
        <v/>
      </c>
      <c r="H596" s="7" t="str">
        <f>IF('RFQ-Input'!H595="","",'RFQ-Input'!H595)</f>
        <v/>
      </c>
      <c r="I596" s="7" t="str">
        <f>IF('RFQ-Input'!I595="","",'RFQ-Input'!I595)</f>
        <v/>
      </c>
      <c r="J596" s="7" t="str">
        <f>IF('RFQ-Input'!J595="","",'RFQ-Input'!J595)</f>
        <v/>
      </c>
      <c r="K596" s="7" t="str">
        <f>IF('RFQ-Input'!K595="","",'RFQ-Input'!K595)</f>
        <v/>
      </c>
      <c r="L596" s="7" t="str">
        <f>IF('RFQ-Input'!L595="","",'RFQ-Input'!L595)</f>
        <v/>
      </c>
      <c r="M596" s="7" t="str">
        <f>IF('RFQ-Input'!M595="","",'RFQ-Input'!M595)</f>
        <v/>
      </c>
      <c r="N596" s="7" t="str">
        <f>IF('RFQ-Input'!N595="","",'RFQ-Input'!N595)</f>
        <v/>
      </c>
      <c r="O596" s="7" t="str">
        <f>IF('RFQ-Input'!O595="","",'RFQ-Input'!O595)</f>
        <v/>
      </c>
      <c r="Q596" s="7"/>
      <c r="R596" s="7"/>
      <c r="S596" s="7"/>
      <c r="T596" s="7"/>
      <c r="U596" s="7"/>
      <c r="V596" s="7"/>
      <c r="X596" s="7"/>
      <c r="Y596" s="7"/>
      <c r="Z596" s="7"/>
      <c r="AA596" s="7" t="str">
        <f t="shared" si="63"/>
        <v/>
      </c>
      <c r="AB596" s="7"/>
      <c r="AC596" s="7"/>
      <c r="AQ596" s="7" t="str">
        <f t="shared" si="64"/>
        <v/>
      </c>
      <c r="AR596" s="7" t="str">
        <f t="shared" si="65"/>
        <v/>
      </c>
      <c r="AS596" s="7" t="str">
        <f t="shared" si="66"/>
        <v/>
      </c>
      <c r="AT596" s="7" t="str">
        <f t="shared" si="67"/>
        <v/>
      </c>
      <c r="AU596" s="7" t="str">
        <f t="shared" si="68"/>
        <v/>
      </c>
      <c r="AV596" s="7" t="str">
        <f t="shared" si="69"/>
        <v/>
      </c>
      <c r="AW596" s="7" t="str">
        <f>IF('RFQ-Input'!O595="","",'RFQ-Input'!O595)</f>
        <v/>
      </c>
      <c r="AX596" s="7" t="str">
        <f>IF('RFQ-Input'!S595="","",'RFQ-Input'!S595)</f>
        <v/>
      </c>
      <c r="AY596" s="7" t="str">
        <f>IF('RFQ-Input'!V595="","",'RFQ-Input'!V595)</f>
        <v/>
      </c>
      <c r="AZ596" s="7" t="str">
        <f>IF('RFQ-Input'!Y595="","",'RFQ-Input'!Y595)</f>
        <v/>
      </c>
      <c r="BA596" s="7" t="str">
        <f>IF('RFQ-Input'!AB595="","",'RFQ-Input'!AB595)</f>
        <v/>
      </c>
    </row>
    <row r="597" spans="1:53">
      <c r="A597" s="20">
        <v>593</v>
      </c>
      <c r="B597" s="7"/>
      <c r="C597" s="7" t="str">
        <f>IF('RFQ-Input'!C596="","",'RFQ-Input'!C596)</f>
        <v/>
      </c>
      <c r="D597" s="7" t="str">
        <f>IF('RFQ-Input'!D596="","",'RFQ-Input'!D596)</f>
        <v/>
      </c>
      <c r="E597" s="7" t="str">
        <f>IF('RFQ-Input'!E596="","",'RFQ-Input'!E596)</f>
        <v/>
      </c>
      <c r="F597" s="7" t="str">
        <f>IF('RFQ-Input'!F596="","",'RFQ-Input'!F596)</f>
        <v/>
      </c>
      <c r="G597" s="7" t="str">
        <f>IF('RFQ-Input'!G596="","",'RFQ-Input'!G596)</f>
        <v/>
      </c>
      <c r="H597" s="7" t="str">
        <f>IF('RFQ-Input'!H596="","",'RFQ-Input'!H596)</f>
        <v/>
      </c>
      <c r="I597" s="7" t="str">
        <f>IF('RFQ-Input'!I596="","",'RFQ-Input'!I596)</f>
        <v/>
      </c>
      <c r="J597" s="7" t="str">
        <f>IF('RFQ-Input'!J596="","",'RFQ-Input'!J596)</f>
        <v/>
      </c>
      <c r="K597" s="7" t="str">
        <f>IF('RFQ-Input'!K596="","",'RFQ-Input'!K596)</f>
        <v/>
      </c>
      <c r="L597" s="7" t="str">
        <f>IF('RFQ-Input'!L596="","",'RFQ-Input'!L596)</f>
        <v/>
      </c>
      <c r="M597" s="7" t="str">
        <f>IF('RFQ-Input'!M596="","",'RFQ-Input'!M596)</f>
        <v/>
      </c>
      <c r="N597" s="7" t="str">
        <f>IF('RFQ-Input'!N596="","",'RFQ-Input'!N596)</f>
        <v/>
      </c>
      <c r="O597" s="7" t="str">
        <f>IF('RFQ-Input'!O596="","",'RFQ-Input'!O596)</f>
        <v/>
      </c>
      <c r="Q597" s="7"/>
      <c r="R597" s="7"/>
      <c r="S597" s="7"/>
      <c r="T597" s="7"/>
      <c r="U597" s="7"/>
      <c r="V597" s="7"/>
      <c r="X597" s="7"/>
      <c r="Y597" s="7"/>
      <c r="Z597" s="7"/>
      <c r="AA597" s="7" t="str">
        <f t="shared" si="63"/>
        <v/>
      </c>
      <c r="AB597" s="7"/>
      <c r="AC597" s="7"/>
      <c r="AQ597" s="7" t="str">
        <f t="shared" si="64"/>
        <v/>
      </c>
      <c r="AR597" s="7" t="str">
        <f t="shared" si="65"/>
        <v/>
      </c>
      <c r="AS597" s="7" t="str">
        <f t="shared" si="66"/>
        <v/>
      </c>
      <c r="AT597" s="7" t="str">
        <f t="shared" si="67"/>
        <v/>
      </c>
      <c r="AU597" s="7" t="str">
        <f t="shared" si="68"/>
        <v/>
      </c>
      <c r="AV597" s="7" t="str">
        <f t="shared" si="69"/>
        <v/>
      </c>
      <c r="AW597" s="7" t="str">
        <f>IF('RFQ-Input'!O596="","",'RFQ-Input'!O596)</f>
        <v/>
      </c>
      <c r="AX597" s="7" t="str">
        <f>IF('RFQ-Input'!S596="","",'RFQ-Input'!S596)</f>
        <v/>
      </c>
      <c r="AY597" s="7" t="str">
        <f>IF('RFQ-Input'!V596="","",'RFQ-Input'!V596)</f>
        <v/>
      </c>
      <c r="AZ597" s="7" t="str">
        <f>IF('RFQ-Input'!Y596="","",'RFQ-Input'!Y596)</f>
        <v/>
      </c>
      <c r="BA597" s="7" t="str">
        <f>IF('RFQ-Input'!AB596="","",'RFQ-Input'!AB596)</f>
        <v/>
      </c>
    </row>
    <row r="598" spans="1:53">
      <c r="A598" s="20">
        <v>594</v>
      </c>
      <c r="B598" s="7"/>
      <c r="C598" s="7" t="str">
        <f>IF('RFQ-Input'!C597="","",'RFQ-Input'!C597)</f>
        <v/>
      </c>
      <c r="D598" s="7" t="str">
        <f>IF('RFQ-Input'!D597="","",'RFQ-Input'!D597)</f>
        <v/>
      </c>
      <c r="E598" s="7" t="str">
        <f>IF('RFQ-Input'!E597="","",'RFQ-Input'!E597)</f>
        <v/>
      </c>
      <c r="F598" s="7" t="str">
        <f>IF('RFQ-Input'!F597="","",'RFQ-Input'!F597)</f>
        <v/>
      </c>
      <c r="G598" s="7" t="str">
        <f>IF('RFQ-Input'!G597="","",'RFQ-Input'!G597)</f>
        <v/>
      </c>
      <c r="H598" s="7" t="str">
        <f>IF('RFQ-Input'!H597="","",'RFQ-Input'!H597)</f>
        <v/>
      </c>
      <c r="I598" s="7" t="str">
        <f>IF('RFQ-Input'!I597="","",'RFQ-Input'!I597)</f>
        <v/>
      </c>
      <c r="J598" s="7" t="str">
        <f>IF('RFQ-Input'!J597="","",'RFQ-Input'!J597)</f>
        <v/>
      </c>
      <c r="K598" s="7" t="str">
        <f>IF('RFQ-Input'!K597="","",'RFQ-Input'!K597)</f>
        <v/>
      </c>
      <c r="L598" s="7" t="str">
        <f>IF('RFQ-Input'!L597="","",'RFQ-Input'!L597)</f>
        <v/>
      </c>
      <c r="M598" s="7" t="str">
        <f>IF('RFQ-Input'!M597="","",'RFQ-Input'!M597)</f>
        <v/>
      </c>
      <c r="N598" s="7" t="str">
        <f>IF('RFQ-Input'!N597="","",'RFQ-Input'!N597)</f>
        <v/>
      </c>
      <c r="O598" s="7" t="str">
        <f>IF('RFQ-Input'!O597="","",'RFQ-Input'!O597)</f>
        <v/>
      </c>
      <c r="Q598" s="7"/>
      <c r="R598" s="7"/>
      <c r="S598" s="7"/>
      <c r="T598" s="7"/>
      <c r="U598" s="7"/>
      <c r="V598" s="7"/>
      <c r="X598" s="7"/>
      <c r="Y598" s="7"/>
      <c r="Z598" s="7"/>
      <c r="AA598" s="7" t="str">
        <f t="shared" si="63"/>
        <v/>
      </c>
      <c r="AB598" s="7"/>
      <c r="AC598" s="7"/>
      <c r="AQ598" s="7" t="str">
        <f t="shared" si="64"/>
        <v/>
      </c>
      <c r="AR598" s="7" t="str">
        <f t="shared" si="65"/>
        <v/>
      </c>
      <c r="AS598" s="7" t="str">
        <f t="shared" si="66"/>
        <v/>
      </c>
      <c r="AT598" s="7" t="str">
        <f t="shared" si="67"/>
        <v/>
      </c>
      <c r="AU598" s="7" t="str">
        <f t="shared" si="68"/>
        <v/>
      </c>
      <c r="AV598" s="7" t="str">
        <f t="shared" si="69"/>
        <v/>
      </c>
      <c r="AW598" s="7" t="str">
        <f>IF('RFQ-Input'!O597="","",'RFQ-Input'!O597)</f>
        <v/>
      </c>
      <c r="AX598" s="7" t="str">
        <f>IF('RFQ-Input'!S597="","",'RFQ-Input'!S597)</f>
        <v/>
      </c>
      <c r="AY598" s="7" t="str">
        <f>IF('RFQ-Input'!V597="","",'RFQ-Input'!V597)</f>
        <v/>
      </c>
      <c r="AZ598" s="7" t="str">
        <f>IF('RFQ-Input'!Y597="","",'RFQ-Input'!Y597)</f>
        <v/>
      </c>
      <c r="BA598" s="7" t="str">
        <f>IF('RFQ-Input'!AB597="","",'RFQ-Input'!AB597)</f>
        <v/>
      </c>
    </row>
    <row r="599" spans="1:53">
      <c r="A599" s="20">
        <v>595</v>
      </c>
      <c r="B599" s="7"/>
      <c r="C599" s="7" t="str">
        <f>IF('RFQ-Input'!C598="","",'RFQ-Input'!C598)</f>
        <v/>
      </c>
      <c r="D599" s="7" t="str">
        <f>IF('RFQ-Input'!D598="","",'RFQ-Input'!D598)</f>
        <v/>
      </c>
      <c r="E599" s="7" t="str">
        <f>IF('RFQ-Input'!E598="","",'RFQ-Input'!E598)</f>
        <v/>
      </c>
      <c r="F599" s="7" t="str">
        <f>IF('RFQ-Input'!F598="","",'RFQ-Input'!F598)</f>
        <v/>
      </c>
      <c r="G599" s="7" t="str">
        <f>IF('RFQ-Input'!G598="","",'RFQ-Input'!G598)</f>
        <v/>
      </c>
      <c r="H599" s="7" t="str">
        <f>IF('RFQ-Input'!H598="","",'RFQ-Input'!H598)</f>
        <v/>
      </c>
      <c r="I599" s="7" t="str">
        <f>IF('RFQ-Input'!I598="","",'RFQ-Input'!I598)</f>
        <v/>
      </c>
      <c r="J599" s="7" t="str">
        <f>IF('RFQ-Input'!J598="","",'RFQ-Input'!J598)</f>
        <v/>
      </c>
      <c r="K599" s="7" t="str">
        <f>IF('RFQ-Input'!K598="","",'RFQ-Input'!K598)</f>
        <v/>
      </c>
      <c r="L599" s="7" t="str">
        <f>IF('RFQ-Input'!L598="","",'RFQ-Input'!L598)</f>
        <v/>
      </c>
      <c r="M599" s="7" t="str">
        <f>IF('RFQ-Input'!M598="","",'RFQ-Input'!M598)</f>
        <v/>
      </c>
      <c r="N599" s="7" t="str">
        <f>IF('RFQ-Input'!N598="","",'RFQ-Input'!N598)</f>
        <v/>
      </c>
      <c r="O599" s="7" t="str">
        <f>IF('RFQ-Input'!O598="","",'RFQ-Input'!O598)</f>
        <v/>
      </c>
      <c r="Q599" s="7"/>
      <c r="R599" s="7"/>
      <c r="S599" s="7"/>
      <c r="T599" s="7"/>
      <c r="U599" s="7"/>
      <c r="V599" s="7"/>
      <c r="X599" s="7"/>
      <c r="Y599" s="7"/>
      <c r="Z599" s="7"/>
      <c r="AA599" s="7" t="str">
        <f t="shared" si="63"/>
        <v/>
      </c>
      <c r="AB599" s="7"/>
      <c r="AC599" s="7"/>
      <c r="AQ599" s="7" t="str">
        <f t="shared" si="64"/>
        <v/>
      </c>
      <c r="AR599" s="7" t="str">
        <f t="shared" si="65"/>
        <v/>
      </c>
      <c r="AS599" s="7" t="str">
        <f t="shared" si="66"/>
        <v/>
      </c>
      <c r="AT599" s="7" t="str">
        <f t="shared" si="67"/>
        <v/>
      </c>
      <c r="AU599" s="7" t="str">
        <f t="shared" si="68"/>
        <v/>
      </c>
      <c r="AV599" s="7" t="str">
        <f t="shared" si="69"/>
        <v/>
      </c>
      <c r="AW599" s="7" t="str">
        <f>IF('RFQ-Input'!O598="","",'RFQ-Input'!O598)</f>
        <v/>
      </c>
      <c r="AX599" s="7" t="str">
        <f>IF('RFQ-Input'!S598="","",'RFQ-Input'!S598)</f>
        <v/>
      </c>
      <c r="AY599" s="7" t="str">
        <f>IF('RFQ-Input'!V598="","",'RFQ-Input'!V598)</f>
        <v/>
      </c>
      <c r="AZ599" s="7" t="str">
        <f>IF('RFQ-Input'!Y598="","",'RFQ-Input'!Y598)</f>
        <v/>
      </c>
      <c r="BA599" s="7" t="str">
        <f>IF('RFQ-Input'!AB598="","",'RFQ-Input'!AB598)</f>
        <v/>
      </c>
    </row>
    <row r="600" spans="1:53">
      <c r="A600" s="20">
        <v>596</v>
      </c>
      <c r="B600" s="7"/>
      <c r="C600" s="7" t="str">
        <f>IF('RFQ-Input'!C599="","",'RFQ-Input'!C599)</f>
        <v/>
      </c>
      <c r="D600" s="7" t="str">
        <f>IF('RFQ-Input'!D599="","",'RFQ-Input'!D599)</f>
        <v/>
      </c>
      <c r="E600" s="7" t="str">
        <f>IF('RFQ-Input'!E599="","",'RFQ-Input'!E599)</f>
        <v/>
      </c>
      <c r="F600" s="7" t="str">
        <f>IF('RFQ-Input'!F599="","",'RFQ-Input'!F599)</f>
        <v/>
      </c>
      <c r="G600" s="7" t="str">
        <f>IF('RFQ-Input'!G599="","",'RFQ-Input'!G599)</f>
        <v/>
      </c>
      <c r="H600" s="7" t="str">
        <f>IF('RFQ-Input'!H599="","",'RFQ-Input'!H599)</f>
        <v/>
      </c>
      <c r="I600" s="7" t="str">
        <f>IF('RFQ-Input'!I599="","",'RFQ-Input'!I599)</f>
        <v/>
      </c>
      <c r="J600" s="7" t="str">
        <f>IF('RFQ-Input'!J599="","",'RFQ-Input'!J599)</f>
        <v/>
      </c>
      <c r="K600" s="7" t="str">
        <f>IF('RFQ-Input'!K599="","",'RFQ-Input'!K599)</f>
        <v/>
      </c>
      <c r="L600" s="7" t="str">
        <f>IF('RFQ-Input'!L599="","",'RFQ-Input'!L599)</f>
        <v/>
      </c>
      <c r="M600" s="7" t="str">
        <f>IF('RFQ-Input'!M599="","",'RFQ-Input'!M599)</f>
        <v/>
      </c>
      <c r="N600" s="7" t="str">
        <f>IF('RFQ-Input'!N599="","",'RFQ-Input'!N599)</f>
        <v/>
      </c>
      <c r="O600" s="7" t="str">
        <f>IF('RFQ-Input'!O599="","",'RFQ-Input'!O599)</f>
        <v/>
      </c>
      <c r="Q600" s="7"/>
      <c r="R600" s="7"/>
      <c r="S600" s="7"/>
      <c r="T600" s="7"/>
      <c r="U600" s="7"/>
      <c r="V600" s="7"/>
      <c r="X600" s="7"/>
      <c r="Y600" s="7"/>
      <c r="Z600" s="7"/>
      <c r="AA600" s="7" t="str">
        <f t="shared" si="63"/>
        <v/>
      </c>
      <c r="AB600" s="7"/>
      <c r="AC600" s="7"/>
      <c r="AQ600" s="7" t="str">
        <f t="shared" si="64"/>
        <v/>
      </c>
      <c r="AR600" s="7" t="str">
        <f t="shared" si="65"/>
        <v/>
      </c>
      <c r="AS600" s="7" t="str">
        <f t="shared" si="66"/>
        <v/>
      </c>
      <c r="AT600" s="7" t="str">
        <f t="shared" si="67"/>
        <v/>
      </c>
      <c r="AU600" s="7" t="str">
        <f t="shared" si="68"/>
        <v/>
      </c>
      <c r="AV600" s="7" t="str">
        <f t="shared" si="69"/>
        <v/>
      </c>
      <c r="AW600" s="7" t="str">
        <f>IF('RFQ-Input'!O599="","",'RFQ-Input'!O599)</f>
        <v/>
      </c>
      <c r="AX600" s="7" t="str">
        <f>IF('RFQ-Input'!S599="","",'RFQ-Input'!S599)</f>
        <v/>
      </c>
      <c r="AY600" s="7" t="str">
        <f>IF('RFQ-Input'!V599="","",'RFQ-Input'!V599)</f>
        <v/>
      </c>
      <c r="AZ600" s="7" t="str">
        <f>IF('RFQ-Input'!Y599="","",'RFQ-Input'!Y599)</f>
        <v/>
      </c>
      <c r="BA600" s="7" t="str">
        <f>IF('RFQ-Input'!AB599="","",'RFQ-Input'!AB599)</f>
        <v/>
      </c>
    </row>
    <row r="601" spans="1:53">
      <c r="A601" s="20">
        <v>597</v>
      </c>
      <c r="B601" s="7"/>
      <c r="C601" s="7" t="str">
        <f>IF('RFQ-Input'!C600="","",'RFQ-Input'!C600)</f>
        <v/>
      </c>
      <c r="D601" s="7" t="str">
        <f>IF('RFQ-Input'!D600="","",'RFQ-Input'!D600)</f>
        <v/>
      </c>
      <c r="E601" s="7" t="str">
        <f>IF('RFQ-Input'!E600="","",'RFQ-Input'!E600)</f>
        <v/>
      </c>
      <c r="F601" s="7" t="str">
        <f>IF('RFQ-Input'!F600="","",'RFQ-Input'!F600)</f>
        <v/>
      </c>
      <c r="G601" s="7" t="str">
        <f>IF('RFQ-Input'!G600="","",'RFQ-Input'!G600)</f>
        <v/>
      </c>
      <c r="H601" s="7" t="str">
        <f>IF('RFQ-Input'!H600="","",'RFQ-Input'!H600)</f>
        <v/>
      </c>
      <c r="I601" s="7" t="str">
        <f>IF('RFQ-Input'!I600="","",'RFQ-Input'!I600)</f>
        <v/>
      </c>
      <c r="J601" s="7" t="str">
        <f>IF('RFQ-Input'!J600="","",'RFQ-Input'!J600)</f>
        <v/>
      </c>
      <c r="K601" s="7" t="str">
        <f>IF('RFQ-Input'!K600="","",'RFQ-Input'!K600)</f>
        <v/>
      </c>
      <c r="L601" s="7" t="str">
        <f>IF('RFQ-Input'!L600="","",'RFQ-Input'!L600)</f>
        <v/>
      </c>
      <c r="M601" s="7" t="str">
        <f>IF('RFQ-Input'!M600="","",'RFQ-Input'!M600)</f>
        <v/>
      </c>
      <c r="N601" s="7" t="str">
        <f>IF('RFQ-Input'!N600="","",'RFQ-Input'!N600)</f>
        <v/>
      </c>
      <c r="O601" s="7" t="str">
        <f>IF('RFQ-Input'!O600="","",'RFQ-Input'!O600)</f>
        <v/>
      </c>
      <c r="Q601" s="7"/>
      <c r="R601" s="7"/>
      <c r="S601" s="7"/>
      <c r="T601" s="7"/>
      <c r="U601" s="7"/>
      <c r="V601" s="7"/>
      <c r="X601" s="7"/>
      <c r="Y601" s="7"/>
      <c r="Z601" s="7"/>
      <c r="AA601" s="7" t="str">
        <f t="shared" si="63"/>
        <v/>
      </c>
      <c r="AB601" s="7"/>
      <c r="AC601" s="7"/>
      <c r="AQ601" s="7" t="str">
        <f t="shared" si="64"/>
        <v/>
      </c>
      <c r="AR601" s="7" t="str">
        <f t="shared" si="65"/>
        <v/>
      </c>
      <c r="AS601" s="7" t="str">
        <f t="shared" si="66"/>
        <v/>
      </c>
      <c r="AT601" s="7" t="str">
        <f t="shared" si="67"/>
        <v/>
      </c>
      <c r="AU601" s="7" t="str">
        <f t="shared" si="68"/>
        <v/>
      </c>
      <c r="AV601" s="7" t="str">
        <f t="shared" si="69"/>
        <v/>
      </c>
      <c r="AW601" s="7" t="str">
        <f>IF('RFQ-Input'!O600="","",'RFQ-Input'!O600)</f>
        <v/>
      </c>
      <c r="AX601" s="7" t="str">
        <f>IF('RFQ-Input'!S600="","",'RFQ-Input'!S600)</f>
        <v/>
      </c>
      <c r="AY601" s="7" t="str">
        <f>IF('RFQ-Input'!V600="","",'RFQ-Input'!V600)</f>
        <v/>
      </c>
      <c r="AZ601" s="7" t="str">
        <f>IF('RFQ-Input'!Y600="","",'RFQ-Input'!Y600)</f>
        <v/>
      </c>
      <c r="BA601" s="7" t="str">
        <f>IF('RFQ-Input'!AB600="","",'RFQ-Input'!AB600)</f>
        <v/>
      </c>
    </row>
    <row r="602" spans="1:53">
      <c r="A602" s="20">
        <v>598</v>
      </c>
      <c r="B602" s="7"/>
      <c r="C602" s="7" t="str">
        <f>IF('RFQ-Input'!C601="","",'RFQ-Input'!C601)</f>
        <v/>
      </c>
      <c r="D602" s="7" t="str">
        <f>IF('RFQ-Input'!D601="","",'RFQ-Input'!D601)</f>
        <v/>
      </c>
      <c r="E602" s="7" t="str">
        <f>IF('RFQ-Input'!E601="","",'RFQ-Input'!E601)</f>
        <v/>
      </c>
      <c r="F602" s="7" t="str">
        <f>IF('RFQ-Input'!F601="","",'RFQ-Input'!F601)</f>
        <v/>
      </c>
      <c r="G602" s="7" t="str">
        <f>IF('RFQ-Input'!G601="","",'RFQ-Input'!G601)</f>
        <v/>
      </c>
      <c r="H602" s="7" t="str">
        <f>IF('RFQ-Input'!H601="","",'RFQ-Input'!H601)</f>
        <v/>
      </c>
      <c r="I602" s="7" t="str">
        <f>IF('RFQ-Input'!I601="","",'RFQ-Input'!I601)</f>
        <v/>
      </c>
      <c r="J602" s="7" t="str">
        <f>IF('RFQ-Input'!J601="","",'RFQ-Input'!J601)</f>
        <v/>
      </c>
      <c r="K602" s="7" t="str">
        <f>IF('RFQ-Input'!K601="","",'RFQ-Input'!K601)</f>
        <v/>
      </c>
      <c r="L602" s="7" t="str">
        <f>IF('RFQ-Input'!L601="","",'RFQ-Input'!L601)</f>
        <v/>
      </c>
      <c r="M602" s="7" t="str">
        <f>IF('RFQ-Input'!M601="","",'RFQ-Input'!M601)</f>
        <v/>
      </c>
      <c r="N602" s="7" t="str">
        <f>IF('RFQ-Input'!N601="","",'RFQ-Input'!N601)</f>
        <v/>
      </c>
      <c r="O602" s="7" t="str">
        <f>IF('RFQ-Input'!O601="","",'RFQ-Input'!O601)</f>
        <v/>
      </c>
      <c r="Q602" s="7"/>
      <c r="R602" s="7"/>
      <c r="S602" s="7"/>
      <c r="T602" s="7"/>
      <c r="U602" s="7"/>
      <c r="V602" s="7"/>
      <c r="X602" s="7"/>
      <c r="Y602" s="7"/>
      <c r="Z602" s="7"/>
      <c r="AA602" s="7" t="str">
        <f t="shared" si="63"/>
        <v/>
      </c>
      <c r="AB602" s="7"/>
      <c r="AC602" s="7"/>
      <c r="AQ602" s="7" t="str">
        <f t="shared" si="64"/>
        <v/>
      </c>
      <c r="AR602" s="7" t="str">
        <f t="shared" si="65"/>
        <v/>
      </c>
      <c r="AS602" s="7" t="str">
        <f t="shared" si="66"/>
        <v/>
      </c>
      <c r="AT602" s="7" t="str">
        <f t="shared" si="67"/>
        <v/>
      </c>
      <c r="AU602" s="7" t="str">
        <f t="shared" si="68"/>
        <v/>
      </c>
      <c r="AV602" s="7" t="str">
        <f t="shared" si="69"/>
        <v/>
      </c>
      <c r="AW602" s="7" t="str">
        <f>IF('RFQ-Input'!O601="","",'RFQ-Input'!O601)</f>
        <v/>
      </c>
      <c r="AX602" s="7" t="str">
        <f>IF('RFQ-Input'!S601="","",'RFQ-Input'!S601)</f>
        <v/>
      </c>
      <c r="AY602" s="7" t="str">
        <f>IF('RFQ-Input'!V601="","",'RFQ-Input'!V601)</f>
        <v/>
      </c>
      <c r="AZ602" s="7" t="str">
        <f>IF('RFQ-Input'!Y601="","",'RFQ-Input'!Y601)</f>
        <v/>
      </c>
      <c r="BA602" s="7" t="str">
        <f>IF('RFQ-Input'!AB601="","",'RFQ-Input'!AB601)</f>
        <v/>
      </c>
    </row>
    <row r="603" spans="1:53">
      <c r="A603" s="20">
        <v>599</v>
      </c>
      <c r="B603" s="7"/>
      <c r="C603" s="7" t="str">
        <f>IF('RFQ-Input'!C602="","",'RFQ-Input'!C602)</f>
        <v/>
      </c>
      <c r="D603" s="7" t="str">
        <f>IF('RFQ-Input'!D602="","",'RFQ-Input'!D602)</f>
        <v/>
      </c>
      <c r="E603" s="7" t="str">
        <f>IF('RFQ-Input'!E602="","",'RFQ-Input'!E602)</f>
        <v/>
      </c>
      <c r="F603" s="7" t="str">
        <f>IF('RFQ-Input'!F602="","",'RFQ-Input'!F602)</f>
        <v/>
      </c>
      <c r="G603" s="7" t="str">
        <f>IF('RFQ-Input'!G602="","",'RFQ-Input'!G602)</f>
        <v/>
      </c>
      <c r="H603" s="7" t="str">
        <f>IF('RFQ-Input'!H602="","",'RFQ-Input'!H602)</f>
        <v/>
      </c>
      <c r="I603" s="7" t="str">
        <f>IF('RFQ-Input'!I602="","",'RFQ-Input'!I602)</f>
        <v/>
      </c>
      <c r="J603" s="7" t="str">
        <f>IF('RFQ-Input'!J602="","",'RFQ-Input'!J602)</f>
        <v/>
      </c>
      <c r="K603" s="7" t="str">
        <f>IF('RFQ-Input'!K602="","",'RFQ-Input'!K602)</f>
        <v/>
      </c>
      <c r="L603" s="7" t="str">
        <f>IF('RFQ-Input'!L602="","",'RFQ-Input'!L602)</f>
        <v/>
      </c>
      <c r="M603" s="7" t="str">
        <f>IF('RFQ-Input'!M602="","",'RFQ-Input'!M602)</f>
        <v/>
      </c>
      <c r="N603" s="7" t="str">
        <f>IF('RFQ-Input'!N602="","",'RFQ-Input'!N602)</f>
        <v/>
      </c>
      <c r="O603" s="7" t="str">
        <f>IF('RFQ-Input'!O602="","",'RFQ-Input'!O602)</f>
        <v/>
      </c>
      <c r="Q603" s="7"/>
      <c r="R603" s="7"/>
      <c r="S603" s="7"/>
      <c r="T603" s="7"/>
      <c r="U603" s="7"/>
      <c r="V603" s="7"/>
      <c r="X603" s="7"/>
      <c r="Y603" s="7"/>
      <c r="Z603" s="7"/>
      <c r="AA603" s="7" t="str">
        <f t="shared" si="63"/>
        <v/>
      </c>
      <c r="AB603" s="7"/>
      <c r="AC603" s="7"/>
      <c r="AQ603" s="7" t="str">
        <f t="shared" si="64"/>
        <v/>
      </c>
      <c r="AR603" s="7" t="str">
        <f t="shared" si="65"/>
        <v/>
      </c>
      <c r="AS603" s="7" t="str">
        <f t="shared" si="66"/>
        <v/>
      </c>
      <c r="AT603" s="7" t="str">
        <f t="shared" si="67"/>
        <v/>
      </c>
      <c r="AU603" s="7" t="str">
        <f t="shared" si="68"/>
        <v/>
      </c>
      <c r="AV603" s="7" t="str">
        <f t="shared" si="69"/>
        <v/>
      </c>
      <c r="AW603" s="7" t="str">
        <f>IF('RFQ-Input'!O602="","",'RFQ-Input'!O602)</f>
        <v/>
      </c>
      <c r="AX603" s="7" t="str">
        <f>IF('RFQ-Input'!S602="","",'RFQ-Input'!S602)</f>
        <v/>
      </c>
      <c r="AY603" s="7" t="str">
        <f>IF('RFQ-Input'!V602="","",'RFQ-Input'!V602)</f>
        <v/>
      </c>
      <c r="AZ603" s="7" t="str">
        <f>IF('RFQ-Input'!Y602="","",'RFQ-Input'!Y602)</f>
        <v/>
      </c>
      <c r="BA603" s="7" t="str">
        <f>IF('RFQ-Input'!AB602="","",'RFQ-Input'!AB602)</f>
        <v/>
      </c>
    </row>
    <row r="604" spans="1:53">
      <c r="A604" s="20">
        <v>600</v>
      </c>
      <c r="B604" s="7"/>
      <c r="C604" s="7" t="str">
        <f>IF('RFQ-Input'!C603="","",'RFQ-Input'!C603)</f>
        <v/>
      </c>
      <c r="D604" s="7" t="str">
        <f>IF('RFQ-Input'!D603="","",'RFQ-Input'!D603)</f>
        <v/>
      </c>
      <c r="E604" s="7" t="str">
        <f>IF('RFQ-Input'!E603="","",'RFQ-Input'!E603)</f>
        <v/>
      </c>
      <c r="F604" s="7" t="str">
        <f>IF('RFQ-Input'!F603="","",'RFQ-Input'!F603)</f>
        <v/>
      </c>
      <c r="G604" s="7" t="str">
        <f>IF('RFQ-Input'!G603="","",'RFQ-Input'!G603)</f>
        <v/>
      </c>
      <c r="H604" s="7" t="str">
        <f>IF('RFQ-Input'!H603="","",'RFQ-Input'!H603)</f>
        <v/>
      </c>
      <c r="I604" s="7" t="str">
        <f>IF('RFQ-Input'!I603="","",'RFQ-Input'!I603)</f>
        <v/>
      </c>
      <c r="J604" s="7" t="str">
        <f>IF('RFQ-Input'!J603="","",'RFQ-Input'!J603)</f>
        <v/>
      </c>
      <c r="K604" s="7" t="str">
        <f>IF('RFQ-Input'!K603="","",'RFQ-Input'!K603)</f>
        <v/>
      </c>
      <c r="L604" s="7" t="str">
        <f>IF('RFQ-Input'!L603="","",'RFQ-Input'!L603)</f>
        <v/>
      </c>
      <c r="M604" s="7" t="str">
        <f>IF('RFQ-Input'!M603="","",'RFQ-Input'!M603)</f>
        <v/>
      </c>
      <c r="N604" s="7" t="str">
        <f>IF('RFQ-Input'!N603="","",'RFQ-Input'!N603)</f>
        <v/>
      </c>
      <c r="O604" s="7" t="str">
        <f>IF('RFQ-Input'!O603="","",'RFQ-Input'!O603)</f>
        <v/>
      </c>
      <c r="Q604" s="7"/>
      <c r="R604" s="7"/>
      <c r="S604" s="7"/>
      <c r="T604" s="7"/>
      <c r="U604" s="7"/>
      <c r="V604" s="7"/>
      <c r="X604" s="7"/>
      <c r="Y604" s="7"/>
      <c r="Z604" s="7"/>
      <c r="AA604" s="7" t="str">
        <f t="shared" si="63"/>
        <v/>
      </c>
      <c r="AB604" s="7"/>
      <c r="AC604" s="7"/>
      <c r="AQ604" s="7" t="str">
        <f t="shared" si="64"/>
        <v/>
      </c>
      <c r="AR604" s="7" t="str">
        <f t="shared" si="65"/>
        <v/>
      </c>
      <c r="AS604" s="7" t="str">
        <f t="shared" si="66"/>
        <v/>
      </c>
      <c r="AT604" s="7" t="str">
        <f t="shared" si="67"/>
        <v/>
      </c>
      <c r="AU604" s="7" t="str">
        <f t="shared" si="68"/>
        <v/>
      </c>
      <c r="AV604" s="7" t="str">
        <f t="shared" si="69"/>
        <v/>
      </c>
      <c r="AW604" s="7" t="str">
        <f>IF('RFQ-Input'!O603="","",'RFQ-Input'!O603)</f>
        <v/>
      </c>
      <c r="AX604" s="7" t="str">
        <f>IF('RFQ-Input'!S603="","",'RFQ-Input'!S603)</f>
        <v/>
      </c>
      <c r="AY604" s="7" t="str">
        <f>IF('RFQ-Input'!V603="","",'RFQ-Input'!V603)</f>
        <v/>
      </c>
      <c r="AZ604" s="7" t="str">
        <f>IF('RFQ-Input'!Y603="","",'RFQ-Input'!Y603)</f>
        <v/>
      </c>
      <c r="BA604" s="7" t="str">
        <f>IF('RFQ-Input'!AB603="","",'RFQ-Input'!AB603)</f>
        <v/>
      </c>
    </row>
    <row r="605" spans="1:53">
      <c r="A605" s="20">
        <v>601</v>
      </c>
      <c r="B605" s="7"/>
      <c r="C605" s="7" t="str">
        <f>IF('RFQ-Input'!C604="","",'RFQ-Input'!C604)</f>
        <v/>
      </c>
      <c r="D605" s="7" t="str">
        <f>IF('RFQ-Input'!D604="","",'RFQ-Input'!D604)</f>
        <v/>
      </c>
      <c r="E605" s="7" t="str">
        <f>IF('RFQ-Input'!E604="","",'RFQ-Input'!E604)</f>
        <v/>
      </c>
      <c r="F605" s="7" t="str">
        <f>IF('RFQ-Input'!F604="","",'RFQ-Input'!F604)</f>
        <v/>
      </c>
      <c r="G605" s="7" t="str">
        <f>IF('RFQ-Input'!G604="","",'RFQ-Input'!G604)</f>
        <v/>
      </c>
      <c r="H605" s="7" t="str">
        <f>IF('RFQ-Input'!H604="","",'RFQ-Input'!H604)</f>
        <v/>
      </c>
      <c r="I605" s="7" t="str">
        <f>IF('RFQ-Input'!I604="","",'RFQ-Input'!I604)</f>
        <v/>
      </c>
      <c r="J605" s="7" t="str">
        <f>IF('RFQ-Input'!J604="","",'RFQ-Input'!J604)</f>
        <v/>
      </c>
      <c r="K605" s="7" t="str">
        <f>IF('RFQ-Input'!K604="","",'RFQ-Input'!K604)</f>
        <v/>
      </c>
      <c r="L605" s="7" t="str">
        <f>IF('RFQ-Input'!L604="","",'RFQ-Input'!L604)</f>
        <v/>
      </c>
      <c r="M605" s="7" t="str">
        <f>IF('RFQ-Input'!M604="","",'RFQ-Input'!M604)</f>
        <v/>
      </c>
      <c r="N605" s="7" t="str">
        <f>IF('RFQ-Input'!N604="","",'RFQ-Input'!N604)</f>
        <v/>
      </c>
      <c r="O605" s="7" t="str">
        <f>IF('RFQ-Input'!O604="","",'RFQ-Input'!O604)</f>
        <v/>
      </c>
      <c r="Q605" s="7"/>
      <c r="R605" s="7"/>
      <c r="S605" s="7"/>
      <c r="T605" s="7"/>
      <c r="U605" s="7"/>
      <c r="V605" s="7"/>
      <c r="X605" s="7"/>
      <c r="Y605" s="7"/>
      <c r="Z605" s="7"/>
      <c r="AA605" s="7" t="str">
        <f t="shared" si="63"/>
        <v/>
      </c>
      <c r="AB605" s="7"/>
      <c r="AC605" s="7"/>
      <c r="AQ605" s="7" t="str">
        <f t="shared" si="64"/>
        <v/>
      </c>
      <c r="AR605" s="7" t="str">
        <f t="shared" si="65"/>
        <v/>
      </c>
      <c r="AS605" s="7" t="str">
        <f t="shared" si="66"/>
        <v/>
      </c>
      <c r="AT605" s="7" t="str">
        <f t="shared" si="67"/>
        <v/>
      </c>
      <c r="AU605" s="7" t="str">
        <f t="shared" si="68"/>
        <v/>
      </c>
      <c r="AV605" s="7" t="str">
        <f t="shared" si="69"/>
        <v/>
      </c>
      <c r="AW605" s="7" t="str">
        <f>IF('RFQ-Input'!O604="","",'RFQ-Input'!O604)</f>
        <v/>
      </c>
      <c r="AX605" s="7" t="str">
        <f>IF('RFQ-Input'!S604="","",'RFQ-Input'!S604)</f>
        <v/>
      </c>
      <c r="AY605" s="7" t="str">
        <f>IF('RFQ-Input'!V604="","",'RFQ-Input'!V604)</f>
        <v/>
      </c>
      <c r="AZ605" s="7" t="str">
        <f>IF('RFQ-Input'!Y604="","",'RFQ-Input'!Y604)</f>
        <v/>
      </c>
      <c r="BA605" s="7" t="str">
        <f>IF('RFQ-Input'!AB604="","",'RFQ-Input'!AB604)</f>
        <v/>
      </c>
    </row>
    <row r="606" spans="1:53">
      <c r="A606" s="20">
        <v>602</v>
      </c>
      <c r="B606" s="7"/>
      <c r="C606" s="7" t="str">
        <f>IF('RFQ-Input'!C605="","",'RFQ-Input'!C605)</f>
        <v/>
      </c>
      <c r="D606" s="7" t="str">
        <f>IF('RFQ-Input'!D605="","",'RFQ-Input'!D605)</f>
        <v/>
      </c>
      <c r="E606" s="7" t="str">
        <f>IF('RFQ-Input'!E605="","",'RFQ-Input'!E605)</f>
        <v/>
      </c>
      <c r="F606" s="7" t="str">
        <f>IF('RFQ-Input'!F605="","",'RFQ-Input'!F605)</f>
        <v/>
      </c>
      <c r="G606" s="7" t="str">
        <f>IF('RFQ-Input'!G605="","",'RFQ-Input'!G605)</f>
        <v/>
      </c>
      <c r="H606" s="7" t="str">
        <f>IF('RFQ-Input'!H605="","",'RFQ-Input'!H605)</f>
        <v/>
      </c>
      <c r="I606" s="7" t="str">
        <f>IF('RFQ-Input'!I605="","",'RFQ-Input'!I605)</f>
        <v/>
      </c>
      <c r="J606" s="7" t="str">
        <f>IF('RFQ-Input'!J605="","",'RFQ-Input'!J605)</f>
        <v/>
      </c>
      <c r="K606" s="7" t="str">
        <f>IF('RFQ-Input'!K605="","",'RFQ-Input'!K605)</f>
        <v/>
      </c>
      <c r="L606" s="7" t="str">
        <f>IF('RFQ-Input'!L605="","",'RFQ-Input'!L605)</f>
        <v/>
      </c>
      <c r="M606" s="7" t="str">
        <f>IF('RFQ-Input'!M605="","",'RFQ-Input'!M605)</f>
        <v/>
      </c>
      <c r="N606" s="7" t="str">
        <f>IF('RFQ-Input'!N605="","",'RFQ-Input'!N605)</f>
        <v/>
      </c>
      <c r="O606" s="7" t="str">
        <f>IF('RFQ-Input'!O605="","",'RFQ-Input'!O605)</f>
        <v/>
      </c>
      <c r="Q606" s="7"/>
      <c r="R606" s="7"/>
      <c r="S606" s="7"/>
      <c r="T606" s="7"/>
      <c r="U606" s="7"/>
      <c r="V606" s="7"/>
      <c r="X606" s="7"/>
      <c r="Y606" s="7"/>
      <c r="Z606" s="7"/>
      <c r="AA606" s="7" t="str">
        <f t="shared" si="63"/>
        <v/>
      </c>
      <c r="AB606" s="7"/>
      <c r="AC606" s="7"/>
      <c r="AQ606" s="7" t="str">
        <f t="shared" si="64"/>
        <v/>
      </c>
      <c r="AR606" s="7" t="str">
        <f t="shared" si="65"/>
        <v/>
      </c>
      <c r="AS606" s="7" t="str">
        <f t="shared" si="66"/>
        <v/>
      </c>
      <c r="AT606" s="7" t="str">
        <f t="shared" si="67"/>
        <v/>
      </c>
      <c r="AU606" s="7" t="str">
        <f t="shared" si="68"/>
        <v/>
      </c>
      <c r="AV606" s="7" t="str">
        <f t="shared" si="69"/>
        <v/>
      </c>
      <c r="AW606" s="7" t="str">
        <f>IF('RFQ-Input'!O605="","",'RFQ-Input'!O605)</f>
        <v/>
      </c>
      <c r="AX606" s="7" t="str">
        <f>IF('RFQ-Input'!S605="","",'RFQ-Input'!S605)</f>
        <v/>
      </c>
      <c r="AY606" s="7" t="str">
        <f>IF('RFQ-Input'!V605="","",'RFQ-Input'!V605)</f>
        <v/>
      </c>
      <c r="AZ606" s="7" t="str">
        <f>IF('RFQ-Input'!Y605="","",'RFQ-Input'!Y605)</f>
        <v/>
      </c>
      <c r="BA606" s="7" t="str">
        <f>IF('RFQ-Input'!AB605="","",'RFQ-Input'!AB605)</f>
        <v/>
      </c>
    </row>
    <row r="607" spans="1:53">
      <c r="A607" s="20">
        <v>603</v>
      </c>
      <c r="B607" s="7"/>
      <c r="C607" s="7" t="str">
        <f>IF('RFQ-Input'!C606="","",'RFQ-Input'!C606)</f>
        <v/>
      </c>
      <c r="D607" s="7" t="str">
        <f>IF('RFQ-Input'!D606="","",'RFQ-Input'!D606)</f>
        <v/>
      </c>
      <c r="E607" s="7" t="str">
        <f>IF('RFQ-Input'!E606="","",'RFQ-Input'!E606)</f>
        <v/>
      </c>
      <c r="F607" s="7" t="str">
        <f>IF('RFQ-Input'!F606="","",'RFQ-Input'!F606)</f>
        <v/>
      </c>
      <c r="G607" s="7" t="str">
        <f>IF('RFQ-Input'!G606="","",'RFQ-Input'!G606)</f>
        <v/>
      </c>
      <c r="H607" s="7" t="str">
        <f>IF('RFQ-Input'!H606="","",'RFQ-Input'!H606)</f>
        <v/>
      </c>
      <c r="I607" s="7" t="str">
        <f>IF('RFQ-Input'!I606="","",'RFQ-Input'!I606)</f>
        <v/>
      </c>
      <c r="J607" s="7" t="str">
        <f>IF('RFQ-Input'!J606="","",'RFQ-Input'!J606)</f>
        <v/>
      </c>
      <c r="K607" s="7" t="str">
        <f>IF('RFQ-Input'!K606="","",'RFQ-Input'!K606)</f>
        <v/>
      </c>
      <c r="L607" s="7" t="str">
        <f>IF('RFQ-Input'!L606="","",'RFQ-Input'!L606)</f>
        <v/>
      </c>
      <c r="M607" s="7" t="str">
        <f>IF('RFQ-Input'!M606="","",'RFQ-Input'!M606)</f>
        <v/>
      </c>
      <c r="N607" s="7" t="str">
        <f>IF('RFQ-Input'!N606="","",'RFQ-Input'!N606)</f>
        <v/>
      </c>
      <c r="O607" s="7" t="str">
        <f>IF('RFQ-Input'!O606="","",'RFQ-Input'!O606)</f>
        <v/>
      </c>
      <c r="Q607" s="7"/>
      <c r="R607" s="7"/>
      <c r="S607" s="7"/>
      <c r="T607" s="7"/>
      <c r="U607" s="7"/>
      <c r="V607" s="7"/>
      <c r="X607" s="7"/>
      <c r="Y607" s="7"/>
      <c r="Z607" s="7"/>
      <c r="AA607" s="7" t="str">
        <f t="shared" si="63"/>
        <v/>
      </c>
      <c r="AB607" s="7"/>
      <c r="AC607" s="7"/>
      <c r="AQ607" s="7" t="str">
        <f t="shared" si="64"/>
        <v/>
      </c>
      <c r="AR607" s="7" t="str">
        <f t="shared" si="65"/>
        <v/>
      </c>
      <c r="AS607" s="7" t="str">
        <f t="shared" si="66"/>
        <v/>
      </c>
      <c r="AT607" s="7" t="str">
        <f t="shared" si="67"/>
        <v/>
      </c>
      <c r="AU607" s="7" t="str">
        <f t="shared" si="68"/>
        <v/>
      </c>
      <c r="AV607" s="7" t="str">
        <f t="shared" si="69"/>
        <v/>
      </c>
      <c r="AW607" s="7" t="str">
        <f>IF('RFQ-Input'!O606="","",'RFQ-Input'!O606)</f>
        <v/>
      </c>
      <c r="AX607" s="7" t="str">
        <f>IF('RFQ-Input'!S606="","",'RFQ-Input'!S606)</f>
        <v/>
      </c>
      <c r="AY607" s="7" t="str">
        <f>IF('RFQ-Input'!V606="","",'RFQ-Input'!V606)</f>
        <v/>
      </c>
      <c r="AZ607" s="7" t="str">
        <f>IF('RFQ-Input'!Y606="","",'RFQ-Input'!Y606)</f>
        <v/>
      </c>
      <c r="BA607" s="7" t="str">
        <f>IF('RFQ-Input'!AB606="","",'RFQ-Input'!AB606)</f>
        <v/>
      </c>
    </row>
    <row r="608" spans="1:53">
      <c r="A608" s="20">
        <v>604</v>
      </c>
      <c r="B608" s="7"/>
      <c r="C608" s="7" t="str">
        <f>IF('RFQ-Input'!C607="","",'RFQ-Input'!C607)</f>
        <v/>
      </c>
      <c r="D608" s="7" t="str">
        <f>IF('RFQ-Input'!D607="","",'RFQ-Input'!D607)</f>
        <v/>
      </c>
      <c r="E608" s="7" t="str">
        <f>IF('RFQ-Input'!E607="","",'RFQ-Input'!E607)</f>
        <v/>
      </c>
      <c r="F608" s="7" t="str">
        <f>IF('RFQ-Input'!F607="","",'RFQ-Input'!F607)</f>
        <v/>
      </c>
      <c r="G608" s="7" t="str">
        <f>IF('RFQ-Input'!G607="","",'RFQ-Input'!G607)</f>
        <v/>
      </c>
      <c r="H608" s="7" t="str">
        <f>IF('RFQ-Input'!H607="","",'RFQ-Input'!H607)</f>
        <v/>
      </c>
      <c r="I608" s="7" t="str">
        <f>IF('RFQ-Input'!I607="","",'RFQ-Input'!I607)</f>
        <v/>
      </c>
      <c r="J608" s="7" t="str">
        <f>IF('RFQ-Input'!J607="","",'RFQ-Input'!J607)</f>
        <v/>
      </c>
      <c r="K608" s="7" t="str">
        <f>IF('RFQ-Input'!K607="","",'RFQ-Input'!K607)</f>
        <v/>
      </c>
      <c r="L608" s="7" t="str">
        <f>IF('RFQ-Input'!L607="","",'RFQ-Input'!L607)</f>
        <v/>
      </c>
      <c r="M608" s="7" t="str">
        <f>IF('RFQ-Input'!M607="","",'RFQ-Input'!M607)</f>
        <v/>
      </c>
      <c r="N608" s="7" t="str">
        <f>IF('RFQ-Input'!N607="","",'RFQ-Input'!N607)</f>
        <v/>
      </c>
      <c r="O608" s="7" t="str">
        <f>IF('RFQ-Input'!O607="","",'RFQ-Input'!O607)</f>
        <v/>
      </c>
      <c r="Q608" s="7"/>
      <c r="R608" s="7"/>
      <c r="S608" s="7"/>
      <c r="T608" s="7"/>
      <c r="U608" s="7"/>
      <c r="V608" s="7"/>
      <c r="X608" s="7"/>
      <c r="Y608" s="7"/>
      <c r="Z608" s="7"/>
      <c r="AA608" s="7" t="str">
        <f t="shared" si="63"/>
        <v/>
      </c>
      <c r="AB608" s="7"/>
      <c r="AC608" s="7"/>
      <c r="AQ608" s="7" t="str">
        <f t="shared" si="64"/>
        <v/>
      </c>
      <c r="AR608" s="7" t="str">
        <f t="shared" si="65"/>
        <v/>
      </c>
      <c r="AS608" s="7" t="str">
        <f t="shared" si="66"/>
        <v/>
      </c>
      <c r="AT608" s="7" t="str">
        <f t="shared" si="67"/>
        <v/>
      </c>
      <c r="AU608" s="7" t="str">
        <f t="shared" si="68"/>
        <v/>
      </c>
      <c r="AV608" s="7" t="str">
        <f t="shared" si="69"/>
        <v/>
      </c>
      <c r="AW608" s="7" t="str">
        <f>IF('RFQ-Input'!O607="","",'RFQ-Input'!O607)</f>
        <v/>
      </c>
      <c r="AX608" s="7" t="str">
        <f>IF('RFQ-Input'!S607="","",'RFQ-Input'!S607)</f>
        <v/>
      </c>
      <c r="AY608" s="7" t="str">
        <f>IF('RFQ-Input'!V607="","",'RFQ-Input'!V607)</f>
        <v/>
      </c>
      <c r="AZ608" s="7" t="str">
        <f>IF('RFQ-Input'!Y607="","",'RFQ-Input'!Y607)</f>
        <v/>
      </c>
      <c r="BA608" s="7" t="str">
        <f>IF('RFQ-Input'!AB607="","",'RFQ-Input'!AB607)</f>
        <v/>
      </c>
    </row>
    <row r="609" spans="1:53">
      <c r="A609" s="20">
        <v>605</v>
      </c>
      <c r="B609" s="7"/>
      <c r="C609" s="7" t="str">
        <f>IF('RFQ-Input'!C608="","",'RFQ-Input'!C608)</f>
        <v/>
      </c>
      <c r="D609" s="7" t="str">
        <f>IF('RFQ-Input'!D608="","",'RFQ-Input'!D608)</f>
        <v/>
      </c>
      <c r="E609" s="7" t="str">
        <f>IF('RFQ-Input'!E608="","",'RFQ-Input'!E608)</f>
        <v/>
      </c>
      <c r="F609" s="7" t="str">
        <f>IF('RFQ-Input'!F608="","",'RFQ-Input'!F608)</f>
        <v/>
      </c>
      <c r="G609" s="7" t="str">
        <f>IF('RFQ-Input'!G608="","",'RFQ-Input'!G608)</f>
        <v/>
      </c>
      <c r="H609" s="7" t="str">
        <f>IF('RFQ-Input'!H608="","",'RFQ-Input'!H608)</f>
        <v/>
      </c>
      <c r="I609" s="7" t="str">
        <f>IF('RFQ-Input'!I608="","",'RFQ-Input'!I608)</f>
        <v/>
      </c>
      <c r="J609" s="7" t="str">
        <f>IF('RFQ-Input'!J608="","",'RFQ-Input'!J608)</f>
        <v/>
      </c>
      <c r="K609" s="7" t="str">
        <f>IF('RFQ-Input'!K608="","",'RFQ-Input'!K608)</f>
        <v/>
      </c>
      <c r="L609" s="7" t="str">
        <f>IF('RFQ-Input'!L608="","",'RFQ-Input'!L608)</f>
        <v/>
      </c>
      <c r="M609" s="7" t="str">
        <f>IF('RFQ-Input'!M608="","",'RFQ-Input'!M608)</f>
        <v/>
      </c>
      <c r="N609" s="7" t="str">
        <f>IF('RFQ-Input'!N608="","",'RFQ-Input'!N608)</f>
        <v/>
      </c>
      <c r="O609" s="7" t="str">
        <f>IF('RFQ-Input'!O608="","",'RFQ-Input'!O608)</f>
        <v/>
      </c>
      <c r="Q609" s="7"/>
      <c r="R609" s="7"/>
      <c r="S609" s="7"/>
      <c r="T609" s="7"/>
      <c r="U609" s="7"/>
      <c r="V609" s="7"/>
      <c r="X609" s="7"/>
      <c r="Y609" s="7"/>
      <c r="Z609" s="7"/>
      <c r="AA609" s="7" t="str">
        <f t="shared" si="63"/>
        <v/>
      </c>
      <c r="AB609" s="7"/>
      <c r="AC609" s="7"/>
      <c r="AQ609" s="7" t="str">
        <f t="shared" si="64"/>
        <v/>
      </c>
      <c r="AR609" s="7" t="str">
        <f t="shared" si="65"/>
        <v/>
      </c>
      <c r="AS609" s="7" t="str">
        <f t="shared" si="66"/>
        <v/>
      </c>
      <c r="AT609" s="7" t="str">
        <f t="shared" si="67"/>
        <v/>
      </c>
      <c r="AU609" s="7" t="str">
        <f t="shared" si="68"/>
        <v/>
      </c>
      <c r="AV609" s="7" t="str">
        <f t="shared" si="69"/>
        <v/>
      </c>
      <c r="AW609" s="7" t="str">
        <f>IF('RFQ-Input'!O608="","",'RFQ-Input'!O608)</f>
        <v/>
      </c>
      <c r="AX609" s="7" t="str">
        <f>IF('RFQ-Input'!S608="","",'RFQ-Input'!S608)</f>
        <v/>
      </c>
      <c r="AY609" s="7" t="str">
        <f>IF('RFQ-Input'!V608="","",'RFQ-Input'!V608)</f>
        <v/>
      </c>
      <c r="AZ609" s="7" t="str">
        <f>IF('RFQ-Input'!Y608="","",'RFQ-Input'!Y608)</f>
        <v/>
      </c>
      <c r="BA609" s="7" t="str">
        <f>IF('RFQ-Input'!AB608="","",'RFQ-Input'!AB608)</f>
        <v/>
      </c>
    </row>
    <row r="610" spans="1:53">
      <c r="A610" s="20">
        <v>606</v>
      </c>
      <c r="B610" s="7"/>
      <c r="C610" s="7" t="str">
        <f>IF('RFQ-Input'!C609="","",'RFQ-Input'!C609)</f>
        <v/>
      </c>
      <c r="D610" s="7" t="str">
        <f>IF('RFQ-Input'!D609="","",'RFQ-Input'!D609)</f>
        <v/>
      </c>
      <c r="E610" s="7" t="str">
        <f>IF('RFQ-Input'!E609="","",'RFQ-Input'!E609)</f>
        <v/>
      </c>
      <c r="F610" s="7" t="str">
        <f>IF('RFQ-Input'!F609="","",'RFQ-Input'!F609)</f>
        <v/>
      </c>
      <c r="G610" s="7" t="str">
        <f>IF('RFQ-Input'!G609="","",'RFQ-Input'!G609)</f>
        <v/>
      </c>
      <c r="H610" s="7" t="str">
        <f>IF('RFQ-Input'!H609="","",'RFQ-Input'!H609)</f>
        <v/>
      </c>
      <c r="I610" s="7" t="str">
        <f>IF('RFQ-Input'!I609="","",'RFQ-Input'!I609)</f>
        <v/>
      </c>
      <c r="J610" s="7" t="str">
        <f>IF('RFQ-Input'!J609="","",'RFQ-Input'!J609)</f>
        <v/>
      </c>
      <c r="K610" s="7" t="str">
        <f>IF('RFQ-Input'!K609="","",'RFQ-Input'!K609)</f>
        <v/>
      </c>
      <c r="L610" s="7" t="str">
        <f>IF('RFQ-Input'!L609="","",'RFQ-Input'!L609)</f>
        <v/>
      </c>
      <c r="M610" s="7" t="str">
        <f>IF('RFQ-Input'!M609="","",'RFQ-Input'!M609)</f>
        <v/>
      </c>
      <c r="N610" s="7" t="str">
        <f>IF('RFQ-Input'!N609="","",'RFQ-Input'!N609)</f>
        <v/>
      </c>
      <c r="O610" s="7" t="str">
        <f>IF('RFQ-Input'!O609="","",'RFQ-Input'!O609)</f>
        <v/>
      </c>
      <c r="Q610" s="7"/>
      <c r="R610" s="7"/>
      <c r="S610" s="7"/>
      <c r="T610" s="7"/>
      <c r="U610" s="7"/>
      <c r="V610" s="7"/>
      <c r="X610" s="7"/>
      <c r="Y610" s="7"/>
      <c r="Z610" s="7"/>
      <c r="AA610" s="7" t="str">
        <f t="shared" si="63"/>
        <v/>
      </c>
      <c r="AB610" s="7"/>
      <c r="AC610" s="7"/>
      <c r="AQ610" s="7" t="str">
        <f t="shared" si="64"/>
        <v/>
      </c>
      <c r="AR610" s="7" t="str">
        <f t="shared" si="65"/>
        <v/>
      </c>
      <c r="AS610" s="7" t="str">
        <f t="shared" si="66"/>
        <v/>
      </c>
      <c r="AT610" s="7" t="str">
        <f t="shared" si="67"/>
        <v/>
      </c>
      <c r="AU610" s="7" t="str">
        <f t="shared" si="68"/>
        <v/>
      </c>
      <c r="AV610" s="7" t="str">
        <f t="shared" si="69"/>
        <v/>
      </c>
      <c r="AW610" s="7" t="str">
        <f>IF('RFQ-Input'!O609="","",'RFQ-Input'!O609)</f>
        <v/>
      </c>
      <c r="AX610" s="7" t="str">
        <f>IF('RFQ-Input'!S609="","",'RFQ-Input'!S609)</f>
        <v/>
      </c>
      <c r="AY610" s="7" t="str">
        <f>IF('RFQ-Input'!V609="","",'RFQ-Input'!V609)</f>
        <v/>
      </c>
      <c r="AZ610" s="7" t="str">
        <f>IF('RFQ-Input'!Y609="","",'RFQ-Input'!Y609)</f>
        <v/>
      </c>
      <c r="BA610" s="7" t="str">
        <f>IF('RFQ-Input'!AB609="","",'RFQ-Input'!AB609)</f>
        <v/>
      </c>
    </row>
    <row r="611" spans="1:53">
      <c r="A611" s="20">
        <v>607</v>
      </c>
      <c r="B611" s="7"/>
      <c r="C611" s="7" t="str">
        <f>IF('RFQ-Input'!C610="","",'RFQ-Input'!C610)</f>
        <v/>
      </c>
      <c r="D611" s="7" t="str">
        <f>IF('RFQ-Input'!D610="","",'RFQ-Input'!D610)</f>
        <v/>
      </c>
      <c r="E611" s="7" t="str">
        <f>IF('RFQ-Input'!E610="","",'RFQ-Input'!E610)</f>
        <v/>
      </c>
      <c r="F611" s="7" t="str">
        <f>IF('RFQ-Input'!F610="","",'RFQ-Input'!F610)</f>
        <v/>
      </c>
      <c r="G611" s="7" t="str">
        <f>IF('RFQ-Input'!G610="","",'RFQ-Input'!G610)</f>
        <v/>
      </c>
      <c r="H611" s="7" t="str">
        <f>IF('RFQ-Input'!H610="","",'RFQ-Input'!H610)</f>
        <v/>
      </c>
      <c r="I611" s="7" t="str">
        <f>IF('RFQ-Input'!I610="","",'RFQ-Input'!I610)</f>
        <v/>
      </c>
      <c r="J611" s="7" t="str">
        <f>IF('RFQ-Input'!J610="","",'RFQ-Input'!J610)</f>
        <v/>
      </c>
      <c r="K611" s="7" t="str">
        <f>IF('RFQ-Input'!K610="","",'RFQ-Input'!K610)</f>
        <v/>
      </c>
      <c r="L611" s="7" t="str">
        <f>IF('RFQ-Input'!L610="","",'RFQ-Input'!L610)</f>
        <v/>
      </c>
      <c r="M611" s="7" t="str">
        <f>IF('RFQ-Input'!M610="","",'RFQ-Input'!M610)</f>
        <v/>
      </c>
      <c r="N611" s="7" t="str">
        <f>IF('RFQ-Input'!N610="","",'RFQ-Input'!N610)</f>
        <v/>
      </c>
      <c r="O611" s="7" t="str">
        <f>IF('RFQ-Input'!O610="","",'RFQ-Input'!O610)</f>
        <v/>
      </c>
      <c r="Q611" s="7"/>
      <c r="R611" s="7"/>
      <c r="S611" s="7"/>
      <c r="T611" s="7"/>
      <c r="U611" s="7"/>
      <c r="V611" s="7"/>
      <c r="X611" s="7"/>
      <c r="Y611" s="7"/>
      <c r="Z611" s="7"/>
      <c r="AA611" s="7" t="str">
        <f t="shared" si="63"/>
        <v/>
      </c>
      <c r="AB611" s="7"/>
      <c r="AC611" s="7"/>
      <c r="AQ611" s="7" t="str">
        <f t="shared" si="64"/>
        <v/>
      </c>
      <c r="AR611" s="7" t="str">
        <f t="shared" si="65"/>
        <v/>
      </c>
      <c r="AS611" s="7" t="str">
        <f t="shared" si="66"/>
        <v/>
      </c>
      <c r="AT611" s="7" t="str">
        <f t="shared" si="67"/>
        <v/>
      </c>
      <c r="AU611" s="7" t="str">
        <f t="shared" si="68"/>
        <v/>
      </c>
      <c r="AV611" s="7" t="str">
        <f t="shared" si="69"/>
        <v/>
      </c>
      <c r="AW611" s="7" t="str">
        <f>IF('RFQ-Input'!O610="","",'RFQ-Input'!O610)</f>
        <v/>
      </c>
      <c r="AX611" s="7" t="str">
        <f>IF('RFQ-Input'!S610="","",'RFQ-Input'!S610)</f>
        <v/>
      </c>
      <c r="AY611" s="7" t="str">
        <f>IF('RFQ-Input'!V610="","",'RFQ-Input'!V610)</f>
        <v/>
      </c>
      <c r="AZ611" s="7" t="str">
        <f>IF('RFQ-Input'!Y610="","",'RFQ-Input'!Y610)</f>
        <v/>
      </c>
      <c r="BA611" s="7" t="str">
        <f>IF('RFQ-Input'!AB610="","",'RFQ-Input'!AB610)</f>
        <v/>
      </c>
    </row>
    <row r="612" spans="1:53">
      <c r="A612" s="20">
        <v>608</v>
      </c>
      <c r="B612" s="7"/>
      <c r="C612" s="7" t="str">
        <f>IF('RFQ-Input'!C611="","",'RFQ-Input'!C611)</f>
        <v/>
      </c>
      <c r="D612" s="7" t="str">
        <f>IF('RFQ-Input'!D611="","",'RFQ-Input'!D611)</f>
        <v/>
      </c>
      <c r="E612" s="7" t="str">
        <f>IF('RFQ-Input'!E611="","",'RFQ-Input'!E611)</f>
        <v/>
      </c>
      <c r="F612" s="7" t="str">
        <f>IF('RFQ-Input'!F611="","",'RFQ-Input'!F611)</f>
        <v/>
      </c>
      <c r="G612" s="7" t="str">
        <f>IF('RFQ-Input'!G611="","",'RFQ-Input'!G611)</f>
        <v/>
      </c>
      <c r="H612" s="7" t="str">
        <f>IF('RFQ-Input'!H611="","",'RFQ-Input'!H611)</f>
        <v/>
      </c>
      <c r="I612" s="7" t="str">
        <f>IF('RFQ-Input'!I611="","",'RFQ-Input'!I611)</f>
        <v/>
      </c>
      <c r="J612" s="7" t="str">
        <f>IF('RFQ-Input'!J611="","",'RFQ-Input'!J611)</f>
        <v/>
      </c>
      <c r="K612" s="7" t="str">
        <f>IF('RFQ-Input'!K611="","",'RFQ-Input'!K611)</f>
        <v/>
      </c>
      <c r="L612" s="7" t="str">
        <f>IF('RFQ-Input'!L611="","",'RFQ-Input'!L611)</f>
        <v/>
      </c>
      <c r="M612" s="7" t="str">
        <f>IF('RFQ-Input'!M611="","",'RFQ-Input'!M611)</f>
        <v/>
      </c>
      <c r="N612" s="7" t="str">
        <f>IF('RFQ-Input'!N611="","",'RFQ-Input'!N611)</f>
        <v/>
      </c>
      <c r="O612" s="7" t="str">
        <f>IF('RFQ-Input'!O611="","",'RFQ-Input'!O611)</f>
        <v/>
      </c>
      <c r="Q612" s="7"/>
      <c r="R612" s="7"/>
      <c r="S612" s="7"/>
      <c r="T612" s="7"/>
      <c r="U612" s="7"/>
      <c r="V612" s="7"/>
      <c r="X612" s="7"/>
      <c r="Y612" s="7"/>
      <c r="Z612" s="7"/>
      <c r="AA612" s="7" t="str">
        <f t="shared" si="63"/>
        <v/>
      </c>
      <c r="AB612" s="7"/>
      <c r="AC612" s="7"/>
      <c r="AQ612" s="7" t="str">
        <f t="shared" si="64"/>
        <v/>
      </c>
      <c r="AR612" s="7" t="str">
        <f t="shared" si="65"/>
        <v/>
      </c>
      <c r="AS612" s="7" t="str">
        <f t="shared" si="66"/>
        <v/>
      </c>
      <c r="AT612" s="7" t="str">
        <f t="shared" si="67"/>
        <v/>
      </c>
      <c r="AU612" s="7" t="str">
        <f t="shared" si="68"/>
        <v/>
      </c>
      <c r="AV612" s="7" t="str">
        <f t="shared" si="69"/>
        <v/>
      </c>
      <c r="AW612" s="7" t="str">
        <f>IF('RFQ-Input'!O611="","",'RFQ-Input'!O611)</f>
        <v/>
      </c>
      <c r="AX612" s="7" t="str">
        <f>IF('RFQ-Input'!S611="","",'RFQ-Input'!S611)</f>
        <v/>
      </c>
      <c r="AY612" s="7" t="str">
        <f>IF('RFQ-Input'!V611="","",'RFQ-Input'!V611)</f>
        <v/>
      </c>
      <c r="AZ612" s="7" t="str">
        <f>IF('RFQ-Input'!Y611="","",'RFQ-Input'!Y611)</f>
        <v/>
      </c>
      <c r="BA612" s="7" t="str">
        <f>IF('RFQ-Input'!AB611="","",'RFQ-Input'!AB611)</f>
        <v/>
      </c>
    </row>
    <row r="613" spans="1:53">
      <c r="A613" s="20">
        <v>609</v>
      </c>
      <c r="B613" s="7"/>
      <c r="C613" s="7" t="str">
        <f>IF('RFQ-Input'!C612="","",'RFQ-Input'!C612)</f>
        <v/>
      </c>
      <c r="D613" s="7" t="str">
        <f>IF('RFQ-Input'!D612="","",'RFQ-Input'!D612)</f>
        <v/>
      </c>
      <c r="E613" s="7" t="str">
        <f>IF('RFQ-Input'!E612="","",'RFQ-Input'!E612)</f>
        <v/>
      </c>
      <c r="F613" s="7" t="str">
        <f>IF('RFQ-Input'!F612="","",'RFQ-Input'!F612)</f>
        <v/>
      </c>
      <c r="G613" s="7" t="str">
        <f>IF('RFQ-Input'!G612="","",'RFQ-Input'!G612)</f>
        <v/>
      </c>
      <c r="H613" s="7" t="str">
        <f>IF('RFQ-Input'!H612="","",'RFQ-Input'!H612)</f>
        <v/>
      </c>
      <c r="I613" s="7" t="str">
        <f>IF('RFQ-Input'!I612="","",'RFQ-Input'!I612)</f>
        <v/>
      </c>
      <c r="J613" s="7" t="str">
        <f>IF('RFQ-Input'!J612="","",'RFQ-Input'!J612)</f>
        <v/>
      </c>
      <c r="K613" s="7" t="str">
        <f>IF('RFQ-Input'!K612="","",'RFQ-Input'!K612)</f>
        <v/>
      </c>
      <c r="L613" s="7" t="str">
        <f>IF('RFQ-Input'!L612="","",'RFQ-Input'!L612)</f>
        <v/>
      </c>
      <c r="M613" s="7" t="str">
        <f>IF('RFQ-Input'!M612="","",'RFQ-Input'!M612)</f>
        <v/>
      </c>
      <c r="N613" s="7" t="str">
        <f>IF('RFQ-Input'!N612="","",'RFQ-Input'!N612)</f>
        <v/>
      </c>
      <c r="O613" s="7" t="str">
        <f>IF('RFQ-Input'!O612="","",'RFQ-Input'!O612)</f>
        <v/>
      </c>
      <c r="Q613" s="7"/>
      <c r="R613" s="7"/>
      <c r="S613" s="7"/>
      <c r="T613" s="7"/>
      <c r="U613" s="7"/>
      <c r="V613" s="7"/>
      <c r="X613" s="7"/>
      <c r="Y613" s="7"/>
      <c r="Z613" s="7"/>
      <c r="AA613" s="7" t="str">
        <f t="shared" si="63"/>
        <v/>
      </c>
      <c r="AB613" s="7"/>
      <c r="AC613" s="7"/>
      <c r="AQ613" s="7" t="str">
        <f t="shared" si="64"/>
        <v/>
      </c>
      <c r="AR613" s="7" t="str">
        <f t="shared" si="65"/>
        <v/>
      </c>
      <c r="AS613" s="7" t="str">
        <f t="shared" si="66"/>
        <v/>
      </c>
      <c r="AT613" s="7" t="str">
        <f t="shared" si="67"/>
        <v/>
      </c>
      <c r="AU613" s="7" t="str">
        <f t="shared" si="68"/>
        <v/>
      </c>
      <c r="AV613" s="7" t="str">
        <f t="shared" si="69"/>
        <v/>
      </c>
      <c r="AW613" s="7" t="str">
        <f>IF('RFQ-Input'!O612="","",'RFQ-Input'!O612)</f>
        <v/>
      </c>
      <c r="AX613" s="7" t="str">
        <f>IF('RFQ-Input'!S612="","",'RFQ-Input'!S612)</f>
        <v/>
      </c>
      <c r="AY613" s="7" t="str">
        <f>IF('RFQ-Input'!V612="","",'RFQ-Input'!V612)</f>
        <v/>
      </c>
      <c r="AZ613" s="7" t="str">
        <f>IF('RFQ-Input'!Y612="","",'RFQ-Input'!Y612)</f>
        <v/>
      </c>
      <c r="BA613" s="7" t="str">
        <f>IF('RFQ-Input'!AB612="","",'RFQ-Input'!AB612)</f>
        <v/>
      </c>
    </row>
    <row r="614" spans="1:53">
      <c r="A614" s="20">
        <v>610</v>
      </c>
      <c r="B614" s="7"/>
      <c r="C614" s="7" t="str">
        <f>IF('RFQ-Input'!C613="","",'RFQ-Input'!C613)</f>
        <v/>
      </c>
      <c r="D614" s="7" t="str">
        <f>IF('RFQ-Input'!D613="","",'RFQ-Input'!D613)</f>
        <v/>
      </c>
      <c r="E614" s="7" t="str">
        <f>IF('RFQ-Input'!E613="","",'RFQ-Input'!E613)</f>
        <v/>
      </c>
      <c r="F614" s="7" t="str">
        <f>IF('RFQ-Input'!F613="","",'RFQ-Input'!F613)</f>
        <v/>
      </c>
      <c r="G614" s="7" t="str">
        <f>IF('RFQ-Input'!G613="","",'RFQ-Input'!G613)</f>
        <v/>
      </c>
      <c r="H614" s="7" t="str">
        <f>IF('RFQ-Input'!H613="","",'RFQ-Input'!H613)</f>
        <v/>
      </c>
      <c r="I614" s="7" t="str">
        <f>IF('RFQ-Input'!I613="","",'RFQ-Input'!I613)</f>
        <v/>
      </c>
      <c r="J614" s="7" t="str">
        <f>IF('RFQ-Input'!J613="","",'RFQ-Input'!J613)</f>
        <v/>
      </c>
      <c r="K614" s="7" t="str">
        <f>IF('RFQ-Input'!K613="","",'RFQ-Input'!K613)</f>
        <v/>
      </c>
      <c r="L614" s="7" t="str">
        <f>IF('RFQ-Input'!L613="","",'RFQ-Input'!L613)</f>
        <v/>
      </c>
      <c r="M614" s="7" t="str">
        <f>IF('RFQ-Input'!M613="","",'RFQ-Input'!M613)</f>
        <v/>
      </c>
      <c r="N614" s="7" t="str">
        <f>IF('RFQ-Input'!N613="","",'RFQ-Input'!N613)</f>
        <v/>
      </c>
      <c r="O614" s="7" t="str">
        <f>IF('RFQ-Input'!O613="","",'RFQ-Input'!O613)</f>
        <v/>
      </c>
      <c r="Q614" s="7"/>
      <c r="R614" s="7"/>
      <c r="S614" s="7"/>
      <c r="T614" s="7"/>
      <c r="U614" s="7"/>
      <c r="V614" s="7"/>
      <c r="X614" s="7"/>
      <c r="Y614" s="7"/>
      <c r="Z614" s="7"/>
      <c r="AA614" s="7" t="str">
        <f t="shared" si="63"/>
        <v/>
      </c>
      <c r="AB614" s="7"/>
      <c r="AC614" s="7"/>
      <c r="AQ614" s="7" t="str">
        <f t="shared" si="64"/>
        <v/>
      </c>
      <c r="AR614" s="7" t="str">
        <f t="shared" si="65"/>
        <v/>
      </c>
      <c r="AS614" s="7" t="str">
        <f t="shared" si="66"/>
        <v/>
      </c>
      <c r="AT614" s="7" t="str">
        <f t="shared" si="67"/>
        <v/>
      </c>
      <c r="AU614" s="7" t="str">
        <f t="shared" si="68"/>
        <v/>
      </c>
      <c r="AV614" s="7" t="str">
        <f t="shared" si="69"/>
        <v/>
      </c>
      <c r="AW614" s="7" t="str">
        <f>IF('RFQ-Input'!O613="","",'RFQ-Input'!O613)</f>
        <v/>
      </c>
      <c r="AX614" s="7" t="str">
        <f>IF('RFQ-Input'!S613="","",'RFQ-Input'!S613)</f>
        <v/>
      </c>
      <c r="AY614" s="7" t="str">
        <f>IF('RFQ-Input'!V613="","",'RFQ-Input'!V613)</f>
        <v/>
      </c>
      <c r="AZ614" s="7" t="str">
        <f>IF('RFQ-Input'!Y613="","",'RFQ-Input'!Y613)</f>
        <v/>
      </c>
      <c r="BA614" s="7" t="str">
        <f>IF('RFQ-Input'!AB613="","",'RFQ-Input'!AB613)</f>
        <v/>
      </c>
    </row>
    <row r="615" spans="1:53">
      <c r="A615" s="20">
        <v>611</v>
      </c>
      <c r="B615" s="7"/>
      <c r="C615" s="7" t="str">
        <f>IF('RFQ-Input'!C614="","",'RFQ-Input'!C614)</f>
        <v/>
      </c>
      <c r="D615" s="7" t="str">
        <f>IF('RFQ-Input'!D614="","",'RFQ-Input'!D614)</f>
        <v/>
      </c>
      <c r="E615" s="7" t="str">
        <f>IF('RFQ-Input'!E614="","",'RFQ-Input'!E614)</f>
        <v/>
      </c>
      <c r="F615" s="7" t="str">
        <f>IF('RFQ-Input'!F614="","",'RFQ-Input'!F614)</f>
        <v/>
      </c>
      <c r="G615" s="7" t="str">
        <f>IF('RFQ-Input'!G614="","",'RFQ-Input'!G614)</f>
        <v/>
      </c>
      <c r="H615" s="7" t="str">
        <f>IF('RFQ-Input'!H614="","",'RFQ-Input'!H614)</f>
        <v/>
      </c>
      <c r="I615" s="7" t="str">
        <f>IF('RFQ-Input'!I614="","",'RFQ-Input'!I614)</f>
        <v/>
      </c>
      <c r="J615" s="7" t="str">
        <f>IF('RFQ-Input'!J614="","",'RFQ-Input'!J614)</f>
        <v/>
      </c>
      <c r="K615" s="7" t="str">
        <f>IF('RFQ-Input'!K614="","",'RFQ-Input'!K614)</f>
        <v/>
      </c>
      <c r="L615" s="7" t="str">
        <f>IF('RFQ-Input'!L614="","",'RFQ-Input'!L614)</f>
        <v/>
      </c>
      <c r="M615" s="7" t="str">
        <f>IF('RFQ-Input'!M614="","",'RFQ-Input'!M614)</f>
        <v/>
      </c>
      <c r="N615" s="7" t="str">
        <f>IF('RFQ-Input'!N614="","",'RFQ-Input'!N614)</f>
        <v/>
      </c>
      <c r="O615" s="7" t="str">
        <f>IF('RFQ-Input'!O614="","",'RFQ-Input'!O614)</f>
        <v/>
      </c>
      <c r="Q615" s="7"/>
      <c r="R615" s="7"/>
      <c r="S615" s="7"/>
      <c r="T615" s="7"/>
      <c r="U615" s="7"/>
      <c r="V615" s="7"/>
      <c r="X615" s="7"/>
      <c r="Y615" s="7"/>
      <c r="Z615" s="7"/>
      <c r="AA615" s="7" t="str">
        <f t="shared" si="63"/>
        <v/>
      </c>
      <c r="AB615" s="7"/>
      <c r="AC615" s="7"/>
      <c r="AQ615" s="7" t="str">
        <f t="shared" si="64"/>
        <v/>
      </c>
      <c r="AR615" s="7" t="str">
        <f t="shared" si="65"/>
        <v/>
      </c>
      <c r="AS615" s="7" t="str">
        <f t="shared" si="66"/>
        <v/>
      </c>
      <c r="AT615" s="7" t="str">
        <f t="shared" si="67"/>
        <v/>
      </c>
      <c r="AU615" s="7" t="str">
        <f t="shared" si="68"/>
        <v/>
      </c>
      <c r="AV615" s="7" t="str">
        <f t="shared" si="69"/>
        <v/>
      </c>
      <c r="AW615" s="7" t="str">
        <f>IF('RFQ-Input'!O614="","",'RFQ-Input'!O614)</f>
        <v/>
      </c>
      <c r="AX615" s="7" t="str">
        <f>IF('RFQ-Input'!S614="","",'RFQ-Input'!S614)</f>
        <v/>
      </c>
      <c r="AY615" s="7" t="str">
        <f>IF('RFQ-Input'!V614="","",'RFQ-Input'!V614)</f>
        <v/>
      </c>
      <c r="AZ615" s="7" t="str">
        <f>IF('RFQ-Input'!Y614="","",'RFQ-Input'!Y614)</f>
        <v/>
      </c>
      <c r="BA615" s="7" t="str">
        <f>IF('RFQ-Input'!AB614="","",'RFQ-Input'!AB614)</f>
        <v/>
      </c>
    </row>
    <row r="616" spans="1:53">
      <c r="A616" s="20">
        <v>612</v>
      </c>
      <c r="B616" s="7"/>
      <c r="C616" s="7" t="str">
        <f>IF('RFQ-Input'!C615="","",'RFQ-Input'!C615)</f>
        <v/>
      </c>
      <c r="D616" s="7" t="str">
        <f>IF('RFQ-Input'!D615="","",'RFQ-Input'!D615)</f>
        <v/>
      </c>
      <c r="E616" s="7" t="str">
        <f>IF('RFQ-Input'!E615="","",'RFQ-Input'!E615)</f>
        <v/>
      </c>
      <c r="F616" s="7" t="str">
        <f>IF('RFQ-Input'!F615="","",'RFQ-Input'!F615)</f>
        <v/>
      </c>
      <c r="G616" s="7" t="str">
        <f>IF('RFQ-Input'!G615="","",'RFQ-Input'!G615)</f>
        <v/>
      </c>
      <c r="H616" s="7" t="str">
        <f>IF('RFQ-Input'!H615="","",'RFQ-Input'!H615)</f>
        <v/>
      </c>
      <c r="I616" s="7" t="str">
        <f>IF('RFQ-Input'!I615="","",'RFQ-Input'!I615)</f>
        <v/>
      </c>
      <c r="J616" s="7" t="str">
        <f>IF('RFQ-Input'!J615="","",'RFQ-Input'!J615)</f>
        <v/>
      </c>
      <c r="K616" s="7" t="str">
        <f>IF('RFQ-Input'!K615="","",'RFQ-Input'!K615)</f>
        <v/>
      </c>
      <c r="L616" s="7" t="str">
        <f>IF('RFQ-Input'!L615="","",'RFQ-Input'!L615)</f>
        <v/>
      </c>
      <c r="M616" s="7" t="str">
        <f>IF('RFQ-Input'!M615="","",'RFQ-Input'!M615)</f>
        <v/>
      </c>
      <c r="N616" s="7" t="str">
        <f>IF('RFQ-Input'!N615="","",'RFQ-Input'!N615)</f>
        <v/>
      </c>
      <c r="O616" s="7" t="str">
        <f>IF('RFQ-Input'!O615="","",'RFQ-Input'!O615)</f>
        <v/>
      </c>
      <c r="Q616" s="7"/>
      <c r="R616" s="7"/>
      <c r="S616" s="7"/>
      <c r="T616" s="7"/>
      <c r="U616" s="7"/>
      <c r="V616" s="7"/>
      <c r="X616" s="7"/>
      <c r="Y616" s="7"/>
      <c r="Z616" s="7"/>
      <c r="AA616" s="7" t="str">
        <f t="shared" si="63"/>
        <v/>
      </c>
      <c r="AB616" s="7"/>
      <c r="AC616" s="7"/>
      <c r="AQ616" s="7" t="str">
        <f t="shared" si="64"/>
        <v/>
      </c>
      <c r="AR616" s="7" t="str">
        <f t="shared" si="65"/>
        <v/>
      </c>
      <c r="AS616" s="7" t="str">
        <f t="shared" si="66"/>
        <v/>
      </c>
      <c r="AT616" s="7" t="str">
        <f t="shared" si="67"/>
        <v/>
      </c>
      <c r="AU616" s="7" t="str">
        <f t="shared" si="68"/>
        <v/>
      </c>
      <c r="AV616" s="7" t="str">
        <f t="shared" si="69"/>
        <v/>
      </c>
      <c r="AW616" s="7" t="str">
        <f>IF('RFQ-Input'!O615="","",'RFQ-Input'!O615)</f>
        <v/>
      </c>
      <c r="AX616" s="7" t="str">
        <f>IF('RFQ-Input'!S615="","",'RFQ-Input'!S615)</f>
        <v/>
      </c>
      <c r="AY616" s="7" t="str">
        <f>IF('RFQ-Input'!V615="","",'RFQ-Input'!V615)</f>
        <v/>
      </c>
      <c r="AZ616" s="7" t="str">
        <f>IF('RFQ-Input'!Y615="","",'RFQ-Input'!Y615)</f>
        <v/>
      </c>
      <c r="BA616" s="7" t="str">
        <f>IF('RFQ-Input'!AB615="","",'RFQ-Input'!AB615)</f>
        <v/>
      </c>
    </row>
    <row r="617" spans="1:53">
      <c r="A617" s="20">
        <v>613</v>
      </c>
      <c r="B617" s="7"/>
      <c r="C617" s="7" t="str">
        <f>IF('RFQ-Input'!C616="","",'RFQ-Input'!C616)</f>
        <v/>
      </c>
      <c r="D617" s="7" t="str">
        <f>IF('RFQ-Input'!D616="","",'RFQ-Input'!D616)</f>
        <v/>
      </c>
      <c r="E617" s="7" t="str">
        <f>IF('RFQ-Input'!E616="","",'RFQ-Input'!E616)</f>
        <v/>
      </c>
      <c r="F617" s="7" t="str">
        <f>IF('RFQ-Input'!F616="","",'RFQ-Input'!F616)</f>
        <v/>
      </c>
      <c r="G617" s="7" t="str">
        <f>IF('RFQ-Input'!G616="","",'RFQ-Input'!G616)</f>
        <v/>
      </c>
      <c r="H617" s="7" t="str">
        <f>IF('RFQ-Input'!H616="","",'RFQ-Input'!H616)</f>
        <v/>
      </c>
      <c r="I617" s="7" t="str">
        <f>IF('RFQ-Input'!I616="","",'RFQ-Input'!I616)</f>
        <v/>
      </c>
      <c r="J617" s="7" t="str">
        <f>IF('RFQ-Input'!J616="","",'RFQ-Input'!J616)</f>
        <v/>
      </c>
      <c r="K617" s="7" t="str">
        <f>IF('RFQ-Input'!K616="","",'RFQ-Input'!K616)</f>
        <v/>
      </c>
      <c r="L617" s="7" t="str">
        <f>IF('RFQ-Input'!L616="","",'RFQ-Input'!L616)</f>
        <v/>
      </c>
      <c r="M617" s="7" t="str">
        <f>IF('RFQ-Input'!M616="","",'RFQ-Input'!M616)</f>
        <v/>
      </c>
      <c r="N617" s="7" t="str">
        <f>IF('RFQ-Input'!N616="","",'RFQ-Input'!N616)</f>
        <v/>
      </c>
      <c r="O617" s="7" t="str">
        <f>IF('RFQ-Input'!O616="","",'RFQ-Input'!O616)</f>
        <v/>
      </c>
      <c r="Q617" s="7"/>
      <c r="R617" s="7"/>
      <c r="S617" s="7"/>
      <c r="T617" s="7"/>
      <c r="U617" s="7"/>
      <c r="V617" s="7"/>
      <c r="X617" s="7"/>
      <c r="Y617" s="7"/>
      <c r="Z617" s="7"/>
      <c r="AA617" s="7" t="str">
        <f t="shared" si="63"/>
        <v/>
      </c>
      <c r="AB617" s="7"/>
      <c r="AC617" s="7"/>
      <c r="AQ617" s="7" t="str">
        <f t="shared" si="64"/>
        <v/>
      </c>
      <c r="AR617" s="7" t="str">
        <f t="shared" si="65"/>
        <v/>
      </c>
      <c r="AS617" s="7" t="str">
        <f t="shared" si="66"/>
        <v/>
      </c>
      <c r="AT617" s="7" t="str">
        <f t="shared" si="67"/>
        <v/>
      </c>
      <c r="AU617" s="7" t="str">
        <f t="shared" si="68"/>
        <v/>
      </c>
      <c r="AV617" s="7" t="str">
        <f t="shared" si="69"/>
        <v/>
      </c>
      <c r="AW617" s="7" t="str">
        <f>IF('RFQ-Input'!O616="","",'RFQ-Input'!O616)</f>
        <v/>
      </c>
      <c r="AX617" s="7" t="str">
        <f>IF('RFQ-Input'!S616="","",'RFQ-Input'!S616)</f>
        <v/>
      </c>
      <c r="AY617" s="7" t="str">
        <f>IF('RFQ-Input'!V616="","",'RFQ-Input'!V616)</f>
        <v/>
      </c>
      <c r="AZ617" s="7" t="str">
        <f>IF('RFQ-Input'!Y616="","",'RFQ-Input'!Y616)</f>
        <v/>
      </c>
      <c r="BA617" s="7" t="str">
        <f>IF('RFQ-Input'!AB616="","",'RFQ-Input'!AB616)</f>
        <v/>
      </c>
    </row>
    <row r="618" spans="1:53">
      <c r="A618" s="20">
        <v>614</v>
      </c>
      <c r="B618" s="7"/>
      <c r="C618" s="7" t="str">
        <f>IF('RFQ-Input'!C617="","",'RFQ-Input'!C617)</f>
        <v/>
      </c>
      <c r="D618" s="7" t="str">
        <f>IF('RFQ-Input'!D617="","",'RFQ-Input'!D617)</f>
        <v/>
      </c>
      <c r="E618" s="7" t="str">
        <f>IF('RFQ-Input'!E617="","",'RFQ-Input'!E617)</f>
        <v/>
      </c>
      <c r="F618" s="7" t="str">
        <f>IF('RFQ-Input'!F617="","",'RFQ-Input'!F617)</f>
        <v/>
      </c>
      <c r="G618" s="7" t="str">
        <f>IF('RFQ-Input'!G617="","",'RFQ-Input'!G617)</f>
        <v/>
      </c>
      <c r="H618" s="7" t="str">
        <f>IF('RFQ-Input'!H617="","",'RFQ-Input'!H617)</f>
        <v/>
      </c>
      <c r="I618" s="7" t="str">
        <f>IF('RFQ-Input'!I617="","",'RFQ-Input'!I617)</f>
        <v/>
      </c>
      <c r="J618" s="7" t="str">
        <f>IF('RFQ-Input'!J617="","",'RFQ-Input'!J617)</f>
        <v/>
      </c>
      <c r="K618" s="7" t="str">
        <f>IF('RFQ-Input'!K617="","",'RFQ-Input'!K617)</f>
        <v/>
      </c>
      <c r="L618" s="7" t="str">
        <f>IF('RFQ-Input'!L617="","",'RFQ-Input'!L617)</f>
        <v/>
      </c>
      <c r="M618" s="7" t="str">
        <f>IF('RFQ-Input'!M617="","",'RFQ-Input'!M617)</f>
        <v/>
      </c>
      <c r="N618" s="7" t="str">
        <f>IF('RFQ-Input'!N617="","",'RFQ-Input'!N617)</f>
        <v/>
      </c>
      <c r="O618" s="7" t="str">
        <f>IF('RFQ-Input'!O617="","",'RFQ-Input'!O617)</f>
        <v/>
      </c>
      <c r="Q618" s="7"/>
      <c r="R618" s="7"/>
      <c r="S618" s="7"/>
      <c r="T618" s="7"/>
      <c r="U618" s="7"/>
      <c r="V618" s="7"/>
      <c r="X618" s="7"/>
      <c r="Y618" s="7"/>
      <c r="Z618" s="7"/>
      <c r="AA618" s="7" t="str">
        <f t="shared" si="63"/>
        <v/>
      </c>
      <c r="AB618" s="7"/>
      <c r="AC618" s="7"/>
      <c r="AQ618" s="7" t="str">
        <f t="shared" si="64"/>
        <v/>
      </c>
      <c r="AR618" s="7" t="str">
        <f t="shared" si="65"/>
        <v/>
      </c>
      <c r="AS618" s="7" t="str">
        <f t="shared" si="66"/>
        <v/>
      </c>
      <c r="AT618" s="7" t="str">
        <f t="shared" si="67"/>
        <v/>
      </c>
      <c r="AU618" s="7" t="str">
        <f t="shared" si="68"/>
        <v/>
      </c>
      <c r="AV618" s="7" t="str">
        <f t="shared" si="69"/>
        <v/>
      </c>
      <c r="AW618" s="7" t="str">
        <f>IF('RFQ-Input'!O617="","",'RFQ-Input'!O617)</f>
        <v/>
      </c>
      <c r="AX618" s="7" t="str">
        <f>IF('RFQ-Input'!S617="","",'RFQ-Input'!S617)</f>
        <v/>
      </c>
      <c r="AY618" s="7" t="str">
        <f>IF('RFQ-Input'!V617="","",'RFQ-Input'!V617)</f>
        <v/>
      </c>
      <c r="AZ618" s="7" t="str">
        <f>IF('RFQ-Input'!Y617="","",'RFQ-Input'!Y617)</f>
        <v/>
      </c>
      <c r="BA618" s="7" t="str">
        <f>IF('RFQ-Input'!AB617="","",'RFQ-Input'!AB617)</f>
        <v/>
      </c>
    </row>
    <row r="619" spans="1:53">
      <c r="A619" s="20">
        <v>615</v>
      </c>
      <c r="B619" s="7"/>
      <c r="C619" s="7" t="str">
        <f>IF('RFQ-Input'!C618="","",'RFQ-Input'!C618)</f>
        <v/>
      </c>
      <c r="D619" s="7" t="str">
        <f>IF('RFQ-Input'!D618="","",'RFQ-Input'!D618)</f>
        <v/>
      </c>
      <c r="E619" s="7" t="str">
        <f>IF('RFQ-Input'!E618="","",'RFQ-Input'!E618)</f>
        <v/>
      </c>
      <c r="F619" s="7" t="str">
        <f>IF('RFQ-Input'!F618="","",'RFQ-Input'!F618)</f>
        <v/>
      </c>
      <c r="G619" s="7" t="str">
        <f>IF('RFQ-Input'!G618="","",'RFQ-Input'!G618)</f>
        <v/>
      </c>
      <c r="H619" s="7" t="str">
        <f>IF('RFQ-Input'!H618="","",'RFQ-Input'!H618)</f>
        <v/>
      </c>
      <c r="I619" s="7" t="str">
        <f>IF('RFQ-Input'!I618="","",'RFQ-Input'!I618)</f>
        <v/>
      </c>
      <c r="J619" s="7" t="str">
        <f>IF('RFQ-Input'!J618="","",'RFQ-Input'!J618)</f>
        <v/>
      </c>
      <c r="K619" s="7" t="str">
        <f>IF('RFQ-Input'!K618="","",'RFQ-Input'!K618)</f>
        <v/>
      </c>
      <c r="L619" s="7" t="str">
        <f>IF('RFQ-Input'!L618="","",'RFQ-Input'!L618)</f>
        <v/>
      </c>
      <c r="M619" s="7" t="str">
        <f>IF('RFQ-Input'!M618="","",'RFQ-Input'!M618)</f>
        <v/>
      </c>
      <c r="N619" s="7" t="str">
        <f>IF('RFQ-Input'!N618="","",'RFQ-Input'!N618)</f>
        <v/>
      </c>
      <c r="O619" s="7" t="str">
        <f>IF('RFQ-Input'!O618="","",'RFQ-Input'!O618)</f>
        <v/>
      </c>
      <c r="Q619" s="7"/>
      <c r="R619" s="7"/>
      <c r="S619" s="7"/>
      <c r="T619" s="7"/>
      <c r="U619" s="7"/>
      <c r="V619" s="7"/>
      <c r="X619" s="7"/>
      <c r="Y619" s="7"/>
      <c r="Z619" s="7"/>
      <c r="AA619" s="7" t="str">
        <f t="shared" si="63"/>
        <v/>
      </c>
      <c r="AB619" s="7"/>
      <c r="AC619" s="7"/>
      <c r="AQ619" s="7" t="str">
        <f t="shared" si="64"/>
        <v/>
      </c>
      <c r="AR619" s="7" t="str">
        <f t="shared" si="65"/>
        <v/>
      </c>
      <c r="AS619" s="7" t="str">
        <f t="shared" si="66"/>
        <v/>
      </c>
      <c r="AT619" s="7" t="str">
        <f t="shared" si="67"/>
        <v/>
      </c>
      <c r="AU619" s="7" t="str">
        <f t="shared" si="68"/>
        <v/>
      </c>
      <c r="AV619" s="7" t="str">
        <f t="shared" si="69"/>
        <v/>
      </c>
      <c r="AW619" s="7" t="str">
        <f>IF('RFQ-Input'!O618="","",'RFQ-Input'!O618)</f>
        <v/>
      </c>
      <c r="AX619" s="7" t="str">
        <f>IF('RFQ-Input'!S618="","",'RFQ-Input'!S618)</f>
        <v/>
      </c>
      <c r="AY619" s="7" t="str">
        <f>IF('RFQ-Input'!V618="","",'RFQ-Input'!V618)</f>
        <v/>
      </c>
      <c r="AZ619" s="7" t="str">
        <f>IF('RFQ-Input'!Y618="","",'RFQ-Input'!Y618)</f>
        <v/>
      </c>
      <c r="BA619" s="7" t="str">
        <f>IF('RFQ-Input'!AB618="","",'RFQ-Input'!AB618)</f>
        <v/>
      </c>
    </row>
    <row r="620" spans="1:53">
      <c r="A620" s="20">
        <v>616</v>
      </c>
      <c r="B620" s="7"/>
      <c r="C620" s="7" t="str">
        <f>IF('RFQ-Input'!C619="","",'RFQ-Input'!C619)</f>
        <v/>
      </c>
      <c r="D620" s="7" t="str">
        <f>IF('RFQ-Input'!D619="","",'RFQ-Input'!D619)</f>
        <v/>
      </c>
      <c r="E620" s="7" t="str">
        <f>IF('RFQ-Input'!E619="","",'RFQ-Input'!E619)</f>
        <v/>
      </c>
      <c r="F620" s="7" t="str">
        <f>IF('RFQ-Input'!F619="","",'RFQ-Input'!F619)</f>
        <v/>
      </c>
      <c r="G620" s="7" t="str">
        <f>IF('RFQ-Input'!G619="","",'RFQ-Input'!G619)</f>
        <v/>
      </c>
      <c r="H620" s="7" t="str">
        <f>IF('RFQ-Input'!H619="","",'RFQ-Input'!H619)</f>
        <v/>
      </c>
      <c r="I620" s="7" t="str">
        <f>IF('RFQ-Input'!I619="","",'RFQ-Input'!I619)</f>
        <v/>
      </c>
      <c r="J620" s="7" t="str">
        <f>IF('RFQ-Input'!J619="","",'RFQ-Input'!J619)</f>
        <v/>
      </c>
      <c r="K620" s="7" t="str">
        <f>IF('RFQ-Input'!K619="","",'RFQ-Input'!K619)</f>
        <v/>
      </c>
      <c r="L620" s="7" t="str">
        <f>IF('RFQ-Input'!L619="","",'RFQ-Input'!L619)</f>
        <v/>
      </c>
      <c r="M620" s="7" t="str">
        <f>IF('RFQ-Input'!M619="","",'RFQ-Input'!M619)</f>
        <v/>
      </c>
      <c r="N620" s="7" t="str">
        <f>IF('RFQ-Input'!N619="","",'RFQ-Input'!N619)</f>
        <v/>
      </c>
      <c r="O620" s="7" t="str">
        <f>IF('RFQ-Input'!O619="","",'RFQ-Input'!O619)</f>
        <v/>
      </c>
      <c r="Q620" s="7"/>
      <c r="R620" s="7"/>
      <c r="S620" s="7"/>
      <c r="T620" s="7"/>
      <c r="U620" s="7"/>
      <c r="V620" s="7"/>
      <c r="X620" s="7"/>
      <c r="Y620" s="7"/>
      <c r="Z620" s="7"/>
      <c r="AA620" s="7" t="str">
        <f t="shared" si="63"/>
        <v/>
      </c>
      <c r="AB620" s="7"/>
      <c r="AC620" s="7"/>
      <c r="AQ620" s="7" t="str">
        <f t="shared" si="64"/>
        <v/>
      </c>
      <c r="AR620" s="7" t="str">
        <f t="shared" si="65"/>
        <v/>
      </c>
      <c r="AS620" s="7" t="str">
        <f t="shared" si="66"/>
        <v/>
      </c>
      <c r="AT620" s="7" t="str">
        <f t="shared" si="67"/>
        <v/>
      </c>
      <c r="AU620" s="7" t="str">
        <f t="shared" si="68"/>
        <v/>
      </c>
      <c r="AV620" s="7" t="str">
        <f t="shared" si="69"/>
        <v/>
      </c>
      <c r="AW620" s="7" t="str">
        <f>IF('RFQ-Input'!O619="","",'RFQ-Input'!O619)</f>
        <v/>
      </c>
      <c r="AX620" s="7" t="str">
        <f>IF('RFQ-Input'!S619="","",'RFQ-Input'!S619)</f>
        <v/>
      </c>
      <c r="AY620" s="7" t="str">
        <f>IF('RFQ-Input'!V619="","",'RFQ-Input'!V619)</f>
        <v/>
      </c>
      <c r="AZ620" s="7" t="str">
        <f>IF('RFQ-Input'!Y619="","",'RFQ-Input'!Y619)</f>
        <v/>
      </c>
      <c r="BA620" s="7" t="str">
        <f>IF('RFQ-Input'!AB619="","",'RFQ-Input'!AB619)</f>
        <v/>
      </c>
    </row>
    <row r="621" spans="1:53">
      <c r="A621" s="20">
        <v>617</v>
      </c>
      <c r="B621" s="7"/>
      <c r="C621" s="7" t="str">
        <f>IF('RFQ-Input'!C620="","",'RFQ-Input'!C620)</f>
        <v/>
      </c>
      <c r="D621" s="7" t="str">
        <f>IF('RFQ-Input'!D620="","",'RFQ-Input'!D620)</f>
        <v/>
      </c>
      <c r="E621" s="7" t="str">
        <f>IF('RFQ-Input'!E620="","",'RFQ-Input'!E620)</f>
        <v/>
      </c>
      <c r="F621" s="7" t="str">
        <f>IF('RFQ-Input'!F620="","",'RFQ-Input'!F620)</f>
        <v/>
      </c>
      <c r="G621" s="7" t="str">
        <f>IF('RFQ-Input'!G620="","",'RFQ-Input'!G620)</f>
        <v/>
      </c>
      <c r="H621" s="7" t="str">
        <f>IF('RFQ-Input'!H620="","",'RFQ-Input'!H620)</f>
        <v/>
      </c>
      <c r="I621" s="7" t="str">
        <f>IF('RFQ-Input'!I620="","",'RFQ-Input'!I620)</f>
        <v/>
      </c>
      <c r="J621" s="7" t="str">
        <f>IF('RFQ-Input'!J620="","",'RFQ-Input'!J620)</f>
        <v/>
      </c>
      <c r="K621" s="7" t="str">
        <f>IF('RFQ-Input'!K620="","",'RFQ-Input'!K620)</f>
        <v/>
      </c>
      <c r="L621" s="7" t="str">
        <f>IF('RFQ-Input'!L620="","",'RFQ-Input'!L620)</f>
        <v/>
      </c>
      <c r="M621" s="7" t="str">
        <f>IF('RFQ-Input'!M620="","",'RFQ-Input'!M620)</f>
        <v/>
      </c>
      <c r="N621" s="7" t="str">
        <f>IF('RFQ-Input'!N620="","",'RFQ-Input'!N620)</f>
        <v/>
      </c>
      <c r="O621" s="7" t="str">
        <f>IF('RFQ-Input'!O620="","",'RFQ-Input'!O620)</f>
        <v/>
      </c>
      <c r="Q621" s="7"/>
      <c r="R621" s="7"/>
      <c r="S621" s="7"/>
      <c r="T621" s="7"/>
      <c r="U621" s="7"/>
      <c r="V621" s="7"/>
      <c r="X621" s="7"/>
      <c r="Y621" s="7"/>
      <c r="Z621" s="7"/>
      <c r="AA621" s="7" t="str">
        <f t="shared" si="63"/>
        <v/>
      </c>
      <c r="AB621" s="7"/>
      <c r="AC621" s="7"/>
      <c r="AQ621" s="7" t="str">
        <f t="shared" si="64"/>
        <v/>
      </c>
      <c r="AR621" s="7" t="str">
        <f t="shared" si="65"/>
        <v/>
      </c>
      <c r="AS621" s="7" t="str">
        <f t="shared" si="66"/>
        <v/>
      </c>
      <c r="AT621" s="7" t="str">
        <f t="shared" si="67"/>
        <v/>
      </c>
      <c r="AU621" s="7" t="str">
        <f t="shared" si="68"/>
        <v/>
      </c>
      <c r="AV621" s="7" t="str">
        <f t="shared" si="69"/>
        <v/>
      </c>
      <c r="AW621" s="7" t="str">
        <f>IF('RFQ-Input'!O620="","",'RFQ-Input'!O620)</f>
        <v/>
      </c>
      <c r="AX621" s="7" t="str">
        <f>IF('RFQ-Input'!S620="","",'RFQ-Input'!S620)</f>
        <v/>
      </c>
      <c r="AY621" s="7" t="str">
        <f>IF('RFQ-Input'!V620="","",'RFQ-Input'!V620)</f>
        <v/>
      </c>
      <c r="AZ621" s="7" t="str">
        <f>IF('RFQ-Input'!Y620="","",'RFQ-Input'!Y620)</f>
        <v/>
      </c>
      <c r="BA621" s="7" t="str">
        <f>IF('RFQ-Input'!AB620="","",'RFQ-Input'!AB620)</f>
        <v/>
      </c>
    </row>
    <row r="622" spans="1:53">
      <c r="A622" s="20">
        <v>618</v>
      </c>
      <c r="B622" s="7"/>
      <c r="C622" s="7" t="str">
        <f>IF('RFQ-Input'!C621="","",'RFQ-Input'!C621)</f>
        <v/>
      </c>
      <c r="D622" s="7" t="str">
        <f>IF('RFQ-Input'!D621="","",'RFQ-Input'!D621)</f>
        <v/>
      </c>
      <c r="E622" s="7" t="str">
        <f>IF('RFQ-Input'!E621="","",'RFQ-Input'!E621)</f>
        <v/>
      </c>
      <c r="F622" s="7" t="str">
        <f>IF('RFQ-Input'!F621="","",'RFQ-Input'!F621)</f>
        <v/>
      </c>
      <c r="G622" s="7" t="str">
        <f>IF('RFQ-Input'!G621="","",'RFQ-Input'!G621)</f>
        <v/>
      </c>
      <c r="H622" s="7" t="str">
        <f>IF('RFQ-Input'!H621="","",'RFQ-Input'!H621)</f>
        <v/>
      </c>
      <c r="I622" s="7" t="str">
        <f>IF('RFQ-Input'!I621="","",'RFQ-Input'!I621)</f>
        <v/>
      </c>
      <c r="J622" s="7" t="str">
        <f>IF('RFQ-Input'!J621="","",'RFQ-Input'!J621)</f>
        <v/>
      </c>
      <c r="K622" s="7" t="str">
        <f>IF('RFQ-Input'!K621="","",'RFQ-Input'!K621)</f>
        <v/>
      </c>
      <c r="L622" s="7" t="str">
        <f>IF('RFQ-Input'!L621="","",'RFQ-Input'!L621)</f>
        <v/>
      </c>
      <c r="M622" s="7" t="str">
        <f>IF('RFQ-Input'!M621="","",'RFQ-Input'!M621)</f>
        <v/>
      </c>
      <c r="N622" s="7" t="str">
        <f>IF('RFQ-Input'!N621="","",'RFQ-Input'!N621)</f>
        <v/>
      </c>
      <c r="O622" s="7" t="str">
        <f>IF('RFQ-Input'!O621="","",'RFQ-Input'!O621)</f>
        <v/>
      </c>
      <c r="Q622" s="7"/>
      <c r="R622" s="7"/>
      <c r="S622" s="7"/>
      <c r="T622" s="7"/>
      <c r="U622" s="7"/>
      <c r="V622" s="7"/>
      <c r="X622" s="7"/>
      <c r="Y622" s="7"/>
      <c r="Z622" s="7"/>
      <c r="AA622" s="7" t="str">
        <f t="shared" si="63"/>
        <v/>
      </c>
      <c r="AB622" s="7"/>
      <c r="AC622" s="7"/>
      <c r="AQ622" s="7" t="str">
        <f t="shared" si="64"/>
        <v/>
      </c>
      <c r="AR622" s="7" t="str">
        <f t="shared" si="65"/>
        <v/>
      </c>
      <c r="AS622" s="7" t="str">
        <f t="shared" si="66"/>
        <v/>
      </c>
      <c r="AT622" s="7" t="str">
        <f t="shared" si="67"/>
        <v/>
      </c>
      <c r="AU622" s="7" t="str">
        <f t="shared" si="68"/>
        <v/>
      </c>
      <c r="AV622" s="7" t="str">
        <f t="shared" si="69"/>
        <v/>
      </c>
      <c r="AW622" s="7" t="str">
        <f>IF('RFQ-Input'!O621="","",'RFQ-Input'!O621)</f>
        <v/>
      </c>
      <c r="AX622" s="7" t="str">
        <f>IF('RFQ-Input'!S621="","",'RFQ-Input'!S621)</f>
        <v/>
      </c>
      <c r="AY622" s="7" t="str">
        <f>IF('RFQ-Input'!V621="","",'RFQ-Input'!V621)</f>
        <v/>
      </c>
      <c r="AZ622" s="7" t="str">
        <f>IF('RFQ-Input'!Y621="","",'RFQ-Input'!Y621)</f>
        <v/>
      </c>
      <c r="BA622" s="7" t="str">
        <f>IF('RFQ-Input'!AB621="","",'RFQ-Input'!AB621)</f>
        <v/>
      </c>
    </row>
    <row r="623" spans="1:53">
      <c r="A623" s="20">
        <v>619</v>
      </c>
      <c r="B623" s="7"/>
      <c r="C623" s="7" t="str">
        <f>IF('RFQ-Input'!C622="","",'RFQ-Input'!C622)</f>
        <v/>
      </c>
      <c r="D623" s="7" t="str">
        <f>IF('RFQ-Input'!D622="","",'RFQ-Input'!D622)</f>
        <v/>
      </c>
      <c r="E623" s="7" t="str">
        <f>IF('RFQ-Input'!E622="","",'RFQ-Input'!E622)</f>
        <v/>
      </c>
      <c r="F623" s="7" t="str">
        <f>IF('RFQ-Input'!F622="","",'RFQ-Input'!F622)</f>
        <v/>
      </c>
      <c r="G623" s="7" t="str">
        <f>IF('RFQ-Input'!G622="","",'RFQ-Input'!G622)</f>
        <v/>
      </c>
      <c r="H623" s="7" t="str">
        <f>IF('RFQ-Input'!H622="","",'RFQ-Input'!H622)</f>
        <v/>
      </c>
      <c r="I623" s="7" t="str">
        <f>IF('RFQ-Input'!I622="","",'RFQ-Input'!I622)</f>
        <v/>
      </c>
      <c r="J623" s="7" t="str">
        <f>IF('RFQ-Input'!J622="","",'RFQ-Input'!J622)</f>
        <v/>
      </c>
      <c r="K623" s="7" t="str">
        <f>IF('RFQ-Input'!K622="","",'RFQ-Input'!K622)</f>
        <v/>
      </c>
      <c r="L623" s="7" t="str">
        <f>IF('RFQ-Input'!L622="","",'RFQ-Input'!L622)</f>
        <v/>
      </c>
      <c r="M623" s="7" t="str">
        <f>IF('RFQ-Input'!M622="","",'RFQ-Input'!M622)</f>
        <v/>
      </c>
      <c r="N623" s="7" t="str">
        <f>IF('RFQ-Input'!N622="","",'RFQ-Input'!N622)</f>
        <v/>
      </c>
      <c r="O623" s="7" t="str">
        <f>IF('RFQ-Input'!O622="","",'RFQ-Input'!O622)</f>
        <v/>
      </c>
      <c r="Q623" s="7"/>
      <c r="R623" s="7"/>
      <c r="S623" s="7"/>
      <c r="T623" s="7"/>
      <c r="U623" s="7"/>
      <c r="V623" s="7"/>
      <c r="X623" s="7"/>
      <c r="Y623" s="7"/>
      <c r="Z623" s="7"/>
      <c r="AA623" s="7" t="str">
        <f t="shared" si="63"/>
        <v/>
      </c>
      <c r="AB623" s="7"/>
      <c r="AC623" s="7"/>
      <c r="AQ623" s="7" t="str">
        <f t="shared" si="64"/>
        <v/>
      </c>
      <c r="AR623" s="7" t="str">
        <f t="shared" si="65"/>
        <v/>
      </c>
      <c r="AS623" s="7" t="str">
        <f t="shared" si="66"/>
        <v/>
      </c>
      <c r="AT623" s="7" t="str">
        <f t="shared" si="67"/>
        <v/>
      </c>
      <c r="AU623" s="7" t="str">
        <f t="shared" si="68"/>
        <v/>
      </c>
      <c r="AV623" s="7" t="str">
        <f t="shared" si="69"/>
        <v/>
      </c>
      <c r="AW623" s="7" t="str">
        <f>IF('RFQ-Input'!O622="","",'RFQ-Input'!O622)</f>
        <v/>
      </c>
      <c r="AX623" s="7" t="str">
        <f>IF('RFQ-Input'!S622="","",'RFQ-Input'!S622)</f>
        <v/>
      </c>
      <c r="AY623" s="7" t="str">
        <f>IF('RFQ-Input'!V622="","",'RFQ-Input'!V622)</f>
        <v/>
      </c>
      <c r="AZ623" s="7" t="str">
        <f>IF('RFQ-Input'!Y622="","",'RFQ-Input'!Y622)</f>
        <v/>
      </c>
      <c r="BA623" s="7" t="str">
        <f>IF('RFQ-Input'!AB622="","",'RFQ-Input'!AB622)</f>
        <v/>
      </c>
    </row>
    <row r="624" spans="1:53">
      <c r="A624" s="20">
        <v>620</v>
      </c>
      <c r="B624" s="7"/>
      <c r="C624" s="7" t="str">
        <f>IF('RFQ-Input'!C623="","",'RFQ-Input'!C623)</f>
        <v/>
      </c>
      <c r="D624" s="7" t="str">
        <f>IF('RFQ-Input'!D623="","",'RFQ-Input'!D623)</f>
        <v/>
      </c>
      <c r="E624" s="7" t="str">
        <f>IF('RFQ-Input'!E623="","",'RFQ-Input'!E623)</f>
        <v/>
      </c>
      <c r="F624" s="7" t="str">
        <f>IF('RFQ-Input'!F623="","",'RFQ-Input'!F623)</f>
        <v/>
      </c>
      <c r="G624" s="7" t="str">
        <f>IF('RFQ-Input'!G623="","",'RFQ-Input'!G623)</f>
        <v/>
      </c>
      <c r="H624" s="7" t="str">
        <f>IF('RFQ-Input'!H623="","",'RFQ-Input'!H623)</f>
        <v/>
      </c>
      <c r="I624" s="7" t="str">
        <f>IF('RFQ-Input'!I623="","",'RFQ-Input'!I623)</f>
        <v/>
      </c>
      <c r="J624" s="7" t="str">
        <f>IF('RFQ-Input'!J623="","",'RFQ-Input'!J623)</f>
        <v/>
      </c>
      <c r="K624" s="7" t="str">
        <f>IF('RFQ-Input'!K623="","",'RFQ-Input'!K623)</f>
        <v/>
      </c>
      <c r="L624" s="7" t="str">
        <f>IF('RFQ-Input'!L623="","",'RFQ-Input'!L623)</f>
        <v/>
      </c>
      <c r="M624" s="7" t="str">
        <f>IF('RFQ-Input'!M623="","",'RFQ-Input'!M623)</f>
        <v/>
      </c>
      <c r="N624" s="7" t="str">
        <f>IF('RFQ-Input'!N623="","",'RFQ-Input'!N623)</f>
        <v/>
      </c>
      <c r="O624" s="7" t="str">
        <f>IF('RFQ-Input'!O623="","",'RFQ-Input'!O623)</f>
        <v/>
      </c>
      <c r="Q624" s="7"/>
      <c r="R624" s="7"/>
      <c r="S624" s="7"/>
      <c r="T624" s="7"/>
      <c r="U624" s="7"/>
      <c r="V624" s="7"/>
      <c r="X624" s="7"/>
      <c r="Y624" s="7"/>
      <c r="Z624" s="7"/>
      <c r="AA624" s="7" t="str">
        <f t="shared" si="63"/>
        <v/>
      </c>
      <c r="AB624" s="7"/>
      <c r="AC624" s="7"/>
      <c r="AQ624" s="7" t="str">
        <f t="shared" si="64"/>
        <v/>
      </c>
      <c r="AR624" s="7" t="str">
        <f t="shared" si="65"/>
        <v/>
      </c>
      <c r="AS624" s="7" t="str">
        <f t="shared" si="66"/>
        <v/>
      </c>
      <c r="AT624" s="7" t="str">
        <f t="shared" si="67"/>
        <v/>
      </c>
      <c r="AU624" s="7" t="str">
        <f t="shared" si="68"/>
        <v/>
      </c>
      <c r="AV624" s="7" t="str">
        <f t="shared" si="69"/>
        <v/>
      </c>
      <c r="AW624" s="7" t="str">
        <f>IF('RFQ-Input'!O623="","",'RFQ-Input'!O623)</f>
        <v/>
      </c>
      <c r="AX624" s="7" t="str">
        <f>IF('RFQ-Input'!S623="","",'RFQ-Input'!S623)</f>
        <v/>
      </c>
      <c r="AY624" s="7" t="str">
        <f>IF('RFQ-Input'!V623="","",'RFQ-Input'!V623)</f>
        <v/>
      </c>
      <c r="AZ624" s="7" t="str">
        <f>IF('RFQ-Input'!Y623="","",'RFQ-Input'!Y623)</f>
        <v/>
      </c>
      <c r="BA624" s="7" t="str">
        <f>IF('RFQ-Input'!AB623="","",'RFQ-Input'!AB623)</f>
        <v/>
      </c>
    </row>
    <row r="625" spans="1:53">
      <c r="A625" s="20">
        <v>621</v>
      </c>
      <c r="B625" s="7"/>
      <c r="C625" s="7" t="str">
        <f>IF('RFQ-Input'!C624="","",'RFQ-Input'!C624)</f>
        <v/>
      </c>
      <c r="D625" s="7" t="str">
        <f>IF('RFQ-Input'!D624="","",'RFQ-Input'!D624)</f>
        <v/>
      </c>
      <c r="E625" s="7" t="str">
        <f>IF('RFQ-Input'!E624="","",'RFQ-Input'!E624)</f>
        <v/>
      </c>
      <c r="F625" s="7" t="str">
        <f>IF('RFQ-Input'!F624="","",'RFQ-Input'!F624)</f>
        <v/>
      </c>
      <c r="G625" s="7" t="str">
        <f>IF('RFQ-Input'!G624="","",'RFQ-Input'!G624)</f>
        <v/>
      </c>
      <c r="H625" s="7" t="str">
        <f>IF('RFQ-Input'!H624="","",'RFQ-Input'!H624)</f>
        <v/>
      </c>
      <c r="I625" s="7" t="str">
        <f>IF('RFQ-Input'!I624="","",'RFQ-Input'!I624)</f>
        <v/>
      </c>
      <c r="J625" s="7" t="str">
        <f>IF('RFQ-Input'!J624="","",'RFQ-Input'!J624)</f>
        <v/>
      </c>
      <c r="K625" s="7" t="str">
        <f>IF('RFQ-Input'!K624="","",'RFQ-Input'!K624)</f>
        <v/>
      </c>
      <c r="L625" s="7" t="str">
        <f>IF('RFQ-Input'!L624="","",'RFQ-Input'!L624)</f>
        <v/>
      </c>
      <c r="M625" s="7" t="str">
        <f>IF('RFQ-Input'!M624="","",'RFQ-Input'!M624)</f>
        <v/>
      </c>
      <c r="N625" s="7" t="str">
        <f>IF('RFQ-Input'!N624="","",'RFQ-Input'!N624)</f>
        <v/>
      </c>
      <c r="O625" s="7" t="str">
        <f>IF('RFQ-Input'!O624="","",'RFQ-Input'!O624)</f>
        <v/>
      </c>
      <c r="Q625" s="7"/>
      <c r="R625" s="7"/>
      <c r="S625" s="7"/>
      <c r="T625" s="7"/>
      <c r="U625" s="7"/>
      <c r="V625" s="7"/>
      <c r="X625" s="7"/>
      <c r="Y625" s="7"/>
      <c r="Z625" s="7"/>
      <c r="AA625" s="7" t="str">
        <f t="shared" si="63"/>
        <v/>
      </c>
      <c r="AB625" s="7"/>
      <c r="AC625" s="7"/>
      <c r="AQ625" s="7" t="str">
        <f t="shared" si="64"/>
        <v/>
      </c>
      <c r="AR625" s="7" t="str">
        <f t="shared" si="65"/>
        <v/>
      </c>
      <c r="AS625" s="7" t="str">
        <f t="shared" si="66"/>
        <v/>
      </c>
      <c r="AT625" s="7" t="str">
        <f t="shared" si="67"/>
        <v/>
      </c>
      <c r="AU625" s="7" t="str">
        <f t="shared" si="68"/>
        <v/>
      </c>
      <c r="AV625" s="7" t="str">
        <f t="shared" si="69"/>
        <v/>
      </c>
      <c r="AW625" s="7" t="str">
        <f>IF('RFQ-Input'!O624="","",'RFQ-Input'!O624)</f>
        <v/>
      </c>
      <c r="AX625" s="7" t="str">
        <f>IF('RFQ-Input'!S624="","",'RFQ-Input'!S624)</f>
        <v/>
      </c>
      <c r="AY625" s="7" t="str">
        <f>IF('RFQ-Input'!V624="","",'RFQ-Input'!V624)</f>
        <v/>
      </c>
      <c r="AZ625" s="7" t="str">
        <f>IF('RFQ-Input'!Y624="","",'RFQ-Input'!Y624)</f>
        <v/>
      </c>
      <c r="BA625" s="7" t="str">
        <f>IF('RFQ-Input'!AB624="","",'RFQ-Input'!AB624)</f>
        <v/>
      </c>
    </row>
    <row r="626" spans="1:53">
      <c r="A626" s="20">
        <v>622</v>
      </c>
      <c r="B626" s="7"/>
      <c r="C626" s="7" t="str">
        <f>IF('RFQ-Input'!C625="","",'RFQ-Input'!C625)</f>
        <v/>
      </c>
      <c r="D626" s="7" t="str">
        <f>IF('RFQ-Input'!D625="","",'RFQ-Input'!D625)</f>
        <v/>
      </c>
      <c r="E626" s="7" t="str">
        <f>IF('RFQ-Input'!E625="","",'RFQ-Input'!E625)</f>
        <v/>
      </c>
      <c r="F626" s="7" t="str">
        <f>IF('RFQ-Input'!F625="","",'RFQ-Input'!F625)</f>
        <v/>
      </c>
      <c r="G626" s="7" t="str">
        <f>IF('RFQ-Input'!G625="","",'RFQ-Input'!G625)</f>
        <v/>
      </c>
      <c r="H626" s="7" t="str">
        <f>IF('RFQ-Input'!H625="","",'RFQ-Input'!H625)</f>
        <v/>
      </c>
      <c r="I626" s="7" t="str">
        <f>IF('RFQ-Input'!I625="","",'RFQ-Input'!I625)</f>
        <v/>
      </c>
      <c r="J626" s="7" t="str">
        <f>IF('RFQ-Input'!J625="","",'RFQ-Input'!J625)</f>
        <v/>
      </c>
      <c r="K626" s="7" t="str">
        <f>IF('RFQ-Input'!K625="","",'RFQ-Input'!K625)</f>
        <v/>
      </c>
      <c r="L626" s="7" t="str">
        <f>IF('RFQ-Input'!L625="","",'RFQ-Input'!L625)</f>
        <v/>
      </c>
      <c r="M626" s="7" t="str">
        <f>IF('RFQ-Input'!M625="","",'RFQ-Input'!M625)</f>
        <v/>
      </c>
      <c r="N626" s="7" t="str">
        <f>IF('RFQ-Input'!N625="","",'RFQ-Input'!N625)</f>
        <v/>
      </c>
      <c r="O626" s="7" t="str">
        <f>IF('RFQ-Input'!O625="","",'RFQ-Input'!O625)</f>
        <v/>
      </c>
      <c r="Q626" s="7"/>
      <c r="R626" s="7"/>
      <c r="S626" s="7"/>
      <c r="T626" s="7"/>
      <c r="U626" s="7"/>
      <c r="V626" s="7"/>
      <c r="X626" s="7"/>
      <c r="Y626" s="7"/>
      <c r="Z626" s="7"/>
      <c r="AA626" s="7" t="str">
        <f t="shared" si="63"/>
        <v/>
      </c>
      <c r="AB626" s="7"/>
      <c r="AC626" s="7"/>
      <c r="AQ626" s="7" t="str">
        <f t="shared" si="64"/>
        <v/>
      </c>
      <c r="AR626" s="7" t="str">
        <f t="shared" si="65"/>
        <v/>
      </c>
      <c r="AS626" s="7" t="str">
        <f t="shared" si="66"/>
        <v/>
      </c>
      <c r="AT626" s="7" t="str">
        <f t="shared" si="67"/>
        <v/>
      </c>
      <c r="AU626" s="7" t="str">
        <f t="shared" si="68"/>
        <v/>
      </c>
      <c r="AV626" s="7" t="str">
        <f t="shared" si="69"/>
        <v/>
      </c>
      <c r="AW626" s="7" t="str">
        <f>IF('RFQ-Input'!O625="","",'RFQ-Input'!O625)</f>
        <v/>
      </c>
      <c r="AX626" s="7" t="str">
        <f>IF('RFQ-Input'!S625="","",'RFQ-Input'!S625)</f>
        <v/>
      </c>
      <c r="AY626" s="7" t="str">
        <f>IF('RFQ-Input'!V625="","",'RFQ-Input'!V625)</f>
        <v/>
      </c>
      <c r="AZ626" s="7" t="str">
        <f>IF('RFQ-Input'!Y625="","",'RFQ-Input'!Y625)</f>
        <v/>
      </c>
      <c r="BA626" s="7" t="str">
        <f>IF('RFQ-Input'!AB625="","",'RFQ-Input'!AB625)</f>
        <v/>
      </c>
    </row>
    <row r="627" spans="1:53">
      <c r="A627" s="20">
        <v>623</v>
      </c>
      <c r="B627" s="7"/>
      <c r="C627" s="7" t="str">
        <f>IF('RFQ-Input'!C626="","",'RFQ-Input'!C626)</f>
        <v/>
      </c>
      <c r="D627" s="7" t="str">
        <f>IF('RFQ-Input'!D626="","",'RFQ-Input'!D626)</f>
        <v/>
      </c>
      <c r="E627" s="7" t="str">
        <f>IF('RFQ-Input'!E626="","",'RFQ-Input'!E626)</f>
        <v/>
      </c>
      <c r="F627" s="7" t="str">
        <f>IF('RFQ-Input'!F626="","",'RFQ-Input'!F626)</f>
        <v/>
      </c>
      <c r="G627" s="7" t="str">
        <f>IF('RFQ-Input'!G626="","",'RFQ-Input'!G626)</f>
        <v/>
      </c>
      <c r="H627" s="7" t="str">
        <f>IF('RFQ-Input'!H626="","",'RFQ-Input'!H626)</f>
        <v/>
      </c>
      <c r="I627" s="7" t="str">
        <f>IF('RFQ-Input'!I626="","",'RFQ-Input'!I626)</f>
        <v/>
      </c>
      <c r="J627" s="7" t="str">
        <f>IF('RFQ-Input'!J626="","",'RFQ-Input'!J626)</f>
        <v/>
      </c>
      <c r="K627" s="7" t="str">
        <f>IF('RFQ-Input'!K626="","",'RFQ-Input'!K626)</f>
        <v/>
      </c>
      <c r="L627" s="7" t="str">
        <f>IF('RFQ-Input'!L626="","",'RFQ-Input'!L626)</f>
        <v/>
      </c>
      <c r="M627" s="7" t="str">
        <f>IF('RFQ-Input'!M626="","",'RFQ-Input'!M626)</f>
        <v/>
      </c>
      <c r="N627" s="7" t="str">
        <f>IF('RFQ-Input'!N626="","",'RFQ-Input'!N626)</f>
        <v/>
      </c>
      <c r="O627" s="7" t="str">
        <f>IF('RFQ-Input'!O626="","",'RFQ-Input'!O626)</f>
        <v/>
      </c>
      <c r="Q627" s="7"/>
      <c r="R627" s="7"/>
      <c r="S627" s="7"/>
      <c r="T627" s="7"/>
      <c r="U627" s="7"/>
      <c r="V627" s="7"/>
      <c r="X627" s="7"/>
      <c r="Y627" s="7"/>
      <c r="Z627" s="7"/>
      <c r="AA627" s="7" t="str">
        <f t="shared" si="63"/>
        <v/>
      </c>
      <c r="AB627" s="7"/>
      <c r="AC627" s="7"/>
      <c r="AQ627" s="7" t="str">
        <f t="shared" si="64"/>
        <v/>
      </c>
      <c r="AR627" s="7" t="str">
        <f t="shared" si="65"/>
        <v/>
      </c>
      <c r="AS627" s="7" t="str">
        <f t="shared" si="66"/>
        <v/>
      </c>
      <c r="AT627" s="7" t="str">
        <f t="shared" si="67"/>
        <v/>
      </c>
      <c r="AU627" s="7" t="str">
        <f t="shared" si="68"/>
        <v/>
      </c>
      <c r="AV627" s="7" t="str">
        <f t="shared" si="69"/>
        <v/>
      </c>
      <c r="AW627" s="7" t="str">
        <f>IF('RFQ-Input'!O626="","",'RFQ-Input'!O626)</f>
        <v/>
      </c>
      <c r="AX627" s="7" t="str">
        <f>IF('RFQ-Input'!S626="","",'RFQ-Input'!S626)</f>
        <v/>
      </c>
      <c r="AY627" s="7" t="str">
        <f>IF('RFQ-Input'!V626="","",'RFQ-Input'!V626)</f>
        <v/>
      </c>
      <c r="AZ627" s="7" t="str">
        <f>IF('RFQ-Input'!Y626="","",'RFQ-Input'!Y626)</f>
        <v/>
      </c>
      <c r="BA627" s="7" t="str">
        <f>IF('RFQ-Input'!AB626="","",'RFQ-Input'!AB626)</f>
        <v/>
      </c>
    </row>
    <row r="628" spans="1:53">
      <c r="A628" s="20">
        <v>624</v>
      </c>
      <c r="B628" s="7"/>
      <c r="C628" s="7" t="str">
        <f>IF('RFQ-Input'!C627="","",'RFQ-Input'!C627)</f>
        <v/>
      </c>
      <c r="D628" s="7" t="str">
        <f>IF('RFQ-Input'!D627="","",'RFQ-Input'!D627)</f>
        <v/>
      </c>
      <c r="E628" s="7" t="str">
        <f>IF('RFQ-Input'!E627="","",'RFQ-Input'!E627)</f>
        <v/>
      </c>
      <c r="F628" s="7" t="str">
        <f>IF('RFQ-Input'!F627="","",'RFQ-Input'!F627)</f>
        <v/>
      </c>
      <c r="G628" s="7" t="str">
        <f>IF('RFQ-Input'!G627="","",'RFQ-Input'!G627)</f>
        <v/>
      </c>
      <c r="H628" s="7" t="str">
        <f>IF('RFQ-Input'!H627="","",'RFQ-Input'!H627)</f>
        <v/>
      </c>
      <c r="I628" s="7" t="str">
        <f>IF('RFQ-Input'!I627="","",'RFQ-Input'!I627)</f>
        <v/>
      </c>
      <c r="J628" s="7" t="str">
        <f>IF('RFQ-Input'!J627="","",'RFQ-Input'!J627)</f>
        <v/>
      </c>
      <c r="K628" s="7" t="str">
        <f>IF('RFQ-Input'!K627="","",'RFQ-Input'!K627)</f>
        <v/>
      </c>
      <c r="L628" s="7" t="str">
        <f>IF('RFQ-Input'!L627="","",'RFQ-Input'!L627)</f>
        <v/>
      </c>
      <c r="M628" s="7" t="str">
        <f>IF('RFQ-Input'!M627="","",'RFQ-Input'!M627)</f>
        <v/>
      </c>
      <c r="N628" s="7" t="str">
        <f>IF('RFQ-Input'!N627="","",'RFQ-Input'!N627)</f>
        <v/>
      </c>
      <c r="O628" s="7" t="str">
        <f>IF('RFQ-Input'!O627="","",'RFQ-Input'!O627)</f>
        <v/>
      </c>
      <c r="Q628" s="7"/>
      <c r="R628" s="7"/>
      <c r="S628" s="7"/>
      <c r="T628" s="7"/>
      <c r="U628" s="7"/>
      <c r="V628" s="7"/>
      <c r="X628" s="7"/>
      <c r="Y628" s="7"/>
      <c r="Z628" s="7"/>
      <c r="AA628" s="7" t="str">
        <f t="shared" si="63"/>
        <v/>
      </c>
      <c r="AB628" s="7"/>
      <c r="AC628" s="7"/>
      <c r="AQ628" s="7" t="str">
        <f t="shared" si="64"/>
        <v/>
      </c>
      <c r="AR628" s="7" t="str">
        <f t="shared" si="65"/>
        <v/>
      </c>
      <c r="AS628" s="7" t="str">
        <f t="shared" si="66"/>
        <v/>
      </c>
      <c r="AT628" s="7" t="str">
        <f t="shared" si="67"/>
        <v/>
      </c>
      <c r="AU628" s="7" t="str">
        <f t="shared" si="68"/>
        <v/>
      </c>
      <c r="AV628" s="7" t="str">
        <f t="shared" si="69"/>
        <v/>
      </c>
      <c r="AW628" s="7" t="str">
        <f>IF('RFQ-Input'!O627="","",'RFQ-Input'!O627)</f>
        <v/>
      </c>
      <c r="AX628" s="7" t="str">
        <f>IF('RFQ-Input'!S627="","",'RFQ-Input'!S627)</f>
        <v/>
      </c>
      <c r="AY628" s="7" t="str">
        <f>IF('RFQ-Input'!V627="","",'RFQ-Input'!V627)</f>
        <v/>
      </c>
      <c r="AZ628" s="7" t="str">
        <f>IF('RFQ-Input'!Y627="","",'RFQ-Input'!Y627)</f>
        <v/>
      </c>
      <c r="BA628" s="7" t="str">
        <f>IF('RFQ-Input'!AB627="","",'RFQ-Input'!AB627)</f>
        <v/>
      </c>
    </row>
    <row r="629" spans="1:53">
      <c r="A629" s="20">
        <v>625</v>
      </c>
      <c r="B629" s="7"/>
      <c r="C629" s="7" t="str">
        <f>IF('RFQ-Input'!C628="","",'RFQ-Input'!C628)</f>
        <v/>
      </c>
      <c r="D629" s="7" t="str">
        <f>IF('RFQ-Input'!D628="","",'RFQ-Input'!D628)</f>
        <v/>
      </c>
      <c r="E629" s="7" t="str">
        <f>IF('RFQ-Input'!E628="","",'RFQ-Input'!E628)</f>
        <v/>
      </c>
      <c r="F629" s="7" t="str">
        <f>IF('RFQ-Input'!F628="","",'RFQ-Input'!F628)</f>
        <v/>
      </c>
      <c r="G629" s="7" t="str">
        <f>IF('RFQ-Input'!G628="","",'RFQ-Input'!G628)</f>
        <v/>
      </c>
      <c r="H629" s="7" t="str">
        <f>IF('RFQ-Input'!H628="","",'RFQ-Input'!H628)</f>
        <v/>
      </c>
      <c r="I629" s="7" t="str">
        <f>IF('RFQ-Input'!I628="","",'RFQ-Input'!I628)</f>
        <v/>
      </c>
      <c r="J629" s="7" t="str">
        <f>IF('RFQ-Input'!J628="","",'RFQ-Input'!J628)</f>
        <v/>
      </c>
      <c r="K629" s="7" t="str">
        <f>IF('RFQ-Input'!K628="","",'RFQ-Input'!K628)</f>
        <v/>
      </c>
      <c r="L629" s="7" t="str">
        <f>IF('RFQ-Input'!L628="","",'RFQ-Input'!L628)</f>
        <v/>
      </c>
      <c r="M629" s="7" t="str">
        <f>IF('RFQ-Input'!M628="","",'RFQ-Input'!M628)</f>
        <v/>
      </c>
      <c r="N629" s="7" t="str">
        <f>IF('RFQ-Input'!N628="","",'RFQ-Input'!N628)</f>
        <v/>
      </c>
      <c r="O629" s="7" t="str">
        <f>IF('RFQ-Input'!O628="","",'RFQ-Input'!O628)</f>
        <v/>
      </c>
      <c r="Q629" s="7"/>
      <c r="R629" s="7"/>
      <c r="S629" s="7"/>
      <c r="T629" s="7"/>
      <c r="U629" s="7"/>
      <c r="V629" s="7"/>
      <c r="X629" s="7"/>
      <c r="Y629" s="7"/>
      <c r="Z629" s="7"/>
      <c r="AA629" s="7" t="str">
        <f t="shared" si="63"/>
        <v/>
      </c>
      <c r="AB629" s="7"/>
      <c r="AC629" s="7"/>
      <c r="AQ629" s="7" t="str">
        <f t="shared" si="64"/>
        <v/>
      </c>
      <c r="AR629" s="7" t="str">
        <f t="shared" si="65"/>
        <v/>
      </c>
      <c r="AS629" s="7" t="str">
        <f t="shared" si="66"/>
        <v/>
      </c>
      <c r="AT629" s="7" t="str">
        <f t="shared" si="67"/>
        <v/>
      </c>
      <c r="AU629" s="7" t="str">
        <f t="shared" si="68"/>
        <v/>
      </c>
      <c r="AV629" s="7" t="str">
        <f t="shared" si="69"/>
        <v/>
      </c>
      <c r="AW629" s="7" t="str">
        <f>IF('RFQ-Input'!O628="","",'RFQ-Input'!O628)</f>
        <v/>
      </c>
      <c r="AX629" s="7" t="str">
        <f>IF('RFQ-Input'!S628="","",'RFQ-Input'!S628)</f>
        <v/>
      </c>
      <c r="AY629" s="7" t="str">
        <f>IF('RFQ-Input'!V628="","",'RFQ-Input'!V628)</f>
        <v/>
      </c>
      <c r="AZ629" s="7" t="str">
        <f>IF('RFQ-Input'!Y628="","",'RFQ-Input'!Y628)</f>
        <v/>
      </c>
      <c r="BA629" s="7" t="str">
        <f>IF('RFQ-Input'!AB628="","",'RFQ-Input'!AB628)</f>
        <v/>
      </c>
    </row>
    <row r="630" spans="1:53">
      <c r="A630" s="20">
        <v>626</v>
      </c>
      <c r="B630" s="7"/>
      <c r="C630" s="7" t="str">
        <f>IF('RFQ-Input'!C629="","",'RFQ-Input'!C629)</f>
        <v/>
      </c>
      <c r="D630" s="7" t="str">
        <f>IF('RFQ-Input'!D629="","",'RFQ-Input'!D629)</f>
        <v/>
      </c>
      <c r="E630" s="7" t="str">
        <f>IF('RFQ-Input'!E629="","",'RFQ-Input'!E629)</f>
        <v/>
      </c>
      <c r="F630" s="7" t="str">
        <f>IF('RFQ-Input'!F629="","",'RFQ-Input'!F629)</f>
        <v/>
      </c>
      <c r="G630" s="7" t="str">
        <f>IF('RFQ-Input'!G629="","",'RFQ-Input'!G629)</f>
        <v/>
      </c>
      <c r="H630" s="7" t="str">
        <f>IF('RFQ-Input'!H629="","",'RFQ-Input'!H629)</f>
        <v/>
      </c>
      <c r="I630" s="7" t="str">
        <f>IF('RFQ-Input'!I629="","",'RFQ-Input'!I629)</f>
        <v/>
      </c>
      <c r="J630" s="7" t="str">
        <f>IF('RFQ-Input'!J629="","",'RFQ-Input'!J629)</f>
        <v/>
      </c>
      <c r="K630" s="7" t="str">
        <f>IF('RFQ-Input'!K629="","",'RFQ-Input'!K629)</f>
        <v/>
      </c>
      <c r="L630" s="7" t="str">
        <f>IF('RFQ-Input'!L629="","",'RFQ-Input'!L629)</f>
        <v/>
      </c>
      <c r="M630" s="7" t="str">
        <f>IF('RFQ-Input'!M629="","",'RFQ-Input'!M629)</f>
        <v/>
      </c>
      <c r="N630" s="7" t="str">
        <f>IF('RFQ-Input'!N629="","",'RFQ-Input'!N629)</f>
        <v/>
      </c>
      <c r="O630" s="7" t="str">
        <f>IF('RFQ-Input'!O629="","",'RFQ-Input'!O629)</f>
        <v/>
      </c>
      <c r="Q630" s="7"/>
      <c r="R630" s="7"/>
      <c r="S630" s="7"/>
      <c r="T630" s="7"/>
      <c r="U630" s="7"/>
      <c r="V630" s="7"/>
      <c r="X630" s="7"/>
      <c r="Y630" s="7"/>
      <c r="Z630" s="7"/>
      <c r="AA630" s="7" t="str">
        <f t="shared" si="63"/>
        <v/>
      </c>
      <c r="AB630" s="7"/>
      <c r="AC630" s="7"/>
      <c r="AQ630" s="7" t="str">
        <f t="shared" si="64"/>
        <v/>
      </c>
      <c r="AR630" s="7" t="str">
        <f t="shared" si="65"/>
        <v/>
      </c>
      <c r="AS630" s="7" t="str">
        <f t="shared" si="66"/>
        <v/>
      </c>
      <c r="AT630" s="7" t="str">
        <f t="shared" si="67"/>
        <v/>
      </c>
      <c r="AU630" s="7" t="str">
        <f t="shared" si="68"/>
        <v/>
      </c>
      <c r="AV630" s="7" t="str">
        <f t="shared" si="69"/>
        <v/>
      </c>
      <c r="AW630" s="7" t="str">
        <f>IF('RFQ-Input'!O629="","",'RFQ-Input'!O629)</f>
        <v/>
      </c>
      <c r="AX630" s="7" t="str">
        <f>IF('RFQ-Input'!S629="","",'RFQ-Input'!S629)</f>
        <v/>
      </c>
      <c r="AY630" s="7" t="str">
        <f>IF('RFQ-Input'!V629="","",'RFQ-Input'!V629)</f>
        <v/>
      </c>
      <c r="AZ630" s="7" t="str">
        <f>IF('RFQ-Input'!Y629="","",'RFQ-Input'!Y629)</f>
        <v/>
      </c>
      <c r="BA630" s="7" t="str">
        <f>IF('RFQ-Input'!AB629="","",'RFQ-Input'!AB629)</f>
        <v/>
      </c>
    </row>
    <row r="631" spans="1:53">
      <c r="A631" s="20">
        <v>627</v>
      </c>
      <c r="B631" s="7"/>
      <c r="C631" s="7" t="str">
        <f>IF('RFQ-Input'!C630="","",'RFQ-Input'!C630)</f>
        <v/>
      </c>
      <c r="D631" s="7" t="str">
        <f>IF('RFQ-Input'!D630="","",'RFQ-Input'!D630)</f>
        <v/>
      </c>
      <c r="E631" s="7" t="str">
        <f>IF('RFQ-Input'!E630="","",'RFQ-Input'!E630)</f>
        <v/>
      </c>
      <c r="F631" s="7" t="str">
        <f>IF('RFQ-Input'!F630="","",'RFQ-Input'!F630)</f>
        <v/>
      </c>
      <c r="G631" s="7" t="str">
        <f>IF('RFQ-Input'!G630="","",'RFQ-Input'!G630)</f>
        <v/>
      </c>
      <c r="H631" s="7" t="str">
        <f>IF('RFQ-Input'!H630="","",'RFQ-Input'!H630)</f>
        <v/>
      </c>
      <c r="I631" s="7" t="str">
        <f>IF('RFQ-Input'!I630="","",'RFQ-Input'!I630)</f>
        <v/>
      </c>
      <c r="J631" s="7" t="str">
        <f>IF('RFQ-Input'!J630="","",'RFQ-Input'!J630)</f>
        <v/>
      </c>
      <c r="K631" s="7" t="str">
        <f>IF('RFQ-Input'!K630="","",'RFQ-Input'!K630)</f>
        <v/>
      </c>
      <c r="L631" s="7" t="str">
        <f>IF('RFQ-Input'!L630="","",'RFQ-Input'!L630)</f>
        <v/>
      </c>
      <c r="M631" s="7" t="str">
        <f>IF('RFQ-Input'!M630="","",'RFQ-Input'!M630)</f>
        <v/>
      </c>
      <c r="N631" s="7" t="str">
        <f>IF('RFQ-Input'!N630="","",'RFQ-Input'!N630)</f>
        <v/>
      </c>
      <c r="O631" s="7" t="str">
        <f>IF('RFQ-Input'!O630="","",'RFQ-Input'!O630)</f>
        <v/>
      </c>
      <c r="Q631" s="7"/>
      <c r="R631" s="7"/>
      <c r="S631" s="7"/>
      <c r="T631" s="7"/>
      <c r="U631" s="7"/>
      <c r="V631" s="7"/>
      <c r="X631" s="7"/>
      <c r="Y631" s="7"/>
      <c r="Z631" s="7"/>
      <c r="AA631" s="7" t="str">
        <f t="shared" si="63"/>
        <v/>
      </c>
      <c r="AB631" s="7"/>
      <c r="AC631" s="7"/>
      <c r="AQ631" s="7" t="str">
        <f t="shared" si="64"/>
        <v/>
      </c>
      <c r="AR631" s="7" t="str">
        <f t="shared" si="65"/>
        <v/>
      </c>
      <c r="AS631" s="7" t="str">
        <f t="shared" si="66"/>
        <v/>
      </c>
      <c r="AT631" s="7" t="str">
        <f t="shared" si="67"/>
        <v/>
      </c>
      <c r="AU631" s="7" t="str">
        <f t="shared" si="68"/>
        <v/>
      </c>
      <c r="AV631" s="7" t="str">
        <f t="shared" si="69"/>
        <v/>
      </c>
      <c r="AW631" s="7" t="str">
        <f>IF('RFQ-Input'!O630="","",'RFQ-Input'!O630)</f>
        <v/>
      </c>
      <c r="AX631" s="7" t="str">
        <f>IF('RFQ-Input'!S630="","",'RFQ-Input'!S630)</f>
        <v/>
      </c>
      <c r="AY631" s="7" t="str">
        <f>IF('RFQ-Input'!V630="","",'RFQ-Input'!V630)</f>
        <v/>
      </c>
      <c r="AZ631" s="7" t="str">
        <f>IF('RFQ-Input'!Y630="","",'RFQ-Input'!Y630)</f>
        <v/>
      </c>
      <c r="BA631" s="7" t="str">
        <f>IF('RFQ-Input'!AB630="","",'RFQ-Input'!AB630)</f>
        <v/>
      </c>
    </row>
    <row r="632" spans="1:53">
      <c r="A632" s="20">
        <v>628</v>
      </c>
      <c r="B632" s="7"/>
      <c r="C632" s="7" t="str">
        <f>IF('RFQ-Input'!C631="","",'RFQ-Input'!C631)</f>
        <v/>
      </c>
      <c r="D632" s="7" t="str">
        <f>IF('RFQ-Input'!D631="","",'RFQ-Input'!D631)</f>
        <v/>
      </c>
      <c r="E632" s="7" t="str">
        <f>IF('RFQ-Input'!E631="","",'RFQ-Input'!E631)</f>
        <v/>
      </c>
      <c r="F632" s="7" t="str">
        <f>IF('RFQ-Input'!F631="","",'RFQ-Input'!F631)</f>
        <v/>
      </c>
      <c r="G632" s="7" t="str">
        <f>IF('RFQ-Input'!G631="","",'RFQ-Input'!G631)</f>
        <v/>
      </c>
      <c r="H632" s="7" t="str">
        <f>IF('RFQ-Input'!H631="","",'RFQ-Input'!H631)</f>
        <v/>
      </c>
      <c r="I632" s="7" t="str">
        <f>IF('RFQ-Input'!I631="","",'RFQ-Input'!I631)</f>
        <v/>
      </c>
      <c r="J632" s="7" t="str">
        <f>IF('RFQ-Input'!J631="","",'RFQ-Input'!J631)</f>
        <v/>
      </c>
      <c r="K632" s="7" t="str">
        <f>IF('RFQ-Input'!K631="","",'RFQ-Input'!K631)</f>
        <v/>
      </c>
      <c r="L632" s="7" t="str">
        <f>IF('RFQ-Input'!L631="","",'RFQ-Input'!L631)</f>
        <v/>
      </c>
      <c r="M632" s="7" t="str">
        <f>IF('RFQ-Input'!M631="","",'RFQ-Input'!M631)</f>
        <v/>
      </c>
      <c r="N632" s="7" t="str">
        <f>IF('RFQ-Input'!N631="","",'RFQ-Input'!N631)</f>
        <v/>
      </c>
      <c r="O632" s="7" t="str">
        <f>IF('RFQ-Input'!O631="","",'RFQ-Input'!O631)</f>
        <v/>
      </c>
      <c r="Q632" s="7"/>
      <c r="R632" s="7"/>
      <c r="S632" s="7"/>
      <c r="T632" s="7"/>
      <c r="U632" s="7"/>
      <c r="V632" s="7"/>
      <c r="X632" s="7"/>
      <c r="Y632" s="7"/>
      <c r="Z632" s="7"/>
      <c r="AA632" s="7" t="str">
        <f t="shared" si="63"/>
        <v/>
      </c>
      <c r="AB632" s="7"/>
      <c r="AC632" s="7"/>
      <c r="AQ632" s="7" t="str">
        <f t="shared" si="64"/>
        <v/>
      </c>
      <c r="AR632" s="7" t="str">
        <f t="shared" si="65"/>
        <v/>
      </c>
      <c r="AS632" s="7" t="str">
        <f t="shared" si="66"/>
        <v/>
      </c>
      <c r="AT632" s="7" t="str">
        <f t="shared" si="67"/>
        <v/>
      </c>
      <c r="AU632" s="7" t="str">
        <f t="shared" si="68"/>
        <v/>
      </c>
      <c r="AV632" s="7" t="str">
        <f t="shared" si="69"/>
        <v/>
      </c>
      <c r="AW632" s="7" t="str">
        <f>IF('RFQ-Input'!O631="","",'RFQ-Input'!O631)</f>
        <v/>
      </c>
      <c r="AX632" s="7" t="str">
        <f>IF('RFQ-Input'!S631="","",'RFQ-Input'!S631)</f>
        <v/>
      </c>
      <c r="AY632" s="7" t="str">
        <f>IF('RFQ-Input'!V631="","",'RFQ-Input'!V631)</f>
        <v/>
      </c>
      <c r="AZ632" s="7" t="str">
        <f>IF('RFQ-Input'!Y631="","",'RFQ-Input'!Y631)</f>
        <v/>
      </c>
      <c r="BA632" s="7" t="str">
        <f>IF('RFQ-Input'!AB631="","",'RFQ-Input'!AB631)</f>
        <v/>
      </c>
    </row>
    <row r="633" spans="1:53">
      <c r="A633" s="20">
        <v>629</v>
      </c>
      <c r="B633" s="7"/>
      <c r="C633" s="7" t="str">
        <f>IF('RFQ-Input'!C632="","",'RFQ-Input'!C632)</f>
        <v/>
      </c>
      <c r="D633" s="7" t="str">
        <f>IF('RFQ-Input'!D632="","",'RFQ-Input'!D632)</f>
        <v/>
      </c>
      <c r="E633" s="7" t="str">
        <f>IF('RFQ-Input'!E632="","",'RFQ-Input'!E632)</f>
        <v/>
      </c>
      <c r="F633" s="7" t="str">
        <f>IF('RFQ-Input'!F632="","",'RFQ-Input'!F632)</f>
        <v/>
      </c>
      <c r="G633" s="7" t="str">
        <f>IF('RFQ-Input'!G632="","",'RFQ-Input'!G632)</f>
        <v/>
      </c>
      <c r="H633" s="7" t="str">
        <f>IF('RFQ-Input'!H632="","",'RFQ-Input'!H632)</f>
        <v/>
      </c>
      <c r="I633" s="7" t="str">
        <f>IF('RFQ-Input'!I632="","",'RFQ-Input'!I632)</f>
        <v/>
      </c>
      <c r="J633" s="7" t="str">
        <f>IF('RFQ-Input'!J632="","",'RFQ-Input'!J632)</f>
        <v/>
      </c>
      <c r="K633" s="7" t="str">
        <f>IF('RFQ-Input'!K632="","",'RFQ-Input'!K632)</f>
        <v/>
      </c>
      <c r="L633" s="7" t="str">
        <f>IF('RFQ-Input'!L632="","",'RFQ-Input'!L632)</f>
        <v/>
      </c>
      <c r="M633" s="7" t="str">
        <f>IF('RFQ-Input'!M632="","",'RFQ-Input'!M632)</f>
        <v/>
      </c>
      <c r="N633" s="7" t="str">
        <f>IF('RFQ-Input'!N632="","",'RFQ-Input'!N632)</f>
        <v/>
      </c>
      <c r="O633" s="7" t="str">
        <f>IF('RFQ-Input'!O632="","",'RFQ-Input'!O632)</f>
        <v/>
      </c>
      <c r="Q633" s="7"/>
      <c r="R633" s="7"/>
      <c r="S633" s="7"/>
      <c r="T633" s="7"/>
      <c r="U633" s="7"/>
      <c r="V633" s="7"/>
      <c r="X633" s="7"/>
      <c r="Y633" s="7"/>
      <c r="Z633" s="7"/>
      <c r="AA633" s="7" t="str">
        <f t="shared" si="63"/>
        <v/>
      </c>
      <c r="AB633" s="7"/>
      <c r="AC633" s="7"/>
      <c r="AQ633" s="7" t="str">
        <f t="shared" si="64"/>
        <v/>
      </c>
      <c r="AR633" s="7" t="str">
        <f t="shared" si="65"/>
        <v/>
      </c>
      <c r="AS633" s="7" t="str">
        <f t="shared" si="66"/>
        <v/>
      </c>
      <c r="AT633" s="7" t="str">
        <f t="shared" si="67"/>
        <v/>
      </c>
      <c r="AU633" s="7" t="str">
        <f t="shared" si="68"/>
        <v/>
      </c>
      <c r="AV633" s="7" t="str">
        <f t="shared" si="69"/>
        <v/>
      </c>
      <c r="AW633" s="7" t="str">
        <f>IF('RFQ-Input'!O632="","",'RFQ-Input'!O632)</f>
        <v/>
      </c>
      <c r="AX633" s="7" t="str">
        <f>IF('RFQ-Input'!S632="","",'RFQ-Input'!S632)</f>
        <v/>
      </c>
      <c r="AY633" s="7" t="str">
        <f>IF('RFQ-Input'!V632="","",'RFQ-Input'!V632)</f>
        <v/>
      </c>
      <c r="AZ633" s="7" t="str">
        <f>IF('RFQ-Input'!Y632="","",'RFQ-Input'!Y632)</f>
        <v/>
      </c>
      <c r="BA633" s="7" t="str">
        <f>IF('RFQ-Input'!AB632="","",'RFQ-Input'!AB632)</f>
        <v/>
      </c>
    </row>
    <row r="634" spans="1:53">
      <c r="A634" s="20">
        <v>630</v>
      </c>
      <c r="B634" s="7"/>
      <c r="C634" s="7" t="str">
        <f>IF('RFQ-Input'!C633="","",'RFQ-Input'!C633)</f>
        <v/>
      </c>
      <c r="D634" s="7" t="str">
        <f>IF('RFQ-Input'!D633="","",'RFQ-Input'!D633)</f>
        <v/>
      </c>
      <c r="E634" s="7" t="str">
        <f>IF('RFQ-Input'!E633="","",'RFQ-Input'!E633)</f>
        <v/>
      </c>
      <c r="F634" s="7" t="str">
        <f>IF('RFQ-Input'!F633="","",'RFQ-Input'!F633)</f>
        <v/>
      </c>
      <c r="G634" s="7" t="str">
        <f>IF('RFQ-Input'!G633="","",'RFQ-Input'!G633)</f>
        <v/>
      </c>
      <c r="H634" s="7" t="str">
        <f>IF('RFQ-Input'!H633="","",'RFQ-Input'!H633)</f>
        <v/>
      </c>
      <c r="I634" s="7" t="str">
        <f>IF('RFQ-Input'!I633="","",'RFQ-Input'!I633)</f>
        <v/>
      </c>
      <c r="J634" s="7" t="str">
        <f>IF('RFQ-Input'!J633="","",'RFQ-Input'!J633)</f>
        <v/>
      </c>
      <c r="K634" s="7" t="str">
        <f>IF('RFQ-Input'!K633="","",'RFQ-Input'!K633)</f>
        <v/>
      </c>
      <c r="L634" s="7" t="str">
        <f>IF('RFQ-Input'!L633="","",'RFQ-Input'!L633)</f>
        <v/>
      </c>
      <c r="M634" s="7" t="str">
        <f>IF('RFQ-Input'!M633="","",'RFQ-Input'!M633)</f>
        <v/>
      </c>
      <c r="N634" s="7" t="str">
        <f>IF('RFQ-Input'!N633="","",'RFQ-Input'!N633)</f>
        <v/>
      </c>
      <c r="O634" s="7" t="str">
        <f>IF('RFQ-Input'!O633="","",'RFQ-Input'!O633)</f>
        <v/>
      </c>
      <c r="Q634" s="7"/>
      <c r="R634" s="7"/>
      <c r="S634" s="7"/>
      <c r="T634" s="7"/>
      <c r="U634" s="7"/>
      <c r="V634" s="7"/>
      <c r="X634" s="7"/>
      <c r="Y634" s="7"/>
      <c r="Z634" s="7"/>
      <c r="AA634" s="7" t="str">
        <f t="shared" si="63"/>
        <v/>
      </c>
      <c r="AB634" s="7"/>
      <c r="AC634" s="7"/>
      <c r="AQ634" s="7" t="str">
        <f t="shared" si="64"/>
        <v/>
      </c>
      <c r="AR634" s="7" t="str">
        <f t="shared" si="65"/>
        <v/>
      </c>
      <c r="AS634" s="7" t="str">
        <f t="shared" si="66"/>
        <v/>
      </c>
      <c r="AT634" s="7" t="str">
        <f t="shared" si="67"/>
        <v/>
      </c>
      <c r="AU634" s="7" t="str">
        <f t="shared" si="68"/>
        <v/>
      </c>
      <c r="AV634" s="7" t="str">
        <f t="shared" si="69"/>
        <v/>
      </c>
      <c r="AW634" s="7" t="str">
        <f>IF('RFQ-Input'!O633="","",'RFQ-Input'!O633)</f>
        <v/>
      </c>
      <c r="AX634" s="7" t="str">
        <f>IF('RFQ-Input'!S633="","",'RFQ-Input'!S633)</f>
        <v/>
      </c>
      <c r="AY634" s="7" t="str">
        <f>IF('RFQ-Input'!V633="","",'RFQ-Input'!V633)</f>
        <v/>
      </c>
      <c r="AZ634" s="7" t="str">
        <f>IF('RFQ-Input'!Y633="","",'RFQ-Input'!Y633)</f>
        <v/>
      </c>
      <c r="BA634" s="7" t="str">
        <f>IF('RFQ-Input'!AB633="","",'RFQ-Input'!AB633)</f>
        <v/>
      </c>
    </row>
    <row r="635" spans="1:53">
      <c r="A635" s="20">
        <v>631</v>
      </c>
      <c r="B635" s="7"/>
      <c r="C635" s="7" t="str">
        <f>IF('RFQ-Input'!C634="","",'RFQ-Input'!C634)</f>
        <v/>
      </c>
      <c r="D635" s="7" t="str">
        <f>IF('RFQ-Input'!D634="","",'RFQ-Input'!D634)</f>
        <v/>
      </c>
      <c r="E635" s="7" t="str">
        <f>IF('RFQ-Input'!E634="","",'RFQ-Input'!E634)</f>
        <v/>
      </c>
      <c r="F635" s="7" t="str">
        <f>IF('RFQ-Input'!F634="","",'RFQ-Input'!F634)</f>
        <v/>
      </c>
      <c r="G635" s="7" t="str">
        <f>IF('RFQ-Input'!G634="","",'RFQ-Input'!G634)</f>
        <v/>
      </c>
      <c r="H635" s="7" t="str">
        <f>IF('RFQ-Input'!H634="","",'RFQ-Input'!H634)</f>
        <v/>
      </c>
      <c r="I635" s="7" t="str">
        <f>IF('RFQ-Input'!I634="","",'RFQ-Input'!I634)</f>
        <v/>
      </c>
      <c r="J635" s="7" t="str">
        <f>IF('RFQ-Input'!J634="","",'RFQ-Input'!J634)</f>
        <v/>
      </c>
      <c r="K635" s="7" t="str">
        <f>IF('RFQ-Input'!K634="","",'RFQ-Input'!K634)</f>
        <v/>
      </c>
      <c r="L635" s="7" t="str">
        <f>IF('RFQ-Input'!L634="","",'RFQ-Input'!L634)</f>
        <v/>
      </c>
      <c r="M635" s="7" t="str">
        <f>IF('RFQ-Input'!M634="","",'RFQ-Input'!M634)</f>
        <v/>
      </c>
      <c r="N635" s="7" t="str">
        <f>IF('RFQ-Input'!N634="","",'RFQ-Input'!N634)</f>
        <v/>
      </c>
      <c r="O635" s="7" t="str">
        <f>IF('RFQ-Input'!O634="","",'RFQ-Input'!O634)</f>
        <v/>
      </c>
      <c r="Q635" s="7"/>
      <c r="R635" s="7"/>
      <c r="S635" s="7"/>
      <c r="T635" s="7"/>
      <c r="U635" s="7"/>
      <c r="V635" s="7"/>
      <c r="X635" s="7"/>
      <c r="Y635" s="7"/>
      <c r="Z635" s="7"/>
      <c r="AA635" s="7" t="str">
        <f t="shared" si="63"/>
        <v/>
      </c>
      <c r="AB635" s="7"/>
      <c r="AC635" s="7"/>
      <c r="AQ635" s="7" t="str">
        <f t="shared" si="64"/>
        <v/>
      </c>
      <c r="AR635" s="7" t="str">
        <f t="shared" si="65"/>
        <v/>
      </c>
      <c r="AS635" s="7" t="str">
        <f t="shared" si="66"/>
        <v/>
      </c>
      <c r="AT635" s="7" t="str">
        <f t="shared" si="67"/>
        <v/>
      </c>
      <c r="AU635" s="7" t="str">
        <f t="shared" si="68"/>
        <v/>
      </c>
      <c r="AV635" s="7" t="str">
        <f t="shared" si="69"/>
        <v/>
      </c>
      <c r="AW635" s="7" t="str">
        <f>IF('RFQ-Input'!O634="","",'RFQ-Input'!O634)</f>
        <v/>
      </c>
      <c r="AX635" s="7" t="str">
        <f>IF('RFQ-Input'!S634="","",'RFQ-Input'!S634)</f>
        <v/>
      </c>
      <c r="AY635" s="7" t="str">
        <f>IF('RFQ-Input'!V634="","",'RFQ-Input'!V634)</f>
        <v/>
      </c>
      <c r="AZ635" s="7" t="str">
        <f>IF('RFQ-Input'!Y634="","",'RFQ-Input'!Y634)</f>
        <v/>
      </c>
      <c r="BA635" s="7" t="str">
        <f>IF('RFQ-Input'!AB634="","",'RFQ-Input'!AB634)</f>
        <v/>
      </c>
    </row>
    <row r="636" spans="1:53">
      <c r="A636" s="20">
        <v>632</v>
      </c>
      <c r="B636" s="7"/>
      <c r="C636" s="7" t="str">
        <f>IF('RFQ-Input'!C635="","",'RFQ-Input'!C635)</f>
        <v/>
      </c>
      <c r="D636" s="7" t="str">
        <f>IF('RFQ-Input'!D635="","",'RFQ-Input'!D635)</f>
        <v/>
      </c>
      <c r="E636" s="7" t="str">
        <f>IF('RFQ-Input'!E635="","",'RFQ-Input'!E635)</f>
        <v/>
      </c>
      <c r="F636" s="7" t="str">
        <f>IF('RFQ-Input'!F635="","",'RFQ-Input'!F635)</f>
        <v/>
      </c>
      <c r="G636" s="7" t="str">
        <f>IF('RFQ-Input'!G635="","",'RFQ-Input'!G635)</f>
        <v/>
      </c>
      <c r="H636" s="7" t="str">
        <f>IF('RFQ-Input'!H635="","",'RFQ-Input'!H635)</f>
        <v/>
      </c>
      <c r="I636" s="7" t="str">
        <f>IF('RFQ-Input'!I635="","",'RFQ-Input'!I635)</f>
        <v/>
      </c>
      <c r="J636" s="7" t="str">
        <f>IF('RFQ-Input'!J635="","",'RFQ-Input'!J635)</f>
        <v/>
      </c>
      <c r="K636" s="7" t="str">
        <f>IF('RFQ-Input'!K635="","",'RFQ-Input'!K635)</f>
        <v/>
      </c>
      <c r="L636" s="7" t="str">
        <f>IF('RFQ-Input'!L635="","",'RFQ-Input'!L635)</f>
        <v/>
      </c>
      <c r="M636" s="7" t="str">
        <f>IF('RFQ-Input'!M635="","",'RFQ-Input'!M635)</f>
        <v/>
      </c>
      <c r="N636" s="7" t="str">
        <f>IF('RFQ-Input'!N635="","",'RFQ-Input'!N635)</f>
        <v/>
      </c>
      <c r="O636" s="7" t="str">
        <f>IF('RFQ-Input'!O635="","",'RFQ-Input'!O635)</f>
        <v/>
      </c>
      <c r="Q636" s="7"/>
      <c r="R636" s="7"/>
      <c r="S636" s="7"/>
      <c r="T636" s="7"/>
      <c r="U636" s="7"/>
      <c r="V636" s="7"/>
      <c r="X636" s="7"/>
      <c r="Y636" s="7"/>
      <c r="Z636" s="7"/>
      <c r="AA636" s="7" t="str">
        <f t="shared" si="63"/>
        <v/>
      </c>
      <c r="AB636" s="7"/>
      <c r="AC636" s="7"/>
      <c r="AQ636" s="7" t="str">
        <f t="shared" si="64"/>
        <v/>
      </c>
      <c r="AR636" s="7" t="str">
        <f t="shared" si="65"/>
        <v/>
      </c>
      <c r="AS636" s="7" t="str">
        <f t="shared" si="66"/>
        <v/>
      </c>
      <c r="AT636" s="7" t="str">
        <f t="shared" si="67"/>
        <v/>
      </c>
      <c r="AU636" s="7" t="str">
        <f t="shared" si="68"/>
        <v/>
      </c>
      <c r="AV636" s="7" t="str">
        <f t="shared" si="69"/>
        <v/>
      </c>
      <c r="AW636" s="7" t="str">
        <f>IF('RFQ-Input'!O635="","",'RFQ-Input'!O635)</f>
        <v/>
      </c>
      <c r="AX636" s="7" t="str">
        <f>IF('RFQ-Input'!S635="","",'RFQ-Input'!S635)</f>
        <v/>
      </c>
      <c r="AY636" s="7" t="str">
        <f>IF('RFQ-Input'!V635="","",'RFQ-Input'!V635)</f>
        <v/>
      </c>
      <c r="AZ636" s="7" t="str">
        <f>IF('RFQ-Input'!Y635="","",'RFQ-Input'!Y635)</f>
        <v/>
      </c>
      <c r="BA636" s="7" t="str">
        <f>IF('RFQ-Input'!AB635="","",'RFQ-Input'!AB635)</f>
        <v/>
      </c>
    </row>
    <row r="637" spans="1:53">
      <c r="A637" s="20">
        <v>633</v>
      </c>
      <c r="B637" s="7"/>
      <c r="C637" s="7" t="str">
        <f>IF('RFQ-Input'!C636="","",'RFQ-Input'!C636)</f>
        <v/>
      </c>
      <c r="D637" s="7" t="str">
        <f>IF('RFQ-Input'!D636="","",'RFQ-Input'!D636)</f>
        <v/>
      </c>
      <c r="E637" s="7" t="str">
        <f>IF('RFQ-Input'!E636="","",'RFQ-Input'!E636)</f>
        <v/>
      </c>
      <c r="F637" s="7" t="str">
        <f>IF('RFQ-Input'!F636="","",'RFQ-Input'!F636)</f>
        <v/>
      </c>
      <c r="G637" s="7" t="str">
        <f>IF('RFQ-Input'!G636="","",'RFQ-Input'!G636)</f>
        <v/>
      </c>
      <c r="H637" s="7" t="str">
        <f>IF('RFQ-Input'!H636="","",'RFQ-Input'!H636)</f>
        <v/>
      </c>
      <c r="I637" s="7" t="str">
        <f>IF('RFQ-Input'!I636="","",'RFQ-Input'!I636)</f>
        <v/>
      </c>
      <c r="J637" s="7" t="str">
        <f>IF('RFQ-Input'!J636="","",'RFQ-Input'!J636)</f>
        <v/>
      </c>
      <c r="K637" s="7" t="str">
        <f>IF('RFQ-Input'!K636="","",'RFQ-Input'!K636)</f>
        <v/>
      </c>
      <c r="L637" s="7" t="str">
        <f>IF('RFQ-Input'!L636="","",'RFQ-Input'!L636)</f>
        <v/>
      </c>
      <c r="M637" s="7" t="str">
        <f>IF('RFQ-Input'!M636="","",'RFQ-Input'!M636)</f>
        <v/>
      </c>
      <c r="N637" s="7" t="str">
        <f>IF('RFQ-Input'!N636="","",'RFQ-Input'!N636)</f>
        <v/>
      </c>
      <c r="O637" s="7" t="str">
        <f>IF('RFQ-Input'!O636="","",'RFQ-Input'!O636)</f>
        <v/>
      </c>
      <c r="Q637" s="7"/>
      <c r="R637" s="7"/>
      <c r="S637" s="7"/>
      <c r="T637" s="7"/>
      <c r="U637" s="7"/>
      <c r="V637" s="7"/>
      <c r="X637" s="7"/>
      <c r="Y637" s="7"/>
      <c r="Z637" s="7"/>
      <c r="AA637" s="7" t="str">
        <f t="shared" si="63"/>
        <v/>
      </c>
      <c r="AB637" s="7"/>
      <c r="AC637" s="7"/>
      <c r="AQ637" s="7" t="str">
        <f t="shared" si="64"/>
        <v/>
      </c>
      <c r="AR637" s="7" t="str">
        <f t="shared" si="65"/>
        <v/>
      </c>
      <c r="AS637" s="7" t="str">
        <f t="shared" si="66"/>
        <v/>
      </c>
      <c r="AT637" s="7" t="str">
        <f t="shared" si="67"/>
        <v/>
      </c>
      <c r="AU637" s="7" t="str">
        <f t="shared" si="68"/>
        <v/>
      </c>
      <c r="AV637" s="7" t="str">
        <f t="shared" si="69"/>
        <v/>
      </c>
      <c r="AW637" s="7" t="str">
        <f>IF('RFQ-Input'!O636="","",'RFQ-Input'!O636)</f>
        <v/>
      </c>
      <c r="AX637" s="7" t="str">
        <f>IF('RFQ-Input'!S636="","",'RFQ-Input'!S636)</f>
        <v/>
      </c>
      <c r="AY637" s="7" t="str">
        <f>IF('RFQ-Input'!V636="","",'RFQ-Input'!V636)</f>
        <v/>
      </c>
      <c r="AZ637" s="7" t="str">
        <f>IF('RFQ-Input'!Y636="","",'RFQ-Input'!Y636)</f>
        <v/>
      </c>
      <c r="BA637" s="7" t="str">
        <f>IF('RFQ-Input'!AB636="","",'RFQ-Input'!AB636)</f>
        <v/>
      </c>
    </row>
    <row r="638" spans="1:53">
      <c r="A638" s="20">
        <v>634</v>
      </c>
      <c r="B638" s="7"/>
      <c r="C638" s="7" t="str">
        <f>IF('RFQ-Input'!C637="","",'RFQ-Input'!C637)</f>
        <v/>
      </c>
      <c r="D638" s="7" t="str">
        <f>IF('RFQ-Input'!D637="","",'RFQ-Input'!D637)</f>
        <v/>
      </c>
      <c r="E638" s="7" t="str">
        <f>IF('RFQ-Input'!E637="","",'RFQ-Input'!E637)</f>
        <v/>
      </c>
      <c r="F638" s="7" t="str">
        <f>IF('RFQ-Input'!F637="","",'RFQ-Input'!F637)</f>
        <v/>
      </c>
      <c r="G638" s="7" t="str">
        <f>IF('RFQ-Input'!G637="","",'RFQ-Input'!G637)</f>
        <v/>
      </c>
      <c r="H638" s="7" t="str">
        <f>IF('RFQ-Input'!H637="","",'RFQ-Input'!H637)</f>
        <v/>
      </c>
      <c r="I638" s="7" t="str">
        <f>IF('RFQ-Input'!I637="","",'RFQ-Input'!I637)</f>
        <v/>
      </c>
      <c r="J638" s="7" t="str">
        <f>IF('RFQ-Input'!J637="","",'RFQ-Input'!J637)</f>
        <v/>
      </c>
      <c r="K638" s="7" t="str">
        <f>IF('RFQ-Input'!K637="","",'RFQ-Input'!K637)</f>
        <v/>
      </c>
      <c r="L638" s="7" t="str">
        <f>IF('RFQ-Input'!L637="","",'RFQ-Input'!L637)</f>
        <v/>
      </c>
      <c r="M638" s="7" t="str">
        <f>IF('RFQ-Input'!M637="","",'RFQ-Input'!M637)</f>
        <v/>
      </c>
      <c r="N638" s="7" t="str">
        <f>IF('RFQ-Input'!N637="","",'RFQ-Input'!N637)</f>
        <v/>
      </c>
      <c r="O638" s="7" t="str">
        <f>IF('RFQ-Input'!O637="","",'RFQ-Input'!O637)</f>
        <v/>
      </c>
      <c r="Q638" s="7"/>
      <c r="R638" s="7"/>
      <c r="S638" s="7"/>
      <c r="T638" s="7"/>
      <c r="U638" s="7"/>
      <c r="V638" s="7"/>
      <c r="X638" s="7"/>
      <c r="Y638" s="7"/>
      <c r="Z638" s="7"/>
      <c r="AA638" s="7" t="str">
        <f t="shared" si="63"/>
        <v/>
      </c>
      <c r="AB638" s="7"/>
      <c r="AC638" s="7"/>
      <c r="AQ638" s="7" t="str">
        <f t="shared" si="64"/>
        <v/>
      </c>
      <c r="AR638" s="7" t="str">
        <f t="shared" si="65"/>
        <v/>
      </c>
      <c r="AS638" s="7" t="str">
        <f t="shared" si="66"/>
        <v/>
      </c>
      <c r="AT638" s="7" t="str">
        <f t="shared" si="67"/>
        <v/>
      </c>
      <c r="AU638" s="7" t="str">
        <f t="shared" si="68"/>
        <v/>
      </c>
      <c r="AV638" s="7" t="str">
        <f t="shared" si="69"/>
        <v/>
      </c>
      <c r="AW638" s="7" t="str">
        <f>IF('RFQ-Input'!O637="","",'RFQ-Input'!O637)</f>
        <v/>
      </c>
      <c r="AX638" s="7" t="str">
        <f>IF('RFQ-Input'!S637="","",'RFQ-Input'!S637)</f>
        <v/>
      </c>
      <c r="AY638" s="7" t="str">
        <f>IF('RFQ-Input'!V637="","",'RFQ-Input'!V637)</f>
        <v/>
      </c>
      <c r="AZ638" s="7" t="str">
        <f>IF('RFQ-Input'!Y637="","",'RFQ-Input'!Y637)</f>
        <v/>
      </c>
      <c r="BA638" s="7" t="str">
        <f>IF('RFQ-Input'!AB637="","",'RFQ-Input'!AB637)</f>
        <v/>
      </c>
    </row>
    <row r="639" spans="1:53">
      <c r="A639" s="20">
        <v>635</v>
      </c>
      <c r="B639" s="7"/>
      <c r="C639" s="7" t="str">
        <f>IF('RFQ-Input'!C638="","",'RFQ-Input'!C638)</f>
        <v/>
      </c>
      <c r="D639" s="7" t="str">
        <f>IF('RFQ-Input'!D638="","",'RFQ-Input'!D638)</f>
        <v/>
      </c>
      <c r="E639" s="7" t="str">
        <f>IF('RFQ-Input'!E638="","",'RFQ-Input'!E638)</f>
        <v/>
      </c>
      <c r="F639" s="7" t="str">
        <f>IF('RFQ-Input'!F638="","",'RFQ-Input'!F638)</f>
        <v/>
      </c>
      <c r="G639" s="7" t="str">
        <f>IF('RFQ-Input'!G638="","",'RFQ-Input'!G638)</f>
        <v/>
      </c>
      <c r="H639" s="7" t="str">
        <f>IF('RFQ-Input'!H638="","",'RFQ-Input'!H638)</f>
        <v/>
      </c>
      <c r="I639" s="7" t="str">
        <f>IF('RFQ-Input'!I638="","",'RFQ-Input'!I638)</f>
        <v/>
      </c>
      <c r="J639" s="7" t="str">
        <f>IF('RFQ-Input'!J638="","",'RFQ-Input'!J638)</f>
        <v/>
      </c>
      <c r="K639" s="7" t="str">
        <f>IF('RFQ-Input'!K638="","",'RFQ-Input'!K638)</f>
        <v/>
      </c>
      <c r="L639" s="7" t="str">
        <f>IF('RFQ-Input'!L638="","",'RFQ-Input'!L638)</f>
        <v/>
      </c>
      <c r="M639" s="7" t="str">
        <f>IF('RFQ-Input'!M638="","",'RFQ-Input'!M638)</f>
        <v/>
      </c>
      <c r="N639" s="7" t="str">
        <f>IF('RFQ-Input'!N638="","",'RFQ-Input'!N638)</f>
        <v/>
      </c>
      <c r="O639" s="7" t="str">
        <f>IF('RFQ-Input'!O638="","",'RFQ-Input'!O638)</f>
        <v/>
      </c>
      <c r="Q639" s="7"/>
      <c r="R639" s="7"/>
      <c r="S639" s="7"/>
      <c r="T639" s="7"/>
      <c r="U639" s="7"/>
      <c r="V639" s="7"/>
      <c r="X639" s="7"/>
      <c r="Y639" s="7"/>
      <c r="Z639" s="7"/>
      <c r="AA639" s="7" t="str">
        <f t="shared" si="63"/>
        <v/>
      </c>
      <c r="AB639" s="7"/>
      <c r="AC639" s="7"/>
      <c r="AQ639" s="7" t="str">
        <f t="shared" si="64"/>
        <v/>
      </c>
      <c r="AR639" s="7" t="str">
        <f t="shared" si="65"/>
        <v/>
      </c>
      <c r="AS639" s="7" t="str">
        <f t="shared" si="66"/>
        <v/>
      </c>
      <c r="AT639" s="7" t="str">
        <f t="shared" si="67"/>
        <v/>
      </c>
      <c r="AU639" s="7" t="str">
        <f t="shared" si="68"/>
        <v/>
      </c>
      <c r="AV639" s="7" t="str">
        <f t="shared" si="69"/>
        <v/>
      </c>
      <c r="AW639" s="7" t="str">
        <f>IF('RFQ-Input'!O638="","",'RFQ-Input'!O638)</f>
        <v/>
      </c>
      <c r="AX639" s="7" t="str">
        <f>IF('RFQ-Input'!S638="","",'RFQ-Input'!S638)</f>
        <v/>
      </c>
      <c r="AY639" s="7" t="str">
        <f>IF('RFQ-Input'!V638="","",'RFQ-Input'!V638)</f>
        <v/>
      </c>
      <c r="AZ639" s="7" t="str">
        <f>IF('RFQ-Input'!Y638="","",'RFQ-Input'!Y638)</f>
        <v/>
      </c>
      <c r="BA639" s="7" t="str">
        <f>IF('RFQ-Input'!AB638="","",'RFQ-Input'!AB638)</f>
        <v/>
      </c>
    </row>
    <row r="640" spans="1:53">
      <c r="A640" s="20">
        <v>636</v>
      </c>
      <c r="B640" s="7"/>
      <c r="C640" s="7" t="str">
        <f>IF('RFQ-Input'!C639="","",'RFQ-Input'!C639)</f>
        <v/>
      </c>
      <c r="D640" s="7" t="str">
        <f>IF('RFQ-Input'!D639="","",'RFQ-Input'!D639)</f>
        <v/>
      </c>
      <c r="E640" s="7" t="str">
        <f>IF('RFQ-Input'!E639="","",'RFQ-Input'!E639)</f>
        <v/>
      </c>
      <c r="F640" s="7" t="str">
        <f>IF('RFQ-Input'!F639="","",'RFQ-Input'!F639)</f>
        <v/>
      </c>
      <c r="G640" s="7" t="str">
        <f>IF('RFQ-Input'!G639="","",'RFQ-Input'!G639)</f>
        <v/>
      </c>
      <c r="H640" s="7" t="str">
        <f>IF('RFQ-Input'!H639="","",'RFQ-Input'!H639)</f>
        <v/>
      </c>
      <c r="I640" s="7" t="str">
        <f>IF('RFQ-Input'!I639="","",'RFQ-Input'!I639)</f>
        <v/>
      </c>
      <c r="J640" s="7" t="str">
        <f>IF('RFQ-Input'!J639="","",'RFQ-Input'!J639)</f>
        <v/>
      </c>
      <c r="K640" s="7" t="str">
        <f>IF('RFQ-Input'!K639="","",'RFQ-Input'!K639)</f>
        <v/>
      </c>
      <c r="L640" s="7" t="str">
        <f>IF('RFQ-Input'!L639="","",'RFQ-Input'!L639)</f>
        <v/>
      </c>
      <c r="M640" s="7" t="str">
        <f>IF('RFQ-Input'!M639="","",'RFQ-Input'!M639)</f>
        <v/>
      </c>
      <c r="N640" s="7" t="str">
        <f>IF('RFQ-Input'!N639="","",'RFQ-Input'!N639)</f>
        <v/>
      </c>
      <c r="O640" s="7" t="str">
        <f>IF('RFQ-Input'!O639="","",'RFQ-Input'!O639)</f>
        <v/>
      </c>
      <c r="Q640" s="7"/>
      <c r="R640" s="7"/>
      <c r="S640" s="7"/>
      <c r="T640" s="7"/>
      <c r="U640" s="7"/>
      <c r="V640" s="7"/>
      <c r="X640" s="7"/>
      <c r="Y640" s="7"/>
      <c r="Z640" s="7"/>
      <c r="AA640" s="7" t="str">
        <f t="shared" si="63"/>
        <v/>
      </c>
      <c r="AB640" s="7"/>
      <c r="AC640" s="7"/>
      <c r="AQ640" s="7" t="str">
        <f t="shared" si="64"/>
        <v/>
      </c>
      <c r="AR640" s="7" t="str">
        <f t="shared" si="65"/>
        <v/>
      </c>
      <c r="AS640" s="7" t="str">
        <f t="shared" si="66"/>
        <v/>
      </c>
      <c r="AT640" s="7" t="str">
        <f t="shared" si="67"/>
        <v/>
      </c>
      <c r="AU640" s="7" t="str">
        <f t="shared" si="68"/>
        <v/>
      </c>
      <c r="AV640" s="7" t="str">
        <f t="shared" si="69"/>
        <v/>
      </c>
      <c r="AW640" s="7" t="str">
        <f>IF('RFQ-Input'!O639="","",'RFQ-Input'!O639)</f>
        <v/>
      </c>
      <c r="AX640" s="7" t="str">
        <f>IF('RFQ-Input'!S639="","",'RFQ-Input'!S639)</f>
        <v/>
      </c>
      <c r="AY640" s="7" t="str">
        <f>IF('RFQ-Input'!V639="","",'RFQ-Input'!V639)</f>
        <v/>
      </c>
      <c r="AZ640" s="7" t="str">
        <f>IF('RFQ-Input'!Y639="","",'RFQ-Input'!Y639)</f>
        <v/>
      </c>
      <c r="BA640" s="7" t="str">
        <f>IF('RFQ-Input'!AB639="","",'RFQ-Input'!AB639)</f>
        <v/>
      </c>
    </row>
    <row r="641" spans="1:53">
      <c r="A641" s="20">
        <v>637</v>
      </c>
      <c r="B641" s="7"/>
      <c r="C641" s="7" t="str">
        <f>IF('RFQ-Input'!C640="","",'RFQ-Input'!C640)</f>
        <v/>
      </c>
      <c r="D641" s="7" t="str">
        <f>IF('RFQ-Input'!D640="","",'RFQ-Input'!D640)</f>
        <v/>
      </c>
      <c r="E641" s="7" t="str">
        <f>IF('RFQ-Input'!E640="","",'RFQ-Input'!E640)</f>
        <v/>
      </c>
      <c r="F641" s="7" t="str">
        <f>IF('RFQ-Input'!F640="","",'RFQ-Input'!F640)</f>
        <v/>
      </c>
      <c r="G641" s="7" t="str">
        <f>IF('RFQ-Input'!G640="","",'RFQ-Input'!G640)</f>
        <v/>
      </c>
      <c r="H641" s="7" t="str">
        <f>IF('RFQ-Input'!H640="","",'RFQ-Input'!H640)</f>
        <v/>
      </c>
      <c r="I641" s="7" t="str">
        <f>IF('RFQ-Input'!I640="","",'RFQ-Input'!I640)</f>
        <v/>
      </c>
      <c r="J641" s="7" t="str">
        <f>IF('RFQ-Input'!J640="","",'RFQ-Input'!J640)</f>
        <v/>
      </c>
      <c r="K641" s="7" t="str">
        <f>IF('RFQ-Input'!K640="","",'RFQ-Input'!K640)</f>
        <v/>
      </c>
      <c r="L641" s="7" t="str">
        <f>IF('RFQ-Input'!L640="","",'RFQ-Input'!L640)</f>
        <v/>
      </c>
      <c r="M641" s="7" t="str">
        <f>IF('RFQ-Input'!M640="","",'RFQ-Input'!M640)</f>
        <v/>
      </c>
      <c r="N641" s="7" t="str">
        <f>IF('RFQ-Input'!N640="","",'RFQ-Input'!N640)</f>
        <v/>
      </c>
      <c r="O641" s="7" t="str">
        <f>IF('RFQ-Input'!O640="","",'RFQ-Input'!O640)</f>
        <v/>
      </c>
      <c r="Q641" s="7"/>
      <c r="R641" s="7"/>
      <c r="S641" s="7"/>
      <c r="T641" s="7"/>
      <c r="U641" s="7"/>
      <c r="V641" s="7"/>
      <c r="X641" s="7"/>
      <c r="Y641" s="7"/>
      <c r="Z641" s="7"/>
      <c r="AA641" s="7" t="str">
        <f t="shared" si="63"/>
        <v/>
      </c>
      <c r="AB641" s="7"/>
      <c r="AC641" s="7"/>
      <c r="AQ641" s="7" t="str">
        <f t="shared" si="64"/>
        <v/>
      </c>
      <c r="AR641" s="7" t="str">
        <f t="shared" si="65"/>
        <v/>
      </c>
      <c r="AS641" s="7" t="str">
        <f t="shared" si="66"/>
        <v/>
      </c>
      <c r="AT641" s="7" t="str">
        <f t="shared" si="67"/>
        <v/>
      </c>
      <c r="AU641" s="7" t="str">
        <f t="shared" si="68"/>
        <v/>
      </c>
      <c r="AV641" s="7" t="str">
        <f t="shared" si="69"/>
        <v/>
      </c>
      <c r="AW641" s="7" t="str">
        <f>IF('RFQ-Input'!O640="","",'RFQ-Input'!O640)</f>
        <v/>
      </c>
      <c r="AX641" s="7" t="str">
        <f>IF('RFQ-Input'!S640="","",'RFQ-Input'!S640)</f>
        <v/>
      </c>
      <c r="AY641" s="7" t="str">
        <f>IF('RFQ-Input'!V640="","",'RFQ-Input'!V640)</f>
        <v/>
      </c>
      <c r="AZ641" s="7" t="str">
        <f>IF('RFQ-Input'!Y640="","",'RFQ-Input'!Y640)</f>
        <v/>
      </c>
      <c r="BA641" s="7" t="str">
        <f>IF('RFQ-Input'!AB640="","",'RFQ-Input'!AB640)</f>
        <v/>
      </c>
    </row>
    <row r="642" spans="1:53">
      <c r="A642" s="20">
        <v>638</v>
      </c>
      <c r="B642" s="7"/>
      <c r="C642" s="7" t="str">
        <f>IF('RFQ-Input'!C641="","",'RFQ-Input'!C641)</f>
        <v/>
      </c>
      <c r="D642" s="7" t="str">
        <f>IF('RFQ-Input'!D641="","",'RFQ-Input'!D641)</f>
        <v/>
      </c>
      <c r="E642" s="7" t="str">
        <f>IF('RFQ-Input'!E641="","",'RFQ-Input'!E641)</f>
        <v/>
      </c>
      <c r="F642" s="7" t="str">
        <f>IF('RFQ-Input'!F641="","",'RFQ-Input'!F641)</f>
        <v/>
      </c>
      <c r="G642" s="7" t="str">
        <f>IF('RFQ-Input'!G641="","",'RFQ-Input'!G641)</f>
        <v/>
      </c>
      <c r="H642" s="7" t="str">
        <f>IF('RFQ-Input'!H641="","",'RFQ-Input'!H641)</f>
        <v/>
      </c>
      <c r="I642" s="7" t="str">
        <f>IF('RFQ-Input'!I641="","",'RFQ-Input'!I641)</f>
        <v/>
      </c>
      <c r="J642" s="7" t="str">
        <f>IF('RFQ-Input'!J641="","",'RFQ-Input'!J641)</f>
        <v/>
      </c>
      <c r="K642" s="7" t="str">
        <f>IF('RFQ-Input'!K641="","",'RFQ-Input'!K641)</f>
        <v/>
      </c>
      <c r="L642" s="7" t="str">
        <f>IF('RFQ-Input'!L641="","",'RFQ-Input'!L641)</f>
        <v/>
      </c>
      <c r="M642" s="7" t="str">
        <f>IF('RFQ-Input'!M641="","",'RFQ-Input'!M641)</f>
        <v/>
      </c>
      <c r="N642" s="7" t="str">
        <f>IF('RFQ-Input'!N641="","",'RFQ-Input'!N641)</f>
        <v/>
      </c>
      <c r="O642" s="7" t="str">
        <f>IF('RFQ-Input'!O641="","",'RFQ-Input'!O641)</f>
        <v/>
      </c>
      <c r="Q642" s="7"/>
      <c r="R642" s="7"/>
      <c r="S642" s="7"/>
      <c r="T642" s="7"/>
      <c r="U642" s="7"/>
      <c r="V642" s="7"/>
      <c r="X642" s="7"/>
      <c r="Y642" s="7"/>
      <c r="Z642" s="7"/>
      <c r="AA642" s="7" t="str">
        <f t="shared" si="63"/>
        <v/>
      </c>
      <c r="AB642" s="7"/>
      <c r="AC642" s="7"/>
      <c r="AQ642" s="7" t="str">
        <f t="shared" si="64"/>
        <v/>
      </c>
      <c r="AR642" s="7" t="str">
        <f t="shared" si="65"/>
        <v/>
      </c>
      <c r="AS642" s="7" t="str">
        <f t="shared" si="66"/>
        <v/>
      </c>
      <c r="AT642" s="7" t="str">
        <f t="shared" si="67"/>
        <v/>
      </c>
      <c r="AU642" s="7" t="str">
        <f t="shared" si="68"/>
        <v/>
      </c>
      <c r="AV642" s="7" t="str">
        <f t="shared" si="69"/>
        <v/>
      </c>
      <c r="AW642" s="7" t="str">
        <f>IF('RFQ-Input'!O641="","",'RFQ-Input'!O641)</f>
        <v/>
      </c>
      <c r="AX642" s="7" t="str">
        <f>IF('RFQ-Input'!S641="","",'RFQ-Input'!S641)</f>
        <v/>
      </c>
      <c r="AY642" s="7" t="str">
        <f>IF('RFQ-Input'!V641="","",'RFQ-Input'!V641)</f>
        <v/>
      </c>
      <c r="AZ642" s="7" t="str">
        <f>IF('RFQ-Input'!Y641="","",'RFQ-Input'!Y641)</f>
        <v/>
      </c>
      <c r="BA642" s="7" t="str">
        <f>IF('RFQ-Input'!AB641="","",'RFQ-Input'!AB641)</f>
        <v/>
      </c>
    </row>
    <row r="643" spans="1:53">
      <c r="A643" s="20">
        <v>639</v>
      </c>
      <c r="B643" s="7"/>
      <c r="C643" s="7" t="str">
        <f>IF('RFQ-Input'!C642="","",'RFQ-Input'!C642)</f>
        <v/>
      </c>
      <c r="D643" s="7" t="str">
        <f>IF('RFQ-Input'!D642="","",'RFQ-Input'!D642)</f>
        <v/>
      </c>
      <c r="E643" s="7" t="str">
        <f>IF('RFQ-Input'!E642="","",'RFQ-Input'!E642)</f>
        <v/>
      </c>
      <c r="F643" s="7" t="str">
        <f>IF('RFQ-Input'!F642="","",'RFQ-Input'!F642)</f>
        <v/>
      </c>
      <c r="G643" s="7" t="str">
        <f>IF('RFQ-Input'!G642="","",'RFQ-Input'!G642)</f>
        <v/>
      </c>
      <c r="H643" s="7" t="str">
        <f>IF('RFQ-Input'!H642="","",'RFQ-Input'!H642)</f>
        <v/>
      </c>
      <c r="I643" s="7" t="str">
        <f>IF('RFQ-Input'!I642="","",'RFQ-Input'!I642)</f>
        <v/>
      </c>
      <c r="J643" s="7" t="str">
        <f>IF('RFQ-Input'!J642="","",'RFQ-Input'!J642)</f>
        <v/>
      </c>
      <c r="K643" s="7" t="str">
        <f>IF('RFQ-Input'!K642="","",'RFQ-Input'!K642)</f>
        <v/>
      </c>
      <c r="L643" s="7" t="str">
        <f>IF('RFQ-Input'!L642="","",'RFQ-Input'!L642)</f>
        <v/>
      </c>
      <c r="M643" s="7" t="str">
        <f>IF('RFQ-Input'!M642="","",'RFQ-Input'!M642)</f>
        <v/>
      </c>
      <c r="N643" s="7" t="str">
        <f>IF('RFQ-Input'!N642="","",'RFQ-Input'!N642)</f>
        <v/>
      </c>
      <c r="O643" s="7" t="str">
        <f>IF('RFQ-Input'!O642="","",'RFQ-Input'!O642)</f>
        <v/>
      </c>
      <c r="Q643" s="7"/>
      <c r="R643" s="7"/>
      <c r="S643" s="7"/>
      <c r="T643" s="7"/>
      <c r="U643" s="7"/>
      <c r="V643" s="7"/>
      <c r="X643" s="7"/>
      <c r="Y643" s="7"/>
      <c r="Z643" s="7"/>
      <c r="AA643" s="7" t="str">
        <f t="shared" si="63"/>
        <v/>
      </c>
      <c r="AB643" s="7"/>
      <c r="AC643" s="7"/>
      <c r="AQ643" s="7" t="str">
        <f t="shared" si="64"/>
        <v/>
      </c>
      <c r="AR643" s="7" t="str">
        <f t="shared" si="65"/>
        <v/>
      </c>
      <c r="AS643" s="7" t="str">
        <f t="shared" si="66"/>
        <v/>
      </c>
      <c r="AT643" s="7" t="str">
        <f t="shared" si="67"/>
        <v/>
      </c>
      <c r="AU643" s="7" t="str">
        <f t="shared" si="68"/>
        <v/>
      </c>
      <c r="AV643" s="7" t="str">
        <f t="shared" si="69"/>
        <v/>
      </c>
      <c r="AW643" s="7" t="str">
        <f>IF('RFQ-Input'!O642="","",'RFQ-Input'!O642)</f>
        <v/>
      </c>
      <c r="AX643" s="7" t="str">
        <f>IF('RFQ-Input'!S642="","",'RFQ-Input'!S642)</f>
        <v/>
      </c>
      <c r="AY643" s="7" t="str">
        <f>IF('RFQ-Input'!V642="","",'RFQ-Input'!V642)</f>
        <v/>
      </c>
      <c r="AZ643" s="7" t="str">
        <f>IF('RFQ-Input'!Y642="","",'RFQ-Input'!Y642)</f>
        <v/>
      </c>
      <c r="BA643" s="7" t="str">
        <f>IF('RFQ-Input'!AB642="","",'RFQ-Input'!AB642)</f>
        <v/>
      </c>
    </row>
    <row r="644" spans="1:53">
      <c r="A644" s="20">
        <v>640</v>
      </c>
      <c r="B644" s="7"/>
      <c r="C644" s="7" t="str">
        <f>IF('RFQ-Input'!C643="","",'RFQ-Input'!C643)</f>
        <v/>
      </c>
      <c r="D644" s="7" t="str">
        <f>IF('RFQ-Input'!D643="","",'RFQ-Input'!D643)</f>
        <v/>
      </c>
      <c r="E644" s="7" t="str">
        <f>IF('RFQ-Input'!E643="","",'RFQ-Input'!E643)</f>
        <v/>
      </c>
      <c r="F644" s="7" t="str">
        <f>IF('RFQ-Input'!F643="","",'RFQ-Input'!F643)</f>
        <v/>
      </c>
      <c r="G644" s="7" t="str">
        <f>IF('RFQ-Input'!G643="","",'RFQ-Input'!G643)</f>
        <v/>
      </c>
      <c r="H644" s="7" t="str">
        <f>IF('RFQ-Input'!H643="","",'RFQ-Input'!H643)</f>
        <v/>
      </c>
      <c r="I644" s="7" t="str">
        <f>IF('RFQ-Input'!I643="","",'RFQ-Input'!I643)</f>
        <v/>
      </c>
      <c r="J644" s="7" t="str">
        <f>IF('RFQ-Input'!J643="","",'RFQ-Input'!J643)</f>
        <v/>
      </c>
      <c r="K644" s="7" t="str">
        <f>IF('RFQ-Input'!K643="","",'RFQ-Input'!K643)</f>
        <v/>
      </c>
      <c r="L644" s="7" t="str">
        <f>IF('RFQ-Input'!L643="","",'RFQ-Input'!L643)</f>
        <v/>
      </c>
      <c r="M644" s="7" t="str">
        <f>IF('RFQ-Input'!M643="","",'RFQ-Input'!M643)</f>
        <v/>
      </c>
      <c r="N644" s="7" t="str">
        <f>IF('RFQ-Input'!N643="","",'RFQ-Input'!N643)</f>
        <v/>
      </c>
      <c r="O644" s="7" t="str">
        <f>IF('RFQ-Input'!O643="","",'RFQ-Input'!O643)</f>
        <v/>
      </c>
      <c r="Q644" s="7"/>
      <c r="R644" s="7"/>
      <c r="S644" s="7"/>
      <c r="T644" s="7"/>
      <c r="U644" s="7"/>
      <c r="V644" s="7"/>
      <c r="X644" s="7"/>
      <c r="Y644" s="7"/>
      <c r="Z644" s="7"/>
      <c r="AA644" s="7" t="str">
        <f t="shared" si="63"/>
        <v/>
      </c>
      <c r="AB644" s="7"/>
      <c r="AC644" s="7"/>
      <c r="AQ644" s="7" t="str">
        <f t="shared" si="64"/>
        <v/>
      </c>
      <c r="AR644" s="7" t="str">
        <f t="shared" si="65"/>
        <v/>
      </c>
      <c r="AS644" s="7" t="str">
        <f t="shared" si="66"/>
        <v/>
      </c>
      <c r="AT644" s="7" t="str">
        <f t="shared" si="67"/>
        <v/>
      </c>
      <c r="AU644" s="7" t="str">
        <f t="shared" si="68"/>
        <v/>
      </c>
      <c r="AV644" s="7" t="str">
        <f t="shared" si="69"/>
        <v/>
      </c>
      <c r="AW644" s="7" t="str">
        <f>IF('RFQ-Input'!O643="","",'RFQ-Input'!O643)</f>
        <v/>
      </c>
      <c r="AX644" s="7" t="str">
        <f>IF('RFQ-Input'!S643="","",'RFQ-Input'!S643)</f>
        <v/>
      </c>
      <c r="AY644" s="7" t="str">
        <f>IF('RFQ-Input'!V643="","",'RFQ-Input'!V643)</f>
        <v/>
      </c>
      <c r="AZ644" s="7" t="str">
        <f>IF('RFQ-Input'!Y643="","",'RFQ-Input'!Y643)</f>
        <v/>
      </c>
      <c r="BA644" s="7" t="str">
        <f>IF('RFQ-Input'!AB643="","",'RFQ-Input'!AB643)</f>
        <v/>
      </c>
    </row>
    <row r="645" spans="1:53">
      <c r="A645" s="20">
        <v>641</v>
      </c>
      <c r="B645" s="7"/>
      <c r="C645" s="7" t="str">
        <f>IF('RFQ-Input'!C644="","",'RFQ-Input'!C644)</f>
        <v/>
      </c>
      <c r="D645" s="7" t="str">
        <f>IF('RFQ-Input'!D644="","",'RFQ-Input'!D644)</f>
        <v/>
      </c>
      <c r="E645" s="7" t="str">
        <f>IF('RFQ-Input'!E644="","",'RFQ-Input'!E644)</f>
        <v/>
      </c>
      <c r="F645" s="7" t="str">
        <f>IF('RFQ-Input'!F644="","",'RFQ-Input'!F644)</f>
        <v/>
      </c>
      <c r="G645" s="7" t="str">
        <f>IF('RFQ-Input'!G644="","",'RFQ-Input'!G644)</f>
        <v/>
      </c>
      <c r="H645" s="7" t="str">
        <f>IF('RFQ-Input'!H644="","",'RFQ-Input'!H644)</f>
        <v/>
      </c>
      <c r="I645" s="7" t="str">
        <f>IF('RFQ-Input'!I644="","",'RFQ-Input'!I644)</f>
        <v/>
      </c>
      <c r="J645" s="7" t="str">
        <f>IF('RFQ-Input'!J644="","",'RFQ-Input'!J644)</f>
        <v/>
      </c>
      <c r="K645" s="7" t="str">
        <f>IF('RFQ-Input'!K644="","",'RFQ-Input'!K644)</f>
        <v/>
      </c>
      <c r="L645" s="7" t="str">
        <f>IF('RFQ-Input'!L644="","",'RFQ-Input'!L644)</f>
        <v/>
      </c>
      <c r="M645" s="7" t="str">
        <f>IF('RFQ-Input'!M644="","",'RFQ-Input'!M644)</f>
        <v/>
      </c>
      <c r="N645" s="7" t="str">
        <f>IF('RFQ-Input'!N644="","",'RFQ-Input'!N644)</f>
        <v/>
      </c>
      <c r="O645" s="7" t="str">
        <f>IF('RFQ-Input'!O644="","",'RFQ-Input'!O644)</f>
        <v/>
      </c>
      <c r="Q645" s="7"/>
      <c r="R645" s="7"/>
      <c r="S645" s="7"/>
      <c r="T645" s="7"/>
      <c r="U645" s="7"/>
      <c r="V645" s="7"/>
      <c r="X645" s="7"/>
      <c r="Y645" s="7"/>
      <c r="Z645" s="7"/>
      <c r="AA645" s="7" t="str">
        <f t="shared" ref="AA645:AA708" si="70">IF(AND(L645="",Y645=""),"",L645)</f>
        <v/>
      </c>
      <c r="AB645" s="7"/>
      <c r="AC645" s="7"/>
      <c r="AQ645" s="7" t="str">
        <f t="shared" si="64"/>
        <v/>
      </c>
      <c r="AR645" s="7" t="str">
        <f t="shared" si="65"/>
        <v/>
      </c>
      <c r="AS645" s="7" t="str">
        <f t="shared" si="66"/>
        <v/>
      </c>
      <c r="AT645" s="7" t="str">
        <f t="shared" si="67"/>
        <v/>
      </c>
      <c r="AU645" s="7" t="str">
        <f t="shared" si="68"/>
        <v/>
      </c>
      <c r="AV645" s="7" t="str">
        <f t="shared" si="69"/>
        <v/>
      </c>
      <c r="AW645" s="7" t="str">
        <f>IF('RFQ-Input'!O644="","",'RFQ-Input'!O644)</f>
        <v/>
      </c>
      <c r="AX645" s="7" t="str">
        <f>IF('RFQ-Input'!S644="","",'RFQ-Input'!S644)</f>
        <v/>
      </c>
      <c r="AY645" s="7" t="str">
        <f>IF('RFQ-Input'!V644="","",'RFQ-Input'!V644)</f>
        <v/>
      </c>
      <c r="AZ645" s="7" t="str">
        <f>IF('RFQ-Input'!Y644="","",'RFQ-Input'!Y644)</f>
        <v/>
      </c>
      <c r="BA645" s="7" t="str">
        <f>IF('RFQ-Input'!AB644="","",'RFQ-Input'!AB644)</f>
        <v/>
      </c>
    </row>
    <row r="646" spans="1:53">
      <c r="A646" s="20">
        <v>642</v>
      </c>
      <c r="B646" s="7"/>
      <c r="C646" s="7" t="str">
        <f>IF('RFQ-Input'!C645="","",'RFQ-Input'!C645)</f>
        <v/>
      </c>
      <c r="D646" s="7" t="str">
        <f>IF('RFQ-Input'!D645="","",'RFQ-Input'!D645)</f>
        <v/>
      </c>
      <c r="E646" s="7" t="str">
        <f>IF('RFQ-Input'!E645="","",'RFQ-Input'!E645)</f>
        <v/>
      </c>
      <c r="F646" s="7" t="str">
        <f>IF('RFQ-Input'!F645="","",'RFQ-Input'!F645)</f>
        <v/>
      </c>
      <c r="G646" s="7" t="str">
        <f>IF('RFQ-Input'!G645="","",'RFQ-Input'!G645)</f>
        <v/>
      </c>
      <c r="H646" s="7" t="str">
        <f>IF('RFQ-Input'!H645="","",'RFQ-Input'!H645)</f>
        <v/>
      </c>
      <c r="I646" s="7" t="str">
        <f>IF('RFQ-Input'!I645="","",'RFQ-Input'!I645)</f>
        <v/>
      </c>
      <c r="J646" s="7" t="str">
        <f>IF('RFQ-Input'!J645="","",'RFQ-Input'!J645)</f>
        <v/>
      </c>
      <c r="K646" s="7" t="str">
        <f>IF('RFQ-Input'!K645="","",'RFQ-Input'!K645)</f>
        <v/>
      </c>
      <c r="L646" s="7" t="str">
        <f>IF('RFQ-Input'!L645="","",'RFQ-Input'!L645)</f>
        <v/>
      </c>
      <c r="M646" s="7" t="str">
        <f>IF('RFQ-Input'!M645="","",'RFQ-Input'!M645)</f>
        <v/>
      </c>
      <c r="N646" s="7" t="str">
        <f>IF('RFQ-Input'!N645="","",'RFQ-Input'!N645)</f>
        <v/>
      </c>
      <c r="O646" s="7" t="str">
        <f>IF('RFQ-Input'!O645="","",'RFQ-Input'!O645)</f>
        <v/>
      </c>
      <c r="Q646" s="7"/>
      <c r="R646" s="7"/>
      <c r="S646" s="7"/>
      <c r="T646" s="7"/>
      <c r="U646" s="7"/>
      <c r="V646" s="7"/>
      <c r="X646" s="7"/>
      <c r="Y646" s="7"/>
      <c r="Z646" s="7"/>
      <c r="AA646" s="7" t="str">
        <f t="shared" si="70"/>
        <v/>
      </c>
      <c r="AB646" s="7"/>
      <c r="AC646" s="7"/>
      <c r="AQ646" s="7" t="str">
        <f t="shared" ref="AQ646:AQ709" si="71">IFERROR(SMALL($AW646:$CT646,1),"")</f>
        <v/>
      </c>
      <c r="AR646" s="7" t="str">
        <f t="shared" ref="AR646:AR709" si="72">IF(AQ646="","",INDEX($AW$4:$CT$4,MATCH(AQ646,$AW646:$CT646,0)))</f>
        <v/>
      </c>
      <c r="AS646" s="7" t="str">
        <f t="shared" ref="AS646:AS709" si="73">IFERROR(SMALL($AW646:$CT646,2),"")</f>
        <v/>
      </c>
      <c r="AT646" s="7" t="str">
        <f t="shared" ref="AT646:AT709" si="74">IF(AS646="","",INDEX($AW$4:$CT$4,MATCH(AS646,$AW646:$CT646,0)))</f>
        <v/>
      </c>
      <c r="AU646" s="7" t="str">
        <f t="shared" ref="AU646:AU709" si="75">IFERROR(SMALL($AW646:$CT646,3),"")</f>
        <v/>
      </c>
      <c r="AV646" s="7" t="str">
        <f t="shared" ref="AV646:AV709" si="76">IF(AU646="","",INDEX($AW$4:$CT$4,MATCH(AU646,$AW646:$CT646,0)))</f>
        <v/>
      </c>
      <c r="AW646" s="7" t="str">
        <f>IF('RFQ-Input'!O645="","",'RFQ-Input'!O645)</f>
        <v/>
      </c>
      <c r="AX646" s="7" t="str">
        <f>IF('RFQ-Input'!S645="","",'RFQ-Input'!S645)</f>
        <v/>
      </c>
      <c r="AY646" s="7" t="str">
        <f>IF('RFQ-Input'!V645="","",'RFQ-Input'!V645)</f>
        <v/>
      </c>
      <c r="AZ646" s="7" t="str">
        <f>IF('RFQ-Input'!Y645="","",'RFQ-Input'!Y645)</f>
        <v/>
      </c>
      <c r="BA646" s="7" t="str">
        <f>IF('RFQ-Input'!AB645="","",'RFQ-Input'!AB645)</f>
        <v/>
      </c>
    </row>
    <row r="647" spans="1:53">
      <c r="A647" s="20">
        <v>643</v>
      </c>
      <c r="B647" s="7"/>
      <c r="C647" s="7" t="str">
        <f>IF('RFQ-Input'!C646="","",'RFQ-Input'!C646)</f>
        <v/>
      </c>
      <c r="D647" s="7" t="str">
        <f>IF('RFQ-Input'!D646="","",'RFQ-Input'!D646)</f>
        <v/>
      </c>
      <c r="E647" s="7" t="str">
        <f>IF('RFQ-Input'!E646="","",'RFQ-Input'!E646)</f>
        <v/>
      </c>
      <c r="F647" s="7" t="str">
        <f>IF('RFQ-Input'!F646="","",'RFQ-Input'!F646)</f>
        <v/>
      </c>
      <c r="G647" s="7" t="str">
        <f>IF('RFQ-Input'!G646="","",'RFQ-Input'!G646)</f>
        <v/>
      </c>
      <c r="H647" s="7" t="str">
        <f>IF('RFQ-Input'!H646="","",'RFQ-Input'!H646)</f>
        <v/>
      </c>
      <c r="I647" s="7" t="str">
        <f>IF('RFQ-Input'!I646="","",'RFQ-Input'!I646)</f>
        <v/>
      </c>
      <c r="J647" s="7" t="str">
        <f>IF('RFQ-Input'!J646="","",'RFQ-Input'!J646)</f>
        <v/>
      </c>
      <c r="K647" s="7" t="str">
        <f>IF('RFQ-Input'!K646="","",'RFQ-Input'!K646)</f>
        <v/>
      </c>
      <c r="L647" s="7" t="str">
        <f>IF('RFQ-Input'!L646="","",'RFQ-Input'!L646)</f>
        <v/>
      </c>
      <c r="M647" s="7" t="str">
        <f>IF('RFQ-Input'!M646="","",'RFQ-Input'!M646)</f>
        <v/>
      </c>
      <c r="N647" s="7" t="str">
        <f>IF('RFQ-Input'!N646="","",'RFQ-Input'!N646)</f>
        <v/>
      </c>
      <c r="O647" s="7" t="str">
        <f>IF('RFQ-Input'!O646="","",'RFQ-Input'!O646)</f>
        <v/>
      </c>
      <c r="Q647" s="7"/>
      <c r="R647" s="7"/>
      <c r="S647" s="7"/>
      <c r="T647" s="7"/>
      <c r="U647" s="7"/>
      <c r="V647" s="7"/>
      <c r="X647" s="7"/>
      <c r="Y647" s="7"/>
      <c r="Z647" s="7"/>
      <c r="AA647" s="7" t="str">
        <f t="shared" si="70"/>
        <v/>
      </c>
      <c r="AB647" s="7"/>
      <c r="AC647" s="7"/>
      <c r="AQ647" s="7" t="str">
        <f t="shared" si="71"/>
        <v/>
      </c>
      <c r="AR647" s="7" t="str">
        <f t="shared" si="72"/>
        <v/>
      </c>
      <c r="AS647" s="7" t="str">
        <f t="shared" si="73"/>
        <v/>
      </c>
      <c r="AT647" s="7" t="str">
        <f t="shared" si="74"/>
        <v/>
      </c>
      <c r="AU647" s="7" t="str">
        <f t="shared" si="75"/>
        <v/>
      </c>
      <c r="AV647" s="7" t="str">
        <f t="shared" si="76"/>
        <v/>
      </c>
      <c r="AW647" s="7" t="str">
        <f>IF('RFQ-Input'!O646="","",'RFQ-Input'!O646)</f>
        <v/>
      </c>
      <c r="AX647" s="7" t="str">
        <f>IF('RFQ-Input'!S646="","",'RFQ-Input'!S646)</f>
        <v/>
      </c>
      <c r="AY647" s="7" t="str">
        <f>IF('RFQ-Input'!V646="","",'RFQ-Input'!V646)</f>
        <v/>
      </c>
      <c r="AZ647" s="7" t="str">
        <f>IF('RFQ-Input'!Y646="","",'RFQ-Input'!Y646)</f>
        <v/>
      </c>
      <c r="BA647" s="7" t="str">
        <f>IF('RFQ-Input'!AB646="","",'RFQ-Input'!AB646)</f>
        <v/>
      </c>
    </row>
    <row r="648" spans="1:53">
      <c r="A648" s="20">
        <v>644</v>
      </c>
      <c r="B648" s="7"/>
      <c r="C648" s="7" t="str">
        <f>IF('RFQ-Input'!C647="","",'RFQ-Input'!C647)</f>
        <v/>
      </c>
      <c r="D648" s="7" t="str">
        <f>IF('RFQ-Input'!D647="","",'RFQ-Input'!D647)</f>
        <v/>
      </c>
      <c r="E648" s="7" t="str">
        <f>IF('RFQ-Input'!E647="","",'RFQ-Input'!E647)</f>
        <v/>
      </c>
      <c r="F648" s="7" t="str">
        <f>IF('RFQ-Input'!F647="","",'RFQ-Input'!F647)</f>
        <v/>
      </c>
      <c r="G648" s="7" t="str">
        <f>IF('RFQ-Input'!G647="","",'RFQ-Input'!G647)</f>
        <v/>
      </c>
      <c r="H648" s="7" t="str">
        <f>IF('RFQ-Input'!H647="","",'RFQ-Input'!H647)</f>
        <v/>
      </c>
      <c r="I648" s="7" t="str">
        <f>IF('RFQ-Input'!I647="","",'RFQ-Input'!I647)</f>
        <v/>
      </c>
      <c r="J648" s="7" t="str">
        <f>IF('RFQ-Input'!J647="","",'RFQ-Input'!J647)</f>
        <v/>
      </c>
      <c r="K648" s="7" t="str">
        <f>IF('RFQ-Input'!K647="","",'RFQ-Input'!K647)</f>
        <v/>
      </c>
      <c r="L648" s="7" t="str">
        <f>IF('RFQ-Input'!L647="","",'RFQ-Input'!L647)</f>
        <v/>
      </c>
      <c r="M648" s="7" t="str">
        <f>IF('RFQ-Input'!M647="","",'RFQ-Input'!M647)</f>
        <v/>
      </c>
      <c r="N648" s="7" t="str">
        <f>IF('RFQ-Input'!N647="","",'RFQ-Input'!N647)</f>
        <v/>
      </c>
      <c r="O648" s="7" t="str">
        <f>IF('RFQ-Input'!O647="","",'RFQ-Input'!O647)</f>
        <v/>
      </c>
      <c r="Q648" s="7"/>
      <c r="R648" s="7"/>
      <c r="S648" s="7"/>
      <c r="T648" s="7"/>
      <c r="U648" s="7"/>
      <c r="V648" s="7"/>
      <c r="X648" s="7"/>
      <c r="Y648" s="7"/>
      <c r="Z648" s="7"/>
      <c r="AA648" s="7" t="str">
        <f t="shared" si="70"/>
        <v/>
      </c>
      <c r="AB648" s="7"/>
      <c r="AC648" s="7"/>
      <c r="AQ648" s="7" t="str">
        <f t="shared" si="71"/>
        <v/>
      </c>
      <c r="AR648" s="7" t="str">
        <f t="shared" si="72"/>
        <v/>
      </c>
      <c r="AS648" s="7" t="str">
        <f t="shared" si="73"/>
        <v/>
      </c>
      <c r="AT648" s="7" t="str">
        <f t="shared" si="74"/>
        <v/>
      </c>
      <c r="AU648" s="7" t="str">
        <f t="shared" si="75"/>
        <v/>
      </c>
      <c r="AV648" s="7" t="str">
        <f t="shared" si="76"/>
        <v/>
      </c>
      <c r="AW648" s="7" t="str">
        <f>IF('RFQ-Input'!O647="","",'RFQ-Input'!O647)</f>
        <v/>
      </c>
      <c r="AX648" s="7" t="str">
        <f>IF('RFQ-Input'!S647="","",'RFQ-Input'!S647)</f>
        <v/>
      </c>
      <c r="AY648" s="7" t="str">
        <f>IF('RFQ-Input'!V647="","",'RFQ-Input'!V647)</f>
        <v/>
      </c>
      <c r="AZ648" s="7" t="str">
        <f>IF('RFQ-Input'!Y647="","",'RFQ-Input'!Y647)</f>
        <v/>
      </c>
      <c r="BA648" s="7" t="str">
        <f>IF('RFQ-Input'!AB647="","",'RFQ-Input'!AB647)</f>
        <v/>
      </c>
    </row>
    <row r="649" spans="1:53">
      <c r="A649" s="20">
        <v>645</v>
      </c>
      <c r="B649" s="7"/>
      <c r="C649" s="7" t="str">
        <f>IF('RFQ-Input'!C648="","",'RFQ-Input'!C648)</f>
        <v/>
      </c>
      <c r="D649" s="7" t="str">
        <f>IF('RFQ-Input'!D648="","",'RFQ-Input'!D648)</f>
        <v/>
      </c>
      <c r="E649" s="7" t="str">
        <f>IF('RFQ-Input'!E648="","",'RFQ-Input'!E648)</f>
        <v/>
      </c>
      <c r="F649" s="7" t="str">
        <f>IF('RFQ-Input'!F648="","",'RFQ-Input'!F648)</f>
        <v/>
      </c>
      <c r="G649" s="7" t="str">
        <f>IF('RFQ-Input'!G648="","",'RFQ-Input'!G648)</f>
        <v/>
      </c>
      <c r="H649" s="7" t="str">
        <f>IF('RFQ-Input'!H648="","",'RFQ-Input'!H648)</f>
        <v/>
      </c>
      <c r="I649" s="7" t="str">
        <f>IF('RFQ-Input'!I648="","",'RFQ-Input'!I648)</f>
        <v/>
      </c>
      <c r="J649" s="7" t="str">
        <f>IF('RFQ-Input'!J648="","",'RFQ-Input'!J648)</f>
        <v/>
      </c>
      <c r="K649" s="7" t="str">
        <f>IF('RFQ-Input'!K648="","",'RFQ-Input'!K648)</f>
        <v/>
      </c>
      <c r="L649" s="7" t="str">
        <f>IF('RFQ-Input'!L648="","",'RFQ-Input'!L648)</f>
        <v/>
      </c>
      <c r="M649" s="7" t="str">
        <f>IF('RFQ-Input'!M648="","",'RFQ-Input'!M648)</f>
        <v/>
      </c>
      <c r="N649" s="7" t="str">
        <f>IF('RFQ-Input'!N648="","",'RFQ-Input'!N648)</f>
        <v/>
      </c>
      <c r="O649" s="7" t="str">
        <f>IF('RFQ-Input'!O648="","",'RFQ-Input'!O648)</f>
        <v/>
      </c>
      <c r="Q649" s="7"/>
      <c r="R649" s="7"/>
      <c r="S649" s="7"/>
      <c r="T649" s="7"/>
      <c r="U649" s="7"/>
      <c r="V649" s="7"/>
      <c r="X649" s="7"/>
      <c r="Y649" s="7"/>
      <c r="Z649" s="7"/>
      <c r="AA649" s="7" t="str">
        <f t="shared" si="70"/>
        <v/>
      </c>
      <c r="AB649" s="7"/>
      <c r="AC649" s="7"/>
      <c r="AQ649" s="7" t="str">
        <f t="shared" si="71"/>
        <v/>
      </c>
      <c r="AR649" s="7" t="str">
        <f t="shared" si="72"/>
        <v/>
      </c>
      <c r="AS649" s="7" t="str">
        <f t="shared" si="73"/>
        <v/>
      </c>
      <c r="AT649" s="7" t="str">
        <f t="shared" si="74"/>
        <v/>
      </c>
      <c r="AU649" s="7" t="str">
        <f t="shared" si="75"/>
        <v/>
      </c>
      <c r="AV649" s="7" t="str">
        <f t="shared" si="76"/>
        <v/>
      </c>
      <c r="AW649" s="7" t="str">
        <f>IF('RFQ-Input'!O648="","",'RFQ-Input'!O648)</f>
        <v/>
      </c>
      <c r="AX649" s="7" t="str">
        <f>IF('RFQ-Input'!S648="","",'RFQ-Input'!S648)</f>
        <v/>
      </c>
      <c r="AY649" s="7" t="str">
        <f>IF('RFQ-Input'!V648="","",'RFQ-Input'!V648)</f>
        <v/>
      </c>
      <c r="AZ649" s="7" t="str">
        <f>IF('RFQ-Input'!Y648="","",'RFQ-Input'!Y648)</f>
        <v/>
      </c>
      <c r="BA649" s="7" t="str">
        <f>IF('RFQ-Input'!AB648="","",'RFQ-Input'!AB648)</f>
        <v/>
      </c>
    </row>
    <row r="650" spans="1:53">
      <c r="A650" s="20">
        <v>646</v>
      </c>
      <c r="B650" s="7"/>
      <c r="C650" s="7" t="str">
        <f>IF('RFQ-Input'!C649="","",'RFQ-Input'!C649)</f>
        <v/>
      </c>
      <c r="D650" s="7" t="str">
        <f>IF('RFQ-Input'!D649="","",'RFQ-Input'!D649)</f>
        <v/>
      </c>
      <c r="E650" s="7" t="str">
        <f>IF('RFQ-Input'!E649="","",'RFQ-Input'!E649)</f>
        <v/>
      </c>
      <c r="F650" s="7" t="str">
        <f>IF('RFQ-Input'!F649="","",'RFQ-Input'!F649)</f>
        <v/>
      </c>
      <c r="G650" s="7" t="str">
        <f>IF('RFQ-Input'!G649="","",'RFQ-Input'!G649)</f>
        <v/>
      </c>
      <c r="H650" s="7" t="str">
        <f>IF('RFQ-Input'!H649="","",'RFQ-Input'!H649)</f>
        <v/>
      </c>
      <c r="I650" s="7" t="str">
        <f>IF('RFQ-Input'!I649="","",'RFQ-Input'!I649)</f>
        <v/>
      </c>
      <c r="J650" s="7" t="str">
        <f>IF('RFQ-Input'!J649="","",'RFQ-Input'!J649)</f>
        <v/>
      </c>
      <c r="K650" s="7" t="str">
        <f>IF('RFQ-Input'!K649="","",'RFQ-Input'!K649)</f>
        <v/>
      </c>
      <c r="L650" s="7" t="str">
        <f>IF('RFQ-Input'!L649="","",'RFQ-Input'!L649)</f>
        <v/>
      </c>
      <c r="M650" s="7" t="str">
        <f>IF('RFQ-Input'!M649="","",'RFQ-Input'!M649)</f>
        <v/>
      </c>
      <c r="N650" s="7" t="str">
        <f>IF('RFQ-Input'!N649="","",'RFQ-Input'!N649)</f>
        <v/>
      </c>
      <c r="O650" s="7" t="str">
        <f>IF('RFQ-Input'!O649="","",'RFQ-Input'!O649)</f>
        <v/>
      </c>
      <c r="Q650" s="7"/>
      <c r="R650" s="7"/>
      <c r="S650" s="7"/>
      <c r="T650" s="7"/>
      <c r="U650" s="7"/>
      <c r="V650" s="7"/>
      <c r="X650" s="7"/>
      <c r="Y650" s="7"/>
      <c r="Z650" s="7"/>
      <c r="AA650" s="7" t="str">
        <f t="shared" si="70"/>
        <v/>
      </c>
      <c r="AB650" s="7"/>
      <c r="AC650" s="7"/>
      <c r="AQ650" s="7" t="str">
        <f t="shared" si="71"/>
        <v/>
      </c>
      <c r="AR650" s="7" t="str">
        <f t="shared" si="72"/>
        <v/>
      </c>
      <c r="AS650" s="7" t="str">
        <f t="shared" si="73"/>
        <v/>
      </c>
      <c r="AT650" s="7" t="str">
        <f t="shared" si="74"/>
        <v/>
      </c>
      <c r="AU650" s="7" t="str">
        <f t="shared" si="75"/>
        <v/>
      </c>
      <c r="AV650" s="7" t="str">
        <f t="shared" si="76"/>
        <v/>
      </c>
      <c r="AW650" s="7" t="str">
        <f>IF('RFQ-Input'!O649="","",'RFQ-Input'!O649)</f>
        <v/>
      </c>
      <c r="AX650" s="7" t="str">
        <f>IF('RFQ-Input'!S649="","",'RFQ-Input'!S649)</f>
        <v/>
      </c>
      <c r="AY650" s="7" t="str">
        <f>IF('RFQ-Input'!V649="","",'RFQ-Input'!V649)</f>
        <v/>
      </c>
      <c r="AZ650" s="7" t="str">
        <f>IF('RFQ-Input'!Y649="","",'RFQ-Input'!Y649)</f>
        <v/>
      </c>
      <c r="BA650" s="7" t="str">
        <f>IF('RFQ-Input'!AB649="","",'RFQ-Input'!AB649)</f>
        <v/>
      </c>
    </row>
    <row r="651" spans="1:53">
      <c r="A651" s="20">
        <v>647</v>
      </c>
      <c r="B651" s="7"/>
      <c r="C651" s="7" t="str">
        <f>IF('RFQ-Input'!C650="","",'RFQ-Input'!C650)</f>
        <v/>
      </c>
      <c r="D651" s="7" t="str">
        <f>IF('RFQ-Input'!D650="","",'RFQ-Input'!D650)</f>
        <v/>
      </c>
      <c r="E651" s="7" t="str">
        <f>IF('RFQ-Input'!E650="","",'RFQ-Input'!E650)</f>
        <v/>
      </c>
      <c r="F651" s="7" t="str">
        <f>IF('RFQ-Input'!F650="","",'RFQ-Input'!F650)</f>
        <v/>
      </c>
      <c r="G651" s="7" t="str">
        <f>IF('RFQ-Input'!G650="","",'RFQ-Input'!G650)</f>
        <v/>
      </c>
      <c r="H651" s="7" t="str">
        <f>IF('RFQ-Input'!H650="","",'RFQ-Input'!H650)</f>
        <v/>
      </c>
      <c r="I651" s="7" t="str">
        <f>IF('RFQ-Input'!I650="","",'RFQ-Input'!I650)</f>
        <v/>
      </c>
      <c r="J651" s="7" t="str">
        <f>IF('RFQ-Input'!J650="","",'RFQ-Input'!J650)</f>
        <v/>
      </c>
      <c r="K651" s="7" t="str">
        <f>IF('RFQ-Input'!K650="","",'RFQ-Input'!K650)</f>
        <v/>
      </c>
      <c r="L651" s="7" t="str">
        <f>IF('RFQ-Input'!L650="","",'RFQ-Input'!L650)</f>
        <v/>
      </c>
      <c r="M651" s="7" t="str">
        <f>IF('RFQ-Input'!M650="","",'RFQ-Input'!M650)</f>
        <v/>
      </c>
      <c r="N651" s="7" t="str">
        <f>IF('RFQ-Input'!N650="","",'RFQ-Input'!N650)</f>
        <v/>
      </c>
      <c r="O651" s="7" t="str">
        <f>IF('RFQ-Input'!O650="","",'RFQ-Input'!O650)</f>
        <v/>
      </c>
      <c r="Q651" s="7"/>
      <c r="R651" s="7"/>
      <c r="S651" s="7"/>
      <c r="T651" s="7"/>
      <c r="U651" s="7"/>
      <c r="V651" s="7"/>
      <c r="X651" s="7"/>
      <c r="Y651" s="7"/>
      <c r="Z651" s="7"/>
      <c r="AA651" s="7" t="str">
        <f t="shared" si="70"/>
        <v/>
      </c>
      <c r="AB651" s="7"/>
      <c r="AC651" s="7"/>
      <c r="AQ651" s="7" t="str">
        <f t="shared" si="71"/>
        <v/>
      </c>
      <c r="AR651" s="7" t="str">
        <f t="shared" si="72"/>
        <v/>
      </c>
      <c r="AS651" s="7" t="str">
        <f t="shared" si="73"/>
        <v/>
      </c>
      <c r="AT651" s="7" t="str">
        <f t="shared" si="74"/>
        <v/>
      </c>
      <c r="AU651" s="7" t="str">
        <f t="shared" si="75"/>
        <v/>
      </c>
      <c r="AV651" s="7" t="str">
        <f t="shared" si="76"/>
        <v/>
      </c>
      <c r="AW651" s="7" t="str">
        <f>IF('RFQ-Input'!O650="","",'RFQ-Input'!O650)</f>
        <v/>
      </c>
      <c r="AX651" s="7" t="str">
        <f>IF('RFQ-Input'!S650="","",'RFQ-Input'!S650)</f>
        <v/>
      </c>
      <c r="AY651" s="7" t="str">
        <f>IF('RFQ-Input'!V650="","",'RFQ-Input'!V650)</f>
        <v/>
      </c>
      <c r="AZ651" s="7" t="str">
        <f>IF('RFQ-Input'!Y650="","",'RFQ-Input'!Y650)</f>
        <v/>
      </c>
      <c r="BA651" s="7" t="str">
        <f>IF('RFQ-Input'!AB650="","",'RFQ-Input'!AB650)</f>
        <v/>
      </c>
    </row>
    <row r="652" spans="1:53">
      <c r="A652" s="20">
        <v>648</v>
      </c>
      <c r="B652" s="7"/>
      <c r="C652" s="7" t="str">
        <f>IF('RFQ-Input'!C651="","",'RFQ-Input'!C651)</f>
        <v/>
      </c>
      <c r="D652" s="7" t="str">
        <f>IF('RFQ-Input'!D651="","",'RFQ-Input'!D651)</f>
        <v/>
      </c>
      <c r="E652" s="7" t="str">
        <f>IF('RFQ-Input'!E651="","",'RFQ-Input'!E651)</f>
        <v/>
      </c>
      <c r="F652" s="7" t="str">
        <f>IF('RFQ-Input'!F651="","",'RFQ-Input'!F651)</f>
        <v/>
      </c>
      <c r="G652" s="7" t="str">
        <f>IF('RFQ-Input'!G651="","",'RFQ-Input'!G651)</f>
        <v/>
      </c>
      <c r="H652" s="7" t="str">
        <f>IF('RFQ-Input'!H651="","",'RFQ-Input'!H651)</f>
        <v/>
      </c>
      <c r="I652" s="7" t="str">
        <f>IF('RFQ-Input'!I651="","",'RFQ-Input'!I651)</f>
        <v/>
      </c>
      <c r="J652" s="7" t="str">
        <f>IF('RFQ-Input'!J651="","",'RFQ-Input'!J651)</f>
        <v/>
      </c>
      <c r="K652" s="7" t="str">
        <f>IF('RFQ-Input'!K651="","",'RFQ-Input'!K651)</f>
        <v/>
      </c>
      <c r="L652" s="7" t="str">
        <f>IF('RFQ-Input'!L651="","",'RFQ-Input'!L651)</f>
        <v/>
      </c>
      <c r="M652" s="7" t="str">
        <f>IF('RFQ-Input'!M651="","",'RFQ-Input'!M651)</f>
        <v/>
      </c>
      <c r="N652" s="7" t="str">
        <f>IF('RFQ-Input'!N651="","",'RFQ-Input'!N651)</f>
        <v/>
      </c>
      <c r="O652" s="7" t="str">
        <f>IF('RFQ-Input'!O651="","",'RFQ-Input'!O651)</f>
        <v/>
      </c>
      <c r="Q652" s="7"/>
      <c r="R652" s="7"/>
      <c r="S652" s="7"/>
      <c r="T652" s="7"/>
      <c r="U652" s="7"/>
      <c r="V652" s="7"/>
      <c r="X652" s="7"/>
      <c r="Y652" s="7"/>
      <c r="Z652" s="7"/>
      <c r="AA652" s="7" t="str">
        <f t="shared" si="70"/>
        <v/>
      </c>
      <c r="AB652" s="7"/>
      <c r="AC652" s="7"/>
      <c r="AQ652" s="7" t="str">
        <f t="shared" si="71"/>
        <v/>
      </c>
      <c r="AR652" s="7" t="str">
        <f t="shared" si="72"/>
        <v/>
      </c>
      <c r="AS652" s="7" t="str">
        <f t="shared" si="73"/>
        <v/>
      </c>
      <c r="AT652" s="7" t="str">
        <f t="shared" si="74"/>
        <v/>
      </c>
      <c r="AU652" s="7" t="str">
        <f t="shared" si="75"/>
        <v/>
      </c>
      <c r="AV652" s="7" t="str">
        <f t="shared" si="76"/>
        <v/>
      </c>
      <c r="AW652" s="7" t="str">
        <f>IF('RFQ-Input'!O651="","",'RFQ-Input'!O651)</f>
        <v/>
      </c>
      <c r="AX652" s="7" t="str">
        <f>IF('RFQ-Input'!S651="","",'RFQ-Input'!S651)</f>
        <v/>
      </c>
      <c r="AY652" s="7" t="str">
        <f>IF('RFQ-Input'!V651="","",'RFQ-Input'!V651)</f>
        <v/>
      </c>
      <c r="AZ652" s="7" t="str">
        <f>IF('RFQ-Input'!Y651="","",'RFQ-Input'!Y651)</f>
        <v/>
      </c>
      <c r="BA652" s="7" t="str">
        <f>IF('RFQ-Input'!AB651="","",'RFQ-Input'!AB651)</f>
        <v/>
      </c>
    </row>
    <row r="653" spans="1:53">
      <c r="A653" s="20">
        <v>649</v>
      </c>
      <c r="B653" s="7"/>
      <c r="C653" s="7" t="str">
        <f>IF('RFQ-Input'!C652="","",'RFQ-Input'!C652)</f>
        <v/>
      </c>
      <c r="D653" s="7" t="str">
        <f>IF('RFQ-Input'!D652="","",'RFQ-Input'!D652)</f>
        <v/>
      </c>
      <c r="E653" s="7" t="str">
        <f>IF('RFQ-Input'!E652="","",'RFQ-Input'!E652)</f>
        <v/>
      </c>
      <c r="F653" s="7" t="str">
        <f>IF('RFQ-Input'!F652="","",'RFQ-Input'!F652)</f>
        <v/>
      </c>
      <c r="G653" s="7" t="str">
        <f>IF('RFQ-Input'!G652="","",'RFQ-Input'!G652)</f>
        <v/>
      </c>
      <c r="H653" s="7" t="str">
        <f>IF('RFQ-Input'!H652="","",'RFQ-Input'!H652)</f>
        <v/>
      </c>
      <c r="I653" s="7" t="str">
        <f>IF('RFQ-Input'!I652="","",'RFQ-Input'!I652)</f>
        <v/>
      </c>
      <c r="J653" s="7" t="str">
        <f>IF('RFQ-Input'!J652="","",'RFQ-Input'!J652)</f>
        <v/>
      </c>
      <c r="K653" s="7" t="str">
        <f>IF('RFQ-Input'!K652="","",'RFQ-Input'!K652)</f>
        <v/>
      </c>
      <c r="L653" s="7" t="str">
        <f>IF('RFQ-Input'!L652="","",'RFQ-Input'!L652)</f>
        <v/>
      </c>
      <c r="M653" s="7" t="str">
        <f>IF('RFQ-Input'!M652="","",'RFQ-Input'!M652)</f>
        <v/>
      </c>
      <c r="N653" s="7" t="str">
        <f>IF('RFQ-Input'!N652="","",'RFQ-Input'!N652)</f>
        <v/>
      </c>
      <c r="O653" s="7" t="str">
        <f>IF('RFQ-Input'!O652="","",'RFQ-Input'!O652)</f>
        <v/>
      </c>
      <c r="Q653" s="7"/>
      <c r="R653" s="7"/>
      <c r="S653" s="7"/>
      <c r="T653" s="7"/>
      <c r="U653" s="7"/>
      <c r="V653" s="7"/>
      <c r="X653" s="7"/>
      <c r="Y653" s="7"/>
      <c r="Z653" s="7"/>
      <c r="AA653" s="7" t="str">
        <f t="shared" si="70"/>
        <v/>
      </c>
      <c r="AB653" s="7"/>
      <c r="AC653" s="7"/>
      <c r="AQ653" s="7" t="str">
        <f t="shared" si="71"/>
        <v/>
      </c>
      <c r="AR653" s="7" t="str">
        <f t="shared" si="72"/>
        <v/>
      </c>
      <c r="AS653" s="7" t="str">
        <f t="shared" si="73"/>
        <v/>
      </c>
      <c r="AT653" s="7" t="str">
        <f t="shared" si="74"/>
        <v/>
      </c>
      <c r="AU653" s="7" t="str">
        <f t="shared" si="75"/>
        <v/>
      </c>
      <c r="AV653" s="7" t="str">
        <f t="shared" si="76"/>
        <v/>
      </c>
      <c r="AW653" s="7" t="str">
        <f>IF('RFQ-Input'!O652="","",'RFQ-Input'!O652)</f>
        <v/>
      </c>
      <c r="AX653" s="7" t="str">
        <f>IF('RFQ-Input'!S652="","",'RFQ-Input'!S652)</f>
        <v/>
      </c>
      <c r="AY653" s="7" t="str">
        <f>IF('RFQ-Input'!V652="","",'RFQ-Input'!V652)</f>
        <v/>
      </c>
      <c r="AZ653" s="7" t="str">
        <f>IF('RFQ-Input'!Y652="","",'RFQ-Input'!Y652)</f>
        <v/>
      </c>
      <c r="BA653" s="7" t="str">
        <f>IF('RFQ-Input'!AB652="","",'RFQ-Input'!AB652)</f>
        <v/>
      </c>
    </row>
    <row r="654" spans="1:53">
      <c r="A654" s="20">
        <v>650</v>
      </c>
      <c r="B654" s="7"/>
      <c r="C654" s="7" t="str">
        <f>IF('RFQ-Input'!C653="","",'RFQ-Input'!C653)</f>
        <v/>
      </c>
      <c r="D654" s="7" t="str">
        <f>IF('RFQ-Input'!D653="","",'RFQ-Input'!D653)</f>
        <v/>
      </c>
      <c r="E654" s="7" t="str">
        <f>IF('RFQ-Input'!E653="","",'RFQ-Input'!E653)</f>
        <v/>
      </c>
      <c r="F654" s="7" t="str">
        <f>IF('RFQ-Input'!F653="","",'RFQ-Input'!F653)</f>
        <v/>
      </c>
      <c r="G654" s="7" t="str">
        <f>IF('RFQ-Input'!G653="","",'RFQ-Input'!G653)</f>
        <v/>
      </c>
      <c r="H654" s="7" t="str">
        <f>IF('RFQ-Input'!H653="","",'RFQ-Input'!H653)</f>
        <v/>
      </c>
      <c r="I654" s="7" t="str">
        <f>IF('RFQ-Input'!I653="","",'RFQ-Input'!I653)</f>
        <v/>
      </c>
      <c r="J654" s="7" t="str">
        <f>IF('RFQ-Input'!J653="","",'RFQ-Input'!J653)</f>
        <v/>
      </c>
      <c r="K654" s="7" t="str">
        <f>IF('RFQ-Input'!K653="","",'RFQ-Input'!K653)</f>
        <v/>
      </c>
      <c r="L654" s="7" t="str">
        <f>IF('RFQ-Input'!L653="","",'RFQ-Input'!L653)</f>
        <v/>
      </c>
      <c r="M654" s="7" t="str">
        <f>IF('RFQ-Input'!M653="","",'RFQ-Input'!M653)</f>
        <v/>
      </c>
      <c r="N654" s="7" t="str">
        <f>IF('RFQ-Input'!N653="","",'RFQ-Input'!N653)</f>
        <v/>
      </c>
      <c r="O654" s="7" t="str">
        <f>IF('RFQ-Input'!O653="","",'RFQ-Input'!O653)</f>
        <v/>
      </c>
      <c r="Q654" s="7"/>
      <c r="R654" s="7"/>
      <c r="S654" s="7"/>
      <c r="T654" s="7"/>
      <c r="U654" s="7"/>
      <c r="V654" s="7"/>
      <c r="X654" s="7"/>
      <c r="Y654" s="7"/>
      <c r="Z654" s="7"/>
      <c r="AA654" s="7" t="str">
        <f t="shared" si="70"/>
        <v/>
      </c>
      <c r="AB654" s="7"/>
      <c r="AC654" s="7"/>
      <c r="AQ654" s="7" t="str">
        <f t="shared" si="71"/>
        <v/>
      </c>
      <c r="AR654" s="7" t="str">
        <f t="shared" si="72"/>
        <v/>
      </c>
      <c r="AS654" s="7" t="str">
        <f t="shared" si="73"/>
        <v/>
      </c>
      <c r="AT654" s="7" t="str">
        <f t="shared" si="74"/>
        <v/>
      </c>
      <c r="AU654" s="7" t="str">
        <f t="shared" si="75"/>
        <v/>
      </c>
      <c r="AV654" s="7" t="str">
        <f t="shared" si="76"/>
        <v/>
      </c>
      <c r="AW654" s="7" t="str">
        <f>IF('RFQ-Input'!O653="","",'RFQ-Input'!O653)</f>
        <v/>
      </c>
      <c r="AX654" s="7" t="str">
        <f>IF('RFQ-Input'!S653="","",'RFQ-Input'!S653)</f>
        <v/>
      </c>
      <c r="AY654" s="7" t="str">
        <f>IF('RFQ-Input'!V653="","",'RFQ-Input'!V653)</f>
        <v/>
      </c>
      <c r="AZ654" s="7" t="str">
        <f>IF('RFQ-Input'!Y653="","",'RFQ-Input'!Y653)</f>
        <v/>
      </c>
      <c r="BA654" s="7" t="str">
        <f>IF('RFQ-Input'!AB653="","",'RFQ-Input'!AB653)</f>
        <v/>
      </c>
    </row>
    <row r="655" spans="1:53">
      <c r="A655" s="20">
        <v>651</v>
      </c>
      <c r="B655" s="7"/>
      <c r="C655" s="7" t="str">
        <f>IF('RFQ-Input'!C654="","",'RFQ-Input'!C654)</f>
        <v/>
      </c>
      <c r="D655" s="7" t="str">
        <f>IF('RFQ-Input'!D654="","",'RFQ-Input'!D654)</f>
        <v/>
      </c>
      <c r="E655" s="7" t="str">
        <f>IF('RFQ-Input'!E654="","",'RFQ-Input'!E654)</f>
        <v/>
      </c>
      <c r="F655" s="7" t="str">
        <f>IF('RFQ-Input'!F654="","",'RFQ-Input'!F654)</f>
        <v/>
      </c>
      <c r="G655" s="7" t="str">
        <f>IF('RFQ-Input'!G654="","",'RFQ-Input'!G654)</f>
        <v/>
      </c>
      <c r="H655" s="7" t="str">
        <f>IF('RFQ-Input'!H654="","",'RFQ-Input'!H654)</f>
        <v/>
      </c>
      <c r="I655" s="7" t="str">
        <f>IF('RFQ-Input'!I654="","",'RFQ-Input'!I654)</f>
        <v/>
      </c>
      <c r="J655" s="7" t="str">
        <f>IF('RFQ-Input'!J654="","",'RFQ-Input'!J654)</f>
        <v/>
      </c>
      <c r="K655" s="7" t="str">
        <f>IF('RFQ-Input'!K654="","",'RFQ-Input'!K654)</f>
        <v/>
      </c>
      <c r="L655" s="7" t="str">
        <f>IF('RFQ-Input'!L654="","",'RFQ-Input'!L654)</f>
        <v/>
      </c>
      <c r="M655" s="7" t="str">
        <f>IF('RFQ-Input'!M654="","",'RFQ-Input'!M654)</f>
        <v/>
      </c>
      <c r="N655" s="7" t="str">
        <f>IF('RFQ-Input'!N654="","",'RFQ-Input'!N654)</f>
        <v/>
      </c>
      <c r="O655" s="7" t="str">
        <f>IF('RFQ-Input'!O654="","",'RFQ-Input'!O654)</f>
        <v/>
      </c>
      <c r="Q655" s="7"/>
      <c r="R655" s="7"/>
      <c r="S655" s="7"/>
      <c r="T655" s="7"/>
      <c r="U655" s="7"/>
      <c r="V655" s="7"/>
      <c r="X655" s="7"/>
      <c r="Y655" s="7"/>
      <c r="Z655" s="7"/>
      <c r="AA655" s="7" t="str">
        <f t="shared" si="70"/>
        <v/>
      </c>
      <c r="AB655" s="7"/>
      <c r="AC655" s="7"/>
      <c r="AQ655" s="7" t="str">
        <f t="shared" si="71"/>
        <v/>
      </c>
      <c r="AR655" s="7" t="str">
        <f t="shared" si="72"/>
        <v/>
      </c>
      <c r="AS655" s="7" t="str">
        <f t="shared" si="73"/>
        <v/>
      </c>
      <c r="AT655" s="7" t="str">
        <f t="shared" si="74"/>
        <v/>
      </c>
      <c r="AU655" s="7" t="str">
        <f t="shared" si="75"/>
        <v/>
      </c>
      <c r="AV655" s="7" t="str">
        <f t="shared" si="76"/>
        <v/>
      </c>
      <c r="AW655" s="7" t="str">
        <f>IF('RFQ-Input'!O654="","",'RFQ-Input'!O654)</f>
        <v/>
      </c>
      <c r="AX655" s="7" t="str">
        <f>IF('RFQ-Input'!S654="","",'RFQ-Input'!S654)</f>
        <v/>
      </c>
      <c r="AY655" s="7" t="str">
        <f>IF('RFQ-Input'!V654="","",'RFQ-Input'!V654)</f>
        <v/>
      </c>
      <c r="AZ655" s="7" t="str">
        <f>IF('RFQ-Input'!Y654="","",'RFQ-Input'!Y654)</f>
        <v/>
      </c>
      <c r="BA655" s="7" t="str">
        <f>IF('RFQ-Input'!AB654="","",'RFQ-Input'!AB654)</f>
        <v/>
      </c>
    </row>
    <row r="656" spans="1:53">
      <c r="A656" s="20">
        <v>652</v>
      </c>
      <c r="B656" s="7"/>
      <c r="C656" s="7" t="str">
        <f>IF('RFQ-Input'!C655="","",'RFQ-Input'!C655)</f>
        <v/>
      </c>
      <c r="D656" s="7" t="str">
        <f>IF('RFQ-Input'!D655="","",'RFQ-Input'!D655)</f>
        <v/>
      </c>
      <c r="E656" s="7" t="str">
        <f>IF('RFQ-Input'!E655="","",'RFQ-Input'!E655)</f>
        <v/>
      </c>
      <c r="F656" s="7" t="str">
        <f>IF('RFQ-Input'!F655="","",'RFQ-Input'!F655)</f>
        <v/>
      </c>
      <c r="G656" s="7" t="str">
        <f>IF('RFQ-Input'!G655="","",'RFQ-Input'!G655)</f>
        <v/>
      </c>
      <c r="H656" s="7" t="str">
        <f>IF('RFQ-Input'!H655="","",'RFQ-Input'!H655)</f>
        <v/>
      </c>
      <c r="I656" s="7" t="str">
        <f>IF('RFQ-Input'!I655="","",'RFQ-Input'!I655)</f>
        <v/>
      </c>
      <c r="J656" s="7" t="str">
        <f>IF('RFQ-Input'!J655="","",'RFQ-Input'!J655)</f>
        <v/>
      </c>
      <c r="K656" s="7" t="str">
        <f>IF('RFQ-Input'!K655="","",'RFQ-Input'!K655)</f>
        <v/>
      </c>
      <c r="L656" s="7" t="str">
        <f>IF('RFQ-Input'!L655="","",'RFQ-Input'!L655)</f>
        <v/>
      </c>
      <c r="M656" s="7" t="str">
        <f>IF('RFQ-Input'!M655="","",'RFQ-Input'!M655)</f>
        <v/>
      </c>
      <c r="N656" s="7" t="str">
        <f>IF('RFQ-Input'!N655="","",'RFQ-Input'!N655)</f>
        <v/>
      </c>
      <c r="O656" s="7" t="str">
        <f>IF('RFQ-Input'!O655="","",'RFQ-Input'!O655)</f>
        <v/>
      </c>
      <c r="Q656" s="7"/>
      <c r="R656" s="7"/>
      <c r="S656" s="7"/>
      <c r="T656" s="7"/>
      <c r="U656" s="7"/>
      <c r="V656" s="7"/>
      <c r="X656" s="7"/>
      <c r="Y656" s="7"/>
      <c r="Z656" s="7"/>
      <c r="AA656" s="7" t="str">
        <f t="shared" si="70"/>
        <v/>
      </c>
      <c r="AB656" s="7"/>
      <c r="AC656" s="7"/>
      <c r="AQ656" s="7" t="str">
        <f t="shared" si="71"/>
        <v/>
      </c>
      <c r="AR656" s="7" t="str">
        <f t="shared" si="72"/>
        <v/>
      </c>
      <c r="AS656" s="7" t="str">
        <f t="shared" si="73"/>
        <v/>
      </c>
      <c r="AT656" s="7" t="str">
        <f t="shared" si="74"/>
        <v/>
      </c>
      <c r="AU656" s="7" t="str">
        <f t="shared" si="75"/>
        <v/>
      </c>
      <c r="AV656" s="7" t="str">
        <f t="shared" si="76"/>
        <v/>
      </c>
      <c r="AW656" s="7" t="str">
        <f>IF('RFQ-Input'!O655="","",'RFQ-Input'!O655)</f>
        <v/>
      </c>
      <c r="AX656" s="7" t="str">
        <f>IF('RFQ-Input'!S655="","",'RFQ-Input'!S655)</f>
        <v/>
      </c>
      <c r="AY656" s="7" t="str">
        <f>IF('RFQ-Input'!V655="","",'RFQ-Input'!V655)</f>
        <v/>
      </c>
      <c r="AZ656" s="7" t="str">
        <f>IF('RFQ-Input'!Y655="","",'RFQ-Input'!Y655)</f>
        <v/>
      </c>
      <c r="BA656" s="7" t="str">
        <f>IF('RFQ-Input'!AB655="","",'RFQ-Input'!AB655)</f>
        <v/>
      </c>
    </row>
    <row r="657" spans="1:53">
      <c r="A657" s="20">
        <v>653</v>
      </c>
      <c r="B657" s="7"/>
      <c r="C657" s="7" t="str">
        <f>IF('RFQ-Input'!C656="","",'RFQ-Input'!C656)</f>
        <v/>
      </c>
      <c r="D657" s="7" t="str">
        <f>IF('RFQ-Input'!D656="","",'RFQ-Input'!D656)</f>
        <v/>
      </c>
      <c r="E657" s="7" t="str">
        <f>IF('RFQ-Input'!E656="","",'RFQ-Input'!E656)</f>
        <v/>
      </c>
      <c r="F657" s="7" t="str">
        <f>IF('RFQ-Input'!F656="","",'RFQ-Input'!F656)</f>
        <v/>
      </c>
      <c r="G657" s="7" t="str">
        <f>IF('RFQ-Input'!G656="","",'RFQ-Input'!G656)</f>
        <v/>
      </c>
      <c r="H657" s="7" t="str">
        <f>IF('RFQ-Input'!H656="","",'RFQ-Input'!H656)</f>
        <v/>
      </c>
      <c r="I657" s="7" t="str">
        <f>IF('RFQ-Input'!I656="","",'RFQ-Input'!I656)</f>
        <v/>
      </c>
      <c r="J657" s="7" t="str">
        <f>IF('RFQ-Input'!J656="","",'RFQ-Input'!J656)</f>
        <v/>
      </c>
      <c r="K657" s="7" t="str">
        <f>IF('RFQ-Input'!K656="","",'RFQ-Input'!K656)</f>
        <v/>
      </c>
      <c r="L657" s="7" t="str">
        <f>IF('RFQ-Input'!L656="","",'RFQ-Input'!L656)</f>
        <v/>
      </c>
      <c r="M657" s="7" t="str">
        <f>IF('RFQ-Input'!M656="","",'RFQ-Input'!M656)</f>
        <v/>
      </c>
      <c r="N657" s="7" t="str">
        <f>IF('RFQ-Input'!N656="","",'RFQ-Input'!N656)</f>
        <v/>
      </c>
      <c r="O657" s="7" t="str">
        <f>IF('RFQ-Input'!O656="","",'RFQ-Input'!O656)</f>
        <v/>
      </c>
      <c r="Q657" s="7"/>
      <c r="R657" s="7"/>
      <c r="S657" s="7"/>
      <c r="T657" s="7"/>
      <c r="U657" s="7"/>
      <c r="V657" s="7"/>
      <c r="X657" s="7"/>
      <c r="Y657" s="7"/>
      <c r="Z657" s="7"/>
      <c r="AA657" s="7" t="str">
        <f t="shared" si="70"/>
        <v/>
      </c>
      <c r="AB657" s="7"/>
      <c r="AC657" s="7"/>
      <c r="AQ657" s="7" t="str">
        <f t="shared" si="71"/>
        <v/>
      </c>
      <c r="AR657" s="7" t="str">
        <f t="shared" si="72"/>
        <v/>
      </c>
      <c r="AS657" s="7" t="str">
        <f t="shared" si="73"/>
        <v/>
      </c>
      <c r="AT657" s="7" t="str">
        <f t="shared" si="74"/>
        <v/>
      </c>
      <c r="AU657" s="7" t="str">
        <f t="shared" si="75"/>
        <v/>
      </c>
      <c r="AV657" s="7" t="str">
        <f t="shared" si="76"/>
        <v/>
      </c>
      <c r="AW657" s="7" t="str">
        <f>IF('RFQ-Input'!O656="","",'RFQ-Input'!O656)</f>
        <v/>
      </c>
      <c r="AX657" s="7" t="str">
        <f>IF('RFQ-Input'!S656="","",'RFQ-Input'!S656)</f>
        <v/>
      </c>
      <c r="AY657" s="7" t="str">
        <f>IF('RFQ-Input'!V656="","",'RFQ-Input'!V656)</f>
        <v/>
      </c>
      <c r="AZ657" s="7" t="str">
        <f>IF('RFQ-Input'!Y656="","",'RFQ-Input'!Y656)</f>
        <v/>
      </c>
      <c r="BA657" s="7" t="str">
        <f>IF('RFQ-Input'!AB656="","",'RFQ-Input'!AB656)</f>
        <v/>
      </c>
    </row>
    <row r="658" spans="1:53">
      <c r="A658" s="20">
        <v>654</v>
      </c>
      <c r="B658" s="7"/>
      <c r="C658" s="7" t="str">
        <f>IF('RFQ-Input'!C657="","",'RFQ-Input'!C657)</f>
        <v/>
      </c>
      <c r="D658" s="7" t="str">
        <f>IF('RFQ-Input'!D657="","",'RFQ-Input'!D657)</f>
        <v/>
      </c>
      <c r="E658" s="7" t="str">
        <f>IF('RFQ-Input'!E657="","",'RFQ-Input'!E657)</f>
        <v/>
      </c>
      <c r="F658" s="7" t="str">
        <f>IF('RFQ-Input'!F657="","",'RFQ-Input'!F657)</f>
        <v/>
      </c>
      <c r="G658" s="7" t="str">
        <f>IF('RFQ-Input'!G657="","",'RFQ-Input'!G657)</f>
        <v/>
      </c>
      <c r="H658" s="7" t="str">
        <f>IF('RFQ-Input'!H657="","",'RFQ-Input'!H657)</f>
        <v/>
      </c>
      <c r="I658" s="7" t="str">
        <f>IF('RFQ-Input'!I657="","",'RFQ-Input'!I657)</f>
        <v/>
      </c>
      <c r="J658" s="7" t="str">
        <f>IF('RFQ-Input'!J657="","",'RFQ-Input'!J657)</f>
        <v/>
      </c>
      <c r="K658" s="7" t="str">
        <f>IF('RFQ-Input'!K657="","",'RFQ-Input'!K657)</f>
        <v/>
      </c>
      <c r="L658" s="7" t="str">
        <f>IF('RFQ-Input'!L657="","",'RFQ-Input'!L657)</f>
        <v/>
      </c>
      <c r="M658" s="7" t="str">
        <f>IF('RFQ-Input'!M657="","",'RFQ-Input'!M657)</f>
        <v/>
      </c>
      <c r="N658" s="7" t="str">
        <f>IF('RFQ-Input'!N657="","",'RFQ-Input'!N657)</f>
        <v/>
      </c>
      <c r="O658" s="7" t="str">
        <f>IF('RFQ-Input'!O657="","",'RFQ-Input'!O657)</f>
        <v/>
      </c>
      <c r="Q658" s="7"/>
      <c r="R658" s="7"/>
      <c r="S658" s="7"/>
      <c r="T658" s="7"/>
      <c r="U658" s="7"/>
      <c r="V658" s="7"/>
      <c r="X658" s="7"/>
      <c r="Y658" s="7"/>
      <c r="Z658" s="7"/>
      <c r="AA658" s="7" t="str">
        <f t="shared" si="70"/>
        <v/>
      </c>
      <c r="AB658" s="7"/>
      <c r="AC658" s="7"/>
      <c r="AQ658" s="7" t="str">
        <f t="shared" si="71"/>
        <v/>
      </c>
      <c r="AR658" s="7" t="str">
        <f t="shared" si="72"/>
        <v/>
      </c>
      <c r="AS658" s="7" t="str">
        <f t="shared" si="73"/>
        <v/>
      </c>
      <c r="AT658" s="7" t="str">
        <f t="shared" si="74"/>
        <v/>
      </c>
      <c r="AU658" s="7" t="str">
        <f t="shared" si="75"/>
        <v/>
      </c>
      <c r="AV658" s="7" t="str">
        <f t="shared" si="76"/>
        <v/>
      </c>
      <c r="AW658" s="7" t="str">
        <f>IF('RFQ-Input'!O657="","",'RFQ-Input'!O657)</f>
        <v/>
      </c>
      <c r="AX658" s="7" t="str">
        <f>IF('RFQ-Input'!S657="","",'RFQ-Input'!S657)</f>
        <v/>
      </c>
      <c r="AY658" s="7" t="str">
        <f>IF('RFQ-Input'!V657="","",'RFQ-Input'!V657)</f>
        <v/>
      </c>
      <c r="AZ658" s="7" t="str">
        <f>IF('RFQ-Input'!Y657="","",'RFQ-Input'!Y657)</f>
        <v/>
      </c>
      <c r="BA658" s="7" t="str">
        <f>IF('RFQ-Input'!AB657="","",'RFQ-Input'!AB657)</f>
        <v/>
      </c>
    </row>
    <row r="659" spans="1:53">
      <c r="A659" s="20">
        <v>655</v>
      </c>
      <c r="B659" s="7"/>
      <c r="C659" s="7" t="str">
        <f>IF('RFQ-Input'!C658="","",'RFQ-Input'!C658)</f>
        <v/>
      </c>
      <c r="D659" s="7" t="str">
        <f>IF('RFQ-Input'!D658="","",'RFQ-Input'!D658)</f>
        <v/>
      </c>
      <c r="E659" s="7" t="str">
        <f>IF('RFQ-Input'!E658="","",'RFQ-Input'!E658)</f>
        <v/>
      </c>
      <c r="F659" s="7" t="str">
        <f>IF('RFQ-Input'!F658="","",'RFQ-Input'!F658)</f>
        <v/>
      </c>
      <c r="G659" s="7" t="str">
        <f>IF('RFQ-Input'!G658="","",'RFQ-Input'!G658)</f>
        <v/>
      </c>
      <c r="H659" s="7" t="str">
        <f>IF('RFQ-Input'!H658="","",'RFQ-Input'!H658)</f>
        <v/>
      </c>
      <c r="I659" s="7" t="str">
        <f>IF('RFQ-Input'!I658="","",'RFQ-Input'!I658)</f>
        <v/>
      </c>
      <c r="J659" s="7" t="str">
        <f>IF('RFQ-Input'!J658="","",'RFQ-Input'!J658)</f>
        <v/>
      </c>
      <c r="K659" s="7" t="str">
        <f>IF('RFQ-Input'!K658="","",'RFQ-Input'!K658)</f>
        <v/>
      </c>
      <c r="L659" s="7" t="str">
        <f>IF('RFQ-Input'!L658="","",'RFQ-Input'!L658)</f>
        <v/>
      </c>
      <c r="M659" s="7" t="str">
        <f>IF('RFQ-Input'!M658="","",'RFQ-Input'!M658)</f>
        <v/>
      </c>
      <c r="N659" s="7" t="str">
        <f>IF('RFQ-Input'!N658="","",'RFQ-Input'!N658)</f>
        <v/>
      </c>
      <c r="O659" s="7" t="str">
        <f>IF('RFQ-Input'!O658="","",'RFQ-Input'!O658)</f>
        <v/>
      </c>
      <c r="Q659" s="7"/>
      <c r="R659" s="7"/>
      <c r="S659" s="7"/>
      <c r="T659" s="7"/>
      <c r="U659" s="7"/>
      <c r="V659" s="7"/>
      <c r="X659" s="7"/>
      <c r="Y659" s="7"/>
      <c r="Z659" s="7"/>
      <c r="AA659" s="7" t="str">
        <f t="shared" si="70"/>
        <v/>
      </c>
      <c r="AB659" s="7"/>
      <c r="AC659" s="7"/>
      <c r="AQ659" s="7" t="str">
        <f t="shared" si="71"/>
        <v/>
      </c>
      <c r="AR659" s="7" t="str">
        <f t="shared" si="72"/>
        <v/>
      </c>
      <c r="AS659" s="7" t="str">
        <f t="shared" si="73"/>
        <v/>
      </c>
      <c r="AT659" s="7" t="str">
        <f t="shared" si="74"/>
        <v/>
      </c>
      <c r="AU659" s="7" t="str">
        <f t="shared" si="75"/>
        <v/>
      </c>
      <c r="AV659" s="7" t="str">
        <f t="shared" si="76"/>
        <v/>
      </c>
      <c r="AW659" s="7" t="str">
        <f>IF('RFQ-Input'!O658="","",'RFQ-Input'!O658)</f>
        <v/>
      </c>
      <c r="AX659" s="7" t="str">
        <f>IF('RFQ-Input'!S658="","",'RFQ-Input'!S658)</f>
        <v/>
      </c>
      <c r="AY659" s="7" t="str">
        <f>IF('RFQ-Input'!V658="","",'RFQ-Input'!V658)</f>
        <v/>
      </c>
      <c r="AZ659" s="7" t="str">
        <f>IF('RFQ-Input'!Y658="","",'RFQ-Input'!Y658)</f>
        <v/>
      </c>
      <c r="BA659" s="7" t="str">
        <f>IF('RFQ-Input'!AB658="","",'RFQ-Input'!AB658)</f>
        <v/>
      </c>
    </row>
    <row r="660" spans="1:53">
      <c r="A660" s="20">
        <v>656</v>
      </c>
      <c r="B660" s="7"/>
      <c r="C660" s="7" t="str">
        <f>IF('RFQ-Input'!C659="","",'RFQ-Input'!C659)</f>
        <v/>
      </c>
      <c r="D660" s="7" t="str">
        <f>IF('RFQ-Input'!D659="","",'RFQ-Input'!D659)</f>
        <v/>
      </c>
      <c r="E660" s="7" t="str">
        <f>IF('RFQ-Input'!E659="","",'RFQ-Input'!E659)</f>
        <v/>
      </c>
      <c r="F660" s="7" t="str">
        <f>IF('RFQ-Input'!F659="","",'RFQ-Input'!F659)</f>
        <v/>
      </c>
      <c r="G660" s="7" t="str">
        <f>IF('RFQ-Input'!G659="","",'RFQ-Input'!G659)</f>
        <v/>
      </c>
      <c r="H660" s="7" t="str">
        <f>IF('RFQ-Input'!H659="","",'RFQ-Input'!H659)</f>
        <v/>
      </c>
      <c r="I660" s="7" t="str">
        <f>IF('RFQ-Input'!I659="","",'RFQ-Input'!I659)</f>
        <v/>
      </c>
      <c r="J660" s="7" t="str">
        <f>IF('RFQ-Input'!J659="","",'RFQ-Input'!J659)</f>
        <v/>
      </c>
      <c r="K660" s="7" t="str">
        <f>IF('RFQ-Input'!K659="","",'RFQ-Input'!K659)</f>
        <v/>
      </c>
      <c r="L660" s="7" t="str">
        <f>IF('RFQ-Input'!L659="","",'RFQ-Input'!L659)</f>
        <v/>
      </c>
      <c r="M660" s="7" t="str">
        <f>IF('RFQ-Input'!M659="","",'RFQ-Input'!M659)</f>
        <v/>
      </c>
      <c r="N660" s="7" t="str">
        <f>IF('RFQ-Input'!N659="","",'RFQ-Input'!N659)</f>
        <v/>
      </c>
      <c r="O660" s="7" t="str">
        <f>IF('RFQ-Input'!O659="","",'RFQ-Input'!O659)</f>
        <v/>
      </c>
      <c r="Q660" s="7"/>
      <c r="R660" s="7"/>
      <c r="S660" s="7"/>
      <c r="T660" s="7"/>
      <c r="U660" s="7"/>
      <c r="V660" s="7"/>
      <c r="X660" s="7"/>
      <c r="Y660" s="7"/>
      <c r="Z660" s="7"/>
      <c r="AA660" s="7" t="str">
        <f t="shared" si="70"/>
        <v/>
      </c>
      <c r="AB660" s="7"/>
      <c r="AC660" s="7"/>
      <c r="AQ660" s="7" t="str">
        <f t="shared" si="71"/>
        <v/>
      </c>
      <c r="AR660" s="7" t="str">
        <f t="shared" si="72"/>
        <v/>
      </c>
      <c r="AS660" s="7" t="str">
        <f t="shared" si="73"/>
        <v/>
      </c>
      <c r="AT660" s="7" t="str">
        <f t="shared" si="74"/>
        <v/>
      </c>
      <c r="AU660" s="7" t="str">
        <f t="shared" si="75"/>
        <v/>
      </c>
      <c r="AV660" s="7" t="str">
        <f t="shared" si="76"/>
        <v/>
      </c>
      <c r="AW660" s="7" t="str">
        <f>IF('RFQ-Input'!O659="","",'RFQ-Input'!O659)</f>
        <v/>
      </c>
      <c r="AX660" s="7" t="str">
        <f>IF('RFQ-Input'!S659="","",'RFQ-Input'!S659)</f>
        <v/>
      </c>
      <c r="AY660" s="7" t="str">
        <f>IF('RFQ-Input'!V659="","",'RFQ-Input'!V659)</f>
        <v/>
      </c>
      <c r="AZ660" s="7" t="str">
        <f>IF('RFQ-Input'!Y659="","",'RFQ-Input'!Y659)</f>
        <v/>
      </c>
      <c r="BA660" s="7" t="str">
        <f>IF('RFQ-Input'!AB659="","",'RFQ-Input'!AB659)</f>
        <v/>
      </c>
    </row>
    <row r="661" spans="1:53">
      <c r="A661" s="20">
        <v>657</v>
      </c>
      <c r="B661" s="7"/>
      <c r="C661" s="7" t="str">
        <f>IF('RFQ-Input'!C660="","",'RFQ-Input'!C660)</f>
        <v/>
      </c>
      <c r="D661" s="7" t="str">
        <f>IF('RFQ-Input'!D660="","",'RFQ-Input'!D660)</f>
        <v/>
      </c>
      <c r="E661" s="7" t="str">
        <f>IF('RFQ-Input'!E660="","",'RFQ-Input'!E660)</f>
        <v/>
      </c>
      <c r="F661" s="7" t="str">
        <f>IF('RFQ-Input'!F660="","",'RFQ-Input'!F660)</f>
        <v/>
      </c>
      <c r="G661" s="7" t="str">
        <f>IF('RFQ-Input'!G660="","",'RFQ-Input'!G660)</f>
        <v/>
      </c>
      <c r="H661" s="7" t="str">
        <f>IF('RFQ-Input'!H660="","",'RFQ-Input'!H660)</f>
        <v/>
      </c>
      <c r="I661" s="7" t="str">
        <f>IF('RFQ-Input'!I660="","",'RFQ-Input'!I660)</f>
        <v/>
      </c>
      <c r="J661" s="7" t="str">
        <f>IF('RFQ-Input'!J660="","",'RFQ-Input'!J660)</f>
        <v/>
      </c>
      <c r="K661" s="7" t="str">
        <f>IF('RFQ-Input'!K660="","",'RFQ-Input'!K660)</f>
        <v/>
      </c>
      <c r="L661" s="7" t="str">
        <f>IF('RFQ-Input'!L660="","",'RFQ-Input'!L660)</f>
        <v/>
      </c>
      <c r="M661" s="7" t="str">
        <f>IF('RFQ-Input'!M660="","",'RFQ-Input'!M660)</f>
        <v/>
      </c>
      <c r="N661" s="7" t="str">
        <f>IF('RFQ-Input'!N660="","",'RFQ-Input'!N660)</f>
        <v/>
      </c>
      <c r="O661" s="7" t="str">
        <f>IF('RFQ-Input'!O660="","",'RFQ-Input'!O660)</f>
        <v/>
      </c>
      <c r="Q661" s="7"/>
      <c r="R661" s="7"/>
      <c r="S661" s="7"/>
      <c r="T661" s="7"/>
      <c r="U661" s="7"/>
      <c r="V661" s="7"/>
      <c r="X661" s="7"/>
      <c r="Y661" s="7"/>
      <c r="Z661" s="7"/>
      <c r="AA661" s="7" t="str">
        <f t="shared" si="70"/>
        <v/>
      </c>
      <c r="AB661" s="7"/>
      <c r="AC661" s="7"/>
      <c r="AQ661" s="7" t="str">
        <f t="shared" si="71"/>
        <v/>
      </c>
      <c r="AR661" s="7" t="str">
        <f t="shared" si="72"/>
        <v/>
      </c>
      <c r="AS661" s="7" t="str">
        <f t="shared" si="73"/>
        <v/>
      </c>
      <c r="AT661" s="7" t="str">
        <f t="shared" si="74"/>
        <v/>
      </c>
      <c r="AU661" s="7" t="str">
        <f t="shared" si="75"/>
        <v/>
      </c>
      <c r="AV661" s="7" t="str">
        <f t="shared" si="76"/>
        <v/>
      </c>
      <c r="AW661" s="7" t="str">
        <f>IF('RFQ-Input'!O660="","",'RFQ-Input'!O660)</f>
        <v/>
      </c>
      <c r="AX661" s="7" t="str">
        <f>IF('RFQ-Input'!S660="","",'RFQ-Input'!S660)</f>
        <v/>
      </c>
      <c r="AY661" s="7" t="str">
        <f>IF('RFQ-Input'!V660="","",'RFQ-Input'!V660)</f>
        <v/>
      </c>
      <c r="AZ661" s="7" t="str">
        <f>IF('RFQ-Input'!Y660="","",'RFQ-Input'!Y660)</f>
        <v/>
      </c>
      <c r="BA661" s="7" t="str">
        <f>IF('RFQ-Input'!AB660="","",'RFQ-Input'!AB660)</f>
        <v/>
      </c>
    </row>
    <row r="662" spans="1:53">
      <c r="A662" s="20">
        <v>658</v>
      </c>
      <c r="B662" s="7"/>
      <c r="C662" s="7" t="str">
        <f>IF('RFQ-Input'!C661="","",'RFQ-Input'!C661)</f>
        <v/>
      </c>
      <c r="D662" s="7" t="str">
        <f>IF('RFQ-Input'!D661="","",'RFQ-Input'!D661)</f>
        <v/>
      </c>
      <c r="E662" s="7" t="str">
        <f>IF('RFQ-Input'!E661="","",'RFQ-Input'!E661)</f>
        <v/>
      </c>
      <c r="F662" s="7" t="str">
        <f>IF('RFQ-Input'!F661="","",'RFQ-Input'!F661)</f>
        <v/>
      </c>
      <c r="G662" s="7" t="str">
        <f>IF('RFQ-Input'!G661="","",'RFQ-Input'!G661)</f>
        <v/>
      </c>
      <c r="H662" s="7" t="str">
        <f>IF('RFQ-Input'!H661="","",'RFQ-Input'!H661)</f>
        <v/>
      </c>
      <c r="I662" s="7" t="str">
        <f>IF('RFQ-Input'!I661="","",'RFQ-Input'!I661)</f>
        <v/>
      </c>
      <c r="J662" s="7" t="str">
        <f>IF('RFQ-Input'!J661="","",'RFQ-Input'!J661)</f>
        <v/>
      </c>
      <c r="K662" s="7" t="str">
        <f>IF('RFQ-Input'!K661="","",'RFQ-Input'!K661)</f>
        <v/>
      </c>
      <c r="L662" s="7" t="str">
        <f>IF('RFQ-Input'!L661="","",'RFQ-Input'!L661)</f>
        <v/>
      </c>
      <c r="M662" s="7" t="str">
        <f>IF('RFQ-Input'!M661="","",'RFQ-Input'!M661)</f>
        <v/>
      </c>
      <c r="N662" s="7" t="str">
        <f>IF('RFQ-Input'!N661="","",'RFQ-Input'!N661)</f>
        <v/>
      </c>
      <c r="O662" s="7" t="str">
        <f>IF('RFQ-Input'!O661="","",'RFQ-Input'!O661)</f>
        <v/>
      </c>
      <c r="Q662" s="7"/>
      <c r="R662" s="7"/>
      <c r="S662" s="7"/>
      <c r="T662" s="7"/>
      <c r="U662" s="7"/>
      <c r="V662" s="7"/>
      <c r="X662" s="7"/>
      <c r="Y662" s="7"/>
      <c r="Z662" s="7"/>
      <c r="AA662" s="7" t="str">
        <f t="shared" si="70"/>
        <v/>
      </c>
      <c r="AB662" s="7"/>
      <c r="AC662" s="7"/>
      <c r="AQ662" s="7" t="str">
        <f t="shared" si="71"/>
        <v/>
      </c>
      <c r="AR662" s="7" t="str">
        <f t="shared" si="72"/>
        <v/>
      </c>
      <c r="AS662" s="7" t="str">
        <f t="shared" si="73"/>
        <v/>
      </c>
      <c r="AT662" s="7" t="str">
        <f t="shared" si="74"/>
        <v/>
      </c>
      <c r="AU662" s="7" t="str">
        <f t="shared" si="75"/>
        <v/>
      </c>
      <c r="AV662" s="7" t="str">
        <f t="shared" si="76"/>
        <v/>
      </c>
      <c r="AW662" s="7" t="str">
        <f>IF('RFQ-Input'!O661="","",'RFQ-Input'!O661)</f>
        <v/>
      </c>
      <c r="AX662" s="7" t="str">
        <f>IF('RFQ-Input'!S661="","",'RFQ-Input'!S661)</f>
        <v/>
      </c>
      <c r="AY662" s="7" t="str">
        <f>IF('RFQ-Input'!V661="","",'RFQ-Input'!V661)</f>
        <v/>
      </c>
      <c r="AZ662" s="7" t="str">
        <f>IF('RFQ-Input'!Y661="","",'RFQ-Input'!Y661)</f>
        <v/>
      </c>
      <c r="BA662" s="7" t="str">
        <f>IF('RFQ-Input'!AB661="","",'RFQ-Input'!AB661)</f>
        <v/>
      </c>
    </row>
    <row r="663" spans="1:53">
      <c r="A663" s="20">
        <v>659</v>
      </c>
      <c r="B663" s="7"/>
      <c r="C663" s="7" t="str">
        <f>IF('RFQ-Input'!C662="","",'RFQ-Input'!C662)</f>
        <v/>
      </c>
      <c r="D663" s="7" t="str">
        <f>IF('RFQ-Input'!D662="","",'RFQ-Input'!D662)</f>
        <v/>
      </c>
      <c r="E663" s="7" t="str">
        <f>IF('RFQ-Input'!E662="","",'RFQ-Input'!E662)</f>
        <v/>
      </c>
      <c r="F663" s="7" t="str">
        <f>IF('RFQ-Input'!F662="","",'RFQ-Input'!F662)</f>
        <v/>
      </c>
      <c r="G663" s="7" t="str">
        <f>IF('RFQ-Input'!G662="","",'RFQ-Input'!G662)</f>
        <v/>
      </c>
      <c r="H663" s="7" t="str">
        <f>IF('RFQ-Input'!H662="","",'RFQ-Input'!H662)</f>
        <v/>
      </c>
      <c r="I663" s="7" t="str">
        <f>IF('RFQ-Input'!I662="","",'RFQ-Input'!I662)</f>
        <v/>
      </c>
      <c r="J663" s="7" t="str">
        <f>IF('RFQ-Input'!J662="","",'RFQ-Input'!J662)</f>
        <v/>
      </c>
      <c r="K663" s="7" t="str">
        <f>IF('RFQ-Input'!K662="","",'RFQ-Input'!K662)</f>
        <v/>
      </c>
      <c r="L663" s="7" t="str">
        <f>IF('RFQ-Input'!L662="","",'RFQ-Input'!L662)</f>
        <v/>
      </c>
      <c r="M663" s="7" t="str">
        <f>IF('RFQ-Input'!M662="","",'RFQ-Input'!M662)</f>
        <v/>
      </c>
      <c r="N663" s="7" t="str">
        <f>IF('RFQ-Input'!N662="","",'RFQ-Input'!N662)</f>
        <v/>
      </c>
      <c r="O663" s="7" t="str">
        <f>IF('RFQ-Input'!O662="","",'RFQ-Input'!O662)</f>
        <v/>
      </c>
      <c r="Q663" s="7"/>
      <c r="R663" s="7"/>
      <c r="S663" s="7"/>
      <c r="T663" s="7"/>
      <c r="U663" s="7"/>
      <c r="V663" s="7"/>
      <c r="X663" s="7"/>
      <c r="Y663" s="7"/>
      <c r="Z663" s="7"/>
      <c r="AA663" s="7" t="str">
        <f t="shared" si="70"/>
        <v/>
      </c>
      <c r="AB663" s="7"/>
      <c r="AC663" s="7"/>
      <c r="AQ663" s="7" t="str">
        <f t="shared" si="71"/>
        <v/>
      </c>
      <c r="AR663" s="7" t="str">
        <f t="shared" si="72"/>
        <v/>
      </c>
      <c r="AS663" s="7" t="str">
        <f t="shared" si="73"/>
        <v/>
      </c>
      <c r="AT663" s="7" t="str">
        <f t="shared" si="74"/>
        <v/>
      </c>
      <c r="AU663" s="7" t="str">
        <f t="shared" si="75"/>
        <v/>
      </c>
      <c r="AV663" s="7" t="str">
        <f t="shared" si="76"/>
        <v/>
      </c>
      <c r="AW663" s="7" t="str">
        <f>IF('RFQ-Input'!O662="","",'RFQ-Input'!O662)</f>
        <v/>
      </c>
      <c r="AX663" s="7" t="str">
        <f>IF('RFQ-Input'!S662="","",'RFQ-Input'!S662)</f>
        <v/>
      </c>
      <c r="AY663" s="7" t="str">
        <f>IF('RFQ-Input'!V662="","",'RFQ-Input'!V662)</f>
        <v/>
      </c>
      <c r="AZ663" s="7" t="str">
        <f>IF('RFQ-Input'!Y662="","",'RFQ-Input'!Y662)</f>
        <v/>
      </c>
      <c r="BA663" s="7" t="str">
        <f>IF('RFQ-Input'!AB662="","",'RFQ-Input'!AB662)</f>
        <v/>
      </c>
    </row>
    <row r="664" spans="1:53">
      <c r="A664" s="20">
        <v>660</v>
      </c>
      <c r="B664" s="7"/>
      <c r="C664" s="7" t="str">
        <f>IF('RFQ-Input'!C663="","",'RFQ-Input'!C663)</f>
        <v/>
      </c>
      <c r="D664" s="7" t="str">
        <f>IF('RFQ-Input'!D663="","",'RFQ-Input'!D663)</f>
        <v/>
      </c>
      <c r="E664" s="7" t="str">
        <f>IF('RFQ-Input'!E663="","",'RFQ-Input'!E663)</f>
        <v/>
      </c>
      <c r="F664" s="7" t="str">
        <f>IF('RFQ-Input'!F663="","",'RFQ-Input'!F663)</f>
        <v/>
      </c>
      <c r="G664" s="7" t="str">
        <f>IF('RFQ-Input'!G663="","",'RFQ-Input'!G663)</f>
        <v/>
      </c>
      <c r="H664" s="7" t="str">
        <f>IF('RFQ-Input'!H663="","",'RFQ-Input'!H663)</f>
        <v/>
      </c>
      <c r="I664" s="7" t="str">
        <f>IF('RFQ-Input'!I663="","",'RFQ-Input'!I663)</f>
        <v/>
      </c>
      <c r="J664" s="7" t="str">
        <f>IF('RFQ-Input'!J663="","",'RFQ-Input'!J663)</f>
        <v/>
      </c>
      <c r="K664" s="7" t="str">
        <f>IF('RFQ-Input'!K663="","",'RFQ-Input'!K663)</f>
        <v/>
      </c>
      <c r="L664" s="7" t="str">
        <f>IF('RFQ-Input'!L663="","",'RFQ-Input'!L663)</f>
        <v/>
      </c>
      <c r="M664" s="7" t="str">
        <f>IF('RFQ-Input'!M663="","",'RFQ-Input'!M663)</f>
        <v/>
      </c>
      <c r="N664" s="7" t="str">
        <f>IF('RFQ-Input'!N663="","",'RFQ-Input'!N663)</f>
        <v/>
      </c>
      <c r="O664" s="7" t="str">
        <f>IF('RFQ-Input'!O663="","",'RFQ-Input'!O663)</f>
        <v/>
      </c>
      <c r="Q664" s="7"/>
      <c r="R664" s="7"/>
      <c r="S664" s="7"/>
      <c r="T664" s="7"/>
      <c r="U664" s="7"/>
      <c r="V664" s="7"/>
      <c r="X664" s="7"/>
      <c r="Y664" s="7"/>
      <c r="Z664" s="7"/>
      <c r="AA664" s="7" t="str">
        <f t="shared" si="70"/>
        <v/>
      </c>
      <c r="AB664" s="7"/>
      <c r="AC664" s="7"/>
      <c r="AQ664" s="7" t="str">
        <f t="shared" si="71"/>
        <v/>
      </c>
      <c r="AR664" s="7" t="str">
        <f t="shared" si="72"/>
        <v/>
      </c>
      <c r="AS664" s="7" t="str">
        <f t="shared" si="73"/>
        <v/>
      </c>
      <c r="AT664" s="7" t="str">
        <f t="shared" si="74"/>
        <v/>
      </c>
      <c r="AU664" s="7" t="str">
        <f t="shared" si="75"/>
        <v/>
      </c>
      <c r="AV664" s="7" t="str">
        <f t="shared" si="76"/>
        <v/>
      </c>
      <c r="AW664" s="7" t="str">
        <f>IF('RFQ-Input'!O663="","",'RFQ-Input'!O663)</f>
        <v/>
      </c>
      <c r="AX664" s="7" t="str">
        <f>IF('RFQ-Input'!S663="","",'RFQ-Input'!S663)</f>
        <v/>
      </c>
      <c r="AY664" s="7" t="str">
        <f>IF('RFQ-Input'!V663="","",'RFQ-Input'!V663)</f>
        <v/>
      </c>
      <c r="AZ664" s="7" t="str">
        <f>IF('RFQ-Input'!Y663="","",'RFQ-Input'!Y663)</f>
        <v/>
      </c>
      <c r="BA664" s="7" t="str">
        <f>IF('RFQ-Input'!AB663="","",'RFQ-Input'!AB663)</f>
        <v/>
      </c>
    </row>
    <row r="665" spans="1:53">
      <c r="A665" s="20">
        <v>661</v>
      </c>
      <c r="B665" s="7"/>
      <c r="C665" s="7" t="str">
        <f>IF('RFQ-Input'!C664="","",'RFQ-Input'!C664)</f>
        <v/>
      </c>
      <c r="D665" s="7" t="str">
        <f>IF('RFQ-Input'!D664="","",'RFQ-Input'!D664)</f>
        <v/>
      </c>
      <c r="E665" s="7" t="str">
        <f>IF('RFQ-Input'!E664="","",'RFQ-Input'!E664)</f>
        <v/>
      </c>
      <c r="F665" s="7" t="str">
        <f>IF('RFQ-Input'!F664="","",'RFQ-Input'!F664)</f>
        <v/>
      </c>
      <c r="G665" s="7" t="str">
        <f>IF('RFQ-Input'!G664="","",'RFQ-Input'!G664)</f>
        <v/>
      </c>
      <c r="H665" s="7" t="str">
        <f>IF('RFQ-Input'!H664="","",'RFQ-Input'!H664)</f>
        <v/>
      </c>
      <c r="I665" s="7" t="str">
        <f>IF('RFQ-Input'!I664="","",'RFQ-Input'!I664)</f>
        <v/>
      </c>
      <c r="J665" s="7" t="str">
        <f>IF('RFQ-Input'!J664="","",'RFQ-Input'!J664)</f>
        <v/>
      </c>
      <c r="K665" s="7" t="str">
        <f>IF('RFQ-Input'!K664="","",'RFQ-Input'!K664)</f>
        <v/>
      </c>
      <c r="L665" s="7" t="str">
        <f>IF('RFQ-Input'!L664="","",'RFQ-Input'!L664)</f>
        <v/>
      </c>
      <c r="M665" s="7" t="str">
        <f>IF('RFQ-Input'!M664="","",'RFQ-Input'!M664)</f>
        <v/>
      </c>
      <c r="N665" s="7" t="str">
        <f>IF('RFQ-Input'!N664="","",'RFQ-Input'!N664)</f>
        <v/>
      </c>
      <c r="O665" s="7" t="str">
        <f>IF('RFQ-Input'!O664="","",'RFQ-Input'!O664)</f>
        <v/>
      </c>
      <c r="Q665" s="7"/>
      <c r="R665" s="7"/>
      <c r="S665" s="7"/>
      <c r="T665" s="7"/>
      <c r="U665" s="7"/>
      <c r="V665" s="7"/>
      <c r="X665" s="7"/>
      <c r="Y665" s="7"/>
      <c r="Z665" s="7"/>
      <c r="AA665" s="7" t="str">
        <f t="shared" si="70"/>
        <v/>
      </c>
      <c r="AB665" s="7"/>
      <c r="AC665" s="7"/>
      <c r="AQ665" s="7" t="str">
        <f t="shared" si="71"/>
        <v/>
      </c>
      <c r="AR665" s="7" t="str">
        <f t="shared" si="72"/>
        <v/>
      </c>
      <c r="AS665" s="7" t="str">
        <f t="shared" si="73"/>
        <v/>
      </c>
      <c r="AT665" s="7" t="str">
        <f t="shared" si="74"/>
        <v/>
      </c>
      <c r="AU665" s="7" t="str">
        <f t="shared" si="75"/>
        <v/>
      </c>
      <c r="AV665" s="7" t="str">
        <f t="shared" si="76"/>
        <v/>
      </c>
      <c r="AW665" s="7" t="str">
        <f>IF('RFQ-Input'!O664="","",'RFQ-Input'!O664)</f>
        <v/>
      </c>
      <c r="AX665" s="7" t="str">
        <f>IF('RFQ-Input'!S664="","",'RFQ-Input'!S664)</f>
        <v/>
      </c>
      <c r="AY665" s="7" t="str">
        <f>IF('RFQ-Input'!V664="","",'RFQ-Input'!V664)</f>
        <v/>
      </c>
      <c r="AZ665" s="7" t="str">
        <f>IF('RFQ-Input'!Y664="","",'RFQ-Input'!Y664)</f>
        <v/>
      </c>
      <c r="BA665" s="7" t="str">
        <f>IF('RFQ-Input'!AB664="","",'RFQ-Input'!AB664)</f>
        <v/>
      </c>
    </row>
    <row r="666" spans="1:53">
      <c r="A666" s="20">
        <v>662</v>
      </c>
      <c r="B666" s="7"/>
      <c r="C666" s="7" t="str">
        <f>IF('RFQ-Input'!C665="","",'RFQ-Input'!C665)</f>
        <v/>
      </c>
      <c r="D666" s="7" t="str">
        <f>IF('RFQ-Input'!D665="","",'RFQ-Input'!D665)</f>
        <v/>
      </c>
      <c r="E666" s="7" t="str">
        <f>IF('RFQ-Input'!E665="","",'RFQ-Input'!E665)</f>
        <v/>
      </c>
      <c r="F666" s="7" t="str">
        <f>IF('RFQ-Input'!F665="","",'RFQ-Input'!F665)</f>
        <v/>
      </c>
      <c r="G666" s="7" t="str">
        <f>IF('RFQ-Input'!G665="","",'RFQ-Input'!G665)</f>
        <v/>
      </c>
      <c r="H666" s="7" t="str">
        <f>IF('RFQ-Input'!H665="","",'RFQ-Input'!H665)</f>
        <v/>
      </c>
      <c r="I666" s="7" t="str">
        <f>IF('RFQ-Input'!I665="","",'RFQ-Input'!I665)</f>
        <v/>
      </c>
      <c r="J666" s="7" t="str">
        <f>IF('RFQ-Input'!J665="","",'RFQ-Input'!J665)</f>
        <v/>
      </c>
      <c r="K666" s="7" t="str">
        <f>IF('RFQ-Input'!K665="","",'RFQ-Input'!K665)</f>
        <v/>
      </c>
      <c r="L666" s="7" t="str">
        <f>IF('RFQ-Input'!L665="","",'RFQ-Input'!L665)</f>
        <v/>
      </c>
      <c r="M666" s="7" t="str">
        <f>IF('RFQ-Input'!M665="","",'RFQ-Input'!M665)</f>
        <v/>
      </c>
      <c r="N666" s="7" t="str">
        <f>IF('RFQ-Input'!N665="","",'RFQ-Input'!N665)</f>
        <v/>
      </c>
      <c r="O666" s="7" t="str">
        <f>IF('RFQ-Input'!O665="","",'RFQ-Input'!O665)</f>
        <v/>
      </c>
      <c r="Q666" s="7"/>
      <c r="R666" s="7"/>
      <c r="S666" s="7"/>
      <c r="T666" s="7"/>
      <c r="U666" s="7"/>
      <c r="V666" s="7"/>
      <c r="X666" s="7"/>
      <c r="Y666" s="7"/>
      <c r="Z666" s="7"/>
      <c r="AA666" s="7" t="str">
        <f t="shared" si="70"/>
        <v/>
      </c>
      <c r="AB666" s="7"/>
      <c r="AC666" s="7"/>
      <c r="AQ666" s="7" t="str">
        <f t="shared" si="71"/>
        <v/>
      </c>
      <c r="AR666" s="7" t="str">
        <f t="shared" si="72"/>
        <v/>
      </c>
      <c r="AS666" s="7" t="str">
        <f t="shared" si="73"/>
        <v/>
      </c>
      <c r="AT666" s="7" t="str">
        <f t="shared" si="74"/>
        <v/>
      </c>
      <c r="AU666" s="7" t="str">
        <f t="shared" si="75"/>
        <v/>
      </c>
      <c r="AV666" s="7" t="str">
        <f t="shared" si="76"/>
        <v/>
      </c>
      <c r="AW666" s="7" t="str">
        <f>IF('RFQ-Input'!O665="","",'RFQ-Input'!O665)</f>
        <v/>
      </c>
      <c r="AX666" s="7" t="str">
        <f>IF('RFQ-Input'!S665="","",'RFQ-Input'!S665)</f>
        <v/>
      </c>
      <c r="AY666" s="7" t="str">
        <f>IF('RFQ-Input'!V665="","",'RFQ-Input'!V665)</f>
        <v/>
      </c>
      <c r="AZ666" s="7" t="str">
        <f>IF('RFQ-Input'!Y665="","",'RFQ-Input'!Y665)</f>
        <v/>
      </c>
      <c r="BA666" s="7" t="str">
        <f>IF('RFQ-Input'!AB665="","",'RFQ-Input'!AB665)</f>
        <v/>
      </c>
    </row>
    <row r="667" spans="1:53">
      <c r="A667" s="20">
        <v>663</v>
      </c>
      <c r="B667" s="7"/>
      <c r="C667" s="7" t="str">
        <f>IF('RFQ-Input'!C666="","",'RFQ-Input'!C666)</f>
        <v/>
      </c>
      <c r="D667" s="7" t="str">
        <f>IF('RFQ-Input'!D666="","",'RFQ-Input'!D666)</f>
        <v/>
      </c>
      <c r="E667" s="7" t="str">
        <f>IF('RFQ-Input'!E666="","",'RFQ-Input'!E666)</f>
        <v/>
      </c>
      <c r="F667" s="7" t="str">
        <f>IF('RFQ-Input'!F666="","",'RFQ-Input'!F666)</f>
        <v/>
      </c>
      <c r="G667" s="7" t="str">
        <f>IF('RFQ-Input'!G666="","",'RFQ-Input'!G666)</f>
        <v/>
      </c>
      <c r="H667" s="7" t="str">
        <f>IF('RFQ-Input'!H666="","",'RFQ-Input'!H666)</f>
        <v/>
      </c>
      <c r="I667" s="7" t="str">
        <f>IF('RFQ-Input'!I666="","",'RFQ-Input'!I666)</f>
        <v/>
      </c>
      <c r="J667" s="7" t="str">
        <f>IF('RFQ-Input'!J666="","",'RFQ-Input'!J666)</f>
        <v/>
      </c>
      <c r="K667" s="7" t="str">
        <f>IF('RFQ-Input'!K666="","",'RFQ-Input'!K666)</f>
        <v/>
      </c>
      <c r="L667" s="7" t="str">
        <f>IF('RFQ-Input'!L666="","",'RFQ-Input'!L666)</f>
        <v/>
      </c>
      <c r="M667" s="7" t="str">
        <f>IF('RFQ-Input'!M666="","",'RFQ-Input'!M666)</f>
        <v/>
      </c>
      <c r="N667" s="7" t="str">
        <f>IF('RFQ-Input'!N666="","",'RFQ-Input'!N666)</f>
        <v/>
      </c>
      <c r="O667" s="7" t="str">
        <f>IF('RFQ-Input'!O666="","",'RFQ-Input'!O666)</f>
        <v/>
      </c>
      <c r="Q667" s="7"/>
      <c r="R667" s="7"/>
      <c r="S667" s="7"/>
      <c r="T667" s="7"/>
      <c r="U667" s="7"/>
      <c r="V667" s="7"/>
      <c r="X667" s="7"/>
      <c r="Y667" s="7"/>
      <c r="Z667" s="7"/>
      <c r="AA667" s="7" t="str">
        <f t="shared" si="70"/>
        <v/>
      </c>
      <c r="AB667" s="7"/>
      <c r="AC667" s="7"/>
      <c r="AQ667" s="7" t="str">
        <f t="shared" si="71"/>
        <v/>
      </c>
      <c r="AR667" s="7" t="str">
        <f t="shared" si="72"/>
        <v/>
      </c>
      <c r="AS667" s="7" t="str">
        <f t="shared" si="73"/>
        <v/>
      </c>
      <c r="AT667" s="7" t="str">
        <f t="shared" si="74"/>
        <v/>
      </c>
      <c r="AU667" s="7" t="str">
        <f t="shared" si="75"/>
        <v/>
      </c>
      <c r="AV667" s="7" t="str">
        <f t="shared" si="76"/>
        <v/>
      </c>
      <c r="AW667" s="7" t="str">
        <f>IF('RFQ-Input'!O666="","",'RFQ-Input'!O666)</f>
        <v/>
      </c>
      <c r="AX667" s="7" t="str">
        <f>IF('RFQ-Input'!S666="","",'RFQ-Input'!S666)</f>
        <v/>
      </c>
      <c r="AY667" s="7" t="str">
        <f>IF('RFQ-Input'!V666="","",'RFQ-Input'!V666)</f>
        <v/>
      </c>
      <c r="AZ667" s="7" t="str">
        <f>IF('RFQ-Input'!Y666="","",'RFQ-Input'!Y666)</f>
        <v/>
      </c>
      <c r="BA667" s="7" t="str">
        <f>IF('RFQ-Input'!AB666="","",'RFQ-Input'!AB666)</f>
        <v/>
      </c>
    </row>
    <row r="668" spans="1:53">
      <c r="A668" s="20">
        <v>664</v>
      </c>
      <c r="B668" s="7"/>
      <c r="C668" s="7" t="str">
        <f>IF('RFQ-Input'!C667="","",'RFQ-Input'!C667)</f>
        <v/>
      </c>
      <c r="D668" s="7" t="str">
        <f>IF('RFQ-Input'!D667="","",'RFQ-Input'!D667)</f>
        <v/>
      </c>
      <c r="E668" s="7" t="str">
        <f>IF('RFQ-Input'!E667="","",'RFQ-Input'!E667)</f>
        <v/>
      </c>
      <c r="F668" s="7" t="str">
        <f>IF('RFQ-Input'!F667="","",'RFQ-Input'!F667)</f>
        <v/>
      </c>
      <c r="G668" s="7" t="str">
        <f>IF('RFQ-Input'!G667="","",'RFQ-Input'!G667)</f>
        <v/>
      </c>
      <c r="H668" s="7" t="str">
        <f>IF('RFQ-Input'!H667="","",'RFQ-Input'!H667)</f>
        <v/>
      </c>
      <c r="I668" s="7" t="str">
        <f>IF('RFQ-Input'!I667="","",'RFQ-Input'!I667)</f>
        <v/>
      </c>
      <c r="J668" s="7" t="str">
        <f>IF('RFQ-Input'!J667="","",'RFQ-Input'!J667)</f>
        <v/>
      </c>
      <c r="K668" s="7" t="str">
        <f>IF('RFQ-Input'!K667="","",'RFQ-Input'!K667)</f>
        <v/>
      </c>
      <c r="L668" s="7" t="str">
        <f>IF('RFQ-Input'!L667="","",'RFQ-Input'!L667)</f>
        <v/>
      </c>
      <c r="M668" s="7" t="str">
        <f>IF('RFQ-Input'!M667="","",'RFQ-Input'!M667)</f>
        <v/>
      </c>
      <c r="N668" s="7" t="str">
        <f>IF('RFQ-Input'!N667="","",'RFQ-Input'!N667)</f>
        <v/>
      </c>
      <c r="O668" s="7" t="str">
        <f>IF('RFQ-Input'!O667="","",'RFQ-Input'!O667)</f>
        <v/>
      </c>
      <c r="Q668" s="7"/>
      <c r="R668" s="7"/>
      <c r="S668" s="7"/>
      <c r="T668" s="7"/>
      <c r="U668" s="7"/>
      <c r="V668" s="7"/>
      <c r="X668" s="7"/>
      <c r="Y668" s="7"/>
      <c r="Z668" s="7"/>
      <c r="AA668" s="7" t="str">
        <f t="shared" si="70"/>
        <v/>
      </c>
      <c r="AB668" s="7"/>
      <c r="AC668" s="7"/>
      <c r="AQ668" s="7" t="str">
        <f t="shared" si="71"/>
        <v/>
      </c>
      <c r="AR668" s="7" t="str">
        <f t="shared" si="72"/>
        <v/>
      </c>
      <c r="AS668" s="7" t="str">
        <f t="shared" si="73"/>
        <v/>
      </c>
      <c r="AT668" s="7" t="str">
        <f t="shared" si="74"/>
        <v/>
      </c>
      <c r="AU668" s="7" t="str">
        <f t="shared" si="75"/>
        <v/>
      </c>
      <c r="AV668" s="7" t="str">
        <f t="shared" si="76"/>
        <v/>
      </c>
      <c r="AW668" s="7" t="str">
        <f>IF('RFQ-Input'!O667="","",'RFQ-Input'!O667)</f>
        <v/>
      </c>
      <c r="AX668" s="7" t="str">
        <f>IF('RFQ-Input'!S667="","",'RFQ-Input'!S667)</f>
        <v/>
      </c>
      <c r="AY668" s="7" t="str">
        <f>IF('RFQ-Input'!V667="","",'RFQ-Input'!V667)</f>
        <v/>
      </c>
      <c r="AZ668" s="7" t="str">
        <f>IF('RFQ-Input'!Y667="","",'RFQ-Input'!Y667)</f>
        <v/>
      </c>
      <c r="BA668" s="7" t="str">
        <f>IF('RFQ-Input'!AB667="","",'RFQ-Input'!AB667)</f>
        <v/>
      </c>
    </row>
    <row r="669" spans="1:53">
      <c r="A669" s="20">
        <v>665</v>
      </c>
      <c r="B669" s="7"/>
      <c r="C669" s="7" t="str">
        <f>IF('RFQ-Input'!C668="","",'RFQ-Input'!C668)</f>
        <v/>
      </c>
      <c r="D669" s="7" t="str">
        <f>IF('RFQ-Input'!D668="","",'RFQ-Input'!D668)</f>
        <v/>
      </c>
      <c r="E669" s="7" t="str">
        <f>IF('RFQ-Input'!E668="","",'RFQ-Input'!E668)</f>
        <v/>
      </c>
      <c r="F669" s="7" t="str">
        <f>IF('RFQ-Input'!F668="","",'RFQ-Input'!F668)</f>
        <v/>
      </c>
      <c r="G669" s="7" t="str">
        <f>IF('RFQ-Input'!G668="","",'RFQ-Input'!G668)</f>
        <v/>
      </c>
      <c r="H669" s="7" t="str">
        <f>IF('RFQ-Input'!H668="","",'RFQ-Input'!H668)</f>
        <v/>
      </c>
      <c r="I669" s="7" t="str">
        <f>IF('RFQ-Input'!I668="","",'RFQ-Input'!I668)</f>
        <v/>
      </c>
      <c r="J669" s="7" t="str">
        <f>IF('RFQ-Input'!J668="","",'RFQ-Input'!J668)</f>
        <v/>
      </c>
      <c r="K669" s="7" t="str">
        <f>IF('RFQ-Input'!K668="","",'RFQ-Input'!K668)</f>
        <v/>
      </c>
      <c r="L669" s="7" t="str">
        <f>IF('RFQ-Input'!L668="","",'RFQ-Input'!L668)</f>
        <v/>
      </c>
      <c r="M669" s="7" t="str">
        <f>IF('RFQ-Input'!M668="","",'RFQ-Input'!M668)</f>
        <v/>
      </c>
      <c r="N669" s="7" t="str">
        <f>IF('RFQ-Input'!N668="","",'RFQ-Input'!N668)</f>
        <v/>
      </c>
      <c r="O669" s="7" t="str">
        <f>IF('RFQ-Input'!O668="","",'RFQ-Input'!O668)</f>
        <v/>
      </c>
      <c r="Q669" s="7"/>
      <c r="R669" s="7"/>
      <c r="S669" s="7"/>
      <c r="T669" s="7"/>
      <c r="U669" s="7"/>
      <c r="V669" s="7"/>
      <c r="X669" s="7"/>
      <c r="Y669" s="7"/>
      <c r="Z669" s="7"/>
      <c r="AA669" s="7" t="str">
        <f t="shared" si="70"/>
        <v/>
      </c>
      <c r="AB669" s="7"/>
      <c r="AC669" s="7"/>
      <c r="AQ669" s="7" t="str">
        <f t="shared" si="71"/>
        <v/>
      </c>
      <c r="AR669" s="7" t="str">
        <f t="shared" si="72"/>
        <v/>
      </c>
      <c r="AS669" s="7" t="str">
        <f t="shared" si="73"/>
        <v/>
      </c>
      <c r="AT669" s="7" t="str">
        <f t="shared" si="74"/>
        <v/>
      </c>
      <c r="AU669" s="7" t="str">
        <f t="shared" si="75"/>
        <v/>
      </c>
      <c r="AV669" s="7" t="str">
        <f t="shared" si="76"/>
        <v/>
      </c>
      <c r="AW669" s="7" t="str">
        <f>IF('RFQ-Input'!O668="","",'RFQ-Input'!O668)</f>
        <v/>
      </c>
      <c r="AX669" s="7" t="str">
        <f>IF('RFQ-Input'!S668="","",'RFQ-Input'!S668)</f>
        <v/>
      </c>
      <c r="AY669" s="7" t="str">
        <f>IF('RFQ-Input'!V668="","",'RFQ-Input'!V668)</f>
        <v/>
      </c>
      <c r="AZ669" s="7" t="str">
        <f>IF('RFQ-Input'!Y668="","",'RFQ-Input'!Y668)</f>
        <v/>
      </c>
      <c r="BA669" s="7" t="str">
        <f>IF('RFQ-Input'!AB668="","",'RFQ-Input'!AB668)</f>
        <v/>
      </c>
    </row>
    <row r="670" spans="1:53">
      <c r="A670" s="20">
        <v>666</v>
      </c>
      <c r="B670" s="7"/>
      <c r="C670" s="7" t="str">
        <f>IF('RFQ-Input'!C669="","",'RFQ-Input'!C669)</f>
        <v/>
      </c>
      <c r="D670" s="7" t="str">
        <f>IF('RFQ-Input'!D669="","",'RFQ-Input'!D669)</f>
        <v/>
      </c>
      <c r="E670" s="7" t="str">
        <f>IF('RFQ-Input'!E669="","",'RFQ-Input'!E669)</f>
        <v/>
      </c>
      <c r="F670" s="7" t="str">
        <f>IF('RFQ-Input'!F669="","",'RFQ-Input'!F669)</f>
        <v/>
      </c>
      <c r="G670" s="7" t="str">
        <f>IF('RFQ-Input'!G669="","",'RFQ-Input'!G669)</f>
        <v/>
      </c>
      <c r="H670" s="7" t="str">
        <f>IF('RFQ-Input'!H669="","",'RFQ-Input'!H669)</f>
        <v/>
      </c>
      <c r="I670" s="7" t="str">
        <f>IF('RFQ-Input'!I669="","",'RFQ-Input'!I669)</f>
        <v/>
      </c>
      <c r="J670" s="7" t="str">
        <f>IF('RFQ-Input'!J669="","",'RFQ-Input'!J669)</f>
        <v/>
      </c>
      <c r="K670" s="7" t="str">
        <f>IF('RFQ-Input'!K669="","",'RFQ-Input'!K669)</f>
        <v/>
      </c>
      <c r="L670" s="7" t="str">
        <f>IF('RFQ-Input'!L669="","",'RFQ-Input'!L669)</f>
        <v/>
      </c>
      <c r="M670" s="7" t="str">
        <f>IF('RFQ-Input'!M669="","",'RFQ-Input'!M669)</f>
        <v/>
      </c>
      <c r="N670" s="7" t="str">
        <f>IF('RFQ-Input'!N669="","",'RFQ-Input'!N669)</f>
        <v/>
      </c>
      <c r="O670" s="7" t="str">
        <f>IF('RFQ-Input'!O669="","",'RFQ-Input'!O669)</f>
        <v/>
      </c>
      <c r="Q670" s="7"/>
      <c r="R670" s="7"/>
      <c r="S670" s="7"/>
      <c r="T670" s="7"/>
      <c r="U670" s="7"/>
      <c r="V670" s="7"/>
      <c r="X670" s="7"/>
      <c r="Y670" s="7"/>
      <c r="Z670" s="7"/>
      <c r="AA670" s="7" t="str">
        <f t="shared" si="70"/>
        <v/>
      </c>
      <c r="AB670" s="7"/>
      <c r="AC670" s="7"/>
      <c r="AQ670" s="7" t="str">
        <f t="shared" si="71"/>
        <v/>
      </c>
      <c r="AR670" s="7" t="str">
        <f t="shared" si="72"/>
        <v/>
      </c>
      <c r="AS670" s="7" t="str">
        <f t="shared" si="73"/>
        <v/>
      </c>
      <c r="AT670" s="7" t="str">
        <f t="shared" si="74"/>
        <v/>
      </c>
      <c r="AU670" s="7" t="str">
        <f t="shared" si="75"/>
        <v/>
      </c>
      <c r="AV670" s="7" t="str">
        <f t="shared" si="76"/>
        <v/>
      </c>
      <c r="AW670" s="7" t="str">
        <f>IF('RFQ-Input'!O669="","",'RFQ-Input'!O669)</f>
        <v/>
      </c>
      <c r="AX670" s="7" t="str">
        <f>IF('RFQ-Input'!S669="","",'RFQ-Input'!S669)</f>
        <v/>
      </c>
      <c r="AY670" s="7" t="str">
        <f>IF('RFQ-Input'!V669="","",'RFQ-Input'!V669)</f>
        <v/>
      </c>
      <c r="AZ670" s="7" t="str">
        <f>IF('RFQ-Input'!Y669="","",'RFQ-Input'!Y669)</f>
        <v/>
      </c>
      <c r="BA670" s="7" t="str">
        <f>IF('RFQ-Input'!AB669="","",'RFQ-Input'!AB669)</f>
        <v/>
      </c>
    </row>
    <row r="671" spans="1:53">
      <c r="A671" s="20">
        <v>667</v>
      </c>
      <c r="B671" s="7"/>
      <c r="C671" s="7" t="str">
        <f>IF('RFQ-Input'!C670="","",'RFQ-Input'!C670)</f>
        <v/>
      </c>
      <c r="D671" s="7" t="str">
        <f>IF('RFQ-Input'!D670="","",'RFQ-Input'!D670)</f>
        <v/>
      </c>
      <c r="E671" s="7" t="str">
        <f>IF('RFQ-Input'!E670="","",'RFQ-Input'!E670)</f>
        <v/>
      </c>
      <c r="F671" s="7" t="str">
        <f>IF('RFQ-Input'!F670="","",'RFQ-Input'!F670)</f>
        <v/>
      </c>
      <c r="G671" s="7" t="str">
        <f>IF('RFQ-Input'!G670="","",'RFQ-Input'!G670)</f>
        <v/>
      </c>
      <c r="H671" s="7" t="str">
        <f>IF('RFQ-Input'!H670="","",'RFQ-Input'!H670)</f>
        <v/>
      </c>
      <c r="I671" s="7" t="str">
        <f>IF('RFQ-Input'!I670="","",'RFQ-Input'!I670)</f>
        <v/>
      </c>
      <c r="J671" s="7" t="str">
        <f>IF('RFQ-Input'!J670="","",'RFQ-Input'!J670)</f>
        <v/>
      </c>
      <c r="K671" s="7" t="str">
        <f>IF('RFQ-Input'!K670="","",'RFQ-Input'!K670)</f>
        <v/>
      </c>
      <c r="L671" s="7" t="str">
        <f>IF('RFQ-Input'!L670="","",'RFQ-Input'!L670)</f>
        <v/>
      </c>
      <c r="M671" s="7" t="str">
        <f>IF('RFQ-Input'!M670="","",'RFQ-Input'!M670)</f>
        <v/>
      </c>
      <c r="N671" s="7" t="str">
        <f>IF('RFQ-Input'!N670="","",'RFQ-Input'!N670)</f>
        <v/>
      </c>
      <c r="O671" s="7" t="str">
        <f>IF('RFQ-Input'!O670="","",'RFQ-Input'!O670)</f>
        <v/>
      </c>
      <c r="Q671" s="7"/>
      <c r="R671" s="7"/>
      <c r="S671" s="7"/>
      <c r="T671" s="7"/>
      <c r="U671" s="7"/>
      <c r="V671" s="7"/>
      <c r="X671" s="7"/>
      <c r="Y671" s="7"/>
      <c r="Z671" s="7"/>
      <c r="AA671" s="7" t="str">
        <f t="shared" si="70"/>
        <v/>
      </c>
      <c r="AB671" s="7"/>
      <c r="AC671" s="7"/>
      <c r="AQ671" s="7" t="str">
        <f t="shared" si="71"/>
        <v/>
      </c>
      <c r="AR671" s="7" t="str">
        <f t="shared" si="72"/>
        <v/>
      </c>
      <c r="AS671" s="7" t="str">
        <f t="shared" si="73"/>
        <v/>
      </c>
      <c r="AT671" s="7" t="str">
        <f t="shared" si="74"/>
        <v/>
      </c>
      <c r="AU671" s="7" t="str">
        <f t="shared" si="75"/>
        <v/>
      </c>
      <c r="AV671" s="7" t="str">
        <f t="shared" si="76"/>
        <v/>
      </c>
      <c r="AW671" s="7" t="str">
        <f>IF('RFQ-Input'!O670="","",'RFQ-Input'!O670)</f>
        <v/>
      </c>
      <c r="AX671" s="7" t="str">
        <f>IF('RFQ-Input'!S670="","",'RFQ-Input'!S670)</f>
        <v/>
      </c>
      <c r="AY671" s="7" t="str">
        <f>IF('RFQ-Input'!V670="","",'RFQ-Input'!V670)</f>
        <v/>
      </c>
      <c r="AZ671" s="7" t="str">
        <f>IF('RFQ-Input'!Y670="","",'RFQ-Input'!Y670)</f>
        <v/>
      </c>
      <c r="BA671" s="7" t="str">
        <f>IF('RFQ-Input'!AB670="","",'RFQ-Input'!AB670)</f>
        <v/>
      </c>
    </row>
    <row r="672" spans="1:53">
      <c r="A672" s="20">
        <v>668</v>
      </c>
      <c r="B672" s="7"/>
      <c r="C672" s="7" t="str">
        <f>IF('RFQ-Input'!C671="","",'RFQ-Input'!C671)</f>
        <v/>
      </c>
      <c r="D672" s="7" t="str">
        <f>IF('RFQ-Input'!D671="","",'RFQ-Input'!D671)</f>
        <v/>
      </c>
      <c r="E672" s="7" t="str">
        <f>IF('RFQ-Input'!E671="","",'RFQ-Input'!E671)</f>
        <v/>
      </c>
      <c r="F672" s="7" t="str">
        <f>IF('RFQ-Input'!F671="","",'RFQ-Input'!F671)</f>
        <v/>
      </c>
      <c r="G672" s="7" t="str">
        <f>IF('RFQ-Input'!G671="","",'RFQ-Input'!G671)</f>
        <v/>
      </c>
      <c r="H672" s="7" t="str">
        <f>IF('RFQ-Input'!H671="","",'RFQ-Input'!H671)</f>
        <v/>
      </c>
      <c r="I672" s="7" t="str">
        <f>IF('RFQ-Input'!I671="","",'RFQ-Input'!I671)</f>
        <v/>
      </c>
      <c r="J672" s="7" t="str">
        <f>IF('RFQ-Input'!J671="","",'RFQ-Input'!J671)</f>
        <v/>
      </c>
      <c r="K672" s="7" t="str">
        <f>IF('RFQ-Input'!K671="","",'RFQ-Input'!K671)</f>
        <v/>
      </c>
      <c r="L672" s="7" t="str">
        <f>IF('RFQ-Input'!L671="","",'RFQ-Input'!L671)</f>
        <v/>
      </c>
      <c r="M672" s="7" t="str">
        <f>IF('RFQ-Input'!M671="","",'RFQ-Input'!M671)</f>
        <v/>
      </c>
      <c r="N672" s="7" t="str">
        <f>IF('RFQ-Input'!N671="","",'RFQ-Input'!N671)</f>
        <v/>
      </c>
      <c r="O672" s="7" t="str">
        <f>IF('RFQ-Input'!O671="","",'RFQ-Input'!O671)</f>
        <v/>
      </c>
      <c r="Q672" s="7"/>
      <c r="R672" s="7"/>
      <c r="S672" s="7"/>
      <c r="T672" s="7"/>
      <c r="U672" s="7"/>
      <c r="V672" s="7"/>
      <c r="X672" s="7"/>
      <c r="Y672" s="7"/>
      <c r="Z672" s="7"/>
      <c r="AA672" s="7" t="str">
        <f t="shared" si="70"/>
        <v/>
      </c>
      <c r="AB672" s="7"/>
      <c r="AC672" s="7"/>
      <c r="AQ672" s="7" t="str">
        <f t="shared" si="71"/>
        <v/>
      </c>
      <c r="AR672" s="7" t="str">
        <f t="shared" si="72"/>
        <v/>
      </c>
      <c r="AS672" s="7" t="str">
        <f t="shared" si="73"/>
        <v/>
      </c>
      <c r="AT672" s="7" t="str">
        <f t="shared" si="74"/>
        <v/>
      </c>
      <c r="AU672" s="7" t="str">
        <f t="shared" si="75"/>
        <v/>
      </c>
      <c r="AV672" s="7" t="str">
        <f t="shared" si="76"/>
        <v/>
      </c>
      <c r="AW672" s="7" t="str">
        <f>IF('RFQ-Input'!O671="","",'RFQ-Input'!O671)</f>
        <v/>
      </c>
      <c r="AX672" s="7" t="str">
        <f>IF('RFQ-Input'!S671="","",'RFQ-Input'!S671)</f>
        <v/>
      </c>
      <c r="AY672" s="7" t="str">
        <f>IF('RFQ-Input'!V671="","",'RFQ-Input'!V671)</f>
        <v/>
      </c>
      <c r="AZ672" s="7" t="str">
        <f>IF('RFQ-Input'!Y671="","",'RFQ-Input'!Y671)</f>
        <v/>
      </c>
      <c r="BA672" s="7" t="str">
        <f>IF('RFQ-Input'!AB671="","",'RFQ-Input'!AB671)</f>
        <v/>
      </c>
    </row>
    <row r="673" spans="1:53">
      <c r="A673" s="20">
        <v>669</v>
      </c>
      <c r="B673" s="7"/>
      <c r="C673" s="7" t="str">
        <f>IF('RFQ-Input'!C672="","",'RFQ-Input'!C672)</f>
        <v/>
      </c>
      <c r="D673" s="7" t="str">
        <f>IF('RFQ-Input'!D672="","",'RFQ-Input'!D672)</f>
        <v/>
      </c>
      <c r="E673" s="7" t="str">
        <f>IF('RFQ-Input'!E672="","",'RFQ-Input'!E672)</f>
        <v/>
      </c>
      <c r="F673" s="7" t="str">
        <f>IF('RFQ-Input'!F672="","",'RFQ-Input'!F672)</f>
        <v/>
      </c>
      <c r="G673" s="7" t="str">
        <f>IF('RFQ-Input'!G672="","",'RFQ-Input'!G672)</f>
        <v/>
      </c>
      <c r="H673" s="7" t="str">
        <f>IF('RFQ-Input'!H672="","",'RFQ-Input'!H672)</f>
        <v/>
      </c>
      <c r="I673" s="7" t="str">
        <f>IF('RFQ-Input'!I672="","",'RFQ-Input'!I672)</f>
        <v/>
      </c>
      <c r="J673" s="7" t="str">
        <f>IF('RFQ-Input'!J672="","",'RFQ-Input'!J672)</f>
        <v/>
      </c>
      <c r="K673" s="7" t="str">
        <f>IF('RFQ-Input'!K672="","",'RFQ-Input'!K672)</f>
        <v/>
      </c>
      <c r="L673" s="7" t="str">
        <f>IF('RFQ-Input'!L672="","",'RFQ-Input'!L672)</f>
        <v/>
      </c>
      <c r="M673" s="7" t="str">
        <f>IF('RFQ-Input'!M672="","",'RFQ-Input'!M672)</f>
        <v/>
      </c>
      <c r="N673" s="7" t="str">
        <f>IF('RFQ-Input'!N672="","",'RFQ-Input'!N672)</f>
        <v/>
      </c>
      <c r="O673" s="7" t="str">
        <f>IF('RFQ-Input'!O672="","",'RFQ-Input'!O672)</f>
        <v/>
      </c>
      <c r="Q673" s="7"/>
      <c r="R673" s="7"/>
      <c r="S673" s="7"/>
      <c r="T673" s="7"/>
      <c r="U673" s="7"/>
      <c r="V673" s="7"/>
      <c r="X673" s="7"/>
      <c r="Y673" s="7"/>
      <c r="Z673" s="7"/>
      <c r="AA673" s="7" t="str">
        <f t="shared" si="70"/>
        <v/>
      </c>
      <c r="AB673" s="7"/>
      <c r="AC673" s="7"/>
      <c r="AQ673" s="7" t="str">
        <f t="shared" si="71"/>
        <v/>
      </c>
      <c r="AR673" s="7" t="str">
        <f t="shared" si="72"/>
        <v/>
      </c>
      <c r="AS673" s="7" t="str">
        <f t="shared" si="73"/>
        <v/>
      </c>
      <c r="AT673" s="7" t="str">
        <f t="shared" si="74"/>
        <v/>
      </c>
      <c r="AU673" s="7" t="str">
        <f t="shared" si="75"/>
        <v/>
      </c>
      <c r="AV673" s="7" t="str">
        <f t="shared" si="76"/>
        <v/>
      </c>
      <c r="AW673" s="7" t="str">
        <f>IF('RFQ-Input'!O672="","",'RFQ-Input'!O672)</f>
        <v/>
      </c>
      <c r="AX673" s="7" t="str">
        <f>IF('RFQ-Input'!S672="","",'RFQ-Input'!S672)</f>
        <v/>
      </c>
      <c r="AY673" s="7" t="str">
        <f>IF('RFQ-Input'!V672="","",'RFQ-Input'!V672)</f>
        <v/>
      </c>
      <c r="AZ673" s="7" t="str">
        <f>IF('RFQ-Input'!Y672="","",'RFQ-Input'!Y672)</f>
        <v/>
      </c>
      <c r="BA673" s="7" t="str">
        <f>IF('RFQ-Input'!AB672="","",'RFQ-Input'!AB672)</f>
        <v/>
      </c>
    </row>
    <row r="674" spans="1:53">
      <c r="A674" s="20">
        <v>670</v>
      </c>
      <c r="B674" s="7"/>
      <c r="C674" s="7" t="str">
        <f>IF('RFQ-Input'!C673="","",'RFQ-Input'!C673)</f>
        <v/>
      </c>
      <c r="D674" s="7" t="str">
        <f>IF('RFQ-Input'!D673="","",'RFQ-Input'!D673)</f>
        <v/>
      </c>
      <c r="E674" s="7" t="str">
        <f>IF('RFQ-Input'!E673="","",'RFQ-Input'!E673)</f>
        <v/>
      </c>
      <c r="F674" s="7" t="str">
        <f>IF('RFQ-Input'!F673="","",'RFQ-Input'!F673)</f>
        <v/>
      </c>
      <c r="G674" s="7" t="str">
        <f>IF('RFQ-Input'!G673="","",'RFQ-Input'!G673)</f>
        <v/>
      </c>
      <c r="H674" s="7" t="str">
        <f>IF('RFQ-Input'!H673="","",'RFQ-Input'!H673)</f>
        <v/>
      </c>
      <c r="I674" s="7" t="str">
        <f>IF('RFQ-Input'!I673="","",'RFQ-Input'!I673)</f>
        <v/>
      </c>
      <c r="J674" s="7" t="str">
        <f>IF('RFQ-Input'!J673="","",'RFQ-Input'!J673)</f>
        <v/>
      </c>
      <c r="K674" s="7" t="str">
        <f>IF('RFQ-Input'!K673="","",'RFQ-Input'!K673)</f>
        <v/>
      </c>
      <c r="L674" s="7" t="str">
        <f>IF('RFQ-Input'!L673="","",'RFQ-Input'!L673)</f>
        <v/>
      </c>
      <c r="M674" s="7" t="str">
        <f>IF('RFQ-Input'!M673="","",'RFQ-Input'!M673)</f>
        <v/>
      </c>
      <c r="N674" s="7" t="str">
        <f>IF('RFQ-Input'!N673="","",'RFQ-Input'!N673)</f>
        <v/>
      </c>
      <c r="O674" s="7" t="str">
        <f>IF('RFQ-Input'!O673="","",'RFQ-Input'!O673)</f>
        <v/>
      </c>
      <c r="Q674" s="7"/>
      <c r="R674" s="7"/>
      <c r="S674" s="7"/>
      <c r="T674" s="7"/>
      <c r="U674" s="7"/>
      <c r="V674" s="7"/>
      <c r="X674" s="7"/>
      <c r="Y674" s="7"/>
      <c r="Z674" s="7"/>
      <c r="AA674" s="7" t="str">
        <f t="shared" si="70"/>
        <v/>
      </c>
      <c r="AB674" s="7"/>
      <c r="AC674" s="7"/>
      <c r="AQ674" s="7" t="str">
        <f t="shared" si="71"/>
        <v/>
      </c>
      <c r="AR674" s="7" t="str">
        <f t="shared" si="72"/>
        <v/>
      </c>
      <c r="AS674" s="7" t="str">
        <f t="shared" si="73"/>
        <v/>
      </c>
      <c r="AT674" s="7" t="str">
        <f t="shared" si="74"/>
        <v/>
      </c>
      <c r="AU674" s="7" t="str">
        <f t="shared" si="75"/>
        <v/>
      </c>
      <c r="AV674" s="7" t="str">
        <f t="shared" si="76"/>
        <v/>
      </c>
      <c r="AW674" s="7" t="str">
        <f>IF('RFQ-Input'!O673="","",'RFQ-Input'!O673)</f>
        <v/>
      </c>
      <c r="AX674" s="7" t="str">
        <f>IF('RFQ-Input'!S673="","",'RFQ-Input'!S673)</f>
        <v/>
      </c>
      <c r="AY674" s="7" t="str">
        <f>IF('RFQ-Input'!V673="","",'RFQ-Input'!V673)</f>
        <v/>
      </c>
      <c r="AZ674" s="7" t="str">
        <f>IF('RFQ-Input'!Y673="","",'RFQ-Input'!Y673)</f>
        <v/>
      </c>
      <c r="BA674" s="7" t="str">
        <f>IF('RFQ-Input'!AB673="","",'RFQ-Input'!AB673)</f>
        <v/>
      </c>
    </row>
    <row r="675" spans="1:53">
      <c r="A675" s="20">
        <v>671</v>
      </c>
      <c r="B675" s="7"/>
      <c r="C675" s="7" t="str">
        <f>IF('RFQ-Input'!C674="","",'RFQ-Input'!C674)</f>
        <v/>
      </c>
      <c r="D675" s="7" t="str">
        <f>IF('RFQ-Input'!D674="","",'RFQ-Input'!D674)</f>
        <v/>
      </c>
      <c r="E675" s="7" t="str">
        <f>IF('RFQ-Input'!E674="","",'RFQ-Input'!E674)</f>
        <v/>
      </c>
      <c r="F675" s="7" t="str">
        <f>IF('RFQ-Input'!F674="","",'RFQ-Input'!F674)</f>
        <v/>
      </c>
      <c r="G675" s="7" t="str">
        <f>IF('RFQ-Input'!G674="","",'RFQ-Input'!G674)</f>
        <v/>
      </c>
      <c r="H675" s="7" t="str">
        <f>IF('RFQ-Input'!H674="","",'RFQ-Input'!H674)</f>
        <v/>
      </c>
      <c r="I675" s="7" t="str">
        <f>IF('RFQ-Input'!I674="","",'RFQ-Input'!I674)</f>
        <v/>
      </c>
      <c r="J675" s="7" t="str">
        <f>IF('RFQ-Input'!J674="","",'RFQ-Input'!J674)</f>
        <v/>
      </c>
      <c r="K675" s="7" t="str">
        <f>IF('RFQ-Input'!K674="","",'RFQ-Input'!K674)</f>
        <v/>
      </c>
      <c r="L675" s="7" t="str">
        <f>IF('RFQ-Input'!L674="","",'RFQ-Input'!L674)</f>
        <v/>
      </c>
      <c r="M675" s="7" t="str">
        <f>IF('RFQ-Input'!M674="","",'RFQ-Input'!M674)</f>
        <v/>
      </c>
      <c r="N675" s="7" t="str">
        <f>IF('RFQ-Input'!N674="","",'RFQ-Input'!N674)</f>
        <v/>
      </c>
      <c r="O675" s="7" t="str">
        <f>IF('RFQ-Input'!O674="","",'RFQ-Input'!O674)</f>
        <v/>
      </c>
      <c r="Q675" s="7"/>
      <c r="R675" s="7"/>
      <c r="S675" s="7"/>
      <c r="T675" s="7"/>
      <c r="U675" s="7"/>
      <c r="V675" s="7"/>
      <c r="X675" s="7"/>
      <c r="Y675" s="7"/>
      <c r="Z675" s="7"/>
      <c r="AA675" s="7" t="str">
        <f t="shared" si="70"/>
        <v/>
      </c>
      <c r="AB675" s="7"/>
      <c r="AC675" s="7"/>
      <c r="AQ675" s="7" t="str">
        <f t="shared" si="71"/>
        <v/>
      </c>
      <c r="AR675" s="7" t="str">
        <f t="shared" si="72"/>
        <v/>
      </c>
      <c r="AS675" s="7" t="str">
        <f t="shared" si="73"/>
        <v/>
      </c>
      <c r="AT675" s="7" t="str">
        <f t="shared" si="74"/>
        <v/>
      </c>
      <c r="AU675" s="7" t="str">
        <f t="shared" si="75"/>
        <v/>
      </c>
      <c r="AV675" s="7" t="str">
        <f t="shared" si="76"/>
        <v/>
      </c>
      <c r="AW675" s="7" t="str">
        <f>IF('RFQ-Input'!O674="","",'RFQ-Input'!O674)</f>
        <v/>
      </c>
      <c r="AX675" s="7" t="str">
        <f>IF('RFQ-Input'!S674="","",'RFQ-Input'!S674)</f>
        <v/>
      </c>
      <c r="AY675" s="7" t="str">
        <f>IF('RFQ-Input'!V674="","",'RFQ-Input'!V674)</f>
        <v/>
      </c>
      <c r="AZ675" s="7" t="str">
        <f>IF('RFQ-Input'!Y674="","",'RFQ-Input'!Y674)</f>
        <v/>
      </c>
      <c r="BA675" s="7" t="str">
        <f>IF('RFQ-Input'!AB674="","",'RFQ-Input'!AB674)</f>
        <v/>
      </c>
    </row>
    <row r="676" spans="1:53">
      <c r="A676" s="20">
        <v>672</v>
      </c>
      <c r="B676" s="7"/>
      <c r="C676" s="7" t="str">
        <f>IF('RFQ-Input'!C675="","",'RFQ-Input'!C675)</f>
        <v/>
      </c>
      <c r="D676" s="7" t="str">
        <f>IF('RFQ-Input'!D675="","",'RFQ-Input'!D675)</f>
        <v/>
      </c>
      <c r="E676" s="7" t="str">
        <f>IF('RFQ-Input'!E675="","",'RFQ-Input'!E675)</f>
        <v/>
      </c>
      <c r="F676" s="7" t="str">
        <f>IF('RFQ-Input'!F675="","",'RFQ-Input'!F675)</f>
        <v/>
      </c>
      <c r="G676" s="7" t="str">
        <f>IF('RFQ-Input'!G675="","",'RFQ-Input'!G675)</f>
        <v/>
      </c>
      <c r="H676" s="7" t="str">
        <f>IF('RFQ-Input'!H675="","",'RFQ-Input'!H675)</f>
        <v/>
      </c>
      <c r="I676" s="7" t="str">
        <f>IF('RFQ-Input'!I675="","",'RFQ-Input'!I675)</f>
        <v/>
      </c>
      <c r="J676" s="7" t="str">
        <f>IF('RFQ-Input'!J675="","",'RFQ-Input'!J675)</f>
        <v/>
      </c>
      <c r="K676" s="7" t="str">
        <f>IF('RFQ-Input'!K675="","",'RFQ-Input'!K675)</f>
        <v/>
      </c>
      <c r="L676" s="7" t="str">
        <f>IF('RFQ-Input'!L675="","",'RFQ-Input'!L675)</f>
        <v/>
      </c>
      <c r="M676" s="7" t="str">
        <f>IF('RFQ-Input'!M675="","",'RFQ-Input'!M675)</f>
        <v/>
      </c>
      <c r="N676" s="7" t="str">
        <f>IF('RFQ-Input'!N675="","",'RFQ-Input'!N675)</f>
        <v/>
      </c>
      <c r="O676" s="7" t="str">
        <f>IF('RFQ-Input'!O675="","",'RFQ-Input'!O675)</f>
        <v/>
      </c>
      <c r="Q676" s="7"/>
      <c r="R676" s="7"/>
      <c r="S676" s="7"/>
      <c r="T676" s="7"/>
      <c r="U676" s="7"/>
      <c r="V676" s="7"/>
      <c r="X676" s="7"/>
      <c r="Y676" s="7"/>
      <c r="Z676" s="7"/>
      <c r="AA676" s="7" t="str">
        <f t="shared" si="70"/>
        <v/>
      </c>
      <c r="AB676" s="7"/>
      <c r="AC676" s="7"/>
      <c r="AQ676" s="7" t="str">
        <f t="shared" si="71"/>
        <v/>
      </c>
      <c r="AR676" s="7" t="str">
        <f t="shared" si="72"/>
        <v/>
      </c>
      <c r="AS676" s="7" t="str">
        <f t="shared" si="73"/>
        <v/>
      </c>
      <c r="AT676" s="7" t="str">
        <f t="shared" si="74"/>
        <v/>
      </c>
      <c r="AU676" s="7" t="str">
        <f t="shared" si="75"/>
        <v/>
      </c>
      <c r="AV676" s="7" t="str">
        <f t="shared" si="76"/>
        <v/>
      </c>
      <c r="AW676" s="7" t="str">
        <f>IF('RFQ-Input'!O675="","",'RFQ-Input'!O675)</f>
        <v/>
      </c>
      <c r="AX676" s="7" t="str">
        <f>IF('RFQ-Input'!S675="","",'RFQ-Input'!S675)</f>
        <v/>
      </c>
      <c r="AY676" s="7" t="str">
        <f>IF('RFQ-Input'!V675="","",'RFQ-Input'!V675)</f>
        <v/>
      </c>
      <c r="AZ676" s="7" t="str">
        <f>IF('RFQ-Input'!Y675="","",'RFQ-Input'!Y675)</f>
        <v/>
      </c>
      <c r="BA676" s="7" t="str">
        <f>IF('RFQ-Input'!AB675="","",'RFQ-Input'!AB675)</f>
        <v/>
      </c>
    </row>
    <row r="677" spans="1:53">
      <c r="A677" s="20">
        <v>673</v>
      </c>
      <c r="B677" s="7"/>
      <c r="C677" s="7" t="str">
        <f>IF('RFQ-Input'!C676="","",'RFQ-Input'!C676)</f>
        <v/>
      </c>
      <c r="D677" s="7" t="str">
        <f>IF('RFQ-Input'!D676="","",'RFQ-Input'!D676)</f>
        <v/>
      </c>
      <c r="E677" s="7" t="str">
        <f>IF('RFQ-Input'!E676="","",'RFQ-Input'!E676)</f>
        <v/>
      </c>
      <c r="F677" s="7" t="str">
        <f>IF('RFQ-Input'!F676="","",'RFQ-Input'!F676)</f>
        <v/>
      </c>
      <c r="G677" s="7" t="str">
        <f>IF('RFQ-Input'!G676="","",'RFQ-Input'!G676)</f>
        <v/>
      </c>
      <c r="H677" s="7" t="str">
        <f>IF('RFQ-Input'!H676="","",'RFQ-Input'!H676)</f>
        <v/>
      </c>
      <c r="I677" s="7" t="str">
        <f>IF('RFQ-Input'!I676="","",'RFQ-Input'!I676)</f>
        <v/>
      </c>
      <c r="J677" s="7" t="str">
        <f>IF('RFQ-Input'!J676="","",'RFQ-Input'!J676)</f>
        <v/>
      </c>
      <c r="K677" s="7" t="str">
        <f>IF('RFQ-Input'!K676="","",'RFQ-Input'!K676)</f>
        <v/>
      </c>
      <c r="L677" s="7" t="str">
        <f>IF('RFQ-Input'!L676="","",'RFQ-Input'!L676)</f>
        <v/>
      </c>
      <c r="M677" s="7" t="str">
        <f>IF('RFQ-Input'!M676="","",'RFQ-Input'!M676)</f>
        <v/>
      </c>
      <c r="N677" s="7" t="str">
        <f>IF('RFQ-Input'!N676="","",'RFQ-Input'!N676)</f>
        <v/>
      </c>
      <c r="O677" s="7" t="str">
        <f>IF('RFQ-Input'!O676="","",'RFQ-Input'!O676)</f>
        <v/>
      </c>
      <c r="Q677" s="7"/>
      <c r="R677" s="7"/>
      <c r="S677" s="7"/>
      <c r="T677" s="7"/>
      <c r="U677" s="7"/>
      <c r="V677" s="7"/>
      <c r="X677" s="7"/>
      <c r="Y677" s="7"/>
      <c r="Z677" s="7"/>
      <c r="AA677" s="7" t="str">
        <f t="shared" si="70"/>
        <v/>
      </c>
      <c r="AB677" s="7"/>
      <c r="AC677" s="7"/>
      <c r="AQ677" s="7" t="str">
        <f t="shared" si="71"/>
        <v/>
      </c>
      <c r="AR677" s="7" t="str">
        <f t="shared" si="72"/>
        <v/>
      </c>
      <c r="AS677" s="7" t="str">
        <f t="shared" si="73"/>
        <v/>
      </c>
      <c r="AT677" s="7" t="str">
        <f t="shared" si="74"/>
        <v/>
      </c>
      <c r="AU677" s="7" t="str">
        <f t="shared" si="75"/>
        <v/>
      </c>
      <c r="AV677" s="7" t="str">
        <f t="shared" si="76"/>
        <v/>
      </c>
      <c r="AW677" s="7" t="str">
        <f>IF('RFQ-Input'!O676="","",'RFQ-Input'!O676)</f>
        <v/>
      </c>
      <c r="AX677" s="7" t="str">
        <f>IF('RFQ-Input'!S676="","",'RFQ-Input'!S676)</f>
        <v/>
      </c>
      <c r="AY677" s="7" t="str">
        <f>IF('RFQ-Input'!V676="","",'RFQ-Input'!V676)</f>
        <v/>
      </c>
      <c r="AZ677" s="7" t="str">
        <f>IF('RFQ-Input'!Y676="","",'RFQ-Input'!Y676)</f>
        <v/>
      </c>
      <c r="BA677" s="7" t="str">
        <f>IF('RFQ-Input'!AB676="","",'RFQ-Input'!AB676)</f>
        <v/>
      </c>
    </row>
    <row r="678" spans="1:53">
      <c r="A678" s="20">
        <v>674</v>
      </c>
      <c r="B678" s="7"/>
      <c r="C678" s="7" t="str">
        <f>IF('RFQ-Input'!C677="","",'RFQ-Input'!C677)</f>
        <v/>
      </c>
      <c r="D678" s="7" t="str">
        <f>IF('RFQ-Input'!D677="","",'RFQ-Input'!D677)</f>
        <v/>
      </c>
      <c r="E678" s="7" t="str">
        <f>IF('RFQ-Input'!E677="","",'RFQ-Input'!E677)</f>
        <v/>
      </c>
      <c r="F678" s="7" t="str">
        <f>IF('RFQ-Input'!F677="","",'RFQ-Input'!F677)</f>
        <v/>
      </c>
      <c r="G678" s="7" t="str">
        <f>IF('RFQ-Input'!G677="","",'RFQ-Input'!G677)</f>
        <v/>
      </c>
      <c r="H678" s="7" t="str">
        <f>IF('RFQ-Input'!H677="","",'RFQ-Input'!H677)</f>
        <v/>
      </c>
      <c r="I678" s="7" t="str">
        <f>IF('RFQ-Input'!I677="","",'RFQ-Input'!I677)</f>
        <v/>
      </c>
      <c r="J678" s="7" t="str">
        <f>IF('RFQ-Input'!J677="","",'RFQ-Input'!J677)</f>
        <v/>
      </c>
      <c r="K678" s="7" t="str">
        <f>IF('RFQ-Input'!K677="","",'RFQ-Input'!K677)</f>
        <v/>
      </c>
      <c r="L678" s="7" t="str">
        <f>IF('RFQ-Input'!L677="","",'RFQ-Input'!L677)</f>
        <v/>
      </c>
      <c r="M678" s="7" t="str">
        <f>IF('RFQ-Input'!M677="","",'RFQ-Input'!M677)</f>
        <v/>
      </c>
      <c r="N678" s="7" t="str">
        <f>IF('RFQ-Input'!N677="","",'RFQ-Input'!N677)</f>
        <v/>
      </c>
      <c r="O678" s="7" t="str">
        <f>IF('RFQ-Input'!O677="","",'RFQ-Input'!O677)</f>
        <v/>
      </c>
      <c r="Q678" s="7"/>
      <c r="R678" s="7"/>
      <c r="S678" s="7"/>
      <c r="T678" s="7"/>
      <c r="U678" s="7"/>
      <c r="V678" s="7"/>
      <c r="X678" s="7"/>
      <c r="Y678" s="7"/>
      <c r="Z678" s="7"/>
      <c r="AA678" s="7" t="str">
        <f t="shared" si="70"/>
        <v/>
      </c>
      <c r="AB678" s="7"/>
      <c r="AC678" s="7"/>
      <c r="AQ678" s="7" t="str">
        <f t="shared" si="71"/>
        <v/>
      </c>
      <c r="AR678" s="7" t="str">
        <f t="shared" si="72"/>
        <v/>
      </c>
      <c r="AS678" s="7" t="str">
        <f t="shared" si="73"/>
        <v/>
      </c>
      <c r="AT678" s="7" t="str">
        <f t="shared" si="74"/>
        <v/>
      </c>
      <c r="AU678" s="7" t="str">
        <f t="shared" si="75"/>
        <v/>
      </c>
      <c r="AV678" s="7" t="str">
        <f t="shared" si="76"/>
        <v/>
      </c>
      <c r="AW678" s="7" t="str">
        <f>IF('RFQ-Input'!O677="","",'RFQ-Input'!O677)</f>
        <v/>
      </c>
      <c r="AX678" s="7" t="str">
        <f>IF('RFQ-Input'!S677="","",'RFQ-Input'!S677)</f>
        <v/>
      </c>
      <c r="AY678" s="7" t="str">
        <f>IF('RFQ-Input'!V677="","",'RFQ-Input'!V677)</f>
        <v/>
      </c>
      <c r="AZ678" s="7" t="str">
        <f>IF('RFQ-Input'!Y677="","",'RFQ-Input'!Y677)</f>
        <v/>
      </c>
      <c r="BA678" s="7" t="str">
        <f>IF('RFQ-Input'!AB677="","",'RFQ-Input'!AB677)</f>
        <v/>
      </c>
    </row>
    <row r="679" spans="1:53">
      <c r="A679" s="20">
        <v>675</v>
      </c>
      <c r="B679" s="7"/>
      <c r="C679" s="7" t="str">
        <f>IF('RFQ-Input'!C678="","",'RFQ-Input'!C678)</f>
        <v/>
      </c>
      <c r="D679" s="7" t="str">
        <f>IF('RFQ-Input'!D678="","",'RFQ-Input'!D678)</f>
        <v/>
      </c>
      <c r="E679" s="7" t="str">
        <f>IF('RFQ-Input'!E678="","",'RFQ-Input'!E678)</f>
        <v/>
      </c>
      <c r="F679" s="7" t="str">
        <f>IF('RFQ-Input'!F678="","",'RFQ-Input'!F678)</f>
        <v/>
      </c>
      <c r="G679" s="7" t="str">
        <f>IF('RFQ-Input'!G678="","",'RFQ-Input'!G678)</f>
        <v/>
      </c>
      <c r="H679" s="7" t="str">
        <f>IF('RFQ-Input'!H678="","",'RFQ-Input'!H678)</f>
        <v/>
      </c>
      <c r="I679" s="7" t="str">
        <f>IF('RFQ-Input'!I678="","",'RFQ-Input'!I678)</f>
        <v/>
      </c>
      <c r="J679" s="7" t="str">
        <f>IF('RFQ-Input'!J678="","",'RFQ-Input'!J678)</f>
        <v/>
      </c>
      <c r="K679" s="7" t="str">
        <f>IF('RFQ-Input'!K678="","",'RFQ-Input'!K678)</f>
        <v/>
      </c>
      <c r="L679" s="7" t="str">
        <f>IF('RFQ-Input'!L678="","",'RFQ-Input'!L678)</f>
        <v/>
      </c>
      <c r="M679" s="7" t="str">
        <f>IF('RFQ-Input'!M678="","",'RFQ-Input'!M678)</f>
        <v/>
      </c>
      <c r="N679" s="7" t="str">
        <f>IF('RFQ-Input'!N678="","",'RFQ-Input'!N678)</f>
        <v/>
      </c>
      <c r="O679" s="7" t="str">
        <f>IF('RFQ-Input'!O678="","",'RFQ-Input'!O678)</f>
        <v/>
      </c>
      <c r="Q679" s="7"/>
      <c r="R679" s="7"/>
      <c r="S679" s="7"/>
      <c r="T679" s="7"/>
      <c r="U679" s="7"/>
      <c r="V679" s="7"/>
      <c r="X679" s="7"/>
      <c r="Y679" s="7"/>
      <c r="Z679" s="7"/>
      <c r="AA679" s="7" t="str">
        <f t="shared" si="70"/>
        <v/>
      </c>
      <c r="AB679" s="7"/>
      <c r="AC679" s="7"/>
      <c r="AQ679" s="7" t="str">
        <f t="shared" si="71"/>
        <v/>
      </c>
      <c r="AR679" s="7" t="str">
        <f t="shared" si="72"/>
        <v/>
      </c>
      <c r="AS679" s="7" t="str">
        <f t="shared" si="73"/>
        <v/>
      </c>
      <c r="AT679" s="7" t="str">
        <f t="shared" si="74"/>
        <v/>
      </c>
      <c r="AU679" s="7" t="str">
        <f t="shared" si="75"/>
        <v/>
      </c>
      <c r="AV679" s="7" t="str">
        <f t="shared" si="76"/>
        <v/>
      </c>
      <c r="AW679" s="7" t="str">
        <f>IF('RFQ-Input'!O678="","",'RFQ-Input'!O678)</f>
        <v/>
      </c>
      <c r="AX679" s="7" t="str">
        <f>IF('RFQ-Input'!S678="","",'RFQ-Input'!S678)</f>
        <v/>
      </c>
      <c r="AY679" s="7" t="str">
        <f>IF('RFQ-Input'!V678="","",'RFQ-Input'!V678)</f>
        <v/>
      </c>
      <c r="AZ679" s="7" t="str">
        <f>IF('RFQ-Input'!Y678="","",'RFQ-Input'!Y678)</f>
        <v/>
      </c>
      <c r="BA679" s="7" t="str">
        <f>IF('RFQ-Input'!AB678="","",'RFQ-Input'!AB678)</f>
        <v/>
      </c>
    </row>
    <row r="680" spans="1:53">
      <c r="A680" s="20">
        <v>676</v>
      </c>
      <c r="B680" s="7"/>
      <c r="C680" s="7" t="str">
        <f>IF('RFQ-Input'!C679="","",'RFQ-Input'!C679)</f>
        <v/>
      </c>
      <c r="D680" s="7" t="str">
        <f>IF('RFQ-Input'!D679="","",'RFQ-Input'!D679)</f>
        <v/>
      </c>
      <c r="E680" s="7" t="str">
        <f>IF('RFQ-Input'!E679="","",'RFQ-Input'!E679)</f>
        <v/>
      </c>
      <c r="F680" s="7" t="str">
        <f>IF('RFQ-Input'!F679="","",'RFQ-Input'!F679)</f>
        <v/>
      </c>
      <c r="G680" s="7" t="str">
        <f>IF('RFQ-Input'!G679="","",'RFQ-Input'!G679)</f>
        <v/>
      </c>
      <c r="H680" s="7" t="str">
        <f>IF('RFQ-Input'!H679="","",'RFQ-Input'!H679)</f>
        <v/>
      </c>
      <c r="I680" s="7" t="str">
        <f>IF('RFQ-Input'!I679="","",'RFQ-Input'!I679)</f>
        <v/>
      </c>
      <c r="J680" s="7" t="str">
        <f>IF('RFQ-Input'!J679="","",'RFQ-Input'!J679)</f>
        <v/>
      </c>
      <c r="K680" s="7" t="str">
        <f>IF('RFQ-Input'!K679="","",'RFQ-Input'!K679)</f>
        <v/>
      </c>
      <c r="L680" s="7" t="str">
        <f>IF('RFQ-Input'!L679="","",'RFQ-Input'!L679)</f>
        <v/>
      </c>
      <c r="M680" s="7" t="str">
        <f>IF('RFQ-Input'!M679="","",'RFQ-Input'!M679)</f>
        <v/>
      </c>
      <c r="N680" s="7" t="str">
        <f>IF('RFQ-Input'!N679="","",'RFQ-Input'!N679)</f>
        <v/>
      </c>
      <c r="O680" s="7" t="str">
        <f>IF('RFQ-Input'!O679="","",'RFQ-Input'!O679)</f>
        <v/>
      </c>
      <c r="Q680" s="7"/>
      <c r="R680" s="7"/>
      <c r="S680" s="7"/>
      <c r="T680" s="7"/>
      <c r="U680" s="7"/>
      <c r="V680" s="7"/>
      <c r="X680" s="7"/>
      <c r="Y680" s="7"/>
      <c r="Z680" s="7"/>
      <c r="AA680" s="7" t="str">
        <f t="shared" si="70"/>
        <v/>
      </c>
      <c r="AB680" s="7"/>
      <c r="AC680" s="7"/>
      <c r="AQ680" s="7" t="str">
        <f t="shared" si="71"/>
        <v/>
      </c>
      <c r="AR680" s="7" t="str">
        <f t="shared" si="72"/>
        <v/>
      </c>
      <c r="AS680" s="7" t="str">
        <f t="shared" si="73"/>
        <v/>
      </c>
      <c r="AT680" s="7" t="str">
        <f t="shared" si="74"/>
        <v/>
      </c>
      <c r="AU680" s="7" t="str">
        <f t="shared" si="75"/>
        <v/>
      </c>
      <c r="AV680" s="7" t="str">
        <f t="shared" si="76"/>
        <v/>
      </c>
      <c r="AW680" s="7" t="str">
        <f>IF('RFQ-Input'!O679="","",'RFQ-Input'!O679)</f>
        <v/>
      </c>
      <c r="AX680" s="7" t="str">
        <f>IF('RFQ-Input'!S679="","",'RFQ-Input'!S679)</f>
        <v/>
      </c>
      <c r="AY680" s="7" t="str">
        <f>IF('RFQ-Input'!V679="","",'RFQ-Input'!V679)</f>
        <v/>
      </c>
      <c r="AZ680" s="7" t="str">
        <f>IF('RFQ-Input'!Y679="","",'RFQ-Input'!Y679)</f>
        <v/>
      </c>
      <c r="BA680" s="7" t="str">
        <f>IF('RFQ-Input'!AB679="","",'RFQ-Input'!AB679)</f>
        <v/>
      </c>
    </row>
    <row r="681" spans="1:53">
      <c r="A681" s="20">
        <v>677</v>
      </c>
      <c r="B681" s="7"/>
      <c r="C681" s="7" t="str">
        <f>IF('RFQ-Input'!C680="","",'RFQ-Input'!C680)</f>
        <v/>
      </c>
      <c r="D681" s="7" t="str">
        <f>IF('RFQ-Input'!D680="","",'RFQ-Input'!D680)</f>
        <v/>
      </c>
      <c r="E681" s="7" t="str">
        <f>IF('RFQ-Input'!E680="","",'RFQ-Input'!E680)</f>
        <v/>
      </c>
      <c r="F681" s="7" t="str">
        <f>IF('RFQ-Input'!F680="","",'RFQ-Input'!F680)</f>
        <v/>
      </c>
      <c r="G681" s="7" t="str">
        <f>IF('RFQ-Input'!G680="","",'RFQ-Input'!G680)</f>
        <v/>
      </c>
      <c r="H681" s="7" t="str">
        <f>IF('RFQ-Input'!H680="","",'RFQ-Input'!H680)</f>
        <v/>
      </c>
      <c r="I681" s="7" t="str">
        <f>IF('RFQ-Input'!I680="","",'RFQ-Input'!I680)</f>
        <v/>
      </c>
      <c r="J681" s="7" t="str">
        <f>IF('RFQ-Input'!J680="","",'RFQ-Input'!J680)</f>
        <v/>
      </c>
      <c r="K681" s="7" t="str">
        <f>IF('RFQ-Input'!K680="","",'RFQ-Input'!K680)</f>
        <v/>
      </c>
      <c r="L681" s="7" t="str">
        <f>IF('RFQ-Input'!L680="","",'RFQ-Input'!L680)</f>
        <v/>
      </c>
      <c r="M681" s="7" t="str">
        <f>IF('RFQ-Input'!M680="","",'RFQ-Input'!M680)</f>
        <v/>
      </c>
      <c r="N681" s="7" t="str">
        <f>IF('RFQ-Input'!N680="","",'RFQ-Input'!N680)</f>
        <v/>
      </c>
      <c r="O681" s="7" t="str">
        <f>IF('RFQ-Input'!O680="","",'RFQ-Input'!O680)</f>
        <v/>
      </c>
      <c r="Q681" s="7"/>
      <c r="R681" s="7"/>
      <c r="S681" s="7"/>
      <c r="T681" s="7"/>
      <c r="U681" s="7"/>
      <c r="V681" s="7"/>
      <c r="X681" s="7"/>
      <c r="Y681" s="7"/>
      <c r="Z681" s="7"/>
      <c r="AA681" s="7" t="str">
        <f t="shared" si="70"/>
        <v/>
      </c>
      <c r="AB681" s="7"/>
      <c r="AC681" s="7"/>
      <c r="AQ681" s="7" t="str">
        <f t="shared" si="71"/>
        <v/>
      </c>
      <c r="AR681" s="7" t="str">
        <f t="shared" si="72"/>
        <v/>
      </c>
      <c r="AS681" s="7" t="str">
        <f t="shared" si="73"/>
        <v/>
      </c>
      <c r="AT681" s="7" t="str">
        <f t="shared" si="74"/>
        <v/>
      </c>
      <c r="AU681" s="7" t="str">
        <f t="shared" si="75"/>
        <v/>
      </c>
      <c r="AV681" s="7" t="str">
        <f t="shared" si="76"/>
        <v/>
      </c>
      <c r="AW681" s="7" t="str">
        <f>IF('RFQ-Input'!O680="","",'RFQ-Input'!O680)</f>
        <v/>
      </c>
      <c r="AX681" s="7" t="str">
        <f>IF('RFQ-Input'!S680="","",'RFQ-Input'!S680)</f>
        <v/>
      </c>
      <c r="AY681" s="7" t="str">
        <f>IF('RFQ-Input'!V680="","",'RFQ-Input'!V680)</f>
        <v/>
      </c>
      <c r="AZ681" s="7" t="str">
        <f>IF('RFQ-Input'!Y680="","",'RFQ-Input'!Y680)</f>
        <v/>
      </c>
      <c r="BA681" s="7" t="str">
        <f>IF('RFQ-Input'!AB680="","",'RFQ-Input'!AB680)</f>
        <v/>
      </c>
    </row>
    <row r="682" spans="1:53">
      <c r="A682" s="20">
        <v>678</v>
      </c>
      <c r="B682" s="7"/>
      <c r="C682" s="7" t="str">
        <f>IF('RFQ-Input'!C681="","",'RFQ-Input'!C681)</f>
        <v/>
      </c>
      <c r="D682" s="7" t="str">
        <f>IF('RFQ-Input'!D681="","",'RFQ-Input'!D681)</f>
        <v/>
      </c>
      <c r="E682" s="7" t="str">
        <f>IF('RFQ-Input'!E681="","",'RFQ-Input'!E681)</f>
        <v/>
      </c>
      <c r="F682" s="7" t="str">
        <f>IF('RFQ-Input'!F681="","",'RFQ-Input'!F681)</f>
        <v/>
      </c>
      <c r="G682" s="7" t="str">
        <f>IF('RFQ-Input'!G681="","",'RFQ-Input'!G681)</f>
        <v/>
      </c>
      <c r="H682" s="7" t="str">
        <f>IF('RFQ-Input'!H681="","",'RFQ-Input'!H681)</f>
        <v/>
      </c>
      <c r="I682" s="7" t="str">
        <f>IF('RFQ-Input'!I681="","",'RFQ-Input'!I681)</f>
        <v/>
      </c>
      <c r="J682" s="7" t="str">
        <f>IF('RFQ-Input'!J681="","",'RFQ-Input'!J681)</f>
        <v/>
      </c>
      <c r="K682" s="7" t="str">
        <f>IF('RFQ-Input'!K681="","",'RFQ-Input'!K681)</f>
        <v/>
      </c>
      <c r="L682" s="7" t="str">
        <f>IF('RFQ-Input'!L681="","",'RFQ-Input'!L681)</f>
        <v/>
      </c>
      <c r="M682" s="7" t="str">
        <f>IF('RFQ-Input'!M681="","",'RFQ-Input'!M681)</f>
        <v/>
      </c>
      <c r="N682" s="7" t="str">
        <f>IF('RFQ-Input'!N681="","",'RFQ-Input'!N681)</f>
        <v/>
      </c>
      <c r="O682" s="7" t="str">
        <f>IF('RFQ-Input'!O681="","",'RFQ-Input'!O681)</f>
        <v/>
      </c>
      <c r="Q682" s="7"/>
      <c r="R682" s="7"/>
      <c r="S682" s="7"/>
      <c r="T682" s="7"/>
      <c r="U682" s="7"/>
      <c r="V682" s="7"/>
      <c r="X682" s="7"/>
      <c r="Y682" s="7"/>
      <c r="Z682" s="7"/>
      <c r="AA682" s="7" t="str">
        <f t="shared" si="70"/>
        <v/>
      </c>
      <c r="AB682" s="7"/>
      <c r="AC682" s="7"/>
      <c r="AQ682" s="7" t="str">
        <f t="shared" si="71"/>
        <v/>
      </c>
      <c r="AR682" s="7" t="str">
        <f t="shared" si="72"/>
        <v/>
      </c>
      <c r="AS682" s="7" t="str">
        <f t="shared" si="73"/>
        <v/>
      </c>
      <c r="AT682" s="7" t="str">
        <f t="shared" si="74"/>
        <v/>
      </c>
      <c r="AU682" s="7" t="str">
        <f t="shared" si="75"/>
        <v/>
      </c>
      <c r="AV682" s="7" t="str">
        <f t="shared" si="76"/>
        <v/>
      </c>
      <c r="AW682" s="7" t="str">
        <f>IF('RFQ-Input'!O681="","",'RFQ-Input'!O681)</f>
        <v/>
      </c>
      <c r="AX682" s="7" t="str">
        <f>IF('RFQ-Input'!S681="","",'RFQ-Input'!S681)</f>
        <v/>
      </c>
      <c r="AY682" s="7" t="str">
        <f>IF('RFQ-Input'!V681="","",'RFQ-Input'!V681)</f>
        <v/>
      </c>
      <c r="AZ682" s="7" t="str">
        <f>IF('RFQ-Input'!Y681="","",'RFQ-Input'!Y681)</f>
        <v/>
      </c>
      <c r="BA682" s="7" t="str">
        <f>IF('RFQ-Input'!AB681="","",'RFQ-Input'!AB681)</f>
        <v/>
      </c>
    </row>
    <row r="683" spans="1:53">
      <c r="A683" s="20">
        <v>679</v>
      </c>
      <c r="B683" s="7"/>
      <c r="C683" s="7" t="str">
        <f>IF('RFQ-Input'!C682="","",'RFQ-Input'!C682)</f>
        <v/>
      </c>
      <c r="D683" s="7" t="str">
        <f>IF('RFQ-Input'!D682="","",'RFQ-Input'!D682)</f>
        <v/>
      </c>
      <c r="E683" s="7" t="str">
        <f>IF('RFQ-Input'!E682="","",'RFQ-Input'!E682)</f>
        <v/>
      </c>
      <c r="F683" s="7" t="str">
        <f>IF('RFQ-Input'!F682="","",'RFQ-Input'!F682)</f>
        <v/>
      </c>
      <c r="G683" s="7" t="str">
        <f>IF('RFQ-Input'!G682="","",'RFQ-Input'!G682)</f>
        <v/>
      </c>
      <c r="H683" s="7" t="str">
        <f>IF('RFQ-Input'!H682="","",'RFQ-Input'!H682)</f>
        <v/>
      </c>
      <c r="I683" s="7" t="str">
        <f>IF('RFQ-Input'!I682="","",'RFQ-Input'!I682)</f>
        <v/>
      </c>
      <c r="J683" s="7" t="str">
        <f>IF('RFQ-Input'!J682="","",'RFQ-Input'!J682)</f>
        <v/>
      </c>
      <c r="K683" s="7" t="str">
        <f>IF('RFQ-Input'!K682="","",'RFQ-Input'!K682)</f>
        <v/>
      </c>
      <c r="L683" s="7" t="str">
        <f>IF('RFQ-Input'!L682="","",'RFQ-Input'!L682)</f>
        <v/>
      </c>
      <c r="M683" s="7" t="str">
        <f>IF('RFQ-Input'!M682="","",'RFQ-Input'!M682)</f>
        <v/>
      </c>
      <c r="N683" s="7" t="str">
        <f>IF('RFQ-Input'!N682="","",'RFQ-Input'!N682)</f>
        <v/>
      </c>
      <c r="O683" s="7" t="str">
        <f>IF('RFQ-Input'!O682="","",'RFQ-Input'!O682)</f>
        <v/>
      </c>
      <c r="Q683" s="7"/>
      <c r="R683" s="7"/>
      <c r="S683" s="7"/>
      <c r="T683" s="7"/>
      <c r="U683" s="7"/>
      <c r="V683" s="7"/>
      <c r="X683" s="7"/>
      <c r="Y683" s="7"/>
      <c r="Z683" s="7"/>
      <c r="AA683" s="7" t="str">
        <f t="shared" si="70"/>
        <v/>
      </c>
      <c r="AB683" s="7"/>
      <c r="AC683" s="7"/>
      <c r="AQ683" s="7" t="str">
        <f t="shared" si="71"/>
        <v/>
      </c>
      <c r="AR683" s="7" t="str">
        <f t="shared" si="72"/>
        <v/>
      </c>
      <c r="AS683" s="7" t="str">
        <f t="shared" si="73"/>
        <v/>
      </c>
      <c r="AT683" s="7" t="str">
        <f t="shared" si="74"/>
        <v/>
      </c>
      <c r="AU683" s="7" t="str">
        <f t="shared" si="75"/>
        <v/>
      </c>
      <c r="AV683" s="7" t="str">
        <f t="shared" si="76"/>
        <v/>
      </c>
      <c r="AW683" s="7" t="str">
        <f>IF('RFQ-Input'!O682="","",'RFQ-Input'!O682)</f>
        <v/>
      </c>
      <c r="AX683" s="7" t="str">
        <f>IF('RFQ-Input'!S682="","",'RFQ-Input'!S682)</f>
        <v/>
      </c>
      <c r="AY683" s="7" t="str">
        <f>IF('RFQ-Input'!V682="","",'RFQ-Input'!V682)</f>
        <v/>
      </c>
      <c r="AZ683" s="7" t="str">
        <f>IF('RFQ-Input'!Y682="","",'RFQ-Input'!Y682)</f>
        <v/>
      </c>
      <c r="BA683" s="7" t="str">
        <f>IF('RFQ-Input'!AB682="","",'RFQ-Input'!AB682)</f>
        <v/>
      </c>
    </row>
    <row r="684" spans="1:53">
      <c r="A684" s="20">
        <v>680</v>
      </c>
      <c r="B684" s="7"/>
      <c r="C684" s="7" t="str">
        <f>IF('RFQ-Input'!C683="","",'RFQ-Input'!C683)</f>
        <v/>
      </c>
      <c r="D684" s="7" t="str">
        <f>IF('RFQ-Input'!D683="","",'RFQ-Input'!D683)</f>
        <v/>
      </c>
      <c r="E684" s="7" t="str">
        <f>IF('RFQ-Input'!E683="","",'RFQ-Input'!E683)</f>
        <v/>
      </c>
      <c r="F684" s="7" t="str">
        <f>IF('RFQ-Input'!F683="","",'RFQ-Input'!F683)</f>
        <v/>
      </c>
      <c r="G684" s="7" t="str">
        <f>IF('RFQ-Input'!G683="","",'RFQ-Input'!G683)</f>
        <v/>
      </c>
      <c r="H684" s="7" t="str">
        <f>IF('RFQ-Input'!H683="","",'RFQ-Input'!H683)</f>
        <v/>
      </c>
      <c r="I684" s="7" t="str">
        <f>IF('RFQ-Input'!I683="","",'RFQ-Input'!I683)</f>
        <v/>
      </c>
      <c r="J684" s="7" t="str">
        <f>IF('RFQ-Input'!J683="","",'RFQ-Input'!J683)</f>
        <v/>
      </c>
      <c r="K684" s="7" t="str">
        <f>IF('RFQ-Input'!K683="","",'RFQ-Input'!K683)</f>
        <v/>
      </c>
      <c r="L684" s="7" t="str">
        <f>IF('RFQ-Input'!L683="","",'RFQ-Input'!L683)</f>
        <v/>
      </c>
      <c r="M684" s="7" t="str">
        <f>IF('RFQ-Input'!M683="","",'RFQ-Input'!M683)</f>
        <v/>
      </c>
      <c r="N684" s="7" t="str">
        <f>IF('RFQ-Input'!N683="","",'RFQ-Input'!N683)</f>
        <v/>
      </c>
      <c r="O684" s="7" t="str">
        <f>IF('RFQ-Input'!O683="","",'RFQ-Input'!O683)</f>
        <v/>
      </c>
      <c r="Q684" s="7"/>
      <c r="R684" s="7"/>
      <c r="S684" s="7"/>
      <c r="T684" s="7"/>
      <c r="U684" s="7"/>
      <c r="V684" s="7"/>
      <c r="X684" s="7"/>
      <c r="Y684" s="7"/>
      <c r="Z684" s="7"/>
      <c r="AA684" s="7" t="str">
        <f t="shared" si="70"/>
        <v/>
      </c>
      <c r="AB684" s="7"/>
      <c r="AC684" s="7"/>
      <c r="AQ684" s="7" t="str">
        <f t="shared" si="71"/>
        <v/>
      </c>
      <c r="AR684" s="7" t="str">
        <f t="shared" si="72"/>
        <v/>
      </c>
      <c r="AS684" s="7" t="str">
        <f t="shared" si="73"/>
        <v/>
      </c>
      <c r="AT684" s="7" t="str">
        <f t="shared" si="74"/>
        <v/>
      </c>
      <c r="AU684" s="7" t="str">
        <f t="shared" si="75"/>
        <v/>
      </c>
      <c r="AV684" s="7" t="str">
        <f t="shared" si="76"/>
        <v/>
      </c>
      <c r="AW684" s="7" t="str">
        <f>IF('RFQ-Input'!O683="","",'RFQ-Input'!O683)</f>
        <v/>
      </c>
      <c r="AX684" s="7" t="str">
        <f>IF('RFQ-Input'!S683="","",'RFQ-Input'!S683)</f>
        <v/>
      </c>
      <c r="AY684" s="7" t="str">
        <f>IF('RFQ-Input'!V683="","",'RFQ-Input'!V683)</f>
        <v/>
      </c>
      <c r="AZ684" s="7" t="str">
        <f>IF('RFQ-Input'!Y683="","",'RFQ-Input'!Y683)</f>
        <v/>
      </c>
      <c r="BA684" s="7" t="str">
        <f>IF('RFQ-Input'!AB683="","",'RFQ-Input'!AB683)</f>
        <v/>
      </c>
    </row>
    <row r="685" spans="1:53">
      <c r="A685" s="20">
        <v>681</v>
      </c>
      <c r="B685" s="7"/>
      <c r="C685" s="7" t="str">
        <f>IF('RFQ-Input'!C684="","",'RFQ-Input'!C684)</f>
        <v/>
      </c>
      <c r="D685" s="7" t="str">
        <f>IF('RFQ-Input'!D684="","",'RFQ-Input'!D684)</f>
        <v/>
      </c>
      <c r="E685" s="7" t="str">
        <f>IF('RFQ-Input'!E684="","",'RFQ-Input'!E684)</f>
        <v/>
      </c>
      <c r="F685" s="7" t="str">
        <f>IF('RFQ-Input'!F684="","",'RFQ-Input'!F684)</f>
        <v/>
      </c>
      <c r="G685" s="7" t="str">
        <f>IF('RFQ-Input'!G684="","",'RFQ-Input'!G684)</f>
        <v/>
      </c>
      <c r="H685" s="7" t="str">
        <f>IF('RFQ-Input'!H684="","",'RFQ-Input'!H684)</f>
        <v/>
      </c>
      <c r="I685" s="7" t="str">
        <f>IF('RFQ-Input'!I684="","",'RFQ-Input'!I684)</f>
        <v/>
      </c>
      <c r="J685" s="7" t="str">
        <f>IF('RFQ-Input'!J684="","",'RFQ-Input'!J684)</f>
        <v/>
      </c>
      <c r="K685" s="7" t="str">
        <f>IF('RFQ-Input'!K684="","",'RFQ-Input'!K684)</f>
        <v/>
      </c>
      <c r="L685" s="7" t="str">
        <f>IF('RFQ-Input'!L684="","",'RFQ-Input'!L684)</f>
        <v/>
      </c>
      <c r="M685" s="7" t="str">
        <f>IF('RFQ-Input'!M684="","",'RFQ-Input'!M684)</f>
        <v/>
      </c>
      <c r="N685" s="7" t="str">
        <f>IF('RFQ-Input'!N684="","",'RFQ-Input'!N684)</f>
        <v/>
      </c>
      <c r="O685" s="7" t="str">
        <f>IF('RFQ-Input'!O684="","",'RFQ-Input'!O684)</f>
        <v/>
      </c>
      <c r="Q685" s="7"/>
      <c r="R685" s="7"/>
      <c r="S685" s="7"/>
      <c r="T685" s="7"/>
      <c r="U685" s="7"/>
      <c r="V685" s="7"/>
      <c r="X685" s="7"/>
      <c r="Y685" s="7"/>
      <c r="Z685" s="7"/>
      <c r="AA685" s="7" t="str">
        <f t="shared" si="70"/>
        <v/>
      </c>
      <c r="AB685" s="7"/>
      <c r="AC685" s="7"/>
      <c r="AQ685" s="7" t="str">
        <f t="shared" si="71"/>
        <v/>
      </c>
      <c r="AR685" s="7" t="str">
        <f t="shared" si="72"/>
        <v/>
      </c>
      <c r="AS685" s="7" t="str">
        <f t="shared" si="73"/>
        <v/>
      </c>
      <c r="AT685" s="7" t="str">
        <f t="shared" si="74"/>
        <v/>
      </c>
      <c r="AU685" s="7" t="str">
        <f t="shared" si="75"/>
        <v/>
      </c>
      <c r="AV685" s="7" t="str">
        <f t="shared" si="76"/>
        <v/>
      </c>
      <c r="AW685" s="7" t="str">
        <f>IF('RFQ-Input'!O684="","",'RFQ-Input'!O684)</f>
        <v/>
      </c>
      <c r="AX685" s="7" t="str">
        <f>IF('RFQ-Input'!S684="","",'RFQ-Input'!S684)</f>
        <v/>
      </c>
      <c r="AY685" s="7" t="str">
        <f>IF('RFQ-Input'!V684="","",'RFQ-Input'!V684)</f>
        <v/>
      </c>
      <c r="AZ685" s="7" t="str">
        <f>IF('RFQ-Input'!Y684="","",'RFQ-Input'!Y684)</f>
        <v/>
      </c>
      <c r="BA685" s="7" t="str">
        <f>IF('RFQ-Input'!AB684="","",'RFQ-Input'!AB684)</f>
        <v/>
      </c>
    </row>
    <row r="686" spans="1:53">
      <c r="A686" s="20">
        <v>682</v>
      </c>
      <c r="B686" s="7"/>
      <c r="C686" s="7" t="str">
        <f>IF('RFQ-Input'!C685="","",'RFQ-Input'!C685)</f>
        <v/>
      </c>
      <c r="D686" s="7" t="str">
        <f>IF('RFQ-Input'!D685="","",'RFQ-Input'!D685)</f>
        <v/>
      </c>
      <c r="E686" s="7" t="str">
        <f>IF('RFQ-Input'!E685="","",'RFQ-Input'!E685)</f>
        <v/>
      </c>
      <c r="F686" s="7" t="str">
        <f>IF('RFQ-Input'!F685="","",'RFQ-Input'!F685)</f>
        <v/>
      </c>
      <c r="G686" s="7" t="str">
        <f>IF('RFQ-Input'!G685="","",'RFQ-Input'!G685)</f>
        <v/>
      </c>
      <c r="H686" s="7" t="str">
        <f>IF('RFQ-Input'!H685="","",'RFQ-Input'!H685)</f>
        <v/>
      </c>
      <c r="I686" s="7" t="str">
        <f>IF('RFQ-Input'!I685="","",'RFQ-Input'!I685)</f>
        <v/>
      </c>
      <c r="J686" s="7" t="str">
        <f>IF('RFQ-Input'!J685="","",'RFQ-Input'!J685)</f>
        <v/>
      </c>
      <c r="K686" s="7" t="str">
        <f>IF('RFQ-Input'!K685="","",'RFQ-Input'!K685)</f>
        <v/>
      </c>
      <c r="L686" s="7" t="str">
        <f>IF('RFQ-Input'!L685="","",'RFQ-Input'!L685)</f>
        <v/>
      </c>
      <c r="M686" s="7" t="str">
        <f>IF('RFQ-Input'!M685="","",'RFQ-Input'!M685)</f>
        <v/>
      </c>
      <c r="N686" s="7" t="str">
        <f>IF('RFQ-Input'!N685="","",'RFQ-Input'!N685)</f>
        <v/>
      </c>
      <c r="O686" s="7" t="str">
        <f>IF('RFQ-Input'!O685="","",'RFQ-Input'!O685)</f>
        <v/>
      </c>
      <c r="Q686" s="7"/>
      <c r="R686" s="7"/>
      <c r="S686" s="7"/>
      <c r="T686" s="7"/>
      <c r="U686" s="7"/>
      <c r="V686" s="7"/>
      <c r="X686" s="7"/>
      <c r="Y686" s="7"/>
      <c r="Z686" s="7"/>
      <c r="AA686" s="7" t="str">
        <f t="shared" si="70"/>
        <v/>
      </c>
      <c r="AB686" s="7"/>
      <c r="AC686" s="7"/>
      <c r="AQ686" s="7" t="str">
        <f t="shared" si="71"/>
        <v/>
      </c>
      <c r="AR686" s="7" t="str">
        <f t="shared" si="72"/>
        <v/>
      </c>
      <c r="AS686" s="7" t="str">
        <f t="shared" si="73"/>
        <v/>
      </c>
      <c r="AT686" s="7" t="str">
        <f t="shared" si="74"/>
        <v/>
      </c>
      <c r="AU686" s="7" t="str">
        <f t="shared" si="75"/>
        <v/>
      </c>
      <c r="AV686" s="7" t="str">
        <f t="shared" si="76"/>
        <v/>
      </c>
      <c r="AW686" s="7" t="str">
        <f>IF('RFQ-Input'!O685="","",'RFQ-Input'!O685)</f>
        <v/>
      </c>
      <c r="AX686" s="7" t="str">
        <f>IF('RFQ-Input'!S685="","",'RFQ-Input'!S685)</f>
        <v/>
      </c>
      <c r="AY686" s="7" t="str">
        <f>IF('RFQ-Input'!V685="","",'RFQ-Input'!V685)</f>
        <v/>
      </c>
      <c r="AZ686" s="7" t="str">
        <f>IF('RFQ-Input'!Y685="","",'RFQ-Input'!Y685)</f>
        <v/>
      </c>
      <c r="BA686" s="7" t="str">
        <f>IF('RFQ-Input'!AB685="","",'RFQ-Input'!AB685)</f>
        <v/>
      </c>
    </row>
    <row r="687" spans="1:53">
      <c r="A687" s="20">
        <v>683</v>
      </c>
      <c r="B687" s="7"/>
      <c r="C687" s="7" t="str">
        <f>IF('RFQ-Input'!C686="","",'RFQ-Input'!C686)</f>
        <v/>
      </c>
      <c r="D687" s="7" t="str">
        <f>IF('RFQ-Input'!D686="","",'RFQ-Input'!D686)</f>
        <v/>
      </c>
      <c r="E687" s="7" t="str">
        <f>IF('RFQ-Input'!E686="","",'RFQ-Input'!E686)</f>
        <v/>
      </c>
      <c r="F687" s="7" t="str">
        <f>IF('RFQ-Input'!F686="","",'RFQ-Input'!F686)</f>
        <v/>
      </c>
      <c r="G687" s="7" t="str">
        <f>IF('RFQ-Input'!G686="","",'RFQ-Input'!G686)</f>
        <v/>
      </c>
      <c r="H687" s="7" t="str">
        <f>IF('RFQ-Input'!H686="","",'RFQ-Input'!H686)</f>
        <v/>
      </c>
      <c r="I687" s="7" t="str">
        <f>IF('RFQ-Input'!I686="","",'RFQ-Input'!I686)</f>
        <v/>
      </c>
      <c r="J687" s="7" t="str">
        <f>IF('RFQ-Input'!J686="","",'RFQ-Input'!J686)</f>
        <v/>
      </c>
      <c r="K687" s="7" t="str">
        <f>IF('RFQ-Input'!K686="","",'RFQ-Input'!K686)</f>
        <v/>
      </c>
      <c r="L687" s="7" t="str">
        <f>IF('RFQ-Input'!L686="","",'RFQ-Input'!L686)</f>
        <v/>
      </c>
      <c r="M687" s="7" t="str">
        <f>IF('RFQ-Input'!M686="","",'RFQ-Input'!M686)</f>
        <v/>
      </c>
      <c r="N687" s="7" t="str">
        <f>IF('RFQ-Input'!N686="","",'RFQ-Input'!N686)</f>
        <v/>
      </c>
      <c r="O687" s="7" t="str">
        <f>IF('RFQ-Input'!O686="","",'RFQ-Input'!O686)</f>
        <v/>
      </c>
      <c r="Q687" s="7"/>
      <c r="R687" s="7"/>
      <c r="S687" s="7"/>
      <c r="T687" s="7"/>
      <c r="U687" s="7"/>
      <c r="V687" s="7"/>
      <c r="X687" s="7"/>
      <c r="Y687" s="7"/>
      <c r="Z687" s="7"/>
      <c r="AA687" s="7" t="str">
        <f t="shared" si="70"/>
        <v/>
      </c>
      <c r="AB687" s="7"/>
      <c r="AC687" s="7"/>
      <c r="AQ687" s="7" t="str">
        <f t="shared" si="71"/>
        <v/>
      </c>
      <c r="AR687" s="7" t="str">
        <f t="shared" si="72"/>
        <v/>
      </c>
      <c r="AS687" s="7" t="str">
        <f t="shared" si="73"/>
        <v/>
      </c>
      <c r="AT687" s="7" t="str">
        <f t="shared" si="74"/>
        <v/>
      </c>
      <c r="AU687" s="7" t="str">
        <f t="shared" si="75"/>
        <v/>
      </c>
      <c r="AV687" s="7" t="str">
        <f t="shared" si="76"/>
        <v/>
      </c>
      <c r="AW687" s="7" t="str">
        <f>IF('RFQ-Input'!O686="","",'RFQ-Input'!O686)</f>
        <v/>
      </c>
      <c r="AX687" s="7" t="str">
        <f>IF('RFQ-Input'!S686="","",'RFQ-Input'!S686)</f>
        <v/>
      </c>
      <c r="AY687" s="7" t="str">
        <f>IF('RFQ-Input'!V686="","",'RFQ-Input'!V686)</f>
        <v/>
      </c>
      <c r="AZ687" s="7" t="str">
        <f>IF('RFQ-Input'!Y686="","",'RFQ-Input'!Y686)</f>
        <v/>
      </c>
      <c r="BA687" s="7" t="str">
        <f>IF('RFQ-Input'!AB686="","",'RFQ-Input'!AB686)</f>
        <v/>
      </c>
    </row>
    <row r="688" spans="1:53">
      <c r="A688" s="20">
        <v>684</v>
      </c>
      <c r="B688" s="7"/>
      <c r="C688" s="7" t="str">
        <f>IF('RFQ-Input'!C687="","",'RFQ-Input'!C687)</f>
        <v/>
      </c>
      <c r="D688" s="7" t="str">
        <f>IF('RFQ-Input'!D687="","",'RFQ-Input'!D687)</f>
        <v/>
      </c>
      <c r="E688" s="7" t="str">
        <f>IF('RFQ-Input'!E687="","",'RFQ-Input'!E687)</f>
        <v/>
      </c>
      <c r="F688" s="7" t="str">
        <f>IF('RFQ-Input'!F687="","",'RFQ-Input'!F687)</f>
        <v/>
      </c>
      <c r="G688" s="7" t="str">
        <f>IF('RFQ-Input'!G687="","",'RFQ-Input'!G687)</f>
        <v/>
      </c>
      <c r="H688" s="7" t="str">
        <f>IF('RFQ-Input'!H687="","",'RFQ-Input'!H687)</f>
        <v/>
      </c>
      <c r="I688" s="7" t="str">
        <f>IF('RFQ-Input'!I687="","",'RFQ-Input'!I687)</f>
        <v/>
      </c>
      <c r="J688" s="7" t="str">
        <f>IF('RFQ-Input'!J687="","",'RFQ-Input'!J687)</f>
        <v/>
      </c>
      <c r="K688" s="7" t="str">
        <f>IF('RFQ-Input'!K687="","",'RFQ-Input'!K687)</f>
        <v/>
      </c>
      <c r="L688" s="7" t="str">
        <f>IF('RFQ-Input'!L687="","",'RFQ-Input'!L687)</f>
        <v/>
      </c>
      <c r="M688" s="7" t="str">
        <f>IF('RFQ-Input'!M687="","",'RFQ-Input'!M687)</f>
        <v/>
      </c>
      <c r="N688" s="7" t="str">
        <f>IF('RFQ-Input'!N687="","",'RFQ-Input'!N687)</f>
        <v/>
      </c>
      <c r="O688" s="7" t="str">
        <f>IF('RFQ-Input'!O687="","",'RFQ-Input'!O687)</f>
        <v/>
      </c>
      <c r="Q688" s="7"/>
      <c r="R688" s="7"/>
      <c r="S688" s="7"/>
      <c r="T688" s="7"/>
      <c r="U688" s="7"/>
      <c r="V688" s="7"/>
      <c r="X688" s="7"/>
      <c r="Y688" s="7"/>
      <c r="Z688" s="7"/>
      <c r="AA688" s="7" t="str">
        <f t="shared" si="70"/>
        <v/>
      </c>
      <c r="AB688" s="7"/>
      <c r="AC688" s="7"/>
      <c r="AQ688" s="7" t="str">
        <f t="shared" si="71"/>
        <v/>
      </c>
      <c r="AR688" s="7" t="str">
        <f t="shared" si="72"/>
        <v/>
      </c>
      <c r="AS688" s="7" t="str">
        <f t="shared" si="73"/>
        <v/>
      </c>
      <c r="AT688" s="7" t="str">
        <f t="shared" si="74"/>
        <v/>
      </c>
      <c r="AU688" s="7" t="str">
        <f t="shared" si="75"/>
        <v/>
      </c>
      <c r="AV688" s="7" t="str">
        <f t="shared" si="76"/>
        <v/>
      </c>
      <c r="AW688" s="7" t="str">
        <f>IF('RFQ-Input'!O687="","",'RFQ-Input'!O687)</f>
        <v/>
      </c>
      <c r="AX688" s="7" t="str">
        <f>IF('RFQ-Input'!S687="","",'RFQ-Input'!S687)</f>
        <v/>
      </c>
      <c r="AY688" s="7" t="str">
        <f>IF('RFQ-Input'!V687="","",'RFQ-Input'!V687)</f>
        <v/>
      </c>
      <c r="AZ688" s="7" t="str">
        <f>IF('RFQ-Input'!Y687="","",'RFQ-Input'!Y687)</f>
        <v/>
      </c>
      <c r="BA688" s="7" t="str">
        <f>IF('RFQ-Input'!AB687="","",'RFQ-Input'!AB687)</f>
        <v/>
      </c>
    </row>
    <row r="689" spans="1:53">
      <c r="A689" s="20">
        <v>685</v>
      </c>
      <c r="B689" s="7"/>
      <c r="C689" s="7" t="str">
        <f>IF('RFQ-Input'!C688="","",'RFQ-Input'!C688)</f>
        <v/>
      </c>
      <c r="D689" s="7" t="str">
        <f>IF('RFQ-Input'!D688="","",'RFQ-Input'!D688)</f>
        <v/>
      </c>
      <c r="E689" s="7" t="str">
        <f>IF('RFQ-Input'!E688="","",'RFQ-Input'!E688)</f>
        <v/>
      </c>
      <c r="F689" s="7" t="str">
        <f>IF('RFQ-Input'!F688="","",'RFQ-Input'!F688)</f>
        <v/>
      </c>
      <c r="G689" s="7" t="str">
        <f>IF('RFQ-Input'!G688="","",'RFQ-Input'!G688)</f>
        <v/>
      </c>
      <c r="H689" s="7" t="str">
        <f>IF('RFQ-Input'!H688="","",'RFQ-Input'!H688)</f>
        <v/>
      </c>
      <c r="I689" s="7" t="str">
        <f>IF('RFQ-Input'!I688="","",'RFQ-Input'!I688)</f>
        <v/>
      </c>
      <c r="J689" s="7" t="str">
        <f>IF('RFQ-Input'!J688="","",'RFQ-Input'!J688)</f>
        <v/>
      </c>
      <c r="K689" s="7" t="str">
        <f>IF('RFQ-Input'!K688="","",'RFQ-Input'!K688)</f>
        <v/>
      </c>
      <c r="L689" s="7" t="str">
        <f>IF('RFQ-Input'!L688="","",'RFQ-Input'!L688)</f>
        <v/>
      </c>
      <c r="M689" s="7" t="str">
        <f>IF('RFQ-Input'!M688="","",'RFQ-Input'!M688)</f>
        <v/>
      </c>
      <c r="N689" s="7" t="str">
        <f>IF('RFQ-Input'!N688="","",'RFQ-Input'!N688)</f>
        <v/>
      </c>
      <c r="O689" s="7" t="str">
        <f>IF('RFQ-Input'!O688="","",'RFQ-Input'!O688)</f>
        <v/>
      </c>
      <c r="Q689" s="7"/>
      <c r="R689" s="7"/>
      <c r="S689" s="7"/>
      <c r="T689" s="7"/>
      <c r="U689" s="7"/>
      <c r="V689" s="7"/>
      <c r="X689" s="7"/>
      <c r="Y689" s="7"/>
      <c r="Z689" s="7"/>
      <c r="AA689" s="7" t="str">
        <f t="shared" si="70"/>
        <v/>
      </c>
      <c r="AB689" s="7"/>
      <c r="AC689" s="7"/>
      <c r="AQ689" s="7" t="str">
        <f t="shared" si="71"/>
        <v/>
      </c>
      <c r="AR689" s="7" t="str">
        <f t="shared" si="72"/>
        <v/>
      </c>
      <c r="AS689" s="7" t="str">
        <f t="shared" si="73"/>
        <v/>
      </c>
      <c r="AT689" s="7" t="str">
        <f t="shared" si="74"/>
        <v/>
      </c>
      <c r="AU689" s="7" t="str">
        <f t="shared" si="75"/>
        <v/>
      </c>
      <c r="AV689" s="7" t="str">
        <f t="shared" si="76"/>
        <v/>
      </c>
      <c r="AW689" s="7" t="str">
        <f>IF('RFQ-Input'!O688="","",'RFQ-Input'!O688)</f>
        <v/>
      </c>
      <c r="AX689" s="7" t="str">
        <f>IF('RFQ-Input'!S688="","",'RFQ-Input'!S688)</f>
        <v/>
      </c>
      <c r="AY689" s="7" t="str">
        <f>IF('RFQ-Input'!V688="","",'RFQ-Input'!V688)</f>
        <v/>
      </c>
      <c r="AZ689" s="7" t="str">
        <f>IF('RFQ-Input'!Y688="","",'RFQ-Input'!Y688)</f>
        <v/>
      </c>
      <c r="BA689" s="7" t="str">
        <f>IF('RFQ-Input'!AB688="","",'RFQ-Input'!AB688)</f>
        <v/>
      </c>
    </row>
    <row r="690" spans="1:53">
      <c r="A690" s="20">
        <v>686</v>
      </c>
      <c r="B690" s="7"/>
      <c r="C690" s="7" t="str">
        <f>IF('RFQ-Input'!C689="","",'RFQ-Input'!C689)</f>
        <v/>
      </c>
      <c r="D690" s="7" t="str">
        <f>IF('RFQ-Input'!D689="","",'RFQ-Input'!D689)</f>
        <v/>
      </c>
      <c r="E690" s="7" t="str">
        <f>IF('RFQ-Input'!E689="","",'RFQ-Input'!E689)</f>
        <v/>
      </c>
      <c r="F690" s="7" t="str">
        <f>IF('RFQ-Input'!F689="","",'RFQ-Input'!F689)</f>
        <v/>
      </c>
      <c r="G690" s="7" t="str">
        <f>IF('RFQ-Input'!G689="","",'RFQ-Input'!G689)</f>
        <v/>
      </c>
      <c r="H690" s="7" t="str">
        <f>IF('RFQ-Input'!H689="","",'RFQ-Input'!H689)</f>
        <v/>
      </c>
      <c r="I690" s="7" t="str">
        <f>IF('RFQ-Input'!I689="","",'RFQ-Input'!I689)</f>
        <v/>
      </c>
      <c r="J690" s="7" t="str">
        <f>IF('RFQ-Input'!J689="","",'RFQ-Input'!J689)</f>
        <v/>
      </c>
      <c r="K690" s="7" t="str">
        <f>IF('RFQ-Input'!K689="","",'RFQ-Input'!K689)</f>
        <v/>
      </c>
      <c r="L690" s="7" t="str">
        <f>IF('RFQ-Input'!L689="","",'RFQ-Input'!L689)</f>
        <v/>
      </c>
      <c r="M690" s="7" t="str">
        <f>IF('RFQ-Input'!M689="","",'RFQ-Input'!M689)</f>
        <v/>
      </c>
      <c r="N690" s="7" t="str">
        <f>IF('RFQ-Input'!N689="","",'RFQ-Input'!N689)</f>
        <v/>
      </c>
      <c r="O690" s="7" t="str">
        <f>IF('RFQ-Input'!O689="","",'RFQ-Input'!O689)</f>
        <v/>
      </c>
      <c r="Q690" s="7"/>
      <c r="R690" s="7"/>
      <c r="S690" s="7"/>
      <c r="T690" s="7"/>
      <c r="U690" s="7"/>
      <c r="V690" s="7"/>
      <c r="X690" s="7"/>
      <c r="Y690" s="7"/>
      <c r="Z690" s="7"/>
      <c r="AA690" s="7" t="str">
        <f t="shared" si="70"/>
        <v/>
      </c>
      <c r="AB690" s="7"/>
      <c r="AC690" s="7"/>
      <c r="AQ690" s="7" t="str">
        <f t="shared" si="71"/>
        <v/>
      </c>
      <c r="AR690" s="7" t="str">
        <f t="shared" si="72"/>
        <v/>
      </c>
      <c r="AS690" s="7" t="str">
        <f t="shared" si="73"/>
        <v/>
      </c>
      <c r="AT690" s="7" t="str">
        <f t="shared" si="74"/>
        <v/>
      </c>
      <c r="AU690" s="7" t="str">
        <f t="shared" si="75"/>
        <v/>
      </c>
      <c r="AV690" s="7" t="str">
        <f t="shared" si="76"/>
        <v/>
      </c>
      <c r="AW690" s="7" t="str">
        <f>IF('RFQ-Input'!O689="","",'RFQ-Input'!O689)</f>
        <v/>
      </c>
      <c r="AX690" s="7" t="str">
        <f>IF('RFQ-Input'!S689="","",'RFQ-Input'!S689)</f>
        <v/>
      </c>
      <c r="AY690" s="7" t="str">
        <f>IF('RFQ-Input'!V689="","",'RFQ-Input'!V689)</f>
        <v/>
      </c>
      <c r="AZ690" s="7" t="str">
        <f>IF('RFQ-Input'!Y689="","",'RFQ-Input'!Y689)</f>
        <v/>
      </c>
      <c r="BA690" s="7" t="str">
        <f>IF('RFQ-Input'!AB689="","",'RFQ-Input'!AB689)</f>
        <v/>
      </c>
    </row>
    <row r="691" spans="1:53">
      <c r="A691" s="20">
        <v>687</v>
      </c>
      <c r="B691" s="7"/>
      <c r="C691" s="7" t="str">
        <f>IF('RFQ-Input'!C690="","",'RFQ-Input'!C690)</f>
        <v/>
      </c>
      <c r="D691" s="7" t="str">
        <f>IF('RFQ-Input'!D690="","",'RFQ-Input'!D690)</f>
        <v/>
      </c>
      <c r="E691" s="7" t="str">
        <f>IF('RFQ-Input'!E690="","",'RFQ-Input'!E690)</f>
        <v/>
      </c>
      <c r="F691" s="7" t="str">
        <f>IF('RFQ-Input'!F690="","",'RFQ-Input'!F690)</f>
        <v/>
      </c>
      <c r="G691" s="7" t="str">
        <f>IF('RFQ-Input'!G690="","",'RFQ-Input'!G690)</f>
        <v/>
      </c>
      <c r="H691" s="7" t="str">
        <f>IF('RFQ-Input'!H690="","",'RFQ-Input'!H690)</f>
        <v/>
      </c>
      <c r="I691" s="7" t="str">
        <f>IF('RFQ-Input'!I690="","",'RFQ-Input'!I690)</f>
        <v/>
      </c>
      <c r="J691" s="7" t="str">
        <f>IF('RFQ-Input'!J690="","",'RFQ-Input'!J690)</f>
        <v/>
      </c>
      <c r="K691" s="7" t="str">
        <f>IF('RFQ-Input'!K690="","",'RFQ-Input'!K690)</f>
        <v/>
      </c>
      <c r="L691" s="7" t="str">
        <f>IF('RFQ-Input'!L690="","",'RFQ-Input'!L690)</f>
        <v/>
      </c>
      <c r="M691" s="7" t="str">
        <f>IF('RFQ-Input'!M690="","",'RFQ-Input'!M690)</f>
        <v/>
      </c>
      <c r="N691" s="7" t="str">
        <f>IF('RFQ-Input'!N690="","",'RFQ-Input'!N690)</f>
        <v/>
      </c>
      <c r="O691" s="7" t="str">
        <f>IF('RFQ-Input'!O690="","",'RFQ-Input'!O690)</f>
        <v/>
      </c>
      <c r="Q691" s="7"/>
      <c r="R691" s="7"/>
      <c r="S691" s="7"/>
      <c r="T691" s="7"/>
      <c r="U691" s="7"/>
      <c r="V691" s="7"/>
      <c r="X691" s="7"/>
      <c r="Y691" s="7"/>
      <c r="Z691" s="7"/>
      <c r="AA691" s="7" t="str">
        <f t="shared" si="70"/>
        <v/>
      </c>
      <c r="AB691" s="7"/>
      <c r="AC691" s="7"/>
      <c r="AQ691" s="7" t="str">
        <f t="shared" si="71"/>
        <v/>
      </c>
      <c r="AR691" s="7" t="str">
        <f t="shared" si="72"/>
        <v/>
      </c>
      <c r="AS691" s="7" t="str">
        <f t="shared" si="73"/>
        <v/>
      </c>
      <c r="AT691" s="7" t="str">
        <f t="shared" si="74"/>
        <v/>
      </c>
      <c r="AU691" s="7" t="str">
        <f t="shared" si="75"/>
        <v/>
      </c>
      <c r="AV691" s="7" t="str">
        <f t="shared" si="76"/>
        <v/>
      </c>
      <c r="AW691" s="7" t="str">
        <f>IF('RFQ-Input'!O690="","",'RFQ-Input'!O690)</f>
        <v/>
      </c>
      <c r="AX691" s="7" t="str">
        <f>IF('RFQ-Input'!S690="","",'RFQ-Input'!S690)</f>
        <v/>
      </c>
      <c r="AY691" s="7" t="str">
        <f>IF('RFQ-Input'!V690="","",'RFQ-Input'!V690)</f>
        <v/>
      </c>
      <c r="AZ691" s="7" t="str">
        <f>IF('RFQ-Input'!Y690="","",'RFQ-Input'!Y690)</f>
        <v/>
      </c>
      <c r="BA691" s="7" t="str">
        <f>IF('RFQ-Input'!AB690="","",'RFQ-Input'!AB690)</f>
        <v/>
      </c>
    </row>
    <row r="692" spans="1:53">
      <c r="A692" s="20">
        <v>688</v>
      </c>
      <c r="B692" s="7"/>
      <c r="C692" s="7" t="str">
        <f>IF('RFQ-Input'!C691="","",'RFQ-Input'!C691)</f>
        <v/>
      </c>
      <c r="D692" s="7" t="str">
        <f>IF('RFQ-Input'!D691="","",'RFQ-Input'!D691)</f>
        <v/>
      </c>
      <c r="E692" s="7" t="str">
        <f>IF('RFQ-Input'!E691="","",'RFQ-Input'!E691)</f>
        <v/>
      </c>
      <c r="F692" s="7" t="str">
        <f>IF('RFQ-Input'!F691="","",'RFQ-Input'!F691)</f>
        <v/>
      </c>
      <c r="G692" s="7" t="str">
        <f>IF('RFQ-Input'!G691="","",'RFQ-Input'!G691)</f>
        <v/>
      </c>
      <c r="H692" s="7" t="str">
        <f>IF('RFQ-Input'!H691="","",'RFQ-Input'!H691)</f>
        <v/>
      </c>
      <c r="I692" s="7" t="str">
        <f>IF('RFQ-Input'!I691="","",'RFQ-Input'!I691)</f>
        <v/>
      </c>
      <c r="J692" s="7" t="str">
        <f>IF('RFQ-Input'!J691="","",'RFQ-Input'!J691)</f>
        <v/>
      </c>
      <c r="K692" s="7" t="str">
        <f>IF('RFQ-Input'!K691="","",'RFQ-Input'!K691)</f>
        <v/>
      </c>
      <c r="L692" s="7" t="str">
        <f>IF('RFQ-Input'!L691="","",'RFQ-Input'!L691)</f>
        <v/>
      </c>
      <c r="M692" s="7" t="str">
        <f>IF('RFQ-Input'!M691="","",'RFQ-Input'!M691)</f>
        <v/>
      </c>
      <c r="N692" s="7" t="str">
        <f>IF('RFQ-Input'!N691="","",'RFQ-Input'!N691)</f>
        <v/>
      </c>
      <c r="O692" s="7" t="str">
        <f>IF('RFQ-Input'!O691="","",'RFQ-Input'!O691)</f>
        <v/>
      </c>
      <c r="Q692" s="7"/>
      <c r="R692" s="7"/>
      <c r="S692" s="7"/>
      <c r="T692" s="7"/>
      <c r="U692" s="7"/>
      <c r="V692" s="7"/>
      <c r="X692" s="7"/>
      <c r="Y692" s="7"/>
      <c r="Z692" s="7"/>
      <c r="AA692" s="7" t="str">
        <f t="shared" si="70"/>
        <v/>
      </c>
      <c r="AB692" s="7"/>
      <c r="AC692" s="7"/>
      <c r="AQ692" s="7" t="str">
        <f t="shared" si="71"/>
        <v/>
      </c>
      <c r="AR692" s="7" t="str">
        <f t="shared" si="72"/>
        <v/>
      </c>
      <c r="AS692" s="7" t="str">
        <f t="shared" si="73"/>
        <v/>
      </c>
      <c r="AT692" s="7" t="str">
        <f t="shared" si="74"/>
        <v/>
      </c>
      <c r="AU692" s="7" t="str">
        <f t="shared" si="75"/>
        <v/>
      </c>
      <c r="AV692" s="7" t="str">
        <f t="shared" si="76"/>
        <v/>
      </c>
      <c r="AW692" s="7" t="str">
        <f>IF('RFQ-Input'!O691="","",'RFQ-Input'!O691)</f>
        <v/>
      </c>
      <c r="AX692" s="7" t="str">
        <f>IF('RFQ-Input'!S691="","",'RFQ-Input'!S691)</f>
        <v/>
      </c>
      <c r="AY692" s="7" t="str">
        <f>IF('RFQ-Input'!V691="","",'RFQ-Input'!V691)</f>
        <v/>
      </c>
      <c r="AZ692" s="7" t="str">
        <f>IF('RFQ-Input'!Y691="","",'RFQ-Input'!Y691)</f>
        <v/>
      </c>
      <c r="BA692" s="7" t="str">
        <f>IF('RFQ-Input'!AB691="","",'RFQ-Input'!AB691)</f>
        <v/>
      </c>
    </row>
    <row r="693" spans="1:53">
      <c r="A693" s="20">
        <v>689</v>
      </c>
      <c r="B693" s="7"/>
      <c r="C693" s="7" t="str">
        <f>IF('RFQ-Input'!C692="","",'RFQ-Input'!C692)</f>
        <v/>
      </c>
      <c r="D693" s="7" t="str">
        <f>IF('RFQ-Input'!D692="","",'RFQ-Input'!D692)</f>
        <v/>
      </c>
      <c r="E693" s="7" t="str">
        <f>IF('RFQ-Input'!E692="","",'RFQ-Input'!E692)</f>
        <v/>
      </c>
      <c r="F693" s="7" t="str">
        <f>IF('RFQ-Input'!F692="","",'RFQ-Input'!F692)</f>
        <v/>
      </c>
      <c r="G693" s="7" t="str">
        <f>IF('RFQ-Input'!G692="","",'RFQ-Input'!G692)</f>
        <v/>
      </c>
      <c r="H693" s="7" t="str">
        <f>IF('RFQ-Input'!H692="","",'RFQ-Input'!H692)</f>
        <v/>
      </c>
      <c r="I693" s="7" t="str">
        <f>IF('RFQ-Input'!I692="","",'RFQ-Input'!I692)</f>
        <v/>
      </c>
      <c r="J693" s="7" t="str">
        <f>IF('RFQ-Input'!J692="","",'RFQ-Input'!J692)</f>
        <v/>
      </c>
      <c r="K693" s="7" t="str">
        <f>IF('RFQ-Input'!K692="","",'RFQ-Input'!K692)</f>
        <v/>
      </c>
      <c r="L693" s="7" t="str">
        <f>IF('RFQ-Input'!L692="","",'RFQ-Input'!L692)</f>
        <v/>
      </c>
      <c r="M693" s="7" t="str">
        <f>IF('RFQ-Input'!M692="","",'RFQ-Input'!M692)</f>
        <v/>
      </c>
      <c r="N693" s="7" t="str">
        <f>IF('RFQ-Input'!N692="","",'RFQ-Input'!N692)</f>
        <v/>
      </c>
      <c r="O693" s="7" t="str">
        <f>IF('RFQ-Input'!O692="","",'RFQ-Input'!O692)</f>
        <v/>
      </c>
      <c r="Q693" s="7"/>
      <c r="R693" s="7"/>
      <c r="S693" s="7"/>
      <c r="T693" s="7"/>
      <c r="U693" s="7"/>
      <c r="V693" s="7"/>
      <c r="X693" s="7"/>
      <c r="Y693" s="7"/>
      <c r="Z693" s="7"/>
      <c r="AA693" s="7" t="str">
        <f t="shared" si="70"/>
        <v/>
      </c>
      <c r="AB693" s="7"/>
      <c r="AC693" s="7"/>
      <c r="AQ693" s="7" t="str">
        <f t="shared" si="71"/>
        <v/>
      </c>
      <c r="AR693" s="7" t="str">
        <f t="shared" si="72"/>
        <v/>
      </c>
      <c r="AS693" s="7" t="str">
        <f t="shared" si="73"/>
        <v/>
      </c>
      <c r="AT693" s="7" t="str">
        <f t="shared" si="74"/>
        <v/>
      </c>
      <c r="AU693" s="7" t="str">
        <f t="shared" si="75"/>
        <v/>
      </c>
      <c r="AV693" s="7" t="str">
        <f t="shared" si="76"/>
        <v/>
      </c>
      <c r="AW693" s="7" t="str">
        <f>IF('RFQ-Input'!O692="","",'RFQ-Input'!O692)</f>
        <v/>
      </c>
      <c r="AX693" s="7" t="str">
        <f>IF('RFQ-Input'!S692="","",'RFQ-Input'!S692)</f>
        <v/>
      </c>
      <c r="AY693" s="7" t="str">
        <f>IF('RFQ-Input'!V692="","",'RFQ-Input'!V692)</f>
        <v/>
      </c>
      <c r="AZ693" s="7" t="str">
        <f>IF('RFQ-Input'!Y692="","",'RFQ-Input'!Y692)</f>
        <v/>
      </c>
      <c r="BA693" s="7" t="str">
        <f>IF('RFQ-Input'!AB692="","",'RFQ-Input'!AB692)</f>
        <v/>
      </c>
    </row>
    <row r="694" spans="1:53">
      <c r="A694" s="20">
        <v>690</v>
      </c>
      <c r="B694" s="7"/>
      <c r="C694" s="7" t="str">
        <f>IF('RFQ-Input'!C693="","",'RFQ-Input'!C693)</f>
        <v/>
      </c>
      <c r="D694" s="7" t="str">
        <f>IF('RFQ-Input'!D693="","",'RFQ-Input'!D693)</f>
        <v/>
      </c>
      <c r="E694" s="7" t="str">
        <f>IF('RFQ-Input'!E693="","",'RFQ-Input'!E693)</f>
        <v/>
      </c>
      <c r="F694" s="7" t="str">
        <f>IF('RFQ-Input'!F693="","",'RFQ-Input'!F693)</f>
        <v/>
      </c>
      <c r="G694" s="7" t="str">
        <f>IF('RFQ-Input'!G693="","",'RFQ-Input'!G693)</f>
        <v/>
      </c>
      <c r="H694" s="7" t="str">
        <f>IF('RFQ-Input'!H693="","",'RFQ-Input'!H693)</f>
        <v/>
      </c>
      <c r="I694" s="7" t="str">
        <f>IF('RFQ-Input'!I693="","",'RFQ-Input'!I693)</f>
        <v/>
      </c>
      <c r="J694" s="7" t="str">
        <f>IF('RFQ-Input'!J693="","",'RFQ-Input'!J693)</f>
        <v/>
      </c>
      <c r="K694" s="7" t="str">
        <f>IF('RFQ-Input'!K693="","",'RFQ-Input'!K693)</f>
        <v/>
      </c>
      <c r="L694" s="7" t="str">
        <f>IF('RFQ-Input'!L693="","",'RFQ-Input'!L693)</f>
        <v/>
      </c>
      <c r="M694" s="7" t="str">
        <f>IF('RFQ-Input'!M693="","",'RFQ-Input'!M693)</f>
        <v/>
      </c>
      <c r="N694" s="7" t="str">
        <f>IF('RFQ-Input'!N693="","",'RFQ-Input'!N693)</f>
        <v/>
      </c>
      <c r="O694" s="7" t="str">
        <f>IF('RFQ-Input'!O693="","",'RFQ-Input'!O693)</f>
        <v/>
      </c>
      <c r="Q694" s="7"/>
      <c r="R694" s="7"/>
      <c r="S694" s="7"/>
      <c r="T694" s="7"/>
      <c r="U694" s="7"/>
      <c r="V694" s="7"/>
      <c r="X694" s="7"/>
      <c r="Y694" s="7"/>
      <c r="Z694" s="7"/>
      <c r="AA694" s="7" t="str">
        <f t="shared" si="70"/>
        <v/>
      </c>
      <c r="AB694" s="7"/>
      <c r="AC694" s="7"/>
      <c r="AQ694" s="7" t="str">
        <f t="shared" si="71"/>
        <v/>
      </c>
      <c r="AR694" s="7" t="str">
        <f t="shared" si="72"/>
        <v/>
      </c>
      <c r="AS694" s="7" t="str">
        <f t="shared" si="73"/>
        <v/>
      </c>
      <c r="AT694" s="7" t="str">
        <f t="shared" si="74"/>
        <v/>
      </c>
      <c r="AU694" s="7" t="str">
        <f t="shared" si="75"/>
        <v/>
      </c>
      <c r="AV694" s="7" t="str">
        <f t="shared" si="76"/>
        <v/>
      </c>
      <c r="AW694" s="7" t="str">
        <f>IF('RFQ-Input'!O693="","",'RFQ-Input'!O693)</f>
        <v/>
      </c>
      <c r="AX694" s="7" t="str">
        <f>IF('RFQ-Input'!S693="","",'RFQ-Input'!S693)</f>
        <v/>
      </c>
      <c r="AY694" s="7" t="str">
        <f>IF('RFQ-Input'!V693="","",'RFQ-Input'!V693)</f>
        <v/>
      </c>
      <c r="AZ694" s="7" t="str">
        <f>IF('RFQ-Input'!Y693="","",'RFQ-Input'!Y693)</f>
        <v/>
      </c>
      <c r="BA694" s="7" t="str">
        <f>IF('RFQ-Input'!AB693="","",'RFQ-Input'!AB693)</f>
        <v/>
      </c>
    </row>
    <row r="695" spans="1:53">
      <c r="A695" s="20">
        <v>691</v>
      </c>
      <c r="B695" s="7"/>
      <c r="C695" s="7" t="str">
        <f>IF('RFQ-Input'!C694="","",'RFQ-Input'!C694)</f>
        <v/>
      </c>
      <c r="D695" s="7" t="str">
        <f>IF('RFQ-Input'!D694="","",'RFQ-Input'!D694)</f>
        <v/>
      </c>
      <c r="E695" s="7" t="str">
        <f>IF('RFQ-Input'!E694="","",'RFQ-Input'!E694)</f>
        <v/>
      </c>
      <c r="F695" s="7" t="str">
        <f>IF('RFQ-Input'!F694="","",'RFQ-Input'!F694)</f>
        <v/>
      </c>
      <c r="G695" s="7" t="str">
        <f>IF('RFQ-Input'!G694="","",'RFQ-Input'!G694)</f>
        <v/>
      </c>
      <c r="H695" s="7" t="str">
        <f>IF('RFQ-Input'!H694="","",'RFQ-Input'!H694)</f>
        <v/>
      </c>
      <c r="I695" s="7" t="str">
        <f>IF('RFQ-Input'!I694="","",'RFQ-Input'!I694)</f>
        <v/>
      </c>
      <c r="J695" s="7" t="str">
        <f>IF('RFQ-Input'!J694="","",'RFQ-Input'!J694)</f>
        <v/>
      </c>
      <c r="K695" s="7" t="str">
        <f>IF('RFQ-Input'!K694="","",'RFQ-Input'!K694)</f>
        <v/>
      </c>
      <c r="L695" s="7" t="str">
        <f>IF('RFQ-Input'!L694="","",'RFQ-Input'!L694)</f>
        <v/>
      </c>
      <c r="M695" s="7" t="str">
        <f>IF('RFQ-Input'!M694="","",'RFQ-Input'!M694)</f>
        <v/>
      </c>
      <c r="N695" s="7" t="str">
        <f>IF('RFQ-Input'!N694="","",'RFQ-Input'!N694)</f>
        <v/>
      </c>
      <c r="O695" s="7" t="str">
        <f>IF('RFQ-Input'!O694="","",'RFQ-Input'!O694)</f>
        <v/>
      </c>
      <c r="Q695" s="7"/>
      <c r="R695" s="7"/>
      <c r="S695" s="7"/>
      <c r="T695" s="7"/>
      <c r="U695" s="7"/>
      <c r="V695" s="7"/>
      <c r="X695" s="7"/>
      <c r="Y695" s="7"/>
      <c r="Z695" s="7"/>
      <c r="AA695" s="7" t="str">
        <f t="shared" si="70"/>
        <v/>
      </c>
      <c r="AB695" s="7"/>
      <c r="AC695" s="7"/>
      <c r="AQ695" s="7" t="str">
        <f t="shared" si="71"/>
        <v/>
      </c>
      <c r="AR695" s="7" t="str">
        <f t="shared" si="72"/>
        <v/>
      </c>
      <c r="AS695" s="7" t="str">
        <f t="shared" si="73"/>
        <v/>
      </c>
      <c r="AT695" s="7" t="str">
        <f t="shared" si="74"/>
        <v/>
      </c>
      <c r="AU695" s="7" t="str">
        <f t="shared" si="75"/>
        <v/>
      </c>
      <c r="AV695" s="7" t="str">
        <f t="shared" si="76"/>
        <v/>
      </c>
      <c r="AW695" s="7" t="str">
        <f>IF('RFQ-Input'!O694="","",'RFQ-Input'!O694)</f>
        <v/>
      </c>
      <c r="AX695" s="7" t="str">
        <f>IF('RFQ-Input'!S694="","",'RFQ-Input'!S694)</f>
        <v/>
      </c>
      <c r="AY695" s="7" t="str">
        <f>IF('RFQ-Input'!V694="","",'RFQ-Input'!V694)</f>
        <v/>
      </c>
      <c r="AZ695" s="7" t="str">
        <f>IF('RFQ-Input'!Y694="","",'RFQ-Input'!Y694)</f>
        <v/>
      </c>
      <c r="BA695" s="7" t="str">
        <f>IF('RFQ-Input'!AB694="","",'RFQ-Input'!AB694)</f>
        <v/>
      </c>
    </row>
    <row r="696" spans="1:53">
      <c r="A696" s="20">
        <v>692</v>
      </c>
      <c r="B696" s="7"/>
      <c r="C696" s="7" t="str">
        <f>IF('RFQ-Input'!C695="","",'RFQ-Input'!C695)</f>
        <v/>
      </c>
      <c r="D696" s="7" t="str">
        <f>IF('RFQ-Input'!D695="","",'RFQ-Input'!D695)</f>
        <v/>
      </c>
      <c r="E696" s="7" t="str">
        <f>IF('RFQ-Input'!E695="","",'RFQ-Input'!E695)</f>
        <v/>
      </c>
      <c r="F696" s="7" t="str">
        <f>IF('RFQ-Input'!F695="","",'RFQ-Input'!F695)</f>
        <v/>
      </c>
      <c r="G696" s="7" t="str">
        <f>IF('RFQ-Input'!G695="","",'RFQ-Input'!G695)</f>
        <v/>
      </c>
      <c r="H696" s="7" t="str">
        <f>IF('RFQ-Input'!H695="","",'RFQ-Input'!H695)</f>
        <v/>
      </c>
      <c r="I696" s="7" t="str">
        <f>IF('RFQ-Input'!I695="","",'RFQ-Input'!I695)</f>
        <v/>
      </c>
      <c r="J696" s="7" t="str">
        <f>IF('RFQ-Input'!J695="","",'RFQ-Input'!J695)</f>
        <v/>
      </c>
      <c r="K696" s="7" t="str">
        <f>IF('RFQ-Input'!K695="","",'RFQ-Input'!K695)</f>
        <v/>
      </c>
      <c r="L696" s="7" t="str">
        <f>IF('RFQ-Input'!L695="","",'RFQ-Input'!L695)</f>
        <v/>
      </c>
      <c r="M696" s="7" t="str">
        <f>IF('RFQ-Input'!M695="","",'RFQ-Input'!M695)</f>
        <v/>
      </c>
      <c r="N696" s="7" t="str">
        <f>IF('RFQ-Input'!N695="","",'RFQ-Input'!N695)</f>
        <v/>
      </c>
      <c r="O696" s="7" t="str">
        <f>IF('RFQ-Input'!O695="","",'RFQ-Input'!O695)</f>
        <v/>
      </c>
      <c r="Q696" s="7"/>
      <c r="R696" s="7"/>
      <c r="S696" s="7"/>
      <c r="T696" s="7"/>
      <c r="U696" s="7"/>
      <c r="V696" s="7"/>
      <c r="X696" s="7"/>
      <c r="Y696" s="7"/>
      <c r="Z696" s="7"/>
      <c r="AA696" s="7" t="str">
        <f t="shared" si="70"/>
        <v/>
      </c>
      <c r="AB696" s="7"/>
      <c r="AC696" s="7"/>
      <c r="AQ696" s="7" t="str">
        <f t="shared" si="71"/>
        <v/>
      </c>
      <c r="AR696" s="7" t="str">
        <f t="shared" si="72"/>
        <v/>
      </c>
      <c r="AS696" s="7" t="str">
        <f t="shared" si="73"/>
        <v/>
      </c>
      <c r="AT696" s="7" t="str">
        <f t="shared" si="74"/>
        <v/>
      </c>
      <c r="AU696" s="7" t="str">
        <f t="shared" si="75"/>
        <v/>
      </c>
      <c r="AV696" s="7" t="str">
        <f t="shared" si="76"/>
        <v/>
      </c>
      <c r="AW696" s="7" t="str">
        <f>IF('RFQ-Input'!O695="","",'RFQ-Input'!O695)</f>
        <v/>
      </c>
      <c r="AX696" s="7" t="str">
        <f>IF('RFQ-Input'!S695="","",'RFQ-Input'!S695)</f>
        <v/>
      </c>
      <c r="AY696" s="7" t="str">
        <f>IF('RFQ-Input'!V695="","",'RFQ-Input'!V695)</f>
        <v/>
      </c>
      <c r="AZ696" s="7" t="str">
        <f>IF('RFQ-Input'!Y695="","",'RFQ-Input'!Y695)</f>
        <v/>
      </c>
      <c r="BA696" s="7" t="str">
        <f>IF('RFQ-Input'!AB695="","",'RFQ-Input'!AB695)</f>
        <v/>
      </c>
    </row>
    <row r="697" spans="1:53">
      <c r="A697" s="20">
        <v>693</v>
      </c>
      <c r="B697" s="7"/>
      <c r="C697" s="7" t="str">
        <f>IF('RFQ-Input'!C696="","",'RFQ-Input'!C696)</f>
        <v/>
      </c>
      <c r="D697" s="7" t="str">
        <f>IF('RFQ-Input'!D696="","",'RFQ-Input'!D696)</f>
        <v/>
      </c>
      <c r="E697" s="7" t="str">
        <f>IF('RFQ-Input'!E696="","",'RFQ-Input'!E696)</f>
        <v/>
      </c>
      <c r="F697" s="7" t="str">
        <f>IF('RFQ-Input'!F696="","",'RFQ-Input'!F696)</f>
        <v/>
      </c>
      <c r="G697" s="7" t="str">
        <f>IF('RFQ-Input'!G696="","",'RFQ-Input'!G696)</f>
        <v/>
      </c>
      <c r="H697" s="7" t="str">
        <f>IF('RFQ-Input'!H696="","",'RFQ-Input'!H696)</f>
        <v/>
      </c>
      <c r="I697" s="7" t="str">
        <f>IF('RFQ-Input'!I696="","",'RFQ-Input'!I696)</f>
        <v/>
      </c>
      <c r="J697" s="7" t="str">
        <f>IF('RFQ-Input'!J696="","",'RFQ-Input'!J696)</f>
        <v/>
      </c>
      <c r="K697" s="7" t="str">
        <f>IF('RFQ-Input'!K696="","",'RFQ-Input'!K696)</f>
        <v/>
      </c>
      <c r="L697" s="7" t="str">
        <f>IF('RFQ-Input'!L696="","",'RFQ-Input'!L696)</f>
        <v/>
      </c>
      <c r="M697" s="7" t="str">
        <f>IF('RFQ-Input'!M696="","",'RFQ-Input'!M696)</f>
        <v/>
      </c>
      <c r="N697" s="7" t="str">
        <f>IF('RFQ-Input'!N696="","",'RFQ-Input'!N696)</f>
        <v/>
      </c>
      <c r="O697" s="7" t="str">
        <f>IF('RFQ-Input'!O696="","",'RFQ-Input'!O696)</f>
        <v/>
      </c>
      <c r="Q697" s="7"/>
      <c r="R697" s="7"/>
      <c r="S697" s="7"/>
      <c r="T697" s="7"/>
      <c r="U697" s="7"/>
      <c r="V697" s="7"/>
      <c r="X697" s="7"/>
      <c r="Y697" s="7"/>
      <c r="Z697" s="7"/>
      <c r="AA697" s="7" t="str">
        <f t="shared" si="70"/>
        <v/>
      </c>
      <c r="AB697" s="7"/>
      <c r="AC697" s="7"/>
      <c r="AQ697" s="7" t="str">
        <f t="shared" si="71"/>
        <v/>
      </c>
      <c r="AR697" s="7" t="str">
        <f t="shared" si="72"/>
        <v/>
      </c>
      <c r="AS697" s="7" t="str">
        <f t="shared" si="73"/>
        <v/>
      </c>
      <c r="AT697" s="7" t="str">
        <f t="shared" si="74"/>
        <v/>
      </c>
      <c r="AU697" s="7" t="str">
        <f t="shared" si="75"/>
        <v/>
      </c>
      <c r="AV697" s="7" t="str">
        <f t="shared" si="76"/>
        <v/>
      </c>
      <c r="AW697" s="7" t="str">
        <f>IF('RFQ-Input'!O696="","",'RFQ-Input'!O696)</f>
        <v/>
      </c>
      <c r="AX697" s="7" t="str">
        <f>IF('RFQ-Input'!S696="","",'RFQ-Input'!S696)</f>
        <v/>
      </c>
      <c r="AY697" s="7" t="str">
        <f>IF('RFQ-Input'!V696="","",'RFQ-Input'!V696)</f>
        <v/>
      </c>
      <c r="AZ697" s="7" t="str">
        <f>IF('RFQ-Input'!Y696="","",'RFQ-Input'!Y696)</f>
        <v/>
      </c>
      <c r="BA697" s="7" t="str">
        <f>IF('RFQ-Input'!AB696="","",'RFQ-Input'!AB696)</f>
        <v/>
      </c>
    </row>
    <row r="698" spans="1:53">
      <c r="A698" s="20">
        <v>694</v>
      </c>
      <c r="B698" s="7"/>
      <c r="C698" s="7" t="str">
        <f>IF('RFQ-Input'!C697="","",'RFQ-Input'!C697)</f>
        <v/>
      </c>
      <c r="D698" s="7" t="str">
        <f>IF('RFQ-Input'!D697="","",'RFQ-Input'!D697)</f>
        <v/>
      </c>
      <c r="E698" s="7" t="str">
        <f>IF('RFQ-Input'!E697="","",'RFQ-Input'!E697)</f>
        <v/>
      </c>
      <c r="F698" s="7" t="str">
        <f>IF('RFQ-Input'!F697="","",'RFQ-Input'!F697)</f>
        <v/>
      </c>
      <c r="G698" s="7" t="str">
        <f>IF('RFQ-Input'!G697="","",'RFQ-Input'!G697)</f>
        <v/>
      </c>
      <c r="H698" s="7" t="str">
        <f>IF('RFQ-Input'!H697="","",'RFQ-Input'!H697)</f>
        <v/>
      </c>
      <c r="I698" s="7" t="str">
        <f>IF('RFQ-Input'!I697="","",'RFQ-Input'!I697)</f>
        <v/>
      </c>
      <c r="J698" s="7" t="str">
        <f>IF('RFQ-Input'!J697="","",'RFQ-Input'!J697)</f>
        <v/>
      </c>
      <c r="K698" s="7" t="str">
        <f>IF('RFQ-Input'!K697="","",'RFQ-Input'!K697)</f>
        <v/>
      </c>
      <c r="L698" s="7" t="str">
        <f>IF('RFQ-Input'!L697="","",'RFQ-Input'!L697)</f>
        <v/>
      </c>
      <c r="M698" s="7" t="str">
        <f>IF('RFQ-Input'!M697="","",'RFQ-Input'!M697)</f>
        <v/>
      </c>
      <c r="N698" s="7" t="str">
        <f>IF('RFQ-Input'!N697="","",'RFQ-Input'!N697)</f>
        <v/>
      </c>
      <c r="O698" s="7" t="str">
        <f>IF('RFQ-Input'!O697="","",'RFQ-Input'!O697)</f>
        <v/>
      </c>
      <c r="Q698" s="7"/>
      <c r="R698" s="7"/>
      <c r="S698" s="7"/>
      <c r="T698" s="7"/>
      <c r="U698" s="7"/>
      <c r="V698" s="7"/>
      <c r="X698" s="7"/>
      <c r="Y698" s="7"/>
      <c r="Z698" s="7"/>
      <c r="AA698" s="7" t="str">
        <f t="shared" si="70"/>
        <v/>
      </c>
      <c r="AB698" s="7"/>
      <c r="AC698" s="7"/>
      <c r="AQ698" s="7" t="str">
        <f t="shared" si="71"/>
        <v/>
      </c>
      <c r="AR698" s="7" t="str">
        <f t="shared" si="72"/>
        <v/>
      </c>
      <c r="AS698" s="7" t="str">
        <f t="shared" si="73"/>
        <v/>
      </c>
      <c r="AT698" s="7" t="str">
        <f t="shared" si="74"/>
        <v/>
      </c>
      <c r="AU698" s="7" t="str">
        <f t="shared" si="75"/>
        <v/>
      </c>
      <c r="AV698" s="7" t="str">
        <f t="shared" si="76"/>
        <v/>
      </c>
      <c r="AW698" s="7" t="str">
        <f>IF('RFQ-Input'!O697="","",'RFQ-Input'!O697)</f>
        <v/>
      </c>
      <c r="AX698" s="7" t="str">
        <f>IF('RFQ-Input'!S697="","",'RFQ-Input'!S697)</f>
        <v/>
      </c>
      <c r="AY698" s="7" t="str">
        <f>IF('RFQ-Input'!V697="","",'RFQ-Input'!V697)</f>
        <v/>
      </c>
      <c r="AZ698" s="7" t="str">
        <f>IF('RFQ-Input'!Y697="","",'RFQ-Input'!Y697)</f>
        <v/>
      </c>
      <c r="BA698" s="7" t="str">
        <f>IF('RFQ-Input'!AB697="","",'RFQ-Input'!AB697)</f>
        <v/>
      </c>
    </row>
    <row r="699" spans="1:53">
      <c r="A699" s="20">
        <v>695</v>
      </c>
      <c r="B699" s="7"/>
      <c r="C699" s="7" t="str">
        <f>IF('RFQ-Input'!C698="","",'RFQ-Input'!C698)</f>
        <v/>
      </c>
      <c r="D699" s="7" t="str">
        <f>IF('RFQ-Input'!D698="","",'RFQ-Input'!D698)</f>
        <v/>
      </c>
      <c r="E699" s="7" t="str">
        <f>IF('RFQ-Input'!E698="","",'RFQ-Input'!E698)</f>
        <v/>
      </c>
      <c r="F699" s="7" t="str">
        <f>IF('RFQ-Input'!F698="","",'RFQ-Input'!F698)</f>
        <v/>
      </c>
      <c r="G699" s="7" t="str">
        <f>IF('RFQ-Input'!G698="","",'RFQ-Input'!G698)</f>
        <v/>
      </c>
      <c r="H699" s="7" t="str">
        <f>IF('RFQ-Input'!H698="","",'RFQ-Input'!H698)</f>
        <v/>
      </c>
      <c r="I699" s="7" t="str">
        <f>IF('RFQ-Input'!I698="","",'RFQ-Input'!I698)</f>
        <v/>
      </c>
      <c r="J699" s="7" t="str">
        <f>IF('RFQ-Input'!J698="","",'RFQ-Input'!J698)</f>
        <v/>
      </c>
      <c r="K699" s="7" t="str">
        <f>IF('RFQ-Input'!K698="","",'RFQ-Input'!K698)</f>
        <v/>
      </c>
      <c r="L699" s="7" t="str">
        <f>IF('RFQ-Input'!L698="","",'RFQ-Input'!L698)</f>
        <v/>
      </c>
      <c r="M699" s="7" t="str">
        <f>IF('RFQ-Input'!M698="","",'RFQ-Input'!M698)</f>
        <v/>
      </c>
      <c r="N699" s="7" t="str">
        <f>IF('RFQ-Input'!N698="","",'RFQ-Input'!N698)</f>
        <v/>
      </c>
      <c r="O699" s="7" t="str">
        <f>IF('RFQ-Input'!O698="","",'RFQ-Input'!O698)</f>
        <v/>
      </c>
      <c r="Q699" s="7"/>
      <c r="R699" s="7"/>
      <c r="S699" s="7"/>
      <c r="T699" s="7"/>
      <c r="U699" s="7"/>
      <c r="V699" s="7"/>
      <c r="X699" s="7"/>
      <c r="Y699" s="7"/>
      <c r="Z699" s="7"/>
      <c r="AA699" s="7" t="str">
        <f t="shared" si="70"/>
        <v/>
      </c>
      <c r="AB699" s="7"/>
      <c r="AC699" s="7"/>
      <c r="AQ699" s="7" t="str">
        <f t="shared" si="71"/>
        <v/>
      </c>
      <c r="AR699" s="7" t="str">
        <f t="shared" si="72"/>
        <v/>
      </c>
      <c r="AS699" s="7" t="str">
        <f t="shared" si="73"/>
        <v/>
      </c>
      <c r="AT699" s="7" t="str">
        <f t="shared" si="74"/>
        <v/>
      </c>
      <c r="AU699" s="7" t="str">
        <f t="shared" si="75"/>
        <v/>
      </c>
      <c r="AV699" s="7" t="str">
        <f t="shared" si="76"/>
        <v/>
      </c>
      <c r="AW699" s="7" t="str">
        <f>IF('RFQ-Input'!O698="","",'RFQ-Input'!O698)</f>
        <v/>
      </c>
      <c r="AX699" s="7" t="str">
        <f>IF('RFQ-Input'!S698="","",'RFQ-Input'!S698)</f>
        <v/>
      </c>
      <c r="AY699" s="7" t="str">
        <f>IF('RFQ-Input'!V698="","",'RFQ-Input'!V698)</f>
        <v/>
      </c>
      <c r="AZ699" s="7" t="str">
        <f>IF('RFQ-Input'!Y698="","",'RFQ-Input'!Y698)</f>
        <v/>
      </c>
      <c r="BA699" s="7" t="str">
        <f>IF('RFQ-Input'!AB698="","",'RFQ-Input'!AB698)</f>
        <v/>
      </c>
    </row>
    <row r="700" spans="1:53">
      <c r="A700" s="20">
        <v>696</v>
      </c>
      <c r="B700" s="7"/>
      <c r="C700" s="7" t="str">
        <f>IF('RFQ-Input'!C699="","",'RFQ-Input'!C699)</f>
        <v/>
      </c>
      <c r="D700" s="7" t="str">
        <f>IF('RFQ-Input'!D699="","",'RFQ-Input'!D699)</f>
        <v/>
      </c>
      <c r="E700" s="7" t="str">
        <f>IF('RFQ-Input'!E699="","",'RFQ-Input'!E699)</f>
        <v/>
      </c>
      <c r="F700" s="7" t="str">
        <f>IF('RFQ-Input'!F699="","",'RFQ-Input'!F699)</f>
        <v/>
      </c>
      <c r="G700" s="7" t="str">
        <f>IF('RFQ-Input'!G699="","",'RFQ-Input'!G699)</f>
        <v/>
      </c>
      <c r="H700" s="7" t="str">
        <f>IF('RFQ-Input'!H699="","",'RFQ-Input'!H699)</f>
        <v/>
      </c>
      <c r="I700" s="7" t="str">
        <f>IF('RFQ-Input'!I699="","",'RFQ-Input'!I699)</f>
        <v/>
      </c>
      <c r="J700" s="7" t="str">
        <f>IF('RFQ-Input'!J699="","",'RFQ-Input'!J699)</f>
        <v/>
      </c>
      <c r="K700" s="7" t="str">
        <f>IF('RFQ-Input'!K699="","",'RFQ-Input'!K699)</f>
        <v/>
      </c>
      <c r="L700" s="7" t="str">
        <f>IF('RFQ-Input'!L699="","",'RFQ-Input'!L699)</f>
        <v/>
      </c>
      <c r="M700" s="7" t="str">
        <f>IF('RFQ-Input'!M699="","",'RFQ-Input'!M699)</f>
        <v/>
      </c>
      <c r="N700" s="7" t="str">
        <f>IF('RFQ-Input'!N699="","",'RFQ-Input'!N699)</f>
        <v/>
      </c>
      <c r="O700" s="7" t="str">
        <f>IF('RFQ-Input'!O699="","",'RFQ-Input'!O699)</f>
        <v/>
      </c>
      <c r="Q700" s="7"/>
      <c r="R700" s="7"/>
      <c r="S700" s="7"/>
      <c r="T700" s="7"/>
      <c r="U700" s="7"/>
      <c r="V700" s="7"/>
      <c r="X700" s="7"/>
      <c r="Y700" s="7"/>
      <c r="Z700" s="7"/>
      <c r="AA700" s="7" t="str">
        <f t="shared" si="70"/>
        <v/>
      </c>
      <c r="AB700" s="7"/>
      <c r="AC700" s="7"/>
      <c r="AQ700" s="7" t="str">
        <f t="shared" si="71"/>
        <v/>
      </c>
      <c r="AR700" s="7" t="str">
        <f t="shared" si="72"/>
        <v/>
      </c>
      <c r="AS700" s="7" t="str">
        <f t="shared" si="73"/>
        <v/>
      </c>
      <c r="AT700" s="7" t="str">
        <f t="shared" si="74"/>
        <v/>
      </c>
      <c r="AU700" s="7" t="str">
        <f t="shared" si="75"/>
        <v/>
      </c>
      <c r="AV700" s="7" t="str">
        <f t="shared" si="76"/>
        <v/>
      </c>
      <c r="AW700" s="7" t="str">
        <f>IF('RFQ-Input'!O699="","",'RFQ-Input'!O699)</f>
        <v/>
      </c>
      <c r="AX700" s="7" t="str">
        <f>IF('RFQ-Input'!S699="","",'RFQ-Input'!S699)</f>
        <v/>
      </c>
      <c r="AY700" s="7" t="str">
        <f>IF('RFQ-Input'!V699="","",'RFQ-Input'!V699)</f>
        <v/>
      </c>
      <c r="AZ700" s="7" t="str">
        <f>IF('RFQ-Input'!Y699="","",'RFQ-Input'!Y699)</f>
        <v/>
      </c>
      <c r="BA700" s="7" t="str">
        <f>IF('RFQ-Input'!AB699="","",'RFQ-Input'!AB699)</f>
        <v/>
      </c>
    </row>
    <row r="701" spans="1:53">
      <c r="A701" s="20">
        <v>697</v>
      </c>
      <c r="B701" s="7"/>
      <c r="C701" s="7" t="str">
        <f>IF('RFQ-Input'!C700="","",'RFQ-Input'!C700)</f>
        <v/>
      </c>
      <c r="D701" s="7" t="str">
        <f>IF('RFQ-Input'!D700="","",'RFQ-Input'!D700)</f>
        <v/>
      </c>
      <c r="E701" s="7" t="str">
        <f>IF('RFQ-Input'!E700="","",'RFQ-Input'!E700)</f>
        <v/>
      </c>
      <c r="F701" s="7" t="str">
        <f>IF('RFQ-Input'!F700="","",'RFQ-Input'!F700)</f>
        <v/>
      </c>
      <c r="G701" s="7" t="str">
        <f>IF('RFQ-Input'!G700="","",'RFQ-Input'!G700)</f>
        <v/>
      </c>
      <c r="H701" s="7" t="str">
        <f>IF('RFQ-Input'!H700="","",'RFQ-Input'!H700)</f>
        <v/>
      </c>
      <c r="I701" s="7" t="str">
        <f>IF('RFQ-Input'!I700="","",'RFQ-Input'!I700)</f>
        <v/>
      </c>
      <c r="J701" s="7" t="str">
        <f>IF('RFQ-Input'!J700="","",'RFQ-Input'!J700)</f>
        <v/>
      </c>
      <c r="K701" s="7" t="str">
        <f>IF('RFQ-Input'!K700="","",'RFQ-Input'!K700)</f>
        <v/>
      </c>
      <c r="L701" s="7" t="str">
        <f>IF('RFQ-Input'!L700="","",'RFQ-Input'!L700)</f>
        <v/>
      </c>
      <c r="M701" s="7" t="str">
        <f>IF('RFQ-Input'!M700="","",'RFQ-Input'!M700)</f>
        <v/>
      </c>
      <c r="N701" s="7" t="str">
        <f>IF('RFQ-Input'!N700="","",'RFQ-Input'!N700)</f>
        <v/>
      </c>
      <c r="O701" s="7" t="str">
        <f>IF('RFQ-Input'!O700="","",'RFQ-Input'!O700)</f>
        <v/>
      </c>
      <c r="Q701" s="7"/>
      <c r="R701" s="7"/>
      <c r="S701" s="7"/>
      <c r="T701" s="7"/>
      <c r="U701" s="7"/>
      <c r="V701" s="7"/>
      <c r="X701" s="7"/>
      <c r="Y701" s="7"/>
      <c r="Z701" s="7"/>
      <c r="AA701" s="7" t="str">
        <f t="shared" si="70"/>
        <v/>
      </c>
      <c r="AB701" s="7"/>
      <c r="AC701" s="7"/>
      <c r="AQ701" s="7" t="str">
        <f t="shared" si="71"/>
        <v/>
      </c>
      <c r="AR701" s="7" t="str">
        <f t="shared" si="72"/>
        <v/>
      </c>
      <c r="AS701" s="7" t="str">
        <f t="shared" si="73"/>
        <v/>
      </c>
      <c r="AT701" s="7" t="str">
        <f t="shared" si="74"/>
        <v/>
      </c>
      <c r="AU701" s="7" t="str">
        <f t="shared" si="75"/>
        <v/>
      </c>
      <c r="AV701" s="7" t="str">
        <f t="shared" si="76"/>
        <v/>
      </c>
      <c r="AW701" s="7" t="str">
        <f>IF('RFQ-Input'!O700="","",'RFQ-Input'!O700)</f>
        <v/>
      </c>
      <c r="AX701" s="7" t="str">
        <f>IF('RFQ-Input'!S700="","",'RFQ-Input'!S700)</f>
        <v/>
      </c>
      <c r="AY701" s="7" t="str">
        <f>IF('RFQ-Input'!V700="","",'RFQ-Input'!V700)</f>
        <v/>
      </c>
      <c r="AZ701" s="7" t="str">
        <f>IF('RFQ-Input'!Y700="","",'RFQ-Input'!Y700)</f>
        <v/>
      </c>
      <c r="BA701" s="7" t="str">
        <f>IF('RFQ-Input'!AB700="","",'RFQ-Input'!AB700)</f>
        <v/>
      </c>
    </row>
    <row r="702" spans="1:53">
      <c r="A702" s="20">
        <v>698</v>
      </c>
      <c r="B702" s="7"/>
      <c r="C702" s="7" t="str">
        <f>IF('RFQ-Input'!C701="","",'RFQ-Input'!C701)</f>
        <v/>
      </c>
      <c r="D702" s="7" t="str">
        <f>IF('RFQ-Input'!D701="","",'RFQ-Input'!D701)</f>
        <v/>
      </c>
      <c r="E702" s="7" t="str">
        <f>IF('RFQ-Input'!E701="","",'RFQ-Input'!E701)</f>
        <v/>
      </c>
      <c r="F702" s="7" t="str">
        <f>IF('RFQ-Input'!F701="","",'RFQ-Input'!F701)</f>
        <v/>
      </c>
      <c r="G702" s="7" t="str">
        <f>IF('RFQ-Input'!G701="","",'RFQ-Input'!G701)</f>
        <v/>
      </c>
      <c r="H702" s="7" t="str">
        <f>IF('RFQ-Input'!H701="","",'RFQ-Input'!H701)</f>
        <v/>
      </c>
      <c r="I702" s="7" t="str">
        <f>IF('RFQ-Input'!I701="","",'RFQ-Input'!I701)</f>
        <v/>
      </c>
      <c r="J702" s="7" t="str">
        <f>IF('RFQ-Input'!J701="","",'RFQ-Input'!J701)</f>
        <v/>
      </c>
      <c r="K702" s="7" t="str">
        <f>IF('RFQ-Input'!K701="","",'RFQ-Input'!K701)</f>
        <v/>
      </c>
      <c r="L702" s="7" t="str">
        <f>IF('RFQ-Input'!L701="","",'RFQ-Input'!L701)</f>
        <v/>
      </c>
      <c r="M702" s="7" t="str">
        <f>IF('RFQ-Input'!M701="","",'RFQ-Input'!M701)</f>
        <v/>
      </c>
      <c r="N702" s="7" t="str">
        <f>IF('RFQ-Input'!N701="","",'RFQ-Input'!N701)</f>
        <v/>
      </c>
      <c r="O702" s="7" t="str">
        <f>IF('RFQ-Input'!O701="","",'RFQ-Input'!O701)</f>
        <v/>
      </c>
      <c r="Q702" s="7"/>
      <c r="R702" s="7"/>
      <c r="S702" s="7"/>
      <c r="T702" s="7"/>
      <c r="U702" s="7"/>
      <c r="V702" s="7"/>
      <c r="X702" s="7"/>
      <c r="Y702" s="7"/>
      <c r="Z702" s="7"/>
      <c r="AA702" s="7" t="str">
        <f t="shared" si="70"/>
        <v/>
      </c>
      <c r="AB702" s="7"/>
      <c r="AC702" s="7"/>
      <c r="AQ702" s="7" t="str">
        <f t="shared" si="71"/>
        <v/>
      </c>
      <c r="AR702" s="7" t="str">
        <f t="shared" si="72"/>
        <v/>
      </c>
      <c r="AS702" s="7" t="str">
        <f t="shared" si="73"/>
        <v/>
      </c>
      <c r="AT702" s="7" t="str">
        <f t="shared" si="74"/>
        <v/>
      </c>
      <c r="AU702" s="7" t="str">
        <f t="shared" si="75"/>
        <v/>
      </c>
      <c r="AV702" s="7" t="str">
        <f t="shared" si="76"/>
        <v/>
      </c>
      <c r="AW702" s="7" t="str">
        <f>IF('RFQ-Input'!O701="","",'RFQ-Input'!O701)</f>
        <v/>
      </c>
      <c r="AX702" s="7" t="str">
        <f>IF('RFQ-Input'!S701="","",'RFQ-Input'!S701)</f>
        <v/>
      </c>
      <c r="AY702" s="7" t="str">
        <f>IF('RFQ-Input'!V701="","",'RFQ-Input'!V701)</f>
        <v/>
      </c>
      <c r="AZ702" s="7" t="str">
        <f>IF('RFQ-Input'!Y701="","",'RFQ-Input'!Y701)</f>
        <v/>
      </c>
      <c r="BA702" s="7" t="str">
        <f>IF('RFQ-Input'!AB701="","",'RFQ-Input'!AB701)</f>
        <v/>
      </c>
    </row>
    <row r="703" spans="1:53">
      <c r="A703" s="20">
        <v>699</v>
      </c>
      <c r="B703" s="7"/>
      <c r="C703" s="7" t="str">
        <f>IF('RFQ-Input'!C702="","",'RFQ-Input'!C702)</f>
        <v/>
      </c>
      <c r="D703" s="7" t="str">
        <f>IF('RFQ-Input'!D702="","",'RFQ-Input'!D702)</f>
        <v/>
      </c>
      <c r="E703" s="7" t="str">
        <f>IF('RFQ-Input'!E702="","",'RFQ-Input'!E702)</f>
        <v/>
      </c>
      <c r="F703" s="7" t="str">
        <f>IF('RFQ-Input'!F702="","",'RFQ-Input'!F702)</f>
        <v/>
      </c>
      <c r="G703" s="7" t="str">
        <f>IF('RFQ-Input'!G702="","",'RFQ-Input'!G702)</f>
        <v/>
      </c>
      <c r="H703" s="7" t="str">
        <f>IF('RFQ-Input'!H702="","",'RFQ-Input'!H702)</f>
        <v/>
      </c>
      <c r="I703" s="7" t="str">
        <f>IF('RFQ-Input'!I702="","",'RFQ-Input'!I702)</f>
        <v/>
      </c>
      <c r="J703" s="7" t="str">
        <f>IF('RFQ-Input'!J702="","",'RFQ-Input'!J702)</f>
        <v/>
      </c>
      <c r="K703" s="7" t="str">
        <f>IF('RFQ-Input'!K702="","",'RFQ-Input'!K702)</f>
        <v/>
      </c>
      <c r="L703" s="7" t="str">
        <f>IF('RFQ-Input'!L702="","",'RFQ-Input'!L702)</f>
        <v/>
      </c>
      <c r="M703" s="7" t="str">
        <f>IF('RFQ-Input'!M702="","",'RFQ-Input'!M702)</f>
        <v/>
      </c>
      <c r="N703" s="7" t="str">
        <f>IF('RFQ-Input'!N702="","",'RFQ-Input'!N702)</f>
        <v/>
      </c>
      <c r="O703" s="7" t="str">
        <f>IF('RFQ-Input'!O702="","",'RFQ-Input'!O702)</f>
        <v/>
      </c>
      <c r="Q703" s="7"/>
      <c r="R703" s="7"/>
      <c r="S703" s="7"/>
      <c r="T703" s="7"/>
      <c r="U703" s="7"/>
      <c r="V703" s="7"/>
      <c r="X703" s="7"/>
      <c r="Y703" s="7"/>
      <c r="Z703" s="7"/>
      <c r="AA703" s="7" t="str">
        <f t="shared" si="70"/>
        <v/>
      </c>
      <c r="AB703" s="7"/>
      <c r="AC703" s="7"/>
      <c r="AQ703" s="7" t="str">
        <f t="shared" si="71"/>
        <v/>
      </c>
      <c r="AR703" s="7" t="str">
        <f t="shared" si="72"/>
        <v/>
      </c>
      <c r="AS703" s="7" t="str">
        <f t="shared" si="73"/>
        <v/>
      </c>
      <c r="AT703" s="7" t="str">
        <f t="shared" si="74"/>
        <v/>
      </c>
      <c r="AU703" s="7" t="str">
        <f t="shared" si="75"/>
        <v/>
      </c>
      <c r="AV703" s="7" t="str">
        <f t="shared" si="76"/>
        <v/>
      </c>
      <c r="AW703" s="7" t="str">
        <f>IF('RFQ-Input'!O702="","",'RFQ-Input'!O702)</f>
        <v/>
      </c>
      <c r="AX703" s="7" t="str">
        <f>IF('RFQ-Input'!S702="","",'RFQ-Input'!S702)</f>
        <v/>
      </c>
      <c r="AY703" s="7" t="str">
        <f>IF('RFQ-Input'!V702="","",'RFQ-Input'!V702)</f>
        <v/>
      </c>
      <c r="AZ703" s="7" t="str">
        <f>IF('RFQ-Input'!Y702="","",'RFQ-Input'!Y702)</f>
        <v/>
      </c>
      <c r="BA703" s="7" t="str">
        <f>IF('RFQ-Input'!AB702="","",'RFQ-Input'!AB702)</f>
        <v/>
      </c>
    </row>
    <row r="704" spans="1:53">
      <c r="A704" s="20">
        <v>700</v>
      </c>
      <c r="B704" s="7"/>
      <c r="C704" s="7" t="str">
        <f>IF('RFQ-Input'!C703="","",'RFQ-Input'!C703)</f>
        <v/>
      </c>
      <c r="D704" s="7" t="str">
        <f>IF('RFQ-Input'!D703="","",'RFQ-Input'!D703)</f>
        <v/>
      </c>
      <c r="E704" s="7" t="str">
        <f>IF('RFQ-Input'!E703="","",'RFQ-Input'!E703)</f>
        <v/>
      </c>
      <c r="F704" s="7" t="str">
        <f>IF('RFQ-Input'!F703="","",'RFQ-Input'!F703)</f>
        <v/>
      </c>
      <c r="G704" s="7" t="str">
        <f>IF('RFQ-Input'!G703="","",'RFQ-Input'!G703)</f>
        <v/>
      </c>
      <c r="H704" s="7" t="str">
        <f>IF('RFQ-Input'!H703="","",'RFQ-Input'!H703)</f>
        <v/>
      </c>
      <c r="I704" s="7" t="str">
        <f>IF('RFQ-Input'!I703="","",'RFQ-Input'!I703)</f>
        <v/>
      </c>
      <c r="J704" s="7" t="str">
        <f>IF('RFQ-Input'!J703="","",'RFQ-Input'!J703)</f>
        <v/>
      </c>
      <c r="K704" s="7" t="str">
        <f>IF('RFQ-Input'!K703="","",'RFQ-Input'!K703)</f>
        <v/>
      </c>
      <c r="L704" s="7" t="str">
        <f>IF('RFQ-Input'!L703="","",'RFQ-Input'!L703)</f>
        <v/>
      </c>
      <c r="M704" s="7" t="str">
        <f>IF('RFQ-Input'!M703="","",'RFQ-Input'!M703)</f>
        <v/>
      </c>
      <c r="N704" s="7" t="str">
        <f>IF('RFQ-Input'!N703="","",'RFQ-Input'!N703)</f>
        <v/>
      </c>
      <c r="O704" s="7" t="str">
        <f>IF('RFQ-Input'!O703="","",'RFQ-Input'!O703)</f>
        <v/>
      </c>
      <c r="Q704" s="7"/>
      <c r="R704" s="7"/>
      <c r="S704" s="7"/>
      <c r="T704" s="7"/>
      <c r="U704" s="7"/>
      <c r="V704" s="7"/>
      <c r="X704" s="7"/>
      <c r="Y704" s="7"/>
      <c r="Z704" s="7"/>
      <c r="AA704" s="7" t="str">
        <f t="shared" si="70"/>
        <v/>
      </c>
      <c r="AB704" s="7"/>
      <c r="AC704" s="7"/>
      <c r="AQ704" s="7" t="str">
        <f t="shared" si="71"/>
        <v/>
      </c>
      <c r="AR704" s="7" t="str">
        <f t="shared" si="72"/>
        <v/>
      </c>
      <c r="AS704" s="7" t="str">
        <f t="shared" si="73"/>
        <v/>
      </c>
      <c r="AT704" s="7" t="str">
        <f t="shared" si="74"/>
        <v/>
      </c>
      <c r="AU704" s="7" t="str">
        <f t="shared" si="75"/>
        <v/>
      </c>
      <c r="AV704" s="7" t="str">
        <f t="shared" si="76"/>
        <v/>
      </c>
      <c r="AW704" s="7" t="str">
        <f>IF('RFQ-Input'!O703="","",'RFQ-Input'!O703)</f>
        <v/>
      </c>
      <c r="AX704" s="7" t="str">
        <f>IF('RFQ-Input'!S703="","",'RFQ-Input'!S703)</f>
        <v/>
      </c>
      <c r="AY704" s="7" t="str">
        <f>IF('RFQ-Input'!V703="","",'RFQ-Input'!V703)</f>
        <v/>
      </c>
      <c r="AZ704" s="7" t="str">
        <f>IF('RFQ-Input'!Y703="","",'RFQ-Input'!Y703)</f>
        <v/>
      </c>
      <c r="BA704" s="7" t="str">
        <f>IF('RFQ-Input'!AB703="","",'RFQ-Input'!AB703)</f>
        <v/>
      </c>
    </row>
    <row r="705" spans="1:53">
      <c r="A705" s="20">
        <v>701</v>
      </c>
      <c r="B705" s="7"/>
      <c r="C705" s="7" t="str">
        <f>IF('RFQ-Input'!C704="","",'RFQ-Input'!C704)</f>
        <v/>
      </c>
      <c r="D705" s="7" t="str">
        <f>IF('RFQ-Input'!D704="","",'RFQ-Input'!D704)</f>
        <v/>
      </c>
      <c r="E705" s="7" t="str">
        <f>IF('RFQ-Input'!E704="","",'RFQ-Input'!E704)</f>
        <v/>
      </c>
      <c r="F705" s="7" t="str">
        <f>IF('RFQ-Input'!F704="","",'RFQ-Input'!F704)</f>
        <v/>
      </c>
      <c r="G705" s="7" t="str">
        <f>IF('RFQ-Input'!G704="","",'RFQ-Input'!G704)</f>
        <v/>
      </c>
      <c r="H705" s="7" t="str">
        <f>IF('RFQ-Input'!H704="","",'RFQ-Input'!H704)</f>
        <v/>
      </c>
      <c r="I705" s="7" t="str">
        <f>IF('RFQ-Input'!I704="","",'RFQ-Input'!I704)</f>
        <v/>
      </c>
      <c r="J705" s="7" t="str">
        <f>IF('RFQ-Input'!J704="","",'RFQ-Input'!J704)</f>
        <v/>
      </c>
      <c r="K705" s="7" t="str">
        <f>IF('RFQ-Input'!K704="","",'RFQ-Input'!K704)</f>
        <v/>
      </c>
      <c r="L705" s="7" t="str">
        <f>IF('RFQ-Input'!L704="","",'RFQ-Input'!L704)</f>
        <v/>
      </c>
      <c r="M705" s="7" t="str">
        <f>IF('RFQ-Input'!M704="","",'RFQ-Input'!M704)</f>
        <v/>
      </c>
      <c r="N705" s="7" t="str">
        <f>IF('RFQ-Input'!N704="","",'RFQ-Input'!N704)</f>
        <v/>
      </c>
      <c r="O705" s="7" t="str">
        <f>IF('RFQ-Input'!O704="","",'RFQ-Input'!O704)</f>
        <v/>
      </c>
      <c r="Q705" s="7"/>
      <c r="R705" s="7"/>
      <c r="S705" s="7"/>
      <c r="T705" s="7"/>
      <c r="U705" s="7"/>
      <c r="V705" s="7"/>
      <c r="X705" s="7"/>
      <c r="Y705" s="7"/>
      <c r="Z705" s="7"/>
      <c r="AA705" s="7" t="str">
        <f t="shared" si="70"/>
        <v/>
      </c>
      <c r="AB705" s="7"/>
      <c r="AC705" s="7"/>
      <c r="AQ705" s="7" t="str">
        <f t="shared" si="71"/>
        <v/>
      </c>
      <c r="AR705" s="7" t="str">
        <f t="shared" si="72"/>
        <v/>
      </c>
      <c r="AS705" s="7" t="str">
        <f t="shared" si="73"/>
        <v/>
      </c>
      <c r="AT705" s="7" t="str">
        <f t="shared" si="74"/>
        <v/>
      </c>
      <c r="AU705" s="7" t="str">
        <f t="shared" si="75"/>
        <v/>
      </c>
      <c r="AV705" s="7" t="str">
        <f t="shared" si="76"/>
        <v/>
      </c>
      <c r="AW705" s="7" t="str">
        <f>IF('RFQ-Input'!O704="","",'RFQ-Input'!O704)</f>
        <v/>
      </c>
      <c r="AX705" s="7" t="str">
        <f>IF('RFQ-Input'!S704="","",'RFQ-Input'!S704)</f>
        <v/>
      </c>
      <c r="AY705" s="7" t="str">
        <f>IF('RFQ-Input'!V704="","",'RFQ-Input'!V704)</f>
        <v/>
      </c>
      <c r="AZ705" s="7" t="str">
        <f>IF('RFQ-Input'!Y704="","",'RFQ-Input'!Y704)</f>
        <v/>
      </c>
      <c r="BA705" s="7" t="str">
        <f>IF('RFQ-Input'!AB704="","",'RFQ-Input'!AB704)</f>
        <v/>
      </c>
    </row>
    <row r="706" spans="1:53">
      <c r="A706" s="20">
        <v>702</v>
      </c>
      <c r="B706" s="7"/>
      <c r="C706" s="7" t="str">
        <f>IF('RFQ-Input'!C705="","",'RFQ-Input'!C705)</f>
        <v/>
      </c>
      <c r="D706" s="7" t="str">
        <f>IF('RFQ-Input'!D705="","",'RFQ-Input'!D705)</f>
        <v/>
      </c>
      <c r="E706" s="7" t="str">
        <f>IF('RFQ-Input'!E705="","",'RFQ-Input'!E705)</f>
        <v/>
      </c>
      <c r="F706" s="7" t="str">
        <f>IF('RFQ-Input'!F705="","",'RFQ-Input'!F705)</f>
        <v/>
      </c>
      <c r="G706" s="7" t="str">
        <f>IF('RFQ-Input'!G705="","",'RFQ-Input'!G705)</f>
        <v/>
      </c>
      <c r="H706" s="7" t="str">
        <f>IF('RFQ-Input'!H705="","",'RFQ-Input'!H705)</f>
        <v/>
      </c>
      <c r="I706" s="7" t="str">
        <f>IF('RFQ-Input'!I705="","",'RFQ-Input'!I705)</f>
        <v/>
      </c>
      <c r="J706" s="7" t="str">
        <f>IF('RFQ-Input'!J705="","",'RFQ-Input'!J705)</f>
        <v/>
      </c>
      <c r="K706" s="7" t="str">
        <f>IF('RFQ-Input'!K705="","",'RFQ-Input'!K705)</f>
        <v/>
      </c>
      <c r="L706" s="7" t="str">
        <f>IF('RFQ-Input'!L705="","",'RFQ-Input'!L705)</f>
        <v/>
      </c>
      <c r="M706" s="7" t="str">
        <f>IF('RFQ-Input'!M705="","",'RFQ-Input'!M705)</f>
        <v/>
      </c>
      <c r="N706" s="7" t="str">
        <f>IF('RFQ-Input'!N705="","",'RFQ-Input'!N705)</f>
        <v/>
      </c>
      <c r="O706" s="7" t="str">
        <f>IF('RFQ-Input'!O705="","",'RFQ-Input'!O705)</f>
        <v/>
      </c>
      <c r="Q706" s="7"/>
      <c r="R706" s="7"/>
      <c r="S706" s="7"/>
      <c r="T706" s="7"/>
      <c r="U706" s="7"/>
      <c r="V706" s="7"/>
      <c r="X706" s="7"/>
      <c r="Y706" s="7"/>
      <c r="Z706" s="7"/>
      <c r="AA706" s="7" t="str">
        <f t="shared" si="70"/>
        <v/>
      </c>
      <c r="AB706" s="7"/>
      <c r="AC706" s="7"/>
      <c r="AQ706" s="7" t="str">
        <f t="shared" si="71"/>
        <v/>
      </c>
      <c r="AR706" s="7" t="str">
        <f t="shared" si="72"/>
        <v/>
      </c>
      <c r="AS706" s="7" t="str">
        <f t="shared" si="73"/>
        <v/>
      </c>
      <c r="AT706" s="7" t="str">
        <f t="shared" si="74"/>
        <v/>
      </c>
      <c r="AU706" s="7" t="str">
        <f t="shared" si="75"/>
        <v/>
      </c>
      <c r="AV706" s="7" t="str">
        <f t="shared" si="76"/>
        <v/>
      </c>
      <c r="AW706" s="7" t="str">
        <f>IF('RFQ-Input'!O705="","",'RFQ-Input'!O705)</f>
        <v/>
      </c>
      <c r="AX706" s="7" t="str">
        <f>IF('RFQ-Input'!S705="","",'RFQ-Input'!S705)</f>
        <v/>
      </c>
      <c r="AY706" s="7" t="str">
        <f>IF('RFQ-Input'!V705="","",'RFQ-Input'!V705)</f>
        <v/>
      </c>
      <c r="AZ706" s="7" t="str">
        <f>IF('RFQ-Input'!Y705="","",'RFQ-Input'!Y705)</f>
        <v/>
      </c>
      <c r="BA706" s="7" t="str">
        <f>IF('RFQ-Input'!AB705="","",'RFQ-Input'!AB705)</f>
        <v/>
      </c>
    </row>
    <row r="707" spans="1:53">
      <c r="A707" s="20">
        <v>703</v>
      </c>
      <c r="B707" s="7"/>
      <c r="C707" s="7" t="str">
        <f>IF('RFQ-Input'!C706="","",'RFQ-Input'!C706)</f>
        <v/>
      </c>
      <c r="D707" s="7" t="str">
        <f>IF('RFQ-Input'!D706="","",'RFQ-Input'!D706)</f>
        <v/>
      </c>
      <c r="E707" s="7" t="str">
        <f>IF('RFQ-Input'!E706="","",'RFQ-Input'!E706)</f>
        <v/>
      </c>
      <c r="F707" s="7" t="str">
        <f>IF('RFQ-Input'!F706="","",'RFQ-Input'!F706)</f>
        <v/>
      </c>
      <c r="G707" s="7" t="str">
        <f>IF('RFQ-Input'!G706="","",'RFQ-Input'!G706)</f>
        <v/>
      </c>
      <c r="H707" s="7" t="str">
        <f>IF('RFQ-Input'!H706="","",'RFQ-Input'!H706)</f>
        <v/>
      </c>
      <c r="I707" s="7" t="str">
        <f>IF('RFQ-Input'!I706="","",'RFQ-Input'!I706)</f>
        <v/>
      </c>
      <c r="J707" s="7" t="str">
        <f>IF('RFQ-Input'!J706="","",'RFQ-Input'!J706)</f>
        <v/>
      </c>
      <c r="K707" s="7" t="str">
        <f>IF('RFQ-Input'!K706="","",'RFQ-Input'!K706)</f>
        <v/>
      </c>
      <c r="L707" s="7" t="str">
        <f>IF('RFQ-Input'!L706="","",'RFQ-Input'!L706)</f>
        <v/>
      </c>
      <c r="M707" s="7" t="str">
        <f>IF('RFQ-Input'!M706="","",'RFQ-Input'!M706)</f>
        <v/>
      </c>
      <c r="N707" s="7" t="str">
        <f>IF('RFQ-Input'!N706="","",'RFQ-Input'!N706)</f>
        <v/>
      </c>
      <c r="O707" s="7" t="str">
        <f>IF('RFQ-Input'!O706="","",'RFQ-Input'!O706)</f>
        <v/>
      </c>
      <c r="Q707" s="7"/>
      <c r="R707" s="7"/>
      <c r="S707" s="7"/>
      <c r="T707" s="7"/>
      <c r="U707" s="7"/>
      <c r="V707" s="7"/>
      <c r="X707" s="7"/>
      <c r="Y707" s="7"/>
      <c r="Z707" s="7"/>
      <c r="AA707" s="7" t="str">
        <f t="shared" si="70"/>
        <v/>
      </c>
      <c r="AB707" s="7"/>
      <c r="AC707" s="7"/>
      <c r="AQ707" s="7" t="str">
        <f t="shared" si="71"/>
        <v/>
      </c>
      <c r="AR707" s="7" t="str">
        <f t="shared" si="72"/>
        <v/>
      </c>
      <c r="AS707" s="7" t="str">
        <f t="shared" si="73"/>
        <v/>
      </c>
      <c r="AT707" s="7" t="str">
        <f t="shared" si="74"/>
        <v/>
      </c>
      <c r="AU707" s="7" t="str">
        <f t="shared" si="75"/>
        <v/>
      </c>
      <c r="AV707" s="7" t="str">
        <f t="shared" si="76"/>
        <v/>
      </c>
      <c r="AW707" s="7" t="str">
        <f>IF('RFQ-Input'!O706="","",'RFQ-Input'!O706)</f>
        <v/>
      </c>
      <c r="AX707" s="7" t="str">
        <f>IF('RFQ-Input'!S706="","",'RFQ-Input'!S706)</f>
        <v/>
      </c>
      <c r="AY707" s="7" t="str">
        <f>IF('RFQ-Input'!V706="","",'RFQ-Input'!V706)</f>
        <v/>
      </c>
      <c r="AZ707" s="7" t="str">
        <f>IF('RFQ-Input'!Y706="","",'RFQ-Input'!Y706)</f>
        <v/>
      </c>
      <c r="BA707" s="7" t="str">
        <f>IF('RFQ-Input'!AB706="","",'RFQ-Input'!AB706)</f>
        <v/>
      </c>
    </row>
    <row r="708" spans="1:53">
      <c r="A708" s="20">
        <v>704</v>
      </c>
      <c r="B708" s="7"/>
      <c r="C708" s="7" t="str">
        <f>IF('RFQ-Input'!C707="","",'RFQ-Input'!C707)</f>
        <v/>
      </c>
      <c r="D708" s="7" t="str">
        <f>IF('RFQ-Input'!D707="","",'RFQ-Input'!D707)</f>
        <v/>
      </c>
      <c r="E708" s="7" t="str">
        <f>IF('RFQ-Input'!E707="","",'RFQ-Input'!E707)</f>
        <v/>
      </c>
      <c r="F708" s="7" t="str">
        <f>IF('RFQ-Input'!F707="","",'RFQ-Input'!F707)</f>
        <v/>
      </c>
      <c r="G708" s="7" t="str">
        <f>IF('RFQ-Input'!G707="","",'RFQ-Input'!G707)</f>
        <v/>
      </c>
      <c r="H708" s="7" t="str">
        <f>IF('RFQ-Input'!H707="","",'RFQ-Input'!H707)</f>
        <v/>
      </c>
      <c r="I708" s="7" t="str">
        <f>IF('RFQ-Input'!I707="","",'RFQ-Input'!I707)</f>
        <v/>
      </c>
      <c r="J708" s="7" t="str">
        <f>IF('RFQ-Input'!J707="","",'RFQ-Input'!J707)</f>
        <v/>
      </c>
      <c r="K708" s="7" t="str">
        <f>IF('RFQ-Input'!K707="","",'RFQ-Input'!K707)</f>
        <v/>
      </c>
      <c r="L708" s="7" t="str">
        <f>IF('RFQ-Input'!L707="","",'RFQ-Input'!L707)</f>
        <v/>
      </c>
      <c r="M708" s="7" t="str">
        <f>IF('RFQ-Input'!M707="","",'RFQ-Input'!M707)</f>
        <v/>
      </c>
      <c r="N708" s="7" t="str">
        <f>IF('RFQ-Input'!N707="","",'RFQ-Input'!N707)</f>
        <v/>
      </c>
      <c r="O708" s="7" t="str">
        <f>IF('RFQ-Input'!O707="","",'RFQ-Input'!O707)</f>
        <v/>
      </c>
      <c r="Q708" s="7"/>
      <c r="R708" s="7"/>
      <c r="S708" s="7"/>
      <c r="T708" s="7"/>
      <c r="U708" s="7"/>
      <c r="V708" s="7"/>
      <c r="X708" s="7"/>
      <c r="Y708" s="7"/>
      <c r="Z708" s="7"/>
      <c r="AA708" s="7" t="str">
        <f t="shared" si="70"/>
        <v/>
      </c>
      <c r="AB708" s="7"/>
      <c r="AC708" s="7"/>
      <c r="AQ708" s="7" t="str">
        <f t="shared" si="71"/>
        <v/>
      </c>
      <c r="AR708" s="7" t="str">
        <f t="shared" si="72"/>
        <v/>
      </c>
      <c r="AS708" s="7" t="str">
        <f t="shared" si="73"/>
        <v/>
      </c>
      <c r="AT708" s="7" t="str">
        <f t="shared" si="74"/>
        <v/>
      </c>
      <c r="AU708" s="7" t="str">
        <f t="shared" si="75"/>
        <v/>
      </c>
      <c r="AV708" s="7" t="str">
        <f t="shared" si="76"/>
        <v/>
      </c>
      <c r="AW708" s="7" t="str">
        <f>IF('RFQ-Input'!O707="","",'RFQ-Input'!O707)</f>
        <v/>
      </c>
      <c r="AX708" s="7" t="str">
        <f>IF('RFQ-Input'!S707="","",'RFQ-Input'!S707)</f>
        <v/>
      </c>
      <c r="AY708" s="7" t="str">
        <f>IF('RFQ-Input'!V707="","",'RFQ-Input'!V707)</f>
        <v/>
      </c>
      <c r="AZ708" s="7" t="str">
        <f>IF('RFQ-Input'!Y707="","",'RFQ-Input'!Y707)</f>
        <v/>
      </c>
      <c r="BA708" s="7" t="str">
        <f>IF('RFQ-Input'!AB707="","",'RFQ-Input'!AB707)</f>
        <v/>
      </c>
    </row>
    <row r="709" spans="1:53">
      <c r="A709" s="20">
        <v>705</v>
      </c>
      <c r="B709" s="7"/>
      <c r="C709" s="7" t="str">
        <f>IF('RFQ-Input'!C708="","",'RFQ-Input'!C708)</f>
        <v/>
      </c>
      <c r="D709" s="7" t="str">
        <f>IF('RFQ-Input'!D708="","",'RFQ-Input'!D708)</f>
        <v/>
      </c>
      <c r="E709" s="7" t="str">
        <f>IF('RFQ-Input'!E708="","",'RFQ-Input'!E708)</f>
        <v/>
      </c>
      <c r="F709" s="7" t="str">
        <f>IF('RFQ-Input'!F708="","",'RFQ-Input'!F708)</f>
        <v/>
      </c>
      <c r="G709" s="7" t="str">
        <f>IF('RFQ-Input'!G708="","",'RFQ-Input'!G708)</f>
        <v/>
      </c>
      <c r="H709" s="7" t="str">
        <f>IF('RFQ-Input'!H708="","",'RFQ-Input'!H708)</f>
        <v/>
      </c>
      <c r="I709" s="7" t="str">
        <f>IF('RFQ-Input'!I708="","",'RFQ-Input'!I708)</f>
        <v/>
      </c>
      <c r="J709" s="7" t="str">
        <f>IF('RFQ-Input'!J708="","",'RFQ-Input'!J708)</f>
        <v/>
      </c>
      <c r="K709" s="7" t="str">
        <f>IF('RFQ-Input'!K708="","",'RFQ-Input'!K708)</f>
        <v/>
      </c>
      <c r="L709" s="7" t="str">
        <f>IF('RFQ-Input'!L708="","",'RFQ-Input'!L708)</f>
        <v/>
      </c>
      <c r="M709" s="7" t="str">
        <f>IF('RFQ-Input'!M708="","",'RFQ-Input'!M708)</f>
        <v/>
      </c>
      <c r="N709" s="7" t="str">
        <f>IF('RFQ-Input'!N708="","",'RFQ-Input'!N708)</f>
        <v/>
      </c>
      <c r="O709" s="7" t="str">
        <f>IF('RFQ-Input'!O708="","",'RFQ-Input'!O708)</f>
        <v/>
      </c>
      <c r="Q709" s="7"/>
      <c r="R709" s="7"/>
      <c r="S709" s="7"/>
      <c r="T709" s="7"/>
      <c r="U709" s="7"/>
      <c r="V709" s="7"/>
      <c r="X709" s="7"/>
      <c r="Y709" s="7"/>
      <c r="Z709" s="7"/>
      <c r="AA709" s="7" t="str">
        <f t="shared" ref="AA709:AA772" si="77">IF(AND(L709="",Y709=""),"",L709)</f>
        <v/>
      </c>
      <c r="AB709" s="7"/>
      <c r="AC709" s="7"/>
      <c r="AQ709" s="7" t="str">
        <f t="shared" si="71"/>
        <v/>
      </c>
      <c r="AR709" s="7" t="str">
        <f t="shared" si="72"/>
        <v/>
      </c>
      <c r="AS709" s="7" t="str">
        <f t="shared" si="73"/>
        <v/>
      </c>
      <c r="AT709" s="7" t="str">
        <f t="shared" si="74"/>
        <v/>
      </c>
      <c r="AU709" s="7" t="str">
        <f t="shared" si="75"/>
        <v/>
      </c>
      <c r="AV709" s="7" t="str">
        <f t="shared" si="76"/>
        <v/>
      </c>
      <c r="AW709" s="7" t="str">
        <f>IF('RFQ-Input'!O708="","",'RFQ-Input'!O708)</f>
        <v/>
      </c>
      <c r="AX709" s="7" t="str">
        <f>IF('RFQ-Input'!S708="","",'RFQ-Input'!S708)</f>
        <v/>
      </c>
      <c r="AY709" s="7" t="str">
        <f>IF('RFQ-Input'!V708="","",'RFQ-Input'!V708)</f>
        <v/>
      </c>
      <c r="AZ709" s="7" t="str">
        <f>IF('RFQ-Input'!Y708="","",'RFQ-Input'!Y708)</f>
        <v/>
      </c>
      <c r="BA709" s="7" t="str">
        <f>IF('RFQ-Input'!AB708="","",'RFQ-Input'!AB708)</f>
        <v/>
      </c>
    </row>
    <row r="710" spans="1:53">
      <c r="A710" s="20">
        <v>706</v>
      </c>
      <c r="B710" s="7"/>
      <c r="C710" s="7" t="str">
        <f>IF('RFQ-Input'!C709="","",'RFQ-Input'!C709)</f>
        <v/>
      </c>
      <c r="D710" s="7" t="str">
        <f>IF('RFQ-Input'!D709="","",'RFQ-Input'!D709)</f>
        <v/>
      </c>
      <c r="E710" s="7" t="str">
        <f>IF('RFQ-Input'!E709="","",'RFQ-Input'!E709)</f>
        <v/>
      </c>
      <c r="F710" s="7" t="str">
        <f>IF('RFQ-Input'!F709="","",'RFQ-Input'!F709)</f>
        <v/>
      </c>
      <c r="G710" s="7" t="str">
        <f>IF('RFQ-Input'!G709="","",'RFQ-Input'!G709)</f>
        <v/>
      </c>
      <c r="H710" s="7" t="str">
        <f>IF('RFQ-Input'!H709="","",'RFQ-Input'!H709)</f>
        <v/>
      </c>
      <c r="I710" s="7" t="str">
        <f>IF('RFQ-Input'!I709="","",'RFQ-Input'!I709)</f>
        <v/>
      </c>
      <c r="J710" s="7" t="str">
        <f>IF('RFQ-Input'!J709="","",'RFQ-Input'!J709)</f>
        <v/>
      </c>
      <c r="K710" s="7" t="str">
        <f>IF('RFQ-Input'!K709="","",'RFQ-Input'!K709)</f>
        <v/>
      </c>
      <c r="L710" s="7" t="str">
        <f>IF('RFQ-Input'!L709="","",'RFQ-Input'!L709)</f>
        <v/>
      </c>
      <c r="M710" s="7" t="str">
        <f>IF('RFQ-Input'!M709="","",'RFQ-Input'!M709)</f>
        <v/>
      </c>
      <c r="N710" s="7" t="str">
        <f>IF('RFQ-Input'!N709="","",'RFQ-Input'!N709)</f>
        <v/>
      </c>
      <c r="O710" s="7" t="str">
        <f>IF('RFQ-Input'!O709="","",'RFQ-Input'!O709)</f>
        <v/>
      </c>
      <c r="Q710" s="7"/>
      <c r="R710" s="7"/>
      <c r="S710" s="7"/>
      <c r="T710" s="7"/>
      <c r="U710" s="7"/>
      <c r="V710" s="7"/>
      <c r="X710" s="7"/>
      <c r="Y710" s="7"/>
      <c r="Z710" s="7"/>
      <c r="AA710" s="7" t="str">
        <f t="shared" si="77"/>
        <v/>
      </c>
      <c r="AB710" s="7"/>
      <c r="AC710" s="7"/>
      <c r="AQ710" s="7" t="str">
        <f t="shared" ref="AQ710:AQ773" si="78">IFERROR(SMALL($AW710:$CT710,1),"")</f>
        <v/>
      </c>
      <c r="AR710" s="7" t="str">
        <f t="shared" ref="AR710:AR773" si="79">IF(AQ710="","",INDEX($AW$4:$CT$4,MATCH(AQ710,$AW710:$CT710,0)))</f>
        <v/>
      </c>
      <c r="AS710" s="7" t="str">
        <f t="shared" ref="AS710:AS773" si="80">IFERROR(SMALL($AW710:$CT710,2),"")</f>
        <v/>
      </c>
      <c r="AT710" s="7" t="str">
        <f t="shared" ref="AT710:AT773" si="81">IF(AS710="","",INDEX($AW$4:$CT$4,MATCH(AS710,$AW710:$CT710,0)))</f>
        <v/>
      </c>
      <c r="AU710" s="7" t="str">
        <f t="shared" ref="AU710:AU773" si="82">IFERROR(SMALL($AW710:$CT710,3),"")</f>
        <v/>
      </c>
      <c r="AV710" s="7" t="str">
        <f t="shared" ref="AV710:AV773" si="83">IF(AU710="","",INDEX($AW$4:$CT$4,MATCH(AU710,$AW710:$CT710,0)))</f>
        <v/>
      </c>
      <c r="AW710" s="7" t="str">
        <f>IF('RFQ-Input'!O709="","",'RFQ-Input'!O709)</f>
        <v/>
      </c>
      <c r="AX710" s="7" t="str">
        <f>IF('RFQ-Input'!S709="","",'RFQ-Input'!S709)</f>
        <v/>
      </c>
      <c r="AY710" s="7" t="str">
        <f>IF('RFQ-Input'!V709="","",'RFQ-Input'!V709)</f>
        <v/>
      </c>
      <c r="AZ710" s="7" t="str">
        <f>IF('RFQ-Input'!Y709="","",'RFQ-Input'!Y709)</f>
        <v/>
      </c>
      <c r="BA710" s="7" t="str">
        <f>IF('RFQ-Input'!AB709="","",'RFQ-Input'!AB709)</f>
        <v/>
      </c>
    </row>
    <row r="711" spans="1:53">
      <c r="A711" s="20">
        <v>707</v>
      </c>
      <c r="B711" s="7"/>
      <c r="C711" s="7" t="str">
        <f>IF('RFQ-Input'!C710="","",'RFQ-Input'!C710)</f>
        <v/>
      </c>
      <c r="D711" s="7" t="str">
        <f>IF('RFQ-Input'!D710="","",'RFQ-Input'!D710)</f>
        <v/>
      </c>
      <c r="E711" s="7" t="str">
        <f>IF('RFQ-Input'!E710="","",'RFQ-Input'!E710)</f>
        <v/>
      </c>
      <c r="F711" s="7" t="str">
        <f>IF('RFQ-Input'!F710="","",'RFQ-Input'!F710)</f>
        <v/>
      </c>
      <c r="G711" s="7" t="str">
        <f>IF('RFQ-Input'!G710="","",'RFQ-Input'!G710)</f>
        <v/>
      </c>
      <c r="H711" s="7" t="str">
        <f>IF('RFQ-Input'!H710="","",'RFQ-Input'!H710)</f>
        <v/>
      </c>
      <c r="I711" s="7" t="str">
        <f>IF('RFQ-Input'!I710="","",'RFQ-Input'!I710)</f>
        <v/>
      </c>
      <c r="J711" s="7" t="str">
        <f>IF('RFQ-Input'!J710="","",'RFQ-Input'!J710)</f>
        <v/>
      </c>
      <c r="K711" s="7" t="str">
        <f>IF('RFQ-Input'!K710="","",'RFQ-Input'!K710)</f>
        <v/>
      </c>
      <c r="L711" s="7" t="str">
        <f>IF('RFQ-Input'!L710="","",'RFQ-Input'!L710)</f>
        <v/>
      </c>
      <c r="M711" s="7" t="str">
        <f>IF('RFQ-Input'!M710="","",'RFQ-Input'!M710)</f>
        <v/>
      </c>
      <c r="N711" s="7" t="str">
        <f>IF('RFQ-Input'!N710="","",'RFQ-Input'!N710)</f>
        <v/>
      </c>
      <c r="O711" s="7" t="str">
        <f>IF('RFQ-Input'!O710="","",'RFQ-Input'!O710)</f>
        <v/>
      </c>
      <c r="Q711" s="7"/>
      <c r="R711" s="7"/>
      <c r="S711" s="7"/>
      <c r="T711" s="7"/>
      <c r="U711" s="7"/>
      <c r="V711" s="7"/>
      <c r="X711" s="7"/>
      <c r="Y711" s="7"/>
      <c r="Z711" s="7"/>
      <c r="AA711" s="7" t="str">
        <f t="shared" si="77"/>
        <v/>
      </c>
      <c r="AB711" s="7"/>
      <c r="AC711" s="7"/>
      <c r="AQ711" s="7" t="str">
        <f t="shared" si="78"/>
        <v/>
      </c>
      <c r="AR711" s="7" t="str">
        <f t="shared" si="79"/>
        <v/>
      </c>
      <c r="AS711" s="7" t="str">
        <f t="shared" si="80"/>
        <v/>
      </c>
      <c r="AT711" s="7" t="str">
        <f t="shared" si="81"/>
        <v/>
      </c>
      <c r="AU711" s="7" t="str">
        <f t="shared" si="82"/>
        <v/>
      </c>
      <c r="AV711" s="7" t="str">
        <f t="shared" si="83"/>
        <v/>
      </c>
      <c r="AW711" s="7" t="str">
        <f>IF('RFQ-Input'!O710="","",'RFQ-Input'!O710)</f>
        <v/>
      </c>
      <c r="AX711" s="7" t="str">
        <f>IF('RFQ-Input'!S710="","",'RFQ-Input'!S710)</f>
        <v/>
      </c>
      <c r="AY711" s="7" t="str">
        <f>IF('RFQ-Input'!V710="","",'RFQ-Input'!V710)</f>
        <v/>
      </c>
      <c r="AZ711" s="7" t="str">
        <f>IF('RFQ-Input'!Y710="","",'RFQ-Input'!Y710)</f>
        <v/>
      </c>
      <c r="BA711" s="7" t="str">
        <f>IF('RFQ-Input'!AB710="","",'RFQ-Input'!AB710)</f>
        <v/>
      </c>
    </row>
    <row r="712" spans="1:53">
      <c r="A712" s="20">
        <v>708</v>
      </c>
      <c r="B712" s="7"/>
      <c r="C712" s="7" t="str">
        <f>IF('RFQ-Input'!C711="","",'RFQ-Input'!C711)</f>
        <v/>
      </c>
      <c r="D712" s="7" t="str">
        <f>IF('RFQ-Input'!D711="","",'RFQ-Input'!D711)</f>
        <v/>
      </c>
      <c r="E712" s="7" t="str">
        <f>IF('RFQ-Input'!E711="","",'RFQ-Input'!E711)</f>
        <v/>
      </c>
      <c r="F712" s="7" t="str">
        <f>IF('RFQ-Input'!F711="","",'RFQ-Input'!F711)</f>
        <v/>
      </c>
      <c r="G712" s="7" t="str">
        <f>IF('RFQ-Input'!G711="","",'RFQ-Input'!G711)</f>
        <v/>
      </c>
      <c r="H712" s="7" t="str">
        <f>IF('RFQ-Input'!H711="","",'RFQ-Input'!H711)</f>
        <v/>
      </c>
      <c r="I712" s="7" t="str">
        <f>IF('RFQ-Input'!I711="","",'RFQ-Input'!I711)</f>
        <v/>
      </c>
      <c r="J712" s="7" t="str">
        <f>IF('RFQ-Input'!J711="","",'RFQ-Input'!J711)</f>
        <v/>
      </c>
      <c r="K712" s="7" t="str">
        <f>IF('RFQ-Input'!K711="","",'RFQ-Input'!K711)</f>
        <v/>
      </c>
      <c r="L712" s="7" t="str">
        <f>IF('RFQ-Input'!L711="","",'RFQ-Input'!L711)</f>
        <v/>
      </c>
      <c r="M712" s="7" t="str">
        <f>IF('RFQ-Input'!M711="","",'RFQ-Input'!M711)</f>
        <v/>
      </c>
      <c r="N712" s="7" t="str">
        <f>IF('RFQ-Input'!N711="","",'RFQ-Input'!N711)</f>
        <v/>
      </c>
      <c r="O712" s="7" t="str">
        <f>IF('RFQ-Input'!O711="","",'RFQ-Input'!O711)</f>
        <v/>
      </c>
      <c r="Q712" s="7"/>
      <c r="R712" s="7"/>
      <c r="S712" s="7"/>
      <c r="T712" s="7"/>
      <c r="U712" s="7"/>
      <c r="V712" s="7"/>
      <c r="X712" s="7"/>
      <c r="Y712" s="7"/>
      <c r="Z712" s="7"/>
      <c r="AA712" s="7" t="str">
        <f t="shared" si="77"/>
        <v/>
      </c>
      <c r="AB712" s="7"/>
      <c r="AC712" s="7"/>
      <c r="AQ712" s="7" t="str">
        <f t="shared" si="78"/>
        <v/>
      </c>
      <c r="AR712" s="7" t="str">
        <f t="shared" si="79"/>
        <v/>
      </c>
      <c r="AS712" s="7" t="str">
        <f t="shared" si="80"/>
        <v/>
      </c>
      <c r="AT712" s="7" t="str">
        <f t="shared" si="81"/>
        <v/>
      </c>
      <c r="AU712" s="7" t="str">
        <f t="shared" si="82"/>
        <v/>
      </c>
      <c r="AV712" s="7" t="str">
        <f t="shared" si="83"/>
        <v/>
      </c>
      <c r="AW712" s="7" t="str">
        <f>IF('RFQ-Input'!O711="","",'RFQ-Input'!O711)</f>
        <v/>
      </c>
      <c r="AX712" s="7" t="str">
        <f>IF('RFQ-Input'!S711="","",'RFQ-Input'!S711)</f>
        <v/>
      </c>
      <c r="AY712" s="7" t="str">
        <f>IF('RFQ-Input'!V711="","",'RFQ-Input'!V711)</f>
        <v/>
      </c>
      <c r="AZ712" s="7" t="str">
        <f>IF('RFQ-Input'!Y711="","",'RFQ-Input'!Y711)</f>
        <v/>
      </c>
      <c r="BA712" s="7" t="str">
        <f>IF('RFQ-Input'!AB711="","",'RFQ-Input'!AB711)</f>
        <v/>
      </c>
    </row>
    <row r="713" spans="1:53">
      <c r="A713" s="20">
        <v>709</v>
      </c>
      <c r="B713" s="7"/>
      <c r="C713" s="7" t="str">
        <f>IF('RFQ-Input'!C712="","",'RFQ-Input'!C712)</f>
        <v/>
      </c>
      <c r="D713" s="7" t="str">
        <f>IF('RFQ-Input'!D712="","",'RFQ-Input'!D712)</f>
        <v/>
      </c>
      <c r="E713" s="7" t="str">
        <f>IF('RFQ-Input'!E712="","",'RFQ-Input'!E712)</f>
        <v/>
      </c>
      <c r="F713" s="7" t="str">
        <f>IF('RFQ-Input'!F712="","",'RFQ-Input'!F712)</f>
        <v/>
      </c>
      <c r="G713" s="7" t="str">
        <f>IF('RFQ-Input'!G712="","",'RFQ-Input'!G712)</f>
        <v/>
      </c>
      <c r="H713" s="7" t="str">
        <f>IF('RFQ-Input'!H712="","",'RFQ-Input'!H712)</f>
        <v/>
      </c>
      <c r="I713" s="7" t="str">
        <f>IF('RFQ-Input'!I712="","",'RFQ-Input'!I712)</f>
        <v/>
      </c>
      <c r="J713" s="7" t="str">
        <f>IF('RFQ-Input'!J712="","",'RFQ-Input'!J712)</f>
        <v/>
      </c>
      <c r="K713" s="7" t="str">
        <f>IF('RFQ-Input'!K712="","",'RFQ-Input'!K712)</f>
        <v/>
      </c>
      <c r="L713" s="7" t="str">
        <f>IF('RFQ-Input'!L712="","",'RFQ-Input'!L712)</f>
        <v/>
      </c>
      <c r="M713" s="7" t="str">
        <f>IF('RFQ-Input'!M712="","",'RFQ-Input'!M712)</f>
        <v/>
      </c>
      <c r="N713" s="7" t="str">
        <f>IF('RFQ-Input'!N712="","",'RFQ-Input'!N712)</f>
        <v/>
      </c>
      <c r="O713" s="7" t="str">
        <f>IF('RFQ-Input'!O712="","",'RFQ-Input'!O712)</f>
        <v/>
      </c>
      <c r="Q713" s="7"/>
      <c r="R713" s="7"/>
      <c r="S713" s="7"/>
      <c r="T713" s="7"/>
      <c r="U713" s="7"/>
      <c r="V713" s="7"/>
      <c r="X713" s="7"/>
      <c r="Y713" s="7"/>
      <c r="Z713" s="7"/>
      <c r="AA713" s="7" t="str">
        <f t="shared" si="77"/>
        <v/>
      </c>
      <c r="AB713" s="7"/>
      <c r="AC713" s="7"/>
      <c r="AQ713" s="7" t="str">
        <f t="shared" si="78"/>
        <v/>
      </c>
      <c r="AR713" s="7" t="str">
        <f t="shared" si="79"/>
        <v/>
      </c>
      <c r="AS713" s="7" t="str">
        <f t="shared" si="80"/>
        <v/>
      </c>
      <c r="AT713" s="7" t="str">
        <f t="shared" si="81"/>
        <v/>
      </c>
      <c r="AU713" s="7" t="str">
        <f t="shared" si="82"/>
        <v/>
      </c>
      <c r="AV713" s="7" t="str">
        <f t="shared" si="83"/>
        <v/>
      </c>
      <c r="AW713" s="7" t="str">
        <f>IF('RFQ-Input'!O712="","",'RFQ-Input'!O712)</f>
        <v/>
      </c>
      <c r="AX713" s="7" t="str">
        <f>IF('RFQ-Input'!S712="","",'RFQ-Input'!S712)</f>
        <v/>
      </c>
      <c r="AY713" s="7" t="str">
        <f>IF('RFQ-Input'!V712="","",'RFQ-Input'!V712)</f>
        <v/>
      </c>
      <c r="AZ713" s="7" t="str">
        <f>IF('RFQ-Input'!Y712="","",'RFQ-Input'!Y712)</f>
        <v/>
      </c>
      <c r="BA713" s="7" t="str">
        <f>IF('RFQ-Input'!AB712="","",'RFQ-Input'!AB712)</f>
        <v/>
      </c>
    </row>
    <row r="714" spans="1:53">
      <c r="A714" s="20">
        <v>710</v>
      </c>
      <c r="B714" s="7"/>
      <c r="C714" s="7" t="str">
        <f>IF('RFQ-Input'!C713="","",'RFQ-Input'!C713)</f>
        <v/>
      </c>
      <c r="D714" s="7" t="str">
        <f>IF('RFQ-Input'!D713="","",'RFQ-Input'!D713)</f>
        <v/>
      </c>
      <c r="E714" s="7" t="str">
        <f>IF('RFQ-Input'!E713="","",'RFQ-Input'!E713)</f>
        <v/>
      </c>
      <c r="F714" s="7" t="str">
        <f>IF('RFQ-Input'!F713="","",'RFQ-Input'!F713)</f>
        <v/>
      </c>
      <c r="G714" s="7" t="str">
        <f>IF('RFQ-Input'!G713="","",'RFQ-Input'!G713)</f>
        <v/>
      </c>
      <c r="H714" s="7" t="str">
        <f>IF('RFQ-Input'!H713="","",'RFQ-Input'!H713)</f>
        <v/>
      </c>
      <c r="I714" s="7" t="str">
        <f>IF('RFQ-Input'!I713="","",'RFQ-Input'!I713)</f>
        <v/>
      </c>
      <c r="J714" s="7" t="str">
        <f>IF('RFQ-Input'!J713="","",'RFQ-Input'!J713)</f>
        <v/>
      </c>
      <c r="K714" s="7" t="str">
        <f>IF('RFQ-Input'!K713="","",'RFQ-Input'!K713)</f>
        <v/>
      </c>
      <c r="L714" s="7" t="str">
        <f>IF('RFQ-Input'!L713="","",'RFQ-Input'!L713)</f>
        <v/>
      </c>
      <c r="M714" s="7" t="str">
        <f>IF('RFQ-Input'!M713="","",'RFQ-Input'!M713)</f>
        <v/>
      </c>
      <c r="N714" s="7" t="str">
        <f>IF('RFQ-Input'!N713="","",'RFQ-Input'!N713)</f>
        <v/>
      </c>
      <c r="O714" s="7" t="str">
        <f>IF('RFQ-Input'!O713="","",'RFQ-Input'!O713)</f>
        <v/>
      </c>
      <c r="Q714" s="7"/>
      <c r="R714" s="7"/>
      <c r="S714" s="7"/>
      <c r="T714" s="7"/>
      <c r="U714" s="7"/>
      <c r="V714" s="7"/>
      <c r="X714" s="7"/>
      <c r="Y714" s="7"/>
      <c r="Z714" s="7"/>
      <c r="AA714" s="7" t="str">
        <f t="shared" si="77"/>
        <v/>
      </c>
      <c r="AB714" s="7"/>
      <c r="AC714" s="7"/>
      <c r="AQ714" s="7" t="str">
        <f t="shared" si="78"/>
        <v/>
      </c>
      <c r="AR714" s="7" t="str">
        <f t="shared" si="79"/>
        <v/>
      </c>
      <c r="AS714" s="7" t="str">
        <f t="shared" si="80"/>
        <v/>
      </c>
      <c r="AT714" s="7" t="str">
        <f t="shared" si="81"/>
        <v/>
      </c>
      <c r="AU714" s="7" t="str">
        <f t="shared" si="82"/>
        <v/>
      </c>
      <c r="AV714" s="7" t="str">
        <f t="shared" si="83"/>
        <v/>
      </c>
      <c r="AW714" s="7" t="str">
        <f>IF('RFQ-Input'!O713="","",'RFQ-Input'!O713)</f>
        <v/>
      </c>
      <c r="AX714" s="7" t="str">
        <f>IF('RFQ-Input'!S713="","",'RFQ-Input'!S713)</f>
        <v/>
      </c>
      <c r="AY714" s="7" t="str">
        <f>IF('RFQ-Input'!V713="","",'RFQ-Input'!V713)</f>
        <v/>
      </c>
      <c r="AZ714" s="7" t="str">
        <f>IF('RFQ-Input'!Y713="","",'RFQ-Input'!Y713)</f>
        <v/>
      </c>
      <c r="BA714" s="7" t="str">
        <f>IF('RFQ-Input'!AB713="","",'RFQ-Input'!AB713)</f>
        <v/>
      </c>
    </row>
    <row r="715" spans="1:53">
      <c r="A715" s="20">
        <v>711</v>
      </c>
      <c r="B715" s="7"/>
      <c r="C715" s="7" t="str">
        <f>IF('RFQ-Input'!C714="","",'RFQ-Input'!C714)</f>
        <v/>
      </c>
      <c r="D715" s="7" t="str">
        <f>IF('RFQ-Input'!D714="","",'RFQ-Input'!D714)</f>
        <v/>
      </c>
      <c r="E715" s="7" t="str">
        <f>IF('RFQ-Input'!E714="","",'RFQ-Input'!E714)</f>
        <v/>
      </c>
      <c r="F715" s="7" t="str">
        <f>IF('RFQ-Input'!F714="","",'RFQ-Input'!F714)</f>
        <v/>
      </c>
      <c r="G715" s="7" t="str">
        <f>IF('RFQ-Input'!G714="","",'RFQ-Input'!G714)</f>
        <v/>
      </c>
      <c r="H715" s="7" t="str">
        <f>IF('RFQ-Input'!H714="","",'RFQ-Input'!H714)</f>
        <v/>
      </c>
      <c r="I715" s="7" t="str">
        <f>IF('RFQ-Input'!I714="","",'RFQ-Input'!I714)</f>
        <v/>
      </c>
      <c r="J715" s="7" t="str">
        <f>IF('RFQ-Input'!J714="","",'RFQ-Input'!J714)</f>
        <v/>
      </c>
      <c r="K715" s="7" t="str">
        <f>IF('RFQ-Input'!K714="","",'RFQ-Input'!K714)</f>
        <v/>
      </c>
      <c r="L715" s="7" t="str">
        <f>IF('RFQ-Input'!L714="","",'RFQ-Input'!L714)</f>
        <v/>
      </c>
      <c r="M715" s="7" t="str">
        <f>IF('RFQ-Input'!M714="","",'RFQ-Input'!M714)</f>
        <v/>
      </c>
      <c r="N715" s="7" t="str">
        <f>IF('RFQ-Input'!N714="","",'RFQ-Input'!N714)</f>
        <v/>
      </c>
      <c r="O715" s="7" t="str">
        <f>IF('RFQ-Input'!O714="","",'RFQ-Input'!O714)</f>
        <v/>
      </c>
      <c r="Q715" s="7"/>
      <c r="R715" s="7"/>
      <c r="S715" s="7"/>
      <c r="T715" s="7"/>
      <c r="U715" s="7"/>
      <c r="V715" s="7"/>
      <c r="X715" s="7"/>
      <c r="Y715" s="7"/>
      <c r="Z715" s="7"/>
      <c r="AA715" s="7" t="str">
        <f t="shared" si="77"/>
        <v/>
      </c>
      <c r="AB715" s="7"/>
      <c r="AC715" s="7"/>
      <c r="AQ715" s="7" t="str">
        <f t="shared" si="78"/>
        <v/>
      </c>
      <c r="AR715" s="7" t="str">
        <f t="shared" si="79"/>
        <v/>
      </c>
      <c r="AS715" s="7" t="str">
        <f t="shared" si="80"/>
        <v/>
      </c>
      <c r="AT715" s="7" t="str">
        <f t="shared" si="81"/>
        <v/>
      </c>
      <c r="AU715" s="7" t="str">
        <f t="shared" si="82"/>
        <v/>
      </c>
      <c r="AV715" s="7" t="str">
        <f t="shared" si="83"/>
        <v/>
      </c>
      <c r="AW715" s="7" t="str">
        <f>IF('RFQ-Input'!O714="","",'RFQ-Input'!O714)</f>
        <v/>
      </c>
      <c r="AX715" s="7" t="str">
        <f>IF('RFQ-Input'!S714="","",'RFQ-Input'!S714)</f>
        <v/>
      </c>
      <c r="AY715" s="7" t="str">
        <f>IF('RFQ-Input'!V714="","",'RFQ-Input'!V714)</f>
        <v/>
      </c>
      <c r="AZ715" s="7" t="str">
        <f>IF('RFQ-Input'!Y714="","",'RFQ-Input'!Y714)</f>
        <v/>
      </c>
      <c r="BA715" s="7" t="str">
        <f>IF('RFQ-Input'!AB714="","",'RFQ-Input'!AB714)</f>
        <v/>
      </c>
    </row>
    <row r="716" spans="1:53">
      <c r="A716" s="20">
        <v>712</v>
      </c>
      <c r="B716" s="7"/>
      <c r="C716" s="7" t="str">
        <f>IF('RFQ-Input'!C715="","",'RFQ-Input'!C715)</f>
        <v/>
      </c>
      <c r="D716" s="7" t="str">
        <f>IF('RFQ-Input'!D715="","",'RFQ-Input'!D715)</f>
        <v/>
      </c>
      <c r="E716" s="7" t="str">
        <f>IF('RFQ-Input'!E715="","",'RFQ-Input'!E715)</f>
        <v/>
      </c>
      <c r="F716" s="7" t="str">
        <f>IF('RFQ-Input'!F715="","",'RFQ-Input'!F715)</f>
        <v/>
      </c>
      <c r="G716" s="7" t="str">
        <f>IF('RFQ-Input'!G715="","",'RFQ-Input'!G715)</f>
        <v/>
      </c>
      <c r="H716" s="7" t="str">
        <f>IF('RFQ-Input'!H715="","",'RFQ-Input'!H715)</f>
        <v/>
      </c>
      <c r="I716" s="7" t="str">
        <f>IF('RFQ-Input'!I715="","",'RFQ-Input'!I715)</f>
        <v/>
      </c>
      <c r="J716" s="7" t="str">
        <f>IF('RFQ-Input'!J715="","",'RFQ-Input'!J715)</f>
        <v/>
      </c>
      <c r="K716" s="7" t="str">
        <f>IF('RFQ-Input'!K715="","",'RFQ-Input'!K715)</f>
        <v/>
      </c>
      <c r="L716" s="7" t="str">
        <f>IF('RFQ-Input'!L715="","",'RFQ-Input'!L715)</f>
        <v/>
      </c>
      <c r="M716" s="7" t="str">
        <f>IF('RFQ-Input'!M715="","",'RFQ-Input'!M715)</f>
        <v/>
      </c>
      <c r="N716" s="7" t="str">
        <f>IF('RFQ-Input'!N715="","",'RFQ-Input'!N715)</f>
        <v/>
      </c>
      <c r="O716" s="7" t="str">
        <f>IF('RFQ-Input'!O715="","",'RFQ-Input'!O715)</f>
        <v/>
      </c>
      <c r="Q716" s="7"/>
      <c r="R716" s="7"/>
      <c r="S716" s="7"/>
      <c r="T716" s="7"/>
      <c r="U716" s="7"/>
      <c r="V716" s="7"/>
      <c r="X716" s="7"/>
      <c r="Y716" s="7"/>
      <c r="Z716" s="7"/>
      <c r="AA716" s="7" t="str">
        <f t="shared" si="77"/>
        <v/>
      </c>
      <c r="AB716" s="7"/>
      <c r="AC716" s="7"/>
      <c r="AQ716" s="7" t="str">
        <f t="shared" si="78"/>
        <v/>
      </c>
      <c r="AR716" s="7" t="str">
        <f t="shared" si="79"/>
        <v/>
      </c>
      <c r="AS716" s="7" t="str">
        <f t="shared" si="80"/>
        <v/>
      </c>
      <c r="AT716" s="7" t="str">
        <f t="shared" si="81"/>
        <v/>
      </c>
      <c r="AU716" s="7" t="str">
        <f t="shared" si="82"/>
        <v/>
      </c>
      <c r="AV716" s="7" t="str">
        <f t="shared" si="83"/>
        <v/>
      </c>
      <c r="AW716" s="7" t="str">
        <f>IF('RFQ-Input'!O715="","",'RFQ-Input'!O715)</f>
        <v/>
      </c>
      <c r="AX716" s="7" t="str">
        <f>IF('RFQ-Input'!S715="","",'RFQ-Input'!S715)</f>
        <v/>
      </c>
      <c r="AY716" s="7" t="str">
        <f>IF('RFQ-Input'!V715="","",'RFQ-Input'!V715)</f>
        <v/>
      </c>
      <c r="AZ716" s="7" t="str">
        <f>IF('RFQ-Input'!Y715="","",'RFQ-Input'!Y715)</f>
        <v/>
      </c>
      <c r="BA716" s="7" t="str">
        <f>IF('RFQ-Input'!AB715="","",'RFQ-Input'!AB715)</f>
        <v/>
      </c>
    </row>
    <row r="717" spans="1:53">
      <c r="A717" s="20">
        <v>713</v>
      </c>
      <c r="B717" s="7"/>
      <c r="C717" s="7" t="str">
        <f>IF('RFQ-Input'!C716="","",'RFQ-Input'!C716)</f>
        <v/>
      </c>
      <c r="D717" s="7" t="str">
        <f>IF('RFQ-Input'!D716="","",'RFQ-Input'!D716)</f>
        <v/>
      </c>
      <c r="E717" s="7" t="str">
        <f>IF('RFQ-Input'!E716="","",'RFQ-Input'!E716)</f>
        <v/>
      </c>
      <c r="F717" s="7" t="str">
        <f>IF('RFQ-Input'!F716="","",'RFQ-Input'!F716)</f>
        <v/>
      </c>
      <c r="G717" s="7" t="str">
        <f>IF('RFQ-Input'!G716="","",'RFQ-Input'!G716)</f>
        <v/>
      </c>
      <c r="H717" s="7" t="str">
        <f>IF('RFQ-Input'!H716="","",'RFQ-Input'!H716)</f>
        <v/>
      </c>
      <c r="I717" s="7" t="str">
        <f>IF('RFQ-Input'!I716="","",'RFQ-Input'!I716)</f>
        <v/>
      </c>
      <c r="J717" s="7" t="str">
        <f>IF('RFQ-Input'!J716="","",'RFQ-Input'!J716)</f>
        <v/>
      </c>
      <c r="K717" s="7" t="str">
        <f>IF('RFQ-Input'!K716="","",'RFQ-Input'!K716)</f>
        <v/>
      </c>
      <c r="L717" s="7" t="str">
        <f>IF('RFQ-Input'!L716="","",'RFQ-Input'!L716)</f>
        <v/>
      </c>
      <c r="M717" s="7" t="str">
        <f>IF('RFQ-Input'!M716="","",'RFQ-Input'!M716)</f>
        <v/>
      </c>
      <c r="N717" s="7" t="str">
        <f>IF('RFQ-Input'!N716="","",'RFQ-Input'!N716)</f>
        <v/>
      </c>
      <c r="O717" s="7" t="str">
        <f>IF('RFQ-Input'!O716="","",'RFQ-Input'!O716)</f>
        <v/>
      </c>
      <c r="Q717" s="7"/>
      <c r="R717" s="7"/>
      <c r="S717" s="7"/>
      <c r="T717" s="7"/>
      <c r="U717" s="7"/>
      <c r="V717" s="7"/>
      <c r="X717" s="7"/>
      <c r="Y717" s="7"/>
      <c r="Z717" s="7"/>
      <c r="AA717" s="7" t="str">
        <f t="shared" si="77"/>
        <v/>
      </c>
      <c r="AB717" s="7"/>
      <c r="AC717" s="7"/>
      <c r="AQ717" s="7" t="str">
        <f t="shared" si="78"/>
        <v/>
      </c>
      <c r="AR717" s="7" t="str">
        <f t="shared" si="79"/>
        <v/>
      </c>
      <c r="AS717" s="7" t="str">
        <f t="shared" si="80"/>
        <v/>
      </c>
      <c r="AT717" s="7" t="str">
        <f t="shared" si="81"/>
        <v/>
      </c>
      <c r="AU717" s="7" t="str">
        <f t="shared" si="82"/>
        <v/>
      </c>
      <c r="AV717" s="7" t="str">
        <f t="shared" si="83"/>
        <v/>
      </c>
      <c r="AW717" s="7" t="str">
        <f>IF('RFQ-Input'!O716="","",'RFQ-Input'!O716)</f>
        <v/>
      </c>
      <c r="AX717" s="7" t="str">
        <f>IF('RFQ-Input'!S716="","",'RFQ-Input'!S716)</f>
        <v/>
      </c>
      <c r="AY717" s="7" t="str">
        <f>IF('RFQ-Input'!V716="","",'RFQ-Input'!V716)</f>
        <v/>
      </c>
      <c r="AZ717" s="7" t="str">
        <f>IF('RFQ-Input'!Y716="","",'RFQ-Input'!Y716)</f>
        <v/>
      </c>
      <c r="BA717" s="7" t="str">
        <f>IF('RFQ-Input'!AB716="","",'RFQ-Input'!AB716)</f>
        <v/>
      </c>
    </row>
    <row r="718" spans="1:53">
      <c r="A718" s="20">
        <v>714</v>
      </c>
      <c r="B718" s="7"/>
      <c r="C718" s="7" t="str">
        <f>IF('RFQ-Input'!C717="","",'RFQ-Input'!C717)</f>
        <v/>
      </c>
      <c r="D718" s="7" t="str">
        <f>IF('RFQ-Input'!D717="","",'RFQ-Input'!D717)</f>
        <v/>
      </c>
      <c r="E718" s="7" t="str">
        <f>IF('RFQ-Input'!E717="","",'RFQ-Input'!E717)</f>
        <v/>
      </c>
      <c r="F718" s="7" t="str">
        <f>IF('RFQ-Input'!F717="","",'RFQ-Input'!F717)</f>
        <v/>
      </c>
      <c r="G718" s="7" t="str">
        <f>IF('RFQ-Input'!G717="","",'RFQ-Input'!G717)</f>
        <v/>
      </c>
      <c r="H718" s="7" t="str">
        <f>IF('RFQ-Input'!H717="","",'RFQ-Input'!H717)</f>
        <v/>
      </c>
      <c r="I718" s="7" t="str">
        <f>IF('RFQ-Input'!I717="","",'RFQ-Input'!I717)</f>
        <v/>
      </c>
      <c r="J718" s="7" t="str">
        <f>IF('RFQ-Input'!J717="","",'RFQ-Input'!J717)</f>
        <v/>
      </c>
      <c r="K718" s="7" t="str">
        <f>IF('RFQ-Input'!K717="","",'RFQ-Input'!K717)</f>
        <v/>
      </c>
      <c r="L718" s="7" t="str">
        <f>IF('RFQ-Input'!L717="","",'RFQ-Input'!L717)</f>
        <v/>
      </c>
      <c r="M718" s="7" t="str">
        <f>IF('RFQ-Input'!M717="","",'RFQ-Input'!M717)</f>
        <v/>
      </c>
      <c r="N718" s="7" t="str">
        <f>IF('RFQ-Input'!N717="","",'RFQ-Input'!N717)</f>
        <v/>
      </c>
      <c r="O718" s="7" t="str">
        <f>IF('RFQ-Input'!O717="","",'RFQ-Input'!O717)</f>
        <v/>
      </c>
      <c r="Q718" s="7"/>
      <c r="R718" s="7"/>
      <c r="S718" s="7"/>
      <c r="T718" s="7"/>
      <c r="U718" s="7"/>
      <c r="V718" s="7"/>
      <c r="X718" s="7"/>
      <c r="Y718" s="7"/>
      <c r="Z718" s="7"/>
      <c r="AA718" s="7" t="str">
        <f t="shared" si="77"/>
        <v/>
      </c>
      <c r="AB718" s="7"/>
      <c r="AC718" s="7"/>
      <c r="AQ718" s="7" t="str">
        <f t="shared" si="78"/>
        <v/>
      </c>
      <c r="AR718" s="7" t="str">
        <f t="shared" si="79"/>
        <v/>
      </c>
      <c r="AS718" s="7" t="str">
        <f t="shared" si="80"/>
        <v/>
      </c>
      <c r="AT718" s="7" t="str">
        <f t="shared" si="81"/>
        <v/>
      </c>
      <c r="AU718" s="7" t="str">
        <f t="shared" si="82"/>
        <v/>
      </c>
      <c r="AV718" s="7" t="str">
        <f t="shared" si="83"/>
        <v/>
      </c>
      <c r="AW718" s="7" t="str">
        <f>IF('RFQ-Input'!O717="","",'RFQ-Input'!O717)</f>
        <v/>
      </c>
      <c r="AX718" s="7" t="str">
        <f>IF('RFQ-Input'!S717="","",'RFQ-Input'!S717)</f>
        <v/>
      </c>
      <c r="AY718" s="7" t="str">
        <f>IF('RFQ-Input'!V717="","",'RFQ-Input'!V717)</f>
        <v/>
      </c>
      <c r="AZ718" s="7" t="str">
        <f>IF('RFQ-Input'!Y717="","",'RFQ-Input'!Y717)</f>
        <v/>
      </c>
      <c r="BA718" s="7" t="str">
        <f>IF('RFQ-Input'!AB717="","",'RFQ-Input'!AB717)</f>
        <v/>
      </c>
    </row>
    <row r="719" spans="1:53">
      <c r="A719" s="20">
        <v>715</v>
      </c>
      <c r="B719" s="7"/>
      <c r="C719" s="7" t="str">
        <f>IF('RFQ-Input'!C718="","",'RFQ-Input'!C718)</f>
        <v/>
      </c>
      <c r="D719" s="7" t="str">
        <f>IF('RFQ-Input'!D718="","",'RFQ-Input'!D718)</f>
        <v/>
      </c>
      <c r="E719" s="7" t="str">
        <f>IF('RFQ-Input'!E718="","",'RFQ-Input'!E718)</f>
        <v/>
      </c>
      <c r="F719" s="7" t="str">
        <f>IF('RFQ-Input'!F718="","",'RFQ-Input'!F718)</f>
        <v/>
      </c>
      <c r="G719" s="7" t="str">
        <f>IF('RFQ-Input'!G718="","",'RFQ-Input'!G718)</f>
        <v/>
      </c>
      <c r="H719" s="7" t="str">
        <f>IF('RFQ-Input'!H718="","",'RFQ-Input'!H718)</f>
        <v/>
      </c>
      <c r="I719" s="7" t="str">
        <f>IF('RFQ-Input'!I718="","",'RFQ-Input'!I718)</f>
        <v/>
      </c>
      <c r="J719" s="7" t="str">
        <f>IF('RFQ-Input'!J718="","",'RFQ-Input'!J718)</f>
        <v/>
      </c>
      <c r="K719" s="7" t="str">
        <f>IF('RFQ-Input'!K718="","",'RFQ-Input'!K718)</f>
        <v/>
      </c>
      <c r="L719" s="7" t="str">
        <f>IF('RFQ-Input'!L718="","",'RFQ-Input'!L718)</f>
        <v/>
      </c>
      <c r="M719" s="7" t="str">
        <f>IF('RFQ-Input'!M718="","",'RFQ-Input'!M718)</f>
        <v/>
      </c>
      <c r="N719" s="7" t="str">
        <f>IF('RFQ-Input'!N718="","",'RFQ-Input'!N718)</f>
        <v/>
      </c>
      <c r="O719" s="7" t="str">
        <f>IF('RFQ-Input'!O718="","",'RFQ-Input'!O718)</f>
        <v/>
      </c>
      <c r="Q719" s="7"/>
      <c r="R719" s="7"/>
      <c r="S719" s="7"/>
      <c r="T719" s="7"/>
      <c r="U719" s="7"/>
      <c r="V719" s="7"/>
      <c r="X719" s="7"/>
      <c r="Y719" s="7"/>
      <c r="Z719" s="7"/>
      <c r="AA719" s="7" t="str">
        <f t="shared" si="77"/>
        <v/>
      </c>
      <c r="AB719" s="7"/>
      <c r="AC719" s="7"/>
      <c r="AQ719" s="7" t="str">
        <f t="shared" si="78"/>
        <v/>
      </c>
      <c r="AR719" s="7" t="str">
        <f t="shared" si="79"/>
        <v/>
      </c>
      <c r="AS719" s="7" t="str">
        <f t="shared" si="80"/>
        <v/>
      </c>
      <c r="AT719" s="7" t="str">
        <f t="shared" si="81"/>
        <v/>
      </c>
      <c r="AU719" s="7" t="str">
        <f t="shared" si="82"/>
        <v/>
      </c>
      <c r="AV719" s="7" t="str">
        <f t="shared" si="83"/>
        <v/>
      </c>
      <c r="AW719" s="7" t="str">
        <f>IF('RFQ-Input'!O718="","",'RFQ-Input'!O718)</f>
        <v/>
      </c>
      <c r="AX719" s="7" t="str">
        <f>IF('RFQ-Input'!S718="","",'RFQ-Input'!S718)</f>
        <v/>
      </c>
      <c r="AY719" s="7" t="str">
        <f>IF('RFQ-Input'!V718="","",'RFQ-Input'!V718)</f>
        <v/>
      </c>
      <c r="AZ719" s="7" t="str">
        <f>IF('RFQ-Input'!Y718="","",'RFQ-Input'!Y718)</f>
        <v/>
      </c>
      <c r="BA719" s="7" t="str">
        <f>IF('RFQ-Input'!AB718="","",'RFQ-Input'!AB718)</f>
        <v/>
      </c>
    </row>
    <row r="720" spans="1:53">
      <c r="A720" s="20">
        <v>716</v>
      </c>
      <c r="B720" s="7"/>
      <c r="C720" s="7" t="str">
        <f>IF('RFQ-Input'!C719="","",'RFQ-Input'!C719)</f>
        <v/>
      </c>
      <c r="D720" s="7" t="str">
        <f>IF('RFQ-Input'!D719="","",'RFQ-Input'!D719)</f>
        <v/>
      </c>
      <c r="E720" s="7" t="str">
        <f>IF('RFQ-Input'!E719="","",'RFQ-Input'!E719)</f>
        <v/>
      </c>
      <c r="F720" s="7" t="str">
        <f>IF('RFQ-Input'!F719="","",'RFQ-Input'!F719)</f>
        <v/>
      </c>
      <c r="G720" s="7" t="str">
        <f>IF('RFQ-Input'!G719="","",'RFQ-Input'!G719)</f>
        <v/>
      </c>
      <c r="H720" s="7" t="str">
        <f>IF('RFQ-Input'!H719="","",'RFQ-Input'!H719)</f>
        <v/>
      </c>
      <c r="I720" s="7" t="str">
        <f>IF('RFQ-Input'!I719="","",'RFQ-Input'!I719)</f>
        <v/>
      </c>
      <c r="J720" s="7" t="str">
        <f>IF('RFQ-Input'!J719="","",'RFQ-Input'!J719)</f>
        <v/>
      </c>
      <c r="K720" s="7" t="str">
        <f>IF('RFQ-Input'!K719="","",'RFQ-Input'!K719)</f>
        <v/>
      </c>
      <c r="L720" s="7" t="str">
        <f>IF('RFQ-Input'!L719="","",'RFQ-Input'!L719)</f>
        <v/>
      </c>
      <c r="M720" s="7" t="str">
        <f>IF('RFQ-Input'!M719="","",'RFQ-Input'!M719)</f>
        <v/>
      </c>
      <c r="N720" s="7" t="str">
        <f>IF('RFQ-Input'!N719="","",'RFQ-Input'!N719)</f>
        <v/>
      </c>
      <c r="O720" s="7" t="str">
        <f>IF('RFQ-Input'!O719="","",'RFQ-Input'!O719)</f>
        <v/>
      </c>
      <c r="Q720" s="7"/>
      <c r="R720" s="7"/>
      <c r="S720" s="7"/>
      <c r="T720" s="7"/>
      <c r="U720" s="7"/>
      <c r="V720" s="7"/>
      <c r="X720" s="7"/>
      <c r="Y720" s="7"/>
      <c r="Z720" s="7"/>
      <c r="AA720" s="7" t="str">
        <f t="shared" si="77"/>
        <v/>
      </c>
      <c r="AB720" s="7"/>
      <c r="AC720" s="7"/>
      <c r="AQ720" s="7" t="str">
        <f t="shared" si="78"/>
        <v/>
      </c>
      <c r="AR720" s="7" t="str">
        <f t="shared" si="79"/>
        <v/>
      </c>
      <c r="AS720" s="7" t="str">
        <f t="shared" si="80"/>
        <v/>
      </c>
      <c r="AT720" s="7" t="str">
        <f t="shared" si="81"/>
        <v/>
      </c>
      <c r="AU720" s="7" t="str">
        <f t="shared" si="82"/>
        <v/>
      </c>
      <c r="AV720" s="7" t="str">
        <f t="shared" si="83"/>
        <v/>
      </c>
      <c r="AW720" s="7" t="str">
        <f>IF('RFQ-Input'!O719="","",'RFQ-Input'!O719)</f>
        <v/>
      </c>
      <c r="AX720" s="7" t="str">
        <f>IF('RFQ-Input'!S719="","",'RFQ-Input'!S719)</f>
        <v/>
      </c>
      <c r="AY720" s="7" t="str">
        <f>IF('RFQ-Input'!V719="","",'RFQ-Input'!V719)</f>
        <v/>
      </c>
      <c r="AZ720" s="7" t="str">
        <f>IF('RFQ-Input'!Y719="","",'RFQ-Input'!Y719)</f>
        <v/>
      </c>
      <c r="BA720" s="7" t="str">
        <f>IF('RFQ-Input'!AB719="","",'RFQ-Input'!AB719)</f>
        <v/>
      </c>
    </row>
    <row r="721" spans="1:53">
      <c r="A721" s="20">
        <v>717</v>
      </c>
      <c r="B721" s="7"/>
      <c r="C721" s="7" t="str">
        <f>IF('RFQ-Input'!C720="","",'RFQ-Input'!C720)</f>
        <v/>
      </c>
      <c r="D721" s="7" t="str">
        <f>IF('RFQ-Input'!D720="","",'RFQ-Input'!D720)</f>
        <v/>
      </c>
      <c r="E721" s="7" t="str">
        <f>IF('RFQ-Input'!E720="","",'RFQ-Input'!E720)</f>
        <v/>
      </c>
      <c r="F721" s="7" t="str">
        <f>IF('RFQ-Input'!F720="","",'RFQ-Input'!F720)</f>
        <v/>
      </c>
      <c r="G721" s="7" t="str">
        <f>IF('RFQ-Input'!G720="","",'RFQ-Input'!G720)</f>
        <v/>
      </c>
      <c r="H721" s="7" t="str">
        <f>IF('RFQ-Input'!H720="","",'RFQ-Input'!H720)</f>
        <v/>
      </c>
      <c r="I721" s="7" t="str">
        <f>IF('RFQ-Input'!I720="","",'RFQ-Input'!I720)</f>
        <v/>
      </c>
      <c r="J721" s="7" t="str">
        <f>IF('RFQ-Input'!J720="","",'RFQ-Input'!J720)</f>
        <v/>
      </c>
      <c r="K721" s="7" t="str">
        <f>IF('RFQ-Input'!K720="","",'RFQ-Input'!K720)</f>
        <v/>
      </c>
      <c r="L721" s="7" t="str">
        <f>IF('RFQ-Input'!L720="","",'RFQ-Input'!L720)</f>
        <v/>
      </c>
      <c r="M721" s="7" t="str">
        <f>IF('RFQ-Input'!M720="","",'RFQ-Input'!M720)</f>
        <v/>
      </c>
      <c r="N721" s="7" t="str">
        <f>IF('RFQ-Input'!N720="","",'RFQ-Input'!N720)</f>
        <v/>
      </c>
      <c r="O721" s="7" t="str">
        <f>IF('RFQ-Input'!O720="","",'RFQ-Input'!O720)</f>
        <v/>
      </c>
      <c r="Q721" s="7"/>
      <c r="R721" s="7"/>
      <c r="S721" s="7"/>
      <c r="T721" s="7"/>
      <c r="U721" s="7"/>
      <c r="V721" s="7"/>
      <c r="X721" s="7"/>
      <c r="Y721" s="7"/>
      <c r="Z721" s="7"/>
      <c r="AA721" s="7" t="str">
        <f t="shared" si="77"/>
        <v/>
      </c>
      <c r="AB721" s="7"/>
      <c r="AC721" s="7"/>
      <c r="AQ721" s="7" t="str">
        <f t="shared" si="78"/>
        <v/>
      </c>
      <c r="AR721" s="7" t="str">
        <f t="shared" si="79"/>
        <v/>
      </c>
      <c r="AS721" s="7" t="str">
        <f t="shared" si="80"/>
        <v/>
      </c>
      <c r="AT721" s="7" t="str">
        <f t="shared" si="81"/>
        <v/>
      </c>
      <c r="AU721" s="7" t="str">
        <f t="shared" si="82"/>
        <v/>
      </c>
      <c r="AV721" s="7" t="str">
        <f t="shared" si="83"/>
        <v/>
      </c>
      <c r="AW721" s="7" t="str">
        <f>IF('RFQ-Input'!O720="","",'RFQ-Input'!O720)</f>
        <v/>
      </c>
      <c r="AX721" s="7" t="str">
        <f>IF('RFQ-Input'!S720="","",'RFQ-Input'!S720)</f>
        <v/>
      </c>
      <c r="AY721" s="7" t="str">
        <f>IF('RFQ-Input'!V720="","",'RFQ-Input'!V720)</f>
        <v/>
      </c>
      <c r="AZ721" s="7" t="str">
        <f>IF('RFQ-Input'!Y720="","",'RFQ-Input'!Y720)</f>
        <v/>
      </c>
      <c r="BA721" s="7" t="str">
        <f>IF('RFQ-Input'!AB720="","",'RFQ-Input'!AB720)</f>
        <v/>
      </c>
    </row>
    <row r="722" spans="1:53">
      <c r="A722" s="20">
        <v>718</v>
      </c>
      <c r="B722" s="7"/>
      <c r="C722" s="7" t="str">
        <f>IF('RFQ-Input'!C721="","",'RFQ-Input'!C721)</f>
        <v/>
      </c>
      <c r="D722" s="7" t="str">
        <f>IF('RFQ-Input'!D721="","",'RFQ-Input'!D721)</f>
        <v/>
      </c>
      <c r="E722" s="7" t="str">
        <f>IF('RFQ-Input'!E721="","",'RFQ-Input'!E721)</f>
        <v/>
      </c>
      <c r="F722" s="7" t="str">
        <f>IF('RFQ-Input'!F721="","",'RFQ-Input'!F721)</f>
        <v/>
      </c>
      <c r="G722" s="7" t="str">
        <f>IF('RFQ-Input'!G721="","",'RFQ-Input'!G721)</f>
        <v/>
      </c>
      <c r="H722" s="7" t="str">
        <f>IF('RFQ-Input'!H721="","",'RFQ-Input'!H721)</f>
        <v/>
      </c>
      <c r="I722" s="7" t="str">
        <f>IF('RFQ-Input'!I721="","",'RFQ-Input'!I721)</f>
        <v/>
      </c>
      <c r="J722" s="7" t="str">
        <f>IF('RFQ-Input'!J721="","",'RFQ-Input'!J721)</f>
        <v/>
      </c>
      <c r="K722" s="7" t="str">
        <f>IF('RFQ-Input'!K721="","",'RFQ-Input'!K721)</f>
        <v/>
      </c>
      <c r="L722" s="7" t="str">
        <f>IF('RFQ-Input'!L721="","",'RFQ-Input'!L721)</f>
        <v/>
      </c>
      <c r="M722" s="7" t="str">
        <f>IF('RFQ-Input'!M721="","",'RFQ-Input'!M721)</f>
        <v/>
      </c>
      <c r="N722" s="7" t="str">
        <f>IF('RFQ-Input'!N721="","",'RFQ-Input'!N721)</f>
        <v/>
      </c>
      <c r="O722" s="7" t="str">
        <f>IF('RFQ-Input'!O721="","",'RFQ-Input'!O721)</f>
        <v/>
      </c>
      <c r="Q722" s="7"/>
      <c r="R722" s="7"/>
      <c r="S722" s="7"/>
      <c r="T722" s="7"/>
      <c r="U722" s="7"/>
      <c r="V722" s="7"/>
      <c r="X722" s="7"/>
      <c r="Y722" s="7"/>
      <c r="Z722" s="7"/>
      <c r="AA722" s="7" t="str">
        <f t="shared" si="77"/>
        <v/>
      </c>
      <c r="AB722" s="7"/>
      <c r="AC722" s="7"/>
      <c r="AQ722" s="7" t="str">
        <f t="shared" si="78"/>
        <v/>
      </c>
      <c r="AR722" s="7" t="str">
        <f t="shared" si="79"/>
        <v/>
      </c>
      <c r="AS722" s="7" t="str">
        <f t="shared" si="80"/>
        <v/>
      </c>
      <c r="AT722" s="7" t="str">
        <f t="shared" si="81"/>
        <v/>
      </c>
      <c r="AU722" s="7" t="str">
        <f t="shared" si="82"/>
        <v/>
      </c>
      <c r="AV722" s="7" t="str">
        <f t="shared" si="83"/>
        <v/>
      </c>
      <c r="AW722" s="7" t="str">
        <f>IF('RFQ-Input'!O721="","",'RFQ-Input'!O721)</f>
        <v/>
      </c>
      <c r="AX722" s="7" t="str">
        <f>IF('RFQ-Input'!S721="","",'RFQ-Input'!S721)</f>
        <v/>
      </c>
      <c r="AY722" s="7" t="str">
        <f>IF('RFQ-Input'!V721="","",'RFQ-Input'!V721)</f>
        <v/>
      </c>
      <c r="AZ722" s="7" t="str">
        <f>IF('RFQ-Input'!Y721="","",'RFQ-Input'!Y721)</f>
        <v/>
      </c>
      <c r="BA722" s="7" t="str">
        <f>IF('RFQ-Input'!AB721="","",'RFQ-Input'!AB721)</f>
        <v/>
      </c>
    </row>
    <row r="723" spans="1:53">
      <c r="A723" s="20">
        <v>719</v>
      </c>
      <c r="B723" s="7"/>
      <c r="C723" s="7" t="str">
        <f>IF('RFQ-Input'!C722="","",'RFQ-Input'!C722)</f>
        <v/>
      </c>
      <c r="D723" s="7" t="str">
        <f>IF('RFQ-Input'!D722="","",'RFQ-Input'!D722)</f>
        <v/>
      </c>
      <c r="E723" s="7" t="str">
        <f>IF('RFQ-Input'!E722="","",'RFQ-Input'!E722)</f>
        <v/>
      </c>
      <c r="F723" s="7" t="str">
        <f>IF('RFQ-Input'!F722="","",'RFQ-Input'!F722)</f>
        <v/>
      </c>
      <c r="G723" s="7" t="str">
        <f>IF('RFQ-Input'!G722="","",'RFQ-Input'!G722)</f>
        <v/>
      </c>
      <c r="H723" s="7" t="str">
        <f>IF('RFQ-Input'!H722="","",'RFQ-Input'!H722)</f>
        <v/>
      </c>
      <c r="I723" s="7" t="str">
        <f>IF('RFQ-Input'!I722="","",'RFQ-Input'!I722)</f>
        <v/>
      </c>
      <c r="J723" s="7" t="str">
        <f>IF('RFQ-Input'!J722="","",'RFQ-Input'!J722)</f>
        <v/>
      </c>
      <c r="K723" s="7" t="str">
        <f>IF('RFQ-Input'!K722="","",'RFQ-Input'!K722)</f>
        <v/>
      </c>
      <c r="L723" s="7" t="str">
        <f>IF('RFQ-Input'!L722="","",'RFQ-Input'!L722)</f>
        <v/>
      </c>
      <c r="M723" s="7" t="str">
        <f>IF('RFQ-Input'!M722="","",'RFQ-Input'!M722)</f>
        <v/>
      </c>
      <c r="N723" s="7" t="str">
        <f>IF('RFQ-Input'!N722="","",'RFQ-Input'!N722)</f>
        <v/>
      </c>
      <c r="O723" s="7" t="str">
        <f>IF('RFQ-Input'!O722="","",'RFQ-Input'!O722)</f>
        <v/>
      </c>
      <c r="Q723" s="7"/>
      <c r="R723" s="7"/>
      <c r="S723" s="7"/>
      <c r="T723" s="7"/>
      <c r="U723" s="7"/>
      <c r="V723" s="7"/>
      <c r="X723" s="7"/>
      <c r="Y723" s="7"/>
      <c r="Z723" s="7"/>
      <c r="AA723" s="7" t="str">
        <f t="shared" si="77"/>
        <v/>
      </c>
      <c r="AB723" s="7"/>
      <c r="AC723" s="7"/>
      <c r="AQ723" s="7" t="str">
        <f t="shared" si="78"/>
        <v/>
      </c>
      <c r="AR723" s="7" t="str">
        <f t="shared" si="79"/>
        <v/>
      </c>
      <c r="AS723" s="7" t="str">
        <f t="shared" si="80"/>
        <v/>
      </c>
      <c r="AT723" s="7" t="str">
        <f t="shared" si="81"/>
        <v/>
      </c>
      <c r="AU723" s="7" t="str">
        <f t="shared" si="82"/>
        <v/>
      </c>
      <c r="AV723" s="7" t="str">
        <f t="shared" si="83"/>
        <v/>
      </c>
      <c r="AW723" s="7" t="str">
        <f>IF('RFQ-Input'!O722="","",'RFQ-Input'!O722)</f>
        <v/>
      </c>
      <c r="AX723" s="7" t="str">
        <f>IF('RFQ-Input'!S722="","",'RFQ-Input'!S722)</f>
        <v/>
      </c>
      <c r="AY723" s="7" t="str">
        <f>IF('RFQ-Input'!V722="","",'RFQ-Input'!V722)</f>
        <v/>
      </c>
      <c r="AZ723" s="7" t="str">
        <f>IF('RFQ-Input'!Y722="","",'RFQ-Input'!Y722)</f>
        <v/>
      </c>
      <c r="BA723" s="7" t="str">
        <f>IF('RFQ-Input'!AB722="","",'RFQ-Input'!AB722)</f>
        <v/>
      </c>
    </row>
    <row r="724" spans="1:53">
      <c r="A724" s="20">
        <v>720</v>
      </c>
      <c r="B724" s="7"/>
      <c r="C724" s="7" t="str">
        <f>IF('RFQ-Input'!C723="","",'RFQ-Input'!C723)</f>
        <v/>
      </c>
      <c r="D724" s="7" t="str">
        <f>IF('RFQ-Input'!D723="","",'RFQ-Input'!D723)</f>
        <v/>
      </c>
      <c r="E724" s="7" t="str">
        <f>IF('RFQ-Input'!E723="","",'RFQ-Input'!E723)</f>
        <v/>
      </c>
      <c r="F724" s="7" t="str">
        <f>IF('RFQ-Input'!F723="","",'RFQ-Input'!F723)</f>
        <v/>
      </c>
      <c r="G724" s="7" t="str">
        <f>IF('RFQ-Input'!G723="","",'RFQ-Input'!G723)</f>
        <v/>
      </c>
      <c r="H724" s="7" t="str">
        <f>IF('RFQ-Input'!H723="","",'RFQ-Input'!H723)</f>
        <v/>
      </c>
      <c r="I724" s="7" t="str">
        <f>IF('RFQ-Input'!I723="","",'RFQ-Input'!I723)</f>
        <v/>
      </c>
      <c r="J724" s="7" t="str">
        <f>IF('RFQ-Input'!J723="","",'RFQ-Input'!J723)</f>
        <v/>
      </c>
      <c r="K724" s="7" t="str">
        <f>IF('RFQ-Input'!K723="","",'RFQ-Input'!K723)</f>
        <v/>
      </c>
      <c r="L724" s="7" t="str">
        <f>IF('RFQ-Input'!L723="","",'RFQ-Input'!L723)</f>
        <v/>
      </c>
      <c r="M724" s="7" t="str">
        <f>IF('RFQ-Input'!M723="","",'RFQ-Input'!M723)</f>
        <v/>
      </c>
      <c r="N724" s="7" t="str">
        <f>IF('RFQ-Input'!N723="","",'RFQ-Input'!N723)</f>
        <v/>
      </c>
      <c r="O724" s="7" t="str">
        <f>IF('RFQ-Input'!O723="","",'RFQ-Input'!O723)</f>
        <v/>
      </c>
      <c r="Q724" s="7"/>
      <c r="R724" s="7"/>
      <c r="S724" s="7"/>
      <c r="T724" s="7"/>
      <c r="U724" s="7"/>
      <c r="V724" s="7"/>
      <c r="X724" s="7"/>
      <c r="Y724" s="7"/>
      <c r="Z724" s="7"/>
      <c r="AA724" s="7" t="str">
        <f t="shared" si="77"/>
        <v/>
      </c>
      <c r="AB724" s="7"/>
      <c r="AC724" s="7"/>
      <c r="AQ724" s="7" t="str">
        <f t="shared" si="78"/>
        <v/>
      </c>
      <c r="AR724" s="7" t="str">
        <f t="shared" si="79"/>
        <v/>
      </c>
      <c r="AS724" s="7" t="str">
        <f t="shared" si="80"/>
        <v/>
      </c>
      <c r="AT724" s="7" t="str">
        <f t="shared" si="81"/>
        <v/>
      </c>
      <c r="AU724" s="7" t="str">
        <f t="shared" si="82"/>
        <v/>
      </c>
      <c r="AV724" s="7" t="str">
        <f t="shared" si="83"/>
        <v/>
      </c>
      <c r="AW724" s="7" t="str">
        <f>IF('RFQ-Input'!O723="","",'RFQ-Input'!O723)</f>
        <v/>
      </c>
      <c r="AX724" s="7" t="str">
        <f>IF('RFQ-Input'!S723="","",'RFQ-Input'!S723)</f>
        <v/>
      </c>
      <c r="AY724" s="7" t="str">
        <f>IF('RFQ-Input'!V723="","",'RFQ-Input'!V723)</f>
        <v/>
      </c>
      <c r="AZ724" s="7" t="str">
        <f>IF('RFQ-Input'!Y723="","",'RFQ-Input'!Y723)</f>
        <v/>
      </c>
      <c r="BA724" s="7" t="str">
        <f>IF('RFQ-Input'!AB723="","",'RFQ-Input'!AB723)</f>
        <v/>
      </c>
    </row>
    <row r="725" spans="1:53">
      <c r="A725" s="20">
        <v>721</v>
      </c>
      <c r="B725" s="7"/>
      <c r="C725" s="7" t="str">
        <f>IF('RFQ-Input'!C724="","",'RFQ-Input'!C724)</f>
        <v/>
      </c>
      <c r="D725" s="7" t="str">
        <f>IF('RFQ-Input'!D724="","",'RFQ-Input'!D724)</f>
        <v/>
      </c>
      <c r="E725" s="7" t="str">
        <f>IF('RFQ-Input'!E724="","",'RFQ-Input'!E724)</f>
        <v/>
      </c>
      <c r="F725" s="7" t="str">
        <f>IF('RFQ-Input'!F724="","",'RFQ-Input'!F724)</f>
        <v/>
      </c>
      <c r="G725" s="7" t="str">
        <f>IF('RFQ-Input'!G724="","",'RFQ-Input'!G724)</f>
        <v/>
      </c>
      <c r="H725" s="7" t="str">
        <f>IF('RFQ-Input'!H724="","",'RFQ-Input'!H724)</f>
        <v/>
      </c>
      <c r="I725" s="7" t="str">
        <f>IF('RFQ-Input'!I724="","",'RFQ-Input'!I724)</f>
        <v/>
      </c>
      <c r="J725" s="7" t="str">
        <f>IF('RFQ-Input'!J724="","",'RFQ-Input'!J724)</f>
        <v/>
      </c>
      <c r="K725" s="7" t="str">
        <f>IF('RFQ-Input'!K724="","",'RFQ-Input'!K724)</f>
        <v/>
      </c>
      <c r="L725" s="7" t="str">
        <f>IF('RFQ-Input'!L724="","",'RFQ-Input'!L724)</f>
        <v/>
      </c>
      <c r="M725" s="7" t="str">
        <f>IF('RFQ-Input'!M724="","",'RFQ-Input'!M724)</f>
        <v/>
      </c>
      <c r="N725" s="7" t="str">
        <f>IF('RFQ-Input'!N724="","",'RFQ-Input'!N724)</f>
        <v/>
      </c>
      <c r="O725" s="7" t="str">
        <f>IF('RFQ-Input'!O724="","",'RFQ-Input'!O724)</f>
        <v/>
      </c>
      <c r="Q725" s="7"/>
      <c r="R725" s="7"/>
      <c r="S725" s="7"/>
      <c r="T725" s="7"/>
      <c r="U725" s="7"/>
      <c r="V725" s="7"/>
      <c r="X725" s="7"/>
      <c r="Y725" s="7"/>
      <c r="Z725" s="7"/>
      <c r="AA725" s="7" t="str">
        <f t="shared" si="77"/>
        <v/>
      </c>
      <c r="AB725" s="7"/>
      <c r="AC725" s="7"/>
      <c r="AQ725" s="7" t="str">
        <f t="shared" si="78"/>
        <v/>
      </c>
      <c r="AR725" s="7" t="str">
        <f t="shared" si="79"/>
        <v/>
      </c>
      <c r="AS725" s="7" t="str">
        <f t="shared" si="80"/>
        <v/>
      </c>
      <c r="AT725" s="7" t="str">
        <f t="shared" si="81"/>
        <v/>
      </c>
      <c r="AU725" s="7" t="str">
        <f t="shared" si="82"/>
        <v/>
      </c>
      <c r="AV725" s="7" t="str">
        <f t="shared" si="83"/>
        <v/>
      </c>
      <c r="AW725" s="7" t="str">
        <f>IF('RFQ-Input'!O724="","",'RFQ-Input'!O724)</f>
        <v/>
      </c>
      <c r="AX725" s="7" t="str">
        <f>IF('RFQ-Input'!S724="","",'RFQ-Input'!S724)</f>
        <v/>
      </c>
      <c r="AY725" s="7" t="str">
        <f>IF('RFQ-Input'!V724="","",'RFQ-Input'!V724)</f>
        <v/>
      </c>
      <c r="AZ725" s="7" t="str">
        <f>IF('RFQ-Input'!Y724="","",'RFQ-Input'!Y724)</f>
        <v/>
      </c>
      <c r="BA725" s="7" t="str">
        <f>IF('RFQ-Input'!AB724="","",'RFQ-Input'!AB724)</f>
        <v/>
      </c>
    </row>
    <row r="726" spans="1:53">
      <c r="A726" s="20">
        <v>722</v>
      </c>
      <c r="B726" s="7"/>
      <c r="C726" s="7" t="str">
        <f>IF('RFQ-Input'!C725="","",'RFQ-Input'!C725)</f>
        <v/>
      </c>
      <c r="D726" s="7" t="str">
        <f>IF('RFQ-Input'!D725="","",'RFQ-Input'!D725)</f>
        <v/>
      </c>
      <c r="E726" s="7" t="str">
        <f>IF('RFQ-Input'!E725="","",'RFQ-Input'!E725)</f>
        <v/>
      </c>
      <c r="F726" s="7" t="str">
        <f>IF('RFQ-Input'!F725="","",'RFQ-Input'!F725)</f>
        <v/>
      </c>
      <c r="G726" s="7" t="str">
        <f>IF('RFQ-Input'!G725="","",'RFQ-Input'!G725)</f>
        <v/>
      </c>
      <c r="H726" s="7" t="str">
        <f>IF('RFQ-Input'!H725="","",'RFQ-Input'!H725)</f>
        <v/>
      </c>
      <c r="I726" s="7" t="str">
        <f>IF('RFQ-Input'!I725="","",'RFQ-Input'!I725)</f>
        <v/>
      </c>
      <c r="J726" s="7" t="str">
        <f>IF('RFQ-Input'!J725="","",'RFQ-Input'!J725)</f>
        <v/>
      </c>
      <c r="K726" s="7" t="str">
        <f>IF('RFQ-Input'!K725="","",'RFQ-Input'!K725)</f>
        <v/>
      </c>
      <c r="L726" s="7" t="str">
        <f>IF('RFQ-Input'!L725="","",'RFQ-Input'!L725)</f>
        <v/>
      </c>
      <c r="M726" s="7" t="str">
        <f>IF('RFQ-Input'!M725="","",'RFQ-Input'!M725)</f>
        <v/>
      </c>
      <c r="N726" s="7" t="str">
        <f>IF('RFQ-Input'!N725="","",'RFQ-Input'!N725)</f>
        <v/>
      </c>
      <c r="O726" s="7" t="str">
        <f>IF('RFQ-Input'!O725="","",'RFQ-Input'!O725)</f>
        <v/>
      </c>
      <c r="Q726" s="7"/>
      <c r="R726" s="7"/>
      <c r="S726" s="7"/>
      <c r="T726" s="7"/>
      <c r="U726" s="7"/>
      <c r="V726" s="7"/>
      <c r="X726" s="7"/>
      <c r="Y726" s="7"/>
      <c r="Z726" s="7"/>
      <c r="AA726" s="7" t="str">
        <f t="shared" si="77"/>
        <v/>
      </c>
      <c r="AB726" s="7"/>
      <c r="AC726" s="7"/>
      <c r="AQ726" s="7" t="str">
        <f t="shared" si="78"/>
        <v/>
      </c>
      <c r="AR726" s="7" t="str">
        <f t="shared" si="79"/>
        <v/>
      </c>
      <c r="AS726" s="7" t="str">
        <f t="shared" si="80"/>
        <v/>
      </c>
      <c r="AT726" s="7" t="str">
        <f t="shared" si="81"/>
        <v/>
      </c>
      <c r="AU726" s="7" t="str">
        <f t="shared" si="82"/>
        <v/>
      </c>
      <c r="AV726" s="7" t="str">
        <f t="shared" si="83"/>
        <v/>
      </c>
      <c r="AW726" s="7" t="str">
        <f>IF('RFQ-Input'!O725="","",'RFQ-Input'!O725)</f>
        <v/>
      </c>
      <c r="AX726" s="7" t="str">
        <f>IF('RFQ-Input'!S725="","",'RFQ-Input'!S725)</f>
        <v/>
      </c>
      <c r="AY726" s="7" t="str">
        <f>IF('RFQ-Input'!V725="","",'RFQ-Input'!V725)</f>
        <v/>
      </c>
      <c r="AZ726" s="7" t="str">
        <f>IF('RFQ-Input'!Y725="","",'RFQ-Input'!Y725)</f>
        <v/>
      </c>
      <c r="BA726" s="7" t="str">
        <f>IF('RFQ-Input'!AB725="","",'RFQ-Input'!AB725)</f>
        <v/>
      </c>
    </row>
    <row r="727" spans="1:53">
      <c r="A727" s="20">
        <v>723</v>
      </c>
      <c r="B727" s="7"/>
      <c r="C727" s="7" t="str">
        <f>IF('RFQ-Input'!C726="","",'RFQ-Input'!C726)</f>
        <v/>
      </c>
      <c r="D727" s="7" t="str">
        <f>IF('RFQ-Input'!D726="","",'RFQ-Input'!D726)</f>
        <v/>
      </c>
      <c r="E727" s="7" t="str">
        <f>IF('RFQ-Input'!E726="","",'RFQ-Input'!E726)</f>
        <v/>
      </c>
      <c r="F727" s="7" t="str">
        <f>IF('RFQ-Input'!F726="","",'RFQ-Input'!F726)</f>
        <v/>
      </c>
      <c r="G727" s="7" t="str">
        <f>IF('RFQ-Input'!G726="","",'RFQ-Input'!G726)</f>
        <v/>
      </c>
      <c r="H727" s="7" t="str">
        <f>IF('RFQ-Input'!H726="","",'RFQ-Input'!H726)</f>
        <v/>
      </c>
      <c r="I727" s="7" t="str">
        <f>IF('RFQ-Input'!I726="","",'RFQ-Input'!I726)</f>
        <v/>
      </c>
      <c r="J727" s="7" t="str">
        <f>IF('RFQ-Input'!J726="","",'RFQ-Input'!J726)</f>
        <v/>
      </c>
      <c r="K727" s="7" t="str">
        <f>IF('RFQ-Input'!K726="","",'RFQ-Input'!K726)</f>
        <v/>
      </c>
      <c r="L727" s="7" t="str">
        <f>IF('RFQ-Input'!L726="","",'RFQ-Input'!L726)</f>
        <v/>
      </c>
      <c r="M727" s="7" t="str">
        <f>IF('RFQ-Input'!M726="","",'RFQ-Input'!M726)</f>
        <v/>
      </c>
      <c r="N727" s="7" t="str">
        <f>IF('RFQ-Input'!N726="","",'RFQ-Input'!N726)</f>
        <v/>
      </c>
      <c r="O727" s="7" t="str">
        <f>IF('RFQ-Input'!O726="","",'RFQ-Input'!O726)</f>
        <v/>
      </c>
      <c r="Q727" s="7"/>
      <c r="R727" s="7"/>
      <c r="S727" s="7"/>
      <c r="T727" s="7"/>
      <c r="U727" s="7"/>
      <c r="V727" s="7"/>
      <c r="X727" s="7"/>
      <c r="Y727" s="7"/>
      <c r="Z727" s="7"/>
      <c r="AA727" s="7" t="str">
        <f t="shared" si="77"/>
        <v/>
      </c>
      <c r="AB727" s="7"/>
      <c r="AC727" s="7"/>
      <c r="AQ727" s="7" t="str">
        <f t="shared" si="78"/>
        <v/>
      </c>
      <c r="AR727" s="7" t="str">
        <f t="shared" si="79"/>
        <v/>
      </c>
      <c r="AS727" s="7" t="str">
        <f t="shared" si="80"/>
        <v/>
      </c>
      <c r="AT727" s="7" t="str">
        <f t="shared" si="81"/>
        <v/>
      </c>
      <c r="AU727" s="7" t="str">
        <f t="shared" si="82"/>
        <v/>
      </c>
      <c r="AV727" s="7" t="str">
        <f t="shared" si="83"/>
        <v/>
      </c>
      <c r="AW727" s="7" t="str">
        <f>IF('RFQ-Input'!O726="","",'RFQ-Input'!O726)</f>
        <v/>
      </c>
      <c r="AX727" s="7" t="str">
        <f>IF('RFQ-Input'!S726="","",'RFQ-Input'!S726)</f>
        <v/>
      </c>
      <c r="AY727" s="7" t="str">
        <f>IF('RFQ-Input'!V726="","",'RFQ-Input'!V726)</f>
        <v/>
      </c>
      <c r="AZ727" s="7" t="str">
        <f>IF('RFQ-Input'!Y726="","",'RFQ-Input'!Y726)</f>
        <v/>
      </c>
      <c r="BA727" s="7" t="str">
        <f>IF('RFQ-Input'!AB726="","",'RFQ-Input'!AB726)</f>
        <v/>
      </c>
    </row>
    <row r="728" spans="1:53">
      <c r="A728" s="20">
        <v>724</v>
      </c>
      <c r="B728" s="7"/>
      <c r="C728" s="7" t="str">
        <f>IF('RFQ-Input'!C727="","",'RFQ-Input'!C727)</f>
        <v/>
      </c>
      <c r="D728" s="7" t="str">
        <f>IF('RFQ-Input'!D727="","",'RFQ-Input'!D727)</f>
        <v/>
      </c>
      <c r="E728" s="7" t="str">
        <f>IF('RFQ-Input'!E727="","",'RFQ-Input'!E727)</f>
        <v/>
      </c>
      <c r="F728" s="7" t="str">
        <f>IF('RFQ-Input'!F727="","",'RFQ-Input'!F727)</f>
        <v/>
      </c>
      <c r="G728" s="7" t="str">
        <f>IF('RFQ-Input'!G727="","",'RFQ-Input'!G727)</f>
        <v/>
      </c>
      <c r="H728" s="7" t="str">
        <f>IF('RFQ-Input'!H727="","",'RFQ-Input'!H727)</f>
        <v/>
      </c>
      <c r="I728" s="7" t="str">
        <f>IF('RFQ-Input'!I727="","",'RFQ-Input'!I727)</f>
        <v/>
      </c>
      <c r="J728" s="7" t="str">
        <f>IF('RFQ-Input'!J727="","",'RFQ-Input'!J727)</f>
        <v/>
      </c>
      <c r="K728" s="7" t="str">
        <f>IF('RFQ-Input'!K727="","",'RFQ-Input'!K727)</f>
        <v/>
      </c>
      <c r="L728" s="7" t="str">
        <f>IF('RFQ-Input'!L727="","",'RFQ-Input'!L727)</f>
        <v/>
      </c>
      <c r="M728" s="7" t="str">
        <f>IF('RFQ-Input'!M727="","",'RFQ-Input'!M727)</f>
        <v/>
      </c>
      <c r="N728" s="7" t="str">
        <f>IF('RFQ-Input'!N727="","",'RFQ-Input'!N727)</f>
        <v/>
      </c>
      <c r="O728" s="7" t="str">
        <f>IF('RFQ-Input'!O727="","",'RFQ-Input'!O727)</f>
        <v/>
      </c>
      <c r="Q728" s="7"/>
      <c r="R728" s="7"/>
      <c r="S728" s="7"/>
      <c r="T728" s="7"/>
      <c r="U728" s="7"/>
      <c r="V728" s="7"/>
      <c r="X728" s="7"/>
      <c r="Y728" s="7"/>
      <c r="Z728" s="7"/>
      <c r="AA728" s="7" t="str">
        <f t="shared" si="77"/>
        <v/>
      </c>
      <c r="AB728" s="7"/>
      <c r="AC728" s="7"/>
      <c r="AQ728" s="7" t="str">
        <f t="shared" si="78"/>
        <v/>
      </c>
      <c r="AR728" s="7" t="str">
        <f t="shared" si="79"/>
        <v/>
      </c>
      <c r="AS728" s="7" t="str">
        <f t="shared" si="80"/>
        <v/>
      </c>
      <c r="AT728" s="7" t="str">
        <f t="shared" si="81"/>
        <v/>
      </c>
      <c r="AU728" s="7" t="str">
        <f t="shared" si="82"/>
        <v/>
      </c>
      <c r="AV728" s="7" t="str">
        <f t="shared" si="83"/>
        <v/>
      </c>
      <c r="AW728" s="7" t="str">
        <f>IF('RFQ-Input'!O727="","",'RFQ-Input'!O727)</f>
        <v/>
      </c>
      <c r="AX728" s="7" t="str">
        <f>IF('RFQ-Input'!S727="","",'RFQ-Input'!S727)</f>
        <v/>
      </c>
      <c r="AY728" s="7" t="str">
        <f>IF('RFQ-Input'!V727="","",'RFQ-Input'!V727)</f>
        <v/>
      </c>
      <c r="AZ728" s="7" t="str">
        <f>IF('RFQ-Input'!Y727="","",'RFQ-Input'!Y727)</f>
        <v/>
      </c>
      <c r="BA728" s="7" t="str">
        <f>IF('RFQ-Input'!AB727="","",'RFQ-Input'!AB727)</f>
        <v/>
      </c>
    </row>
    <row r="729" spans="1:53">
      <c r="A729" s="20">
        <v>725</v>
      </c>
      <c r="B729" s="7"/>
      <c r="C729" s="7" t="str">
        <f>IF('RFQ-Input'!C728="","",'RFQ-Input'!C728)</f>
        <v/>
      </c>
      <c r="D729" s="7" t="str">
        <f>IF('RFQ-Input'!D728="","",'RFQ-Input'!D728)</f>
        <v/>
      </c>
      <c r="E729" s="7" t="str">
        <f>IF('RFQ-Input'!E728="","",'RFQ-Input'!E728)</f>
        <v/>
      </c>
      <c r="F729" s="7" t="str">
        <f>IF('RFQ-Input'!F728="","",'RFQ-Input'!F728)</f>
        <v/>
      </c>
      <c r="G729" s="7" t="str">
        <f>IF('RFQ-Input'!G728="","",'RFQ-Input'!G728)</f>
        <v/>
      </c>
      <c r="H729" s="7" t="str">
        <f>IF('RFQ-Input'!H728="","",'RFQ-Input'!H728)</f>
        <v/>
      </c>
      <c r="I729" s="7" t="str">
        <f>IF('RFQ-Input'!I728="","",'RFQ-Input'!I728)</f>
        <v/>
      </c>
      <c r="J729" s="7" t="str">
        <f>IF('RFQ-Input'!J728="","",'RFQ-Input'!J728)</f>
        <v/>
      </c>
      <c r="K729" s="7" t="str">
        <f>IF('RFQ-Input'!K728="","",'RFQ-Input'!K728)</f>
        <v/>
      </c>
      <c r="L729" s="7" t="str">
        <f>IF('RFQ-Input'!L728="","",'RFQ-Input'!L728)</f>
        <v/>
      </c>
      <c r="M729" s="7" t="str">
        <f>IF('RFQ-Input'!M728="","",'RFQ-Input'!M728)</f>
        <v/>
      </c>
      <c r="N729" s="7" t="str">
        <f>IF('RFQ-Input'!N728="","",'RFQ-Input'!N728)</f>
        <v/>
      </c>
      <c r="O729" s="7" t="str">
        <f>IF('RFQ-Input'!O728="","",'RFQ-Input'!O728)</f>
        <v/>
      </c>
      <c r="Q729" s="7"/>
      <c r="R729" s="7"/>
      <c r="S729" s="7"/>
      <c r="T729" s="7"/>
      <c r="U729" s="7"/>
      <c r="V729" s="7"/>
      <c r="X729" s="7"/>
      <c r="Y729" s="7"/>
      <c r="Z729" s="7"/>
      <c r="AA729" s="7" t="str">
        <f t="shared" si="77"/>
        <v/>
      </c>
      <c r="AB729" s="7"/>
      <c r="AC729" s="7"/>
      <c r="AQ729" s="7" t="str">
        <f t="shared" si="78"/>
        <v/>
      </c>
      <c r="AR729" s="7" t="str">
        <f t="shared" si="79"/>
        <v/>
      </c>
      <c r="AS729" s="7" t="str">
        <f t="shared" si="80"/>
        <v/>
      </c>
      <c r="AT729" s="7" t="str">
        <f t="shared" si="81"/>
        <v/>
      </c>
      <c r="AU729" s="7" t="str">
        <f t="shared" si="82"/>
        <v/>
      </c>
      <c r="AV729" s="7" t="str">
        <f t="shared" si="83"/>
        <v/>
      </c>
      <c r="AW729" s="7" t="str">
        <f>IF('RFQ-Input'!O728="","",'RFQ-Input'!O728)</f>
        <v/>
      </c>
      <c r="AX729" s="7" t="str">
        <f>IF('RFQ-Input'!S728="","",'RFQ-Input'!S728)</f>
        <v/>
      </c>
      <c r="AY729" s="7" t="str">
        <f>IF('RFQ-Input'!V728="","",'RFQ-Input'!V728)</f>
        <v/>
      </c>
      <c r="AZ729" s="7" t="str">
        <f>IF('RFQ-Input'!Y728="","",'RFQ-Input'!Y728)</f>
        <v/>
      </c>
      <c r="BA729" s="7" t="str">
        <f>IF('RFQ-Input'!AB728="","",'RFQ-Input'!AB728)</f>
        <v/>
      </c>
    </row>
    <row r="730" spans="1:53">
      <c r="A730" s="20">
        <v>726</v>
      </c>
      <c r="B730" s="7"/>
      <c r="C730" s="7" t="str">
        <f>IF('RFQ-Input'!C729="","",'RFQ-Input'!C729)</f>
        <v/>
      </c>
      <c r="D730" s="7" t="str">
        <f>IF('RFQ-Input'!D729="","",'RFQ-Input'!D729)</f>
        <v/>
      </c>
      <c r="E730" s="7" t="str">
        <f>IF('RFQ-Input'!E729="","",'RFQ-Input'!E729)</f>
        <v/>
      </c>
      <c r="F730" s="7" t="str">
        <f>IF('RFQ-Input'!F729="","",'RFQ-Input'!F729)</f>
        <v/>
      </c>
      <c r="G730" s="7" t="str">
        <f>IF('RFQ-Input'!G729="","",'RFQ-Input'!G729)</f>
        <v/>
      </c>
      <c r="H730" s="7" t="str">
        <f>IF('RFQ-Input'!H729="","",'RFQ-Input'!H729)</f>
        <v/>
      </c>
      <c r="I730" s="7" t="str">
        <f>IF('RFQ-Input'!I729="","",'RFQ-Input'!I729)</f>
        <v/>
      </c>
      <c r="J730" s="7" t="str">
        <f>IF('RFQ-Input'!J729="","",'RFQ-Input'!J729)</f>
        <v/>
      </c>
      <c r="K730" s="7" t="str">
        <f>IF('RFQ-Input'!K729="","",'RFQ-Input'!K729)</f>
        <v/>
      </c>
      <c r="L730" s="7" t="str">
        <f>IF('RFQ-Input'!L729="","",'RFQ-Input'!L729)</f>
        <v/>
      </c>
      <c r="M730" s="7" t="str">
        <f>IF('RFQ-Input'!M729="","",'RFQ-Input'!M729)</f>
        <v/>
      </c>
      <c r="N730" s="7" t="str">
        <f>IF('RFQ-Input'!N729="","",'RFQ-Input'!N729)</f>
        <v/>
      </c>
      <c r="O730" s="7" t="str">
        <f>IF('RFQ-Input'!O729="","",'RFQ-Input'!O729)</f>
        <v/>
      </c>
      <c r="Q730" s="7"/>
      <c r="R730" s="7"/>
      <c r="S730" s="7"/>
      <c r="T730" s="7"/>
      <c r="U730" s="7"/>
      <c r="V730" s="7"/>
      <c r="X730" s="7"/>
      <c r="Y730" s="7"/>
      <c r="Z730" s="7"/>
      <c r="AA730" s="7" t="str">
        <f t="shared" si="77"/>
        <v/>
      </c>
      <c r="AB730" s="7"/>
      <c r="AC730" s="7"/>
      <c r="AQ730" s="7" t="str">
        <f t="shared" si="78"/>
        <v/>
      </c>
      <c r="AR730" s="7" t="str">
        <f t="shared" si="79"/>
        <v/>
      </c>
      <c r="AS730" s="7" t="str">
        <f t="shared" si="80"/>
        <v/>
      </c>
      <c r="AT730" s="7" t="str">
        <f t="shared" si="81"/>
        <v/>
      </c>
      <c r="AU730" s="7" t="str">
        <f t="shared" si="82"/>
        <v/>
      </c>
      <c r="AV730" s="7" t="str">
        <f t="shared" si="83"/>
        <v/>
      </c>
      <c r="AW730" s="7" t="str">
        <f>IF('RFQ-Input'!O729="","",'RFQ-Input'!O729)</f>
        <v/>
      </c>
      <c r="AX730" s="7" t="str">
        <f>IF('RFQ-Input'!S729="","",'RFQ-Input'!S729)</f>
        <v/>
      </c>
      <c r="AY730" s="7" t="str">
        <f>IF('RFQ-Input'!V729="","",'RFQ-Input'!V729)</f>
        <v/>
      </c>
      <c r="AZ730" s="7" t="str">
        <f>IF('RFQ-Input'!Y729="","",'RFQ-Input'!Y729)</f>
        <v/>
      </c>
      <c r="BA730" s="7" t="str">
        <f>IF('RFQ-Input'!AB729="","",'RFQ-Input'!AB729)</f>
        <v/>
      </c>
    </row>
    <row r="731" spans="1:53">
      <c r="A731" s="20">
        <v>727</v>
      </c>
      <c r="B731" s="7"/>
      <c r="C731" s="7" t="str">
        <f>IF('RFQ-Input'!C730="","",'RFQ-Input'!C730)</f>
        <v/>
      </c>
      <c r="D731" s="7" t="str">
        <f>IF('RFQ-Input'!D730="","",'RFQ-Input'!D730)</f>
        <v/>
      </c>
      <c r="E731" s="7" t="str">
        <f>IF('RFQ-Input'!E730="","",'RFQ-Input'!E730)</f>
        <v/>
      </c>
      <c r="F731" s="7" t="str">
        <f>IF('RFQ-Input'!F730="","",'RFQ-Input'!F730)</f>
        <v/>
      </c>
      <c r="G731" s="7" t="str">
        <f>IF('RFQ-Input'!G730="","",'RFQ-Input'!G730)</f>
        <v/>
      </c>
      <c r="H731" s="7" t="str">
        <f>IF('RFQ-Input'!H730="","",'RFQ-Input'!H730)</f>
        <v/>
      </c>
      <c r="I731" s="7" t="str">
        <f>IF('RFQ-Input'!I730="","",'RFQ-Input'!I730)</f>
        <v/>
      </c>
      <c r="J731" s="7" t="str">
        <f>IF('RFQ-Input'!J730="","",'RFQ-Input'!J730)</f>
        <v/>
      </c>
      <c r="K731" s="7" t="str">
        <f>IF('RFQ-Input'!K730="","",'RFQ-Input'!K730)</f>
        <v/>
      </c>
      <c r="L731" s="7" t="str">
        <f>IF('RFQ-Input'!L730="","",'RFQ-Input'!L730)</f>
        <v/>
      </c>
      <c r="M731" s="7" t="str">
        <f>IF('RFQ-Input'!M730="","",'RFQ-Input'!M730)</f>
        <v/>
      </c>
      <c r="N731" s="7" t="str">
        <f>IF('RFQ-Input'!N730="","",'RFQ-Input'!N730)</f>
        <v/>
      </c>
      <c r="O731" s="7" t="str">
        <f>IF('RFQ-Input'!O730="","",'RFQ-Input'!O730)</f>
        <v/>
      </c>
      <c r="Q731" s="7"/>
      <c r="R731" s="7"/>
      <c r="S731" s="7"/>
      <c r="T731" s="7"/>
      <c r="U731" s="7"/>
      <c r="V731" s="7"/>
      <c r="X731" s="7"/>
      <c r="Y731" s="7"/>
      <c r="Z731" s="7"/>
      <c r="AA731" s="7" t="str">
        <f t="shared" si="77"/>
        <v/>
      </c>
      <c r="AB731" s="7"/>
      <c r="AC731" s="7"/>
      <c r="AQ731" s="7" t="str">
        <f t="shared" si="78"/>
        <v/>
      </c>
      <c r="AR731" s="7" t="str">
        <f t="shared" si="79"/>
        <v/>
      </c>
      <c r="AS731" s="7" t="str">
        <f t="shared" si="80"/>
        <v/>
      </c>
      <c r="AT731" s="7" t="str">
        <f t="shared" si="81"/>
        <v/>
      </c>
      <c r="AU731" s="7" t="str">
        <f t="shared" si="82"/>
        <v/>
      </c>
      <c r="AV731" s="7" t="str">
        <f t="shared" si="83"/>
        <v/>
      </c>
      <c r="AW731" s="7" t="str">
        <f>IF('RFQ-Input'!O730="","",'RFQ-Input'!O730)</f>
        <v/>
      </c>
      <c r="AX731" s="7" t="str">
        <f>IF('RFQ-Input'!S730="","",'RFQ-Input'!S730)</f>
        <v/>
      </c>
      <c r="AY731" s="7" t="str">
        <f>IF('RFQ-Input'!V730="","",'RFQ-Input'!V730)</f>
        <v/>
      </c>
      <c r="AZ731" s="7" t="str">
        <f>IF('RFQ-Input'!Y730="","",'RFQ-Input'!Y730)</f>
        <v/>
      </c>
      <c r="BA731" s="7" t="str">
        <f>IF('RFQ-Input'!AB730="","",'RFQ-Input'!AB730)</f>
        <v/>
      </c>
    </row>
    <row r="732" spans="1:53">
      <c r="A732" s="20">
        <v>728</v>
      </c>
      <c r="B732" s="7"/>
      <c r="C732" s="7" t="str">
        <f>IF('RFQ-Input'!C731="","",'RFQ-Input'!C731)</f>
        <v/>
      </c>
      <c r="D732" s="7" t="str">
        <f>IF('RFQ-Input'!D731="","",'RFQ-Input'!D731)</f>
        <v/>
      </c>
      <c r="E732" s="7" t="str">
        <f>IF('RFQ-Input'!E731="","",'RFQ-Input'!E731)</f>
        <v/>
      </c>
      <c r="F732" s="7" t="str">
        <f>IF('RFQ-Input'!F731="","",'RFQ-Input'!F731)</f>
        <v/>
      </c>
      <c r="G732" s="7" t="str">
        <f>IF('RFQ-Input'!G731="","",'RFQ-Input'!G731)</f>
        <v/>
      </c>
      <c r="H732" s="7" t="str">
        <f>IF('RFQ-Input'!H731="","",'RFQ-Input'!H731)</f>
        <v/>
      </c>
      <c r="I732" s="7" t="str">
        <f>IF('RFQ-Input'!I731="","",'RFQ-Input'!I731)</f>
        <v/>
      </c>
      <c r="J732" s="7" t="str">
        <f>IF('RFQ-Input'!J731="","",'RFQ-Input'!J731)</f>
        <v/>
      </c>
      <c r="K732" s="7" t="str">
        <f>IF('RFQ-Input'!K731="","",'RFQ-Input'!K731)</f>
        <v/>
      </c>
      <c r="L732" s="7" t="str">
        <f>IF('RFQ-Input'!L731="","",'RFQ-Input'!L731)</f>
        <v/>
      </c>
      <c r="M732" s="7" t="str">
        <f>IF('RFQ-Input'!M731="","",'RFQ-Input'!M731)</f>
        <v/>
      </c>
      <c r="N732" s="7" t="str">
        <f>IF('RFQ-Input'!N731="","",'RFQ-Input'!N731)</f>
        <v/>
      </c>
      <c r="O732" s="7" t="str">
        <f>IF('RFQ-Input'!O731="","",'RFQ-Input'!O731)</f>
        <v/>
      </c>
      <c r="Q732" s="7"/>
      <c r="R732" s="7"/>
      <c r="S732" s="7"/>
      <c r="T732" s="7"/>
      <c r="U732" s="7"/>
      <c r="V732" s="7"/>
      <c r="X732" s="7"/>
      <c r="Y732" s="7"/>
      <c r="Z732" s="7"/>
      <c r="AA732" s="7" t="str">
        <f t="shared" si="77"/>
        <v/>
      </c>
      <c r="AB732" s="7"/>
      <c r="AC732" s="7"/>
      <c r="AQ732" s="7" t="str">
        <f t="shared" si="78"/>
        <v/>
      </c>
      <c r="AR732" s="7" t="str">
        <f t="shared" si="79"/>
        <v/>
      </c>
      <c r="AS732" s="7" t="str">
        <f t="shared" si="80"/>
        <v/>
      </c>
      <c r="AT732" s="7" t="str">
        <f t="shared" si="81"/>
        <v/>
      </c>
      <c r="AU732" s="7" t="str">
        <f t="shared" si="82"/>
        <v/>
      </c>
      <c r="AV732" s="7" t="str">
        <f t="shared" si="83"/>
        <v/>
      </c>
      <c r="AW732" s="7" t="str">
        <f>IF('RFQ-Input'!O731="","",'RFQ-Input'!O731)</f>
        <v/>
      </c>
      <c r="AX732" s="7" t="str">
        <f>IF('RFQ-Input'!S731="","",'RFQ-Input'!S731)</f>
        <v/>
      </c>
      <c r="AY732" s="7" t="str">
        <f>IF('RFQ-Input'!V731="","",'RFQ-Input'!V731)</f>
        <v/>
      </c>
      <c r="AZ732" s="7" t="str">
        <f>IF('RFQ-Input'!Y731="","",'RFQ-Input'!Y731)</f>
        <v/>
      </c>
      <c r="BA732" s="7" t="str">
        <f>IF('RFQ-Input'!AB731="","",'RFQ-Input'!AB731)</f>
        <v/>
      </c>
    </row>
    <row r="733" spans="1:53">
      <c r="A733" s="20">
        <v>729</v>
      </c>
      <c r="B733" s="7"/>
      <c r="C733" s="7" t="str">
        <f>IF('RFQ-Input'!C732="","",'RFQ-Input'!C732)</f>
        <v/>
      </c>
      <c r="D733" s="7" t="str">
        <f>IF('RFQ-Input'!D732="","",'RFQ-Input'!D732)</f>
        <v/>
      </c>
      <c r="E733" s="7" t="str">
        <f>IF('RFQ-Input'!E732="","",'RFQ-Input'!E732)</f>
        <v/>
      </c>
      <c r="F733" s="7" t="str">
        <f>IF('RFQ-Input'!F732="","",'RFQ-Input'!F732)</f>
        <v/>
      </c>
      <c r="G733" s="7" t="str">
        <f>IF('RFQ-Input'!G732="","",'RFQ-Input'!G732)</f>
        <v/>
      </c>
      <c r="H733" s="7" t="str">
        <f>IF('RFQ-Input'!H732="","",'RFQ-Input'!H732)</f>
        <v/>
      </c>
      <c r="I733" s="7" t="str">
        <f>IF('RFQ-Input'!I732="","",'RFQ-Input'!I732)</f>
        <v/>
      </c>
      <c r="J733" s="7" t="str">
        <f>IF('RFQ-Input'!J732="","",'RFQ-Input'!J732)</f>
        <v/>
      </c>
      <c r="K733" s="7" t="str">
        <f>IF('RFQ-Input'!K732="","",'RFQ-Input'!K732)</f>
        <v/>
      </c>
      <c r="L733" s="7" t="str">
        <f>IF('RFQ-Input'!L732="","",'RFQ-Input'!L732)</f>
        <v/>
      </c>
      <c r="M733" s="7" t="str">
        <f>IF('RFQ-Input'!M732="","",'RFQ-Input'!M732)</f>
        <v/>
      </c>
      <c r="N733" s="7" t="str">
        <f>IF('RFQ-Input'!N732="","",'RFQ-Input'!N732)</f>
        <v/>
      </c>
      <c r="O733" s="7" t="str">
        <f>IF('RFQ-Input'!O732="","",'RFQ-Input'!O732)</f>
        <v/>
      </c>
      <c r="Q733" s="7"/>
      <c r="R733" s="7"/>
      <c r="S733" s="7"/>
      <c r="T733" s="7"/>
      <c r="U733" s="7"/>
      <c r="V733" s="7"/>
      <c r="X733" s="7"/>
      <c r="Y733" s="7"/>
      <c r="Z733" s="7"/>
      <c r="AA733" s="7" t="str">
        <f t="shared" si="77"/>
        <v/>
      </c>
      <c r="AB733" s="7"/>
      <c r="AC733" s="7"/>
      <c r="AQ733" s="7" t="str">
        <f t="shared" si="78"/>
        <v/>
      </c>
      <c r="AR733" s="7" t="str">
        <f t="shared" si="79"/>
        <v/>
      </c>
      <c r="AS733" s="7" t="str">
        <f t="shared" si="80"/>
        <v/>
      </c>
      <c r="AT733" s="7" t="str">
        <f t="shared" si="81"/>
        <v/>
      </c>
      <c r="AU733" s="7" t="str">
        <f t="shared" si="82"/>
        <v/>
      </c>
      <c r="AV733" s="7" t="str">
        <f t="shared" si="83"/>
        <v/>
      </c>
      <c r="AW733" s="7" t="str">
        <f>IF('RFQ-Input'!O732="","",'RFQ-Input'!O732)</f>
        <v/>
      </c>
      <c r="AX733" s="7" t="str">
        <f>IF('RFQ-Input'!S732="","",'RFQ-Input'!S732)</f>
        <v/>
      </c>
      <c r="AY733" s="7" t="str">
        <f>IF('RFQ-Input'!V732="","",'RFQ-Input'!V732)</f>
        <v/>
      </c>
      <c r="AZ733" s="7" t="str">
        <f>IF('RFQ-Input'!Y732="","",'RFQ-Input'!Y732)</f>
        <v/>
      </c>
      <c r="BA733" s="7" t="str">
        <f>IF('RFQ-Input'!AB732="","",'RFQ-Input'!AB732)</f>
        <v/>
      </c>
    </row>
    <row r="734" spans="1:53">
      <c r="A734" s="20">
        <v>730</v>
      </c>
      <c r="B734" s="7"/>
      <c r="C734" s="7" t="str">
        <f>IF('RFQ-Input'!C733="","",'RFQ-Input'!C733)</f>
        <v/>
      </c>
      <c r="D734" s="7" t="str">
        <f>IF('RFQ-Input'!D733="","",'RFQ-Input'!D733)</f>
        <v/>
      </c>
      <c r="E734" s="7" t="str">
        <f>IF('RFQ-Input'!E733="","",'RFQ-Input'!E733)</f>
        <v/>
      </c>
      <c r="F734" s="7" t="str">
        <f>IF('RFQ-Input'!F733="","",'RFQ-Input'!F733)</f>
        <v/>
      </c>
      <c r="G734" s="7" t="str">
        <f>IF('RFQ-Input'!G733="","",'RFQ-Input'!G733)</f>
        <v/>
      </c>
      <c r="H734" s="7" t="str">
        <f>IF('RFQ-Input'!H733="","",'RFQ-Input'!H733)</f>
        <v/>
      </c>
      <c r="I734" s="7" t="str">
        <f>IF('RFQ-Input'!I733="","",'RFQ-Input'!I733)</f>
        <v/>
      </c>
      <c r="J734" s="7" t="str">
        <f>IF('RFQ-Input'!J733="","",'RFQ-Input'!J733)</f>
        <v/>
      </c>
      <c r="K734" s="7" t="str">
        <f>IF('RFQ-Input'!K733="","",'RFQ-Input'!K733)</f>
        <v/>
      </c>
      <c r="L734" s="7" t="str">
        <f>IF('RFQ-Input'!L733="","",'RFQ-Input'!L733)</f>
        <v/>
      </c>
      <c r="M734" s="7" t="str">
        <f>IF('RFQ-Input'!M733="","",'RFQ-Input'!M733)</f>
        <v/>
      </c>
      <c r="N734" s="7" t="str">
        <f>IF('RFQ-Input'!N733="","",'RFQ-Input'!N733)</f>
        <v/>
      </c>
      <c r="O734" s="7" t="str">
        <f>IF('RFQ-Input'!O733="","",'RFQ-Input'!O733)</f>
        <v/>
      </c>
      <c r="Q734" s="7"/>
      <c r="R734" s="7"/>
      <c r="S734" s="7"/>
      <c r="T734" s="7"/>
      <c r="U734" s="7"/>
      <c r="V734" s="7"/>
      <c r="X734" s="7"/>
      <c r="Y734" s="7"/>
      <c r="Z734" s="7"/>
      <c r="AA734" s="7" t="str">
        <f t="shared" si="77"/>
        <v/>
      </c>
      <c r="AB734" s="7"/>
      <c r="AC734" s="7"/>
      <c r="AQ734" s="7" t="str">
        <f t="shared" si="78"/>
        <v/>
      </c>
      <c r="AR734" s="7" t="str">
        <f t="shared" si="79"/>
        <v/>
      </c>
      <c r="AS734" s="7" t="str">
        <f t="shared" si="80"/>
        <v/>
      </c>
      <c r="AT734" s="7" t="str">
        <f t="shared" si="81"/>
        <v/>
      </c>
      <c r="AU734" s="7" t="str">
        <f t="shared" si="82"/>
        <v/>
      </c>
      <c r="AV734" s="7" t="str">
        <f t="shared" si="83"/>
        <v/>
      </c>
      <c r="AW734" s="7" t="str">
        <f>IF('RFQ-Input'!O733="","",'RFQ-Input'!O733)</f>
        <v/>
      </c>
      <c r="AX734" s="7" t="str">
        <f>IF('RFQ-Input'!S733="","",'RFQ-Input'!S733)</f>
        <v/>
      </c>
      <c r="AY734" s="7" t="str">
        <f>IF('RFQ-Input'!V733="","",'RFQ-Input'!V733)</f>
        <v/>
      </c>
      <c r="AZ734" s="7" t="str">
        <f>IF('RFQ-Input'!Y733="","",'RFQ-Input'!Y733)</f>
        <v/>
      </c>
      <c r="BA734" s="7" t="str">
        <f>IF('RFQ-Input'!AB733="","",'RFQ-Input'!AB733)</f>
        <v/>
      </c>
    </row>
    <row r="735" spans="1:53">
      <c r="A735" s="20">
        <v>731</v>
      </c>
      <c r="B735" s="7"/>
      <c r="C735" s="7" t="str">
        <f>IF('RFQ-Input'!C734="","",'RFQ-Input'!C734)</f>
        <v/>
      </c>
      <c r="D735" s="7" t="str">
        <f>IF('RFQ-Input'!D734="","",'RFQ-Input'!D734)</f>
        <v/>
      </c>
      <c r="E735" s="7" t="str">
        <f>IF('RFQ-Input'!E734="","",'RFQ-Input'!E734)</f>
        <v/>
      </c>
      <c r="F735" s="7" t="str">
        <f>IF('RFQ-Input'!F734="","",'RFQ-Input'!F734)</f>
        <v/>
      </c>
      <c r="G735" s="7" t="str">
        <f>IF('RFQ-Input'!G734="","",'RFQ-Input'!G734)</f>
        <v/>
      </c>
      <c r="H735" s="7" t="str">
        <f>IF('RFQ-Input'!H734="","",'RFQ-Input'!H734)</f>
        <v/>
      </c>
      <c r="I735" s="7" t="str">
        <f>IF('RFQ-Input'!I734="","",'RFQ-Input'!I734)</f>
        <v/>
      </c>
      <c r="J735" s="7" t="str">
        <f>IF('RFQ-Input'!J734="","",'RFQ-Input'!J734)</f>
        <v/>
      </c>
      <c r="K735" s="7" t="str">
        <f>IF('RFQ-Input'!K734="","",'RFQ-Input'!K734)</f>
        <v/>
      </c>
      <c r="L735" s="7" t="str">
        <f>IF('RFQ-Input'!L734="","",'RFQ-Input'!L734)</f>
        <v/>
      </c>
      <c r="M735" s="7" t="str">
        <f>IF('RFQ-Input'!M734="","",'RFQ-Input'!M734)</f>
        <v/>
      </c>
      <c r="N735" s="7" t="str">
        <f>IF('RFQ-Input'!N734="","",'RFQ-Input'!N734)</f>
        <v/>
      </c>
      <c r="O735" s="7" t="str">
        <f>IF('RFQ-Input'!O734="","",'RFQ-Input'!O734)</f>
        <v/>
      </c>
      <c r="Q735" s="7"/>
      <c r="R735" s="7"/>
      <c r="S735" s="7"/>
      <c r="T735" s="7"/>
      <c r="U735" s="7"/>
      <c r="V735" s="7"/>
      <c r="X735" s="7"/>
      <c r="Y735" s="7"/>
      <c r="Z735" s="7"/>
      <c r="AA735" s="7" t="str">
        <f t="shared" si="77"/>
        <v/>
      </c>
      <c r="AB735" s="7"/>
      <c r="AC735" s="7"/>
      <c r="AQ735" s="7" t="str">
        <f t="shared" si="78"/>
        <v/>
      </c>
      <c r="AR735" s="7" t="str">
        <f t="shared" si="79"/>
        <v/>
      </c>
      <c r="AS735" s="7" t="str">
        <f t="shared" si="80"/>
        <v/>
      </c>
      <c r="AT735" s="7" t="str">
        <f t="shared" si="81"/>
        <v/>
      </c>
      <c r="AU735" s="7" t="str">
        <f t="shared" si="82"/>
        <v/>
      </c>
      <c r="AV735" s="7" t="str">
        <f t="shared" si="83"/>
        <v/>
      </c>
      <c r="AW735" s="7" t="str">
        <f>IF('RFQ-Input'!O734="","",'RFQ-Input'!O734)</f>
        <v/>
      </c>
      <c r="AX735" s="7" t="str">
        <f>IF('RFQ-Input'!S734="","",'RFQ-Input'!S734)</f>
        <v/>
      </c>
      <c r="AY735" s="7" t="str">
        <f>IF('RFQ-Input'!V734="","",'RFQ-Input'!V734)</f>
        <v/>
      </c>
      <c r="AZ735" s="7" t="str">
        <f>IF('RFQ-Input'!Y734="","",'RFQ-Input'!Y734)</f>
        <v/>
      </c>
      <c r="BA735" s="7" t="str">
        <f>IF('RFQ-Input'!AB734="","",'RFQ-Input'!AB734)</f>
        <v/>
      </c>
    </row>
    <row r="736" spans="1:53">
      <c r="A736" s="20">
        <v>732</v>
      </c>
      <c r="B736" s="7"/>
      <c r="C736" s="7" t="str">
        <f>IF('RFQ-Input'!C735="","",'RFQ-Input'!C735)</f>
        <v/>
      </c>
      <c r="D736" s="7" t="str">
        <f>IF('RFQ-Input'!D735="","",'RFQ-Input'!D735)</f>
        <v/>
      </c>
      <c r="E736" s="7" t="str">
        <f>IF('RFQ-Input'!E735="","",'RFQ-Input'!E735)</f>
        <v/>
      </c>
      <c r="F736" s="7" t="str">
        <f>IF('RFQ-Input'!F735="","",'RFQ-Input'!F735)</f>
        <v/>
      </c>
      <c r="G736" s="7" t="str">
        <f>IF('RFQ-Input'!G735="","",'RFQ-Input'!G735)</f>
        <v/>
      </c>
      <c r="H736" s="7" t="str">
        <f>IF('RFQ-Input'!H735="","",'RFQ-Input'!H735)</f>
        <v/>
      </c>
      <c r="I736" s="7" t="str">
        <f>IF('RFQ-Input'!I735="","",'RFQ-Input'!I735)</f>
        <v/>
      </c>
      <c r="J736" s="7" t="str">
        <f>IF('RFQ-Input'!J735="","",'RFQ-Input'!J735)</f>
        <v/>
      </c>
      <c r="K736" s="7" t="str">
        <f>IF('RFQ-Input'!K735="","",'RFQ-Input'!K735)</f>
        <v/>
      </c>
      <c r="L736" s="7" t="str">
        <f>IF('RFQ-Input'!L735="","",'RFQ-Input'!L735)</f>
        <v/>
      </c>
      <c r="M736" s="7" t="str">
        <f>IF('RFQ-Input'!M735="","",'RFQ-Input'!M735)</f>
        <v/>
      </c>
      <c r="N736" s="7" t="str">
        <f>IF('RFQ-Input'!N735="","",'RFQ-Input'!N735)</f>
        <v/>
      </c>
      <c r="O736" s="7" t="str">
        <f>IF('RFQ-Input'!O735="","",'RFQ-Input'!O735)</f>
        <v/>
      </c>
      <c r="Q736" s="7"/>
      <c r="R736" s="7"/>
      <c r="S736" s="7"/>
      <c r="T736" s="7"/>
      <c r="U736" s="7"/>
      <c r="V736" s="7"/>
      <c r="X736" s="7"/>
      <c r="Y736" s="7"/>
      <c r="Z736" s="7"/>
      <c r="AA736" s="7" t="str">
        <f t="shared" si="77"/>
        <v/>
      </c>
      <c r="AB736" s="7"/>
      <c r="AC736" s="7"/>
      <c r="AQ736" s="7" t="str">
        <f t="shared" si="78"/>
        <v/>
      </c>
      <c r="AR736" s="7" t="str">
        <f t="shared" si="79"/>
        <v/>
      </c>
      <c r="AS736" s="7" t="str">
        <f t="shared" si="80"/>
        <v/>
      </c>
      <c r="AT736" s="7" t="str">
        <f t="shared" si="81"/>
        <v/>
      </c>
      <c r="AU736" s="7" t="str">
        <f t="shared" si="82"/>
        <v/>
      </c>
      <c r="AV736" s="7" t="str">
        <f t="shared" si="83"/>
        <v/>
      </c>
      <c r="AW736" s="7" t="str">
        <f>IF('RFQ-Input'!O735="","",'RFQ-Input'!O735)</f>
        <v/>
      </c>
      <c r="AX736" s="7" t="str">
        <f>IF('RFQ-Input'!S735="","",'RFQ-Input'!S735)</f>
        <v/>
      </c>
      <c r="AY736" s="7" t="str">
        <f>IF('RFQ-Input'!V735="","",'RFQ-Input'!V735)</f>
        <v/>
      </c>
      <c r="AZ736" s="7" t="str">
        <f>IF('RFQ-Input'!Y735="","",'RFQ-Input'!Y735)</f>
        <v/>
      </c>
      <c r="BA736" s="7" t="str">
        <f>IF('RFQ-Input'!AB735="","",'RFQ-Input'!AB735)</f>
        <v/>
      </c>
    </row>
    <row r="737" spans="1:53">
      <c r="A737" s="20">
        <v>733</v>
      </c>
      <c r="B737" s="7"/>
      <c r="C737" s="7" t="str">
        <f>IF('RFQ-Input'!C736="","",'RFQ-Input'!C736)</f>
        <v/>
      </c>
      <c r="D737" s="7" t="str">
        <f>IF('RFQ-Input'!D736="","",'RFQ-Input'!D736)</f>
        <v/>
      </c>
      <c r="E737" s="7" t="str">
        <f>IF('RFQ-Input'!E736="","",'RFQ-Input'!E736)</f>
        <v/>
      </c>
      <c r="F737" s="7" t="str">
        <f>IF('RFQ-Input'!F736="","",'RFQ-Input'!F736)</f>
        <v/>
      </c>
      <c r="G737" s="7" t="str">
        <f>IF('RFQ-Input'!G736="","",'RFQ-Input'!G736)</f>
        <v/>
      </c>
      <c r="H737" s="7" t="str">
        <f>IF('RFQ-Input'!H736="","",'RFQ-Input'!H736)</f>
        <v/>
      </c>
      <c r="I737" s="7" t="str">
        <f>IF('RFQ-Input'!I736="","",'RFQ-Input'!I736)</f>
        <v/>
      </c>
      <c r="J737" s="7" t="str">
        <f>IF('RFQ-Input'!J736="","",'RFQ-Input'!J736)</f>
        <v/>
      </c>
      <c r="K737" s="7" t="str">
        <f>IF('RFQ-Input'!K736="","",'RFQ-Input'!K736)</f>
        <v/>
      </c>
      <c r="L737" s="7" t="str">
        <f>IF('RFQ-Input'!L736="","",'RFQ-Input'!L736)</f>
        <v/>
      </c>
      <c r="M737" s="7" t="str">
        <f>IF('RFQ-Input'!M736="","",'RFQ-Input'!M736)</f>
        <v/>
      </c>
      <c r="N737" s="7" t="str">
        <f>IF('RFQ-Input'!N736="","",'RFQ-Input'!N736)</f>
        <v/>
      </c>
      <c r="O737" s="7" t="str">
        <f>IF('RFQ-Input'!O736="","",'RFQ-Input'!O736)</f>
        <v/>
      </c>
      <c r="Q737" s="7"/>
      <c r="R737" s="7"/>
      <c r="S737" s="7"/>
      <c r="T737" s="7"/>
      <c r="U737" s="7"/>
      <c r="V737" s="7"/>
      <c r="X737" s="7"/>
      <c r="Y737" s="7"/>
      <c r="Z737" s="7"/>
      <c r="AA737" s="7" t="str">
        <f t="shared" si="77"/>
        <v/>
      </c>
      <c r="AB737" s="7"/>
      <c r="AC737" s="7"/>
      <c r="AQ737" s="7" t="str">
        <f t="shared" si="78"/>
        <v/>
      </c>
      <c r="AR737" s="7" t="str">
        <f t="shared" si="79"/>
        <v/>
      </c>
      <c r="AS737" s="7" t="str">
        <f t="shared" si="80"/>
        <v/>
      </c>
      <c r="AT737" s="7" t="str">
        <f t="shared" si="81"/>
        <v/>
      </c>
      <c r="AU737" s="7" t="str">
        <f t="shared" si="82"/>
        <v/>
      </c>
      <c r="AV737" s="7" t="str">
        <f t="shared" si="83"/>
        <v/>
      </c>
      <c r="AW737" s="7" t="str">
        <f>IF('RFQ-Input'!O736="","",'RFQ-Input'!O736)</f>
        <v/>
      </c>
      <c r="AX737" s="7" t="str">
        <f>IF('RFQ-Input'!S736="","",'RFQ-Input'!S736)</f>
        <v/>
      </c>
      <c r="AY737" s="7" t="str">
        <f>IF('RFQ-Input'!V736="","",'RFQ-Input'!V736)</f>
        <v/>
      </c>
      <c r="AZ737" s="7" t="str">
        <f>IF('RFQ-Input'!Y736="","",'RFQ-Input'!Y736)</f>
        <v/>
      </c>
      <c r="BA737" s="7" t="str">
        <f>IF('RFQ-Input'!AB736="","",'RFQ-Input'!AB736)</f>
        <v/>
      </c>
    </row>
    <row r="738" spans="1:53">
      <c r="A738" s="20">
        <v>734</v>
      </c>
      <c r="B738" s="7"/>
      <c r="C738" s="7" t="str">
        <f>IF('RFQ-Input'!C737="","",'RFQ-Input'!C737)</f>
        <v/>
      </c>
      <c r="D738" s="7" t="str">
        <f>IF('RFQ-Input'!D737="","",'RFQ-Input'!D737)</f>
        <v/>
      </c>
      <c r="E738" s="7" t="str">
        <f>IF('RFQ-Input'!E737="","",'RFQ-Input'!E737)</f>
        <v/>
      </c>
      <c r="F738" s="7" t="str">
        <f>IF('RFQ-Input'!F737="","",'RFQ-Input'!F737)</f>
        <v/>
      </c>
      <c r="G738" s="7" t="str">
        <f>IF('RFQ-Input'!G737="","",'RFQ-Input'!G737)</f>
        <v/>
      </c>
      <c r="H738" s="7" t="str">
        <f>IF('RFQ-Input'!H737="","",'RFQ-Input'!H737)</f>
        <v/>
      </c>
      <c r="I738" s="7" t="str">
        <f>IF('RFQ-Input'!I737="","",'RFQ-Input'!I737)</f>
        <v/>
      </c>
      <c r="J738" s="7" t="str">
        <f>IF('RFQ-Input'!J737="","",'RFQ-Input'!J737)</f>
        <v/>
      </c>
      <c r="K738" s="7" t="str">
        <f>IF('RFQ-Input'!K737="","",'RFQ-Input'!K737)</f>
        <v/>
      </c>
      <c r="L738" s="7" t="str">
        <f>IF('RFQ-Input'!L737="","",'RFQ-Input'!L737)</f>
        <v/>
      </c>
      <c r="M738" s="7" t="str">
        <f>IF('RFQ-Input'!M737="","",'RFQ-Input'!M737)</f>
        <v/>
      </c>
      <c r="N738" s="7" t="str">
        <f>IF('RFQ-Input'!N737="","",'RFQ-Input'!N737)</f>
        <v/>
      </c>
      <c r="O738" s="7" t="str">
        <f>IF('RFQ-Input'!O737="","",'RFQ-Input'!O737)</f>
        <v/>
      </c>
      <c r="Q738" s="7"/>
      <c r="R738" s="7"/>
      <c r="S738" s="7"/>
      <c r="T738" s="7"/>
      <c r="U738" s="7"/>
      <c r="V738" s="7"/>
      <c r="X738" s="7"/>
      <c r="Y738" s="7"/>
      <c r="Z738" s="7"/>
      <c r="AA738" s="7" t="str">
        <f t="shared" si="77"/>
        <v/>
      </c>
      <c r="AB738" s="7"/>
      <c r="AC738" s="7"/>
      <c r="AQ738" s="7" t="str">
        <f t="shared" si="78"/>
        <v/>
      </c>
      <c r="AR738" s="7" t="str">
        <f t="shared" si="79"/>
        <v/>
      </c>
      <c r="AS738" s="7" t="str">
        <f t="shared" si="80"/>
        <v/>
      </c>
      <c r="AT738" s="7" t="str">
        <f t="shared" si="81"/>
        <v/>
      </c>
      <c r="AU738" s="7" t="str">
        <f t="shared" si="82"/>
        <v/>
      </c>
      <c r="AV738" s="7" t="str">
        <f t="shared" si="83"/>
        <v/>
      </c>
      <c r="AW738" s="7" t="str">
        <f>IF('RFQ-Input'!O737="","",'RFQ-Input'!O737)</f>
        <v/>
      </c>
      <c r="AX738" s="7" t="str">
        <f>IF('RFQ-Input'!S737="","",'RFQ-Input'!S737)</f>
        <v/>
      </c>
      <c r="AY738" s="7" t="str">
        <f>IF('RFQ-Input'!V737="","",'RFQ-Input'!V737)</f>
        <v/>
      </c>
      <c r="AZ738" s="7" t="str">
        <f>IF('RFQ-Input'!Y737="","",'RFQ-Input'!Y737)</f>
        <v/>
      </c>
      <c r="BA738" s="7" t="str">
        <f>IF('RFQ-Input'!AB737="","",'RFQ-Input'!AB737)</f>
        <v/>
      </c>
    </row>
    <row r="739" spans="1:53">
      <c r="A739" s="20">
        <v>735</v>
      </c>
      <c r="B739" s="7"/>
      <c r="C739" s="7" t="str">
        <f>IF('RFQ-Input'!C738="","",'RFQ-Input'!C738)</f>
        <v/>
      </c>
      <c r="D739" s="7" t="str">
        <f>IF('RFQ-Input'!D738="","",'RFQ-Input'!D738)</f>
        <v/>
      </c>
      <c r="E739" s="7" t="str">
        <f>IF('RFQ-Input'!E738="","",'RFQ-Input'!E738)</f>
        <v/>
      </c>
      <c r="F739" s="7" t="str">
        <f>IF('RFQ-Input'!F738="","",'RFQ-Input'!F738)</f>
        <v/>
      </c>
      <c r="G739" s="7" t="str">
        <f>IF('RFQ-Input'!G738="","",'RFQ-Input'!G738)</f>
        <v/>
      </c>
      <c r="H739" s="7" t="str">
        <f>IF('RFQ-Input'!H738="","",'RFQ-Input'!H738)</f>
        <v/>
      </c>
      <c r="I739" s="7" t="str">
        <f>IF('RFQ-Input'!I738="","",'RFQ-Input'!I738)</f>
        <v/>
      </c>
      <c r="J739" s="7" t="str">
        <f>IF('RFQ-Input'!J738="","",'RFQ-Input'!J738)</f>
        <v/>
      </c>
      <c r="K739" s="7" t="str">
        <f>IF('RFQ-Input'!K738="","",'RFQ-Input'!K738)</f>
        <v/>
      </c>
      <c r="L739" s="7" t="str">
        <f>IF('RFQ-Input'!L738="","",'RFQ-Input'!L738)</f>
        <v/>
      </c>
      <c r="M739" s="7" t="str">
        <f>IF('RFQ-Input'!M738="","",'RFQ-Input'!M738)</f>
        <v/>
      </c>
      <c r="N739" s="7" t="str">
        <f>IF('RFQ-Input'!N738="","",'RFQ-Input'!N738)</f>
        <v/>
      </c>
      <c r="O739" s="7" t="str">
        <f>IF('RFQ-Input'!O738="","",'RFQ-Input'!O738)</f>
        <v/>
      </c>
      <c r="Q739" s="7"/>
      <c r="R739" s="7"/>
      <c r="S739" s="7"/>
      <c r="T739" s="7"/>
      <c r="U739" s="7"/>
      <c r="V739" s="7"/>
      <c r="X739" s="7"/>
      <c r="Y739" s="7"/>
      <c r="Z739" s="7"/>
      <c r="AA739" s="7" t="str">
        <f t="shared" si="77"/>
        <v/>
      </c>
      <c r="AB739" s="7"/>
      <c r="AC739" s="7"/>
      <c r="AQ739" s="7" t="str">
        <f t="shared" si="78"/>
        <v/>
      </c>
      <c r="AR739" s="7" t="str">
        <f t="shared" si="79"/>
        <v/>
      </c>
      <c r="AS739" s="7" t="str">
        <f t="shared" si="80"/>
        <v/>
      </c>
      <c r="AT739" s="7" t="str">
        <f t="shared" si="81"/>
        <v/>
      </c>
      <c r="AU739" s="7" t="str">
        <f t="shared" si="82"/>
        <v/>
      </c>
      <c r="AV739" s="7" t="str">
        <f t="shared" si="83"/>
        <v/>
      </c>
      <c r="AW739" s="7" t="str">
        <f>IF('RFQ-Input'!O738="","",'RFQ-Input'!O738)</f>
        <v/>
      </c>
      <c r="AX739" s="7" t="str">
        <f>IF('RFQ-Input'!S738="","",'RFQ-Input'!S738)</f>
        <v/>
      </c>
      <c r="AY739" s="7" t="str">
        <f>IF('RFQ-Input'!V738="","",'RFQ-Input'!V738)</f>
        <v/>
      </c>
      <c r="AZ739" s="7" t="str">
        <f>IF('RFQ-Input'!Y738="","",'RFQ-Input'!Y738)</f>
        <v/>
      </c>
      <c r="BA739" s="7" t="str">
        <f>IF('RFQ-Input'!AB738="","",'RFQ-Input'!AB738)</f>
        <v/>
      </c>
    </row>
    <row r="740" spans="1:53">
      <c r="A740" s="20">
        <v>736</v>
      </c>
      <c r="B740" s="7"/>
      <c r="C740" s="7" t="str">
        <f>IF('RFQ-Input'!C739="","",'RFQ-Input'!C739)</f>
        <v/>
      </c>
      <c r="D740" s="7" t="str">
        <f>IF('RFQ-Input'!D739="","",'RFQ-Input'!D739)</f>
        <v/>
      </c>
      <c r="E740" s="7" t="str">
        <f>IF('RFQ-Input'!E739="","",'RFQ-Input'!E739)</f>
        <v/>
      </c>
      <c r="F740" s="7" t="str">
        <f>IF('RFQ-Input'!F739="","",'RFQ-Input'!F739)</f>
        <v/>
      </c>
      <c r="G740" s="7" t="str">
        <f>IF('RFQ-Input'!G739="","",'RFQ-Input'!G739)</f>
        <v/>
      </c>
      <c r="H740" s="7" t="str">
        <f>IF('RFQ-Input'!H739="","",'RFQ-Input'!H739)</f>
        <v/>
      </c>
      <c r="I740" s="7" t="str">
        <f>IF('RFQ-Input'!I739="","",'RFQ-Input'!I739)</f>
        <v/>
      </c>
      <c r="J740" s="7" t="str">
        <f>IF('RFQ-Input'!J739="","",'RFQ-Input'!J739)</f>
        <v/>
      </c>
      <c r="K740" s="7" t="str">
        <f>IF('RFQ-Input'!K739="","",'RFQ-Input'!K739)</f>
        <v/>
      </c>
      <c r="L740" s="7" t="str">
        <f>IF('RFQ-Input'!L739="","",'RFQ-Input'!L739)</f>
        <v/>
      </c>
      <c r="M740" s="7" t="str">
        <f>IF('RFQ-Input'!M739="","",'RFQ-Input'!M739)</f>
        <v/>
      </c>
      <c r="N740" s="7" t="str">
        <f>IF('RFQ-Input'!N739="","",'RFQ-Input'!N739)</f>
        <v/>
      </c>
      <c r="O740" s="7" t="str">
        <f>IF('RFQ-Input'!O739="","",'RFQ-Input'!O739)</f>
        <v/>
      </c>
      <c r="Q740" s="7"/>
      <c r="R740" s="7"/>
      <c r="S740" s="7"/>
      <c r="T740" s="7"/>
      <c r="U740" s="7"/>
      <c r="V740" s="7"/>
      <c r="X740" s="7"/>
      <c r="Y740" s="7"/>
      <c r="Z740" s="7"/>
      <c r="AA740" s="7" t="str">
        <f t="shared" si="77"/>
        <v/>
      </c>
      <c r="AB740" s="7"/>
      <c r="AC740" s="7"/>
      <c r="AQ740" s="7" t="str">
        <f t="shared" si="78"/>
        <v/>
      </c>
      <c r="AR740" s="7" t="str">
        <f t="shared" si="79"/>
        <v/>
      </c>
      <c r="AS740" s="7" t="str">
        <f t="shared" si="80"/>
        <v/>
      </c>
      <c r="AT740" s="7" t="str">
        <f t="shared" si="81"/>
        <v/>
      </c>
      <c r="AU740" s="7" t="str">
        <f t="shared" si="82"/>
        <v/>
      </c>
      <c r="AV740" s="7" t="str">
        <f t="shared" si="83"/>
        <v/>
      </c>
      <c r="AW740" s="7" t="str">
        <f>IF('RFQ-Input'!O739="","",'RFQ-Input'!O739)</f>
        <v/>
      </c>
      <c r="AX740" s="7" t="str">
        <f>IF('RFQ-Input'!S739="","",'RFQ-Input'!S739)</f>
        <v/>
      </c>
      <c r="AY740" s="7" t="str">
        <f>IF('RFQ-Input'!V739="","",'RFQ-Input'!V739)</f>
        <v/>
      </c>
      <c r="AZ740" s="7" t="str">
        <f>IF('RFQ-Input'!Y739="","",'RFQ-Input'!Y739)</f>
        <v/>
      </c>
      <c r="BA740" s="7" t="str">
        <f>IF('RFQ-Input'!AB739="","",'RFQ-Input'!AB739)</f>
        <v/>
      </c>
    </row>
    <row r="741" spans="1:53">
      <c r="A741" s="20">
        <v>737</v>
      </c>
      <c r="B741" s="7"/>
      <c r="C741" s="7" t="str">
        <f>IF('RFQ-Input'!C740="","",'RFQ-Input'!C740)</f>
        <v/>
      </c>
      <c r="D741" s="7" t="str">
        <f>IF('RFQ-Input'!D740="","",'RFQ-Input'!D740)</f>
        <v/>
      </c>
      <c r="E741" s="7" t="str">
        <f>IF('RFQ-Input'!E740="","",'RFQ-Input'!E740)</f>
        <v/>
      </c>
      <c r="F741" s="7" t="str">
        <f>IF('RFQ-Input'!F740="","",'RFQ-Input'!F740)</f>
        <v/>
      </c>
      <c r="G741" s="7" t="str">
        <f>IF('RFQ-Input'!G740="","",'RFQ-Input'!G740)</f>
        <v/>
      </c>
      <c r="H741" s="7" t="str">
        <f>IF('RFQ-Input'!H740="","",'RFQ-Input'!H740)</f>
        <v/>
      </c>
      <c r="I741" s="7" t="str">
        <f>IF('RFQ-Input'!I740="","",'RFQ-Input'!I740)</f>
        <v/>
      </c>
      <c r="J741" s="7" t="str">
        <f>IF('RFQ-Input'!J740="","",'RFQ-Input'!J740)</f>
        <v/>
      </c>
      <c r="K741" s="7" t="str">
        <f>IF('RFQ-Input'!K740="","",'RFQ-Input'!K740)</f>
        <v/>
      </c>
      <c r="L741" s="7" t="str">
        <f>IF('RFQ-Input'!L740="","",'RFQ-Input'!L740)</f>
        <v/>
      </c>
      <c r="M741" s="7" t="str">
        <f>IF('RFQ-Input'!M740="","",'RFQ-Input'!M740)</f>
        <v/>
      </c>
      <c r="N741" s="7" t="str">
        <f>IF('RFQ-Input'!N740="","",'RFQ-Input'!N740)</f>
        <v/>
      </c>
      <c r="O741" s="7" t="str">
        <f>IF('RFQ-Input'!O740="","",'RFQ-Input'!O740)</f>
        <v/>
      </c>
      <c r="Q741" s="7"/>
      <c r="R741" s="7"/>
      <c r="S741" s="7"/>
      <c r="T741" s="7"/>
      <c r="U741" s="7"/>
      <c r="V741" s="7"/>
      <c r="X741" s="7"/>
      <c r="Y741" s="7"/>
      <c r="Z741" s="7"/>
      <c r="AA741" s="7" t="str">
        <f t="shared" si="77"/>
        <v/>
      </c>
      <c r="AB741" s="7"/>
      <c r="AC741" s="7"/>
      <c r="AQ741" s="7" t="str">
        <f t="shared" si="78"/>
        <v/>
      </c>
      <c r="AR741" s="7" t="str">
        <f t="shared" si="79"/>
        <v/>
      </c>
      <c r="AS741" s="7" t="str">
        <f t="shared" si="80"/>
        <v/>
      </c>
      <c r="AT741" s="7" t="str">
        <f t="shared" si="81"/>
        <v/>
      </c>
      <c r="AU741" s="7" t="str">
        <f t="shared" si="82"/>
        <v/>
      </c>
      <c r="AV741" s="7" t="str">
        <f t="shared" si="83"/>
        <v/>
      </c>
      <c r="AW741" s="7" t="str">
        <f>IF('RFQ-Input'!O740="","",'RFQ-Input'!O740)</f>
        <v/>
      </c>
      <c r="AX741" s="7" t="str">
        <f>IF('RFQ-Input'!S740="","",'RFQ-Input'!S740)</f>
        <v/>
      </c>
      <c r="AY741" s="7" t="str">
        <f>IF('RFQ-Input'!V740="","",'RFQ-Input'!V740)</f>
        <v/>
      </c>
      <c r="AZ741" s="7" t="str">
        <f>IF('RFQ-Input'!Y740="","",'RFQ-Input'!Y740)</f>
        <v/>
      </c>
      <c r="BA741" s="7" t="str">
        <f>IF('RFQ-Input'!AB740="","",'RFQ-Input'!AB740)</f>
        <v/>
      </c>
    </row>
    <row r="742" spans="1:53">
      <c r="A742" s="20">
        <v>738</v>
      </c>
      <c r="B742" s="7"/>
      <c r="C742" s="7" t="str">
        <f>IF('RFQ-Input'!C741="","",'RFQ-Input'!C741)</f>
        <v/>
      </c>
      <c r="D742" s="7" t="str">
        <f>IF('RFQ-Input'!D741="","",'RFQ-Input'!D741)</f>
        <v/>
      </c>
      <c r="E742" s="7" t="str">
        <f>IF('RFQ-Input'!E741="","",'RFQ-Input'!E741)</f>
        <v/>
      </c>
      <c r="F742" s="7" t="str">
        <f>IF('RFQ-Input'!F741="","",'RFQ-Input'!F741)</f>
        <v/>
      </c>
      <c r="G742" s="7" t="str">
        <f>IF('RFQ-Input'!G741="","",'RFQ-Input'!G741)</f>
        <v/>
      </c>
      <c r="H742" s="7" t="str">
        <f>IF('RFQ-Input'!H741="","",'RFQ-Input'!H741)</f>
        <v/>
      </c>
      <c r="I742" s="7" t="str">
        <f>IF('RFQ-Input'!I741="","",'RFQ-Input'!I741)</f>
        <v/>
      </c>
      <c r="J742" s="7" t="str">
        <f>IF('RFQ-Input'!J741="","",'RFQ-Input'!J741)</f>
        <v/>
      </c>
      <c r="K742" s="7" t="str">
        <f>IF('RFQ-Input'!K741="","",'RFQ-Input'!K741)</f>
        <v/>
      </c>
      <c r="L742" s="7" t="str">
        <f>IF('RFQ-Input'!L741="","",'RFQ-Input'!L741)</f>
        <v/>
      </c>
      <c r="M742" s="7" t="str">
        <f>IF('RFQ-Input'!M741="","",'RFQ-Input'!M741)</f>
        <v/>
      </c>
      <c r="N742" s="7" t="str">
        <f>IF('RFQ-Input'!N741="","",'RFQ-Input'!N741)</f>
        <v/>
      </c>
      <c r="O742" s="7" t="str">
        <f>IF('RFQ-Input'!O741="","",'RFQ-Input'!O741)</f>
        <v/>
      </c>
      <c r="Q742" s="7"/>
      <c r="R742" s="7"/>
      <c r="S742" s="7"/>
      <c r="T742" s="7"/>
      <c r="U742" s="7"/>
      <c r="V742" s="7"/>
      <c r="X742" s="7"/>
      <c r="Y742" s="7"/>
      <c r="Z742" s="7"/>
      <c r="AA742" s="7" t="str">
        <f t="shared" si="77"/>
        <v/>
      </c>
      <c r="AB742" s="7"/>
      <c r="AC742" s="7"/>
      <c r="AQ742" s="7" t="str">
        <f t="shared" si="78"/>
        <v/>
      </c>
      <c r="AR742" s="7" t="str">
        <f t="shared" si="79"/>
        <v/>
      </c>
      <c r="AS742" s="7" t="str">
        <f t="shared" si="80"/>
        <v/>
      </c>
      <c r="AT742" s="7" t="str">
        <f t="shared" si="81"/>
        <v/>
      </c>
      <c r="AU742" s="7" t="str">
        <f t="shared" si="82"/>
        <v/>
      </c>
      <c r="AV742" s="7" t="str">
        <f t="shared" si="83"/>
        <v/>
      </c>
      <c r="AW742" s="7" t="str">
        <f>IF('RFQ-Input'!O741="","",'RFQ-Input'!O741)</f>
        <v/>
      </c>
      <c r="AX742" s="7" t="str">
        <f>IF('RFQ-Input'!S741="","",'RFQ-Input'!S741)</f>
        <v/>
      </c>
      <c r="AY742" s="7" t="str">
        <f>IF('RFQ-Input'!V741="","",'RFQ-Input'!V741)</f>
        <v/>
      </c>
      <c r="AZ742" s="7" t="str">
        <f>IF('RFQ-Input'!Y741="","",'RFQ-Input'!Y741)</f>
        <v/>
      </c>
      <c r="BA742" s="7" t="str">
        <f>IF('RFQ-Input'!AB741="","",'RFQ-Input'!AB741)</f>
        <v/>
      </c>
    </row>
    <row r="743" spans="1:53">
      <c r="A743" s="20">
        <v>739</v>
      </c>
      <c r="B743" s="7"/>
      <c r="C743" s="7" t="str">
        <f>IF('RFQ-Input'!C742="","",'RFQ-Input'!C742)</f>
        <v/>
      </c>
      <c r="D743" s="7" t="str">
        <f>IF('RFQ-Input'!D742="","",'RFQ-Input'!D742)</f>
        <v/>
      </c>
      <c r="E743" s="7" t="str">
        <f>IF('RFQ-Input'!E742="","",'RFQ-Input'!E742)</f>
        <v/>
      </c>
      <c r="F743" s="7" t="str">
        <f>IF('RFQ-Input'!F742="","",'RFQ-Input'!F742)</f>
        <v/>
      </c>
      <c r="G743" s="7" t="str">
        <f>IF('RFQ-Input'!G742="","",'RFQ-Input'!G742)</f>
        <v/>
      </c>
      <c r="H743" s="7" t="str">
        <f>IF('RFQ-Input'!H742="","",'RFQ-Input'!H742)</f>
        <v/>
      </c>
      <c r="I743" s="7" t="str">
        <f>IF('RFQ-Input'!I742="","",'RFQ-Input'!I742)</f>
        <v/>
      </c>
      <c r="J743" s="7" t="str">
        <f>IF('RFQ-Input'!J742="","",'RFQ-Input'!J742)</f>
        <v/>
      </c>
      <c r="K743" s="7" t="str">
        <f>IF('RFQ-Input'!K742="","",'RFQ-Input'!K742)</f>
        <v/>
      </c>
      <c r="L743" s="7" t="str">
        <f>IF('RFQ-Input'!L742="","",'RFQ-Input'!L742)</f>
        <v/>
      </c>
      <c r="M743" s="7" t="str">
        <f>IF('RFQ-Input'!M742="","",'RFQ-Input'!M742)</f>
        <v/>
      </c>
      <c r="N743" s="7" t="str">
        <f>IF('RFQ-Input'!N742="","",'RFQ-Input'!N742)</f>
        <v/>
      </c>
      <c r="O743" s="7" t="str">
        <f>IF('RFQ-Input'!O742="","",'RFQ-Input'!O742)</f>
        <v/>
      </c>
      <c r="Q743" s="7"/>
      <c r="R743" s="7"/>
      <c r="S743" s="7"/>
      <c r="T743" s="7"/>
      <c r="U743" s="7"/>
      <c r="V743" s="7"/>
      <c r="X743" s="7"/>
      <c r="Y743" s="7"/>
      <c r="Z743" s="7"/>
      <c r="AA743" s="7" t="str">
        <f t="shared" si="77"/>
        <v/>
      </c>
      <c r="AB743" s="7"/>
      <c r="AC743" s="7"/>
      <c r="AQ743" s="7" t="str">
        <f t="shared" si="78"/>
        <v/>
      </c>
      <c r="AR743" s="7" t="str">
        <f t="shared" si="79"/>
        <v/>
      </c>
      <c r="AS743" s="7" t="str">
        <f t="shared" si="80"/>
        <v/>
      </c>
      <c r="AT743" s="7" t="str">
        <f t="shared" si="81"/>
        <v/>
      </c>
      <c r="AU743" s="7" t="str">
        <f t="shared" si="82"/>
        <v/>
      </c>
      <c r="AV743" s="7" t="str">
        <f t="shared" si="83"/>
        <v/>
      </c>
      <c r="AW743" s="7" t="str">
        <f>IF('RFQ-Input'!O742="","",'RFQ-Input'!O742)</f>
        <v/>
      </c>
      <c r="AX743" s="7" t="str">
        <f>IF('RFQ-Input'!S742="","",'RFQ-Input'!S742)</f>
        <v/>
      </c>
      <c r="AY743" s="7" t="str">
        <f>IF('RFQ-Input'!V742="","",'RFQ-Input'!V742)</f>
        <v/>
      </c>
      <c r="AZ743" s="7" t="str">
        <f>IF('RFQ-Input'!Y742="","",'RFQ-Input'!Y742)</f>
        <v/>
      </c>
      <c r="BA743" s="7" t="str">
        <f>IF('RFQ-Input'!AB742="","",'RFQ-Input'!AB742)</f>
        <v/>
      </c>
    </row>
    <row r="744" spans="1:53">
      <c r="A744" s="20">
        <v>740</v>
      </c>
      <c r="B744" s="7"/>
      <c r="C744" s="7" t="str">
        <f>IF('RFQ-Input'!C743="","",'RFQ-Input'!C743)</f>
        <v/>
      </c>
      <c r="D744" s="7" t="str">
        <f>IF('RFQ-Input'!D743="","",'RFQ-Input'!D743)</f>
        <v/>
      </c>
      <c r="E744" s="7" t="str">
        <f>IF('RFQ-Input'!E743="","",'RFQ-Input'!E743)</f>
        <v/>
      </c>
      <c r="F744" s="7" t="str">
        <f>IF('RFQ-Input'!F743="","",'RFQ-Input'!F743)</f>
        <v/>
      </c>
      <c r="G744" s="7" t="str">
        <f>IF('RFQ-Input'!G743="","",'RFQ-Input'!G743)</f>
        <v/>
      </c>
      <c r="H744" s="7" t="str">
        <f>IF('RFQ-Input'!H743="","",'RFQ-Input'!H743)</f>
        <v/>
      </c>
      <c r="I744" s="7" t="str">
        <f>IF('RFQ-Input'!I743="","",'RFQ-Input'!I743)</f>
        <v/>
      </c>
      <c r="J744" s="7" t="str">
        <f>IF('RFQ-Input'!J743="","",'RFQ-Input'!J743)</f>
        <v/>
      </c>
      <c r="K744" s="7" t="str">
        <f>IF('RFQ-Input'!K743="","",'RFQ-Input'!K743)</f>
        <v/>
      </c>
      <c r="L744" s="7" t="str">
        <f>IF('RFQ-Input'!L743="","",'RFQ-Input'!L743)</f>
        <v/>
      </c>
      <c r="M744" s="7" t="str">
        <f>IF('RFQ-Input'!M743="","",'RFQ-Input'!M743)</f>
        <v/>
      </c>
      <c r="N744" s="7" t="str">
        <f>IF('RFQ-Input'!N743="","",'RFQ-Input'!N743)</f>
        <v/>
      </c>
      <c r="O744" s="7" t="str">
        <f>IF('RFQ-Input'!O743="","",'RFQ-Input'!O743)</f>
        <v/>
      </c>
      <c r="Q744" s="7"/>
      <c r="R744" s="7"/>
      <c r="S744" s="7"/>
      <c r="T744" s="7"/>
      <c r="U744" s="7"/>
      <c r="V744" s="7"/>
      <c r="X744" s="7"/>
      <c r="Y744" s="7"/>
      <c r="Z744" s="7"/>
      <c r="AA744" s="7" t="str">
        <f t="shared" si="77"/>
        <v/>
      </c>
      <c r="AB744" s="7"/>
      <c r="AC744" s="7"/>
      <c r="AQ744" s="7" t="str">
        <f t="shared" si="78"/>
        <v/>
      </c>
      <c r="AR744" s="7" t="str">
        <f t="shared" si="79"/>
        <v/>
      </c>
      <c r="AS744" s="7" t="str">
        <f t="shared" si="80"/>
        <v/>
      </c>
      <c r="AT744" s="7" t="str">
        <f t="shared" si="81"/>
        <v/>
      </c>
      <c r="AU744" s="7" t="str">
        <f t="shared" si="82"/>
        <v/>
      </c>
      <c r="AV744" s="7" t="str">
        <f t="shared" si="83"/>
        <v/>
      </c>
      <c r="AW744" s="7" t="str">
        <f>IF('RFQ-Input'!O743="","",'RFQ-Input'!O743)</f>
        <v/>
      </c>
      <c r="AX744" s="7" t="str">
        <f>IF('RFQ-Input'!S743="","",'RFQ-Input'!S743)</f>
        <v/>
      </c>
      <c r="AY744" s="7" t="str">
        <f>IF('RFQ-Input'!V743="","",'RFQ-Input'!V743)</f>
        <v/>
      </c>
      <c r="AZ744" s="7" t="str">
        <f>IF('RFQ-Input'!Y743="","",'RFQ-Input'!Y743)</f>
        <v/>
      </c>
      <c r="BA744" s="7" t="str">
        <f>IF('RFQ-Input'!AB743="","",'RFQ-Input'!AB743)</f>
        <v/>
      </c>
    </row>
    <row r="745" spans="1:53">
      <c r="A745" s="20">
        <v>741</v>
      </c>
      <c r="B745" s="7"/>
      <c r="C745" s="7" t="str">
        <f>IF('RFQ-Input'!C744="","",'RFQ-Input'!C744)</f>
        <v/>
      </c>
      <c r="D745" s="7" t="str">
        <f>IF('RFQ-Input'!D744="","",'RFQ-Input'!D744)</f>
        <v/>
      </c>
      <c r="E745" s="7" t="str">
        <f>IF('RFQ-Input'!E744="","",'RFQ-Input'!E744)</f>
        <v/>
      </c>
      <c r="F745" s="7" t="str">
        <f>IF('RFQ-Input'!F744="","",'RFQ-Input'!F744)</f>
        <v/>
      </c>
      <c r="G745" s="7" t="str">
        <f>IF('RFQ-Input'!G744="","",'RFQ-Input'!G744)</f>
        <v/>
      </c>
      <c r="H745" s="7" t="str">
        <f>IF('RFQ-Input'!H744="","",'RFQ-Input'!H744)</f>
        <v/>
      </c>
      <c r="I745" s="7" t="str">
        <f>IF('RFQ-Input'!I744="","",'RFQ-Input'!I744)</f>
        <v/>
      </c>
      <c r="J745" s="7" t="str">
        <f>IF('RFQ-Input'!J744="","",'RFQ-Input'!J744)</f>
        <v/>
      </c>
      <c r="K745" s="7" t="str">
        <f>IF('RFQ-Input'!K744="","",'RFQ-Input'!K744)</f>
        <v/>
      </c>
      <c r="L745" s="7" t="str">
        <f>IF('RFQ-Input'!L744="","",'RFQ-Input'!L744)</f>
        <v/>
      </c>
      <c r="M745" s="7" t="str">
        <f>IF('RFQ-Input'!M744="","",'RFQ-Input'!M744)</f>
        <v/>
      </c>
      <c r="N745" s="7" t="str">
        <f>IF('RFQ-Input'!N744="","",'RFQ-Input'!N744)</f>
        <v/>
      </c>
      <c r="O745" s="7" t="str">
        <f>IF('RFQ-Input'!O744="","",'RFQ-Input'!O744)</f>
        <v/>
      </c>
      <c r="Q745" s="7"/>
      <c r="R745" s="7"/>
      <c r="S745" s="7"/>
      <c r="T745" s="7"/>
      <c r="U745" s="7"/>
      <c r="V745" s="7"/>
      <c r="X745" s="7"/>
      <c r="Y745" s="7"/>
      <c r="Z745" s="7"/>
      <c r="AA745" s="7" t="str">
        <f t="shared" si="77"/>
        <v/>
      </c>
      <c r="AB745" s="7"/>
      <c r="AC745" s="7"/>
      <c r="AQ745" s="7" t="str">
        <f t="shared" si="78"/>
        <v/>
      </c>
      <c r="AR745" s="7" t="str">
        <f t="shared" si="79"/>
        <v/>
      </c>
      <c r="AS745" s="7" t="str">
        <f t="shared" si="80"/>
        <v/>
      </c>
      <c r="AT745" s="7" t="str">
        <f t="shared" si="81"/>
        <v/>
      </c>
      <c r="AU745" s="7" t="str">
        <f t="shared" si="82"/>
        <v/>
      </c>
      <c r="AV745" s="7" t="str">
        <f t="shared" si="83"/>
        <v/>
      </c>
      <c r="AW745" s="7" t="str">
        <f>IF('RFQ-Input'!O744="","",'RFQ-Input'!O744)</f>
        <v/>
      </c>
      <c r="AX745" s="7" t="str">
        <f>IF('RFQ-Input'!S744="","",'RFQ-Input'!S744)</f>
        <v/>
      </c>
      <c r="AY745" s="7" t="str">
        <f>IF('RFQ-Input'!V744="","",'RFQ-Input'!V744)</f>
        <v/>
      </c>
      <c r="AZ745" s="7" t="str">
        <f>IF('RFQ-Input'!Y744="","",'RFQ-Input'!Y744)</f>
        <v/>
      </c>
      <c r="BA745" s="7" t="str">
        <f>IF('RFQ-Input'!AB744="","",'RFQ-Input'!AB744)</f>
        <v/>
      </c>
    </row>
    <row r="746" spans="1:53">
      <c r="A746" s="20">
        <v>742</v>
      </c>
      <c r="B746" s="7"/>
      <c r="C746" s="7" t="str">
        <f>IF('RFQ-Input'!C745="","",'RFQ-Input'!C745)</f>
        <v/>
      </c>
      <c r="D746" s="7" t="str">
        <f>IF('RFQ-Input'!D745="","",'RFQ-Input'!D745)</f>
        <v/>
      </c>
      <c r="E746" s="7" t="str">
        <f>IF('RFQ-Input'!E745="","",'RFQ-Input'!E745)</f>
        <v/>
      </c>
      <c r="F746" s="7" t="str">
        <f>IF('RFQ-Input'!F745="","",'RFQ-Input'!F745)</f>
        <v/>
      </c>
      <c r="G746" s="7" t="str">
        <f>IF('RFQ-Input'!G745="","",'RFQ-Input'!G745)</f>
        <v/>
      </c>
      <c r="H746" s="7" t="str">
        <f>IF('RFQ-Input'!H745="","",'RFQ-Input'!H745)</f>
        <v/>
      </c>
      <c r="I746" s="7" t="str">
        <f>IF('RFQ-Input'!I745="","",'RFQ-Input'!I745)</f>
        <v/>
      </c>
      <c r="J746" s="7" t="str">
        <f>IF('RFQ-Input'!J745="","",'RFQ-Input'!J745)</f>
        <v/>
      </c>
      <c r="K746" s="7" t="str">
        <f>IF('RFQ-Input'!K745="","",'RFQ-Input'!K745)</f>
        <v/>
      </c>
      <c r="L746" s="7" t="str">
        <f>IF('RFQ-Input'!L745="","",'RFQ-Input'!L745)</f>
        <v/>
      </c>
      <c r="M746" s="7" t="str">
        <f>IF('RFQ-Input'!M745="","",'RFQ-Input'!M745)</f>
        <v/>
      </c>
      <c r="N746" s="7" t="str">
        <f>IF('RFQ-Input'!N745="","",'RFQ-Input'!N745)</f>
        <v/>
      </c>
      <c r="O746" s="7" t="str">
        <f>IF('RFQ-Input'!O745="","",'RFQ-Input'!O745)</f>
        <v/>
      </c>
      <c r="Q746" s="7"/>
      <c r="R746" s="7"/>
      <c r="S746" s="7"/>
      <c r="T746" s="7"/>
      <c r="U746" s="7"/>
      <c r="V746" s="7"/>
      <c r="X746" s="7"/>
      <c r="Y746" s="7"/>
      <c r="Z746" s="7"/>
      <c r="AA746" s="7" t="str">
        <f t="shared" si="77"/>
        <v/>
      </c>
      <c r="AB746" s="7"/>
      <c r="AC746" s="7"/>
      <c r="AQ746" s="7" t="str">
        <f t="shared" si="78"/>
        <v/>
      </c>
      <c r="AR746" s="7" t="str">
        <f t="shared" si="79"/>
        <v/>
      </c>
      <c r="AS746" s="7" t="str">
        <f t="shared" si="80"/>
        <v/>
      </c>
      <c r="AT746" s="7" t="str">
        <f t="shared" si="81"/>
        <v/>
      </c>
      <c r="AU746" s="7" t="str">
        <f t="shared" si="82"/>
        <v/>
      </c>
      <c r="AV746" s="7" t="str">
        <f t="shared" si="83"/>
        <v/>
      </c>
      <c r="AW746" s="7" t="str">
        <f>IF('RFQ-Input'!O745="","",'RFQ-Input'!O745)</f>
        <v/>
      </c>
      <c r="AX746" s="7" t="str">
        <f>IF('RFQ-Input'!S745="","",'RFQ-Input'!S745)</f>
        <v/>
      </c>
      <c r="AY746" s="7" t="str">
        <f>IF('RFQ-Input'!V745="","",'RFQ-Input'!V745)</f>
        <v/>
      </c>
      <c r="AZ746" s="7" t="str">
        <f>IF('RFQ-Input'!Y745="","",'RFQ-Input'!Y745)</f>
        <v/>
      </c>
      <c r="BA746" s="7" t="str">
        <f>IF('RFQ-Input'!AB745="","",'RFQ-Input'!AB745)</f>
        <v/>
      </c>
    </row>
    <row r="747" spans="1:53">
      <c r="A747" s="20">
        <v>743</v>
      </c>
      <c r="B747" s="7"/>
      <c r="C747" s="7" t="str">
        <f>IF('RFQ-Input'!C746="","",'RFQ-Input'!C746)</f>
        <v/>
      </c>
      <c r="D747" s="7" t="str">
        <f>IF('RFQ-Input'!D746="","",'RFQ-Input'!D746)</f>
        <v/>
      </c>
      <c r="E747" s="7" t="str">
        <f>IF('RFQ-Input'!E746="","",'RFQ-Input'!E746)</f>
        <v/>
      </c>
      <c r="F747" s="7" t="str">
        <f>IF('RFQ-Input'!F746="","",'RFQ-Input'!F746)</f>
        <v/>
      </c>
      <c r="G747" s="7" t="str">
        <f>IF('RFQ-Input'!G746="","",'RFQ-Input'!G746)</f>
        <v/>
      </c>
      <c r="H747" s="7" t="str">
        <f>IF('RFQ-Input'!H746="","",'RFQ-Input'!H746)</f>
        <v/>
      </c>
      <c r="I747" s="7" t="str">
        <f>IF('RFQ-Input'!I746="","",'RFQ-Input'!I746)</f>
        <v/>
      </c>
      <c r="J747" s="7" t="str">
        <f>IF('RFQ-Input'!J746="","",'RFQ-Input'!J746)</f>
        <v/>
      </c>
      <c r="K747" s="7" t="str">
        <f>IF('RFQ-Input'!K746="","",'RFQ-Input'!K746)</f>
        <v/>
      </c>
      <c r="L747" s="7" t="str">
        <f>IF('RFQ-Input'!L746="","",'RFQ-Input'!L746)</f>
        <v/>
      </c>
      <c r="M747" s="7" t="str">
        <f>IF('RFQ-Input'!M746="","",'RFQ-Input'!M746)</f>
        <v/>
      </c>
      <c r="N747" s="7" t="str">
        <f>IF('RFQ-Input'!N746="","",'RFQ-Input'!N746)</f>
        <v/>
      </c>
      <c r="O747" s="7" t="str">
        <f>IF('RFQ-Input'!O746="","",'RFQ-Input'!O746)</f>
        <v/>
      </c>
      <c r="Q747" s="7"/>
      <c r="R747" s="7"/>
      <c r="S747" s="7"/>
      <c r="T747" s="7"/>
      <c r="U747" s="7"/>
      <c r="V747" s="7"/>
      <c r="X747" s="7"/>
      <c r="Y747" s="7"/>
      <c r="Z747" s="7"/>
      <c r="AA747" s="7" t="str">
        <f t="shared" si="77"/>
        <v/>
      </c>
      <c r="AB747" s="7"/>
      <c r="AC747" s="7"/>
      <c r="AQ747" s="7" t="str">
        <f t="shared" si="78"/>
        <v/>
      </c>
      <c r="AR747" s="7" t="str">
        <f t="shared" si="79"/>
        <v/>
      </c>
      <c r="AS747" s="7" t="str">
        <f t="shared" si="80"/>
        <v/>
      </c>
      <c r="AT747" s="7" t="str">
        <f t="shared" si="81"/>
        <v/>
      </c>
      <c r="AU747" s="7" t="str">
        <f t="shared" si="82"/>
        <v/>
      </c>
      <c r="AV747" s="7" t="str">
        <f t="shared" si="83"/>
        <v/>
      </c>
      <c r="AW747" s="7" t="str">
        <f>IF('RFQ-Input'!O746="","",'RFQ-Input'!O746)</f>
        <v/>
      </c>
      <c r="AX747" s="7" t="str">
        <f>IF('RFQ-Input'!S746="","",'RFQ-Input'!S746)</f>
        <v/>
      </c>
      <c r="AY747" s="7" t="str">
        <f>IF('RFQ-Input'!V746="","",'RFQ-Input'!V746)</f>
        <v/>
      </c>
      <c r="AZ747" s="7" t="str">
        <f>IF('RFQ-Input'!Y746="","",'RFQ-Input'!Y746)</f>
        <v/>
      </c>
      <c r="BA747" s="7" t="str">
        <f>IF('RFQ-Input'!AB746="","",'RFQ-Input'!AB746)</f>
        <v/>
      </c>
    </row>
    <row r="748" spans="1:53">
      <c r="A748" s="20">
        <v>744</v>
      </c>
      <c r="B748" s="7"/>
      <c r="C748" s="7" t="str">
        <f>IF('RFQ-Input'!C747="","",'RFQ-Input'!C747)</f>
        <v/>
      </c>
      <c r="D748" s="7" t="str">
        <f>IF('RFQ-Input'!D747="","",'RFQ-Input'!D747)</f>
        <v/>
      </c>
      <c r="E748" s="7" t="str">
        <f>IF('RFQ-Input'!E747="","",'RFQ-Input'!E747)</f>
        <v/>
      </c>
      <c r="F748" s="7" t="str">
        <f>IF('RFQ-Input'!F747="","",'RFQ-Input'!F747)</f>
        <v/>
      </c>
      <c r="G748" s="7" t="str">
        <f>IF('RFQ-Input'!G747="","",'RFQ-Input'!G747)</f>
        <v/>
      </c>
      <c r="H748" s="7" t="str">
        <f>IF('RFQ-Input'!H747="","",'RFQ-Input'!H747)</f>
        <v/>
      </c>
      <c r="I748" s="7" t="str">
        <f>IF('RFQ-Input'!I747="","",'RFQ-Input'!I747)</f>
        <v/>
      </c>
      <c r="J748" s="7" t="str">
        <f>IF('RFQ-Input'!J747="","",'RFQ-Input'!J747)</f>
        <v/>
      </c>
      <c r="K748" s="7" t="str">
        <f>IF('RFQ-Input'!K747="","",'RFQ-Input'!K747)</f>
        <v/>
      </c>
      <c r="L748" s="7" t="str">
        <f>IF('RFQ-Input'!L747="","",'RFQ-Input'!L747)</f>
        <v/>
      </c>
      <c r="M748" s="7" t="str">
        <f>IF('RFQ-Input'!M747="","",'RFQ-Input'!M747)</f>
        <v/>
      </c>
      <c r="N748" s="7" t="str">
        <f>IF('RFQ-Input'!N747="","",'RFQ-Input'!N747)</f>
        <v/>
      </c>
      <c r="O748" s="7" t="str">
        <f>IF('RFQ-Input'!O747="","",'RFQ-Input'!O747)</f>
        <v/>
      </c>
      <c r="Q748" s="7"/>
      <c r="R748" s="7"/>
      <c r="S748" s="7"/>
      <c r="T748" s="7"/>
      <c r="U748" s="7"/>
      <c r="V748" s="7"/>
      <c r="X748" s="7"/>
      <c r="Y748" s="7"/>
      <c r="Z748" s="7"/>
      <c r="AA748" s="7" t="str">
        <f t="shared" si="77"/>
        <v/>
      </c>
      <c r="AB748" s="7"/>
      <c r="AC748" s="7"/>
      <c r="AQ748" s="7" t="str">
        <f t="shared" si="78"/>
        <v/>
      </c>
      <c r="AR748" s="7" t="str">
        <f t="shared" si="79"/>
        <v/>
      </c>
      <c r="AS748" s="7" t="str">
        <f t="shared" si="80"/>
        <v/>
      </c>
      <c r="AT748" s="7" t="str">
        <f t="shared" si="81"/>
        <v/>
      </c>
      <c r="AU748" s="7" t="str">
        <f t="shared" si="82"/>
        <v/>
      </c>
      <c r="AV748" s="7" t="str">
        <f t="shared" si="83"/>
        <v/>
      </c>
      <c r="AW748" s="7" t="str">
        <f>IF('RFQ-Input'!O747="","",'RFQ-Input'!O747)</f>
        <v/>
      </c>
      <c r="AX748" s="7" t="str">
        <f>IF('RFQ-Input'!S747="","",'RFQ-Input'!S747)</f>
        <v/>
      </c>
      <c r="AY748" s="7" t="str">
        <f>IF('RFQ-Input'!V747="","",'RFQ-Input'!V747)</f>
        <v/>
      </c>
      <c r="AZ748" s="7" t="str">
        <f>IF('RFQ-Input'!Y747="","",'RFQ-Input'!Y747)</f>
        <v/>
      </c>
      <c r="BA748" s="7" t="str">
        <f>IF('RFQ-Input'!AB747="","",'RFQ-Input'!AB747)</f>
        <v/>
      </c>
    </row>
    <row r="749" spans="1:53">
      <c r="A749" s="20">
        <v>745</v>
      </c>
      <c r="B749" s="7"/>
      <c r="C749" s="7" t="str">
        <f>IF('RFQ-Input'!C748="","",'RFQ-Input'!C748)</f>
        <v/>
      </c>
      <c r="D749" s="7" t="str">
        <f>IF('RFQ-Input'!D748="","",'RFQ-Input'!D748)</f>
        <v/>
      </c>
      <c r="E749" s="7" t="str">
        <f>IF('RFQ-Input'!E748="","",'RFQ-Input'!E748)</f>
        <v/>
      </c>
      <c r="F749" s="7" t="str">
        <f>IF('RFQ-Input'!F748="","",'RFQ-Input'!F748)</f>
        <v/>
      </c>
      <c r="G749" s="7" t="str">
        <f>IF('RFQ-Input'!G748="","",'RFQ-Input'!G748)</f>
        <v/>
      </c>
      <c r="H749" s="7" t="str">
        <f>IF('RFQ-Input'!H748="","",'RFQ-Input'!H748)</f>
        <v/>
      </c>
      <c r="I749" s="7" t="str">
        <f>IF('RFQ-Input'!I748="","",'RFQ-Input'!I748)</f>
        <v/>
      </c>
      <c r="J749" s="7" t="str">
        <f>IF('RFQ-Input'!J748="","",'RFQ-Input'!J748)</f>
        <v/>
      </c>
      <c r="K749" s="7" t="str">
        <f>IF('RFQ-Input'!K748="","",'RFQ-Input'!K748)</f>
        <v/>
      </c>
      <c r="L749" s="7" t="str">
        <f>IF('RFQ-Input'!L748="","",'RFQ-Input'!L748)</f>
        <v/>
      </c>
      <c r="M749" s="7" t="str">
        <f>IF('RFQ-Input'!M748="","",'RFQ-Input'!M748)</f>
        <v/>
      </c>
      <c r="N749" s="7" t="str">
        <f>IF('RFQ-Input'!N748="","",'RFQ-Input'!N748)</f>
        <v/>
      </c>
      <c r="O749" s="7" t="str">
        <f>IF('RFQ-Input'!O748="","",'RFQ-Input'!O748)</f>
        <v/>
      </c>
      <c r="Q749" s="7"/>
      <c r="R749" s="7"/>
      <c r="S749" s="7"/>
      <c r="T749" s="7"/>
      <c r="U749" s="7"/>
      <c r="V749" s="7"/>
      <c r="X749" s="7"/>
      <c r="Y749" s="7"/>
      <c r="Z749" s="7"/>
      <c r="AA749" s="7" t="str">
        <f t="shared" si="77"/>
        <v/>
      </c>
      <c r="AB749" s="7"/>
      <c r="AC749" s="7"/>
      <c r="AQ749" s="7" t="str">
        <f t="shared" si="78"/>
        <v/>
      </c>
      <c r="AR749" s="7" t="str">
        <f t="shared" si="79"/>
        <v/>
      </c>
      <c r="AS749" s="7" t="str">
        <f t="shared" si="80"/>
        <v/>
      </c>
      <c r="AT749" s="7" t="str">
        <f t="shared" si="81"/>
        <v/>
      </c>
      <c r="AU749" s="7" t="str">
        <f t="shared" si="82"/>
        <v/>
      </c>
      <c r="AV749" s="7" t="str">
        <f t="shared" si="83"/>
        <v/>
      </c>
      <c r="AW749" s="7" t="str">
        <f>IF('RFQ-Input'!O748="","",'RFQ-Input'!O748)</f>
        <v/>
      </c>
      <c r="AX749" s="7" t="str">
        <f>IF('RFQ-Input'!S748="","",'RFQ-Input'!S748)</f>
        <v/>
      </c>
      <c r="AY749" s="7" t="str">
        <f>IF('RFQ-Input'!V748="","",'RFQ-Input'!V748)</f>
        <v/>
      </c>
      <c r="AZ749" s="7" t="str">
        <f>IF('RFQ-Input'!Y748="","",'RFQ-Input'!Y748)</f>
        <v/>
      </c>
      <c r="BA749" s="7" t="str">
        <f>IF('RFQ-Input'!AB748="","",'RFQ-Input'!AB748)</f>
        <v/>
      </c>
    </row>
    <row r="750" spans="1:53">
      <c r="A750" s="20">
        <v>746</v>
      </c>
      <c r="B750" s="7"/>
      <c r="C750" s="7" t="str">
        <f>IF('RFQ-Input'!C749="","",'RFQ-Input'!C749)</f>
        <v/>
      </c>
      <c r="D750" s="7" t="str">
        <f>IF('RFQ-Input'!D749="","",'RFQ-Input'!D749)</f>
        <v/>
      </c>
      <c r="E750" s="7" t="str">
        <f>IF('RFQ-Input'!E749="","",'RFQ-Input'!E749)</f>
        <v/>
      </c>
      <c r="F750" s="7" t="str">
        <f>IF('RFQ-Input'!F749="","",'RFQ-Input'!F749)</f>
        <v/>
      </c>
      <c r="G750" s="7" t="str">
        <f>IF('RFQ-Input'!G749="","",'RFQ-Input'!G749)</f>
        <v/>
      </c>
      <c r="H750" s="7" t="str">
        <f>IF('RFQ-Input'!H749="","",'RFQ-Input'!H749)</f>
        <v/>
      </c>
      <c r="I750" s="7" t="str">
        <f>IF('RFQ-Input'!I749="","",'RFQ-Input'!I749)</f>
        <v/>
      </c>
      <c r="J750" s="7" t="str">
        <f>IF('RFQ-Input'!J749="","",'RFQ-Input'!J749)</f>
        <v/>
      </c>
      <c r="K750" s="7" t="str">
        <f>IF('RFQ-Input'!K749="","",'RFQ-Input'!K749)</f>
        <v/>
      </c>
      <c r="L750" s="7" t="str">
        <f>IF('RFQ-Input'!L749="","",'RFQ-Input'!L749)</f>
        <v/>
      </c>
      <c r="M750" s="7" t="str">
        <f>IF('RFQ-Input'!M749="","",'RFQ-Input'!M749)</f>
        <v/>
      </c>
      <c r="N750" s="7" t="str">
        <f>IF('RFQ-Input'!N749="","",'RFQ-Input'!N749)</f>
        <v/>
      </c>
      <c r="O750" s="7" t="str">
        <f>IF('RFQ-Input'!O749="","",'RFQ-Input'!O749)</f>
        <v/>
      </c>
      <c r="Q750" s="7"/>
      <c r="R750" s="7"/>
      <c r="S750" s="7"/>
      <c r="T750" s="7"/>
      <c r="U750" s="7"/>
      <c r="V750" s="7"/>
      <c r="X750" s="7"/>
      <c r="Y750" s="7"/>
      <c r="Z750" s="7"/>
      <c r="AA750" s="7" t="str">
        <f t="shared" si="77"/>
        <v/>
      </c>
      <c r="AB750" s="7"/>
      <c r="AC750" s="7"/>
      <c r="AQ750" s="7" t="str">
        <f t="shared" si="78"/>
        <v/>
      </c>
      <c r="AR750" s="7" t="str">
        <f t="shared" si="79"/>
        <v/>
      </c>
      <c r="AS750" s="7" t="str">
        <f t="shared" si="80"/>
        <v/>
      </c>
      <c r="AT750" s="7" t="str">
        <f t="shared" si="81"/>
        <v/>
      </c>
      <c r="AU750" s="7" t="str">
        <f t="shared" si="82"/>
        <v/>
      </c>
      <c r="AV750" s="7" t="str">
        <f t="shared" si="83"/>
        <v/>
      </c>
      <c r="AW750" s="7" t="str">
        <f>IF('RFQ-Input'!O749="","",'RFQ-Input'!O749)</f>
        <v/>
      </c>
      <c r="AX750" s="7" t="str">
        <f>IF('RFQ-Input'!S749="","",'RFQ-Input'!S749)</f>
        <v/>
      </c>
      <c r="AY750" s="7" t="str">
        <f>IF('RFQ-Input'!V749="","",'RFQ-Input'!V749)</f>
        <v/>
      </c>
      <c r="AZ750" s="7" t="str">
        <f>IF('RFQ-Input'!Y749="","",'RFQ-Input'!Y749)</f>
        <v/>
      </c>
      <c r="BA750" s="7" t="str">
        <f>IF('RFQ-Input'!AB749="","",'RFQ-Input'!AB749)</f>
        <v/>
      </c>
    </row>
    <row r="751" spans="1:53">
      <c r="A751" s="20">
        <v>747</v>
      </c>
      <c r="B751" s="7"/>
      <c r="C751" s="7" t="str">
        <f>IF('RFQ-Input'!C750="","",'RFQ-Input'!C750)</f>
        <v/>
      </c>
      <c r="D751" s="7" t="str">
        <f>IF('RFQ-Input'!D750="","",'RFQ-Input'!D750)</f>
        <v/>
      </c>
      <c r="E751" s="7" t="str">
        <f>IF('RFQ-Input'!E750="","",'RFQ-Input'!E750)</f>
        <v/>
      </c>
      <c r="F751" s="7" t="str">
        <f>IF('RFQ-Input'!F750="","",'RFQ-Input'!F750)</f>
        <v/>
      </c>
      <c r="G751" s="7" t="str">
        <f>IF('RFQ-Input'!G750="","",'RFQ-Input'!G750)</f>
        <v/>
      </c>
      <c r="H751" s="7" t="str">
        <f>IF('RFQ-Input'!H750="","",'RFQ-Input'!H750)</f>
        <v/>
      </c>
      <c r="I751" s="7" t="str">
        <f>IF('RFQ-Input'!I750="","",'RFQ-Input'!I750)</f>
        <v/>
      </c>
      <c r="J751" s="7" t="str">
        <f>IF('RFQ-Input'!J750="","",'RFQ-Input'!J750)</f>
        <v/>
      </c>
      <c r="K751" s="7" t="str">
        <f>IF('RFQ-Input'!K750="","",'RFQ-Input'!K750)</f>
        <v/>
      </c>
      <c r="L751" s="7" t="str">
        <f>IF('RFQ-Input'!L750="","",'RFQ-Input'!L750)</f>
        <v/>
      </c>
      <c r="M751" s="7" t="str">
        <f>IF('RFQ-Input'!M750="","",'RFQ-Input'!M750)</f>
        <v/>
      </c>
      <c r="N751" s="7" t="str">
        <f>IF('RFQ-Input'!N750="","",'RFQ-Input'!N750)</f>
        <v/>
      </c>
      <c r="O751" s="7" t="str">
        <f>IF('RFQ-Input'!O750="","",'RFQ-Input'!O750)</f>
        <v/>
      </c>
      <c r="Q751" s="7"/>
      <c r="R751" s="7"/>
      <c r="S751" s="7"/>
      <c r="T751" s="7"/>
      <c r="U751" s="7"/>
      <c r="V751" s="7"/>
      <c r="X751" s="7"/>
      <c r="Y751" s="7"/>
      <c r="Z751" s="7"/>
      <c r="AA751" s="7" t="str">
        <f t="shared" si="77"/>
        <v/>
      </c>
      <c r="AB751" s="7"/>
      <c r="AC751" s="7"/>
      <c r="AQ751" s="7" t="str">
        <f t="shared" si="78"/>
        <v/>
      </c>
      <c r="AR751" s="7" t="str">
        <f t="shared" si="79"/>
        <v/>
      </c>
      <c r="AS751" s="7" t="str">
        <f t="shared" si="80"/>
        <v/>
      </c>
      <c r="AT751" s="7" t="str">
        <f t="shared" si="81"/>
        <v/>
      </c>
      <c r="AU751" s="7" t="str">
        <f t="shared" si="82"/>
        <v/>
      </c>
      <c r="AV751" s="7" t="str">
        <f t="shared" si="83"/>
        <v/>
      </c>
      <c r="AW751" s="7" t="str">
        <f>IF('RFQ-Input'!O750="","",'RFQ-Input'!O750)</f>
        <v/>
      </c>
      <c r="AX751" s="7" t="str">
        <f>IF('RFQ-Input'!S750="","",'RFQ-Input'!S750)</f>
        <v/>
      </c>
      <c r="AY751" s="7" t="str">
        <f>IF('RFQ-Input'!V750="","",'RFQ-Input'!V750)</f>
        <v/>
      </c>
      <c r="AZ751" s="7" t="str">
        <f>IF('RFQ-Input'!Y750="","",'RFQ-Input'!Y750)</f>
        <v/>
      </c>
      <c r="BA751" s="7" t="str">
        <f>IF('RFQ-Input'!AB750="","",'RFQ-Input'!AB750)</f>
        <v/>
      </c>
    </row>
    <row r="752" spans="1:53">
      <c r="A752" s="20">
        <v>748</v>
      </c>
      <c r="B752" s="7"/>
      <c r="C752" s="7" t="str">
        <f>IF('RFQ-Input'!C751="","",'RFQ-Input'!C751)</f>
        <v/>
      </c>
      <c r="D752" s="7" t="str">
        <f>IF('RFQ-Input'!D751="","",'RFQ-Input'!D751)</f>
        <v/>
      </c>
      <c r="E752" s="7" t="str">
        <f>IF('RFQ-Input'!E751="","",'RFQ-Input'!E751)</f>
        <v/>
      </c>
      <c r="F752" s="7" t="str">
        <f>IF('RFQ-Input'!F751="","",'RFQ-Input'!F751)</f>
        <v/>
      </c>
      <c r="G752" s="7" t="str">
        <f>IF('RFQ-Input'!G751="","",'RFQ-Input'!G751)</f>
        <v/>
      </c>
      <c r="H752" s="7" t="str">
        <f>IF('RFQ-Input'!H751="","",'RFQ-Input'!H751)</f>
        <v/>
      </c>
      <c r="I752" s="7" t="str">
        <f>IF('RFQ-Input'!I751="","",'RFQ-Input'!I751)</f>
        <v/>
      </c>
      <c r="J752" s="7" t="str">
        <f>IF('RFQ-Input'!J751="","",'RFQ-Input'!J751)</f>
        <v/>
      </c>
      <c r="K752" s="7" t="str">
        <f>IF('RFQ-Input'!K751="","",'RFQ-Input'!K751)</f>
        <v/>
      </c>
      <c r="L752" s="7" t="str">
        <f>IF('RFQ-Input'!L751="","",'RFQ-Input'!L751)</f>
        <v/>
      </c>
      <c r="M752" s="7" t="str">
        <f>IF('RFQ-Input'!M751="","",'RFQ-Input'!M751)</f>
        <v/>
      </c>
      <c r="N752" s="7" t="str">
        <f>IF('RFQ-Input'!N751="","",'RFQ-Input'!N751)</f>
        <v/>
      </c>
      <c r="O752" s="7" t="str">
        <f>IF('RFQ-Input'!O751="","",'RFQ-Input'!O751)</f>
        <v/>
      </c>
      <c r="Q752" s="7"/>
      <c r="R752" s="7"/>
      <c r="S752" s="7"/>
      <c r="T752" s="7"/>
      <c r="U752" s="7"/>
      <c r="V752" s="7"/>
      <c r="X752" s="7"/>
      <c r="Y752" s="7"/>
      <c r="Z752" s="7"/>
      <c r="AA752" s="7" t="str">
        <f t="shared" si="77"/>
        <v/>
      </c>
      <c r="AB752" s="7"/>
      <c r="AC752" s="7"/>
      <c r="AQ752" s="7" t="str">
        <f t="shared" si="78"/>
        <v/>
      </c>
      <c r="AR752" s="7" t="str">
        <f t="shared" si="79"/>
        <v/>
      </c>
      <c r="AS752" s="7" t="str">
        <f t="shared" si="80"/>
        <v/>
      </c>
      <c r="AT752" s="7" t="str">
        <f t="shared" si="81"/>
        <v/>
      </c>
      <c r="AU752" s="7" t="str">
        <f t="shared" si="82"/>
        <v/>
      </c>
      <c r="AV752" s="7" t="str">
        <f t="shared" si="83"/>
        <v/>
      </c>
      <c r="AW752" s="7" t="str">
        <f>IF('RFQ-Input'!O751="","",'RFQ-Input'!O751)</f>
        <v/>
      </c>
      <c r="AX752" s="7" t="str">
        <f>IF('RFQ-Input'!S751="","",'RFQ-Input'!S751)</f>
        <v/>
      </c>
      <c r="AY752" s="7" t="str">
        <f>IF('RFQ-Input'!V751="","",'RFQ-Input'!V751)</f>
        <v/>
      </c>
      <c r="AZ752" s="7" t="str">
        <f>IF('RFQ-Input'!Y751="","",'RFQ-Input'!Y751)</f>
        <v/>
      </c>
      <c r="BA752" s="7" t="str">
        <f>IF('RFQ-Input'!AB751="","",'RFQ-Input'!AB751)</f>
        <v/>
      </c>
    </row>
    <row r="753" spans="1:53">
      <c r="A753" s="20">
        <v>749</v>
      </c>
      <c r="B753" s="7"/>
      <c r="C753" s="7" t="str">
        <f>IF('RFQ-Input'!C752="","",'RFQ-Input'!C752)</f>
        <v/>
      </c>
      <c r="D753" s="7" t="str">
        <f>IF('RFQ-Input'!D752="","",'RFQ-Input'!D752)</f>
        <v/>
      </c>
      <c r="E753" s="7" t="str">
        <f>IF('RFQ-Input'!E752="","",'RFQ-Input'!E752)</f>
        <v/>
      </c>
      <c r="F753" s="7" t="str">
        <f>IF('RFQ-Input'!F752="","",'RFQ-Input'!F752)</f>
        <v/>
      </c>
      <c r="G753" s="7" t="str">
        <f>IF('RFQ-Input'!G752="","",'RFQ-Input'!G752)</f>
        <v/>
      </c>
      <c r="H753" s="7" t="str">
        <f>IF('RFQ-Input'!H752="","",'RFQ-Input'!H752)</f>
        <v/>
      </c>
      <c r="I753" s="7" t="str">
        <f>IF('RFQ-Input'!I752="","",'RFQ-Input'!I752)</f>
        <v/>
      </c>
      <c r="J753" s="7" t="str">
        <f>IF('RFQ-Input'!J752="","",'RFQ-Input'!J752)</f>
        <v/>
      </c>
      <c r="K753" s="7" t="str">
        <f>IF('RFQ-Input'!K752="","",'RFQ-Input'!K752)</f>
        <v/>
      </c>
      <c r="L753" s="7" t="str">
        <f>IF('RFQ-Input'!L752="","",'RFQ-Input'!L752)</f>
        <v/>
      </c>
      <c r="M753" s="7" t="str">
        <f>IF('RFQ-Input'!M752="","",'RFQ-Input'!M752)</f>
        <v/>
      </c>
      <c r="N753" s="7" t="str">
        <f>IF('RFQ-Input'!N752="","",'RFQ-Input'!N752)</f>
        <v/>
      </c>
      <c r="O753" s="7" t="str">
        <f>IF('RFQ-Input'!O752="","",'RFQ-Input'!O752)</f>
        <v/>
      </c>
      <c r="Q753" s="7"/>
      <c r="R753" s="7"/>
      <c r="S753" s="7"/>
      <c r="T753" s="7"/>
      <c r="U753" s="7"/>
      <c r="V753" s="7"/>
      <c r="X753" s="7"/>
      <c r="Y753" s="7"/>
      <c r="Z753" s="7"/>
      <c r="AA753" s="7" t="str">
        <f t="shared" si="77"/>
        <v/>
      </c>
      <c r="AB753" s="7"/>
      <c r="AC753" s="7"/>
      <c r="AQ753" s="7" t="str">
        <f t="shared" si="78"/>
        <v/>
      </c>
      <c r="AR753" s="7" t="str">
        <f t="shared" si="79"/>
        <v/>
      </c>
      <c r="AS753" s="7" t="str">
        <f t="shared" si="80"/>
        <v/>
      </c>
      <c r="AT753" s="7" t="str">
        <f t="shared" si="81"/>
        <v/>
      </c>
      <c r="AU753" s="7" t="str">
        <f t="shared" si="82"/>
        <v/>
      </c>
      <c r="AV753" s="7" t="str">
        <f t="shared" si="83"/>
        <v/>
      </c>
      <c r="AW753" s="7" t="str">
        <f>IF('RFQ-Input'!O752="","",'RFQ-Input'!O752)</f>
        <v/>
      </c>
      <c r="AX753" s="7" t="str">
        <f>IF('RFQ-Input'!S752="","",'RFQ-Input'!S752)</f>
        <v/>
      </c>
      <c r="AY753" s="7" t="str">
        <f>IF('RFQ-Input'!V752="","",'RFQ-Input'!V752)</f>
        <v/>
      </c>
      <c r="AZ753" s="7" t="str">
        <f>IF('RFQ-Input'!Y752="","",'RFQ-Input'!Y752)</f>
        <v/>
      </c>
      <c r="BA753" s="7" t="str">
        <f>IF('RFQ-Input'!AB752="","",'RFQ-Input'!AB752)</f>
        <v/>
      </c>
    </row>
    <row r="754" spans="1:53">
      <c r="A754" s="20">
        <v>750</v>
      </c>
      <c r="B754" s="7"/>
      <c r="C754" s="7" t="str">
        <f>IF('RFQ-Input'!C753="","",'RFQ-Input'!C753)</f>
        <v/>
      </c>
      <c r="D754" s="7" t="str">
        <f>IF('RFQ-Input'!D753="","",'RFQ-Input'!D753)</f>
        <v/>
      </c>
      <c r="E754" s="7" t="str">
        <f>IF('RFQ-Input'!E753="","",'RFQ-Input'!E753)</f>
        <v/>
      </c>
      <c r="F754" s="7" t="str">
        <f>IF('RFQ-Input'!F753="","",'RFQ-Input'!F753)</f>
        <v/>
      </c>
      <c r="G754" s="7" t="str">
        <f>IF('RFQ-Input'!G753="","",'RFQ-Input'!G753)</f>
        <v/>
      </c>
      <c r="H754" s="7" t="str">
        <f>IF('RFQ-Input'!H753="","",'RFQ-Input'!H753)</f>
        <v/>
      </c>
      <c r="I754" s="7" t="str">
        <f>IF('RFQ-Input'!I753="","",'RFQ-Input'!I753)</f>
        <v/>
      </c>
      <c r="J754" s="7" t="str">
        <f>IF('RFQ-Input'!J753="","",'RFQ-Input'!J753)</f>
        <v/>
      </c>
      <c r="K754" s="7" t="str">
        <f>IF('RFQ-Input'!K753="","",'RFQ-Input'!K753)</f>
        <v/>
      </c>
      <c r="L754" s="7" t="str">
        <f>IF('RFQ-Input'!L753="","",'RFQ-Input'!L753)</f>
        <v/>
      </c>
      <c r="M754" s="7" t="str">
        <f>IF('RFQ-Input'!M753="","",'RFQ-Input'!M753)</f>
        <v/>
      </c>
      <c r="N754" s="7" t="str">
        <f>IF('RFQ-Input'!N753="","",'RFQ-Input'!N753)</f>
        <v/>
      </c>
      <c r="O754" s="7" t="str">
        <f>IF('RFQ-Input'!O753="","",'RFQ-Input'!O753)</f>
        <v/>
      </c>
      <c r="Q754" s="7"/>
      <c r="R754" s="7"/>
      <c r="S754" s="7"/>
      <c r="T754" s="7"/>
      <c r="U754" s="7"/>
      <c r="V754" s="7"/>
      <c r="X754" s="7"/>
      <c r="Y754" s="7"/>
      <c r="Z754" s="7"/>
      <c r="AA754" s="7" t="str">
        <f t="shared" si="77"/>
        <v/>
      </c>
      <c r="AB754" s="7"/>
      <c r="AC754" s="7"/>
      <c r="AQ754" s="7" t="str">
        <f t="shared" si="78"/>
        <v/>
      </c>
      <c r="AR754" s="7" t="str">
        <f t="shared" si="79"/>
        <v/>
      </c>
      <c r="AS754" s="7" t="str">
        <f t="shared" si="80"/>
        <v/>
      </c>
      <c r="AT754" s="7" t="str">
        <f t="shared" si="81"/>
        <v/>
      </c>
      <c r="AU754" s="7" t="str">
        <f t="shared" si="82"/>
        <v/>
      </c>
      <c r="AV754" s="7" t="str">
        <f t="shared" si="83"/>
        <v/>
      </c>
      <c r="AW754" s="7" t="str">
        <f>IF('RFQ-Input'!O753="","",'RFQ-Input'!O753)</f>
        <v/>
      </c>
      <c r="AX754" s="7" t="str">
        <f>IF('RFQ-Input'!S753="","",'RFQ-Input'!S753)</f>
        <v/>
      </c>
      <c r="AY754" s="7" t="str">
        <f>IF('RFQ-Input'!V753="","",'RFQ-Input'!V753)</f>
        <v/>
      </c>
      <c r="AZ754" s="7" t="str">
        <f>IF('RFQ-Input'!Y753="","",'RFQ-Input'!Y753)</f>
        <v/>
      </c>
      <c r="BA754" s="7" t="str">
        <f>IF('RFQ-Input'!AB753="","",'RFQ-Input'!AB753)</f>
        <v/>
      </c>
    </row>
    <row r="755" spans="1:53">
      <c r="A755" s="20">
        <v>751</v>
      </c>
      <c r="B755" s="7"/>
      <c r="C755" s="7" t="str">
        <f>IF('RFQ-Input'!C754="","",'RFQ-Input'!C754)</f>
        <v/>
      </c>
      <c r="D755" s="7" t="str">
        <f>IF('RFQ-Input'!D754="","",'RFQ-Input'!D754)</f>
        <v/>
      </c>
      <c r="E755" s="7" t="str">
        <f>IF('RFQ-Input'!E754="","",'RFQ-Input'!E754)</f>
        <v/>
      </c>
      <c r="F755" s="7" t="str">
        <f>IF('RFQ-Input'!F754="","",'RFQ-Input'!F754)</f>
        <v/>
      </c>
      <c r="G755" s="7" t="str">
        <f>IF('RFQ-Input'!G754="","",'RFQ-Input'!G754)</f>
        <v/>
      </c>
      <c r="H755" s="7" t="str">
        <f>IF('RFQ-Input'!H754="","",'RFQ-Input'!H754)</f>
        <v/>
      </c>
      <c r="I755" s="7" t="str">
        <f>IF('RFQ-Input'!I754="","",'RFQ-Input'!I754)</f>
        <v/>
      </c>
      <c r="J755" s="7" t="str">
        <f>IF('RFQ-Input'!J754="","",'RFQ-Input'!J754)</f>
        <v/>
      </c>
      <c r="K755" s="7" t="str">
        <f>IF('RFQ-Input'!K754="","",'RFQ-Input'!K754)</f>
        <v/>
      </c>
      <c r="L755" s="7" t="str">
        <f>IF('RFQ-Input'!L754="","",'RFQ-Input'!L754)</f>
        <v/>
      </c>
      <c r="M755" s="7" t="str">
        <f>IF('RFQ-Input'!M754="","",'RFQ-Input'!M754)</f>
        <v/>
      </c>
      <c r="N755" s="7" t="str">
        <f>IF('RFQ-Input'!N754="","",'RFQ-Input'!N754)</f>
        <v/>
      </c>
      <c r="O755" s="7" t="str">
        <f>IF('RFQ-Input'!O754="","",'RFQ-Input'!O754)</f>
        <v/>
      </c>
      <c r="Q755" s="7"/>
      <c r="R755" s="7"/>
      <c r="S755" s="7"/>
      <c r="T755" s="7"/>
      <c r="U755" s="7"/>
      <c r="V755" s="7"/>
      <c r="X755" s="7"/>
      <c r="Y755" s="7"/>
      <c r="Z755" s="7"/>
      <c r="AA755" s="7" t="str">
        <f t="shared" si="77"/>
        <v/>
      </c>
      <c r="AB755" s="7"/>
      <c r="AC755" s="7"/>
      <c r="AQ755" s="7" t="str">
        <f t="shared" si="78"/>
        <v/>
      </c>
      <c r="AR755" s="7" t="str">
        <f t="shared" si="79"/>
        <v/>
      </c>
      <c r="AS755" s="7" t="str">
        <f t="shared" si="80"/>
        <v/>
      </c>
      <c r="AT755" s="7" t="str">
        <f t="shared" si="81"/>
        <v/>
      </c>
      <c r="AU755" s="7" t="str">
        <f t="shared" si="82"/>
        <v/>
      </c>
      <c r="AV755" s="7" t="str">
        <f t="shared" si="83"/>
        <v/>
      </c>
      <c r="AW755" s="7" t="str">
        <f>IF('RFQ-Input'!O754="","",'RFQ-Input'!O754)</f>
        <v/>
      </c>
      <c r="AX755" s="7" t="str">
        <f>IF('RFQ-Input'!S754="","",'RFQ-Input'!S754)</f>
        <v/>
      </c>
      <c r="AY755" s="7" t="str">
        <f>IF('RFQ-Input'!V754="","",'RFQ-Input'!V754)</f>
        <v/>
      </c>
      <c r="AZ755" s="7" t="str">
        <f>IF('RFQ-Input'!Y754="","",'RFQ-Input'!Y754)</f>
        <v/>
      </c>
      <c r="BA755" s="7" t="str">
        <f>IF('RFQ-Input'!AB754="","",'RFQ-Input'!AB754)</f>
        <v/>
      </c>
    </row>
    <row r="756" spans="1:53">
      <c r="A756" s="20">
        <v>752</v>
      </c>
      <c r="B756" s="7"/>
      <c r="C756" s="7" t="str">
        <f>IF('RFQ-Input'!C755="","",'RFQ-Input'!C755)</f>
        <v/>
      </c>
      <c r="D756" s="7" t="str">
        <f>IF('RFQ-Input'!D755="","",'RFQ-Input'!D755)</f>
        <v/>
      </c>
      <c r="E756" s="7" t="str">
        <f>IF('RFQ-Input'!E755="","",'RFQ-Input'!E755)</f>
        <v/>
      </c>
      <c r="F756" s="7" t="str">
        <f>IF('RFQ-Input'!F755="","",'RFQ-Input'!F755)</f>
        <v/>
      </c>
      <c r="G756" s="7" t="str">
        <f>IF('RFQ-Input'!G755="","",'RFQ-Input'!G755)</f>
        <v/>
      </c>
      <c r="H756" s="7" t="str">
        <f>IF('RFQ-Input'!H755="","",'RFQ-Input'!H755)</f>
        <v/>
      </c>
      <c r="I756" s="7" t="str">
        <f>IF('RFQ-Input'!I755="","",'RFQ-Input'!I755)</f>
        <v/>
      </c>
      <c r="J756" s="7" t="str">
        <f>IF('RFQ-Input'!J755="","",'RFQ-Input'!J755)</f>
        <v/>
      </c>
      <c r="K756" s="7" t="str">
        <f>IF('RFQ-Input'!K755="","",'RFQ-Input'!K755)</f>
        <v/>
      </c>
      <c r="L756" s="7" t="str">
        <f>IF('RFQ-Input'!L755="","",'RFQ-Input'!L755)</f>
        <v/>
      </c>
      <c r="M756" s="7" t="str">
        <f>IF('RFQ-Input'!M755="","",'RFQ-Input'!M755)</f>
        <v/>
      </c>
      <c r="N756" s="7" t="str">
        <f>IF('RFQ-Input'!N755="","",'RFQ-Input'!N755)</f>
        <v/>
      </c>
      <c r="O756" s="7" t="str">
        <f>IF('RFQ-Input'!O755="","",'RFQ-Input'!O755)</f>
        <v/>
      </c>
      <c r="Q756" s="7"/>
      <c r="R756" s="7"/>
      <c r="S756" s="7"/>
      <c r="T756" s="7"/>
      <c r="U756" s="7"/>
      <c r="V756" s="7"/>
      <c r="X756" s="7"/>
      <c r="Y756" s="7"/>
      <c r="Z756" s="7"/>
      <c r="AA756" s="7" t="str">
        <f t="shared" si="77"/>
        <v/>
      </c>
      <c r="AB756" s="7"/>
      <c r="AC756" s="7"/>
      <c r="AQ756" s="7" t="str">
        <f t="shared" si="78"/>
        <v/>
      </c>
      <c r="AR756" s="7" t="str">
        <f t="shared" si="79"/>
        <v/>
      </c>
      <c r="AS756" s="7" t="str">
        <f t="shared" si="80"/>
        <v/>
      </c>
      <c r="AT756" s="7" t="str">
        <f t="shared" si="81"/>
        <v/>
      </c>
      <c r="AU756" s="7" t="str">
        <f t="shared" si="82"/>
        <v/>
      </c>
      <c r="AV756" s="7" t="str">
        <f t="shared" si="83"/>
        <v/>
      </c>
      <c r="AW756" s="7" t="str">
        <f>IF('RFQ-Input'!O755="","",'RFQ-Input'!O755)</f>
        <v/>
      </c>
      <c r="AX756" s="7" t="str">
        <f>IF('RFQ-Input'!S755="","",'RFQ-Input'!S755)</f>
        <v/>
      </c>
      <c r="AY756" s="7" t="str">
        <f>IF('RFQ-Input'!V755="","",'RFQ-Input'!V755)</f>
        <v/>
      </c>
      <c r="AZ756" s="7" t="str">
        <f>IF('RFQ-Input'!Y755="","",'RFQ-Input'!Y755)</f>
        <v/>
      </c>
      <c r="BA756" s="7" t="str">
        <f>IF('RFQ-Input'!AB755="","",'RFQ-Input'!AB755)</f>
        <v/>
      </c>
    </row>
    <row r="757" spans="1:53">
      <c r="A757" s="20">
        <v>753</v>
      </c>
      <c r="B757" s="7"/>
      <c r="C757" s="7" t="str">
        <f>IF('RFQ-Input'!C756="","",'RFQ-Input'!C756)</f>
        <v/>
      </c>
      <c r="D757" s="7" t="str">
        <f>IF('RFQ-Input'!D756="","",'RFQ-Input'!D756)</f>
        <v/>
      </c>
      <c r="E757" s="7" t="str">
        <f>IF('RFQ-Input'!E756="","",'RFQ-Input'!E756)</f>
        <v/>
      </c>
      <c r="F757" s="7" t="str">
        <f>IF('RFQ-Input'!F756="","",'RFQ-Input'!F756)</f>
        <v/>
      </c>
      <c r="G757" s="7" t="str">
        <f>IF('RFQ-Input'!G756="","",'RFQ-Input'!G756)</f>
        <v/>
      </c>
      <c r="H757" s="7" t="str">
        <f>IF('RFQ-Input'!H756="","",'RFQ-Input'!H756)</f>
        <v/>
      </c>
      <c r="I757" s="7" t="str">
        <f>IF('RFQ-Input'!I756="","",'RFQ-Input'!I756)</f>
        <v/>
      </c>
      <c r="J757" s="7" t="str">
        <f>IF('RFQ-Input'!J756="","",'RFQ-Input'!J756)</f>
        <v/>
      </c>
      <c r="K757" s="7" t="str">
        <f>IF('RFQ-Input'!K756="","",'RFQ-Input'!K756)</f>
        <v/>
      </c>
      <c r="L757" s="7" t="str">
        <f>IF('RFQ-Input'!L756="","",'RFQ-Input'!L756)</f>
        <v/>
      </c>
      <c r="M757" s="7" t="str">
        <f>IF('RFQ-Input'!M756="","",'RFQ-Input'!M756)</f>
        <v/>
      </c>
      <c r="N757" s="7" t="str">
        <f>IF('RFQ-Input'!N756="","",'RFQ-Input'!N756)</f>
        <v/>
      </c>
      <c r="O757" s="7" t="str">
        <f>IF('RFQ-Input'!O756="","",'RFQ-Input'!O756)</f>
        <v/>
      </c>
      <c r="Q757" s="7"/>
      <c r="R757" s="7"/>
      <c r="S757" s="7"/>
      <c r="T757" s="7"/>
      <c r="U757" s="7"/>
      <c r="V757" s="7"/>
      <c r="X757" s="7"/>
      <c r="Y757" s="7"/>
      <c r="Z757" s="7"/>
      <c r="AA757" s="7" t="str">
        <f t="shared" si="77"/>
        <v/>
      </c>
      <c r="AB757" s="7"/>
      <c r="AC757" s="7"/>
      <c r="AQ757" s="7" t="str">
        <f t="shared" si="78"/>
        <v/>
      </c>
      <c r="AR757" s="7" t="str">
        <f t="shared" si="79"/>
        <v/>
      </c>
      <c r="AS757" s="7" t="str">
        <f t="shared" si="80"/>
        <v/>
      </c>
      <c r="AT757" s="7" t="str">
        <f t="shared" si="81"/>
        <v/>
      </c>
      <c r="AU757" s="7" t="str">
        <f t="shared" si="82"/>
        <v/>
      </c>
      <c r="AV757" s="7" t="str">
        <f t="shared" si="83"/>
        <v/>
      </c>
      <c r="AW757" s="7" t="str">
        <f>IF('RFQ-Input'!O756="","",'RFQ-Input'!O756)</f>
        <v/>
      </c>
      <c r="AX757" s="7" t="str">
        <f>IF('RFQ-Input'!S756="","",'RFQ-Input'!S756)</f>
        <v/>
      </c>
      <c r="AY757" s="7" t="str">
        <f>IF('RFQ-Input'!V756="","",'RFQ-Input'!V756)</f>
        <v/>
      </c>
      <c r="AZ757" s="7" t="str">
        <f>IF('RFQ-Input'!Y756="","",'RFQ-Input'!Y756)</f>
        <v/>
      </c>
      <c r="BA757" s="7" t="str">
        <f>IF('RFQ-Input'!AB756="","",'RFQ-Input'!AB756)</f>
        <v/>
      </c>
    </row>
    <row r="758" spans="1:53">
      <c r="A758" s="20">
        <v>754</v>
      </c>
      <c r="B758" s="7"/>
      <c r="C758" s="7" t="str">
        <f>IF('RFQ-Input'!C757="","",'RFQ-Input'!C757)</f>
        <v/>
      </c>
      <c r="D758" s="7" t="str">
        <f>IF('RFQ-Input'!D757="","",'RFQ-Input'!D757)</f>
        <v/>
      </c>
      <c r="E758" s="7" t="str">
        <f>IF('RFQ-Input'!E757="","",'RFQ-Input'!E757)</f>
        <v/>
      </c>
      <c r="F758" s="7" t="str">
        <f>IF('RFQ-Input'!F757="","",'RFQ-Input'!F757)</f>
        <v/>
      </c>
      <c r="G758" s="7" t="str">
        <f>IF('RFQ-Input'!G757="","",'RFQ-Input'!G757)</f>
        <v/>
      </c>
      <c r="H758" s="7" t="str">
        <f>IF('RFQ-Input'!H757="","",'RFQ-Input'!H757)</f>
        <v/>
      </c>
      <c r="I758" s="7" t="str">
        <f>IF('RFQ-Input'!I757="","",'RFQ-Input'!I757)</f>
        <v/>
      </c>
      <c r="J758" s="7" t="str">
        <f>IF('RFQ-Input'!J757="","",'RFQ-Input'!J757)</f>
        <v/>
      </c>
      <c r="K758" s="7" t="str">
        <f>IF('RFQ-Input'!K757="","",'RFQ-Input'!K757)</f>
        <v/>
      </c>
      <c r="L758" s="7" t="str">
        <f>IF('RFQ-Input'!L757="","",'RFQ-Input'!L757)</f>
        <v/>
      </c>
      <c r="M758" s="7" t="str">
        <f>IF('RFQ-Input'!M757="","",'RFQ-Input'!M757)</f>
        <v/>
      </c>
      <c r="N758" s="7" t="str">
        <f>IF('RFQ-Input'!N757="","",'RFQ-Input'!N757)</f>
        <v/>
      </c>
      <c r="O758" s="7" t="str">
        <f>IF('RFQ-Input'!O757="","",'RFQ-Input'!O757)</f>
        <v/>
      </c>
      <c r="Q758" s="7"/>
      <c r="R758" s="7"/>
      <c r="S758" s="7"/>
      <c r="T758" s="7"/>
      <c r="U758" s="7"/>
      <c r="V758" s="7"/>
      <c r="X758" s="7"/>
      <c r="Y758" s="7"/>
      <c r="Z758" s="7"/>
      <c r="AA758" s="7" t="str">
        <f t="shared" si="77"/>
        <v/>
      </c>
      <c r="AB758" s="7"/>
      <c r="AC758" s="7"/>
      <c r="AQ758" s="7" t="str">
        <f t="shared" si="78"/>
        <v/>
      </c>
      <c r="AR758" s="7" t="str">
        <f t="shared" si="79"/>
        <v/>
      </c>
      <c r="AS758" s="7" t="str">
        <f t="shared" si="80"/>
        <v/>
      </c>
      <c r="AT758" s="7" t="str">
        <f t="shared" si="81"/>
        <v/>
      </c>
      <c r="AU758" s="7" t="str">
        <f t="shared" si="82"/>
        <v/>
      </c>
      <c r="AV758" s="7" t="str">
        <f t="shared" si="83"/>
        <v/>
      </c>
      <c r="AW758" s="7" t="str">
        <f>IF('RFQ-Input'!O757="","",'RFQ-Input'!O757)</f>
        <v/>
      </c>
      <c r="AX758" s="7" t="str">
        <f>IF('RFQ-Input'!S757="","",'RFQ-Input'!S757)</f>
        <v/>
      </c>
      <c r="AY758" s="7" t="str">
        <f>IF('RFQ-Input'!V757="","",'RFQ-Input'!V757)</f>
        <v/>
      </c>
      <c r="AZ758" s="7" t="str">
        <f>IF('RFQ-Input'!Y757="","",'RFQ-Input'!Y757)</f>
        <v/>
      </c>
      <c r="BA758" s="7" t="str">
        <f>IF('RFQ-Input'!AB757="","",'RFQ-Input'!AB757)</f>
        <v/>
      </c>
    </row>
    <row r="759" spans="1:53">
      <c r="A759" s="20">
        <v>755</v>
      </c>
      <c r="B759" s="7"/>
      <c r="C759" s="7" t="str">
        <f>IF('RFQ-Input'!C758="","",'RFQ-Input'!C758)</f>
        <v/>
      </c>
      <c r="D759" s="7" t="str">
        <f>IF('RFQ-Input'!D758="","",'RFQ-Input'!D758)</f>
        <v/>
      </c>
      <c r="E759" s="7" t="str">
        <f>IF('RFQ-Input'!E758="","",'RFQ-Input'!E758)</f>
        <v/>
      </c>
      <c r="F759" s="7" t="str">
        <f>IF('RFQ-Input'!F758="","",'RFQ-Input'!F758)</f>
        <v/>
      </c>
      <c r="G759" s="7" t="str">
        <f>IF('RFQ-Input'!G758="","",'RFQ-Input'!G758)</f>
        <v/>
      </c>
      <c r="H759" s="7" t="str">
        <f>IF('RFQ-Input'!H758="","",'RFQ-Input'!H758)</f>
        <v/>
      </c>
      <c r="I759" s="7" t="str">
        <f>IF('RFQ-Input'!I758="","",'RFQ-Input'!I758)</f>
        <v/>
      </c>
      <c r="J759" s="7" t="str">
        <f>IF('RFQ-Input'!J758="","",'RFQ-Input'!J758)</f>
        <v/>
      </c>
      <c r="K759" s="7" t="str">
        <f>IF('RFQ-Input'!K758="","",'RFQ-Input'!K758)</f>
        <v/>
      </c>
      <c r="L759" s="7" t="str">
        <f>IF('RFQ-Input'!L758="","",'RFQ-Input'!L758)</f>
        <v/>
      </c>
      <c r="M759" s="7" t="str">
        <f>IF('RFQ-Input'!M758="","",'RFQ-Input'!M758)</f>
        <v/>
      </c>
      <c r="N759" s="7" t="str">
        <f>IF('RFQ-Input'!N758="","",'RFQ-Input'!N758)</f>
        <v/>
      </c>
      <c r="O759" s="7" t="str">
        <f>IF('RFQ-Input'!O758="","",'RFQ-Input'!O758)</f>
        <v/>
      </c>
      <c r="Q759" s="7"/>
      <c r="R759" s="7"/>
      <c r="S759" s="7"/>
      <c r="T759" s="7"/>
      <c r="U759" s="7"/>
      <c r="V759" s="7"/>
      <c r="X759" s="7"/>
      <c r="Y759" s="7"/>
      <c r="Z759" s="7"/>
      <c r="AA759" s="7" t="str">
        <f t="shared" si="77"/>
        <v/>
      </c>
      <c r="AB759" s="7"/>
      <c r="AC759" s="7"/>
      <c r="AQ759" s="7" t="str">
        <f t="shared" si="78"/>
        <v/>
      </c>
      <c r="AR759" s="7" t="str">
        <f t="shared" si="79"/>
        <v/>
      </c>
      <c r="AS759" s="7" t="str">
        <f t="shared" si="80"/>
        <v/>
      </c>
      <c r="AT759" s="7" t="str">
        <f t="shared" si="81"/>
        <v/>
      </c>
      <c r="AU759" s="7" t="str">
        <f t="shared" si="82"/>
        <v/>
      </c>
      <c r="AV759" s="7" t="str">
        <f t="shared" si="83"/>
        <v/>
      </c>
      <c r="AW759" s="7" t="str">
        <f>IF('RFQ-Input'!O758="","",'RFQ-Input'!O758)</f>
        <v/>
      </c>
      <c r="AX759" s="7" t="str">
        <f>IF('RFQ-Input'!S758="","",'RFQ-Input'!S758)</f>
        <v/>
      </c>
      <c r="AY759" s="7" t="str">
        <f>IF('RFQ-Input'!V758="","",'RFQ-Input'!V758)</f>
        <v/>
      </c>
      <c r="AZ759" s="7" t="str">
        <f>IF('RFQ-Input'!Y758="","",'RFQ-Input'!Y758)</f>
        <v/>
      </c>
      <c r="BA759" s="7" t="str">
        <f>IF('RFQ-Input'!AB758="","",'RFQ-Input'!AB758)</f>
        <v/>
      </c>
    </row>
    <row r="760" spans="1:53">
      <c r="A760" s="20">
        <v>756</v>
      </c>
      <c r="B760" s="7"/>
      <c r="C760" s="7" t="str">
        <f>IF('RFQ-Input'!C759="","",'RFQ-Input'!C759)</f>
        <v/>
      </c>
      <c r="D760" s="7" t="str">
        <f>IF('RFQ-Input'!D759="","",'RFQ-Input'!D759)</f>
        <v/>
      </c>
      <c r="E760" s="7" t="str">
        <f>IF('RFQ-Input'!E759="","",'RFQ-Input'!E759)</f>
        <v/>
      </c>
      <c r="F760" s="7" t="str">
        <f>IF('RFQ-Input'!F759="","",'RFQ-Input'!F759)</f>
        <v/>
      </c>
      <c r="G760" s="7" t="str">
        <f>IF('RFQ-Input'!G759="","",'RFQ-Input'!G759)</f>
        <v/>
      </c>
      <c r="H760" s="7" t="str">
        <f>IF('RFQ-Input'!H759="","",'RFQ-Input'!H759)</f>
        <v/>
      </c>
      <c r="I760" s="7" t="str">
        <f>IF('RFQ-Input'!I759="","",'RFQ-Input'!I759)</f>
        <v/>
      </c>
      <c r="J760" s="7" t="str">
        <f>IF('RFQ-Input'!J759="","",'RFQ-Input'!J759)</f>
        <v/>
      </c>
      <c r="K760" s="7" t="str">
        <f>IF('RFQ-Input'!K759="","",'RFQ-Input'!K759)</f>
        <v/>
      </c>
      <c r="L760" s="7" t="str">
        <f>IF('RFQ-Input'!L759="","",'RFQ-Input'!L759)</f>
        <v/>
      </c>
      <c r="M760" s="7" t="str">
        <f>IF('RFQ-Input'!M759="","",'RFQ-Input'!M759)</f>
        <v/>
      </c>
      <c r="N760" s="7" t="str">
        <f>IF('RFQ-Input'!N759="","",'RFQ-Input'!N759)</f>
        <v/>
      </c>
      <c r="O760" s="7" t="str">
        <f>IF('RFQ-Input'!O759="","",'RFQ-Input'!O759)</f>
        <v/>
      </c>
      <c r="Q760" s="7"/>
      <c r="R760" s="7"/>
      <c r="S760" s="7"/>
      <c r="T760" s="7"/>
      <c r="U760" s="7"/>
      <c r="V760" s="7"/>
      <c r="X760" s="7"/>
      <c r="Y760" s="7"/>
      <c r="Z760" s="7"/>
      <c r="AA760" s="7" t="str">
        <f t="shared" si="77"/>
        <v/>
      </c>
      <c r="AB760" s="7"/>
      <c r="AC760" s="7"/>
      <c r="AQ760" s="7" t="str">
        <f t="shared" si="78"/>
        <v/>
      </c>
      <c r="AR760" s="7" t="str">
        <f t="shared" si="79"/>
        <v/>
      </c>
      <c r="AS760" s="7" t="str">
        <f t="shared" si="80"/>
        <v/>
      </c>
      <c r="AT760" s="7" t="str">
        <f t="shared" si="81"/>
        <v/>
      </c>
      <c r="AU760" s="7" t="str">
        <f t="shared" si="82"/>
        <v/>
      </c>
      <c r="AV760" s="7" t="str">
        <f t="shared" si="83"/>
        <v/>
      </c>
      <c r="AW760" s="7" t="str">
        <f>IF('RFQ-Input'!O759="","",'RFQ-Input'!O759)</f>
        <v/>
      </c>
      <c r="AX760" s="7" t="str">
        <f>IF('RFQ-Input'!S759="","",'RFQ-Input'!S759)</f>
        <v/>
      </c>
      <c r="AY760" s="7" t="str">
        <f>IF('RFQ-Input'!V759="","",'RFQ-Input'!V759)</f>
        <v/>
      </c>
      <c r="AZ760" s="7" t="str">
        <f>IF('RFQ-Input'!Y759="","",'RFQ-Input'!Y759)</f>
        <v/>
      </c>
      <c r="BA760" s="7" t="str">
        <f>IF('RFQ-Input'!AB759="","",'RFQ-Input'!AB759)</f>
        <v/>
      </c>
    </row>
    <row r="761" spans="1:53">
      <c r="A761" s="20">
        <v>757</v>
      </c>
      <c r="B761" s="7"/>
      <c r="C761" s="7" t="str">
        <f>IF('RFQ-Input'!C760="","",'RFQ-Input'!C760)</f>
        <v/>
      </c>
      <c r="D761" s="7" t="str">
        <f>IF('RFQ-Input'!D760="","",'RFQ-Input'!D760)</f>
        <v/>
      </c>
      <c r="E761" s="7" t="str">
        <f>IF('RFQ-Input'!E760="","",'RFQ-Input'!E760)</f>
        <v/>
      </c>
      <c r="F761" s="7" t="str">
        <f>IF('RFQ-Input'!F760="","",'RFQ-Input'!F760)</f>
        <v/>
      </c>
      <c r="G761" s="7" t="str">
        <f>IF('RFQ-Input'!G760="","",'RFQ-Input'!G760)</f>
        <v/>
      </c>
      <c r="H761" s="7" t="str">
        <f>IF('RFQ-Input'!H760="","",'RFQ-Input'!H760)</f>
        <v/>
      </c>
      <c r="I761" s="7" t="str">
        <f>IF('RFQ-Input'!I760="","",'RFQ-Input'!I760)</f>
        <v/>
      </c>
      <c r="J761" s="7" t="str">
        <f>IF('RFQ-Input'!J760="","",'RFQ-Input'!J760)</f>
        <v/>
      </c>
      <c r="K761" s="7" t="str">
        <f>IF('RFQ-Input'!K760="","",'RFQ-Input'!K760)</f>
        <v/>
      </c>
      <c r="L761" s="7" t="str">
        <f>IF('RFQ-Input'!L760="","",'RFQ-Input'!L760)</f>
        <v/>
      </c>
      <c r="M761" s="7" t="str">
        <f>IF('RFQ-Input'!M760="","",'RFQ-Input'!M760)</f>
        <v/>
      </c>
      <c r="N761" s="7" t="str">
        <f>IF('RFQ-Input'!N760="","",'RFQ-Input'!N760)</f>
        <v/>
      </c>
      <c r="O761" s="7" t="str">
        <f>IF('RFQ-Input'!O760="","",'RFQ-Input'!O760)</f>
        <v/>
      </c>
      <c r="Q761" s="7"/>
      <c r="R761" s="7"/>
      <c r="S761" s="7"/>
      <c r="T761" s="7"/>
      <c r="U761" s="7"/>
      <c r="V761" s="7"/>
      <c r="X761" s="7"/>
      <c r="Y761" s="7"/>
      <c r="Z761" s="7"/>
      <c r="AA761" s="7" t="str">
        <f t="shared" si="77"/>
        <v/>
      </c>
      <c r="AB761" s="7"/>
      <c r="AC761" s="7"/>
      <c r="AQ761" s="7" t="str">
        <f t="shared" si="78"/>
        <v/>
      </c>
      <c r="AR761" s="7" t="str">
        <f t="shared" si="79"/>
        <v/>
      </c>
      <c r="AS761" s="7" t="str">
        <f t="shared" si="80"/>
        <v/>
      </c>
      <c r="AT761" s="7" t="str">
        <f t="shared" si="81"/>
        <v/>
      </c>
      <c r="AU761" s="7" t="str">
        <f t="shared" si="82"/>
        <v/>
      </c>
      <c r="AV761" s="7" t="str">
        <f t="shared" si="83"/>
        <v/>
      </c>
      <c r="AW761" s="7" t="str">
        <f>IF('RFQ-Input'!O760="","",'RFQ-Input'!O760)</f>
        <v/>
      </c>
      <c r="AX761" s="7" t="str">
        <f>IF('RFQ-Input'!S760="","",'RFQ-Input'!S760)</f>
        <v/>
      </c>
      <c r="AY761" s="7" t="str">
        <f>IF('RFQ-Input'!V760="","",'RFQ-Input'!V760)</f>
        <v/>
      </c>
      <c r="AZ761" s="7" t="str">
        <f>IF('RFQ-Input'!Y760="","",'RFQ-Input'!Y760)</f>
        <v/>
      </c>
      <c r="BA761" s="7" t="str">
        <f>IF('RFQ-Input'!AB760="","",'RFQ-Input'!AB760)</f>
        <v/>
      </c>
    </row>
    <row r="762" spans="1:53">
      <c r="A762" s="20">
        <v>758</v>
      </c>
      <c r="B762" s="7"/>
      <c r="C762" s="7" t="str">
        <f>IF('RFQ-Input'!C761="","",'RFQ-Input'!C761)</f>
        <v/>
      </c>
      <c r="D762" s="7" t="str">
        <f>IF('RFQ-Input'!D761="","",'RFQ-Input'!D761)</f>
        <v/>
      </c>
      <c r="E762" s="7" t="str">
        <f>IF('RFQ-Input'!E761="","",'RFQ-Input'!E761)</f>
        <v/>
      </c>
      <c r="F762" s="7" t="str">
        <f>IF('RFQ-Input'!F761="","",'RFQ-Input'!F761)</f>
        <v/>
      </c>
      <c r="G762" s="7" t="str">
        <f>IF('RFQ-Input'!G761="","",'RFQ-Input'!G761)</f>
        <v/>
      </c>
      <c r="H762" s="7" t="str">
        <f>IF('RFQ-Input'!H761="","",'RFQ-Input'!H761)</f>
        <v/>
      </c>
      <c r="I762" s="7" t="str">
        <f>IF('RFQ-Input'!I761="","",'RFQ-Input'!I761)</f>
        <v/>
      </c>
      <c r="J762" s="7" t="str">
        <f>IF('RFQ-Input'!J761="","",'RFQ-Input'!J761)</f>
        <v/>
      </c>
      <c r="K762" s="7" t="str">
        <f>IF('RFQ-Input'!K761="","",'RFQ-Input'!K761)</f>
        <v/>
      </c>
      <c r="L762" s="7" t="str">
        <f>IF('RFQ-Input'!L761="","",'RFQ-Input'!L761)</f>
        <v/>
      </c>
      <c r="M762" s="7" t="str">
        <f>IF('RFQ-Input'!M761="","",'RFQ-Input'!M761)</f>
        <v/>
      </c>
      <c r="N762" s="7" t="str">
        <f>IF('RFQ-Input'!N761="","",'RFQ-Input'!N761)</f>
        <v/>
      </c>
      <c r="O762" s="7" t="str">
        <f>IF('RFQ-Input'!O761="","",'RFQ-Input'!O761)</f>
        <v/>
      </c>
      <c r="Q762" s="7"/>
      <c r="R762" s="7"/>
      <c r="S762" s="7"/>
      <c r="T762" s="7"/>
      <c r="U762" s="7"/>
      <c r="V762" s="7"/>
      <c r="X762" s="7"/>
      <c r="Y762" s="7"/>
      <c r="Z762" s="7"/>
      <c r="AA762" s="7" t="str">
        <f t="shared" si="77"/>
        <v/>
      </c>
      <c r="AB762" s="7"/>
      <c r="AC762" s="7"/>
      <c r="AQ762" s="7" t="str">
        <f t="shared" si="78"/>
        <v/>
      </c>
      <c r="AR762" s="7" t="str">
        <f t="shared" si="79"/>
        <v/>
      </c>
      <c r="AS762" s="7" t="str">
        <f t="shared" si="80"/>
        <v/>
      </c>
      <c r="AT762" s="7" t="str">
        <f t="shared" si="81"/>
        <v/>
      </c>
      <c r="AU762" s="7" t="str">
        <f t="shared" si="82"/>
        <v/>
      </c>
      <c r="AV762" s="7" t="str">
        <f t="shared" si="83"/>
        <v/>
      </c>
      <c r="AW762" s="7" t="str">
        <f>IF('RFQ-Input'!O761="","",'RFQ-Input'!O761)</f>
        <v/>
      </c>
      <c r="AX762" s="7" t="str">
        <f>IF('RFQ-Input'!S761="","",'RFQ-Input'!S761)</f>
        <v/>
      </c>
      <c r="AY762" s="7" t="str">
        <f>IF('RFQ-Input'!V761="","",'RFQ-Input'!V761)</f>
        <v/>
      </c>
      <c r="AZ762" s="7" t="str">
        <f>IF('RFQ-Input'!Y761="","",'RFQ-Input'!Y761)</f>
        <v/>
      </c>
      <c r="BA762" s="7" t="str">
        <f>IF('RFQ-Input'!AB761="","",'RFQ-Input'!AB761)</f>
        <v/>
      </c>
    </row>
    <row r="763" spans="1:53">
      <c r="A763" s="20">
        <v>759</v>
      </c>
      <c r="B763" s="7"/>
      <c r="C763" s="7" t="str">
        <f>IF('RFQ-Input'!C762="","",'RFQ-Input'!C762)</f>
        <v/>
      </c>
      <c r="D763" s="7" t="str">
        <f>IF('RFQ-Input'!D762="","",'RFQ-Input'!D762)</f>
        <v/>
      </c>
      <c r="E763" s="7" t="str">
        <f>IF('RFQ-Input'!E762="","",'RFQ-Input'!E762)</f>
        <v/>
      </c>
      <c r="F763" s="7" t="str">
        <f>IF('RFQ-Input'!F762="","",'RFQ-Input'!F762)</f>
        <v/>
      </c>
      <c r="G763" s="7" t="str">
        <f>IF('RFQ-Input'!G762="","",'RFQ-Input'!G762)</f>
        <v/>
      </c>
      <c r="H763" s="7" t="str">
        <f>IF('RFQ-Input'!H762="","",'RFQ-Input'!H762)</f>
        <v/>
      </c>
      <c r="I763" s="7" t="str">
        <f>IF('RFQ-Input'!I762="","",'RFQ-Input'!I762)</f>
        <v/>
      </c>
      <c r="J763" s="7" t="str">
        <f>IF('RFQ-Input'!J762="","",'RFQ-Input'!J762)</f>
        <v/>
      </c>
      <c r="K763" s="7" t="str">
        <f>IF('RFQ-Input'!K762="","",'RFQ-Input'!K762)</f>
        <v/>
      </c>
      <c r="L763" s="7" t="str">
        <f>IF('RFQ-Input'!L762="","",'RFQ-Input'!L762)</f>
        <v/>
      </c>
      <c r="M763" s="7" t="str">
        <f>IF('RFQ-Input'!M762="","",'RFQ-Input'!M762)</f>
        <v/>
      </c>
      <c r="N763" s="7" t="str">
        <f>IF('RFQ-Input'!N762="","",'RFQ-Input'!N762)</f>
        <v/>
      </c>
      <c r="O763" s="7" t="str">
        <f>IF('RFQ-Input'!O762="","",'RFQ-Input'!O762)</f>
        <v/>
      </c>
      <c r="Q763" s="7"/>
      <c r="R763" s="7"/>
      <c r="S763" s="7"/>
      <c r="T763" s="7"/>
      <c r="U763" s="7"/>
      <c r="V763" s="7"/>
      <c r="X763" s="7"/>
      <c r="Y763" s="7"/>
      <c r="Z763" s="7"/>
      <c r="AA763" s="7" t="str">
        <f t="shared" si="77"/>
        <v/>
      </c>
      <c r="AB763" s="7"/>
      <c r="AC763" s="7"/>
      <c r="AQ763" s="7" t="str">
        <f t="shared" si="78"/>
        <v/>
      </c>
      <c r="AR763" s="7" t="str">
        <f t="shared" si="79"/>
        <v/>
      </c>
      <c r="AS763" s="7" t="str">
        <f t="shared" si="80"/>
        <v/>
      </c>
      <c r="AT763" s="7" t="str">
        <f t="shared" si="81"/>
        <v/>
      </c>
      <c r="AU763" s="7" t="str">
        <f t="shared" si="82"/>
        <v/>
      </c>
      <c r="AV763" s="7" t="str">
        <f t="shared" si="83"/>
        <v/>
      </c>
      <c r="AW763" s="7" t="str">
        <f>IF('RFQ-Input'!O762="","",'RFQ-Input'!O762)</f>
        <v/>
      </c>
      <c r="AX763" s="7" t="str">
        <f>IF('RFQ-Input'!S762="","",'RFQ-Input'!S762)</f>
        <v/>
      </c>
      <c r="AY763" s="7" t="str">
        <f>IF('RFQ-Input'!V762="","",'RFQ-Input'!V762)</f>
        <v/>
      </c>
      <c r="AZ763" s="7" t="str">
        <f>IF('RFQ-Input'!Y762="","",'RFQ-Input'!Y762)</f>
        <v/>
      </c>
      <c r="BA763" s="7" t="str">
        <f>IF('RFQ-Input'!AB762="","",'RFQ-Input'!AB762)</f>
        <v/>
      </c>
    </row>
    <row r="764" spans="1:53">
      <c r="A764" s="20">
        <v>760</v>
      </c>
      <c r="B764" s="7"/>
      <c r="C764" s="7" t="str">
        <f>IF('RFQ-Input'!C763="","",'RFQ-Input'!C763)</f>
        <v/>
      </c>
      <c r="D764" s="7" t="str">
        <f>IF('RFQ-Input'!D763="","",'RFQ-Input'!D763)</f>
        <v/>
      </c>
      <c r="E764" s="7" t="str">
        <f>IF('RFQ-Input'!E763="","",'RFQ-Input'!E763)</f>
        <v/>
      </c>
      <c r="F764" s="7" t="str">
        <f>IF('RFQ-Input'!F763="","",'RFQ-Input'!F763)</f>
        <v/>
      </c>
      <c r="G764" s="7" t="str">
        <f>IF('RFQ-Input'!G763="","",'RFQ-Input'!G763)</f>
        <v/>
      </c>
      <c r="H764" s="7" t="str">
        <f>IF('RFQ-Input'!H763="","",'RFQ-Input'!H763)</f>
        <v/>
      </c>
      <c r="I764" s="7" t="str">
        <f>IF('RFQ-Input'!I763="","",'RFQ-Input'!I763)</f>
        <v/>
      </c>
      <c r="J764" s="7" t="str">
        <f>IF('RFQ-Input'!J763="","",'RFQ-Input'!J763)</f>
        <v/>
      </c>
      <c r="K764" s="7" t="str">
        <f>IF('RFQ-Input'!K763="","",'RFQ-Input'!K763)</f>
        <v/>
      </c>
      <c r="L764" s="7" t="str">
        <f>IF('RFQ-Input'!L763="","",'RFQ-Input'!L763)</f>
        <v/>
      </c>
      <c r="M764" s="7" t="str">
        <f>IF('RFQ-Input'!M763="","",'RFQ-Input'!M763)</f>
        <v/>
      </c>
      <c r="N764" s="7" t="str">
        <f>IF('RFQ-Input'!N763="","",'RFQ-Input'!N763)</f>
        <v/>
      </c>
      <c r="O764" s="7" t="str">
        <f>IF('RFQ-Input'!O763="","",'RFQ-Input'!O763)</f>
        <v/>
      </c>
      <c r="Q764" s="7"/>
      <c r="R764" s="7"/>
      <c r="S764" s="7"/>
      <c r="T764" s="7"/>
      <c r="U764" s="7"/>
      <c r="V764" s="7"/>
      <c r="X764" s="7"/>
      <c r="Y764" s="7"/>
      <c r="Z764" s="7"/>
      <c r="AA764" s="7" t="str">
        <f t="shared" si="77"/>
        <v/>
      </c>
      <c r="AB764" s="7"/>
      <c r="AC764" s="7"/>
      <c r="AQ764" s="7" t="str">
        <f t="shared" si="78"/>
        <v/>
      </c>
      <c r="AR764" s="7" t="str">
        <f t="shared" si="79"/>
        <v/>
      </c>
      <c r="AS764" s="7" t="str">
        <f t="shared" si="80"/>
        <v/>
      </c>
      <c r="AT764" s="7" t="str">
        <f t="shared" si="81"/>
        <v/>
      </c>
      <c r="AU764" s="7" t="str">
        <f t="shared" si="82"/>
        <v/>
      </c>
      <c r="AV764" s="7" t="str">
        <f t="shared" si="83"/>
        <v/>
      </c>
      <c r="AW764" s="7" t="str">
        <f>IF('RFQ-Input'!O763="","",'RFQ-Input'!O763)</f>
        <v/>
      </c>
      <c r="AX764" s="7" t="str">
        <f>IF('RFQ-Input'!S763="","",'RFQ-Input'!S763)</f>
        <v/>
      </c>
      <c r="AY764" s="7" t="str">
        <f>IF('RFQ-Input'!V763="","",'RFQ-Input'!V763)</f>
        <v/>
      </c>
      <c r="AZ764" s="7" t="str">
        <f>IF('RFQ-Input'!Y763="","",'RFQ-Input'!Y763)</f>
        <v/>
      </c>
      <c r="BA764" s="7" t="str">
        <f>IF('RFQ-Input'!AB763="","",'RFQ-Input'!AB763)</f>
        <v/>
      </c>
    </row>
    <row r="765" spans="1:53">
      <c r="A765" s="20">
        <v>761</v>
      </c>
      <c r="B765" s="7"/>
      <c r="C765" s="7" t="str">
        <f>IF('RFQ-Input'!C764="","",'RFQ-Input'!C764)</f>
        <v/>
      </c>
      <c r="D765" s="7" t="str">
        <f>IF('RFQ-Input'!D764="","",'RFQ-Input'!D764)</f>
        <v/>
      </c>
      <c r="E765" s="7" t="str">
        <f>IF('RFQ-Input'!E764="","",'RFQ-Input'!E764)</f>
        <v/>
      </c>
      <c r="F765" s="7" t="str">
        <f>IF('RFQ-Input'!F764="","",'RFQ-Input'!F764)</f>
        <v/>
      </c>
      <c r="G765" s="7" t="str">
        <f>IF('RFQ-Input'!G764="","",'RFQ-Input'!G764)</f>
        <v/>
      </c>
      <c r="H765" s="7" t="str">
        <f>IF('RFQ-Input'!H764="","",'RFQ-Input'!H764)</f>
        <v/>
      </c>
      <c r="I765" s="7" t="str">
        <f>IF('RFQ-Input'!I764="","",'RFQ-Input'!I764)</f>
        <v/>
      </c>
      <c r="J765" s="7" t="str">
        <f>IF('RFQ-Input'!J764="","",'RFQ-Input'!J764)</f>
        <v/>
      </c>
      <c r="K765" s="7" t="str">
        <f>IF('RFQ-Input'!K764="","",'RFQ-Input'!K764)</f>
        <v/>
      </c>
      <c r="L765" s="7" t="str">
        <f>IF('RFQ-Input'!L764="","",'RFQ-Input'!L764)</f>
        <v/>
      </c>
      <c r="M765" s="7" t="str">
        <f>IF('RFQ-Input'!M764="","",'RFQ-Input'!M764)</f>
        <v/>
      </c>
      <c r="N765" s="7" t="str">
        <f>IF('RFQ-Input'!N764="","",'RFQ-Input'!N764)</f>
        <v/>
      </c>
      <c r="O765" s="7" t="str">
        <f>IF('RFQ-Input'!O764="","",'RFQ-Input'!O764)</f>
        <v/>
      </c>
      <c r="Q765" s="7"/>
      <c r="R765" s="7"/>
      <c r="S765" s="7"/>
      <c r="T765" s="7"/>
      <c r="U765" s="7"/>
      <c r="V765" s="7"/>
      <c r="X765" s="7"/>
      <c r="Y765" s="7"/>
      <c r="Z765" s="7"/>
      <c r="AA765" s="7" t="str">
        <f t="shared" si="77"/>
        <v/>
      </c>
      <c r="AB765" s="7"/>
      <c r="AC765" s="7"/>
      <c r="AQ765" s="7" t="str">
        <f t="shared" si="78"/>
        <v/>
      </c>
      <c r="AR765" s="7" t="str">
        <f t="shared" si="79"/>
        <v/>
      </c>
      <c r="AS765" s="7" t="str">
        <f t="shared" si="80"/>
        <v/>
      </c>
      <c r="AT765" s="7" t="str">
        <f t="shared" si="81"/>
        <v/>
      </c>
      <c r="AU765" s="7" t="str">
        <f t="shared" si="82"/>
        <v/>
      </c>
      <c r="AV765" s="7" t="str">
        <f t="shared" si="83"/>
        <v/>
      </c>
      <c r="AW765" s="7" t="str">
        <f>IF('RFQ-Input'!O764="","",'RFQ-Input'!O764)</f>
        <v/>
      </c>
      <c r="AX765" s="7" t="str">
        <f>IF('RFQ-Input'!S764="","",'RFQ-Input'!S764)</f>
        <v/>
      </c>
      <c r="AY765" s="7" t="str">
        <f>IF('RFQ-Input'!V764="","",'RFQ-Input'!V764)</f>
        <v/>
      </c>
      <c r="AZ765" s="7" t="str">
        <f>IF('RFQ-Input'!Y764="","",'RFQ-Input'!Y764)</f>
        <v/>
      </c>
      <c r="BA765" s="7" t="str">
        <f>IF('RFQ-Input'!AB764="","",'RFQ-Input'!AB764)</f>
        <v/>
      </c>
    </row>
    <row r="766" spans="1:53">
      <c r="A766" s="20">
        <v>762</v>
      </c>
      <c r="B766" s="7"/>
      <c r="C766" s="7" t="str">
        <f>IF('RFQ-Input'!C765="","",'RFQ-Input'!C765)</f>
        <v/>
      </c>
      <c r="D766" s="7" t="str">
        <f>IF('RFQ-Input'!D765="","",'RFQ-Input'!D765)</f>
        <v/>
      </c>
      <c r="E766" s="7" t="str">
        <f>IF('RFQ-Input'!E765="","",'RFQ-Input'!E765)</f>
        <v/>
      </c>
      <c r="F766" s="7" t="str">
        <f>IF('RFQ-Input'!F765="","",'RFQ-Input'!F765)</f>
        <v/>
      </c>
      <c r="G766" s="7" t="str">
        <f>IF('RFQ-Input'!G765="","",'RFQ-Input'!G765)</f>
        <v/>
      </c>
      <c r="H766" s="7" t="str">
        <f>IF('RFQ-Input'!H765="","",'RFQ-Input'!H765)</f>
        <v/>
      </c>
      <c r="I766" s="7" t="str">
        <f>IF('RFQ-Input'!I765="","",'RFQ-Input'!I765)</f>
        <v/>
      </c>
      <c r="J766" s="7" t="str">
        <f>IF('RFQ-Input'!J765="","",'RFQ-Input'!J765)</f>
        <v/>
      </c>
      <c r="K766" s="7" t="str">
        <f>IF('RFQ-Input'!K765="","",'RFQ-Input'!K765)</f>
        <v/>
      </c>
      <c r="L766" s="7" t="str">
        <f>IF('RFQ-Input'!L765="","",'RFQ-Input'!L765)</f>
        <v/>
      </c>
      <c r="M766" s="7" t="str">
        <f>IF('RFQ-Input'!M765="","",'RFQ-Input'!M765)</f>
        <v/>
      </c>
      <c r="N766" s="7" t="str">
        <f>IF('RFQ-Input'!N765="","",'RFQ-Input'!N765)</f>
        <v/>
      </c>
      <c r="O766" s="7" t="str">
        <f>IF('RFQ-Input'!O765="","",'RFQ-Input'!O765)</f>
        <v/>
      </c>
      <c r="Q766" s="7"/>
      <c r="R766" s="7"/>
      <c r="S766" s="7"/>
      <c r="T766" s="7"/>
      <c r="U766" s="7"/>
      <c r="V766" s="7"/>
      <c r="X766" s="7"/>
      <c r="Y766" s="7"/>
      <c r="Z766" s="7"/>
      <c r="AA766" s="7" t="str">
        <f t="shared" si="77"/>
        <v/>
      </c>
      <c r="AB766" s="7"/>
      <c r="AC766" s="7"/>
      <c r="AQ766" s="7" t="str">
        <f t="shared" si="78"/>
        <v/>
      </c>
      <c r="AR766" s="7" t="str">
        <f t="shared" si="79"/>
        <v/>
      </c>
      <c r="AS766" s="7" t="str">
        <f t="shared" si="80"/>
        <v/>
      </c>
      <c r="AT766" s="7" t="str">
        <f t="shared" si="81"/>
        <v/>
      </c>
      <c r="AU766" s="7" t="str">
        <f t="shared" si="82"/>
        <v/>
      </c>
      <c r="AV766" s="7" t="str">
        <f t="shared" si="83"/>
        <v/>
      </c>
      <c r="AW766" s="7" t="str">
        <f>IF('RFQ-Input'!O765="","",'RFQ-Input'!O765)</f>
        <v/>
      </c>
      <c r="AX766" s="7" t="str">
        <f>IF('RFQ-Input'!S765="","",'RFQ-Input'!S765)</f>
        <v/>
      </c>
      <c r="AY766" s="7" t="str">
        <f>IF('RFQ-Input'!V765="","",'RFQ-Input'!V765)</f>
        <v/>
      </c>
      <c r="AZ766" s="7" t="str">
        <f>IF('RFQ-Input'!Y765="","",'RFQ-Input'!Y765)</f>
        <v/>
      </c>
      <c r="BA766" s="7" t="str">
        <f>IF('RFQ-Input'!AB765="","",'RFQ-Input'!AB765)</f>
        <v/>
      </c>
    </row>
    <row r="767" spans="1:53">
      <c r="A767" s="20">
        <v>763</v>
      </c>
      <c r="B767" s="7"/>
      <c r="C767" s="7" t="str">
        <f>IF('RFQ-Input'!C766="","",'RFQ-Input'!C766)</f>
        <v/>
      </c>
      <c r="D767" s="7" t="str">
        <f>IF('RFQ-Input'!D766="","",'RFQ-Input'!D766)</f>
        <v/>
      </c>
      <c r="E767" s="7" t="str">
        <f>IF('RFQ-Input'!E766="","",'RFQ-Input'!E766)</f>
        <v/>
      </c>
      <c r="F767" s="7" t="str">
        <f>IF('RFQ-Input'!F766="","",'RFQ-Input'!F766)</f>
        <v/>
      </c>
      <c r="G767" s="7" t="str">
        <f>IF('RFQ-Input'!G766="","",'RFQ-Input'!G766)</f>
        <v/>
      </c>
      <c r="H767" s="7" t="str">
        <f>IF('RFQ-Input'!H766="","",'RFQ-Input'!H766)</f>
        <v/>
      </c>
      <c r="I767" s="7" t="str">
        <f>IF('RFQ-Input'!I766="","",'RFQ-Input'!I766)</f>
        <v/>
      </c>
      <c r="J767" s="7" t="str">
        <f>IF('RFQ-Input'!J766="","",'RFQ-Input'!J766)</f>
        <v/>
      </c>
      <c r="K767" s="7" t="str">
        <f>IF('RFQ-Input'!K766="","",'RFQ-Input'!K766)</f>
        <v/>
      </c>
      <c r="L767" s="7" t="str">
        <f>IF('RFQ-Input'!L766="","",'RFQ-Input'!L766)</f>
        <v/>
      </c>
      <c r="M767" s="7" t="str">
        <f>IF('RFQ-Input'!M766="","",'RFQ-Input'!M766)</f>
        <v/>
      </c>
      <c r="N767" s="7" t="str">
        <f>IF('RFQ-Input'!N766="","",'RFQ-Input'!N766)</f>
        <v/>
      </c>
      <c r="O767" s="7" t="str">
        <f>IF('RFQ-Input'!O766="","",'RFQ-Input'!O766)</f>
        <v/>
      </c>
      <c r="Q767" s="7"/>
      <c r="R767" s="7"/>
      <c r="S767" s="7"/>
      <c r="T767" s="7"/>
      <c r="U767" s="7"/>
      <c r="V767" s="7"/>
      <c r="X767" s="7"/>
      <c r="Y767" s="7"/>
      <c r="Z767" s="7"/>
      <c r="AA767" s="7" t="str">
        <f t="shared" si="77"/>
        <v/>
      </c>
      <c r="AB767" s="7"/>
      <c r="AC767" s="7"/>
      <c r="AQ767" s="7" t="str">
        <f t="shared" si="78"/>
        <v/>
      </c>
      <c r="AR767" s="7" t="str">
        <f t="shared" si="79"/>
        <v/>
      </c>
      <c r="AS767" s="7" t="str">
        <f t="shared" si="80"/>
        <v/>
      </c>
      <c r="AT767" s="7" t="str">
        <f t="shared" si="81"/>
        <v/>
      </c>
      <c r="AU767" s="7" t="str">
        <f t="shared" si="82"/>
        <v/>
      </c>
      <c r="AV767" s="7" t="str">
        <f t="shared" si="83"/>
        <v/>
      </c>
      <c r="AW767" s="7" t="str">
        <f>IF('RFQ-Input'!O766="","",'RFQ-Input'!O766)</f>
        <v/>
      </c>
      <c r="AX767" s="7" t="str">
        <f>IF('RFQ-Input'!S766="","",'RFQ-Input'!S766)</f>
        <v/>
      </c>
      <c r="AY767" s="7" t="str">
        <f>IF('RFQ-Input'!V766="","",'RFQ-Input'!V766)</f>
        <v/>
      </c>
      <c r="AZ767" s="7" t="str">
        <f>IF('RFQ-Input'!Y766="","",'RFQ-Input'!Y766)</f>
        <v/>
      </c>
      <c r="BA767" s="7" t="str">
        <f>IF('RFQ-Input'!AB766="","",'RFQ-Input'!AB766)</f>
        <v/>
      </c>
    </row>
    <row r="768" spans="1:53">
      <c r="A768" s="20">
        <v>764</v>
      </c>
      <c r="B768" s="7"/>
      <c r="C768" s="7" t="str">
        <f>IF('RFQ-Input'!C767="","",'RFQ-Input'!C767)</f>
        <v/>
      </c>
      <c r="D768" s="7" t="str">
        <f>IF('RFQ-Input'!D767="","",'RFQ-Input'!D767)</f>
        <v/>
      </c>
      <c r="E768" s="7" t="str">
        <f>IF('RFQ-Input'!E767="","",'RFQ-Input'!E767)</f>
        <v/>
      </c>
      <c r="F768" s="7" t="str">
        <f>IF('RFQ-Input'!F767="","",'RFQ-Input'!F767)</f>
        <v/>
      </c>
      <c r="G768" s="7" t="str">
        <f>IF('RFQ-Input'!G767="","",'RFQ-Input'!G767)</f>
        <v/>
      </c>
      <c r="H768" s="7" t="str">
        <f>IF('RFQ-Input'!H767="","",'RFQ-Input'!H767)</f>
        <v/>
      </c>
      <c r="I768" s="7" t="str">
        <f>IF('RFQ-Input'!I767="","",'RFQ-Input'!I767)</f>
        <v/>
      </c>
      <c r="J768" s="7" t="str">
        <f>IF('RFQ-Input'!J767="","",'RFQ-Input'!J767)</f>
        <v/>
      </c>
      <c r="K768" s="7" t="str">
        <f>IF('RFQ-Input'!K767="","",'RFQ-Input'!K767)</f>
        <v/>
      </c>
      <c r="L768" s="7" t="str">
        <f>IF('RFQ-Input'!L767="","",'RFQ-Input'!L767)</f>
        <v/>
      </c>
      <c r="M768" s="7" t="str">
        <f>IF('RFQ-Input'!M767="","",'RFQ-Input'!M767)</f>
        <v/>
      </c>
      <c r="N768" s="7" t="str">
        <f>IF('RFQ-Input'!N767="","",'RFQ-Input'!N767)</f>
        <v/>
      </c>
      <c r="O768" s="7" t="str">
        <f>IF('RFQ-Input'!O767="","",'RFQ-Input'!O767)</f>
        <v/>
      </c>
      <c r="Q768" s="7"/>
      <c r="R768" s="7"/>
      <c r="S768" s="7"/>
      <c r="T768" s="7"/>
      <c r="U768" s="7"/>
      <c r="V768" s="7"/>
      <c r="X768" s="7"/>
      <c r="Y768" s="7"/>
      <c r="Z768" s="7"/>
      <c r="AA768" s="7" t="str">
        <f t="shared" si="77"/>
        <v/>
      </c>
      <c r="AB768" s="7"/>
      <c r="AC768" s="7"/>
      <c r="AQ768" s="7" t="str">
        <f t="shared" si="78"/>
        <v/>
      </c>
      <c r="AR768" s="7" t="str">
        <f t="shared" si="79"/>
        <v/>
      </c>
      <c r="AS768" s="7" t="str">
        <f t="shared" si="80"/>
        <v/>
      </c>
      <c r="AT768" s="7" t="str">
        <f t="shared" si="81"/>
        <v/>
      </c>
      <c r="AU768" s="7" t="str">
        <f t="shared" si="82"/>
        <v/>
      </c>
      <c r="AV768" s="7" t="str">
        <f t="shared" si="83"/>
        <v/>
      </c>
      <c r="AW768" s="7" t="str">
        <f>IF('RFQ-Input'!O767="","",'RFQ-Input'!O767)</f>
        <v/>
      </c>
      <c r="AX768" s="7" t="str">
        <f>IF('RFQ-Input'!S767="","",'RFQ-Input'!S767)</f>
        <v/>
      </c>
      <c r="AY768" s="7" t="str">
        <f>IF('RFQ-Input'!V767="","",'RFQ-Input'!V767)</f>
        <v/>
      </c>
      <c r="AZ768" s="7" t="str">
        <f>IF('RFQ-Input'!Y767="","",'RFQ-Input'!Y767)</f>
        <v/>
      </c>
      <c r="BA768" s="7" t="str">
        <f>IF('RFQ-Input'!AB767="","",'RFQ-Input'!AB767)</f>
        <v/>
      </c>
    </row>
    <row r="769" spans="1:53">
      <c r="A769" s="20">
        <v>765</v>
      </c>
      <c r="B769" s="7"/>
      <c r="C769" s="7" t="str">
        <f>IF('RFQ-Input'!C768="","",'RFQ-Input'!C768)</f>
        <v/>
      </c>
      <c r="D769" s="7" t="str">
        <f>IF('RFQ-Input'!D768="","",'RFQ-Input'!D768)</f>
        <v/>
      </c>
      <c r="E769" s="7" t="str">
        <f>IF('RFQ-Input'!E768="","",'RFQ-Input'!E768)</f>
        <v/>
      </c>
      <c r="F769" s="7" t="str">
        <f>IF('RFQ-Input'!F768="","",'RFQ-Input'!F768)</f>
        <v/>
      </c>
      <c r="G769" s="7" t="str">
        <f>IF('RFQ-Input'!G768="","",'RFQ-Input'!G768)</f>
        <v/>
      </c>
      <c r="H769" s="7" t="str">
        <f>IF('RFQ-Input'!H768="","",'RFQ-Input'!H768)</f>
        <v/>
      </c>
      <c r="I769" s="7" t="str">
        <f>IF('RFQ-Input'!I768="","",'RFQ-Input'!I768)</f>
        <v/>
      </c>
      <c r="J769" s="7" t="str">
        <f>IF('RFQ-Input'!J768="","",'RFQ-Input'!J768)</f>
        <v/>
      </c>
      <c r="K769" s="7" t="str">
        <f>IF('RFQ-Input'!K768="","",'RFQ-Input'!K768)</f>
        <v/>
      </c>
      <c r="L769" s="7" t="str">
        <f>IF('RFQ-Input'!L768="","",'RFQ-Input'!L768)</f>
        <v/>
      </c>
      <c r="M769" s="7" t="str">
        <f>IF('RFQ-Input'!M768="","",'RFQ-Input'!M768)</f>
        <v/>
      </c>
      <c r="N769" s="7" t="str">
        <f>IF('RFQ-Input'!N768="","",'RFQ-Input'!N768)</f>
        <v/>
      </c>
      <c r="O769" s="7" t="str">
        <f>IF('RFQ-Input'!O768="","",'RFQ-Input'!O768)</f>
        <v/>
      </c>
      <c r="Q769" s="7"/>
      <c r="R769" s="7"/>
      <c r="S769" s="7"/>
      <c r="T769" s="7"/>
      <c r="U769" s="7"/>
      <c r="V769" s="7"/>
      <c r="X769" s="7"/>
      <c r="Y769" s="7"/>
      <c r="Z769" s="7"/>
      <c r="AA769" s="7" t="str">
        <f t="shared" si="77"/>
        <v/>
      </c>
      <c r="AB769" s="7"/>
      <c r="AC769" s="7"/>
      <c r="AQ769" s="7" t="str">
        <f t="shared" si="78"/>
        <v/>
      </c>
      <c r="AR769" s="7" t="str">
        <f t="shared" si="79"/>
        <v/>
      </c>
      <c r="AS769" s="7" t="str">
        <f t="shared" si="80"/>
        <v/>
      </c>
      <c r="AT769" s="7" t="str">
        <f t="shared" si="81"/>
        <v/>
      </c>
      <c r="AU769" s="7" t="str">
        <f t="shared" si="82"/>
        <v/>
      </c>
      <c r="AV769" s="7" t="str">
        <f t="shared" si="83"/>
        <v/>
      </c>
      <c r="AW769" s="7" t="str">
        <f>IF('RFQ-Input'!O768="","",'RFQ-Input'!O768)</f>
        <v/>
      </c>
      <c r="AX769" s="7" t="str">
        <f>IF('RFQ-Input'!S768="","",'RFQ-Input'!S768)</f>
        <v/>
      </c>
      <c r="AY769" s="7" t="str">
        <f>IF('RFQ-Input'!V768="","",'RFQ-Input'!V768)</f>
        <v/>
      </c>
      <c r="AZ769" s="7" t="str">
        <f>IF('RFQ-Input'!Y768="","",'RFQ-Input'!Y768)</f>
        <v/>
      </c>
      <c r="BA769" s="7" t="str">
        <f>IF('RFQ-Input'!AB768="","",'RFQ-Input'!AB768)</f>
        <v/>
      </c>
    </row>
    <row r="770" spans="1:53">
      <c r="A770" s="20">
        <v>766</v>
      </c>
      <c r="B770" s="7"/>
      <c r="C770" s="7" t="str">
        <f>IF('RFQ-Input'!C769="","",'RFQ-Input'!C769)</f>
        <v/>
      </c>
      <c r="D770" s="7" t="str">
        <f>IF('RFQ-Input'!D769="","",'RFQ-Input'!D769)</f>
        <v/>
      </c>
      <c r="E770" s="7" t="str">
        <f>IF('RFQ-Input'!E769="","",'RFQ-Input'!E769)</f>
        <v/>
      </c>
      <c r="F770" s="7" t="str">
        <f>IF('RFQ-Input'!F769="","",'RFQ-Input'!F769)</f>
        <v/>
      </c>
      <c r="G770" s="7" t="str">
        <f>IF('RFQ-Input'!G769="","",'RFQ-Input'!G769)</f>
        <v/>
      </c>
      <c r="H770" s="7" t="str">
        <f>IF('RFQ-Input'!H769="","",'RFQ-Input'!H769)</f>
        <v/>
      </c>
      <c r="I770" s="7" t="str">
        <f>IF('RFQ-Input'!I769="","",'RFQ-Input'!I769)</f>
        <v/>
      </c>
      <c r="J770" s="7" t="str">
        <f>IF('RFQ-Input'!J769="","",'RFQ-Input'!J769)</f>
        <v/>
      </c>
      <c r="K770" s="7" t="str">
        <f>IF('RFQ-Input'!K769="","",'RFQ-Input'!K769)</f>
        <v/>
      </c>
      <c r="L770" s="7" t="str">
        <f>IF('RFQ-Input'!L769="","",'RFQ-Input'!L769)</f>
        <v/>
      </c>
      <c r="M770" s="7" t="str">
        <f>IF('RFQ-Input'!M769="","",'RFQ-Input'!M769)</f>
        <v/>
      </c>
      <c r="N770" s="7" t="str">
        <f>IF('RFQ-Input'!N769="","",'RFQ-Input'!N769)</f>
        <v/>
      </c>
      <c r="O770" s="7" t="str">
        <f>IF('RFQ-Input'!O769="","",'RFQ-Input'!O769)</f>
        <v/>
      </c>
      <c r="Q770" s="7"/>
      <c r="R770" s="7"/>
      <c r="S770" s="7"/>
      <c r="T770" s="7"/>
      <c r="U770" s="7"/>
      <c r="V770" s="7"/>
      <c r="X770" s="7"/>
      <c r="Y770" s="7"/>
      <c r="Z770" s="7"/>
      <c r="AA770" s="7" t="str">
        <f t="shared" si="77"/>
        <v/>
      </c>
      <c r="AB770" s="7"/>
      <c r="AC770" s="7"/>
      <c r="AQ770" s="7" t="str">
        <f t="shared" si="78"/>
        <v/>
      </c>
      <c r="AR770" s="7" t="str">
        <f t="shared" si="79"/>
        <v/>
      </c>
      <c r="AS770" s="7" t="str">
        <f t="shared" si="80"/>
        <v/>
      </c>
      <c r="AT770" s="7" t="str">
        <f t="shared" si="81"/>
        <v/>
      </c>
      <c r="AU770" s="7" t="str">
        <f t="shared" si="82"/>
        <v/>
      </c>
      <c r="AV770" s="7" t="str">
        <f t="shared" si="83"/>
        <v/>
      </c>
      <c r="AW770" s="7" t="str">
        <f>IF('RFQ-Input'!O769="","",'RFQ-Input'!O769)</f>
        <v/>
      </c>
      <c r="AX770" s="7" t="str">
        <f>IF('RFQ-Input'!S769="","",'RFQ-Input'!S769)</f>
        <v/>
      </c>
      <c r="AY770" s="7" t="str">
        <f>IF('RFQ-Input'!V769="","",'RFQ-Input'!V769)</f>
        <v/>
      </c>
      <c r="AZ770" s="7" t="str">
        <f>IF('RFQ-Input'!Y769="","",'RFQ-Input'!Y769)</f>
        <v/>
      </c>
      <c r="BA770" s="7" t="str">
        <f>IF('RFQ-Input'!AB769="","",'RFQ-Input'!AB769)</f>
        <v/>
      </c>
    </row>
    <row r="771" spans="1:53">
      <c r="A771" s="20">
        <v>767</v>
      </c>
      <c r="B771" s="7"/>
      <c r="C771" s="7" t="str">
        <f>IF('RFQ-Input'!C770="","",'RFQ-Input'!C770)</f>
        <v/>
      </c>
      <c r="D771" s="7" t="str">
        <f>IF('RFQ-Input'!D770="","",'RFQ-Input'!D770)</f>
        <v/>
      </c>
      <c r="E771" s="7" t="str">
        <f>IF('RFQ-Input'!E770="","",'RFQ-Input'!E770)</f>
        <v/>
      </c>
      <c r="F771" s="7" t="str">
        <f>IF('RFQ-Input'!F770="","",'RFQ-Input'!F770)</f>
        <v/>
      </c>
      <c r="G771" s="7" t="str">
        <f>IF('RFQ-Input'!G770="","",'RFQ-Input'!G770)</f>
        <v/>
      </c>
      <c r="H771" s="7" t="str">
        <f>IF('RFQ-Input'!H770="","",'RFQ-Input'!H770)</f>
        <v/>
      </c>
      <c r="I771" s="7" t="str">
        <f>IF('RFQ-Input'!I770="","",'RFQ-Input'!I770)</f>
        <v/>
      </c>
      <c r="J771" s="7" t="str">
        <f>IF('RFQ-Input'!J770="","",'RFQ-Input'!J770)</f>
        <v/>
      </c>
      <c r="K771" s="7" t="str">
        <f>IF('RFQ-Input'!K770="","",'RFQ-Input'!K770)</f>
        <v/>
      </c>
      <c r="L771" s="7" t="str">
        <f>IF('RFQ-Input'!L770="","",'RFQ-Input'!L770)</f>
        <v/>
      </c>
      <c r="M771" s="7" t="str">
        <f>IF('RFQ-Input'!M770="","",'RFQ-Input'!M770)</f>
        <v/>
      </c>
      <c r="N771" s="7" t="str">
        <f>IF('RFQ-Input'!N770="","",'RFQ-Input'!N770)</f>
        <v/>
      </c>
      <c r="O771" s="7" t="str">
        <f>IF('RFQ-Input'!O770="","",'RFQ-Input'!O770)</f>
        <v/>
      </c>
      <c r="Q771" s="7"/>
      <c r="R771" s="7"/>
      <c r="S771" s="7"/>
      <c r="T771" s="7"/>
      <c r="U771" s="7"/>
      <c r="V771" s="7"/>
      <c r="X771" s="7"/>
      <c r="Y771" s="7"/>
      <c r="Z771" s="7"/>
      <c r="AA771" s="7" t="str">
        <f t="shared" si="77"/>
        <v/>
      </c>
      <c r="AB771" s="7"/>
      <c r="AC771" s="7"/>
      <c r="AQ771" s="7" t="str">
        <f t="shared" si="78"/>
        <v/>
      </c>
      <c r="AR771" s="7" t="str">
        <f t="shared" si="79"/>
        <v/>
      </c>
      <c r="AS771" s="7" t="str">
        <f t="shared" si="80"/>
        <v/>
      </c>
      <c r="AT771" s="7" t="str">
        <f t="shared" si="81"/>
        <v/>
      </c>
      <c r="AU771" s="7" t="str">
        <f t="shared" si="82"/>
        <v/>
      </c>
      <c r="AV771" s="7" t="str">
        <f t="shared" si="83"/>
        <v/>
      </c>
      <c r="AW771" s="7" t="str">
        <f>IF('RFQ-Input'!O770="","",'RFQ-Input'!O770)</f>
        <v/>
      </c>
      <c r="AX771" s="7" t="str">
        <f>IF('RFQ-Input'!S770="","",'RFQ-Input'!S770)</f>
        <v/>
      </c>
      <c r="AY771" s="7" t="str">
        <f>IF('RFQ-Input'!V770="","",'RFQ-Input'!V770)</f>
        <v/>
      </c>
      <c r="AZ771" s="7" t="str">
        <f>IF('RFQ-Input'!Y770="","",'RFQ-Input'!Y770)</f>
        <v/>
      </c>
      <c r="BA771" s="7" t="str">
        <f>IF('RFQ-Input'!AB770="","",'RFQ-Input'!AB770)</f>
        <v/>
      </c>
    </row>
    <row r="772" spans="1:53">
      <c r="A772" s="20">
        <v>768</v>
      </c>
      <c r="B772" s="7"/>
      <c r="C772" s="7" t="str">
        <f>IF('RFQ-Input'!C771="","",'RFQ-Input'!C771)</f>
        <v/>
      </c>
      <c r="D772" s="7" t="str">
        <f>IF('RFQ-Input'!D771="","",'RFQ-Input'!D771)</f>
        <v/>
      </c>
      <c r="E772" s="7" t="str">
        <f>IF('RFQ-Input'!E771="","",'RFQ-Input'!E771)</f>
        <v/>
      </c>
      <c r="F772" s="7" t="str">
        <f>IF('RFQ-Input'!F771="","",'RFQ-Input'!F771)</f>
        <v/>
      </c>
      <c r="G772" s="7" t="str">
        <f>IF('RFQ-Input'!G771="","",'RFQ-Input'!G771)</f>
        <v/>
      </c>
      <c r="H772" s="7" t="str">
        <f>IF('RFQ-Input'!H771="","",'RFQ-Input'!H771)</f>
        <v/>
      </c>
      <c r="I772" s="7" t="str">
        <f>IF('RFQ-Input'!I771="","",'RFQ-Input'!I771)</f>
        <v/>
      </c>
      <c r="J772" s="7" t="str">
        <f>IF('RFQ-Input'!J771="","",'RFQ-Input'!J771)</f>
        <v/>
      </c>
      <c r="K772" s="7" t="str">
        <f>IF('RFQ-Input'!K771="","",'RFQ-Input'!K771)</f>
        <v/>
      </c>
      <c r="L772" s="7" t="str">
        <f>IF('RFQ-Input'!L771="","",'RFQ-Input'!L771)</f>
        <v/>
      </c>
      <c r="M772" s="7" t="str">
        <f>IF('RFQ-Input'!M771="","",'RFQ-Input'!M771)</f>
        <v/>
      </c>
      <c r="N772" s="7" t="str">
        <f>IF('RFQ-Input'!N771="","",'RFQ-Input'!N771)</f>
        <v/>
      </c>
      <c r="O772" s="7" t="str">
        <f>IF('RFQ-Input'!O771="","",'RFQ-Input'!O771)</f>
        <v/>
      </c>
      <c r="Q772" s="7"/>
      <c r="R772" s="7"/>
      <c r="S772" s="7"/>
      <c r="T772" s="7"/>
      <c r="U772" s="7"/>
      <c r="V772" s="7"/>
      <c r="X772" s="7"/>
      <c r="Y772" s="7"/>
      <c r="Z772" s="7"/>
      <c r="AA772" s="7" t="str">
        <f t="shared" si="77"/>
        <v/>
      </c>
      <c r="AB772" s="7"/>
      <c r="AC772" s="7"/>
      <c r="AQ772" s="7" t="str">
        <f t="shared" si="78"/>
        <v/>
      </c>
      <c r="AR772" s="7" t="str">
        <f t="shared" si="79"/>
        <v/>
      </c>
      <c r="AS772" s="7" t="str">
        <f t="shared" si="80"/>
        <v/>
      </c>
      <c r="AT772" s="7" t="str">
        <f t="shared" si="81"/>
        <v/>
      </c>
      <c r="AU772" s="7" t="str">
        <f t="shared" si="82"/>
        <v/>
      </c>
      <c r="AV772" s="7" t="str">
        <f t="shared" si="83"/>
        <v/>
      </c>
      <c r="AW772" s="7" t="str">
        <f>IF('RFQ-Input'!O771="","",'RFQ-Input'!O771)</f>
        <v/>
      </c>
      <c r="AX772" s="7" t="str">
        <f>IF('RFQ-Input'!S771="","",'RFQ-Input'!S771)</f>
        <v/>
      </c>
      <c r="AY772" s="7" t="str">
        <f>IF('RFQ-Input'!V771="","",'RFQ-Input'!V771)</f>
        <v/>
      </c>
      <c r="AZ772" s="7" t="str">
        <f>IF('RFQ-Input'!Y771="","",'RFQ-Input'!Y771)</f>
        <v/>
      </c>
      <c r="BA772" s="7" t="str">
        <f>IF('RFQ-Input'!AB771="","",'RFQ-Input'!AB771)</f>
        <v/>
      </c>
    </row>
    <row r="773" spans="1:53">
      <c r="A773" s="20">
        <v>769</v>
      </c>
      <c r="B773" s="7"/>
      <c r="C773" s="7" t="str">
        <f>IF('RFQ-Input'!C772="","",'RFQ-Input'!C772)</f>
        <v/>
      </c>
      <c r="D773" s="7" t="str">
        <f>IF('RFQ-Input'!D772="","",'RFQ-Input'!D772)</f>
        <v/>
      </c>
      <c r="E773" s="7" t="str">
        <f>IF('RFQ-Input'!E772="","",'RFQ-Input'!E772)</f>
        <v/>
      </c>
      <c r="F773" s="7" t="str">
        <f>IF('RFQ-Input'!F772="","",'RFQ-Input'!F772)</f>
        <v/>
      </c>
      <c r="G773" s="7" t="str">
        <f>IF('RFQ-Input'!G772="","",'RFQ-Input'!G772)</f>
        <v/>
      </c>
      <c r="H773" s="7" t="str">
        <f>IF('RFQ-Input'!H772="","",'RFQ-Input'!H772)</f>
        <v/>
      </c>
      <c r="I773" s="7" t="str">
        <f>IF('RFQ-Input'!I772="","",'RFQ-Input'!I772)</f>
        <v/>
      </c>
      <c r="J773" s="7" t="str">
        <f>IF('RFQ-Input'!J772="","",'RFQ-Input'!J772)</f>
        <v/>
      </c>
      <c r="K773" s="7" t="str">
        <f>IF('RFQ-Input'!K772="","",'RFQ-Input'!K772)</f>
        <v/>
      </c>
      <c r="L773" s="7" t="str">
        <f>IF('RFQ-Input'!L772="","",'RFQ-Input'!L772)</f>
        <v/>
      </c>
      <c r="M773" s="7" t="str">
        <f>IF('RFQ-Input'!M772="","",'RFQ-Input'!M772)</f>
        <v/>
      </c>
      <c r="N773" s="7" t="str">
        <f>IF('RFQ-Input'!N772="","",'RFQ-Input'!N772)</f>
        <v/>
      </c>
      <c r="O773" s="7" t="str">
        <f>IF('RFQ-Input'!O772="","",'RFQ-Input'!O772)</f>
        <v/>
      </c>
      <c r="Q773" s="7"/>
      <c r="R773" s="7"/>
      <c r="S773" s="7"/>
      <c r="T773" s="7"/>
      <c r="U773" s="7"/>
      <c r="V773" s="7"/>
      <c r="X773" s="7"/>
      <c r="Y773" s="7"/>
      <c r="Z773" s="7"/>
      <c r="AA773" s="7" t="str">
        <f t="shared" ref="AA773:AA836" si="84">IF(AND(L773="",Y773=""),"",L773)</f>
        <v/>
      </c>
      <c r="AB773" s="7"/>
      <c r="AC773" s="7"/>
      <c r="AQ773" s="7" t="str">
        <f t="shared" si="78"/>
        <v/>
      </c>
      <c r="AR773" s="7" t="str">
        <f t="shared" si="79"/>
        <v/>
      </c>
      <c r="AS773" s="7" t="str">
        <f t="shared" si="80"/>
        <v/>
      </c>
      <c r="AT773" s="7" t="str">
        <f t="shared" si="81"/>
        <v/>
      </c>
      <c r="AU773" s="7" t="str">
        <f t="shared" si="82"/>
        <v/>
      </c>
      <c r="AV773" s="7" t="str">
        <f t="shared" si="83"/>
        <v/>
      </c>
      <c r="AW773" s="7" t="str">
        <f>IF('RFQ-Input'!O772="","",'RFQ-Input'!O772)</f>
        <v/>
      </c>
      <c r="AX773" s="7" t="str">
        <f>IF('RFQ-Input'!S772="","",'RFQ-Input'!S772)</f>
        <v/>
      </c>
      <c r="AY773" s="7" t="str">
        <f>IF('RFQ-Input'!V772="","",'RFQ-Input'!V772)</f>
        <v/>
      </c>
      <c r="AZ773" s="7" t="str">
        <f>IF('RFQ-Input'!Y772="","",'RFQ-Input'!Y772)</f>
        <v/>
      </c>
      <c r="BA773" s="7" t="str">
        <f>IF('RFQ-Input'!AB772="","",'RFQ-Input'!AB772)</f>
        <v/>
      </c>
    </row>
    <row r="774" spans="1:53">
      <c r="A774" s="20">
        <v>770</v>
      </c>
      <c r="B774" s="7"/>
      <c r="C774" s="7" t="str">
        <f>IF('RFQ-Input'!C773="","",'RFQ-Input'!C773)</f>
        <v/>
      </c>
      <c r="D774" s="7" t="str">
        <f>IF('RFQ-Input'!D773="","",'RFQ-Input'!D773)</f>
        <v/>
      </c>
      <c r="E774" s="7" t="str">
        <f>IF('RFQ-Input'!E773="","",'RFQ-Input'!E773)</f>
        <v/>
      </c>
      <c r="F774" s="7" t="str">
        <f>IF('RFQ-Input'!F773="","",'RFQ-Input'!F773)</f>
        <v/>
      </c>
      <c r="G774" s="7" t="str">
        <f>IF('RFQ-Input'!G773="","",'RFQ-Input'!G773)</f>
        <v/>
      </c>
      <c r="H774" s="7" t="str">
        <f>IF('RFQ-Input'!H773="","",'RFQ-Input'!H773)</f>
        <v/>
      </c>
      <c r="I774" s="7" t="str">
        <f>IF('RFQ-Input'!I773="","",'RFQ-Input'!I773)</f>
        <v/>
      </c>
      <c r="J774" s="7" t="str">
        <f>IF('RFQ-Input'!J773="","",'RFQ-Input'!J773)</f>
        <v/>
      </c>
      <c r="K774" s="7" t="str">
        <f>IF('RFQ-Input'!K773="","",'RFQ-Input'!K773)</f>
        <v/>
      </c>
      <c r="L774" s="7" t="str">
        <f>IF('RFQ-Input'!L773="","",'RFQ-Input'!L773)</f>
        <v/>
      </c>
      <c r="M774" s="7" t="str">
        <f>IF('RFQ-Input'!M773="","",'RFQ-Input'!M773)</f>
        <v/>
      </c>
      <c r="N774" s="7" t="str">
        <f>IF('RFQ-Input'!N773="","",'RFQ-Input'!N773)</f>
        <v/>
      </c>
      <c r="O774" s="7" t="str">
        <f>IF('RFQ-Input'!O773="","",'RFQ-Input'!O773)</f>
        <v/>
      </c>
      <c r="Q774" s="7"/>
      <c r="R774" s="7"/>
      <c r="S774" s="7"/>
      <c r="T774" s="7"/>
      <c r="U774" s="7"/>
      <c r="V774" s="7"/>
      <c r="X774" s="7"/>
      <c r="Y774" s="7"/>
      <c r="Z774" s="7"/>
      <c r="AA774" s="7" t="str">
        <f t="shared" si="84"/>
        <v/>
      </c>
      <c r="AB774" s="7"/>
      <c r="AC774" s="7"/>
      <c r="AQ774" s="7" t="str">
        <f t="shared" ref="AQ774:AQ837" si="85">IFERROR(SMALL($AW774:$CT774,1),"")</f>
        <v/>
      </c>
      <c r="AR774" s="7" t="str">
        <f t="shared" ref="AR774:AR837" si="86">IF(AQ774="","",INDEX($AW$4:$CT$4,MATCH(AQ774,$AW774:$CT774,0)))</f>
        <v/>
      </c>
      <c r="AS774" s="7" t="str">
        <f t="shared" ref="AS774:AS837" si="87">IFERROR(SMALL($AW774:$CT774,2),"")</f>
        <v/>
      </c>
      <c r="AT774" s="7" t="str">
        <f t="shared" ref="AT774:AT837" si="88">IF(AS774="","",INDEX($AW$4:$CT$4,MATCH(AS774,$AW774:$CT774,0)))</f>
        <v/>
      </c>
      <c r="AU774" s="7" t="str">
        <f t="shared" ref="AU774:AU837" si="89">IFERROR(SMALL($AW774:$CT774,3),"")</f>
        <v/>
      </c>
      <c r="AV774" s="7" t="str">
        <f t="shared" ref="AV774:AV837" si="90">IF(AU774="","",INDEX($AW$4:$CT$4,MATCH(AU774,$AW774:$CT774,0)))</f>
        <v/>
      </c>
      <c r="AW774" s="7" t="str">
        <f>IF('RFQ-Input'!O773="","",'RFQ-Input'!O773)</f>
        <v/>
      </c>
      <c r="AX774" s="7" t="str">
        <f>IF('RFQ-Input'!S773="","",'RFQ-Input'!S773)</f>
        <v/>
      </c>
      <c r="AY774" s="7" t="str">
        <f>IF('RFQ-Input'!V773="","",'RFQ-Input'!V773)</f>
        <v/>
      </c>
      <c r="AZ774" s="7" t="str">
        <f>IF('RFQ-Input'!Y773="","",'RFQ-Input'!Y773)</f>
        <v/>
      </c>
      <c r="BA774" s="7" t="str">
        <f>IF('RFQ-Input'!AB773="","",'RFQ-Input'!AB773)</f>
        <v/>
      </c>
    </row>
    <row r="775" spans="1:53">
      <c r="A775" s="20">
        <v>771</v>
      </c>
      <c r="B775" s="7"/>
      <c r="C775" s="7" t="str">
        <f>IF('RFQ-Input'!C774="","",'RFQ-Input'!C774)</f>
        <v/>
      </c>
      <c r="D775" s="7" t="str">
        <f>IF('RFQ-Input'!D774="","",'RFQ-Input'!D774)</f>
        <v/>
      </c>
      <c r="E775" s="7" t="str">
        <f>IF('RFQ-Input'!E774="","",'RFQ-Input'!E774)</f>
        <v/>
      </c>
      <c r="F775" s="7" t="str">
        <f>IF('RFQ-Input'!F774="","",'RFQ-Input'!F774)</f>
        <v/>
      </c>
      <c r="G775" s="7" t="str">
        <f>IF('RFQ-Input'!G774="","",'RFQ-Input'!G774)</f>
        <v/>
      </c>
      <c r="H775" s="7" t="str">
        <f>IF('RFQ-Input'!H774="","",'RFQ-Input'!H774)</f>
        <v/>
      </c>
      <c r="I775" s="7" t="str">
        <f>IF('RFQ-Input'!I774="","",'RFQ-Input'!I774)</f>
        <v/>
      </c>
      <c r="J775" s="7" t="str">
        <f>IF('RFQ-Input'!J774="","",'RFQ-Input'!J774)</f>
        <v/>
      </c>
      <c r="K775" s="7" t="str">
        <f>IF('RFQ-Input'!K774="","",'RFQ-Input'!K774)</f>
        <v/>
      </c>
      <c r="L775" s="7" t="str">
        <f>IF('RFQ-Input'!L774="","",'RFQ-Input'!L774)</f>
        <v/>
      </c>
      <c r="M775" s="7" t="str">
        <f>IF('RFQ-Input'!M774="","",'RFQ-Input'!M774)</f>
        <v/>
      </c>
      <c r="N775" s="7" t="str">
        <f>IF('RFQ-Input'!N774="","",'RFQ-Input'!N774)</f>
        <v/>
      </c>
      <c r="O775" s="7" t="str">
        <f>IF('RFQ-Input'!O774="","",'RFQ-Input'!O774)</f>
        <v/>
      </c>
      <c r="Q775" s="7"/>
      <c r="R775" s="7"/>
      <c r="S775" s="7"/>
      <c r="T775" s="7"/>
      <c r="U775" s="7"/>
      <c r="V775" s="7"/>
      <c r="X775" s="7"/>
      <c r="Y775" s="7"/>
      <c r="Z775" s="7"/>
      <c r="AA775" s="7" t="str">
        <f t="shared" si="84"/>
        <v/>
      </c>
      <c r="AB775" s="7"/>
      <c r="AC775" s="7"/>
      <c r="AQ775" s="7" t="str">
        <f t="shared" si="85"/>
        <v/>
      </c>
      <c r="AR775" s="7" t="str">
        <f t="shared" si="86"/>
        <v/>
      </c>
      <c r="AS775" s="7" t="str">
        <f t="shared" si="87"/>
        <v/>
      </c>
      <c r="AT775" s="7" t="str">
        <f t="shared" si="88"/>
        <v/>
      </c>
      <c r="AU775" s="7" t="str">
        <f t="shared" si="89"/>
        <v/>
      </c>
      <c r="AV775" s="7" t="str">
        <f t="shared" si="90"/>
        <v/>
      </c>
      <c r="AW775" s="7" t="str">
        <f>IF('RFQ-Input'!O774="","",'RFQ-Input'!O774)</f>
        <v/>
      </c>
      <c r="AX775" s="7" t="str">
        <f>IF('RFQ-Input'!S774="","",'RFQ-Input'!S774)</f>
        <v/>
      </c>
      <c r="AY775" s="7" t="str">
        <f>IF('RFQ-Input'!V774="","",'RFQ-Input'!V774)</f>
        <v/>
      </c>
      <c r="AZ775" s="7" t="str">
        <f>IF('RFQ-Input'!Y774="","",'RFQ-Input'!Y774)</f>
        <v/>
      </c>
      <c r="BA775" s="7" t="str">
        <f>IF('RFQ-Input'!AB774="","",'RFQ-Input'!AB774)</f>
        <v/>
      </c>
    </row>
    <row r="776" spans="1:53">
      <c r="A776" s="20">
        <v>772</v>
      </c>
      <c r="B776" s="7"/>
      <c r="C776" s="7" t="str">
        <f>IF('RFQ-Input'!C775="","",'RFQ-Input'!C775)</f>
        <v/>
      </c>
      <c r="D776" s="7" t="str">
        <f>IF('RFQ-Input'!D775="","",'RFQ-Input'!D775)</f>
        <v/>
      </c>
      <c r="E776" s="7" t="str">
        <f>IF('RFQ-Input'!E775="","",'RFQ-Input'!E775)</f>
        <v/>
      </c>
      <c r="F776" s="7" t="str">
        <f>IF('RFQ-Input'!F775="","",'RFQ-Input'!F775)</f>
        <v/>
      </c>
      <c r="G776" s="7" t="str">
        <f>IF('RFQ-Input'!G775="","",'RFQ-Input'!G775)</f>
        <v/>
      </c>
      <c r="H776" s="7" t="str">
        <f>IF('RFQ-Input'!H775="","",'RFQ-Input'!H775)</f>
        <v/>
      </c>
      <c r="I776" s="7" t="str">
        <f>IF('RFQ-Input'!I775="","",'RFQ-Input'!I775)</f>
        <v/>
      </c>
      <c r="J776" s="7" t="str">
        <f>IF('RFQ-Input'!J775="","",'RFQ-Input'!J775)</f>
        <v/>
      </c>
      <c r="K776" s="7" t="str">
        <f>IF('RFQ-Input'!K775="","",'RFQ-Input'!K775)</f>
        <v/>
      </c>
      <c r="L776" s="7" t="str">
        <f>IF('RFQ-Input'!L775="","",'RFQ-Input'!L775)</f>
        <v/>
      </c>
      <c r="M776" s="7" t="str">
        <f>IF('RFQ-Input'!M775="","",'RFQ-Input'!M775)</f>
        <v/>
      </c>
      <c r="N776" s="7" t="str">
        <f>IF('RFQ-Input'!N775="","",'RFQ-Input'!N775)</f>
        <v/>
      </c>
      <c r="O776" s="7" t="str">
        <f>IF('RFQ-Input'!O775="","",'RFQ-Input'!O775)</f>
        <v/>
      </c>
      <c r="Q776" s="7"/>
      <c r="R776" s="7"/>
      <c r="S776" s="7"/>
      <c r="T776" s="7"/>
      <c r="U776" s="7"/>
      <c r="V776" s="7"/>
      <c r="X776" s="7"/>
      <c r="Y776" s="7"/>
      <c r="Z776" s="7"/>
      <c r="AA776" s="7" t="str">
        <f t="shared" si="84"/>
        <v/>
      </c>
      <c r="AB776" s="7"/>
      <c r="AC776" s="7"/>
      <c r="AQ776" s="7" t="str">
        <f t="shared" si="85"/>
        <v/>
      </c>
      <c r="AR776" s="7" t="str">
        <f t="shared" si="86"/>
        <v/>
      </c>
      <c r="AS776" s="7" t="str">
        <f t="shared" si="87"/>
        <v/>
      </c>
      <c r="AT776" s="7" t="str">
        <f t="shared" si="88"/>
        <v/>
      </c>
      <c r="AU776" s="7" t="str">
        <f t="shared" si="89"/>
        <v/>
      </c>
      <c r="AV776" s="7" t="str">
        <f t="shared" si="90"/>
        <v/>
      </c>
      <c r="AW776" s="7" t="str">
        <f>IF('RFQ-Input'!O775="","",'RFQ-Input'!O775)</f>
        <v/>
      </c>
      <c r="AX776" s="7" t="str">
        <f>IF('RFQ-Input'!S775="","",'RFQ-Input'!S775)</f>
        <v/>
      </c>
      <c r="AY776" s="7" t="str">
        <f>IF('RFQ-Input'!V775="","",'RFQ-Input'!V775)</f>
        <v/>
      </c>
      <c r="AZ776" s="7" t="str">
        <f>IF('RFQ-Input'!Y775="","",'RFQ-Input'!Y775)</f>
        <v/>
      </c>
      <c r="BA776" s="7" t="str">
        <f>IF('RFQ-Input'!AB775="","",'RFQ-Input'!AB775)</f>
        <v/>
      </c>
    </row>
    <row r="777" spans="1:53">
      <c r="A777" s="20">
        <v>773</v>
      </c>
      <c r="B777" s="7"/>
      <c r="C777" s="7" t="str">
        <f>IF('RFQ-Input'!C776="","",'RFQ-Input'!C776)</f>
        <v/>
      </c>
      <c r="D777" s="7" t="str">
        <f>IF('RFQ-Input'!D776="","",'RFQ-Input'!D776)</f>
        <v/>
      </c>
      <c r="E777" s="7" t="str">
        <f>IF('RFQ-Input'!E776="","",'RFQ-Input'!E776)</f>
        <v/>
      </c>
      <c r="F777" s="7" t="str">
        <f>IF('RFQ-Input'!F776="","",'RFQ-Input'!F776)</f>
        <v/>
      </c>
      <c r="G777" s="7" t="str">
        <f>IF('RFQ-Input'!G776="","",'RFQ-Input'!G776)</f>
        <v/>
      </c>
      <c r="H777" s="7" t="str">
        <f>IF('RFQ-Input'!H776="","",'RFQ-Input'!H776)</f>
        <v/>
      </c>
      <c r="I777" s="7" t="str">
        <f>IF('RFQ-Input'!I776="","",'RFQ-Input'!I776)</f>
        <v/>
      </c>
      <c r="J777" s="7" t="str">
        <f>IF('RFQ-Input'!J776="","",'RFQ-Input'!J776)</f>
        <v/>
      </c>
      <c r="K777" s="7" t="str">
        <f>IF('RFQ-Input'!K776="","",'RFQ-Input'!K776)</f>
        <v/>
      </c>
      <c r="L777" s="7" t="str">
        <f>IF('RFQ-Input'!L776="","",'RFQ-Input'!L776)</f>
        <v/>
      </c>
      <c r="M777" s="7" t="str">
        <f>IF('RFQ-Input'!M776="","",'RFQ-Input'!M776)</f>
        <v/>
      </c>
      <c r="N777" s="7" t="str">
        <f>IF('RFQ-Input'!N776="","",'RFQ-Input'!N776)</f>
        <v/>
      </c>
      <c r="O777" s="7" t="str">
        <f>IF('RFQ-Input'!O776="","",'RFQ-Input'!O776)</f>
        <v/>
      </c>
      <c r="Q777" s="7"/>
      <c r="R777" s="7"/>
      <c r="S777" s="7"/>
      <c r="T777" s="7"/>
      <c r="U777" s="7"/>
      <c r="V777" s="7"/>
      <c r="X777" s="7"/>
      <c r="Y777" s="7"/>
      <c r="Z777" s="7"/>
      <c r="AA777" s="7" t="str">
        <f t="shared" si="84"/>
        <v/>
      </c>
      <c r="AB777" s="7"/>
      <c r="AC777" s="7"/>
      <c r="AQ777" s="7" t="str">
        <f t="shared" si="85"/>
        <v/>
      </c>
      <c r="AR777" s="7" t="str">
        <f t="shared" si="86"/>
        <v/>
      </c>
      <c r="AS777" s="7" t="str">
        <f t="shared" si="87"/>
        <v/>
      </c>
      <c r="AT777" s="7" t="str">
        <f t="shared" si="88"/>
        <v/>
      </c>
      <c r="AU777" s="7" t="str">
        <f t="shared" si="89"/>
        <v/>
      </c>
      <c r="AV777" s="7" t="str">
        <f t="shared" si="90"/>
        <v/>
      </c>
      <c r="AW777" s="7" t="str">
        <f>IF('RFQ-Input'!O776="","",'RFQ-Input'!O776)</f>
        <v/>
      </c>
      <c r="AX777" s="7" t="str">
        <f>IF('RFQ-Input'!S776="","",'RFQ-Input'!S776)</f>
        <v/>
      </c>
      <c r="AY777" s="7" t="str">
        <f>IF('RFQ-Input'!V776="","",'RFQ-Input'!V776)</f>
        <v/>
      </c>
      <c r="AZ777" s="7" t="str">
        <f>IF('RFQ-Input'!Y776="","",'RFQ-Input'!Y776)</f>
        <v/>
      </c>
      <c r="BA777" s="7" t="str">
        <f>IF('RFQ-Input'!AB776="","",'RFQ-Input'!AB776)</f>
        <v/>
      </c>
    </row>
    <row r="778" spans="1:53">
      <c r="A778" s="20">
        <v>774</v>
      </c>
      <c r="B778" s="7"/>
      <c r="C778" s="7" t="str">
        <f>IF('RFQ-Input'!C777="","",'RFQ-Input'!C777)</f>
        <v/>
      </c>
      <c r="D778" s="7" t="str">
        <f>IF('RFQ-Input'!D777="","",'RFQ-Input'!D777)</f>
        <v/>
      </c>
      <c r="E778" s="7" t="str">
        <f>IF('RFQ-Input'!E777="","",'RFQ-Input'!E777)</f>
        <v/>
      </c>
      <c r="F778" s="7" t="str">
        <f>IF('RFQ-Input'!F777="","",'RFQ-Input'!F777)</f>
        <v/>
      </c>
      <c r="G778" s="7" t="str">
        <f>IF('RFQ-Input'!G777="","",'RFQ-Input'!G777)</f>
        <v/>
      </c>
      <c r="H778" s="7" t="str">
        <f>IF('RFQ-Input'!H777="","",'RFQ-Input'!H777)</f>
        <v/>
      </c>
      <c r="I778" s="7" t="str">
        <f>IF('RFQ-Input'!I777="","",'RFQ-Input'!I777)</f>
        <v/>
      </c>
      <c r="J778" s="7" t="str">
        <f>IF('RFQ-Input'!J777="","",'RFQ-Input'!J777)</f>
        <v/>
      </c>
      <c r="K778" s="7" t="str">
        <f>IF('RFQ-Input'!K777="","",'RFQ-Input'!K777)</f>
        <v/>
      </c>
      <c r="L778" s="7" t="str">
        <f>IF('RFQ-Input'!L777="","",'RFQ-Input'!L777)</f>
        <v/>
      </c>
      <c r="M778" s="7" t="str">
        <f>IF('RFQ-Input'!M777="","",'RFQ-Input'!M777)</f>
        <v/>
      </c>
      <c r="N778" s="7" t="str">
        <f>IF('RFQ-Input'!N777="","",'RFQ-Input'!N777)</f>
        <v/>
      </c>
      <c r="O778" s="7" t="str">
        <f>IF('RFQ-Input'!O777="","",'RFQ-Input'!O777)</f>
        <v/>
      </c>
      <c r="Q778" s="7"/>
      <c r="R778" s="7"/>
      <c r="S778" s="7"/>
      <c r="T778" s="7"/>
      <c r="U778" s="7"/>
      <c r="V778" s="7"/>
      <c r="X778" s="7"/>
      <c r="Y778" s="7"/>
      <c r="Z778" s="7"/>
      <c r="AA778" s="7" t="str">
        <f t="shared" si="84"/>
        <v/>
      </c>
      <c r="AB778" s="7"/>
      <c r="AC778" s="7"/>
      <c r="AQ778" s="7" t="str">
        <f t="shared" si="85"/>
        <v/>
      </c>
      <c r="AR778" s="7" t="str">
        <f t="shared" si="86"/>
        <v/>
      </c>
      <c r="AS778" s="7" t="str">
        <f t="shared" si="87"/>
        <v/>
      </c>
      <c r="AT778" s="7" t="str">
        <f t="shared" si="88"/>
        <v/>
      </c>
      <c r="AU778" s="7" t="str">
        <f t="shared" si="89"/>
        <v/>
      </c>
      <c r="AV778" s="7" t="str">
        <f t="shared" si="90"/>
        <v/>
      </c>
      <c r="AW778" s="7" t="str">
        <f>IF('RFQ-Input'!O777="","",'RFQ-Input'!O777)</f>
        <v/>
      </c>
      <c r="AX778" s="7" t="str">
        <f>IF('RFQ-Input'!S777="","",'RFQ-Input'!S777)</f>
        <v/>
      </c>
      <c r="AY778" s="7" t="str">
        <f>IF('RFQ-Input'!V777="","",'RFQ-Input'!V777)</f>
        <v/>
      </c>
      <c r="AZ778" s="7" t="str">
        <f>IF('RFQ-Input'!Y777="","",'RFQ-Input'!Y777)</f>
        <v/>
      </c>
      <c r="BA778" s="7" t="str">
        <f>IF('RFQ-Input'!AB777="","",'RFQ-Input'!AB777)</f>
        <v/>
      </c>
    </row>
    <row r="779" spans="1:53">
      <c r="A779" s="20">
        <v>775</v>
      </c>
      <c r="B779" s="7"/>
      <c r="C779" s="7" t="str">
        <f>IF('RFQ-Input'!C778="","",'RFQ-Input'!C778)</f>
        <v/>
      </c>
      <c r="D779" s="7" t="str">
        <f>IF('RFQ-Input'!D778="","",'RFQ-Input'!D778)</f>
        <v/>
      </c>
      <c r="E779" s="7" t="str">
        <f>IF('RFQ-Input'!E778="","",'RFQ-Input'!E778)</f>
        <v/>
      </c>
      <c r="F779" s="7" t="str">
        <f>IF('RFQ-Input'!F778="","",'RFQ-Input'!F778)</f>
        <v/>
      </c>
      <c r="G779" s="7" t="str">
        <f>IF('RFQ-Input'!G778="","",'RFQ-Input'!G778)</f>
        <v/>
      </c>
      <c r="H779" s="7" t="str">
        <f>IF('RFQ-Input'!H778="","",'RFQ-Input'!H778)</f>
        <v/>
      </c>
      <c r="I779" s="7" t="str">
        <f>IF('RFQ-Input'!I778="","",'RFQ-Input'!I778)</f>
        <v/>
      </c>
      <c r="J779" s="7" t="str">
        <f>IF('RFQ-Input'!J778="","",'RFQ-Input'!J778)</f>
        <v/>
      </c>
      <c r="K779" s="7" t="str">
        <f>IF('RFQ-Input'!K778="","",'RFQ-Input'!K778)</f>
        <v/>
      </c>
      <c r="L779" s="7" t="str">
        <f>IF('RFQ-Input'!L778="","",'RFQ-Input'!L778)</f>
        <v/>
      </c>
      <c r="M779" s="7" t="str">
        <f>IF('RFQ-Input'!M778="","",'RFQ-Input'!M778)</f>
        <v/>
      </c>
      <c r="N779" s="7" t="str">
        <f>IF('RFQ-Input'!N778="","",'RFQ-Input'!N778)</f>
        <v/>
      </c>
      <c r="O779" s="7" t="str">
        <f>IF('RFQ-Input'!O778="","",'RFQ-Input'!O778)</f>
        <v/>
      </c>
      <c r="Q779" s="7"/>
      <c r="R779" s="7"/>
      <c r="S779" s="7"/>
      <c r="T779" s="7"/>
      <c r="U779" s="7"/>
      <c r="V779" s="7"/>
      <c r="X779" s="7"/>
      <c r="Y779" s="7"/>
      <c r="Z779" s="7"/>
      <c r="AA779" s="7" t="str">
        <f t="shared" si="84"/>
        <v/>
      </c>
      <c r="AB779" s="7"/>
      <c r="AC779" s="7"/>
      <c r="AQ779" s="7" t="str">
        <f t="shared" si="85"/>
        <v/>
      </c>
      <c r="AR779" s="7" t="str">
        <f t="shared" si="86"/>
        <v/>
      </c>
      <c r="AS779" s="7" t="str">
        <f t="shared" si="87"/>
        <v/>
      </c>
      <c r="AT779" s="7" t="str">
        <f t="shared" si="88"/>
        <v/>
      </c>
      <c r="AU779" s="7" t="str">
        <f t="shared" si="89"/>
        <v/>
      </c>
      <c r="AV779" s="7" t="str">
        <f t="shared" si="90"/>
        <v/>
      </c>
      <c r="AW779" s="7" t="str">
        <f>IF('RFQ-Input'!O778="","",'RFQ-Input'!O778)</f>
        <v/>
      </c>
      <c r="AX779" s="7" t="str">
        <f>IF('RFQ-Input'!S778="","",'RFQ-Input'!S778)</f>
        <v/>
      </c>
      <c r="AY779" s="7" t="str">
        <f>IF('RFQ-Input'!V778="","",'RFQ-Input'!V778)</f>
        <v/>
      </c>
      <c r="AZ779" s="7" t="str">
        <f>IF('RFQ-Input'!Y778="","",'RFQ-Input'!Y778)</f>
        <v/>
      </c>
      <c r="BA779" s="7" t="str">
        <f>IF('RFQ-Input'!AB778="","",'RFQ-Input'!AB778)</f>
        <v/>
      </c>
    </row>
    <row r="780" spans="1:53">
      <c r="A780" s="20">
        <v>776</v>
      </c>
      <c r="B780" s="7"/>
      <c r="C780" s="7" t="str">
        <f>IF('RFQ-Input'!C779="","",'RFQ-Input'!C779)</f>
        <v/>
      </c>
      <c r="D780" s="7" t="str">
        <f>IF('RFQ-Input'!D779="","",'RFQ-Input'!D779)</f>
        <v/>
      </c>
      <c r="E780" s="7" t="str">
        <f>IF('RFQ-Input'!E779="","",'RFQ-Input'!E779)</f>
        <v/>
      </c>
      <c r="F780" s="7" t="str">
        <f>IF('RFQ-Input'!F779="","",'RFQ-Input'!F779)</f>
        <v/>
      </c>
      <c r="G780" s="7" t="str">
        <f>IF('RFQ-Input'!G779="","",'RFQ-Input'!G779)</f>
        <v/>
      </c>
      <c r="H780" s="7" t="str">
        <f>IF('RFQ-Input'!H779="","",'RFQ-Input'!H779)</f>
        <v/>
      </c>
      <c r="I780" s="7" t="str">
        <f>IF('RFQ-Input'!I779="","",'RFQ-Input'!I779)</f>
        <v/>
      </c>
      <c r="J780" s="7" t="str">
        <f>IF('RFQ-Input'!J779="","",'RFQ-Input'!J779)</f>
        <v/>
      </c>
      <c r="K780" s="7" t="str">
        <f>IF('RFQ-Input'!K779="","",'RFQ-Input'!K779)</f>
        <v/>
      </c>
      <c r="L780" s="7" t="str">
        <f>IF('RFQ-Input'!L779="","",'RFQ-Input'!L779)</f>
        <v/>
      </c>
      <c r="M780" s="7" t="str">
        <f>IF('RFQ-Input'!M779="","",'RFQ-Input'!M779)</f>
        <v/>
      </c>
      <c r="N780" s="7" t="str">
        <f>IF('RFQ-Input'!N779="","",'RFQ-Input'!N779)</f>
        <v/>
      </c>
      <c r="O780" s="7" t="str">
        <f>IF('RFQ-Input'!O779="","",'RFQ-Input'!O779)</f>
        <v/>
      </c>
      <c r="Q780" s="7"/>
      <c r="R780" s="7"/>
      <c r="S780" s="7"/>
      <c r="T780" s="7"/>
      <c r="U780" s="7"/>
      <c r="V780" s="7"/>
      <c r="X780" s="7"/>
      <c r="Y780" s="7"/>
      <c r="Z780" s="7"/>
      <c r="AA780" s="7" t="str">
        <f t="shared" si="84"/>
        <v/>
      </c>
      <c r="AB780" s="7"/>
      <c r="AC780" s="7"/>
      <c r="AQ780" s="7" t="str">
        <f t="shared" si="85"/>
        <v/>
      </c>
      <c r="AR780" s="7" t="str">
        <f t="shared" si="86"/>
        <v/>
      </c>
      <c r="AS780" s="7" t="str">
        <f t="shared" si="87"/>
        <v/>
      </c>
      <c r="AT780" s="7" t="str">
        <f t="shared" si="88"/>
        <v/>
      </c>
      <c r="AU780" s="7" t="str">
        <f t="shared" si="89"/>
        <v/>
      </c>
      <c r="AV780" s="7" t="str">
        <f t="shared" si="90"/>
        <v/>
      </c>
      <c r="AW780" s="7" t="str">
        <f>IF('RFQ-Input'!O779="","",'RFQ-Input'!O779)</f>
        <v/>
      </c>
      <c r="AX780" s="7" t="str">
        <f>IF('RFQ-Input'!S779="","",'RFQ-Input'!S779)</f>
        <v/>
      </c>
      <c r="AY780" s="7" t="str">
        <f>IF('RFQ-Input'!V779="","",'RFQ-Input'!V779)</f>
        <v/>
      </c>
      <c r="AZ780" s="7" t="str">
        <f>IF('RFQ-Input'!Y779="","",'RFQ-Input'!Y779)</f>
        <v/>
      </c>
      <c r="BA780" s="7" t="str">
        <f>IF('RFQ-Input'!AB779="","",'RFQ-Input'!AB779)</f>
        <v/>
      </c>
    </row>
    <row r="781" spans="1:53">
      <c r="A781" s="20">
        <v>777</v>
      </c>
      <c r="B781" s="7"/>
      <c r="C781" s="7" t="str">
        <f>IF('RFQ-Input'!C780="","",'RFQ-Input'!C780)</f>
        <v/>
      </c>
      <c r="D781" s="7" t="str">
        <f>IF('RFQ-Input'!D780="","",'RFQ-Input'!D780)</f>
        <v/>
      </c>
      <c r="E781" s="7" t="str">
        <f>IF('RFQ-Input'!E780="","",'RFQ-Input'!E780)</f>
        <v/>
      </c>
      <c r="F781" s="7" t="str">
        <f>IF('RFQ-Input'!F780="","",'RFQ-Input'!F780)</f>
        <v/>
      </c>
      <c r="G781" s="7" t="str">
        <f>IF('RFQ-Input'!G780="","",'RFQ-Input'!G780)</f>
        <v/>
      </c>
      <c r="H781" s="7" t="str">
        <f>IF('RFQ-Input'!H780="","",'RFQ-Input'!H780)</f>
        <v/>
      </c>
      <c r="I781" s="7" t="str">
        <f>IF('RFQ-Input'!I780="","",'RFQ-Input'!I780)</f>
        <v/>
      </c>
      <c r="J781" s="7" t="str">
        <f>IF('RFQ-Input'!J780="","",'RFQ-Input'!J780)</f>
        <v/>
      </c>
      <c r="K781" s="7" t="str">
        <f>IF('RFQ-Input'!K780="","",'RFQ-Input'!K780)</f>
        <v/>
      </c>
      <c r="L781" s="7" t="str">
        <f>IF('RFQ-Input'!L780="","",'RFQ-Input'!L780)</f>
        <v/>
      </c>
      <c r="M781" s="7" t="str">
        <f>IF('RFQ-Input'!M780="","",'RFQ-Input'!M780)</f>
        <v/>
      </c>
      <c r="N781" s="7" t="str">
        <f>IF('RFQ-Input'!N780="","",'RFQ-Input'!N780)</f>
        <v/>
      </c>
      <c r="O781" s="7" t="str">
        <f>IF('RFQ-Input'!O780="","",'RFQ-Input'!O780)</f>
        <v/>
      </c>
      <c r="Q781" s="7"/>
      <c r="R781" s="7"/>
      <c r="S781" s="7"/>
      <c r="T781" s="7"/>
      <c r="U781" s="7"/>
      <c r="V781" s="7"/>
      <c r="X781" s="7"/>
      <c r="Y781" s="7"/>
      <c r="Z781" s="7"/>
      <c r="AA781" s="7" t="str">
        <f t="shared" si="84"/>
        <v/>
      </c>
      <c r="AB781" s="7"/>
      <c r="AC781" s="7"/>
      <c r="AQ781" s="7" t="str">
        <f t="shared" si="85"/>
        <v/>
      </c>
      <c r="AR781" s="7" t="str">
        <f t="shared" si="86"/>
        <v/>
      </c>
      <c r="AS781" s="7" t="str">
        <f t="shared" si="87"/>
        <v/>
      </c>
      <c r="AT781" s="7" t="str">
        <f t="shared" si="88"/>
        <v/>
      </c>
      <c r="AU781" s="7" t="str">
        <f t="shared" si="89"/>
        <v/>
      </c>
      <c r="AV781" s="7" t="str">
        <f t="shared" si="90"/>
        <v/>
      </c>
      <c r="AW781" s="7" t="str">
        <f>IF('RFQ-Input'!O780="","",'RFQ-Input'!O780)</f>
        <v/>
      </c>
      <c r="AX781" s="7" t="str">
        <f>IF('RFQ-Input'!S780="","",'RFQ-Input'!S780)</f>
        <v/>
      </c>
      <c r="AY781" s="7" t="str">
        <f>IF('RFQ-Input'!V780="","",'RFQ-Input'!V780)</f>
        <v/>
      </c>
      <c r="AZ781" s="7" t="str">
        <f>IF('RFQ-Input'!Y780="","",'RFQ-Input'!Y780)</f>
        <v/>
      </c>
      <c r="BA781" s="7" t="str">
        <f>IF('RFQ-Input'!AB780="","",'RFQ-Input'!AB780)</f>
        <v/>
      </c>
    </row>
    <row r="782" spans="1:53">
      <c r="A782" s="20">
        <v>778</v>
      </c>
      <c r="B782" s="7"/>
      <c r="C782" s="7" t="str">
        <f>IF('RFQ-Input'!C781="","",'RFQ-Input'!C781)</f>
        <v/>
      </c>
      <c r="D782" s="7" t="str">
        <f>IF('RFQ-Input'!D781="","",'RFQ-Input'!D781)</f>
        <v/>
      </c>
      <c r="E782" s="7" t="str">
        <f>IF('RFQ-Input'!E781="","",'RFQ-Input'!E781)</f>
        <v/>
      </c>
      <c r="F782" s="7" t="str">
        <f>IF('RFQ-Input'!F781="","",'RFQ-Input'!F781)</f>
        <v/>
      </c>
      <c r="G782" s="7" t="str">
        <f>IF('RFQ-Input'!G781="","",'RFQ-Input'!G781)</f>
        <v/>
      </c>
      <c r="H782" s="7" t="str">
        <f>IF('RFQ-Input'!H781="","",'RFQ-Input'!H781)</f>
        <v/>
      </c>
      <c r="I782" s="7" t="str">
        <f>IF('RFQ-Input'!I781="","",'RFQ-Input'!I781)</f>
        <v/>
      </c>
      <c r="J782" s="7" t="str">
        <f>IF('RFQ-Input'!J781="","",'RFQ-Input'!J781)</f>
        <v/>
      </c>
      <c r="K782" s="7" t="str">
        <f>IF('RFQ-Input'!K781="","",'RFQ-Input'!K781)</f>
        <v/>
      </c>
      <c r="L782" s="7" t="str">
        <f>IF('RFQ-Input'!L781="","",'RFQ-Input'!L781)</f>
        <v/>
      </c>
      <c r="M782" s="7" t="str">
        <f>IF('RFQ-Input'!M781="","",'RFQ-Input'!M781)</f>
        <v/>
      </c>
      <c r="N782" s="7" t="str">
        <f>IF('RFQ-Input'!N781="","",'RFQ-Input'!N781)</f>
        <v/>
      </c>
      <c r="O782" s="7" t="str">
        <f>IF('RFQ-Input'!O781="","",'RFQ-Input'!O781)</f>
        <v/>
      </c>
      <c r="Q782" s="7"/>
      <c r="R782" s="7"/>
      <c r="S782" s="7"/>
      <c r="T782" s="7"/>
      <c r="U782" s="7"/>
      <c r="V782" s="7"/>
      <c r="X782" s="7"/>
      <c r="Y782" s="7"/>
      <c r="Z782" s="7"/>
      <c r="AA782" s="7" t="str">
        <f t="shared" si="84"/>
        <v/>
      </c>
      <c r="AB782" s="7"/>
      <c r="AC782" s="7"/>
      <c r="AQ782" s="7" t="str">
        <f t="shared" si="85"/>
        <v/>
      </c>
      <c r="AR782" s="7" t="str">
        <f t="shared" si="86"/>
        <v/>
      </c>
      <c r="AS782" s="7" t="str">
        <f t="shared" si="87"/>
        <v/>
      </c>
      <c r="AT782" s="7" t="str">
        <f t="shared" si="88"/>
        <v/>
      </c>
      <c r="AU782" s="7" t="str">
        <f t="shared" si="89"/>
        <v/>
      </c>
      <c r="AV782" s="7" t="str">
        <f t="shared" si="90"/>
        <v/>
      </c>
      <c r="AW782" s="7" t="str">
        <f>IF('RFQ-Input'!O781="","",'RFQ-Input'!O781)</f>
        <v/>
      </c>
      <c r="AX782" s="7" t="str">
        <f>IF('RFQ-Input'!S781="","",'RFQ-Input'!S781)</f>
        <v/>
      </c>
      <c r="AY782" s="7" t="str">
        <f>IF('RFQ-Input'!V781="","",'RFQ-Input'!V781)</f>
        <v/>
      </c>
      <c r="AZ782" s="7" t="str">
        <f>IF('RFQ-Input'!Y781="","",'RFQ-Input'!Y781)</f>
        <v/>
      </c>
      <c r="BA782" s="7" t="str">
        <f>IF('RFQ-Input'!AB781="","",'RFQ-Input'!AB781)</f>
        <v/>
      </c>
    </row>
    <row r="783" spans="1:53">
      <c r="A783" s="20">
        <v>779</v>
      </c>
      <c r="B783" s="7"/>
      <c r="C783" s="7" t="str">
        <f>IF('RFQ-Input'!C782="","",'RFQ-Input'!C782)</f>
        <v/>
      </c>
      <c r="D783" s="7" t="str">
        <f>IF('RFQ-Input'!D782="","",'RFQ-Input'!D782)</f>
        <v/>
      </c>
      <c r="E783" s="7" t="str">
        <f>IF('RFQ-Input'!E782="","",'RFQ-Input'!E782)</f>
        <v/>
      </c>
      <c r="F783" s="7" t="str">
        <f>IF('RFQ-Input'!F782="","",'RFQ-Input'!F782)</f>
        <v/>
      </c>
      <c r="G783" s="7" t="str">
        <f>IF('RFQ-Input'!G782="","",'RFQ-Input'!G782)</f>
        <v/>
      </c>
      <c r="H783" s="7" t="str">
        <f>IF('RFQ-Input'!H782="","",'RFQ-Input'!H782)</f>
        <v/>
      </c>
      <c r="I783" s="7" t="str">
        <f>IF('RFQ-Input'!I782="","",'RFQ-Input'!I782)</f>
        <v/>
      </c>
      <c r="J783" s="7" t="str">
        <f>IF('RFQ-Input'!J782="","",'RFQ-Input'!J782)</f>
        <v/>
      </c>
      <c r="K783" s="7" t="str">
        <f>IF('RFQ-Input'!K782="","",'RFQ-Input'!K782)</f>
        <v/>
      </c>
      <c r="L783" s="7" t="str">
        <f>IF('RFQ-Input'!L782="","",'RFQ-Input'!L782)</f>
        <v/>
      </c>
      <c r="M783" s="7" t="str">
        <f>IF('RFQ-Input'!M782="","",'RFQ-Input'!M782)</f>
        <v/>
      </c>
      <c r="N783" s="7" t="str">
        <f>IF('RFQ-Input'!N782="","",'RFQ-Input'!N782)</f>
        <v/>
      </c>
      <c r="O783" s="7" t="str">
        <f>IF('RFQ-Input'!O782="","",'RFQ-Input'!O782)</f>
        <v/>
      </c>
      <c r="Q783" s="7"/>
      <c r="R783" s="7"/>
      <c r="S783" s="7"/>
      <c r="T783" s="7"/>
      <c r="U783" s="7"/>
      <c r="V783" s="7"/>
      <c r="X783" s="7"/>
      <c r="Y783" s="7"/>
      <c r="Z783" s="7"/>
      <c r="AA783" s="7" t="str">
        <f t="shared" si="84"/>
        <v/>
      </c>
      <c r="AB783" s="7"/>
      <c r="AC783" s="7"/>
      <c r="AQ783" s="7" t="str">
        <f t="shared" si="85"/>
        <v/>
      </c>
      <c r="AR783" s="7" t="str">
        <f t="shared" si="86"/>
        <v/>
      </c>
      <c r="AS783" s="7" t="str">
        <f t="shared" si="87"/>
        <v/>
      </c>
      <c r="AT783" s="7" t="str">
        <f t="shared" si="88"/>
        <v/>
      </c>
      <c r="AU783" s="7" t="str">
        <f t="shared" si="89"/>
        <v/>
      </c>
      <c r="AV783" s="7" t="str">
        <f t="shared" si="90"/>
        <v/>
      </c>
      <c r="AW783" s="7" t="str">
        <f>IF('RFQ-Input'!O782="","",'RFQ-Input'!O782)</f>
        <v/>
      </c>
      <c r="AX783" s="7" t="str">
        <f>IF('RFQ-Input'!S782="","",'RFQ-Input'!S782)</f>
        <v/>
      </c>
      <c r="AY783" s="7" t="str">
        <f>IF('RFQ-Input'!V782="","",'RFQ-Input'!V782)</f>
        <v/>
      </c>
      <c r="AZ783" s="7" t="str">
        <f>IF('RFQ-Input'!Y782="","",'RFQ-Input'!Y782)</f>
        <v/>
      </c>
      <c r="BA783" s="7" t="str">
        <f>IF('RFQ-Input'!AB782="","",'RFQ-Input'!AB782)</f>
        <v/>
      </c>
    </row>
    <row r="784" spans="1:53">
      <c r="A784" s="20">
        <v>780</v>
      </c>
      <c r="B784" s="7"/>
      <c r="C784" s="7" t="str">
        <f>IF('RFQ-Input'!C783="","",'RFQ-Input'!C783)</f>
        <v/>
      </c>
      <c r="D784" s="7" t="str">
        <f>IF('RFQ-Input'!D783="","",'RFQ-Input'!D783)</f>
        <v/>
      </c>
      <c r="E784" s="7" t="str">
        <f>IF('RFQ-Input'!E783="","",'RFQ-Input'!E783)</f>
        <v/>
      </c>
      <c r="F784" s="7" t="str">
        <f>IF('RFQ-Input'!F783="","",'RFQ-Input'!F783)</f>
        <v/>
      </c>
      <c r="G784" s="7" t="str">
        <f>IF('RFQ-Input'!G783="","",'RFQ-Input'!G783)</f>
        <v/>
      </c>
      <c r="H784" s="7" t="str">
        <f>IF('RFQ-Input'!H783="","",'RFQ-Input'!H783)</f>
        <v/>
      </c>
      <c r="I784" s="7" t="str">
        <f>IF('RFQ-Input'!I783="","",'RFQ-Input'!I783)</f>
        <v/>
      </c>
      <c r="J784" s="7" t="str">
        <f>IF('RFQ-Input'!J783="","",'RFQ-Input'!J783)</f>
        <v/>
      </c>
      <c r="K784" s="7" t="str">
        <f>IF('RFQ-Input'!K783="","",'RFQ-Input'!K783)</f>
        <v/>
      </c>
      <c r="L784" s="7" t="str">
        <f>IF('RFQ-Input'!L783="","",'RFQ-Input'!L783)</f>
        <v/>
      </c>
      <c r="M784" s="7" t="str">
        <f>IF('RFQ-Input'!M783="","",'RFQ-Input'!M783)</f>
        <v/>
      </c>
      <c r="N784" s="7" t="str">
        <f>IF('RFQ-Input'!N783="","",'RFQ-Input'!N783)</f>
        <v/>
      </c>
      <c r="O784" s="7" t="str">
        <f>IF('RFQ-Input'!O783="","",'RFQ-Input'!O783)</f>
        <v/>
      </c>
      <c r="Q784" s="7"/>
      <c r="R784" s="7"/>
      <c r="S784" s="7"/>
      <c r="T784" s="7"/>
      <c r="U784" s="7"/>
      <c r="V784" s="7"/>
      <c r="X784" s="7"/>
      <c r="Y784" s="7"/>
      <c r="Z784" s="7"/>
      <c r="AA784" s="7" t="str">
        <f t="shared" si="84"/>
        <v/>
      </c>
      <c r="AB784" s="7"/>
      <c r="AC784" s="7"/>
      <c r="AQ784" s="7" t="str">
        <f t="shared" si="85"/>
        <v/>
      </c>
      <c r="AR784" s="7" t="str">
        <f t="shared" si="86"/>
        <v/>
      </c>
      <c r="AS784" s="7" t="str">
        <f t="shared" si="87"/>
        <v/>
      </c>
      <c r="AT784" s="7" t="str">
        <f t="shared" si="88"/>
        <v/>
      </c>
      <c r="AU784" s="7" t="str">
        <f t="shared" si="89"/>
        <v/>
      </c>
      <c r="AV784" s="7" t="str">
        <f t="shared" si="90"/>
        <v/>
      </c>
      <c r="AW784" s="7" t="str">
        <f>IF('RFQ-Input'!O783="","",'RFQ-Input'!O783)</f>
        <v/>
      </c>
      <c r="AX784" s="7" t="str">
        <f>IF('RFQ-Input'!S783="","",'RFQ-Input'!S783)</f>
        <v/>
      </c>
      <c r="AY784" s="7" t="str">
        <f>IF('RFQ-Input'!V783="","",'RFQ-Input'!V783)</f>
        <v/>
      </c>
      <c r="AZ784" s="7" t="str">
        <f>IF('RFQ-Input'!Y783="","",'RFQ-Input'!Y783)</f>
        <v/>
      </c>
      <c r="BA784" s="7" t="str">
        <f>IF('RFQ-Input'!AB783="","",'RFQ-Input'!AB783)</f>
        <v/>
      </c>
    </row>
    <row r="785" spans="1:53">
      <c r="A785" s="20">
        <v>781</v>
      </c>
      <c r="B785" s="7"/>
      <c r="C785" s="7" t="str">
        <f>IF('RFQ-Input'!C784="","",'RFQ-Input'!C784)</f>
        <v/>
      </c>
      <c r="D785" s="7" t="str">
        <f>IF('RFQ-Input'!D784="","",'RFQ-Input'!D784)</f>
        <v/>
      </c>
      <c r="E785" s="7" t="str">
        <f>IF('RFQ-Input'!E784="","",'RFQ-Input'!E784)</f>
        <v/>
      </c>
      <c r="F785" s="7" t="str">
        <f>IF('RFQ-Input'!F784="","",'RFQ-Input'!F784)</f>
        <v/>
      </c>
      <c r="G785" s="7" t="str">
        <f>IF('RFQ-Input'!G784="","",'RFQ-Input'!G784)</f>
        <v/>
      </c>
      <c r="H785" s="7" t="str">
        <f>IF('RFQ-Input'!H784="","",'RFQ-Input'!H784)</f>
        <v/>
      </c>
      <c r="I785" s="7" t="str">
        <f>IF('RFQ-Input'!I784="","",'RFQ-Input'!I784)</f>
        <v/>
      </c>
      <c r="J785" s="7" t="str">
        <f>IF('RFQ-Input'!J784="","",'RFQ-Input'!J784)</f>
        <v/>
      </c>
      <c r="K785" s="7" t="str">
        <f>IF('RFQ-Input'!K784="","",'RFQ-Input'!K784)</f>
        <v/>
      </c>
      <c r="L785" s="7" t="str">
        <f>IF('RFQ-Input'!L784="","",'RFQ-Input'!L784)</f>
        <v/>
      </c>
      <c r="M785" s="7" t="str">
        <f>IF('RFQ-Input'!M784="","",'RFQ-Input'!M784)</f>
        <v/>
      </c>
      <c r="N785" s="7" t="str">
        <f>IF('RFQ-Input'!N784="","",'RFQ-Input'!N784)</f>
        <v/>
      </c>
      <c r="O785" s="7" t="str">
        <f>IF('RFQ-Input'!O784="","",'RFQ-Input'!O784)</f>
        <v/>
      </c>
      <c r="Q785" s="7"/>
      <c r="R785" s="7"/>
      <c r="S785" s="7"/>
      <c r="T785" s="7"/>
      <c r="U785" s="7"/>
      <c r="V785" s="7"/>
      <c r="X785" s="7"/>
      <c r="Y785" s="7"/>
      <c r="Z785" s="7"/>
      <c r="AA785" s="7" t="str">
        <f t="shared" si="84"/>
        <v/>
      </c>
      <c r="AB785" s="7"/>
      <c r="AC785" s="7"/>
      <c r="AQ785" s="7" t="str">
        <f t="shared" si="85"/>
        <v/>
      </c>
      <c r="AR785" s="7" t="str">
        <f t="shared" si="86"/>
        <v/>
      </c>
      <c r="AS785" s="7" t="str">
        <f t="shared" si="87"/>
        <v/>
      </c>
      <c r="AT785" s="7" t="str">
        <f t="shared" si="88"/>
        <v/>
      </c>
      <c r="AU785" s="7" t="str">
        <f t="shared" si="89"/>
        <v/>
      </c>
      <c r="AV785" s="7" t="str">
        <f t="shared" si="90"/>
        <v/>
      </c>
      <c r="AW785" s="7" t="str">
        <f>IF('RFQ-Input'!O784="","",'RFQ-Input'!O784)</f>
        <v/>
      </c>
      <c r="AX785" s="7" t="str">
        <f>IF('RFQ-Input'!S784="","",'RFQ-Input'!S784)</f>
        <v/>
      </c>
      <c r="AY785" s="7" t="str">
        <f>IF('RFQ-Input'!V784="","",'RFQ-Input'!V784)</f>
        <v/>
      </c>
      <c r="AZ785" s="7" t="str">
        <f>IF('RFQ-Input'!Y784="","",'RFQ-Input'!Y784)</f>
        <v/>
      </c>
      <c r="BA785" s="7" t="str">
        <f>IF('RFQ-Input'!AB784="","",'RFQ-Input'!AB784)</f>
        <v/>
      </c>
    </row>
    <row r="786" spans="1:53">
      <c r="A786" s="20">
        <v>782</v>
      </c>
      <c r="B786" s="7"/>
      <c r="C786" s="7" t="str">
        <f>IF('RFQ-Input'!C785="","",'RFQ-Input'!C785)</f>
        <v/>
      </c>
      <c r="D786" s="7" t="str">
        <f>IF('RFQ-Input'!D785="","",'RFQ-Input'!D785)</f>
        <v/>
      </c>
      <c r="E786" s="7" t="str">
        <f>IF('RFQ-Input'!E785="","",'RFQ-Input'!E785)</f>
        <v/>
      </c>
      <c r="F786" s="7" t="str">
        <f>IF('RFQ-Input'!F785="","",'RFQ-Input'!F785)</f>
        <v/>
      </c>
      <c r="G786" s="7" t="str">
        <f>IF('RFQ-Input'!G785="","",'RFQ-Input'!G785)</f>
        <v/>
      </c>
      <c r="H786" s="7" t="str">
        <f>IF('RFQ-Input'!H785="","",'RFQ-Input'!H785)</f>
        <v/>
      </c>
      <c r="I786" s="7" t="str">
        <f>IF('RFQ-Input'!I785="","",'RFQ-Input'!I785)</f>
        <v/>
      </c>
      <c r="J786" s="7" t="str">
        <f>IF('RFQ-Input'!J785="","",'RFQ-Input'!J785)</f>
        <v/>
      </c>
      <c r="K786" s="7" t="str">
        <f>IF('RFQ-Input'!K785="","",'RFQ-Input'!K785)</f>
        <v/>
      </c>
      <c r="L786" s="7" t="str">
        <f>IF('RFQ-Input'!L785="","",'RFQ-Input'!L785)</f>
        <v/>
      </c>
      <c r="M786" s="7" t="str">
        <f>IF('RFQ-Input'!M785="","",'RFQ-Input'!M785)</f>
        <v/>
      </c>
      <c r="N786" s="7" t="str">
        <f>IF('RFQ-Input'!N785="","",'RFQ-Input'!N785)</f>
        <v/>
      </c>
      <c r="O786" s="7" t="str">
        <f>IF('RFQ-Input'!O785="","",'RFQ-Input'!O785)</f>
        <v/>
      </c>
      <c r="Q786" s="7"/>
      <c r="R786" s="7"/>
      <c r="S786" s="7"/>
      <c r="T786" s="7"/>
      <c r="U786" s="7"/>
      <c r="V786" s="7"/>
      <c r="X786" s="7"/>
      <c r="Y786" s="7"/>
      <c r="Z786" s="7"/>
      <c r="AA786" s="7" t="str">
        <f t="shared" si="84"/>
        <v/>
      </c>
      <c r="AB786" s="7"/>
      <c r="AC786" s="7"/>
      <c r="AQ786" s="7" t="str">
        <f t="shared" si="85"/>
        <v/>
      </c>
      <c r="AR786" s="7" t="str">
        <f t="shared" si="86"/>
        <v/>
      </c>
      <c r="AS786" s="7" t="str">
        <f t="shared" si="87"/>
        <v/>
      </c>
      <c r="AT786" s="7" t="str">
        <f t="shared" si="88"/>
        <v/>
      </c>
      <c r="AU786" s="7" t="str">
        <f t="shared" si="89"/>
        <v/>
      </c>
      <c r="AV786" s="7" t="str">
        <f t="shared" si="90"/>
        <v/>
      </c>
      <c r="AW786" s="7" t="str">
        <f>IF('RFQ-Input'!O785="","",'RFQ-Input'!O785)</f>
        <v/>
      </c>
      <c r="AX786" s="7" t="str">
        <f>IF('RFQ-Input'!S785="","",'RFQ-Input'!S785)</f>
        <v/>
      </c>
      <c r="AY786" s="7" t="str">
        <f>IF('RFQ-Input'!V785="","",'RFQ-Input'!V785)</f>
        <v/>
      </c>
      <c r="AZ786" s="7" t="str">
        <f>IF('RFQ-Input'!Y785="","",'RFQ-Input'!Y785)</f>
        <v/>
      </c>
      <c r="BA786" s="7" t="str">
        <f>IF('RFQ-Input'!AB785="","",'RFQ-Input'!AB785)</f>
        <v/>
      </c>
    </row>
    <row r="787" spans="1:53">
      <c r="A787" s="20">
        <v>783</v>
      </c>
      <c r="B787" s="7"/>
      <c r="C787" s="7" t="str">
        <f>IF('RFQ-Input'!C786="","",'RFQ-Input'!C786)</f>
        <v/>
      </c>
      <c r="D787" s="7" t="str">
        <f>IF('RFQ-Input'!D786="","",'RFQ-Input'!D786)</f>
        <v/>
      </c>
      <c r="E787" s="7" t="str">
        <f>IF('RFQ-Input'!E786="","",'RFQ-Input'!E786)</f>
        <v/>
      </c>
      <c r="F787" s="7" t="str">
        <f>IF('RFQ-Input'!F786="","",'RFQ-Input'!F786)</f>
        <v/>
      </c>
      <c r="G787" s="7" t="str">
        <f>IF('RFQ-Input'!G786="","",'RFQ-Input'!G786)</f>
        <v/>
      </c>
      <c r="H787" s="7" t="str">
        <f>IF('RFQ-Input'!H786="","",'RFQ-Input'!H786)</f>
        <v/>
      </c>
      <c r="I787" s="7" t="str">
        <f>IF('RFQ-Input'!I786="","",'RFQ-Input'!I786)</f>
        <v/>
      </c>
      <c r="J787" s="7" t="str">
        <f>IF('RFQ-Input'!J786="","",'RFQ-Input'!J786)</f>
        <v/>
      </c>
      <c r="K787" s="7" t="str">
        <f>IF('RFQ-Input'!K786="","",'RFQ-Input'!K786)</f>
        <v/>
      </c>
      <c r="L787" s="7" t="str">
        <f>IF('RFQ-Input'!L786="","",'RFQ-Input'!L786)</f>
        <v/>
      </c>
      <c r="M787" s="7" t="str">
        <f>IF('RFQ-Input'!M786="","",'RFQ-Input'!M786)</f>
        <v/>
      </c>
      <c r="N787" s="7" t="str">
        <f>IF('RFQ-Input'!N786="","",'RFQ-Input'!N786)</f>
        <v/>
      </c>
      <c r="O787" s="7" t="str">
        <f>IF('RFQ-Input'!O786="","",'RFQ-Input'!O786)</f>
        <v/>
      </c>
      <c r="Q787" s="7"/>
      <c r="R787" s="7"/>
      <c r="S787" s="7"/>
      <c r="T787" s="7"/>
      <c r="U787" s="7"/>
      <c r="V787" s="7"/>
      <c r="X787" s="7"/>
      <c r="Y787" s="7"/>
      <c r="Z787" s="7"/>
      <c r="AA787" s="7" t="str">
        <f t="shared" si="84"/>
        <v/>
      </c>
      <c r="AB787" s="7"/>
      <c r="AC787" s="7"/>
      <c r="AQ787" s="7" t="str">
        <f t="shared" si="85"/>
        <v/>
      </c>
      <c r="AR787" s="7" t="str">
        <f t="shared" si="86"/>
        <v/>
      </c>
      <c r="AS787" s="7" t="str">
        <f t="shared" si="87"/>
        <v/>
      </c>
      <c r="AT787" s="7" t="str">
        <f t="shared" si="88"/>
        <v/>
      </c>
      <c r="AU787" s="7" t="str">
        <f t="shared" si="89"/>
        <v/>
      </c>
      <c r="AV787" s="7" t="str">
        <f t="shared" si="90"/>
        <v/>
      </c>
      <c r="AW787" s="7" t="str">
        <f>IF('RFQ-Input'!O786="","",'RFQ-Input'!O786)</f>
        <v/>
      </c>
      <c r="AX787" s="7" t="str">
        <f>IF('RFQ-Input'!S786="","",'RFQ-Input'!S786)</f>
        <v/>
      </c>
      <c r="AY787" s="7" t="str">
        <f>IF('RFQ-Input'!V786="","",'RFQ-Input'!V786)</f>
        <v/>
      </c>
      <c r="AZ787" s="7" t="str">
        <f>IF('RFQ-Input'!Y786="","",'RFQ-Input'!Y786)</f>
        <v/>
      </c>
      <c r="BA787" s="7" t="str">
        <f>IF('RFQ-Input'!AB786="","",'RFQ-Input'!AB786)</f>
        <v/>
      </c>
    </row>
    <row r="788" spans="1:53">
      <c r="A788" s="20">
        <v>784</v>
      </c>
      <c r="B788" s="7"/>
      <c r="C788" s="7" t="str">
        <f>IF('RFQ-Input'!C787="","",'RFQ-Input'!C787)</f>
        <v/>
      </c>
      <c r="D788" s="7" t="str">
        <f>IF('RFQ-Input'!D787="","",'RFQ-Input'!D787)</f>
        <v/>
      </c>
      <c r="E788" s="7" t="str">
        <f>IF('RFQ-Input'!E787="","",'RFQ-Input'!E787)</f>
        <v/>
      </c>
      <c r="F788" s="7" t="str">
        <f>IF('RFQ-Input'!F787="","",'RFQ-Input'!F787)</f>
        <v/>
      </c>
      <c r="G788" s="7" t="str">
        <f>IF('RFQ-Input'!G787="","",'RFQ-Input'!G787)</f>
        <v/>
      </c>
      <c r="H788" s="7" t="str">
        <f>IF('RFQ-Input'!H787="","",'RFQ-Input'!H787)</f>
        <v/>
      </c>
      <c r="I788" s="7" t="str">
        <f>IF('RFQ-Input'!I787="","",'RFQ-Input'!I787)</f>
        <v/>
      </c>
      <c r="J788" s="7" t="str">
        <f>IF('RFQ-Input'!J787="","",'RFQ-Input'!J787)</f>
        <v/>
      </c>
      <c r="K788" s="7" t="str">
        <f>IF('RFQ-Input'!K787="","",'RFQ-Input'!K787)</f>
        <v/>
      </c>
      <c r="L788" s="7" t="str">
        <f>IF('RFQ-Input'!L787="","",'RFQ-Input'!L787)</f>
        <v/>
      </c>
      <c r="M788" s="7" t="str">
        <f>IF('RFQ-Input'!M787="","",'RFQ-Input'!M787)</f>
        <v/>
      </c>
      <c r="N788" s="7" t="str">
        <f>IF('RFQ-Input'!N787="","",'RFQ-Input'!N787)</f>
        <v/>
      </c>
      <c r="O788" s="7" t="str">
        <f>IF('RFQ-Input'!O787="","",'RFQ-Input'!O787)</f>
        <v/>
      </c>
      <c r="Q788" s="7"/>
      <c r="R788" s="7"/>
      <c r="S788" s="7"/>
      <c r="T788" s="7"/>
      <c r="U788" s="7"/>
      <c r="V788" s="7"/>
      <c r="X788" s="7"/>
      <c r="Y788" s="7"/>
      <c r="Z788" s="7"/>
      <c r="AA788" s="7" t="str">
        <f t="shared" si="84"/>
        <v/>
      </c>
      <c r="AB788" s="7"/>
      <c r="AC788" s="7"/>
      <c r="AQ788" s="7" t="str">
        <f t="shared" si="85"/>
        <v/>
      </c>
      <c r="AR788" s="7" t="str">
        <f t="shared" si="86"/>
        <v/>
      </c>
      <c r="AS788" s="7" t="str">
        <f t="shared" si="87"/>
        <v/>
      </c>
      <c r="AT788" s="7" t="str">
        <f t="shared" si="88"/>
        <v/>
      </c>
      <c r="AU788" s="7" t="str">
        <f t="shared" si="89"/>
        <v/>
      </c>
      <c r="AV788" s="7" t="str">
        <f t="shared" si="90"/>
        <v/>
      </c>
      <c r="AW788" s="7" t="str">
        <f>IF('RFQ-Input'!O787="","",'RFQ-Input'!O787)</f>
        <v/>
      </c>
      <c r="AX788" s="7" t="str">
        <f>IF('RFQ-Input'!S787="","",'RFQ-Input'!S787)</f>
        <v/>
      </c>
      <c r="AY788" s="7" t="str">
        <f>IF('RFQ-Input'!V787="","",'RFQ-Input'!V787)</f>
        <v/>
      </c>
      <c r="AZ788" s="7" t="str">
        <f>IF('RFQ-Input'!Y787="","",'RFQ-Input'!Y787)</f>
        <v/>
      </c>
      <c r="BA788" s="7" t="str">
        <f>IF('RFQ-Input'!AB787="","",'RFQ-Input'!AB787)</f>
        <v/>
      </c>
    </row>
    <row r="789" spans="1:53">
      <c r="A789" s="20">
        <v>785</v>
      </c>
      <c r="B789" s="7"/>
      <c r="C789" s="7" t="str">
        <f>IF('RFQ-Input'!C788="","",'RFQ-Input'!C788)</f>
        <v/>
      </c>
      <c r="D789" s="7" t="str">
        <f>IF('RFQ-Input'!D788="","",'RFQ-Input'!D788)</f>
        <v/>
      </c>
      <c r="E789" s="7" t="str">
        <f>IF('RFQ-Input'!E788="","",'RFQ-Input'!E788)</f>
        <v/>
      </c>
      <c r="F789" s="7" t="str">
        <f>IF('RFQ-Input'!F788="","",'RFQ-Input'!F788)</f>
        <v/>
      </c>
      <c r="G789" s="7" t="str">
        <f>IF('RFQ-Input'!G788="","",'RFQ-Input'!G788)</f>
        <v/>
      </c>
      <c r="H789" s="7" t="str">
        <f>IF('RFQ-Input'!H788="","",'RFQ-Input'!H788)</f>
        <v/>
      </c>
      <c r="I789" s="7" t="str">
        <f>IF('RFQ-Input'!I788="","",'RFQ-Input'!I788)</f>
        <v/>
      </c>
      <c r="J789" s="7" t="str">
        <f>IF('RFQ-Input'!J788="","",'RFQ-Input'!J788)</f>
        <v/>
      </c>
      <c r="K789" s="7" t="str">
        <f>IF('RFQ-Input'!K788="","",'RFQ-Input'!K788)</f>
        <v/>
      </c>
      <c r="L789" s="7" t="str">
        <f>IF('RFQ-Input'!L788="","",'RFQ-Input'!L788)</f>
        <v/>
      </c>
      <c r="M789" s="7" t="str">
        <f>IF('RFQ-Input'!M788="","",'RFQ-Input'!M788)</f>
        <v/>
      </c>
      <c r="N789" s="7" t="str">
        <f>IF('RFQ-Input'!N788="","",'RFQ-Input'!N788)</f>
        <v/>
      </c>
      <c r="O789" s="7" t="str">
        <f>IF('RFQ-Input'!O788="","",'RFQ-Input'!O788)</f>
        <v/>
      </c>
      <c r="Q789" s="7"/>
      <c r="R789" s="7"/>
      <c r="S789" s="7"/>
      <c r="T789" s="7"/>
      <c r="U789" s="7"/>
      <c r="V789" s="7"/>
      <c r="X789" s="7"/>
      <c r="Y789" s="7"/>
      <c r="Z789" s="7"/>
      <c r="AA789" s="7" t="str">
        <f t="shared" si="84"/>
        <v/>
      </c>
      <c r="AB789" s="7"/>
      <c r="AC789" s="7"/>
      <c r="AQ789" s="7" t="str">
        <f t="shared" si="85"/>
        <v/>
      </c>
      <c r="AR789" s="7" t="str">
        <f t="shared" si="86"/>
        <v/>
      </c>
      <c r="AS789" s="7" t="str">
        <f t="shared" si="87"/>
        <v/>
      </c>
      <c r="AT789" s="7" t="str">
        <f t="shared" si="88"/>
        <v/>
      </c>
      <c r="AU789" s="7" t="str">
        <f t="shared" si="89"/>
        <v/>
      </c>
      <c r="AV789" s="7" t="str">
        <f t="shared" si="90"/>
        <v/>
      </c>
      <c r="AW789" s="7" t="str">
        <f>IF('RFQ-Input'!O788="","",'RFQ-Input'!O788)</f>
        <v/>
      </c>
      <c r="AX789" s="7" t="str">
        <f>IF('RFQ-Input'!S788="","",'RFQ-Input'!S788)</f>
        <v/>
      </c>
      <c r="AY789" s="7" t="str">
        <f>IF('RFQ-Input'!V788="","",'RFQ-Input'!V788)</f>
        <v/>
      </c>
      <c r="AZ789" s="7" t="str">
        <f>IF('RFQ-Input'!Y788="","",'RFQ-Input'!Y788)</f>
        <v/>
      </c>
      <c r="BA789" s="7" t="str">
        <f>IF('RFQ-Input'!AB788="","",'RFQ-Input'!AB788)</f>
        <v/>
      </c>
    </row>
    <row r="790" spans="1:53">
      <c r="A790" s="20">
        <v>786</v>
      </c>
      <c r="B790" s="7"/>
      <c r="C790" s="7" t="str">
        <f>IF('RFQ-Input'!C789="","",'RFQ-Input'!C789)</f>
        <v/>
      </c>
      <c r="D790" s="7" t="str">
        <f>IF('RFQ-Input'!D789="","",'RFQ-Input'!D789)</f>
        <v/>
      </c>
      <c r="E790" s="7" t="str">
        <f>IF('RFQ-Input'!E789="","",'RFQ-Input'!E789)</f>
        <v/>
      </c>
      <c r="F790" s="7" t="str">
        <f>IF('RFQ-Input'!F789="","",'RFQ-Input'!F789)</f>
        <v/>
      </c>
      <c r="G790" s="7" t="str">
        <f>IF('RFQ-Input'!G789="","",'RFQ-Input'!G789)</f>
        <v/>
      </c>
      <c r="H790" s="7" t="str">
        <f>IF('RFQ-Input'!H789="","",'RFQ-Input'!H789)</f>
        <v/>
      </c>
      <c r="I790" s="7" t="str">
        <f>IF('RFQ-Input'!I789="","",'RFQ-Input'!I789)</f>
        <v/>
      </c>
      <c r="J790" s="7" t="str">
        <f>IF('RFQ-Input'!J789="","",'RFQ-Input'!J789)</f>
        <v/>
      </c>
      <c r="K790" s="7" t="str">
        <f>IF('RFQ-Input'!K789="","",'RFQ-Input'!K789)</f>
        <v/>
      </c>
      <c r="L790" s="7" t="str">
        <f>IF('RFQ-Input'!L789="","",'RFQ-Input'!L789)</f>
        <v/>
      </c>
      <c r="M790" s="7" t="str">
        <f>IF('RFQ-Input'!M789="","",'RFQ-Input'!M789)</f>
        <v/>
      </c>
      <c r="N790" s="7" t="str">
        <f>IF('RFQ-Input'!N789="","",'RFQ-Input'!N789)</f>
        <v/>
      </c>
      <c r="O790" s="7" t="str">
        <f>IF('RFQ-Input'!O789="","",'RFQ-Input'!O789)</f>
        <v/>
      </c>
      <c r="Q790" s="7"/>
      <c r="R790" s="7"/>
      <c r="S790" s="7"/>
      <c r="T790" s="7"/>
      <c r="U790" s="7"/>
      <c r="V790" s="7"/>
      <c r="X790" s="7"/>
      <c r="Y790" s="7"/>
      <c r="Z790" s="7"/>
      <c r="AA790" s="7" t="str">
        <f t="shared" si="84"/>
        <v/>
      </c>
      <c r="AB790" s="7"/>
      <c r="AC790" s="7"/>
      <c r="AQ790" s="7" t="str">
        <f t="shared" si="85"/>
        <v/>
      </c>
      <c r="AR790" s="7" t="str">
        <f t="shared" si="86"/>
        <v/>
      </c>
      <c r="AS790" s="7" t="str">
        <f t="shared" si="87"/>
        <v/>
      </c>
      <c r="AT790" s="7" t="str">
        <f t="shared" si="88"/>
        <v/>
      </c>
      <c r="AU790" s="7" t="str">
        <f t="shared" si="89"/>
        <v/>
      </c>
      <c r="AV790" s="7" t="str">
        <f t="shared" si="90"/>
        <v/>
      </c>
      <c r="AW790" s="7" t="str">
        <f>IF('RFQ-Input'!O789="","",'RFQ-Input'!O789)</f>
        <v/>
      </c>
      <c r="AX790" s="7" t="str">
        <f>IF('RFQ-Input'!S789="","",'RFQ-Input'!S789)</f>
        <v/>
      </c>
      <c r="AY790" s="7" t="str">
        <f>IF('RFQ-Input'!V789="","",'RFQ-Input'!V789)</f>
        <v/>
      </c>
      <c r="AZ790" s="7" t="str">
        <f>IF('RFQ-Input'!Y789="","",'RFQ-Input'!Y789)</f>
        <v/>
      </c>
      <c r="BA790" s="7" t="str">
        <f>IF('RFQ-Input'!AB789="","",'RFQ-Input'!AB789)</f>
        <v/>
      </c>
    </row>
    <row r="791" spans="1:53">
      <c r="A791" s="20">
        <v>787</v>
      </c>
      <c r="B791" s="7"/>
      <c r="C791" s="7" t="str">
        <f>IF('RFQ-Input'!C790="","",'RFQ-Input'!C790)</f>
        <v/>
      </c>
      <c r="D791" s="7" t="str">
        <f>IF('RFQ-Input'!D790="","",'RFQ-Input'!D790)</f>
        <v/>
      </c>
      <c r="E791" s="7" t="str">
        <f>IF('RFQ-Input'!E790="","",'RFQ-Input'!E790)</f>
        <v/>
      </c>
      <c r="F791" s="7" t="str">
        <f>IF('RFQ-Input'!F790="","",'RFQ-Input'!F790)</f>
        <v/>
      </c>
      <c r="G791" s="7" t="str">
        <f>IF('RFQ-Input'!G790="","",'RFQ-Input'!G790)</f>
        <v/>
      </c>
      <c r="H791" s="7" t="str">
        <f>IF('RFQ-Input'!H790="","",'RFQ-Input'!H790)</f>
        <v/>
      </c>
      <c r="I791" s="7" t="str">
        <f>IF('RFQ-Input'!I790="","",'RFQ-Input'!I790)</f>
        <v/>
      </c>
      <c r="J791" s="7" t="str">
        <f>IF('RFQ-Input'!J790="","",'RFQ-Input'!J790)</f>
        <v/>
      </c>
      <c r="K791" s="7" t="str">
        <f>IF('RFQ-Input'!K790="","",'RFQ-Input'!K790)</f>
        <v/>
      </c>
      <c r="L791" s="7" t="str">
        <f>IF('RFQ-Input'!L790="","",'RFQ-Input'!L790)</f>
        <v/>
      </c>
      <c r="M791" s="7" t="str">
        <f>IF('RFQ-Input'!M790="","",'RFQ-Input'!M790)</f>
        <v/>
      </c>
      <c r="N791" s="7" t="str">
        <f>IF('RFQ-Input'!N790="","",'RFQ-Input'!N790)</f>
        <v/>
      </c>
      <c r="O791" s="7" t="str">
        <f>IF('RFQ-Input'!O790="","",'RFQ-Input'!O790)</f>
        <v/>
      </c>
      <c r="Q791" s="7"/>
      <c r="R791" s="7"/>
      <c r="S791" s="7"/>
      <c r="T791" s="7"/>
      <c r="U791" s="7"/>
      <c r="V791" s="7"/>
      <c r="X791" s="7"/>
      <c r="Y791" s="7"/>
      <c r="Z791" s="7"/>
      <c r="AA791" s="7" t="str">
        <f t="shared" si="84"/>
        <v/>
      </c>
      <c r="AB791" s="7"/>
      <c r="AC791" s="7"/>
      <c r="AQ791" s="7" t="str">
        <f t="shared" si="85"/>
        <v/>
      </c>
      <c r="AR791" s="7" t="str">
        <f t="shared" si="86"/>
        <v/>
      </c>
      <c r="AS791" s="7" t="str">
        <f t="shared" si="87"/>
        <v/>
      </c>
      <c r="AT791" s="7" t="str">
        <f t="shared" si="88"/>
        <v/>
      </c>
      <c r="AU791" s="7" t="str">
        <f t="shared" si="89"/>
        <v/>
      </c>
      <c r="AV791" s="7" t="str">
        <f t="shared" si="90"/>
        <v/>
      </c>
      <c r="AW791" s="7" t="str">
        <f>IF('RFQ-Input'!O790="","",'RFQ-Input'!O790)</f>
        <v/>
      </c>
      <c r="AX791" s="7" t="str">
        <f>IF('RFQ-Input'!S790="","",'RFQ-Input'!S790)</f>
        <v/>
      </c>
      <c r="AY791" s="7" t="str">
        <f>IF('RFQ-Input'!V790="","",'RFQ-Input'!V790)</f>
        <v/>
      </c>
      <c r="AZ791" s="7" t="str">
        <f>IF('RFQ-Input'!Y790="","",'RFQ-Input'!Y790)</f>
        <v/>
      </c>
      <c r="BA791" s="7" t="str">
        <f>IF('RFQ-Input'!AB790="","",'RFQ-Input'!AB790)</f>
        <v/>
      </c>
    </row>
    <row r="792" spans="1:53">
      <c r="A792" s="20">
        <v>788</v>
      </c>
      <c r="B792" s="7"/>
      <c r="C792" s="7" t="str">
        <f>IF('RFQ-Input'!C791="","",'RFQ-Input'!C791)</f>
        <v/>
      </c>
      <c r="D792" s="7" t="str">
        <f>IF('RFQ-Input'!D791="","",'RFQ-Input'!D791)</f>
        <v/>
      </c>
      <c r="E792" s="7" t="str">
        <f>IF('RFQ-Input'!E791="","",'RFQ-Input'!E791)</f>
        <v/>
      </c>
      <c r="F792" s="7" t="str">
        <f>IF('RFQ-Input'!F791="","",'RFQ-Input'!F791)</f>
        <v/>
      </c>
      <c r="G792" s="7" t="str">
        <f>IF('RFQ-Input'!G791="","",'RFQ-Input'!G791)</f>
        <v/>
      </c>
      <c r="H792" s="7" t="str">
        <f>IF('RFQ-Input'!H791="","",'RFQ-Input'!H791)</f>
        <v/>
      </c>
      <c r="I792" s="7" t="str">
        <f>IF('RFQ-Input'!I791="","",'RFQ-Input'!I791)</f>
        <v/>
      </c>
      <c r="J792" s="7" t="str">
        <f>IF('RFQ-Input'!J791="","",'RFQ-Input'!J791)</f>
        <v/>
      </c>
      <c r="K792" s="7" t="str">
        <f>IF('RFQ-Input'!K791="","",'RFQ-Input'!K791)</f>
        <v/>
      </c>
      <c r="L792" s="7" t="str">
        <f>IF('RFQ-Input'!L791="","",'RFQ-Input'!L791)</f>
        <v/>
      </c>
      <c r="M792" s="7" t="str">
        <f>IF('RFQ-Input'!M791="","",'RFQ-Input'!M791)</f>
        <v/>
      </c>
      <c r="N792" s="7" t="str">
        <f>IF('RFQ-Input'!N791="","",'RFQ-Input'!N791)</f>
        <v/>
      </c>
      <c r="O792" s="7" t="str">
        <f>IF('RFQ-Input'!O791="","",'RFQ-Input'!O791)</f>
        <v/>
      </c>
      <c r="Q792" s="7"/>
      <c r="R792" s="7"/>
      <c r="S792" s="7"/>
      <c r="T792" s="7"/>
      <c r="U792" s="7"/>
      <c r="V792" s="7"/>
      <c r="X792" s="7"/>
      <c r="Y792" s="7"/>
      <c r="Z792" s="7"/>
      <c r="AA792" s="7" t="str">
        <f t="shared" si="84"/>
        <v/>
      </c>
      <c r="AB792" s="7"/>
      <c r="AC792" s="7"/>
      <c r="AQ792" s="7" t="str">
        <f t="shared" si="85"/>
        <v/>
      </c>
      <c r="AR792" s="7" t="str">
        <f t="shared" si="86"/>
        <v/>
      </c>
      <c r="AS792" s="7" t="str">
        <f t="shared" si="87"/>
        <v/>
      </c>
      <c r="AT792" s="7" t="str">
        <f t="shared" si="88"/>
        <v/>
      </c>
      <c r="AU792" s="7" t="str">
        <f t="shared" si="89"/>
        <v/>
      </c>
      <c r="AV792" s="7" t="str">
        <f t="shared" si="90"/>
        <v/>
      </c>
      <c r="AW792" s="7" t="str">
        <f>IF('RFQ-Input'!O791="","",'RFQ-Input'!O791)</f>
        <v/>
      </c>
      <c r="AX792" s="7" t="str">
        <f>IF('RFQ-Input'!S791="","",'RFQ-Input'!S791)</f>
        <v/>
      </c>
      <c r="AY792" s="7" t="str">
        <f>IF('RFQ-Input'!V791="","",'RFQ-Input'!V791)</f>
        <v/>
      </c>
      <c r="AZ792" s="7" t="str">
        <f>IF('RFQ-Input'!Y791="","",'RFQ-Input'!Y791)</f>
        <v/>
      </c>
      <c r="BA792" s="7" t="str">
        <f>IF('RFQ-Input'!AB791="","",'RFQ-Input'!AB791)</f>
        <v/>
      </c>
    </row>
    <row r="793" spans="1:53">
      <c r="A793" s="20">
        <v>789</v>
      </c>
      <c r="B793" s="7"/>
      <c r="C793" s="7" t="str">
        <f>IF('RFQ-Input'!C792="","",'RFQ-Input'!C792)</f>
        <v/>
      </c>
      <c r="D793" s="7" t="str">
        <f>IF('RFQ-Input'!D792="","",'RFQ-Input'!D792)</f>
        <v/>
      </c>
      <c r="E793" s="7" t="str">
        <f>IF('RFQ-Input'!E792="","",'RFQ-Input'!E792)</f>
        <v/>
      </c>
      <c r="F793" s="7" t="str">
        <f>IF('RFQ-Input'!F792="","",'RFQ-Input'!F792)</f>
        <v/>
      </c>
      <c r="G793" s="7" t="str">
        <f>IF('RFQ-Input'!G792="","",'RFQ-Input'!G792)</f>
        <v/>
      </c>
      <c r="H793" s="7" t="str">
        <f>IF('RFQ-Input'!H792="","",'RFQ-Input'!H792)</f>
        <v/>
      </c>
      <c r="I793" s="7" t="str">
        <f>IF('RFQ-Input'!I792="","",'RFQ-Input'!I792)</f>
        <v/>
      </c>
      <c r="J793" s="7" t="str">
        <f>IF('RFQ-Input'!J792="","",'RFQ-Input'!J792)</f>
        <v/>
      </c>
      <c r="K793" s="7" t="str">
        <f>IF('RFQ-Input'!K792="","",'RFQ-Input'!K792)</f>
        <v/>
      </c>
      <c r="L793" s="7" t="str">
        <f>IF('RFQ-Input'!L792="","",'RFQ-Input'!L792)</f>
        <v/>
      </c>
      <c r="M793" s="7" t="str">
        <f>IF('RFQ-Input'!M792="","",'RFQ-Input'!M792)</f>
        <v/>
      </c>
      <c r="N793" s="7" t="str">
        <f>IF('RFQ-Input'!N792="","",'RFQ-Input'!N792)</f>
        <v/>
      </c>
      <c r="O793" s="7" t="str">
        <f>IF('RFQ-Input'!O792="","",'RFQ-Input'!O792)</f>
        <v/>
      </c>
      <c r="Q793" s="7"/>
      <c r="R793" s="7"/>
      <c r="S793" s="7"/>
      <c r="T793" s="7"/>
      <c r="U793" s="7"/>
      <c r="V793" s="7"/>
      <c r="X793" s="7"/>
      <c r="Y793" s="7"/>
      <c r="Z793" s="7"/>
      <c r="AA793" s="7" t="str">
        <f t="shared" si="84"/>
        <v/>
      </c>
      <c r="AB793" s="7"/>
      <c r="AC793" s="7"/>
      <c r="AQ793" s="7" t="str">
        <f t="shared" si="85"/>
        <v/>
      </c>
      <c r="AR793" s="7" t="str">
        <f t="shared" si="86"/>
        <v/>
      </c>
      <c r="AS793" s="7" t="str">
        <f t="shared" si="87"/>
        <v/>
      </c>
      <c r="AT793" s="7" t="str">
        <f t="shared" si="88"/>
        <v/>
      </c>
      <c r="AU793" s="7" t="str">
        <f t="shared" si="89"/>
        <v/>
      </c>
      <c r="AV793" s="7" t="str">
        <f t="shared" si="90"/>
        <v/>
      </c>
      <c r="AW793" s="7" t="str">
        <f>IF('RFQ-Input'!O792="","",'RFQ-Input'!O792)</f>
        <v/>
      </c>
      <c r="AX793" s="7" t="str">
        <f>IF('RFQ-Input'!S792="","",'RFQ-Input'!S792)</f>
        <v/>
      </c>
      <c r="AY793" s="7" t="str">
        <f>IF('RFQ-Input'!V792="","",'RFQ-Input'!V792)</f>
        <v/>
      </c>
      <c r="AZ793" s="7" t="str">
        <f>IF('RFQ-Input'!Y792="","",'RFQ-Input'!Y792)</f>
        <v/>
      </c>
      <c r="BA793" s="7" t="str">
        <f>IF('RFQ-Input'!AB792="","",'RFQ-Input'!AB792)</f>
        <v/>
      </c>
    </row>
    <row r="794" spans="1:53">
      <c r="A794" s="20">
        <v>790</v>
      </c>
      <c r="B794" s="7"/>
      <c r="C794" s="7" t="str">
        <f>IF('RFQ-Input'!C793="","",'RFQ-Input'!C793)</f>
        <v/>
      </c>
      <c r="D794" s="7" t="str">
        <f>IF('RFQ-Input'!D793="","",'RFQ-Input'!D793)</f>
        <v/>
      </c>
      <c r="E794" s="7" t="str">
        <f>IF('RFQ-Input'!E793="","",'RFQ-Input'!E793)</f>
        <v/>
      </c>
      <c r="F794" s="7" t="str">
        <f>IF('RFQ-Input'!F793="","",'RFQ-Input'!F793)</f>
        <v/>
      </c>
      <c r="G794" s="7" t="str">
        <f>IF('RFQ-Input'!G793="","",'RFQ-Input'!G793)</f>
        <v/>
      </c>
      <c r="H794" s="7" t="str">
        <f>IF('RFQ-Input'!H793="","",'RFQ-Input'!H793)</f>
        <v/>
      </c>
      <c r="I794" s="7" t="str">
        <f>IF('RFQ-Input'!I793="","",'RFQ-Input'!I793)</f>
        <v/>
      </c>
      <c r="J794" s="7" t="str">
        <f>IF('RFQ-Input'!J793="","",'RFQ-Input'!J793)</f>
        <v/>
      </c>
      <c r="K794" s="7" t="str">
        <f>IF('RFQ-Input'!K793="","",'RFQ-Input'!K793)</f>
        <v/>
      </c>
      <c r="L794" s="7" t="str">
        <f>IF('RFQ-Input'!L793="","",'RFQ-Input'!L793)</f>
        <v/>
      </c>
      <c r="M794" s="7" t="str">
        <f>IF('RFQ-Input'!M793="","",'RFQ-Input'!M793)</f>
        <v/>
      </c>
      <c r="N794" s="7" t="str">
        <f>IF('RFQ-Input'!N793="","",'RFQ-Input'!N793)</f>
        <v/>
      </c>
      <c r="O794" s="7" t="str">
        <f>IF('RFQ-Input'!O793="","",'RFQ-Input'!O793)</f>
        <v/>
      </c>
      <c r="Q794" s="7"/>
      <c r="R794" s="7"/>
      <c r="S794" s="7"/>
      <c r="T794" s="7"/>
      <c r="U794" s="7"/>
      <c r="V794" s="7"/>
      <c r="X794" s="7"/>
      <c r="Y794" s="7"/>
      <c r="Z794" s="7"/>
      <c r="AA794" s="7" t="str">
        <f t="shared" si="84"/>
        <v/>
      </c>
      <c r="AB794" s="7"/>
      <c r="AC794" s="7"/>
      <c r="AQ794" s="7" t="str">
        <f t="shared" si="85"/>
        <v/>
      </c>
      <c r="AR794" s="7" t="str">
        <f t="shared" si="86"/>
        <v/>
      </c>
      <c r="AS794" s="7" t="str">
        <f t="shared" si="87"/>
        <v/>
      </c>
      <c r="AT794" s="7" t="str">
        <f t="shared" si="88"/>
        <v/>
      </c>
      <c r="AU794" s="7" t="str">
        <f t="shared" si="89"/>
        <v/>
      </c>
      <c r="AV794" s="7" t="str">
        <f t="shared" si="90"/>
        <v/>
      </c>
      <c r="AW794" s="7" t="str">
        <f>IF('RFQ-Input'!O793="","",'RFQ-Input'!O793)</f>
        <v/>
      </c>
      <c r="AX794" s="7" t="str">
        <f>IF('RFQ-Input'!S793="","",'RFQ-Input'!S793)</f>
        <v/>
      </c>
      <c r="AY794" s="7" t="str">
        <f>IF('RFQ-Input'!V793="","",'RFQ-Input'!V793)</f>
        <v/>
      </c>
      <c r="AZ794" s="7" t="str">
        <f>IF('RFQ-Input'!Y793="","",'RFQ-Input'!Y793)</f>
        <v/>
      </c>
      <c r="BA794" s="7" t="str">
        <f>IF('RFQ-Input'!AB793="","",'RFQ-Input'!AB793)</f>
        <v/>
      </c>
    </row>
    <row r="795" spans="1:53">
      <c r="A795" s="20">
        <v>791</v>
      </c>
      <c r="B795" s="7"/>
      <c r="C795" s="7" t="str">
        <f>IF('RFQ-Input'!C794="","",'RFQ-Input'!C794)</f>
        <v/>
      </c>
      <c r="D795" s="7" t="str">
        <f>IF('RFQ-Input'!D794="","",'RFQ-Input'!D794)</f>
        <v/>
      </c>
      <c r="E795" s="7" t="str">
        <f>IF('RFQ-Input'!E794="","",'RFQ-Input'!E794)</f>
        <v/>
      </c>
      <c r="F795" s="7" t="str">
        <f>IF('RFQ-Input'!F794="","",'RFQ-Input'!F794)</f>
        <v/>
      </c>
      <c r="G795" s="7" t="str">
        <f>IF('RFQ-Input'!G794="","",'RFQ-Input'!G794)</f>
        <v/>
      </c>
      <c r="H795" s="7" t="str">
        <f>IF('RFQ-Input'!H794="","",'RFQ-Input'!H794)</f>
        <v/>
      </c>
      <c r="I795" s="7" t="str">
        <f>IF('RFQ-Input'!I794="","",'RFQ-Input'!I794)</f>
        <v/>
      </c>
      <c r="J795" s="7" t="str">
        <f>IF('RFQ-Input'!J794="","",'RFQ-Input'!J794)</f>
        <v/>
      </c>
      <c r="K795" s="7" t="str">
        <f>IF('RFQ-Input'!K794="","",'RFQ-Input'!K794)</f>
        <v/>
      </c>
      <c r="L795" s="7" t="str">
        <f>IF('RFQ-Input'!L794="","",'RFQ-Input'!L794)</f>
        <v/>
      </c>
      <c r="M795" s="7" t="str">
        <f>IF('RFQ-Input'!M794="","",'RFQ-Input'!M794)</f>
        <v/>
      </c>
      <c r="N795" s="7" t="str">
        <f>IF('RFQ-Input'!N794="","",'RFQ-Input'!N794)</f>
        <v/>
      </c>
      <c r="O795" s="7" t="str">
        <f>IF('RFQ-Input'!O794="","",'RFQ-Input'!O794)</f>
        <v/>
      </c>
      <c r="Q795" s="7"/>
      <c r="R795" s="7"/>
      <c r="S795" s="7"/>
      <c r="T795" s="7"/>
      <c r="U795" s="7"/>
      <c r="V795" s="7"/>
      <c r="X795" s="7"/>
      <c r="Y795" s="7"/>
      <c r="Z795" s="7"/>
      <c r="AA795" s="7" t="str">
        <f t="shared" si="84"/>
        <v/>
      </c>
      <c r="AB795" s="7"/>
      <c r="AC795" s="7"/>
      <c r="AQ795" s="7" t="str">
        <f t="shared" si="85"/>
        <v/>
      </c>
      <c r="AR795" s="7" t="str">
        <f t="shared" si="86"/>
        <v/>
      </c>
      <c r="AS795" s="7" t="str">
        <f t="shared" si="87"/>
        <v/>
      </c>
      <c r="AT795" s="7" t="str">
        <f t="shared" si="88"/>
        <v/>
      </c>
      <c r="AU795" s="7" t="str">
        <f t="shared" si="89"/>
        <v/>
      </c>
      <c r="AV795" s="7" t="str">
        <f t="shared" si="90"/>
        <v/>
      </c>
      <c r="AW795" s="7" t="str">
        <f>IF('RFQ-Input'!O794="","",'RFQ-Input'!O794)</f>
        <v/>
      </c>
      <c r="AX795" s="7" t="str">
        <f>IF('RFQ-Input'!S794="","",'RFQ-Input'!S794)</f>
        <v/>
      </c>
      <c r="AY795" s="7" t="str">
        <f>IF('RFQ-Input'!V794="","",'RFQ-Input'!V794)</f>
        <v/>
      </c>
      <c r="AZ795" s="7" t="str">
        <f>IF('RFQ-Input'!Y794="","",'RFQ-Input'!Y794)</f>
        <v/>
      </c>
      <c r="BA795" s="7" t="str">
        <f>IF('RFQ-Input'!AB794="","",'RFQ-Input'!AB794)</f>
        <v/>
      </c>
    </row>
    <row r="796" spans="1:53">
      <c r="A796" s="20">
        <v>792</v>
      </c>
      <c r="B796" s="7"/>
      <c r="C796" s="7" t="str">
        <f>IF('RFQ-Input'!C795="","",'RFQ-Input'!C795)</f>
        <v/>
      </c>
      <c r="D796" s="7" t="str">
        <f>IF('RFQ-Input'!D795="","",'RFQ-Input'!D795)</f>
        <v/>
      </c>
      <c r="E796" s="7" t="str">
        <f>IF('RFQ-Input'!E795="","",'RFQ-Input'!E795)</f>
        <v/>
      </c>
      <c r="F796" s="7" t="str">
        <f>IF('RFQ-Input'!F795="","",'RFQ-Input'!F795)</f>
        <v/>
      </c>
      <c r="G796" s="7" t="str">
        <f>IF('RFQ-Input'!G795="","",'RFQ-Input'!G795)</f>
        <v/>
      </c>
      <c r="H796" s="7" t="str">
        <f>IF('RFQ-Input'!H795="","",'RFQ-Input'!H795)</f>
        <v/>
      </c>
      <c r="I796" s="7" t="str">
        <f>IF('RFQ-Input'!I795="","",'RFQ-Input'!I795)</f>
        <v/>
      </c>
      <c r="J796" s="7" t="str">
        <f>IF('RFQ-Input'!J795="","",'RFQ-Input'!J795)</f>
        <v/>
      </c>
      <c r="K796" s="7" t="str">
        <f>IF('RFQ-Input'!K795="","",'RFQ-Input'!K795)</f>
        <v/>
      </c>
      <c r="L796" s="7" t="str">
        <f>IF('RFQ-Input'!L795="","",'RFQ-Input'!L795)</f>
        <v/>
      </c>
      <c r="M796" s="7" t="str">
        <f>IF('RFQ-Input'!M795="","",'RFQ-Input'!M795)</f>
        <v/>
      </c>
      <c r="N796" s="7" t="str">
        <f>IF('RFQ-Input'!N795="","",'RFQ-Input'!N795)</f>
        <v/>
      </c>
      <c r="O796" s="7" t="str">
        <f>IF('RFQ-Input'!O795="","",'RFQ-Input'!O795)</f>
        <v/>
      </c>
      <c r="Q796" s="7"/>
      <c r="R796" s="7"/>
      <c r="S796" s="7"/>
      <c r="T796" s="7"/>
      <c r="U796" s="7"/>
      <c r="V796" s="7"/>
      <c r="X796" s="7"/>
      <c r="Y796" s="7"/>
      <c r="Z796" s="7"/>
      <c r="AA796" s="7" t="str">
        <f t="shared" si="84"/>
        <v/>
      </c>
      <c r="AB796" s="7"/>
      <c r="AC796" s="7"/>
      <c r="AQ796" s="7" t="str">
        <f t="shared" si="85"/>
        <v/>
      </c>
      <c r="AR796" s="7" t="str">
        <f t="shared" si="86"/>
        <v/>
      </c>
      <c r="AS796" s="7" t="str">
        <f t="shared" si="87"/>
        <v/>
      </c>
      <c r="AT796" s="7" t="str">
        <f t="shared" si="88"/>
        <v/>
      </c>
      <c r="AU796" s="7" t="str">
        <f t="shared" si="89"/>
        <v/>
      </c>
      <c r="AV796" s="7" t="str">
        <f t="shared" si="90"/>
        <v/>
      </c>
      <c r="AW796" s="7" t="str">
        <f>IF('RFQ-Input'!O795="","",'RFQ-Input'!O795)</f>
        <v/>
      </c>
      <c r="AX796" s="7" t="str">
        <f>IF('RFQ-Input'!S795="","",'RFQ-Input'!S795)</f>
        <v/>
      </c>
      <c r="AY796" s="7" t="str">
        <f>IF('RFQ-Input'!V795="","",'RFQ-Input'!V795)</f>
        <v/>
      </c>
      <c r="AZ796" s="7" t="str">
        <f>IF('RFQ-Input'!Y795="","",'RFQ-Input'!Y795)</f>
        <v/>
      </c>
      <c r="BA796" s="7" t="str">
        <f>IF('RFQ-Input'!AB795="","",'RFQ-Input'!AB795)</f>
        <v/>
      </c>
    </row>
    <row r="797" spans="1:53">
      <c r="A797" s="20">
        <v>793</v>
      </c>
      <c r="B797" s="7"/>
      <c r="C797" s="7" t="str">
        <f>IF('RFQ-Input'!C796="","",'RFQ-Input'!C796)</f>
        <v/>
      </c>
      <c r="D797" s="7" t="str">
        <f>IF('RFQ-Input'!D796="","",'RFQ-Input'!D796)</f>
        <v/>
      </c>
      <c r="E797" s="7" t="str">
        <f>IF('RFQ-Input'!E796="","",'RFQ-Input'!E796)</f>
        <v/>
      </c>
      <c r="F797" s="7" t="str">
        <f>IF('RFQ-Input'!F796="","",'RFQ-Input'!F796)</f>
        <v/>
      </c>
      <c r="G797" s="7" t="str">
        <f>IF('RFQ-Input'!G796="","",'RFQ-Input'!G796)</f>
        <v/>
      </c>
      <c r="H797" s="7" t="str">
        <f>IF('RFQ-Input'!H796="","",'RFQ-Input'!H796)</f>
        <v/>
      </c>
      <c r="I797" s="7" t="str">
        <f>IF('RFQ-Input'!I796="","",'RFQ-Input'!I796)</f>
        <v/>
      </c>
      <c r="J797" s="7" t="str">
        <f>IF('RFQ-Input'!J796="","",'RFQ-Input'!J796)</f>
        <v/>
      </c>
      <c r="K797" s="7" t="str">
        <f>IF('RFQ-Input'!K796="","",'RFQ-Input'!K796)</f>
        <v/>
      </c>
      <c r="L797" s="7" t="str">
        <f>IF('RFQ-Input'!L796="","",'RFQ-Input'!L796)</f>
        <v/>
      </c>
      <c r="M797" s="7" t="str">
        <f>IF('RFQ-Input'!M796="","",'RFQ-Input'!M796)</f>
        <v/>
      </c>
      <c r="N797" s="7" t="str">
        <f>IF('RFQ-Input'!N796="","",'RFQ-Input'!N796)</f>
        <v/>
      </c>
      <c r="O797" s="7" t="str">
        <f>IF('RFQ-Input'!O796="","",'RFQ-Input'!O796)</f>
        <v/>
      </c>
      <c r="Q797" s="7"/>
      <c r="R797" s="7"/>
      <c r="S797" s="7"/>
      <c r="T797" s="7"/>
      <c r="U797" s="7"/>
      <c r="V797" s="7"/>
      <c r="X797" s="7"/>
      <c r="Y797" s="7"/>
      <c r="Z797" s="7"/>
      <c r="AA797" s="7" t="str">
        <f t="shared" si="84"/>
        <v/>
      </c>
      <c r="AB797" s="7"/>
      <c r="AC797" s="7"/>
      <c r="AQ797" s="7" t="str">
        <f t="shared" si="85"/>
        <v/>
      </c>
      <c r="AR797" s="7" t="str">
        <f t="shared" si="86"/>
        <v/>
      </c>
      <c r="AS797" s="7" t="str">
        <f t="shared" si="87"/>
        <v/>
      </c>
      <c r="AT797" s="7" t="str">
        <f t="shared" si="88"/>
        <v/>
      </c>
      <c r="AU797" s="7" t="str">
        <f t="shared" si="89"/>
        <v/>
      </c>
      <c r="AV797" s="7" t="str">
        <f t="shared" si="90"/>
        <v/>
      </c>
      <c r="AW797" s="7" t="str">
        <f>IF('RFQ-Input'!O796="","",'RFQ-Input'!O796)</f>
        <v/>
      </c>
      <c r="AX797" s="7" t="str">
        <f>IF('RFQ-Input'!S796="","",'RFQ-Input'!S796)</f>
        <v/>
      </c>
      <c r="AY797" s="7" t="str">
        <f>IF('RFQ-Input'!V796="","",'RFQ-Input'!V796)</f>
        <v/>
      </c>
      <c r="AZ797" s="7" t="str">
        <f>IF('RFQ-Input'!Y796="","",'RFQ-Input'!Y796)</f>
        <v/>
      </c>
      <c r="BA797" s="7" t="str">
        <f>IF('RFQ-Input'!AB796="","",'RFQ-Input'!AB796)</f>
        <v/>
      </c>
    </row>
    <row r="798" spans="1:53">
      <c r="A798" s="20">
        <v>794</v>
      </c>
      <c r="B798" s="7"/>
      <c r="C798" s="7" t="str">
        <f>IF('RFQ-Input'!C797="","",'RFQ-Input'!C797)</f>
        <v/>
      </c>
      <c r="D798" s="7" t="str">
        <f>IF('RFQ-Input'!D797="","",'RFQ-Input'!D797)</f>
        <v/>
      </c>
      <c r="E798" s="7" t="str">
        <f>IF('RFQ-Input'!E797="","",'RFQ-Input'!E797)</f>
        <v/>
      </c>
      <c r="F798" s="7" t="str">
        <f>IF('RFQ-Input'!F797="","",'RFQ-Input'!F797)</f>
        <v/>
      </c>
      <c r="G798" s="7" t="str">
        <f>IF('RFQ-Input'!G797="","",'RFQ-Input'!G797)</f>
        <v/>
      </c>
      <c r="H798" s="7" t="str">
        <f>IF('RFQ-Input'!H797="","",'RFQ-Input'!H797)</f>
        <v/>
      </c>
      <c r="I798" s="7" t="str">
        <f>IF('RFQ-Input'!I797="","",'RFQ-Input'!I797)</f>
        <v/>
      </c>
      <c r="J798" s="7" t="str">
        <f>IF('RFQ-Input'!J797="","",'RFQ-Input'!J797)</f>
        <v/>
      </c>
      <c r="K798" s="7" t="str">
        <f>IF('RFQ-Input'!K797="","",'RFQ-Input'!K797)</f>
        <v/>
      </c>
      <c r="L798" s="7" t="str">
        <f>IF('RFQ-Input'!L797="","",'RFQ-Input'!L797)</f>
        <v/>
      </c>
      <c r="M798" s="7" t="str">
        <f>IF('RFQ-Input'!M797="","",'RFQ-Input'!M797)</f>
        <v/>
      </c>
      <c r="N798" s="7" t="str">
        <f>IF('RFQ-Input'!N797="","",'RFQ-Input'!N797)</f>
        <v/>
      </c>
      <c r="O798" s="7" t="str">
        <f>IF('RFQ-Input'!O797="","",'RFQ-Input'!O797)</f>
        <v/>
      </c>
      <c r="Q798" s="7"/>
      <c r="R798" s="7"/>
      <c r="S798" s="7"/>
      <c r="T798" s="7"/>
      <c r="U798" s="7"/>
      <c r="V798" s="7"/>
      <c r="X798" s="7"/>
      <c r="Y798" s="7"/>
      <c r="Z798" s="7"/>
      <c r="AA798" s="7" t="str">
        <f t="shared" si="84"/>
        <v/>
      </c>
      <c r="AB798" s="7"/>
      <c r="AC798" s="7"/>
      <c r="AQ798" s="7" t="str">
        <f t="shared" si="85"/>
        <v/>
      </c>
      <c r="AR798" s="7" t="str">
        <f t="shared" si="86"/>
        <v/>
      </c>
      <c r="AS798" s="7" t="str">
        <f t="shared" si="87"/>
        <v/>
      </c>
      <c r="AT798" s="7" t="str">
        <f t="shared" si="88"/>
        <v/>
      </c>
      <c r="AU798" s="7" t="str">
        <f t="shared" si="89"/>
        <v/>
      </c>
      <c r="AV798" s="7" t="str">
        <f t="shared" si="90"/>
        <v/>
      </c>
      <c r="AW798" s="7" t="str">
        <f>IF('RFQ-Input'!O797="","",'RFQ-Input'!O797)</f>
        <v/>
      </c>
      <c r="AX798" s="7" t="str">
        <f>IF('RFQ-Input'!S797="","",'RFQ-Input'!S797)</f>
        <v/>
      </c>
      <c r="AY798" s="7" t="str">
        <f>IF('RFQ-Input'!V797="","",'RFQ-Input'!V797)</f>
        <v/>
      </c>
      <c r="AZ798" s="7" t="str">
        <f>IF('RFQ-Input'!Y797="","",'RFQ-Input'!Y797)</f>
        <v/>
      </c>
      <c r="BA798" s="7" t="str">
        <f>IF('RFQ-Input'!AB797="","",'RFQ-Input'!AB797)</f>
        <v/>
      </c>
    </row>
    <row r="799" spans="1:53">
      <c r="A799" s="20">
        <v>795</v>
      </c>
      <c r="B799" s="7"/>
      <c r="C799" s="7" t="str">
        <f>IF('RFQ-Input'!C798="","",'RFQ-Input'!C798)</f>
        <v/>
      </c>
      <c r="D799" s="7" t="str">
        <f>IF('RFQ-Input'!D798="","",'RFQ-Input'!D798)</f>
        <v/>
      </c>
      <c r="E799" s="7" t="str">
        <f>IF('RFQ-Input'!E798="","",'RFQ-Input'!E798)</f>
        <v/>
      </c>
      <c r="F799" s="7" t="str">
        <f>IF('RFQ-Input'!F798="","",'RFQ-Input'!F798)</f>
        <v/>
      </c>
      <c r="G799" s="7" t="str">
        <f>IF('RFQ-Input'!G798="","",'RFQ-Input'!G798)</f>
        <v/>
      </c>
      <c r="H799" s="7" t="str">
        <f>IF('RFQ-Input'!H798="","",'RFQ-Input'!H798)</f>
        <v/>
      </c>
      <c r="I799" s="7" t="str">
        <f>IF('RFQ-Input'!I798="","",'RFQ-Input'!I798)</f>
        <v/>
      </c>
      <c r="J799" s="7" t="str">
        <f>IF('RFQ-Input'!J798="","",'RFQ-Input'!J798)</f>
        <v/>
      </c>
      <c r="K799" s="7" t="str">
        <f>IF('RFQ-Input'!K798="","",'RFQ-Input'!K798)</f>
        <v/>
      </c>
      <c r="L799" s="7" t="str">
        <f>IF('RFQ-Input'!L798="","",'RFQ-Input'!L798)</f>
        <v/>
      </c>
      <c r="M799" s="7" t="str">
        <f>IF('RFQ-Input'!M798="","",'RFQ-Input'!M798)</f>
        <v/>
      </c>
      <c r="N799" s="7" t="str">
        <f>IF('RFQ-Input'!N798="","",'RFQ-Input'!N798)</f>
        <v/>
      </c>
      <c r="O799" s="7" t="str">
        <f>IF('RFQ-Input'!O798="","",'RFQ-Input'!O798)</f>
        <v/>
      </c>
      <c r="Q799" s="7"/>
      <c r="R799" s="7"/>
      <c r="S799" s="7"/>
      <c r="T799" s="7"/>
      <c r="U799" s="7"/>
      <c r="V799" s="7"/>
      <c r="X799" s="7"/>
      <c r="Y799" s="7"/>
      <c r="Z799" s="7"/>
      <c r="AA799" s="7" t="str">
        <f t="shared" si="84"/>
        <v/>
      </c>
      <c r="AB799" s="7"/>
      <c r="AC799" s="7"/>
      <c r="AQ799" s="7" t="str">
        <f t="shared" si="85"/>
        <v/>
      </c>
      <c r="AR799" s="7" t="str">
        <f t="shared" si="86"/>
        <v/>
      </c>
      <c r="AS799" s="7" t="str">
        <f t="shared" si="87"/>
        <v/>
      </c>
      <c r="AT799" s="7" t="str">
        <f t="shared" si="88"/>
        <v/>
      </c>
      <c r="AU799" s="7" t="str">
        <f t="shared" si="89"/>
        <v/>
      </c>
      <c r="AV799" s="7" t="str">
        <f t="shared" si="90"/>
        <v/>
      </c>
      <c r="AW799" s="7" t="str">
        <f>IF('RFQ-Input'!O798="","",'RFQ-Input'!O798)</f>
        <v/>
      </c>
      <c r="AX799" s="7" t="str">
        <f>IF('RFQ-Input'!S798="","",'RFQ-Input'!S798)</f>
        <v/>
      </c>
      <c r="AY799" s="7" t="str">
        <f>IF('RFQ-Input'!V798="","",'RFQ-Input'!V798)</f>
        <v/>
      </c>
      <c r="AZ799" s="7" t="str">
        <f>IF('RFQ-Input'!Y798="","",'RFQ-Input'!Y798)</f>
        <v/>
      </c>
      <c r="BA799" s="7" t="str">
        <f>IF('RFQ-Input'!AB798="","",'RFQ-Input'!AB798)</f>
        <v/>
      </c>
    </row>
    <row r="800" spans="1:53">
      <c r="A800" s="20">
        <v>796</v>
      </c>
      <c r="B800" s="7"/>
      <c r="C800" s="7" t="str">
        <f>IF('RFQ-Input'!C799="","",'RFQ-Input'!C799)</f>
        <v/>
      </c>
      <c r="D800" s="7" t="str">
        <f>IF('RFQ-Input'!D799="","",'RFQ-Input'!D799)</f>
        <v/>
      </c>
      <c r="E800" s="7" t="str">
        <f>IF('RFQ-Input'!E799="","",'RFQ-Input'!E799)</f>
        <v/>
      </c>
      <c r="F800" s="7" t="str">
        <f>IF('RFQ-Input'!F799="","",'RFQ-Input'!F799)</f>
        <v/>
      </c>
      <c r="G800" s="7" t="str">
        <f>IF('RFQ-Input'!G799="","",'RFQ-Input'!G799)</f>
        <v/>
      </c>
      <c r="H800" s="7" t="str">
        <f>IF('RFQ-Input'!H799="","",'RFQ-Input'!H799)</f>
        <v/>
      </c>
      <c r="I800" s="7" t="str">
        <f>IF('RFQ-Input'!I799="","",'RFQ-Input'!I799)</f>
        <v/>
      </c>
      <c r="J800" s="7" t="str">
        <f>IF('RFQ-Input'!J799="","",'RFQ-Input'!J799)</f>
        <v/>
      </c>
      <c r="K800" s="7" t="str">
        <f>IF('RFQ-Input'!K799="","",'RFQ-Input'!K799)</f>
        <v/>
      </c>
      <c r="L800" s="7" t="str">
        <f>IF('RFQ-Input'!L799="","",'RFQ-Input'!L799)</f>
        <v/>
      </c>
      <c r="M800" s="7" t="str">
        <f>IF('RFQ-Input'!M799="","",'RFQ-Input'!M799)</f>
        <v/>
      </c>
      <c r="N800" s="7" t="str">
        <f>IF('RFQ-Input'!N799="","",'RFQ-Input'!N799)</f>
        <v/>
      </c>
      <c r="O800" s="7" t="str">
        <f>IF('RFQ-Input'!O799="","",'RFQ-Input'!O799)</f>
        <v/>
      </c>
      <c r="Q800" s="7"/>
      <c r="R800" s="7"/>
      <c r="S800" s="7"/>
      <c r="T800" s="7"/>
      <c r="U800" s="7"/>
      <c r="V800" s="7"/>
      <c r="X800" s="7"/>
      <c r="Y800" s="7"/>
      <c r="Z800" s="7"/>
      <c r="AA800" s="7" t="str">
        <f t="shared" si="84"/>
        <v/>
      </c>
      <c r="AB800" s="7"/>
      <c r="AC800" s="7"/>
      <c r="AQ800" s="7" t="str">
        <f t="shared" si="85"/>
        <v/>
      </c>
      <c r="AR800" s="7" t="str">
        <f t="shared" si="86"/>
        <v/>
      </c>
      <c r="AS800" s="7" t="str">
        <f t="shared" si="87"/>
        <v/>
      </c>
      <c r="AT800" s="7" t="str">
        <f t="shared" si="88"/>
        <v/>
      </c>
      <c r="AU800" s="7" t="str">
        <f t="shared" si="89"/>
        <v/>
      </c>
      <c r="AV800" s="7" t="str">
        <f t="shared" si="90"/>
        <v/>
      </c>
      <c r="AW800" s="7" t="str">
        <f>IF('RFQ-Input'!O799="","",'RFQ-Input'!O799)</f>
        <v/>
      </c>
      <c r="AX800" s="7" t="str">
        <f>IF('RFQ-Input'!S799="","",'RFQ-Input'!S799)</f>
        <v/>
      </c>
      <c r="AY800" s="7" t="str">
        <f>IF('RFQ-Input'!V799="","",'RFQ-Input'!V799)</f>
        <v/>
      </c>
      <c r="AZ800" s="7" t="str">
        <f>IF('RFQ-Input'!Y799="","",'RFQ-Input'!Y799)</f>
        <v/>
      </c>
      <c r="BA800" s="7" t="str">
        <f>IF('RFQ-Input'!AB799="","",'RFQ-Input'!AB799)</f>
        <v/>
      </c>
    </row>
    <row r="801" spans="1:53">
      <c r="A801" s="20">
        <v>797</v>
      </c>
      <c r="B801" s="7"/>
      <c r="C801" s="7" t="str">
        <f>IF('RFQ-Input'!C800="","",'RFQ-Input'!C800)</f>
        <v/>
      </c>
      <c r="D801" s="7" t="str">
        <f>IF('RFQ-Input'!D800="","",'RFQ-Input'!D800)</f>
        <v/>
      </c>
      <c r="E801" s="7" t="str">
        <f>IF('RFQ-Input'!E800="","",'RFQ-Input'!E800)</f>
        <v/>
      </c>
      <c r="F801" s="7" t="str">
        <f>IF('RFQ-Input'!F800="","",'RFQ-Input'!F800)</f>
        <v/>
      </c>
      <c r="G801" s="7" t="str">
        <f>IF('RFQ-Input'!G800="","",'RFQ-Input'!G800)</f>
        <v/>
      </c>
      <c r="H801" s="7" t="str">
        <f>IF('RFQ-Input'!H800="","",'RFQ-Input'!H800)</f>
        <v/>
      </c>
      <c r="I801" s="7" t="str">
        <f>IF('RFQ-Input'!I800="","",'RFQ-Input'!I800)</f>
        <v/>
      </c>
      <c r="J801" s="7" t="str">
        <f>IF('RFQ-Input'!J800="","",'RFQ-Input'!J800)</f>
        <v/>
      </c>
      <c r="K801" s="7" t="str">
        <f>IF('RFQ-Input'!K800="","",'RFQ-Input'!K800)</f>
        <v/>
      </c>
      <c r="L801" s="7" t="str">
        <f>IF('RFQ-Input'!L800="","",'RFQ-Input'!L800)</f>
        <v/>
      </c>
      <c r="M801" s="7" t="str">
        <f>IF('RFQ-Input'!M800="","",'RFQ-Input'!M800)</f>
        <v/>
      </c>
      <c r="N801" s="7" t="str">
        <f>IF('RFQ-Input'!N800="","",'RFQ-Input'!N800)</f>
        <v/>
      </c>
      <c r="O801" s="7" t="str">
        <f>IF('RFQ-Input'!O800="","",'RFQ-Input'!O800)</f>
        <v/>
      </c>
      <c r="Q801" s="7"/>
      <c r="R801" s="7"/>
      <c r="S801" s="7"/>
      <c r="T801" s="7"/>
      <c r="U801" s="7"/>
      <c r="V801" s="7"/>
      <c r="X801" s="7"/>
      <c r="Y801" s="7"/>
      <c r="Z801" s="7"/>
      <c r="AA801" s="7" t="str">
        <f t="shared" si="84"/>
        <v/>
      </c>
      <c r="AB801" s="7"/>
      <c r="AC801" s="7"/>
      <c r="AQ801" s="7" t="str">
        <f t="shared" si="85"/>
        <v/>
      </c>
      <c r="AR801" s="7" t="str">
        <f t="shared" si="86"/>
        <v/>
      </c>
      <c r="AS801" s="7" t="str">
        <f t="shared" si="87"/>
        <v/>
      </c>
      <c r="AT801" s="7" t="str">
        <f t="shared" si="88"/>
        <v/>
      </c>
      <c r="AU801" s="7" t="str">
        <f t="shared" si="89"/>
        <v/>
      </c>
      <c r="AV801" s="7" t="str">
        <f t="shared" si="90"/>
        <v/>
      </c>
      <c r="AW801" s="7" t="str">
        <f>IF('RFQ-Input'!O800="","",'RFQ-Input'!O800)</f>
        <v/>
      </c>
      <c r="AX801" s="7" t="str">
        <f>IF('RFQ-Input'!S800="","",'RFQ-Input'!S800)</f>
        <v/>
      </c>
      <c r="AY801" s="7" t="str">
        <f>IF('RFQ-Input'!V800="","",'RFQ-Input'!V800)</f>
        <v/>
      </c>
      <c r="AZ801" s="7" t="str">
        <f>IF('RFQ-Input'!Y800="","",'RFQ-Input'!Y800)</f>
        <v/>
      </c>
      <c r="BA801" s="7" t="str">
        <f>IF('RFQ-Input'!AB800="","",'RFQ-Input'!AB800)</f>
        <v/>
      </c>
    </row>
    <row r="802" spans="1:53">
      <c r="A802" s="20">
        <v>798</v>
      </c>
      <c r="B802" s="7"/>
      <c r="C802" s="7" t="str">
        <f>IF('RFQ-Input'!C801="","",'RFQ-Input'!C801)</f>
        <v/>
      </c>
      <c r="D802" s="7" t="str">
        <f>IF('RFQ-Input'!D801="","",'RFQ-Input'!D801)</f>
        <v/>
      </c>
      <c r="E802" s="7" t="str">
        <f>IF('RFQ-Input'!E801="","",'RFQ-Input'!E801)</f>
        <v/>
      </c>
      <c r="F802" s="7" t="str">
        <f>IF('RFQ-Input'!F801="","",'RFQ-Input'!F801)</f>
        <v/>
      </c>
      <c r="G802" s="7" t="str">
        <f>IF('RFQ-Input'!G801="","",'RFQ-Input'!G801)</f>
        <v/>
      </c>
      <c r="H802" s="7" t="str">
        <f>IF('RFQ-Input'!H801="","",'RFQ-Input'!H801)</f>
        <v/>
      </c>
      <c r="I802" s="7" t="str">
        <f>IF('RFQ-Input'!I801="","",'RFQ-Input'!I801)</f>
        <v/>
      </c>
      <c r="J802" s="7" t="str">
        <f>IF('RFQ-Input'!J801="","",'RFQ-Input'!J801)</f>
        <v/>
      </c>
      <c r="K802" s="7" t="str">
        <f>IF('RFQ-Input'!K801="","",'RFQ-Input'!K801)</f>
        <v/>
      </c>
      <c r="L802" s="7" t="str">
        <f>IF('RFQ-Input'!L801="","",'RFQ-Input'!L801)</f>
        <v/>
      </c>
      <c r="M802" s="7" t="str">
        <f>IF('RFQ-Input'!M801="","",'RFQ-Input'!M801)</f>
        <v/>
      </c>
      <c r="N802" s="7" t="str">
        <f>IF('RFQ-Input'!N801="","",'RFQ-Input'!N801)</f>
        <v/>
      </c>
      <c r="O802" s="7" t="str">
        <f>IF('RFQ-Input'!O801="","",'RFQ-Input'!O801)</f>
        <v/>
      </c>
      <c r="Q802" s="7"/>
      <c r="R802" s="7"/>
      <c r="S802" s="7"/>
      <c r="T802" s="7"/>
      <c r="U802" s="7"/>
      <c r="V802" s="7"/>
      <c r="X802" s="7"/>
      <c r="Y802" s="7"/>
      <c r="Z802" s="7"/>
      <c r="AA802" s="7" t="str">
        <f t="shared" si="84"/>
        <v/>
      </c>
      <c r="AB802" s="7"/>
      <c r="AC802" s="7"/>
      <c r="AQ802" s="7" t="str">
        <f t="shared" si="85"/>
        <v/>
      </c>
      <c r="AR802" s="7" t="str">
        <f t="shared" si="86"/>
        <v/>
      </c>
      <c r="AS802" s="7" t="str">
        <f t="shared" si="87"/>
        <v/>
      </c>
      <c r="AT802" s="7" t="str">
        <f t="shared" si="88"/>
        <v/>
      </c>
      <c r="AU802" s="7" t="str">
        <f t="shared" si="89"/>
        <v/>
      </c>
      <c r="AV802" s="7" t="str">
        <f t="shared" si="90"/>
        <v/>
      </c>
      <c r="AW802" s="7" t="str">
        <f>IF('RFQ-Input'!O801="","",'RFQ-Input'!O801)</f>
        <v/>
      </c>
      <c r="AX802" s="7" t="str">
        <f>IF('RFQ-Input'!S801="","",'RFQ-Input'!S801)</f>
        <v/>
      </c>
      <c r="AY802" s="7" t="str">
        <f>IF('RFQ-Input'!V801="","",'RFQ-Input'!V801)</f>
        <v/>
      </c>
      <c r="AZ802" s="7" t="str">
        <f>IF('RFQ-Input'!Y801="","",'RFQ-Input'!Y801)</f>
        <v/>
      </c>
      <c r="BA802" s="7" t="str">
        <f>IF('RFQ-Input'!AB801="","",'RFQ-Input'!AB801)</f>
        <v/>
      </c>
    </row>
    <row r="803" spans="1:53">
      <c r="A803" s="20">
        <v>799</v>
      </c>
      <c r="B803" s="7"/>
      <c r="C803" s="7" t="str">
        <f>IF('RFQ-Input'!C802="","",'RFQ-Input'!C802)</f>
        <v/>
      </c>
      <c r="D803" s="7" t="str">
        <f>IF('RFQ-Input'!D802="","",'RFQ-Input'!D802)</f>
        <v/>
      </c>
      <c r="E803" s="7" t="str">
        <f>IF('RFQ-Input'!E802="","",'RFQ-Input'!E802)</f>
        <v/>
      </c>
      <c r="F803" s="7" t="str">
        <f>IF('RFQ-Input'!F802="","",'RFQ-Input'!F802)</f>
        <v/>
      </c>
      <c r="G803" s="7" t="str">
        <f>IF('RFQ-Input'!G802="","",'RFQ-Input'!G802)</f>
        <v/>
      </c>
      <c r="H803" s="7" t="str">
        <f>IF('RFQ-Input'!H802="","",'RFQ-Input'!H802)</f>
        <v/>
      </c>
      <c r="I803" s="7" t="str">
        <f>IF('RFQ-Input'!I802="","",'RFQ-Input'!I802)</f>
        <v/>
      </c>
      <c r="J803" s="7" t="str">
        <f>IF('RFQ-Input'!J802="","",'RFQ-Input'!J802)</f>
        <v/>
      </c>
      <c r="K803" s="7" t="str">
        <f>IF('RFQ-Input'!K802="","",'RFQ-Input'!K802)</f>
        <v/>
      </c>
      <c r="L803" s="7" t="str">
        <f>IF('RFQ-Input'!L802="","",'RFQ-Input'!L802)</f>
        <v/>
      </c>
      <c r="M803" s="7" t="str">
        <f>IF('RFQ-Input'!M802="","",'RFQ-Input'!M802)</f>
        <v/>
      </c>
      <c r="N803" s="7" t="str">
        <f>IF('RFQ-Input'!N802="","",'RFQ-Input'!N802)</f>
        <v/>
      </c>
      <c r="O803" s="7" t="str">
        <f>IF('RFQ-Input'!O802="","",'RFQ-Input'!O802)</f>
        <v/>
      </c>
      <c r="Q803" s="7"/>
      <c r="R803" s="7"/>
      <c r="S803" s="7"/>
      <c r="T803" s="7"/>
      <c r="U803" s="7"/>
      <c r="V803" s="7"/>
      <c r="X803" s="7"/>
      <c r="Y803" s="7"/>
      <c r="Z803" s="7"/>
      <c r="AA803" s="7" t="str">
        <f t="shared" si="84"/>
        <v/>
      </c>
      <c r="AB803" s="7"/>
      <c r="AC803" s="7"/>
      <c r="AQ803" s="7" t="str">
        <f t="shared" si="85"/>
        <v/>
      </c>
      <c r="AR803" s="7" t="str">
        <f t="shared" si="86"/>
        <v/>
      </c>
      <c r="AS803" s="7" t="str">
        <f t="shared" si="87"/>
        <v/>
      </c>
      <c r="AT803" s="7" t="str">
        <f t="shared" si="88"/>
        <v/>
      </c>
      <c r="AU803" s="7" t="str">
        <f t="shared" si="89"/>
        <v/>
      </c>
      <c r="AV803" s="7" t="str">
        <f t="shared" si="90"/>
        <v/>
      </c>
      <c r="AW803" s="7" t="str">
        <f>IF('RFQ-Input'!O802="","",'RFQ-Input'!O802)</f>
        <v/>
      </c>
      <c r="AX803" s="7" t="str">
        <f>IF('RFQ-Input'!S802="","",'RFQ-Input'!S802)</f>
        <v/>
      </c>
      <c r="AY803" s="7" t="str">
        <f>IF('RFQ-Input'!V802="","",'RFQ-Input'!V802)</f>
        <v/>
      </c>
      <c r="AZ803" s="7" t="str">
        <f>IF('RFQ-Input'!Y802="","",'RFQ-Input'!Y802)</f>
        <v/>
      </c>
      <c r="BA803" s="7" t="str">
        <f>IF('RFQ-Input'!AB802="","",'RFQ-Input'!AB802)</f>
        <v/>
      </c>
    </row>
    <row r="804" spans="1:53">
      <c r="A804" s="20">
        <v>800</v>
      </c>
      <c r="B804" s="7"/>
      <c r="C804" s="7" t="str">
        <f>IF('RFQ-Input'!C803="","",'RFQ-Input'!C803)</f>
        <v/>
      </c>
      <c r="D804" s="7" t="str">
        <f>IF('RFQ-Input'!D803="","",'RFQ-Input'!D803)</f>
        <v/>
      </c>
      <c r="E804" s="7" t="str">
        <f>IF('RFQ-Input'!E803="","",'RFQ-Input'!E803)</f>
        <v/>
      </c>
      <c r="F804" s="7" t="str">
        <f>IF('RFQ-Input'!F803="","",'RFQ-Input'!F803)</f>
        <v/>
      </c>
      <c r="G804" s="7" t="str">
        <f>IF('RFQ-Input'!G803="","",'RFQ-Input'!G803)</f>
        <v/>
      </c>
      <c r="H804" s="7" t="str">
        <f>IF('RFQ-Input'!H803="","",'RFQ-Input'!H803)</f>
        <v/>
      </c>
      <c r="I804" s="7" t="str">
        <f>IF('RFQ-Input'!I803="","",'RFQ-Input'!I803)</f>
        <v/>
      </c>
      <c r="J804" s="7" t="str">
        <f>IF('RFQ-Input'!J803="","",'RFQ-Input'!J803)</f>
        <v/>
      </c>
      <c r="K804" s="7" t="str">
        <f>IF('RFQ-Input'!K803="","",'RFQ-Input'!K803)</f>
        <v/>
      </c>
      <c r="L804" s="7" t="str">
        <f>IF('RFQ-Input'!L803="","",'RFQ-Input'!L803)</f>
        <v/>
      </c>
      <c r="M804" s="7" t="str">
        <f>IF('RFQ-Input'!M803="","",'RFQ-Input'!M803)</f>
        <v/>
      </c>
      <c r="N804" s="7" t="str">
        <f>IF('RFQ-Input'!N803="","",'RFQ-Input'!N803)</f>
        <v/>
      </c>
      <c r="O804" s="7" t="str">
        <f>IF('RFQ-Input'!O803="","",'RFQ-Input'!O803)</f>
        <v/>
      </c>
      <c r="Q804" s="7"/>
      <c r="R804" s="7"/>
      <c r="S804" s="7"/>
      <c r="T804" s="7"/>
      <c r="U804" s="7"/>
      <c r="V804" s="7"/>
      <c r="X804" s="7"/>
      <c r="Y804" s="7"/>
      <c r="Z804" s="7"/>
      <c r="AA804" s="7" t="str">
        <f t="shared" si="84"/>
        <v/>
      </c>
      <c r="AB804" s="7"/>
      <c r="AC804" s="7"/>
      <c r="AQ804" s="7" t="str">
        <f t="shared" si="85"/>
        <v/>
      </c>
      <c r="AR804" s="7" t="str">
        <f t="shared" si="86"/>
        <v/>
      </c>
      <c r="AS804" s="7" t="str">
        <f t="shared" si="87"/>
        <v/>
      </c>
      <c r="AT804" s="7" t="str">
        <f t="shared" si="88"/>
        <v/>
      </c>
      <c r="AU804" s="7" t="str">
        <f t="shared" si="89"/>
        <v/>
      </c>
      <c r="AV804" s="7" t="str">
        <f t="shared" si="90"/>
        <v/>
      </c>
      <c r="AW804" s="7" t="str">
        <f>IF('RFQ-Input'!O803="","",'RFQ-Input'!O803)</f>
        <v/>
      </c>
      <c r="AX804" s="7" t="str">
        <f>IF('RFQ-Input'!S803="","",'RFQ-Input'!S803)</f>
        <v/>
      </c>
      <c r="AY804" s="7" t="str">
        <f>IF('RFQ-Input'!V803="","",'RFQ-Input'!V803)</f>
        <v/>
      </c>
      <c r="AZ804" s="7" t="str">
        <f>IF('RFQ-Input'!Y803="","",'RFQ-Input'!Y803)</f>
        <v/>
      </c>
      <c r="BA804" s="7" t="str">
        <f>IF('RFQ-Input'!AB803="","",'RFQ-Input'!AB803)</f>
        <v/>
      </c>
    </row>
    <row r="805" spans="1:53">
      <c r="A805" s="20">
        <v>801</v>
      </c>
      <c r="B805" s="7"/>
      <c r="C805" s="7" t="str">
        <f>IF('RFQ-Input'!C804="","",'RFQ-Input'!C804)</f>
        <v/>
      </c>
      <c r="D805" s="7" t="str">
        <f>IF('RFQ-Input'!D804="","",'RFQ-Input'!D804)</f>
        <v/>
      </c>
      <c r="E805" s="7" t="str">
        <f>IF('RFQ-Input'!E804="","",'RFQ-Input'!E804)</f>
        <v/>
      </c>
      <c r="F805" s="7" t="str">
        <f>IF('RFQ-Input'!F804="","",'RFQ-Input'!F804)</f>
        <v/>
      </c>
      <c r="G805" s="7" t="str">
        <f>IF('RFQ-Input'!G804="","",'RFQ-Input'!G804)</f>
        <v/>
      </c>
      <c r="H805" s="7" t="str">
        <f>IF('RFQ-Input'!H804="","",'RFQ-Input'!H804)</f>
        <v/>
      </c>
      <c r="I805" s="7" t="str">
        <f>IF('RFQ-Input'!I804="","",'RFQ-Input'!I804)</f>
        <v/>
      </c>
      <c r="J805" s="7" t="str">
        <f>IF('RFQ-Input'!J804="","",'RFQ-Input'!J804)</f>
        <v/>
      </c>
      <c r="K805" s="7" t="str">
        <f>IF('RFQ-Input'!K804="","",'RFQ-Input'!K804)</f>
        <v/>
      </c>
      <c r="L805" s="7" t="str">
        <f>IF('RFQ-Input'!L804="","",'RFQ-Input'!L804)</f>
        <v/>
      </c>
      <c r="M805" s="7" t="str">
        <f>IF('RFQ-Input'!M804="","",'RFQ-Input'!M804)</f>
        <v/>
      </c>
      <c r="N805" s="7" t="str">
        <f>IF('RFQ-Input'!N804="","",'RFQ-Input'!N804)</f>
        <v/>
      </c>
      <c r="O805" s="7" t="str">
        <f>IF('RFQ-Input'!O804="","",'RFQ-Input'!O804)</f>
        <v/>
      </c>
      <c r="Q805" s="7"/>
      <c r="R805" s="7"/>
      <c r="S805" s="7"/>
      <c r="T805" s="7"/>
      <c r="U805" s="7"/>
      <c r="V805" s="7"/>
      <c r="X805" s="7"/>
      <c r="Y805" s="7"/>
      <c r="Z805" s="7"/>
      <c r="AA805" s="7" t="str">
        <f t="shared" si="84"/>
        <v/>
      </c>
      <c r="AB805" s="7"/>
      <c r="AC805" s="7"/>
      <c r="AQ805" s="7" t="str">
        <f t="shared" si="85"/>
        <v/>
      </c>
      <c r="AR805" s="7" t="str">
        <f t="shared" si="86"/>
        <v/>
      </c>
      <c r="AS805" s="7" t="str">
        <f t="shared" si="87"/>
        <v/>
      </c>
      <c r="AT805" s="7" t="str">
        <f t="shared" si="88"/>
        <v/>
      </c>
      <c r="AU805" s="7" t="str">
        <f t="shared" si="89"/>
        <v/>
      </c>
      <c r="AV805" s="7" t="str">
        <f t="shared" si="90"/>
        <v/>
      </c>
      <c r="AW805" s="7" t="str">
        <f>IF('RFQ-Input'!O804="","",'RFQ-Input'!O804)</f>
        <v/>
      </c>
      <c r="AX805" s="7" t="str">
        <f>IF('RFQ-Input'!S804="","",'RFQ-Input'!S804)</f>
        <v/>
      </c>
      <c r="AY805" s="7" t="str">
        <f>IF('RFQ-Input'!V804="","",'RFQ-Input'!V804)</f>
        <v/>
      </c>
      <c r="AZ805" s="7" t="str">
        <f>IF('RFQ-Input'!Y804="","",'RFQ-Input'!Y804)</f>
        <v/>
      </c>
      <c r="BA805" s="7" t="str">
        <f>IF('RFQ-Input'!AB804="","",'RFQ-Input'!AB804)</f>
        <v/>
      </c>
    </row>
    <row r="806" spans="1:53">
      <c r="A806" s="20">
        <v>802</v>
      </c>
      <c r="B806" s="7"/>
      <c r="C806" s="7" t="str">
        <f>IF('RFQ-Input'!C805="","",'RFQ-Input'!C805)</f>
        <v/>
      </c>
      <c r="D806" s="7" t="str">
        <f>IF('RFQ-Input'!D805="","",'RFQ-Input'!D805)</f>
        <v/>
      </c>
      <c r="E806" s="7" t="str">
        <f>IF('RFQ-Input'!E805="","",'RFQ-Input'!E805)</f>
        <v/>
      </c>
      <c r="F806" s="7" t="str">
        <f>IF('RFQ-Input'!F805="","",'RFQ-Input'!F805)</f>
        <v/>
      </c>
      <c r="G806" s="7" t="str">
        <f>IF('RFQ-Input'!G805="","",'RFQ-Input'!G805)</f>
        <v/>
      </c>
      <c r="H806" s="7" t="str">
        <f>IF('RFQ-Input'!H805="","",'RFQ-Input'!H805)</f>
        <v/>
      </c>
      <c r="I806" s="7" t="str">
        <f>IF('RFQ-Input'!I805="","",'RFQ-Input'!I805)</f>
        <v/>
      </c>
      <c r="J806" s="7" t="str">
        <f>IF('RFQ-Input'!J805="","",'RFQ-Input'!J805)</f>
        <v/>
      </c>
      <c r="K806" s="7" t="str">
        <f>IF('RFQ-Input'!K805="","",'RFQ-Input'!K805)</f>
        <v/>
      </c>
      <c r="L806" s="7" t="str">
        <f>IF('RFQ-Input'!L805="","",'RFQ-Input'!L805)</f>
        <v/>
      </c>
      <c r="M806" s="7" t="str">
        <f>IF('RFQ-Input'!M805="","",'RFQ-Input'!M805)</f>
        <v/>
      </c>
      <c r="N806" s="7" t="str">
        <f>IF('RFQ-Input'!N805="","",'RFQ-Input'!N805)</f>
        <v/>
      </c>
      <c r="O806" s="7" t="str">
        <f>IF('RFQ-Input'!O805="","",'RFQ-Input'!O805)</f>
        <v/>
      </c>
      <c r="Q806" s="7"/>
      <c r="R806" s="7"/>
      <c r="S806" s="7"/>
      <c r="T806" s="7"/>
      <c r="U806" s="7"/>
      <c r="V806" s="7"/>
      <c r="X806" s="7"/>
      <c r="Y806" s="7"/>
      <c r="Z806" s="7"/>
      <c r="AA806" s="7" t="str">
        <f t="shared" si="84"/>
        <v/>
      </c>
      <c r="AB806" s="7"/>
      <c r="AC806" s="7"/>
      <c r="AQ806" s="7" t="str">
        <f t="shared" si="85"/>
        <v/>
      </c>
      <c r="AR806" s="7" t="str">
        <f t="shared" si="86"/>
        <v/>
      </c>
      <c r="AS806" s="7" t="str">
        <f t="shared" si="87"/>
        <v/>
      </c>
      <c r="AT806" s="7" t="str">
        <f t="shared" si="88"/>
        <v/>
      </c>
      <c r="AU806" s="7" t="str">
        <f t="shared" si="89"/>
        <v/>
      </c>
      <c r="AV806" s="7" t="str">
        <f t="shared" si="90"/>
        <v/>
      </c>
      <c r="AW806" s="7" t="str">
        <f>IF('RFQ-Input'!O805="","",'RFQ-Input'!O805)</f>
        <v/>
      </c>
      <c r="AX806" s="7" t="str">
        <f>IF('RFQ-Input'!S805="","",'RFQ-Input'!S805)</f>
        <v/>
      </c>
      <c r="AY806" s="7" t="str">
        <f>IF('RFQ-Input'!V805="","",'RFQ-Input'!V805)</f>
        <v/>
      </c>
      <c r="AZ806" s="7" t="str">
        <f>IF('RFQ-Input'!Y805="","",'RFQ-Input'!Y805)</f>
        <v/>
      </c>
      <c r="BA806" s="7" t="str">
        <f>IF('RFQ-Input'!AB805="","",'RFQ-Input'!AB805)</f>
        <v/>
      </c>
    </row>
    <row r="807" spans="1:53">
      <c r="A807" s="20">
        <v>803</v>
      </c>
      <c r="B807" s="7"/>
      <c r="C807" s="7" t="str">
        <f>IF('RFQ-Input'!C806="","",'RFQ-Input'!C806)</f>
        <v/>
      </c>
      <c r="D807" s="7" t="str">
        <f>IF('RFQ-Input'!D806="","",'RFQ-Input'!D806)</f>
        <v/>
      </c>
      <c r="E807" s="7" t="str">
        <f>IF('RFQ-Input'!E806="","",'RFQ-Input'!E806)</f>
        <v/>
      </c>
      <c r="F807" s="7" t="str">
        <f>IF('RFQ-Input'!F806="","",'RFQ-Input'!F806)</f>
        <v/>
      </c>
      <c r="G807" s="7" t="str">
        <f>IF('RFQ-Input'!G806="","",'RFQ-Input'!G806)</f>
        <v/>
      </c>
      <c r="H807" s="7" t="str">
        <f>IF('RFQ-Input'!H806="","",'RFQ-Input'!H806)</f>
        <v/>
      </c>
      <c r="I807" s="7" t="str">
        <f>IF('RFQ-Input'!I806="","",'RFQ-Input'!I806)</f>
        <v/>
      </c>
      <c r="J807" s="7" t="str">
        <f>IF('RFQ-Input'!J806="","",'RFQ-Input'!J806)</f>
        <v/>
      </c>
      <c r="K807" s="7" t="str">
        <f>IF('RFQ-Input'!K806="","",'RFQ-Input'!K806)</f>
        <v/>
      </c>
      <c r="L807" s="7" t="str">
        <f>IF('RFQ-Input'!L806="","",'RFQ-Input'!L806)</f>
        <v/>
      </c>
      <c r="M807" s="7" t="str">
        <f>IF('RFQ-Input'!M806="","",'RFQ-Input'!M806)</f>
        <v/>
      </c>
      <c r="N807" s="7" t="str">
        <f>IF('RFQ-Input'!N806="","",'RFQ-Input'!N806)</f>
        <v/>
      </c>
      <c r="O807" s="7" t="str">
        <f>IF('RFQ-Input'!O806="","",'RFQ-Input'!O806)</f>
        <v/>
      </c>
      <c r="Q807" s="7"/>
      <c r="R807" s="7"/>
      <c r="S807" s="7"/>
      <c r="T807" s="7"/>
      <c r="U807" s="7"/>
      <c r="V807" s="7"/>
      <c r="X807" s="7"/>
      <c r="Y807" s="7"/>
      <c r="Z807" s="7"/>
      <c r="AA807" s="7" t="str">
        <f t="shared" si="84"/>
        <v/>
      </c>
      <c r="AB807" s="7"/>
      <c r="AC807" s="7"/>
      <c r="AQ807" s="7" t="str">
        <f t="shared" si="85"/>
        <v/>
      </c>
      <c r="AR807" s="7" t="str">
        <f t="shared" si="86"/>
        <v/>
      </c>
      <c r="AS807" s="7" t="str">
        <f t="shared" si="87"/>
        <v/>
      </c>
      <c r="AT807" s="7" t="str">
        <f t="shared" si="88"/>
        <v/>
      </c>
      <c r="AU807" s="7" t="str">
        <f t="shared" si="89"/>
        <v/>
      </c>
      <c r="AV807" s="7" t="str">
        <f t="shared" si="90"/>
        <v/>
      </c>
      <c r="AW807" s="7" t="str">
        <f>IF('RFQ-Input'!O806="","",'RFQ-Input'!O806)</f>
        <v/>
      </c>
      <c r="AX807" s="7" t="str">
        <f>IF('RFQ-Input'!S806="","",'RFQ-Input'!S806)</f>
        <v/>
      </c>
      <c r="AY807" s="7" t="str">
        <f>IF('RFQ-Input'!V806="","",'RFQ-Input'!V806)</f>
        <v/>
      </c>
      <c r="AZ807" s="7" t="str">
        <f>IF('RFQ-Input'!Y806="","",'RFQ-Input'!Y806)</f>
        <v/>
      </c>
      <c r="BA807" s="7" t="str">
        <f>IF('RFQ-Input'!AB806="","",'RFQ-Input'!AB806)</f>
        <v/>
      </c>
    </row>
    <row r="808" spans="1:53">
      <c r="A808" s="20">
        <v>804</v>
      </c>
      <c r="B808" s="7"/>
      <c r="C808" s="7" t="str">
        <f>IF('RFQ-Input'!C807="","",'RFQ-Input'!C807)</f>
        <v/>
      </c>
      <c r="D808" s="7" t="str">
        <f>IF('RFQ-Input'!D807="","",'RFQ-Input'!D807)</f>
        <v/>
      </c>
      <c r="E808" s="7" t="str">
        <f>IF('RFQ-Input'!E807="","",'RFQ-Input'!E807)</f>
        <v/>
      </c>
      <c r="F808" s="7" t="str">
        <f>IF('RFQ-Input'!F807="","",'RFQ-Input'!F807)</f>
        <v/>
      </c>
      <c r="G808" s="7" t="str">
        <f>IF('RFQ-Input'!G807="","",'RFQ-Input'!G807)</f>
        <v/>
      </c>
      <c r="H808" s="7" t="str">
        <f>IF('RFQ-Input'!H807="","",'RFQ-Input'!H807)</f>
        <v/>
      </c>
      <c r="I808" s="7" t="str">
        <f>IF('RFQ-Input'!I807="","",'RFQ-Input'!I807)</f>
        <v/>
      </c>
      <c r="J808" s="7" t="str">
        <f>IF('RFQ-Input'!J807="","",'RFQ-Input'!J807)</f>
        <v/>
      </c>
      <c r="K808" s="7" t="str">
        <f>IF('RFQ-Input'!K807="","",'RFQ-Input'!K807)</f>
        <v/>
      </c>
      <c r="L808" s="7" t="str">
        <f>IF('RFQ-Input'!L807="","",'RFQ-Input'!L807)</f>
        <v/>
      </c>
      <c r="M808" s="7" t="str">
        <f>IF('RFQ-Input'!M807="","",'RFQ-Input'!M807)</f>
        <v/>
      </c>
      <c r="N808" s="7" t="str">
        <f>IF('RFQ-Input'!N807="","",'RFQ-Input'!N807)</f>
        <v/>
      </c>
      <c r="O808" s="7" t="str">
        <f>IF('RFQ-Input'!O807="","",'RFQ-Input'!O807)</f>
        <v/>
      </c>
      <c r="Q808" s="7"/>
      <c r="R808" s="7"/>
      <c r="S808" s="7"/>
      <c r="T808" s="7"/>
      <c r="U808" s="7"/>
      <c r="V808" s="7"/>
      <c r="X808" s="7"/>
      <c r="Y808" s="7"/>
      <c r="Z808" s="7"/>
      <c r="AA808" s="7" t="str">
        <f t="shared" si="84"/>
        <v/>
      </c>
      <c r="AB808" s="7"/>
      <c r="AC808" s="7"/>
      <c r="AQ808" s="7" t="str">
        <f t="shared" si="85"/>
        <v/>
      </c>
      <c r="AR808" s="7" t="str">
        <f t="shared" si="86"/>
        <v/>
      </c>
      <c r="AS808" s="7" t="str">
        <f t="shared" si="87"/>
        <v/>
      </c>
      <c r="AT808" s="7" t="str">
        <f t="shared" si="88"/>
        <v/>
      </c>
      <c r="AU808" s="7" t="str">
        <f t="shared" si="89"/>
        <v/>
      </c>
      <c r="AV808" s="7" t="str">
        <f t="shared" si="90"/>
        <v/>
      </c>
      <c r="AW808" s="7" t="str">
        <f>IF('RFQ-Input'!O807="","",'RFQ-Input'!O807)</f>
        <v/>
      </c>
      <c r="AX808" s="7" t="str">
        <f>IF('RFQ-Input'!S807="","",'RFQ-Input'!S807)</f>
        <v/>
      </c>
      <c r="AY808" s="7" t="str">
        <f>IF('RFQ-Input'!V807="","",'RFQ-Input'!V807)</f>
        <v/>
      </c>
      <c r="AZ808" s="7" t="str">
        <f>IF('RFQ-Input'!Y807="","",'RFQ-Input'!Y807)</f>
        <v/>
      </c>
      <c r="BA808" s="7" t="str">
        <f>IF('RFQ-Input'!AB807="","",'RFQ-Input'!AB807)</f>
        <v/>
      </c>
    </row>
    <row r="809" spans="1:53">
      <c r="A809" s="20">
        <v>805</v>
      </c>
      <c r="B809" s="7"/>
      <c r="C809" s="7" t="str">
        <f>IF('RFQ-Input'!C808="","",'RFQ-Input'!C808)</f>
        <v/>
      </c>
      <c r="D809" s="7" t="str">
        <f>IF('RFQ-Input'!D808="","",'RFQ-Input'!D808)</f>
        <v/>
      </c>
      <c r="E809" s="7" t="str">
        <f>IF('RFQ-Input'!E808="","",'RFQ-Input'!E808)</f>
        <v/>
      </c>
      <c r="F809" s="7" t="str">
        <f>IF('RFQ-Input'!F808="","",'RFQ-Input'!F808)</f>
        <v/>
      </c>
      <c r="G809" s="7" t="str">
        <f>IF('RFQ-Input'!G808="","",'RFQ-Input'!G808)</f>
        <v/>
      </c>
      <c r="H809" s="7" t="str">
        <f>IF('RFQ-Input'!H808="","",'RFQ-Input'!H808)</f>
        <v/>
      </c>
      <c r="I809" s="7" t="str">
        <f>IF('RFQ-Input'!I808="","",'RFQ-Input'!I808)</f>
        <v/>
      </c>
      <c r="J809" s="7" t="str">
        <f>IF('RFQ-Input'!J808="","",'RFQ-Input'!J808)</f>
        <v/>
      </c>
      <c r="K809" s="7" t="str">
        <f>IF('RFQ-Input'!K808="","",'RFQ-Input'!K808)</f>
        <v/>
      </c>
      <c r="L809" s="7" t="str">
        <f>IF('RFQ-Input'!L808="","",'RFQ-Input'!L808)</f>
        <v/>
      </c>
      <c r="M809" s="7" t="str">
        <f>IF('RFQ-Input'!M808="","",'RFQ-Input'!M808)</f>
        <v/>
      </c>
      <c r="N809" s="7" t="str">
        <f>IF('RFQ-Input'!N808="","",'RFQ-Input'!N808)</f>
        <v/>
      </c>
      <c r="O809" s="7" t="str">
        <f>IF('RFQ-Input'!O808="","",'RFQ-Input'!O808)</f>
        <v/>
      </c>
      <c r="Q809" s="7"/>
      <c r="R809" s="7"/>
      <c r="S809" s="7"/>
      <c r="T809" s="7"/>
      <c r="U809" s="7"/>
      <c r="V809" s="7"/>
      <c r="X809" s="7"/>
      <c r="Y809" s="7"/>
      <c r="Z809" s="7"/>
      <c r="AA809" s="7" t="str">
        <f t="shared" si="84"/>
        <v/>
      </c>
      <c r="AB809" s="7"/>
      <c r="AC809" s="7"/>
      <c r="AQ809" s="7" t="str">
        <f t="shared" si="85"/>
        <v/>
      </c>
      <c r="AR809" s="7" t="str">
        <f t="shared" si="86"/>
        <v/>
      </c>
      <c r="AS809" s="7" t="str">
        <f t="shared" si="87"/>
        <v/>
      </c>
      <c r="AT809" s="7" t="str">
        <f t="shared" si="88"/>
        <v/>
      </c>
      <c r="AU809" s="7" t="str">
        <f t="shared" si="89"/>
        <v/>
      </c>
      <c r="AV809" s="7" t="str">
        <f t="shared" si="90"/>
        <v/>
      </c>
      <c r="AW809" s="7" t="str">
        <f>IF('RFQ-Input'!O808="","",'RFQ-Input'!O808)</f>
        <v/>
      </c>
      <c r="AX809" s="7" t="str">
        <f>IF('RFQ-Input'!S808="","",'RFQ-Input'!S808)</f>
        <v/>
      </c>
      <c r="AY809" s="7" t="str">
        <f>IF('RFQ-Input'!V808="","",'RFQ-Input'!V808)</f>
        <v/>
      </c>
      <c r="AZ809" s="7" t="str">
        <f>IF('RFQ-Input'!Y808="","",'RFQ-Input'!Y808)</f>
        <v/>
      </c>
      <c r="BA809" s="7" t="str">
        <f>IF('RFQ-Input'!AB808="","",'RFQ-Input'!AB808)</f>
        <v/>
      </c>
    </row>
    <row r="810" spans="1:53">
      <c r="A810" s="20">
        <v>806</v>
      </c>
      <c r="B810" s="7"/>
      <c r="C810" s="7" t="str">
        <f>IF('RFQ-Input'!C809="","",'RFQ-Input'!C809)</f>
        <v/>
      </c>
      <c r="D810" s="7" t="str">
        <f>IF('RFQ-Input'!D809="","",'RFQ-Input'!D809)</f>
        <v/>
      </c>
      <c r="E810" s="7" t="str">
        <f>IF('RFQ-Input'!E809="","",'RFQ-Input'!E809)</f>
        <v/>
      </c>
      <c r="F810" s="7" t="str">
        <f>IF('RFQ-Input'!F809="","",'RFQ-Input'!F809)</f>
        <v/>
      </c>
      <c r="G810" s="7" t="str">
        <f>IF('RFQ-Input'!G809="","",'RFQ-Input'!G809)</f>
        <v/>
      </c>
      <c r="H810" s="7" t="str">
        <f>IF('RFQ-Input'!H809="","",'RFQ-Input'!H809)</f>
        <v/>
      </c>
      <c r="I810" s="7" t="str">
        <f>IF('RFQ-Input'!I809="","",'RFQ-Input'!I809)</f>
        <v/>
      </c>
      <c r="J810" s="7" t="str">
        <f>IF('RFQ-Input'!J809="","",'RFQ-Input'!J809)</f>
        <v/>
      </c>
      <c r="K810" s="7" t="str">
        <f>IF('RFQ-Input'!K809="","",'RFQ-Input'!K809)</f>
        <v/>
      </c>
      <c r="L810" s="7" t="str">
        <f>IF('RFQ-Input'!L809="","",'RFQ-Input'!L809)</f>
        <v/>
      </c>
      <c r="M810" s="7" t="str">
        <f>IF('RFQ-Input'!M809="","",'RFQ-Input'!M809)</f>
        <v/>
      </c>
      <c r="N810" s="7" t="str">
        <f>IF('RFQ-Input'!N809="","",'RFQ-Input'!N809)</f>
        <v/>
      </c>
      <c r="O810" s="7" t="str">
        <f>IF('RFQ-Input'!O809="","",'RFQ-Input'!O809)</f>
        <v/>
      </c>
      <c r="Q810" s="7"/>
      <c r="R810" s="7"/>
      <c r="S810" s="7"/>
      <c r="T810" s="7"/>
      <c r="U810" s="7"/>
      <c r="V810" s="7"/>
      <c r="X810" s="7"/>
      <c r="Y810" s="7"/>
      <c r="Z810" s="7"/>
      <c r="AA810" s="7" t="str">
        <f t="shared" si="84"/>
        <v/>
      </c>
      <c r="AB810" s="7"/>
      <c r="AC810" s="7"/>
      <c r="AQ810" s="7" t="str">
        <f t="shared" si="85"/>
        <v/>
      </c>
      <c r="AR810" s="7" t="str">
        <f t="shared" si="86"/>
        <v/>
      </c>
      <c r="AS810" s="7" t="str">
        <f t="shared" si="87"/>
        <v/>
      </c>
      <c r="AT810" s="7" t="str">
        <f t="shared" si="88"/>
        <v/>
      </c>
      <c r="AU810" s="7" t="str">
        <f t="shared" si="89"/>
        <v/>
      </c>
      <c r="AV810" s="7" t="str">
        <f t="shared" si="90"/>
        <v/>
      </c>
      <c r="AW810" s="7" t="str">
        <f>IF('RFQ-Input'!O809="","",'RFQ-Input'!O809)</f>
        <v/>
      </c>
      <c r="AX810" s="7" t="str">
        <f>IF('RFQ-Input'!S809="","",'RFQ-Input'!S809)</f>
        <v/>
      </c>
      <c r="AY810" s="7" t="str">
        <f>IF('RFQ-Input'!V809="","",'RFQ-Input'!V809)</f>
        <v/>
      </c>
      <c r="AZ810" s="7" t="str">
        <f>IF('RFQ-Input'!Y809="","",'RFQ-Input'!Y809)</f>
        <v/>
      </c>
      <c r="BA810" s="7" t="str">
        <f>IF('RFQ-Input'!AB809="","",'RFQ-Input'!AB809)</f>
        <v/>
      </c>
    </row>
    <row r="811" spans="1:53">
      <c r="A811" s="20">
        <v>807</v>
      </c>
      <c r="B811" s="7"/>
      <c r="C811" s="7" t="str">
        <f>IF('RFQ-Input'!C810="","",'RFQ-Input'!C810)</f>
        <v/>
      </c>
      <c r="D811" s="7" t="str">
        <f>IF('RFQ-Input'!D810="","",'RFQ-Input'!D810)</f>
        <v/>
      </c>
      <c r="E811" s="7" t="str">
        <f>IF('RFQ-Input'!E810="","",'RFQ-Input'!E810)</f>
        <v/>
      </c>
      <c r="F811" s="7" t="str">
        <f>IF('RFQ-Input'!F810="","",'RFQ-Input'!F810)</f>
        <v/>
      </c>
      <c r="G811" s="7" t="str">
        <f>IF('RFQ-Input'!G810="","",'RFQ-Input'!G810)</f>
        <v/>
      </c>
      <c r="H811" s="7" t="str">
        <f>IF('RFQ-Input'!H810="","",'RFQ-Input'!H810)</f>
        <v/>
      </c>
      <c r="I811" s="7" t="str">
        <f>IF('RFQ-Input'!I810="","",'RFQ-Input'!I810)</f>
        <v/>
      </c>
      <c r="J811" s="7" t="str">
        <f>IF('RFQ-Input'!J810="","",'RFQ-Input'!J810)</f>
        <v/>
      </c>
      <c r="K811" s="7" t="str">
        <f>IF('RFQ-Input'!K810="","",'RFQ-Input'!K810)</f>
        <v/>
      </c>
      <c r="L811" s="7" t="str">
        <f>IF('RFQ-Input'!L810="","",'RFQ-Input'!L810)</f>
        <v/>
      </c>
      <c r="M811" s="7" t="str">
        <f>IF('RFQ-Input'!M810="","",'RFQ-Input'!M810)</f>
        <v/>
      </c>
      <c r="N811" s="7" t="str">
        <f>IF('RFQ-Input'!N810="","",'RFQ-Input'!N810)</f>
        <v/>
      </c>
      <c r="O811" s="7" t="str">
        <f>IF('RFQ-Input'!O810="","",'RFQ-Input'!O810)</f>
        <v/>
      </c>
      <c r="Q811" s="7"/>
      <c r="R811" s="7"/>
      <c r="S811" s="7"/>
      <c r="T811" s="7"/>
      <c r="U811" s="7"/>
      <c r="V811" s="7"/>
      <c r="X811" s="7"/>
      <c r="Y811" s="7"/>
      <c r="Z811" s="7"/>
      <c r="AA811" s="7" t="str">
        <f t="shared" si="84"/>
        <v/>
      </c>
      <c r="AB811" s="7"/>
      <c r="AC811" s="7"/>
      <c r="AQ811" s="7" t="str">
        <f t="shared" si="85"/>
        <v/>
      </c>
      <c r="AR811" s="7" t="str">
        <f t="shared" si="86"/>
        <v/>
      </c>
      <c r="AS811" s="7" t="str">
        <f t="shared" si="87"/>
        <v/>
      </c>
      <c r="AT811" s="7" t="str">
        <f t="shared" si="88"/>
        <v/>
      </c>
      <c r="AU811" s="7" t="str">
        <f t="shared" si="89"/>
        <v/>
      </c>
      <c r="AV811" s="7" t="str">
        <f t="shared" si="90"/>
        <v/>
      </c>
      <c r="AW811" s="7" t="str">
        <f>IF('RFQ-Input'!O810="","",'RFQ-Input'!O810)</f>
        <v/>
      </c>
      <c r="AX811" s="7" t="str">
        <f>IF('RFQ-Input'!S810="","",'RFQ-Input'!S810)</f>
        <v/>
      </c>
      <c r="AY811" s="7" t="str">
        <f>IF('RFQ-Input'!V810="","",'RFQ-Input'!V810)</f>
        <v/>
      </c>
      <c r="AZ811" s="7" t="str">
        <f>IF('RFQ-Input'!Y810="","",'RFQ-Input'!Y810)</f>
        <v/>
      </c>
      <c r="BA811" s="7" t="str">
        <f>IF('RFQ-Input'!AB810="","",'RFQ-Input'!AB810)</f>
        <v/>
      </c>
    </row>
    <row r="812" spans="1:53">
      <c r="A812" s="20">
        <v>808</v>
      </c>
      <c r="B812" s="7"/>
      <c r="C812" s="7" t="str">
        <f>IF('RFQ-Input'!C811="","",'RFQ-Input'!C811)</f>
        <v/>
      </c>
      <c r="D812" s="7" t="str">
        <f>IF('RFQ-Input'!D811="","",'RFQ-Input'!D811)</f>
        <v/>
      </c>
      <c r="E812" s="7" t="str">
        <f>IF('RFQ-Input'!E811="","",'RFQ-Input'!E811)</f>
        <v/>
      </c>
      <c r="F812" s="7" t="str">
        <f>IF('RFQ-Input'!F811="","",'RFQ-Input'!F811)</f>
        <v/>
      </c>
      <c r="G812" s="7" t="str">
        <f>IF('RFQ-Input'!G811="","",'RFQ-Input'!G811)</f>
        <v/>
      </c>
      <c r="H812" s="7" t="str">
        <f>IF('RFQ-Input'!H811="","",'RFQ-Input'!H811)</f>
        <v/>
      </c>
      <c r="I812" s="7" t="str">
        <f>IF('RFQ-Input'!I811="","",'RFQ-Input'!I811)</f>
        <v/>
      </c>
      <c r="J812" s="7" t="str">
        <f>IF('RFQ-Input'!J811="","",'RFQ-Input'!J811)</f>
        <v/>
      </c>
      <c r="K812" s="7" t="str">
        <f>IF('RFQ-Input'!K811="","",'RFQ-Input'!K811)</f>
        <v/>
      </c>
      <c r="L812" s="7" t="str">
        <f>IF('RFQ-Input'!L811="","",'RFQ-Input'!L811)</f>
        <v/>
      </c>
      <c r="M812" s="7" t="str">
        <f>IF('RFQ-Input'!M811="","",'RFQ-Input'!M811)</f>
        <v/>
      </c>
      <c r="N812" s="7" t="str">
        <f>IF('RFQ-Input'!N811="","",'RFQ-Input'!N811)</f>
        <v/>
      </c>
      <c r="O812" s="7" t="str">
        <f>IF('RFQ-Input'!O811="","",'RFQ-Input'!O811)</f>
        <v/>
      </c>
      <c r="Q812" s="7"/>
      <c r="R812" s="7"/>
      <c r="S812" s="7"/>
      <c r="T812" s="7"/>
      <c r="U812" s="7"/>
      <c r="V812" s="7"/>
      <c r="X812" s="7"/>
      <c r="Y812" s="7"/>
      <c r="Z812" s="7"/>
      <c r="AA812" s="7" t="str">
        <f t="shared" si="84"/>
        <v/>
      </c>
      <c r="AB812" s="7"/>
      <c r="AC812" s="7"/>
      <c r="AQ812" s="7" t="str">
        <f t="shared" si="85"/>
        <v/>
      </c>
      <c r="AR812" s="7" t="str">
        <f t="shared" si="86"/>
        <v/>
      </c>
      <c r="AS812" s="7" t="str">
        <f t="shared" si="87"/>
        <v/>
      </c>
      <c r="AT812" s="7" t="str">
        <f t="shared" si="88"/>
        <v/>
      </c>
      <c r="AU812" s="7" t="str">
        <f t="shared" si="89"/>
        <v/>
      </c>
      <c r="AV812" s="7" t="str">
        <f t="shared" si="90"/>
        <v/>
      </c>
      <c r="AW812" s="7" t="str">
        <f>IF('RFQ-Input'!O811="","",'RFQ-Input'!O811)</f>
        <v/>
      </c>
      <c r="AX812" s="7" t="str">
        <f>IF('RFQ-Input'!S811="","",'RFQ-Input'!S811)</f>
        <v/>
      </c>
      <c r="AY812" s="7" t="str">
        <f>IF('RFQ-Input'!V811="","",'RFQ-Input'!V811)</f>
        <v/>
      </c>
      <c r="AZ812" s="7" t="str">
        <f>IF('RFQ-Input'!Y811="","",'RFQ-Input'!Y811)</f>
        <v/>
      </c>
      <c r="BA812" s="7" t="str">
        <f>IF('RFQ-Input'!AB811="","",'RFQ-Input'!AB811)</f>
        <v/>
      </c>
    </row>
    <row r="813" spans="1:53">
      <c r="A813" s="20">
        <v>809</v>
      </c>
      <c r="B813" s="7"/>
      <c r="C813" s="7" t="str">
        <f>IF('RFQ-Input'!C812="","",'RFQ-Input'!C812)</f>
        <v/>
      </c>
      <c r="D813" s="7" t="str">
        <f>IF('RFQ-Input'!D812="","",'RFQ-Input'!D812)</f>
        <v/>
      </c>
      <c r="E813" s="7" t="str">
        <f>IF('RFQ-Input'!E812="","",'RFQ-Input'!E812)</f>
        <v/>
      </c>
      <c r="F813" s="7" t="str">
        <f>IF('RFQ-Input'!F812="","",'RFQ-Input'!F812)</f>
        <v/>
      </c>
      <c r="G813" s="7" t="str">
        <f>IF('RFQ-Input'!G812="","",'RFQ-Input'!G812)</f>
        <v/>
      </c>
      <c r="H813" s="7" t="str">
        <f>IF('RFQ-Input'!H812="","",'RFQ-Input'!H812)</f>
        <v/>
      </c>
      <c r="I813" s="7" t="str">
        <f>IF('RFQ-Input'!I812="","",'RFQ-Input'!I812)</f>
        <v/>
      </c>
      <c r="J813" s="7" t="str">
        <f>IF('RFQ-Input'!J812="","",'RFQ-Input'!J812)</f>
        <v/>
      </c>
      <c r="K813" s="7" t="str">
        <f>IF('RFQ-Input'!K812="","",'RFQ-Input'!K812)</f>
        <v/>
      </c>
      <c r="L813" s="7" t="str">
        <f>IF('RFQ-Input'!L812="","",'RFQ-Input'!L812)</f>
        <v/>
      </c>
      <c r="M813" s="7" t="str">
        <f>IF('RFQ-Input'!M812="","",'RFQ-Input'!M812)</f>
        <v/>
      </c>
      <c r="N813" s="7" t="str">
        <f>IF('RFQ-Input'!N812="","",'RFQ-Input'!N812)</f>
        <v/>
      </c>
      <c r="O813" s="7" t="str">
        <f>IF('RFQ-Input'!O812="","",'RFQ-Input'!O812)</f>
        <v/>
      </c>
      <c r="Q813" s="7"/>
      <c r="R813" s="7"/>
      <c r="S813" s="7"/>
      <c r="T813" s="7"/>
      <c r="U813" s="7"/>
      <c r="V813" s="7"/>
      <c r="X813" s="7"/>
      <c r="Y813" s="7"/>
      <c r="Z813" s="7"/>
      <c r="AA813" s="7" t="str">
        <f t="shared" si="84"/>
        <v/>
      </c>
      <c r="AB813" s="7"/>
      <c r="AC813" s="7"/>
      <c r="AQ813" s="7" t="str">
        <f t="shared" si="85"/>
        <v/>
      </c>
      <c r="AR813" s="7" t="str">
        <f t="shared" si="86"/>
        <v/>
      </c>
      <c r="AS813" s="7" t="str">
        <f t="shared" si="87"/>
        <v/>
      </c>
      <c r="AT813" s="7" t="str">
        <f t="shared" si="88"/>
        <v/>
      </c>
      <c r="AU813" s="7" t="str">
        <f t="shared" si="89"/>
        <v/>
      </c>
      <c r="AV813" s="7" t="str">
        <f t="shared" si="90"/>
        <v/>
      </c>
      <c r="AW813" s="7" t="str">
        <f>IF('RFQ-Input'!O812="","",'RFQ-Input'!O812)</f>
        <v/>
      </c>
      <c r="AX813" s="7" t="str">
        <f>IF('RFQ-Input'!S812="","",'RFQ-Input'!S812)</f>
        <v/>
      </c>
      <c r="AY813" s="7" t="str">
        <f>IF('RFQ-Input'!V812="","",'RFQ-Input'!V812)</f>
        <v/>
      </c>
      <c r="AZ813" s="7" t="str">
        <f>IF('RFQ-Input'!Y812="","",'RFQ-Input'!Y812)</f>
        <v/>
      </c>
      <c r="BA813" s="7" t="str">
        <f>IF('RFQ-Input'!AB812="","",'RFQ-Input'!AB812)</f>
        <v/>
      </c>
    </row>
    <row r="814" spans="1:53">
      <c r="A814" s="20">
        <v>810</v>
      </c>
      <c r="B814" s="7"/>
      <c r="C814" s="7" t="str">
        <f>IF('RFQ-Input'!C813="","",'RFQ-Input'!C813)</f>
        <v/>
      </c>
      <c r="D814" s="7" t="str">
        <f>IF('RFQ-Input'!D813="","",'RFQ-Input'!D813)</f>
        <v/>
      </c>
      <c r="E814" s="7" t="str">
        <f>IF('RFQ-Input'!E813="","",'RFQ-Input'!E813)</f>
        <v/>
      </c>
      <c r="F814" s="7" t="str">
        <f>IF('RFQ-Input'!F813="","",'RFQ-Input'!F813)</f>
        <v/>
      </c>
      <c r="G814" s="7" t="str">
        <f>IF('RFQ-Input'!G813="","",'RFQ-Input'!G813)</f>
        <v/>
      </c>
      <c r="H814" s="7" t="str">
        <f>IF('RFQ-Input'!H813="","",'RFQ-Input'!H813)</f>
        <v/>
      </c>
      <c r="I814" s="7" t="str">
        <f>IF('RFQ-Input'!I813="","",'RFQ-Input'!I813)</f>
        <v/>
      </c>
      <c r="J814" s="7" t="str">
        <f>IF('RFQ-Input'!J813="","",'RFQ-Input'!J813)</f>
        <v/>
      </c>
      <c r="K814" s="7" t="str">
        <f>IF('RFQ-Input'!K813="","",'RFQ-Input'!K813)</f>
        <v/>
      </c>
      <c r="L814" s="7" t="str">
        <f>IF('RFQ-Input'!L813="","",'RFQ-Input'!L813)</f>
        <v/>
      </c>
      <c r="M814" s="7" t="str">
        <f>IF('RFQ-Input'!M813="","",'RFQ-Input'!M813)</f>
        <v/>
      </c>
      <c r="N814" s="7" t="str">
        <f>IF('RFQ-Input'!N813="","",'RFQ-Input'!N813)</f>
        <v/>
      </c>
      <c r="O814" s="7" t="str">
        <f>IF('RFQ-Input'!O813="","",'RFQ-Input'!O813)</f>
        <v/>
      </c>
      <c r="Q814" s="7"/>
      <c r="R814" s="7"/>
      <c r="S814" s="7"/>
      <c r="T814" s="7"/>
      <c r="U814" s="7"/>
      <c r="V814" s="7"/>
      <c r="X814" s="7"/>
      <c r="Y814" s="7"/>
      <c r="Z814" s="7"/>
      <c r="AA814" s="7" t="str">
        <f t="shared" si="84"/>
        <v/>
      </c>
      <c r="AB814" s="7"/>
      <c r="AC814" s="7"/>
      <c r="AQ814" s="7" t="str">
        <f t="shared" si="85"/>
        <v/>
      </c>
      <c r="AR814" s="7" t="str">
        <f t="shared" si="86"/>
        <v/>
      </c>
      <c r="AS814" s="7" t="str">
        <f t="shared" si="87"/>
        <v/>
      </c>
      <c r="AT814" s="7" t="str">
        <f t="shared" si="88"/>
        <v/>
      </c>
      <c r="AU814" s="7" t="str">
        <f t="shared" si="89"/>
        <v/>
      </c>
      <c r="AV814" s="7" t="str">
        <f t="shared" si="90"/>
        <v/>
      </c>
      <c r="AW814" s="7" t="str">
        <f>IF('RFQ-Input'!O813="","",'RFQ-Input'!O813)</f>
        <v/>
      </c>
      <c r="AX814" s="7" t="str">
        <f>IF('RFQ-Input'!S813="","",'RFQ-Input'!S813)</f>
        <v/>
      </c>
      <c r="AY814" s="7" t="str">
        <f>IF('RFQ-Input'!V813="","",'RFQ-Input'!V813)</f>
        <v/>
      </c>
      <c r="AZ814" s="7" t="str">
        <f>IF('RFQ-Input'!Y813="","",'RFQ-Input'!Y813)</f>
        <v/>
      </c>
      <c r="BA814" s="7" t="str">
        <f>IF('RFQ-Input'!AB813="","",'RFQ-Input'!AB813)</f>
        <v/>
      </c>
    </row>
    <row r="815" spans="1:53">
      <c r="A815" s="20">
        <v>811</v>
      </c>
      <c r="B815" s="7"/>
      <c r="C815" s="7" t="str">
        <f>IF('RFQ-Input'!C814="","",'RFQ-Input'!C814)</f>
        <v/>
      </c>
      <c r="D815" s="7" t="str">
        <f>IF('RFQ-Input'!D814="","",'RFQ-Input'!D814)</f>
        <v/>
      </c>
      <c r="E815" s="7" t="str">
        <f>IF('RFQ-Input'!E814="","",'RFQ-Input'!E814)</f>
        <v/>
      </c>
      <c r="F815" s="7" t="str">
        <f>IF('RFQ-Input'!F814="","",'RFQ-Input'!F814)</f>
        <v/>
      </c>
      <c r="G815" s="7" t="str">
        <f>IF('RFQ-Input'!G814="","",'RFQ-Input'!G814)</f>
        <v/>
      </c>
      <c r="H815" s="7" t="str">
        <f>IF('RFQ-Input'!H814="","",'RFQ-Input'!H814)</f>
        <v/>
      </c>
      <c r="I815" s="7" t="str">
        <f>IF('RFQ-Input'!I814="","",'RFQ-Input'!I814)</f>
        <v/>
      </c>
      <c r="J815" s="7" t="str">
        <f>IF('RFQ-Input'!J814="","",'RFQ-Input'!J814)</f>
        <v/>
      </c>
      <c r="K815" s="7" t="str">
        <f>IF('RFQ-Input'!K814="","",'RFQ-Input'!K814)</f>
        <v/>
      </c>
      <c r="L815" s="7" t="str">
        <f>IF('RFQ-Input'!L814="","",'RFQ-Input'!L814)</f>
        <v/>
      </c>
      <c r="M815" s="7" t="str">
        <f>IF('RFQ-Input'!M814="","",'RFQ-Input'!M814)</f>
        <v/>
      </c>
      <c r="N815" s="7" t="str">
        <f>IF('RFQ-Input'!N814="","",'RFQ-Input'!N814)</f>
        <v/>
      </c>
      <c r="O815" s="7" t="str">
        <f>IF('RFQ-Input'!O814="","",'RFQ-Input'!O814)</f>
        <v/>
      </c>
      <c r="Q815" s="7"/>
      <c r="R815" s="7"/>
      <c r="S815" s="7"/>
      <c r="T815" s="7"/>
      <c r="U815" s="7"/>
      <c r="V815" s="7"/>
      <c r="X815" s="7"/>
      <c r="Y815" s="7"/>
      <c r="Z815" s="7"/>
      <c r="AA815" s="7" t="str">
        <f t="shared" si="84"/>
        <v/>
      </c>
      <c r="AB815" s="7"/>
      <c r="AC815" s="7"/>
      <c r="AQ815" s="7" t="str">
        <f t="shared" si="85"/>
        <v/>
      </c>
      <c r="AR815" s="7" t="str">
        <f t="shared" si="86"/>
        <v/>
      </c>
      <c r="AS815" s="7" t="str">
        <f t="shared" si="87"/>
        <v/>
      </c>
      <c r="AT815" s="7" t="str">
        <f t="shared" si="88"/>
        <v/>
      </c>
      <c r="AU815" s="7" t="str">
        <f t="shared" si="89"/>
        <v/>
      </c>
      <c r="AV815" s="7" t="str">
        <f t="shared" si="90"/>
        <v/>
      </c>
      <c r="AW815" s="7" t="str">
        <f>IF('RFQ-Input'!O814="","",'RFQ-Input'!O814)</f>
        <v/>
      </c>
      <c r="AX815" s="7" t="str">
        <f>IF('RFQ-Input'!S814="","",'RFQ-Input'!S814)</f>
        <v/>
      </c>
      <c r="AY815" s="7" t="str">
        <f>IF('RFQ-Input'!V814="","",'RFQ-Input'!V814)</f>
        <v/>
      </c>
      <c r="AZ815" s="7" t="str">
        <f>IF('RFQ-Input'!Y814="","",'RFQ-Input'!Y814)</f>
        <v/>
      </c>
      <c r="BA815" s="7" t="str">
        <f>IF('RFQ-Input'!AB814="","",'RFQ-Input'!AB814)</f>
        <v/>
      </c>
    </row>
    <row r="816" spans="1:53">
      <c r="A816" s="20">
        <v>812</v>
      </c>
      <c r="B816" s="7"/>
      <c r="C816" s="7" t="str">
        <f>IF('RFQ-Input'!C815="","",'RFQ-Input'!C815)</f>
        <v/>
      </c>
      <c r="D816" s="7" t="str">
        <f>IF('RFQ-Input'!D815="","",'RFQ-Input'!D815)</f>
        <v/>
      </c>
      <c r="E816" s="7" t="str">
        <f>IF('RFQ-Input'!E815="","",'RFQ-Input'!E815)</f>
        <v/>
      </c>
      <c r="F816" s="7" t="str">
        <f>IF('RFQ-Input'!F815="","",'RFQ-Input'!F815)</f>
        <v/>
      </c>
      <c r="G816" s="7" t="str">
        <f>IF('RFQ-Input'!G815="","",'RFQ-Input'!G815)</f>
        <v/>
      </c>
      <c r="H816" s="7" t="str">
        <f>IF('RFQ-Input'!H815="","",'RFQ-Input'!H815)</f>
        <v/>
      </c>
      <c r="I816" s="7" t="str">
        <f>IF('RFQ-Input'!I815="","",'RFQ-Input'!I815)</f>
        <v/>
      </c>
      <c r="J816" s="7" t="str">
        <f>IF('RFQ-Input'!J815="","",'RFQ-Input'!J815)</f>
        <v/>
      </c>
      <c r="K816" s="7" t="str">
        <f>IF('RFQ-Input'!K815="","",'RFQ-Input'!K815)</f>
        <v/>
      </c>
      <c r="L816" s="7" t="str">
        <f>IF('RFQ-Input'!L815="","",'RFQ-Input'!L815)</f>
        <v/>
      </c>
      <c r="M816" s="7" t="str">
        <f>IF('RFQ-Input'!M815="","",'RFQ-Input'!M815)</f>
        <v/>
      </c>
      <c r="N816" s="7" t="str">
        <f>IF('RFQ-Input'!N815="","",'RFQ-Input'!N815)</f>
        <v/>
      </c>
      <c r="O816" s="7" t="str">
        <f>IF('RFQ-Input'!O815="","",'RFQ-Input'!O815)</f>
        <v/>
      </c>
      <c r="Q816" s="7"/>
      <c r="R816" s="7"/>
      <c r="S816" s="7"/>
      <c r="T816" s="7"/>
      <c r="U816" s="7"/>
      <c r="V816" s="7"/>
      <c r="X816" s="7"/>
      <c r="Y816" s="7"/>
      <c r="Z816" s="7"/>
      <c r="AA816" s="7" t="str">
        <f t="shared" si="84"/>
        <v/>
      </c>
      <c r="AB816" s="7"/>
      <c r="AC816" s="7"/>
      <c r="AQ816" s="7" t="str">
        <f t="shared" si="85"/>
        <v/>
      </c>
      <c r="AR816" s="7" t="str">
        <f t="shared" si="86"/>
        <v/>
      </c>
      <c r="AS816" s="7" t="str">
        <f t="shared" si="87"/>
        <v/>
      </c>
      <c r="AT816" s="7" t="str">
        <f t="shared" si="88"/>
        <v/>
      </c>
      <c r="AU816" s="7" t="str">
        <f t="shared" si="89"/>
        <v/>
      </c>
      <c r="AV816" s="7" t="str">
        <f t="shared" si="90"/>
        <v/>
      </c>
      <c r="AW816" s="7" t="str">
        <f>IF('RFQ-Input'!O815="","",'RFQ-Input'!O815)</f>
        <v/>
      </c>
      <c r="AX816" s="7" t="str">
        <f>IF('RFQ-Input'!S815="","",'RFQ-Input'!S815)</f>
        <v/>
      </c>
      <c r="AY816" s="7" t="str">
        <f>IF('RFQ-Input'!V815="","",'RFQ-Input'!V815)</f>
        <v/>
      </c>
      <c r="AZ816" s="7" t="str">
        <f>IF('RFQ-Input'!Y815="","",'RFQ-Input'!Y815)</f>
        <v/>
      </c>
      <c r="BA816" s="7" t="str">
        <f>IF('RFQ-Input'!AB815="","",'RFQ-Input'!AB815)</f>
        <v/>
      </c>
    </row>
    <row r="817" spans="1:53">
      <c r="A817" s="20">
        <v>813</v>
      </c>
      <c r="B817" s="7"/>
      <c r="C817" s="7" t="str">
        <f>IF('RFQ-Input'!C816="","",'RFQ-Input'!C816)</f>
        <v/>
      </c>
      <c r="D817" s="7" t="str">
        <f>IF('RFQ-Input'!D816="","",'RFQ-Input'!D816)</f>
        <v/>
      </c>
      <c r="E817" s="7" t="str">
        <f>IF('RFQ-Input'!E816="","",'RFQ-Input'!E816)</f>
        <v/>
      </c>
      <c r="F817" s="7" t="str">
        <f>IF('RFQ-Input'!F816="","",'RFQ-Input'!F816)</f>
        <v/>
      </c>
      <c r="G817" s="7" t="str">
        <f>IF('RFQ-Input'!G816="","",'RFQ-Input'!G816)</f>
        <v/>
      </c>
      <c r="H817" s="7" t="str">
        <f>IF('RFQ-Input'!H816="","",'RFQ-Input'!H816)</f>
        <v/>
      </c>
      <c r="I817" s="7" t="str">
        <f>IF('RFQ-Input'!I816="","",'RFQ-Input'!I816)</f>
        <v/>
      </c>
      <c r="J817" s="7" t="str">
        <f>IF('RFQ-Input'!J816="","",'RFQ-Input'!J816)</f>
        <v/>
      </c>
      <c r="K817" s="7" t="str">
        <f>IF('RFQ-Input'!K816="","",'RFQ-Input'!K816)</f>
        <v/>
      </c>
      <c r="L817" s="7" t="str">
        <f>IF('RFQ-Input'!L816="","",'RFQ-Input'!L816)</f>
        <v/>
      </c>
      <c r="M817" s="7" t="str">
        <f>IF('RFQ-Input'!M816="","",'RFQ-Input'!M816)</f>
        <v/>
      </c>
      <c r="N817" s="7" t="str">
        <f>IF('RFQ-Input'!N816="","",'RFQ-Input'!N816)</f>
        <v/>
      </c>
      <c r="O817" s="7" t="str">
        <f>IF('RFQ-Input'!O816="","",'RFQ-Input'!O816)</f>
        <v/>
      </c>
      <c r="Q817" s="7"/>
      <c r="R817" s="7"/>
      <c r="S817" s="7"/>
      <c r="T817" s="7"/>
      <c r="U817" s="7"/>
      <c r="V817" s="7"/>
      <c r="X817" s="7"/>
      <c r="Y817" s="7"/>
      <c r="Z817" s="7"/>
      <c r="AA817" s="7" t="str">
        <f t="shared" si="84"/>
        <v/>
      </c>
      <c r="AB817" s="7"/>
      <c r="AC817" s="7"/>
      <c r="AQ817" s="7" t="str">
        <f t="shared" si="85"/>
        <v/>
      </c>
      <c r="AR817" s="7" t="str">
        <f t="shared" si="86"/>
        <v/>
      </c>
      <c r="AS817" s="7" t="str">
        <f t="shared" si="87"/>
        <v/>
      </c>
      <c r="AT817" s="7" t="str">
        <f t="shared" si="88"/>
        <v/>
      </c>
      <c r="AU817" s="7" t="str">
        <f t="shared" si="89"/>
        <v/>
      </c>
      <c r="AV817" s="7" t="str">
        <f t="shared" si="90"/>
        <v/>
      </c>
      <c r="AW817" s="7" t="str">
        <f>IF('RFQ-Input'!O816="","",'RFQ-Input'!O816)</f>
        <v/>
      </c>
      <c r="AX817" s="7" t="str">
        <f>IF('RFQ-Input'!S816="","",'RFQ-Input'!S816)</f>
        <v/>
      </c>
      <c r="AY817" s="7" t="str">
        <f>IF('RFQ-Input'!V816="","",'RFQ-Input'!V816)</f>
        <v/>
      </c>
      <c r="AZ817" s="7" t="str">
        <f>IF('RFQ-Input'!Y816="","",'RFQ-Input'!Y816)</f>
        <v/>
      </c>
      <c r="BA817" s="7" t="str">
        <f>IF('RFQ-Input'!AB816="","",'RFQ-Input'!AB816)</f>
        <v/>
      </c>
    </row>
    <row r="818" spans="1:53">
      <c r="A818" s="20">
        <v>814</v>
      </c>
      <c r="B818" s="7"/>
      <c r="C818" s="7" t="str">
        <f>IF('RFQ-Input'!C817="","",'RFQ-Input'!C817)</f>
        <v/>
      </c>
      <c r="D818" s="7" t="str">
        <f>IF('RFQ-Input'!D817="","",'RFQ-Input'!D817)</f>
        <v/>
      </c>
      <c r="E818" s="7" t="str">
        <f>IF('RFQ-Input'!E817="","",'RFQ-Input'!E817)</f>
        <v/>
      </c>
      <c r="F818" s="7" t="str">
        <f>IF('RFQ-Input'!F817="","",'RFQ-Input'!F817)</f>
        <v/>
      </c>
      <c r="G818" s="7" t="str">
        <f>IF('RFQ-Input'!G817="","",'RFQ-Input'!G817)</f>
        <v/>
      </c>
      <c r="H818" s="7" t="str">
        <f>IF('RFQ-Input'!H817="","",'RFQ-Input'!H817)</f>
        <v/>
      </c>
      <c r="I818" s="7" t="str">
        <f>IF('RFQ-Input'!I817="","",'RFQ-Input'!I817)</f>
        <v/>
      </c>
      <c r="J818" s="7" t="str">
        <f>IF('RFQ-Input'!J817="","",'RFQ-Input'!J817)</f>
        <v/>
      </c>
      <c r="K818" s="7" t="str">
        <f>IF('RFQ-Input'!K817="","",'RFQ-Input'!K817)</f>
        <v/>
      </c>
      <c r="L818" s="7" t="str">
        <f>IF('RFQ-Input'!L817="","",'RFQ-Input'!L817)</f>
        <v/>
      </c>
      <c r="M818" s="7" t="str">
        <f>IF('RFQ-Input'!M817="","",'RFQ-Input'!M817)</f>
        <v/>
      </c>
      <c r="N818" s="7" t="str">
        <f>IF('RFQ-Input'!N817="","",'RFQ-Input'!N817)</f>
        <v/>
      </c>
      <c r="O818" s="7" t="str">
        <f>IF('RFQ-Input'!O817="","",'RFQ-Input'!O817)</f>
        <v/>
      </c>
      <c r="Q818" s="7"/>
      <c r="R818" s="7"/>
      <c r="S818" s="7"/>
      <c r="T818" s="7"/>
      <c r="U818" s="7"/>
      <c r="V818" s="7"/>
      <c r="X818" s="7"/>
      <c r="Y818" s="7"/>
      <c r="Z818" s="7"/>
      <c r="AA818" s="7" t="str">
        <f t="shared" si="84"/>
        <v/>
      </c>
      <c r="AB818" s="7"/>
      <c r="AC818" s="7"/>
      <c r="AQ818" s="7" t="str">
        <f t="shared" si="85"/>
        <v/>
      </c>
      <c r="AR818" s="7" t="str">
        <f t="shared" si="86"/>
        <v/>
      </c>
      <c r="AS818" s="7" t="str">
        <f t="shared" si="87"/>
        <v/>
      </c>
      <c r="AT818" s="7" t="str">
        <f t="shared" si="88"/>
        <v/>
      </c>
      <c r="AU818" s="7" t="str">
        <f t="shared" si="89"/>
        <v/>
      </c>
      <c r="AV818" s="7" t="str">
        <f t="shared" si="90"/>
        <v/>
      </c>
      <c r="AW818" s="7" t="str">
        <f>IF('RFQ-Input'!O817="","",'RFQ-Input'!O817)</f>
        <v/>
      </c>
      <c r="AX818" s="7" t="str">
        <f>IF('RFQ-Input'!S817="","",'RFQ-Input'!S817)</f>
        <v/>
      </c>
      <c r="AY818" s="7" t="str">
        <f>IF('RFQ-Input'!V817="","",'RFQ-Input'!V817)</f>
        <v/>
      </c>
      <c r="AZ818" s="7" t="str">
        <f>IF('RFQ-Input'!Y817="","",'RFQ-Input'!Y817)</f>
        <v/>
      </c>
      <c r="BA818" s="7" t="str">
        <f>IF('RFQ-Input'!AB817="","",'RFQ-Input'!AB817)</f>
        <v/>
      </c>
    </row>
    <row r="819" spans="1:53">
      <c r="A819" s="20">
        <v>815</v>
      </c>
      <c r="B819" s="7"/>
      <c r="C819" s="7" t="str">
        <f>IF('RFQ-Input'!C818="","",'RFQ-Input'!C818)</f>
        <v/>
      </c>
      <c r="D819" s="7" t="str">
        <f>IF('RFQ-Input'!D818="","",'RFQ-Input'!D818)</f>
        <v/>
      </c>
      <c r="E819" s="7" t="str">
        <f>IF('RFQ-Input'!E818="","",'RFQ-Input'!E818)</f>
        <v/>
      </c>
      <c r="F819" s="7" t="str">
        <f>IF('RFQ-Input'!F818="","",'RFQ-Input'!F818)</f>
        <v/>
      </c>
      <c r="G819" s="7" t="str">
        <f>IF('RFQ-Input'!G818="","",'RFQ-Input'!G818)</f>
        <v/>
      </c>
      <c r="H819" s="7" t="str">
        <f>IF('RFQ-Input'!H818="","",'RFQ-Input'!H818)</f>
        <v/>
      </c>
      <c r="I819" s="7" t="str">
        <f>IF('RFQ-Input'!I818="","",'RFQ-Input'!I818)</f>
        <v/>
      </c>
      <c r="J819" s="7" t="str">
        <f>IF('RFQ-Input'!J818="","",'RFQ-Input'!J818)</f>
        <v/>
      </c>
      <c r="K819" s="7" t="str">
        <f>IF('RFQ-Input'!K818="","",'RFQ-Input'!K818)</f>
        <v/>
      </c>
      <c r="L819" s="7" t="str">
        <f>IF('RFQ-Input'!L818="","",'RFQ-Input'!L818)</f>
        <v/>
      </c>
      <c r="M819" s="7" t="str">
        <f>IF('RFQ-Input'!M818="","",'RFQ-Input'!M818)</f>
        <v/>
      </c>
      <c r="N819" s="7" t="str">
        <f>IF('RFQ-Input'!N818="","",'RFQ-Input'!N818)</f>
        <v/>
      </c>
      <c r="O819" s="7" t="str">
        <f>IF('RFQ-Input'!O818="","",'RFQ-Input'!O818)</f>
        <v/>
      </c>
      <c r="Q819" s="7"/>
      <c r="R819" s="7"/>
      <c r="S819" s="7"/>
      <c r="T819" s="7"/>
      <c r="U819" s="7"/>
      <c r="V819" s="7"/>
      <c r="X819" s="7"/>
      <c r="Y819" s="7"/>
      <c r="Z819" s="7"/>
      <c r="AA819" s="7" t="str">
        <f t="shared" si="84"/>
        <v/>
      </c>
      <c r="AB819" s="7"/>
      <c r="AC819" s="7"/>
      <c r="AQ819" s="7" t="str">
        <f t="shared" si="85"/>
        <v/>
      </c>
      <c r="AR819" s="7" t="str">
        <f t="shared" si="86"/>
        <v/>
      </c>
      <c r="AS819" s="7" t="str">
        <f t="shared" si="87"/>
        <v/>
      </c>
      <c r="AT819" s="7" t="str">
        <f t="shared" si="88"/>
        <v/>
      </c>
      <c r="AU819" s="7" t="str">
        <f t="shared" si="89"/>
        <v/>
      </c>
      <c r="AV819" s="7" t="str">
        <f t="shared" si="90"/>
        <v/>
      </c>
      <c r="AW819" s="7" t="str">
        <f>IF('RFQ-Input'!O818="","",'RFQ-Input'!O818)</f>
        <v/>
      </c>
      <c r="AX819" s="7" t="str">
        <f>IF('RFQ-Input'!S818="","",'RFQ-Input'!S818)</f>
        <v/>
      </c>
      <c r="AY819" s="7" t="str">
        <f>IF('RFQ-Input'!V818="","",'RFQ-Input'!V818)</f>
        <v/>
      </c>
      <c r="AZ819" s="7" t="str">
        <f>IF('RFQ-Input'!Y818="","",'RFQ-Input'!Y818)</f>
        <v/>
      </c>
      <c r="BA819" s="7" t="str">
        <f>IF('RFQ-Input'!AB818="","",'RFQ-Input'!AB818)</f>
        <v/>
      </c>
    </row>
    <row r="820" spans="1:53">
      <c r="A820" s="20">
        <v>816</v>
      </c>
      <c r="B820" s="7"/>
      <c r="C820" s="7" t="str">
        <f>IF('RFQ-Input'!C819="","",'RFQ-Input'!C819)</f>
        <v/>
      </c>
      <c r="D820" s="7" t="str">
        <f>IF('RFQ-Input'!D819="","",'RFQ-Input'!D819)</f>
        <v/>
      </c>
      <c r="E820" s="7" t="str">
        <f>IF('RFQ-Input'!E819="","",'RFQ-Input'!E819)</f>
        <v/>
      </c>
      <c r="F820" s="7" t="str">
        <f>IF('RFQ-Input'!F819="","",'RFQ-Input'!F819)</f>
        <v/>
      </c>
      <c r="G820" s="7" t="str">
        <f>IF('RFQ-Input'!G819="","",'RFQ-Input'!G819)</f>
        <v/>
      </c>
      <c r="H820" s="7" t="str">
        <f>IF('RFQ-Input'!H819="","",'RFQ-Input'!H819)</f>
        <v/>
      </c>
      <c r="I820" s="7" t="str">
        <f>IF('RFQ-Input'!I819="","",'RFQ-Input'!I819)</f>
        <v/>
      </c>
      <c r="J820" s="7" t="str">
        <f>IF('RFQ-Input'!J819="","",'RFQ-Input'!J819)</f>
        <v/>
      </c>
      <c r="K820" s="7" t="str">
        <f>IF('RFQ-Input'!K819="","",'RFQ-Input'!K819)</f>
        <v/>
      </c>
      <c r="L820" s="7" t="str">
        <f>IF('RFQ-Input'!L819="","",'RFQ-Input'!L819)</f>
        <v/>
      </c>
      <c r="M820" s="7" t="str">
        <f>IF('RFQ-Input'!M819="","",'RFQ-Input'!M819)</f>
        <v/>
      </c>
      <c r="N820" s="7" t="str">
        <f>IF('RFQ-Input'!N819="","",'RFQ-Input'!N819)</f>
        <v/>
      </c>
      <c r="O820" s="7" t="str">
        <f>IF('RFQ-Input'!O819="","",'RFQ-Input'!O819)</f>
        <v/>
      </c>
      <c r="Q820" s="7"/>
      <c r="R820" s="7"/>
      <c r="S820" s="7"/>
      <c r="T820" s="7"/>
      <c r="U820" s="7"/>
      <c r="V820" s="7"/>
      <c r="X820" s="7"/>
      <c r="Y820" s="7"/>
      <c r="Z820" s="7"/>
      <c r="AA820" s="7" t="str">
        <f t="shared" si="84"/>
        <v/>
      </c>
      <c r="AB820" s="7"/>
      <c r="AC820" s="7"/>
      <c r="AQ820" s="7" t="str">
        <f t="shared" si="85"/>
        <v/>
      </c>
      <c r="AR820" s="7" t="str">
        <f t="shared" si="86"/>
        <v/>
      </c>
      <c r="AS820" s="7" t="str">
        <f t="shared" si="87"/>
        <v/>
      </c>
      <c r="AT820" s="7" t="str">
        <f t="shared" si="88"/>
        <v/>
      </c>
      <c r="AU820" s="7" t="str">
        <f t="shared" si="89"/>
        <v/>
      </c>
      <c r="AV820" s="7" t="str">
        <f t="shared" si="90"/>
        <v/>
      </c>
      <c r="AW820" s="7" t="str">
        <f>IF('RFQ-Input'!O819="","",'RFQ-Input'!O819)</f>
        <v/>
      </c>
      <c r="AX820" s="7" t="str">
        <f>IF('RFQ-Input'!S819="","",'RFQ-Input'!S819)</f>
        <v/>
      </c>
      <c r="AY820" s="7" t="str">
        <f>IF('RFQ-Input'!V819="","",'RFQ-Input'!V819)</f>
        <v/>
      </c>
      <c r="AZ820" s="7" t="str">
        <f>IF('RFQ-Input'!Y819="","",'RFQ-Input'!Y819)</f>
        <v/>
      </c>
      <c r="BA820" s="7" t="str">
        <f>IF('RFQ-Input'!AB819="","",'RFQ-Input'!AB819)</f>
        <v/>
      </c>
    </row>
    <row r="821" spans="1:53">
      <c r="A821" s="20">
        <v>817</v>
      </c>
      <c r="B821" s="7"/>
      <c r="C821" s="7" t="str">
        <f>IF('RFQ-Input'!C820="","",'RFQ-Input'!C820)</f>
        <v/>
      </c>
      <c r="D821" s="7" t="str">
        <f>IF('RFQ-Input'!D820="","",'RFQ-Input'!D820)</f>
        <v/>
      </c>
      <c r="E821" s="7" t="str">
        <f>IF('RFQ-Input'!E820="","",'RFQ-Input'!E820)</f>
        <v/>
      </c>
      <c r="F821" s="7" t="str">
        <f>IF('RFQ-Input'!F820="","",'RFQ-Input'!F820)</f>
        <v/>
      </c>
      <c r="G821" s="7" t="str">
        <f>IF('RFQ-Input'!G820="","",'RFQ-Input'!G820)</f>
        <v/>
      </c>
      <c r="H821" s="7" t="str">
        <f>IF('RFQ-Input'!H820="","",'RFQ-Input'!H820)</f>
        <v/>
      </c>
      <c r="I821" s="7" t="str">
        <f>IF('RFQ-Input'!I820="","",'RFQ-Input'!I820)</f>
        <v/>
      </c>
      <c r="J821" s="7" t="str">
        <f>IF('RFQ-Input'!J820="","",'RFQ-Input'!J820)</f>
        <v/>
      </c>
      <c r="K821" s="7" t="str">
        <f>IF('RFQ-Input'!K820="","",'RFQ-Input'!K820)</f>
        <v/>
      </c>
      <c r="L821" s="7" t="str">
        <f>IF('RFQ-Input'!L820="","",'RFQ-Input'!L820)</f>
        <v/>
      </c>
      <c r="M821" s="7" t="str">
        <f>IF('RFQ-Input'!M820="","",'RFQ-Input'!M820)</f>
        <v/>
      </c>
      <c r="N821" s="7" t="str">
        <f>IF('RFQ-Input'!N820="","",'RFQ-Input'!N820)</f>
        <v/>
      </c>
      <c r="O821" s="7" t="str">
        <f>IF('RFQ-Input'!O820="","",'RFQ-Input'!O820)</f>
        <v/>
      </c>
      <c r="Q821" s="7"/>
      <c r="R821" s="7"/>
      <c r="S821" s="7"/>
      <c r="T821" s="7"/>
      <c r="U821" s="7"/>
      <c r="V821" s="7"/>
      <c r="X821" s="7"/>
      <c r="Y821" s="7"/>
      <c r="Z821" s="7"/>
      <c r="AA821" s="7" t="str">
        <f t="shared" si="84"/>
        <v/>
      </c>
      <c r="AB821" s="7"/>
      <c r="AC821" s="7"/>
      <c r="AQ821" s="7" t="str">
        <f t="shared" si="85"/>
        <v/>
      </c>
      <c r="AR821" s="7" t="str">
        <f t="shared" si="86"/>
        <v/>
      </c>
      <c r="AS821" s="7" t="str">
        <f t="shared" si="87"/>
        <v/>
      </c>
      <c r="AT821" s="7" t="str">
        <f t="shared" si="88"/>
        <v/>
      </c>
      <c r="AU821" s="7" t="str">
        <f t="shared" si="89"/>
        <v/>
      </c>
      <c r="AV821" s="7" t="str">
        <f t="shared" si="90"/>
        <v/>
      </c>
      <c r="AW821" s="7" t="str">
        <f>IF('RFQ-Input'!O820="","",'RFQ-Input'!O820)</f>
        <v/>
      </c>
      <c r="AX821" s="7" t="str">
        <f>IF('RFQ-Input'!S820="","",'RFQ-Input'!S820)</f>
        <v/>
      </c>
      <c r="AY821" s="7" t="str">
        <f>IF('RFQ-Input'!V820="","",'RFQ-Input'!V820)</f>
        <v/>
      </c>
      <c r="AZ821" s="7" t="str">
        <f>IF('RFQ-Input'!Y820="","",'RFQ-Input'!Y820)</f>
        <v/>
      </c>
      <c r="BA821" s="7" t="str">
        <f>IF('RFQ-Input'!AB820="","",'RFQ-Input'!AB820)</f>
        <v/>
      </c>
    </row>
    <row r="822" spans="1:53">
      <c r="A822" s="20">
        <v>818</v>
      </c>
      <c r="B822" s="7"/>
      <c r="C822" s="7" t="str">
        <f>IF('RFQ-Input'!C821="","",'RFQ-Input'!C821)</f>
        <v/>
      </c>
      <c r="D822" s="7" t="str">
        <f>IF('RFQ-Input'!D821="","",'RFQ-Input'!D821)</f>
        <v/>
      </c>
      <c r="E822" s="7" t="str">
        <f>IF('RFQ-Input'!E821="","",'RFQ-Input'!E821)</f>
        <v/>
      </c>
      <c r="F822" s="7" t="str">
        <f>IF('RFQ-Input'!F821="","",'RFQ-Input'!F821)</f>
        <v/>
      </c>
      <c r="G822" s="7" t="str">
        <f>IF('RFQ-Input'!G821="","",'RFQ-Input'!G821)</f>
        <v/>
      </c>
      <c r="H822" s="7" t="str">
        <f>IF('RFQ-Input'!H821="","",'RFQ-Input'!H821)</f>
        <v/>
      </c>
      <c r="I822" s="7" t="str">
        <f>IF('RFQ-Input'!I821="","",'RFQ-Input'!I821)</f>
        <v/>
      </c>
      <c r="J822" s="7" t="str">
        <f>IF('RFQ-Input'!J821="","",'RFQ-Input'!J821)</f>
        <v/>
      </c>
      <c r="K822" s="7" t="str">
        <f>IF('RFQ-Input'!K821="","",'RFQ-Input'!K821)</f>
        <v/>
      </c>
      <c r="L822" s="7" t="str">
        <f>IF('RFQ-Input'!L821="","",'RFQ-Input'!L821)</f>
        <v/>
      </c>
      <c r="M822" s="7" t="str">
        <f>IF('RFQ-Input'!M821="","",'RFQ-Input'!M821)</f>
        <v/>
      </c>
      <c r="N822" s="7" t="str">
        <f>IF('RFQ-Input'!N821="","",'RFQ-Input'!N821)</f>
        <v/>
      </c>
      <c r="O822" s="7" t="str">
        <f>IF('RFQ-Input'!O821="","",'RFQ-Input'!O821)</f>
        <v/>
      </c>
      <c r="Q822" s="7"/>
      <c r="R822" s="7"/>
      <c r="S822" s="7"/>
      <c r="T822" s="7"/>
      <c r="U822" s="7"/>
      <c r="V822" s="7"/>
      <c r="X822" s="7"/>
      <c r="Y822" s="7"/>
      <c r="Z822" s="7"/>
      <c r="AA822" s="7" t="str">
        <f t="shared" si="84"/>
        <v/>
      </c>
      <c r="AB822" s="7"/>
      <c r="AC822" s="7"/>
      <c r="AQ822" s="7" t="str">
        <f t="shared" si="85"/>
        <v/>
      </c>
      <c r="AR822" s="7" t="str">
        <f t="shared" si="86"/>
        <v/>
      </c>
      <c r="AS822" s="7" t="str">
        <f t="shared" si="87"/>
        <v/>
      </c>
      <c r="AT822" s="7" t="str">
        <f t="shared" si="88"/>
        <v/>
      </c>
      <c r="AU822" s="7" t="str">
        <f t="shared" si="89"/>
        <v/>
      </c>
      <c r="AV822" s="7" t="str">
        <f t="shared" si="90"/>
        <v/>
      </c>
      <c r="AW822" s="7" t="str">
        <f>IF('RFQ-Input'!O821="","",'RFQ-Input'!O821)</f>
        <v/>
      </c>
      <c r="AX822" s="7" t="str">
        <f>IF('RFQ-Input'!S821="","",'RFQ-Input'!S821)</f>
        <v/>
      </c>
      <c r="AY822" s="7" t="str">
        <f>IF('RFQ-Input'!V821="","",'RFQ-Input'!V821)</f>
        <v/>
      </c>
      <c r="AZ822" s="7" t="str">
        <f>IF('RFQ-Input'!Y821="","",'RFQ-Input'!Y821)</f>
        <v/>
      </c>
      <c r="BA822" s="7" t="str">
        <f>IF('RFQ-Input'!AB821="","",'RFQ-Input'!AB821)</f>
        <v/>
      </c>
    </row>
    <row r="823" spans="1:53">
      <c r="A823" s="20">
        <v>819</v>
      </c>
      <c r="B823" s="7"/>
      <c r="C823" s="7" t="str">
        <f>IF('RFQ-Input'!C822="","",'RFQ-Input'!C822)</f>
        <v/>
      </c>
      <c r="D823" s="7" t="str">
        <f>IF('RFQ-Input'!D822="","",'RFQ-Input'!D822)</f>
        <v/>
      </c>
      <c r="E823" s="7" t="str">
        <f>IF('RFQ-Input'!E822="","",'RFQ-Input'!E822)</f>
        <v/>
      </c>
      <c r="F823" s="7" t="str">
        <f>IF('RFQ-Input'!F822="","",'RFQ-Input'!F822)</f>
        <v/>
      </c>
      <c r="G823" s="7" t="str">
        <f>IF('RFQ-Input'!G822="","",'RFQ-Input'!G822)</f>
        <v/>
      </c>
      <c r="H823" s="7" t="str">
        <f>IF('RFQ-Input'!H822="","",'RFQ-Input'!H822)</f>
        <v/>
      </c>
      <c r="I823" s="7" t="str">
        <f>IF('RFQ-Input'!I822="","",'RFQ-Input'!I822)</f>
        <v/>
      </c>
      <c r="J823" s="7" t="str">
        <f>IF('RFQ-Input'!J822="","",'RFQ-Input'!J822)</f>
        <v/>
      </c>
      <c r="K823" s="7" t="str">
        <f>IF('RFQ-Input'!K822="","",'RFQ-Input'!K822)</f>
        <v/>
      </c>
      <c r="L823" s="7" t="str">
        <f>IF('RFQ-Input'!L822="","",'RFQ-Input'!L822)</f>
        <v/>
      </c>
      <c r="M823" s="7" t="str">
        <f>IF('RFQ-Input'!M822="","",'RFQ-Input'!M822)</f>
        <v/>
      </c>
      <c r="N823" s="7" t="str">
        <f>IF('RFQ-Input'!N822="","",'RFQ-Input'!N822)</f>
        <v/>
      </c>
      <c r="O823" s="7" t="str">
        <f>IF('RFQ-Input'!O822="","",'RFQ-Input'!O822)</f>
        <v/>
      </c>
      <c r="Q823" s="7"/>
      <c r="R823" s="7"/>
      <c r="S823" s="7"/>
      <c r="T823" s="7"/>
      <c r="U823" s="7"/>
      <c r="V823" s="7"/>
      <c r="X823" s="7"/>
      <c r="Y823" s="7"/>
      <c r="Z823" s="7"/>
      <c r="AA823" s="7" t="str">
        <f t="shared" si="84"/>
        <v/>
      </c>
      <c r="AB823" s="7"/>
      <c r="AC823" s="7"/>
      <c r="AQ823" s="7" t="str">
        <f t="shared" si="85"/>
        <v/>
      </c>
      <c r="AR823" s="7" t="str">
        <f t="shared" si="86"/>
        <v/>
      </c>
      <c r="AS823" s="7" t="str">
        <f t="shared" si="87"/>
        <v/>
      </c>
      <c r="AT823" s="7" t="str">
        <f t="shared" si="88"/>
        <v/>
      </c>
      <c r="AU823" s="7" t="str">
        <f t="shared" si="89"/>
        <v/>
      </c>
      <c r="AV823" s="7" t="str">
        <f t="shared" si="90"/>
        <v/>
      </c>
      <c r="AW823" s="7" t="str">
        <f>IF('RFQ-Input'!O822="","",'RFQ-Input'!O822)</f>
        <v/>
      </c>
      <c r="AX823" s="7" t="str">
        <f>IF('RFQ-Input'!S822="","",'RFQ-Input'!S822)</f>
        <v/>
      </c>
      <c r="AY823" s="7" t="str">
        <f>IF('RFQ-Input'!V822="","",'RFQ-Input'!V822)</f>
        <v/>
      </c>
      <c r="AZ823" s="7" t="str">
        <f>IF('RFQ-Input'!Y822="","",'RFQ-Input'!Y822)</f>
        <v/>
      </c>
      <c r="BA823" s="7" t="str">
        <f>IF('RFQ-Input'!AB822="","",'RFQ-Input'!AB822)</f>
        <v/>
      </c>
    </row>
    <row r="824" spans="1:53">
      <c r="A824" s="20">
        <v>820</v>
      </c>
      <c r="B824" s="7"/>
      <c r="C824" s="7" t="str">
        <f>IF('RFQ-Input'!C823="","",'RFQ-Input'!C823)</f>
        <v/>
      </c>
      <c r="D824" s="7" t="str">
        <f>IF('RFQ-Input'!D823="","",'RFQ-Input'!D823)</f>
        <v/>
      </c>
      <c r="E824" s="7" t="str">
        <f>IF('RFQ-Input'!E823="","",'RFQ-Input'!E823)</f>
        <v/>
      </c>
      <c r="F824" s="7" t="str">
        <f>IF('RFQ-Input'!F823="","",'RFQ-Input'!F823)</f>
        <v/>
      </c>
      <c r="G824" s="7" t="str">
        <f>IF('RFQ-Input'!G823="","",'RFQ-Input'!G823)</f>
        <v/>
      </c>
      <c r="H824" s="7" t="str">
        <f>IF('RFQ-Input'!H823="","",'RFQ-Input'!H823)</f>
        <v/>
      </c>
      <c r="I824" s="7" t="str">
        <f>IF('RFQ-Input'!I823="","",'RFQ-Input'!I823)</f>
        <v/>
      </c>
      <c r="J824" s="7" t="str">
        <f>IF('RFQ-Input'!J823="","",'RFQ-Input'!J823)</f>
        <v/>
      </c>
      <c r="K824" s="7" t="str">
        <f>IF('RFQ-Input'!K823="","",'RFQ-Input'!K823)</f>
        <v/>
      </c>
      <c r="L824" s="7" t="str">
        <f>IF('RFQ-Input'!L823="","",'RFQ-Input'!L823)</f>
        <v/>
      </c>
      <c r="M824" s="7" t="str">
        <f>IF('RFQ-Input'!M823="","",'RFQ-Input'!M823)</f>
        <v/>
      </c>
      <c r="N824" s="7" t="str">
        <f>IF('RFQ-Input'!N823="","",'RFQ-Input'!N823)</f>
        <v/>
      </c>
      <c r="O824" s="7" t="str">
        <f>IF('RFQ-Input'!O823="","",'RFQ-Input'!O823)</f>
        <v/>
      </c>
      <c r="Q824" s="7"/>
      <c r="R824" s="7"/>
      <c r="S824" s="7"/>
      <c r="T824" s="7"/>
      <c r="U824" s="7"/>
      <c r="V824" s="7"/>
      <c r="X824" s="7"/>
      <c r="Y824" s="7"/>
      <c r="Z824" s="7"/>
      <c r="AA824" s="7" t="str">
        <f t="shared" si="84"/>
        <v/>
      </c>
      <c r="AB824" s="7"/>
      <c r="AC824" s="7"/>
      <c r="AQ824" s="7" t="str">
        <f t="shared" si="85"/>
        <v/>
      </c>
      <c r="AR824" s="7" t="str">
        <f t="shared" si="86"/>
        <v/>
      </c>
      <c r="AS824" s="7" t="str">
        <f t="shared" si="87"/>
        <v/>
      </c>
      <c r="AT824" s="7" t="str">
        <f t="shared" si="88"/>
        <v/>
      </c>
      <c r="AU824" s="7" t="str">
        <f t="shared" si="89"/>
        <v/>
      </c>
      <c r="AV824" s="7" t="str">
        <f t="shared" si="90"/>
        <v/>
      </c>
      <c r="AW824" s="7" t="str">
        <f>IF('RFQ-Input'!O823="","",'RFQ-Input'!O823)</f>
        <v/>
      </c>
      <c r="AX824" s="7" t="str">
        <f>IF('RFQ-Input'!S823="","",'RFQ-Input'!S823)</f>
        <v/>
      </c>
      <c r="AY824" s="7" t="str">
        <f>IF('RFQ-Input'!V823="","",'RFQ-Input'!V823)</f>
        <v/>
      </c>
      <c r="AZ824" s="7" t="str">
        <f>IF('RFQ-Input'!Y823="","",'RFQ-Input'!Y823)</f>
        <v/>
      </c>
      <c r="BA824" s="7" t="str">
        <f>IF('RFQ-Input'!AB823="","",'RFQ-Input'!AB823)</f>
        <v/>
      </c>
    </row>
    <row r="825" spans="1:53">
      <c r="A825" s="20">
        <v>821</v>
      </c>
      <c r="B825" s="7"/>
      <c r="C825" s="7" t="str">
        <f>IF('RFQ-Input'!C824="","",'RFQ-Input'!C824)</f>
        <v/>
      </c>
      <c r="D825" s="7" t="str">
        <f>IF('RFQ-Input'!D824="","",'RFQ-Input'!D824)</f>
        <v/>
      </c>
      <c r="E825" s="7" t="str">
        <f>IF('RFQ-Input'!E824="","",'RFQ-Input'!E824)</f>
        <v/>
      </c>
      <c r="F825" s="7" t="str">
        <f>IF('RFQ-Input'!F824="","",'RFQ-Input'!F824)</f>
        <v/>
      </c>
      <c r="G825" s="7" t="str">
        <f>IF('RFQ-Input'!G824="","",'RFQ-Input'!G824)</f>
        <v/>
      </c>
      <c r="H825" s="7" t="str">
        <f>IF('RFQ-Input'!H824="","",'RFQ-Input'!H824)</f>
        <v/>
      </c>
      <c r="I825" s="7" t="str">
        <f>IF('RFQ-Input'!I824="","",'RFQ-Input'!I824)</f>
        <v/>
      </c>
      <c r="J825" s="7" t="str">
        <f>IF('RFQ-Input'!J824="","",'RFQ-Input'!J824)</f>
        <v/>
      </c>
      <c r="K825" s="7" t="str">
        <f>IF('RFQ-Input'!K824="","",'RFQ-Input'!K824)</f>
        <v/>
      </c>
      <c r="L825" s="7" t="str">
        <f>IF('RFQ-Input'!L824="","",'RFQ-Input'!L824)</f>
        <v/>
      </c>
      <c r="M825" s="7" t="str">
        <f>IF('RFQ-Input'!M824="","",'RFQ-Input'!M824)</f>
        <v/>
      </c>
      <c r="N825" s="7" t="str">
        <f>IF('RFQ-Input'!N824="","",'RFQ-Input'!N824)</f>
        <v/>
      </c>
      <c r="O825" s="7" t="str">
        <f>IF('RFQ-Input'!O824="","",'RFQ-Input'!O824)</f>
        <v/>
      </c>
      <c r="Q825" s="7"/>
      <c r="R825" s="7"/>
      <c r="S825" s="7"/>
      <c r="T825" s="7"/>
      <c r="U825" s="7"/>
      <c r="V825" s="7"/>
      <c r="X825" s="7"/>
      <c r="Y825" s="7"/>
      <c r="Z825" s="7"/>
      <c r="AA825" s="7" t="str">
        <f t="shared" si="84"/>
        <v/>
      </c>
      <c r="AB825" s="7"/>
      <c r="AC825" s="7"/>
      <c r="AQ825" s="7" t="str">
        <f t="shared" si="85"/>
        <v/>
      </c>
      <c r="AR825" s="7" t="str">
        <f t="shared" si="86"/>
        <v/>
      </c>
      <c r="AS825" s="7" t="str">
        <f t="shared" si="87"/>
        <v/>
      </c>
      <c r="AT825" s="7" t="str">
        <f t="shared" si="88"/>
        <v/>
      </c>
      <c r="AU825" s="7" t="str">
        <f t="shared" si="89"/>
        <v/>
      </c>
      <c r="AV825" s="7" t="str">
        <f t="shared" si="90"/>
        <v/>
      </c>
      <c r="AW825" s="7" t="str">
        <f>IF('RFQ-Input'!O824="","",'RFQ-Input'!O824)</f>
        <v/>
      </c>
      <c r="AX825" s="7" t="str">
        <f>IF('RFQ-Input'!S824="","",'RFQ-Input'!S824)</f>
        <v/>
      </c>
      <c r="AY825" s="7" t="str">
        <f>IF('RFQ-Input'!V824="","",'RFQ-Input'!V824)</f>
        <v/>
      </c>
      <c r="AZ825" s="7" t="str">
        <f>IF('RFQ-Input'!Y824="","",'RFQ-Input'!Y824)</f>
        <v/>
      </c>
      <c r="BA825" s="7" t="str">
        <f>IF('RFQ-Input'!AB824="","",'RFQ-Input'!AB824)</f>
        <v/>
      </c>
    </row>
    <row r="826" spans="1:53">
      <c r="A826" s="20">
        <v>822</v>
      </c>
      <c r="B826" s="7"/>
      <c r="C826" s="7" t="str">
        <f>IF('RFQ-Input'!C825="","",'RFQ-Input'!C825)</f>
        <v/>
      </c>
      <c r="D826" s="7" t="str">
        <f>IF('RFQ-Input'!D825="","",'RFQ-Input'!D825)</f>
        <v/>
      </c>
      <c r="E826" s="7" t="str">
        <f>IF('RFQ-Input'!E825="","",'RFQ-Input'!E825)</f>
        <v/>
      </c>
      <c r="F826" s="7" t="str">
        <f>IF('RFQ-Input'!F825="","",'RFQ-Input'!F825)</f>
        <v/>
      </c>
      <c r="G826" s="7" t="str">
        <f>IF('RFQ-Input'!G825="","",'RFQ-Input'!G825)</f>
        <v/>
      </c>
      <c r="H826" s="7" t="str">
        <f>IF('RFQ-Input'!H825="","",'RFQ-Input'!H825)</f>
        <v/>
      </c>
      <c r="I826" s="7" t="str">
        <f>IF('RFQ-Input'!I825="","",'RFQ-Input'!I825)</f>
        <v/>
      </c>
      <c r="J826" s="7" t="str">
        <f>IF('RFQ-Input'!J825="","",'RFQ-Input'!J825)</f>
        <v/>
      </c>
      <c r="K826" s="7" t="str">
        <f>IF('RFQ-Input'!K825="","",'RFQ-Input'!K825)</f>
        <v/>
      </c>
      <c r="L826" s="7" t="str">
        <f>IF('RFQ-Input'!L825="","",'RFQ-Input'!L825)</f>
        <v/>
      </c>
      <c r="M826" s="7" t="str">
        <f>IF('RFQ-Input'!M825="","",'RFQ-Input'!M825)</f>
        <v/>
      </c>
      <c r="N826" s="7" t="str">
        <f>IF('RFQ-Input'!N825="","",'RFQ-Input'!N825)</f>
        <v/>
      </c>
      <c r="O826" s="7" t="str">
        <f>IF('RFQ-Input'!O825="","",'RFQ-Input'!O825)</f>
        <v/>
      </c>
      <c r="Q826" s="7"/>
      <c r="R826" s="7"/>
      <c r="S826" s="7"/>
      <c r="T826" s="7"/>
      <c r="U826" s="7"/>
      <c r="V826" s="7"/>
      <c r="X826" s="7"/>
      <c r="Y826" s="7"/>
      <c r="Z826" s="7"/>
      <c r="AA826" s="7" t="str">
        <f t="shared" si="84"/>
        <v/>
      </c>
      <c r="AB826" s="7"/>
      <c r="AC826" s="7"/>
      <c r="AQ826" s="7" t="str">
        <f t="shared" si="85"/>
        <v/>
      </c>
      <c r="AR826" s="7" t="str">
        <f t="shared" si="86"/>
        <v/>
      </c>
      <c r="AS826" s="7" t="str">
        <f t="shared" si="87"/>
        <v/>
      </c>
      <c r="AT826" s="7" t="str">
        <f t="shared" si="88"/>
        <v/>
      </c>
      <c r="AU826" s="7" t="str">
        <f t="shared" si="89"/>
        <v/>
      </c>
      <c r="AV826" s="7" t="str">
        <f t="shared" si="90"/>
        <v/>
      </c>
      <c r="AW826" s="7" t="str">
        <f>IF('RFQ-Input'!O825="","",'RFQ-Input'!O825)</f>
        <v/>
      </c>
      <c r="AX826" s="7" t="str">
        <f>IF('RFQ-Input'!S825="","",'RFQ-Input'!S825)</f>
        <v/>
      </c>
      <c r="AY826" s="7" t="str">
        <f>IF('RFQ-Input'!V825="","",'RFQ-Input'!V825)</f>
        <v/>
      </c>
      <c r="AZ826" s="7" t="str">
        <f>IF('RFQ-Input'!Y825="","",'RFQ-Input'!Y825)</f>
        <v/>
      </c>
      <c r="BA826" s="7" t="str">
        <f>IF('RFQ-Input'!AB825="","",'RFQ-Input'!AB825)</f>
        <v/>
      </c>
    </row>
    <row r="827" spans="1:53">
      <c r="A827" s="20">
        <v>823</v>
      </c>
      <c r="B827" s="7"/>
      <c r="C827" s="7" t="str">
        <f>IF('RFQ-Input'!C826="","",'RFQ-Input'!C826)</f>
        <v/>
      </c>
      <c r="D827" s="7" t="str">
        <f>IF('RFQ-Input'!D826="","",'RFQ-Input'!D826)</f>
        <v/>
      </c>
      <c r="E827" s="7" t="str">
        <f>IF('RFQ-Input'!E826="","",'RFQ-Input'!E826)</f>
        <v/>
      </c>
      <c r="F827" s="7" t="str">
        <f>IF('RFQ-Input'!F826="","",'RFQ-Input'!F826)</f>
        <v/>
      </c>
      <c r="G827" s="7" t="str">
        <f>IF('RFQ-Input'!G826="","",'RFQ-Input'!G826)</f>
        <v/>
      </c>
      <c r="H827" s="7" t="str">
        <f>IF('RFQ-Input'!H826="","",'RFQ-Input'!H826)</f>
        <v/>
      </c>
      <c r="I827" s="7" t="str">
        <f>IF('RFQ-Input'!I826="","",'RFQ-Input'!I826)</f>
        <v/>
      </c>
      <c r="J827" s="7" t="str">
        <f>IF('RFQ-Input'!J826="","",'RFQ-Input'!J826)</f>
        <v/>
      </c>
      <c r="K827" s="7" t="str">
        <f>IF('RFQ-Input'!K826="","",'RFQ-Input'!K826)</f>
        <v/>
      </c>
      <c r="L827" s="7" t="str">
        <f>IF('RFQ-Input'!L826="","",'RFQ-Input'!L826)</f>
        <v/>
      </c>
      <c r="M827" s="7" t="str">
        <f>IF('RFQ-Input'!M826="","",'RFQ-Input'!M826)</f>
        <v/>
      </c>
      <c r="N827" s="7" t="str">
        <f>IF('RFQ-Input'!N826="","",'RFQ-Input'!N826)</f>
        <v/>
      </c>
      <c r="O827" s="7" t="str">
        <f>IF('RFQ-Input'!O826="","",'RFQ-Input'!O826)</f>
        <v/>
      </c>
      <c r="Q827" s="7"/>
      <c r="R827" s="7"/>
      <c r="S827" s="7"/>
      <c r="T827" s="7"/>
      <c r="U827" s="7"/>
      <c r="V827" s="7"/>
      <c r="X827" s="7"/>
      <c r="Y827" s="7"/>
      <c r="Z827" s="7"/>
      <c r="AA827" s="7" t="str">
        <f t="shared" si="84"/>
        <v/>
      </c>
      <c r="AB827" s="7"/>
      <c r="AC827" s="7"/>
      <c r="AQ827" s="7" t="str">
        <f t="shared" si="85"/>
        <v/>
      </c>
      <c r="AR827" s="7" t="str">
        <f t="shared" si="86"/>
        <v/>
      </c>
      <c r="AS827" s="7" t="str">
        <f t="shared" si="87"/>
        <v/>
      </c>
      <c r="AT827" s="7" t="str">
        <f t="shared" si="88"/>
        <v/>
      </c>
      <c r="AU827" s="7" t="str">
        <f t="shared" si="89"/>
        <v/>
      </c>
      <c r="AV827" s="7" t="str">
        <f t="shared" si="90"/>
        <v/>
      </c>
      <c r="AW827" s="7" t="str">
        <f>IF('RFQ-Input'!O826="","",'RFQ-Input'!O826)</f>
        <v/>
      </c>
      <c r="AX827" s="7" t="str">
        <f>IF('RFQ-Input'!S826="","",'RFQ-Input'!S826)</f>
        <v/>
      </c>
      <c r="AY827" s="7" t="str">
        <f>IF('RFQ-Input'!V826="","",'RFQ-Input'!V826)</f>
        <v/>
      </c>
      <c r="AZ827" s="7" t="str">
        <f>IF('RFQ-Input'!Y826="","",'RFQ-Input'!Y826)</f>
        <v/>
      </c>
      <c r="BA827" s="7" t="str">
        <f>IF('RFQ-Input'!AB826="","",'RFQ-Input'!AB826)</f>
        <v/>
      </c>
    </row>
    <row r="828" spans="1:53">
      <c r="A828" s="20">
        <v>824</v>
      </c>
      <c r="B828" s="7"/>
      <c r="C828" s="7" t="str">
        <f>IF('RFQ-Input'!C827="","",'RFQ-Input'!C827)</f>
        <v/>
      </c>
      <c r="D828" s="7" t="str">
        <f>IF('RFQ-Input'!D827="","",'RFQ-Input'!D827)</f>
        <v/>
      </c>
      <c r="E828" s="7" t="str">
        <f>IF('RFQ-Input'!E827="","",'RFQ-Input'!E827)</f>
        <v/>
      </c>
      <c r="F828" s="7" t="str">
        <f>IF('RFQ-Input'!F827="","",'RFQ-Input'!F827)</f>
        <v/>
      </c>
      <c r="G828" s="7" t="str">
        <f>IF('RFQ-Input'!G827="","",'RFQ-Input'!G827)</f>
        <v/>
      </c>
      <c r="H828" s="7" t="str">
        <f>IF('RFQ-Input'!H827="","",'RFQ-Input'!H827)</f>
        <v/>
      </c>
      <c r="I828" s="7" t="str">
        <f>IF('RFQ-Input'!I827="","",'RFQ-Input'!I827)</f>
        <v/>
      </c>
      <c r="J828" s="7" t="str">
        <f>IF('RFQ-Input'!J827="","",'RFQ-Input'!J827)</f>
        <v/>
      </c>
      <c r="K828" s="7" t="str">
        <f>IF('RFQ-Input'!K827="","",'RFQ-Input'!K827)</f>
        <v/>
      </c>
      <c r="L828" s="7" t="str">
        <f>IF('RFQ-Input'!L827="","",'RFQ-Input'!L827)</f>
        <v/>
      </c>
      <c r="M828" s="7" t="str">
        <f>IF('RFQ-Input'!M827="","",'RFQ-Input'!M827)</f>
        <v/>
      </c>
      <c r="N828" s="7" t="str">
        <f>IF('RFQ-Input'!N827="","",'RFQ-Input'!N827)</f>
        <v/>
      </c>
      <c r="O828" s="7" t="str">
        <f>IF('RFQ-Input'!O827="","",'RFQ-Input'!O827)</f>
        <v/>
      </c>
      <c r="Q828" s="7"/>
      <c r="R828" s="7"/>
      <c r="S828" s="7"/>
      <c r="T828" s="7"/>
      <c r="U828" s="7"/>
      <c r="V828" s="7"/>
      <c r="X828" s="7"/>
      <c r="Y828" s="7"/>
      <c r="Z828" s="7"/>
      <c r="AA828" s="7" t="str">
        <f t="shared" si="84"/>
        <v/>
      </c>
      <c r="AB828" s="7"/>
      <c r="AC828" s="7"/>
      <c r="AQ828" s="7" t="str">
        <f t="shared" si="85"/>
        <v/>
      </c>
      <c r="AR828" s="7" t="str">
        <f t="shared" si="86"/>
        <v/>
      </c>
      <c r="AS828" s="7" t="str">
        <f t="shared" si="87"/>
        <v/>
      </c>
      <c r="AT828" s="7" t="str">
        <f t="shared" si="88"/>
        <v/>
      </c>
      <c r="AU828" s="7" t="str">
        <f t="shared" si="89"/>
        <v/>
      </c>
      <c r="AV828" s="7" t="str">
        <f t="shared" si="90"/>
        <v/>
      </c>
      <c r="AW828" s="7" t="str">
        <f>IF('RFQ-Input'!O827="","",'RFQ-Input'!O827)</f>
        <v/>
      </c>
      <c r="AX828" s="7" t="str">
        <f>IF('RFQ-Input'!S827="","",'RFQ-Input'!S827)</f>
        <v/>
      </c>
      <c r="AY828" s="7" t="str">
        <f>IF('RFQ-Input'!V827="","",'RFQ-Input'!V827)</f>
        <v/>
      </c>
      <c r="AZ828" s="7" t="str">
        <f>IF('RFQ-Input'!Y827="","",'RFQ-Input'!Y827)</f>
        <v/>
      </c>
      <c r="BA828" s="7" t="str">
        <f>IF('RFQ-Input'!AB827="","",'RFQ-Input'!AB827)</f>
        <v/>
      </c>
    </row>
    <row r="829" spans="1:53">
      <c r="A829" s="20">
        <v>825</v>
      </c>
      <c r="B829" s="7"/>
      <c r="C829" s="7" t="str">
        <f>IF('RFQ-Input'!C828="","",'RFQ-Input'!C828)</f>
        <v/>
      </c>
      <c r="D829" s="7" t="str">
        <f>IF('RFQ-Input'!D828="","",'RFQ-Input'!D828)</f>
        <v/>
      </c>
      <c r="E829" s="7" t="str">
        <f>IF('RFQ-Input'!E828="","",'RFQ-Input'!E828)</f>
        <v/>
      </c>
      <c r="F829" s="7" t="str">
        <f>IF('RFQ-Input'!F828="","",'RFQ-Input'!F828)</f>
        <v/>
      </c>
      <c r="G829" s="7" t="str">
        <f>IF('RFQ-Input'!G828="","",'RFQ-Input'!G828)</f>
        <v/>
      </c>
      <c r="H829" s="7" t="str">
        <f>IF('RFQ-Input'!H828="","",'RFQ-Input'!H828)</f>
        <v/>
      </c>
      <c r="I829" s="7" t="str">
        <f>IF('RFQ-Input'!I828="","",'RFQ-Input'!I828)</f>
        <v/>
      </c>
      <c r="J829" s="7" t="str">
        <f>IF('RFQ-Input'!J828="","",'RFQ-Input'!J828)</f>
        <v/>
      </c>
      <c r="K829" s="7" t="str">
        <f>IF('RFQ-Input'!K828="","",'RFQ-Input'!K828)</f>
        <v/>
      </c>
      <c r="L829" s="7" t="str">
        <f>IF('RFQ-Input'!L828="","",'RFQ-Input'!L828)</f>
        <v/>
      </c>
      <c r="M829" s="7" t="str">
        <f>IF('RFQ-Input'!M828="","",'RFQ-Input'!M828)</f>
        <v/>
      </c>
      <c r="N829" s="7" t="str">
        <f>IF('RFQ-Input'!N828="","",'RFQ-Input'!N828)</f>
        <v/>
      </c>
      <c r="O829" s="7" t="str">
        <f>IF('RFQ-Input'!O828="","",'RFQ-Input'!O828)</f>
        <v/>
      </c>
      <c r="Q829" s="7"/>
      <c r="R829" s="7"/>
      <c r="S829" s="7"/>
      <c r="T829" s="7"/>
      <c r="U829" s="7"/>
      <c r="V829" s="7"/>
      <c r="X829" s="7"/>
      <c r="Y829" s="7"/>
      <c r="Z829" s="7"/>
      <c r="AA829" s="7" t="str">
        <f t="shared" si="84"/>
        <v/>
      </c>
      <c r="AB829" s="7"/>
      <c r="AC829" s="7"/>
      <c r="AQ829" s="7" t="str">
        <f t="shared" si="85"/>
        <v/>
      </c>
      <c r="AR829" s="7" t="str">
        <f t="shared" si="86"/>
        <v/>
      </c>
      <c r="AS829" s="7" t="str">
        <f t="shared" si="87"/>
        <v/>
      </c>
      <c r="AT829" s="7" t="str">
        <f t="shared" si="88"/>
        <v/>
      </c>
      <c r="AU829" s="7" t="str">
        <f t="shared" si="89"/>
        <v/>
      </c>
      <c r="AV829" s="7" t="str">
        <f t="shared" si="90"/>
        <v/>
      </c>
      <c r="AW829" s="7" t="str">
        <f>IF('RFQ-Input'!O828="","",'RFQ-Input'!O828)</f>
        <v/>
      </c>
      <c r="AX829" s="7" t="str">
        <f>IF('RFQ-Input'!S828="","",'RFQ-Input'!S828)</f>
        <v/>
      </c>
      <c r="AY829" s="7" t="str">
        <f>IF('RFQ-Input'!V828="","",'RFQ-Input'!V828)</f>
        <v/>
      </c>
      <c r="AZ829" s="7" t="str">
        <f>IF('RFQ-Input'!Y828="","",'RFQ-Input'!Y828)</f>
        <v/>
      </c>
      <c r="BA829" s="7" t="str">
        <f>IF('RFQ-Input'!AB828="","",'RFQ-Input'!AB828)</f>
        <v/>
      </c>
    </row>
    <row r="830" spans="1:53">
      <c r="A830" s="20">
        <v>826</v>
      </c>
      <c r="B830" s="7"/>
      <c r="C830" s="7" t="str">
        <f>IF('RFQ-Input'!C829="","",'RFQ-Input'!C829)</f>
        <v/>
      </c>
      <c r="D830" s="7" t="str">
        <f>IF('RFQ-Input'!D829="","",'RFQ-Input'!D829)</f>
        <v/>
      </c>
      <c r="E830" s="7" t="str">
        <f>IF('RFQ-Input'!E829="","",'RFQ-Input'!E829)</f>
        <v/>
      </c>
      <c r="F830" s="7" t="str">
        <f>IF('RFQ-Input'!F829="","",'RFQ-Input'!F829)</f>
        <v/>
      </c>
      <c r="G830" s="7" t="str">
        <f>IF('RFQ-Input'!G829="","",'RFQ-Input'!G829)</f>
        <v/>
      </c>
      <c r="H830" s="7" t="str">
        <f>IF('RFQ-Input'!H829="","",'RFQ-Input'!H829)</f>
        <v/>
      </c>
      <c r="I830" s="7" t="str">
        <f>IF('RFQ-Input'!I829="","",'RFQ-Input'!I829)</f>
        <v/>
      </c>
      <c r="J830" s="7" t="str">
        <f>IF('RFQ-Input'!J829="","",'RFQ-Input'!J829)</f>
        <v/>
      </c>
      <c r="K830" s="7" t="str">
        <f>IF('RFQ-Input'!K829="","",'RFQ-Input'!K829)</f>
        <v/>
      </c>
      <c r="L830" s="7" t="str">
        <f>IF('RFQ-Input'!L829="","",'RFQ-Input'!L829)</f>
        <v/>
      </c>
      <c r="M830" s="7" t="str">
        <f>IF('RFQ-Input'!M829="","",'RFQ-Input'!M829)</f>
        <v/>
      </c>
      <c r="N830" s="7" t="str">
        <f>IF('RFQ-Input'!N829="","",'RFQ-Input'!N829)</f>
        <v/>
      </c>
      <c r="O830" s="7" t="str">
        <f>IF('RFQ-Input'!O829="","",'RFQ-Input'!O829)</f>
        <v/>
      </c>
      <c r="Q830" s="7"/>
      <c r="R830" s="7"/>
      <c r="S830" s="7"/>
      <c r="T830" s="7"/>
      <c r="U830" s="7"/>
      <c r="V830" s="7"/>
      <c r="X830" s="7"/>
      <c r="Y830" s="7"/>
      <c r="Z830" s="7"/>
      <c r="AA830" s="7" t="str">
        <f t="shared" si="84"/>
        <v/>
      </c>
      <c r="AB830" s="7"/>
      <c r="AC830" s="7"/>
      <c r="AQ830" s="7" t="str">
        <f t="shared" si="85"/>
        <v/>
      </c>
      <c r="AR830" s="7" t="str">
        <f t="shared" si="86"/>
        <v/>
      </c>
      <c r="AS830" s="7" t="str">
        <f t="shared" si="87"/>
        <v/>
      </c>
      <c r="AT830" s="7" t="str">
        <f t="shared" si="88"/>
        <v/>
      </c>
      <c r="AU830" s="7" t="str">
        <f t="shared" si="89"/>
        <v/>
      </c>
      <c r="AV830" s="7" t="str">
        <f t="shared" si="90"/>
        <v/>
      </c>
      <c r="AW830" s="7" t="str">
        <f>IF('RFQ-Input'!O829="","",'RFQ-Input'!O829)</f>
        <v/>
      </c>
      <c r="AX830" s="7" t="str">
        <f>IF('RFQ-Input'!S829="","",'RFQ-Input'!S829)</f>
        <v/>
      </c>
      <c r="AY830" s="7" t="str">
        <f>IF('RFQ-Input'!V829="","",'RFQ-Input'!V829)</f>
        <v/>
      </c>
      <c r="AZ830" s="7" t="str">
        <f>IF('RFQ-Input'!Y829="","",'RFQ-Input'!Y829)</f>
        <v/>
      </c>
      <c r="BA830" s="7" t="str">
        <f>IF('RFQ-Input'!AB829="","",'RFQ-Input'!AB829)</f>
        <v/>
      </c>
    </row>
    <row r="831" spans="1:53">
      <c r="A831" s="20">
        <v>827</v>
      </c>
      <c r="B831" s="7"/>
      <c r="C831" s="7" t="str">
        <f>IF('RFQ-Input'!C830="","",'RFQ-Input'!C830)</f>
        <v/>
      </c>
      <c r="D831" s="7" t="str">
        <f>IF('RFQ-Input'!D830="","",'RFQ-Input'!D830)</f>
        <v/>
      </c>
      <c r="E831" s="7" t="str">
        <f>IF('RFQ-Input'!E830="","",'RFQ-Input'!E830)</f>
        <v/>
      </c>
      <c r="F831" s="7" t="str">
        <f>IF('RFQ-Input'!F830="","",'RFQ-Input'!F830)</f>
        <v/>
      </c>
      <c r="G831" s="7" t="str">
        <f>IF('RFQ-Input'!G830="","",'RFQ-Input'!G830)</f>
        <v/>
      </c>
      <c r="H831" s="7" t="str">
        <f>IF('RFQ-Input'!H830="","",'RFQ-Input'!H830)</f>
        <v/>
      </c>
      <c r="I831" s="7" t="str">
        <f>IF('RFQ-Input'!I830="","",'RFQ-Input'!I830)</f>
        <v/>
      </c>
      <c r="J831" s="7" t="str">
        <f>IF('RFQ-Input'!J830="","",'RFQ-Input'!J830)</f>
        <v/>
      </c>
      <c r="K831" s="7" t="str">
        <f>IF('RFQ-Input'!K830="","",'RFQ-Input'!K830)</f>
        <v/>
      </c>
      <c r="L831" s="7" t="str">
        <f>IF('RFQ-Input'!L830="","",'RFQ-Input'!L830)</f>
        <v/>
      </c>
      <c r="M831" s="7" t="str">
        <f>IF('RFQ-Input'!M830="","",'RFQ-Input'!M830)</f>
        <v/>
      </c>
      <c r="N831" s="7" t="str">
        <f>IF('RFQ-Input'!N830="","",'RFQ-Input'!N830)</f>
        <v/>
      </c>
      <c r="O831" s="7" t="str">
        <f>IF('RFQ-Input'!O830="","",'RFQ-Input'!O830)</f>
        <v/>
      </c>
      <c r="Q831" s="7"/>
      <c r="R831" s="7"/>
      <c r="S831" s="7"/>
      <c r="T831" s="7"/>
      <c r="U831" s="7"/>
      <c r="V831" s="7"/>
      <c r="X831" s="7"/>
      <c r="Y831" s="7"/>
      <c r="Z831" s="7"/>
      <c r="AA831" s="7" t="str">
        <f t="shared" si="84"/>
        <v/>
      </c>
      <c r="AB831" s="7"/>
      <c r="AC831" s="7"/>
      <c r="AQ831" s="7" t="str">
        <f t="shared" si="85"/>
        <v/>
      </c>
      <c r="AR831" s="7" t="str">
        <f t="shared" si="86"/>
        <v/>
      </c>
      <c r="AS831" s="7" t="str">
        <f t="shared" si="87"/>
        <v/>
      </c>
      <c r="AT831" s="7" t="str">
        <f t="shared" si="88"/>
        <v/>
      </c>
      <c r="AU831" s="7" t="str">
        <f t="shared" si="89"/>
        <v/>
      </c>
      <c r="AV831" s="7" t="str">
        <f t="shared" si="90"/>
        <v/>
      </c>
      <c r="AW831" s="7" t="str">
        <f>IF('RFQ-Input'!O830="","",'RFQ-Input'!O830)</f>
        <v/>
      </c>
      <c r="AX831" s="7" t="str">
        <f>IF('RFQ-Input'!S830="","",'RFQ-Input'!S830)</f>
        <v/>
      </c>
      <c r="AY831" s="7" t="str">
        <f>IF('RFQ-Input'!V830="","",'RFQ-Input'!V830)</f>
        <v/>
      </c>
      <c r="AZ831" s="7" t="str">
        <f>IF('RFQ-Input'!Y830="","",'RFQ-Input'!Y830)</f>
        <v/>
      </c>
      <c r="BA831" s="7" t="str">
        <f>IF('RFQ-Input'!AB830="","",'RFQ-Input'!AB830)</f>
        <v/>
      </c>
    </row>
    <row r="832" spans="1:53">
      <c r="A832" s="20">
        <v>828</v>
      </c>
      <c r="B832" s="7"/>
      <c r="C832" s="7" t="str">
        <f>IF('RFQ-Input'!C831="","",'RFQ-Input'!C831)</f>
        <v/>
      </c>
      <c r="D832" s="7" t="str">
        <f>IF('RFQ-Input'!D831="","",'RFQ-Input'!D831)</f>
        <v/>
      </c>
      <c r="E832" s="7" t="str">
        <f>IF('RFQ-Input'!E831="","",'RFQ-Input'!E831)</f>
        <v/>
      </c>
      <c r="F832" s="7" t="str">
        <f>IF('RFQ-Input'!F831="","",'RFQ-Input'!F831)</f>
        <v/>
      </c>
      <c r="G832" s="7" t="str">
        <f>IF('RFQ-Input'!G831="","",'RFQ-Input'!G831)</f>
        <v/>
      </c>
      <c r="H832" s="7" t="str">
        <f>IF('RFQ-Input'!H831="","",'RFQ-Input'!H831)</f>
        <v/>
      </c>
      <c r="I832" s="7" t="str">
        <f>IF('RFQ-Input'!I831="","",'RFQ-Input'!I831)</f>
        <v/>
      </c>
      <c r="J832" s="7" t="str">
        <f>IF('RFQ-Input'!J831="","",'RFQ-Input'!J831)</f>
        <v/>
      </c>
      <c r="K832" s="7" t="str">
        <f>IF('RFQ-Input'!K831="","",'RFQ-Input'!K831)</f>
        <v/>
      </c>
      <c r="L832" s="7" t="str">
        <f>IF('RFQ-Input'!L831="","",'RFQ-Input'!L831)</f>
        <v/>
      </c>
      <c r="M832" s="7" t="str">
        <f>IF('RFQ-Input'!M831="","",'RFQ-Input'!M831)</f>
        <v/>
      </c>
      <c r="N832" s="7" t="str">
        <f>IF('RFQ-Input'!N831="","",'RFQ-Input'!N831)</f>
        <v/>
      </c>
      <c r="O832" s="7" t="str">
        <f>IF('RFQ-Input'!O831="","",'RFQ-Input'!O831)</f>
        <v/>
      </c>
      <c r="Q832" s="7"/>
      <c r="R832" s="7"/>
      <c r="S832" s="7"/>
      <c r="T832" s="7"/>
      <c r="U832" s="7"/>
      <c r="V832" s="7"/>
      <c r="X832" s="7"/>
      <c r="Y832" s="7"/>
      <c r="Z832" s="7"/>
      <c r="AA832" s="7" t="str">
        <f t="shared" si="84"/>
        <v/>
      </c>
      <c r="AB832" s="7"/>
      <c r="AC832" s="7"/>
      <c r="AQ832" s="7" t="str">
        <f t="shared" si="85"/>
        <v/>
      </c>
      <c r="AR832" s="7" t="str">
        <f t="shared" si="86"/>
        <v/>
      </c>
      <c r="AS832" s="7" t="str">
        <f t="shared" si="87"/>
        <v/>
      </c>
      <c r="AT832" s="7" t="str">
        <f t="shared" si="88"/>
        <v/>
      </c>
      <c r="AU832" s="7" t="str">
        <f t="shared" si="89"/>
        <v/>
      </c>
      <c r="AV832" s="7" t="str">
        <f t="shared" si="90"/>
        <v/>
      </c>
      <c r="AW832" s="7" t="str">
        <f>IF('RFQ-Input'!O831="","",'RFQ-Input'!O831)</f>
        <v/>
      </c>
      <c r="AX832" s="7" t="str">
        <f>IF('RFQ-Input'!S831="","",'RFQ-Input'!S831)</f>
        <v/>
      </c>
      <c r="AY832" s="7" t="str">
        <f>IF('RFQ-Input'!V831="","",'RFQ-Input'!V831)</f>
        <v/>
      </c>
      <c r="AZ832" s="7" t="str">
        <f>IF('RFQ-Input'!Y831="","",'RFQ-Input'!Y831)</f>
        <v/>
      </c>
      <c r="BA832" s="7" t="str">
        <f>IF('RFQ-Input'!AB831="","",'RFQ-Input'!AB831)</f>
        <v/>
      </c>
    </row>
    <row r="833" spans="1:53">
      <c r="A833" s="20">
        <v>829</v>
      </c>
      <c r="B833" s="7"/>
      <c r="C833" s="7" t="str">
        <f>IF('RFQ-Input'!C832="","",'RFQ-Input'!C832)</f>
        <v/>
      </c>
      <c r="D833" s="7" t="str">
        <f>IF('RFQ-Input'!D832="","",'RFQ-Input'!D832)</f>
        <v/>
      </c>
      <c r="E833" s="7" t="str">
        <f>IF('RFQ-Input'!E832="","",'RFQ-Input'!E832)</f>
        <v/>
      </c>
      <c r="F833" s="7" t="str">
        <f>IF('RFQ-Input'!F832="","",'RFQ-Input'!F832)</f>
        <v/>
      </c>
      <c r="G833" s="7" t="str">
        <f>IF('RFQ-Input'!G832="","",'RFQ-Input'!G832)</f>
        <v/>
      </c>
      <c r="H833" s="7" t="str">
        <f>IF('RFQ-Input'!H832="","",'RFQ-Input'!H832)</f>
        <v/>
      </c>
      <c r="I833" s="7" t="str">
        <f>IF('RFQ-Input'!I832="","",'RFQ-Input'!I832)</f>
        <v/>
      </c>
      <c r="J833" s="7" t="str">
        <f>IF('RFQ-Input'!J832="","",'RFQ-Input'!J832)</f>
        <v/>
      </c>
      <c r="K833" s="7" t="str">
        <f>IF('RFQ-Input'!K832="","",'RFQ-Input'!K832)</f>
        <v/>
      </c>
      <c r="L833" s="7" t="str">
        <f>IF('RFQ-Input'!L832="","",'RFQ-Input'!L832)</f>
        <v/>
      </c>
      <c r="M833" s="7" t="str">
        <f>IF('RFQ-Input'!M832="","",'RFQ-Input'!M832)</f>
        <v/>
      </c>
      <c r="N833" s="7" t="str">
        <f>IF('RFQ-Input'!N832="","",'RFQ-Input'!N832)</f>
        <v/>
      </c>
      <c r="O833" s="7" t="str">
        <f>IF('RFQ-Input'!O832="","",'RFQ-Input'!O832)</f>
        <v/>
      </c>
      <c r="Q833" s="7"/>
      <c r="R833" s="7"/>
      <c r="S833" s="7"/>
      <c r="T833" s="7"/>
      <c r="U833" s="7"/>
      <c r="V833" s="7"/>
      <c r="X833" s="7"/>
      <c r="Y833" s="7"/>
      <c r="Z833" s="7"/>
      <c r="AA833" s="7" t="str">
        <f t="shared" si="84"/>
        <v/>
      </c>
      <c r="AB833" s="7"/>
      <c r="AC833" s="7"/>
      <c r="AQ833" s="7" t="str">
        <f t="shared" si="85"/>
        <v/>
      </c>
      <c r="AR833" s="7" t="str">
        <f t="shared" si="86"/>
        <v/>
      </c>
      <c r="AS833" s="7" t="str">
        <f t="shared" si="87"/>
        <v/>
      </c>
      <c r="AT833" s="7" t="str">
        <f t="shared" si="88"/>
        <v/>
      </c>
      <c r="AU833" s="7" t="str">
        <f t="shared" si="89"/>
        <v/>
      </c>
      <c r="AV833" s="7" t="str">
        <f t="shared" si="90"/>
        <v/>
      </c>
      <c r="AW833" s="7" t="str">
        <f>IF('RFQ-Input'!O832="","",'RFQ-Input'!O832)</f>
        <v/>
      </c>
      <c r="AX833" s="7" t="str">
        <f>IF('RFQ-Input'!S832="","",'RFQ-Input'!S832)</f>
        <v/>
      </c>
      <c r="AY833" s="7" t="str">
        <f>IF('RFQ-Input'!V832="","",'RFQ-Input'!V832)</f>
        <v/>
      </c>
      <c r="AZ833" s="7" t="str">
        <f>IF('RFQ-Input'!Y832="","",'RFQ-Input'!Y832)</f>
        <v/>
      </c>
      <c r="BA833" s="7" t="str">
        <f>IF('RFQ-Input'!AB832="","",'RFQ-Input'!AB832)</f>
        <v/>
      </c>
    </row>
    <row r="834" spans="1:53">
      <c r="A834" s="20">
        <v>830</v>
      </c>
      <c r="B834" s="7"/>
      <c r="C834" s="7" t="str">
        <f>IF('RFQ-Input'!C833="","",'RFQ-Input'!C833)</f>
        <v/>
      </c>
      <c r="D834" s="7" t="str">
        <f>IF('RFQ-Input'!D833="","",'RFQ-Input'!D833)</f>
        <v/>
      </c>
      <c r="E834" s="7" t="str">
        <f>IF('RFQ-Input'!E833="","",'RFQ-Input'!E833)</f>
        <v/>
      </c>
      <c r="F834" s="7" t="str">
        <f>IF('RFQ-Input'!F833="","",'RFQ-Input'!F833)</f>
        <v/>
      </c>
      <c r="G834" s="7" t="str">
        <f>IF('RFQ-Input'!G833="","",'RFQ-Input'!G833)</f>
        <v/>
      </c>
      <c r="H834" s="7" t="str">
        <f>IF('RFQ-Input'!H833="","",'RFQ-Input'!H833)</f>
        <v/>
      </c>
      <c r="I834" s="7" t="str">
        <f>IF('RFQ-Input'!I833="","",'RFQ-Input'!I833)</f>
        <v/>
      </c>
      <c r="J834" s="7" t="str">
        <f>IF('RFQ-Input'!J833="","",'RFQ-Input'!J833)</f>
        <v/>
      </c>
      <c r="K834" s="7" t="str">
        <f>IF('RFQ-Input'!K833="","",'RFQ-Input'!K833)</f>
        <v/>
      </c>
      <c r="L834" s="7" t="str">
        <f>IF('RFQ-Input'!L833="","",'RFQ-Input'!L833)</f>
        <v/>
      </c>
      <c r="M834" s="7" t="str">
        <f>IF('RFQ-Input'!M833="","",'RFQ-Input'!M833)</f>
        <v/>
      </c>
      <c r="N834" s="7" t="str">
        <f>IF('RFQ-Input'!N833="","",'RFQ-Input'!N833)</f>
        <v/>
      </c>
      <c r="O834" s="7" t="str">
        <f>IF('RFQ-Input'!O833="","",'RFQ-Input'!O833)</f>
        <v/>
      </c>
      <c r="Q834" s="7"/>
      <c r="R834" s="7"/>
      <c r="S834" s="7"/>
      <c r="T834" s="7"/>
      <c r="U834" s="7"/>
      <c r="V834" s="7"/>
      <c r="X834" s="7"/>
      <c r="Y834" s="7"/>
      <c r="Z834" s="7"/>
      <c r="AA834" s="7" t="str">
        <f t="shared" si="84"/>
        <v/>
      </c>
      <c r="AB834" s="7"/>
      <c r="AC834" s="7"/>
      <c r="AQ834" s="7" t="str">
        <f t="shared" si="85"/>
        <v/>
      </c>
      <c r="AR834" s="7" t="str">
        <f t="shared" si="86"/>
        <v/>
      </c>
      <c r="AS834" s="7" t="str">
        <f t="shared" si="87"/>
        <v/>
      </c>
      <c r="AT834" s="7" t="str">
        <f t="shared" si="88"/>
        <v/>
      </c>
      <c r="AU834" s="7" t="str">
        <f t="shared" si="89"/>
        <v/>
      </c>
      <c r="AV834" s="7" t="str">
        <f t="shared" si="90"/>
        <v/>
      </c>
      <c r="AW834" s="7" t="str">
        <f>IF('RFQ-Input'!O833="","",'RFQ-Input'!O833)</f>
        <v/>
      </c>
      <c r="AX834" s="7" t="str">
        <f>IF('RFQ-Input'!S833="","",'RFQ-Input'!S833)</f>
        <v/>
      </c>
      <c r="AY834" s="7" t="str">
        <f>IF('RFQ-Input'!V833="","",'RFQ-Input'!V833)</f>
        <v/>
      </c>
      <c r="AZ834" s="7" t="str">
        <f>IF('RFQ-Input'!Y833="","",'RFQ-Input'!Y833)</f>
        <v/>
      </c>
      <c r="BA834" s="7" t="str">
        <f>IF('RFQ-Input'!AB833="","",'RFQ-Input'!AB833)</f>
        <v/>
      </c>
    </row>
    <row r="835" spans="1:53">
      <c r="A835" s="20">
        <v>831</v>
      </c>
      <c r="B835" s="7"/>
      <c r="C835" s="7" t="str">
        <f>IF('RFQ-Input'!C834="","",'RFQ-Input'!C834)</f>
        <v/>
      </c>
      <c r="D835" s="7" t="str">
        <f>IF('RFQ-Input'!D834="","",'RFQ-Input'!D834)</f>
        <v/>
      </c>
      <c r="E835" s="7" t="str">
        <f>IF('RFQ-Input'!E834="","",'RFQ-Input'!E834)</f>
        <v/>
      </c>
      <c r="F835" s="7" t="str">
        <f>IF('RFQ-Input'!F834="","",'RFQ-Input'!F834)</f>
        <v/>
      </c>
      <c r="G835" s="7" t="str">
        <f>IF('RFQ-Input'!G834="","",'RFQ-Input'!G834)</f>
        <v/>
      </c>
      <c r="H835" s="7" t="str">
        <f>IF('RFQ-Input'!H834="","",'RFQ-Input'!H834)</f>
        <v/>
      </c>
      <c r="I835" s="7" t="str">
        <f>IF('RFQ-Input'!I834="","",'RFQ-Input'!I834)</f>
        <v/>
      </c>
      <c r="J835" s="7" t="str">
        <f>IF('RFQ-Input'!J834="","",'RFQ-Input'!J834)</f>
        <v/>
      </c>
      <c r="K835" s="7" t="str">
        <f>IF('RFQ-Input'!K834="","",'RFQ-Input'!K834)</f>
        <v/>
      </c>
      <c r="L835" s="7" t="str">
        <f>IF('RFQ-Input'!L834="","",'RFQ-Input'!L834)</f>
        <v/>
      </c>
      <c r="M835" s="7" t="str">
        <f>IF('RFQ-Input'!M834="","",'RFQ-Input'!M834)</f>
        <v/>
      </c>
      <c r="N835" s="7" t="str">
        <f>IF('RFQ-Input'!N834="","",'RFQ-Input'!N834)</f>
        <v/>
      </c>
      <c r="O835" s="7" t="str">
        <f>IF('RFQ-Input'!O834="","",'RFQ-Input'!O834)</f>
        <v/>
      </c>
      <c r="Q835" s="7"/>
      <c r="R835" s="7"/>
      <c r="S835" s="7"/>
      <c r="T835" s="7"/>
      <c r="U835" s="7"/>
      <c r="V835" s="7"/>
      <c r="X835" s="7"/>
      <c r="Y835" s="7"/>
      <c r="Z835" s="7"/>
      <c r="AA835" s="7" t="str">
        <f t="shared" si="84"/>
        <v/>
      </c>
      <c r="AB835" s="7"/>
      <c r="AC835" s="7"/>
      <c r="AQ835" s="7" t="str">
        <f t="shared" si="85"/>
        <v/>
      </c>
      <c r="AR835" s="7" t="str">
        <f t="shared" si="86"/>
        <v/>
      </c>
      <c r="AS835" s="7" t="str">
        <f t="shared" si="87"/>
        <v/>
      </c>
      <c r="AT835" s="7" t="str">
        <f t="shared" si="88"/>
        <v/>
      </c>
      <c r="AU835" s="7" t="str">
        <f t="shared" si="89"/>
        <v/>
      </c>
      <c r="AV835" s="7" t="str">
        <f t="shared" si="90"/>
        <v/>
      </c>
      <c r="AW835" s="7" t="str">
        <f>IF('RFQ-Input'!O834="","",'RFQ-Input'!O834)</f>
        <v/>
      </c>
      <c r="AX835" s="7" t="str">
        <f>IF('RFQ-Input'!S834="","",'RFQ-Input'!S834)</f>
        <v/>
      </c>
      <c r="AY835" s="7" t="str">
        <f>IF('RFQ-Input'!V834="","",'RFQ-Input'!V834)</f>
        <v/>
      </c>
      <c r="AZ835" s="7" t="str">
        <f>IF('RFQ-Input'!Y834="","",'RFQ-Input'!Y834)</f>
        <v/>
      </c>
      <c r="BA835" s="7" t="str">
        <f>IF('RFQ-Input'!AB834="","",'RFQ-Input'!AB834)</f>
        <v/>
      </c>
    </row>
    <row r="836" spans="1:53">
      <c r="A836" s="20">
        <v>832</v>
      </c>
      <c r="B836" s="7"/>
      <c r="C836" s="7" t="str">
        <f>IF('RFQ-Input'!C835="","",'RFQ-Input'!C835)</f>
        <v/>
      </c>
      <c r="D836" s="7" t="str">
        <f>IF('RFQ-Input'!D835="","",'RFQ-Input'!D835)</f>
        <v/>
      </c>
      <c r="E836" s="7" t="str">
        <f>IF('RFQ-Input'!E835="","",'RFQ-Input'!E835)</f>
        <v/>
      </c>
      <c r="F836" s="7" t="str">
        <f>IF('RFQ-Input'!F835="","",'RFQ-Input'!F835)</f>
        <v/>
      </c>
      <c r="G836" s="7" t="str">
        <f>IF('RFQ-Input'!G835="","",'RFQ-Input'!G835)</f>
        <v/>
      </c>
      <c r="H836" s="7" t="str">
        <f>IF('RFQ-Input'!H835="","",'RFQ-Input'!H835)</f>
        <v/>
      </c>
      <c r="I836" s="7" t="str">
        <f>IF('RFQ-Input'!I835="","",'RFQ-Input'!I835)</f>
        <v/>
      </c>
      <c r="J836" s="7" t="str">
        <f>IF('RFQ-Input'!J835="","",'RFQ-Input'!J835)</f>
        <v/>
      </c>
      <c r="K836" s="7" t="str">
        <f>IF('RFQ-Input'!K835="","",'RFQ-Input'!K835)</f>
        <v/>
      </c>
      <c r="L836" s="7" t="str">
        <f>IF('RFQ-Input'!L835="","",'RFQ-Input'!L835)</f>
        <v/>
      </c>
      <c r="M836" s="7" t="str">
        <f>IF('RFQ-Input'!M835="","",'RFQ-Input'!M835)</f>
        <v/>
      </c>
      <c r="N836" s="7" t="str">
        <f>IF('RFQ-Input'!N835="","",'RFQ-Input'!N835)</f>
        <v/>
      </c>
      <c r="O836" s="7" t="str">
        <f>IF('RFQ-Input'!O835="","",'RFQ-Input'!O835)</f>
        <v/>
      </c>
      <c r="Q836" s="7"/>
      <c r="R836" s="7"/>
      <c r="S836" s="7"/>
      <c r="T836" s="7"/>
      <c r="U836" s="7"/>
      <c r="V836" s="7"/>
      <c r="X836" s="7"/>
      <c r="Y836" s="7"/>
      <c r="Z836" s="7"/>
      <c r="AA836" s="7" t="str">
        <f t="shared" si="84"/>
        <v/>
      </c>
      <c r="AB836" s="7"/>
      <c r="AC836" s="7"/>
      <c r="AQ836" s="7" t="str">
        <f t="shared" si="85"/>
        <v/>
      </c>
      <c r="AR836" s="7" t="str">
        <f t="shared" si="86"/>
        <v/>
      </c>
      <c r="AS836" s="7" t="str">
        <f t="shared" si="87"/>
        <v/>
      </c>
      <c r="AT836" s="7" t="str">
        <f t="shared" si="88"/>
        <v/>
      </c>
      <c r="AU836" s="7" t="str">
        <f t="shared" si="89"/>
        <v/>
      </c>
      <c r="AV836" s="7" t="str">
        <f t="shared" si="90"/>
        <v/>
      </c>
      <c r="AW836" s="7" t="str">
        <f>IF('RFQ-Input'!O835="","",'RFQ-Input'!O835)</f>
        <v/>
      </c>
      <c r="AX836" s="7" t="str">
        <f>IF('RFQ-Input'!S835="","",'RFQ-Input'!S835)</f>
        <v/>
      </c>
      <c r="AY836" s="7" t="str">
        <f>IF('RFQ-Input'!V835="","",'RFQ-Input'!V835)</f>
        <v/>
      </c>
      <c r="AZ836" s="7" t="str">
        <f>IF('RFQ-Input'!Y835="","",'RFQ-Input'!Y835)</f>
        <v/>
      </c>
      <c r="BA836" s="7" t="str">
        <f>IF('RFQ-Input'!AB835="","",'RFQ-Input'!AB835)</f>
        <v/>
      </c>
    </row>
    <row r="837" spans="1:53">
      <c r="A837" s="20">
        <v>833</v>
      </c>
      <c r="B837" s="7"/>
      <c r="C837" s="7" t="str">
        <f>IF('RFQ-Input'!C836="","",'RFQ-Input'!C836)</f>
        <v/>
      </c>
      <c r="D837" s="7" t="str">
        <f>IF('RFQ-Input'!D836="","",'RFQ-Input'!D836)</f>
        <v/>
      </c>
      <c r="E837" s="7" t="str">
        <f>IF('RFQ-Input'!E836="","",'RFQ-Input'!E836)</f>
        <v/>
      </c>
      <c r="F837" s="7" t="str">
        <f>IF('RFQ-Input'!F836="","",'RFQ-Input'!F836)</f>
        <v/>
      </c>
      <c r="G837" s="7" t="str">
        <f>IF('RFQ-Input'!G836="","",'RFQ-Input'!G836)</f>
        <v/>
      </c>
      <c r="H837" s="7" t="str">
        <f>IF('RFQ-Input'!H836="","",'RFQ-Input'!H836)</f>
        <v/>
      </c>
      <c r="I837" s="7" t="str">
        <f>IF('RFQ-Input'!I836="","",'RFQ-Input'!I836)</f>
        <v/>
      </c>
      <c r="J837" s="7" t="str">
        <f>IF('RFQ-Input'!J836="","",'RFQ-Input'!J836)</f>
        <v/>
      </c>
      <c r="K837" s="7" t="str">
        <f>IF('RFQ-Input'!K836="","",'RFQ-Input'!K836)</f>
        <v/>
      </c>
      <c r="L837" s="7" t="str">
        <f>IF('RFQ-Input'!L836="","",'RFQ-Input'!L836)</f>
        <v/>
      </c>
      <c r="M837" s="7" t="str">
        <f>IF('RFQ-Input'!M836="","",'RFQ-Input'!M836)</f>
        <v/>
      </c>
      <c r="N837" s="7" t="str">
        <f>IF('RFQ-Input'!N836="","",'RFQ-Input'!N836)</f>
        <v/>
      </c>
      <c r="O837" s="7" t="str">
        <f>IF('RFQ-Input'!O836="","",'RFQ-Input'!O836)</f>
        <v/>
      </c>
      <c r="Q837" s="7"/>
      <c r="R837" s="7"/>
      <c r="S837" s="7"/>
      <c r="T837" s="7"/>
      <c r="U837" s="7"/>
      <c r="V837" s="7"/>
      <c r="X837" s="7"/>
      <c r="Y837" s="7"/>
      <c r="Z837" s="7"/>
      <c r="AA837" s="7" t="str">
        <f t="shared" ref="AA837:AA900" si="91">IF(AND(L837="",Y837=""),"",L837)</f>
        <v/>
      </c>
      <c r="AB837" s="7"/>
      <c r="AC837" s="7"/>
      <c r="AQ837" s="7" t="str">
        <f t="shared" si="85"/>
        <v/>
      </c>
      <c r="AR837" s="7" t="str">
        <f t="shared" si="86"/>
        <v/>
      </c>
      <c r="AS837" s="7" t="str">
        <f t="shared" si="87"/>
        <v/>
      </c>
      <c r="AT837" s="7" t="str">
        <f t="shared" si="88"/>
        <v/>
      </c>
      <c r="AU837" s="7" t="str">
        <f t="shared" si="89"/>
        <v/>
      </c>
      <c r="AV837" s="7" t="str">
        <f t="shared" si="90"/>
        <v/>
      </c>
      <c r="AW837" s="7" t="str">
        <f>IF('RFQ-Input'!O836="","",'RFQ-Input'!O836)</f>
        <v/>
      </c>
      <c r="AX837" s="7" t="str">
        <f>IF('RFQ-Input'!S836="","",'RFQ-Input'!S836)</f>
        <v/>
      </c>
      <c r="AY837" s="7" t="str">
        <f>IF('RFQ-Input'!V836="","",'RFQ-Input'!V836)</f>
        <v/>
      </c>
      <c r="AZ837" s="7" t="str">
        <f>IF('RFQ-Input'!Y836="","",'RFQ-Input'!Y836)</f>
        <v/>
      </c>
      <c r="BA837" s="7" t="str">
        <f>IF('RFQ-Input'!AB836="","",'RFQ-Input'!AB836)</f>
        <v/>
      </c>
    </row>
    <row r="838" spans="1:53">
      <c r="A838" s="20">
        <v>834</v>
      </c>
      <c r="B838" s="7"/>
      <c r="C838" s="7" t="str">
        <f>IF('RFQ-Input'!C837="","",'RFQ-Input'!C837)</f>
        <v/>
      </c>
      <c r="D838" s="7" t="str">
        <f>IF('RFQ-Input'!D837="","",'RFQ-Input'!D837)</f>
        <v/>
      </c>
      <c r="E838" s="7" t="str">
        <f>IF('RFQ-Input'!E837="","",'RFQ-Input'!E837)</f>
        <v/>
      </c>
      <c r="F838" s="7" t="str">
        <f>IF('RFQ-Input'!F837="","",'RFQ-Input'!F837)</f>
        <v/>
      </c>
      <c r="G838" s="7" t="str">
        <f>IF('RFQ-Input'!G837="","",'RFQ-Input'!G837)</f>
        <v/>
      </c>
      <c r="H838" s="7" t="str">
        <f>IF('RFQ-Input'!H837="","",'RFQ-Input'!H837)</f>
        <v/>
      </c>
      <c r="I838" s="7" t="str">
        <f>IF('RFQ-Input'!I837="","",'RFQ-Input'!I837)</f>
        <v/>
      </c>
      <c r="J838" s="7" t="str">
        <f>IF('RFQ-Input'!J837="","",'RFQ-Input'!J837)</f>
        <v/>
      </c>
      <c r="K838" s="7" t="str">
        <f>IF('RFQ-Input'!K837="","",'RFQ-Input'!K837)</f>
        <v/>
      </c>
      <c r="L838" s="7" t="str">
        <f>IF('RFQ-Input'!L837="","",'RFQ-Input'!L837)</f>
        <v/>
      </c>
      <c r="M838" s="7" t="str">
        <f>IF('RFQ-Input'!M837="","",'RFQ-Input'!M837)</f>
        <v/>
      </c>
      <c r="N838" s="7" t="str">
        <f>IF('RFQ-Input'!N837="","",'RFQ-Input'!N837)</f>
        <v/>
      </c>
      <c r="O838" s="7" t="str">
        <f>IF('RFQ-Input'!O837="","",'RFQ-Input'!O837)</f>
        <v/>
      </c>
      <c r="Q838" s="7"/>
      <c r="R838" s="7"/>
      <c r="S838" s="7"/>
      <c r="T838" s="7"/>
      <c r="U838" s="7"/>
      <c r="V838" s="7"/>
      <c r="X838" s="7"/>
      <c r="Y838" s="7"/>
      <c r="Z838" s="7"/>
      <c r="AA838" s="7" t="str">
        <f t="shared" si="91"/>
        <v/>
      </c>
      <c r="AB838" s="7"/>
      <c r="AC838" s="7"/>
      <c r="AQ838" s="7" t="str">
        <f t="shared" ref="AQ838:AQ901" si="92">IFERROR(SMALL($AW838:$CT838,1),"")</f>
        <v/>
      </c>
      <c r="AR838" s="7" t="str">
        <f t="shared" ref="AR838:AR901" si="93">IF(AQ838="","",INDEX($AW$4:$CT$4,MATCH(AQ838,$AW838:$CT838,0)))</f>
        <v/>
      </c>
      <c r="AS838" s="7" t="str">
        <f t="shared" ref="AS838:AS901" si="94">IFERROR(SMALL($AW838:$CT838,2),"")</f>
        <v/>
      </c>
      <c r="AT838" s="7" t="str">
        <f t="shared" ref="AT838:AT901" si="95">IF(AS838="","",INDEX($AW$4:$CT$4,MATCH(AS838,$AW838:$CT838,0)))</f>
        <v/>
      </c>
      <c r="AU838" s="7" t="str">
        <f t="shared" ref="AU838:AU901" si="96">IFERROR(SMALL($AW838:$CT838,3),"")</f>
        <v/>
      </c>
      <c r="AV838" s="7" t="str">
        <f t="shared" ref="AV838:AV901" si="97">IF(AU838="","",INDEX($AW$4:$CT$4,MATCH(AU838,$AW838:$CT838,0)))</f>
        <v/>
      </c>
      <c r="AW838" s="7" t="str">
        <f>IF('RFQ-Input'!O837="","",'RFQ-Input'!O837)</f>
        <v/>
      </c>
      <c r="AX838" s="7" t="str">
        <f>IF('RFQ-Input'!S837="","",'RFQ-Input'!S837)</f>
        <v/>
      </c>
      <c r="AY838" s="7" t="str">
        <f>IF('RFQ-Input'!V837="","",'RFQ-Input'!V837)</f>
        <v/>
      </c>
      <c r="AZ838" s="7" t="str">
        <f>IF('RFQ-Input'!Y837="","",'RFQ-Input'!Y837)</f>
        <v/>
      </c>
      <c r="BA838" s="7" t="str">
        <f>IF('RFQ-Input'!AB837="","",'RFQ-Input'!AB837)</f>
        <v/>
      </c>
    </row>
    <row r="839" spans="1:53">
      <c r="A839" s="20">
        <v>835</v>
      </c>
      <c r="B839" s="7"/>
      <c r="C839" s="7" t="str">
        <f>IF('RFQ-Input'!C838="","",'RFQ-Input'!C838)</f>
        <v/>
      </c>
      <c r="D839" s="7" t="str">
        <f>IF('RFQ-Input'!D838="","",'RFQ-Input'!D838)</f>
        <v/>
      </c>
      <c r="E839" s="7" t="str">
        <f>IF('RFQ-Input'!E838="","",'RFQ-Input'!E838)</f>
        <v/>
      </c>
      <c r="F839" s="7" t="str">
        <f>IF('RFQ-Input'!F838="","",'RFQ-Input'!F838)</f>
        <v/>
      </c>
      <c r="G839" s="7" t="str">
        <f>IF('RFQ-Input'!G838="","",'RFQ-Input'!G838)</f>
        <v/>
      </c>
      <c r="H839" s="7" t="str">
        <f>IF('RFQ-Input'!H838="","",'RFQ-Input'!H838)</f>
        <v/>
      </c>
      <c r="I839" s="7" t="str">
        <f>IF('RFQ-Input'!I838="","",'RFQ-Input'!I838)</f>
        <v/>
      </c>
      <c r="J839" s="7" t="str">
        <f>IF('RFQ-Input'!J838="","",'RFQ-Input'!J838)</f>
        <v/>
      </c>
      <c r="K839" s="7" t="str">
        <f>IF('RFQ-Input'!K838="","",'RFQ-Input'!K838)</f>
        <v/>
      </c>
      <c r="L839" s="7" t="str">
        <f>IF('RFQ-Input'!L838="","",'RFQ-Input'!L838)</f>
        <v/>
      </c>
      <c r="M839" s="7" t="str">
        <f>IF('RFQ-Input'!M838="","",'RFQ-Input'!M838)</f>
        <v/>
      </c>
      <c r="N839" s="7" t="str">
        <f>IF('RFQ-Input'!N838="","",'RFQ-Input'!N838)</f>
        <v/>
      </c>
      <c r="O839" s="7" t="str">
        <f>IF('RFQ-Input'!O838="","",'RFQ-Input'!O838)</f>
        <v/>
      </c>
      <c r="Q839" s="7"/>
      <c r="R839" s="7"/>
      <c r="S839" s="7"/>
      <c r="T839" s="7"/>
      <c r="U839" s="7"/>
      <c r="V839" s="7"/>
      <c r="X839" s="7"/>
      <c r="Y839" s="7"/>
      <c r="Z839" s="7"/>
      <c r="AA839" s="7" t="str">
        <f t="shared" si="91"/>
        <v/>
      </c>
      <c r="AB839" s="7"/>
      <c r="AC839" s="7"/>
      <c r="AQ839" s="7" t="str">
        <f t="shared" si="92"/>
        <v/>
      </c>
      <c r="AR839" s="7" t="str">
        <f t="shared" si="93"/>
        <v/>
      </c>
      <c r="AS839" s="7" t="str">
        <f t="shared" si="94"/>
        <v/>
      </c>
      <c r="AT839" s="7" t="str">
        <f t="shared" si="95"/>
        <v/>
      </c>
      <c r="AU839" s="7" t="str">
        <f t="shared" si="96"/>
        <v/>
      </c>
      <c r="AV839" s="7" t="str">
        <f t="shared" si="97"/>
        <v/>
      </c>
      <c r="AW839" s="7" t="str">
        <f>IF('RFQ-Input'!O838="","",'RFQ-Input'!O838)</f>
        <v/>
      </c>
      <c r="AX839" s="7" t="str">
        <f>IF('RFQ-Input'!S838="","",'RFQ-Input'!S838)</f>
        <v/>
      </c>
      <c r="AY839" s="7" t="str">
        <f>IF('RFQ-Input'!V838="","",'RFQ-Input'!V838)</f>
        <v/>
      </c>
      <c r="AZ839" s="7" t="str">
        <f>IF('RFQ-Input'!Y838="","",'RFQ-Input'!Y838)</f>
        <v/>
      </c>
      <c r="BA839" s="7" t="str">
        <f>IF('RFQ-Input'!AB838="","",'RFQ-Input'!AB838)</f>
        <v/>
      </c>
    </row>
    <row r="840" spans="1:53">
      <c r="A840" s="20">
        <v>836</v>
      </c>
      <c r="B840" s="7"/>
      <c r="C840" s="7" t="str">
        <f>IF('RFQ-Input'!C839="","",'RFQ-Input'!C839)</f>
        <v/>
      </c>
      <c r="D840" s="7" t="str">
        <f>IF('RFQ-Input'!D839="","",'RFQ-Input'!D839)</f>
        <v/>
      </c>
      <c r="E840" s="7" t="str">
        <f>IF('RFQ-Input'!E839="","",'RFQ-Input'!E839)</f>
        <v/>
      </c>
      <c r="F840" s="7" t="str">
        <f>IF('RFQ-Input'!F839="","",'RFQ-Input'!F839)</f>
        <v/>
      </c>
      <c r="G840" s="7" t="str">
        <f>IF('RFQ-Input'!G839="","",'RFQ-Input'!G839)</f>
        <v/>
      </c>
      <c r="H840" s="7" t="str">
        <f>IF('RFQ-Input'!H839="","",'RFQ-Input'!H839)</f>
        <v/>
      </c>
      <c r="I840" s="7" t="str">
        <f>IF('RFQ-Input'!I839="","",'RFQ-Input'!I839)</f>
        <v/>
      </c>
      <c r="J840" s="7" t="str">
        <f>IF('RFQ-Input'!J839="","",'RFQ-Input'!J839)</f>
        <v/>
      </c>
      <c r="K840" s="7" t="str">
        <f>IF('RFQ-Input'!K839="","",'RFQ-Input'!K839)</f>
        <v/>
      </c>
      <c r="L840" s="7" t="str">
        <f>IF('RFQ-Input'!L839="","",'RFQ-Input'!L839)</f>
        <v/>
      </c>
      <c r="M840" s="7" t="str">
        <f>IF('RFQ-Input'!M839="","",'RFQ-Input'!M839)</f>
        <v/>
      </c>
      <c r="N840" s="7" t="str">
        <f>IF('RFQ-Input'!N839="","",'RFQ-Input'!N839)</f>
        <v/>
      </c>
      <c r="O840" s="7" t="str">
        <f>IF('RFQ-Input'!O839="","",'RFQ-Input'!O839)</f>
        <v/>
      </c>
      <c r="Q840" s="7"/>
      <c r="R840" s="7"/>
      <c r="S840" s="7"/>
      <c r="T840" s="7"/>
      <c r="U840" s="7"/>
      <c r="V840" s="7"/>
      <c r="X840" s="7"/>
      <c r="Y840" s="7"/>
      <c r="Z840" s="7"/>
      <c r="AA840" s="7" t="str">
        <f t="shared" si="91"/>
        <v/>
      </c>
      <c r="AB840" s="7"/>
      <c r="AC840" s="7"/>
      <c r="AQ840" s="7" t="str">
        <f t="shared" si="92"/>
        <v/>
      </c>
      <c r="AR840" s="7" t="str">
        <f t="shared" si="93"/>
        <v/>
      </c>
      <c r="AS840" s="7" t="str">
        <f t="shared" si="94"/>
        <v/>
      </c>
      <c r="AT840" s="7" t="str">
        <f t="shared" si="95"/>
        <v/>
      </c>
      <c r="AU840" s="7" t="str">
        <f t="shared" si="96"/>
        <v/>
      </c>
      <c r="AV840" s="7" t="str">
        <f t="shared" si="97"/>
        <v/>
      </c>
      <c r="AW840" s="7" t="str">
        <f>IF('RFQ-Input'!O839="","",'RFQ-Input'!O839)</f>
        <v/>
      </c>
      <c r="AX840" s="7" t="str">
        <f>IF('RFQ-Input'!S839="","",'RFQ-Input'!S839)</f>
        <v/>
      </c>
      <c r="AY840" s="7" t="str">
        <f>IF('RFQ-Input'!V839="","",'RFQ-Input'!V839)</f>
        <v/>
      </c>
      <c r="AZ840" s="7" t="str">
        <f>IF('RFQ-Input'!Y839="","",'RFQ-Input'!Y839)</f>
        <v/>
      </c>
      <c r="BA840" s="7" t="str">
        <f>IF('RFQ-Input'!AB839="","",'RFQ-Input'!AB839)</f>
        <v/>
      </c>
    </row>
    <row r="841" spans="1:53">
      <c r="A841" s="20">
        <v>837</v>
      </c>
      <c r="B841" s="7"/>
      <c r="C841" s="7" t="str">
        <f>IF('RFQ-Input'!C840="","",'RFQ-Input'!C840)</f>
        <v/>
      </c>
      <c r="D841" s="7" t="str">
        <f>IF('RFQ-Input'!D840="","",'RFQ-Input'!D840)</f>
        <v/>
      </c>
      <c r="E841" s="7" t="str">
        <f>IF('RFQ-Input'!E840="","",'RFQ-Input'!E840)</f>
        <v/>
      </c>
      <c r="F841" s="7" t="str">
        <f>IF('RFQ-Input'!F840="","",'RFQ-Input'!F840)</f>
        <v/>
      </c>
      <c r="G841" s="7" t="str">
        <f>IF('RFQ-Input'!G840="","",'RFQ-Input'!G840)</f>
        <v/>
      </c>
      <c r="H841" s="7" t="str">
        <f>IF('RFQ-Input'!H840="","",'RFQ-Input'!H840)</f>
        <v/>
      </c>
      <c r="I841" s="7" t="str">
        <f>IF('RFQ-Input'!I840="","",'RFQ-Input'!I840)</f>
        <v/>
      </c>
      <c r="J841" s="7" t="str">
        <f>IF('RFQ-Input'!J840="","",'RFQ-Input'!J840)</f>
        <v/>
      </c>
      <c r="K841" s="7" t="str">
        <f>IF('RFQ-Input'!K840="","",'RFQ-Input'!K840)</f>
        <v/>
      </c>
      <c r="L841" s="7" t="str">
        <f>IF('RFQ-Input'!L840="","",'RFQ-Input'!L840)</f>
        <v/>
      </c>
      <c r="M841" s="7" t="str">
        <f>IF('RFQ-Input'!M840="","",'RFQ-Input'!M840)</f>
        <v/>
      </c>
      <c r="N841" s="7" t="str">
        <f>IF('RFQ-Input'!N840="","",'RFQ-Input'!N840)</f>
        <v/>
      </c>
      <c r="O841" s="7" t="str">
        <f>IF('RFQ-Input'!O840="","",'RFQ-Input'!O840)</f>
        <v/>
      </c>
      <c r="Q841" s="7"/>
      <c r="R841" s="7"/>
      <c r="S841" s="7"/>
      <c r="T841" s="7"/>
      <c r="U841" s="7"/>
      <c r="V841" s="7"/>
      <c r="X841" s="7"/>
      <c r="Y841" s="7"/>
      <c r="Z841" s="7"/>
      <c r="AA841" s="7" t="str">
        <f t="shared" si="91"/>
        <v/>
      </c>
      <c r="AB841" s="7"/>
      <c r="AC841" s="7"/>
      <c r="AQ841" s="7" t="str">
        <f t="shared" si="92"/>
        <v/>
      </c>
      <c r="AR841" s="7" t="str">
        <f t="shared" si="93"/>
        <v/>
      </c>
      <c r="AS841" s="7" t="str">
        <f t="shared" si="94"/>
        <v/>
      </c>
      <c r="AT841" s="7" t="str">
        <f t="shared" si="95"/>
        <v/>
      </c>
      <c r="AU841" s="7" t="str">
        <f t="shared" si="96"/>
        <v/>
      </c>
      <c r="AV841" s="7" t="str">
        <f t="shared" si="97"/>
        <v/>
      </c>
      <c r="AW841" s="7" t="str">
        <f>IF('RFQ-Input'!O840="","",'RFQ-Input'!O840)</f>
        <v/>
      </c>
      <c r="AX841" s="7" t="str">
        <f>IF('RFQ-Input'!S840="","",'RFQ-Input'!S840)</f>
        <v/>
      </c>
      <c r="AY841" s="7" t="str">
        <f>IF('RFQ-Input'!V840="","",'RFQ-Input'!V840)</f>
        <v/>
      </c>
      <c r="AZ841" s="7" t="str">
        <f>IF('RFQ-Input'!Y840="","",'RFQ-Input'!Y840)</f>
        <v/>
      </c>
      <c r="BA841" s="7" t="str">
        <f>IF('RFQ-Input'!AB840="","",'RFQ-Input'!AB840)</f>
        <v/>
      </c>
    </row>
    <row r="842" spans="1:53">
      <c r="A842" s="20">
        <v>838</v>
      </c>
      <c r="B842" s="7"/>
      <c r="C842" s="7" t="str">
        <f>IF('RFQ-Input'!C841="","",'RFQ-Input'!C841)</f>
        <v/>
      </c>
      <c r="D842" s="7" t="str">
        <f>IF('RFQ-Input'!D841="","",'RFQ-Input'!D841)</f>
        <v/>
      </c>
      <c r="E842" s="7" t="str">
        <f>IF('RFQ-Input'!E841="","",'RFQ-Input'!E841)</f>
        <v/>
      </c>
      <c r="F842" s="7" t="str">
        <f>IF('RFQ-Input'!F841="","",'RFQ-Input'!F841)</f>
        <v/>
      </c>
      <c r="G842" s="7" t="str">
        <f>IF('RFQ-Input'!G841="","",'RFQ-Input'!G841)</f>
        <v/>
      </c>
      <c r="H842" s="7" t="str">
        <f>IF('RFQ-Input'!H841="","",'RFQ-Input'!H841)</f>
        <v/>
      </c>
      <c r="I842" s="7" t="str">
        <f>IF('RFQ-Input'!I841="","",'RFQ-Input'!I841)</f>
        <v/>
      </c>
      <c r="J842" s="7" t="str">
        <f>IF('RFQ-Input'!J841="","",'RFQ-Input'!J841)</f>
        <v/>
      </c>
      <c r="K842" s="7" t="str">
        <f>IF('RFQ-Input'!K841="","",'RFQ-Input'!K841)</f>
        <v/>
      </c>
      <c r="L842" s="7" t="str">
        <f>IF('RFQ-Input'!L841="","",'RFQ-Input'!L841)</f>
        <v/>
      </c>
      <c r="M842" s="7" t="str">
        <f>IF('RFQ-Input'!M841="","",'RFQ-Input'!M841)</f>
        <v/>
      </c>
      <c r="N842" s="7" t="str">
        <f>IF('RFQ-Input'!N841="","",'RFQ-Input'!N841)</f>
        <v/>
      </c>
      <c r="O842" s="7" t="str">
        <f>IF('RFQ-Input'!O841="","",'RFQ-Input'!O841)</f>
        <v/>
      </c>
      <c r="Q842" s="7"/>
      <c r="R842" s="7"/>
      <c r="S842" s="7"/>
      <c r="T842" s="7"/>
      <c r="U842" s="7"/>
      <c r="V842" s="7"/>
      <c r="X842" s="7"/>
      <c r="Y842" s="7"/>
      <c r="Z842" s="7"/>
      <c r="AA842" s="7" t="str">
        <f t="shared" si="91"/>
        <v/>
      </c>
      <c r="AB842" s="7"/>
      <c r="AC842" s="7"/>
      <c r="AQ842" s="7" t="str">
        <f t="shared" si="92"/>
        <v/>
      </c>
      <c r="AR842" s="7" t="str">
        <f t="shared" si="93"/>
        <v/>
      </c>
      <c r="AS842" s="7" t="str">
        <f t="shared" si="94"/>
        <v/>
      </c>
      <c r="AT842" s="7" t="str">
        <f t="shared" si="95"/>
        <v/>
      </c>
      <c r="AU842" s="7" t="str">
        <f t="shared" si="96"/>
        <v/>
      </c>
      <c r="AV842" s="7" t="str">
        <f t="shared" si="97"/>
        <v/>
      </c>
      <c r="AW842" s="7" t="str">
        <f>IF('RFQ-Input'!O841="","",'RFQ-Input'!O841)</f>
        <v/>
      </c>
      <c r="AX842" s="7" t="str">
        <f>IF('RFQ-Input'!S841="","",'RFQ-Input'!S841)</f>
        <v/>
      </c>
      <c r="AY842" s="7" t="str">
        <f>IF('RFQ-Input'!V841="","",'RFQ-Input'!V841)</f>
        <v/>
      </c>
      <c r="AZ842" s="7" t="str">
        <f>IF('RFQ-Input'!Y841="","",'RFQ-Input'!Y841)</f>
        <v/>
      </c>
      <c r="BA842" s="7" t="str">
        <f>IF('RFQ-Input'!AB841="","",'RFQ-Input'!AB841)</f>
        <v/>
      </c>
    </row>
    <row r="843" spans="1:53">
      <c r="A843" s="20">
        <v>839</v>
      </c>
      <c r="B843" s="7"/>
      <c r="C843" s="7" t="str">
        <f>IF('RFQ-Input'!C842="","",'RFQ-Input'!C842)</f>
        <v/>
      </c>
      <c r="D843" s="7" t="str">
        <f>IF('RFQ-Input'!D842="","",'RFQ-Input'!D842)</f>
        <v/>
      </c>
      <c r="E843" s="7" t="str">
        <f>IF('RFQ-Input'!E842="","",'RFQ-Input'!E842)</f>
        <v/>
      </c>
      <c r="F843" s="7" t="str">
        <f>IF('RFQ-Input'!F842="","",'RFQ-Input'!F842)</f>
        <v/>
      </c>
      <c r="G843" s="7" t="str">
        <f>IF('RFQ-Input'!G842="","",'RFQ-Input'!G842)</f>
        <v/>
      </c>
      <c r="H843" s="7" t="str">
        <f>IF('RFQ-Input'!H842="","",'RFQ-Input'!H842)</f>
        <v/>
      </c>
      <c r="I843" s="7" t="str">
        <f>IF('RFQ-Input'!I842="","",'RFQ-Input'!I842)</f>
        <v/>
      </c>
      <c r="J843" s="7" t="str">
        <f>IF('RFQ-Input'!J842="","",'RFQ-Input'!J842)</f>
        <v/>
      </c>
      <c r="K843" s="7" t="str">
        <f>IF('RFQ-Input'!K842="","",'RFQ-Input'!K842)</f>
        <v/>
      </c>
      <c r="L843" s="7" t="str">
        <f>IF('RFQ-Input'!L842="","",'RFQ-Input'!L842)</f>
        <v/>
      </c>
      <c r="M843" s="7" t="str">
        <f>IF('RFQ-Input'!M842="","",'RFQ-Input'!M842)</f>
        <v/>
      </c>
      <c r="N843" s="7" t="str">
        <f>IF('RFQ-Input'!N842="","",'RFQ-Input'!N842)</f>
        <v/>
      </c>
      <c r="O843" s="7" t="str">
        <f>IF('RFQ-Input'!O842="","",'RFQ-Input'!O842)</f>
        <v/>
      </c>
      <c r="Q843" s="7"/>
      <c r="R843" s="7"/>
      <c r="S843" s="7"/>
      <c r="T843" s="7"/>
      <c r="U843" s="7"/>
      <c r="V843" s="7"/>
      <c r="X843" s="7"/>
      <c r="Y843" s="7"/>
      <c r="Z843" s="7"/>
      <c r="AA843" s="7" t="str">
        <f t="shared" si="91"/>
        <v/>
      </c>
      <c r="AB843" s="7"/>
      <c r="AC843" s="7"/>
      <c r="AQ843" s="7" t="str">
        <f t="shared" si="92"/>
        <v/>
      </c>
      <c r="AR843" s="7" t="str">
        <f t="shared" si="93"/>
        <v/>
      </c>
      <c r="AS843" s="7" t="str">
        <f t="shared" si="94"/>
        <v/>
      </c>
      <c r="AT843" s="7" t="str">
        <f t="shared" si="95"/>
        <v/>
      </c>
      <c r="AU843" s="7" t="str">
        <f t="shared" si="96"/>
        <v/>
      </c>
      <c r="AV843" s="7" t="str">
        <f t="shared" si="97"/>
        <v/>
      </c>
      <c r="AW843" s="7" t="str">
        <f>IF('RFQ-Input'!O842="","",'RFQ-Input'!O842)</f>
        <v/>
      </c>
      <c r="AX843" s="7" t="str">
        <f>IF('RFQ-Input'!S842="","",'RFQ-Input'!S842)</f>
        <v/>
      </c>
      <c r="AY843" s="7" t="str">
        <f>IF('RFQ-Input'!V842="","",'RFQ-Input'!V842)</f>
        <v/>
      </c>
      <c r="AZ843" s="7" t="str">
        <f>IF('RFQ-Input'!Y842="","",'RFQ-Input'!Y842)</f>
        <v/>
      </c>
      <c r="BA843" s="7" t="str">
        <f>IF('RFQ-Input'!AB842="","",'RFQ-Input'!AB842)</f>
        <v/>
      </c>
    </row>
    <row r="844" spans="1:53">
      <c r="A844" s="20">
        <v>840</v>
      </c>
      <c r="B844" s="7"/>
      <c r="C844" s="7" t="str">
        <f>IF('RFQ-Input'!C843="","",'RFQ-Input'!C843)</f>
        <v/>
      </c>
      <c r="D844" s="7" t="str">
        <f>IF('RFQ-Input'!D843="","",'RFQ-Input'!D843)</f>
        <v/>
      </c>
      <c r="E844" s="7" t="str">
        <f>IF('RFQ-Input'!E843="","",'RFQ-Input'!E843)</f>
        <v/>
      </c>
      <c r="F844" s="7" t="str">
        <f>IF('RFQ-Input'!F843="","",'RFQ-Input'!F843)</f>
        <v/>
      </c>
      <c r="G844" s="7" t="str">
        <f>IF('RFQ-Input'!G843="","",'RFQ-Input'!G843)</f>
        <v/>
      </c>
      <c r="H844" s="7" t="str">
        <f>IF('RFQ-Input'!H843="","",'RFQ-Input'!H843)</f>
        <v/>
      </c>
      <c r="I844" s="7" t="str">
        <f>IF('RFQ-Input'!I843="","",'RFQ-Input'!I843)</f>
        <v/>
      </c>
      <c r="J844" s="7" t="str">
        <f>IF('RFQ-Input'!J843="","",'RFQ-Input'!J843)</f>
        <v/>
      </c>
      <c r="K844" s="7" t="str">
        <f>IF('RFQ-Input'!K843="","",'RFQ-Input'!K843)</f>
        <v/>
      </c>
      <c r="L844" s="7" t="str">
        <f>IF('RFQ-Input'!L843="","",'RFQ-Input'!L843)</f>
        <v/>
      </c>
      <c r="M844" s="7" t="str">
        <f>IF('RFQ-Input'!M843="","",'RFQ-Input'!M843)</f>
        <v/>
      </c>
      <c r="N844" s="7" t="str">
        <f>IF('RFQ-Input'!N843="","",'RFQ-Input'!N843)</f>
        <v/>
      </c>
      <c r="O844" s="7" t="str">
        <f>IF('RFQ-Input'!O843="","",'RFQ-Input'!O843)</f>
        <v/>
      </c>
      <c r="Q844" s="7"/>
      <c r="R844" s="7"/>
      <c r="S844" s="7"/>
      <c r="T844" s="7"/>
      <c r="U844" s="7"/>
      <c r="V844" s="7"/>
      <c r="X844" s="7"/>
      <c r="Y844" s="7"/>
      <c r="Z844" s="7"/>
      <c r="AA844" s="7" t="str">
        <f t="shared" si="91"/>
        <v/>
      </c>
      <c r="AB844" s="7"/>
      <c r="AC844" s="7"/>
      <c r="AQ844" s="7" t="str">
        <f t="shared" si="92"/>
        <v/>
      </c>
      <c r="AR844" s="7" t="str">
        <f t="shared" si="93"/>
        <v/>
      </c>
      <c r="AS844" s="7" t="str">
        <f t="shared" si="94"/>
        <v/>
      </c>
      <c r="AT844" s="7" t="str">
        <f t="shared" si="95"/>
        <v/>
      </c>
      <c r="AU844" s="7" t="str">
        <f t="shared" si="96"/>
        <v/>
      </c>
      <c r="AV844" s="7" t="str">
        <f t="shared" si="97"/>
        <v/>
      </c>
      <c r="AW844" s="7" t="str">
        <f>IF('RFQ-Input'!O843="","",'RFQ-Input'!O843)</f>
        <v/>
      </c>
      <c r="AX844" s="7" t="str">
        <f>IF('RFQ-Input'!S843="","",'RFQ-Input'!S843)</f>
        <v/>
      </c>
      <c r="AY844" s="7" t="str">
        <f>IF('RFQ-Input'!V843="","",'RFQ-Input'!V843)</f>
        <v/>
      </c>
      <c r="AZ844" s="7" t="str">
        <f>IF('RFQ-Input'!Y843="","",'RFQ-Input'!Y843)</f>
        <v/>
      </c>
      <c r="BA844" s="7" t="str">
        <f>IF('RFQ-Input'!AB843="","",'RFQ-Input'!AB843)</f>
        <v/>
      </c>
    </row>
    <row r="845" spans="1:53">
      <c r="A845" s="20">
        <v>841</v>
      </c>
      <c r="B845" s="7"/>
      <c r="C845" s="7" t="str">
        <f>IF('RFQ-Input'!C844="","",'RFQ-Input'!C844)</f>
        <v/>
      </c>
      <c r="D845" s="7" t="str">
        <f>IF('RFQ-Input'!D844="","",'RFQ-Input'!D844)</f>
        <v/>
      </c>
      <c r="E845" s="7" t="str">
        <f>IF('RFQ-Input'!E844="","",'RFQ-Input'!E844)</f>
        <v/>
      </c>
      <c r="F845" s="7" t="str">
        <f>IF('RFQ-Input'!F844="","",'RFQ-Input'!F844)</f>
        <v/>
      </c>
      <c r="G845" s="7" t="str">
        <f>IF('RFQ-Input'!G844="","",'RFQ-Input'!G844)</f>
        <v/>
      </c>
      <c r="H845" s="7" t="str">
        <f>IF('RFQ-Input'!H844="","",'RFQ-Input'!H844)</f>
        <v/>
      </c>
      <c r="I845" s="7" t="str">
        <f>IF('RFQ-Input'!I844="","",'RFQ-Input'!I844)</f>
        <v/>
      </c>
      <c r="J845" s="7" t="str">
        <f>IF('RFQ-Input'!J844="","",'RFQ-Input'!J844)</f>
        <v/>
      </c>
      <c r="K845" s="7" t="str">
        <f>IF('RFQ-Input'!K844="","",'RFQ-Input'!K844)</f>
        <v/>
      </c>
      <c r="L845" s="7" t="str">
        <f>IF('RFQ-Input'!L844="","",'RFQ-Input'!L844)</f>
        <v/>
      </c>
      <c r="M845" s="7" t="str">
        <f>IF('RFQ-Input'!M844="","",'RFQ-Input'!M844)</f>
        <v/>
      </c>
      <c r="N845" s="7" t="str">
        <f>IF('RFQ-Input'!N844="","",'RFQ-Input'!N844)</f>
        <v/>
      </c>
      <c r="O845" s="7" t="str">
        <f>IF('RFQ-Input'!O844="","",'RFQ-Input'!O844)</f>
        <v/>
      </c>
      <c r="Q845" s="7"/>
      <c r="R845" s="7"/>
      <c r="S845" s="7"/>
      <c r="T845" s="7"/>
      <c r="U845" s="7"/>
      <c r="V845" s="7"/>
      <c r="X845" s="7"/>
      <c r="Y845" s="7"/>
      <c r="Z845" s="7"/>
      <c r="AA845" s="7" t="str">
        <f t="shared" si="91"/>
        <v/>
      </c>
      <c r="AB845" s="7"/>
      <c r="AC845" s="7"/>
      <c r="AQ845" s="7" t="str">
        <f t="shared" si="92"/>
        <v/>
      </c>
      <c r="AR845" s="7" t="str">
        <f t="shared" si="93"/>
        <v/>
      </c>
      <c r="AS845" s="7" t="str">
        <f t="shared" si="94"/>
        <v/>
      </c>
      <c r="AT845" s="7" t="str">
        <f t="shared" si="95"/>
        <v/>
      </c>
      <c r="AU845" s="7" t="str">
        <f t="shared" si="96"/>
        <v/>
      </c>
      <c r="AV845" s="7" t="str">
        <f t="shared" si="97"/>
        <v/>
      </c>
      <c r="AW845" s="7" t="str">
        <f>IF('RFQ-Input'!O844="","",'RFQ-Input'!O844)</f>
        <v/>
      </c>
      <c r="AX845" s="7" t="str">
        <f>IF('RFQ-Input'!S844="","",'RFQ-Input'!S844)</f>
        <v/>
      </c>
      <c r="AY845" s="7" t="str">
        <f>IF('RFQ-Input'!V844="","",'RFQ-Input'!V844)</f>
        <v/>
      </c>
      <c r="AZ845" s="7" t="str">
        <f>IF('RFQ-Input'!Y844="","",'RFQ-Input'!Y844)</f>
        <v/>
      </c>
      <c r="BA845" s="7" t="str">
        <f>IF('RFQ-Input'!AB844="","",'RFQ-Input'!AB844)</f>
        <v/>
      </c>
    </row>
    <row r="846" spans="1:53">
      <c r="A846" s="20">
        <v>842</v>
      </c>
      <c r="B846" s="7"/>
      <c r="C846" s="7" t="str">
        <f>IF('RFQ-Input'!C845="","",'RFQ-Input'!C845)</f>
        <v/>
      </c>
      <c r="D846" s="7" t="str">
        <f>IF('RFQ-Input'!D845="","",'RFQ-Input'!D845)</f>
        <v/>
      </c>
      <c r="E846" s="7" t="str">
        <f>IF('RFQ-Input'!E845="","",'RFQ-Input'!E845)</f>
        <v/>
      </c>
      <c r="F846" s="7" t="str">
        <f>IF('RFQ-Input'!F845="","",'RFQ-Input'!F845)</f>
        <v/>
      </c>
      <c r="G846" s="7" t="str">
        <f>IF('RFQ-Input'!G845="","",'RFQ-Input'!G845)</f>
        <v/>
      </c>
      <c r="H846" s="7" t="str">
        <f>IF('RFQ-Input'!H845="","",'RFQ-Input'!H845)</f>
        <v/>
      </c>
      <c r="I846" s="7" t="str">
        <f>IF('RFQ-Input'!I845="","",'RFQ-Input'!I845)</f>
        <v/>
      </c>
      <c r="J846" s="7" t="str">
        <f>IF('RFQ-Input'!J845="","",'RFQ-Input'!J845)</f>
        <v/>
      </c>
      <c r="K846" s="7" t="str">
        <f>IF('RFQ-Input'!K845="","",'RFQ-Input'!K845)</f>
        <v/>
      </c>
      <c r="L846" s="7" t="str">
        <f>IF('RFQ-Input'!L845="","",'RFQ-Input'!L845)</f>
        <v/>
      </c>
      <c r="M846" s="7" t="str">
        <f>IF('RFQ-Input'!M845="","",'RFQ-Input'!M845)</f>
        <v/>
      </c>
      <c r="N846" s="7" t="str">
        <f>IF('RFQ-Input'!N845="","",'RFQ-Input'!N845)</f>
        <v/>
      </c>
      <c r="O846" s="7" t="str">
        <f>IF('RFQ-Input'!O845="","",'RFQ-Input'!O845)</f>
        <v/>
      </c>
      <c r="Q846" s="7"/>
      <c r="R846" s="7"/>
      <c r="S846" s="7"/>
      <c r="T846" s="7"/>
      <c r="U846" s="7"/>
      <c r="V846" s="7"/>
      <c r="X846" s="7"/>
      <c r="Y846" s="7"/>
      <c r="Z846" s="7"/>
      <c r="AA846" s="7" t="str">
        <f t="shared" si="91"/>
        <v/>
      </c>
      <c r="AB846" s="7"/>
      <c r="AC846" s="7"/>
      <c r="AQ846" s="7" t="str">
        <f t="shared" si="92"/>
        <v/>
      </c>
      <c r="AR846" s="7" t="str">
        <f t="shared" si="93"/>
        <v/>
      </c>
      <c r="AS846" s="7" t="str">
        <f t="shared" si="94"/>
        <v/>
      </c>
      <c r="AT846" s="7" t="str">
        <f t="shared" si="95"/>
        <v/>
      </c>
      <c r="AU846" s="7" t="str">
        <f t="shared" si="96"/>
        <v/>
      </c>
      <c r="AV846" s="7" t="str">
        <f t="shared" si="97"/>
        <v/>
      </c>
      <c r="AW846" s="7" t="str">
        <f>IF('RFQ-Input'!O845="","",'RFQ-Input'!O845)</f>
        <v/>
      </c>
      <c r="AX846" s="7" t="str">
        <f>IF('RFQ-Input'!S845="","",'RFQ-Input'!S845)</f>
        <v/>
      </c>
      <c r="AY846" s="7" t="str">
        <f>IF('RFQ-Input'!V845="","",'RFQ-Input'!V845)</f>
        <v/>
      </c>
      <c r="AZ846" s="7" t="str">
        <f>IF('RFQ-Input'!Y845="","",'RFQ-Input'!Y845)</f>
        <v/>
      </c>
      <c r="BA846" s="7" t="str">
        <f>IF('RFQ-Input'!AB845="","",'RFQ-Input'!AB845)</f>
        <v/>
      </c>
    </row>
    <row r="847" spans="1:53">
      <c r="A847" s="20">
        <v>843</v>
      </c>
      <c r="B847" s="7"/>
      <c r="C847" s="7" t="str">
        <f>IF('RFQ-Input'!C846="","",'RFQ-Input'!C846)</f>
        <v/>
      </c>
      <c r="D847" s="7" t="str">
        <f>IF('RFQ-Input'!D846="","",'RFQ-Input'!D846)</f>
        <v/>
      </c>
      <c r="E847" s="7" t="str">
        <f>IF('RFQ-Input'!E846="","",'RFQ-Input'!E846)</f>
        <v/>
      </c>
      <c r="F847" s="7" t="str">
        <f>IF('RFQ-Input'!F846="","",'RFQ-Input'!F846)</f>
        <v/>
      </c>
      <c r="G847" s="7" t="str">
        <f>IF('RFQ-Input'!G846="","",'RFQ-Input'!G846)</f>
        <v/>
      </c>
      <c r="H847" s="7" t="str">
        <f>IF('RFQ-Input'!H846="","",'RFQ-Input'!H846)</f>
        <v/>
      </c>
      <c r="I847" s="7" t="str">
        <f>IF('RFQ-Input'!I846="","",'RFQ-Input'!I846)</f>
        <v/>
      </c>
      <c r="J847" s="7" t="str">
        <f>IF('RFQ-Input'!J846="","",'RFQ-Input'!J846)</f>
        <v/>
      </c>
      <c r="K847" s="7" t="str">
        <f>IF('RFQ-Input'!K846="","",'RFQ-Input'!K846)</f>
        <v/>
      </c>
      <c r="L847" s="7" t="str">
        <f>IF('RFQ-Input'!L846="","",'RFQ-Input'!L846)</f>
        <v/>
      </c>
      <c r="M847" s="7" t="str">
        <f>IF('RFQ-Input'!M846="","",'RFQ-Input'!M846)</f>
        <v/>
      </c>
      <c r="N847" s="7" t="str">
        <f>IF('RFQ-Input'!N846="","",'RFQ-Input'!N846)</f>
        <v/>
      </c>
      <c r="O847" s="7" t="str">
        <f>IF('RFQ-Input'!O846="","",'RFQ-Input'!O846)</f>
        <v/>
      </c>
      <c r="Q847" s="7"/>
      <c r="R847" s="7"/>
      <c r="S847" s="7"/>
      <c r="T847" s="7"/>
      <c r="U847" s="7"/>
      <c r="V847" s="7"/>
      <c r="X847" s="7"/>
      <c r="Y847" s="7"/>
      <c r="Z847" s="7"/>
      <c r="AA847" s="7" t="str">
        <f t="shared" si="91"/>
        <v/>
      </c>
      <c r="AB847" s="7"/>
      <c r="AC847" s="7"/>
      <c r="AQ847" s="7" t="str">
        <f t="shared" si="92"/>
        <v/>
      </c>
      <c r="AR847" s="7" t="str">
        <f t="shared" si="93"/>
        <v/>
      </c>
      <c r="AS847" s="7" t="str">
        <f t="shared" si="94"/>
        <v/>
      </c>
      <c r="AT847" s="7" t="str">
        <f t="shared" si="95"/>
        <v/>
      </c>
      <c r="AU847" s="7" t="str">
        <f t="shared" si="96"/>
        <v/>
      </c>
      <c r="AV847" s="7" t="str">
        <f t="shared" si="97"/>
        <v/>
      </c>
      <c r="AW847" s="7" t="str">
        <f>IF('RFQ-Input'!O846="","",'RFQ-Input'!O846)</f>
        <v/>
      </c>
      <c r="AX847" s="7" t="str">
        <f>IF('RFQ-Input'!S846="","",'RFQ-Input'!S846)</f>
        <v/>
      </c>
      <c r="AY847" s="7" t="str">
        <f>IF('RFQ-Input'!V846="","",'RFQ-Input'!V846)</f>
        <v/>
      </c>
      <c r="AZ847" s="7" t="str">
        <f>IF('RFQ-Input'!Y846="","",'RFQ-Input'!Y846)</f>
        <v/>
      </c>
      <c r="BA847" s="7" t="str">
        <f>IF('RFQ-Input'!AB846="","",'RFQ-Input'!AB846)</f>
        <v/>
      </c>
    </row>
    <row r="848" spans="1:53">
      <c r="A848" s="20">
        <v>844</v>
      </c>
      <c r="B848" s="7"/>
      <c r="C848" s="7" t="str">
        <f>IF('RFQ-Input'!C847="","",'RFQ-Input'!C847)</f>
        <v/>
      </c>
      <c r="D848" s="7" t="str">
        <f>IF('RFQ-Input'!D847="","",'RFQ-Input'!D847)</f>
        <v/>
      </c>
      <c r="E848" s="7" t="str">
        <f>IF('RFQ-Input'!E847="","",'RFQ-Input'!E847)</f>
        <v/>
      </c>
      <c r="F848" s="7" t="str">
        <f>IF('RFQ-Input'!F847="","",'RFQ-Input'!F847)</f>
        <v/>
      </c>
      <c r="G848" s="7" t="str">
        <f>IF('RFQ-Input'!G847="","",'RFQ-Input'!G847)</f>
        <v/>
      </c>
      <c r="H848" s="7" t="str">
        <f>IF('RFQ-Input'!H847="","",'RFQ-Input'!H847)</f>
        <v/>
      </c>
      <c r="I848" s="7" t="str">
        <f>IF('RFQ-Input'!I847="","",'RFQ-Input'!I847)</f>
        <v/>
      </c>
      <c r="J848" s="7" t="str">
        <f>IF('RFQ-Input'!J847="","",'RFQ-Input'!J847)</f>
        <v/>
      </c>
      <c r="K848" s="7" t="str">
        <f>IF('RFQ-Input'!K847="","",'RFQ-Input'!K847)</f>
        <v/>
      </c>
      <c r="L848" s="7" t="str">
        <f>IF('RFQ-Input'!L847="","",'RFQ-Input'!L847)</f>
        <v/>
      </c>
      <c r="M848" s="7" t="str">
        <f>IF('RFQ-Input'!M847="","",'RFQ-Input'!M847)</f>
        <v/>
      </c>
      <c r="N848" s="7" t="str">
        <f>IF('RFQ-Input'!N847="","",'RFQ-Input'!N847)</f>
        <v/>
      </c>
      <c r="O848" s="7" t="str">
        <f>IF('RFQ-Input'!O847="","",'RFQ-Input'!O847)</f>
        <v/>
      </c>
      <c r="Q848" s="7"/>
      <c r="R848" s="7"/>
      <c r="S848" s="7"/>
      <c r="T848" s="7"/>
      <c r="U848" s="7"/>
      <c r="V848" s="7"/>
      <c r="X848" s="7"/>
      <c r="Y848" s="7"/>
      <c r="Z848" s="7"/>
      <c r="AA848" s="7" t="str">
        <f t="shared" si="91"/>
        <v/>
      </c>
      <c r="AB848" s="7"/>
      <c r="AC848" s="7"/>
      <c r="AQ848" s="7" t="str">
        <f t="shared" si="92"/>
        <v/>
      </c>
      <c r="AR848" s="7" t="str">
        <f t="shared" si="93"/>
        <v/>
      </c>
      <c r="AS848" s="7" t="str">
        <f t="shared" si="94"/>
        <v/>
      </c>
      <c r="AT848" s="7" t="str">
        <f t="shared" si="95"/>
        <v/>
      </c>
      <c r="AU848" s="7" t="str">
        <f t="shared" si="96"/>
        <v/>
      </c>
      <c r="AV848" s="7" t="str">
        <f t="shared" si="97"/>
        <v/>
      </c>
      <c r="AW848" s="7" t="str">
        <f>IF('RFQ-Input'!O847="","",'RFQ-Input'!O847)</f>
        <v/>
      </c>
      <c r="AX848" s="7" t="str">
        <f>IF('RFQ-Input'!S847="","",'RFQ-Input'!S847)</f>
        <v/>
      </c>
      <c r="AY848" s="7" t="str">
        <f>IF('RFQ-Input'!V847="","",'RFQ-Input'!V847)</f>
        <v/>
      </c>
      <c r="AZ848" s="7" t="str">
        <f>IF('RFQ-Input'!Y847="","",'RFQ-Input'!Y847)</f>
        <v/>
      </c>
      <c r="BA848" s="7" t="str">
        <f>IF('RFQ-Input'!AB847="","",'RFQ-Input'!AB847)</f>
        <v/>
      </c>
    </row>
    <row r="849" spans="1:53">
      <c r="A849" s="20">
        <v>845</v>
      </c>
      <c r="B849" s="7"/>
      <c r="C849" s="7" t="str">
        <f>IF('RFQ-Input'!C848="","",'RFQ-Input'!C848)</f>
        <v/>
      </c>
      <c r="D849" s="7" t="str">
        <f>IF('RFQ-Input'!D848="","",'RFQ-Input'!D848)</f>
        <v/>
      </c>
      <c r="E849" s="7" t="str">
        <f>IF('RFQ-Input'!E848="","",'RFQ-Input'!E848)</f>
        <v/>
      </c>
      <c r="F849" s="7" t="str">
        <f>IF('RFQ-Input'!F848="","",'RFQ-Input'!F848)</f>
        <v/>
      </c>
      <c r="G849" s="7" t="str">
        <f>IF('RFQ-Input'!G848="","",'RFQ-Input'!G848)</f>
        <v/>
      </c>
      <c r="H849" s="7" t="str">
        <f>IF('RFQ-Input'!H848="","",'RFQ-Input'!H848)</f>
        <v/>
      </c>
      <c r="I849" s="7" t="str">
        <f>IF('RFQ-Input'!I848="","",'RFQ-Input'!I848)</f>
        <v/>
      </c>
      <c r="J849" s="7" t="str">
        <f>IF('RFQ-Input'!J848="","",'RFQ-Input'!J848)</f>
        <v/>
      </c>
      <c r="K849" s="7" t="str">
        <f>IF('RFQ-Input'!K848="","",'RFQ-Input'!K848)</f>
        <v/>
      </c>
      <c r="L849" s="7" t="str">
        <f>IF('RFQ-Input'!L848="","",'RFQ-Input'!L848)</f>
        <v/>
      </c>
      <c r="M849" s="7" t="str">
        <f>IF('RFQ-Input'!M848="","",'RFQ-Input'!M848)</f>
        <v/>
      </c>
      <c r="N849" s="7" t="str">
        <f>IF('RFQ-Input'!N848="","",'RFQ-Input'!N848)</f>
        <v/>
      </c>
      <c r="O849" s="7" t="str">
        <f>IF('RFQ-Input'!O848="","",'RFQ-Input'!O848)</f>
        <v/>
      </c>
      <c r="Q849" s="7"/>
      <c r="R849" s="7"/>
      <c r="S849" s="7"/>
      <c r="T849" s="7"/>
      <c r="U849" s="7"/>
      <c r="V849" s="7"/>
      <c r="X849" s="7"/>
      <c r="Y849" s="7"/>
      <c r="Z849" s="7"/>
      <c r="AA849" s="7" t="str">
        <f t="shared" si="91"/>
        <v/>
      </c>
      <c r="AB849" s="7"/>
      <c r="AC849" s="7"/>
      <c r="AQ849" s="7" t="str">
        <f t="shared" si="92"/>
        <v/>
      </c>
      <c r="AR849" s="7" t="str">
        <f t="shared" si="93"/>
        <v/>
      </c>
      <c r="AS849" s="7" t="str">
        <f t="shared" si="94"/>
        <v/>
      </c>
      <c r="AT849" s="7" t="str">
        <f t="shared" si="95"/>
        <v/>
      </c>
      <c r="AU849" s="7" t="str">
        <f t="shared" si="96"/>
        <v/>
      </c>
      <c r="AV849" s="7" t="str">
        <f t="shared" si="97"/>
        <v/>
      </c>
      <c r="AW849" s="7" t="str">
        <f>IF('RFQ-Input'!O848="","",'RFQ-Input'!O848)</f>
        <v/>
      </c>
      <c r="AX849" s="7" t="str">
        <f>IF('RFQ-Input'!S848="","",'RFQ-Input'!S848)</f>
        <v/>
      </c>
      <c r="AY849" s="7" t="str">
        <f>IF('RFQ-Input'!V848="","",'RFQ-Input'!V848)</f>
        <v/>
      </c>
      <c r="AZ849" s="7" t="str">
        <f>IF('RFQ-Input'!Y848="","",'RFQ-Input'!Y848)</f>
        <v/>
      </c>
      <c r="BA849" s="7" t="str">
        <f>IF('RFQ-Input'!AB848="","",'RFQ-Input'!AB848)</f>
        <v/>
      </c>
    </row>
    <row r="850" spans="1:53">
      <c r="A850" s="20">
        <v>846</v>
      </c>
      <c r="B850" s="7"/>
      <c r="C850" s="7" t="str">
        <f>IF('RFQ-Input'!C849="","",'RFQ-Input'!C849)</f>
        <v/>
      </c>
      <c r="D850" s="7" t="str">
        <f>IF('RFQ-Input'!D849="","",'RFQ-Input'!D849)</f>
        <v/>
      </c>
      <c r="E850" s="7" t="str">
        <f>IF('RFQ-Input'!E849="","",'RFQ-Input'!E849)</f>
        <v/>
      </c>
      <c r="F850" s="7" t="str">
        <f>IF('RFQ-Input'!F849="","",'RFQ-Input'!F849)</f>
        <v/>
      </c>
      <c r="G850" s="7" t="str">
        <f>IF('RFQ-Input'!G849="","",'RFQ-Input'!G849)</f>
        <v/>
      </c>
      <c r="H850" s="7" t="str">
        <f>IF('RFQ-Input'!H849="","",'RFQ-Input'!H849)</f>
        <v/>
      </c>
      <c r="I850" s="7" t="str">
        <f>IF('RFQ-Input'!I849="","",'RFQ-Input'!I849)</f>
        <v/>
      </c>
      <c r="J850" s="7" t="str">
        <f>IF('RFQ-Input'!J849="","",'RFQ-Input'!J849)</f>
        <v/>
      </c>
      <c r="K850" s="7" t="str">
        <f>IF('RFQ-Input'!K849="","",'RFQ-Input'!K849)</f>
        <v/>
      </c>
      <c r="L850" s="7" t="str">
        <f>IF('RFQ-Input'!L849="","",'RFQ-Input'!L849)</f>
        <v/>
      </c>
      <c r="M850" s="7" t="str">
        <f>IF('RFQ-Input'!M849="","",'RFQ-Input'!M849)</f>
        <v/>
      </c>
      <c r="N850" s="7" t="str">
        <f>IF('RFQ-Input'!N849="","",'RFQ-Input'!N849)</f>
        <v/>
      </c>
      <c r="O850" s="7" t="str">
        <f>IF('RFQ-Input'!O849="","",'RFQ-Input'!O849)</f>
        <v/>
      </c>
      <c r="Q850" s="7"/>
      <c r="R850" s="7"/>
      <c r="S850" s="7"/>
      <c r="T850" s="7"/>
      <c r="U850" s="7"/>
      <c r="V850" s="7"/>
      <c r="X850" s="7"/>
      <c r="Y850" s="7"/>
      <c r="Z850" s="7"/>
      <c r="AA850" s="7" t="str">
        <f t="shared" si="91"/>
        <v/>
      </c>
      <c r="AB850" s="7"/>
      <c r="AC850" s="7"/>
      <c r="AQ850" s="7" t="str">
        <f t="shared" si="92"/>
        <v/>
      </c>
      <c r="AR850" s="7" t="str">
        <f t="shared" si="93"/>
        <v/>
      </c>
      <c r="AS850" s="7" t="str">
        <f t="shared" si="94"/>
        <v/>
      </c>
      <c r="AT850" s="7" t="str">
        <f t="shared" si="95"/>
        <v/>
      </c>
      <c r="AU850" s="7" t="str">
        <f t="shared" si="96"/>
        <v/>
      </c>
      <c r="AV850" s="7" t="str">
        <f t="shared" si="97"/>
        <v/>
      </c>
      <c r="AW850" s="7" t="str">
        <f>IF('RFQ-Input'!O849="","",'RFQ-Input'!O849)</f>
        <v/>
      </c>
      <c r="AX850" s="7" t="str">
        <f>IF('RFQ-Input'!S849="","",'RFQ-Input'!S849)</f>
        <v/>
      </c>
      <c r="AY850" s="7" t="str">
        <f>IF('RFQ-Input'!V849="","",'RFQ-Input'!V849)</f>
        <v/>
      </c>
      <c r="AZ850" s="7" t="str">
        <f>IF('RFQ-Input'!Y849="","",'RFQ-Input'!Y849)</f>
        <v/>
      </c>
      <c r="BA850" s="7" t="str">
        <f>IF('RFQ-Input'!AB849="","",'RFQ-Input'!AB849)</f>
        <v/>
      </c>
    </row>
    <row r="851" spans="1:53">
      <c r="A851" s="20">
        <v>847</v>
      </c>
      <c r="B851" s="7"/>
      <c r="C851" s="7" t="str">
        <f>IF('RFQ-Input'!C850="","",'RFQ-Input'!C850)</f>
        <v/>
      </c>
      <c r="D851" s="7" t="str">
        <f>IF('RFQ-Input'!D850="","",'RFQ-Input'!D850)</f>
        <v/>
      </c>
      <c r="E851" s="7" t="str">
        <f>IF('RFQ-Input'!E850="","",'RFQ-Input'!E850)</f>
        <v/>
      </c>
      <c r="F851" s="7" t="str">
        <f>IF('RFQ-Input'!F850="","",'RFQ-Input'!F850)</f>
        <v/>
      </c>
      <c r="G851" s="7" t="str">
        <f>IF('RFQ-Input'!G850="","",'RFQ-Input'!G850)</f>
        <v/>
      </c>
      <c r="H851" s="7" t="str">
        <f>IF('RFQ-Input'!H850="","",'RFQ-Input'!H850)</f>
        <v/>
      </c>
      <c r="I851" s="7" t="str">
        <f>IF('RFQ-Input'!I850="","",'RFQ-Input'!I850)</f>
        <v/>
      </c>
      <c r="J851" s="7" t="str">
        <f>IF('RFQ-Input'!J850="","",'RFQ-Input'!J850)</f>
        <v/>
      </c>
      <c r="K851" s="7" t="str">
        <f>IF('RFQ-Input'!K850="","",'RFQ-Input'!K850)</f>
        <v/>
      </c>
      <c r="L851" s="7" t="str">
        <f>IF('RFQ-Input'!L850="","",'RFQ-Input'!L850)</f>
        <v/>
      </c>
      <c r="M851" s="7" t="str">
        <f>IF('RFQ-Input'!M850="","",'RFQ-Input'!M850)</f>
        <v/>
      </c>
      <c r="N851" s="7" t="str">
        <f>IF('RFQ-Input'!N850="","",'RFQ-Input'!N850)</f>
        <v/>
      </c>
      <c r="O851" s="7" t="str">
        <f>IF('RFQ-Input'!O850="","",'RFQ-Input'!O850)</f>
        <v/>
      </c>
      <c r="Q851" s="7"/>
      <c r="R851" s="7"/>
      <c r="S851" s="7"/>
      <c r="T851" s="7"/>
      <c r="U851" s="7"/>
      <c r="V851" s="7"/>
      <c r="X851" s="7"/>
      <c r="Y851" s="7"/>
      <c r="Z851" s="7"/>
      <c r="AA851" s="7" t="str">
        <f t="shared" si="91"/>
        <v/>
      </c>
      <c r="AB851" s="7"/>
      <c r="AC851" s="7"/>
      <c r="AQ851" s="7" t="str">
        <f t="shared" si="92"/>
        <v/>
      </c>
      <c r="AR851" s="7" t="str">
        <f t="shared" si="93"/>
        <v/>
      </c>
      <c r="AS851" s="7" t="str">
        <f t="shared" si="94"/>
        <v/>
      </c>
      <c r="AT851" s="7" t="str">
        <f t="shared" si="95"/>
        <v/>
      </c>
      <c r="AU851" s="7" t="str">
        <f t="shared" si="96"/>
        <v/>
      </c>
      <c r="AV851" s="7" t="str">
        <f t="shared" si="97"/>
        <v/>
      </c>
      <c r="AW851" s="7" t="str">
        <f>IF('RFQ-Input'!O850="","",'RFQ-Input'!O850)</f>
        <v/>
      </c>
      <c r="AX851" s="7" t="str">
        <f>IF('RFQ-Input'!S850="","",'RFQ-Input'!S850)</f>
        <v/>
      </c>
      <c r="AY851" s="7" t="str">
        <f>IF('RFQ-Input'!V850="","",'RFQ-Input'!V850)</f>
        <v/>
      </c>
      <c r="AZ851" s="7" t="str">
        <f>IF('RFQ-Input'!Y850="","",'RFQ-Input'!Y850)</f>
        <v/>
      </c>
      <c r="BA851" s="7" t="str">
        <f>IF('RFQ-Input'!AB850="","",'RFQ-Input'!AB850)</f>
        <v/>
      </c>
    </row>
    <row r="852" spans="1:53">
      <c r="A852" s="20">
        <v>848</v>
      </c>
      <c r="B852" s="7"/>
      <c r="C852" s="7" t="str">
        <f>IF('RFQ-Input'!C851="","",'RFQ-Input'!C851)</f>
        <v/>
      </c>
      <c r="D852" s="7" t="str">
        <f>IF('RFQ-Input'!D851="","",'RFQ-Input'!D851)</f>
        <v/>
      </c>
      <c r="E852" s="7" t="str">
        <f>IF('RFQ-Input'!E851="","",'RFQ-Input'!E851)</f>
        <v/>
      </c>
      <c r="F852" s="7" t="str">
        <f>IF('RFQ-Input'!F851="","",'RFQ-Input'!F851)</f>
        <v/>
      </c>
      <c r="G852" s="7" t="str">
        <f>IF('RFQ-Input'!G851="","",'RFQ-Input'!G851)</f>
        <v/>
      </c>
      <c r="H852" s="7" t="str">
        <f>IF('RFQ-Input'!H851="","",'RFQ-Input'!H851)</f>
        <v/>
      </c>
      <c r="I852" s="7" t="str">
        <f>IF('RFQ-Input'!I851="","",'RFQ-Input'!I851)</f>
        <v/>
      </c>
      <c r="J852" s="7" t="str">
        <f>IF('RFQ-Input'!J851="","",'RFQ-Input'!J851)</f>
        <v/>
      </c>
      <c r="K852" s="7" t="str">
        <f>IF('RFQ-Input'!K851="","",'RFQ-Input'!K851)</f>
        <v/>
      </c>
      <c r="L852" s="7" t="str">
        <f>IF('RFQ-Input'!L851="","",'RFQ-Input'!L851)</f>
        <v/>
      </c>
      <c r="M852" s="7" t="str">
        <f>IF('RFQ-Input'!M851="","",'RFQ-Input'!M851)</f>
        <v/>
      </c>
      <c r="N852" s="7" t="str">
        <f>IF('RFQ-Input'!N851="","",'RFQ-Input'!N851)</f>
        <v/>
      </c>
      <c r="O852" s="7" t="str">
        <f>IF('RFQ-Input'!O851="","",'RFQ-Input'!O851)</f>
        <v/>
      </c>
      <c r="Q852" s="7"/>
      <c r="R852" s="7"/>
      <c r="S852" s="7"/>
      <c r="T852" s="7"/>
      <c r="U852" s="7"/>
      <c r="V852" s="7"/>
      <c r="X852" s="7"/>
      <c r="Y852" s="7"/>
      <c r="Z852" s="7"/>
      <c r="AA852" s="7" t="str">
        <f t="shared" si="91"/>
        <v/>
      </c>
      <c r="AB852" s="7"/>
      <c r="AC852" s="7"/>
      <c r="AQ852" s="7" t="str">
        <f t="shared" si="92"/>
        <v/>
      </c>
      <c r="AR852" s="7" t="str">
        <f t="shared" si="93"/>
        <v/>
      </c>
      <c r="AS852" s="7" t="str">
        <f t="shared" si="94"/>
        <v/>
      </c>
      <c r="AT852" s="7" t="str">
        <f t="shared" si="95"/>
        <v/>
      </c>
      <c r="AU852" s="7" t="str">
        <f t="shared" si="96"/>
        <v/>
      </c>
      <c r="AV852" s="7" t="str">
        <f t="shared" si="97"/>
        <v/>
      </c>
      <c r="AW852" s="7" t="str">
        <f>IF('RFQ-Input'!O851="","",'RFQ-Input'!O851)</f>
        <v/>
      </c>
      <c r="AX852" s="7" t="str">
        <f>IF('RFQ-Input'!S851="","",'RFQ-Input'!S851)</f>
        <v/>
      </c>
      <c r="AY852" s="7" t="str">
        <f>IF('RFQ-Input'!V851="","",'RFQ-Input'!V851)</f>
        <v/>
      </c>
      <c r="AZ852" s="7" t="str">
        <f>IF('RFQ-Input'!Y851="","",'RFQ-Input'!Y851)</f>
        <v/>
      </c>
      <c r="BA852" s="7" t="str">
        <f>IF('RFQ-Input'!AB851="","",'RFQ-Input'!AB851)</f>
        <v/>
      </c>
    </row>
    <row r="853" spans="1:53">
      <c r="A853" s="20">
        <v>849</v>
      </c>
      <c r="B853" s="7"/>
      <c r="C853" s="7" t="str">
        <f>IF('RFQ-Input'!C852="","",'RFQ-Input'!C852)</f>
        <v/>
      </c>
      <c r="D853" s="7" t="str">
        <f>IF('RFQ-Input'!D852="","",'RFQ-Input'!D852)</f>
        <v/>
      </c>
      <c r="E853" s="7" t="str">
        <f>IF('RFQ-Input'!E852="","",'RFQ-Input'!E852)</f>
        <v/>
      </c>
      <c r="F853" s="7" t="str">
        <f>IF('RFQ-Input'!F852="","",'RFQ-Input'!F852)</f>
        <v/>
      </c>
      <c r="G853" s="7" t="str">
        <f>IF('RFQ-Input'!G852="","",'RFQ-Input'!G852)</f>
        <v/>
      </c>
      <c r="H853" s="7" t="str">
        <f>IF('RFQ-Input'!H852="","",'RFQ-Input'!H852)</f>
        <v/>
      </c>
      <c r="I853" s="7" t="str">
        <f>IF('RFQ-Input'!I852="","",'RFQ-Input'!I852)</f>
        <v/>
      </c>
      <c r="J853" s="7" t="str">
        <f>IF('RFQ-Input'!J852="","",'RFQ-Input'!J852)</f>
        <v/>
      </c>
      <c r="K853" s="7" t="str">
        <f>IF('RFQ-Input'!K852="","",'RFQ-Input'!K852)</f>
        <v/>
      </c>
      <c r="L853" s="7" t="str">
        <f>IF('RFQ-Input'!L852="","",'RFQ-Input'!L852)</f>
        <v/>
      </c>
      <c r="M853" s="7" t="str">
        <f>IF('RFQ-Input'!M852="","",'RFQ-Input'!M852)</f>
        <v/>
      </c>
      <c r="N853" s="7" t="str">
        <f>IF('RFQ-Input'!N852="","",'RFQ-Input'!N852)</f>
        <v/>
      </c>
      <c r="O853" s="7" t="str">
        <f>IF('RFQ-Input'!O852="","",'RFQ-Input'!O852)</f>
        <v/>
      </c>
      <c r="Q853" s="7"/>
      <c r="R853" s="7"/>
      <c r="S853" s="7"/>
      <c r="T853" s="7"/>
      <c r="U853" s="7"/>
      <c r="V853" s="7"/>
      <c r="X853" s="7"/>
      <c r="Y853" s="7"/>
      <c r="Z853" s="7"/>
      <c r="AA853" s="7" t="str">
        <f t="shared" si="91"/>
        <v/>
      </c>
      <c r="AB853" s="7"/>
      <c r="AC853" s="7"/>
      <c r="AQ853" s="7" t="str">
        <f t="shared" si="92"/>
        <v/>
      </c>
      <c r="AR853" s="7" t="str">
        <f t="shared" si="93"/>
        <v/>
      </c>
      <c r="AS853" s="7" t="str">
        <f t="shared" si="94"/>
        <v/>
      </c>
      <c r="AT853" s="7" t="str">
        <f t="shared" si="95"/>
        <v/>
      </c>
      <c r="AU853" s="7" t="str">
        <f t="shared" si="96"/>
        <v/>
      </c>
      <c r="AV853" s="7" t="str">
        <f t="shared" si="97"/>
        <v/>
      </c>
      <c r="AW853" s="7" t="str">
        <f>IF('RFQ-Input'!O852="","",'RFQ-Input'!O852)</f>
        <v/>
      </c>
      <c r="AX853" s="7" t="str">
        <f>IF('RFQ-Input'!S852="","",'RFQ-Input'!S852)</f>
        <v/>
      </c>
      <c r="AY853" s="7" t="str">
        <f>IF('RFQ-Input'!V852="","",'RFQ-Input'!V852)</f>
        <v/>
      </c>
      <c r="AZ853" s="7" t="str">
        <f>IF('RFQ-Input'!Y852="","",'RFQ-Input'!Y852)</f>
        <v/>
      </c>
      <c r="BA853" s="7" t="str">
        <f>IF('RFQ-Input'!AB852="","",'RFQ-Input'!AB852)</f>
        <v/>
      </c>
    </row>
    <row r="854" spans="1:53">
      <c r="A854" s="20">
        <v>850</v>
      </c>
      <c r="B854" s="7"/>
      <c r="C854" s="7" t="str">
        <f>IF('RFQ-Input'!C853="","",'RFQ-Input'!C853)</f>
        <v/>
      </c>
      <c r="D854" s="7" t="str">
        <f>IF('RFQ-Input'!D853="","",'RFQ-Input'!D853)</f>
        <v/>
      </c>
      <c r="E854" s="7" t="str">
        <f>IF('RFQ-Input'!E853="","",'RFQ-Input'!E853)</f>
        <v/>
      </c>
      <c r="F854" s="7" t="str">
        <f>IF('RFQ-Input'!F853="","",'RFQ-Input'!F853)</f>
        <v/>
      </c>
      <c r="G854" s="7" t="str">
        <f>IF('RFQ-Input'!G853="","",'RFQ-Input'!G853)</f>
        <v/>
      </c>
      <c r="H854" s="7" t="str">
        <f>IF('RFQ-Input'!H853="","",'RFQ-Input'!H853)</f>
        <v/>
      </c>
      <c r="I854" s="7" t="str">
        <f>IF('RFQ-Input'!I853="","",'RFQ-Input'!I853)</f>
        <v/>
      </c>
      <c r="J854" s="7" t="str">
        <f>IF('RFQ-Input'!J853="","",'RFQ-Input'!J853)</f>
        <v/>
      </c>
      <c r="K854" s="7" t="str">
        <f>IF('RFQ-Input'!K853="","",'RFQ-Input'!K853)</f>
        <v/>
      </c>
      <c r="L854" s="7" t="str">
        <f>IF('RFQ-Input'!L853="","",'RFQ-Input'!L853)</f>
        <v/>
      </c>
      <c r="M854" s="7" t="str">
        <f>IF('RFQ-Input'!M853="","",'RFQ-Input'!M853)</f>
        <v/>
      </c>
      <c r="N854" s="7" t="str">
        <f>IF('RFQ-Input'!N853="","",'RFQ-Input'!N853)</f>
        <v/>
      </c>
      <c r="O854" s="7" t="str">
        <f>IF('RFQ-Input'!O853="","",'RFQ-Input'!O853)</f>
        <v/>
      </c>
      <c r="Q854" s="7"/>
      <c r="R854" s="7"/>
      <c r="S854" s="7"/>
      <c r="T854" s="7"/>
      <c r="U854" s="7"/>
      <c r="V854" s="7"/>
      <c r="X854" s="7"/>
      <c r="Y854" s="7"/>
      <c r="Z854" s="7"/>
      <c r="AA854" s="7" t="str">
        <f t="shared" si="91"/>
        <v/>
      </c>
      <c r="AB854" s="7"/>
      <c r="AC854" s="7"/>
      <c r="AQ854" s="7" t="str">
        <f t="shared" si="92"/>
        <v/>
      </c>
      <c r="AR854" s="7" t="str">
        <f t="shared" si="93"/>
        <v/>
      </c>
      <c r="AS854" s="7" t="str">
        <f t="shared" si="94"/>
        <v/>
      </c>
      <c r="AT854" s="7" t="str">
        <f t="shared" si="95"/>
        <v/>
      </c>
      <c r="AU854" s="7" t="str">
        <f t="shared" si="96"/>
        <v/>
      </c>
      <c r="AV854" s="7" t="str">
        <f t="shared" si="97"/>
        <v/>
      </c>
      <c r="AW854" s="7" t="str">
        <f>IF('RFQ-Input'!O853="","",'RFQ-Input'!O853)</f>
        <v/>
      </c>
      <c r="AX854" s="7" t="str">
        <f>IF('RFQ-Input'!S853="","",'RFQ-Input'!S853)</f>
        <v/>
      </c>
      <c r="AY854" s="7" t="str">
        <f>IF('RFQ-Input'!V853="","",'RFQ-Input'!V853)</f>
        <v/>
      </c>
      <c r="AZ854" s="7" t="str">
        <f>IF('RFQ-Input'!Y853="","",'RFQ-Input'!Y853)</f>
        <v/>
      </c>
      <c r="BA854" s="7" t="str">
        <f>IF('RFQ-Input'!AB853="","",'RFQ-Input'!AB853)</f>
        <v/>
      </c>
    </row>
    <row r="855" spans="1:53">
      <c r="A855" s="20">
        <v>851</v>
      </c>
      <c r="B855" s="7"/>
      <c r="C855" s="7" t="str">
        <f>IF('RFQ-Input'!C854="","",'RFQ-Input'!C854)</f>
        <v/>
      </c>
      <c r="D855" s="7" t="str">
        <f>IF('RFQ-Input'!D854="","",'RFQ-Input'!D854)</f>
        <v/>
      </c>
      <c r="E855" s="7" t="str">
        <f>IF('RFQ-Input'!E854="","",'RFQ-Input'!E854)</f>
        <v/>
      </c>
      <c r="F855" s="7" t="str">
        <f>IF('RFQ-Input'!F854="","",'RFQ-Input'!F854)</f>
        <v/>
      </c>
      <c r="G855" s="7" t="str">
        <f>IF('RFQ-Input'!G854="","",'RFQ-Input'!G854)</f>
        <v/>
      </c>
      <c r="H855" s="7" t="str">
        <f>IF('RFQ-Input'!H854="","",'RFQ-Input'!H854)</f>
        <v/>
      </c>
      <c r="I855" s="7" t="str">
        <f>IF('RFQ-Input'!I854="","",'RFQ-Input'!I854)</f>
        <v/>
      </c>
      <c r="J855" s="7" t="str">
        <f>IF('RFQ-Input'!J854="","",'RFQ-Input'!J854)</f>
        <v/>
      </c>
      <c r="K855" s="7" t="str">
        <f>IF('RFQ-Input'!K854="","",'RFQ-Input'!K854)</f>
        <v/>
      </c>
      <c r="L855" s="7" t="str">
        <f>IF('RFQ-Input'!L854="","",'RFQ-Input'!L854)</f>
        <v/>
      </c>
      <c r="M855" s="7" t="str">
        <f>IF('RFQ-Input'!M854="","",'RFQ-Input'!M854)</f>
        <v/>
      </c>
      <c r="N855" s="7" t="str">
        <f>IF('RFQ-Input'!N854="","",'RFQ-Input'!N854)</f>
        <v/>
      </c>
      <c r="O855" s="7" t="str">
        <f>IF('RFQ-Input'!O854="","",'RFQ-Input'!O854)</f>
        <v/>
      </c>
      <c r="Q855" s="7"/>
      <c r="R855" s="7"/>
      <c r="S855" s="7"/>
      <c r="T855" s="7"/>
      <c r="U855" s="7"/>
      <c r="V855" s="7"/>
      <c r="X855" s="7"/>
      <c r="Y855" s="7"/>
      <c r="Z855" s="7"/>
      <c r="AA855" s="7" t="str">
        <f t="shared" si="91"/>
        <v/>
      </c>
      <c r="AB855" s="7"/>
      <c r="AC855" s="7"/>
      <c r="AQ855" s="7" t="str">
        <f t="shared" si="92"/>
        <v/>
      </c>
      <c r="AR855" s="7" t="str">
        <f t="shared" si="93"/>
        <v/>
      </c>
      <c r="AS855" s="7" t="str">
        <f t="shared" si="94"/>
        <v/>
      </c>
      <c r="AT855" s="7" t="str">
        <f t="shared" si="95"/>
        <v/>
      </c>
      <c r="AU855" s="7" t="str">
        <f t="shared" si="96"/>
        <v/>
      </c>
      <c r="AV855" s="7" t="str">
        <f t="shared" si="97"/>
        <v/>
      </c>
      <c r="AW855" s="7" t="str">
        <f>IF('RFQ-Input'!O854="","",'RFQ-Input'!O854)</f>
        <v/>
      </c>
      <c r="AX855" s="7" t="str">
        <f>IF('RFQ-Input'!S854="","",'RFQ-Input'!S854)</f>
        <v/>
      </c>
      <c r="AY855" s="7" t="str">
        <f>IF('RFQ-Input'!V854="","",'RFQ-Input'!V854)</f>
        <v/>
      </c>
      <c r="AZ855" s="7" t="str">
        <f>IF('RFQ-Input'!Y854="","",'RFQ-Input'!Y854)</f>
        <v/>
      </c>
      <c r="BA855" s="7" t="str">
        <f>IF('RFQ-Input'!AB854="","",'RFQ-Input'!AB854)</f>
        <v/>
      </c>
    </row>
    <row r="856" spans="1:53">
      <c r="A856" s="20">
        <v>852</v>
      </c>
      <c r="B856" s="7"/>
      <c r="C856" s="7" t="str">
        <f>IF('RFQ-Input'!C855="","",'RFQ-Input'!C855)</f>
        <v/>
      </c>
      <c r="D856" s="7" t="str">
        <f>IF('RFQ-Input'!D855="","",'RFQ-Input'!D855)</f>
        <v/>
      </c>
      <c r="E856" s="7" t="str">
        <f>IF('RFQ-Input'!E855="","",'RFQ-Input'!E855)</f>
        <v/>
      </c>
      <c r="F856" s="7" t="str">
        <f>IF('RFQ-Input'!F855="","",'RFQ-Input'!F855)</f>
        <v/>
      </c>
      <c r="G856" s="7" t="str">
        <f>IF('RFQ-Input'!G855="","",'RFQ-Input'!G855)</f>
        <v/>
      </c>
      <c r="H856" s="7" t="str">
        <f>IF('RFQ-Input'!H855="","",'RFQ-Input'!H855)</f>
        <v/>
      </c>
      <c r="I856" s="7" t="str">
        <f>IF('RFQ-Input'!I855="","",'RFQ-Input'!I855)</f>
        <v/>
      </c>
      <c r="J856" s="7" t="str">
        <f>IF('RFQ-Input'!J855="","",'RFQ-Input'!J855)</f>
        <v/>
      </c>
      <c r="K856" s="7" t="str">
        <f>IF('RFQ-Input'!K855="","",'RFQ-Input'!K855)</f>
        <v/>
      </c>
      <c r="L856" s="7" t="str">
        <f>IF('RFQ-Input'!L855="","",'RFQ-Input'!L855)</f>
        <v/>
      </c>
      <c r="M856" s="7" t="str">
        <f>IF('RFQ-Input'!M855="","",'RFQ-Input'!M855)</f>
        <v/>
      </c>
      <c r="N856" s="7" t="str">
        <f>IF('RFQ-Input'!N855="","",'RFQ-Input'!N855)</f>
        <v/>
      </c>
      <c r="O856" s="7" t="str">
        <f>IF('RFQ-Input'!O855="","",'RFQ-Input'!O855)</f>
        <v/>
      </c>
      <c r="Q856" s="7"/>
      <c r="R856" s="7"/>
      <c r="S856" s="7"/>
      <c r="T856" s="7"/>
      <c r="U856" s="7"/>
      <c r="V856" s="7"/>
      <c r="X856" s="7"/>
      <c r="Y856" s="7"/>
      <c r="Z856" s="7"/>
      <c r="AA856" s="7" t="str">
        <f t="shared" si="91"/>
        <v/>
      </c>
      <c r="AB856" s="7"/>
      <c r="AC856" s="7"/>
      <c r="AQ856" s="7" t="str">
        <f t="shared" si="92"/>
        <v/>
      </c>
      <c r="AR856" s="7" t="str">
        <f t="shared" si="93"/>
        <v/>
      </c>
      <c r="AS856" s="7" t="str">
        <f t="shared" si="94"/>
        <v/>
      </c>
      <c r="AT856" s="7" t="str">
        <f t="shared" si="95"/>
        <v/>
      </c>
      <c r="AU856" s="7" t="str">
        <f t="shared" si="96"/>
        <v/>
      </c>
      <c r="AV856" s="7" t="str">
        <f t="shared" si="97"/>
        <v/>
      </c>
      <c r="AW856" s="7" t="str">
        <f>IF('RFQ-Input'!O855="","",'RFQ-Input'!O855)</f>
        <v/>
      </c>
      <c r="AX856" s="7" t="str">
        <f>IF('RFQ-Input'!S855="","",'RFQ-Input'!S855)</f>
        <v/>
      </c>
      <c r="AY856" s="7" t="str">
        <f>IF('RFQ-Input'!V855="","",'RFQ-Input'!V855)</f>
        <v/>
      </c>
      <c r="AZ856" s="7" t="str">
        <f>IF('RFQ-Input'!Y855="","",'RFQ-Input'!Y855)</f>
        <v/>
      </c>
      <c r="BA856" s="7" t="str">
        <f>IF('RFQ-Input'!AB855="","",'RFQ-Input'!AB855)</f>
        <v/>
      </c>
    </row>
    <row r="857" spans="1:53">
      <c r="A857" s="20">
        <v>853</v>
      </c>
      <c r="B857" s="7"/>
      <c r="C857" s="7" t="str">
        <f>IF('RFQ-Input'!C856="","",'RFQ-Input'!C856)</f>
        <v/>
      </c>
      <c r="D857" s="7" t="str">
        <f>IF('RFQ-Input'!D856="","",'RFQ-Input'!D856)</f>
        <v/>
      </c>
      <c r="E857" s="7" t="str">
        <f>IF('RFQ-Input'!E856="","",'RFQ-Input'!E856)</f>
        <v/>
      </c>
      <c r="F857" s="7" t="str">
        <f>IF('RFQ-Input'!F856="","",'RFQ-Input'!F856)</f>
        <v/>
      </c>
      <c r="G857" s="7" t="str">
        <f>IF('RFQ-Input'!G856="","",'RFQ-Input'!G856)</f>
        <v/>
      </c>
      <c r="H857" s="7" t="str">
        <f>IF('RFQ-Input'!H856="","",'RFQ-Input'!H856)</f>
        <v/>
      </c>
      <c r="I857" s="7" t="str">
        <f>IF('RFQ-Input'!I856="","",'RFQ-Input'!I856)</f>
        <v/>
      </c>
      <c r="J857" s="7" t="str">
        <f>IF('RFQ-Input'!J856="","",'RFQ-Input'!J856)</f>
        <v/>
      </c>
      <c r="K857" s="7" t="str">
        <f>IF('RFQ-Input'!K856="","",'RFQ-Input'!K856)</f>
        <v/>
      </c>
      <c r="L857" s="7" t="str">
        <f>IF('RFQ-Input'!L856="","",'RFQ-Input'!L856)</f>
        <v/>
      </c>
      <c r="M857" s="7" t="str">
        <f>IF('RFQ-Input'!M856="","",'RFQ-Input'!M856)</f>
        <v/>
      </c>
      <c r="N857" s="7" t="str">
        <f>IF('RFQ-Input'!N856="","",'RFQ-Input'!N856)</f>
        <v/>
      </c>
      <c r="O857" s="7" t="str">
        <f>IF('RFQ-Input'!O856="","",'RFQ-Input'!O856)</f>
        <v/>
      </c>
      <c r="Q857" s="7"/>
      <c r="R857" s="7"/>
      <c r="S857" s="7"/>
      <c r="T857" s="7"/>
      <c r="U857" s="7"/>
      <c r="V857" s="7"/>
      <c r="X857" s="7"/>
      <c r="Y857" s="7"/>
      <c r="Z857" s="7"/>
      <c r="AA857" s="7" t="str">
        <f t="shared" si="91"/>
        <v/>
      </c>
      <c r="AB857" s="7"/>
      <c r="AC857" s="7"/>
      <c r="AQ857" s="7" t="str">
        <f t="shared" si="92"/>
        <v/>
      </c>
      <c r="AR857" s="7" t="str">
        <f t="shared" si="93"/>
        <v/>
      </c>
      <c r="AS857" s="7" t="str">
        <f t="shared" si="94"/>
        <v/>
      </c>
      <c r="AT857" s="7" t="str">
        <f t="shared" si="95"/>
        <v/>
      </c>
      <c r="AU857" s="7" t="str">
        <f t="shared" si="96"/>
        <v/>
      </c>
      <c r="AV857" s="7" t="str">
        <f t="shared" si="97"/>
        <v/>
      </c>
      <c r="AW857" s="7" t="str">
        <f>IF('RFQ-Input'!O856="","",'RFQ-Input'!O856)</f>
        <v/>
      </c>
      <c r="AX857" s="7" t="str">
        <f>IF('RFQ-Input'!S856="","",'RFQ-Input'!S856)</f>
        <v/>
      </c>
      <c r="AY857" s="7" t="str">
        <f>IF('RFQ-Input'!V856="","",'RFQ-Input'!V856)</f>
        <v/>
      </c>
      <c r="AZ857" s="7" t="str">
        <f>IF('RFQ-Input'!Y856="","",'RFQ-Input'!Y856)</f>
        <v/>
      </c>
      <c r="BA857" s="7" t="str">
        <f>IF('RFQ-Input'!AB856="","",'RFQ-Input'!AB856)</f>
        <v/>
      </c>
    </row>
    <row r="858" spans="1:53">
      <c r="A858" s="20">
        <v>854</v>
      </c>
      <c r="B858" s="7"/>
      <c r="C858" s="7" t="str">
        <f>IF('RFQ-Input'!C857="","",'RFQ-Input'!C857)</f>
        <v/>
      </c>
      <c r="D858" s="7" t="str">
        <f>IF('RFQ-Input'!D857="","",'RFQ-Input'!D857)</f>
        <v/>
      </c>
      <c r="E858" s="7" t="str">
        <f>IF('RFQ-Input'!E857="","",'RFQ-Input'!E857)</f>
        <v/>
      </c>
      <c r="F858" s="7" t="str">
        <f>IF('RFQ-Input'!F857="","",'RFQ-Input'!F857)</f>
        <v/>
      </c>
      <c r="G858" s="7" t="str">
        <f>IF('RFQ-Input'!G857="","",'RFQ-Input'!G857)</f>
        <v/>
      </c>
      <c r="H858" s="7" t="str">
        <f>IF('RFQ-Input'!H857="","",'RFQ-Input'!H857)</f>
        <v/>
      </c>
      <c r="I858" s="7" t="str">
        <f>IF('RFQ-Input'!I857="","",'RFQ-Input'!I857)</f>
        <v/>
      </c>
      <c r="J858" s="7" t="str">
        <f>IF('RFQ-Input'!J857="","",'RFQ-Input'!J857)</f>
        <v/>
      </c>
      <c r="K858" s="7" t="str">
        <f>IF('RFQ-Input'!K857="","",'RFQ-Input'!K857)</f>
        <v/>
      </c>
      <c r="L858" s="7" t="str">
        <f>IF('RFQ-Input'!L857="","",'RFQ-Input'!L857)</f>
        <v/>
      </c>
      <c r="M858" s="7" t="str">
        <f>IF('RFQ-Input'!M857="","",'RFQ-Input'!M857)</f>
        <v/>
      </c>
      <c r="N858" s="7" t="str">
        <f>IF('RFQ-Input'!N857="","",'RFQ-Input'!N857)</f>
        <v/>
      </c>
      <c r="O858" s="7" t="str">
        <f>IF('RFQ-Input'!O857="","",'RFQ-Input'!O857)</f>
        <v/>
      </c>
      <c r="Q858" s="7"/>
      <c r="R858" s="7"/>
      <c r="S858" s="7"/>
      <c r="T858" s="7"/>
      <c r="U858" s="7"/>
      <c r="V858" s="7"/>
      <c r="X858" s="7"/>
      <c r="Y858" s="7"/>
      <c r="Z858" s="7"/>
      <c r="AA858" s="7" t="str">
        <f t="shared" si="91"/>
        <v/>
      </c>
      <c r="AB858" s="7"/>
      <c r="AC858" s="7"/>
      <c r="AQ858" s="7" t="str">
        <f t="shared" si="92"/>
        <v/>
      </c>
      <c r="AR858" s="7" t="str">
        <f t="shared" si="93"/>
        <v/>
      </c>
      <c r="AS858" s="7" t="str">
        <f t="shared" si="94"/>
        <v/>
      </c>
      <c r="AT858" s="7" t="str">
        <f t="shared" si="95"/>
        <v/>
      </c>
      <c r="AU858" s="7" t="str">
        <f t="shared" si="96"/>
        <v/>
      </c>
      <c r="AV858" s="7" t="str">
        <f t="shared" si="97"/>
        <v/>
      </c>
      <c r="AW858" s="7" t="str">
        <f>IF('RFQ-Input'!O857="","",'RFQ-Input'!O857)</f>
        <v/>
      </c>
      <c r="AX858" s="7" t="str">
        <f>IF('RFQ-Input'!S857="","",'RFQ-Input'!S857)</f>
        <v/>
      </c>
      <c r="AY858" s="7" t="str">
        <f>IF('RFQ-Input'!V857="","",'RFQ-Input'!V857)</f>
        <v/>
      </c>
      <c r="AZ858" s="7" t="str">
        <f>IF('RFQ-Input'!Y857="","",'RFQ-Input'!Y857)</f>
        <v/>
      </c>
      <c r="BA858" s="7" t="str">
        <f>IF('RFQ-Input'!AB857="","",'RFQ-Input'!AB857)</f>
        <v/>
      </c>
    </row>
    <row r="859" spans="1:53">
      <c r="A859" s="20">
        <v>855</v>
      </c>
      <c r="B859" s="7"/>
      <c r="C859" s="7" t="str">
        <f>IF('RFQ-Input'!C858="","",'RFQ-Input'!C858)</f>
        <v/>
      </c>
      <c r="D859" s="7" t="str">
        <f>IF('RFQ-Input'!D858="","",'RFQ-Input'!D858)</f>
        <v/>
      </c>
      <c r="E859" s="7" t="str">
        <f>IF('RFQ-Input'!E858="","",'RFQ-Input'!E858)</f>
        <v/>
      </c>
      <c r="F859" s="7" t="str">
        <f>IF('RFQ-Input'!F858="","",'RFQ-Input'!F858)</f>
        <v/>
      </c>
      <c r="G859" s="7" t="str">
        <f>IF('RFQ-Input'!G858="","",'RFQ-Input'!G858)</f>
        <v/>
      </c>
      <c r="H859" s="7" t="str">
        <f>IF('RFQ-Input'!H858="","",'RFQ-Input'!H858)</f>
        <v/>
      </c>
      <c r="I859" s="7" t="str">
        <f>IF('RFQ-Input'!I858="","",'RFQ-Input'!I858)</f>
        <v/>
      </c>
      <c r="J859" s="7" t="str">
        <f>IF('RFQ-Input'!J858="","",'RFQ-Input'!J858)</f>
        <v/>
      </c>
      <c r="K859" s="7" t="str">
        <f>IF('RFQ-Input'!K858="","",'RFQ-Input'!K858)</f>
        <v/>
      </c>
      <c r="L859" s="7" t="str">
        <f>IF('RFQ-Input'!L858="","",'RFQ-Input'!L858)</f>
        <v/>
      </c>
      <c r="M859" s="7" t="str">
        <f>IF('RFQ-Input'!M858="","",'RFQ-Input'!M858)</f>
        <v/>
      </c>
      <c r="N859" s="7" t="str">
        <f>IF('RFQ-Input'!N858="","",'RFQ-Input'!N858)</f>
        <v/>
      </c>
      <c r="O859" s="7" t="str">
        <f>IF('RFQ-Input'!O858="","",'RFQ-Input'!O858)</f>
        <v/>
      </c>
      <c r="Q859" s="7"/>
      <c r="R859" s="7"/>
      <c r="S859" s="7"/>
      <c r="T859" s="7"/>
      <c r="U859" s="7"/>
      <c r="V859" s="7"/>
      <c r="X859" s="7"/>
      <c r="Y859" s="7"/>
      <c r="Z859" s="7"/>
      <c r="AA859" s="7" t="str">
        <f t="shared" si="91"/>
        <v/>
      </c>
      <c r="AB859" s="7"/>
      <c r="AC859" s="7"/>
      <c r="AQ859" s="7" t="str">
        <f t="shared" si="92"/>
        <v/>
      </c>
      <c r="AR859" s="7" t="str">
        <f t="shared" si="93"/>
        <v/>
      </c>
      <c r="AS859" s="7" t="str">
        <f t="shared" si="94"/>
        <v/>
      </c>
      <c r="AT859" s="7" t="str">
        <f t="shared" si="95"/>
        <v/>
      </c>
      <c r="AU859" s="7" t="str">
        <f t="shared" si="96"/>
        <v/>
      </c>
      <c r="AV859" s="7" t="str">
        <f t="shared" si="97"/>
        <v/>
      </c>
      <c r="AW859" s="7" t="str">
        <f>IF('RFQ-Input'!O858="","",'RFQ-Input'!O858)</f>
        <v/>
      </c>
      <c r="AX859" s="7" t="str">
        <f>IF('RFQ-Input'!S858="","",'RFQ-Input'!S858)</f>
        <v/>
      </c>
      <c r="AY859" s="7" t="str">
        <f>IF('RFQ-Input'!V858="","",'RFQ-Input'!V858)</f>
        <v/>
      </c>
      <c r="AZ859" s="7" t="str">
        <f>IF('RFQ-Input'!Y858="","",'RFQ-Input'!Y858)</f>
        <v/>
      </c>
      <c r="BA859" s="7" t="str">
        <f>IF('RFQ-Input'!AB858="","",'RFQ-Input'!AB858)</f>
        <v/>
      </c>
    </row>
    <row r="860" spans="1:53">
      <c r="A860" s="20">
        <v>856</v>
      </c>
      <c r="B860" s="7"/>
      <c r="C860" s="7" t="str">
        <f>IF('RFQ-Input'!C859="","",'RFQ-Input'!C859)</f>
        <v/>
      </c>
      <c r="D860" s="7" t="str">
        <f>IF('RFQ-Input'!D859="","",'RFQ-Input'!D859)</f>
        <v/>
      </c>
      <c r="E860" s="7" t="str">
        <f>IF('RFQ-Input'!E859="","",'RFQ-Input'!E859)</f>
        <v/>
      </c>
      <c r="F860" s="7" t="str">
        <f>IF('RFQ-Input'!F859="","",'RFQ-Input'!F859)</f>
        <v/>
      </c>
      <c r="G860" s="7" t="str">
        <f>IF('RFQ-Input'!G859="","",'RFQ-Input'!G859)</f>
        <v/>
      </c>
      <c r="H860" s="7" t="str">
        <f>IF('RFQ-Input'!H859="","",'RFQ-Input'!H859)</f>
        <v/>
      </c>
      <c r="I860" s="7" t="str">
        <f>IF('RFQ-Input'!I859="","",'RFQ-Input'!I859)</f>
        <v/>
      </c>
      <c r="J860" s="7" t="str">
        <f>IF('RFQ-Input'!J859="","",'RFQ-Input'!J859)</f>
        <v/>
      </c>
      <c r="K860" s="7" t="str">
        <f>IF('RFQ-Input'!K859="","",'RFQ-Input'!K859)</f>
        <v/>
      </c>
      <c r="L860" s="7" t="str">
        <f>IF('RFQ-Input'!L859="","",'RFQ-Input'!L859)</f>
        <v/>
      </c>
      <c r="M860" s="7" t="str">
        <f>IF('RFQ-Input'!M859="","",'RFQ-Input'!M859)</f>
        <v/>
      </c>
      <c r="N860" s="7" t="str">
        <f>IF('RFQ-Input'!N859="","",'RFQ-Input'!N859)</f>
        <v/>
      </c>
      <c r="O860" s="7" t="str">
        <f>IF('RFQ-Input'!O859="","",'RFQ-Input'!O859)</f>
        <v/>
      </c>
      <c r="Q860" s="7"/>
      <c r="R860" s="7"/>
      <c r="S860" s="7"/>
      <c r="T860" s="7"/>
      <c r="U860" s="7"/>
      <c r="V860" s="7"/>
      <c r="X860" s="7"/>
      <c r="Y860" s="7"/>
      <c r="Z860" s="7"/>
      <c r="AA860" s="7" t="str">
        <f t="shared" si="91"/>
        <v/>
      </c>
      <c r="AB860" s="7"/>
      <c r="AC860" s="7"/>
      <c r="AQ860" s="7" t="str">
        <f t="shared" si="92"/>
        <v/>
      </c>
      <c r="AR860" s="7" t="str">
        <f t="shared" si="93"/>
        <v/>
      </c>
      <c r="AS860" s="7" t="str">
        <f t="shared" si="94"/>
        <v/>
      </c>
      <c r="AT860" s="7" t="str">
        <f t="shared" si="95"/>
        <v/>
      </c>
      <c r="AU860" s="7" t="str">
        <f t="shared" si="96"/>
        <v/>
      </c>
      <c r="AV860" s="7" t="str">
        <f t="shared" si="97"/>
        <v/>
      </c>
      <c r="AW860" s="7" t="str">
        <f>IF('RFQ-Input'!O859="","",'RFQ-Input'!O859)</f>
        <v/>
      </c>
      <c r="AX860" s="7" t="str">
        <f>IF('RFQ-Input'!S859="","",'RFQ-Input'!S859)</f>
        <v/>
      </c>
      <c r="AY860" s="7" t="str">
        <f>IF('RFQ-Input'!V859="","",'RFQ-Input'!V859)</f>
        <v/>
      </c>
      <c r="AZ860" s="7" t="str">
        <f>IF('RFQ-Input'!Y859="","",'RFQ-Input'!Y859)</f>
        <v/>
      </c>
      <c r="BA860" s="7" t="str">
        <f>IF('RFQ-Input'!AB859="","",'RFQ-Input'!AB859)</f>
        <v/>
      </c>
    </row>
    <row r="861" spans="1:53">
      <c r="A861" s="20">
        <v>857</v>
      </c>
      <c r="B861" s="7"/>
      <c r="C861" s="7" t="str">
        <f>IF('RFQ-Input'!C860="","",'RFQ-Input'!C860)</f>
        <v/>
      </c>
      <c r="D861" s="7" t="str">
        <f>IF('RFQ-Input'!D860="","",'RFQ-Input'!D860)</f>
        <v/>
      </c>
      <c r="E861" s="7" t="str">
        <f>IF('RFQ-Input'!E860="","",'RFQ-Input'!E860)</f>
        <v/>
      </c>
      <c r="F861" s="7" t="str">
        <f>IF('RFQ-Input'!F860="","",'RFQ-Input'!F860)</f>
        <v/>
      </c>
      <c r="G861" s="7" t="str">
        <f>IF('RFQ-Input'!G860="","",'RFQ-Input'!G860)</f>
        <v/>
      </c>
      <c r="H861" s="7" t="str">
        <f>IF('RFQ-Input'!H860="","",'RFQ-Input'!H860)</f>
        <v/>
      </c>
      <c r="I861" s="7" t="str">
        <f>IF('RFQ-Input'!I860="","",'RFQ-Input'!I860)</f>
        <v/>
      </c>
      <c r="J861" s="7" t="str">
        <f>IF('RFQ-Input'!J860="","",'RFQ-Input'!J860)</f>
        <v/>
      </c>
      <c r="K861" s="7" t="str">
        <f>IF('RFQ-Input'!K860="","",'RFQ-Input'!K860)</f>
        <v/>
      </c>
      <c r="L861" s="7" t="str">
        <f>IF('RFQ-Input'!L860="","",'RFQ-Input'!L860)</f>
        <v/>
      </c>
      <c r="M861" s="7" t="str">
        <f>IF('RFQ-Input'!M860="","",'RFQ-Input'!M860)</f>
        <v/>
      </c>
      <c r="N861" s="7" t="str">
        <f>IF('RFQ-Input'!N860="","",'RFQ-Input'!N860)</f>
        <v/>
      </c>
      <c r="O861" s="7" t="str">
        <f>IF('RFQ-Input'!O860="","",'RFQ-Input'!O860)</f>
        <v/>
      </c>
      <c r="Q861" s="7"/>
      <c r="R861" s="7"/>
      <c r="S861" s="7"/>
      <c r="T861" s="7"/>
      <c r="U861" s="7"/>
      <c r="V861" s="7"/>
      <c r="X861" s="7"/>
      <c r="Y861" s="7"/>
      <c r="Z861" s="7"/>
      <c r="AA861" s="7" t="str">
        <f t="shared" si="91"/>
        <v/>
      </c>
      <c r="AB861" s="7"/>
      <c r="AC861" s="7"/>
      <c r="AQ861" s="7" t="str">
        <f t="shared" si="92"/>
        <v/>
      </c>
      <c r="AR861" s="7" t="str">
        <f t="shared" si="93"/>
        <v/>
      </c>
      <c r="AS861" s="7" t="str">
        <f t="shared" si="94"/>
        <v/>
      </c>
      <c r="AT861" s="7" t="str">
        <f t="shared" si="95"/>
        <v/>
      </c>
      <c r="AU861" s="7" t="str">
        <f t="shared" si="96"/>
        <v/>
      </c>
      <c r="AV861" s="7" t="str">
        <f t="shared" si="97"/>
        <v/>
      </c>
      <c r="AW861" s="7" t="str">
        <f>IF('RFQ-Input'!O860="","",'RFQ-Input'!O860)</f>
        <v/>
      </c>
      <c r="AX861" s="7" t="str">
        <f>IF('RFQ-Input'!S860="","",'RFQ-Input'!S860)</f>
        <v/>
      </c>
      <c r="AY861" s="7" t="str">
        <f>IF('RFQ-Input'!V860="","",'RFQ-Input'!V860)</f>
        <v/>
      </c>
      <c r="AZ861" s="7" t="str">
        <f>IF('RFQ-Input'!Y860="","",'RFQ-Input'!Y860)</f>
        <v/>
      </c>
      <c r="BA861" s="7" t="str">
        <f>IF('RFQ-Input'!AB860="","",'RFQ-Input'!AB860)</f>
        <v/>
      </c>
    </row>
    <row r="862" spans="1:53">
      <c r="A862" s="20">
        <v>858</v>
      </c>
      <c r="B862" s="7"/>
      <c r="C862" s="7" t="str">
        <f>IF('RFQ-Input'!C861="","",'RFQ-Input'!C861)</f>
        <v/>
      </c>
      <c r="D862" s="7" t="str">
        <f>IF('RFQ-Input'!D861="","",'RFQ-Input'!D861)</f>
        <v/>
      </c>
      <c r="E862" s="7" t="str">
        <f>IF('RFQ-Input'!E861="","",'RFQ-Input'!E861)</f>
        <v/>
      </c>
      <c r="F862" s="7" t="str">
        <f>IF('RFQ-Input'!F861="","",'RFQ-Input'!F861)</f>
        <v/>
      </c>
      <c r="G862" s="7" t="str">
        <f>IF('RFQ-Input'!G861="","",'RFQ-Input'!G861)</f>
        <v/>
      </c>
      <c r="H862" s="7" t="str">
        <f>IF('RFQ-Input'!H861="","",'RFQ-Input'!H861)</f>
        <v/>
      </c>
      <c r="I862" s="7" t="str">
        <f>IF('RFQ-Input'!I861="","",'RFQ-Input'!I861)</f>
        <v/>
      </c>
      <c r="J862" s="7" t="str">
        <f>IF('RFQ-Input'!J861="","",'RFQ-Input'!J861)</f>
        <v/>
      </c>
      <c r="K862" s="7" t="str">
        <f>IF('RFQ-Input'!K861="","",'RFQ-Input'!K861)</f>
        <v/>
      </c>
      <c r="L862" s="7" t="str">
        <f>IF('RFQ-Input'!L861="","",'RFQ-Input'!L861)</f>
        <v/>
      </c>
      <c r="M862" s="7" t="str">
        <f>IF('RFQ-Input'!M861="","",'RFQ-Input'!M861)</f>
        <v/>
      </c>
      <c r="N862" s="7" t="str">
        <f>IF('RFQ-Input'!N861="","",'RFQ-Input'!N861)</f>
        <v/>
      </c>
      <c r="O862" s="7" t="str">
        <f>IF('RFQ-Input'!O861="","",'RFQ-Input'!O861)</f>
        <v/>
      </c>
      <c r="Q862" s="7"/>
      <c r="R862" s="7"/>
      <c r="S862" s="7"/>
      <c r="T862" s="7"/>
      <c r="U862" s="7"/>
      <c r="V862" s="7"/>
      <c r="X862" s="7"/>
      <c r="Y862" s="7"/>
      <c r="Z862" s="7"/>
      <c r="AA862" s="7" t="str">
        <f t="shared" si="91"/>
        <v/>
      </c>
      <c r="AB862" s="7"/>
      <c r="AC862" s="7"/>
      <c r="AQ862" s="7" t="str">
        <f t="shared" si="92"/>
        <v/>
      </c>
      <c r="AR862" s="7" t="str">
        <f t="shared" si="93"/>
        <v/>
      </c>
      <c r="AS862" s="7" t="str">
        <f t="shared" si="94"/>
        <v/>
      </c>
      <c r="AT862" s="7" t="str">
        <f t="shared" si="95"/>
        <v/>
      </c>
      <c r="AU862" s="7" t="str">
        <f t="shared" si="96"/>
        <v/>
      </c>
      <c r="AV862" s="7" t="str">
        <f t="shared" si="97"/>
        <v/>
      </c>
      <c r="AW862" s="7" t="str">
        <f>IF('RFQ-Input'!O861="","",'RFQ-Input'!O861)</f>
        <v/>
      </c>
      <c r="AX862" s="7" t="str">
        <f>IF('RFQ-Input'!S861="","",'RFQ-Input'!S861)</f>
        <v/>
      </c>
      <c r="AY862" s="7" t="str">
        <f>IF('RFQ-Input'!V861="","",'RFQ-Input'!V861)</f>
        <v/>
      </c>
      <c r="AZ862" s="7" t="str">
        <f>IF('RFQ-Input'!Y861="","",'RFQ-Input'!Y861)</f>
        <v/>
      </c>
      <c r="BA862" s="7" t="str">
        <f>IF('RFQ-Input'!AB861="","",'RFQ-Input'!AB861)</f>
        <v/>
      </c>
    </row>
    <row r="863" spans="1:53">
      <c r="A863" s="20">
        <v>859</v>
      </c>
      <c r="B863" s="7"/>
      <c r="C863" s="7" t="str">
        <f>IF('RFQ-Input'!C862="","",'RFQ-Input'!C862)</f>
        <v/>
      </c>
      <c r="D863" s="7" t="str">
        <f>IF('RFQ-Input'!D862="","",'RFQ-Input'!D862)</f>
        <v/>
      </c>
      <c r="E863" s="7" t="str">
        <f>IF('RFQ-Input'!E862="","",'RFQ-Input'!E862)</f>
        <v/>
      </c>
      <c r="F863" s="7" t="str">
        <f>IF('RFQ-Input'!F862="","",'RFQ-Input'!F862)</f>
        <v/>
      </c>
      <c r="G863" s="7" t="str">
        <f>IF('RFQ-Input'!G862="","",'RFQ-Input'!G862)</f>
        <v/>
      </c>
      <c r="H863" s="7" t="str">
        <f>IF('RFQ-Input'!H862="","",'RFQ-Input'!H862)</f>
        <v/>
      </c>
      <c r="I863" s="7" t="str">
        <f>IF('RFQ-Input'!I862="","",'RFQ-Input'!I862)</f>
        <v/>
      </c>
      <c r="J863" s="7" t="str">
        <f>IF('RFQ-Input'!J862="","",'RFQ-Input'!J862)</f>
        <v/>
      </c>
      <c r="K863" s="7" t="str">
        <f>IF('RFQ-Input'!K862="","",'RFQ-Input'!K862)</f>
        <v/>
      </c>
      <c r="L863" s="7" t="str">
        <f>IF('RFQ-Input'!L862="","",'RFQ-Input'!L862)</f>
        <v/>
      </c>
      <c r="M863" s="7" t="str">
        <f>IF('RFQ-Input'!M862="","",'RFQ-Input'!M862)</f>
        <v/>
      </c>
      <c r="N863" s="7" t="str">
        <f>IF('RFQ-Input'!N862="","",'RFQ-Input'!N862)</f>
        <v/>
      </c>
      <c r="O863" s="7" t="str">
        <f>IF('RFQ-Input'!O862="","",'RFQ-Input'!O862)</f>
        <v/>
      </c>
      <c r="Q863" s="7"/>
      <c r="R863" s="7"/>
      <c r="S863" s="7"/>
      <c r="T863" s="7"/>
      <c r="U863" s="7"/>
      <c r="V863" s="7"/>
      <c r="X863" s="7"/>
      <c r="Y863" s="7"/>
      <c r="Z863" s="7"/>
      <c r="AA863" s="7" t="str">
        <f t="shared" si="91"/>
        <v/>
      </c>
      <c r="AB863" s="7"/>
      <c r="AC863" s="7"/>
      <c r="AQ863" s="7" t="str">
        <f t="shared" si="92"/>
        <v/>
      </c>
      <c r="AR863" s="7" t="str">
        <f t="shared" si="93"/>
        <v/>
      </c>
      <c r="AS863" s="7" t="str">
        <f t="shared" si="94"/>
        <v/>
      </c>
      <c r="AT863" s="7" t="str">
        <f t="shared" si="95"/>
        <v/>
      </c>
      <c r="AU863" s="7" t="str">
        <f t="shared" si="96"/>
        <v/>
      </c>
      <c r="AV863" s="7" t="str">
        <f t="shared" si="97"/>
        <v/>
      </c>
      <c r="AW863" s="7" t="str">
        <f>IF('RFQ-Input'!O862="","",'RFQ-Input'!O862)</f>
        <v/>
      </c>
      <c r="AX863" s="7" t="str">
        <f>IF('RFQ-Input'!S862="","",'RFQ-Input'!S862)</f>
        <v/>
      </c>
      <c r="AY863" s="7" t="str">
        <f>IF('RFQ-Input'!V862="","",'RFQ-Input'!V862)</f>
        <v/>
      </c>
      <c r="AZ863" s="7" t="str">
        <f>IF('RFQ-Input'!Y862="","",'RFQ-Input'!Y862)</f>
        <v/>
      </c>
      <c r="BA863" s="7" t="str">
        <f>IF('RFQ-Input'!AB862="","",'RFQ-Input'!AB862)</f>
        <v/>
      </c>
    </row>
    <row r="864" spans="1:53">
      <c r="A864" s="20">
        <v>860</v>
      </c>
      <c r="B864" s="7"/>
      <c r="C864" s="7" t="str">
        <f>IF('RFQ-Input'!C863="","",'RFQ-Input'!C863)</f>
        <v/>
      </c>
      <c r="D864" s="7" t="str">
        <f>IF('RFQ-Input'!D863="","",'RFQ-Input'!D863)</f>
        <v/>
      </c>
      <c r="E864" s="7" t="str">
        <f>IF('RFQ-Input'!E863="","",'RFQ-Input'!E863)</f>
        <v/>
      </c>
      <c r="F864" s="7" t="str">
        <f>IF('RFQ-Input'!F863="","",'RFQ-Input'!F863)</f>
        <v/>
      </c>
      <c r="G864" s="7" t="str">
        <f>IF('RFQ-Input'!G863="","",'RFQ-Input'!G863)</f>
        <v/>
      </c>
      <c r="H864" s="7" t="str">
        <f>IF('RFQ-Input'!H863="","",'RFQ-Input'!H863)</f>
        <v/>
      </c>
      <c r="I864" s="7" t="str">
        <f>IF('RFQ-Input'!I863="","",'RFQ-Input'!I863)</f>
        <v/>
      </c>
      <c r="J864" s="7" t="str">
        <f>IF('RFQ-Input'!J863="","",'RFQ-Input'!J863)</f>
        <v/>
      </c>
      <c r="K864" s="7" t="str">
        <f>IF('RFQ-Input'!K863="","",'RFQ-Input'!K863)</f>
        <v/>
      </c>
      <c r="L864" s="7" t="str">
        <f>IF('RFQ-Input'!L863="","",'RFQ-Input'!L863)</f>
        <v/>
      </c>
      <c r="M864" s="7" t="str">
        <f>IF('RFQ-Input'!M863="","",'RFQ-Input'!M863)</f>
        <v/>
      </c>
      <c r="N864" s="7" t="str">
        <f>IF('RFQ-Input'!N863="","",'RFQ-Input'!N863)</f>
        <v/>
      </c>
      <c r="O864" s="7" t="str">
        <f>IF('RFQ-Input'!O863="","",'RFQ-Input'!O863)</f>
        <v/>
      </c>
      <c r="Q864" s="7"/>
      <c r="R864" s="7"/>
      <c r="S864" s="7"/>
      <c r="T864" s="7"/>
      <c r="U864" s="7"/>
      <c r="V864" s="7"/>
      <c r="X864" s="7"/>
      <c r="Y864" s="7"/>
      <c r="Z864" s="7"/>
      <c r="AA864" s="7" t="str">
        <f t="shared" si="91"/>
        <v/>
      </c>
      <c r="AB864" s="7"/>
      <c r="AC864" s="7"/>
      <c r="AQ864" s="7" t="str">
        <f t="shared" si="92"/>
        <v/>
      </c>
      <c r="AR864" s="7" t="str">
        <f t="shared" si="93"/>
        <v/>
      </c>
      <c r="AS864" s="7" t="str">
        <f t="shared" si="94"/>
        <v/>
      </c>
      <c r="AT864" s="7" t="str">
        <f t="shared" si="95"/>
        <v/>
      </c>
      <c r="AU864" s="7" t="str">
        <f t="shared" si="96"/>
        <v/>
      </c>
      <c r="AV864" s="7" t="str">
        <f t="shared" si="97"/>
        <v/>
      </c>
      <c r="AW864" s="7" t="str">
        <f>IF('RFQ-Input'!O863="","",'RFQ-Input'!O863)</f>
        <v/>
      </c>
      <c r="AX864" s="7" t="str">
        <f>IF('RFQ-Input'!S863="","",'RFQ-Input'!S863)</f>
        <v/>
      </c>
      <c r="AY864" s="7" t="str">
        <f>IF('RFQ-Input'!V863="","",'RFQ-Input'!V863)</f>
        <v/>
      </c>
      <c r="AZ864" s="7" t="str">
        <f>IF('RFQ-Input'!Y863="","",'RFQ-Input'!Y863)</f>
        <v/>
      </c>
      <c r="BA864" s="7" t="str">
        <f>IF('RFQ-Input'!AB863="","",'RFQ-Input'!AB863)</f>
        <v/>
      </c>
    </row>
    <row r="865" spans="1:53">
      <c r="A865" s="20">
        <v>861</v>
      </c>
      <c r="B865" s="7"/>
      <c r="C865" s="7" t="str">
        <f>IF('RFQ-Input'!C864="","",'RFQ-Input'!C864)</f>
        <v/>
      </c>
      <c r="D865" s="7" t="str">
        <f>IF('RFQ-Input'!D864="","",'RFQ-Input'!D864)</f>
        <v/>
      </c>
      <c r="E865" s="7" t="str">
        <f>IF('RFQ-Input'!E864="","",'RFQ-Input'!E864)</f>
        <v/>
      </c>
      <c r="F865" s="7" t="str">
        <f>IF('RFQ-Input'!F864="","",'RFQ-Input'!F864)</f>
        <v/>
      </c>
      <c r="G865" s="7" t="str">
        <f>IF('RFQ-Input'!G864="","",'RFQ-Input'!G864)</f>
        <v/>
      </c>
      <c r="H865" s="7" t="str">
        <f>IF('RFQ-Input'!H864="","",'RFQ-Input'!H864)</f>
        <v/>
      </c>
      <c r="I865" s="7" t="str">
        <f>IF('RFQ-Input'!I864="","",'RFQ-Input'!I864)</f>
        <v/>
      </c>
      <c r="J865" s="7" t="str">
        <f>IF('RFQ-Input'!J864="","",'RFQ-Input'!J864)</f>
        <v/>
      </c>
      <c r="K865" s="7" t="str">
        <f>IF('RFQ-Input'!K864="","",'RFQ-Input'!K864)</f>
        <v/>
      </c>
      <c r="L865" s="7" t="str">
        <f>IF('RFQ-Input'!L864="","",'RFQ-Input'!L864)</f>
        <v/>
      </c>
      <c r="M865" s="7" t="str">
        <f>IF('RFQ-Input'!M864="","",'RFQ-Input'!M864)</f>
        <v/>
      </c>
      <c r="N865" s="7" t="str">
        <f>IF('RFQ-Input'!N864="","",'RFQ-Input'!N864)</f>
        <v/>
      </c>
      <c r="O865" s="7" t="str">
        <f>IF('RFQ-Input'!O864="","",'RFQ-Input'!O864)</f>
        <v/>
      </c>
      <c r="Q865" s="7"/>
      <c r="R865" s="7"/>
      <c r="S865" s="7"/>
      <c r="T865" s="7"/>
      <c r="U865" s="7"/>
      <c r="V865" s="7"/>
      <c r="X865" s="7"/>
      <c r="Y865" s="7"/>
      <c r="Z865" s="7"/>
      <c r="AA865" s="7" t="str">
        <f t="shared" si="91"/>
        <v/>
      </c>
      <c r="AB865" s="7"/>
      <c r="AC865" s="7"/>
      <c r="AQ865" s="7" t="str">
        <f t="shared" si="92"/>
        <v/>
      </c>
      <c r="AR865" s="7" t="str">
        <f t="shared" si="93"/>
        <v/>
      </c>
      <c r="AS865" s="7" t="str">
        <f t="shared" si="94"/>
        <v/>
      </c>
      <c r="AT865" s="7" t="str">
        <f t="shared" si="95"/>
        <v/>
      </c>
      <c r="AU865" s="7" t="str">
        <f t="shared" si="96"/>
        <v/>
      </c>
      <c r="AV865" s="7" t="str">
        <f t="shared" si="97"/>
        <v/>
      </c>
      <c r="AW865" s="7" t="str">
        <f>IF('RFQ-Input'!O864="","",'RFQ-Input'!O864)</f>
        <v/>
      </c>
      <c r="AX865" s="7" t="str">
        <f>IF('RFQ-Input'!S864="","",'RFQ-Input'!S864)</f>
        <v/>
      </c>
      <c r="AY865" s="7" t="str">
        <f>IF('RFQ-Input'!V864="","",'RFQ-Input'!V864)</f>
        <v/>
      </c>
      <c r="AZ865" s="7" t="str">
        <f>IF('RFQ-Input'!Y864="","",'RFQ-Input'!Y864)</f>
        <v/>
      </c>
      <c r="BA865" s="7" t="str">
        <f>IF('RFQ-Input'!AB864="","",'RFQ-Input'!AB864)</f>
        <v/>
      </c>
    </row>
    <row r="866" spans="1:53">
      <c r="A866" s="20">
        <v>862</v>
      </c>
      <c r="B866" s="7"/>
      <c r="C866" s="7" t="str">
        <f>IF('RFQ-Input'!C865="","",'RFQ-Input'!C865)</f>
        <v/>
      </c>
      <c r="D866" s="7" t="str">
        <f>IF('RFQ-Input'!D865="","",'RFQ-Input'!D865)</f>
        <v/>
      </c>
      <c r="E866" s="7" t="str">
        <f>IF('RFQ-Input'!E865="","",'RFQ-Input'!E865)</f>
        <v/>
      </c>
      <c r="F866" s="7" t="str">
        <f>IF('RFQ-Input'!F865="","",'RFQ-Input'!F865)</f>
        <v/>
      </c>
      <c r="G866" s="7" t="str">
        <f>IF('RFQ-Input'!G865="","",'RFQ-Input'!G865)</f>
        <v/>
      </c>
      <c r="H866" s="7" t="str">
        <f>IF('RFQ-Input'!H865="","",'RFQ-Input'!H865)</f>
        <v/>
      </c>
      <c r="I866" s="7" t="str">
        <f>IF('RFQ-Input'!I865="","",'RFQ-Input'!I865)</f>
        <v/>
      </c>
      <c r="J866" s="7" t="str">
        <f>IF('RFQ-Input'!J865="","",'RFQ-Input'!J865)</f>
        <v/>
      </c>
      <c r="K866" s="7" t="str">
        <f>IF('RFQ-Input'!K865="","",'RFQ-Input'!K865)</f>
        <v/>
      </c>
      <c r="L866" s="7" t="str">
        <f>IF('RFQ-Input'!L865="","",'RFQ-Input'!L865)</f>
        <v/>
      </c>
      <c r="M866" s="7" t="str">
        <f>IF('RFQ-Input'!M865="","",'RFQ-Input'!M865)</f>
        <v/>
      </c>
      <c r="N866" s="7" t="str">
        <f>IF('RFQ-Input'!N865="","",'RFQ-Input'!N865)</f>
        <v/>
      </c>
      <c r="O866" s="7" t="str">
        <f>IF('RFQ-Input'!O865="","",'RFQ-Input'!O865)</f>
        <v/>
      </c>
      <c r="Q866" s="7"/>
      <c r="R866" s="7"/>
      <c r="S866" s="7"/>
      <c r="T866" s="7"/>
      <c r="U866" s="7"/>
      <c r="V866" s="7"/>
      <c r="X866" s="7"/>
      <c r="Y866" s="7"/>
      <c r="Z866" s="7"/>
      <c r="AA866" s="7" t="str">
        <f t="shared" si="91"/>
        <v/>
      </c>
      <c r="AB866" s="7"/>
      <c r="AC866" s="7"/>
      <c r="AQ866" s="7" t="str">
        <f t="shared" si="92"/>
        <v/>
      </c>
      <c r="AR866" s="7" t="str">
        <f t="shared" si="93"/>
        <v/>
      </c>
      <c r="AS866" s="7" t="str">
        <f t="shared" si="94"/>
        <v/>
      </c>
      <c r="AT866" s="7" t="str">
        <f t="shared" si="95"/>
        <v/>
      </c>
      <c r="AU866" s="7" t="str">
        <f t="shared" si="96"/>
        <v/>
      </c>
      <c r="AV866" s="7" t="str">
        <f t="shared" si="97"/>
        <v/>
      </c>
      <c r="AW866" s="7" t="str">
        <f>IF('RFQ-Input'!O865="","",'RFQ-Input'!O865)</f>
        <v/>
      </c>
      <c r="AX866" s="7" t="str">
        <f>IF('RFQ-Input'!S865="","",'RFQ-Input'!S865)</f>
        <v/>
      </c>
      <c r="AY866" s="7" t="str">
        <f>IF('RFQ-Input'!V865="","",'RFQ-Input'!V865)</f>
        <v/>
      </c>
      <c r="AZ866" s="7" t="str">
        <f>IF('RFQ-Input'!Y865="","",'RFQ-Input'!Y865)</f>
        <v/>
      </c>
      <c r="BA866" s="7" t="str">
        <f>IF('RFQ-Input'!AB865="","",'RFQ-Input'!AB865)</f>
        <v/>
      </c>
    </row>
    <row r="867" spans="1:53">
      <c r="A867" s="20">
        <v>863</v>
      </c>
      <c r="B867" s="7"/>
      <c r="C867" s="7" t="str">
        <f>IF('RFQ-Input'!C866="","",'RFQ-Input'!C866)</f>
        <v/>
      </c>
      <c r="D867" s="7" t="str">
        <f>IF('RFQ-Input'!D866="","",'RFQ-Input'!D866)</f>
        <v/>
      </c>
      <c r="E867" s="7" t="str">
        <f>IF('RFQ-Input'!E866="","",'RFQ-Input'!E866)</f>
        <v/>
      </c>
      <c r="F867" s="7" t="str">
        <f>IF('RFQ-Input'!F866="","",'RFQ-Input'!F866)</f>
        <v/>
      </c>
      <c r="G867" s="7" t="str">
        <f>IF('RFQ-Input'!G866="","",'RFQ-Input'!G866)</f>
        <v/>
      </c>
      <c r="H867" s="7" t="str">
        <f>IF('RFQ-Input'!H866="","",'RFQ-Input'!H866)</f>
        <v/>
      </c>
      <c r="I867" s="7" t="str">
        <f>IF('RFQ-Input'!I866="","",'RFQ-Input'!I866)</f>
        <v/>
      </c>
      <c r="J867" s="7" t="str">
        <f>IF('RFQ-Input'!J866="","",'RFQ-Input'!J866)</f>
        <v/>
      </c>
      <c r="K867" s="7" t="str">
        <f>IF('RFQ-Input'!K866="","",'RFQ-Input'!K866)</f>
        <v/>
      </c>
      <c r="L867" s="7" t="str">
        <f>IF('RFQ-Input'!L866="","",'RFQ-Input'!L866)</f>
        <v/>
      </c>
      <c r="M867" s="7" t="str">
        <f>IF('RFQ-Input'!M866="","",'RFQ-Input'!M866)</f>
        <v/>
      </c>
      <c r="N867" s="7" t="str">
        <f>IF('RFQ-Input'!N866="","",'RFQ-Input'!N866)</f>
        <v/>
      </c>
      <c r="O867" s="7" t="str">
        <f>IF('RFQ-Input'!O866="","",'RFQ-Input'!O866)</f>
        <v/>
      </c>
      <c r="Q867" s="7"/>
      <c r="R867" s="7"/>
      <c r="S867" s="7"/>
      <c r="T867" s="7"/>
      <c r="U867" s="7"/>
      <c r="V867" s="7"/>
      <c r="X867" s="7"/>
      <c r="Y867" s="7"/>
      <c r="Z867" s="7"/>
      <c r="AA867" s="7" t="str">
        <f t="shared" si="91"/>
        <v/>
      </c>
      <c r="AB867" s="7"/>
      <c r="AC867" s="7"/>
      <c r="AQ867" s="7" t="str">
        <f t="shared" si="92"/>
        <v/>
      </c>
      <c r="AR867" s="7" t="str">
        <f t="shared" si="93"/>
        <v/>
      </c>
      <c r="AS867" s="7" t="str">
        <f t="shared" si="94"/>
        <v/>
      </c>
      <c r="AT867" s="7" t="str">
        <f t="shared" si="95"/>
        <v/>
      </c>
      <c r="AU867" s="7" t="str">
        <f t="shared" si="96"/>
        <v/>
      </c>
      <c r="AV867" s="7" t="str">
        <f t="shared" si="97"/>
        <v/>
      </c>
      <c r="AW867" s="7" t="str">
        <f>IF('RFQ-Input'!O866="","",'RFQ-Input'!O866)</f>
        <v/>
      </c>
      <c r="AX867" s="7" t="str">
        <f>IF('RFQ-Input'!S866="","",'RFQ-Input'!S866)</f>
        <v/>
      </c>
      <c r="AY867" s="7" t="str">
        <f>IF('RFQ-Input'!V866="","",'RFQ-Input'!V866)</f>
        <v/>
      </c>
      <c r="AZ867" s="7" t="str">
        <f>IF('RFQ-Input'!Y866="","",'RFQ-Input'!Y866)</f>
        <v/>
      </c>
      <c r="BA867" s="7" t="str">
        <f>IF('RFQ-Input'!AB866="","",'RFQ-Input'!AB866)</f>
        <v/>
      </c>
    </row>
    <row r="868" spans="1:53">
      <c r="A868" s="20">
        <v>864</v>
      </c>
      <c r="B868" s="7"/>
      <c r="C868" s="7" t="str">
        <f>IF('RFQ-Input'!C867="","",'RFQ-Input'!C867)</f>
        <v/>
      </c>
      <c r="D868" s="7" t="str">
        <f>IF('RFQ-Input'!D867="","",'RFQ-Input'!D867)</f>
        <v/>
      </c>
      <c r="E868" s="7" t="str">
        <f>IF('RFQ-Input'!E867="","",'RFQ-Input'!E867)</f>
        <v/>
      </c>
      <c r="F868" s="7" t="str">
        <f>IF('RFQ-Input'!F867="","",'RFQ-Input'!F867)</f>
        <v/>
      </c>
      <c r="G868" s="7" t="str">
        <f>IF('RFQ-Input'!G867="","",'RFQ-Input'!G867)</f>
        <v/>
      </c>
      <c r="H868" s="7" t="str">
        <f>IF('RFQ-Input'!H867="","",'RFQ-Input'!H867)</f>
        <v/>
      </c>
      <c r="I868" s="7" t="str">
        <f>IF('RFQ-Input'!I867="","",'RFQ-Input'!I867)</f>
        <v/>
      </c>
      <c r="J868" s="7" t="str">
        <f>IF('RFQ-Input'!J867="","",'RFQ-Input'!J867)</f>
        <v/>
      </c>
      <c r="K868" s="7" t="str">
        <f>IF('RFQ-Input'!K867="","",'RFQ-Input'!K867)</f>
        <v/>
      </c>
      <c r="L868" s="7" t="str">
        <f>IF('RFQ-Input'!L867="","",'RFQ-Input'!L867)</f>
        <v/>
      </c>
      <c r="M868" s="7" t="str">
        <f>IF('RFQ-Input'!M867="","",'RFQ-Input'!M867)</f>
        <v/>
      </c>
      <c r="N868" s="7" t="str">
        <f>IF('RFQ-Input'!N867="","",'RFQ-Input'!N867)</f>
        <v/>
      </c>
      <c r="O868" s="7" t="str">
        <f>IF('RFQ-Input'!O867="","",'RFQ-Input'!O867)</f>
        <v/>
      </c>
      <c r="Q868" s="7"/>
      <c r="R868" s="7"/>
      <c r="S868" s="7"/>
      <c r="T868" s="7"/>
      <c r="U868" s="7"/>
      <c r="V868" s="7"/>
      <c r="X868" s="7"/>
      <c r="Y868" s="7"/>
      <c r="Z868" s="7"/>
      <c r="AA868" s="7" t="str">
        <f t="shared" si="91"/>
        <v/>
      </c>
      <c r="AB868" s="7"/>
      <c r="AC868" s="7"/>
      <c r="AQ868" s="7" t="str">
        <f t="shared" si="92"/>
        <v/>
      </c>
      <c r="AR868" s="7" t="str">
        <f t="shared" si="93"/>
        <v/>
      </c>
      <c r="AS868" s="7" t="str">
        <f t="shared" si="94"/>
        <v/>
      </c>
      <c r="AT868" s="7" t="str">
        <f t="shared" si="95"/>
        <v/>
      </c>
      <c r="AU868" s="7" t="str">
        <f t="shared" si="96"/>
        <v/>
      </c>
      <c r="AV868" s="7" t="str">
        <f t="shared" si="97"/>
        <v/>
      </c>
      <c r="AW868" s="7" t="str">
        <f>IF('RFQ-Input'!O867="","",'RFQ-Input'!O867)</f>
        <v/>
      </c>
      <c r="AX868" s="7" t="str">
        <f>IF('RFQ-Input'!S867="","",'RFQ-Input'!S867)</f>
        <v/>
      </c>
      <c r="AY868" s="7" t="str">
        <f>IF('RFQ-Input'!V867="","",'RFQ-Input'!V867)</f>
        <v/>
      </c>
      <c r="AZ868" s="7" t="str">
        <f>IF('RFQ-Input'!Y867="","",'RFQ-Input'!Y867)</f>
        <v/>
      </c>
      <c r="BA868" s="7" t="str">
        <f>IF('RFQ-Input'!AB867="","",'RFQ-Input'!AB867)</f>
        <v/>
      </c>
    </row>
    <row r="869" spans="1:53">
      <c r="A869" s="20">
        <v>865</v>
      </c>
      <c r="B869" s="7"/>
      <c r="C869" s="7" t="str">
        <f>IF('RFQ-Input'!C868="","",'RFQ-Input'!C868)</f>
        <v/>
      </c>
      <c r="D869" s="7" t="str">
        <f>IF('RFQ-Input'!D868="","",'RFQ-Input'!D868)</f>
        <v/>
      </c>
      <c r="E869" s="7" t="str">
        <f>IF('RFQ-Input'!E868="","",'RFQ-Input'!E868)</f>
        <v/>
      </c>
      <c r="F869" s="7" t="str">
        <f>IF('RFQ-Input'!F868="","",'RFQ-Input'!F868)</f>
        <v/>
      </c>
      <c r="G869" s="7" t="str">
        <f>IF('RFQ-Input'!G868="","",'RFQ-Input'!G868)</f>
        <v/>
      </c>
      <c r="H869" s="7" t="str">
        <f>IF('RFQ-Input'!H868="","",'RFQ-Input'!H868)</f>
        <v/>
      </c>
      <c r="I869" s="7" t="str">
        <f>IF('RFQ-Input'!I868="","",'RFQ-Input'!I868)</f>
        <v/>
      </c>
      <c r="J869" s="7" t="str">
        <f>IF('RFQ-Input'!J868="","",'RFQ-Input'!J868)</f>
        <v/>
      </c>
      <c r="K869" s="7" t="str">
        <f>IF('RFQ-Input'!K868="","",'RFQ-Input'!K868)</f>
        <v/>
      </c>
      <c r="L869" s="7" t="str">
        <f>IF('RFQ-Input'!L868="","",'RFQ-Input'!L868)</f>
        <v/>
      </c>
      <c r="M869" s="7" t="str">
        <f>IF('RFQ-Input'!M868="","",'RFQ-Input'!M868)</f>
        <v/>
      </c>
      <c r="N869" s="7" t="str">
        <f>IF('RFQ-Input'!N868="","",'RFQ-Input'!N868)</f>
        <v/>
      </c>
      <c r="O869" s="7" t="str">
        <f>IF('RFQ-Input'!O868="","",'RFQ-Input'!O868)</f>
        <v/>
      </c>
      <c r="Q869" s="7"/>
      <c r="R869" s="7"/>
      <c r="S869" s="7"/>
      <c r="T869" s="7"/>
      <c r="U869" s="7"/>
      <c r="V869" s="7"/>
      <c r="X869" s="7"/>
      <c r="Y869" s="7"/>
      <c r="Z869" s="7"/>
      <c r="AA869" s="7" t="str">
        <f t="shared" si="91"/>
        <v/>
      </c>
      <c r="AB869" s="7"/>
      <c r="AC869" s="7"/>
      <c r="AQ869" s="7" t="str">
        <f t="shared" si="92"/>
        <v/>
      </c>
      <c r="AR869" s="7" t="str">
        <f t="shared" si="93"/>
        <v/>
      </c>
      <c r="AS869" s="7" t="str">
        <f t="shared" si="94"/>
        <v/>
      </c>
      <c r="AT869" s="7" t="str">
        <f t="shared" si="95"/>
        <v/>
      </c>
      <c r="AU869" s="7" t="str">
        <f t="shared" si="96"/>
        <v/>
      </c>
      <c r="AV869" s="7" t="str">
        <f t="shared" si="97"/>
        <v/>
      </c>
      <c r="AW869" s="7" t="str">
        <f>IF('RFQ-Input'!O868="","",'RFQ-Input'!O868)</f>
        <v/>
      </c>
      <c r="AX869" s="7" t="str">
        <f>IF('RFQ-Input'!S868="","",'RFQ-Input'!S868)</f>
        <v/>
      </c>
      <c r="AY869" s="7" t="str">
        <f>IF('RFQ-Input'!V868="","",'RFQ-Input'!V868)</f>
        <v/>
      </c>
      <c r="AZ869" s="7" t="str">
        <f>IF('RFQ-Input'!Y868="","",'RFQ-Input'!Y868)</f>
        <v/>
      </c>
      <c r="BA869" s="7" t="str">
        <f>IF('RFQ-Input'!AB868="","",'RFQ-Input'!AB868)</f>
        <v/>
      </c>
    </row>
    <row r="870" spans="1:53">
      <c r="A870" s="20">
        <v>866</v>
      </c>
      <c r="B870" s="7"/>
      <c r="C870" s="7" t="str">
        <f>IF('RFQ-Input'!C869="","",'RFQ-Input'!C869)</f>
        <v/>
      </c>
      <c r="D870" s="7" t="str">
        <f>IF('RFQ-Input'!D869="","",'RFQ-Input'!D869)</f>
        <v/>
      </c>
      <c r="E870" s="7" t="str">
        <f>IF('RFQ-Input'!E869="","",'RFQ-Input'!E869)</f>
        <v/>
      </c>
      <c r="F870" s="7" t="str">
        <f>IF('RFQ-Input'!F869="","",'RFQ-Input'!F869)</f>
        <v/>
      </c>
      <c r="G870" s="7" t="str">
        <f>IF('RFQ-Input'!G869="","",'RFQ-Input'!G869)</f>
        <v/>
      </c>
      <c r="H870" s="7" t="str">
        <f>IF('RFQ-Input'!H869="","",'RFQ-Input'!H869)</f>
        <v/>
      </c>
      <c r="I870" s="7" t="str">
        <f>IF('RFQ-Input'!I869="","",'RFQ-Input'!I869)</f>
        <v/>
      </c>
      <c r="J870" s="7" t="str">
        <f>IF('RFQ-Input'!J869="","",'RFQ-Input'!J869)</f>
        <v/>
      </c>
      <c r="K870" s="7" t="str">
        <f>IF('RFQ-Input'!K869="","",'RFQ-Input'!K869)</f>
        <v/>
      </c>
      <c r="L870" s="7" t="str">
        <f>IF('RFQ-Input'!L869="","",'RFQ-Input'!L869)</f>
        <v/>
      </c>
      <c r="M870" s="7" t="str">
        <f>IF('RFQ-Input'!M869="","",'RFQ-Input'!M869)</f>
        <v/>
      </c>
      <c r="N870" s="7" t="str">
        <f>IF('RFQ-Input'!N869="","",'RFQ-Input'!N869)</f>
        <v/>
      </c>
      <c r="O870" s="7" t="str">
        <f>IF('RFQ-Input'!O869="","",'RFQ-Input'!O869)</f>
        <v/>
      </c>
      <c r="Q870" s="7"/>
      <c r="R870" s="7"/>
      <c r="S870" s="7"/>
      <c r="T870" s="7"/>
      <c r="U870" s="7"/>
      <c r="V870" s="7"/>
      <c r="X870" s="7"/>
      <c r="Y870" s="7"/>
      <c r="Z870" s="7"/>
      <c r="AA870" s="7" t="str">
        <f t="shared" si="91"/>
        <v/>
      </c>
      <c r="AB870" s="7"/>
      <c r="AC870" s="7"/>
      <c r="AQ870" s="7" t="str">
        <f t="shared" si="92"/>
        <v/>
      </c>
      <c r="AR870" s="7" t="str">
        <f t="shared" si="93"/>
        <v/>
      </c>
      <c r="AS870" s="7" t="str">
        <f t="shared" si="94"/>
        <v/>
      </c>
      <c r="AT870" s="7" t="str">
        <f t="shared" si="95"/>
        <v/>
      </c>
      <c r="AU870" s="7" t="str">
        <f t="shared" si="96"/>
        <v/>
      </c>
      <c r="AV870" s="7" t="str">
        <f t="shared" si="97"/>
        <v/>
      </c>
      <c r="AW870" s="7" t="str">
        <f>IF('RFQ-Input'!O869="","",'RFQ-Input'!O869)</f>
        <v/>
      </c>
      <c r="AX870" s="7" t="str">
        <f>IF('RFQ-Input'!S869="","",'RFQ-Input'!S869)</f>
        <v/>
      </c>
      <c r="AY870" s="7" t="str">
        <f>IF('RFQ-Input'!V869="","",'RFQ-Input'!V869)</f>
        <v/>
      </c>
      <c r="AZ870" s="7" t="str">
        <f>IF('RFQ-Input'!Y869="","",'RFQ-Input'!Y869)</f>
        <v/>
      </c>
      <c r="BA870" s="7" t="str">
        <f>IF('RFQ-Input'!AB869="","",'RFQ-Input'!AB869)</f>
        <v/>
      </c>
    </row>
    <row r="871" spans="1:53">
      <c r="A871" s="20">
        <v>867</v>
      </c>
      <c r="B871" s="7"/>
      <c r="C871" s="7" t="str">
        <f>IF('RFQ-Input'!C870="","",'RFQ-Input'!C870)</f>
        <v/>
      </c>
      <c r="D871" s="7" t="str">
        <f>IF('RFQ-Input'!D870="","",'RFQ-Input'!D870)</f>
        <v/>
      </c>
      <c r="E871" s="7" t="str">
        <f>IF('RFQ-Input'!E870="","",'RFQ-Input'!E870)</f>
        <v/>
      </c>
      <c r="F871" s="7" t="str">
        <f>IF('RFQ-Input'!F870="","",'RFQ-Input'!F870)</f>
        <v/>
      </c>
      <c r="G871" s="7" t="str">
        <f>IF('RFQ-Input'!G870="","",'RFQ-Input'!G870)</f>
        <v/>
      </c>
      <c r="H871" s="7" t="str">
        <f>IF('RFQ-Input'!H870="","",'RFQ-Input'!H870)</f>
        <v/>
      </c>
      <c r="I871" s="7" t="str">
        <f>IF('RFQ-Input'!I870="","",'RFQ-Input'!I870)</f>
        <v/>
      </c>
      <c r="J871" s="7" t="str">
        <f>IF('RFQ-Input'!J870="","",'RFQ-Input'!J870)</f>
        <v/>
      </c>
      <c r="K871" s="7" t="str">
        <f>IF('RFQ-Input'!K870="","",'RFQ-Input'!K870)</f>
        <v/>
      </c>
      <c r="L871" s="7" t="str">
        <f>IF('RFQ-Input'!L870="","",'RFQ-Input'!L870)</f>
        <v/>
      </c>
      <c r="M871" s="7" t="str">
        <f>IF('RFQ-Input'!M870="","",'RFQ-Input'!M870)</f>
        <v/>
      </c>
      <c r="N871" s="7" t="str">
        <f>IF('RFQ-Input'!N870="","",'RFQ-Input'!N870)</f>
        <v/>
      </c>
      <c r="O871" s="7" t="str">
        <f>IF('RFQ-Input'!O870="","",'RFQ-Input'!O870)</f>
        <v/>
      </c>
      <c r="Q871" s="7"/>
      <c r="R871" s="7"/>
      <c r="S871" s="7"/>
      <c r="T871" s="7"/>
      <c r="U871" s="7"/>
      <c r="V871" s="7"/>
      <c r="X871" s="7"/>
      <c r="Y871" s="7"/>
      <c r="Z871" s="7"/>
      <c r="AA871" s="7" t="str">
        <f t="shared" si="91"/>
        <v/>
      </c>
      <c r="AB871" s="7"/>
      <c r="AC871" s="7"/>
      <c r="AQ871" s="7" t="str">
        <f t="shared" si="92"/>
        <v/>
      </c>
      <c r="AR871" s="7" t="str">
        <f t="shared" si="93"/>
        <v/>
      </c>
      <c r="AS871" s="7" t="str">
        <f t="shared" si="94"/>
        <v/>
      </c>
      <c r="AT871" s="7" t="str">
        <f t="shared" si="95"/>
        <v/>
      </c>
      <c r="AU871" s="7" t="str">
        <f t="shared" si="96"/>
        <v/>
      </c>
      <c r="AV871" s="7" t="str">
        <f t="shared" si="97"/>
        <v/>
      </c>
      <c r="AW871" s="7" t="str">
        <f>IF('RFQ-Input'!O870="","",'RFQ-Input'!O870)</f>
        <v/>
      </c>
      <c r="AX871" s="7" t="str">
        <f>IF('RFQ-Input'!S870="","",'RFQ-Input'!S870)</f>
        <v/>
      </c>
      <c r="AY871" s="7" t="str">
        <f>IF('RFQ-Input'!V870="","",'RFQ-Input'!V870)</f>
        <v/>
      </c>
      <c r="AZ871" s="7" t="str">
        <f>IF('RFQ-Input'!Y870="","",'RFQ-Input'!Y870)</f>
        <v/>
      </c>
      <c r="BA871" s="7" t="str">
        <f>IF('RFQ-Input'!AB870="","",'RFQ-Input'!AB870)</f>
        <v/>
      </c>
    </row>
    <row r="872" spans="1:53">
      <c r="A872" s="20">
        <v>868</v>
      </c>
      <c r="B872" s="7"/>
      <c r="C872" s="7" t="str">
        <f>IF('RFQ-Input'!C871="","",'RFQ-Input'!C871)</f>
        <v/>
      </c>
      <c r="D872" s="7" t="str">
        <f>IF('RFQ-Input'!D871="","",'RFQ-Input'!D871)</f>
        <v/>
      </c>
      <c r="E872" s="7" t="str">
        <f>IF('RFQ-Input'!E871="","",'RFQ-Input'!E871)</f>
        <v/>
      </c>
      <c r="F872" s="7" t="str">
        <f>IF('RFQ-Input'!F871="","",'RFQ-Input'!F871)</f>
        <v/>
      </c>
      <c r="G872" s="7" t="str">
        <f>IF('RFQ-Input'!G871="","",'RFQ-Input'!G871)</f>
        <v/>
      </c>
      <c r="H872" s="7" t="str">
        <f>IF('RFQ-Input'!H871="","",'RFQ-Input'!H871)</f>
        <v/>
      </c>
      <c r="I872" s="7" t="str">
        <f>IF('RFQ-Input'!I871="","",'RFQ-Input'!I871)</f>
        <v/>
      </c>
      <c r="J872" s="7" t="str">
        <f>IF('RFQ-Input'!J871="","",'RFQ-Input'!J871)</f>
        <v/>
      </c>
      <c r="K872" s="7" t="str">
        <f>IF('RFQ-Input'!K871="","",'RFQ-Input'!K871)</f>
        <v/>
      </c>
      <c r="L872" s="7" t="str">
        <f>IF('RFQ-Input'!L871="","",'RFQ-Input'!L871)</f>
        <v/>
      </c>
      <c r="M872" s="7" t="str">
        <f>IF('RFQ-Input'!M871="","",'RFQ-Input'!M871)</f>
        <v/>
      </c>
      <c r="N872" s="7" t="str">
        <f>IF('RFQ-Input'!N871="","",'RFQ-Input'!N871)</f>
        <v/>
      </c>
      <c r="O872" s="7" t="str">
        <f>IF('RFQ-Input'!O871="","",'RFQ-Input'!O871)</f>
        <v/>
      </c>
      <c r="Q872" s="7"/>
      <c r="R872" s="7"/>
      <c r="S872" s="7"/>
      <c r="T872" s="7"/>
      <c r="U872" s="7"/>
      <c r="V872" s="7"/>
      <c r="X872" s="7"/>
      <c r="Y872" s="7"/>
      <c r="Z872" s="7"/>
      <c r="AA872" s="7" t="str">
        <f t="shared" si="91"/>
        <v/>
      </c>
      <c r="AB872" s="7"/>
      <c r="AC872" s="7"/>
      <c r="AQ872" s="7" t="str">
        <f t="shared" si="92"/>
        <v/>
      </c>
      <c r="AR872" s="7" t="str">
        <f t="shared" si="93"/>
        <v/>
      </c>
      <c r="AS872" s="7" t="str">
        <f t="shared" si="94"/>
        <v/>
      </c>
      <c r="AT872" s="7" t="str">
        <f t="shared" si="95"/>
        <v/>
      </c>
      <c r="AU872" s="7" t="str">
        <f t="shared" si="96"/>
        <v/>
      </c>
      <c r="AV872" s="7" t="str">
        <f t="shared" si="97"/>
        <v/>
      </c>
      <c r="AW872" s="7" t="str">
        <f>IF('RFQ-Input'!O871="","",'RFQ-Input'!O871)</f>
        <v/>
      </c>
      <c r="AX872" s="7" t="str">
        <f>IF('RFQ-Input'!S871="","",'RFQ-Input'!S871)</f>
        <v/>
      </c>
      <c r="AY872" s="7" t="str">
        <f>IF('RFQ-Input'!V871="","",'RFQ-Input'!V871)</f>
        <v/>
      </c>
      <c r="AZ872" s="7" t="str">
        <f>IF('RFQ-Input'!Y871="","",'RFQ-Input'!Y871)</f>
        <v/>
      </c>
      <c r="BA872" s="7" t="str">
        <f>IF('RFQ-Input'!AB871="","",'RFQ-Input'!AB871)</f>
        <v/>
      </c>
    </row>
    <row r="873" spans="1:53">
      <c r="A873" s="20">
        <v>869</v>
      </c>
      <c r="B873" s="7"/>
      <c r="C873" s="7" t="str">
        <f>IF('RFQ-Input'!C872="","",'RFQ-Input'!C872)</f>
        <v/>
      </c>
      <c r="D873" s="7" t="str">
        <f>IF('RFQ-Input'!D872="","",'RFQ-Input'!D872)</f>
        <v/>
      </c>
      <c r="E873" s="7" t="str">
        <f>IF('RFQ-Input'!E872="","",'RFQ-Input'!E872)</f>
        <v/>
      </c>
      <c r="F873" s="7" t="str">
        <f>IF('RFQ-Input'!F872="","",'RFQ-Input'!F872)</f>
        <v/>
      </c>
      <c r="G873" s="7" t="str">
        <f>IF('RFQ-Input'!G872="","",'RFQ-Input'!G872)</f>
        <v/>
      </c>
      <c r="H873" s="7" t="str">
        <f>IF('RFQ-Input'!H872="","",'RFQ-Input'!H872)</f>
        <v/>
      </c>
      <c r="I873" s="7" t="str">
        <f>IF('RFQ-Input'!I872="","",'RFQ-Input'!I872)</f>
        <v/>
      </c>
      <c r="J873" s="7" t="str">
        <f>IF('RFQ-Input'!J872="","",'RFQ-Input'!J872)</f>
        <v/>
      </c>
      <c r="K873" s="7" t="str">
        <f>IF('RFQ-Input'!K872="","",'RFQ-Input'!K872)</f>
        <v/>
      </c>
      <c r="L873" s="7" t="str">
        <f>IF('RFQ-Input'!L872="","",'RFQ-Input'!L872)</f>
        <v/>
      </c>
      <c r="M873" s="7" t="str">
        <f>IF('RFQ-Input'!M872="","",'RFQ-Input'!M872)</f>
        <v/>
      </c>
      <c r="N873" s="7" t="str">
        <f>IF('RFQ-Input'!N872="","",'RFQ-Input'!N872)</f>
        <v/>
      </c>
      <c r="O873" s="7" t="str">
        <f>IF('RFQ-Input'!O872="","",'RFQ-Input'!O872)</f>
        <v/>
      </c>
      <c r="Q873" s="7"/>
      <c r="R873" s="7"/>
      <c r="S873" s="7"/>
      <c r="T873" s="7"/>
      <c r="U873" s="7"/>
      <c r="V873" s="7"/>
      <c r="X873" s="7"/>
      <c r="Y873" s="7"/>
      <c r="Z873" s="7"/>
      <c r="AA873" s="7" t="str">
        <f t="shared" si="91"/>
        <v/>
      </c>
      <c r="AB873" s="7"/>
      <c r="AC873" s="7"/>
      <c r="AQ873" s="7" t="str">
        <f t="shared" si="92"/>
        <v/>
      </c>
      <c r="AR873" s="7" t="str">
        <f t="shared" si="93"/>
        <v/>
      </c>
      <c r="AS873" s="7" t="str">
        <f t="shared" si="94"/>
        <v/>
      </c>
      <c r="AT873" s="7" t="str">
        <f t="shared" si="95"/>
        <v/>
      </c>
      <c r="AU873" s="7" t="str">
        <f t="shared" si="96"/>
        <v/>
      </c>
      <c r="AV873" s="7" t="str">
        <f t="shared" si="97"/>
        <v/>
      </c>
      <c r="AW873" s="7" t="str">
        <f>IF('RFQ-Input'!O872="","",'RFQ-Input'!O872)</f>
        <v/>
      </c>
      <c r="AX873" s="7" t="str">
        <f>IF('RFQ-Input'!S872="","",'RFQ-Input'!S872)</f>
        <v/>
      </c>
      <c r="AY873" s="7" t="str">
        <f>IF('RFQ-Input'!V872="","",'RFQ-Input'!V872)</f>
        <v/>
      </c>
      <c r="AZ873" s="7" t="str">
        <f>IF('RFQ-Input'!Y872="","",'RFQ-Input'!Y872)</f>
        <v/>
      </c>
      <c r="BA873" s="7" t="str">
        <f>IF('RFQ-Input'!AB872="","",'RFQ-Input'!AB872)</f>
        <v/>
      </c>
    </row>
    <row r="874" spans="1:53">
      <c r="A874" s="20">
        <v>870</v>
      </c>
      <c r="B874" s="7"/>
      <c r="C874" s="7" t="str">
        <f>IF('RFQ-Input'!C873="","",'RFQ-Input'!C873)</f>
        <v/>
      </c>
      <c r="D874" s="7" t="str">
        <f>IF('RFQ-Input'!D873="","",'RFQ-Input'!D873)</f>
        <v/>
      </c>
      <c r="E874" s="7" t="str">
        <f>IF('RFQ-Input'!E873="","",'RFQ-Input'!E873)</f>
        <v/>
      </c>
      <c r="F874" s="7" t="str">
        <f>IF('RFQ-Input'!F873="","",'RFQ-Input'!F873)</f>
        <v/>
      </c>
      <c r="G874" s="7" t="str">
        <f>IF('RFQ-Input'!G873="","",'RFQ-Input'!G873)</f>
        <v/>
      </c>
      <c r="H874" s="7" t="str">
        <f>IF('RFQ-Input'!H873="","",'RFQ-Input'!H873)</f>
        <v/>
      </c>
      <c r="I874" s="7" t="str">
        <f>IF('RFQ-Input'!I873="","",'RFQ-Input'!I873)</f>
        <v/>
      </c>
      <c r="J874" s="7" t="str">
        <f>IF('RFQ-Input'!J873="","",'RFQ-Input'!J873)</f>
        <v/>
      </c>
      <c r="K874" s="7" t="str">
        <f>IF('RFQ-Input'!K873="","",'RFQ-Input'!K873)</f>
        <v/>
      </c>
      <c r="L874" s="7" t="str">
        <f>IF('RFQ-Input'!L873="","",'RFQ-Input'!L873)</f>
        <v/>
      </c>
      <c r="M874" s="7" t="str">
        <f>IF('RFQ-Input'!M873="","",'RFQ-Input'!M873)</f>
        <v/>
      </c>
      <c r="N874" s="7" t="str">
        <f>IF('RFQ-Input'!N873="","",'RFQ-Input'!N873)</f>
        <v/>
      </c>
      <c r="O874" s="7" t="str">
        <f>IF('RFQ-Input'!O873="","",'RFQ-Input'!O873)</f>
        <v/>
      </c>
      <c r="Q874" s="7"/>
      <c r="R874" s="7"/>
      <c r="S874" s="7"/>
      <c r="T874" s="7"/>
      <c r="U874" s="7"/>
      <c r="V874" s="7"/>
      <c r="X874" s="7"/>
      <c r="Y874" s="7"/>
      <c r="Z874" s="7"/>
      <c r="AA874" s="7" t="str">
        <f t="shared" si="91"/>
        <v/>
      </c>
      <c r="AB874" s="7"/>
      <c r="AC874" s="7"/>
      <c r="AQ874" s="7" t="str">
        <f t="shared" si="92"/>
        <v/>
      </c>
      <c r="AR874" s="7" t="str">
        <f t="shared" si="93"/>
        <v/>
      </c>
      <c r="AS874" s="7" t="str">
        <f t="shared" si="94"/>
        <v/>
      </c>
      <c r="AT874" s="7" t="str">
        <f t="shared" si="95"/>
        <v/>
      </c>
      <c r="AU874" s="7" t="str">
        <f t="shared" si="96"/>
        <v/>
      </c>
      <c r="AV874" s="7" t="str">
        <f t="shared" si="97"/>
        <v/>
      </c>
      <c r="AW874" s="7" t="str">
        <f>IF('RFQ-Input'!O873="","",'RFQ-Input'!O873)</f>
        <v/>
      </c>
      <c r="AX874" s="7" t="str">
        <f>IF('RFQ-Input'!S873="","",'RFQ-Input'!S873)</f>
        <v/>
      </c>
      <c r="AY874" s="7" t="str">
        <f>IF('RFQ-Input'!V873="","",'RFQ-Input'!V873)</f>
        <v/>
      </c>
      <c r="AZ874" s="7" t="str">
        <f>IF('RFQ-Input'!Y873="","",'RFQ-Input'!Y873)</f>
        <v/>
      </c>
      <c r="BA874" s="7" t="str">
        <f>IF('RFQ-Input'!AB873="","",'RFQ-Input'!AB873)</f>
        <v/>
      </c>
    </row>
    <row r="875" spans="1:53">
      <c r="A875" s="20">
        <v>871</v>
      </c>
      <c r="B875" s="7"/>
      <c r="C875" s="7" t="str">
        <f>IF('RFQ-Input'!C874="","",'RFQ-Input'!C874)</f>
        <v/>
      </c>
      <c r="D875" s="7" t="str">
        <f>IF('RFQ-Input'!D874="","",'RFQ-Input'!D874)</f>
        <v/>
      </c>
      <c r="E875" s="7" t="str">
        <f>IF('RFQ-Input'!E874="","",'RFQ-Input'!E874)</f>
        <v/>
      </c>
      <c r="F875" s="7" t="str">
        <f>IF('RFQ-Input'!F874="","",'RFQ-Input'!F874)</f>
        <v/>
      </c>
      <c r="G875" s="7" t="str">
        <f>IF('RFQ-Input'!G874="","",'RFQ-Input'!G874)</f>
        <v/>
      </c>
      <c r="H875" s="7" t="str">
        <f>IF('RFQ-Input'!H874="","",'RFQ-Input'!H874)</f>
        <v/>
      </c>
      <c r="I875" s="7" t="str">
        <f>IF('RFQ-Input'!I874="","",'RFQ-Input'!I874)</f>
        <v/>
      </c>
      <c r="J875" s="7" t="str">
        <f>IF('RFQ-Input'!J874="","",'RFQ-Input'!J874)</f>
        <v/>
      </c>
      <c r="K875" s="7" t="str">
        <f>IF('RFQ-Input'!K874="","",'RFQ-Input'!K874)</f>
        <v/>
      </c>
      <c r="L875" s="7" t="str">
        <f>IF('RFQ-Input'!L874="","",'RFQ-Input'!L874)</f>
        <v/>
      </c>
      <c r="M875" s="7" t="str">
        <f>IF('RFQ-Input'!M874="","",'RFQ-Input'!M874)</f>
        <v/>
      </c>
      <c r="N875" s="7" t="str">
        <f>IF('RFQ-Input'!N874="","",'RFQ-Input'!N874)</f>
        <v/>
      </c>
      <c r="O875" s="7" t="str">
        <f>IF('RFQ-Input'!O874="","",'RFQ-Input'!O874)</f>
        <v/>
      </c>
      <c r="Q875" s="7"/>
      <c r="R875" s="7"/>
      <c r="S875" s="7"/>
      <c r="T875" s="7"/>
      <c r="U875" s="7"/>
      <c r="V875" s="7"/>
      <c r="X875" s="7"/>
      <c r="Y875" s="7"/>
      <c r="Z875" s="7"/>
      <c r="AA875" s="7" t="str">
        <f t="shared" si="91"/>
        <v/>
      </c>
      <c r="AB875" s="7"/>
      <c r="AC875" s="7"/>
      <c r="AQ875" s="7" t="str">
        <f t="shared" si="92"/>
        <v/>
      </c>
      <c r="AR875" s="7" t="str">
        <f t="shared" si="93"/>
        <v/>
      </c>
      <c r="AS875" s="7" t="str">
        <f t="shared" si="94"/>
        <v/>
      </c>
      <c r="AT875" s="7" t="str">
        <f t="shared" si="95"/>
        <v/>
      </c>
      <c r="AU875" s="7" t="str">
        <f t="shared" si="96"/>
        <v/>
      </c>
      <c r="AV875" s="7" t="str">
        <f t="shared" si="97"/>
        <v/>
      </c>
      <c r="AW875" s="7" t="str">
        <f>IF('RFQ-Input'!O874="","",'RFQ-Input'!O874)</f>
        <v/>
      </c>
      <c r="AX875" s="7" t="str">
        <f>IF('RFQ-Input'!S874="","",'RFQ-Input'!S874)</f>
        <v/>
      </c>
      <c r="AY875" s="7" t="str">
        <f>IF('RFQ-Input'!V874="","",'RFQ-Input'!V874)</f>
        <v/>
      </c>
      <c r="AZ875" s="7" t="str">
        <f>IF('RFQ-Input'!Y874="","",'RFQ-Input'!Y874)</f>
        <v/>
      </c>
      <c r="BA875" s="7" t="str">
        <f>IF('RFQ-Input'!AB874="","",'RFQ-Input'!AB874)</f>
        <v/>
      </c>
    </row>
    <row r="876" spans="1:53">
      <c r="A876" s="20">
        <v>872</v>
      </c>
      <c r="B876" s="7"/>
      <c r="C876" s="7" t="str">
        <f>IF('RFQ-Input'!C875="","",'RFQ-Input'!C875)</f>
        <v/>
      </c>
      <c r="D876" s="7" t="str">
        <f>IF('RFQ-Input'!D875="","",'RFQ-Input'!D875)</f>
        <v/>
      </c>
      <c r="E876" s="7" t="str">
        <f>IF('RFQ-Input'!E875="","",'RFQ-Input'!E875)</f>
        <v/>
      </c>
      <c r="F876" s="7" t="str">
        <f>IF('RFQ-Input'!F875="","",'RFQ-Input'!F875)</f>
        <v/>
      </c>
      <c r="G876" s="7" t="str">
        <f>IF('RFQ-Input'!G875="","",'RFQ-Input'!G875)</f>
        <v/>
      </c>
      <c r="H876" s="7" t="str">
        <f>IF('RFQ-Input'!H875="","",'RFQ-Input'!H875)</f>
        <v/>
      </c>
      <c r="I876" s="7" t="str">
        <f>IF('RFQ-Input'!I875="","",'RFQ-Input'!I875)</f>
        <v/>
      </c>
      <c r="J876" s="7" t="str">
        <f>IF('RFQ-Input'!J875="","",'RFQ-Input'!J875)</f>
        <v/>
      </c>
      <c r="K876" s="7" t="str">
        <f>IF('RFQ-Input'!K875="","",'RFQ-Input'!K875)</f>
        <v/>
      </c>
      <c r="L876" s="7" t="str">
        <f>IF('RFQ-Input'!L875="","",'RFQ-Input'!L875)</f>
        <v/>
      </c>
      <c r="M876" s="7" t="str">
        <f>IF('RFQ-Input'!M875="","",'RFQ-Input'!M875)</f>
        <v/>
      </c>
      <c r="N876" s="7" t="str">
        <f>IF('RFQ-Input'!N875="","",'RFQ-Input'!N875)</f>
        <v/>
      </c>
      <c r="O876" s="7" t="str">
        <f>IF('RFQ-Input'!O875="","",'RFQ-Input'!O875)</f>
        <v/>
      </c>
      <c r="Q876" s="7"/>
      <c r="R876" s="7"/>
      <c r="S876" s="7"/>
      <c r="T876" s="7"/>
      <c r="U876" s="7"/>
      <c r="V876" s="7"/>
      <c r="X876" s="7"/>
      <c r="Y876" s="7"/>
      <c r="Z876" s="7"/>
      <c r="AA876" s="7" t="str">
        <f t="shared" si="91"/>
        <v/>
      </c>
      <c r="AB876" s="7"/>
      <c r="AC876" s="7"/>
      <c r="AQ876" s="7" t="str">
        <f t="shared" si="92"/>
        <v/>
      </c>
      <c r="AR876" s="7" t="str">
        <f t="shared" si="93"/>
        <v/>
      </c>
      <c r="AS876" s="7" t="str">
        <f t="shared" si="94"/>
        <v/>
      </c>
      <c r="AT876" s="7" t="str">
        <f t="shared" si="95"/>
        <v/>
      </c>
      <c r="AU876" s="7" t="str">
        <f t="shared" si="96"/>
        <v/>
      </c>
      <c r="AV876" s="7" t="str">
        <f t="shared" si="97"/>
        <v/>
      </c>
      <c r="AW876" s="7" t="str">
        <f>IF('RFQ-Input'!O875="","",'RFQ-Input'!O875)</f>
        <v/>
      </c>
      <c r="AX876" s="7" t="str">
        <f>IF('RFQ-Input'!S875="","",'RFQ-Input'!S875)</f>
        <v/>
      </c>
      <c r="AY876" s="7" t="str">
        <f>IF('RFQ-Input'!V875="","",'RFQ-Input'!V875)</f>
        <v/>
      </c>
      <c r="AZ876" s="7" t="str">
        <f>IF('RFQ-Input'!Y875="","",'RFQ-Input'!Y875)</f>
        <v/>
      </c>
      <c r="BA876" s="7" t="str">
        <f>IF('RFQ-Input'!AB875="","",'RFQ-Input'!AB875)</f>
        <v/>
      </c>
    </row>
    <row r="877" spans="1:53">
      <c r="A877" s="20">
        <v>873</v>
      </c>
      <c r="B877" s="7"/>
      <c r="C877" s="7" t="str">
        <f>IF('RFQ-Input'!C876="","",'RFQ-Input'!C876)</f>
        <v/>
      </c>
      <c r="D877" s="7" t="str">
        <f>IF('RFQ-Input'!D876="","",'RFQ-Input'!D876)</f>
        <v/>
      </c>
      <c r="E877" s="7" t="str">
        <f>IF('RFQ-Input'!E876="","",'RFQ-Input'!E876)</f>
        <v/>
      </c>
      <c r="F877" s="7" t="str">
        <f>IF('RFQ-Input'!F876="","",'RFQ-Input'!F876)</f>
        <v/>
      </c>
      <c r="G877" s="7" t="str">
        <f>IF('RFQ-Input'!G876="","",'RFQ-Input'!G876)</f>
        <v/>
      </c>
      <c r="H877" s="7" t="str">
        <f>IF('RFQ-Input'!H876="","",'RFQ-Input'!H876)</f>
        <v/>
      </c>
      <c r="I877" s="7" t="str">
        <f>IF('RFQ-Input'!I876="","",'RFQ-Input'!I876)</f>
        <v/>
      </c>
      <c r="J877" s="7" t="str">
        <f>IF('RFQ-Input'!J876="","",'RFQ-Input'!J876)</f>
        <v/>
      </c>
      <c r="K877" s="7" t="str">
        <f>IF('RFQ-Input'!K876="","",'RFQ-Input'!K876)</f>
        <v/>
      </c>
      <c r="L877" s="7" t="str">
        <f>IF('RFQ-Input'!L876="","",'RFQ-Input'!L876)</f>
        <v/>
      </c>
      <c r="M877" s="7" t="str">
        <f>IF('RFQ-Input'!M876="","",'RFQ-Input'!M876)</f>
        <v/>
      </c>
      <c r="N877" s="7" t="str">
        <f>IF('RFQ-Input'!N876="","",'RFQ-Input'!N876)</f>
        <v/>
      </c>
      <c r="O877" s="7" t="str">
        <f>IF('RFQ-Input'!O876="","",'RFQ-Input'!O876)</f>
        <v/>
      </c>
      <c r="Q877" s="7"/>
      <c r="R877" s="7"/>
      <c r="S877" s="7"/>
      <c r="T877" s="7"/>
      <c r="U877" s="7"/>
      <c r="V877" s="7"/>
      <c r="X877" s="7"/>
      <c r="Y877" s="7"/>
      <c r="Z877" s="7"/>
      <c r="AA877" s="7" t="str">
        <f t="shared" si="91"/>
        <v/>
      </c>
      <c r="AB877" s="7"/>
      <c r="AC877" s="7"/>
      <c r="AQ877" s="7" t="str">
        <f t="shared" si="92"/>
        <v/>
      </c>
      <c r="AR877" s="7" t="str">
        <f t="shared" si="93"/>
        <v/>
      </c>
      <c r="AS877" s="7" t="str">
        <f t="shared" si="94"/>
        <v/>
      </c>
      <c r="AT877" s="7" t="str">
        <f t="shared" si="95"/>
        <v/>
      </c>
      <c r="AU877" s="7" t="str">
        <f t="shared" si="96"/>
        <v/>
      </c>
      <c r="AV877" s="7" t="str">
        <f t="shared" si="97"/>
        <v/>
      </c>
      <c r="AW877" s="7" t="str">
        <f>IF('RFQ-Input'!O876="","",'RFQ-Input'!O876)</f>
        <v/>
      </c>
      <c r="AX877" s="7" t="str">
        <f>IF('RFQ-Input'!S876="","",'RFQ-Input'!S876)</f>
        <v/>
      </c>
      <c r="AY877" s="7" t="str">
        <f>IF('RFQ-Input'!V876="","",'RFQ-Input'!V876)</f>
        <v/>
      </c>
      <c r="AZ877" s="7" t="str">
        <f>IF('RFQ-Input'!Y876="","",'RFQ-Input'!Y876)</f>
        <v/>
      </c>
      <c r="BA877" s="7" t="str">
        <f>IF('RFQ-Input'!AB876="","",'RFQ-Input'!AB876)</f>
        <v/>
      </c>
    </row>
    <row r="878" spans="1:53">
      <c r="A878" s="20">
        <v>874</v>
      </c>
      <c r="B878" s="7"/>
      <c r="C878" s="7" t="str">
        <f>IF('RFQ-Input'!C877="","",'RFQ-Input'!C877)</f>
        <v/>
      </c>
      <c r="D878" s="7" t="str">
        <f>IF('RFQ-Input'!D877="","",'RFQ-Input'!D877)</f>
        <v/>
      </c>
      <c r="E878" s="7" t="str">
        <f>IF('RFQ-Input'!E877="","",'RFQ-Input'!E877)</f>
        <v/>
      </c>
      <c r="F878" s="7" t="str">
        <f>IF('RFQ-Input'!F877="","",'RFQ-Input'!F877)</f>
        <v/>
      </c>
      <c r="G878" s="7" t="str">
        <f>IF('RFQ-Input'!G877="","",'RFQ-Input'!G877)</f>
        <v/>
      </c>
      <c r="H878" s="7" t="str">
        <f>IF('RFQ-Input'!H877="","",'RFQ-Input'!H877)</f>
        <v/>
      </c>
      <c r="I878" s="7" t="str">
        <f>IF('RFQ-Input'!I877="","",'RFQ-Input'!I877)</f>
        <v/>
      </c>
      <c r="J878" s="7" t="str">
        <f>IF('RFQ-Input'!J877="","",'RFQ-Input'!J877)</f>
        <v/>
      </c>
      <c r="K878" s="7" t="str">
        <f>IF('RFQ-Input'!K877="","",'RFQ-Input'!K877)</f>
        <v/>
      </c>
      <c r="L878" s="7" t="str">
        <f>IF('RFQ-Input'!L877="","",'RFQ-Input'!L877)</f>
        <v/>
      </c>
      <c r="M878" s="7" t="str">
        <f>IF('RFQ-Input'!M877="","",'RFQ-Input'!M877)</f>
        <v/>
      </c>
      <c r="N878" s="7" t="str">
        <f>IF('RFQ-Input'!N877="","",'RFQ-Input'!N877)</f>
        <v/>
      </c>
      <c r="O878" s="7" t="str">
        <f>IF('RFQ-Input'!O877="","",'RFQ-Input'!O877)</f>
        <v/>
      </c>
      <c r="Q878" s="7"/>
      <c r="R878" s="7"/>
      <c r="S878" s="7"/>
      <c r="T878" s="7"/>
      <c r="U878" s="7"/>
      <c r="V878" s="7"/>
      <c r="X878" s="7"/>
      <c r="Y878" s="7"/>
      <c r="Z878" s="7"/>
      <c r="AA878" s="7" t="str">
        <f t="shared" si="91"/>
        <v/>
      </c>
      <c r="AB878" s="7"/>
      <c r="AC878" s="7"/>
      <c r="AQ878" s="7" t="str">
        <f t="shared" si="92"/>
        <v/>
      </c>
      <c r="AR878" s="7" t="str">
        <f t="shared" si="93"/>
        <v/>
      </c>
      <c r="AS878" s="7" t="str">
        <f t="shared" si="94"/>
        <v/>
      </c>
      <c r="AT878" s="7" t="str">
        <f t="shared" si="95"/>
        <v/>
      </c>
      <c r="AU878" s="7" t="str">
        <f t="shared" si="96"/>
        <v/>
      </c>
      <c r="AV878" s="7" t="str">
        <f t="shared" si="97"/>
        <v/>
      </c>
      <c r="AW878" s="7" t="str">
        <f>IF('RFQ-Input'!O877="","",'RFQ-Input'!O877)</f>
        <v/>
      </c>
      <c r="AX878" s="7" t="str">
        <f>IF('RFQ-Input'!S877="","",'RFQ-Input'!S877)</f>
        <v/>
      </c>
      <c r="AY878" s="7" t="str">
        <f>IF('RFQ-Input'!V877="","",'RFQ-Input'!V877)</f>
        <v/>
      </c>
      <c r="AZ878" s="7" t="str">
        <f>IF('RFQ-Input'!Y877="","",'RFQ-Input'!Y877)</f>
        <v/>
      </c>
      <c r="BA878" s="7" t="str">
        <f>IF('RFQ-Input'!AB877="","",'RFQ-Input'!AB877)</f>
        <v/>
      </c>
    </row>
    <row r="879" spans="1:53">
      <c r="A879" s="20">
        <v>875</v>
      </c>
      <c r="B879" s="7"/>
      <c r="C879" s="7" t="str">
        <f>IF('RFQ-Input'!C878="","",'RFQ-Input'!C878)</f>
        <v/>
      </c>
      <c r="D879" s="7" t="str">
        <f>IF('RFQ-Input'!D878="","",'RFQ-Input'!D878)</f>
        <v/>
      </c>
      <c r="E879" s="7" t="str">
        <f>IF('RFQ-Input'!E878="","",'RFQ-Input'!E878)</f>
        <v/>
      </c>
      <c r="F879" s="7" t="str">
        <f>IF('RFQ-Input'!F878="","",'RFQ-Input'!F878)</f>
        <v/>
      </c>
      <c r="G879" s="7" t="str">
        <f>IF('RFQ-Input'!G878="","",'RFQ-Input'!G878)</f>
        <v/>
      </c>
      <c r="H879" s="7" t="str">
        <f>IF('RFQ-Input'!H878="","",'RFQ-Input'!H878)</f>
        <v/>
      </c>
      <c r="I879" s="7" t="str">
        <f>IF('RFQ-Input'!I878="","",'RFQ-Input'!I878)</f>
        <v/>
      </c>
      <c r="J879" s="7" t="str">
        <f>IF('RFQ-Input'!J878="","",'RFQ-Input'!J878)</f>
        <v/>
      </c>
      <c r="K879" s="7" t="str">
        <f>IF('RFQ-Input'!K878="","",'RFQ-Input'!K878)</f>
        <v/>
      </c>
      <c r="L879" s="7" t="str">
        <f>IF('RFQ-Input'!L878="","",'RFQ-Input'!L878)</f>
        <v/>
      </c>
      <c r="M879" s="7" t="str">
        <f>IF('RFQ-Input'!M878="","",'RFQ-Input'!M878)</f>
        <v/>
      </c>
      <c r="N879" s="7" t="str">
        <f>IF('RFQ-Input'!N878="","",'RFQ-Input'!N878)</f>
        <v/>
      </c>
      <c r="O879" s="7" t="str">
        <f>IF('RFQ-Input'!O878="","",'RFQ-Input'!O878)</f>
        <v/>
      </c>
      <c r="Q879" s="7"/>
      <c r="R879" s="7"/>
      <c r="S879" s="7"/>
      <c r="T879" s="7"/>
      <c r="U879" s="7"/>
      <c r="V879" s="7"/>
      <c r="X879" s="7"/>
      <c r="Y879" s="7"/>
      <c r="Z879" s="7"/>
      <c r="AA879" s="7" t="str">
        <f t="shared" si="91"/>
        <v/>
      </c>
      <c r="AB879" s="7"/>
      <c r="AC879" s="7"/>
      <c r="AQ879" s="7" t="str">
        <f t="shared" si="92"/>
        <v/>
      </c>
      <c r="AR879" s="7" t="str">
        <f t="shared" si="93"/>
        <v/>
      </c>
      <c r="AS879" s="7" t="str">
        <f t="shared" si="94"/>
        <v/>
      </c>
      <c r="AT879" s="7" t="str">
        <f t="shared" si="95"/>
        <v/>
      </c>
      <c r="AU879" s="7" t="str">
        <f t="shared" si="96"/>
        <v/>
      </c>
      <c r="AV879" s="7" t="str">
        <f t="shared" si="97"/>
        <v/>
      </c>
      <c r="AW879" s="7" t="str">
        <f>IF('RFQ-Input'!O878="","",'RFQ-Input'!O878)</f>
        <v/>
      </c>
      <c r="AX879" s="7" t="str">
        <f>IF('RFQ-Input'!S878="","",'RFQ-Input'!S878)</f>
        <v/>
      </c>
      <c r="AY879" s="7" t="str">
        <f>IF('RFQ-Input'!V878="","",'RFQ-Input'!V878)</f>
        <v/>
      </c>
      <c r="AZ879" s="7" t="str">
        <f>IF('RFQ-Input'!Y878="","",'RFQ-Input'!Y878)</f>
        <v/>
      </c>
      <c r="BA879" s="7" t="str">
        <f>IF('RFQ-Input'!AB878="","",'RFQ-Input'!AB878)</f>
        <v/>
      </c>
    </row>
    <row r="880" spans="1:53">
      <c r="A880" s="20">
        <v>876</v>
      </c>
      <c r="B880" s="7"/>
      <c r="C880" s="7" t="str">
        <f>IF('RFQ-Input'!C879="","",'RFQ-Input'!C879)</f>
        <v/>
      </c>
      <c r="D880" s="7" t="str">
        <f>IF('RFQ-Input'!D879="","",'RFQ-Input'!D879)</f>
        <v/>
      </c>
      <c r="E880" s="7" t="str">
        <f>IF('RFQ-Input'!E879="","",'RFQ-Input'!E879)</f>
        <v/>
      </c>
      <c r="F880" s="7" t="str">
        <f>IF('RFQ-Input'!F879="","",'RFQ-Input'!F879)</f>
        <v/>
      </c>
      <c r="G880" s="7" t="str">
        <f>IF('RFQ-Input'!G879="","",'RFQ-Input'!G879)</f>
        <v/>
      </c>
      <c r="H880" s="7" t="str">
        <f>IF('RFQ-Input'!H879="","",'RFQ-Input'!H879)</f>
        <v/>
      </c>
      <c r="I880" s="7" t="str">
        <f>IF('RFQ-Input'!I879="","",'RFQ-Input'!I879)</f>
        <v/>
      </c>
      <c r="J880" s="7" t="str">
        <f>IF('RFQ-Input'!J879="","",'RFQ-Input'!J879)</f>
        <v/>
      </c>
      <c r="K880" s="7" t="str">
        <f>IF('RFQ-Input'!K879="","",'RFQ-Input'!K879)</f>
        <v/>
      </c>
      <c r="L880" s="7" t="str">
        <f>IF('RFQ-Input'!L879="","",'RFQ-Input'!L879)</f>
        <v/>
      </c>
      <c r="M880" s="7" t="str">
        <f>IF('RFQ-Input'!M879="","",'RFQ-Input'!M879)</f>
        <v/>
      </c>
      <c r="N880" s="7" t="str">
        <f>IF('RFQ-Input'!N879="","",'RFQ-Input'!N879)</f>
        <v/>
      </c>
      <c r="O880" s="7" t="str">
        <f>IF('RFQ-Input'!O879="","",'RFQ-Input'!O879)</f>
        <v/>
      </c>
      <c r="Q880" s="7"/>
      <c r="R880" s="7"/>
      <c r="S880" s="7"/>
      <c r="T880" s="7"/>
      <c r="U880" s="7"/>
      <c r="V880" s="7"/>
      <c r="X880" s="7"/>
      <c r="Y880" s="7"/>
      <c r="Z880" s="7"/>
      <c r="AA880" s="7" t="str">
        <f t="shared" si="91"/>
        <v/>
      </c>
      <c r="AB880" s="7"/>
      <c r="AC880" s="7"/>
      <c r="AQ880" s="7" t="str">
        <f t="shared" si="92"/>
        <v/>
      </c>
      <c r="AR880" s="7" t="str">
        <f t="shared" si="93"/>
        <v/>
      </c>
      <c r="AS880" s="7" t="str">
        <f t="shared" si="94"/>
        <v/>
      </c>
      <c r="AT880" s="7" t="str">
        <f t="shared" si="95"/>
        <v/>
      </c>
      <c r="AU880" s="7" t="str">
        <f t="shared" si="96"/>
        <v/>
      </c>
      <c r="AV880" s="7" t="str">
        <f t="shared" si="97"/>
        <v/>
      </c>
      <c r="AW880" s="7" t="str">
        <f>IF('RFQ-Input'!O879="","",'RFQ-Input'!O879)</f>
        <v/>
      </c>
      <c r="AX880" s="7" t="str">
        <f>IF('RFQ-Input'!S879="","",'RFQ-Input'!S879)</f>
        <v/>
      </c>
      <c r="AY880" s="7" t="str">
        <f>IF('RFQ-Input'!V879="","",'RFQ-Input'!V879)</f>
        <v/>
      </c>
      <c r="AZ880" s="7" t="str">
        <f>IF('RFQ-Input'!Y879="","",'RFQ-Input'!Y879)</f>
        <v/>
      </c>
      <c r="BA880" s="7" t="str">
        <f>IF('RFQ-Input'!AB879="","",'RFQ-Input'!AB879)</f>
        <v/>
      </c>
    </row>
    <row r="881" spans="1:53">
      <c r="A881" s="20">
        <v>877</v>
      </c>
      <c r="B881" s="7"/>
      <c r="C881" s="7" t="str">
        <f>IF('RFQ-Input'!C880="","",'RFQ-Input'!C880)</f>
        <v/>
      </c>
      <c r="D881" s="7" t="str">
        <f>IF('RFQ-Input'!D880="","",'RFQ-Input'!D880)</f>
        <v/>
      </c>
      <c r="E881" s="7" t="str">
        <f>IF('RFQ-Input'!E880="","",'RFQ-Input'!E880)</f>
        <v/>
      </c>
      <c r="F881" s="7" t="str">
        <f>IF('RFQ-Input'!F880="","",'RFQ-Input'!F880)</f>
        <v/>
      </c>
      <c r="G881" s="7" t="str">
        <f>IF('RFQ-Input'!G880="","",'RFQ-Input'!G880)</f>
        <v/>
      </c>
      <c r="H881" s="7" t="str">
        <f>IF('RFQ-Input'!H880="","",'RFQ-Input'!H880)</f>
        <v/>
      </c>
      <c r="I881" s="7" t="str">
        <f>IF('RFQ-Input'!I880="","",'RFQ-Input'!I880)</f>
        <v/>
      </c>
      <c r="J881" s="7" t="str">
        <f>IF('RFQ-Input'!J880="","",'RFQ-Input'!J880)</f>
        <v/>
      </c>
      <c r="K881" s="7" t="str">
        <f>IF('RFQ-Input'!K880="","",'RFQ-Input'!K880)</f>
        <v/>
      </c>
      <c r="L881" s="7" t="str">
        <f>IF('RFQ-Input'!L880="","",'RFQ-Input'!L880)</f>
        <v/>
      </c>
      <c r="M881" s="7" t="str">
        <f>IF('RFQ-Input'!M880="","",'RFQ-Input'!M880)</f>
        <v/>
      </c>
      <c r="N881" s="7" t="str">
        <f>IF('RFQ-Input'!N880="","",'RFQ-Input'!N880)</f>
        <v/>
      </c>
      <c r="O881" s="7" t="str">
        <f>IF('RFQ-Input'!O880="","",'RFQ-Input'!O880)</f>
        <v/>
      </c>
      <c r="Q881" s="7"/>
      <c r="R881" s="7"/>
      <c r="S881" s="7"/>
      <c r="T881" s="7"/>
      <c r="U881" s="7"/>
      <c r="V881" s="7"/>
      <c r="X881" s="7"/>
      <c r="Y881" s="7"/>
      <c r="Z881" s="7"/>
      <c r="AA881" s="7" t="str">
        <f t="shared" si="91"/>
        <v/>
      </c>
      <c r="AB881" s="7"/>
      <c r="AC881" s="7"/>
      <c r="AQ881" s="7" t="str">
        <f t="shared" si="92"/>
        <v/>
      </c>
      <c r="AR881" s="7" t="str">
        <f t="shared" si="93"/>
        <v/>
      </c>
      <c r="AS881" s="7" t="str">
        <f t="shared" si="94"/>
        <v/>
      </c>
      <c r="AT881" s="7" t="str">
        <f t="shared" si="95"/>
        <v/>
      </c>
      <c r="AU881" s="7" t="str">
        <f t="shared" si="96"/>
        <v/>
      </c>
      <c r="AV881" s="7" t="str">
        <f t="shared" si="97"/>
        <v/>
      </c>
      <c r="AW881" s="7" t="str">
        <f>IF('RFQ-Input'!O880="","",'RFQ-Input'!O880)</f>
        <v/>
      </c>
      <c r="AX881" s="7" t="str">
        <f>IF('RFQ-Input'!S880="","",'RFQ-Input'!S880)</f>
        <v/>
      </c>
      <c r="AY881" s="7" t="str">
        <f>IF('RFQ-Input'!V880="","",'RFQ-Input'!V880)</f>
        <v/>
      </c>
      <c r="AZ881" s="7" t="str">
        <f>IF('RFQ-Input'!Y880="","",'RFQ-Input'!Y880)</f>
        <v/>
      </c>
      <c r="BA881" s="7" t="str">
        <f>IF('RFQ-Input'!AB880="","",'RFQ-Input'!AB880)</f>
        <v/>
      </c>
    </row>
    <row r="882" spans="1:53">
      <c r="A882" s="20">
        <v>878</v>
      </c>
      <c r="B882" s="7"/>
      <c r="C882" s="7" t="str">
        <f>IF('RFQ-Input'!C881="","",'RFQ-Input'!C881)</f>
        <v/>
      </c>
      <c r="D882" s="7" t="str">
        <f>IF('RFQ-Input'!D881="","",'RFQ-Input'!D881)</f>
        <v/>
      </c>
      <c r="E882" s="7" t="str">
        <f>IF('RFQ-Input'!E881="","",'RFQ-Input'!E881)</f>
        <v/>
      </c>
      <c r="F882" s="7" t="str">
        <f>IF('RFQ-Input'!F881="","",'RFQ-Input'!F881)</f>
        <v/>
      </c>
      <c r="G882" s="7" t="str">
        <f>IF('RFQ-Input'!G881="","",'RFQ-Input'!G881)</f>
        <v/>
      </c>
      <c r="H882" s="7" t="str">
        <f>IF('RFQ-Input'!H881="","",'RFQ-Input'!H881)</f>
        <v/>
      </c>
      <c r="I882" s="7" t="str">
        <f>IF('RFQ-Input'!I881="","",'RFQ-Input'!I881)</f>
        <v/>
      </c>
      <c r="J882" s="7" t="str">
        <f>IF('RFQ-Input'!J881="","",'RFQ-Input'!J881)</f>
        <v/>
      </c>
      <c r="K882" s="7" t="str">
        <f>IF('RFQ-Input'!K881="","",'RFQ-Input'!K881)</f>
        <v/>
      </c>
      <c r="L882" s="7" t="str">
        <f>IF('RFQ-Input'!L881="","",'RFQ-Input'!L881)</f>
        <v/>
      </c>
      <c r="M882" s="7" t="str">
        <f>IF('RFQ-Input'!M881="","",'RFQ-Input'!M881)</f>
        <v/>
      </c>
      <c r="N882" s="7" t="str">
        <f>IF('RFQ-Input'!N881="","",'RFQ-Input'!N881)</f>
        <v/>
      </c>
      <c r="O882" s="7" t="str">
        <f>IF('RFQ-Input'!O881="","",'RFQ-Input'!O881)</f>
        <v/>
      </c>
      <c r="Q882" s="7"/>
      <c r="R882" s="7"/>
      <c r="S882" s="7"/>
      <c r="T882" s="7"/>
      <c r="U882" s="7"/>
      <c r="V882" s="7"/>
      <c r="X882" s="7"/>
      <c r="Y882" s="7"/>
      <c r="Z882" s="7"/>
      <c r="AA882" s="7" t="str">
        <f t="shared" si="91"/>
        <v/>
      </c>
      <c r="AB882" s="7"/>
      <c r="AC882" s="7"/>
      <c r="AQ882" s="7" t="str">
        <f t="shared" si="92"/>
        <v/>
      </c>
      <c r="AR882" s="7" t="str">
        <f t="shared" si="93"/>
        <v/>
      </c>
      <c r="AS882" s="7" t="str">
        <f t="shared" si="94"/>
        <v/>
      </c>
      <c r="AT882" s="7" t="str">
        <f t="shared" si="95"/>
        <v/>
      </c>
      <c r="AU882" s="7" t="str">
        <f t="shared" si="96"/>
        <v/>
      </c>
      <c r="AV882" s="7" t="str">
        <f t="shared" si="97"/>
        <v/>
      </c>
      <c r="AW882" s="7" t="str">
        <f>IF('RFQ-Input'!O881="","",'RFQ-Input'!O881)</f>
        <v/>
      </c>
      <c r="AX882" s="7" t="str">
        <f>IF('RFQ-Input'!S881="","",'RFQ-Input'!S881)</f>
        <v/>
      </c>
      <c r="AY882" s="7" t="str">
        <f>IF('RFQ-Input'!V881="","",'RFQ-Input'!V881)</f>
        <v/>
      </c>
      <c r="AZ882" s="7" t="str">
        <f>IF('RFQ-Input'!Y881="","",'RFQ-Input'!Y881)</f>
        <v/>
      </c>
      <c r="BA882" s="7" t="str">
        <f>IF('RFQ-Input'!AB881="","",'RFQ-Input'!AB881)</f>
        <v/>
      </c>
    </row>
    <row r="883" spans="1:53">
      <c r="A883" s="20">
        <v>879</v>
      </c>
      <c r="B883" s="7"/>
      <c r="C883" s="7" t="str">
        <f>IF('RFQ-Input'!C882="","",'RFQ-Input'!C882)</f>
        <v/>
      </c>
      <c r="D883" s="7" t="str">
        <f>IF('RFQ-Input'!D882="","",'RFQ-Input'!D882)</f>
        <v/>
      </c>
      <c r="E883" s="7" t="str">
        <f>IF('RFQ-Input'!E882="","",'RFQ-Input'!E882)</f>
        <v/>
      </c>
      <c r="F883" s="7" t="str">
        <f>IF('RFQ-Input'!F882="","",'RFQ-Input'!F882)</f>
        <v/>
      </c>
      <c r="G883" s="7" t="str">
        <f>IF('RFQ-Input'!G882="","",'RFQ-Input'!G882)</f>
        <v/>
      </c>
      <c r="H883" s="7" t="str">
        <f>IF('RFQ-Input'!H882="","",'RFQ-Input'!H882)</f>
        <v/>
      </c>
      <c r="I883" s="7" t="str">
        <f>IF('RFQ-Input'!I882="","",'RFQ-Input'!I882)</f>
        <v/>
      </c>
      <c r="J883" s="7" t="str">
        <f>IF('RFQ-Input'!J882="","",'RFQ-Input'!J882)</f>
        <v/>
      </c>
      <c r="K883" s="7" t="str">
        <f>IF('RFQ-Input'!K882="","",'RFQ-Input'!K882)</f>
        <v/>
      </c>
      <c r="L883" s="7" t="str">
        <f>IF('RFQ-Input'!L882="","",'RFQ-Input'!L882)</f>
        <v/>
      </c>
      <c r="M883" s="7" t="str">
        <f>IF('RFQ-Input'!M882="","",'RFQ-Input'!M882)</f>
        <v/>
      </c>
      <c r="N883" s="7" t="str">
        <f>IF('RFQ-Input'!N882="","",'RFQ-Input'!N882)</f>
        <v/>
      </c>
      <c r="O883" s="7" t="str">
        <f>IF('RFQ-Input'!O882="","",'RFQ-Input'!O882)</f>
        <v/>
      </c>
      <c r="Q883" s="7"/>
      <c r="R883" s="7"/>
      <c r="S883" s="7"/>
      <c r="T883" s="7"/>
      <c r="U883" s="7"/>
      <c r="V883" s="7"/>
      <c r="X883" s="7"/>
      <c r="Y883" s="7"/>
      <c r="Z883" s="7"/>
      <c r="AA883" s="7" t="str">
        <f t="shared" si="91"/>
        <v/>
      </c>
      <c r="AB883" s="7"/>
      <c r="AC883" s="7"/>
      <c r="AQ883" s="7" t="str">
        <f t="shared" si="92"/>
        <v/>
      </c>
      <c r="AR883" s="7" t="str">
        <f t="shared" si="93"/>
        <v/>
      </c>
      <c r="AS883" s="7" t="str">
        <f t="shared" si="94"/>
        <v/>
      </c>
      <c r="AT883" s="7" t="str">
        <f t="shared" si="95"/>
        <v/>
      </c>
      <c r="AU883" s="7" t="str">
        <f t="shared" si="96"/>
        <v/>
      </c>
      <c r="AV883" s="7" t="str">
        <f t="shared" si="97"/>
        <v/>
      </c>
      <c r="AW883" s="7" t="str">
        <f>IF('RFQ-Input'!O882="","",'RFQ-Input'!O882)</f>
        <v/>
      </c>
      <c r="AX883" s="7" t="str">
        <f>IF('RFQ-Input'!S882="","",'RFQ-Input'!S882)</f>
        <v/>
      </c>
      <c r="AY883" s="7" t="str">
        <f>IF('RFQ-Input'!V882="","",'RFQ-Input'!V882)</f>
        <v/>
      </c>
      <c r="AZ883" s="7" t="str">
        <f>IF('RFQ-Input'!Y882="","",'RFQ-Input'!Y882)</f>
        <v/>
      </c>
      <c r="BA883" s="7" t="str">
        <f>IF('RFQ-Input'!AB882="","",'RFQ-Input'!AB882)</f>
        <v/>
      </c>
    </row>
    <row r="884" spans="1:53">
      <c r="A884" s="20">
        <v>880</v>
      </c>
      <c r="B884" s="7"/>
      <c r="C884" s="7" t="str">
        <f>IF('RFQ-Input'!C883="","",'RFQ-Input'!C883)</f>
        <v/>
      </c>
      <c r="D884" s="7" t="str">
        <f>IF('RFQ-Input'!D883="","",'RFQ-Input'!D883)</f>
        <v/>
      </c>
      <c r="E884" s="7" t="str">
        <f>IF('RFQ-Input'!E883="","",'RFQ-Input'!E883)</f>
        <v/>
      </c>
      <c r="F884" s="7" t="str">
        <f>IF('RFQ-Input'!F883="","",'RFQ-Input'!F883)</f>
        <v/>
      </c>
      <c r="G884" s="7" t="str">
        <f>IF('RFQ-Input'!G883="","",'RFQ-Input'!G883)</f>
        <v/>
      </c>
      <c r="H884" s="7" t="str">
        <f>IF('RFQ-Input'!H883="","",'RFQ-Input'!H883)</f>
        <v/>
      </c>
      <c r="I884" s="7" t="str">
        <f>IF('RFQ-Input'!I883="","",'RFQ-Input'!I883)</f>
        <v/>
      </c>
      <c r="J884" s="7" t="str">
        <f>IF('RFQ-Input'!J883="","",'RFQ-Input'!J883)</f>
        <v/>
      </c>
      <c r="K884" s="7" t="str">
        <f>IF('RFQ-Input'!K883="","",'RFQ-Input'!K883)</f>
        <v/>
      </c>
      <c r="L884" s="7" t="str">
        <f>IF('RFQ-Input'!L883="","",'RFQ-Input'!L883)</f>
        <v/>
      </c>
      <c r="M884" s="7" t="str">
        <f>IF('RFQ-Input'!M883="","",'RFQ-Input'!M883)</f>
        <v/>
      </c>
      <c r="N884" s="7" t="str">
        <f>IF('RFQ-Input'!N883="","",'RFQ-Input'!N883)</f>
        <v/>
      </c>
      <c r="O884" s="7" t="str">
        <f>IF('RFQ-Input'!O883="","",'RFQ-Input'!O883)</f>
        <v/>
      </c>
      <c r="Q884" s="7"/>
      <c r="R884" s="7"/>
      <c r="S884" s="7"/>
      <c r="T884" s="7"/>
      <c r="U884" s="7"/>
      <c r="V884" s="7"/>
      <c r="X884" s="7"/>
      <c r="Y884" s="7"/>
      <c r="Z884" s="7"/>
      <c r="AA884" s="7" t="str">
        <f t="shared" si="91"/>
        <v/>
      </c>
      <c r="AB884" s="7"/>
      <c r="AC884" s="7"/>
      <c r="AQ884" s="7" t="str">
        <f t="shared" si="92"/>
        <v/>
      </c>
      <c r="AR884" s="7" t="str">
        <f t="shared" si="93"/>
        <v/>
      </c>
      <c r="AS884" s="7" t="str">
        <f t="shared" si="94"/>
        <v/>
      </c>
      <c r="AT884" s="7" t="str">
        <f t="shared" si="95"/>
        <v/>
      </c>
      <c r="AU884" s="7" t="str">
        <f t="shared" si="96"/>
        <v/>
      </c>
      <c r="AV884" s="7" t="str">
        <f t="shared" si="97"/>
        <v/>
      </c>
      <c r="AW884" s="7" t="str">
        <f>IF('RFQ-Input'!O883="","",'RFQ-Input'!O883)</f>
        <v/>
      </c>
      <c r="AX884" s="7" t="str">
        <f>IF('RFQ-Input'!S883="","",'RFQ-Input'!S883)</f>
        <v/>
      </c>
      <c r="AY884" s="7" t="str">
        <f>IF('RFQ-Input'!V883="","",'RFQ-Input'!V883)</f>
        <v/>
      </c>
      <c r="AZ884" s="7" t="str">
        <f>IF('RFQ-Input'!Y883="","",'RFQ-Input'!Y883)</f>
        <v/>
      </c>
      <c r="BA884" s="7" t="str">
        <f>IF('RFQ-Input'!AB883="","",'RFQ-Input'!AB883)</f>
        <v/>
      </c>
    </row>
    <row r="885" spans="1:53">
      <c r="A885" s="20">
        <v>881</v>
      </c>
      <c r="B885" s="7"/>
      <c r="C885" s="7" t="str">
        <f>IF('RFQ-Input'!C884="","",'RFQ-Input'!C884)</f>
        <v/>
      </c>
      <c r="D885" s="7" t="str">
        <f>IF('RFQ-Input'!D884="","",'RFQ-Input'!D884)</f>
        <v/>
      </c>
      <c r="E885" s="7" t="str">
        <f>IF('RFQ-Input'!E884="","",'RFQ-Input'!E884)</f>
        <v/>
      </c>
      <c r="F885" s="7" t="str">
        <f>IF('RFQ-Input'!F884="","",'RFQ-Input'!F884)</f>
        <v/>
      </c>
      <c r="G885" s="7" t="str">
        <f>IF('RFQ-Input'!G884="","",'RFQ-Input'!G884)</f>
        <v/>
      </c>
      <c r="H885" s="7" t="str">
        <f>IF('RFQ-Input'!H884="","",'RFQ-Input'!H884)</f>
        <v/>
      </c>
      <c r="I885" s="7" t="str">
        <f>IF('RFQ-Input'!I884="","",'RFQ-Input'!I884)</f>
        <v/>
      </c>
      <c r="J885" s="7" t="str">
        <f>IF('RFQ-Input'!J884="","",'RFQ-Input'!J884)</f>
        <v/>
      </c>
      <c r="K885" s="7" t="str">
        <f>IF('RFQ-Input'!K884="","",'RFQ-Input'!K884)</f>
        <v/>
      </c>
      <c r="L885" s="7" t="str">
        <f>IF('RFQ-Input'!L884="","",'RFQ-Input'!L884)</f>
        <v/>
      </c>
      <c r="M885" s="7" t="str">
        <f>IF('RFQ-Input'!M884="","",'RFQ-Input'!M884)</f>
        <v/>
      </c>
      <c r="N885" s="7" t="str">
        <f>IF('RFQ-Input'!N884="","",'RFQ-Input'!N884)</f>
        <v/>
      </c>
      <c r="O885" s="7" t="str">
        <f>IF('RFQ-Input'!O884="","",'RFQ-Input'!O884)</f>
        <v/>
      </c>
      <c r="Q885" s="7"/>
      <c r="R885" s="7"/>
      <c r="S885" s="7"/>
      <c r="T885" s="7"/>
      <c r="U885" s="7"/>
      <c r="V885" s="7"/>
      <c r="X885" s="7"/>
      <c r="Y885" s="7"/>
      <c r="Z885" s="7"/>
      <c r="AA885" s="7" t="str">
        <f t="shared" si="91"/>
        <v/>
      </c>
      <c r="AB885" s="7"/>
      <c r="AC885" s="7"/>
      <c r="AQ885" s="7" t="str">
        <f t="shared" si="92"/>
        <v/>
      </c>
      <c r="AR885" s="7" t="str">
        <f t="shared" si="93"/>
        <v/>
      </c>
      <c r="AS885" s="7" t="str">
        <f t="shared" si="94"/>
        <v/>
      </c>
      <c r="AT885" s="7" t="str">
        <f t="shared" si="95"/>
        <v/>
      </c>
      <c r="AU885" s="7" t="str">
        <f t="shared" si="96"/>
        <v/>
      </c>
      <c r="AV885" s="7" t="str">
        <f t="shared" si="97"/>
        <v/>
      </c>
      <c r="AW885" s="7" t="str">
        <f>IF('RFQ-Input'!O884="","",'RFQ-Input'!O884)</f>
        <v/>
      </c>
      <c r="AX885" s="7" t="str">
        <f>IF('RFQ-Input'!S884="","",'RFQ-Input'!S884)</f>
        <v/>
      </c>
      <c r="AY885" s="7" t="str">
        <f>IF('RFQ-Input'!V884="","",'RFQ-Input'!V884)</f>
        <v/>
      </c>
      <c r="AZ885" s="7" t="str">
        <f>IF('RFQ-Input'!Y884="","",'RFQ-Input'!Y884)</f>
        <v/>
      </c>
      <c r="BA885" s="7" t="str">
        <f>IF('RFQ-Input'!AB884="","",'RFQ-Input'!AB884)</f>
        <v/>
      </c>
    </row>
    <row r="886" spans="1:53">
      <c r="A886" s="20">
        <v>882</v>
      </c>
      <c r="B886" s="7"/>
      <c r="C886" s="7" t="str">
        <f>IF('RFQ-Input'!C885="","",'RFQ-Input'!C885)</f>
        <v/>
      </c>
      <c r="D886" s="7" t="str">
        <f>IF('RFQ-Input'!D885="","",'RFQ-Input'!D885)</f>
        <v/>
      </c>
      <c r="E886" s="7" t="str">
        <f>IF('RFQ-Input'!E885="","",'RFQ-Input'!E885)</f>
        <v/>
      </c>
      <c r="F886" s="7" t="str">
        <f>IF('RFQ-Input'!F885="","",'RFQ-Input'!F885)</f>
        <v/>
      </c>
      <c r="G886" s="7" t="str">
        <f>IF('RFQ-Input'!G885="","",'RFQ-Input'!G885)</f>
        <v/>
      </c>
      <c r="H886" s="7" t="str">
        <f>IF('RFQ-Input'!H885="","",'RFQ-Input'!H885)</f>
        <v/>
      </c>
      <c r="I886" s="7" t="str">
        <f>IF('RFQ-Input'!I885="","",'RFQ-Input'!I885)</f>
        <v/>
      </c>
      <c r="J886" s="7" t="str">
        <f>IF('RFQ-Input'!J885="","",'RFQ-Input'!J885)</f>
        <v/>
      </c>
      <c r="K886" s="7" t="str">
        <f>IF('RFQ-Input'!K885="","",'RFQ-Input'!K885)</f>
        <v/>
      </c>
      <c r="L886" s="7" t="str">
        <f>IF('RFQ-Input'!L885="","",'RFQ-Input'!L885)</f>
        <v/>
      </c>
      <c r="M886" s="7" t="str">
        <f>IF('RFQ-Input'!M885="","",'RFQ-Input'!M885)</f>
        <v/>
      </c>
      <c r="N886" s="7" t="str">
        <f>IF('RFQ-Input'!N885="","",'RFQ-Input'!N885)</f>
        <v/>
      </c>
      <c r="O886" s="7" t="str">
        <f>IF('RFQ-Input'!O885="","",'RFQ-Input'!O885)</f>
        <v/>
      </c>
      <c r="Q886" s="7"/>
      <c r="R886" s="7"/>
      <c r="S886" s="7"/>
      <c r="T886" s="7"/>
      <c r="U886" s="7"/>
      <c r="V886" s="7"/>
      <c r="X886" s="7"/>
      <c r="Y886" s="7"/>
      <c r="Z886" s="7"/>
      <c r="AA886" s="7" t="str">
        <f t="shared" si="91"/>
        <v/>
      </c>
      <c r="AB886" s="7"/>
      <c r="AC886" s="7"/>
      <c r="AQ886" s="7" t="str">
        <f t="shared" si="92"/>
        <v/>
      </c>
      <c r="AR886" s="7" t="str">
        <f t="shared" si="93"/>
        <v/>
      </c>
      <c r="AS886" s="7" t="str">
        <f t="shared" si="94"/>
        <v/>
      </c>
      <c r="AT886" s="7" t="str">
        <f t="shared" si="95"/>
        <v/>
      </c>
      <c r="AU886" s="7" t="str">
        <f t="shared" si="96"/>
        <v/>
      </c>
      <c r="AV886" s="7" t="str">
        <f t="shared" si="97"/>
        <v/>
      </c>
      <c r="AW886" s="7" t="str">
        <f>IF('RFQ-Input'!O885="","",'RFQ-Input'!O885)</f>
        <v/>
      </c>
      <c r="AX886" s="7" t="str">
        <f>IF('RFQ-Input'!S885="","",'RFQ-Input'!S885)</f>
        <v/>
      </c>
      <c r="AY886" s="7" t="str">
        <f>IF('RFQ-Input'!V885="","",'RFQ-Input'!V885)</f>
        <v/>
      </c>
      <c r="AZ886" s="7" t="str">
        <f>IF('RFQ-Input'!Y885="","",'RFQ-Input'!Y885)</f>
        <v/>
      </c>
      <c r="BA886" s="7" t="str">
        <f>IF('RFQ-Input'!AB885="","",'RFQ-Input'!AB885)</f>
        <v/>
      </c>
    </row>
    <row r="887" spans="1:53">
      <c r="A887" s="20">
        <v>883</v>
      </c>
      <c r="B887" s="7"/>
      <c r="C887" s="7" t="str">
        <f>IF('RFQ-Input'!C886="","",'RFQ-Input'!C886)</f>
        <v/>
      </c>
      <c r="D887" s="7" t="str">
        <f>IF('RFQ-Input'!D886="","",'RFQ-Input'!D886)</f>
        <v/>
      </c>
      <c r="E887" s="7" t="str">
        <f>IF('RFQ-Input'!E886="","",'RFQ-Input'!E886)</f>
        <v/>
      </c>
      <c r="F887" s="7" t="str">
        <f>IF('RFQ-Input'!F886="","",'RFQ-Input'!F886)</f>
        <v/>
      </c>
      <c r="G887" s="7" t="str">
        <f>IF('RFQ-Input'!G886="","",'RFQ-Input'!G886)</f>
        <v/>
      </c>
      <c r="H887" s="7" t="str">
        <f>IF('RFQ-Input'!H886="","",'RFQ-Input'!H886)</f>
        <v/>
      </c>
      <c r="I887" s="7" t="str">
        <f>IF('RFQ-Input'!I886="","",'RFQ-Input'!I886)</f>
        <v/>
      </c>
      <c r="J887" s="7" t="str">
        <f>IF('RFQ-Input'!J886="","",'RFQ-Input'!J886)</f>
        <v/>
      </c>
      <c r="K887" s="7" t="str">
        <f>IF('RFQ-Input'!K886="","",'RFQ-Input'!K886)</f>
        <v/>
      </c>
      <c r="L887" s="7" t="str">
        <f>IF('RFQ-Input'!L886="","",'RFQ-Input'!L886)</f>
        <v/>
      </c>
      <c r="M887" s="7" t="str">
        <f>IF('RFQ-Input'!M886="","",'RFQ-Input'!M886)</f>
        <v/>
      </c>
      <c r="N887" s="7" t="str">
        <f>IF('RFQ-Input'!N886="","",'RFQ-Input'!N886)</f>
        <v/>
      </c>
      <c r="O887" s="7" t="str">
        <f>IF('RFQ-Input'!O886="","",'RFQ-Input'!O886)</f>
        <v/>
      </c>
      <c r="Q887" s="7"/>
      <c r="R887" s="7"/>
      <c r="S887" s="7"/>
      <c r="T887" s="7"/>
      <c r="U887" s="7"/>
      <c r="V887" s="7"/>
      <c r="X887" s="7"/>
      <c r="Y887" s="7"/>
      <c r="Z887" s="7"/>
      <c r="AA887" s="7" t="str">
        <f t="shared" si="91"/>
        <v/>
      </c>
      <c r="AB887" s="7"/>
      <c r="AC887" s="7"/>
      <c r="AQ887" s="7" t="str">
        <f t="shared" si="92"/>
        <v/>
      </c>
      <c r="AR887" s="7" t="str">
        <f t="shared" si="93"/>
        <v/>
      </c>
      <c r="AS887" s="7" t="str">
        <f t="shared" si="94"/>
        <v/>
      </c>
      <c r="AT887" s="7" t="str">
        <f t="shared" si="95"/>
        <v/>
      </c>
      <c r="AU887" s="7" t="str">
        <f t="shared" si="96"/>
        <v/>
      </c>
      <c r="AV887" s="7" t="str">
        <f t="shared" si="97"/>
        <v/>
      </c>
      <c r="AW887" s="7" t="str">
        <f>IF('RFQ-Input'!O886="","",'RFQ-Input'!O886)</f>
        <v/>
      </c>
      <c r="AX887" s="7" t="str">
        <f>IF('RFQ-Input'!S886="","",'RFQ-Input'!S886)</f>
        <v/>
      </c>
      <c r="AY887" s="7" t="str">
        <f>IF('RFQ-Input'!V886="","",'RFQ-Input'!V886)</f>
        <v/>
      </c>
      <c r="AZ887" s="7" t="str">
        <f>IF('RFQ-Input'!Y886="","",'RFQ-Input'!Y886)</f>
        <v/>
      </c>
      <c r="BA887" s="7" t="str">
        <f>IF('RFQ-Input'!AB886="","",'RFQ-Input'!AB886)</f>
        <v/>
      </c>
    </row>
    <row r="888" spans="1:53">
      <c r="A888" s="20">
        <v>884</v>
      </c>
      <c r="B888" s="7"/>
      <c r="C888" s="7" t="str">
        <f>IF('RFQ-Input'!C887="","",'RFQ-Input'!C887)</f>
        <v/>
      </c>
      <c r="D888" s="7" t="str">
        <f>IF('RFQ-Input'!D887="","",'RFQ-Input'!D887)</f>
        <v/>
      </c>
      <c r="E888" s="7" t="str">
        <f>IF('RFQ-Input'!E887="","",'RFQ-Input'!E887)</f>
        <v/>
      </c>
      <c r="F888" s="7" t="str">
        <f>IF('RFQ-Input'!F887="","",'RFQ-Input'!F887)</f>
        <v/>
      </c>
      <c r="G888" s="7" t="str">
        <f>IF('RFQ-Input'!G887="","",'RFQ-Input'!G887)</f>
        <v/>
      </c>
      <c r="H888" s="7" t="str">
        <f>IF('RFQ-Input'!H887="","",'RFQ-Input'!H887)</f>
        <v/>
      </c>
      <c r="I888" s="7" t="str">
        <f>IF('RFQ-Input'!I887="","",'RFQ-Input'!I887)</f>
        <v/>
      </c>
      <c r="J888" s="7" t="str">
        <f>IF('RFQ-Input'!J887="","",'RFQ-Input'!J887)</f>
        <v/>
      </c>
      <c r="K888" s="7" t="str">
        <f>IF('RFQ-Input'!K887="","",'RFQ-Input'!K887)</f>
        <v/>
      </c>
      <c r="L888" s="7" t="str">
        <f>IF('RFQ-Input'!L887="","",'RFQ-Input'!L887)</f>
        <v/>
      </c>
      <c r="M888" s="7" t="str">
        <f>IF('RFQ-Input'!M887="","",'RFQ-Input'!M887)</f>
        <v/>
      </c>
      <c r="N888" s="7" t="str">
        <f>IF('RFQ-Input'!N887="","",'RFQ-Input'!N887)</f>
        <v/>
      </c>
      <c r="O888" s="7" t="str">
        <f>IF('RFQ-Input'!O887="","",'RFQ-Input'!O887)</f>
        <v/>
      </c>
      <c r="Q888" s="7"/>
      <c r="R888" s="7"/>
      <c r="S888" s="7"/>
      <c r="T888" s="7"/>
      <c r="U888" s="7"/>
      <c r="V888" s="7"/>
      <c r="X888" s="7"/>
      <c r="Y888" s="7"/>
      <c r="Z888" s="7"/>
      <c r="AA888" s="7" t="str">
        <f t="shared" si="91"/>
        <v/>
      </c>
      <c r="AB888" s="7"/>
      <c r="AC888" s="7"/>
      <c r="AQ888" s="7" t="str">
        <f t="shared" si="92"/>
        <v/>
      </c>
      <c r="AR888" s="7" t="str">
        <f t="shared" si="93"/>
        <v/>
      </c>
      <c r="AS888" s="7" t="str">
        <f t="shared" si="94"/>
        <v/>
      </c>
      <c r="AT888" s="7" t="str">
        <f t="shared" si="95"/>
        <v/>
      </c>
      <c r="AU888" s="7" t="str">
        <f t="shared" si="96"/>
        <v/>
      </c>
      <c r="AV888" s="7" t="str">
        <f t="shared" si="97"/>
        <v/>
      </c>
      <c r="AW888" s="7" t="str">
        <f>IF('RFQ-Input'!O887="","",'RFQ-Input'!O887)</f>
        <v/>
      </c>
      <c r="AX888" s="7" t="str">
        <f>IF('RFQ-Input'!S887="","",'RFQ-Input'!S887)</f>
        <v/>
      </c>
      <c r="AY888" s="7" t="str">
        <f>IF('RFQ-Input'!V887="","",'RFQ-Input'!V887)</f>
        <v/>
      </c>
      <c r="AZ888" s="7" t="str">
        <f>IF('RFQ-Input'!Y887="","",'RFQ-Input'!Y887)</f>
        <v/>
      </c>
      <c r="BA888" s="7" t="str">
        <f>IF('RFQ-Input'!AB887="","",'RFQ-Input'!AB887)</f>
        <v/>
      </c>
    </row>
    <row r="889" spans="1:53">
      <c r="A889" s="20">
        <v>885</v>
      </c>
      <c r="B889" s="7"/>
      <c r="C889" s="7" t="str">
        <f>IF('RFQ-Input'!C888="","",'RFQ-Input'!C888)</f>
        <v/>
      </c>
      <c r="D889" s="7" t="str">
        <f>IF('RFQ-Input'!D888="","",'RFQ-Input'!D888)</f>
        <v/>
      </c>
      <c r="E889" s="7" t="str">
        <f>IF('RFQ-Input'!E888="","",'RFQ-Input'!E888)</f>
        <v/>
      </c>
      <c r="F889" s="7" t="str">
        <f>IF('RFQ-Input'!F888="","",'RFQ-Input'!F888)</f>
        <v/>
      </c>
      <c r="G889" s="7" t="str">
        <f>IF('RFQ-Input'!G888="","",'RFQ-Input'!G888)</f>
        <v/>
      </c>
      <c r="H889" s="7" t="str">
        <f>IF('RFQ-Input'!H888="","",'RFQ-Input'!H888)</f>
        <v/>
      </c>
      <c r="I889" s="7" t="str">
        <f>IF('RFQ-Input'!I888="","",'RFQ-Input'!I888)</f>
        <v/>
      </c>
      <c r="J889" s="7" t="str">
        <f>IF('RFQ-Input'!J888="","",'RFQ-Input'!J888)</f>
        <v/>
      </c>
      <c r="K889" s="7" t="str">
        <f>IF('RFQ-Input'!K888="","",'RFQ-Input'!K888)</f>
        <v/>
      </c>
      <c r="L889" s="7" t="str">
        <f>IF('RFQ-Input'!L888="","",'RFQ-Input'!L888)</f>
        <v/>
      </c>
      <c r="M889" s="7" t="str">
        <f>IF('RFQ-Input'!M888="","",'RFQ-Input'!M888)</f>
        <v/>
      </c>
      <c r="N889" s="7" t="str">
        <f>IF('RFQ-Input'!N888="","",'RFQ-Input'!N888)</f>
        <v/>
      </c>
      <c r="O889" s="7" t="str">
        <f>IF('RFQ-Input'!O888="","",'RFQ-Input'!O888)</f>
        <v/>
      </c>
      <c r="Q889" s="7"/>
      <c r="R889" s="7"/>
      <c r="S889" s="7"/>
      <c r="T889" s="7"/>
      <c r="U889" s="7"/>
      <c r="V889" s="7"/>
      <c r="X889" s="7"/>
      <c r="Y889" s="7"/>
      <c r="Z889" s="7"/>
      <c r="AA889" s="7" t="str">
        <f t="shared" si="91"/>
        <v/>
      </c>
      <c r="AB889" s="7"/>
      <c r="AC889" s="7"/>
      <c r="AQ889" s="7" t="str">
        <f t="shared" si="92"/>
        <v/>
      </c>
      <c r="AR889" s="7" t="str">
        <f t="shared" si="93"/>
        <v/>
      </c>
      <c r="AS889" s="7" t="str">
        <f t="shared" si="94"/>
        <v/>
      </c>
      <c r="AT889" s="7" t="str">
        <f t="shared" si="95"/>
        <v/>
      </c>
      <c r="AU889" s="7" t="str">
        <f t="shared" si="96"/>
        <v/>
      </c>
      <c r="AV889" s="7" t="str">
        <f t="shared" si="97"/>
        <v/>
      </c>
      <c r="AW889" s="7" t="str">
        <f>IF('RFQ-Input'!O888="","",'RFQ-Input'!O888)</f>
        <v/>
      </c>
      <c r="AX889" s="7" t="str">
        <f>IF('RFQ-Input'!S888="","",'RFQ-Input'!S888)</f>
        <v/>
      </c>
      <c r="AY889" s="7" t="str">
        <f>IF('RFQ-Input'!V888="","",'RFQ-Input'!V888)</f>
        <v/>
      </c>
      <c r="AZ889" s="7" t="str">
        <f>IF('RFQ-Input'!Y888="","",'RFQ-Input'!Y888)</f>
        <v/>
      </c>
      <c r="BA889" s="7" t="str">
        <f>IF('RFQ-Input'!AB888="","",'RFQ-Input'!AB888)</f>
        <v/>
      </c>
    </row>
    <row r="890" spans="1:53">
      <c r="A890" s="20">
        <v>886</v>
      </c>
      <c r="B890" s="7"/>
      <c r="C890" s="7" t="str">
        <f>IF('RFQ-Input'!C889="","",'RFQ-Input'!C889)</f>
        <v/>
      </c>
      <c r="D890" s="7" t="str">
        <f>IF('RFQ-Input'!D889="","",'RFQ-Input'!D889)</f>
        <v/>
      </c>
      <c r="E890" s="7" t="str">
        <f>IF('RFQ-Input'!E889="","",'RFQ-Input'!E889)</f>
        <v/>
      </c>
      <c r="F890" s="7" t="str">
        <f>IF('RFQ-Input'!F889="","",'RFQ-Input'!F889)</f>
        <v/>
      </c>
      <c r="G890" s="7" t="str">
        <f>IF('RFQ-Input'!G889="","",'RFQ-Input'!G889)</f>
        <v/>
      </c>
      <c r="H890" s="7" t="str">
        <f>IF('RFQ-Input'!H889="","",'RFQ-Input'!H889)</f>
        <v/>
      </c>
      <c r="I890" s="7" t="str">
        <f>IF('RFQ-Input'!I889="","",'RFQ-Input'!I889)</f>
        <v/>
      </c>
      <c r="J890" s="7" t="str">
        <f>IF('RFQ-Input'!J889="","",'RFQ-Input'!J889)</f>
        <v/>
      </c>
      <c r="K890" s="7" t="str">
        <f>IF('RFQ-Input'!K889="","",'RFQ-Input'!K889)</f>
        <v/>
      </c>
      <c r="L890" s="7" t="str">
        <f>IF('RFQ-Input'!L889="","",'RFQ-Input'!L889)</f>
        <v/>
      </c>
      <c r="M890" s="7" t="str">
        <f>IF('RFQ-Input'!M889="","",'RFQ-Input'!M889)</f>
        <v/>
      </c>
      <c r="N890" s="7" t="str">
        <f>IF('RFQ-Input'!N889="","",'RFQ-Input'!N889)</f>
        <v/>
      </c>
      <c r="O890" s="7" t="str">
        <f>IF('RFQ-Input'!O889="","",'RFQ-Input'!O889)</f>
        <v/>
      </c>
      <c r="Q890" s="7"/>
      <c r="R890" s="7"/>
      <c r="S890" s="7"/>
      <c r="T890" s="7"/>
      <c r="U890" s="7"/>
      <c r="V890" s="7"/>
      <c r="X890" s="7"/>
      <c r="Y890" s="7"/>
      <c r="Z890" s="7"/>
      <c r="AA890" s="7" t="str">
        <f t="shared" si="91"/>
        <v/>
      </c>
      <c r="AB890" s="7"/>
      <c r="AC890" s="7"/>
      <c r="AQ890" s="7" t="str">
        <f t="shared" si="92"/>
        <v/>
      </c>
      <c r="AR890" s="7" t="str">
        <f t="shared" si="93"/>
        <v/>
      </c>
      <c r="AS890" s="7" t="str">
        <f t="shared" si="94"/>
        <v/>
      </c>
      <c r="AT890" s="7" t="str">
        <f t="shared" si="95"/>
        <v/>
      </c>
      <c r="AU890" s="7" t="str">
        <f t="shared" si="96"/>
        <v/>
      </c>
      <c r="AV890" s="7" t="str">
        <f t="shared" si="97"/>
        <v/>
      </c>
      <c r="AW890" s="7" t="str">
        <f>IF('RFQ-Input'!O889="","",'RFQ-Input'!O889)</f>
        <v/>
      </c>
      <c r="AX890" s="7" t="str">
        <f>IF('RFQ-Input'!S889="","",'RFQ-Input'!S889)</f>
        <v/>
      </c>
      <c r="AY890" s="7" t="str">
        <f>IF('RFQ-Input'!V889="","",'RFQ-Input'!V889)</f>
        <v/>
      </c>
      <c r="AZ890" s="7" t="str">
        <f>IF('RFQ-Input'!Y889="","",'RFQ-Input'!Y889)</f>
        <v/>
      </c>
      <c r="BA890" s="7" t="str">
        <f>IF('RFQ-Input'!AB889="","",'RFQ-Input'!AB889)</f>
        <v/>
      </c>
    </row>
    <row r="891" spans="1:53">
      <c r="A891" s="20">
        <v>887</v>
      </c>
      <c r="B891" s="7"/>
      <c r="C891" s="7" t="str">
        <f>IF('RFQ-Input'!C890="","",'RFQ-Input'!C890)</f>
        <v/>
      </c>
      <c r="D891" s="7" t="str">
        <f>IF('RFQ-Input'!D890="","",'RFQ-Input'!D890)</f>
        <v/>
      </c>
      <c r="E891" s="7" t="str">
        <f>IF('RFQ-Input'!E890="","",'RFQ-Input'!E890)</f>
        <v/>
      </c>
      <c r="F891" s="7" t="str">
        <f>IF('RFQ-Input'!F890="","",'RFQ-Input'!F890)</f>
        <v/>
      </c>
      <c r="G891" s="7" t="str">
        <f>IF('RFQ-Input'!G890="","",'RFQ-Input'!G890)</f>
        <v/>
      </c>
      <c r="H891" s="7" t="str">
        <f>IF('RFQ-Input'!H890="","",'RFQ-Input'!H890)</f>
        <v/>
      </c>
      <c r="I891" s="7" t="str">
        <f>IF('RFQ-Input'!I890="","",'RFQ-Input'!I890)</f>
        <v/>
      </c>
      <c r="J891" s="7" t="str">
        <f>IF('RFQ-Input'!J890="","",'RFQ-Input'!J890)</f>
        <v/>
      </c>
      <c r="K891" s="7" t="str">
        <f>IF('RFQ-Input'!K890="","",'RFQ-Input'!K890)</f>
        <v/>
      </c>
      <c r="L891" s="7" t="str">
        <f>IF('RFQ-Input'!L890="","",'RFQ-Input'!L890)</f>
        <v/>
      </c>
      <c r="M891" s="7" t="str">
        <f>IF('RFQ-Input'!M890="","",'RFQ-Input'!M890)</f>
        <v/>
      </c>
      <c r="N891" s="7" t="str">
        <f>IF('RFQ-Input'!N890="","",'RFQ-Input'!N890)</f>
        <v/>
      </c>
      <c r="O891" s="7" t="str">
        <f>IF('RFQ-Input'!O890="","",'RFQ-Input'!O890)</f>
        <v/>
      </c>
      <c r="Q891" s="7"/>
      <c r="R891" s="7"/>
      <c r="S891" s="7"/>
      <c r="T891" s="7"/>
      <c r="U891" s="7"/>
      <c r="V891" s="7"/>
      <c r="X891" s="7"/>
      <c r="Y891" s="7"/>
      <c r="Z891" s="7"/>
      <c r="AA891" s="7" t="str">
        <f t="shared" si="91"/>
        <v/>
      </c>
      <c r="AB891" s="7"/>
      <c r="AC891" s="7"/>
      <c r="AQ891" s="7" t="str">
        <f t="shared" si="92"/>
        <v/>
      </c>
      <c r="AR891" s="7" t="str">
        <f t="shared" si="93"/>
        <v/>
      </c>
      <c r="AS891" s="7" t="str">
        <f t="shared" si="94"/>
        <v/>
      </c>
      <c r="AT891" s="7" t="str">
        <f t="shared" si="95"/>
        <v/>
      </c>
      <c r="AU891" s="7" t="str">
        <f t="shared" si="96"/>
        <v/>
      </c>
      <c r="AV891" s="7" t="str">
        <f t="shared" si="97"/>
        <v/>
      </c>
      <c r="AW891" s="7" t="str">
        <f>IF('RFQ-Input'!O890="","",'RFQ-Input'!O890)</f>
        <v/>
      </c>
      <c r="AX891" s="7" t="str">
        <f>IF('RFQ-Input'!S890="","",'RFQ-Input'!S890)</f>
        <v/>
      </c>
      <c r="AY891" s="7" t="str">
        <f>IF('RFQ-Input'!V890="","",'RFQ-Input'!V890)</f>
        <v/>
      </c>
      <c r="AZ891" s="7" t="str">
        <f>IF('RFQ-Input'!Y890="","",'RFQ-Input'!Y890)</f>
        <v/>
      </c>
      <c r="BA891" s="7" t="str">
        <f>IF('RFQ-Input'!AB890="","",'RFQ-Input'!AB890)</f>
        <v/>
      </c>
    </row>
    <row r="892" spans="1:53">
      <c r="A892" s="20">
        <v>888</v>
      </c>
      <c r="B892" s="7"/>
      <c r="C892" s="7" t="str">
        <f>IF('RFQ-Input'!C891="","",'RFQ-Input'!C891)</f>
        <v/>
      </c>
      <c r="D892" s="7" t="str">
        <f>IF('RFQ-Input'!D891="","",'RFQ-Input'!D891)</f>
        <v/>
      </c>
      <c r="E892" s="7" t="str">
        <f>IF('RFQ-Input'!E891="","",'RFQ-Input'!E891)</f>
        <v/>
      </c>
      <c r="F892" s="7" t="str">
        <f>IF('RFQ-Input'!F891="","",'RFQ-Input'!F891)</f>
        <v/>
      </c>
      <c r="G892" s="7" t="str">
        <f>IF('RFQ-Input'!G891="","",'RFQ-Input'!G891)</f>
        <v/>
      </c>
      <c r="H892" s="7" t="str">
        <f>IF('RFQ-Input'!H891="","",'RFQ-Input'!H891)</f>
        <v/>
      </c>
      <c r="I892" s="7" t="str">
        <f>IF('RFQ-Input'!I891="","",'RFQ-Input'!I891)</f>
        <v/>
      </c>
      <c r="J892" s="7" t="str">
        <f>IF('RFQ-Input'!J891="","",'RFQ-Input'!J891)</f>
        <v/>
      </c>
      <c r="K892" s="7" t="str">
        <f>IF('RFQ-Input'!K891="","",'RFQ-Input'!K891)</f>
        <v/>
      </c>
      <c r="L892" s="7" t="str">
        <f>IF('RFQ-Input'!L891="","",'RFQ-Input'!L891)</f>
        <v/>
      </c>
      <c r="M892" s="7" t="str">
        <f>IF('RFQ-Input'!M891="","",'RFQ-Input'!M891)</f>
        <v/>
      </c>
      <c r="N892" s="7" t="str">
        <f>IF('RFQ-Input'!N891="","",'RFQ-Input'!N891)</f>
        <v/>
      </c>
      <c r="O892" s="7" t="str">
        <f>IF('RFQ-Input'!O891="","",'RFQ-Input'!O891)</f>
        <v/>
      </c>
      <c r="Q892" s="7"/>
      <c r="R892" s="7"/>
      <c r="S892" s="7"/>
      <c r="T892" s="7"/>
      <c r="U892" s="7"/>
      <c r="V892" s="7"/>
      <c r="X892" s="7"/>
      <c r="Y892" s="7"/>
      <c r="Z892" s="7"/>
      <c r="AA892" s="7" t="str">
        <f t="shared" si="91"/>
        <v/>
      </c>
      <c r="AB892" s="7"/>
      <c r="AC892" s="7"/>
      <c r="AQ892" s="7" t="str">
        <f t="shared" si="92"/>
        <v/>
      </c>
      <c r="AR892" s="7" t="str">
        <f t="shared" si="93"/>
        <v/>
      </c>
      <c r="AS892" s="7" t="str">
        <f t="shared" si="94"/>
        <v/>
      </c>
      <c r="AT892" s="7" t="str">
        <f t="shared" si="95"/>
        <v/>
      </c>
      <c r="AU892" s="7" t="str">
        <f t="shared" si="96"/>
        <v/>
      </c>
      <c r="AV892" s="7" t="str">
        <f t="shared" si="97"/>
        <v/>
      </c>
      <c r="AW892" s="7" t="str">
        <f>IF('RFQ-Input'!O891="","",'RFQ-Input'!O891)</f>
        <v/>
      </c>
      <c r="AX892" s="7" t="str">
        <f>IF('RFQ-Input'!S891="","",'RFQ-Input'!S891)</f>
        <v/>
      </c>
      <c r="AY892" s="7" t="str">
        <f>IF('RFQ-Input'!V891="","",'RFQ-Input'!V891)</f>
        <v/>
      </c>
      <c r="AZ892" s="7" t="str">
        <f>IF('RFQ-Input'!Y891="","",'RFQ-Input'!Y891)</f>
        <v/>
      </c>
      <c r="BA892" s="7" t="str">
        <f>IF('RFQ-Input'!AB891="","",'RFQ-Input'!AB891)</f>
        <v/>
      </c>
    </row>
    <row r="893" spans="1:53">
      <c r="A893" s="20">
        <v>889</v>
      </c>
      <c r="B893" s="7"/>
      <c r="C893" s="7" t="str">
        <f>IF('RFQ-Input'!C892="","",'RFQ-Input'!C892)</f>
        <v/>
      </c>
      <c r="D893" s="7" t="str">
        <f>IF('RFQ-Input'!D892="","",'RFQ-Input'!D892)</f>
        <v/>
      </c>
      <c r="E893" s="7" t="str">
        <f>IF('RFQ-Input'!E892="","",'RFQ-Input'!E892)</f>
        <v/>
      </c>
      <c r="F893" s="7" t="str">
        <f>IF('RFQ-Input'!F892="","",'RFQ-Input'!F892)</f>
        <v/>
      </c>
      <c r="G893" s="7" t="str">
        <f>IF('RFQ-Input'!G892="","",'RFQ-Input'!G892)</f>
        <v/>
      </c>
      <c r="H893" s="7" t="str">
        <f>IF('RFQ-Input'!H892="","",'RFQ-Input'!H892)</f>
        <v/>
      </c>
      <c r="I893" s="7" t="str">
        <f>IF('RFQ-Input'!I892="","",'RFQ-Input'!I892)</f>
        <v/>
      </c>
      <c r="J893" s="7" t="str">
        <f>IF('RFQ-Input'!J892="","",'RFQ-Input'!J892)</f>
        <v/>
      </c>
      <c r="K893" s="7" t="str">
        <f>IF('RFQ-Input'!K892="","",'RFQ-Input'!K892)</f>
        <v/>
      </c>
      <c r="L893" s="7" t="str">
        <f>IF('RFQ-Input'!L892="","",'RFQ-Input'!L892)</f>
        <v/>
      </c>
      <c r="M893" s="7" t="str">
        <f>IF('RFQ-Input'!M892="","",'RFQ-Input'!M892)</f>
        <v/>
      </c>
      <c r="N893" s="7" t="str">
        <f>IF('RFQ-Input'!N892="","",'RFQ-Input'!N892)</f>
        <v/>
      </c>
      <c r="O893" s="7" t="str">
        <f>IF('RFQ-Input'!O892="","",'RFQ-Input'!O892)</f>
        <v/>
      </c>
      <c r="Q893" s="7"/>
      <c r="R893" s="7"/>
      <c r="S893" s="7"/>
      <c r="T893" s="7"/>
      <c r="U893" s="7"/>
      <c r="V893" s="7"/>
      <c r="X893" s="7"/>
      <c r="Y893" s="7"/>
      <c r="Z893" s="7"/>
      <c r="AA893" s="7" t="str">
        <f t="shared" si="91"/>
        <v/>
      </c>
      <c r="AB893" s="7"/>
      <c r="AC893" s="7"/>
      <c r="AQ893" s="7" t="str">
        <f t="shared" si="92"/>
        <v/>
      </c>
      <c r="AR893" s="7" t="str">
        <f t="shared" si="93"/>
        <v/>
      </c>
      <c r="AS893" s="7" t="str">
        <f t="shared" si="94"/>
        <v/>
      </c>
      <c r="AT893" s="7" t="str">
        <f t="shared" si="95"/>
        <v/>
      </c>
      <c r="AU893" s="7" t="str">
        <f t="shared" si="96"/>
        <v/>
      </c>
      <c r="AV893" s="7" t="str">
        <f t="shared" si="97"/>
        <v/>
      </c>
      <c r="AW893" s="7" t="str">
        <f>IF('RFQ-Input'!O892="","",'RFQ-Input'!O892)</f>
        <v/>
      </c>
      <c r="AX893" s="7" t="str">
        <f>IF('RFQ-Input'!S892="","",'RFQ-Input'!S892)</f>
        <v/>
      </c>
      <c r="AY893" s="7" t="str">
        <f>IF('RFQ-Input'!V892="","",'RFQ-Input'!V892)</f>
        <v/>
      </c>
      <c r="AZ893" s="7" t="str">
        <f>IF('RFQ-Input'!Y892="","",'RFQ-Input'!Y892)</f>
        <v/>
      </c>
      <c r="BA893" s="7" t="str">
        <f>IF('RFQ-Input'!AB892="","",'RFQ-Input'!AB892)</f>
        <v/>
      </c>
    </row>
    <row r="894" spans="1:53">
      <c r="A894" s="20">
        <v>890</v>
      </c>
      <c r="B894" s="7"/>
      <c r="C894" s="7" t="str">
        <f>IF('RFQ-Input'!C893="","",'RFQ-Input'!C893)</f>
        <v/>
      </c>
      <c r="D894" s="7" t="str">
        <f>IF('RFQ-Input'!D893="","",'RFQ-Input'!D893)</f>
        <v/>
      </c>
      <c r="E894" s="7" t="str">
        <f>IF('RFQ-Input'!E893="","",'RFQ-Input'!E893)</f>
        <v/>
      </c>
      <c r="F894" s="7" t="str">
        <f>IF('RFQ-Input'!F893="","",'RFQ-Input'!F893)</f>
        <v/>
      </c>
      <c r="G894" s="7" t="str">
        <f>IF('RFQ-Input'!G893="","",'RFQ-Input'!G893)</f>
        <v/>
      </c>
      <c r="H894" s="7" t="str">
        <f>IF('RFQ-Input'!H893="","",'RFQ-Input'!H893)</f>
        <v/>
      </c>
      <c r="I894" s="7" t="str">
        <f>IF('RFQ-Input'!I893="","",'RFQ-Input'!I893)</f>
        <v/>
      </c>
      <c r="J894" s="7" t="str">
        <f>IF('RFQ-Input'!J893="","",'RFQ-Input'!J893)</f>
        <v/>
      </c>
      <c r="K894" s="7" t="str">
        <f>IF('RFQ-Input'!K893="","",'RFQ-Input'!K893)</f>
        <v/>
      </c>
      <c r="L894" s="7" t="str">
        <f>IF('RFQ-Input'!L893="","",'RFQ-Input'!L893)</f>
        <v/>
      </c>
      <c r="M894" s="7" t="str">
        <f>IF('RFQ-Input'!M893="","",'RFQ-Input'!M893)</f>
        <v/>
      </c>
      <c r="N894" s="7" t="str">
        <f>IF('RFQ-Input'!N893="","",'RFQ-Input'!N893)</f>
        <v/>
      </c>
      <c r="O894" s="7" t="str">
        <f>IF('RFQ-Input'!O893="","",'RFQ-Input'!O893)</f>
        <v/>
      </c>
      <c r="Q894" s="7"/>
      <c r="R894" s="7"/>
      <c r="S894" s="7"/>
      <c r="T894" s="7"/>
      <c r="U894" s="7"/>
      <c r="V894" s="7"/>
      <c r="X894" s="7"/>
      <c r="Y894" s="7"/>
      <c r="Z894" s="7"/>
      <c r="AA894" s="7" t="str">
        <f t="shared" si="91"/>
        <v/>
      </c>
      <c r="AB894" s="7"/>
      <c r="AC894" s="7"/>
      <c r="AQ894" s="7" t="str">
        <f t="shared" si="92"/>
        <v/>
      </c>
      <c r="AR894" s="7" t="str">
        <f t="shared" si="93"/>
        <v/>
      </c>
      <c r="AS894" s="7" t="str">
        <f t="shared" si="94"/>
        <v/>
      </c>
      <c r="AT894" s="7" t="str">
        <f t="shared" si="95"/>
        <v/>
      </c>
      <c r="AU894" s="7" t="str">
        <f t="shared" si="96"/>
        <v/>
      </c>
      <c r="AV894" s="7" t="str">
        <f t="shared" si="97"/>
        <v/>
      </c>
      <c r="AW894" s="7" t="str">
        <f>IF('RFQ-Input'!O893="","",'RFQ-Input'!O893)</f>
        <v/>
      </c>
      <c r="AX894" s="7" t="str">
        <f>IF('RFQ-Input'!S893="","",'RFQ-Input'!S893)</f>
        <v/>
      </c>
      <c r="AY894" s="7" t="str">
        <f>IF('RFQ-Input'!V893="","",'RFQ-Input'!V893)</f>
        <v/>
      </c>
      <c r="AZ894" s="7" t="str">
        <f>IF('RFQ-Input'!Y893="","",'RFQ-Input'!Y893)</f>
        <v/>
      </c>
      <c r="BA894" s="7" t="str">
        <f>IF('RFQ-Input'!AB893="","",'RFQ-Input'!AB893)</f>
        <v/>
      </c>
    </row>
    <row r="895" spans="1:53">
      <c r="A895" s="20">
        <v>891</v>
      </c>
      <c r="B895" s="7"/>
      <c r="C895" s="7" t="str">
        <f>IF('RFQ-Input'!C894="","",'RFQ-Input'!C894)</f>
        <v/>
      </c>
      <c r="D895" s="7" t="str">
        <f>IF('RFQ-Input'!D894="","",'RFQ-Input'!D894)</f>
        <v/>
      </c>
      <c r="E895" s="7" t="str">
        <f>IF('RFQ-Input'!E894="","",'RFQ-Input'!E894)</f>
        <v/>
      </c>
      <c r="F895" s="7" t="str">
        <f>IF('RFQ-Input'!F894="","",'RFQ-Input'!F894)</f>
        <v/>
      </c>
      <c r="G895" s="7" t="str">
        <f>IF('RFQ-Input'!G894="","",'RFQ-Input'!G894)</f>
        <v/>
      </c>
      <c r="H895" s="7" t="str">
        <f>IF('RFQ-Input'!H894="","",'RFQ-Input'!H894)</f>
        <v/>
      </c>
      <c r="I895" s="7" t="str">
        <f>IF('RFQ-Input'!I894="","",'RFQ-Input'!I894)</f>
        <v/>
      </c>
      <c r="J895" s="7" t="str">
        <f>IF('RFQ-Input'!J894="","",'RFQ-Input'!J894)</f>
        <v/>
      </c>
      <c r="K895" s="7" t="str">
        <f>IF('RFQ-Input'!K894="","",'RFQ-Input'!K894)</f>
        <v/>
      </c>
      <c r="L895" s="7" t="str">
        <f>IF('RFQ-Input'!L894="","",'RFQ-Input'!L894)</f>
        <v/>
      </c>
      <c r="M895" s="7" t="str">
        <f>IF('RFQ-Input'!M894="","",'RFQ-Input'!M894)</f>
        <v/>
      </c>
      <c r="N895" s="7" t="str">
        <f>IF('RFQ-Input'!N894="","",'RFQ-Input'!N894)</f>
        <v/>
      </c>
      <c r="O895" s="7" t="str">
        <f>IF('RFQ-Input'!O894="","",'RFQ-Input'!O894)</f>
        <v/>
      </c>
      <c r="Q895" s="7"/>
      <c r="R895" s="7"/>
      <c r="S895" s="7"/>
      <c r="T895" s="7"/>
      <c r="U895" s="7"/>
      <c r="V895" s="7"/>
      <c r="X895" s="7"/>
      <c r="Y895" s="7"/>
      <c r="Z895" s="7"/>
      <c r="AA895" s="7" t="str">
        <f t="shared" si="91"/>
        <v/>
      </c>
      <c r="AB895" s="7"/>
      <c r="AC895" s="7"/>
      <c r="AQ895" s="7" t="str">
        <f t="shared" si="92"/>
        <v/>
      </c>
      <c r="AR895" s="7" t="str">
        <f t="shared" si="93"/>
        <v/>
      </c>
      <c r="AS895" s="7" t="str">
        <f t="shared" si="94"/>
        <v/>
      </c>
      <c r="AT895" s="7" t="str">
        <f t="shared" si="95"/>
        <v/>
      </c>
      <c r="AU895" s="7" t="str">
        <f t="shared" si="96"/>
        <v/>
      </c>
      <c r="AV895" s="7" t="str">
        <f t="shared" si="97"/>
        <v/>
      </c>
      <c r="AW895" s="7" t="str">
        <f>IF('RFQ-Input'!O894="","",'RFQ-Input'!O894)</f>
        <v/>
      </c>
      <c r="AX895" s="7" t="str">
        <f>IF('RFQ-Input'!S894="","",'RFQ-Input'!S894)</f>
        <v/>
      </c>
      <c r="AY895" s="7" t="str">
        <f>IF('RFQ-Input'!V894="","",'RFQ-Input'!V894)</f>
        <v/>
      </c>
      <c r="AZ895" s="7" t="str">
        <f>IF('RFQ-Input'!Y894="","",'RFQ-Input'!Y894)</f>
        <v/>
      </c>
      <c r="BA895" s="7" t="str">
        <f>IF('RFQ-Input'!AB894="","",'RFQ-Input'!AB894)</f>
        <v/>
      </c>
    </row>
    <row r="896" spans="1:53">
      <c r="A896" s="20">
        <v>892</v>
      </c>
      <c r="B896" s="7"/>
      <c r="C896" s="7" t="str">
        <f>IF('RFQ-Input'!C895="","",'RFQ-Input'!C895)</f>
        <v/>
      </c>
      <c r="D896" s="7" t="str">
        <f>IF('RFQ-Input'!D895="","",'RFQ-Input'!D895)</f>
        <v/>
      </c>
      <c r="E896" s="7" t="str">
        <f>IF('RFQ-Input'!E895="","",'RFQ-Input'!E895)</f>
        <v/>
      </c>
      <c r="F896" s="7" t="str">
        <f>IF('RFQ-Input'!F895="","",'RFQ-Input'!F895)</f>
        <v/>
      </c>
      <c r="G896" s="7" t="str">
        <f>IF('RFQ-Input'!G895="","",'RFQ-Input'!G895)</f>
        <v/>
      </c>
      <c r="H896" s="7" t="str">
        <f>IF('RFQ-Input'!H895="","",'RFQ-Input'!H895)</f>
        <v/>
      </c>
      <c r="I896" s="7" t="str">
        <f>IF('RFQ-Input'!I895="","",'RFQ-Input'!I895)</f>
        <v/>
      </c>
      <c r="J896" s="7" t="str">
        <f>IF('RFQ-Input'!J895="","",'RFQ-Input'!J895)</f>
        <v/>
      </c>
      <c r="K896" s="7" t="str">
        <f>IF('RFQ-Input'!K895="","",'RFQ-Input'!K895)</f>
        <v/>
      </c>
      <c r="L896" s="7" t="str">
        <f>IF('RFQ-Input'!L895="","",'RFQ-Input'!L895)</f>
        <v/>
      </c>
      <c r="M896" s="7" t="str">
        <f>IF('RFQ-Input'!M895="","",'RFQ-Input'!M895)</f>
        <v/>
      </c>
      <c r="N896" s="7" t="str">
        <f>IF('RFQ-Input'!N895="","",'RFQ-Input'!N895)</f>
        <v/>
      </c>
      <c r="O896" s="7" t="str">
        <f>IF('RFQ-Input'!O895="","",'RFQ-Input'!O895)</f>
        <v/>
      </c>
      <c r="Q896" s="7"/>
      <c r="R896" s="7"/>
      <c r="S896" s="7"/>
      <c r="T896" s="7"/>
      <c r="U896" s="7"/>
      <c r="V896" s="7"/>
      <c r="X896" s="7"/>
      <c r="Y896" s="7"/>
      <c r="Z896" s="7"/>
      <c r="AA896" s="7" t="str">
        <f t="shared" si="91"/>
        <v/>
      </c>
      <c r="AB896" s="7"/>
      <c r="AC896" s="7"/>
      <c r="AQ896" s="7" t="str">
        <f t="shared" si="92"/>
        <v/>
      </c>
      <c r="AR896" s="7" t="str">
        <f t="shared" si="93"/>
        <v/>
      </c>
      <c r="AS896" s="7" t="str">
        <f t="shared" si="94"/>
        <v/>
      </c>
      <c r="AT896" s="7" t="str">
        <f t="shared" si="95"/>
        <v/>
      </c>
      <c r="AU896" s="7" t="str">
        <f t="shared" si="96"/>
        <v/>
      </c>
      <c r="AV896" s="7" t="str">
        <f t="shared" si="97"/>
        <v/>
      </c>
      <c r="AW896" s="7" t="str">
        <f>IF('RFQ-Input'!O895="","",'RFQ-Input'!O895)</f>
        <v/>
      </c>
      <c r="AX896" s="7" t="str">
        <f>IF('RFQ-Input'!S895="","",'RFQ-Input'!S895)</f>
        <v/>
      </c>
      <c r="AY896" s="7" t="str">
        <f>IF('RFQ-Input'!V895="","",'RFQ-Input'!V895)</f>
        <v/>
      </c>
      <c r="AZ896" s="7" t="str">
        <f>IF('RFQ-Input'!Y895="","",'RFQ-Input'!Y895)</f>
        <v/>
      </c>
      <c r="BA896" s="7" t="str">
        <f>IF('RFQ-Input'!AB895="","",'RFQ-Input'!AB895)</f>
        <v/>
      </c>
    </row>
    <row r="897" spans="1:53">
      <c r="A897" s="20">
        <v>893</v>
      </c>
      <c r="B897" s="7"/>
      <c r="C897" s="7" t="str">
        <f>IF('RFQ-Input'!C896="","",'RFQ-Input'!C896)</f>
        <v/>
      </c>
      <c r="D897" s="7" t="str">
        <f>IF('RFQ-Input'!D896="","",'RFQ-Input'!D896)</f>
        <v/>
      </c>
      <c r="E897" s="7" t="str">
        <f>IF('RFQ-Input'!E896="","",'RFQ-Input'!E896)</f>
        <v/>
      </c>
      <c r="F897" s="7" t="str">
        <f>IF('RFQ-Input'!F896="","",'RFQ-Input'!F896)</f>
        <v/>
      </c>
      <c r="G897" s="7" t="str">
        <f>IF('RFQ-Input'!G896="","",'RFQ-Input'!G896)</f>
        <v/>
      </c>
      <c r="H897" s="7" t="str">
        <f>IF('RFQ-Input'!H896="","",'RFQ-Input'!H896)</f>
        <v/>
      </c>
      <c r="I897" s="7" t="str">
        <f>IF('RFQ-Input'!I896="","",'RFQ-Input'!I896)</f>
        <v/>
      </c>
      <c r="J897" s="7" t="str">
        <f>IF('RFQ-Input'!J896="","",'RFQ-Input'!J896)</f>
        <v/>
      </c>
      <c r="K897" s="7" t="str">
        <f>IF('RFQ-Input'!K896="","",'RFQ-Input'!K896)</f>
        <v/>
      </c>
      <c r="L897" s="7" t="str">
        <f>IF('RFQ-Input'!L896="","",'RFQ-Input'!L896)</f>
        <v/>
      </c>
      <c r="M897" s="7" t="str">
        <f>IF('RFQ-Input'!M896="","",'RFQ-Input'!M896)</f>
        <v/>
      </c>
      <c r="N897" s="7" t="str">
        <f>IF('RFQ-Input'!N896="","",'RFQ-Input'!N896)</f>
        <v/>
      </c>
      <c r="O897" s="7" t="str">
        <f>IF('RFQ-Input'!O896="","",'RFQ-Input'!O896)</f>
        <v/>
      </c>
      <c r="Q897" s="7"/>
      <c r="R897" s="7"/>
      <c r="S897" s="7"/>
      <c r="T897" s="7"/>
      <c r="U897" s="7"/>
      <c r="V897" s="7"/>
      <c r="X897" s="7"/>
      <c r="Y897" s="7"/>
      <c r="Z897" s="7"/>
      <c r="AA897" s="7" t="str">
        <f t="shared" si="91"/>
        <v/>
      </c>
      <c r="AB897" s="7"/>
      <c r="AC897" s="7"/>
      <c r="AQ897" s="7" t="str">
        <f t="shared" si="92"/>
        <v/>
      </c>
      <c r="AR897" s="7" t="str">
        <f t="shared" si="93"/>
        <v/>
      </c>
      <c r="AS897" s="7" t="str">
        <f t="shared" si="94"/>
        <v/>
      </c>
      <c r="AT897" s="7" t="str">
        <f t="shared" si="95"/>
        <v/>
      </c>
      <c r="AU897" s="7" t="str">
        <f t="shared" si="96"/>
        <v/>
      </c>
      <c r="AV897" s="7" t="str">
        <f t="shared" si="97"/>
        <v/>
      </c>
      <c r="AW897" s="7" t="str">
        <f>IF('RFQ-Input'!O896="","",'RFQ-Input'!O896)</f>
        <v/>
      </c>
      <c r="AX897" s="7" t="str">
        <f>IF('RFQ-Input'!S896="","",'RFQ-Input'!S896)</f>
        <v/>
      </c>
      <c r="AY897" s="7" t="str">
        <f>IF('RFQ-Input'!V896="","",'RFQ-Input'!V896)</f>
        <v/>
      </c>
      <c r="AZ897" s="7" t="str">
        <f>IF('RFQ-Input'!Y896="","",'RFQ-Input'!Y896)</f>
        <v/>
      </c>
      <c r="BA897" s="7" t="str">
        <f>IF('RFQ-Input'!AB896="","",'RFQ-Input'!AB896)</f>
        <v/>
      </c>
    </row>
    <row r="898" spans="1:53">
      <c r="A898" s="20">
        <v>894</v>
      </c>
      <c r="B898" s="7"/>
      <c r="C898" s="7" t="str">
        <f>IF('RFQ-Input'!C897="","",'RFQ-Input'!C897)</f>
        <v/>
      </c>
      <c r="D898" s="7" t="str">
        <f>IF('RFQ-Input'!D897="","",'RFQ-Input'!D897)</f>
        <v/>
      </c>
      <c r="E898" s="7" t="str">
        <f>IF('RFQ-Input'!E897="","",'RFQ-Input'!E897)</f>
        <v/>
      </c>
      <c r="F898" s="7" t="str">
        <f>IF('RFQ-Input'!F897="","",'RFQ-Input'!F897)</f>
        <v/>
      </c>
      <c r="G898" s="7" t="str">
        <f>IF('RFQ-Input'!G897="","",'RFQ-Input'!G897)</f>
        <v/>
      </c>
      <c r="H898" s="7" t="str">
        <f>IF('RFQ-Input'!H897="","",'RFQ-Input'!H897)</f>
        <v/>
      </c>
      <c r="I898" s="7" t="str">
        <f>IF('RFQ-Input'!I897="","",'RFQ-Input'!I897)</f>
        <v/>
      </c>
      <c r="J898" s="7" t="str">
        <f>IF('RFQ-Input'!J897="","",'RFQ-Input'!J897)</f>
        <v/>
      </c>
      <c r="K898" s="7" t="str">
        <f>IF('RFQ-Input'!K897="","",'RFQ-Input'!K897)</f>
        <v/>
      </c>
      <c r="L898" s="7" t="str">
        <f>IF('RFQ-Input'!L897="","",'RFQ-Input'!L897)</f>
        <v/>
      </c>
      <c r="M898" s="7" t="str">
        <f>IF('RFQ-Input'!M897="","",'RFQ-Input'!M897)</f>
        <v/>
      </c>
      <c r="N898" s="7" t="str">
        <f>IF('RFQ-Input'!N897="","",'RFQ-Input'!N897)</f>
        <v/>
      </c>
      <c r="O898" s="7" t="str">
        <f>IF('RFQ-Input'!O897="","",'RFQ-Input'!O897)</f>
        <v/>
      </c>
      <c r="Q898" s="7"/>
      <c r="R898" s="7"/>
      <c r="S898" s="7"/>
      <c r="T898" s="7"/>
      <c r="U898" s="7"/>
      <c r="V898" s="7"/>
      <c r="X898" s="7"/>
      <c r="Y898" s="7"/>
      <c r="Z898" s="7"/>
      <c r="AA898" s="7" t="str">
        <f t="shared" si="91"/>
        <v/>
      </c>
      <c r="AB898" s="7"/>
      <c r="AC898" s="7"/>
      <c r="AQ898" s="7" t="str">
        <f t="shared" si="92"/>
        <v/>
      </c>
      <c r="AR898" s="7" t="str">
        <f t="shared" si="93"/>
        <v/>
      </c>
      <c r="AS898" s="7" t="str">
        <f t="shared" si="94"/>
        <v/>
      </c>
      <c r="AT898" s="7" t="str">
        <f t="shared" si="95"/>
        <v/>
      </c>
      <c r="AU898" s="7" t="str">
        <f t="shared" si="96"/>
        <v/>
      </c>
      <c r="AV898" s="7" t="str">
        <f t="shared" si="97"/>
        <v/>
      </c>
      <c r="AW898" s="7" t="str">
        <f>IF('RFQ-Input'!O897="","",'RFQ-Input'!O897)</f>
        <v/>
      </c>
      <c r="AX898" s="7" t="str">
        <f>IF('RFQ-Input'!S897="","",'RFQ-Input'!S897)</f>
        <v/>
      </c>
      <c r="AY898" s="7" t="str">
        <f>IF('RFQ-Input'!V897="","",'RFQ-Input'!V897)</f>
        <v/>
      </c>
      <c r="AZ898" s="7" t="str">
        <f>IF('RFQ-Input'!Y897="","",'RFQ-Input'!Y897)</f>
        <v/>
      </c>
      <c r="BA898" s="7" t="str">
        <f>IF('RFQ-Input'!AB897="","",'RFQ-Input'!AB897)</f>
        <v/>
      </c>
    </row>
    <row r="899" spans="1:53">
      <c r="A899" s="20">
        <v>895</v>
      </c>
      <c r="B899" s="7"/>
      <c r="C899" s="7" t="str">
        <f>IF('RFQ-Input'!C898="","",'RFQ-Input'!C898)</f>
        <v/>
      </c>
      <c r="D899" s="7" t="str">
        <f>IF('RFQ-Input'!D898="","",'RFQ-Input'!D898)</f>
        <v/>
      </c>
      <c r="E899" s="7" t="str">
        <f>IF('RFQ-Input'!E898="","",'RFQ-Input'!E898)</f>
        <v/>
      </c>
      <c r="F899" s="7" t="str">
        <f>IF('RFQ-Input'!F898="","",'RFQ-Input'!F898)</f>
        <v/>
      </c>
      <c r="G899" s="7" t="str">
        <f>IF('RFQ-Input'!G898="","",'RFQ-Input'!G898)</f>
        <v/>
      </c>
      <c r="H899" s="7" t="str">
        <f>IF('RFQ-Input'!H898="","",'RFQ-Input'!H898)</f>
        <v/>
      </c>
      <c r="I899" s="7" t="str">
        <f>IF('RFQ-Input'!I898="","",'RFQ-Input'!I898)</f>
        <v/>
      </c>
      <c r="J899" s="7" t="str">
        <f>IF('RFQ-Input'!J898="","",'RFQ-Input'!J898)</f>
        <v/>
      </c>
      <c r="K899" s="7" t="str">
        <f>IF('RFQ-Input'!K898="","",'RFQ-Input'!K898)</f>
        <v/>
      </c>
      <c r="L899" s="7" t="str">
        <f>IF('RFQ-Input'!L898="","",'RFQ-Input'!L898)</f>
        <v/>
      </c>
      <c r="M899" s="7" t="str">
        <f>IF('RFQ-Input'!M898="","",'RFQ-Input'!M898)</f>
        <v/>
      </c>
      <c r="N899" s="7" t="str">
        <f>IF('RFQ-Input'!N898="","",'RFQ-Input'!N898)</f>
        <v/>
      </c>
      <c r="O899" s="7" t="str">
        <f>IF('RFQ-Input'!O898="","",'RFQ-Input'!O898)</f>
        <v/>
      </c>
      <c r="Q899" s="7"/>
      <c r="R899" s="7"/>
      <c r="S899" s="7"/>
      <c r="T899" s="7"/>
      <c r="U899" s="7"/>
      <c r="V899" s="7"/>
      <c r="X899" s="7"/>
      <c r="Y899" s="7"/>
      <c r="Z899" s="7"/>
      <c r="AA899" s="7" t="str">
        <f t="shared" si="91"/>
        <v/>
      </c>
      <c r="AB899" s="7"/>
      <c r="AC899" s="7"/>
      <c r="AQ899" s="7" t="str">
        <f t="shared" si="92"/>
        <v/>
      </c>
      <c r="AR899" s="7" t="str">
        <f t="shared" si="93"/>
        <v/>
      </c>
      <c r="AS899" s="7" t="str">
        <f t="shared" si="94"/>
        <v/>
      </c>
      <c r="AT899" s="7" t="str">
        <f t="shared" si="95"/>
        <v/>
      </c>
      <c r="AU899" s="7" t="str">
        <f t="shared" si="96"/>
        <v/>
      </c>
      <c r="AV899" s="7" t="str">
        <f t="shared" si="97"/>
        <v/>
      </c>
      <c r="AW899" s="7" t="str">
        <f>IF('RFQ-Input'!O898="","",'RFQ-Input'!O898)</f>
        <v/>
      </c>
      <c r="AX899" s="7" t="str">
        <f>IF('RFQ-Input'!S898="","",'RFQ-Input'!S898)</f>
        <v/>
      </c>
      <c r="AY899" s="7" t="str">
        <f>IF('RFQ-Input'!V898="","",'RFQ-Input'!V898)</f>
        <v/>
      </c>
      <c r="AZ899" s="7" t="str">
        <f>IF('RFQ-Input'!Y898="","",'RFQ-Input'!Y898)</f>
        <v/>
      </c>
      <c r="BA899" s="7" t="str">
        <f>IF('RFQ-Input'!AB898="","",'RFQ-Input'!AB898)</f>
        <v/>
      </c>
    </row>
    <row r="900" spans="1:53">
      <c r="A900" s="20">
        <v>896</v>
      </c>
      <c r="B900" s="7"/>
      <c r="C900" s="7" t="str">
        <f>IF('RFQ-Input'!C899="","",'RFQ-Input'!C899)</f>
        <v/>
      </c>
      <c r="D900" s="7" t="str">
        <f>IF('RFQ-Input'!D899="","",'RFQ-Input'!D899)</f>
        <v/>
      </c>
      <c r="E900" s="7" t="str">
        <f>IF('RFQ-Input'!E899="","",'RFQ-Input'!E899)</f>
        <v/>
      </c>
      <c r="F900" s="7" t="str">
        <f>IF('RFQ-Input'!F899="","",'RFQ-Input'!F899)</f>
        <v/>
      </c>
      <c r="G900" s="7" t="str">
        <f>IF('RFQ-Input'!G899="","",'RFQ-Input'!G899)</f>
        <v/>
      </c>
      <c r="H900" s="7" t="str">
        <f>IF('RFQ-Input'!H899="","",'RFQ-Input'!H899)</f>
        <v/>
      </c>
      <c r="I900" s="7" t="str">
        <f>IF('RFQ-Input'!I899="","",'RFQ-Input'!I899)</f>
        <v/>
      </c>
      <c r="J900" s="7" t="str">
        <f>IF('RFQ-Input'!J899="","",'RFQ-Input'!J899)</f>
        <v/>
      </c>
      <c r="K900" s="7" t="str">
        <f>IF('RFQ-Input'!K899="","",'RFQ-Input'!K899)</f>
        <v/>
      </c>
      <c r="L900" s="7" t="str">
        <f>IF('RFQ-Input'!L899="","",'RFQ-Input'!L899)</f>
        <v/>
      </c>
      <c r="M900" s="7" t="str">
        <f>IF('RFQ-Input'!M899="","",'RFQ-Input'!M899)</f>
        <v/>
      </c>
      <c r="N900" s="7" t="str">
        <f>IF('RFQ-Input'!N899="","",'RFQ-Input'!N899)</f>
        <v/>
      </c>
      <c r="O900" s="7" t="str">
        <f>IF('RFQ-Input'!O899="","",'RFQ-Input'!O899)</f>
        <v/>
      </c>
      <c r="Q900" s="7"/>
      <c r="R900" s="7"/>
      <c r="S900" s="7"/>
      <c r="T900" s="7"/>
      <c r="U900" s="7"/>
      <c r="V900" s="7"/>
      <c r="X900" s="7"/>
      <c r="Y900" s="7"/>
      <c r="Z900" s="7"/>
      <c r="AA900" s="7" t="str">
        <f t="shared" si="91"/>
        <v/>
      </c>
      <c r="AB900" s="7"/>
      <c r="AC900" s="7"/>
      <c r="AQ900" s="7" t="str">
        <f t="shared" si="92"/>
        <v/>
      </c>
      <c r="AR900" s="7" t="str">
        <f t="shared" si="93"/>
        <v/>
      </c>
      <c r="AS900" s="7" t="str">
        <f t="shared" si="94"/>
        <v/>
      </c>
      <c r="AT900" s="7" t="str">
        <f t="shared" si="95"/>
        <v/>
      </c>
      <c r="AU900" s="7" t="str">
        <f t="shared" si="96"/>
        <v/>
      </c>
      <c r="AV900" s="7" t="str">
        <f t="shared" si="97"/>
        <v/>
      </c>
      <c r="AW900" s="7" t="str">
        <f>IF('RFQ-Input'!O899="","",'RFQ-Input'!O899)</f>
        <v/>
      </c>
      <c r="AX900" s="7" t="str">
        <f>IF('RFQ-Input'!S899="","",'RFQ-Input'!S899)</f>
        <v/>
      </c>
      <c r="AY900" s="7" t="str">
        <f>IF('RFQ-Input'!V899="","",'RFQ-Input'!V899)</f>
        <v/>
      </c>
      <c r="AZ900" s="7" t="str">
        <f>IF('RFQ-Input'!Y899="","",'RFQ-Input'!Y899)</f>
        <v/>
      </c>
      <c r="BA900" s="7" t="str">
        <f>IF('RFQ-Input'!AB899="","",'RFQ-Input'!AB899)</f>
        <v/>
      </c>
    </row>
    <row r="901" spans="1:53">
      <c r="A901" s="20">
        <v>897</v>
      </c>
      <c r="B901" s="7"/>
      <c r="C901" s="7" t="str">
        <f>IF('RFQ-Input'!C900="","",'RFQ-Input'!C900)</f>
        <v/>
      </c>
      <c r="D901" s="7" t="str">
        <f>IF('RFQ-Input'!D900="","",'RFQ-Input'!D900)</f>
        <v/>
      </c>
      <c r="E901" s="7" t="str">
        <f>IF('RFQ-Input'!E900="","",'RFQ-Input'!E900)</f>
        <v/>
      </c>
      <c r="F901" s="7" t="str">
        <f>IF('RFQ-Input'!F900="","",'RFQ-Input'!F900)</f>
        <v/>
      </c>
      <c r="G901" s="7" t="str">
        <f>IF('RFQ-Input'!G900="","",'RFQ-Input'!G900)</f>
        <v/>
      </c>
      <c r="H901" s="7" t="str">
        <f>IF('RFQ-Input'!H900="","",'RFQ-Input'!H900)</f>
        <v/>
      </c>
      <c r="I901" s="7" t="str">
        <f>IF('RFQ-Input'!I900="","",'RFQ-Input'!I900)</f>
        <v/>
      </c>
      <c r="J901" s="7" t="str">
        <f>IF('RFQ-Input'!J900="","",'RFQ-Input'!J900)</f>
        <v/>
      </c>
      <c r="K901" s="7" t="str">
        <f>IF('RFQ-Input'!K900="","",'RFQ-Input'!K900)</f>
        <v/>
      </c>
      <c r="L901" s="7" t="str">
        <f>IF('RFQ-Input'!L900="","",'RFQ-Input'!L900)</f>
        <v/>
      </c>
      <c r="M901" s="7" t="str">
        <f>IF('RFQ-Input'!M900="","",'RFQ-Input'!M900)</f>
        <v/>
      </c>
      <c r="N901" s="7" t="str">
        <f>IF('RFQ-Input'!N900="","",'RFQ-Input'!N900)</f>
        <v/>
      </c>
      <c r="O901" s="7" t="str">
        <f>IF('RFQ-Input'!O900="","",'RFQ-Input'!O900)</f>
        <v/>
      </c>
      <c r="Q901" s="7"/>
      <c r="R901" s="7"/>
      <c r="S901" s="7"/>
      <c r="T901" s="7"/>
      <c r="U901" s="7"/>
      <c r="V901" s="7"/>
      <c r="X901" s="7"/>
      <c r="Y901" s="7"/>
      <c r="Z901" s="7"/>
      <c r="AA901" s="7" t="str">
        <f t="shared" ref="AA901:AA964" si="98">IF(AND(L901="",Y901=""),"",L901)</f>
        <v/>
      </c>
      <c r="AB901" s="7"/>
      <c r="AC901" s="7"/>
      <c r="AQ901" s="7" t="str">
        <f t="shared" si="92"/>
        <v/>
      </c>
      <c r="AR901" s="7" t="str">
        <f t="shared" si="93"/>
        <v/>
      </c>
      <c r="AS901" s="7" t="str">
        <f t="shared" si="94"/>
        <v/>
      </c>
      <c r="AT901" s="7" t="str">
        <f t="shared" si="95"/>
        <v/>
      </c>
      <c r="AU901" s="7" t="str">
        <f t="shared" si="96"/>
        <v/>
      </c>
      <c r="AV901" s="7" t="str">
        <f t="shared" si="97"/>
        <v/>
      </c>
      <c r="AW901" s="7" t="str">
        <f>IF('RFQ-Input'!O900="","",'RFQ-Input'!O900)</f>
        <v/>
      </c>
      <c r="AX901" s="7" t="str">
        <f>IF('RFQ-Input'!S900="","",'RFQ-Input'!S900)</f>
        <v/>
      </c>
      <c r="AY901" s="7" t="str">
        <f>IF('RFQ-Input'!V900="","",'RFQ-Input'!V900)</f>
        <v/>
      </c>
      <c r="AZ901" s="7" t="str">
        <f>IF('RFQ-Input'!Y900="","",'RFQ-Input'!Y900)</f>
        <v/>
      </c>
      <c r="BA901" s="7" t="str">
        <f>IF('RFQ-Input'!AB900="","",'RFQ-Input'!AB900)</f>
        <v/>
      </c>
    </row>
    <row r="902" spans="1:53">
      <c r="A902" s="20">
        <v>898</v>
      </c>
      <c r="B902" s="7"/>
      <c r="C902" s="7" t="str">
        <f>IF('RFQ-Input'!C901="","",'RFQ-Input'!C901)</f>
        <v/>
      </c>
      <c r="D902" s="7" t="str">
        <f>IF('RFQ-Input'!D901="","",'RFQ-Input'!D901)</f>
        <v/>
      </c>
      <c r="E902" s="7" t="str">
        <f>IF('RFQ-Input'!E901="","",'RFQ-Input'!E901)</f>
        <v/>
      </c>
      <c r="F902" s="7" t="str">
        <f>IF('RFQ-Input'!F901="","",'RFQ-Input'!F901)</f>
        <v/>
      </c>
      <c r="G902" s="7" t="str">
        <f>IF('RFQ-Input'!G901="","",'RFQ-Input'!G901)</f>
        <v/>
      </c>
      <c r="H902" s="7" t="str">
        <f>IF('RFQ-Input'!H901="","",'RFQ-Input'!H901)</f>
        <v/>
      </c>
      <c r="I902" s="7" t="str">
        <f>IF('RFQ-Input'!I901="","",'RFQ-Input'!I901)</f>
        <v/>
      </c>
      <c r="J902" s="7" t="str">
        <f>IF('RFQ-Input'!J901="","",'RFQ-Input'!J901)</f>
        <v/>
      </c>
      <c r="K902" s="7" t="str">
        <f>IF('RFQ-Input'!K901="","",'RFQ-Input'!K901)</f>
        <v/>
      </c>
      <c r="L902" s="7" t="str">
        <f>IF('RFQ-Input'!L901="","",'RFQ-Input'!L901)</f>
        <v/>
      </c>
      <c r="M902" s="7" t="str">
        <f>IF('RFQ-Input'!M901="","",'RFQ-Input'!M901)</f>
        <v/>
      </c>
      <c r="N902" s="7" t="str">
        <f>IF('RFQ-Input'!N901="","",'RFQ-Input'!N901)</f>
        <v/>
      </c>
      <c r="O902" s="7" t="str">
        <f>IF('RFQ-Input'!O901="","",'RFQ-Input'!O901)</f>
        <v/>
      </c>
      <c r="Q902" s="7"/>
      <c r="R902" s="7"/>
      <c r="S902" s="7"/>
      <c r="T902" s="7"/>
      <c r="U902" s="7"/>
      <c r="V902" s="7"/>
      <c r="X902" s="7"/>
      <c r="Y902" s="7"/>
      <c r="Z902" s="7"/>
      <c r="AA902" s="7" t="str">
        <f t="shared" si="98"/>
        <v/>
      </c>
      <c r="AB902" s="7"/>
      <c r="AC902" s="7"/>
      <c r="AQ902" s="7" t="str">
        <f t="shared" ref="AQ902:AQ965" si="99">IFERROR(SMALL($AW902:$CT902,1),"")</f>
        <v/>
      </c>
      <c r="AR902" s="7" t="str">
        <f t="shared" ref="AR902:AR965" si="100">IF(AQ902="","",INDEX($AW$4:$CT$4,MATCH(AQ902,$AW902:$CT902,0)))</f>
        <v/>
      </c>
      <c r="AS902" s="7" t="str">
        <f t="shared" ref="AS902:AS965" si="101">IFERROR(SMALL($AW902:$CT902,2),"")</f>
        <v/>
      </c>
      <c r="AT902" s="7" t="str">
        <f t="shared" ref="AT902:AT965" si="102">IF(AS902="","",INDEX($AW$4:$CT$4,MATCH(AS902,$AW902:$CT902,0)))</f>
        <v/>
      </c>
      <c r="AU902" s="7" t="str">
        <f t="shared" ref="AU902:AU965" si="103">IFERROR(SMALL($AW902:$CT902,3),"")</f>
        <v/>
      </c>
      <c r="AV902" s="7" t="str">
        <f t="shared" ref="AV902:AV965" si="104">IF(AU902="","",INDEX($AW$4:$CT$4,MATCH(AU902,$AW902:$CT902,0)))</f>
        <v/>
      </c>
      <c r="AW902" s="7" t="str">
        <f>IF('RFQ-Input'!O901="","",'RFQ-Input'!O901)</f>
        <v/>
      </c>
      <c r="AX902" s="7" t="str">
        <f>IF('RFQ-Input'!S901="","",'RFQ-Input'!S901)</f>
        <v/>
      </c>
      <c r="AY902" s="7" t="str">
        <f>IF('RFQ-Input'!V901="","",'RFQ-Input'!V901)</f>
        <v/>
      </c>
      <c r="AZ902" s="7" t="str">
        <f>IF('RFQ-Input'!Y901="","",'RFQ-Input'!Y901)</f>
        <v/>
      </c>
      <c r="BA902" s="7" t="str">
        <f>IF('RFQ-Input'!AB901="","",'RFQ-Input'!AB901)</f>
        <v/>
      </c>
    </row>
    <row r="903" spans="1:53">
      <c r="A903" s="20">
        <v>899</v>
      </c>
      <c r="B903" s="7"/>
      <c r="C903" s="7" t="str">
        <f>IF('RFQ-Input'!C902="","",'RFQ-Input'!C902)</f>
        <v/>
      </c>
      <c r="D903" s="7" t="str">
        <f>IF('RFQ-Input'!D902="","",'RFQ-Input'!D902)</f>
        <v/>
      </c>
      <c r="E903" s="7" t="str">
        <f>IF('RFQ-Input'!E902="","",'RFQ-Input'!E902)</f>
        <v/>
      </c>
      <c r="F903" s="7" t="str">
        <f>IF('RFQ-Input'!F902="","",'RFQ-Input'!F902)</f>
        <v/>
      </c>
      <c r="G903" s="7" t="str">
        <f>IF('RFQ-Input'!G902="","",'RFQ-Input'!G902)</f>
        <v/>
      </c>
      <c r="H903" s="7" t="str">
        <f>IF('RFQ-Input'!H902="","",'RFQ-Input'!H902)</f>
        <v/>
      </c>
      <c r="I903" s="7" t="str">
        <f>IF('RFQ-Input'!I902="","",'RFQ-Input'!I902)</f>
        <v/>
      </c>
      <c r="J903" s="7" t="str">
        <f>IF('RFQ-Input'!J902="","",'RFQ-Input'!J902)</f>
        <v/>
      </c>
      <c r="K903" s="7" t="str">
        <f>IF('RFQ-Input'!K902="","",'RFQ-Input'!K902)</f>
        <v/>
      </c>
      <c r="L903" s="7" t="str">
        <f>IF('RFQ-Input'!L902="","",'RFQ-Input'!L902)</f>
        <v/>
      </c>
      <c r="M903" s="7" t="str">
        <f>IF('RFQ-Input'!M902="","",'RFQ-Input'!M902)</f>
        <v/>
      </c>
      <c r="N903" s="7" t="str">
        <f>IF('RFQ-Input'!N902="","",'RFQ-Input'!N902)</f>
        <v/>
      </c>
      <c r="O903" s="7" t="str">
        <f>IF('RFQ-Input'!O902="","",'RFQ-Input'!O902)</f>
        <v/>
      </c>
      <c r="Q903" s="7"/>
      <c r="R903" s="7"/>
      <c r="S903" s="7"/>
      <c r="T903" s="7"/>
      <c r="U903" s="7"/>
      <c r="V903" s="7"/>
      <c r="X903" s="7"/>
      <c r="Y903" s="7"/>
      <c r="Z903" s="7"/>
      <c r="AA903" s="7" t="str">
        <f t="shared" si="98"/>
        <v/>
      </c>
      <c r="AB903" s="7"/>
      <c r="AC903" s="7"/>
      <c r="AQ903" s="7" t="str">
        <f t="shared" si="99"/>
        <v/>
      </c>
      <c r="AR903" s="7" t="str">
        <f t="shared" si="100"/>
        <v/>
      </c>
      <c r="AS903" s="7" t="str">
        <f t="shared" si="101"/>
        <v/>
      </c>
      <c r="AT903" s="7" t="str">
        <f t="shared" si="102"/>
        <v/>
      </c>
      <c r="AU903" s="7" t="str">
        <f t="shared" si="103"/>
        <v/>
      </c>
      <c r="AV903" s="7" t="str">
        <f t="shared" si="104"/>
        <v/>
      </c>
      <c r="AW903" s="7" t="str">
        <f>IF('RFQ-Input'!O902="","",'RFQ-Input'!O902)</f>
        <v/>
      </c>
      <c r="AX903" s="7" t="str">
        <f>IF('RFQ-Input'!S902="","",'RFQ-Input'!S902)</f>
        <v/>
      </c>
      <c r="AY903" s="7" t="str">
        <f>IF('RFQ-Input'!V902="","",'RFQ-Input'!V902)</f>
        <v/>
      </c>
      <c r="AZ903" s="7" t="str">
        <f>IF('RFQ-Input'!Y902="","",'RFQ-Input'!Y902)</f>
        <v/>
      </c>
      <c r="BA903" s="7" t="str">
        <f>IF('RFQ-Input'!AB902="","",'RFQ-Input'!AB902)</f>
        <v/>
      </c>
    </row>
    <row r="904" spans="1:53">
      <c r="A904" s="20">
        <v>900</v>
      </c>
      <c r="B904" s="7"/>
      <c r="C904" s="7" t="str">
        <f>IF('RFQ-Input'!C903="","",'RFQ-Input'!C903)</f>
        <v/>
      </c>
      <c r="D904" s="7" t="str">
        <f>IF('RFQ-Input'!D903="","",'RFQ-Input'!D903)</f>
        <v/>
      </c>
      <c r="E904" s="7" t="str">
        <f>IF('RFQ-Input'!E903="","",'RFQ-Input'!E903)</f>
        <v/>
      </c>
      <c r="F904" s="7" t="str">
        <f>IF('RFQ-Input'!F903="","",'RFQ-Input'!F903)</f>
        <v/>
      </c>
      <c r="G904" s="7" t="str">
        <f>IF('RFQ-Input'!G903="","",'RFQ-Input'!G903)</f>
        <v/>
      </c>
      <c r="H904" s="7" t="str">
        <f>IF('RFQ-Input'!H903="","",'RFQ-Input'!H903)</f>
        <v/>
      </c>
      <c r="I904" s="7" t="str">
        <f>IF('RFQ-Input'!I903="","",'RFQ-Input'!I903)</f>
        <v/>
      </c>
      <c r="J904" s="7" t="str">
        <f>IF('RFQ-Input'!J903="","",'RFQ-Input'!J903)</f>
        <v/>
      </c>
      <c r="K904" s="7" t="str">
        <f>IF('RFQ-Input'!K903="","",'RFQ-Input'!K903)</f>
        <v/>
      </c>
      <c r="L904" s="7" t="str">
        <f>IF('RFQ-Input'!L903="","",'RFQ-Input'!L903)</f>
        <v/>
      </c>
      <c r="M904" s="7" t="str">
        <f>IF('RFQ-Input'!M903="","",'RFQ-Input'!M903)</f>
        <v/>
      </c>
      <c r="N904" s="7" t="str">
        <f>IF('RFQ-Input'!N903="","",'RFQ-Input'!N903)</f>
        <v/>
      </c>
      <c r="O904" s="7" t="str">
        <f>IF('RFQ-Input'!O903="","",'RFQ-Input'!O903)</f>
        <v/>
      </c>
      <c r="Q904" s="7"/>
      <c r="R904" s="7"/>
      <c r="S904" s="7"/>
      <c r="T904" s="7"/>
      <c r="U904" s="7"/>
      <c r="V904" s="7"/>
      <c r="X904" s="7"/>
      <c r="Y904" s="7"/>
      <c r="Z904" s="7"/>
      <c r="AA904" s="7" t="str">
        <f t="shared" si="98"/>
        <v/>
      </c>
      <c r="AB904" s="7"/>
      <c r="AC904" s="7"/>
      <c r="AQ904" s="7" t="str">
        <f t="shared" si="99"/>
        <v/>
      </c>
      <c r="AR904" s="7" t="str">
        <f t="shared" si="100"/>
        <v/>
      </c>
      <c r="AS904" s="7" t="str">
        <f t="shared" si="101"/>
        <v/>
      </c>
      <c r="AT904" s="7" t="str">
        <f t="shared" si="102"/>
        <v/>
      </c>
      <c r="AU904" s="7" t="str">
        <f t="shared" si="103"/>
        <v/>
      </c>
      <c r="AV904" s="7" t="str">
        <f t="shared" si="104"/>
        <v/>
      </c>
      <c r="AW904" s="7" t="str">
        <f>IF('RFQ-Input'!O903="","",'RFQ-Input'!O903)</f>
        <v/>
      </c>
      <c r="AX904" s="7" t="str">
        <f>IF('RFQ-Input'!S903="","",'RFQ-Input'!S903)</f>
        <v/>
      </c>
      <c r="AY904" s="7" t="str">
        <f>IF('RFQ-Input'!V903="","",'RFQ-Input'!V903)</f>
        <v/>
      </c>
      <c r="AZ904" s="7" t="str">
        <f>IF('RFQ-Input'!Y903="","",'RFQ-Input'!Y903)</f>
        <v/>
      </c>
      <c r="BA904" s="7" t="str">
        <f>IF('RFQ-Input'!AB903="","",'RFQ-Input'!AB903)</f>
        <v/>
      </c>
    </row>
    <row r="905" spans="1:53">
      <c r="A905" s="20">
        <v>901</v>
      </c>
      <c r="B905" s="7"/>
      <c r="C905" s="7" t="str">
        <f>IF('RFQ-Input'!C904="","",'RFQ-Input'!C904)</f>
        <v/>
      </c>
      <c r="D905" s="7" t="str">
        <f>IF('RFQ-Input'!D904="","",'RFQ-Input'!D904)</f>
        <v/>
      </c>
      <c r="E905" s="7" t="str">
        <f>IF('RFQ-Input'!E904="","",'RFQ-Input'!E904)</f>
        <v/>
      </c>
      <c r="F905" s="7" t="str">
        <f>IF('RFQ-Input'!F904="","",'RFQ-Input'!F904)</f>
        <v/>
      </c>
      <c r="G905" s="7" t="str">
        <f>IF('RFQ-Input'!G904="","",'RFQ-Input'!G904)</f>
        <v/>
      </c>
      <c r="H905" s="7" t="str">
        <f>IF('RFQ-Input'!H904="","",'RFQ-Input'!H904)</f>
        <v/>
      </c>
      <c r="I905" s="7" t="str">
        <f>IF('RFQ-Input'!I904="","",'RFQ-Input'!I904)</f>
        <v/>
      </c>
      <c r="J905" s="7" t="str">
        <f>IF('RFQ-Input'!J904="","",'RFQ-Input'!J904)</f>
        <v/>
      </c>
      <c r="K905" s="7" t="str">
        <f>IF('RFQ-Input'!K904="","",'RFQ-Input'!K904)</f>
        <v/>
      </c>
      <c r="L905" s="7" t="str">
        <f>IF('RFQ-Input'!L904="","",'RFQ-Input'!L904)</f>
        <v/>
      </c>
      <c r="M905" s="7" t="str">
        <f>IF('RFQ-Input'!M904="","",'RFQ-Input'!M904)</f>
        <v/>
      </c>
      <c r="N905" s="7" t="str">
        <f>IF('RFQ-Input'!N904="","",'RFQ-Input'!N904)</f>
        <v/>
      </c>
      <c r="O905" s="7" t="str">
        <f>IF('RFQ-Input'!O904="","",'RFQ-Input'!O904)</f>
        <v/>
      </c>
      <c r="Q905" s="7"/>
      <c r="R905" s="7"/>
      <c r="S905" s="7"/>
      <c r="T905" s="7"/>
      <c r="U905" s="7"/>
      <c r="V905" s="7"/>
      <c r="X905" s="7"/>
      <c r="Y905" s="7"/>
      <c r="Z905" s="7"/>
      <c r="AA905" s="7" t="str">
        <f t="shared" si="98"/>
        <v/>
      </c>
      <c r="AB905" s="7"/>
      <c r="AC905" s="7"/>
      <c r="AQ905" s="7" t="str">
        <f t="shared" si="99"/>
        <v/>
      </c>
      <c r="AR905" s="7" t="str">
        <f t="shared" si="100"/>
        <v/>
      </c>
      <c r="AS905" s="7" t="str">
        <f t="shared" si="101"/>
        <v/>
      </c>
      <c r="AT905" s="7" t="str">
        <f t="shared" si="102"/>
        <v/>
      </c>
      <c r="AU905" s="7" t="str">
        <f t="shared" si="103"/>
        <v/>
      </c>
      <c r="AV905" s="7" t="str">
        <f t="shared" si="104"/>
        <v/>
      </c>
      <c r="AW905" s="7" t="str">
        <f>IF('RFQ-Input'!O904="","",'RFQ-Input'!O904)</f>
        <v/>
      </c>
      <c r="AX905" s="7" t="str">
        <f>IF('RFQ-Input'!S904="","",'RFQ-Input'!S904)</f>
        <v/>
      </c>
      <c r="AY905" s="7" t="str">
        <f>IF('RFQ-Input'!V904="","",'RFQ-Input'!V904)</f>
        <v/>
      </c>
      <c r="AZ905" s="7" t="str">
        <f>IF('RFQ-Input'!Y904="","",'RFQ-Input'!Y904)</f>
        <v/>
      </c>
      <c r="BA905" s="7" t="str">
        <f>IF('RFQ-Input'!AB904="","",'RFQ-Input'!AB904)</f>
        <v/>
      </c>
    </row>
    <row r="906" spans="1:53">
      <c r="A906" s="20">
        <v>902</v>
      </c>
      <c r="B906" s="7"/>
      <c r="C906" s="7" t="str">
        <f>IF('RFQ-Input'!C905="","",'RFQ-Input'!C905)</f>
        <v/>
      </c>
      <c r="D906" s="7" t="str">
        <f>IF('RFQ-Input'!D905="","",'RFQ-Input'!D905)</f>
        <v/>
      </c>
      <c r="E906" s="7" t="str">
        <f>IF('RFQ-Input'!E905="","",'RFQ-Input'!E905)</f>
        <v/>
      </c>
      <c r="F906" s="7" t="str">
        <f>IF('RFQ-Input'!F905="","",'RFQ-Input'!F905)</f>
        <v/>
      </c>
      <c r="G906" s="7" t="str">
        <f>IF('RFQ-Input'!G905="","",'RFQ-Input'!G905)</f>
        <v/>
      </c>
      <c r="H906" s="7" t="str">
        <f>IF('RFQ-Input'!H905="","",'RFQ-Input'!H905)</f>
        <v/>
      </c>
      <c r="I906" s="7" t="str">
        <f>IF('RFQ-Input'!I905="","",'RFQ-Input'!I905)</f>
        <v/>
      </c>
      <c r="J906" s="7" t="str">
        <f>IF('RFQ-Input'!J905="","",'RFQ-Input'!J905)</f>
        <v/>
      </c>
      <c r="K906" s="7" t="str">
        <f>IF('RFQ-Input'!K905="","",'RFQ-Input'!K905)</f>
        <v/>
      </c>
      <c r="L906" s="7" t="str">
        <f>IF('RFQ-Input'!L905="","",'RFQ-Input'!L905)</f>
        <v/>
      </c>
      <c r="M906" s="7" t="str">
        <f>IF('RFQ-Input'!M905="","",'RFQ-Input'!M905)</f>
        <v/>
      </c>
      <c r="N906" s="7" t="str">
        <f>IF('RFQ-Input'!N905="","",'RFQ-Input'!N905)</f>
        <v/>
      </c>
      <c r="O906" s="7" t="str">
        <f>IF('RFQ-Input'!O905="","",'RFQ-Input'!O905)</f>
        <v/>
      </c>
      <c r="Q906" s="7"/>
      <c r="R906" s="7"/>
      <c r="S906" s="7"/>
      <c r="T906" s="7"/>
      <c r="U906" s="7"/>
      <c r="V906" s="7"/>
      <c r="X906" s="7"/>
      <c r="Y906" s="7"/>
      <c r="Z906" s="7"/>
      <c r="AA906" s="7" t="str">
        <f t="shared" si="98"/>
        <v/>
      </c>
      <c r="AB906" s="7"/>
      <c r="AC906" s="7"/>
      <c r="AQ906" s="7" t="str">
        <f t="shared" si="99"/>
        <v/>
      </c>
      <c r="AR906" s="7" t="str">
        <f t="shared" si="100"/>
        <v/>
      </c>
      <c r="AS906" s="7" t="str">
        <f t="shared" si="101"/>
        <v/>
      </c>
      <c r="AT906" s="7" t="str">
        <f t="shared" si="102"/>
        <v/>
      </c>
      <c r="AU906" s="7" t="str">
        <f t="shared" si="103"/>
        <v/>
      </c>
      <c r="AV906" s="7" t="str">
        <f t="shared" si="104"/>
        <v/>
      </c>
      <c r="AW906" s="7" t="str">
        <f>IF('RFQ-Input'!O905="","",'RFQ-Input'!O905)</f>
        <v/>
      </c>
      <c r="AX906" s="7" t="str">
        <f>IF('RFQ-Input'!S905="","",'RFQ-Input'!S905)</f>
        <v/>
      </c>
      <c r="AY906" s="7" t="str">
        <f>IF('RFQ-Input'!V905="","",'RFQ-Input'!V905)</f>
        <v/>
      </c>
      <c r="AZ906" s="7" t="str">
        <f>IF('RFQ-Input'!Y905="","",'RFQ-Input'!Y905)</f>
        <v/>
      </c>
      <c r="BA906" s="7" t="str">
        <f>IF('RFQ-Input'!AB905="","",'RFQ-Input'!AB905)</f>
        <v/>
      </c>
    </row>
    <row r="907" spans="1:53">
      <c r="A907" s="20">
        <v>903</v>
      </c>
      <c r="B907" s="7"/>
      <c r="C907" s="7" t="str">
        <f>IF('RFQ-Input'!C906="","",'RFQ-Input'!C906)</f>
        <v/>
      </c>
      <c r="D907" s="7" t="str">
        <f>IF('RFQ-Input'!D906="","",'RFQ-Input'!D906)</f>
        <v/>
      </c>
      <c r="E907" s="7" t="str">
        <f>IF('RFQ-Input'!E906="","",'RFQ-Input'!E906)</f>
        <v/>
      </c>
      <c r="F907" s="7" t="str">
        <f>IF('RFQ-Input'!F906="","",'RFQ-Input'!F906)</f>
        <v/>
      </c>
      <c r="G907" s="7" t="str">
        <f>IF('RFQ-Input'!G906="","",'RFQ-Input'!G906)</f>
        <v/>
      </c>
      <c r="H907" s="7" t="str">
        <f>IF('RFQ-Input'!H906="","",'RFQ-Input'!H906)</f>
        <v/>
      </c>
      <c r="I907" s="7" t="str">
        <f>IF('RFQ-Input'!I906="","",'RFQ-Input'!I906)</f>
        <v/>
      </c>
      <c r="J907" s="7" t="str">
        <f>IF('RFQ-Input'!J906="","",'RFQ-Input'!J906)</f>
        <v/>
      </c>
      <c r="K907" s="7" t="str">
        <f>IF('RFQ-Input'!K906="","",'RFQ-Input'!K906)</f>
        <v/>
      </c>
      <c r="L907" s="7" t="str">
        <f>IF('RFQ-Input'!L906="","",'RFQ-Input'!L906)</f>
        <v/>
      </c>
      <c r="M907" s="7" t="str">
        <f>IF('RFQ-Input'!M906="","",'RFQ-Input'!M906)</f>
        <v/>
      </c>
      <c r="N907" s="7" t="str">
        <f>IF('RFQ-Input'!N906="","",'RFQ-Input'!N906)</f>
        <v/>
      </c>
      <c r="O907" s="7" t="str">
        <f>IF('RFQ-Input'!O906="","",'RFQ-Input'!O906)</f>
        <v/>
      </c>
      <c r="Q907" s="7"/>
      <c r="R907" s="7"/>
      <c r="S907" s="7"/>
      <c r="T907" s="7"/>
      <c r="U907" s="7"/>
      <c r="V907" s="7"/>
      <c r="X907" s="7"/>
      <c r="Y907" s="7"/>
      <c r="Z907" s="7"/>
      <c r="AA907" s="7" t="str">
        <f t="shared" si="98"/>
        <v/>
      </c>
      <c r="AB907" s="7"/>
      <c r="AC907" s="7"/>
      <c r="AQ907" s="7" t="str">
        <f t="shared" si="99"/>
        <v/>
      </c>
      <c r="AR907" s="7" t="str">
        <f t="shared" si="100"/>
        <v/>
      </c>
      <c r="AS907" s="7" t="str">
        <f t="shared" si="101"/>
        <v/>
      </c>
      <c r="AT907" s="7" t="str">
        <f t="shared" si="102"/>
        <v/>
      </c>
      <c r="AU907" s="7" t="str">
        <f t="shared" si="103"/>
        <v/>
      </c>
      <c r="AV907" s="7" t="str">
        <f t="shared" si="104"/>
        <v/>
      </c>
      <c r="AW907" s="7" t="str">
        <f>IF('RFQ-Input'!O906="","",'RFQ-Input'!O906)</f>
        <v/>
      </c>
      <c r="AX907" s="7" t="str">
        <f>IF('RFQ-Input'!S906="","",'RFQ-Input'!S906)</f>
        <v/>
      </c>
      <c r="AY907" s="7" t="str">
        <f>IF('RFQ-Input'!V906="","",'RFQ-Input'!V906)</f>
        <v/>
      </c>
      <c r="AZ907" s="7" t="str">
        <f>IF('RFQ-Input'!Y906="","",'RFQ-Input'!Y906)</f>
        <v/>
      </c>
      <c r="BA907" s="7" t="str">
        <f>IF('RFQ-Input'!AB906="","",'RFQ-Input'!AB906)</f>
        <v/>
      </c>
    </row>
    <row r="908" spans="1:53">
      <c r="A908" s="20">
        <v>904</v>
      </c>
      <c r="B908" s="7"/>
      <c r="C908" s="7" t="str">
        <f>IF('RFQ-Input'!C907="","",'RFQ-Input'!C907)</f>
        <v/>
      </c>
      <c r="D908" s="7" t="str">
        <f>IF('RFQ-Input'!D907="","",'RFQ-Input'!D907)</f>
        <v/>
      </c>
      <c r="E908" s="7" t="str">
        <f>IF('RFQ-Input'!E907="","",'RFQ-Input'!E907)</f>
        <v/>
      </c>
      <c r="F908" s="7" t="str">
        <f>IF('RFQ-Input'!F907="","",'RFQ-Input'!F907)</f>
        <v/>
      </c>
      <c r="G908" s="7" t="str">
        <f>IF('RFQ-Input'!G907="","",'RFQ-Input'!G907)</f>
        <v/>
      </c>
      <c r="H908" s="7" t="str">
        <f>IF('RFQ-Input'!H907="","",'RFQ-Input'!H907)</f>
        <v/>
      </c>
      <c r="I908" s="7" t="str">
        <f>IF('RFQ-Input'!I907="","",'RFQ-Input'!I907)</f>
        <v/>
      </c>
      <c r="J908" s="7" t="str">
        <f>IF('RFQ-Input'!J907="","",'RFQ-Input'!J907)</f>
        <v/>
      </c>
      <c r="K908" s="7" t="str">
        <f>IF('RFQ-Input'!K907="","",'RFQ-Input'!K907)</f>
        <v/>
      </c>
      <c r="L908" s="7" t="str">
        <f>IF('RFQ-Input'!L907="","",'RFQ-Input'!L907)</f>
        <v/>
      </c>
      <c r="M908" s="7" t="str">
        <f>IF('RFQ-Input'!M907="","",'RFQ-Input'!M907)</f>
        <v/>
      </c>
      <c r="N908" s="7" t="str">
        <f>IF('RFQ-Input'!N907="","",'RFQ-Input'!N907)</f>
        <v/>
      </c>
      <c r="O908" s="7" t="str">
        <f>IF('RFQ-Input'!O907="","",'RFQ-Input'!O907)</f>
        <v/>
      </c>
      <c r="Q908" s="7"/>
      <c r="R908" s="7"/>
      <c r="S908" s="7"/>
      <c r="T908" s="7"/>
      <c r="U908" s="7"/>
      <c r="V908" s="7"/>
      <c r="X908" s="7"/>
      <c r="Y908" s="7"/>
      <c r="Z908" s="7"/>
      <c r="AA908" s="7" t="str">
        <f t="shared" si="98"/>
        <v/>
      </c>
      <c r="AB908" s="7"/>
      <c r="AC908" s="7"/>
      <c r="AQ908" s="7" t="str">
        <f t="shared" si="99"/>
        <v/>
      </c>
      <c r="AR908" s="7" t="str">
        <f t="shared" si="100"/>
        <v/>
      </c>
      <c r="AS908" s="7" t="str">
        <f t="shared" si="101"/>
        <v/>
      </c>
      <c r="AT908" s="7" t="str">
        <f t="shared" si="102"/>
        <v/>
      </c>
      <c r="AU908" s="7" t="str">
        <f t="shared" si="103"/>
        <v/>
      </c>
      <c r="AV908" s="7" t="str">
        <f t="shared" si="104"/>
        <v/>
      </c>
      <c r="AW908" s="7" t="str">
        <f>IF('RFQ-Input'!O907="","",'RFQ-Input'!O907)</f>
        <v/>
      </c>
      <c r="AX908" s="7" t="str">
        <f>IF('RFQ-Input'!S907="","",'RFQ-Input'!S907)</f>
        <v/>
      </c>
      <c r="AY908" s="7" t="str">
        <f>IF('RFQ-Input'!V907="","",'RFQ-Input'!V907)</f>
        <v/>
      </c>
      <c r="AZ908" s="7" t="str">
        <f>IF('RFQ-Input'!Y907="","",'RFQ-Input'!Y907)</f>
        <v/>
      </c>
      <c r="BA908" s="7" t="str">
        <f>IF('RFQ-Input'!AB907="","",'RFQ-Input'!AB907)</f>
        <v/>
      </c>
    </row>
    <row r="909" spans="1:53">
      <c r="A909" s="20">
        <v>905</v>
      </c>
      <c r="B909" s="7"/>
      <c r="C909" s="7" t="str">
        <f>IF('RFQ-Input'!C908="","",'RFQ-Input'!C908)</f>
        <v/>
      </c>
      <c r="D909" s="7" t="str">
        <f>IF('RFQ-Input'!D908="","",'RFQ-Input'!D908)</f>
        <v/>
      </c>
      <c r="E909" s="7" t="str">
        <f>IF('RFQ-Input'!E908="","",'RFQ-Input'!E908)</f>
        <v/>
      </c>
      <c r="F909" s="7" t="str">
        <f>IF('RFQ-Input'!F908="","",'RFQ-Input'!F908)</f>
        <v/>
      </c>
      <c r="G909" s="7" t="str">
        <f>IF('RFQ-Input'!G908="","",'RFQ-Input'!G908)</f>
        <v/>
      </c>
      <c r="H909" s="7" t="str">
        <f>IF('RFQ-Input'!H908="","",'RFQ-Input'!H908)</f>
        <v/>
      </c>
      <c r="I909" s="7" t="str">
        <f>IF('RFQ-Input'!I908="","",'RFQ-Input'!I908)</f>
        <v/>
      </c>
      <c r="J909" s="7" t="str">
        <f>IF('RFQ-Input'!J908="","",'RFQ-Input'!J908)</f>
        <v/>
      </c>
      <c r="K909" s="7" t="str">
        <f>IF('RFQ-Input'!K908="","",'RFQ-Input'!K908)</f>
        <v/>
      </c>
      <c r="L909" s="7" t="str">
        <f>IF('RFQ-Input'!L908="","",'RFQ-Input'!L908)</f>
        <v/>
      </c>
      <c r="M909" s="7" t="str">
        <f>IF('RFQ-Input'!M908="","",'RFQ-Input'!M908)</f>
        <v/>
      </c>
      <c r="N909" s="7" t="str">
        <f>IF('RFQ-Input'!N908="","",'RFQ-Input'!N908)</f>
        <v/>
      </c>
      <c r="O909" s="7" t="str">
        <f>IF('RFQ-Input'!O908="","",'RFQ-Input'!O908)</f>
        <v/>
      </c>
      <c r="Q909" s="7"/>
      <c r="R909" s="7"/>
      <c r="S909" s="7"/>
      <c r="T909" s="7"/>
      <c r="U909" s="7"/>
      <c r="V909" s="7"/>
      <c r="X909" s="7"/>
      <c r="Y909" s="7"/>
      <c r="Z909" s="7"/>
      <c r="AA909" s="7" t="str">
        <f t="shared" si="98"/>
        <v/>
      </c>
      <c r="AB909" s="7"/>
      <c r="AC909" s="7"/>
      <c r="AQ909" s="7" t="str">
        <f t="shared" si="99"/>
        <v/>
      </c>
      <c r="AR909" s="7" t="str">
        <f t="shared" si="100"/>
        <v/>
      </c>
      <c r="AS909" s="7" t="str">
        <f t="shared" si="101"/>
        <v/>
      </c>
      <c r="AT909" s="7" t="str">
        <f t="shared" si="102"/>
        <v/>
      </c>
      <c r="AU909" s="7" t="str">
        <f t="shared" si="103"/>
        <v/>
      </c>
      <c r="AV909" s="7" t="str">
        <f t="shared" si="104"/>
        <v/>
      </c>
      <c r="AW909" s="7" t="str">
        <f>IF('RFQ-Input'!O908="","",'RFQ-Input'!O908)</f>
        <v/>
      </c>
      <c r="AX909" s="7" t="str">
        <f>IF('RFQ-Input'!S908="","",'RFQ-Input'!S908)</f>
        <v/>
      </c>
      <c r="AY909" s="7" t="str">
        <f>IF('RFQ-Input'!V908="","",'RFQ-Input'!V908)</f>
        <v/>
      </c>
      <c r="AZ909" s="7" t="str">
        <f>IF('RFQ-Input'!Y908="","",'RFQ-Input'!Y908)</f>
        <v/>
      </c>
      <c r="BA909" s="7" t="str">
        <f>IF('RFQ-Input'!AB908="","",'RFQ-Input'!AB908)</f>
        <v/>
      </c>
    </row>
    <row r="910" spans="1:53">
      <c r="A910" s="20">
        <v>906</v>
      </c>
      <c r="B910" s="7"/>
      <c r="C910" s="7" t="str">
        <f>IF('RFQ-Input'!C909="","",'RFQ-Input'!C909)</f>
        <v/>
      </c>
      <c r="D910" s="7" t="str">
        <f>IF('RFQ-Input'!D909="","",'RFQ-Input'!D909)</f>
        <v/>
      </c>
      <c r="E910" s="7" t="str">
        <f>IF('RFQ-Input'!E909="","",'RFQ-Input'!E909)</f>
        <v/>
      </c>
      <c r="F910" s="7" t="str">
        <f>IF('RFQ-Input'!F909="","",'RFQ-Input'!F909)</f>
        <v/>
      </c>
      <c r="G910" s="7" t="str">
        <f>IF('RFQ-Input'!G909="","",'RFQ-Input'!G909)</f>
        <v/>
      </c>
      <c r="H910" s="7" t="str">
        <f>IF('RFQ-Input'!H909="","",'RFQ-Input'!H909)</f>
        <v/>
      </c>
      <c r="I910" s="7" t="str">
        <f>IF('RFQ-Input'!I909="","",'RFQ-Input'!I909)</f>
        <v/>
      </c>
      <c r="J910" s="7" t="str">
        <f>IF('RFQ-Input'!J909="","",'RFQ-Input'!J909)</f>
        <v/>
      </c>
      <c r="K910" s="7" t="str">
        <f>IF('RFQ-Input'!K909="","",'RFQ-Input'!K909)</f>
        <v/>
      </c>
      <c r="L910" s="7" t="str">
        <f>IF('RFQ-Input'!L909="","",'RFQ-Input'!L909)</f>
        <v/>
      </c>
      <c r="M910" s="7" t="str">
        <f>IF('RFQ-Input'!M909="","",'RFQ-Input'!M909)</f>
        <v/>
      </c>
      <c r="N910" s="7" t="str">
        <f>IF('RFQ-Input'!N909="","",'RFQ-Input'!N909)</f>
        <v/>
      </c>
      <c r="O910" s="7" t="str">
        <f>IF('RFQ-Input'!O909="","",'RFQ-Input'!O909)</f>
        <v/>
      </c>
      <c r="Q910" s="7"/>
      <c r="R910" s="7"/>
      <c r="S910" s="7"/>
      <c r="T910" s="7"/>
      <c r="U910" s="7"/>
      <c r="V910" s="7"/>
      <c r="X910" s="7"/>
      <c r="Y910" s="7"/>
      <c r="Z910" s="7"/>
      <c r="AA910" s="7" t="str">
        <f t="shared" si="98"/>
        <v/>
      </c>
      <c r="AB910" s="7"/>
      <c r="AC910" s="7"/>
      <c r="AQ910" s="7" t="str">
        <f t="shared" si="99"/>
        <v/>
      </c>
      <c r="AR910" s="7" t="str">
        <f t="shared" si="100"/>
        <v/>
      </c>
      <c r="AS910" s="7" t="str">
        <f t="shared" si="101"/>
        <v/>
      </c>
      <c r="AT910" s="7" t="str">
        <f t="shared" si="102"/>
        <v/>
      </c>
      <c r="AU910" s="7" t="str">
        <f t="shared" si="103"/>
        <v/>
      </c>
      <c r="AV910" s="7" t="str">
        <f t="shared" si="104"/>
        <v/>
      </c>
      <c r="AW910" s="7" t="str">
        <f>IF('RFQ-Input'!O909="","",'RFQ-Input'!O909)</f>
        <v/>
      </c>
      <c r="AX910" s="7" t="str">
        <f>IF('RFQ-Input'!S909="","",'RFQ-Input'!S909)</f>
        <v/>
      </c>
      <c r="AY910" s="7" t="str">
        <f>IF('RFQ-Input'!V909="","",'RFQ-Input'!V909)</f>
        <v/>
      </c>
      <c r="AZ910" s="7" t="str">
        <f>IF('RFQ-Input'!Y909="","",'RFQ-Input'!Y909)</f>
        <v/>
      </c>
      <c r="BA910" s="7" t="str">
        <f>IF('RFQ-Input'!AB909="","",'RFQ-Input'!AB909)</f>
        <v/>
      </c>
    </row>
    <row r="911" spans="1:53">
      <c r="A911" s="20">
        <v>907</v>
      </c>
      <c r="B911" s="7"/>
      <c r="C911" s="7" t="str">
        <f>IF('RFQ-Input'!C910="","",'RFQ-Input'!C910)</f>
        <v/>
      </c>
      <c r="D911" s="7" t="str">
        <f>IF('RFQ-Input'!D910="","",'RFQ-Input'!D910)</f>
        <v/>
      </c>
      <c r="E911" s="7" t="str">
        <f>IF('RFQ-Input'!E910="","",'RFQ-Input'!E910)</f>
        <v/>
      </c>
      <c r="F911" s="7" t="str">
        <f>IF('RFQ-Input'!F910="","",'RFQ-Input'!F910)</f>
        <v/>
      </c>
      <c r="G911" s="7" t="str">
        <f>IF('RFQ-Input'!G910="","",'RFQ-Input'!G910)</f>
        <v/>
      </c>
      <c r="H911" s="7" t="str">
        <f>IF('RFQ-Input'!H910="","",'RFQ-Input'!H910)</f>
        <v/>
      </c>
      <c r="I911" s="7" t="str">
        <f>IF('RFQ-Input'!I910="","",'RFQ-Input'!I910)</f>
        <v/>
      </c>
      <c r="J911" s="7" t="str">
        <f>IF('RFQ-Input'!J910="","",'RFQ-Input'!J910)</f>
        <v/>
      </c>
      <c r="K911" s="7" t="str">
        <f>IF('RFQ-Input'!K910="","",'RFQ-Input'!K910)</f>
        <v/>
      </c>
      <c r="L911" s="7" t="str">
        <f>IF('RFQ-Input'!L910="","",'RFQ-Input'!L910)</f>
        <v/>
      </c>
      <c r="M911" s="7" t="str">
        <f>IF('RFQ-Input'!M910="","",'RFQ-Input'!M910)</f>
        <v/>
      </c>
      <c r="N911" s="7" t="str">
        <f>IF('RFQ-Input'!N910="","",'RFQ-Input'!N910)</f>
        <v/>
      </c>
      <c r="O911" s="7" t="str">
        <f>IF('RFQ-Input'!O910="","",'RFQ-Input'!O910)</f>
        <v/>
      </c>
      <c r="Q911" s="7"/>
      <c r="R911" s="7"/>
      <c r="S911" s="7"/>
      <c r="T911" s="7"/>
      <c r="U911" s="7"/>
      <c r="V911" s="7"/>
      <c r="X911" s="7"/>
      <c r="Y911" s="7"/>
      <c r="Z911" s="7"/>
      <c r="AA911" s="7" t="str">
        <f t="shared" si="98"/>
        <v/>
      </c>
      <c r="AB911" s="7"/>
      <c r="AC911" s="7"/>
      <c r="AQ911" s="7" t="str">
        <f t="shared" si="99"/>
        <v/>
      </c>
      <c r="AR911" s="7" t="str">
        <f t="shared" si="100"/>
        <v/>
      </c>
      <c r="AS911" s="7" t="str">
        <f t="shared" si="101"/>
        <v/>
      </c>
      <c r="AT911" s="7" t="str">
        <f t="shared" si="102"/>
        <v/>
      </c>
      <c r="AU911" s="7" t="str">
        <f t="shared" si="103"/>
        <v/>
      </c>
      <c r="AV911" s="7" t="str">
        <f t="shared" si="104"/>
        <v/>
      </c>
      <c r="AW911" s="7" t="str">
        <f>IF('RFQ-Input'!O910="","",'RFQ-Input'!O910)</f>
        <v/>
      </c>
      <c r="AX911" s="7" t="str">
        <f>IF('RFQ-Input'!S910="","",'RFQ-Input'!S910)</f>
        <v/>
      </c>
      <c r="AY911" s="7" t="str">
        <f>IF('RFQ-Input'!V910="","",'RFQ-Input'!V910)</f>
        <v/>
      </c>
      <c r="AZ911" s="7" t="str">
        <f>IF('RFQ-Input'!Y910="","",'RFQ-Input'!Y910)</f>
        <v/>
      </c>
      <c r="BA911" s="7" t="str">
        <f>IF('RFQ-Input'!AB910="","",'RFQ-Input'!AB910)</f>
        <v/>
      </c>
    </row>
    <row r="912" spans="1:53">
      <c r="A912" s="20">
        <v>908</v>
      </c>
      <c r="B912" s="7"/>
      <c r="C912" s="7" t="str">
        <f>IF('RFQ-Input'!C911="","",'RFQ-Input'!C911)</f>
        <v/>
      </c>
      <c r="D912" s="7" t="str">
        <f>IF('RFQ-Input'!D911="","",'RFQ-Input'!D911)</f>
        <v/>
      </c>
      <c r="E912" s="7" t="str">
        <f>IF('RFQ-Input'!E911="","",'RFQ-Input'!E911)</f>
        <v/>
      </c>
      <c r="F912" s="7" t="str">
        <f>IF('RFQ-Input'!F911="","",'RFQ-Input'!F911)</f>
        <v/>
      </c>
      <c r="G912" s="7" t="str">
        <f>IF('RFQ-Input'!G911="","",'RFQ-Input'!G911)</f>
        <v/>
      </c>
      <c r="H912" s="7" t="str">
        <f>IF('RFQ-Input'!H911="","",'RFQ-Input'!H911)</f>
        <v/>
      </c>
      <c r="I912" s="7" t="str">
        <f>IF('RFQ-Input'!I911="","",'RFQ-Input'!I911)</f>
        <v/>
      </c>
      <c r="J912" s="7" t="str">
        <f>IF('RFQ-Input'!J911="","",'RFQ-Input'!J911)</f>
        <v/>
      </c>
      <c r="K912" s="7" t="str">
        <f>IF('RFQ-Input'!K911="","",'RFQ-Input'!K911)</f>
        <v/>
      </c>
      <c r="L912" s="7" t="str">
        <f>IF('RFQ-Input'!L911="","",'RFQ-Input'!L911)</f>
        <v/>
      </c>
      <c r="M912" s="7" t="str">
        <f>IF('RFQ-Input'!M911="","",'RFQ-Input'!M911)</f>
        <v/>
      </c>
      <c r="N912" s="7" t="str">
        <f>IF('RFQ-Input'!N911="","",'RFQ-Input'!N911)</f>
        <v/>
      </c>
      <c r="O912" s="7" t="str">
        <f>IF('RFQ-Input'!O911="","",'RFQ-Input'!O911)</f>
        <v/>
      </c>
      <c r="Q912" s="7"/>
      <c r="R912" s="7"/>
      <c r="S912" s="7"/>
      <c r="T912" s="7"/>
      <c r="U912" s="7"/>
      <c r="V912" s="7"/>
      <c r="X912" s="7"/>
      <c r="Y912" s="7"/>
      <c r="Z912" s="7"/>
      <c r="AA912" s="7" t="str">
        <f t="shared" si="98"/>
        <v/>
      </c>
      <c r="AB912" s="7"/>
      <c r="AC912" s="7"/>
      <c r="AQ912" s="7" t="str">
        <f t="shared" si="99"/>
        <v/>
      </c>
      <c r="AR912" s="7" t="str">
        <f t="shared" si="100"/>
        <v/>
      </c>
      <c r="AS912" s="7" t="str">
        <f t="shared" si="101"/>
        <v/>
      </c>
      <c r="AT912" s="7" t="str">
        <f t="shared" si="102"/>
        <v/>
      </c>
      <c r="AU912" s="7" t="str">
        <f t="shared" si="103"/>
        <v/>
      </c>
      <c r="AV912" s="7" t="str">
        <f t="shared" si="104"/>
        <v/>
      </c>
      <c r="AW912" s="7" t="str">
        <f>IF('RFQ-Input'!O911="","",'RFQ-Input'!O911)</f>
        <v/>
      </c>
      <c r="AX912" s="7" t="str">
        <f>IF('RFQ-Input'!S911="","",'RFQ-Input'!S911)</f>
        <v/>
      </c>
      <c r="AY912" s="7" t="str">
        <f>IF('RFQ-Input'!V911="","",'RFQ-Input'!V911)</f>
        <v/>
      </c>
      <c r="AZ912" s="7" t="str">
        <f>IF('RFQ-Input'!Y911="","",'RFQ-Input'!Y911)</f>
        <v/>
      </c>
      <c r="BA912" s="7" t="str">
        <f>IF('RFQ-Input'!AB911="","",'RFQ-Input'!AB911)</f>
        <v/>
      </c>
    </row>
    <row r="913" spans="1:53">
      <c r="A913" s="20">
        <v>909</v>
      </c>
      <c r="B913" s="7"/>
      <c r="C913" s="7" t="str">
        <f>IF('RFQ-Input'!C912="","",'RFQ-Input'!C912)</f>
        <v/>
      </c>
      <c r="D913" s="7" t="str">
        <f>IF('RFQ-Input'!D912="","",'RFQ-Input'!D912)</f>
        <v/>
      </c>
      <c r="E913" s="7" t="str">
        <f>IF('RFQ-Input'!E912="","",'RFQ-Input'!E912)</f>
        <v/>
      </c>
      <c r="F913" s="7" t="str">
        <f>IF('RFQ-Input'!F912="","",'RFQ-Input'!F912)</f>
        <v/>
      </c>
      <c r="G913" s="7" t="str">
        <f>IF('RFQ-Input'!G912="","",'RFQ-Input'!G912)</f>
        <v/>
      </c>
      <c r="H913" s="7" t="str">
        <f>IF('RFQ-Input'!H912="","",'RFQ-Input'!H912)</f>
        <v/>
      </c>
      <c r="I913" s="7" t="str">
        <f>IF('RFQ-Input'!I912="","",'RFQ-Input'!I912)</f>
        <v/>
      </c>
      <c r="J913" s="7" t="str">
        <f>IF('RFQ-Input'!J912="","",'RFQ-Input'!J912)</f>
        <v/>
      </c>
      <c r="K913" s="7" t="str">
        <f>IF('RFQ-Input'!K912="","",'RFQ-Input'!K912)</f>
        <v/>
      </c>
      <c r="L913" s="7" t="str">
        <f>IF('RFQ-Input'!L912="","",'RFQ-Input'!L912)</f>
        <v/>
      </c>
      <c r="M913" s="7" t="str">
        <f>IF('RFQ-Input'!M912="","",'RFQ-Input'!M912)</f>
        <v/>
      </c>
      <c r="N913" s="7" t="str">
        <f>IF('RFQ-Input'!N912="","",'RFQ-Input'!N912)</f>
        <v/>
      </c>
      <c r="O913" s="7" t="str">
        <f>IF('RFQ-Input'!O912="","",'RFQ-Input'!O912)</f>
        <v/>
      </c>
      <c r="Q913" s="7"/>
      <c r="R913" s="7"/>
      <c r="S913" s="7"/>
      <c r="T913" s="7"/>
      <c r="U913" s="7"/>
      <c r="V913" s="7"/>
      <c r="X913" s="7"/>
      <c r="Y913" s="7"/>
      <c r="Z913" s="7"/>
      <c r="AA913" s="7" t="str">
        <f t="shared" si="98"/>
        <v/>
      </c>
      <c r="AB913" s="7"/>
      <c r="AC913" s="7"/>
      <c r="AQ913" s="7" t="str">
        <f t="shared" si="99"/>
        <v/>
      </c>
      <c r="AR913" s="7" t="str">
        <f t="shared" si="100"/>
        <v/>
      </c>
      <c r="AS913" s="7" t="str">
        <f t="shared" si="101"/>
        <v/>
      </c>
      <c r="AT913" s="7" t="str">
        <f t="shared" si="102"/>
        <v/>
      </c>
      <c r="AU913" s="7" t="str">
        <f t="shared" si="103"/>
        <v/>
      </c>
      <c r="AV913" s="7" t="str">
        <f t="shared" si="104"/>
        <v/>
      </c>
      <c r="AW913" s="7" t="str">
        <f>IF('RFQ-Input'!O912="","",'RFQ-Input'!O912)</f>
        <v/>
      </c>
      <c r="AX913" s="7" t="str">
        <f>IF('RFQ-Input'!S912="","",'RFQ-Input'!S912)</f>
        <v/>
      </c>
      <c r="AY913" s="7" t="str">
        <f>IF('RFQ-Input'!V912="","",'RFQ-Input'!V912)</f>
        <v/>
      </c>
      <c r="AZ913" s="7" t="str">
        <f>IF('RFQ-Input'!Y912="","",'RFQ-Input'!Y912)</f>
        <v/>
      </c>
      <c r="BA913" s="7" t="str">
        <f>IF('RFQ-Input'!AB912="","",'RFQ-Input'!AB912)</f>
        <v/>
      </c>
    </row>
    <row r="914" spans="1:53">
      <c r="A914" s="20">
        <v>910</v>
      </c>
      <c r="B914" s="7"/>
      <c r="C914" s="7" t="str">
        <f>IF('RFQ-Input'!C913="","",'RFQ-Input'!C913)</f>
        <v/>
      </c>
      <c r="D914" s="7" t="str">
        <f>IF('RFQ-Input'!D913="","",'RFQ-Input'!D913)</f>
        <v/>
      </c>
      <c r="E914" s="7" t="str">
        <f>IF('RFQ-Input'!E913="","",'RFQ-Input'!E913)</f>
        <v/>
      </c>
      <c r="F914" s="7" t="str">
        <f>IF('RFQ-Input'!F913="","",'RFQ-Input'!F913)</f>
        <v/>
      </c>
      <c r="G914" s="7" t="str">
        <f>IF('RFQ-Input'!G913="","",'RFQ-Input'!G913)</f>
        <v/>
      </c>
      <c r="H914" s="7" t="str">
        <f>IF('RFQ-Input'!H913="","",'RFQ-Input'!H913)</f>
        <v/>
      </c>
      <c r="I914" s="7" t="str">
        <f>IF('RFQ-Input'!I913="","",'RFQ-Input'!I913)</f>
        <v/>
      </c>
      <c r="J914" s="7" t="str">
        <f>IF('RFQ-Input'!J913="","",'RFQ-Input'!J913)</f>
        <v/>
      </c>
      <c r="K914" s="7" t="str">
        <f>IF('RFQ-Input'!K913="","",'RFQ-Input'!K913)</f>
        <v/>
      </c>
      <c r="L914" s="7" t="str">
        <f>IF('RFQ-Input'!L913="","",'RFQ-Input'!L913)</f>
        <v/>
      </c>
      <c r="M914" s="7" t="str">
        <f>IF('RFQ-Input'!M913="","",'RFQ-Input'!M913)</f>
        <v/>
      </c>
      <c r="N914" s="7" t="str">
        <f>IF('RFQ-Input'!N913="","",'RFQ-Input'!N913)</f>
        <v/>
      </c>
      <c r="O914" s="7" t="str">
        <f>IF('RFQ-Input'!O913="","",'RFQ-Input'!O913)</f>
        <v/>
      </c>
      <c r="Q914" s="7"/>
      <c r="R914" s="7"/>
      <c r="S914" s="7"/>
      <c r="T914" s="7"/>
      <c r="U914" s="7"/>
      <c r="V914" s="7"/>
      <c r="X914" s="7"/>
      <c r="Y914" s="7"/>
      <c r="Z914" s="7"/>
      <c r="AA914" s="7" t="str">
        <f t="shared" si="98"/>
        <v/>
      </c>
      <c r="AB914" s="7"/>
      <c r="AC914" s="7"/>
      <c r="AQ914" s="7" t="str">
        <f t="shared" si="99"/>
        <v/>
      </c>
      <c r="AR914" s="7" t="str">
        <f t="shared" si="100"/>
        <v/>
      </c>
      <c r="AS914" s="7" t="str">
        <f t="shared" si="101"/>
        <v/>
      </c>
      <c r="AT914" s="7" t="str">
        <f t="shared" si="102"/>
        <v/>
      </c>
      <c r="AU914" s="7" t="str">
        <f t="shared" si="103"/>
        <v/>
      </c>
      <c r="AV914" s="7" t="str">
        <f t="shared" si="104"/>
        <v/>
      </c>
      <c r="AW914" s="7" t="str">
        <f>IF('RFQ-Input'!O913="","",'RFQ-Input'!O913)</f>
        <v/>
      </c>
      <c r="AX914" s="7" t="str">
        <f>IF('RFQ-Input'!S913="","",'RFQ-Input'!S913)</f>
        <v/>
      </c>
      <c r="AY914" s="7" t="str">
        <f>IF('RFQ-Input'!V913="","",'RFQ-Input'!V913)</f>
        <v/>
      </c>
      <c r="AZ914" s="7" t="str">
        <f>IF('RFQ-Input'!Y913="","",'RFQ-Input'!Y913)</f>
        <v/>
      </c>
      <c r="BA914" s="7" t="str">
        <f>IF('RFQ-Input'!AB913="","",'RFQ-Input'!AB913)</f>
        <v/>
      </c>
    </row>
    <row r="915" spans="1:53">
      <c r="A915" s="20">
        <v>911</v>
      </c>
      <c r="B915" s="7"/>
      <c r="C915" s="7" t="str">
        <f>IF('RFQ-Input'!C914="","",'RFQ-Input'!C914)</f>
        <v/>
      </c>
      <c r="D915" s="7" t="str">
        <f>IF('RFQ-Input'!D914="","",'RFQ-Input'!D914)</f>
        <v/>
      </c>
      <c r="E915" s="7" t="str">
        <f>IF('RFQ-Input'!E914="","",'RFQ-Input'!E914)</f>
        <v/>
      </c>
      <c r="F915" s="7" t="str">
        <f>IF('RFQ-Input'!F914="","",'RFQ-Input'!F914)</f>
        <v/>
      </c>
      <c r="G915" s="7" t="str">
        <f>IF('RFQ-Input'!G914="","",'RFQ-Input'!G914)</f>
        <v/>
      </c>
      <c r="H915" s="7" t="str">
        <f>IF('RFQ-Input'!H914="","",'RFQ-Input'!H914)</f>
        <v/>
      </c>
      <c r="I915" s="7" t="str">
        <f>IF('RFQ-Input'!I914="","",'RFQ-Input'!I914)</f>
        <v/>
      </c>
      <c r="J915" s="7" t="str">
        <f>IF('RFQ-Input'!J914="","",'RFQ-Input'!J914)</f>
        <v/>
      </c>
      <c r="K915" s="7" t="str">
        <f>IF('RFQ-Input'!K914="","",'RFQ-Input'!K914)</f>
        <v/>
      </c>
      <c r="L915" s="7" t="str">
        <f>IF('RFQ-Input'!L914="","",'RFQ-Input'!L914)</f>
        <v/>
      </c>
      <c r="M915" s="7" t="str">
        <f>IF('RFQ-Input'!M914="","",'RFQ-Input'!M914)</f>
        <v/>
      </c>
      <c r="N915" s="7" t="str">
        <f>IF('RFQ-Input'!N914="","",'RFQ-Input'!N914)</f>
        <v/>
      </c>
      <c r="O915" s="7" t="str">
        <f>IF('RFQ-Input'!O914="","",'RFQ-Input'!O914)</f>
        <v/>
      </c>
      <c r="Q915" s="7"/>
      <c r="R915" s="7"/>
      <c r="S915" s="7"/>
      <c r="T915" s="7"/>
      <c r="U915" s="7"/>
      <c r="V915" s="7"/>
      <c r="X915" s="7"/>
      <c r="Y915" s="7"/>
      <c r="Z915" s="7"/>
      <c r="AA915" s="7" t="str">
        <f t="shared" si="98"/>
        <v/>
      </c>
      <c r="AB915" s="7"/>
      <c r="AC915" s="7"/>
      <c r="AQ915" s="7" t="str">
        <f t="shared" si="99"/>
        <v/>
      </c>
      <c r="AR915" s="7" t="str">
        <f t="shared" si="100"/>
        <v/>
      </c>
      <c r="AS915" s="7" t="str">
        <f t="shared" si="101"/>
        <v/>
      </c>
      <c r="AT915" s="7" t="str">
        <f t="shared" si="102"/>
        <v/>
      </c>
      <c r="AU915" s="7" t="str">
        <f t="shared" si="103"/>
        <v/>
      </c>
      <c r="AV915" s="7" t="str">
        <f t="shared" si="104"/>
        <v/>
      </c>
      <c r="AW915" s="7" t="str">
        <f>IF('RFQ-Input'!O914="","",'RFQ-Input'!O914)</f>
        <v/>
      </c>
      <c r="AX915" s="7" t="str">
        <f>IF('RFQ-Input'!S914="","",'RFQ-Input'!S914)</f>
        <v/>
      </c>
      <c r="AY915" s="7" t="str">
        <f>IF('RFQ-Input'!V914="","",'RFQ-Input'!V914)</f>
        <v/>
      </c>
      <c r="AZ915" s="7" t="str">
        <f>IF('RFQ-Input'!Y914="","",'RFQ-Input'!Y914)</f>
        <v/>
      </c>
      <c r="BA915" s="7" t="str">
        <f>IF('RFQ-Input'!AB914="","",'RFQ-Input'!AB914)</f>
        <v/>
      </c>
    </row>
    <row r="916" spans="1:53">
      <c r="A916" s="20">
        <v>912</v>
      </c>
      <c r="B916" s="7"/>
      <c r="C916" s="7" t="str">
        <f>IF('RFQ-Input'!C915="","",'RFQ-Input'!C915)</f>
        <v/>
      </c>
      <c r="D916" s="7" t="str">
        <f>IF('RFQ-Input'!D915="","",'RFQ-Input'!D915)</f>
        <v/>
      </c>
      <c r="E916" s="7" t="str">
        <f>IF('RFQ-Input'!E915="","",'RFQ-Input'!E915)</f>
        <v/>
      </c>
      <c r="F916" s="7" t="str">
        <f>IF('RFQ-Input'!F915="","",'RFQ-Input'!F915)</f>
        <v/>
      </c>
      <c r="G916" s="7" t="str">
        <f>IF('RFQ-Input'!G915="","",'RFQ-Input'!G915)</f>
        <v/>
      </c>
      <c r="H916" s="7" t="str">
        <f>IF('RFQ-Input'!H915="","",'RFQ-Input'!H915)</f>
        <v/>
      </c>
      <c r="I916" s="7" t="str">
        <f>IF('RFQ-Input'!I915="","",'RFQ-Input'!I915)</f>
        <v/>
      </c>
      <c r="J916" s="7" t="str">
        <f>IF('RFQ-Input'!J915="","",'RFQ-Input'!J915)</f>
        <v/>
      </c>
      <c r="K916" s="7" t="str">
        <f>IF('RFQ-Input'!K915="","",'RFQ-Input'!K915)</f>
        <v/>
      </c>
      <c r="L916" s="7" t="str">
        <f>IF('RFQ-Input'!L915="","",'RFQ-Input'!L915)</f>
        <v/>
      </c>
      <c r="M916" s="7" t="str">
        <f>IF('RFQ-Input'!M915="","",'RFQ-Input'!M915)</f>
        <v/>
      </c>
      <c r="N916" s="7" t="str">
        <f>IF('RFQ-Input'!N915="","",'RFQ-Input'!N915)</f>
        <v/>
      </c>
      <c r="O916" s="7" t="str">
        <f>IF('RFQ-Input'!O915="","",'RFQ-Input'!O915)</f>
        <v/>
      </c>
      <c r="Q916" s="7"/>
      <c r="R916" s="7"/>
      <c r="S916" s="7"/>
      <c r="T916" s="7"/>
      <c r="U916" s="7"/>
      <c r="V916" s="7"/>
      <c r="X916" s="7"/>
      <c r="Y916" s="7"/>
      <c r="Z916" s="7"/>
      <c r="AA916" s="7" t="str">
        <f t="shared" si="98"/>
        <v/>
      </c>
      <c r="AB916" s="7"/>
      <c r="AC916" s="7"/>
      <c r="AQ916" s="7" t="str">
        <f t="shared" si="99"/>
        <v/>
      </c>
      <c r="AR916" s="7" t="str">
        <f t="shared" si="100"/>
        <v/>
      </c>
      <c r="AS916" s="7" t="str">
        <f t="shared" si="101"/>
        <v/>
      </c>
      <c r="AT916" s="7" t="str">
        <f t="shared" si="102"/>
        <v/>
      </c>
      <c r="AU916" s="7" t="str">
        <f t="shared" si="103"/>
        <v/>
      </c>
      <c r="AV916" s="7" t="str">
        <f t="shared" si="104"/>
        <v/>
      </c>
      <c r="AW916" s="7" t="str">
        <f>IF('RFQ-Input'!O915="","",'RFQ-Input'!O915)</f>
        <v/>
      </c>
      <c r="AX916" s="7" t="str">
        <f>IF('RFQ-Input'!S915="","",'RFQ-Input'!S915)</f>
        <v/>
      </c>
      <c r="AY916" s="7" t="str">
        <f>IF('RFQ-Input'!V915="","",'RFQ-Input'!V915)</f>
        <v/>
      </c>
      <c r="AZ916" s="7" t="str">
        <f>IF('RFQ-Input'!Y915="","",'RFQ-Input'!Y915)</f>
        <v/>
      </c>
      <c r="BA916" s="7" t="str">
        <f>IF('RFQ-Input'!AB915="","",'RFQ-Input'!AB915)</f>
        <v/>
      </c>
    </row>
    <row r="917" spans="1:53">
      <c r="A917" s="20">
        <v>913</v>
      </c>
      <c r="B917" s="7"/>
      <c r="C917" s="7" t="str">
        <f>IF('RFQ-Input'!C916="","",'RFQ-Input'!C916)</f>
        <v/>
      </c>
      <c r="D917" s="7" t="str">
        <f>IF('RFQ-Input'!D916="","",'RFQ-Input'!D916)</f>
        <v/>
      </c>
      <c r="E917" s="7" t="str">
        <f>IF('RFQ-Input'!E916="","",'RFQ-Input'!E916)</f>
        <v/>
      </c>
      <c r="F917" s="7" t="str">
        <f>IF('RFQ-Input'!F916="","",'RFQ-Input'!F916)</f>
        <v/>
      </c>
      <c r="G917" s="7" t="str">
        <f>IF('RFQ-Input'!G916="","",'RFQ-Input'!G916)</f>
        <v/>
      </c>
      <c r="H917" s="7" t="str">
        <f>IF('RFQ-Input'!H916="","",'RFQ-Input'!H916)</f>
        <v/>
      </c>
      <c r="I917" s="7" t="str">
        <f>IF('RFQ-Input'!I916="","",'RFQ-Input'!I916)</f>
        <v/>
      </c>
      <c r="J917" s="7" t="str">
        <f>IF('RFQ-Input'!J916="","",'RFQ-Input'!J916)</f>
        <v/>
      </c>
      <c r="K917" s="7" t="str">
        <f>IF('RFQ-Input'!K916="","",'RFQ-Input'!K916)</f>
        <v/>
      </c>
      <c r="L917" s="7" t="str">
        <f>IF('RFQ-Input'!L916="","",'RFQ-Input'!L916)</f>
        <v/>
      </c>
      <c r="M917" s="7" t="str">
        <f>IF('RFQ-Input'!M916="","",'RFQ-Input'!M916)</f>
        <v/>
      </c>
      <c r="N917" s="7" t="str">
        <f>IF('RFQ-Input'!N916="","",'RFQ-Input'!N916)</f>
        <v/>
      </c>
      <c r="O917" s="7" t="str">
        <f>IF('RFQ-Input'!O916="","",'RFQ-Input'!O916)</f>
        <v/>
      </c>
      <c r="Q917" s="7"/>
      <c r="R917" s="7"/>
      <c r="S917" s="7"/>
      <c r="T917" s="7"/>
      <c r="U917" s="7"/>
      <c r="V917" s="7"/>
      <c r="X917" s="7"/>
      <c r="Y917" s="7"/>
      <c r="Z917" s="7"/>
      <c r="AA917" s="7" t="str">
        <f t="shared" si="98"/>
        <v/>
      </c>
      <c r="AB917" s="7"/>
      <c r="AC917" s="7"/>
      <c r="AQ917" s="7" t="str">
        <f t="shared" si="99"/>
        <v/>
      </c>
      <c r="AR917" s="7" t="str">
        <f t="shared" si="100"/>
        <v/>
      </c>
      <c r="AS917" s="7" t="str">
        <f t="shared" si="101"/>
        <v/>
      </c>
      <c r="AT917" s="7" t="str">
        <f t="shared" si="102"/>
        <v/>
      </c>
      <c r="AU917" s="7" t="str">
        <f t="shared" si="103"/>
        <v/>
      </c>
      <c r="AV917" s="7" t="str">
        <f t="shared" si="104"/>
        <v/>
      </c>
      <c r="AW917" s="7" t="str">
        <f>IF('RFQ-Input'!O916="","",'RFQ-Input'!O916)</f>
        <v/>
      </c>
      <c r="AX917" s="7" t="str">
        <f>IF('RFQ-Input'!S916="","",'RFQ-Input'!S916)</f>
        <v/>
      </c>
      <c r="AY917" s="7" t="str">
        <f>IF('RFQ-Input'!V916="","",'RFQ-Input'!V916)</f>
        <v/>
      </c>
      <c r="AZ917" s="7" t="str">
        <f>IF('RFQ-Input'!Y916="","",'RFQ-Input'!Y916)</f>
        <v/>
      </c>
      <c r="BA917" s="7" t="str">
        <f>IF('RFQ-Input'!AB916="","",'RFQ-Input'!AB916)</f>
        <v/>
      </c>
    </row>
    <row r="918" spans="1:53">
      <c r="A918" s="20">
        <v>914</v>
      </c>
      <c r="B918" s="7"/>
      <c r="C918" s="7" t="str">
        <f>IF('RFQ-Input'!C917="","",'RFQ-Input'!C917)</f>
        <v/>
      </c>
      <c r="D918" s="7" t="str">
        <f>IF('RFQ-Input'!D917="","",'RFQ-Input'!D917)</f>
        <v/>
      </c>
      <c r="E918" s="7" t="str">
        <f>IF('RFQ-Input'!E917="","",'RFQ-Input'!E917)</f>
        <v/>
      </c>
      <c r="F918" s="7" t="str">
        <f>IF('RFQ-Input'!F917="","",'RFQ-Input'!F917)</f>
        <v/>
      </c>
      <c r="G918" s="7" t="str">
        <f>IF('RFQ-Input'!G917="","",'RFQ-Input'!G917)</f>
        <v/>
      </c>
      <c r="H918" s="7" t="str">
        <f>IF('RFQ-Input'!H917="","",'RFQ-Input'!H917)</f>
        <v/>
      </c>
      <c r="I918" s="7" t="str">
        <f>IF('RFQ-Input'!I917="","",'RFQ-Input'!I917)</f>
        <v/>
      </c>
      <c r="J918" s="7" t="str">
        <f>IF('RFQ-Input'!J917="","",'RFQ-Input'!J917)</f>
        <v/>
      </c>
      <c r="K918" s="7" t="str">
        <f>IF('RFQ-Input'!K917="","",'RFQ-Input'!K917)</f>
        <v/>
      </c>
      <c r="L918" s="7" t="str">
        <f>IF('RFQ-Input'!L917="","",'RFQ-Input'!L917)</f>
        <v/>
      </c>
      <c r="M918" s="7" t="str">
        <f>IF('RFQ-Input'!M917="","",'RFQ-Input'!M917)</f>
        <v/>
      </c>
      <c r="N918" s="7" t="str">
        <f>IF('RFQ-Input'!N917="","",'RFQ-Input'!N917)</f>
        <v/>
      </c>
      <c r="O918" s="7" t="str">
        <f>IF('RFQ-Input'!O917="","",'RFQ-Input'!O917)</f>
        <v/>
      </c>
      <c r="Q918" s="7"/>
      <c r="R918" s="7"/>
      <c r="S918" s="7"/>
      <c r="T918" s="7"/>
      <c r="U918" s="7"/>
      <c r="V918" s="7"/>
      <c r="X918" s="7"/>
      <c r="Y918" s="7"/>
      <c r="Z918" s="7"/>
      <c r="AA918" s="7" t="str">
        <f t="shared" si="98"/>
        <v/>
      </c>
      <c r="AB918" s="7"/>
      <c r="AC918" s="7"/>
      <c r="AQ918" s="7" t="str">
        <f t="shared" si="99"/>
        <v/>
      </c>
      <c r="AR918" s="7" t="str">
        <f t="shared" si="100"/>
        <v/>
      </c>
      <c r="AS918" s="7" t="str">
        <f t="shared" si="101"/>
        <v/>
      </c>
      <c r="AT918" s="7" t="str">
        <f t="shared" si="102"/>
        <v/>
      </c>
      <c r="AU918" s="7" t="str">
        <f t="shared" si="103"/>
        <v/>
      </c>
      <c r="AV918" s="7" t="str">
        <f t="shared" si="104"/>
        <v/>
      </c>
      <c r="AW918" s="7" t="str">
        <f>IF('RFQ-Input'!O917="","",'RFQ-Input'!O917)</f>
        <v/>
      </c>
      <c r="AX918" s="7" t="str">
        <f>IF('RFQ-Input'!S917="","",'RFQ-Input'!S917)</f>
        <v/>
      </c>
      <c r="AY918" s="7" t="str">
        <f>IF('RFQ-Input'!V917="","",'RFQ-Input'!V917)</f>
        <v/>
      </c>
      <c r="AZ918" s="7" t="str">
        <f>IF('RFQ-Input'!Y917="","",'RFQ-Input'!Y917)</f>
        <v/>
      </c>
      <c r="BA918" s="7" t="str">
        <f>IF('RFQ-Input'!AB917="","",'RFQ-Input'!AB917)</f>
        <v/>
      </c>
    </row>
    <row r="919" spans="1:53">
      <c r="A919" s="20">
        <v>915</v>
      </c>
      <c r="B919" s="7"/>
      <c r="C919" s="7" t="str">
        <f>IF('RFQ-Input'!C918="","",'RFQ-Input'!C918)</f>
        <v/>
      </c>
      <c r="D919" s="7" t="str">
        <f>IF('RFQ-Input'!D918="","",'RFQ-Input'!D918)</f>
        <v/>
      </c>
      <c r="E919" s="7" t="str">
        <f>IF('RFQ-Input'!E918="","",'RFQ-Input'!E918)</f>
        <v/>
      </c>
      <c r="F919" s="7" t="str">
        <f>IF('RFQ-Input'!F918="","",'RFQ-Input'!F918)</f>
        <v/>
      </c>
      <c r="G919" s="7" t="str">
        <f>IF('RFQ-Input'!G918="","",'RFQ-Input'!G918)</f>
        <v/>
      </c>
      <c r="H919" s="7" t="str">
        <f>IF('RFQ-Input'!H918="","",'RFQ-Input'!H918)</f>
        <v/>
      </c>
      <c r="I919" s="7" t="str">
        <f>IF('RFQ-Input'!I918="","",'RFQ-Input'!I918)</f>
        <v/>
      </c>
      <c r="J919" s="7" t="str">
        <f>IF('RFQ-Input'!J918="","",'RFQ-Input'!J918)</f>
        <v/>
      </c>
      <c r="K919" s="7" t="str">
        <f>IF('RFQ-Input'!K918="","",'RFQ-Input'!K918)</f>
        <v/>
      </c>
      <c r="L919" s="7" t="str">
        <f>IF('RFQ-Input'!L918="","",'RFQ-Input'!L918)</f>
        <v/>
      </c>
      <c r="M919" s="7" t="str">
        <f>IF('RFQ-Input'!M918="","",'RFQ-Input'!M918)</f>
        <v/>
      </c>
      <c r="N919" s="7" t="str">
        <f>IF('RFQ-Input'!N918="","",'RFQ-Input'!N918)</f>
        <v/>
      </c>
      <c r="O919" s="7" t="str">
        <f>IF('RFQ-Input'!O918="","",'RFQ-Input'!O918)</f>
        <v/>
      </c>
      <c r="Q919" s="7"/>
      <c r="R919" s="7"/>
      <c r="S919" s="7"/>
      <c r="T919" s="7"/>
      <c r="U919" s="7"/>
      <c r="V919" s="7"/>
      <c r="X919" s="7"/>
      <c r="Y919" s="7"/>
      <c r="Z919" s="7"/>
      <c r="AA919" s="7" t="str">
        <f t="shared" si="98"/>
        <v/>
      </c>
      <c r="AB919" s="7"/>
      <c r="AC919" s="7"/>
      <c r="AQ919" s="7" t="str">
        <f t="shared" si="99"/>
        <v/>
      </c>
      <c r="AR919" s="7" t="str">
        <f t="shared" si="100"/>
        <v/>
      </c>
      <c r="AS919" s="7" t="str">
        <f t="shared" si="101"/>
        <v/>
      </c>
      <c r="AT919" s="7" t="str">
        <f t="shared" si="102"/>
        <v/>
      </c>
      <c r="AU919" s="7" t="str">
        <f t="shared" si="103"/>
        <v/>
      </c>
      <c r="AV919" s="7" t="str">
        <f t="shared" si="104"/>
        <v/>
      </c>
      <c r="AW919" s="7" t="str">
        <f>IF('RFQ-Input'!O918="","",'RFQ-Input'!O918)</f>
        <v/>
      </c>
      <c r="AX919" s="7" t="str">
        <f>IF('RFQ-Input'!S918="","",'RFQ-Input'!S918)</f>
        <v/>
      </c>
      <c r="AY919" s="7" t="str">
        <f>IF('RFQ-Input'!V918="","",'RFQ-Input'!V918)</f>
        <v/>
      </c>
      <c r="AZ919" s="7" t="str">
        <f>IF('RFQ-Input'!Y918="","",'RFQ-Input'!Y918)</f>
        <v/>
      </c>
      <c r="BA919" s="7" t="str">
        <f>IF('RFQ-Input'!AB918="","",'RFQ-Input'!AB918)</f>
        <v/>
      </c>
    </row>
    <row r="920" spans="1:53">
      <c r="A920" s="20">
        <v>916</v>
      </c>
      <c r="B920" s="7"/>
      <c r="C920" s="7" t="str">
        <f>IF('RFQ-Input'!C919="","",'RFQ-Input'!C919)</f>
        <v/>
      </c>
      <c r="D920" s="7" t="str">
        <f>IF('RFQ-Input'!D919="","",'RFQ-Input'!D919)</f>
        <v/>
      </c>
      <c r="E920" s="7" t="str">
        <f>IF('RFQ-Input'!E919="","",'RFQ-Input'!E919)</f>
        <v/>
      </c>
      <c r="F920" s="7" t="str">
        <f>IF('RFQ-Input'!F919="","",'RFQ-Input'!F919)</f>
        <v/>
      </c>
      <c r="G920" s="7" t="str">
        <f>IF('RFQ-Input'!G919="","",'RFQ-Input'!G919)</f>
        <v/>
      </c>
      <c r="H920" s="7" t="str">
        <f>IF('RFQ-Input'!H919="","",'RFQ-Input'!H919)</f>
        <v/>
      </c>
      <c r="I920" s="7" t="str">
        <f>IF('RFQ-Input'!I919="","",'RFQ-Input'!I919)</f>
        <v/>
      </c>
      <c r="J920" s="7" t="str">
        <f>IF('RFQ-Input'!J919="","",'RFQ-Input'!J919)</f>
        <v/>
      </c>
      <c r="K920" s="7" t="str">
        <f>IF('RFQ-Input'!K919="","",'RFQ-Input'!K919)</f>
        <v/>
      </c>
      <c r="L920" s="7" t="str">
        <f>IF('RFQ-Input'!L919="","",'RFQ-Input'!L919)</f>
        <v/>
      </c>
      <c r="M920" s="7" t="str">
        <f>IF('RFQ-Input'!M919="","",'RFQ-Input'!M919)</f>
        <v/>
      </c>
      <c r="N920" s="7" t="str">
        <f>IF('RFQ-Input'!N919="","",'RFQ-Input'!N919)</f>
        <v/>
      </c>
      <c r="O920" s="7" t="str">
        <f>IF('RFQ-Input'!O919="","",'RFQ-Input'!O919)</f>
        <v/>
      </c>
      <c r="Q920" s="7"/>
      <c r="R920" s="7"/>
      <c r="S920" s="7"/>
      <c r="T920" s="7"/>
      <c r="U920" s="7"/>
      <c r="V920" s="7"/>
      <c r="X920" s="7"/>
      <c r="Y920" s="7"/>
      <c r="Z920" s="7"/>
      <c r="AA920" s="7" t="str">
        <f t="shared" si="98"/>
        <v/>
      </c>
      <c r="AB920" s="7"/>
      <c r="AC920" s="7"/>
      <c r="AQ920" s="7" t="str">
        <f t="shared" si="99"/>
        <v/>
      </c>
      <c r="AR920" s="7" t="str">
        <f t="shared" si="100"/>
        <v/>
      </c>
      <c r="AS920" s="7" t="str">
        <f t="shared" si="101"/>
        <v/>
      </c>
      <c r="AT920" s="7" t="str">
        <f t="shared" si="102"/>
        <v/>
      </c>
      <c r="AU920" s="7" t="str">
        <f t="shared" si="103"/>
        <v/>
      </c>
      <c r="AV920" s="7" t="str">
        <f t="shared" si="104"/>
        <v/>
      </c>
      <c r="AW920" s="7" t="str">
        <f>IF('RFQ-Input'!O919="","",'RFQ-Input'!O919)</f>
        <v/>
      </c>
      <c r="AX920" s="7" t="str">
        <f>IF('RFQ-Input'!S919="","",'RFQ-Input'!S919)</f>
        <v/>
      </c>
      <c r="AY920" s="7" t="str">
        <f>IF('RFQ-Input'!V919="","",'RFQ-Input'!V919)</f>
        <v/>
      </c>
      <c r="AZ920" s="7" t="str">
        <f>IF('RFQ-Input'!Y919="","",'RFQ-Input'!Y919)</f>
        <v/>
      </c>
      <c r="BA920" s="7" t="str">
        <f>IF('RFQ-Input'!AB919="","",'RFQ-Input'!AB919)</f>
        <v/>
      </c>
    </row>
    <row r="921" spans="1:53">
      <c r="A921" s="20">
        <v>917</v>
      </c>
      <c r="B921" s="7"/>
      <c r="C921" s="7" t="str">
        <f>IF('RFQ-Input'!C920="","",'RFQ-Input'!C920)</f>
        <v/>
      </c>
      <c r="D921" s="7" t="str">
        <f>IF('RFQ-Input'!D920="","",'RFQ-Input'!D920)</f>
        <v/>
      </c>
      <c r="E921" s="7" t="str">
        <f>IF('RFQ-Input'!E920="","",'RFQ-Input'!E920)</f>
        <v/>
      </c>
      <c r="F921" s="7" t="str">
        <f>IF('RFQ-Input'!F920="","",'RFQ-Input'!F920)</f>
        <v/>
      </c>
      <c r="G921" s="7" t="str">
        <f>IF('RFQ-Input'!G920="","",'RFQ-Input'!G920)</f>
        <v/>
      </c>
      <c r="H921" s="7" t="str">
        <f>IF('RFQ-Input'!H920="","",'RFQ-Input'!H920)</f>
        <v/>
      </c>
      <c r="I921" s="7" t="str">
        <f>IF('RFQ-Input'!I920="","",'RFQ-Input'!I920)</f>
        <v/>
      </c>
      <c r="J921" s="7" t="str">
        <f>IF('RFQ-Input'!J920="","",'RFQ-Input'!J920)</f>
        <v/>
      </c>
      <c r="K921" s="7" t="str">
        <f>IF('RFQ-Input'!K920="","",'RFQ-Input'!K920)</f>
        <v/>
      </c>
      <c r="L921" s="7" t="str">
        <f>IF('RFQ-Input'!L920="","",'RFQ-Input'!L920)</f>
        <v/>
      </c>
      <c r="M921" s="7" t="str">
        <f>IF('RFQ-Input'!M920="","",'RFQ-Input'!M920)</f>
        <v/>
      </c>
      <c r="N921" s="7" t="str">
        <f>IF('RFQ-Input'!N920="","",'RFQ-Input'!N920)</f>
        <v/>
      </c>
      <c r="O921" s="7" t="str">
        <f>IF('RFQ-Input'!O920="","",'RFQ-Input'!O920)</f>
        <v/>
      </c>
      <c r="Q921" s="7"/>
      <c r="R921" s="7"/>
      <c r="S921" s="7"/>
      <c r="T921" s="7"/>
      <c r="U921" s="7"/>
      <c r="V921" s="7"/>
      <c r="X921" s="7"/>
      <c r="Y921" s="7"/>
      <c r="Z921" s="7"/>
      <c r="AA921" s="7" t="str">
        <f t="shared" si="98"/>
        <v/>
      </c>
      <c r="AB921" s="7"/>
      <c r="AC921" s="7"/>
      <c r="AQ921" s="7" t="str">
        <f t="shared" si="99"/>
        <v/>
      </c>
      <c r="AR921" s="7" t="str">
        <f t="shared" si="100"/>
        <v/>
      </c>
      <c r="AS921" s="7" t="str">
        <f t="shared" si="101"/>
        <v/>
      </c>
      <c r="AT921" s="7" t="str">
        <f t="shared" si="102"/>
        <v/>
      </c>
      <c r="AU921" s="7" t="str">
        <f t="shared" si="103"/>
        <v/>
      </c>
      <c r="AV921" s="7" t="str">
        <f t="shared" si="104"/>
        <v/>
      </c>
      <c r="AW921" s="7" t="str">
        <f>IF('RFQ-Input'!O920="","",'RFQ-Input'!O920)</f>
        <v/>
      </c>
      <c r="AX921" s="7" t="str">
        <f>IF('RFQ-Input'!S920="","",'RFQ-Input'!S920)</f>
        <v/>
      </c>
      <c r="AY921" s="7" t="str">
        <f>IF('RFQ-Input'!V920="","",'RFQ-Input'!V920)</f>
        <v/>
      </c>
      <c r="AZ921" s="7" t="str">
        <f>IF('RFQ-Input'!Y920="","",'RFQ-Input'!Y920)</f>
        <v/>
      </c>
      <c r="BA921" s="7" t="str">
        <f>IF('RFQ-Input'!AB920="","",'RFQ-Input'!AB920)</f>
        <v/>
      </c>
    </row>
    <row r="922" spans="1:53">
      <c r="A922" s="20">
        <v>918</v>
      </c>
      <c r="B922" s="7"/>
      <c r="C922" s="7" t="str">
        <f>IF('RFQ-Input'!C921="","",'RFQ-Input'!C921)</f>
        <v/>
      </c>
      <c r="D922" s="7" t="str">
        <f>IF('RFQ-Input'!D921="","",'RFQ-Input'!D921)</f>
        <v/>
      </c>
      <c r="E922" s="7" t="str">
        <f>IF('RFQ-Input'!E921="","",'RFQ-Input'!E921)</f>
        <v/>
      </c>
      <c r="F922" s="7" t="str">
        <f>IF('RFQ-Input'!F921="","",'RFQ-Input'!F921)</f>
        <v/>
      </c>
      <c r="G922" s="7" t="str">
        <f>IF('RFQ-Input'!G921="","",'RFQ-Input'!G921)</f>
        <v/>
      </c>
      <c r="H922" s="7" t="str">
        <f>IF('RFQ-Input'!H921="","",'RFQ-Input'!H921)</f>
        <v/>
      </c>
      <c r="I922" s="7" t="str">
        <f>IF('RFQ-Input'!I921="","",'RFQ-Input'!I921)</f>
        <v/>
      </c>
      <c r="J922" s="7" t="str">
        <f>IF('RFQ-Input'!J921="","",'RFQ-Input'!J921)</f>
        <v/>
      </c>
      <c r="K922" s="7" t="str">
        <f>IF('RFQ-Input'!K921="","",'RFQ-Input'!K921)</f>
        <v/>
      </c>
      <c r="L922" s="7" t="str">
        <f>IF('RFQ-Input'!L921="","",'RFQ-Input'!L921)</f>
        <v/>
      </c>
      <c r="M922" s="7" t="str">
        <f>IF('RFQ-Input'!M921="","",'RFQ-Input'!M921)</f>
        <v/>
      </c>
      <c r="N922" s="7" t="str">
        <f>IF('RFQ-Input'!N921="","",'RFQ-Input'!N921)</f>
        <v/>
      </c>
      <c r="O922" s="7" t="str">
        <f>IF('RFQ-Input'!O921="","",'RFQ-Input'!O921)</f>
        <v/>
      </c>
      <c r="Q922" s="7"/>
      <c r="R922" s="7"/>
      <c r="S922" s="7"/>
      <c r="T922" s="7"/>
      <c r="U922" s="7"/>
      <c r="V922" s="7"/>
      <c r="X922" s="7"/>
      <c r="Y922" s="7"/>
      <c r="Z922" s="7"/>
      <c r="AA922" s="7" t="str">
        <f t="shared" si="98"/>
        <v/>
      </c>
      <c r="AB922" s="7"/>
      <c r="AC922" s="7"/>
      <c r="AQ922" s="7" t="str">
        <f t="shared" si="99"/>
        <v/>
      </c>
      <c r="AR922" s="7" t="str">
        <f t="shared" si="100"/>
        <v/>
      </c>
      <c r="AS922" s="7" t="str">
        <f t="shared" si="101"/>
        <v/>
      </c>
      <c r="AT922" s="7" t="str">
        <f t="shared" si="102"/>
        <v/>
      </c>
      <c r="AU922" s="7" t="str">
        <f t="shared" si="103"/>
        <v/>
      </c>
      <c r="AV922" s="7" t="str">
        <f t="shared" si="104"/>
        <v/>
      </c>
      <c r="AW922" s="7" t="str">
        <f>IF('RFQ-Input'!O921="","",'RFQ-Input'!O921)</f>
        <v/>
      </c>
      <c r="AX922" s="7" t="str">
        <f>IF('RFQ-Input'!S921="","",'RFQ-Input'!S921)</f>
        <v/>
      </c>
      <c r="AY922" s="7" t="str">
        <f>IF('RFQ-Input'!V921="","",'RFQ-Input'!V921)</f>
        <v/>
      </c>
      <c r="AZ922" s="7" t="str">
        <f>IF('RFQ-Input'!Y921="","",'RFQ-Input'!Y921)</f>
        <v/>
      </c>
      <c r="BA922" s="7" t="str">
        <f>IF('RFQ-Input'!AB921="","",'RFQ-Input'!AB921)</f>
        <v/>
      </c>
    </row>
    <row r="923" spans="1:53">
      <c r="A923" s="20">
        <v>919</v>
      </c>
      <c r="B923" s="7"/>
      <c r="C923" s="7" t="str">
        <f>IF('RFQ-Input'!C922="","",'RFQ-Input'!C922)</f>
        <v/>
      </c>
      <c r="D923" s="7" t="str">
        <f>IF('RFQ-Input'!D922="","",'RFQ-Input'!D922)</f>
        <v/>
      </c>
      <c r="E923" s="7" t="str">
        <f>IF('RFQ-Input'!E922="","",'RFQ-Input'!E922)</f>
        <v/>
      </c>
      <c r="F923" s="7" t="str">
        <f>IF('RFQ-Input'!F922="","",'RFQ-Input'!F922)</f>
        <v/>
      </c>
      <c r="G923" s="7" t="str">
        <f>IF('RFQ-Input'!G922="","",'RFQ-Input'!G922)</f>
        <v/>
      </c>
      <c r="H923" s="7" t="str">
        <f>IF('RFQ-Input'!H922="","",'RFQ-Input'!H922)</f>
        <v/>
      </c>
      <c r="I923" s="7" t="str">
        <f>IF('RFQ-Input'!I922="","",'RFQ-Input'!I922)</f>
        <v/>
      </c>
      <c r="J923" s="7" t="str">
        <f>IF('RFQ-Input'!J922="","",'RFQ-Input'!J922)</f>
        <v/>
      </c>
      <c r="K923" s="7" t="str">
        <f>IF('RFQ-Input'!K922="","",'RFQ-Input'!K922)</f>
        <v/>
      </c>
      <c r="L923" s="7" t="str">
        <f>IF('RFQ-Input'!L922="","",'RFQ-Input'!L922)</f>
        <v/>
      </c>
      <c r="M923" s="7" t="str">
        <f>IF('RFQ-Input'!M922="","",'RFQ-Input'!M922)</f>
        <v/>
      </c>
      <c r="N923" s="7" t="str">
        <f>IF('RFQ-Input'!N922="","",'RFQ-Input'!N922)</f>
        <v/>
      </c>
      <c r="O923" s="7" t="str">
        <f>IF('RFQ-Input'!O922="","",'RFQ-Input'!O922)</f>
        <v/>
      </c>
      <c r="Q923" s="7"/>
      <c r="R923" s="7"/>
      <c r="S923" s="7"/>
      <c r="T923" s="7"/>
      <c r="U923" s="7"/>
      <c r="V923" s="7"/>
      <c r="X923" s="7"/>
      <c r="Y923" s="7"/>
      <c r="Z923" s="7"/>
      <c r="AA923" s="7" t="str">
        <f t="shared" si="98"/>
        <v/>
      </c>
      <c r="AB923" s="7"/>
      <c r="AC923" s="7"/>
      <c r="AQ923" s="7" t="str">
        <f t="shared" si="99"/>
        <v/>
      </c>
      <c r="AR923" s="7" t="str">
        <f t="shared" si="100"/>
        <v/>
      </c>
      <c r="AS923" s="7" t="str">
        <f t="shared" si="101"/>
        <v/>
      </c>
      <c r="AT923" s="7" t="str">
        <f t="shared" si="102"/>
        <v/>
      </c>
      <c r="AU923" s="7" t="str">
        <f t="shared" si="103"/>
        <v/>
      </c>
      <c r="AV923" s="7" t="str">
        <f t="shared" si="104"/>
        <v/>
      </c>
      <c r="AW923" s="7" t="str">
        <f>IF('RFQ-Input'!O922="","",'RFQ-Input'!O922)</f>
        <v/>
      </c>
      <c r="AX923" s="7" t="str">
        <f>IF('RFQ-Input'!S922="","",'RFQ-Input'!S922)</f>
        <v/>
      </c>
      <c r="AY923" s="7" t="str">
        <f>IF('RFQ-Input'!V922="","",'RFQ-Input'!V922)</f>
        <v/>
      </c>
      <c r="AZ923" s="7" t="str">
        <f>IF('RFQ-Input'!Y922="","",'RFQ-Input'!Y922)</f>
        <v/>
      </c>
      <c r="BA923" s="7" t="str">
        <f>IF('RFQ-Input'!AB922="","",'RFQ-Input'!AB922)</f>
        <v/>
      </c>
    </row>
    <row r="924" spans="1:53">
      <c r="A924" s="20">
        <v>920</v>
      </c>
      <c r="B924" s="7"/>
      <c r="C924" s="7" t="str">
        <f>IF('RFQ-Input'!C923="","",'RFQ-Input'!C923)</f>
        <v/>
      </c>
      <c r="D924" s="7" t="str">
        <f>IF('RFQ-Input'!D923="","",'RFQ-Input'!D923)</f>
        <v/>
      </c>
      <c r="E924" s="7" t="str">
        <f>IF('RFQ-Input'!E923="","",'RFQ-Input'!E923)</f>
        <v/>
      </c>
      <c r="F924" s="7" t="str">
        <f>IF('RFQ-Input'!F923="","",'RFQ-Input'!F923)</f>
        <v/>
      </c>
      <c r="G924" s="7" t="str">
        <f>IF('RFQ-Input'!G923="","",'RFQ-Input'!G923)</f>
        <v/>
      </c>
      <c r="H924" s="7" t="str">
        <f>IF('RFQ-Input'!H923="","",'RFQ-Input'!H923)</f>
        <v/>
      </c>
      <c r="I924" s="7" t="str">
        <f>IF('RFQ-Input'!I923="","",'RFQ-Input'!I923)</f>
        <v/>
      </c>
      <c r="J924" s="7" t="str">
        <f>IF('RFQ-Input'!J923="","",'RFQ-Input'!J923)</f>
        <v/>
      </c>
      <c r="K924" s="7" t="str">
        <f>IF('RFQ-Input'!K923="","",'RFQ-Input'!K923)</f>
        <v/>
      </c>
      <c r="L924" s="7" t="str">
        <f>IF('RFQ-Input'!L923="","",'RFQ-Input'!L923)</f>
        <v/>
      </c>
      <c r="M924" s="7" t="str">
        <f>IF('RFQ-Input'!M923="","",'RFQ-Input'!M923)</f>
        <v/>
      </c>
      <c r="N924" s="7" t="str">
        <f>IF('RFQ-Input'!N923="","",'RFQ-Input'!N923)</f>
        <v/>
      </c>
      <c r="O924" s="7" t="str">
        <f>IF('RFQ-Input'!O923="","",'RFQ-Input'!O923)</f>
        <v/>
      </c>
      <c r="Q924" s="7"/>
      <c r="R924" s="7"/>
      <c r="S924" s="7"/>
      <c r="T924" s="7"/>
      <c r="U924" s="7"/>
      <c r="V924" s="7"/>
      <c r="X924" s="7"/>
      <c r="Y924" s="7"/>
      <c r="Z924" s="7"/>
      <c r="AA924" s="7" t="str">
        <f t="shared" si="98"/>
        <v/>
      </c>
      <c r="AB924" s="7"/>
      <c r="AC924" s="7"/>
      <c r="AQ924" s="7" t="str">
        <f t="shared" si="99"/>
        <v/>
      </c>
      <c r="AR924" s="7" t="str">
        <f t="shared" si="100"/>
        <v/>
      </c>
      <c r="AS924" s="7" t="str">
        <f t="shared" si="101"/>
        <v/>
      </c>
      <c r="AT924" s="7" t="str">
        <f t="shared" si="102"/>
        <v/>
      </c>
      <c r="AU924" s="7" t="str">
        <f t="shared" si="103"/>
        <v/>
      </c>
      <c r="AV924" s="7" t="str">
        <f t="shared" si="104"/>
        <v/>
      </c>
      <c r="AW924" s="7" t="str">
        <f>IF('RFQ-Input'!O923="","",'RFQ-Input'!O923)</f>
        <v/>
      </c>
      <c r="AX924" s="7" t="str">
        <f>IF('RFQ-Input'!S923="","",'RFQ-Input'!S923)</f>
        <v/>
      </c>
      <c r="AY924" s="7" t="str">
        <f>IF('RFQ-Input'!V923="","",'RFQ-Input'!V923)</f>
        <v/>
      </c>
      <c r="AZ924" s="7" t="str">
        <f>IF('RFQ-Input'!Y923="","",'RFQ-Input'!Y923)</f>
        <v/>
      </c>
      <c r="BA924" s="7" t="str">
        <f>IF('RFQ-Input'!AB923="","",'RFQ-Input'!AB923)</f>
        <v/>
      </c>
    </row>
    <row r="925" spans="1:53">
      <c r="A925" s="20">
        <v>921</v>
      </c>
      <c r="B925" s="7"/>
      <c r="C925" s="7" t="str">
        <f>IF('RFQ-Input'!C924="","",'RFQ-Input'!C924)</f>
        <v/>
      </c>
      <c r="D925" s="7" t="str">
        <f>IF('RFQ-Input'!D924="","",'RFQ-Input'!D924)</f>
        <v/>
      </c>
      <c r="E925" s="7" t="str">
        <f>IF('RFQ-Input'!E924="","",'RFQ-Input'!E924)</f>
        <v/>
      </c>
      <c r="F925" s="7" t="str">
        <f>IF('RFQ-Input'!F924="","",'RFQ-Input'!F924)</f>
        <v/>
      </c>
      <c r="G925" s="7" t="str">
        <f>IF('RFQ-Input'!G924="","",'RFQ-Input'!G924)</f>
        <v/>
      </c>
      <c r="H925" s="7" t="str">
        <f>IF('RFQ-Input'!H924="","",'RFQ-Input'!H924)</f>
        <v/>
      </c>
      <c r="I925" s="7" t="str">
        <f>IF('RFQ-Input'!I924="","",'RFQ-Input'!I924)</f>
        <v/>
      </c>
      <c r="J925" s="7" t="str">
        <f>IF('RFQ-Input'!J924="","",'RFQ-Input'!J924)</f>
        <v/>
      </c>
      <c r="K925" s="7" t="str">
        <f>IF('RFQ-Input'!K924="","",'RFQ-Input'!K924)</f>
        <v/>
      </c>
      <c r="L925" s="7" t="str">
        <f>IF('RFQ-Input'!L924="","",'RFQ-Input'!L924)</f>
        <v/>
      </c>
      <c r="M925" s="7" t="str">
        <f>IF('RFQ-Input'!M924="","",'RFQ-Input'!M924)</f>
        <v/>
      </c>
      <c r="N925" s="7" t="str">
        <f>IF('RFQ-Input'!N924="","",'RFQ-Input'!N924)</f>
        <v/>
      </c>
      <c r="O925" s="7" t="str">
        <f>IF('RFQ-Input'!O924="","",'RFQ-Input'!O924)</f>
        <v/>
      </c>
      <c r="Q925" s="7"/>
      <c r="R925" s="7"/>
      <c r="S925" s="7"/>
      <c r="T925" s="7"/>
      <c r="U925" s="7"/>
      <c r="V925" s="7"/>
      <c r="X925" s="7"/>
      <c r="Y925" s="7"/>
      <c r="Z925" s="7"/>
      <c r="AA925" s="7" t="str">
        <f t="shared" si="98"/>
        <v/>
      </c>
      <c r="AB925" s="7"/>
      <c r="AC925" s="7"/>
      <c r="AQ925" s="7" t="str">
        <f t="shared" si="99"/>
        <v/>
      </c>
      <c r="AR925" s="7" t="str">
        <f t="shared" si="100"/>
        <v/>
      </c>
      <c r="AS925" s="7" t="str">
        <f t="shared" si="101"/>
        <v/>
      </c>
      <c r="AT925" s="7" t="str">
        <f t="shared" si="102"/>
        <v/>
      </c>
      <c r="AU925" s="7" t="str">
        <f t="shared" si="103"/>
        <v/>
      </c>
      <c r="AV925" s="7" t="str">
        <f t="shared" si="104"/>
        <v/>
      </c>
      <c r="AW925" s="7" t="str">
        <f>IF('RFQ-Input'!O924="","",'RFQ-Input'!O924)</f>
        <v/>
      </c>
      <c r="AX925" s="7" t="str">
        <f>IF('RFQ-Input'!S924="","",'RFQ-Input'!S924)</f>
        <v/>
      </c>
      <c r="AY925" s="7" t="str">
        <f>IF('RFQ-Input'!V924="","",'RFQ-Input'!V924)</f>
        <v/>
      </c>
      <c r="AZ925" s="7" t="str">
        <f>IF('RFQ-Input'!Y924="","",'RFQ-Input'!Y924)</f>
        <v/>
      </c>
      <c r="BA925" s="7" t="str">
        <f>IF('RFQ-Input'!AB924="","",'RFQ-Input'!AB924)</f>
        <v/>
      </c>
    </row>
    <row r="926" spans="1:53">
      <c r="A926" s="20">
        <v>922</v>
      </c>
      <c r="B926" s="7"/>
      <c r="C926" s="7" t="str">
        <f>IF('RFQ-Input'!C925="","",'RFQ-Input'!C925)</f>
        <v/>
      </c>
      <c r="D926" s="7" t="str">
        <f>IF('RFQ-Input'!D925="","",'RFQ-Input'!D925)</f>
        <v/>
      </c>
      <c r="E926" s="7" t="str">
        <f>IF('RFQ-Input'!E925="","",'RFQ-Input'!E925)</f>
        <v/>
      </c>
      <c r="F926" s="7" t="str">
        <f>IF('RFQ-Input'!F925="","",'RFQ-Input'!F925)</f>
        <v/>
      </c>
      <c r="G926" s="7" t="str">
        <f>IF('RFQ-Input'!G925="","",'RFQ-Input'!G925)</f>
        <v/>
      </c>
      <c r="H926" s="7" t="str">
        <f>IF('RFQ-Input'!H925="","",'RFQ-Input'!H925)</f>
        <v/>
      </c>
      <c r="I926" s="7" t="str">
        <f>IF('RFQ-Input'!I925="","",'RFQ-Input'!I925)</f>
        <v/>
      </c>
      <c r="J926" s="7" t="str">
        <f>IF('RFQ-Input'!J925="","",'RFQ-Input'!J925)</f>
        <v/>
      </c>
      <c r="K926" s="7" t="str">
        <f>IF('RFQ-Input'!K925="","",'RFQ-Input'!K925)</f>
        <v/>
      </c>
      <c r="L926" s="7" t="str">
        <f>IF('RFQ-Input'!L925="","",'RFQ-Input'!L925)</f>
        <v/>
      </c>
      <c r="M926" s="7" t="str">
        <f>IF('RFQ-Input'!M925="","",'RFQ-Input'!M925)</f>
        <v/>
      </c>
      <c r="N926" s="7" t="str">
        <f>IF('RFQ-Input'!N925="","",'RFQ-Input'!N925)</f>
        <v/>
      </c>
      <c r="O926" s="7" t="str">
        <f>IF('RFQ-Input'!O925="","",'RFQ-Input'!O925)</f>
        <v/>
      </c>
      <c r="Q926" s="7"/>
      <c r="R926" s="7"/>
      <c r="S926" s="7"/>
      <c r="T926" s="7"/>
      <c r="U926" s="7"/>
      <c r="V926" s="7"/>
      <c r="X926" s="7"/>
      <c r="Y926" s="7"/>
      <c r="Z926" s="7"/>
      <c r="AA926" s="7" t="str">
        <f t="shared" si="98"/>
        <v/>
      </c>
      <c r="AB926" s="7"/>
      <c r="AC926" s="7"/>
      <c r="AQ926" s="7" t="str">
        <f t="shared" si="99"/>
        <v/>
      </c>
      <c r="AR926" s="7" t="str">
        <f t="shared" si="100"/>
        <v/>
      </c>
      <c r="AS926" s="7" t="str">
        <f t="shared" si="101"/>
        <v/>
      </c>
      <c r="AT926" s="7" t="str">
        <f t="shared" si="102"/>
        <v/>
      </c>
      <c r="AU926" s="7" t="str">
        <f t="shared" si="103"/>
        <v/>
      </c>
      <c r="AV926" s="7" t="str">
        <f t="shared" si="104"/>
        <v/>
      </c>
      <c r="AW926" s="7" t="str">
        <f>IF('RFQ-Input'!O925="","",'RFQ-Input'!O925)</f>
        <v/>
      </c>
      <c r="AX926" s="7" t="str">
        <f>IF('RFQ-Input'!S925="","",'RFQ-Input'!S925)</f>
        <v/>
      </c>
      <c r="AY926" s="7" t="str">
        <f>IF('RFQ-Input'!V925="","",'RFQ-Input'!V925)</f>
        <v/>
      </c>
      <c r="AZ926" s="7" t="str">
        <f>IF('RFQ-Input'!Y925="","",'RFQ-Input'!Y925)</f>
        <v/>
      </c>
      <c r="BA926" s="7" t="str">
        <f>IF('RFQ-Input'!AB925="","",'RFQ-Input'!AB925)</f>
        <v/>
      </c>
    </row>
    <row r="927" spans="1:53">
      <c r="A927" s="20">
        <v>923</v>
      </c>
      <c r="B927" s="7"/>
      <c r="C927" s="7" t="str">
        <f>IF('RFQ-Input'!C926="","",'RFQ-Input'!C926)</f>
        <v/>
      </c>
      <c r="D927" s="7" t="str">
        <f>IF('RFQ-Input'!D926="","",'RFQ-Input'!D926)</f>
        <v/>
      </c>
      <c r="E927" s="7" t="str">
        <f>IF('RFQ-Input'!E926="","",'RFQ-Input'!E926)</f>
        <v/>
      </c>
      <c r="F927" s="7" t="str">
        <f>IF('RFQ-Input'!F926="","",'RFQ-Input'!F926)</f>
        <v/>
      </c>
      <c r="G927" s="7" t="str">
        <f>IF('RFQ-Input'!G926="","",'RFQ-Input'!G926)</f>
        <v/>
      </c>
      <c r="H927" s="7" t="str">
        <f>IF('RFQ-Input'!H926="","",'RFQ-Input'!H926)</f>
        <v/>
      </c>
      <c r="I927" s="7" t="str">
        <f>IF('RFQ-Input'!I926="","",'RFQ-Input'!I926)</f>
        <v/>
      </c>
      <c r="J927" s="7" t="str">
        <f>IF('RFQ-Input'!J926="","",'RFQ-Input'!J926)</f>
        <v/>
      </c>
      <c r="K927" s="7" t="str">
        <f>IF('RFQ-Input'!K926="","",'RFQ-Input'!K926)</f>
        <v/>
      </c>
      <c r="L927" s="7" t="str">
        <f>IF('RFQ-Input'!L926="","",'RFQ-Input'!L926)</f>
        <v/>
      </c>
      <c r="M927" s="7" t="str">
        <f>IF('RFQ-Input'!M926="","",'RFQ-Input'!M926)</f>
        <v/>
      </c>
      <c r="N927" s="7" t="str">
        <f>IF('RFQ-Input'!N926="","",'RFQ-Input'!N926)</f>
        <v/>
      </c>
      <c r="O927" s="7" t="str">
        <f>IF('RFQ-Input'!O926="","",'RFQ-Input'!O926)</f>
        <v/>
      </c>
      <c r="Q927" s="7"/>
      <c r="R927" s="7"/>
      <c r="S927" s="7"/>
      <c r="T927" s="7"/>
      <c r="U927" s="7"/>
      <c r="V927" s="7"/>
      <c r="X927" s="7"/>
      <c r="Y927" s="7"/>
      <c r="Z927" s="7"/>
      <c r="AA927" s="7" t="str">
        <f t="shared" si="98"/>
        <v/>
      </c>
      <c r="AB927" s="7"/>
      <c r="AC927" s="7"/>
      <c r="AQ927" s="7" t="str">
        <f t="shared" si="99"/>
        <v/>
      </c>
      <c r="AR927" s="7" t="str">
        <f t="shared" si="100"/>
        <v/>
      </c>
      <c r="AS927" s="7" t="str">
        <f t="shared" si="101"/>
        <v/>
      </c>
      <c r="AT927" s="7" t="str">
        <f t="shared" si="102"/>
        <v/>
      </c>
      <c r="AU927" s="7" t="str">
        <f t="shared" si="103"/>
        <v/>
      </c>
      <c r="AV927" s="7" t="str">
        <f t="shared" si="104"/>
        <v/>
      </c>
      <c r="AW927" s="7" t="str">
        <f>IF('RFQ-Input'!O926="","",'RFQ-Input'!O926)</f>
        <v/>
      </c>
      <c r="AX927" s="7" t="str">
        <f>IF('RFQ-Input'!S926="","",'RFQ-Input'!S926)</f>
        <v/>
      </c>
      <c r="AY927" s="7" t="str">
        <f>IF('RFQ-Input'!V926="","",'RFQ-Input'!V926)</f>
        <v/>
      </c>
      <c r="AZ927" s="7" t="str">
        <f>IF('RFQ-Input'!Y926="","",'RFQ-Input'!Y926)</f>
        <v/>
      </c>
      <c r="BA927" s="7" t="str">
        <f>IF('RFQ-Input'!AB926="","",'RFQ-Input'!AB926)</f>
        <v/>
      </c>
    </row>
    <row r="928" spans="1:53">
      <c r="A928" s="20">
        <v>924</v>
      </c>
      <c r="B928" s="7"/>
      <c r="C928" s="7" t="str">
        <f>IF('RFQ-Input'!C927="","",'RFQ-Input'!C927)</f>
        <v/>
      </c>
      <c r="D928" s="7" t="str">
        <f>IF('RFQ-Input'!D927="","",'RFQ-Input'!D927)</f>
        <v/>
      </c>
      <c r="E928" s="7" t="str">
        <f>IF('RFQ-Input'!E927="","",'RFQ-Input'!E927)</f>
        <v/>
      </c>
      <c r="F928" s="7" t="str">
        <f>IF('RFQ-Input'!F927="","",'RFQ-Input'!F927)</f>
        <v/>
      </c>
      <c r="G928" s="7" t="str">
        <f>IF('RFQ-Input'!G927="","",'RFQ-Input'!G927)</f>
        <v/>
      </c>
      <c r="H928" s="7" t="str">
        <f>IF('RFQ-Input'!H927="","",'RFQ-Input'!H927)</f>
        <v/>
      </c>
      <c r="I928" s="7" t="str">
        <f>IF('RFQ-Input'!I927="","",'RFQ-Input'!I927)</f>
        <v/>
      </c>
      <c r="J928" s="7" t="str">
        <f>IF('RFQ-Input'!J927="","",'RFQ-Input'!J927)</f>
        <v/>
      </c>
      <c r="K928" s="7" t="str">
        <f>IF('RFQ-Input'!K927="","",'RFQ-Input'!K927)</f>
        <v/>
      </c>
      <c r="L928" s="7" t="str">
        <f>IF('RFQ-Input'!L927="","",'RFQ-Input'!L927)</f>
        <v/>
      </c>
      <c r="M928" s="7" t="str">
        <f>IF('RFQ-Input'!M927="","",'RFQ-Input'!M927)</f>
        <v/>
      </c>
      <c r="N928" s="7" t="str">
        <f>IF('RFQ-Input'!N927="","",'RFQ-Input'!N927)</f>
        <v/>
      </c>
      <c r="O928" s="7" t="str">
        <f>IF('RFQ-Input'!O927="","",'RFQ-Input'!O927)</f>
        <v/>
      </c>
      <c r="Q928" s="7"/>
      <c r="R928" s="7"/>
      <c r="S928" s="7"/>
      <c r="T928" s="7"/>
      <c r="U928" s="7"/>
      <c r="V928" s="7"/>
      <c r="X928" s="7"/>
      <c r="Y928" s="7"/>
      <c r="Z928" s="7"/>
      <c r="AA928" s="7" t="str">
        <f t="shared" si="98"/>
        <v/>
      </c>
      <c r="AB928" s="7"/>
      <c r="AC928" s="7"/>
      <c r="AQ928" s="7" t="str">
        <f t="shared" si="99"/>
        <v/>
      </c>
      <c r="AR928" s="7" t="str">
        <f t="shared" si="100"/>
        <v/>
      </c>
      <c r="AS928" s="7" t="str">
        <f t="shared" si="101"/>
        <v/>
      </c>
      <c r="AT928" s="7" t="str">
        <f t="shared" si="102"/>
        <v/>
      </c>
      <c r="AU928" s="7" t="str">
        <f t="shared" si="103"/>
        <v/>
      </c>
      <c r="AV928" s="7" t="str">
        <f t="shared" si="104"/>
        <v/>
      </c>
      <c r="AW928" s="7" t="str">
        <f>IF('RFQ-Input'!O927="","",'RFQ-Input'!O927)</f>
        <v/>
      </c>
      <c r="AX928" s="7" t="str">
        <f>IF('RFQ-Input'!S927="","",'RFQ-Input'!S927)</f>
        <v/>
      </c>
      <c r="AY928" s="7" t="str">
        <f>IF('RFQ-Input'!V927="","",'RFQ-Input'!V927)</f>
        <v/>
      </c>
      <c r="AZ928" s="7" t="str">
        <f>IF('RFQ-Input'!Y927="","",'RFQ-Input'!Y927)</f>
        <v/>
      </c>
      <c r="BA928" s="7" t="str">
        <f>IF('RFQ-Input'!AB927="","",'RFQ-Input'!AB927)</f>
        <v/>
      </c>
    </row>
    <row r="929" spans="1:53">
      <c r="A929" s="20">
        <v>925</v>
      </c>
      <c r="B929" s="7"/>
      <c r="C929" s="7" t="str">
        <f>IF('RFQ-Input'!C928="","",'RFQ-Input'!C928)</f>
        <v/>
      </c>
      <c r="D929" s="7" t="str">
        <f>IF('RFQ-Input'!D928="","",'RFQ-Input'!D928)</f>
        <v/>
      </c>
      <c r="E929" s="7" t="str">
        <f>IF('RFQ-Input'!E928="","",'RFQ-Input'!E928)</f>
        <v/>
      </c>
      <c r="F929" s="7" t="str">
        <f>IF('RFQ-Input'!F928="","",'RFQ-Input'!F928)</f>
        <v/>
      </c>
      <c r="G929" s="7" t="str">
        <f>IF('RFQ-Input'!G928="","",'RFQ-Input'!G928)</f>
        <v/>
      </c>
      <c r="H929" s="7" t="str">
        <f>IF('RFQ-Input'!H928="","",'RFQ-Input'!H928)</f>
        <v/>
      </c>
      <c r="I929" s="7" t="str">
        <f>IF('RFQ-Input'!I928="","",'RFQ-Input'!I928)</f>
        <v/>
      </c>
      <c r="J929" s="7" t="str">
        <f>IF('RFQ-Input'!J928="","",'RFQ-Input'!J928)</f>
        <v/>
      </c>
      <c r="K929" s="7" t="str">
        <f>IF('RFQ-Input'!K928="","",'RFQ-Input'!K928)</f>
        <v/>
      </c>
      <c r="L929" s="7" t="str">
        <f>IF('RFQ-Input'!L928="","",'RFQ-Input'!L928)</f>
        <v/>
      </c>
      <c r="M929" s="7" t="str">
        <f>IF('RFQ-Input'!M928="","",'RFQ-Input'!M928)</f>
        <v/>
      </c>
      <c r="N929" s="7" t="str">
        <f>IF('RFQ-Input'!N928="","",'RFQ-Input'!N928)</f>
        <v/>
      </c>
      <c r="O929" s="7" t="str">
        <f>IF('RFQ-Input'!O928="","",'RFQ-Input'!O928)</f>
        <v/>
      </c>
      <c r="Q929" s="7"/>
      <c r="R929" s="7"/>
      <c r="S929" s="7"/>
      <c r="T929" s="7"/>
      <c r="U929" s="7"/>
      <c r="V929" s="7"/>
      <c r="X929" s="7"/>
      <c r="Y929" s="7"/>
      <c r="Z929" s="7"/>
      <c r="AA929" s="7" t="str">
        <f t="shared" si="98"/>
        <v/>
      </c>
      <c r="AB929" s="7"/>
      <c r="AC929" s="7"/>
      <c r="AQ929" s="7" t="str">
        <f t="shared" si="99"/>
        <v/>
      </c>
      <c r="AR929" s="7" t="str">
        <f t="shared" si="100"/>
        <v/>
      </c>
      <c r="AS929" s="7" t="str">
        <f t="shared" si="101"/>
        <v/>
      </c>
      <c r="AT929" s="7" t="str">
        <f t="shared" si="102"/>
        <v/>
      </c>
      <c r="AU929" s="7" t="str">
        <f t="shared" si="103"/>
        <v/>
      </c>
      <c r="AV929" s="7" t="str">
        <f t="shared" si="104"/>
        <v/>
      </c>
      <c r="AW929" s="7" t="str">
        <f>IF('RFQ-Input'!O928="","",'RFQ-Input'!O928)</f>
        <v/>
      </c>
      <c r="AX929" s="7" t="str">
        <f>IF('RFQ-Input'!S928="","",'RFQ-Input'!S928)</f>
        <v/>
      </c>
      <c r="AY929" s="7" t="str">
        <f>IF('RFQ-Input'!V928="","",'RFQ-Input'!V928)</f>
        <v/>
      </c>
      <c r="AZ929" s="7" t="str">
        <f>IF('RFQ-Input'!Y928="","",'RFQ-Input'!Y928)</f>
        <v/>
      </c>
      <c r="BA929" s="7" t="str">
        <f>IF('RFQ-Input'!AB928="","",'RFQ-Input'!AB928)</f>
        <v/>
      </c>
    </row>
    <row r="930" spans="1:53">
      <c r="A930" s="20">
        <v>926</v>
      </c>
      <c r="B930" s="7"/>
      <c r="C930" s="7" t="str">
        <f>IF('RFQ-Input'!C929="","",'RFQ-Input'!C929)</f>
        <v/>
      </c>
      <c r="D930" s="7" t="str">
        <f>IF('RFQ-Input'!D929="","",'RFQ-Input'!D929)</f>
        <v/>
      </c>
      <c r="E930" s="7" t="str">
        <f>IF('RFQ-Input'!E929="","",'RFQ-Input'!E929)</f>
        <v/>
      </c>
      <c r="F930" s="7" t="str">
        <f>IF('RFQ-Input'!F929="","",'RFQ-Input'!F929)</f>
        <v/>
      </c>
      <c r="G930" s="7" t="str">
        <f>IF('RFQ-Input'!G929="","",'RFQ-Input'!G929)</f>
        <v/>
      </c>
      <c r="H930" s="7" t="str">
        <f>IF('RFQ-Input'!H929="","",'RFQ-Input'!H929)</f>
        <v/>
      </c>
      <c r="I930" s="7" t="str">
        <f>IF('RFQ-Input'!I929="","",'RFQ-Input'!I929)</f>
        <v/>
      </c>
      <c r="J930" s="7" t="str">
        <f>IF('RFQ-Input'!J929="","",'RFQ-Input'!J929)</f>
        <v/>
      </c>
      <c r="K930" s="7" t="str">
        <f>IF('RFQ-Input'!K929="","",'RFQ-Input'!K929)</f>
        <v/>
      </c>
      <c r="L930" s="7" t="str">
        <f>IF('RFQ-Input'!L929="","",'RFQ-Input'!L929)</f>
        <v/>
      </c>
      <c r="M930" s="7" t="str">
        <f>IF('RFQ-Input'!M929="","",'RFQ-Input'!M929)</f>
        <v/>
      </c>
      <c r="N930" s="7" t="str">
        <f>IF('RFQ-Input'!N929="","",'RFQ-Input'!N929)</f>
        <v/>
      </c>
      <c r="O930" s="7" t="str">
        <f>IF('RFQ-Input'!O929="","",'RFQ-Input'!O929)</f>
        <v/>
      </c>
      <c r="Q930" s="7"/>
      <c r="R930" s="7"/>
      <c r="S930" s="7"/>
      <c r="T930" s="7"/>
      <c r="U930" s="7"/>
      <c r="V930" s="7"/>
      <c r="X930" s="7"/>
      <c r="Y930" s="7"/>
      <c r="Z930" s="7"/>
      <c r="AA930" s="7" t="str">
        <f t="shared" si="98"/>
        <v/>
      </c>
      <c r="AB930" s="7"/>
      <c r="AC930" s="7"/>
      <c r="AQ930" s="7" t="str">
        <f t="shared" si="99"/>
        <v/>
      </c>
      <c r="AR930" s="7" t="str">
        <f t="shared" si="100"/>
        <v/>
      </c>
      <c r="AS930" s="7" t="str">
        <f t="shared" si="101"/>
        <v/>
      </c>
      <c r="AT930" s="7" t="str">
        <f t="shared" si="102"/>
        <v/>
      </c>
      <c r="AU930" s="7" t="str">
        <f t="shared" si="103"/>
        <v/>
      </c>
      <c r="AV930" s="7" t="str">
        <f t="shared" si="104"/>
        <v/>
      </c>
      <c r="AW930" s="7" t="str">
        <f>IF('RFQ-Input'!O929="","",'RFQ-Input'!O929)</f>
        <v/>
      </c>
      <c r="AX930" s="7" t="str">
        <f>IF('RFQ-Input'!S929="","",'RFQ-Input'!S929)</f>
        <v/>
      </c>
      <c r="AY930" s="7" t="str">
        <f>IF('RFQ-Input'!V929="","",'RFQ-Input'!V929)</f>
        <v/>
      </c>
      <c r="AZ930" s="7" t="str">
        <f>IF('RFQ-Input'!Y929="","",'RFQ-Input'!Y929)</f>
        <v/>
      </c>
      <c r="BA930" s="7" t="str">
        <f>IF('RFQ-Input'!AB929="","",'RFQ-Input'!AB929)</f>
        <v/>
      </c>
    </row>
    <row r="931" spans="1:53">
      <c r="A931" s="20">
        <v>927</v>
      </c>
      <c r="B931" s="7"/>
      <c r="C931" s="7" t="str">
        <f>IF('RFQ-Input'!C930="","",'RFQ-Input'!C930)</f>
        <v/>
      </c>
      <c r="D931" s="7" t="str">
        <f>IF('RFQ-Input'!D930="","",'RFQ-Input'!D930)</f>
        <v/>
      </c>
      <c r="E931" s="7" t="str">
        <f>IF('RFQ-Input'!E930="","",'RFQ-Input'!E930)</f>
        <v/>
      </c>
      <c r="F931" s="7" t="str">
        <f>IF('RFQ-Input'!F930="","",'RFQ-Input'!F930)</f>
        <v/>
      </c>
      <c r="G931" s="7" t="str">
        <f>IF('RFQ-Input'!G930="","",'RFQ-Input'!G930)</f>
        <v/>
      </c>
      <c r="H931" s="7" t="str">
        <f>IF('RFQ-Input'!H930="","",'RFQ-Input'!H930)</f>
        <v/>
      </c>
      <c r="I931" s="7" t="str">
        <f>IF('RFQ-Input'!I930="","",'RFQ-Input'!I930)</f>
        <v/>
      </c>
      <c r="J931" s="7" t="str">
        <f>IF('RFQ-Input'!J930="","",'RFQ-Input'!J930)</f>
        <v/>
      </c>
      <c r="K931" s="7" t="str">
        <f>IF('RFQ-Input'!K930="","",'RFQ-Input'!K930)</f>
        <v/>
      </c>
      <c r="L931" s="7" t="str">
        <f>IF('RFQ-Input'!L930="","",'RFQ-Input'!L930)</f>
        <v/>
      </c>
      <c r="M931" s="7" t="str">
        <f>IF('RFQ-Input'!M930="","",'RFQ-Input'!M930)</f>
        <v/>
      </c>
      <c r="N931" s="7" t="str">
        <f>IF('RFQ-Input'!N930="","",'RFQ-Input'!N930)</f>
        <v/>
      </c>
      <c r="O931" s="7" t="str">
        <f>IF('RFQ-Input'!O930="","",'RFQ-Input'!O930)</f>
        <v/>
      </c>
      <c r="Q931" s="7"/>
      <c r="R931" s="7"/>
      <c r="S931" s="7"/>
      <c r="T931" s="7"/>
      <c r="U931" s="7"/>
      <c r="V931" s="7"/>
      <c r="X931" s="7"/>
      <c r="Y931" s="7"/>
      <c r="Z931" s="7"/>
      <c r="AA931" s="7" t="str">
        <f t="shared" si="98"/>
        <v/>
      </c>
      <c r="AB931" s="7"/>
      <c r="AC931" s="7"/>
      <c r="AQ931" s="7" t="str">
        <f t="shared" si="99"/>
        <v/>
      </c>
      <c r="AR931" s="7" t="str">
        <f t="shared" si="100"/>
        <v/>
      </c>
      <c r="AS931" s="7" t="str">
        <f t="shared" si="101"/>
        <v/>
      </c>
      <c r="AT931" s="7" t="str">
        <f t="shared" si="102"/>
        <v/>
      </c>
      <c r="AU931" s="7" t="str">
        <f t="shared" si="103"/>
        <v/>
      </c>
      <c r="AV931" s="7" t="str">
        <f t="shared" si="104"/>
        <v/>
      </c>
      <c r="AW931" s="7" t="str">
        <f>IF('RFQ-Input'!O930="","",'RFQ-Input'!O930)</f>
        <v/>
      </c>
      <c r="AX931" s="7" t="str">
        <f>IF('RFQ-Input'!S930="","",'RFQ-Input'!S930)</f>
        <v/>
      </c>
      <c r="AY931" s="7" t="str">
        <f>IF('RFQ-Input'!V930="","",'RFQ-Input'!V930)</f>
        <v/>
      </c>
      <c r="AZ931" s="7" t="str">
        <f>IF('RFQ-Input'!Y930="","",'RFQ-Input'!Y930)</f>
        <v/>
      </c>
      <c r="BA931" s="7" t="str">
        <f>IF('RFQ-Input'!AB930="","",'RFQ-Input'!AB930)</f>
        <v/>
      </c>
    </row>
    <row r="932" spans="1:53">
      <c r="A932" s="20">
        <v>928</v>
      </c>
      <c r="B932" s="7"/>
      <c r="C932" s="7" t="str">
        <f>IF('RFQ-Input'!C931="","",'RFQ-Input'!C931)</f>
        <v/>
      </c>
      <c r="D932" s="7" t="str">
        <f>IF('RFQ-Input'!D931="","",'RFQ-Input'!D931)</f>
        <v/>
      </c>
      <c r="E932" s="7" t="str">
        <f>IF('RFQ-Input'!E931="","",'RFQ-Input'!E931)</f>
        <v/>
      </c>
      <c r="F932" s="7" t="str">
        <f>IF('RFQ-Input'!F931="","",'RFQ-Input'!F931)</f>
        <v/>
      </c>
      <c r="G932" s="7" t="str">
        <f>IF('RFQ-Input'!G931="","",'RFQ-Input'!G931)</f>
        <v/>
      </c>
      <c r="H932" s="7" t="str">
        <f>IF('RFQ-Input'!H931="","",'RFQ-Input'!H931)</f>
        <v/>
      </c>
      <c r="I932" s="7" t="str">
        <f>IF('RFQ-Input'!I931="","",'RFQ-Input'!I931)</f>
        <v/>
      </c>
      <c r="J932" s="7" t="str">
        <f>IF('RFQ-Input'!J931="","",'RFQ-Input'!J931)</f>
        <v/>
      </c>
      <c r="K932" s="7" t="str">
        <f>IF('RFQ-Input'!K931="","",'RFQ-Input'!K931)</f>
        <v/>
      </c>
      <c r="L932" s="7" t="str">
        <f>IF('RFQ-Input'!L931="","",'RFQ-Input'!L931)</f>
        <v/>
      </c>
      <c r="M932" s="7" t="str">
        <f>IF('RFQ-Input'!M931="","",'RFQ-Input'!M931)</f>
        <v/>
      </c>
      <c r="N932" s="7" t="str">
        <f>IF('RFQ-Input'!N931="","",'RFQ-Input'!N931)</f>
        <v/>
      </c>
      <c r="O932" s="7" t="str">
        <f>IF('RFQ-Input'!O931="","",'RFQ-Input'!O931)</f>
        <v/>
      </c>
      <c r="Q932" s="7"/>
      <c r="R932" s="7"/>
      <c r="S932" s="7"/>
      <c r="T932" s="7"/>
      <c r="U932" s="7"/>
      <c r="V932" s="7"/>
      <c r="X932" s="7"/>
      <c r="Y932" s="7"/>
      <c r="Z932" s="7"/>
      <c r="AA932" s="7" t="str">
        <f t="shared" si="98"/>
        <v/>
      </c>
      <c r="AB932" s="7"/>
      <c r="AC932" s="7"/>
      <c r="AQ932" s="7" t="str">
        <f t="shared" si="99"/>
        <v/>
      </c>
      <c r="AR932" s="7" t="str">
        <f t="shared" si="100"/>
        <v/>
      </c>
      <c r="AS932" s="7" t="str">
        <f t="shared" si="101"/>
        <v/>
      </c>
      <c r="AT932" s="7" t="str">
        <f t="shared" si="102"/>
        <v/>
      </c>
      <c r="AU932" s="7" t="str">
        <f t="shared" si="103"/>
        <v/>
      </c>
      <c r="AV932" s="7" t="str">
        <f t="shared" si="104"/>
        <v/>
      </c>
      <c r="AW932" s="7" t="str">
        <f>IF('RFQ-Input'!O931="","",'RFQ-Input'!O931)</f>
        <v/>
      </c>
      <c r="AX932" s="7" t="str">
        <f>IF('RFQ-Input'!S931="","",'RFQ-Input'!S931)</f>
        <v/>
      </c>
      <c r="AY932" s="7" t="str">
        <f>IF('RFQ-Input'!V931="","",'RFQ-Input'!V931)</f>
        <v/>
      </c>
      <c r="AZ932" s="7" t="str">
        <f>IF('RFQ-Input'!Y931="","",'RFQ-Input'!Y931)</f>
        <v/>
      </c>
      <c r="BA932" s="7" t="str">
        <f>IF('RFQ-Input'!AB931="","",'RFQ-Input'!AB931)</f>
        <v/>
      </c>
    </row>
    <row r="933" spans="1:53">
      <c r="A933" s="20">
        <v>929</v>
      </c>
      <c r="B933" s="7"/>
      <c r="C933" s="7" t="str">
        <f>IF('RFQ-Input'!C932="","",'RFQ-Input'!C932)</f>
        <v/>
      </c>
      <c r="D933" s="7" t="str">
        <f>IF('RFQ-Input'!D932="","",'RFQ-Input'!D932)</f>
        <v/>
      </c>
      <c r="E933" s="7" t="str">
        <f>IF('RFQ-Input'!E932="","",'RFQ-Input'!E932)</f>
        <v/>
      </c>
      <c r="F933" s="7" t="str">
        <f>IF('RFQ-Input'!F932="","",'RFQ-Input'!F932)</f>
        <v/>
      </c>
      <c r="G933" s="7" t="str">
        <f>IF('RFQ-Input'!G932="","",'RFQ-Input'!G932)</f>
        <v/>
      </c>
      <c r="H933" s="7" t="str">
        <f>IF('RFQ-Input'!H932="","",'RFQ-Input'!H932)</f>
        <v/>
      </c>
      <c r="I933" s="7" t="str">
        <f>IF('RFQ-Input'!I932="","",'RFQ-Input'!I932)</f>
        <v/>
      </c>
      <c r="J933" s="7" t="str">
        <f>IF('RFQ-Input'!J932="","",'RFQ-Input'!J932)</f>
        <v/>
      </c>
      <c r="K933" s="7" t="str">
        <f>IF('RFQ-Input'!K932="","",'RFQ-Input'!K932)</f>
        <v/>
      </c>
      <c r="L933" s="7" t="str">
        <f>IF('RFQ-Input'!L932="","",'RFQ-Input'!L932)</f>
        <v/>
      </c>
      <c r="M933" s="7" t="str">
        <f>IF('RFQ-Input'!M932="","",'RFQ-Input'!M932)</f>
        <v/>
      </c>
      <c r="N933" s="7" t="str">
        <f>IF('RFQ-Input'!N932="","",'RFQ-Input'!N932)</f>
        <v/>
      </c>
      <c r="O933" s="7" t="str">
        <f>IF('RFQ-Input'!O932="","",'RFQ-Input'!O932)</f>
        <v/>
      </c>
      <c r="Q933" s="7"/>
      <c r="R933" s="7"/>
      <c r="S933" s="7"/>
      <c r="T933" s="7"/>
      <c r="U933" s="7"/>
      <c r="V933" s="7"/>
      <c r="X933" s="7"/>
      <c r="Y933" s="7"/>
      <c r="Z933" s="7"/>
      <c r="AA933" s="7" t="str">
        <f t="shared" si="98"/>
        <v/>
      </c>
      <c r="AB933" s="7"/>
      <c r="AC933" s="7"/>
      <c r="AQ933" s="7" t="str">
        <f t="shared" si="99"/>
        <v/>
      </c>
      <c r="AR933" s="7" t="str">
        <f t="shared" si="100"/>
        <v/>
      </c>
      <c r="AS933" s="7" t="str">
        <f t="shared" si="101"/>
        <v/>
      </c>
      <c r="AT933" s="7" t="str">
        <f t="shared" si="102"/>
        <v/>
      </c>
      <c r="AU933" s="7" t="str">
        <f t="shared" si="103"/>
        <v/>
      </c>
      <c r="AV933" s="7" t="str">
        <f t="shared" si="104"/>
        <v/>
      </c>
      <c r="AW933" s="7" t="str">
        <f>IF('RFQ-Input'!O932="","",'RFQ-Input'!O932)</f>
        <v/>
      </c>
      <c r="AX933" s="7" t="str">
        <f>IF('RFQ-Input'!S932="","",'RFQ-Input'!S932)</f>
        <v/>
      </c>
      <c r="AY933" s="7" t="str">
        <f>IF('RFQ-Input'!V932="","",'RFQ-Input'!V932)</f>
        <v/>
      </c>
      <c r="AZ933" s="7" t="str">
        <f>IF('RFQ-Input'!Y932="","",'RFQ-Input'!Y932)</f>
        <v/>
      </c>
      <c r="BA933" s="7" t="str">
        <f>IF('RFQ-Input'!AB932="","",'RFQ-Input'!AB932)</f>
        <v/>
      </c>
    </row>
    <row r="934" spans="1:53">
      <c r="A934" s="20">
        <v>930</v>
      </c>
      <c r="B934" s="7"/>
      <c r="C934" s="7" t="str">
        <f>IF('RFQ-Input'!C933="","",'RFQ-Input'!C933)</f>
        <v/>
      </c>
      <c r="D934" s="7" t="str">
        <f>IF('RFQ-Input'!D933="","",'RFQ-Input'!D933)</f>
        <v/>
      </c>
      <c r="E934" s="7" t="str">
        <f>IF('RFQ-Input'!E933="","",'RFQ-Input'!E933)</f>
        <v/>
      </c>
      <c r="F934" s="7" t="str">
        <f>IF('RFQ-Input'!F933="","",'RFQ-Input'!F933)</f>
        <v/>
      </c>
      <c r="G934" s="7" t="str">
        <f>IF('RFQ-Input'!G933="","",'RFQ-Input'!G933)</f>
        <v/>
      </c>
      <c r="H934" s="7" t="str">
        <f>IF('RFQ-Input'!H933="","",'RFQ-Input'!H933)</f>
        <v/>
      </c>
      <c r="I934" s="7" t="str">
        <f>IF('RFQ-Input'!I933="","",'RFQ-Input'!I933)</f>
        <v/>
      </c>
      <c r="J934" s="7" t="str">
        <f>IF('RFQ-Input'!J933="","",'RFQ-Input'!J933)</f>
        <v/>
      </c>
      <c r="K934" s="7" t="str">
        <f>IF('RFQ-Input'!K933="","",'RFQ-Input'!K933)</f>
        <v/>
      </c>
      <c r="L934" s="7" t="str">
        <f>IF('RFQ-Input'!L933="","",'RFQ-Input'!L933)</f>
        <v/>
      </c>
      <c r="M934" s="7" t="str">
        <f>IF('RFQ-Input'!M933="","",'RFQ-Input'!M933)</f>
        <v/>
      </c>
      <c r="N934" s="7" t="str">
        <f>IF('RFQ-Input'!N933="","",'RFQ-Input'!N933)</f>
        <v/>
      </c>
      <c r="O934" s="7" t="str">
        <f>IF('RFQ-Input'!O933="","",'RFQ-Input'!O933)</f>
        <v/>
      </c>
      <c r="Q934" s="7"/>
      <c r="R934" s="7"/>
      <c r="S934" s="7"/>
      <c r="T934" s="7"/>
      <c r="U934" s="7"/>
      <c r="V934" s="7"/>
      <c r="X934" s="7"/>
      <c r="Y934" s="7"/>
      <c r="Z934" s="7"/>
      <c r="AA934" s="7" t="str">
        <f t="shared" si="98"/>
        <v/>
      </c>
      <c r="AB934" s="7"/>
      <c r="AC934" s="7"/>
      <c r="AQ934" s="7" t="str">
        <f t="shared" si="99"/>
        <v/>
      </c>
      <c r="AR934" s="7" t="str">
        <f t="shared" si="100"/>
        <v/>
      </c>
      <c r="AS934" s="7" t="str">
        <f t="shared" si="101"/>
        <v/>
      </c>
      <c r="AT934" s="7" t="str">
        <f t="shared" si="102"/>
        <v/>
      </c>
      <c r="AU934" s="7" t="str">
        <f t="shared" si="103"/>
        <v/>
      </c>
      <c r="AV934" s="7" t="str">
        <f t="shared" si="104"/>
        <v/>
      </c>
      <c r="AW934" s="7" t="str">
        <f>IF('RFQ-Input'!O933="","",'RFQ-Input'!O933)</f>
        <v/>
      </c>
      <c r="AX934" s="7" t="str">
        <f>IF('RFQ-Input'!S933="","",'RFQ-Input'!S933)</f>
        <v/>
      </c>
      <c r="AY934" s="7" t="str">
        <f>IF('RFQ-Input'!V933="","",'RFQ-Input'!V933)</f>
        <v/>
      </c>
      <c r="AZ934" s="7" t="str">
        <f>IF('RFQ-Input'!Y933="","",'RFQ-Input'!Y933)</f>
        <v/>
      </c>
      <c r="BA934" s="7" t="str">
        <f>IF('RFQ-Input'!AB933="","",'RFQ-Input'!AB933)</f>
        <v/>
      </c>
    </row>
    <row r="935" spans="1:53">
      <c r="A935" s="20">
        <v>931</v>
      </c>
      <c r="B935" s="7"/>
      <c r="C935" s="7" t="str">
        <f>IF('RFQ-Input'!C934="","",'RFQ-Input'!C934)</f>
        <v/>
      </c>
      <c r="D935" s="7" t="str">
        <f>IF('RFQ-Input'!D934="","",'RFQ-Input'!D934)</f>
        <v/>
      </c>
      <c r="E935" s="7" t="str">
        <f>IF('RFQ-Input'!E934="","",'RFQ-Input'!E934)</f>
        <v/>
      </c>
      <c r="F935" s="7" t="str">
        <f>IF('RFQ-Input'!F934="","",'RFQ-Input'!F934)</f>
        <v/>
      </c>
      <c r="G935" s="7" t="str">
        <f>IF('RFQ-Input'!G934="","",'RFQ-Input'!G934)</f>
        <v/>
      </c>
      <c r="H935" s="7" t="str">
        <f>IF('RFQ-Input'!H934="","",'RFQ-Input'!H934)</f>
        <v/>
      </c>
      <c r="I935" s="7" t="str">
        <f>IF('RFQ-Input'!I934="","",'RFQ-Input'!I934)</f>
        <v/>
      </c>
      <c r="J935" s="7" t="str">
        <f>IF('RFQ-Input'!J934="","",'RFQ-Input'!J934)</f>
        <v/>
      </c>
      <c r="K935" s="7" t="str">
        <f>IF('RFQ-Input'!K934="","",'RFQ-Input'!K934)</f>
        <v/>
      </c>
      <c r="L935" s="7" t="str">
        <f>IF('RFQ-Input'!L934="","",'RFQ-Input'!L934)</f>
        <v/>
      </c>
      <c r="M935" s="7" t="str">
        <f>IF('RFQ-Input'!M934="","",'RFQ-Input'!M934)</f>
        <v/>
      </c>
      <c r="N935" s="7" t="str">
        <f>IF('RFQ-Input'!N934="","",'RFQ-Input'!N934)</f>
        <v/>
      </c>
      <c r="O935" s="7" t="str">
        <f>IF('RFQ-Input'!O934="","",'RFQ-Input'!O934)</f>
        <v/>
      </c>
      <c r="Q935" s="7"/>
      <c r="R935" s="7"/>
      <c r="S935" s="7"/>
      <c r="T935" s="7"/>
      <c r="U935" s="7"/>
      <c r="V935" s="7"/>
      <c r="X935" s="7"/>
      <c r="Y935" s="7"/>
      <c r="Z935" s="7"/>
      <c r="AA935" s="7" t="str">
        <f t="shared" si="98"/>
        <v/>
      </c>
      <c r="AB935" s="7"/>
      <c r="AC935" s="7"/>
      <c r="AQ935" s="7" t="str">
        <f t="shared" si="99"/>
        <v/>
      </c>
      <c r="AR935" s="7" t="str">
        <f t="shared" si="100"/>
        <v/>
      </c>
      <c r="AS935" s="7" t="str">
        <f t="shared" si="101"/>
        <v/>
      </c>
      <c r="AT935" s="7" t="str">
        <f t="shared" si="102"/>
        <v/>
      </c>
      <c r="AU935" s="7" t="str">
        <f t="shared" si="103"/>
        <v/>
      </c>
      <c r="AV935" s="7" t="str">
        <f t="shared" si="104"/>
        <v/>
      </c>
      <c r="AW935" s="7" t="str">
        <f>IF('RFQ-Input'!O934="","",'RFQ-Input'!O934)</f>
        <v/>
      </c>
      <c r="AX935" s="7" t="str">
        <f>IF('RFQ-Input'!S934="","",'RFQ-Input'!S934)</f>
        <v/>
      </c>
      <c r="AY935" s="7" t="str">
        <f>IF('RFQ-Input'!V934="","",'RFQ-Input'!V934)</f>
        <v/>
      </c>
      <c r="AZ935" s="7" t="str">
        <f>IF('RFQ-Input'!Y934="","",'RFQ-Input'!Y934)</f>
        <v/>
      </c>
      <c r="BA935" s="7" t="str">
        <f>IF('RFQ-Input'!AB934="","",'RFQ-Input'!AB934)</f>
        <v/>
      </c>
    </row>
    <row r="936" spans="1:53">
      <c r="A936" s="20">
        <v>932</v>
      </c>
      <c r="B936" s="7"/>
      <c r="C936" s="7" t="str">
        <f>IF('RFQ-Input'!C935="","",'RFQ-Input'!C935)</f>
        <v/>
      </c>
      <c r="D936" s="7" t="str">
        <f>IF('RFQ-Input'!D935="","",'RFQ-Input'!D935)</f>
        <v/>
      </c>
      <c r="E936" s="7" t="str">
        <f>IF('RFQ-Input'!E935="","",'RFQ-Input'!E935)</f>
        <v/>
      </c>
      <c r="F936" s="7" t="str">
        <f>IF('RFQ-Input'!F935="","",'RFQ-Input'!F935)</f>
        <v/>
      </c>
      <c r="G936" s="7" t="str">
        <f>IF('RFQ-Input'!G935="","",'RFQ-Input'!G935)</f>
        <v/>
      </c>
      <c r="H936" s="7" t="str">
        <f>IF('RFQ-Input'!H935="","",'RFQ-Input'!H935)</f>
        <v/>
      </c>
      <c r="I936" s="7" t="str">
        <f>IF('RFQ-Input'!I935="","",'RFQ-Input'!I935)</f>
        <v/>
      </c>
      <c r="J936" s="7" t="str">
        <f>IF('RFQ-Input'!J935="","",'RFQ-Input'!J935)</f>
        <v/>
      </c>
      <c r="K936" s="7" t="str">
        <f>IF('RFQ-Input'!K935="","",'RFQ-Input'!K935)</f>
        <v/>
      </c>
      <c r="L936" s="7" t="str">
        <f>IF('RFQ-Input'!L935="","",'RFQ-Input'!L935)</f>
        <v/>
      </c>
      <c r="M936" s="7" t="str">
        <f>IF('RFQ-Input'!M935="","",'RFQ-Input'!M935)</f>
        <v/>
      </c>
      <c r="N936" s="7" t="str">
        <f>IF('RFQ-Input'!N935="","",'RFQ-Input'!N935)</f>
        <v/>
      </c>
      <c r="O936" s="7" t="str">
        <f>IF('RFQ-Input'!O935="","",'RFQ-Input'!O935)</f>
        <v/>
      </c>
      <c r="Q936" s="7"/>
      <c r="R936" s="7"/>
      <c r="S936" s="7"/>
      <c r="T936" s="7"/>
      <c r="U936" s="7"/>
      <c r="V936" s="7"/>
      <c r="X936" s="7"/>
      <c r="Y936" s="7"/>
      <c r="Z936" s="7"/>
      <c r="AA936" s="7" t="str">
        <f t="shared" si="98"/>
        <v/>
      </c>
      <c r="AB936" s="7"/>
      <c r="AC936" s="7"/>
      <c r="AQ936" s="7" t="str">
        <f t="shared" si="99"/>
        <v/>
      </c>
      <c r="AR936" s="7" t="str">
        <f t="shared" si="100"/>
        <v/>
      </c>
      <c r="AS936" s="7" t="str">
        <f t="shared" si="101"/>
        <v/>
      </c>
      <c r="AT936" s="7" t="str">
        <f t="shared" si="102"/>
        <v/>
      </c>
      <c r="AU936" s="7" t="str">
        <f t="shared" si="103"/>
        <v/>
      </c>
      <c r="AV936" s="7" t="str">
        <f t="shared" si="104"/>
        <v/>
      </c>
      <c r="AW936" s="7" t="str">
        <f>IF('RFQ-Input'!O935="","",'RFQ-Input'!O935)</f>
        <v/>
      </c>
      <c r="AX936" s="7" t="str">
        <f>IF('RFQ-Input'!S935="","",'RFQ-Input'!S935)</f>
        <v/>
      </c>
      <c r="AY936" s="7" t="str">
        <f>IF('RFQ-Input'!V935="","",'RFQ-Input'!V935)</f>
        <v/>
      </c>
      <c r="AZ936" s="7" t="str">
        <f>IF('RFQ-Input'!Y935="","",'RFQ-Input'!Y935)</f>
        <v/>
      </c>
      <c r="BA936" s="7" t="str">
        <f>IF('RFQ-Input'!AB935="","",'RFQ-Input'!AB935)</f>
        <v/>
      </c>
    </row>
    <row r="937" spans="1:53">
      <c r="A937" s="20">
        <v>933</v>
      </c>
      <c r="B937" s="7"/>
      <c r="C937" s="7" t="str">
        <f>IF('RFQ-Input'!C936="","",'RFQ-Input'!C936)</f>
        <v/>
      </c>
      <c r="D937" s="7" t="str">
        <f>IF('RFQ-Input'!D936="","",'RFQ-Input'!D936)</f>
        <v/>
      </c>
      <c r="E937" s="7" t="str">
        <f>IF('RFQ-Input'!E936="","",'RFQ-Input'!E936)</f>
        <v/>
      </c>
      <c r="F937" s="7" t="str">
        <f>IF('RFQ-Input'!F936="","",'RFQ-Input'!F936)</f>
        <v/>
      </c>
      <c r="G937" s="7" t="str">
        <f>IF('RFQ-Input'!G936="","",'RFQ-Input'!G936)</f>
        <v/>
      </c>
      <c r="H937" s="7" t="str">
        <f>IF('RFQ-Input'!H936="","",'RFQ-Input'!H936)</f>
        <v/>
      </c>
      <c r="I937" s="7" t="str">
        <f>IF('RFQ-Input'!I936="","",'RFQ-Input'!I936)</f>
        <v/>
      </c>
      <c r="J937" s="7" t="str">
        <f>IF('RFQ-Input'!J936="","",'RFQ-Input'!J936)</f>
        <v/>
      </c>
      <c r="K937" s="7" t="str">
        <f>IF('RFQ-Input'!K936="","",'RFQ-Input'!K936)</f>
        <v/>
      </c>
      <c r="L937" s="7" t="str">
        <f>IF('RFQ-Input'!L936="","",'RFQ-Input'!L936)</f>
        <v/>
      </c>
      <c r="M937" s="7" t="str">
        <f>IF('RFQ-Input'!M936="","",'RFQ-Input'!M936)</f>
        <v/>
      </c>
      <c r="N937" s="7" t="str">
        <f>IF('RFQ-Input'!N936="","",'RFQ-Input'!N936)</f>
        <v/>
      </c>
      <c r="O937" s="7" t="str">
        <f>IF('RFQ-Input'!O936="","",'RFQ-Input'!O936)</f>
        <v/>
      </c>
      <c r="Q937" s="7"/>
      <c r="R937" s="7"/>
      <c r="S937" s="7"/>
      <c r="T937" s="7"/>
      <c r="U937" s="7"/>
      <c r="V937" s="7"/>
      <c r="X937" s="7"/>
      <c r="Y937" s="7"/>
      <c r="Z937" s="7"/>
      <c r="AA937" s="7" t="str">
        <f t="shared" si="98"/>
        <v/>
      </c>
      <c r="AB937" s="7"/>
      <c r="AC937" s="7"/>
      <c r="AQ937" s="7" t="str">
        <f t="shared" si="99"/>
        <v/>
      </c>
      <c r="AR937" s="7" t="str">
        <f t="shared" si="100"/>
        <v/>
      </c>
      <c r="AS937" s="7" t="str">
        <f t="shared" si="101"/>
        <v/>
      </c>
      <c r="AT937" s="7" t="str">
        <f t="shared" si="102"/>
        <v/>
      </c>
      <c r="AU937" s="7" t="str">
        <f t="shared" si="103"/>
        <v/>
      </c>
      <c r="AV937" s="7" t="str">
        <f t="shared" si="104"/>
        <v/>
      </c>
      <c r="AW937" s="7" t="str">
        <f>IF('RFQ-Input'!O936="","",'RFQ-Input'!O936)</f>
        <v/>
      </c>
      <c r="AX937" s="7" t="str">
        <f>IF('RFQ-Input'!S936="","",'RFQ-Input'!S936)</f>
        <v/>
      </c>
      <c r="AY937" s="7" t="str">
        <f>IF('RFQ-Input'!V936="","",'RFQ-Input'!V936)</f>
        <v/>
      </c>
      <c r="AZ937" s="7" t="str">
        <f>IF('RFQ-Input'!Y936="","",'RFQ-Input'!Y936)</f>
        <v/>
      </c>
      <c r="BA937" s="7" t="str">
        <f>IF('RFQ-Input'!AB936="","",'RFQ-Input'!AB936)</f>
        <v/>
      </c>
    </row>
    <row r="938" spans="1:53">
      <c r="A938" s="20">
        <v>934</v>
      </c>
      <c r="B938" s="7"/>
      <c r="C938" s="7" t="str">
        <f>IF('RFQ-Input'!C937="","",'RFQ-Input'!C937)</f>
        <v/>
      </c>
      <c r="D938" s="7" t="str">
        <f>IF('RFQ-Input'!D937="","",'RFQ-Input'!D937)</f>
        <v/>
      </c>
      <c r="E938" s="7" t="str">
        <f>IF('RFQ-Input'!E937="","",'RFQ-Input'!E937)</f>
        <v/>
      </c>
      <c r="F938" s="7" t="str">
        <f>IF('RFQ-Input'!F937="","",'RFQ-Input'!F937)</f>
        <v/>
      </c>
      <c r="G938" s="7" t="str">
        <f>IF('RFQ-Input'!G937="","",'RFQ-Input'!G937)</f>
        <v/>
      </c>
      <c r="H938" s="7" t="str">
        <f>IF('RFQ-Input'!H937="","",'RFQ-Input'!H937)</f>
        <v/>
      </c>
      <c r="I938" s="7" t="str">
        <f>IF('RFQ-Input'!I937="","",'RFQ-Input'!I937)</f>
        <v/>
      </c>
      <c r="J938" s="7" t="str">
        <f>IF('RFQ-Input'!J937="","",'RFQ-Input'!J937)</f>
        <v/>
      </c>
      <c r="K938" s="7" t="str">
        <f>IF('RFQ-Input'!K937="","",'RFQ-Input'!K937)</f>
        <v/>
      </c>
      <c r="L938" s="7" t="str">
        <f>IF('RFQ-Input'!L937="","",'RFQ-Input'!L937)</f>
        <v/>
      </c>
      <c r="M938" s="7" t="str">
        <f>IF('RFQ-Input'!M937="","",'RFQ-Input'!M937)</f>
        <v/>
      </c>
      <c r="N938" s="7" t="str">
        <f>IF('RFQ-Input'!N937="","",'RFQ-Input'!N937)</f>
        <v/>
      </c>
      <c r="O938" s="7" t="str">
        <f>IF('RFQ-Input'!O937="","",'RFQ-Input'!O937)</f>
        <v/>
      </c>
      <c r="Q938" s="7"/>
      <c r="R938" s="7"/>
      <c r="S938" s="7"/>
      <c r="T938" s="7"/>
      <c r="U938" s="7"/>
      <c r="V938" s="7"/>
      <c r="X938" s="7"/>
      <c r="Y938" s="7"/>
      <c r="Z938" s="7"/>
      <c r="AA938" s="7" t="str">
        <f t="shared" si="98"/>
        <v/>
      </c>
      <c r="AB938" s="7"/>
      <c r="AC938" s="7"/>
      <c r="AQ938" s="7" t="str">
        <f t="shared" si="99"/>
        <v/>
      </c>
      <c r="AR938" s="7" t="str">
        <f t="shared" si="100"/>
        <v/>
      </c>
      <c r="AS938" s="7" t="str">
        <f t="shared" si="101"/>
        <v/>
      </c>
      <c r="AT938" s="7" t="str">
        <f t="shared" si="102"/>
        <v/>
      </c>
      <c r="AU938" s="7" t="str">
        <f t="shared" si="103"/>
        <v/>
      </c>
      <c r="AV938" s="7" t="str">
        <f t="shared" si="104"/>
        <v/>
      </c>
      <c r="AW938" s="7" t="str">
        <f>IF('RFQ-Input'!O937="","",'RFQ-Input'!O937)</f>
        <v/>
      </c>
      <c r="AX938" s="7" t="str">
        <f>IF('RFQ-Input'!S937="","",'RFQ-Input'!S937)</f>
        <v/>
      </c>
      <c r="AY938" s="7" t="str">
        <f>IF('RFQ-Input'!V937="","",'RFQ-Input'!V937)</f>
        <v/>
      </c>
      <c r="AZ938" s="7" t="str">
        <f>IF('RFQ-Input'!Y937="","",'RFQ-Input'!Y937)</f>
        <v/>
      </c>
      <c r="BA938" s="7" t="str">
        <f>IF('RFQ-Input'!AB937="","",'RFQ-Input'!AB937)</f>
        <v/>
      </c>
    </row>
    <row r="939" spans="1:53">
      <c r="A939" s="20">
        <v>935</v>
      </c>
      <c r="B939" s="7"/>
      <c r="C939" s="7" t="str">
        <f>IF('RFQ-Input'!C938="","",'RFQ-Input'!C938)</f>
        <v/>
      </c>
      <c r="D939" s="7" t="str">
        <f>IF('RFQ-Input'!D938="","",'RFQ-Input'!D938)</f>
        <v/>
      </c>
      <c r="E939" s="7" t="str">
        <f>IF('RFQ-Input'!E938="","",'RFQ-Input'!E938)</f>
        <v/>
      </c>
      <c r="F939" s="7" t="str">
        <f>IF('RFQ-Input'!F938="","",'RFQ-Input'!F938)</f>
        <v/>
      </c>
      <c r="G939" s="7" t="str">
        <f>IF('RFQ-Input'!G938="","",'RFQ-Input'!G938)</f>
        <v/>
      </c>
      <c r="H939" s="7" t="str">
        <f>IF('RFQ-Input'!H938="","",'RFQ-Input'!H938)</f>
        <v/>
      </c>
      <c r="I939" s="7" t="str">
        <f>IF('RFQ-Input'!I938="","",'RFQ-Input'!I938)</f>
        <v/>
      </c>
      <c r="J939" s="7" t="str">
        <f>IF('RFQ-Input'!J938="","",'RFQ-Input'!J938)</f>
        <v/>
      </c>
      <c r="K939" s="7" t="str">
        <f>IF('RFQ-Input'!K938="","",'RFQ-Input'!K938)</f>
        <v/>
      </c>
      <c r="L939" s="7" t="str">
        <f>IF('RFQ-Input'!L938="","",'RFQ-Input'!L938)</f>
        <v/>
      </c>
      <c r="M939" s="7" t="str">
        <f>IF('RFQ-Input'!M938="","",'RFQ-Input'!M938)</f>
        <v/>
      </c>
      <c r="N939" s="7" t="str">
        <f>IF('RFQ-Input'!N938="","",'RFQ-Input'!N938)</f>
        <v/>
      </c>
      <c r="O939" s="7" t="str">
        <f>IF('RFQ-Input'!O938="","",'RFQ-Input'!O938)</f>
        <v/>
      </c>
      <c r="Q939" s="7"/>
      <c r="R939" s="7"/>
      <c r="S939" s="7"/>
      <c r="T939" s="7"/>
      <c r="U939" s="7"/>
      <c r="V939" s="7"/>
      <c r="X939" s="7"/>
      <c r="Y939" s="7"/>
      <c r="Z939" s="7"/>
      <c r="AA939" s="7" t="str">
        <f t="shared" si="98"/>
        <v/>
      </c>
      <c r="AB939" s="7"/>
      <c r="AC939" s="7"/>
      <c r="AQ939" s="7" t="str">
        <f t="shared" si="99"/>
        <v/>
      </c>
      <c r="AR939" s="7" t="str">
        <f t="shared" si="100"/>
        <v/>
      </c>
      <c r="AS939" s="7" t="str">
        <f t="shared" si="101"/>
        <v/>
      </c>
      <c r="AT939" s="7" t="str">
        <f t="shared" si="102"/>
        <v/>
      </c>
      <c r="AU939" s="7" t="str">
        <f t="shared" si="103"/>
        <v/>
      </c>
      <c r="AV939" s="7" t="str">
        <f t="shared" si="104"/>
        <v/>
      </c>
      <c r="AW939" s="7" t="str">
        <f>IF('RFQ-Input'!O938="","",'RFQ-Input'!O938)</f>
        <v/>
      </c>
      <c r="AX939" s="7" t="str">
        <f>IF('RFQ-Input'!S938="","",'RFQ-Input'!S938)</f>
        <v/>
      </c>
      <c r="AY939" s="7" t="str">
        <f>IF('RFQ-Input'!V938="","",'RFQ-Input'!V938)</f>
        <v/>
      </c>
      <c r="AZ939" s="7" t="str">
        <f>IF('RFQ-Input'!Y938="","",'RFQ-Input'!Y938)</f>
        <v/>
      </c>
      <c r="BA939" s="7" t="str">
        <f>IF('RFQ-Input'!AB938="","",'RFQ-Input'!AB938)</f>
        <v/>
      </c>
    </row>
    <row r="940" spans="1:53">
      <c r="A940" s="20">
        <v>936</v>
      </c>
      <c r="B940" s="7"/>
      <c r="C940" s="7" t="str">
        <f>IF('RFQ-Input'!C939="","",'RFQ-Input'!C939)</f>
        <v/>
      </c>
      <c r="D940" s="7" t="str">
        <f>IF('RFQ-Input'!D939="","",'RFQ-Input'!D939)</f>
        <v/>
      </c>
      <c r="E940" s="7" t="str">
        <f>IF('RFQ-Input'!E939="","",'RFQ-Input'!E939)</f>
        <v/>
      </c>
      <c r="F940" s="7" t="str">
        <f>IF('RFQ-Input'!F939="","",'RFQ-Input'!F939)</f>
        <v/>
      </c>
      <c r="G940" s="7" t="str">
        <f>IF('RFQ-Input'!G939="","",'RFQ-Input'!G939)</f>
        <v/>
      </c>
      <c r="H940" s="7" t="str">
        <f>IF('RFQ-Input'!H939="","",'RFQ-Input'!H939)</f>
        <v/>
      </c>
      <c r="I940" s="7" t="str">
        <f>IF('RFQ-Input'!I939="","",'RFQ-Input'!I939)</f>
        <v/>
      </c>
      <c r="J940" s="7" t="str">
        <f>IF('RFQ-Input'!J939="","",'RFQ-Input'!J939)</f>
        <v/>
      </c>
      <c r="K940" s="7" t="str">
        <f>IF('RFQ-Input'!K939="","",'RFQ-Input'!K939)</f>
        <v/>
      </c>
      <c r="L940" s="7" t="str">
        <f>IF('RFQ-Input'!L939="","",'RFQ-Input'!L939)</f>
        <v/>
      </c>
      <c r="M940" s="7" t="str">
        <f>IF('RFQ-Input'!M939="","",'RFQ-Input'!M939)</f>
        <v/>
      </c>
      <c r="N940" s="7" t="str">
        <f>IF('RFQ-Input'!N939="","",'RFQ-Input'!N939)</f>
        <v/>
      </c>
      <c r="O940" s="7" t="str">
        <f>IF('RFQ-Input'!O939="","",'RFQ-Input'!O939)</f>
        <v/>
      </c>
      <c r="Q940" s="7"/>
      <c r="R940" s="7"/>
      <c r="S940" s="7"/>
      <c r="T940" s="7"/>
      <c r="U940" s="7"/>
      <c r="V940" s="7"/>
      <c r="X940" s="7"/>
      <c r="Y940" s="7"/>
      <c r="Z940" s="7"/>
      <c r="AA940" s="7" t="str">
        <f t="shared" si="98"/>
        <v/>
      </c>
      <c r="AB940" s="7"/>
      <c r="AC940" s="7"/>
      <c r="AQ940" s="7" t="str">
        <f t="shared" si="99"/>
        <v/>
      </c>
      <c r="AR940" s="7" t="str">
        <f t="shared" si="100"/>
        <v/>
      </c>
      <c r="AS940" s="7" t="str">
        <f t="shared" si="101"/>
        <v/>
      </c>
      <c r="AT940" s="7" t="str">
        <f t="shared" si="102"/>
        <v/>
      </c>
      <c r="AU940" s="7" t="str">
        <f t="shared" si="103"/>
        <v/>
      </c>
      <c r="AV940" s="7" t="str">
        <f t="shared" si="104"/>
        <v/>
      </c>
      <c r="AW940" s="7" t="str">
        <f>IF('RFQ-Input'!O939="","",'RFQ-Input'!O939)</f>
        <v/>
      </c>
      <c r="AX940" s="7" t="str">
        <f>IF('RFQ-Input'!S939="","",'RFQ-Input'!S939)</f>
        <v/>
      </c>
      <c r="AY940" s="7" t="str">
        <f>IF('RFQ-Input'!V939="","",'RFQ-Input'!V939)</f>
        <v/>
      </c>
      <c r="AZ940" s="7" t="str">
        <f>IF('RFQ-Input'!Y939="","",'RFQ-Input'!Y939)</f>
        <v/>
      </c>
      <c r="BA940" s="7" t="str">
        <f>IF('RFQ-Input'!AB939="","",'RFQ-Input'!AB939)</f>
        <v/>
      </c>
    </row>
    <row r="941" spans="1:53">
      <c r="A941" s="20">
        <v>937</v>
      </c>
      <c r="B941" s="7"/>
      <c r="C941" s="7" t="str">
        <f>IF('RFQ-Input'!C940="","",'RFQ-Input'!C940)</f>
        <v/>
      </c>
      <c r="D941" s="7" t="str">
        <f>IF('RFQ-Input'!D940="","",'RFQ-Input'!D940)</f>
        <v/>
      </c>
      <c r="E941" s="7" t="str">
        <f>IF('RFQ-Input'!E940="","",'RFQ-Input'!E940)</f>
        <v/>
      </c>
      <c r="F941" s="7" t="str">
        <f>IF('RFQ-Input'!F940="","",'RFQ-Input'!F940)</f>
        <v/>
      </c>
      <c r="G941" s="7" t="str">
        <f>IF('RFQ-Input'!G940="","",'RFQ-Input'!G940)</f>
        <v/>
      </c>
      <c r="H941" s="7" t="str">
        <f>IF('RFQ-Input'!H940="","",'RFQ-Input'!H940)</f>
        <v/>
      </c>
      <c r="I941" s="7" t="str">
        <f>IF('RFQ-Input'!I940="","",'RFQ-Input'!I940)</f>
        <v/>
      </c>
      <c r="J941" s="7" t="str">
        <f>IF('RFQ-Input'!J940="","",'RFQ-Input'!J940)</f>
        <v/>
      </c>
      <c r="K941" s="7" t="str">
        <f>IF('RFQ-Input'!K940="","",'RFQ-Input'!K940)</f>
        <v/>
      </c>
      <c r="L941" s="7" t="str">
        <f>IF('RFQ-Input'!L940="","",'RFQ-Input'!L940)</f>
        <v/>
      </c>
      <c r="M941" s="7" t="str">
        <f>IF('RFQ-Input'!M940="","",'RFQ-Input'!M940)</f>
        <v/>
      </c>
      <c r="N941" s="7" t="str">
        <f>IF('RFQ-Input'!N940="","",'RFQ-Input'!N940)</f>
        <v/>
      </c>
      <c r="O941" s="7" t="str">
        <f>IF('RFQ-Input'!O940="","",'RFQ-Input'!O940)</f>
        <v/>
      </c>
      <c r="Q941" s="7"/>
      <c r="R941" s="7"/>
      <c r="S941" s="7"/>
      <c r="T941" s="7"/>
      <c r="U941" s="7"/>
      <c r="V941" s="7"/>
      <c r="X941" s="7"/>
      <c r="Y941" s="7"/>
      <c r="Z941" s="7"/>
      <c r="AA941" s="7" t="str">
        <f t="shared" si="98"/>
        <v/>
      </c>
      <c r="AB941" s="7"/>
      <c r="AC941" s="7"/>
      <c r="AQ941" s="7" t="str">
        <f t="shared" si="99"/>
        <v/>
      </c>
      <c r="AR941" s="7" t="str">
        <f t="shared" si="100"/>
        <v/>
      </c>
      <c r="AS941" s="7" t="str">
        <f t="shared" si="101"/>
        <v/>
      </c>
      <c r="AT941" s="7" t="str">
        <f t="shared" si="102"/>
        <v/>
      </c>
      <c r="AU941" s="7" t="str">
        <f t="shared" si="103"/>
        <v/>
      </c>
      <c r="AV941" s="7" t="str">
        <f t="shared" si="104"/>
        <v/>
      </c>
      <c r="AW941" s="7" t="str">
        <f>IF('RFQ-Input'!O940="","",'RFQ-Input'!O940)</f>
        <v/>
      </c>
      <c r="AX941" s="7" t="str">
        <f>IF('RFQ-Input'!S940="","",'RFQ-Input'!S940)</f>
        <v/>
      </c>
      <c r="AY941" s="7" t="str">
        <f>IF('RFQ-Input'!V940="","",'RFQ-Input'!V940)</f>
        <v/>
      </c>
      <c r="AZ941" s="7" t="str">
        <f>IF('RFQ-Input'!Y940="","",'RFQ-Input'!Y940)</f>
        <v/>
      </c>
      <c r="BA941" s="7" t="str">
        <f>IF('RFQ-Input'!AB940="","",'RFQ-Input'!AB940)</f>
        <v/>
      </c>
    </row>
    <row r="942" spans="1:53">
      <c r="A942" s="20">
        <v>938</v>
      </c>
      <c r="B942" s="7"/>
      <c r="C942" s="7" t="str">
        <f>IF('RFQ-Input'!C941="","",'RFQ-Input'!C941)</f>
        <v/>
      </c>
      <c r="D942" s="7" t="str">
        <f>IF('RFQ-Input'!D941="","",'RFQ-Input'!D941)</f>
        <v/>
      </c>
      <c r="E942" s="7" t="str">
        <f>IF('RFQ-Input'!E941="","",'RFQ-Input'!E941)</f>
        <v/>
      </c>
      <c r="F942" s="7" t="str">
        <f>IF('RFQ-Input'!F941="","",'RFQ-Input'!F941)</f>
        <v/>
      </c>
      <c r="G942" s="7" t="str">
        <f>IF('RFQ-Input'!G941="","",'RFQ-Input'!G941)</f>
        <v/>
      </c>
      <c r="H942" s="7" t="str">
        <f>IF('RFQ-Input'!H941="","",'RFQ-Input'!H941)</f>
        <v/>
      </c>
      <c r="I942" s="7" t="str">
        <f>IF('RFQ-Input'!I941="","",'RFQ-Input'!I941)</f>
        <v/>
      </c>
      <c r="J942" s="7" t="str">
        <f>IF('RFQ-Input'!J941="","",'RFQ-Input'!J941)</f>
        <v/>
      </c>
      <c r="K942" s="7" t="str">
        <f>IF('RFQ-Input'!K941="","",'RFQ-Input'!K941)</f>
        <v/>
      </c>
      <c r="L942" s="7" t="str">
        <f>IF('RFQ-Input'!L941="","",'RFQ-Input'!L941)</f>
        <v/>
      </c>
      <c r="M942" s="7" t="str">
        <f>IF('RFQ-Input'!M941="","",'RFQ-Input'!M941)</f>
        <v/>
      </c>
      <c r="N942" s="7" t="str">
        <f>IF('RFQ-Input'!N941="","",'RFQ-Input'!N941)</f>
        <v/>
      </c>
      <c r="O942" s="7" t="str">
        <f>IF('RFQ-Input'!O941="","",'RFQ-Input'!O941)</f>
        <v/>
      </c>
      <c r="Q942" s="7"/>
      <c r="R942" s="7"/>
      <c r="S942" s="7"/>
      <c r="T942" s="7"/>
      <c r="U942" s="7"/>
      <c r="V942" s="7"/>
      <c r="X942" s="7"/>
      <c r="Y942" s="7"/>
      <c r="Z942" s="7"/>
      <c r="AA942" s="7" t="str">
        <f t="shared" si="98"/>
        <v/>
      </c>
      <c r="AB942" s="7"/>
      <c r="AC942" s="7"/>
      <c r="AQ942" s="7" t="str">
        <f t="shared" si="99"/>
        <v/>
      </c>
      <c r="AR942" s="7" t="str">
        <f t="shared" si="100"/>
        <v/>
      </c>
      <c r="AS942" s="7" t="str">
        <f t="shared" si="101"/>
        <v/>
      </c>
      <c r="AT942" s="7" t="str">
        <f t="shared" si="102"/>
        <v/>
      </c>
      <c r="AU942" s="7" t="str">
        <f t="shared" si="103"/>
        <v/>
      </c>
      <c r="AV942" s="7" t="str">
        <f t="shared" si="104"/>
        <v/>
      </c>
      <c r="AW942" s="7" t="str">
        <f>IF('RFQ-Input'!O941="","",'RFQ-Input'!O941)</f>
        <v/>
      </c>
      <c r="AX942" s="7" t="str">
        <f>IF('RFQ-Input'!S941="","",'RFQ-Input'!S941)</f>
        <v/>
      </c>
      <c r="AY942" s="7" t="str">
        <f>IF('RFQ-Input'!V941="","",'RFQ-Input'!V941)</f>
        <v/>
      </c>
      <c r="AZ942" s="7" t="str">
        <f>IF('RFQ-Input'!Y941="","",'RFQ-Input'!Y941)</f>
        <v/>
      </c>
      <c r="BA942" s="7" t="str">
        <f>IF('RFQ-Input'!AB941="","",'RFQ-Input'!AB941)</f>
        <v/>
      </c>
    </row>
    <row r="943" spans="1:53">
      <c r="A943" s="20">
        <v>939</v>
      </c>
      <c r="B943" s="7"/>
      <c r="C943" s="7" t="str">
        <f>IF('RFQ-Input'!C942="","",'RFQ-Input'!C942)</f>
        <v/>
      </c>
      <c r="D943" s="7" t="str">
        <f>IF('RFQ-Input'!D942="","",'RFQ-Input'!D942)</f>
        <v/>
      </c>
      <c r="E943" s="7" t="str">
        <f>IF('RFQ-Input'!E942="","",'RFQ-Input'!E942)</f>
        <v/>
      </c>
      <c r="F943" s="7" t="str">
        <f>IF('RFQ-Input'!F942="","",'RFQ-Input'!F942)</f>
        <v/>
      </c>
      <c r="G943" s="7" t="str">
        <f>IF('RFQ-Input'!G942="","",'RFQ-Input'!G942)</f>
        <v/>
      </c>
      <c r="H943" s="7" t="str">
        <f>IF('RFQ-Input'!H942="","",'RFQ-Input'!H942)</f>
        <v/>
      </c>
      <c r="I943" s="7" t="str">
        <f>IF('RFQ-Input'!I942="","",'RFQ-Input'!I942)</f>
        <v/>
      </c>
      <c r="J943" s="7" t="str">
        <f>IF('RFQ-Input'!J942="","",'RFQ-Input'!J942)</f>
        <v/>
      </c>
      <c r="K943" s="7" t="str">
        <f>IF('RFQ-Input'!K942="","",'RFQ-Input'!K942)</f>
        <v/>
      </c>
      <c r="L943" s="7" t="str">
        <f>IF('RFQ-Input'!L942="","",'RFQ-Input'!L942)</f>
        <v/>
      </c>
      <c r="M943" s="7" t="str">
        <f>IF('RFQ-Input'!M942="","",'RFQ-Input'!M942)</f>
        <v/>
      </c>
      <c r="N943" s="7" t="str">
        <f>IF('RFQ-Input'!N942="","",'RFQ-Input'!N942)</f>
        <v/>
      </c>
      <c r="O943" s="7" t="str">
        <f>IF('RFQ-Input'!O942="","",'RFQ-Input'!O942)</f>
        <v/>
      </c>
      <c r="Q943" s="7"/>
      <c r="R943" s="7"/>
      <c r="S943" s="7"/>
      <c r="T943" s="7"/>
      <c r="U943" s="7"/>
      <c r="V943" s="7"/>
      <c r="X943" s="7"/>
      <c r="Y943" s="7"/>
      <c r="Z943" s="7"/>
      <c r="AA943" s="7" t="str">
        <f t="shared" si="98"/>
        <v/>
      </c>
      <c r="AB943" s="7"/>
      <c r="AC943" s="7"/>
      <c r="AQ943" s="7" t="str">
        <f t="shared" si="99"/>
        <v/>
      </c>
      <c r="AR943" s="7" t="str">
        <f t="shared" si="100"/>
        <v/>
      </c>
      <c r="AS943" s="7" t="str">
        <f t="shared" si="101"/>
        <v/>
      </c>
      <c r="AT943" s="7" t="str">
        <f t="shared" si="102"/>
        <v/>
      </c>
      <c r="AU943" s="7" t="str">
        <f t="shared" si="103"/>
        <v/>
      </c>
      <c r="AV943" s="7" t="str">
        <f t="shared" si="104"/>
        <v/>
      </c>
      <c r="AW943" s="7" t="str">
        <f>IF('RFQ-Input'!O942="","",'RFQ-Input'!O942)</f>
        <v/>
      </c>
      <c r="AX943" s="7" t="str">
        <f>IF('RFQ-Input'!S942="","",'RFQ-Input'!S942)</f>
        <v/>
      </c>
      <c r="AY943" s="7" t="str">
        <f>IF('RFQ-Input'!V942="","",'RFQ-Input'!V942)</f>
        <v/>
      </c>
      <c r="AZ943" s="7" t="str">
        <f>IF('RFQ-Input'!Y942="","",'RFQ-Input'!Y942)</f>
        <v/>
      </c>
      <c r="BA943" s="7" t="str">
        <f>IF('RFQ-Input'!AB942="","",'RFQ-Input'!AB942)</f>
        <v/>
      </c>
    </row>
    <row r="944" spans="1:53">
      <c r="A944" s="20">
        <v>940</v>
      </c>
      <c r="B944" s="7"/>
      <c r="C944" s="7" t="str">
        <f>IF('RFQ-Input'!C943="","",'RFQ-Input'!C943)</f>
        <v/>
      </c>
      <c r="D944" s="7" t="str">
        <f>IF('RFQ-Input'!D943="","",'RFQ-Input'!D943)</f>
        <v/>
      </c>
      <c r="E944" s="7" t="str">
        <f>IF('RFQ-Input'!E943="","",'RFQ-Input'!E943)</f>
        <v/>
      </c>
      <c r="F944" s="7" t="str">
        <f>IF('RFQ-Input'!F943="","",'RFQ-Input'!F943)</f>
        <v/>
      </c>
      <c r="G944" s="7" t="str">
        <f>IF('RFQ-Input'!G943="","",'RFQ-Input'!G943)</f>
        <v/>
      </c>
      <c r="H944" s="7" t="str">
        <f>IF('RFQ-Input'!H943="","",'RFQ-Input'!H943)</f>
        <v/>
      </c>
      <c r="I944" s="7" t="str">
        <f>IF('RFQ-Input'!I943="","",'RFQ-Input'!I943)</f>
        <v/>
      </c>
      <c r="J944" s="7" t="str">
        <f>IF('RFQ-Input'!J943="","",'RFQ-Input'!J943)</f>
        <v/>
      </c>
      <c r="K944" s="7" t="str">
        <f>IF('RFQ-Input'!K943="","",'RFQ-Input'!K943)</f>
        <v/>
      </c>
      <c r="L944" s="7" t="str">
        <f>IF('RFQ-Input'!L943="","",'RFQ-Input'!L943)</f>
        <v/>
      </c>
      <c r="M944" s="7" t="str">
        <f>IF('RFQ-Input'!M943="","",'RFQ-Input'!M943)</f>
        <v/>
      </c>
      <c r="N944" s="7" t="str">
        <f>IF('RFQ-Input'!N943="","",'RFQ-Input'!N943)</f>
        <v/>
      </c>
      <c r="O944" s="7" t="str">
        <f>IF('RFQ-Input'!O943="","",'RFQ-Input'!O943)</f>
        <v/>
      </c>
      <c r="Q944" s="7"/>
      <c r="R944" s="7"/>
      <c r="S944" s="7"/>
      <c r="T944" s="7"/>
      <c r="U944" s="7"/>
      <c r="V944" s="7"/>
      <c r="X944" s="7"/>
      <c r="Y944" s="7"/>
      <c r="Z944" s="7"/>
      <c r="AA944" s="7" t="str">
        <f t="shared" si="98"/>
        <v/>
      </c>
      <c r="AB944" s="7"/>
      <c r="AC944" s="7"/>
      <c r="AQ944" s="7" t="str">
        <f t="shared" si="99"/>
        <v/>
      </c>
      <c r="AR944" s="7" t="str">
        <f t="shared" si="100"/>
        <v/>
      </c>
      <c r="AS944" s="7" t="str">
        <f t="shared" si="101"/>
        <v/>
      </c>
      <c r="AT944" s="7" t="str">
        <f t="shared" si="102"/>
        <v/>
      </c>
      <c r="AU944" s="7" t="str">
        <f t="shared" si="103"/>
        <v/>
      </c>
      <c r="AV944" s="7" t="str">
        <f t="shared" si="104"/>
        <v/>
      </c>
      <c r="AW944" s="7" t="str">
        <f>IF('RFQ-Input'!O943="","",'RFQ-Input'!O943)</f>
        <v/>
      </c>
      <c r="AX944" s="7" t="str">
        <f>IF('RFQ-Input'!S943="","",'RFQ-Input'!S943)</f>
        <v/>
      </c>
      <c r="AY944" s="7" t="str">
        <f>IF('RFQ-Input'!V943="","",'RFQ-Input'!V943)</f>
        <v/>
      </c>
      <c r="AZ944" s="7" t="str">
        <f>IF('RFQ-Input'!Y943="","",'RFQ-Input'!Y943)</f>
        <v/>
      </c>
      <c r="BA944" s="7" t="str">
        <f>IF('RFQ-Input'!AB943="","",'RFQ-Input'!AB943)</f>
        <v/>
      </c>
    </row>
    <row r="945" spans="1:53">
      <c r="A945" s="20">
        <v>941</v>
      </c>
      <c r="B945" s="7"/>
      <c r="C945" s="7" t="str">
        <f>IF('RFQ-Input'!C944="","",'RFQ-Input'!C944)</f>
        <v/>
      </c>
      <c r="D945" s="7" t="str">
        <f>IF('RFQ-Input'!D944="","",'RFQ-Input'!D944)</f>
        <v/>
      </c>
      <c r="E945" s="7" t="str">
        <f>IF('RFQ-Input'!E944="","",'RFQ-Input'!E944)</f>
        <v/>
      </c>
      <c r="F945" s="7" t="str">
        <f>IF('RFQ-Input'!F944="","",'RFQ-Input'!F944)</f>
        <v/>
      </c>
      <c r="G945" s="7" t="str">
        <f>IF('RFQ-Input'!G944="","",'RFQ-Input'!G944)</f>
        <v/>
      </c>
      <c r="H945" s="7" t="str">
        <f>IF('RFQ-Input'!H944="","",'RFQ-Input'!H944)</f>
        <v/>
      </c>
      <c r="I945" s="7" t="str">
        <f>IF('RFQ-Input'!I944="","",'RFQ-Input'!I944)</f>
        <v/>
      </c>
      <c r="J945" s="7" t="str">
        <f>IF('RFQ-Input'!J944="","",'RFQ-Input'!J944)</f>
        <v/>
      </c>
      <c r="K945" s="7" t="str">
        <f>IF('RFQ-Input'!K944="","",'RFQ-Input'!K944)</f>
        <v/>
      </c>
      <c r="L945" s="7" t="str">
        <f>IF('RFQ-Input'!L944="","",'RFQ-Input'!L944)</f>
        <v/>
      </c>
      <c r="M945" s="7" t="str">
        <f>IF('RFQ-Input'!M944="","",'RFQ-Input'!M944)</f>
        <v/>
      </c>
      <c r="N945" s="7" t="str">
        <f>IF('RFQ-Input'!N944="","",'RFQ-Input'!N944)</f>
        <v/>
      </c>
      <c r="O945" s="7" t="str">
        <f>IF('RFQ-Input'!O944="","",'RFQ-Input'!O944)</f>
        <v/>
      </c>
      <c r="Q945" s="7"/>
      <c r="R945" s="7"/>
      <c r="S945" s="7"/>
      <c r="T945" s="7"/>
      <c r="U945" s="7"/>
      <c r="V945" s="7"/>
      <c r="X945" s="7"/>
      <c r="Y945" s="7"/>
      <c r="Z945" s="7"/>
      <c r="AA945" s="7" t="str">
        <f t="shared" si="98"/>
        <v/>
      </c>
      <c r="AB945" s="7"/>
      <c r="AC945" s="7"/>
      <c r="AQ945" s="7" t="str">
        <f t="shared" si="99"/>
        <v/>
      </c>
      <c r="AR945" s="7" t="str">
        <f t="shared" si="100"/>
        <v/>
      </c>
      <c r="AS945" s="7" t="str">
        <f t="shared" si="101"/>
        <v/>
      </c>
      <c r="AT945" s="7" t="str">
        <f t="shared" si="102"/>
        <v/>
      </c>
      <c r="AU945" s="7" t="str">
        <f t="shared" si="103"/>
        <v/>
      </c>
      <c r="AV945" s="7" t="str">
        <f t="shared" si="104"/>
        <v/>
      </c>
      <c r="AW945" s="7" t="str">
        <f>IF('RFQ-Input'!O944="","",'RFQ-Input'!O944)</f>
        <v/>
      </c>
      <c r="AX945" s="7" t="str">
        <f>IF('RFQ-Input'!S944="","",'RFQ-Input'!S944)</f>
        <v/>
      </c>
      <c r="AY945" s="7" t="str">
        <f>IF('RFQ-Input'!V944="","",'RFQ-Input'!V944)</f>
        <v/>
      </c>
      <c r="AZ945" s="7" t="str">
        <f>IF('RFQ-Input'!Y944="","",'RFQ-Input'!Y944)</f>
        <v/>
      </c>
      <c r="BA945" s="7" t="str">
        <f>IF('RFQ-Input'!AB944="","",'RFQ-Input'!AB944)</f>
        <v/>
      </c>
    </row>
    <row r="946" spans="1:53">
      <c r="A946" s="20">
        <v>942</v>
      </c>
      <c r="B946" s="7"/>
      <c r="C946" s="7" t="str">
        <f>IF('RFQ-Input'!C945="","",'RFQ-Input'!C945)</f>
        <v/>
      </c>
      <c r="D946" s="7" t="str">
        <f>IF('RFQ-Input'!D945="","",'RFQ-Input'!D945)</f>
        <v/>
      </c>
      <c r="E946" s="7" t="str">
        <f>IF('RFQ-Input'!E945="","",'RFQ-Input'!E945)</f>
        <v/>
      </c>
      <c r="F946" s="7" t="str">
        <f>IF('RFQ-Input'!F945="","",'RFQ-Input'!F945)</f>
        <v/>
      </c>
      <c r="G946" s="7" t="str">
        <f>IF('RFQ-Input'!G945="","",'RFQ-Input'!G945)</f>
        <v/>
      </c>
      <c r="H946" s="7" t="str">
        <f>IF('RFQ-Input'!H945="","",'RFQ-Input'!H945)</f>
        <v/>
      </c>
      <c r="I946" s="7" t="str">
        <f>IF('RFQ-Input'!I945="","",'RFQ-Input'!I945)</f>
        <v/>
      </c>
      <c r="J946" s="7" t="str">
        <f>IF('RFQ-Input'!J945="","",'RFQ-Input'!J945)</f>
        <v/>
      </c>
      <c r="K946" s="7" t="str">
        <f>IF('RFQ-Input'!K945="","",'RFQ-Input'!K945)</f>
        <v/>
      </c>
      <c r="L946" s="7" t="str">
        <f>IF('RFQ-Input'!L945="","",'RFQ-Input'!L945)</f>
        <v/>
      </c>
      <c r="M946" s="7" t="str">
        <f>IF('RFQ-Input'!M945="","",'RFQ-Input'!M945)</f>
        <v/>
      </c>
      <c r="N946" s="7" t="str">
        <f>IF('RFQ-Input'!N945="","",'RFQ-Input'!N945)</f>
        <v/>
      </c>
      <c r="O946" s="7" t="str">
        <f>IF('RFQ-Input'!O945="","",'RFQ-Input'!O945)</f>
        <v/>
      </c>
      <c r="Q946" s="7"/>
      <c r="R946" s="7"/>
      <c r="S946" s="7"/>
      <c r="T946" s="7"/>
      <c r="U946" s="7"/>
      <c r="V946" s="7"/>
      <c r="X946" s="7"/>
      <c r="Y946" s="7"/>
      <c r="Z946" s="7"/>
      <c r="AA946" s="7" t="str">
        <f t="shared" si="98"/>
        <v/>
      </c>
      <c r="AB946" s="7"/>
      <c r="AC946" s="7"/>
      <c r="AQ946" s="7" t="str">
        <f t="shared" si="99"/>
        <v/>
      </c>
      <c r="AR946" s="7" t="str">
        <f t="shared" si="100"/>
        <v/>
      </c>
      <c r="AS946" s="7" t="str">
        <f t="shared" si="101"/>
        <v/>
      </c>
      <c r="AT946" s="7" t="str">
        <f t="shared" si="102"/>
        <v/>
      </c>
      <c r="AU946" s="7" t="str">
        <f t="shared" si="103"/>
        <v/>
      </c>
      <c r="AV946" s="7" t="str">
        <f t="shared" si="104"/>
        <v/>
      </c>
      <c r="AW946" s="7" t="str">
        <f>IF('RFQ-Input'!O945="","",'RFQ-Input'!O945)</f>
        <v/>
      </c>
      <c r="AX946" s="7" t="str">
        <f>IF('RFQ-Input'!S945="","",'RFQ-Input'!S945)</f>
        <v/>
      </c>
      <c r="AY946" s="7" t="str">
        <f>IF('RFQ-Input'!V945="","",'RFQ-Input'!V945)</f>
        <v/>
      </c>
      <c r="AZ946" s="7" t="str">
        <f>IF('RFQ-Input'!Y945="","",'RFQ-Input'!Y945)</f>
        <v/>
      </c>
      <c r="BA946" s="7" t="str">
        <f>IF('RFQ-Input'!AB945="","",'RFQ-Input'!AB945)</f>
        <v/>
      </c>
    </row>
    <row r="947" spans="1:53">
      <c r="A947" s="20">
        <v>943</v>
      </c>
      <c r="B947" s="7"/>
      <c r="C947" s="7" t="str">
        <f>IF('RFQ-Input'!C946="","",'RFQ-Input'!C946)</f>
        <v/>
      </c>
      <c r="D947" s="7" t="str">
        <f>IF('RFQ-Input'!D946="","",'RFQ-Input'!D946)</f>
        <v/>
      </c>
      <c r="E947" s="7" t="str">
        <f>IF('RFQ-Input'!E946="","",'RFQ-Input'!E946)</f>
        <v/>
      </c>
      <c r="F947" s="7" t="str">
        <f>IF('RFQ-Input'!F946="","",'RFQ-Input'!F946)</f>
        <v/>
      </c>
      <c r="G947" s="7" t="str">
        <f>IF('RFQ-Input'!G946="","",'RFQ-Input'!G946)</f>
        <v/>
      </c>
      <c r="H947" s="7" t="str">
        <f>IF('RFQ-Input'!H946="","",'RFQ-Input'!H946)</f>
        <v/>
      </c>
      <c r="I947" s="7" t="str">
        <f>IF('RFQ-Input'!I946="","",'RFQ-Input'!I946)</f>
        <v/>
      </c>
      <c r="J947" s="7" t="str">
        <f>IF('RFQ-Input'!J946="","",'RFQ-Input'!J946)</f>
        <v/>
      </c>
      <c r="K947" s="7" t="str">
        <f>IF('RFQ-Input'!K946="","",'RFQ-Input'!K946)</f>
        <v/>
      </c>
      <c r="L947" s="7" t="str">
        <f>IF('RFQ-Input'!L946="","",'RFQ-Input'!L946)</f>
        <v/>
      </c>
      <c r="M947" s="7" t="str">
        <f>IF('RFQ-Input'!M946="","",'RFQ-Input'!M946)</f>
        <v/>
      </c>
      <c r="N947" s="7" t="str">
        <f>IF('RFQ-Input'!N946="","",'RFQ-Input'!N946)</f>
        <v/>
      </c>
      <c r="O947" s="7" t="str">
        <f>IF('RFQ-Input'!O946="","",'RFQ-Input'!O946)</f>
        <v/>
      </c>
      <c r="Q947" s="7"/>
      <c r="R947" s="7"/>
      <c r="S947" s="7"/>
      <c r="T947" s="7"/>
      <c r="U947" s="7"/>
      <c r="V947" s="7"/>
      <c r="X947" s="7"/>
      <c r="Y947" s="7"/>
      <c r="Z947" s="7"/>
      <c r="AA947" s="7" t="str">
        <f t="shared" si="98"/>
        <v/>
      </c>
      <c r="AB947" s="7"/>
      <c r="AC947" s="7"/>
      <c r="AQ947" s="7" t="str">
        <f t="shared" si="99"/>
        <v/>
      </c>
      <c r="AR947" s="7" t="str">
        <f t="shared" si="100"/>
        <v/>
      </c>
      <c r="AS947" s="7" t="str">
        <f t="shared" si="101"/>
        <v/>
      </c>
      <c r="AT947" s="7" t="str">
        <f t="shared" si="102"/>
        <v/>
      </c>
      <c r="AU947" s="7" t="str">
        <f t="shared" si="103"/>
        <v/>
      </c>
      <c r="AV947" s="7" t="str">
        <f t="shared" si="104"/>
        <v/>
      </c>
      <c r="AW947" s="7" t="str">
        <f>IF('RFQ-Input'!O946="","",'RFQ-Input'!O946)</f>
        <v/>
      </c>
      <c r="AX947" s="7" t="str">
        <f>IF('RFQ-Input'!S946="","",'RFQ-Input'!S946)</f>
        <v/>
      </c>
      <c r="AY947" s="7" t="str">
        <f>IF('RFQ-Input'!V946="","",'RFQ-Input'!V946)</f>
        <v/>
      </c>
      <c r="AZ947" s="7" t="str">
        <f>IF('RFQ-Input'!Y946="","",'RFQ-Input'!Y946)</f>
        <v/>
      </c>
      <c r="BA947" s="7" t="str">
        <f>IF('RFQ-Input'!AB946="","",'RFQ-Input'!AB946)</f>
        <v/>
      </c>
    </row>
    <row r="948" spans="1:53">
      <c r="A948" s="20">
        <v>944</v>
      </c>
      <c r="B948" s="7"/>
      <c r="C948" s="7" t="str">
        <f>IF('RFQ-Input'!C947="","",'RFQ-Input'!C947)</f>
        <v/>
      </c>
      <c r="D948" s="7" t="str">
        <f>IF('RFQ-Input'!D947="","",'RFQ-Input'!D947)</f>
        <v/>
      </c>
      <c r="E948" s="7" t="str">
        <f>IF('RFQ-Input'!E947="","",'RFQ-Input'!E947)</f>
        <v/>
      </c>
      <c r="F948" s="7" t="str">
        <f>IF('RFQ-Input'!F947="","",'RFQ-Input'!F947)</f>
        <v/>
      </c>
      <c r="G948" s="7" t="str">
        <f>IF('RFQ-Input'!G947="","",'RFQ-Input'!G947)</f>
        <v/>
      </c>
      <c r="H948" s="7" t="str">
        <f>IF('RFQ-Input'!H947="","",'RFQ-Input'!H947)</f>
        <v/>
      </c>
      <c r="I948" s="7" t="str">
        <f>IF('RFQ-Input'!I947="","",'RFQ-Input'!I947)</f>
        <v/>
      </c>
      <c r="J948" s="7" t="str">
        <f>IF('RFQ-Input'!J947="","",'RFQ-Input'!J947)</f>
        <v/>
      </c>
      <c r="K948" s="7" t="str">
        <f>IF('RFQ-Input'!K947="","",'RFQ-Input'!K947)</f>
        <v/>
      </c>
      <c r="L948" s="7" t="str">
        <f>IF('RFQ-Input'!L947="","",'RFQ-Input'!L947)</f>
        <v/>
      </c>
      <c r="M948" s="7" t="str">
        <f>IF('RFQ-Input'!M947="","",'RFQ-Input'!M947)</f>
        <v/>
      </c>
      <c r="N948" s="7" t="str">
        <f>IF('RFQ-Input'!N947="","",'RFQ-Input'!N947)</f>
        <v/>
      </c>
      <c r="O948" s="7" t="str">
        <f>IF('RFQ-Input'!O947="","",'RFQ-Input'!O947)</f>
        <v/>
      </c>
      <c r="Q948" s="7"/>
      <c r="R948" s="7"/>
      <c r="S948" s="7"/>
      <c r="T948" s="7"/>
      <c r="U948" s="7"/>
      <c r="V948" s="7"/>
      <c r="X948" s="7"/>
      <c r="Y948" s="7"/>
      <c r="Z948" s="7"/>
      <c r="AA948" s="7" t="str">
        <f t="shared" si="98"/>
        <v/>
      </c>
      <c r="AB948" s="7"/>
      <c r="AC948" s="7"/>
      <c r="AQ948" s="7" t="str">
        <f t="shared" si="99"/>
        <v/>
      </c>
      <c r="AR948" s="7" t="str">
        <f t="shared" si="100"/>
        <v/>
      </c>
      <c r="AS948" s="7" t="str">
        <f t="shared" si="101"/>
        <v/>
      </c>
      <c r="AT948" s="7" t="str">
        <f t="shared" si="102"/>
        <v/>
      </c>
      <c r="AU948" s="7" t="str">
        <f t="shared" si="103"/>
        <v/>
      </c>
      <c r="AV948" s="7" t="str">
        <f t="shared" si="104"/>
        <v/>
      </c>
      <c r="AW948" s="7" t="str">
        <f>IF('RFQ-Input'!O947="","",'RFQ-Input'!O947)</f>
        <v/>
      </c>
      <c r="AX948" s="7" t="str">
        <f>IF('RFQ-Input'!S947="","",'RFQ-Input'!S947)</f>
        <v/>
      </c>
      <c r="AY948" s="7" t="str">
        <f>IF('RFQ-Input'!V947="","",'RFQ-Input'!V947)</f>
        <v/>
      </c>
      <c r="AZ948" s="7" t="str">
        <f>IF('RFQ-Input'!Y947="","",'RFQ-Input'!Y947)</f>
        <v/>
      </c>
      <c r="BA948" s="7" t="str">
        <f>IF('RFQ-Input'!AB947="","",'RFQ-Input'!AB947)</f>
        <v/>
      </c>
    </row>
    <row r="949" spans="1:53">
      <c r="A949" s="20">
        <v>945</v>
      </c>
      <c r="B949" s="7"/>
      <c r="C949" s="7" t="str">
        <f>IF('RFQ-Input'!C948="","",'RFQ-Input'!C948)</f>
        <v/>
      </c>
      <c r="D949" s="7" t="str">
        <f>IF('RFQ-Input'!D948="","",'RFQ-Input'!D948)</f>
        <v/>
      </c>
      <c r="E949" s="7" t="str">
        <f>IF('RFQ-Input'!E948="","",'RFQ-Input'!E948)</f>
        <v/>
      </c>
      <c r="F949" s="7" t="str">
        <f>IF('RFQ-Input'!F948="","",'RFQ-Input'!F948)</f>
        <v/>
      </c>
      <c r="G949" s="7" t="str">
        <f>IF('RFQ-Input'!G948="","",'RFQ-Input'!G948)</f>
        <v/>
      </c>
      <c r="H949" s="7" t="str">
        <f>IF('RFQ-Input'!H948="","",'RFQ-Input'!H948)</f>
        <v/>
      </c>
      <c r="I949" s="7" t="str">
        <f>IF('RFQ-Input'!I948="","",'RFQ-Input'!I948)</f>
        <v/>
      </c>
      <c r="J949" s="7" t="str">
        <f>IF('RFQ-Input'!J948="","",'RFQ-Input'!J948)</f>
        <v/>
      </c>
      <c r="K949" s="7" t="str">
        <f>IF('RFQ-Input'!K948="","",'RFQ-Input'!K948)</f>
        <v/>
      </c>
      <c r="L949" s="7" t="str">
        <f>IF('RFQ-Input'!L948="","",'RFQ-Input'!L948)</f>
        <v/>
      </c>
      <c r="M949" s="7" t="str">
        <f>IF('RFQ-Input'!M948="","",'RFQ-Input'!M948)</f>
        <v/>
      </c>
      <c r="N949" s="7" t="str">
        <f>IF('RFQ-Input'!N948="","",'RFQ-Input'!N948)</f>
        <v/>
      </c>
      <c r="O949" s="7" t="str">
        <f>IF('RFQ-Input'!O948="","",'RFQ-Input'!O948)</f>
        <v/>
      </c>
      <c r="Q949" s="7"/>
      <c r="R949" s="7"/>
      <c r="S949" s="7"/>
      <c r="T949" s="7"/>
      <c r="U949" s="7"/>
      <c r="V949" s="7"/>
      <c r="X949" s="7"/>
      <c r="Y949" s="7"/>
      <c r="Z949" s="7"/>
      <c r="AA949" s="7" t="str">
        <f t="shared" si="98"/>
        <v/>
      </c>
      <c r="AB949" s="7"/>
      <c r="AC949" s="7"/>
      <c r="AQ949" s="7" t="str">
        <f t="shared" si="99"/>
        <v/>
      </c>
      <c r="AR949" s="7" t="str">
        <f t="shared" si="100"/>
        <v/>
      </c>
      <c r="AS949" s="7" t="str">
        <f t="shared" si="101"/>
        <v/>
      </c>
      <c r="AT949" s="7" t="str">
        <f t="shared" si="102"/>
        <v/>
      </c>
      <c r="AU949" s="7" t="str">
        <f t="shared" si="103"/>
        <v/>
      </c>
      <c r="AV949" s="7" t="str">
        <f t="shared" si="104"/>
        <v/>
      </c>
      <c r="AW949" s="7" t="str">
        <f>IF('RFQ-Input'!O948="","",'RFQ-Input'!O948)</f>
        <v/>
      </c>
      <c r="AX949" s="7" t="str">
        <f>IF('RFQ-Input'!S948="","",'RFQ-Input'!S948)</f>
        <v/>
      </c>
      <c r="AY949" s="7" t="str">
        <f>IF('RFQ-Input'!V948="","",'RFQ-Input'!V948)</f>
        <v/>
      </c>
      <c r="AZ949" s="7" t="str">
        <f>IF('RFQ-Input'!Y948="","",'RFQ-Input'!Y948)</f>
        <v/>
      </c>
      <c r="BA949" s="7" t="str">
        <f>IF('RFQ-Input'!AB948="","",'RFQ-Input'!AB948)</f>
        <v/>
      </c>
    </row>
    <row r="950" spans="1:53">
      <c r="A950" s="20">
        <v>946</v>
      </c>
      <c r="B950" s="7"/>
      <c r="C950" s="7" t="str">
        <f>IF('RFQ-Input'!C949="","",'RFQ-Input'!C949)</f>
        <v/>
      </c>
      <c r="D950" s="7" t="str">
        <f>IF('RFQ-Input'!D949="","",'RFQ-Input'!D949)</f>
        <v/>
      </c>
      <c r="E950" s="7" t="str">
        <f>IF('RFQ-Input'!E949="","",'RFQ-Input'!E949)</f>
        <v/>
      </c>
      <c r="F950" s="7" t="str">
        <f>IF('RFQ-Input'!F949="","",'RFQ-Input'!F949)</f>
        <v/>
      </c>
      <c r="G950" s="7" t="str">
        <f>IF('RFQ-Input'!G949="","",'RFQ-Input'!G949)</f>
        <v/>
      </c>
      <c r="H950" s="7" t="str">
        <f>IF('RFQ-Input'!H949="","",'RFQ-Input'!H949)</f>
        <v/>
      </c>
      <c r="I950" s="7" t="str">
        <f>IF('RFQ-Input'!I949="","",'RFQ-Input'!I949)</f>
        <v/>
      </c>
      <c r="J950" s="7" t="str">
        <f>IF('RFQ-Input'!J949="","",'RFQ-Input'!J949)</f>
        <v/>
      </c>
      <c r="K950" s="7" t="str">
        <f>IF('RFQ-Input'!K949="","",'RFQ-Input'!K949)</f>
        <v/>
      </c>
      <c r="L950" s="7" t="str">
        <f>IF('RFQ-Input'!L949="","",'RFQ-Input'!L949)</f>
        <v/>
      </c>
      <c r="M950" s="7" t="str">
        <f>IF('RFQ-Input'!M949="","",'RFQ-Input'!M949)</f>
        <v/>
      </c>
      <c r="N950" s="7" t="str">
        <f>IF('RFQ-Input'!N949="","",'RFQ-Input'!N949)</f>
        <v/>
      </c>
      <c r="O950" s="7" t="str">
        <f>IF('RFQ-Input'!O949="","",'RFQ-Input'!O949)</f>
        <v/>
      </c>
      <c r="Q950" s="7"/>
      <c r="R950" s="7"/>
      <c r="S950" s="7"/>
      <c r="T950" s="7"/>
      <c r="U950" s="7"/>
      <c r="V950" s="7"/>
      <c r="X950" s="7"/>
      <c r="Y950" s="7"/>
      <c r="Z950" s="7"/>
      <c r="AA950" s="7" t="str">
        <f t="shared" si="98"/>
        <v/>
      </c>
      <c r="AB950" s="7"/>
      <c r="AC950" s="7"/>
      <c r="AQ950" s="7" t="str">
        <f t="shared" si="99"/>
        <v/>
      </c>
      <c r="AR950" s="7" t="str">
        <f t="shared" si="100"/>
        <v/>
      </c>
      <c r="AS950" s="7" t="str">
        <f t="shared" si="101"/>
        <v/>
      </c>
      <c r="AT950" s="7" t="str">
        <f t="shared" si="102"/>
        <v/>
      </c>
      <c r="AU950" s="7" t="str">
        <f t="shared" si="103"/>
        <v/>
      </c>
      <c r="AV950" s="7" t="str">
        <f t="shared" si="104"/>
        <v/>
      </c>
      <c r="AW950" s="7" t="str">
        <f>IF('RFQ-Input'!O949="","",'RFQ-Input'!O949)</f>
        <v/>
      </c>
      <c r="AX950" s="7" t="str">
        <f>IF('RFQ-Input'!S949="","",'RFQ-Input'!S949)</f>
        <v/>
      </c>
      <c r="AY950" s="7" t="str">
        <f>IF('RFQ-Input'!V949="","",'RFQ-Input'!V949)</f>
        <v/>
      </c>
      <c r="AZ950" s="7" t="str">
        <f>IF('RFQ-Input'!Y949="","",'RFQ-Input'!Y949)</f>
        <v/>
      </c>
      <c r="BA950" s="7" t="str">
        <f>IF('RFQ-Input'!AB949="","",'RFQ-Input'!AB949)</f>
        <v/>
      </c>
    </row>
    <row r="951" spans="1:53">
      <c r="A951" s="20">
        <v>947</v>
      </c>
      <c r="B951" s="7"/>
      <c r="C951" s="7" t="str">
        <f>IF('RFQ-Input'!C950="","",'RFQ-Input'!C950)</f>
        <v/>
      </c>
      <c r="D951" s="7" t="str">
        <f>IF('RFQ-Input'!D950="","",'RFQ-Input'!D950)</f>
        <v/>
      </c>
      <c r="E951" s="7" t="str">
        <f>IF('RFQ-Input'!E950="","",'RFQ-Input'!E950)</f>
        <v/>
      </c>
      <c r="F951" s="7" t="str">
        <f>IF('RFQ-Input'!F950="","",'RFQ-Input'!F950)</f>
        <v/>
      </c>
      <c r="G951" s="7" t="str">
        <f>IF('RFQ-Input'!G950="","",'RFQ-Input'!G950)</f>
        <v/>
      </c>
      <c r="H951" s="7" t="str">
        <f>IF('RFQ-Input'!H950="","",'RFQ-Input'!H950)</f>
        <v/>
      </c>
      <c r="I951" s="7" t="str">
        <f>IF('RFQ-Input'!I950="","",'RFQ-Input'!I950)</f>
        <v/>
      </c>
      <c r="J951" s="7" t="str">
        <f>IF('RFQ-Input'!J950="","",'RFQ-Input'!J950)</f>
        <v/>
      </c>
      <c r="K951" s="7" t="str">
        <f>IF('RFQ-Input'!K950="","",'RFQ-Input'!K950)</f>
        <v/>
      </c>
      <c r="L951" s="7" t="str">
        <f>IF('RFQ-Input'!L950="","",'RFQ-Input'!L950)</f>
        <v/>
      </c>
      <c r="M951" s="7" t="str">
        <f>IF('RFQ-Input'!M950="","",'RFQ-Input'!M950)</f>
        <v/>
      </c>
      <c r="N951" s="7" t="str">
        <f>IF('RFQ-Input'!N950="","",'RFQ-Input'!N950)</f>
        <v/>
      </c>
      <c r="O951" s="7" t="str">
        <f>IF('RFQ-Input'!O950="","",'RFQ-Input'!O950)</f>
        <v/>
      </c>
      <c r="Q951" s="7"/>
      <c r="R951" s="7"/>
      <c r="S951" s="7"/>
      <c r="T951" s="7"/>
      <c r="U951" s="7"/>
      <c r="V951" s="7"/>
      <c r="X951" s="7"/>
      <c r="Y951" s="7"/>
      <c r="Z951" s="7"/>
      <c r="AA951" s="7" t="str">
        <f t="shared" si="98"/>
        <v/>
      </c>
      <c r="AB951" s="7"/>
      <c r="AC951" s="7"/>
      <c r="AQ951" s="7" t="str">
        <f t="shared" si="99"/>
        <v/>
      </c>
      <c r="AR951" s="7" t="str">
        <f t="shared" si="100"/>
        <v/>
      </c>
      <c r="AS951" s="7" t="str">
        <f t="shared" si="101"/>
        <v/>
      </c>
      <c r="AT951" s="7" t="str">
        <f t="shared" si="102"/>
        <v/>
      </c>
      <c r="AU951" s="7" t="str">
        <f t="shared" si="103"/>
        <v/>
      </c>
      <c r="AV951" s="7" t="str">
        <f t="shared" si="104"/>
        <v/>
      </c>
      <c r="AW951" s="7" t="str">
        <f>IF('RFQ-Input'!O950="","",'RFQ-Input'!O950)</f>
        <v/>
      </c>
      <c r="AX951" s="7" t="str">
        <f>IF('RFQ-Input'!S950="","",'RFQ-Input'!S950)</f>
        <v/>
      </c>
      <c r="AY951" s="7" t="str">
        <f>IF('RFQ-Input'!V950="","",'RFQ-Input'!V950)</f>
        <v/>
      </c>
      <c r="AZ951" s="7" t="str">
        <f>IF('RFQ-Input'!Y950="","",'RFQ-Input'!Y950)</f>
        <v/>
      </c>
      <c r="BA951" s="7" t="str">
        <f>IF('RFQ-Input'!AB950="","",'RFQ-Input'!AB950)</f>
        <v/>
      </c>
    </row>
    <row r="952" spans="1:53">
      <c r="A952" s="20">
        <v>948</v>
      </c>
      <c r="B952" s="7"/>
      <c r="C952" s="7" t="str">
        <f>IF('RFQ-Input'!C951="","",'RFQ-Input'!C951)</f>
        <v/>
      </c>
      <c r="D952" s="7" t="str">
        <f>IF('RFQ-Input'!D951="","",'RFQ-Input'!D951)</f>
        <v/>
      </c>
      <c r="E952" s="7" t="str">
        <f>IF('RFQ-Input'!E951="","",'RFQ-Input'!E951)</f>
        <v/>
      </c>
      <c r="F952" s="7" t="str">
        <f>IF('RFQ-Input'!F951="","",'RFQ-Input'!F951)</f>
        <v/>
      </c>
      <c r="G952" s="7" t="str">
        <f>IF('RFQ-Input'!G951="","",'RFQ-Input'!G951)</f>
        <v/>
      </c>
      <c r="H952" s="7" t="str">
        <f>IF('RFQ-Input'!H951="","",'RFQ-Input'!H951)</f>
        <v/>
      </c>
      <c r="I952" s="7" t="str">
        <f>IF('RFQ-Input'!I951="","",'RFQ-Input'!I951)</f>
        <v/>
      </c>
      <c r="J952" s="7" t="str">
        <f>IF('RFQ-Input'!J951="","",'RFQ-Input'!J951)</f>
        <v/>
      </c>
      <c r="K952" s="7" t="str">
        <f>IF('RFQ-Input'!K951="","",'RFQ-Input'!K951)</f>
        <v/>
      </c>
      <c r="L952" s="7" t="str">
        <f>IF('RFQ-Input'!L951="","",'RFQ-Input'!L951)</f>
        <v/>
      </c>
      <c r="M952" s="7" t="str">
        <f>IF('RFQ-Input'!M951="","",'RFQ-Input'!M951)</f>
        <v/>
      </c>
      <c r="N952" s="7" t="str">
        <f>IF('RFQ-Input'!N951="","",'RFQ-Input'!N951)</f>
        <v/>
      </c>
      <c r="O952" s="7" t="str">
        <f>IF('RFQ-Input'!O951="","",'RFQ-Input'!O951)</f>
        <v/>
      </c>
      <c r="Q952" s="7"/>
      <c r="R952" s="7"/>
      <c r="S952" s="7"/>
      <c r="T952" s="7"/>
      <c r="U952" s="7"/>
      <c r="V952" s="7"/>
      <c r="X952" s="7"/>
      <c r="Y952" s="7"/>
      <c r="Z952" s="7"/>
      <c r="AA952" s="7" t="str">
        <f t="shared" si="98"/>
        <v/>
      </c>
      <c r="AB952" s="7"/>
      <c r="AC952" s="7"/>
      <c r="AQ952" s="7" t="str">
        <f t="shared" si="99"/>
        <v/>
      </c>
      <c r="AR952" s="7" t="str">
        <f t="shared" si="100"/>
        <v/>
      </c>
      <c r="AS952" s="7" t="str">
        <f t="shared" si="101"/>
        <v/>
      </c>
      <c r="AT952" s="7" t="str">
        <f t="shared" si="102"/>
        <v/>
      </c>
      <c r="AU952" s="7" t="str">
        <f t="shared" si="103"/>
        <v/>
      </c>
      <c r="AV952" s="7" t="str">
        <f t="shared" si="104"/>
        <v/>
      </c>
      <c r="AW952" s="7" t="str">
        <f>IF('RFQ-Input'!O951="","",'RFQ-Input'!O951)</f>
        <v/>
      </c>
      <c r="AX952" s="7" t="str">
        <f>IF('RFQ-Input'!S951="","",'RFQ-Input'!S951)</f>
        <v/>
      </c>
      <c r="AY952" s="7" t="str">
        <f>IF('RFQ-Input'!V951="","",'RFQ-Input'!V951)</f>
        <v/>
      </c>
      <c r="AZ952" s="7" t="str">
        <f>IF('RFQ-Input'!Y951="","",'RFQ-Input'!Y951)</f>
        <v/>
      </c>
      <c r="BA952" s="7" t="str">
        <f>IF('RFQ-Input'!AB951="","",'RFQ-Input'!AB951)</f>
        <v/>
      </c>
    </row>
    <row r="953" spans="1:53">
      <c r="A953" s="20">
        <v>949</v>
      </c>
      <c r="B953" s="7"/>
      <c r="C953" s="7" t="str">
        <f>IF('RFQ-Input'!C952="","",'RFQ-Input'!C952)</f>
        <v/>
      </c>
      <c r="D953" s="7" t="str">
        <f>IF('RFQ-Input'!D952="","",'RFQ-Input'!D952)</f>
        <v/>
      </c>
      <c r="E953" s="7" t="str">
        <f>IF('RFQ-Input'!E952="","",'RFQ-Input'!E952)</f>
        <v/>
      </c>
      <c r="F953" s="7" t="str">
        <f>IF('RFQ-Input'!F952="","",'RFQ-Input'!F952)</f>
        <v/>
      </c>
      <c r="G953" s="7" t="str">
        <f>IF('RFQ-Input'!G952="","",'RFQ-Input'!G952)</f>
        <v/>
      </c>
      <c r="H953" s="7" t="str">
        <f>IF('RFQ-Input'!H952="","",'RFQ-Input'!H952)</f>
        <v/>
      </c>
      <c r="I953" s="7" t="str">
        <f>IF('RFQ-Input'!I952="","",'RFQ-Input'!I952)</f>
        <v/>
      </c>
      <c r="J953" s="7" t="str">
        <f>IF('RFQ-Input'!J952="","",'RFQ-Input'!J952)</f>
        <v/>
      </c>
      <c r="K953" s="7" t="str">
        <f>IF('RFQ-Input'!K952="","",'RFQ-Input'!K952)</f>
        <v/>
      </c>
      <c r="L953" s="7" t="str">
        <f>IF('RFQ-Input'!L952="","",'RFQ-Input'!L952)</f>
        <v/>
      </c>
      <c r="M953" s="7" t="str">
        <f>IF('RFQ-Input'!M952="","",'RFQ-Input'!M952)</f>
        <v/>
      </c>
      <c r="N953" s="7" t="str">
        <f>IF('RFQ-Input'!N952="","",'RFQ-Input'!N952)</f>
        <v/>
      </c>
      <c r="O953" s="7" t="str">
        <f>IF('RFQ-Input'!O952="","",'RFQ-Input'!O952)</f>
        <v/>
      </c>
      <c r="Q953" s="7"/>
      <c r="R953" s="7"/>
      <c r="S953" s="7"/>
      <c r="T953" s="7"/>
      <c r="U953" s="7"/>
      <c r="V953" s="7"/>
      <c r="X953" s="7"/>
      <c r="Y953" s="7"/>
      <c r="Z953" s="7"/>
      <c r="AA953" s="7" t="str">
        <f t="shared" si="98"/>
        <v/>
      </c>
      <c r="AB953" s="7"/>
      <c r="AC953" s="7"/>
      <c r="AQ953" s="7" t="str">
        <f t="shared" si="99"/>
        <v/>
      </c>
      <c r="AR953" s="7" t="str">
        <f t="shared" si="100"/>
        <v/>
      </c>
      <c r="AS953" s="7" t="str">
        <f t="shared" si="101"/>
        <v/>
      </c>
      <c r="AT953" s="7" t="str">
        <f t="shared" si="102"/>
        <v/>
      </c>
      <c r="AU953" s="7" t="str">
        <f t="shared" si="103"/>
        <v/>
      </c>
      <c r="AV953" s="7" t="str">
        <f t="shared" si="104"/>
        <v/>
      </c>
      <c r="AW953" s="7" t="str">
        <f>IF('RFQ-Input'!O952="","",'RFQ-Input'!O952)</f>
        <v/>
      </c>
      <c r="AX953" s="7" t="str">
        <f>IF('RFQ-Input'!S952="","",'RFQ-Input'!S952)</f>
        <v/>
      </c>
      <c r="AY953" s="7" t="str">
        <f>IF('RFQ-Input'!V952="","",'RFQ-Input'!V952)</f>
        <v/>
      </c>
      <c r="AZ953" s="7" t="str">
        <f>IF('RFQ-Input'!Y952="","",'RFQ-Input'!Y952)</f>
        <v/>
      </c>
      <c r="BA953" s="7" t="str">
        <f>IF('RFQ-Input'!AB952="","",'RFQ-Input'!AB952)</f>
        <v/>
      </c>
    </row>
    <row r="954" spans="1:53">
      <c r="A954" s="20">
        <v>950</v>
      </c>
      <c r="B954" s="7"/>
      <c r="C954" s="7" t="str">
        <f>IF('RFQ-Input'!C953="","",'RFQ-Input'!C953)</f>
        <v/>
      </c>
      <c r="D954" s="7" t="str">
        <f>IF('RFQ-Input'!D953="","",'RFQ-Input'!D953)</f>
        <v/>
      </c>
      <c r="E954" s="7" t="str">
        <f>IF('RFQ-Input'!E953="","",'RFQ-Input'!E953)</f>
        <v/>
      </c>
      <c r="F954" s="7" t="str">
        <f>IF('RFQ-Input'!F953="","",'RFQ-Input'!F953)</f>
        <v/>
      </c>
      <c r="G954" s="7" t="str">
        <f>IF('RFQ-Input'!G953="","",'RFQ-Input'!G953)</f>
        <v/>
      </c>
      <c r="H954" s="7" t="str">
        <f>IF('RFQ-Input'!H953="","",'RFQ-Input'!H953)</f>
        <v/>
      </c>
      <c r="I954" s="7" t="str">
        <f>IF('RFQ-Input'!I953="","",'RFQ-Input'!I953)</f>
        <v/>
      </c>
      <c r="J954" s="7" t="str">
        <f>IF('RFQ-Input'!J953="","",'RFQ-Input'!J953)</f>
        <v/>
      </c>
      <c r="K954" s="7" t="str">
        <f>IF('RFQ-Input'!K953="","",'RFQ-Input'!K953)</f>
        <v/>
      </c>
      <c r="L954" s="7" t="str">
        <f>IF('RFQ-Input'!L953="","",'RFQ-Input'!L953)</f>
        <v/>
      </c>
      <c r="M954" s="7" t="str">
        <f>IF('RFQ-Input'!M953="","",'RFQ-Input'!M953)</f>
        <v/>
      </c>
      <c r="N954" s="7" t="str">
        <f>IF('RFQ-Input'!N953="","",'RFQ-Input'!N953)</f>
        <v/>
      </c>
      <c r="O954" s="7" t="str">
        <f>IF('RFQ-Input'!O953="","",'RFQ-Input'!O953)</f>
        <v/>
      </c>
      <c r="Q954" s="7"/>
      <c r="R954" s="7"/>
      <c r="S954" s="7"/>
      <c r="T954" s="7"/>
      <c r="U954" s="7"/>
      <c r="V954" s="7"/>
      <c r="X954" s="7"/>
      <c r="Y954" s="7"/>
      <c r="Z954" s="7"/>
      <c r="AA954" s="7" t="str">
        <f t="shared" si="98"/>
        <v/>
      </c>
      <c r="AB954" s="7"/>
      <c r="AC954" s="7"/>
      <c r="AQ954" s="7" t="str">
        <f t="shared" si="99"/>
        <v/>
      </c>
      <c r="AR954" s="7" t="str">
        <f t="shared" si="100"/>
        <v/>
      </c>
      <c r="AS954" s="7" t="str">
        <f t="shared" si="101"/>
        <v/>
      </c>
      <c r="AT954" s="7" t="str">
        <f t="shared" si="102"/>
        <v/>
      </c>
      <c r="AU954" s="7" t="str">
        <f t="shared" si="103"/>
        <v/>
      </c>
      <c r="AV954" s="7" t="str">
        <f t="shared" si="104"/>
        <v/>
      </c>
      <c r="AW954" s="7" t="str">
        <f>IF('RFQ-Input'!O953="","",'RFQ-Input'!O953)</f>
        <v/>
      </c>
      <c r="AX954" s="7" t="str">
        <f>IF('RFQ-Input'!S953="","",'RFQ-Input'!S953)</f>
        <v/>
      </c>
      <c r="AY954" s="7" t="str">
        <f>IF('RFQ-Input'!V953="","",'RFQ-Input'!V953)</f>
        <v/>
      </c>
      <c r="AZ954" s="7" t="str">
        <f>IF('RFQ-Input'!Y953="","",'RFQ-Input'!Y953)</f>
        <v/>
      </c>
      <c r="BA954" s="7" t="str">
        <f>IF('RFQ-Input'!AB953="","",'RFQ-Input'!AB953)</f>
        <v/>
      </c>
    </row>
    <row r="955" spans="1:53">
      <c r="A955" s="20">
        <v>951</v>
      </c>
      <c r="B955" s="7"/>
      <c r="C955" s="7" t="str">
        <f>IF('RFQ-Input'!C954="","",'RFQ-Input'!C954)</f>
        <v/>
      </c>
      <c r="D955" s="7" t="str">
        <f>IF('RFQ-Input'!D954="","",'RFQ-Input'!D954)</f>
        <v/>
      </c>
      <c r="E955" s="7" t="str">
        <f>IF('RFQ-Input'!E954="","",'RFQ-Input'!E954)</f>
        <v/>
      </c>
      <c r="F955" s="7" t="str">
        <f>IF('RFQ-Input'!F954="","",'RFQ-Input'!F954)</f>
        <v/>
      </c>
      <c r="G955" s="7" t="str">
        <f>IF('RFQ-Input'!G954="","",'RFQ-Input'!G954)</f>
        <v/>
      </c>
      <c r="H955" s="7" t="str">
        <f>IF('RFQ-Input'!H954="","",'RFQ-Input'!H954)</f>
        <v/>
      </c>
      <c r="I955" s="7" t="str">
        <f>IF('RFQ-Input'!I954="","",'RFQ-Input'!I954)</f>
        <v/>
      </c>
      <c r="J955" s="7" t="str">
        <f>IF('RFQ-Input'!J954="","",'RFQ-Input'!J954)</f>
        <v/>
      </c>
      <c r="K955" s="7" t="str">
        <f>IF('RFQ-Input'!K954="","",'RFQ-Input'!K954)</f>
        <v/>
      </c>
      <c r="L955" s="7" t="str">
        <f>IF('RFQ-Input'!L954="","",'RFQ-Input'!L954)</f>
        <v/>
      </c>
      <c r="M955" s="7" t="str">
        <f>IF('RFQ-Input'!M954="","",'RFQ-Input'!M954)</f>
        <v/>
      </c>
      <c r="N955" s="7" t="str">
        <f>IF('RFQ-Input'!N954="","",'RFQ-Input'!N954)</f>
        <v/>
      </c>
      <c r="O955" s="7" t="str">
        <f>IF('RFQ-Input'!O954="","",'RFQ-Input'!O954)</f>
        <v/>
      </c>
      <c r="Q955" s="7"/>
      <c r="R955" s="7"/>
      <c r="S955" s="7"/>
      <c r="T955" s="7"/>
      <c r="U955" s="7"/>
      <c r="V955" s="7"/>
      <c r="X955" s="7"/>
      <c r="Y955" s="7"/>
      <c r="Z955" s="7"/>
      <c r="AA955" s="7" t="str">
        <f t="shared" si="98"/>
        <v/>
      </c>
      <c r="AB955" s="7"/>
      <c r="AC955" s="7"/>
      <c r="AQ955" s="7" t="str">
        <f t="shared" si="99"/>
        <v/>
      </c>
      <c r="AR955" s="7" t="str">
        <f t="shared" si="100"/>
        <v/>
      </c>
      <c r="AS955" s="7" t="str">
        <f t="shared" si="101"/>
        <v/>
      </c>
      <c r="AT955" s="7" t="str">
        <f t="shared" si="102"/>
        <v/>
      </c>
      <c r="AU955" s="7" t="str">
        <f t="shared" si="103"/>
        <v/>
      </c>
      <c r="AV955" s="7" t="str">
        <f t="shared" si="104"/>
        <v/>
      </c>
      <c r="AW955" s="7" t="str">
        <f>IF('RFQ-Input'!O954="","",'RFQ-Input'!O954)</f>
        <v/>
      </c>
      <c r="AX955" s="7" t="str">
        <f>IF('RFQ-Input'!S954="","",'RFQ-Input'!S954)</f>
        <v/>
      </c>
      <c r="AY955" s="7" t="str">
        <f>IF('RFQ-Input'!V954="","",'RFQ-Input'!V954)</f>
        <v/>
      </c>
      <c r="AZ955" s="7" t="str">
        <f>IF('RFQ-Input'!Y954="","",'RFQ-Input'!Y954)</f>
        <v/>
      </c>
      <c r="BA955" s="7" t="str">
        <f>IF('RFQ-Input'!AB954="","",'RFQ-Input'!AB954)</f>
        <v/>
      </c>
    </row>
    <row r="956" spans="1:53">
      <c r="A956" s="20">
        <v>952</v>
      </c>
      <c r="B956" s="7"/>
      <c r="C956" s="7" t="str">
        <f>IF('RFQ-Input'!C955="","",'RFQ-Input'!C955)</f>
        <v/>
      </c>
      <c r="D956" s="7" t="str">
        <f>IF('RFQ-Input'!D955="","",'RFQ-Input'!D955)</f>
        <v/>
      </c>
      <c r="E956" s="7" t="str">
        <f>IF('RFQ-Input'!E955="","",'RFQ-Input'!E955)</f>
        <v/>
      </c>
      <c r="F956" s="7" t="str">
        <f>IF('RFQ-Input'!F955="","",'RFQ-Input'!F955)</f>
        <v/>
      </c>
      <c r="G956" s="7" t="str">
        <f>IF('RFQ-Input'!G955="","",'RFQ-Input'!G955)</f>
        <v/>
      </c>
      <c r="H956" s="7" t="str">
        <f>IF('RFQ-Input'!H955="","",'RFQ-Input'!H955)</f>
        <v/>
      </c>
      <c r="I956" s="7" t="str">
        <f>IF('RFQ-Input'!I955="","",'RFQ-Input'!I955)</f>
        <v/>
      </c>
      <c r="J956" s="7" t="str">
        <f>IF('RFQ-Input'!J955="","",'RFQ-Input'!J955)</f>
        <v/>
      </c>
      <c r="K956" s="7" t="str">
        <f>IF('RFQ-Input'!K955="","",'RFQ-Input'!K955)</f>
        <v/>
      </c>
      <c r="L956" s="7" t="str">
        <f>IF('RFQ-Input'!L955="","",'RFQ-Input'!L955)</f>
        <v/>
      </c>
      <c r="M956" s="7" t="str">
        <f>IF('RFQ-Input'!M955="","",'RFQ-Input'!M955)</f>
        <v/>
      </c>
      <c r="N956" s="7" t="str">
        <f>IF('RFQ-Input'!N955="","",'RFQ-Input'!N955)</f>
        <v/>
      </c>
      <c r="O956" s="7" t="str">
        <f>IF('RFQ-Input'!O955="","",'RFQ-Input'!O955)</f>
        <v/>
      </c>
      <c r="Q956" s="7"/>
      <c r="R956" s="7"/>
      <c r="S956" s="7"/>
      <c r="T956" s="7"/>
      <c r="U956" s="7"/>
      <c r="V956" s="7"/>
      <c r="X956" s="7"/>
      <c r="Y956" s="7"/>
      <c r="Z956" s="7"/>
      <c r="AA956" s="7" t="str">
        <f t="shared" si="98"/>
        <v/>
      </c>
      <c r="AB956" s="7"/>
      <c r="AC956" s="7"/>
      <c r="AQ956" s="7" t="str">
        <f t="shared" si="99"/>
        <v/>
      </c>
      <c r="AR956" s="7" t="str">
        <f t="shared" si="100"/>
        <v/>
      </c>
      <c r="AS956" s="7" t="str">
        <f t="shared" si="101"/>
        <v/>
      </c>
      <c r="AT956" s="7" t="str">
        <f t="shared" si="102"/>
        <v/>
      </c>
      <c r="AU956" s="7" t="str">
        <f t="shared" si="103"/>
        <v/>
      </c>
      <c r="AV956" s="7" t="str">
        <f t="shared" si="104"/>
        <v/>
      </c>
      <c r="AW956" s="7" t="str">
        <f>IF('RFQ-Input'!O955="","",'RFQ-Input'!O955)</f>
        <v/>
      </c>
      <c r="AX956" s="7" t="str">
        <f>IF('RFQ-Input'!S955="","",'RFQ-Input'!S955)</f>
        <v/>
      </c>
      <c r="AY956" s="7" t="str">
        <f>IF('RFQ-Input'!V955="","",'RFQ-Input'!V955)</f>
        <v/>
      </c>
      <c r="AZ956" s="7" t="str">
        <f>IF('RFQ-Input'!Y955="","",'RFQ-Input'!Y955)</f>
        <v/>
      </c>
      <c r="BA956" s="7" t="str">
        <f>IF('RFQ-Input'!AB955="","",'RFQ-Input'!AB955)</f>
        <v/>
      </c>
    </row>
    <row r="957" spans="1:53">
      <c r="A957" s="20">
        <v>953</v>
      </c>
      <c r="B957" s="7"/>
      <c r="C957" s="7" t="str">
        <f>IF('RFQ-Input'!C956="","",'RFQ-Input'!C956)</f>
        <v/>
      </c>
      <c r="D957" s="7" t="str">
        <f>IF('RFQ-Input'!D956="","",'RFQ-Input'!D956)</f>
        <v/>
      </c>
      <c r="E957" s="7" t="str">
        <f>IF('RFQ-Input'!E956="","",'RFQ-Input'!E956)</f>
        <v/>
      </c>
      <c r="F957" s="7" t="str">
        <f>IF('RFQ-Input'!F956="","",'RFQ-Input'!F956)</f>
        <v/>
      </c>
      <c r="G957" s="7" t="str">
        <f>IF('RFQ-Input'!G956="","",'RFQ-Input'!G956)</f>
        <v/>
      </c>
      <c r="H957" s="7" t="str">
        <f>IF('RFQ-Input'!H956="","",'RFQ-Input'!H956)</f>
        <v/>
      </c>
      <c r="I957" s="7" t="str">
        <f>IF('RFQ-Input'!I956="","",'RFQ-Input'!I956)</f>
        <v/>
      </c>
      <c r="J957" s="7" t="str">
        <f>IF('RFQ-Input'!J956="","",'RFQ-Input'!J956)</f>
        <v/>
      </c>
      <c r="K957" s="7" t="str">
        <f>IF('RFQ-Input'!K956="","",'RFQ-Input'!K956)</f>
        <v/>
      </c>
      <c r="L957" s="7" t="str">
        <f>IF('RFQ-Input'!L956="","",'RFQ-Input'!L956)</f>
        <v/>
      </c>
      <c r="M957" s="7" t="str">
        <f>IF('RFQ-Input'!M956="","",'RFQ-Input'!M956)</f>
        <v/>
      </c>
      <c r="N957" s="7" t="str">
        <f>IF('RFQ-Input'!N956="","",'RFQ-Input'!N956)</f>
        <v/>
      </c>
      <c r="O957" s="7" t="str">
        <f>IF('RFQ-Input'!O956="","",'RFQ-Input'!O956)</f>
        <v/>
      </c>
      <c r="Q957" s="7"/>
      <c r="R957" s="7"/>
      <c r="S957" s="7"/>
      <c r="T957" s="7"/>
      <c r="U957" s="7"/>
      <c r="V957" s="7"/>
      <c r="X957" s="7"/>
      <c r="Y957" s="7"/>
      <c r="Z957" s="7"/>
      <c r="AA957" s="7" t="str">
        <f t="shared" si="98"/>
        <v/>
      </c>
      <c r="AB957" s="7"/>
      <c r="AC957" s="7"/>
      <c r="AQ957" s="7" t="str">
        <f t="shared" si="99"/>
        <v/>
      </c>
      <c r="AR957" s="7" t="str">
        <f t="shared" si="100"/>
        <v/>
      </c>
      <c r="AS957" s="7" t="str">
        <f t="shared" si="101"/>
        <v/>
      </c>
      <c r="AT957" s="7" t="str">
        <f t="shared" si="102"/>
        <v/>
      </c>
      <c r="AU957" s="7" t="str">
        <f t="shared" si="103"/>
        <v/>
      </c>
      <c r="AV957" s="7" t="str">
        <f t="shared" si="104"/>
        <v/>
      </c>
      <c r="AW957" s="7" t="str">
        <f>IF('RFQ-Input'!O956="","",'RFQ-Input'!O956)</f>
        <v/>
      </c>
      <c r="AX957" s="7" t="str">
        <f>IF('RFQ-Input'!S956="","",'RFQ-Input'!S956)</f>
        <v/>
      </c>
      <c r="AY957" s="7" t="str">
        <f>IF('RFQ-Input'!V956="","",'RFQ-Input'!V956)</f>
        <v/>
      </c>
      <c r="AZ957" s="7" t="str">
        <f>IF('RFQ-Input'!Y956="","",'RFQ-Input'!Y956)</f>
        <v/>
      </c>
      <c r="BA957" s="7" t="str">
        <f>IF('RFQ-Input'!AB956="","",'RFQ-Input'!AB956)</f>
        <v/>
      </c>
    </row>
    <row r="958" spans="1:53">
      <c r="A958" s="20">
        <v>954</v>
      </c>
      <c r="B958" s="7"/>
      <c r="C958" s="7" t="str">
        <f>IF('RFQ-Input'!C957="","",'RFQ-Input'!C957)</f>
        <v/>
      </c>
      <c r="D958" s="7" t="str">
        <f>IF('RFQ-Input'!D957="","",'RFQ-Input'!D957)</f>
        <v/>
      </c>
      <c r="E958" s="7" t="str">
        <f>IF('RFQ-Input'!E957="","",'RFQ-Input'!E957)</f>
        <v/>
      </c>
      <c r="F958" s="7" t="str">
        <f>IF('RFQ-Input'!F957="","",'RFQ-Input'!F957)</f>
        <v/>
      </c>
      <c r="G958" s="7" t="str">
        <f>IF('RFQ-Input'!G957="","",'RFQ-Input'!G957)</f>
        <v/>
      </c>
      <c r="H958" s="7" t="str">
        <f>IF('RFQ-Input'!H957="","",'RFQ-Input'!H957)</f>
        <v/>
      </c>
      <c r="I958" s="7" t="str">
        <f>IF('RFQ-Input'!I957="","",'RFQ-Input'!I957)</f>
        <v/>
      </c>
      <c r="J958" s="7" t="str">
        <f>IF('RFQ-Input'!J957="","",'RFQ-Input'!J957)</f>
        <v/>
      </c>
      <c r="K958" s="7" t="str">
        <f>IF('RFQ-Input'!K957="","",'RFQ-Input'!K957)</f>
        <v/>
      </c>
      <c r="L958" s="7" t="str">
        <f>IF('RFQ-Input'!L957="","",'RFQ-Input'!L957)</f>
        <v/>
      </c>
      <c r="M958" s="7" t="str">
        <f>IF('RFQ-Input'!M957="","",'RFQ-Input'!M957)</f>
        <v/>
      </c>
      <c r="N958" s="7" t="str">
        <f>IF('RFQ-Input'!N957="","",'RFQ-Input'!N957)</f>
        <v/>
      </c>
      <c r="O958" s="7" t="str">
        <f>IF('RFQ-Input'!O957="","",'RFQ-Input'!O957)</f>
        <v/>
      </c>
      <c r="Q958" s="7"/>
      <c r="R958" s="7"/>
      <c r="S958" s="7"/>
      <c r="T958" s="7"/>
      <c r="U958" s="7"/>
      <c r="V958" s="7"/>
      <c r="X958" s="7"/>
      <c r="Y958" s="7"/>
      <c r="Z958" s="7"/>
      <c r="AA958" s="7" t="str">
        <f t="shared" si="98"/>
        <v/>
      </c>
      <c r="AB958" s="7"/>
      <c r="AC958" s="7"/>
      <c r="AQ958" s="7" t="str">
        <f t="shared" si="99"/>
        <v/>
      </c>
      <c r="AR958" s="7" t="str">
        <f t="shared" si="100"/>
        <v/>
      </c>
      <c r="AS958" s="7" t="str">
        <f t="shared" si="101"/>
        <v/>
      </c>
      <c r="AT958" s="7" t="str">
        <f t="shared" si="102"/>
        <v/>
      </c>
      <c r="AU958" s="7" t="str">
        <f t="shared" si="103"/>
        <v/>
      </c>
      <c r="AV958" s="7" t="str">
        <f t="shared" si="104"/>
        <v/>
      </c>
      <c r="AW958" s="7" t="str">
        <f>IF('RFQ-Input'!O957="","",'RFQ-Input'!O957)</f>
        <v/>
      </c>
      <c r="AX958" s="7" t="str">
        <f>IF('RFQ-Input'!S957="","",'RFQ-Input'!S957)</f>
        <v/>
      </c>
      <c r="AY958" s="7" t="str">
        <f>IF('RFQ-Input'!V957="","",'RFQ-Input'!V957)</f>
        <v/>
      </c>
      <c r="AZ958" s="7" t="str">
        <f>IF('RFQ-Input'!Y957="","",'RFQ-Input'!Y957)</f>
        <v/>
      </c>
      <c r="BA958" s="7" t="str">
        <f>IF('RFQ-Input'!AB957="","",'RFQ-Input'!AB957)</f>
        <v/>
      </c>
    </row>
    <row r="959" spans="1:53">
      <c r="A959" s="20">
        <v>955</v>
      </c>
      <c r="B959" s="7"/>
      <c r="C959" s="7" t="str">
        <f>IF('RFQ-Input'!C958="","",'RFQ-Input'!C958)</f>
        <v/>
      </c>
      <c r="D959" s="7" t="str">
        <f>IF('RFQ-Input'!D958="","",'RFQ-Input'!D958)</f>
        <v/>
      </c>
      <c r="E959" s="7" t="str">
        <f>IF('RFQ-Input'!E958="","",'RFQ-Input'!E958)</f>
        <v/>
      </c>
      <c r="F959" s="7" t="str">
        <f>IF('RFQ-Input'!F958="","",'RFQ-Input'!F958)</f>
        <v/>
      </c>
      <c r="G959" s="7" t="str">
        <f>IF('RFQ-Input'!G958="","",'RFQ-Input'!G958)</f>
        <v/>
      </c>
      <c r="H959" s="7" t="str">
        <f>IF('RFQ-Input'!H958="","",'RFQ-Input'!H958)</f>
        <v/>
      </c>
      <c r="I959" s="7" t="str">
        <f>IF('RFQ-Input'!I958="","",'RFQ-Input'!I958)</f>
        <v/>
      </c>
      <c r="J959" s="7" t="str">
        <f>IF('RFQ-Input'!J958="","",'RFQ-Input'!J958)</f>
        <v/>
      </c>
      <c r="K959" s="7" t="str">
        <f>IF('RFQ-Input'!K958="","",'RFQ-Input'!K958)</f>
        <v/>
      </c>
      <c r="L959" s="7" t="str">
        <f>IF('RFQ-Input'!L958="","",'RFQ-Input'!L958)</f>
        <v/>
      </c>
      <c r="M959" s="7" t="str">
        <f>IF('RFQ-Input'!M958="","",'RFQ-Input'!M958)</f>
        <v/>
      </c>
      <c r="N959" s="7" t="str">
        <f>IF('RFQ-Input'!N958="","",'RFQ-Input'!N958)</f>
        <v/>
      </c>
      <c r="O959" s="7" t="str">
        <f>IF('RFQ-Input'!O958="","",'RFQ-Input'!O958)</f>
        <v/>
      </c>
      <c r="Q959" s="7"/>
      <c r="R959" s="7"/>
      <c r="S959" s="7"/>
      <c r="T959" s="7"/>
      <c r="U959" s="7"/>
      <c r="V959" s="7"/>
      <c r="X959" s="7"/>
      <c r="Y959" s="7"/>
      <c r="Z959" s="7"/>
      <c r="AA959" s="7" t="str">
        <f t="shared" si="98"/>
        <v/>
      </c>
      <c r="AB959" s="7"/>
      <c r="AC959" s="7"/>
      <c r="AQ959" s="7" t="str">
        <f t="shared" si="99"/>
        <v/>
      </c>
      <c r="AR959" s="7" t="str">
        <f t="shared" si="100"/>
        <v/>
      </c>
      <c r="AS959" s="7" t="str">
        <f t="shared" si="101"/>
        <v/>
      </c>
      <c r="AT959" s="7" t="str">
        <f t="shared" si="102"/>
        <v/>
      </c>
      <c r="AU959" s="7" t="str">
        <f t="shared" si="103"/>
        <v/>
      </c>
      <c r="AV959" s="7" t="str">
        <f t="shared" si="104"/>
        <v/>
      </c>
      <c r="AW959" s="7" t="str">
        <f>IF('RFQ-Input'!O958="","",'RFQ-Input'!O958)</f>
        <v/>
      </c>
      <c r="AX959" s="7" t="str">
        <f>IF('RFQ-Input'!S958="","",'RFQ-Input'!S958)</f>
        <v/>
      </c>
      <c r="AY959" s="7" t="str">
        <f>IF('RFQ-Input'!V958="","",'RFQ-Input'!V958)</f>
        <v/>
      </c>
      <c r="AZ959" s="7" t="str">
        <f>IF('RFQ-Input'!Y958="","",'RFQ-Input'!Y958)</f>
        <v/>
      </c>
      <c r="BA959" s="7" t="str">
        <f>IF('RFQ-Input'!AB958="","",'RFQ-Input'!AB958)</f>
        <v/>
      </c>
    </row>
    <row r="960" spans="1:53">
      <c r="A960" s="20">
        <v>956</v>
      </c>
      <c r="B960" s="7"/>
      <c r="C960" s="7" t="str">
        <f>IF('RFQ-Input'!C959="","",'RFQ-Input'!C959)</f>
        <v/>
      </c>
      <c r="D960" s="7" t="str">
        <f>IF('RFQ-Input'!D959="","",'RFQ-Input'!D959)</f>
        <v/>
      </c>
      <c r="E960" s="7" t="str">
        <f>IF('RFQ-Input'!E959="","",'RFQ-Input'!E959)</f>
        <v/>
      </c>
      <c r="F960" s="7" t="str">
        <f>IF('RFQ-Input'!F959="","",'RFQ-Input'!F959)</f>
        <v/>
      </c>
      <c r="G960" s="7" t="str">
        <f>IF('RFQ-Input'!G959="","",'RFQ-Input'!G959)</f>
        <v/>
      </c>
      <c r="H960" s="7" t="str">
        <f>IF('RFQ-Input'!H959="","",'RFQ-Input'!H959)</f>
        <v/>
      </c>
      <c r="I960" s="7" t="str">
        <f>IF('RFQ-Input'!I959="","",'RFQ-Input'!I959)</f>
        <v/>
      </c>
      <c r="J960" s="7" t="str">
        <f>IF('RFQ-Input'!J959="","",'RFQ-Input'!J959)</f>
        <v/>
      </c>
      <c r="K960" s="7" t="str">
        <f>IF('RFQ-Input'!K959="","",'RFQ-Input'!K959)</f>
        <v/>
      </c>
      <c r="L960" s="7" t="str">
        <f>IF('RFQ-Input'!L959="","",'RFQ-Input'!L959)</f>
        <v/>
      </c>
      <c r="M960" s="7" t="str">
        <f>IF('RFQ-Input'!M959="","",'RFQ-Input'!M959)</f>
        <v/>
      </c>
      <c r="N960" s="7" t="str">
        <f>IF('RFQ-Input'!N959="","",'RFQ-Input'!N959)</f>
        <v/>
      </c>
      <c r="O960" s="7" t="str">
        <f>IF('RFQ-Input'!O959="","",'RFQ-Input'!O959)</f>
        <v/>
      </c>
      <c r="Q960" s="7"/>
      <c r="R960" s="7"/>
      <c r="S960" s="7"/>
      <c r="T960" s="7"/>
      <c r="U960" s="7"/>
      <c r="V960" s="7"/>
      <c r="X960" s="7"/>
      <c r="Y960" s="7"/>
      <c r="Z960" s="7"/>
      <c r="AA960" s="7" t="str">
        <f t="shared" si="98"/>
        <v/>
      </c>
      <c r="AB960" s="7"/>
      <c r="AC960" s="7"/>
      <c r="AQ960" s="7" t="str">
        <f t="shared" si="99"/>
        <v/>
      </c>
      <c r="AR960" s="7" t="str">
        <f t="shared" si="100"/>
        <v/>
      </c>
      <c r="AS960" s="7" t="str">
        <f t="shared" si="101"/>
        <v/>
      </c>
      <c r="AT960" s="7" t="str">
        <f t="shared" si="102"/>
        <v/>
      </c>
      <c r="AU960" s="7" t="str">
        <f t="shared" si="103"/>
        <v/>
      </c>
      <c r="AV960" s="7" t="str">
        <f t="shared" si="104"/>
        <v/>
      </c>
      <c r="AW960" s="7" t="str">
        <f>IF('RFQ-Input'!O959="","",'RFQ-Input'!O959)</f>
        <v/>
      </c>
      <c r="AX960" s="7" t="str">
        <f>IF('RFQ-Input'!S959="","",'RFQ-Input'!S959)</f>
        <v/>
      </c>
      <c r="AY960" s="7" t="str">
        <f>IF('RFQ-Input'!V959="","",'RFQ-Input'!V959)</f>
        <v/>
      </c>
      <c r="AZ960" s="7" t="str">
        <f>IF('RFQ-Input'!Y959="","",'RFQ-Input'!Y959)</f>
        <v/>
      </c>
      <c r="BA960" s="7" t="str">
        <f>IF('RFQ-Input'!AB959="","",'RFQ-Input'!AB959)</f>
        <v/>
      </c>
    </row>
    <row r="961" spans="1:53">
      <c r="A961" s="20">
        <v>957</v>
      </c>
      <c r="B961" s="7"/>
      <c r="C961" s="7" t="str">
        <f>IF('RFQ-Input'!C960="","",'RFQ-Input'!C960)</f>
        <v/>
      </c>
      <c r="D961" s="7" t="str">
        <f>IF('RFQ-Input'!D960="","",'RFQ-Input'!D960)</f>
        <v/>
      </c>
      <c r="E961" s="7" t="str">
        <f>IF('RFQ-Input'!E960="","",'RFQ-Input'!E960)</f>
        <v/>
      </c>
      <c r="F961" s="7" t="str">
        <f>IF('RFQ-Input'!F960="","",'RFQ-Input'!F960)</f>
        <v/>
      </c>
      <c r="G961" s="7" t="str">
        <f>IF('RFQ-Input'!G960="","",'RFQ-Input'!G960)</f>
        <v/>
      </c>
      <c r="H961" s="7" t="str">
        <f>IF('RFQ-Input'!H960="","",'RFQ-Input'!H960)</f>
        <v/>
      </c>
      <c r="I961" s="7" t="str">
        <f>IF('RFQ-Input'!I960="","",'RFQ-Input'!I960)</f>
        <v/>
      </c>
      <c r="J961" s="7" t="str">
        <f>IF('RFQ-Input'!J960="","",'RFQ-Input'!J960)</f>
        <v/>
      </c>
      <c r="K961" s="7" t="str">
        <f>IF('RFQ-Input'!K960="","",'RFQ-Input'!K960)</f>
        <v/>
      </c>
      <c r="L961" s="7" t="str">
        <f>IF('RFQ-Input'!L960="","",'RFQ-Input'!L960)</f>
        <v/>
      </c>
      <c r="M961" s="7" t="str">
        <f>IF('RFQ-Input'!M960="","",'RFQ-Input'!M960)</f>
        <v/>
      </c>
      <c r="N961" s="7" t="str">
        <f>IF('RFQ-Input'!N960="","",'RFQ-Input'!N960)</f>
        <v/>
      </c>
      <c r="O961" s="7" t="str">
        <f>IF('RFQ-Input'!O960="","",'RFQ-Input'!O960)</f>
        <v/>
      </c>
      <c r="Q961" s="7"/>
      <c r="R961" s="7"/>
      <c r="S961" s="7"/>
      <c r="T961" s="7"/>
      <c r="U961" s="7"/>
      <c r="V961" s="7"/>
      <c r="X961" s="7"/>
      <c r="Y961" s="7"/>
      <c r="Z961" s="7"/>
      <c r="AA961" s="7" t="str">
        <f t="shared" si="98"/>
        <v/>
      </c>
      <c r="AB961" s="7"/>
      <c r="AC961" s="7"/>
      <c r="AQ961" s="7" t="str">
        <f t="shared" si="99"/>
        <v/>
      </c>
      <c r="AR961" s="7" t="str">
        <f t="shared" si="100"/>
        <v/>
      </c>
      <c r="AS961" s="7" t="str">
        <f t="shared" si="101"/>
        <v/>
      </c>
      <c r="AT961" s="7" t="str">
        <f t="shared" si="102"/>
        <v/>
      </c>
      <c r="AU961" s="7" t="str">
        <f t="shared" si="103"/>
        <v/>
      </c>
      <c r="AV961" s="7" t="str">
        <f t="shared" si="104"/>
        <v/>
      </c>
      <c r="AW961" s="7" t="str">
        <f>IF('RFQ-Input'!O960="","",'RFQ-Input'!O960)</f>
        <v/>
      </c>
      <c r="AX961" s="7" t="str">
        <f>IF('RFQ-Input'!S960="","",'RFQ-Input'!S960)</f>
        <v/>
      </c>
      <c r="AY961" s="7" t="str">
        <f>IF('RFQ-Input'!V960="","",'RFQ-Input'!V960)</f>
        <v/>
      </c>
      <c r="AZ961" s="7" t="str">
        <f>IF('RFQ-Input'!Y960="","",'RFQ-Input'!Y960)</f>
        <v/>
      </c>
      <c r="BA961" s="7" t="str">
        <f>IF('RFQ-Input'!AB960="","",'RFQ-Input'!AB960)</f>
        <v/>
      </c>
    </row>
    <row r="962" spans="1:53">
      <c r="A962" s="20">
        <v>958</v>
      </c>
      <c r="B962" s="7"/>
      <c r="C962" s="7" t="str">
        <f>IF('RFQ-Input'!C961="","",'RFQ-Input'!C961)</f>
        <v/>
      </c>
      <c r="D962" s="7" t="str">
        <f>IF('RFQ-Input'!D961="","",'RFQ-Input'!D961)</f>
        <v/>
      </c>
      <c r="E962" s="7" t="str">
        <f>IF('RFQ-Input'!E961="","",'RFQ-Input'!E961)</f>
        <v/>
      </c>
      <c r="F962" s="7" t="str">
        <f>IF('RFQ-Input'!F961="","",'RFQ-Input'!F961)</f>
        <v/>
      </c>
      <c r="G962" s="7" t="str">
        <f>IF('RFQ-Input'!G961="","",'RFQ-Input'!G961)</f>
        <v/>
      </c>
      <c r="H962" s="7" t="str">
        <f>IF('RFQ-Input'!H961="","",'RFQ-Input'!H961)</f>
        <v/>
      </c>
      <c r="I962" s="7" t="str">
        <f>IF('RFQ-Input'!I961="","",'RFQ-Input'!I961)</f>
        <v/>
      </c>
      <c r="J962" s="7" t="str">
        <f>IF('RFQ-Input'!J961="","",'RFQ-Input'!J961)</f>
        <v/>
      </c>
      <c r="K962" s="7" t="str">
        <f>IF('RFQ-Input'!K961="","",'RFQ-Input'!K961)</f>
        <v/>
      </c>
      <c r="L962" s="7" t="str">
        <f>IF('RFQ-Input'!L961="","",'RFQ-Input'!L961)</f>
        <v/>
      </c>
      <c r="M962" s="7" t="str">
        <f>IF('RFQ-Input'!M961="","",'RFQ-Input'!M961)</f>
        <v/>
      </c>
      <c r="N962" s="7" t="str">
        <f>IF('RFQ-Input'!N961="","",'RFQ-Input'!N961)</f>
        <v/>
      </c>
      <c r="O962" s="7" t="str">
        <f>IF('RFQ-Input'!O961="","",'RFQ-Input'!O961)</f>
        <v/>
      </c>
      <c r="Q962" s="7"/>
      <c r="R962" s="7"/>
      <c r="S962" s="7"/>
      <c r="T962" s="7"/>
      <c r="U962" s="7"/>
      <c r="V962" s="7"/>
      <c r="X962" s="7"/>
      <c r="Y962" s="7"/>
      <c r="Z962" s="7"/>
      <c r="AA962" s="7" t="str">
        <f t="shared" si="98"/>
        <v/>
      </c>
      <c r="AB962" s="7"/>
      <c r="AC962" s="7"/>
      <c r="AQ962" s="7" t="str">
        <f t="shared" si="99"/>
        <v/>
      </c>
      <c r="AR962" s="7" t="str">
        <f t="shared" si="100"/>
        <v/>
      </c>
      <c r="AS962" s="7" t="str">
        <f t="shared" si="101"/>
        <v/>
      </c>
      <c r="AT962" s="7" t="str">
        <f t="shared" si="102"/>
        <v/>
      </c>
      <c r="AU962" s="7" t="str">
        <f t="shared" si="103"/>
        <v/>
      </c>
      <c r="AV962" s="7" t="str">
        <f t="shared" si="104"/>
        <v/>
      </c>
      <c r="AW962" s="7" t="str">
        <f>IF('RFQ-Input'!O961="","",'RFQ-Input'!O961)</f>
        <v/>
      </c>
      <c r="AX962" s="7" t="str">
        <f>IF('RFQ-Input'!S961="","",'RFQ-Input'!S961)</f>
        <v/>
      </c>
      <c r="AY962" s="7" t="str">
        <f>IF('RFQ-Input'!V961="","",'RFQ-Input'!V961)</f>
        <v/>
      </c>
      <c r="AZ962" s="7" t="str">
        <f>IF('RFQ-Input'!Y961="","",'RFQ-Input'!Y961)</f>
        <v/>
      </c>
      <c r="BA962" s="7" t="str">
        <f>IF('RFQ-Input'!AB961="","",'RFQ-Input'!AB961)</f>
        <v/>
      </c>
    </row>
    <row r="963" spans="1:53">
      <c r="A963" s="20">
        <v>959</v>
      </c>
      <c r="B963" s="7"/>
      <c r="C963" s="7" t="str">
        <f>IF('RFQ-Input'!C962="","",'RFQ-Input'!C962)</f>
        <v/>
      </c>
      <c r="D963" s="7" t="str">
        <f>IF('RFQ-Input'!D962="","",'RFQ-Input'!D962)</f>
        <v/>
      </c>
      <c r="E963" s="7" t="str">
        <f>IF('RFQ-Input'!E962="","",'RFQ-Input'!E962)</f>
        <v/>
      </c>
      <c r="F963" s="7" t="str">
        <f>IF('RFQ-Input'!F962="","",'RFQ-Input'!F962)</f>
        <v/>
      </c>
      <c r="G963" s="7" t="str">
        <f>IF('RFQ-Input'!G962="","",'RFQ-Input'!G962)</f>
        <v/>
      </c>
      <c r="H963" s="7" t="str">
        <f>IF('RFQ-Input'!H962="","",'RFQ-Input'!H962)</f>
        <v/>
      </c>
      <c r="I963" s="7" t="str">
        <f>IF('RFQ-Input'!I962="","",'RFQ-Input'!I962)</f>
        <v/>
      </c>
      <c r="J963" s="7" t="str">
        <f>IF('RFQ-Input'!J962="","",'RFQ-Input'!J962)</f>
        <v/>
      </c>
      <c r="K963" s="7" t="str">
        <f>IF('RFQ-Input'!K962="","",'RFQ-Input'!K962)</f>
        <v/>
      </c>
      <c r="L963" s="7" t="str">
        <f>IF('RFQ-Input'!L962="","",'RFQ-Input'!L962)</f>
        <v/>
      </c>
      <c r="M963" s="7" t="str">
        <f>IF('RFQ-Input'!M962="","",'RFQ-Input'!M962)</f>
        <v/>
      </c>
      <c r="N963" s="7" t="str">
        <f>IF('RFQ-Input'!N962="","",'RFQ-Input'!N962)</f>
        <v/>
      </c>
      <c r="O963" s="7" t="str">
        <f>IF('RFQ-Input'!O962="","",'RFQ-Input'!O962)</f>
        <v/>
      </c>
      <c r="Q963" s="7"/>
      <c r="R963" s="7"/>
      <c r="S963" s="7"/>
      <c r="T963" s="7"/>
      <c r="U963" s="7"/>
      <c r="V963" s="7"/>
      <c r="X963" s="7"/>
      <c r="Y963" s="7"/>
      <c r="Z963" s="7"/>
      <c r="AA963" s="7" t="str">
        <f t="shared" si="98"/>
        <v/>
      </c>
      <c r="AB963" s="7"/>
      <c r="AC963" s="7"/>
      <c r="AQ963" s="7" t="str">
        <f t="shared" si="99"/>
        <v/>
      </c>
      <c r="AR963" s="7" t="str">
        <f t="shared" si="100"/>
        <v/>
      </c>
      <c r="AS963" s="7" t="str">
        <f t="shared" si="101"/>
        <v/>
      </c>
      <c r="AT963" s="7" t="str">
        <f t="shared" si="102"/>
        <v/>
      </c>
      <c r="AU963" s="7" t="str">
        <f t="shared" si="103"/>
        <v/>
      </c>
      <c r="AV963" s="7" t="str">
        <f t="shared" si="104"/>
        <v/>
      </c>
      <c r="AW963" s="7" t="str">
        <f>IF('RFQ-Input'!O962="","",'RFQ-Input'!O962)</f>
        <v/>
      </c>
      <c r="AX963" s="7" t="str">
        <f>IF('RFQ-Input'!S962="","",'RFQ-Input'!S962)</f>
        <v/>
      </c>
      <c r="AY963" s="7" t="str">
        <f>IF('RFQ-Input'!V962="","",'RFQ-Input'!V962)</f>
        <v/>
      </c>
      <c r="AZ963" s="7" t="str">
        <f>IF('RFQ-Input'!Y962="","",'RFQ-Input'!Y962)</f>
        <v/>
      </c>
      <c r="BA963" s="7" t="str">
        <f>IF('RFQ-Input'!AB962="","",'RFQ-Input'!AB962)</f>
        <v/>
      </c>
    </row>
    <row r="964" spans="1:53">
      <c r="A964" s="20">
        <v>960</v>
      </c>
      <c r="B964" s="7"/>
      <c r="C964" s="7" t="str">
        <f>IF('RFQ-Input'!C963="","",'RFQ-Input'!C963)</f>
        <v/>
      </c>
      <c r="D964" s="7" t="str">
        <f>IF('RFQ-Input'!D963="","",'RFQ-Input'!D963)</f>
        <v/>
      </c>
      <c r="E964" s="7" t="str">
        <f>IF('RFQ-Input'!E963="","",'RFQ-Input'!E963)</f>
        <v/>
      </c>
      <c r="F964" s="7" t="str">
        <f>IF('RFQ-Input'!F963="","",'RFQ-Input'!F963)</f>
        <v/>
      </c>
      <c r="G964" s="7" t="str">
        <f>IF('RFQ-Input'!G963="","",'RFQ-Input'!G963)</f>
        <v/>
      </c>
      <c r="H964" s="7" t="str">
        <f>IF('RFQ-Input'!H963="","",'RFQ-Input'!H963)</f>
        <v/>
      </c>
      <c r="I964" s="7" t="str">
        <f>IF('RFQ-Input'!I963="","",'RFQ-Input'!I963)</f>
        <v/>
      </c>
      <c r="J964" s="7" t="str">
        <f>IF('RFQ-Input'!J963="","",'RFQ-Input'!J963)</f>
        <v/>
      </c>
      <c r="K964" s="7" t="str">
        <f>IF('RFQ-Input'!K963="","",'RFQ-Input'!K963)</f>
        <v/>
      </c>
      <c r="L964" s="7" t="str">
        <f>IF('RFQ-Input'!L963="","",'RFQ-Input'!L963)</f>
        <v/>
      </c>
      <c r="M964" s="7" t="str">
        <f>IF('RFQ-Input'!M963="","",'RFQ-Input'!M963)</f>
        <v/>
      </c>
      <c r="N964" s="7" t="str">
        <f>IF('RFQ-Input'!N963="","",'RFQ-Input'!N963)</f>
        <v/>
      </c>
      <c r="O964" s="7" t="str">
        <f>IF('RFQ-Input'!O963="","",'RFQ-Input'!O963)</f>
        <v/>
      </c>
      <c r="Q964" s="7"/>
      <c r="R964" s="7"/>
      <c r="S964" s="7"/>
      <c r="T964" s="7"/>
      <c r="U964" s="7"/>
      <c r="V964" s="7"/>
      <c r="X964" s="7"/>
      <c r="Y964" s="7"/>
      <c r="Z964" s="7"/>
      <c r="AA964" s="7" t="str">
        <f t="shared" si="98"/>
        <v/>
      </c>
      <c r="AB964" s="7"/>
      <c r="AC964" s="7"/>
      <c r="AQ964" s="7" t="str">
        <f t="shared" si="99"/>
        <v/>
      </c>
      <c r="AR964" s="7" t="str">
        <f t="shared" si="100"/>
        <v/>
      </c>
      <c r="AS964" s="7" t="str">
        <f t="shared" si="101"/>
        <v/>
      </c>
      <c r="AT964" s="7" t="str">
        <f t="shared" si="102"/>
        <v/>
      </c>
      <c r="AU964" s="7" t="str">
        <f t="shared" si="103"/>
        <v/>
      </c>
      <c r="AV964" s="7" t="str">
        <f t="shared" si="104"/>
        <v/>
      </c>
      <c r="AW964" s="7" t="str">
        <f>IF('RFQ-Input'!O963="","",'RFQ-Input'!O963)</f>
        <v/>
      </c>
      <c r="AX964" s="7" t="str">
        <f>IF('RFQ-Input'!S963="","",'RFQ-Input'!S963)</f>
        <v/>
      </c>
      <c r="AY964" s="7" t="str">
        <f>IF('RFQ-Input'!V963="","",'RFQ-Input'!V963)</f>
        <v/>
      </c>
      <c r="AZ964" s="7" t="str">
        <f>IF('RFQ-Input'!Y963="","",'RFQ-Input'!Y963)</f>
        <v/>
      </c>
      <c r="BA964" s="7" t="str">
        <f>IF('RFQ-Input'!AB963="","",'RFQ-Input'!AB963)</f>
        <v/>
      </c>
    </row>
    <row r="965" spans="1:53">
      <c r="A965" s="20">
        <v>961</v>
      </c>
      <c r="B965" s="7"/>
      <c r="C965" s="7" t="str">
        <f>IF('RFQ-Input'!C964="","",'RFQ-Input'!C964)</f>
        <v/>
      </c>
      <c r="D965" s="7" t="str">
        <f>IF('RFQ-Input'!D964="","",'RFQ-Input'!D964)</f>
        <v/>
      </c>
      <c r="E965" s="7" t="str">
        <f>IF('RFQ-Input'!E964="","",'RFQ-Input'!E964)</f>
        <v/>
      </c>
      <c r="F965" s="7" t="str">
        <f>IF('RFQ-Input'!F964="","",'RFQ-Input'!F964)</f>
        <v/>
      </c>
      <c r="G965" s="7" t="str">
        <f>IF('RFQ-Input'!G964="","",'RFQ-Input'!G964)</f>
        <v/>
      </c>
      <c r="H965" s="7" t="str">
        <f>IF('RFQ-Input'!H964="","",'RFQ-Input'!H964)</f>
        <v/>
      </c>
      <c r="I965" s="7" t="str">
        <f>IF('RFQ-Input'!I964="","",'RFQ-Input'!I964)</f>
        <v/>
      </c>
      <c r="J965" s="7" t="str">
        <f>IF('RFQ-Input'!J964="","",'RFQ-Input'!J964)</f>
        <v/>
      </c>
      <c r="K965" s="7" t="str">
        <f>IF('RFQ-Input'!K964="","",'RFQ-Input'!K964)</f>
        <v/>
      </c>
      <c r="L965" s="7" t="str">
        <f>IF('RFQ-Input'!L964="","",'RFQ-Input'!L964)</f>
        <v/>
      </c>
      <c r="M965" s="7" t="str">
        <f>IF('RFQ-Input'!M964="","",'RFQ-Input'!M964)</f>
        <v/>
      </c>
      <c r="N965" s="7" t="str">
        <f>IF('RFQ-Input'!N964="","",'RFQ-Input'!N964)</f>
        <v/>
      </c>
      <c r="O965" s="7" t="str">
        <f>IF('RFQ-Input'!O964="","",'RFQ-Input'!O964)</f>
        <v/>
      </c>
      <c r="Q965" s="7"/>
      <c r="R965" s="7"/>
      <c r="S965" s="7"/>
      <c r="T965" s="7"/>
      <c r="U965" s="7"/>
      <c r="V965" s="7"/>
      <c r="X965" s="7"/>
      <c r="Y965" s="7"/>
      <c r="Z965" s="7"/>
      <c r="AA965" s="7" t="str">
        <f t="shared" ref="AA965:AA1000" si="105">IF(AND(L965="",Y965=""),"",L965)</f>
        <v/>
      </c>
      <c r="AB965" s="7"/>
      <c r="AC965" s="7"/>
      <c r="AQ965" s="7" t="str">
        <f t="shared" si="99"/>
        <v/>
      </c>
      <c r="AR965" s="7" t="str">
        <f t="shared" si="100"/>
        <v/>
      </c>
      <c r="AS965" s="7" t="str">
        <f t="shared" si="101"/>
        <v/>
      </c>
      <c r="AT965" s="7" t="str">
        <f t="shared" si="102"/>
        <v/>
      </c>
      <c r="AU965" s="7" t="str">
        <f t="shared" si="103"/>
        <v/>
      </c>
      <c r="AV965" s="7" t="str">
        <f t="shared" si="104"/>
        <v/>
      </c>
      <c r="AW965" s="7" t="str">
        <f>IF('RFQ-Input'!O964="","",'RFQ-Input'!O964)</f>
        <v/>
      </c>
      <c r="AX965" s="7" t="str">
        <f>IF('RFQ-Input'!S964="","",'RFQ-Input'!S964)</f>
        <v/>
      </c>
      <c r="AY965" s="7" t="str">
        <f>IF('RFQ-Input'!V964="","",'RFQ-Input'!V964)</f>
        <v/>
      </c>
      <c r="AZ965" s="7" t="str">
        <f>IF('RFQ-Input'!Y964="","",'RFQ-Input'!Y964)</f>
        <v/>
      </c>
      <c r="BA965" s="7" t="str">
        <f>IF('RFQ-Input'!AB964="","",'RFQ-Input'!AB964)</f>
        <v/>
      </c>
    </row>
    <row r="966" spans="1:53">
      <c r="A966" s="20">
        <v>962</v>
      </c>
      <c r="B966" s="7"/>
      <c r="C966" s="7" t="str">
        <f>IF('RFQ-Input'!C965="","",'RFQ-Input'!C965)</f>
        <v/>
      </c>
      <c r="D966" s="7" t="str">
        <f>IF('RFQ-Input'!D965="","",'RFQ-Input'!D965)</f>
        <v/>
      </c>
      <c r="E966" s="7" t="str">
        <f>IF('RFQ-Input'!E965="","",'RFQ-Input'!E965)</f>
        <v/>
      </c>
      <c r="F966" s="7" t="str">
        <f>IF('RFQ-Input'!F965="","",'RFQ-Input'!F965)</f>
        <v/>
      </c>
      <c r="G966" s="7" t="str">
        <f>IF('RFQ-Input'!G965="","",'RFQ-Input'!G965)</f>
        <v/>
      </c>
      <c r="H966" s="7" t="str">
        <f>IF('RFQ-Input'!H965="","",'RFQ-Input'!H965)</f>
        <v/>
      </c>
      <c r="I966" s="7" t="str">
        <f>IF('RFQ-Input'!I965="","",'RFQ-Input'!I965)</f>
        <v/>
      </c>
      <c r="J966" s="7" t="str">
        <f>IF('RFQ-Input'!J965="","",'RFQ-Input'!J965)</f>
        <v/>
      </c>
      <c r="K966" s="7" t="str">
        <f>IF('RFQ-Input'!K965="","",'RFQ-Input'!K965)</f>
        <v/>
      </c>
      <c r="L966" s="7" t="str">
        <f>IF('RFQ-Input'!L965="","",'RFQ-Input'!L965)</f>
        <v/>
      </c>
      <c r="M966" s="7" t="str">
        <f>IF('RFQ-Input'!M965="","",'RFQ-Input'!M965)</f>
        <v/>
      </c>
      <c r="N966" s="7" t="str">
        <f>IF('RFQ-Input'!N965="","",'RFQ-Input'!N965)</f>
        <v/>
      </c>
      <c r="O966" s="7" t="str">
        <f>IF('RFQ-Input'!O965="","",'RFQ-Input'!O965)</f>
        <v/>
      </c>
      <c r="Q966" s="7"/>
      <c r="R966" s="7"/>
      <c r="S966" s="7"/>
      <c r="T966" s="7"/>
      <c r="U966" s="7"/>
      <c r="V966" s="7"/>
      <c r="X966" s="7"/>
      <c r="Y966" s="7"/>
      <c r="Z966" s="7"/>
      <c r="AA966" s="7" t="str">
        <f t="shared" si="105"/>
        <v/>
      </c>
      <c r="AB966" s="7"/>
      <c r="AC966" s="7"/>
      <c r="AQ966" s="7" t="str">
        <f t="shared" ref="AQ966:AQ1000" si="106">IFERROR(SMALL($AW966:$CT966,1),"")</f>
        <v/>
      </c>
      <c r="AR966" s="7" t="str">
        <f t="shared" ref="AR966:AR1000" si="107">IF(AQ966="","",INDEX($AW$4:$CT$4,MATCH(AQ966,$AW966:$CT966,0)))</f>
        <v/>
      </c>
      <c r="AS966" s="7" t="str">
        <f t="shared" ref="AS966:AS1000" si="108">IFERROR(SMALL($AW966:$CT966,2),"")</f>
        <v/>
      </c>
      <c r="AT966" s="7" t="str">
        <f t="shared" ref="AT966:AT1000" si="109">IF(AS966="","",INDEX($AW$4:$CT$4,MATCH(AS966,$AW966:$CT966,0)))</f>
        <v/>
      </c>
      <c r="AU966" s="7" t="str">
        <f t="shared" ref="AU966:AU1000" si="110">IFERROR(SMALL($AW966:$CT966,3),"")</f>
        <v/>
      </c>
      <c r="AV966" s="7" t="str">
        <f t="shared" ref="AV966:AV1000" si="111">IF(AU966="","",INDEX($AW$4:$CT$4,MATCH(AU966,$AW966:$CT966,0)))</f>
        <v/>
      </c>
      <c r="AW966" s="7" t="str">
        <f>IF('RFQ-Input'!O965="","",'RFQ-Input'!O965)</f>
        <v/>
      </c>
      <c r="AX966" s="7" t="str">
        <f>IF('RFQ-Input'!S965="","",'RFQ-Input'!S965)</f>
        <v/>
      </c>
      <c r="AY966" s="7" t="str">
        <f>IF('RFQ-Input'!V965="","",'RFQ-Input'!V965)</f>
        <v/>
      </c>
      <c r="AZ966" s="7" t="str">
        <f>IF('RFQ-Input'!Y965="","",'RFQ-Input'!Y965)</f>
        <v/>
      </c>
      <c r="BA966" s="7" t="str">
        <f>IF('RFQ-Input'!AB965="","",'RFQ-Input'!AB965)</f>
        <v/>
      </c>
    </row>
    <row r="967" spans="1:53">
      <c r="A967" s="20">
        <v>963</v>
      </c>
      <c r="B967" s="7"/>
      <c r="C967" s="7" t="str">
        <f>IF('RFQ-Input'!C966="","",'RFQ-Input'!C966)</f>
        <v/>
      </c>
      <c r="D967" s="7" t="str">
        <f>IF('RFQ-Input'!D966="","",'RFQ-Input'!D966)</f>
        <v/>
      </c>
      <c r="E967" s="7" t="str">
        <f>IF('RFQ-Input'!E966="","",'RFQ-Input'!E966)</f>
        <v/>
      </c>
      <c r="F967" s="7" t="str">
        <f>IF('RFQ-Input'!F966="","",'RFQ-Input'!F966)</f>
        <v/>
      </c>
      <c r="G967" s="7" t="str">
        <f>IF('RFQ-Input'!G966="","",'RFQ-Input'!G966)</f>
        <v/>
      </c>
      <c r="H967" s="7" t="str">
        <f>IF('RFQ-Input'!H966="","",'RFQ-Input'!H966)</f>
        <v/>
      </c>
      <c r="I967" s="7" t="str">
        <f>IF('RFQ-Input'!I966="","",'RFQ-Input'!I966)</f>
        <v/>
      </c>
      <c r="J967" s="7" t="str">
        <f>IF('RFQ-Input'!J966="","",'RFQ-Input'!J966)</f>
        <v/>
      </c>
      <c r="K967" s="7" t="str">
        <f>IF('RFQ-Input'!K966="","",'RFQ-Input'!K966)</f>
        <v/>
      </c>
      <c r="L967" s="7" t="str">
        <f>IF('RFQ-Input'!L966="","",'RFQ-Input'!L966)</f>
        <v/>
      </c>
      <c r="M967" s="7" t="str">
        <f>IF('RFQ-Input'!M966="","",'RFQ-Input'!M966)</f>
        <v/>
      </c>
      <c r="N967" s="7" t="str">
        <f>IF('RFQ-Input'!N966="","",'RFQ-Input'!N966)</f>
        <v/>
      </c>
      <c r="O967" s="7" t="str">
        <f>IF('RFQ-Input'!O966="","",'RFQ-Input'!O966)</f>
        <v/>
      </c>
      <c r="Q967" s="7"/>
      <c r="R967" s="7"/>
      <c r="S967" s="7"/>
      <c r="T967" s="7"/>
      <c r="U967" s="7"/>
      <c r="V967" s="7"/>
      <c r="X967" s="7"/>
      <c r="Y967" s="7"/>
      <c r="Z967" s="7"/>
      <c r="AA967" s="7" t="str">
        <f t="shared" si="105"/>
        <v/>
      </c>
      <c r="AB967" s="7"/>
      <c r="AC967" s="7"/>
      <c r="AQ967" s="7" t="str">
        <f t="shared" si="106"/>
        <v/>
      </c>
      <c r="AR967" s="7" t="str">
        <f t="shared" si="107"/>
        <v/>
      </c>
      <c r="AS967" s="7" t="str">
        <f t="shared" si="108"/>
        <v/>
      </c>
      <c r="AT967" s="7" t="str">
        <f t="shared" si="109"/>
        <v/>
      </c>
      <c r="AU967" s="7" t="str">
        <f t="shared" si="110"/>
        <v/>
      </c>
      <c r="AV967" s="7" t="str">
        <f t="shared" si="111"/>
        <v/>
      </c>
      <c r="AW967" s="7" t="str">
        <f>IF('RFQ-Input'!O966="","",'RFQ-Input'!O966)</f>
        <v/>
      </c>
      <c r="AX967" s="7" t="str">
        <f>IF('RFQ-Input'!S966="","",'RFQ-Input'!S966)</f>
        <v/>
      </c>
      <c r="AY967" s="7" t="str">
        <f>IF('RFQ-Input'!V966="","",'RFQ-Input'!V966)</f>
        <v/>
      </c>
      <c r="AZ967" s="7" t="str">
        <f>IF('RFQ-Input'!Y966="","",'RFQ-Input'!Y966)</f>
        <v/>
      </c>
      <c r="BA967" s="7" t="str">
        <f>IF('RFQ-Input'!AB966="","",'RFQ-Input'!AB966)</f>
        <v/>
      </c>
    </row>
    <row r="968" spans="1:53">
      <c r="A968" s="20">
        <v>964</v>
      </c>
      <c r="B968" s="7"/>
      <c r="C968" s="7" t="str">
        <f>IF('RFQ-Input'!C967="","",'RFQ-Input'!C967)</f>
        <v/>
      </c>
      <c r="D968" s="7" t="str">
        <f>IF('RFQ-Input'!D967="","",'RFQ-Input'!D967)</f>
        <v/>
      </c>
      <c r="E968" s="7" t="str">
        <f>IF('RFQ-Input'!E967="","",'RFQ-Input'!E967)</f>
        <v/>
      </c>
      <c r="F968" s="7" t="str">
        <f>IF('RFQ-Input'!F967="","",'RFQ-Input'!F967)</f>
        <v/>
      </c>
      <c r="G968" s="7" t="str">
        <f>IF('RFQ-Input'!G967="","",'RFQ-Input'!G967)</f>
        <v/>
      </c>
      <c r="H968" s="7" t="str">
        <f>IF('RFQ-Input'!H967="","",'RFQ-Input'!H967)</f>
        <v/>
      </c>
      <c r="I968" s="7" t="str">
        <f>IF('RFQ-Input'!I967="","",'RFQ-Input'!I967)</f>
        <v/>
      </c>
      <c r="J968" s="7" t="str">
        <f>IF('RFQ-Input'!J967="","",'RFQ-Input'!J967)</f>
        <v/>
      </c>
      <c r="K968" s="7" t="str">
        <f>IF('RFQ-Input'!K967="","",'RFQ-Input'!K967)</f>
        <v/>
      </c>
      <c r="L968" s="7" t="str">
        <f>IF('RFQ-Input'!L967="","",'RFQ-Input'!L967)</f>
        <v/>
      </c>
      <c r="M968" s="7" t="str">
        <f>IF('RFQ-Input'!M967="","",'RFQ-Input'!M967)</f>
        <v/>
      </c>
      <c r="N968" s="7" t="str">
        <f>IF('RFQ-Input'!N967="","",'RFQ-Input'!N967)</f>
        <v/>
      </c>
      <c r="O968" s="7" t="str">
        <f>IF('RFQ-Input'!O967="","",'RFQ-Input'!O967)</f>
        <v/>
      </c>
      <c r="Q968" s="7"/>
      <c r="R968" s="7"/>
      <c r="S968" s="7"/>
      <c r="T968" s="7"/>
      <c r="U968" s="7"/>
      <c r="V968" s="7"/>
      <c r="X968" s="7"/>
      <c r="Y968" s="7"/>
      <c r="Z968" s="7"/>
      <c r="AA968" s="7" t="str">
        <f t="shared" si="105"/>
        <v/>
      </c>
      <c r="AB968" s="7"/>
      <c r="AC968" s="7"/>
      <c r="AQ968" s="7" t="str">
        <f t="shared" si="106"/>
        <v/>
      </c>
      <c r="AR968" s="7" t="str">
        <f t="shared" si="107"/>
        <v/>
      </c>
      <c r="AS968" s="7" t="str">
        <f t="shared" si="108"/>
        <v/>
      </c>
      <c r="AT968" s="7" t="str">
        <f t="shared" si="109"/>
        <v/>
      </c>
      <c r="AU968" s="7" t="str">
        <f t="shared" si="110"/>
        <v/>
      </c>
      <c r="AV968" s="7" t="str">
        <f t="shared" si="111"/>
        <v/>
      </c>
      <c r="AW968" s="7" t="str">
        <f>IF('RFQ-Input'!O967="","",'RFQ-Input'!O967)</f>
        <v/>
      </c>
      <c r="AX968" s="7" t="str">
        <f>IF('RFQ-Input'!S967="","",'RFQ-Input'!S967)</f>
        <v/>
      </c>
      <c r="AY968" s="7" t="str">
        <f>IF('RFQ-Input'!V967="","",'RFQ-Input'!V967)</f>
        <v/>
      </c>
      <c r="AZ968" s="7" t="str">
        <f>IF('RFQ-Input'!Y967="","",'RFQ-Input'!Y967)</f>
        <v/>
      </c>
      <c r="BA968" s="7" t="str">
        <f>IF('RFQ-Input'!AB967="","",'RFQ-Input'!AB967)</f>
        <v/>
      </c>
    </row>
    <row r="969" spans="1:53">
      <c r="A969" s="20">
        <v>965</v>
      </c>
      <c r="B969" s="7"/>
      <c r="C969" s="7" t="str">
        <f>IF('RFQ-Input'!C968="","",'RFQ-Input'!C968)</f>
        <v/>
      </c>
      <c r="D969" s="7" t="str">
        <f>IF('RFQ-Input'!D968="","",'RFQ-Input'!D968)</f>
        <v/>
      </c>
      <c r="E969" s="7" t="str">
        <f>IF('RFQ-Input'!E968="","",'RFQ-Input'!E968)</f>
        <v/>
      </c>
      <c r="F969" s="7" t="str">
        <f>IF('RFQ-Input'!F968="","",'RFQ-Input'!F968)</f>
        <v/>
      </c>
      <c r="G969" s="7" t="str">
        <f>IF('RFQ-Input'!G968="","",'RFQ-Input'!G968)</f>
        <v/>
      </c>
      <c r="H969" s="7" t="str">
        <f>IF('RFQ-Input'!H968="","",'RFQ-Input'!H968)</f>
        <v/>
      </c>
      <c r="I969" s="7" t="str">
        <f>IF('RFQ-Input'!I968="","",'RFQ-Input'!I968)</f>
        <v/>
      </c>
      <c r="J969" s="7" t="str">
        <f>IF('RFQ-Input'!J968="","",'RFQ-Input'!J968)</f>
        <v/>
      </c>
      <c r="K969" s="7" t="str">
        <f>IF('RFQ-Input'!K968="","",'RFQ-Input'!K968)</f>
        <v/>
      </c>
      <c r="L969" s="7" t="str">
        <f>IF('RFQ-Input'!L968="","",'RFQ-Input'!L968)</f>
        <v/>
      </c>
      <c r="M969" s="7" t="str">
        <f>IF('RFQ-Input'!M968="","",'RFQ-Input'!M968)</f>
        <v/>
      </c>
      <c r="N969" s="7" t="str">
        <f>IF('RFQ-Input'!N968="","",'RFQ-Input'!N968)</f>
        <v/>
      </c>
      <c r="O969" s="7" t="str">
        <f>IF('RFQ-Input'!O968="","",'RFQ-Input'!O968)</f>
        <v/>
      </c>
      <c r="Q969" s="7"/>
      <c r="R969" s="7"/>
      <c r="S969" s="7"/>
      <c r="T969" s="7"/>
      <c r="U969" s="7"/>
      <c r="V969" s="7"/>
      <c r="X969" s="7"/>
      <c r="Y969" s="7"/>
      <c r="Z969" s="7"/>
      <c r="AA969" s="7" t="str">
        <f t="shared" si="105"/>
        <v/>
      </c>
      <c r="AB969" s="7"/>
      <c r="AC969" s="7"/>
      <c r="AQ969" s="7" t="str">
        <f t="shared" si="106"/>
        <v/>
      </c>
      <c r="AR969" s="7" t="str">
        <f t="shared" si="107"/>
        <v/>
      </c>
      <c r="AS969" s="7" t="str">
        <f t="shared" si="108"/>
        <v/>
      </c>
      <c r="AT969" s="7" t="str">
        <f t="shared" si="109"/>
        <v/>
      </c>
      <c r="AU969" s="7" t="str">
        <f t="shared" si="110"/>
        <v/>
      </c>
      <c r="AV969" s="7" t="str">
        <f t="shared" si="111"/>
        <v/>
      </c>
      <c r="AW969" s="7" t="str">
        <f>IF('RFQ-Input'!O968="","",'RFQ-Input'!O968)</f>
        <v/>
      </c>
      <c r="AX969" s="7" t="str">
        <f>IF('RFQ-Input'!S968="","",'RFQ-Input'!S968)</f>
        <v/>
      </c>
      <c r="AY969" s="7" t="str">
        <f>IF('RFQ-Input'!V968="","",'RFQ-Input'!V968)</f>
        <v/>
      </c>
      <c r="AZ969" s="7" t="str">
        <f>IF('RFQ-Input'!Y968="","",'RFQ-Input'!Y968)</f>
        <v/>
      </c>
      <c r="BA969" s="7" t="str">
        <f>IF('RFQ-Input'!AB968="","",'RFQ-Input'!AB968)</f>
        <v/>
      </c>
    </row>
    <row r="970" spans="1:53">
      <c r="A970" s="20">
        <v>966</v>
      </c>
      <c r="B970" s="7"/>
      <c r="C970" s="7" t="str">
        <f>IF('RFQ-Input'!C969="","",'RFQ-Input'!C969)</f>
        <v/>
      </c>
      <c r="D970" s="7" t="str">
        <f>IF('RFQ-Input'!D969="","",'RFQ-Input'!D969)</f>
        <v/>
      </c>
      <c r="E970" s="7" t="str">
        <f>IF('RFQ-Input'!E969="","",'RFQ-Input'!E969)</f>
        <v/>
      </c>
      <c r="F970" s="7" t="str">
        <f>IF('RFQ-Input'!F969="","",'RFQ-Input'!F969)</f>
        <v/>
      </c>
      <c r="G970" s="7" t="str">
        <f>IF('RFQ-Input'!G969="","",'RFQ-Input'!G969)</f>
        <v/>
      </c>
      <c r="H970" s="7" t="str">
        <f>IF('RFQ-Input'!H969="","",'RFQ-Input'!H969)</f>
        <v/>
      </c>
      <c r="I970" s="7" t="str">
        <f>IF('RFQ-Input'!I969="","",'RFQ-Input'!I969)</f>
        <v/>
      </c>
      <c r="J970" s="7" t="str">
        <f>IF('RFQ-Input'!J969="","",'RFQ-Input'!J969)</f>
        <v/>
      </c>
      <c r="K970" s="7" t="str">
        <f>IF('RFQ-Input'!K969="","",'RFQ-Input'!K969)</f>
        <v/>
      </c>
      <c r="L970" s="7" t="str">
        <f>IF('RFQ-Input'!L969="","",'RFQ-Input'!L969)</f>
        <v/>
      </c>
      <c r="M970" s="7" t="str">
        <f>IF('RFQ-Input'!M969="","",'RFQ-Input'!M969)</f>
        <v/>
      </c>
      <c r="N970" s="7" t="str">
        <f>IF('RFQ-Input'!N969="","",'RFQ-Input'!N969)</f>
        <v/>
      </c>
      <c r="O970" s="7" t="str">
        <f>IF('RFQ-Input'!O969="","",'RFQ-Input'!O969)</f>
        <v/>
      </c>
      <c r="Q970" s="7"/>
      <c r="R970" s="7"/>
      <c r="S970" s="7"/>
      <c r="T970" s="7"/>
      <c r="U970" s="7"/>
      <c r="V970" s="7"/>
      <c r="X970" s="7"/>
      <c r="Y970" s="7"/>
      <c r="Z970" s="7"/>
      <c r="AA970" s="7" t="str">
        <f t="shared" si="105"/>
        <v/>
      </c>
      <c r="AB970" s="7"/>
      <c r="AC970" s="7"/>
      <c r="AQ970" s="7" t="str">
        <f t="shared" si="106"/>
        <v/>
      </c>
      <c r="AR970" s="7" t="str">
        <f t="shared" si="107"/>
        <v/>
      </c>
      <c r="AS970" s="7" t="str">
        <f t="shared" si="108"/>
        <v/>
      </c>
      <c r="AT970" s="7" t="str">
        <f t="shared" si="109"/>
        <v/>
      </c>
      <c r="AU970" s="7" t="str">
        <f t="shared" si="110"/>
        <v/>
      </c>
      <c r="AV970" s="7" t="str">
        <f t="shared" si="111"/>
        <v/>
      </c>
      <c r="AW970" s="7" t="str">
        <f>IF('RFQ-Input'!O969="","",'RFQ-Input'!O969)</f>
        <v/>
      </c>
      <c r="AX970" s="7" t="str">
        <f>IF('RFQ-Input'!S969="","",'RFQ-Input'!S969)</f>
        <v/>
      </c>
      <c r="AY970" s="7" t="str">
        <f>IF('RFQ-Input'!V969="","",'RFQ-Input'!V969)</f>
        <v/>
      </c>
      <c r="AZ970" s="7" t="str">
        <f>IF('RFQ-Input'!Y969="","",'RFQ-Input'!Y969)</f>
        <v/>
      </c>
      <c r="BA970" s="7" t="str">
        <f>IF('RFQ-Input'!AB969="","",'RFQ-Input'!AB969)</f>
        <v/>
      </c>
    </row>
    <row r="971" spans="1:53">
      <c r="A971" s="20">
        <v>967</v>
      </c>
      <c r="B971" s="7"/>
      <c r="C971" s="7" t="str">
        <f>IF('RFQ-Input'!C970="","",'RFQ-Input'!C970)</f>
        <v/>
      </c>
      <c r="D971" s="7" t="str">
        <f>IF('RFQ-Input'!D970="","",'RFQ-Input'!D970)</f>
        <v/>
      </c>
      <c r="E971" s="7" t="str">
        <f>IF('RFQ-Input'!E970="","",'RFQ-Input'!E970)</f>
        <v/>
      </c>
      <c r="F971" s="7" t="str">
        <f>IF('RFQ-Input'!F970="","",'RFQ-Input'!F970)</f>
        <v/>
      </c>
      <c r="G971" s="7" t="str">
        <f>IF('RFQ-Input'!G970="","",'RFQ-Input'!G970)</f>
        <v/>
      </c>
      <c r="H971" s="7" t="str">
        <f>IF('RFQ-Input'!H970="","",'RFQ-Input'!H970)</f>
        <v/>
      </c>
      <c r="I971" s="7" t="str">
        <f>IF('RFQ-Input'!I970="","",'RFQ-Input'!I970)</f>
        <v/>
      </c>
      <c r="J971" s="7" t="str">
        <f>IF('RFQ-Input'!J970="","",'RFQ-Input'!J970)</f>
        <v/>
      </c>
      <c r="K971" s="7" t="str">
        <f>IF('RFQ-Input'!K970="","",'RFQ-Input'!K970)</f>
        <v/>
      </c>
      <c r="L971" s="7" t="str">
        <f>IF('RFQ-Input'!L970="","",'RFQ-Input'!L970)</f>
        <v/>
      </c>
      <c r="M971" s="7" t="str">
        <f>IF('RFQ-Input'!M970="","",'RFQ-Input'!M970)</f>
        <v/>
      </c>
      <c r="N971" s="7" t="str">
        <f>IF('RFQ-Input'!N970="","",'RFQ-Input'!N970)</f>
        <v/>
      </c>
      <c r="O971" s="7" t="str">
        <f>IF('RFQ-Input'!O970="","",'RFQ-Input'!O970)</f>
        <v/>
      </c>
      <c r="Q971" s="7"/>
      <c r="R971" s="7"/>
      <c r="S971" s="7"/>
      <c r="T971" s="7"/>
      <c r="U971" s="7"/>
      <c r="V971" s="7"/>
      <c r="X971" s="7"/>
      <c r="Y971" s="7"/>
      <c r="Z971" s="7"/>
      <c r="AA971" s="7" t="str">
        <f t="shared" si="105"/>
        <v/>
      </c>
      <c r="AB971" s="7"/>
      <c r="AC971" s="7"/>
      <c r="AQ971" s="7" t="str">
        <f t="shared" si="106"/>
        <v/>
      </c>
      <c r="AR971" s="7" t="str">
        <f t="shared" si="107"/>
        <v/>
      </c>
      <c r="AS971" s="7" t="str">
        <f t="shared" si="108"/>
        <v/>
      </c>
      <c r="AT971" s="7" t="str">
        <f t="shared" si="109"/>
        <v/>
      </c>
      <c r="AU971" s="7" t="str">
        <f t="shared" si="110"/>
        <v/>
      </c>
      <c r="AV971" s="7" t="str">
        <f t="shared" si="111"/>
        <v/>
      </c>
      <c r="AW971" s="7" t="str">
        <f>IF('RFQ-Input'!O970="","",'RFQ-Input'!O970)</f>
        <v/>
      </c>
      <c r="AX971" s="7" t="str">
        <f>IF('RFQ-Input'!S970="","",'RFQ-Input'!S970)</f>
        <v/>
      </c>
      <c r="AY971" s="7" t="str">
        <f>IF('RFQ-Input'!V970="","",'RFQ-Input'!V970)</f>
        <v/>
      </c>
      <c r="AZ971" s="7" t="str">
        <f>IF('RFQ-Input'!Y970="","",'RFQ-Input'!Y970)</f>
        <v/>
      </c>
      <c r="BA971" s="7" t="str">
        <f>IF('RFQ-Input'!AB970="","",'RFQ-Input'!AB970)</f>
        <v/>
      </c>
    </row>
    <row r="972" spans="1:53">
      <c r="A972" s="20">
        <v>968</v>
      </c>
      <c r="B972" s="7"/>
      <c r="C972" s="7" t="str">
        <f>IF('RFQ-Input'!C971="","",'RFQ-Input'!C971)</f>
        <v/>
      </c>
      <c r="D972" s="7" t="str">
        <f>IF('RFQ-Input'!D971="","",'RFQ-Input'!D971)</f>
        <v/>
      </c>
      <c r="E972" s="7" t="str">
        <f>IF('RFQ-Input'!E971="","",'RFQ-Input'!E971)</f>
        <v/>
      </c>
      <c r="F972" s="7" t="str">
        <f>IF('RFQ-Input'!F971="","",'RFQ-Input'!F971)</f>
        <v/>
      </c>
      <c r="G972" s="7" t="str">
        <f>IF('RFQ-Input'!G971="","",'RFQ-Input'!G971)</f>
        <v/>
      </c>
      <c r="H972" s="7" t="str">
        <f>IF('RFQ-Input'!H971="","",'RFQ-Input'!H971)</f>
        <v/>
      </c>
      <c r="I972" s="7" t="str">
        <f>IF('RFQ-Input'!I971="","",'RFQ-Input'!I971)</f>
        <v/>
      </c>
      <c r="J972" s="7" t="str">
        <f>IF('RFQ-Input'!J971="","",'RFQ-Input'!J971)</f>
        <v/>
      </c>
      <c r="K972" s="7" t="str">
        <f>IF('RFQ-Input'!K971="","",'RFQ-Input'!K971)</f>
        <v/>
      </c>
      <c r="L972" s="7" t="str">
        <f>IF('RFQ-Input'!L971="","",'RFQ-Input'!L971)</f>
        <v/>
      </c>
      <c r="M972" s="7" t="str">
        <f>IF('RFQ-Input'!M971="","",'RFQ-Input'!M971)</f>
        <v/>
      </c>
      <c r="N972" s="7" t="str">
        <f>IF('RFQ-Input'!N971="","",'RFQ-Input'!N971)</f>
        <v/>
      </c>
      <c r="O972" s="7" t="str">
        <f>IF('RFQ-Input'!O971="","",'RFQ-Input'!O971)</f>
        <v/>
      </c>
      <c r="Q972" s="7"/>
      <c r="R972" s="7"/>
      <c r="S972" s="7"/>
      <c r="T972" s="7"/>
      <c r="U972" s="7"/>
      <c r="V972" s="7"/>
      <c r="X972" s="7"/>
      <c r="Y972" s="7"/>
      <c r="Z972" s="7"/>
      <c r="AA972" s="7" t="str">
        <f t="shared" si="105"/>
        <v/>
      </c>
      <c r="AB972" s="7"/>
      <c r="AC972" s="7"/>
      <c r="AQ972" s="7" t="str">
        <f t="shared" si="106"/>
        <v/>
      </c>
      <c r="AR972" s="7" t="str">
        <f t="shared" si="107"/>
        <v/>
      </c>
      <c r="AS972" s="7" t="str">
        <f t="shared" si="108"/>
        <v/>
      </c>
      <c r="AT972" s="7" t="str">
        <f t="shared" si="109"/>
        <v/>
      </c>
      <c r="AU972" s="7" t="str">
        <f t="shared" si="110"/>
        <v/>
      </c>
      <c r="AV972" s="7" t="str">
        <f t="shared" si="111"/>
        <v/>
      </c>
      <c r="AW972" s="7" t="str">
        <f>IF('RFQ-Input'!O971="","",'RFQ-Input'!O971)</f>
        <v/>
      </c>
      <c r="AX972" s="7" t="str">
        <f>IF('RFQ-Input'!S971="","",'RFQ-Input'!S971)</f>
        <v/>
      </c>
      <c r="AY972" s="7" t="str">
        <f>IF('RFQ-Input'!V971="","",'RFQ-Input'!V971)</f>
        <v/>
      </c>
      <c r="AZ972" s="7" t="str">
        <f>IF('RFQ-Input'!Y971="","",'RFQ-Input'!Y971)</f>
        <v/>
      </c>
      <c r="BA972" s="7" t="str">
        <f>IF('RFQ-Input'!AB971="","",'RFQ-Input'!AB971)</f>
        <v/>
      </c>
    </row>
    <row r="973" spans="1:53">
      <c r="A973" s="20">
        <v>969</v>
      </c>
      <c r="B973" s="7"/>
      <c r="C973" s="7" t="str">
        <f>IF('RFQ-Input'!C972="","",'RFQ-Input'!C972)</f>
        <v/>
      </c>
      <c r="D973" s="7" t="str">
        <f>IF('RFQ-Input'!D972="","",'RFQ-Input'!D972)</f>
        <v/>
      </c>
      <c r="E973" s="7" t="str">
        <f>IF('RFQ-Input'!E972="","",'RFQ-Input'!E972)</f>
        <v/>
      </c>
      <c r="F973" s="7" t="str">
        <f>IF('RFQ-Input'!F972="","",'RFQ-Input'!F972)</f>
        <v/>
      </c>
      <c r="G973" s="7" t="str">
        <f>IF('RFQ-Input'!G972="","",'RFQ-Input'!G972)</f>
        <v/>
      </c>
      <c r="H973" s="7" t="str">
        <f>IF('RFQ-Input'!H972="","",'RFQ-Input'!H972)</f>
        <v/>
      </c>
      <c r="I973" s="7" t="str">
        <f>IF('RFQ-Input'!I972="","",'RFQ-Input'!I972)</f>
        <v/>
      </c>
      <c r="J973" s="7" t="str">
        <f>IF('RFQ-Input'!J972="","",'RFQ-Input'!J972)</f>
        <v/>
      </c>
      <c r="K973" s="7" t="str">
        <f>IF('RFQ-Input'!K972="","",'RFQ-Input'!K972)</f>
        <v/>
      </c>
      <c r="L973" s="7" t="str">
        <f>IF('RFQ-Input'!L972="","",'RFQ-Input'!L972)</f>
        <v/>
      </c>
      <c r="M973" s="7" t="str">
        <f>IF('RFQ-Input'!M972="","",'RFQ-Input'!M972)</f>
        <v/>
      </c>
      <c r="N973" s="7" t="str">
        <f>IF('RFQ-Input'!N972="","",'RFQ-Input'!N972)</f>
        <v/>
      </c>
      <c r="O973" s="7" t="str">
        <f>IF('RFQ-Input'!O972="","",'RFQ-Input'!O972)</f>
        <v/>
      </c>
      <c r="Q973" s="7"/>
      <c r="R973" s="7"/>
      <c r="S973" s="7"/>
      <c r="T973" s="7"/>
      <c r="U973" s="7"/>
      <c r="V973" s="7"/>
      <c r="X973" s="7"/>
      <c r="Y973" s="7"/>
      <c r="Z973" s="7"/>
      <c r="AA973" s="7" t="str">
        <f t="shared" si="105"/>
        <v/>
      </c>
      <c r="AB973" s="7"/>
      <c r="AC973" s="7"/>
      <c r="AQ973" s="7" t="str">
        <f t="shared" si="106"/>
        <v/>
      </c>
      <c r="AR973" s="7" t="str">
        <f t="shared" si="107"/>
        <v/>
      </c>
      <c r="AS973" s="7" t="str">
        <f t="shared" si="108"/>
        <v/>
      </c>
      <c r="AT973" s="7" t="str">
        <f t="shared" si="109"/>
        <v/>
      </c>
      <c r="AU973" s="7" t="str">
        <f t="shared" si="110"/>
        <v/>
      </c>
      <c r="AV973" s="7" t="str">
        <f t="shared" si="111"/>
        <v/>
      </c>
      <c r="AW973" s="7" t="str">
        <f>IF('RFQ-Input'!O972="","",'RFQ-Input'!O972)</f>
        <v/>
      </c>
      <c r="AX973" s="7" t="str">
        <f>IF('RFQ-Input'!S972="","",'RFQ-Input'!S972)</f>
        <v/>
      </c>
      <c r="AY973" s="7" t="str">
        <f>IF('RFQ-Input'!V972="","",'RFQ-Input'!V972)</f>
        <v/>
      </c>
      <c r="AZ973" s="7" t="str">
        <f>IF('RFQ-Input'!Y972="","",'RFQ-Input'!Y972)</f>
        <v/>
      </c>
      <c r="BA973" s="7" t="str">
        <f>IF('RFQ-Input'!AB972="","",'RFQ-Input'!AB972)</f>
        <v/>
      </c>
    </row>
    <row r="974" spans="1:53">
      <c r="A974" s="20">
        <v>970</v>
      </c>
      <c r="B974" s="7"/>
      <c r="C974" s="7" t="str">
        <f>IF('RFQ-Input'!C973="","",'RFQ-Input'!C973)</f>
        <v/>
      </c>
      <c r="D974" s="7" t="str">
        <f>IF('RFQ-Input'!D973="","",'RFQ-Input'!D973)</f>
        <v/>
      </c>
      <c r="E974" s="7" t="str">
        <f>IF('RFQ-Input'!E973="","",'RFQ-Input'!E973)</f>
        <v/>
      </c>
      <c r="F974" s="7" t="str">
        <f>IF('RFQ-Input'!F973="","",'RFQ-Input'!F973)</f>
        <v/>
      </c>
      <c r="G974" s="7" t="str">
        <f>IF('RFQ-Input'!G973="","",'RFQ-Input'!G973)</f>
        <v/>
      </c>
      <c r="H974" s="7" t="str">
        <f>IF('RFQ-Input'!H973="","",'RFQ-Input'!H973)</f>
        <v/>
      </c>
      <c r="I974" s="7" t="str">
        <f>IF('RFQ-Input'!I973="","",'RFQ-Input'!I973)</f>
        <v/>
      </c>
      <c r="J974" s="7" t="str">
        <f>IF('RFQ-Input'!J973="","",'RFQ-Input'!J973)</f>
        <v/>
      </c>
      <c r="K974" s="7" t="str">
        <f>IF('RFQ-Input'!K973="","",'RFQ-Input'!K973)</f>
        <v/>
      </c>
      <c r="L974" s="7" t="str">
        <f>IF('RFQ-Input'!L973="","",'RFQ-Input'!L973)</f>
        <v/>
      </c>
      <c r="M974" s="7" t="str">
        <f>IF('RFQ-Input'!M973="","",'RFQ-Input'!M973)</f>
        <v/>
      </c>
      <c r="N974" s="7" t="str">
        <f>IF('RFQ-Input'!N973="","",'RFQ-Input'!N973)</f>
        <v/>
      </c>
      <c r="O974" s="7" t="str">
        <f>IF('RFQ-Input'!O973="","",'RFQ-Input'!O973)</f>
        <v/>
      </c>
      <c r="Q974" s="7"/>
      <c r="R974" s="7"/>
      <c r="S974" s="7"/>
      <c r="T974" s="7"/>
      <c r="U974" s="7"/>
      <c r="V974" s="7"/>
      <c r="X974" s="7"/>
      <c r="Y974" s="7"/>
      <c r="Z974" s="7"/>
      <c r="AA974" s="7" t="str">
        <f t="shared" si="105"/>
        <v/>
      </c>
      <c r="AB974" s="7"/>
      <c r="AC974" s="7"/>
      <c r="AQ974" s="7" t="str">
        <f t="shared" si="106"/>
        <v/>
      </c>
      <c r="AR974" s="7" t="str">
        <f t="shared" si="107"/>
        <v/>
      </c>
      <c r="AS974" s="7" t="str">
        <f t="shared" si="108"/>
        <v/>
      </c>
      <c r="AT974" s="7" t="str">
        <f t="shared" si="109"/>
        <v/>
      </c>
      <c r="AU974" s="7" t="str">
        <f t="shared" si="110"/>
        <v/>
      </c>
      <c r="AV974" s="7" t="str">
        <f t="shared" si="111"/>
        <v/>
      </c>
      <c r="AW974" s="7" t="str">
        <f>IF('RFQ-Input'!O973="","",'RFQ-Input'!O973)</f>
        <v/>
      </c>
      <c r="AX974" s="7" t="str">
        <f>IF('RFQ-Input'!S973="","",'RFQ-Input'!S973)</f>
        <v/>
      </c>
      <c r="AY974" s="7" t="str">
        <f>IF('RFQ-Input'!V973="","",'RFQ-Input'!V973)</f>
        <v/>
      </c>
      <c r="AZ974" s="7" t="str">
        <f>IF('RFQ-Input'!Y973="","",'RFQ-Input'!Y973)</f>
        <v/>
      </c>
      <c r="BA974" s="7" t="str">
        <f>IF('RFQ-Input'!AB973="","",'RFQ-Input'!AB973)</f>
        <v/>
      </c>
    </row>
    <row r="975" spans="1:53">
      <c r="A975" s="20">
        <v>971</v>
      </c>
      <c r="B975" s="7"/>
      <c r="C975" s="7" t="str">
        <f>IF('RFQ-Input'!C974="","",'RFQ-Input'!C974)</f>
        <v/>
      </c>
      <c r="D975" s="7" t="str">
        <f>IF('RFQ-Input'!D974="","",'RFQ-Input'!D974)</f>
        <v/>
      </c>
      <c r="E975" s="7" t="str">
        <f>IF('RFQ-Input'!E974="","",'RFQ-Input'!E974)</f>
        <v/>
      </c>
      <c r="F975" s="7" t="str">
        <f>IF('RFQ-Input'!F974="","",'RFQ-Input'!F974)</f>
        <v/>
      </c>
      <c r="G975" s="7" t="str">
        <f>IF('RFQ-Input'!G974="","",'RFQ-Input'!G974)</f>
        <v/>
      </c>
      <c r="H975" s="7" t="str">
        <f>IF('RFQ-Input'!H974="","",'RFQ-Input'!H974)</f>
        <v/>
      </c>
      <c r="I975" s="7" t="str">
        <f>IF('RFQ-Input'!I974="","",'RFQ-Input'!I974)</f>
        <v/>
      </c>
      <c r="J975" s="7" t="str">
        <f>IF('RFQ-Input'!J974="","",'RFQ-Input'!J974)</f>
        <v/>
      </c>
      <c r="K975" s="7" t="str">
        <f>IF('RFQ-Input'!K974="","",'RFQ-Input'!K974)</f>
        <v/>
      </c>
      <c r="L975" s="7" t="str">
        <f>IF('RFQ-Input'!L974="","",'RFQ-Input'!L974)</f>
        <v/>
      </c>
      <c r="M975" s="7" t="str">
        <f>IF('RFQ-Input'!M974="","",'RFQ-Input'!M974)</f>
        <v/>
      </c>
      <c r="N975" s="7" t="str">
        <f>IF('RFQ-Input'!N974="","",'RFQ-Input'!N974)</f>
        <v/>
      </c>
      <c r="O975" s="7" t="str">
        <f>IF('RFQ-Input'!O974="","",'RFQ-Input'!O974)</f>
        <v/>
      </c>
      <c r="Q975" s="7"/>
      <c r="R975" s="7"/>
      <c r="S975" s="7"/>
      <c r="T975" s="7"/>
      <c r="U975" s="7"/>
      <c r="V975" s="7"/>
      <c r="X975" s="7"/>
      <c r="Y975" s="7"/>
      <c r="Z975" s="7"/>
      <c r="AA975" s="7" t="str">
        <f t="shared" si="105"/>
        <v/>
      </c>
      <c r="AB975" s="7"/>
      <c r="AC975" s="7"/>
      <c r="AQ975" s="7" t="str">
        <f t="shared" si="106"/>
        <v/>
      </c>
      <c r="AR975" s="7" t="str">
        <f t="shared" si="107"/>
        <v/>
      </c>
      <c r="AS975" s="7" t="str">
        <f t="shared" si="108"/>
        <v/>
      </c>
      <c r="AT975" s="7" t="str">
        <f t="shared" si="109"/>
        <v/>
      </c>
      <c r="AU975" s="7" t="str">
        <f t="shared" si="110"/>
        <v/>
      </c>
      <c r="AV975" s="7" t="str">
        <f t="shared" si="111"/>
        <v/>
      </c>
      <c r="AW975" s="7" t="str">
        <f>IF('RFQ-Input'!O974="","",'RFQ-Input'!O974)</f>
        <v/>
      </c>
      <c r="AX975" s="7" t="str">
        <f>IF('RFQ-Input'!S974="","",'RFQ-Input'!S974)</f>
        <v/>
      </c>
      <c r="AY975" s="7" t="str">
        <f>IF('RFQ-Input'!V974="","",'RFQ-Input'!V974)</f>
        <v/>
      </c>
      <c r="AZ975" s="7" t="str">
        <f>IF('RFQ-Input'!Y974="","",'RFQ-Input'!Y974)</f>
        <v/>
      </c>
      <c r="BA975" s="7" t="str">
        <f>IF('RFQ-Input'!AB974="","",'RFQ-Input'!AB974)</f>
        <v/>
      </c>
    </row>
    <row r="976" spans="1:53">
      <c r="A976" s="20">
        <v>972</v>
      </c>
      <c r="B976" s="7"/>
      <c r="C976" s="7" t="str">
        <f>IF('RFQ-Input'!C975="","",'RFQ-Input'!C975)</f>
        <v/>
      </c>
      <c r="D976" s="7" t="str">
        <f>IF('RFQ-Input'!D975="","",'RFQ-Input'!D975)</f>
        <v/>
      </c>
      <c r="E976" s="7" t="str">
        <f>IF('RFQ-Input'!E975="","",'RFQ-Input'!E975)</f>
        <v/>
      </c>
      <c r="F976" s="7" t="str">
        <f>IF('RFQ-Input'!F975="","",'RFQ-Input'!F975)</f>
        <v/>
      </c>
      <c r="G976" s="7" t="str">
        <f>IF('RFQ-Input'!G975="","",'RFQ-Input'!G975)</f>
        <v/>
      </c>
      <c r="H976" s="7" t="str">
        <f>IF('RFQ-Input'!H975="","",'RFQ-Input'!H975)</f>
        <v/>
      </c>
      <c r="I976" s="7" t="str">
        <f>IF('RFQ-Input'!I975="","",'RFQ-Input'!I975)</f>
        <v/>
      </c>
      <c r="J976" s="7" t="str">
        <f>IF('RFQ-Input'!J975="","",'RFQ-Input'!J975)</f>
        <v/>
      </c>
      <c r="K976" s="7" t="str">
        <f>IF('RFQ-Input'!K975="","",'RFQ-Input'!K975)</f>
        <v/>
      </c>
      <c r="L976" s="7" t="str">
        <f>IF('RFQ-Input'!L975="","",'RFQ-Input'!L975)</f>
        <v/>
      </c>
      <c r="M976" s="7" t="str">
        <f>IF('RFQ-Input'!M975="","",'RFQ-Input'!M975)</f>
        <v/>
      </c>
      <c r="N976" s="7" t="str">
        <f>IF('RFQ-Input'!N975="","",'RFQ-Input'!N975)</f>
        <v/>
      </c>
      <c r="O976" s="7" t="str">
        <f>IF('RFQ-Input'!O975="","",'RFQ-Input'!O975)</f>
        <v/>
      </c>
      <c r="Q976" s="7"/>
      <c r="R976" s="7"/>
      <c r="S976" s="7"/>
      <c r="T976" s="7"/>
      <c r="U976" s="7"/>
      <c r="V976" s="7"/>
      <c r="X976" s="7"/>
      <c r="Y976" s="7"/>
      <c r="Z976" s="7"/>
      <c r="AA976" s="7" t="str">
        <f t="shared" si="105"/>
        <v/>
      </c>
      <c r="AB976" s="7"/>
      <c r="AC976" s="7"/>
      <c r="AQ976" s="7" t="str">
        <f t="shared" si="106"/>
        <v/>
      </c>
      <c r="AR976" s="7" t="str">
        <f t="shared" si="107"/>
        <v/>
      </c>
      <c r="AS976" s="7" t="str">
        <f t="shared" si="108"/>
        <v/>
      </c>
      <c r="AT976" s="7" t="str">
        <f t="shared" si="109"/>
        <v/>
      </c>
      <c r="AU976" s="7" t="str">
        <f t="shared" si="110"/>
        <v/>
      </c>
      <c r="AV976" s="7" t="str">
        <f t="shared" si="111"/>
        <v/>
      </c>
      <c r="AW976" s="7" t="str">
        <f>IF('RFQ-Input'!O975="","",'RFQ-Input'!O975)</f>
        <v/>
      </c>
      <c r="AX976" s="7" t="str">
        <f>IF('RFQ-Input'!S975="","",'RFQ-Input'!S975)</f>
        <v/>
      </c>
      <c r="AY976" s="7" t="str">
        <f>IF('RFQ-Input'!V975="","",'RFQ-Input'!V975)</f>
        <v/>
      </c>
      <c r="AZ976" s="7" t="str">
        <f>IF('RFQ-Input'!Y975="","",'RFQ-Input'!Y975)</f>
        <v/>
      </c>
      <c r="BA976" s="7" t="str">
        <f>IF('RFQ-Input'!AB975="","",'RFQ-Input'!AB975)</f>
        <v/>
      </c>
    </row>
    <row r="977" spans="1:53">
      <c r="A977" s="20">
        <v>973</v>
      </c>
      <c r="B977" s="7"/>
      <c r="C977" s="7" t="str">
        <f>IF('RFQ-Input'!C976="","",'RFQ-Input'!C976)</f>
        <v/>
      </c>
      <c r="D977" s="7" t="str">
        <f>IF('RFQ-Input'!D976="","",'RFQ-Input'!D976)</f>
        <v/>
      </c>
      <c r="E977" s="7" t="str">
        <f>IF('RFQ-Input'!E976="","",'RFQ-Input'!E976)</f>
        <v/>
      </c>
      <c r="F977" s="7" t="str">
        <f>IF('RFQ-Input'!F976="","",'RFQ-Input'!F976)</f>
        <v/>
      </c>
      <c r="G977" s="7" t="str">
        <f>IF('RFQ-Input'!G976="","",'RFQ-Input'!G976)</f>
        <v/>
      </c>
      <c r="H977" s="7" t="str">
        <f>IF('RFQ-Input'!H976="","",'RFQ-Input'!H976)</f>
        <v/>
      </c>
      <c r="I977" s="7" t="str">
        <f>IF('RFQ-Input'!I976="","",'RFQ-Input'!I976)</f>
        <v/>
      </c>
      <c r="J977" s="7" t="str">
        <f>IF('RFQ-Input'!J976="","",'RFQ-Input'!J976)</f>
        <v/>
      </c>
      <c r="K977" s="7" t="str">
        <f>IF('RFQ-Input'!K976="","",'RFQ-Input'!K976)</f>
        <v/>
      </c>
      <c r="L977" s="7" t="str">
        <f>IF('RFQ-Input'!L976="","",'RFQ-Input'!L976)</f>
        <v/>
      </c>
      <c r="M977" s="7" t="str">
        <f>IF('RFQ-Input'!M976="","",'RFQ-Input'!M976)</f>
        <v/>
      </c>
      <c r="N977" s="7" t="str">
        <f>IF('RFQ-Input'!N976="","",'RFQ-Input'!N976)</f>
        <v/>
      </c>
      <c r="O977" s="7" t="str">
        <f>IF('RFQ-Input'!O976="","",'RFQ-Input'!O976)</f>
        <v/>
      </c>
      <c r="Q977" s="7"/>
      <c r="R977" s="7"/>
      <c r="S977" s="7"/>
      <c r="T977" s="7"/>
      <c r="U977" s="7"/>
      <c r="V977" s="7"/>
      <c r="X977" s="7"/>
      <c r="Y977" s="7"/>
      <c r="Z977" s="7"/>
      <c r="AA977" s="7" t="str">
        <f t="shared" si="105"/>
        <v/>
      </c>
      <c r="AB977" s="7"/>
      <c r="AC977" s="7"/>
      <c r="AQ977" s="7" t="str">
        <f t="shared" si="106"/>
        <v/>
      </c>
      <c r="AR977" s="7" t="str">
        <f t="shared" si="107"/>
        <v/>
      </c>
      <c r="AS977" s="7" t="str">
        <f t="shared" si="108"/>
        <v/>
      </c>
      <c r="AT977" s="7" t="str">
        <f t="shared" si="109"/>
        <v/>
      </c>
      <c r="AU977" s="7" t="str">
        <f t="shared" si="110"/>
        <v/>
      </c>
      <c r="AV977" s="7" t="str">
        <f t="shared" si="111"/>
        <v/>
      </c>
      <c r="AW977" s="7" t="str">
        <f>IF('RFQ-Input'!O976="","",'RFQ-Input'!O976)</f>
        <v/>
      </c>
      <c r="AX977" s="7" t="str">
        <f>IF('RFQ-Input'!S976="","",'RFQ-Input'!S976)</f>
        <v/>
      </c>
      <c r="AY977" s="7" t="str">
        <f>IF('RFQ-Input'!V976="","",'RFQ-Input'!V976)</f>
        <v/>
      </c>
      <c r="AZ977" s="7" t="str">
        <f>IF('RFQ-Input'!Y976="","",'RFQ-Input'!Y976)</f>
        <v/>
      </c>
      <c r="BA977" s="7" t="str">
        <f>IF('RFQ-Input'!AB976="","",'RFQ-Input'!AB976)</f>
        <v/>
      </c>
    </row>
    <row r="978" spans="1:53">
      <c r="A978" s="20">
        <v>974</v>
      </c>
      <c r="B978" s="7"/>
      <c r="C978" s="7" t="str">
        <f>IF('RFQ-Input'!C977="","",'RFQ-Input'!C977)</f>
        <v/>
      </c>
      <c r="D978" s="7" t="str">
        <f>IF('RFQ-Input'!D977="","",'RFQ-Input'!D977)</f>
        <v/>
      </c>
      <c r="E978" s="7" t="str">
        <f>IF('RFQ-Input'!E977="","",'RFQ-Input'!E977)</f>
        <v/>
      </c>
      <c r="F978" s="7" t="str">
        <f>IF('RFQ-Input'!F977="","",'RFQ-Input'!F977)</f>
        <v/>
      </c>
      <c r="G978" s="7" t="str">
        <f>IF('RFQ-Input'!G977="","",'RFQ-Input'!G977)</f>
        <v/>
      </c>
      <c r="H978" s="7" t="str">
        <f>IF('RFQ-Input'!H977="","",'RFQ-Input'!H977)</f>
        <v/>
      </c>
      <c r="I978" s="7" t="str">
        <f>IF('RFQ-Input'!I977="","",'RFQ-Input'!I977)</f>
        <v/>
      </c>
      <c r="J978" s="7" t="str">
        <f>IF('RFQ-Input'!J977="","",'RFQ-Input'!J977)</f>
        <v/>
      </c>
      <c r="K978" s="7" t="str">
        <f>IF('RFQ-Input'!K977="","",'RFQ-Input'!K977)</f>
        <v/>
      </c>
      <c r="L978" s="7" t="str">
        <f>IF('RFQ-Input'!L977="","",'RFQ-Input'!L977)</f>
        <v/>
      </c>
      <c r="M978" s="7" t="str">
        <f>IF('RFQ-Input'!M977="","",'RFQ-Input'!M977)</f>
        <v/>
      </c>
      <c r="N978" s="7" t="str">
        <f>IF('RFQ-Input'!N977="","",'RFQ-Input'!N977)</f>
        <v/>
      </c>
      <c r="O978" s="7" t="str">
        <f>IF('RFQ-Input'!O977="","",'RFQ-Input'!O977)</f>
        <v/>
      </c>
      <c r="Q978" s="7"/>
      <c r="R978" s="7"/>
      <c r="S978" s="7"/>
      <c r="T978" s="7"/>
      <c r="U978" s="7"/>
      <c r="V978" s="7"/>
      <c r="X978" s="7"/>
      <c r="Y978" s="7"/>
      <c r="Z978" s="7"/>
      <c r="AA978" s="7" t="str">
        <f t="shared" si="105"/>
        <v/>
      </c>
      <c r="AB978" s="7"/>
      <c r="AC978" s="7"/>
      <c r="AQ978" s="7" t="str">
        <f t="shared" si="106"/>
        <v/>
      </c>
      <c r="AR978" s="7" t="str">
        <f t="shared" si="107"/>
        <v/>
      </c>
      <c r="AS978" s="7" t="str">
        <f t="shared" si="108"/>
        <v/>
      </c>
      <c r="AT978" s="7" t="str">
        <f t="shared" si="109"/>
        <v/>
      </c>
      <c r="AU978" s="7" t="str">
        <f t="shared" si="110"/>
        <v/>
      </c>
      <c r="AV978" s="7" t="str">
        <f t="shared" si="111"/>
        <v/>
      </c>
      <c r="AW978" s="7" t="str">
        <f>IF('RFQ-Input'!O977="","",'RFQ-Input'!O977)</f>
        <v/>
      </c>
      <c r="AX978" s="7" t="str">
        <f>IF('RFQ-Input'!S977="","",'RFQ-Input'!S977)</f>
        <v/>
      </c>
      <c r="AY978" s="7" t="str">
        <f>IF('RFQ-Input'!V977="","",'RFQ-Input'!V977)</f>
        <v/>
      </c>
      <c r="AZ978" s="7" t="str">
        <f>IF('RFQ-Input'!Y977="","",'RFQ-Input'!Y977)</f>
        <v/>
      </c>
      <c r="BA978" s="7" t="str">
        <f>IF('RFQ-Input'!AB977="","",'RFQ-Input'!AB977)</f>
        <v/>
      </c>
    </row>
    <row r="979" spans="1:53">
      <c r="A979" s="20">
        <v>975</v>
      </c>
      <c r="B979" s="7"/>
      <c r="C979" s="7" t="str">
        <f>IF('RFQ-Input'!C978="","",'RFQ-Input'!C978)</f>
        <v/>
      </c>
      <c r="D979" s="7" t="str">
        <f>IF('RFQ-Input'!D978="","",'RFQ-Input'!D978)</f>
        <v/>
      </c>
      <c r="E979" s="7" t="str">
        <f>IF('RFQ-Input'!E978="","",'RFQ-Input'!E978)</f>
        <v/>
      </c>
      <c r="F979" s="7" t="str">
        <f>IF('RFQ-Input'!F978="","",'RFQ-Input'!F978)</f>
        <v/>
      </c>
      <c r="G979" s="7" t="str">
        <f>IF('RFQ-Input'!G978="","",'RFQ-Input'!G978)</f>
        <v/>
      </c>
      <c r="H979" s="7" t="str">
        <f>IF('RFQ-Input'!H978="","",'RFQ-Input'!H978)</f>
        <v/>
      </c>
      <c r="I979" s="7" t="str">
        <f>IF('RFQ-Input'!I978="","",'RFQ-Input'!I978)</f>
        <v/>
      </c>
      <c r="J979" s="7" t="str">
        <f>IF('RFQ-Input'!J978="","",'RFQ-Input'!J978)</f>
        <v/>
      </c>
      <c r="K979" s="7" t="str">
        <f>IF('RFQ-Input'!K978="","",'RFQ-Input'!K978)</f>
        <v/>
      </c>
      <c r="L979" s="7" t="str">
        <f>IF('RFQ-Input'!L978="","",'RFQ-Input'!L978)</f>
        <v/>
      </c>
      <c r="M979" s="7" t="str">
        <f>IF('RFQ-Input'!M978="","",'RFQ-Input'!M978)</f>
        <v/>
      </c>
      <c r="N979" s="7" t="str">
        <f>IF('RFQ-Input'!N978="","",'RFQ-Input'!N978)</f>
        <v/>
      </c>
      <c r="O979" s="7" t="str">
        <f>IF('RFQ-Input'!O978="","",'RFQ-Input'!O978)</f>
        <v/>
      </c>
      <c r="Q979" s="7"/>
      <c r="R979" s="7"/>
      <c r="S979" s="7"/>
      <c r="T979" s="7"/>
      <c r="U979" s="7"/>
      <c r="V979" s="7"/>
      <c r="X979" s="7"/>
      <c r="Y979" s="7"/>
      <c r="Z979" s="7"/>
      <c r="AA979" s="7" t="str">
        <f t="shared" si="105"/>
        <v/>
      </c>
      <c r="AB979" s="7"/>
      <c r="AC979" s="7"/>
      <c r="AQ979" s="7" t="str">
        <f t="shared" si="106"/>
        <v/>
      </c>
      <c r="AR979" s="7" t="str">
        <f t="shared" si="107"/>
        <v/>
      </c>
      <c r="AS979" s="7" t="str">
        <f t="shared" si="108"/>
        <v/>
      </c>
      <c r="AT979" s="7" t="str">
        <f t="shared" si="109"/>
        <v/>
      </c>
      <c r="AU979" s="7" t="str">
        <f t="shared" si="110"/>
        <v/>
      </c>
      <c r="AV979" s="7" t="str">
        <f t="shared" si="111"/>
        <v/>
      </c>
      <c r="AW979" s="7" t="str">
        <f>IF('RFQ-Input'!O978="","",'RFQ-Input'!O978)</f>
        <v/>
      </c>
      <c r="AX979" s="7" t="str">
        <f>IF('RFQ-Input'!S978="","",'RFQ-Input'!S978)</f>
        <v/>
      </c>
      <c r="AY979" s="7" t="str">
        <f>IF('RFQ-Input'!V978="","",'RFQ-Input'!V978)</f>
        <v/>
      </c>
      <c r="AZ979" s="7" t="str">
        <f>IF('RFQ-Input'!Y978="","",'RFQ-Input'!Y978)</f>
        <v/>
      </c>
      <c r="BA979" s="7" t="str">
        <f>IF('RFQ-Input'!AB978="","",'RFQ-Input'!AB978)</f>
        <v/>
      </c>
    </row>
    <row r="980" spans="1:53">
      <c r="A980" s="20">
        <v>976</v>
      </c>
      <c r="B980" s="7"/>
      <c r="C980" s="7" t="str">
        <f>IF('RFQ-Input'!C979="","",'RFQ-Input'!C979)</f>
        <v/>
      </c>
      <c r="D980" s="7" t="str">
        <f>IF('RFQ-Input'!D979="","",'RFQ-Input'!D979)</f>
        <v/>
      </c>
      <c r="E980" s="7" t="str">
        <f>IF('RFQ-Input'!E979="","",'RFQ-Input'!E979)</f>
        <v/>
      </c>
      <c r="F980" s="7" t="str">
        <f>IF('RFQ-Input'!F979="","",'RFQ-Input'!F979)</f>
        <v/>
      </c>
      <c r="G980" s="7" t="str">
        <f>IF('RFQ-Input'!G979="","",'RFQ-Input'!G979)</f>
        <v/>
      </c>
      <c r="H980" s="7" t="str">
        <f>IF('RFQ-Input'!H979="","",'RFQ-Input'!H979)</f>
        <v/>
      </c>
      <c r="I980" s="7" t="str">
        <f>IF('RFQ-Input'!I979="","",'RFQ-Input'!I979)</f>
        <v/>
      </c>
      <c r="J980" s="7" t="str">
        <f>IF('RFQ-Input'!J979="","",'RFQ-Input'!J979)</f>
        <v/>
      </c>
      <c r="K980" s="7" t="str">
        <f>IF('RFQ-Input'!K979="","",'RFQ-Input'!K979)</f>
        <v/>
      </c>
      <c r="L980" s="7" t="str">
        <f>IF('RFQ-Input'!L979="","",'RFQ-Input'!L979)</f>
        <v/>
      </c>
      <c r="M980" s="7" t="str">
        <f>IF('RFQ-Input'!M979="","",'RFQ-Input'!M979)</f>
        <v/>
      </c>
      <c r="N980" s="7" t="str">
        <f>IF('RFQ-Input'!N979="","",'RFQ-Input'!N979)</f>
        <v/>
      </c>
      <c r="O980" s="7" t="str">
        <f>IF('RFQ-Input'!O979="","",'RFQ-Input'!O979)</f>
        <v/>
      </c>
      <c r="Q980" s="7"/>
      <c r="R980" s="7"/>
      <c r="S980" s="7"/>
      <c r="T980" s="7"/>
      <c r="U980" s="7"/>
      <c r="V980" s="7"/>
      <c r="X980" s="7"/>
      <c r="Y980" s="7"/>
      <c r="Z980" s="7"/>
      <c r="AA980" s="7" t="str">
        <f t="shared" si="105"/>
        <v/>
      </c>
      <c r="AB980" s="7"/>
      <c r="AC980" s="7"/>
      <c r="AQ980" s="7" t="str">
        <f t="shared" si="106"/>
        <v/>
      </c>
      <c r="AR980" s="7" t="str">
        <f t="shared" si="107"/>
        <v/>
      </c>
      <c r="AS980" s="7" t="str">
        <f t="shared" si="108"/>
        <v/>
      </c>
      <c r="AT980" s="7" t="str">
        <f t="shared" si="109"/>
        <v/>
      </c>
      <c r="AU980" s="7" t="str">
        <f t="shared" si="110"/>
        <v/>
      </c>
      <c r="AV980" s="7" t="str">
        <f t="shared" si="111"/>
        <v/>
      </c>
      <c r="AW980" s="7" t="str">
        <f>IF('RFQ-Input'!O979="","",'RFQ-Input'!O979)</f>
        <v/>
      </c>
      <c r="AX980" s="7" t="str">
        <f>IF('RFQ-Input'!S979="","",'RFQ-Input'!S979)</f>
        <v/>
      </c>
      <c r="AY980" s="7" t="str">
        <f>IF('RFQ-Input'!V979="","",'RFQ-Input'!V979)</f>
        <v/>
      </c>
      <c r="AZ980" s="7" t="str">
        <f>IF('RFQ-Input'!Y979="","",'RFQ-Input'!Y979)</f>
        <v/>
      </c>
      <c r="BA980" s="7" t="str">
        <f>IF('RFQ-Input'!AB979="","",'RFQ-Input'!AB979)</f>
        <v/>
      </c>
    </row>
    <row r="981" spans="1:53">
      <c r="A981" s="20">
        <v>977</v>
      </c>
      <c r="B981" s="7"/>
      <c r="C981" s="7" t="str">
        <f>IF('RFQ-Input'!C980="","",'RFQ-Input'!C980)</f>
        <v/>
      </c>
      <c r="D981" s="7" t="str">
        <f>IF('RFQ-Input'!D980="","",'RFQ-Input'!D980)</f>
        <v/>
      </c>
      <c r="E981" s="7" t="str">
        <f>IF('RFQ-Input'!E980="","",'RFQ-Input'!E980)</f>
        <v/>
      </c>
      <c r="F981" s="7" t="str">
        <f>IF('RFQ-Input'!F980="","",'RFQ-Input'!F980)</f>
        <v/>
      </c>
      <c r="G981" s="7" t="str">
        <f>IF('RFQ-Input'!G980="","",'RFQ-Input'!G980)</f>
        <v/>
      </c>
      <c r="H981" s="7" t="str">
        <f>IF('RFQ-Input'!H980="","",'RFQ-Input'!H980)</f>
        <v/>
      </c>
      <c r="I981" s="7" t="str">
        <f>IF('RFQ-Input'!I980="","",'RFQ-Input'!I980)</f>
        <v/>
      </c>
      <c r="J981" s="7" t="str">
        <f>IF('RFQ-Input'!J980="","",'RFQ-Input'!J980)</f>
        <v/>
      </c>
      <c r="K981" s="7" t="str">
        <f>IF('RFQ-Input'!K980="","",'RFQ-Input'!K980)</f>
        <v/>
      </c>
      <c r="L981" s="7" t="str">
        <f>IF('RFQ-Input'!L980="","",'RFQ-Input'!L980)</f>
        <v/>
      </c>
      <c r="M981" s="7" t="str">
        <f>IF('RFQ-Input'!M980="","",'RFQ-Input'!M980)</f>
        <v/>
      </c>
      <c r="N981" s="7" t="str">
        <f>IF('RFQ-Input'!N980="","",'RFQ-Input'!N980)</f>
        <v/>
      </c>
      <c r="O981" s="7" t="str">
        <f>IF('RFQ-Input'!O980="","",'RFQ-Input'!O980)</f>
        <v/>
      </c>
      <c r="Q981" s="7"/>
      <c r="R981" s="7"/>
      <c r="S981" s="7"/>
      <c r="T981" s="7"/>
      <c r="U981" s="7"/>
      <c r="V981" s="7"/>
      <c r="X981" s="7"/>
      <c r="Y981" s="7"/>
      <c r="Z981" s="7"/>
      <c r="AA981" s="7" t="str">
        <f t="shared" si="105"/>
        <v/>
      </c>
      <c r="AB981" s="7"/>
      <c r="AC981" s="7"/>
      <c r="AQ981" s="7" t="str">
        <f t="shared" si="106"/>
        <v/>
      </c>
      <c r="AR981" s="7" t="str">
        <f t="shared" si="107"/>
        <v/>
      </c>
      <c r="AS981" s="7" t="str">
        <f t="shared" si="108"/>
        <v/>
      </c>
      <c r="AT981" s="7" t="str">
        <f t="shared" si="109"/>
        <v/>
      </c>
      <c r="AU981" s="7" t="str">
        <f t="shared" si="110"/>
        <v/>
      </c>
      <c r="AV981" s="7" t="str">
        <f t="shared" si="111"/>
        <v/>
      </c>
      <c r="AW981" s="7" t="str">
        <f>IF('RFQ-Input'!O980="","",'RFQ-Input'!O980)</f>
        <v/>
      </c>
      <c r="AX981" s="7" t="str">
        <f>IF('RFQ-Input'!S980="","",'RFQ-Input'!S980)</f>
        <v/>
      </c>
      <c r="AY981" s="7" t="str">
        <f>IF('RFQ-Input'!V980="","",'RFQ-Input'!V980)</f>
        <v/>
      </c>
      <c r="AZ981" s="7" t="str">
        <f>IF('RFQ-Input'!Y980="","",'RFQ-Input'!Y980)</f>
        <v/>
      </c>
      <c r="BA981" s="7" t="str">
        <f>IF('RFQ-Input'!AB980="","",'RFQ-Input'!AB980)</f>
        <v/>
      </c>
    </row>
    <row r="982" spans="1:53">
      <c r="A982" s="20">
        <v>978</v>
      </c>
      <c r="B982" s="7"/>
      <c r="C982" s="7" t="str">
        <f>IF('RFQ-Input'!C981="","",'RFQ-Input'!C981)</f>
        <v/>
      </c>
      <c r="D982" s="7" t="str">
        <f>IF('RFQ-Input'!D981="","",'RFQ-Input'!D981)</f>
        <v/>
      </c>
      <c r="E982" s="7" t="str">
        <f>IF('RFQ-Input'!E981="","",'RFQ-Input'!E981)</f>
        <v/>
      </c>
      <c r="F982" s="7" t="str">
        <f>IF('RFQ-Input'!F981="","",'RFQ-Input'!F981)</f>
        <v/>
      </c>
      <c r="G982" s="7" t="str">
        <f>IF('RFQ-Input'!G981="","",'RFQ-Input'!G981)</f>
        <v/>
      </c>
      <c r="H982" s="7" t="str">
        <f>IF('RFQ-Input'!H981="","",'RFQ-Input'!H981)</f>
        <v/>
      </c>
      <c r="I982" s="7" t="str">
        <f>IF('RFQ-Input'!I981="","",'RFQ-Input'!I981)</f>
        <v/>
      </c>
      <c r="J982" s="7" t="str">
        <f>IF('RFQ-Input'!J981="","",'RFQ-Input'!J981)</f>
        <v/>
      </c>
      <c r="K982" s="7" t="str">
        <f>IF('RFQ-Input'!K981="","",'RFQ-Input'!K981)</f>
        <v/>
      </c>
      <c r="L982" s="7" t="str">
        <f>IF('RFQ-Input'!L981="","",'RFQ-Input'!L981)</f>
        <v/>
      </c>
      <c r="M982" s="7" t="str">
        <f>IF('RFQ-Input'!M981="","",'RFQ-Input'!M981)</f>
        <v/>
      </c>
      <c r="N982" s="7" t="str">
        <f>IF('RFQ-Input'!N981="","",'RFQ-Input'!N981)</f>
        <v/>
      </c>
      <c r="O982" s="7" t="str">
        <f>IF('RFQ-Input'!O981="","",'RFQ-Input'!O981)</f>
        <v/>
      </c>
      <c r="Q982" s="7"/>
      <c r="R982" s="7"/>
      <c r="S982" s="7"/>
      <c r="T982" s="7"/>
      <c r="U982" s="7"/>
      <c r="V982" s="7"/>
      <c r="X982" s="7"/>
      <c r="Y982" s="7"/>
      <c r="Z982" s="7"/>
      <c r="AA982" s="7" t="str">
        <f t="shared" si="105"/>
        <v/>
      </c>
      <c r="AB982" s="7"/>
      <c r="AC982" s="7"/>
      <c r="AQ982" s="7" t="str">
        <f t="shared" si="106"/>
        <v/>
      </c>
      <c r="AR982" s="7" t="str">
        <f t="shared" si="107"/>
        <v/>
      </c>
      <c r="AS982" s="7" t="str">
        <f t="shared" si="108"/>
        <v/>
      </c>
      <c r="AT982" s="7" t="str">
        <f t="shared" si="109"/>
        <v/>
      </c>
      <c r="AU982" s="7" t="str">
        <f t="shared" si="110"/>
        <v/>
      </c>
      <c r="AV982" s="7" t="str">
        <f t="shared" si="111"/>
        <v/>
      </c>
      <c r="AW982" s="7" t="str">
        <f>IF('RFQ-Input'!O981="","",'RFQ-Input'!O981)</f>
        <v/>
      </c>
      <c r="AX982" s="7" t="str">
        <f>IF('RFQ-Input'!S981="","",'RFQ-Input'!S981)</f>
        <v/>
      </c>
      <c r="AY982" s="7" t="str">
        <f>IF('RFQ-Input'!V981="","",'RFQ-Input'!V981)</f>
        <v/>
      </c>
      <c r="AZ982" s="7" t="str">
        <f>IF('RFQ-Input'!Y981="","",'RFQ-Input'!Y981)</f>
        <v/>
      </c>
      <c r="BA982" s="7" t="str">
        <f>IF('RFQ-Input'!AB981="","",'RFQ-Input'!AB981)</f>
        <v/>
      </c>
    </row>
    <row r="983" spans="1:53">
      <c r="A983" s="20">
        <v>979</v>
      </c>
      <c r="B983" s="7"/>
      <c r="C983" s="7" t="str">
        <f>IF('RFQ-Input'!C982="","",'RFQ-Input'!C982)</f>
        <v/>
      </c>
      <c r="D983" s="7" t="str">
        <f>IF('RFQ-Input'!D982="","",'RFQ-Input'!D982)</f>
        <v/>
      </c>
      <c r="E983" s="7" t="str">
        <f>IF('RFQ-Input'!E982="","",'RFQ-Input'!E982)</f>
        <v/>
      </c>
      <c r="F983" s="7" t="str">
        <f>IF('RFQ-Input'!F982="","",'RFQ-Input'!F982)</f>
        <v/>
      </c>
      <c r="G983" s="7" t="str">
        <f>IF('RFQ-Input'!G982="","",'RFQ-Input'!G982)</f>
        <v/>
      </c>
      <c r="H983" s="7" t="str">
        <f>IF('RFQ-Input'!H982="","",'RFQ-Input'!H982)</f>
        <v/>
      </c>
      <c r="I983" s="7" t="str">
        <f>IF('RFQ-Input'!I982="","",'RFQ-Input'!I982)</f>
        <v/>
      </c>
      <c r="J983" s="7" t="str">
        <f>IF('RFQ-Input'!J982="","",'RFQ-Input'!J982)</f>
        <v/>
      </c>
      <c r="K983" s="7" t="str">
        <f>IF('RFQ-Input'!K982="","",'RFQ-Input'!K982)</f>
        <v/>
      </c>
      <c r="L983" s="7" t="str">
        <f>IF('RFQ-Input'!L982="","",'RFQ-Input'!L982)</f>
        <v/>
      </c>
      <c r="M983" s="7" t="str">
        <f>IF('RFQ-Input'!M982="","",'RFQ-Input'!M982)</f>
        <v/>
      </c>
      <c r="N983" s="7" t="str">
        <f>IF('RFQ-Input'!N982="","",'RFQ-Input'!N982)</f>
        <v/>
      </c>
      <c r="O983" s="7" t="str">
        <f>IF('RFQ-Input'!O982="","",'RFQ-Input'!O982)</f>
        <v/>
      </c>
      <c r="Q983" s="7"/>
      <c r="R983" s="7"/>
      <c r="S983" s="7"/>
      <c r="T983" s="7"/>
      <c r="U983" s="7"/>
      <c r="V983" s="7"/>
      <c r="X983" s="7"/>
      <c r="Y983" s="7"/>
      <c r="Z983" s="7"/>
      <c r="AA983" s="7" t="str">
        <f t="shared" si="105"/>
        <v/>
      </c>
      <c r="AB983" s="7"/>
      <c r="AC983" s="7"/>
      <c r="AQ983" s="7" t="str">
        <f t="shared" si="106"/>
        <v/>
      </c>
      <c r="AR983" s="7" t="str">
        <f t="shared" si="107"/>
        <v/>
      </c>
      <c r="AS983" s="7" t="str">
        <f t="shared" si="108"/>
        <v/>
      </c>
      <c r="AT983" s="7" t="str">
        <f t="shared" si="109"/>
        <v/>
      </c>
      <c r="AU983" s="7" t="str">
        <f t="shared" si="110"/>
        <v/>
      </c>
      <c r="AV983" s="7" t="str">
        <f t="shared" si="111"/>
        <v/>
      </c>
      <c r="AW983" s="7" t="str">
        <f>IF('RFQ-Input'!O982="","",'RFQ-Input'!O982)</f>
        <v/>
      </c>
      <c r="AX983" s="7" t="str">
        <f>IF('RFQ-Input'!S982="","",'RFQ-Input'!S982)</f>
        <v/>
      </c>
      <c r="AY983" s="7" t="str">
        <f>IF('RFQ-Input'!V982="","",'RFQ-Input'!V982)</f>
        <v/>
      </c>
      <c r="AZ983" s="7" t="str">
        <f>IF('RFQ-Input'!Y982="","",'RFQ-Input'!Y982)</f>
        <v/>
      </c>
      <c r="BA983" s="7" t="str">
        <f>IF('RFQ-Input'!AB982="","",'RFQ-Input'!AB982)</f>
        <v/>
      </c>
    </row>
    <row r="984" spans="1:53">
      <c r="A984" s="20">
        <v>980</v>
      </c>
      <c r="B984" s="7"/>
      <c r="C984" s="7" t="str">
        <f>IF('RFQ-Input'!C983="","",'RFQ-Input'!C983)</f>
        <v/>
      </c>
      <c r="D984" s="7" t="str">
        <f>IF('RFQ-Input'!D983="","",'RFQ-Input'!D983)</f>
        <v/>
      </c>
      <c r="E984" s="7" t="str">
        <f>IF('RFQ-Input'!E983="","",'RFQ-Input'!E983)</f>
        <v/>
      </c>
      <c r="F984" s="7" t="str">
        <f>IF('RFQ-Input'!F983="","",'RFQ-Input'!F983)</f>
        <v/>
      </c>
      <c r="G984" s="7" t="str">
        <f>IF('RFQ-Input'!G983="","",'RFQ-Input'!G983)</f>
        <v/>
      </c>
      <c r="H984" s="7" t="str">
        <f>IF('RFQ-Input'!H983="","",'RFQ-Input'!H983)</f>
        <v/>
      </c>
      <c r="I984" s="7" t="str">
        <f>IF('RFQ-Input'!I983="","",'RFQ-Input'!I983)</f>
        <v/>
      </c>
      <c r="J984" s="7" t="str">
        <f>IF('RFQ-Input'!J983="","",'RFQ-Input'!J983)</f>
        <v/>
      </c>
      <c r="K984" s="7" t="str">
        <f>IF('RFQ-Input'!K983="","",'RFQ-Input'!K983)</f>
        <v/>
      </c>
      <c r="L984" s="7" t="str">
        <f>IF('RFQ-Input'!L983="","",'RFQ-Input'!L983)</f>
        <v/>
      </c>
      <c r="M984" s="7" t="str">
        <f>IF('RFQ-Input'!M983="","",'RFQ-Input'!M983)</f>
        <v/>
      </c>
      <c r="N984" s="7" t="str">
        <f>IF('RFQ-Input'!N983="","",'RFQ-Input'!N983)</f>
        <v/>
      </c>
      <c r="O984" s="7" t="str">
        <f>IF('RFQ-Input'!O983="","",'RFQ-Input'!O983)</f>
        <v/>
      </c>
      <c r="Q984" s="7"/>
      <c r="R984" s="7"/>
      <c r="S984" s="7"/>
      <c r="T984" s="7"/>
      <c r="U984" s="7"/>
      <c r="V984" s="7"/>
      <c r="X984" s="7"/>
      <c r="Y984" s="7"/>
      <c r="Z984" s="7"/>
      <c r="AA984" s="7" t="str">
        <f t="shared" si="105"/>
        <v/>
      </c>
      <c r="AB984" s="7"/>
      <c r="AC984" s="7"/>
      <c r="AQ984" s="7" t="str">
        <f t="shared" si="106"/>
        <v/>
      </c>
      <c r="AR984" s="7" t="str">
        <f t="shared" si="107"/>
        <v/>
      </c>
      <c r="AS984" s="7" t="str">
        <f t="shared" si="108"/>
        <v/>
      </c>
      <c r="AT984" s="7" t="str">
        <f t="shared" si="109"/>
        <v/>
      </c>
      <c r="AU984" s="7" t="str">
        <f t="shared" si="110"/>
        <v/>
      </c>
      <c r="AV984" s="7" t="str">
        <f t="shared" si="111"/>
        <v/>
      </c>
      <c r="AW984" s="7" t="str">
        <f>IF('RFQ-Input'!O983="","",'RFQ-Input'!O983)</f>
        <v/>
      </c>
      <c r="AX984" s="7" t="str">
        <f>IF('RFQ-Input'!S983="","",'RFQ-Input'!S983)</f>
        <v/>
      </c>
      <c r="AY984" s="7" t="str">
        <f>IF('RFQ-Input'!V983="","",'RFQ-Input'!V983)</f>
        <v/>
      </c>
      <c r="AZ984" s="7" t="str">
        <f>IF('RFQ-Input'!Y983="","",'RFQ-Input'!Y983)</f>
        <v/>
      </c>
      <c r="BA984" s="7" t="str">
        <f>IF('RFQ-Input'!AB983="","",'RFQ-Input'!AB983)</f>
        <v/>
      </c>
    </row>
    <row r="985" spans="1:53">
      <c r="A985" s="20">
        <v>981</v>
      </c>
      <c r="B985" s="7"/>
      <c r="C985" s="7" t="str">
        <f>IF('RFQ-Input'!C984="","",'RFQ-Input'!C984)</f>
        <v/>
      </c>
      <c r="D985" s="7" t="str">
        <f>IF('RFQ-Input'!D984="","",'RFQ-Input'!D984)</f>
        <v/>
      </c>
      <c r="E985" s="7" t="str">
        <f>IF('RFQ-Input'!E984="","",'RFQ-Input'!E984)</f>
        <v/>
      </c>
      <c r="F985" s="7" t="str">
        <f>IF('RFQ-Input'!F984="","",'RFQ-Input'!F984)</f>
        <v/>
      </c>
      <c r="G985" s="7" t="str">
        <f>IF('RFQ-Input'!G984="","",'RFQ-Input'!G984)</f>
        <v/>
      </c>
      <c r="H985" s="7" t="str">
        <f>IF('RFQ-Input'!H984="","",'RFQ-Input'!H984)</f>
        <v/>
      </c>
      <c r="I985" s="7" t="str">
        <f>IF('RFQ-Input'!I984="","",'RFQ-Input'!I984)</f>
        <v/>
      </c>
      <c r="J985" s="7" t="str">
        <f>IF('RFQ-Input'!J984="","",'RFQ-Input'!J984)</f>
        <v/>
      </c>
      <c r="K985" s="7" t="str">
        <f>IF('RFQ-Input'!K984="","",'RFQ-Input'!K984)</f>
        <v/>
      </c>
      <c r="L985" s="7" t="str">
        <f>IF('RFQ-Input'!L984="","",'RFQ-Input'!L984)</f>
        <v/>
      </c>
      <c r="M985" s="7" t="str">
        <f>IF('RFQ-Input'!M984="","",'RFQ-Input'!M984)</f>
        <v/>
      </c>
      <c r="N985" s="7" t="str">
        <f>IF('RFQ-Input'!N984="","",'RFQ-Input'!N984)</f>
        <v/>
      </c>
      <c r="O985" s="7" t="str">
        <f>IF('RFQ-Input'!O984="","",'RFQ-Input'!O984)</f>
        <v/>
      </c>
      <c r="Q985" s="7"/>
      <c r="R985" s="7"/>
      <c r="S985" s="7"/>
      <c r="T985" s="7"/>
      <c r="U985" s="7"/>
      <c r="V985" s="7"/>
      <c r="X985" s="7"/>
      <c r="Y985" s="7"/>
      <c r="Z985" s="7"/>
      <c r="AA985" s="7" t="str">
        <f t="shared" si="105"/>
        <v/>
      </c>
      <c r="AB985" s="7"/>
      <c r="AC985" s="7"/>
      <c r="AQ985" s="7" t="str">
        <f t="shared" si="106"/>
        <v/>
      </c>
      <c r="AR985" s="7" t="str">
        <f t="shared" si="107"/>
        <v/>
      </c>
      <c r="AS985" s="7" t="str">
        <f t="shared" si="108"/>
        <v/>
      </c>
      <c r="AT985" s="7" t="str">
        <f t="shared" si="109"/>
        <v/>
      </c>
      <c r="AU985" s="7" t="str">
        <f t="shared" si="110"/>
        <v/>
      </c>
      <c r="AV985" s="7" t="str">
        <f t="shared" si="111"/>
        <v/>
      </c>
      <c r="AW985" s="7" t="str">
        <f>IF('RFQ-Input'!O984="","",'RFQ-Input'!O984)</f>
        <v/>
      </c>
      <c r="AX985" s="7" t="str">
        <f>IF('RFQ-Input'!S984="","",'RFQ-Input'!S984)</f>
        <v/>
      </c>
      <c r="AY985" s="7" t="str">
        <f>IF('RFQ-Input'!V984="","",'RFQ-Input'!V984)</f>
        <v/>
      </c>
      <c r="AZ985" s="7" t="str">
        <f>IF('RFQ-Input'!Y984="","",'RFQ-Input'!Y984)</f>
        <v/>
      </c>
      <c r="BA985" s="7" t="str">
        <f>IF('RFQ-Input'!AB984="","",'RFQ-Input'!AB984)</f>
        <v/>
      </c>
    </row>
    <row r="986" spans="1:53">
      <c r="A986" s="20">
        <v>982</v>
      </c>
      <c r="B986" s="7"/>
      <c r="C986" s="7" t="str">
        <f>IF('RFQ-Input'!C985="","",'RFQ-Input'!C985)</f>
        <v/>
      </c>
      <c r="D986" s="7" t="str">
        <f>IF('RFQ-Input'!D985="","",'RFQ-Input'!D985)</f>
        <v/>
      </c>
      <c r="E986" s="7" t="str">
        <f>IF('RFQ-Input'!E985="","",'RFQ-Input'!E985)</f>
        <v/>
      </c>
      <c r="F986" s="7" t="str">
        <f>IF('RFQ-Input'!F985="","",'RFQ-Input'!F985)</f>
        <v/>
      </c>
      <c r="G986" s="7" t="str">
        <f>IF('RFQ-Input'!G985="","",'RFQ-Input'!G985)</f>
        <v/>
      </c>
      <c r="H986" s="7" t="str">
        <f>IF('RFQ-Input'!H985="","",'RFQ-Input'!H985)</f>
        <v/>
      </c>
      <c r="I986" s="7" t="str">
        <f>IF('RFQ-Input'!I985="","",'RFQ-Input'!I985)</f>
        <v/>
      </c>
      <c r="J986" s="7" t="str">
        <f>IF('RFQ-Input'!J985="","",'RFQ-Input'!J985)</f>
        <v/>
      </c>
      <c r="K986" s="7" t="str">
        <f>IF('RFQ-Input'!K985="","",'RFQ-Input'!K985)</f>
        <v/>
      </c>
      <c r="L986" s="7" t="str">
        <f>IF('RFQ-Input'!L985="","",'RFQ-Input'!L985)</f>
        <v/>
      </c>
      <c r="M986" s="7" t="str">
        <f>IF('RFQ-Input'!M985="","",'RFQ-Input'!M985)</f>
        <v/>
      </c>
      <c r="N986" s="7" t="str">
        <f>IF('RFQ-Input'!N985="","",'RFQ-Input'!N985)</f>
        <v/>
      </c>
      <c r="O986" s="7" t="str">
        <f>IF('RFQ-Input'!O985="","",'RFQ-Input'!O985)</f>
        <v/>
      </c>
      <c r="Q986" s="7"/>
      <c r="R986" s="7"/>
      <c r="S986" s="7"/>
      <c r="T986" s="7"/>
      <c r="U986" s="7"/>
      <c r="V986" s="7"/>
      <c r="X986" s="7"/>
      <c r="Y986" s="7"/>
      <c r="Z986" s="7"/>
      <c r="AA986" s="7" t="str">
        <f t="shared" si="105"/>
        <v/>
      </c>
      <c r="AB986" s="7"/>
      <c r="AC986" s="7"/>
      <c r="AQ986" s="7" t="str">
        <f t="shared" si="106"/>
        <v/>
      </c>
      <c r="AR986" s="7" t="str">
        <f t="shared" si="107"/>
        <v/>
      </c>
      <c r="AS986" s="7" t="str">
        <f t="shared" si="108"/>
        <v/>
      </c>
      <c r="AT986" s="7" t="str">
        <f t="shared" si="109"/>
        <v/>
      </c>
      <c r="AU986" s="7" t="str">
        <f t="shared" si="110"/>
        <v/>
      </c>
      <c r="AV986" s="7" t="str">
        <f t="shared" si="111"/>
        <v/>
      </c>
      <c r="AW986" s="7" t="str">
        <f>IF('RFQ-Input'!O985="","",'RFQ-Input'!O985)</f>
        <v/>
      </c>
      <c r="AX986" s="7" t="str">
        <f>IF('RFQ-Input'!S985="","",'RFQ-Input'!S985)</f>
        <v/>
      </c>
      <c r="AY986" s="7" t="str">
        <f>IF('RFQ-Input'!V985="","",'RFQ-Input'!V985)</f>
        <v/>
      </c>
      <c r="AZ986" s="7" t="str">
        <f>IF('RFQ-Input'!Y985="","",'RFQ-Input'!Y985)</f>
        <v/>
      </c>
      <c r="BA986" s="7" t="str">
        <f>IF('RFQ-Input'!AB985="","",'RFQ-Input'!AB985)</f>
        <v/>
      </c>
    </row>
    <row r="987" spans="1:53">
      <c r="A987" s="20">
        <v>983</v>
      </c>
      <c r="B987" s="7"/>
      <c r="C987" s="7" t="str">
        <f>IF('RFQ-Input'!C986="","",'RFQ-Input'!C986)</f>
        <v/>
      </c>
      <c r="D987" s="7" t="str">
        <f>IF('RFQ-Input'!D986="","",'RFQ-Input'!D986)</f>
        <v/>
      </c>
      <c r="E987" s="7" t="str">
        <f>IF('RFQ-Input'!E986="","",'RFQ-Input'!E986)</f>
        <v/>
      </c>
      <c r="F987" s="7" t="str">
        <f>IF('RFQ-Input'!F986="","",'RFQ-Input'!F986)</f>
        <v/>
      </c>
      <c r="G987" s="7" t="str">
        <f>IF('RFQ-Input'!G986="","",'RFQ-Input'!G986)</f>
        <v/>
      </c>
      <c r="H987" s="7" t="str">
        <f>IF('RFQ-Input'!H986="","",'RFQ-Input'!H986)</f>
        <v/>
      </c>
      <c r="I987" s="7" t="str">
        <f>IF('RFQ-Input'!I986="","",'RFQ-Input'!I986)</f>
        <v/>
      </c>
      <c r="J987" s="7" t="str">
        <f>IF('RFQ-Input'!J986="","",'RFQ-Input'!J986)</f>
        <v/>
      </c>
      <c r="K987" s="7" t="str">
        <f>IF('RFQ-Input'!K986="","",'RFQ-Input'!K986)</f>
        <v/>
      </c>
      <c r="L987" s="7" t="str">
        <f>IF('RFQ-Input'!L986="","",'RFQ-Input'!L986)</f>
        <v/>
      </c>
      <c r="M987" s="7" t="str">
        <f>IF('RFQ-Input'!M986="","",'RFQ-Input'!M986)</f>
        <v/>
      </c>
      <c r="N987" s="7" t="str">
        <f>IF('RFQ-Input'!N986="","",'RFQ-Input'!N986)</f>
        <v/>
      </c>
      <c r="O987" s="7" t="str">
        <f>IF('RFQ-Input'!O986="","",'RFQ-Input'!O986)</f>
        <v/>
      </c>
      <c r="Q987" s="7"/>
      <c r="R987" s="7"/>
      <c r="S987" s="7"/>
      <c r="T987" s="7"/>
      <c r="U987" s="7"/>
      <c r="V987" s="7"/>
      <c r="X987" s="7"/>
      <c r="Y987" s="7"/>
      <c r="Z987" s="7"/>
      <c r="AA987" s="7" t="str">
        <f t="shared" si="105"/>
        <v/>
      </c>
      <c r="AB987" s="7"/>
      <c r="AC987" s="7"/>
      <c r="AQ987" s="7" t="str">
        <f t="shared" si="106"/>
        <v/>
      </c>
      <c r="AR987" s="7" t="str">
        <f t="shared" si="107"/>
        <v/>
      </c>
      <c r="AS987" s="7" t="str">
        <f t="shared" si="108"/>
        <v/>
      </c>
      <c r="AT987" s="7" t="str">
        <f t="shared" si="109"/>
        <v/>
      </c>
      <c r="AU987" s="7" t="str">
        <f t="shared" si="110"/>
        <v/>
      </c>
      <c r="AV987" s="7" t="str">
        <f t="shared" si="111"/>
        <v/>
      </c>
      <c r="AW987" s="7" t="str">
        <f>IF('RFQ-Input'!O986="","",'RFQ-Input'!O986)</f>
        <v/>
      </c>
      <c r="AX987" s="7" t="str">
        <f>IF('RFQ-Input'!S986="","",'RFQ-Input'!S986)</f>
        <v/>
      </c>
      <c r="AY987" s="7" t="str">
        <f>IF('RFQ-Input'!V986="","",'RFQ-Input'!V986)</f>
        <v/>
      </c>
      <c r="AZ987" s="7" t="str">
        <f>IF('RFQ-Input'!Y986="","",'RFQ-Input'!Y986)</f>
        <v/>
      </c>
      <c r="BA987" s="7" t="str">
        <f>IF('RFQ-Input'!AB986="","",'RFQ-Input'!AB986)</f>
        <v/>
      </c>
    </row>
    <row r="988" spans="1:53">
      <c r="A988" s="20">
        <v>984</v>
      </c>
      <c r="B988" s="7"/>
      <c r="C988" s="7" t="str">
        <f>IF('RFQ-Input'!C987="","",'RFQ-Input'!C987)</f>
        <v/>
      </c>
      <c r="D988" s="7" t="str">
        <f>IF('RFQ-Input'!D987="","",'RFQ-Input'!D987)</f>
        <v/>
      </c>
      <c r="E988" s="7" t="str">
        <f>IF('RFQ-Input'!E987="","",'RFQ-Input'!E987)</f>
        <v/>
      </c>
      <c r="F988" s="7" t="str">
        <f>IF('RFQ-Input'!F987="","",'RFQ-Input'!F987)</f>
        <v/>
      </c>
      <c r="G988" s="7" t="str">
        <f>IF('RFQ-Input'!G987="","",'RFQ-Input'!G987)</f>
        <v/>
      </c>
      <c r="H988" s="7" t="str">
        <f>IF('RFQ-Input'!H987="","",'RFQ-Input'!H987)</f>
        <v/>
      </c>
      <c r="I988" s="7" t="str">
        <f>IF('RFQ-Input'!I987="","",'RFQ-Input'!I987)</f>
        <v/>
      </c>
      <c r="J988" s="7" t="str">
        <f>IF('RFQ-Input'!J987="","",'RFQ-Input'!J987)</f>
        <v/>
      </c>
      <c r="K988" s="7" t="str">
        <f>IF('RFQ-Input'!K987="","",'RFQ-Input'!K987)</f>
        <v/>
      </c>
      <c r="L988" s="7" t="str">
        <f>IF('RFQ-Input'!L987="","",'RFQ-Input'!L987)</f>
        <v/>
      </c>
      <c r="M988" s="7" t="str">
        <f>IF('RFQ-Input'!M987="","",'RFQ-Input'!M987)</f>
        <v/>
      </c>
      <c r="N988" s="7" t="str">
        <f>IF('RFQ-Input'!N987="","",'RFQ-Input'!N987)</f>
        <v/>
      </c>
      <c r="O988" s="7" t="str">
        <f>IF('RFQ-Input'!O987="","",'RFQ-Input'!O987)</f>
        <v/>
      </c>
      <c r="Q988" s="7"/>
      <c r="R988" s="7"/>
      <c r="S988" s="7"/>
      <c r="T988" s="7"/>
      <c r="U988" s="7"/>
      <c r="V988" s="7"/>
      <c r="X988" s="7"/>
      <c r="Y988" s="7"/>
      <c r="Z988" s="7"/>
      <c r="AA988" s="7" t="str">
        <f t="shared" si="105"/>
        <v/>
      </c>
      <c r="AB988" s="7"/>
      <c r="AC988" s="7"/>
      <c r="AQ988" s="7" t="str">
        <f t="shared" si="106"/>
        <v/>
      </c>
      <c r="AR988" s="7" t="str">
        <f t="shared" si="107"/>
        <v/>
      </c>
      <c r="AS988" s="7" t="str">
        <f t="shared" si="108"/>
        <v/>
      </c>
      <c r="AT988" s="7" t="str">
        <f t="shared" si="109"/>
        <v/>
      </c>
      <c r="AU988" s="7" t="str">
        <f t="shared" si="110"/>
        <v/>
      </c>
      <c r="AV988" s="7" t="str">
        <f t="shared" si="111"/>
        <v/>
      </c>
      <c r="AW988" s="7" t="str">
        <f>IF('RFQ-Input'!O987="","",'RFQ-Input'!O987)</f>
        <v/>
      </c>
      <c r="AX988" s="7" t="str">
        <f>IF('RFQ-Input'!S987="","",'RFQ-Input'!S987)</f>
        <v/>
      </c>
      <c r="AY988" s="7" t="str">
        <f>IF('RFQ-Input'!V987="","",'RFQ-Input'!V987)</f>
        <v/>
      </c>
      <c r="AZ988" s="7" t="str">
        <f>IF('RFQ-Input'!Y987="","",'RFQ-Input'!Y987)</f>
        <v/>
      </c>
      <c r="BA988" s="7" t="str">
        <f>IF('RFQ-Input'!AB987="","",'RFQ-Input'!AB987)</f>
        <v/>
      </c>
    </row>
    <row r="989" spans="1:53">
      <c r="A989" s="20">
        <v>985</v>
      </c>
      <c r="B989" s="7"/>
      <c r="C989" s="7" t="str">
        <f>IF('RFQ-Input'!C988="","",'RFQ-Input'!C988)</f>
        <v/>
      </c>
      <c r="D989" s="7" t="str">
        <f>IF('RFQ-Input'!D988="","",'RFQ-Input'!D988)</f>
        <v/>
      </c>
      <c r="E989" s="7" t="str">
        <f>IF('RFQ-Input'!E988="","",'RFQ-Input'!E988)</f>
        <v/>
      </c>
      <c r="F989" s="7" t="str">
        <f>IF('RFQ-Input'!F988="","",'RFQ-Input'!F988)</f>
        <v/>
      </c>
      <c r="G989" s="7" t="str">
        <f>IF('RFQ-Input'!G988="","",'RFQ-Input'!G988)</f>
        <v/>
      </c>
      <c r="H989" s="7" t="str">
        <f>IF('RFQ-Input'!H988="","",'RFQ-Input'!H988)</f>
        <v/>
      </c>
      <c r="I989" s="7" t="str">
        <f>IF('RFQ-Input'!I988="","",'RFQ-Input'!I988)</f>
        <v/>
      </c>
      <c r="J989" s="7" t="str">
        <f>IF('RFQ-Input'!J988="","",'RFQ-Input'!J988)</f>
        <v/>
      </c>
      <c r="K989" s="7" t="str">
        <f>IF('RFQ-Input'!K988="","",'RFQ-Input'!K988)</f>
        <v/>
      </c>
      <c r="L989" s="7" t="str">
        <f>IF('RFQ-Input'!L988="","",'RFQ-Input'!L988)</f>
        <v/>
      </c>
      <c r="M989" s="7" t="str">
        <f>IF('RFQ-Input'!M988="","",'RFQ-Input'!M988)</f>
        <v/>
      </c>
      <c r="N989" s="7" t="str">
        <f>IF('RFQ-Input'!N988="","",'RFQ-Input'!N988)</f>
        <v/>
      </c>
      <c r="O989" s="7" t="str">
        <f>IF('RFQ-Input'!O988="","",'RFQ-Input'!O988)</f>
        <v/>
      </c>
      <c r="Q989" s="7"/>
      <c r="R989" s="7"/>
      <c r="S989" s="7"/>
      <c r="T989" s="7"/>
      <c r="U989" s="7"/>
      <c r="V989" s="7"/>
      <c r="X989" s="7"/>
      <c r="Y989" s="7"/>
      <c r="Z989" s="7"/>
      <c r="AA989" s="7" t="str">
        <f t="shared" si="105"/>
        <v/>
      </c>
      <c r="AB989" s="7"/>
      <c r="AC989" s="7"/>
      <c r="AQ989" s="7" t="str">
        <f t="shared" si="106"/>
        <v/>
      </c>
      <c r="AR989" s="7" t="str">
        <f t="shared" si="107"/>
        <v/>
      </c>
      <c r="AS989" s="7" t="str">
        <f t="shared" si="108"/>
        <v/>
      </c>
      <c r="AT989" s="7" t="str">
        <f t="shared" si="109"/>
        <v/>
      </c>
      <c r="AU989" s="7" t="str">
        <f t="shared" si="110"/>
        <v/>
      </c>
      <c r="AV989" s="7" t="str">
        <f t="shared" si="111"/>
        <v/>
      </c>
      <c r="AW989" s="7" t="str">
        <f>IF('RFQ-Input'!O988="","",'RFQ-Input'!O988)</f>
        <v/>
      </c>
      <c r="AX989" s="7" t="str">
        <f>IF('RFQ-Input'!S988="","",'RFQ-Input'!S988)</f>
        <v/>
      </c>
      <c r="AY989" s="7" t="str">
        <f>IF('RFQ-Input'!V988="","",'RFQ-Input'!V988)</f>
        <v/>
      </c>
      <c r="AZ989" s="7" t="str">
        <f>IF('RFQ-Input'!Y988="","",'RFQ-Input'!Y988)</f>
        <v/>
      </c>
      <c r="BA989" s="7" t="str">
        <f>IF('RFQ-Input'!AB988="","",'RFQ-Input'!AB988)</f>
        <v/>
      </c>
    </row>
    <row r="990" spans="1:53">
      <c r="A990" s="20">
        <v>986</v>
      </c>
      <c r="B990" s="7"/>
      <c r="C990" s="7" t="str">
        <f>IF('RFQ-Input'!C989="","",'RFQ-Input'!C989)</f>
        <v/>
      </c>
      <c r="D990" s="7" t="str">
        <f>IF('RFQ-Input'!D989="","",'RFQ-Input'!D989)</f>
        <v/>
      </c>
      <c r="E990" s="7" t="str">
        <f>IF('RFQ-Input'!E989="","",'RFQ-Input'!E989)</f>
        <v/>
      </c>
      <c r="F990" s="7" t="str">
        <f>IF('RFQ-Input'!F989="","",'RFQ-Input'!F989)</f>
        <v/>
      </c>
      <c r="G990" s="7" t="str">
        <f>IF('RFQ-Input'!G989="","",'RFQ-Input'!G989)</f>
        <v/>
      </c>
      <c r="H990" s="7" t="str">
        <f>IF('RFQ-Input'!H989="","",'RFQ-Input'!H989)</f>
        <v/>
      </c>
      <c r="I990" s="7" t="str">
        <f>IF('RFQ-Input'!I989="","",'RFQ-Input'!I989)</f>
        <v/>
      </c>
      <c r="J990" s="7" t="str">
        <f>IF('RFQ-Input'!J989="","",'RFQ-Input'!J989)</f>
        <v/>
      </c>
      <c r="K990" s="7" t="str">
        <f>IF('RFQ-Input'!K989="","",'RFQ-Input'!K989)</f>
        <v/>
      </c>
      <c r="L990" s="7" t="str">
        <f>IF('RFQ-Input'!L989="","",'RFQ-Input'!L989)</f>
        <v/>
      </c>
      <c r="M990" s="7" t="str">
        <f>IF('RFQ-Input'!M989="","",'RFQ-Input'!M989)</f>
        <v/>
      </c>
      <c r="N990" s="7" t="str">
        <f>IF('RFQ-Input'!N989="","",'RFQ-Input'!N989)</f>
        <v/>
      </c>
      <c r="O990" s="7" t="str">
        <f>IF('RFQ-Input'!O989="","",'RFQ-Input'!O989)</f>
        <v/>
      </c>
      <c r="Q990" s="7"/>
      <c r="R990" s="7"/>
      <c r="S990" s="7"/>
      <c r="T990" s="7"/>
      <c r="U990" s="7"/>
      <c r="V990" s="7"/>
      <c r="X990" s="7"/>
      <c r="Y990" s="7"/>
      <c r="Z990" s="7"/>
      <c r="AA990" s="7" t="str">
        <f t="shared" si="105"/>
        <v/>
      </c>
      <c r="AB990" s="7"/>
      <c r="AC990" s="7"/>
      <c r="AQ990" s="7" t="str">
        <f t="shared" si="106"/>
        <v/>
      </c>
      <c r="AR990" s="7" t="str">
        <f t="shared" si="107"/>
        <v/>
      </c>
      <c r="AS990" s="7" t="str">
        <f t="shared" si="108"/>
        <v/>
      </c>
      <c r="AT990" s="7" t="str">
        <f t="shared" si="109"/>
        <v/>
      </c>
      <c r="AU990" s="7" t="str">
        <f t="shared" si="110"/>
        <v/>
      </c>
      <c r="AV990" s="7" t="str">
        <f t="shared" si="111"/>
        <v/>
      </c>
      <c r="AW990" s="7" t="str">
        <f>IF('RFQ-Input'!O989="","",'RFQ-Input'!O989)</f>
        <v/>
      </c>
      <c r="AX990" s="7" t="str">
        <f>IF('RFQ-Input'!S989="","",'RFQ-Input'!S989)</f>
        <v/>
      </c>
      <c r="AY990" s="7" t="str">
        <f>IF('RFQ-Input'!V989="","",'RFQ-Input'!V989)</f>
        <v/>
      </c>
      <c r="AZ990" s="7" t="str">
        <f>IF('RFQ-Input'!Y989="","",'RFQ-Input'!Y989)</f>
        <v/>
      </c>
      <c r="BA990" s="7" t="str">
        <f>IF('RFQ-Input'!AB989="","",'RFQ-Input'!AB989)</f>
        <v/>
      </c>
    </row>
    <row r="991" spans="1:53">
      <c r="A991" s="20">
        <v>987</v>
      </c>
      <c r="B991" s="7"/>
      <c r="C991" s="7" t="str">
        <f>IF('RFQ-Input'!C990="","",'RFQ-Input'!C990)</f>
        <v/>
      </c>
      <c r="D991" s="7" t="str">
        <f>IF('RFQ-Input'!D990="","",'RFQ-Input'!D990)</f>
        <v/>
      </c>
      <c r="E991" s="7" t="str">
        <f>IF('RFQ-Input'!E990="","",'RFQ-Input'!E990)</f>
        <v/>
      </c>
      <c r="F991" s="7" t="str">
        <f>IF('RFQ-Input'!F990="","",'RFQ-Input'!F990)</f>
        <v/>
      </c>
      <c r="G991" s="7" t="str">
        <f>IF('RFQ-Input'!G990="","",'RFQ-Input'!G990)</f>
        <v/>
      </c>
      <c r="H991" s="7" t="str">
        <f>IF('RFQ-Input'!H990="","",'RFQ-Input'!H990)</f>
        <v/>
      </c>
      <c r="I991" s="7" t="str">
        <f>IF('RFQ-Input'!I990="","",'RFQ-Input'!I990)</f>
        <v/>
      </c>
      <c r="J991" s="7" t="str">
        <f>IF('RFQ-Input'!J990="","",'RFQ-Input'!J990)</f>
        <v/>
      </c>
      <c r="K991" s="7" t="str">
        <f>IF('RFQ-Input'!K990="","",'RFQ-Input'!K990)</f>
        <v/>
      </c>
      <c r="L991" s="7" t="str">
        <f>IF('RFQ-Input'!L990="","",'RFQ-Input'!L990)</f>
        <v/>
      </c>
      <c r="M991" s="7" t="str">
        <f>IF('RFQ-Input'!M990="","",'RFQ-Input'!M990)</f>
        <v/>
      </c>
      <c r="N991" s="7" t="str">
        <f>IF('RFQ-Input'!N990="","",'RFQ-Input'!N990)</f>
        <v/>
      </c>
      <c r="O991" s="7" t="str">
        <f>IF('RFQ-Input'!O990="","",'RFQ-Input'!O990)</f>
        <v/>
      </c>
      <c r="Q991" s="7"/>
      <c r="R991" s="7"/>
      <c r="S991" s="7"/>
      <c r="T991" s="7"/>
      <c r="U991" s="7"/>
      <c r="V991" s="7"/>
      <c r="X991" s="7"/>
      <c r="Y991" s="7"/>
      <c r="Z991" s="7"/>
      <c r="AA991" s="7" t="str">
        <f t="shared" si="105"/>
        <v/>
      </c>
      <c r="AB991" s="7"/>
      <c r="AC991" s="7"/>
      <c r="AQ991" s="7" t="str">
        <f t="shared" si="106"/>
        <v/>
      </c>
      <c r="AR991" s="7" t="str">
        <f t="shared" si="107"/>
        <v/>
      </c>
      <c r="AS991" s="7" t="str">
        <f t="shared" si="108"/>
        <v/>
      </c>
      <c r="AT991" s="7" t="str">
        <f t="shared" si="109"/>
        <v/>
      </c>
      <c r="AU991" s="7" t="str">
        <f t="shared" si="110"/>
        <v/>
      </c>
      <c r="AV991" s="7" t="str">
        <f t="shared" si="111"/>
        <v/>
      </c>
      <c r="AW991" s="7" t="str">
        <f>IF('RFQ-Input'!O990="","",'RFQ-Input'!O990)</f>
        <v/>
      </c>
      <c r="AX991" s="7" t="str">
        <f>IF('RFQ-Input'!S990="","",'RFQ-Input'!S990)</f>
        <v/>
      </c>
      <c r="AY991" s="7" t="str">
        <f>IF('RFQ-Input'!V990="","",'RFQ-Input'!V990)</f>
        <v/>
      </c>
      <c r="AZ991" s="7" t="str">
        <f>IF('RFQ-Input'!Y990="","",'RFQ-Input'!Y990)</f>
        <v/>
      </c>
      <c r="BA991" s="7" t="str">
        <f>IF('RFQ-Input'!AB990="","",'RFQ-Input'!AB990)</f>
        <v/>
      </c>
    </row>
    <row r="992" spans="1:53">
      <c r="A992" s="20">
        <v>988</v>
      </c>
      <c r="B992" s="7"/>
      <c r="C992" s="7" t="str">
        <f>IF('RFQ-Input'!C991="","",'RFQ-Input'!C991)</f>
        <v/>
      </c>
      <c r="D992" s="7" t="str">
        <f>IF('RFQ-Input'!D991="","",'RFQ-Input'!D991)</f>
        <v/>
      </c>
      <c r="E992" s="7" t="str">
        <f>IF('RFQ-Input'!E991="","",'RFQ-Input'!E991)</f>
        <v/>
      </c>
      <c r="F992" s="7" t="str">
        <f>IF('RFQ-Input'!F991="","",'RFQ-Input'!F991)</f>
        <v/>
      </c>
      <c r="G992" s="7" t="str">
        <f>IF('RFQ-Input'!G991="","",'RFQ-Input'!G991)</f>
        <v/>
      </c>
      <c r="H992" s="7" t="str">
        <f>IF('RFQ-Input'!H991="","",'RFQ-Input'!H991)</f>
        <v/>
      </c>
      <c r="I992" s="7" t="str">
        <f>IF('RFQ-Input'!I991="","",'RFQ-Input'!I991)</f>
        <v/>
      </c>
      <c r="J992" s="7" t="str">
        <f>IF('RFQ-Input'!J991="","",'RFQ-Input'!J991)</f>
        <v/>
      </c>
      <c r="K992" s="7" t="str">
        <f>IF('RFQ-Input'!K991="","",'RFQ-Input'!K991)</f>
        <v/>
      </c>
      <c r="L992" s="7" t="str">
        <f>IF('RFQ-Input'!L991="","",'RFQ-Input'!L991)</f>
        <v/>
      </c>
      <c r="M992" s="7" t="str">
        <f>IF('RFQ-Input'!M991="","",'RFQ-Input'!M991)</f>
        <v/>
      </c>
      <c r="N992" s="7" t="str">
        <f>IF('RFQ-Input'!N991="","",'RFQ-Input'!N991)</f>
        <v/>
      </c>
      <c r="O992" s="7" t="str">
        <f>IF('RFQ-Input'!O991="","",'RFQ-Input'!O991)</f>
        <v/>
      </c>
      <c r="Q992" s="7"/>
      <c r="R992" s="7"/>
      <c r="S992" s="7"/>
      <c r="T992" s="7"/>
      <c r="U992" s="7"/>
      <c r="V992" s="7"/>
      <c r="X992" s="7"/>
      <c r="Y992" s="7"/>
      <c r="Z992" s="7"/>
      <c r="AA992" s="7" t="str">
        <f t="shared" si="105"/>
        <v/>
      </c>
      <c r="AB992" s="7"/>
      <c r="AC992" s="7"/>
      <c r="AQ992" s="7" t="str">
        <f t="shared" si="106"/>
        <v/>
      </c>
      <c r="AR992" s="7" t="str">
        <f t="shared" si="107"/>
        <v/>
      </c>
      <c r="AS992" s="7" t="str">
        <f t="shared" si="108"/>
        <v/>
      </c>
      <c r="AT992" s="7" t="str">
        <f t="shared" si="109"/>
        <v/>
      </c>
      <c r="AU992" s="7" t="str">
        <f t="shared" si="110"/>
        <v/>
      </c>
      <c r="AV992" s="7" t="str">
        <f t="shared" si="111"/>
        <v/>
      </c>
      <c r="AW992" s="7" t="str">
        <f>IF('RFQ-Input'!O991="","",'RFQ-Input'!O991)</f>
        <v/>
      </c>
      <c r="AX992" s="7" t="str">
        <f>IF('RFQ-Input'!S991="","",'RFQ-Input'!S991)</f>
        <v/>
      </c>
      <c r="AY992" s="7" t="str">
        <f>IF('RFQ-Input'!V991="","",'RFQ-Input'!V991)</f>
        <v/>
      </c>
      <c r="AZ992" s="7" t="str">
        <f>IF('RFQ-Input'!Y991="","",'RFQ-Input'!Y991)</f>
        <v/>
      </c>
      <c r="BA992" s="7" t="str">
        <f>IF('RFQ-Input'!AB991="","",'RFQ-Input'!AB991)</f>
        <v/>
      </c>
    </row>
    <row r="993" spans="1:53">
      <c r="A993" s="20">
        <v>989</v>
      </c>
      <c r="B993" s="7"/>
      <c r="C993" s="7" t="str">
        <f>IF('RFQ-Input'!C992="","",'RFQ-Input'!C992)</f>
        <v/>
      </c>
      <c r="D993" s="7" t="str">
        <f>IF('RFQ-Input'!D992="","",'RFQ-Input'!D992)</f>
        <v/>
      </c>
      <c r="E993" s="7" t="str">
        <f>IF('RFQ-Input'!E992="","",'RFQ-Input'!E992)</f>
        <v/>
      </c>
      <c r="F993" s="7" t="str">
        <f>IF('RFQ-Input'!F992="","",'RFQ-Input'!F992)</f>
        <v/>
      </c>
      <c r="G993" s="7" t="str">
        <f>IF('RFQ-Input'!G992="","",'RFQ-Input'!G992)</f>
        <v/>
      </c>
      <c r="H993" s="7" t="str">
        <f>IF('RFQ-Input'!H992="","",'RFQ-Input'!H992)</f>
        <v/>
      </c>
      <c r="I993" s="7" t="str">
        <f>IF('RFQ-Input'!I992="","",'RFQ-Input'!I992)</f>
        <v/>
      </c>
      <c r="J993" s="7" t="str">
        <f>IF('RFQ-Input'!J992="","",'RFQ-Input'!J992)</f>
        <v/>
      </c>
      <c r="K993" s="7" t="str">
        <f>IF('RFQ-Input'!K992="","",'RFQ-Input'!K992)</f>
        <v/>
      </c>
      <c r="L993" s="7" t="str">
        <f>IF('RFQ-Input'!L992="","",'RFQ-Input'!L992)</f>
        <v/>
      </c>
      <c r="M993" s="7" t="str">
        <f>IF('RFQ-Input'!M992="","",'RFQ-Input'!M992)</f>
        <v/>
      </c>
      <c r="N993" s="7" t="str">
        <f>IF('RFQ-Input'!N992="","",'RFQ-Input'!N992)</f>
        <v/>
      </c>
      <c r="O993" s="7" t="str">
        <f>IF('RFQ-Input'!O992="","",'RFQ-Input'!O992)</f>
        <v/>
      </c>
      <c r="Q993" s="7"/>
      <c r="R993" s="7"/>
      <c r="S993" s="7"/>
      <c r="T993" s="7"/>
      <c r="U993" s="7"/>
      <c r="V993" s="7"/>
      <c r="X993" s="7"/>
      <c r="Y993" s="7"/>
      <c r="Z993" s="7"/>
      <c r="AA993" s="7" t="str">
        <f t="shared" si="105"/>
        <v/>
      </c>
      <c r="AB993" s="7"/>
      <c r="AC993" s="7"/>
      <c r="AQ993" s="7" t="str">
        <f t="shared" si="106"/>
        <v/>
      </c>
      <c r="AR993" s="7" t="str">
        <f t="shared" si="107"/>
        <v/>
      </c>
      <c r="AS993" s="7" t="str">
        <f t="shared" si="108"/>
        <v/>
      </c>
      <c r="AT993" s="7" t="str">
        <f t="shared" si="109"/>
        <v/>
      </c>
      <c r="AU993" s="7" t="str">
        <f t="shared" si="110"/>
        <v/>
      </c>
      <c r="AV993" s="7" t="str">
        <f t="shared" si="111"/>
        <v/>
      </c>
      <c r="AW993" s="7" t="str">
        <f>IF('RFQ-Input'!O992="","",'RFQ-Input'!O992)</f>
        <v/>
      </c>
      <c r="AX993" s="7" t="str">
        <f>IF('RFQ-Input'!S992="","",'RFQ-Input'!S992)</f>
        <v/>
      </c>
      <c r="AY993" s="7" t="str">
        <f>IF('RFQ-Input'!V992="","",'RFQ-Input'!V992)</f>
        <v/>
      </c>
      <c r="AZ993" s="7" t="str">
        <f>IF('RFQ-Input'!Y992="","",'RFQ-Input'!Y992)</f>
        <v/>
      </c>
      <c r="BA993" s="7" t="str">
        <f>IF('RFQ-Input'!AB992="","",'RFQ-Input'!AB992)</f>
        <v/>
      </c>
    </row>
    <row r="994" spans="1:53">
      <c r="A994" s="20">
        <v>990</v>
      </c>
      <c r="B994" s="7"/>
      <c r="C994" s="7" t="str">
        <f>IF('RFQ-Input'!C993="","",'RFQ-Input'!C993)</f>
        <v/>
      </c>
      <c r="D994" s="7" t="str">
        <f>IF('RFQ-Input'!D993="","",'RFQ-Input'!D993)</f>
        <v/>
      </c>
      <c r="E994" s="7" t="str">
        <f>IF('RFQ-Input'!E993="","",'RFQ-Input'!E993)</f>
        <v/>
      </c>
      <c r="F994" s="7" t="str">
        <f>IF('RFQ-Input'!F993="","",'RFQ-Input'!F993)</f>
        <v/>
      </c>
      <c r="G994" s="7" t="str">
        <f>IF('RFQ-Input'!G993="","",'RFQ-Input'!G993)</f>
        <v/>
      </c>
      <c r="H994" s="7" t="str">
        <f>IF('RFQ-Input'!H993="","",'RFQ-Input'!H993)</f>
        <v/>
      </c>
      <c r="I994" s="7" t="str">
        <f>IF('RFQ-Input'!I993="","",'RFQ-Input'!I993)</f>
        <v/>
      </c>
      <c r="J994" s="7" t="str">
        <f>IF('RFQ-Input'!J993="","",'RFQ-Input'!J993)</f>
        <v/>
      </c>
      <c r="K994" s="7" t="str">
        <f>IF('RFQ-Input'!K993="","",'RFQ-Input'!K993)</f>
        <v/>
      </c>
      <c r="L994" s="7" t="str">
        <f>IF('RFQ-Input'!L993="","",'RFQ-Input'!L993)</f>
        <v/>
      </c>
      <c r="M994" s="7" t="str">
        <f>IF('RFQ-Input'!M993="","",'RFQ-Input'!M993)</f>
        <v/>
      </c>
      <c r="N994" s="7" t="str">
        <f>IF('RFQ-Input'!N993="","",'RFQ-Input'!N993)</f>
        <v/>
      </c>
      <c r="O994" s="7" t="str">
        <f>IF('RFQ-Input'!O993="","",'RFQ-Input'!O993)</f>
        <v/>
      </c>
      <c r="Q994" s="7"/>
      <c r="R994" s="7"/>
      <c r="S994" s="7"/>
      <c r="T994" s="7"/>
      <c r="U994" s="7"/>
      <c r="V994" s="7"/>
      <c r="X994" s="7"/>
      <c r="Y994" s="7"/>
      <c r="Z994" s="7"/>
      <c r="AA994" s="7" t="str">
        <f t="shared" si="105"/>
        <v/>
      </c>
      <c r="AB994" s="7"/>
      <c r="AC994" s="7"/>
      <c r="AQ994" s="7" t="str">
        <f t="shared" si="106"/>
        <v/>
      </c>
      <c r="AR994" s="7" t="str">
        <f t="shared" si="107"/>
        <v/>
      </c>
      <c r="AS994" s="7" t="str">
        <f t="shared" si="108"/>
        <v/>
      </c>
      <c r="AT994" s="7" t="str">
        <f t="shared" si="109"/>
        <v/>
      </c>
      <c r="AU994" s="7" t="str">
        <f t="shared" si="110"/>
        <v/>
      </c>
      <c r="AV994" s="7" t="str">
        <f t="shared" si="111"/>
        <v/>
      </c>
      <c r="AW994" s="7" t="str">
        <f>IF('RFQ-Input'!O993="","",'RFQ-Input'!O993)</f>
        <v/>
      </c>
      <c r="AX994" s="7" t="str">
        <f>IF('RFQ-Input'!S993="","",'RFQ-Input'!S993)</f>
        <v/>
      </c>
      <c r="AY994" s="7" t="str">
        <f>IF('RFQ-Input'!V993="","",'RFQ-Input'!V993)</f>
        <v/>
      </c>
      <c r="AZ994" s="7" t="str">
        <f>IF('RFQ-Input'!Y993="","",'RFQ-Input'!Y993)</f>
        <v/>
      </c>
      <c r="BA994" s="7" t="str">
        <f>IF('RFQ-Input'!AB993="","",'RFQ-Input'!AB993)</f>
        <v/>
      </c>
    </row>
    <row r="995" spans="1:53">
      <c r="A995" s="20">
        <v>991</v>
      </c>
      <c r="B995" s="7"/>
      <c r="C995" s="7" t="str">
        <f>IF('RFQ-Input'!C994="","",'RFQ-Input'!C994)</f>
        <v/>
      </c>
      <c r="D995" s="7" t="str">
        <f>IF('RFQ-Input'!D994="","",'RFQ-Input'!D994)</f>
        <v/>
      </c>
      <c r="E995" s="7" t="str">
        <f>IF('RFQ-Input'!E994="","",'RFQ-Input'!E994)</f>
        <v/>
      </c>
      <c r="F995" s="7" t="str">
        <f>IF('RFQ-Input'!F994="","",'RFQ-Input'!F994)</f>
        <v/>
      </c>
      <c r="G995" s="7" t="str">
        <f>IF('RFQ-Input'!G994="","",'RFQ-Input'!G994)</f>
        <v/>
      </c>
      <c r="H995" s="7" t="str">
        <f>IF('RFQ-Input'!H994="","",'RFQ-Input'!H994)</f>
        <v/>
      </c>
      <c r="I995" s="7" t="str">
        <f>IF('RFQ-Input'!I994="","",'RFQ-Input'!I994)</f>
        <v/>
      </c>
      <c r="J995" s="7" t="str">
        <f>IF('RFQ-Input'!J994="","",'RFQ-Input'!J994)</f>
        <v/>
      </c>
      <c r="K995" s="7" t="str">
        <f>IF('RFQ-Input'!K994="","",'RFQ-Input'!K994)</f>
        <v/>
      </c>
      <c r="L995" s="7" t="str">
        <f>IF('RFQ-Input'!L994="","",'RFQ-Input'!L994)</f>
        <v/>
      </c>
      <c r="M995" s="7" t="str">
        <f>IF('RFQ-Input'!M994="","",'RFQ-Input'!M994)</f>
        <v/>
      </c>
      <c r="N995" s="7" t="str">
        <f>IF('RFQ-Input'!N994="","",'RFQ-Input'!N994)</f>
        <v/>
      </c>
      <c r="O995" s="7" t="str">
        <f>IF('RFQ-Input'!O994="","",'RFQ-Input'!O994)</f>
        <v/>
      </c>
      <c r="Q995" s="7"/>
      <c r="R995" s="7"/>
      <c r="S995" s="7"/>
      <c r="T995" s="7"/>
      <c r="U995" s="7"/>
      <c r="V995" s="7"/>
      <c r="X995" s="7"/>
      <c r="Y995" s="7"/>
      <c r="Z995" s="7"/>
      <c r="AA995" s="7" t="str">
        <f t="shared" si="105"/>
        <v/>
      </c>
      <c r="AB995" s="7"/>
      <c r="AC995" s="7"/>
      <c r="AQ995" s="7" t="str">
        <f t="shared" si="106"/>
        <v/>
      </c>
      <c r="AR995" s="7" t="str">
        <f t="shared" si="107"/>
        <v/>
      </c>
      <c r="AS995" s="7" t="str">
        <f t="shared" si="108"/>
        <v/>
      </c>
      <c r="AT995" s="7" t="str">
        <f t="shared" si="109"/>
        <v/>
      </c>
      <c r="AU995" s="7" t="str">
        <f t="shared" si="110"/>
        <v/>
      </c>
      <c r="AV995" s="7" t="str">
        <f t="shared" si="111"/>
        <v/>
      </c>
      <c r="AW995" s="7" t="str">
        <f>IF('RFQ-Input'!O994="","",'RFQ-Input'!O994)</f>
        <v/>
      </c>
      <c r="AX995" s="7" t="str">
        <f>IF('RFQ-Input'!S994="","",'RFQ-Input'!S994)</f>
        <v/>
      </c>
      <c r="AY995" s="7" t="str">
        <f>IF('RFQ-Input'!V994="","",'RFQ-Input'!V994)</f>
        <v/>
      </c>
      <c r="AZ995" s="7" t="str">
        <f>IF('RFQ-Input'!Y994="","",'RFQ-Input'!Y994)</f>
        <v/>
      </c>
      <c r="BA995" s="7" t="str">
        <f>IF('RFQ-Input'!AB994="","",'RFQ-Input'!AB994)</f>
        <v/>
      </c>
    </row>
    <row r="996" spans="1:53">
      <c r="A996" s="20">
        <v>992</v>
      </c>
      <c r="B996" s="7"/>
      <c r="C996" s="7" t="str">
        <f>IF('RFQ-Input'!C995="","",'RFQ-Input'!C995)</f>
        <v/>
      </c>
      <c r="D996" s="7" t="str">
        <f>IF('RFQ-Input'!D995="","",'RFQ-Input'!D995)</f>
        <v/>
      </c>
      <c r="E996" s="7" t="str">
        <f>IF('RFQ-Input'!E995="","",'RFQ-Input'!E995)</f>
        <v/>
      </c>
      <c r="F996" s="7" t="str">
        <f>IF('RFQ-Input'!F995="","",'RFQ-Input'!F995)</f>
        <v/>
      </c>
      <c r="G996" s="7" t="str">
        <f>IF('RFQ-Input'!G995="","",'RFQ-Input'!G995)</f>
        <v/>
      </c>
      <c r="H996" s="7" t="str">
        <f>IF('RFQ-Input'!H995="","",'RFQ-Input'!H995)</f>
        <v/>
      </c>
      <c r="I996" s="7" t="str">
        <f>IF('RFQ-Input'!I995="","",'RFQ-Input'!I995)</f>
        <v/>
      </c>
      <c r="J996" s="7" t="str">
        <f>IF('RFQ-Input'!J995="","",'RFQ-Input'!J995)</f>
        <v/>
      </c>
      <c r="K996" s="7" t="str">
        <f>IF('RFQ-Input'!K995="","",'RFQ-Input'!K995)</f>
        <v/>
      </c>
      <c r="L996" s="7" t="str">
        <f>IF('RFQ-Input'!L995="","",'RFQ-Input'!L995)</f>
        <v/>
      </c>
      <c r="M996" s="7" t="str">
        <f>IF('RFQ-Input'!M995="","",'RFQ-Input'!M995)</f>
        <v/>
      </c>
      <c r="N996" s="7" t="str">
        <f>IF('RFQ-Input'!N995="","",'RFQ-Input'!N995)</f>
        <v/>
      </c>
      <c r="O996" s="7" t="str">
        <f>IF('RFQ-Input'!O995="","",'RFQ-Input'!O995)</f>
        <v/>
      </c>
      <c r="Q996" s="7"/>
      <c r="R996" s="7"/>
      <c r="S996" s="7"/>
      <c r="T996" s="7"/>
      <c r="U996" s="7"/>
      <c r="V996" s="7"/>
      <c r="X996" s="7"/>
      <c r="Y996" s="7"/>
      <c r="Z996" s="7"/>
      <c r="AA996" s="7" t="str">
        <f t="shared" si="105"/>
        <v/>
      </c>
      <c r="AB996" s="7"/>
      <c r="AC996" s="7"/>
      <c r="AQ996" s="7" t="str">
        <f t="shared" si="106"/>
        <v/>
      </c>
      <c r="AR996" s="7" t="str">
        <f t="shared" si="107"/>
        <v/>
      </c>
      <c r="AS996" s="7" t="str">
        <f t="shared" si="108"/>
        <v/>
      </c>
      <c r="AT996" s="7" t="str">
        <f t="shared" si="109"/>
        <v/>
      </c>
      <c r="AU996" s="7" t="str">
        <f t="shared" si="110"/>
        <v/>
      </c>
      <c r="AV996" s="7" t="str">
        <f t="shared" si="111"/>
        <v/>
      </c>
      <c r="AW996" s="7" t="str">
        <f>IF('RFQ-Input'!O995="","",'RFQ-Input'!O995)</f>
        <v/>
      </c>
      <c r="AX996" s="7" t="str">
        <f>IF('RFQ-Input'!S995="","",'RFQ-Input'!S995)</f>
        <v/>
      </c>
      <c r="AY996" s="7" t="str">
        <f>IF('RFQ-Input'!V995="","",'RFQ-Input'!V995)</f>
        <v/>
      </c>
      <c r="AZ996" s="7" t="str">
        <f>IF('RFQ-Input'!Y995="","",'RFQ-Input'!Y995)</f>
        <v/>
      </c>
      <c r="BA996" s="7" t="str">
        <f>IF('RFQ-Input'!AB995="","",'RFQ-Input'!AB995)</f>
        <v/>
      </c>
    </row>
    <row r="997" spans="1:53">
      <c r="A997" s="20">
        <v>993</v>
      </c>
      <c r="B997" s="7"/>
      <c r="C997" s="7" t="str">
        <f>IF('RFQ-Input'!C996="","",'RFQ-Input'!C996)</f>
        <v/>
      </c>
      <c r="D997" s="7" t="str">
        <f>IF('RFQ-Input'!D996="","",'RFQ-Input'!D996)</f>
        <v/>
      </c>
      <c r="E997" s="7" t="str">
        <f>IF('RFQ-Input'!E996="","",'RFQ-Input'!E996)</f>
        <v/>
      </c>
      <c r="F997" s="7" t="str">
        <f>IF('RFQ-Input'!F996="","",'RFQ-Input'!F996)</f>
        <v/>
      </c>
      <c r="G997" s="7" t="str">
        <f>IF('RFQ-Input'!G996="","",'RFQ-Input'!G996)</f>
        <v/>
      </c>
      <c r="H997" s="7" t="str">
        <f>IF('RFQ-Input'!H996="","",'RFQ-Input'!H996)</f>
        <v/>
      </c>
      <c r="I997" s="7" t="str">
        <f>IF('RFQ-Input'!I996="","",'RFQ-Input'!I996)</f>
        <v/>
      </c>
      <c r="J997" s="7" t="str">
        <f>IF('RFQ-Input'!J996="","",'RFQ-Input'!J996)</f>
        <v/>
      </c>
      <c r="K997" s="7" t="str">
        <f>IF('RFQ-Input'!K996="","",'RFQ-Input'!K996)</f>
        <v/>
      </c>
      <c r="L997" s="7" t="str">
        <f>IF('RFQ-Input'!L996="","",'RFQ-Input'!L996)</f>
        <v/>
      </c>
      <c r="M997" s="7" t="str">
        <f>IF('RFQ-Input'!M996="","",'RFQ-Input'!M996)</f>
        <v/>
      </c>
      <c r="N997" s="7" t="str">
        <f>IF('RFQ-Input'!N996="","",'RFQ-Input'!N996)</f>
        <v/>
      </c>
      <c r="O997" s="7" t="str">
        <f>IF('RFQ-Input'!O996="","",'RFQ-Input'!O996)</f>
        <v/>
      </c>
      <c r="Q997" s="7"/>
      <c r="R997" s="7"/>
      <c r="S997" s="7"/>
      <c r="T997" s="7"/>
      <c r="U997" s="7"/>
      <c r="V997" s="7"/>
      <c r="X997" s="7"/>
      <c r="Y997" s="7"/>
      <c r="Z997" s="7"/>
      <c r="AA997" s="7" t="str">
        <f t="shared" si="105"/>
        <v/>
      </c>
      <c r="AB997" s="7"/>
      <c r="AC997" s="7"/>
      <c r="AQ997" s="7" t="str">
        <f t="shared" si="106"/>
        <v/>
      </c>
      <c r="AR997" s="7" t="str">
        <f t="shared" si="107"/>
        <v/>
      </c>
      <c r="AS997" s="7" t="str">
        <f t="shared" si="108"/>
        <v/>
      </c>
      <c r="AT997" s="7" t="str">
        <f t="shared" si="109"/>
        <v/>
      </c>
      <c r="AU997" s="7" t="str">
        <f t="shared" si="110"/>
        <v/>
      </c>
      <c r="AV997" s="7" t="str">
        <f t="shared" si="111"/>
        <v/>
      </c>
      <c r="AW997" s="7" t="str">
        <f>IF('RFQ-Input'!O996="","",'RFQ-Input'!O996)</f>
        <v/>
      </c>
      <c r="AX997" s="7" t="str">
        <f>IF('RFQ-Input'!S996="","",'RFQ-Input'!S996)</f>
        <v/>
      </c>
      <c r="AY997" s="7" t="str">
        <f>IF('RFQ-Input'!V996="","",'RFQ-Input'!V996)</f>
        <v/>
      </c>
      <c r="AZ997" s="7" t="str">
        <f>IF('RFQ-Input'!Y996="","",'RFQ-Input'!Y996)</f>
        <v/>
      </c>
      <c r="BA997" s="7" t="str">
        <f>IF('RFQ-Input'!AB996="","",'RFQ-Input'!AB996)</f>
        <v/>
      </c>
    </row>
    <row r="998" spans="1:53">
      <c r="A998" s="20">
        <v>994</v>
      </c>
      <c r="B998" s="7"/>
      <c r="C998" s="7" t="str">
        <f>IF('RFQ-Input'!C997="","",'RFQ-Input'!C997)</f>
        <v/>
      </c>
      <c r="D998" s="7" t="str">
        <f>IF('RFQ-Input'!D997="","",'RFQ-Input'!D997)</f>
        <v/>
      </c>
      <c r="E998" s="7" t="str">
        <f>IF('RFQ-Input'!E997="","",'RFQ-Input'!E997)</f>
        <v/>
      </c>
      <c r="F998" s="7" t="str">
        <f>IF('RFQ-Input'!F997="","",'RFQ-Input'!F997)</f>
        <v/>
      </c>
      <c r="G998" s="7" t="str">
        <f>IF('RFQ-Input'!G997="","",'RFQ-Input'!G997)</f>
        <v/>
      </c>
      <c r="H998" s="7" t="str">
        <f>IF('RFQ-Input'!H997="","",'RFQ-Input'!H997)</f>
        <v/>
      </c>
      <c r="I998" s="7" t="str">
        <f>IF('RFQ-Input'!I997="","",'RFQ-Input'!I997)</f>
        <v/>
      </c>
      <c r="J998" s="7" t="str">
        <f>IF('RFQ-Input'!J997="","",'RFQ-Input'!J997)</f>
        <v/>
      </c>
      <c r="K998" s="7" t="str">
        <f>IF('RFQ-Input'!K997="","",'RFQ-Input'!K997)</f>
        <v/>
      </c>
      <c r="L998" s="7" t="str">
        <f>IF('RFQ-Input'!L997="","",'RFQ-Input'!L997)</f>
        <v/>
      </c>
      <c r="M998" s="7" t="str">
        <f>IF('RFQ-Input'!M997="","",'RFQ-Input'!M997)</f>
        <v/>
      </c>
      <c r="N998" s="7" t="str">
        <f>IF('RFQ-Input'!N997="","",'RFQ-Input'!N997)</f>
        <v/>
      </c>
      <c r="O998" s="7" t="str">
        <f>IF('RFQ-Input'!O997="","",'RFQ-Input'!O997)</f>
        <v/>
      </c>
      <c r="Q998" s="7"/>
      <c r="R998" s="7"/>
      <c r="S998" s="7"/>
      <c r="T998" s="7"/>
      <c r="U998" s="7"/>
      <c r="V998" s="7"/>
      <c r="X998" s="7"/>
      <c r="Y998" s="7"/>
      <c r="Z998" s="7"/>
      <c r="AA998" s="7" t="str">
        <f t="shared" si="105"/>
        <v/>
      </c>
      <c r="AB998" s="7"/>
      <c r="AC998" s="7"/>
      <c r="AQ998" s="7" t="str">
        <f t="shared" si="106"/>
        <v/>
      </c>
      <c r="AR998" s="7" t="str">
        <f t="shared" si="107"/>
        <v/>
      </c>
      <c r="AS998" s="7" t="str">
        <f t="shared" si="108"/>
        <v/>
      </c>
      <c r="AT998" s="7" t="str">
        <f t="shared" si="109"/>
        <v/>
      </c>
      <c r="AU998" s="7" t="str">
        <f t="shared" si="110"/>
        <v/>
      </c>
      <c r="AV998" s="7" t="str">
        <f t="shared" si="111"/>
        <v/>
      </c>
      <c r="AW998" s="7" t="str">
        <f>IF('RFQ-Input'!O997="","",'RFQ-Input'!O997)</f>
        <v/>
      </c>
      <c r="AX998" s="7" t="str">
        <f>IF('RFQ-Input'!S997="","",'RFQ-Input'!S997)</f>
        <v/>
      </c>
      <c r="AY998" s="7" t="str">
        <f>IF('RFQ-Input'!V997="","",'RFQ-Input'!V997)</f>
        <v/>
      </c>
      <c r="AZ998" s="7" t="str">
        <f>IF('RFQ-Input'!Y997="","",'RFQ-Input'!Y997)</f>
        <v/>
      </c>
      <c r="BA998" s="7" t="str">
        <f>IF('RFQ-Input'!AB997="","",'RFQ-Input'!AB997)</f>
        <v/>
      </c>
    </row>
    <row r="999" spans="1:53">
      <c r="A999" s="20">
        <v>995</v>
      </c>
      <c r="B999" s="7"/>
      <c r="C999" s="7" t="str">
        <f>IF('RFQ-Input'!C998="","",'RFQ-Input'!C998)</f>
        <v/>
      </c>
      <c r="D999" s="7" t="str">
        <f>IF('RFQ-Input'!D998="","",'RFQ-Input'!D998)</f>
        <v/>
      </c>
      <c r="E999" s="7" t="str">
        <f>IF('RFQ-Input'!E998="","",'RFQ-Input'!E998)</f>
        <v/>
      </c>
      <c r="F999" s="7" t="str">
        <f>IF('RFQ-Input'!F998="","",'RFQ-Input'!F998)</f>
        <v/>
      </c>
      <c r="G999" s="7" t="str">
        <f>IF('RFQ-Input'!G998="","",'RFQ-Input'!G998)</f>
        <v/>
      </c>
      <c r="H999" s="7" t="str">
        <f>IF('RFQ-Input'!H998="","",'RFQ-Input'!H998)</f>
        <v/>
      </c>
      <c r="I999" s="7" t="str">
        <f>IF('RFQ-Input'!I998="","",'RFQ-Input'!I998)</f>
        <v/>
      </c>
      <c r="J999" s="7" t="str">
        <f>IF('RFQ-Input'!J998="","",'RFQ-Input'!J998)</f>
        <v/>
      </c>
      <c r="K999" s="7" t="str">
        <f>IF('RFQ-Input'!K998="","",'RFQ-Input'!K998)</f>
        <v/>
      </c>
      <c r="L999" s="7" t="str">
        <f>IF('RFQ-Input'!L998="","",'RFQ-Input'!L998)</f>
        <v/>
      </c>
      <c r="M999" s="7" t="str">
        <f>IF('RFQ-Input'!M998="","",'RFQ-Input'!M998)</f>
        <v/>
      </c>
      <c r="N999" s="7" t="str">
        <f>IF('RFQ-Input'!N998="","",'RFQ-Input'!N998)</f>
        <v/>
      </c>
      <c r="O999" s="7" t="str">
        <f>IF('RFQ-Input'!O998="","",'RFQ-Input'!O998)</f>
        <v/>
      </c>
      <c r="Q999" s="7"/>
      <c r="R999" s="7"/>
      <c r="S999" s="7"/>
      <c r="T999" s="7"/>
      <c r="U999" s="7"/>
      <c r="V999" s="7"/>
      <c r="X999" s="7"/>
      <c r="Y999" s="7"/>
      <c r="Z999" s="7"/>
      <c r="AA999" s="7" t="str">
        <f t="shared" si="105"/>
        <v/>
      </c>
      <c r="AB999" s="7"/>
      <c r="AC999" s="7"/>
      <c r="AQ999" s="7" t="str">
        <f t="shared" si="106"/>
        <v/>
      </c>
      <c r="AR999" s="7" t="str">
        <f t="shared" si="107"/>
        <v/>
      </c>
      <c r="AS999" s="7" t="str">
        <f t="shared" si="108"/>
        <v/>
      </c>
      <c r="AT999" s="7" t="str">
        <f t="shared" si="109"/>
        <v/>
      </c>
      <c r="AU999" s="7" t="str">
        <f t="shared" si="110"/>
        <v/>
      </c>
      <c r="AV999" s="7" t="str">
        <f t="shared" si="111"/>
        <v/>
      </c>
      <c r="AW999" s="7" t="str">
        <f>IF('RFQ-Input'!O998="","",'RFQ-Input'!O998)</f>
        <v/>
      </c>
      <c r="AX999" s="7" t="str">
        <f>IF('RFQ-Input'!S998="","",'RFQ-Input'!S998)</f>
        <v/>
      </c>
      <c r="AY999" s="7" t="str">
        <f>IF('RFQ-Input'!V998="","",'RFQ-Input'!V998)</f>
        <v/>
      </c>
      <c r="AZ999" s="7" t="str">
        <f>IF('RFQ-Input'!Y998="","",'RFQ-Input'!Y998)</f>
        <v/>
      </c>
      <c r="BA999" s="7" t="str">
        <f>IF('RFQ-Input'!AB998="","",'RFQ-Input'!AB998)</f>
        <v/>
      </c>
    </row>
    <row r="1000" spans="1:53">
      <c r="A1000" s="20">
        <v>996</v>
      </c>
      <c r="B1000" s="7"/>
      <c r="C1000" s="7" t="str">
        <f>IF('RFQ-Input'!C999="","",'RFQ-Input'!C999)</f>
        <v/>
      </c>
      <c r="D1000" s="7" t="str">
        <f>IF('RFQ-Input'!D999="","",'RFQ-Input'!D999)</f>
        <v/>
      </c>
      <c r="E1000" s="7" t="str">
        <f>IF('RFQ-Input'!E999="","",'RFQ-Input'!E999)</f>
        <v/>
      </c>
      <c r="F1000" s="7" t="str">
        <f>IF('RFQ-Input'!F999="","",'RFQ-Input'!F999)</f>
        <v/>
      </c>
      <c r="G1000" s="7" t="str">
        <f>IF('RFQ-Input'!G999="","",'RFQ-Input'!G999)</f>
        <v/>
      </c>
      <c r="H1000" s="7" t="str">
        <f>IF('RFQ-Input'!H999="","",'RFQ-Input'!H999)</f>
        <v/>
      </c>
      <c r="I1000" s="7" t="str">
        <f>IF('RFQ-Input'!I999="","",'RFQ-Input'!I999)</f>
        <v/>
      </c>
      <c r="J1000" s="7" t="str">
        <f>IF('RFQ-Input'!J999="","",'RFQ-Input'!J999)</f>
        <v/>
      </c>
      <c r="K1000" s="7" t="str">
        <f>IF('RFQ-Input'!K999="","",'RFQ-Input'!K999)</f>
        <v/>
      </c>
      <c r="L1000" s="7" t="str">
        <f>IF('RFQ-Input'!L999="","",'RFQ-Input'!L999)</f>
        <v/>
      </c>
      <c r="M1000" s="7" t="str">
        <f>IF('RFQ-Input'!M999="","",'RFQ-Input'!M999)</f>
        <v/>
      </c>
      <c r="N1000" s="7" t="str">
        <f>IF('RFQ-Input'!N999="","",'RFQ-Input'!N999)</f>
        <v/>
      </c>
      <c r="O1000" s="7" t="str">
        <f>IF('RFQ-Input'!O999="","",'RFQ-Input'!O999)</f>
        <v/>
      </c>
      <c r="Q1000" s="7"/>
      <c r="R1000" s="7"/>
      <c r="S1000" s="7"/>
      <c r="T1000" s="7"/>
      <c r="U1000" s="7"/>
      <c r="V1000" s="7"/>
      <c r="X1000" s="7"/>
      <c r="Y1000" s="7"/>
      <c r="Z1000" s="7"/>
      <c r="AA1000" s="7" t="str">
        <f t="shared" si="105"/>
        <v/>
      </c>
      <c r="AB1000" s="7"/>
      <c r="AC1000" s="7"/>
      <c r="AQ1000" s="7" t="str">
        <f t="shared" si="106"/>
        <v/>
      </c>
      <c r="AR1000" s="7" t="str">
        <f t="shared" si="107"/>
        <v/>
      </c>
      <c r="AS1000" s="7" t="str">
        <f t="shared" si="108"/>
        <v/>
      </c>
      <c r="AT1000" s="7" t="str">
        <f t="shared" si="109"/>
        <v/>
      </c>
      <c r="AU1000" s="7" t="str">
        <f t="shared" si="110"/>
        <v/>
      </c>
      <c r="AV1000" s="7" t="str">
        <f t="shared" si="111"/>
        <v/>
      </c>
      <c r="AW1000" s="7" t="str">
        <f>IF('RFQ-Input'!O999="","",'RFQ-Input'!O999)</f>
        <v/>
      </c>
      <c r="AX1000" s="7" t="str">
        <f>IF('RFQ-Input'!S999="","",'RFQ-Input'!S999)</f>
        <v/>
      </c>
      <c r="AY1000" s="7" t="str">
        <f>IF('RFQ-Input'!V999="","",'RFQ-Input'!V999)</f>
        <v/>
      </c>
      <c r="AZ1000" s="7" t="str">
        <f>IF('RFQ-Input'!Y999="","",'RFQ-Input'!Y999)</f>
        <v/>
      </c>
      <c r="BA1000" s="7" t="str">
        <f>IF('RFQ-Input'!AB999="","",'RFQ-Input'!AB999)</f>
        <v/>
      </c>
    </row>
  </sheetData>
  <pageMargins left="0.7" right="0.7" top="0.78740157499999996" bottom="0.78740157499999996" header="0.3" footer="0.3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'RFQ-Supplier'!$B$3:$B$7</xm:f>
          </x14:formula1>
          <xm:sqref>X5:X1000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/>
  </sheetPr>
  <dimension ref="A1:AB1000"/>
  <sheetViews>
    <sheetView showGridLines="0" zoomScale="70" zoomScaleNormal="70" workbookViewId="0">
      <selection activeCell="O4" sqref="O4"/>
    </sheetView>
  </sheetViews>
  <sheetFormatPr defaultColWidth="11.5703125" defaultRowHeight="15"/>
  <cols>
    <col min="1" max="1" width="7.28515625" customWidth="1"/>
    <col min="2" max="2" width="12.28515625" customWidth="1"/>
    <col min="3" max="3" width="13.85546875" customWidth="1"/>
    <col min="4" max="4" width="12.7109375" customWidth="1"/>
    <col min="6" max="6" width="9.7109375" customWidth="1"/>
    <col min="7" max="7" width="19.28515625" customWidth="1"/>
    <col min="8" max="8" width="15.5703125" customWidth="1"/>
    <col min="9" max="9" width="15.7109375" customWidth="1"/>
    <col min="10" max="10" width="13.5703125" customWidth="1"/>
    <col min="17" max="17" width="18.140625" customWidth="1"/>
    <col min="18" max="18" width="13.7109375" customWidth="1"/>
    <col min="19" max="19" width="11.42578125" customWidth="1"/>
    <col min="20" max="20" width="18.140625" customWidth="1"/>
    <col min="21" max="21" width="13.7109375" customWidth="1"/>
    <col min="22" max="22" width="11.42578125" customWidth="1"/>
    <col min="23" max="23" width="18.140625" customWidth="1"/>
    <col min="24" max="24" width="13.7109375" customWidth="1"/>
    <col min="25" max="25" width="11.42578125" customWidth="1"/>
    <col min="26" max="26" width="18.140625" customWidth="1"/>
    <col min="27" max="27" width="13.7109375" customWidth="1"/>
    <col min="28" max="28" width="11.42578125" customWidth="1"/>
  </cols>
  <sheetData>
    <row r="1" spans="1:28" ht="15.75" thickBot="1">
      <c r="Q1" s="8" t="s">
        <v>18</v>
      </c>
      <c r="T1" s="8" t="s">
        <v>19</v>
      </c>
      <c r="W1" s="8" t="s">
        <v>20</v>
      </c>
      <c r="Z1" s="8" t="s">
        <v>21</v>
      </c>
    </row>
    <row r="2" spans="1:28" ht="43.9" customHeight="1" thickBot="1">
      <c r="F2" s="40" t="s">
        <v>1056</v>
      </c>
      <c r="G2" s="41" t="s">
        <v>60</v>
      </c>
    </row>
    <row r="3" spans="1:28" ht="45">
      <c r="A3" s="4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1054</v>
      </c>
      <c r="H3" s="2" t="s">
        <v>51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11" t="s">
        <v>15</v>
      </c>
      <c r="R3" s="12" t="s">
        <v>16</v>
      </c>
      <c r="S3" s="13" t="s">
        <v>17</v>
      </c>
      <c r="T3" s="11" t="s">
        <v>15</v>
      </c>
      <c r="U3" s="12" t="s">
        <v>16</v>
      </c>
      <c r="V3" s="13" t="s">
        <v>17</v>
      </c>
      <c r="W3" s="11" t="s">
        <v>15</v>
      </c>
      <c r="X3" s="12" t="s">
        <v>16</v>
      </c>
      <c r="Y3" s="13" t="s">
        <v>17</v>
      </c>
      <c r="Z3" s="11" t="s">
        <v>15</v>
      </c>
      <c r="AA3" s="12" t="s">
        <v>16</v>
      </c>
      <c r="AB3" s="13" t="s">
        <v>17</v>
      </c>
    </row>
    <row r="4" spans="1:28">
      <c r="A4" s="19">
        <v>1</v>
      </c>
      <c r="B4" s="7"/>
      <c r="C4" s="7" t="s">
        <v>22</v>
      </c>
      <c r="D4" s="7"/>
      <c r="E4" s="7"/>
      <c r="F4" s="7" t="s">
        <v>1057</v>
      </c>
      <c r="G4" s="7" t="s">
        <v>1063</v>
      </c>
      <c r="H4" s="7">
        <v>10</v>
      </c>
      <c r="I4" s="7"/>
      <c r="J4" s="7"/>
      <c r="K4" s="7" t="s">
        <v>38</v>
      </c>
      <c r="L4" s="7" t="s">
        <v>37</v>
      </c>
      <c r="M4" s="7"/>
      <c r="N4" s="7"/>
      <c r="O4" s="7">
        <v>10</v>
      </c>
      <c r="Q4" s="14">
        <v>11</v>
      </c>
      <c r="R4" s="7"/>
      <c r="S4" s="15">
        <f>IF(OR($H4="",Q4=""),"",Q4+(R4/$H4))</f>
        <v>11</v>
      </c>
      <c r="T4" s="14"/>
      <c r="U4" s="7"/>
      <c r="V4" s="15" t="str">
        <f>IF(OR($H4="",T4=""),"",T4+(U4/$H4))</f>
        <v/>
      </c>
      <c r="W4" s="14">
        <v>8</v>
      </c>
      <c r="X4" s="7"/>
      <c r="Y4" s="15">
        <f>IF(OR($H4="",W4=""),"",W4+(X4/$H4))</f>
        <v>8</v>
      </c>
      <c r="Z4" s="14"/>
      <c r="AA4" s="7"/>
      <c r="AB4" s="15" t="str">
        <f>IF(OR($H4="",Z4=""),"",Z4+(AA4/$H4))</f>
        <v/>
      </c>
    </row>
    <row r="5" spans="1:28">
      <c r="A5" s="19">
        <v>2</v>
      </c>
      <c r="B5" s="7"/>
      <c r="C5" s="7" t="s">
        <v>22</v>
      </c>
      <c r="D5" s="7"/>
      <c r="E5" s="7"/>
      <c r="F5" s="7" t="s">
        <v>1059</v>
      </c>
      <c r="G5" s="7" t="s">
        <v>1063</v>
      </c>
      <c r="H5" s="7"/>
      <c r="I5" s="7"/>
      <c r="J5" s="7"/>
      <c r="K5" s="7"/>
      <c r="L5" s="7"/>
      <c r="M5" s="7"/>
      <c r="N5" s="7"/>
      <c r="O5" s="7"/>
      <c r="Q5" s="14"/>
      <c r="R5" s="7"/>
      <c r="S5" s="15" t="str">
        <f t="shared" ref="S5:S68" si="0">IF(OR($H5="",Q5=""),"",Q5+(R5/$H5))</f>
        <v/>
      </c>
      <c r="T5" s="14"/>
      <c r="U5" s="7"/>
      <c r="V5" s="15" t="str">
        <f t="shared" ref="V5:V68" si="1">IF(OR($H5="",T5=""),"",T5+(U5/$H5))</f>
        <v/>
      </c>
      <c r="W5" s="14"/>
      <c r="X5" s="7"/>
      <c r="Y5" s="15" t="str">
        <f t="shared" ref="Y5:Y68" si="2">IF(OR($H5="",W5=""),"",W5+(X5/$H5))</f>
        <v/>
      </c>
      <c r="Z5" s="14"/>
      <c r="AA5" s="7"/>
      <c r="AB5" s="15" t="str">
        <f t="shared" ref="AB5:AB68" si="3">IF(OR($H5="",Z5=""),"",Z5+(AA5/$H5))</f>
        <v/>
      </c>
    </row>
    <row r="6" spans="1:28">
      <c r="A6" s="19">
        <v>3</v>
      </c>
      <c r="B6" s="7"/>
      <c r="C6" s="7" t="s">
        <v>22</v>
      </c>
      <c r="D6" s="7"/>
      <c r="E6" s="7"/>
      <c r="F6" s="7" t="s">
        <v>1060</v>
      </c>
      <c r="G6" s="7" t="s">
        <v>1063</v>
      </c>
      <c r="H6" s="7"/>
      <c r="I6" s="7"/>
      <c r="J6" s="7"/>
      <c r="K6" s="7"/>
      <c r="L6" s="7"/>
      <c r="M6" s="7"/>
      <c r="N6" s="7"/>
      <c r="O6" s="7"/>
      <c r="Q6" s="14"/>
      <c r="R6" s="7"/>
      <c r="S6" s="15" t="str">
        <f t="shared" si="0"/>
        <v/>
      </c>
      <c r="T6" s="14"/>
      <c r="U6" s="7"/>
      <c r="V6" s="15" t="str">
        <f t="shared" si="1"/>
        <v/>
      </c>
      <c r="W6" s="14"/>
      <c r="X6" s="7"/>
      <c r="Y6" s="15" t="str">
        <f t="shared" si="2"/>
        <v/>
      </c>
      <c r="Z6" s="14"/>
      <c r="AA6" s="7"/>
      <c r="AB6" s="15" t="str">
        <f t="shared" si="3"/>
        <v/>
      </c>
    </row>
    <row r="7" spans="1:28">
      <c r="A7" s="19">
        <v>4</v>
      </c>
      <c r="B7" s="7"/>
      <c r="C7" s="7" t="s">
        <v>22</v>
      </c>
      <c r="D7" s="7"/>
      <c r="E7" s="7"/>
      <c r="F7" s="7" t="s">
        <v>1061</v>
      </c>
      <c r="G7" s="7" t="s">
        <v>1063</v>
      </c>
      <c r="H7" s="7"/>
      <c r="I7" s="7"/>
      <c r="J7" s="7"/>
      <c r="K7" s="7"/>
      <c r="L7" s="7"/>
      <c r="M7" s="7"/>
      <c r="N7" s="7"/>
      <c r="O7" s="7"/>
      <c r="Q7" s="14"/>
      <c r="R7" s="7"/>
      <c r="S7" s="15" t="str">
        <f t="shared" si="0"/>
        <v/>
      </c>
      <c r="T7" s="14"/>
      <c r="U7" s="7"/>
      <c r="V7" s="15" t="str">
        <f t="shared" si="1"/>
        <v/>
      </c>
      <c r="W7" s="14"/>
      <c r="X7" s="7"/>
      <c r="Y7" s="15" t="str">
        <f t="shared" si="2"/>
        <v/>
      </c>
      <c r="Z7" s="14"/>
      <c r="AA7" s="7"/>
      <c r="AB7" s="15" t="str">
        <f t="shared" si="3"/>
        <v/>
      </c>
    </row>
    <row r="8" spans="1:28">
      <c r="A8" s="19">
        <v>5</v>
      </c>
      <c r="B8" s="7"/>
      <c r="C8" s="7" t="s">
        <v>22</v>
      </c>
      <c r="D8" s="7"/>
      <c r="E8" s="7"/>
      <c r="F8" s="7" t="s">
        <v>1062</v>
      </c>
      <c r="G8" s="7" t="s">
        <v>1063</v>
      </c>
      <c r="H8" s="7"/>
      <c r="I8" s="7"/>
      <c r="J8" s="7"/>
      <c r="K8" s="7"/>
      <c r="L8" s="7"/>
      <c r="M8" s="7"/>
      <c r="N8" s="7"/>
      <c r="O8" s="7"/>
      <c r="Q8" s="14"/>
      <c r="R8" s="7"/>
      <c r="S8" s="15" t="str">
        <f t="shared" si="0"/>
        <v/>
      </c>
      <c r="T8" s="14"/>
      <c r="U8" s="7"/>
      <c r="V8" s="15" t="str">
        <f t="shared" si="1"/>
        <v/>
      </c>
      <c r="W8" s="14"/>
      <c r="X8" s="7"/>
      <c r="Y8" s="15" t="str">
        <f t="shared" si="2"/>
        <v/>
      </c>
      <c r="Z8" s="14"/>
      <c r="AA8" s="7"/>
      <c r="AB8" s="15" t="str">
        <f t="shared" si="3"/>
        <v/>
      </c>
    </row>
    <row r="9" spans="1:28">
      <c r="A9" s="19">
        <v>6</v>
      </c>
      <c r="B9" s="7"/>
      <c r="C9" s="7" t="s">
        <v>59</v>
      </c>
      <c r="D9" s="7"/>
      <c r="E9" s="7"/>
      <c r="F9" s="7" t="s">
        <v>1076</v>
      </c>
      <c r="G9" s="7" t="s">
        <v>1064</v>
      </c>
      <c r="H9" s="7"/>
      <c r="I9" s="7"/>
      <c r="J9" s="7"/>
      <c r="K9" s="7"/>
      <c r="L9" s="7"/>
      <c r="M9" s="7"/>
      <c r="N9" s="7"/>
      <c r="O9" s="7"/>
      <c r="Q9" s="14"/>
      <c r="R9" s="7"/>
      <c r="S9" s="15" t="str">
        <f t="shared" si="0"/>
        <v/>
      </c>
      <c r="T9" s="14"/>
      <c r="U9" s="7"/>
      <c r="V9" s="15" t="str">
        <f t="shared" si="1"/>
        <v/>
      </c>
      <c r="W9" s="14"/>
      <c r="X9" s="7"/>
      <c r="Y9" s="15" t="str">
        <f t="shared" si="2"/>
        <v/>
      </c>
      <c r="Z9" s="14"/>
      <c r="AA9" s="7"/>
      <c r="AB9" s="15" t="str">
        <f t="shared" si="3"/>
        <v/>
      </c>
    </row>
    <row r="10" spans="1:28">
      <c r="A10" s="19">
        <v>7</v>
      </c>
      <c r="B10" s="7"/>
      <c r="C10" s="7" t="s">
        <v>59</v>
      </c>
      <c r="D10" s="7"/>
      <c r="E10" s="7"/>
      <c r="F10" s="7" t="s">
        <v>1058</v>
      </c>
      <c r="G10" s="7" t="s">
        <v>1064</v>
      </c>
      <c r="H10" s="7"/>
      <c r="I10" s="7"/>
      <c r="J10" s="7"/>
      <c r="K10" s="7"/>
      <c r="L10" s="7"/>
      <c r="M10" s="7"/>
      <c r="N10" s="7"/>
      <c r="O10" s="7"/>
      <c r="Q10" s="14"/>
      <c r="R10" s="7"/>
      <c r="S10" s="15" t="str">
        <f t="shared" si="0"/>
        <v/>
      </c>
      <c r="T10" s="14"/>
      <c r="U10" s="7"/>
      <c r="V10" s="15" t="str">
        <f t="shared" si="1"/>
        <v/>
      </c>
      <c r="W10" s="14"/>
      <c r="X10" s="7"/>
      <c r="Y10" s="15" t="str">
        <f t="shared" si="2"/>
        <v/>
      </c>
      <c r="Z10" s="14"/>
      <c r="AA10" s="7"/>
      <c r="AB10" s="15" t="str">
        <f t="shared" si="3"/>
        <v/>
      </c>
    </row>
    <row r="11" spans="1:28">
      <c r="A11" s="19">
        <v>8</v>
      </c>
      <c r="B11" s="7"/>
      <c r="C11" s="7" t="s">
        <v>60</v>
      </c>
      <c r="D11" s="7"/>
      <c r="E11" s="7"/>
      <c r="F11" s="7" t="s">
        <v>1070</v>
      </c>
      <c r="G11" s="7" t="s">
        <v>1065</v>
      </c>
      <c r="H11" s="7"/>
      <c r="I11" s="7"/>
      <c r="J11" s="7"/>
      <c r="K11" s="7"/>
      <c r="L11" s="7"/>
      <c r="M11" s="7"/>
      <c r="N11" s="7"/>
      <c r="O11" s="7"/>
      <c r="Q11" s="14"/>
      <c r="R11" s="7"/>
      <c r="S11" s="15" t="str">
        <f t="shared" si="0"/>
        <v/>
      </c>
      <c r="T11" s="14"/>
      <c r="U11" s="7"/>
      <c r="V11" s="15" t="str">
        <f t="shared" si="1"/>
        <v/>
      </c>
      <c r="W11" s="14"/>
      <c r="X11" s="7"/>
      <c r="Y11" s="15" t="str">
        <f t="shared" si="2"/>
        <v/>
      </c>
      <c r="Z11" s="14"/>
      <c r="AA11" s="7"/>
      <c r="AB11" s="15" t="str">
        <f t="shared" si="3"/>
        <v/>
      </c>
    </row>
    <row r="12" spans="1:28">
      <c r="A12" s="19">
        <v>9</v>
      </c>
      <c r="B12" s="7"/>
      <c r="C12" s="7" t="s">
        <v>60</v>
      </c>
      <c r="D12" s="7"/>
      <c r="E12" s="7"/>
      <c r="F12" s="7" t="s">
        <v>1071</v>
      </c>
      <c r="G12" s="7" t="s">
        <v>1065</v>
      </c>
      <c r="H12" s="7"/>
      <c r="I12" s="7"/>
      <c r="J12" s="7"/>
      <c r="K12" s="7"/>
      <c r="L12" s="7"/>
      <c r="M12" s="7"/>
      <c r="N12" s="7"/>
      <c r="O12" s="7"/>
      <c r="Q12" s="14"/>
      <c r="R12" s="7"/>
      <c r="S12" s="15" t="str">
        <f t="shared" si="0"/>
        <v/>
      </c>
      <c r="T12" s="14"/>
      <c r="U12" s="7"/>
      <c r="V12" s="15" t="str">
        <f t="shared" si="1"/>
        <v/>
      </c>
      <c r="W12" s="14"/>
      <c r="X12" s="7"/>
      <c r="Y12" s="15" t="str">
        <f t="shared" si="2"/>
        <v/>
      </c>
      <c r="Z12" s="14"/>
      <c r="AA12" s="7"/>
      <c r="AB12" s="15" t="str">
        <f t="shared" si="3"/>
        <v/>
      </c>
    </row>
    <row r="13" spans="1:28">
      <c r="A13" s="19">
        <v>10</v>
      </c>
      <c r="B13" s="7"/>
      <c r="C13" s="7" t="s">
        <v>62</v>
      </c>
      <c r="D13" s="7"/>
      <c r="E13" s="7"/>
      <c r="F13" s="7" t="s">
        <v>1072</v>
      </c>
      <c r="G13" s="7" t="s">
        <v>1066</v>
      </c>
      <c r="H13" s="7"/>
      <c r="I13" s="7"/>
      <c r="J13" s="7"/>
      <c r="K13" s="7"/>
      <c r="L13" s="7"/>
      <c r="M13" s="7"/>
      <c r="N13" s="7"/>
      <c r="O13" s="7"/>
      <c r="Q13" s="14"/>
      <c r="R13" s="7"/>
      <c r="S13" s="15" t="str">
        <f t="shared" si="0"/>
        <v/>
      </c>
      <c r="T13" s="14"/>
      <c r="U13" s="7"/>
      <c r="V13" s="15" t="str">
        <f t="shared" si="1"/>
        <v/>
      </c>
      <c r="W13" s="14"/>
      <c r="X13" s="7"/>
      <c r="Y13" s="15" t="str">
        <f t="shared" si="2"/>
        <v/>
      </c>
      <c r="Z13" s="14"/>
      <c r="AA13" s="7"/>
      <c r="AB13" s="15" t="str">
        <f t="shared" si="3"/>
        <v/>
      </c>
    </row>
    <row r="14" spans="1:28">
      <c r="A14" s="19">
        <v>11</v>
      </c>
      <c r="B14" s="7"/>
      <c r="C14" s="7" t="s">
        <v>63</v>
      </c>
      <c r="D14" s="7"/>
      <c r="E14" s="7"/>
      <c r="F14" s="7" t="s">
        <v>1073</v>
      </c>
      <c r="G14" s="7" t="s">
        <v>1067</v>
      </c>
      <c r="H14" s="7"/>
      <c r="I14" s="7"/>
      <c r="J14" s="7"/>
      <c r="K14" s="7"/>
      <c r="L14" s="7"/>
      <c r="M14" s="7"/>
      <c r="N14" s="7"/>
      <c r="O14" s="7"/>
      <c r="Q14" s="14"/>
      <c r="R14" s="7"/>
      <c r="S14" s="15" t="str">
        <f t="shared" si="0"/>
        <v/>
      </c>
      <c r="T14" s="14"/>
      <c r="U14" s="7"/>
      <c r="V14" s="15" t="str">
        <f t="shared" si="1"/>
        <v/>
      </c>
      <c r="W14" s="14"/>
      <c r="X14" s="7"/>
      <c r="Y14" s="15" t="str">
        <f t="shared" si="2"/>
        <v/>
      </c>
      <c r="Z14" s="14"/>
      <c r="AA14" s="7"/>
      <c r="AB14" s="15" t="str">
        <f t="shared" si="3"/>
        <v/>
      </c>
    </row>
    <row r="15" spans="1:28">
      <c r="A15" s="19">
        <v>12</v>
      </c>
      <c r="B15" s="7"/>
      <c r="C15" s="7" t="s">
        <v>64</v>
      </c>
      <c r="D15" s="7"/>
      <c r="E15" s="7"/>
      <c r="F15" s="7" t="s">
        <v>1074</v>
      </c>
      <c r="G15" s="7" t="s">
        <v>1068</v>
      </c>
      <c r="H15" s="7"/>
      <c r="I15" s="7"/>
      <c r="J15" s="7"/>
      <c r="K15" s="7"/>
      <c r="L15" s="7"/>
      <c r="M15" s="7"/>
      <c r="N15" s="7"/>
      <c r="O15" s="7"/>
      <c r="Q15" s="14"/>
      <c r="R15" s="7"/>
      <c r="S15" s="15" t="str">
        <f t="shared" si="0"/>
        <v/>
      </c>
      <c r="T15" s="14"/>
      <c r="U15" s="7"/>
      <c r="V15" s="15" t="str">
        <f t="shared" si="1"/>
        <v/>
      </c>
      <c r="W15" s="14"/>
      <c r="X15" s="7"/>
      <c r="Y15" s="15" t="str">
        <f t="shared" si="2"/>
        <v/>
      </c>
      <c r="Z15" s="14"/>
      <c r="AA15" s="7"/>
      <c r="AB15" s="15" t="str">
        <f t="shared" si="3"/>
        <v/>
      </c>
    </row>
    <row r="16" spans="1:28">
      <c r="A16" s="19">
        <v>13</v>
      </c>
      <c r="B16" s="7"/>
      <c r="C16" s="7" t="s">
        <v>65</v>
      </c>
      <c r="D16" s="7"/>
      <c r="E16" s="7"/>
      <c r="F16" s="7" t="s">
        <v>1075</v>
      </c>
      <c r="G16" s="7" t="s">
        <v>1069</v>
      </c>
      <c r="H16" s="7"/>
      <c r="I16" s="7"/>
      <c r="J16" s="7"/>
      <c r="K16" s="7"/>
      <c r="L16" s="7"/>
      <c r="M16" s="7"/>
      <c r="N16" s="7"/>
      <c r="O16" s="7"/>
      <c r="Q16" s="14"/>
      <c r="R16" s="7"/>
      <c r="S16" s="15" t="str">
        <f t="shared" si="0"/>
        <v/>
      </c>
      <c r="T16" s="14"/>
      <c r="U16" s="7"/>
      <c r="V16" s="15" t="str">
        <f t="shared" si="1"/>
        <v/>
      </c>
      <c r="W16" s="14"/>
      <c r="X16" s="7"/>
      <c r="Y16" s="15" t="str">
        <f t="shared" si="2"/>
        <v/>
      </c>
      <c r="Z16" s="14"/>
      <c r="AA16" s="7"/>
      <c r="AB16" s="15" t="str">
        <f t="shared" si="3"/>
        <v/>
      </c>
    </row>
    <row r="17" spans="1:28">
      <c r="A17" s="19">
        <v>14</v>
      </c>
      <c r="B17" s="7"/>
      <c r="C17" s="7" t="s">
        <v>65</v>
      </c>
      <c r="D17" s="7"/>
      <c r="E17" s="7"/>
      <c r="F17" s="7" t="s">
        <v>1077</v>
      </c>
      <c r="G17" s="7" t="s">
        <v>1069</v>
      </c>
      <c r="H17" s="7"/>
      <c r="I17" s="7"/>
      <c r="J17" s="7"/>
      <c r="K17" s="7"/>
      <c r="L17" s="7"/>
      <c r="M17" s="7"/>
      <c r="N17" s="7"/>
      <c r="O17" s="7"/>
      <c r="Q17" s="14"/>
      <c r="R17" s="7"/>
      <c r="S17" s="15" t="str">
        <f t="shared" si="0"/>
        <v/>
      </c>
      <c r="T17" s="14"/>
      <c r="U17" s="7"/>
      <c r="V17" s="15" t="str">
        <f t="shared" si="1"/>
        <v/>
      </c>
      <c r="W17" s="14"/>
      <c r="X17" s="7"/>
      <c r="Y17" s="15" t="str">
        <f t="shared" si="2"/>
        <v/>
      </c>
      <c r="Z17" s="14"/>
      <c r="AA17" s="7"/>
      <c r="AB17" s="15" t="str">
        <f t="shared" si="3"/>
        <v/>
      </c>
    </row>
    <row r="18" spans="1:28">
      <c r="A18" s="19">
        <v>15</v>
      </c>
      <c r="B18" s="7"/>
      <c r="C18" s="7" t="s">
        <v>67</v>
      </c>
      <c r="D18" s="7"/>
      <c r="E18" s="7"/>
      <c r="F18" s="7" t="s">
        <v>1082</v>
      </c>
      <c r="G18" s="7" t="s">
        <v>1083</v>
      </c>
      <c r="H18" s="7"/>
      <c r="I18" s="7"/>
      <c r="J18" s="7"/>
      <c r="K18" s="7"/>
      <c r="L18" s="7"/>
      <c r="M18" s="7"/>
      <c r="N18" s="7"/>
      <c r="O18" s="7"/>
      <c r="Q18" s="14"/>
      <c r="R18" s="7"/>
      <c r="S18" s="15" t="str">
        <f t="shared" si="0"/>
        <v/>
      </c>
      <c r="T18" s="14"/>
      <c r="U18" s="7"/>
      <c r="V18" s="15" t="str">
        <f t="shared" si="1"/>
        <v/>
      </c>
      <c r="W18" s="14"/>
      <c r="X18" s="7"/>
      <c r="Y18" s="15" t="str">
        <f t="shared" si="2"/>
        <v/>
      </c>
      <c r="Z18" s="14"/>
      <c r="AA18" s="7"/>
      <c r="AB18" s="15" t="str">
        <f t="shared" si="3"/>
        <v/>
      </c>
    </row>
    <row r="19" spans="1:28">
      <c r="A19" s="19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Q19" s="14"/>
      <c r="R19" s="7"/>
      <c r="S19" s="15" t="str">
        <f t="shared" si="0"/>
        <v/>
      </c>
      <c r="T19" s="14"/>
      <c r="U19" s="7"/>
      <c r="V19" s="15" t="str">
        <f t="shared" si="1"/>
        <v/>
      </c>
      <c r="W19" s="14"/>
      <c r="X19" s="7"/>
      <c r="Y19" s="15" t="str">
        <f t="shared" si="2"/>
        <v/>
      </c>
      <c r="Z19" s="14"/>
      <c r="AA19" s="7"/>
      <c r="AB19" s="15" t="str">
        <f t="shared" si="3"/>
        <v/>
      </c>
    </row>
    <row r="20" spans="1:28">
      <c r="A20" s="19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Q20" s="14"/>
      <c r="R20" s="7"/>
      <c r="S20" s="15" t="str">
        <f t="shared" si="0"/>
        <v/>
      </c>
      <c r="T20" s="14"/>
      <c r="U20" s="7"/>
      <c r="V20" s="15" t="str">
        <f t="shared" si="1"/>
        <v/>
      </c>
      <c r="W20" s="14"/>
      <c r="X20" s="7"/>
      <c r="Y20" s="15" t="str">
        <f t="shared" si="2"/>
        <v/>
      </c>
      <c r="Z20" s="14"/>
      <c r="AA20" s="7"/>
      <c r="AB20" s="15" t="str">
        <f t="shared" si="3"/>
        <v/>
      </c>
    </row>
    <row r="21" spans="1:28">
      <c r="A21" s="19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Q21" s="14"/>
      <c r="R21" s="7"/>
      <c r="S21" s="15" t="str">
        <f t="shared" si="0"/>
        <v/>
      </c>
      <c r="T21" s="14"/>
      <c r="U21" s="7"/>
      <c r="V21" s="15" t="str">
        <f t="shared" si="1"/>
        <v/>
      </c>
      <c r="W21" s="14"/>
      <c r="X21" s="7"/>
      <c r="Y21" s="15" t="str">
        <f t="shared" si="2"/>
        <v/>
      </c>
      <c r="Z21" s="14"/>
      <c r="AA21" s="7"/>
      <c r="AB21" s="15" t="str">
        <f t="shared" si="3"/>
        <v/>
      </c>
    </row>
    <row r="22" spans="1:28">
      <c r="A22" s="19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Q22" s="14"/>
      <c r="R22" s="7"/>
      <c r="S22" s="15" t="str">
        <f t="shared" si="0"/>
        <v/>
      </c>
      <c r="T22" s="14"/>
      <c r="U22" s="7"/>
      <c r="V22" s="15" t="str">
        <f t="shared" si="1"/>
        <v/>
      </c>
      <c r="W22" s="14"/>
      <c r="X22" s="7"/>
      <c r="Y22" s="15" t="str">
        <f t="shared" si="2"/>
        <v/>
      </c>
      <c r="Z22" s="14"/>
      <c r="AA22" s="7"/>
      <c r="AB22" s="15" t="str">
        <f t="shared" si="3"/>
        <v/>
      </c>
    </row>
    <row r="23" spans="1:28">
      <c r="A23" s="19">
        <v>20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Q23" s="14"/>
      <c r="R23" s="7"/>
      <c r="S23" s="15" t="str">
        <f t="shared" si="0"/>
        <v/>
      </c>
      <c r="T23" s="14"/>
      <c r="U23" s="7"/>
      <c r="V23" s="15" t="str">
        <f t="shared" si="1"/>
        <v/>
      </c>
      <c r="W23" s="14"/>
      <c r="X23" s="7"/>
      <c r="Y23" s="15" t="str">
        <f t="shared" si="2"/>
        <v/>
      </c>
      <c r="Z23" s="14"/>
      <c r="AA23" s="7"/>
      <c r="AB23" s="15" t="str">
        <f t="shared" si="3"/>
        <v/>
      </c>
    </row>
    <row r="24" spans="1:28">
      <c r="A24" s="19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Q24" s="14"/>
      <c r="R24" s="7"/>
      <c r="S24" s="15" t="str">
        <f t="shared" si="0"/>
        <v/>
      </c>
      <c r="T24" s="14"/>
      <c r="U24" s="7"/>
      <c r="V24" s="15" t="str">
        <f t="shared" si="1"/>
        <v/>
      </c>
      <c r="W24" s="14"/>
      <c r="X24" s="7"/>
      <c r="Y24" s="15" t="str">
        <f t="shared" si="2"/>
        <v/>
      </c>
      <c r="Z24" s="14"/>
      <c r="AA24" s="7"/>
      <c r="AB24" s="15" t="str">
        <f t="shared" si="3"/>
        <v/>
      </c>
    </row>
    <row r="25" spans="1:28">
      <c r="A25" s="19">
        <v>22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Q25" s="14"/>
      <c r="R25" s="7"/>
      <c r="S25" s="15" t="str">
        <f t="shared" si="0"/>
        <v/>
      </c>
      <c r="T25" s="14"/>
      <c r="U25" s="7"/>
      <c r="V25" s="15" t="str">
        <f t="shared" si="1"/>
        <v/>
      </c>
      <c r="W25" s="14"/>
      <c r="X25" s="7"/>
      <c r="Y25" s="15" t="str">
        <f t="shared" si="2"/>
        <v/>
      </c>
      <c r="Z25" s="14"/>
      <c r="AA25" s="7"/>
      <c r="AB25" s="15" t="str">
        <f t="shared" si="3"/>
        <v/>
      </c>
    </row>
    <row r="26" spans="1:28">
      <c r="A26" s="19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14"/>
      <c r="R26" s="7"/>
      <c r="S26" s="15" t="str">
        <f t="shared" si="0"/>
        <v/>
      </c>
      <c r="T26" s="14"/>
      <c r="U26" s="7"/>
      <c r="V26" s="15" t="str">
        <f t="shared" si="1"/>
        <v/>
      </c>
      <c r="W26" s="14"/>
      <c r="X26" s="7"/>
      <c r="Y26" s="15" t="str">
        <f t="shared" si="2"/>
        <v/>
      </c>
      <c r="Z26" s="14"/>
      <c r="AA26" s="7"/>
      <c r="AB26" s="15" t="str">
        <f t="shared" si="3"/>
        <v/>
      </c>
    </row>
    <row r="27" spans="1:28">
      <c r="A27" s="19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Q27" s="14"/>
      <c r="R27" s="7"/>
      <c r="S27" s="15" t="str">
        <f t="shared" si="0"/>
        <v/>
      </c>
      <c r="T27" s="14"/>
      <c r="U27" s="7"/>
      <c r="V27" s="15" t="str">
        <f t="shared" si="1"/>
        <v/>
      </c>
      <c r="W27" s="14"/>
      <c r="X27" s="7"/>
      <c r="Y27" s="15" t="str">
        <f t="shared" si="2"/>
        <v/>
      </c>
      <c r="Z27" s="14"/>
      <c r="AA27" s="7"/>
      <c r="AB27" s="15" t="str">
        <f t="shared" si="3"/>
        <v/>
      </c>
    </row>
    <row r="28" spans="1:28">
      <c r="A28" s="19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Q28" s="14"/>
      <c r="R28" s="7"/>
      <c r="S28" s="15" t="str">
        <f t="shared" si="0"/>
        <v/>
      </c>
      <c r="T28" s="14"/>
      <c r="U28" s="7"/>
      <c r="V28" s="15" t="str">
        <f t="shared" si="1"/>
        <v/>
      </c>
      <c r="W28" s="14"/>
      <c r="X28" s="7"/>
      <c r="Y28" s="15" t="str">
        <f t="shared" si="2"/>
        <v/>
      </c>
      <c r="Z28" s="14"/>
      <c r="AA28" s="7"/>
      <c r="AB28" s="15" t="str">
        <f t="shared" si="3"/>
        <v/>
      </c>
    </row>
    <row r="29" spans="1:28">
      <c r="A29" s="19">
        <v>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Q29" s="14"/>
      <c r="R29" s="7"/>
      <c r="S29" s="15" t="str">
        <f t="shared" si="0"/>
        <v/>
      </c>
      <c r="T29" s="14"/>
      <c r="U29" s="7"/>
      <c r="V29" s="15" t="str">
        <f t="shared" si="1"/>
        <v/>
      </c>
      <c r="W29" s="14"/>
      <c r="X29" s="7"/>
      <c r="Y29" s="15" t="str">
        <f t="shared" si="2"/>
        <v/>
      </c>
      <c r="Z29" s="14"/>
      <c r="AA29" s="7"/>
      <c r="AB29" s="15" t="str">
        <f t="shared" si="3"/>
        <v/>
      </c>
    </row>
    <row r="30" spans="1:28">
      <c r="A30" s="19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Q30" s="14"/>
      <c r="R30" s="7"/>
      <c r="S30" s="15" t="str">
        <f t="shared" si="0"/>
        <v/>
      </c>
      <c r="T30" s="14"/>
      <c r="U30" s="7"/>
      <c r="V30" s="15" t="str">
        <f t="shared" si="1"/>
        <v/>
      </c>
      <c r="W30" s="14"/>
      <c r="X30" s="7"/>
      <c r="Y30" s="15" t="str">
        <f t="shared" si="2"/>
        <v/>
      </c>
      <c r="Z30" s="14"/>
      <c r="AA30" s="7"/>
      <c r="AB30" s="15" t="str">
        <f t="shared" si="3"/>
        <v/>
      </c>
    </row>
    <row r="31" spans="1:28">
      <c r="A31" s="19">
        <v>28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Q31" s="14"/>
      <c r="R31" s="7"/>
      <c r="S31" s="15" t="str">
        <f t="shared" si="0"/>
        <v/>
      </c>
      <c r="T31" s="14"/>
      <c r="U31" s="7"/>
      <c r="V31" s="15" t="str">
        <f t="shared" si="1"/>
        <v/>
      </c>
      <c r="W31" s="14"/>
      <c r="X31" s="7"/>
      <c r="Y31" s="15" t="str">
        <f t="shared" si="2"/>
        <v/>
      </c>
      <c r="Z31" s="14"/>
      <c r="AA31" s="7"/>
      <c r="AB31" s="15" t="str">
        <f t="shared" si="3"/>
        <v/>
      </c>
    </row>
    <row r="32" spans="1:28">
      <c r="A32" s="19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Q32" s="14"/>
      <c r="R32" s="7"/>
      <c r="S32" s="15" t="str">
        <f t="shared" si="0"/>
        <v/>
      </c>
      <c r="T32" s="14"/>
      <c r="U32" s="7"/>
      <c r="V32" s="15" t="str">
        <f t="shared" si="1"/>
        <v/>
      </c>
      <c r="W32" s="14"/>
      <c r="X32" s="7"/>
      <c r="Y32" s="15" t="str">
        <f t="shared" si="2"/>
        <v/>
      </c>
      <c r="Z32" s="14"/>
      <c r="AA32" s="7"/>
      <c r="AB32" s="15" t="str">
        <f t="shared" si="3"/>
        <v/>
      </c>
    </row>
    <row r="33" spans="1:28">
      <c r="A33" s="19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4"/>
      <c r="R33" s="7"/>
      <c r="S33" s="15" t="str">
        <f t="shared" si="0"/>
        <v/>
      </c>
      <c r="T33" s="14"/>
      <c r="U33" s="7"/>
      <c r="V33" s="15" t="str">
        <f t="shared" si="1"/>
        <v/>
      </c>
      <c r="W33" s="14"/>
      <c r="X33" s="7"/>
      <c r="Y33" s="15" t="str">
        <f t="shared" si="2"/>
        <v/>
      </c>
      <c r="Z33" s="14"/>
      <c r="AA33" s="7"/>
      <c r="AB33" s="15" t="str">
        <f t="shared" si="3"/>
        <v/>
      </c>
    </row>
    <row r="34" spans="1:28">
      <c r="A34" s="19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Q34" s="14"/>
      <c r="R34" s="7"/>
      <c r="S34" s="15" t="str">
        <f t="shared" si="0"/>
        <v/>
      </c>
      <c r="T34" s="14"/>
      <c r="U34" s="7"/>
      <c r="V34" s="15" t="str">
        <f t="shared" si="1"/>
        <v/>
      </c>
      <c r="W34" s="14"/>
      <c r="X34" s="7"/>
      <c r="Y34" s="15" t="str">
        <f t="shared" si="2"/>
        <v/>
      </c>
      <c r="Z34" s="14"/>
      <c r="AA34" s="7"/>
      <c r="AB34" s="15" t="str">
        <f t="shared" si="3"/>
        <v/>
      </c>
    </row>
    <row r="35" spans="1:28">
      <c r="A35" s="19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Q35" s="14"/>
      <c r="R35" s="7"/>
      <c r="S35" s="15" t="str">
        <f t="shared" si="0"/>
        <v/>
      </c>
      <c r="T35" s="14"/>
      <c r="U35" s="7"/>
      <c r="V35" s="15" t="str">
        <f t="shared" si="1"/>
        <v/>
      </c>
      <c r="W35" s="14"/>
      <c r="X35" s="7"/>
      <c r="Y35" s="15" t="str">
        <f t="shared" si="2"/>
        <v/>
      </c>
      <c r="Z35" s="14"/>
      <c r="AA35" s="7"/>
      <c r="AB35" s="15" t="str">
        <f t="shared" si="3"/>
        <v/>
      </c>
    </row>
    <row r="36" spans="1:28">
      <c r="A36" s="19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Q36" s="14"/>
      <c r="R36" s="7"/>
      <c r="S36" s="15" t="str">
        <f t="shared" si="0"/>
        <v/>
      </c>
      <c r="T36" s="14"/>
      <c r="U36" s="7"/>
      <c r="V36" s="15" t="str">
        <f t="shared" si="1"/>
        <v/>
      </c>
      <c r="W36" s="14"/>
      <c r="X36" s="7"/>
      <c r="Y36" s="15" t="str">
        <f t="shared" si="2"/>
        <v/>
      </c>
      <c r="Z36" s="14"/>
      <c r="AA36" s="7"/>
      <c r="AB36" s="15" t="str">
        <f t="shared" si="3"/>
        <v/>
      </c>
    </row>
    <row r="37" spans="1:28">
      <c r="A37" s="19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Q37" s="14"/>
      <c r="R37" s="7"/>
      <c r="S37" s="15" t="str">
        <f t="shared" si="0"/>
        <v/>
      </c>
      <c r="T37" s="14"/>
      <c r="U37" s="7"/>
      <c r="V37" s="15" t="str">
        <f t="shared" si="1"/>
        <v/>
      </c>
      <c r="W37" s="14"/>
      <c r="X37" s="7"/>
      <c r="Y37" s="15" t="str">
        <f t="shared" si="2"/>
        <v/>
      </c>
      <c r="Z37" s="14"/>
      <c r="AA37" s="7"/>
      <c r="AB37" s="15" t="str">
        <f t="shared" si="3"/>
        <v/>
      </c>
    </row>
    <row r="38" spans="1:28">
      <c r="A38" s="19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Q38" s="14"/>
      <c r="R38" s="7"/>
      <c r="S38" s="15" t="str">
        <f t="shared" si="0"/>
        <v/>
      </c>
      <c r="T38" s="14"/>
      <c r="U38" s="7"/>
      <c r="V38" s="15" t="str">
        <f t="shared" si="1"/>
        <v/>
      </c>
      <c r="W38" s="14"/>
      <c r="X38" s="7"/>
      <c r="Y38" s="15" t="str">
        <f t="shared" si="2"/>
        <v/>
      </c>
      <c r="Z38" s="14"/>
      <c r="AA38" s="7"/>
      <c r="AB38" s="15" t="str">
        <f t="shared" si="3"/>
        <v/>
      </c>
    </row>
    <row r="39" spans="1:28">
      <c r="A39" s="19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Q39" s="14"/>
      <c r="R39" s="7"/>
      <c r="S39" s="15" t="str">
        <f t="shared" si="0"/>
        <v/>
      </c>
      <c r="T39" s="14"/>
      <c r="U39" s="7"/>
      <c r="V39" s="15" t="str">
        <f t="shared" si="1"/>
        <v/>
      </c>
      <c r="W39" s="14"/>
      <c r="X39" s="7"/>
      <c r="Y39" s="15" t="str">
        <f t="shared" si="2"/>
        <v/>
      </c>
      <c r="Z39" s="14"/>
      <c r="AA39" s="7"/>
      <c r="AB39" s="15" t="str">
        <f t="shared" si="3"/>
        <v/>
      </c>
    </row>
    <row r="40" spans="1:28">
      <c r="A40" s="19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Q40" s="14"/>
      <c r="R40" s="7"/>
      <c r="S40" s="15" t="str">
        <f t="shared" si="0"/>
        <v/>
      </c>
      <c r="T40" s="14"/>
      <c r="U40" s="7"/>
      <c r="V40" s="15" t="str">
        <f t="shared" si="1"/>
        <v/>
      </c>
      <c r="W40" s="14"/>
      <c r="X40" s="7"/>
      <c r="Y40" s="15" t="str">
        <f t="shared" si="2"/>
        <v/>
      </c>
      <c r="Z40" s="14"/>
      <c r="AA40" s="7"/>
      <c r="AB40" s="15" t="str">
        <f t="shared" si="3"/>
        <v/>
      </c>
    </row>
    <row r="41" spans="1:28">
      <c r="A41" s="19">
        <v>38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Q41" s="14"/>
      <c r="R41" s="7"/>
      <c r="S41" s="15" t="str">
        <f t="shared" si="0"/>
        <v/>
      </c>
      <c r="T41" s="14"/>
      <c r="U41" s="7"/>
      <c r="V41" s="15" t="str">
        <f t="shared" si="1"/>
        <v/>
      </c>
      <c r="W41" s="14"/>
      <c r="X41" s="7"/>
      <c r="Y41" s="15" t="str">
        <f t="shared" si="2"/>
        <v/>
      </c>
      <c r="Z41" s="14"/>
      <c r="AA41" s="7"/>
      <c r="AB41" s="15" t="str">
        <f t="shared" si="3"/>
        <v/>
      </c>
    </row>
    <row r="42" spans="1:28">
      <c r="A42" s="19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Q42" s="14"/>
      <c r="R42" s="7"/>
      <c r="S42" s="15" t="str">
        <f t="shared" si="0"/>
        <v/>
      </c>
      <c r="T42" s="14"/>
      <c r="U42" s="7"/>
      <c r="V42" s="15" t="str">
        <f t="shared" si="1"/>
        <v/>
      </c>
      <c r="W42" s="14"/>
      <c r="X42" s="7"/>
      <c r="Y42" s="15" t="str">
        <f t="shared" si="2"/>
        <v/>
      </c>
      <c r="Z42" s="14"/>
      <c r="AA42" s="7"/>
      <c r="AB42" s="15" t="str">
        <f t="shared" si="3"/>
        <v/>
      </c>
    </row>
    <row r="43" spans="1:28">
      <c r="A43" s="19">
        <v>40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Q43" s="14"/>
      <c r="R43" s="7"/>
      <c r="S43" s="15" t="str">
        <f t="shared" si="0"/>
        <v/>
      </c>
      <c r="T43" s="14"/>
      <c r="U43" s="7"/>
      <c r="V43" s="15" t="str">
        <f t="shared" si="1"/>
        <v/>
      </c>
      <c r="W43" s="14"/>
      <c r="X43" s="7"/>
      <c r="Y43" s="15" t="str">
        <f t="shared" si="2"/>
        <v/>
      </c>
      <c r="Z43" s="14"/>
      <c r="AA43" s="7"/>
      <c r="AB43" s="15" t="str">
        <f t="shared" si="3"/>
        <v/>
      </c>
    </row>
    <row r="44" spans="1:28">
      <c r="A44" s="19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Q44" s="14"/>
      <c r="R44" s="7"/>
      <c r="S44" s="15" t="str">
        <f t="shared" si="0"/>
        <v/>
      </c>
      <c r="T44" s="14"/>
      <c r="U44" s="7"/>
      <c r="V44" s="15" t="str">
        <f t="shared" si="1"/>
        <v/>
      </c>
      <c r="W44" s="14"/>
      <c r="X44" s="7"/>
      <c r="Y44" s="15" t="str">
        <f t="shared" si="2"/>
        <v/>
      </c>
      <c r="Z44" s="14"/>
      <c r="AA44" s="7"/>
      <c r="AB44" s="15" t="str">
        <f t="shared" si="3"/>
        <v/>
      </c>
    </row>
    <row r="45" spans="1:28">
      <c r="A45" s="19">
        <v>42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Q45" s="14"/>
      <c r="R45" s="7"/>
      <c r="S45" s="15" t="str">
        <f t="shared" si="0"/>
        <v/>
      </c>
      <c r="T45" s="14"/>
      <c r="U45" s="7"/>
      <c r="V45" s="15" t="str">
        <f t="shared" si="1"/>
        <v/>
      </c>
      <c r="W45" s="14"/>
      <c r="X45" s="7"/>
      <c r="Y45" s="15" t="str">
        <f t="shared" si="2"/>
        <v/>
      </c>
      <c r="Z45" s="14"/>
      <c r="AA45" s="7"/>
      <c r="AB45" s="15" t="str">
        <f t="shared" si="3"/>
        <v/>
      </c>
    </row>
    <row r="46" spans="1:28">
      <c r="A46" s="19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Q46" s="14"/>
      <c r="R46" s="7"/>
      <c r="S46" s="15" t="str">
        <f t="shared" si="0"/>
        <v/>
      </c>
      <c r="T46" s="14"/>
      <c r="U46" s="7"/>
      <c r="V46" s="15" t="str">
        <f t="shared" si="1"/>
        <v/>
      </c>
      <c r="W46" s="14"/>
      <c r="X46" s="7"/>
      <c r="Y46" s="15" t="str">
        <f t="shared" si="2"/>
        <v/>
      </c>
      <c r="Z46" s="14"/>
      <c r="AA46" s="7"/>
      <c r="AB46" s="15" t="str">
        <f t="shared" si="3"/>
        <v/>
      </c>
    </row>
    <row r="47" spans="1:28">
      <c r="A47" s="19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Q47" s="14"/>
      <c r="R47" s="7"/>
      <c r="S47" s="15" t="str">
        <f t="shared" si="0"/>
        <v/>
      </c>
      <c r="T47" s="14"/>
      <c r="U47" s="7"/>
      <c r="V47" s="15" t="str">
        <f t="shared" si="1"/>
        <v/>
      </c>
      <c r="W47" s="14"/>
      <c r="X47" s="7"/>
      <c r="Y47" s="15" t="str">
        <f t="shared" si="2"/>
        <v/>
      </c>
      <c r="Z47" s="14"/>
      <c r="AA47" s="7"/>
      <c r="AB47" s="15" t="str">
        <f t="shared" si="3"/>
        <v/>
      </c>
    </row>
    <row r="48" spans="1:28">
      <c r="A48" s="19">
        <v>45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Q48" s="14"/>
      <c r="R48" s="7"/>
      <c r="S48" s="15" t="str">
        <f t="shared" si="0"/>
        <v/>
      </c>
      <c r="T48" s="14"/>
      <c r="U48" s="7"/>
      <c r="V48" s="15" t="str">
        <f t="shared" si="1"/>
        <v/>
      </c>
      <c r="W48" s="14"/>
      <c r="X48" s="7"/>
      <c r="Y48" s="15" t="str">
        <f t="shared" si="2"/>
        <v/>
      </c>
      <c r="Z48" s="14"/>
      <c r="AA48" s="7"/>
      <c r="AB48" s="15" t="str">
        <f t="shared" si="3"/>
        <v/>
      </c>
    </row>
    <row r="49" spans="1:28">
      <c r="A49" s="19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Q49" s="14"/>
      <c r="R49" s="7"/>
      <c r="S49" s="15" t="str">
        <f t="shared" si="0"/>
        <v/>
      </c>
      <c r="T49" s="14"/>
      <c r="U49" s="7"/>
      <c r="V49" s="15" t="str">
        <f t="shared" si="1"/>
        <v/>
      </c>
      <c r="W49" s="14"/>
      <c r="X49" s="7"/>
      <c r="Y49" s="15" t="str">
        <f t="shared" si="2"/>
        <v/>
      </c>
      <c r="Z49" s="14"/>
      <c r="AA49" s="7"/>
      <c r="AB49" s="15" t="str">
        <f t="shared" si="3"/>
        <v/>
      </c>
    </row>
    <row r="50" spans="1:28">
      <c r="A50" s="19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Q50" s="14"/>
      <c r="R50" s="7"/>
      <c r="S50" s="15" t="str">
        <f t="shared" si="0"/>
        <v/>
      </c>
      <c r="T50" s="14"/>
      <c r="U50" s="7"/>
      <c r="V50" s="15" t="str">
        <f t="shared" si="1"/>
        <v/>
      </c>
      <c r="W50" s="14"/>
      <c r="X50" s="7"/>
      <c r="Y50" s="15" t="str">
        <f t="shared" si="2"/>
        <v/>
      </c>
      <c r="Z50" s="14"/>
      <c r="AA50" s="7"/>
      <c r="AB50" s="15" t="str">
        <f t="shared" si="3"/>
        <v/>
      </c>
    </row>
    <row r="51" spans="1:28">
      <c r="A51" s="19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Q51" s="14"/>
      <c r="R51" s="7"/>
      <c r="S51" s="15" t="str">
        <f t="shared" si="0"/>
        <v/>
      </c>
      <c r="T51" s="14"/>
      <c r="U51" s="7"/>
      <c r="V51" s="15" t="str">
        <f t="shared" si="1"/>
        <v/>
      </c>
      <c r="W51" s="14"/>
      <c r="X51" s="7"/>
      <c r="Y51" s="15" t="str">
        <f t="shared" si="2"/>
        <v/>
      </c>
      <c r="Z51" s="14"/>
      <c r="AA51" s="7"/>
      <c r="AB51" s="15" t="str">
        <f t="shared" si="3"/>
        <v/>
      </c>
    </row>
    <row r="52" spans="1:28">
      <c r="A52" s="19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Q52" s="14"/>
      <c r="R52" s="7"/>
      <c r="S52" s="15" t="str">
        <f t="shared" si="0"/>
        <v/>
      </c>
      <c r="T52" s="14"/>
      <c r="U52" s="7"/>
      <c r="V52" s="15" t="str">
        <f t="shared" si="1"/>
        <v/>
      </c>
      <c r="W52" s="14"/>
      <c r="X52" s="7"/>
      <c r="Y52" s="15" t="str">
        <f t="shared" si="2"/>
        <v/>
      </c>
      <c r="Z52" s="14"/>
      <c r="AA52" s="7"/>
      <c r="AB52" s="15" t="str">
        <f t="shared" si="3"/>
        <v/>
      </c>
    </row>
    <row r="53" spans="1:28">
      <c r="A53" s="19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Q53" s="14"/>
      <c r="R53" s="7"/>
      <c r="S53" s="15" t="str">
        <f t="shared" si="0"/>
        <v/>
      </c>
      <c r="T53" s="14"/>
      <c r="U53" s="7"/>
      <c r="V53" s="15" t="str">
        <f t="shared" si="1"/>
        <v/>
      </c>
      <c r="W53" s="14"/>
      <c r="X53" s="7"/>
      <c r="Y53" s="15" t="str">
        <f t="shared" si="2"/>
        <v/>
      </c>
      <c r="Z53" s="14"/>
      <c r="AA53" s="7"/>
      <c r="AB53" s="15" t="str">
        <f t="shared" si="3"/>
        <v/>
      </c>
    </row>
    <row r="54" spans="1:28">
      <c r="A54" s="19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Q54" s="14"/>
      <c r="R54" s="7"/>
      <c r="S54" s="15" t="str">
        <f t="shared" si="0"/>
        <v/>
      </c>
      <c r="T54" s="14"/>
      <c r="U54" s="7"/>
      <c r="V54" s="15" t="str">
        <f t="shared" si="1"/>
        <v/>
      </c>
      <c r="W54" s="14"/>
      <c r="X54" s="7"/>
      <c r="Y54" s="15" t="str">
        <f t="shared" si="2"/>
        <v/>
      </c>
      <c r="Z54" s="14"/>
      <c r="AA54" s="7"/>
      <c r="AB54" s="15" t="str">
        <f t="shared" si="3"/>
        <v/>
      </c>
    </row>
    <row r="55" spans="1:28">
      <c r="A55" s="19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Q55" s="14"/>
      <c r="R55" s="7"/>
      <c r="S55" s="15" t="str">
        <f t="shared" si="0"/>
        <v/>
      </c>
      <c r="T55" s="14"/>
      <c r="U55" s="7"/>
      <c r="V55" s="15" t="str">
        <f t="shared" si="1"/>
        <v/>
      </c>
      <c r="W55" s="14"/>
      <c r="X55" s="7"/>
      <c r="Y55" s="15" t="str">
        <f t="shared" si="2"/>
        <v/>
      </c>
      <c r="Z55" s="14"/>
      <c r="AA55" s="7"/>
      <c r="AB55" s="15" t="str">
        <f t="shared" si="3"/>
        <v/>
      </c>
    </row>
    <row r="56" spans="1:28">
      <c r="A56" s="19">
        <v>53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Q56" s="14"/>
      <c r="R56" s="7"/>
      <c r="S56" s="15" t="str">
        <f t="shared" si="0"/>
        <v/>
      </c>
      <c r="T56" s="14"/>
      <c r="U56" s="7"/>
      <c r="V56" s="15" t="str">
        <f t="shared" si="1"/>
        <v/>
      </c>
      <c r="W56" s="14"/>
      <c r="X56" s="7"/>
      <c r="Y56" s="15" t="str">
        <f t="shared" si="2"/>
        <v/>
      </c>
      <c r="Z56" s="14"/>
      <c r="AA56" s="7"/>
      <c r="AB56" s="15" t="str">
        <f t="shared" si="3"/>
        <v/>
      </c>
    </row>
    <row r="57" spans="1:28">
      <c r="A57" s="19">
        <v>54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Q57" s="14"/>
      <c r="R57" s="7"/>
      <c r="S57" s="15" t="str">
        <f t="shared" si="0"/>
        <v/>
      </c>
      <c r="T57" s="14"/>
      <c r="U57" s="7"/>
      <c r="V57" s="15" t="str">
        <f t="shared" si="1"/>
        <v/>
      </c>
      <c r="W57" s="14"/>
      <c r="X57" s="7"/>
      <c r="Y57" s="15" t="str">
        <f t="shared" si="2"/>
        <v/>
      </c>
      <c r="Z57" s="14"/>
      <c r="AA57" s="7"/>
      <c r="AB57" s="15" t="str">
        <f t="shared" si="3"/>
        <v/>
      </c>
    </row>
    <row r="58" spans="1:28">
      <c r="A58" s="19">
        <v>55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Q58" s="14"/>
      <c r="R58" s="7"/>
      <c r="S58" s="15" t="str">
        <f t="shared" si="0"/>
        <v/>
      </c>
      <c r="T58" s="14"/>
      <c r="U58" s="7"/>
      <c r="V58" s="15" t="str">
        <f t="shared" si="1"/>
        <v/>
      </c>
      <c r="W58" s="14"/>
      <c r="X58" s="7"/>
      <c r="Y58" s="15" t="str">
        <f t="shared" si="2"/>
        <v/>
      </c>
      <c r="Z58" s="14"/>
      <c r="AA58" s="7"/>
      <c r="AB58" s="15" t="str">
        <f t="shared" si="3"/>
        <v/>
      </c>
    </row>
    <row r="59" spans="1:28">
      <c r="A59" s="19">
        <v>56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Q59" s="14"/>
      <c r="R59" s="7"/>
      <c r="S59" s="15" t="str">
        <f t="shared" si="0"/>
        <v/>
      </c>
      <c r="T59" s="14"/>
      <c r="U59" s="7"/>
      <c r="V59" s="15" t="str">
        <f t="shared" si="1"/>
        <v/>
      </c>
      <c r="W59" s="14"/>
      <c r="X59" s="7"/>
      <c r="Y59" s="15" t="str">
        <f t="shared" si="2"/>
        <v/>
      </c>
      <c r="Z59" s="14"/>
      <c r="AA59" s="7"/>
      <c r="AB59" s="15" t="str">
        <f t="shared" si="3"/>
        <v/>
      </c>
    </row>
    <row r="60" spans="1:28">
      <c r="A60" s="19">
        <v>57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Q60" s="14"/>
      <c r="R60" s="7"/>
      <c r="S60" s="15" t="str">
        <f t="shared" si="0"/>
        <v/>
      </c>
      <c r="T60" s="14"/>
      <c r="U60" s="7"/>
      <c r="V60" s="15" t="str">
        <f t="shared" si="1"/>
        <v/>
      </c>
      <c r="W60" s="14"/>
      <c r="X60" s="7"/>
      <c r="Y60" s="15" t="str">
        <f t="shared" si="2"/>
        <v/>
      </c>
      <c r="Z60" s="14"/>
      <c r="AA60" s="7"/>
      <c r="AB60" s="15" t="str">
        <f t="shared" si="3"/>
        <v/>
      </c>
    </row>
    <row r="61" spans="1:28">
      <c r="A61" s="19">
        <v>58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Q61" s="14"/>
      <c r="R61" s="7"/>
      <c r="S61" s="15" t="str">
        <f t="shared" si="0"/>
        <v/>
      </c>
      <c r="T61" s="14"/>
      <c r="U61" s="7"/>
      <c r="V61" s="15" t="str">
        <f t="shared" si="1"/>
        <v/>
      </c>
      <c r="W61" s="14"/>
      <c r="X61" s="7"/>
      <c r="Y61" s="15" t="str">
        <f t="shared" si="2"/>
        <v/>
      </c>
      <c r="Z61" s="14"/>
      <c r="AA61" s="7"/>
      <c r="AB61" s="15" t="str">
        <f t="shared" si="3"/>
        <v/>
      </c>
    </row>
    <row r="62" spans="1:28">
      <c r="A62" s="19">
        <v>59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Q62" s="14"/>
      <c r="R62" s="7"/>
      <c r="S62" s="15" t="str">
        <f t="shared" si="0"/>
        <v/>
      </c>
      <c r="T62" s="14"/>
      <c r="U62" s="7"/>
      <c r="V62" s="15" t="str">
        <f t="shared" si="1"/>
        <v/>
      </c>
      <c r="W62" s="14"/>
      <c r="X62" s="7"/>
      <c r="Y62" s="15" t="str">
        <f t="shared" si="2"/>
        <v/>
      </c>
      <c r="Z62" s="14"/>
      <c r="AA62" s="7"/>
      <c r="AB62" s="15" t="str">
        <f t="shared" si="3"/>
        <v/>
      </c>
    </row>
    <row r="63" spans="1:28">
      <c r="A63" s="19">
        <v>60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Q63" s="14"/>
      <c r="R63" s="7"/>
      <c r="S63" s="15" t="str">
        <f t="shared" si="0"/>
        <v/>
      </c>
      <c r="T63" s="14"/>
      <c r="U63" s="7"/>
      <c r="V63" s="15" t="str">
        <f t="shared" si="1"/>
        <v/>
      </c>
      <c r="W63" s="14"/>
      <c r="X63" s="7"/>
      <c r="Y63" s="15" t="str">
        <f t="shared" si="2"/>
        <v/>
      </c>
      <c r="Z63" s="14"/>
      <c r="AA63" s="7"/>
      <c r="AB63" s="15" t="str">
        <f t="shared" si="3"/>
        <v/>
      </c>
    </row>
    <row r="64" spans="1:28">
      <c r="A64" s="19">
        <v>61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Q64" s="14"/>
      <c r="R64" s="7"/>
      <c r="S64" s="15" t="str">
        <f t="shared" si="0"/>
        <v/>
      </c>
      <c r="T64" s="14"/>
      <c r="U64" s="7"/>
      <c r="V64" s="15" t="str">
        <f t="shared" si="1"/>
        <v/>
      </c>
      <c r="W64" s="14"/>
      <c r="X64" s="7"/>
      <c r="Y64" s="15" t="str">
        <f t="shared" si="2"/>
        <v/>
      </c>
      <c r="Z64" s="14"/>
      <c r="AA64" s="7"/>
      <c r="AB64" s="15" t="str">
        <f t="shared" si="3"/>
        <v/>
      </c>
    </row>
    <row r="65" spans="1:28">
      <c r="A65" s="19">
        <v>62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Q65" s="14"/>
      <c r="R65" s="7"/>
      <c r="S65" s="15" t="str">
        <f t="shared" si="0"/>
        <v/>
      </c>
      <c r="T65" s="14"/>
      <c r="U65" s="7"/>
      <c r="V65" s="15" t="str">
        <f t="shared" si="1"/>
        <v/>
      </c>
      <c r="W65" s="14"/>
      <c r="X65" s="7"/>
      <c r="Y65" s="15" t="str">
        <f t="shared" si="2"/>
        <v/>
      </c>
      <c r="Z65" s="14"/>
      <c r="AA65" s="7"/>
      <c r="AB65" s="15" t="str">
        <f t="shared" si="3"/>
        <v/>
      </c>
    </row>
    <row r="66" spans="1:28">
      <c r="A66" s="19">
        <v>63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Q66" s="14"/>
      <c r="R66" s="7"/>
      <c r="S66" s="15" t="str">
        <f t="shared" si="0"/>
        <v/>
      </c>
      <c r="T66" s="14"/>
      <c r="U66" s="7"/>
      <c r="V66" s="15" t="str">
        <f t="shared" si="1"/>
        <v/>
      </c>
      <c r="W66" s="14"/>
      <c r="X66" s="7"/>
      <c r="Y66" s="15" t="str">
        <f t="shared" si="2"/>
        <v/>
      </c>
      <c r="Z66" s="14"/>
      <c r="AA66" s="7"/>
      <c r="AB66" s="15" t="str">
        <f t="shared" si="3"/>
        <v/>
      </c>
    </row>
    <row r="67" spans="1:28">
      <c r="A67" s="19">
        <v>64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Q67" s="14"/>
      <c r="R67" s="7"/>
      <c r="S67" s="15" t="str">
        <f t="shared" si="0"/>
        <v/>
      </c>
      <c r="T67" s="14"/>
      <c r="U67" s="7"/>
      <c r="V67" s="15" t="str">
        <f t="shared" si="1"/>
        <v/>
      </c>
      <c r="W67" s="14"/>
      <c r="X67" s="7"/>
      <c r="Y67" s="15" t="str">
        <f t="shared" si="2"/>
        <v/>
      </c>
      <c r="Z67" s="14"/>
      <c r="AA67" s="7"/>
      <c r="AB67" s="15" t="str">
        <f t="shared" si="3"/>
        <v/>
      </c>
    </row>
    <row r="68" spans="1:28">
      <c r="A68" s="19">
        <v>65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Q68" s="14"/>
      <c r="R68" s="7"/>
      <c r="S68" s="15" t="str">
        <f t="shared" si="0"/>
        <v/>
      </c>
      <c r="T68" s="14"/>
      <c r="U68" s="7"/>
      <c r="V68" s="15" t="str">
        <f t="shared" si="1"/>
        <v/>
      </c>
      <c r="W68" s="14"/>
      <c r="X68" s="7"/>
      <c r="Y68" s="15" t="str">
        <f t="shared" si="2"/>
        <v/>
      </c>
      <c r="Z68" s="14"/>
      <c r="AA68" s="7"/>
      <c r="AB68" s="15" t="str">
        <f t="shared" si="3"/>
        <v/>
      </c>
    </row>
    <row r="69" spans="1:28">
      <c r="A69" s="19">
        <v>66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Q69" s="14"/>
      <c r="R69" s="7"/>
      <c r="S69" s="15" t="str">
        <f t="shared" ref="S69:S132" si="4">IF(OR($H69="",Q69=""),"",Q69+(R69/$H69))</f>
        <v/>
      </c>
      <c r="T69" s="14"/>
      <c r="U69" s="7"/>
      <c r="V69" s="15" t="str">
        <f t="shared" ref="V69:V132" si="5">IF(OR($H69="",T69=""),"",T69+(U69/$H69))</f>
        <v/>
      </c>
      <c r="W69" s="14"/>
      <c r="X69" s="7"/>
      <c r="Y69" s="15" t="str">
        <f t="shared" ref="Y69:Y132" si="6">IF(OR($H69="",W69=""),"",W69+(X69/$H69))</f>
        <v/>
      </c>
      <c r="Z69" s="14"/>
      <c r="AA69" s="7"/>
      <c r="AB69" s="15" t="str">
        <f t="shared" ref="AB69:AB132" si="7">IF(OR($H69="",Z69=""),"",Z69+(AA69/$H69))</f>
        <v/>
      </c>
    </row>
    <row r="70" spans="1:28">
      <c r="A70" s="19">
        <v>67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Q70" s="14"/>
      <c r="R70" s="7"/>
      <c r="S70" s="15" t="str">
        <f t="shared" si="4"/>
        <v/>
      </c>
      <c r="T70" s="14"/>
      <c r="U70" s="7"/>
      <c r="V70" s="15" t="str">
        <f t="shared" si="5"/>
        <v/>
      </c>
      <c r="W70" s="14"/>
      <c r="X70" s="7"/>
      <c r="Y70" s="15" t="str">
        <f t="shared" si="6"/>
        <v/>
      </c>
      <c r="Z70" s="14"/>
      <c r="AA70" s="7"/>
      <c r="AB70" s="15" t="str">
        <f t="shared" si="7"/>
        <v/>
      </c>
    </row>
    <row r="71" spans="1:28">
      <c r="A71" s="19">
        <v>68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Q71" s="14"/>
      <c r="R71" s="7"/>
      <c r="S71" s="15" t="str">
        <f t="shared" si="4"/>
        <v/>
      </c>
      <c r="T71" s="14"/>
      <c r="U71" s="7"/>
      <c r="V71" s="15" t="str">
        <f t="shared" si="5"/>
        <v/>
      </c>
      <c r="W71" s="14"/>
      <c r="X71" s="7"/>
      <c r="Y71" s="15" t="str">
        <f t="shared" si="6"/>
        <v/>
      </c>
      <c r="Z71" s="14"/>
      <c r="AA71" s="7"/>
      <c r="AB71" s="15" t="str">
        <f t="shared" si="7"/>
        <v/>
      </c>
    </row>
    <row r="72" spans="1:28">
      <c r="A72" s="19">
        <v>69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Q72" s="14"/>
      <c r="R72" s="7"/>
      <c r="S72" s="15" t="str">
        <f t="shared" si="4"/>
        <v/>
      </c>
      <c r="T72" s="14"/>
      <c r="U72" s="7"/>
      <c r="V72" s="15" t="str">
        <f t="shared" si="5"/>
        <v/>
      </c>
      <c r="W72" s="14"/>
      <c r="X72" s="7"/>
      <c r="Y72" s="15" t="str">
        <f t="shared" si="6"/>
        <v/>
      </c>
      <c r="Z72" s="14"/>
      <c r="AA72" s="7"/>
      <c r="AB72" s="15" t="str">
        <f t="shared" si="7"/>
        <v/>
      </c>
    </row>
    <row r="73" spans="1:28">
      <c r="A73" s="19">
        <v>70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Q73" s="14"/>
      <c r="R73" s="7"/>
      <c r="S73" s="15" t="str">
        <f t="shared" si="4"/>
        <v/>
      </c>
      <c r="T73" s="14"/>
      <c r="U73" s="7"/>
      <c r="V73" s="15" t="str">
        <f t="shared" si="5"/>
        <v/>
      </c>
      <c r="W73" s="14"/>
      <c r="X73" s="7"/>
      <c r="Y73" s="15" t="str">
        <f t="shared" si="6"/>
        <v/>
      </c>
      <c r="Z73" s="14"/>
      <c r="AA73" s="7"/>
      <c r="AB73" s="15" t="str">
        <f t="shared" si="7"/>
        <v/>
      </c>
    </row>
    <row r="74" spans="1:28">
      <c r="A74" s="19">
        <v>71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Q74" s="14"/>
      <c r="R74" s="7"/>
      <c r="S74" s="15" t="str">
        <f t="shared" si="4"/>
        <v/>
      </c>
      <c r="T74" s="14"/>
      <c r="U74" s="7"/>
      <c r="V74" s="15" t="str">
        <f t="shared" si="5"/>
        <v/>
      </c>
      <c r="W74" s="14"/>
      <c r="X74" s="7"/>
      <c r="Y74" s="15" t="str">
        <f t="shared" si="6"/>
        <v/>
      </c>
      <c r="Z74" s="14"/>
      <c r="AA74" s="7"/>
      <c r="AB74" s="15" t="str">
        <f t="shared" si="7"/>
        <v/>
      </c>
    </row>
    <row r="75" spans="1:28">
      <c r="A75" s="19">
        <v>72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Q75" s="14"/>
      <c r="R75" s="7"/>
      <c r="S75" s="15" t="str">
        <f t="shared" si="4"/>
        <v/>
      </c>
      <c r="T75" s="14"/>
      <c r="U75" s="7"/>
      <c r="V75" s="15" t="str">
        <f t="shared" si="5"/>
        <v/>
      </c>
      <c r="W75" s="14"/>
      <c r="X75" s="7"/>
      <c r="Y75" s="15" t="str">
        <f t="shared" si="6"/>
        <v/>
      </c>
      <c r="Z75" s="14"/>
      <c r="AA75" s="7"/>
      <c r="AB75" s="15" t="str">
        <f t="shared" si="7"/>
        <v/>
      </c>
    </row>
    <row r="76" spans="1:28">
      <c r="A76" s="19">
        <v>73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Q76" s="14"/>
      <c r="R76" s="7"/>
      <c r="S76" s="15" t="str">
        <f t="shared" si="4"/>
        <v/>
      </c>
      <c r="T76" s="14"/>
      <c r="U76" s="7"/>
      <c r="V76" s="15" t="str">
        <f t="shared" si="5"/>
        <v/>
      </c>
      <c r="W76" s="14"/>
      <c r="X76" s="7"/>
      <c r="Y76" s="15" t="str">
        <f t="shared" si="6"/>
        <v/>
      </c>
      <c r="Z76" s="14"/>
      <c r="AA76" s="7"/>
      <c r="AB76" s="15" t="str">
        <f t="shared" si="7"/>
        <v/>
      </c>
    </row>
    <row r="77" spans="1:28">
      <c r="A77" s="19">
        <v>74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Q77" s="14"/>
      <c r="R77" s="7"/>
      <c r="S77" s="15" t="str">
        <f t="shared" si="4"/>
        <v/>
      </c>
      <c r="T77" s="14"/>
      <c r="U77" s="7"/>
      <c r="V77" s="15" t="str">
        <f t="shared" si="5"/>
        <v/>
      </c>
      <c r="W77" s="14"/>
      <c r="X77" s="7"/>
      <c r="Y77" s="15" t="str">
        <f t="shared" si="6"/>
        <v/>
      </c>
      <c r="Z77" s="14"/>
      <c r="AA77" s="7"/>
      <c r="AB77" s="15" t="str">
        <f t="shared" si="7"/>
        <v/>
      </c>
    </row>
    <row r="78" spans="1:28">
      <c r="A78" s="19">
        <v>75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Q78" s="14"/>
      <c r="R78" s="7"/>
      <c r="S78" s="15" t="str">
        <f t="shared" si="4"/>
        <v/>
      </c>
      <c r="T78" s="14"/>
      <c r="U78" s="7"/>
      <c r="V78" s="15" t="str">
        <f t="shared" si="5"/>
        <v/>
      </c>
      <c r="W78" s="14"/>
      <c r="X78" s="7"/>
      <c r="Y78" s="15" t="str">
        <f t="shared" si="6"/>
        <v/>
      </c>
      <c r="Z78" s="14"/>
      <c r="AA78" s="7"/>
      <c r="AB78" s="15" t="str">
        <f t="shared" si="7"/>
        <v/>
      </c>
    </row>
    <row r="79" spans="1:28">
      <c r="A79" s="19">
        <v>76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Q79" s="14"/>
      <c r="R79" s="7"/>
      <c r="S79" s="15" t="str">
        <f t="shared" si="4"/>
        <v/>
      </c>
      <c r="T79" s="14"/>
      <c r="U79" s="7"/>
      <c r="V79" s="15" t="str">
        <f t="shared" si="5"/>
        <v/>
      </c>
      <c r="W79" s="14"/>
      <c r="X79" s="7"/>
      <c r="Y79" s="15" t="str">
        <f t="shared" si="6"/>
        <v/>
      </c>
      <c r="Z79" s="14"/>
      <c r="AA79" s="7"/>
      <c r="AB79" s="15" t="str">
        <f t="shared" si="7"/>
        <v/>
      </c>
    </row>
    <row r="80" spans="1:28">
      <c r="A80" s="19">
        <v>77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Q80" s="14"/>
      <c r="R80" s="7"/>
      <c r="S80" s="15" t="str">
        <f t="shared" si="4"/>
        <v/>
      </c>
      <c r="T80" s="14"/>
      <c r="U80" s="7"/>
      <c r="V80" s="15" t="str">
        <f t="shared" si="5"/>
        <v/>
      </c>
      <c r="W80" s="14"/>
      <c r="X80" s="7"/>
      <c r="Y80" s="15" t="str">
        <f t="shared" si="6"/>
        <v/>
      </c>
      <c r="Z80" s="14"/>
      <c r="AA80" s="7"/>
      <c r="AB80" s="15" t="str">
        <f t="shared" si="7"/>
        <v/>
      </c>
    </row>
    <row r="81" spans="1:28">
      <c r="A81" s="19">
        <v>78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Q81" s="14"/>
      <c r="R81" s="7"/>
      <c r="S81" s="15" t="str">
        <f t="shared" si="4"/>
        <v/>
      </c>
      <c r="T81" s="14"/>
      <c r="U81" s="7"/>
      <c r="V81" s="15" t="str">
        <f t="shared" si="5"/>
        <v/>
      </c>
      <c r="W81" s="14"/>
      <c r="X81" s="7"/>
      <c r="Y81" s="15" t="str">
        <f t="shared" si="6"/>
        <v/>
      </c>
      <c r="Z81" s="14"/>
      <c r="AA81" s="7"/>
      <c r="AB81" s="15" t="str">
        <f t="shared" si="7"/>
        <v/>
      </c>
    </row>
    <row r="82" spans="1:28">
      <c r="A82" s="19">
        <v>79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Q82" s="14"/>
      <c r="R82" s="7"/>
      <c r="S82" s="15" t="str">
        <f t="shared" si="4"/>
        <v/>
      </c>
      <c r="T82" s="14"/>
      <c r="U82" s="7"/>
      <c r="V82" s="15" t="str">
        <f t="shared" si="5"/>
        <v/>
      </c>
      <c r="W82" s="14"/>
      <c r="X82" s="7"/>
      <c r="Y82" s="15" t="str">
        <f t="shared" si="6"/>
        <v/>
      </c>
      <c r="Z82" s="14"/>
      <c r="AA82" s="7"/>
      <c r="AB82" s="15" t="str">
        <f t="shared" si="7"/>
        <v/>
      </c>
    </row>
    <row r="83" spans="1:28">
      <c r="A83" s="19">
        <v>80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Q83" s="14"/>
      <c r="R83" s="7"/>
      <c r="S83" s="15" t="str">
        <f t="shared" si="4"/>
        <v/>
      </c>
      <c r="T83" s="14"/>
      <c r="U83" s="7"/>
      <c r="V83" s="15" t="str">
        <f t="shared" si="5"/>
        <v/>
      </c>
      <c r="W83" s="14"/>
      <c r="X83" s="7"/>
      <c r="Y83" s="15" t="str">
        <f t="shared" si="6"/>
        <v/>
      </c>
      <c r="Z83" s="14"/>
      <c r="AA83" s="7"/>
      <c r="AB83" s="15" t="str">
        <f t="shared" si="7"/>
        <v/>
      </c>
    </row>
    <row r="84" spans="1:28">
      <c r="A84" s="19">
        <v>81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Q84" s="14"/>
      <c r="R84" s="7"/>
      <c r="S84" s="15" t="str">
        <f t="shared" si="4"/>
        <v/>
      </c>
      <c r="T84" s="14"/>
      <c r="U84" s="7"/>
      <c r="V84" s="15" t="str">
        <f t="shared" si="5"/>
        <v/>
      </c>
      <c r="W84" s="14"/>
      <c r="X84" s="7"/>
      <c r="Y84" s="15" t="str">
        <f t="shared" si="6"/>
        <v/>
      </c>
      <c r="Z84" s="14"/>
      <c r="AA84" s="7"/>
      <c r="AB84" s="15" t="str">
        <f t="shared" si="7"/>
        <v/>
      </c>
    </row>
    <row r="85" spans="1:28">
      <c r="A85" s="19">
        <v>82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Q85" s="14"/>
      <c r="R85" s="7"/>
      <c r="S85" s="15" t="str">
        <f t="shared" si="4"/>
        <v/>
      </c>
      <c r="T85" s="14"/>
      <c r="U85" s="7"/>
      <c r="V85" s="15" t="str">
        <f t="shared" si="5"/>
        <v/>
      </c>
      <c r="W85" s="14"/>
      <c r="X85" s="7"/>
      <c r="Y85" s="15" t="str">
        <f t="shared" si="6"/>
        <v/>
      </c>
      <c r="Z85" s="14"/>
      <c r="AA85" s="7"/>
      <c r="AB85" s="15" t="str">
        <f t="shared" si="7"/>
        <v/>
      </c>
    </row>
    <row r="86" spans="1:28">
      <c r="A86" s="19">
        <v>83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Q86" s="14"/>
      <c r="R86" s="7"/>
      <c r="S86" s="15" t="str">
        <f t="shared" si="4"/>
        <v/>
      </c>
      <c r="T86" s="14"/>
      <c r="U86" s="7"/>
      <c r="V86" s="15" t="str">
        <f t="shared" si="5"/>
        <v/>
      </c>
      <c r="W86" s="14"/>
      <c r="X86" s="7"/>
      <c r="Y86" s="15" t="str">
        <f t="shared" si="6"/>
        <v/>
      </c>
      <c r="Z86" s="14"/>
      <c r="AA86" s="7"/>
      <c r="AB86" s="15" t="str">
        <f t="shared" si="7"/>
        <v/>
      </c>
    </row>
    <row r="87" spans="1:28">
      <c r="A87" s="19">
        <v>84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Q87" s="14"/>
      <c r="R87" s="7"/>
      <c r="S87" s="15" t="str">
        <f t="shared" si="4"/>
        <v/>
      </c>
      <c r="T87" s="14"/>
      <c r="U87" s="7"/>
      <c r="V87" s="15" t="str">
        <f t="shared" si="5"/>
        <v/>
      </c>
      <c r="W87" s="14"/>
      <c r="X87" s="7"/>
      <c r="Y87" s="15" t="str">
        <f t="shared" si="6"/>
        <v/>
      </c>
      <c r="Z87" s="14"/>
      <c r="AA87" s="7"/>
      <c r="AB87" s="15" t="str">
        <f t="shared" si="7"/>
        <v/>
      </c>
    </row>
    <row r="88" spans="1:28">
      <c r="A88" s="19">
        <v>85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Q88" s="14"/>
      <c r="R88" s="7"/>
      <c r="S88" s="15" t="str">
        <f t="shared" si="4"/>
        <v/>
      </c>
      <c r="T88" s="14"/>
      <c r="U88" s="7"/>
      <c r="V88" s="15" t="str">
        <f t="shared" si="5"/>
        <v/>
      </c>
      <c r="W88" s="14"/>
      <c r="X88" s="7"/>
      <c r="Y88" s="15" t="str">
        <f t="shared" si="6"/>
        <v/>
      </c>
      <c r="Z88" s="14"/>
      <c r="AA88" s="7"/>
      <c r="AB88" s="15" t="str">
        <f t="shared" si="7"/>
        <v/>
      </c>
    </row>
    <row r="89" spans="1:28">
      <c r="A89" s="19">
        <v>86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Q89" s="14"/>
      <c r="R89" s="7"/>
      <c r="S89" s="15" t="str">
        <f t="shared" si="4"/>
        <v/>
      </c>
      <c r="T89" s="14"/>
      <c r="U89" s="7"/>
      <c r="V89" s="15" t="str">
        <f t="shared" si="5"/>
        <v/>
      </c>
      <c r="W89" s="14"/>
      <c r="X89" s="7"/>
      <c r="Y89" s="15" t="str">
        <f t="shared" si="6"/>
        <v/>
      </c>
      <c r="Z89" s="14"/>
      <c r="AA89" s="7"/>
      <c r="AB89" s="15" t="str">
        <f t="shared" si="7"/>
        <v/>
      </c>
    </row>
    <row r="90" spans="1:28">
      <c r="A90" s="19">
        <v>87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Q90" s="14"/>
      <c r="R90" s="7"/>
      <c r="S90" s="15" t="str">
        <f t="shared" si="4"/>
        <v/>
      </c>
      <c r="T90" s="14"/>
      <c r="U90" s="7"/>
      <c r="V90" s="15" t="str">
        <f t="shared" si="5"/>
        <v/>
      </c>
      <c r="W90" s="14"/>
      <c r="X90" s="7"/>
      <c r="Y90" s="15" t="str">
        <f t="shared" si="6"/>
        <v/>
      </c>
      <c r="Z90" s="14"/>
      <c r="AA90" s="7"/>
      <c r="AB90" s="15" t="str">
        <f t="shared" si="7"/>
        <v/>
      </c>
    </row>
    <row r="91" spans="1:28">
      <c r="A91" s="19">
        <v>88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Q91" s="14"/>
      <c r="R91" s="7"/>
      <c r="S91" s="15" t="str">
        <f t="shared" si="4"/>
        <v/>
      </c>
      <c r="T91" s="14"/>
      <c r="U91" s="7"/>
      <c r="V91" s="15" t="str">
        <f t="shared" si="5"/>
        <v/>
      </c>
      <c r="W91" s="14"/>
      <c r="X91" s="7"/>
      <c r="Y91" s="15" t="str">
        <f t="shared" si="6"/>
        <v/>
      </c>
      <c r="Z91" s="14"/>
      <c r="AA91" s="7"/>
      <c r="AB91" s="15" t="str">
        <f t="shared" si="7"/>
        <v/>
      </c>
    </row>
    <row r="92" spans="1:28">
      <c r="A92" s="19">
        <v>89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Q92" s="14"/>
      <c r="R92" s="7"/>
      <c r="S92" s="15" t="str">
        <f t="shared" si="4"/>
        <v/>
      </c>
      <c r="T92" s="14"/>
      <c r="U92" s="7"/>
      <c r="V92" s="15" t="str">
        <f t="shared" si="5"/>
        <v/>
      </c>
      <c r="W92" s="14"/>
      <c r="X92" s="7"/>
      <c r="Y92" s="15" t="str">
        <f t="shared" si="6"/>
        <v/>
      </c>
      <c r="Z92" s="14"/>
      <c r="AA92" s="7"/>
      <c r="AB92" s="15" t="str">
        <f t="shared" si="7"/>
        <v/>
      </c>
    </row>
    <row r="93" spans="1:28">
      <c r="A93" s="19">
        <v>90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Q93" s="14"/>
      <c r="R93" s="7"/>
      <c r="S93" s="15" t="str">
        <f t="shared" si="4"/>
        <v/>
      </c>
      <c r="T93" s="14"/>
      <c r="U93" s="7"/>
      <c r="V93" s="15" t="str">
        <f t="shared" si="5"/>
        <v/>
      </c>
      <c r="W93" s="14"/>
      <c r="X93" s="7"/>
      <c r="Y93" s="15" t="str">
        <f t="shared" si="6"/>
        <v/>
      </c>
      <c r="Z93" s="14"/>
      <c r="AA93" s="7"/>
      <c r="AB93" s="15" t="str">
        <f t="shared" si="7"/>
        <v/>
      </c>
    </row>
    <row r="94" spans="1:28">
      <c r="A94" s="19">
        <v>91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Q94" s="14"/>
      <c r="R94" s="7"/>
      <c r="S94" s="15" t="str">
        <f t="shared" si="4"/>
        <v/>
      </c>
      <c r="T94" s="14"/>
      <c r="U94" s="7"/>
      <c r="V94" s="15" t="str">
        <f t="shared" si="5"/>
        <v/>
      </c>
      <c r="W94" s="14"/>
      <c r="X94" s="7"/>
      <c r="Y94" s="15" t="str">
        <f t="shared" si="6"/>
        <v/>
      </c>
      <c r="Z94" s="14"/>
      <c r="AA94" s="7"/>
      <c r="AB94" s="15" t="str">
        <f t="shared" si="7"/>
        <v/>
      </c>
    </row>
    <row r="95" spans="1:28">
      <c r="A95" s="19">
        <v>92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Q95" s="14"/>
      <c r="R95" s="7"/>
      <c r="S95" s="15" t="str">
        <f t="shared" si="4"/>
        <v/>
      </c>
      <c r="T95" s="14"/>
      <c r="U95" s="7"/>
      <c r="V95" s="15" t="str">
        <f t="shared" si="5"/>
        <v/>
      </c>
      <c r="W95" s="14"/>
      <c r="X95" s="7"/>
      <c r="Y95" s="15" t="str">
        <f t="shared" si="6"/>
        <v/>
      </c>
      <c r="Z95" s="14"/>
      <c r="AA95" s="7"/>
      <c r="AB95" s="15" t="str">
        <f t="shared" si="7"/>
        <v/>
      </c>
    </row>
    <row r="96" spans="1:28">
      <c r="A96" s="19">
        <v>93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Q96" s="14"/>
      <c r="R96" s="7"/>
      <c r="S96" s="15" t="str">
        <f t="shared" si="4"/>
        <v/>
      </c>
      <c r="T96" s="14"/>
      <c r="U96" s="7"/>
      <c r="V96" s="15" t="str">
        <f t="shared" si="5"/>
        <v/>
      </c>
      <c r="W96" s="14"/>
      <c r="X96" s="7"/>
      <c r="Y96" s="15" t="str">
        <f t="shared" si="6"/>
        <v/>
      </c>
      <c r="Z96" s="14"/>
      <c r="AA96" s="7"/>
      <c r="AB96" s="15" t="str">
        <f t="shared" si="7"/>
        <v/>
      </c>
    </row>
    <row r="97" spans="1:28">
      <c r="A97" s="19">
        <v>94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Q97" s="14"/>
      <c r="R97" s="7"/>
      <c r="S97" s="15" t="str">
        <f t="shared" si="4"/>
        <v/>
      </c>
      <c r="T97" s="14"/>
      <c r="U97" s="7"/>
      <c r="V97" s="15" t="str">
        <f t="shared" si="5"/>
        <v/>
      </c>
      <c r="W97" s="14"/>
      <c r="X97" s="7"/>
      <c r="Y97" s="15" t="str">
        <f t="shared" si="6"/>
        <v/>
      </c>
      <c r="Z97" s="14"/>
      <c r="AA97" s="7"/>
      <c r="AB97" s="15" t="str">
        <f t="shared" si="7"/>
        <v/>
      </c>
    </row>
    <row r="98" spans="1:28">
      <c r="A98" s="19">
        <v>95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Q98" s="14"/>
      <c r="R98" s="7"/>
      <c r="S98" s="15" t="str">
        <f t="shared" si="4"/>
        <v/>
      </c>
      <c r="T98" s="14"/>
      <c r="U98" s="7"/>
      <c r="V98" s="15" t="str">
        <f t="shared" si="5"/>
        <v/>
      </c>
      <c r="W98" s="14"/>
      <c r="X98" s="7"/>
      <c r="Y98" s="15" t="str">
        <f t="shared" si="6"/>
        <v/>
      </c>
      <c r="Z98" s="14"/>
      <c r="AA98" s="7"/>
      <c r="AB98" s="15" t="str">
        <f t="shared" si="7"/>
        <v/>
      </c>
    </row>
    <row r="99" spans="1:28">
      <c r="A99" s="19">
        <v>96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Q99" s="14"/>
      <c r="R99" s="7"/>
      <c r="S99" s="15" t="str">
        <f t="shared" si="4"/>
        <v/>
      </c>
      <c r="T99" s="14"/>
      <c r="U99" s="7"/>
      <c r="V99" s="15" t="str">
        <f t="shared" si="5"/>
        <v/>
      </c>
      <c r="W99" s="14"/>
      <c r="X99" s="7"/>
      <c r="Y99" s="15" t="str">
        <f t="shared" si="6"/>
        <v/>
      </c>
      <c r="Z99" s="14"/>
      <c r="AA99" s="7"/>
      <c r="AB99" s="15" t="str">
        <f t="shared" si="7"/>
        <v/>
      </c>
    </row>
    <row r="100" spans="1:28">
      <c r="A100" s="19">
        <v>97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Q100" s="14"/>
      <c r="R100" s="7"/>
      <c r="S100" s="15" t="str">
        <f t="shared" si="4"/>
        <v/>
      </c>
      <c r="T100" s="14"/>
      <c r="U100" s="7"/>
      <c r="V100" s="15" t="str">
        <f t="shared" si="5"/>
        <v/>
      </c>
      <c r="W100" s="14"/>
      <c r="X100" s="7"/>
      <c r="Y100" s="15" t="str">
        <f t="shared" si="6"/>
        <v/>
      </c>
      <c r="Z100" s="14"/>
      <c r="AA100" s="7"/>
      <c r="AB100" s="15" t="str">
        <f t="shared" si="7"/>
        <v/>
      </c>
    </row>
    <row r="101" spans="1:28">
      <c r="A101" s="19">
        <v>98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Q101" s="14"/>
      <c r="R101" s="7"/>
      <c r="S101" s="15" t="str">
        <f t="shared" si="4"/>
        <v/>
      </c>
      <c r="T101" s="14"/>
      <c r="U101" s="7"/>
      <c r="V101" s="15" t="str">
        <f t="shared" si="5"/>
        <v/>
      </c>
      <c r="W101" s="14"/>
      <c r="X101" s="7"/>
      <c r="Y101" s="15" t="str">
        <f t="shared" si="6"/>
        <v/>
      </c>
      <c r="Z101" s="14"/>
      <c r="AA101" s="7"/>
      <c r="AB101" s="15" t="str">
        <f t="shared" si="7"/>
        <v/>
      </c>
    </row>
    <row r="102" spans="1:28">
      <c r="A102" s="19">
        <v>99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Q102" s="14"/>
      <c r="R102" s="7"/>
      <c r="S102" s="15" t="str">
        <f t="shared" si="4"/>
        <v/>
      </c>
      <c r="T102" s="14"/>
      <c r="U102" s="7"/>
      <c r="V102" s="15" t="str">
        <f t="shared" si="5"/>
        <v/>
      </c>
      <c r="W102" s="14"/>
      <c r="X102" s="7"/>
      <c r="Y102" s="15" t="str">
        <f t="shared" si="6"/>
        <v/>
      </c>
      <c r="Z102" s="14"/>
      <c r="AA102" s="7"/>
      <c r="AB102" s="15" t="str">
        <f t="shared" si="7"/>
        <v/>
      </c>
    </row>
    <row r="103" spans="1:28">
      <c r="A103" s="19">
        <v>100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Q103" s="14"/>
      <c r="R103" s="7"/>
      <c r="S103" s="15" t="str">
        <f t="shared" si="4"/>
        <v/>
      </c>
      <c r="T103" s="14"/>
      <c r="U103" s="7"/>
      <c r="V103" s="15" t="str">
        <f t="shared" si="5"/>
        <v/>
      </c>
      <c r="W103" s="14"/>
      <c r="X103" s="7"/>
      <c r="Y103" s="15" t="str">
        <f t="shared" si="6"/>
        <v/>
      </c>
      <c r="Z103" s="14"/>
      <c r="AA103" s="7"/>
      <c r="AB103" s="15" t="str">
        <f t="shared" si="7"/>
        <v/>
      </c>
    </row>
    <row r="104" spans="1:28">
      <c r="A104" s="19">
        <v>101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Q104" s="14"/>
      <c r="R104" s="7"/>
      <c r="S104" s="15" t="str">
        <f t="shared" si="4"/>
        <v/>
      </c>
      <c r="T104" s="14"/>
      <c r="U104" s="7"/>
      <c r="V104" s="15" t="str">
        <f t="shared" si="5"/>
        <v/>
      </c>
      <c r="W104" s="14"/>
      <c r="X104" s="7"/>
      <c r="Y104" s="15" t="str">
        <f t="shared" si="6"/>
        <v/>
      </c>
      <c r="Z104" s="14"/>
      <c r="AA104" s="7"/>
      <c r="AB104" s="15" t="str">
        <f t="shared" si="7"/>
        <v/>
      </c>
    </row>
    <row r="105" spans="1:28">
      <c r="A105" s="19">
        <v>102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Q105" s="14"/>
      <c r="R105" s="7"/>
      <c r="S105" s="15" t="str">
        <f t="shared" si="4"/>
        <v/>
      </c>
      <c r="T105" s="14"/>
      <c r="U105" s="7"/>
      <c r="V105" s="15" t="str">
        <f t="shared" si="5"/>
        <v/>
      </c>
      <c r="W105" s="14"/>
      <c r="X105" s="7"/>
      <c r="Y105" s="15" t="str">
        <f t="shared" si="6"/>
        <v/>
      </c>
      <c r="Z105" s="14"/>
      <c r="AA105" s="7"/>
      <c r="AB105" s="15" t="str">
        <f t="shared" si="7"/>
        <v/>
      </c>
    </row>
    <row r="106" spans="1:28">
      <c r="A106" s="19">
        <v>103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Q106" s="14"/>
      <c r="R106" s="7"/>
      <c r="S106" s="15" t="str">
        <f t="shared" si="4"/>
        <v/>
      </c>
      <c r="T106" s="14"/>
      <c r="U106" s="7"/>
      <c r="V106" s="15" t="str">
        <f t="shared" si="5"/>
        <v/>
      </c>
      <c r="W106" s="14"/>
      <c r="X106" s="7"/>
      <c r="Y106" s="15" t="str">
        <f t="shared" si="6"/>
        <v/>
      </c>
      <c r="Z106" s="14"/>
      <c r="AA106" s="7"/>
      <c r="AB106" s="15" t="str">
        <f t="shared" si="7"/>
        <v/>
      </c>
    </row>
    <row r="107" spans="1:28">
      <c r="A107" s="19">
        <v>104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Q107" s="14"/>
      <c r="R107" s="7"/>
      <c r="S107" s="15" t="str">
        <f t="shared" si="4"/>
        <v/>
      </c>
      <c r="T107" s="14"/>
      <c r="U107" s="7"/>
      <c r="V107" s="15" t="str">
        <f t="shared" si="5"/>
        <v/>
      </c>
      <c r="W107" s="14"/>
      <c r="X107" s="7"/>
      <c r="Y107" s="15" t="str">
        <f t="shared" si="6"/>
        <v/>
      </c>
      <c r="Z107" s="14"/>
      <c r="AA107" s="7"/>
      <c r="AB107" s="15" t="str">
        <f t="shared" si="7"/>
        <v/>
      </c>
    </row>
    <row r="108" spans="1:28">
      <c r="A108" s="19">
        <v>105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Q108" s="14"/>
      <c r="R108" s="7"/>
      <c r="S108" s="15" t="str">
        <f t="shared" si="4"/>
        <v/>
      </c>
      <c r="T108" s="14"/>
      <c r="U108" s="7"/>
      <c r="V108" s="15" t="str">
        <f t="shared" si="5"/>
        <v/>
      </c>
      <c r="W108" s="14"/>
      <c r="X108" s="7"/>
      <c r="Y108" s="15" t="str">
        <f t="shared" si="6"/>
        <v/>
      </c>
      <c r="Z108" s="14"/>
      <c r="AA108" s="7"/>
      <c r="AB108" s="15" t="str">
        <f t="shared" si="7"/>
        <v/>
      </c>
    </row>
    <row r="109" spans="1:28">
      <c r="A109" s="19">
        <v>106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Q109" s="14"/>
      <c r="R109" s="7"/>
      <c r="S109" s="15" t="str">
        <f t="shared" si="4"/>
        <v/>
      </c>
      <c r="T109" s="14"/>
      <c r="U109" s="7"/>
      <c r="V109" s="15" t="str">
        <f t="shared" si="5"/>
        <v/>
      </c>
      <c r="W109" s="14"/>
      <c r="X109" s="7"/>
      <c r="Y109" s="15" t="str">
        <f t="shared" si="6"/>
        <v/>
      </c>
      <c r="Z109" s="14"/>
      <c r="AA109" s="7"/>
      <c r="AB109" s="15" t="str">
        <f t="shared" si="7"/>
        <v/>
      </c>
    </row>
    <row r="110" spans="1:28">
      <c r="A110" s="19">
        <v>107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Q110" s="14"/>
      <c r="R110" s="7"/>
      <c r="S110" s="15" t="str">
        <f t="shared" si="4"/>
        <v/>
      </c>
      <c r="T110" s="14"/>
      <c r="U110" s="7"/>
      <c r="V110" s="15" t="str">
        <f t="shared" si="5"/>
        <v/>
      </c>
      <c r="W110" s="14"/>
      <c r="X110" s="7"/>
      <c r="Y110" s="15" t="str">
        <f t="shared" si="6"/>
        <v/>
      </c>
      <c r="Z110" s="14"/>
      <c r="AA110" s="7"/>
      <c r="AB110" s="15" t="str">
        <f t="shared" si="7"/>
        <v/>
      </c>
    </row>
    <row r="111" spans="1:28">
      <c r="A111" s="19">
        <v>108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Q111" s="14"/>
      <c r="R111" s="7"/>
      <c r="S111" s="15" t="str">
        <f t="shared" si="4"/>
        <v/>
      </c>
      <c r="T111" s="14"/>
      <c r="U111" s="7"/>
      <c r="V111" s="15" t="str">
        <f t="shared" si="5"/>
        <v/>
      </c>
      <c r="W111" s="14"/>
      <c r="X111" s="7"/>
      <c r="Y111" s="15" t="str">
        <f t="shared" si="6"/>
        <v/>
      </c>
      <c r="Z111" s="14"/>
      <c r="AA111" s="7"/>
      <c r="AB111" s="15" t="str">
        <f t="shared" si="7"/>
        <v/>
      </c>
    </row>
    <row r="112" spans="1:28">
      <c r="A112" s="19">
        <v>109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Q112" s="14"/>
      <c r="R112" s="7"/>
      <c r="S112" s="15" t="str">
        <f t="shared" si="4"/>
        <v/>
      </c>
      <c r="T112" s="14"/>
      <c r="U112" s="7"/>
      <c r="V112" s="15" t="str">
        <f t="shared" si="5"/>
        <v/>
      </c>
      <c r="W112" s="14"/>
      <c r="X112" s="7"/>
      <c r="Y112" s="15" t="str">
        <f t="shared" si="6"/>
        <v/>
      </c>
      <c r="Z112" s="14"/>
      <c r="AA112" s="7"/>
      <c r="AB112" s="15" t="str">
        <f t="shared" si="7"/>
        <v/>
      </c>
    </row>
    <row r="113" spans="1:28">
      <c r="A113" s="19">
        <v>110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Q113" s="14"/>
      <c r="R113" s="7"/>
      <c r="S113" s="15" t="str">
        <f t="shared" si="4"/>
        <v/>
      </c>
      <c r="T113" s="14"/>
      <c r="U113" s="7"/>
      <c r="V113" s="15" t="str">
        <f t="shared" si="5"/>
        <v/>
      </c>
      <c r="W113" s="14"/>
      <c r="X113" s="7"/>
      <c r="Y113" s="15" t="str">
        <f t="shared" si="6"/>
        <v/>
      </c>
      <c r="Z113" s="14"/>
      <c r="AA113" s="7"/>
      <c r="AB113" s="15" t="str">
        <f t="shared" si="7"/>
        <v/>
      </c>
    </row>
    <row r="114" spans="1:28">
      <c r="A114" s="19">
        <v>111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Q114" s="14"/>
      <c r="R114" s="7"/>
      <c r="S114" s="15" t="str">
        <f t="shared" si="4"/>
        <v/>
      </c>
      <c r="T114" s="14"/>
      <c r="U114" s="7"/>
      <c r="V114" s="15" t="str">
        <f t="shared" si="5"/>
        <v/>
      </c>
      <c r="W114" s="14"/>
      <c r="X114" s="7"/>
      <c r="Y114" s="15" t="str">
        <f t="shared" si="6"/>
        <v/>
      </c>
      <c r="Z114" s="14"/>
      <c r="AA114" s="7"/>
      <c r="AB114" s="15" t="str">
        <f t="shared" si="7"/>
        <v/>
      </c>
    </row>
    <row r="115" spans="1:28">
      <c r="A115" s="19">
        <v>112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Q115" s="14"/>
      <c r="R115" s="7"/>
      <c r="S115" s="15" t="str">
        <f t="shared" si="4"/>
        <v/>
      </c>
      <c r="T115" s="14"/>
      <c r="U115" s="7"/>
      <c r="V115" s="15" t="str">
        <f t="shared" si="5"/>
        <v/>
      </c>
      <c r="W115" s="14"/>
      <c r="X115" s="7"/>
      <c r="Y115" s="15" t="str">
        <f t="shared" si="6"/>
        <v/>
      </c>
      <c r="Z115" s="14"/>
      <c r="AA115" s="7"/>
      <c r="AB115" s="15" t="str">
        <f t="shared" si="7"/>
        <v/>
      </c>
    </row>
    <row r="116" spans="1:28">
      <c r="A116" s="19">
        <v>113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Q116" s="14"/>
      <c r="R116" s="7"/>
      <c r="S116" s="15" t="str">
        <f t="shared" si="4"/>
        <v/>
      </c>
      <c r="T116" s="14"/>
      <c r="U116" s="7"/>
      <c r="V116" s="15" t="str">
        <f t="shared" si="5"/>
        <v/>
      </c>
      <c r="W116" s="14"/>
      <c r="X116" s="7"/>
      <c r="Y116" s="15" t="str">
        <f t="shared" si="6"/>
        <v/>
      </c>
      <c r="Z116" s="14"/>
      <c r="AA116" s="7"/>
      <c r="AB116" s="15" t="str">
        <f t="shared" si="7"/>
        <v/>
      </c>
    </row>
    <row r="117" spans="1:28">
      <c r="A117" s="19">
        <v>114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Q117" s="14"/>
      <c r="R117" s="7"/>
      <c r="S117" s="15" t="str">
        <f t="shared" si="4"/>
        <v/>
      </c>
      <c r="T117" s="14"/>
      <c r="U117" s="7"/>
      <c r="V117" s="15" t="str">
        <f t="shared" si="5"/>
        <v/>
      </c>
      <c r="W117" s="14"/>
      <c r="X117" s="7"/>
      <c r="Y117" s="15" t="str">
        <f t="shared" si="6"/>
        <v/>
      </c>
      <c r="Z117" s="14"/>
      <c r="AA117" s="7"/>
      <c r="AB117" s="15" t="str">
        <f t="shared" si="7"/>
        <v/>
      </c>
    </row>
    <row r="118" spans="1:28">
      <c r="A118" s="19">
        <v>115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Q118" s="14"/>
      <c r="R118" s="7"/>
      <c r="S118" s="15" t="str">
        <f t="shared" si="4"/>
        <v/>
      </c>
      <c r="T118" s="14"/>
      <c r="U118" s="7"/>
      <c r="V118" s="15" t="str">
        <f t="shared" si="5"/>
        <v/>
      </c>
      <c r="W118" s="14"/>
      <c r="X118" s="7"/>
      <c r="Y118" s="15" t="str">
        <f t="shared" si="6"/>
        <v/>
      </c>
      <c r="Z118" s="14"/>
      <c r="AA118" s="7"/>
      <c r="AB118" s="15" t="str">
        <f t="shared" si="7"/>
        <v/>
      </c>
    </row>
    <row r="119" spans="1:28">
      <c r="A119" s="19">
        <v>116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Q119" s="14"/>
      <c r="R119" s="7"/>
      <c r="S119" s="15" t="str">
        <f t="shared" si="4"/>
        <v/>
      </c>
      <c r="T119" s="14"/>
      <c r="U119" s="7"/>
      <c r="V119" s="15" t="str">
        <f t="shared" si="5"/>
        <v/>
      </c>
      <c r="W119" s="14"/>
      <c r="X119" s="7"/>
      <c r="Y119" s="15" t="str">
        <f t="shared" si="6"/>
        <v/>
      </c>
      <c r="Z119" s="14"/>
      <c r="AA119" s="7"/>
      <c r="AB119" s="15" t="str">
        <f t="shared" si="7"/>
        <v/>
      </c>
    </row>
    <row r="120" spans="1:28">
      <c r="A120" s="19">
        <v>117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Q120" s="14"/>
      <c r="R120" s="7"/>
      <c r="S120" s="15" t="str">
        <f t="shared" si="4"/>
        <v/>
      </c>
      <c r="T120" s="14"/>
      <c r="U120" s="7"/>
      <c r="V120" s="15" t="str">
        <f t="shared" si="5"/>
        <v/>
      </c>
      <c r="W120" s="14"/>
      <c r="X120" s="7"/>
      <c r="Y120" s="15" t="str">
        <f t="shared" si="6"/>
        <v/>
      </c>
      <c r="Z120" s="14"/>
      <c r="AA120" s="7"/>
      <c r="AB120" s="15" t="str">
        <f t="shared" si="7"/>
        <v/>
      </c>
    </row>
    <row r="121" spans="1:28">
      <c r="A121" s="19">
        <v>118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Q121" s="14"/>
      <c r="R121" s="7"/>
      <c r="S121" s="15" t="str">
        <f t="shared" si="4"/>
        <v/>
      </c>
      <c r="T121" s="14"/>
      <c r="U121" s="7"/>
      <c r="V121" s="15" t="str">
        <f t="shared" si="5"/>
        <v/>
      </c>
      <c r="W121" s="14"/>
      <c r="X121" s="7"/>
      <c r="Y121" s="15" t="str">
        <f t="shared" si="6"/>
        <v/>
      </c>
      <c r="Z121" s="14"/>
      <c r="AA121" s="7"/>
      <c r="AB121" s="15" t="str">
        <f t="shared" si="7"/>
        <v/>
      </c>
    </row>
    <row r="122" spans="1:28">
      <c r="A122" s="19">
        <v>119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Q122" s="14"/>
      <c r="R122" s="7"/>
      <c r="S122" s="15" t="str">
        <f t="shared" si="4"/>
        <v/>
      </c>
      <c r="T122" s="14"/>
      <c r="U122" s="7"/>
      <c r="V122" s="15" t="str">
        <f t="shared" si="5"/>
        <v/>
      </c>
      <c r="W122" s="14"/>
      <c r="X122" s="7"/>
      <c r="Y122" s="15" t="str">
        <f t="shared" si="6"/>
        <v/>
      </c>
      <c r="Z122" s="14"/>
      <c r="AA122" s="7"/>
      <c r="AB122" s="15" t="str">
        <f t="shared" si="7"/>
        <v/>
      </c>
    </row>
    <row r="123" spans="1:28">
      <c r="A123" s="19">
        <v>120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Q123" s="14"/>
      <c r="R123" s="7"/>
      <c r="S123" s="15" t="str">
        <f t="shared" si="4"/>
        <v/>
      </c>
      <c r="T123" s="14"/>
      <c r="U123" s="7"/>
      <c r="V123" s="15" t="str">
        <f t="shared" si="5"/>
        <v/>
      </c>
      <c r="W123" s="14"/>
      <c r="X123" s="7"/>
      <c r="Y123" s="15" t="str">
        <f t="shared" si="6"/>
        <v/>
      </c>
      <c r="Z123" s="14"/>
      <c r="AA123" s="7"/>
      <c r="AB123" s="15" t="str">
        <f t="shared" si="7"/>
        <v/>
      </c>
    </row>
    <row r="124" spans="1:28">
      <c r="A124" s="19">
        <v>121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Q124" s="14"/>
      <c r="R124" s="7"/>
      <c r="S124" s="15" t="str">
        <f t="shared" si="4"/>
        <v/>
      </c>
      <c r="T124" s="14"/>
      <c r="U124" s="7"/>
      <c r="V124" s="15" t="str">
        <f t="shared" si="5"/>
        <v/>
      </c>
      <c r="W124" s="14"/>
      <c r="X124" s="7"/>
      <c r="Y124" s="15" t="str">
        <f t="shared" si="6"/>
        <v/>
      </c>
      <c r="Z124" s="14"/>
      <c r="AA124" s="7"/>
      <c r="AB124" s="15" t="str">
        <f t="shared" si="7"/>
        <v/>
      </c>
    </row>
    <row r="125" spans="1:28">
      <c r="A125" s="19">
        <v>122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Q125" s="14"/>
      <c r="R125" s="7"/>
      <c r="S125" s="15" t="str">
        <f t="shared" si="4"/>
        <v/>
      </c>
      <c r="T125" s="14"/>
      <c r="U125" s="7"/>
      <c r="V125" s="15" t="str">
        <f t="shared" si="5"/>
        <v/>
      </c>
      <c r="W125" s="14"/>
      <c r="X125" s="7"/>
      <c r="Y125" s="15" t="str">
        <f t="shared" si="6"/>
        <v/>
      </c>
      <c r="Z125" s="14"/>
      <c r="AA125" s="7"/>
      <c r="AB125" s="15" t="str">
        <f t="shared" si="7"/>
        <v/>
      </c>
    </row>
    <row r="126" spans="1:28">
      <c r="A126" s="19">
        <v>123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Q126" s="14"/>
      <c r="R126" s="7"/>
      <c r="S126" s="15" t="str">
        <f t="shared" si="4"/>
        <v/>
      </c>
      <c r="T126" s="14"/>
      <c r="U126" s="7"/>
      <c r="V126" s="15" t="str">
        <f t="shared" si="5"/>
        <v/>
      </c>
      <c r="W126" s="14"/>
      <c r="X126" s="7"/>
      <c r="Y126" s="15" t="str">
        <f t="shared" si="6"/>
        <v/>
      </c>
      <c r="Z126" s="14"/>
      <c r="AA126" s="7"/>
      <c r="AB126" s="15" t="str">
        <f t="shared" si="7"/>
        <v/>
      </c>
    </row>
    <row r="127" spans="1:28">
      <c r="A127" s="19">
        <v>124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Q127" s="14"/>
      <c r="R127" s="7"/>
      <c r="S127" s="15" t="str">
        <f t="shared" si="4"/>
        <v/>
      </c>
      <c r="T127" s="14"/>
      <c r="U127" s="7"/>
      <c r="V127" s="15" t="str">
        <f t="shared" si="5"/>
        <v/>
      </c>
      <c r="W127" s="14"/>
      <c r="X127" s="7"/>
      <c r="Y127" s="15" t="str">
        <f t="shared" si="6"/>
        <v/>
      </c>
      <c r="Z127" s="14"/>
      <c r="AA127" s="7"/>
      <c r="AB127" s="15" t="str">
        <f t="shared" si="7"/>
        <v/>
      </c>
    </row>
    <row r="128" spans="1:28">
      <c r="A128" s="19">
        <v>125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Q128" s="14"/>
      <c r="R128" s="7"/>
      <c r="S128" s="15" t="str">
        <f t="shared" si="4"/>
        <v/>
      </c>
      <c r="T128" s="14"/>
      <c r="U128" s="7"/>
      <c r="V128" s="15" t="str">
        <f t="shared" si="5"/>
        <v/>
      </c>
      <c r="W128" s="14"/>
      <c r="X128" s="7"/>
      <c r="Y128" s="15" t="str">
        <f t="shared" si="6"/>
        <v/>
      </c>
      <c r="Z128" s="14"/>
      <c r="AA128" s="7"/>
      <c r="AB128" s="15" t="str">
        <f t="shared" si="7"/>
        <v/>
      </c>
    </row>
    <row r="129" spans="1:28">
      <c r="A129" s="19">
        <v>126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Q129" s="14"/>
      <c r="R129" s="7"/>
      <c r="S129" s="15" t="str">
        <f t="shared" si="4"/>
        <v/>
      </c>
      <c r="T129" s="14"/>
      <c r="U129" s="7"/>
      <c r="V129" s="15" t="str">
        <f t="shared" si="5"/>
        <v/>
      </c>
      <c r="W129" s="14"/>
      <c r="X129" s="7"/>
      <c r="Y129" s="15" t="str">
        <f t="shared" si="6"/>
        <v/>
      </c>
      <c r="Z129" s="14"/>
      <c r="AA129" s="7"/>
      <c r="AB129" s="15" t="str">
        <f t="shared" si="7"/>
        <v/>
      </c>
    </row>
    <row r="130" spans="1:28">
      <c r="A130" s="19">
        <v>127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Q130" s="14"/>
      <c r="R130" s="7"/>
      <c r="S130" s="15" t="str">
        <f t="shared" si="4"/>
        <v/>
      </c>
      <c r="T130" s="14"/>
      <c r="U130" s="7"/>
      <c r="V130" s="15" t="str">
        <f t="shared" si="5"/>
        <v/>
      </c>
      <c r="W130" s="14"/>
      <c r="X130" s="7"/>
      <c r="Y130" s="15" t="str">
        <f t="shared" si="6"/>
        <v/>
      </c>
      <c r="Z130" s="14"/>
      <c r="AA130" s="7"/>
      <c r="AB130" s="15" t="str">
        <f t="shared" si="7"/>
        <v/>
      </c>
    </row>
    <row r="131" spans="1:28">
      <c r="A131" s="19">
        <v>128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Q131" s="14"/>
      <c r="R131" s="7"/>
      <c r="S131" s="15" t="str">
        <f t="shared" si="4"/>
        <v/>
      </c>
      <c r="T131" s="14"/>
      <c r="U131" s="7"/>
      <c r="V131" s="15" t="str">
        <f t="shared" si="5"/>
        <v/>
      </c>
      <c r="W131" s="14"/>
      <c r="X131" s="7"/>
      <c r="Y131" s="15" t="str">
        <f t="shared" si="6"/>
        <v/>
      </c>
      <c r="Z131" s="14"/>
      <c r="AA131" s="7"/>
      <c r="AB131" s="15" t="str">
        <f t="shared" si="7"/>
        <v/>
      </c>
    </row>
    <row r="132" spans="1:28">
      <c r="A132" s="19">
        <v>129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Q132" s="14"/>
      <c r="R132" s="7"/>
      <c r="S132" s="15" t="str">
        <f t="shared" si="4"/>
        <v/>
      </c>
      <c r="T132" s="14"/>
      <c r="U132" s="7"/>
      <c r="V132" s="15" t="str">
        <f t="shared" si="5"/>
        <v/>
      </c>
      <c r="W132" s="14"/>
      <c r="X132" s="7"/>
      <c r="Y132" s="15" t="str">
        <f t="shared" si="6"/>
        <v/>
      </c>
      <c r="Z132" s="14"/>
      <c r="AA132" s="7"/>
      <c r="AB132" s="15" t="str">
        <f t="shared" si="7"/>
        <v/>
      </c>
    </row>
    <row r="133" spans="1:28">
      <c r="A133" s="19">
        <v>130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Q133" s="14"/>
      <c r="R133" s="7"/>
      <c r="S133" s="15" t="str">
        <f t="shared" ref="S133:S196" si="8">IF(OR($H133="",Q133=""),"",Q133+(R133/$H133))</f>
        <v/>
      </c>
      <c r="T133" s="14"/>
      <c r="U133" s="7"/>
      <c r="V133" s="15" t="str">
        <f t="shared" ref="V133:V196" si="9">IF(OR($H133="",T133=""),"",T133+(U133/$H133))</f>
        <v/>
      </c>
      <c r="W133" s="14"/>
      <c r="X133" s="7"/>
      <c r="Y133" s="15" t="str">
        <f t="shared" ref="Y133:Y196" si="10">IF(OR($H133="",W133=""),"",W133+(X133/$H133))</f>
        <v/>
      </c>
      <c r="Z133" s="14"/>
      <c r="AA133" s="7"/>
      <c r="AB133" s="15" t="str">
        <f t="shared" ref="AB133:AB196" si="11">IF(OR($H133="",Z133=""),"",Z133+(AA133/$H133))</f>
        <v/>
      </c>
    </row>
    <row r="134" spans="1:28">
      <c r="A134" s="19">
        <v>131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Q134" s="14"/>
      <c r="R134" s="7"/>
      <c r="S134" s="15" t="str">
        <f t="shared" si="8"/>
        <v/>
      </c>
      <c r="T134" s="14"/>
      <c r="U134" s="7"/>
      <c r="V134" s="15" t="str">
        <f t="shared" si="9"/>
        <v/>
      </c>
      <c r="W134" s="14"/>
      <c r="X134" s="7"/>
      <c r="Y134" s="15" t="str">
        <f t="shared" si="10"/>
        <v/>
      </c>
      <c r="Z134" s="14"/>
      <c r="AA134" s="7"/>
      <c r="AB134" s="15" t="str">
        <f t="shared" si="11"/>
        <v/>
      </c>
    </row>
    <row r="135" spans="1:28">
      <c r="A135" s="19">
        <v>132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Q135" s="14"/>
      <c r="R135" s="7"/>
      <c r="S135" s="15" t="str">
        <f t="shared" si="8"/>
        <v/>
      </c>
      <c r="T135" s="14"/>
      <c r="U135" s="7"/>
      <c r="V135" s="15" t="str">
        <f t="shared" si="9"/>
        <v/>
      </c>
      <c r="W135" s="14"/>
      <c r="X135" s="7"/>
      <c r="Y135" s="15" t="str">
        <f t="shared" si="10"/>
        <v/>
      </c>
      <c r="Z135" s="14"/>
      <c r="AA135" s="7"/>
      <c r="AB135" s="15" t="str">
        <f t="shared" si="11"/>
        <v/>
      </c>
    </row>
    <row r="136" spans="1:28">
      <c r="A136" s="19">
        <v>133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Q136" s="14"/>
      <c r="R136" s="7"/>
      <c r="S136" s="15" t="str">
        <f t="shared" si="8"/>
        <v/>
      </c>
      <c r="T136" s="14"/>
      <c r="U136" s="7"/>
      <c r="V136" s="15" t="str">
        <f t="shared" si="9"/>
        <v/>
      </c>
      <c r="W136" s="14"/>
      <c r="X136" s="7"/>
      <c r="Y136" s="15" t="str">
        <f t="shared" si="10"/>
        <v/>
      </c>
      <c r="Z136" s="14"/>
      <c r="AA136" s="7"/>
      <c r="AB136" s="15" t="str">
        <f t="shared" si="11"/>
        <v/>
      </c>
    </row>
    <row r="137" spans="1:28">
      <c r="A137" s="19">
        <v>134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Q137" s="14"/>
      <c r="R137" s="7"/>
      <c r="S137" s="15" t="str">
        <f t="shared" si="8"/>
        <v/>
      </c>
      <c r="T137" s="14"/>
      <c r="U137" s="7"/>
      <c r="V137" s="15" t="str">
        <f t="shared" si="9"/>
        <v/>
      </c>
      <c r="W137" s="14"/>
      <c r="X137" s="7"/>
      <c r="Y137" s="15" t="str">
        <f t="shared" si="10"/>
        <v/>
      </c>
      <c r="Z137" s="14"/>
      <c r="AA137" s="7"/>
      <c r="AB137" s="15" t="str">
        <f t="shared" si="11"/>
        <v/>
      </c>
    </row>
    <row r="138" spans="1:28">
      <c r="A138" s="19">
        <v>135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Q138" s="14"/>
      <c r="R138" s="7"/>
      <c r="S138" s="15" t="str">
        <f t="shared" si="8"/>
        <v/>
      </c>
      <c r="T138" s="14"/>
      <c r="U138" s="7"/>
      <c r="V138" s="15" t="str">
        <f t="shared" si="9"/>
        <v/>
      </c>
      <c r="W138" s="14"/>
      <c r="X138" s="7"/>
      <c r="Y138" s="15" t="str">
        <f t="shared" si="10"/>
        <v/>
      </c>
      <c r="Z138" s="14"/>
      <c r="AA138" s="7"/>
      <c r="AB138" s="15" t="str">
        <f t="shared" si="11"/>
        <v/>
      </c>
    </row>
    <row r="139" spans="1:28">
      <c r="A139" s="19">
        <v>136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Q139" s="14"/>
      <c r="R139" s="7"/>
      <c r="S139" s="15" t="str">
        <f t="shared" si="8"/>
        <v/>
      </c>
      <c r="T139" s="14"/>
      <c r="U139" s="7"/>
      <c r="V139" s="15" t="str">
        <f t="shared" si="9"/>
        <v/>
      </c>
      <c r="W139" s="14"/>
      <c r="X139" s="7"/>
      <c r="Y139" s="15" t="str">
        <f t="shared" si="10"/>
        <v/>
      </c>
      <c r="Z139" s="14"/>
      <c r="AA139" s="7"/>
      <c r="AB139" s="15" t="str">
        <f t="shared" si="11"/>
        <v/>
      </c>
    </row>
    <row r="140" spans="1:28">
      <c r="A140" s="19">
        <v>137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Q140" s="14"/>
      <c r="R140" s="7"/>
      <c r="S140" s="15" t="str">
        <f t="shared" si="8"/>
        <v/>
      </c>
      <c r="T140" s="14"/>
      <c r="U140" s="7"/>
      <c r="V140" s="15" t="str">
        <f t="shared" si="9"/>
        <v/>
      </c>
      <c r="W140" s="14"/>
      <c r="X140" s="7"/>
      <c r="Y140" s="15" t="str">
        <f t="shared" si="10"/>
        <v/>
      </c>
      <c r="Z140" s="14"/>
      <c r="AA140" s="7"/>
      <c r="AB140" s="15" t="str">
        <f t="shared" si="11"/>
        <v/>
      </c>
    </row>
    <row r="141" spans="1:28">
      <c r="A141" s="19">
        <v>138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Q141" s="14"/>
      <c r="R141" s="7"/>
      <c r="S141" s="15" t="str">
        <f t="shared" si="8"/>
        <v/>
      </c>
      <c r="T141" s="14"/>
      <c r="U141" s="7"/>
      <c r="V141" s="15" t="str">
        <f t="shared" si="9"/>
        <v/>
      </c>
      <c r="W141" s="14"/>
      <c r="X141" s="7"/>
      <c r="Y141" s="15" t="str">
        <f t="shared" si="10"/>
        <v/>
      </c>
      <c r="Z141" s="14"/>
      <c r="AA141" s="7"/>
      <c r="AB141" s="15" t="str">
        <f t="shared" si="11"/>
        <v/>
      </c>
    </row>
    <row r="142" spans="1:28">
      <c r="A142" s="19">
        <v>139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Q142" s="14"/>
      <c r="R142" s="7"/>
      <c r="S142" s="15" t="str">
        <f t="shared" si="8"/>
        <v/>
      </c>
      <c r="T142" s="14"/>
      <c r="U142" s="7"/>
      <c r="V142" s="15" t="str">
        <f t="shared" si="9"/>
        <v/>
      </c>
      <c r="W142" s="14"/>
      <c r="X142" s="7"/>
      <c r="Y142" s="15" t="str">
        <f t="shared" si="10"/>
        <v/>
      </c>
      <c r="Z142" s="14"/>
      <c r="AA142" s="7"/>
      <c r="AB142" s="15" t="str">
        <f t="shared" si="11"/>
        <v/>
      </c>
    </row>
    <row r="143" spans="1:28">
      <c r="A143" s="19">
        <v>140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Q143" s="14"/>
      <c r="R143" s="7"/>
      <c r="S143" s="15" t="str">
        <f t="shared" si="8"/>
        <v/>
      </c>
      <c r="T143" s="14"/>
      <c r="U143" s="7"/>
      <c r="V143" s="15" t="str">
        <f t="shared" si="9"/>
        <v/>
      </c>
      <c r="W143" s="14"/>
      <c r="X143" s="7"/>
      <c r="Y143" s="15" t="str">
        <f t="shared" si="10"/>
        <v/>
      </c>
      <c r="Z143" s="14"/>
      <c r="AA143" s="7"/>
      <c r="AB143" s="15" t="str">
        <f t="shared" si="11"/>
        <v/>
      </c>
    </row>
    <row r="144" spans="1:28">
      <c r="A144" s="19">
        <v>141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Q144" s="14"/>
      <c r="R144" s="7"/>
      <c r="S144" s="15" t="str">
        <f t="shared" si="8"/>
        <v/>
      </c>
      <c r="T144" s="14"/>
      <c r="U144" s="7"/>
      <c r="V144" s="15" t="str">
        <f t="shared" si="9"/>
        <v/>
      </c>
      <c r="W144" s="14"/>
      <c r="X144" s="7"/>
      <c r="Y144" s="15" t="str">
        <f t="shared" si="10"/>
        <v/>
      </c>
      <c r="Z144" s="14"/>
      <c r="AA144" s="7"/>
      <c r="AB144" s="15" t="str">
        <f t="shared" si="11"/>
        <v/>
      </c>
    </row>
    <row r="145" spans="1:28">
      <c r="A145" s="19">
        <v>142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Q145" s="14"/>
      <c r="R145" s="7"/>
      <c r="S145" s="15" t="str">
        <f t="shared" si="8"/>
        <v/>
      </c>
      <c r="T145" s="14"/>
      <c r="U145" s="7"/>
      <c r="V145" s="15" t="str">
        <f t="shared" si="9"/>
        <v/>
      </c>
      <c r="W145" s="14"/>
      <c r="X145" s="7"/>
      <c r="Y145" s="15" t="str">
        <f t="shared" si="10"/>
        <v/>
      </c>
      <c r="Z145" s="14"/>
      <c r="AA145" s="7"/>
      <c r="AB145" s="15" t="str">
        <f t="shared" si="11"/>
        <v/>
      </c>
    </row>
    <row r="146" spans="1:28">
      <c r="A146" s="19">
        <v>143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Q146" s="14"/>
      <c r="R146" s="7"/>
      <c r="S146" s="15" t="str">
        <f t="shared" si="8"/>
        <v/>
      </c>
      <c r="T146" s="14"/>
      <c r="U146" s="7"/>
      <c r="V146" s="15" t="str">
        <f t="shared" si="9"/>
        <v/>
      </c>
      <c r="W146" s="14"/>
      <c r="X146" s="7"/>
      <c r="Y146" s="15" t="str">
        <f t="shared" si="10"/>
        <v/>
      </c>
      <c r="Z146" s="14"/>
      <c r="AA146" s="7"/>
      <c r="AB146" s="15" t="str">
        <f t="shared" si="11"/>
        <v/>
      </c>
    </row>
    <row r="147" spans="1:28">
      <c r="A147" s="19">
        <v>144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Q147" s="14"/>
      <c r="R147" s="7"/>
      <c r="S147" s="15" t="str">
        <f t="shared" si="8"/>
        <v/>
      </c>
      <c r="T147" s="14"/>
      <c r="U147" s="7"/>
      <c r="V147" s="15" t="str">
        <f t="shared" si="9"/>
        <v/>
      </c>
      <c r="W147" s="14"/>
      <c r="X147" s="7"/>
      <c r="Y147" s="15" t="str">
        <f t="shared" si="10"/>
        <v/>
      </c>
      <c r="Z147" s="14"/>
      <c r="AA147" s="7"/>
      <c r="AB147" s="15" t="str">
        <f t="shared" si="11"/>
        <v/>
      </c>
    </row>
    <row r="148" spans="1:28">
      <c r="A148" s="19">
        <v>145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Q148" s="14"/>
      <c r="R148" s="7"/>
      <c r="S148" s="15" t="str">
        <f t="shared" si="8"/>
        <v/>
      </c>
      <c r="T148" s="14"/>
      <c r="U148" s="7"/>
      <c r="V148" s="15" t="str">
        <f t="shared" si="9"/>
        <v/>
      </c>
      <c r="W148" s="14"/>
      <c r="X148" s="7"/>
      <c r="Y148" s="15" t="str">
        <f t="shared" si="10"/>
        <v/>
      </c>
      <c r="Z148" s="14"/>
      <c r="AA148" s="7"/>
      <c r="AB148" s="15" t="str">
        <f t="shared" si="11"/>
        <v/>
      </c>
    </row>
    <row r="149" spans="1:28">
      <c r="A149" s="19">
        <v>146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Q149" s="14"/>
      <c r="R149" s="7"/>
      <c r="S149" s="15" t="str">
        <f t="shared" si="8"/>
        <v/>
      </c>
      <c r="T149" s="14"/>
      <c r="U149" s="7"/>
      <c r="V149" s="15" t="str">
        <f t="shared" si="9"/>
        <v/>
      </c>
      <c r="W149" s="14"/>
      <c r="X149" s="7"/>
      <c r="Y149" s="15" t="str">
        <f t="shared" si="10"/>
        <v/>
      </c>
      <c r="Z149" s="14"/>
      <c r="AA149" s="7"/>
      <c r="AB149" s="15" t="str">
        <f t="shared" si="11"/>
        <v/>
      </c>
    </row>
    <row r="150" spans="1:28">
      <c r="A150" s="19">
        <v>147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Q150" s="14"/>
      <c r="R150" s="7"/>
      <c r="S150" s="15" t="str">
        <f t="shared" si="8"/>
        <v/>
      </c>
      <c r="T150" s="14"/>
      <c r="U150" s="7"/>
      <c r="V150" s="15" t="str">
        <f t="shared" si="9"/>
        <v/>
      </c>
      <c r="W150" s="14"/>
      <c r="X150" s="7"/>
      <c r="Y150" s="15" t="str">
        <f t="shared" si="10"/>
        <v/>
      </c>
      <c r="Z150" s="14"/>
      <c r="AA150" s="7"/>
      <c r="AB150" s="15" t="str">
        <f t="shared" si="11"/>
        <v/>
      </c>
    </row>
    <row r="151" spans="1:28">
      <c r="A151" s="19">
        <v>148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Q151" s="14"/>
      <c r="R151" s="7"/>
      <c r="S151" s="15" t="str">
        <f t="shared" si="8"/>
        <v/>
      </c>
      <c r="T151" s="14"/>
      <c r="U151" s="7"/>
      <c r="V151" s="15" t="str">
        <f t="shared" si="9"/>
        <v/>
      </c>
      <c r="W151" s="14"/>
      <c r="X151" s="7"/>
      <c r="Y151" s="15" t="str">
        <f t="shared" si="10"/>
        <v/>
      </c>
      <c r="Z151" s="14"/>
      <c r="AA151" s="7"/>
      <c r="AB151" s="15" t="str">
        <f t="shared" si="11"/>
        <v/>
      </c>
    </row>
    <row r="152" spans="1:28">
      <c r="A152" s="19">
        <v>149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Q152" s="14"/>
      <c r="R152" s="7"/>
      <c r="S152" s="15" t="str">
        <f t="shared" si="8"/>
        <v/>
      </c>
      <c r="T152" s="14"/>
      <c r="U152" s="7"/>
      <c r="V152" s="15" t="str">
        <f t="shared" si="9"/>
        <v/>
      </c>
      <c r="W152" s="14"/>
      <c r="X152" s="7"/>
      <c r="Y152" s="15" t="str">
        <f t="shared" si="10"/>
        <v/>
      </c>
      <c r="Z152" s="14"/>
      <c r="AA152" s="7"/>
      <c r="AB152" s="15" t="str">
        <f t="shared" si="11"/>
        <v/>
      </c>
    </row>
    <row r="153" spans="1:28">
      <c r="A153" s="19">
        <v>150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Q153" s="14"/>
      <c r="R153" s="7"/>
      <c r="S153" s="15" t="str">
        <f t="shared" si="8"/>
        <v/>
      </c>
      <c r="T153" s="14"/>
      <c r="U153" s="7"/>
      <c r="V153" s="15" t="str">
        <f t="shared" si="9"/>
        <v/>
      </c>
      <c r="W153" s="14"/>
      <c r="X153" s="7"/>
      <c r="Y153" s="15" t="str">
        <f t="shared" si="10"/>
        <v/>
      </c>
      <c r="Z153" s="14"/>
      <c r="AA153" s="7"/>
      <c r="AB153" s="15" t="str">
        <f t="shared" si="11"/>
        <v/>
      </c>
    </row>
    <row r="154" spans="1:28">
      <c r="A154" s="19">
        <v>151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Q154" s="14"/>
      <c r="R154" s="7"/>
      <c r="S154" s="15" t="str">
        <f t="shared" si="8"/>
        <v/>
      </c>
      <c r="T154" s="14"/>
      <c r="U154" s="7"/>
      <c r="V154" s="15" t="str">
        <f t="shared" si="9"/>
        <v/>
      </c>
      <c r="W154" s="14"/>
      <c r="X154" s="7"/>
      <c r="Y154" s="15" t="str">
        <f t="shared" si="10"/>
        <v/>
      </c>
      <c r="Z154" s="14"/>
      <c r="AA154" s="7"/>
      <c r="AB154" s="15" t="str">
        <f t="shared" si="11"/>
        <v/>
      </c>
    </row>
    <row r="155" spans="1:28">
      <c r="A155" s="19">
        <v>152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Q155" s="14"/>
      <c r="R155" s="7"/>
      <c r="S155" s="15" t="str">
        <f t="shared" si="8"/>
        <v/>
      </c>
      <c r="T155" s="14"/>
      <c r="U155" s="7"/>
      <c r="V155" s="15" t="str">
        <f t="shared" si="9"/>
        <v/>
      </c>
      <c r="W155" s="14"/>
      <c r="X155" s="7"/>
      <c r="Y155" s="15" t="str">
        <f t="shared" si="10"/>
        <v/>
      </c>
      <c r="Z155" s="14"/>
      <c r="AA155" s="7"/>
      <c r="AB155" s="15" t="str">
        <f t="shared" si="11"/>
        <v/>
      </c>
    </row>
    <row r="156" spans="1:28">
      <c r="A156" s="19">
        <v>153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Q156" s="14"/>
      <c r="R156" s="7"/>
      <c r="S156" s="15" t="str">
        <f t="shared" si="8"/>
        <v/>
      </c>
      <c r="T156" s="14"/>
      <c r="U156" s="7"/>
      <c r="V156" s="15" t="str">
        <f t="shared" si="9"/>
        <v/>
      </c>
      <c r="W156" s="14"/>
      <c r="X156" s="7"/>
      <c r="Y156" s="15" t="str">
        <f t="shared" si="10"/>
        <v/>
      </c>
      <c r="Z156" s="14"/>
      <c r="AA156" s="7"/>
      <c r="AB156" s="15" t="str">
        <f t="shared" si="11"/>
        <v/>
      </c>
    </row>
    <row r="157" spans="1:28">
      <c r="A157" s="19">
        <v>154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Q157" s="14"/>
      <c r="R157" s="7"/>
      <c r="S157" s="15" t="str">
        <f t="shared" si="8"/>
        <v/>
      </c>
      <c r="T157" s="14"/>
      <c r="U157" s="7"/>
      <c r="V157" s="15" t="str">
        <f t="shared" si="9"/>
        <v/>
      </c>
      <c r="W157" s="14"/>
      <c r="X157" s="7"/>
      <c r="Y157" s="15" t="str">
        <f t="shared" si="10"/>
        <v/>
      </c>
      <c r="Z157" s="14"/>
      <c r="AA157" s="7"/>
      <c r="AB157" s="15" t="str">
        <f t="shared" si="11"/>
        <v/>
      </c>
    </row>
    <row r="158" spans="1:28">
      <c r="A158" s="19">
        <v>155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Q158" s="14"/>
      <c r="R158" s="7"/>
      <c r="S158" s="15" t="str">
        <f t="shared" si="8"/>
        <v/>
      </c>
      <c r="T158" s="14"/>
      <c r="U158" s="7"/>
      <c r="V158" s="15" t="str">
        <f t="shared" si="9"/>
        <v/>
      </c>
      <c r="W158" s="14"/>
      <c r="X158" s="7"/>
      <c r="Y158" s="15" t="str">
        <f t="shared" si="10"/>
        <v/>
      </c>
      <c r="Z158" s="14"/>
      <c r="AA158" s="7"/>
      <c r="AB158" s="15" t="str">
        <f t="shared" si="11"/>
        <v/>
      </c>
    </row>
    <row r="159" spans="1:28">
      <c r="A159" s="19">
        <v>156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Q159" s="14"/>
      <c r="R159" s="7"/>
      <c r="S159" s="15" t="str">
        <f t="shared" si="8"/>
        <v/>
      </c>
      <c r="T159" s="14"/>
      <c r="U159" s="7"/>
      <c r="V159" s="15" t="str">
        <f t="shared" si="9"/>
        <v/>
      </c>
      <c r="W159" s="14"/>
      <c r="X159" s="7"/>
      <c r="Y159" s="15" t="str">
        <f t="shared" si="10"/>
        <v/>
      </c>
      <c r="Z159" s="14"/>
      <c r="AA159" s="7"/>
      <c r="AB159" s="15" t="str">
        <f t="shared" si="11"/>
        <v/>
      </c>
    </row>
    <row r="160" spans="1:28">
      <c r="A160" s="19">
        <v>157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Q160" s="14"/>
      <c r="R160" s="7"/>
      <c r="S160" s="15" t="str">
        <f t="shared" si="8"/>
        <v/>
      </c>
      <c r="T160" s="14"/>
      <c r="U160" s="7"/>
      <c r="V160" s="15" t="str">
        <f t="shared" si="9"/>
        <v/>
      </c>
      <c r="W160" s="14"/>
      <c r="X160" s="7"/>
      <c r="Y160" s="15" t="str">
        <f t="shared" si="10"/>
        <v/>
      </c>
      <c r="Z160" s="14"/>
      <c r="AA160" s="7"/>
      <c r="AB160" s="15" t="str">
        <f t="shared" si="11"/>
        <v/>
      </c>
    </row>
    <row r="161" spans="1:28">
      <c r="A161" s="19">
        <v>158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Q161" s="14"/>
      <c r="R161" s="7"/>
      <c r="S161" s="15" t="str">
        <f t="shared" si="8"/>
        <v/>
      </c>
      <c r="T161" s="14"/>
      <c r="U161" s="7"/>
      <c r="V161" s="15" t="str">
        <f t="shared" si="9"/>
        <v/>
      </c>
      <c r="W161" s="14"/>
      <c r="X161" s="7"/>
      <c r="Y161" s="15" t="str">
        <f t="shared" si="10"/>
        <v/>
      </c>
      <c r="Z161" s="14"/>
      <c r="AA161" s="7"/>
      <c r="AB161" s="15" t="str">
        <f t="shared" si="11"/>
        <v/>
      </c>
    </row>
    <row r="162" spans="1:28">
      <c r="A162" s="19">
        <v>159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Q162" s="14"/>
      <c r="R162" s="7"/>
      <c r="S162" s="15" t="str">
        <f t="shared" si="8"/>
        <v/>
      </c>
      <c r="T162" s="14"/>
      <c r="U162" s="7"/>
      <c r="V162" s="15" t="str">
        <f t="shared" si="9"/>
        <v/>
      </c>
      <c r="W162" s="14"/>
      <c r="X162" s="7"/>
      <c r="Y162" s="15" t="str">
        <f t="shared" si="10"/>
        <v/>
      </c>
      <c r="Z162" s="14"/>
      <c r="AA162" s="7"/>
      <c r="AB162" s="15" t="str">
        <f t="shared" si="11"/>
        <v/>
      </c>
    </row>
    <row r="163" spans="1:28">
      <c r="A163" s="19">
        <v>160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Q163" s="14"/>
      <c r="R163" s="7"/>
      <c r="S163" s="15" t="str">
        <f t="shared" si="8"/>
        <v/>
      </c>
      <c r="T163" s="14"/>
      <c r="U163" s="7"/>
      <c r="V163" s="15" t="str">
        <f t="shared" si="9"/>
        <v/>
      </c>
      <c r="W163" s="14"/>
      <c r="X163" s="7"/>
      <c r="Y163" s="15" t="str">
        <f t="shared" si="10"/>
        <v/>
      </c>
      <c r="Z163" s="14"/>
      <c r="AA163" s="7"/>
      <c r="AB163" s="15" t="str">
        <f t="shared" si="11"/>
        <v/>
      </c>
    </row>
    <row r="164" spans="1:28">
      <c r="A164" s="19">
        <v>161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Q164" s="14"/>
      <c r="R164" s="7"/>
      <c r="S164" s="15" t="str">
        <f t="shared" si="8"/>
        <v/>
      </c>
      <c r="T164" s="14"/>
      <c r="U164" s="7"/>
      <c r="V164" s="15" t="str">
        <f t="shared" si="9"/>
        <v/>
      </c>
      <c r="W164" s="14"/>
      <c r="X164" s="7"/>
      <c r="Y164" s="15" t="str">
        <f t="shared" si="10"/>
        <v/>
      </c>
      <c r="Z164" s="14"/>
      <c r="AA164" s="7"/>
      <c r="AB164" s="15" t="str">
        <f t="shared" si="11"/>
        <v/>
      </c>
    </row>
    <row r="165" spans="1:28">
      <c r="A165" s="19">
        <v>162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Q165" s="14"/>
      <c r="R165" s="7"/>
      <c r="S165" s="15" t="str">
        <f t="shared" si="8"/>
        <v/>
      </c>
      <c r="T165" s="14"/>
      <c r="U165" s="7"/>
      <c r="V165" s="15" t="str">
        <f t="shared" si="9"/>
        <v/>
      </c>
      <c r="W165" s="14"/>
      <c r="X165" s="7"/>
      <c r="Y165" s="15" t="str">
        <f t="shared" si="10"/>
        <v/>
      </c>
      <c r="Z165" s="14"/>
      <c r="AA165" s="7"/>
      <c r="AB165" s="15" t="str">
        <f t="shared" si="11"/>
        <v/>
      </c>
    </row>
    <row r="166" spans="1:28">
      <c r="A166" s="19">
        <v>163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Q166" s="14"/>
      <c r="R166" s="7"/>
      <c r="S166" s="15" t="str">
        <f t="shared" si="8"/>
        <v/>
      </c>
      <c r="T166" s="14"/>
      <c r="U166" s="7"/>
      <c r="V166" s="15" t="str">
        <f t="shared" si="9"/>
        <v/>
      </c>
      <c r="W166" s="14"/>
      <c r="X166" s="7"/>
      <c r="Y166" s="15" t="str">
        <f t="shared" si="10"/>
        <v/>
      </c>
      <c r="Z166" s="14"/>
      <c r="AA166" s="7"/>
      <c r="AB166" s="15" t="str">
        <f t="shared" si="11"/>
        <v/>
      </c>
    </row>
    <row r="167" spans="1:28">
      <c r="A167" s="19">
        <v>164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Q167" s="14"/>
      <c r="R167" s="7"/>
      <c r="S167" s="15" t="str">
        <f t="shared" si="8"/>
        <v/>
      </c>
      <c r="T167" s="14"/>
      <c r="U167" s="7"/>
      <c r="V167" s="15" t="str">
        <f t="shared" si="9"/>
        <v/>
      </c>
      <c r="W167" s="14"/>
      <c r="X167" s="7"/>
      <c r="Y167" s="15" t="str">
        <f t="shared" si="10"/>
        <v/>
      </c>
      <c r="Z167" s="14"/>
      <c r="AA167" s="7"/>
      <c r="AB167" s="15" t="str">
        <f t="shared" si="11"/>
        <v/>
      </c>
    </row>
    <row r="168" spans="1:28">
      <c r="A168" s="19">
        <v>165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Q168" s="14"/>
      <c r="R168" s="7"/>
      <c r="S168" s="15" t="str">
        <f t="shared" si="8"/>
        <v/>
      </c>
      <c r="T168" s="14"/>
      <c r="U168" s="7"/>
      <c r="V168" s="15" t="str">
        <f t="shared" si="9"/>
        <v/>
      </c>
      <c r="W168" s="14"/>
      <c r="X168" s="7"/>
      <c r="Y168" s="15" t="str">
        <f t="shared" si="10"/>
        <v/>
      </c>
      <c r="Z168" s="14"/>
      <c r="AA168" s="7"/>
      <c r="AB168" s="15" t="str">
        <f t="shared" si="11"/>
        <v/>
      </c>
    </row>
    <row r="169" spans="1:28">
      <c r="A169" s="19">
        <v>166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Q169" s="14"/>
      <c r="R169" s="7"/>
      <c r="S169" s="15" t="str">
        <f t="shared" si="8"/>
        <v/>
      </c>
      <c r="T169" s="14"/>
      <c r="U169" s="7"/>
      <c r="V169" s="15" t="str">
        <f t="shared" si="9"/>
        <v/>
      </c>
      <c r="W169" s="14"/>
      <c r="X169" s="7"/>
      <c r="Y169" s="15" t="str">
        <f t="shared" si="10"/>
        <v/>
      </c>
      <c r="Z169" s="14"/>
      <c r="AA169" s="7"/>
      <c r="AB169" s="15" t="str">
        <f t="shared" si="11"/>
        <v/>
      </c>
    </row>
    <row r="170" spans="1:28">
      <c r="A170" s="19">
        <v>167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Q170" s="14"/>
      <c r="R170" s="7"/>
      <c r="S170" s="15" t="str">
        <f t="shared" si="8"/>
        <v/>
      </c>
      <c r="T170" s="14"/>
      <c r="U170" s="7"/>
      <c r="V170" s="15" t="str">
        <f t="shared" si="9"/>
        <v/>
      </c>
      <c r="W170" s="14"/>
      <c r="X170" s="7"/>
      <c r="Y170" s="15" t="str">
        <f t="shared" si="10"/>
        <v/>
      </c>
      <c r="Z170" s="14"/>
      <c r="AA170" s="7"/>
      <c r="AB170" s="15" t="str">
        <f t="shared" si="11"/>
        <v/>
      </c>
    </row>
    <row r="171" spans="1:28">
      <c r="A171" s="19">
        <v>168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Q171" s="14"/>
      <c r="R171" s="7"/>
      <c r="S171" s="15" t="str">
        <f t="shared" si="8"/>
        <v/>
      </c>
      <c r="T171" s="14"/>
      <c r="U171" s="7"/>
      <c r="V171" s="15" t="str">
        <f t="shared" si="9"/>
        <v/>
      </c>
      <c r="W171" s="14"/>
      <c r="X171" s="7"/>
      <c r="Y171" s="15" t="str">
        <f t="shared" si="10"/>
        <v/>
      </c>
      <c r="Z171" s="14"/>
      <c r="AA171" s="7"/>
      <c r="AB171" s="15" t="str">
        <f t="shared" si="11"/>
        <v/>
      </c>
    </row>
    <row r="172" spans="1:28">
      <c r="A172" s="19">
        <v>169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Q172" s="14"/>
      <c r="R172" s="7"/>
      <c r="S172" s="15" t="str">
        <f t="shared" si="8"/>
        <v/>
      </c>
      <c r="T172" s="14"/>
      <c r="U172" s="7"/>
      <c r="V172" s="15" t="str">
        <f t="shared" si="9"/>
        <v/>
      </c>
      <c r="W172" s="14"/>
      <c r="X172" s="7"/>
      <c r="Y172" s="15" t="str">
        <f t="shared" si="10"/>
        <v/>
      </c>
      <c r="Z172" s="14"/>
      <c r="AA172" s="7"/>
      <c r="AB172" s="15" t="str">
        <f t="shared" si="11"/>
        <v/>
      </c>
    </row>
    <row r="173" spans="1:28">
      <c r="A173" s="19">
        <v>170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Q173" s="14"/>
      <c r="R173" s="7"/>
      <c r="S173" s="15" t="str">
        <f t="shared" si="8"/>
        <v/>
      </c>
      <c r="T173" s="14"/>
      <c r="U173" s="7"/>
      <c r="V173" s="15" t="str">
        <f t="shared" si="9"/>
        <v/>
      </c>
      <c r="W173" s="14"/>
      <c r="X173" s="7"/>
      <c r="Y173" s="15" t="str">
        <f t="shared" si="10"/>
        <v/>
      </c>
      <c r="Z173" s="14"/>
      <c r="AA173" s="7"/>
      <c r="AB173" s="15" t="str">
        <f t="shared" si="11"/>
        <v/>
      </c>
    </row>
    <row r="174" spans="1:28">
      <c r="A174" s="19">
        <v>171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Q174" s="14"/>
      <c r="R174" s="7"/>
      <c r="S174" s="15" t="str">
        <f t="shared" si="8"/>
        <v/>
      </c>
      <c r="T174" s="14"/>
      <c r="U174" s="7"/>
      <c r="V174" s="15" t="str">
        <f t="shared" si="9"/>
        <v/>
      </c>
      <c r="W174" s="14"/>
      <c r="X174" s="7"/>
      <c r="Y174" s="15" t="str">
        <f t="shared" si="10"/>
        <v/>
      </c>
      <c r="Z174" s="14"/>
      <c r="AA174" s="7"/>
      <c r="AB174" s="15" t="str">
        <f t="shared" si="11"/>
        <v/>
      </c>
    </row>
    <row r="175" spans="1:28">
      <c r="A175" s="19">
        <v>172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Q175" s="14"/>
      <c r="R175" s="7"/>
      <c r="S175" s="15" t="str">
        <f t="shared" si="8"/>
        <v/>
      </c>
      <c r="T175" s="14"/>
      <c r="U175" s="7"/>
      <c r="V175" s="15" t="str">
        <f t="shared" si="9"/>
        <v/>
      </c>
      <c r="W175" s="14"/>
      <c r="X175" s="7"/>
      <c r="Y175" s="15" t="str">
        <f t="shared" si="10"/>
        <v/>
      </c>
      <c r="Z175" s="14"/>
      <c r="AA175" s="7"/>
      <c r="AB175" s="15" t="str">
        <f t="shared" si="11"/>
        <v/>
      </c>
    </row>
    <row r="176" spans="1:28">
      <c r="A176" s="19">
        <v>173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Q176" s="14"/>
      <c r="R176" s="7"/>
      <c r="S176" s="15" t="str">
        <f t="shared" si="8"/>
        <v/>
      </c>
      <c r="T176" s="14"/>
      <c r="U176" s="7"/>
      <c r="V176" s="15" t="str">
        <f t="shared" si="9"/>
        <v/>
      </c>
      <c r="W176" s="14"/>
      <c r="X176" s="7"/>
      <c r="Y176" s="15" t="str">
        <f t="shared" si="10"/>
        <v/>
      </c>
      <c r="Z176" s="14"/>
      <c r="AA176" s="7"/>
      <c r="AB176" s="15" t="str">
        <f t="shared" si="11"/>
        <v/>
      </c>
    </row>
    <row r="177" spans="1:28">
      <c r="A177" s="19">
        <v>174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Q177" s="14"/>
      <c r="R177" s="7"/>
      <c r="S177" s="15" t="str">
        <f t="shared" si="8"/>
        <v/>
      </c>
      <c r="T177" s="14"/>
      <c r="U177" s="7"/>
      <c r="V177" s="15" t="str">
        <f t="shared" si="9"/>
        <v/>
      </c>
      <c r="W177" s="14"/>
      <c r="X177" s="7"/>
      <c r="Y177" s="15" t="str">
        <f t="shared" si="10"/>
        <v/>
      </c>
      <c r="Z177" s="14"/>
      <c r="AA177" s="7"/>
      <c r="AB177" s="15" t="str">
        <f t="shared" si="11"/>
        <v/>
      </c>
    </row>
    <row r="178" spans="1:28">
      <c r="A178" s="19">
        <v>175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Q178" s="14"/>
      <c r="R178" s="7"/>
      <c r="S178" s="15" t="str">
        <f t="shared" si="8"/>
        <v/>
      </c>
      <c r="T178" s="14"/>
      <c r="U178" s="7"/>
      <c r="V178" s="15" t="str">
        <f t="shared" si="9"/>
        <v/>
      </c>
      <c r="W178" s="14"/>
      <c r="X178" s="7"/>
      <c r="Y178" s="15" t="str">
        <f t="shared" si="10"/>
        <v/>
      </c>
      <c r="Z178" s="14"/>
      <c r="AA178" s="7"/>
      <c r="AB178" s="15" t="str">
        <f t="shared" si="11"/>
        <v/>
      </c>
    </row>
    <row r="179" spans="1:28">
      <c r="A179" s="19">
        <v>176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Q179" s="14"/>
      <c r="R179" s="7"/>
      <c r="S179" s="15" t="str">
        <f t="shared" si="8"/>
        <v/>
      </c>
      <c r="T179" s="14"/>
      <c r="U179" s="7"/>
      <c r="V179" s="15" t="str">
        <f t="shared" si="9"/>
        <v/>
      </c>
      <c r="W179" s="14"/>
      <c r="X179" s="7"/>
      <c r="Y179" s="15" t="str">
        <f t="shared" si="10"/>
        <v/>
      </c>
      <c r="Z179" s="14"/>
      <c r="AA179" s="7"/>
      <c r="AB179" s="15" t="str">
        <f t="shared" si="11"/>
        <v/>
      </c>
    </row>
    <row r="180" spans="1:28">
      <c r="A180" s="19">
        <v>177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Q180" s="14"/>
      <c r="R180" s="7"/>
      <c r="S180" s="15" t="str">
        <f t="shared" si="8"/>
        <v/>
      </c>
      <c r="T180" s="14"/>
      <c r="U180" s="7"/>
      <c r="V180" s="15" t="str">
        <f t="shared" si="9"/>
        <v/>
      </c>
      <c r="W180" s="14"/>
      <c r="X180" s="7"/>
      <c r="Y180" s="15" t="str">
        <f t="shared" si="10"/>
        <v/>
      </c>
      <c r="Z180" s="14"/>
      <c r="AA180" s="7"/>
      <c r="AB180" s="15" t="str">
        <f t="shared" si="11"/>
        <v/>
      </c>
    </row>
    <row r="181" spans="1:28">
      <c r="A181" s="19">
        <v>178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Q181" s="14"/>
      <c r="R181" s="7"/>
      <c r="S181" s="15" t="str">
        <f t="shared" si="8"/>
        <v/>
      </c>
      <c r="T181" s="14"/>
      <c r="U181" s="7"/>
      <c r="V181" s="15" t="str">
        <f t="shared" si="9"/>
        <v/>
      </c>
      <c r="W181" s="14"/>
      <c r="X181" s="7"/>
      <c r="Y181" s="15" t="str">
        <f t="shared" si="10"/>
        <v/>
      </c>
      <c r="Z181" s="14"/>
      <c r="AA181" s="7"/>
      <c r="AB181" s="15" t="str">
        <f t="shared" si="11"/>
        <v/>
      </c>
    </row>
    <row r="182" spans="1:28">
      <c r="A182" s="19">
        <v>179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Q182" s="14"/>
      <c r="R182" s="7"/>
      <c r="S182" s="15" t="str">
        <f t="shared" si="8"/>
        <v/>
      </c>
      <c r="T182" s="14"/>
      <c r="U182" s="7"/>
      <c r="V182" s="15" t="str">
        <f t="shared" si="9"/>
        <v/>
      </c>
      <c r="W182" s="14"/>
      <c r="X182" s="7"/>
      <c r="Y182" s="15" t="str">
        <f t="shared" si="10"/>
        <v/>
      </c>
      <c r="Z182" s="14"/>
      <c r="AA182" s="7"/>
      <c r="AB182" s="15" t="str">
        <f t="shared" si="11"/>
        <v/>
      </c>
    </row>
    <row r="183" spans="1:28">
      <c r="A183" s="19">
        <v>180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Q183" s="14"/>
      <c r="R183" s="7"/>
      <c r="S183" s="15" t="str">
        <f t="shared" si="8"/>
        <v/>
      </c>
      <c r="T183" s="14"/>
      <c r="U183" s="7"/>
      <c r="V183" s="15" t="str">
        <f t="shared" si="9"/>
        <v/>
      </c>
      <c r="W183" s="14"/>
      <c r="X183" s="7"/>
      <c r="Y183" s="15" t="str">
        <f t="shared" si="10"/>
        <v/>
      </c>
      <c r="Z183" s="14"/>
      <c r="AA183" s="7"/>
      <c r="AB183" s="15" t="str">
        <f t="shared" si="11"/>
        <v/>
      </c>
    </row>
    <row r="184" spans="1:28">
      <c r="A184" s="19">
        <v>181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Q184" s="14"/>
      <c r="R184" s="7"/>
      <c r="S184" s="15" t="str">
        <f t="shared" si="8"/>
        <v/>
      </c>
      <c r="T184" s="14"/>
      <c r="U184" s="7"/>
      <c r="V184" s="15" t="str">
        <f t="shared" si="9"/>
        <v/>
      </c>
      <c r="W184" s="14"/>
      <c r="X184" s="7"/>
      <c r="Y184" s="15" t="str">
        <f t="shared" si="10"/>
        <v/>
      </c>
      <c r="Z184" s="14"/>
      <c r="AA184" s="7"/>
      <c r="AB184" s="15" t="str">
        <f t="shared" si="11"/>
        <v/>
      </c>
    </row>
    <row r="185" spans="1:28">
      <c r="A185" s="19">
        <v>182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Q185" s="14"/>
      <c r="R185" s="7"/>
      <c r="S185" s="15" t="str">
        <f t="shared" si="8"/>
        <v/>
      </c>
      <c r="T185" s="14"/>
      <c r="U185" s="7"/>
      <c r="V185" s="15" t="str">
        <f t="shared" si="9"/>
        <v/>
      </c>
      <c r="W185" s="14"/>
      <c r="X185" s="7"/>
      <c r="Y185" s="15" t="str">
        <f t="shared" si="10"/>
        <v/>
      </c>
      <c r="Z185" s="14"/>
      <c r="AA185" s="7"/>
      <c r="AB185" s="15" t="str">
        <f t="shared" si="11"/>
        <v/>
      </c>
    </row>
    <row r="186" spans="1:28">
      <c r="A186" s="19">
        <v>183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Q186" s="14"/>
      <c r="R186" s="7"/>
      <c r="S186" s="15" t="str">
        <f t="shared" si="8"/>
        <v/>
      </c>
      <c r="T186" s="14"/>
      <c r="U186" s="7"/>
      <c r="V186" s="15" t="str">
        <f t="shared" si="9"/>
        <v/>
      </c>
      <c r="W186" s="14"/>
      <c r="X186" s="7"/>
      <c r="Y186" s="15" t="str">
        <f t="shared" si="10"/>
        <v/>
      </c>
      <c r="Z186" s="14"/>
      <c r="AA186" s="7"/>
      <c r="AB186" s="15" t="str">
        <f t="shared" si="11"/>
        <v/>
      </c>
    </row>
    <row r="187" spans="1:28">
      <c r="A187" s="19">
        <v>184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Q187" s="14"/>
      <c r="R187" s="7"/>
      <c r="S187" s="15" t="str">
        <f t="shared" si="8"/>
        <v/>
      </c>
      <c r="T187" s="14"/>
      <c r="U187" s="7"/>
      <c r="V187" s="15" t="str">
        <f t="shared" si="9"/>
        <v/>
      </c>
      <c r="W187" s="14"/>
      <c r="X187" s="7"/>
      <c r="Y187" s="15" t="str">
        <f t="shared" si="10"/>
        <v/>
      </c>
      <c r="Z187" s="14"/>
      <c r="AA187" s="7"/>
      <c r="AB187" s="15" t="str">
        <f t="shared" si="11"/>
        <v/>
      </c>
    </row>
    <row r="188" spans="1:28">
      <c r="A188" s="19">
        <v>185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Q188" s="14"/>
      <c r="R188" s="7"/>
      <c r="S188" s="15" t="str">
        <f t="shared" si="8"/>
        <v/>
      </c>
      <c r="T188" s="14"/>
      <c r="U188" s="7"/>
      <c r="V188" s="15" t="str">
        <f t="shared" si="9"/>
        <v/>
      </c>
      <c r="W188" s="14"/>
      <c r="X188" s="7"/>
      <c r="Y188" s="15" t="str">
        <f t="shared" si="10"/>
        <v/>
      </c>
      <c r="Z188" s="14"/>
      <c r="AA188" s="7"/>
      <c r="AB188" s="15" t="str">
        <f t="shared" si="11"/>
        <v/>
      </c>
    </row>
    <row r="189" spans="1:28">
      <c r="A189" s="19">
        <v>186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Q189" s="14"/>
      <c r="R189" s="7"/>
      <c r="S189" s="15" t="str">
        <f t="shared" si="8"/>
        <v/>
      </c>
      <c r="T189" s="14"/>
      <c r="U189" s="7"/>
      <c r="V189" s="15" t="str">
        <f t="shared" si="9"/>
        <v/>
      </c>
      <c r="W189" s="14"/>
      <c r="X189" s="7"/>
      <c r="Y189" s="15" t="str">
        <f t="shared" si="10"/>
        <v/>
      </c>
      <c r="Z189" s="14"/>
      <c r="AA189" s="7"/>
      <c r="AB189" s="15" t="str">
        <f t="shared" si="11"/>
        <v/>
      </c>
    </row>
    <row r="190" spans="1:28">
      <c r="A190" s="19">
        <v>187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Q190" s="14"/>
      <c r="R190" s="7"/>
      <c r="S190" s="15" t="str">
        <f t="shared" si="8"/>
        <v/>
      </c>
      <c r="T190" s="14"/>
      <c r="U190" s="7"/>
      <c r="V190" s="15" t="str">
        <f t="shared" si="9"/>
        <v/>
      </c>
      <c r="W190" s="14"/>
      <c r="X190" s="7"/>
      <c r="Y190" s="15" t="str">
        <f t="shared" si="10"/>
        <v/>
      </c>
      <c r="Z190" s="14"/>
      <c r="AA190" s="7"/>
      <c r="AB190" s="15" t="str">
        <f t="shared" si="11"/>
        <v/>
      </c>
    </row>
    <row r="191" spans="1:28">
      <c r="A191" s="19">
        <v>188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Q191" s="14"/>
      <c r="R191" s="7"/>
      <c r="S191" s="15" t="str">
        <f t="shared" si="8"/>
        <v/>
      </c>
      <c r="T191" s="14"/>
      <c r="U191" s="7"/>
      <c r="V191" s="15" t="str">
        <f t="shared" si="9"/>
        <v/>
      </c>
      <c r="W191" s="14"/>
      <c r="X191" s="7"/>
      <c r="Y191" s="15" t="str">
        <f t="shared" si="10"/>
        <v/>
      </c>
      <c r="Z191" s="14"/>
      <c r="AA191" s="7"/>
      <c r="AB191" s="15" t="str">
        <f t="shared" si="11"/>
        <v/>
      </c>
    </row>
    <row r="192" spans="1:28">
      <c r="A192" s="19">
        <v>189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Q192" s="14"/>
      <c r="R192" s="7"/>
      <c r="S192" s="15" t="str">
        <f t="shared" si="8"/>
        <v/>
      </c>
      <c r="T192" s="14"/>
      <c r="U192" s="7"/>
      <c r="V192" s="15" t="str">
        <f t="shared" si="9"/>
        <v/>
      </c>
      <c r="W192" s="14"/>
      <c r="X192" s="7"/>
      <c r="Y192" s="15" t="str">
        <f t="shared" si="10"/>
        <v/>
      </c>
      <c r="Z192" s="14"/>
      <c r="AA192" s="7"/>
      <c r="AB192" s="15" t="str">
        <f t="shared" si="11"/>
        <v/>
      </c>
    </row>
    <row r="193" spans="1:28">
      <c r="A193" s="19">
        <v>190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Q193" s="14"/>
      <c r="R193" s="7"/>
      <c r="S193" s="15" t="str">
        <f t="shared" si="8"/>
        <v/>
      </c>
      <c r="T193" s="14"/>
      <c r="U193" s="7"/>
      <c r="V193" s="15" t="str">
        <f t="shared" si="9"/>
        <v/>
      </c>
      <c r="W193" s="14"/>
      <c r="X193" s="7"/>
      <c r="Y193" s="15" t="str">
        <f t="shared" si="10"/>
        <v/>
      </c>
      <c r="Z193" s="14"/>
      <c r="AA193" s="7"/>
      <c r="AB193" s="15" t="str">
        <f t="shared" si="11"/>
        <v/>
      </c>
    </row>
    <row r="194" spans="1:28">
      <c r="A194" s="19">
        <v>191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Q194" s="14"/>
      <c r="R194" s="7"/>
      <c r="S194" s="15" t="str">
        <f t="shared" si="8"/>
        <v/>
      </c>
      <c r="T194" s="14"/>
      <c r="U194" s="7"/>
      <c r="V194" s="15" t="str">
        <f t="shared" si="9"/>
        <v/>
      </c>
      <c r="W194" s="14"/>
      <c r="X194" s="7"/>
      <c r="Y194" s="15" t="str">
        <f t="shared" si="10"/>
        <v/>
      </c>
      <c r="Z194" s="14"/>
      <c r="AA194" s="7"/>
      <c r="AB194" s="15" t="str">
        <f t="shared" si="11"/>
        <v/>
      </c>
    </row>
    <row r="195" spans="1:28">
      <c r="A195" s="19">
        <v>192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Q195" s="14"/>
      <c r="R195" s="7"/>
      <c r="S195" s="15" t="str">
        <f t="shared" si="8"/>
        <v/>
      </c>
      <c r="T195" s="14"/>
      <c r="U195" s="7"/>
      <c r="V195" s="15" t="str">
        <f t="shared" si="9"/>
        <v/>
      </c>
      <c r="W195" s="14"/>
      <c r="X195" s="7"/>
      <c r="Y195" s="15" t="str">
        <f t="shared" si="10"/>
        <v/>
      </c>
      <c r="Z195" s="14"/>
      <c r="AA195" s="7"/>
      <c r="AB195" s="15" t="str">
        <f t="shared" si="11"/>
        <v/>
      </c>
    </row>
    <row r="196" spans="1:28">
      <c r="A196" s="19">
        <v>193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Q196" s="14"/>
      <c r="R196" s="7"/>
      <c r="S196" s="15" t="str">
        <f t="shared" si="8"/>
        <v/>
      </c>
      <c r="T196" s="14"/>
      <c r="U196" s="7"/>
      <c r="V196" s="15" t="str">
        <f t="shared" si="9"/>
        <v/>
      </c>
      <c r="W196" s="14"/>
      <c r="X196" s="7"/>
      <c r="Y196" s="15" t="str">
        <f t="shared" si="10"/>
        <v/>
      </c>
      <c r="Z196" s="14"/>
      <c r="AA196" s="7"/>
      <c r="AB196" s="15" t="str">
        <f t="shared" si="11"/>
        <v/>
      </c>
    </row>
    <row r="197" spans="1:28">
      <c r="A197" s="19">
        <v>194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Q197" s="14"/>
      <c r="R197" s="7"/>
      <c r="S197" s="15" t="str">
        <f t="shared" ref="S197:S260" si="12">IF(OR($H197="",Q197=""),"",Q197+(R197/$H197))</f>
        <v/>
      </c>
      <c r="T197" s="14"/>
      <c r="U197" s="7"/>
      <c r="V197" s="15" t="str">
        <f t="shared" ref="V197:V260" si="13">IF(OR($H197="",T197=""),"",T197+(U197/$H197))</f>
        <v/>
      </c>
      <c r="W197" s="14"/>
      <c r="X197" s="7"/>
      <c r="Y197" s="15" t="str">
        <f t="shared" ref="Y197:Y260" si="14">IF(OR($H197="",W197=""),"",W197+(X197/$H197))</f>
        <v/>
      </c>
      <c r="Z197" s="14"/>
      <c r="AA197" s="7"/>
      <c r="AB197" s="15" t="str">
        <f t="shared" ref="AB197:AB260" si="15">IF(OR($H197="",Z197=""),"",Z197+(AA197/$H197))</f>
        <v/>
      </c>
    </row>
    <row r="198" spans="1:28">
      <c r="A198" s="19">
        <v>195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Q198" s="14"/>
      <c r="R198" s="7"/>
      <c r="S198" s="15" t="str">
        <f t="shared" si="12"/>
        <v/>
      </c>
      <c r="T198" s="14"/>
      <c r="U198" s="7"/>
      <c r="V198" s="15" t="str">
        <f t="shared" si="13"/>
        <v/>
      </c>
      <c r="W198" s="14"/>
      <c r="X198" s="7"/>
      <c r="Y198" s="15" t="str">
        <f t="shared" si="14"/>
        <v/>
      </c>
      <c r="Z198" s="14"/>
      <c r="AA198" s="7"/>
      <c r="AB198" s="15" t="str">
        <f t="shared" si="15"/>
        <v/>
      </c>
    </row>
    <row r="199" spans="1:28">
      <c r="A199" s="19">
        <v>196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Q199" s="14"/>
      <c r="R199" s="7"/>
      <c r="S199" s="15" t="str">
        <f t="shared" si="12"/>
        <v/>
      </c>
      <c r="T199" s="14"/>
      <c r="U199" s="7"/>
      <c r="V199" s="15" t="str">
        <f t="shared" si="13"/>
        <v/>
      </c>
      <c r="W199" s="14"/>
      <c r="X199" s="7"/>
      <c r="Y199" s="15" t="str">
        <f t="shared" si="14"/>
        <v/>
      </c>
      <c r="Z199" s="14"/>
      <c r="AA199" s="7"/>
      <c r="AB199" s="15" t="str">
        <f t="shared" si="15"/>
        <v/>
      </c>
    </row>
    <row r="200" spans="1:28">
      <c r="A200" s="19">
        <v>197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Q200" s="14"/>
      <c r="R200" s="7"/>
      <c r="S200" s="15" t="str">
        <f t="shared" si="12"/>
        <v/>
      </c>
      <c r="T200" s="14"/>
      <c r="U200" s="7"/>
      <c r="V200" s="15" t="str">
        <f t="shared" si="13"/>
        <v/>
      </c>
      <c r="W200" s="14"/>
      <c r="X200" s="7"/>
      <c r="Y200" s="15" t="str">
        <f t="shared" si="14"/>
        <v/>
      </c>
      <c r="Z200" s="14"/>
      <c r="AA200" s="7"/>
      <c r="AB200" s="15" t="str">
        <f t="shared" si="15"/>
        <v/>
      </c>
    </row>
    <row r="201" spans="1:28">
      <c r="A201" s="19">
        <v>198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Q201" s="14"/>
      <c r="R201" s="7"/>
      <c r="S201" s="15" t="str">
        <f t="shared" si="12"/>
        <v/>
      </c>
      <c r="T201" s="14"/>
      <c r="U201" s="7"/>
      <c r="V201" s="15" t="str">
        <f t="shared" si="13"/>
        <v/>
      </c>
      <c r="W201" s="14"/>
      <c r="X201" s="7"/>
      <c r="Y201" s="15" t="str">
        <f t="shared" si="14"/>
        <v/>
      </c>
      <c r="Z201" s="14"/>
      <c r="AA201" s="7"/>
      <c r="AB201" s="15" t="str">
        <f t="shared" si="15"/>
        <v/>
      </c>
    </row>
    <row r="202" spans="1:28">
      <c r="A202" s="19">
        <v>199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Q202" s="14"/>
      <c r="R202" s="7"/>
      <c r="S202" s="15" t="str">
        <f t="shared" si="12"/>
        <v/>
      </c>
      <c r="T202" s="14"/>
      <c r="U202" s="7"/>
      <c r="V202" s="15" t="str">
        <f t="shared" si="13"/>
        <v/>
      </c>
      <c r="W202" s="14"/>
      <c r="X202" s="7"/>
      <c r="Y202" s="15" t="str">
        <f t="shared" si="14"/>
        <v/>
      </c>
      <c r="Z202" s="14"/>
      <c r="AA202" s="7"/>
      <c r="AB202" s="15" t="str">
        <f t="shared" si="15"/>
        <v/>
      </c>
    </row>
    <row r="203" spans="1:28">
      <c r="A203" s="19">
        <v>200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Q203" s="14"/>
      <c r="R203" s="7"/>
      <c r="S203" s="15" t="str">
        <f t="shared" si="12"/>
        <v/>
      </c>
      <c r="T203" s="14"/>
      <c r="U203" s="7"/>
      <c r="V203" s="15" t="str">
        <f t="shared" si="13"/>
        <v/>
      </c>
      <c r="W203" s="14"/>
      <c r="X203" s="7"/>
      <c r="Y203" s="15" t="str">
        <f t="shared" si="14"/>
        <v/>
      </c>
      <c r="Z203" s="14"/>
      <c r="AA203" s="7"/>
      <c r="AB203" s="15" t="str">
        <f t="shared" si="15"/>
        <v/>
      </c>
    </row>
    <row r="204" spans="1:28">
      <c r="A204" s="19">
        <v>201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Q204" s="14"/>
      <c r="R204" s="7"/>
      <c r="S204" s="15" t="str">
        <f t="shared" si="12"/>
        <v/>
      </c>
      <c r="T204" s="14"/>
      <c r="U204" s="7"/>
      <c r="V204" s="15" t="str">
        <f t="shared" si="13"/>
        <v/>
      </c>
      <c r="W204" s="14"/>
      <c r="X204" s="7"/>
      <c r="Y204" s="15" t="str">
        <f t="shared" si="14"/>
        <v/>
      </c>
      <c r="Z204" s="14"/>
      <c r="AA204" s="7"/>
      <c r="AB204" s="15" t="str">
        <f t="shared" si="15"/>
        <v/>
      </c>
    </row>
    <row r="205" spans="1:28">
      <c r="A205" s="19">
        <v>202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Q205" s="14"/>
      <c r="R205" s="7"/>
      <c r="S205" s="15" t="str">
        <f t="shared" si="12"/>
        <v/>
      </c>
      <c r="T205" s="14"/>
      <c r="U205" s="7"/>
      <c r="V205" s="15" t="str">
        <f t="shared" si="13"/>
        <v/>
      </c>
      <c r="W205" s="14"/>
      <c r="X205" s="7"/>
      <c r="Y205" s="15" t="str">
        <f t="shared" si="14"/>
        <v/>
      </c>
      <c r="Z205" s="14"/>
      <c r="AA205" s="7"/>
      <c r="AB205" s="15" t="str">
        <f t="shared" si="15"/>
        <v/>
      </c>
    </row>
    <row r="206" spans="1:28">
      <c r="A206" s="19">
        <v>203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Q206" s="14"/>
      <c r="R206" s="7"/>
      <c r="S206" s="15" t="str">
        <f t="shared" si="12"/>
        <v/>
      </c>
      <c r="T206" s="14"/>
      <c r="U206" s="7"/>
      <c r="V206" s="15" t="str">
        <f t="shared" si="13"/>
        <v/>
      </c>
      <c r="W206" s="14"/>
      <c r="X206" s="7"/>
      <c r="Y206" s="15" t="str">
        <f t="shared" si="14"/>
        <v/>
      </c>
      <c r="Z206" s="14"/>
      <c r="AA206" s="7"/>
      <c r="AB206" s="15" t="str">
        <f t="shared" si="15"/>
        <v/>
      </c>
    </row>
    <row r="207" spans="1:28">
      <c r="A207" s="19">
        <v>204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Q207" s="14"/>
      <c r="R207" s="7"/>
      <c r="S207" s="15" t="str">
        <f t="shared" si="12"/>
        <v/>
      </c>
      <c r="T207" s="14"/>
      <c r="U207" s="7"/>
      <c r="V207" s="15" t="str">
        <f t="shared" si="13"/>
        <v/>
      </c>
      <c r="W207" s="14"/>
      <c r="X207" s="7"/>
      <c r="Y207" s="15" t="str">
        <f t="shared" si="14"/>
        <v/>
      </c>
      <c r="Z207" s="14"/>
      <c r="AA207" s="7"/>
      <c r="AB207" s="15" t="str">
        <f t="shared" si="15"/>
        <v/>
      </c>
    </row>
    <row r="208" spans="1:28">
      <c r="A208" s="19">
        <v>205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Q208" s="14"/>
      <c r="R208" s="7"/>
      <c r="S208" s="15" t="str">
        <f t="shared" si="12"/>
        <v/>
      </c>
      <c r="T208" s="14"/>
      <c r="U208" s="7"/>
      <c r="V208" s="15" t="str">
        <f t="shared" si="13"/>
        <v/>
      </c>
      <c r="W208" s="14"/>
      <c r="X208" s="7"/>
      <c r="Y208" s="15" t="str">
        <f t="shared" si="14"/>
        <v/>
      </c>
      <c r="Z208" s="14"/>
      <c r="AA208" s="7"/>
      <c r="AB208" s="15" t="str">
        <f t="shared" si="15"/>
        <v/>
      </c>
    </row>
    <row r="209" spans="1:28">
      <c r="A209" s="19">
        <v>206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Q209" s="14"/>
      <c r="R209" s="7"/>
      <c r="S209" s="15" t="str">
        <f t="shared" si="12"/>
        <v/>
      </c>
      <c r="T209" s="14"/>
      <c r="U209" s="7"/>
      <c r="V209" s="15" t="str">
        <f t="shared" si="13"/>
        <v/>
      </c>
      <c r="W209" s="14"/>
      <c r="X209" s="7"/>
      <c r="Y209" s="15" t="str">
        <f t="shared" si="14"/>
        <v/>
      </c>
      <c r="Z209" s="14"/>
      <c r="AA209" s="7"/>
      <c r="AB209" s="15" t="str">
        <f t="shared" si="15"/>
        <v/>
      </c>
    </row>
    <row r="210" spans="1:28">
      <c r="A210" s="19">
        <v>207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Q210" s="14"/>
      <c r="R210" s="7"/>
      <c r="S210" s="15" t="str">
        <f t="shared" si="12"/>
        <v/>
      </c>
      <c r="T210" s="14"/>
      <c r="U210" s="7"/>
      <c r="V210" s="15" t="str">
        <f t="shared" si="13"/>
        <v/>
      </c>
      <c r="W210" s="14"/>
      <c r="X210" s="7"/>
      <c r="Y210" s="15" t="str">
        <f t="shared" si="14"/>
        <v/>
      </c>
      <c r="Z210" s="14"/>
      <c r="AA210" s="7"/>
      <c r="AB210" s="15" t="str">
        <f t="shared" si="15"/>
        <v/>
      </c>
    </row>
    <row r="211" spans="1:28">
      <c r="A211" s="19">
        <v>208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Q211" s="14"/>
      <c r="R211" s="7"/>
      <c r="S211" s="15" t="str">
        <f t="shared" si="12"/>
        <v/>
      </c>
      <c r="T211" s="14"/>
      <c r="U211" s="7"/>
      <c r="V211" s="15" t="str">
        <f t="shared" si="13"/>
        <v/>
      </c>
      <c r="W211" s="14"/>
      <c r="X211" s="7"/>
      <c r="Y211" s="15" t="str">
        <f t="shared" si="14"/>
        <v/>
      </c>
      <c r="Z211" s="14"/>
      <c r="AA211" s="7"/>
      <c r="AB211" s="15" t="str">
        <f t="shared" si="15"/>
        <v/>
      </c>
    </row>
    <row r="212" spans="1:28">
      <c r="A212" s="19">
        <v>209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Q212" s="14"/>
      <c r="R212" s="7"/>
      <c r="S212" s="15" t="str">
        <f t="shared" si="12"/>
        <v/>
      </c>
      <c r="T212" s="14"/>
      <c r="U212" s="7"/>
      <c r="V212" s="15" t="str">
        <f t="shared" si="13"/>
        <v/>
      </c>
      <c r="W212" s="14"/>
      <c r="X212" s="7"/>
      <c r="Y212" s="15" t="str">
        <f t="shared" si="14"/>
        <v/>
      </c>
      <c r="Z212" s="14"/>
      <c r="AA212" s="7"/>
      <c r="AB212" s="15" t="str">
        <f t="shared" si="15"/>
        <v/>
      </c>
    </row>
    <row r="213" spans="1:28">
      <c r="A213" s="19">
        <v>210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Q213" s="14"/>
      <c r="R213" s="7"/>
      <c r="S213" s="15" t="str">
        <f t="shared" si="12"/>
        <v/>
      </c>
      <c r="T213" s="14"/>
      <c r="U213" s="7"/>
      <c r="V213" s="15" t="str">
        <f t="shared" si="13"/>
        <v/>
      </c>
      <c r="W213" s="14"/>
      <c r="X213" s="7"/>
      <c r="Y213" s="15" t="str">
        <f t="shared" si="14"/>
        <v/>
      </c>
      <c r="Z213" s="14"/>
      <c r="AA213" s="7"/>
      <c r="AB213" s="15" t="str">
        <f t="shared" si="15"/>
        <v/>
      </c>
    </row>
    <row r="214" spans="1:28">
      <c r="A214" s="19">
        <v>211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Q214" s="14"/>
      <c r="R214" s="7"/>
      <c r="S214" s="15" t="str">
        <f t="shared" si="12"/>
        <v/>
      </c>
      <c r="T214" s="14"/>
      <c r="U214" s="7"/>
      <c r="V214" s="15" t="str">
        <f t="shared" si="13"/>
        <v/>
      </c>
      <c r="W214" s="14"/>
      <c r="X214" s="7"/>
      <c r="Y214" s="15" t="str">
        <f t="shared" si="14"/>
        <v/>
      </c>
      <c r="Z214" s="14"/>
      <c r="AA214" s="7"/>
      <c r="AB214" s="15" t="str">
        <f t="shared" si="15"/>
        <v/>
      </c>
    </row>
    <row r="215" spans="1:28">
      <c r="A215" s="19">
        <v>212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Q215" s="14"/>
      <c r="R215" s="7"/>
      <c r="S215" s="15" t="str">
        <f t="shared" si="12"/>
        <v/>
      </c>
      <c r="T215" s="14"/>
      <c r="U215" s="7"/>
      <c r="V215" s="15" t="str">
        <f t="shared" si="13"/>
        <v/>
      </c>
      <c r="W215" s="14"/>
      <c r="X215" s="7"/>
      <c r="Y215" s="15" t="str">
        <f t="shared" si="14"/>
        <v/>
      </c>
      <c r="Z215" s="14"/>
      <c r="AA215" s="7"/>
      <c r="AB215" s="15" t="str">
        <f t="shared" si="15"/>
        <v/>
      </c>
    </row>
    <row r="216" spans="1:28">
      <c r="A216" s="19">
        <v>213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Q216" s="14"/>
      <c r="R216" s="7"/>
      <c r="S216" s="15" t="str">
        <f t="shared" si="12"/>
        <v/>
      </c>
      <c r="T216" s="14"/>
      <c r="U216" s="7"/>
      <c r="V216" s="15" t="str">
        <f t="shared" si="13"/>
        <v/>
      </c>
      <c r="W216" s="14"/>
      <c r="X216" s="7"/>
      <c r="Y216" s="15" t="str">
        <f t="shared" si="14"/>
        <v/>
      </c>
      <c r="Z216" s="14"/>
      <c r="AA216" s="7"/>
      <c r="AB216" s="15" t="str">
        <f t="shared" si="15"/>
        <v/>
      </c>
    </row>
    <row r="217" spans="1:28">
      <c r="A217" s="19">
        <v>214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Q217" s="14"/>
      <c r="R217" s="7"/>
      <c r="S217" s="15" t="str">
        <f t="shared" si="12"/>
        <v/>
      </c>
      <c r="T217" s="14"/>
      <c r="U217" s="7"/>
      <c r="V217" s="15" t="str">
        <f t="shared" si="13"/>
        <v/>
      </c>
      <c r="W217" s="14"/>
      <c r="X217" s="7"/>
      <c r="Y217" s="15" t="str">
        <f t="shared" si="14"/>
        <v/>
      </c>
      <c r="Z217" s="14"/>
      <c r="AA217" s="7"/>
      <c r="AB217" s="15" t="str">
        <f t="shared" si="15"/>
        <v/>
      </c>
    </row>
    <row r="218" spans="1:28">
      <c r="A218" s="19">
        <v>215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Q218" s="14"/>
      <c r="R218" s="7"/>
      <c r="S218" s="15" t="str">
        <f t="shared" si="12"/>
        <v/>
      </c>
      <c r="T218" s="14"/>
      <c r="U218" s="7"/>
      <c r="V218" s="15" t="str">
        <f t="shared" si="13"/>
        <v/>
      </c>
      <c r="W218" s="14"/>
      <c r="X218" s="7"/>
      <c r="Y218" s="15" t="str">
        <f t="shared" si="14"/>
        <v/>
      </c>
      <c r="Z218" s="14"/>
      <c r="AA218" s="7"/>
      <c r="AB218" s="15" t="str">
        <f t="shared" si="15"/>
        <v/>
      </c>
    </row>
    <row r="219" spans="1:28">
      <c r="A219" s="19">
        <v>216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Q219" s="14"/>
      <c r="R219" s="7"/>
      <c r="S219" s="15" t="str">
        <f t="shared" si="12"/>
        <v/>
      </c>
      <c r="T219" s="14"/>
      <c r="U219" s="7"/>
      <c r="V219" s="15" t="str">
        <f t="shared" si="13"/>
        <v/>
      </c>
      <c r="W219" s="14"/>
      <c r="X219" s="7"/>
      <c r="Y219" s="15" t="str">
        <f t="shared" si="14"/>
        <v/>
      </c>
      <c r="Z219" s="14"/>
      <c r="AA219" s="7"/>
      <c r="AB219" s="15" t="str">
        <f t="shared" si="15"/>
        <v/>
      </c>
    </row>
    <row r="220" spans="1:28">
      <c r="A220" s="19">
        <v>217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Q220" s="14"/>
      <c r="R220" s="7"/>
      <c r="S220" s="15" t="str">
        <f t="shared" si="12"/>
        <v/>
      </c>
      <c r="T220" s="14"/>
      <c r="U220" s="7"/>
      <c r="V220" s="15" t="str">
        <f t="shared" si="13"/>
        <v/>
      </c>
      <c r="W220" s="14"/>
      <c r="X220" s="7"/>
      <c r="Y220" s="15" t="str">
        <f t="shared" si="14"/>
        <v/>
      </c>
      <c r="Z220" s="14"/>
      <c r="AA220" s="7"/>
      <c r="AB220" s="15" t="str">
        <f t="shared" si="15"/>
        <v/>
      </c>
    </row>
    <row r="221" spans="1:28">
      <c r="A221" s="19">
        <v>218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Q221" s="14"/>
      <c r="R221" s="7"/>
      <c r="S221" s="15" t="str">
        <f t="shared" si="12"/>
        <v/>
      </c>
      <c r="T221" s="14"/>
      <c r="U221" s="7"/>
      <c r="V221" s="15" t="str">
        <f t="shared" si="13"/>
        <v/>
      </c>
      <c r="W221" s="14"/>
      <c r="X221" s="7"/>
      <c r="Y221" s="15" t="str">
        <f t="shared" si="14"/>
        <v/>
      </c>
      <c r="Z221" s="14"/>
      <c r="AA221" s="7"/>
      <c r="AB221" s="15" t="str">
        <f t="shared" si="15"/>
        <v/>
      </c>
    </row>
    <row r="222" spans="1:28">
      <c r="A222" s="19">
        <v>219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Q222" s="14"/>
      <c r="R222" s="7"/>
      <c r="S222" s="15" t="str">
        <f t="shared" si="12"/>
        <v/>
      </c>
      <c r="T222" s="14"/>
      <c r="U222" s="7"/>
      <c r="V222" s="15" t="str">
        <f t="shared" si="13"/>
        <v/>
      </c>
      <c r="W222" s="14"/>
      <c r="X222" s="7"/>
      <c r="Y222" s="15" t="str">
        <f t="shared" si="14"/>
        <v/>
      </c>
      <c r="Z222" s="14"/>
      <c r="AA222" s="7"/>
      <c r="AB222" s="15" t="str">
        <f t="shared" si="15"/>
        <v/>
      </c>
    </row>
    <row r="223" spans="1:28">
      <c r="A223" s="19">
        <v>220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Q223" s="14"/>
      <c r="R223" s="7"/>
      <c r="S223" s="15" t="str">
        <f t="shared" si="12"/>
        <v/>
      </c>
      <c r="T223" s="14"/>
      <c r="U223" s="7"/>
      <c r="V223" s="15" t="str">
        <f t="shared" si="13"/>
        <v/>
      </c>
      <c r="W223" s="14"/>
      <c r="X223" s="7"/>
      <c r="Y223" s="15" t="str">
        <f t="shared" si="14"/>
        <v/>
      </c>
      <c r="Z223" s="14"/>
      <c r="AA223" s="7"/>
      <c r="AB223" s="15" t="str">
        <f t="shared" si="15"/>
        <v/>
      </c>
    </row>
    <row r="224" spans="1:28">
      <c r="A224" s="19">
        <v>221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Q224" s="14"/>
      <c r="R224" s="7"/>
      <c r="S224" s="15" t="str">
        <f t="shared" si="12"/>
        <v/>
      </c>
      <c r="T224" s="14"/>
      <c r="U224" s="7"/>
      <c r="V224" s="15" t="str">
        <f t="shared" si="13"/>
        <v/>
      </c>
      <c r="W224" s="14"/>
      <c r="X224" s="7"/>
      <c r="Y224" s="15" t="str">
        <f t="shared" si="14"/>
        <v/>
      </c>
      <c r="Z224" s="14"/>
      <c r="AA224" s="7"/>
      <c r="AB224" s="15" t="str">
        <f t="shared" si="15"/>
        <v/>
      </c>
    </row>
    <row r="225" spans="1:28">
      <c r="A225" s="19">
        <v>222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Q225" s="14"/>
      <c r="R225" s="7"/>
      <c r="S225" s="15" t="str">
        <f t="shared" si="12"/>
        <v/>
      </c>
      <c r="T225" s="14"/>
      <c r="U225" s="7"/>
      <c r="V225" s="15" t="str">
        <f t="shared" si="13"/>
        <v/>
      </c>
      <c r="W225" s="14"/>
      <c r="X225" s="7"/>
      <c r="Y225" s="15" t="str">
        <f t="shared" si="14"/>
        <v/>
      </c>
      <c r="Z225" s="14"/>
      <c r="AA225" s="7"/>
      <c r="AB225" s="15" t="str">
        <f t="shared" si="15"/>
        <v/>
      </c>
    </row>
    <row r="226" spans="1:28">
      <c r="A226" s="19">
        <v>223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Q226" s="14"/>
      <c r="R226" s="7"/>
      <c r="S226" s="15" t="str">
        <f t="shared" si="12"/>
        <v/>
      </c>
      <c r="T226" s="14"/>
      <c r="U226" s="7"/>
      <c r="V226" s="15" t="str">
        <f t="shared" si="13"/>
        <v/>
      </c>
      <c r="W226" s="14"/>
      <c r="X226" s="7"/>
      <c r="Y226" s="15" t="str">
        <f t="shared" si="14"/>
        <v/>
      </c>
      <c r="Z226" s="14"/>
      <c r="AA226" s="7"/>
      <c r="AB226" s="15" t="str">
        <f t="shared" si="15"/>
        <v/>
      </c>
    </row>
    <row r="227" spans="1:28">
      <c r="A227" s="19">
        <v>224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Q227" s="14"/>
      <c r="R227" s="7"/>
      <c r="S227" s="15" t="str">
        <f t="shared" si="12"/>
        <v/>
      </c>
      <c r="T227" s="14"/>
      <c r="U227" s="7"/>
      <c r="V227" s="15" t="str">
        <f t="shared" si="13"/>
        <v/>
      </c>
      <c r="W227" s="14"/>
      <c r="X227" s="7"/>
      <c r="Y227" s="15" t="str">
        <f t="shared" si="14"/>
        <v/>
      </c>
      <c r="Z227" s="14"/>
      <c r="AA227" s="7"/>
      <c r="AB227" s="15" t="str">
        <f t="shared" si="15"/>
        <v/>
      </c>
    </row>
    <row r="228" spans="1:28">
      <c r="A228" s="19">
        <v>225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Q228" s="14"/>
      <c r="R228" s="7"/>
      <c r="S228" s="15" t="str">
        <f t="shared" si="12"/>
        <v/>
      </c>
      <c r="T228" s="14"/>
      <c r="U228" s="7"/>
      <c r="V228" s="15" t="str">
        <f t="shared" si="13"/>
        <v/>
      </c>
      <c r="W228" s="14"/>
      <c r="X228" s="7"/>
      <c r="Y228" s="15" t="str">
        <f t="shared" si="14"/>
        <v/>
      </c>
      <c r="Z228" s="14"/>
      <c r="AA228" s="7"/>
      <c r="AB228" s="15" t="str">
        <f t="shared" si="15"/>
        <v/>
      </c>
    </row>
    <row r="229" spans="1:28">
      <c r="A229" s="19">
        <v>226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Q229" s="14"/>
      <c r="R229" s="7"/>
      <c r="S229" s="15" t="str">
        <f t="shared" si="12"/>
        <v/>
      </c>
      <c r="T229" s="14"/>
      <c r="U229" s="7"/>
      <c r="V229" s="15" t="str">
        <f t="shared" si="13"/>
        <v/>
      </c>
      <c r="W229" s="14"/>
      <c r="X229" s="7"/>
      <c r="Y229" s="15" t="str">
        <f t="shared" si="14"/>
        <v/>
      </c>
      <c r="Z229" s="14"/>
      <c r="AA229" s="7"/>
      <c r="AB229" s="15" t="str">
        <f t="shared" si="15"/>
        <v/>
      </c>
    </row>
    <row r="230" spans="1:28">
      <c r="A230" s="19">
        <v>227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Q230" s="14"/>
      <c r="R230" s="7"/>
      <c r="S230" s="15" t="str">
        <f t="shared" si="12"/>
        <v/>
      </c>
      <c r="T230" s="14"/>
      <c r="U230" s="7"/>
      <c r="V230" s="15" t="str">
        <f t="shared" si="13"/>
        <v/>
      </c>
      <c r="W230" s="14"/>
      <c r="X230" s="7"/>
      <c r="Y230" s="15" t="str">
        <f t="shared" si="14"/>
        <v/>
      </c>
      <c r="Z230" s="14"/>
      <c r="AA230" s="7"/>
      <c r="AB230" s="15" t="str">
        <f t="shared" si="15"/>
        <v/>
      </c>
    </row>
    <row r="231" spans="1:28">
      <c r="A231" s="19">
        <v>228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Q231" s="14"/>
      <c r="R231" s="7"/>
      <c r="S231" s="15" t="str">
        <f t="shared" si="12"/>
        <v/>
      </c>
      <c r="T231" s="14"/>
      <c r="U231" s="7"/>
      <c r="V231" s="15" t="str">
        <f t="shared" si="13"/>
        <v/>
      </c>
      <c r="W231" s="14"/>
      <c r="X231" s="7"/>
      <c r="Y231" s="15" t="str">
        <f t="shared" si="14"/>
        <v/>
      </c>
      <c r="Z231" s="14"/>
      <c r="AA231" s="7"/>
      <c r="AB231" s="15" t="str">
        <f t="shared" si="15"/>
        <v/>
      </c>
    </row>
    <row r="232" spans="1:28">
      <c r="A232" s="19">
        <v>229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Q232" s="14"/>
      <c r="R232" s="7"/>
      <c r="S232" s="15" t="str">
        <f t="shared" si="12"/>
        <v/>
      </c>
      <c r="T232" s="14"/>
      <c r="U232" s="7"/>
      <c r="V232" s="15" t="str">
        <f t="shared" si="13"/>
        <v/>
      </c>
      <c r="W232" s="14"/>
      <c r="X232" s="7"/>
      <c r="Y232" s="15" t="str">
        <f t="shared" si="14"/>
        <v/>
      </c>
      <c r="Z232" s="14"/>
      <c r="AA232" s="7"/>
      <c r="AB232" s="15" t="str">
        <f t="shared" si="15"/>
        <v/>
      </c>
    </row>
    <row r="233" spans="1:28">
      <c r="A233" s="19">
        <v>230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Q233" s="14"/>
      <c r="R233" s="7"/>
      <c r="S233" s="15" t="str">
        <f t="shared" si="12"/>
        <v/>
      </c>
      <c r="T233" s="14"/>
      <c r="U233" s="7"/>
      <c r="V233" s="15" t="str">
        <f t="shared" si="13"/>
        <v/>
      </c>
      <c r="W233" s="14"/>
      <c r="X233" s="7"/>
      <c r="Y233" s="15" t="str">
        <f t="shared" si="14"/>
        <v/>
      </c>
      <c r="Z233" s="14"/>
      <c r="AA233" s="7"/>
      <c r="AB233" s="15" t="str">
        <f t="shared" si="15"/>
        <v/>
      </c>
    </row>
    <row r="234" spans="1:28">
      <c r="A234" s="19">
        <v>231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Q234" s="14"/>
      <c r="R234" s="7"/>
      <c r="S234" s="15" t="str">
        <f t="shared" si="12"/>
        <v/>
      </c>
      <c r="T234" s="14"/>
      <c r="U234" s="7"/>
      <c r="V234" s="15" t="str">
        <f t="shared" si="13"/>
        <v/>
      </c>
      <c r="W234" s="14"/>
      <c r="X234" s="7"/>
      <c r="Y234" s="15" t="str">
        <f t="shared" si="14"/>
        <v/>
      </c>
      <c r="Z234" s="14"/>
      <c r="AA234" s="7"/>
      <c r="AB234" s="15" t="str">
        <f t="shared" si="15"/>
        <v/>
      </c>
    </row>
    <row r="235" spans="1:28">
      <c r="A235" s="19">
        <v>232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Q235" s="14"/>
      <c r="R235" s="7"/>
      <c r="S235" s="15" t="str">
        <f t="shared" si="12"/>
        <v/>
      </c>
      <c r="T235" s="14"/>
      <c r="U235" s="7"/>
      <c r="V235" s="15" t="str">
        <f t="shared" si="13"/>
        <v/>
      </c>
      <c r="W235" s="14"/>
      <c r="X235" s="7"/>
      <c r="Y235" s="15" t="str">
        <f t="shared" si="14"/>
        <v/>
      </c>
      <c r="Z235" s="14"/>
      <c r="AA235" s="7"/>
      <c r="AB235" s="15" t="str">
        <f t="shared" si="15"/>
        <v/>
      </c>
    </row>
    <row r="236" spans="1:28">
      <c r="A236" s="19">
        <v>233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Q236" s="14"/>
      <c r="R236" s="7"/>
      <c r="S236" s="15" t="str">
        <f t="shared" si="12"/>
        <v/>
      </c>
      <c r="T236" s="14"/>
      <c r="U236" s="7"/>
      <c r="V236" s="15" t="str">
        <f t="shared" si="13"/>
        <v/>
      </c>
      <c r="W236" s="14"/>
      <c r="X236" s="7"/>
      <c r="Y236" s="15" t="str">
        <f t="shared" si="14"/>
        <v/>
      </c>
      <c r="Z236" s="14"/>
      <c r="AA236" s="7"/>
      <c r="AB236" s="15" t="str">
        <f t="shared" si="15"/>
        <v/>
      </c>
    </row>
    <row r="237" spans="1:28">
      <c r="A237" s="19">
        <v>234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Q237" s="14"/>
      <c r="R237" s="7"/>
      <c r="S237" s="15" t="str">
        <f t="shared" si="12"/>
        <v/>
      </c>
      <c r="T237" s="14"/>
      <c r="U237" s="7"/>
      <c r="V237" s="15" t="str">
        <f t="shared" si="13"/>
        <v/>
      </c>
      <c r="W237" s="14"/>
      <c r="X237" s="7"/>
      <c r="Y237" s="15" t="str">
        <f t="shared" si="14"/>
        <v/>
      </c>
      <c r="Z237" s="14"/>
      <c r="AA237" s="7"/>
      <c r="AB237" s="15" t="str">
        <f t="shared" si="15"/>
        <v/>
      </c>
    </row>
    <row r="238" spans="1:28">
      <c r="A238" s="19">
        <v>235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Q238" s="14"/>
      <c r="R238" s="7"/>
      <c r="S238" s="15" t="str">
        <f t="shared" si="12"/>
        <v/>
      </c>
      <c r="T238" s="14"/>
      <c r="U238" s="7"/>
      <c r="V238" s="15" t="str">
        <f t="shared" si="13"/>
        <v/>
      </c>
      <c r="W238" s="14"/>
      <c r="X238" s="7"/>
      <c r="Y238" s="15" t="str">
        <f t="shared" si="14"/>
        <v/>
      </c>
      <c r="Z238" s="14"/>
      <c r="AA238" s="7"/>
      <c r="AB238" s="15" t="str">
        <f t="shared" si="15"/>
        <v/>
      </c>
    </row>
    <row r="239" spans="1:28">
      <c r="A239" s="19">
        <v>236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Q239" s="14"/>
      <c r="R239" s="7"/>
      <c r="S239" s="15" t="str">
        <f t="shared" si="12"/>
        <v/>
      </c>
      <c r="T239" s="14"/>
      <c r="U239" s="7"/>
      <c r="V239" s="15" t="str">
        <f t="shared" si="13"/>
        <v/>
      </c>
      <c r="W239" s="14"/>
      <c r="X239" s="7"/>
      <c r="Y239" s="15" t="str">
        <f t="shared" si="14"/>
        <v/>
      </c>
      <c r="Z239" s="14"/>
      <c r="AA239" s="7"/>
      <c r="AB239" s="15" t="str">
        <f t="shared" si="15"/>
        <v/>
      </c>
    </row>
    <row r="240" spans="1:28">
      <c r="A240" s="19">
        <v>237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Q240" s="14"/>
      <c r="R240" s="7"/>
      <c r="S240" s="15" t="str">
        <f t="shared" si="12"/>
        <v/>
      </c>
      <c r="T240" s="14"/>
      <c r="U240" s="7"/>
      <c r="V240" s="15" t="str">
        <f t="shared" si="13"/>
        <v/>
      </c>
      <c r="W240" s="14"/>
      <c r="X240" s="7"/>
      <c r="Y240" s="15" t="str">
        <f t="shared" si="14"/>
        <v/>
      </c>
      <c r="Z240" s="14"/>
      <c r="AA240" s="7"/>
      <c r="AB240" s="15" t="str">
        <f t="shared" si="15"/>
        <v/>
      </c>
    </row>
    <row r="241" spans="1:28">
      <c r="A241" s="19">
        <v>238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Q241" s="14"/>
      <c r="R241" s="7"/>
      <c r="S241" s="15" t="str">
        <f t="shared" si="12"/>
        <v/>
      </c>
      <c r="T241" s="14"/>
      <c r="U241" s="7"/>
      <c r="V241" s="15" t="str">
        <f t="shared" si="13"/>
        <v/>
      </c>
      <c r="W241" s="14"/>
      <c r="X241" s="7"/>
      <c r="Y241" s="15" t="str">
        <f t="shared" si="14"/>
        <v/>
      </c>
      <c r="Z241" s="14"/>
      <c r="AA241" s="7"/>
      <c r="AB241" s="15" t="str">
        <f t="shared" si="15"/>
        <v/>
      </c>
    </row>
    <row r="242" spans="1:28">
      <c r="A242" s="19">
        <v>239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Q242" s="14"/>
      <c r="R242" s="7"/>
      <c r="S242" s="15" t="str">
        <f t="shared" si="12"/>
        <v/>
      </c>
      <c r="T242" s="14"/>
      <c r="U242" s="7"/>
      <c r="V242" s="15" t="str">
        <f t="shared" si="13"/>
        <v/>
      </c>
      <c r="W242" s="14"/>
      <c r="X242" s="7"/>
      <c r="Y242" s="15" t="str">
        <f t="shared" si="14"/>
        <v/>
      </c>
      <c r="Z242" s="14"/>
      <c r="AA242" s="7"/>
      <c r="AB242" s="15" t="str">
        <f t="shared" si="15"/>
        <v/>
      </c>
    </row>
    <row r="243" spans="1:28">
      <c r="A243" s="19">
        <v>240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Q243" s="14"/>
      <c r="R243" s="7"/>
      <c r="S243" s="15" t="str">
        <f t="shared" si="12"/>
        <v/>
      </c>
      <c r="T243" s="14"/>
      <c r="U243" s="7"/>
      <c r="V243" s="15" t="str">
        <f t="shared" si="13"/>
        <v/>
      </c>
      <c r="W243" s="14"/>
      <c r="X243" s="7"/>
      <c r="Y243" s="15" t="str">
        <f t="shared" si="14"/>
        <v/>
      </c>
      <c r="Z243" s="14"/>
      <c r="AA243" s="7"/>
      <c r="AB243" s="15" t="str">
        <f t="shared" si="15"/>
        <v/>
      </c>
    </row>
    <row r="244" spans="1:28">
      <c r="A244" s="19">
        <v>241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Q244" s="14"/>
      <c r="R244" s="7"/>
      <c r="S244" s="15" t="str">
        <f t="shared" si="12"/>
        <v/>
      </c>
      <c r="T244" s="14"/>
      <c r="U244" s="7"/>
      <c r="V244" s="15" t="str">
        <f t="shared" si="13"/>
        <v/>
      </c>
      <c r="W244" s="14"/>
      <c r="X244" s="7"/>
      <c r="Y244" s="15" t="str">
        <f t="shared" si="14"/>
        <v/>
      </c>
      <c r="Z244" s="14"/>
      <c r="AA244" s="7"/>
      <c r="AB244" s="15" t="str">
        <f t="shared" si="15"/>
        <v/>
      </c>
    </row>
    <row r="245" spans="1:28">
      <c r="A245" s="19">
        <v>242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Q245" s="14"/>
      <c r="R245" s="7"/>
      <c r="S245" s="15" t="str">
        <f t="shared" si="12"/>
        <v/>
      </c>
      <c r="T245" s="14"/>
      <c r="U245" s="7"/>
      <c r="V245" s="15" t="str">
        <f t="shared" si="13"/>
        <v/>
      </c>
      <c r="W245" s="14"/>
      <c r="X245" s="7"/>
      <c r="Y245" s="15" t="str">
        <f t="shared" si="14"/>
        <v/>
      </c>
      <c r="Z245" s="14"/>
      <c r="AA245" s="7"/>
      <c r="AB245" s="15" t="str">
        <f t="shared" si="15"/>
        <v/>
      </c>
    </row>
    <row r="246" spans="1:28">
      <c r="A246" s="19">
        <v>243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Q246" s="14"/>
      <c r="R246" s="7"/>
      <c r="S246" s="15" t="str">
        <f t="shared" si="12"/>
        <v/>
      </c>
      <c r="T246" s="14"/>
      <c r="U246" s="7"/>
      <c r="V246" s="15" t="str">
        <f t="shared" si="13"/>
        <v/>
      </c>
      <c r="W246" s="14"/>
      <c r="X246" s="7"/>
      <c r="Y246" s="15" t="str">
        <f t="shared" si="14"/>
        <v/>
      </c>
      <c r="Z246" s="14"/>
      <c r="AA246" s="7"/>
      <c r="AB246" s="15" t="str">
        <f t="shared" si="15"/>
        <v/>
      </c>
    </row>
    <row r="247" spans="1:28">
      <c r="A247" s="19">
        <v>244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Q247" s="14"/>
      <c r="R247" s="7"/>
      <c r="S247" s="15" t="str">
        <f t="shared" si="12"/>
        <v/>
      </c>
      <c r="T247" s="14"/>
      <c r="U247" s="7"/>
      <c r="V247" s="15" t="str">
        <f t="shared" si="13"/>
        <v/>
      </c>
      <c r="W247" s="14"/>
      <c r="X247" s="7"/>
      <c r="Y247" s="15" t="str">
        <f t="shared" si="14"/>
        <v/>
      </c>
      <c r="Z247" s="14"/>
      <c r="AA247" s="7"/>
      <c r="AB247" s="15" t="str">
        <f t="shared" si="15"/>
        <v/>
      </c>
    </row>
    <row r="248" spans="1:28">
      <c r="A248" s="19">
        <v>245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Q248" s="14"/>
      <c r="R248" s="7"/>
      <c r="S248" s="15" t="str">
        <f t="shared" si="12"/>
        <v/>
      </c>
      <c r="T248" s="14"/>
      <c r="U248" s="7"/>
      <c r="V248" s="15" t="str">
        <f t="shared" si="13"/>
        <v/>
      </c>
      <c r="W248" s="14"/>
      <c r="X248" s="7"/>
      <c r="Y248" s="15" t="str">
        <f t="shared" si="14"/>
        <v/>
      </c>
      <c r="Z248" s="14"/>
      <c r="AA248" s="7"/>
      <c r="AB248" s="15" t="str">
        <f t="shared" si="15"/>
        <v/>
      </c>
    </row>
    <row r="249" spans="1:28">
      <c r="A249" s="19">
        <v>246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Q249" s="14"/>
      <c r="R249" s="7"/>
      <c r="S249" s="15" t="str">
        <f t="shared" si="12"/>
        <v/>
      </c>
      <c r="T249" s="14"/>
      <c r="U249" s="7"/>
      <c r="V249" s="15" t="str">
        <f t="shared" si="13"/>
        <v/>
      </c>
      <c r="W249" s="14"/>
      <c r="X249" s="7"/>
      <c r="Y249" s="15" t="str">
        <f t="shared" si="14"/>
        <v/>
      </c>
      <c r="Z249" s="14"/>
      <c r="AA249" s="7"/>
      <c r="AB249" s="15" t="str">
        <f t="shared" si="15"/>
        <v/>
      </c>
    </row>
    <row r="250" spans="1:28">
      <c r="A250" s="19">
        <v>247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Q250" s="14"/>
      <c r="R250" s="7"/>
      <c r="S250" s="15" t="str">
        <f t="shared" si="12"/>
        <v/>
      </c>
      <c r="T250" s="14"/>
      <c r="U250" s="7"/>
      <c r="V250" s="15" t="str">
        <f t="shared" si="13"/>
        <v/>
      </c>
      <c r="W250" s="14"/>
      <c r="X250" s="7"/>
      <c r="Y250" s="15" t="str">
        <f t="shared" si="14"/>
        <v/>
      </c>
      <c r="Z250" s="14"/>
      <c r="AA250" s="7"/>
      <c r="AB250" s="15" t="str">
        <f t="shared" si="15"/>
        <v/>
      </c>
    </row>
    <row r="251" spans="1:28">
      <c r="A251" s="19">
        <v>248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Q251" s="14"/>
      <c r="R251" s="7"/>
      <c r="S251" s="15" t="str">
        <f t="shared" si="12"/>
        <v/>
      </c>
      <c r="T251" s="14"/>
      <c r="U251" s="7"/>
      <c r="V251" s="15" t="str">
        <f t="shared" si="13"/>
        <v/>
      </c>
      <c r="W251" s="14"/>
      <c r="X251" s="7"/>
      <c r="Y251" s="15" t="str">
        <f t="shared" si="14"/>
        <v/>
      </c>
      <c r="Z251" s="14"/>
      <c r="AA251" s="7"/>
      <c r="AB251" s="15" t="str">
        <f t="shared" si="15"/>
        <v/>
      </c>
    </row>
    <row r="252" spans="1:28">
      <c r="A252" s="19">
        <v>249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Q252" s="14"/>
      <c r="R252" s="7"/>
      <c r="S252" s="15" t="str">
        <f t="shared" si="12"/>
        <v/>
      </c>
      <c r="T252" s="14"/>
      <c r="U252" s="7"/>
      <c r="V252" s="15" t="str">
        <f t="shared" si="13"/>
        <v/>
      </c>
      <c r="W252" s="14"/>
      <c r="X252" s="7"/>
      <c r="Y252" s="15" t="str">
        <f t="shared" si="14"/>
        <v/>
      </c>
      <c r="Z252" s="14"/>
      <c r="AA252" s="7"/>
      <c r="AB252" s="15" t="str">
        <f t="shared" si="15"/>
        <v/>
      </c>
    </row>
    <row r="253" spans="1:28">
      <c r="A253" s="19">
        <v>250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Q253" s="14"/>
      <c r="R253" s="7"/>
      <c r="S253" s="15" t="str">
        <f t="shared" si="12"/>
        <v/>
      </c>
      <c r="T253" s="14"/>
      <c r="U253" s="7"/>
      <c r="V253" s="15" t="str">
        <f t="shared" si="13"/>
        <v/>
      </c>
      <c r="W253" s="14"/>
      <c r="X253" s="7"/>
      <c r="Y253" s="15" t="str">
        <f t="shared" si="14"/>
        <v/>
      </c>
      <c r="Z253" s="14"/>
      <c r="AA253" s="7"/>
      <c r="AB253" s="15" t="str">
        <f t="shared" si="15"/>
        <v/>
      </c>
    </row>
    <row r="254" spans="1:28">
      <c r="A254" s="19">
        <v>251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Q254" s="14"/>
      <c r="R254" s="7"/>
      <c r="S254" s="15" t="str">
        <f t="shared" si="12"/>
        <v/>
      </c>
      <c r="T254" s="14"/>
      <c r="U254" s="7"/>
      <c r="V254" s="15" t="str">
        <f t="shared" si="13"/>
        <v/>
      </c>
      <c r="W254" s="14"/>
      <c r="X254" s="7"/>
      <c r="Y254" s="15" t="str">
        <f t="shared" si="14"/>
        <v/>
      </c>
      <c r="Z254" s="14"/>
      <c r="AA254" s="7"/>
      <c r="AB254" s="15" t="str">
        <f t="shared" si="15"/>
        <v/>
      </c>
    </row>
    <row r="255" spans="1:28">
      <c r="A255" s="19">
        <v>252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Q255" s="14"/>
      <c r="R255" s="7"/>
      <c r="S255" s="15" t="str">
        <f t="shared" si="12"/>
        <v/>
      </c>
      <c r="T255" s="14"/>
      <c r="U255" s="7"/>
      <c r="V255" s="15" t="str">
        <f t="shared" si="13"/>
        <v/>
      </c>
      <c r="W255" s="14"/>
      <c r="X255" s="7"/>
      <c r="Y255" s="15" t="str">
        <f t="shared" si="14"/>
        <v/>
      </c>
      <c r="Z255" s="14"/>
      <c r="AA255" s="7"/>
      <c r="AB255" s="15" t="str">
        <f t="shared" si="15"/>
        <v/>
      </c>
    </row>
    <row r="256" spans="1:28">
      <c r="A256" s="19">
        <v>253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Q256" s="14"/>
      <c r="R256" s="7"/>
      <c r="S256" s="15" t="str">
        <f t="shared" si="12"/>
        <v/>
      </c>
      <c r="T256" s="14"/>
      <c r="U256" s="7"/>
      <c r="V256" s="15" t="str">
        <f t="shared" si="13"/>
        <v/>
      </c>
      <c r="W256" s="14"/>
      <c r="X256" s="7"/>
      <c r="Y256" s="15" t="str">
        <f t="shared" si="14"/>
        <v/>
      </c>
      <c r="Z256" s="14"/>
      <c r="AA256" s="7"/>
      <c r="AB256" s="15" t="str">
        <f t="shared" si="15"/>
        <v/>
      </c>
    </row>
    <row r="257" spans="1:28">
      <c r="A257" s="19">
        <v>254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Q257" s="14"/>
      <c r="R257" s="7"/>
      <c r="S257" s="15" t="str">
        <f t="shared" si="12"/>
        <v/>
      </c>
      <c r="T257" s="14"/>
      <c r="U257" s="7"/>
      <c r="V257" s="15" t="str">
        <f t="shared" si="13"/>
        <v/>
      </c>
      <c r="W257" s="14"/>
      <c r="X257" s="7"/>
      <c r="Y257" s="15" t="str">
        <f t="shared" si="14"/>
        <v/>
      </c>
      <c r="Z257" s="14"/>
      <c r="AA257" s="7"/>
      <c r="AB257" s="15" t="str">
        <f t="shared" si="15"/>
        <v/>
      </c>
    </row>
    <row r="258" spans="1:28">
      <c r="A258" s="19">
        <v>255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Q258" s="14"/>
      <c r="R258" s="7"/>
      <c r="S258" s="15" t="str">
        <f t="shared" si="12"/>
        <v/>
      </c>
      <c r="T258" s="14"/>
      <c r="U258" s="7"/>
      <c r="V258" s="15" t="str">
        <f t="shared" si="13"/>
        <v/>
      </c>
      <c r="W258" s="14"/>
      <c r="X258" s="7"/>
      <c r="Y258" s="15" t="str">
        <f t="shared" si="14"/>
        <v/>
      </c>
      <c r="Z258" s="14"/>
      <c r="AA258" s="7"/>
      <c r="AB258" s="15" t="str">
        <f t="shared" si="15"/>
        <v/>
      </c>
    </row>
    <row r="259" spans="1:28">
      <c r="A259" s="19">
        <v>256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Q259" s="14"/>
      <c r="R259" s="7"/>
      <c r="S259" s="15" t="str">
        <f t="shared" si="12"/>
        <v/>
      </c>
      <c r="T259" s="14"/>
      <c r="U259" s="7"/>
      <c r="V259" s="15" t="str">
        <f t="shared" si="13"/>
        <v/>
      </c>
      <c r="W259" s="14"/>
      <c r="X259" s="7"/>
      <c r="Y259" s="15" t="str">
        <f t="shared" si="14"/>
        <v/>
      </c>
      <c r="Z259" s="14"/>
      <c r="AA259" s="7"/>
      <c r="AB259" s="15" t="str">
        <f t="shared" si="15"/>
        <v/>
      </c>
    </row>
    <row r="260" spans="1:28">
      <c r="A260" s="19">
        <v>257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Q260" s="14"/>
      <c r="R260" s="7"/>
      <c r="S260" s="15" t="str">
        <f t="shared" si="12"/>
        <v/>
      </c>
      <c r="T260" s="14"/>
      <c r="U260" s="7"/>
      <c r="V260" s="15" t="str">
        <f t="shared" si="13"/>
        <v/>
      </c>
      <c r="W260" s="14"/>
      <c r="X260" s="7"/>
      <c r="Y260" s="15" t="str">
        <f t="shared" si="14"/>
        <v/>
      </c>
      <c r="Z260" s="14"/>
      <c r="AA260" s="7"/>
      <c r="AB260" s="15" t="str">
        <f t="shared" si="15"/>
        <v/>
      </c>
    </row>
    <row r="261" spans="1:28">
      <c r="A261" s="19">
        <v>258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Q261" s="14"/>
      <c r="R261" s="7"/>
      <c r="S261" s="15" t="str">
        <f t="shared" ref="S261:S324" si="16">IF(OR($H261="",Q261=""),"",Q261+(R261/$H261))</f>
        <v/>
      </c>
      <c r="T261" s="14"/>
      <c r="U261" s="7"/>
      <c r="V261" s="15" t="str">
        <f t="shared" ref="V261:V324" si="17">IF(OR($H261="",T261=""),"",T261+(U261/$H261))</f>
        <v/>
      </c>
      <c r="W261" s="14"/>
      <c r="X261" s="7"/>
      <c r="Y261" s="15" t="str">
        <f t="shared" ref="Y261:Y324" si="18">IF(OR($H261="",W261=""),"",W261+(X261/$H261))</f>
        <v/>
      </c>
      <c r="Z261" s="14"/>
      <c r="AA261" s="7"/>
      <c r="AB261" s="15" t="str">
        <f t="shared" ref="AB261:AB324" si="19">IF(OR($H261="",Z261=""),"",Z261+(AA261/$H261))</f>
        <v/>
      </c>
    </row>
    <row r="262" spans="1:28">
      <c r="A262" s="19">
        <v>259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Q262" s="14"/>
      <c r="R262" s="7"/>
      <c r="S262" s="15" t="str">
        <f t="shared" si="16"/>
        <v/>
      </c>
      <c r="T262" s="14"/>
      <c r="U262" s="7"/>
      <c r="V262" s="15" t="str">
        <f t="shared" si="17"/>
        <v/>
      </c>
      <c r="W262" s="14"/>
      <c r="X262" s="7"/>
      <c r="Y262" s="15" t="str">
        <f t="shared" si="18"/>
        <v/>
      </c>
      <c r="Z262" s="14"/>
      <c r="AA262" s="7"/>
      <c r="AB262" s="15" t="str">
        <f t="shared" si="19"/>
        <v/>
      </c>
    </row>
    <row r="263" spans="1:28">
      <c r="A263" s="19">
        <v>260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Q263" s="14"/>
      <c r="R263" s="7"/>
      <c r="S263" s="15" t="str">
        <f t="shared" si="16"/>
        <v/>
      </c>
      <c r="T263" s="14"/>
      <c r="U263" s="7"/>
      <c r="V263" s="15" t="str">
        <f t="shared" si="17"/>
        <v/>
      </c>
      <c r="W263" s="14"/>
      <c r="X263" s="7"/>
      <c r="Y263" s="15" t="str">
        <f t="shared" si="18"/>
        <v/>
      </c>
      <c r="Z263" s="14"/>
      <c r="AA263" s="7"/>
      <c r="AB263" s="15" t="str">
        <f t="shared" si="19"/>
        <v/>
      </c>
    </row>
    <row r="264" spans="1:28">
      <c r="A264" s="19">
        <v>261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Q264" s="14"/>
      <c r="R264" s="7"/>
      <c r="S264" s="15" t="str">
        <f t="shared" si="16"/>
        <v/>
      </c>
      <c r="T264" s="14"/>
      <c r="U264" s="7"/>
      <c r="V264" s="15" t="str">
        <f t="shared" si="17"/>
        <v/>
      </c>
      <c r="W264" s="14"/>
      <c r="X264" s="7"/>
      <c r="Y264" s="15" t="str">
        <f t="shared" si="18"/>
        <v/>
      </c>
      <c r="Z264" s="14"/>
      <c r="AA264" s="7"/>
      <c r="AB264" s="15" t="str">
        <f t="shared" si="19"/>
        <v/>
      </c>
    </row>
    <row r="265" spans="1:28">
      <c r="A265" s="19">
        <v>262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Q265" s="14"/>
      <c r="R265" s="7"/>
      <c r="S265" s="15" t="str">
        <f t="shared" si="16"/>
        <v/>
      </c>
      <c r="T265" s="14"/>
      <c r="U265" s="7"/>
      <c r="V265" s="15" t="str">
        <f t="shared" si="17"/>
        <v/>
      </c>
      <c r="W265" s="14"/>
      <c r="X265" s="7"/>
      <c r="Y265" s="15" t="str">
        <f t="shared" si="18"/>
        <v/>
      </c>
      <c r="Z265" s="14"/>
      <c r="AA265" s="7"/>
      <c r="AB265" s="15" t="str">
        <f t="shared" si="19"/>
        <v/>
      </c>
    </row>
    <row r="266" spans="1:28">
      <c r="A266" s="19">
        <v>263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Q266" s="14"/>
      <c r="R266" s="7"/>
      <c r="S266" s="15" t="str">
        <f t="shared" si="16"/>
        <v/>
      </c>
      <c r="T266" s="14"/>
      <c r="U266" s="7"/>
      <c r="V266" s="15" t="str">
        <f t="shared" si="17"/>
        <v/>
      </c>
      <c r="W266" s="14"/>
      <c r="X266" s="7"/>
      <c r="Y266" s="15" t="str">
        <f t="shared" si="18"/>
        <v/>
      </c>
      <c r="Z266" s="14"/>
      <c r="AA266" s="7"/>
      <c r="AB266" s="15" t="str">
        <f t="shared" si="19"/>
        <v/>
      </c>
    </row>
    <row r="267" spans="1:28">
      <c r="A267" s="19">
        <v>264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Q267" s="14"/>
      <c r="R267" s="7"/>
      <c r="S267" s="15" t="str">
        <f t="shared" si="16"/>
        <v/>
      </c>
      <c r="T267" s="14"/>
      <c r="U267" s="7"/>
      <c r="V267" s="15" t="str">
        <f t="shared" si="17"/>
        <v/>
      </c>
      <c r="W267" s="14"/>
      <c r="X267" s="7"/>
      <c r="Y267" s="15" t="str">
        <f t="shared" si="18"/>
        <v/>
      </c>
      <c r="Z267" s="14"/>
      <c r="AA267" s="7"/>
      <c r="AB267" s="15" t="str">
        <f t="shared" si="19"/>
        <v/>
      </c>
    </row>
    <row r="268" spans="1:28">
      <c r="A268" s="19">
        <v>265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Q268" s="14"/>
      <c r="R268" s="7"/>
      <c r="S268" s="15" t="str">
        <f t="shared" si="16"/>
        <v/>
      </c>
      <c r="T268" s="14"/>
      <c r="U268" s="7"/>
      <c r="V268" s="15" t="str">
        <f t="shared" si="17"/>
        <v/>
      </c>
      <c r="W268" s="14"/>
      <c r="X268" s="7"/>
      <c r="Y268" s="15" t="str">
        <f t="shared" si="18"/>
        <v/>
      </c>
      <c r="Z268" s="14"/>
      <c r="AA268" s="7"/>
      <c r="AB268" s="15" t="str">
        <f t="shared" si="19"/>
        <v/>
      </c>
    </row>
    <row r="269" spans="1:28">
      <c r="A269" s="19">
        <v>266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Q269" s="14"/>
      <c r="R269" s="7"/>
      <c r="S269" s="15" t="str">
        <f t="shared" si="16"/>
        <v/>
      </c>
      <c r="T269" s="14"/>
      <c r="U269" s="7"/>
      <c r="V269" s="15" t="str">
        <f t="shared" si="17"/>
        <v/>
      </c>
      <c r="W269" s="14"/>
      <c r="X269" s="7"/>
      <c r="Y269" s="15" t="str">
        <f t="shared" si="18"/>
        <v/>
      </c>
      <c r="Z269" s="14"/>
      <c r="AA269" s="7"/>
      <c r="AB269" s="15" t="str">
        <f t="shared" si="19"/>
        <v/>
      </c>
    </row>
    <row r="270" spans="1:28">
      <c r="A270" s="19">
        <v>267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Q270" s="14"/>
      <c r="R270" s="7"/>
      <c r="S270" s="15" t="str">
        <f t="shared" si="16"/>
        <v/>
      </c>
      <c r="T270" s="14"/>
      <c r="U270" s="7"/>
      <c r="V270" s="15" t="str">
        <f t="shared" si="17"/>
        <v/>
      </c>
      <c r="W270" s="14"/>
      <c r="X270" s="7"/>
      <c r="Y270" s="15" t="str">
        <f t="shared" si="18"/>
        <v/>
      </c>
      <c r="Z270" s="14"/>
      <c r="AA270" s="7"/>
      <c r="AB270" s="15" t="str">
        <f t="shared" si="19"/>
        <v/>
      </c>
    </row>
    <row r="271" spans="1:28">
      <c r="A271" s="19">
        <v>268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Q271" s="14"/>
      <c r="R271" s="7"/>
      <c r="S271" s="15" t="str">
        <f t="shared" si="16"/>
        <v/>
      </c>
      <c r="T271" s="14"/>
      <c r="U271" s="7"/>
      <c r="V271" s="15" t="str">
        <f t="shared" si="17"/>
        <v/>
      </c>
      <c r="W271" s="14"/>
      <c r="X271" s="7"/>
      <c r="Y271" s="15" t="str">
        <f t="shared" si="18"/>
        <v/>
      </c>
      <c r="Z271" s="14"/>
      <c r="AA271" s="7"/>
      <c r="AB271" s="15" t="str">
        <f t="shared" si="19"/>
        <v/>
      </c>
    </row>
    <row r="272" spans="1:28">
      <c r="A272" s="19">
        <v>269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Q272" s="14"/>
      <c r="R272" s="7"/>
      <c r="S272" s="15" t="str">
        <f t="shared" si="16"/>
        <v/>
      </c>
      <c r="T272" s="14"/>
      <c r="U272" s="7"/>
      <c r="V272" s="15" t="str">
        <f t="shared" si="17"/>
        <v/>
      </c>
      <c r="W272" s="14"/>
      <c r="X272" s="7"/>
      <c r="Y272" s="15" t="str">
        <f t="shared" si="18"/>
        <v/>
      </c>
      <c r="Z272" s="14"/>
      <c r="AA272" s="7"/>
      <c r="AB272" s="15" t="str">
        <f t="shared" si="19"/>
        <v/>
      </c>
    </row>
    <row r="273" spans="1:28">
      <c r="A273" s="19">
        <v>270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Q273" s="14"/>
      <c r="R273" s="7"/>
      <c r="S273" s="15" t="str">
        <f t="shared" si="16"/>
        <v/>
      </c>
      <c r="T273" s="14"/>
      <c r="U273" s="7"/>
      <c r="V273" s="15" t="str">
        <f t="shared" si="17"/>
        <v/>
      </c>
      <c r="W273" s="14"/>
      <c r="X273" s="7"/>
      <c r="Y273" s="15" t="str">
        <f t="shared" si="18"/>
        <v/>
      </c>
      <c r="Z273" s="14"/>
      <c r="AA273" s="7"/>
      <c r="AB273" s="15" t="str">
        <f t="shared" si="19"/>
        <v/>
      </c>
    </row>
    <row r="274" spans="1:28">
      <c r="A274" s="19">
        <v>271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Q274" s="14"/>
      <c r="R274" s="7"/>
      <c r="S274" s="15" t="str">
        <f t="shared" si="16"/>
        <v/>
      </c>
      <c r="T274" s="14"/>
      <c r="U274" s="7"/>
      <c r="V274" s="15" t="str">
        <f t="shared" si="17"/>
        <v/>
      </c>
      <c r="W274" s="14"/>
      <c r="X274" s="7"/>
      <c r="Y274" s="15" t="str">
        <f t="shared" si="18"/>
        <v/>
      </c>
      <c r="Z274" s="14"/>
      <c r="AA274" s="7"/>
      <c r="AB274" s="15" t="str">
        <f t="shared" si="19"/>
        <v/>
      </c>
    </row>
    <row r="275" spans="1:28">
      <c r="A275" s="19">
        <v>272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Q275" s="14"/>
      <c r="R275" s="7"/>
      <c r="S275" s="15" t="str">
        <f t="shared" si="16"/>
        <v/>
      </c>
      <c r="T275" s="14"/>
      <c r="U275" s="7"/>
      <c r="V275" s="15" t="str">
        <f t="shared" si="17"/>
        <v/>
      </c>
      <c r="W275" s="14"/>
      <c r="X275" s="7"/>
      <c r="Y275" s="15" t="str">
        <f t="shared" si="18"/>
        <v/>
      </c>
      <c r="Z275" s="14"/>
      <c r="AA275" s="7"/>
      <c r="AB275" s="15" t="str">
        <f t="shared" si="19"/>
        <v/>
      </c>
    </row>
    <row r="276" spans="1:28">
      <c r="A276" s="19">
        <v>273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Q276" s="14"/>
      <c r="R276" s="7"/>
      <c r="S276" s="15" t="str">
        <f t="shared" si="16"/>
        <v/>
      </c>
      <c r="T276" s="14"/>
      <c r="U276" s="7"/>
      <c r="V276" s="15" t="str">
        <f t="shared" si="17"/>
        <v/>
      </c>
      <c r="W276" s="14"/>
      <c r="X276" s="7"/>
      <c r="Y276" s="15" t="str">
        <f t="shared" si="18"/>
        <v/>
      </c>
      <c r="Z276" s="14"/>
      <c r="AA276" s="7"/>
      <c r="AB276" s="15" t="str">
        <f t="shared" si="19"/>
        <v/>
      </c>
    </row>
    <row r="277" spans="1:28">
      <c r="A277" s="19">
        <v>274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Q277" s="14"/>
      <c r="R277" s="7"/>
      <c r="S277" s="15" t="str">
        <f t="shared" si="16"/>
        <v/>
      </c>
      <c r="T277" s="14"/>
      <c r="U277" s="7"/>
      <c r="V277" s="15" t="str">
        <f t="shared" si="17"/>
        <v/>
      </c>
      <c r="W277" s="14"/>
      <c r="X277" s="7"/>
      <c r="Y277" s="15" t="str">
        <f t="shared" si="18"/>
        <v/>
      </c>
      <c r="Z277" s="14"/>
      <c r="AA277" s="7"/>
      <c r="AB277" s="15" t="str">
        <f t="shared" si="19"/>
        <v/>
      </c>
    </row>
    <row r="278" spans="1:28">
      <c r="A278" s="19">
        <v>275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Q278" s="14"/>
      <c r="R278" s="7"/>
      <c r="S278" s="15" t="str">
        <f t="shared" si="16"/>
        <v/>
      </c>
      <c r="T278" s="14"/>
      <c r="U278" s="7"/>
      <c r="V278" s="15" t="str">
        <f t="shared" si="17"/>
        <v/>
      </c>
      <c r="W278" s="14"/>
      <c r="X278" s="7"/>
      <c r="Y278" s="15" t="str">
        <f t="shared" si="18"/>
        <v/>
      </c>
      <c r="Z278" s="14"/>
      <c r="AA278" s="7"/>
      <c r="AB278" s="15" t="str">
        <f t="shared" si="19"/>
        <v/>
      </c>
    </row>
    <row r="279" spans="1:28">
      <c r="A279" s="19">
        <v>276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Q279" s="14"/>
      <c r="R279" s="7"/>
      <c r="S279" s="15" t="str">
        <f t="shared" si="16"/>
        <v/>
      </c>
      <c r="T279" s="14"/>
      <c r="U279" s="7"/>
      <c r="V279" s="15" t="str">
        <f t="shared" si="17"/>
        <v/>
      </c>
      <c r="W279" s="14"/>
      <c r="X279" s="7"/>
      <c r="Y279" s="15" t="str">
        <f t="shared" si="18"/>
        <v/>
      </c>
      <c r="Z279" s="14"/>
      <c r="AA279" s="7"/>
      <c r="AB279" s="15" t="str">
        <f t="shared" si="19"/>
        <v/>
      </c>
    </row>
    <row r="280" spans="1:28">
      <c r="A280" s="19">
        <v>277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Q280" s="14"/>
      <c r="R280" s="7"/>
      <c r="S280" s="15" t="str">
        <f t="shared" si="16"/>
        <v/>
      </c>
      <c r="T280" s="14"/>
      <c r="U280" s="7"/>
      <c r="V280" s="15" t="str">
        <f t="shared" si="17"/>
        <v/>
      </c>
      <c r="W280" s="14"/>
      <c r="X280" s="7"/>
      <c r="Y280" s="15" t="str">
        <f t="shared" si="18"/>
        <v/>
      </c>
      <c r="Z280" s="14"/>
      <c r="AA280" s="7"/>
      <c r="AB280" s="15" t="str">
        <f t="shared" si="19"/>
        <v/>
      </c>
    </row>
    <row r="281" spans="1:28">
      <c r="A281" s="19">
        <v>278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Q281" s="14"/>
      <c r="R281" s="7"/>
      <c r="S281" s="15" t="str">
        <f t="shared" si="16"/>
        <v/>
      </c>
      <c r="T281" s="14"/>
      <c r="U281" s="7"/>
      <c r="V281" s="15" t="str">
        <f t="shared" si="17"/>
        <v/>
      </c>
      <c r="W281" s="14"/>
      <c r="X281" s="7"/>
      <c r="Y281" s="15" t="str">
        <f t="shared" si="18"/>
        <v/>
      </c>
      <c r="Z281" s="14"/>
      <c r="AA281" s="7"/>
      <c r="AB281" s="15" t="str">
        <f t="shared" si="19"/>
        <v/>
      </c>
    </row>
    <row r="282" spans="1:28">
      <c r="A282" s="19">
        <v>279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Q282" s="14"/>
      <c r="R282" s="7"/>
      <c r="S282" s="15" t="str">
        <f t="shared" si="16"/>
        <v/>
      </c>
      <c r="T282" s="14"/>
      <c r="U282" s="7"/>
      <c r="V282" s="15" t="str">
        <f t="shared" si="17"/>
        <v/>
      </c>
      <c r="W282" s="14"/>
      <c r="X282" s="7"/>
      <c r="Y282" s="15" t="str">
        <f t="shared" si="18"/>
        <v/>
      </c>
      <c r="Z282" s="14"/>
      <c r="AA282" s="7"/>
      <c r="AB282" s="15" t="str">
        <f t="shared" si="19"/>
        <v/>
      </c>
    </row>
    <row r="283" spans="1:28">
      <c r="A283" s="19">
        <v>280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Q283" s="14"/>
      <c r="R283" s="7"/>
      <c r="S283" s="15" t="str">
        <f t="shared" si="16"/>
        <v/>
      </c>
      <c r="T283" s="14"/>
      <c r="U283" s="7"/>
      <c r="V283" s="15" t="str">
        <f t="shared" si="17"/>
        <v/>
      </c>
      <c r="W283" s="14"/>
      <c r="X283" s="7"/>
      <c r="Y283" s="15" t="str">
        <f t="shared" si="18"/>
        <v/>
      </c>
      <c r="Z283" s="14"/>
      <c r="AA283" s="7"/>
      <c r="AB283" s="15" t="str">
        <f t="shared" si="19"/>
        <v/>
      </c>
    </row>
    <row r="284" spans="1:28">
      <c r="A284" s="19">
        <v>281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Q284" s="14"/>
      <c r="R284" s="7"/>
      <c r="S284" s="15" t="str">
        <f t="shared" si="16"/>
        <v/>
      </c>
      <c r="T284" s="14"/>
      <c r="U284" s="7"/>
      <c r="V284" s="15" t="str">
        <f t="shared" si="17"/>
        <v/>
      </c>
      <c r="W284" s="14"/>
      <c r="X284" s="7"/>
      <c r="Y284" s="15" t="str">
        <f t="shared" si="18"/>
        <v/>
      </c>
      <c r="Z284" s="14"/>
      <c r="AA284" s="7"/>
      <c r="AB284" s="15" t="str">
        <f t="shared" si="19"/>
        <v/>
      </c>
    </row>
    <row r="285" spans="1:28">
      <c r="A285" s="19">
        <v>282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Q285" s="14"/>
      <c r="R285" s="7"/>
      <c r="S285" s="15" t="str">
        <f t="shared" si="16"/>
        <v/>
      </c>
      <c r="T285" s="14"/>
      <c r="U285" s="7"/>
      <c r="V285" s="15" t="str">
        <f t="shared" si="17"/>
        <v/>
      </c>
      <c r="W285" s="14"/>
      <c r="X285" s="7"/>
      <c r="Y285" s="15" t="str">
        <f t="shared" si="18"/>
        <v/>
      </c>
      <c r="Z285" s="14"/>
      <c r="AA285" s="7"/>
      <c r="AB285" s="15" t="str">
        <f t="shared" si="19"/>
        <v/>
      </c>
    </row>
    <row r="286" spans="1:28">
      <c r="A286" s="19">
        <v>283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Q286" s="14"/>
      <c r="R286" s="7"/>
      <c r="S286" s="15" t="str">
        <f t="shared" si="16"/>
        <v/>
      </c>
      <c r="T286" s="14"/>
      <c r="U286" s="7"/>
      <c r="V286" s="15" t="str">
        <f t="shared" si="17"/>
        <v/>
      </c>
      <c r="W286" s="14"/>
      <c r="X286" s="7"/>
      <c r="Y286" s="15" t="str">
        <f t="shared" si="18"/>
        <v/>
      </c>
      <c r="Z286" s="14"/>
      <c r="AA286" s="7"/>
      <c r="AB286" s="15" t="str">
        <f t="shared" si="19"/>
        <v/>
      </c>
    </row>
    <row r="287" spans="1:28">
      <c r="A287" s="19">
        <v>284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Q287" s="14"/>
      <c r="R287" s="7"/>
      <c r="S287" s="15" t="str">
        <f t="shared" si="16"/>
        <v/>
      </c>
      <c r="T287" s="14"/>
      <c r="U287" s="7"/>
      <c r="V287" s="15" t="str">
        <f t="shared" si="17"/>
        <v/>
      </c>
      <c r="W287" s="14"/>
      <c r="X287" s="7"/>
      <c r="Y287" s="15" t="str">
        <f t="shared" si="18"/>
        <v/>
      </c>
      <c r="Z287" s="14"/>
      <c r="AA287" s="7"/>
      <c r="AB287" s="15" t="str">
        <f t="shared" si="19"/>
        <v/>
      </c>
    </row>
    <row r="288" spans="1:28">
      <c r="A288" s="19">
        <v>285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Q288" s="14"/>
      <c r="R288" s="7"/>
      <c r="S288" s="15" t="str">
        <f t="shared" si="16"/>
        <v/>
      </c>
      <c r="T288" s="14"/>
      <c r="U288" s="7"/>
      <c r="V288" s="15" t="str">
        <f t="shared" si="17"/>
        <v/>
      </c>
      <c r="W288" s="14"/>
      <c r="X288" s="7"/>
      <c r="Y288" s="15" t="str">
        <f t="shared" si="18"/>
        <v/>
      </c>
      <c r="Z288" s="14"/>
      <c r="AA288" s="7"/>
      <c r="AB288" s="15" t="str">
        <f t="shared" si="19"/>
        <v/>
      </c>
    </row>
    <row r="289" spans="1:28">
      <c r="A289" s="19">
        <v>286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Q289" s="14"/>
      <c r="R289" s="7"/>
      <c r="S289" s="15" t="str">
        <f t="shared" si="16"/>
        <v/>
      </c>
      <c r="T289" s="14"/>
      <c r="U289" s="7"/>
      <c r="V289" s="15" t="str">
        <f t="shared" si="17"/>
        <v/>
      </c>
      <c r="W289" s="14"/>
      <c r="X289" s="7"/>
      <c r="Y289" s="15" t="str">
        <f t="shared" si="18"/>
        <v/>
      </c>
      <c r="Z289" s="14"/>
      <c r="AA289" s="7"/>
      <c r="AB289" s="15" t="str">
        <f t="shared" si="19"/>
        <v/>
      </c>
    </row>
    <row r="290" spans="1:28">
      <c r="A290" s="19">
        <v>287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Q290" s="14"/>
      <c r="R290" s="7"/>
      <c r="S290" s="15" t="str">
        <f t="shared" si="16"/>
        <v/>
      </c>
      <c r="T290" s="14"/>
      <c r="U290" s="7"/>
      <c r="V290" s="15" t="str">
        <f t="shared" si="17"/>
        <v/>
      </c>
      <c r="W290" s="14"/>
      <c r="X290" s="7"/>
      <c r="Y290" s="15" t="str">
        <f t="shared" si="18"/>
        <v/>
      </c>
      <c r="Z290" s="14"/>
      <c r="AA290" s="7"/>
      <c r="AB290" s="15" t="str">
        <f t="shared" si="19"/>
        <v/>
      </c>
    </row>
    <row r="291" spans="1:28">
      <c r="A291" s="19">
        <v>288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Q291" s="14"/>
      <c r="R291" s="7"/>
      <c r="S291" s="15" t="str">
        <f t="shared" si="16"/>
        <v/>
      </c>
      <c r="T291" s="14"/>
      <c r="U291" s="7"/>
      <c r="V291" s="15" t="str">
        <f t="shared" si="17"/>
        <v/>
      </c>
      <c r="W291" s="14"/>
      <c r="X291" s="7"/>
      <c r="Y291" s="15" t="str">
        <f t="shared" si="18"/>
        <v/>
      </c>
      <c r="Z291" s="14"/>
      <c r="AA291" s="7"/>
      <c r="AB291" s="15" t="str">
        <f t="shared" si="19"/>
        <v/>
      </c>
    </row>
    <row r="292" spans="1:28">
      <c r="A292" s="19">
        <v>289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Q292" s="14"/>
      <c r="R292" s="7"/>
      <c r="S292" s="15" t="str">
        <f t="shared" si="16"/>
        <v/>
      </c>
      <c r="T292" s="14"/>
      <c r="U292" s="7"/>
      <c r="V292" s="15" t="str">
        <f t="shared" si="17"/>
        <v/>
      </c>
      <c r="W292" s="14"/>
      <c r="X292" s="7"/>
      <c r="Y292" s="15" t="str">
        <f t="shared" si="18"/>
        <v/>
      </c>
      <c r="Z292" s="14"/>
      <c r="AA292" s="7"/>
      <c r="AB292" s="15" t="str">
        <f t="shared" si="19"/>
        <v/>
      </c>
    </row>
    <row r="293" spans="1:28">
      <c r="A293" s="19">
        <v>290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Q293" s="14"/>
      <c r="R293" s="7"/>
      <c r="S293" s="15" t="str">
        <f t="shared" si="16"/>
        <v/>
      </c>
      <c r="T293" s="14"/>
      <c r="U293" s="7"/>
      <c r="V293" s="15" t="str">
        <f t="shared" si="17"/>
        <v/>
      </c>
      <c r="W293" s="14"/>
      <c r="X293" s="7"/>
      <c r="Y293" s="15" t="str">
        <f t="shared" si="18"/>
        <v/>
      </c>
      <c r="Z293" s="14"/>
      <c r="AA293" s="7"/>
      <c r="AB293" s="15" t="str">
        <f t="shared" si="19"/>
        <v/>
      </c>
    </row>
    <row r="294" spans="1:28">
      <c r="A294" s="19">
        <v>291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Q294" s="14"/>
      <c r="R294" s="7"/>
      <c r="S294" s="15" t="str">
        <f t="shared" si="16"/>
        <v/>
      </c>
      <c r="T294" s="14"/>
      <c r="U294" s="7"/>
      <c r="V294" s="15" t="str">
        <f t="shared" si="17"/>
        <v/>
      </c>
      <c r="W294" s="14"/>
      <c r="X294" s="7"/>
      <c r="Y294" s="15" t="str">
        <f t="shared" si="18"/>
        <v/>
      </c>
      <c r="Z294" s="14"/>
      <c r="AA294" s="7"/>
      <c r="AB294" s="15" t="str">
        <f t="shared" si="19"/>
        <v/>
      </c>
    </row>
    <row r="295" spans="1:28">
      <c r="A295" s="19">
        <v>292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Q295" s="14"/>
      <c r="R295" s="7"/>
      <c r="S295" s="15" t="str">
        <f t="shared" si="16"/>
        <v/>
      </c>
      <c r="T295" s="14"/>
      <c r="U295" s="7"/>
      <c r="V295" s="15" t="str">
        <f t="shared" si="17"/>
        <v/>
      </c>
      <c r="W295" s="14"/>
      <c r="X295" s="7"/>
      <c r="Y295" s="15" t="str">
        <f t="shared" si="18"/>
        <v/>
      </c>
      <c r="Z295" s="14"/>
      <c r="AA295" s="7"/>
      <c r="AB295" s="15" t="str">
        <f t="shared" si="19"/>
        <v/>
      </c>
    </row>
    <row r="296" spans="1:28">
      <c r="A296" s="19">
        <v>293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Q296" s="14"/>
      <c r="R296" s="7"/>
      <c r="S296" s="15" t="str">
        <f t="shared" si="16"/>
        <v/>
      </c>
      <c r="T296" s="14"/>
      <c r="U296" s="7"/>
      <c r="V296" s="15" t="str">
        <f t="shared" si="17"/>
        <v/>
      </c>
      <c r="W296" s="14"/>
      <c r="X296" s="7"/>
      <c r="Y296" s="15" t="str">
        <f t="shared" si="18"/>
        <v/>
      </c>
      <c r="Z296" s="14"/>
      <c r="AA296" s="7"/>
      <c r="AB296" s="15" t="str">
        <f t="shared" si="19"/>
        <v/>
      </c>
    </row>
    <row r="297" spans="1:28">
      <c r="A297" s="19">
        <v>294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Q297" s="14"/>
      <c r="R297" s="7"/>
      <c r="S297" s="15" t="str">
        <f t="shared" si="16"/>
        <v/>
      </c>
      <c r="T297" s="14"/>
      <c r="U297" s="7"/>
      <c r="V297" s="15" t="str">
        <f t="shared" si="17"/>
        <v/>
      </c>
      <c r="W297" s="14"/>
      <c r="X297" s="7"/>
      <c r="Y297" s="15" t="str">
        <f t="shared" si="18"/>
        <v/>
      </c>
      <c r="Z297" s="14"/>
      <c r="AA297" s="7"/>
      <c r="AB297" s="15" t="str">
        <f t="shared" si="19"/>
        <v/>
      </c>
    </row>
    <row r="298" spans="1:28">
      <c r="A298" s="19">
        <v>295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Q298" s="14"/>
      <c r="R298" s="7"/>
      <c r="S298" s="15" t="str">
        <f t="shared" si="16"/>
        <v/>
      </c>
      <c r="T298" s="14"/>
      <c r="U298" s="7"/>
      <c r="V298" s="15" t="str">
        <f t="shared" si="17"/>
        <v/>
      </c>
      <c r="W298" s="14"/>
      <c r="X298" s="7"/>
      <c r="Y298" s="15" t="str">
        <f t="shared" si="18"/>
        <v/>
      </c>
      <c r="Z298" s="14"/>
      <c r="AA298" s="7"/>
      <c r="AB298" s="15" t="str">
        <f t="shared" si="19"/>
        <v/>
      </c>
    </row>
    <row r="299" spans="1:28">
      <c r="A299" s="19">
        <v>296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Q299" s="14"/>
      <c r="R299" s="7"/>
      <c r="S299" s="15" t="str">
        <f t="shared" si="16"/>
        <v/>
      </c>
      <c r="T299" s="14"/>
      <c r="U299" s="7"/>
      <c r="V299" s="15" t="str">
        <f t="shared" si="17"/>
        <v/>
      </c>
      <c r="W299" s="14"/>
      <c r="X299" s="7"/>
      <c r="Y299" s="15" t="str">
        <f t="shared" si="18"/>
        <v/>
      </c>
      <c r="Z299" s="14"/>
      <c r="AA299" s="7"/>
      <c r="AB299" s="15" t="str">
        <f t="shared" si="19"/>
        <v/>
      </c>
    </row>
    <row r="300" spans="1:28">
      <c r="A300" s="19">
        <v>297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Q300" s="14"/>
      <c r="R300" s="7"/>
      <c r="S300" s="15" t="str">
        <f t="shared" si="16"/>
        <v/>
      </c>
      <c r="T300" s="14"/>
      <c r="U300" s="7"/>
      <c r="V300" s="15" t="str">
        <f t="shared" si="17"/>
        <v/>
      </c>
      <c r="W300" s="14"/>
      <c r="X300" s="7"/>
      <c r="Y300" s="15" t="str">
        <f t="shared" si="18"/>
        <v/>
      </c>
      <c r="Z300" s="14"/>
      <c r="AA300" s="7"/>
      <c r="AB300" s="15" t="str">
        <f t="shared" si="19"/>
        <v/>
      </c>
    </row>
    <row r="301" spans="1:28">
      <c r="A301" s="19">
        <v>298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Q301" s="14"/>
      <c r="R301" s="7"/>
      <c r="S301" s="15" t="str">
        <f t="shared" si="16"/>
        <v/>
      </c>
      <c r="T301" s="14"/>
      <c r="U301" s="7"/>
      <c r="V301" s="15" t="str">
        <f t="shared" si="17"/>
        <v/>
      </c>
      <c r="W301" s="14"/>
      <c r="X301" s="7"/>
      <c r="Y301" s="15" t="str">
        <f t="shared" si="18"/>
        <v/>
      </c>
      <c r="Z301" s="14"/>
      <c r="AA301" s="7"/>
      <c r="AB301" s="15" t="str">
        <f t="shared" si="19"/>
        <v/>
      </c>
    </row>
    <row r="302" spans="1:28">
      <c r="A302" s="19">
        <v>299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Q302" s="14"/>
      <c r="R302" s="7"/>
      <c r="S302" s="15" t="str">
        <f t="shared" si="16"/>
        <v/>
      </c>
      <c r="T302" s="14"/>
      <c r="U302" s="7"/>
      <c r="V302" s="15" t="str">
        <f t="shared" si="17"/>
        <v/>
      </c>
      <c r="W302" s="14"/>
      <c r="X302" s="7"/>
      <c r="Y302" s="15" t="str">
        <f t="shared" si="18"/>
        <v/>
      </c>
      <c r="Z302" s="14"/>
      <c r="AA302" s="7"/>
      <c r="AB302" s="15" t="str">
        <f t="shared" si="19"/>
        <v/>
      </c>
    </row>
    <row r="303" spans="1:28">
      <c r="A303" s="19">
        <v>300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Q303" s="14"/>
      <c r="R303" s="7"/>
      <c r="S303" s="15" t="str">
        <f t="shared" si="16"/>
        <v/>
      </c>
      <c r="T303" s="14"/>
      <c r="U303" s="7"/>
      <c r="V303" s="15" t="str">
        <f t="shared" si="17"/>
        <v/>
      </c>
      <c r="W303" s="14"/>
      <c r="X303" s="7"/>
      <c r="Y303" s="15" t="str">
        <f t="shared" si="18"/>
        <v/>
      </c>
      <c r="Z303" s="14"/>
      <c r="AA303" s="7"/>
      <c r="AB303" s="15" t="str">
        <f t="shared" si="19"/>
        <v/>
      </c>
    </row>
    <row r="304" spans="1:28">
      <c r="A304" s="19">
        <v>301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Q304" s="14"/>
      <c r="R304" s="7"/>
      <c r="S304" s="15" t="str">
        <f t="shared" si="16"/>
        <v/>
      </c>
      <c r="T304" s="14"/>
      <c r="U304" s="7"/>
      <c r="V304" s="15" t="str">
        <f t="shared" si="17"/>
        <v/>
      </c>
      <c r="W304" s="14"/>
      <c r="X304" s="7"/>
      <c r="Y304" s="15" t="str">
        <f t="shared" si="18"/>
        <v/>
      </c>
      <c r="Z304" s="14"/>
      <c r="AA304" s="7"/>
      <c r="AB304" s="15" t="str">
        <f t="shared" si="19"/>
        <v/>
      </c>
    </row>
    <row r="305" spans="1:28">
      <c r="A305" s="19">
        <v>302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Q305" s="14"/>
      <c r="R305" s="7"/>
      <c r="S305" s="15" t="str">
        <f t="shared" si="16"/>
        <v/>
      </c>
      <c r="T305" s="14"/>
      <c r="U305" s="7"/>
      <c r="V305" s="15" t="str">
        <f t="shared" si="17"/>
        <v/>
      </c>
      <c r="W305" s="14"/>
      <c r="X305" s="7"/>
      <c r="Y305" s="15" t="str">
        <f t="shared" si="18"/>
        <v/>
      </c>
      <c r="Z305" s="14"/>
      <c r="AA305" s="7"/>
      <c r="AB305" s="15" t="str">
        <f t="shared" si="19"/>
        <v/>
      </c>
    </row>
    <row r="306" spans="1:28">
      <c r="A306" s="19">
        <v>303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Q306" s="14"/>
      <c r="R306" s="7"/>
      <c r="S306" s="15" t="str">
        <f t="shared" si="16"/>
        <v/>
      </c>
      <c r="T306" s="14"/>
      <c r="U306" s="7"/>
      <c r="V306" s="15" t="str">
        <f t="shared" si="17"/>
        <v/>
      </c>
      <c r="W306" s="14"/>
      <c r="X306" s="7"/>
      <c r="Y306" s="15" t="str">
        <f t="shared" si="18"/>
        <v/>
      </c>
      <c r="Z306" s="14"/>
      <c r="AA306" s="7"/>
      <c r="AB306" s="15" t="str">
        <f t="shared" si="19"/>
        <v/>
      </c>
    </row>
    <row r="307" spans="1:28">
      <c r="A307" s="19">
        <v>304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Q307" s="14"/>
      <c r="R307" s="7"/>
      <c r="S307" s="15" t="str">
        <f t="shared" si="16"/>
        <v/>
      </c>
      <c r="T307" s="14"/>
      <c r="U307" s="7"/>
      <c r="V307" s="15" t="str">
        <f t="shared" si="17"/>
        <v/>
      </c>
      <c r="W307" s="14"/>
      <c r="X307" s="7"/>
      <c r="Y307" s="15" t="str">
        <f t="shared" si="18"/>
        <v/>
      </c>
      <c r="Z307" s="14"/>
      <c r="AA307" s="7"/>
      <c r="AB307" s="15" t="str">
        <f t="shared" si="19"/>
        <v/>
      </c>
    </row>
    <row r="308" spans="1:28">
      <c r="A308" s="19">
        <v>305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Q308" s="14"/>
      <c r="R308" s="7"/>
      <c r="S308" s="15" t="str">
        <f t="shared" si="16"/>
        <v/>
      </c>
      <c r="T308" s="14"/>
      <c r="U308" s="7"/>
      <c r="V308" s="15" t="str">
        <f t="shared" si="17"/>
        <v/>
      </c>
      <c r="W308" s="14"/>
      <c r="X308" s="7"/>
      <c r="Y308" s="15" t="str">
        <f t="shared" si="18"/>
        <v/>
      </c>
      <c r="Z308" s="14"/>
      <c r="AA308" s="7"/>
      <c r="AB308" s="15" t="str">
        <f t="shared" si="19"/>
        <v/>
      </c>
    </row>
    <row r="309" spans="1:28">
      <c r="A309" s="19">
        <v>306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Q309" s="14"/>
      <c r="R309" s="7"/>
      <c r="S309" s="15" t="str">
        <f t="shared" si="16"/>
        <v/>
      </c>
      <c r="T309" s="14"/>
      <c r="U309" s="7"/>
      <c r="V309" s="15" t="str">
        <f t="shared" si="17"/>
        <v/>
      </c>
      <c r="W309" s="14"/>
      <c r="X309" s="7"/>
      <c r="Y309" s="15" t="str">
        <f t="shared" si="18"/>
        <v/>
      </c>
      <c r="Z309" s="14"/>
      <c r="AA309" s="7"/>
      <c r="AB309" s="15" t="str">
        <f t="shared" si="19"/>
        <v/>
      </c>
    </row>
    <row r="310" spans="1:28">
      <c r="A310" s="19">
        <v>307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Q310" s="14"/>
      <c r="R310" s="7"/>
      <c r="S310" s="15" t="str">
        <f t="shared" si="16"/>
        <v/>
      </c>
      <c r="T310" s="14"/>
      <c r="U310" s="7"/>
      <c r="V310" s="15" t="str">
        <f t="shared" si="17"/>
        <v/>
      </c>
      <c r="W310" s="14"/>
      <c r="X310" s="7"/>
      <c r="Y310" s="15" t="str">
        <f t="shared" si="18"/>
        <v/>
      </c>
      <c r="Z310" s="14"/>
      <c r="AA310" s="7"/>
      <c r="AB310" s="15" t="str">
        <f t="shared" si="19"/>
        <v/>
      </c>
    </row>
    <row r="311" spans="1:28">
      <c r="A311" s="19">
        <v>308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Q311" s="14"/>
      <c r="R311" s="7"/>
      <c r="S311" s="15" t="str">
        <f t="shared" si="16"/>
        <v/>
      </c>
      <c r="T311" s="14"/>
      <c r="U311" s="7"/>
      <c r="V311" s="15" t="str">
        <f t="shared" si="17"/>
        <v/>
      </c>
      <c r="W311" s="14"/>
      <c r="X311" s="7"/>
      <c r="Y311" s="15" t="str">
        <f t="shared" si="18"/>
        <v/>
      </c>
      <c r="Z311" s="14"/>
      <c r="AA311" s="7"/>
      <c r="AB311" s="15" t="str">
        <f t="shared" si="19"/>
        <v/>
      </c>
    </row>
    <row r="312" spans="1:28">
      <c r="A312" s="19">
        <v>309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Q312" s="14"/>
      <c r="R312" s="7"/>
      <c r="S312" s="15" t="str">
        <f t="shared" si="16"/>
        <v/>
      </c>
      <c r="T312" s="14"/>
      <c r="U312" s="7"/>
      <c r="V312" s="15" t="str">
        <f t="shared" si="17"/>
        <v/>
      </c>
      <c r="W312" s="14"/>
      <c r="X312" s="7"/>
      <c r="Y312" s="15" t="str">
        <f t="shared" si="18"/>
        <v/>
      </c>
      <c r="Z312" s="14"/>
      <c r="AA312" s="7"/>
      <c r="AB312" s="15" t="str">
        <f t="shared" si="19"/>
        <v/>
      </c>
    </row>
    <row r="313" spans="1:28">
      <c r="A313" s="19">
        <v>310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Q313" s="14"/>
      <c r="R313" s="7"/>
      <c r="S313" s="15" t="str">
        <f t="shared" si="16"/>
        <v/>
      </c>
      <c r="T313" s="14"/>
      <c r="U313" s="7"/>
      <c r="V313" s="15" t="str">
        <f t="shared" si="17"/>
        <v/>
      </c>
      <c r="W313" s="14"/>
      <c r="X313" s="7"/>
      <c r="Y313" s="15" t="str">
        <f t="shared" si="18"/>
        <v/>
      </c>
      <c r="Z313" s="14"/>
      <c r="AA313" s="7"/>
      <c r="AB313" s="15" t="str">
        <f t="shared" si="19"/>
        <v/>
      </c>
    </row>
    <row r="314" spans="1:28">
      <c r="A314" s="19">
        <v>311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Q314" s="14"/>
      <c r="R314" s="7"/>
      <c r="S314" s="15" t="str">
        <f t="shared" si="16"/>
        <v/>
      </c>
      <c r="T314" s="14"/>
      <c r="U314" s="7"/>
      <c r="V314" s="15" t="str">
        <f t="shared" si="17"/>
        <v/>
      </c>
      <c r="W314" s="14"/>
      <c r="X314" s="7"/>
      <c r="Y314" s="15" t="str">
        <f t="shared" si="18"/>
        <v/>
      </c>
      <c r="Z314" s="14"/>
      <c r="AA314" s="7"/>
      <c r="AB314" s="15" t="str">
        <f t="shared" si="19"/>
        <v/>
      </c>
    </row>
    <row r="315" spans="1:28">
      <c r="A315" s="19">
        <v>312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Q315" s="14"/>
      <c r="R315" s="7"/>
      <c r="S315" s="15" t="str">
        <f t="shared" si="16"/>
        <v/>
      </c>
      <c r="T315" s="14"/>
      <c r="U315" s="7"/>
      <c r="V315" s="15" t="str">
        <f t="shared" si="17"/>
        <v/>
      </c>
      <c r="W315" s="14"/>
      <c r="X315" s="7"/>
      <c r="Y315" s="15" t="str">
        <f t="shared" si="18"/>
        <v/>
      </c>
      <c r="Z315" s="14"/>
      <c r="AA315" s="7"/>
      <c r="AB315" s="15" t="str">
        <f t="shared" si="19"/>
        <v/>
      </c>
    </row>
    <row r="316" spans="1:28">
      <c r="A316" s="19">
        <v>313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Q316" s="14"/>
      <c r="R316" s="7"/>
      <c r="S316" s="15" t="str">
        <f t="shared" si="16"/>
        <v/>
      </c>
      <c r="T316" s="14"/>
      <c r="U316" s="7"/>
      <c r="V316" s="15" t="str">
        <f t="shared" si="17"/>
        <v/>
      </c>
      <c r="W316" s="14"/>
      <c r="X316" s="7"/>
      <c r="Y316" s="15" t="str">
        <f t="shared" si="18"/>
        <v/>
      </c>
      <c r="Z316" s="14"/>
      <c r="AA316" s="7"/>
      <c r="AB316" s="15" t="str">
        <f t="shared" si="19"/>
        <v/>
      </c>
    </row>
    <row r="317" spans="1:28">
      <c r="A317" s="19">
        <v>314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Q317" s="14"/>
      <c r="R317" s="7"/>
      <c r="S317" s="15" t="str">
        <f t="shared" si="16"/>
        <v/>
      </c>
      <c r="T317" s="14"/>
      <c r="U317" s="7"/>
      <c r="V317" s="15" t="str">
        <f t="shared" si="17"/>
        <v/>
      </c>
      <c r="W317" s="14"/>
      <c r="X317" s="7"/>
      <c r="Y317" s="15" t="str">
        <f t="shared" si="18"/>
        <v/>
      </c>
      <c r="Z317" s="14"/>
      <c r="AA317" s="7"/>
      <c r="AB317" s="15" t="str">
        <f t="shared" si="19"/>
        <v/>
      </c>
    </row>
    <row r="318" spans="1:28">
      <c r="A318" s="19">
        <v>315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Q318" s="14"/>
      <c r="R318" s="7"/>
      <c r="S318" s="15" t="str">
        <f t="shared" si="16"/>
        <v/>
      </c>
      <c r="T318" s="14"/>
      <c r="U318" s="7"/>
      <c r="V318" s="15" t="str">
        <f t="shared" si="17"/>
        <v/>
      </c>
      <c r="W318" s="14"/>
      <c r="X318" s="7"/>
      <c r="Y318" s="15" t="str">
        <f t="shared" si="18"/>
        <v/>
      </c>
      <c r="Z318" s="14"/>
      <c r="AA318" s="7"/>
      <c r="AB318" s="15" t="str">
        <f t="shared" si="19"/>
        <v/>
      </c>
    </row>
    <row r="319" spans="1:28">
      <c r="A319" s="19">
        <v>316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Q319" s="14"/>
      <c r="R319" s="7"/>
      <c r="S319" s="15" t="str">
        <f t="shared" si="16"/>
        <v/>
      </c>
      <c r="T319" s="14"/>
      <c r="U319" s="7"/>
      <c r="V319" s="15" t="str">
        <f t="shared" si="17"/>
        <v/>
      </c>
      <c r="W319" s="14"/>
      <c r="X319" s="7"/>
      <c r="Y319" s="15" t="str">
        <f t="shared" si="18"/>
        <v/>
      </c>
      <c r="Z319" s="14"/>
      <c r="AA319" s="7"/>
      <c r="AB319" s="15" t="str">
        <f t="shared" si="19"/>
        <v/>
      </c>
    </row>
    <row r="320" spans="1:28">
      <c r="A320" s="19">
        <v>317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Q320" s="14"/>
      <c r="R320" s="7"/>
      <c r="S320" s="15" t="str">
        <f t="shared" si="16"/>
        <v/>
      </c>
      <c r="T320" s="14"/>
      <c r="U320" s="7"/>
      <c r="V320" s="15" t="str">
        <f t="shared" si="17"/>
        <v/>
      </c>
      <c r="W320" s="14"/>
      <c r="X320" s="7"/>
      <c r="Y320" s="15" t="str">
        <f t="shared" si="18"/>
        <v/>
      </c>
      <c r="Z320" s="14"/>
      <c r="AA320" s="7"/>
      <c r="AB320" s="15" t="str">
        <f t="shared" si="19"/>
        <v/>
      </c>
    </row>
    <row r="321" spans="1:28">
      <c r="A321" s="19">
        <v>318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Q321" s="14"/>
      <c r="R321" s="7"/>
      <c r="S321" s="15" t="str">
        <f t="shared" si="16"/>
        <v/>
      </c>
      <c r="T321" s="14"/>
      <c r="U321" s="7"/>
      <c r="V321" s="15" t="str">
        <f t="shared" si="17"/>
        <v/>
      </c>
      <c r="W321" s="14"/>
      <c r="X321" s="7"/>
      <c r="Y321" s="15" t="str">
        <f t="shared" si="18"/>
        <v/>
      </c>
      <c r="Z321" s="14"/>
      <c r="AA321" s="7"/>
      <c r="AB321" s="15" t="str">
        <f t="shared" si="19"/>
        <v/>
      </c>
    </row>
    <row r="322" spans="1:28">
      <c r="A322" s="19">
        <v>319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Q322" s="14"/>
      <c r="R322" s="7"/>
      <c r="S322" s="15" t="str">
        <f t="shared" si="16"/>
        <v/>
      </c>
      <c r="T322" s="14"/>
      <c r="U322" s="7"/>
      <c r="V322" s="15" t="str">
        <f t="shared" si="17"/>
        <v/>
      </c>
      <c r="W322" s="14"/>
      <c r="X322" s="7"/>
      <c r="Y322" s="15" t="str">
        <f t="shared" si="18"/>
        <v/>
      </c>
      <c r="Z322" s="14"/>
      <c r="AA322" s="7"/>
      <c r="AB322" s="15" t="str">
        <f t="shared" si="19"/>
        <v/>
      </c>
    </row>
    <row r="323" spans="1:28">
      <c r="A323" s="19">
        <v>320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Q323" s="14"/>
      <c r="R323" s="7"/>
      <c r="S323" s="15" t="str">
        <f t="shared" si="16"/>
        <v/>
      </c>
      <c r="T323" s="14"/>
      <c r="U323" s="7"/>
      <c r="V323" s="15" t="str">
        <f t="shared" si="17"/>
        <v/>
      </c>
      <c r="W323" s="14"/>
      <c r="X323" s="7"/>
      <c r="Y323" s="15" t="str">
        <f t="shared" si="18"/>
        <v/>
      </c>
      <c r="Z323" s="14"/>
      <c r="AA323" s="7"/>
      <c r="AB323" s="15" t="str">
        <f t="shared" si="19"/>
        <v/>
      </c>
    </row>
    <row r="324" spans="1:28">
      <c r="A324" s="19">
        <v>321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Q324" s="14"/>
      <c r="R324" s="7"/>
      <c r="S324" s="15" t="str">
        <f t="shared" si="16"/>
        <v/>
      </c>
      <c r="T324" s="14"/>
      <c r="U324" s="7"/>
      <c r="V324" s="15" t="str">
        <f t="shared" si="17"/>
        <v/>
      </c>
      <c r="W324" s="14"/>
      <c r="X324" s="7"/>
      <c r="Y324" s="15" t="str">
        <f t="shared" si="18"/>
        <v/>
      </c>
      <c r="Z324" s="14"/>
      <c r="AA324" s="7"/>
      <c r="AB324" s="15" t="str">
        <f t="shared" si="19"/>
        <v/>
      </c>
    </row>
    <row r="325" spans="1:28">
      <c r="A325" s="19">
        <v>322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Q325" s="14"/>
      <c r="R325" s="7"/>
      <c r="S325" s="15" t="str">
        <f t="shared" ref="S325:S388" si="20">IF(OR($H325="",Q325=""),"",Q325+(R325/$H325))</f>
        <v/>
      </c>
      <c r="T325" s="14"/>
      <c r="U325" s="7"/>
      <c r="V325" s="15" t="str">
        <f t="shared" ref="V325:V388" si="21">IF(OR($H325="",T325=""),"",T325+(U325/$H325))</f>
        <v/>
      </c>
      <c r="W325" s="14"/>
      <c r="X325" s="7"/>
      <c r="Y325" s="15" t="str">
        <f t="shared" ref="Y325:Y388" si="22">IF(OR($H325="",W325=""),"",W325+(X325/$H325))</f>
        <v/>
      </c>
      <c r="Z325" s="14"/>
      <c r="AA325" s="7"/>
      <c r="AB325" s="15" t="str">
        <f t="shared" ref="AB325:AB388" si="23">IF(OR($H325="",Z325=""),"",Z325+(AA325/$H325))</f>
        <v/>
      </c>
    </row>
    <row r="326" spans="1:28">
      <c r="A326" s="19">
        <v>323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Q326" s="14"/>
      <c r="R326" s="7"/>
      <c r="S326" s="15" t="str">
        <f t="shared" si="20"/>
        <v/>
      </c>
      <c r="T326" s="14"/>
      <c r="U326" s="7"/>
      <c r="V326" s="15" t="str">
        <f t="shared" si="21"/>
        <v/>
      </c>
      <c r="W326" s="14"/>
      <c r="X326" s="7"/>
      <c r="Y326" s="15" t="str">
        <f t="shared" si="22"/>
        <v/>
      </c>
      <c r="Z326" s="14"/>
      <c r="AA326" s="7"/>
      <c r="AB326" s="15" t="str">
        <f t="shared" si="23"/>
        <v/>
      </c>
    </row>
    <row r="327" spans="1:28">
      <c r="A327" s="19">
        <v>324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Q327" s="14"/>
      <c r="R327" s="7"/>
      <c r="S327" s="15" t="str">
        <f t="shared" si="20"/>
        <v/>
      </c>
      <c r="T327" s="14"/>
      <c r="U327" s="7"/>
      <c r="V327" s="15" t="str">
        <f t="shared" si="21"/>
        <v/>
      </c>
      <c r="W327" s="14"/>
      <c r="X327" s="7"/>
      <c r="Y327" s="15" t="str">
        <f t="shared" si="22"/>
        <v/>
      </c>
      <c r="Z327" s="14"/>
      <c r="AA327" s="7"/>
      <c r="AB327" s="15" t="str">
        <f t="shared" si="23"/>
        <v/>
      </c>
    </row>
    <row r="328" spans="1:28">
      <c r="A328" s="19">
        <v>325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Q328" s="14"/>
      <c r="R328" s="7"/>
      <c r="S328" s="15" t="str">
        <f t="shared" si="20"/>
        <v/>
      </c>
      <c r="T328" s="14"/>
      <c r="U328" s="7"/>
      <c r="V328" s="15" t="str">
        <f t="shared" si="21"/>
        <v/>
      </c>
      <c r="W328" s="14"/>
      <c r="X328" s="7"/>
      <c r="Y328" s="15" t="str">
        <f t="shared" si="22"/>
        <v/>
      </c>
      <c r="Z328" s="14"/>
      <c r="AA328" s="7"/>
      <c r="AB328" s="15" t="str">
        <f t="shared" si="23"/>
        <v/>
      </c>
    </row>
    <row r="329" spans="1:28">
      <c r="A329" s="19">
        <v>326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Q329" s="14"/>
      <c r="R329" s="7"/>
      <c r="S329" s="15" t="str">
        <f t="shared" si="20"/>
        <v/>
      </c>
      <c r="T329" s="14"/>
      <c r="U329" s="7"/>
      <c r="V329" s="15" t="str">
        <f t="shared" si="21"/>
        <v/>
      </c>
      <c r="W329" s="14"/>
      <c r="X329" s="7"/>
      <c r="Y329" s="15" t="str">
        <f t="shared" si="22"/>
        <v/>
      </c>
      <c r="Z329" s="14"/>
      <c r="AA329" s="7"/>
      <c r="AB329" s="15" t="str">
        <f t="shared" si="23"/>
        <v/>
      </c>
    </row>
    <row r="330" spans="1:28">
      <c r="A330" s="19">
        <v>327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Q330" s="14"/>
      <c r="R330" s="7"/>
      <c r="S330" s="15" t="str">
        <f t="shared" si="20"/>
        <v/>
      </c>
      <c r="T330" s="14"/>
      <c r="U330" s="7"/>
      <c r="V330" s="15" t="str">
        <f t="shared" si="21"/>
        <v/>
      </c>
      <c r="W330" s="14"/>
      <c r="X330" s="7"/>
      <c r="Y330" s="15" t="str">
        <f t="shared" si="22"/>
        <v/>
      </c>
      <c r="Z330" s="14"/>
      <c r="AA330" s="7"/>
      <c r="AB330" s="15" t="str">
        <f t="shared" si="23"/>
        <v/>
      </c>
    </row>
    <row r="331" spans="1:28">
      <c r="A331" s="19">
        <v>328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Q331" s="14"/>
      <c r="R331" s="7"/>
      <c r="S331" s="15" t="str">
        <f t="shared" si="20"/>
        <v/>
      </c>
      <c r="T331" s="14"/>
      <c r="U331" s="7"/>
      <c r="V331" s="15" t="str">
        <f t="shared" si="21"/>
        <v/>
      </c>
      <c r="W331" s="14"/>
      <c r="X331" s="7"/>
      <c r="Y331" s="15" t="str">
        <f t="shared" si="22"/>
        <v/>
      </c>
      <c r="Z331" s="14"/>
      <c r="AA331" s="7"/>
      <c r="AB331" s="15" t="str">
        <f t="shared" si="23"/>
        <v/>
      </c>
    </row>
    <row r="332" spans="1:28">
      <c r="A332" s="19">
        <v>329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Q332" s="14"/>
      <c r="R332" s="7"/>
      <c r="S332" s="15" t="str">
        <f t="shared" si="20"/>
        <v/>
      </c>
      <c r="T332" s="14"/>
      <c r="U332" s="7"/>
      <c r="V332" s="15" t="str">
        <f t="shared" si="21"/>
        <v/>
      </c>
      <c r="W332" s="14"/>
      <c r="X332" s="7"/>
      <c r="Y332" s="15" t="str">
        <f t="shared" si="22"/>
        <v/>
      </c>
      <c r="Z332" s="14"/>
      <c r="AA332" s="7"/>
      <c r="AB332" s="15" t="str">
        <f t="shared" si="23"/>
        <v/>
      </c>
    </row>
    <row r="333" spans="1:28">
      <c r="A333" s="19">
        <v>330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Q333" s="14"/>
      <c r="R333" s="7"/>
      <c r="S333" s="15" t="str">
        <f t="shared" si="20"/>
        <v/>
      </c>
      <c r="T333" s="14"/>
      <c r="U333" s="7"/>
      <c r="V333" s="15" t="str">
        <f t="shared" si="21"/>
        <v/>
      </c>
      <c r="W333" s="14"/>
      <c r="X333" s="7"/>
      <c r="Y333" s="15" t="str">
        <f t="shared" si="22"/>
        <v/>
      </c>
      <c r="Z333" s="14"/>
      <c r="AA333" s="7"/>
      <c r="AB333" s="15" t="str">
        <f t="shared" si="23"/>
        <v/>
      </c>
    </row>
    <row r="334" spans="1:28">
      <c r="A334" s="19">
        <v>331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Q334" s="14"/>
      <c r="R334" s="7"/>
      <c r="S334" s="15" t="str">
        <f t="shared" si="20"/>
        <v/>
      </c>
      <c r="T334" s="14"/>
      <c r="U334" s="7"/>
      <c r="V334" s="15" t="str">
        <f t="shared" si="21"/>
        <v/>
      </c>
      <c r="W334" s="14"/>
      <c r="X334" s="7"/>
      <c r="Y334" s="15" t="str">
        <f t="shared" si="22"/>
        <v/>
      </c>
      <c r="Z334" s="14"/>
      <c r="AA334" s="7"/>
      <c r="AB334" s="15" t="str">
        <f t="shared" si="23"/>
        <v/>
      </c>
    </row>
    <row r="335" spans="1:28">
      <c r="A335" s="19">
        <v>332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Q335" s="14"/>
      <c r="R335" s="7"/>
      <c r="S335" s="15" t="str">
        <f t="shared" si="20"/>
        <v/>
      </c>
      <c r="T335" s="14"/>
      <c r="U335" s="7"/>
      <c r="V335" s="15" t="str">
        <f t="shared" si="21"/>
        <v/>
      </c>
      <c r="W335" s="14"/>
      <c r="X335" s="7"/>
      <c r="Y335" s="15" t="str">
        <f t="shared" si="22"/>
        <v/>
      </c>
      <c r="Z335" s="14"/>
      <c r="AA335" s="7"/>
      <c r="AB335" s="15" t="str">
        <f t="shared" si="23"/>
        <v/>
      </c>
    </row>
    <row r="336" spans="1:28">
      <c r="A336" s="19">
        <v>333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Q336" s="14"/>
      <c r="R336" s="7"/>
      <c r="S336" s="15" t="str">
        <f t="shared" si="20"/>
        <v/>
      </c>
      <c r="T336" s="14"/>
      <c r="U336" s="7"/>
      <c r="V336" s="15" t="str">
        <f t="shared" si="21"/>
        <v/>
      </c>
      <c r="W336" s="14"/>
      <c r="X336" s="7"/>
      <c r="Y336" s="15" t="str">
        <f t="shared" si="22"/>
        <v/>
      </c>
      <c r="Z336" s="14"/>
      <c r="AA336" s="7"/>
      <c r="AB336" s="15" t="str">
        <f t="shared" si="23"/>
        <v/>
      </c>
    </row>
    <row r="337" spans="1:28">
      <c r="A337" s="19">
        <v>334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Q337" s="14"/>
      <c r="R337" s="7"/>
      <c r="S337" s="15" t="str">
        <f t="shared" si="20"/>
        <v/>
      </c>
      <c r="T337" s="14"/>
      <c r="U337" s="7"/>
      <c r="V337" s="15" t="str">
        <f t="shared" si="21"/>
        <v/>
      </c>
      <c r="W337" s="14"/>
      <c r="X337" s="7"/>
      <c r="Y337" s="15" t="str">
        <f t="shared" si="22"/>
        <v/>
      </c>
      <c r="Z337" s="14"/>
      <c r="AA337" s="7"/>
      <c r="AB337" s="15" t="str">
        <f t="shared" si="23"/>
        <v/>
      </c>
    </row>
    <row r="338" spans="1:28">
      <c r="A338" s="19">
        <v>335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Q338" s="14"/>
      <c r="R338" s="7"/>
      <c r="S338" s="15" t="str">
        <f t="shared" si="20"/>
        <v/>
      </c>
      <c r="T338" s="14"/>
      <c r="U338" s="7"/>
      <c r="V338" s="15" t="str">
        <f t="shared" si="21"/>
        <v/>
      </c>
      <c r="W338" s="14"/>
      <c r="X338" s="7"/>
      <c r="Y338" s="15" t="str">
        <f t="shared" si="22"/>
        <v/>
      </c>
      <c r="Z338" s="14"/>
      <c r="AA338" s="7"/>
      <c r="AB338" s="15" t="str">
        <f t="shared" si="23"/>
        <v/>
      </c>
    </row>
    <row r="339" spans="1:28">
      <c r="A339" s="19">
        <v>336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Q339" s="14"/>
      <c r="R339" s="7"/>
      <c r="S339" s="15" t="str">
        <f t="shared" si="20"/>
        <v/>
      </c>
      <c r="T339" s="14"/>
      <c r="U339" s="7"/>
      <c r="V339" s="15" t="str">
        <f t="shared" si="21"/>
        <v/>
      </c>
      <c r="W339" s="14"/>
      <c r="X339" s="7"/>
      <c r="Y339" s="15" t="str">
        <f t="shared" si="22"/>
        <v/>
      </c>
      <c r="Z339" s="14"/>
      <c r="AA339" s="7"/>
      <c r="AB339" s="15" t="str">
        <f t="shared" si="23"/>
        <v/>
      </c>
    </row>
    <row r="340" spans="1:28">
      <c r="A340" s="19">
        <v>337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Q340" s="14"/>
      <c r="R340" s="7"/>
      <c r="S340" s="15" t="str">
        <f t="shared" si="20"/>
        <v/>
      </c>
      <c r="T340" s="14"/>
      <c r="U340" s="7"/>
      <c r="V340" s="15" t="str">
        <f t="shared" si="21"/>
        <v/>
      </c>
      <c r="W340" s="14"/>
      <c r="X340" s="7"/>
      <c r="Y340" s="15" t="str">
        <f t="shared" si="22"/>
        <v/>
      </c>
      <c r="Z340" s="14"/>
      <c r="AA340" s="7"/>
      <c r="AB340" s="15" t="str">
        <f t="shared" si="23"/>
        <v/>
      </c>
    </row>
    <row r="341" spans="1:28">
      <c r="A341" s="19">
        <v>338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Q341" s="14"/>
      <c r="R341" s="7"/>
      <c r="S341" s="15" t="str">
        <f t="shared" si="20"/>
        <v/>
      </c>
      <c r="T341" s="14"/>
      <c r="U341" s="7"/>
      <c r="V341" s="15" t="str">
        <f t="shared" si="21"/>
        <v/>
      </c>
      <c r="W341" s="14"/>
      <c r="X341" s="7"/>
      <c r="Y341" s="15" t="str">
        <f t="shared" si="22"/>
        <v/>
      </c>
      <c r="Z341" s="14"/>
      <c r="AA341" s="7"/>
      <c r="AB341" s="15" t="str">
        <f t="shared" si="23"/>
        <v/>
      </c>
    </row>
    <row r="342" spans="1:28">
      <c r="A342" s="19">
        <v>339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Q342" s="14"/>
      <c r="R342" s="7"/>
      <c r="S342" s="15" t="str">
        <f t="shared" si="20"/>
        <v/>
      </c>
      <c r="T342" s="14"/>
      <c r="U342" s="7"/>
      <c r="V342" s="15" t="str">
        <f t="shared" si="21"/>
        <v/>
      </c>
      <c r="W342" s="14"/>
      <c r="X342" s="7"/>
      <c r="Y342" s="15" t="str">
        <f t="shared" si="22"/>
        <v/>
      </c>
      <c r="Z342" s="14"/>
      <c r="AA342" s="7"/>
      <c r="AB342" s="15" t="str">
        <f t="shared" si="23"/>
        <v/>
      </c>
    </row>
    <row r="343" spans="1:28">
      <c r="A343" s="19">
        <v>340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Q343" s="14"/>
      <c r="R343" s="7"/>
      <c r="S343" s="15" t="str">
        <f t="shared" si="20"/>
        <v/>
      </c>
      <c r="T343" s="14"/>
      <c r="U343" s="7"/>
      <c r="V343" s="15" t="str">
        <f t="shared" si="21"/>
        <v/>
      </c>
      <c r="W343" s="14"/>
      <c r="X343" s="7"/>
      <c r="Y343" s="15" t="str">
        <f t="shared" si="22"/>
        <v/>
      </c>
      <c r="Z343" s="14"/>
      <c r="AA343" s="7"/>
      <c r="AB343" s="15" t="str">
        <f t="shared" si="23"/>
        <v/>
      </c>
    </row>
    <row r="344" spans="1:28">
      <c r="A344" s="19">
        <v>341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Q344" s="14"/>
      <c r="R344" s="7"/>
      <c r="S344" s="15" t="str">
        <f t="shared" si="20"/>
        <v/>
      </c>
      <c r="T344" s="14"/>
      <c r="U344" s="7"/>
      <c r="V344" s="15" t="str">
        <f t="shared" si="21"/>
        <v/>
      </c>
      <c r="W344" s="14"/>
      <c r="X344" s="7"/>
      <c r="Y344" s="15" t="str">
        <f t="shared" si="22"/>
        <v/>
      </c>
      <c r="Z344" s="14"/>
      <c r="AA344" s="7"/>
      <c r="AB344" s="15" t="str">
        <f t="shared" si="23"/>
        <v/>
      </c>
    </row>
    <row r="345" spans="1:28">
      <c r="A345" s="19">
        <v>342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Q345" s="14"/>
      <c r="R345" s="7"/>
      <c r="S345" s="15" t="str">
        <f t="shared" si="20"/>
        <v/>
      </c>
      <c r="T345" s="14"/>
      <c r="U345" s="7"/>
      <c r="V345" s="15" t="str">
        <f t="shared" si="21"/>
        <v/>
      </c>
      <c r="W345" s="14"/>
      <c r="X345" s="7"/>
      <c r="Y345" s="15" t="str">
        <f t="shared" si="22"/>
        <v/>
      </c>
      <c r="Z345" s="14"/>
      <c r="AA345" s="7"/>
      <c r="AB345" s="15" t="str">
        <f t="shared" si="23"/>
        <v/>
      </c>
    </row>
    <row r="346" spans="1:28">
      <c r="A346" s="19">
        <v>343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Q346" s="14"/>
      <c r="R346" s="7"/>
      <c r="S346" s="15" t="str">
        <f t="shared" si="20"/>
        <v/>
      </c>
      <c r="T346" s="14"/>
      <c r="U346" s="7"/>
      <c r="V346" s="15" t="str">
        <f t="shared" si="21"/>
        <v/>
      </c>
      <c r="W346" s="14"/>
      <c r="X346" s="7"/>
      <c r="Y346" s="15" t="str">
        <f t="shared" si="22"/>
        <v/>
      </c>
      <c r="Z346" s="14"/>
      <c r="AA346" s="7"/>
      <c r="AB346" s="15" t="str">
        <f t="shared" si="23"/>
        <v/>
      </c>
    </row>
    <row r="347" spans="1:28">
      <c r="A347" s="19">
        <v>344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Q347" s="14"/>
      <c r="R347" s="7"/>
      <c r="S347" s="15" t="str">
        <f t="shared" si="20"/>
        <v/>
      </c>
      <c r="T347" s="14"/>
      <c r="U347" s="7"/>
      <c r="V347" s="15" t="str">
        <f t="shared" si="21"/>
        <v/>
      </c>
      <c r="W347" s="14"/>
      <c r="X347" s="7"/>
      <c r="Y347" s="15" t="str">
        <f t="shared" si="22"/>
        <v/>
      </c>
      <c r="Z347" s="14"/>
      <c r="AA347" s="7"/>
      <c r="AB347" s="15" t="str">
        <f t="shared" si="23"/>
        <v/>
      </c>
    </row>
    <row r="348" spans="1:28">
      <c r="A348" s="19">
        <v>345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Q348" s="14"/>
      <c r="R348" s="7"/>
      <c r="S348" s="15" t="str">
        <f t="shared" si="20"/>
        <v/>
      </c>
      <c r="T348" s="14"/>
      <c r="U348" s="7"/>
      <c r="V348" s="15" t="str">
        <f t="shared" si="21"/>
        <v/>
      </c>
      <c r="W348" s="14"/>
      <c r="X348" s="7"/>
      <c r="Y348" s="15" t="str">
        <f t="shared" si="22"/>
        <v/>
      </c>
      <c r="Z348" s="14"/>
      <c r="AA348" s="7"/>
      <c r="AB348" s="15" t="str">
        <f t="shared" si="23"/>
        <v/>
      </c>
    </row>
    <row r="349" spans="1:28">
      <c r="A349" s="19">
        <v>346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Q349" s="14"/>
      <c r="R349" s="7"/>
      <c r="S349" s="15" t="str">
        <f t="shared" si="20"/>
        <v/>
      </c>
      <c r="T349" s="14"/>
      <c r="U349" s="7"/>
      <c r="V349" s="15" t="str">
        <f t="shared" si="21"/>
        <v/>
      </c>
      <c r="W349" s="14"/>
      <c r="X349" s="7"/>
      <c r="Y349" s="15" t="str">
        <f t="shared" si="22"/>
        <v/>
      </c>
      <c r="Z349" s="14"/>
      <c r="AA349" s="7"/>
      <c r="AB349" s="15" t="str">
        <f t="shared" si="23"/>
        <v/>
      </c>
    </row>
    <row r="350" spans="1:28">
      <c r="A350" s="19">
        <v>347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Q350" s="14"/>
      <c r="R350" s="7"/>
      <c r="S350" s="15" t="str">
        <f t="shared" si="20"/>
        <v/>
      </c>
      <c r="T350" s="14"/>
      <c r="U350" s="7"/>
      <c r="V350" s="15" t="str">
        <f t="shared" si="21"/>
        <v/>
      </c>
      <c r="W350" s="14"/>
      <c r="X350" s="7"/>
      <c r="Y350" s="15" t="str">
        <f t="shared" si="22"/>
        <v/>
      </c>
      <c r="Z350" s="14"/>
      <c r="AA350" s="7"/>
      <c r="AB350" s="15" t="str">
        <f t="shared" si="23"/>
        <v/>
      </c>
    </row>
    <row r="351" spans="1:28">
      <c r="A351" s="19">
        <v>348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Q351" s="14"/>
      <c r="R351" s="7"/>
      <c r="S351" s="15" t="str">
        <f t="shared" si="20"/>
        <v/>
      </c>
      <c r="T351" s="14"/>
      <c r="U351" s="7"/>
      <c r="V351" s="15" t="str">
        <f t="shared" si="21"/>
        <v/>
      </c>
      <c r="W351" s="14"/>
      <c r="X351" s="7"/>
      <c r="Y351" s="15" t="str">
        <f t="shared" si="22"/>
        <v/>
      </c>
      <c r="Z351" s="14"/>
      <c r="AA351" s="7"/>
      <c r="AB351" s="15" t="str">
        <f t="shared" si="23"/>
        <v/>
      </c>
    </row>
    <row r="352" spans="1:28">
      <c r="A352" s="19">
        <v>349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Q352" s="14"/>
      <c r="R352" s="7"/>
      <c r="S352" s="15" t="str">
        <f t="shared" si="20"/>
        <v/>
      </c>
      <c r="T352" s="14"/>
      <c r="U352" s="7"/>
      <c r="V352" s="15" t="str">
        <f t="shared" si="21"/>
        <v/>
      </c>
      <c r="W352" s="14"/>
      <c r="X352" s="7"/>
      <c r="Y352" s="15" t="str">
        <f t="shared" si="22"/>
        <v/>
      </c>
      <c r="Z352" s="14"/>
      <c r="AA352" s="7"/>
      <c r="AB352" s="15" t="str">
        <f t="shared" si="23"/>
        <v/>
      </c>
    </row>
    <row r="353" spans="1:28">
      <c r="A353" s="19">
        <v>350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Q353" s="14"/>
      <c r="R353" s="7"/>
      <c r="S353" s="15" t="str">
        <f t="shared" si="20"/>
        <v/>
      </c>
      <c r="T353" s="14"/>
      <c r="U353" s="7"/>
      <c r="V353" s="15" t="str">
        <f t="shared" si="21"/>
        <v/>
      </c>
      <c r="W353" s="14"/>
      <c r="X353" s="7"/>
      <c r="Y353" s="15" t="str">
        <f t="shared" si="22"/>
        <v/>
      </c>
      <c r="Z353" s="14"/>
      <c r="AA353" s="7"/>
      <c r="AB353" s="15" t="str">
        <f t="shared" si="23"/>
        <v/>
      </c>
    </row>
    <row r="354" spans="1:28">
      <c r="A354" s="19">
        <v>351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Q354" s="14"/>
      <c r="R354" s="7"/>
      <c r="S354" s="15" t="str">
        <f t="shared" si="20"/>
        <v/>
      </c>
      <c r="T354" s="14"/>
      <c r="U354" s="7"/>
      <c r="V354" s="15" t="str">
        <f t="shared" si="21"/>
        <v/>
      </c>
      <c r="W354" s="14"/>
      <c r="X354" s="7"/>
      <c r="Y354" s="15" t="str">
        <f t="shared" si="22"/>
        <v/>
      </c>
      <c r="Z354" s="14"/>
      <c r="AA354" s="7"/>
      <c r="AB354" s="15" t="str">
        <f t="shared" si="23"/>
        <v/>
      </c>
    </row>
    <row r="355" spans="1:28">
      <c r="A355" s="19">
        <v>352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Q355" s="14"/>
      <c r="R355" s="7"/>
      <c r="S355" s="15" t="str">
        <f t="shared" si="20"/>
        <v/>
      </c>
      <c r="T355" s="14"/>
      <c r="U355" s="7"/>
      <c r="V355" s="15" t="str">
        <f t="shared" si="21"/>
        <v/>
      </c>
      <c r="W355" s="14"/>
      <c r="X355" s="7"/>
      <c r="Y355" s="15" t="str">
        <f t="shared" si="22"/>
        <v/>
      </c>
      <c r="Z355" s="14"/>
      <c r="AA355" s="7"/>
      <c r="AB355" s="15" t="str">
        <f t="shared" si="23"/>
        <v/>
      </c>
    </row>
    <row r="356" spans="1:28">
      <c r="A356" s="19">
        <v>353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Q356" s="14"/>
      <c r="R356" s="7"/>
      <c r="S356" s="15" t="str">
        <f t="shared" si="20"/>
        <v/>
      </c>
      <c r="T356" s="14"/>
      <c r="U356" s="7"/>
      <c r="V356" s="15" t="str">
        <f t="shared" si="21"/>
        <v/>
      </c>
      <c r="W356" s="14"/>
      <c r="X356" s="7"/>
      <c r="Y356" s="15" t="str">
        <f t="shared" si="22"/>
        <v/>
      </c>
      <c r="Z356" s="14"/>
      <c r="AA356" s="7"/>
      <c r="AB356" s="15" t="str">
        <f t="shared" si="23"/>
        <v/>
      </c>
    </row>
    <row r="357" spans="1:28">
      <c r="A357" s="19">
        <v>354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Q357" s="14"/>
      <c r="R357" s="7"/>
      <c r="S357" s="15" t="str">
        <f t="shared" si="20"/>
        <v/>
      </c>
      <c r="T357" s="14"/>
      <c r="U357" s="7"/>
      <c r="V357" s="15" t="str">
        <f t="shared" si="21"/>
        <v/>
      </c>
      <c r="W357" s="14"/>
      <c r="X357" s="7"/>
      <c r="Y357" s="15" t="str">
        <f t="shared" si="22"/>
        <v/>
      </c>
      <c r="Z357" s="14"/>
      <c r="AA357" s="7"/>
      <c r="AB357" s="15" t="str">
        <f t="shared" si="23"/>
        <v/>
      </c>
    </row>
    <row r="358" spans="1:28">
      <c r="A358" s="19">
        <v>355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Q358" s="14"/>
      <c r="R358" s="7"/>
      <c r="S358" s="15" t="str">
        <f t="shared" si="20"/>
        <v/>
      </c>
      <c r="T358" s="14"/>
      <c r="U358" s="7"/>
      <c r="V358" s="15" t="str">
        <f t="shared" si="21"/>
        <v/>
      </c>
      <c r="W358" s="14"/>
      <c r="X358" s="7"/>
      <c r="Y358" s="15" t="str">
        <f t="shared" si="22"/>
        <v/>
      </c>
      <c r="Z358" s="14"/>
      <c r="AA358" s="7"/>
      <c r="AB358" s="15" t="str">
        <f t="shared" si="23"/>
        <v/>
      </c>
    </row>
    <row r="359" spans="1:28">
      <c r="A359" s="19">
        <v>356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Q359" s="14"/>
      <c r="R359" s="7"/>
      <c r="S359" s="15" t="str">
        <f t="shared" si="20"/>
        <v/>
      </c>
      <c r="T359" s="14"/>
      <c r="U359" s="7"/>
      <c r="V359" s="15" t="str">
        <f t="shared" si="21"/>
        <v/>
      </c>
      <c r="W359" s="14"/>
      <c r="X359" s="7"/>
      <c r="Y359" s="15" t="str">
        <f t="shared" si="22"/>
        <v/>
      </c>
      <c r="Z359" s="14"/>
      <c r="AA359" s="7"/>
      <c r="AB359" s="15" t="str">
        <f t="shared" si="23"/>
        <v/>
      </c>
    </row>
    <row r="360" spans="1:28">
      <c r="A360" s="19">
        <v>357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Q360" s="14"/>
      <c r="R360" s="7"/>
      <c r="S360" s="15" t="str">
        <f t="shared" si="20"/>
        <v/>
      </c>
      <c r="T360" s="14"/>
      <c r="U360" s="7"/>
      <c r="V360" s="15" t="str">
        <f t="shared" si="21"/>
        <v/>
      </c>
      <c r="W360" s="14"/>
      <c r="X360" s="7"/>
      <c r="Y360" s="15" t="str">
        <f t="shared" si="22"/>
        <v/>
      </c>
      <c r="Z360" s="14"/>
      <c r="AA360" s="7"/>
      <c r="AB360" s="15" t="str">
        <f t="shared" si="23"/>
        <v/>
      </c>
    </row>
    <row r="361" spans="1:28">
      <c r="A361" s="19">
        <v>358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Q361" s="14"/>
      <c r="R361" s="7"/>
      <c r="S361" s="15" t="str">
        <f t="shared" si="20"/>
        <v/>
      </c>
      <c r="T361" s="14"/>
      <c r="U361" s="7"/>
      <c r="V361" s="15" t="str">
        <f t="shared" si="21"/>
        <v/>
      </c>
      <c r="W361" s="14"/>
      <c r="X361" s="7"/>
      <c r="Y361" s="15" t="str">
        <f t="shared" si="22"/>
        <v/>
      </c>
      <c r="Z361" s="14"/>
      <c r="AA361" s="7"/>
      <c r="AB361" s="15" t="str">
        <f t="shared" si="23"/>
        <v/>
      </c>
    </row>
    <row r="362" spans="1:28">
      <c r="A362" s="19">
        <v>359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Q362" s="14"/>
      <c r="R362" s="7"/>
      <c r="S362" s="15" t="str">
        <f t="shared" si="20"/>
        <v/>
      </c>
      <c r="T362" s="14"/>
      <c r="U362" s="7"/>
      <c r="V362" s="15" t="str">
        <f t="shared" si="21"/>
        <v/>
      </c>
      <c r="W362" s="14"/>
      <c r="X362" s="7"/>
      <c r="Y362" s="15" t="str">
        <f t="shared" si="22"/>
        <v/>
      </c>
      <c r="Z362" s="14"/>
      <c r="AA362" s="7"/>
      <c r="AB362" s="15" t="str">
        <f t="shared" si="23"/>
        <v/>
      </c>
    </row>
    <row r="363" spans="1:28">
      <c r="A363" s="19">
        <v>360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Q363" s="14"/>
      <c r="R363" s="7"/>
      <c r="S363" s="15" t="str">
        <f t="shared" si="20"/>
        <v/>
      </c>
      <c r="T363" s="14"/>
      <c r="U363" s="7"/>
      <c r="V363" s="15" t="str">
        <f t="shared" si="21"/>
        <v/>
      </c>
      <c r="W363" s="14"/>
      <c r="X363" s="7"/>
      <c r="Y363" s="15" t="str">
        <f t="shared" si="22"/>
        <v/>
      </c>
      <c r="Z363" s="14"/>
      <c r="AA363" s="7"/>
      <c r="AB363" s="15" t="str">
        <f t="shared" si="23"/>
        <v/>
      </c>
    </row>
    <row r="364" spans="1:28">
      <c r="A364" s="19">
        <v>361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Q364" s="14"/>
      <c r="R364" s="7"/>
      <c r="S364" s="15" t="str">
        <f t="shared" si="20"/>
        <v/>
      </c>
      <c r="T364" s="14"/>
      <c r="U364" s="7"/>
      <c r="V364" s="15" t="str">
        <f t="shared" si="21"/>
        <v/>
      </c>
      <c r="W364" s="14"/>
      <c r="X364" s="7"/>
      <c r="Y364" s="15" t="str">
        <f t="shared" si="22"/>
        <v/>
      </c>
      <c r="Z364" s="14"/>
      <c r="AA364" s="7"/>
      <c r="AB364" s="15" t="str">
        <f t="shared" si="23"/>
        <v/>
      </c>
    </row>
    <row r="365" spans="1:28">
      <c r="A365" s="19">
        <v>362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Q365" s="14"/>
      <c r="R365" s="7"/>
      <c r="S365" s="15" t="str">
        <f t="shared" si="20"/>
        <v/>
      </c>
      <c r="T365" s="14"/>
      <c r="U365" s="7"/>
      <c r="V365" s="15" t="str">
        <f t="shared" si="21"/>
        <v/>
      </c>
      <c r="W365" s="14"/>
      <c r="X365" s="7"/>
      <c r="Y365" s="15" t="str">
        <f t="shared" si="22"/>
        <v/>
      </c>
      <c r="Z365" s="14"/>
      <c r="AA365" s="7"/>
      <c r="AB365" s="15" t="str">
        <f t="shared" si="23"/>
        <v/>
      </c>
    </row>
    <row r="366" spans="1:28">
      <c r="A366" s="19">
        <v>363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Q366" s="14"/>
      <c r="R366" s="7"/>
      <c r="S366" s="15" t="str">
        <f t="shared" si="20"/>
        <v/>
      </c>
      <c r="T366" s="14"/>
      <c r="U366" s="7"/>
      <c r="V366" s="15" t="str">
        <f t="shared" si="21"/>
        <v/>
      </c>
      <c r="W366" s="14"/>
      <c r="X366" s="7"/>
      <c r="Y366" s="15" t="str">
        <f t="shared" si="22"/>
        <v/>
      </c>
      <c r="Z366" s="14"/>
      <c r="AA366" s="7"/>
      <c r="AB366" s="15" t="str">
        <f t="shared" si="23"/>
        <v/>
      </c>
    </row>
    <row r="367" spans="1:28">
      <c r="A367" s="19">
        <v>364</v>
      </c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Q367" s="14"/>
      <c r="R367" s="7"/>
      <c r="S367" s="15" t="str">
        <f t="shared" si="20"/>
        <v/>
      </c>
      <c r="T367" s="14"/>
      <c r="U367" s="7"/>
      <c r="V367" s="15" t="str">
        <f t="shared" si="21"/>
        <v/>
      </c>
      <c r="W367" s="14"/>
      <c r="X367" s="7"/>
      <c r="Y367" s="15" t="str">
        <f t="shared" si="22"/>
        <v/>
      </c>
      <c r="Z367" s="14"/>
      <c r="AA367" s="7"/>
      <c r="AB367" s="15" t="str">
        <f t="shared" si="23"/>
        <v/>
      </c>
    </row>
    <row r="368" spans="1:28">
      <c r="A368" s="19">
        <v>365</v>
      </c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Q368" s="14"/>
      <c r="R368" s="7"/>
      <c r="S368" s="15" t="str">
        <f t="shared" si="20"/>
        <v/>
      </c>
      <c r="T368" s="14"/>
      <c r="U368" s="7"/>
      <c r="V368" s="15" t="str">
        <f t="shared" si="21"/>
        <v/>
      </c>
      <c r="W368" s="14"/>
      <c r="X368" s="7"/>
      <c r="Y368" s="15" t="str">
        <f t="shared" si="22"/>
        <v/>
      </c>
      <c r="Z368" s="14"/>
      <c r="AA368" s="7"/>
      <c r="AB368" s="15" t="str">
        <f t="shared" si="23"/>
        <v/>
      </c>
    </row>
    <row r="369" spans="1:28">
      <c r="A369" s="19">
        <v>366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Q369" s="14"/>
      <c r="R369" s="7"/>
      <c r="S369" s="15" t="str">
        <f t="shared" si="20"/>
        <v/>
      </c>
      <c r="T369" s="14"/>
      <c r="U369" s="7"/>
      <c r="V369" s="15" t="str">
        <f t="shared" si="21"/>
        <v/>
      </c>
      <c r="W369" s="14"/>
      <c r="X369" s="7"/>
      <c r="Y369" s="15" t="str">
        <f t="shared" si="22"/>
        <v/>
      </c>
      <c r="Z369" s="14"/>
      <c r="AA369" s="7"/>
      <c r="AB369" s="15" t="str">
        <f t="shared" si="23"/>
        <v/>
      </c>
    </row>
    <row r="370" spans="1:28">
      <c r="A370" s="19">
        <v>367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Q370" s="14"/>
      <c r="R370" s="7"/>
      <c r="S370" s="15" t="str">
        <f t="shared" si="20"/>
        <v/>
      </c>
      <c r="T370" s="14"/>
      <c r="U370" s="7"/>
      <c r="V370" s="15" t="str">
        <f t="shared" si="21"/>
        <v/>
      </c>
      <c r="W370" s="14"/>
      <c r="X370" s="7"/>
      <c r="Y370" s="15" t="str">
        <f t="shared" si="22"/>
        <v/>
      </c>
      <c r="Z370" s="14"/>
      <c r="AA370" s="7"/>
      <c r="AB370" s="15" t="str">
        <f t="shared" si="23"/>
        <v/>
      </c>
    </row>
    <row r="371" spans="1:28">
      <c r="A371" s="19">
        <v>368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Q371" s="14"/>
      <c r="R371" s="7"/>
      <c r="S371" s="15" t="str">
        <f t="shared" si="20"/>
        <v/>
      </c>
      <c r="T371" s="14"/>
      <c r="U371" s="7"/>
      <c r="V371" s="15" t="str">
        <f t="shared" si="21"/>
        <v/>
      </c>
      <c r="W371" s="14"/>
      <c r="X371" s="7"/>
      <c r="Y371" s="15" t="str">
        <f t="shared" si="22"/>
        <v/>
      </c>
      <c r="Z371" s="14"/>
      <c r="AA371" s="7"/>
      <c r="AB371" s="15" t="str">
        <f t="shared" si="23"/>
        <v/>
      </c>
    </row>
    <row r="372" spans="1:28">
      <c r="A372" s="19">
        <v>369</v>
      </c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Q372" s="14"/>
      <c r="R372" s="7"/>
      <c r="S372" s="15" t="str">
        <f t="shared" si="20"/>
        <v/>
      </c>
      <c r="T372" s="14"/>
      <c r="U372" s="7"/>
      <c r="V372" s="15" t="str">
        <f t="shared" si="21"/>
        <v/>
      </c>
      <c r="W372" s="14"/>
      <c r="X372" s="7"/>
      <c r="Y372" s="15" t="str">
        <f t="shared" si="22"/>
        <v/>
      </c>
      <c r="Z372" s="14"/>
      <c r="AA372" s="7"/>
      <c r="AB372" s="15" t="str">
        <f t="shared" si="23"/>
        <v/>
      </c>
    </row>
    <row r="373" spans="1:28">
      <c r="A373" s="19">
        <v>370</v>
      </c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Q373" s="14"/>
      <c r="R373" s="7"/>
      <c r="S373" s="15" t="str">
        <f t="shared" si="20"/>
        <v/>
      </c>
      <c r="T373" s="14"/>
      <c r="U373" s="7"/>
      <c r="V373" s="15" t="str">
        <f t="shared" si="21"/>
        <v/>
      </c>
      <c r="W373" s="14"/>
      <c r="X373" s="7"/>
      <c r="Y373" s="15" t="str">
        <f t="shared" si="22"/>
        <v/>
      </c>
      <c r="Z373" s="14"/>
      <c r="AA373" s="7"/>
      <c r="AB373" s="15" t="str">
        <f t="shared" si="23"/>
        <v/>
      </c>
    </row>
    <row r="374" spans="1:28">
      <c r="A374" s="19">
        <v>371</v>
      </c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Q374" s="14"/>
      <c r="R374" s="7"/>
      <c r="S374" s="15" t="str">
        <f t="shared" si="20"/>
        <v/>
      </c>
      <c r="T374" s="14"/>
      <c r="U374" s="7"/>
      <c r="V374" s="15" t="str">
        <f t="shared" si="21"/>
        <v/>
      </c>
      <c r="W374" s="14"/>
      <c r="X374" s="7"/>
      <c r="Y374" s="15" t="str">
        <f t="shared" si="22"/>
        <v/>
      </c>
      <c r="Z374" s="14"/>
      <c r="AA374" s="7"/>
      <c r="AB374" s="15" t="str">
        <f t="shared" si="23"/>
        <v/>
      </c>
    </row>
    <row r="375" spans="1:28">
      <c r="A375" s="19">
        <v>372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Q375" s="14"/>
      <c r="R375" s="7"/>
      <c r="S375" s="15" t="str">
        <f t="shared" si="20"/>
        <v/>
      </c>
      <c r="T375" s="14"/>
      <c r="U375" s="7"/>
      <c r="V375" s="15" t="str">
        <f t="shared" si="21"/>
        <v/>
      </c>
      <c r="W375" s="14"/>
      <c r="X375" s="7"/>
      <c r="Y375" s="15" t="str">
        <f t="shared" si="22"/>
        <v/>
      </c>
      <c r="Z375" s="14"/>
      <c r="AA375" s="7"/>
      <c r="AB375" s="15" t="str">
        <f t="shared" si="23"/>
        <v/>
      </c>
    </row>
    <row r="376" spans="1:28">
      <c r="A376" s="19">
        <v>373</v>
      </c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Q376" s="14"/>
      <c r="R376" s="7"/>
      <c r="S376" s="15" t="str">
        <f t="shared" si="20"/>
        <v/>
      </c>
      <c r="T376" s="14"/>
      <c r="U376" s="7"/>
      <c r="V376" s="15" t="str">
        <f t="shared" si="21"/>
        <v/>
      </c>
      <c r="W376" s="14"/>
      <c r="X376" s="7"/>
      <c r="Y376" s="15" t="str">
        <f t="shared" si="22"/>
        <v/>
      </c>
      <c r="Z376" s="14"/>
      <c r="AA376" s="7"/>
      <c r="AB376" s="15" t="str">
        <f t="shared" si="23"/>
        <v/>
      </c>
    </row>
    <row r="377" spans="1:28">
      <c r="A377" s="19">
        <v>374</v>
      </c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Q377" s="14"/>
      <c r="R377" s="7"/>
      <c r="S377" s="15" t="str">
        <f t="shared" si="20"/>
        <v/>
      </c>
      <c r="T377" s="14"/>
      <c r="U377" s="7"/>
      <c r="V377" s="15" t="str">
        <f t="shared" si="21"/>
        <v/>
      </c>
      <c r="W377" s="14"/>
      <c r="X377" s="7"/>
      <c r="Y377" s="15" t="str">
        <f t="shared" si="22"/>
        <v/>
      </c>
      <c r="Z377" s="14"/>
      <c r="AA377" s="7"/>
      <c r="AB377" s="15" t="str">
        <f t="shared" si="23"/>
        <v/>
      </c>
    </row>
    <row r="378" spans="1:28">
      <c r="A378" s="19">
        <v>375</v>
      </c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Q378" s="14"/>
      <c r="R378" s="7"/>
      <c r="S378" s="15" t="str">
        <f t="shared" si="20"/>
        <v/>
      </c>
      <c r="T378" s="14"/>
      <c r="U378" s="7"/>
      <c r="V378" s="15" t="str">
        <f t="shared" si="21"/>
        <v/>
      </c>
      <c r="W378" s="14"/>
      <c r="X378" s="7"/>
      <c r="Y378" s="15" t="str">
        <f t="shared" si="22"/>
        <v/>
      </c>
      <c r="Z378" s="14"/>
      <c r="AA378" s="7"/>
      <c r="AB378" s="15" t="str">
        <f t="shared" si="23"/>
        <v/>
      </c>
    </row>
    <row r="379" spans="1:28">
      <c r="A379" s="19">
        <v>376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Q379" s="14"/>
      <c r="R379" s="7"/>
      <c r="S379" s="15" t="str">
        <f t="shared" si="20"/>
        <v/>
      </c>
      <c r="T379" s="14"/>
      <c r="U379" s="7"/>
      <c r="V379" s="15" t="str">
        <f t="shared" si="21"/>
        <v/>
      </c>
      <c r="W379" s="14"/>
      <c r="X379" s="7"/>
      <c r="Y379" s="15" t="str">
        <f t="shared" si="22"/>
        <v/>
      </c>
      <c r="Z379" s="14"/>
      <c r="AA379" s="7"/>
      <c r="AB379" s="15" t="str">
        <f t="shared" si="23"/>
        <v/>
      </c>
    </row>
    <row r="380" spans="1:28">
      <c r="A380" s="19">
        <v>377</v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Q380" s="14"/>
      <c r="R380" s="7"/>
      <c r="S380" s="15" t="str">
        <f t="shared" si="20"/>
        <v/>
      </c>
      <c r="T380" s="14"/>
      <c r="U380" s="7"/>
      <c r="V380" s="15" t="str">
        <f t="shared" si="21"/>
        <v/>
      </c>
      <c r="W380" s="14"/>
      <c r="X380" s="7"/>
      <c r="Y380" s="15" t="str">
        <f t="shared" si="22"/>
        <v/>
      </c>
      <c r="Z380" s="14"/>
      <c r="AA380" s="7"/>
      <c r="AB380" s="15" t="str">
        <f t="shared" si="23"/>
        <v/>
      </c>
    </row>
    <row r="381" spans="1:28">
      <c r="A381" s="19">
        <v>378</v>
      </c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Q381" s="14"/>
      <c r="R381" s="7"/>
      <c r="S381" s="15" t="str">
        <f t="shared" si="20"/>
        <v/>
      </c>
      <c r="T381" s="14"/>
      <c r="U381" s="7"/>
      <c r="V381" s="15" t="str">
        <f t="shared" si="21"/>
        <v/>
      </c>
      <c r="W381" s="14"/>
      <c r="X381" s="7"/>
      <c r="Y381" s="15" t="str">
        <f t="shared" si="22"/>
        <v/>
      </c>
      <c r="Z381" s="14"/>
      <c r="AA381" s="7"/>
      <c r="AB381" s="15" t="str">
        <f t="shared" si="23"/>
        <v/>
      </c>
    </row>
    <row r="382" spans="1:28">
      <c r="A382" s="19">
        <v>379</v>
      </c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Q382" s="14"/>
      <c r="R382" s="7"/>
      <c r="S382" s="15" t="str">
        <f t="shared" si="20"/>
        <v/>
      </c>
      <c r="T382" s="14"/>
      <c r="U382" s="7"/>
      <c r="V382" s="15" t="str">
        <f t="shared" si="21"/>
        <v/>
      </c>
      <c r="W382" s="14"/>
      <c r="X382" s="7"/>
      <c r="Y382" s="15" t="str">
        <f t="shared" si="22"/>
        <v/>
      </c>
      <c r="Z382" s="14"/>
      <c r="AA382" s="7"/>
      <c r="AB382" s="15" t="str">
        <f t="shared" si="23"/>
        <v/>
      </c>
    </row>
    <row r="383" spans="1:28">
      <c r="A383" s="19">
        <v>380</v>
      </c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Q383" s="14"/>
      <c r="R383" s="7"/>
      <c r="S383" s="15" t="str">
        <f t="shared" si="20"/>
        <v/>
      </c>
      <c r="T383" s="14"/>
      <c r="U383" s="7"/>
      <c r="V383" s="15" t="str">
        <f t="shared" si="21"/>
        <v/>
      </c>
      <c r="W383" s="14"/>
      <c r="X383" s="7"/>
      <c r="Y383" s="15" t="str">
        <f t="shared" si="22"/>
        <v/>
      </c>
      <c r="Z383" s="14"/>
      <c r="AA383" s="7"/>
      <c r="AB383" s="15" t="str">
        <f t="shared" si="23"/>
        <v/>
      </c>
    </row>
    <row r="384" spans="1:28">
      <c r="A384" s="19">
        <v>381</v>
      </c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Q384" s="14"/>
      <c r="R384" s="7"/>
      <c r="S384" s="15" t="str">
        <f t="shared" si="20"/>
        <v/>
      </c>
      <c r="T384" s="14"/>
      <c r="U384" s="7"/>
      <c r="V384" s="15" t="str">
        <f t="shared" si="21"/>
        <v/>
      </c>
      <c r="W384" s="14"/>
      <c r="X384" s="7"/>
      <c r="Y384" s="15" t="str">
        <f t="shared" si="22"/>
        <v/>
      </c>
      <c r="Z384" s="14"/>
      <c r="AA384" s="7"/>
      <c r="AB384" s="15" t="str">
        <f t="shared" si="23"/>
        <v/>
      </c>
    </row>
    <row r="385" spans="1:28">
      <c r="A385" s="19">
        <v>382</v>
      </c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Q385" s="14"/>
      <c r="R385" s="7"/>
      <c r="S385" s="15" t="str">
        <f t="shared" si="20"/>
        <v/>
      </c>
      <c r="T385" s="14"/>
      <c r="U385" s="7"/>
      <c r="V385" s="15" t="str">
        <f t="shared" si="21"/>
        <v/>
      </c>
      <c r="W385" s="14"/>
      <c r="X385" s="7"/>
      <c r="Y385" s="15" t="str">
        <f t="shared" si="22"/>
        <v/>
      </c>
      <c r="Z385" s="14"/>
      <c r="AA385" s="7"/>
      <c r="AB385" s="15" t="str">
        <f t="shared" si="23"/>
        <v/>
      </c>
    </row>
    <row r="386" spans="1:28">
      <c r="A386" s="19">
        <v>383</v>
      </c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Q386" s="14"/>
      <c r="R386" s="7"/>
      <c r="S386" s="15" t="str">
        <f t="shared" si="20"/>
        <v/>
      </c>
      <c r="T386" s="14"/>
      <c r="U386" s="7"/>
      <c r="V386" s="15" t="str">
        <f t="shared" si="21"/>
        <v/>
      </c>
      <c r="W386" s="14"/>
      <c r="X386" s="7"/>
      <c r="Y386" s="15" t="str">
        <f t="shared" si="22"/>
        <v/>
      </c>
      <c r="Z386" s="14"/>
      <c r="AA386" s="7"/>
      <c r="AB386" s="15" t="str">
        <f t="shared" si="23"/>
        <v/>
      </c>
    </row>
    <row r="387" spans="1:28">
      <c r="A387" s="19">
        <v>384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Q387" s="14"/>
      <c r="R387" s="7"/>
      <c r="S387" s="15" t="str">
        <f t="shared" si="20"/>
        <v/>
      </c>
      <c r="T387" s="14"/>
      <c r="U387" s="7"/>
      <c r="V387" s="15" t="str">
        <f t="shared" si="21"/>
        <v/>
      </c>
      <c r="W387" s="14"/>
      <c r="X387" s="7"/>
      <c r="Y387" s="15" t="str">
        <f t="shared" si="22"/>
        <v/>
      </c>
      <c r="Z387" s="14"/>
      <c r="AA387" s="7"/>
      <c r="AB387" s="15" t="str">
        <f t="shared" si="23"/>
        <v/>
      </c>
    </row>
    <row r="388" spans="1:28">
      <c r="A388" s="19">
        <v>385</v>
      </c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Q388" s="14"/>
      <c r="R388" s="7"/>
      <c r="S388" s="15" t="str">
        <f t="shared" si="20"/>
        <v/>
      </c>
      <c r="T388" s="14"/>
      <c r="U388" s="7"/>
      <c r="V388" s="15" t="str">
        <f t="shared" si="21"/>
        <v/>
      </c>
      <c r="W388" s="14"/>
      <c r="X388" s="7"/>
      <c r="Y388" s="15" t="str">
        <f t="shared" si="22"/>
        <v/>
      </c>
      <c r="Z388" s="14"/>
      <c r="AA388" s="7"/>
      <c r="AB388" s="15" t="str">
        <f t="shared" si="23"/>
        <v/>
      </c>
    </row>
    <row r="389" spans="1:28">
      <c r="A389" s="19">
        <v>386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Q389" s="14"/>
      <c r="R389" s="7"/>
      <c r="S389" s="15" t="str">
        <f t="shared" ref="S389:S452" si="24">IF(OR($H389="",Q389=""),"",Q389+(R389/$H389))</f>
        <v/>
      </c>
      <c r="T389" s="14"/>
      <c r="U389" s="7"/>
      <c r="V389" s="15" t="str">
        <f t="shared" ref="V389:V452" si="25">IF(OR($H389="",T389=""),"",T389+(U389/$H389))</f>
        <v/>
      </c>
      <c r="W389" s="14"/>
      <c r="X389" s="7"/>
      <c r="Y389" s="15" t="str">
        <f t="shared" ref="Y389:Y452" si="26">IF(OR($H389="",W389=""),"",W389+(X389/$H389))</f>
        <v/>
      </c>
      <c r="Z389" s="14"/>
      <c r="AA389" s="7"/>
      <c r="AB389" s="15" t="str">
        <f t="shared" ref="AB389:AB452" si="27">IF(OR($H389="",Z389=""),"",Z389+(AA389/$H389))</f>
        <v/>
      </c>
    </row>
    <row r="390" spans="1:28">
      <c r="A390" s="19">
        <v>387</v>
      </c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Q390" s="14"/>
      <c r="R390" s="7"/>
      <c r="S390" s="15" t="str">
        <f t="shared" si="24"/>
        <v/>
      </c>
      <c r="T390" s="14"/>
      <c r="U390" s="7"/>
      <c r="V390" s="15" t="str">
        <f t="shared" si="25"/>
        <v/>
      </c>
      <c r="W390" s="14"/>
      <c r="X390" s="7"/>
      <c r="Y390" s="15" t="str">
        <f t="shared" si="26"/>
        <v/>
      </c>
      <c r="Z390" s="14"/>
      <c r="AA390" s="7"/>
      <c r="AB390" s="15" t="str">
        <f t="shared" si="27"/>
        <v/>
      </c>
    </row>
    <row r="391" spans="1:28">
      <c r="A391" s="19">
        <v>388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Q391" s="14"/>
      <c r="R391" s="7"/>
      <c r="S391" s="15" t="str">
        <f t="shared" si="24"/>
        <v/>
      </c>
      <c r="T391" s="14"/>
      <c r="U391" s="7"/>
      <c r="V391" s="15" t="str">
        <f t="shared" si="25"/>
        <v/>
      </c>
      <c r="W391" s="14"/>
      <c r="X391" s="7"/>
      <c r="Y391" s="15" t="str">
        <f t="shared" si="26"/>
        <v/>
      </c>
      <c r="Z391" s="14"/>
      <c r="AA391" s="7"/>
      <c r="AB391" s="15" t="str">
        <f t="shared" si="27"/>
        <v/>
      </c>
    </row>
    <row r="392" spans="1:28">
      <c r="A392" s="19">
        <v>389</v>
      </c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Q392" s="14"/>
      <c r="R392" s="7"/>
      <c r="S392" s="15" t="str">
        <f t="shared" si="24"/>
        <v/>
      </c>
      <c r="T392" s="14"/>
      <c r="U392" s="7"/>
      <c r="V392" s="15" t="str">
        <f t="shared" si="25"/>
        <v/>
      </c>
      <c r="W392" s="14"/>
      <c r="X392" s="7"/>
      <c r="Y392" s="15" t="str">
        <f t="shared" si="26"/>
        <v/>
      </c>
      <c r="Z392" s="14"/>
      <c r="AA392" s="7"/>
      <c r="AB392" s="15" t="str">
        <f t="shared" si="27"/>
        <v/>
      </c>
    </row>
    <row r="393" spans="1:28">
      <c r="A393" s="19">
        <v>390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Q393" s="14"/>
      <c r="R393" s="7"/>
      <c r="S393" s="15" t="str">
        <f t="shared" si="24"/>
        <v/>
      </c>
      <c r="T393" s="14"/>
      <c r="U393" s="7"/>
      <c r="V393" s="15" t="str">
        <f t="shared" si="25"/>
        <v/>
      </c>
      <c r="W393" s="14"/>
      <c r="X393" s="7"/>
      <c r="Y393" s="15" t="str">
        <f t="shared" si="26"/>
        <v/>
      </c>
      <c r="Z393" s="14"/>
      <c r="AA393" s="7"/>
      <c r="AB393" s="15" t="str">
        <f t="shared" si="27"/>
        <v/>
      </c>
    </row>
    <row r="394" spans="1:28">
      <c r="A394" s="19">
        <v>391</v>
      </c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Q394" s="14"/>
      <c r="R394" s="7"/>
      <c r="S394" s="15" t="str">
        <f t="shared" si="24"/>
        <v/>
      </c>
      <c r="T394" s="14"/>
      <c r="U394" s="7"/>
      <c r="V394" s="15" t="str">
        <f t="shared" si="25"/>
        <v/>
      </c>
      <c r="W394" s="14"/>
      <c r="X394" s="7"/>
      <c r="Y394" s="15" t="str">
        <f t="shared" si="26"/>
        <v/>
      </c>
      <c r="Z394" s="14"/>
      <c r="AA394" s="7"/>
      <c r="AB394" s="15" t="str">
        <f t="shared" si="27"/>
        <v/>
      </c>
    </row>
    <row r="395" spans="1:28">
      <c r="A395" s="19">
        <v>392</v>
      </c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Q395" s="14"/>
      <c r="R395" s="7"/>
      <c r="S395" s="15" t="str">
        <f t="shared" si="24"/>
        <v/>
      </c>
      <c r="T395" s="14"/>
      <c r="U395" s="7"/>
      <c r="V395" s="15" t="str">
        <f t="shared" si="25"/>
        <v/>
      </c>
      <c r="W395" s="14"/>
      <c r="X395" s="7"/>
      <c r="Y395" s="15" t="str">
        <f t="shared" si="26"/>
        <v/>
      </c>
      <c r="Z395" s="14"/>
      <c r="AA395" s="7"/>
      <c r="AB395" s="15" t="str">
        <f t="shared" si="27"/>
        <v/>
      </c>
    </row>
    <row r="396" spans="1:28">
      <c r="A396" s="19">
        <v>393</v>
      </c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Q396" s="14"/>
      <c r="R396" s="7"/>
      <c r="S396" s="15" t="str">
        <f t="shared" si="24"/>
        <v/>
      </c>
      <c r="T396" s="14"/>
      <c r="U396" s="7"/>
      <c r="V396" s="15" t="str">
        <f t="shared" si="25"/>
        <v/>
      </c>
      <c r="W396" s="14"/>
      <c r="X396" s="7"/>
      <c r="Y396" s="15" t="str">
        <f t="shared" si="26"/>
        <v/>
      </c>
      <c r="Z396" s="14"/>
      <c r="AA396" s="7"/>
      <c r="AB396" s="15" t="str">
        <f t="shared" si="27"/>
        <v/>
      </c>
    </row>
    <row r="397" spans="1:28">
      <c r="A397" s="19">
        <v>394</v>
      </c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Q397" s="14"/>
      <c r="R397" s="7"/>
      <c r="S397" s="15" t="str">
        <f t="shared" si="24"/>
        <v/>
      </c>
      <c r="T397" s="14"/>
      <c r="U397" s="7"/>
      <c r="V397" s="15" t="str">
        <f t="shared" si="25"/>
        <v/>
      </c>
      <c r="W397" s="14"/>
      <c r="X397" s="7"/>
      <c r="Y397" s="15" t="str">
        <f t="shared" si="26"/>
        <v/>
      </c>
      <c r="Z397" s="14"/>
      <c r="AA397" s="7"/>
      <c r="AB397" s="15" t="str">
        <f t="shared" si="27"/>
        <v/>
      </c>
    </row>
    <row r="398" spans="1:28">
      <c r="A398" s="19">
        <v>395</v>
      </c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Q398" s="14"/>
      <c r="R398" s="7"/>
      <c r="S398" s="15" t="str">
        <f t="shared" si="24"/>
        <v/>
      </c>
      <c r="T398" s="14"/>
      <c r="U398" s="7"/>
      <c r="V398" s="15" t="str">
        <f t="shared" si="25"/>
        <v/>
      </c>
      <c r="W398" s="14"/>
      <c r="X398" s="7"/>
      <c r="Y398" s="15" t="str">
        <f t="shared" si="26"/>
        <v/>
      </c>
      <c r="Z398" s="14"/>
      <c r="AA398" s="7"/>
      <c r="AB398" s="15" t="str">
        <f t="shared" si="27"/>
        <v/>
      </c>
    </row>
    <row r="399" spans="1:28">
      <c r="A399" s="19">
        <v>396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Q399" s="14"/>
      <c r="R399" s="7"/>
      <c r="S399" s="15" t="str">
        <f t="shared" si="24"/>
        <v/>
      </c>
      <c r="T399" s="14"/>
      <c r="U399" s="7"/>
      <c r="V399" s="15" t="str">
        <f t="shared" si="25"/>
        <v/>
      </c>
      <c r="W399" s="14"/>
      <c r="X399" s="7"/>
      <c r="Y399" s="15" t="str">
        <f t="shared" si="26"/>
        <v/>
      </c>
      <c r="Z399" s="14"/>
      <c r="AA399" s="7"/>
      <c r="AB399" s="15" t="str">
        <f t="shared" si="27"/>
        <v/>
      </c>
    </row>
    <row r="400" spans="1:28">
      <c r="A400" s="19">
        <v>397</v>
      </c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Q400" s="14"/>
      <c r="R400" s="7"/>
      <c r="S400" s="15" t="str">
        <f t="shared" si="24"/>
        <v/>
      </c>
      <c r="T400" s="14"/>
      <c r="U400" s="7"/>
      <c r="V400" s="15" t="str">
        <f t="shared" si="25"/>
        <v/>
      </c>
      <c r="W400" s="14"/>
      <c r="X400" s="7"/>
      <c r="Y400" s="15" t="str">
        <f t="shared" si="26"/>
        <v/>
      </c>
      <c r="Z400" s="14"/>
      <c r="AA400" s="7"/>
      <c r="AB400" s="15" t="str">
        <f t="shared" si="27"/>
        <v/>
      </c>
    </row>
    <row r="401" spans="1:28">
      <c r="A401" s="19">
        <v>398</v>
      </c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Q401" s="14"/>
      <c r="R401" s="7"/>
      <c r="S401" s="15" t="str">
        <f t="shared" si="24"/>
        <v/>
      </c>
      <c r="T401" s="14"/>
      <c r="U401" s="7"/>
      <c r="V401" s="15" t="str">
        <f t="shared" si="25"/>
        <v/>
      </c>
      <c r="W401" s="14"/>
      <c r="X401" s="7"/>
      <c r="Y401" s="15" t="str">
        <f t="shared" si="26"/>
        <v/>
      </c>
      <c r="Z401" s="14"/>
      <c r="AA401" s="7"/>
      <c r="AB401" s="15" t="str">
        <f t="shared" si="27"/>
        <v/>
      </c>
    </row>
    <row r="402" spans="1:28">
      <c r="A402" s="19">
        <v>399</v>
      </c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Q402" s="14"/>
      <c r="R402" s="7"/>
      <c r="S402" s="15" t="str">
        <f t="shared" si="24"/>
        <v/>
      </c>
      <c r="T402" s="14"/>
      <c r="U402" s="7"/>
      <c r="V402" s="15" t="str">
        <f t="shared" si="25"/>
        <v/>
      </c>
      <c r="W402" s="14"/>
      <c r="X402" s="7"/>
      <c r="Y402" s="15" t="str">
        <f t="shared" si="26"/>
        <v/>
      </c>
      <c r="Z402" s="14"/>
      <c r="AA402" s="7"/>
      <c r="AB402" s="15" t="str">
        <f t="shared" si="27"/>
        <v/>
      </c>
    </row>
    <row r="403" spans="1:28">
      <c r="A403" s="19">
        <v>400</v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Q403" s="14"/>
      <c r="R403" s="7"/>
      <c r="S403" s="15" t="str">
        <f t="shared" si="24"/>
        <v/>
      </c>
      <c r="T403" s="14"/>
      <c r="U403" s="7"/>
      <c r="V403" s="15" t="str">
        <f t="shared" si="25"/>
        <v/>
      </c>
      <c r="W403" s="14"/>
      <c r="X403" s="7"/>
      <c r="Y403" s="15" t="str">
        <f t="shared" si="26"/>
        <v/>
      </c>
      <c r="Z403" s="14"/>
      <c r="AA403" s="7"/>
      <c r="AB403" s="15" t="str">
        <f t="shared" si="27"/>
        <v/>
      </c>
    </row>
    <row r="404" spans="1:28">
      <c r="A404" s="19">
        <v>401</v>
      </c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Q404" s="14"/>
      <c r="R404" s="7"/>
      <c r="S404" s="15" t="str">
        <f t="shared" si="24"/>
        <v/>
      </c>
      <c r="T404" s="14"/>
      <c r="U404" s="7"/>
      <c r="V404" s="15" t="str">
        <f t="shared" si="25"/>
        <v/>
      </c>
      <c r="W404" s="14"/>
      <c r="X404" s="7"/>
      <c r="Y404" s="15" t="str">
        <f t="shared" si="26"/>
        <v/>
      </c>
      <c r="Z404" s="14"/>
      <c r="AA404" s="7"/>
      <c r="AB404" s="15" t="str">
        <f t="shared" si="27"/>
        <v/>
      </c>
    </row>
    <row r="405" spans="1:28">
      <c r="A405" s="19">
        <v>402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Q405" s="14"/>
      <c r="R405" s="7"/>
      <c r="S405" s="15" t="str">
        <f t="shared" si="24"/>
        <v/>
      </c>
      <c r="T405" s="14"/>
      <c r="U405" s="7"/>
      <c r="V405" s="15" t="str">
        <f t="shared" si="25"/>
        <v/>
      </c>
      <c r="W405" s="14"/>
      <c r="X405" s="7"/>
      <c r="Y405" s="15" t="str">
        <f t="shared" si="26"/>
        <v/>
      </c>
      <c r="Z405" s="14"/>
      <c r="AA405" s="7"/>
      <c r="AB405" s="15" t="str">
        <f t="shared" si="27"/>
        <v/>
      </c>
    </row>
    <row r="406" spans="1:28">
      <c r="A406" s="19">
        <v>403</v>
      </c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Q406" s="14"/>
      <c r="R406" s="7"/>
      <c r="S406" s="15" t="str">
        <f t="shared" si="24"/>
        <v/>
      </c>
      <c r="T406" s="14"/>
      <c r="U406" s="7"/>
      <c r="V406" s="15" t="str">
        <f t="shared" si="25"/>
        <v/>
      </c>
      <c r="W406" s="14"/>
      <c r="X406" s="7"/>
      <c r="Y406" s="15" t="str">
        <f t="shared" si="26"/>
        <v/>
      </c>
      <c r="Z406" s="14"/>
      <c r="AA406" s="7"/>
      <c r="AB406" s="15" t="str">
        <f t="shared" si="27"/>
        <v/>
      </c>
    </row>
    <row r="407" spans="1:28">
      <c r="A407" s="19">
        <v>404</v>
      </c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Q407" s="14"/>
      <c r="R407" s="7"/>
      <c r="S407" s="15" t="str">
        <f t="shared" si="24"/>
        <v/>
      </c>
      <c r="T407" s="14"/>
      <c r="U407" s="7"/>
      <c r="V407" s="15" t="str">
        <f t="shared" si="25"/>
        <v/>
      </c>
      <c r="W407" s="14"/>
      <c r="X407" s="7"/>
      <c r="Y407" s="15" t="str">
        <f t="shared" si="26"/>
        <v/>
      </c>
      <c r="Z407" s="14"/>
      <c r="AA407" s="7"/>
      <c r="AB407" s="15" t="str">
        <f t="shared" si="27"/>
        <v/>
      </c>
    </row>
    <row r="408" spans="1:28">
      <c r="A408" s="19">
        <v>405</v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Q408" s="14"/>
      <c r="R408" s="7"/>
      <c r="S408" s="15" t="str">
        <f t="shared" si="24"/>
        <v/>
      </c>
      <c r="T408" s="14"/>
      <c r="U408" s="7"/>
      <c r="V408" s="15" t="str">
        <f t="shared" si="25"/>
        <v/>
      </c>
      <c r="W408" s="14"/>
      <c r="X408" s="7"/>
      <c r="Y408" s="15" t="str">
        <f t="shared" si="26"/>
        <v/>
      </c>
      <c r="Z408" s="14"/>
      <c r="AA408" s="7"/>
      <c r="AB408" s="15" t="str">
        <f t="shared" si="27"/>
        <v/>
      </c>
    </row>
    <row r="409" spans="1:28">
      <c r="A409" s="19">
        <v>406</v>
      </c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Q409" s="14"/>
      <c r="R409" s="7"/>
      <c r="S409" s="15" t="str">
        <f t="shared" si="24"/>
        <v/>
      </c>
      <c r="T409" s="14"/>
      <c r="U409" s="7"/>
      <c r="V409" s="15" t="str">
        <f t="shared" si="25"/>
        <v/>
      </c>
      <c r="W409" s="14"/>
      <c r="X409" s="7"/>
      <c r="Y409" s="15" t="str">
        <f t="shared" si="26"/>
        <v/>
      </c>
      <c r="Z409" s="14"/>
      <c r="AA409" s="7"/>
      <c r="AB409" s="15" t="str">
        <f t="shared" si="27"/>
        <v/>
      </c>
    </row>
    <row r="410" spans="1:28">
      <c r="A410" s="19">
        <v>407</v>
      </c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Q410" s="14"/>
      <c r="R410" s="7"/>
      <c r="S410" s="15" t="str">
        <f t="shared" si="24"/>
        <v/>
      </c>
      <c r="T410" s="14"/>
      <c r="U410" s="7"/>
      <c r="V410" s="15" t="str">
        <f t="shared" si="25"/>
        <v/>
      </c>
      <c r="W410" s="14"/>
      <c r="X410" s="7"/>
      <c r="Y410" s="15" t="str">
        <f t="shared" si="26"/>
        <v/>
      </c>
      <c r="Z410" s="14"/>
      <c r="AA410" s="7"/>
      <c r="AB410" s="15" t="str">
        <f t="shared" si="27"/>
        <v/>
      </c>
    </row>
    <row r="411" spans="1:28">
      <c r="A411" s="19">
        <v>408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Q411" s="14"/>
      <c r="R411" s="7"/>
      <c r="S411" s="15" t="str">
        <f t="shared" si="24"/>
        <v/>
      </c>
      <c r="T411" s="14"/>
      <c r="U411" s="7"/>
      <c r="V411" s="15" t="str">
        <f t="shared" si="25"/>
        <v/>
      </c>
      <c r="W411" s="14"/>
      <c r="X411" s="7"/>
      <c r="Y411" s="15" t="str">
        <f t="shared" si="26"/>
        <v/>
      </c>
      <c r="Z411" s="14"/>
      <c r="AA411" s="7"/>
      <c r="AB411" s="15" t="str">
        <f t="shared" si="27"/>
        <v/>
      </c>
    </row>
    <row r="412" spans="1:28">
      <c r="A412" s="19">
        <v>409</v>
      </c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Q412" s="14"/>
      <c r="R412" s="7"/>
      <c r="S412" s="15" t="str">
        <f t="shared" si="24"/>
        <v/>
      </c>
      <c r="T412" s="14"/>
      <c r="U412" s="7"/>
      <c r="V412" s="15" t="str">
        <f t="shared" si="25"/>
        <v/>
      </c>
      <c r="W412" s="14"/>
      <c r="X412" s="7"/>
      <c r="Y412" s="15" t="str">
        <f t="shared" si="26"/>
        <v/>
      </c>
      <c r="Z412" s="14"/>
      <c r="AA412" s="7"/>
      <c r="AB412" s="15" t="str">
        <f t="shared" si="27"/>
        <v/>
      </c>
    </row>
    <row r="413" spans="1:28">
      <c r="A413" s="19">
        <v>410</v>
      </c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Q413" s="14"/>
      <c r="R413" s="7"/>
      <c r="S413" s="15" t="str">
        <f t="shared" si="24"/>
        <v/>
      </c>
      <c r="T413" s="14"/>
      <c r="U413" s="7"/>
      <c r="V413" s="15" t="str">
        <f t="shared" si="25"/>
        <v/>
      </c>
      <c r="W413" s="14"/>
      <c r="X413" s="7"/>
      <c r="Y413" s="15" t="str">
        <f t="shared" si="26"/>
        <v/>
      </c>
      <c r="Z413" s="14"/>
      <c r="AA413" s="7"/>
      <c r="AB413" s="15" t="str">
        <f t="shared" si="27"/>
        <v/>
      </c>
    </row>
    <row r="414" spans="1:28">
      <c r="A414" s="19">
        <v>411</v>
      </c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Q414" s="14"/>
      <c r="R414" s="7"/>
      <c r="S414" s="15" t="str">
        <f t="shared" si="24"/>
        <v/>
      </c>
      <c r="T414" s="14"/>
      <c r="U414" s="7"/>
      <c r="V414" s="15" t="str">
        <f t="shared" si="25"/>
        <v/>
      </c>
      <c r="W414" s="14"/>
      <c r="X414" s="7"/>
      <c r="Y414" s="15" t="str">
        <f t="shared" si="26"/>
        <v/>
      </c>
      <c r="Z414" s="14"/>
      <c r="AA414" s="7"/>
      <c r="AB414" s="15" t="str">
        <f t="shared" si="27"/>
        <v/>
      </c>
    </row>
    <row r="415" spans="1:28">
      <c r="A415" s="19">
        <v>412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Q415" s="14"/>
      <c r="R415" s="7"/>
      <c r="S415" s="15" t="str">
        <f t="shared" si="24"/>
        <v/>
      </c>
      <c r="T415" s="14"/>
      <c r="U415" s="7"/>
      <c r="V415" s="15" t="str">
        <f t="shared" si="25"/>
        <v/>
      </c>
      <c r="W415" s="14"/>
      <c r="X415" s="7"/>
      <c r="Y415" s="15" t="str">
        <f t="shared" si="26"/>
        <v/>
      </c>
      <c r="Z415" s="14"/>
      <c r="AA415" s="7"/>
      <c r="AB415" s="15" t="str">
        <f t="shared" si="27"/>
        <v/>
      </c>
    </row>
    <row r="416" spans="1:28">
      <c r="A416" s="19">
        <v>413</v>
      </c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Q416" s="14"/>
      <c r="R416" s="7"/>
      <c r="S416" s="15" t="str">
        <f t="shared" si="24"/>
        <v/>
      </c>
      <c r="T416" s="14"/>
      <c r="U416" s="7"/>
      <c r="V416" s="15" t="str">
        <f t="shared" si="25"/>
        <v/>
      </c>
      <c r="W416" s="14"/>
      <c r="X416" s="7"/>
      <c r="Y416" s="15" t="str">
        <f t="shared" si="26"/>
        <v/>
      </c>
      <c r="Z416" s="14"/>
      <c r="AA416" s="7"/>
      <c r="AB416" s="15" t="str">
        <f t="shared" si="27"/>
        <v/>
      </c>
    </row>
    <row r="417" spans="1:28">
      <c r="A417" s="19">
        <v>414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Q417" s="14"/>
      <c r="R417" s="7"/>
      <c r="S417" s="15" t="str">
        <f t="shared" si="24"/>
        <v/>
      </c>
      <c r="T417" s="14"/>
      <c r="U417" s="7"/>
      <c r="V417" s="15" t="str">
        <f t="shared" si="25"/>
        <v/>
      </c>
      <c r="W417" s="14"/>
      <c r="X417" s="7"/>
      <c r="Y417" s="15" t="str">
        <f t="shared" si="26"/>
        <v/>
      </c>
      <c r="Z417" s="14"/>
      <c r="AA417" s="7"/>
      <c r="AB417" s="15" t="str">
        <f t="shared" si="27"/>
        <v/>
      </c>
    </row>
    <row r="418" spans="1:28">
      <c r="A418" s="19">
        <v>415</v>
      </c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Q418" s="14"/>
      <c r="R418" s="7"/>
      <c r="S418" s="15" t="str">
        <f t="shared" si="24"/>
        <v/>
      </c>
      <c r="T418" s="14"/>
      <c r="U418" s="7"/>
      <c r="V418" s="15" t="str">
        <f t="shared" si="25"/>
        <v/>
      </c>
      <c r="W418" s="14"/>
      <c r="X418" s="7"/>
      <c r="Y418" s="15" t="str">
        <f t="shared" si="26"/>
        <v/>
      </c>
      <c r="Z418" s="14"/>
      <c r="AA418" s="7"/>
      <c r="AB418" s="15" t="str">
        <f t="shared" si="27"/>
        <v/>
      </c>
    </row>
    <row r="419" spans="1:28">
      <c r="A419" s="19">
        <v>416</v>
      </c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Q419" s="14"/>
      <c r="R419" s="7"/>
      <c r="S419" s="15" t="str">
        <f t="shared" si="24"/>
        <v/>
      </c>
      <c r="T419" s="14"/>
      <c r="U419" s="7"/>
      <c r="V419" s="15" t="str">
        <f t="shared" si="25"/>
        <v/>
      </c>
      <c r="W419" s="14"/>
      <c r="X419" s="7"/>
      <c r="Y419" s="15" t="str">
        <f t="shared" si="26"/>
        <v/>
      </c>
      <c r="Z419" s="14"/>
      <c r="AA419" s="7"/>
      <c r="AB419" s="15" t="str">
        <f t="shared" si="27"/>
        <v/>
      </c>
    </row>
    <row r="420" spans="1:28">
      <c r="A420" s="19">
        <v>417</v>
      </c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Q420" s="14"/>
      <c r="R420" s="7"/>
      <c r="S420" s="15" t="str">
        <f t="shared" si="24"/>
        <v/>
      </c>
      <c r="T420" s="14"/>
      <c r="U420" s="7"/>
      <c r="V420" s="15" t="str">
        <f t="shared" si="25"/>
        <v/>
      </c>
      <c r="W420" s="14"/>
      <c r="X420" s="7"/>
      <c r="Y420" s="15" t="str">
        <f t="shared" si="26"/>
        <v/>
      </c>
      <c r="Z420" s="14"/>
      <c r="AA420" s="7"/>
      <c r="AB420" s="15" t="str">
        <f t="shared" si="27"/>
        <v/>
      </c>
    </row>
    <row r="421" spans="1:28">
      <c r="A421" s="19">
        <v>418</v>
      </c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Q421" s="14"/>
      <c r="R421" s="7"/>
      <c r="S421" s="15" t="str">
        <f t="shared" si="24"/>
        <v/>
      </c>
      <c r="T421" s="14"/>
      <c r="U421" s="7"/>
      <c r="V421" s="15" t="str">
        <f t="shared" si="25"/>
        <v/>
      </c>
      <c r="W421" s="14"/>
      <c r="X421" s="7"/>
      <c r="Y421" s="15" t="str">
        <f t="shared" si="26"/>
        <v/>
      </c>
      <c r="Z421" s="14"/>
      <c r="AA421" s="7"/>
      <c r="AB421" s="15" t="str">
        <f t="shared" si="27"/>
        <v/>
      </c>
    </row>
    <row r="422" spans="1:28">
      <c r="A422" s="19">
        <v>419</v>
      </c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Q422" s="14"/>
      <c r="R422" s="7"/>
      <c r="S422" s="15" t="str">
        <f t="shared" si="24"/>
        <v/>
      </c>
      <c r="T422" s="14"/>
      <c r="U422" s="7"/>
      <c r="V422" s="15" t="str">
        <f t="shared" si="25"/>
        <v/>
      </c>
      <c r="W422" s="14"/>
      <c r="X422" s="7"/>
      <c r="Y422" s="15" t="str">
        <f t="shared" si="26"/>
        <v/>
      </c>
      <c r="Z422" s="14"/>
      <c r="AA422" s="7"/>
      <c r="AB422" s="15" t="str">
        <f t="shared" si="27"/>
        <v/>
      </c>
    </row>
    <row r="423" spans="1:28">
      <c r="A423" s="19">
        <v>420</v>
      </c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Q423" s="14"/>
      <c r="R423" s="7"/>
      <c r="S423" s="15" t="str">
        <f t="shared" si="24"/>
        <v/>
      </c>
      <c r="T423" s="14"/>
      <c r="U423" s="7"/>
      <c r="V423" s="15" t="str">
        <f t="shared" si="25"/>
        <v/>
      </c>
      <c r="W423" s="14"/>
      <c r="X423" s="7"/>
      <c r="Y423" s="15" t="str">
        <f t="shared" si="26"/>
        <v/>
      </c>
      <c r="Z423" s="14"/>
      <c r="AA423" s="7"/>
      <c r="AB423" s="15" t="str">
        <f t="shared" si="27"/>
        <v/>
      </c>
    </row>
    <row r="424" spans="1:28">
      <c r="A424" s="19">
        <v>421</v>
      </c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Q424" s="14"/>
      <c r="R424" s="7"/>
      <c r="S424" s="15" t="str">
        <f t="shared" si="24"/>
        <v/>
      </c>
      <c r="T424" s="14"/>
      <c r="U424" s="7"/>
      <c r="V424" s="15" t="str">
        <f t="shared" si="25"/>
        <v/>
      </c>
      <c r="W424" s="14"/>
      <c r="X424" s="7"/>
      <c r="Y424" s="15" t="str">
        <f t="shared" si="26"/>
        <v/>
      </c>
      <c r="Z424" s="14"/>
      <c r="AA424" s="7"/>
      <c r="AB424" s="15" t="str">
        <f t="shared" si="27"/>
        <v/>
      </c>
    </row>
    <row r="425" spans="1:28">
      <c r="A425" s="19">
        <v>422</v>
      </c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Q425" s="14"/>
      <c r="R425" s="7"/>
      <c r="S425" s="15" t="str">
        <f t="shared" si="24"/>
        <v/>
      </c>
      <c r="T425" s="14"/>
      <c r="U425" s="7"/>
      <c r="V425" s="15" t="str">
        <f t="shared" si="25"/>
        <v/>
      </c>
      <c r="W425" s="14"/>
      <c r="X425" s="7"/>
      <c r="Y425" s="15" t="str">
        <f t="shared" si="26"/>
        <v/>
      </c>
      <c r="Z425" s="14"/>
      <c r="AA425" s="7"/>
      <c r="AB425" s="15" t="str">
        <f t="shared" si="27"/>
        <v/>
      </c>
    </row>
    <row r="426" spans="1:28">
      <c r="A426" s="19">
        <v>423</v>
      </c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Q426" s="14"/>
      <c r="R426" s="7"/>
      <c r="S426" s="15" t="str">
        <f t="shared" si="24"/>
        <v/>
      </c>
      <c r="T426" s="14"/>
      <c r="U426" s="7"/>
      <c r="V426" s="15" t="str">
        <f t="shared" si="25"/>
        <v/>
      </c>
      <c r="W426" s="14"/>
      <c r="X426" s="7"/>
      <c r="Y426" s="15" t="str">
        <f t="shared" si="26"/>
        <v/>
      </c>
      <c r="Z426" s="14"/>
      <c r="AA426" s="7"/>
      <c r="AB426" s="15" t="str">
        <f t="shared" si="27"/>
        <v/>
      </c>
    </row>
    <row r="427" spans="1:28">
      <c r="A427" s="19">
        <v>424</v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Q427" s="14"/>
      <c r="R427" s="7"/>
      <c r="S427" s="15" t="str">
        <f t="shared" si="24"/>
        <v/>
      </c>
      <c r="T427" s="14"/>
      <c r="U427" s="7"/>
      <c r="V427" s="15" t="str">
        <f t="shared" si="25"/>
        <v/>
      </c>
      <c r="W427" s="14"/>
      <c r="X427" s="7"/>
      <c r="Y427" s="15" t="str">
        <f t="shared" si="26"/>
        <v/>
      </c>
      <c r="Z427" s="14"/>
      <c r="AA427" s="7"/>
      <c r="AB427" s="15" t="str">
        <f t="shared" si="27"/>
        <v/>
      </c>
    </row>
    <row r="428" spans="1:28">
      <c r="A428" s="19">
        <v>425</v>
      </c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Q428" s="14"/>
      <c r="R428" s="7"/>
      <c r="S428" s="15" t="str">
        <f t="shared" si="24"/>
        <v/>
      </c>
      <c r="T428" s="14"/>
      <c r="U428" s="7"/>
      <c r="V428" s="15" t="str">
        <f t="shared" si="25"/>
        <v/>
      </c>
      <c r="W428" s="14"/>
      <c r="X428" s="7"/>
      <c r="Y428" s="15" t="str">
        <f t="shared" si="26"/>
        <v/>
      </c>
      <c r="Z428" s="14"/>
      <c r="AA428" s="7"/>
      <c r="AB428" s="15" t="str">
        <f t="shared" si="27"/>
        <v/>
      </c>
    </row>
    <row r="429" spans="1:28">
      <c r="A429" s="19">
        <v>426</v>
      </c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Q429" s="14"/>
      <c r="R429" s="7"/>
      <c r="S429" s="15" t="str">
        <f t="shared" si="24"/>
        <v/>
      </c>
      <c r="T429" s="14"/>
      <c r="U429" s="7"/>
      <c r="V429" s="15" t="str">
        <f t="shared" si="25"/>
        <v/>
      </c>
      <c r="W429" s="14"/>
      <c r="X429" s="7"/>
      <c r="Y429" s="15" t="str">
        <f t="shared" si="26"/>
        <v/>
      </c>
      <c r="Z429" s="14"/>
      <c r="AA429" s="7"/>
      <c r="AB429" s="15" t="str">
        <f t="shared" si="27"/>
        <v/>
      </c>
    </row>
    <row r="430" spans="1:28">
      <c r="A430" s="19">
        <v>427</v>
      </c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Q430" s="14"/>
      <c r="R430" s="7"/>
      <c r="S430" s="15" t="str">
        <f t="shared" si="24"/>
        <v/>
      </c>
      <c r="T430" s="14"/>
      <c r="U430" s="7"/>
      <c r="V430" s="15" t="str">
        <f t="shared" si="25"/>
        <v/>
      </c>
      <c r="W430" s="14"/>
      <c r="X430" s="7"/>
      <c r="Y430" s="15" t="str">
        <f t="shared" si="26"/>
        <v/>
      </c>
      <c r="Z430" s="14"/>
      <c r="AA430" s="7"/>
      <c r="AB430" s="15" t="str">
        <f t="shared" si="27"/>
        <v/>
      </c>
    </row>
    <row r="431" spans="1:28">
      <c r="A431" s="19">
        <v>428</v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Q431" s="14"/>
      <c r="R431" s="7"/>
      <c r="S431" s="15" t="str">
        <f t="shared" si="24"/>
        <v/>
      </c>
      <c r="T431" s="14"/>
      <c r="U431" s="7"/>
      <c r="V431" s="15" t="str">
        <f t="shared" si="25"/>
        <v/>
      </c>
      <c r="W431" s="14"/>
      <c r="X431" s="7"/>
      <c r="Y431" s="15" t="str">
        <f t="shared" si="26"/>
        <v/>
      </c>
      <c r="Z431" s="14"/>
      <c r="AA431" s="7"/>
      <c r="AB431" s="15" t="str">
        <f t="shared" si="27"/>
        <v/>
      </c>
    </row>
    <row r="432" spans="1:28">
      <c r="A432" s="19">
        <v>429</v>
      </c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Q432" s="14"/>
      <c r="R432" s="7"/>
      <c r="S432" s="15" t="str">
        <f t="shared" si="24"/>
        <v/>
      </c>
      <c r="T432" s="14"/>
      <c r="U432" s="7"/>
      <c r="V432" s="15" t="str">
        <f t="shared" si="25"/>
        <v/>
      </c>
      <c r="W432" s="14"/>
      <c r="X432" s="7"/>
      <c r="Y432" s="15" t="str">
        <f t="shared" si="26"/>
        <v/>
      </c>
      <c r="Z432" s="14"/>
      <c r="AA432" s="7"/>
      <c r="AB432" s="15" t="str">
        <f t="shared" si="27"/>
        <v/>
      </c>
    </row>
    <row r="433" spans="1:28">
      <c r="A433" s="19">
        <v>430</v>
      </c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Q433" s="14"/>
      <c r="R433" s="7"/>
      <c r="S433" s="15" t="str">
        <f t="shared" si="24"/>
        <v/>
      </c>
      <c r="T433" s="14"/>
      <c r="U433" s="7"/>
      <c r="V433" s="15" t="str">
        <f t="shared" si="25"/>
        <v/>
      </c>
      <c r="W433" s="14"/>
      <c r="X433" s="7"/>
      <c r="Y433" s="15" t="str">
        <f t="shared" si="26"/>
        <v/>
      </c>
      <c r="Z433" s="14"/>
      <c r="AA433" s="7"/>
      <c r="AB433" s="15" t="str">
        <f t="shared" si="27"/>
        <v/>
      </c>
    </row>
    <row r="434" spans="1:28">
      <c r="A434" s="19">
        <v>431</v>
      </c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Q434" s="14"/>
      <c r="R434" s="7"/>
      <c r="S434" s="15" t="str">
        <f t="shared" si="24"/>
        <v/>
      </c>
      <c r="T434" s="14"/>
      <c r="U434" s="7"/>
      <c r="V434" s="15" t="str">
        <f t="shared" si="25"/>
        <v/>
      </c>
      <c r="W434" s="14"/>
      <c r="X434" s="7"/>
      <c r="Y434" s="15" t="str">
        <f t="shared" si="26"/>
        <v/>
      </c>
      <c r="Z434" s="14"/>
      <c r="AA434" s="7"/>
      <c r="AB434" s="15" t="str">
        <f t="shared" si="27"/>
        <v/>
      </c>
    </row>
    <row r="435" spans="1:28">
      <c r="A435" s="19">
        <v>432</v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Q435" s="14"/>
      <c r="R435" s="7"/>
      <c r="S435" s="15" t="str">
        <f t="shared" si="24"/>
        <v/>
      </c>
      <c r="T435" s="14"/>
      <c r="U435" s="7"/>
      <c r="V435" s="15" t="str">
        <f t="shared" si="25"/>
        <v/>
      </c>
      <c r="W435" s="14"/>
      <c r="X435" s="7"/>
      <c r="Y435" s="15" t="str">
        <f t="shared" si="26"/>
        <v/>
      </c>
      <c r="Z435" s="14"/>
      <c r="AA435" s="7"/>
      <c r="AB435" s="15" t="str">
        <f t="shared" si="27"/>
        <v/>
      </c>
    </row>
    <row r="436" spans="1:28">
      <c r="A436" s="19">
        <v>433</v>
      </c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Q436" s="14"/>
      <c r="R436" s="7"/>
      <c r="S436" s="15" t="str">
        <f t="shared" si="24"/>
        <v/>
      </c>
      <c r="T436" s="14"/>
      <c r="U436" s="7"/>
      <c r="V436" s="15" t="str">
        <f t="shared" si="25"/>
        <v/>
      </c>
      <c r="W436" s="14"/>
      <c r="X436" s="7"/>
      <c r="Y436" s="15" t="str">
        <f t="shared" si="26"/>
        <v/>
      </c>
      <c r="Z436" s="14"/>
      <c r="AA436" s="7"/>
      <c r="AB436" s="15" t="str">
        <f t="shared" si="27"/>
        <v/>
      </c>
    </row>
    <row r="437" spans="1:28">
      <c r="A437" s="19">
        <v>434</v>
      </c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Q437" s="14"/>
      <c r="R437" s="7"/>
      <c r="S437" s="15" t="str">
        <f t="shared" si="24"/>
        <v/>
      </c>
      <c r="T437" s="14"/>
      <c r="U437" s="7"/>
      <c r="V437" s="15" t="str">
        <f t="shared" si="25"/>
        <v/>
      </c>
      <c r="W437" s="14"/>
      <c r="X437" s="7"/>
      <c r="Y437" s="15" t="str">
        <f t="shared" si="26"/>
        <v/>
      </c>
      <c r="Z437" s="14"/>
      <c r="AA437" s="7"/>
      <c r="AB437" s="15" t="str">
        <f t="shared" si="27"/>
        <v/>
      </c>
    </row>
    <row r="438" spans="1:28">
      <c r="A438" s="19">
        <v>435</v>
      </c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Q438" s="14"/>
      <c r="R438" s="7"/>
      <c r="S438" s="15" t="str">
        <f t="shared" si="24"/>
        <v/>
      </c>
      <c r="T438" s="14"/>
      <c r="U438" s="7"/>
      <c r="V438" s="15" t="str">
        <f t="shared" si="25"/>
        <v/>
      </c>
      <c r="W438" s="14"/>
      <c r="X438" s="7"/>
      <c r="Y438" s="15" t="str">
        <f t="shared" si="26"/>
        <v/>
      </c>
      <c r="Z438" s="14"/>
      <c r="AA438" s="7"/>
      <c r="AB438" s="15" t="str">
        <f t="shared" si="27"/>
        <v/>
      </c>
    </row>
    <row r="439" spans="1:28">
      <c r="A439" s="19">
        <v>436</v>
      </c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Q439" s="14"/>
      <c r="R439" s="7"/>
      <c r="S439" s="15" t="str">
        <f t="shared" si="24"/>
        <v/>
      </c>
      <c r="T439" s="14"/>
      <c r="U439" s="7"/>
      <c r="V439" s="15" t="str">
        <f t="shared" si="25"/>
        <v/>
      </c>
      <c r="W439" s="14"/>
      <c r="X439" s="7"/>
      <c r="Y439" s="15" t="str">
        <f t="shared" si="26"/>
        <v/>
      </c>
      <c r="Z439" s="14"/>
      <c r="AA439" s="7"/>
      <c r="AB439" s="15" t="str">
        <f t="shared" si="27"/>
        <v/>
      </c>
    </row>
    <row r="440" spans="1:28">
      <c r="A440" s="19">
        <v>437</v>
      </c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Q440" s="14"/>
      <c r="R440" s="7"/>
      <c r="S440" s="15" t="str">
        <f t="shared" si="24"/>
        <v/>
      </c>
      <c r="T440" s="14"/>
      <c r="U440" s="7"/>
      <c r="V440" s="15" t="str">
        <f t="shared" si="25"/>
        <v/>
      </c>
      <c r="W440" s="14"/>
      <c r="X440" s="7"/>
      <c r="Y440" s="15" t="str">
        <f t="shared" si="26"/>
        <v/>
      </c>
      <c r="Z440" s="14"/>
      <c r="AA440" s="7"/>
      <c r="AB440" s="15" t="str">
        <f t="shared" si="27"/>
        <v/>
      </c>
    </row>
    <row r="441" spans="1:28">
      <c r="A441" s="19">
        <v>438</v>
      </c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Q441" s="14"/>
      <c r="R441" s="7"/>
      <c r="S441" s="15" t="str">
        <f t="shared" si="24"/>
        <v/>
      </c>
      <c r="T441" s="14"/>
      <c r="U441" s="7"/>
      <c r="V441" s="15" t="str">
        <f t="shared" si="25"/>
        <v/>
      </c>
      <c r="W441" s="14"/>
      <c r="X441" s="7"/>
      <c r="Y441" s="15" t="str">
        <f t="shared" si="26"/>
        <v/>
      </c>
      <c r="Z441" s="14"/>
      <c r="AA441" s="7"/>
      <c r="AB441" s="15" t="str">
        <f t="shared" si="27"/>
        <v/>
      </c>
    </row>
    <row r="442" spans="1:28">
      <c r="A442" s="19">
        <v>439</v>
      </c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Q442" s="14"/>
      <c r="R442" s="7"/>
      <c r="S442" s="15" t="str">
        <f t="shared" si="24"/>
        <v/>
      </c>
      <c r="T442" s="14"/>
      <c r="U442" s="7"/>
      <c r="V442" s="15" t="str">
        <f t="shared" si="25"/>
        <v/>
      </c>
      <c r="W442" s="14"/>
      <c r="X442" s="7"/>
      <c r="Y442" s="15" t="str">
        <f t="shared" si="26"/>
        <v/>
      </c>
      <c r="Z442" s="14"/>
      <c r="AA442" s="7"/>
      <c r="AB442" s="15" t="str">
        <f t="shared" si="27"/>
        <v/>
      </c>
    </row>
    <row r="443" spans="1:28">
      <c r="A443" s="19">
        <v>440</v>
      </c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Q443" s="14"/>
      <c r="R443" s="7"/>
      <c r="S443" s="15" t="str">
        <f t="shared" si="24"/>
        <v/>
      </c>
      <c r="T443" s="14"/>
      <c r="U443" s="7"/>
      <c r="V443" s="15" t="str">
        <f t="shared" si="25"/>
        <v/>
      </c>
      <c r="W443" s="14"/>
      <c r="X443" s="7"/>
      <c r="Y443" s="15" t="str">
        <f t="shared" si="26"/>
        <v/>
      </c>
      <c r="Z443" s="14"/>
      <c r="AA443" s="7"/>
      <c r="AB443" s="15" t="str">
        <f t="shared" si="27"/>
        <v/>
      </c>
    </row>
    <row r="444" spans="1:28">
      <c r="A444" s="19">
        <v>441</v>
      </c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Q444" s="14"/>
      <c r="R444" s="7"/>
      <c r="S444" s="15" t="str">
        <f t="shared" si="24"/>
        <v/>
      </c>
      <c r="T444" s="14"/>
      <c r="U444" s="7"/>
      <c r="V444" s="15" t="str">
        <f t="shared" si="25"/>
        <v/>
      </c>
      <c r="W444" s="14"/>
      <c r="X444" s="7"/>
      <c r="Y444" s="15" t="str">
        <f t="shared" si="26"/>
        <v/>
      </c>
      <c r="Z444" s="14"/>
      <c r="AA444" s="7"/>
      <c r="AB444" s="15" t="str">
        <f t="shared" si="27"/>
        <v/>
      </c>
    </row>
    <row r="445" spans="1:28">
      <c r="A445" s="19">
        <v>442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Q445" s="14"/>
      <c r="R445" s="7"/>
      <c r="S445" s="15" t="str">
        <f t="shared" si="24"/>
        <v/>
      </c>
      <c r="T445" s="14"/>
      <c r="U445" s="7"/>
      <c r="V445" s="15" t="str">
        <f t="shared" si="25"/>
        <v/>
      </c>
      <c r="W445" s="14"/>
      <c r="X445" s="7"/>
      <c r="Y445" s="15" t="str">
        <f t="shared" si="26"/>
        <v/>
      </c>
      <c r="Z445" s="14"/>
      <c r="AA445" s="7"/>
      <c r="AB445" s="15" t="str">
        <f t="shared" si="27"/>
        <v/>
      </c>
    </row>
    <row r="446" spans="1:28">
      <c r="A446" s="19">
        <v>443</v>
      </c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Q446" s="14"/>
      <c r="R446" s="7"/>
      <c r="S446" s="15" t="str">
        <f t="shared" si="24"/>
        <v/>
      </c>
      <c r="T446" s="14"/>
      <c r="U446" s="7"/>
      <c r="V446" s="15" t="str">
        <f t="shared" si="25"/>
        <v/>
      </c>
      <c r="W446" s="14"/>
      <c r="X446" s="7"/>
      <c r="Y446" s="15" t="str">
        <f t="shared" si="26"/>
        <v/>
      </c>
      <c r="Z446" s="14"/>
      <c r="AA446" s="7"/>
      <c r="AB446" s="15" t="str">
        <f t="shared" si="27"/>
        <v/>
      </c>
    </row>
    <row r="447" spans="1:28">
      <c r="A447" s="19">
        <v>444</v>
      </c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Q447" s="14"/>
      <c r="R447" s="7"/>
      <c r="S447" s="15" t="str">
        <f t="shared" si="24"/>
        <v/>
      </c>
      <c r="T447" s="14"/>
      <c r="U447" s="7"/>
      <c r="V447" s="15" t="str">
        <f t="shared" si="25"/>
        <v/>
      </c>
      <c r="W447" s="14"/>
      <c r="X447" s="7"/>
      <c r="Y447" s="15" t="str">
        <f t="shared" si="26"/>
        <v/>
      </c>
      <c r="Z447" s="14"/>
      <c r="AA447" s="7"/>
      <c r="AB447" s="15" t="str">
        <f t="shared" si="27"/>
        <v/>
      </c>
    </row>
    <row r="448" spans="1:28">
      <c r="A448" s="19">
        <v>445</v>
      </c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Q448" s="14"/>
      <c r="R448" s="7"/>
      <c r="S448" s="15" t="str">
        <f t="shared" si="24"/>
        <v/>
      </c>
      <c r="T448" s="14"/>
      <c r="U448" s="7"/>
      <c r="V448" s="15" t="str">
        <f t="shared" si="25"/>
        <v/>
      </c>
      <c r="W448" s="14"/>
      <c r="X448" s="7"/>
      <c r="Y448" s="15" t="str">
        <f t="shared" si="26"/>
        <v/>
      </c>
      <c r="Z448" s="14"/>
      <c r="AA448" s="7"/>
      <c r="AB448" s="15" t="str">
        <f t="shared" si="27"/>
        <v/>
      </c>
    </row>
    <row r="449" spans="1:28">
      <c r="A449" s="19">
        <v>446</v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Q449" s="14"/>
      <c r="R449" s="7"/>
      <c r="S449" s="15" t="str">
        <f t="shared" si="24"/>
        <v/>
      </c>
      <c r="T449" s="14"/>
      <c r="U449" s="7"/>
      <c r="V449" s="15" t="str">
        <f t="shared" si="25"/>
        <v/>
      </c>
      <c r="W449" s="14"/>
      <c r="X449" s="7"/>
      <c r="Y449" s="15" t="str">
        <f t="shared" si="26"/>
        <v/>
      </c>
      <c r="Z449" s="14"/>
      <c r="AA449" s="7"/>
      <c r="AB449" s="15" t="str">
        <f t="shared" si="27"/>
        <v/>
      </c>
    </row>
    <row r="450" spans="1:28">
      <c r="A450" s="19">
        <v>447</v>
      </c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Q450" s="14"/>
      <c r="R450" s="7"/>
      <c r="S450" s="15" t="str">
        <f t="shared" si="24"/>
        <v/>
      </c>
      <c r="T450" s="14"/>
      <c r="U450" s="7"/>
      <c r="V450" s="15" t="str">
        <f t="shared" si="25"/>
        <v/>
      </c>
      <c r="W450" s="14"/>
      <c r="X450" s="7"/>
      <c r="Y450" s="15" t="str">
        <f t="shared" si="26"/>
        <v/>
      </c>
      <c r="Z450" s="14"/>
      <c r="AA450" s="7"/>
      <c r="AB450" s="15" t="str">
        <f t="shared" si="27"/>
        <v/>
      </c>
    </row>
    <row r="451" spans="1:28">
      <c r="A451" s="19">
        <v>448</v>
      </c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Q451" s="14"/>
      <c r="R451" s="7"/>
      <c r="S451" s="15" t="str">
        <f t="shared" si="24"/>
        <v/>
      </c>
      <c r="T451" s="14"/>
      <c r="U451" s="7"/>
      <c r="V451" s="15" t="str">
        <f t="shared" si="25"/>
        <v/>
      </c>
      <c r="W451" s="14"/>
      <c r="X451" s="7"/>
      <c r="Y451" s="15" t="str">
        <f t="shared" si="26"/>
        <v/>
      </c>
      <c r="Z451" s="14"/>
      <c r="AA451" s="7"/>
      <c r="AB451" s="15" t="str">
        <f t="shared" si="27"/>
        <v/>
      </c>
    </row>
    <row r="452" spans="1:28">
      <c r="A452" s="19">
        <v>449</v>
      </c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Q452" s="14"/>
      <c r="R452" s="7"/>
      <c r="S452" s="15" t="str">
        <f t="shared" si="24"/>
        <v/>
      </c>
      <c r="T452" s="14"/>
      <c r="U452" s="7"/>
      <c r="V452" s="15" t="str">
        <f t="shared" si="25"/>
        <v/>
      </c>
      <c r="W452" s="14"/>
      <c r="X452" s="7"/>
      <c r="Y452" s="15" t="str">
        <f t="shared" si="26"/>
        <v/>
      </c>
      <c r="Z452" s="14"/>
      <c r="AA452" s="7"/>
      <c r="AB452" s="15" t="str">
        <f t="shared" si="27"/>
        <v/>
      </c>
    </row>
    <row r="453" spans="1:28">
      <c r="A453" s="19">
        <v>450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Q453" s="14"/>
      <c r="R453" s="7"/>
      <c r="S453" s="15" t="str">
        <f t="shared" ref="S453:S516" si="28">IF(OR($H453="",Q453=""),"",Q453+(R453/$H453))</f>
        <v/>
      </c>
      <c r="T453" s="14"/>
      <c r="U453" s="7"/>
      <c r="V453" s="15" t="str">
        <f t="shared" ref="V453:V516" si="29">IF(OR($H453="",T453=""),"",T453+(U453/$H453))</f>
        <v/>
      </c>
      <c r="W453" s="14"/>
      <c r="X453" s="7"/>
      <c r="Y453" s="15" t="str">
        <f t="shared" ref="Y453:Y516" si="30">IF(OR($H453="",W453=""),"",W453+(X453/$H453))</f>
        <v/>
      </c>
      <c r="Z453" s="14"/>
      <c r="AA453" s="7"/>
      <c r="AB453" s="15" t="str">
        <f t="shared" ref="AB453:AB516" si="31">IF(OR($H453="",Z453=""),"",Z453+(AA453/$H453))</f>
        <v/>
      </c>
    </row>
    <row r="454" spans="1:28">
      <c r="A454" s="19">
        <v>451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Q454" s="14"/>
      <c r="R454" s="7"/>
      <c r="S454" s="15" t="str">
        <f t="shared" si="28"/>
        <v/>
      </c>
      <c r="T454" s="14"/>
      <c r="U454" s="7"/>
      <c r="V454" s="15" t="str">
        <f t="shared" si="29"/>
        <v/>
      </c>
      <c r="W454" s="14"/>
      <c r="X454" s="7"/>
      <c r="Y454" s="15" t="str">
        <f t="shared" si="30"/>
        <v/>
      </c>
      <c r="Z454" s="14"/>
      <c r="AA454" s="7"/>
      <c r="AB454" s="15" t="str">
        <f t="shared" si="31"/>
        <v/>
      </c>
    </row>
    <row r="455" spans="1:28">
      <c r="A455" s="19">
        <v>452</v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Q455" s="14"/>
      <c r="R455" s="7"/>
      <c r="S455" s="15" t="str">
        <f t="shared" si="28"/>
        <v/>
      </c>
      <c r="T455" s="14"/>
      <c r="U455" s="7"/>
      <c r="V455" s="15" t="str">
        <f t="shared" si="29"/>
        <v/>
      </c>
      <c r="W455" s="14"/>
      <c r="X455" s="7"/>
      <c r="Y455" s="15" t="str">
        <f t="shared" si="30"/>
        <v/>
      </c>
      <c r="Z455" s="14"/>
      <c r="AA455" s="7"/>
      <c r="AB455" s="15" t="str">
        <f t="shared" si="31"/>
        <v/>
      </c>
    </row>
    <row r="456" spans="1:28">
      <c r="A456" s="19">
        <v>453</v>
      </c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Q456" s="14"/>
      <c r="R456" s="7"/>
      <c r="S456" s="15" t="str">
        <f t="shared" si="28"/>
        <v/>
      </c>
      <c r="T456" s="14"/>
      <c r="U456" s="7"/>
      <c r="V456" s="15" t="str">
        <f t="shared" si="29"/>
        <v/>
      </c>
      <c r="W456" s="14"/>
      <c r="X456" s="7"/>
      <c r="Y456" s="15" t="str">
        <f t="shared" si="30"/>
        <v/>
      </c>
      <c r="Z456" s="14"/>
      <c r="AA456" s="7"/>
      <c r="AB456" s="15" t="str">
        <f t="shared" si="31"/>
        <v/>
      </c>
    </row>
    <row r="457" spans="1:28">
      <c r="A457" s="19">
        <v>454</v>
      </c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Q457" s="14"/>
      <c r="R457" s="7"/>
      <c r="S457" s="15" t="str">
        <f t="shared" si="28"/>
        <v/>
      </c>
      <c r="T457" s="14"/>
      <c r="U457" s="7"/>
      <c r="V457" s="15" t="str">
        <f t="shared" si="29"/>
        <v/>
      </c>
      <c r="W457" s="14"/>
      <c r="X457" s="7"/>
      <c r="Y457" s="15" t="str">
        <f t="shared" si="30"/>
        <v/>
      </c>
      <c r="Z457" s="14"/>
      <c r="AA457" s="7"/>
      <c r="AB457" s="15" t="str">
        <f t="shared" si="31"/>
        <v/>
      </c>
    </row>
    <row r="458" spans="1:28">
      <c r="A458" s="19">
        <v>455</v>
      </c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Q458" s="14"/>
      <c r="R458" s="7"/>
      <c r="S458" s="15" t="str">
        <f t="shared" si="28"/>
        <v/>
      </c>
      <c r="T458" s="14"/>
      <c r="U458" s="7"/>
      <c r="V458" s="15" t="str">
        <f t="shared" si="29"/>
        <v/>
      </c>
      <c r="W458" s="14"/>
      <c r="X458" s="7"/>
      <c r="Y458" s="15" t="str">
        <f t="shared" si="30"/>
        <v/>
      </c>
      <c r="Z458" s="14"/>
      <c r="AA458" s="7"/>
      <c r="AB458" s="15" t="str">
        <f t="shared" si="31"/>
        <v/>
      </c>
    </row>
    <row r="459" spans="1:28">
      <c r="A459" s="19">
        <v>456</v>
      </c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Q459" s="14"/>
      <c r="R459" s="7"/>
      <c r="S459" s="15" t="str">
        <f t="shared" si="28"/>
        <v/>
      </c>
      <c r="T459" s="14"/>
      <c r="U459" s="7"/>
      <c r="V459" s="15" t="str">
        <f t="shared" si="29"/>
        <v/>
      </c>
      <c r="W459" s="14"/>
      <c r="X459" s="7"/>
      <c r="Y459" s="15" t="str">
        <f t="shared" si="30"/>
        <v/>
      </c>
      <c r="Z459" s="14"/>
      <c r="AA459" s="7"/>
      <c r="AB459" s="15" t="str">
        <f t="shared" si="31"/>
        <v/>
      </c>
    </row>
    <row r="460" spans="1:28">
      <c r="A460" s="19">
        <v>457</v>
      </c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Q460" s="14"/>
      <c r="R460" s="7"/>
      <c r="S460" s="15" t="str">
        <f t="shared" si="28"/>
        <v/>
      </c>
      <c r="T460" s="14"/>
      <c r="U460" s="7"/>
      <c r="V460" s="15" t="str">
        <f t="shared" si="29"/>
        <v/>
      </c>
      <c r="W460" s="14"/>
      <c r="X460" s="7"/>
      <c r="Y460" s="15" t="str">
        <f t="shared" si="30"/>
        <v/>
      </c>
      <c r="Z460" s="14"/>
      <c r="AA460" s="7"/>
      <c r="AB460" s="15" t="str">
        <f t="shared" si="31"/>
        <v/>
      </c>
    </row>
    <row r="461" spans="1:28">
      <c r="A461" s="19">
        <v>458</v>
      </c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Q461" s="14"/>
      <c r="R461" s="7"/>
      <c r="S461" s="15" t="str">
        <f t="shared" si="28"/>
        <v/>
      </c>
      <c r="T461" s="14"/>
      <c r="U461" s="7"/>
      <c r="V461" s="15" t="str">
        <f t="shared" si="29"/>
        <v/>
      </c>
      <c r="W461" s="14"/>
      <c r="X461" s="7"/>
      <c r="Y461" s="15" t="str">
        <f t="shared" si="30"/>
        <v/>
      </c>
      <c r="Z461" s="14"/>
      <c r="AA461" s="7"/>
      <c r="AB461" s="15" t="str">
        <f t="shared" si="31"/>
        <v/>
      </c>
    </row>
    <row r="462" spans="1:28">
      <c r="A462" s="19">
        <v>459</v>
      </c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Q462" s="14"/>
      <c r="R462" s="7"/>
      <c r="S462" s="15" t="str">
        <f t="shared" si="28"/>
        <v/>
      </c>
      <c r="T462" s="14"/>
      <c r="U462" s="7"/>
      <c r="V462" s="15" t="str">
        <f t="shared" si="29"/>
        <v/>
      </c>
      <c r="W462" s="14"/>
      <c r="X462" s="7"/>
      <c r="Y462" s="15" t="str">
        <f t="shared" si="30"/>
        <v/>
      </c>
      <c r="Z462" s="14"/>
      <c r="AA462" s="7"/>
      <c r="AB462" s="15" t="str">
        <f t="shared" si="31"/>
        <v/>
      </c>
    </row>
    <row r="463" spans="1:28">
      <c r="A463" s="19">
        <v>460</v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Q463" s="14"/>
      <c r="R463" s="7"/>
      <c r="S463" s="15" t="str">
        <f t="shared" si="28"/>
        <v/>
      </c>
      <c r="T463" s="14"/>
      <c r="U463" s="7"/>
      <c r="V463" s="15" t="str">
        <f t="shared" si="29"/>
        <v/>
      </c>
      <c r="W463" s="14"/>
      <c r="X463" s="7"/>
      <c r="Y463" s="15" t="str">
        <f t="shared" si="30"/>
        <v/>
      </c>
      <c r="Z463" s="14"/>
      <c r="AA463" s="7"/>
      <c r="AB463" s="15" t="str">
        <f t="shared" si="31"/>
        <v/>
      </c>
    </row>
    <row r="464" spans="1:28">
      <c r="A464" s="19">
        <v>461</v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Q464" s="14"/>
      <c r="R464" s="7"/>
      <c r="S464" s="15" t="str">
        <f t="shared" si="28"/>
        <v/>
      </c>
      <c r="T464" s="14"/>
      <c r="U464" s="7"/>
      <c r="V464" s="15" t="str">
        <f t="shared" si="29"/>
        <v/>
      </c>
      <c r="W464" s="14"/>
      <c r="X464" s="7"/>
      <c r="Y464" s="15" t="str">
        <f t="shared" si="30"/>
        <v/>
      </c>
      <c r="Z464" s="14"/>
      <c r="AA464" s="7"/>
      <c r="AB464" s="15" t="str">
        <f t="shared" si="31"/>
        <v/>
      </c>
    </row>
    <row r="465" spans="1:28">
      <c r="A465" s="19">
        <v>462</v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Q465" s="14"/>
      <c r="R465" s="7"/>
      <c r="S465" s="15" t="str">
        <f t="shared" si="28"/>
        <v/>
      </c>
      <c r="T465" s="14"/>
      <c r="U465" s="7"/>
      <c r="V465" s="15" t="str">
        <f t="shared" si="29"/>
        <v/>
      </c>
      <c r="W465" s="14"/>
      <c r="X465" s="7"/>
      <c r="Y465" s="15" t="str">
        <f t="shared" si="30"/>
        <v/>
      </c>
      <c r="Z465" s="14"/>
      <c r="AA465" s="7"/>
      <c r="AB465" s="15" t="str">
        <f t="shared" si="31"/>
        <v/>
      </c>
    </row>
    <row r="466" spans="1:28">
      <c r="A466" s="19">
        <v>463</v>
      </c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Q466" s="14"/>
      <c r="R466" s="7"/>
      <c r="S466" s="15" t="str">
        <f t="shared" si="28"/>
        <v/>
      </c>
      <c r="T466" s="14"/>
      <c r="U466" s="7"/>
      <c r="V466" s="15" t="str">
        <f t="shared" si="29"/>
        <v/>
      </c>
      <c r="W466" s="14"/>
      <c r="X466" s="7"/>
      <c r="Y466" s="15" t="str">
        <f t="shared" si="30"/>
        <v/>
      </c>
      <c r="Z466" s="14"/>
      <c r="AA466" s="7"/>
      <c r="AB466" s="15" t="str">
        <f t="shared" si="31"/>
        <v/>
      </c>
    </row>
    <row r="467" spans="1:28">
      <c r="A467" s="19">
        <v>464</v>
      </c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Q467" s="14"/>
      <c r="R467" s="7"/>
      <c r="S467" s="15" t="str">
        <f t="shared" si="28"/>
        <v/>
      </c>
      <c r="T467" s="14"/>
      <c r="U467" s="7"/>
      <c r="V467" s="15" t="str">
        <f t="shared" si="29"/>
        <v/>
      </c>
      <c r="W467" s="14"/>
      <c r="X467" s="7"/>
      <c r="Y467" s="15" t="str">
        <f t="shared" si="30"/>
        <v/>
      </c>
      <c r="Z467" s="14"/>
      <c r="AA467" s="7"/>
      <c r="AB467" s="15" t="str">
        <f t="shared" si="31"/>
        <v/>
      </c>
    </row>
    <row r="468" spans="1:28">
      <c r="A468" s="19">
        <v>465</v>
      </c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Q468" s="14"/>
      <c r="R468" s="7"/>
      <c r="S468" s="15" t="str">
        <f t="shared" si="28"/>
        <v/>
      </c>
      <c r="T468" s="14"/>
      <c r="U468" s="7"/>
      <c r="V468" s="15" t="str">
        <f t="shared" si="29"/>
        <v/>
      </c>
      <c r="W468" s="14"/>
      <c r="X468" s="7"/>
      <c r="Y468" s="15" t="str">
        <f t="shared" si="30"/>
        <v/>
      </c>
      <c r="Z468" s="14"/>
      <c r="AA468" s="7"/>
      <c r="AB468" s="15" t="str">
        <f t="shared" si="31"/>
        <v/>
      </c>
    </row>
    <row r="469" spans="1:28">
      <c r="A469" s="19">
        <v>466</v>
      </c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Q469" s="14"/>
      <c r="R469" s="7"/>
      <c r="S469" s="15" t="str">
        <f t="shared" si="28"/>
        <v/>
      </c>
      <c r="T469" s="14"/>
      <c r="U469" s="7"/>
      <c r="V469" s="15" t="str">
        <f t="shared" si="29"/>
        <v/>
      </c>
      <c r="W469" s="14"/>
      <c r="X469" s="7"/>
      <c r="Y469" s="15" t="str">
        <f t="shared" si="30"/>
        <v/>
      </c>
      <c r="Z469" s="14"/>
      <c r="AA469" s="7"/>
      <c r="AB469" s="15" t="str">
        <f t="shared" si="31"/>
        <v/>
      </c>
    </row>
    <row r="470" spans="1:28">
      <c r="A470" s="19">
        <v>467</v>
      </c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Q470" s="14"/>
      <c r="R470" s="7"/>
      <c r="S470" s="15" t="str">
        <f t="shared" si="28"/>
        <v/>
      </c>
      <c r="T470" s="14"/>
      <c r="U470" s="7"/>
      <c r="V470" s="15" t="str">
        <f t="shared" si="29"/>
        <v/>
      </c>
      <c r="W470" s="14"/>
      <c r="X470" s="7"/>
      <c r="Y470" s="15" t="str">
        <f t="shared" si="30"/>
        <v/>
      </c>
      <c r="Z470" s="14"/>
      <c r="AA470" s="7"/>
      <c r="AB470" s="15" t="str">
        <f t="shared" si="31"/>
        <v/>
      </c>
    </row>
    <row r="471" spans="1:28">
      <c r="A471" s="19">
        <v>468</v>
      </c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Q471" s="14"/>
      <c r="R471" s="7"/>
      <c r="S471" s="15" t="str">
        <f t="shared" si="28"/>
        <v/>
      </c>
      <c r="T471" s="14"/>
      <c r="U471" s="7"/>
      <c r="V471" s="15" t="str">
        <f t="shared" si="29"/>
        <v/>
      </c>
      <c r="W471" s="14"/>
      <c r="X471" s="7"/>
      <c r="Y471" s="15" t="str">
        <f t="shared" si="30"/>
        <v/>
      </c>
      <c r="Z471" s="14"/>
      <c r="AA471" s="7"/>
      <c r="AB471" s="15" t="str">
        <f t="shared" si="31"/>
        <v/>
      </c>
    </row>
    <row r="472" spans="1:28">
      <c r="A472" s="19">
        <v>469</v>
      </c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Q472" s="14"/>
      <c r="R472" s="7"/>
      <c r="S472" s="15" t="str">
        <f t="shared" si="28"/>
        <v/>
      </c>
      <c r="T472" s="14"/>
      <c r="U472" s="7"/>
      <c r="V472" s="15" t="str">
        <f t="shared" si="29"/>
        <v/>
      </c>
      <c r="W472" s="14"/>
      <c r="X472" s="7"/>
      <c r="Y472" s="15" t="str">
        <f t="shared" si="30"/>
        <v/>
      </c>
      <c r="Z472" s="14"/>
      <c r="AA472" s="7"/>
      <c r="AB472" s="15" t="str">
        <f t="shared" si="31"/>
        <v/>
      </c>
    </row>
    <row r="473" spans="1:28">
      <c r="A473" s="19">
        <v>470</v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Q473" s="14"/>
      <c r="R473" s="7"/>
      <c r="S473" s="15" t="str">
        <f t="shared" si="28"/>
        <v/>
      </c>
      <c r="T473" s="14"/>
      <c r="U473" s="7"/>
      <c r="V473" s="15" t="str">
        <f t="shared" si="29"/>
        <v/>
      </c>
      <c r="W473" s="14"/>
      <c r="X473" s="7"/>
      <c r="Y473" s="15" t="str">
        <f t="shared" si="30"/>
        <v/>
      </c>
      <c r="Z473" s="14"/>
      <c r="AA473" s="7"/>
      <c r="AB473" s="15" t="str">
        <f t="shared" si="31"/>
        <v/>
      </c>
    </row>
    <row r="474" spans="1:28">
      <c r="A474" s="19">
        <v>471</v>
      </c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Q474" s="14"/>
      <c r="R474" s="7"/>
      <c r="S474" s="15" t="str">
        <f t="shared" si="28"/>
        <v/>
      </c>
      <c r="T474" s="14"/>
      <c r="U474" s="7"/>
      <c r="V474" s="15" t="str">
        <f t="shared" si="29"/>
        <v/>
      </c>
      <c r="W474" s="14"/>
      <c r="X474" s="7"/>
      <c r="Y474" s="15" t="str">
        <f t="shared" si="30"/>
        <v/>
      </c>
      <c r="Z474" s="14"/>
      <c r="AA474" s="7"/>
      <c r="AB474" s="15" t="str">
        <f t="shared" si="31"/>
        <v/>
      </c>
    </row>
    <row r="475" spans="1:28">
      <c r="A475" s="19">
        <v>472</v>
      </c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Q475" s="14"/>
      <c r="R475" s="7"/>
      <c r="S475" s="15" t="str">
        <f t="shared" si="28"/>
        <v/>
      </c>
      <c r="T475" s="14"/>
      <c r="U475" s="7"/>
      <c r="V475" s="15" t="str">
        <f t="shared" si="29"/>
        <v/>
      </c>
      <c r="W475" s="14"/>
      <c r="X475" s="7"/>
      <c r="Y475" s="15" t="str">
        <f t="shared" si="30"/>
        <v/>
      </c>
      <c r="Z475" s="14"/>
      <c r="AA475" s="7"/>
      <c r="AB475" s="15" t="str">
        <f t="shared" si="31"/>
        <v/>
      </c>
    </row>
    <row r="476" spans="1:28">
      <c r="A476" s="19">
        <v>473</v>
      </c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Q476" s="14"/>
      <c r="R476" s="7"/>
      <c r="S476" s="15" t="str">
        <f t="shared" si="28"/>
        <v/>
      </c>
      <c r="T476" s="14"/>
      <c r="U476" s="7"/>
      <c r="V476" s="15" t="str">
        <f t="shared" si="29"/>
        <v/>
      </c>
      <c r="W476" s="14"/>
      <c r="X476" s="7"/>
      <c r="Y476" s="15" t="str">
        <f t="shared" si="30"/>
        <v/>
      </c>
      <c r="Z476" s="14"/>
      <c r="AA476" s="7"/>
      <c r="AB476" s="15" t="str">
        <f t="shared" si="31"/>
        <v/>
      </c>
    </row>
    <row r="477" spans="1:28">
      <c r="A477" s="19">
        <v>474</v>
      </c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Q477" s="14"/>
      <c r="R477" s="7"/>
      <c r="S477" s="15" t="str">
        <f t="shared" si="28"/>
        <v/>
      </c>
      <c r="T477" s="14"/>
      <c r="U477" s="7"/>
      <c r="V477" s="15" t="str">
        <f t="shared" si="29"/>
        <v/>
      </c>
      <c r="W477" s="14"/>
      <c r="X477" s="7"/>
      <c r="Y477" s="15" t="str">
        <f t="shared" si="30"/>
        <v/>
      </c>
      <c r="Z477" s="14"/>
      <c r="AA477" s="7"/>
      <c r="AB477" s="15" t="str">
        <f t="shared" si="31"/>
        <v/>
      </c>
    </row>
    <row r="478" spans="1:28">
      <c r="A478" s="19">
        <v>475</v>
      </c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Q478" s="14"/>
      <c r="R478" s="7"/>
      <c r="S478" s="15" t="str">
        <f t="shared" si="28"/>
        <v/>
      </c>
      <c r="T478" s="14"/>
      <c r="U478" s="7"/>
      <c r="V478" s="15" t="str">
        <f t="shared" si="29"/>
        <v/>
      </c>
      <c r="W478" s="14"/>
      <c r="X478" s="7"/>
      <c r="Y478" s="15" t="str">
        <f t="shared" si="30"/>
        <v/>
      </c>
      <c r="Z478" s="14"/>
      <c r="AA478" s="7"/>
      <c r="AB478" s="15" t="str">
        <f t="shared" si="31"/>
        <v/>
      </c>
    </row>
    <row r="479" spans="1:28">
      <c r="A479" s="19">
        <v>476</v>
      </c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Q479" s="14"/>
      <c r="R479" s="7"/>
      <c r="S479" s="15" t="str">
        <f t="shared" si="28"/>
        <v/>
      </c>
      <c r="T479" s="14"/>
      <c r="U479" s="7"/>
      <c r="V479" s="15" t="str">
        <f t="shared" si="29"/>
        <v/>
      </c>
      <c r="W479" s="14"/>
      <c r="X479" s="7"/>
      <c r="Y479" s="15" t="str">
        <f t="shared" si="30"/>
        <v/>
      </c>
      <c r="Z479" s="14"/>
      <c r="AA479" s="7"/>
      <c r="AB479" s="15" t="str">
        <f t="shared" si="31"/>
        <v/>
      </c>
    </row>
    <row r="480" spans="1:28">
      <c r="A480" s="19">
        <v>477</v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Q480" s="14"/>
      <c r="R480" s="7"/>
      <c r="S480" s="15" t="str">
        <f t="shared" si="28"/>
        <v/>
      </c>
      <c r="T480" s="14"/>
      <c r="U480" s="7"/>
      <c r="V480" s="15" t="str">
        <f t="shared" si="29"/>
        <v/>
      </c>
      <c r="W480" s="14"/>
      <c r="X480" s="7"/>
      <c r="Y480" s="15" t="str">
        <f t="shared" si="30"/>
        <v/>
      </c>
      <c r="Z480" s="14"/>
      <c r="AA480" s="7"/>
      <c r="AB480" s="15" t="str">
        <f t="shared" si="31"/>
        <v/>
      </c>
    </row>
    <row r="481" spans="1:28">
      <c r="A481" s="19">
        <v>478</v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Q481" s="14"/>
      <c r="R481" s="7"/>
      <c r="S481" s="15" t="str">
        <f t="shared" si="28"/>
        <v/>
      </c>
      <c r="T481" s="14"/>
      <c r="U481" s="7"/>
      <c r="V481" s="15" t="str">
        <f t="shared" si="29"/>
        <v/>
      </c>
      <c r="W481" s="14"/>
      <c r="X481" s="7"/>
      <c r="Y481" s="15" t="str">
        <f t="shared" si="30"/>
        <v/>
      </c>
      <c r="Z481" s="14"/>
      <c r="AA481" s="7"/>
      <c r="AB481" s="15" t="str">
        <f t="shared" si="31"/>
        <v/>
      </c>
    </row>
    <row r="482" spans="1:28">
      <c r="A482" s="19">
        <v>479</v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Q482" s="14"/>
      <c r="R482" s="7"/>
      <c r="S482" s="15" t="str">
        <f t="shared" si="28"/>
        <v/>
      </c>
      <c r="T482" s="14"/>
      <c r="U482" s="7"/>
      <c r="V482" s="15" t="str">
        <f t="shared" si="29"/>
        <v/>
      </c>
      <c r="W482" s="14"/>
      <c r="X482" s="7"/>
      <c r="Y482" s="15" t="str">
        <f t="shared" si="30"/>
        <v/>
      </c>
      <c r="Z482" s="14"/>
      <c r="AA482" s="7"/>
      <c r="AB482" s="15" t="str">
        <f t="shared" si="31"/>
        <v/>
      </c>
    </row>
    <row r="483" spans="1:28">
      <c r="A483" s="19">
        <v>480</v>
      </c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Q483" s="14"/>
      <c r="R483" s="7"/>
      <c r="S483" s="15" t="str">
        <f t="shared" si="28"/>
        <v/>
      </c>
      <c r="T483" s="14"/>
      <c r="U483" s="7"/>
      <c r="V483" s="15" t="str">
        <f t="shared" si="29"/>
        <v/>
      </c>
      <c r="W483" s="14"/>
      <c r="X483" s="7"/>
      <c r="Y483" s="15" t="str">
        <f t="shared" si="30"/>
        <v/>
      </c>
      <c r="Z483" s="14"/>
      <c r="AA483" s="7"/>
      <c r="AB483" s="15" t="str">
        <f t="shared" si="31"/>
        <v/>
      </c>
    </row>
    <row r="484" spans="1:28">
      <c r="A484" s="19">
        <v>481</v>
      </c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Q484" s="14"/>
      <c r="R484" s="7"/>
      <c r="S484" s="15" t="str">
        <f t="shared" si="28"/>
        <v/>
      </c>
      <c r="T484" s="14"/>
      <c r="U484" s="7"/>
      <c r="V484" s="15" t="str">
        <f t="shared" si="29"/>
        <v/>
      </c>
      <c r="W484" s="14"/>
      <c r="X484" s="7"/>
      <c r="Y484" s="15" t="str">
        <f t="shared" si="30"/>
        <v/>
      </c>
      <c r="Z484" s="14"/>
      <c r="AA484" s="7"/>
      <c r="AB484" s="15" t="str">
        <f t="shared" si="31"/>
        <v/>
      </c>
    </row>
    <row r="485" spans="1:28">
      <c r="A485" s="19">
        <v>482</v>
      </c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Q485" s="14"/>
      <c r="R485" s="7"/>
      <c r="S485" s="15" t="str">
        <f t="shared" si="28"/>
        <v/>
      </c>
      <c r="T485" s="14"/>
      <c r="U485" s="7"/>
      <c r="V485" s="15" t="str">
        <f t="shared" si="29"/>
        <v/>
      </c>
      <c r="W485" s="14"/>
      <c r="X485" s="7"/>
      <c r="Y485" s="15" t="str">
        <f t="shared" si="30"/>
        <v/>
      </c>
      <c r="Z485" s="14"/>
      <c r="AA485" s="7"/>
      <c r="AB485" s="15" t="str">
        <f t="shared" si="31"/>
        <v/>
      </c>
    </row>
    <row r="486" spans="1:28">
      <c r="A486" s="19">
        <v>483</v>
      </c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Q486" s="14"/>
      <c r="R486" s="7"/>
      <c r="S486" s="15" t="str">
        <f t="shared" si="28"/>
        <v/>
      </c>
      <c r="T486" s="14"/>
      <c r="U486" s="7"/>
      <c r="V486" s="15" t="str">
        <f t="shared" si="29"/>
        <v/>
      </c>
      <c r="W486" s="14"/>
      <c r="X486" s="7"/>
      <c r="Y486" s="15" t="str">
        <f t="shared" si="30"/>
        <v/>
      </c>
      <c r="Z486" s="14"/>
      <c r="AA486" s="7"/>
      <c r="AB486" s="15" t="str">
        <f t="shared" si="31"/>
        <v/>
      </c>
    </row>
    <row r="487" spans="1:28">
      <c r="A487" s="19">
        <v>484</v>
      </c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Q487" s="14"/>
      <c r="R487" s="7"/>
      <c r="S487" s="15" t="str">
        <f t="shared" si="28"/>
        <v/>
      </c>
      <c r="T487" s="14"/>
      <c r="U487" s="7"/>
      <c r="V487" s="15" t="str">
        <f t="shared" si="29"/>
        <v/>
      </c>
      <c r="W487" s="14"/>
      <c r="X487" s="7"/>
      <c r="Y487" s="15" t="str">
        <f t="shared" si="30"/>
        <v/>
      </c>
      <c r="Z487" s="14"/>
      <c r="AA487" s="7"/>
      <c r="AB487" s="15" t="str">
        <f t="shared" si="31"/>
        <v/>
      </c>
    </row>
    <row r="488" spans="1:28">
      <c r="A488" s="19">
        <v>485</v>
      </c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Q488" s="14"/>
      <c r="R488" s="7"/>
      <c r="S488" s="15" t="str">
        <f t="shared" si="28"/>
        <v/>
      </c>
      <c r="T488" s="14"/>
      <c r="U488" s="7"/>
      <c r="V488" s="15" t="str">
        <f t="shared" si="29"/>
        <v/>
      </c>
      <c r="W488" s="14"/>
      <c r="X488" s="7"/>
      <c r="Y488" s="15" t="str">
        <f t="shared" si="30"/>
        <v/>
      </c>
      <c r="Z488" s="14"/>
      <c r="AA488" s="7"/>
      <c r="AB488" s="15" t="str">
        <f t="shared" si="31"/>
        <v/>
      </c>
    </row>
    <row r="489" spans="1:28">
      <c r="A489" s="19">
        <v>486</v>
      </c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Q489" s="14"/>
      <c r="R489" s="7"/>
      <c r="S489" s="15" t="str">
        <f t="shared" si="28"/>
        <v/>
      </c>
      <c r="T489" s="14"/>
      <c r="U489" s="7"/>
      <c r="V489" s="15" t="str">
        <f t="shared" si="29"/>
        <v/>
      </c>
      <c r="W489" s="14"/>
      <c r="X489" s="7"/>
      <c r="Y489" s="15" t="str">
        <f t="shared" si="30"/>
        <v/>
      </c>
      <c r="Z489" s="14"/>
      <c r="AA489" s="7"/>
      <c r="AB489" s="15" t="str">
        <f t="shared" si="31"/>
        <v/>
      </c>
    </row>
    <row r="490" spans="1:28">
      <c r="A490" s="19">
        <v>487</v>
      </c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Q490" s="14"/>
      <c r="R490" s="7"/>
      <c r="S490" s="15" t="str">
        <f t="shared" si="28"/>
        <v/>
      </c>
      <c r="T490" s="14"/>
      <c r="U490" s="7"/>
      <c r="V490" s="15" t="str">
        <f t="shared" si="29"/>
        <v/>
      </c>
      <c r="W490" s="14"/>
      <c r="X490" s="7"/>
      <c r="Y490" s="15" t="str">
        <f t="shared" si="30"/>
        <v/>
      </c>
      <c r="Z490" s="14"/>
      <c r="AA490" s="7"/>
      <c r="AB490" s="15" t="str">
        <f t="shared" si="31"/>
        <v/>
      </c>
    </row>
    <row r="491" spans="1:28">
      <c r="A491" s="19">
        <v>488</v>
      </c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Q491" s="14"/>
      <c r="R491" s="7"/>
      <c r="S491" s="15" t="str">
        <f t="shared" si="28"/>
        <v/>
      </c>
      <c r="T491" s="14"/>
      <c r="U491" s="7"/>
      <c r="V491" s="15" t="str">
        <f t="shared" si="29"/>
        <v/>
      </c>
      <c r="W491" s="14"/>
      <c r="X491" s="7"/>
      <c r="Y491" s="15" t="str">
        <f t="shared" si="30"/>
        <v/>
      </c>
      <c r="Z491" s="14"/>
      <c r="AA491" s="7"/>
      <c r="AB491" s="15" t="str">
        <f t="shared" si="31"/>
        <v/>
      </c>
    </row>
    <row r="492" spans="1:28">
      <c r="A492" s="19">
        <v>489</v>
      </c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Q492" s="14"/>
      <c r="R492" s="7"/>
      <c r="S492" s="15" t="str">
        <f t="shared" si="28"/>
        <v/>
      </c>
      <c r="T492" s="14"/>
      <c r="U492" s="7"/>
      <c r="V492" s="15" t="str">
        <f t="shared" si="29"/>
        <v/>
      </c>
      <c r="W492" s="14"/>
      <c r="X492" s="7"/>
      <c r="Y492" s="15" t="str">
        <f t="shared" si="30"/>
        <v/>
      </c>
      <c r="Z492" s="14"/>
      <c r="AA492" s="7"/>
      <c r="AB492" s="15" t="str">
        <f t="shared" si="31"/>
        <v/>
      </c>
    </row>
    <row r="493" spans="1:28">
      <c r="A493" s="19">
        <v>490</v>
      </c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Q493" s="14"/>
      <c r="R493" s="7"/>
      <c r="S493" s="15" t="str">
        <f t="shared" si="28"/>
        <v/>
      </c>
      <c r="T493" s="14"/>
      <c r="U493" s="7"/>
      <c r="V493" s="15" t="str">
        <f t="shared" si="29"/>
        <v/>
      </c>
      <c r="W493" s="14"/>
      <c r="X493" s="7"/>
      <c r="Y493" s="15" t="str">
        <f t="shared" si="30"/>
        <v/>
      </c>
      <c r="Z493" s="14"/>
      <c r="AA493" s="7"/>
      <c r="AB493" s="15" t="str">
        <f t="shared" si="31"/>
        <v/>
      </c>
    </row>
    <row r="494" spans="1:28">
      <c r="A494" s="19">
        <v>491</v>
      </c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Q494" s="14"/>
      <c r="R494" s="7"/>
      <c r="S494" s="15" t="str">
        <f t="shared" si="28"/>
        <v/>
      </c>
      <c r="T494" s="14"/>
      <c r="U494" s="7"/>
      <c r="V494" s="15" t="str">
        <f t="shared" si="29"/>
        <v/>
      </c>
      <c r="W494" s="14"/>
      <c r="X494" s="7"/>
      <c r="Y494" s="15" t="str">
        <f t="shared" si="30"/>
        <v/>
      </c>
      <c r="Z494" s="14"/>
      <c r="AA494" s="7"/>
      <c r="AB494" s="15" t="str">
        <f t="shared" si="31"/>
        <v/>
      </c>
    </row>
    <row r="495" spans="1:28">
      <c r="A495" s="19">
        <v>492</v>
      </c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Q495" s="14"/>
      <c r="R495" s="7"/>
      <c r="S495" s="15" t="str">
        <f t="shared" si="28"/>
        <v/>
      </c>
      <c r="T495" s="14"/>
      <c r="U495" s="7"/>
      <c r="V495" s="15" t="str">
        <f t="shared" si="29"/>
        <v/>
      </c>
      <c r="W495" s="14"/>
      <c r="X495" s="7"/>
      <c r="Y495" s="15" t="str">
        <f t="shared" si="30"/>
        <v/>
      </c>
      <c r="Z495" s="14"/>
      <c r="AA495" s="7"/>
      <c r="AB495" s="15" t="str">
        <f t="shared" si="31"/>
        <v/>
      </c>
    </row>
    <row r="496" spans="1:28">
      <c r="A496" s="19">
        <v>493</v>
      </c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Q496" s="14"/>
      <c r="R496" s="7"/>
      <c r="S496" s="15" t="str">
        <f t="shared" si="28"/>
        <v/>
      </c>
      <c r="T496" s="14"/>
      <c r="U496" s="7"/>
      <c r="V496" s="15" t="str">
        <f t="shared" si="29"/>
        <v/>
      </c>
      <c r="W496" s="14"/>
      <c r="X496" s="7"/>
      <c r="Y496" s="15" t="str">
        <f t="shared" si="30"/>
        <v/>
      </c>
      <c r="Z496" s="14"/>
      <c r="AA496" s="7"/>
      <c r="AB496" s="15" t="str">
        <f t="shared" si="31"/>
        <v/>
      </c>
    </row>
    <row r="497" spans="1:28">
      <c r="A497" s="19">
        <v>494</v>
      </c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Q497" s="14"/>
      <c r="R497" s="7"/>
      <c r="S497" s="15" t="str">
        <f t="shared" si="28"/>
        <v/>
      </c>
      <c r="T497" s="14"/>
      <c r="U497" s="7"/>
      <c r="V497" s="15" t="str">
        <f t="shared" si="29"/>
        <v/>
      </c>
      <c r="W497" s="14"/>
      <c r="X497" s="7"/>
      <c r="Y497" s="15" t="str">
        <f t="shared" si="30"/>
        <v/>
      </c>
      <c r="Z497" s="14"/>
      <c r="AA497" s="7"/>
      <c r="AB497" s="15" t="str">
        <f t="shared" si="31"/>
        <v/>
      </c>
    </row>
    <row r="498" spans="1:28">
      <c r="A498" s="19">
        <v>495</v>
      </c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Q498" s="14"/>
      <c r="R498" s="7"/>
      <c r="S498" s="15" t="str">
        <f t="shared" si="28"/>
        <v/>
      </c>
      <c r="T498" s="14"/>
      <c r="U498" s="7"/>
      <c r="V498" s="15" t="str">
        <f t="shared" si="29"/>
        <v/>
      </c>
      <c r="W498" s="14"/>
      <c r="X498" s="7"/>
      <c r="Y498" s="15" t="str">
        <f t="shared" si="30"/>
        <v/>
      </c>
      <c r="Z498" s="14"/>
      <c r="AA498" s="7"/>
      <c r="AB498" s="15" t="str">
        <f t="shared" si="31"/>
        <v/>
      </c>
    </row>
    <row r="499" spans="1:28">
      <c r="A499" s="19">
        <v>496</v>
      </c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Q499" s="14"/>
      <c r="R499" s="7"/>
      <c r="S499" s="15" t="str">
        <f t="shared" si="28"/>
        <v/>
      </c>
      <c r="T499" s="14"/>
      <c r="U499" s="7"/>
      <c r="V499" s="15" t="str">
        <f t="shared" si="29"/>
        <v/>
      </c>
      <c r="W499" s="14"/>
      <c r="X499" s="7"/>
      <c r="Y499" s="15" t="str">
        <f t="shared" si="30"/>
        <v/>
      </c>
      <c r="Z499" s="14"/>
      <c r="AA499" s="7"/>
      <c r="AB499" s="15" t="str">
        <f t="shared" si="31"/>
        <v/>
      </c>
    </row>
    <row r="500" spans="1:28">
      <c r="A500" s="19">
        <v>497</v>
      </c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Q500" s="14"/>
      <c r="R500" s="7"/>
      <c r="S500" s="15" t="str">
        <f t="shared" si="28"/>
        <v/>
      </c>
      <c r="T500" s="14"/>
      <c r="U500" s="7"/>
      <c r="V500" s="15" t="str">
        <f t="shared" si="29"/>
        <v/>
      </c>
      <c r="W500" s="14"/>
      <c r="X500" s="7"/>
      <c r="Y500" s="15" t="str">
        <f t="shared" si="30"/>
        <v/>
      </c>
      <c r="Z500" s="14"/>
      <c r="AA500" s="7"/>
      <c r="AB500" s="15" t="str">
        <f t="shared" si="31"/>
        <v/>
      </c>
    </row>
    <row r="501" spans="1:28">
      <c r="A501" s="19">
        <v>498</v>
      </c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Q501" s="14"/>
      <c r="R501" s="7"/>
      <c r="S501" s="15" t="str">
        <f t="shared" si="28"/>
        <v/>
      </c>
      <c r="T501" s="14"/>
      <c r="U501" s="7"/>
      <c r="V501" s="15" t="str">
        <f t="shared" si="29"/>
        <v/>
      </c>
      <c r="W501" s="14"/>
      <c r="X501" s="7"/>
      <c r="Y501" s="15" t="str">
        <f t="shared" si="30"/>
        <v/>
      </c>
      <c r="Z501" s="14"/>
      <c r="AA501" s="7"/>
      <c r="AB501" s="15" t="str">
        <f t="shared" si="31"/>
        <v/>
      </c>
    </row>
    <row r="502" spans="1:28">
      <c r="A502" s="19">
        <v>499</v>
      </c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Q502" s="14"/>
      <c r="R502" s="7"/>
      <c r="S502" s="15" t="str">
        <f t="shared" si="28"/>
        <v/>
      </c>
      <c r="T502" s="14"/>
      <c r="U502" s="7"/>
      <c r="V502" s="15" t="str">
        <f t="shared" si="29"/>
        <v/>
      </c>
      <c r="W502" s="14"/>
      <c r="X502" s="7"/>
      <c r="Y502" s="15" t="str">
        <f t="shared" si="30"/>
        <v/>
      </c>
      <c r="Z502" s="14"/>
      <c r="AA502" s="7"/>
      <c r="AB502" s="15" t="str">
        <f t="shared" si="31"/>
        <v/>
      </c>
    </row>
    <row r="503" spans="1:28">
      <c r="A503" s="19">
        <v>500</v>
      </c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Q503" s="14"/>
      <c r="R503" s="7"/>
      <c r="S503" s="15" t="str">
        <f t="shared" si="28"/>
        <v/>
      </c>
      <c r="T503" s="14"/>
      <c r="U503" s="7"/>
      <c r="V503" s="15" t="str">
        <f t="shared" si="29"/>
        <v/>
      </c>
      <c r="W503" s="14"/>
      <c r="X503" s="7"/>
      <c r="Y503" s="15" t="str">
        <f t="shared" si="30"/>
        <v/>
      </c>
      <c r="Z503" s="14"/>
      <c r="AA503" s="7"/>
      <c r="AB503" s="15" t="str">
        <f t="shared" si="31"/>
        <v/>
      </c>
    </row>
    <row r="504" spans="1:28">
      <c r="A504" s="19">
        <v>501</v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Q504" s="14"/>
      <c r="R504" s="7"/>
      <c r="S504" s="15" t="str">
        <f t="shared" si="28"/>
        <v/>
      </c>
      <c r="T504" s="14"/>
      <c r="U504" s="7"/>
      <c r="V504" s="15" t="str">
        <f t="shared" si="29"/>
        <v/>
      </c>
      <c r="W504" s="14"/>
      <c r="X504" s="7"/>
      <c r="Y504" s="15" t="str">
        <f t="shared" si="30"/>
        <v/>
      </c>
      <c r="Z504" s="14"/>
      <c r="AA504" s="7"/>
      <c r="AB504" s="15" t="str">
        <f t="shared" si="31"/>
        <v/>
      </c>
    </row>
    <row r="505" spans="1:28">
      <c r="A505" s="19">
        <v>502</v>
      </c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Q505" s="14"/>
      <c r="R505" s="7"/>
      <c r="S505" s="15" t="str">
        <f t="shared" si="28"/>
        <v/>
      </c>
      <c r="T505" s="14"/>
      <c r="U505" s="7"/>
      <c r="V505" s="15" t="str">
        <f t="shared" si="29"/>
        <v/>
      </c>
      <c r="W505" s="14"/>
      <c r="X505" s="7"/>
      <c r="Y505" s="15" t="str">
        <f t="shared" si="30"/>
        <v/>
      </c>
      <c r="Z505" s="14"/>
      <c r="AA505" s="7"/>
      <c r="AB505" s="15" t="str">
        <f t="shared" si="31"/>
        <v/>
      </c>
    </row>
    <row r="506" spans="1:28">
      <c r="A506" s="19">
        <v>503</v>
      </c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Q506" s="14"/>
      <c r="R506" s="7"/>
      <c r="S506" s="15" t="str">
        <f t="shared" si="28"/>
        <v/>
      </c>
      <c r="T506" s="14"/>
      <c r="U506" s="7"/>
      <c r="V506" s="15" t="str">
        <f t="shared" si="29"/>
        <v/>
      </c>
      <c r="W506" s="14"/>
      <c r="X506" s="7"/>
      <c r="Y506" s="15" t="str">
        <f t="shared" si="30"/>
        <v/>
      </c>
      <c r="Z506" s="14"/>
      <c r="AA506" s="7"/>
      <c r="AB506" s="15" t="str">
        <f t="shared" si="31"/>
        <v/>
      </c>
    </row>
    <row r="507" spans="1:28">
      <c r="A507" s="19">
        <v>504</v>
      </c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Q507" s="14"/>
      <c r="R507" s="7"/>
      <c r="S507" s="15" t="str">
        <f t="shared" si="28"/>
        <v/>
      </c>
      <c r="T507" s="14"/>
      <c r="U507" s="7"/>
      <c r="V507" s="15" t="str">
        <f t="shared" si="29"/>
        <v/>
      </c>
      <c r="W507" s="14"/>
      <c r="X507" s="7"/>
      <c r="Y507" s="15" t="str">
        <f t="shared" si="30"/>
        <v/>
      </c>
      <c r="Z507" s="14"/>
      <c r="AA507" s="7"/>
      <c r="AB507" s="15" t="str">
        <f t="shared" si="31"/>
        <v/>
      </c>
    </row>
    <row r="508" spans="1:28">
      <c r="A508" s="19">
        <v>505</v>
      </c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Q508" s="14"/>
      <c r="R508" s="7"/>
      <c r="S508" s="15" t="str">
        <f t="shared" si="28"/>
        <v/>
      </c>
      <c r="T508" s="14"/>
      <c r="U508" s="7"/>
      <c r="V508" s="15" t="str">
        <f t="shared" si="29"/>
        <v/>
      </c>
      <c r="W508" s="14"/>
      <c r="X508" s="7"/>
      <c r="Y508" s="15" t="str">
        <f t="shared" si="30"/>
        <v/>
      </c>
      <c r="Z508" s="14"/>
      <c r="AA508" s="7"/>
      <c r="AB508" s="15" t="str">
        <f t="shared" si="31"/>
        <v/>
      </c>
    </row>
    <row r="509" spans="1:28">
      <c r="A509" s="19">
        <v>506</v>
      </c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Q509" s="14"/>
      <c r="R509" s="7"/>
      <c r="S509" s="15" t="str">
        <f t="shared" si="28"/>
        <v/>
      </c>
      <c r="T509" s="14"/>
      <c r="U509" s="7"/>
      <c r="V509" s="15" t="str">
        <f t="shared" si="29"/>
        <v/>
      </c>
      <c r="W509" s="14"/>
      <c r="X509" s="7"/>
      <c r="Y509" s="15" t="str">
        <f t="shared" si="30"/>
        <v/>
      </c>
      <c r="Z509" s="14"/>
      <c r="AA509" s="7"/>
      <c r="AB509" s="15" t="str">
        <f t="shared" si="31"/>
        <v/>
      </c>
    </row>
    <row r="510" spans="1:28">
      <c r="A510" s="19">
        <v>507</v>
      </c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Q510" s="14"/>
      <c r="R510" s="7"/>
      <c r="S510" s="15" t="str">
        <f t="shared" si="28"/>
        <v/>
      </c>
      <c r="T510" s="14"/>
      <c r="U510" s="7"/>
      <c r="V510" s="15" t="str">
        <f t="shared" si="29"/>
        <v/>
      </c>
      <c r="W510" s="14"/>
      <c r="X510" s="7"/>
      <c r="Y510" s="15" t="str">
        <f t="shared" si="30"/>
        <v/>
      </c>
      <c r="Z510" s="14"/>
      <c r="AA510" s="7"/>
      <c r="AB510" s="15" t="str">
        <f t="shared" si="31"/>
        <v/>
      </c>
    </row>
    <row r="511" spans="1:28">
      <c r="A511" s="19">
        <v>508</v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Q511" s="14"/>
      <c r="R511" s="7"/>
      <c r="S511" s="15" t="str">
        <f t="shared" si="28"/>
        <v/>
      </c>
      <c r="T511" s="14"/>
      <c r="U511" s="7"/>
      <c r="V511" s="15" t="str">
        <f t="shared" si="29"/>
        <v/>
      </c>
      <c r="W511" s="14"/>
      <c r="X511" s="7"/>
      <c r="Y511" s="15" t="str">
        <f t="shared" si="30"/>
        <v/>
      </c>
      <c r="Z511" s="14"/>
      <c r="AA511" s="7"/>
      <c r="AB511" s="15" t="str">
        <f t="shared" si="31"/>
        <v/>
      </c>
    </row>
    <row r="512" spans="1:28">
      <c r="A512" s="19">
        <v>509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Q512" s="14"/>
      <c r="R512" s="7"/>
      <c r="S512" s="15" t="str">
        <f t="shared" si="28"/>
        <v/>
      </c>
      <c r="T512" s="14"/>
      <c r="U512" s="7"/>
      <c r="V512" s="15" t="str">
        <f t="shared" si="29"/>
        <v/>
      </c>
      <c r="W512" s="14"/>
      <c r="X512" s="7"/>
      <c r="Y512" s="15" t="str">
        <f t="shared" si="30"/>
        <v/>
      </c>
      <c r="Z512" s="14"/>
      <c r="AA512" s="7"/>
      <c r="AB512" s="15" t="str">
        <f t="shared" si="31"/>
        <v/>
      </c>
    </row>
    <row r="513" spans="1:28">
      <c r="A513" s="19">
        <v>510</v>
      </c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Q513" s="14"/>
      <c r="R513" s="7"/>
      <c r="S513" s="15" t="str">
        <f t="shared" si="28"/>
        <v/>
      </c>
      <c r="T513" s="14"/>
      <c r="U513" s="7"/>
      <c r="V513" s="15" t="str">
        <f t="shared" si="29"/>
        <v/>
      </c>
      <c r="W513" s="14"/>
      <c r="X513" s="7"/>
      <c r="Y513" s="15" t="str">
        <f t="shared" si="30"/>
        <v/>
      </c>
      <c r="Z513" s="14"/>
      <c r="AA513" s="7"/>
      <c r="AB513" s="15" t="str">
        <f t="shared" si="31"/>
        <v/>
      </c>
    </row>
    <row r="514" spans="1:28">
      <c r="A514" s="19">
        <v>511</v>
      </c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Q514" s="14"/>
      <c r="R514" s="7"/>
      <c r="S514" s="15" t="str">
        <f t="shared" si="28"/>
        <v/>
      </c>
      <c r="T514" s="14"/>
      <c r="U514" s="7"/>
      <c r="V514" s="15" t="str">
        <f t="shared" si="29"/>
        <v/>
      </c>
      <c r="W514" s="14"/>
      <c r="X514" s="7"/>
      <c r="Y514" s="15" t="str">
        <f t="shared" si="30"/>
        <v/>
      </c>
      <c r="Z514" s="14"/>
      <c r="AA514" s="7"/>
      <c r="AB514" s="15" t="str">
        <f t="shared" si="31"/>
        <v/>
      </c>
    </row>
    <row r="515" spans="1:28">
      <c r="A515" s="19">
        <v>512</v>
      </c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Q515" s="14"/>
      <c r="R515" s="7"/>
      <c r="S515" s="15" t="str">
        <f t="shared" si="28"/>
        <v/>
      </c>
      <c r="T515" s="14"/>
      <c r="U515" s="7"/>
      <c r="V515" s="15" t="str">
        <f t="shared" si="29"/>
        <v/>
      </c>
      <c r="W515" s="14"/>
      <c r="X515" s="7"/>
      <c r="Y515" s="15" t="str">
        <f t="shared" si="30"/>
        <v/>
      </c>
      <c r="Z515" s="14"/>
      <c r="AA515" s="7"/>
      <c r="AB515" s="15" t="str">
        <f t="shared" si="31"/>
        <v/>
      </c>
    </row>
    <row r="516" spans="1:28">
      <c r="A516" s="19">
        <v>513</v>
      </c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Q516" s="14"/>
      <c r="R516" s="7"/>
      <c r="S516" s="15" t="str">
        <f t="shared" si="28"/>
        <v/>
      </c>
      <c r="T516" s="14"/>
      <c r="U516" s="7"/>
      <c r="V516" s="15" t="str">
        <f t="shared" si="29"/>
        <v/>
      </c>
      <c r="W516" s="14"/>
      <c r="X516" s="7"/>
      <c r="Y516" s="15" t="str">
        <f t="shared" si="30"/>
        <v/>
      </c>
      <c r="Z516" s="14"/>
      <c r="AA516" s="7"/>
      <c r="AB516" s="15" t="str">
        <f t="shared" si="31"/>
        <v/>
      </c>
    </row>
    <row r="517" spans="1:28">
      <c r="A517" s="19">
        <v>514</v>
      </c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Q517" s="14"/>
      <c r="R517" s="7"/>
      <c r="S517" s="15" t="str">
        <f t="shared" ref="S517:S580" si="32">IF(OR($H517="",Q517=""),"",Q517+(R517/$H517))</f>
        <v/>
      </c>
      <c r="T517" s="14"/>
      <c r="U517" s="7"/>
      <c r="V517" s="15" t="str">
        <f t="shared" ref="V517:V580" si="33">IF(OR($H517="",T517=""),"",T517+(U517/$H517))</f>
        <v/>
      </c>
      <c r="W517" s="14"/>
      <c r="X517" s="7"/>
      <c r="Y517" s="15" t="str">
        <f t="shared" ref="Y517:Y580" si="34">IF(OR($H517="",W517=""),"",W517+(X517/$H517))</f>
        <v/>
      </c>
      <c r="Z517" s="14"/>
      <c r="AA517" s="7"/>
      <c r="AB517" s="15" t="str">
        <f t="shared" ref="AB517:AB580" si="35">IF(OR($H517="",Z517=""),"",Z517+(AA517/$H517))</f>
        <v/>
      </c>
    </row>
    <row r="518" spans="1:28">
      <c r="A518" s="19">
        <v>515</v>
      </c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Q518" s="14"/>
      <c r="R518" s="7"/>
      <c r="S518" s="15" t="str">
        <f t="shared" si="32"/>
        <v/>
      </c>
      <c r="T518" s="14"/>
      <c r="U518" s="7"/>
      <c r="V518" s="15" t="str">
        <f t="shared" si="33"/>
        <v/>
      </c>
      <c r="W518" s="14"/>
      <c r="X518" s="7"/>
      <c r="Y518" s="15" t="str">
        <f t="shared" si="34"/>
        <v/>
      </c>
      <c r="Z518" s="14"/>
      <c r="AA518" s="7"/>
      <c r="AB518" s="15" t="str">
        <f t="shared" si="35"/>
        <v/>
      </c>
    </row>
    <row r="519" spans="1:28">
      <c r="A519" s="19">
        <v>516</v>
      </c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Q519" s="14"/>
      <c r="R519" s="7"/>
      <c r="S519" s="15" t="str">
        <f t="shared" si="32"/>
        <v/>
      </c>
      <c r="T519" s="14"/>
      <c r="U519" s="7"/>
      <c r="V519" s="15" t="str">
        <f t="shared" si="33"/>
        <v/>
      </c>
      <c r="W519" s="14"/>
      <c r="X519" s="7"/>
      <c r="Y519" s="15" t="str">
        <f t="shared" si="34"/>
        <v/>
      </c>
      <c r="Z519" s="14"/>
      <c r="AA519" s="7"/>
      <c r="AB519" s="15" t="str">
        <f t="shared" si="35"/>
        <v/>
      </c>
    </row>
    <row r="520" spans="1:28">
      <c r="A520" s="19">
        <v>517</v>
      </c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Q520" s="14"/>
      <c r="R520" s="7"/>
      <c r="S520" s="15" t="str">
        <f t="shared" si="32"/>
        <v/>
      </c>
      <c r="T520" s="14"/>
      <c r="U520" s="7"/>
      <c r="V520" s="15" t="str">
        <f t="shared" si="33"/>
        <v/>
      </c>
      <c r="W520" s="14"/>
      <c r="X520" s="7"/>
      <c r="Y520" s="15" t="str">
        <f t="shared" si="34"/>
        <v/>
      </c>
      <c r="Z520" s="14"/>
      <c r="AA520" s="7"/>
      <c r="AB520" s="15" t="str">
        <f t="shared" si="35"/>
        <v/>
      </c>
    </row>
    <row r="521" spans="1:28">
      <c r="A521" s="19">
        <v>518</v>
      </c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Q521" s="14"/>
      <c r="R521" s="7"/>
      <c r="S521" s="15" t="str">
        <f t="shared" si="32"/>
        <v/>
      </c>
      <c r="T521" s="14"/>
      <c r="U521" s="7"/>
      <c r="V521" s="15" t="str">
        <f t="shared" si="33"/>
        <v/>
      </c>
      <c r="W521" s="14"/>
      <c r="X521" s="7"/>
      <c r="Y521" s="15" t="str">
        <f t="shared" si="34"/>
        <v/>
      </c>
      <c r="Z521" s="14"/>
      <c r="AA521" s="7"/>
      <c r="AB521" s="15" t="str">
        <f t="shared" si="35"/>
        <v/>
      </c>
    </row>
    <row r="522" spans="1:28">
      <c r="A522" s="19">
        <v>519</v>
      </c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Q522" s="14"/>
      <c r="R522" s="7"/>
      <c r="S522" s="15" t="str">
        <f t="shared" si="32"/>
        <v/>
      </c>
      <c r="T522" s="14"/>
      <c r="U522" s="7"/>
      <c r="V522" s="15" t="str">
        <f t="shared" si="33"/>
        <v/>
      </c>
      <c r="W522" s="14"/>
      <c r="X522" s="7"/>
      <c r="Y522" s="15" t="str">
        <f t="shared" si="34"/>
        <v/>
      </c>
      <c r="Z522" s="14"/>
      <c r="AA522" s="7"/>
      <c r="AB522" s="15" t="str">
        <f t="shared" si="35"/>
        <v/>
      </c>
    </row>
    <row r="523" spans="1:28">
      <c r="A523" s="19">
        <v>520</v>
      </c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Q523" s="14"/>
      <c r="R523" s="7"/>
      <c r="S523" s="15" t="str">
        <f t="shared" si="32"/>
        <v/>
      </c>
      <c r="T523" s="14"/>
      <c r="U523" s="7"/>
      <c r="V523" s="15" t="str">
        <f t="shared" si="33"/>
        <v/>
      </c>
      <c r="W523" s="14"/>
      <c r="X523" s="7"/>
      <c r="Y523" s="15" t="str">
        <f t="shared" si="34"/>
        <v/>
      </c>
      <c r="Z523" s="14"/>
      <c r="AA523" s="7"/>
      <c r="AB523" s="15" t="str">
        <f t="shared" si="35"/>
        <v/>
      </c>
    </row>
    <row r="524" spans="1:28">
      <c r="A524" s="19">
        <v>521</v>
      </c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Q524" s="14"/>
      <c r="R524" s="7"/>
      <c r="S524" s="15" t="str">
        <f t="shared" si="32"/>
        <v/>
      </c>
      <c r="T524" s="14"/>
      <c r="U524" s="7"/>
      <c r="V524" s="15" t="str">
        <f t="shared" si="33"/>
        <v/>
      </c>
      <c r="W524" s="14"/>
      <c r="X524" s="7"/>
      <c r="Y524" s="15" t="str">
        <f t="shared" si="34"/>
        <v/>
      </c>
      <c r="Z524" s="14"/>
      <c r="AA524" s="7"/>
      <c r="AB524" s="15" t="str">
        <f t="shared" si="35"/>
        <v/>
      </c>
    </row>
    <row r="525" spans="1:28">
      <c r="A525" s="19">
        <v>522</v>
      </c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Q525" s="14"/>
      <c r="R525" s="7"/>
      <c r="S525" s="15" t="str">
        <f t="shared" si="32"/>
        <v/>
      </c>
      <c r="T525" s="14"/>
      <c r="U525" s="7"/>
      <c r="V525" s="15" t="str">
        <f t="shared" si="33"/>
        <v/>
      </c>
      <c r="W525" s="14"/>
      <c r="X525" s="7"/>
      <c r="Y525" s="15" t="str">
        <f t="shared" si="34"/>
        <v/>
      </c>
      <c r="Z525" s="14"/>
      <c r="AA525" s="7"/>
      <c r="AB525" s="15" t="str">
        <f t="shared" si="35"/>
        <v/>
      </c>
    </row>
    <row r="526" spans="1:28">
      <c r="A526" s="19">
        <v>523</v>
      </c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Q526" s="14"/>
      <c r="R526" s="7"/>
      <c r="S526" s="15" t="str">
        <f t="shared" si="32"/>
        <v/>
      </c>
      <c r="T526" s="14"/>
      <c r="U526" s="7"/>
      <c r="V526" s="15" t="str">
        <f t="shared" si="33"/>
        <v/>
      </c>
      <c r="W526" s="14"/>
      <c r="X526" s="7"/>
      <c r="Y526" s="15" t="str">
        <f t="shared" si="34"/>
        <v/>
      </c>
      <c r="Z526" s="14"/>
      <c r="AA526" s="7"/>
      <c r="AB526" s="15" t="str">
        <f t="shared" si="35"/>
        <v/>
      </c>
    </row>
    <row r="527" spans="1:28">
      <c r="A527" s="19">
        <v>524</v>
      </c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Q527" s="14"/>
      <c r="R527" s="7"/>
      <c r="S527" s="15" t="str">
        <f t="shared" si="32"/>
        <v/>
      </c>
      <c r="T527" s="14"/>
      <c r="U527" s="7"/>
      <c r="V527" s="15" t="str">
        <f t="shared" si="33"/>
        <v/>
      </c>
      <c r="W527" s="14"/>
      <c r="X527" s="7"/>
      <c r="Y527" s="15" t="str">
        <f t="shared" si="34"/>
        <v/>
      </c>
      <c r="Z527" s="14"/>
      <c r="AA527" s="7"/>
      <c r="AB527" s="15" t="str">
        <f t="shared" si="35"/>
        <v/>
      </c>
    </row>
    <row r="528" spans="1:28">
      <c r="A528" s="19">
        <v>525</v>
      </c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Q528" s="14"/>
      <c r="R528" s="7"/>
      <c r="S528" s="15" t="str">
        <f t="shared" si="32"/>
        <v/>
      </c>
      <c r="T528" s="14"/>
      <c r="U528" s="7"/>
      <c r="V528" s="15" t="str">
        <f t="shared" si="33"/>
        <v/>
      </c>
      <c r="W528" s="14"/>
      <c r="X528" s="7"/>
      <c r="Y528" s="15" t="str">
        <f t="shared" si="34"/>
        <v/>
      </c>
      <c r="Z528" s="14"/>
      <c r="AA528" s="7"/>
      <c r="AB528" s="15" t="str">
        <f t="shared" si="35"/>
        <v/>
      </c>
    </row>
    <row r="529" spans="1:28">
      <c r="A529" s="19">
        <v>526</v>
      </c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Q529" s="14"/>
      <c r="R529" s="7"/>
      <c r="S529" s="15" t="str">
        <f t="shared" si="32"/>
        <v/>
      </c>
      <c r="T529" s="14"/>
      <c r="U529" s="7"/>
      <c r="V529" s="15" t="str">
        <f t="shared" si="33"/>
        <v/>
      </c>
      <c r="W529" s="14"/>
      <c r="X529" s="7"/>
      <c r="Y529" s="15" t="str">
        <f t="shared" si="34"/>
        <v/>
      </c>
      <c r="Z529" s="14"/>
      <c r="AA529" s="7"/>
      <c r="AB529" s="15" t="str">
        <f t="shared" si="35"/>
        <v/>
      </c>
    </row>
    <row r="530" spans="1:28">
      <c r="A530" s="19">
        <v>527</v>
      </c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Q530" s="14"/>
      <c r="R530" s="7"/>
      <c r="S530" s="15" t="str">
        <f t="shared" si="32"/>
        <v/>
      </c>
      <c r="T530" s="14"/>
      <c r="U530" s="7"/>
      <c r="V530" s="15" t="str">
        <f t="shared" si="33"/>
        <v/>
      </c>
      <c r="W530" s="14"/>
      <c r="X530" s="7"/>
      <c r="Y530" s="15" t="str">
        <f t="shared" si="34"/>
        <v/>
      </c>
      <c r="Z530" s="14"/>
      <c r="AA530" s="7"/>
      <c r="AB530" s="15" t="str">
        <f t="shared" si="35"/>
        <v/>
      </c>
    </row>
    <row r="531" spans="1:28">
      <c r="A531" s="19">
        <v>528</v>
      </c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Q531" s="14"/>
      <c r="R531" s="7"/>
      <c r="S531" s="15" t="str">
        <f t="shared" si="32"/>
        <v/>
      </c>
      <c r="T531" s="14"/>
      <c r="U531" s="7"/>
      <c r="V531" s="15" t="str">
        <f t="shared" si="33"/>
        <v/>
      </c>
      <c r="W531" s="14"/>
      <c r="X531" s="7"/>
      <c r="Y531" s="15" t="str">
        <f t="shared" si="34"/>
        <v/>
      </c>
      <c r="Z531" s="14"/>
      <c r="AA531" s="7"/>
      <c r="AB531" s="15" t="str">
        <f t="shared" si="35"/>
        <v/>
      </c>
    </row>
    <row r="532" spans="1:28">
      <c r="A532" s="19">
        <v>529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Q532" s="14"/>
      <c r="R532" s="7"/>
      <c r="S532" s="15" t="str">
        <f t="shared" si="32"/>
        <v/>
      </c>
      <c r="T532" s="14"/>
      <c r="U532" s="7"/>
      <c r="V532" s="15" t="str">
        <f t="shared" si="33"/>
        <v/>
      </c>
      <c r="W532" s="14"/>
      <c r="X532" s="7"/>
      <c r="Y532" s="15" t="str">
        <f t="shared" si="34"/>
        <v/>
      </c>
      <c r="Z532" s="14"/>
      <c r="AA532" s="7"/>
      <c r="AB532" s="15" t="str">
        <f t="shared" si="35"/>
        <v/>
      </c>
    </row>
    <row r="533" spans="1:28">
      <c r="A533" s="19">
        <v>530</v>
      </c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Q533" s="14"/>
      <c r="R533" s="7"/>
      <c r="S533" s="15" t="str">
        <f t="shared" si="32"/>
        <v/>
      </c>
      <c r="T533" s="14"/>
      <c r="U533" s="7"/>
      <c r="V533" s="15" t="str">
        <f t="shared" si="33"/>
        <v/>
      </c>
      <c r="W533" s="14"/>
      <c r="X533" s="7"/>
      <c r="Y533" s="15" t="str">
        <f t="shared" si="34"/>
        <v/>
      </c>
      <c r="Z533" s="14"/>
      <c r="AA533" s="7"/>
      <c r="AB533" s="15" t="str">
        <f t="shared" si="35"/>
        <v/>
      </c>
    </row>
    <row r="534" spans="1:28">
      <c r="A534" s="19">
        <v>531</v>
      </c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Q534" s="14"/>
      <c r="R534" s="7"/>
      <c r="S534" s="15" t="str">
        <f t="shared" si="32"/>
        <v/>
      </c>
      <c r="T534" s="14"/>
      <c r="U534" s="7"/>
      <c r="V534" s="15" t="str">
        <f t="shared" si="33"/>
        <v/>
      </c>
      <c r="W534" s="14"/>
      <c r="X534" s="7"/>
      <c r="Y534" s="15" t="str">
        <f t="shared" si="34"/>
        <v/>
      </c>
      <c r="Z534" s="14"/>
      <c r="AA534" s="7"/>
      <c r="AB534" s="15" t="str">
        <f t="shared" si="35"/>
        <v/>
      </c>
    </row>
    <row r="535" spans="1:28">
      <c r="A535" s="19">
        <v>532</v>
      </c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Q535" s="14"/>
      <c r="R535" s="7"/>
      <c r="S535" s="15" t="str">
        <f t="shared" si="32"/>
        <v/>
      </c>
      <c r="T535" s="14"/>
      <c r="U535" s="7"/>
      <c r="V535" s="15" t="str">
        <f t="shared" si="33"/>
        <v/>
      </c>
      <c r="W535" s="14"/>
      <c r="X535" s="7"/>
      <c r="Y535" s="15" t="str">
        <f t="shared" si="34"/>
        <v/>
      </c>
      <c r="Z535" s="14"/>
      <c r="AA535" s="7"/>
      <c r="AB535" s="15" t="str">
        <f t="shared" si="35"/>
        <v/>
      </c>
    </row>
    <row r="536" spans="1:28">
      <c r="A536" s="19">
        <v>533</v>
      </c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Q536" s="14"/>
      <c r="R536" s="7"/>
      <c r="S536" s="15" t="str">
        <f t="shared" si="32"/>
        <v/>
      </c>
      <c r="T536" s="14"/>
      <c r="U536" s="7"/>
      <c r="V536" s="15" t="str">
        <f t="shared" si="33"/>
        <v/>
      </c>
      <c r="W536" s="14"/>
      <c r="X536" s="7"/>
      <c r="Y536" s="15" t="str">
        <f t="shared" si="34"/>
        <v/>
      </c>
      <c r="Z536" s="14"/>
      <c r="AA536" s="7"/>
      <c r="AB536" s="15" t="str">
        <f t="shared" si="35"/>
        <v/>
      </c>
    </row>
    <row r="537" spans="1:28">
      <c r="A537" s="19">
        <v>534</v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Q537" s="14"/>
      <c r="R537" s="7"/>
      <c r="S537" s="15" t="str">
        <f t="shared" si="32"/>
        <v/>
      </c>
      <c r="T537" s="14"/>
      <c r="U537" s="7"/>
      <c r="V537" s="15" t="str">
        <f t="shared" si="33"/>
        <v/>
      </c>
      <c r="W537" s="14"/>
      <c r="X537" s="7"/>
      <c r="Y537" s="15" t="str">
        <f t="shared" si="34"/>
        <v/>
      </c>
      <c r="Z537" s="14"/>
      <c r="AA537" s="7"/>
      <c r="AB537" s="15" t="str">
        <f t="shared" si="35"/>
        <v/>
      </c>
    </row>
    <row r="538" spans="1:28">
      <c r="A538" s="19">
        <v>535</v>
      </c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Q538" s="14"/>
      <c r="R538" s="7"/>
      <c r="S538" s="15" t="str">
        <f t="shared" si="32"/>
        <v/>
      </c>
      <c r="T538" s="14"/>
      <c r="U538" s="7"/>
      <c r="V538" s="15" t="str">
        <f t="shared" si="33"/>
        <v/>
      </c>
      <c r="W538" s="14"/>
      <c r="X538" s="7"/>
      <c r="Y538" s="15" t="str">
        <f t="shared" si="34"/>
        <v/>
      </c>
      <c r="Z538" s="14"/>
      <c r="AA538" s="7"/>
      <c r="AB538" s="15" t="str">
        <f t="shared" si="35"/>
        <v/>
      </c>
    </row>
    <row r="539" spans="1:28">
      <c r="A539" s="19">
        <v>536</v>
      </c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Q539" s="14"/>
      <c r="R539" s="7"/>
      <c r="S539" s="15" t="str">
        <f t="shared" si="32"/>
        <v/>
      </c>
      <c r="T539" s="14"/>
      <c r="U539" s="7"/>
      <c r="V539" s="15" t="str">
        <f t="shared" si="33"/>
        <v/>
      </c>
      <c r="W539" s="14"/>
      <c r="X539" s="7"/>
      <c r="Y539" s="15" t="str">
        <f t="shared" si="34"/>
        <v/>
      </c>
      <c r="Z539" s="14"/>
      <c r="AA539" s="7"/>
      <c r="AB539" s="15" t="str">
        <f t="shared" si="35"/>
        <v/>
      </c>
    </row>
    <row r="540" spans="1:28">
      <c r="A540" s="19">
        <v>537</v>
      </c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Q540" s="14"/>
      <c r="R540" s="7"/>
      <c r="S540" s="15" t="str">
        <f t="shared" si="32"/>
        <v/>
      </c>
      <c r="T540" s="14"/>
      <c r="U540" s="7"/>
      <c r="V540" s="15" t="str">
        <f t="shared" si="33"/>
        <v/>
      </c>
      <c r="W540" s="14"/>
      <c r="X540" s="7"/>
      <c r="Y540" s="15" t="str">
        <f t="shared" si="34"/>
        <v/>
      </c>
      <c r="Z540" s="14"/>
      <c r="AA540" s="7"/>
      <c r="AB540" s="15" t="str">
        <f t="shared" si="35"/>
        <v/>
      </c>
    </row>
    <row r="541" spans="1:28">
      <c r="A541" s="19">
        <v>538</v>
      </c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Q541" s="14"/>
      <c r="R541" s="7"/>
      <c r="S541" s="15" t="str">
        <f t="shared" si="32"/>
        <v/>
      </c>
      <c r="T541" s="14"/>
      <c r="U541" s="7"/>
      <c r="V541" s="15" t="str">
        <f t="shared" si="33"/>
        <v/>
      </c>
      <c r="W541" s="14"/>
      <c r="X541" s="7"/>
      <c r="Y541" s="15" t="str">
        <f t="shared" si="34"/>
        <v/>
      </c>
      <c r="Z541" s="14"/>
      <c r="AA541" s="7"/>
      <c r="AB541" s="15" t="str">
        <f t="shared" si="35"/>
        <v/>
      </c>
    </row>
    <row r="542" spans="1:28">
      <c r="A542" s="19">
        <v>539</v>
      </c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Q542" s="14"/>
      <c r="R542" s="7"/>
      <c r="S542" s="15" t="str">
        <f t="shared" si="32"/>
        <v/>
      </c>
      <c r="T542" s="14"/>
      <c r="U542" s="7"/>
      <c r="V542" s="15" t="str">
        <f t="shared" si="33"/>
        <v/>
      </c>
      <c r="W542" s="14"/>
      <c r="X542" s="7"/>
      <c r="Y542" s="15" t="str">
        <f t="shared" si="34"/>
        <v/>
      </c>
      <c r="Z542" s="14"/>
      <c r="AA542" s="7"/>
      <c r="AB542" s="15" t="str">
        <f t="shared" si="35"/>
        <v/>
      </c>
    </row>
    <row r="543" spans="1:28">
      <c r="A543" s="19">
        <v>540</v>
      </c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Q543" s="14"/>
      <c r="R543" s="7"/>
      <c r="S543" s="15" t="str">
        <f t="shared" si="32"/>
        <v/>
      </c>
      <c r="T543" s="14"/>
      <c r="U543" s="7"/>
      <c r="V543" s="15" t="str">
        <f t="shared" si="33"/>
        <v/>
      </c>
      <c r="W543" s="14"/>
      <c r="X543" s="7"/>
      <c r="Y543" s="15" t="str">
        <f t="shared" si="34"/>
        <v/>
      </c>
      <c r="Z543" s="14"/>
      <c r="AA543" s="7"/>
      <c r="AB543" s="15" t="str">
        <f t="shared" si="35"/>
        <v/>
      </c>
    </row>
    <row r="544" spans="1:28">
      <c r="A544" s="19">
        <v>541</v>
      </c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Q544" s="14"/>
      <c r="R544" s="7"/>
      <c r="S544" s="15" t="str">
        <f t="shared" si="32"/>
        <v/>
      </c>
      <c r="T544" s="14"/>
      <c r="U544" s="7"/>
      <c r="V544" s="15" t="str">
        <f t="shared" si="33"/>
        <v/>
      </c>
      <c r="W544" s="14"/>
      <c r="X544" s="7"/>
      <c r="Y544" s="15" t="str">
        <f t="shared" si="34"/>
        <v/>
      </c>
      <c r="Z544" s="14"/>
      <c r="AA544" s="7"/>
      <c r="AB544" s="15" t="str">
        <f t="shared" si="35"/>
        <v/>
      </c>
    </row>
    <row r="545" spans="1:28">
      <c r="A545" s="19">
        <v>542</v>
      </c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Q545" s="14"/>
      <c r="R545" s="7"/>
      <c r="S545" s="15" t="str">
        <f t="shared" si="32"/>
        <v/>
      </c>
      <c r="T545" s="14"/>
      <c r="U545" s="7"/>
      <c r="V545" s="15" t="str">
        <f t="shared" si="33"/>
        <v/>
      </c>
      <c r="W545" s="14"/>
      <c r="X545" s="7"/>
      <c r="Y545" s="15" t="str">
        <f t="shared" si="34"/>
        <v/>
      </c>
      <c r="Z545" s="14"/>
      <c r="AA545" s="7"/>
      <c r="AB545" s="15" t="str">
        <f t="shared" si="35"/>
        <v/>
      </c>
    </row>
    <row r="546" spans="1:28">
      <c r="A546" s="19">
        <v>543</v>
      </c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Q546" s="14"/>
      <c r="R546" s="7"/>
      <c r="S546" s="15" t="str">
        <f t="shared" si="32"/>
        <v/>
      </c>
      <c r="T546" s="14"/>
      <c r="U546" s="7"/>
      <c r="V546" s="15" t="str">
        <f t="shared" si="33"/>
        <v/>
      </c>
      <c r="W546" s="14"/>
      <c r="X546" s="7"/>
      <c r="Y546" s="15" t="str">
        <f t="shared" si="34"/>
        <v/>
      </c>
      <c r="Z546" s="14"/>
      <c r="AA546" s="7"/>
      <c r="AB546" s="15" t="str">
        <f t="shared" si="35"/>
        <v/>
      </c>
    </row>
    <row r="547" spans="1:28">
      <c r="A547" s="19">
        <v>544</v>
      </c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Q547" s="14"/>
      <c r="R547" s="7"/>
      <c r="S547" s="15" t="str">
        <f t="shared" si="32"/>
        <v/>
      </c>
      <c r="T547" s="14"/>
      <c r="U547" s="7"/>
      <c r="V547" s="15" t="str">
        <f t="shared" si="33"/>
        <v/>
      </c>
      <c r="W547" s="14"/>
      <c r="X547" s="7"/>
      <c r="Y547" s="15" t="str">
        <f t="shared" si="34"/>
        <v/>
      </c>
      <c r="Z547" s="14"/>
      <c r="AA547" s="7"/>
      <c r="AB547" s="15" t="str">
        <f t="shared" si="35"/>
        <v/>
      </c>
    </row>
    <row r="548" spans="1:28">
      <c r="A548" s="19">
        <v>545</v>
      </c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Q548" s="14"/>
      <c r="R548" s="7"/>
      <c r="S548" s="15" t="str">
        <f t="shared" si="32"/>
        <v/>
      </c>
      <c r="T548" s="14"/>
      <c r="U548" s="7"/>
      <c r="V548" s="15" t="str">
        <f t="shared" si="33"/>
        <v/>
      </c>
      <c r="W548" s="14"/>
      <c r="X548" s="7"/>
      <c r="Y548" s="15" t="str">
        <f t="shared" si="34"/>
        <v/>
      </c>
      <c r="Z548" s="14"/>
      <c r="AA548" s="7"/>
      <c r="AB548" s="15" t="str">
        <f t="shared" si="35"/>
        <v/>
      </c>
    </row>
    <row r="549" spans="1:28">
      <c r="A549" s="19">
        <v>546</v>
      </c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Q549" s="14"/>
      <c r="R549" s="7"/>
      <c r="S549" s="15" t="str">
        <f t="shared" si="32"/>
        <v/>
      </c>
      <c r="T549" s="14"/>
      <c r="U549" s="7"/>
      <c r="V549" s="15" t="str">
        <f t="shared" si="33"/>
        <v/>
      </c>
      <c r="W549" s="14"/>
      <c r="X549" s="7"/>
      <c r="Y549" s="15" t="str">
        <f t="shared" si="34"/>
        <v/>
      </c>
      <c r="Z549" s="14"/>
      <c r="AA549" s="7"/>
      <c r="AB549" s="15" t="str">
        <f t="shared" si="35"/>
        <v/>
      </c>
    </row>
    <row r="550" spans="1:28">
      <c r="A550" s="19">
        <v>547</v>
      </c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Q550" s="14"/>
      <c r="R550" s="7"/>
      <c r="S550" s="15" t="str">
        <f t="shared" si="32"/>
        <v/>
      </c>
      <c r="T550" s="14"/>
      <c r="U550" s="7"/>
      <c r="V550" s="15" t="str">
        <f t="shared" si="33"/>
        <v/>
      </c>
      <c r="W550" s="14"/>
      <c r="X550" s="7"/>
      <c r="Y550" s="15" t="str">
        <f t="shared" si="34"/>
        <v/>
      </c>
      <c r="Z550" s="14"/>
      <c r="AA550" s="7"/>
      <c r="AB550" s="15" t="str">
        <f t="shared" si="35"/>
        <v/>
      </c>
    </row>
    <row r="551" spans="1:28">
      <c r="A551" s="19">
        <v>548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Q551" s="14"/>
      <c r="R551" s="7"/>
      <c r="S551" s="15" t="str">
        <f t="shared" si="32"/>
        <v/>
      </c>
      <c r="T551" s="14"/>
      <c r="U551" s="7"/>
      <c r="V551" s="15" t="str">
        <f t="shared" si="33"/>
        <v/>
      </c>
      <c r="W551" s="14"/>
      <c r="X551" s="7"/>
      <c r="Y551" s="15" t="str">
        <f t="shared" si="34"/>
        <v/>
      </c>
      <c r="Z551" s="14"/>
      <c r="AA551" s="7"/>
      <c r="AB551" s="15" t="str">
        <f t="shared" si="35"/>
        <v/>
      </c>
    </row>
    <row r="552" spans="1:28">
      <c r="A552" s="19">
        <v>549</v>
      </c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Q552" s="14"/>
      <c r="R552" s="7"/>
      <c r="S552" s="15" t="str">
        <f t="shared" si="32"/>
        <v/>
      </c>
      <c r="T552" s="14"/>
      <c r="U552" s="7"/>
      <c r="V552" s="15" t="str">
        <f t="shared" si="33"/>
        <v/>
      </c>
      <c r="W552" s="14"/>
      <c r="X552" s="7"/>
      <c r="Y552" s="15" t="str">
        <f t="shared" si="34"/>
        <v/>
      </c>
      <c r="Z552" s="14"/>
      <c r="AA552" s="7"/>
      <c r="AB552" s="15" t="str">
        <f t="shared" si="35"/>
        <v/>
      </c>
    </row>
    <row r="553" spans="1:28">
      <c r="A553" s="19">
        <v>550</v>
      </c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Q553" s="14"/>
      <c r="R553" s="7"/>
      <c r="S553" s="15" t="str">
        <f t="shared" si="32"/>
        <v/>
      </c>
      <c r="T553" s="14"/>
      <c r="U553" s="7"/>
      <c r="V553" s="15" t="str">
        <f t="shared" si="33"/>
        <v/>
      </c>
      <c r="W553" s="14"/>
      <c r="X553" s="7"/>
      <c r="Y553" s="15" t="str">
        <f t="shared" si="34"/>
        <v/>
      </c>
      <c r="Z553" s="14"/>
      <c r="AA553" s="7"/>
      <c r="AB553" s="15" t="str">
        <f t="shared" si="35"/>
        <v/>
      </c>
    </row>
    <row r="554" spans="1:28">
      <c r="A554" s="19">
        <v>551</v>
      </c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Q554" s="14"/>
      <c r="R554" s="7"/>
      <c r="S554" s="15" t="str">
        <f t="shared" si="32"/>
        <v/>
      </c>
      <c r="T554" s="14"/>
      <c r="U554" s="7"/>
      <c r="V554" s="15" t="str">
        <f t="shared" si="33"/>
        <v/>
      </c>
      <c r="W554" s="14"/>
      <c r="X554" s="7"/>
      <c r="Y554" s="15" t="str">
        <f t="shared" si="34"/>
        <v/>
      </c>
      <c r="Z554" s="14"/>
      <c r="AA554" s="7"/>
      <c r="AB554" s="15" t="str">
        <f t="shared" si="35"/>
        <v/>
      </c>
    </row>
    <row r="555" spans="1:28">
      <c r="A555" s="19">
        <v>552</v>
      </c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Q555" s="14"/>
      <c r="R555" s="7"/>
      <c r="S555" s="15" t="str">
        <f t="shared" si="32"/>
        <v/>
      </c>
      <c r="T555" s="14"/>
      <c r="U555" s="7"/>
      <c r="V555" s="15" t="str">
        <f t="shared" si="33"/>
        <v/>
      </c>
      <c r="W555" s="14"/>
      <c r="X555" s="7"/>
      <c r="Y555" s="15" t="str">
        <f t="shared" si="34"/>
        <v/>
      </c>
      <c r="Z555" s="14"/>
      <c r="AA555" s="7"/>
      <c r="AB555" s="15" t="str">
        <f t="shared" si="35"/>
        <v/>
      </c>
    </row>
    <row r="556" spans="1:28">
      <c r="A556" s="19">
        <v>553</v>
      </c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Q556" s="14"/>
      <c r="R556" s="7"/>
      <c r="S556" s="15" t="str">
        <f t="shared" si="32"/>
        <v/>
      </c>
      <c r="T556" s="14"/>
      <c r="U556" s="7"/>
      <c r="V556" s="15" t="str">
        <f t="shared" si="33"/>
        <v/>
      </c>
      <c r="W556" s="14"/>
      <c r="X556" s="7"/>
      <c r="Y556" s="15" t="str">
        <f t="shared" si="34"/>
        <v/>
      </c>
      <c r="Z556" s="14"/>
      <c r="AA556" s="7"/>
      <c r="AB556" s="15" t="str">
        <f t="shared" si="35"/>
        <v/>
      </c>
    </row>
    <row r="557" spans="1:28">
      <c r="A557" s="19">
        <v>554</v>
      </c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Q557" s="14"/>
      <c r="R557" s="7"/>
      <c r="S557" s="15" t="str">
        <f t="shared" si="32"/>
        <v/>
      </c>
      <c r="T557" s="14"/>
      <c r="U557" s="7"/>
      <c r="V557" s="15" t="str">
        <f t="shared" si="33"/>
        <v/>
      </c>
      <c r="W557" s="14"/>
      <c r="X557" s="7"/>
      <c r="Y557" s="15" t="str">
        <f t="shared" si="34"/>
        <v/>
      </c>
      <c r="Z557" s="14"/>
      <c r="AA557" s="7"/>
      <c r="AB557" s="15" t="str">
        <f t="shared" si="35"/>
        <v/>
      </c>
    </row>
    <row r="558" spans="1:28">
      <c r="A558" s="19">
        <v>555</v>
      </c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Q558" s="14"/>
      <c r="R558" s="7"/>
      <c r="S558" s="15" t="str">
        <f t="shared" si="32"/>
        <v/>
      </c>
      <c r="T558" s="14"/>
      <c r="U558" s="7"/>
      <c r="V558" s="15" t="str">
        <f t="shared" si="33"/>
        <v/>
      </c>
      <c r="W558" s="14"/>
      <c r="X558" s="7"/>
      <c r="Y558" s="15" t="str">
        <f t="shared" si="34"/>
        <v/>
      </c>
      <c r="Z558" s="14"/>
      <c r="AA558" s="7"/>
      <c r="AB558" s="15" t="str">
        <f t="shared" si="35"/>
        <v/>
      </c>
    </row>
    <row r="559" spans="1:28">
      <c r="A559" s="19">
        <v>556</v>
      </c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Q559" s="14"/>
      <c r="R559" s="7"/>
      <c r="S559" s="15" t="str">
        <f t="shared" si="32"/>
        <v/>
      </c>
      <c r="T559" s="14"/>
      <c r="U559" s="7"/>
      <c r="V559" s="15" t="str">
        <f t="shared" si="33"/>
        <v/>
      </c>
      <c r="W559" s="14"/>
      <c r="X559" s="7"/>
      <c r="Y559" s="15" t="str">
        <f t="shared" si="34"/>
        <v/>
      </c>
      <c r="Z559" s="14"/>
      <c r="AA559" s="7"/>
      <c r="AB559" s="15" t="str">
        <f t="shared" si="35"/>
        <v/>
      </c>
    </row>
    <row r="560" spans="1:28">
      <c r="A560" s="19">
        <v>557</v>
      </c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Q560" s="14"/>
      <c r="R560" s="7"/>
      <c r="S560" s="15" t="str">
        <f t="shared" si="32"/>
        <v/>
      </c>
      <c r="T560" s="14"/>
      <c r="U560" s="7"/>
      <c r="V560" s="15" t="str">
        <f t="shared" si="33"/>
        <v/>
      </c>
      <c r="W560" s="14"/>
      <c r="X560" s="7"/>
      <c r="Y560" s="15" t="str">
        <f t="shared" si="34"/>
        <v/>
      </c>
      <c r="Z560" s="14"/>
      <c r="AA560" s="7"/>
      <c r="AB560" s="15" t="str">
        <f t="shared" si="35"/>
        <v/>
      </c>
    </row>
    <row r="561" spans="1:28">
      <c r="A561" s="19">
        <v>558</v>
      </c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Q561" s="14"/>
      <c r="R561" s="7"/>
      <c r="S561" s="15" t="str">
        <f t="shared" si="32"/>
        <v/>
      </c>
      <c r="T561" s="14"/>
      <c r="U561" s="7"/>
      <c r="V561" s="15" t="str">
        <f t="shared" si="33"/>
        <v/>
      </c>
      <c r="W561" s="14"/>
      <c r="X561" s="7"/>
      <c r="Y561" s="15" t="str">
        <f t="shared" si="34"/>
        <v/>
      </c>
      <c r="Z561" s="14"/>
      <c r="AA561" s="7"/>
      <c r="AB561" s="15" t="str">
        <f t="shared" si="35"/>
        <v/>
      </c>
    </row>
    <row r="562" spans="1:28">
      <c r="A562" s="19">
        <v>559</v>
      </c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Q562" s="14"/>
      <c r="R562" s="7"/>
      <c r="S562" s="15" t="str">
        <f t="shared" si="32"/>
        <v/>
      </c>
      <c r="T562" s="14"/>
      <c r="U562" s="7"/>
      <c r="V562" s="15" t="str">
        <f t="shared" si="33"/>
        <v/>
      </c>
      <c r="W562" s="14"/>
      <c r="X562" s="7"/>
      <c r="Y562" s="15" t="str">
        <f t="shared" si="34"/>
        <v/>
      </c>
      <c r="Z562" s="14"/>
      <c r="AA562" s="7"/>
      <c r="AB562" s="15" t="str">
        <f t="shared" si="35"/>
        <v/>
      </c>
    </row>
    <row r="563" spans="1:28">
      <c r="A563" s="19">
        <v>560</v>
      </c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Q563" s="14"/>
      <c r="R563" s="7"/>
      <c r="S563" s="15" t="str">
        <f t="shared" si="32"/>
        <v/>
      </c>
      <c r="T563" s="14"/>
      <c r="U563" s="7"/>
      <c r="V563" s="15" t="str">
        <f t="shared" si="33"/>
        <v/>
      </c>
      <c r="W563" s="14"/>
      <c r="X563" s="7"/>
      <c r="Y563" s="15" t="str">
        <f t="shared" si="34"/>
        <v/>
      </c>
      <c r="Z563" s="14"/>
      <c r="AA563" s="7"/>
      <c r="AB563" s="15" t="str">
        <f t="shared" si="35"/>
        <v/>
      </c>
    </row>
    <row r="564" spans="1:28">
      <c r="A564" s="19">
        <v>561</v>
      </c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Q564" s="14"/>
      <c r="R564" s="7"/>
      <c r="S564" s="15" t="str">
        <f t="shared" si="32"/>
        <v/>
      </c>
      <c r="T564" s="14"/>
      <c r="U564" s="7"/>
      <c r="V564" s="15" t="str">
        <f t="shared" si="33"/>
        <v/>
      </c>
      <c r="W564" s="14"/>
      <c r="X564" s="7"/>
      <c r="Y564" s="15" t="str">
        <f t="shared" si="34"/>
        <v/>
      </c>
      <c r="Z564" s="14"/>
      <c r="AA564" s="7"/>
      <c r="AB564" s="15" t="str">
        <f t="shared" si="35"/>
        <v/>
      </c>
    </row>
    <row r="565" spans="1:28">
      <c r="A565" s="19">
        <v>562</v>
      </c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Q565" s="14"/>
      <c r="R565" s="7"/>
      <c r="S565" s="15" t="str">
        <f t="shared" si="32"/>
        <v/>
      </c>
      <c r="T565" s="14"/>
      <c r="U565" s="7"/>
      <c r="V565" s="15" t="str">
        <f t="shared" si="33"/>
        <v/>
      </c>
      <c r="W565" s="14"/>
      <c r="X565" s="7"/>
      <c r="Y565" s="15" t="str">
        <f t="shared" si="34"/>
        <v/>
      </c>
      <c r="Z565" s="14"/>
      <c r="AA565" s="7"/>
      <c r="AB565" s="15" t="str">
        <f t="shared" si="35"/>
        <v/>
      </c>
    </row>
    <row r="566" spans="1:28">
      <c r="A566" s="19">
        <v>563</v>
      </c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Q566" s="14"/>
      <c r="R566" s="7"/>
      <c r="S566" s="15" t="str">
        <f t="shared" si="32"/>
        <v/>
      </c>
      <c r="T566" s="14"/>
      <c r="U566" s="7"/>
      <c r="V566" s="15" t="str">
        <f t="shared" si="33"/>
        <v/>
      </c>
      <c r="W566" s="14"/>
      <c r="X566" s="7"/>
      <c r="Y566" s="15" t="str">
        <f t="shared" si="34"/>
        <v/>
      </c>
      <c r="Z566" s="14"/>
      <c r="AA566" s="7"/>
      <c r="AB566" s="15" t="str">
        <f t="shared" si="35"/>
        <v/>
      </c>
    </row>
    <row r="567" spans="1:28">
      <c r="A567" s="19">
        <v>564</v>
      </c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Q567" s="14"/>
      <c r="R567" s="7"/>
      <c r="S567" s="15" t="str">
        <f t="shared" si="32"/>
        <v/>
      </c>
      <c r="T567" s="14"/>
      <c r="U567" s="7"/>
      <c r="V567" s="15" t="str">
        <f t="shared" si="33"/>
        <v/>
      </c>
      <c r="W567" s="14"/>
      <c r="X567" s="7"/>
      <c r="Y567" s="15" t="str">
        <f t="shared" si="34"/>
        <v/>
      </c>
      <c r="Z567" s="14"/>
      <c r="AA567" s="7"/>
      <c r="AB567" s="15" t="str">
        <f t="shared" si="35"/>
        <v/>
      </c>
    </row>
    <row r="568" spans="1:28">
      <c r="A568" s="19">
        <v>565</v>
      </c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Q568" s="14"/>
      <c r="R568" s="7"/>
      <c r="S568" s="15" t="str">
        <f t="shared" si="32"/>
        <v/>
      </c>
      <c r="T568" s="14"/>
      <c r="U568" s="7"/>
      <c r="V568" s="15" t="str">
        <f t="shared" si="33"/>
        <v/>
      </c>
      <c r="W568" s="14"/>
      <c r="X568" s="7"/>
      <c r="Y568" s="15" t="str">
        <f t="shared" si="34"/>
        <v/>
      </c>
      <c r="Z568" s="14"/>
      <c r="AA568" s="7"/>
      <c r="AB568" s="15" t="str">
        <f t="shared" si="35"/>
        <v/>
      </c>
    </row>
    <row r="569" spans="1:28">
      <c r="A569" s="19">
        <v>566</v>
      </c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Q569" s="14"/>
      <c r="R569" s="7"/>
      <c r="S569" s="15" t="str">
        <f t="shared" si="32"/>
        <v/>
      </c>
      <c r="T569" s="14"/>
      <c r="U569" s="7"/>
      <c r="V569" s="15" t="str">
        <f t="shared" si="33"/>
        <v/>
      </c>
      <c r="W569" s="14"/>
      <c r="X569" s="7"/>
      <c r="Y569" s="15" t="str">
        <f t="shared" si="34"/>
        <v/>
      </c>
      <c r="Z569" s="14"/>
      <c r="AA569" s="7"/>
      <c r="AB569" s="15" t="str">
        <f t="shared" si="35"/>
        <v/>
      </c>
    </row>
    <row r="570" spans="1:28">
      <c r="A570" s="19">
        <v>567</v>
      </c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Q570" s="14"/>
      <c r="R570" s="7"/>
      <c r="S570" s="15" t="str">
        <f t="shared" si="32"/>
        <v/>
      </c>
      <c r="T570" s="14"/>
      <c r="U570" s="7"/>
      <c r="V570" s="15" t="str">
        <f t="shared" si="33"/>
        <v/>
      </c>
      <c r="W570" s="14"/>
      <c r="X570" s="7"/>
      <c r="Y570" s="15" t="str">
        <f t="shared" si="34"/>
        <v/>
      </c>
      <c r="Z570" s="14"/>
      <c r="AA570" s="7"/>
      <c r="AB570" s="15" t="str">
        <f t="shared" si="35"/>
        <v/>
      </c>
    </row>
    <row r="571" spans="1:28">
      <c r="A571" s="19">
        <v>568</v>
      </c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Q571" s="14"/>
      <c r="R571" s="7"/>
      <c r="S571" s="15" t="str">
        <f t="shared" si="32"/>
        <v/>
      </c>
      <c r="T571" s="14"/>
      <c r="U571" s="7"/>
      <c r="V571" s="15" t="str">
        <f t="shared" si="33"/>
        <v/>
      </c>
      <c r="W571" s="14"/>
      <c r="X571" s="7"/>
      <c r="Y571" s="15" t="str">
        <f t="shared" si="34"/>
        <v/>
      </c>
      <c r="Z571" s="14"/>
      <c r="AA571" s="7"/>
      <c r="AB571" s="15" t="str">
        <f t="shared" si="35"/>
        <v/>
      </c>
    </row>
    <row r="572" spans="1:28">
      <c r="A572" s="19">
        <v>569</v>
      </c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Q572" s="14"/>
      <c r="R572" s="7"/>
      <c r="S572" s="15" t="str">
        <f t="shared" si="32"/>
        <v/>
      </c>
      <c r="T572" s="14"/>
      <c r="U572" s="7"/>
      <c r="V572" s="15" t="str">
        <f t="shared" si="33"/>
        <v/>
      </c>
      <c r="W572" s="14"/>
      <c r="X572" s="7"/>
      <c r="Y572" s="15" t="str">
        <f t="shared" si="34"/>
        <v/>
      </c>
      <c r="Z572" s="14"/>
      <c r="AA572" s="7"/>
      <c r="AB572" s="15" t="str">
        <f t="shared" si="35"/>
        <v/>
      </c>
    </row>
    <row r="573" spans="1:28">
      <c r="A573" s="19">
        <v>570</v>
      </c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Q573" s="14"/>
      <c r="R573" s="7"/>
      <c r="S573" s="15" t="str">
        <f t="shared" si="32"/>
        <v/>
      </c>
      <c r="T573" s="14"/>
      <c r="U573" s="7"/>
      <c r="V573" s="15" t="str">
        <f t="shared" si="33"/>
        <v/>
      </c>
      <c r="W573" s="14"/>
      <c r="X573" s="7"/>
      <c r="Y573" s="15" t="str">
        <f t="shared" si="34"/>
        <v/>
      </c>
      <c r="Z573" s="14"/>
      <c r="AA573" s="7"/>
      <c r="AB573" s="15" t="str">
        <f t="shared" si="35"/>
        <v/>
      </c>
    </row>
    <row r="574" spans="1:28">
      <c r="A574" s="19">
        <v>571</v>
      </c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Q574" s="14"/>
      <c r="R574" s="7"/>
      <c r="S574" s="15" t="str">
        <f t="shared" si="32"/>
        <v/>
      </c>
      <c r="T574" s="14"/>
      <c r="U574" s="7"/>
      <c r="V574" s="15" t="str">
        <f t="shared" si="33"/>
        <v/>
      </c>
      <c r="W574" s="14"/>
      <c r="X574" s="7"/>
      <c r="Y574" s="15" t="str">
        <f t="shared" si="34"/>
        <v/>
      </c>
      <c r="Z574" s="14"/>
      <c r="AA574" s="7"/>
      <c r="AB574" s="15" t="str">
        <f t="shared" si="35"/>
        <v/>
      </c>
    </row>
    <row r="575" spans="1:28">
      <c r="A575" s="19">
        <v>572</v>
      </c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Q575" s="14"/>
      <c r="R575" s="7"/>
      <c r="S575" s="15" t="str">
        <f t="shared" si="32"/>
        <v/>
      </c>
      <c r="T575" s="14"/>
      <c r="U575" s="7"/>
      <c r="V575" s="15" t="str">
        <f t="shared" si="33"/>
        <v/>
      </c>
      <c r="W575" s="14"/>
      <c r="X575" s="7"/>
      <c r="Y575" s="15" t="str">
        <f t="shared" si="34"/>
        <v/>
      </c>
      <c r="Z575" s="14"/>
      <c r="AA575" s="7"/>
      <c r="AB575" s="15" t="str">
        <f t="shared" si="35"/>
        <v/>
      </c>
    </row>
    <row r="576" spans="1:28">
      <c r="A576" s="19">
        <v>573</v>
      </c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Q576" s="14"/>
      <c r="R576" s="7"/>
      <c r="S576" s="15" t="str">
        <f t="shared" si="32"/>
        <v/>
      </c>
      <c r="T576" s="14"/>
      <c r="U576" s="7"/>
      <c r="V576" s="15" t="str">
        <f t="shared" si="33"/>
        <v/>
      </c>
      <c r="W576" s="14"/>
      <c r="X576" s="7"/>
      <c r="Y576" s="15" t="str">
        <f t="shared" si="34"/>
        <v/>
      </c>
      <c r="Z576" s="14"/>
      <c r="AA576" s="7"/>
      <c r="AB576" s="15" t="str">
        <f t="shared" si="35"/>
        <v/>
      </c>
    </row>
    <row r="577" spans="1:28">
      <c r="A577" s="19">
        <v>574</v>
      </c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Q577" s="14"/>
      <c r="R577" s="7"/>
      <c r="S577" s="15" t="str">
        <f t="shared" si="32"/>
        <v/>
      </c>
      <c r="T577" s="14"/>
      <c r="U577" s="7"/>
      <c r="V577" s="15" t="str">
        <f t="shared" si="33"/>
        <v/>
      </c>
      <c r="W577" s="14"/>
      <c r="X577" s="7"/>
      <c r="Y577" s="15" t="str">
        <f t="shared" si="34"/>
        <v/>
      </c>
      <c r="Z577" s="14"/>
      <c r="AA577" s="7"/>
      <c r="AB577" s="15" t="str">
        <f t="shared" si="35"/>
        <v/>
      </c>
    </row>
    <row r="578" spans="1:28">
      <c r="A578" s="19">
        <v>575</v>
      </c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Q578" s="14"/>
      <c r="R578" s="7"/>
      <c r="S578" s="15" t="str">
        <f t="shared" si="32"/>
        <v/>
      </c>
      <c r="T578" s="14"/>
      <c r="U578" s="7"/>
      <c r="V578" s="15" t="str">
        <f t="shared" si="33"/>
        <v/>
      </c>
      <c r="W578" s="14"/>
      <c r="X578" s="7"/>
      <c r="Y578" s="15" t="str">
        <f t="shared" si="34"/>
        <v/>
      </c>
      <c r="Z578" s="14"/>
      <c r="AA578" s="7"/>
      <c r="AB578" s="15" t="str">
        <f t="shared" si="35"/>
        <v/>
      </c>
    </row>
    <row r="579" spans="1:28">
      <c r="A579" s="19">
        <v>576</v>
      </c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Q579" s="14"/>
      <c r="R579" s="7"/>
      <c r="S579" s="15" t="str">
        <f t="shared" si="32"/>
        <v/>
      </c>
      <c r="T579" s="14"/>
      <c r="U579" s="7"/>
      <c r="V579" s="15" t="str">
        <f t="shared" si="33"/>
        <v/>
      </c>
      <c r="W579" s="14"/>
      <c r="X579" s="7"/>
      <c r="Y579" s="15" t="str">
        <f t="shared" si="34"/>
        <v/>
      </c>
      <c r="Z579" s="14"/>
      <c r="AA579" s="7"/>
      <c r="AB579" s="15" t="str">
        <f t="shared" si="35"/>
        <v/>
      </c>
    </row>
    <row r="580" spans="1:28">
      <c r="A580" s="19">
        <v>577</v>
      </c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Q580" s="14"/>
      <c r="R580" s="7"/>
      <c r="S580" s="15" t="str">
        <f t="shared" si="32"/>
        <v/>
      </c>
      <c r="T580" s="14"/>
      <c r="U580" s="7"/>
      <c r="V580" s="15" t="str">
        <f t="shared" si="33"/>
        <v/>
      </c>
      <c r="W580" s="14"/>
      <c r="X580" s="7"/>
      <c r="Y580" s="15" t="str">
        <f t="shared" si="34"/>
        <v/>
      </c>
      <c r="Z580" s="14"/>
      <c r="AA580" s="7"/>
      <c r="AB580" s="15" t="str">
        <f t="shared" si="35"/>
        <v/>
      </c>
    </row>
    <row r="581" spans="1:28">
      <c r="A581" s="19">
        <v>578</v>
      </c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Q581" s="14"/>
      <c r="R581" s="7"/>
      <c r="S581" s="15" t="str">
        <f t="shared" ref="S581:S644" si="36">IF(OR($H581="",Q581=""),"",Q581+(R581/$H581))</f>
        <v/>
      </c>
      <c r="T581" s="14"/>
      <c r="U581" s="7"/>
      <c r="V581" s="15" t="str">
        <f t="shared" ref="V581:V644" si="37">IF(OR($H581="",T581=""),"",T581+(U581/$H581))</f>
        <v/>
      </c>
      <c r="W581" s="14"/>
      <c r="X581" s="7"/>
      <c r="Y581" s="15" t="str">
        <f t="shared" ref="Y581:Y644" si="38">IF(OR($H581="",W581=""),"",W581+(X581/$H581))</f>
        <v/>
      </c>
      <c r="Z581" s="14"/>
      <c r="AA581" s="7"/>
      <c r="AB581" s="15" t="str">
        <f t="shared" ref="AB581:AB644" si="39">IF(OR($H581="",Z581=""),"",Z581+(AA581/$H581))</f>
        <v/>
      </c>
    </row>
    <row r="582" spans="1:28">
      <c r="A582" s="19">
        <v>579</v>
      </c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Q582" s="14"/>
      <c r="R582" s="7"/>
      <c r="S582" s="15" t="str">
        <f t="shared" si="36"/>
        <v/>
      </c>
      <c r="T582" s="14"/>
      <c r="U582" s="7"/>
      <c r="V582" s="15" t="str">
        <f t="shared" si="37"/>
        <v/>
      </c>
      <c r="W582" s="14"/>
      <c r="X582" s="7"/>
      <c r="Y582" s="15" t="str">
        <f t="shared" si="38"/>
        <v/>
      </c>
      <c r="Z582" s="14"/>
      <c r="AA582" s="7"/>
      <c r="AB582" s="15" t="str">
        <f t="shared" si="39"/>
        <v/>
      </c>
    </row>
    <row r="583" spans="1:28">
      <c r="A583" s="19">
        <v>580</v>
      </c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Q583" s="14"/>
      <c r="R583" s="7"/>
      <c r="S583" s="15" t="str">
        <f t="shared" si="36"/>
        <v/>
      </c>
      <c r="T583" s="14"/>
      <c r="U583" s="7"/>
      <c r="V583" s="15" t="str">
        <f t="shared" si="37"/>
        <v/>
      </c>
      <c r="W583" s="14"/>
      <c r="X583" s="7"/>
      <c r="Y583" s="15" t="str">
        <f t="shared" si="38"/>
        <v/>
      </c>
      <c r="Z583" s="14"/>
      <c r="AA583" s="7"/>
      <c r="AB583" s="15" t="str">
        <f t="shared" si="39"/>
        <v/>
      </c>
    </row>
    <row r="584" spans="1:28">
      <c r="A584" s="19">
        <v>581</v>
      </c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Q584" s="14"/>
      <c r="R584" s="7"/>
      <c r="S584" s="15" t="str">
        <f t="shared" si="36"/>
        <v/>
      </c>
      <c r="T584" s="14"/>
      <c r="U584" s="7"/>
      <c r="V584" s="15" t="str">
        <f t="shared" si="37"/>
        <v/>
      </c>
      <c r="W584" s="14"/>
      <c r="X584" s="7"/>
      <c r="Y584" s="15" t="str">
        <f t="shared" si="38"/>
        <v/>
      </c>
      <c r="Z584" s="14"/>
      <c r="AA584" s="7"/>
      <c r="AB584" s="15" t="str">
        <f t="shared" si="39"/>
        <v/>
      </c>
    </row>
    <row r="585" spans="1:28">
      <c r="A585" s="19">
        <v>582</v>
      </c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Q585" s="14"/>
      <c r="R585" s="7"/>
      <c r="S585" s="15" t="str">
        <f t="shared" si="36"/>
        <v/>
      </c>
      <c r="T585" s="14"/>
      <c r="U585" s="7"/>
      <c r="V585" s="15" t="str">
        <f t="shared" si="37"/>
        <v/>
      </c>
      <c r="W585" s="14"/>
      <c r="X585" s="7"/>
      <c r="Y585" s="15" t="str">
        <f t="shared" si="38"/>
        <v/>
      </c>
      <c r="Z585" s="14"/>
      <c r="AA585" s="7"/>
      <c r="AB585" s="15" t="str">
        <f t="shared" si="39"/>
        <v/>
      </c>
    </row>
    <row r="586" spans="1:28">
      <c r="A586" s="19">
        <v>583</v>
      </c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Q586" s="14"/>
      <c r="R586" s="7"/>
      <c r="S586" s="15" t="str">
        <f t="shared" si="36"/>
        <v/>
      </c>
      <c r="T586" s="14"/>
      <c r="U586" s="7"/>
      <c r="V586" s="15" t="str">
        <f t="shared" si="37"/>
        <v/>
      </c>
      <c r="W586" s="14"/>
      <c r="X586" s="7"/>
      <c r="Y586" s="15" t="str">
        <f t="shared" si="38"/>
        <v/>
      </c>
      <c r="Z586" s="14"/>
      <c r="AA586" s="7"/>
      <c r="AB586" s="15" t="str">
        <f t="shared" si="39"/>
        <v/>
      </c>
    </row>
    <row r="587" spans="1:28">
      <c r="A587" s="19">
        <v>584</v>
      </c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Q587" s="14"/>
      <c r="R587" s="7"/>
      <c r="S587" s="15" t="str">
        <f t="shared" si="36"/>
        <v/>
      </c>
      <c r="T587" s="14"/>
      <c r="U587" s="7"/>
      <c r="V587" s="15" t="str">
        <f t="shared" si="37"/>
        <v/>
      </c>
      <c r="W587" s="14"/>
      <c r="X587" s="7"/>
      <c r="Y587" s="15" t="str">
        <f t="shared" si="38"/>
        <v/>
      </c>
      <c r="Z587" s="14"/>
      <c r="AA587" s="7"/>
      <c r="AB587" s="15" t="str">
        <f t="shared" si="39"/>
        <v/>
      </c>
    </row>
    <row r="588" spans="1:28">
      <c r="A588" s="19">
        <v>585</v>
      </c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Q588" s="14"/>
      <c r="R588" s="7"/>
      <c r="S588" s="15" t="str">
        <f t="shared" si="36"/>
        <v/>
      </c>
      <c r="T588" s="14"/>
      <c r="U588" s="7"/>
      <c r="V588" s="15" t="str">
        <f t="shared" si="37"/>
        <v/>
      </c>
      <c r="W588" s="14"/>
      <c r="X588" s="7"/>
      <c r="Y588" s="15" t="str">
        <f t="shared" si="38"/>
        <v/>
      </c>
      <c r="Z588" s="14"/>
      <c r="AA588" s="7"/>
      <c r="AB588" s="15" t="str">
        <f t="shared" si="39"/>
        <v/>
      </c>
    </row>
    <row r="589" spans="1:28">
      <c r="A589" s="19">
        <v>586</v>
      </c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Q589" s="14"/>
      <c r="R589" s="7"/>
      <c r="S589" s="15" t="str">
        <f t="shared" si="36"/>
        <v/>
      </c>
      <c r="T589" s="14"/>
      <c r="U589" s="7"/>
      <c r="V589" s="15" t="str">
        <f t="shared" si="37"/>
        <v/>
      </c>
      <c r="W589" s="14"/>
      <c r="X589" s="7"/>
      <c r="Y589" s="15" t="str">
        <f t="shared" si="38"/>
        <v/>
      </c>
      <c r="Z589" s="14"/>
      <c r="AA589" s="7"/>
      <c r="AB589" s="15" t="str">
        <f t="shared" si="39"/>
        <v/>
      </c>
    </row>
    <row r="590" spans="1:28">
      <c r="A590" s="19">
        <v>587</v>
      </c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Q590" s="14"/>
      <c r="R590" s="7"/>
      <c r="S590" s="15" t="str">
        <f t="shared" si="36"/>
        <v/>
      </c>
      <c r="T590" s="14"/>
      <c r="U590" s="7"/>
      <c r="V590" s="15" t="str">
        <f t="shared" si="37"/>
        <v/>
      </c>
      <c r="W590" s="14"/>
      <c r="X590" s="7"/>
      <c r="Y590" s="15" t="str">
        <f t="shared" si="38"/>
        <v/>
      </c>
      <c r="Z590" s="14"/>
      <c r="AA590" s="7"/>
      <c r="AB590" s="15" t="str">
        <f t="shared" si="39"/>
        <v/>
      </c>
    </row>
    <row r="591" spans="1:28">
      <c r="A591" s="19">
        <v>588</v>
      </c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Q591" s="14"/>
      <c r="R591" s="7"/>
      <c r="S591" s="15" t="str">
        <f t="shared" si="36"/>
        <v/>
      </c>
      <c r="T591" s="14"/>
      <c r="U591" s="7"/>
      <c r="V591" s="15" t="str">
        <f t="shared" si="37"/>
        <v/>
      </c>
      <c r="W591" s="14"/>
      <c r="X591" s="7"/>
      <c r="Y591" s="15" t="str">
        <f t="shared" si="38"/>
        <v/>
      </c>
      <c r="Z591" s="14"/>
      <c r="AA591" s="7"/>
      <c r="AB591" s="15" t="str">
        <f t="shared" si="39"/>
        <v/>
      </c>
    </row>
    <row r="592" spans="1:28">
      <c r="A592" s="19">
        <v>589</v>
      </c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Q592" s="14"/>
      <c r="R592" s="7"/>
      <c r="S592" s="15" t="str">
        <f t="shared" si="36"/>
        <v/>
      </c>
      <c r="T592" s="14"/>
      <c r="U592" s="7"/>
      <c r="V592" s="15" t="str">
        <f t="shared" si="37"/>
        <v/>
      </c>
      <c r="W592" s="14"/>
      <c r="X592" s="7"/>
      <c r="Y592" s="15" t="str">
        <f t="shared" si="38"/>
        <v/>
      </c>
      <c r="Z592" s="14"/>
      <c r="AA592" s="7"/>
      <c r="AB592" s="15" t="str">
        <f t="shared" si="39"/>
        <v/>
      </c>
    </row>
    <row r="593" spans="1:28">
      <c r="A593" s="19">
        <v>590</v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Q593" s="14"/>
      <c r="R593" s="7"/>
      <c r="S593" s="15" t="str">
        <f t="shared" si="36"/>
        <v/>
      </c>
      <c r="T593" s="14"/>
      <c r="U593" s="7"/>
      <c r="V593" s="15" t="str">
        <f t="shared" si="37"/>
        <v/>
      </c>
      <c r="W593" s="14"/>
      <c r="X593" s="7"/>
      <c r="Y593" s="15" t="str">
        <f t="shared" si="38"/>
        <v/>
      </c>
      <c r="Z593" s="14"/>
      <c r="AA593" s="7"/>
      <c r="AB593" s="15" t="str">
        <f t="shared" si="39"/>
        <v/>
      </c>
    </row>
    <row r="594" spans="1:28">
      <c r="A594" s="19">
        <v>591</v>
      </c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Q594" s="14"/>
      <c r="R594" s="7"/>
      <c r="S594" s="15" t="str">
        <f t="shared" si="36"/>
        <v/>
      </c>
      <c r="T594" s="14"/>
      <c r="U594" s="7"/>
      <c r="V594" s="15" t="str">
        <f t="shared" si="37"/>
        <v/>
      </c>
      <c r="W594" s="14"/>
      <c r="X594" s="7"/>
      <c r="Y594" s="15" t="str">
        <f t="shared" si="38"/>
        <v/>
      </c>
      <c r="Z594" s="14"/>
      <c r="AA594" s="7"/>
      <c r="AB594" s="15" t="str">
        <f t="shared" si="39"/>
        <v/>
      </c>
    </row>
    <row r="595" spans="1:28">
      <c r="A595" s="19">
        <v>592</v>
      </c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Q595" s="14"/>
      <c r="R595" s="7"/>
      <c r="S595" s="15" t="str">
        <f t="shared" si="36"/>
        <v/>
      </c>
      <c r="T595" s="14"/>
      <c r="U595" s="7"/>
      <c r="V595" s="15" t="str">
        <f t="shared" si="37"/>
        <v/>
      </c>
      <c r="W595" s="14"/>
      <c r="X595" s="7"/>
      <c r="Y595" s="15" t="str">
        <f t="shared" si="38"/>
        <v/>
      </c>
      <c r="Z595" s="14"/>
      <c r="AA595" s="7"/>
      <c r="AB595" s="15" t="str">
        <f t="shared" si="39"/>
        <v/>
      </c>
    </row>
    <row r="596" spans="1:28">
      <c r="A596" s="19">
        <v>593</v>
      </c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Q596" s="14"/>
      <c r="R596" s="7"/>
      <c r="S596" s="15" t="str">
        <f t="shared" si="36"/>
        <v/>
      </c>
      <c r="T596" s="14"/>
      <c r="U596" s="7"/>
      <c r="V596" s="15" t="str">
        <f t="shared" si="37"/>
        <v/>
      </c>
      <c r="W596" s="14"/>
      <c r="X596" s="7"/>
      <c r="Y596" s="15" t="str">
        <f t="shared" si="38"/>
        <v/>
      </c>
      <c r="Z596" s="14"/>
      <c r="AA596" s="7"/>
      <c r="AB596" s="15" t="str">
        <f t="shared" si="39"/>
        <v/>
      </c>
    </row>
    <row r="597" spans="1:28">
      <c r="A597" s="19">
        <v>594</v>
      </c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Q597" s="14"/>
      <c r="R597" s="7"/>
      <c r="S597" s="15" t="str">
        <f t="shared" si="36"/>
        <v/>
      </c>
      <c r="T597" s="14"/>
      <c r="U597" s="7"/>
      <c r="V597" s="15" t="str">
        <f t="shared" si="37"/>
        <v/>
      </c>
      <c r="W597" s="14"/>
      <c r="X597" s="7"/>
      <c r="Y597" s="15" t="str">
        <f t="shared" si="38"/>
        <v/>
      </c>
      <c r="Z597" s="14"/>
      <c r="AA597" s="7"/>
      <c r="AB597" s="15" t="str">
        <f t="shared" si="39"/>
        <v/>
      </c>
    </row>
    <row r="598" spans="1:28">
      <c r="A598" s="19">
        <v>595</v>
      </c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Q598" s="14"/>
      <c r="R598" s="7"/>
      <c r="S598" s="15" t="str">
        <f t="shared" si="36"/>
        <v/>
      </c>
      <c r="T598" s="14"/>
      <c r="U598" s="7"/>
      <c r="V598" s="15" t="str">
        <f t="shared" si="37"/>
        <v/>
      </c>
      <c r="W598" s="14"/>
      <c r="X598" s="7"/>
      <c r="Y598" s="15" t="str">
        <f t="shared" si="38"/>
        <v/>
      </c>
      <c r="Z598" s="14"/>
      <c r="AA598" s="7"/>
      <c r="AB598" s="15" t="str">
        <f t="shared" si="39"/>
        <v/>
      </c>
    </row>
    <row r="599" spans="1:28">
      <c r="A599" s="19">
        <v>596</v>
      </c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Q599" s="14"/>
      <c r="R599" s="7"/>
      <c r="S599" s="15" t="str">
        <f t="shared" si="36"/>
        <v/>
      </c>
      <c r="T599" s="14"/>
      <c r="U599" s="7"/>
      <c r="V599" s="15" t="str">
        <f t="shared" si="37"/>
        <v/>
      </c>
      <c r="W599" s="14"/>
      <c r="X599" s="7"/>
      <c r="Y599" s="15" t="str">
        <f t="shared" si="38"/>
        <v/>
      </c>
      <c r="Z599" s="14"/>
      <c r="AA599" s="7"/>
      <c r="AB599" s="15" t="str">
        <f t="shared" si="39"/>
        <v/>
      </c>
    </row>
    <row r="600" spans="1:28">
      <c r="A600" s="19">
        <v>597</v>
      </c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Q600" s="14"/>
      <c r="R600" s="7"/>
      <c r="S600" s="15" t="str">
        <f t="shared" si="36"/>
        <v/>
      </c>
      <c r="T600" s="14"/>
      <c r="U600" s="7"/>
      <c r="V600" s="15" t="str">
        <f t="shared" si="37"/>
        <v/>
      </c>
      <c r="W600" s="14"/>
      <c r="X600" s="7"/>
      <c r="Y600" s="15" t="str">
        <f t="shared" si="38"/>
        <v/>
      </c>
      <c r="Z600" s="14"/>
      <c r="AA600" s="7"/>
      <c r="AB600" s="15" t="str">
        <f t="shared" si="39"/>
        <v/>
      </c>
    </row>
    <row r="601" spans="1:28">
      <c r="A601" s="19">
        <v>598</v>
      </c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Q601" s="14"/>
      <c r="R601" s="7"/>
      <c r="S601" s="15" t="str">
        <f t="shared" si="36"/>
        <v/>
      </c>
      <c r="T601" s="14"/>
      <c r="U601" s="7"/>
      <c r="V601" s="15" t="str">
        <f t="shared" si="37"/>
        <v/>
      </c>
      <c r="W601" s="14"/>
      <c r="X601" s="7"/>
      <c r="Y601" s="15" t="str">
        <f t="shared" si="38"/>
        <v/>
      </c>
      <c r="Z601" s="14"/>
      <c r="AA601" s="7"/>
      <c r="AB601" s="15" t="str">
        <f t="shared" si="39"/>
        <v/>
      </c>
    </row>
    <row r="602" spans="1:28">
      <c r="A602" s="19">
        <v>599</v>
      </c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Q602" s="14"/>
      <c r="R602" s="7"/>
      <c r="S602" s="15" t="str">
        <f t="shared" si="36"/>
        <v/>
      </c>
      <c r="T602" s="14"/>
      <c r="U602" s="7"/>
      <c r="V602" s="15" t="str">
        <f t="shared" si="37"/>
        <v/>
      </c>
      <c r="W602" s="14"/>
      <c r="X602" s="7"/>
      <c r="Y602" s="15" t="str">
        <f t="shared" si="38"/>
        <v/>
      </c>
      <c r="Z602" s="14"/>
      <c r="AA602" s="7"/>
      <c r="AB602" s="15" t="str">
        <f t="shared" si="39"/>
        <v/>
      </c>
    </row>
    <row r="603" spans="1:28">
      <c r="A603" s="19">
        <v>600</v>
      </c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Q603" s="14"/>
      <c r="R603" s="7"/>
      <c r="S603" s="15" t="str">
        <f t="shared" si="36"/>
        <v/>
      </c>
      <c r="T603" s="14"/>
      <c r="U603" s="7"/>
      <c r="V603" s="15" t="str">
        <f t="shared" si="37"/>
        <v/>
      </c>
      <c r="W603" s="14"/>
      <c r="X603" s="7"/>
      <c r="Y603" s="15" t="str">
        <f t="shared" si="38"/>
        <v/>
      </c>
      <c r="Z603" s="14"/>
      <c r="AA603" s="7"/>
      <c r="AB603" s="15" t="str">
        <f t="shared" si="39"/>
        <v/>
      </c>
    </row>
    <row r="604" spans="1:28">
      <c r="A604" s="19">
        <v>601</v>
      </c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Q604" s="14"/>
      <c r="R604" s="7"/>
      <c r="S604" s="15" t="str">
        <f t="shared" si="36"/>
        <v/>
      </c>
      <c r="T604" s="14"/>
      <c r="U604" s="7"/>
      <c r="V604" s="15" t="str">
        <f t="shared" si="37"/>
        <v/>
      </c>
      <c r="W604" s="14"/>
      <c r="X604" s="7"/>
      <c r="Y604" s="15" t="str">
        <f t="shared" si="38"/>
        <v/>
      </c>
      <c r="Z604" s="14"/>
      <c r="AA604" s="7"/>
      <c r="AB604" s="15" t="str">
        <f t="shared" si="39"/>
        <v/>
      </c>
    </row>
    <row r="605" spans="1:28">
      <c r="A605" s="19">
        <v>602</v>
      </c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Q605" s="14"/>
      <c r="R605" s="7"/>
      <c r="S605" s="15" t="str">
        <f t="shared" si="36"/>
        <v/>
      </c>
      <c r="T605" s="14"/>
      <c r="U605" s="7"/>
      <c r="V605" s="15" t="str">
        <f t="shared" si="37"/>
        <v/>
      </c>
      <c r="W605" s="14"/>
      <c r="X605" s="7"/>
      <c r="Y605" s="15" t="str">
        <f t="shared" si="38"/>
        <v/>
      </c>
      <c r="Z605" s="14"/>
      <c r="AA605" s="7"/>
      <c r="AB605" s="15" t="str">
        <f t="shared" si="39"/>
        <v/>
      </c>
    </row>
    <row r="606" spans="1:28">
      <c r="A606" s="19">
        <v>603</v>
      </c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Q606" s="14"/>
      <c r="R606" s="7"/>
      <c r="S606" s="15" t="str">
        <f t="shared" si="36"/>
        <v/>
      </c>
      <c r="T606" s="14"/>
      <c r="U606" s="7"/>
      <c r="V606" s="15" t="str">
        <f t="shared" si="37"/>
        <v/>
      </c>
      <c r="W606" s="14"/>
      <c r="X606" s="7"/>
      <c r="Y606" s="15" t="str">
        <f t="shared" si="38"/>
        <v/>
      </c>
      <c r="Z606" s="14"/>
      <c r="AA606" s="7"/>
      <c r="AB606" s="15" t="str">
        <f t="shared" si="39"/>
        <v/>
      </c>
    </row>
    <row r="607" spans="1:28">
      <c r="A607" s="19">
        <v>604</v>
      </c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Q607" s="14"/>
      <c r="R607" s="7"/>
      <c r="S607" s="15" t="str">
        <f t="shared" si="36"/>
        <v/>
      </c>
      <c r="T607" s="14"/>
      <c r="U607" s="7"/>
      <c r="V607" s="15" t="str">
        <f t="shared" si="37"/>
        <v/>
      </c>
      <c r="W607" s="14"/>
      <c r="X607" s="7"/>
      <c r="Y607" s="15" t="str">
        <f t="shared" si="38"/>
        <v/>
      </c>
      <c r="Z607" s="14"/>
      <c r="AA607" s="7"/>
      <c r="AB607" s="15" t="str">
        <f t="shared" si="39"/>
        <v/>
      </c>
    </row>
    <row r="608" spans="1:28">
      <c r="A608" s="19">
        <v>605</v>
      </c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Q608" s="14"/>
      <c r="R608" s="7"/>
      <c r="S608" s="15" t="str">
        <f t="shared" si="36"/>
        <v/>
      </c>
      <c r="T608" s="14"/>
      <c r="U608" s="7"/>
      <c r="V608" s="15" t="str">
        <f t="shared" si="37"/>
        <v/>
      </c>
      <c r="W608" s="14"/>
      <c r="X608" s="7"/>
      <c r="Y608" s="15" t="str">
        <f t="shared" si="38"/>
        <v/>
      </c>
      <c r="Z608" s="14"/>
      <c r="AA608" s="7"/>
      <c r="AB608" s="15" t="str">
        <f t="shared" si="39"/>
        <v/>
      </c>
    </row>
    <row r="609" spans="1:28">
      <c r="A609" s="19">
        <v>606</v>
      </c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Q609" s="14"/>
      <c r="R609" s="7"/>
      <c r="S609" s="15" t="str">
        <f t="shared" si="36"/>
        <v/>
      </c>
      <c r="T609" s="14"/>
      <c r="U609" s="7"/>
      <c r="V609" s="15" t="str">
        <f t="shared" si="37"/>
        <v/>
      </c>
      <c r="W609" s="14"/>
      <c r="X609" s="7"/>
      <c r="Y609" s="15" t="str">
        <f t="shared" si="38"/>
        <v/>
      </c>
      <c r="Z609" s="14"/>
      <c r="AA609" s="7"/>
      <c r="AB609" s="15" t="str">
        <f t="shared" si="39"/>
        <v/>
      </c>
    </row>
    <row r="610" spans="1:28">
      <c r="A610" s="19">
        <v>607</v>
      </c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Q610" s="14"/>
      <c r="R610" s="7"/>
      <c r="S610" s="15" t="str">
        <f t="shared" si="36"/>
        <v/>
      </c>
      <c r="T610" s="14"/>
      <c r="U610" s="7"/>
      <c r="V610" s="15" t="str">
        <f t="shared" si="37"/>
        <v/>
      </c>
      <c r="W610" s="14"/>
      <c r="X610" s="7"/>
      <c r="Y610" s="15" t="str">
        <f t="shared" si="38"/>
        <v/>
      </c>
      <c r="Z610" s="14"/>
      <c r="AA610" s="7"/>
      <c r="AB610" s="15" t="str">
        <f t="shared" si="39"/>
        <v/>
      </c>
    </row>
    <row r="611" spans="1:28">
      <c r="A611" s="19">
        <v>608</v>
      </c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Q611" s="14"/>
      <c r="R611" s="7"/>
      <c r="S611" s="15" t="str">
        <f t="shared" si="36"/>
        <v/>
      </c>
      <c r="T611" s="14"/>
      <c r="U611" s="7"/>
      <c r="V611" s="15" t="str">
        <f t="shared" si="37"/>
        <v/>
      </c>
      <c r="W611" s="14"/>
      <c r="X611" s="7"/>
      <c r="Y611" s="15" t="str">
        <f t="shared" si="38"/>
        <v/>
      </c>
      <c r="Z611" s="14"/>
      <c r="AA611" s="7"/>
      <c r="AB611" s="15" t="str">
        <f t="shared" si="39"/>
        <v/>
      </c>
    </row>
    <row r="612" spans="1:28">
      <c r="A612" s="19">
        <v>609</v>
      </c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Q612" s="14"/>
      <c r="R612" s="7"/>
      <c r="S612" s="15" t="str">
        <f t="shared" si="36"/>
        <v/>
      </c>
      <c r="T612" s="14"/>
      <c r="U612" s="7"/>
      <c r="V612" s="15" t="str">
        <f t="shared" si="37"/>
        <v/>
      </c>
      <c r="W612" s="14"/>
      <c r="X612" s="7"/>
      <c r="Y612" s="15" t="str">
        <f t="shared" si="38"/>
        <v/>
      </c>
      <c r="Z612" s="14"/>
      <c r="AA612" s="7"/>
      <c r="AB612" s="15" t="str">
        <f t="shared" si="39"/>
        <v/>
      </c>
    </row>
    <row r="613" spans="1:28">
      <c r="A613" s="19">
        <v>610</v>
      </c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Q613" s="14"/>
      <c r="R613" s="7"/>
      <c r="S613" s="15" t="str">
        <f t="shared" si="36"/>
        <v/>
      </c>
      <c r="T613" s="14"/>
      <c r="U613" s="7"/>
      <c r="V613" s="15" t="str">
        <f t="shared" si="37"/>
        <v/>
      </c>
      <c r="W613" s="14"/>
      <c r="X613" s="7"/>
      <c r="Y613" s="15" t="str">
        <f t="shared" si="38"/>
        <v/>
      </c>
      <c r="Z613" s="14"/>
      <c r="AA613" s="7"/>
      <c r="AB613" s="15" t="str">
        <f t="shared" si="39"/>
        <v/>
      </c>
    </row>
    <row r="614" spans="1:28">
      <c r="A614" s="19">
        <v>611</v>
      </c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Q614" s="14"/>
      <c r="R614" s="7"/>
      <c r="S614" s="15" t="str">
        <f t="shared" si="36"/>
        <v/>
      </c>
      <c r="T614" s="14"/>
      <c r="U614" s="7"/>
      <c r="V614" s="15" t="str">
        <f t="shared" si="37"/>
        <v/>
      </c>
      <c r="W614" s="14"/>
      <c r="X614" s="7"/>
      <c r="Y614" s="15" t="str">
        <f t="shared" si="38"/>
        <v/>
      </c>
      <c r="Z614" s="14"/>
      <c r="AA614" s="7"/>
      <c r="AB614" s="15" t="str">
        <f t="shared" si="39"/>
        <v/>
      </c>
    </row>
    <row r="615" spans="1:28">
      <c r="A615" s="19">
        <v>612</v>
      </c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Q615" s="14"/>
      <c r="R615" s="7"/>
      <c r="S615" s="15" t="str">
        <f t="shared" si="36"/>
        <v/>
      </c>
      <c r="T615" s="14"/>
      <c r="U615" s="7"/>
      <c r="V615" s="15" t="str">
        <f t="shared" si="37"/>
        <v/>
      </c>
      <c r="W615" s="14"/>
      <c r="X615" s="7"/>
      <c r="Y615" s="15" t="str">
        <f t="shared" si="38"/>
        <v/>
      </c>
      <c r="Z615" s="14"/>
      <c r="AA615" s="7"/>
      <c r="AB615" s="15" t="str">
        <f t="shared" si="39"/>
        <v/>
      </c>
    </row>
    <row r="616" spans="1:28">
      <c r="A616" s="19">
        <v>613</v>
      </c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Q616" s="14"/>
      <c r="R616" s="7"/>
      <c r="S616" s="15" t="str">
        <f t="shared" si="36"/>
        <v/>
      </c>
      <c r="T616" s="14"/>
      <c r="U616" s="7"/>
      <c r="V616" s="15" t="str">
        <f t="shared" si="37"/>
        <v/>
      </c>
      <c r="W616" s="14"/>
      <c r="X616" s="7"/>
      <c r="Y616" s="15" t="str">
        <f t="shared" si="38"/>
        <v/>
      </c>
      <c r="Z616" s="14"/>
      <c r="AA616" s="7"/>
      <c r="AB616" s="15" t="str">
        <f t="shared" si="39"/>
        <v/>
      </c>
    </row>
    <row r="617" spans="1:28">
      <c r="A617" s="19">
        <v>614</v>
      </c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Q617" s="14"/>
      <c r="R617" s="7"/>
      <c r="S617" s="15" t="str">
        <f t="shared" si="36"/>
        <v/>
      </c>
      <c r="T617" s="14"/>
      <c r="U617" s="7"/>
      <c r="V617" s="15" t="str">
        <f t="shared" si="37"/>
        <v/>
      </c>
      <c r="W617" s="14"/>
      <c r="X617" s="7"/>
      <c r="Y617" s="15" t="str">
        <f t="shared" si="38"/>
        <v/>
      </c>
      <c r="Z617" s="14"/>
      <c r="AA617" s="7"/>
      <c r="AB617" s="15" t="str">
        <f t="shared" si="39"/>
        <v/>
      </c>
    </row>
    <row r="618" spans="1:28">
      <c r="A618" s="19">
        <v>615</v>
      </c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Q618" s="14"/>
      <c r="R618" s="7"/>
      <c r="S618" s="15" t="str">
        <f t="shared" si="36"/>
        <v/>
      </c>
      <c r="T618" s="14"/>
      <c r="U618" s="7"/>
      <c r="V618" s="15" t="str">
        <f t="shared" si="37"/>
        <v/>
      </c>
      <c r="W618" s="14"/>
      <c r="X618" s="7"/>
      <c r="Y618" s="15" t="str">
        <f t="shared" si="38"/>
        <v/>
      </c>
      <c r="Z618" s="14"/>
      <c r="AA618" s="7"/>
      <c r="AB618" s="15" t="str">
        <f t="shared" si="39"/>
        <v/>
      </c>
    </row>
    <row r="619" spans="1:28">
      <c r="A619" s="19">
        <v>616</v>
      </c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Q619" s="14"/>
      <c r="R619" s="7"/>
      <c r="S619" s="15" t="str">
        <f t="shared" si="36"/>
        <v/>
      </c>
      <c r="T619" s="14"/>
      <c r="U619" s="7"/>
      <c r="V619" s="15" t="str">
        <f t="shared" si="37"/>
        <v/>
      </c>
      <c r="W619" s="14"/>
      <c r="X619" s="7"/>
      <c r="Y619" s="15" t="str">
        <f t="shared" si="38"/>
        <v/>
      </c>
      <c r="Z619" s="14"/>
      <c r="AA619" s="7"/>
      <c r="AB619" s="15" t="str">
        <f t="shared" si="39"/>
        <v/>
      </c>
    </row>
    <row r="620" spans="1:28">
      <c r="A620" s="19">
        <v>617</v>
      </c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Q620" s="14"/>
      <c r="R620" s="7"/>
      <c r="S620" s="15" t="str">
        <f t="shared" si="36"/>
        <v/>
      </c>
      <c r="T620" s="14"/>
      <c r="U620" s="7"/>
      <c r="V620" s="15" t="str">
        <f t="shared" si="37"/>
        <v/>
      </c>
      <c r="W620" s="14"/>
      <c r="X620" s="7"/>
      <c r="Y620" s="15" t="str">
        <f t="shared" si="38"/>
        <v/>
      </c>
      <c r="Z620" s="14"/>
      <c r="AA620" s="7"/>
      <c r="AB620" s="15" t="str">
        <f t="shared" si="39"/>
        <v/>
      </c>
    </row>
    <row r="621" spans="1:28">
      <c r="A621" s="19">
        <v>618</v>
      </c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Q621" s="14"/>
      <c r="R621" s="7"/>
      <c r="S621" s="15" t="str">
        <f t="shared" si="36"/>
        <v/>
      </c>
      <c r="T621" s="14"/>
      <c r="U621" s="7"/>
      <c r="V621" s="15" t="str">
        <f t="shared" si="37"/>
        <v/>
      </c>
      <c r="W621" s="14"/>
      <c r="X621" s="7"/>
      <c r="Y621" s="15" t="str">
        <f t="shared" si="38"/>
        <v/>
      </c>
      <c r="Z621" s="14"/>
      <c r="AA621" s="7"/>
      <c r="AB621" s="15" t="str">
        <f t="shared" si="39"/>
        <v/>
      </c>
    </row>
    <row r="622" spans="1:28">
      <c r="A622" s="19">
        <v>619</v>
      </c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Q622" s="14"/>
      <c r="R622" s="7"/>
      <c r="S622" s="15" t="str">
        <f t="shared" si="36"/>
        <v/>
      </c>
      <c r="T622" s="14"/>
      <c r="U622" s="7"/>
      <c r="V622" s="15" t="str">
        <f t="shared" si="37"/>
        <v/>
      </c>
      <c r="W622" s="14"/>
      <c r="X622" s="7"/>
      <c r="Y622" s="15" t="str">
        <f t="shared" si="38"/>
        <v/>
      </c>
      <c r="Z622" s="14"/>
      <c r="AA622" s="7"/>
      <c r="AB622" s="15" t="str">
        <f t="shared" si="39"/>
        <v/>
      </c>
    </row>
    <row r="623" spans="1:28">
      <c r="A623" s="19">
        <v>620</v>
      </c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Q623" s="14"/>
      <c r="R623" s="7"/>
      <c r="S623" s="15" t="str">
        <f t="shared" si="36"/>
        <v/>
      </c>
      <c r="T623" s="14"/>
      <c r="U623" s="7"/>
      <c r="V623" s="15" t="str">
        <f t="shared" si="37"/>
        <v/>
      </c>
      <c r="W623" s="14"/>
      <c r="X623" s="7"/>
      <c r="Y623" s="15" t="str">
        <f t="shared" si="38"/>
        <v/>
      </c>
      <c r="Z623" s="14"/>
      <c r="AA623" s="7"/>
      <c r="AB623" s="15" t="str">
        <f t="shared" si="39"/>
        <v/>
      </c>
    </row>
    <row r="624" spans="1:28">
      <c r="A624" s="19">
        <v>621</v>
      </c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Q624" s="14"/>
      <c r="R624" s="7"/>
      <c r="S624" s="15" t="str">
        <f t="shared" si="36"/>
        <v/>
      </c>
      <c r="T624" s="14"/>
      <c r="U624" s="7"/>
      <c r="V624" s="15" t="str">
        <f t="shared" si="37"/>
        <v/>
      </c>
      <c r="W624" s="14"/>
      <c r="X624" s="7"/>
      <c r="Y624" s="15" t="str">
        <f t="shared" si="38"/>
        <v/>
      </c>
      <c r="Z624" s="14"/>
      <c r="AA624" s="7"/>
      <c r="AB624" s="15" t="str">
        <f t="shared" si="39"/>
        <v/>
      </c>
    </row>
    <row r="625" spans="1:28">
      <c r="A625" s="19">
        <v>622</v>
      </c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Q625" s="14"/>
      <c r="R625" s="7"/>
      <c r="S625" s="15" t="str">
        <f t="shared" si="36"/>
        <v/>
      </c>
      <c r="T625" s="14"/>
      <c r="U625" s="7"/>
      <c r="V625" s="15" t="str">
        <f t="shared" si="37"/>
        <v/>
      </c>
      <c r="W625" s="14"/>
      <c r="X625" s="7"/>
      <c r="Y625" s="15" t="str">
        <f t="shared" si="38"/>
        <v/>
      </c>
      <c r="Z625" s="14"/>
      <c r="AA625" s="7"/>
      <c r="AB625" s="15" t="str">
        <f t="shared" si="39"/>
        <v/>
      </c>
    </row>
    <row r="626" spans="1:28">
      <c r="A626" s="19">
        <v>623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Q626" s="14"/>
      <c r="R626" s="7"/>
      <c r="S626" s="15" t="str">
        <f t="shared" si="36"/>
        <v/>
      </c>
      <c r="T626" s="14"/>
      <c r="U626" s="7"/>
      <c r="V626" s="15" t="str">
        <f t="shared" si="37"/>
        <v/>
      </c>
      <c r="W626" s="14"/>
      <c r="X626" s="7"/>
      <c r="Y626" s="15" t="str">
        <f t="shared" si="38"/>
        <v/>
      </c>
      <c r="Z626" s="14"/>
      <c r="AA626" s="7"/>
      <c r="AB626" s="15" t="str">
        <f t="shared" si="39"/>
        <v/>
      </c>
    </row>
    <row r="627" spans="1:28">
      <c r="A627" s="19">
        <v>624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Q627" s="14"/>
      <c r="R627" s="7"/>
      <c r="S627" s="15" t="str">
        <f t="shared" si="36"/>
        <v/>
      </c>
      <c r="T627" s="14"/>
      <c r="U627" s="7"/>
      <c r="V627" s="15" t="str">
        <f t="shared" si="37"/>
        <v/>
      </c>
      <c r="W627" s="14"/>
      <c r="X627" s="7"/>
      <c r="Y627" s="15" t="str">
        <f t="shared" si="38"/>
        <v/>
      </c>
      <c r="Z627" s="14"/>
      <c r="AA627" s="7"/>
      <c r="AB627" s="15" t="str">
        <f t="shared" si="39"/>
        <v/>
      </c>
    </row>
    <row r="628" spans="1:28">
      <c r="A628" s="19">
        <v>625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Q628" s="14"/>
      <c r="R628" s="7"/>
      <c r="S628" s="15" t="str">
        <f t="shared" si="36"/>
        <v/>
      </c>
      <c r="T628" s="14"/>
      <c r="U628" s="7"/>
      <c r="V628" s="15" t="str">
        <f t="shared" si="37"/>
        <v/>
      </c>
      <c r="W628" s="14"/>
      <c r="X628" s="7"/>
      <c r="Y628" s="15" t="str">
        <f t="shared" si="38"/>
        <v/>
      </c>
      <c r="Z628" s="14"/>
      <c r="AA628" s="7"/>
      <c r="AB628" s="15" t="str">
        <f t="shared" si="39"/>
        <v/>
      </c>
    </row>
    <row r="629" spans="1:28">
      <c r="A629" s="19">
        <v>626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Q629" s="14"/>
      <c r="R629" s="7"/>
      <c r="S629" s="15" t="str">
        <f t="shared" si="36"/>
        <v/>
      </c>
      <c r="T629" s="14"/>
      <c r="U629" s="7"/>
      <c r="V629" s="15" t="str">
        <f t="shared" si="37"/>
        <v/>
      </c>
      <c r="W629" s="14"/>
      <c r="X629" s="7"/>
      <c r="Y629" s="15" t="str">
        <f t="shared" si="38"/>
        <v/>
      </c>
      <c r="Z629" s="14"/>
      <c r="AA629" s="7"/>
      <c r="AB629" s="15" t="str">
        <f t="shared" si="39"/>
        <v/>
      </c>
    </row>
    <row r="630" spans="1:28">
      <c r="A630" s="19">
        <v>627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Q630" s="14"/>
      <c r="R630" s="7"/>
      <c r="S630" s="15" t="str">
        <f t="shared" si="36"/>
        <v/>
      </c>
      <c r="T630" s="14"/>
      <c r="U630" s="7"/>
      <c r="V630" s="15" t="str">
        <f t="shared" si="37"/>
        <v/>
      </c>
      <c r="W630" s="14"/>
      <c r="X630" s="7"/>
      <c r="Y630" s="15" t="str">
        <f t="shared" si="38"/>
        <v/>
      </c>
      <c r="Z630" s="14"/>
      <c r="AA630" s="7"/>
      <c r="AB630" s="15" t="str">
        <f t="shared" si="39"/>
        <v/>
      </c>
    </row>
    <row r="631" spans="1:28">
      <c r="A631" s="19">
        <v>628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Q631" s="14"/>
      <c r="R631" s="7"/>
      <c r="S631" s="15" t="str">
        <f t="shared" si="36"/>
        <v/>
      </c>
      <c r="T631" s="14"/>
      <c r="U631" s="7"/>
      <c r="V631" s="15" t="str">
        <f t="shared" si="37"/>
        <v/>
      </c>
      <c r="W631" s="14"/>
      <c r="X631" s="7"/>
      <c r="Y631" s="15" t="str">
        <f t="shared" si="38"/>
        <v/>
      </c>
      <c r="Z631" s="14"/>
      <c r="AA631" s="7"/>
      <c r="AB631" s="15" t="str">
        <f t="shared" si="39"/>
        <v/>
      </c>
    </row>
    <row r="632" spans="1:28">
      <c r="A632" s="19">
        <v>629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Q632" s="14"/>
      <c r="R632" s="7"/>
      <c r="S632" s="15" t="str">
        <f t="shared" si="36"/>
        <v/>
      </c>
      <c r="T632" s="14"/>
      <c r="U632" s="7"/>
      <c r="V632" s="15" t="str">
        <f t="shared" si="37"/>
        <v/>
      </c>
      <c r="W632" s="14"/>
      <c r="X632" s="7"/>
      <c r="Y632" s="15" t="str">
        <f t="shared" si="38"/>
        <v/>
      </c>
      <c r="Z632" s="14"/>
      <c r="AA632" s="7"/>
      <c r="AB632" s="15" t="str">
        <f t="shared" si="39"/>
        <v/>
      </c>
    </row>
    <row r="633" spans="1:28">
      <c r="A633" s="19">
        <v>630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Q633" s="14"/>
      <c r="R633" s="7"/>
      <c r="S633" s="15" t="str">
        <f t="shared" si="36"/>
        <v/>
      </c>
      <c r="T633" s="14"/>
      <c r="U633" s="7"/>
      <c r="V633" s="15" t="str">
        <f t="shared" si="37"/>
        <v/>
      </c>
      <c r="W633" s="14"/>
      <c r="X633" s="7"/>
      <c r="Y633" s="15" t="str">
        <f t="shared" si="38"/>
        <v/>
      </c>
      <c r="Z633" s="14"/>
      <c r="AA633" s="7"/>
      <c r="AB633" s="15" t="str">
        <f t="shared" si="39"/>
        <v/>
      </c>
    </row>
    <row r="634" spans="1:28">
      <c r="A634" s="19">
        <v>631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Q634" s="14"/>
      <c r="R634" s="7"/>
      <c r="S634" s="15" t="str">
        <f t="shared" si="36"/>
        <v/>
      </c>
      <c r="T634" s="14"/>
      <c r="U634" s="7"/>
      <c r="V634" s="15" t="str">
        <f t="shared" si="37"/>
        <v/>
      </c>
      <c r="W634" s="14"/>
      <c r="X634" s="7"/>
      <c r="Y634" s="15" t="str">
        <f t="shared" si="38"/>
        <v/>
      </c>
      <c r="Z634" s="14"/>
      <c r="AA634" s="7"/>
      <c r="AB634" s="15" t="str">
        <f t="shared" si="39"/>
        <v/>
      </c>
    </row>
    <row r="635" spans="1:28">
      <c r="A635" s="19">
        <v>632</v>
      </c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Q635" s="14"/>
      <c r="R635" s="7"/>
      <c r="S635" s="15" t="str">
        <f t="shared" si="36"/>
        <v/>
      </c>
      <c r="T635" s="14"/>
      <c r="U635" s="7"/>
      <c r="V635" s="15" t="str">
        <f t="shared" si="37"/>
        <v/>
      </c>
      <c r="W635" s="14"/>
      <c r="X635" s="7"/>
      <c r="Y635" s="15" t="str">
        <f t="shared" si="38"/>
        <v/>
      </c>
      <c r="Z635" s="14"/>
      <c r="AA635" s="7"/>
      <c r="AB635" s="15" t="str">
        <f t="shared" si="39"/>
        <v/>
      </c>
    </row>
    <row r="636" spans="1:28">
      <c r="A636" s="19">
        <v>633</v>
      </c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Q636" s="14"/>
      <c r="R636" s="7"/>
      <c r="S636" s="15" t="str">
        <f t="shared" si="36"/>
        <v/>
      </c>
      <c r="T636" s="14"/>
      <c r="U636" s="7"/>
      <c r="V636" s="15" t="str">
        <f t="shared" si="37"/>
        <v/>
      </c>
      <c r="W636" s="14"/>
      <c r="X636" s="7"/>
      <c r="Y636" s="15" t="str">
        <f t="shared" si="38"/>
        <v/>
      </c>
      <c r="Z636" s="14"/>
      <c r="AA636" s="7"/>
      <c r="AB636" s="15" t="str">
        <f t="shared" si="39"/>
        <v/>
      </c>
    </row>
    <row r="637" spans="1:28">
      <c r="A637" s="19">
        <v>634</v>
      </c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Q637" s="14"/>
      <c r="R637" s="7"/>
      <c r="S637" s="15" t="str">
        <f t="shared" si="36"/>
        <v/>
      </c>
      <c r="T637" s="14"/>
      <c r="U637" s="7"/>
      <c r="V637" s="15" t="str">
        <f t="shared" si="37"/>
        <v/>
      </c>
      <c r="W637" s="14"/>
      <c r="X637" s="7"/>
      <c r="Y637" s="15" t="str">
        <f t="shared" si="38"/>
        <v/>
      </c>
      <c r="Z637" s="14"/>
      <c r="AA637" s="7"/>
      <c r="AB637" s="15" t="str">
        <f t="shared" si="39"/>
        <v/>
      </c>
    </row>
    <row r="638" spans="1:28">
      <c r="A638" s="19">
        <v>635</v>
      </c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Q638" s="14"/>
      <c r="R638" s="7"/>
      <c r="S638" s="15" t="str">
        <f t="shared" si="36"/>
        <v/>
      </c>
      <c r="T638" s="14"/>
      <c r="U638" s="7"/>
      <c r="V638" s="15" t="str">
        <f t="shared" si="37"/>
        <v/>
      </c>
      <c r="W638" s="14"/>
      <c r="X638" s="7"/>
      <c r="Y638" s="15" t="str">
        <f t="shared" si="38"/>
        <v/>
      </c>
      <c r="Z638" s="14"/>
      <c r="AA638" s="7"/>
      <c r="AB638" s="15" t="str">
        <f t="shared" si="39"/>
        <v/>
      </c>
    </row>
    <row r="639" spans="1:28">
      <c r="A639" s="19">
        <v>636</v>
      </c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Q639" s="14"/>
      <c r="R639" s="7"/>
      <c r="S639" s="15" t="str">
        <f t="shared" si="36"/>
        <v/>
      </c>
      <c r="T639" s="14"/>
      <c r="U639" s="7"/>
      <c r="V639" s="15" t="str">
        <f t="shared" si="37"/>
        <v/>
      </c>
      <c r="W639" s="14"/>
      <c r="X639" s="7"/>
      <c r="Y639" s="15" t="str">
        <f t="shared" si="38"/>
        <v/>
      </c>
      <c r="Z639" s="14"/>
      <c r="AA639" s="7"/>
      <c r="AB639" s="15" t="str">
        <f t="shared" si="39"/>
        <v/>
      </c>
    </row>
    <row r="640" spans="1:28">
      <c r="A640" s="19">
        <v>637</v>
      </c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Q640" s="14"/>
      <c r="R640" s="7"/>
      <c r="S640" s="15" t="str">
        <f t="shared" si="36"/>
        <v/>
      </c>
      <c r="T640" s="14"/>
      <c r="U640" s="7"/>
      <c r="V640" s="15" t="str">
        <f t="shared" si="37"/>
        <v/>
      </c>
      <c r="W640" s="14"/>
      <c r="X640" s="7"/>
      <c r="Y640" s="15" t="str">
        <f t="shared" si="38"/>
        <v/>
      </c>
      <c r="Z640" s="14"/>
      <c r="AA640" s="7"/>
      <c r="AB640" s="15" t="str">
        <f t="shared" si="39"/>
        <v/>
      </c>
    </row>
    <row r="641" spans="1:28">
      <c r="A641" s="19">
        <v>638</v>
      </c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Q641" s="14"/>
      <c r="R641" s="7"/>
      <c r="S641" s="15" t="str">
        <f t="shared" si="36"/>
        <v/>
      </c>
      <c r="T641" s="14"/>
      <c r="U641" s="7"/>
      <c r="V641" s="15" t="str">
        <f t="shared" si="37"/>
        <v/>
      </c>
      <c r="W641" s="14"/>
      <c r="X641" s="7"/>
      <c r="Y641" s="15" t="str">
        <f t="shared" si="38"/>
        <v/>
      </c>
      <c r="Z641" s="14"/>
      <c r="AA641" s="7"/>
      <c r="AB641" s="15" t="str">
        <f t="shared" si="39"/>
        <v/>
      </c>
    </row>
    <row r="642" spans="1:28">
      <c r="A642" s="19">
        <v>639</v>
      </c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Q642" s="14"/>
      <c r="R642" s="7"/>
      <c r="S642" s="15" t="str">
        <f t="shared" si="36"/>
        <v/>
      </c>
      <c r="T642" s="14"/>
      <c r="U642" s="7"/>
      <c r="V642" s="15" t="str">
        <f t="shared" si="37"/>
        <v/>
      </c>
      <c r="W642" s="14"/>
      <c r="X642" s="7"/>
      <c r="Y642" s="15" t="str">
        <f t="shared" si="38"/>
        <v/>
      </c>
      <c r="Z642" s="14"/>
      <c r="AA642" s="7"/>
      <c r="AB642" s="15" t="str">
        <f t="shared" si="39"/>
        <v/>
      </c>
    </row>
    <row r="643" spans="1:28">
      <c r="A643" s="19">
        <v>640</v>
      </c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Q643" s="14"/>
      <c r="R643" s="7"/>
      <c r="S643" s="15" t="str">
        <f t="shared" si="36"/>
        <v/>
      </c>
      <c r="T643" s="14"/>
      <c r="U643" s="7"/>
      <c r="V643" s="15" t="str">
        <f t="shared" si="37"/>
        <v/>
      </c>
      <c r="W643" s="14"/>
      <c r="X643" s="7"/>
      <c r="Y643" s="15" t="str">
        <f t="shared" si="38"/>
        <v/>
      </c>
      <c r="Z643" s="14"/>
      <c r="AA643" s="7"/>
      <c r="AB643" s="15" t="str">
        <f t="shared" si="39"/>
        <v/>
      </c>
    </row>
    <row r="644" spans="1:28">
      <c r="A644" s="19">
        <v>641</v>
      </c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Q644" s="14"/>
      <c r="R644" s="7"/>
      <c r="S644" s="15" t="str">
        <f t="shared" si="36"/>
        <v/>
      </c>
      <c r="T644" s="14"/>
      <c r="U644" s="7"/>
      <c r="V644" s="15" t="str">
        <f t="shared" si="37"/>
        <v/>
      </c>
      <c r="W644" s="14"/>
      <c r="X644" s="7"/>
      <c r="Y644" s="15" t="str">
        <f t="shared" si="38"/>
        <v/>
      </c>
      <c r="Z644" s="14"/>
      <c r="AA644" s="7"/>
      <c r="AB644" s="15" t="str">
        <f t="shared" si="39"/>
        <v/>
      </c>
    </row>
    <row r="645" spans="1:28">
      <c r="A645" s="19">
        <v>642</v>
      </c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Q645" s="14"/>
      <c r="R645" s="7"/>
      <c r="S645" s="15" t="str">
        <f t="shared" ref="S645:S708" si="40">IF(OR($H645="",Q645=""),"",Q645+(R645/$H645))</f>
        <v/>
      </c>
      <c r="T645" s="14"/>
      <c r="U645" s="7"/>
      <c r="V645" s="15" t="str">
        <f t="shared" ref="V645:V708" si="41">IF(OR($H645="",T645=""),"",T645+(U645/$H645))</f>
        <v/>
      </c>
      <c r="W645" s="14"/>
      <c r="X645" s="7"/>
      <c r="Y645" s="15" t="str">
        <f t="shared" ref="Y645:Y708" si="42">IF(OR($H645="",W645=""),"",W645+(X645/$H645))</f>
        <v/>
      </c>
      <c r="Z645" s="14"/>
      <c r="AA645" s="7"/>
      <c r="AB645" s="15" t="str">
        <f t="shared" ref="AB645:AB708" si="43">IF(OR($H645="",Z645=""),"",Z645+(AA645/$H645))</f>
        <v/>
      </c>
    </row>
    <row r="646" spans="1:28">
      <c r="A646" s="19">
        <v>643</v>
      </c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Q646" s="14"/>
      <c r="R646" s="7"/>
      <c r="S646" s="15" t="str">
        <f t="shared" si="40"/>
        <v/>
      </c>
      <c r="T646" s="14"/>
      <c r="U646" s="7"/>
      <c r="V646" s="15" t="str">
        <f t="shared" si="41"/>
        <v/>
      </c>
      <c r="W646" s="14"/>
      <c r="X646" s="7"/>
      <c r="Y646" s="15" t="str">
        <f t="shared" si="42"/>
        <v/>
      </c>
      <c r="Z646" s="14"/>
      <c r="AA646" s="7"/>
      <c r="AB646" s="15" t="str">
        <f t="shared" si="43"/>
        <v/>
      </c>
    </row>
    <row r="647" spans="1:28">
      <c r="A647" s="19">
        <v>644</v>
      </c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Q647" s="14"/>
      <c r="R647" s="7"/>
      <c r="S647" s="15" t="str">
        <f t="shared" si="40"/>
        <v/>
      </c>
      <c r="T647" s="14"/>
      <c r="U647" s="7"/>
      <c r="V647" s="15" t="str">
        <f t="shared" si="41"/>
        <v/>
      </c>
      <c r="W647" s="14"/>
      <c r="X647" s="7"/>
      <c r="Y647" s="15" t="str">
        <f t="shared" si="42"/>
        <v/>
      </c>
      <c r="Z647" s="14"/>
      <c r="AA647" s="7"/>
      <c r="AB647" s="15" t="str">
        <f t="shared" si="43"/>
        <v/>
      </c>
    </row>
    <row r="648" spans="1:28">
      <c r="A648" s="19">
        <v>645</v>
      </c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Q648" s="14"/>
      <c r="R648" s="7"/>
      <c r="S648" s="15" t="str">
        <f t="shared" si="40"/>
        <v/>
      </c>
      <c r="T648" s="14"/>
      <c r="U648" s="7"/>
      <c r="V648" s="15" t="str">
        <f t="shared" si="41"/>
        <v/>
      </c>
      <c r="W648" s="14"/>
      <c r="X648" s="7"/>
      <c r="Y648" s="15" t="str">
        <f t="shared" si="42"/>
        <v/>
      </c>
      <c r="Z648" s="14"/>
      <c r="AA648" s="7"/>
      <c r="AB648" s="15" t="str">
        <f t="shared" si="43"/>
        <v/>
      </c>
    </row>
    <row r="649" spans="1:28">
      <c r="A649" s="19">
        <v>646</v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Q649" s="14"/>
      <c r="R649" s="7"/>
      <c r="S649" s="15" t="str">
        <f t="shared" si="40"/>
        <v/>
      </c>
      <c r="T649" s="14"/>
      <c r="U649" s="7"/>
      <c r="V649" s="15" t="str">
        <f t="shared" si="41"/>
        <v/>
      </c>
      <c r="W649" s="14"/>
      <c r="X649" s="7"/>
      <c r="Y649" s="15" t="str">
        <f t="shared" si="42"/>
        <v/>
      </c>
      <c r="Z649" s="14"/>
      <c r="AA649" s="7"/>
      <c r="AB649" s="15" t="str">
        <f t="shared" si="43"/>
        <v/>
      </c>
    </row>
    <row r="650" spans="1:28">
      <c r="A650" s="19">
        <v>647</v>
      </c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Q650" s="14"/>
      <c r="R650" s="7"/>
      <c r="S650" s="15" t="str">
        <f t="shared" si="40"/>
        <v/>
      </c>
      <c r="T650" s="14"/>
      <c r="U650" s="7"/>
      <c r="V650" s="15" t="str">
        <f t="shared" si="41"/>
        <v/>
      </c>
      <c r="W650" s="14"/>
      <c r="X650" s="7"/>
      <c r="Y650" s="15" t="str">
        <f t="shared" si="42"/>
        <v/>
      </c>
      <c r="Z650" s="14"/>
      <c r="AA650" s="7"/>
      <c r="AB650" s="15" t="str">
        <f t="shared" si="43"/>
        <v/>
      </c>
    </row>
    <row r="651" spans="1:28">
      <c r="A651" s="19">
        <v>648</v>
      </c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Q651" s="14"/>
      <c r="R651" s="7"/>
      <c r="S651" s="15" t="str">
        <f t="shared" si="40"/>
        <v/>
      </c>
      <c r="T651" s="14"/>
      <c r="U651" s="7"/>
      <c r="V651" s="15" t="str">
        <f t="shared" si="41"/>
        <v/>
      </c>
      <c r="W651" s="14"/>
      <c r="X651" s="7"/>
      <c r="Y651" s="15" t="str">
        <f t="shared" si="42"/>
        <v/>
      </c>
      <c r="Z651" s="14"/>
      <c r="AA651" s="7"/>
      <c r="AB651" s="15" t="str">
        <f t="shared" si="43"/>
        <v/>
      </c>
    </row>
    <row r="652" spans="1:28">
      <c r="A652" s="19">
        <v>649</v>
      </c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Q652" s="14"/>
      <c r="R652" s="7"/>
      <c r="S652" s="15" t="str">
        <f t="shared" si="40"/>
        <v/>
      </c>
      <c r="T652" s="14"/>
      <c r="U652" s="7"/>
      <c r="V652" s="15" t="str">
        <f t="shared" si="41"/>
        <v/>
      </c>
      <c r="W652" s="14"/>
      <c r="X652" s="7"/>
      <c r="Y652" s="15" t="str">
        <f t="shared" si="42"/>
        <v/>
      </c>
      <c r="Z652" s="14"/>
      <c r="AA652" s="7"/>
      <c r="AB652" s="15" t="str">
        <f t="shared" si="43"/>
        <v/>
      </c>
    </row>
    <row r="653" spans="1:28">
      <c r="A653" s="19">
        <v>650</v>
      </c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Q653" s="14"/>
      <c r="R653" s="7"/>
      <c r="S653" s="15" t="str">
        <f t="shared" si="40"/>
        <v/>
      </c>
      <c r="T653" s="14"/>
      <c r="U653" s="7"/>
      <c r="V653" s="15" t="str">
        <f t="shared" si="41"/>
        <v/>
      </c>
      <c r="W653" s="14"/>
      <c r="X653" s="7"/>
      <c r="Y653" s="15" t="str">
        <f t="shared" si="42"/>
        <v/>
      </c>
      <c r="Z653" s="14"/>
      <c r="AA653" s="7"/>
      <c r="AB653" s="15" t="str">
        <f t="shared" si="43"/>
        <v/>
      </c>
    </row>
    <row r="654" spans="1:28">
      <c r="A654" s="19">
        <v>651</v>
      </c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Q654" s="14"/>
      <c r="R654" s="7"/>
      <c r="S654" s="15" t="str">
        <f t="shared" si="40"/>
        <v/>
      </c>
      <c r="T654" s="14"/>
      <c r="U654" s="7"/>
      <c r="V654" s="15" t="str">
        <f t="shared" si="41"/>
        <v/>
      </c>
      <c r="W654" s="14"/>
      <c r="X654" s="7"/>
      <c r="Y654" s="15" t="str">
        <f t="shared" si="42"/>
        <v/>
      </c>
      <c r="Z654" s="14"/>
      <c r="AA654" s="7"/>
      <c r="AB654" s="15" t="str">
        <f t="shared" si="43"/>
        <v/>
      </c>
    </row>
    <row r="655" spans="1:28">
      <c r="A655" s="19">
        <v>652</v>
      </c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Q655" s="14"/>
      <c r="R655" s="7"/>
      <c r="S655" s="15" t="str">
        <f t="shared" si="40"/>
        <v/>
      </c>
      <c r="T655" s="14"/>
      <c r="U655" s="7"/>
      <c r="V655" s="15" t="str">
        <f t="shared" si="41"/>
        <v/>
      </c>
      <c r="W655" s="14"/>
      <c r="X655" s="7"/>
      <c r="Y655" s="15" t="str">
        <f t="shared" si="42"/>
        <v/>
      </c>
      <c r="Z655" s="14"/>
      <c r="AA655" s="7"/>
      <c r="AB655" s="15" t="str">
        <f t="shared" si="43"/>
        <v/>
      </c>
    </row>
    <row r="656" spans="1:28">
      <c r="A656" s="19">
        <v>653</v>
      </c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Q656" s="14"/>
      <c r="R656" s="7"/>
      <c r="S656" s="15" t="str">
        <f t="shared" si="40"/>
        <v/>
      </c>
      <c r="T656" s="14"/>
      <c r="U656" s="7"/>
      <c r="V656" s="15" t="str">
        <f t="shared" si="41"/>
        <v/>
      </c>
      <c r="W656" s="14"/>
      <c r="X656" s="7"/>
      <c r="Y656" s="15" t="str">
        <f t="shared" si="42"/>
        <v/>
      </c>
      <c r="Z656" s="14"/>
      <c r="AA656" s="7"/>
      <c r="AB656" s="15" t="str">
        <f t="shared" si="43"/>
        <v/>
      </c>
    </row>
    <row r="657" spans="1:28">
      <c r="A657" s="19">
        <v>654</v>
      </c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Q657" s="14"/>
      <c r="R657" s="7"/>
      <c r="S657" s="15" t="str">
        <f t="shared" si="40"/>
        <v/>
      </c>
      <c r="T657" s="14"/>
      <c r="U657" s="7"/>
      <c r="V657" s="15" t="str">
        <f t="shared" si="41"/>
        <v/>
      </c>
      <c r="W657" s="14"/>
      <c r="X657" s="7"/>
      <c r="Y657" s="15" t="str">
        <f t="shared" si="42"/>
        <v/>
      </c>
      <c r="Z657" s="14"/>
      <c r="AA657" s="7"/>
      <c r="AB657" s="15" t="str">
        <f t="shared" si="43"/>
        <v/>
      </c>
    </row>
    <row r="658" spans="1:28">
      <c r="A658" s="19">
        <v>655</v>
      </c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Q658" s="14"/>
      <c r="R658" s="7"/>
      <c r="S658" s="15" t="str">
        <f t="shared" si="40"/>
        <v/>
      </c>
      <c r="T658" s="14"/>
      <c r="U658" s="7"/>
      <c r="V658" s="15" t="str">
        <f t="shared" si="41"/>
        <v/>
      </c>
      <c r="W658" s="14"/>
      <c r="X658" s="7"/>
      <c r="Y658" s="15" t="str">
        <f t="shared" si="42"/>
        <v/>
      </c>
      <c r="Z658" s="14"/>
      <c r="AA658" s="7"/>
      <c r="AB658" s="15" t="str">
        <f t="shared" si="43"/>
        <v/>
      </c>
    </row>
    <row r="659" spans="1:28">
      <c r="A659" s="19">
        <v>656</v>
      </c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Q659" s="14"/>
      <c r="R659" s="7"/>
      <c r="S659" s="15" t="str">
        <f t="shared" si="40"/>
        <v/>
      </c>
      <c r="T659" s="14"/>
      <c r="U659" s="7"/>
      <c r="V659" s="15" t="str">
        <f t="shared" si="41"/>
        <v/>
      </c>
      <c r="W659" s="14"/>
      <c r="X659" s="7"/>
      <c r="Y659" s="15" t="str">
        <f t="shared" si="42"/>
        <v/>
      </c>
      <c r="Z659" s="14"/>
      <c r="AA659" s="7"/>
      <c r="AB659" s="15" t="str">
        <f t="shared" si="43"/>
        <v/>
      </c>
    </row>
    <row r="660" spans="1:28">
      <c r="A660" s="19">
        <v>657</v>
      </c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Q660" s="14"/>
      <c r="R660" s="7"/>
      <c r="S660" s="15" t="str">
        <f t="shared" si="40"/>
        <v/>
      </c>
      <c r="T660" s="14"/>
      <c r="U660" s="7"/>
      <c r="V660" s="15" t="str">
        <f t="shared" si="41"/>
        <v/>
      </c>
      <c r="W660" s="14"/>
      <c r="X660" s="7"/>
      <c r="Y660" s="15" t="str">
        <f t="shared" si="42"/>
        <v/>
      </c>
      <c r="Z660" s="14"/>
      <c r="AA660" s="7"/>
      <c r="AB660" s="15" t="str">
        <f t="shared" si="43"/>
        <v/>
      </c>
    </row>
    <row r="661" spans="1:28">
      <c r="A661" s="19">
        <v>658</v>
      </c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Q661" s="14"/>
      <c r="R661" s="7"/>
      <c r="S661" s="15" t="str">
        <f t="shared" si="40"/>
        <v/>
      </c>
      <c r="T661" s="14"/>
      <c r="U661" s="7"/>
      <c r="V661" s="15" t="str">
        <f t="shared" si="41"/>
        <v/>
      </c>
      <c r="W661" s="14"/>
      <c r="X661" s="7"/>
      <c r="Y661" s="15" t="str">
        <f t="shared" si="42"/>
        <v/>
      </c>
      <c r="Z661" s="14"/>
      <c r="AA661" s="7"/>
      <c r="AB661" s="15" t="str">
        <f t="shared" si="43"/>
        <v/>
      </c>
    </row>
    <row r="662" spans="1:28">
      <c r="A662" s="19">
        <v>659</v>
      </c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Q662" s="14"/>
      <c r="R662" s="7"/>
      <c r="S662" s="15" t="str">
        <f t="shared" si="40"/>
        <v/>
      </c>
      <c r="T662" s="14"/>
      <c r="U662" s="7"/>
      <c r="V662" s="15" t="str">
        <f t="shared" si="41"/>
        <v/>
      </c>
      <c r="W662" s="14"/>
      <c r="X662" s="7"/>
      <c r="Y662" s="15" t="str">
        <f t="shared" si="42"/>
        <v/>
      </c>
      <c r="Z662" s="14"/>
      <c r="AA662" s="7"/>
      <c r="AB662" s="15" t="str">
        <f t="shared" si="43"/>
        <v/>
      </c>
    </row>
    <row r="663" spans="1:28">
      <c r="A663" s="19">
        <v>660</v>
      </c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Q663" s="14"/>
      <c r="R663" s="7"/>
      <c r="S663" s="15" t="str">
        <f t="shared" si="40"/>
        <v/>
      </c>
      <c r="T663" s="14"/>
      <c r="U663" s="7"/>
      <c r="V663" s="15" t="str">
        <f t="shared" si="41"/>
        <v/>
      </c>
      <c r="W663" s="14"/>
      <c r="X663" s="7"/>
      <c r="Y663" s="15" t="str">
        <f t="shared" si="42"/>
        <v/>
      </c>
      <c r="Z663" s="14"/>
      <c r="AA663" s="7"/>
      <c r="AB663" s="15" t="str">
        <f t="shared" si="43"/>
        <v/>
      </c>
    </row>
    <row r="664" spans="1:28">
      <c r="A664" s="19">
        <v>661</v>
      </c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Q664" s="14"/>
      <c r="R664" s="7"/>
      <c r="S664" s="15" t="str">
        <f t="shared" si="40"/>
        <v/>
      </c>
      <c r="T664" s="14"/>
      <c r="U664" s="7"/>
      <c r="V664" s="15" t="str">
        <f t="shared" si="41"/>
        <v/>
      </c>
      <c r="W664" s="14"/>
      <c r="X664" s="7"/>
      <c r="Y664" s="15" t="str">
        <f t="shared" si="42"/>
        <v/>
      </c>
      <c r="Z664" s="14"/>
      <c r="AA664" s="7"/>
      <c r="AB664" s="15" t="str">
        <f t="shared" si="43"/>
        <v/>
      </c>
    </row>
    <row r="665" spans="1:28">
      <c r="A665" s="19">
        <v>662</v>
      </c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Q665" s="14"/>
      <c r="R665" s="7"/>
      <c r="S665" s="15" t="str">
        <f t="shared" si="40"/>
        <v/>
      </c>
      <c r="T665" s="14"/>
      <c r="U665" s="7"/>
      <c r="V665" s="15" t="str">
        <f t="shared" si="41"/>
        <v/>
      </c>
      <c r="W665" s="14"/>
      <c r="X665" s="7"/>
      <c r="Y665" s="15" t="str">
        <f t="shared" si="42"/>
        <v/>
      </c>
      <c r="Z665" s="14"/>
      <c r="AA665" s="7"/>
      <c r="AB665" s="15" t="str">
        <f t="shared" si="43"/>
        <v/>
      </c>
    </row>
    <row r="666" spans="1:28">
      <c r="A666" s="19">
        <v>663</v>
      </c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Q666" s="14"/>
      <c r="R666" s="7"/>
      <c r="S666" s="15" t="str">
        <f t="shared" si="40"/>
        <v/>
      </c>
      <c r="T666" s="14"/>
      <c r="U666" s="7"/>
      <c r="V666" s="15" t="str">
        <f t="shared" si="41"/>
        <v/>
      </c>
      <c r="W666" s="14"/>
      <c r="X666" s="7"/>
      <c r="Y666" s="15" t="str">
        <f t="shared" si="42"/>
        <v/>
      </c>
      <c r="Z666" s="14"/>
      <c r="AA666" s="7"/>
      <c r="AB666" s="15" t="str">
        <f t="shared" si="43"/>
        <v/>
      </c>
    </row>
    <row r="667" spans="1:28">
      <c r="A667" s="19">
        <v>664</v>
      </c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Q667" s="14"/>
      <c r="R667" s="7"/>
      <c r="S667" s="15" t="str">
        <f t="shared" si="40"/>
        <v/>
      </c>
      <c r="T667" s="14"/>
      <c r="U667" s="7"/>
      <c r="V667" s="15" t="str">
        <f t="shared" si="41"/>
        <v/>
      </c>
      <c r="W667" s="14"/>
      <c r="X667" s="7"/>
      <c r="Y667" s="15" t="str">
        <f t="shared" si="42"/>
        <v/>
      </c>
      <c r="Z667" s="14"/>
      <c r="AA667" s="7"/>
      <c r="AB667" s="15" t="str">
        <f t="shared" si="43"/>
        <v/>
      </c>
    </row>
    <row r="668" spans="1:28">
      <c r="A668" s="19">
        <v>665</v>
      </c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Q668" s="14"/>
      <c r="R668" s="7"/>
      <c r="S668" s="15" t="str">
        <f t="shared" si="40"/>
        <v/>
      </c>
      <c r="T668" s="14"/>
      <c r="U668" s="7"/>
      <c r="V668" s="15" t="str">
        <f t="shared" si="41"/>
        <v/>
      </c>
      <c r="W668" s="14"/>
      <c r="X668" s="7"/>
      <c r="Y668" s="15" t="str">
        <f t="shared" si="42"/>
        <v/>
      </c>
      <c r="Z668" s="14"/>
      <c r="AA668" s="7"/>
      <c r="AB668" s="15" t="str">
        <f t="shared" si="43"/>
        <v/>
      </c>
    </row>
    <row r="669" spans="1:28">
      <c r="A669" s="19">
        <v>666</v>
      </c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Q669" s="14"/>
      <c r="R669" s="7"/>
      <c r="S669" s="15" t="str">
        <f t="shared" si="40"/>
        <v/>
      </c>
      <c r="T669" s="14"/>
      <c r="U669" s="7"/>
      <c r="V669" s="15" t="str">
        <f t="shared" si="41"/>
        <v/>
      </c>
      <c r="W669" s="14"/>
      <c r="X669" s="7"/>
      <c r="Y669" s="15" t="str">
        <f t="shared" si="42"/>
        <v/>
      </c>
      <c r="Z669" s="14"/>
      <c r="AA669" s="7"/>
      <c r="AB669" s="15" t="str">
        <f t="shared" si="43"/>
        <v/>
      </c>
    </row>
    <row r="670" spans="1:28">
      <c r="A670" s="19">
        <v>667</v>
      </c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Q670" s="14"/>
      <c r="R670" s="7"/>
      <c r="S670" s="15" t="str">
        <f t="shared" si="40"/>
        <v/>
      </c>
      <c r="T670" s="14"/>
      <c r="U670" s="7"/>
      <c r="V670" s="15" t="str">
        <f t="shared" si="41"/>
        <v/>
      </c>
      <c r="W670" s="14"/>
      <c r="X670" s="7"/>
      <c r="Y670" s="15" t="str">
        <f t="shared" si="42"/>
        <v/>
      </c>
      <c r="Z670" s="14"/>
      <c r="AA670" s="7"/>
      <c r="AB670" s="15" t="str">
        <f t="shared" si="43"/>
        <v/>
      </c>
    </row>
    <row r="671" spans="1:28">
      <c r="A671" s="19">
        <v>668</v>
      </c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Q671" s="14"/>
      <c r="R671" s="7"/>
      <c r="S671" s="15" t="str">
        <f t="shared" si="40"/>
        <v/>
      </c>
      <c r="T671" s="14"/>
      <c r="U671" s="7"/>
      <c r="V671" s="15" t="str">
        <f t="shared" si="41"/>
        <v/>
      </c>
      <c r="W671" s="14"/>
      <c r="X671" s="7"/>
      <c r="Y671" s="15" t="str">
        <f t="shared" si="42"/>
        <v/>
      </c>
      <c r="Z671" s="14"/>
      <c r="AA671" s="7"/>
      <c r="AB671" s="15" t="str">
        <f t="shared" si="43"/>
        <v/>
      </c>
    </row>
    <row r="672" spans="1:28">
      <c r="A672" s="19">
        <v>669</v>
      </c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Q672" s="14"/>
      <c r="R672" s="7"/>
      <c r="S672" s="15" t="str">
        <f t="shared" si="40"/>
        <v/>
      </c>
      <c r="T672" s="14"/>
      <c r="U672" s="7"/>
      <c r="V672" s="15" t="str">
        <f t="shared" si="41"/>
        <v/>
      </c>
      <c r="W672" s="14"/>
      <c r="X672" s="7"/>
      <c r="Y672" s="15" t="str">
        <f t="shared" si="42"/>
        <v/>
      </c>
      <c r="Z672" s="14"/>
      <c r="AA672" s="7"/>
      <c r="AB672" s="15" t="str">
        <f t="shared" si="43"/>
        <v/>
      </c>
    </row>
    <row r="673" spans="1:28">
      <c r="A673" s="19">
        <v>670</v>
      </c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Q673" s="14"/>
      <c r="R673" s="7"/>
      <c r="S673" s="15" t="str">
        <f t="shared" si="40"/>
        <v/>
      </c>
      <c r="T673" s="14"/>
      <c r="U673" s="7"/>
      <c r="V673" s="15" t="str">
        <f t="shared" si="41"/>
        <v/>
      </c>
      <c r="W673" s="14"/>
      <c r="X673" s="7"/>
      <c r="Y673" s="15" t="str">
        <f t="shared" si="42"/>
        <v/>
      </c>
      <c r="Z673" s="14"/>
      <c r="AA673" s="7"/>
      <c r="AB673" s="15" t="str">
        <f t="shared" si="43"/>
        <v/>
      </c>
    </row>
    <row r="674" spans="1:28">
      <c r="A674" s="19">
        <v>671</v>
      </c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Q674" s="14"/>
      <c r="R674" s="7"/>
      <c r="S674" s="15" t="str">
        <f t="shared" si="40"/>
        <v/>
      </c>
      <c r="T674" s="14"/>
      <c r="U674" s="7"/>
      <c r="V674" s="15" t="str">
        <f t="shared" si="41"/>
        <v/>
      </c>
      <c r="W674" s="14"/>
      <c r="X674" s="7"/>
      <c r="Y674" s="15" t="str">
        <f t="shared" si="42"/>
        <v/>
      </c>
      <c r="Z674" s="14"/>
      <c r="AA674" s="7"/>
      <c r="AB674" s="15" t="str">
        <f t="shared" si="43"/>
        <v/>
      </c>
    </row>
    <row r="675" spans="1:28">
      <c r="A675" s="19">
        <v>672</v>
      </c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Q675" s="14"/>
      <c r="R675" s="7"/>
      <c r="S675" s="15" t="str">
        <f t="shared" si="40"/>
        <v/>
      </c>
      <c r="T675" s="14"/>
      <c r="U675" s="7"/>
      <c r="V675" s="15" t="str">
        <f t="shared" si="41"/>
        <v/>
      </c>
      <c r="W675" s="14"/>
      <c r="X675" s="7"/>
      <c r="Y675" s="15" t="str">
        <f t="shared" si="42"/>
        <v/>
      </c>
      <c r="Z675" s="14"/>
      <c r="AA675" s="7"/>
      <c r="AB675" s="15" t="str">
        <f t="shared" si="43"/>
        <v/>
      </c>
    </row>
    <row r="676" spans="1:28">
      <c r="A676" s="19">
        <v>673</v>
      </c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Q676" s="14"/>
      <c r="R676" s="7"/>
      <c r="S676" s="15" t="str">
        <f t="shared" si="40"/>
        <v/>
      </c>
      <c r="T676" s="14"/>
      <c r="U676" s="7"/>
      <c r="V676" s="15" t="str">
        <f t="shared" si="41"/>
        <v/>
      </c>
      <c r="W676" s="14"/>
      <c r="X676" s="7"/>
      <c r="Y676" s="15" t="str">
        <f t="shared" si="42"/>
        <v/>
      </c>
      <c r="Z676" s="14"/>
      <c r="AA676" s="7"/>
      <c r="AB676" s="15" t="str">
        <f t="shared" si="43"/>
        <v/>
      </c>
    </row>
    <row r="677" spans="1:28">
      <c r="A677" s="19">
        <v>674</v>
      </c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Q677" s="14"/>
      <c r="R677" s="7"/>
      <c r="S677" s="15" t="str">
        <f t="shared" si="40"/>
        <v/>
      </c>
      <c r="T677" s="14"/>
      <c r="U677" s="7"/>
      <c r="V677" s="15" t="str">
        <f t="shared" si="41"/>
        <v/>
      </c>
      <c r="W677" s="14"/>
      <c r="X677" s="7"/>
      <c r="Y677" s="15" t="str">
        <f t="shared" si="42"/>
        <v/>
      </c>
      <c r="Z677" s="14"/>
      <c r="AA677" s="7"/>
      <c r="AB677" s="15" t="str">
        <f t="shared" si="43"/>
        <v/>
      </c>
    </row>
    <row r="678" spans="1:28">
      <c r="A678" s="19">
        <v>675</v>
      </c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Q678" s="14"/>
      <c r="R678" s="7"/>
      <c r="S678" s="15" t="str">
        <f t="shared" si="40"/>
        <v/>
      </c>
      <c r="T678" s="14"/>
      <c r="U678" s="7"/>
      <c r="V678" s="15" t="str">
        <f t="shared" si="41"/>
        <v/>
      </c>
      <c r="W678" s="14"/>
      <c r="X678" s="7"/>
      <c r="Y678" s="15" t="str">
        <f t="shared" si="42"/>
        <v/>
      </c>
      <c r="Z678" s="14"/>
      <c r="AA678" s="7"/>
      <c r="AB678" s="15" t="str">
        <f t="shared" si="43"/>
        <v/>
      </c>
    </row>
    <row r="679" spans="1:28">
      <c r="A679" s="19">
        <v>676</v>
      </c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Q679" s="14"/>
      <c r="R679" s="7"/>
      <c r="S679" s="15" t="str">
        <f t="shared" si="40"/>
        <v/>
      </c>
      <c r="T679" s="14"/>
      <c r="U679" s="7"/>
      <c r="V679" s="15" t="str">
        <f t="shared" si="41"/>
        <v/>
      </c>
      <c r="W679" s="14"/>
      <c r="X679" s="7"/>
      <c r="Y679" s="15" t="str">
        <f t="shared" si="42"/>
        <v/>
      </c>
      <c r="Z679" s="14"/>
      <c r="AA679" s="7"/>
      <c r="AB679" s="15" t="str">
        <f t="shared" si="43"/>
        <v/>
      </c>
    </row>
    <row r="680" spans="1:28">
      <c r="A680" s="19">
        <v>677</v>
      </c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Q680" s="14"/>
      <c r="R680" s="7"/>
      <c r="S680" s="15" t="str">
        <f t="shared" si="40"/>
        <v/>
      </c>
      <c r="T680" s="14"/>
      <c r="U680" s="7"/>
      <c r="V680" s="15" t="str">
        <f t="shared" si="41"/>
        <v/>
      </c>
      <c r="W680" s="14"/>
      <c r="X680" s="7"/>
      <c r="Y680" s="15" t="str">
        <f t="shared" si="42"/>
        <v/>
      </c>
      <c r="Z680" s="14"/>
      <c r="AA680" s="7"/>
      <c r="AB680" s="15" t="str">
        <f t="shared" si="43"/>
        <v/>
      </c>
    </row>
    <row r="681" spans="1:28">
      <c r="A681" s="19">
        <v>678</v>
      </c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Q681" s="14"/>
      <c r="R681" s="7"/>
      <c r="S681" s="15" t="str">
        <f t="shared" si="40"/>
        <v/>
      </c>
      <c r="T681" s="14"/>
      <c r="U681" s="7"/>
      <c r="V681" s="15" t="str">
        <f t="shared" si="41"/>
        <v/>
      </c>
      <c r="W681" s="14"/>
      <c r="X681" s="7"/>
      <c r="Y681" s="15" t="str">
        <f t="shared" si="42"/>
        <v/>
      </c>
      <c r="Z681" s="14"/>
      <c r="AA681" s="7"/>
      <c r="AB681" s="15" t="str">
        <f t="shared" si="43"/>
        <v/>
      </c>
    </row>
    <row r="682" spans="1:28">
      <c r="A682" s="19">
        <v>679</v>
      </c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Q682" s="14"/>
      <c r="R682" s="7"/>
      <c r="S682" s="15" t="str">
        <f t="shared" si="40"/>
        <v/>
      </c>
      <c r="T682" s="14"/>
      <c r="U682" s="7"/>
      <c r="V682" s="15" t="str">
        <f t="shared" si="41"/>
        <v/>
      </c>
      <c r="W682" s="14"/>
      <c r="X682" s="7"/>
      <c r="Y682" s="15" t="str">
        <f t="shared" si="42"/>
        <v/>
      </c>
      <c r="Z682" s="14"/>
      <c r="AA682" s="7"/>
      <c r="AB682" s="15" t="str">
        <f t="shared" si="43"/>
        <v/>
      </c>
    </row>
    <row r="683" spans="1:28">
      <c r="A683" s="19">
        <v>680</v>
      </c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Q683" s="14"/>
      <c r="R683" s="7"/>
      <c r="S683" s="15" t="str">
        <f t="shared" si="40"/>
        <v/>
      </c>
      <c r="T683" s="14"/>
      <c r="U683" s="7"/>
      <c r="V683" s="15" t="str">
        <f t="shared" si="41"/>
        <v/>
      </c>
      <c r="W683" s="14"/>
      <c r="X683" s="7"/>
      <c r="Y683" s="15" t="str">
        <f t="shared" si="42"/>
        <v/>
      </c>
      <c r="Z683" s="14"/>
      <c r="AA683" s="7"/>
      <c r="AB683" s="15" t="str">
        <f t="shared" si="43"/>
        <v/>
      </c>
    </row>
    <row r="684" spans="1:28">
      <c r="A684" s="19">
        <v>681</v>
      </c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Q684" s="14"/>
      <c r="R684" s="7"/>
      <c r="S684" s="15" t="str">
        <f t="shared" si="40"/>
        <v/>
      </c>
      <c r="T684" s="14"/>
      <c r="U684" s="7"/>
      <c r="V684" s="15" t="str">
        <f t="shared" si="41"/>
        <v/>
      </c>
      <c r="W684" s="14"/>
      <c r="X684" s="7"/>
      <c r="Y684" s="15" t="str">
        <f t="shared" si="42"/>
        <v/>
      </c>
      <c r="Z684" s="14"/>
      <c r="AA684" s="7"/>
      <c r="AB684" s="15" t="str">
        <f t="shared" si="43"/>
        <v/>
      </c>
    </row>
    <row r="685" spans="1:28">
      <c r="A685" s="19">
        <v>682</v>
      </c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Q685" s="14"/>
      <c r="R685" s="7"/>
      <c r="S685" s="15" t="str">
        <f t="shared" si="40"/>
        <v/>
      </c>
      <c r="T685" s="14"/>
      <c r="U685" s="7"/>
      <c r="V685" s="15" t="str">
        <f t="shared" si="41"/>
        <v/>
      </c>
      <c r="W685" s="14"/>
      <c r="X685" s="7"/>
      <c r="Y685" s="15" t="str">
        <f t="shared" si="42"/>
        <v/>
      </c>
      <c r="Z685" s="14"/>
      <c r="AA685" s="7"/>
      <c r="AB685" s="15" t="str">
        <f t="shared" si="43"/>
        <v/>
      </c>
    </row>
    <row r="686" spans="1:28">
      <c r="A686" s="19">
        <v>683</v>
      </c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Q686" s="14"/>
      <c r="R686" s="7"/>
      <c r="S686" s="15" t="str">
        <f t="shared" si="40"/>
        <v/>
      </c>
      <c r="T686" s="14"/>
      <c r="U686" s="7"/>
      <c r="V686" s="15" t="str">
        <f t="shared" si="41"/>
        <v/>
      </c>
      <c r="W686" s="14"/>
      <c r="X686" s="7"/>
      <c r="Y686" s="15" t="str">
        <f t="shared" si="42"/>
        <v/>
      </c>
      <c r="Z686" s="14"/>
      <c r="AA686" s="7"/>
      <c r="AB686" s="15" t="str">
        <f t="shared" si="43"/>
        <v/>
      </c>
    </row>
    <row r="687" spans="1:28">
      <c r="A687" s="19">
        <v>684</v>
      </c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Q687" s="14"/>
      <c r="R687" s="7"/>
      <c r="S687" s="15" t="str">
        <f t="shared" si="40"/>
        <v/>
      </c>
      <c r="T687" s="14"/>
      <c r="U687" s="7"/>
      <c r="V687" s="15" t="str">
        <f t="shared" si="41"/>
        <v/>
      </c>
      <c r="W687" s="14"/>
      <c r="X687" s="7"/>
      <c r="Y687" s="15" t="str">
        <f t="shared" si="42"/>
        <v/>
      </c>
      <c r="Z687" s="14"/>
      <c r="AA687" s="7"/>
      <c r="AB687" s="15" t="str">
        <f t="shared" si="43"/>
        <v/>
      </c>
    </row>
    <row r="688" spans="1:28">
      <c r="A688" s="19">
        <v>685</v>
      </c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Q688" s="14"/>
      <c r="R688" s="7"/>
      <c r="S688" s="15" t="str">
        <f t="shared" si="40"/>
        <v/>
      </c>
      <c r="T688" s="14"/>
      <c r="U688" s="7"/>
      <c r="V688" s="15" t="str">
        <f t="shared" si="41"/>
        <v/>
      </c>
      <c r="W688" s="14"/>
      <c r="X688" s="7"/>
      <c r="Y688" s="15" t="str">
        <f t="shared" si="42"/>
        <v/>
      </c>
      <c r="Z688" s="14"/>
      <c r="AA688" s="7"/>
      <c r="AB688" s="15" t="str">
        <f t="shared" si="43"/>
        <v/>
      </c>
    </row>
    <row r="689" spans="1:28">
      <c r="A689" s="19">
        <v>686</v>
      </c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Q689" s="14"/>
      <c r="R689" s="7"/>
      <c r="S689" s="15" t="str">
        <f t="shared" si="40"/>
        <v/>
      </c>
      <c r="T689" s="14"/>
      <c r="U689" s="7"/>
      <c r="V689" s="15" t="str">
        <f t="shared" si="41"/>
        <v/>
      </c>
      <c r="W689" s="14"/>
      <c r="X689" s="7"/>
      <c r="Y689" s="15" t="str">
        <f t="shared" si="42"/>
        <v/>
      </c>
      <c r="Z689" s="14"/>
      <c r="AA689" s="7"/>
      <c r="AB689" s="15" t="str">
        <f t="shared" si="43"/>
        <v/>
      </c>
    </row>
    <row r="690" spans="1:28">
      <c r="A690" s="19">
        <v>687</v>
      </c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Q690" s="14"/>
      <c r="R690" s="7"/>
      <c r="S690" s="15" t="str">
        <f t="shared" si="40"/>
        <v/>
      </c>
      <c r="T690" s="14"/>
      <c r="U690" s="7"/>
      <c r="V690" s="15" t="str">
        <f t="shared" si="41"/>
        <v/>
      </c>
      <c r="W690" s="14"/>
      <c r="X690" s="7"/>
      <c r="Y690" s="15" t="str">
        <f t="shared" si="42"/>
        <v/>
      </c>
      <c r="Z690" s="14"/>
      <c r="AA690" s="7"/>
      <c r="AB690" s="15" t="str">
        <f t="shared" si="43"/>
        <v/>
      </c>
    </row>
    <row r="691" spans="1:28">
      <c r="A691" s="19">
        <v>688</v>
      </c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Q691" s="14"/>
      <c r="R691" s="7"/>
      <c r="S691" s="15" t="str">
        <f t="shared" si="40"/>
        <v/>
      </c>
      <c r="T691" s="14"/>
      <c r="U691" s="7"/>
      <c r="V691" s="15" t="str">
        <f t="shared" si="41"/>
        <v/>
      </c>
      <c r="W691" s="14"/>
      <c r="X691" s="7"/>
      <c r="Y691" s="15" t="str">
        <f t="shared" si="42"/>
        <v/>
      </c>
      <c r="Z691" s="14"/>
      <c r="AA691" s="7"/>
      <c r="AB691" s="15" t="str">
        <f t="shared" si="43"/>
        <v/>
      </c>
    </row>
    <row r="692" spans="1:28">
      <c r="A692" s="19">
        <v>689</v>
      </c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Q692" s="14"/>
      <c r="R692" s="7"/>
      <c r="S692" s="15" t="str">
        <f t="shared" si="40"/>
        <v/>
      </c>
      <c r="T692" s="14"/>
      <c r="U692" s="7"/>
      <c r="V692" s="15" t="str">
        <f t="shared" si="41"/>
        <v/>
      </c>
      <c r="W692" s="14"/>
      <c r="X692" s="7"/>
      <c r="Y692" s="15" t="str">
        <f t="shared" si="42"/>
        <v/>
      </c>
      <c r="Z692" s="14"/>
      <c r="AA692" s="7"/>
      <c r="AB692" s="15" t="str">
        <f t="shared" si="43"/>
        <v/>
      </c>
    </row>
    <row r="693" spans="1:28">
      <c r="A693" s="19">
        <v>690</v>
      </c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Q693" s="14"/>
      <c r="R693" s="7"/>
      <c r="S693" s="15" t="str">
        <f t="shared" si="40"/>
        <v/>
      </c>
      <c r="T693" s="14"/>
      <c r="U693" s="7"/>
      <c r="V693" s="15" t="str">
        <f t="shared" si="41"/>
        <v/>
      </c>
      <c r="W693" s="14"/>
      <c r="X693" s="7"/>
      <c r="Y693" s="15" t="str">
        <f t="shared" si="42"/>
        <v/>
      </c>
      <c r="Z693" s="14"/>
      <c r="AA693" s="7"/>
      <c r="AB693" s="15" t="str">
        <f t="shared" si="43"/>
        <v/>
      </c>
    </row>
    <row r="694" spans="1:28">
      <c r="A694" s="19">
        <v>691</v>
      </c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Q694" s="14"/>
      <c r="R694" s="7"/>
      <c r="S694" s="15" t="str">
        <f t="shared" si="40"/>
        <v/>
      </c>
      <c r="T694" s="14"/>
      <c r="U694" s="7"/>
      <c r="V694" s="15" t="str">
        <f t="shared" si="41"/>
        <v/>
      </c>
      <c r="W694" s="14"/>
      <c r="X694" s="7"/>
      <c r="Y694" s="15" t="str">
        <f t="shared" si="42"/>
        <v/>
      </c>
      <c r="Z694" s="14"/>
      <c r="AA694" s="7"/>
      <c r="AB694" s="15" t="str">
        <f t="shared" si="43"/>
        <v/>
      </c>
    </row>
    <row r="695" spans="1:28">
      <c r="A695" s="19">
        <v>692</v>
      </c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Q695" s="14"/>
      <c r="R695" s="7"/>
      <c r="S695" s="15" t="str">
        <f t="shared" si="40"/>
        <v/>
      </c>
      <c r="T695" s="14"/>
      <c r="U695" s="7"/>
      <c r="V695" s="15" t="str">
        <f t="shared" si="41"/>
        <v/>
      </c>
      <c r="W695" s="14"/>
      <c r="X695" s="7"/>
      <c r="Y695" s="15" t="str">
        <f t="shared" si="42"/>
        <v/>
      </c>
      <c r="Z695" s="14"/>
      <c r="AA695" s="7"/>
      <c r="AB695" s="15" t="str">
        <f t="shared" si="43"/>
        <v/>
      </c>
    </row>
    <row r="696" spans="1:28">
      <c r="A696" s="19">
        <v>693</v>
      </c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Q696" s="14"/>
      <c r="R696" s="7"/>
      <c r="S696" s="15" t="str">
        <f t="shared" si="40"/>
        <v/>
      </c>
      <c r="T696" s="14"/>
      <c r="U696" s="7"/>
      <c r="V696" s="15" t="str">
        <f t="shared" si="41"/>
        <v/>
      </c>
      <c r="W696" s="14"/>
      <c r="X696" s="7"/>
      <c r="Y696" s="15" t="str">
        <f t="shared" si="42"/>
        <v/>
      </c>
      <c r="Z696" s="14"/>
      <c r="AA696" s="7"/>
      <c r="AB696" s="15" t="str">
        <f t="shared" si="43"/>
        <v/>
      </c>
    </row>
    <row r="697" spans="1:28">
      <c r="A697" s="19">
        <v>694</v>
      </c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Q697" s="14"/>
      <c r="R697" s="7"/>
      <c r="S697" s="15" t="str">
        <f t="shared" si="40"/>
        <v/>
      </c>
      <c r="T697" s="14"/>
      <c r="U697" s="7"/>
      <c r="V697" s="15" t="str">
        <f t="shared" si="41"/>
        <v/>
      </c>
      <c r="W697" s="14"/>
      <c r="X697" s="7"/>
      <c r="Y697" s="15" t="str">
        <f t="shared" si="42"/>
        <v/>
      </c>
      <c r="Z697" s="14"/>
      <c r="AA697" s="7"/>
      <c r="AB697" s="15" t="str">
        <f t="shared" si="43"/>
        <v/>
      </c>
    </row>
    <row r="698" spans="1:28">
      <c r="A698" s="19">
        <v>695</v>
      </c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Q698" s="14"/>
      <c r="R698" s="7"/>
      <c r="S698" s="15" t="str">
        <f t="shared" si="40"/>
        <v/>
      </c>
      <c r="T698" s="14"/>
      <c r="U698" s="7"/>
      <c r="V698" s="15" t="str">
        <f t="shared" si="41"/>
        <v/>
      </c>
      <c r="W698" s="14"/>
      <c r="X698" s="7"/>
      <c r="Y698" s="15" t="str">
        <f t="shared" si="42"/>
        <v/>
      </c>
      <c r="Z698" s="14"/>
      <c r="AA698" s="7"/>
      <c r="AB698" s="15" t="str">
        <f t="shared" si="43"/>
        <v/>
      </c>
    </row>
    <row r="699" spans="1:28">
      <c r="A699" s="19">
        <v>696</v>
      </c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Q699" s="14"/>
      <c r="R699" s="7"/>
      <c r="S699" s="15" t="str">
        <f t="shared" si="40"/>
        <v/>
      </c>
      <c r="T699" s="14"/>
      <c r="U699" s="7"/>
      <c r="V699" s="15" t="str">
        <f t="shared" si="41"/>
        <v/>
      </c>
      <c r="W699" s="14"/>
      <c r="X699" s="7"/>
      <c r="Y699" s="15" t="str">
        <f t="shared" si="42"/>
        <v/>
      </c>
      <c r="Z699" s="14"/>
      <c r="AA699" s="7"/>
      <c r="AB699" s="15" t="str">
        <f t="shared" si="43"/>
        <v/>
      </c>
    </row>
    <row r="700" spans="1:28">
      <c r="A700" s="19">
        <v>697</v>
      </c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Q700" s="14"/>
      <c r="R700" s="7"/>
      <c r="S700" s="15" t="str">
        <f t="shared" si="40"/>
        <v/>
      </c>
      <c r="T700" s="14"/>
      <c r="U700" s="7"/>
      <c r="V700" s="15" t="str">
        <f t="shared" si="41"/>
        <v/>
      </c>
      <c r="W700" s="14"/>
      <c r="X700" s="7"/>
      <c r="Y700" s="15" t="str">
        <f t="shared" si="42"/>
        <v/>
      </c>
      <c r="Z700" s="14"/>
      <c r="AA700" s="7"/>
      <c r="AB700" s="15" t="str">
        <f t="shared" si="43"/>
        <v/>
      </c>
    </row>
    <row r="701" spans="1:28">
      <c r="A701" s="19">
        <v>698</v>
      </c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Q701" s="14"/>
      <c r="R701" s="7"/>
      <c r="S701" s="15" t="str">
        <f t="shared" si="40"/>
        <v/>
      </c>
      <c r="T701" s="14"/>
      <c r="U701" s="7"/>
      <c r="V701" s="15" t="str">
        <f t="shared" si="41"/>
        <v/>
      </c>
      <c r="W701" s="14"/>
      <c r="X701" s="7"/>
      <c r="Y701" s="15" t="str">
        <f t="shared" si="42"/>
        <v/>
      </c>
      <c r="Z701" s="14"/>
      <c r="AA701" s="7"/>
      <c r="AB701" s="15" t="str">
        <f t="shared" si="43"/>
        <v/>
      </c>
    </row>
    <row r="702" spans="1:28">
      <c r="A702" s="19">
        <v>699</v>
      </c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Q702" s="14"/>
      <c r="R702" s="7"/>
      <c r="S702" s="15" t="str">
        <f t="shared" si="40"/>
        <v/>
      </c>
      <c r="T702" s="14"/>
      <c r="U702" s="7"/>
      <c r="V702" s="15" t="str">
        <f t="shared" si="41"/>
        <v/>
      </c>
      <c r="W702" s="14"/>
      <c r="X702" s="7"/>
      <c r="Y702" s="15" t="str">
        <f t="shared" si="42"/>
        <v/>
      </c>
      <c r="Z702" s="14"/>
      <c r="AA702" s="7"/>
      <c r="AB702" s="15" t="str">
        <f t="shared" si="43"/>
        <v/>
      </c>
    </row>
    <row r="703" spans="1:28">
      <c r="A703" s="19">
        <v>700</v>
      </c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Q703" s="14"/>
      <c r="R703" s="7"/>
      <c r="S703" s="15" t="str">
        <f t="shared" si="40"/>
        <v/>
      </c>
      <c r="T703" s="14"/>
      <c r="U703" s="7"/>
      <c r="V703" s="15" t="str">
        <f t="shared" si="41"/>
        <v/>
      </c>
      <c r="W703" s="14"/>
      <c r="X703" s="7"/>
      <c r="Y703" s="15" t="str">
        <f t="shared" si="42"/>
        <v/>
      </c>
      <c r="Z703" s="14"/>
      <c r="AA703" s="7"/>
      <c r="AB703" s="15" t="str">
        <f t="shared" si="43"/>
        <v/>
      </c>
    </row>
    <row r="704" spans="1:28">
      <c r="A704" s="19">
        <v>701</v>
      </c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Q704" s="14"/>
      <c r="R704" s="7"/>
      <c r="S704" s="15" t="str">
        <f t="shared" si="40"/>
        <v/>
      </c>
      <c r="T704" s="14"/>
      <c r="U704" s="7"/>
      <c r="V704" s="15" t="str">
        <f t="shared" si="41"/>
        <v/>
      </c>
      <c r="W704" s="14"/>
      <c r="X704" s="7"/>
      <c r="Y704" s="15" t="str">
        <f t="shared" si="42"/>
        <v/>
      </c>
      <c r="Z704" s="14"/>
      <c r="AA704" s="7"/>
      <c r="AB704" s="15" t="str">
        <f t="shared" si="43"/>
        <v/>
      </c>
    </row>
    <row r="705" spans="1:28">
      <c r="A705" s="19">
        <v>702</v>
      </c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Q705" s="14"/>
      <c r="R705" s="7"/>
      <c r="S705" s="15" t="str">
        <f t="shared" si="40"/>
        <v/>
      </c>
      <c r="T705" s="14"/>
      <c r="U705" s="7"/>
      <c r="V705" s="15" t="str">
        <f t="shared" si="41"/>
        <v/>
      </c>
      <c r="W705" s="14"/>
      <c r="X705" s="7"/>
      <c r="Y705" s="15" t="str">
        <f t="shared" si="42"/>
        <v/>
      </c>
      <c r="Z705" s="14"/>
      <c r="AA705" s="7"/>
      <c r="AB705" s="15" t="str">
        <f t="shared" si="43"/>
        <v/>
      </c>
    </row>
    <row r="706" spans="1:28">
      <c r="A706" s="19">
        <v>703</v>
      </c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Q706" s="14"/>
      <c r="R706" s="7"/>
      <c r="S706" s="15" t="str">
        <f t="shared" si="40"/>
        <v/>
      </c>
      <c r="T706" s="14"/>
      <c r="U706" s="7"/>
      <c r="V706" s="15" t="str">
        <f t="shared" si="41"/>
        <v/>
      </c>
      <c r="W706" s="14"/>
      <c r="X706" s="7"/>
      <c r="Y706" s="15" t="str">
        <f t="shared" si="42"/>
        <v/>
      </c>
      <c r="Z706" s="14"/>
      <c r="AA706" s="7"/>
      <c r="AB706" s="15" t="str">
        <f t="shared" si="43"/>
        <v/>
      </c>
    </row>
    <row r="707" spans="1:28">
      <c r="A707" s="19">
        <v>704</v>
      </c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Q707" s="14"/>
      <c r="R707" s="7"/>
      <c r="S707" s="15" t="str">
        <f t="shared" si="40"/>
        <v/>
      </c>
      <c r="T707" s="14"/>
      <c r="U707" s="7"/>
      <c r="V707" s="15" t="str">
        <f t="shared" si="41"/>
        <v/>
      </c>
      <c r="W707" s="14"/>
      <c r="X707" s="7"/>
      <c r="Y707" s="15" t="str">
        <f t="shared" si="42"/>
        <v/>
      </c>
      <c r="Z707" s="14"/>
      <c r="AA707" s="7"/>
      <c r="AB707" s="15" t="str">
        <f t="shared" si="43"/>
        <v/>
      </c>
    </row>
    <row r="708" spans="1:28">
      <c r="A708" s="19">
        <v>705</v>
      </c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Q708" s="14"/>
      <c r="R708" s="7"/>
      <c r="S708" s="15" t="str">
        <f t="shared" si="40"/>
        <v/>
      </c>
      <c r="T708" s="14"/>
      <c r="U708" s="7"/>
      <c r="V708" s="15" t="str">
        <f t="shared" si="41"/>
        <v/>
      </c>
      <c r="W708" s="14"/>
      <c r="X708" s="7"/>
      <c r="Y708" s="15" t="str">
        <f t="shared" si="42"/>
        <v/>
      </c>
      <c r="Z708" s="14"/>
      <c r="AA708" s="7"/>
      <c r="AB708" s="15" t="str">
        <f t="shared" si="43"/>
        <v/>
      </c>
    </row>
    <row r="709" spans="1:28">
      <c r="A709" s="19">
        <v>706</v>
      </c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Q709" s="14"/>
      <c r="R709" s="7"/>
      <c r="S709" s="15" t="str">
        <f t="shared" ref="S709:S772" si="44">IF(OR($H709="",Q709=""),"",Q709+(R709/$H709))</f>
        <v/>
      </c>
      <c r="T709" s="14"/>
      <c r="U709" s="7"/>
      <c r="V709" s="15" t="str">
        <f t="shared" ref="V709:V772" si="45">IF(OR($H709="",T709=""),"",T709+(U709/$H709))</f>
        <v/>
      </c>
      <c r="W709" s="14"/>
      <c r="X709" s="7"/>
      <c r="Y709" s="15" t="str">
        <f t="shared" ref="Y709:Y772" si="46">IF(OR($H709="",W709=""),"",W709+(X709/$H709))</f>
        <v/>
      </c>
      <c r="Z709" s="14"/>
      <c r="AA709" s="7"/>
      <c r="AB709" s="15" t="str">
        <f t="shared" ref="AB709:AB772" si="47">IF(OR($H709="",Z709=""),"",Z709+(AA709/$H709))</f>
        <v/>
      </c>
    </row>
    <row r="710" spans="1:28">
      <c r="A710" s="19">
        <v>707</v>
      </c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Q710" s="14"/>
      <c r="R710" s="7"/>
      <c r="S710" s="15" t="str">
        <f t="shared" si="44"/>
        <v/>
      </c>
      <c r="T710" s="14"/>
      <c r="U710" s="7"/>
      <c r="V710" s="15" t="str">
        <f t="shared" si="45"/>
        <v/>
      </c>
      <c r="W710" s="14"/>
      <c r="X710" s="7"/>
      <c r="Y710" s="15" t="str">
        <f t="shared" si="46"/>
        <v/>
      </c>
      <c r="Z710" s="14"/>
      <c r="AA710" s="7"/>
      <c r="AB710" s="15" t="str">
        <f t="shared" si="47"/>
        <v/>
      </c>
    </row>
    <row r="711" spans="1:28">
      <c r="A711" s="19">
        <v>708</v>
      </c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Q711" s="14"/>
      <c r="R711" s="7"/>
      <c r="S711" s="15" t="str">
        <f t="shared" si="44"/>
        <v/>
      </c>
      <c r="T711" s="14"/>
      <c r="U711" s="7"/>
      <c r="V711" s="15" t="str">
        <f t="shared" si="45"/>
        <v/>
      </c>
      <c r="W711" s="14"/>
      <c r="X711" s="7"/>
      <c r="Y711" s="15" t="str">
        <f t="shared" si="46"/>
        <v/>
      </c>
      <c r="Z711" s="14"/>
      <c r="AA711" s="7"/>
      <c r="AB711" s="15" t="str">
        <f t="shared" si="47"/>
        <v/>
      </c>
    </row>
    <row r="712" spans="1:28">
      <c r="A712" s="19">
        <v>709</v>
      </c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Q712" s="14"/>
      <c r="R712" s="7"/>
      <c r="S712" s="15" t="str">
        <f t="shared" si="44"/>
        <v/>
      </c>
      <c r="T712" s="14"/>
      <c r="U712" s="7"/>
      <c r="V712" s="15" t="str">
        <f t="shared" si="45"/>
        <v/>
      </c>
      <c r="W712" s="14"/>
      <c r="X712" s="7"/>
      <c r="Y712" s="15" t="str">
        <f t="shared" si="46"/>
        <v/>
      </c>
      <c r="Z712" s="14"/>
      <c r="AA712" s="7"/>
      <c r="AB712" s="15" t="str">
        <f t="shared" si="47"/>
        <v/>
      </c>
    </row>
    <row r="713" spans="1:28">
      <c r="A713" s="19">
        <v>710</v>
      </c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Q713" s="14"/>
      <c r="R713" s="7"/>
      <c r="S713" s="15" t="str">
        <f t="shared" si="44"/>
        <v/>
      </c>
      <c r="T713" s="14"/>
      <c r="U713" s="7"/>
      <c r="V713" s="15" t="str">
        <f t="shared" si="45"/>
        <v/>
      </c>
      <c r="W713" s="14"/>
      <c r="X713" s="7"/>
      <c r="Y713" s="15" t="str">
        <f t="shared" si="46"/>
        <v/>
      </c>
      <c r="Z713" s="14"/>
      <c r="AA713" s="7"/>
      <c r="AB713" s="15" t="str">
        <f t="shared" si="47"/>
        <v/>
      </c>
    </row>
    <row r="714" spans="1:28">
      <c r="A714" s="19">
        <v>711</v>
      </c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Q714" s="14"/>
      <c r="R714" s="7"/>
      <c r="S714" s="15" t="str">
        <f t="shared" si="44"/>
        <v/>
      </c>
      <c r="T714" s="14"/>
      <c r="U714" s="7"/>
      <c r="V714" s="15" t="str">
        <f t="shared" si="45"/>
        <v/>
      </c>
      <c r="W714" s="14"/>
      <c r="X714" s="7"/>
      <c r="Y714" s="15" t="str">
        <f t="shared" si="46"/>
        <v/>
      </c>
      <c r="Z714" s="14"/>
      <c r="AA714" s="7"/>
      <c r="AB714" s="15" t="str">
        <f t="shared" si="47"/>
        <v/>
      </c>
    </row>
    <row r="715" spans="1:28">
      <c r="A715" s="19">
        <v>712</v>
      </c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Q715" s="14"/>
      <c r="R715" s="7"/>
      <c r="S715" s="15" t="str">
        <f t="shared" si="44"/>
        <v/>
      </c>
      <c r="T715" s="14"/>
      <c r="U715" s="7"/>
      <c r="V715" s="15" t="str">
        <f t="shared" si="45"/>
        <v/>
      </c>
      <c r="W715" s="14"/>
      <c r="X715" s="7"/>
      <c r="Y715" s="15" t="str">
        <f t="shared" si="46"/>
        <v/>
      </c>
      <c r="Z715" s="14"/>
      <c r="AA715" s="7"/>
      <c r="AB715" s="15" t="str">
        <f t="shared" si="47"/>
        <v/>
      </c>
    </row>
    <row r="716" spans="1:28">
      <c r="A716" s="19">
        <v>713</v>
      </c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Q716" s="14"/>
      <c r="R716" s="7"/>
      <c r="S716" s="15" t="str">
        <f t="shared" si="44"/>
        <v/>
      </c>
      <c r="T716" s="14"/>
      <c r="U716" s="7"/>
      <c r="V716" s="15" t="str">
        <f t="shared" si="45"/>
        <v/>
      </c>
      <c r="W716" s="14"/>
      <c r="X716" s="7"/>
      <c r="Y716" s="15" t="str">
        <f t="shared" si="46"/>
        <v/>
      </c>
      <c r="Z716" s="14"/>
      <c r="AA716" s="7"/>
      <c r="AB716" s="15" t="str">
        <f t="shared" si="47"/>
        <v/>
      </c>
    </row>
    <row r="717" spans="1:28">
      <c r="A717" s="19">
        <v>714</v>
      </c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Q717" s="14"/>
      <c r="R717" s="7"/>
      <c r="S717" s="15" t="str">
        <f t="shared" si="44"/>
        <v/>
      </c>
      <c r="T717" s="14"/>
      <c r="U717" s="7"/>
      <c r="V717" s="15" t="str">
        <f t="shared" si="45"/>
        <v/>
      </c>
      <c r="W717" s="14"/>
      <c r="X717" s="7"/>
      <c r="Y717" s="15" t="str">
        <f t="shared" si="46"/>
        <v/>
      </c>
      <c r="Z717" s="14"/>
      <c r="AA717" s="7"/>
      <c r="AB717" s="15" t="str">
        <f t="shared" si="47"/>
        <v/>
      </c>
    </row>
    <row r="718" spans="1:28">
      <c r="A718" s="19">
        <v>715</v>
      </c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Q718" s="14"/>
      <c r="R718" s="7"/>
      <c r="S718" s="15" t="str">
        <f t="shared" si="44"/>
        <v/>
      </c>
      <c r="T718" s="14"/>
      <c r="U718" s="7"/>
      <c r="V718" s="15" t="str">
        <f t="shared" si="45"/>
        <v/>
      </c>
      <c r="W718" s="14"/>
      <c r="X718" s="7"/>
      <c r="Y718" s="15" t="str">
        <f t="shared" si="46"/>
        <v/>
      </c>
      <c r="Z718" s="14"/>
      <c r="AA718" s="7"/>
      <c r="AB718" s="15" t="str">
        <f t="shared" si="47"/>
        <v/>
      </c>
    </row>
    <row r="719" spans="1:28">
      <c r="A719" s="19">
        <v>716</v>
      </c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Q719" s="14"/>
      <c r="R719" s="7"/>
      <c r="S719" s="15" t="str">
        <f t="shared" si="44"/>
        <v/>
      </c>
      <c r="T719" s="14"/>
      <c r="U719" s="7"/>
      <c r="V719" s="15" t="str">
        <f t="shared" si="45"/>
        <v/>
      </c>
      <c r="W719" s="14"/>
      <c r="X719" s="7"/>
      <c r="Y719" s="15" t="str">
        <f t="shared" si="46"/>
        <v/>
      </c>
      <c r="Z719" s="14"/>
      <c r="AA719" s="7"/>
      <c r="AB719" s="15" t="str">
        <f t="shared" si="47"/>
        <v/>
      </c>
    </row>
    <row r="720" spans="1:28">
      <c r="A720" s="19">
        <v>717</v>
      </c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Q720" s="14"/>
      <c r="R720" s="7"/>
      <c r="S720" s="15" t="str">
        <f t="shared" si="44"/>
        <v/>
      </c>
      <c r="T720" s="14"/>
      <c r="U720" s="7"/>
      <c r="V720" s="15" t="str">
        <f t="shared" si="45"/>
        <v/>
      </c>
      <c r="W720" s="14"/>
      <c r="X720" s="7"/>
      <c r="Y720" s="15" t="str">
        <f t="shared" si="46"/>
        <v/>
      </c>
      <c r="Z720" s="14"/>
      <c r="AA720" s="7"/>
      <c r="AB720" s="15" t="str">
        <f t="shared" si="47"/>
        <v/>
      </c>
    </row>
    <row r="721" spans="1:28">
      <c r="A721" s="19">
        <v>718</v>
      </c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Q721" s="14"/>
      <c r="R721" s="7"/>
      <c r="S721" s="15" t="str">
        <f t="shared" si="44"/>
        <v/>
      </c>
      <c r="T721" s="14"/>
      <c r="U721" s="7"/>
      <c r="V721" s="15" t="str">
        <f t="shared" si="45"/>
        <v/>
      </c>
      <c r="W721" s="14"/>
      <c r="X721" s="7"/>
      <c r="Y721" s="15" t="str">
        <f t="shared" si="46"/>
        <v/>
      </c>
      <c r="Z721" s="14"/>
      <c r="AA721" s="7"/>
      <c r="AB721" s="15" t="str">
        <f t="shared" si="47"/>
        <v/>
      </c>
    </row>
    <row r="722" spans="1:28">
      <c r="A722" s="19">
        <v>719</v>
      </c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Q722" s="14"/>
      <c r="R722" s="7"/>
      <c r="S722" s="15" t="str">
        <f t="shared" si="44"/>
        <v/>
      </c>
      <c r="T722" s="14"/>
      <c r="U722" s="7"/>
      <c r="V722" s="15" t="str">
        <f t="shared" si="45"/>
        <v/>
      </c>
      <c r="W722" s="14"/>
      <c r="X722" s="7"/>
      <c r="Y722" s="15" t="str">
        <f t="shared" si="46"/>
        <v/>
      </c>
      <c r="Z722" s="14"/>
      <c r="AA722" s="7"/>
      <c r="AB722" s="15" t="str">
        <f t="shared" si="47"/>
        <v/>
      </c>
    </row>
    <row r="723" spans="1:28">
      <c r="A723" s="19">
        <v>720</v>
      </c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Q723" s="14"/>
      <c r="R723" s="7"/>
      <c r="S723" s="15" t="str">
        <f t="shared" si="44"/>
        <v/>
      </c>
      <c r="T723" s="14"/>
      <c r="U723" s="7"/>
      <c r="V723" s="15" t="str">
        <f t="shared" si="45"/>
        <v/>
      </c>
      <c r="W723" s="14"/>
      <c r="X723" s="7"/>
      <c r="Y723" s="15" t="str">
        <f t="shared" si="46"/>
        <v/>
      </c>
      <c r="Z723" s="14"/>
      <c r="AA723" s="7"/>
      <c r="AB723" s="15" t="str">
        <f t="shared" si="47"/>
        <v/>
      </c>
    </row>
    <row r="724" spans="1:28">
      <c r="A724" s="19">
        <v>721</v>
      </c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Q724" s="14"/>
      <c r="R724" s="7"/>
      <c r="S724" s="15" t="str">
        <f t="shared" si="44"/>
        <v/>
      </c>
      <c r="T724" s="14"/>
      <c r="U724" s="7"/>
      <c r="V724" s="15" t="str">
        <f t="shared" si="45"/>
        <v/>
      </c>
      <c r="W724" s="14"/>
      <c r="X724" s="7"/>
      <c r="Y724" s="15" t="str">
        <f t="shared" si="46"/>
        <v/>
      </c>
      <c r="Z724" s="14"/>
      <c r="AA724" s="7"/>
      <c r="AB724" s="15" t="str">
        <f t="shared" si="47"/>
        <v/>
      </c>
    </row>
    <row r="725" spans="1:28">
      <c r="A725" s="19">
        <v>722</v>
      </c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Q725" s="14"/>
      <c r="R725" s="7"/>
      <c r="S725" s="15" t="str">
        <f t="shared" si="44"/>
        <v/>
      </c>
      <c r="T725" s="14"/>
      <c r="U725" s="7"/>
      <c r="V725" s="15" t="str">
        <f t="shared" si="45"/>
        <v/>
      </c>
      <c r="W725" s="14"/>
      <c r="X725" s="7"/>
      <c r="Y725" s="15" t="str">
        <f t="shared" si="46"/>
        <v/>
      </c>
      <c r="Z725" s="14"/>
      <c r="AA725" s="7"/>
      <c r="AB725" s="15" t="str">
        <f t="shared" si="47"/>
        <v/>
      </c>
    </row>
    <row r="726" spans="1:28">
      <c r="A726" s="19">
        <v>723</v>
      </c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Q726" s="14"/>
      <c r="R726" s="7"/>
      <c r="S726" s="15" t="str">
        <f t="shared" si="44"/>
        <v/>
      </c>
      <c r="T726" s="14"/>
      <c r="U726" s="7"/>
      <c r="V726" s="15" t="str">
        <f t="shared" si="45"/>
        <v/>
      </c>
      <c r="W726" s="14"/>
      <c r="X726" s="7"/>
      <c r="Y726" s="15" t="str">
        <f t="shared" si="46"/>
        <v/>
      </c>
      <c r="Z726" s="14"/>
      <c r="AA726" s="7"/>
      <c r="AB726" s="15" t="str">
        <f t="shared" si="47"/>
        <v/>
      </c>
    </row>
    <row r="727" spans="1:28">
      <c r="A727" s="19">
        <v>724</v>
      </c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Q727" s="14"/>
      <c r="R727" s="7"/>
      <c r="S727" s="15" t="str">
        <f t="shared" si="44"/>
        <v/>
      </c>
      <c r="T727" s="14"/>
      <c r="U727" s="7"/>
      <c r="V727" s="15" t="str">
        <f t="shared" si="45"/>
        <v/>
      </c>
      <c r="W727" s="14"/>
      <c r="X727" s="7"/>
      <c r="Y727" s="15" t="str">
        <f t="shared" si="46"/>
        <v/>
      </c>
      <c r="Z727" s="14"/>
      <c r="AA727" s="7"/>
      <c r="AB727" s="15" t="str">
        <f t="shared" si="47"/>
        <v/>
      </c>
    </row>
    <row r="728" spans="1:28">
      <c r="A728" s="19">
        <v>725</v>
      </c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Q728" s="14"/>
      <c r="R728" s="7"/>
      <c r="S728" s="15" t="str">
        <f t="shared" si="44"/>
        <v/>
      </c>
      <c r="T728" s="14"/>
      <c r="U728" s="7"/>
      <c r="V728" s="15" t="str">
        <f t="shared" si="45"/>
        <v/>
      </c>
      <c r="W728" s="14"/>
      <c r="X728" s="7"/>
      <c r="Y728" s="15" t="str">
        <f t="shared" si="46"/>
        <v/>
      </c>
      <c r="Z728" s="14"/>
      <c r="AA728" s="7"/>
      <c r="AB728" s="15" t="str">
        <f t="shared" si="47"/>
        <v/>
      </c>
    </row>
    <row r="729" spans="1:28">
      <c r="A729" s="19">
        <v>726</v>
      </c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Q729" s="14"/>
      <c r="R729" s="7"/>
      <c r="S729" s="15" t="str">
        <f t="shared" si="44"/>
        <v/>
      </c>
      <c r="T729" s="14"/>
      <c r="U729" s="7"/>
      <c r="V729" s="15" t="str">
        <f t="shared" si="45"/>
        <v/>
      </c>
      <c r="W729" s="14"/>
      <c r="X729" s="7"/>
      <c r="Y729" s="15" t="str">
        <f t="shared" si="46"/>
        <v/>
      </c>
      <c r="Z729" s="14"/>
      <c r="AA729" s="7"/>
      <c r="AB729" s="15" t="str">
        <f t="shared" si="47"/>
        <v/>
      </c>
    </row>
    <row r="730" spans="1:28">
      <c r="A730" s="19">
        <v>727</v>
      </c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Q730" s="14"/>
      <c r="R730" s="7"/>
      <c r="S730" s="15" t="str">
        <f t="shared" si="44"/>
        <v/>
      </c>
      <c r="T730" s="14"/>
      <c r="U730" s="7"/>
      <c r="V730" s="15" t="str">
        <f t="shared" si="45"/>
        <v/>
      </c>
      <c r="W730" s="14"/>
      <c r="X730" s="7"/>
      <c r="Y730" s="15" t="str">
        <f t="shared" si="46"/>
        <v/>
      </c>
      <c r="Z730" s="14"/>
      <c r="AA730" s="7"/>
      <c r="AB730" s="15" t="str">
        <f t="shared" si="47"/>
        <v/>
      </c>
    </row>
    <row r="731" spans="1:28">
      <c r="A731" s="19">
        <v>728</v>
      </c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Q731" s="14"/>
      <c r="R731" s="7"/>
      <c r="S731" s="15" t="str">
        <f t="shared" si="44"/>
        <v/>
      </c>
      <c r="T731" s="14"/>
      <c r="U731" s="7"/>
      <c r="V731" s="15" t="str">
        <f t="shared" si="45"/>
        <v/>
      </c>
      <c r="W731" s="14"/>
      <c r="X731" s="7"/>
      <c r="Y731" s="15" t="str">
        <f t="shared" si="46"/>
        <v/>
      </c>
      <c r="Z731" s="14"/>
      <c r="AA731" s="7"/>
      <c r="AB731" s="15" t="str">
        <f t="shared" si="47"/>
        <v/>
      </c>
    </row>
    <row r="732" spans="1:28">
      <c r="A732" s="19">
        <v>729</v>
      </c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Q732" s="14"/>
      <c r="R732" s="7"/>
      <c r="S732" s="15" t="str">
        <f t="shared" si="44"/>
        <v/>
      </c>
      <c r="T732" s="14"/>
      <c r="U732" s="7"/>
      <c r="V732" s="15" t="str">
        <f t="shared" si="45"/>
        <v/>
      </c>
      <c r="W732" s="14"/>
      <c r="X732" s="7"/>
      <c r="Y732" s="15" t="str">
        <f t="shared" si="46"/>
        <v/>
      </c>
      <c r="Z732" s="14"/>
      <c r="AA732" s="7"/>
      <c r="AB732" s="15" t="str">
        <f t="shared" si="47"/>
        <v/>
      </c>
    </row>
    <row r="733" spans="1:28">
      <c r="A733" s="19">
        <v>730</v>
      </c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Q733" s="14"/>
      <c r="R733" s="7"/>
      <c r="S733" s="15" t="str">
        <f t="shared" si="44"/>
        <v/>
      </c>
      <c r="T733" s="14"/>
      <c r="U733" s="7"/>
      <c r="V733" s="15" t="str">
        <f t="shared" si="45"/>
        <v/>
      </c>
      <c r="W733" s="14"/>
      <c r="X733" s="7"/>
      <c r="Y733" s="15" t="str">
        <f t="shared" si="46"/>
        <v/>
      </c>
      <c r="Z733" s="14"/>
      <c r="AA733" s="7"/>
      <c r="AB733" s="15" t="str">
        <f t="shared" si="47"/>
        <v/>
      </c>
    </row>
    <row r="734" spans="1:28">
      <c r="A734" s="19">
        <v>731</v>
      </c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Q734" s="14"/>
      <c r="R734" s="7"/>
      <c r="S734" s="15" t="str">
        <f t="shared" si="44"/>
        <v/>
      </c>
      <c r="T734" s="14"/>
      <c r="U734" s="7"/>
      <c r="V734" s="15" t="str">
        <f t="shared" si="45"/>
        <v/>
      </c>
      <c r="W734" s="14"/>
      <c r="X734" s="7"/>
      <c r="Y734" s="15" t="str">
        <f t="shared" si="46"/>
        <v/>
      </c>
      <c r="Z734" s="14"/>
      <c r="AA734" s="7"/>
      <c r="AB734" s="15" t="str">
        <f t="shared" si="47"/>
        <v/>
      </c>
    </row>
    <row r="735" spans="1:28">
      <c r="A735" s="19">
        <v>732</v>
      </c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Q735" s="14"/>
      <c r="R735" s="7"/>
      <c r="S735" s="15" t="str">
        <f t="shared" si="44"/>
        <v/>
      </c>
      <c r="T735" s="14"/>
      <c r="U735" s="7"/>
      <c r="V735" s="15" t="str">
        <f t="shared" si="45"/>
        <v/>
      </c>
      <c r="W735" s="14"/>
      <c r="X735" s="7"/>
      <c r="Y735" s="15" t="str">
        <f t="shared" si="46"/>
        <v/>
      </c>
      <c r="Z735" s="14"/>
      <c r="AA735" s="7"/>
      <c r="AB735" s="15" t="str">
        <f t="shared" si="47"/>
        <v/>
      </c>
    </row>
    <row r="736" spans="1:28">
      <c r="A736" s="19">
        <v>733</v>
      </c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Q736" s="14"/>
      <c r="R736" s="7"/>
      <c r="S736" s="15" t="str">
        <f t="shared" si="44"/>
        <v/>
      </c>
      <c r="T736" s="14"/>
      <c r="U736" s="7"/>
      <c r="V736" s="15" t="str">
        <f t="shared" si="45"/>
        <v/>
      </c>
      <c r="W736" s="14"/>
      <c r="X736" s="7"/>
      <c r="Y736" s="15" t="str">
        <f t="shared" si="46"/>
        <v/>
      </c>
      <c r="Z736" s="14"/>
      <c r="AA736" s="7"/>
      <c r="AB736" s="15" t="str">
        <f t="shared" si="47"/>
        <v/>
      </c>
    </row>
    <row r="737" spans="1:28">
      <c r="A737" s="19">
        <v>734</v>
      </c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Q737" s="14"/>
      <c r="R737" s="7"/>
      <c r="S737" s="15" t="str">
        <f t="shared" si="44"/>
        <v/>
      </c>
      <c r="T737" s="14"/>
      <c r="U737" s="7"/>
      <c r="V737" s="15" t="str">
        <f t="shared" si="45"/>
        <v/>
      </c>
      <c r="W737" s="14"/>
      <c r="X737" s="7"/>
      <c r="Y737" s="15" t="str">
        <f t="shared" si="46"/>
        <v/>
      </c>
      <c r="Z737" s="14"/>
      <c r="AA737" s="7"/>
      <c r="AB737" s="15" t="str">
        <f t="shared" si="47"/>
        <v/>
      </c>
    </row>
    <row r="738" spans="1:28">
      <c r="A738" s="19">
        <v>735</v>
      </c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Q738" s="14"/>
      <c r="R738" s="7"/>
      <c r="S738" s="15" t="str">
        <f t="shared" si="44"/>
        <v/>
      </c>
      <c r="T738" s="14"/>
      <c r="U738" s="7"/>
      <c r="V738" s="15" t="str">
        <f t="shared" si="45"/>
        <v/>
      </c>
      <c r="W738" s="14"/>
      <c r="X738" s="7"/>
      <c r="Y738" s="15" t="str">
        <f t="shared" si="46"/>
        <v/>
      </c>
      <c r="Z738" s="14"/>
      <c r="AA738" s="7"/>
      <c r="AB738" s="15" t="str">
        <f t="shared" si="47"/>
        <v/>
      </c>
    </row>
    <row r="739" spans="1:28">
      <c r="A739" s="19">
        <v>736</v>
      </c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Q739" s="14"/>
      <c r="R739" s="7"/>
      <c r="S739" s="15" t="str">
        <f t="shared" si="44"/>
        <v/>
      </c>
      <c r="T739" s="14"/>
      <c r="U739" s="7"/>
      <c r="V739" s="15" t="str">
        <f t="shared" si="45"/>
        <v/>
      </c>
      <c r="W739" s="14"/>
      <c r="X739" s="7"/>
      <c r="Y739" s="15" t="str">
        <f t="shared" si="46"/>
        <v/>
      </c>
      <c r="Z739" s="14"/>
      <c r="AA739" s="7"/>
      <c r="AB739" s="15" t="str">
        <f t="shared" si="47"/>
        <v/>
      </c>
    </row>
    <row r="740" spans="1:28">
      <c r="A740" s="19">
        <v>737</v>
      </c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Q740" s="14"/>
      <c r="R740" s="7"/>
      <c r="S740" s="15" t="str">
        <f t="shared" si="44"/>
        <v/>
      </c>
      <c r="T740" s="14"/>
      <c r="U740" s="7"/>
      <c r="V740" s="15" t="str">
        <f t="shared" si="45"/>
        <v/>
      </c>
      <c r="W740" s="14"/>
      <c r="X740" s="7"/>
      <c r="Y740" s="15" t="str">
        <f t="shared" si="46"/>
        <v/>
      </c>
      <c r="Z740" s="14"/>
      <c r="AA740" s="7"/>
      <c r="AB740" s="15" t="str">
        <f t="shared" si="47"/>
        <v/>
      </c>
    </row>
    <row r="741" spans="1:28">
      <c r="A741" s="19">
        <v>738</v>
      </c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Q741" s="14"/>
      <c r="R741" s="7"/>
      <c r="S741" s="15" t="str">
        <f t="shared" si="44"/>
        <v/>
      </c>
      <c r="T741" s="14"/>
      <c r="U741" s="7"/>
      <c r="V741" s="15" t="str">
        <f t="shared" si="45"/>
        <v/>
      </c>
      <c r="W741" s="14"/>
      <c r="X741" s="7"/>
      <c r="Y741" s="15" t="str">
        <f t="shared" si="46"/>
        <v/>
      </c>
      <c r="Z741" s="14"/>
      <c r="AA741" s="7"/>
      <c r="AB741" s="15" t="str">
        <f t="shared" si="47"/>
        <v/>
      </c>
    </row>
    <row r="742" spans="1:28">
      <c r="A742" s="19">
        <v>739</v>
      </c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Q742" s="14"/>
      <c r="R742" s="7"/>
      <c r="S742" s="15" t="str">
        <f t="shared" si="44"/>
        <v/>
      </c>
      <c r="T742" s="14"/>
      <c r="U742" s="7"/>
      <c r="V742" s="15" t="str">
        <f t="shared" si="45"/>
        <v/>
      </c>
      <c r="W742" s="14"/>
      <c r="X742" s="7"/>
      <c r="Y742" s="15" t="str">
        <f t="shared" si="46"/>
        <v/>
      </c>
      <c r="Z742" s="14"/>
      <c r="AA742" s="7"/>
      <c r="AB742" s="15" t="str">
        <f t="shared" si="47"/>
        <v/>
      </c>
    </row>
    <row r="743" spans="1:28">
      <c r="A743" s="19">
        <v>740</v>
      </c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Q743" s="14"/>
      <c r="R743" s="7"/>
      <c r="S743" s="15" t="str">
        <f t="shared" si="44"/>
        <v/>
      </c>
      <c r="T743" s="14"/>
      <c r="U743" s="7"/>
      <c r="V743" s="15" t="str">
        <f t="shared" si="45"/>
        <v/>
      </c>
      <c r="W743" s="14"/>
      <c r="X743" s="7"/>
      <c r="Y743" s="15" t="str">
        <f t="shared" si="46"/>
        <v/>
      </c>
      <c r="Z743" s="14"/>
      <c r="AA743" s="7"/>
      <c r="AB743" s="15" t="str">
        <f t="shared" si="47"/>
        <v/>
      </c>
    </row>
    <row r="744" spans="1:28">
      <c r="A744" s="19">
        <v>741</v>
      </c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Q744" s="14"/>
      <c r="R744" s="7"/>
      <c r="S744" s="15" t="str">
        <f t="shared" si="44"/>
        <v/>
      </c>
      <c r="T744" s="14"/>
      <c r="U744" s="7"/>
      <c r="V744" s="15" t="str">
        <f t="shared" si="45"/>
        <v/>
      </c>
      <c r="W744" s="14"/>
      <c r="X744" s="7"/>
      <c r="Y744" s="15" t="str">
        <f t="shared" si="46"/>
        <v/>
      </c>
      <c r="Z744" s="14"/>
      <c r="AA744" s="7"/>
      <c r="AB744" s="15" t="str">
        <f t="shared" si="47"/>
        <v/>
      </c>
    </row>
    <row r="745" spans="1:28">
      <c r="A745" s="19">
        <v>742</v>
      </c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Q745" s="14"/>
      <c r="R745" s="7"/>
      <c r="S745" s="15" t="str">
        <f t="shared" si="44"/>
        <v/>
      </c>
      <c r="T745" s="14"/>
      <c r="U745" s="7"/>
      <c r="V745" s="15" t="str">
        <f t="shared" si="45"/>
        <v/>
      </c>
      <c r="W745" s="14"/>
      <c r="X745" s="7"/>
      <c r="Y745" s="15" t="str">
        <f t="shared" si="46"/>
        <v/>
      </c>
      <c r="Z745" s="14"/>
      <c r="AA745" s="7"/>
      <c r="AB745" s="15" t="str">
        <f t="shared" si="47"/>
        <v/>
      </c>
    </row>
    <row r="746" spans="1:28">
      <c r="A746" s="19">
        <v>743</v>
      </c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Q746" s="14"/>
      <c r="R746" s="7"/>
      <c r="S746" s="15" t="str">
        <f t="shared" si="44"/>
        <v/>
      </c>
      <c r="T746" s="14"/>
      <c r="U746" s="7"/>
      <c r="V746" s="15" t="str">
        <f t="shared" si="45"/>
        <v/>
      </c>
      <c r="W746" s="14"/>
      <c r="X746" s="7"/>
      <c r="Y746" s="15" t="str">
        <f t="shared" si="46"/>
        <v/>
      </c>
      <c r="Z746" s="14"/>
      <c r="AA746" s="7"/>
      <c r="AB746" s="15" t="str">
        <f t="shared" si="47"/>
        <v/>
      </c>
    </row>
    <row r="747" spans="1:28">
      <c r="A747" s="19">
        <v>744</v>
      </c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Q747" s="14"/>
      <c r="R747" s="7"/>
      <c r="S747" s="15" t="str">
        <f t="shared" si="44"/>
        <v/>
      </c>
      <c r="T747" s="14"/>
      <c r="U747" s="7"/>
      <c r="V747" s="15" t="str">
        <f t="shared" si="45"/>
        <v/>
      </c>
      <c r="W747" s="14"/>
      <c r="X747" s="7"/>
      <c r="Y747" s="15" t="str">
        <f t="shared" si="46"/>
        <v/>
      </c>
      <c r="Z747" s="14"/>
      <c r="AA747" s="7"/>
      <c r="AB747" s="15" t="str">
        <f t="shared" si="47"/>
        <v/>
      </c>
    </row>
    <row r="748" spans="1:28">
      <c r="A748" s="19">
        <v>745</v>
      </c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Q748" s="14"/>
      <c r="R748" s="7"/>
      <c r="S748" s="15" t="str">
        <f t="shared" si="44"/>
        <v/>
      </c>
      <c r="T748" s="14"/>
      <c r="U748" s="7"/>
      <c r="V748" s="15" t="str">
        <f t="shared" si="45"/>
        <v/>
      </c>
      <c r="W748" s="14"/>
      <c r="X748" s="7"/>
      <c r="Y748" s="15" t="str">
        <f t="shared" si="46"/>
        <v/>
      </c>
      <c r="Z748" s="14"/>
      <c r="AA748" s="7"/>
      <c r="AB748" s="15" t="str">
        <f t="shared" si="47"/>
        <v/>
      </c>
    </row>
    <row r="749" spans="1:28">
      <c r="A749" s="19">
        <v>746</v>
      </c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Q749" s="14"/>
      <c r="R749" s="7"/>
      <c r="S749" s="15" t="str">
        <f t="shared" si="44"/>
        <v/>
      </c>
      <c r="T749" s="14"/>
      <c r="U749" s="7"/>
      <c r="V749" s="15" t="str">
        <f t="shared" si="45"/>
        <v/>
      </c>
      <c r="W749" s="14"/>
      <c r="X749" s="7"/>
      <c r="Y749" s="15" t="str">
        <f t="shared" si="46"/>
        <v/>
      </c>
      <c r="Z749" s="14"/>
      <c r="AA749" s="7"/>
      <c r="AB749" s="15" t="str">
        <f t="shared" si="47"/>
        <v/>
      </c>
    </row>
    <row r="750" spans="1:28">
      <c r="A750" s="19">
        <v>747</v>
      </c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Q750" s="14"/>
      <c r="R750" s="7"/>
      <c r="S750" s="15" t="str">
        <f t="shared" si="44"/>
        <v/>
      </c>
      <c r="T750" s="14"/>
      <c r="U750" s="7"/>
      <c r="V750" s="15" t="str">
        <f t="shared" si="45"/>
        <v/>
      </c>
      <c r="W750" s="14"/>
      <c r="X750" s="7"/>
      <c r="Y750" s="15" t="str">
        <f t="shared" si="46"/>
        <v/>
      </c>
      <c r="Z750" s="14"/>
      <c r="AA750" s="7"/>
      <c r="AB750" s="15" t="str">
        <f t="shared" si="47"/>
        <v/>
      </c>
    </row>
    <row r="751" spans="1:28">
      <c r="A751" s="19">
        <v>748</v>
      </c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Q751" s="14"/>
      <c r="R751" s="7"/>
      <c r="S751" s="15" t="str">
        <f t="shared" si="44"/>
        <v/>
      </c>
      <c r="T751" s="14"/>
      <c r="U751" s="7"/>
      <c r="V751" s="15" t="str">
        <f t="shared" si="45"/>
        <v/>
      </c>
      <c r="W751" s="14"/>
      <c r="X751" s="7"/>
      <c r="Y751" s="15" t="str">
        <f t="shared" si="46"/>
        <v/>
      </c>
      <c r="Z751" s="14"/>
      <c r="AA751" s="7"/>
      <c r="AB751" s="15" t="str">
        <f t="shared" si="47"/>
        <v/>
      </c>
    </row>
    <row r="752" spans="1:28">
      <c r="A752" s="19">
        <v>749</v>
      </c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Q752" s="14"/>
      <c r="R752" s="7"/>
      <c r="S752" s="15" t="str">
        <f t="shared" si="44"/>
        <v/>
      </c>
      <c r="T752" s="14"/>
      <c r="U752" s="7"/>
      <c r="V752" s="15" t="str">
        <f t="shared" si="45"/>
        <v/>
      </c>
      <c r="W752" s="14"/>
      <c r="X752" s="7"/>
      <c r="Y752" s="15" t="str">
        <f t="shared" si="46"/>
        <v/>
      </c>
      <c r="Z752" s="14"/>
      <c r="AA752" s="7"/>
      <c r="AB752" s="15" t="str">
        <f t="shared" si="47"/>
        <v/>
      </c>
    </row>
    <row r="753" spans="1:28">
      <c r="A753" s="19">
        <v>750</v>
      </c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Q753" s="14"/>
      <c r="R753" s="7"/>
      <c r="S753" s="15" t="str">
        <f t="shared" si="44"/>
        <v/>
      </c>
      <c r="T753" s="14"/>
      <c r="U753" s="7"/>
      <c r="V753" s="15" t="str">
        <f t="shared" si="45"/>
        <v/>
      </c>
      <c r="W753" s="14"/>
      <c r="X753" s="7"/>
      <c r="Y753" s="15" t="str">
        <f t="shared" si="46"/>
        <v/>
      </c>
      <c r="Z753" s="14"/>
      <c r="AA753" s="7"/>
      <c r="AB753" s="15" t="str">
        <f t="shared" si="47"/>
        <v/>
      </c>
    </row>
    <row r="754" spans="1:28">
      <c r="A754" s="19">
        <v>751</v>
      </c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Q754" s="14"/>
      <c r="R754" s="7"/>
      <c r="S754" s="15" t="str">
        <f t="shared" si="44"/>
        <v/>
      </c>
      <c r="T754" s="14"/>
      <c r="U754" s="7"/>
      <c r="V754" s="15" t="str">
        <f t="shared" si="45"/>
        <v/>
      </c>
      <c r="W754" s="14"/>
      <c r="X754" s="7"/>
      <c r="Y754" s="15" t="str">
        <f t="shared" si="46"/>
        <v/>
      </c>
      <c r="Z754" s="14"/>
      <c r="AA754" s="7"/>
      <c r="AB754" s="15" t="str">
        <f t="shared" si="47"/>
        <v/>
      </c>
    </row>
    <row r="755" spans="1:28">
      <c r="A755" s="19">
        <v>752</v>
      </c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Q755" s="14"/>
      <c r="R755" s="7"/>
      <c r="S755" s="15" t="str">
        <f t="shared" si="44"/>
        <v/>
      </c>
      <c r="T755" s="14"/>
      <c r="U755" s="7"/>
      <c r="V755" s="15" t="str">
        <f t="shared" si="45"/>
        <v/>
      </c>
      <c r="W755" s="14"/>
      <c r="X755" s="7"/>
      <c r="Y755" s="15" t="str">
        <f t="shared" si="46"/>
        <v/>
      </c>
      <c r="Z755" s="14"/>
      <c r="AA755" s="7"/>
      <c r="AB755" s="15" t="str">
        <f t="shared" si="47"/>
        <v/>
      </c>
    </row>
    <row r="756" spans="1:28">
      <c r="A756" s="19">
        <v>753</v>
      </c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Q756" s="14"/>
      <c r="R756" s="7"/>
      <c r="S756" s="15" t="str">
        <f t="shared" si="44"/>
        <v/>
      </c>
      <c r="T756" s="14"/>
      <c r="U756" s="7"/>
      <c r="V756" s="15" t="str">
        <f t="shared" si="45"/>
        <v/>
      </c>
      <c r="W756" s="14"/>
      <c r="X756" s="7"/>
      <c r="Y756" s="15" t="str">
        <f t="shared" si="46"/>
        <v/>
      </c>
      <c r="Z756" s="14"/>
      <c r="AA756" s="7"/>
      <c r="AB756" s="15" t="str">
        <f t="shared" si="47"/>
        <v/>
      </c>
    </row>
    <row r="757" spans="1:28">
      <c r="A757" s="19">
        <v>754</v>
      </c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Q757" s="14"/>
      <c r="R757" s="7"/>
      <c r="S757" s="15" t="str">
        <f t="shared" si="44"/>
        <v/>
      </c>
      <c r="T757" s="14"/>
      <c r="U757" s="7"/>
      <c r="V757" s="15" t="str">
        <f t="shared" si="45"/>
        <v/>
      </c>
      <c r="W757" s="14"/>
      <c r="X757" s="7"/>
      <c r="Y757" s="15" t="str">
        <f t="shared" si="46"/>
        <v/>
      </c>
      <c r="Z757" s="14"/>
      <c r="AA757" s="7"/>
      <c r="AB757" s="15" t="str">
        <f t="shared" si="47"/>
        <v/>
      </c>
    </row>
    <row r="758" spans="1:28">
      <c r="A758" s="19">
        <v>755</v>
      </c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Q758" s="14"/>
      <c r="R758" s="7"/>
      <c r="S758" s="15" t="str">
        <f t="shared" si="44"/>
        <v/>
      </c>
      <c r="T758" s="14"/>
      <c r="U758" s="7"/>
      <c r="V758" s="15" t="str">
        <f t="shared" si="45"/>
        <v/>
      </c>
      <c r="W758" s="14"/>
      <c r="X758" s="7"/>
      <c r="Y758" s="15" t="str">
        <f t="shared" si="46"/>
        <v/>
      </c>
      <c r="Z758" s="14"/>
      <c r="AA758" s="7"/>
      <c r="AB758" s="15" t="str">
        <f t="shared" si="47"/>
        <v/>
      </c>
    </row>
    <row r="759" spans="1:28">
      <c r="A759" s="19">
        <v>756</v>
      </c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Q759" s="14"/>
      <c r="R759" s="7"/>
      <c r="S759" s="15" t="str">
        <f t="shared" si="44"/>
        <v/>
      </c>
      <c r="T759" s="14"/>
      <c r="U759" s="7"/>
      <c r="V759" s="15" t="str">
        <f t="shared" si="45"/>
        <v/>
      </c>
      <c r="W759" s="14"/>
      <c r="X759" s="7"/>
      <c r="Y759" s="15" t="str">
        <f t="shared" si="46"/>
        <v/>
      </c>
      <c r="Z759" s="14"/>
      <c r="AA759" s="7"/>
      <c r="AB759" s="15" t="str">
        <f t="shared" si="47"/>
        <v/>
      </c>
    </row>
    <row r="760" spans="1:28">
      <c r="A760" s="19">
        <v>757</v>
      </c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Q760" s="14"/>
      <c r="R760" s="7"/>
      <c r="S760" s="15" t="str">
        <f t="shared" si="44"/>
        <v/>
      </c>
      <c r="T760" s="14"/>
      <c r="U760" s="7"/>
      <c r="V760" s="15" t="str">
        <f t="shared" si="45"/>
        <v/>
      </c>
      <c r="W760" s="14"/>
      <c r="X760" s="7"/>
      <c r="Y760" s="15" t="str">
        <f t="shared" si="46"/>
        <v/>
      </c>
      <c r="Z760" s="14"/>
      <c r="AA760" s="7"/>
      <c r="AB760" s="15" t="str">
        <f t="shared" si="47"/>
        <v/>
      </c>
    </row>
    <row r="761" spans="1:28">
      <c r="A761" s="19">
        <v>758</v>
      </c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Q761" s="14"/>
      <c r="R761" s="7"/>
      <c r="S761" s="15" t="str">
        <f t="shared" si="44"/>
        <v/>
      </c>
      <c r="T761" s="14"/>
      <c r="U761" s="7"/>
      <c r="V761" s="15" t="str">
        <f t="shared" si="45"/>
        <v/>
      </c>
      <c r="W761" s="14"/>
      <c r="X761" s="7"/>
      <c r="Y761" s="15" t="str">
        <f t="shared" si="46"/>
        <v/>
      </c>
      <c r="Z761" s="14"/>
      <c r="AA761" s="7"/>
      <c r="AB761" s="15" t="str">
        <f t="shared" si="47"/>
        <v/>
      </c>
    </row>
    <row r="762" spans="1:28">
      <c r="A762" s="19">
        <v>759</v>
      </c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Q762" s="14"/>
      <c r="R762" s="7"/>
      <c r="S762" s="15" t="str">
        <f t="shared" si="44"/>
        <v/>
      </c>
      <c r="T762" s="14"/>
      <c r="U762" s="7"/>
      <c r="V762" s="15" t="str">
        <f t="shared" si="45"/>
        <v/>
      </c>
      <c r="W762" s="14"/>
      <c r="X762" s="7"/>
      <c r="Y762" s="15" t="str">
        <f t="shared" si="46"/>
        <v/>
      </c>
      <c r="Z762" s="14"/>
      <c r="AA762" s="7"/>
      <c r="AB762" s="15" t="str">
        <f t="shared" si="47"/>
        <v/>
      </c>
    </row>
    <row r="763" spans="1:28">
      <c r="A763" s="19">
        <v>760</v>
      </c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Q763" s="14"/>
      <c r="R763" s="7"/>
      <c r="S763" s="15" t="str">
        <f t="shared" si="44"/>
        <v/>
      </c>
      <c r="T763" s="14"/>
      <c r="U763" s="7"/>
      <c r="V763" s="15" t="str">
        <f t="shared" si="45"/>
        <v/>
      </c>
      <c r="W763" s="14"/>
      <c r="X763" s="7"/>
      <c r="Y763" s="15" t="str">
        <f t="shared" si="46"/>
        <v/>
      </c>
      <c r="Z763" s="14"/>
      <c r="AA763" s="7"/>
      <c r="AB763" s="15" t="str">
        <f t="shared" si="47"/>
        <v/>
      </c>
    </row>
    <row r="764" spans="1:28">
      <c r="A764" s="19">
        <v>761</v>
      </c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Q764" s="14"/>
      <c r="R764" s="7"/>
      <c r="S764" s="15" t="str">
        <f t="shared" si="44"/>
        <v/>
      </c>
      <c r="T764" s="14"/>
      <c r="U764" s="7"/>
      <c r="V764" s="15" t="str">
        <f t="shared" si="45"/>
        <v/>
      </c>
      <c r="W764" s="14"/>
      <c r="X764" s="7"/>
      <c r="Y764" s="15" t="str">
        <f t="shared" si="46"/>
        <v/>
      </c>
      <c r="Z764" s="14"/>
      <c r="AA764" s="7"/>
      <c r="AB764" s="15" t="str">
        <f t="shared" si="47"/>
        <v/>
      </c>
    </row>
    <row r="765" spans="1:28">
      <c r="A765" s="19">
        <v>762</v>
      </c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Q765" s="14"/>
      <c r="R765" s="7"/>
      <c r="S765" s="15" t="str">
        <f t="shared" si="44"/>
        <v/>
      </c>
      <c r="T765" s="14"/>
      <c r="U765" s="7"/>
      <c r="V765" s="15" t="str">
        <f t="shared" si="45"/>
        <v/>
      </c>
      <c r="W765" s="14"/>
      <c r="X765" s="7"/>
      <c r="Y765" s="15" t="str">
        <f t="shared" si="46"/>
        <v/>
      </c>
      <c r="Z765" s="14"/>
      <c r="AA765" s="7"/>
      <c r="AB765" s="15" t="str">
        <f t="shared" si="47"/>
        <v/>
      </c>
    </row>
    <row r="766" spans="1:28">
      <c r="A766" s="19">
        <v>763</v>
      </c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Q766" s="14"/>
      <c r="R766" s="7"/>
      <c r="S766" s="15" t="str">
        <f t="shared" si="44"/>
        <v/>
      </c>
      <c r="T766" s="14"/>
      <c r="U766" s="7"/>
      <c r="V766" s="15" t="str">
        <f t="shared" si="45"/>
        <v/>
      </c>
      <c r="W766" s="14"/>
      <c r="X766" s="7"/>
      <c r="Y766" s="15" t="str">
        <f t="shared" si="46"/>
        <v/>
      </c>
      <c r="Z766" s="14"/>
      <c r="AA766" s="7"/>
      <c r="AB766" s="15" t="str">
        <f t="shared" si="47"/>
        <v/>
      </c>
    </row>
    <row r="767" spans="1:28">
      <c r="A767" s="19">
        <v>764</v>
      </c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Q767" s="14"/>
      <c r="R767" s="7"/>
      <c r="S767" s="15" t="str">
        <f t="shared" si="44"/>
        <v/>
      </c>
      <c r="T767" s="14"/>
      <c r="U767" s="7"/>
      <c r="V767" s="15" t="str">
        <f t="shared" si="45"/>
        <v/>
      </c>
      <c r="W767" s="14"/>
      <c r="X767" s="7"/>
      <c r="Y767" s="15" t="str">
        <f t="shared" si="46"/>
        <v/>
      </c>
      <c r="Z767" s="14"/>
      <c r="AA767" s="7"/>
      <c r="AB767" s="15" t="str">
        <f t="shared" si="47"/>
        <v/>
      </c>
    </row>
    <row r="768" spans="1:28">
      <c r="A768" s="19">
        <v>765</v>
      </c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Q768" s="14"/>
      <c r="R768" s="7"/>
      <c r="S768" s="15" t="str">
        <f t="shared" si="44"/>
        <v/>
      </c>
      <c r="T768" s="14"/>
      <c r="U768" s="7"/>
      <c r="V768" s="15" t="str">
        <f t="shared" si="45"/>
        <v/>
      </c>
      <c r="W768" s="14"/>
      <c r="X768" s="7"/>
      <c r="Y768" s="15" t="str">
        <f t="shared" si="46"/>
        <v/>
      </c>
      <c r="Z768" s="14"/>
      <c r="AA768" s="7"/>
      <c r="AB768" s="15" t="str">
        <f t="shared" si="47"/>
        <v/>
      </c>
    </row>
    <row r="769" spans="1:28">
      <c r="A769" s="19">
        <v>766</v>
      </c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Q769" s="14"/>
      <c r="R769" s="7"/>
      <c r="S769" s="15" t="str">
        <f t="shared" si="44"/>
        <v/>
      </c>
      <c r="T769" s="14"/>
      <c r="U769" s="7"/>
      <c r="V769" s="15" t="str">
        <f t="shared" si="45"/>
        <v/>
      </c>
      <c r="W769" s="14"/>
      <c r="X769" s="7"/>
      <c r="Y769" s="15" t="str">
        <f t="shared" si="46"/>
        <v/>
      </c>
      <c r="Z769" s="14"/>
      <c r="AA769" s="7"/>
      <c r="AB769" s="15" t="str">
        <f t="shared" si="47"/>
        <v/>
      </c>
    </row>
    <row r="770" spans="1:28">
      <c r="A770" s="19">
        <v>767</v>
      </c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Q770" s="14"/>
      <c r="R770" s="7"/>
      <c r="S770" s="15" t="str">
        <f t="shared" si="44"/>
        <v/>
      </c>
      <c r="T770" s="14"/>
      <c r="U770" s="7"/>
      <c r="V770" s="15" t="str">
        <f t="shared" si="45"/>
        <v/>
      </c>
      <c r="W770" s="14"/>
      <c r="X770" s="7"/>
      <c r="Y770" s="15" t="str">
        <f t="shared" si="46"/>
        <v/>
      </c>
      <c r="Z770" s="14"/>
      <c r="AA770" s="7"/>
      <c r="AB770" s="15" t="str">
        <f t="shared" si="47"/>
        <v/>
      </c>
    </row>
    <row r="771" spans="1:28">
      <c r="A771" s="19">
        <v>768</v>
      </c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Q771" s="14"/>
      <c r="R771" s="7"/>
      <c r="S771" s="15" t="str">
        <f t="shared" si="44"/>
        <v/>
      </c>
      <c r="T771" s="14"/>
      <c r="U771" s="7"/>
      <c r="V771" s="15" t="str">
        <f t="shared" si="45"/>
        <v/>
      </c>
      <c r="W771" s="14"/>
      <c r="X771" s="7"/>
      <c r="Y771" s="15" t="str">
        <f t="shared" si="46"/>
        <v/>
      </c>
      <c r="Z771" s="14"/>
      <c r="AA771" s="7"/>
      <c r="AB771" s="15" t="str">
        <f t="shared" si="47"/>
        <v/>
      </c>
    </row>
    <row r="772" spans="1:28">
      <c r="A772" s="19">
        <v>769</v>
      </c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Q772" s="14"/>
      <c r="R772" s="7"/>
      <c r="S772" s="15" t="str">
        <f t="shared" si="44"/>
        <v/>
      </c>
      <c r="T772" s="14"/>
      <c r="U772" s="7"/>
      <c r="V772" s="15" t="str">
        <f t="shared" si="45"/>
        <v/>
      </c>
      <c r="W772" s="14"/>
      <c r="X772" s="7"/>
      <c r="Y772" s="15" t="str">
        <f t="shared" si="46"/>
        <v/>
      </c>
      <c r="Z772" s="14"/>
      <c r="AA772" s="7"/>
      <c r="AB772" s="15" t="str">
        <f t="shared" si="47"/>
        <v/>
      </c>
    </row>
    <row r="773" spans="1:28">
      <c r="A773" s="19">
        <v>770</v>
      </c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Q773" s="14"/>
      <c r="R773" s="7"/>
      <c r="S773" s="15" t="str">
        <f t="shared" ref="S773:S836" si="48">IF(OR($H773="",Q773=""),"",Q773+(R773/$H773))</f>
        <v/>
      </c>
      <c r="T773" s="14"/>
      <c r="U773" s="7"/>
      <c r="V773" s="15" t="str">
        <f t="shared" ref="V773:V836" si="49">IF(OR($H773="",T773=""),"",T773+(U773/$H773))</f>
        <v/>
      </c>
      <c r="W773" s="14"/>
      <c r="X773" s="7"/>
      <c r="Y773" s="15" t="str">
        <f t="shared" ref="Y773:Y836" si="50">IF(OR($H773="",W773=""),"",W773+(X773/$H773))</f>
        <v/>
      </c>
      <c r="Z773" s="14"/>
      <c r="AA773" s="7"/>
      <c r="AB773" s="15" t="str">
        <f t="shared" ref="AB773:AB836" si="51">IF(OR($H773="",Z773=""),"",Z773+(AA773/$H773))</f>
        <v/>
      </c>
    </row>
    <row r="774" spans="1:28">
      <c r="A774" s="19">
        <v>771</v>
      </c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Q774" s="14"/>
      <c r="R774" s="7"/>
      <c r="S774" s="15" t="str">
        <f t="shared" si="48"/>
        <v/>
      </c>
      <c r="T774" s="14"/>
      <c r="U774" s="7"/>
      <c r="V774" s="15" t="str">
        <f t="shared" si="49"/>
        <v/>
      </c>
      <c r="W774" s="14"/>
      <c r="X774" s="7"/>
      <c r="Y774" s="15" t="str">
        <f t="shared" si="50"/>
        <v/>
      </c>
      <c r="Z774" s="14"/>
      <c r="AA774" s="7"/>
      <c r="AB774" s="15" t="str">
        <f t="shared" si="51"/>
        <v/>
      </c>
    </row>
    <row r="775" spans="1:28">
      <c r="A775" s="19">
        <v>772</v>
      </c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Q775" s="14"/>
      <c r="R775" s="7"/>
      <c r="S775" s="15" t="str">
        <f t="shared" si="48"/>
        <v/>
      </c>
      <c r="T775" s="14"/>
      <c r="U775" s="7"/>
      <c r="V775" s="15" t="str">
        <f t="shared" si="49"/>
        <v/>
      </c>
      <c r="W775" s="14"/>
      <c r="X775" s="7"/>
      <c r="Y775" s="15" t="str">
        <f t="shared" si="50"/>
        <v/>
      </c>
      <c r="Z775" s="14"/>
      <c r="AA775" s="7"/>
      <c r="AB775" s="15" t="str">
        <f t="shared" si="51"/>
        <v/>
      </c>
    </row>
    <row r="776" spans="1:28">
      <c r="A776" s="19">
        <v>773</v>
      </c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Q776" s="14"/>
      <c r="R776" s="7"/>
      <c r="S776" s="15" t="str">
        <f t="shared" si="48"/>
        <v/>
      </c>
      <c r="T776" s="14"/>
      <c r="U776" s="7"/>
      <c r="V776" s="15" t="str">
        <f t="shared" si="49"/>
        <v/>
      </c>
      <c r="W776" s="14"/>
      <c r="X776" s="7"/>
      <c r="Y776" s="15" t="str">
        <f t="shared" si="50"/>
        <v/>
      </c>
      <c r="Z776" s="14"/>
      <c r="AA776" s="7"/>
      <c r="AB776" s="15" t="str">
        <f t="shared" si="51"/>
        <v/>
      </c>
    </row>
    <row r="777" spans="1:28">
      <c r="A777" s="19">
        <v>774</v>
      </c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Q777" s="14"/>
      <c r="R777" s="7"/>
      <c r="S777" s="15" t="str">
        <f t="shared" si="48"/>
        <v/>
      </c>
      <c r="T777" s="14"/>
      <c r="U777" s="7"/>
      <c r="V777" s="15" t="str">
        <f t="shared" si="49"/>
        <v/>
      </c>
      <c r="W777" s="14"/>
      <c r="X777" s="7"/>
      <c r="Y777" s="15" t="str">
        <f t="shared" si="50"/>
        <v/>
      </c>
      <c r="Z777" s="14"/>
      <c r="AA777" s="7"/>
      <c r="AB777" s="15" t="str">
        <f t="shared" si="51"/>
        <v/>
      </c>
    </row>
    <row r="778" spans="1:28">
      <c r="A778" s="19">
        <v>775</v>
      </c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Q778" s="14"/>
      <c r="R778" s="7"/>
      <c r="S778" s="15" t="str">
        <f t="shared" si="48"/>
        <v/>
      </c>
      <c r="T778" s="14"/>
      <c r="U778" s="7"/>
      <c r="V778" s="15" t="str">
        <f t="shared" si="49"/>
        <v/>
      </c>
      <c r="W778" s="14"/>
      <c r="X778" s="7"/>
      <c r="Y778" s="15" t="str">
        <f t="shared" si="50"/>
        <v/>
      </c>
      <c r="Z778" s="14"/>
      <c r="AA778" s="7"/>
      <c r="AB778" s="15" t="str">
        <f t="shared" si="51"/>
        <v/>
      </c>
    </row>
    <row r="779" spans="1:28">
      <c r="A779" s="19">
        <v>776</v>
      </c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Q779" s="14"/>
      <c r="R779" s="7"/>
      <c r="S779" s="15" t="str">
        <f t="shared" si="48"/>
        <v/>
      </c>
      <c r="T779" s="14"/>
      <c r="U779" s="7"/>
      <c r="V779" s="15" t="str">
        <f t="shared" si="49"/>
        <v/>
      </c>
      <c r="W779" s="14"/>
      <c r="X779" s="7"/>
      <c r="Y779" s="15" t="str">
        <f t="shared" si="50"/>
        <v/>
      </c>
      <c r="Z779" s="14"/>
      <c r="AA779" s="7"/>
      <c r="AB779" s="15" t="str">
        <f t="shared" si="51"/>
        <v/>
      </c>
    </row>
    <row r="780" spans="1:28">
      <c r="A780" s="19">
        <v>777</v>
      </c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Q780" s="14"/>
      <c r="R780" s="7"/>
      <c r="S780" s="15" t="str">
        <f t="shared" si="48"/>
        <v/>
      </c>
      <c r="T780" s="14"/>
      <c r="U780" s="7"/>
      <c r="V780" s="15" t="str">
        <f t="shared" si="49"/>
        <v/>
      </c>
      <c r="W780" s="14"/>
      <c r="X780" s="7"/>
      <c r="Y780" s="15" t="str">
        <f t="shared" si="50"/>
        <v/>
      </c>
      <c r="Z780" s="14"/>
      <c r="AA780" s="7"/>
      <c r="AB780" s="15" t="str">
        <f t="shared" si="51"/>
        <v/>
      </c>
    </row>
    <row r="781" spans="1:28">
      <c r="A781" s="19">
        <v>778</v>
      </c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Q781" s="14"/>
      <c r="R781" s="7"/>
      <c r="S781" s="15" t="str">
        <f t="shared" si="48"/>
        <v/>
      </c>
      <c r="T781" s="14"/>
      <c r="U781" s="7"/>
      <c r="V781" s="15" t="str">
        <f t="shared" si="49"/>
        <v/>
      </c>
      <c r="W781" s="14"/>
      <c r="X781" s="7"/>
      <c r="Y781" s="15" t="str">
        <f t="shared" si="50"/>
        <v/>
      </c>
      <c r="Z781" s="14"/>
      <c r="AA781" s="7"/>
      <c r="AB781" s="15" t="str">
        <f t="shared" si="51"/>
        <v/>
      </c>
    </row>
    <row r="782" spans="1:28">
      <c r="A782" s="19">
        <v>779</v>
      </c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Q782" s="14"/>
      <c r="R782" s="7"/>
      <c r="S782" s="15" t="str">
        <f t="shared" si="48"/>
        <v/>
      </c>
      <c r="T782" s="14"/>
      <c r="U782" s="7"/>
      <c r="V782" s="15" t="str">
        <f t="shared" si="49"/>
        <v/>
      </c>
      <c r="W782" s="14"/>
      <c r="X782" s="7"/>
      <c r="Y782" s="15" t="str">
        <f t="shared" si="50"/>
        <v/>
      </c>
      <c r="Z782" s="14"/>
      <c r="AA782" s="7"/>
      <c r="AB782" s="15" t="str">
        <f t="shared" si="51"/>
        <v/>
      </c>
    </row>
    <row r="783" spans="1:28">
      <c r="A783" s="19">
        <v>780</v>
      </c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Q783" s="14"/>
      <c r="R783" s="7"/>
      <c r="S783" s="15" t="str">
        <f t="shared" si="48"/>
        <v/>
      </c>
      <c r="T783" s="14"/>
      <c r="U783" s="7"/>
      <c r="V783" s="15" t="str">
        <f t="shared" si="49"/>
        <v/>
      </c>
      <c r="W783" s="14"/>
      <c r="X783" s="7"/>
      <c r="Y783" s="15" t="str">
        <f t="shared" si="50"/>
        <v/>
      </c>
      <c r="Z783" s="14"/>
      <c r="AA783" s="7"/>
      <c r="AB783" s="15" t="str">
        <f t="shared" si="51"/>
        <v/>
      </c>
    </row>
    <row r="784" spans="1:28">
      <c r="A784" s="19">
        <v>781</v>
      </c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Q784" s="14"/>
      <c r="R784" s="7"/>
      <c r="S784" s="15" t="str">
        <f t="shared" si="48"/>
        <v/>
      </c>
      <c r="T784" s="14"/>
      <c r="U784" s="7"/>
      <c r="V784" s="15" t="str">
        <f t="shared" si="49"/>
        <v/>
      </c>
      <c r="W784" s="14"/>
      <c r="X784" s="7"/>
      <c r="Y784" s="15" t="str">
        <f t="shared" si="50"/>
        <v/>
      </c>
      <c r="Z784" s="14"/>
      <c r="AA784" s="7"/>
      <c r="AB784" s="15" t="str">
        <f t="shared" si="51"/>
        <v/>
      </c>
    </row>
    <row r="785" spans="1:28">
      <c r="A785" s="19">
        <v>782</v>
      </c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Q785" s="14"/>
      <c r="R785" s="7"/>
      <c r="S785" s="15" t="str">
        <f t="shared" si="48"/>
        <v/>
      </c>
      <c r="T785" s="14"/>
      <c r="U785" s="7"/>
      <c r="V785" s="15" t="str">
        <f t="shared" si="49"/>
        <v/>
      </c>
      <c r="W785" s="14"/>
      <c r="X785" s="7"/>
      <c r="Y785" s="15" t="str">
        <f t="shared" si="50"/>
        <v/>
      </c>
      <c r="Z785" s="14"/>
      <c r="AA785" s="7"/>
      <c r="AB785" s="15" t="str">
        <f t="shared" si="51"/>
        <v/>
      </c>
    </row>
    <row r="786" spans="1:28">
      <c r="A786" s="19">
        <v>783</v>
      </c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Q786" s="14"/>
      <c r="R786" s="7"/>
      <c r="S786" s="15" t="str">
        <f t="shared" si="48"/>
        <v/>
      </c>
      <c r="T786" s="14"/>
      <c r="U786" s="7"/>
      <c r="V786" s="15" t="str">
        <f t="shared" si="49"/>
        <v/>
      </c>
      <c r="W786" s="14"/>
      <c r="X786" s="7"/>
      <c r="Y786" s="15" t="str">
        <f t="shared" si="50"/>
        <v/>
      </c>
      <c r="Z786" s="14"/>
      <c r="AA786" s="7"/>
      <c r="AB786" s="15" t="str">
        <f t="shared" si="51"/>
        <v/>
      </c>
    </row>
    <row r="787" spans="1:28">
      <c r="A787" s="19">
        <v>784</v>
      </c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Q787" s="14"/>
      <c r="R787" s="7"/>
      <c r="S787" s="15" t="str">
        <f t="shared" si="48"/>
        <v/>
      </c>
      <c r="T787" s="14"/>
      <c r="U787" s="7"/>
      <c r="V787" s="15" t="str">
        <f t="shared" si="49"/>
        <v/>
      </c>
      <c r="W787" s="14"/>
      <c r="X787" s="7"/>
      <c r="Y787" s="15" t="str">
        <f t="shared" si="50"/>
        <v/>
      </c>
      <c r="Z787" s="14"/>
      <c r="AA787" s="7"/>
      <c r="AB787" s="15" t="str">
        <f t="shared" si="51"/>
        <v/>
      </c>
    </row>
    <row r="788" spans="1:28">
      <c r="A788" s="19">
        <v>785</v>
      </c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Q788" s="14"/>
      <c r="R788" s="7"/>
      <c r="S788" s="15" t="str">
        <f t="shared" si="48"/>
        <v/>
      </c>
      <c r="T788" s="14"/>
      <c r="U788" s="7"/>
      <c r="V788" s="15" t="str">
        <f t="shared" si="49"/>
        <v/>
      </c>
      <c r="W788" s="14"/>
      <c r="X788" s="7"/>
      <c r="Y788" s="15" t="str">
        <f t="shared" si="50"/>
        <v/>
      </c>
      <c r="Z788" s="14"/>
      <c r="AA788" s="7"/>
      <c r="AB788" s="15" t="str">
        <f t="shared" si="51"/>
        <v/>
      </c>
    </row>
    <row r="789" spans="1:28">
      <c r="A789" s="19">
        <v>786</v>
      </c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Q789" s="14"/>
      <c r="R789" s="7"/>
      <c r="S789" s="15" t="str">
        <f t="shared" si="48"/>
        <v/>
      </c>
      <c r="T789" s="14"/>
      <c r="U789" s="7"/>
      <c r="V789" s="15" t="str">
        <f t="shared" si="49"/>
        <v/>
      </c>
      <c r="W789" s="14"/>
      <c r="X789" s="7"/>
      <c r="Y789" s="15" t="str">
        <f t="shared" si="50"/>
        <v/>
      </c>
      <c r="Z789" s="14"/>
      <c r="AA789" s="7"/>
      <c r="AB789" s="15" t="str">
        <f t="shared" si="51"/>
        <v/>
      </c>
    </row>
    <row r="790" spans="1:28">
      <c r="A790" s="19">
        <v>787</v>
      </c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Q790" s="14"/>
      <c r="R790" s="7"/>
      <c r="S790" s="15" t="str">
        <f t="shared" si="48"/>
        <v/>
      </c>
      <c r="T790" s="14"/>
      <c r="U790" s="7"/>
      <c r="V790" s="15" t="str">
        <f t="shared" si="49"/>
        <v/>
      </c>
      <c r="W790" s="14"/>
      <c r="X790" s="7"/>
      <c r="Y790" s="15" t="str">
        <f t="shared" si="50"/>
        <v/>
      </c>
      <c r="Z790" s="14"/>
      <c r="AA790" s="7"/>
      <c r="AB790" s="15" t="str">
        <f t="shared" si="51"/>
        <v/>
      </c>
    </row>
    <row r="791" spans="1:28">
      <c r="A791" s="19">
        <v>788</v>
      </c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Q791" s="14"/>
      <c r="R791" s="7"/>
      <c r="S791" s="15" t="str">
        <f t="shared" si="48"/>
        <v/>
      </c>
      <c r="T791" s="14"/>
      <c r="U791" s="7"/>
      <c r="V791" s="15" t="str">
        <f t="shared" si="49"/>
        <v/>
      </c>
      <c r="W791" s="14"/>
      <c r="X791" s="7"/>
      <c r="Y791" s="15" t="str">
        <f t="shared" si="50"/>
        <v/>
      </c>
      <c r="Z791" s="14"/>
      <c r="AA791" s="7"/>
      <c r="AB791" s="15" t="str">
        <f t="shared" si="51"/>
        <v/>
      </c>
    </row>
    <row r="792" spans="1:28">
      <c r="A792" s="19">
        <v>789</v>
      </c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Q792" s="14"/>
      <c r="R792" s="7"/>
      <c r="S792" s="15" t="str">
        <f t="shared" si="48"/>
        <v/>
      </c>
      <c r="T792" s="14"/>
      <c r="U792" s="7"/>
      <c r="V792" s="15" t="str">
        <f t="shared" si="49"/>
        <v/>
      </c>
      <c r="W792" s="14"/>
      <c r="X792" s="7"/>
      <c r="Y792" s="15" t="str">
        <f t="shared" si="50"/>
        <v/>
      </c>
      <c r="Z792" s="14"/>
      <c r="AA792" s="7"/>
      <c r="AB792" s="15" t="str">
        <f t="shared" si="51"/>
        <v/>
      </c>
    </row>
    <row r="793" spans="1:28">
      <c r="A793" s="19">
        <v>790</v>
      </c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Q793" s="14"/>
      <c r="R793" s="7"/>
      <c r="S793" s="15" t="str">
        <f t="shared" si="48"/>
        <v/>
      </c>
      <c r="T793" s="14"/>
      <c r="U793" s="7"/>
      <c r="V793" s="15" t="str">
        <f t="shared" si="49"/>
        <v/>
      </c>
      <c r="W793" s="14"/>
      <c r="X793" s="7"/>
      <c r="Y793" s="15" t="str">
        <f t="shared" si="50"/>
        <v/>
      </c>
      <c r="Z793" s="14"/>
      <c r="AA793" s="7"/>
      <c r="AB793" s="15" t="str">
        <f t="shared" si="51"/>
        <v/>
      </c>
    </row>
    <row r="794" spans="1:28">
      <c r="A794" s="19">
        <v>791</v>
      </c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Q794" s="14"/>
      <c r="R794" s="7"/>
      <c r="S794" s="15" t="str">
        <f t="shared" si="48"/>
        <v/>
      </c>
      <c r="T794" s="14"/>
      <c r="U794" s="7"/>
      <c r="V794" s="15" t="str">
        <f t="shared" si="49"/>
        <v/>
      </c>
      <c r="W794" s="14"/>
      <c r="X794" s="7"/>
      <c r="Y794" s="15" t="str">
        <f t="shared" si="50"/>
        <v/>
      </c>
      <c r="Z794" s="14"/>
      <c r="AA794" s="7"/>
      <c r="AB794" s="15" t="str">
        <f t="shared" si="51"/>
        <v/>
      </c>
    </row>
    <row r="795" spans="1:28">
      <c r="A795" s="19">
        <v>792</v>
      </c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Q795" s="14"/>
      <c r="R795" s="7"/>
      <c r="S795" s="15" t="str">
        <f t="shared" si="48"/>
        <v/>
      </c>
      <c r="T795" s="14"/>
      <c r="U795" s="7"/>
      <c r="V795" s="15" t="str">
        <f t="shared" si="49"/>
        <v/>
      </c>
      <c r="W795" s="14"/>
      <c r="X795" s="7"/>
      <c r="Y795" s="15" t="str">
        <f t="shared" si="50"/>
        <v/>
      </c>
      <c r="Z795" s="14"/>
      <c r="AA795" s="7"/>
      <c r="AB795" s="15" t="str">
        <f t="shared" si="51"/>
        <v/>
      </c>
    </row>
    <row r="796" spans="1:28">
      <c r="A796" s="19">
        <v>793</v>
      </c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Q796" s="14"/>
      <c r="R796" s="7"/>
      <c r="S796" s="15" t="str">
        <f t="shared" si="48"/>
        <v/>
      </c>
      <c r="T796" s="14"/>
      <c r="U796" s="7"/>
      <c r="V796" s="15" t="str">
        <f t="shared" si="49"/>
        <v/>
      </c>
      <c r="W796" s="14"/>
      <c r="X796" s="7"/>
      <c r="Y796" s="15" t="str">
        <f t="shared" si="50"/>
        <v/>
      </c>
      <c r="Z796" s="14"/>
      <c r="AA796" s="7"/>
      <c r="AB796" s="15" t="str">
        <f t="shared" si="51"/>
        <v/>
      </c>
    </row>
    <row r="797" spans="1:28">
      <c r="A797" s="19">
        <v>794</v>
      </c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Q797" s="14"/>
      <c r="R797" s="7"/>
      <c r="S797" s="15" t="str">
        <f t="shared" si="48"/>
        <v/>
      </c>
      <c r="T797" s="14"/>
      <c r="U797" s="7"/>
      <c r="V797" s="15" t="str">
        <f t="shared" si="49"/>
        <v/>
      </c>
      <c r="W797" s="14"/>
      <c r="X797" s="7"/>
      <c r="Y797" s="15" t="str">
        <f t="shared" si="50"/>
        <v/>
      </c>
      <c r="Z797" s="14"/>
      <c r="AA797" s="7"/>
      <c r="AB797" s="15" t="str">
        <f t="shared" si="51"/>
        <v/>
      </c>
    </row>
    <row r="798" spans="1:28">
      <c r="A798" s="19">
        <v>795</v>
      </c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Q798" s="14"/>
      <c r="R798" s="7"/>
      <c r="S798" s="15" t="str">
        <f t="shared" si="48"/>
        <v/>
      </c>
      <c r="T798" s="14"/>
      <c r="U798" s="7"/>
      <c r="V798" s="15" t="str">
        <f t="shared" si="49"/>
        <v/>
      </c>
      <c r="W798" s="14"/>
      <c r="X798" s="7"/>
      <c r="Y798" s="15" t="str">
        <f t="shared" si="50"/>
        <v/>
      </c>
      <c r="Z798" s="14"/>
      <c r="AA798" s="7"/>
      <c r="AB798" s="15" t="str">
        <f t="shared" si="51"/>
        <v/>
      </c>
    </row>
    <row r="799" spans="1:28">
      <c r="A799" s="19">
        <v>796</v>
      </c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Q799" s="14"/>
      <c r="R799" s="7"/>
      <c r="S799" s="15" t="str">
        <f t="shared" si="48"/>
        <v/>
      </c>
      <c r="T799" s="14"/>
      <c r="U799" s="7"/>
      <c r="V799" s="15" t="str">
        <f t="shared" si="49"/>
        <v/>
      </c>
      <c r="W799" s="14"/>
      <c r="X799" s="7"/>
      <c r="Y799" s="15" t="str">
        <f t="shared" si="50"/>
        <v/>
      </c>
      <c r="Z799" s="14"/>
      <c r="AA799" s="7"/>
      <c r="AB799" s="15" t="str">
        <f t="shared" si="51"/>
        <v/>
      </c>
    </row>
    <row r="800" spans="1:28">
      <c r="A800" s="19">
        <v>797</v>
      </c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Q800" s="14"/>
      <c r="R800" s="7"/>
      <c r="S800" s="15" t="str">
        <f t="shared" si="48"/>
        <v/>
      </c>
      <c r="T800" s="14"/>
      <c r="U800" s="7"/>
      <c r="V800" s="15" t="str">
        <f t="shared" si="49"/>
        <v/>
      </c>
      <c r="W800" s="14"/>
      <c r="X800" s="7"/>
      <c r="Y800" s="15" t="str">
        <f t="shared" si="50"/>
        <v/>
      </c>
      <c r="Z800" s="14"/>
      <c r="AA800" s="7"/>
      <c r="AB800" s="15" t="str">
        <f t="shared" si="51"/>
        <v/>
      </c>
    </row>
    <row r="801" spans="1:28">
      <c r="A801" s="19">
        <v>798</v>
      </c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Q801" s="14"/>
      <c r="R801" s="7"/>
      <c r="S801" s="15" t="str">
        <f t="shared" si="48"/>
        <v/>
      </c>
      <c r="T801" s="14"/>
      <c r="U801" s="7"/>
      <c r="V801" s="15" t="str">
        <f t="shared" si="49"/>
        <v/>
      </c>
      <c r="W801" s="14"/>
      <c r="X801" s="7"/>
      <c r="Y801" s="15" t="str">
        <f t="shared" si="50"/>
        <v/>
      </c>
      <c r="Z801" s="14"/>
      <c r="AA801" s="7"/>
      <c r="AB801" s="15" t="str">
        <f t="shared" si="51"/>
        <v/>
      </c>
    </row>
    <row r="802" spans="1:28">
      <c r="A802" s="19">
        <v>799</v>
      </c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Q802" s="14"/>
      <c r="R802" s="7"/>
      <c r="S802" s="15" t="str">
        <f t="shared" si="48"/>
        <v/>
      </c>
      <c r="T802" s="14"/>
      <c r="U802" s="7"/>
      <c r="V802" s="15" t="str">
        <f t="shared" si="49"/>
        <v/>
      </c>
      <c r="W802" s="14"/>
      <c r="X802" s="7"/>
      <c r="Y802" s="15" t="str">
        <f t="shared" si="50"/>
        <v/>
      </c>
      <c r="Z802" s="14"/>
      <c r="AA802" s="7"/>
      <c r="AB802" s="15" t="str">
        <f t="shared" si="51"/>
        <v/>
      </c>
    </row>
    <row r="803" spans="1:28">
      <c r="A803" s="19">
        <v>800</v>
      </c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Q803" s="14"/>
      <c r="R803" s="7"/>
      <c r="S803" s="15" t="str">
        <f t="shared" si="48"/>
        <v/>
      </c>
      <c r="T803" s="14"/>
      <c r="U803" s="7"/>
      <c r="V803" s="15" t="str">
        <f t="shared" si="49"/>
        <v/>
      </c>
      <c r="W803" s="14"/>
      <c r="X803" s="7"/>
      <c r="Y803" s="15" t="str">
        <f t="shared" si="50"/>
        <v/>
      </c>
      <c r="Z803" s="14"/>
      <c r="AA803" s="7"/>
      <c r="AB803" s="15" t="str">
        <f t="shared" si="51"/>
        <v/>
      </c>
    </row>
    <row r="804" spans="1:28">
      <c r="A804" s="19">
        <v>801</v>
      </c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Q804" s="14"/>
      <c r="R804" s="7"/>
      <c r="S804" s="15" t="str">
        <f t="shared" si="48"/>
        <v/>
      </c>
      <c r="T804" s="14"/>
      <c r="U804" s="7"/>
      <c r="V804" s="15" t="str">
        <f t="shared" si="49"/>
        <v/>
      </c>
      <c r="W804" s="14"/>
      <c r="X804" s="7"/>
      <c r="Y804" s="15" t="str">
        <f t="shared" si="50"/>
        <v/>
      </c>
      <c r="Z804" s="14"/>
      <c r="AA804" s="7"/>
      <c r="AB804" s="15" t="str">
        <f t="shared" si="51"/>
        <v/>
      </c>
    </row>
    <row r="805" spans="1:28">
      <c r="A805" s="19">
        <v>802</v>
      </c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Q805" s="14"/>
      <c r="R805" s="7"/>
      <c r="S805" s="15" t="str">
        <f t="shared" si="48"/>
        <v/>
      </c>
      <c r="T805" s="14"/>
      <c r="U805" s="7"/>
      <c r="V805" s="15" t="str">
        <f t="shared" si="49"/>
        <v/>
      </c>
      <c r="W805" s="14"/>
      <c r="X805" s="7"/>
      <c r="Y805" s="15" t="str">
        <f t="shared" si="50"/>
        <v/>
      </c>
      <c r="Z805" s="14"/>
      <c r="AA805" s="7"/>
      <c r="AB805" s="15" t="str">
        <f t="shared" si="51"/>
        <v/>
      </c>
    </row>
    <row r="806" spans="1:28">
      <c r="A806" s="19">
        <v>803</v>
      </c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Q806" s="14"/>
      <c r="R806" s="7"/>
      <c r="S806" s="15" t="str">
        <f t="shared" si="48"/>
        <v/>
      </c>
      <c r="T806" s="14"/>
      <c r="U806" s="7"/>
      <c r="V806" s="15" t="str">
        <f t="shared" si="49"/>
        <v/>
      </c>
      <c r="W806" s="14"/>
      <c r="X806" s="7"/>
      <c r="Y806" s="15" t="str">
        <f t="shared" si="50"/>
        <v/>
      </c>
      <c r="Z806" s="14"/>
      <c r="AA806" s="7"/>
      <c r="AB806" s="15" t="str">
        <f t="shared" si="51"/>
        <v/>
      </c>
    </row>
    <row r="807" spans="1:28">
      <c r="A807" s="19">
        <v>804</v>
      </c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Q807" s="14"/>
      <c r="R807" s="7"/>
      <c r="S807" s="15" t="str">
        <f t="shared" si="48"/>
        <v/>
      </c>
      <c r="T807" s="14"/>
      <c r="U807" s="7"/>
      <c r="V807" s="15" t="str">
        <f t="shared" si="49"/>
        <v/>
      </c>
      <c r="W807" s="14"/>
      <c r="X807" s="7"/>
      <c r="Y807" s="15" t="str">
        <f t="shared" si="50"/>
        <v/>
      </c>
      <c r="Z807" s="14"/>
      <c r="AA807" s="7"/>
      <c r="AB807" s="15" t="str">
        <f t="shared" si="51"/>
        <v/>
      </c>
    </row>
    <row r="808" spans="1:28">
      <c r="A808" s="19">
        <v>805</v>
      </c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Q808" s="14"/>
      <c r="R808" s="7"/>
      <c r="S808" s="15" t="str">
        <f t="shared" si="48"/>
        <v/>
      </c>
      <c r="T808" s="14"/>
      <c r="U808" s="7"/>
      <c r="V808" s="15" t="str">
        <f t="shared" si="49"/>
        <v/>
      </c>
      <c r="W808" s="14"/>
      <c r="X808" s="7"/>
      <c r="Y808" s="15" t="str">
        <f t="shared" si="50"/>
        <v/>
      </c>
      <c r="Z808" s="14"/>
      <c r="AA808" s="7"/>
      <c r="AB808" s="15" t="str">
        <f t="shared" si="51"/>
        <v/>
      </c>
    </row>
    <row r="809" spans="1:28">
      <c r="A809" s="19">
        <v>806</v>
      </c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Q809" s="14"/>
      <c r="R809" s="7"/>
      <c r="S809" s="15" t="str">
        <f t="shared" si="48"/>
        <v/>
      </c>
      <c r="T809" s="14"/>
      <c r="U809" s="7"/>
      <c r="V809" s="15" t="str">
        <f t="shared" si="49"/>
        <v/>
      </c>
      <c r="W809" s="14"/>
      <c r="X809" s="7"/>
      <c r="Y809" s="15" t="str">
        <f t="shared" si="50"/>
        <v/>
      </c>
      <c r="Z809" s="14"/>
      <c r="AA809" s="7"/>
      <c r="AB809" s="15" t="str">
        <f t="shared" si="51"/>
        <v/>
      </c>
    </row>
    <row r="810" spans="1:28">
      <c r="A810" s="19">
        <v>807</v>
      </c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Q810" s="14"/>
      <c r="R810" s="7"/>
      <c r="S810" s="15" t="str">
        <f t="shared" si="48"/>
        <v/>
      </c>
      <c r="T810" s="14"/>
      <c r="U810" s="7"/>
      <c r="V810" s="15" t="str">
        <f t="shared" si="49"/>
        <v/>
      </c>
      <c r="W810" s="14"/>
      <c r="X810" s="7"/>
      <c r="Y810" s="15" t="str">
        <f t="shared" si="50"/>
        <v/>
      </c>
      <c r="Z810" s="14"/>
      <c r="AA810" s="7"/>
      <c r="AB810" s="15" t="str">
        <f t="shared" si="51"/>
        <v/>
      </c>
    </row>
    <row r="811" spans="1:28">
      <c r="A811" s="19">
        <v>808</v>
      </c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Q811" s="14"/>
      <c r="R811" s="7"/>
      <c r="S811" s="15" t="str">
        <f t="shared" si="48"/>
        <v/>
      </c>
      <c r="T811" s="14"/>
      <c r="U811" s="7"/>
      <c r="V811" s="15" t="str">
        <f t="shared" si="49"/>
        <v/>
      </c>
      <c r="W811" s="14"/>
      <c r="X811" s="7"/>
      <c r="Y811" s="15" t="str">
        <f t="shared" si="50"/>
        <v/>
      </c>
      <c r="Z811" s="14"/>
      <c r="AA811" s="7"/>
      <c r="AB811" s="15" t="str">
        <f t="shared" si="51"/>
        <v/>
      </c>
    </row>
    <row r="812" spans="1:28">
      <c r="A812" s="19">
        <v>809</v>
      </c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Q812" s="14"/>
      <c r="R812" s="7"/>
      <c r="S812" s="15" t="str">
        <f t="shared" si="48"/>
        <v/>
      </c>
      <c r="T812" s="14"/>
      <c r="U812" s="7"/>
      <c r="V812" s="15" t="str">
        <f t="shared" si="49"/>
        <v/>
      </c>
      <c r="W812" s="14"/>
      <c r="X812" s="7"/>
      <c r="Y812" s="15" t="str">
        <f t="shared" si="50"/>
        <v/>
      </c>
      <c r="Z812" s="14"/>
      <c r="AA812" s="7"/>
      <c r="AB812" s="15" t="str">
        <f t="shared" si="51"/>
        <v/>
      </c>
    </row>
    <row r="813" spans="1:28">
      <c r="A813" s="19">
        <v>810</v>
      </c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Q813" s="14"/>
      <c r="R813" s="7"/>
      <c r="S813" s="15" t="str">
        <f t="shared" si="48"/>
        <v/>
      </c>
      <c r="T813" s="14"/>
      <c r="U813" s="7"/>
      <c r="V813" s="15" t="str">
        <f t="shared" si="49"/>
        <v/>
      </c>
      <c r="W813" s="14"/>
      <c r="X813" s="7"/>
      <c r="Y813" s="15" t="str">
        <f t="shared" si="50"/>
        <v/>
      </c>
      <c r="Z813" s="14"/>
      <c r="AA813" s="7"/>
      <c r="AB813" s="15" t="str">
        <f t="shared" si="51"/>
        <v/>
      </c>
    </row>
    <row r="814" spans="1:28">
      <c r="A814" s="19">
        <v>811</v>
      </c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Q814" s="14"/>
      <c r="R814" s="7"/>
      <c r="S814" s="15" t="str">
        <f t="shared" si="48"/>
        <v/>
      </c>
      <c r="T814" s="14"/>
      <c r="U814" s="7"/>
      <c r="V814" s="15" t="str">
        <f t="shared" si="49"/>
        <v/>
      </c>
      <c r="W814" s="14"/>
      <c r="X814" s="7"/>
      <c r="Y814" s="15" t="str">
        <f t="shared" si="50"/>
        <v/>
      </c>
      <c r="Z814" s="14"/>
      <c r="AA814" s="7"/>
      <c r="AB814" s="15" t="str">
        <f t="shared" si="51"/>
        <v/>
      </c>
    </row>
    <row r="815" spans="1:28">
      <c r="A815" s="19">
        <v>812</v>
      </c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Q815" s="14"/>
      <c r="R815" s="7"/>
      <c r="S815" s="15" t="str">
        <f t="shared" si="48"/>
        <v/>
      </c>
      <c r="T815" s="14"/>
      <c r="U815" s="7"/>
      <c r="V815" s="15" t="str">
        <f t="shared" si="49"/>
        <v/>
      </c>
      <c r="W815" s="14"/>
      <c r="X815" s="7"/>
      <c r="Y815" s="15" t="str">
        <f t="shared" si="50"/>
        <v/>
      </c>
      <c r="Z815" s="14"/>
      <c r="AA815" s="7"/>
      <c r="AB815" s="15" t="str">
        <f t="shared" si="51"/>
        <v/>
      </c>
    </row>
    <row r="816" spans="1:28">
      <c r="A816" s="19">
        <v>813</v>
      </c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Q816" s="14"/>
      <c r="R816" s="7"/>
      <c r="S816" s="15" t="str">
        <f t="shared" si="48"/>
        <v/>
      </c>
      <c r="T816" s="14"/>
      <c r="U816" s="7"/>
      <c r="V816" s="15" t="str">
        <f t="shared" si="49"/>
        <v/>
      </c>
      <c r="W816" s="14"/>
      <c r="X816" s="7"/>
      <c r="Y816" s="15" t="str">
        <f t="shared" si="50"/>
        <v/>
      </c>
      <c r="Z816" s="14"/>
      <c r="AA816" s="7"/>
      <c r="AB816" s="15" t="str">
        <f t="shared" si="51"/>
        <v/>
      </c>
    </row>
    <row r="817" spans="1:28">
      <c r="A817" s="19">
        <v>814</v>
      </c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Q817" s="14"/>
      <c r="R817" s="7"/>
      <c r="S817" s="15" t="str">
        <f t="shared" si="48"/>
        <v/>
      </c>
      <c r="T817" s="14"/>
      <c r="U817" s="7"/>
      <c r="V817" s="15" t="str">
        <f t="shared" si="49"/>
        <v/>
      </c>
      <c r="W817" s="14"/>
      <c r="X817" s="7"/>
      <c r="Y817" s="15" t="str">
        <f t="shared" si="50"/>
        <v/>
      </c>
      <c r="Z817" s="14"/>
      <c r="AA817" s="7"/>
      <c r="AB817" s="15" t="str">
        <f t="shared" si="51"/>
        <v/>
      </c>
    </row>
    <row r="818" spans="1:28">
      <c r="A818" s="19">
        <v>815</v>
      </c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Q818" s="14"/>
      <c r="R818" s="7"/>
      <c r="S818" s="15" t="str">
        <f t="shared" si="48"/>
        <v/>
      </c>
      <c r="T818" s="14"/>
      <c r="U818" s="7"/>
      <c r="V818" s="15" t="str">
        <f t="shared" si="49"/>
        <v/>
      </c>
      <c r="W818" s="14"/>
      <c r="X818" s="7"/>
      <c r="Y818" s="15" t="str">
        <f t="shared" si="50"/>
        <v/>
      </c>
      <c r="Z818" s="14"/>
      <c r="AA818" s="7"/>
      <c r="AB818" s="15" t="str">
        <f t="shared" si="51"/>
        <v/>
      </c>
    </row>
    <row r="819" spans="1:28">
      <c r="A819" s="19">
        <v>816</v>
      </c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Q819" s="14"/>
      <c r="R819" s="7"/>
      <c r="S819" s="15" t="str">
        <f t="shared" si="48"/>
        <v/>
      </c>
      <c r="T819" s="14"/>
      <c r="U819" s="7"/>
      <c r="V819" s="15" t="str">
        <f t="shared" si="49"/>
        <v/>
      </c>
      <c r="W819" s="14"/>
      <c r="X819" s="7"/>
      <c r="Y819" s="15" t="str">
        <f t="shared" si="50"/>
        <v/>
      </c>
      <c r="Z819" s="14"/>
      <c r="AA819" s="7"/>
      <c r="AB819" s="15" t="str">
        <f t="shared" si="51"/>
        <v/>
      </c>
    </row>
    <row r="820" spans="1:28">
      <c r="A820" s="19">
        <v>817</v>
      </c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Q820" s="14"/>
      <c r="R820" s="7"/>
      <c r="S820" s="15" t="str">
        <f t="shared" si="48"/>
        <v/>
      </c>
      <c r="T820" s="14"/>
      <c r="U820" s="7"/>
      <c r="V820" s="15" t="str">
        <f t="shared" si="49"/>
        <v/>
      </c>
      <c r="W820" s="14"/>
      <c r="X820" s="7"/>
      <c r="Y820" s="15" t="str">
        <f t="shared" si="50"/>
        <v/>
      </c>
      <c r="Z820" s="14"/>
      <c r="AA820" s="7"/>
      <c r="AB820" s="15" t="str">
        <f t="shared" si="51"/>
        <v/>
      </c>
    </row>
    <row r="821" spans="1:28">
      <c r="A821" s="19">
        <v>818</v>
      </c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Q821" s="14"/>
      <c r="R821" s="7"/>
      <c r="S821" s="15" t="str">
        <f t="shared" si="48"/>
        <v/>
      </c>
      <c r="T821" s="14"/>
      <c r="U821" s="7"/>
      <c r="V821" s="15" t="str">
        <f t="shared" si="49"/>
        <v/>
      </c>
      <c r="W821" s="14"/>
      <c r="X821" s="7"/>
      <c r="Y821" s="15" t="str">
        <f t="shared" si="50"/>
        <v/>
      </c>
      <c r="Z821" s="14"/>
      <c r="AA821" s="7"/>
      <c r="AB821" s="15" t="str">
        <f t="shared" si="51"/>
        <v/>
      </c>
    </row>
    <row r="822" spans="1:28">
      <c r="A822" s="19">
        <v>819</v>
      </c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Q822" s="14"/>
      <c r="R822" s="7"/>
      <c r="S822" s="15" t="str">
        <f t="shared" si="48"/>
        <v/>
      </c>
      <c r="T822" s="14"/>
      <c r="U822" s="7"/>
      <c r="V822" s="15" t="str">
        <f t="shared" si="49"/>
        <v/>
      </c>
      <c r="W822" s="14"/>
      <c r="X822" s="7"/>
      <c r="Y822" s="15" t="str">
        <f t="shared" si="50"/>
        <v/>
      </c>
      <c r="Z822" s="14"/>
      <c r="AA822" s="7"/>
      <c r="AB822" s="15" t="str">
        <f t="shared" si="51"/>
        <v/>
      </c>
    </row>
    <row r="823" spans="1:28">
      <c r="A823" s="19">
        <v>820</v>
      </c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Q823" s="14"/>
      <c r="R823" s="7"/>
      <c r="S823" s="15" t="str">
        <f t="shared" si="48"/>
        <v/>
      </c>
      <c r="T823" s="14"/>
      <c r="U823" s="7"/>
      <c r="V823" s="15" t="str">
        <f t="shared" si="49"/>
        <v/>
      </c>
      <c r="W823" s="14"/>
      <c r="X823" s="7"/>
      <c r="Y823" s="15" t="str">
        <f t="shared" si="50"/>
        <v/>
      </c>
      <c r="Z823" s="14"/>
      <c r="AA823" s="7"/>
      <c r="AB823" s="15" t="str">
        <f t="shared" si="51"/>
        <v/>
      </c>
    </row>
    <row r="824" spans="1:28">
      <c r="A824" s="19">
        <v>821</v>
      </c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Q824" s="14"/>
      <c r="R824" s="7"/>
      <c r="S824" s="15" t="str">
        <f t="shared" si="48"/>
        <v/>
      </c>
      <c r="T824" s="14"/>
      <c r="U824" s="7"/>
      <c r="V824" s="15" t="str">
        <f t="shared" si="49"/>
        <v/>
      </c>
      <c r="W824" s="14"/>
      <c r="X824" s="7"/>
      <c r="Y824" s="15" t="str">
        <f t="shared" si="50"/>
        <v/>
      </c>
      <c r="Z824" s="14"/>
      <c r="AA824" s="7"/>
      <c r="AB824" s="15" t="str">
        <f t="shared" si="51"/>
        <v/>
      </c>
    </row>
    <row r="825" spans="1:28">
      <c r="A825" s="19">
        <v>822</v>
      </c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Q825" s="14"/>
      <c r="R825" s="7"/>
      <c r="S825" s="15" t="str">
        <f t="shared" si="48"/>
        <v/>
      </c>
      <c r="T825" s="14"/>
      <c r="U825" s="7"/>
      <c r="V825" s="15" t="str">
        <f t="shared" si="49"/>
        <v/>
      </c>
      <c r="W825" s="14"/>
      <c r="X825" s="7"/>
      <c r="Y825" s="15" t="str">
        <f t="shared" si="50"/>
        <v/>
      </c>
      <c r="Z825" s="14"/>
      <c r="AA825" s="7"/>
      <c r="AB825" s="15" t="str">
        <f t="shared" si="51"/>
        <v/>
      </c>
    </row>
    <row r="826" spans="1:28">
      <c r="A826" s="19">
        <v>823</v>
      </c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Q826" s="14"/>
      <c r="R826" s="7"/>
      <c r="S826" s="15" t="str">
        <f t="shared" si="48"/>
        <v/>
      </c>
      <c r="T826" s="14"/>
      <c r="U826" s="7"/>
      <c r="V826" s="15" t="str">
        <f t="shared" si="49"/>
        <v/>
      </c>
      <c r="W826" s="14"/>
      <c r="X826" s="7"/>
      <c r="Y826" s="15" t="str">
        <f t="shared" si="50"/>
        <v/>
      </c>
      <c r="Z826" s="14"/>
      <c r="AA826" s="7"/>
      <c r="AB826" s="15" t="str">
        <f t="shared" si="51"/>
        <v/>
      </c>
    </row>
    <row r="827" spans="1:28">
      <c r="A827" s="19">
        <v>824</v>
      </c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Q827" s="14"/>
      <c r="R827" s="7"/>
      <c r="S827" s="15" t="str">
        <f t="shared" si="48"/>
        <v/>
      </c>
      <c r="T827" s="14"/>
      <c r="U827" s="7"/>
      <c r="V827" s="15" t="str">
        <f t="shared" si="49"/>
        <v/>
      </c>
      <c r="W827" s="14"/>
      <c r="X827" s="7"/>
      <c r="Y827" s="15" t="str">
        <f t="shared" si="50"/>
        <v/>
      </c>
      <c r="Z827" s="14"/>
      <c r="AA827" s="7"/>
      <c r="AB827" s="15" t="str">
        <f t="shared" si="51"/>
        <v/>
      </c>
    </row>
    <row r="828" spans="1:28">
      <c r="A828" s="19">
        <v>825</v>
      </c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Q828" s="14"/>
      <c r="R828" s="7"/>
      <c r="S828" s="15" t="str">
        <f t="shared" si="48"/>
        <v/>
      </c>
      <c r="T828" s="14"/>
      <c r="U828" s="7"/>
      <c r="V828" s="15" t="str">
        <f t="shared" si="49"/>
        <v/>
      </c>
      <c r="W828" s="14"/>
      <c r="X828" s="7"/>
      <c r="Y828" s="15" t="str">
        <f t="shared" si="50"/>
        <v/>
      </c>
      <c r="Z828" s="14"/>
      <c r="AA828" s="7"/>
      <c r="AB828" s="15" t="str">
        <f t="shared" si="51"/>
        <v/>
      </c>
    </row>
    <row r="829" spans="1:28">
      <c r="A829" s="19">
        <v>826</v>
      </c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Q829" s="14"/>
      <c r="R829" s="7"/>
      <c r="S829" s="15" t="str">
        <f t="shared" si="48"/>
        <v/>
      </c>
      <c r="T829" s="14"/>
      <c r="U829" s="7"/>
      <c r="V829" s="15" t="str">
        <f t="shared" si="49"/>
        <v/>
      </c>
      <c r="W829" s="14"/>
      <c r="X829" s="7"/>
      <c r="Y829" s="15" t="str">
        <f t="shared" si="50"/>
        <v/>
      </c>
      <c r="Z829" s="14"/>
      <c r="AA829" s="7"/>
      <c r="AB829" s="15" t="str">
        <f t="shared" si="51"/>
        <v/>
      </c>
    </row>
    <row r="830" spans="1:28">
      <c r="A830" s="19">
        <v>827</v>
      </c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Q830" s="14"/>
      <c r="R830" s="7"/>
      <c r="S830" s="15" t="str">
        <f t="shared" si="48"/>
        <v/>
      </c>
      <c r="T830" s="14"/>
      <c r="U830" s="7"/>
      <c r="V830" s="15" t="str">
        <f t="shared" si="49"/>
        <v/>
      </c>
      <c r="W830" s="14"/>
      <c r="X830" s="7"/>
      <c r="Y830" s="15" t="str">
        <f t="shared" si="50"/>
        <v/>
      </c>
      <c r="Z830" s="14"/>
      <c r="AA830" s="7"/>
      <c r="AB830" s="15" t="str">
        <f t="shared" si="51"/>
        <v/>
      </c>
    </row>
    <row r="831" spans="1:28">
      <c r="A831" s="19">
        <v>828</v>
      </c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Q831" s="14"/>
      <c r="R831" s="7"/>
      <c r="S831" s="15" t="str">
        <f t="shared" si="48"/>
        <v/>
      </c>
      <c r="T831" s="14"/>
      <c r="U831" s="7"/>
      <c r="V831" s="15" t="str">
        <f t="shared" si="49"/>
        <v/>
      </c>
      <c r="W831" s="14"/>
      <c r="X831" s="7"/>
      <c r="Y831" s="15" t="str">
        <f t="shared" si="50"/>
        <v/>
      </c>
      <c r="Z831" s="14"/>
      <c r="AA831" s="7"/>
      <c r="AB831" s="15" t="str">
        <f t="shared" si="51"/>
        <v/>
      </c>
    </row>
    <row r="832" spans="1:28">
      <c r="A832" s="19">
        <v>829</v>
      </c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Q832" s="14"/>
      <c r="R832" s="7"/>
      <c r="S832" s="15" t="str">
        <f t="shared" si="48"/>
        <v/>
      </c>
      <c r="T832" s="14"/>
      <c r="U832" s="7"/>
      <c r="V832" s="15" t="str">
        <f t="shared" si="49"/>
        <v/>
      </c>
      <c r="W832" s="14"/>
      <c r="X832" s="7"/>
      <c r="Y832" s="15" t="str">
        <f t="shared" si="50"/>
        <v/>
      </c>
      <c r="Z832" s="14"/>
      <c r="AA832" s="7"/>
      <c r="AB832" s="15" t="str">
        <f t="shared" si="51"/>
        <v/>
      </c>
    </row>
    <row r="833" spans="1:28">
      <c r="A833" s="19">
        <v>830</v>
      </c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Q833" s="14"/>
      <c r="R833" s="7"/>
      <c r="S833" s="15" t="str">
        <f t="shared" si="48"/>
        <v/>
      </c>
      <c r="T833" s="14"/>
      <c r="U833" s="7"/>
      <c r="V833" s="15" t="str">
        <f t="shared" si="49"/>
        <v/>
      </c>
      <c r="W833" s="14"/>
      <c r="X833" s="7"/>
      <c r="Y833" s="15" t="str">
        <f t="shared" si="50"/>
        <v/>
      </c>
      <c r="Z833" s="14"/>
      <c r="AA833" s="7"/>
      <c r="AB833" s="15" t="str">
        <f t="shared" si="51"/>
        <v/>
      </c>
    </row>
    <row r="834" spans="1:28">
      <c r="A834" s="19">
        <v>831</v>
      </c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Q834" s="14"/>
      <c r="R834" s="7"/>
      <c r="S834" s="15" t="str">
        <f t="shared" si="48"/>
        <v/>
      </c>
      <c r="T834" s="14"/>
      <c r="U834" s="7"/>
      <c r="V834" s="15" t="str">
        <f t="shared" si="49"/>
        <v/>
      </c>
      <c r="W834" s="14"/>
      <c r="X834" s="7"/>
      <c r="Y834" s="15" t="str">
        <f t="shared" si="50"/>
        <v/>
      </c>
      <c r="Z834" s="14"/>
      <c r="AA834" s="7"/>
      <c r="AB834" s="15" t="str">
        <f t="shared" si="51"/>
        <v/>
      </c>
    </row>
    <row r="835" spans="1:28">
      <c r="A835" s="19">
        <v>832</v>
      </c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Q835" s="14"/>
      <c r="R835" s="7"/>
      <c r="S835" s="15" t="str">
        <f t="shared" si="48"/>
        <v/>
      </c>
      <c r="T835" s="14"/>
      <c r="U835" s="7"/>
      <c r="V835" s="15" t="str">
        <f t="shared" si="49"/>
        <v/>
      </c>
      <c r="W835" s="14"/>
      <c r="X835" s="7"/>
      <c r="Y835" s="15" t="str">
        <f t="shared" si="50"/>
        <v/>
      </c>
      <c r="Z835" s="14"/>
      <c r="AA835" s="7"/>
      <c r="AB835" s="15" t="str">
        <f t="shared" si="51"/>
        <v/>
      </c>
    </row>
    <row r="836" spans="1:28">
      <c r="A836" s="19">
        <v>833</v>
      </c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Q836" s="14"/>
      <c r="R836" s="7"/>
      <c r="S836" s="15" t="str">
        <f t="shared" si="48"/>
        <v/>
      </c>
      <c r="T836" s="14"/>
      <c r="U836" s="7"/>
      <c r="V836" s="15" t="str">
        <f t="shared" si="49"/>
        <v/>
      </c>
      <c r="W836" s="14"/>
      <c r="X836" s="7"/>
      <c r="Y836" s="15" t="str">
        <f t="shared" si="50"/>
        <v/>
      </c>
      <c r="Z836" s="14"/>
      <c r="AA836" s="7"/>
      <c r="AB836" s="15" t="str">
        <f t="shared" si="51"/>
        <v/>
      </c>
    </row>
    <row r="837" spans="1:28">
      <c r="A837" s="19">
        <v>834</v>
      </c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Q837" s="14"/>
      <c r="R837" s="7"/>
      <c r="S837" s="15" t="str">
        <f t="shared" ref="S837:S900" si="52">IF(OR($H837="",Q837=""),"",Q837+(R837/$H837))</f>
        <v/>
      </c>
      <c r="T837" s="14"/>
      <c r="U837" s="7"/>
      <c r="V837" s="15" t="str">
        <f t="shared" ref="V837:V900" si="53">IF(OR($H837="",T837=""),"",T837+(U837/$H837))</f>
        <v/>
      </c>
      <c r="W837" s="14"/>
      <c r="X837" s="7"/>
      <c r="Y837" s="15" t="str">
        <f t="shared" ref="Y837:Y900" si="54">IF(OR($H837="",W837=""),"",W837+(X837/$H837))</f>
        <v/>
      </c>
      <c r="Z837" s="14"/>
      <c r="AA837" s="7"/>
      <c r="AB837" s="15" t="str">
        <f t="shared" ref="AB837:AB900" si="55">IF(OR($H837="",Z837=""),"",Z837+(AA837/$H837))</f>
        <v/>
      </c>
    </row>
    <row r="838" spans="1:28">
      <c r="A838" s="19">
        <v>835</v>
      </c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Q838" s="14"/>
      <c r="R838" s="7"/>
      <c r="S838" s="15" t="str">
        <f t="shared" si="52"/>
        <v/>
      </c>
      <c r="T838" s="14"/>
      <c r="U838" s="7"/>
      <c r="V838" s="15" t="str">
        <f t="shared" si="53"/>
        <v/>
      </c>
      <c r="W838" s="14"/>
      <c r="X838" s="7"/>
      <c r="Y838" s="15" t="str">
        <f t="shared" si="54"/>
        <v/>
      </c>
      <c r="Z838" s="14"/>
      <c r="AA838" s="7"/>
      <c r="AB838" s="15" t="str">
        <f t="shared" si="55"/>
        <v/>
      </c>
    </row>
    <row r="839" spans="1:28">
      <c r="A839" s="19">
        <v>836</v>
      </c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Q839" s="14"/>
      <c r="R839" s="7"/>
      <c r="S839" s="15" t="str">
        <f t="shared" si="52"/>
        <v/>
      </c>
      <c r="T839" s="14"/>
      <c r="U839" s="7"/>
      <c r="V839" s="15" t="str">
        <f t="shared" si="53"/>
        <v/>
      </c>
      <c r="W839" s="14"/>
      <c r="X839" s="7"/>
      <c r="Y839" s="15" t="str">
        <f t="shared" si="54"/>
        <v/>
      </c>
      <c r="Z839" s="14"/>
      <c r="AA839" s="7"/>
      <c r="AB839" s="15" t="str">
        <f t="shared" si="55"/>
        <v/>
      </c>
    </row>
    <row r="840" spans="1:28">
      <c r="A840" s="19">
        <v>837</v>
      </c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Q840" s="14"/>
      <c r="R840" s="7"/>
      <c r="S840" s="15" t="str">
        <f t="shared" si="52"/>
        <v/>
      </c>
      <c r="T840" s="14"/>
      <c r="U840" s="7"/>
      <c r="V840" s="15" t="str">
        <f t="shared" si="53"/>
        <v/>
      </c>
      <c r="W840" s="14"/>
      <c r="X840" s="7"/>
      <c r="Y840" s="15" t="str">
        <f t="shared" si="54"/>
        <v/>
      </c>
      <c r="Z840" s="14"/>
      <c r="AA840" s="7"/>
      <c r="AB840" s="15" t="str">
        <f t="shared" si="55"/>
        <v/>
      </c>
    </row>
    <row r="841" spans="1:28">
      <c r="A841" s="19">
        <v>838</v>
      </c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Q841" s="14"/>
      <c r="R841" s="7"/>
      <c r="S841" s="15" t="str">
        <f t="shared" si="52"/>
        <v/>
      </c>
      <c r="T841" s="14"/>
      <c r="U841" s="7"/>
      <c r="V841" s="15" t="str">
        <f t="shared" si="53"/>
        <v/>
      </c>
      <c r="W841" s="14"/>
      <c r="X841" s="7"/>
      <c r="Y841" s="15" t="str">
        <f t="shared" si="54"/>
        <v/>
      </c>
      <c r="Z841" s="14"/>
      <c r="AA841" s="7"/>
      <c r="AB841" s="15" t="str">
        <f t="shared" si="55"/>
        <v/>
      </c>
    </row>
    <row r="842" spans="1:28">
      <c r="A842" s="19">
        <v>839</v>
      </c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Q842" s="14"/>
      <c r="R842" s="7"/>
      <c r="S842" s="15" t="str">
        <f t="shared" si="52"/>
        <v/>
      </c>
      <c r="T842" s="14"/>
      <c r="U842" s="7"/>
      <c r="V842" s="15" t="str">
        <f t="shared" si="53"/>
        <v/>
      </c>
      <c r="W842" s="14"/>
      <c r="X842" s="7"/>
      <c r="Y842" s="15" t="str">
        <f t="shared" si="54"/>
        <v/>
      </c>
      <c r="Z842" s="14"/>
      <c r="AA842" s="7"/>
      <c r="AB842" s="15" t="str">
        <f t="shared" si="55"/>
        <v/>
      </c>
    </row>
    <row r="843" spans="1:28">
      <c r="A843" s="19">
        <v>840</v>
      </c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Q843" s="14"/>
      <c r="R843" s="7"/>
      <c r="S843" s="15" t="str">
        <f t="shared" si="52"/>
        <v/>
      </c>
      <c r="T843" s="14"/>
      <c r="U843" s="7"/>
      <c r="V843" s="15" t="str">
        <f t="shared" si="53"/>
        <v/>
      </c>
      <c r="W843" s="14"/>
      <c r="X843" s="7"/>
      <c r="Y843" s="15" t="str">
        <f t="shared" si="54"/>
        <v/>
      </c>
      <c r="Z843" s="14"/>
      <c r="AA843" s="7"/>
      <c r="AB843" s="15" t="str">
        <f t="shared" si="55"/>
        <v/>
      </c>
    </row>
    <row r="844" spans="1:28">
      <c r="A844" s="19">
        <v>841</v>
      </c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Q844" s="14"/>
      <c r="R844" s="7"/>
      <c r="S844" s="15" t="str">
        <f t="shared" si="52"/>
        <v/>
      </c>
      <c r="T844" s="14"/>
      <c r="U844" s="7"/>
      <c r="V844" s="15" t="str">
        <f t="shared" si="53"/>
        <v/>
      </c>
      <c r="W844" s="14"/>
      <c r="X844" s="7"/>
      <c r="Y844" s="15" t="str">
        <f t="shared" si="54"/>
        <v/>
      </c>
      <c r="Z844" s="14"/>
      <c r="AA844" s="7"/>
      <c r="AB844" s="15" t="str">
        <f t="shared" si="55"/>
        <v/>
      </c>
    </row>
    <row r="845" spans="1:28">
      <c r="A845" s="19">
        <v>842</v>
      </c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Q845" s="14"/>
      <c r="R845" s="7"/>
      <c r="S845" s="15" t="str">
        <f t="shared" si="52"/>
        <v/>
      </c>
      <c r="T845" s="14"/>
      <c r="U845" s="7"/>
      <c r="V845" s="15" t="str">
        <f t="shared" si="53"/>
        <v/>
      </c>
      <c r="W845" s="14"/>
      <c r="X845" s="7"/>
      <c r="Y845" s="15" t="str">
        <f t="shared" si="54"/>
        <v/>
      </c>
      <c r="Z845" s="14"/>
      <c r="AA845" s="7"/>
      <c r="AB845" s="15" t="str">
        <f t="shared" si="55"/>
        <v/>
      </c>
    </row>
    <row r="846" spans="1:28">
      <c r="A846" s="19">
        <v>843</v>
      </c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Q846" s="14"/>
      <c r="R846" s="7"/>
      <c r="S846" s="15" t="str">
        <f t="shared" si="52"/>
        <v/>
      </c>
      <c r="T846" s="14"/>
      <c r="U846" s="7"/>
      <c r="V846" s="15" t="str">
        <f t="shared" si="53"/>
        <v/>
      </c>
      <c r="W846" s="14"/>
      <c r="X846" s="7"/>
      <c r="Y846" s="15" t="str">
        <f t="shared" si="54"/>
        <v/>
      </c>
      <c r="Z846" s="14"/>
      <c r="AA846" s="7"/>
      <c r="AB846" s="15" t="str">
        <f t="shared" si="55"/>
        <v/>
      </c>
    </row>
    <row r="847" spans="1:28">
      <c r="A847" s="19">
        <v>844</v>
      </c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Q847" s="14"/>
      <c r="R847" s="7"/>
      <c r="S847" s="15" t="str">
        <f t="shared" si="52"/>
        <v/>
      </c>
      <c r="T847" s="14"/>
      <c r="U847" s="7"/>
      <c r="V847" s="15" t="str">
        <f t="shared" si="53"/>
        <v/>
      </c>
      <c r="W847" s="14"/>
      <c r="X847" s="7"/>
      <c r="Y847" s="15" t="str">
        <f t="shared" si="54"/>
        <v/>
      </c>
      <c r="Z847" s="14"/>
      <c r="AA847" s="7"/>
      <c r="AB847" s="15" t="str">
        <f t="shared" si="55"/>
        <v/>
      </c>
    </row>
    <row r="848" spans="1:28">
      <c r="A848" s="19">
        <v>845</v>
      </c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Q848" s="14"/>
      <c r="R848" s="7"/>
      <c r="S848" s="15" t="str">
        <f t="shared" si="52"/>
        <v/>
      </c>
      <c r="T848" s="14"/>
      <c r="U848" s="7"/>
      <c r="V848" s="15" t="str">
        <f t="shared" si="53"/>
        <v/>
      </c>
      <c r="W848" s="14"/>
      <c r="X848" s="7"/>
      <c r="Y848" s="15" t="str">
        <f t="shared" si="54"/>
        <v/>
      </c>
      <c r="Z848" s="14"/>
      <c r="AA848" s="7"/>
      <c r="AB848" s="15" t="str">
        <f t="shared" si="55"/>
        <v/>
      </c>
    </row>
    <row r="849" spans="1:28">
      <c r="A849" s="19">
        <v>846</v>
      </c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Q849" s="14"/>
      <c r="R849" s="7"/>
      <c r="S849" s="15" t="str">
        <f t="shared" si="52"/>
        <v/>
      </c>
      <c r="T849" s="14"/>
      <c r="U849" s="7"/>
      <c r="V849" s="15" t="str">
        <f t="shared" si="53"/>
        <v/>
      </c>
      <c r="W849" s="14"/>
      <c r="X849" s="7"/>
      <c r="Y849" s="15" t="str">
        <f t="shared" si="54"/>
        <v/>
      </c>
      <c r="Z849" s="14"/>
      <c r="AA849" s="7"/>
      <c r="AB849" s="15" t="str">
        <f t="shared" si="55"/>
        <v/>
      </c>
    </row>
    <row r="850" spans="1:28">
      <c r="A850" s="19">
        <v>847</v>
      </c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Q850" s="14"/>
      <c r="R850" s="7"/>
      <c r="S850" s="15" t="str">
        <f t="shared" si="52"/>
        <v/>
      </c>
      <c r="T850" s="14"/>
      <c r="U850" s="7"/>
      <c r="V850" s="15" t="str">
        <f t="shared" si="53"/>
        <v/>
      </c>
      <c r="W850" s="14"/>
      <c r="X850" s="7"/>
      <c r="Y850" s="15" t="str">
        <f t="shared" si="54"/>
        <v/>
      </c>
      <c r="Z850" s="14"/>
      <c r="AA850" s="7"/>
      <c r="AB850" s="15" t="str">
        <f t="shared" si="55"/>
        <v/>
      </c>
    </row>
    <row r="851" spans="1:28">
      <c r="A851" s="19">
        <v>848</v>
      </c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Q851" s="14"/>
      <c r="R851" s="7"/>
      <c r="S851" s="15" t="str">
        <f t="shared" si="52"/>
        <v/>
      </c>
      <c r="T851" s="14"/>
      <c r="U851" s="7"/>
      <c r="V851" s="15" t="str">
        <f t="shared" si="53"/>
        <v/>
      </c>
      <c r="W851" s="14"/>
      <c r="X851" s="7"/>
      <c r="Y851" s="15" t="str">
        <f t="shared" si="54"/>
        <v/>
      </c>
      <c r="Z851" s="14"/>
      <c r="AA851" s="7"/>
      <c r="AB851" s="15" t="str">
        <f t="shared" si="55"/>
        <v/>
      </c>
    </row>
    <row r="852" spans="1:28">
      <c r="A852" s="19">
        <v>849</v>
      </c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Q852" s="14"/>
      <c r="R852" s="7"/>
      <c r="S852" s="15" t="str">
        <f t="shared" si="52"/>
        <v/>
      </c>
      <c r="T852" s="14"/>
      <c r="U852" s="7"/>
      <c r="V852" s="15" t="str">
        <f t="shared" si="53"/>
        <v/>
      </c>
      <c r="W852" s="14"/>
      <c r="X852" s="7"/>
      <c r="Y852" s="15" t="str">
        <f t="shared" si="54"/>
        <v/>
      </c>
      <c r="Z852" s="14"/>
      <c r="AA852" s="7"/>
      <c r="AB852" s="15" t="str">
        <f t="shared" si="55"/>
        <v/>
      </c>
    </row>
    <row r="853" spans="1:28">
      <c r="A853" s="19">
        <v>850</v>
      </c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Q853" s="14"/>
      <c r="R853" s="7"/>
      <c r="S853" s="15" t="str">
        <f t="shared" si="52"/>
        <v/>
      </c>
      <c r="T853" s="14"/>
      <c r="U853" s="7"/>
      <c r="V853" s="15" t="str">
        <f t="shared" si="53"/>
        <v/>
      </c>
      <c r="W853" s="14"/>
      <c r="X853" s="7"/>
      <c r="Y853" s="15" t="str">
        <f t="shared" si="54"/>
        <v/>
      </c>
      <c r="Z853" s="14"/>
      <c r="AA853" s="7"/>
      <c r="AB853" s="15" t="str">
        <f t="shared" si="55"/>
        <v/>
      </c>
    </row>
    <row r="854" spans="1:28">
      <c r="A854" s="19">
        <v>851</v>
      </c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Q854" s="14"/>
      <c r="R854" s="7"/>
      <c r="S854" s="15" t="str">
        <f t="shared" si="52"/>
        <v/>
      </c>
      <c r="T854" s="14"/>
      <c r="U854" s="7"/>
      <c r="V854" s="15" t="str">
        <f t="shared" si="53"/>
        <v/>
      </c>
      <c r="W854" s="14"/>
      <c r="X854" s="7"/>
      <c r="Y854" s="15" t="str">
        <f t="shared" si="54"/>
        <v/>
      </c>
      <c r="Z854" s="14"/>
      <c r="AA854" s="7"/>
      <c r="AB854" s="15" t="str">
        <f t="shared" si="55"/>
        <v/>
      </c>
    </row>
    <row r="855" spans="1:28">
      <c r="A855" s="19">
        <v>852</v>
      </c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Q855" s="14"/>
      <c r="R855" s="7"/>
      <c r="S855" s="15" t="str">
        <f t="shared" si="52"/>
        <v/>
      </c>
      <c r="T855" s="14"/>
      <c r="U855" s="7"/>
      <c r="V855" s="15" t="str">
        <f t="shared" si="53"/>
        <v/>
      </c>
      <c r="W855" s="14"/>
      <c r="X855" s="7"/>
      <c r="Y855" s="15" t="str">
        <f t="shared" si="54"/>
        <v/>
      </c>
      <c r="Z855" s="14"/>
      <c r="AA855" s="7"/>
      <c r="AB855" s="15" t="str">
        <f t="shared" si="55"/>
        <v/>
      </c>
    </row>
    <row r="856" spans="1:28">
      <c r="A856" s="19">
        <v>853</v>
      </c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Q856" s="14"/>
      <c r="R856" s="7"/>
      <c r="S856" s="15" t="str">
        <f t="shared" si="52"/>
        <v/>
      </c>
      <c r="T856" s="14"/>
      <c r="U856" s="7"/>
      <c r="V856" s="15" t="str">
        <f t="shared" si="53"/>
        <v/>
      </c>
      <c r="W856" s="14"/>
      <c r="X856" s="7"/>
      <c r="Y856" s="15" t="str">
        <f t="shared" si="54"/>
        <v/>
      </c>
      <c r="Z856" s="14"/>
      <c r="AA856" s="7"/>
      <c r="AB856" s="15" t="str">
        <f t="shared" si="55"/>
        <v/>
      </c>
    </row>
    <row r="857" spans="1:28">
      <c r="A857" s="19">
        <v>854</v>
      </c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Q857" s="14"/>
      <c r="R857" s="7"/>
      <c r="S857" s="15" t="str">
        <f t="shared" si="52"/>
        <v/>
      </c>
      <c r="T857" s="14"/>
      <c r="U857" s="7"/>
      <c r="V857" s="15" t="str">
        <f t="shared" si="53"/>
        <v/>
      </c>
      <c r="W857" s="14"/>
      <c r="X857" s="7"/>
      <c r="Y857" s="15" t="str">
        <f t="shared" si="54"/>
        <v/>
      </c>
      <c r="Z857" s="14"/>
      <c r="AA857" s="7"/>
      <c r="AB857" s="15" t="str">
        <f t="shared" si="55"/>
        <v/>
      </c>
    </row>
    <row r="858" spans="1:28">
      <c r="A858" s="19">
        <v>855</v>
      </c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Q858" s="14"/>
      <c r="R858" s="7"/>
      <c r="S858" s="15" t="str">
        <f t="shared" si="52"/>
        <v/>
      </c>
      <c r="T858" s="14"/>
      <c r="U858" s="7"/>
      <c r="V858" s="15" t="str">
        <f t="shared" si="53"/>
        <v/>
      </c>
      <c r="W858" s="14"/>
      <c r="X858" s="7"/>
      <c r="Y858" s="15" t="str">
        <f t="shared" si="54"/>
        <v/>
      </c>
      <c r="Z858" s="14"/>
      <c r="AA858" s="7"/>
      <c r="AB858" s="15" t="str">
        <f t="shared" si="55"/>
        <v/>
      </c>
    </row>
    <row r="859" spans="1:28">
      <c r="A859" s="19">
        <v>856</v>
      </c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Q859" s="14"/>
      <c r="R859" s="7"/>
      <c r="S859" s="15" t="str">
        <f t="shared" si="52"/>
        <v/>
      </c>
      <c r="T859" s="14"/>
      <c r="U859" s="7"/>
      <c r="V859" s="15" t="str">
        <f t="shared" si="53"/>
        <v/>
      </c>
      <c r="W859" s="14"/>
      <c r="X859" s="7"/>
      <c r="Y859" s="15" t="str">
        <f t="shared" si="54"/>
        <v/>
      </c>
      <c r="Z859" s="14"/>
      <c r="AA859" s="7"/>
      <c r="AB859" s="15" t="str">
        <f t="shared" si="55"/>
        <v/>
      </c>
    </row>
    <row r="860" spans="1:28">
      <c r="A860" s="19">
        <v>857</v>
      </c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Q860" s="14"/>
      <c r="R860" s="7"/>
      <c r="S860" s="15" t="str">
        <f t="shared" si="52"/>
        <v/>
      </c>
      <c r="T860" s="14"/>
      <c r="U860" s="7"/>
      <c r="V860" s="15" t="str">
        <f t="shared" si="53"/>
        <v/>
      </c>
      <c r="W860" s="14"/>
      <c r="X860" s="7"/>
      <c r="Y860" s="15" t="str">
        <f t="shared" si="54"/>
        <v/>
      </c>
      <c r="Z860" s="14"/>
      <c r="AA860" s="7"/>
      <c r="AB860" s="15" t="str">
        <f t="shared" si="55"/>
        <v/>
      </c>
    </row>
    <row r="861" spans="1:28">
      <c r="A861" s="19">
        <v>858</v>
      </c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Q861" s="14"/>
      <c r="R861" s="7"/>
      <c r="S861" s="15" t="str">
        <f t="shared" si="52"/>
        <v/>
      </c>
      <c r="T861" s="14"/>
      <c r="U861" s="7"/>
      <c r="V861" s="15" t="str">
        <f t="shared" si="53"/>
        <v/>
      </c>
      <c r="W861" s="14"/>
      <c r="X861" s="7"/>
      <c r="Y861" s="15" t="str">
        <f t="shared" si="54"/>
        <v/>
      </c>
      <c r="Z861" s="14"/>
      <c r="AA861" s="7"/>
      <c r="AB861" s="15" t="str">
        <f t="shared" si="55"/>
        <v/>
      </c>
    </row>
    <row r="862" spans="1:28">
      <c r="A862" s="19">
        <v>859</v>
      </c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Q862" s="14"/>
      <c r="R862" s="7"/>
      <c r="S862" s="15" t="str">
        <f t="shared" si="52"/>
        <v/>
      </c>
      <c r="T862" s="14"/>
      <c r="U862" s="7"/>
      <c r="V862" s="15" t="str">
        <f t="shared" si="53"/>
        <v/>
      </c>
      <c r="W862" s="14"/>
      <c r="X862" s="7"/>
      <c r="Y862" s="15" t="str">
        <f t="shared" si="54"/>
        <v/>
      </c>
      <c r="Z862" s="14"/>
      <c r="AA862" s="7"/>
      <c r="AB862" s="15" t="str">
        <f t="shared" si="55"/>
        <v/>
      </c>
    </row>
    <row r="863" spans="1:28">
      <c r="A863" s="19">
        <v>860</v>
      </c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Q863" s="14"/>
      <c r="R863" s="7"/>
      <c r="S863" s="15" t="str">
        <f t="shared" si="52"/>
        <v/>
      </c>
      <c r="T863" s="14"/>
      <c r="U863" s="7"/>
      <c r="V863" s="15" t="str">
        <f t="shared" si="53"/>
        <v/>
      </c>
      <c r="W863" s="14"/>
      <c r="X863" s="7"/>
      <c r="Y863" s="15" t="str">
        <f t="shared" si="54"/>
        <v/>
      </c>
      <c r="Z863" s="14"/>
      <c r="AA863" s="7"/>
      <c r="AB863" s="15" t="str">
        <f t="shared" si="55"/>
        <v/>
      </c>
    </row>
    <row r="864" spans="1:28">
      <c r="A864" s="19">
        <v>861</v>
      </c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Q864" s="14"/>
      <c r="R864" s="7"/>
      <c r="S864" s="15" t="str">
        <f t="shared" si="52"/>
        <v/>
      </c>
      <c r="T864" s="14"/>
      <c r="U864" s="7"/>
      <c r="V864" s="15" t="str">
        <f t="shared" si="53"/>
        <v/>
      </c>
      <c r="W864" s="14"/>
      <c r="X864" s="7"/>
      <c r="Y864" s="15" t="str">
        <f t="shared" si="54"/>
        <v/>
      </c>
      <c r="Z864" s="14"/>
      <c r="AA864" s="7"/>
      <c r="AB864" s="15" t="str">
        <f t="shared" si="55"/>
        <v/>
      </c>
    </row>
    <row r="865" spans="1:28">
      <c r="A865" s="19">
        <v>862</v>
      </c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Q865" s="14"/>
      <c r="R865" s="7"/>
      <c r="S865" s="15" t="str">
        <f t="shared" si="52"/>
        <v/>
      </c>
      <c r="T865" s="14"/>
      <c r="U865" s="7"/>
      <c r="V865" s="15" t="str">
        <f t="shared" si="53"/>
        <v/>
      </c>
      <c r="W865" s="14"/>
      <c r="X865" s="7"/>
      <c r="Y865" s="15" t="str">
        <f t="shared" si="54"/>
        <v/>
      </c>
      <c r="Z865" s="14"/>
      <c r="AA865" s="7"/>
      <c r="AB865" s="15" t="str">
        <f t="shared" si="55"/>
        <v/>
      </c>
    </row>
    <row r="866" spans="1:28">
      <c r="A866" s="19">
        <v>863</v>
      </c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Q866" s="14"/>
      <c r="R866" s="7"/>
      <c r="S866" s="15" t="str">
        <f t="shared" si="52"/>
        <v/>
      </c>
      <c r="T866" s="14"/>
      <c r="U866" s="7"/>
      <c r="V866" s="15" t="str">
        <f t="shared" si="53"/>
        <v/>
      </c>
      <c r="W866" s="14"/>
      <c r="X866" s="7"/>
      <c r="Y866" s="15" t="str">
        <f t="shared" si="54"/>
        <v/>
      </c>
      <c r="Z866" s="14"/>
      <c r="AA866" s="7"/>
      <c r="AB866" s="15" t="str">
        <f t="shared" si="55"/>
        <v/>
      </c>
    </row>
    <row r="867" spans="1:28">
      <c r="A867" s="19">
        <v>864</v>
      </c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Q867" s="14"/>
      <c r="R867" s="7"/>
      <c r="S867" s="15" t="str">
        <f t="shared" si="52"/>
        <v/>
      </c>
      <c r="T867" s="14"/>
      <c r="U867" s="7"/>
      <c r="V867" s="15" t="str">
        <f t="shared" si="53"/>
        <v/>
      </c>
      <c r="W867" s="14"/>
      <c r="X867" s="7"/>
      <c r="Y867" s="15" t="str">
        <f t="shared" si="54"/>
        <v/>
      </c>
      <c r="Z867" s="14"/>
      <c r="AA867" s="7"/>
      <c r="AB867" s="15" t="str">
        <f t="shared" si="55"/>
        <v/>
      </c>
    </row>
    <row r="868" spans="1:28">
      <c r="A868" s="19">
        <v>865</v>
      </c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Q868" s="14"/>
      <c r="R868" s="7"/>
      <c r="S868" s="15" t="str">
        <f t="shared" si="52"/>
        <v/>
      </c>
      <c r="T868" s="14"/>
      <c r="U868" s="7"/>
      <c r="V868" s="15" t="str">
        <f t="shared" si="53"/>
        <v/>
      </c>
      <c r="W868" s="14"/>
      <c r="X868" s="7"/>
      <c r="Y868" s="15" t="str">
        <f t="shared" si="54"/>
        <v/>
      </c>
      <c r="Z868" s="14"/>
      <c r="AA868" s="7"/>
      <c r="AB868" s="15" t="str">
        <f t="shared" si="55"/>
        <v/>
      </c>
    </row>
    <row r="869" spans="1:28">
      <c r="A869" s="19">
        <v>866</v>
      </c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Q869" s="14"/>
      <c r="R869" s="7"/>
      <c r="S869" s="15" t="str">
        <f t="shared" si="52"/>
        <v/>
      </c>
      <c r="T869" s="14"/>
      <c r="U869" s="7"/>
      <c r="V869" s="15" t="str">
        <f t="shared" si="53"/>
        <v/>
      </c>
      <c r="W869" s="14"/>
      <c r="X869" s="7"/>
      <c r="Y869" s="15" t="str">
        <f t="shared" si="54"/>
        <v/>
      </c>
      <c r="Z869" s="14"/>
      <c r="AA869" s="7"/>
      <c r="AB869" s="15" t="str">
        <f t="shared" si="55"/>
        <v/>
      </c>
    </row>
    <row r="870" spans="1:28">
      <c r="A870" s="19">
        <v>867</v>
      </c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Q870" s="14"/>
      <c r="R870" s="7"/>
      <c r="S870" s="15" t="str">
        <f t="shared" si="52"/>
        <v/>
      </c>
      <c r="T870" s="14"/>
      <c r="U870" s="7"/>
      <c r="V870" s="15" t="str">
        <f t="shared" si="53"/>
        <v/>
      </c>
      <c r="W870" s="14"/>
      <c r="X870" s="7"/>
      <c r="Y870" s="15" t="str">
        <f t="shared" si="54"/>
        <v/>
      </c>
      <c r="Z870" s="14"/>
      <c r="AA870" s="7"/>
      <c r="AB870" s="15" t="str">
        <f t="shared" si="55"/>
        <v/>
      </c>
    </row>
    <row r="871" spans="1:28">
      <c r="A871" s="19">
        <v>868</v>
      </c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Q871" s="14"/>
      <c r="R871" s="7"/>
      <c r="S871" s="15" t="str">
        <f t="shared" si="52"/>
        <v/>
      </c>
      <c r="T871" s="14"/>
      <c r="U871" s="7"/>
      <c r="V871" s="15" t="str">
        <f t="shared" si="53"/>
        <v/>
      </c>
      <c r="W871" s="14"/>
      <c r="X871" s="7"/>
      <c r="Y871" s="15" t="str">
        <f t="shared" si="54"/>
        <v/>
      </c>
      <c r="Z871" s="14"/>
      <c r="AA871" s="7"/>
      <c r="AB871" s="15" t="str">
        <f t="shared" si="55"/>
        <v/>
      </c>
    </row>
    <row r="872" spans="1:28">
      <c r="A872" s="19">
        <v>869</v>
      </c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Q872" s="14"/>
      <c r="R872" s="7"/>
      <c r="S872" s="15" t="str">
        <f t="shared" si="52"/>
        <v/>
      </c>
      <c r="T872" s="14"/>
      <c r="U872" s="7"/>
      <c r="V872" s="15" t="str">
        <f t="shared" si="53"/>
        <v/>
      </c>
      <c r="W872" s="14"/>
      <c r="X872" s="7"/>
      <c r="Y872" s="15" t="str">
        <f t="shared" si="54"/>
        <v/>
      </c>
      <c r="Z872" s="14"/>
      <c r="AA872" s="7"/>
      <c r="AB872" s="15" t="str">
        <f t="shared" si="55"/>
        <v/>
      </c>
    </row>
    <row r="873" spans="1:28">
      <c r="A873" s="19">
        <v>870</v>
      </c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Q873" s="14"/>
      <c r="R873" s="7"/>
      <c r="S873" s="15" t="str">
        <f t="shared" si="52"/>
        <v/>
      </c>
      <c r="T873" s="14"/>
      <c r="U873" s="7"/>
      <c r="V873" s="15" t="str">
        <f t="shared" si="53"/>
        <v/>
      </c>
      <c r="W873" s="14"/>
      <c r="X873" s="7"/>
      <c r="Y873" s="15" t="str">
        <f t="shared" si="54"/>
        <v/>
      </c>
      <c r="Z873" s="14"/>
      <c r="AA873" s="7"/>
      <c r="AB873" s="15" t="str">
        <f t="shared" si="55"/>
        <v/>
      </c>
    </row>
    <row r="874" spans="1:28">
      <c r="A874" s="19">
        <v>871</v>
      </c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Q874" s="14"/>
      <c r="R874" s="7"/>
      <c r="S874" s="15" t="str">
        <f t="shared" si="52"/>
        <v/>
      </c>
      <c r="T874" s="14"/>
      <c r="U874" s="7"/>
      <c r="V874" s="15" t="str">
        <f t="shared" si="53"/>
        <v/>
      </c>
      <c r="W874" s="14"/>
      <c r="X874" s="7"/>
      <c r="Y874" s="15" t="str">
        <f t="shared" si="54"/>
        <v/>
      </c>
      <c r="Z874" s="14"/>
      <c r="AA874" s="7"/>
      <c r="AB874" s="15" t="str">
        <f t="shared" si="55"/>
        <v/>
      </c>
    </row>
    <row r="875" spans="1:28">
      <c r="A875" s="19">
        <v>872</v>
      </c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Q875" s="14"/>
      <c r="R875" s="7"/>
      <c r="S875" s="15" t="str">
        <f t="shared" si="52"/>
        <v/>
      </c>
      <c r="T875" s="14"/>
      <c r="U875" s="7"/>
      <c r="V875" s="15" t="str">
        <f t="shared" si="53"/>
        <v/>
      </c>
      <c r="W875" s="14"/>
      <c r="X875" s="7"/>
      <c r="Y875" s="15" t="str">
        <f t="shared" si="54"/>
        <v/>
      </c>
      <c r="Z875" s="14"/>
      <c r="AA875" s="7"/>
      <c r="AB875" s="15" t="str">
        <f t="shared" si="55"/>
        <v/>
      </c>
    </row>
    <row r="876" spans="1:28">
      <c r="A876" s="19">
        <v>873</v>
      </c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Q876" s="14"/>
      <c r="R876" s="7"/>
      <c r="S876" s="15" t="str">
        <f t="shared" si="52"/>
        <v/>
      </c>
      <c r="T876" s="14"/>
      <c r="U876" s="7"/>
      <c r="V876" s="15" t="str">
        <f t="shared" si="53"/>
        <v/>
      </c>
      <c r="W876" s="14"/>
      <c r="X876" s="7"/>
      <c r="Y876" s="15" t="str">
        <f t="shared" si="54"/>
        <v/>
      </c>
      <c r="Z876" s="14"/>
      <c r="AA876" s="7"/>
      <c r="AB876" s="15" t="str">
        <f t="shared" si="55"/>
        <v/>
      </c>
    </row>
    <row r="877" spans="1:28">
      <c r="A877" s="19">
        <v>874</v>
      </c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Q877" s="14"/>
      <c r="R877" s="7"/>
      <c r="S877" s="15" t="str">
        <f t="shared" si="52"/>
        <v/>
      </c>
      <c r="T877" s="14"/>
      <c r="U877" s="7"/>
      <c r="V877" s="15" t="str">
        <f t="shared" si="53"/>
        <v/>
      </c>
      <c r="W877" s="14"/>
      <c r="X877" s="7"/>
      <c r="Y877" s="15" t="str">
        <f t="shared" si="54"/>
        <v/>
      </c>
      <c r="Z877" s="14"/>
      <c r="AA877" s="7"/>
      <c r="AB877" s="15" t="str">
        <f t="shared" si="55"/>
        <v/>
      </c>
    </row>
    <row r="878" spans="1:28">
      <c r="A878" s="19">
        <v>875</v>
      </c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Q878" s="14"/>
      <c r="R878" s="7"/>
      <c r="S878" s="15" t="str">
        <f t="shared" si="52"/>
        <v/>
      </c>
      <c r="T878" s="14"/>
      <c r="U878" s="7"/>
      <c r="V878" s="15" t="str">
        <f t="shared" si="53"/>
        <v/>
      </c>
      <c r="W878" s="14"/>
      <c r="X878" s="7"/>
      <c r="Y878" s="15" t="str">
        <f t="shared" si="54"/>
        <v/>
      </c>
      <c r="Z878" s="14"/>
      <c r="AA878" s="7"/>
      <c r="AB878" s="15" t="str">
        <f t="shared" si="55"/>
        <v/>
      </c>
    </row>
    <row r="879" spans="1:28">
      <c r="A879" s="19">
        <v>876</v>
      </c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Q879" s="14"/>
      <c r="R879" s="7"/>
      <c r="S879" s="15" t="str">
        <f t="shared" si="52"/>
        <v/>
      </c>
      <c r="T879" s="14"/>
      <c r="U879" s="7"/>
      <c r="V879" s="15" t="str">
        <f t="shared" si="53"/>
        <v/>
      </c>
      <c r="W879" s="14"/>
      <c r="X879" s="7"/>
      <c r="Y879" s="15" t="str">
        <f t="shared" si="54"/>
        <v/>
      </c>
      <c r="Z879" s="14"/>
      <c r="AA879" s="7"/>
      <c r="AB879" s="15" t="str">
        <f t="shared" si="55"/>
        <v/>
      </c>
    </row>
    <row r="880" spans="1:28">
      <c r="A880" s="19">
        <v>877</v>
      </c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Q880" s="14"/>
      <c r="R880" s="7"/>
      <c r="S880" s="15" t="str">
        <f t="shared" si="52"/>
        <v/>
      </c>
      <c r="T880" s="14"/>
      <c r="U880" s="7"/>
      <c r="V880" s="15" t="str">
        <f t="shared" si="53"/>
        <v/>
      </c>
      <c r="W880" s="14"/>
      <c r="X880" s="7"/>
      <c r="Y880" s="15" t="str">
        <f t="shared" si="54"/>
        <v/>
      </c>
      <c r="Z880" s="14"/>
      <c r="AA880" s="7"/>
      <c r="AB880" s="15" t="str">
        <f t="shared" si="55"/>
        <v/>
      </c>
    </row>
    <row r="881" spans="1:28">
      <c r="A881" s="19">
        <v>878</v>
      </c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Q881" s="14"/>
      <c r="R881" s="7"/>
      <c r="S881" s="15" t="str">
        <f t="shared" si="52"/>
        <v/>
      </c>
      <c r="T881" s="14"/>
      <c r="U881" s="7"/>
      <c r="V881" s="15" t="str">
        <f t="shared" si="53"/>
        <v/>
      </c>
      <c r="W881" s="14"/>
      <c r="X881" s="7"/>
      <c r="Y881" s="15" t="str">
        <f t="shared" si="54"/>
        <v/>
      </c>
      <c r="Z881" s="14"/>
      <c r="AA881" s="7"/>
      <c r="AB881" s="15" t="str">
        <f t="shared" si="55"/>
        <v/>
      </c>
    </row>
    <row r="882" spans="1:28">
      <c r="A882" s="19">
        <v>879</v>
      </c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Q882" s="14"/>
      <c r="R882" s="7"/>
      <c r="S882" s="15" t="str">
        <f t="shared" si="52"/>
        <v/>
      </c>
      <c r="T882" s="14"/>
      <c r="U882" s="7"/>
      <c r="V882" s="15" t="str">
        <f t="shared" si="53"/>
        <v/>
      </c>
      <c r="W882" s="14"/>
      <c r="X882" s="7"/>
      <c r="Y882" s="15" t="str">
        <f t="shared" si="54"/>
        <v/>
      </c>
      <c r="Z882" s="14"/>
      <c r="AA882" s="7"/>
      <c r="AB882" s="15" t="str">
        <f t="shared" si="55"/>
        <v/>
      </c>
    </row>
    <row r="883" spans="1:28">
      <c r="A883" s="19">
        <v>880</v>
      </c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Q883" s="14"/>
      <c r="R883" s="7"/>
      <c r="S883" s="15" t="str">
        <f t="shared" si="52"/>
        <v/>
      </c>
      <c r="T883" s="14"/>
      <c r="U883" s="7"/>
      <c r="V883" s="15" t="str">
        <f t="shared" si="53"/>
        <v/>
      </c>
      <c r="W883" s="14"/>
      <c r="X883" s="7"/>
      <c r="Y883" s="15" t="str">
        <f t="shared" si="54"/>
        <v/>
      </c>
      <c r="Z883" s="14"/>
      <c r="AA883" s="7"/>
      <c r="AB883" s="15" t="str">
        <f t="shared" si="55"/>
        <v/>
      </c>
    </row>
    <row r="884" spans="1:28">
      <c r="A884" s="19">
        <v>881</v>
      </c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Q884" s="14"/>
      <c r="R884" s="7"/>
      <c r="S884" s="15" t="str">
        <f t="shared" si="52"/>
        <v/>
      </c>
      <c r="T884" s="14"/>
      <c r="U884" s="7"/>
      <c r="V884" s="15" t="str">
        <f t="shared" si="53"/>
        <v/>
      </c>
      <c r="W884" s="14"/>
      <c r="X884" s="7"/>
      <c r="Y884" s="15" t="str">
        <f t="shared" si="54"/>
        <v/>
      </c>
      <c r="Z884" s="14"/>
      <c r="AA884" s="7"/>
      <c r="AB884" s="15" t="str">
        <f t="shared" si="55"/>
        <v/>
      </c>
    </row>
    <row r="885" spans="1:28">
      <c r="A885" s="19">
        <v>882</v>
      </c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Q885" s="14"/>
      <c r="R885" s="7"/>
      <c r="S885" s="15" t="str">
        <f t="shared" si="52"/>
        <v/>
      </c>
      <c r="T885" s="14"/>
      <c r="U885" s="7"/>
      <c r="V885" s="15" t="str">
        <f t="shared" si="53"/>
        <v/>
      </c>
      <c r="W885" s="14"/>
      <c r="X885" s="7"/>
      <c r="Y885" s="15" t="str">
        <f t="shared" si="54"/>
        <v/>
      </c>
      <c r="Z885" s="14"/>
      <c r="AA885" s="7"/>
      <c r="AB885" s="15" t="str">
        <f t="shared" si="55"/>
        <v/>
      </c>
    </row>
    <row r="886" spans="1:28">
      <c r="A886" s="19">
        <v>883</v>
      </c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Q886" s="14"/>
      <c r="R886" s="7"/>
      <c r="S886" s="15" t="str">
        <f t="shared" si="52"/>
        <v/>
      </c>
      <c r="T886" s="14"/>
      <c r="U886" s="7"/>
      <c r="V886" s="15" t="str">
        <f t="shared" si="53"/>
        <v/>
      </c>
      <c r="W886" s="14"/>
      <c r="X886" s="7"/>
      <c r="Y886" s="15" t="str">
        <f t="shared" si="54"/>
        <v/>
      </c>
      <c r="Z886" s="14"/>
      <c r="AA886" s="7"/>
      <c r="AB886" s="15" t="str">
        <f t="shared" si="55"/>
        <v/>
      </c>
    </row>
    <row r="887" spans="1:28">
      <c r="A887" s="19">
        <v>884</v>
      </c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Q887" s="14"/>
      <c r="R887" s="7"/>
      <c r="S887" s="15" t="str">
        <f t="shared" si="52"/>
        <v/>
      </c>
      <c r="T887" s="14"/>
      <c r="U887" s="7"/>
      <c r="V887" s="15" t="str">
        <f t="shared" si="53"/>
        <v/>
      </c>
      <c r="W887" s="14"/>
      <c r="X887" s="7"/>
      <c r="Y887" s="15" t="str">
        <f t="shared" si="54"/>
        <v/>
      </c>
      <c r="Z887" s="14"/>
      <c r="AA887" s="7"/>
      <c r="AB887" s="15" t="str">
        <f t="shared" si="55"/>
        <v/>
      </c>
    </row>
    <row r="888" spans="1:28">
      <c r="A888" s="19">
        <v>885</v>
      </c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Q888" s="14"/>
      <c r="R888" s="7"/>
      <c r="S888" s="15" t="str">
        <f t="shared" si="52"/>
        <v/>
      </c>
      <c r="T888" s="14"/>
      <c r="U888" s="7"/>
      <c r="V888" s="15" t="str">
        <f t="shared" si="53"/>
        <v/>
      </c>
      <c r="W888" s="14"/>
      <c r="X888" s="7"/>
      <c r="Y888" s="15" t="str">
        <f t="shared" si="54"/>
        <v/>
      </c>
      <c r="Z888" s="14"/>
      <c r="AA888" s="7"/>
      <c r="AB888" s="15" t="str">
        <f t="shared" si="55"/>
        <v/>
      </c>
    </row>
    <row r="889" spans="1:28">
      <c r="A889" s="19">
        <v>886</v>
      </c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Q889" s="14"/>
      <c r="R889" s="7"/>
      <c r="S889" s="15" t="str">
        <f t="shared" si="52"/>
        <v/>
      </c>
      <c r="T889" s="14"/>
      <c r="U889" s="7"/>
      <c r="V889" s="15" t="str">
        <f t="shared" si="53"/>
        <v/>
      </c>
      <c r="W889" s="14"/>
      <c r="X889" s="7"/>
      <c r="Y889" s="15" t="str">
        <f t="shared" si="54"/>
        <v/>
      </c>
      <c r="Z889" s="14"/>
      <c r="AA889" s="7"/>
      <c r="AB889" s="15" t="str">
        <f t="shared" si="55"/>
        <v/>
      </c>
    </row>
    <row r="890" spans="1:28">
      <c r="A890" s="19">
        <v>887</v>
      </c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Q890" s="14"/>
      <c r="R890" s="7"/>
      <c r="S890" s="15" t="str">
        <f t="shared" si="52"/>
        <v/>
      </c>
      <c r="T890" s="14"/>
      <c r="U890" s="7"/>
      <c r="V890" s="15" t="str">
        <f t="shared" si="53"/>
        <v/>
      </c>
      <c r="W890" s="14"/>
      <c r="X890" s="7"/>
      <c r="Y890" s="15" t="str">
        <f t="shared" si="54"/>
        <v/>
      </c>
      <c r="Z890" s="14"/>
      <c r="AA890" s="7"/>
      <c r="AB890" s="15" t="str">
        <f t="shared" si="55"/>
        <v/>
      </c>
    </row>
    <row r="891" spans="1:28">
      <c r="A891" s="19">
        <v>888</v>
      </c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Q891" s="14"/>
      <c r="R891" s="7"/>
      <c r="S891" s="15" t="str">
        <f t="shared" si="52"/>
        <v/>
      </c>
      <c r="T891" s="14"/>
      <c r="U891" s="7"/>
      <c r="V891" s="15" t="str">
        <f t="shared" si="53"/>
        <v/>
      </c>
      <c r="W891" s="14"/>
      <c r="X891" s="7"/>
      <c r="Y891" s="15" t="str">
        <f t="shared" si="54"/>
        <v/>
      </c>
      <c r="Z891" s="14"/>
      <c r="AA891" s="7"/>
      <c r="AB891" s="15" t="str">
        <f t="shared" si="55"/>
        <v/>
      </c>
    </row>
    <row r="892" spans="1:28">
      <c r="A892" s="19">
        <v>889</v>
      </c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Q892" s="14"/>
      <c r="R892" s="7"/>
      <c r="S892" s="15" t="str">
        <f t="shared" si="52"/>
        <v/>
      </c>
      <c r="T892" s="14"/>
      <c r="U892" s="7"/>
      <c r="V892" s="15" t="str">
        <f t="shared" si="53"/>
        <v/>
      </c>
      <c r="W892" s="14"/>
      <c r="X892" s="7"/>
      <c r="Y892" s="15" t="str">
        <f t="shared" si="54"/>
        <v/>
      </c>
      <c r="Z892" s="14"/>
      <c r="AA892" s="7"/>
      <c r="AB892" s="15" t="str">
        <f t="shared" si="55"/>
        <v/>
      </c>
    </row>
    <row r="893" spans="1:28">
      <c r="A893" s="19">
        <v>890</v>
      </c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Q893" s="14"/>
      <c r="R893" s="7"/>
      <c r="S893" s="15" t="str">
        <f t="shared" si="52"/>
        <v/>
      </c>
      <c r="T893" s="14"/>
      <c r="U893" s="7"/>
      <c r="V893" s="15" t="str">
        <f t="shared" si="53"/>
        <v/>
      </c>
      <c r="W893" s="14"/>
      <c r="X893" s="7"/>
      <c r="Y893" s="15" t="str">
        <f t="shared" si="54"/>
        <v/>
      </c>
      <c r="Z893" s="14"/>
      <c r="AA893" s="7"/>
      <c r="AB893" s="15" t="str">
        <f t="shared" si="55"/>
        <v/>
      </c>
    </row>
    <row r="894" spans="1:28">
      <c r="A894" s="19">
        <v>891</v>
      </c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Q894" s="14"/>
      <c r="R894" s="7"/>
      <c r="S894" s="15" t="str">
        <f t="shared" si="52"/>
        <v/>
      </c>
      <c r="T894" s="14"/>
      <c r="U894" s="7"/>
      <c r="V894" s="15" t="str">
        <f t="shared" si="53"/>
        <v/>
      </c>
      <c r="W894" s="14"/>
      <c r="X894" s="7"/>
      <c r="Y894" s="15" t="str">
        <f t="shared" si="54"/>
        <v/>
      </c>
      <c r="Z894" s="14"/>
      <c r="AA894" s="7"/>
      <c r="AB894" s="15" t="str">
        <f t="shared" si="55"/>
        <v/>
      </c>
    </row>
    <row r="895" spans="1:28">
      <c r="A895" s="19">
        <v>892</v>
      </c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Q895" s="14"/>
      <c r="R895" s="7"/>
      <c r="S895" s="15" t="str">
        <f t="shared" si="52"/>
        <v/>
      </c>
      <c r="T895" s="14"/>
      <c r="U895" s="7"/>
      <c r="V895" s="15" t="str">
        <f t="shared" si="53"/>
        <v/>
      </c>
      <c r="W895" s="14"/>
      <c r="X895" s="7"/>
      <c r="Y895" s="15" t="str">
        <f t="shared" si="54"/>
        <v/>
      </c>
      <c r="Z895" s="14"/>
      <c r="AA895" s="7"/>
      <c r="AB895" s="15" t="str">
        <f t="shared" si="55"/>
        <v/>
      </c>
    </row>
    <row r="896" spans="1:28">
      <c r="A896" s="19">
        <v>893</v>
      </c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Q896" s="14"/>
      <c r="R896" s="7"/>
      <c r="S896" s="15" t="str">
        <f t="shared" si="52"/>
        <v/>
      </c>
      <c r="T896" s="14"/>
      <c r="U896" s="7"/>
      <c r="V896" s="15" t="str">
        <f t="shared" si="53"/>
        <v/>
      </c>
      <c r="W896" s="14"/>
      <c r="X896" s="7"/>
      <c r="Y896" s="15" t="str">
        <f t="shared" si="54"/>
        <v/>
      </c>
      <c r="Z896" s="14"/>
      <c r="AA896" s="7"/>
      <c r="AB896" s="15" t="str">
        <f t="shared" si="55"/>
        <v/>
      </c>
    </row>
    <row r="897" spans="1:28">
      <c r="A897" s="19">
        <v>894</v>
      </c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Q897" s="14"/>
      <c r="R897" s="7"/>
      <c r="S897" s="15" t="str">
        <f t="shared" si="52"/>
        <v/>
      </c>
      <c r="T897" s="14"/>
      <c r="U897" s="7"/>
      <c r="V897" s="15" t="str">
        <f t="shared" si="53"/>
        <v/>
      </c>
      <c r="W897" s="14"/>
      <c r="X897" s="7"/>
      <c r="Y897" s="15" t="str">
        <f t="shared" si="54"/>
        <v/>
      </c>
      <c r="Z897" s="14"/>
      <c r="AA897" s="7"/>
      <c r="AB897" s="15" t="str">
        <f t="shared" si="55"/>
        <v/>
      </c>
    </row>
    <row r="898" spans="1:28">
      <c r="A898" s="19">
        <v>895</v>
      </c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Q898" s="14"/>
      <c r="R898" s="7"/>
      <c r="S898" s="15" t="str">
        <f t="shared" si="52"/>
        <v/>
      </c>
      <c r="T898" s="14"/>
      <c r="U898" s="7"/>
      <c r="V898" s="15" t="str">
        <f t="shared" si="53"/>
        <v/>
      </c>
      <c r="W898" s="14"/>
      <c r="X898" s="7"/>
      <c r="Y898" s="15" t="str">
        <f t="shared" si="54"/>
        <v/>
      </c>
      <c r="Z898" s="14"/>
      <c r="AA898" s="7"/>
      <c r="AB898" s="15" t="str">
        <f t="shared" si="55"/>
        <v/>
      </c>
    </row>
    <row r="899" spans="1:28">
      <c r="A899" s="19">
        <v>896</v>
      </c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Q899" s="14"/>
      <c r="R899" s="7"/>
      <c r="S899" s="15" t="str">
        <f t="shared" si="52"/>
        <v/>
      </c>
      <c r="T899" s="14"/>
      <c r="U899" s="7"/>
      <c r="V899" s="15" t="str">
        <f t="shared" si="53"/>
        <v/>
      </c>
      <c r="W899" s="14"/>
      <c r="X899" s="7"/>
      <c r="Y899" s="15" t="str">
        <f t="shared" si="54"/>
        <v/>
      </c>
      <c r="Z899" s="14"/>
      <c r="AA899" s="7"/>
      <c r="AB899" s="15" t="str">
        <f t="shared" si="55"/>
        <v/>
      </c>
    </row>
    <row r="900" spans="1:28">
      <c r="A900" s="19">
        <v>897</v>
      </c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Q900" s="14"/>
      <c r="R900" s="7"/>
      <c r="S900" s="15" t="str">
        <f t="shared" si="52"/>
        <v/>
      </c>
      <c r="T900" s="14"/>
      <c r="U900" s="7"/>
      <c r="V900" s="15" t="str">
        <f t="shared" si="53"/>
        <v/>
      </c>
      <c r="W900" s="14"/>
      <c r="X900" s="7"/>
      <c r="Y900" s="15" t="str">
        <f t="shared" si="54"/>
        <v/>
      </c>
      <c r="Z900" s="14"/>
      <c r="AA900" s="7"/>
      <c r="AB900" s="15" t="str">
        <f t="shared" si="55"/>
        <v/>
      </c>
    </row>
    <row r="901" spans="1:28">
      <c r="A901" s="19">
        <v>898</v>
      </c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Q901" s="14"/>
      <c r="R901" s="7"/>
      <c r="S901" s="15" t="str">
        <f t="shared" ref="S901:S964" si="56">IF(OR($H901="",Q901=""),"",Q901+(R901/$H901))</f>
        <v/>
      </c>
      <c r="T901" s="14"/>
      <c r="U901" s="7"/>
      <c r="V901" s="15" t="str">
        <f t="shared" ref="V901:V964" si="57">IF(OR($H901="",T901=""),"",T901+(U901/$H901))</f>
        <v/>
      </c>
      <c r="W901" s="14"/>
      <c r="X901" s="7"/>
      <c r="Y901" s="15" t="str">
        <f t="shared" ref="Y901:Y964" si="58">IF(OR($H901="",W901=""),"",W901+(X901/$H901))</f>
        <v/>
      </c>
      <c r="Z901" s="14"/>
      <c r="AA901" s="7"/>
      <c r="AB901" s="15" t="str">
        <f t="shared" ref="AB901:AB964" si="59">IF(OR($H901="",Z901=""),"",Z901+(AA901/$H901))</f>
        <v/>
      </c>
    </row>
    <row r="902" spans="1:28">
      <c r="A902" s="19">
        <v>899</v>
      </c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Q902" s="14"/>
      <c r="R902" s="7"/>
      <c r="S902" s="15" t="str">
        <f t="shared" si="56"/>
        <v/>
      </c>
      <c r="T902" s="14"/>
      <c r="U902" s="7"/>
      <c r="V902" s="15" t="str">
        <f t="shared" si="57"/>
        <v/>
      </c>
      <c r="W902" s="14"/>
      <c r="X902" s="7"/>
      <c r="Y902" s="15" t="str">
        <f t="shared" si="58"/>
        <v/>
      </c>
      <c r="Z902" s="14"/>
      <c r="AA902" s="7"/>
      <c r="AB902" s="15" t="str">
        <f t="shared" si="59"/>
        <v/>
      </c>
    </row>
    <row r="903" spans="1:28">
      <c r="A903" s="19">
        <v>900</v>
      </c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Q903" s="14"/>
      <c r="R903" s="7"/>
      <c r="S903" s="15" t="str">
        <f t="shared" si="56"/>
        <v/>
      </c>
      <c r="T903" s="14"/>
      <c r="U903" s="7"/>
      <c r="V903" s="15" t="str">
        <f t="shared" si="57"/>
        <v/>
      </c>
      <c r="W903" s="14"/>
      <c r="X903" s="7"/>
      <c r="Y903" s="15" t="str">
        <f t="shared" si="58"/>
        <v/>
      </c>
      <c r="Z903" s="14"/>
      <c r="AA903" s="7"/>
      <c r="AB903" s="15" t="str">
        <f t="shared" si="59"/>
        <v/>
      </c>
    </row>
    <row r="904" spans="1:28">
      <c r="A904" s="19">
        <v>901</v>
      </c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Q904" s="14"/>
      <c r="R904" s="7"/>
      <c r="S904" s="15" t="str">
        <f t="shared" si="56"/>
        <v/>
      </c>
      <c r="T904" s="14"/>
      <c r="U904" s="7"/>
      <c r="V904" s="15" t="str">
        <f t="shared" si="57"/>
        <v/>
      </c>
      <c r="W904" s="14"/>
      <c r="X904" s="7"/>
      <c r="Y904" s="15" t="str">
        <f t="shared" si="58"/>
        <v/>
      </c>
      <c r="Z904" s="14"/>
      <c r="AA904" s="7"/>
      <c r="AB904" s="15" t="str">
        <f t="shared" si="59"/>
        <v/>
      </c>
    </row>
    <row r="905" spans="1:28">
      <c r="A905" s="19">
        <v>902</v>
      </c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Q905" s="14"/>
      <c r="R905" s="7"/>
      <c r="S905" s="15" t="str">
        <f t="shared" si="56"/>
        <v/>
      </c>
      <c r="T905" s="14"/>
      <c r="U905" s="7"/>
      <c r="V905" s="15" t="str">
        <f t="shared" si="57"/>
        <v/>
      </c>
      <c r="W905" s="14"/>
      <c r="X905" s="7"/>
      <c r="Y905" s="15" t="str">
        <f t="shared" si="58"/>
        <v/>
      </c>
      <c r="Z905" s="14"/>
      <c r="AA905" s="7"/>
      <c r="AB905" s="15" t="str">
        <f t="shared" si="59"/>
        <v/>
      </c>
    </row>
    <row r="906" spans="1:28">
      <c r="A906" s="19">
        <v>903</v>
      </c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Q906" s="14"/>
      <c r="R906" s="7"/>
      <c r="S906" s="15" t="str">
        <f t="shared" si="56"/>
        <v/>
      </c>
      <c r="T906" s="14"/>
      <c r="U906" s="7"/>
      <c r="V906" s="15" t="str">
        <f t="shared" si="57"/>
        <v/>
      </c>
      <c r="W906" s="14"/>
      <c r="X906" s="7"/>
      <c r="Y906" s="15" t="str">
        <f t="shared" si="58"/>
        <v/>
      </c>
      <c r="Z906" s="14"/>
      <c r="AA906" s="7"/>
      <c r="AB906" s="15" t="str">
        <f t="shared" si="59"/>
        <v/>
      </c>
    </row>
    <row r="907" spans="1:28">
      <c r="A907" s="19">
        <v>904</v>
      </c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Q907" s="14"/>
      <c r="R907" s="7"/>
      <c r="S907" s="15" t="str">
        <f t="shared" si="56"/>
        <v/>
      </c>
      <c r="T907" s="14"/>
      <c r="U907" s="7"/>
      <c r="V907" s="15" t="str">
        <f t="shared" si="57"/>
        <v/>
      </c>
      <c r="W907" s="14"/>
      <c r="X907" s="7"/>
      <c r="Y907" s="15" t="str">
        <f t="shared" si="58"/>
        <v/>
      </c>
      <c r="Z907" s="14"/>
      <c r="AA907" s="7"/>
      <c r="AB907" s="15" t="str">
        <f t="shared" si="59"/>
        <v/>
      </c>
    </row>
    <row r="908" spans="1:28">
      <c r="A908" s="19">
        <v>905</v>
      </c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Q908" s="14"/>
      <c r="R908" s="7"/>
      <c r="S908" s="15" t="str">
        <f t="shared" si="56"/>
        <v/>
      </c>
      <c r="T908" s="14"/>
      <c r="U908" s="7"/>
      <c r="V908" s="15" t="str">
        <f t="shared" si="57"/>
        <v/>
      </c>
      <c r="W908" s="14"/>
      <c r="X908" s="7"/>
      <c r="Y908" s="15" t="str">
        <f t="shared" si="58"/>
        <v/>
      </c>
      <c r="Z908" s="14"/>
      <c r="AA908" s="7"/>
      <c r="AB908" s="15" t="str">
        <f t="shared" si="59"/>
        <v/>
      </c>
    </row>
    <row r="909" spans="1:28">
      <c r="A909" s="19">
        <v>906</v>
      </c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Q909" s="14"/>
      <c r="R909" s="7"/>
      <c r="S909" s="15" t="str">
        <f t="shared" si="56"/>
        <v/>
      </c>
      <c r="T909" s="14"/>
      <c r="U909" s="7"/>
      <c r="V909" s="15" t="str">
        <f t="shared" si="57"/>
        <v/>
      </c>
      <c r="W909" s="14"/>
      <c r="X909" s="7"/>
      <c r="Y909" s="15" t="str">
        <f t="shared" si="58"/>
        <v/>
      </c>
      <c r="Z909" s="14"/>
      <c r="AA909" s="7"/>
      <c r="AB909" s="15" t="str">
        <f t="shared" si="59"/>
        <v/>
      </c>
    </row>
    <row r="910" spans="1:28">
      <c r="A910" s="19">
        <v>907</v>
      </c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Q910" s="14"/>
      <c r="R910" s="7"/>
      <c r="S910" s="15" t="str">
        <f t="shared" si="56"/>
        <v/>
      </c>
      <c r="T910" s="14"/>
      <c r="U910" s="7"/>
      <c r="V910" s="15" t="str">
        <f t="shared" si="57"/>
        <v/>
      </c>
      <c r="W910" s="14"/>
      <c r="X910" s="7"/>
      <c r="Y910" s="15" t="str">
        <f t="shared" si="58"/>
        <v/>
      </c>
      <c r="Z910" s="14"/>
      <c r="AA910" s="7"/>
      <c r="AB910" s="15" t="str">
        <f t="shared" si="59"/>
        <v/>
      </c>
    </row>
    <row r="911" spans="1:28">
      <c r="A911" s="19">
        <v>908</v>
      </c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Q911" s="14"/>
      <c r="R911" s="7"/>
      <c r="S911" s="15" t="str">
        <f t="shared" si="56"/>
        <v/>
      </c>
      <c r="T911" s="14"/>
      <c r="U911" s="7"/>
      <c r="V911" s="15" t="str">
        <f t="shared" si="57"/>
        <v/>
      </c>
      <c r="W911" s="14"/>
      <c r="X911" s="7"/>
      <c r="Y911" s="15" t="str">
        <f t="shared" si="58"/>
        <v/>
      </c>
      <c r="Z911" s="14"/>
      <c r="AA911" s="7"/>
      <c r="AB911" s="15" t="str">
        <f t="shared" si="59"/>
        <v/>
      </c>
    </row>
    <row r="912" spans="1:28">
      <c r="A912" s="19">
        <v>909</v>
      </c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Q912" s="14"/>
      <c r="R912" s="7"/>
      <c r="S912" s="15" t="str">
        <f t="shared" si="56"/>
        <v/>
      </c>
      <c r="T912" s="14"/>
      <c r="U912" s="7"/>
      <c r="V912" s="15" t="str">
        <f t="shared" si="57"/>
        <v/>
      </c>
      <c r="W912" s="14"/>
      <c r="X912" s="7"/>
      <c r="Y912" s="15" t="str">
        <f t="shared" si="58"/>
        <v/>
      </c>
      <c r="Z912" s="14"/>
      <c r="AA912" s="7"/>
      <c r="AB912" s="15" t="str">
        <f t="shared" si="59"/>
        <v/>
      </c>
    </row>
    <row r="913" spans="1:28">
      <c r="A913" s="19">
        <v>910</v>
      </c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Q913" s="14"/>
      <c r="R913" s="7"/>
      <c r="S913" s="15" t="str">
        <f t="shared" si="56"/>
        <v/>
      </c>
      <c r="T913" s="14"/>
      <c r="U913" s="7"/>
      <c r="V913" s="15" t="str">
        <f t="shared" si="57"/>
        <v/>
      </c>
      <c r="W913" s="14"/>
      <c r="X913" s="7"/>
      <c r="Y913" s="15" t="str">
        <f t="shared" si="58"/>
        <v/>
      </c>
      <c r="Z913" s="14"/>
      <c r="AA913" s="7"/>
      <c r="AB913" s="15" t="str">
        <f t="shared" si="59"/>
        <v/>
      </c>
    </row>
    <row r="914" spans="1:28">
      <c r="A914" s="19">
        <v>911</v>
      </c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Q914" s="14"/>
      <c r="R914" s="7"/>
      <c r="S914" s="15" t="str">
        <f t="shared" si="56"/>
        <v/>
      </c>
      <c r="T914" s="14"/>
      <c r="U914" s="7"/>
      <c r="V914" s="15" t="str">
        <f t="shared" si="57"/>
        <v/>
      </c>
      <c r="W914" s="14"/>
      <c r="X914" s="7"/>
      <c r="Y914" s="15" t="str">
        <f t="shared" si="58"/>
        <v/>
      </c>
      <c r="Z914" s="14"/>
      <c r="AA914" s="7"/>
      <c r="AB914" s="15" t="str">
        <f t="shared" si="59"/>
        <v/>
      </c>
    </row>
    <row r="915" spans="1:28">
      <c r="A915" s="19">
        <v>912</v>
      </c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Q915" s="14"/>
      <c r="R915" s="7"/>
      <c r="S915" s="15" t="str">
        <f t="shared" si="56"/>
        <v/>
      </c>
      <c r="T915" s="14"/>
      <c r="U915" s="7"/>
      <c r="V915" s="15" t="str">
        <f t="shared" si="57"/>
        <v/>
      </c>
      <c r="W915" s="14"/>
      <c r="X915" s="7"/>
      <c r="Y915" s="15" t="str">
        <f t="shared" si="58"/>
        <v/>
      </c>
      <c r="Z915" s="14"/>
      <c r="AA915" s="7"/>
      <c r="AB915" s="15" t="str">
        <f t="shared" si="59"/>
        <v/>
      </c>
    </row>
    <row r="916" spans="1:28">
      <c r="A916" s="19">
        <v>913</v>
      </c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Q916" s="14"/>
      <c r="R916" s="7"/>
      <c r="S916" s="15" t="str">
        <f t="shared" si="56"/>
        <v/>
      </c>
      <c r="T916" s="14"/>
      <c r="U916" s="7"/>
      <c r="V916" s="15" t="str">
        <f t="shared" si="57"/>
        <v/>
      </c>
      <c r="W916" s="14"/>
      <c r="X916" s="7"/>
      <c r="Y916" s="15" t="str">
        <f t="shared" si="58"/>
        <v/>
      </c>
      <c r="Z916" s="14"/>
      <c r="AA916" s="7"/>
      <c r="AB916" s="15" t="str">
        <f t="shared" si="59"/>
        <v/>
      </c>
    </row>
    <row r="917" spans="1:28">
      <c r="A917" s="19">
        <v>914</v>
      </c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Q917" s="14"/>
      <c r="R917" s="7"/>
      <c r="S917" s="15" t="str">
        <f t="shared" si="56"/>
        <v/>
      </c>
      <c r="T917" s="14"/>
      <c r="U917" s="7"/>
      <c r="V917" s="15" t="str">
        <f t="shared" si="57"/>
        <v/>
      </c>
      <c r="W917" s="14"/>
      <c r="X917" s="7"/>
      <c r="Y917" s="15" t="str">
        <f t="shared" si="58"/>
        <v/>
      </c>
      <c r="Z917" s="14"/>
      <c r="AA917" s="7"/>
      <c r="AB917" s="15" t="str">
        <f t="shared" si="59"/>
        <v/>
      </c>
    </row>
    <row r="918" spans="1:28">
      <c r="A918" s="19">
        <v>915</v>
      </c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Q918" s="14"/>
      <c r="R918" s="7"/>
      <c r="S918" s="15" t="str">
        <f t="shared" si="56"/>
        <v/>
      </c>
      <c r="T918" s="14"/>
      <c r="U918" s="7"/>
      <c r="V918" s="15" t="str">
        <f t="shared" si="57"/>
        <v/>
      </c>
      <c r="W918" s="14"/>
      <c r="X918" s="7"/>
      <c r="Y918" s="15" t="str">
        <f t="shared" si="58"/>
        <v/>
      </c>
      <c r="Z918" s="14"/>
      <c r="AA918" s="7"/>
      <c r="AB918" s="15" t="str">
        <f t="shared" si="59"/>
        <v/>
      </c>
    </row>
    <row r="919" spans="1:28">
      <c r="A919" s="19">
        <v>916</v>
      </c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Q919" s="14"/>
      <c r="R919" s="7"/>
      <c r="S919" s="15" t="str">
        <f t="shared" si="56"/>
        <v/>
      </c>
      <c r="T919" s="14"/>
      <c r="U919" s="7"/>
      <c r="V919" s="15" t="str">
        <f t="shared" si="57"/>
        <v/>
      </c>
      <c r="W919" s="14"/>
      <c r="X919" s="7"/>
      <c r="Y919" s="15" t="str">
        <f t="shared" si="58"/>
        <v/>
      </c>
      <c r="Z919" s="14"/>
      <c r="AA919" s="7"/>
      <c r="AB919" s="15" t="str">
        <f t="shared" si="59"/>
        <v/>
      </c>
    </row>
    <row r="920" spans="1:28">
      <c r="A920" s="19">
        <v>917</v>
      </c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Q920" s="14"/>
      <c r="R920" s="7"/>
      <c r="S920" s="15" t="str">
        <f t="shared" si="56"/>
        <v/>
      </c>
      <c r="T920" s="14"/>
      <c r="U920" s="7"/>
      <c r="V920" s="15" t="str">
        <f t="shared" si="57"/>
        <v/>
      </c>
      <c r="W920" s="14"/>
      <c r="X920" s="7"/>
      <c r="Y920" s="15" t="str">
        <f t="shared" si="58"/>
        <v/>
      </c>
      <c r="Z920" s="14"/>
      <c r="AA920" s="7"/>
      <c r="AB920" s="15" t="str">
        <f t="shared" si="59"/>
        <v/>
      </c>
    </row>
    <row r="921" spans="1:28">
      <c r="A921" s="19">
        <v>918</v>
      </c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Q921" s="14"/>
      <c r="R921" s="7"/>
      <c r="S921" s="15" t="str">
        <f t="shared" si="56"/>
        <v/>
      </c>
      <c r="T921" s="14"/>
      <c r="U921" s="7"/>
      <c r="V921" s="15" t="str">
        <f t="shared" si="57"/>
        <v/>
      </c>
      <c r="W921" s="14"/>
      <c r="X921" s="7"/>
      <c r="Y921" s="15" t="str">
        <f t="shared" si="58"/>
        <v/>
      </c>
      <c r="Z921" s="14"/>
      <c r="AA921" s="7"/>
      <c r="AB921" s="15" t="str">
        <f t="shared" si="59"/>
        <v/>
      </c>
    </row>
    <row r="922" spans="1:28">
      <c r="A922" s="19">
        <v>919</v>
      </c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Q922" s="14"/>
      <c r="R922" s="7"/>
      <c r="S922" s="15" t="str">
        <f t="shared" si="56"/>
        <v/>
      </c>
      <c r="T922" s="14"/>
      <c r="U922" s="7"/>
      <c r="V922" s="15" t="str">
        <f t="shared" si="57"/>
        <v/>
      </c>
      <c r="W922" s="14"/>
      <c r="X922" s="7"/>
      <c r="Y922" s="15" t="str">
        <f t="shared" si="58"/>
        <v/>
      </c>
      <c r="Z922" s="14"/>
      <c r="AA922" s="7"/>
      <c r="AB922" s="15" t="str">
        <f t="shared" si="59"/>
        <v/>
      </c>
    </row>
    <row r="923" spans="1:28">
      <c r="A923" s="19">
        <v>920</v>
      </c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Q923" s="14"/>
      <c r="R923" s="7"/>
      <c r="S923" s="15" t="str">
        <f t="shared" si="56"/>
        <v/>
      </c>
      <c r="T923" s="14"/>
      <c r="U923" s="7"/>
      <c r="V923" s="15" t="str">
        <f t="shared" si="57"/>
        <v/>
      </c>
      <c r="W923" s="14"/>
      <c r="X923" s="7"/>
      <c r="Y923" s="15" t="str">
        <f t="shared" si="58"/>
        <v/>
      </c>
      <c r="Z923" s="14"/>
      <c r="AA923" s="7"/>
      <c r="AB923" s="15" t="str">
        <f t="shared" si="59"/>
        <v/>
      </c>
    </row>
    <row r="924" spans="1:28">
      <c r="A924" s="19">
        <v>921</v>
      </c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Q924" s="14"/>
      <c r="R924" s="7"/>
      <c r="S924" s="15" t="str">
        <f t="shared" si="56"/>
        <v/>
      </c>
      <c r="T924" s="14"/>
      <c r="U924" s="7"/>
      <c r="V924" s="15" t="str">
        <f t="shared" si="57"/>
        <v/>
      </c>
      <c r="W924" s="14"/>
      <c r="X924" s="7"/>
      <c r="Y924" s="15" t="str">
        <f t="shared" si="58"/>
        <v/>
      </c>
      <c r="Z924" s="14"/>
      <c r="AA924" s="7"/>
      <c r="AB924" s="15" t="str">
        <f t="shared" si="59"/>
        <v/>
      </c>
    </row>
    <row r="925" spans="1:28">
      <c r="A925" s="19">
        <v>922</v>
      </c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Q925" s="14"/>
      <c r="R925" s="7"/>
      <c r="S925" s="15" t="str">
        <f t="shared" si="56"/>
        <v/>
      </c>
      <c r="T925" s="14"/>
      <c r="U925" s="7"/>
      <c r="V925" s="15" t="str">
        <f t="shared" si="57"/>
        <v/>
      </c>
      <c r="W925" s="14"/>
      <c r="X925" s="7"/>
      <c r="Y925" s="15" t="str">
        <f t="shared" si="58"/>
        <v/>
      </c>
      <c r="Z925" s="14"/>
      <c r="AA925" s="7"/>
      <c r="AB925" s="15" t="str">
        <f t="shared" si="59"/>
        <v/>
      </c>
    </row>
    <row r="926" spans="1:28">
      <c r="A926" s="19">
        <v>923</v>
      </c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Q926" s="14"/>
      <c r="R926" s="7"/>
      <c r="S926" s="15" t="str">
        <f t="shared" si="56"/>
        <v/>
      </c>
      <c r="T926" s="14"/>
      <c r="U926" s="7"/>
      <c r="V926" s="15" t="str">
        <f t="shared" si="57"/>
        <v/>
      </c>
      <c r="W926" s="14"/>
      <c r="X926" s="7"/>
      <c r="Y926" s="15" t="str">
        <f t="shared" si="58"/>
        <v/>
      </c>
      <c r="Z926" s="14"/>
      <c r="AA926" s="7"/>
      <c r="AB926" s="15" t="str">
        <f t="shared" si="59"/>
        <v/>
      </c>
    </row>
    <row r="927" spans="1:28">
      <c r="A927" s="19">
        <v>924</v>
      </c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Q927" s="14"/>
      <c r="R927" s="7"/>
      <c r="S927" s="15" t="str">
        <f t="shared" si="56"/>
        <v/>
      </c>
      <c r="T927" s="14"/>
      <c r="U927" s="7"/>
      <c r="V927" s="15" t="str">
        <f t="shared" si="57"/>
        <v/>
      </c>
      <c r="W927" s="14"/>
      <c r="X927" s="7"/>
      <c r="Y927" s="15" t="str">
        <f t="shared" si="58"/>
        <v/>
      </c>
      <c r="Z927" s="14"/>
      <c r="AA927" s="7"/>
      <c r="AB927" s="15" t="str">
        <f t="shared" si="59"/>
        <v/>
      </c>
    </row>
    <row r="928" spans="1:28">
      <c r="A928" s="19">
        <v>925</v>
      </c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Q928" s="14"/>
      <c r="R928" s="7"/>
      <c r="S928" s="15" t="str">
        <f t="shared" si="56"/>
        <v/>
      </c>
      <c r="T928" s="14"/>
      <c r="U928" s="7"/>
      <c r="V928" s="15" t="str">
        <f t="shared" si="57"/>
        <v/>
      </c>
      <c r="W928" s="14"/>
      <c r="X928" s="7"/>
      <c r="Y928" s="15" t="str">
        <f t="shared" si="58"/>
        <v/>
      </c>
      <c r="Z928" s="14"/>
      <c r="AA928" s="7"/>
      <c r="AB928" s="15" t="str">
        <f t="shared" si="59"/>
        <v/>
      </c>
    </row>
    <row r="929" spans="1:28">
      <c r="A929" s="19">
        <v>926</v>
      </c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Q929" s="14"/>
      <c r="R929" s="7"/>
      <c r="S929" s="15" t="str">
        <f t="shared" si="56"/>
        <v/>
      </c>
      <c r="T929" s="14"/>
      <c r="U929" s="7"/>
      <c r="V929" s="15" t="str">
        <f t="shared" si="57"/>
        <v/>
      </c>
      <c r="W929" s="14"/>
      <c r="X929" s="7"/>
      <c r="Y929" s="15" t="str">
        <f t="shared" si="58"/>
        <v/>
      </c>
      <c r="Z929" s="14"/>
      <c r="AA929" s="7"/>
      <c r="AB929" s="15" t="str">
        <f t="shared" si="59"/>
        <v/>
      </c>
    </row>
    <row r="930" spans="1:28">
      <c r="A930" s="19">
        <v>927</v>
      </c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Q930" s="14"/>
      <c r="R930" s="7"/>
      <c r="S930" s="15" t="str">
        <f t="shared" si="56"/>
        <v/>
      </c>
      <c r="T930" s="14"/>
      <c r="U930" s="7"/>
      <c r="V930" s="15" t="str">
        <f t="shared" si="57"/>
        <v/>
      </c>
      <c r="W930" s="14"/>
      <c r="X930" s="7"/>
      <c r="Y930" s="15" t="str">
        <f t="shared" si="58"/>
        <v/>
      </c>
      <c r="Z930" s="14"/>
      <c r="AA930" s="7"/>
      <c r="AB930" s="15" t="str">
        <f t="shared" si="59"/>
        <v/>
      </c>
    </row>
    <row r="931" spans="1:28">
      <c r="A931" s="19">
        <v>928</v>
      </c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Q931" s="14"/>
      <c r="R931" s="7"/>
      <c r="S931" s="15" t="str">
        <f t="shared" si="56"/>
        <v/>
      </c>
      <c r="T931" s="14"/>
      <c r="U931" s="7"/>
      <c r="V931" s="15" t="str">
        <f t="shared" si="57"/>
        <v/>
      </c>
      <c r="W931" s="14"/>
      <c r="X931" s="7"/>
      <c r="Y931" s="15" t="str">
        <f t="shared" si="58"/>
        <v/>
      </c>
      <c r="Z931" s="14"/>
      <c r="AA931" s="7"/>
      <c r="AB931" s="15" t="str">
        <f t="shared" si="59"/>
        <v/>
      </c>
    </row>
    <row r="932" spans="1:28">
      <c r="A932" s="19">
        <v>929</v>
      </c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Q932" s="14"/>
      <c r="R932" s="7"/>
      <c r="S932" s="15" t="str">
        <f t="shared" si="56"/>
        <v/>
      </c>
      <c r="T932" s="14"/>
      <c r="U932" s="7"/>
      <c r="V932" s="15" t="str">
        <f t="shared" si="57"/>
        <v/>
      </c>
      <c r="W932" s="14"/>
      <c r="X932" s="7"/>
      <c r="Y932" s="15" t="str">
        <f t="shared" si="58"/>
        <v/>
      </c>
      <c r="Z932" s="14"/>
      <c r="AA932" s="7"/>
      <c r="AB932" s="15" t="str">
        <f t="shared" si="59"/>
        <v/>
      </c>
    </row>
    <row r="933" spans="1:28">
      <c r="A933" s="19">
        <v>930</v>
      </c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Q933" s="14"/>
      <c r="R933" s="7"/>
      <c r="S933" s="15" t="str">
        <f t="shared" si="56"/>
        <v/>
      </c>
      <c r="T933" s="14"/>
      <c r="U933" s="7"/>
      <c r="V933" s="15" t="str">
        <f t="shared" si="57"/>
        <v/>
      </c>
      <c r="W933" s="14"/>
      <c r="X933" s="7"/>
      <c r="Y933" s="15" t="str">
        <f t="shared" si="58"/>
        <v/>
      </c>
      <c r="Z933" s="14"/>
      <c r="AA933" s="7"/>
      <c r="AB933" s="15" t="str">
        <f t="shared" si="59"/>
        <v/>
      </c>
    </row>
    <row r="934" spans="1:28">
      <c r="A934" s="19">
        <v>931</v>
      </c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Q934" s="14"/>
      <c r="R934" s="7"/>
      <c r="S934" s="15" t="str">
        <f t="shared" si="56"/>
        <v/>
      </c>
      <c r="T934" s="14"/>
      <c r="U934" s="7"/>
      <c r="V934" s="15" t="str">
        <f t="shared" si="57"/>
        <v/>
      </c>
      <c r="W934" s="14"/>
      <c r="X934" s="7"/>
      <c r="Y934" s="15" t="str">
        <f t="shared" si="58"/>
        <v/>
      </c>
      <c r="Z934" s="14"/>
      <c r="AA934" s="7"/>
      <c r="AB934" s="15" t="str">
        <f t="shared" si="59"/>
        <v/>
      </c>
    </row>
    <row r="935" spans="1:28">
      <c r="A935" s="19">
        <v>932</v>
      </c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Q935" s="14"/>
      <c r="R935" s="7"/>
      <c r="S935" s="15" t="str">
        <f t="shared" si="56"/>
        <v/>
      </c>
      <c r="T935" s="14"/>
      <c r="U935" s="7"/>
      <c r="V935" s="15" t="str">
        <f t="shared" si="57"/>
        <v/>
      </c>
      <c r="W935" s="14"/>
      <c r="X935" s="7"/>
      <c r="Y935" s="15" t="str">
        <f t="shared" si="58"/>
        <v/>
      </c>
      <c r="Z935" s="14"/>
      <c r="AA935" s="7"/>
      <c r="AB935" s="15" t="str">
        <f t="shared" si="59"/>
        <v/>
      </c>
    </row>
    <row r="936" spans="1:28">
      <c r="A936" s="19">
        <v>933</v>
      </c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Q936" s="14"/>
      <c r="R936" s="7"/>
      <c r="S936" s="15" t="str">
        <f t="shared" si="56"/>
        <v/>
      </c>
      <c r="T936" s="14"/>
      <c r="U936" s="7"/>
      <c r="V936" s="15" t="str">
        <f t="shared" si="57"/>
        <v/>
      </c>
      <c r="W936" s="14"/>
      <c r="X936" s="7"/>
      <c r="Y936" s="15" t="str">
        <f t="shared" si="58"/>
        <v/>
      </c>
      <c r="Z936" s="14"/>
      <c r="AA936" s="7"/>
      <c r="AB936" s="15" t="str">
        <f t="shared" si="59"/>
        <v/>
      </c>
    </row>
    <row r="937" spans="1:28">
      <c r="A937" s="19">
        <v>934</v>
      </c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Q937" s="14"/>
      <c r="R937" s="7"/>
      <c r="S937" s="15" t="str">
        <f t="shared" si="56"/>
        <v/>
      </c>
      <c r="T937" s="14"/>
      <c r="U937" s="7"/>
      <c r="V937" s="15" t="str">
        <f t="shared" si="57"/>
        <v/>
      </c>
      <c r="W937" s="14"/>
      <c r="X937" s="7"/>
      <c r="Y937" s="15" t="str">
        <f t="shared" si="58"/>
        <v/>
      </c>
      <c r="Z937" s="14"/>
      <c r="AA937" s="7"/>
      <c r="AB937" s="15" t="str">
        <f t="shared" si="59"/>
        <v/>
      </c>
    </row>
    <row r="938" spans="1:28">
      <c r="A938" s="19">
        <v>935</v>
      </c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Q938" s="14"/>
      <c r="R938" s="7"/>
      <c r="S938" s="15" t="str">
        <f t="shared" si="56"/>
        <v/>
      </c>
      <c r="T938" s="14"/>
      <c r="U938" s="7"/>
      <c r="V938" s="15" t="str">
        <f t="shared" si="57"/>
        <v/>
      </c>
      <c r="W938" s="14"/>
      <c r="X938" s="7"/>
      <c r="Y938" s="15" t="str">
        <f t="shared" si="58"/>
        <v/>
      </c>
      <c r="Z938" s="14"/>
      <c r="AA938" s="7"/>
      <c r="AB938" s="15" t="str">
        <f t="shared" si="59"/>
        <v/>
      </c>
    </row>
    <row r="939" spans="1:28">
      <c r="A939" s="19">
        <v>936</v>
      </c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Q939" s="14"/>
      <c r="R939" s="7"/>
      <c r="S939" s="15" t="str">
        <f t="shared" si="56"/>
        <v/>
      </c>
      <c r="T939" s="14"/>
      <c r="U939" s="7"/>
      <c r="V939" s="15" t="str">
        <f t="shared" si="57"/>
        <v/>
      </c>
      <c r="W939" s="14"/>
      <c r="X939" s="7"/>
      <c r="Y939" s="15" t="str">
        <f t="shared" si="58"/>
        <v/>
      </c>
      <c r="Z939" s="14"/>
      <c r="AA939" s="7"/>
      <c r="AB939" s="15" t="str">
        <f t="shared" si="59"/>
        <v/>
      </c>
    </row>
    <row r="940" spans="1:28">
      <c r="A940" s="19">
        <v>937</v>
      </c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Q940" s="14"/>
      <c r="R940" s="7"/>
      <c r="S940" s="15" t="str">
        <f t="shared" si="56"/>
        <v/>
      </c>
      <c r="T940" s="14"/>
      <c r="U940" s="7"/>
      <c r="V940" s="15" t="str">
        <f t="shared" si="57"/>
        <v/>
      </c>
      <c r="W940" s="14"/>
      <c r="X940" s="7"/>
      <c r="Y940" s="15" t="str">
        <f t="shared" si="58"/>
        <v/>
      </c>
      <c r="Z940" s="14"/>
      <c r="AA940" s="7"/>
      <c r="AB940" s="15" t="str">
        <f t="shared" si="59"/>
        <v/>
      </c>
    </row>
    <row r="941" spans="1:28">
      <c r="A941" s="19">
        <v>938</v>
      </c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Q941" s="14"/>
      <c r="R941" s="7"/>
      <c r="S941" s="15" t="str">
        <f t="shared" si="56"/>
        <v/>
      </c>
      <c r="T941" s="14"/>
      <c r="U941" s="7"/>
      <c r="V941" s="15" t="str">
        <f t="shared" si="57"/>
        <v/>
      </c>
      <c r="W941" s="14"/>
      <c r="X941" s="7"/>
      <c r="Y941" s="15" t="str">
        <f t="shared" si="58"/>
        <v/>
      </c>
      <c r="Z941" s="14"/>
      <c r="AA941" s="7"/>
      <c r="AB941" s="15" t="str">
        <f t="shared" si="59"/>
        <v/>
      </c>
    </row>
    <row r="942" spans="1:28">
      <c r="A942" s="19">
        <v>939</v>
      </c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Q942" s="14"/>
      <c r="R942" s="7"/>
      <c r="S942" s="15" t="str">
        <f t="shared" si="56"/>
        <v/>
      </c>
      <c r="T942" s="14"/>
      <c r="U942" s="7"/>
      <c r="V942" s="15" t="str">
        <f t="shared" si="57"/>
        <v/>
      </c>
      <c r="W942" s="14"/>
      <c r="X942" s="7"/>
      <c r="Y942" s="15" t="str">
        <f t="shared" si="58"/>
        <v/>
      </c>
      <c r="Z942" s="14"/>
      <c r="AA942" s="7"/>
      <c r="AB942" s="15" t="str">
        <f t="shared" si="59"/>
        <v/>
      </c>
    </row>
    <row r="943" spans="1:28">
      <c r="A943" s="19">
        <v>940</v>
      </c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Q943" s="14"/>
      <c r="R943" s="7"/>
      <c r="S943" s="15" t="str">
        <f t="shared" si="56"/>
        <v/>
      </c>
      <c r="T943" s="14"/>
      <c r="U943" s="7"/>
      <c r="V943" s="15" t="str">
        <f t="shared" si="57"/>
        <v/>
      </c>
      <c r="W943" s="14"/>
      <c r="X943" s="7"/>
      <c r="Y943" s="15" t="str">
        <f t="shared" si="58"/>
        <v/>
      </c>
      <c r="Z943" s="14"/>
      <c r="AA943" s="7"/>
      <c r="AB943" s="15" t="str">
        <f t="shared" si="59"/>
        <v/>
      </c>
    </row>
    <row r="944" spans="1:28">
      <c r="A944" s="19">
        <v>941</v>
      </c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Q944" s="14"/>
      <c r="R944" s="7"/>
      <c r="S944" s="15" t="str">
        <f t="shared" si="56"/>
        <v/>
      </c>
      <c r="T944" s="14"/>
      <c r="U944" s="7"/>
      <c r="V944" s="15" t="str">
        <f t="shared" si="57"/>
        <v/>
      </c>
      <c r="W944" s="14"/>
      <c r="X944" s="7"/>
      <c r="Y944" s="15" t="str">
        <f t="shared" si="58"/>
        <v/>
      </c>
      <c r="Z944" s="14"/>
      <c r="AA944" s="7"/>
      <c r="AB944" s="15" t="str">
        <f t="shared" si="59"/>
        <v/>
      </c>
    </row>
    <row r="945" spans="1:28">
      <c r="A945" s="19">
        <v>942</v>
      </c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Q945" s="14"/>
      <c r="R945" s="7"/>
      <c r="S945" s="15" t="str">
        <f t="shared" si="56"/>
        <v/>
      </c>
      <c r="T945" s="14"/>
      <c r="U945" s="7"/>
      <c r="V945" s="15" t="str">
        <f t="shared" si="57"/>
        <v/>
      </c>
      <c r="W945" s="14"/>
      <c r="X945" s="7"/>
      <c r="Y945" s="15" t="str">
        <f t="shared" si="58"/>
        <v/>
      </c>
      <c r="Z945" s="14"/>
      <c r="AA945" s="7"/>
      <c r="AB945" s="15" t="str">
        <f t="shared" si="59"/>
        <v/>
      </c>
    </row>
    <row r="946" spans="1:28">
      <c r="A946" s="19">
        <v>943</v>
      </c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Q946" s="14"/>
      <c r="R946" s="7"/>
      <c r="S946" s="15" t="str">
        <f t="shared" si="56"/>
        <v/>
      </c>
      <c r="T946" s="14"/>
      <c r="U946" s="7"/>
      <c r="V946" s="15" t="str">
        <f t="shared" si="57"/>
        <v/>
      </c>
      <c r="W946" s="14"/>
      <c r="X946" s="7"/>
      <c r="Y946" s="15" t="str">
        <f t="shared" si="58"/>
        <v/>
      </c>
      <c r="Z946" s="14"/>
      <c r="AA946" s="7"/>
      <c r="AB946" s="15" t="str">
        <f t="shared" si="59"/>
        <v/>
      </c>
    </row>
    <row r="947" spans="1:28">
      <c r="A947" s="19">
        <v>944</v>
      </c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Q947" s="14"/>
      <c r="R947" s="7"/>
      <c r="S947" s="15" t="str">
        <f t="shared" si="56"/>
        <v/>
      </c>
      <c r="T947" s="14"/>
      <c r="U947" s="7"/>
      <c r="V947" s="15" t="str">
        <f t="shared" si="57"/>
        <v/>
      </c>
      <c r="W947" s="14"/>
      <c r="X947" s="7"/>
      <c r="Y947" s="15" t="str">
        <f t="shared" si="58"/>
        <v/>
      </c>
      <c r="Z947" s="14"/>
      <c r="AA947" s="7"/>
      <c r="AB947" s="15" t="str">
        <f t="shared" si="59"/>
        <v/>
      </c>
    </row>
    <row r="948" spans="1:28">
      <c r="A948" s="19">
        <v>945</v>
      </c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Q948" s="14"/>
      <c r="R948" s="7"/>
      <c r="S948" s="15" t="str">
        <f t="shared" si="56"/>
        <v/>
      </c>
      <c r="T948" s="14"/>
      <c r="U948" s="7"/>
      <c r="V948" s="15" t="str">
        <f t="shared" si="57"/>
        <v/>
      </c>
      <c r="W948" s="14"/>
      <c r="X948" s="7"/>
      <c r="Y948" s="15" t="str">
        <f t="shared" si="58"/>
        <v/>
      </c>
      <c r="Z948" s="14"/>
      <c r="AA948" s="7"/>
      <c r="AB948" s="15" t="str">
        <f t="shared" si="59"/>
        <v/>
      </c>
    </row>
    <row r="949" spans="1:28">
      <c r="A949" s="19">
        <v>946</v>
      </c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Q949" s="14"/>
      <c r="R949" s="7"/>
      <c r="S949" s="15" t="str">
        <f t="shared" si="56"/>
        <v/>
      </c>
      <c r="T949" s="14"/>
      <c r="U949" s="7"/>
      <c r="V949" s="15" t="str">
        <f t="shared" si="57"/>
        <v/>
      </c>
      <c r="W949" s="14"/>
      <c r="X949" s="7"/>
      <c r="Y949" s="15" t="str">
        <f t="shared" si="58"/>
        <v/>
      </c>
      <c r="Z949" s="14"/>
      <c r="AA949" s="7"/>
      <c r="AB949" s="15" t="str">
        <f t="shared" si="59"/>
        <v/>
      </c>
    </row>
    <row r="950" spans="1:28">
      <c r="A950" s="19">
        <v>947</v>
      </c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Q950" s="14"/>
      <c r="R950" s="7"/>
      <c r="S950" s="15" t="str">
        <f t="shared" si="56"/>
        <v/>
      </c>
      <c r="T950" s="14"/>
      <c r="U950" s="7"/>
      <c r="V950" s="15" t="str">
        <f t="shared" si="57"/>
        <v/>
      </c>
      <c r="W950" s="14"/>
      <c r="X950" s="7"/>
      <c r="Y950" s="15" t="str">
        <f t="shared" si="58"/>
        <v/>
      </c>
      <c r="Z950" s="14"/>
      <c r="AA950" s="7"/>
      <c r="AB950" s="15" t="str">
        <f t="shared" si="59"/>
        <v/>
      </c>
    </row>
    <row r="951" spans="1:28">
      <c r="A951" s="19">
        <v>948</v>
      </c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Q951" s="14"/>
      <c r="R951" s="7"/>
      <c r="S951" s="15" t="str">
        <f t="shared" si="56"/>
        <v/>
      </c>
      <c r="T951" s="14"/>
      <c r="U951" s="7"/>
      <c r="V951" s="15" t="str">
        <f t="shared" si="57"/>
        <v/>
      </c>
      <c r="W951" s="14"/>
      <c r="X951" s="7"/>
      <c r="Y951" s="15" t="str">
        <f t="shared" si="58"/>
        <v/>
      </c>
      <c r="Z951" s="14"/>
      <c r="AA951" s="7"/>
      <c r="AB951" s="15" t="str">
        <f t="shared" si="59"/>
        <v/>
      </c>
    </row>
    <row r="952" spans="1:28">
      <c r="A952" s="19">
        <v>949</v>
      </c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Q952" s="14"/>
      <c r="R952" s="7"/>
      <c r="S952" s="15" t="str">
        <f t="shared" si="56"/>
        <v/>
      </c>
      <c r="T952" s="14"/>
      <c r="U952" s="7"/>
      <c r="V952" s="15" t="str">
        <f t="shared" si="57"/>
        <v/>
      </c>
      <c r="W952" s="14"/>
      <c r="X952" s="7"/>
      <c r="Y952" s="15" t="str">
        <f t="shared" si="58"/>
        <v/>
      </c>
      <c r="Z952" s="14"/>
      <c r="AA952" s="7"/>
      <c r="AB952" s="15" t="str">
        <f t="shared" si="59"/>
        <v/>
      </c>
    </row>
    <row r="953" spans="1:28">
      <c r="A953" s="19">
        <v>950</v>
      </c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Q953" s="14"/>
      <c r="R953" s="7"/>
      <c r="S953" s="15" t="str">
        <f t="shared" si="56"/>
        <v/>
      </c>
      <c r="T953" s="14"/>
      <c r="U953" s="7"/>
      <c r="V953" s="15" t="str">
        <f t="shared" si="57"/>
        <v/>
      </c>
      <c r="W953" s="14"/>
      <c r="X953" s="7"/>
      <c r="Y953" s="15" t="str">
        <f t="shared" si="58"/>
        <v/>
      </c>
      <c r="Z953" s="14"/>
      <c r="AA953" s="7"/>
      <c r="AB953" s="15" t="str">
        <f t="shared" si="59"/>
        <v/>
      </c>
    </row>
    <row r="954" spans="1:28">
      <c r="A954" s="19">
        <v>951</v>
      </c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Q954" s="14"/>
      <c r="R954" s="7"/>
      <c r="S954" s="15" t="str">
        <f t="shared" si="56"/>
        <v/>
      </c>
      <c r="T954" s="14"/>
      <c r="U954" s="7"/>
      <c r="V954" s="15" t="str">
        <f t="shared" si="57"/>
        <v/>
      </c>
      <c r="W954" s="14"/>
      <c r="X954" s="7"/>
      <c r="Y954" s="15" t="str">
        <f t="shared" si="58"/>
        <v/>
      </c>
      <c r="Z954" s="14"/>
      <c r="AA954" s="7"/>
      <c r="AB954" s="15" t="str">
        <f t="shared" si="59"/>
        <v/>
      </c>
    </row>
    <row r="955" spans="1:28">
      <c r="A955" s="19">
        <v>952</v>
      </c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Q955" s="14"/>
      <c r="R955" s="7"/>
      <c r="S955" s="15" t="str">
        <f t="shared" si="56"/>
        <v/>
      </c>
      <c r="T955" s="14"/>
      <c r="U955" s="7"/>
      <c r="V955" s="15" t="str">
        <f t="shared" si="57"/>
        <v/>
      </c>
      <c r="W955" s="14"/>
      <c r="X955" s="7"/>
      <c r="Y955" s="15" t="str">
        <f t="shared" si="58"/>
        <v/>
      </c>
      <c r="Z955" s="14"/>
      <c r="AA955" s="7"/>
      <c r="AB955" s="15" t="str">
        <f t="shared" si="59"/>
        <v/>
      </c>
    </row>
    <row r="956" spans="1:28">
      <c r="A956" s="19">
        <v>953</v>
      </c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Q956" s="14"/>
      <c r="R956" s="7"/>
      <c r="S956" s="15" t="str">
        <f t="shared" si="56"/>
        <v/>
      </c>
      <c r="T956" s="14"/>
      <c r="U956" s="7"/>
      <c r="V956" s="15" t="str">
        <f t="shared" si="57"/>
        <v/>
      </c>
      <c r="W956" s="14"/>
      <c r="X956" s="7"/>
      <c r="Y956" s="15" t="str">
        <f t="shared" si="58"/>
        <v/>
      </c>
      <c r="Z956" s="14"/>
      <c r="AA956" s="7"/>
      <c r="AB956" s="15" t="str">
        <f t="shared" si="59"/>
        <v/>
      </c>
    </row>
    <row r="957" spans="1:28">
      <c r="A957" s="19">
        <v>954</v>
      </c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Q957" s="14"/>
      <c r="R957" s="7"/>
      <c r="S957" s="15" t="str">
        <f t="shared" si="56"/>
        <v/>
      </c>
      <c r="T957" s="14"/>
      <c r="U957" s="7"/>
      <c r="V957" s="15" t="str">
        <f t="shared" si="57"/>
        <v/>
      </c>
      <c r="W957" s="14"/>
      <c r="X957" s="7"/>
      <c r="Y957" s="15" t="str">
        <f t="shared" si="58"/>
        <v/>
      </c>
      <c r="Z957" s="14"/>
      <c r="AA957" s="7"/>
      <c r="AB957" s="15" t="str">
        <f t="shared" si="59"/>
        <v/>
      </c>
    </row>
    <row r="958" spans="1:28">
      <c r="A958" s="19">
        <v>955</v>
      </c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Q958" s="14"/>
      <c r="R958" s="7"/>
      <c r="S958" s="15" t="str">
        <f t="shared" si="56"/>
        <v/>
      </c>
      <c r="T958" s="14"/>
      <c r="U958" s="7"/>
      <c r="V958" s="15" t="str">
        <f t="shared" si="57"/>
        <v/>
      </c>
      <c r="W958" s="14"/>
      <c r="X958" s="7"/>
      <c r="Y958" s="15" t="str">
        <f t="shared" si="58"/>
        <v/>
      </c>
      <c r="Z958" s="14"/>
      <c r="AA958" s="7"/>
      <c r="AB958" s="15" t="str">
        <f t="shared" si="59"/>
        <v/>
      </c>
    </row>
    <row r="959" spans="1:28">
      <c r="A959" s="19">
        <v>956</v>
      </c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Q959" s="14"/>
      <c r="R959" s="7"/>
      <c r="S959" s="15" t="str">
        <f t="shared" si="56"/>
        <v/>
      </c>
      <c r="T959" s="14"/>
      <c r="U959" s="7"/>
      <c r="V959" s="15" t="str">
        <f t="shared" si="57"/>
        <v/>
      </c>
      <c r="W959" s="14"/>
      <c r="X959" s="7"/>
      <c r="Y959" s="15" t="str">
        <f t="shared" si="58"/>
        <v/>
      </c>
      <c r="Z959" s="14"/>
      <c r="AA959" s="7"/>
      <c r="AB959" s="15" t="str">
        <f t="shared" si="59"/>
        <v/>
      </c>
    </row>
    <row r="960" spans="1:28">
      <c r="A960" s="19">
        <v>957</v>
      </c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Q960" s="14"/>
      <c r="R960" s="7"/>
      <c r="S960" s="15" t="str">
        <f t="shared" si="56"/>
        <v/>
      </c>
      <c r="T960" s="14"/>
      <c r="U960" s="7"/>
      <c r="V960" s="15" t="str">
        <f t="shared" si="57"/>
        <v/>
      </c>
      <c r="W960" s="14"/>
      <c r="X960" s="7"/>
      <c r="Y960" s="15" t="str">
        <f t="shared" si="58"/>
        <v/>
      </c>
      <c r="Z960" s="14"/>
      <c r="AA960" s="7"/>
      <c r="AB960" s="15" t="str">
        <f t="shared" si="59"/>
        <v/>
      </c>
    </row>
    <row r="961" spans="1:28">
      <c r="A961" s="19">
        <v>958</v>
      </c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Q961" s="14"/>
      <c r="R961" s="7"/>
      <c r="S961" s="15" t="str">
        <f t="shared" si="56"/>
        <v/>
      </c>
      <c r="T961" s="14"/>
      <c r="U961" s="7"/>
      <c r="V961" s="15" t="str">
        <f t="shared" si="57"/>
        <v/>
      </c>
      <c r="W961" s="14"/>
      <c r="X961" s="7"/>
      <c r="Y961" s="15" t="str">
        <f t="shared" si="58"/>
        <v/>
      </c>
      <c r="Z961" s="14"/>
      <c r="AA961" s="7"/>
      <c r="AB961" s="15" t="str">
        <f t="shared" si="59"/>
        <v/>
      </c>
    </row>
    <row r="962" spans="1:28">
      <c r="A962" s="19">
        <v>959</v>
      </c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Q962" s="14"/>
      <c r="R962" s="7"/>
      <c r="S962" s="15" t="str">
        <f t="shared" si="56"/>
        <v/>
      </c>
      <c r="T962" s="14"/>
      <c r="U962" s="7"/>
      <c r="V962" s="15" t="str">
        <f t="shared" si="57"/>
        <v/>
      </c>
      <c r="W962" s="14"/>
      <c r="X962" s="7"/>
      <c r="Y962" s="15" t="str">
        <f t="shared" si="58"/>
        <v/>
      </c>
      <c r="Z962" s="14"/>
      <c r="AA962" s="7"/>
      <c r="AB962" s="15" t="str">
        <f t="shared" si="59"/>
        <v/>
      </c>
    </row>
    <row r="963" spans="1:28">
      <c r="A963" s="19">
        <v>960</v>
      </c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Q963" s="14"/>
      <c r="R963" s="7"/>
      <c r="S963" s="15" t="str">
        <f t="shared" si="56"/>
        <v/>
      </c>
      <c r="T963" s="14"/>
      <c r="U963" s="7"/>
      <c r="V963" s="15" t="str">
        <f t="shared" si="57"/>
        <v/>
      </c>
      <c r="W963" s="14"/>
      <c r="X963" s="7"/>
      <c r="Y963" s="15" t="str">
        <f t="shared" si="58"/>
        <v/>
      </c>
      <c r="Z963" s="14"/>
      <c r="AA963" s="7"/>
      <c r="AB963" s="15" t="str">
        <f t="shared" si="59"/>
        <v/>
      </c>
    </row>
    <row r="964" spans="1:28">
      <c r="A964" s="19">
        <v>961</v>
      </c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Q964" s="14"/>
      <c r="R964" s="7"/>
      <c r="S964" s="15" t="str">
        <f t="shared" si="56"/>
        <v/>
      </c>
      <c r="T964" s="14"/>
      <c r="U964" s="7"/>
      <c r="V964" s="15" t="str">
        <f t="shared" si="57"/>
        <v/>
      </c>
      <c r="W964" s="14"/>
      <c r="X964" s="7"/>
      <c r="Y964" s="15" t="str">
        <f t="shared" si="58"/>
        <v/>
      </c>
      <c r="Z964" s="14"/>
      <c r="AA964" s="7"/>
      <c r="AB964" s="15" t="str">
        <f t="shared" si="59"/>
        <v/>
      </c>
    </row>
    <row r="965" spans="1:28">
      <c r="A965" s="19">
        <v>962</v>
      </c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Q965" s="14"/>
      <c r="R965" s="7"/>
      <c r="S965" s="15" t="str">
        <f t="shared" ref="S965:S1000" si="60">IF(OR($H965="",Q965=""),"",Q965+(R965/$H965))</f>
        <v/>
      </c>
      <c r="T965" s="14"/>
      <c r="U965" s="7"/>
      <c r="V965" s="15" t="str">
        <f t="shared" ref="V965:V1000" si="61">IF(OR($H965="",T965=""),"",T965+(U965/$H965))</f>
        <v/>
      </c>
      <c r="W965" s="14"/>
      <c r="X965" s="7"/>
      <c r="Y965" s="15" t="str">
        <f t="shared" ref="Y965:Y1000" si="62">IF(OR($H965="",W965=""),"",W965+(X965/$H965))</f>
        <v/>
      </c>
      <c r="Z965" s="14"/>
      <c r="AA965" s="7"/>
      <c r="AB965" s="15" t="str">
        <f t="shared" ref="AB965:AB1000" si="63">IF(OR($H965="",Z965=""),"",Z965+(AA965/$H965))</f>
        <v/>
      </c>
    </row>
    <row r="966" spans="1:28">
      <c r="A966" s="19">
        <v>963</v>
      </c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Q966" s="14"/>
      <c r="R966" s="7"/>
      <c r="S966" s="15" t="str">
        <f t="shared" si="60"/>
        <v/>
      </c>
      <c r="T966" s="14"/>
      <c r="U966" s="7"/>
      <c r="V966" s="15" t="str">
        <f t="shared" si="61"/>
        <v/>
      </c>
      <c r="W966" s="14"/>
      <c r="X966" s="7"/>
      <c r="Y966" s="15" t="str">
        <f t="shared" si="62"/>
        <v/>
      </c>
      <c r="Z966" s="14"/>
      <c r="AA966" s="7"/>
      <c r="AB966" s="15" t="str">
        <f t="shared" si="63"/>
        <v/>
      </c>
    </row>
    <row r="967" spans="1:28">
      <c r="A967" s="19">
        <v>964</v>
      </c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Q967" s="14"/>
      <c r="R967" s="7"/>
      <c r="S967" s="15" t="str">
        <f t="shared" si="60"/>
        <v/>
      </c>
      <c r="T967" s="14"/>
      <c r="U967" s="7"/>
      <c r="V967" s="15" t="str">
        <f t="shared" si="61"/>
        <v/>
      </c>
      <c r="W967" s="14"/>
      <c r="X967" s="7"/>
      <c r="Y967" s="15" t="str">
        <f t="shared" si="62"/>
        <v/>
      </c>
      <c r="Z967" s="14"/>
      <c r="AA967" s="7"/>
      <c r="AB967" s="15" t="str">
        <f t="shared" si="63"/>
        <v/>
      </c>
    </row>
    <row r="968" spans="1:28">
      <c r="A968" s="19">
        <v>965</v>
      </c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Q968" s="14"/>
      <c r="R968" s="7"/>
      <c r="S968" s="15" t="str">
        <f t="shared" si="60"/>
        <v/>
      </c>
      <c r="T968" s="14"/>
      <c r="U968" s="7"/>
      <c r="V968" s="15" t="str">
        <f t="shared" si="61"/>
        <v/>
      </c>
      <c r="W968" s="14"/>
      <c r="X968" s="7"/>
      <c r="Y968" s="15" t="str">
        <f t="shared" si="62"/>
        <v/>
      </c>
      <c r="Z968" s="14"/>
      <c r="AA968" s="7"/>
      <c r="AB968" s="15" t="str">
        <f t="shared" si="63"/>
        <v/>
      </c>
    </row>
    <row r="969" spans="1:28">
      <c r="A969" s="19">
        <v>966</v>
      </c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Q969" s="14"/>
      <c r="R969" s="7"/>
      <c r="S969" s="15" t="str">
        <f t="shared" si="60"/>
        <v/>
      </c>
      <c r="T969" s="14"/>
      <c r="U969" s="7"/>
      <c r="V969" s="15" t="str">
        <f t="shared" si="61"/>
        <v/>
      </c>
      <c r="W969" s="14"/>
      <c r="X969" s="7"/>
      <c r="Y969" s="15" t="str">
        <f t="shared" si="62"/>
        <v/>
      </c>
      <c r="Z969" s="14"/>
      <c r="AA969" s="7"/>
      <c r="AB969" s="15" t="str">
        <f t="shared" si="63"/>
        <v/>
      </c>
    </row>
    <row r="970" spans="1:28">
      <c r="A970" s="19">
        <v>967</v>
      </c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Q970" s="14"/>
      <c r="R970" s="7"/>
      <c r="S970" s="15" t="str">
        <f t="shared" si="60"/>
        <v/>
      </c>
      <c r="T970" s="14"/>
      <c r="U970" s="7"/>
      <c r="V970" s="15" t="str">
        <f t="shared" si="61"/>
        <v/>
      </c>
      <c r="W970" s="14"/>
      <c r="X970" s="7"/>
      <c r="Y970" s="15" t="str">
        <f t="shared" si="62"/>
        <v/>
      </c>
      <c r="Z970" s="14"/>
      <c r="AA970" s="7"/>
      <c r="AB970" s="15" t="str">
        <f t="shared" si="63"/>
        <v/>
      </c>
    </row>
    <row r="971" spans="1:28">
      <c r="A971" s="19">
        <v>968</v>
      </c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Q971" s="14"/>
      <c r="R971" s="7"/>
      <c r="S971" s="15" t="str">
        <f t="shared" si="60"/>
        <v/>
      </c>
      <c r="T971" s="14"/>
      <c r="U971" s="7"/>
      <c r="V971" s="15" t="str">
        <f t="shared" si="61"/>
        <v/>
      </c>
      <c r="W971" s="14"/>
      <c r="X971" s="7"/>
      <c r="Y971" s="15" t="str">
        <f t="shared" si="62"/>
        <v/>
      </c>
      <c r="Z971" s="14"/>
      <c r="AA971" s="7"/>
      <c r="AB971" s="15" t="str">
        <f t="shared" si="63"/>
        <v/>
      </c>
    </row>
    <row r="972" spans="1:28">
      <c r="A972" s="19">
        <v>969</v>
      </c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Q972" s="14"/>
      <c r="R972" s="7"/>
      <c r="S972" s="15" t="str">
        <f t="shared" si="60"/>
        <v/>
      </c>
      <c r="T972" s="14"/>
      <c r="U972" s="7"/>
      <c r="V972" s="15" t="str">
        <f t="shared" si="61"/>
        <v/>
      </c>
      <c r="W972" s="14"/>
      <c r="X972" s="7"/>
      <c r="Y972" s="15" t="str">
        <f t="shared" si="62"/>
        <v/>
      </c>
      <c r="Z972" s="14"/>
      <c r="AA972" s="7"/>
      <c r="AB972" s="15" t="str">
        <f t="shared" si="63"/>
        <v/>
      </c>
    </row>
    <row r="973" spans="1:28">
      <c r="A973" s="19">
        <v>970</v>
      </c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Q973" s="14"/>
      <c r="R973" s="7"/>
      <c r="S973" s="15" t="str">
        <f t="shared" si="60"/>
        <v/>
      </c>
      <c r="T973" s="14"/>
      <c r="U973" s="7"/>
      <c r="V973" s="15" t="str">
        <f t="shared" si="61"/>
        <v/>
      </c>
      <c r="W973" s="14"/>
      <c r="X973" s="7"/>
      <c r="Y973" s="15" t="str">
        <f t="shared" si="62"/>
        <v/>
      </c>
      <c r="Z973" s="14"/>
      <c r="AA973" s="7"/>
      <c r="AB973" s="15" t="str">
        <f t="shared" si="63"/>
        <v/>
      </c>
    </row>
    <row r="974" spans="1:28">
      <c r="A974" s="19">
        <v>971</v>
      </c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Q974" s="14"/>
      <c r="R974" s="7"/>
      <c r="S974" s="15" t="str">
        <f t="shared" si="60"/>
        <v/>
      </c>
      <c r="T974" s="14"/>
      <c r="U974" s="7"/>
      <c r="V974" s="15" t="str">
        <f t="shared" si="61"/>
        <v/>
      </c>
      <c r="W974" s="14"/>
      <c r="X974" s="7"/>
      <c r="Y974" s="15" t="str">
        <f t="shared" si="62"/>
        <v/>
      </c>
      <c r="Z974" s="14"/>
      <c r="AA974" s="7"/>
      <c r="AB974" s="15" t="str">
        <f t="shared" si="63"/>
        <v/>
      </c>
    </row>
    <row r="975" spans="1:28">
      <c r="A975" s="19">
        <v>972</v>
      </c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Q975" s="14"/>
      <c r="R975" s="7"/>
      <c r="S975" s="15" t="str">
        <f t="shared" si="60"/>
        <v/>
      </c>
      <c r="T975" s="14"/>
      <c r="U975" s="7"/>
      <c r="V975" s="15" t="str">
        <f t="shared" si="61"/>
        <v/>
      </c>
      <c r="W975" s="14"/>
      <c r="X975" s="7"/>
      <c r="Y975" s="15" t="str">
        <f t="shared" si="62"/>
        <v/>
      </c>
      <c r="Z975" s="14"/>
      <c r="AA975" s="7"/>
      <c r="AB975" s="15" t="str">
        <f t="shared" si="63"/>
        <v/>
      </c>
    </row>
    <row r="976" spans="1:28">
      <c r="A976" s="19">
        <v>973</v>
      </c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Q976" s="14"/>
      <c r="R976" s="7"/>
      <c r="S976" s="15" t="str">
        <f t="shared" si="60"/>
        <v/>
      </c>
      <c r="T976" s="14"/>
      <c r="U976" s="7"/>
      <c r="V976" s="15" t="str">
        <f t="shared" si="61"/>
        <v/>
      </c>
      <c r="W976" s="14"/>
      <c r="X976" s="7"/>
      <c r="Y976" s="15" t="str">
        <f t="shared" si="62"/>
        <v/>
      </c>
      <c r="Z976" s="14"/>
      <c r="AA976" s="7"/>
      <c r="AB976" s="15" t="str">
        <f t="shared" si="63"/>
        <v/>
      </c>
    </row>
    <row r="977" spans="1:28">
      <c r="A977" s="19">
        <v>974</v>
      </c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Q977" s="14"/>
      <c r="R977" s="7"/>
      <c r="S977" s="15" t="str">
        <f t="shared" si="60"/>
        <v/>
      </c>
      <c r="T977" s="14"/>
      <c r="U977" s="7"/>
      <c r="V977" s="15" t="str">
        <f t="shared" si="61"/>
        <v/>
      </c>
      <c r="W977" s="14"/>
      <c r="X977" s="7"/>
      <c r="Y977" s="15" t="str">
        <f t="shared" si="62"/>
        <v/>
      </c>
      <c r="Z977" s="14"/>
      <c r="AA977" s="7"/>
      <c r="AB977" s="15" t="str">
        <f t="shared" si="63"/>
        <v/>
      </c>
    </row>
    <row r="978" spans="1:28">
      <c r="A978" s="19">
        <v>975</v>
      </c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Q978" s="14"/>
      <c r="R978" s="7"/>
      <c r="S978" s="15" t="str">
        <f t="shared" si="60"/>
        <v/>
      </c>
      <c r="T978" s="14"/>
      <c r="U978" s="7"/>
      <c r="V978" s="15" t="str">
        <f t="shared" si="61"/>
        <v/>
      </c>
      <c r="W978" s="14"/>
      <c r="X978" s="7"/>
      <c r="Y978" s="15" t="str">
        <f t="shared" si="62"/>
        <v/>
      </c>
      <c r="Z978" s="14"/>
      <c r="AA978" s="7"/>
      <c r="AB978" s="15" t="str">
        <f t="shared" si="63"/>
        <v/>
      </c>
    </row>
    <row r="979" spans="1:28">
      <c r="A979" s="19">
        <v>976</v>
      </c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Q979" s="14"/>
      <c r="R979" s="7"/>
      <c r="S979" s="15" t="str">
        <f t="shared" si="60"/>
        <v/>
      </c>
      <c r="T979" s="14"/>
      <c r="U979" s="7"/>
      <c r="V979" s="15" t="str">
        <f t="shared" si="61"/>
        <v/>
      </c>
      <c r="W979" s="14"/>
      <c r="X979" s="7"/>
      <c r="Y979" s="15" t="str">
        <f t="shared" si="62"/>
        <v/>
      </c>
      <c r="Z979" s="14"/>
      <c r="AA979" s="7"/>
      <c r="AB979" s="15" t="str">
        <f t="shared" si="63"/>
        <v/>
      </c>
    </row>
    <row r="980" spans="1:28">
      <c r="A980" s="19">
        <v>977</v>
      </c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Q980" s="14"/>
      <c r="R980" s="7"/>
      <c r="S980" s="15" t="str">
        <f t="shared" si="60"/>
        <v/>
      </c>
      <c r="T980" s="14"/>
      <c r="U980" s="7"/>
      <c r="V980" s="15" t="str">
        <f t="shared" si="61"/>
        <v/>
      </c>
      <c r="W980" s="14"/>
      <c r="X980" s="7"/>
      <c r="Y980" s="15" t="str">
        <f t="shared" si="62"/>
        <v/>
      </c>
      <c r="Z980" s="14"/>
      <c r="AA980" s="7"/>
      <c r="AB980" s="15" t="str">
        <f t="shared" si="63"/>
        <v/>
      </c>
    </row>
    <row r="981" spans="1:28">
      <c r="A981" s="19">
        <v>978</v>
      </c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Q981" s="14"/>
      <c r="R981" s="7"/>
      <c r="S981" s="15" t="str">
        <f t="shared" si="60"/>
        <v/>
      </c>
      <c r="T981" s="14"/>
      <c r="U981" s="7"/>
      <c r="V981" s="15" t="str">
        <f t="shared" si="61"/>
        <v/>
      </c>
      <c r="W981" s="14"/>
      <c r="X981" s="7"/>
      <c r="Y981" s="15" t="str">
        <f t="shared" si="62"/>
        <v/>
      </c>
      <c r="Z981" s="14"/>
      <c r="AA981" s="7"/>
      <c r="AB981" s="15" t="str">
        <f t="shared" si="63"/>
        <v/>
      </c>
    </row>
    <row r="982" spans="1:28">
      <c r="A982" s="19">
        <v>979</v>
      </c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Q982" s="14"/>
      <c r="R982" s="7"/>
      <c r="S982" s="15" t="str">
        <f t="shared" si="60"/>
        <v/>
      </c>
      <c r="T982" s="14"/>
      <c r="U982" s="7"/>
      <c r="V982" s="15" t="str">
        <f t="shared" si="61"/>
        <v/>
      </c>
      <c r="W982" s="14"/>
      <c r="X982" s="7"/>
      <c r="Y982" s="15" t="str">
        <f t="shared" si="62"/>
        <v/>
      </c>
      <c r="Z982" s="14"/>
      <c r="AA982" s="7"/>
      <c r="AB982" s="15" t="str">
        <f t="shared" si="63"/>
        <v/>
      </c>
    </row>
    <row r="983" spans="1:28">
      <c r="A983" s="19">
        <v>980</v>
      </c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Q983" s="14"/>
      <c r="R983" s="7"/>
      <c r="S983" s="15" t="str">
        <f t="shared" si="60"/>
        <v/>
      </c>
      <c r="T983" s="14"/>
      <c r="U983" s="7"/>
      <c r="V983" s="15" t="str">
        <f t="shared" si="61"/>
        <v/>
      </c>
      <c r="W983" s="14"/>
      <c r="X983" s="7"/>
      <c r="Y983" s="15" t="str">
        <f t="shared" si="62"/>
        <v/>
      </c>
      <c r="Z983" s="14"/>
      <c r="AA983" s="7"/>
      <c r="AB983" s="15" t="str">
        <f t="shared" si="63"/>
        <v/>
      </c>
    </row>
    <row r="984" spans="1:28">
      <c r="A984" s="19">
        <v>981</v>
      </c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Q984" s="14"/>
      <c r="R984" s="7"/>
      <c r="S984" s="15" t="str">
        <f t="shared" si="60"/>
        <v/>
      </c>
      <c r="T984" s="14"/>
      <c r="U984" s="7"/>
      <c r="V984" s="15" t="str">
        <f t="shared" si="61"/>
        <v/>
      </c>
      <c r="W984" s="14"/>
      <c r="X984" s="7"/>
      <c r="Y984" s="15" t="str">
        <f t="shared" si="62"/>
        <v/>
      </c>
      <c r="Z984" s="14"/>
      <c r="AA984" s="7"/>
      <c r="AB984" s="15" t="str">
        <f t="shared" si="63"/>
        <v/>
      </c>
    </row>
    <row r="985" spans="1:28">
      <c r="A985" s="19">
        <v>982</v>
      </c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Q985" s="14"/>
      <c r="R985" s="7"/>
      <c r="S985" s="15" t="str">
        <f t="shared" si="60"/>
        <v/>
      </c>
      <c r="T985" s="14"/>
      <c r="U985" s="7"/>
      <c r="V985" s="15" t="str">
        <f t="shared" si="61"/>
        <v/>
      </c>
      <c r="W985" s="14"/>
      <c r="X985" s="7"/>
      <c r="Y985" s="15" t="str">
        <f t="shared" si="62"/>
        <v/>
      </c>
      <c r="Z985" s="14"/>
      <c r="AA985" s="7"/>
      <c r="AB985" s="15" t="str">
        <f t="shared" si="63"/>
        <v/>
      </c>
    </row>
    <row r="986" spans="1:28">
      <c r="A986" s="19">
        <v>983</v>
      </c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Q986" s="14"/>
      <c r="R986" s="7"/>
      <c r="S986" s="15" t="str">
        <f t="shared" si="60"/>
        <v/>
      </c>
      <c r="T986" s="14"/>
      <c r="U986" s="7"/>
      <c r="V986" s="15" t="str">
        <f t="shared" si="61"/>
        <v/>
      </c>
      <c r="W986" s="14"/>
      <c r="X986" s="7"/>
      <c r="Y986" s="15" t="str">
        <f t="shared" si="62"/>
        <v/>
      </c>
      <c r="Z986" s="14"/>
      <c r="AA986" s="7"/>
      <c r="AB986" s="15" t="str">
        <f t="shared" si="63"/>
        <v/>
      </c>
    </row>
    <row r="987" spans="1:28">
      <c r="A987" s="19">
        <v>984</v>
      </c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Q987" s="14"/>
      <c r="R987" s="7"/>
      <c r="S987" s="15" t="str">
        <f t="shared" si="60"/>
        <v/>
      </c>
      <c r="T987" s="14"/>
      <c r="U987" s="7"/>
      <c r="V987" s="15" t="str">
        <f t="shared" si="61"/>
        <v/>
      </c>
      <c r="W987" s="14"/>
      <c r="X987" s="7"/>
      <c r="Y987" s="15" t="str">
        <f t="shared" si="62"/>
        <v/>
      </c>
      <c r="Z987" s="14"/>
      <c r="AA987" s="7"/>
      <c r="AB987" s="15" t="str">
        <f t="shared" si="63"/>
        <v/>
      </c>
    </row>
    <row r="988" spans="1:28">
      <c r="A988" s="19">
        <v>985</v>
      </c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Q988" s="14"/>
      <c r="R988" s="7"/>
      <c r="S988" s="15" t="str">
        <f t="shared" si="60"/>
        <v/>
      </c>
      <c r="T988" s="14"/>
      <c r="U988" s="7"/>
      <c r="V988" s="15" t="str">
        <f t="shared" si="61"/>
        <v/>
      </c>
      <c r="W988" s="14"/>
      <c r="X988" s="7"/>
      <c r="Y988" s="15" t="str">
        <f t="shared" si="62"/>
        <v/>
      </c>
      <c r="Z988" s="14"/>
      <c r="AA988" s="7"/>
      <c r="AB988" s="15" t="str">
        <f t="shared" si="63"/>
        <v/>
      </c>
    </row>
    <row r="989" spans="1:28">
      <c r="A989" s="19">
        <v>986</v>
      </c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Q989" s="14"/>
      <c r="R989" s="7"/>
      <c r="S989" s="15" t="str">
        <f t="shared" si="60"/>
        <v/>
      </c>
      <c r="T989" s="14"/>
      <c r="U989" s="7"/>
      <c r="V989" s="15" t="str">
        <f t="shared" si="61"/>
        <v/>
      </c>
      <c r="W989" s="14"/>
      <c r="X989" s="7"/>
      <c r="Y989" s="15" t="str">
        <f t="shared" si="62"/>
        <v/>
      </c>
      <c r="Z989" s="14"/>
      <c r="AA989" s="7"/>
      <c r="AB989" s="15" t="str">
        <f t="shared" si="63"/>
        <v/>
      </c>
    </row>
    <row r="990" spans="1:28">
      <c r="A990" s="19">
        <v>987</v>
      </c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Q990" s="14"/>
      <c r="R990" s="7"/>
      <c r="S990" s="15" t="str">
        <f t="shared" si="60"/>
        <v/>
      </c>
      <c r="T990" s="14"/>
      <c r="U990" s="7"/>
      <c r="V990" s="15" t="str">
        <f t="shared" si="61"/>
        <v/>
      </c>
      <c r="W990" s="14"/>
      <c r="X990" s="7"/>
      <c r="Y990" s="15" t="str">
        <f t="shared" si="62"/>
        <v/>
      </c>
      <c r="Z990" s="14"/>
      <c r="AA990" s="7"/>
      <c r="AB990" s="15" t="str">
        <f t="shared" si="63"/>
        <v/>
      </c>
    </row>
    <row r="991" spans="1:28">
      <c r="A991" s="19">
        <v>988</v>
      </c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Q991" s="14"/>
      <c r="R991" s="7"/>
      <c r="S991" s="15" t="str">
        <f t="shared" si="60"/>
        <v/>
      </c>
      <c r="T991" s="14"/>
      <c r="U991" s="7"/>
      <c r="V991" s="15" t="str">
        <f t="shared" si="61"/>
        <v/>
      </c>
      <c r="W991" s="14"/>
      <c r="X991" s="7"/>
      <c r="Y991" s="15" t="str">
        <f t="shared" si="62"/>
        <v/>
      </c>
      <c r="Z991" s="14"/>
      <c r="AA991" s="7"/>
      <c r="AB991" s="15" t="str">
        <f t="shared" si="63"/>
        <v/>
      </c>
    </row>
    <row r="992" spans="1:28">
      <c r="A992" s="19">
        <v>989</v>
      </c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Q992" s="14"/>
      <c r="R992" s="7"/>
      <c r="S992" s="15" t="str">
        <f t="shared" si="60"/>
        <v/>
      </c>
      <c r="T992" s="14"/>
      <c r="U992" s="7"/>
      <c r="V992" s="15" t="str">
        <f t="shared" si="61"/>
        <v/>
      </c>
      <c r="W992" s="14"/>
      <c r="X992" s="7"/>
      <c r="Y992" s="15" t="str">
        <f t="shared" si="62"/>
        <v/>
      </c>
      <c r="Z992" s="14"/>
      <c r="AA992" s="7"/>
      <c r="AB992" s="15" t="str">
        <f t="shared" si="63"/>
        <v/>
      </c>
    </row>
    <row r="993" spans="1:28">
      <c r="A993" s="19">
        <v>990</v>
      </c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Q993" s="14"/>
      <c r="R993" s="7"/>
      <c r="S993" s="15" t="str">
        <f t="shared" si="60"/>
        <v/>
      </c>
      <c r="T993" s="14"/>
      <c r="U993" s="7"/>
      <c r="V993" s="15" t="str">
        <f t="shared" si="61"/>
        <v/>
      </c>
      <c r="W993" s="14"/>
      <c r="X993" s="7"/>
      <c r="Y993" s="15" t="str">
        <f t="shared" si="62"/>
        <v/>
      </c>
      <c r="Z993" s="14"/>
      <c r="AA993" s="7"/>
      <c r="AB993" s="15" t="str">
        <f t="shared" si="63"/>
        <v/>
      </c>
    </row>
    <row r="994" spans="1:28">
      <c r="A994" s="19">
        <v>991</v>
      </c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Q994" s="14"/>
      <c r="R994" s="7"/>
      <c r="S994" s="15" t="str">
        <f t="shared" si="60"/>
        <v/>
      </c>
      <c r="T994" s="14"/>
      <c r="U994" s="7"/>
      <c r="V994" s="15" t="str">
        <f t="shared" si="61"/>
        <v/>
      </c>
      <c r="W994" s="14"/>
      <c r="X994" s="7"/>
      <c r="Y994" s="15" t="str">
        <f t="shared" si="62"/>
        <v/>
      </c>
      <c r="Z994" s="14"/>
      <c r="AA994" s="7"/>
      <c r="AB994" s="15" t="str">
        <f t="shared" si="63"/>
        <v/>
      </c>
    </row>
    <row r="995" spans="1:28">
      <c r="A995" s="19">
        <v>992</v>
      </c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Q995" s="14"/>
      <c r="R995" s="7"/>
      <c r="S995" s="15" t="str">
        <f t="shared" si="60"/>
        <v/>
      </c>
      <c r="T995" s="14"/>
      <c r="U995" s="7"/>
      <c r="V995" s="15" t="str">
        <f t="shared" si="61"/>
        <v/>
      </c>
      <c r="W995" s="14"/>
      <c r="X995" s="7"/>
      <c r="Y995" s="15" t="str">
        <f t="shared" si="62"/>
        <v/>
      </c>
      <c r="Z995" s="14"/>
      <c r="AA995" s="7"/>
      <c r="AB995" s="15" t="str">
        <f t="shared" si="63"/>
        <v/>
      </c>
    </row>
    <row r="996" spans="1:28">
      <c r="A996" s="19">
        <v>993</v>
      </c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Q996" s="14"/>
      <c r="R996" s="7"/>
      <c r="S996" s="15" t="str">
        <f t="shared" si="60"/>
        <v/>
      </c>
      <c r="T996" s="14"/>
      <c r="U996" s="7"/>
      <c r="V996" s="15" t="str">
        <f t="shared" si="61"/>
        <v/>
      </c>
      <c r="W996" s="14"/>
      <c r="X996" s="7"/>
      <c r="Y996" s="15" t="str">
        <f t="shared" si="62"/>
        <v/>
      </c>
      <c r="Z996" s="14"/>
      <c r="AA996" s="7"/>
      <c r="AB996" s="15" t="str">
        <f t="shared" si="63"/>
        <v/>
      </c>
    </row>
    <row r="997" spans="1:28">
      <c r="A997" s="19">
        <v>994</v>
      </c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Q997" s="14"/>
      <c r="R997" s="7"/>
      <c r="S997" s="15" t="str">
        <f t="shared" si="60"/>
        <v/>
      </c>
      <c r="T997" s="14"/>
      <c r="U997" s="7"/>
      <c r="V997" s="15" t="str">
        <f t="shared" si="61"/>
        <v/>
      </c>
      <c r="W997" s="14"/>
      <c r="X997" s="7"/>
      <c r="Y997" s="15" t="str">
        <f t="shared" si="62"/>
        <v/>
      </c>
      <c r="Z997" s="14"/>
      <c r="AA997" s="7"/>
      <c r="AB997" s="15" t="str">
        <f t="shared" si="63"/>
        <v/>
      </c>
    </row>
    <row r="998" spans="1:28">
      <c r="A998" s="19">
        <v>995</v>
      </c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Q998" s="14"/>
      <c r="R998" s="7"/>
      <c r="S998" s="15" t="str">
        <f t="shared" si="60"/>
        <v/>
      </c>
      <c r="T998" s="14"/>
      <c r="U998" s="7"/>
      <c r="V998" s="15" t="str">
        <f t="shared" si="61"/>
        <v/>
      </c>
      <c r="W998" s="14"/>
      <c r="X998" s="7"/>
      <c r="Y998" s="15" t="str">
        <f t="shared" si="62"/>
        <v/>
      </c>
      <c r="Z998" s="14"/>
      <c r="AA998" s="7"/>
      <c r="AB998" s="15" t="str">
        <f t="shared" si="63"/>
        <v/>
      </c>
    </row>
    <row r="999" spans="1:28">
      <c r="A999" s="19">
        <v>996</v>
      </c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Q999" s="14"/>
      <c r="R999" s="7"/>
      <c r="S999" s="15" t="str">
        <f t="shared" si="60"/>
        <v/>
      </c>
      <c r="T999" s="14"/>
      <c r="U999" s="7"/>
      <c r="V999" s="15" t="str">
        <f t="shared" si="61"/>
        <v/>
      </c>
      <c r="W999" s="14"/>
      <c r="X999" s="7"/>
      <c r="Y999" s="15" t="str">
        <f t="shared" si="62"/>
        <v/>
      </c>
      <c r="Z999" s="14"/>
      <c r="AA999" s="7"/>
      <c r="AB999" s="15" t="str">
        <f t="shared" si="63"/>
        <v/>
      </c>
    </row>
    <row r="1000" spans="1:28" ht="15.75" thickBot="1">
      <c r="A1000" s="19">
        <v>997</v>
      </c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Q1000" s="16"/>
      <c r="R1000" s="17"/>
      <c r="S1000" s="15" t="str">
        <f t="shared" si="60"/>
        <v/>
      </c>
      <c r="T1000" s="16"/>
      <c r="U1000" s="17"/>
      <c r="V1000" s="15" t="str">
        <f t="shared" si="61"/>
        <v/>
      </c>
      <c r="W1000" s="16"/>
      <c r="X1000" s="17"/>
      <c r="Y1000" s="15" t="str">
        <f t="shared" si="62"/>
        <v/>
      </c>
      <c r="Z1000" s="16"/>
      <c r="AA1000" s="17"/>
      <c r="AB1000" s="15" t="str">
        <f t="shared" si="63"/>
        <v/>
      </c>
    </row>
  </sheetData>
  <pageMargins left="0.7" right="0.7" top="0.78740157499999996" bottom="0.78740157499999996" header="0.3" footer="0.3"/>
  <pageSetup paperSize="9" orientation="portrait" horizontalDpi="0" verticalDpi="0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DropDown!$B$4:$B$503</xm:f>
          </x14:formula1>
          <xm:sqref>G2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H968"/>
  <sheetViews>
    <sheetView showGridLines="0" zoomScale="80" zoomScaleNormal="80" workbookViewId="0">
      <selection activeCell="C3" sqref="C3"/>
    </sheetView>
  </sheetViews>
  <sheetFormatPr defaultColWidth="11.5703125" defaultRowHeight="15"/>
  <cols>
    <col min="1" max="1" width="5.7109375" customWidth="1"/>
    <col min="2" max="2" width="17.7109375" customWidth="1"/>
    <col min="3" max="3" width="23.7109375" customWidth="1"/>
    <col min="4" max="4" width="23.28515625" customWidth="1"/>
    <col min="5" max="5" width="19" customWidth="1"/>
    <col min="6" max="6" width="17.7109375" customWidth="1"/>
    <col min="7" max="7" width="12.28515625" customWidth="1"/>
  </cols>
  <sheetData>
    <row r="1" spans="1:8" ht="40.9" customHeight="1">
      <c r="C1" s="4" t="str">
        <f>'RFQ-Input'!G2</f>
        <v>RFQ003</v>
      </c>
    </row>
    <row r="2" spans="1:8" s="1" customFormat="1" ht="30">
      <c r="A2" s="4" t="s">
        <v>1052</v>
      </c>
      <c r="B2" s="4" t="s">
        <v>4</v>
      </c>
      <c r="C2" s="4" t="s">
        <v>1053</v>
      </c>
      <c r="D2" s="4" t="s">
        <v>1054</v>
      </c>
      <c r="E2" s="2" t="s">
        <v>51</v>
      </c>
      <c r="F2" s="4" t="s">
        <v>7</v>
      </c>
      <c r="G2" s="4" t="s">
        <v>8</v>
      </c>
      <c r="H2" s="4" t="s">
        <v>1055</v>
      </c>
    </row>
    <row r="3" spans="1:8">
      <c r="A3" s="1">
        <v>1</v>
      </c>
      <c r="B3" s="9"/>
      <c r="C3" s="42" t="str">
        <f>INDEX('RFQ-Input'!C4:F16,MATCH($C$1,'RFQ-Input'!$C$4:$C$16,0),4)</f>
        <v>333-1</v>
      </c>
      <c r="D3" s="9"/>
      <c r="E3" s="9"/>
      <c r="F3" s="9"/>
      <c r="G3" s="9"/>
      <c r="H3" s="9"/>
    </row>
    <row r="4" spans="1:8">
      <c r="A4" s="1">
        <v>2</v>
      </c>
      <c r="B4" s="9"/>
      <c r="C4" s="42" t="str">
        <f>INDEX('RFQ-Input'!C5:F17,MATCH($C$1,'RFQ-Input'!$C$4:$C$16,0),4)</f>
        <v>333-2</v>
      </c>
      <c r="D4" s="9"/>
      <c r="E4" s="9"/>
      <c r="F4" s="9"/>
      <c r="G4" s="9"/>
      <c r="H4" s="9"/>
    </row>
    <row r="5" spans="1:8">
      <c r="A5" s="1">
        <v>3</v>
      </c>
      <c r="B5" s="9"/>
      <c r="C5" s="42" t="str">
        <f>INDEX('RFQ-Input'!C6:F18,MATCH($C$1,'RFQ-Input'!$C$4:$C$16,0),4)</f>
        <v>555-1</v>
      </c>
      <c r="D5" s="9"/>
      <c r="E5" s="9"/>
      <c r="F5" s="9"/>
      <c r="G5" s="9"/>
      <c r="H5" s="9"/>
    </row>
    <row r="6" spans="1:8">
      <c r="A6" s="1">
        <v>4</v>
      </c>
      <c r="B6" s="9"/>
      <c r="C6" s="42" t="str">
        <f>INDEX('RFQ-Input'!C7:F19,MATCH($C$1,'RFQ-Input'!$C$4:$C$16,0),4)</f>
        <v>666-1</v>
      </c>
      <c r="D6" s="9"/>
      <c r="E6" s="9"/>
      <c r="F6" s="9"/>
      <c r="G6" s="9"/>
      <c r="H6" s="9"/>
    </row>
    <row r="7" spans="1:8">
      <c r="A7" s="1">
        <v>5</v>
      </c>
      <c r="B7" s="9"/>
      <c r="C7" s="42" t="str">
        <f>INDEX('RFQ-Input'!C8:F20,MATCH($C$1,'RFQ-Input'!$C$4:$C$16,0),4)</f>
        <v>777-1</v>
      </c>
      <c r="D7" s="9"/>
      <c r="E7" s="9"/>
      <c r="F7" s="9"/>
      <c r="G7" s="9"/>
      <c r="H7" s="9"/>
    </row>
    <row r="8" spans="1:8">
      <c r="A8" s="1">
        <v>6</v>
      </c>
      <c r="B8" s="9"/>
      <c r="C8" s="42" t="str">
        <f>INDEX('RFQ-Input'!C9:F21,MATCH($C$1,'RFQ-Input'!$C$4:$C$16,0),4)</f>
        <v>888-1</v>
      </c>
      <c r="D8" s="9"/>
      <c r="E8" s="9"/>
      <c r="F8" s="9"/>
      <c r="G8" s="9"/>
      <c r="H8" s="9"/>
    </row>
    <row r="9" spans="1:8">
      <c r="A9" s="1">
        <v>7</v>
      </c>
      <c r="B9" s="9"/>
      <c r="C9" s="42" t="str">
        <f>INDEX('RFQ-Input'!C10:F22,MATCH($C$1,'RFQ-Input'!$C$4:$C$16,0),4)</f>
        <v>888-2</v>
      </c>
      <c r="D9" s="9"/>
      <c r="E9" s="9"/>
      <c r="F9" s="9"/>
      <c r="G9" s="9"/>
      <c r="H9" s="9"/>
    </row>
    <row r="10" spans="1:8">
      <c r="A10" s="1">
        <v>8</v>
      </c>
      <c r="B10" s="9"/>
      <c r="C10" s="42" t="str">
        <f>INDEX('RFQ-Input'!C11:F23,MATCH($C$1,'RFQ-Input'!$C$4:$C$16,0),4)</f>
        <v>678-3</v>
      </c>
      <c r="D10" s="9"/>
      <c r="E10" s="9"/>
      <c r="F10" s="9"/>
      <c r="G10" s="9"/>
      <c r="H10" s="9"/>
    </row>
    <row r="11" spans="1:8">
      <c r="A11" s="1">
        <v>9</v>
      </c>
      <c r="B11" s="9"/>
      <c r="C11" s="42">
        <f>INDEX('RFQ-Input'!C12:F24,MATCH($C$1,'RFQ-Input'!$C$4:$C$16,0),4)</f>
        <v>0</v>
      </c>
      <c r="D11" s="9"/>
      <c r="E11" s="9"/>
      <c r="F11" s="9"/>
      <c r="G11" s="9"/>
      <c r="H11" s="9"/>
    </row>
    <row r="12" spans="1:8">
      <c r="A12" s="1">
        <v>10</v>
      </c>
      <c r="B12" s="9"/>
      <c r="C12" s="42">
        <f>INDEX('RFQ-Input'!C13:F25,MATCH($C$1,'RFQ-Input'!$C$4:$C$16,0),4)</f>
        <v>0</v>
      </c>
      <c r="D12" s="9"/>
      <c r="E12" s="9"/>
      <c r="F12" s="9"/>
      <c r="G12" s="9"/>
      <c r="H12" s="9"/>
    </row>
    <row r="13" spans="1:8">
      <c r="A13" s="1">
        <v>11</v>
      </c>
      <c r="B13" s="9"/>
      <c r="C13" s="42">
        <f>INDEX('RFQ-Input'!C14:F26,MATCH($C$1,'RFQ-Input'!$C$4:$C$16,0),4)</f>
        <v>0</v>
      </c>
      <c r="D13" s="9"/>
      <c r="E13" s="9"/>
      <c r="F13" s="9"/>
      <c r="G13" s="9"/>
      <c r="H13" s="9"/>
    </row>
    <row r="14" spans="1:8">
      <c r="A14" s="1">
        <v>12</v>
      </c>
      <c r="B14" s="9"/>
      <c r="C14" s="42">
        <f>INDEX('RFQ-Input'!C15:F27,MATCH($C$1,'RFQ-Input'!$C$4:$C$16,0),4)</f>
        <v>0</v>
      </c>
      <c r="D14" s="9"/>
      <c r="E14" s="9"/>
      <c r="F14" s="9"/>
      <c r="G14" s="9"/>
      <c r="H14" s="9"/>
    </row>
    <row r="15" spans="1:8">
      <c r="A15" s="1">
        <v>45</v>
      </c>
    </row>
    <row r="16" spans="1:8">
      <c r="A16" s="1">
        <v>46</v>
      </c>
    </row>
    <row r="17" spans="1:1">
      <c r="A17" s="1">
        <v>47</v>
      </c>
    </row>
    <row r="18" spans="1:1">
      <c r="A18" s="1">
        <v>48</v>
      </c>
    </row>
    <row r="19" spans="1:1">
      <c r="A19" s="1">
        <v>49</v>
      </c>
    </row>
    <row r="20" spans="1:1">
      <c r="A20" s="1">
        <v>50</v>
      </c>
    </row>
    <row r="21" spans="1:1">
      <c r="A21" s="1">
        <v>51</v>
      </c>
    </row>
    <row r="22" spans="1:1">
      <c r="A22" s="1">
        <v>52</v>
      </c>
    </row>
    <row r="23" spans="1:1">
      <c r="A23" s="1">
        <v>53</v>
      </c>
    </row>
    <row r="24" spans="1:1">
      <c r="A24" s="1">
        <v>54</v>
      </c>
    </row>
    <row r="25" spans="1:1">
      <c r="A25" s="1">
        <v>55</v>
      </c>
    </row>
    <row r="26" spans="1:1">
      <c r="A26" s="1">
        <v>56</v>
      </c>
    </row>
    <row r="27" spans="1:1">
      <c r="A27" s="1">
        <v>57</v>
      </c>
    </row>
    <row r="28" spans="1:1">
      <c r="A28" s="1">
        <v>58</v>
      </c>
    </row>
    <row r="29" spans="1:1">
      <c r="A29" s="1">
        <v>59</v>
      </c>
    </row>
    <row r="30" spans="1:1">
      <c r="A30" s="1">
        <v>60</v>
      </c>
    </row>
    <row r="31" spans="1:1">
      <c r="A31" s="1">
        <v>61</v>
      </c>
    </row>
    <row r="32" spans="1:1">
      <c r="A32" s="1">
        <v>62</v>
      </c>
    </row>
    <row r="33" spans="1:1">
      <c r="A33" s="1">
        <v>63</v>
      </c>
    </row>
    <row r="34" spans="1:1">
      <c r="A34" s="1">
        <v>64</v>
      </c>
    </row>
    <row r="35" spans="1:1">
      <c r="A35" s="1">
        <v>65</v>
      </c>
    </row>
    <row r="36" spans="1:1">
      <c r="A36" s="1">
        <v>66</v>
      </c>
    </row>
    <row r="37" spans="1:1">
      <c r="A37" s="1">
        <v>67</v>
      </c>
    </row>
    <row r="38" spans="1:1">
      <c r="A38" s="1">
        <v>68</v>
      </c>
    </row>
    <row r="39" spans="1:1">
      <c r="A39" s="1">
        <v>69</v>
      </c>
    </row>
    <row r="40" spans="1:1">
      <c r="A40" s="1">
        <v>70</v>
      </c>
    </row>
    <row r="41" spans="1:1">
      <c r="A41" s="1">
        <v>71</v>
      </c>
    </row>
    <row r="42" spans="1:1">
      <c r="A42" s="1">
        <v>72</v>
      </c>
    </row>
    <row r="43" spans="1:1">
      <c r="A43" s="1">
        <v>73</v>
      </c>
    </row>
    <row r="44" spans="1:1">
      <c r="A44" s="1">
        <v>74</v>
      </c>
    </row>
    <row r="45" spans="1:1">
      <c r="A45" s="1">
        <v>75</v>
      </c>
    </row>
    <row r="46" spans="1:1">
      <c r="A46" s="1">
        <v>76</v>
      </c>
    </row>
    <row r="47" spans="1:1">
      <c r="A47" s="1">
        <v>77</v>
      </c>
    </row>
    <row r="48" spans="1:1">
      <c r="A48" s="1">
        <v>78</v>
      </c>
    </row>
    <row r="49" spans="1:1">
      <c r="A49" s="1">
        <v>79</v>
      </c>
    </row>
    <row r="50" spans="1:1">
      <c r="A50" s="1">
        <v>80</v>
      </c>
    </row>
    <row r="51" spans="1:1">
      <c r="A51" s="1">
        <v>81</v>
      </c>
    </row>
    <row r="52" spans="1:1">
      <c r="A52" s="1">
        <v>82</v>
      </c>
    </row>
    <row r="53" spans="1:1">
      <c r="A53" s="1">
        <v>83</v>
      </c>
    </row>
    <row r="54" spans="1:1">
      <c r="A54" s="1">
        <v>84</v>
      </c>
    </row>
    <row r="55" spans="1:1">
      <c r="A55" s="1">
        <v>85</v>
      </c>
    </row>
    <row r="56" spans="1:1">
      <c r="A56" s="1">
        <v>86</v>
      </c>
    </row>
    <row r="57" spans="1:1">
      <c r="A57" s="1">
        <v>87</v>
      </c>
    </row>
    <row r="58" spans="1:1">
      <c r="A58" s="1">
        <v>88</v>
      </c>
    </row>
    <row r="59" spans="1:1">
      <c r="A59" s="1">
        <v>89</v>
      </c>
    </row>
    <row r="60" spans="1:1">
      <c r="A60" s="1">
        <v>90</v>
      </c>
    </row>
    <row r="61" spans="1:1">
      <c r="A61" s="1">
        <v>91</v>
      </c>
    </row>
    <row r="62" spans="1:1">
      <c r="A62" s="1">
        <v>92</v>
      </c>
    </row>
    <row r="63" spans="1:1">
      <c r="A63" s="1">
        <v>93</v>
      </c>
    </row>
    <row r="64" spans="1:1">
      <c r="A64" s="1">
        <v>94</v>
      </c>
    </row>
    <row r="65" spans="1:1">
      <c r="A65" s="1">
        <v>95</v>
      </c>
    </row>
    <row r="66" spans="1:1">
      <c r="A66" s="1">
        <v>96</v>
      </c>
    </row>
    <row r="67" spans="1:1">
      <c r="A67" s="1">
        <v>97</v>
      </c>
    </row>
    <row r="68" spans="1:1">
      <c r="A68" s="1">
        <v>98</v>
      </c>
    </row>
    <row r="69" spans="1:1">
      <c r="A69" s="1">
        <v>99</v>
      </c>
    </row>
    <row r="70" spans="1:1">
      <c r="A70" s="1">
        <v>100</v>
      </c>
    </row>
    <row r="71" spans="1:1">
      <c r="A71" s="1">
        <v>101</v>
      </c>
    </row>
    <row r="72" spans="1:1">
      <c r="A72" s="1">
        <v>102</v>
      </c>
    </row>
    <row r="73" spans="1:1">
      <c r="A73" s="1">
        <v>103</v>
      </c>
    </row>
    <row r="74" spans="1:1">
      <c r="A74" s="1">
        <v>104</v>
      </c>
    </row>
    <row r="75" spans="1:1">
      <c r="A75" s="1">
        <v>105</v>
      </c>
    </row>
    <row r="76" spans="1:1">
      <c r="A76" s="1">
        <v>106</v>
      </c>
    </row>
    <row r="77" spans="1:1">
      <c r="A77" s="1">
        <v>107</v>
      </c>
    </row>
    <row r="78" spans="1:1">
      <c r="A78" s="1">
        <v>108</v>
      </c>
    </row>
    <row r="79" spans="1:1">
      <c r="A79" s="1">
        <v>109</v>
      </c>
    </row>
    <row r="80" spans="1:1">
      <c r="A80" s="1">
        <v>110</v>
      </c>
    </row>
    <row r="81" spans="1:1">
      <c r="A81" s="1">
        <v>111</v>
      </c>
    </row>
    <row r="82" spans="1:1">
      <c r="A82" s="1">
        <v>112</v>
      </c>
    </row>
    <row r="83" spans="1:1">
      <c r="A83" s="1">
        <v>113</v>
      </c>
    </row>
    <row r="84" spans="1:1">
      <c r="A84" s="1">
        <v>114</v>
      </c>
    </row>
    <row r="85" spans="1:1">
      <c r="A85" s="1">
        <v>115</v>
      </c>
    </row>
    <row r="86" spans="1:1">
      <c r="A86" s="1">
        <v>116</v>
      </c>
    </row>
    <row r="87" spans="1:1">
      <c r="A87" s="1">
        <v>117</v>
      </c>
    </row>
    <row r="88" spans="1:1">
      <c r="A88" s="1">
        <v>118</v>
      </c>
    </row>
    <row r="89" spans="1:1">
      <c r="A89" s="1">
        <v>119</v>
      </c>
    </row>
    <row r="90" spans="1:1">
      <c r="A90" s="1">
        <v>120</v>
      </c>
    </row>
    <row r="91" spans="1:1">
      <c r="A91" s="1">
        <v>121</v>
      </c>
    </row>
    <row r="92" spans="1:1">
      <c r="A92" s="1">
        <v>122</v>
      </c>
    </row>
    <row r="93" spans="1:1">
      <c r="A93" s="1">
        <v>123</v>
      </c>
    </row>
    <row r="94" spans="1:1">
      <c r="A94" s="1">
        <v>124</v>
      </c>
    </row>
    <row r="95" spans="1:1">
      <c r="A95" s="1">
        <v>125</v>
      </c>
    </row>
    <row r="96" spans="1:1">
      <c r="A96" s="1">
        <v>126</v>
      </c>
    </row>
    <row r="97" spans="1:1">
      <c r="A97" s="1">
        <v>127</v>
      </c>
    </row>
    <row r="98" spans="1:1">
      <c r="A98" s="1">
        <v>128</v>
      </c>
    </row>
    <row r="99" spans="1:1">
      <c r="A99" s="1">
        <v>129</v>
      </c>
    </row>
    <row r="100" spans="1:1">
      <c r="A100" s="1">
        <v>130</v>
      </c>
    </row>
    <row r="101" spans="1:1">
      <c r="A101" s="1">
        <v>131</v>
      </c>
    </row>
    <row r="102" spans="1:1">
      <c r="A102" s="1">
        <v>132</v>
      </c>
    </row>
    <row r="103" spans="1:1">
      <c r="A103" s="1">
        <v>133</v>
      </c>
    </row>
    <row r="104" spans="1:1">
      <c r="A104" s="1">
        <v>134</v>
      </c>
    </row>
    <row r="105" spans="1:1">
      <c r="A105" s="1">
        <v>135</v>
      </c>
    </row>
    <row r="106" spans="1:1">
      <c r="A106" s="1">
        <v>136</v>
      </c>
    </row>
    <row r="107" spans="1:1">
      <c r="A107" s="1">
        <v>137</v>
      </c>
    </row>
    <row r="108" spans="1:1">
      <c r="A108" s="1">
        <v>138</v>
      </c>
    </row>
    <row r="109" spans="1:1">
      <c r="A109" s="1">
        <v>139</v>
      </c>
    </row>
    <row r="110" spans="1:1">
      <c r="A110" s="1">
        <v>140</v>
      </c>
    </row>
    <row r="111" spans="1:1">
      <c r="A111" s="1">
        <v>141</v>
      </c>
    </row>
    <row r="112" spans="1:1">
      <c r="A112" s="1">
        <v>142</v>
      </c>
    </row>
    <row r="113" spans="1:1">
      <c r="A113" s="1">
        <v>143</v>
      </c>
    </row>
    <row r="114" spans="1:1">
      <c r="A114" s="1">
        <v>144</v>
      </c>
    </row>
    <row r="115" spans="1:1">
      <c r="A115" s="1">
        <v>145</v>
      </c>
    </row>
    <row r="116" spans="1:1">
      <c r="A116" s="1">
        <v>146</v>
      </c>
    </row>
    <row r="117" spans="1:1">
      <c r="A117" s="1">
        <v>147</v>
      </c>
    </row>
    <row r="118" spans="1:1">
      <c r="A118" s="1">
        <v>148</v>
      </c>
    </row>
    <row r="119" spans="1:1">
      <c r="A119" s="1">
        <v>149</v>
      </c>
    </row>
    <row r="120" spans="1:1">
      <c r="A120" s="1">
        <v>150</v>
      </c>
    </row>
    <row r="121" spans="1:1">
      <c r="A121" s="1">
        <v>151</v>
      </c>
    </row>
    <row r="122" spans="1:1">
      <c r="A122" s="1">
        <v>152</v>
      </c>
    </row>
    <row r="123" spans="1:1">
      <c r="A123" s="1">
        <v>153</v>
      </c>
    </row>
    <row r="124" spans="1:1">
      <c r="A124" s="1">
        <v>154</v>
      </c>
    </row>
    <row r="125" spans="1:1">
      <c r="A125" s="1">
        <v>155</v>
      </c>
    </row>
    <row r="126" spans="1:1">
      <c r="A126" s="1">
        <v>156</v>
      </c>
    </row>
    <row r="127" spans="1:1">
      <c r="A127" s="1">
        <v>157</v>
      </c>
    </row>
    <row r="128" spans="1:1">
      <c r="A128" s="1">
        <v>158</v>
      </c>
    </row>
    <row r="129" spans="1:1">
      <c r="A129" s="1">
        <v>159</v>
      </c>
    </row>
    <row r="130" spans="1:1">
      <c r="A130" s="1">
        <v>160</v>
      </c>
    </row>
    <row r="131" spans="1:1">
      <c r="A131" s="1">
        <v>161</v>
      </c>
    </row>
    <row r="132" spans="1:1">
      <c r="A132" s="1">
        <v>162</v>
      </c>
    </row>
    <row r="133" spans="1:1">
      <c r="A133" s="1">
        <v>163</v>
      </c>
    </row>
    <row r="134" spans="1:1">
      <c r="A134" s="1">
        <v>164</v>
      </c>
    </row>
    <row r="135" spans="1:1">
      <c r="A135" s="1">
        <v>165</v>
      </c>
    </row>
    <row r="136" spans="1:1">
      <c r="A136" s="1">
        <v>166</v>
      </c>
    </row>
    <row r="137" spans="1:1">
      <c r="A137" s="1">
        <v>167</v>
      </c>
    </row>
    <row r="138" spans="1:1">
      <c r="A138" s="1">
        <v>168</v>
      </c>
    </row>
    <row r="139" spans="1:1">
      <c r="A139" s="1">
        <v>169</v>
      </c>
    </row>
    <row r="140" spans="1:1">
      <c r="A140" s="1">
        <v>170</v>
      </c>
    </row>
    <row r="141" spans="1:1">
      <c r="A141" s="1">
        <v>171</v>
      </c>
    </row>
    <row r="142" spans="1:1">
      <c r="A142" s="1">
        <v>172</v>
      </c>
    </row>
    <row r="143" spans="1:1">
      <c r="A143" s="1">
        <v>173</v>
      </c>
    </row>
    <row r="144" spans="1:1">
      <c r="A144" s="1">
        <v>174</v>
      </c>
    </row>
    <row r="145" spans="1:1">
      <c r="A145" s="1">
        <v>175</v>
      </c>
    </row>
    <row r="146" spans="1:1">
      <c r="A146" s="1">
        <v>176</v>
      </c>
    </row>
    <row r="147" spans="1:1">
      <c r="A147" s="1">
        <v>177</v>
      </c>
    </row>
    <row r="148" spans="1:1">
      <c r="A148" s="1">
        <v>178</v>
      </c>
    </row>
    <row r="149" spans="1:1">
      <c r="A149" s="1">
        <v>179</v>
      </c>
    </row>
    <row r="150" spans="1:1">
      <c r="A150" s="1">
        <v>180</v>
      </c>
    </row>
    <row r="151" spans="1:1">
      <c r="A151" s="1">
        <v>181</v>
      </c>
    </row>
    <row r="152" spans="1:1">
      <c r="A152" s="1">
        <v>182</v>
      </c>
    </row>
    <row r="153" spans="1:1">
      <c r="A153" s="1">
        <v>183</v>
      </c>
    </row>
    <row r="154" spans="1:1">
      <c r="A154" s="1">
        <v>184</v>
      </c>
    </row>
    <row r="155" spans="1:1">
      <c r="A155" s="1">
        <v>185</v>
      </c>
    </row>
    <row r="156" spans="1:1">
      <c r="A156" s="1">
        <v>186</v>
      </c>
    </row>
    <row r="157" spans="1:1">
      <c r="A157" s="1">
        <v>187</v>
      </c>
    </row>
    <row r="158" spans="1:1">
      <c r="A158" s="1">
        <v>188</v>
      </c>
    </row>
    <row r="159" spans="1:1">
      <c r="A159" s="1">
        <v>189</v>
      </c>
    </row>
    <row r="160" spans="1:1">
      <c r="A160" s="1">
        <v>190</v>
      </c>
    </row>
    <row r="161" spans="1:1">
      <c r="A161" s="1">
        <v>191</v>
      </c>
    </row>
    <row r="162" spans="1:1">
      <c r="A162" s="1">
        <v>192</v>
      </c>
    </row>
    <row r="163" spans="1:1">
      <c r="A163" s="1">
        <v>193</v>
      </c>
    </row>
    <row r="164" spans="1:1">
      <c r="A164" s="1">
        <v>194</v>
      </c>
    </row>
    <row r="165" spans="1:1">
      <c r="A165" s="1">
        <v>195</v>
      </c>
    </row>
    <row r="166" spans="1:1">
      <c r="A166" s="1">
        <v>196</v>
      </c>
    </row>
    <row r="167" spans="1:1">
      <c r="A167" s="1">
        <v>197</v>
      </c>
    </row>
    <row r="168" spans="1:1">
      <c r="A168" s="1">
        <v>198</v>
      </c>
    </row>
    <row r="169" spans="1:1">
      <c r="A169" s="1">
        <v>199</v>
      </c>
    </row>
    <row r="170" spans="1:1">
      <c r="A170" s="1">
        <v>200</v>
      </c>
    </row>
    <row r="171" spans="1:1">
      <c r="A171" s="1">
        <v>201</v>
      </c>
    </row>
    <row r="172" spans="1:1">
      <c r="A172" s="1">
        <v>202</v>
      </c>
    </row>
    <row r="173" spans="1:1">
      <c r="A173" s="1">
        <v>203</v>
      </c>
    </row>
    <row r="174" spans="1:1">
      <c r="A174" s="1">
        <v>204</v>
      </c>
    </row>
    <row r="175" spans="1:1">
      <c r="A175" s="1">
        <v>205</v>
      </c>
    </row>
    <row r="176" spans="1:1">
      <c r="A176" s="1">
        <v>206</v>
      </c>
    </row>
    <row r="177" spans="1:1">
      <c r="A177" s="1">
        <v>207</v>
      </c>
    </row>
    <row r="178" spans="1:1">
      <c r="A178" s="1">
        <v>208</v>
      </c>
    </row>
    <row r="179" spans="1:1">
      <c r="A179" s="1">
        <v>209</v>
      </c>
    </row>
    <row r="180" spans="1:1">
      <c r="A180" s="1">
        <v>210</v>
      </c>
    </row>
    <row r="181" spans="1:1">
      <c r="A181" s="1">
        <v>211</v>
      </c>
    </row>
    <row r="182" spans="1:1">
      <c r="A182" s="1">
        <v>212</v>
      </c>
    </row>
    <row r="183" spans="1:1">
      <c r="A183" s="1">
        <v>213</v>
      </c>
    </row>
    <row r="184" spans="1:1">
      <c r="A184" s="1">
        <v>214</v>
      </c>
    </row>
    <row r="185" spans="1:1">
      <c r="A185" s="1">
        <v>215</v>
      </c>
    </row>
    <row r="186" spans="1:1">
      <c r="A186" s="1">
        <v>216</v>
      </c>
    </row>
    <row r="187" spans="1:1">
      <c r="A187" s="1">
        <v>217</v>
      </c>
    </row>
    <row r="188" spans="1:1">
      <c r="A188" s="1">
        <v>218</v>
      </c>
    </row>
    <row r="189" spans="1:1">
      <c r="A189" s="1">
        <v>219</v>
      </c>
    </row>
    <row r="190" spans="1:1">
      <c r="A190" s="1">
        <v>220</v>
      </c>
    </row>
    <row r="191" spans="1:1">
      <c r="A191" s="1">
        <v>221</v>
      </c>
    </row>
    <row r="192" spans="1:1">
      <c r="A192" s="1">
        <v>222</v>
      </c>
    </row>
    <row r="193" spans="1:1">
      <c r="A193" s="1">
        <v>223</v>
      </c>
    </row>
    <row r="194" spans="1:1">
      <c r="A194" s="1">
        <v>224</v>
      </c>
    </row>
    <row r="195" spans="1:1">
      <c r="A195" s="1">
        <v>225</v>
      </c>
    </row>
    <row r="196" spans="1:1">
      <c r="A196" s="1">
        <v>226</v>
      </c>
    </row>
    <row r="197" spans="1:1">
      <c r="A197" s="1">
        <v>227</v>
      </c>
    </row>
    <row r="198" spans="1:1">
      <c r="A198" s="1">
        <v>228</v>
      </c>
    </row>
    <row r="199" spans="1:1">
      <c r="A199" s="1">
        <v>229</v>
      </c>
    </row>
    <row r="200" spans="1:1">
      <c r="A200" s="1">
        <v>230</v>
      </c>
    </row>
    <row r="201" spans="1:1">
      <c r="A201" s="1">
        <v>231</v>
      </c>
    </row>
    <row r="202" spans="1:1">
      <c r="A202" s="1">
        <v>232</v>
      </c>
    </row>
    <row r="203" spans="1:1">
      <c r="A203" s="1">
        <v>233</v>
      </c>
    </row>
    <row r="204" spans="1:1">
      <c r="A204" s="1">
        <v>234</v>
      </c>
    </row>
    <row r="205" spans="1:1">
      <c r="A205" s="1">
        <v>235</v>
      </c>
    </row>
    <row r="206" spans="1:1">
      <c r="A206" s="1">
        <v>236</v>
      </c>
    </row>
    <row r="207" spans="1:1">
      <c r="A207" s="1">
        <v>237</v>
      </c>
    </row>
    <row r="208" spans="1:1">
      <c r="A208" s="1">
        <v>238</v>
      </c>
    </row>
    <row r="209" spans="1:1">
      <c r="A209" s="1">
        <v>239</v>
      </c>
    </row>
    <row r="210" spans="1:1">
      <c r="A210" s="1">
        <v>240</v>
      </c>
    </row>
    <row r="211" spans="1:1">
      <c r="A211" s="1">
        <v>241</v>
      </c>
    </row>
    <row r="212" spans="1:1">
      <c r="A212" s="1">
        <v>242</v>
      </c>
    </row>
    <row r="213" spans="1:1">
      <c r="A213" s="1">
        <v>243</v>
      </c>
    </row>
    <row r="214" spans="1:1">
      <c r="A214" s="1">
        <v>244</v>
      </c>
    </row>
    <row r="215" spans="1:1">
      <c r="A215" s="1">
        <v>245</v>
      </c>
    </row>
    <row r="216" spans="1:1">
      <c r="A216" s="1">
        <v>246</v>
      </c>
    </row>
    <row r="217" spans="1:1">
      <c r="A217" s="1">
        <v>247</v>
      </c>
    </row>
    <row r="218" spans="1:1">
      <c r="A218" s="1">
        <v>248</v>
      </c>
    </row>
    <row r="219" spans="1:1">
      <c r="A219" s="1">
        <v>249</v>
      </c>
    </row>
    <row r="220" spans="1:1">
      <c r="A220" s="1">
        <v>250</v>
      </c>
    </row>
    <row r="221" spans="1:1">
      <c r="A221" s="1">
        <v>251</v>
      </c>
    </row>
    <row r="222" spans="1:1">
      <c r="A222" s="1">
        <v>252</v>
      </c>
    </row>
    <row r="223" spans="1:1">
      <c r="A223" s="1">
        <v>253</v>
      </c>
    </row>
    <row r="224" spans="1:1">
      <c r="A224" s="1">
        <v>254</v>
      </c>
    </row>
    <row r="225" spans="1:1">
      <c r="A225" s="1">
        <v>255</v>
      </c>
    </row>
    <row r="226" spans="1:1">
      <c r="A226" s="1">
        <v>256</v>
      </c>
    </row>
    <row r="227" spans="1:1">
      <c r="A227" s="1">
        <v>257</v>
      </c>
    </row>
    <row r="228" spans="1:1">
      <c r="A228" s="1">
        <v>258</v>
      </c>
    </row>
    <row r="229" spans="1:1">
      <c r="A229" s="1">
        <v>259</v>
      </c>
    </row>
    <row r="230" spans="1:1">
      <c r="A230" s="1">
        <v>260</v>
      </c>
    </row>
    <row r="231" spans="1:1">
      <c r="A231" s="1">
        <v>261</v>
      </c>
    </row>
    <row r="232" spans="1:1">
      <c r="A232" s="1">
        <v>262</v>
      </c>
    </row>
    <row r="233" spans="1:1">
      <c r="A233" s="1">
        <v>263</v>
      </c>
    </row>
    <row r="234" spans="1:1">
      <c r="A234" s="1">
        <v>264</v>
      </c>
    </row>
    <row r="235" spans="1:1">
      <c r="A235" s="1">
        <v>265</v>
      </c>
    </row>
    <row r="236" spans="1:1">
      <c r="A236" s="1">
        <v>266</v>
      </c>
    </row>
    <row r="237" spans="1:1">
      <c r="A237" s="1">
        <v>267</v>
      </c>
    </row>
    <row r="238" spans="1:1">
      <c r="A238" s="1">
        <v>268</v>
      </c>
    </row>
    <row r="239" spans="1:1">
      <c r="A239" s="1">
        <v>269</v>
      </c>
    </row>
    <row r="240" spans="1:1">
      <c r="A240" s="1">
        <v>270</v>
      </c>
    </row>
    <row r="241" spans="1:1">
      <c r="A241" s="1">
        <v>271</v>
      </c>
    </row>
    <row r="242" spans="1:1">
      <c r="A242" s="1">
        <v>272</v>
      </c>
    </row>
    <row r="243" spans="1:1">
      <c r="A243" s="1">
        <v>273</v>
      </c>
    </row>
    <row r="244" spans="1:1">
      <c r="A244" s="1">
        <v>274</v>
      </c>
    </row>
    <row r="245" spans="1:1">
      <c r="A245" s="1">
        <v>275</v>
      </c>
    </row>
    <row r="246" spans="1:1">
      <c r="A246" s="1">
        <v>276</v>
      </c>
    </row>
    <row r="247" spans="1:1">
      <c r="A247" s="1">
        <v>277</v>
      </c>
    </row>
    <row r="248" spans="1:1">
      <c r="A248" s="1">
        <v>278</v>
      </c>
    </row>
    <row r="249" spans="1:1">
      <c r="A249" s="1">
        <v>279</v>
      </c>
    </row>
    <row r="250" spans="1:1">
      <c r="A250" s="1">
        <v>280</v>
      </c>
    </row>
    <row r="251" spans="1:1">
      <c r="A251" s="1">
        <v>281</v>
      </c>
    </row>
    <row r="252" spans="1:1">
      <c r="A252" s="1">
        <v>282</v>
      </c>
    </row>
    <row r="253" spans="1:1">
      <c r="A253" s="1">
        <v>283</v>
      </c>
    </row>
    <row r="254" spans="1:1">
      <c r="A254" s="1">
        <v>284</v>
      </c>
    </row>
    <row r="255" spans="1:1">
      <c r="A255" s="1">
        <v>285</v>
      </c>
    </row>
    <row r="256" spans="1:1">
      <c r="A256" s="1">
        <v>286</v>
      </c>
    </row>
    <row r="257" spans="1:1">
      <c r="A257" s="1">
        <v>287</v>
      </c>
    </row>
    <row r="258" spans="1:1">
      <c r="A258" s="1">
        <v>288</v>
      </c>
    </row>
    <row r="259" spans="1:1">
      <c r="A259" s="1">
        <v>289</v>
      </c>
    </row>
    <row r="260" spans="1:1">
      <c r="A260" s="1">
        <v>290</v>
      </c>
    </row>
    <row r="261" spans="1:1">
      <c r="A261" s="1">
        <v>291</v>
      </c>
    </row>
    <row r="262" spans="1:1">
      <c r="A262" s="1">
        <v>292</v>
      </c>
    </row>
    <row r="263" spans="1:1">
      <c r="A263" s="1">
        <v>293</v>
      </c>
    </row>
    <row r="264" spans="1:1">
      <c r="A264" s="1">
        <v>294</v>
      </c>
    </row>
    <row r="265" spans="1:1">
      <c r="A265" s="1">
        <v>295</v>
      </c>
    </row>
    <row r="266" spans="1:1">
      <c r="A266" s="1">
        <v>296</v>
      </c>
    </row>
    <row r="267" spans="1:1">
      <c r="A267" s="1">
        <v>297</v>
      </c>
    </row>
    <row r="268" spans="1:1">
      <c r="A268" s="1">
        <v>298</v>
      </c>
    </row>
    <row r="269" spans="1:1">
      <c r="A269" s="1">
        <v>299</v>
      </c>
    </row>
    <row r="270" spans="1:1">
      <c r="A270" s="1">
        <v>300</v>
      </c>
    </row>
    <row r="271" spans="1:1">
      <c r="A271" s="1">
        <v>301</v>
      </c>
    </row>
    <row r="272" spans="1:1">
      <c r="A272" s="1">
        <v>302</v>
      </c>
    </row>
    <row r="273" spans="1:1">
      <c r="A273" s="1">
        <v>303</v>
      </c>
    </row>
    <row r="274" spans="1:1">
      <c r="A274" s="1">
        <v>304</v>
      </c>
    </row>
    <row r="275" spans="1:1">
      <c r="A275" s="1">
        <v>305</v>
      </c>
    </row>
    <row r="276" spans="1:1">
      <c r="A276" s="1">
        <v>306</v>
      </c>
    </row>
    <row r="277" spans="1:1">
      <c r="A277" s="1">
        <v>307</v>
      </c>
    </row>
    <row r="278" spans="1:1">
      <c r="A278" s="1">
        <v>308</v>
      </c>
    </row>
    <row r="279" spans="1:1">
      <c r="A279" s="1">
        <v>309</v>
      </c>
    </row>
    <row r="280" spans="1:1">
      <c r="A280" s="1">
        <v>310</v>
      </c>
    </row>
    <row r="281" spans="1:1">
      <c r="A281" s="1">
        <v>311</v>
      </c>
    </row>
    <row r="282" spans="1:1">
      <c r="A282" s="1">
        <v>312</v>
      </c>
    </row>
    <row r="283" spans="1:1">
      <c r="A283" s="1">
        <v>313</v>
      </c>
    </row>
    <row r="284" spans="1:1">
      <c r="A284" s="1">
        <v>314</v>
      </c>
    </row>
    <row r="285" spans="1:1">
      <c r="A285" s="1">
        <v>315</v>
      </c>
    </row>
    <row r="286" spans="1:1">
      <c r="A286" s="1">
        <v>316</v>
      </c>
    </row>
    <row r="287" spans="1:1">
      <c r="A287" s="1">
        <v>317</v>
      </c>
    </row>
    <row r="288" spans="1:1">
      <c r="A288" s="1">
        <v>318</v>
      </c>
    </row>
    <row r="289" spans="1:1">
      <c r="A289" s="1">
        <v>319</v>
      </c>
    </row>
    <row r="290" spans="1:1">
      <c r="A290" s="1">
        <v>320</v>
      </c>
    </row>
    <row r="291" spans="1:1">
      <c r="A291" s="1">
        <v>321</v>
      </c>
    </row>
    <row r="292" spans="1:1">
      <c r="A292" s="1">
        <v>322</v>
      </c>
    </row>
    <row r="293" spans="1:1">
      <c r="A293" s="1">
        <v>323</v>
      </c>
    </row>
    <row r="294" spans="1:1">
      <c r="A294" s="1">
        <v>324</v>
      </c>
    </row>
    <row r="295" spans="1:1">
      <c r="A295" s="1">
        <v>325</v>
      </c>
    </row>
    <row r="296" spans="1:1">
      <c r="A296" s="1">
        <v>326</v>
      </c>
    </row>
    <row r="297" spans="1:1">
      <c r="A297" s="1">
        <v>327</v>
      </c>
    </row>
    <row r="298" spans="1:1">
      <c r="A298" s="1">
        <v>328</v>
      </c>
    </row>
    <row r="299" spans="1:1">
      <c r="A299" s="1">
        <v>329</v>
      </c>
    </row>
    <row r="300" spans="1:1">
      <c r="A300" s="1">
        <v>330</v>
      </c>
    </row>
    <row r="301" spans="1:1">
      <c r="A301" s="1">
        <v>331</v>
      </c>
    </row>
    <row r="302" spans="1:1">
      <c r="A302" s="1">
        <v>332</v>
      </c>
    </row>
    <row r="303" spans="1:1">
      <c r="A303" s="1">
        <v>333</v>
      </c>
    </row>
    <row r="304" spans="1:1">
      <c r="A304" s="1">
        <v>334</v>
      </c>
    </row>
    <row r="305" spans="1:1">
      <c r="A305" s="1">
        <v>335</v>
      </c>
    </row>
    <row r="306" spans="1:1">
      <c r="A306" s="1">
        <v>336</v>
      </c>
    </row>
    <row r="307" spans="1:1">
      <c r="A307" s="1">
        <v>337</v>
      </c>
    </row>
    <row r="308" spans="1:1">
      <c r="A308" s="1">
        <v>338</v>
      </c>
    </row>
    <row r="309" spans="1:1">
      <c r="A309" s="1">
        <v>339</v>
      </c>
    </row>
    <row r="310" spans="1:1">
      <c r="A310" s="1">
        <v>340</v>
      </c>
    </row>
    <row r="311" spans="1:1">
      <c r="A311" s="1">
        <v>341</v>
      </c>
    </row>
    <row r="312" spans="1:1">
      <c r="A312" s="1">
        <v>342</v>
      </c>
    </row>
    <row r="313" spans="1:1">
      <c r="A313" s="1">
        <v>343</v>
      </c>
    </row>
    <row r="314" spans="1:1">
      <c r="A314" s="1">
        <v>344</v>
      </c>
    </row>
    <row r="315" spans="1:1">
      <c r="A315" s="1">
        <v>345</v>
      </c>
    </row>
    <row r="316" spans="1:1">
      <c r="A316" s="1">
        <v>346</v>
      </c>
    </row>
    <row r="317" spans="1:1">
      <c r="A317" s="1">
        <v>347</v>
      </c>
    </row>
    <row r="318" spans="1:1">
      <c r="A318" s="1">
        <v>348</v>
      </c>
    </row>
    <row r="319" spans="1:1">
      <c r="A319" s="1">
        <v>349</v>
      </c>
    </row>
    <row r="320" spans="1:1">
      <c r="A320" s="1">
        <v>350</v>
      </c>
    </row>
    <row r="321" spans="1:1">
      <c r="A321" s="1">
        <v>351</v>
      </c>
    </row>
    <row r="322" spans="1:1">
      <c r="A322" s="1">
        <v>352</v>
      </c>
    </row>
    <row r="323" spans="1:1">
      <c r="A323" s="1">
        <v>353</v>
      </c>
    </row>
    <row r="324" spans="1:1">
      <c r="A324" s="1">
        <v>354</v>
      </c>
    </row>
    <row r="325" spans="1:1">
      <c r="A325" s="1">
        <v>355</v>
      </c>
    </row>
    <row r="326" spans="1:1">
      <c r="A326" s="1">
        <v>356</v>
      </c>
    </row>
    <row r="327" spans="1:1">
      <c r="A327" s="1">
        <v>357</v>
      </c>
    </row>
    <row r="328" spans="1:1">
      <c r="A328" s="1">
        <v>358</v>
      </c>
    </row>
    <row r="329" spans="1:1">
      <c r="A329" s="1">
        <v>359</v>
      </c>
    </row>
    <row r="330" spans="1:1">
      <c r="A330" s="1">
        <v>360</v>
      </c>
    </row>
    <row r="331" spans="1:1">
      <c r="A331" s="1">
        <v>361</v>
      </c>
    </row>
    <row r="332" spans="1:1">
      <c r="A332" s="1">
        <v>362</v>
      </c>
    </row>
    <row r="333" spans="1:1">
      <c r="A333" s="1">
        <v>363</v>
      </c>
    </row>
    <row r="334" spans="1:1">
      <c r="A334" s="1">
        <v>364</v>
      </c>
    </row>
    <row r="335" spans="1:1">
      <c r="A335" s="1">
        <v>365</v>
      </c>
    </row>
    <row r="336" spans="1:1">
      <c r="A336" s="1">
        <v>366</v>
      </c>
    </row>
    <row r="337" spans="1:1">
      <c r="A337" s="1">
        <v>367</v>
      </c>
    </row>
    <row r="338" spans="1:1">
      <c r="A338" s="1">
        <v>368</v>
      </c>
    </row>
    <row r="339" spans="1:1">
      <c r="A339" s="1">
        <v>369</v>
      </c>
    </row>
    <row r="340" spans="1:1">
      <c r="A340" s="1">
        <v>370</v>
      </c>
    </row>
    <row r="341" spans="1:1">
      <c r="A341" s="1">
        <v>371</v>
      </c>
    </row>
    <row r="342" spans="1:1">
      <c r="A342" s="1">
        <v>372</v>
      </c>
    </row>
    <row r="343" spans="1:1">
      <c r="A343" s="1">
        <v>373</v>
      </c>
    </row>
    <row r="344" spans="1:1">
      <c r="A344" s="1">
        <v>374</v>
      </c>
    </row>
    <row r="345" spans="1:1">
      <c r="A345" s="1">
        <v>375</v>
      </c>
    </row>
    <row r="346" spans="1:1">
      <c r="A346" s="1">
        <v>376</v>
      </c>
    </row>
    <row r="347" spans="1:1">
      <c r="A347" s="1">
        <v>377</v>
      </c>
    </row>
    <row r="348" spans="1:1">
      <c r="A348" s="1">
        <v>378</v>
      </c>
    </row>
    <row r="349" spans="1:1">
      <c r="A349" s="1">
        <v>379</v>
      </c>
    </row>
    <row r="350" spans="1:1">
      <c r="A350" s="1">
        <v>380</v>
      </c>
    </row>
    <row r="351" spans="1:1">
      <c r="A351" s="1">
        <v>381</v>
      </c>
    </row>
    <row r="352" spans="1:1">
      <c r="A352" s="1">
        <v>382</v>
      </c>
    </row>
    <row r="353" spans="1:1">
      <c r="A353" s="1">
        <v>383</v>
      </c>
    </row>
    <row r="354" spans="1:1">
      <c r="A354" s="1">
        <v>384</v>
      </c>
    </row>
    <row r="355" spans="1:1">
      <c r="A355" s="1">
        <v>385</v>
      </c>
    </row>
    <row r="356" spans="1:1">
      <c r="A356" s="1">
        <v>386</v>
      </c>
    </row>
    <row r="357" spans="1:1">
      <c r="A357" s="1">
        <v>387</v>
      </c>
    </row>
    <row r="358" spans="1:1">
      <c r="A358" s="1">
        <v>388</v>
      </c>
    </row>
    <row r="359" spans="1:1">
      <c r="A359" s="1">
        <v>389</v>
      </c>
    </row>
    <row r="360" spans="1:1">
      <c r="A360" s="1">
        <v>390</v>
      </c>
    </row>
    <row r="361" spans="1:1">
      <c r="A361" s="1">
        <v>391</v>
      </c>
    </row>
    <row r="362" spans="1:1">
      <c r="A362" s="1">
        <v>392</v>
      </c>
    </row>
    <row r="363" spans="1:1">
      <c r="A363" s="1">
        <v>393</v>
      </c>
    </row>
    <row r="364" spans="1:1">
      <c r="A364" s="1">
        <v>394</v>
      </c>
    </row>
    <row r="365" spans="1:1">
      <c r="A365" s="1">
        <v>395</v>
      </c>
    </row>
    <row r="366" spans="1:1">
      <c r="A366" s="1">
        <v>396</v>
      </c>
    </row>
    <row r="367" spans="1:1">
      <c r="A367" s="1">
        <v>397</v>
      </c>
    </row>
    <row r="368" spans="1:1">
      <c r="A368" s="1">
        <v>398</v>
      </c>
    </row>
    <row r="369" spans="1:1">
      <c r="A369" s="1">
        <v>399</v>
      </c>
    </row>
    <row r="370" spans="1:1">
      <c r="A370" s="1">
        <v>400</v>
      </c>
    </row>
    <row r="371" spans="1:1">
      <c r="A371" s="1">
        <v>401</v>
      </c>
    </row>
    <row r="372" spans="1:1">
      <c r="A372" s="1">
        <v>402</v>
      </c>
    </row>
    <row r="373" spans="1:1">
      <c r="A373" s="1">
        <v>403</v>
      </c>
    </row>
    <row r="374" spans="1:1">
      <c r="A374" s="1">
        <v>404</v>
      </c>
    </row>
    <row r="375" spans="1:1">
      <c r="A375" s="1">
        <v>405</v>
      </c>
    </row>
    <row r="376" spans="1:1">
      <c r="A376" s="1">
        <v>406</v>
      </c>
    </row>
    <row r="377" spans="1:1">
      <c r="A377" s="1">
        <v>407</v>
      </c>
    </row>
    <row r="378" spans="1:1">
      <c r="A378" s="1">
        <v>408</v>
      </c>
    </row>
    <row r="379" spans="1:1">
      <c r="A379" s="1">
        <v>409</v>
      </c>
    </row>
    <row r="380" spans="1:1">
      <c r="A380" s="1">
        <v>410</v>
      </c>
    </row>
    <row r="381" spans="1:1">
      <c r="A381" s="1">
        <v>411</v>
      </c>
    </row>
    <row r="382" spans="1:1">
      <c r="A382" s="1">
        <v>412</v>
      </c>
    </row>
    <row r="383" spans="1:1">
      <c r="A383" s="1">
        <v>413</v>
      </c>
    </row>
    <row r="384" spans="1:1">
      <c r="A384" s="1">
        <v>414</v>
      </c>
    </row>
    <row r="385" spans="1:1">
      <c r="A385" s="1">
        <v>415</v>
      </c>
    </row>
    <row r="386" spans="1:1">
      <c r="A386" s="1">
        <v>416</v>
      </c>
    </row>
    <row r="387" spans="1:1">
      <c r="A387" s="1">
        <v>417</v>
      </c>
    </row>
    <row r="388" spans="1:1">
      <c r="A388" s="1">
        <v>418</v>
      </c>
    </row>
    <row r="389" spans="1:1">
      <c r="A389" s="1">
        <v>419</v>
      </c>
    </row>
    <row r="390" spans="1:1">
      <c r="A390" s="1">
        <v>420</v>
      </c>
    </row>
    <row r="391" spans="1:1">
      <c r="A391" s="1">
        <v>421</v>
      </c>
    </row>
    <row r="392" spans="1:1">
      <c r="A392" s="1">
        <v>422</v>
      </c>
    </row>
    <row r="393" spans="1:1">
      <c r="A393" s="1">
        <v>423</v>
      </c>
    </row>
    <row r="394" spans="1:1">
      <c r="A394" s="1">
        <v>424</v>
      </c>
    </row>
    <row r="395" spans="1:1">
      <c r="A395" s="1">
        <v>425</v>
      </c>
    </row>
    <row r="396" spans="1:1">
      <c r="A396" s="1">
        <v>426</v>
      </c>
    </row>
    <row r="397" spans="1:1">
      <c r="A397" s="1">
        <v>427</v>
      </c>
    </row>
    <row r="398" spans="1:1">
      <c r="A398" s="1">
        <v>428</v>
      </c>
    </row>
    <row r="399" spans="1:1">
      <c r="A399" s="1">
        <v>429</v>
      </c>
    </row>
    <row r="400" spans="1:1">
      <c r="A400" s="1">
        <v>430</v>
      </c>
    </row>
    <row r="401" spans="1:1">
      <c r="A401" s="1">
        <v>431</v>
      </c>
    </row>
    <row r="402" spans="1:1">
      <c r="A402" s="1">
        <v>432</v>
      </c>
    </row>
    <row r="403" spans="1:1">
      <c r="A403" s="1">
        <v>433</v>
      </c>
    </row>
    <row r="404" spans="1:1">
      <c r="A404" s="1">
        <v>434</v>
      </c>
    </row>
    <row r="405" spans="1:1">
      <c r="A405" s="1">
        <v>435</v>
      </c>
    </row>
    <row r="406" spans="1:1">
      <c r="A406" s="1">
        <v>436</v>
      </c>
    </row>
    <row r="407" spans="1:1">
      <c r="A407" s="1">
        <v>437</v>
      </c>
    </row>
    <row r="408" spans="1:1">
      <c r="A408" s="1">
        <v>438</v>
      </c>
    </row>
    <row r="409" spans="1:1">
      <c r="A409" s="1">
        <v>439</v>
      </c>
    </row>
    <row r="410" spans="1:1">
      <c r="A410" s="1">
        <v>440</v>
      </c>
    </row>
    <row r="411" spans="1:1">
      <c r="A411" s="1">
        <v>441</v>
      </c>
    </row>
    <row r="412" spans="1:1">
      <c r="A412" s="1">
        <v>442</v>
      </c>
    </row>
    <row r="413" spans="1:1">
      <c r="A413" s="1">
        <v>443</v>
      </c>
    </row>
    <row r="414" spans="1:1">
      <c r="A414" s="1">
        <v>444</v>
      </c>
    </row>
    <row r="415" spans="1:1">
      <c r="A415" s="1">
        <v>445</v>
      </c>
    </row>
    <row r="416" spans="1:1">
      <c r="A416" s="1">
        <v>446</v>
      </c>
    </row>
    <row r="417" spans="1:1">
      <c r="A417" s="1">
        <v>447</v>
      </c>
    </row>
    <row r="418" spans="1:1">
      <c r="A418" s="1">
        <v>448</v>
      </c>
    </row>
    <row r="419" spans="1:1">
      <c r="A419" s="1">
        <v>449</v>
      </c>
    </row>
    <row r="420" spans="1:1">
      <c r="A420" s="1">
        <v>450</v>
      </c>
    </row>
    <row r="421" spans="1:1">
      <c r="A421" s="1">
        <v>451</v>
      </c>
    </row>
    <row r="422" spans="1:1">
      <c r="A422" s="1">
        <v>452</v>
      </c>
    </row>
    <row r="423" spans="1:1">
      <c r="A423" s="1">
        <v>453</v>
      </c>
    </row>
    <row r="424" spans="1:1">
      <c r="A424" s="1">
        <v>454</v>
      </c>
    </row>
    <row r="425" spans="1:1">
      <c r="A425" s="1">
        <v>455</v>
      </c>
    </row>
    <row r="426" spans="1:1">
      <c r="A426" s="1">
        <v>456</v>
      </c>
    </row>
    <row r="427" spans="1:1">
      <c r="A427" s="1">
        <v>457</v>
      </c>
    </row>
    <row r="428" spans="1:1">
      <c r="A428" s="1">
        <v>458</v>
      </c>
    </row>
    <row r="429" spans="1:1">
      <c r="A429" s="1">
        <v>459</v>
      </c>
    </row>
    <row r="430" spans="1:1">
      <c r="A430" s="1">
        <v>460</v>
      </c>
    </row>
    <row r="431" spans="1:1">
      <c r="A431" s="1">
        <v>461</v>
      </c>
    </row>
    <row r="432" spans="1:1">
      <c r="A432" s="1">
        <v>462</v>
      </c>
    </row>
    <row r="433" spans="1:1">
      <c r="A433" s="1">
        <v>463</v>
      </c>
    </row>
    <row r="434" spans="1:1">
      <c r="A434" s="1">
        <v>464</v>
      </c>
    </row>
    <row r="435" spans="1:1">
      <c r="A435" s="1">
        <v>465</v>
      </c>
    </row>
    <row r="436" spans="1:1">
      <c r="A436" s="1">
        <v>466</v>
      </c>
    </row>
    <row r="437" spans="1:1">
      <c r="A437" s="1">
        <v>467</v>
      </c>
    </row>
    <row r="438" spans="1:1">
      <c r="A438" s="1">
        <v>468</v>
      </c>
    </row>
    <row r="439" spans="1:1">
      <c r="A439" s="1">
        <v>469</v>
      </c>
    </row>
    <row r="440" spans="1:1">
      <c r="A440" s="1">
        <v>470</v>
      </c>
    </row>
    <row r="441" spans="1:1">
      <c r="A441" s="1">
        <v>471</v>
      </c>
    </row>
    <row r="442" spans="1:1">
      <c r="A442" s="1">
        <v>472</v>
      </c>
    </row>
    <row r="443" spans="1:1">
      <c r="A443" s="1">
        <v>473</v>
      </c>
    </row>
    <row r="444" spans="1:1">
      <c r="A444" s="1">
        <v>474</v>
      </c>
    </row>
    <row r="445" spans="1:1">
      <c r="A445" s="1">
        <v>475</v>
      </c>
    </row>
    <row r="446" spans="1:1">
      <c r="A446" s="1">
        <v>476</v>
      </c>
    </row>
    <row r="447" spans="1:1">
      <c r="A447" s="1">
        <v>477</v>
      </c>
    </row>
    <row r="448" spans="1:1">
      <c r="A448" s="1">
        <v>478</v>
      </c>
    </row>
    <row r="449" spans="1:1">
      <c r="A449" s="1">
        <v>479</v>
      </c>
    </row>
    <row r="450" spans="1:1">
      <c r="A450" s="1">
        <v>480</v>
      </c>
    </row>
    <row r="451" spans="1:1">
      <c r="A451" s="1">
        <v>481</v>
      </c>
    </row>
    <row r="452" spans="1:1">
      <c r="A452" s="1">
        <v>482</v>
      </c>
    </row>
    <row r="453" spans="1:1">
      <c r="A453" s="1">
        <v>483</v>
      </c>
    </row>
    <row r="454" spans="1:1">
      <c r="A454" s="1">
        <v>484</v>
      </c>
    </row>
    <row r="455" spans="1:1">
      <c r="A455" s="1">
        <v>485</v>
      </c>
    </row>
    <row r="456" spans="1:1">
      <c r="A456" s="1">
        <v>486</v>
      </c>
    </row>
    <row r="457" spans="1:1">
      <c r="A457" s="1">
        <v>487</v>
      </c>
    </row>
    <row r="458" spans="1:1">
      <c r="A458" s="1">
        <v>488</v>
      </c>
    </row>
    <row r="459" spans="1:1">
      <c r="A459" s="1">
        <v>489</v>
      </c>
    </row>
    <row r="460" spans="1:1">
      <c r="A460" s="1">
        <v>490</v>
      </c>
    </row>
    <row r="461" spans="1:1">
      <c r="A461" s="1">
        <v>491</v>
      </c>
    </row>
    <row r="462" spans="1:1">
      <c r="A462" s="1">
        <v>492</v>
      </c>
    </row>
    <row r="463" spans="1:1">
      <c r="A463" s="1">
        <v>493</v>
      </c>
    </row>
    <row r="464" spans="1:1">
      <c r="A464" s="1">
        <v>494</v>
      </c>
    </row>
    <row r="465" spans="1:1">
      <c r="A465" s="1">
        <v>495</v>
      </c>
    </row>
    <row r="466" spans="1:1">
      <c r="A466" s="1">
        <v>496</v>
      </c>
    </row>
    <row r="467" spans="1:1">
      <c r="A467" s="1">
        <v>497</v>
      </c>
    </row>
    <row r="468" spans="1:1">
      <c r="A468" s="1">
        <v>498</v>
      </c>
    </row>
    <row r="469" spans="1:1">
      <c r="A469" s="1">
        <v>499</v>
      </c>
    </row>
    <row r="470" spans="1:1">
      <c r="A470" s="1">
        <v>500</v>
      </c>
    </row>
    <row r="471" spans="1:1">
      <c r="A471" s="1">
        <v>501</v>
      </c>
    </row>
    <row r="472" spans="1:1">
      <c r="A472" s="1">
        <v>502</v>
      </c>
    </row>
    <row r="473" spans="1:1">
      <c r="A473" s="1">
        <v>503</v>
      </c>
    </row>
    <row r="474" spans="1:1">
      <c r="A474" s="1">
        <v>504</v>
      </c>
    </row>
    <row r="475" spans="1:1">
      <c r="A475" s="1">
        <v>505</v>
      </c>
    </row>
    <row r="476" spans="1:1">
      <c r="A476" s="1">
        <v>506</v>
      </c>
    </row>
    <row r="477" spans="1:1">
      <c r="A477" s="1">
        <v>507</v>
      </c>
    </row>
    <row r="478" spans="1:1">
      <c r="A478" s="1">
        <v>508</v>
      </c>
    </row>
    <row r="479" spans="1:1">
      <c r="A479" s="1">
        <v>509</v>
      </c>
    </row>
    <row r="480" spans="1:1">
      <c r="A480" s="1">
        <v>510</v>
      </c>
    </row>
    <row r="481" spans="1:1">
      <c r="A481" s="1">
        <v>511</v>
      </c>
    </row>
    <row r="482" spans="1:1">
      <c r="A482" s="1">
        <v>512</v>
      </c>
    </row>
    <row r="483" spans="1:1">
      <c r="A483" s="1">
        <v>513</v>
      </c>
    </row>
    <row r="484" spans="1:1">
      <c r="A484" s="1">
        <v>514</v>
      </c>
    </row>
    <row r="485" spans="1:1">
      <c r="A485" s="1">
        <v>515</v>
      </c>
    </row>
    <row r="486" spans="1:1">
      <c r="A486" s="1">
        <v>516</v>
      </c>
    </row>
    <row r="487" spans="1:1">
      <c r="A487" s="1">
        <v>517</v>
      </c>
    </row>
    <row r="488" spans="1:1">
      <c r="A488" s="1">
        <v>518</v>
      </c>
    </row>
    <row r="489" spans="1:1">
      <c r="A489" s="1">
        <v>519</v>
      </c>
    </row>
    <row r="490" spans="1:1">
      <c r="A490" s="1">
        <v>520</v>
      </c>
    </row>
    <row r="491" spans="1:1">
      <c r="A491" s="1">
        <v>521</v>
      </c>
    </row>
    <row r="492" spans="1:1">
      <c r="A492" s="1">
        <v>522</v>
      </c>
    </row>
    <row r="493" spans="1:1">
      <c r="A493" s="1">
        <v>523</v>
      </c>
    </row>
    <row r="494" spans="1:1">
      <c r="A494" s="1">
        <v>524</v>
      </c>
    </row>
    <row r="495" spans="1:1">
      <c r="A495" s="1">
        <v>525</v>
      </c>
    </row>
    <row r="496" spans="1:1">
      <c r="A496" s="1">
        <v>526</v>
      </c>
    </row>
    <row r="497" spans="1:1">
      <c r="A497" s="1">
        <v>527</v>
      </c>
    </row>
    <row r="498" spans="1:1">
      <c r="A498" s="1">
        <v>528</v>
      </c>
    </row>
    <row r="499" spans="1:1">
      <c r="A499" s="1">
        <v>529</v>
      </c>
    </row>
    <row r="500" spans="1:1">
      <c r="A500" s="1">
        <v>530</v>
      </c>
    </row>
    <row r="501" spans="1:1">
      <c r="A501" s="1">
        <v>531</v>
      </c>
    </row>
    <row r="502" spans="1:1">
      <c r="A502" s="1">
        <v>532</v>
      </c>
    </row>
    <row r="503" spans="1:1">
      <c r="A503" s="1">
        <v>533</v>
      </c>
    </row>
    <row r="504" spans="1:1">
      <c r="A504" s="1">
        <v>534</v>
      </c>
    </row>
    <row r="505" spans="1:1">
      <c r="A505" s="1">
        <v>535</v>
      </c>
    </row>
    <row r="506" spans="1:1">
      <c r="A506" s="1">
        <v>536</v>
      </c>
    </row>
    <row r="507" spans="1:1">
      <c r="A507" s="1">
        <v>537</v>
      </c>
    </row>
    <row r="508" spans="1:1">
      <c r="A508" s="1">
        <v>538</v>
      </c>
    </row>
    <row r="509" spans="1:1">
      <c r="A509" s="1">
        <v>539</v>
      </c>
    </row>
    <row r="510" spans="1:1">
      <c r="A510" s="1">
        <v>540</v>
      </c>
    </row>
    <row r="511" spans="1:1">
      <c r="A511" s="1">
        <v>541</v>
      </c>
    </row>
    <row r="512" spans="1:1">
      <c r="A512" s="1">
        <v>542</v>
      </c>
    </row>
    <row r="513" spans="1:1">
      <c r="A513" s="1">
        <v>543</v>
      </c>
    </row>
    <row r="514" spans="1:1">
      <c r="A514" s="1">
        <v>544</v>
      </c>
    </row>
    <row r="515" spans="1:1">
      <c r="A515" s="1">
        <v>545</v>
      </c>
    </row>
    <row r="516" spans="1:1">
      <c r="A516" s="1">
        <v>546</v>
      </c>
    </row>
    <row r="517" spans="1:1">
      <c r="A517" s="1">
        <v>547</v>
      </c>
    </row>
    <row r="518" spans="1:1">
      <c r="A518" s="1">
        <v>548</v>
      </c>
    </row>
    <row r="519" spans="1:1">
      <c r="A519" s="1">
        <v>549</v>
      </c>
    </row>
    <row r="520" spans="1:1">
      <c r="A520" s="1">
        <v>550</v>
      </c>
    </row>
    <row r="521" spans="1:1">
      <c r="A521" s="1">
        <v>551</v>
      </c>
    </row>
    <row r="522" spans="1:1">
      <c r="A522" s="1">
        <v>552</v>
      </c>
    </row>
    <row r="523" spans="1:1">
      <c r="A523" s="1">
        <v>553</v>
      </c>
    </row>
    <row r="524" spans="1:1">
      <c r="A524" s="1">
        <v>554</v>
      </c>
    </row>
    <row r="525" spans="1:1">
      <c r="A525" s="1">
        <v>555</v>
      </c>
    </row>
    <row r="526" spans="1:1">
      <c r="A526" s="1">
        <v>556</v>
      </c>
    </row>
    <row r="527" spans="1:1">
      <c r="A527" s="1">
        <v>557</v>
      </c>
    </row>
    <row r="528" spans="1:1">
      <c r="A528" s="1">
        <v>558</v>
      </c>
    </row>
    <row r="529" spans="1:1">
      <c r="A529" s="1">
        <v>559</v>
      </c>
    </row>
    <row r="530" spans="1:1">
      <c r="A530" s="1">
        <v>560</v>
      </c>
    </row>
    <row r="531" spans="1:1">
      <c r="A531" s="1">
        <v>561</v>
      </c>
    </row>
    <row r="532" spans="1:1">
      <c r="A532" s="1">
        <v>562</v>
      </c>
    </row>
    <row r="533" spans="1:1">
      <c r="A533" s="1">
        <v>563</v>
      </c>
    </row>
    <row r="534" spans="1:1">
      <c r="A534" s="1">
        <v>564</v>
      </c>
    </row>
    <row r="535" spans="1:1">
      <c r="A535" s="1">
        <v>565</v>
      </c>
    </row>
    <row r="536" spans="1:1">
      <c r="A536" s="1">
        <v>566</v>
      </c>
    </row>
    <row r="537" spans="1:1">
      <c r="A537" s="1">
        <v>567</v>
      </c>
    </row>
    <row r="538" spans="1:1">
      <c r="A538" s="1">
        <v>568</v>
      </c>
    </row>
    <row r="539" spans="1:1">
      <c r="A539" s="1">
        <v>569</v>
      </c>
    </row>
    <row r="540" spans="1:1">
      <c r="A540" s="1">
        <v>570</v>
      </c>
    </row>
    <row r="541" spans="1:1">
      <c r="A541" s="1">
        <v>571</v>
      </c>
    </row>
    <row r="542" spans="1:1">
      <c r="A542" s="1">
        <v>572</v>
      </c>
    </row>
    <row r="543" spans="1:1">
      <c r="A543" s="1">
        <v>573</v>
      </c>
    </row>
    <row r="544" spans="1:1">
      <c r="A544" s="1">
        <v>574</v>
      </c>
    </row>
    <row r="545" spans="1:1">
      <c r="A545" s="1">
        <v>575</v>
      </c>
    </row>
    <row r="546" spans="1:1">
      <c r="A546" s="1">
        <v>576</v>
      </c>
    </row>
    <row r="547" spans="1:1">
      <c r="A547" s="1">
        <v>577</v>
      </c>
    </row>
    <row r="548" spans="1:1">
      <c r="A548" s="1">
        <v>578</v>
      </c>
    </row>
    <row r="549" spans="1:1">
      <c r="A549" s="1">
        <v>579</v>
      </c>
    </row>
    <row r="550" spans="1:1">
      <c r="A550" s="1">
        <v>580</v>
      </c>
    </row>
    <row r="551" spans="1:1">
      <c r="A551" s="1">
        <v>581</v>
      </c>
    </row>
    <row r="552" spans="1:1">
      <c r="A552" s="1">
        <v>582</v>
      </c>
    </row>
    <row r="553" spans="1:1">
      <c r="A553" s="1">
        <v>583</v>
      </c>
    </row>
    <row r="554" spans="1:1">
      <c r="A554" s="1">
        <v>584</v>
      </c>
    </row>
    <row r="555" spans="1:1">
      <c r="A555" s="1">
        <v>585</v>
      </c>
    </row>
    <row r="556" spans="1:1">
      <c r="A556" s="1">
        <v>586</v>
      </c>
    </row>
    <row r="557" spans="1:1">
      <c r="A557" s="1">
        <v>587</v>
      </c>
    </row>
    <row r="558" spans="1:1">
      <c r="A558" s="1">
        <v>588</v>
      </c>
    </row>
    <row r="559" spans="1:1">
      <c r="A559" s="1">
        <v>589</v>
      </c>
    </row>
    <row r="560" spans="1:1">
      <c r="A560" s="1">
        <v>590</v>
      </c>
    </row>
    <row r="561" spans="1:1">
      <c r="A561" s="1">
        <v>591</v>
      </c>
    </row>
    <row r="562" spans="1:1">
      <c r="A562" s="1">
        <v>592</v>
      </c>
    </row>
    <row r="563" spans="1:1">
      <c r="A563" s="1">
        <v>593</v>
      </c>
    </row>
    <row r="564" spans="1:1">
      <c r="A564" s="1">
        <v>594</v>
      </c>
    </row>
    <row r="565" spans="1:1">
      <c r="A565" s="1">
        <v>595</v>
      </c>
    </row>
    <row r="566" spans="1:1">
      <c r="A566" s="1">
        <v>596</v>
      </c>
    </row>
    <row r="567" spans="1:1">
      <c r="A567" s="1">
        <v>597</v>
      </c>
    </row>
    <row r="568" spans="1:1">
      <c r="A568" s="1">
        <v>598</v>
      </c>
    </row>
    <row r="569" spans="1:1">
      <c r="A569" s="1">
        <v>599</v>
      </c>
    </row>
    <row r="570" spans="1:1">
      <c r="A570" s="1">
        <v>600</v>
      </c>
    </row>
    <row r="571" spans="1:1">
      <c r="A571" s="1">
        <v>601</v>
      </c>
    </row>
    <row r="572" spans="1:1">
      <c r="A572" s="1">
        <v>602</v>
      </c>
    </row>
    <row r="573" spans="1:1">
      <c r="A573" s="1">
        <v>603</v>
      </c>
    </row>
    <row r="574" spans="1:1">
      <c r="A574" s="1">
        <v>604</v>
      </c>
    </row>
    <row r="575" spans="1:1">
      <c r="A575" s="1">
        <v>605</v>
      </c>
    </row>
    <row r="576" spans="1:1">
      <c r="A576" s="1">
        <v>606</v>
      </c>
    </row>
    <row r="577" spans="1:1">
      <c r="A577" s="1">
        <v>607</v>
      </c>
    </row>
    <row r="578" spans="1:1">
      <c r="A578" s="1">
        <v>608</v>
      </c>
    </row>
    <row r="579" spans="1:1">
      <c r="A579" s="1">
        <v>609</v>
      </c>
    </row>
    <row r="580" spans="1:1">
      <c r="A580" s="1">
        <v>610</v>
      </c>
    </row>
    <row r="581" spans="1:1">
      <c r="A581" s="1">
        <v>611</v>
      </c>
    </row>
    <row r="582" spans="1:1">
      <c r="A582" s="1">
        <v>612</v>
      </c>
    </row>
    <row r="583" spans="1:1">
      <c r="A583" s="1">
        <v>613</v>
      </c>
    </row>
    <row r="584" spans="1:1">
      <c r="A584" s="1">
        <v>614</v>
      </c>
    </row>
    <row r="585" spans="1:1">
      <c r="A585" s="1">
        <v>615</v>
      </c>
    </row>
    <row r="586" spans="1:1">
      <c r="A586" s="1">
        <v>616</v>
      </c>
    </row>
    <row r="587" spans="1:1">
      <c r="A587" s="1">
        <v>617</v>
      </c>
    </row>
    <row r="588" spans="1:1">
      <c r="A588" s="1">
        <v>618</v>
      </c>
    </row>
    <row r="589" spans="1:1">
      <c r="A589" s="1">
        <v>619</v>
      </c>
    </row>
    <row r="590" spans="1:1">
      <c r="A590" s="1">
        <v>620</v>
      </c>
    </row>
    <row r="591" spans="1:1">
      <c r="A591" s="1">
        <v>621</v>
      </c>
    </row>
    <row r="592" spans="1:1">
      <c r="A592" s="1">
        <v>622</v>
      </c>
    </row>
    <row r="593" spans="1:1">
      <c r="A593" s="1">
        <v>623</v>
      </c>
    </row>
    <row r="594" spans="1:1">
      <c r="A594" s="1">
        <v>624</v>
      </c>
    </row>
    <row r="595" spans="1:1">
      <c r="A595" s="1">
        <v>625</v>
      </c>
    </row>
    <row r="596" spans="1:1">
      <c r="A596" s="1">
        <v>626</v>
      </c>
    </row>
    <row r="597" spans="1:1">
      <c r="A597" s="1">
        <v>627</v>
      </c>
    </row>
    <row r="598" spans="1:1">
      <c r="A598" s="1">
        <v>628</v>
      </c>
    </row>
    <row r="599" spans="1:1">
      <c r="A599" s="1">
        <v>629</v>
      </c>
    </row>
    <row r="600" spans="1:1">
      <c r="A600" s="1">
        <v>630</v>
      </c>
    </row>
    <row r="601" spans="1:1">
      <c r="A601" s="1">
        <v>631</v>
      </c>
    </row>
    <row r="602" spans="1:1">
      <c r="A602" s="1">
        <v>632</v>
      </c>
    </row>
    <row r="603" spans="1:1">
      <c r="A603" s="1">
        <v>633</v>
      </c>
    </row>
    <row r="604" spans="1:1">
      <c r="A604" s="1">
        <v>634</v>
      </c>
    </row>
    <row r="605" spans="1:1">
      <c r="A605" s="1">
        <v>635</v>
      </c>
    </row>
    <row r="606" spans="1:1">
      <c r="A606" s="1">
        <v>636</v>
      </c>
    </row>
    <row r="607" spans="1:1">
      <c r="A607" s="1">
        <v>637</v>
      </c>
    </row>
    <row r="608" spans="1:1">
      <c r="A608" s="1">
        <v>638</v>
      </c>
    </row>
    <row r="609" spans="1:1">
      <c r="A609" s="1">
        <v>639</v>
      </c>
    </row>
    <row r="610" spans="1:1">
      <c r="A610" s="1">
        <v>640</v>
      </c>
    </row>
    <row r="611" spans="1:1">
      <c r="A611" s="1">
        <v>641</v>
      </c>
    </row>
    <row r="612" spans="1:1">
      <c r="A612" s="1">
        <v>642</v>
      </c>
    </row>
    <row r="613" spans="1:1">
      <c r="A613" s="1">
        <v>643</v>
      </c>
    </row>
    <row r="614" spans="1:1">
      <c r="A614" s="1">
        <v>644</v>
      </c>
    </row>
    <row r="615" spans="1:1">
      <c r="A615" s="1">
        <v>645</v>
      </c>
    </row>
    <row r="616" spans="1:1">
      <c r="A616" s="1">
        <v>646</v>
      </c>
    </row>
    <row r="617" spans="1:1">
      <c r="A617" s="1">
        <v>647</v>
      </c>
    </row>
    <row r="618" spans="1:1">
      <c r="A618" s="1">
        <v>648</v>
      </c>
    </row>
    <row r="619" spans="1:1">
      <c r="A619" s="1">
        <v>649</v>
      </c>
    </row>
    <row r="620" spans="1:1">
      <c r="A620" s="1">
        <v>650</v>
      </c>
    </row>
    <row r="621" spans="1:1">
      <c r="A621" s="1">
        <v>651</v>
      </c>
    </row>
    <row r="622" spans="1:1">
      <c r="A622" s="1">
        <v>652</v>
      </c>
    </row>
    <row r="623" spans="1:1">
      <c r="A623" s="1">
        <v>653</v>
      </c>
    </row>
    <row r="624" spans="1:1">
      <c r="A624" s="1">
        <v>654</v>
      </c>
    </row>
    <row r="625" spans="1:1">
      <c r="A625" s="1">
        <v>655</v>
      </c>
    </row>
    <row r="626" spans="1:1">
      <c r="A626" s="1">
        <v>656</v>
      </c>
    </row>
    <row r="627" spans="1:1">
      <c r="A627" s="1">
        <v>657</v>
      </c>
    </row>
    <row r="628" spans="1:1">
      <c r="A628" s="1">
        <v>658</v>
      </c>
    </row>
    <row r="629" spans="1:1">
      <c r="A629" s="1">
        <v>659</v>
      </c>
    </row>
    <row r="630" spans="1:1">
      <c r="A630" s="1">
        <v>660</v>
      </c>
    </row>
    <row r="631" spans="1:1">
      <c r="A631" s="1">
        <v>661</v>
      </c>
    </row>
    <row r="632" spans="1:1">
      <c r="A632" s="1">
        <v>662</v>
      </c>
    </row>
    <row r="633" spans="1:1">
      <c r="A633" s="1">
        <v>663</v>
      </c>
    </row>
    <row r="634" spans="1:1">
      <c r="A634" s="1">
        <v>664</v>
      </c>
    </row>
    <row r="635" spans="1:1">
      <c r="A635" s="1">
        <v>665</v>
      </c>
    </row>
    <row r="636" spans="1:1">
      <c r="A636" s="1">
        <v>666</v>
      </c>
    </row>
    <row r="637" spans="1:1">
      <c r="A637" s="1">
        <v>667</v>
      </c>
    </row>
    <row r="638" spans="1:1">
      <c r="A638" s="1">
        <v>668</v>
      </c>
    </row>
    <row r="639" spans="1:1">
      <c r="A639" s="1">
        <v>669</v>
      </c>
    </row>
    <row r="640" spans="1:1">
      <c r="A640" s="1">
        <v>670</v>
      </c>
    </row>
    <row r="641" spans="1:1">
      <c r="A641" s="1">
        <v>671</v>
      </c>
    </row>
    <row r="642" spans="1:1">
      <c r="A642" s="1">
        <v>672</v>
      </c>
    </row>
    <row r="643" spans="1:1">
      <c r="A643" s="1">
        <v>673</v>
      </c>
    </row>
    <row r="644" spans="1:1">
      <c r="A644" s="1">
        <v>674</v>
      </c>
    </row>
    <row r="645" spans="1:1">
      <c r="A645" s="1">
        <v>675</v>
      </c>
    </row>
    <row r="646" spans="1:1">
      <c r="A646" s="1">
        <v>676</v>
      </c>
    </row>
    <row r="647" spans="1:1">
      <c r="A647" s="1">
        <v>677</v>
      </c>
    </row>
    <row r="648" spans="1:1">
      <c r="A648" s="1">
        <v>678</v>
      </c>
    </row>
    <row r="649" spans="1:1">
      <c r="A649" s="1">
        <v>679</v>
      </c>
    </row>
    <row r="650" spans="1:1">
      <c r="A650" s="1">
        <v>680</v>
      </c>
    </row>
    <row r="651" spans="1:1">
      <c r="A651" s="1">
        <v>681</v>
      </c>
    </row>
    <row r="652" spans="1:1">
      <c r="A652" s="1">
        <v>682</v>
      </c>
    </row>
    <row r="653" spans="1:1">
      <c r="A653" s="1">
        <v>683</v>
      </c>
    </row>
    <row r="654" spans="1:1">
      <c r="A654" s="1">
        <v>684</v>
      </c>
    </row>
    <row r="655" spans="1:1">
      <c r="A655" s="1">
        <v>685</v>
      </c>
    </row>
    <row r="656" spans="1:1">
      <c r="A656" s="1">
        <v>686</v>
      </c>
    </row>
    <row r="657" spans="1:1">
      <c r="A657" s="1">
        <v>687</v>
      </c>
    </row>
    <row r="658" spans="1:1">
      <c r="A658" s="1">
        <v>688</v>
      </c>
    </row>
    <row r="659" spans="1:1">
      <c r="A659" s="1">
        <v>689</v>
      </c>
    </row>
    <row r="660" spans="1:1">
      <c r="A660" s="1">
        <v>690</v>
      </c>
    </row>
    <row r="661" spans="1:1">
      <c r="A661" s="1">
        <v>691</v>
      </c>
    </row>
    <row r="662" spans="1:1">
      <c r="A662" s="1">
        <v>692</v>
      </c>
    </row>
    <row r="663" spans="1:1">
      <c r="A663" s="1">
        <v>693</v>
      </c>
    </row>
    <row r="664" spans="1:1">
      <c r="A664" s="1">
        <v>694</v>
      </c>
    </row>
    <row r="665" spans="1:1">
      <c r="A665" s="1">
        <v>695</v>
      </c>
    </row>
    <row r="666" spans="1:1">
      <c r="A666" s="1">
        <v>696</v>
      </c>
    </row>
    <row r="667" spans="1:1">
      <c r="A667" s="1">
        <v>697</v>
      </c>
    </row>
    <row r="668" spans="1:1">
      <c r="A668" s="1">
        <v>698</v>
      </c>
    </row>
    <row r="669" spans="1:1">
      <c r="A669" s="1">
        <v>699</v>
      </c>
    </row>
    <row r="670" spans="1:1">
      <c r="A670" s="1">
        <v>700</v>
      </c>
    </row>
    <row r="671" spans="1:1">
      <c r="A671" s="1">
        <v>701</v>
      </c>
    </row>
    <row r="672" spans="1:1">
      <c r="A672" s="1">
        <v>702</v>
      </c>
    </row>
    <row r="673" spans="1:1">
      <c r="A673" s="1">
        <v>703</v>
      </c>
    </row>
    <row r="674" spans="1:1">
      <c r="A674" s="1">
        <v>704</v>
      </c>
    </row>
    <row r="675" spans="1:1">
      <c r="A675" s="1">
        <v>705</v>
      </c>
    </row>
    <row r="676" spans="1:1">
      <c r="A676" s="1">
        <v>706</v>
      </c>
    </row>
    <row r="677" spans="1:1">
      <c r="A677" s="1">
        <v>707</v>
      </c>
    </row>
    <row r="678" spans="1:1">
      <c r="A678" s="1">
        <v>708</v>
      </c>
    </row>
    <row r="679" spans="1:1">
      <c r="A679" s="1">
        <v>709</v>
      </c>
    </row>
    <row r="680" spans="1:1">
      <c r="A680" s="1">
        <v>710</v>
      </c>
    </row>
    <row r="681" spans="1:1">
      <c r="A681" s="1">
        <v>711</v>
      </c>
    </row>
    <row r="682" spans="1:1">
      <c r="A682" s="1">
        <v>712</v>
      </c>
    </row>
    <row r="683" spans="1:1">
      <c r="A683" s="1">
        <v>713</v>
      </c>
    </row>
    <row r="684" spans="1:1">
      <c r="A684" s="1">
        <v>714</v>
      </c>
    </row>
    <row r="685" spans="1:1">
      <c r="A685" s="1">
        <v>715</v>
      </c>
    </row>
    <row r="686" spans="1:1">
      <c r="A686" s="1">
        <v>716</v>
      </c>
    </row>
    <row r="687" spans="1:1">
      <c r="A687" s="1">
        <v>717</v>
      </c>
    </row>
    <row r="688" spans="1:1">
      <c r="A688" s="1">
        <v>718</v>
      </c>
    </row>
    <row r="689" spans="1:1">
      <c r="A689" s="1">
        <v>719</v>
      </c>
    </row>
    <row r="690" spans="1:1">
      <c r="A690" s="1">
        <v>720</v>
      </c>
    </row>
    <row r="691" spans="1:1">
      <c r="A691" s="1">
        <v>721</v>
      </c>
    </row>
    <row r="692" spans="1:1">
      <c r="A692" s="1">
        <v>722</v>
      </c>
    </row>
    <row r="693" spans="1:1">
      <c r="A693" s="1">
        <v>723</v>
      </c>
    </row>
    <row r="694" spans="1:1">
      <c r="A694" s="1">
        <v>724</v>
      </c>
    </row>
    <row r="695" spans="1:1">
      <c r="A695" s="1">
        <v>725</v>
      </c>
    </row>
    <row r="696" spans="1:1">
      <c r="A696" s="1">
        <v>726</v>
      </c>
    </row>
    <row r="697" spans="1:1">
      <c r="A697" s="1">
        <v>727</v>
      </c>
    </row>
    <row r="698" spans="1:1">
      <c r="A698" s="1">
        <v>728</v>
      </c>
    </row>
    <row r="699" spans="1:1">
      <c r="A699" s="1">
        <v>729</v>
      </c>
    </row>
    <row r="700" spans="1:1">
      <c r="A700" s="1">
        <v>730</v>
      </c>
    </row>
    <row r="701" spans="1:1">
      <c r="A701" s="1">
        <v>731</v>
      </c>
    </row>
    <row r="702" spans="1:1">
      <c r="A702" s="1">
        <v>732</v>
      </c>
    </row>
    <row r="703" spans="1:1">
      <c r="A703" s="1">
        <v>733</v>
      </c>
    </row>
    <row r="704" spans="1:1">
      <c r="A704" s="1">
        <v>734</v>
      </c>
    </row>
    <row r="705" spans="1:1">
      <c r="A705" s="1">
        <v>735</v>
      </c>
    </row>
    <row r="706" spans="1:1">
      <c r="A706" s="1">
        <v>736</v>
      </c>
    </row>
    <row r="707" spans="1:1">
      <c r="A707" s="1">
        <v>737</v>
      </c>
    </row>
    <row r="708" spans="1:1">
      <c r="A708" s="1">
        <v>738</v>
      </c>
    </row>
    <row r="709" spans="1:1">
      <c r="A709" s="1">
        <v>739</v>
      </c>
    </row>
    <row r="710" spans="1:1">
      <c r="A710" s="1">
        <v>740</v>
      </c>
    </row>
    <row r="711" spans="1:1">
      <c r="A711" s="1">
        <v>741</v>
      </c>
    </row>
    <row r="712" spans="1:1">
      <c r="A712" s="1">
        <v>742</v>
      </c>
    </row>
    <row r="713" spans="1:1">
      <c r="A713" s="1">
        <v>743</v>
      </c>
    </row>
    <row r="714" spans="1:1">
      <c r="A714" s="1">
        <v>744</v>
      </c>
    </row>
    <row r="715" spans="1:1">
      <c r="A715" s="1">
        <v>745</v>
      </c>
    </row>
    <row r="716" spans="1:1">
      <c r="A716" s="1">
        <v>746</v>
      </c>
    </row>
    <row r="717" spans="1:1">
      <c r="A717" s="1">
        <v>747</v>
      </c>
    </row>
    <row r="718" spans="1:1">
      <c r="A718" s="1">
        <v>748</v>
      </c>
    </row>
    <row r="719" spans="1:1">
      <c r="A719" s="1">
        <v>749</v>
      </c>
    </row>
    <row r="720" spans="1:1">
      <c r="A720" s="1">
        <v>750</v>
      </c>
    </row>
    <row r="721" spans="1:1">
      <c r="A721" s="1">
        <v>751</v>
      </c>
    </row>
    <row r="722" spans="1:1">
      <c r="A722" s="1">
        <v>752</v>
      </c>
    </row>
    <row r="723" spans="1:1">
      <c r="A723" s="1">
        <v>753</v>
      </c>
    </row>
    <row r="724" spans="1:1">
      <c r="A724" s="1">
        <v>754</v>
      </c>
    </row>
    <row r="725" spans="1:1">
      <c r="A725" s="1">
        <v>755</v>
      </c>
    </row>
    <row r="726" spans="1:1">
      <c r="A726" s="1">
        <v>756</v>
      </c>
    </row>
    <row r="727" spans="1:1">
      <c r="A727" s="1">
        <v>757</v>
      </c>
    </row>
    <row r="728" spans="1:1">
      <c r="A728" s="1">
        <v>758</v>
      </c>
    </row>
    <row r="729" spans="1:1">
      <c r="A729" s="1">
        <v>759</v>
      </c>
    </row>
    <row r="730" spans="1:1">
      <c r="A730" s="1">
        <v>760</v>
      </c>
    </row>
    <row r="731" spans="1:1">
      <c r="A731" s="1">
        <v>761</v>
      </c>
    </row>
    <row r="732" spans="1:1">
      <c r="A732" s="1">
        <v>762</v>
      </c>
    </row>
    <row r="733" spans="1:1">
      <c r="A733" s="1">
        <v>763</v>
      </c>
    </row>
    <row r="734" spans="1:1">
      <c r="A734" s="1">
        <v>764</v>
      </c>
    </row>
    <row r="735" spans="1:1">
      <c r="A735" s="1">
        <v>765</v>
      </c>
    </row>
    <row r="736" spans="1:1">
      <c r="A736" s="1">
        <v>766</v>
      </c>
    </row>
    <row r="737" spans="1:1">
      <c r="A737" s="1">
        <v>767</v>
      </c>
    </row>
    <row r="738" spans="1:1">
      <c r="A738" s="1">
        <v>768</v>
      </c>
    </row>
    <row r="739" spans="1:1">
      <c r="A739" s="1">
        <v>769</v>
      </c>
    </row>
    <row r="740" spans="1:1">
      <c r="A740" s="1">
        <v>770</v>
      </c>
    </row>
    <row r="741" spans="1:1">
      <c r="A741" s="1">
        <v>771</v>
      </c>
    </row>
    <row r="742" spans="1:1">
      <c r="A742" s="1">
        <v>772</v>
      </c>
    </row>
    <row r="743" spans="1:1">
      <c r="A743" s="1">
        <v>773</v>
      </c>
    </row>
    <row r="744" spans="1:1">
      <c r="A744" s="1">
        <v>774</v>
      </c>
    </row>
    <row r="745" spans="1:1">
      <c r="A745" s="1">
        <v>775</v>
      </c>
    </row>
    <row r="746" spans="1:1">
      <c r="A746" s="1">
        <v>776</v>
      </c>
    </row>
    <row r="747" spans="1:1">
      <c r="A747" s="1">
        <v>777</v>
      </c>
    </row>
    <row r="748" spans="1:1">
      <c r="A748" s="1">
        <v>778</v>
      </c>
    </row>
    <row r="749" spans="1:1">
      <c r="A749" s="1">
        <v>779</v>
      </c>
    </row>
    <row r="750" spans="1:1">
      <c r="A750" s="1">
        <v>780</v>
      </c>
    </row>
    <row r="751" spans="1:1">
      <c r="A751" s="1">
        <v>781</v>
      </c>
    </row>
    <row r="752" spans="1:1">
      <c r="A752" s="1">
        <v>782</v>
      </c>
    </row>
    <row r="753" spans="1:1">
      <c r="A753" s="1">
        <v>783</v>
      </c>
    </row>
    <row r="754" spans="1:1">
      <c r="A754" s="1">
        <v>784</v>
      </c>
    </row>
    <row r="755" spans="1:1">
      <c r="A755" s="1">
        <v>785</v>
      </c>
    </row>
    <row r="756" spans="1:1">
      <c r="A756" s="1">
        <v>786</v>
      </c>
    </row>
    <row r="757" spans="1:1">
      <c r="A757" s="1">
        <v>787</v>
      </c>
    </row>
    <row r="758" spans="1:1">
      <c r="A758" s="1">
        <v>788</v>
      </c>
    </row>
    <row r="759" spans="1:1">
      <c r="A759" s="1">
        <v>789</v>
      </c>
    </row>
    <row r="760" spans="1:1">
      <c r="A760" s="1">
        <v>790</v>
      </c>
    </row>
    <row r="761" spans="1:1">
      <c r="A761" s="1">
        <v>791</v>
      </c>
    </row>
    <row r="762" spans="1:1">
      <c r="A762" s="1">
        <v>792</v>
      </c>
    </row>
    <row r="763" spans="1:1">
      <c r="A763" s="1">
        <v>793</v>
      </c>
    </row>
    <row r="764" spans="1:1">
      <c r="A764" s="1">
        <v>794</v>
      </c>
    </row>
    <row r="765" spans="1:1">
      <c r="A765" s="1">
        <v>795</v>
      </c>
    </row>
    <row r="766" spans="1:1">
      <c r="A766" s="1">
        <v>796</v>
      </c>
    </row>
    <row r="767" spans="1:1">
      <c r="A767" s="1">
        <v>797</v>
      </c>
    </row>
    <row r="768" spans="1:1">
      <c r="A768" s="1">
        <v>798</v>
      </c>
    </row>
    <row r="769" spans="1:1">
      <c r="A769" s="1">
        <v>799</v>
      </c>
    </row>
    <row r="770" spans="1:1">
      <c r="A770" s="1">
        <v>800</v>
      </c>
    </row>
    <row r="771" spans="1:1">
      <c r="A771" s="1">
        <v>801</v>
      </c>
    </row>
    <row r="772" spans="1:1">
      <c r="A772" s="1">
        <v>802</v>
      </c>
    </row>
    <row r="773" spans="1:1">
      <c r="A773" s="1">
        <v>803</v>
      </c>
    </row>
    <row r="774" spans="1:1">
      <c r="A774" s="1">
        <v>804</v>
      </c>
    </row>
    <row r="775" spans="1:1">
      <c r="A775" s="1">
        <v>805</v>
      </c>
    </row>
    <row r="776" spans="1:1">
      <c r="A776" s="1">
        <v>806</v>
      </c>
    </row>
    <row r="777" spans="1:1">
      <c r="A777" s="1">
        <v>807</v>
      </c>
    </row>
    <row r="778" spans="1:1">
      <c r="A778" s="1">
        <v>808</v>
      </c>
    </row>
    <row r="779" spans="1:1">
      <c r="A779" s="1">
        <v>809</v>
      </c>
    </row>
    <row r="780" spans="1:1">
      <c r="A780" s="1">
        <v>810</v>
      </c>
    </row>
    <row r="781" spans="1:1">
      <c r="A781" s="1">
        <v>811</v>
      </c>
    </row>
    <row r="782" spans="1:1">
      <c r="A782" s="1">
        <v>812</v>
      </c>
    </row>
    <row r="783" spans="1:1">
      <c r="A783" s="1">
        <v>813</v>
      </c>
    </row>
    <row r="784" spans="1:1">
      <c r="A784" s="1">
        <v>814</v>
      </c>
    </row>
    <row r="785" spans="1:1">
      <c r="A785" s="1">
        <v>815</v>
      </c>
    </row>
    <row r="786" spans="1:1">
      <c r="A786" s="1">
        <v>816</v>
      </c>
    </row>
    <row r="787" spans="1:1">
      <c r="A787" s="1">
        <v>817</v>
      </c>
    </row>
    <row r="788" spans="1:1">
      <c r="A788" s="1">
        <v>818</v>
      </c>
    </row>
    <row r="789" spans="1:1">
      <c r="A789" s="1">
        <v>819</v>
      </c>
    </row>
    <row r="790" spans="1:1">
      <c r="A790" s="1">
        <v>820</v>
      </c>
    </row>
    <row r="791" spans="1:1">
      <c r="A791" s="1">
        <v>821</v>
      </c>
    </row>
    <row r="792" spans="1:1">
      <c r="A792" s="1">
        <v>822</v>
      </c>
    </row>
    <row r="793" spans="1:1">
      <c r="A793" s="1">
        <v>823</v>
      </c>
    </row>
    <row r="794" spans="1:1">
      <c r="A794" s="1">
        <v>824</v>
      </c>
    </row>
    <row r="795" spans="1:1">
      <c r="A795" s="1">
        <v>825</v>
      </c>
    </row>
    <row r="796" spans="1:1">
      <c r="A796" s="1">
        <v>826</v>
      </c>
    </row>
    <row r="797" spans="1:1">
      <c r="A797" s="1">
        <v>827</v>
      </c>
    </row>
    <row r="798" spans="1:1">
      <c r="A798" s="1">
        <v>828</v>
      </c>
    </row>
    <row r="799" spans="1:1">
      <c r="A799" s="1">
        <v>829</v>
      </c>
    </row>
    <row r="800" spans="1:1">
      <c r="A800" s="1">
        <v>830</v>
      </c>
    </row>
    <row r="801" spans="1:1">
      <c r="A801" s="1">
        <v>831</v>
      </c>
    </row>
    <row r="802" spans="1:1">
      <c r="A802" s="1">
        <v>832</v>
      </c>
    </row>
    <row r="803" spans="1:1">
      <c r="A803" s="1">
        <v>833</v>
      </c>
    </row>
    <row r="804" spans="1:1">
      <c r="A804" s="1">
        <v>834</v>
      </c>
    </row>
    <row r="805" spans="1:1">
      <c r="A805" s="1">
        <v>835</v>
      </c>
    </row>
    <row r="806" spans="1:1">
      <c r="A806" s="1">
        <v>836</v>
      </c>
    </row>
    <row r="807" spans="1:1">
      <c r="A807" s="1">
        <v>837</v>
      </c>
    </row>
    <row r="808" spans="1:1">
      <c r="A808" s="1">
        <v>838</v>
      </c>
    </row>
    <row r="809" spans="1:1">
      <c r="A809" s="1">
        <v>839</v>
      </c>
    </row>
    <row r="810" spans="1:1">
      <c r="A810" s="1">
        <v>840</v>
      </c>
    </row>
    <row r="811" spans="1:1">
      <c r="A811" s="1">
        <v>841</v>
      </c>
    </row>
    <row r="812" spans="1:1">
      <c r="A812" s="1">
        <v>842</v>
      </c>
    </row>
    <row r="813" spans="1:1">
      <c r="A813" s="1">
        <v>843</v>
      </c>
    </row>
    <row r="814" spans="1:1">
      <c r="A814" s="1">
        <v>844</v>
      </c>
    </row>
    <row r="815" spans="1:1">
      <c r="A815" s="1">
        <v>845</v>
      </c>
    </row>
    <row r="816" spans="1:1">
      <c r="A816" s="1">
        <v>846</v>
      </c>
    </row>
    <row r="817" spans="1:1">
      <c r="A817" s="1">
        <v>847</v>
      </c>
    </row>
    <row r="818" spans="1:1">
      <c r="A818" s="1">
        <v>848</v>
      </c>
    </row>
    <row r="819" spans="1:1">
      <c r="A819" s="1">
        <v>849</v>
      </c>
    </row>
    <row r="820" spans="1:1">
      <c r="A820" s="1">
        <v>850</v>
      </c>
    </row>
    <row r="821" spans="1:1">
      <c r="A821" s="1">
        <v>851</v>
      </c>
    </row>
    <row r="822" spans="1:1">
      <c r="A822" s="1">
        <v>852</v>
      </c>
    </row>
    <row r="823" spans="1:1">
      <c r="A823" s="1">
        <v>853</v>
      </c>
    </row>
    <row r="824" spans="1:1">
      <c r="A824" s="1">
        <v>854</v>
      </c>
    </row>
    <row r="825" spans="1:1">
      <c r="A825" s="1">
        <v>855</v>
      </c>
    </row>
    <row r="826" spans="1:1">
      <c r="A826" s="1">
        <v>856</v>
      </c>
    </row>
    <row r="827" spans="1:1">
      <c r="A827" s="1">
        <v>857</v>
      </c>
    </row>
    <row r="828" spans="1:1">
      <c r="A828" s="1">
        <v>858</v>
      </c>
    </row>
    <row r="829" spans="1:1">
      <c r="A829" s="1">
        <v>859</v>
      </c>
    </row>
    <row r="830" spans="1:1">
      <c r="A830" s="1">
        <v>860</v>
      </c>
    </row>
    <row r="831" spans="1:1">
      <c r="A831" s="1">
        <v>861</v>
      </c>
    </row>
    <row r="832" spans="1:1">
      <c r="A832" s="1">
        <v>862</v>
      </c>
    </row>
    <row r="833" spans="1:1">
      <c r="A833" s="1">
        <v>863</v>
      </c>
    </row>
    <row r="834" spans="1:1">
      <c r="A834" s="1">
        <v>864</v>
      </c>
    </row>
    <row r="835" spans="1:1">
      <c r="A835" s="1">
        <v>865</v>
      </c>
    </row>
    <row r="836" spans="1:1">
      <c r="A836" s="1">
        <v>866</v>
      </c>
    </row>
    <row r="837" spans="1:1">
      <c r="A837" s="1">
        <v>867</v>
      </c>
    </row>
    <row r="838" spans="1:1">
      <c r="A838" s="1">
        <v>868</v>
      </c>
    </row>
    <row r="839" spans="1:1">
      <c r="A839" s="1">
        <v>869</v>
      </c>
    </row>
    <row r="840" spans="1:1">
      <c r="A840" s="1">
        <v>870</v>
      </c>
    </row>
    <row r="841" spans="1:1">
      <c r="A841" s="1">
        <v>871</v>
      </c>
    </row>
    <row r="842" spans="1:1">
      <c r="A842" s="1">
        <v>872</v>
      </c>
    </row>
    <row r="843" spans="1:1">
      <c r="A843" s="1">
        <v>873</v>
      </c>
    </row>
    <row r="844" spans="1:1">
      <c r="A844" s="1">
        <v>874</v>
      </c>
    </row>
    <row r="845" spans="1:1">
      <c r="A845" s="1">
        <v>875</v>
      </c>
    </row>
    <row r="846" spans="1:1">
      <c r="A846" s="1">
        <v>876</v>
      </c>
    </row>
    <row r="847" spans="1:1">
      <c r="A847" s="1">
        <v>877</v>
      </c>
    </row>
    <row r="848" spans="1:1">
      <c r="A848" s="1">
        <v>878</v>
      </c>
    </row>
    <row r="849" spans="1:1">
      <c r="A849" s="1">
        <v>879</v>
      </c>
    </row>
    <row r="850" spans="1:1">
      <c r="A850" s="1">
        <v>880</v>
      </c>
    </row>
    <row r="851" spans="1:1">
      <c r="A851" s="1">
        <v>881</v>
      </c>
    </row>
    <row r="852" spans="1:1">
      <c r="A852" s="1">
        <v>882</v>
      </c>
    </row>
    <row r="853" spans="1:1">
      <c r="A853" s="1">
        <v>883</v>
      </c>
    </row>
    <row r="854" spans="1:1">
      <c r="A854" s="1">
        <v>884</v>
      </c>
    </row>
    <row r="855" spans="1:1">
      <c r="A855" s="1">
        <v>885</v>
      </c>
    </row>
    <row r="856" spans="1:1">
      <c r="A856" s="1">
        <v>886</v>
      </c>
    </row>
    <row r="857" spans="1:1">
      <c r="A857" s="1">
        <v>887</v>
      </c>
    </row>
    <row r="858" spans="1:1">
      <c r="A858" s="1">
        <v>888</v>
      </c>
    </row>
    <row r="859" spans="1:1">
      <c r="A859" s="1">
        <v>889</v>
      </c>
    </row>
    <row r="860" spans="1:1">
      <c r="A860" s="1">
        <v>890</v>
      </c>
    </row>
    <row r="861" spans="1:1">
      <c r="A861" s="1">
        <v>891</v>
      </c>
    </row>
    <row r="862" spans="1:1">
      <c r="A862" s="1">
        <v>892</v>
      </c>
    </row>
    <row r="863" spans="1:1">
      <c r="A863" s="1">
        <v>893</v>
      </c>
    </row>
    <row r="864" spans="1:1">
      <c r="A864" s="1">
        <v>894</v>
      </c>
    </row>
    <row r="865" spans="1:1">
      <c r="A865" s="1">
        <v>895</v>
      </c>
    </row>
    <row r="866" spans="1:1">
      <c r="A866" s="1">
        <v>896</v>
      </c>
    </row>
    <row r="867" spans="1:1">
      <c r="A867" s="1">
        <v>897</v>
      </c>
    </row>
    <row r="868" spans="1:1">
      <c r="A868" s="1">
        <v>898</v>
      </c>
    </row>
    <row r="869" spans="1:1">
      <c r="A869" s="1">
        <v>899</v>
      </c>
    </row>
    <row r="870" spans="1:1">
      <c r="A870" s="1">
        <v>900</v>
      </c>
    </row>
    <row r="871" spans="1:1">
      <c r="A871" s="1">
        <v>901</v>
      </c>
    </row>
    <row r="872" spans="1:1">
      <c r="A872" s="1">
        <v>902</v>
      </c>
    </row>
    <row r="873" spans="1:1">
      <c r="A873" s="1">
        <v>903</v>
      </c>
    </row>
    <row r="874" spans="1:1">
      <c r="A874" s="1">
        <v>904</v>
      </c>
    </row>
    <row r="875" spans="1:1">
      <c r="A875" s="1">
        <v>905</v>
      </c>
    </row>
    <row r="876" spans="1:1">
      <c r="A876" s="1">
        <v>906</v>
      </c>
    </row>
    <row r="877" spans="1:1">
      <c r="A877" s="1">
        <v>907</v>
      </c>
    </row>
    <row r="878" spans="1:1">
      <c r="A878" s="1">
        <v>908</v>
      </c>
    </row>
    <row r="879" spans="1:1">
      <c r="A879" s="1">
        <v>909</v>
      </c>
    </row>
    <row r="880" spans="1:1">
      <c r="A880" s="1">
        <v>910</v>
      </c>
    </row>
    <row r="881" spans="1:1">
      <c r="A881" s="1">
        <v>911</v>
      </c>
    </row>
    <row r="882" spans="1:1">
      <c r="A882" s="1">
        <v>912</v>
      </c>
    </row>
    <row r="883" spans="1:1">
      <c r="A883" s="1">
        <v>913</v>
      </c>
    </row>
    <row r="884" spans="1:1">
      <c r="A884" s="1">
        <v>914</v>
      </c>
    </row>
    <row r="885" spans="1:1">
      <c r="A885" s="1">
        <v>915</v>
      </c>
    </row>
    <row r="886" spans="1:1">
      <c r="A886" s="1">
        <v>916</v>
      </c>
    </row>
    <row r="887" spans="1:1">
      <c r="A887" s="1">
        <v>917</v>
      </c>
    </row>
    <row r="888" spans="1:1">
      <c r="A888" s="1">
        <v>918</v>
      </c>
    </row>
    <row r="889" spans="1:1">
      <c r="A889" s="1">
        <v>919</v>
      </c>
    </row>
    <row r="890" spans="1:1">
      <c r="A890" s="1">
        <v>920</v>
      </c>
    </row>
    <row r="891" spans="1:1">
      <c r="A891" s="1">
        <v>921</v>
      </c>
    </row>
    <row r="892" spans="1:1">
      <c r="A892" s="1">
        <v>922</v>
      </c>
    </row>
    <row r="893" spans="1:1">
      <c r="A893" s="1">
        <v>923</v>
      </c>
    </row>
    <row r="894" spans="1:1">
      <c r="A894" s="1">
        <v>924</v>
      </c>
    </row>
    <row r="895" spans="1:1">
      <c r="A895" s="1">
        <v>925</v>
      </c>
    </row>
    <row r="896" spans="1:1">
      <c r="A896" s="1">
        <v>926</v>
      </c>
    </row>
    <row r="897" spans="1:1">
      <c r="A897" s="1">
        <v>927</v>
      </c>
    </row>
    <row r="898" spans="1:1">
      <c r="A898" s="1">
        <v>928</v>
      </c>
    </row>
    <row r="899" spans="1:1">
      <c r="A899" s="1">
        <v>929</v>
      </c>
    </row>
    <row r="900" spans="1:1">
      <c r="A900" s="1">
        <v>930</v>
      </c>
    </row>
    <row r="901" spans="1:1">
      <c r="A901" s="1">
        <v>931</v>
      </c>
    </row>
    <row r="902" spans="1:1">
      <c r="A902" s="1">
        <v>932</v>
      </c>
    </row>
    <row r="903" spans="1:1">
      <c r="A903" s="1">
        <v>933</v>
      </c>
    </row>
    <row r="904" spans="1:1">
      <c r="A904" s="1">
        <v>934</v>
      </c>
    </row>
    <row r="905" spans="1:1">
      <c r="A905" s="1">
        <v>935</v>
      </c>
    </row>
    <row r="906" spans="1:1">
      <c r="A906" s="1">
        <v>936</v>
      </c>
    </row>
    <row r="907" spans="1:1">
      <c r="A907" s="1">
        <v>937</v>
      </c>
    </row>
    <row r="908" spans="1:1">
      <c r="A908" s="1">
        <v>938</v>
      </c>
    </row>
    <row r="909" spans="1:1">
      <c r="A909" s="1">
        <v>939</v>
      </c>
    </row>
    <row r="910" spans="1:1">
      <c r="A910" s="1">
        <v>940</v>
      </c>
    </row>
    <row r="911" spans="1:1">
      <c r="A911" s="1">
        <v>941</v>
      </c>
    </row>
    <row r="912" spans="1:1">
      <c r="A912" s="1">
        <v>942</v>
      </c>
    </row>
    <row r="913" spans="1:1">
      <c r="A913" s="1">
        <v>943</v>
      </c>
    </row>
    <row r="914" spans="1:1">
      <c r="A914" s="1">
        <v>944</v>
      </c>
    </row>
    <row r="915" spans="1:1">
      <c r="A915" s="1">
        <v>945</v>
      </c>
    </row>
    <row r="916" spans="1:1">
      <c r="A916" s="1">
        <v>946</v>
      </c>
    </row>
    <row r="917" spans="1:1">
      <c r="A917" s="1">
        <v>947</v>
      </c>
    </row>
    <row r="918" spans="1:1">
      <c r="A918" s="1">
        <v>948</v>
      </c>
    </row>
    <row r="919" spans="1:1">
      <c r="A919" s="1">
        <v>949</v>
      </c>
    </row>
    <row r="920" spans="1:1">
      <c r="A920" s="1">
        <v>950</v>
      </c>
    </row>
    <row r="921" spans="1:1">
      <c r="A921" s="1">
        <v>951</v>
      </c>
    </row>
    <row r="922" spans="1:1">
      <c r="A922" s="1">
        <v>952</v>
      </c>
    </row>
    <row r="923" spans="1:1">
      <c r="A923" s="1">
        <v>953</v>
      </c>
    </row>
    <row r="924" spans="1:1">
      <c r="A924" s="1">
        <v>954</v>
      </c>
    </row>
    <row r="925" spans="1:1">
      <c r="A925" s="1">
        <v>955</v>
      </c>
    </row>
    <row r="926" spans="1:1">
      <c r="A926" s="1">
        <v>956</v>
      </c>
    </row>
    <row r="927" spans="1:1">
      <c r="A927" s="1">
        <v>957</v>
      </c>
    </row>
    <row r="928" spans="1:1">
      <c r="A928" s="1">
        <v>958</v>
      </c>
    </row>
    <row r="929" spans="1:1">
      <c r="A929" s="1">
        <v>959</v>
      </c>
    </row>
    <row r="930" spans="1:1">
      <c r="A930" s="1">
        <v>960</v>
      </c>
    </row>
    <row r="931" spans="1:1">
      <c r="A931" s="1">
        <v>961</v>
      </c>
    </row>
    <row r="932" spans="1:1">
      <c r="A932" s="1">
        <v>962</v>
      </c>
    </row>
    <row r="933" spans="1:1">
      <c r="A933" s="1">
        <v>963</v>
      </c>
    </row>
    <row r="934" spans="1:1">
      <c r="A934" s="1">
        <v>964</v>
      </c>
    </row>
    <row r="935" spans="1:1">
      <c r="A935" s="1">
        <v>965</v>
      </c>
    </row>
    <row r="936" spans="1:1">
      <c r="A936" s="1">
        <v>966</v>
      </c>
    </row>
    <row r="937" spans="1:1">
      <c r="A937" s="1">
        <v>967</v>
      </c>
    </row>
    <row r="938" spans="1:1">
      <c r="A938" s="1">
        <v>968</v>
      </c>
    </row>
    <row r="939" spans="1:1">
      <c r="A939" s="1">
        <v>969</v>
      </c>
    </row>
    <row r="940" spans="1:1">
      <c r="A940" s="1">
        <v>970</v>
      </c>
    </row>
    <row r="941" spans="1:1">
      <c r="A941" s="1">
        <v>971</v>
      </c>
    </row>
    <row r="942" spans="1:1">
      <c r="A942" s="1">
        <v>972</v>
      </c>
    </row>
    <row r="943" spans="1:1">
      <c r="A943" s="1">
        <v>973</v>
      </c>
    </row>
    <row r="944" spans="1:1">
      <c r="A944" s="1">
        <v>974</v>
      </c>
    </row>
    <row r="945" spans="1:1">
      <c r="A945" s="1">
        <v>975</v>
      </c>
    </row>
    <row r="946" spans="1:1">
      <c r="A946" s="1">
        <v>976</v>
      </c>
    </row>
    <row r="947" spans="1:1">
      <c r="A947" s="1">
        <v>977</v>
      </c>
    </row>
    <row r="948" spans="1:1">
      <c r="A948" s="1">
        <v>978</v>
      </c>
    </row>
    <row r="949" spans="1:1">
      <c r="A949" s="1">
        <v>979</v>
      </c>
    </row>
    <row r="950" spans="1:1">
      <c r="A950" s="1">
        <v>980</v>
      </c>
    </row>
    <row r="951" spans="1:1">
      <c r="A951" s="1">
        <v>981</v>
      </c>
    </row>
    <row r="952" spans="1:1">
      <c r="A952" s="1">
        <v>982</v>
      </c>
    </row>
    <row r="953" spans="1:1">
      <c r="A953" s="1">
        <v>983</v>
      </c>
    </row>
    <row r="954" spans="1:1">
      <c r="A954" s="1">
        <v>984</v>
      </c>
    </row>
    <row r="955" spans="1:1">
      <c r="A955" s="1">
        <v>985</v>
      </c>
    </row>
    <row r="956" spans="1:1">
      <c r="A956" s="1">
        <v>986</v>
      </c>
    </row>
    <row r="957" spans="1:1">
      <c r="A957" s="1">
        <v>987</v>
      </c>
    </row>
    <row r="958" spans="1:1">
      <c r="A958" s="1">
        <v>988</v>
      </c>
    </row>
    <row r="959" spans="1:1">
      <c r="A959" s="1">
        <v>989</v>
      </c>
    </row>
    <row r="960" spans="1:1">
      <c r="A960" s="1">
        <v>990</v>
      </c>
    </row>
    <row r="961" spans="1:1">
      <c r="A961" s="1">
        <v>991</v>
      </c>
    </row>
    <row r="962" spans="1:1">
      <c r="A962" s="1">
        <v>992</v>
      </c>
    </row>
    <row r="963" spans="1:1">
      <c r="A963" s="1">
        <v>993</v>
      </c>
    </row>
    <row r="964" spans="1:1">
      <c r="A964" s="1">
        <v>994</v>
      </c>
    </row>
    <row r="965" spans="1:1">
      <c r="A965" s="1">
        <v>995</v>
      </c>
    </row>
    <row r="966" spans="1:1">
      <c r="A966" s="1">
        <v>996</v>
      </c>
    </row>
    <row r="967" spans="1:1">
      <c r="A967" s="1">
        <v>997</v>
      </c>
    </row>
    <row r="968" spans="1:1">
      <c r="A968" s="1">
        <v>998</v>
      </c>
    </row>
  </sheetData>
  <autoFilter ref="A2:H2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C7"/>
  <sheetViews>
    <sheetView workbookViewId="0">
      <selection activeCell="C4" sqref="C4"/>
    </sheetView>
  </sheetViews>
  <sheetFormatPr defaultColWidth="11.5703125" defaultRowHeight="15"/>
  <cols>
    <col min="2" max="2" width="16.140625" customWidth="1"/>
    <col min="3" max="3" width="24.7109375" bestFit="1" customWidth="1"/>
  </cols>
  <sheetData>
    <row r="2" spans="1:3">
      <c r="A2" s="3" t="s">
        <v>33</v>
      </c>
      <c r="B2" s="3" t="s">
        <v>34</v>
      </c>
      <c r="C2" s="3" t="s">
        <v>35</v>
      </c>
    </row>
    <row r="3" spans="1:3">
      <c r="A3" s="1">
        <v>1</v>
      </c>
      <c r="B3" t="s">
        <v>13</v>
      </c>
      <c r="C3" t="s">
        <v>36</v>
      </c>
    </row>
    <row r="4" spans="1:3">
      <c r="A4" s="1">
        <v>2</v>
      </c>
      <c r="B4" t="s">
        <v>18</v>
      </c>
    </row>
    <row r="5" spans="1:3">
      <c r="A5" s="1">
        <v>3</v>
      </c>
      <c r="B5" t="s">
        <v>19</v>
      </c>
    </row>
    <row r="6" spans="1:3">
      <c r="A6" s="1">
        <v>4</v>
      </c>
      <c r="B6" t="s">
        <v>20</v>
      </c>
    </row>
    <row r="7" spans="1:3">
      <c r="A7" s="1">
        <v>5</v>
      </c>
      <c r="B7" t="s">
        <v>21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3:B503"/>
  <sheetViews>
    <sheetView workbookViewId="0">
      <selection activeCell="B4" sqref="B4"/>
    </sheetView>
  </sheetViews>
  <sheetFormatPr defaultColWidth="11.5703125" defaultRowHeight="15"/>
  <cols>
    <col min="2" max="2" width="16.7109375" customWidth="1"/>
  </cols>
  <sheetData>
    <row r="3" spans="2:2" ht="15.75">
      <c r="B3" s="39" t="s">
        <v>66</v>
      </c>
    </row>
    <row r="4" spans="2:2">
      <c r="B4" s="7" t="s">
        <v>22</v>
      </c>
    </row>
    <row r="5" spans="2:2">
      <c r="B5" s="7" t="s">
        <v>59</v>
      </c>
    </row>
    <row r="6" spans="2:2">
      <c r="B6" s="7" t="s">
        <v>60</v>
      </c>
    </row>
    <row r="7" spans="2:2">
      <c r="B7" s="7" t="s">
        <v>61</v>
      </c>
    </row>
    <row r="8" spans="2:2">
      <c r="B8" s="7" t="s">
        <v>62</v>
      </c>
    </row>
    <row r="9" spans="2:2">
      <c r="B9" s="7" t="s">
        <v>63</v>
      </c>
    </row>
    <row r="10" spans="2:2">
      <c r="B10" s="7" t="s">
        <v>64</v>
      </c>
    </row>
    <row r="11" spans="2:2">
      <c r="B11" s="7" t="s">
        <v>65</v>
      </c>
    </row>
    <row r="12" spans="2:2">
      <c r="B12" s="7" t="s">
        <v>67</v>
      </c>
    </row>
    <row r="13" spans="2:2">
      <c r="B13" s="7" t="s">
        <v>68</v>
      </c>
    </row>
    <row r="14" spans="2:2">
      <c r="B14" s="7" t="s">
        <v>69</v>
      </c>
    </row>
    <row r="15" spans="2:2">
      <c r="B15" s="7" t="s">
        <v>70</v>
      </c>
    </row>
    <row r="16" spans="2:2">
      <c r="B16" s="7" t="s">
        <v>71</v>
      </c>
    </row>
    <row r="17" spans="2:2">
      <c r="B17" s="7" t="s">
        <v>72</v>
      </c>
    </row>
    <row r="18" spans="2:2">
      <c r="B18" s="7" t="s">
        <v>73</v>
      </c>
    </row>
    <row r="19" spans="2:2">
      <c r="B19" s="7" t="s">
        <v>74</v>
      </c>
    </row>
    <row r="20" spans="2:2">
      <c r="B20" s="7" t="s">
        <v>75</v>
      </c>
    </row>
    <row r="21" spans="2:2">
      <c r="B21" s="7" t="s">
        <v>76</v>
      </c>
    </row>
    <row r="22" spans="2:2">
      <c r="B22" s="7" t="s">
        <v>77</v>
      </c>
    </row>
    <row r="23" spans="2:2">
      <c r="B23" s="7" t="s">
        <v>78</v>
      </c>
    </row>
    <row r="24" spans="2:2">
      <c r="B24" s="7" t="s">
        <v>79</v>
      </c>
    </row>
    <row r="25" spans="2:2">
      <c r="B25" s="7" t="s">
        <v>80</v>
      </c>
    </row>
    <row r="26" spans="2:2">
      <c r="B26" s="7" t="s">
        <v>81</v>
      </c>
    </row>
    <row r="27" spans="2:2">
      <c r="B27" s="7" t="s">
        <v>82</v>
      </c>
    </row>
    <row r="28" spans="2:2">
      <c r="B28" s="7" t="s">
        <v>83</v>
      </c>
    </row>
    <row r="29" spans="2:2">
      <c r="B29" s="7" t="s">
        <v>84</v>
      </c>
    </row>
    <row r="30" spans="2:2">
      <c r="B30" s="7" t="s">
        <v>85</v>
      </c>
    </row>
    <row r="31" spans="2:2">
      <c r="B31" s="7" t="s">
        <v>86</v>
      </c>
    </row>
    <row r="32" spans="2:2">
      <c r="B32" s="7" t="s">
        <v>87</v>
      </c>
    </row>
    <row r="33" spans="2:2">
      <c r="B33" s="7" t="s">
        <v>88</v>
      </c>
    </row>
    <row r="34" spans="2:2">
      <c r="B34" s="7" t="s">
        <v>89</v>
      </c>
    </row>
    <row r="35" spans="2:2">
      <c r="B35" s="7" t="s">
        <v>90</v>
      </c>
    </row>
    <row r="36" spans="2:2">
      <c r="B36" s="7" t="s">
        <v>91</v>
      </c>
    </row>
    <row r="37" spans="2:2">
      <c r="B37" s="7" t="s">
        <v>92</v>
      </c>
    </row>
    <row r="38" spans="2:2">
      <c r="B38" s="7" t="s">
        <v>93</v>
      </c>
    </row>
    <row r="39" spans="2:2">
      <c r="B39" s="7" t="s">
        <v>94</v>
      </c>
    </row>
    <row r="40" spans="2:2">
      <c r="B40" s="7" t="s">
        <v>95</v>
      </c>
    </row>
    <row r="41" spans="2:2">
      <c r="B41" s="7" t="s">
        <v>96</v>
      </c>
    </row>
    <row r="42" spans="2:2">
      <c r="B42" s="7" t="s">
        <v>97</v>
      </c>
    </row>
    <row r="43" spans="2:2">
      <c r="B43" s="7" t="s">
        <v>98</v>
      </c>
    </row>
    <row r="44" spans="2:2">
      <c r="B44" s="7" t="s">
        <v>99</v>
      </c>
    </row>
    <row r="45" spans="2:2">
      <c r="B45" s="7" t="s">
        <v>100</v>
      </c>
    </row>
    <row r="46" spans="2:2">
      <c r="B46" s="7" t="s">
        <v>101</v>
      </c>
    </row>
    <row r="47" spans="2:2">
      <c r="B47" s="7" t="s">
        <v>102</v>
      </c>
    </row>
    <row r="48" spans="2:2">
      <c r="B48" s="7" t="s">
        <v>103</v>
      </c>
    </row>
    <row r="49" spans="2:2">
      <c r="B49" s="7" t="s">
        <v>104</v>
      </c>
    </row>
    <row r="50" spans="2:2">
      <c r="B50" s="7" t="s">
        <v>105</v>
      </c>
    </row>
    <row r="51" spans="2:2">
      <c r="B51" s="7" t="s">
        <v>106</v>
      </c>
    </row>
    <row r="52" spans="2:2">
      <c r="B52" s="7" t="s">
        <v>107</v>
      </c>
    </row>
    <row r="53" spans="2:2">
      <c r="B53" s="7" t="s">
        <v>108</v>
      </c>
    </row>
    <row r="54" spans="2:2">
      <c r="B54" s="7" t="s">
        <v>109</v>
      </c>
    </row>
    <row r="55" spans="2:2">
      <c r="B55" s="7" t="s">
        <v>110</v>
      </c>
    </row>
    <row r="56" spans="2:2">
      <c r="B56" s="7" t="s">
        <v>111</v>
      </c>
    </row>
    <row r="57" spans="2:2">
      <c r="B57" s="7" t="s">
        <v>112</v>
      </c>
    </row>
    <row r="58" spans="2:2">
      <c r="B58" s="7" t="s">
        <v>113</v>
      </c>
    </row>
    <row r="59" spans="2:2">
      <c r="B59" s="7" t="s">
        <v>114</v>
      </c>
    </row>
    <row r="60" spans="2:2">
      <c r="B60" s="7" t="s">
        <v>115</v>
      </c>
    </row>
    <row r="61" spans="2:2">
      <c r="B61" s="7" t="s">
        <v>116</v>
      </c>
    </row>
    <row r="62" spans="2:2">
      <c r="B62" s="7" t="s">
        <v>117</v>
      </c>
    </row>
    <row r="63" spans="2:2">
      <c r="B63" s="7" t="s">
        <v>118</v>
      </c>
    </row>
    <row r="64" spans="2:2">
      <c r="B64" s="7" t="s">
        <v>119</v>
      </c>
    </row>
    <row r="65" spans="2:2">
      <c r="B65" s="7" t="s">
        <v>120</v>
      </c>
    </row>
    <row r="66" spans="2:2">
      <c r="B66" s="7" t="s">
        <v>121</v>
      </c>
    </row>
    <row r="67" spans="2:2">
      <c r="B67" s="7" t="s">
        <v>122</v>
      </c>
    </row>
    <row r="68" spans="2:2">
      <c r="B68" s="7" t="s">
        <v>123</v>
      </c>
    </row>
    <row r="69" spans="2:2">
      <c r="B69" s="7" t="s">
        <v>124</v>
      </c>
    </row>
    <row r="70" spans="2:2">
      <c r="B70" s="7" t="s">
        <v>125</v>
      </c>
    </row>
    <row r="71" spans="2:2">
      <c r="B71" s="7" t="s">
        <v>126</v>
      </c>
    </row>
    <row r="72" spans="2:2">
      <c r="B72" s="7" t="s">
        <v>127</v>
      </c>
    </row>
    <row r="73" spans="2:2">
      <c r="B73" s="7" t="s">
        <v>128</v>
      </c>
    </row>
    <row r="74" spans="2:2">
      <c r="B74" s="7" t="s">
        <v>129</v>
      </c>
    </row>
    <row r="75" spans="2:2">
      <c r="B75" s="7" t="s">
        <v>130</v>
      </c>
    </row>
    <row r="76" spans="2:2">
      <c r="B76" s="7" t="s">
        <v>131</v>
      </c>
    </row>
    <row r="77" spans="2:2">
      <c r="B77" s="7" t="s">
        <v>132</v>
      </c>
    </row>
    <row r="78" spans="2:2">
      <c r="B78" s="7" t="s">
        <v>133</v>
      </c>
    </row>
    <row r="79" spans="2:2">
      <c r="B79" s="7" t="s">
        <v>134</v>
      </c>
    </row>
    <row r="80" spans="2:2">
      <c r="B80" s="7" t="s">
        <v>135</v>
      </c>
    </row>
    <row r="81" spans="2:2">
      <c r="B81" s="7" t="s">
        <v>136</v>
      </c>
    </row>
    <row r="82" spans="2:2">
      <c r="B82" s="7" t="s">
        <v>137</v>
      </c>
    </row>
    <row r="83" spans="2:2">
      <c r="B83" s="7" t="s">
        <v>138</v>
      </c>
    </row>
    <row r="84" spans="2:2">
      <c r="B84" s="7" t="s">
        <v>139</v>
      </c>
    </row>
    <row r="85" spans="2:2">
      <c r="B85" s="7" t="s">
        <v>140</v>
      </c>
    </row>
    <row r="86" spans="2:2">
      <c r="B86" s="7" t="s">
        <v>141</v>
      </c>
    </row>
    <row r="87" spans="2:2">
      <c r="B87" s="7" t="s">
        <v>142</v>
      </c>
    </row>
    <row r="88" spans="2:2">
      <c r="B88" s="7" t="s">
        <v>143</v>
      </c>
    </row>
    <row r="89" spans="2:2">
      <c r="B89" s="7" t="s">
        <v>144</v>
      </c>
    </row>
    <row r="90" spans="2:2">
      <c r="B90" s="7" t="s">
        <v>145</v>
      </c>
    </row>
    <row r="91" spans="2:2">
      <c r="B91" s="7" t="s">
        <v>146</v>
      </c>
    </row>
    <row r="92" spans="2:2">
      <c r="B92" s="7" t="s">
        <v>147</v>
      </c>
    </row>
    <row r="93" spans="2:2">
      <c r="B93" s="7" t="s">
        <v>148</v>
      </c>
    </row>
    <row r="94" spans="2:2">
      <c r="B94" s="7" t="s">
        <v>149</v>
      </c>
    </row>
    <row r="95" spans="2:2">
      <c r="B95" s="7" t="s">
        <v>150</v>
      </c>
    </row>
    <row r="96" spans="2:2">
      <c r="B96" s="7" t="s">
        <v>151</v>
      </c>
    </row>
    <row r="97" spans="2:2">
      <c r="B97" s="7" t="s">
        <v>152</v>
      </c>
    </row>
    <row r="98" spans="2:2">
      <c r="B98" s="7" t="s">
        <v>153</v>
      </c>
    </row>
    <row r="99" spans="2:2">
      <c r="B99" s="7" t="s">
        <v>154</v>
      </c>
    </row>
    <row r="100" spans="2:2">
      <c r="B100" s="7" t="s">
        <v>155</v>
      </c>
    </row>
    <row r="101" spans="2:2">
      <c r="B101" s="7" t="s">
        <v>156</v>
      </c>
    </row>
    <row r="102" spans="2:2">
      <c r="B102" s="7" t="s">
        <v>157</v>
      </c>
    </row>
    <row r="103" spans="2:2">
      <c r="B103" s="7" t="s">
        <v>158</v>
      </c>
    </row>
    <row r="104" spans="2:2">
      <c r="B104" s="7" t="s">
        <v>159</v>
      </c>
    </row>
    <row r="105" spans="2:2">
      <c r="B105" s="7" t="s">
        <v>160</v>
      </c>
    </row>
    <row r="106" spans="2:2">
      <c r="B106" s="7" t="s">
        <v>161</v>
      </c>
    </row>
    <row r="107" spans="2:2">
      <c r="B107" s="7" t="s">
        <v>162</v>
      </c>
    </row>
    <row r="108" spans="2:2">
      <c r="B108" s="7" t="s">
        <v>163</v>
      </c>
    </row>
    <row r="109" spans="2:2">
      <c r="B109" s="7" t="s">
        <v>164</v>
      </c>
    </row>
    <row r="110" spans="2:2">
      <c r="B110" s="7" t="s">
        <v>165</v>
      </c>
    </row>
    <row r="111" spans="2:2">
      <c r="B111" s="7" t="s">
        <v>166</v>
      </c>
    </row>
    <row r="112" spans="2:2">
      <c r="B112" s="7" t="s">
        <v>167</v>
      </c>
    </row>
    <row r="113" spans="2:2">
      <c r="B113" s="7" t="s">
        <v>168</v>
      </c>
    </row>
    <row r="114" spans="2:2">
      <c r="B114" s="7" t="s">
        <v>169</v>
      </c>
    </row>
    <row r="115" spans="2:2">
      <c r="B115" s="7" t="s">
        <v>170</v>
      </c>
    </row>
    <row r="116" spans="2:2">
      <c r="B116" s="7" t="s">
        <v>171</v>
      </c>
    </row>
    <row r="117" spans="2:2">
      <c r="B117" s="7" t="s">
        <v>172</v>
      </c>
    </row>
    <row r="118" spans="2:2">
      <c r="B118" s="7" t="s">
        <v>173</v>
      </c>
    </row>
    <row r="119" spans="2:2">
      <c r="B119" s="7" t="s">
        <v>174</v>
      </c>
    </row>
    <row r="120" spans="2:2">
      <c r="B120" s="7" t="s">
        <v>175</v>
      </c>
    </row>
    <row r="121" spans="2:2">
      <c r="B121" s="7" t="s">
        <v>176</v>
      </c>
    </row>
    <row r="122" spans="2:2">
      <c r="B122" s="7" t="s">
        <v>177</v>
      </c>
    </row>
    <row r="123" spans="2:2">
      <c r="B123" s="7" t="s">
        <v>178</v>
      </c>
    </row>
    <row r="124" spans="2:2">
      <c r="B124" s="7" t="s">
        <v>179</v>
      </c>
    </row>
    <row r="125" spans="2:2">
      <c r="B125" s="7" t="s">
        <v>180</v>
      </c>
    </row>
    <row r="126" spans="2:2">
      <c r="B126" s="7" t="s">
        <v>181</v>
      </c>
    </row>
    <row r="127" spans="2:2">
      <c r="B127" s="7" t="s">
        <v>182</v>
      </c>
    </row>
    <row r="128" spans="2:2">
      <c r="B128" s="7" t="s">
        <v>183</v>
      </c>
    </row>
    <row r="129" spans="2:2">
      <c r="B129" s="7" t="s">
        <v>184</v>
      </c>
    </row>
    <row r="130" spans="2:2">
      <c r="B130" s="7" t="s">
        <v>185</v>
      </c>
    </row>
    <row r="131" spans="2:2">
      <c r="B131" s="7" t="s">
        <v>186</v>
      </c>
    </row>
    <row r="132" spans="2:2">
      <c r="B132" s="7" t="s">
        <v>187</v>
      </c>
    </row>
    <row r="133" spans="2:2">
      <c r="B133" s="7" t="s">
        <v>188</v>
      </c>
    </row>
    <row r="134" spans="2:2">
      <c r="B134" s="7" t="s">
        <v>189</v>
      </c>
    </row>
    <row r="135" spans="2:2">
      <c r="B135" s="7" t="s">
        <v>190</v>
      </c>
    </row>
    <row r="136" spans="2:2">
      <c r="B136" s="7" t="s">
        <v>191</v>
      </c>
    </row>
    <row r="137" spans="2:2">
      <c r="B137" s="7" t="s">
        <v>192</v>
      </c>
    </row>
    <row r="138" spans="2:2">
      <c r="B138" s="7" t="s">
        <v>193</v>
      </c>
    </row>
    <row r="139" spans="2:2">
      <c r="B139" s="7" t="s">
        <v>194</v>
      </c>
    </row>
    <row r="140" spans="2:2">
      <c r="B140" s="7" t="s">
        <v>195</v>
      </c>
    </row>
    <row r="141" spans="2:2">
      <c r="B141" s="7" t="s">
        <v>196</v>
      </c>
    </row>
    <row r="142" spans="2:2">
      <c r="B142" s="7" t="s">
        <v>197</v>
      </c>
    </row>
    <row r="143" spans="2:2">
      <c r="B143" s="7" t="s">
        <v>198</v>
      </c>
    </row>
    <row r="144" spans="2:2">
      <c r="B144" s="7" t="s">
        <v>199</v>
      </c>
    </row>
    <row r="145" spans="2:2">
      <c r="B145" s="7" t="s">
        <v>200</v>
      </c>
    </row>
    <row r="146" spans="2:2">
      <c r="B146" s="7" t="s">
        <v>201</v>
      </c>
    </row>
    <row r="147" spans="2:2">
      <c r="B147" s="7" t="s">
        <v>202</v>
      </c>
    </row>
    <row r="148" spans="2:2">
      <c r="B148" s="7" t="s">
        <v>203</v>
      </c>
    </row>
    <row r="149" spans="2:2">
      <c r="B149" s="7" t="s">
        <v>204</v>
      </c>
    </row>
    <row r="150" spans="2:2">
      <c r="B150" s="7" t="s">
        <v>205</v>
      </c>
    </row>
    <row r="151" spans="2:2">
      <c r="B151" s="7" t="s">
        <v>206</v>
      </c>
    </row>
    <row r="152" spans="2:2">
      <c r="B152" s="7" t="s">
        <v>207</v>
      </c>
    </row>
    <row r="153" spans="2:2">
      <c r="B153" s="7" t="s">
        <v>208</v>
      </c>
    </row>
    <row r="154" spans="2:2">
      <c r="B154" s="7" t="s">
        <v>209</v>
      </c>
    </row>
    <row r="155" spans="2:2">
      <c r="B155" s="7" t="s">
        <v>210</v>
      </c>
    </row>
    <row r="156" spans="2:2">
      <c r="B156" s="7" t="s">
        <v>211</v>
      </c>
    </row>
    <row r="157" spans="2:2">
      <c r="B157" s="7" t="s">
        <v>212</v>
      </c>
    </row>
    <row r="158" spans="2:2">
      <c r="B158" s="7" t="s">
        <v>213</v>
      </c>
    </row>
    <row r="159" spans="2:2">
      <c r="B159" s="7" t="s">
        <v>214</v>
      </c>
    </row>
    <row r="160" spans="2:2">
      <c r="B160" s="7" t="s">
        <v>215</v>
      </c>
    </row>
    <row r="161" spans="2:2">
      <c r="B161" s="7" t="s">
        <v>216</v>
      </c>
    </row>
    <row r="162" spans="2:2">
      <c r="B162" s="7" t="s">
        <v>217</v>
      </c>
    </row>
    <row r="163" spans="2:2">
      <c r="B163" s="7" t="s">
        <v>218</v>
      </c>
    </row>
    <row r="164" spans="2:2">
      <c r="B164" s="7" t="s">
        <v>219</v>
      </c>
    </row>
    <row r="165" spans="2:2">
      <c r="B165" s="7" t="s">
        <v>220</v>
      </c>
    </row>
    <row r="166" spans="2:2">
      <c r="B166" s="7" t="s">
        <v>221</v>
      </c>
    </row>
    <row r="167" spans="2:2">
      <c r="B167" s="7" t="s">
        <v>222</v>
      </c>
    </row>
    <row r="168" spans="2:2">
      <c r="B168" s="7" t="s">
        <v>223</v>
      </c>
    </row>
    <row r="169" spans="2:2">
      <c r="B169" s="7" t="s">
        <v>224</v>
      </c>
    </row>
    <row r="170" spans="2:2">
      <c r="B170" s="7" t="s">
        <v>225</v>
      </c>
    </row>
    <row r="171" spans="2:2">
      <c r="B171" s="7" t="s">
        <v>226</v>
      </c>
    </row>
    <row r="172" spans="2:2">
      <c r="B172" s="7" t="s">
        <v>227</v>
      </c>
    </row>
    <row r="173" spans="2:2">
      <c r="B173" s="7" t="s">
        <v>228</v>
      </c>
    </row>
    <row r="174" spans="2:2">
      <c r="B174" s="7" t="s">
        <v>229</v>
      </c>
    </row>
    <row r="175" spans="2:2">
      <c r="B175" s="7" t="s">
        <v>230</v>
      </c>
    </row>
    <row r="176" spans="2:2">
      <c r="B176" s="7" t="s">
        <v>231</v>
      </c>
    </row>
    <row r="177" spans="2:2">
      <c r="B177" s="7" t="s">
        <v>232</v>
      </c>
    </row>
    <row r="178" spans="2:2">
      <c r="B178" s="7" t="s">
        <v>233</v>
      </c>
    </row>
    <row r="179" spans="2:2">
      <c r="B179" s="7" t="s">
        <v>234</v>
      </c>
    </row>
    <row r="180" spans="2:2">
      <c r="B180" s="7" t="s">
        <v>235</v>
      </c>
    </row>
    <row r="181" spans="2:2">
      <c r="B181" s="7" t="s">
        <v>236</v>
      </c>
    </row>
    <row r="182" spans="2:2">
      <c r="B182" s="7" t="s">
        <v>237</v>
      </c>
    </row>
    <row r="183" spans="2:2">
      <c r="B183" s="7" t="s">
        <v>238</v>
      </c>
    </row>
    <row r="184" spans="2:2">
      <c r="B184" s="7" t="s">
        <v>239</v>
      </c>
    </row>
    <row r="185" spans="2:2">
      <c r="B185" s="7" t="s">
        <v>240</v>
      </c>
    </row>
    <row r="186" spans="2:2">
      <c r="B186" s="7" t="s">
        <v>241</v>
      </c>
    </row>
    <row r="187" spans="2:2">
      <c r="B187" s="7" t="s">
        <v>242</v>
      </c>
    </row>
    <row r="188" spans="2:2">
      <c r="B188" s="7" t="s">
        <v>243</v>
      </c>
    </row>
    <row r="189" spans="2:2">
      <c r="B189" s="7" t="s">
        <v>244</v>
      </c>
    </row>
    <row r="190" spans="2:2">
      <c r="B190" s="7" t="s">
        <v>245</v>
      </c>
    </row>
    <row r="191" spans="2:2">
      <c r="B191" s="7" t="s">
        <v>246</v>
      </c>
    </row>
    <row r="192" spans="2:2">
      <c r="B192" s="7" t="s">
        <v>247</v>
      </c>
    </row>
    <row r="193" spans="2:2">
      <c r="B193" s="7" t="s">
        <v>248</v>
      </c>
    </row>
    <row r="194" spans="2:2">
      <c r="B194" s="7" t="s">
        <v>249</v>
      </c>
    </row>
    <row r="195" spans="2:2">
      <c r="B195" s="7" t="s">
        <v>250</v>
      </c>
    </row>
    <row r="196" spans="2:2">
      <c r="B196" s="7" t="s">
        <v>251</v>
      </c>
    </row>
    <row r="197" spans="2:2">
      <c r="B197" s="7" t="s">
        <v>252</v>
      </c>
    </row>
    <row r="198" spans="2:2">
      <c r="B198" s="7" t="s">
        <v>253</v>
      </c>
    </row>
    <row r="199" spans="2:2">
      <c r="B199" s="7" t="s">
        <v>254</v>
      </c>
    </row>
    <row r="200" spans="2:2">
      <c r="B200" s="7" t="s">
        <v>255</v>
      </c>
    </row>
    <row r="201" spans="2:2">
      <c r="B201" s="7" t="s">
        <v>256</v>
      </c>
    </row>
    <row r="202" spans="2:2">
      <c r="B202" s="7" t="s">
        <v>257</v>
      </c>
    </row>
    <row r="203" spans="2:2">
      <c r="B203" s="7" t="s">
        <v>258</v>
      </c>
    </row>
    <row r="204" spans="2:2">
      <c r="B204" s="7" t="s">
        <v>259</v>
      </c>
    </row>
    <row r="205" spans="2:2">
      <c r="B205" s="7" t="s">
        <v>260</v>
      </c>
    </row>
    <row r="206" spans="2:2">
      <c r="B206" s="7" t="s">
        <v>261</v>
      </c>
    </row>
    <row r="207" spans="2:2">
      <c r="B207" s="7" t="s">
        <v>262</v>
      </c>
    </row>
    <row r="208" spans="2:2">
      <c r="B208" s="7" t="s">
        <v>263</v>
      </c>
    </row>
    <row r="209" spans="2:2">
      <c r="B209" s="7" t="s">
        <v>264</v>
      </c>
    </row>
    <row r="210" spans="2:2">
      <c r="B210" s="7" t="s">
        <v>265</v>
      </c>
    </row>
    <row r="211" spans="2:2">
      <c r="B211" s="7" t="s">
        <v>266</v>
      </c>
    </row>
    <row r="212" spans="2:2">
      <c r="B212" s="7" t="s">
        <v>267</v>
      </c>
    </row>
    <row r="213" spans="2:2">
      <c r="B213" s="7" t="s">
        <v>268</v>
      </c>
    </row>
    <row r="214" spans="2:2">
      <c r="B214" s="7" t="s">
        <v>269</v>
      </c>
    </row>
    <row r="215" spans="2:2">
      <c r="B215" s="7" t="s">
        <v>270</v>
      </c>
    </row>
    <row r="216" spans="2:2">
      <c r="B216" s="7" t="s">
        <v>271</v>
      </c>
    </row>
    <row r="217" spans="2:2">
      <c r="B217" s="7" t="s">
        <v>272</v>
      </c>
    </row>
    <row r="218" spans="2:2">
      <c r="B218" s="7" t="s">
        <v>273</v>
      </c>
    </row>
    <row r="219" spans="2:2">
      <c r="B219" s="7" t="s">
        <v>274</v>
      </c>
    </row>
    <row r="220" spans="2:2">
      <c r="B220" s="7" t="s">
        <v>275</v>
      </c>
    </row>
    <row r="221" spans="2:2">
      <c r="B221" s="7" t="s">
        <v>276</v>
      </c>
    </row>
    <row r="222" spans="2:2">
      <c r="B222" s="7" t="s">
        <v>277</v>
      </c>
    </row>
    <row r="223" spans="2:2">
      <c r="B223" s="7" t="s">
        <v>278</v>
      </c>
    </row>
    <row r="224" spans="2:2">
      <c r="B224" s="7" t="s">
        <v>279</v>
      </c>
    </row>
    <row r="225" spans="2:2">
      <c r="B225" s="7" t="s">
        <v>280</v>
      </c>
    </row>
    <row r="226" spans="2:2">
      <c r="B226" s="7" t="s">
        <v>281</v>
      </c>
    </row>
    <row r="227" spans="2:2">
      <c r="B227" s="7" t="s">
        <v>282</v>
      </c>
    </row>
    <row r="228" spans="2:2">
      <c r="B228" s="7" t="s">
        <v>283</v>
      </c>
    </row>
    <row r="229" spans="2:2">
      <c r="B229" s="7" t="s">
        <v>284</v>
      </c>
    </row>
    <row r="230" spans="2:2">
      <c r="B230" s="7" t="s">
        <v>285</v>
      </c>
    </row>
    <row r="231" spans="2:2">
      <c r="B231" s="7" t="s">
        <v>286</v>
      </c>
    </row>
    <row r="232" spans="2:2">
      <c r="B232" s="7" t="s">
        <v>287</v>
      </c>
    </row>
    <row r="233" spans="2:2">
      <c r="B233" s="7" t="s">
        <v>288</v>
      </c>
    </row>
    <row r="234" spans="2:2">
      <c r="B234" s="7" t="s">
        <v>289</v>
      </c>
    </row>
    <row r="235" spans="2:2">
      <c r="B235" s="7" t="s">
        <v>290</v>
      </c>
    </row>
    <row r="236" spans="2:2">
      <c r="B236" s="7" t="s">
        <v>291</v>
      </c>
    </row>
    <row r="237" spans="2:2">
      <c r="B237" s="7" t="s">
        <v>292</v>
      </c>
    </row>
    <row r="238" spans="2:2">
      <c r="B238" s="7" t="s">
        <v>293</v>
      </c>
    </row>
    <row r="239" spans="2:2">
      <c r="B239" s="7" t="s">
        <v>294</v>
      </c>
    </row>
    <row r="240" spans="2:2">
      <c r="B240" s="7" t="s">
        <v>295</v>
      </c>
    </row>
    <row r="241" spans="2:2">
      <c r="B241" s="7" t="s">
        <v>296</v>
      </c>
    </row>
    <row r="242" spans="2:2">
      <c r="B242" s="7" t="s">
        <v>297</v>
      </c>
    </row>
    <row r="243" spans="2:2">
      <c r="B243" s="7" t="s">
        <v>298</v>
      </c>
    </row>
    <row r="244" spans="2:2">
      <c r="B244" s="7" t="s">
        <v>299</v>
      </c>
    </row>
    <row r="245" spans="2:2">
      <c r="B245" s="7" t="s">
        <v>300</v>
      </c>
    </row>
    <row r="246" spans="2:2">
      <c r="B246" s="7" t="s">
        <v>301</v>
      </c>
    </row>
    <row r="247" spans="2:2">
      <c r="B247" s="7" t="s">
        <v>302</v>
      </c>
    </row>
    <row r="248" spans="2:2">
      <c r="B248" s="7" t="s">
        <v>303</v>
      </c>
    </row>
    <row r="249" spans="2:2">
      <c r="B249" s="7" t="s">
        <v>304</v>
      </c>
    </row>
    <row r="250" spans="2:2">
      <c r="B250" s="7" t="s">
        <v>305</v>
      </c>
    </row>
    <row r="251" spans="2:2">
      <c r="B251" s="7" t="s">
        <v>306</v>
      </c>
    </row>
    <row r="252" spans="2:2">
      <c r="B252" s="7" t="s">
        <v>307</v>
      </c>
    </row>
    <row r="253" spans="2:2">
      <c r="B253" s="7" t="s">
        <v>308</v>
      </c>
    </row>
    <row r="254" spans="2:2">
      <c r="B254" s="7" t="s">
        <v>309</v>
      </c>
    </row>
    <row r="255" spans="2:2">
      <c r="B255" s="7" t="s">
        <v>310</v>
      </c>
    </row>
    <row r="256" spans="2:2">
      <c r="B256" s="7" t="s">
        <v>311</v>
      </c>
    </row>
    <row r="257" spans="2:2">
      <c r="B257" s="7" t="s">
        <v>312</v>
      </c>
    </row>
    <row r="258" spans="2:2">
      <c r="B258" s="7" t="s">
        <v>313</v>
      </c>
    </row>
    <row r="259" spans="2:2">
      <c r="B259" s="7" t="s">
        <v>314</v>
      </c>
    </row>
    <row r="260" spans="2:2">
      <c r="B260" s="7" t="s">
        <v>315</v>
      </c>
    </row>
    <row r="261" spans="2:2">
      <c r="B261" s="7" t="s">
        <v>316</v>
      </c>
    </row>
    <row r="262" spans="2:2">
      <c r="B262" s="7" t="s">
        <v>317</v>
      </c>
    </row>
    <row r="263" spans="2:2">
      <c r="B263" s="7" t="s">
        <v>318</v>
      </c>
    </row>
    <row r="264" spans="2:2">
      <c r="B264" s="7" t="s">
        <v>319</v>
      </c>
    </row>
    <row r="265" spans="2:2">
      <c r="B265" s="7" t="s">
        <v>320</v>
      </c>
    </row>
    <row r="266" spans="2:2">
      <c r="B266" s="7" t="s">
        <v>321</v>
      </c>
    </row>
    <row r="267" spans="2:2">
      <c r="B267" s="7" t="s">
        <v>322</v>
      </c>
    </row>
    <row r="268" spans="2:2">
      <c r="B268" s="7" t="s">
        <v>323</v>
      </c>
    </row>
    <row r="269" spans="2:2">
      <c r="B269" s="7" t="s">
        <v>324</v>
      </c>
    </row>
    <row r="270" spans="2:2">
      <c r="B270" s="7" t="s">
        <v>325</v>
      </c>
    </row>
    <row r="271" spans="2:2">
      <c r="B271" s="7" t="s">
        <v>326</v>
      </c>
    </row>
    <row r="272" spans="2:2">
      <c r="B272" s="7" t="s">
        <v>327</v>
      </c>
    </row>
    <row r="273" spans="2:2">
      <c r="B273" s="7" t="s">
        <v>328</v>
      </c>
    </row>
    <row r="274" spans="2:2">
      <c r="B274" s="7" t="s">
        <v>329</v>
      </c>
    </row>
    <row r="275" spans="2:2">
      <c r="B275" s="7" t="s">
        <v>330</v>
      </c>
    </row>
    <row r="276" spans="2:2">
      <c r="B276" s="7" t="s">
        <v>331</v>
      </c>
    </row>
    <row r="277" spans="2:2">
      <c r="B277" s="7" t="s">
        <v>332</v>
      </c>
    </row>
    <row r="278" spans="2:2">
      <c r="B278" s="7" t="s">
        <v>333</v>
      </c>
    </row>
    <row r="279" spans="2:2">
      <c r="B279" s="7" t="s">
        <v>334</v>
      </c>
    </row>
    <row r="280" spans="2:2">
      <c r="B280" s="7" t="s">
        <v>335</v>
      </c>
    </row>
    <row r="281" spans="2:2">
      <c r="B281" s="7" t="s">
        <v>336</v>
      </c>
    </row>
    <row r="282" spans="2:2">
      <c r="B282" s="7" t="s">
        <v>337</v>
      </c>
    </row>
    <row r="283" spans="2:2">
      <c r="B283" s="7" t="s">
        <v>338</v>
      </c>
    </row>
    <row r="284" spans="2:2">
      <c r="B284" s="7" t="s">
        <v>339</v>
      </c>
    </row>
    <row r="285" spans="2:2">
      <c r="B285" s="7" t="s">
        <v>340</v>
      </c>
    </row>
    <row r="286" spans="2:2">
      <c r="B286" s="7" t="s">
        <v>341</v>
      </c>
    </row>
    <row r="287" spans="2:2">
      <c r="B287" s="7" t="s">
        <v>342</v>
      </c>
    </row>
    <row r="288" spans="2:2">
      <c r="B288" s="7" t="s">
        <v>343</v>
      </c>
    </row>
    <row r="289" spans="2:2">
      <c r="B289" s="7" t="s">
        <v>344</v>
      </c>
    </row>
    <row r="290" spans="2:2">
      <c r="B290" s="7" t="s">
        <v>345</v>
      </c>
    </row>
    <row r="291" spans="2:2">
      <c r="B291" s="7" t="s">
        <v>346</v>
      </c>
    </row>
    <row r="292" spans="2:2">
      <c r="B292" s="7" t="s">
        <v>347</v>
      </c>
    </row>
    <row r="293" spans="2:2">
      <c r="B293" s="7" t="s">
        <v>348</v>
      </c>
    </row>
    <row r="294" spans="2:2">
      <c r="B294" s="7" t="s">
        <v>349</v>
      </c>
    </row>
    <row r="295" spans="2:2">
      <c r="B295" s="7" t="s">
        <v>350</v>
      </c>
    </row>
    <row r="296" spans="2:2">
      <c r="B296" s="7" t="s">
        <v>351</v>
      </c>
    </row>
    <row r="297" spans="2:2">
      <c r="B297" s="7" t="s">
        <v>352</v>
      </c>
    </row>
    <row r="298" spans="2:2">
      <c r="B298" s="7" t="s">
        <v>353</v>
      </c>
    </row>
    <row r="299" spans="2:2">
      <c r="B299" s="7" t="s">
        <v>354</v>
      </c>
    </row>
    <row r="300" spans="2:2">
      <c r="B300" s="7" t="s">
        <v>355</v>
      </c>
    </row>
    <row r="301" spans="2:2">
      <c r="B301" s="7" t="s">
        <v>356</v>
      </c>
    </row>
    <row r="302" spans="2:2">
      <c r="B302" s="7" t="s">
        <v>357</v>
      </c>
    </row>
    <row r="303" spans="2:2">
      <c r="B303" s="7" t="s">
        <v>358</v>
      </c>
    </row>
    <row r="304" spans="2:2">
      <c r="B304" s="7" t="s">
        <v>359</v>
      </c>
    </row>
    <row r="305" spans="2:2">
      <c r="B305" s="7" t="s">
        <v>360</v>
      </c>
    </row>
    <row r="306" spans="2:2">
      <c r="B306" s="7" t="s">
        <v>361</v>
      </c>
    </row>
    <row r="307" spans="2:2">
      <c r="B307" s="7" t="s">
        <v>362</v>
      </c>
    </row>
    <row r="308" spans="2:2">
      <c r="B308" s="7" t="s">
        <v>363</v>
      </c>
    </row>
    <row r="309" spans="2:2">
      <c r="B309" s="7" t="s">
        <v>364</v>
      </c>
    </row>
    <row r="310" spans="2:2">
      <c r="B310" s="7" t="s">
        <v>365</v>
      </c>
    </row>
    <row r="311" spans="2:2">
      <c r="B311" s="7" t="s">
        <v>366</v>
      </c>
    </row>
    <row r="312" spans="2:2">
      <c r="B312" s="7" t="s">
        <v>367</v>
      </c>
    </row>
    <row r="313" spans="2:2">
      <c r="B313" s="7" t="s">
        <v>368</v>
      </c>
    </row>
    <row r="314" spans="2:2">
      <c r="B314" s="7" t="s">
        <v>369</v>
      </c>
    </row>
    <row r="315" spans="2:2">
      <c r="B315" s="7" t="s">
        <v>370</v>
      </c>
    </row>
    <row r="316" spans="2:2">
      <c r="B316" s="7" t="s">
        <v>371</v>
      </c>
    </row>
    <row r="317" spans="2:2">
      <c r="B317" s="7" t="s">
        <v>372</v>
      </c>
    </row>
    <row r="318" spans="2:2">
      <c r="B318" s="7" t="s">
        <v>373</v>
      </c>
    </row>
    <row r="319" spans="2:2">
      <c r="B319" s="7" t="s">
        <v>374</v>
      </c>
    </row>
    <row r="320" spans="2:2">
      <c r="B320" s="7" t="s">
        <v>375</v>
      </c>
    </row>
    <row r="321" spans="2:2">
      <c r="B321" s="7" t="s">
        <v>376</v>
      </c>
    </row>
    <row r="322" spans="2:2">
      <c r="B322" s="7" t="s">
        <v>377</v>
      </c>
    </row>
    <row r="323" spans="2:2">
      <c r="B323" s="7" t="s">
        <v>378</v>
      </c>
    </row>
    <row r="324" spans="2:2">
      <c r="B324" s="7" t="s">
        <v>379</v>
      </c>
    </row>
    <row r="325" spans="2:2">
      <c r="B325" s="7" t="s">
        <v>380</v>
      </c>
    </row>
    <row r="326" spans="2:2">
      <c r="B326" s="7" t="s">
        <v>381</v>
      </c>
    </row>
    <row r="327" spans="2:2">
      <c r="B327" s="7" t="s">
        <v>382</v>
      </c>
    </row>
    <row r="328" spans="2:2">
      <c r="B328" s="7" t="s">
        <v>383</v>
      </c>
    </row>
    <row r="329" spans="2:2">
      <c r="B329" s="7" t="s">
        <v>384</v>
      </c>
    </row>
    <row r="330" spans="2:2">
      <c r="B330" s="7" t="s">
        <v>385</v>
      </c>
    </row>
    <row r="331" spans="2:2">
      <c r="B331" s="7" t="s">
        <v>386</v>
      </c>
    </row>
    <row r="332" spans="2:2">
      <c r="B332" s="7" t="s">
        <v>387</v>
      </c>
    </row>
    <row r="333" spans="2:2">
      <c r="B333" s="7" t="s">
        <v>388</v>
      </c>
    </row>
    <row r="334" spans="2:2">
      <c r="B334" s="7" t="s">
        <v>389</v>
      </c>
    </row>
    <row r="335" spans="2:2">
      <c r="B335" s="7" t="s">
        <v>390</v>
      </c>
    </row>
    <row r="336" spans="2:2">
      <c r="B336" s="7" t="s">
        <v>391</v>
      </c>
    </row>
    <row r="337" spans="2:2">
      <c r="B337" s="7" t="s">
        <v>392</v>
      </c>
    </row>
    <row r="338" spans="2:2">
      <c r="B338" s="7" t="s">
        <v>393</v>
      </c>
    </row>
    <row r="339" spans="2:2">
      <c r="B339" s="7" t="s">
        <v>394</v>
      </c>
    </row>
    <row r="340" spans="2:2">
      <c r="B340" s="7" t="s">
        <v>395</v>
      </c>
    </row>
    <row r="341" spans="2:2">
      <c r="B341" s="7" t="s">
        <v>396</v>
      </c>
    </row>
    <row r="342" spans="2:2">
      <c r="B342" s="7" t="s">
        <v>397</v>
      </c>
    </row>
    <row r="343" spans="2:2">
      <c r="B343" s="7" t="s">
        <v>398</v>
      </c>
    </row>
    <row r="344" spans="2:2">
      <c r="B344" s="7" t="s">
        <v>399</v>
      </c>
    </row>
    <row r="345" spans="2:2">
      <c r="B345" s="7" t="s">
        <v>400</v>
      </c>
    </row>
    <row r="346" spans="2:2">
      <c r="B346" s="7" t="s">
        <v>401</v>
      </c>
    </row>
    <row r="347" spans="2:2">
      <c r="B347" s="7" t="s">
        <v>402</v>
      </c>
    </row>
    <row r="348" spans="2:2">
      <c r="B348" s="7" t="s">
        <v>403</v>
      </c>
    </row>
    <row r="349" spans="2:2">
      <c r="B349" s="7" t="s">
        <v>404</v>
      </c>
    </row>
    <row r="350" spans="2:2">
      <c r="B350" s="7" t="s">
        <v>405</v>
      </c>
    </row>
    <row r="351" spans="2:2">
      <c r="B351" s="7" t="s">
        <v>406</v>
      </c>
    </row>
    <row r="352" spans="2:2">
      <c r="B352" s="7" t="s">
        <v>407</v>
      </c>
    </row>
    <row r="353" spans="2:2">
      <c r="B353" s="7" t="s">
        <v>408</v>
      </c>
    </row>
    <row r="354" spans="2:2">
      <c r="B354" s="7" t="s">
        <v>409</v>
      </c>
    </row>
    <row r="355" spans="2:2">
      <c r="B355" s="7" t="s">
        <v>410</v>
      </c>
    </row>
    <row r="356" spans="2:2">
      <c r="B356" s="7" t="s">
        <v>411</v>
      </c>
    </row>
    <row r="357" spans="2:2">
      <c r="B357" s="7" t="s">
        <v>412</v>
      </c>
    </row>
    <row r="358" spans="2:2">
      <c r="B358" s="7" t="s">
        <v>413</v>
      </c>
    </row>
    <row r="359" spans="2:2">
      <c r="B359" s="7" t="s">
        <v>414</v>
      </c>
    </row>
    <row r="360" spans="2:2">
      <c r="B360" s="7" t="s">
        <v>415</v>
      </c>
    </row>
    <row r="361" spans="2:2">
      <c r="B361" s="7" t="s">
        <v>416</v>
      </c>
    </row>
    <row r="362" spans="2:2">
      <c r="B362" s="7" t="s">
        <v>417</v>
      </c>
    </row>
    <row r="363" spans="2:2">
      <c r="B363" s="7" t="s">
        <v>418</v>
      </c>
    </row>
    <row r="364" spans="2:2">
      <c r="B364" s="7" t="s">
        <v>419</v>
      </c>
    </row>
    <row r="365" spans="2:2">
      <c r="B365" s="7" t="s">
        <v>420</v>
      </c>
    </row>
    <row r="366" spans="2:2">
      <c r="B366" s="7" t="s">
        <v>421</v>
      </c>
    </row>
    <row r="367" spans="2:2">
      <c r="B367" s="7" t="s">
        <v>422</v>
      </c>
    </row>
    <row r="368" spans="2:2">
      <c r="B368" s="7" t="s">
        <v>423</v>
      </c>
    </row>
    <row r="369" spans="2:2">
      <c r="B369" s="7" t="s">
        <v>424</v>
      </c>
    </row>
    <row r="370" spans="2:2">
      <c r="B370" s="7" t="s">
        <v>425</v>
      </c>
    </row>
    <row r="371" spans="2:2">
      <c r="B371" s="7" t="s">
        <v>426</v>
      </c>
    </row>
    <row r="372" spans="2:2">
      <c r="B372" s="7" t="s">
        <v>427</v>
      </c>
    </row>
    <row r="373" spans="2:2">
      <c r="B373" s="7" t="s">
        <v>428</v>
      </c>
    </row>
    <row r="374" spans="2:2">
      <c r="B374" s="7" t="s">
        <v>429</v>
      </c>
    </row>
    <row r="375" spans="2:2">
      <c r="B375" s="7" t="s">
        <v>430</v>
      </c>
    </row>
    <row r="376" spans="2:2">
      <c r="B376" s="7" t="s">
        <v>431</v>
      </c>
    </row>
    <row r="377" spans="2:2">
      <c r="B377" s="7" t="s">
        <v>432</v>
      </c>
    </row>
    <row r="378" spans="2:2">
      <c r="B378" s="7" t="s">
        <v>433</v>
      </c>
    </row>
    <row r="379" spans="2:2">
      <c r="B379" s="7" t="s">
        <v>434</v>
      </c>
    </row>
    <row r="380" spans="2:2">
      <c r="B380" s="7" t="s">
        <v>435</v>
      </c>
    </row>
    <row r="381" spans="2:2">
      <c r="B381" s="7" t="s">
        <v>436</v>
      </c>
    </row>
    <row r="382" spans="2:2">
      <c r="B382" s="7" t="s">
        <v>437</v>
      </c>
    </row>
    <row r="383" spans="2:2">
      <c r="B383" s="7" t="s">
        <v>438</v>
      </c>
    </row>
    <row r="384" spans="2:2">
      <c r="B384" s="7" t="s">
        <v>439</v>
      </c>
    </row>
    <row r="385" spans="2:2">
      <c r="B385" s="7" t="s">
        <v>440</v>
      </c>
    </row>
    <row r="386" spans="2:2">
      <c r="B386" s="7" t="s">
        <v>441</v>
      </c>
    </row>
    <row r="387" spans="2:2">
      <c r="B387" s="7" t="s">
        <v>442</v>
      </c>
    </row>
    <row r="388" spans="2:2">
      <c r="B388" s="7" t="s">
        <v>443</v>
      </c>
    </row>
    <row r="389" spans="2:2">
      <c r="B389" s="7" t="s">
        <v>444</v>
      </c>
    </row>
    <row r="390" spans="2:2">
      <c r="B390" s="7" t="s">
        <v>445</v>
      </c>
    </row>
    <row r="391" spans="2:2">
      <c r="B391" s="7" t="s">
        <v>446</v>
      </c>
    </row>
    <row r="392" spans="2:2">
      <c r="B392" s="7" t="s">
        <v>447</v>
      </c>
    </row>
    <row r="393" spans="2:2">
      <c r="B393" s="7" t="s">
        <v>448</v>
      </c>
    </row>
    <row r="394" spans="2:2">
      <c r="B394" s="7" t="s">
        <v>449</v>
      </c>
    </row>
    <row r="395" spans="2:2">
      <c r="B395" s="7" t="s">
        <v>450</v>
      </c>
    </row>
    <row r="396" spans="2:2">
      <c r="B396" s="7" t="s">
        <v>451</v>
      </c>
    </row>
    <row r="397" spans="2:2">
      <c r="B397" s="7" t="s">
        <v>452</v>
      </c>
    </row>
    <row r="398" spans="2:2">
      <c r="B398" s="7" t="s">
        <v>453</v>
      </c>
    </row>
    <row r="399" spans="2:2">
      <c r="B399" s="7" t="s">
        <v>454</v>
      </c>
    </row>
    <row r="400" spans="2:2">
      <c r="B400" s="7" t="s">
        <v>455</v>
      </c>
    </row>
    <row r="401" spans="2:2">
      <c r="B401" s="7" t="s">
        <v>456</v>
      </c>
    </row>
    <row r="402" spans="2:2">
      <c r="B402" s="7" t="s">
        <v>457</v>
      </c>
    </row>
    <row r="403" spans="2:2">
      <c r="B403" s="7" t="s">
        <v>458</v>
      </c>
    </row>
    <row r="404" spans="2:2">
      <c r="B404" s="7" t="s">
        <v>459</v>
      </c>
    </row>
    <row r="405" spans="2:2">
      <c r="B405" s="7" t="s">
        <v>460</v>
      </c>
    </row>
    <row r="406" spans="2:2">
      <c r="B406" s="7" t="s">
        <v>461</v>
      </c>
    </row>
    <row r="407" spans="2:2">
      <c r="B407" s="7" t="s">
        <v>462</v>
      </c>
    </row>
    <row r="408" spans="2:2">
      <c r="B408" s="7" t="s">
        <v>463</v>
      </c>
    </row>
    <row r="409" spans="2:2">
      <c r="B409" s="7" t="s">
        <v>464</v>
      </c>
    </row>
    <row r="410" spans="2:2">
      <c r="B410" s="7" t="s">
        <v>465</v>
      </c>
    </row>
    <row r="411" spans="2:2">
      <c r="B411" s="7" t="s">
        <v>466</v>
      </c>
    </row>
    <row r="412" spans="2:2">
      <c r="B412" s="7" t="s">
        <v>467</v>
      </c>
    </row>
    <row r="413" spans="2:2">
      <c r="B413" s="7" t="s">
        <v>468</v>
      </c>
    </row>
    <row r="414" spans="2:2">
      <c r="B414" s="7" t="s">
        <v>469</v>
      </c>
    </row>
    <row r="415" spans="2:2">
      <c r="B415" s="7" t="s">
        <v>470</v>
      </c>
    </row>
    <row r="416" spans="2:2">
      <c r="B416" s="7" t="s">
        <v>471</v>
      </c>
    </row>
    <row r="417" spans="2:2">
      <c r="B417" s="7" t="s">
        <v>472</v>
      </c>
    </row>
    <row r="418" spans="2:2">
      <c r="B418" s="7" t="s">
        <v>473</v>
      </c>
    </row>
    <row r="419" spans="2:2">
      <c r="B419" s="7" t="s">
        <v>474</v>
      </c>
    </row>
    <row r="420" spans="2:2">
      <c r="B420" s="7" t="s">
        <v>475</v>
      </c>
    </row>
    <row r="421" spans="2:2">
      <c r="B421" s="7" t="s">
        <v>476</v>
      </c>
    </row>
    <row r="422" spans="2:2">
      <c r="B422" s="7" t="s">
        <v>477</v>
      </c>
    </row>
    <row r="423" spans="2:2">
      <c r="B423" s="7" t="s">
        <v>478</v>
      </c>
    </row>
    <row r="424" spans="2:2">
      <c r="B424" s="7" t="s">
        <v>479</v>
      </c>
    </row>
    <row r="425" spans="2:2">
      <c r="B425" s="7" t="s">
        <v>480</v>
      </c>
    </row>
    <row r="426" spans="2:2">
      <c r="B426" s="7" t="s">
        <v>481</v>
      </c>
    </row>
    <row r="427" spans="2:2">
      <c r="B427" s="7" t="s">
        <v>482</v>
      </c>
    </row>
    <row r="428" spans="2:2">
      <c r="B428" s="7" t="s">
        <v>483</v>
      </c>
    </row>
    <row r="429" spans="2:2">
      <c r="B429" s="7" t="s">
        <v>484</v>
      </c>
    </row>
    <row r="430" spans="2:2">
      <c r="B430" s="7" t="s">
        <v>485</v>
      </c>
    </row>
    <row r="431" spans="2:2">
      <c r="B431" s="7" t="s">
        <v>486</v>
      </c>
    </row>
    <row r="432" spans="2:2">
      <c r="B432" s="7" t="s">
        <v>487</v>
      </c>
    </row>
    <row r="433" spans="2:2">
      <c r="B433" s="7" t="s">
        <v>488</v>
      </c>
    </row>
    <row r="434" spans="2:2">
      <c r="B434" s="7" t="s">
        <v>489</v>
      </c>
    </row>
    <row r="435" spans="2:2">
      <c r="B435" s="7" t="s">
        <v>490</v>
      </c>
    </row>
    <row r="436" spans="2:2">
      <c r="B436" s="7" t="s">
        <v>491</v>
      </c>
    </row>
    <row r="437" spans="2:2">
      <c r="B437" s="7" t="s">
        <v>492</v>
      </c>
    </row>
    <row r="438" spans="2:2">
      <c r="B438" s="7" t="s">
        <v>493</v>
      </c>
    </row>
    <row r="439" spans="2:2">
      <c r="B439" s="7" t="s">
        <v>494</v>
      </c>
    </row>
    <row r="440" spans="2:2">
      <c r="B440" s="7" t="s">
        <v>495</v>
      </c>
    </row>
    <row r="441" spans="2:2">
      <c r="B441" s="7" t="s">
        <v>496</v>
      </c>
    </row>
    <row r="442" spans="2:2">
      <c r="B442" s="7" t="s">
        <v>497</v>
      </c>
    </row>
    <row r="443" spans="2:2">
      <c r="B443" s="7" t="s">
        <v>498</v>
      </c>
    </row>
    <row r="444" spans="2:2">
      <c r="B444" s="7" t="s">
        <v>499</v>
      </c>
    </row>
    <row r="445" spans="2:2">
      <c r="B445" s="7" t="s">
        <v>500</v>
      </c>
    </row>
    <row r="446" spans="2:2">
      <c r="B446" s="7" t="s">
        <v>501</v>
      </c>
    </row>
    <row r="447" spans="2:2">
      <c r="B447" s="7" t="s">
        <v>502</v>
      </c>
    </row>
    <row r="448" spans="2:2">
      <c r="B448" s="7" t="s">
        <v>503</v>
      </c>
    </row>
    <row r="449" spans="2:2">
      <c r="B449" s="7" t="s">
        <v>504</v>
      </c>
    </row>
    <row r="450" spans="2:2">
      <c r="B450" s="7" t="s">
        <v>505</v>
      </c>
    </row>
    <row r="451" spans="2:2">
      <c r="B451" s="7" t="s">
        <v>506</v>
      </c>
    </row>
    <row r="452" spans="2:2">
      <c r="B452" s="7" t="s">
        <v>507</v>
      </c>
    </row>
    <row r="453" spans="2:2">
      <c r="B453" s="7" t="s">
        <v>508</v>
      </c>
    </row>
    <row r="454" spans="2:2">
      <c r="B454" s="7" t="s">
        <v>509</v>
      </c>
    </row>
    <row r="455" spans="2:2">
      <c r="B455" s="7" t="s">
        <v>510</v>
      </c>
    </row>
    <row r="456" spans="2:2">
      <c r="B456" s="7" t="s">
        <v>511</v>
      </c>
    </row>
    <row r="457" spans="2:2">
      <c r="B457" s="7" t="s">
        <v>512</v>
      </c>
    </row>
    <row r="458" spans="2:2">
      <c r="B458" s="7" t="s">
        <v>513</v>
      </c>
    </row>
    <row r="459" spans="2:2">
      <c r="B459" s="7" t="s">
        <v>514</v>
      </c>
    </row>
    <row r="460" spans="2:2">
      <c r="B460" s="7" t="s">
        <v>515</v>
      </c>
    </row>
    <row r="461" spans="2:2">
      <c r="B461" s="7" t="s">
        <v>516</v>
      </c>
    </row>
    <row r="462" spans="2:2">
      <c r="B462" s="7" t="s">
        <v>517</v>
      </c>
    </row>
    <row r="463" spans="2:2">
      <c r="B463" s="7" t="s">
        <v>518</v>
      </c>
    </row>
    <row r="464" spans="2:2">
      <c r="B464" s="7" t="s">
        <v>519</v>
      </c>
    </row>
    <row r="465" spans="2:2">
      <c r="B465" s="7" t="s">
        <v>520</v>
      </c>
    </row>
    <row r="466" spans="2:2">
      <c r="B466" s="7" t="s">
        <v>521</v>
      </c>
    </row>
    <row r="467" spans="2:2">
      <c r="B467" s="7" t="s">
        <v>522</v>
      </c>
    </row>
    <row r="468" spans="2:2">
      <c r="B468" s="7" t="s">
        <v>523</v>
      </c>
    </row>
    <row r="469" spans="2:2">
      <c r="B469" s="7" t="s">
        <v>524</v>
      </c>
    </row>
    <row r="470" spans="2:2">
      <c r="B470" s="7" t="s">
        <v>525</v>
      </c>
    </row>
    <row r="471" spans="2:2">
      <c r="B471" s="7" t="s">
        <v>526</v>
      </c>
    </row>
    <row r="472" spans="2:2">
      <c r="B472" s="7" t="s">
        <v>527</v>
      </c>
    </row>
    <row r="473" spans="2:2">
      <c r="B473" s="7" t="s">
        <v>528</v>
      </c>
    </row>
    <row r="474" spans="2:2">
      <c r="B474" s="7" t="s">
        <v>529</v>
      </c>
    </row>
    <row r="475" spans="2:2">
      <c r="B475" s="7" t="s">
        <v>530</v>
      </c>
    </row>
    <row r="476" spans="2:2">
      <c r="B476" s="7" t="s">
        <v>531</v>
      </c>
    </row>
    <row r="477" spans="2:2">
      <c r="B477" s="7" t="s">
        <v>532</v>
      </c>
    </row>
    <row r="478" spans="2:2">
      <c r="B478" s="7" t="s">
        <v>533</v>
      </c>
    </row>
    <row r="479" spans="2:2">
      <c r="B479" s="7" t="s">
        <v>534</v>
      </c>
    </row>
    <row r="480" spans="2:2">
      <c r="B480" s="7" t="s">
        <v>535</v>
      </c>
    </row>
    <row r="481" spans="2:2">
      <c r="B481" s="7" t="s">
        <v>536</v>
      </c>
    </row>
    <row r="482" spans="2:2">
      <c r="B482" s="7" t="s">
        <v>537</v>
      </c>
    </row>
    <row r="483" spans="2:2">
      <c r="B483" s="7" t="s">
        <v>538</v>
      </c>
    </row>
    <row r="484" spans="2:2">
      <c r="B484" s="7" t="s">
        <v>539</v>
      </c>
    </row>
    <row r="485" spans="2:2">
      <c r="B485" s="7" t="s">
        <v>540</v>
      </c>
    </row>
    <row r="486" spans="2:2">
      <c r="B486" s="7" t="s">
        <v>541</v>
      </c>
    </row>
    <row r="487" spans="2:2">
      <c r="B487" s="7" t="s">
        <v>542</v>
      </c>
    </row>
    <row r="488" spans="2:2">
      <c r="B488" s="7" t="s">
        <v>543</v>
      </c>
    </row>
    <row r="489" spans="2:2">
      <c r="B489" s="7" t="s">
        <v>544</v>
      </c>
    </row>
    <row r="490" spans="2:2">
      <c r="B490" s="7" t="s">
        <v>545</v>
      </c>
    </row>
    <row r="491" spans="2:2">
      <c r="B491" s="7" t="s">
        <v>546</v>
      </c>
    </row>
    <row r="492" spans="2:2">
      <c r="B492" s="7" t="s">
        <v>547</v>
      </c>
    </row>
    <row r="493" spans="2:2">
      <c r="B493" s="7" t="s">
        <v>548</v>
      </c>
    </row>
    <row r="494" spans="2:2">
      <c r="B494" s="7" t="s">
        <v>549</v>
      </c>
    </row>
    <row r="495" spans="2:2">
      <c r="B495" s="7" t="s">
        <v>550</v>
      </c>
    </row>
    <row r="496" spans="2:2">
      <c r="B496" s="7" t="s">
        <v>551</v>
      </c>
    </row>
    <row r="497" spans="2:2">
      <c r="B497" s="7" t="s">
        <v>552</v>
      </c>
    </row>
    <row r="498" spans="2:2">
      <c r="B498" s="7" t="s">
        <v>553</v>
      </c>
    </row>
    <row r="499" spans="2:2">
      <c r="B499" s="7" t="s">
        <v>554</v>
      </c>
    </row>
    <row r="500" spans="2:2">
      <c r="B500" s="7" t="s">
        <v>555</v>
      </c>
    </row>
    <row r="501" spans="2:2">
      <c r="B501" s="7" t="s">
        <v>556</v>
      </c>
    </row>
    <row r="502" spans="2:2">
      <c r="B502" s="7" t="s">
        <v>557</v>
      </c>
    </row>
    <row r="503" spans="2:2">
      <c r="B503" s="7" t="s">
        <v>558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RFQ-Tracking</vt:lpstr>
      <vt:lpstr>Detailanalysis</vt:lpstr>
      <vt:lpstr>Supplier selection</vt:lpstr>
      <vt:lpstr>RFQ-Input</vt:lpstr>
      <vt:lpstr>Adapter RFQ-Generator</vt:lpstr>
      <vt:lpstr>RFQ-Supplier</vt:lpstr>
      <vt:lpstr>DropDown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tobias.burdik@web.de</dc:creator>
  <cp:lastModifiedBy>trivedi jaimil</cp:lastModifiedBy>
  <dcterms:created xsi:type="dcterms:W3CDTF">2025-01-28T09:21:26Z</dcterms:created>
  <dcterms:modified xsi:type="dcterms:W3CDTF">2026-03-09T12:17:42Z</dcterms:modified>
</cp:coreProperties>
</file>